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hc01881\Desktop\"/>
    </mc:Choice>
  </mc:AlternateContent>
  <bookViews>
    <workbookView xWindow="0" yWindow="0" windowWidth="12516" windowHeight="2088" tabRatio="748"/>
  </bookViews>
  <sheets>
    <sheet name="Feature_List" sheetId="1" r:id="rId1"/>
    <sheet name="Feature List_Audit" sheetId="7" state="hidden" r:id="rId2"/>
    <sheet name="Team Capacity - PI 15" sheetId="4" r:id="rId3"/>
    <sheet name="ActiveEpics" sheetId="13" r:id="rId4"/>
    <sheet name="Additional_Scope" sheetId="9" r:id="rId5"/>
    <sheet name="Feature_PWIs" sheetId="8" r:id="rId6"/>
    <sheet name="OrphanPWI_CI_Check" sheetId="11" r:id="rId7"/>
    <sheet name="EAD_CIs" sheetId="12" r:id="rId8"/>
    <sheet name="Ranking Lookup" sheetId="5" r:id="rId9"/>
    <sheet name="Instructions" sheetId="3" r:id="rId10"/>
    <sheet name="Deployment Assessment" sheetId="6" state="hidden" r:id="rId11"/>
    <sheet name="SingleFeatureAudit" sheetId="10" state="hidden" r:id="rId12"/>
  </sheets>
  <functionGroups builtInGroupCount="18"/>
  <definedNames>
    <definedName name="_xlnm._FilterDatabase" localSheetId="3" hidden="1">ActiveEpics!$A$1:$AL$280</definedName>
    <definedName name="_xlnm._FilterDatabase" localSheetId="4" hidden="1">Additional_Scope!$A$1:$AH$19</definedName>
    <definedName name="_xlnm._FilterDatabase" localSheetId="7" hidden="1">EAD_CIs!$A$2:$N$50</definedName>
    <definedName name="_xlnm._FilterDatabase" localSheetId="1" hidden="1">'Feature List_Audit'!$A$1:$CA$131</definedName>
    <definedName name="_xlnm._FilterDatabase" localSheetId="0" hidden="1">Feature_List!$A$1:$BI$95</definedName>
    <definedName name="_xlnm._FilterDatabase" localSheetId="5" hidden="1">Feature_PWIs!$A$1:$AM$213</definedName>
    <definedName name="_xlnm._FilterDatabase" localSheetId="6" hidden="1">OrphanPWI_CI_Check!$A$2:$M$673</definedName>
    <definedName name="Feature_TDs">Feature_List!$P$3:$P$95</definedName>
    <definedName name="TD_table_column">Feature_List!$S$116:$S$154</definedName>
    <definedName name="TD_table_points">Feature_List!$T$116:$AG$154</definedName>
    <definedName name="Team_points">Feature_List!$T$3:$AG$95</definedName>
  </definedNames>
  <calcPr calcId="162913"/>
</workbook>
</file>

<file path=xl/calcChain.xml><?xml version="1.0" encoding="utf-8"?>
<calcChain xmlns="http://schemas.openxmlformats.org/spreadsheetml/2006/main">
  <c r="BI9" i="1" l="1"/>
  <c r="BI58" i="1"/>
  <c r="BI64" i="1"/>
  <c r="BI16" i="1"/>
  <c r="BI20" i="1"/>
  <c r="BI31" i="1"/>
  <c r="BI14" i="1"/>
  <c r="BI70" i="1"/>
  <c r="BI80" i="1"/>
  <c r="BI23" i="1"/>
  <c r="BI45" i="1"/>
  <c r="BI51" i="1"/>
  <c r="BI57" i="1"/>
  <c r="BI86" i="1"/>
  <c r="BI50" i="1"/>
  <c r="BI77" i="1"/>
  <c r="BI30" i="1"/>
  <c r="BI46" i="1"/>
  <c r="BI75" i="1"/>
  <c r="BI62" i="1"/>
  <c r="BI82" i="1"/>
  <c r="BI40" i="1"/>
  <c r="BI37" i="1"/>
  <c r="BI54" i="1"/>
  <c r="BI87" i="1"/>
  <c r="BI11" i="1"/>
  <c r="BI12" i="1"/>
  <c r="BI27" i="1"/>
  <c r="BI3" i="1"/>
  <c r="BI88" i="1"/>
  <c r="BI38" i="1"/>
  <c r="BI66" i="1"/>
  <c r="BI34" i="1"/>
  <c r="BI74" i="1"/>
  <c r="BI53" i="1"/>
  <c r="BI17" i="1"/>
  <c r="BI48" i="1"/>
  <c r="BI56" i="1"/>
  <c r="BI42" i="1"/>
  <c r="BI5" i="1"/>
  <c r="BI44" i="1"/>
  <c r="BI35" i="1"/>
  <c r="BI71" i="1"/>
  <c r="BI6" i="1"/>
  <c r="BI8" i="1"/>
  <c r="BI13" i="1"/>
  <c r="BI78" i="1"/>
  <c r="BI49" i="1"/>
  <c r="BI69" i="1"/>
  <c r="BI52" i="1"/>
  <c r="BI25" i="1"/>
  <c r="BI68" i="1"/>
  <c r="BI43" i="1"/>
  <c r="BI89" i="1"/>
  <c r="BI81" i="1"/>
  <c r="BI24" i="1"/>
  <c r="BI22" i="1"/>
  <c r="BI7" i="1"/>
  <c r="BI63" i="1"/>
  <c r="BI36" i="1"/>
  <c r="BI67" i="1"/>
  <c r="BI84" i="1"/>
  <c r="BI29" i="1"/>
  <c r="BI65" i="1"/>
  <c r="BI10" i="1"/>
  <c r="BI41" i="1"/>
  <c r="BI59" i="1"/>
  <c r="BI79" i="1"/>
  <c r="BI18" i="1"/>
  <c r="BI83" i="1"/>
  <c r="BI19" i="1"/>
  <c r="BI76" i="1"/>
  <c r="BI39" i="1"/>
  <c r="BI26" i="1"/>
  <c r="BI60" i="1"/>
  <c r="BI72" i="1"/>
  <c r="BI55" i="1"/>
  <c r="BI32" i="1"/>
  <c r="BI61" i="1"/>
  <c r="BI90" i="1"/>
  <c r="BI92" i="1"/>
  <c r="BI21" i="1"/>
  <c r="BI91" i="1"/>
  <c r="BI4" i="1"/>
  <c r="BI73" i="1"/>
  <c r="BI28" i="1"/>
  <c r="BI85" i="1"/>
  <c r="BI33" i="1"/>
  <c r="BI15" i="1"/>
  <c r="BH93" i="1"/>
  <c r="BI93" i="1"/>
  <c r="BH94" i="1"/>
  <c r="BI94" i="1"/>
  <c r="BH95" i="1"/>
  <c r="BI95" i="1"/>
  <c r="AO14" i="1" l="1"/>
  <c r="AO24" i="1"/>
  <c r="AO59" i="1"/>
  <c r="AO4" i="1"/>
  <c r="AO50" i="1"/>
  <c r="AO38" i="1"/>
  <c r="AO9" i="1"/>
  <c r="AO3" i="1"/>
  <c r="AO91" i="1"/>
  <c r="AO81" i="1"/>
  <c r="AO85" i="1"/>
  <c r="AO70" i="1"/>
  <c r="AO76" i="1"/>
  <c r="AO72" i="1"/>
  <c r="AO77" i="1"/>
  <c r="AO23" i="1"/>
  <c r="AO10" i="1"/>
  <c r="AO56" i="1"/>
  <c r="AO36" i="1"/>
  <c r="AO15" i="1"/>
  <c r="AO93" i="1"/>
  <c r="AO48" i="1"/>
  <c r="AO11" i="1"/>
  <c r="AO79" i="1"/>
  <c r="AO88" i="1"/>
  <c r="AO32" i="1"/>
  <c r="AO8" i="1"/>
  <c r="AO21" i="1"/>
  <c r="AO53" i="1"/>
  <c r="AO82" i="1"/>
  <c r="AO67" i="1"/>
  <c r="AO44" i="1"/>
  <c r="AO31" i="1"/>
  <c r="AO12" i="1"/>
  <c r="AO18" i="1"/>
  <c r="AO69" i="1"/>
  <c r="AO73" i="1"/>
  <c r="AO64" i="1"/>
  <c r="AO87" i="1"/>
  <c r="AO63" i="1"/>
  <c r="AO40" i="1"/>
  <c r="AO29" i="1"/>
  <c r="AO28" i="1"/>
  <c r="AO84" i="1"/>
  <c r="AO68" i="1"/>
  <c r="AO89" i="1"/>
  <c r="AO17" i="1"/>
  <c r="AO42" i="1"/>
  <c r="AO57" i="1"/>
  <c r="AO34" i="1"/>
  <c r="AO75" i="1"/>
  <c r="AO86" i="1"/>
  <c r="AO43" i="1"/>
  <c r="AO39" i="1"/>
  <c r="AO27" i="1"/>
  <c r="AO71" i="1"/>
  <c r="AO6" i="1"/>
  <c r="AO90" i="1"/>
  <c r="AO35" i="1"/>
  <c r="AO26" i="1"/>
  <c r="AO47" i="1"/>
  <c r="AO54" i="1"/>
  <c r="AO60" i="1"/>
  <c r="AO22" i="1"/>
  <c r="AO51" i="1"/>
  <c r="AO46" i="1"/>
  <c r="AO83" i="1"/>
  <c r="AO25" i="1"/>
  <c r="AO92" i="1"/>
  <c r="AO45" i="1"/>
  <c r="AO13" i="1"/>
  <c r="AO33" i="1"/>
  <c r="AO58" i="1"/>
  <c r="AO20" i="1"/>
  <c r="AO16" i="1"/>
  <c r="AO80" i="1"/>
  <c r="AO65" i="1"/>
  <c r="AO7" i="1"/>
  <c r="AO52" i="1"/>
  <c r="AO30" i="1"/>
  <c r="AO62" i="1"/>
  <c r="AO41" i="1"/>
  <c r="AO66" i="1"/>
  <c r="AO74" i="1"/>
  <c r="AO37" i="1"/>
  <c r="AO49" i="1"/>
  <c r="AO5" i="1"/>
  <c r="AO55" i="1"/>
  <c r="AO61" i="1"/>
  <c r="AO78" i="1"/>
  <c r="AO94" i="1"/>
  <c r="AO95" i="1"/>
  <c r="AO19" i="1"/>
  <c r="AF99" i="1" l="1"/>
  <c r="AW2" i="1"/>
  <c r="AX2" i="1"/>
  <c r="AY2" i="1"/>
  <c r="AZ2" i="1"/>
  <c r="BA2" i="1"/>
  <c r="BB2" i="1"/>
  <c r="BC2" i="1"/>
  <c r="BD2" i="1"/>
  <c r="BE2" i="1"/>
  <c r="BF2" i="1"/>
  <c r="F18" i="4" l="1"/>
  <c r="H18" i="4" s="1"/>
  <c r="O26" i="4" s="1"/>
  <c r="AG99" i="1" s="1"/>
  <c r="F17" i="4"/>
  <c r="F16" i="4"/>
  <c r="H16" i="4" s="1"/>
  <c r="M26" i="4" s="1"/>
  <c r="AE99" i="1" s="1"/>
  <c r="F15" i="4"/>
  <c r="H15" i="4" s="1"/>
  <c r="L26" i="4" s="1"/>
  <c r="AD99" i="1" s="1"/>
  <c r="F14" i="4"/>
  <c r="H14" i="4" s="1"/>
  <c r="K26" i="4" s="1"/>
  <c r="AC99" i="1" s="1"/>
  <c r="F13" i="4"/>
  <c r="H13" i="4" s="1"/>
  <c r="J26" i="4" s="1"/>
  <c r="AB99" i="1" s="1"/>
  <c r="F12" i="4"/>
  <c r="H12" i="4" s="1"/>
  <c r="I26" i="4" s="1"/>
  <c r="AA99" i="1" s="1"/>
  <c r="F11" i="4"/>
  <c r="H11" i="4" s="1"/>
  <c r="H26" i="4" s="1"/>
  <c r="Z99" i="1" s="1"/>
  <c r="F10" i="4"/>
  <c r="H10" i="4" s="1"/>
  <c r="G26" i="4" s="1"/>
  <c r="Y99" i="1" s="1"/>
  <c r="F9" i="4"/>
  <c r="H9" i="4" s="1"/>
  <c r="F26" i="4" s="1"/>
  <c r="X99" i="1" s="1"/>
  <c r="F8" i="4"/>
  <c r="H8" i="4" s="1"/>
  <c r="F7" i="4"/>
  <c r="H7" i="4" s="1"/>
  <c r="F6" i="4"/>
  <c r="H6" i="4" s="1"/>
  <c r="F5" i="4"/>
  <c r="H5" i="4" s="1"/>
  <c r="H17" i="4"/>
  <c r="N26" i="4" s="1"/>
  <c r="A601" i="11" l="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3" i="11" l="1"/>
  <c r="A4"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BH9" i="1" l="1"/>
  <c r="BH64" i="1"/>
  <c r="BH20" i="1"/>
  <c r="BH14" i="1"/>
  <c r="BH80" i="1"/>
  <c r="BH45" i="1"/>
  <c r="BH57" i="1"/>
  <c r="BH50" i="1"/>
  <c r="BH30" i="1"/>
  <c r="BH75" i="1"/>
  <c r="BH82" i="1"/>
  <c r="BH37" i="1"/>
  <c r="BH87" i="1"/>
  <c r="BH12" i="1"/>
  <c r="BH3" i="1"/>
  <c r="BH38" i="1"/>
  <c r="BH34" i="1"/>
  <c r="BH53" i="1"/>
  <c r="BH48" i="1"/>
  <c r="BH42" i="1"/>
  <c r="BH44" i="1"/>
  <c r="BH71" i="1"/>
  <c r="BH8" i="1"/>
  <c r="BH78" i="1"/>
  <c r="BH69" i="1"/>
  <c r="BH25" i="1"/>
  <c r="BH43" i="1"/>
  <c r="BH81" i="1"/>
  <c r="BH22" i="1"/>
  <c r="BH63" i="1"/>
  <c r="BH67" i="1"/>
  <c r="BH29" i="1"/>
  <c r="BH10" i="1"/>
  <c r="BH59" i="1"/>
  <c r="BH18" i="1"/>
  <c r="BH19" i="1"/>
  <c r="BH39" i="1"/>
  <c r="BH60" i="1"/>
  <c r="BH55" i="1"/>
  <c r="BH61" i="1"/>
  <c r="BH92" i="1"/>
  <c r="BH91" i="1"/>
  <c r="BH73" i="1"/>
  <c r="BH85" i="1"/>
  <c r="BH15" i="1"/>
  <c r="BH58" i="1"/>
  <c r="BH16" i="1"/>
  <c r="BH31" i="1"/>
  <c r="BH70" i="1"/>
  <c r="BH23" i="1"/>
  <c r="BH51" i="1"/>
  <c r="BH86" i="1"/>
  <c r="BH77" i="1"/>
  <c r="BH46" i="1"/>
  <c r="BH62" i="1"/>
  <c r="BH40" i="1"/>
  <c r="BH54" i="1"/>
  <c r="BH11" i="1"/>
  <c r="BH27" i="1"/>
  <c r="BH88" i="1"/>
  <c r="BH66" i="1"/>
  <c r="BH74" i="1"/>
  <c r="BH17" i="1"/>
  <c r="BH56" i="1"/>
  <c r="BH5" i="1"/>
  <c r="BH35" i="1"/>
  <c r="BH6" i="1"/>
  <c r="BH13" i="1"/>
  <c r="BH49" i="1"/>
  <c r="BH52" i="1"/>
  <c r="BH68" i="1"/>
  <c r="BH89" i="1"/>
  <c r="BH24" i="1"/>
  <c r="BH7" i="1"/>
  <c r="BH36" i="1"/>
  <c r="BH84" i="1"/>
  <c r="BH65" i="1"/>
  <c r="BH41" i="1"/>
  <c r="BH79" i="1"/>
  <c r="BH83" i="1"/>
  <c r="BH76" i="1"/>
  <c r="BH26" i="1"/>
  <c r="BH72" i="1"/>
  <c r="BH32" i="1"/>
  <c r="BH90" i="1"/>
  <c r="BH21" i="1"/>
  <c r="BH4" i="1"/>
  <c r="BH28" i="1"/>
  <c r="BH33" i="1"/>
  <c r="AR50" i="1"/>
  <c r="AR58" i="1"/>
  <c r="AR20" i="1"/>
  <c r="AR90" i="1"/>
  <c r="AR33" i="1"/>
  <c r="AR64" i="1"/>
  <c r="AR77" i="1"/>
  <c r="AR70" i="1"/>
  <c r="AR4" i="1"/>
  <c r="AR69" i="1"/>
  <c r="AR16" i="1"/>
  <c r="AR44" i="1"/>
  <c r="AR60" i="1"/>
  <c r="AR39" i="1"/>
  <c r="AR24" i="1"/>
  <c r="AR36" i="1"/>
  <c r="AR73" i="1"/>
  <c r="AR93" i="1"/>
  <c r="AR48" i="1"/>
  <c r="AR43" i="1"/>
  <c r="AR54" i="1"/>
  <c r="AR42" i="1"/>
  <c r="AR28" i="1"/>
  <c r="AR82" i="1"/>
  <c r="AR47" i="1"/>
  <c r="BH47" i="1"/>
  <c r="BI47" i="1"/>
  <c r="AR65" i="1"/>
  <c r="AR17" i="1"/>
  <c r="AR61" i="1"/>
  <c r="AR79" i="1"/>
  <c r="AR10" i="1"/>
  <c r="AR37" i="1"/>
  <c r="AR68" i="1"/>
  <c r="AR34" i="1"/>
  <c r="AR38" i="1"/>
  <c r="AR15" i="1"/>
  <c r="AR80" i="1"/>
  <c r="AR78" i="1"/>
  <c r="AR51" i="1"/>
  <c r="AR87" i="1"/>
  <c r="AR53" i="1"/>
  <c r="AR55" i="1"/>
  <c r="AR86" i="1"/>
  <c r="AR81" i="1"/>
  <c r="AR52" i="1"/>
  <c r="AR92" i="1"/>
  <c r="AR14" i="1"/>
  <c r="AR31" i="1"/>
  <c r="AR63" i="1"/>
  <c r="AR27" i="1"/>
  <c r="AR7" i="1"/>
  <c r="AR13" i="1"/>
  <c r="AR3" i="1"/>
  <c r="AR76" i="1"/>
  <c r="AR40" i="1"/>
  <c r="AR91" i="1"/>
  <c r="AR49" i="1"/>
  <c r="AR45" i="1"/>
  <c r="AR89" i="1"/>
  <c r="AR32" i="1"/>
  <c r="AR22" i="1"/>
  <c r="AR71" i="1"/>
  <c r="AR21" i="1"/>
  <c r="AR23" i="1"/>
  <c r="AR25" i="1"/>
  <c r="AR66" i="1"/>
  <c r="AR5" i="1"/>
  <c r="AR56" i="1"/>
  <c r="AR59" i="1"/>
  <c r="AR75" i="1"/>
  <c r="AR30" i="1"/>
  <c r="AR72" i="1"/>
  <c r="AR62" i="1"/>
  <c r="AR85" i="1"/>
  <c r="AR12" i="1"/>
  <c r="AR57" i="1"/>
  <c r="AR88" i="1"/>
  <c r="AR74" i="1"/>
  <c r="AR29" i="1"/>
  <c r="AR19" i="1"/>
  <c r="AR11" i="1"/>
  <c r="AR18" i="1"/>
  <c r="AR41" i="1"/>
  <c r="AR46" i="1"/>
  <c r="AR83" i="1"/>
  <c r="AR26" i="1"/>
  <c r="AR84" i="1"/>
  <c r="AR35" i="1"/>
  <c r="AR8" i="1"/>
  <c r="AR94" i="1"/>
  <c r="AR9" i="1"/>
  <c r="AR67" i="1"/>
  <c r="AR95" i="1"/>
  <c r="AQ13" i="1"/>
  <c r="AQ3" i="1"/>
  <c r="AQ76" i="1"/>
  <c r="AQ40" i="1"/>
  <c r="AQ91" i="1"/>
  <c r="AQ49" i="1"/>
  <c r="AQ45" i="1"/>
  <c r="AQ89" i="1"/>
  <c r="AQ32" i="1"/>
  <c r="AQ22" i="1"/>
  <c r="AQ71" i="1"/>
  <c r="AQ21" i="1"/>
  <c r="AQ23" i="1"/>
  <c r="AQ25" i="1"/>
  <c r="AQ66" i="1"/>
  <c r="AQ5" i="1"/>
  <c r="AQ56" i="1"/>
  <c r="AQ59" i="1"/>
  <c r="AQ75" i="1"/>
  <c r="AQ30" i="1"/>
  <c r="AQ72" i="1"/>
  <c r="AQ62" i="1"/>
  <c r="AQ85" i="1"/>
  <c r="AQ12" i="1"/>
  <c r="AQ57" i="1"/>
  <c r="AQ88" i="1"/>
  <c r="AQ74" i="1"/>
  <c r="AQ29" i="1"/>
  <c r="AQ19" i="1"/>
  <c r="AQ11" i="1"/>
  <c r="AQ18" i="1"/>
  <c r="AQ41" i="1"/>
  <c r="AQ46" i="1"/>
  <c r="AQ83" i="1"/>
  <c r="AQ26" i="1"/>
  <c r="AQ84" i="1"/>
  <c r="AQ35" i="1"/>
  <c r="AQ8" i="1"/>
  <c r="AQ94" i="1"/>
  <c r="AQ9" i="1"/>
  <c r="AQ67" i="1"/>
  <c r="AQ95" i="1"/>
  <c r="AP67" i="1" l="1"/>
  <c r="AP95" i="1"/>
  <c r="AP64" i="1"/>
  <c r="AP18" i="1"/>
  <c r="AP52" i="1"/>
  <c r="AP28" i="1"/>
  <c r="AP6" i="1"/>
  <c r="AP50" i="1"/>
  <c r="AP58" i="1"/>
  <c r="AP20" i="1"/>
  <c r="AP90" i="1"/>
  <c r="AP77" i="1"/>
  <c r="AP70" i="1"/>
  <c r="AP4" i="1"/>
  <c r="AP16" i="1"/>
  <c r="AP44" i="1"/>
  <c r="AP60" i="1"/>
  <c r="AP39" i="1"/>
  <c r="AP24" i="1"/>
  <c r="AP36" i="1"/>
  <c r="AP73" i="1"/>
  <c r="AP48" i="1"/>
  <c r="AP65" i="1"/>
  <c r="AP17" i="1"/>
  <c r="AP61" i="1"/>
  <c r="AP79" i="1"/>
  <c r="AP10" i="1"/>
  <c r="AP37" i="1"/>
  <c r="AP68" i="1"/>
  <c r="AP34" i="1"/>
  <c r="AP78" i="1"/>
  <c r="AP51" i="1"/>
  <c r="AP87" i="1"/>
  <c r="AP53" i="1"/>
  <c r="AP55" i="1"/>
  <c r="AP86" i="1"/>
  <c r="AP81" i="1"/>
  <c r="AP31" i="1"/>
  <c r="AP63" i="1"/>
  <c r="AP27" i="1"/>
  <c r="AP7" i="1"/>
  <c r="AP13" i="1"/>
  <c r="AP76" i="1"/>
  <c r="AP45" i="1"/>
  <c r="AP32" i="1"/>
  <c r="AP22" i="1"/>
  <c r="AP71" i="1"/>
  <c r="AP21" i="1"/>
  <c r="AP23" i="1"/>
  <c r="AP25" i="1"/>
  <c r="AP66" i="1"/>
  <c r="AP5" i="1"/>
  <c r="AP56" i="1"/>
  <c r="AP59" i="1"/>
  <c r="AP75" i="1"/>
  <c r="AP30" i="1"/>
  <c r="AP72" i="1"/>
  <c r="AP42" i="1"/>
  <c r="AP62" i="1"/>
  <c r="AP85" i="1"/>
  <c r="AP12" i="1"/>
  <c r="AP57" i="1"/>
  <c r="AP88" i="1"/>
  <c r="AP74" i="1"/>
  <c r="AP29" i="1"/>
  <c r="AP19" i="1"/>
  <c r="AP11" i="1"/>
  <c r="AP41" i="1"/>
  <c r="AP46" i="1"/>
  <c r="AP83" i="1"/>
  <c r="AP26" i="1"/>
  <c r="AP84" i="1"/>
  <c r="AP35" i="1"/>
  <c r="AP8" i="1"/>
  <c r="AP9" i="1"/>
  <c r="AP54" i="1"/>
  <c r="AP43" i="1"/>
  <c r="AP82" i="1"/>
  <c r="AP93" i="1"/>
  <c r="AP92" i="1"/>
  <c r="AP47" i="1"/>
  <c r="AP69" i="1"/>
  <c r="AP94" i="1"/>
  <c r="AP33" i="1"/>
  <c r="AP15" i="1"/>
  <c r="AP80" i="1"/>
  <c r="AP3" i="1"/>
  <c r="AP91" i="1"/>
  <c r="AP14" i="1"/>
  <c r="AP89" i="1"/>
  <c r="AP38" i="1"/>
  <c r="AP40" i="1"/>
  <c r="AP49" i="1"/>
  <c r="BC2" i="7" l="1"/>
  <c r="BD2" i="7"/>
  <c r="BE2" i="7"/>
  <c r="BF2" i="7"/>
  <c r="BG2" i="7"/>
  <c r="BH2" i="7"/>
  <c r="BI2" i="7"/>
  <c r="BJ2" i="7"/>
  <c r="BK2" i="7"/>
  <c r="BL2" i="7"/>
  <c r="BM2" i="7"/>
  <c r="BN2" i="7"/>
  <c r="BO2" i="7"/>
  <c r="BP2" i="7"/>
  <c r="BQ2" i="7"/>
  <c r="BR2" i="7"/>
  <c r="BS2" i="7"/>
  <c r="BT2" i="7"/>
  <c r="BU2" i="7"/>
  <c r="BV2" i="7"/>
  <c r="BW2" i="7"/>
  <c r="BX2" i="7"/>
  <c r="BY2" i="7"/>
  <c r="BZ2" i="7"/>
  <c r="CA2" i="7"/>
  <c r="BC3" i="7"/>
  <c r="BD3" i="7"/>
  <c r="BE3" i="7"/>
  <c r="BF3" i="7"/>
  <c r="BG3" i="7"/>
  <c r="BH3" i="7"/>
  <c r="BI3" i="7"/>
  <c r="BJ3" i="7"/>
  <c r="BK3" i="7"/>
  <c r="BL3" i="7"/>
  <c r="BM3" i="7"/>
  <c r="BN3" i="7"/>
  <c r="BO3" i="7"/>
  <c r="BP3" i="7"/>
  <c r="BQ3" i="7"/>
  <c r="BR3" i="7"/>
  <c r="BS3" i="7"/>
  <c r="BT3" i="7"/>
  <c r="BU3" i="7"/>
  <c r="BV3" i="7"/>
  <c r="BW3" i="7"/>
  <c r="BX3" i="7"/>
  <c r="BY3" i="7"/>
  <c r="BZ3" i="7"/>
  <c r="CA3" i="7"/>
  <c r="BC4" i="7"/>
  <c r="BD4" i="7"/>
  <c r="BE4" i="7"/>
  <c r="BF4" i="7"/>
  <c r="BG4" i="7"/>
  <c r="BH4" i="7"/>
  <c r="BI4" i="7"/>
  <c r="BJ4" i="7"/>
  <c r="BK4" i="7"/>
  <c r="BL4" i="7"/>
  <c r="BM4" i="7"/>
  <c r="BN4" i="7"/>
  <c r="BO4" i="7"/>
  <c r="BP4" i="7"/>
  <c r="BQ4" i="7"/>
  <c r="BR4" i="7"/>
  <c r="BS4" i="7"/>
  <c r="BT4" i="7"/>
  <c r="BU4" i="7"/>
  <c r="BV4" i="7"/>
  <c r="BW4" i="7"/>
  <c r="BX4" i="7"/>
  <c r="BY4" i="7"/>
  <c r="BZ4" i="7"/>
  <c r="CA4" i="7"/>
  <c r="BC5" i="7"/>
  <c r="BD5" i="7"/>
  <c r="BE5" i="7"/>
  <c r="BF5" i="7"/>
  <c r="BG5" i="7"/>
  <c r="BH5" i="7"/>
  <c r="BI5" i="7"/>
  <c r="BJ5" i="7"/>
  <c r="BK5" i="7"/>
  <c r="BL5" i="7"/>
  <c r="BM5" i="7"/>
  <c r="BN5" i="7"/>
  <c r="BO5" i="7"/>
  <c r="BP5" i="7"/>
  <c r="BQ5" i="7"/>
  <c r="BR5" i="7"/>
  <c r="BS5" i="7"/>
  <c r="BT5" i="7"/>
  <c r="BU5" i="7"/>
  <c r="BV5" i="7"/>
  <c r="BW5" i="7"/>
  <c r="BX5" i="7"/>
  <c r="BY5" i="7"/>
  <c r="BZ5" i="7"/>
  <c r="CA5" i="7"/>
  <c r="BC6" i="7"/>
  <c r="BD6" i="7"/>
  <c r="BE6" i="7"/>
  <c r="BF6" i="7"/>
  <c r="BG6" i="7"/>
  <c r="BH6" i="7"/>
  <c r="BI6" i="7"/>
  <c r="BJ6" i="7"/>
  <c r="BK6" i="7"/>
  <c r="BL6" i="7"/>
  <c r="BM6" i="7"/>
  <c r="BN6" i="7"/>
  <c r="BO6" i="7"/>
  <c r="BP6" i="7"/>
  <c r="BQ6" i="7"/>
  <c r="BR6" i="7"/>
  <c r="BS6" i="7"/>
  <c r="BT6" i="7"/>
  <c r="BU6" i="7"/>
  <c r="BV6" i="7"/>
  <c r="BW6" i="7"/>
  <c r="BX6" i="7"/>
  <c r="BY6" i="7"/>
  <c r="BZ6" i="7"/>
  <c r="CA6" i="7"/>
  <c r="BC7" i="7"/>
  <c r="BD7" i="7"/>
  <c r="BE7" i="7"/>
  <c r="BF7" i="7"/>
  <c r="BG7" i="7"/>
  <c r="BH7" i="7"/>
  <c r="BI7" i="7"/>
  <c r="BJ7" i="7"/>
  <c r="BK7" i="7"/>
  <c r="BL7" i="7"/>
  <c r="BM7" i="7"/>
  <c r="BN7" i="7"/>
  <c r="BO7" i="7"/>
  <c r="BP7" i="7"/>
  <c r="BQ7" i="7"/>
  <c r="BR7" i="7"/>
  <c r="BS7" i="7"/>
  <c r="BT7" i="7"/>
  <c r="BU7" i="7"/>
  <c r="BV7" i="7"/>
  <c r="BW7" i="7"/>
  <c r="BX7" i="7"/>
  <c r="BY7" i="7"/>
  <c r="BZ7" i="7"/>
  <c r="CA7" i="7"/>
  <c r="BC8" i="7"/>
  <c r="BD8" i="7"/>
  <c r="BE8" i="7"/>
  <c r="BF8" i="7"/>
  <c r="BG8" i="7"/>
  <c r="BH8" i="7"/>
  <c r="BI8" i="7"/>
  <c r="BJ8" i="7"/>
  <c r="BK8" i="7"/>
  <c r="BL8" i="7"/>
  <c r="BM8" i="7"/>
  <c r="BN8" i="7"/>
  <c r="BO8" i="7"/>
  <c r="BP8" i="7"/>
  <c r="BQ8" i="7"/>
  <c r="BR8" i="7"/>
  <c r="BS8" i="7"/>
  <c r="BT8" i="7"/>
  <c r="BU8" i="7"/>
  <c r="BV8" i="7"/>
  <c r="BW8" i="7"/>
  <c r="BX8" i="7"/>
  <c r="BY8" i="7"/>
  <c r="BZ8" i="7"/>
  <c r="CA8" i="7"/>
  <c r="BC9" i="7"/>
  <c r="BD9" i="7"/>
  <c r="BE9" i="7"/>
  <c r="BF9" i="7"/>
  <c r="BG9" i="7"/>
  <c r="BH9" i="7"/>
  <c r="BI9" i="7"/>
  <c r="BJ9" i="7"/>
  <c r="BK9" i="7"/>
  <c r="BL9" i="7"/>
  <c r="BM9" i="7"/>
  <c r="BN9" i="7"/>
  <c r="BO9" i="7"/>
  <c r="BP9" i="7"/>
  <c r="BQ9" i="7"/>
  <c r="BR9" i="7"/>
  <c r="BS9" i="7"/>
  <c r="BT9" i="7"/>
  <c r="BU9" i="7"/>
  <c r="BV9" i="7"/>
  <c r="BW9" i="7"/>
  <c r="BX9" i="7"/>
  <c r="BY9" i="7"/>
  <c r="BZ9" i="7"/>
  <c r="CA9" i="7"/>
  <c r="BC10" i="7"/>
  <c r="BD10" i="7"/>
  <c r="BE10" i="7"/>
  <c r="BF10" i="7"/>
  <c r="BG10" i="7"/>
  <c r="BH10" i="7"/>
  <c r="BI10" i="7"/>
  <c r="BJ10" i="7"/>
  <c r="BK10" i="7"/>
  <c r="BL10" i="7"/>
  <c r="BM10" i="7"/>
  <c r="BN10" i="7"/>
  <c r="BO10" i="7"/>
  <c r="BP10" i="7"/>
  <c r="BQ10" i="7"/>
  <c r="BR10" i="7"/>
  <c r="BS10" i="7"/>
  <c r="BT10" i="7"/>
  <c r="BU10" i="7"/>
  <c r="BV10" i="7"/>
  <c r="BW10" i="7"/>
  <c r="BX10" i="7"/>
  <c r="BY10" i="7"/>
  <c r="BZ10" i="7"/>
  <c r="CA10" i="7"/>
  <c r="BC11" i="7"/>
  <c r="BD11" i="7"/>
  <c r="BE11" i="7"/>
  <c r="BF11" i="7"/>
  <c r="BG11" i="7"/>
  <c r="BH11" i="7"/>
  <c r="BI11" i="7"/>
  <c r="BJ11" i="7"/>
  <c r="BK11" i="7"/>
  <c r="BL11" i="7"/>
  <c r="BM11" i="7"/>
  <c r="BN11" i="7"/>
  <c r="BO11" i="7"/>
  <c r="BP11" i="7"/>
  <c r="BQ11" i="7"/>
  <c r="BR11" i="7"/>
  <c r="BS11" i="7"/>
  <c r="BT11" i="7"/>
  <c r="BU11" i="7"/>
  <c r="BV11" i="7"/>
  <c r="BW11" i="7"/>
  <c r="BX11" i="7"/>
  <c r="BY11" i="7"/>
  <c r="BZ11" i="7"/>
  <c r="CA11" i="7"/>
  <c r="BC12" i="7"/>
  <c r="BD12" i="7"/>
  <c r="BE12" i="7"/>
  <c r="BF12" i="7"/>
  <c r="BG12" i="7"/>
  <c r="BH12" i="7"/>
  <c r="BI12" i="7"/>
  <c r="BJ12" i="7"/>
  <c r="BK12" i="7"/>
  <c r="BL12" i="7"/>
  <c r="BM12" i="7"/>
  <c r="BN12" i="7"/>
  <c r="BO12" i="7"/>
  <c r="BP12" i="7"/>
  <c r="BQ12" i="7"/>
  <c r="BR12" i="7"/>
  <c r="BS12" i="7"/>
  <c r="BT12" i="7"/>
  <c r="BU12" i="7"/>
  <c r="BV12" i="7"/>
  <c r="BW12" i="7"/>
  <c r="BX12" i="7"/>
  <c r="BY12" i="7"/>
  <c r="BZ12" i="7"/>
  <c r="CA12" i="7"/>
  <c r="BC13" i="7"/>
  <c r="BD13" i="7"/>
  <c r="BE13" i="7"/>
  <c r="BF13" i="7"/>
  <c r="BG13" i="7"/>
  <c r="BH13" i="7"/>
  <c r="BI13" i="7"/>
  <c r="BJ13" i="7"/>
  <c r="BK13" i="7"/>
  <c r="BL13" i="7"/>
  <c r="BM13" i="7"/>
  <c r="BN13" i="7"/>
  <c r="BO13" i="7"/>
  <c r="BP13" i="7"/>
  <c r="BQ13" i="7"/>
  <c r="BR13" i="7"/>
  <c r="BS13" i="7"/>
  <c r="BT13" i="7"/>
  <c r="BU13" i="7"/>
  <c r="BV13" i="7"/>
  <c r="BW13" i="7"/>
  <c r="BX13" i="7"/>
  <c r="BY13" i="7"/>
  <c r="BZ13" i="7"/>
  <c r="CA13" i="7"/>
  <c r="BC14" i="7"/>
  <c r="BD14" i="7"/>
  <c r="BE14" i="7"/>
  <c r="BF14" i="7"/>
  <c r="BG14" i="7"/>
  <c r="BH14" i="7"/>
  <c r="BI14" i="7"/>
  <c r="BJ14" i="7"/>
  <c r="BK14" i="7"/>
  <c r="BL14" i="7"/>
  <c r="BM14" i="7"/>
  <c r="BN14" i="7"/>
  <c r="BO14" i="7"/>
  <c r="BP14" i="7"/>
  <c r="BQ14" i="7"/>
  <c r="BR14" i="7"/>
  <c r="BS14" i="7"/>
  <c r="BT14" i="7"/>
  <c r="BU14" i="7"/>
  <c r="BV14" i="7"/>
  <c r="BW14" i="7"/>
  <c r="BX14" i="7"/>
  <c r="BY14" i="7"/>
  <c r="BZ14" i="7"/>
  <c r="CA14" i="7"/>
  <c r="BC15" i="7"/>
  <c r="BD15" i="7"/>
  <c r="BE15" i="7"/>
  <c r="BF15" i="7"/>
  <c r="BG15" i="7"/>
  <c r="BH15" i="7"/>
  <c r="BI15" i="7"/>
  <c r="BJ15" i="7"/>
  <c r="BK15" i="7"/>
  <c r="BL15" i="7"/>
  <c r="BM15" i="7"/>
  <c r="BN15" i="7"/>
  <c r="BO15" i="7"/>
  <c r="BP15" i="7"/>
  <c r="BQ15" i="7"/>
  <c r="BR15" i="7"/>
  <c r="BS15" i="7"/>
  <c r="BT15" i="7"/>
  <c r="BU15" i="7"/>
  <c r="BV15" i="7"/>
  <c r="BW15" i="7"/>
  <c r="BX15" i="7"/>
  <c r="BY15" i="7"/>
  <c r="BZ15" i="7"/>
  <c r="CA15" i="7"/>
  <c r="BC16" i="7"/>
  <c r="BD16" i="7"/>
  <c r="BE16" i="7"/>
  <c r="BF16" i="7"/>
  <c r="BG16" i="7"/>
  <c r="BH16" i="7"/>
  <c r="BI16" i="7"/>
  <c r="BJ16" i="7"/>
  <c r="BK16" i="7"/>
  <c r="BL16" i="7"/>
  <c r="BM16" i="7"/>
  <c r="BN16" i="7"/>
  <c r="BO16" i="7"/>
  <c r="BP16" i="7"/>
  <c r="BQ16" i="7"/>
  <c r="BR16" i="7"/>
  <c r="BS16" i="7"/>
  <c r="BT16" i="7"/>
  <c r="BU16" i="7"/>
  <c r="BV16" i="7"/>
  <c r="BW16" i="7"/>
  <c r="BX16" i="7"/>
  <c r="BY16" i="7"/>
  <c r="BZ16" i="7"/>
  <c r="CA16" i="7"/>
  <c r="BC17" i="7"/>
  <c r="BD17" i="7"/>
  <c r="BE17" i="7"/>
  <c r="BF17" i="7"/>
  <c r="BG17" i="7"/>
  <c r="BH17" i="7"/>
  <c r="BI17" i="7"/>
  <c r="BJ17" i="7"/>
  <c r="BK17" i="7"/>
  <c r="BL17" i="7"/>
  <c r="BM17" i="7"/>
  <c r="BN17" i="7"/>
  <c r="BO17" i="7"/>
  <c r="BP17" i="7"/>
  <c r="BQ17" i="7"/>
  <c r="BR17" i="7"/>
  <c r="BS17" i="7"/>
  <c r="BT17" i="7"/>
  <c r="BU17" i="7"/>
  <c r="BV17" i="7"/>
  <c r="BW17" i="7"/>
  <c r="BX17" i="7"/>
  <c r="BY17" i="7"/>
  <c r="BZ17" i="7"/>
  <c r="CA17" i="7"/>
  <c r="BC18" i="7"/>
  <c r="BD18" i="7"/>
  <c r="BE18" i="7"/>
  <c r="BF18" i="7"/>
  <c r="BG18" i="7"/>
  <c r="BH18" i="7"/>
  <c r="BI18" i="7"/>
  <c r="BJ18" i="7"/>
  <c r="BK18" i="7"/>
  <c r="BL18" i="7"/>
  <c r="BM18" i="7"/>
  <c r="BN18" i="7"/>
  <c r="BO18" i="7"/>
  <c r="BP18" i="7"/>
  <c r="BQ18" i="7"/>
  <c r="BR18" i="7"/>
  <c r="BS18" i="7"/>
  <c r="BT18" i="7"/>
  <c r="BU18" i="7"/>
  <c r="BV18" i="7"/>
  <c r="BW18" i="7"/>
  <c r="BX18" i="7"/>
  <c r="BY18" i="7"/>
  <c r="BZ18" i="7"/>
  <c r="CA18" i="7"/>
  <c r="BC19" i="7"/>
  <c r="BD19" i="7"/>
  <c r="BE19" i="7"/>
  <c r="BF19" i="7"/>
  <c r="BG19" i="7"/>
  <c r="BH19" i="7"/>
  <c r="BI19" i="7"/>
  <c r="BJ19" i="7"/>
  <c r="BK19" i="7"/>
  <c r="BL19" i="7"/>
  <c r="BM19" i="7"/>
  <c r="BN19" i="7"/>
  <c r="BO19" i="7"/>
  <c r="BP19" i="7"/>
  <c r="BQ19" i="7"/>
  <c r="BR19" i="7"/>
  <c r="BS19" i="7"/>
  <c r="BT19" i="7"/>
  <c r="BU19" i="7"/>
  <c r="BV19" i="7"/>
  <c r="BW19" i="7"/>
  <c r="BX19" i="7"/>
  <c r="BY19" i="7"/>
  <c r="BZ19" i="7"/>
  <c r="CA19" i="7"/>
  <c r="BC20" i="7"/>
  <c r="BD20" i="7"/>
  <c r="BE20" i="7"/>
  <c r="BF20" i="7"/>
  <c r="BG20" i="7"/>
  <c r="BH20" i="7"/>
  <c r="BI20" i="7"/>
  <c r="BJ20" i="7"/>
  <c r="BK20" i="7"/>
  <c r="BL20" i="7"/>
  <c r="BM20" i="7"/>
  <c r="BN20" i="7"/>
  <c r="BO20" i="7"/>
  <c r="BP20" i="7"/>
  <c r="BQ20" i="7"/>
  <c r="BR20" i="7"/>
  <c r="BS20" i="7"/>
  <c r="BT20" i="7"/>
  <c r="BU20" i="7"/>
  <c r="BV20" i="7"/>
  <c r="BW20" i="7"/>
  <c r="BX20" i="7"/>
  <c r="BY20" i="7"/>
  <c r="BZ20" i="7"/>
  <c r="CA20" i="7"/>
  <c r="BC21" i="7"/>
  <c r="BD21" i="7"/>
  <c r="BE21" i="7"/>
  <c r="BF21" i="7"/>
  <c r="BG21" i="7"/>
  <c r="BH21" i="7"/>
  <c r="BI21" i="7"/>
  <c r="BJ21" i="7"/>
  <c r="BK21" i="7"/>
  <c r="BL21" i="7"/>
  <c r="BM21" i="7"/>
  <c r="BN21" i="7"/>
  <c r="BO21" i="7"/>
  <c r="BP21" i="7"/>
  <c r="BQ21" i="7"/>
  <c r="BR21" i="7"/>
  <c r="BS21" i="7"/>
  <c r="BT21" i="7"/>
  <c r="BU21" i="7"/>
  <c r="BV21" i="7"/>
  <c r="BW21" i="7"/>
  <c r="BX21" i="7"/>
  <c r="BY21" i="7"/>
  <c r="BZ21" i="7"/>
  <c r="CA21" i="7"/>
  <c r="BC22" i="7"/>
  <c r="BD22" i="7"/>
  <c r="BE22" i="7"/>
  <c r="BF22" i="7"/>
  <c r="BG22" i="7"/>
  <c r="BH22" i="7"/>
  <c r="BI22" i="7"/>
  <c r="BJ22" i="7"/>
  <c r="BK22" i="7"/>
  <c r="BL22" i="7"/>
  <c r="BM22" i="7"/>
  <c r="BN22" i="7"/>
  <c r="BO22" i="7"/>
  <c r="BP22" i="7"/>
  <c r="BQ22" i="7"/>
  <c r="BR22" i="7"/>
  <c r="BS22" i="7"/>
  <c r="BT22" i="7"/>
  <c r="BU22" i="7"/>
  <c r="BV22" i="7"/>
  <c r="BW22" i="7"/>
  <c r="BX22" i="7"/>
  <c r="BY22" i="7"/>
  <c r="BZ22" i="7"/>
  <c r="CA22" i="7"/>
  <c r="BC23" i="7"/>
  <c r="BD23" i="7"/>
  <c r="BE23" i="7"/>
  <c r="BF23" i="7"/>
  <c r="BG23" i="7"/>
  <c r="BH23" i="7"/>
  <c r="BI23" i="7"/>
  <c r="BJ23" i="7"/>
  <c r="BK23" i="7"/>
  <c r="BL23" i="7"/>
  <c r="BM23" i="7"/>
  <c r="BN23" i="7"/>
  <c r="BO23" i="7"/>
  <c r="BP23" i="7"/>
  <c r="BQ23" i="7"/>
  <c r="BR23" i="7"/>
  <c r="BS23" i="7"/>
  <c r="BT23" i="7"/>
  <c r="BU23" i="7"/>
  <c r="BV23" i="7"/>
  <c r="BW23" i="7"/>
  <c r="BX23" i="7"/>
  <c r="BY23" i="7"/>
  <c r="BZ23" i="7"/>
  <c r="CA23" i="7"/>
  <c r="BC24" i="7"/>
  <c r="BD24" i="7"/>
  <c r="BE24" i="7"/>
  <c r="BF24" i="7"/>
  <c r="BG24" i="7"/>
  <c r="BH24" i="7"/>
  <c r="BI24" i="7"/>
  <c r="BJ24" i="7"/>
  <c r="BK24" i="7"/>
  <c r="BL24" i="7"/>
  <c r="BM24" i="7"/>
  <c r="BN24" i="7"/>
  <c r="BO24" i="7"/>
  <c r="BP24" i="7"/>
  <c r="BQ24" i="7"/>
  <c r="BR24" i="7"/>
  <c r="BS24" i="7"/>
  <c r="BT24" i="7"/>
  <c r="BU24" i="7"/>
  <c r="BV24" i="7"/>
  <c r="BW24" i="7"/>
  <c r="BX24" i="7"/>
  <c r="BY24" i="7"/>
  <c r="BZ24" i="7"/>
  <c r="CA24" i="7"/>
  <c r="BC25" i="7"/>
  <c r="BD25" i="7"/>
  <c r="BE25" i="7"/>
  <c r="BF25" i="7"/>
  <c r="BG25" i="7"/>
  <c r="BH25" i="7"/>
  <c r="BI25" i="7"/>
  <c r="BJ25" i="7"/>
  <c r="BK25" i="7"/>
  <c r="BL25" i="7"/>
  <c r="BM25" i="7"/>
  <c r="BN25" i="7"/>
  <c r="BO25" i="7"/>
  <c r="BP25" i="7"/>
  <c r="BQ25" i="7"/>
  <c r="BR25" i="7"/>
  <c r="BS25" i="7"/>
  <c r="BT25" i="7"/>
  <c r="BU25" i="7"/>
  <c r="BV25" i="7"/>
  <c r="BW25" i="7"/>
  <c r="BX25" i="7"/>
  <c r="BY25" i="7"/>
  <c r="BZ25" i="7"/>
  <c r="CA25" i="7"/>
  <c r="BC26" i="7"/>
  <c r="BD26" i="7"/>
  <c r="BE26" i="7"/>
  <c r="BF26" i="7"/>
  <c r="BG26" i="7"/>
  <c r="BH26" i="7"/>
  <c r="BI26" i="7"/>
  <c r="BJ26" i="7"/>
  <c r="BK26" i="7"/>
  <c r="BL26" i="7"/>
  <c r="BM26" i="7"/>
  <c r="BN26" i="7"/>
  <c r="BO26" i="7"/>
  <c r="BP26" i="7"/>
  <c r="BQ26" i="7"/>
  <c r="BR26" i="7"/>
  <c r="BS26" i="7"/>
  <c r="BT26" i="7"/>
  <c r="BU26" i="7"/>
  <c r="BV26" i="7"/>
  <c r="BW26" i="7"/>
  <c r="BX26" i="7"/>
  <c r="BY26" i="7"/>
  <c r="BZ26" i="7"/>
  <c r="CA26" i="7"/>
  <c r="BC27" i="7"/>
  <c r="BD27" i="7"/>
  <c r="BE27" i="7"/>
  <c r="BF27" i="7"/>
  <c r="BG27" i="7"/>
  <c r="BH27" i="7"/>
  <c r="BI27" i="7"/>
  <c r="BJ27" i="7"/>
  <c r="BK27" i="7"/>
  <c r="BL27" i="7"/>
  <c r="BM27" i="7"/>
  <c r="BN27" i="7"/>
  <c r="BO27" i="7"/>
  <c r="BP27" i="7"/>
  <c r="BQ27" i="7"/>
  <c r="BR27" i="7"/>
  <c r="BS27" i="7"/>
  <c r="BT27" i="7"/>
  <c r="BU27" i="7"/>
  <c r="BV27" i="7"/>
  <c r="BW27" i="7"/>
  <c r="BX27" i="7"/>
  <c r="BY27" i="7"/>
  <c r="BZ27" i="7"/>
  <c r="CA27" i="7"/>
  <c r="BC28" i="7"/>
  <c r="BD28" i="7"/>
  <c r="BE28" i="7"/>
  <c r="BF28" i="7"/>
  <c r="BG28" i="7"/>
  <c r="BH28" i="7"/>
  <c r="BI28" i="7"/>
  <c r="BJ28" i="7"/>
  <c r="BK28" i="7"/>
  <c r="BL28" i="7"/>
  <c r="BM28" i="7"/>
  <c r="BN28" i="7"/>
  <c r="BO28" i="7"/>
  <c r="BP28" i="7"/>
  <c r="BQ28" i="7"/>
  <c r="BR28" i="7"/>
  <c r="BS28" i="7"/>
  <c r="BT28" i="7"/>
  <c r="BU28" i="7"/>
  <c r="BV28" i="7"/>
  <c r="BW28" i="7"/>
  <c r="BX28" i="7"/>
  <c r="BY28" i="7"/>
  <c r="BZ28" i="7"/>
  <c r="CA28" i="7"/>
  <c r="BC29" i="7"/>
  <c r="BD29" i="7"/>
  <c r="BE29" i="7"/>
  <c r="BF29" i="7"/>
  <c r="BG29" i="7"/>
  <c r="BH29" i="7"/>
  <c r="BI29" i="7"/>
  <c r="BJ29" i="7"/>
  <c r="BK29" i="7"/>
  <c r="BL29" i="7"/>
  <c r="BM29" i="7"/>
  <c r="BN29" i="7"/>
  <c r="BO29" i="7"/>
  <c r="BP29" i="7"/>
  <c r="BQ29" i="7"/>
  <c r="BR29" i="7"/>
  <c r="BS29" i="7"/>
  <c r="BT29" i="7"/>
  <c r="BU29" i="7"/>
  <c r="BV29" i="7"/>
  <c r="BW29" i="7"/>
  <c r="BX29" i="7"/>
  <c r="BY29" i="7"/>
  <c r="BZ29" i="7"/>
  <c r="CA29" i="7"/>
  <c r="BC30" i="7"/>
  <c r="BD30" i="7"/>
  <c r="BE30" i="7"/>
  <c r="BF30" i="7"/>
  <c r="BG30" i="7"/>
  <c r="BH30" i="7"/>
  <c r="BI30" i="7"/>
  <c r="BJ30" i="7"/>
  <c r="BK30" i="7"/>
  <c r="BL30" i="7"/>
  <c r="BM30" i="7"/>
  <c r="BN30" i="7"/>
  <c r="BO30" i="7"/>
  <c r="BP30" i="7"/>
  <c r="BQ30" i="7"/>
  <c r="BR30" i="7"/>
  <c r="BS30" i="7"/>
  <c r="BT30" i="7"/>
  <c r="BU30" i="7"/>
  <c r="BV30" i="7"/>
  <c r="BW30" i="7"/>
  <c r="BX30" i="7"/>
  <c r="BY30" i="7"/>
  <c r="BZ30" i="7"/>
  <c r="CA30" i="7"/>
  <c r="BC31" i="7"/>
  <c r="BD31" i="7"/>
  <c r="BE31" i="7"/>
  <c r="BF31" i="7"/>
  <c r="BG31" i="7"/>
  <c r="BH31" i="7"/>
  <c r="BI31" i="7"/>
  <c r="BJ31" i="7"/>
  <c r="BK31" i="7"/>
  <c r="BL31" i="7"/>
  <c r="BM31" i="7"/>
  <c r="BN31" i="7"/>
  <c r="BO31" i="7"/>
  <c r="BP31" i="7"/>
  <c r="BQ31" i="7"/>
  <c r="BR31" i="7"/>
  <c r="BS31" i="7"/>
  <c r="BT31" i="7"/>
  <c r="BU31" i="7"/>
  <c r="BV31" i="7"/>
  <c r="BW31" i="7"/>
  <c r="BX31" i="7"/>
  <c r="BY31" i="7"/>
  <c r="BZ31" i="7"/>
  <c r="CA31" i="7"/>
  <c r="BC32" i="7"/>
  <c r="BD32" i="7"/>
  <c r="BE32" i="7"/>
  <c r="BF32" i="7"/>
  <c r="BG32" i="7"/>
  <c r="BH32" i="7"/>
  <c r="BI32" i="7"/>
  <c r="BJ32" i="7"/>
  <c r="BK32" i="7"/>
  <c r="BL32" i="7"/>
  <c r="BM32" i="7"/>
  <c r="BN32" i="7"/>
  <c r="BO32" i="7"/>
  <c r="BP32" i="7"/>
  <c r="BQ32" i="7"/>
  <c r="BR32" i="7"/>
  <c r="BS32" i="7"/>
  <c r="BT32" i="7"/>
  <c r="BU32" i="7"/>
  <c r="BV32" i="7"/>
  <c r="BW32" i="7"/>
  <c r="BX32" i="7"/>
  <c r="BY32" i="7"/>
  <c r="BZ32" i="7"/>
  <c r="CA32" i="7"/>
  <c r="BC33" i="7"/>
  <c r="BD33" i="7"/>
  <c r="BE33" i="7"/>
  <c r="BF33" i="7"/>
  <c r="BG33" i="7"/>
  <c r="BH33" i="7"/>
  <c r="BI33" i="7"/>
  <c r="BJ33" i="7"/>
  <c r="BK33" i="7"/>
  <c r="BL33" i="7"/>
  <c r="BM33" i="7"/>
  <c r="BN33" i="7"/>
  <c r="BO33" i="7"/>
  <c r="BP33" i="7"/>
  <c r="BQ33" i="7"/>
  <c r="BR33" i="7"/>
  <c r="BS33" i="7"/>
  <c r="BT33" i="7"/>
  <c r="BU33" i="7"/>
  <c r="BV33" i="7"/>
  <c r="BW33" i="7"/>
  <c r="BX33" i="7"/>
  <c r="BY33" i="7"/>
  <c r="BZ33" i="7"/>
  <c r="CA33" i="7"/>
  <c r="BC34" i="7"/>
  <c r="BD34" i="7"/>
  <c r="BE34" i="7"/>
  <c r="BF34" i="7"/>
  <c r="BG34" i="7"/>
  <c r="BH34" i="7"/>
  <c r="BI34" i="7"/>
  <c r="BJ34" i="7"/>
  <c r="BK34" i="7"/>
  <c r="BL34" i="7"/>
  <c r="BM34" i="7"/>
  <c r="BN34" i="7"/>
  <c r="BO34" i="7"/>
  <c r="BP34" i="7"/>
  <c r="BQ34" i="7"/>
  <c r="BR34" i="7"/>
  <c r="BS34" i="7"/>
  <c r="BT34" i="7"/>
  <c r="BU34" i="7"/>
  <c r="BV34" i="7"/>
  <c r="BW34" i="7"/>
  <c r="BX34" i="7"/>
  <c r="BY34" i="7"/>
  <c r="BZ34" i="7"/>
  <c r="CA34" i="7"/>
  <c r="BC35" i="7"/>
  <c r="BD35" i="7"/>
  <c r="BE35" i="7"/>
  <c r="BF35" i="7"/>
  <c r="BG35" i="7"/>
  <c r="BH35" i="7"/>
  <c r="BI35" i="7"/>
  <c r="BJ35" i="7"/>
  <c r="BK35" i="7"/>
  <c r="BL35" i="7"/>
  <c r="BM35" i="7"/>
  <c r="BN35" i="7"/>
  <c r="BO35" i="7"/>
  <c r="BP35" i="7"/>
  <c r="BQ35" i="7"/>
  <c r="BR35" i="7"/>
  <c r="BS35" i="7"/>
  <c r="BT35" i="7"/>
  <c r="BU35" i="7"/>
  <c r="BV35" i="7"/>
  <c r="BW35" i="7"/>
  <c r="BX35" i="7"/>
  <c r="BY35" i="7"/>
  <c r="BZ35" i="7"/>
  <c r="CA35" i="7"/>
  <c r="BC36" i="7"/>
  <c r="BD36" i="7"/>
  <c r="BE36" i="7"/>
  <c r="BF36" i="7"/>
  <c r="BG36" i="7"/>
  <c r="BH36" i="7"/>
  <c r="BI36" i="7"/>
  <c r="BJ36" i="7"/>
  <c r="BK36" i="7"/>
  <c r="BL36" i="7"/>
  <c r="BM36" i="7"/>
  <c r="BN36" i="7"/>
  <c r="BO36" i="7"/>
  <c r="BP36" i="7"/>
  <c r="BQ36" i="7"/>
  <c r="BR36" i="7"/>
  <c r="BS36" i="7"/>
  <c r="BT36" i="7"/>
  <c r="BU36" i="7"/>
  <c r="BV36" i="7"/>
  <c r="BW36" i="7"/>
  <c r="BX36" i="7"/>
  <c r="BY36" i="7"/>
  <c r="BZ36" i="7"/>
  <c r="CA36" i="7"/>
  <c r="BC37" i="7"/>
  <c r="BD37" i="7"/>
  <c r="BE37" i="7"/>
  <c r="BF37" i="7"/>
  <c r="BG37" i="7"/>
  <c r="BH37" i="7"/>
  <c r="BI37" i="7"/>
  <c r="BJ37" i="7"/>
  <c r="BK37" i="7"/>
  <c r="BL37" i="7"/>
  <c r="BM37" i="7"/>
  <c r="BN37" i="7"/>
  <c r="BO37" i="7"/>
  <c r="BP37" i="7"/>
  <c r="BQ37" i="7"/>
  <c r="BR37" i="7"/>
  <c r="BS37" i="7"/>
  <c r="BT37" i="7"/>
  <c r="BU37" i="7"/>
  <c r="BV37" i="7"/>
  <c r="BW37" i="7"/>
  <c r="BX37" i="7"/>
  <c r="BY37" i="7"/>
  <c r="BZ37" i="7"/>
  <c r="CA37" i="7"/>
  <c r="BC38" i="7"/>
  <c r="BD38" i="7"/>
  <c r="BE38" i="7"/>
  <c r="BF38" i="7"/>
  <c r="BG38" i="7"/>
  <c r="BH38" i="7"/>
  <c r="BI38" i="7"/>
  <c r="BJ38" i="7"/>
  <c r="BK38" i="7"/>
  <c r="BL38" i="7"/>
  <c r="BM38" i="7"/>
  <c r="BN38" i="7"/>
  <c r="BO38" i="7"/>
  <c r="BP38" i="7"/>
  <c r="BQ38" i="7"/>
  <c r="BR38" i="7"/>
  <c r="BS38" i="7"/>
  <c r="BT38" i="7"/>
  <c r="BU38" i="7"/>
  <c r="BV38" i="7"/>
  <c r="BW38" i="7"/>
  <c r="BX38" i="7"/>
  <c r="BY38" i="7"/>
  <c r="BZ38" i="7"/>
  <c r="CA38" i="7"/>
  <c r="BC39" i="7"/>
  <c r="BD39" i="7"/>
  <c r="BE39" i="7"/>
  <c r="BF39" i="7"/>
  <c r="BG39" i="7"/>
  <c r="BH39" i="7"/>
  <c r="BI39" i="7"/>
  <c r="BJ39" i="7"/>
  <c r="BK39" i="7"/>
  <c r="BL39" i="7"/>
  <c r="BM39" i="7"/>
  <c r="BN39" i="7"/>
  <c r="BO39" i="7"/>
  <c r="BP39" i="7"/>
  <c r="BQ39" i="7"/>
  <c r="BR39" i="7"/>
  <c r="BS39" i="7"/>
  <c r="BT39" i="7"/>
  <c r="BU39" i="7"/>
  <c r="BV39" i="7"/>
  <c r="BW39" i="7"/>
  <c r="BX39" i="7"/>
  <c r="BY39" i="7"/>
  <c r="BZ39" i="7"/>
  <c r="CA39" i="7"/>
  <c r="BC40" i="7"/>
  <c r="BD40" i="7"/>
  <c r="BE40" i="7"/>
  <c r="BF40" i="7"/>
  <c r="BG40" i="7"/>
  <c r="BH40" i="7"/>
  <c r="BI40" i="7"/>
  <c r="BJ40" i="7"/>
  <c r="BK40" i="7"/>
  <c r="BL40" i="7"/>
  <c r="BM40" i="7"/>
  <c r="BN40" i="7"/>
  <c r="BO40" i="7"/>
  <c r="BP40" i="7"/>
  <c r="BQ40" i="7"/>
  <c r="BR40" i="7"/>
  <c r="BS40" i="7"/>
  <c r="BT40" i="7"/>
  <c r="BU40" i="7"/>
  <c r="BV40" i="7"/>
  <c r="BW40" i="7"/>
  <c r="BX40" i="7"/>
  <c r="BY40" i="7"/>
  <c r="BZ40" i="7"/>
  <c r="CA40" i="7"/>
  <c r="BC41" i="7"/>
  <c r="BD41" i="7"/>
  <c r="BE41" i="7"/>
  <c r="BF41" i="7"/>
  <c r="BG41" i="7"/>
  <c r="BH41" i="7"/>
  <c r="BI41" i="7"/>
  <c r="BJ41" i="7"/>
  <c r="BK41" i="7"/>
  <c r="BL41" i="7"/>
  <c r="BM41" i="7"/>
  <c r="BN41" i="7"/>
  <c r="BO41" i="7"/>
  <c r="BP41" i="7"/>
  <c r="BQ41" i="7"/>
  <c r="BR41" i="7"/>
  <c r="BS41" i="7"/>
  <c r="BT41" i="7"/>
  <c r="BU41" i="7"/>
  <c r="BV41" i="7"/>
  <c r="BW41" i="7"/>
  <c r="BX41" i="7"/>
  <c r="BY41" i="7"/>
  <c r="BZ41" i="7"/>
  <c r="CA41" i="7"/>
  <c r="BC42" i="7"/>
  <c r="BD42" i="7"/>
  <c r="BE42" i="7"/>
  <c r="BF42" i="7"/>
  <c r="BG42" i="7"/>
  <c r="BH42" i="7"/>
  <c r="BI42" i="7"/>
  <c r="BJ42" i="7"/>
  <c r="BK42" i="7"/>
  <c r="BL42" i="7"/>
  <c r="BM42" i="7"/>
  <c r="BN42" i="7"/>
  <c r="BO42" i="7"/>
  <c r="BP42" i="7"/>
  <c r="BQ42" i="7"/>
  <c r="BR42" i="7"/>
  <c r="BS42" i="7"/>
  <c r="BT42" i="7"/>
  <c r="BU42" i="7"/>
  <c r="BV42" i="7"/>
  <c r="BW42" i="7"/>
  <c r="BX42" i="7"/>
  <c r="BY42" i="7"/>
  <c r="BZ42" i="7"/>
  <c r="CA42" i="7"/>
  <c r="BC43" i="7"/>
  <c r="BD43" i="7"/>
  <c r="BE43" i="7"/>
  <c r="BF43" i="7"/>
  <c r="BG43" i="7"/>
  <c r="BH43" i="7"/>
  <c r="BI43" i="7"/>
  <c r="BJ43" i="7"/>
  <c r="BK43" i="7"/>
  <c r="BL43" i="7"/>
  <c r="BM43" i="7"/>
  <c r="BN43" i="7"/>
  <c r="BO43" i="7"/>
  <c r="BP43" i="7"/>
  <c r="BQ43" i="7"/>
  <c r="BR43" i="7"/>
  <c r="BS43" i="7"/>
  <c r="BT43" i="7"/>
  <c r="BU43" i="7"/>
  <c r="BV43" i="7"/>
  <c r="BW43" i="7"/>
  <c r="BX43" i="7"/>
  <c r="BY43" i="7"/>
  <c r="BZ43" i="7"/>
  <c r="CA43" i="7"/>
  <c r="BC44" i="7"/>
  <c r="BD44" i="7"/>
  <c r="BE44" i="7"/>
  <c r="BF44" i="7"/>
  <c r="BG44" i="7"/>
  <c r="BH44" i="7"/>
  <c r="BI44" i="7"/>
  <c r="BJ44" i="7"/>
  <c r="BK44" i="7"/>
  <c r="BL44" i="7"/>
  <c r="BM44" i="7"/>
  <c r="BN44" i="7"/>
  <c r="BO44" i="7"/>
  <c r="BP44" i="7"/>
  <c r="BQ44" i="7"/>
  <c r="BR44" i="7"/>
  <c r="BS44" i="7"/>
  <c r="BT44" i="7"/>
  <c r="BU44" i="7"/>
  <c r="BV44" i="7"/>
  <c r="BW44" i="7"/>
  <c r="BX44" i="7"/>
  <c r="BY44" i="7"/>
  <c r="BZ44" i="7"/>
  <c r="CA44" i="7"/>
  <c r="BC45" i="7"/>
  <c r="BD45" i="7"/>
  <c r="BE45" i="7"/>
  <c r="BF45" i="7"/>
  <c r="BG45" i="7"/>
  <c r="BH45" i="7"/>
  <c r="BI45" i="7"/>
  <c r="BJ45" i="7"/>
  <c r="BK45" i="7"/>
  <c r="BL45" i="7"/>
  <c r="BM45" i="7"/>
  <c r="BN45" i="7"/>
  <c r="BO45" i="7"/>
  <c r="BP45" i="7"/>
  <c r="BQ45" i="7"/>
  <c r="BR45" i="7"/>
  <c r="BS45" i="7"/>
  <c r="BT45" i="7"/>
  <c r="BU45" i="7"/>
  <c r="BV45" i="7"/>
  <c r="BW45" i="7"/>
  <c r="BX45" i="7"/>
  <c r="BY45" i="7"/>
  <c r="BZ45" i="7"/>
  <c r="CA45" i="7"/>
  <c r="BC46" i="7"/>
  <c r="BD46" i="7"/>
  <c r="BE46" i="7"/>
  <c r="BF46" i="7"/>
  <c r="BG46" i="7"/>
  <c r="BH46" i="7"/>
  <c r="BI46" i="7"/>
  <c r="BJ46" i="7"/>
  <c r="BK46" i="7"/>
  <c r="BL46" i="7"/>
  <c r="BM46" i="7"/>
  <c r="BN46" i="7"/>
  <c r="BO46" i="7"/>
  <c r="BP46" i="7"/>
  <c r="BQ46" i="7"/>
  <c r="BR46" i="7"/>
  <c r="BS46" i="7"/>
  <c r="BT46" i="7"/>
  <c r="BU46" i="7"/>
  <c r="BV46" i="7"/>
  <c r="BW46" i="7"/>
  <c r="BX46" i="7"/>
  <c r="BY46" i="7"/>
  <c r="BZ46" i="7"/>
  <c r="CA46" i="7"/>
  <c r="BC47" i="7"/>
  <c r="BD47" i="7"/>
  <c r="BE47" i="7"/>
  <c r="BF47" i="7"/>
  <c r="BG47" i="7"/>
  <c r="BH47" i="7"/>
  <c r="BI47" i="7"/>
  <c r="BJ47" i="7"/>
  <c r="BK47" i="7"/>
  <c r="BL47" i="7"/>
  <c r="BM47" i="7"/>
  <c r="BN47" i="7"/>
  <c r="BO47" i="7"/>
  <c r="BP47" i="7"/>
  <c r="BQ47" i="7"/>
  <c r="BR47" i="7"/>
  <c r="BS47" i="7"/>
  <c r="BT47" i="7"/>
  <c r="BU47" i="7"/>
  <c r="BV47" i="7"/>
  <c r="BW47" i="7"/>
  <c r="BX47" i="7"/>
  <c r="BY47" i="7"/>
  <c r="BZ47" i="7"/>
  <c r="CA47" i="7"/>
  <c r="BC48" i="7"/>
  <c r="BD48" i="7"/>
  <c r="BE48" i="7"/>
  <c r="BF48" i="7"/>
  <c r="BG48" i="7"/>
  <c r="BH48" i="7"/>
  <c r="BI48" i="7"/>
  <c r="BJ48" i="7"/>
  <c r="BK48" i="7"/>
  <c r="BL48" i="7"/>
  <c r="BM48" i="7"/>
  <c r="BN48" i="7"/>
  <c r="BO48" i="7"/>
  <c r="BP48" i="7"/>
  <c r="BQ48" i="7"/>
  <c r="BR48" i="7"/>
  <c r="BS48" i="7"/>
  <c r="BT48" i="7"/>
  <c r="BU48" i="7"/>
  <c r="BV48" i="7"/>
  <c r="BW48" i="7"/>
  <c r="BX48" i="7"/>
  <c r="BY48" i="7"/>
  <c r="BZ48" i="7"/>
  <c r="CA48" i="7"/>
  <c r="BC49" i="7"/>
  <c r="BD49" i="7"/>
  <c r="BE49" i="7"/>
  <c r="BF49" i="7"/>
  <c r="BG49" i="7"/>
  <c r="BH49" i="7"/>
  <c r="BI49" i="7"/>
  <c r="BJ49" i="7"/>
  <c r="BK49" i="7"/>
  <c r="BL49" i="7"/>
  <c r="BM49" i="7"/>
  <c r="BN49" i="7"/>
  <c r="BO49" i="7"/>
  <c r="BP49" i="7"/>
  <c r="BQ49" i="7"/>
  <c r="BR49" i="7"/>
  <c r="BS49" i="7"/>
  <c r="BT49" i="7"/>
  <c r="BU49" i="7"/>
  <c r="BV49" i="7"/>
  <c r="BW49" i="7"/>
  <c r="BX49" i="7"/>
  <c r="BY49" i="7"/>
  <c r="BZ49" i="7"/>
  <c r="CA49" i="7"/>
  <c r="BC50" i="7"/>
  <c r="BD50" i="7"/>
  <c r="BE50" i="7"/>
  <c r="BF50" i="7"/>
  <c r="BG50" i="7"/>
  <c r="BH50" i="7"/>
  <c r="BI50" i="7"/>
  <c r="BJ50" i="7"/>
  <c r="BK50" i="7"/>
  <c r="BL50" i="7"/>
  <c r="BM50" i="7"/>
  <c r="BN50" i="7"/>
  <c r="BO50" i="7"/>
  <c r="BP50" i="7"/>
  <c r="BQ50" i="7"/>
  <c r="BR50" i="7"/>
  <c r="BS50" i="7"/>
  <c r="BT50" i="7"/>
  <c r="BU50" i="7"/>
  <c r="BV50" i="7"/>
  <c r="BW50" i="7"/>
  <c r="BX50" i="7"/>
  <c r="BY50" i="7"/>
  <c r="BZ50" i="7"/>
  <c r="CA50" i="7"/>
  <c r="BC51" i="7"/>
  <c r="BD51" i="7"/>
  <c r="BE51" i="7"/>
  <c r="BF51" i="7"/>
  <c r="BG51" i="7"/>
  <c r="BH51" i="7"/>
  <c r="BI51" i="7"/>
  <c r="BJ51" i="7"/>
  <c r="BK51" i="7"/>
  <c r="BL51" i="7"/>
  <c r="BM51" i="7"/>
  <c r="BN51" i="7"/>
  <c r="BO51" i="7"/>
  <c r="BP51" i="7"/>
  <c r="BQ51" i="7"/>
  <c r="BR51" i="7"/>
  <c r="BS51" i="7"/>
  <c r="BT51" i="7"/>
  <c r="BU51" i="7"/>
  <c r="BV51" i="7"/>
  <c r="BW51" i="7"/>
  <c r="BX51" i="7"/>
  <c r="BY51" i="7"/>
  <c r="BZ51" i="7"/>
  <c r="CA51" i="7"/>
  <c r="BC52" i="7"/>
  <c r="BD52" i="7"/>
  <c r="BE52" i="7"/>
  <c r="BF52" i="7"/>
  <c r="BG52" i="7"/>
  <c r="BH52" i="7"/>
  <c r="BI52" i="7"/>
  <c r="BJ52" i="7"/>
  <c r="BK52" i="7"/>
  <c r="BL52" i="7"/>
  <c r="BM52" i="7"/>
  <c r="BN52" i="7"/>
  <c r="BO52" i="7"/>
  <c r="BP52" i="7"/>
  <c r="BQ52" i="7"/>
  <c r="BR52" i="7"/>
  <c r="BS52" i="7"/>
  <c r="BT52" i="7"/>
  <c r="BU52" i="7"/>
  <c r="BV52" i="7"/>
  <c r="BW52" i="7"/>
  <c r="BX52" i="7"/>
  <c r="BY52" i="7"/>
  <c r="BZ52" i="7"/>
  <c r="CA52" i="7"/>
  <c r="BC53" i="7"/>
  <c r="BD53" i="7"/>
  <c r="BE53" i="7"/>
  <c r="BF53" i="7"/>
  <c r="BG53" i="7"/>
  <c r="BH53" i="7"/>
  <c r="BI53" i="7"/>
  <c r="BJ53" i="7"/>
  <c r="BK53" i="7"/>
  <c r="BL53" i="7"/>
  <c r="BM53" i="7"/>
  <c r="BN53" i="7"/>
  <c r="BO53" i="7"/>
  <c r="BP53" i="7"/>
  <c r="BQ53" i="7"/>
  <c r="BR53" i="7"/>
  <c r="BS53" i="7"/>
  <c r="BT53" i="7"/>
  <c r="BU53" i="7"/>
  <c r="BV53" i="7"/>
  <c r="BW53" i="7"/>
  <c r="BX53" i="7"/>
  <c r="BY53" i="7"/>
  <c r="BZ53" i="7"/>
  <c r="CA53" i="7"/>
  <c r="BC54" i="7"/>
  <c r="BD54" i="7"/>
  <c r="BE54" i="7"/>
  <c r="BF54" i="7"/>
  <c r="BG54" i="7"/>
  <c r="BH54" i="7"/>
  <c r="BI54" i="7"/>
  <c r="BJ54" i="7"/>
  <c r="BK54" i="7"/>
  <c r="BL54" i="7"/>
  <c r="BM54" i="7"/>
  <c r="BN54" i="7"/>
  <c r="BO54" i="7"/>
  <c r="BP54" i="7"/>
  <c r="BQ54" i="7"/>
  <c r="BR54" i="7"/>
  <c r="BS54" i="7"/>
  <c r="BT54" i="7"/>
  <c r="BU54" i="7"/>
  <c r="BV54" i="7"/>
  <c r="BW54" i="7"/>
  <c r="BX54" i="7"/>
  <c r="BY54" i="7"/>
  <c r="BZ54" i="7"/>
  <c r="CA54" i="7"/>
  <c r="BC55" i="7"/>
  <c r="BD55" i="7"/>
  <c r="BE55" i="7"/>
  <c r="BF55" i="7"/>
  <c r="BG55" i="7"/>
  <c r="BH55" i="7"/>
  <c r="BI55" i="7"/>
  <c r="BJ55" i="7"/>
  <c r="BK55" i="7"/>
  <c r="BL55" i="7"/>
  <c r="BM55" i="7"/>
  <c r="BN55" i="7"/>
  <c r="BO55" i="7"/>
  <c r="BP55" i="7"/>
  <c r="BQ55" i="7"/>
  <c r="BR55" i="7"/>
  <c r="BS55" i="7"/>
  <c r="BT55" i="7"/>
  <c r="BU55" i="7"/>
  <c r="BV55" i="7"/>
  <c r="BW55" i="7"/>
  <c r="BX55" i="7"/>
  <c r="BY55" i="7"/>
  <c r="BZ55" i="7"/>
  <c r="CA55" i="7"/>
  <c r="BC56" i="7"/>
  <c r="BD56" i="7"/>
  <c r="BE56" i="7"/>
  <c r="BF56" i="7"/>
  <c r="BG56" i="7"/>
  <c r="BH56" i="7"/>
  <c r="BI56" i="7"/>
  <c r="BJ56" i="7"/>
  <c r="BK56" i="7"/>
  <c r="BL56" i="7"/>
  <c r="BM56" i="7"/>
  <c r="BN56" i="7"/>
  <c r="BO56" i="7"/>
  <c r="BP56" i="7"/>
  <c r="BQ56" i="7"/>
  <c r="BR56" i="7"/>
  <c r="BS56" i="7"/>
  <c r="BT56" i="7"/>
  <c r="BU56" i="7"/>
  <c r="BV56" i="7"/>
  <c r="BW56" i="7"/>
  <c r="BX56" i="7"/>
  <c r="BY56" i="7"/>
  <c r="BZ56" i="7"/>
  <c r="CA56" i="7"/>
  <c r="BC57" i="7"/>
  <c r="BD57" i="7"/>
  <c r="BE57" i="7"/>
  <c r="BF57" i="7"/>
  <c r="BG57" i="7"/>
  <c r="BH57" i="7"/>
  <c r="BI57" i="7"/>
  <c r="BJ57" i="7"/>
  <c r="BK57" i="7"/>
  <c r="BL57" i="7"/>
  <c r="BM57" i="7"/>
  <c r="BN57" i="7"/>
  <c r="BO57" i="7"/>
  <c r="BP57" i="7"/>
  <c r="BQ57" i="7"/>
  <c r="BR57" i="7"/>
  <c r="BS57" i="7"/>
  <c r="BT57" i="7"/>
  <c r="BU57" i="7"/>
  <c r="BV57" i="7"/>
  <c r="BW57" i="7"/>
  <c r="BX57" i="7"/>
  <c r="BY57" i="7"/>
  <c r="BZ57" i="7"/>
  <c r="CA57" i="7"/>
  <c r="BC58" i="7"/>
  <c r="BD58" i="7"/>
  <c r="BE58" i="7"/>
  <c r="BF58" i="7"/>
  <c r="BG58" i="7"/>
  <c r="BH58" i="7"/>
  <c r="BI58" i="7"/>
  <c r="BJ58" i="7"/>
  <c r="BK58" i="7"/>
  <c r="BL58" i="7"/>
  <c r="BM58" i="7"/>
  <c r="BN58" i="7"/>
  <c r="BO58" i="7"/>
  <c r="BP58" i="7"/>
  <c r="BQ58" i="7"/>
  <c r="BR58" i="7"/>
  <c r="BS58" i="7"/>
  <c r="BT58" i="7"/>
  <c r="BU58" i="7"/>
  <c r="BV58" i="7"/>
  <c r="BW58" i="7"/>
  <c r="BX58" i="7"/>
  <c r="BY58" i="7"/>
  <c r="BZ58" i="7"/>
  <c r="CA58" i="7"/>
  <c r="BC59" i="7"/>
  <c r="BD59" i="7"/>
  <c r="BE59" i="7"/>
  <c r="BF59" i="7"/>
  <c r="BG59" i="7"/>
  <c r="BH59" i="7"/>
  <c r="BI59" i="7"/>
  <c r="BJ59" i="7"/>
  <c r="BK59" i="7"/>
  <c r="BL59" i="7"/>
  <c r="BM59" i="7"/>
  <c r="BN59" i="7"/>
  <c r="BO59" i="7"/>
  <c r="BP59" i="7"/>
  <c r="BQ59" i="7"/>
  <c r="BR59" i="7"/>
  <c r="BS59" i="7"/>
  <c r="BT59" i="7"/>
  <c r="BU59" i="7"/>
  <c r="BV59" i="7"/>
  <c r="BW59" i="7"/>
  <c r="BX59" i="7"/>
  <c r="BY59" i="7"/>
  <c r="BZ59" i="7"/>
  <c r="CA59" i="7"/>
  <c r="BC60" i="7"/>
  <c r="BD60" i="7"/>
  <c r="BE60" i="7"/>
  <c r="BF60" i="7"/>
  <c r="BG60" i="7"/>
  <c r="BH60" i="7"/>
  <c r="BI60" i="7"/>
  <c r="BJ60" i="7"/>
  <c r="BK60" i="7"/>
  <c r="BL60" i="7"/>
  <c r="BM60" i="7"/>
  <c r="BN60" i="7"/>
  <c r="BO60" i="7"/>
  <c r="BP60" i="7"/>
  <c r="BQ60" i="7"/>
  <c r="BR60" i="7"/>
  <c r="BS60" i="7"/>
  <c r="BT60" i="7"/>
  <c r="BU60" i="7"/>
  <c r="BV60" i="7"/>
  <c r="BW60" i="7"/>
  <c r="BX60" i="7"/>
  <c r="BY60" i="7"/>
  <c r="BZ60" i="7"/>
  <c r="CA60" i="7"/>
  <c r="BC61" i="7"/>
  <c r="BD61" i="7"/>
  <c r="BE61" i="7"/>
  <c r="BF61" i="7"/>
  <c r="BG61" i="7"/>
  <c r="BH61" i="7"/>
  <c r="BI61" i="7"/>
  <c r="BJ61" i="7"/>
  <c r="BK61" i="7"/>
  <c r="BL61" i="7"/>
  <c r="BM61" i="7"/>
  <c r="BN61" i="7"/>
  <c r="BO61" i="7"/>
  <c r="BP61" i="7"/>
  <c r="BQ61" i="7"/>
  <c r="BR61" i="7"/>
  <c r="BS61" i="7"/>
  <c r="BT61" i="7"/>
  <c r="BU61" i="7"/>
  <c r="BV61" i="7"/>
  <c r="BW61" i="7"/>
  <c r="BX61" i="7"/>
  <c r="BY61" i="7"/>
  <c r="BZ61" i="7"/>
  <c r="CA61" i="7"/>
  <c r="BC62" i="7"/>
  <c r="BD62" i="7"/>
  <c r="BE62" i="7"/>
  <c r="BF62" i="7"/>
  <c r="BG62" i="7"/>
  <c r="BH62" i="7"/>
  <c r="BI62" i="7"/>
  <c r="BJ62" i="7"/>
  <c r="BK62" i="7"/>
  <c r="BL62" i="7"/>
  <c r="BM62" i="7"/>
  <c r="BN62" i="7"/>
  <c r="BO62" i="7"/>
  <c r="BP62" i="7"/>
  <c r="BQ62" i="7"/>
  <c r="BR62" i="7"/>
  <c r="BS62" i="7"/>
  <c r="BT62" i="7"/>
  <c r="BU62" i="7"/>
  <c r="BV62" i="7"/>
  <c r="BW62" i="7"/>
  <c r="BX62" i="7"/>
  <c r="BY62" i="7"/>
  <c r="BZ62" i="7"/>
  <c r="CA62" i="7"/>
  <c r="BC63" i="7"/>
  <c r="BD63" i="7"/>
  <c r="BE63" i="7"/>
  <c r="BF63" i="7"/>
  <c r="BG63" i="7"/>
  <c r="BH63" i="7"/>
  <c r="BI63" i="7"/>
  <c r="BJ63" i="7"/>
  <c r="BK63" i="7"/>
  <c r="BL63" i="7"/>
  <c r="BM63" i="7"/>
  <c r="BN63" i="7"/>
  <c r="BO63" i="7"/>
  <c r="BP63" i="7"/>
  <c r="BQ63" i="7"/>
  <c r="BR63" i="7"/>
  <c r="BS63" i="7"/>
  <c r="BT63" i="7"/>
  <c r="BU63" i="7"/>
  <c r="BV63" i="7"/>
  <c r="BW63" i="7"/>
  <c r="BX63" i="7"/>
  <c r="BY63" i="7"/>
  <c r="BZ63" i="7"/>
  <c r="CA63" i="7"/>
  <c r="BC64" i="7"/>
  <c r="BD64" i="7"/>
  <c r="BE64" i="7"/>
  <c r="BF64" i="7"/>
  <c r="BG64" i="7"/>
  <c r="BH64" i="7"/>
  <c r="BI64" i="7"/>
  <c r="BJ64" i="7"/>
  <c r="BK64" i="7"/>
  <c r="BL64" i="7"/>
  <c r="BM64" i="7"/>
  <c r="BN64" i="7"/>
  <c r="BO64" i="7"/>
  <c r="BP64" i="7"/>
  <c r="BQ64" i="7"/>
  <c r="BR64" i="7"/>
  <c r="BS64" i="7"/>
  <c r="BT64" i="7"/>
  <c r="BU64" i="7"/>
  <c r="BV64" i="7"/>
  <c r="BW64" i="7"/>
  <c r="BX64" i="7"/>
  <c r="BY64" i="7"/>
  <c r="BZ64" i="7"/>
  <c r="CA64" i="7"/>
  <c r="BC65" i="7"/>
  <c r="BD65" i="7"/>
  <c r="BE65" i="7"/>
  <c r="BF65" i="7"/>
  <c r="BG65" i="7"/>
  <c r="BH65" i="7"/>
  <c r="BI65" i="7"/>
  <c r="BJ65" i="7"/>
  <c r="BK65" i="7"/>
  <c r="BL65" i="7"/>
  <c r="BM65" i="7"/>
  <c r="BN65" i="7"/>
  <c r="BO65" i="7"/>
  <c r="BP65" i="7"/>
  <c r="BQ65" i="7"/>
  <c r="BR65" i="7"/>
  <c r="BS65" i="7"/>
  <c r="BT65" i="7"/>
  <c r="BU65" i="7"/>
  <c r="BV65" i="7"/>
  <c r="BW65" i="7"/>
  <c r="BX65" i="7"/>
  <c r="BY65" i="7"/>
  <c r="BZ65" i="7"/>
  <c r="CA65" i="7"/>
  <c r="BC66" i="7"/>
  <c r="BD66" i="7"/>
  <c r="BE66" i="7"/>
  <c r="BF66" i="7"/>
  <c r="BG66" i="7"/>
  <c r="BH66" i="7"/>
  <c r="BI66" i="7"/>
  <c r="BJ66" i="7"/>
  <c r="BK66" i="7"/>
  <c r="BL66" i="7"/>
  <c r="BM66" i="7"/>
  <c r="BN66" i="7"/>
  <c r="BO66" i="7"/>
  <c r="BP66" i="7"/>
  <c r="BQ66" i="7"/>
  <c r="BR66" i="7"/>
  <c r="BS66" i="7"/>
  <c r="BT66" i="7"/>
  <c r="BU66" i="7"/>
  <c r="BV66" i="7"/>
  <c r="BW66" i="7"/>
  <c r="BX66" i="7"/>
  <c r="BY66" i="7"/>
  <c r="BZ66" i="7"/>
  <c r="CA66" i="7"/>
  <c r="BC67" i="7"/>
  <c r="BD67" i="7"/>
  <c r="BE67" i="7"/>
  <c r="BF67" i="7"/>
  <c r="BG67" i="7"/>
  <c r="BH67" i="7"/>
  <c r="BI67" i="7"/>
  <c r="BJ67" i="7"/>
  <c r="BK67" i="7"/>
  <c r="BL67" i="7"/>
  <c r="BM67" i="7"/>
  <c r="BN67" i="7"/>
  <c r="BO67" i="7"/>
  <c r="BP67" i="7"/>
  <c r="BQ67" i="7"/>
  <c r="BR67" i="7"/>
  <c r="BS67" i="7"/>
  <c r="BT67" i="7"/>
  <c r="BU67" i="7"/>
  <c r="BV67" i="7"/>
  <c r="BW67" i="7"/>
  <c r="BX67" i="7"/>
  <c r="BY67" i="7"/>
  <c r="BZ67" i="7"/>
  <c r="CA67" i="7"/>
  <c r="BC68" i="7"/>
  <c r="BD68" i="7"/>
  <c r="BE68" i="7"/>
  <c r="BF68" i="7"/>
  <c r="BG68" i="7"/>
  <c r="BH68" i="7"/>
  <c r="BI68" i="7"/>
  <c r="BJ68" i="7"/>
  <c r="BK68" i="7"/>
  <c r="BL68" i="7"/>
  <c r="BM68" i="7"/>
  <c r="BN68" i="7"/>
  <c r="BO68" i="7"/>
  <c r="BP68" i="7"/>
  <c r="BQ68" i="7"/>
  <c r="BR68" i="7"/>
  <c r="BS68" i="7"/>
  <c r="BT68" i="7"/>
  <c r="BU68" i="7"/>
  <c r="BV68" i="7"/>
  <c r="BW68" i="7"/>
  <c r="BX68" i="7"/>
  <c r="BY68" i="7"/>
  <c r="BZ68" i="7"/>
  <c r="CA68" i="7"/>
  <c r="BC69" i="7"/>
  <c r="BD69" i="7"/>
  <c r="BE69" i="7"/>
  <c r="BF69" i="7"/>
  <c r="BG69" i="7"/>
  <c r="BH69" i="7"/>
  <c r="BI69" i="7"/>
  <c r="BJ69" i="7"/>
  <c r="BK69" i="7"/>
  <c r="BL69" i="7"/>
  <c r="BM69" i="7"/>
  <c r="BN69" i="7"/>
  <c r="BO69" i="7"/>
  <c r="BP69" i="7"/>
  <c r="BQ69" i="7"/>
  <c r="BR69" i="7"/>
  <c r="BS69" i="7"/>
  <c r="BT69" i="7"/>
  <c r="BU69" i="7"/>
  <c r="BV69" i="7"/>
  <c r="BW69" i="7"/>
  <c r="BX69" i="7"/>
  <c r="BY69" i="7"/>
  <c r="BZ69" i="7"/>
  <c r="CA69" i="7"/>
  <c r="BC70" i="7"/>
  <c r="BD70" i="7"/>
  <c r="BE70" i="7"/>
  <c r="BF70" i="7"/>
  <c r="BG70" i="7"/>
  <c r="BH70" i="7"/>
  <c r="BI70" i="7"/>
  <c r="BJ70" i="7"/>
  <c r="BK70" i="7"/>
  <c r="BL70" i="7"/>
  <c r="BM70" i="7"/>
  <c r="BN70" i="7"/>
  <c r="BO70" i="7"/>
  <c r="BP70" i="7"/>
  <c r="BQ70" i="7"/>
  <c r="BR70" i="7"/>
  <c r="BS70" i="7"/>
  <c r="BT70" i="7"/>
  <c r="BU70" i="7"/>
  <c r="BV70" i="7"/>
  <c r="BW70" i="7"/>
  <c r="BX70" i="7"/>
  <c r="BY70" i="7"/>
  <c r="BZ70" i="7"/>
  <c r="CA70" i="7"/>
  <c r="BC71" i="7"/>
  <c r="BD71" i="7"/>
  <c r="BE71" i="7"/>
  <c r="BF71" i="7"/>
  <c r="BG71" i="7"/>
  <c r="BH71" i="7"/>
  <c r="BI71" i="7"/>
  <c r="BJ71" i="7"/>
  <c r="BK71" i="7"/>
  <c r="BL71" i="7"/>
  <c r="BM71" i="7"/>
  <c r="BN71" i="7"/>
  <c r="BO71" i="7"/>
  <c r="BP71" i="7"/>
  <c r="BQ71" i="7"/>
  <c r="BR71" i="7"/>
  <c r="BS71" i="7"/>
  <c r="BT71" i="7"/>
  <c r="BU71" i="7"/>
  <c r="BV71" i="7"/>
  <c r="BW71" i="7"/>
  <c r="BX71" i="7"/>
  <c r="BY71" i="7"/>
  <c r="BZ71" i="7"/>
  <c r="CA71" i="7"/>
  <c r="BC72" i="7"/>
  <c r="BD72" i="7"/>
  <c r="BE72" i="7"/>
  <c r="BF72" i="7"/>
  <c r="BG72" i="7"/>
  <c r="BH72" i="7"/>
  <c r="BI72" i="7"/>
  <c r="BJ72" i="7"/>
  <c r="BK72" i="7"/>
  <c r="BL72" i="7"/>
  <c r="BM72" i="7"/>
  <c r="BN72" i="7"/>
  <c r="BO72" i="7"/>
  <c r="BP72" i="7"/>
  <c r="BQ72" i="7"/>
  <c r="BR72" i="7"/>
  <c r="BS72" i="7"/>
  <c r="BT72" i="7"/>
  <c r="BU72" i="7"/>
  <c r="BV72" i="7"/>
  <c r="BW72" i="7"/>
  <c r="BX72" i="7"/>
  <c r="BY72" i="7"/>
  <c r="BZ72" i="7"/>
  <c r="CA72" i="7"/>
  <c r="BC73" i="7"/>
  <c r="BD73" i="7"/>
  <c r="BE73" i="7"/>
  <c r="BF73" i="7"/>
  <c r="BG73" i="7"/>
  <c r="BH73" i="7"/>
  <c r="BI73" i="7"/>
  <c r="BJ73" i="7"/>
  <c r="BK73" i="7"/>
  <c r="BL73" i="7"/>
  <c r="BM73" i="7"/>
  <c r="BN73" i="7"/>
  <c r="BO73" i="7"/>
  <c r="BP73" i="7"/>
  <c r="BQ73" i="7"/>
  <c r="BR73" i="7"/>
  <c r="BS73" i="7"/>
  <c r="BT73" i="7"/>
  <c r="BU73" i="7"/>
  <c r="BV73" i="7"/>
  <c r="BW73" i="7"/>
  <c r="BX73" i="7"/>
  <c r="BY73" i="7"/>
  <c r="BZ73" i="7"/>
  <c r="CA73" i="7"/>
  <c r="BC74" i="7"/>
  <c r="BD74" i="7"/>
  <c r="BE74" i="7"/>
  <c r="BF74" i="7"/>
  <c r="BG74" i="7"/>
  <c r="BH74" i="7"/>
  <c r="BI74" i="7"/>
  <c r="BJ74" i="7"/>
  <c r="BK74" i="7"/>
  <c r="BL74" i="7"/>
  <c r="BM74" i="7"/>
  <c r="BN74" i="7"/>
  <c r="BO74" i="7"/>
  <c r="BP74" i="7"/>
  <c r="BQ74" i="7"/>
  <c r="BR74" i="7"/>
  <c r="BS74" i="7"/>
  <c r="BT74" i="7"/>
  <c r="BU74" i="7"/>
  <c r="BV74" i="7"/>
  <c r="BW74" i="7"/>
  <c r="BX74" i="7"/>
  <c r="BY74" i="7"/>
  <c r="BZ74" i="7"/>
  <c r="CA74" i="7"/>
  <c r="BC75" i="7"/>
  <c r="BD75" i="7"/>
  <c r="BE75" i="7"/>
  <c r="BF75" i="7"/>
  <c r="BG75" i="7"/>
  <c r="BH75" i="7"/>
  <c r="BI75" i="7"/>
  <c r="BJ75" i="7"/>
  <c r="BK75" i="7"/>
  <c r="BL75" i="7"/>
  <c r="BM75" i="7"/>
  <c r="BN75" i="7"/>
  <c r="BO75" i="7"/>
  <c r="BP75" i="7"/>
  <c r="BQ75" i="7"/>
  <c r="BR75" i="7"/>
  <c r="BS75" i="7"/>
  <c r="BT75" i="7"/>
  <c r="BU75" i="7"/>
  <c r="BV75" i="7"/>
  <c r="BW75" i="7"/>
  <c r="BX75" i="7"/>
  <c r="BY75" i="7"/>
  <c r="BZ75" i="7"/>
  <c r="CA75" i="7"/>
  <c r="BC76" i="7"/>
  <c r="BD76" i="7"/>
  <c r="BE76" i="7"/>
  <c r="BF76" i="7"/>
  <c r="BG76" i="7"/>
  <c r="BH76" i="7"/>
  <c r="BI76" i="7"/>
  <c r="BJ76" i="7"/>
  <c r="BK76" i="7"/>
  <c r="BL76" i="7"/>
  <c r="BM76" i="7"/>
  <c r="BN76" i="7"/>
  <c r="BO76" i="7"/>
  <c r="BP76" i="7"/>
  <c r="BQ76" i="7"/>
  <c r="BR76" i="7"/>
  <c r="BS76" i="7"/>
  <c r="BT76" i="7"/>
  <c r="BU76" i="7"/>
  <c r="BV76" i="7"/>
  <c r="BW76" i="7"/>
  <c r="BX76" i="7"/>
  <c r="BY76" i="7"/>
  <c r="BZ76" i="7"/>
  <c r="CA76" i="7"/>
  <c r="BC77" i="7"/>
  <c r="BD77" i="7"/>
  <c r="BE77" i="7"/>
  <c r="BF77" i="7"/>
  <c r="BG77" i="7"/>
  <c r="BH77" i="7"/>
  <c r="BI77" i="7"/>
  <c r="BJ77" i="7"/>
  <c r="BK77" i="7"/>
  <c r="BL77" i="7"/>
  <c r="BM77" i="7"/>
  <c r="BN77" i="7"/>
  <c r="BO77" i="7"/>
  <c r="BP77" i="7"/>
  <c r="BQ77" i="7"/>
  <c r="BR77" i="7"/>
  <c r="BS77" i="7"/>
  <c r="BT77" i="7"/>
  <c r="BU77" i="7"/>
  <c r="BV77" i="7"/>
  <c r="BW77" i="7"/>
  <c r="BX77" i="7"/>
  <c r="BY77" i="7"/>
  <c r="BZ77" i="7"/>
  <c r="CA77" i="7"/>
  <c r="BC78" i="7"/>
  <c r="BD78" i="7"/>
  <c r="BE78" i="7"/>
  <c r="BF78" i="7"/>
  <c r="BG78" i="7"/>
  <c r="BH78" i="7"/>
  <c r="BI78" i="7"/>
  <c r="BJ78" i="7"/>
  <c r="BK78" i="7"/>
  <c r="BL78" i="7"/>
  <c r="BM78" i="7"/>
  <c r="BN78" i="7"/>
  <c r="BO78" i="7"/>
  <c r="BP78" i="7"/>
  <c r="BQ78" i="7"/>
  <c r="BR78" i="7"/>
  <c r="BS78" i="7"/>
  <c r="BT78" i="7"/>
  <c r="BU78" i="7"/>
  <c r="BV78" i="7"/>
  <c r="BW78" i="7"/>
  <c r="BX78" i="7"/>
  <c r="BY78" i="7"/>
  <c r="BZ78" i="7"/>
  <c r="CA78" i="7"/>
  <c r="BC79" i="7"/>
  <c r="BD79" i="7"/>
  <c r="BE79" i="7"/>
  <c r="BF79" i="7"/>
  <c r="BG79" i="7"/>
  <c r="BH79" i="7"/>
  <c r="BI79" i="7"/>
  <c r="BJ79" i="7"/>
  <c r="BK79" i="7"/>
  <c r="BL79" i="7"/>
  <c r="BM79" i="7"/>
  <c r="BN79" i="7"/>
  <c r="BO79" i="7"/>
  <c r="BP79" i="7"/>
  <c r="BQ79" i="7"/>
  <c r="BR79" i="7"/>
  <c r="BS79" i="7"/>
  <c r="BT79" i="7"/>
  <c r="BU79" i="7"/>
  <c r="BV79" i="7"/>
  <c r="BW79" i="7"/>
  <c r="BX79" i="7"/>
  <c r="BY79" i="7"/>
  <c r="BZ79" i="7"/>
  <c r="CA79" i="7"/>
  <c r="BC80" i="7"/>
  <c r="BD80" i="7"/>
  <c r="BE80" i="7"/>
  <c r="BF80" i="7"/>
  <c r="BG80" i="7"/>
  <c r="BH80" i="7"/>
  <c r="BI80" i="7"/>
  <c r="BJ80" i="7"/>
  <c r="BK80" i="7"/>
  <c r="BL80" i="7"/>
  <c r="BM80" i="7"/>
  <c r="BN80" i="7"/>
  <c r="BO80" i="7"/>
  <c r="BP80" i="7"/>
  <c r="BQ80" i="7"/>
  <c r="BR80" i="7"/>
  <c r="BS80" i="7"/>
  <c r="BT80" i="7"/>
  <c r="BU80" i="7"/>
  <c r="BV80" i="7"/>
  <c r="BW80" i="7"/>
  <c r="BX80" i="7"/>
  <c r="BY80" i="7"/>
  <c r="BZ80" i="7"/>
  <c r="CA80" i="7"/>
  <c r="BC81" i="7"/>
  <c r="BD81" i="7"/>
  <c r="BE81" i="7"/>
  <c r="BF81" i="7"/>
  <c r="BG81" i="7"/>
  <c r="BH81" i="7"/>
  <c r="BI81" i="7"/>
  <c r="BJ81" i="7"/>
  <c r="BK81" i="7"/>
  <c r="BL81" i="7"/>
  <c r="BM81" i="7"/>
  <c r="BN81" i="7"/>
  <c r="BO81" i="7"/>
  <c r="BP81" i="7"/>
  <c r="BQ81" i="7"/>
  <c r="BR81" i="7"/>
  <c r="BS81" i="7"/>
  <c r="BT81" i="7"/>
  <c r="BU81" i="7"/>
  <c r="BV81" i="7"/>
  <c r="BW81" i="7"/>
  <c r="BX81" i="7"/>
  <c r="BY81" i="7"/>
  <c r="BZ81" i="7"/>
  <c r="CA81" i="7"/>
  <c r="BC82" i="7"/>
  <c r="BD82" i="7"/>
  <c r="BE82" i="7"/>
  <c r="BF82" i="7"/>
  <c r="BG82" i="7"/>
  <c r="BH82" i="7"/>
  <c r="BI82" i="7"/>
  <c r="BJ82" i="7"/>
  <c r="BK82" i="7"/>
  <c r="BL82" i="7"/>
  <c r="BM82" i="7"/>
  <c r="BN82" i="7"/>
  <c r="BO82" i="7"/>
  <c r="BP82" i="7"/>
  <c r="BQ82" i="7"/>
  <c r="BR82" i="7"/>
  <c r="BS82" i="7"/>
  <c r="BT82" i="7"/>
  <c r="BU82" i="7"/>
  <c r="BV82" i="7"/>
  <c r="BW82" i="7"/>
  <c r="BX82" i="7"/>
  <c r="BY82" i="7"/>
  <c r="BZ82" i="7"/>
  <c r="CA82" i="7"/>
  <c r="BC83" i="7"/>
  <c r="BD83" i="7"/>
  <c r="BE83" i="7"/>
  <c r="BF83" i="7"/>
  <c r="BG83" i="7"/>
  <c r="BH83" i="7"/>
  <c r="BI83" i="7"/>
  <c r="BJ83" i="7"/>
  <c r="BK83" i="7"/>
  <c r="BL83" i="7"/>
  <c r="BM83" i="7"/>
  <c r="BN83" i="7"/>
  <c r="BO83" i="7"/>
  <c r="BP83" i="7"/>
  <c r="BQ83" i="7"/>
  <c r="BR83" i="7"/>
  <c r="BS83" i="7"/>
  <c r="BT83" i="7"/>
  <c r="BU83" i="7"/>
  <c r="BV83" i="7"/>
  <c r="BW83" i="7"/>
  <c r="BX83" i="7"/>
  <c r="BY83" i="7"/>
  <c r="BZ83" i="7"/>
  <c r="CA83" i="7"/>
  <c r="BC84" i="7"/>
  <c r="BD84" i="7"/>
  <c r="BE84" i="7"/>
  <c r="BF84" i="7"/>
  <c r="BG84" i="7"/>
  <c r="BH84" i="7"/>
  <c r="BI84" i="7"/>
  <c r="BJ84" i="7"/>
  <c r="BK84" i="7"/>
  <c r="BL84" i="7"/>
  <c r="BM84" i="7"/>
  <c r="BN84" i="7"/>
  <c r="BO84" i="7"/>
  <c r="BP84" i="7"/>
  <c r="BQ84" i="7"/>
  <c r="BR84" i="7"/>
  <c r="BS84" i="7"/>
  <c r="BT84" i="7"/>
  <c r="BU84" i="7"/>
  <c r="BV84" i="7"/>
  <c r="BW84" i="7"/>
  <c r="BX84" i="7"/>
  <c r="BY84" i="7"/>
  <c r="BZ84" i="7"/>
  <c r="CA84" i="7"/>
  <c r="BC85" i="7"/>
  <c r="BD85" i="7"/>
  <c r="BE85" i="7"/>
  <c r="BF85" i="7"/>
  <c r="BG85" i="7"/>
  <c r="BH85" i="7"/>
  <c r="BI85" i="7"/>
  <c r="BJ85" i="7"/>
  <c r="BK85" i="7"/>
  <c r="BL85" i="7"/>
  <c r="BM85" i="7"/>
  <c r="BN85" i="7"/>
  <c r="BO85" i="7"/>
  <c r="BP85" i="7"/>
  <c r="BQ85" i="7"/>
  <c r="BR85" i="7"/>
  <c r="BS85" i="7"/>
  <c r="BT85" i="7"/>
  <c r="BU85" i="7"/>
  <c r="BV85" i="7"/>
  <c r="BW85" i="7"/>
  <c r="BX85" i="7"/>
  <c r="BY85" i="7"/>
  <c r="BZ85" i="7"/>
  <c r="CA85" i="7"/>
  <c r="BC86" i="7"/>
  <c r="BD86" i="7"/>
  <c r="BE86" i="7"/>
  <c r="BF86" i="7"/>
  <c r="BG86" i="7"/>
  <c r="BH86" i="7"/>
  <c r="BI86" i="7"/>
  <c r="BJ86" i="7"/>
  <c r="BK86" i="7"/>
  <c r="BL86" i="7"/>
  <c r="BM86" i="7"/>
  <c r="BN86" i="7"/>
  <c r="BO86" i="7"/>
  <c r="BP86" i="7"/>
  <c r="BQ86" i="7"/>
  <c r="BR86" i="7"/>
  <c r="BS86" i="7"/>
  <c r="BT86" i="7"/>
  <c r="BU86" i="7"/>
  <c r="BV86" i="7"/>
  <c r="BW86" i="7"/>
  <c r="BX86" i="7"/>
  <c r="BY86" i="7"/>
  <c r="BZ86" i="7"/>
  <c r="CA86" i="7"/>
  <c r="BC87" i="7"/>
  <c r="BD87" i="7"/>
  <c r="BE87" i="7"/>
  <c r="BF87" i="7"/>
  <c r="BG87" i="7"/>
  <c r="BH87" i="7"/>
  <c r="BI87" i="7"/>
  <c r="BJ87" i="7"/>
  <c r="BK87" i="7"/>
  <c r="BL87" i="7"/>
  <c r="BM87" i="7"/>
  <c r="BN87" i="7"/>
  <c r="BO87" i="7"/>
  <c r="BP87" i="7"/>
  <c r="BQ87" i="7"/>
  <c r="BR87" i="7"/>
  <c r="BS87" i="7"/>
  <c r="BT87" i="7"/>
  <c r="BU87" i="7"/>
  <c r="BV87" i="7"/>
  <c r="BW87" i="7"/>
  <c r="BX87" i="7"/>
  <c r="BY87" i="7"/>
  <c r="BZ87" i="7"/>
  <c r="CA87" i="7"/>
  <c r="BC88" i="7"/>
  <c r="BD88" i="7"/>
  <c r="BE88" i="7"/>
  <c r="BF88" i="7"/>
  <c r="BG88" i="7"/>
  <c r="BH88" i="7"/>
  <c r="BI88" i="7"/>
  <c r="BJ88" i="7"/>
  <c r="BK88" i="7"/>
  <c r="BL88" i="7"/>
  <c r="BM88" i="7"/>
  <c r="BN88" i="7"/>
  <c r="BO88" i="7"/>
  <c r="BP88" i="7"/>
  <c r="BQ88" i="7"/>
  <c r="BR88" i="7"/>
  <c r="BS88" i="7"/>
  <c r="BT88" i="7"/>
  <c r="BU88" i="7"/>
  <c r="BV88" i="7"/>
  <c r="BW88" i="7"/>
  <c r="BX88" i="7"/>
  <c r="BY88" i="7"/>
  <c r="BZ88" i="7"/>
  <c r="CA88" i="7"/>
  <c r="BC89" i="7"/>
  <c r="BD89" i="7"/>
  <c r="BE89" i="7"/>
  <c r="BF89" i="7"/>
  <c r="BG89" i="7"/>
  <c r="BH89" i="7"/>
  <c r="BI89" i="7"/>
  <c r="BJ89" i="7"/>
  <c r="BK89" i="7"/>
  <c r="BL89" i="7"/>
  <c r="BM89" i="7"/>
  <c r="BN89" i="7"/>
  <c r="BO89" i="7"/>
  <c r="BP89" i="7"/>
  <c r="BQ89" i="7"/>
  <c r="BR89" i="7"/>
  <c r="BS89" i="7"/>
  <c r="BT89" i="7"/>
  <c r="BU89" i="7"/>
  <c r="BV89" i="7"/>
  <c r="BW89" i="7"/>
  <c r="BX89" i="7"/>
  <c r="BY89" i="7"/>
  <c r="BZ89" i="7"/>
  <c r="CA89" i="7"/>
  <c r="BC90" i="7"/>
  <c r="BD90" i="7"/>
  <c r="BE90" i="7"/>
  <c r="BF90" i="7"/>
  <c r="BG90" i="7"/>
  <c r="BH90" i="7"/>
  <c r="BI90" i="7"/>
  <c r="BJ90" i="7"/>
  <c r="BK90" i="7"/>
  <c r="BL90" i="7"/>
  <c r="BM90" i="7"/>
  <c r="BN90" i="7"/>
  <c r="BO90" i="7"/>
  <c r="BP90" i="7"/>
  <c r="BQ90" i="7"/>
  <c r="BR90" i="7"/>
  <c r="BS90" i="7"/>
  <c r="BT90" i="7"/>
  <c r="BU90" i="7"/>
  <c r="BV90" i="7"/>
  <c r="BW90" i="7"/>
  <c r="BX90" i="7"/>
  <c r="BY90" i="7"/>
  <c r="BZ90" i="7"/>
  <c r="CA90" i="7"/>
  <c r="BC91" i="7"/>
  <c r="BD91" i="7"/>
  <c r="BE91" i="7"/>
  <c r="BF91" i="7"/>
  <c r="BG91" i="7"/>
  <c r="BH91" i="7"/>
  <c r="BI91" i="7"/>
  <c r="BJ91" i="7"/>
  <c r="BK91" i="7"/>
  <c r="BL91" i="7"/>
  <c r="BM91" i="7"/>
  <c r="BN91" i="7"/>
  <c r="BO91" i="7"/>
  <c r="BP91" i="7"/>
  <c r="BQ91" i="7"/>
  <c r="BR91" i="7"/>
  <c r="BS91" i="7"/>
  <c r="BT91" i="7"/>
  <c r="BU91" i="7"/>
  <c r="BV91" i="7"/>
  <c r="BW91" i="7"/>
  <c r="BX91" i="7"/>
  <c r="BY91" i="7"/>
  <c r="BZ91" i="7"/>
  <c r="CA91" i="7"/>
  <c r="BC92" i="7"/>
  <c r="BD92" i="7"/>
  <c r="BE92" i="7"/>
  <c r="BF92" i="7"/>
  <c r="BG92" i="7"/>
  <c r="BH92" i="7"/>
  <c r="BI92" i="7"/>
  <c r="BJ92" i="7"/>
  <c r="BK92" i="7"/>
  <c r="BL92" i="7"/>
  <c r="BM92" i="7"/>
  <c r="BN92" i="7"/>
  <c r="BO92" i="7"/>
  <c r="BP92" i="7"/>
  <c r="BQ92" i="7"/>
  <c r="BR92" i="7"/>
  <c r="BS92" i="7"/>
  <c r="BT92" i="7"/>
  <c r="BU92" i="7"/>
  <c r="BV92" i="7"/>
  <c r="BW92" i="7"/>
  <c r="BX92" i="7"/>
  <c r="BY92" i="7"/>
  <c r="BZ92" i="7"/>
  <c r="CA92" i="7"/>
  <c r="BC93" i="7"/>
  <c r="BD93" i="7"/>
  <c r="BE93" i="7"/>
  <c r="BF93" i="7"/>
  <c r="BG93" i="7"/>
  <c r="BH93" i="7"/>
  <c r="BI93" i="7"/>
  <c r="BJ93" i="7"/>
  <c r="BK93" i="7"/>
  <c r="BL93" i="7"/>
  <c r="BM93" i="7"/>
  <c r="BN93" i="7"/>
  <c r="BO93" i="7"/>
  <c r="BP93" i="7"/>
  <c r="BQ93" i="7"/>
  <c r="BR93" i="7"/>
  <c r="BS93" i="7"/>
  <c r="BT93" i="7"/>
  <c r="BU93" i="7"/>
  <c r="BV93" i="7"/>
  <c r="BW93" i="7"/>
  <c r="BX93" i="7"/>
  <c r="BY93" i="7"/>
  <c r="BZ93" i="7"/>
  <c r="CA93" i="7"/>
  <c r="BC94" i="7"/>
  <c r="BD94" i="7"/>
  <c r="BE94" i="7"/>
  <c r="BF94" i="7"/>
  <c r="BG94" i="7"/>
  <c r="BH94" i="7"/>
  <c r="BI94" i="7"/>
  <c r="BJ94" i="7"/>
  <c r="BK94" i="7"/>
  <c r="BL94" i="7"/>
  <c r="BM94" i="7"/>
  <c r="BN94" i="7"/>
  <c r="BO94" i="7"/>
  <c r="BP94" i="7"/>
  <c r="BQ94" i="7"/>
  <c r="BR94" i="7"/>
  <c r="BS94" i="7"/>
  <c r="BT94" i="7"/>
  <c r="BU94" i="7"/>
  <c r="BV94" i="7"/>
  <c r="BW94" i="7"/>
  <c r="BX94" i="7"/>
  <c r="BY94" i="7"/>
  <c r="BZ94" i="7"/>
  <c r="CA94" i="7"/>
  <c r="BC95" i="7"/>
  <c r="BD95" i="7"/>
  <c r="BE95" i="7"/>
  <c r="BF95" i="7"/>
  <c r="BG95" i="7"/>
  <c r="BH95" i="7"/>
  <c r="BI95" i="7"/>
  <c r="BJ95" i="7"/>
  <c r="BK95" i="7"/>
  <c r="BL95" i="7"/>
  <c r="BM95" i="7"/>
  <c r="BN95" i="7"/>
  <c r="BO95" i="7"/>
  <c r="BP95" i="7"/>
  <c r="BQ95" i="7"/>
  <c r="BR95" i="7"/>
  <c r="BS95" i="7"/>
  <c r="BT95" i="7"/>
  <c r="BU95" i="7"/>
  <c r="BV95" i="7"/>
  <c r="BW95" i="7"/>
  <c r="BX95" i="7"/>
  <c r="BY95" i="7"/>
  <c r="BZ95" i="7"/>
  <c r="CA95" i="7"/>
  <c r="BC96" i="7"/>
  <c r="BD96" i="7"/>
  <c r="BE96" i="7"/>
  <c r="BF96" i="7"/>
  <c r="BG96" i="7"/>
  <c r="BH96" i="7"/>
  <c r="BI96" i="7"/>
  <c r="BJ96" i="7"/>
  <c r="BK96" i="7"/>
  <c r="BL96" i="7"/>
  <c r="BM96" i="7"/>
  <c r="BN96" i="7"/>
  <c r="BO96" i="7"/>
  <c r="BP96" i="7"/>
  <c r="BQ96" i="7"/>
  <c r="BR96" i="7"/>
  <c r="BS96" i="7"/>
  <c r="BT96" i="7"/>
  <c r="BU96" i="7"/>
  <c r="BV96" i="7"/>
  <c r="BW96" i="7"/>
  <c r="BX96" i="7"/>
  <c r="BY96" i="7"/>
  <c r="BZ96" i="7"/>
  <c r="CA96" i="7"/>
  <c r="BC97" i="7"/>
  <c r="BD97" i="7"/>
  <c r="BE97" i="7"/>
  <c r="BF97" i="7"/>
  <c r="BG97" i="7"/>
  <c r="BH97" i="7"/>
  <c r="BI97" i="7"/>
  <c r="BJ97" i="7"/>
  <c r="BK97" i="7"/>
  <c r="BL97" i="7"/>
  <c r="BM97" i="7"/>
  <c r="BN97" i="7"/>
  <c r="BO97" i="7"/>
  <c r="BP97" i="7"/>
  <c r="BQ97" i="7"/>
  <c r="BR97" i="7"/>
  <c r="BS97" i="7"/>
  <c r="BT97" i="7"/>
  <c r="BU97" i="7"/>
  <c r="BV97" i="7"/>
  <c r="BW97" i="7"/>
  <c r="BX97" i="7"/>
  <c r="BY97" i="7"/>
  <c r="BZ97" i="7"/>
  <c r="CA97" i="7"/>
  <c r="BC98" i="7"/>
  <c r="BD98" i="7"/>
  <c r="BE98" i="7"/>
  <c r="BF98" i="7"/>
  <c r="BG98" i="7"/>
  <c r="BH98" i="7"/>
  <c r="BI98" i="7"/>
  <c r="BJ98" i="7"/>
  <c r="BK98" i="7"/>
  <c r="BL98" i="7"/>
  <c r="BM98" i="7"/>
  <c r="BN98" i="7"/>
  <c r="BO98" i="7"/>
  <c r="BP98" i="7"/>
  <c r="BQ98" i="7"/>
  <c r="BR98" i="7"/>
  <c r="BS98" i="7"/>
  <c r="BT98" i="7"/>
  <c r="BU98" i="7"/>
  <c r="BV98" i="7"/>
  <c r="BW98" i="7"/>
  <c r="BX98" i="7"/>
  <c r="BY98" i="7"/>
  <c r="BZ98" i="7"/>
  <c r="CA98" i="7"/>
  <c r="BC99" i="7"/>
  <c r="BD99" i="7"/>
  <c r="BE99" i="7"/>
  <c r="BF99" i="7"/>
  <c r="BG99" i="7"/>
  <c r="BH99" i="7"/>
  <c r="BI99" i="7"/>
  <c r="BJ99" i="7"/>
  <c r="BK99" i="7"/>
  <c r="BL99" i="7"/>
  <c r="BM99" i="7"/>
  <c r="BN99" i="7"/>
  <c r="BO99" i="7"/>
  <c r="BP99" i="7"/>
  <c r="BQ99" i="7"/>
  <c r="BR99" i="7"/>
  <c r="BS99" i="7"/>
  <c r="BT99" i="7"/>
  <c r="BU99" i="7"/>
  <c r="BV99" i="7"/>
  <c r="BW99" i="7"/>
  <c r="BX99" i="7"/>
  <c r="BY99" i="7"/>
  <c r="BZ99" i="7"/>
  <c r="CA99" i="7"/>
  <c r="BC100" i="7"/>
  <c r="BD100" i="7"/>
  <c r="BE100" i="7"/>
  <c r="BF100" i="7"/>
  <c r="BG100" i="7"/>
  <c r="BH100" i="7"/>
  <c r="BI100" i="7"/>
  <c r="BJ100" i="7"/>
  <c r="BK100" i="7"/>
  <c r="BL100" i="7"/>
  <c r="BM100" i="7"/>
  <c r="BN100" i="7"/>
  <c r="BO100" i="7"/>
  <c r="BP100" i="7"/>
  <c r="BQ100" i="7"/>
  <c r="BR100" i="7"/>
  <c r="BS100" i="7"/>
  <c r="BT100" i="7"/>
  <c r="BU100" i="7"/>
  <c r="BV100" i="7"/>
  <c r="BW100" i="7"/>
  <c r="BX100" i="7"/>
  <c r="BY100" i="7"/>
  <c r="BZ100" i="7"/>
  <c r="CA100" i="7"/>
  <c r="BC101" i="7"/>
  <c r="BD101" i="7"/>
  <c r="BE101" i="7"/>
  <c r="BF101" i="7"/>
  <c r="BG101" i="7"/>
  <c r="BH101" i="7"/>
  <c r="BI101" i="7"/>
  <c r="BJ101" i="7"/>
  <c r="BK101" i="7"/>
  <c r="BL101" i="7"/>
  <c r="BM101" i="7"/>
  <c r="BN101" i="7"/>
  <c r="BO101" i="7"/>
  <c r="BP101" i="7"/>
  <c r="BQ101" i="7"/>
  <c r="BR101" i="7"/>
  <c r="BS101" i="7"/>
  <c r="BT101" i="7"/>
  <c r="BU101" i="7"/>
  <c r="BV101" i="7"/>
  <c r="BW101" i="7"/>
  <c r="BX101" i="7"/>
  <c r="BY101" i="7"/>
  <c r="BZ101" i="7"/>
  <c r="CA101" i="7"/>
  <c r="BC102" i="7"/>
  <c r="BD102" i="7"/>
  <c r="BE102" i="7"/>
  <c r="BF102" i="7"/>
  <c r="BG102" i="7"/>
  <c r="BH102" i="7"/>
  <c r="BI102" i="7"/>
  <c r="BJ102" i="7"/>
  <c r="BK102" i="7"/>
  <c r="BL102" i="7"/>
  <c r="BM102" i="7"/>
  <c r="BN102" i="7"/>
  <c r="BO102" i="7"/>
  <c r="BP102" i="7"/>
  <c r="BQ102" i="7"/>
  <c r="BR102" i="7"/>
  <c r="BS102" i="7"/>
  <c r="BT102" i="7"/>
  <c r="BU102" i="7"/>
  <c r="BV102" i="7"/>
  <c r="BW102" i="7"/>
  <c r="BX102" i="7"/>
  <c r="BY102" i="7"/>
  <c r="BZ102" i="7"/>
  <c r="CA102" i="7"/>
  <c r="BC103" i="7"/>
  <c r="BD103" i="7"/>
  <c r="BE103" i="7"/>
  <c r="BF103" i="7"/>
  <c r="BG103" i="7"/>
  <c r="BH103" i="7"/>
  <c r="BI103" i="7"/>
  <c r="BJ103" i="7"/>
  <c r="BK103" i="7"/>
  <c r="BL103" i="7"/>
  <c r="BM103" i="7"/>
  <c r="BN103" i="7"/>
  <c r="BO103" i="7"/>
  <c r="BP103" i="7"/>
  <c r="BQ103" i="7"/>
  <c r="BR103" i="7"/>
  <c r="BS103" i="7"/>
  <c r="BT103" i="7"/>
  <c r="BU103" i="7"/>
  <c r="BV103" i="7"/>
  <c r="BW103" i="7"/>
  <c r="BX103" i="7"/>
  <c r="BY103" i="7"/>
  <c r="BZ103" i="7"/>
  <c r="CA103" i="7"/>
  <c r="BC104" i="7"/>
  <c r="BD104" i="7"/>
  <c r="BE104" i="7"/>
  <c r="BF104" i="7"/>
  <c r="BG104" i="7"/>
  <c r="BH104" i="7"/>
  <c r="BI104" i="7"/>
  <c r="BJ104" i="7"/>
  <c r="BK104" i="7"/>
  <c r="BL104" i="7"/>
  <c r="BM104" i="7"/>
  <c r="BN104" i="7"/>
  <c r="BO104" i="7"/>
  <c r="BP104" i="7"/>
  <c r="BQ104" i="7"/>
  <c r="BR104" i="7"/>
  <c r="BS104" i="7"/>
  <c r="BT104" i="7"/>
  <c r="BU104" i="7"/>
  <c r="BV104" i="7"/>
  <c r="BW104" i="7"/>
  <c r="BX104" i="7"/>
  <c r="BY104" i="7"/>
  <c r="BZ104" i="7"/>
  <c r="CA104" i="7"/>
  <c r="BC105" i="7"/>
  <c r="BD105" i="7"/>
  <c r="BE105" i="7"/>
  <c r="BF105" i="7"/>
  <c r="BG105" i="7"/>
  <c r="BH105" i="7"/>
  <c r="BI105" i="7"/>
  <c r="BJ105" i="7"/>
  <c r="BK105" i="7"/>
  <c r="BL105" i="7"/>
  <c r="BM105" i="7"/>
  <c r="BN105" i="7"/>
  <c r="BO105" i="7"/>
  <c r="BP105" i="7"/>
  <c r="BQ105" i="7"/>
  <c r="BR105" i="7"/>
  <c r="BS105" i="7"/>
  <c r="BT105" i="7"/>
  <c r="BU105" i="7"/>
  <c r="BV105" i="7"/>
  <c r="BW105" i="7"/>
  <c r="BX105" i="7"/>
  <c r="BY105" i="7"/>
  <c r="BZ105" i="7"/>
  <c r="CA105" i="7"/>
  <c r="BC106" i="7"/>
  <c r="BD106" i="7"/>
  <c r="BE106" i="7"/>
  <c r="BF106" i="7"/>
  <c r="BG106" i="7"/>
  <c r="BH106" i="7"/>
  <c r="BI106" i="7"/>
  <c r="BJ106" i="7"/>
  <c r="BK106" i="7"/>
  <c r="BL106" i="7"/>
  <c r="BM106" i="7"/>
  <c r="BN106" i="7"/>
  <c r="BO106" i="7"/>
  <c r="BP106" i="7"/>
  <c r="BQ106" i="7"/>
  <c r="BR106" i="7"/>
  <c r="BS106" i="7"/>
  <c r="BT106" i="7"/>
  <c r="BU106" i="7"/>
  <c r="BV106" i="7"/>
  <c r="BW106" i="7"/>
  <c r="BX106" i="7"/>
  <c r="BY106" i="7"/>
  <c r="BZ106" i="7"/>
  <c r="CA106" i="7"/>
  <c r="BC107" i="7"/>
  <c r="BD107" i="7"/>
  <c r="BE107" i="7"/>
  <c r="BF107" i="7"/>
  <c r="BG107" i="7"/>
  <c r="BH107" i="7"/>
  <c r="BI107" i="7"/>
  <c r="BJ107" i="7"/>
  <c r="BK107" i="7"/>
  <c r="BL107" i="7"/>
  <c r="BM107" i="7"/>
  <c r="BN107" i="7"/>
  <c r="BO107" i="7"/>
  <c r="BP107" i="7"/>
  <c r="BQ107" i="7"/>
  <c r="BR107" i="7"/>
  <c r="BS107" i="7"/>
  <c r="BT107" i="7"/>
  <c r="BU107" i="7"/>
  <c r="BV107" i="7"/>
  <c r="BW107" i="7"/>
  <c r="BX107" i="7"/>
  <c r="BY107" i="7"/>
  <c r="BZ107" i="7"/>
  <c r="CA107" i="7"/>
  <c r="BC108" i="7"/>
  <c r="BD108" i="7"/>
  <c r="BE108" i="7"/>
  <c r="BF108" i="7"/>
  <c r="BG108" i="7"/>
  <c r="BH108" i="7"/>
  <c r="BI108" i="7"/>
  <c r="BJ108" i="7"/>
  <c r="BK108" i="7"/>
  <c r="BL108" i="7"/>
  <c r="BM108" i="7"/>
  <c r="BN108" i="7"/>
  <c r="BO108" i="7"/>
  <c r="BP108" i="7"/>
  <c r="BQ108" i="7"/>
  <c r="BR108" i="7"/>
  <c r="BS108" i="7"/>
  <c r="BT108" i="7"/>
  <c r="BU108" i="7"/>
  <c r="BV108" i="7"/>
  <c r="BW108" i="7"/>
  <c r="BX108" i="7"/>
  <c r="BY108" i="7"/>
  <c r="BZ108" i="7"/>
  <c r="CA108" i="7"/>
  <c r="BC109" i="7"/>
  <c r="BD109" i="7"/>
  <c r="BE109" i="7"/>
  <c r="BF109" i="7"/>
  <c r="BG109" i="7"/>
  <c r="BH109" i="7"/>
  <c r="BI109" i="7"/>
  <c r="BJ109" i="7"/>
  <c r="BK109" i="7"/>
  <c r="BL109" i="7"/>
  <c r="BM109" i="7"/>
  <c r="BN109" i="7"/>
  <c r="BO109" i="7"/>
  <c r="BP109" i="7"/>
  <c r="BQ109" i="7"/>
  <c r="BR109" i="7"/>
  <c r="BS109" i="7"/>
  <c r="BT109" i="7"/>
  <c r="BU109" i="7"/>
  <c r="BV109" i="7"/>
  <c r="BW109" i="7"/>
  <c r="BX109" i="7"/>
  <c r="BY109" i="7"/>
  <c r="BZ109" i="7"/>
  <c r="CA109" i="7"/>
  <c r="BC110" i="7"/>
  <c r="BD110" i="7"/>
  <c r="BE110" i="7"/>
  <c r="BF110" i="7"/>
  <c r="BG110" i="7"/>
  <c r="BH110" i="7"/>
  <c r="BI110" i="7"/>
  <c r="BJ110" i="7"/>
  <c r="BK110" i="7"/>
  <c r="BL110" i="7"/>
  <c r="BM110" i="7"/>
  <c r="BN110" i="7"/>
  <c r="BO110" i="7"/>
  <c r="BP110" i="7"/>
  <c r="BQ110" i="7"/>
  <c r="BR110" i="7"/>
  <c r="BS110" i="7"/>
  <c r="BT110" i="7"/>
  <c r="BU110" i="7"/>
  <c r="BV110" i="7"/>
  <c r="BW110" i="7"/>
  <c r="BX110" i="7"/>
  <c r="BY110" i="7"/>
  <c r="BZ110" i="7"/>
  <c r="CA110" i="7"/>
  <c r="BC111" i="7"/>
  <c r="BD111" i="7"/>
  <c r="BE111" i="7"/>
  <c r="BF111" i="7"/>
  <c r="BG111" i="7"/>
  <c r="BH111" i="7"/>
  <c r="BI111" i="7"/>
  <c r="BJ111" i="7"/>
  <c r="BK111" i="7"/>
  <c r="BL111" i="7"/>
  <c r="BM111" i="7"/>
  <c r="BN111" i="7"/>
  <c r="BO111" i="7"/>
  <c r="BP111" i="7"/>
  <c r="BQ111" i="7"/>
  <c r="BR111" i="7"/>
  <c r="BS111" i="7"/>
  <c r="BT111" i="7"/>
  <c r="BU111" i="7"/>
  <c r="BV111" i="7"/>
  <c r="BW111" i="7"/>
  <c r="BX111" i="7"/>
  <c r="BY111" i="7"/>
  <c r="BZ111" i="7"/>
  <c r="CA111" i="7"/>
  <c r="BC112" i="7"/>
  <c r="BD112" i="7"/>
  <c r="BE112" i="7"/>
  <c r="BF112" i="7"/>
  <c r="BG112" i="7"/>
  <c r="BH112" i="7"/>
  <c r="BI112" i="7"/>
  <c r="BJ112" i="7"/>
  <c r="BK112" i="7"/>
  <c r="BL112" i="7"/>
  <c r="BM112" i="7"/>
  <c r="BN112" i="7"/>
  <c r="BO112" i="7"/>
  <c r="BP112" i="7"/>
  <c r="BQ112" i="7"/>
  <c r="BR112" i="7"/>
  <c r="BS112" i="7"/>
  <c r="BT112" i="7"/>
  <c r="BU112" i="7"/>
  <c r="BV112" i="7"/>
  <c r="BW112" i="7"/>
  <c r="BX112" i="7"/>
  <c r="BY112" i="7"/>
  <c r="BZ112" i="7"/>
  <c r="CA112" i="7"/>
  <c r="BC113" i="7"/>
  <c r="BD113" i="7"/>
  <c r="BE113" i="7"/>
  <c r="BF113" i="7"/>
  <c r="BG113" i="7"/>
  <c r="BH113" i="7"/>
  <c r="BI113" i="7"/>
  <c r="BJ113" i="7"/>
  <c r="BK113" i="7"/>
  <c r="BL113" i="7"/>
  <c r="BM113" i="7"/>
  <c r="BN113" i="7"/>
  <c r="BO113" i="7"/>
  <c r="BP113" i="7"/>
  <c r="BQ113" i="7"/>
  <c r="BR113" i="7"/>
  <c r="BS113" i="7"/>
  <c r="BT113" i="7"/>
  <c r="BU113" i="7"/>
  <c r="BV113" i="7"/>
  <c r="BW113" i="7"/>
  <c r="BX113" i="7"/>
  <c r="BY113" i="7"/>
  <c r="BZ113" i="7"/>
  <c r="CA113" i="7"/>
  <c r="BC114" i="7"/>
  <c r="BD114" i="7"/>
  <c r="BE114" i="7"/>
  <c r="BF114" i="7"/>
  <c r="BG114" i="7"/>
  <c r="BH114" i="7"/>
  <c r="BI114" i="7"/>
  <c r="BJ114" i="7"/>
  <c r="BK114" i="7"/>
  <c r="BL114" i="7"/>
  <c r="BM114" i="7"/>
  <c r="BN114" i="7"/>
  <c r="BO114" i="7"/>
  <c r="BP114" i="7"/>
  <c r="BQ114" i="7"/>
  <c r="BR114" i="7"/>
  <c r="BS114" i="7"/>
  <c r="BT114" i="7"/>
  <c r="BU114" i="7"/>
  <c r="BV114" i="7"/>
  <c r="BW114" i="7"/>
  <c r="BX114" i="7"/>
  <c r="BY114" i="7"/>
  <c r="BZ114" i="7"/>
  <c r="CA114" i="7"/>
  <c r="BC115" i="7"/>
  <c r="BD115" i="7"/>
  <c r="BE115" i="7"/>
  <c r="BF115" i="7"/>
  <c r="BG115" i="7"/>
  <c r="BH115" i="7"/>
  <c r="BI115" i="7"/>
  <c r="BJ115" i="7"/>
  <c r="BK115" i="7"/>
  <c r="BL115" i="7"/>
  <c r="BM115" i="7"/>
  <c r="BN115" i="7"/>
  <c r="BO115" i="7"/>
  <c r="BP115" i="7"/>
  <c r="BQ115" i="7"/>
  <c r="BR115" i="7"/>
  <c r="BS115" i="7"/>
  <c r="BT115" i="7"/>
  <c r="BU115" i="7"/>
  <c r="BV115" i="7"/>
  <c r="BW115" i="7"/>
  <c r="BX115" i="7"/>
  <c r="BY115" i="7"/>
  <c r="BZ115" i="7"/>
  <c r="CA115" i="7"/>
  <c r="BC116" i="7"/>
  <c r="BD116" i="7"/>
  <c r="BE116" i="7"/>
  <c r="BF116" i="7"/>
  <c r="BG116" i="7"/>
  <c r="BH116" i="7"/>
  <c r="BI116" i="7"/>
  <c r="BJ116" i="7"/>
  <c r="BK116" i="7"/>
  <c r="BL116" i="7"/>
  <c r="BM116" i="7"/>
  <c r="BN116" i="7"/>
  <c r="BO116" i="7"/>
  <c r="BP116" i="7"/>
  <c r="BQ116" i="7"/>
  <c r="BR116" i="7"/>
  <c r="BS116" i="7"/>
  <c r="BT116" i="7"/>
  <c r="BU116" i="7"/>
  <c r="BV116" i="7"/>
  <c r="BW116" i="7"/>
  <c r="BX116" i="7"/>
  <c r="BY116" i="7"/>
  <c r="BZ116" i="7"/>
  <c r="CA116" i="7"/>
  <c r="BC117" i="7"/>
  <c r="BD117" i="7"/>
  <c r="BE117" i="7"/>
  <c r="BF117" i="7"/>
  <c r="BG117" i="7"/>
  <c r="BH117" i="7"/>
  <c r="BI117" i="7"/>
  <c r="BJ117" i="7"/>
  <c r="BK117" i="7"/>
  <c r="BL117" i="7"/>
  <c r="BM117" i="7"/>
  <c r="BN117" i="7"/>
  <c r="BO117" i="7"/>
  <c r="BP117" i="7"/>
  <c r="BQ117" i="7"/>
  <c r="BR117" i="7"/>
  <c r="BS117" i="7"/>
  <c r="BT117" i="7"/>
  <c r="BU117" i="7"/>
  <c r="BV117" i="7"/>
  <c r="BW117" i="7"/>
  <c r="BX117" i="7"/>
  <c r="BY117" i="7"/>
  <c r="BZ117" i="7"/>
  <c r="CA117" i="7"/>
  <c r="BC118" i="7"/>
  <c r="BD118" i="7"/>
  <c r="BE118" i="7"/>
  <c r="BF118" i="7"/>
  <c r="BG118" i="7"/>
  <c r="BH118" i="7"/>
  <c r="BI118" i="7"/>
  <c r="BJ118" i="7"/>
  <c r="BK118" i="7"/>
  <c r="BL118" i="7"/>
  <c r="BM118" i="7"/>
  <c r="BN118" i="7"/>
  <c r="BO118" i="7"/>
  <c r="BP118" i="7"/>
  <c r="BQ118" i="7"/>
  <c r="BR118" i="7"/>
  <c r="BS118" i="7"/>
  <c r="BT118" i="7"/>
  <c r="BU118" i="7"/>
  <c r="BV118" i="7"/>
  <c r="BW118" i="7"/>
  <c r="BX118" i="7"/>
  <c r="BY118" i="7"/>
  <c r="BZ118" i="7"/>
  <c r="CA118" i="7"/>
  <c r="BC119" i="7"/>
  <c r="BD119" i="7"/>
  <c r="BE119" i="7"/>
  <c r="BF119" i="7"/>
  <c r="BG119" i="7"/>
  <c r="BH119" i="7"/>
  <c r="BI119" i="7"/>
  <c r="BJ119" i="7"/>
  <c r="BK119" i="7"/>
  <c r="BL119" i="7"/>
  <c r="BM119" i="7"/>
  <c r="BN119" i="7"/>
  <c r="BO119" i="7"/>
  <c r="BP119" i="7"/>
  <c r="BQ119" i="7"/>
  <c r="BR119" i="7"/>
  <c r="BS119" i="7"/>
  <c r="BT119" i="7"/>
  <c r="BU119" i="7"/>
  <c r="BV119" i="7"/>
  <c r="BW119" i="7"/>
  <c r="BX119" i="7"/>
  <c r="BY119" i="7"/>
  <c r="BZ119" i="7"/>
  <c r="CA119" i="7"/>
  <c r="BC120" i="7"/>
  <c r="BD120" i="7"/>
  <c r="BE120" i="7"/>
  <c r="BF120" i="7"/>
  <c r="BG120" i="7"/>
  <c r="BH120" i="7"/>
  <c r="BI120" i="7"/>
  <c r="BJ120" i="7"/>
  <c r="BK120" i="7"/>
  <c r="BL120" i="7"/>
  <c r="BM120" i="7"/>
  <c r="BN120" i="7"/>
  <c r="BO120" i="7"/>
  <c r="BP120" i="7"/>
  <c r="BQ120" i="7"/>
  <c r="BR120" i="7"/>
  <c r="BS120" i="7"/>
  <c r="BT120" i="7"/>
  <c r="BU120" i="7"/>
  <c r="BV120" i="7"/>
  <c r="BW120" i="7"/>
  <c r="BX120" i="7"/>
  <c r="BY120" i="7"/>
  <c r="BZ120" i="7"/>
  <c r="CA120" i="7"/>
  <c r="BC121" i="7"/>
  <c r="BD121" i="7"/>
  <c r="BE121" i="7"/>
  <c r="BF121" i="7"/>
  <c r="BG121" i="7"/>
  <c r="BH121" i="7"/>
  <c r="BI121" i="7"/>
  <c r="BJ121" i="7"/>
  <c r="BK121" i="7"/>
  <c r="BL121" i="7"/>
  <c r="BM121" i="7"/>
  <c r="BN121" i="7"/>
  <c r="BO121" i="7"/>
  <c r="BP121" i="7"/>
  <c r="BQ121" i="7"/>
  <c r="BR121" i="7"/>
  <c r="BS121" i="7"/>
  <c r="BT121" i="7"/>
  <c r="BU121" i="7"/>
  <c r="BV121" i="7"/>
  <c r="BW121" i="7"/>
  <c r="BX121" i="7"/>
  <c r="BY121" i="7"/>
  <c r="BZ121" i="7"/>
  <c r="CA121" i="7"/>
  <c r="BC122" i="7"/>
  <c r="BD122" i="7"/>
  <c r="BE122" i="7"/>
  <c r="BF122" i="7"/>
  <c r="BG122" i="7"/>
  <c r="BH122" i="7"/>
  <c r="BI122" i="7"/>
  <c r="BJ122" i="7"/>
  <c r="BK122" i="7"/>
  <c r="BL122" i="7"/>
  <c r="BM122" i="7"/>
  <c r="BN122" i="7"/>
  <c r="BO122" i="7"/>
  <c r="BP122" i="7"/>
  <c r="BQ122" i="7"/>
  <c r="BR122" i="7"/>
  <c r="BS122" i="7"/>
  <c r="BT122" i="7"/>
  <c r="BU122" i="7"/>
  <c r="BV122" i="7"/>
  <c r="BW122" i="7"/>
  <c r="BX122" i="7"/>
  <c r="BY122" i="7"/>
  <c r="BZ122" i="7"/>
  <c r="CA122" i="7"/>
  <c r="BC123" i="7"/>
  <c r="BD123" i="7"/>
  <c r="BE123" i="7"/>
  <c r="BF123" i="7"/>
  <c r="BG123" i="7"/>
  <c r="BH123" i="7"/>
  <c r="BI123" i="7"/>
  <c r="BJ123" i="7"/>
  <c r="BK123" i="7"/>
  <c r="BL123" i="7"/>
  <c r="BM123" i="7"/>
  <c r="BN123" i="7"/>
  <c r="BO123" i="7"/>
  <c r="BP123" i="7"/>
  <c r="BQ123" i="7"/>
  <c r="BR123" i="7"/>
  <c r="BS123" i="7"/>
  <c r="BT123" i="7"/>
  <c r="BU123" i="7"/>
  <c r="BV123" i="7"/>
  <c r="BW123" i="7"/>
  <c r="BX123" i="7"/>
  <c r="BY123" i="7"/>
  <c r="BZ123" i="7"/>
  <c r="CA123" i="7"/>
  <c r="BC124" i="7"/>
  <c r="BD124" i="7"/>
  <c r="BE124" i="7"/>
  <c r="BF124" i="7"/>
  <c r="BG124" i="7"/>
  <c r="BH124" i="7"/>
  <c r="BI124" i="7"/>
  <c r="BJ124" i="7"/>
  <c r="BK124" i="7"/>
  <c r="BL124" i="7"/>
  <c r="BM124" i="7"/>
  <c r="BN124" i="7"/>
  <c r="BO124" i="7"/>
  <c r="BP124" i="7"/>
  <c r="BQ124" i="7"/>
  <c r="BR124" i="7"/>
  <c r="BS124" i="7"/>
  <c r="BT124" i="7"/>
  <c r="BU124" i="7"/>
  <c r="BV124" i="7"/>
  <c r="BW124" i="7"/>
  <c r="BX124" i="7"/>
  <c r="BY124" i="7"/>
  <c r="BZ124" i="7"/>
  <c r="CA124" i="7"/>
  <c r="BC125" i="7"/>
  <c r="BD125" i="7"/>
  <c r="BE125" i="7"/>
  <c r="BF125" i="7"/>
  <c r="BG125" i="7"/>
  <c r="BH125" i="7"/>
  <c r="BI125" i="7"/>
  <c r="BJ125" i="7"/>
  <c r="BK125" i="7"/>
  <c r="BL125" i="7"/>
  <c r="BM125" i="7"/>
  <c r="BN125" i="7"/>
  <c r="BO125" i="7"/>
  <c r="BP125" i="7"/>
  <c r="BQ125" i="7"/>
  <c r="BR125" i="7"/>
  <c r="BS125" i="7"/>
  <c r="BT125" i="7"/>
  <c r="BU125" i="7"/>
  <c r="BV125" i="7"/>
  <c r="BW125" i="7"/>
  <c r="BX125" i="7"/>
  <c r="BY125" i="7"/>
  <c r="BZ125" i="7"/>
  <c r="CA125" i="7"/>
  <c r="BC126" i="7"/>
  <c r="BD126" i="7"/>
  <c r="BE126" i="7"/>
  <c r="BF126" i="7"/>
  <c r="BG126" i="7"/>
  <c r="BH126" i="7"/>
  <c r="BI126" i="7"/>
  <c r="BJ126" i="7"/>
  <c r="BK126" i="7"/>
  <c r="BL126" i="7"/>
  <c r="BM126" i="7"/>
  <c r="BN126" i="7"/>
  <c r="BO126" i="7"/>
  <c r="BP126" i="7"/>
  <c r="BQ126" i="7"/>
  <c r="BR126" i="7"/>
  <c r="BS126" i="7"/>
  <c r="BT126" i="7"/>
  <c r="BU126" i="7"/>
  <c r="BV126" i="7"/>
  <c r="BW126" i="7"/>
  <c r="BX126" i="7"/>
  <c r="BY126" i="7"/>
  <c r="BZ126" i="7"/>
  <c r="CA126" i="7"/>
  <c r="BC127" i="7"/>
  <c r="BD127" i="7"/>
  <c r="BE127" i="7"/>
  <c r="BF127" i="7"/>
  <c r="BG127" i="7"/>
  <c r="BH127" i="7"/>
  <c r="BI127" i="7"/>
  <c r="BJ127" i="7"/>
  <c r="BK127" i="7"/>
  <c r="BL127" i="7"/>
  <c r="BM127" i="7"/>
  <c r="BN127" i="7"/>
  <c r="BO127" i="7"/>
  <c r="BP127" i="7"/>
  <c r="BQ127" i="7"/>
  <c r="BR127" i="7"/>
  <c r="BS127" i="7"/>
  <c r="BT127" i="7"/>
  <c r="BU127" i="7"/>
  <c r="BV127" i="7"/>
  <c r="BW127" i="7"/>
  <c r="BX127" i="7"/>
  <c r="BY127" i="7"/>
  <c r="BZ127" i="7"/>
  <c r="CA127" i="7"/>
  <c r="BC128" i="7"/>
  <c r="BD128" i="7"/>
  <c r="BE128" i="7"/>
  <c r="BF128" i="7"/>
  <c r="BG128" i="7"/>
  <c r="BH128" i="7"/>
  <c r="BI128" i="7"/>
  <c r="BJ128" i="7"/>
  <c r="BK128" i="7"/>
  <c r="BL128" i="7"/>
  <c r="BM128" i="7"/>
  <c r="BN128" i="7"/>
  <c r="BO128" i="7"/>
  <c r="BP128" i="7"/>
  <c r="BQ128" i="7"/>
  <c r="BR128" i="7"/>
  <c r="BS128" i="7"/>
  <c r="BT128" i="7"/>
  <c r="BU128" i="7"/>
  <c r="BV128" i="7"/>
  <c r="BW128" i="7"/>
  <c r="BX128" i="7"/>
  <c r="BY128" i="7"/>
  <c r="BZ128" i="7"/>
  <c r="CA128" i="7"/>
  <c r="BC129" i="7"/>
  <c r="BD129" i="7"/>
  <c r="BE129" i="7"/>
  <c r="BF129" i="7"/>
  <c r="BG129" i="7"/>
  <c r="BH129" i="7"/>
  <c r="BI129" i="7"/>
  <c r="BJ129" i="7"/>
  <c r="BK129" i="7"/>
  <c r="BL129" i="7"/>
  <c r="BM129" i="7"/>
  <c r="BN129" i="7"/>
  <c r="BO129" i="7"/>
  <c r="BP129" i="7"/>
  <c r="BQ129" i="7"/>
  <c r="BR129" i="7"/>
  <c r="BS129" i="7"/>
  <c r="BT129" i="7"/>
  <c r="BU129" i="7"/>
  <c r="BV129" i="7"/>
  <c r="BW129" i="7"/>
  <c r="BX129" i="7"/>
  <c r="BY129" i="7"/>
  <c r="BZ129" i="7"/>
  <c r="CA129" i="7"/>
  <c r="BC130" i="7"/>
  <c r="BD130" i="7"/>
  <c r="BE130" i="7"/>
  <c r="BF130" i="7"/>
  <c r="BG130" i="7"/>
  <c r="BH130" i="7"/>
  <c r="BI130" i="7"/>
  <c r="BJ130" i="7"/>
  <c r="BK130" i="7"/>
  <c r="BL130" i="7"/>
  <c r="BM130" i="7"/>
  <c r="BN130" i="7"/>
  <c r="BO130" i="7"/>
  <c r="BP130" i="7"/>
  <c r="BQ130" i="7"/>
  <c r="BR130" i="7"/>
  <c r="BS130" i="7"/>
  <c r="BT130" i="7"/>
  <c r="BU130" i="7"/>
  <c r="BV130" i="7"/>
  <c r="BW130" i="7"/>
  <c r="BX130" i="7"/>
  <c r="BY130" i="7"/>
  <c r="BZ130" i="7"/>
  <c r="CA130" i="7"/>
  <c r="BC131" i="7"/>
  <c r="BD131" i="7"/>
  <c r="BE131" i="7"/>
  <c r="BF131" i="7"/>
  <c r="BG131" i="7"/>
  <c r="BH131" i="7"/>
  <c r="BI131" i="7"/>
  <c r="BJ131" i="7"/>
  <c r="BK131" i="7"/>
  <c r="BL131" i="7"/>
  <c r="BM131" i="7"/>
  <c r="BN131" i="7"/>
  <c r="BO131" i="7"/>
  <c r="BP131" i="7"/>
  <c r="BQ131" i="7"/>
  <c r="BR131" i="7"/>
  <c r="BS131" i="7"/>
  <c r="BT131" i="7"/>
  <c r="BU131" i="7"/>
  <c r="BV131" i="7"/>
  <c r="BW131" i="7"/>
  <c r="BX131" i="7"/>
  <c r="BY131" i="7"/>
  <c r="BZ131" i="7"/>
  <c r="CA131" i="7"/>
  <c r="BC132" i="7"/>
  <c r="BD132" i="7"/>
  <c r="BE132" i="7"/>
  <c r="BF132" i="7"/>
  <c r="BG132" i="7"/>
  <c r="BH132" i="7"/>
  <c r="BI132" i="7"/>
  <c r="BJ132" i="7"/>
  <c r="BK132" i="7"/>
  <c r="BL132" i="7"/>
  <c r="BM132" i="7"/>
  <c r="BN132" i="7"/>
  <c r="BO132" i="7"/>
  <c r="BP132" i="7"/>
  <c r="BQ132" i="7"/>
  <c r="BR132" i="7"/>
  <c r="BS132" i="7"/>
  <c r="BT132" i="7"/>
  <c r="BU132" i="7"/>
  <c r="BV132" i="7"/>
  <c r="BW132" i="7"/>
  <c r="BX132" i="7"/>
  <c r="BY132" i="7"/>
  <c r="BZ132" i="7"/>
  <c r="CA132" i="7"/>
  <c r="BC133" i="7"/>
  <c r="BD133" i="7"/>
  <c r="BE133" i="7"/>
  <c r="BF133" i="7"/>
  <c r="BG133" i="7"/>
  <c r="BH133" i="7"/>
  <c r="BI133" i="7"/>
  <c r="BJ133" i="7"/>
  <c r="BK133" i="7"/>
  <c r="BL133" i="7"/>
  <c r="BM133" i="7"/>
  <c r="BN133" i="7"/>
  <c r="BO133" i="7"/>
  <c r="BP133" i="7"/>
  <c r="BQ133" i="7"/>
  <c r="BR133" i="7"/>
  <c r="BS133" i="7"/>
  <c r="BT133" i="7"/>
  <c r="BU133" i="7"/>
  <c r="BV133" i="7"/>
  <c r="BW133" i="7"/>
  <c r="BX133" i="7"/>
  <c r="BY133" i="7"/>
  <c r="BZ133" i="7"/>
  <c r="CA133" i="7"/>
  <c r="BC134" i="7"/>
  <c r="BD134" i="7"/>
  <c r="BE134" i="7"/>
  <c r="BF134" i="7"/>
  <c r="BG134" i="7"/>
  <c r="BH134" i="7"/>
  <c r="BI134" i="7"/>
  <c r="BJ134" i="7"/>
  <c r="BK134" i="7"/>
  <c r="BL134" i="7"/>
  <c r="BM134" i="7"/>
  <c r="BN134" i="7"/>
  <c r="BO134" i="7"/>
  <c r="BP134" i="7"/>
  <c r="BQ134" i="7"/>
  <c r="BR134" i="7"/>
  <c r="BS134" i="7"/>
  <c r="BT134" i="7"/>
  <c r="BU134" i="7"/>
  <c r="BV134" i="7"/>
  <c r="BW134" i="7"/>
  <c r="BX134" i="7"/>
  <c r="BY134" i="7"/>
  <c r="BZ134" i="7"/>
  <c r="CA134" i="7"/>
  <c r="BC135" i="7"/>
  <c r="BD135" i="7"/>
  <c r="BE135" i="7"/>
  <c r="BF135" i="7"/>
  <c r="BG135" i="7"/>
  <c r="BH135" i="7"/>
  <c r="BI135" i="7"/>
  <c r="BJ135" i="7"/>
  <c r="BK135" i="7"/>
  <c r="BL135" i="7"/>
  <c r="BM135" i="7"/>
  <c r="BN135" i="7"/>
  <c r="BO135" i="7"/>
  <c r="BP135" i="7"/>
  <c r="BQ135" i="7"/>
  <c r="BR135" i="7"/>
  <c r="BS135" i="7"/>
  <c r="BT135" i="7"/>
  <c r="BU135" i="7"/>
  <c r="BV135" i="7"/>
  <c r="BW135" i="7"/>
  <c r="BX135" i="7"/>
  <c r="BY135" i="7"/>
  <c r="BZ135" i="7"/>
  <c r="CA135" i="7"/>
  <c r="BC136" i="7"/>
  <c r="BD136" i="7"/>
  <c r="BE136" i="7"/>
  <c r="BF136" i="7"/>
  <c r="BG136" i="7"/>
  <c r="BH136" i="7"/>
  <c r="BI136" i="7"/>
  <c r="BJ136" i="7"/>
  <c r="BK136" i="7"/>
  <c r="BL136" i="7"/>
  <c r="BM136" i="7"/>
  <c r="BN136" i="7"/>
  <c r="BO136" i="7"/>
  <c r="BP136" i="7"/>
  <c r="BQ136" i="7"/>
  <c r="BR136" i="7"/>
  <c r="BS136" i="7"/>
  <c r="BT136" i="7"/>
  <c r="BU136" i="7"/>
  <c r="BV136" i="7"/>
  <c r="BW136" i="7"/>
  <c r="BX136" i="7"/>
  <c r="BY136" i="7"/>
  <c r="BZ136" i="7"/>
  <c r="CA136" i="7"/>
  <c r="BC137" i="7"/>
  <c r="BD137" i="7"/>
  <c r="BE137" i="7"/>
  <c r="BF137" i="7"/>
  <c r="BG137" i="7"/>
  <c r="BH137" i="7"/>
  <c r="BI137" i="7"/>
  <c r="BJ137" i="7"/>
  <c r="BK137" i="7"/>
  <c r="BL137" i="7"/>
  <c r="BM137" i="7"/>
  <c r="BN137" i="7"/>
  <c r="BO137" i="7"/>
  <c r="BP137" i="7"/>
  <c r="BQ137" i="7"/>
  <c r="BR137" i="7"/>
  <c r="BS137" i="7"/>
  <c r="BT137" i="7"/>
  <c r="BU137" i="7"/>
  <c r="BV137" i="7"/>
  <c r="BW137" i="7"/>
  <c r="BX137" i="7"/>
  <c r="BY137" i="7"/>
  <c r="BZ137" i="7"/>
  <c r="CA137" i="7"/>
  <c r="BC138" i="7"/>
  <c r="BD138" i="7"/>
  <c r="BE138" i="7"/>
  <c r="BF138" i="7"/>
  <c r="BG138" i="7"/>
  <c r="BH138" i="7"/>
  <c r="BI138" i="7"/>
  <c r="BJ138" i="7"/>
  <c r="BK138" i="7"/>
  <c r="BL138" i="7"/>
  <c r="BM138" i="7"/>
  <c r="BN138" i="7"/>
  <c r="BO138" i="7"/>
  <c r="BP138" i="7"/>
  <c r="BQ138" i="7"/>
  <c r="BR138" i="7"/>
  <c r="BS138" i="7"/>
  <c r="BT138" i="7"/>
  <c r="BU138" i="7"/>
  <c r="BV138" i="7"/>
  <c r="BW138" i="7"/>
  <c r="BX138" i="7"/>
  <c r="BY138" i="7"/>
  <c r="BZ138" i="7"/>
  <c r="CA138" i="7"/>
  <c r="BC139" i="7"/>
  <c r="BD139" i="7"/>
  <c r="BE139" i="7"/>
  <c r="BF139" i="7"/>
  <c r="BG139" i="7"/>
  <c r="BH139" i="7"/>
  <c r="BI139" i="7"/>
  <c r="BJ139" i="7"/>
  <c r="BK139" i="7"/>
  <c r="BL139" i="7"/>
  <c r="BM139" i="7"/>
  <c r="BN139" i="7"/>
  <c r="BO139" i="7"/>
  <c r="BP139" i="7"/>
  <c r="BQ139" i="7"/>
  <c r="BR139" i="7"/>
  <c r="BS139" i="7"/>
  <c r="BT139" i="7"/>
  <c r="BU139" i="7"/>
  <c r="BV139" i="7"/>
  <c r="BW139" i="7"/>
  <c r="BX139" i="7"/>
  <c r="BY139" i="7"/>
  <c r="BZ139" i="7"/>
  <c r="CA139" i="7"/>
  <c r="BB116" i="7"/>
  <c r="BA116" i="7"/>
  <c r="AZ116" i="7"/>
  <c r="AY116" i="7"/>
  <c r="AX116" i="7"/>
  <c r="AW116" i="7"/>
  <c r="AV116" i="7"/>
  <c r="AS116" i="7"/>
  <c r="AR116" i="7"/>
  <c r="AQ116" i="7"/>
  <c r="AP116" i="7"/>
  <c r="BB115" i="7"/>
  <c r="BA115" i="7"/>
  <c r="AZ115" i="7"/>
  <c r="AY115" i="7"/>
  <c r="AX115" i="7"/>
  <c r="AW115" i="7"/>
  <c r="AV115" i="7"/>
  <c r="AS115" i="7"/>
  <c r="AR115" i="7"/>
  <c r="AQ115" i="7"/>
  <c r="AP115" i="7"/>
  <c r="BB114" i="7"/>
  <c r="BA114" i="7"/>
  <c r="AZ114" i="7"/>
  <c r="AY114" i="7"/>
  <c r="AX114" i="7"/>
  <c r="AW114" i="7"/>
  <c r="AV114" i="7"/>
  <c r="AS114" i="7"/>
  <c r="AR114" i="7"/>
  <c r="AQ114" i="7"/>
  <c r="AP114" i="7"/>
  <c r="BB113" i="7"/>
  <c r="BA113" i="7"/>
  <c r="AZ113" i="7"/>
  <c r="AY113" i="7"/>
  <c r="AX113" i="7"/>
  <c r="AW113" i="7"/>
  <c r="AV113" i="7"/>
  <c r="AS113" i="7"/>
  <c r="AR113" i="7"/>
  <c r="AQ113" i="7"/>
  <c r="AP113" i="7"/>
  <c r="BB112" i="7"/>
  <c r="BA112" i="7"/>
  <c r="AZ112" i="7"/>
  <c r="AY112" i="7"/>
  <c r="AX112" i="7"/>
  <c r="AW112" i="7"/>
  <c r="AV112" i="7"/>
  <c r="AS112" i="7"/>
  <c r="AR112" i="7"/>
  <c r="AQ112" i="7"/>
  <c r="AP112" i="7"/>
  <c r="BB111" i="7"/>
  <c r="BA111" i="7"/>
  <c r="AZ111" i="7"/>
  <c r="AY111" i="7"/>
  <c r="AX111" i="7"/>
  <c r="AW111" i="7"/>
  <c r="AV111" i="7"/>
  <c r="AS111" i="7"/>
  <c r="AR111" i="7"/>
  <c r="AQ111" i="7"/>
  <c r="AP111" i="7"/>
  <c r="BB110" i="7"/>
  <c r="BA110" i="7"/>
  <c r="AZ110" i="7"/>
  <c r="AY110" i="7"/>
  <c r="AX110" i="7"/>
  <c r="AW110" i="7"/>
  <c r="AV110" i="7"/>
  <c r="AS110" i="7"/>
  <c r="AR110" i="7"/>
  <c r="AQ110" i="7"/>
  <c r="AP110" i="7"/>
  <c r="BB109" i="7"/>
  <c r="BA109" i="7"/>
  <c r="AZ109" i="7"/>
  <c r="AY109" i="7"/>
  <c r="AX109" i="7"/>
  <c r="AW109" i="7"/>
  <c r="AV109" i="7"/>
  <c r="AS109" i="7"/>
  <c r="AR109" i="7"/>
  <c r="AQ109" i="7"/>
  <c r="AP109" i="7"/>
  <c r="BB108" i="7"/>
  <c r="BA108" i="7"/>
  <c r="AZ108" i="7"/>
  <c r="AY108" i="7"/>
  <c r="AX108" i="7"/>
  <c r="AW108" i="7"/>
  <c r="AV108" i="7"/>
  <c r="AS108" i="7"/>
  <c r="AR108" i="7"/>
  <c r="AQ108" i="7"/>
  <c r="AP108" i="7"/>
  <c r="BB107" i="7"/>
  <c r="BA107" i="7"/>
  <c r="AZ107" i="7"/>
  <c r="AY107" i="7"/>
  <c r="AX107" i="7"/>
  <c r="AW107" i="7"/>
  <c r="AV107" i="7"/>
  <c r="AS107" i="7"/>
  <c r="AR107" i="7"/>
  <c r="AQ107" i="7"/>
  <c r="AP107" i="7"/>
  <c r="BB106" i="7"/>
  <c r="BA106" i="7"/>
  <c r="AZ106" i="7"/>
  <c r="AY106" i="7"/>
  <c r="AX106" i="7"/>
  <c r="AW106" i="7"/>
  <c r="AV106" i="7"/>
  <c r="AS106" i="7"/>
  <c r="AR106" i="7"/>
  <c r="AQ106" i="7"/>
  <c r="AP106" i="7"/>
  <c r="BB105" i="7"/>
  <c r="BA105" i="7"/>
  <c r="AZ105" i="7"/>
  <c r="AY105" i="7"/>
  <c r="AX105" i="7"/>
  <c r="AW105" i="7"/>
  <c r="AV105" i="7"/>
  <c r="AS105" i="7"/>
  <c r="AR105" i="7"/>
  <c r="AQ105" i="7"/>
  <c r="AP105" i="7"/>
  <c r="BB104" i="7"/>
  <c r="BA104" i="7"/>
  <c r="AZ104" i="7"/>
  <c r="AY104" i="7"/>
  <c r="AX104" i="7"/>
  <c r="AW104" i="7"/>
  <c r="AV104" i="7"/>
  <c r="AS104" i="7"/>
  <c r="AR104" i="7"/>
  <c r="AQ104" i="7"/>
  <c r="AP104" i="7"/>
  <c r="BB124" i="7"/>
  <c r="BA124" i="7"/>
  <c r="AZ124" i="7"/>
  <c r="AY124" i="7"/>
  <c r="AX124" i="7"/>
  <c r="AW124" i="7"/>
  <c r="AV124" i="7"/>
  <c r="AS124" i="7"/>
  <c r="AR124" i="7"/>
  <c r="AQ124" i="7"/>
  <c r="AP124" i="7"/>
  <c r="BB123" i="7"/>
  <c r="BA123" i="7"/>
  <c r="AZ123" i="7"/>
  <c r="AY123" i="7"/>
  <c r="AX123" i="7"/>
  <c r="AW123" i="7"/>
  <c r="AV123" i="7"/>
  <c r="AS123" i="7"/>
  <c r="AR123" i="7"/>
  <c r="AQ123" i="7"/>
  <c r="AP123" i="7"/>
  <c r="BB122" i="7"/>
  <c r="BA122" i="7"/>
  <c r="AZ122" i="7"/>
  <c r="AY122" i="7"/>
  <c r="AX122" i="7"/>
  <c r="AW122" i="7"/>
  <c r="AV122" i="7"/>
  <c r="AS122" i="7"/>
  <c r="AR122" i="7"/>
  <c r="AQ122" i="7"/>
  <c r="AP122" i="7"/>
  <c r="BB121" i="7"/>
  <c r="BA121" i="7"/>
  <c r="AZ121" i="7"/>
  <c r="AY121" i="7"/>
  <c r="AX121" i="7"/>
  <c r="AW121" i="7"/>
  <c r="AV121" i="7"/>
  <c r="AS121" i="7"/>
  <c r="AR121" i="7"/>
  <c r="AQ121" i="7"/>
  <c r="AP121" i="7"/>
  <c r="BB120" i="7"/>
  <c r="BA120" i="7"/>
  <c r="AZ120" i="7"/>
  <c r="AY120" i="7"/>
  <c r="AX120" i="7"/>
  <c r="AW120" i="7"/>
  <c r="AV120" i="7"/>
  <c r="AS120" i="7"/>
  <c r="AR120" i="7"/>
  <c r="AQ120" i="7"/>
  <c r="AP120" i="7"/>
  <c r="BB119" i="7"/>
  <c r="BA119" i="7"/>
  <c r="AZ119" i="7"/>
  <c r="AY119" i="7"/>
  <c r="AX119" i="7"/>
  <c r="AW119" i="7"/>
  <c r="AV119" i="7"/>
  <c r="AS119" i="7"/>
  <c r="AR119" i="7"/>
  <c r="AQ119" i="7"/>
  <c r="AP119" i="7"/>
  <c r="BB118" i="7"/>
  <c r="BA118" i="7"/>
  <c r="AZ118" i="7"/>
  <c r="AY118" i="7"/>
  <c r="AX118" i="7"/>
  <c r="AW118" i="7"/>
  <c r="AV118" i="7"/>
  <c r="AS118" i="7"/>
  <c r="AR118" i="7"/>
  <c r="AQ118" i="7"/>
  <c r="AP118" i="7"/>
  <c r="BB117" i="7"/>
  <c r="BA117" i="7"/>
  <c r="AZ117" i="7"/>
  <c r="AY117" i="7"/>
  <c r="AX117" i="7"/>
  <c r="AW117" i="7"/>
  <c r="AV117" i="7"/>
  <c r="AS117" i="7"/>
  <c r="AR117" i="7"/>
  <c r="AQ117" i="7"/>
  <c r="AP117" i="7"/>
  <c r="BB103" i="7"/>
  <c r="BA103" i="7"/>
  <c r="AZ103" i="7"/>
  <c r="AY103" i="7"/>
  <c r="AX103" i="7"/>
  <c r="AW103" i="7"/>
  <c r="AV103" i="7"/>
  <c r="AS103" i="7"/>
  <c r="AR103" i="7"/>
  <c r="AQ103" i="7"/>
  <c r="AP103" i="7"/>
  <c r="BB102" i="7"/>
  <c r="BA102" i="7"/>
  <c r="AZ102" i="7"/>
  <c r="AY102" i="7"/>
  <c r="AX102" i="7"/>
  <c r="AW102" i="7"/>
  <c r="AV102" i="7"/>
  <c r="AS102" i="7"/>
  <c r="AR102" i="7"/>
  <c r="AQ102" i="7"/>
  <c r="AP102" i="7"/>
  <c r="BB101" i="7"/>
  <c r="BA101" i="7"/>
  <c r="AZ101" i="7"/>
  <c r="AY101" i="7"/>
  <c r="AX101" i="7"/>
  <c r="AW101" i="7"/>
  <c r="AV101" i="7"/>
  <c r="AS101" i="7"/>
  <c r="AR101" i="7"/>
  <c r="AQ101" i="7"/>
  <c r="AP101" i="7"/>
  <c r="AQ37" i="1"/>
  <c r="AQ36" i="1"/>
  <c r="AQ81" i="1"/>
  <c r="AQ10" i="1"/>
  <c r="AQ48" i="1"/>
  <c r="AQ78" i="1"/>
  <c r="AQ58" i="1"/>
  <c r="AQ47" i="1"/>
  <c r="AQ65" i="1"/>
  <c r="AQ54" i="1"/>
  <c r="AB98" i="1"/>
  <c r="AH98" i="1"/>
  <c r="C118" i="1" l="1"/>
  <c r="G22" i="4"/>
  <c r="E22" i="4"/>
  <c r="D22" i="4"/>
  <c r="C22" i="4"/>
  <c r="B22" i="4"/>
  <c r="AQ69" i="1" l="1"/>
  <c r="AP2" i="7"/>
  <c r="AP3" i="7"/>
  <c r="AP4" i="7"/>
  <c r="AP5" i="7"/>
  <c r="AP6" i="7"/>
  <c r="AP7" i="7"/>
  <c r="AP8" i="7"/>
  <c r="AP9" i="7"/>
  <c r="AP10" i="7"/>
  <c r="AP11" i="7"/>
  <c r="AP12" i="7"/>
  <c r="AP13" i="7"/>
  <c r="AP14" i="7"/>
  <c r="AP15" i="7"/>
  <c r="AP16" i="7"/>
  <c r="AP17" i="7"/>
  <c r="AP18" i="7"/>
  <c r="AP19" i="7"/>
  <c r="AP20" i="7"/>
  <c r="AP21" i="7"/>
  <c r="AP22" i="7"/>
  <c r="AP23" i="7"/>
  <c r="AP24" i="7"/>
  <c r="AP25" i="7"/>
  <c r="AP26" i="7"/>
  <c r="AP27" i="7"/>
  <c r="AP28" i="7"/>
  <c r="AP29" i="7"/>
  <c r="AP30" i="7"/>
  <c r="AP31" i="7"/>
  <c r="AP32" i="7"/>
  <c r="AP33" i="7"/>
  <c r="AP34" i="7"/>
  <c r="AP35" i="7"/>
  <c r="AP36" i="7"/>
  <c r="AP37" i="7"/>
  <c r="AP38" i="7"/>
  <c r="AP39" i="7"/>
  <c r="AP40" i="7"/>
  <c r="AP41" i="7"/>
  <c r="AP42" i="7"/>
  <c r="AP43" i="7"/>
  <c r="AP44" i="7"/>
  <c r="AP45" i="7"/>
  <c r="AP46" i="7"/>
  <c r="AP47" i="7"/>
  <c r="AP48" i="7"/>
  <c r="AP49" i="7"/>
  <c r="AP50" i="7"/>
  <c r="AP51" i="7"/>
  <c r="AP52" i="7"/>
  <c r="AP53" i="7"/>
  <c r="AP54" i="7"/>
  <c r="AP55" i="7"/>
  <c r="AP56" i="7"/>
  <c r="AP57" i="7"/>
  <c r="AP58" i="7"/>
  <c r="AP59" i="7"/>
  <c r="AP60" i="7"/>
  <c r="AP61" i="7"/>
  <c r="AP62" i="7"/>
  <c r="AP63" i="7"/>
  <c r="AP64" i="7"/>
  <c r="AP65" i="7"/>
  <c r="AP66" i="7"/>
  <c r="AP67" i="7"/>
  <c r="AP68" i="7"/>
  <c r="AP69" i="7"/>
  <c r="AP70" i="7"/>
  <c r="AP71" i="7"/>
  <c r="AP72" i="7"/>
  <c r="AP73" i="7"/>
  <c r="AP74" i="7"/>
  <c r="AP75" i="7"/>
  <c r="AP76" i="7"/>
  <c r="AP77" i="7"/>
  <c r="AP78" i="7"/>
  <c r="AP79" i="7"/>
  <c r="AP80" i="7"/>
  <c r="AP81" i="7"/>
  <c r="AP82" i="7"/>
  <c r="AP83" i="7"/>
  <c r="AP84" i="7"/>
  <c r="AP85" i="7"/>
  <c r="AP86" i="7"/>
  <c r="AP87" i="7"/>
  <c r="AP88" i="7"/>
  <c r="AP89" i="7"/>
  <c r="AP90" i="7"/>
  <c r="AP91" i="7"/>
  <c r="AP92" i="7"/>
  <c r="AP93" i="7"/>
  <c r="AP94" i="7"/>
  <c r="AP95" i="7"/>
  <c r="AP96" i="7"/>
  <c r="AP97" i="7"/>
  <c r="AP98" i="7"/>
  <c r="AP99" i="7"/>
  <c r="AP100" i="7"/>
  <c r="AP125" i="7"/>
  <c r="AP126" i="7"/>
  <c r="AP127" i="7"/>
  <c r="AP128" i="7"/>
  <c r="C124" i="1" l="1"/>
  <c r="C125" i="1" l="1"/>
  <c r="C119" i="1" s="1"/>
  <c r="C120" i="1" l="1"/>
  <c r="C127" i="1"/>
  <c r="AQ4" i="1" l="1"/>
  <c r="AQ61" i="1"/>
  <c r="AQ63" i="1"/>
  <c r="AQ43" i="1"/>
  <c r="AQ79" i="1"/>
  <c r="AQ86" i="1"/>
  <c r="AQ42" i="1"/>
  <c r="AQ3" i="7" l="1"/>
  <c r="AR3" i="7"/>
  <c r="AS3" i="7"/>
  <c r="AV3" i="7"/>
  <c r="AW3" i="7"/>
  <c r="AX3" i="7"/>
  <c r="AY3" i="7"/>
  <c r="AZ3" i="7"/>
  <c r="BA3" i="7"/>
  <c r="BB3" i="7"/>
  <c r="AQ4" i="7"/>
  <c r="AR4" i="7"/>
  <c r="AS4" i="7"/>
  <c r="AV4" i="7"/>
  <c r="AW4" i="7"/>
  <c r="AX4" i="7"/>
  <c r="AY4" i="7"/>
  <c r="AZ4" i="7"/>
  <c r="BA4" i="7"/>
  <c r="BB4" i="7"/>
  <c r="AQ5" i="7"/>
  <c r="AR5" i="7"/>
  <c r="AS5" i="7"/>
  <c r="AV5" i="7"/>
  <c r="AW5" i="7"/>
  <c r="AX5" i="7"/>
  <c r="AY5" i="7"/>
  <c r="AZ5" i="7"/>
  <c r="BA5" i="7"/>
  <c r="BB5" i="7"/>
  <c r="AQ6" i="7"/>
  <c r="AR6" i="7"/>
  <c r="AS6" i="7"/>
  <c r="AV6" i="7"/>
  <c r="AW6" i="7"/>
  <c r="AX6" i="7"/>
  <c r="AY6" i="7"/>
  <c r="AZ6" i="7"/>
  <c r="BA6" i="7"/>
  <c r="BB6" i="7"/>
  <c r="AQ7" i="7"/>
  <c r="AR7" i="7"/>
  <c r="AS7" i="7"/>
  <c r="AV7" i="7"/>
  <c r="AW7" i="7"/>
  <c r="AX7" i="7"/>
  <c r="AY7" i="7"/>
  <c r="AZ7" i="7"/>
  <c r="BA7" i="7"/>
  <c r="BB7" i="7"/>
  <c r="AQ8" i="7"/>
  <c r="AR8" i="7"/>
  <c r="AS8" i="7"/>
  <c r="AV8" i="7"/>
  <c r="AW8" i="7"/>
  <c r="AX8" i="7"/>
  <c r="AY8" i="7"/>
  <c r="AZ8" i="7"/>
  <c r="BA8" i="7"/>
  <c r="BB8" i="7"/>
  <c r="AQ9" i="7"/>
  <c r="AR9" i="7"/>
  <c r="AS9" i="7"/>
  <c r="AV9" i="7"/>
  <c r="AW9" i="7"/>
  <c r="AX9" i="7"/>
  <c r="AY9" i="7"/>
  <c r="AZ9" i="7"/>
  <c r="BA9" i="7"/>
  <c r="BB9" i="7"/>
  <c r="AQ10" i="7"/>
  <c r="AR10" i="7"/>
  <c r="AS10" i="7"/>
  <c r="AV10" i="7"/>
  <c r="AW10" i="7"/>
  <c r="AX10" i="7"/>
  <c r="AY10" i="7"/>
  <c r="AZ10" i="7"/>
  <c r="BA10" i="7"/>
  <c r="BB10" i="7"/>
  <c r="AQ11" i="7"/>
  <c r="AR11" i="7"/>
  <c r="AS11" i="7"/>
  <c r="AV11" i="7"/>
  <c r="AW11" i="7"/>
  <c r="AX11" i="7"/>
  <c r="AY11" i="7"/>
  <c r="AZ11" i="7"/>
  <c r="BA11" i="7"/>
  <c r="BB11" i="7"/>
  <c r="AQ12" i="7"/>
  <c r="AR12" i="7"/>
  <c r="AS12" i="7"/>
  <c r="AV12" i="7"/>
  <c r="AW12" i="7"/>
  <c r="AX12" i="7"/>
  <c r="AY12" i="7"/>
  <c r="AZ12" i="7"/>
  <c r="BA12" i="7"/>
  <c r="BB12" i="7"/>
  <c r="AQ13" i="7"/>
  <c r="AR13" i="7"/>
  <c r="AS13" i="7"/>
  <c r="AV13" i="7"/>
  <c r="AW13" i="7"/>
  <c r="AX13" i="7"/>
  <c r="AY13" i="7"/>
  <c r="AZ13" i="7"/>
  <c r="BA13" i="7"/>
  <c r="BB13" i="7"/>
  <c r="AQ14" i="7"/>
  <c r="AR14" i="7"/>
  <c r="AS14" i="7"/>
  <c r="AV14" i="7"/>
  <c r="AW14" i="7"/>
  <c r="AX14" i="7"/>
  <c r="AY14" i="7"/>
  <c r="AZ14" i="7"/>
  <c r="BA14" i="7"/>
  <c r="BB14" i="7"/>
  <c r="AQ15" i="7"/>
  <c r="AR15" i="7"/>
  <c r="AS15" i="7"/>
  <c r="AV15" i="7"/>
  <c r="AW15" i="7"/>
  <c r="AX15" i="7"/>
  <c r="AY15" i="7"/>
  <c r="AZ15" i="7"/>
  <c r="BA15" i="7"/>
  <c r="BB15" i="7"/>
  <c r="AQ16" i="7"/>
  <c r="AR16" i="7"/>
  <c r="AS16" i="7"/>
  <c r="AV16" i="7"/>
  <c r="AW16" i="7"/>
  <c r="AX16" i="7"/>
  <c r="AY16" i="7"/>
  <c r="AZ16" i="7"/>
  <c r="BA16" i="7"/>
  <c r="BB16" i="7"/>
  <c r="AQ17" i="7"/>
  <c r="AR17" i="7"/>
  <c r="AS17" i="7"/>
  <c r="AV17" i="7"/>
  <c r="AW17" i="7"/>
  <c r="AX17" i="7"/>
  <c r="AY17" i="7"/>
  <c r="AZ17" i="7"/>
  <c r="BA17" i="7"/>
  <c r="BB17" i="7"/>
  <c r="AQ18" i="7"/>
  <c r="AR18" i="7"/>
  <c r="AS18" i="7"/>
  <c r="AV18" i="7"/>
  <c r="AW18" i="7"/>
  <c r="AX18" i="7"/>
  <c r="AY18" i="7"/>
  <c r="AZ18" i="7"/>
  <c r="BA18" i="7"/>
  <c r="BB18" i="7"/>
  <c r="AQ19" i="7"/>
  <c r="AR19" i="7"/>
  <c r="AS19" i="7"/>
  <c r="AV19" i="7"/>
  <c r="AW19" i="7"/>
  <c r="AX19" i="7"/>
  <c r="AY19" i="7"/>
  <c r="AZ19" i="7"/>
  <c r="BA19" i="7"/>
  <c r="BB19" i="7"/>
  <c r="AQ20" i="7"/>
  <c r="AR20" i="7"/>
  <c r="AS20" i="7"/>
  <c r="AV20" i="7"/>
  <c r="AW20" i="7"/>
  <c r="AX20" i="7"/>
  <c r="AY20" i="7"/>
  <c r="AZ20" i="7"/>
  <c r="BA20" i="7"/>
  <c r="BB20" i="7"/>
  <c r="AQ21" i="7"/>
  <c r="AR21" i="7"/>
  <c r="AS21" i="7"/>
  <c r="AV21" i="7"/>
  <c r="AW21" i="7"/>
  <c r="AX21" i="7"/>
  <c r="AY21" i="7"/>
  <c r="AZ21" i="7"/>
  <c r="BA21" i="7"/>
  <c r="BB21" i="7"/>
  <c r="AQ22" i="7"/>
  <c r="AR22" i="7"/>
  <c r="AS22" i="7"/>
  <c r="AV22" i="7"/>
  <c r="AW22" i="7"/>
  <c r="AX22" i="7"/>
  <c r="AY22" i="7"/>
  <c r="AZ22" i="7"/>
  <c r="BA22" i="7"/>
  <c r="BB22" i="7"/>
  <c r="AQ23" i="7"/>
  <c r="AR23" i="7"/>
  <c r="AS23" i="7"/>
  <c r="AV23" i="7"/>
  <c r="AW23" i="7"/>
  <c r="AX23" i="7"/>
  <c r="AY23" i="7"/>
  <c r="AZ23" i="7"/>
  <c r="BA23" i="7"/>
  <c r="BB23" i="7"/>
  <c r="AQ24" i="7"/>
  <c r="AR24" i="7"/>
  <c r="AS24" i="7"/>
  <c r="AV24" i="7"/>
  <c r="AW24" i="7"/>
  <c r="AX24" i="7"/>
  <c r="AY24" i="7"/>
  <c r="AZ24" i="7"/>
  <c r="BA24" i="7"/>
  <c r="BB24" i="7"/>
  <c r="AQ25" i="7"/>
  <c r="AR25" i="7"/>
  <c r="AS25" i="7"/>
  <c r="AV25" i="7"/>
  <c r="AW25" i="7"/>
  <c r="AX25" i="7"/>
  <c r="AY25" i="7"/>
  <c r="AZ25" i="7"/>
  <c r="BA25" i="7"/>
  <c r="BB25" i="7"/>
  <c r="AQ26" i="7"/>
  <c r="AR26" i="7"/>
  <c r="AS26" i="7"/>
  <c r="AV26" i="7"/>
  <c r="AW26" i="7"/>
  <c r="AX26" i="7"/>
  <c r="AY26" i="7"/>
  <c r="AZ26" i="7"/>
  <c r="BA26" i="7"/>
  <c r="BB26" i="7"/>
  <c r="AQ27" i="7"/>
  <c r="AR27" i="7"/>
  <c r="AS27" i="7"/>
  <c r="AV27" i="7"/>
  <c r="AW27" i="7"/>
  <c r="AX27" i="7"/>
  <c r="AY27" i="7"/>
  <c r="AZ27" i="7"/>
  <c r="BA27" i="7"/>
  <c r="BB27" i="7"/>
  <c r="AQ28" i="7"/>
  <c r="AR28" i="7"/>
  <c r="AS28" i="7"/>
  <c r="AV28" i="7"/>
  <c r="AW28" i="7"/>
  <c r="AX28" i="7"/>
  <c r="AY28" i="7"/>
  <c r="AZ28" i="7"/>
  <c r="BA28" i="7"/>
  <c r="BB28" i="7"/>
  <c r="AQ29" i="7"/>
  <c r="AR29" i="7"/>
  <c r="AS29" i="7"/>
  <c r="AV29" i="7"/>
  <c r="AW29" i="7"/>
  <c r="AX29" i="7"/>
  <c r="AY29" i="7"/>
  <c r="AZ29" i="7"/>
  <c r="BA29" i="7"/>
  <c r="BB29" i="7"/>
  <c r="AQ30" i="7"/>
  <c r="AR30" i="7"/>
  <c r="AS30" i="7"/>
  <c r="AV30" i="7"/>
  <c r="AW30" i="7"/>
  <c r="AX30" i="7"/>
  <c r="AY30" i="7"/>
  <c r="AZ30" i="7"/>
  <c r="BA30" i="7"/>
  <c r="BB30" i="7"/>
  <c r="AQ31" i="7"/>
  <c r="AR31" i="7"/>
  <c r="AS31" i="7"/>
  <c r="AV31" i="7"/>
  <c r="AW31" i="7"/>
  <c r="AX31" i="7"/>
  <c r="AY31" i="7"/>
  <c r="AZ31" i="7"/>
  <c r="BA31" i="7"/>
  <c r="BB31" i="7"/>
  <c r="AQ32" i="7"/>
  <c r="AR32" i="7"/>
  <c r="AS32" i="7"/>
  <c r="AV32" i="7"/>
  <c r="AW32" i="7"/>
  <c r="AX32" i="7"/>
  <c r="AY32" i="7"/>
  <c r="AZ32" i="7"/>
  <c r="BA32" i="7"/>
  <c r="BB32" i="7"/>
  <c r="AQ33" i="7"/>
  <c r="AR33" i="7"/>
  <c r="AS33" i="7"/>
  <c r="AV33" i="7"/>
  <c r="AW33" i="7"/>
  <c r="AX33" i="7"/>
  <c r="AY33" i="7"/>
  <c r="AZ33" i="7"/>
  <c r="BA33" i="7"/>
  <c r="BB33" i="7"/>
  <c r="AQ34" i="7"/>
  <c r="AR34" i="7"/>
  <c r="AS34" i="7"/>
  <c r="AV34" i="7"/>
  <c r="AW34" i="7"/>
  <c r="AX34" i="7"/>
  <c r="AY34" i="7"/>
  <c r="AZ34" i="7"/>
  <c r="BA34" i="7"/>
  <c r="BB34" i="7"/>
  <c r="AQ35" i="7"/>
  <c r="AR35" i="7"/>
  <c r="AS35" i="7"/>
  <c r="AV35" i="7"/>
  <c r="AW35" i="7"/>
  <c r="AX35" i="7"/>
  <c r="AY35" i="7"/>
  <c r="AZ35" i="7"/>
  <c r="BA35" i="7"/>
  <c r="BB35" i="7"/>
  <c r="AQ36" i="7"/>
  <c r="AR36" i="7"/>
  <c r="AS36" i="7"/>
  <c r="AV36" i="7"/>
  <c r="AW36" i="7"/>
  <c r="AX36" i="7"/>
  <c r="AY36" i="7"/>
  <c r="AZ36" i="7"/>
  <c r="BA36" i="7"/>
  <c r="BB36" i="7"/>
  <c r="AQ37" i="7"/>
  <c r="AR37" i="7"/>
  <c r="AS37" i="7"/>
  <c r="AV37" i="7"/>
  <c r="AW37" i="7"/>
  <c r="AX37" i="7"/>
  <c r="AY37" i="7"/>
  <c r="AZ37" i="7"/>
  <c r="BA37" i="7"/>
  <c r="BB37" i="7"/>
  <c r="AQ38" i="7"/>
  <c r="AR38" i="7"/>
  <c r="AS38" i="7"/>
  <c r="AV38" i="7"/>
  <c r="AW38" i="7"/>
  <c r="AX38" i="7"/>
  <c r="AY38" i="7"/>
  <c r="AZ38" i="7"/>
  <c r="BA38" i="7"/>
  <c r="BB38" i="7"/>
  <c r="AQ39" i="7"/>
  <c r="AR39" i="7"/>
  <c r="AS39" i="7"/>
  <c r="AV39" i="7"/>
  <c r="AW39" i="7"/>
  <c r="AX39" i="7"/>
  <c r="AY39" i="7"/>
  <c r="AZ39" i="7"/>
  <c r="BA39" i="7"/>
  <c r="BB39" i="7"/>
  <c r="AQ40" i="7"/>
  <c r="AR40" i="7"/>
  <c r="AS40" i="7"/>
  <c r="AV40" i="7"/>
  <c r="AW40" i="7"/>
  <c r="AX40" i="7"/>
  <c r="AY40" i="7"/>
  <c r="AZ40" i="7"/>
  <c r="BA40" i="7"/>
  <c r="BB40" i="7"/>
  <c r="AQ41" i="7"/>
  <c r="AR41" i="7"/>
  <c r="AS41" i="7"/>
  <c r="AV41" i="7"/>
  <c r="AW41" i="7"/>
  <c r="AX41" i="7"/>
  <c r="AY41" i="7"/>
  <c r="AZ41" i="7"/>
  <c r="BA41" i="7"/>
  <c r="BB41" i="7"/>
  <c r="AQ42" i="7"/>
  <c r="AR42" i="7"/>
  <c r="AS42" i="7"/>
  <c r="AV42" i="7"/>
  <c r="AW42" i="7"/>
  <c r="AX42" i="7"/>
  <c r="AY42" i="7"/>
  <c r="AZ42" i="7"/>
  <c r="BA42" i="7"/>
  <c r="BB42" i="7"/>
  <c r="AQ43" i="7"/>
  <c r="AR43" i="7"/>
  <c r="AS43" i="7"/>
  <c r="AV43" i="7"/>
  <c r="AW43" i="7"/>
  <c r="AX43" i="7"/>
  <c r="AY43" i="7"/>
  <c r="AZ43" i="7"/>
  <c r="BA43" i="7"/>
  <c r="BB43" i="7"/>
  <c r="AQ44" i="7"/>
  <c r="AR44" i="7"/>
  <c r="AS44" i="7"/>
  <c r="AV44" i="7"/>
  <c r="AW44" i="7"/>
  <c r="AX44" i="7"/>
  <c r="AY44" i="7"/>
  <c r="AZ44" i="7"/>
  <c r="BA44" i="7"/>
  <c r="BB44" i="7"/>
  <c r="AQ45" i="7"/>
  <c r="AR45" i="7"/>
  <c r="AS45" i="7"/>
  <c r="AV45" i="7"/>
  <c r="AW45" i="7"/>
  <c r="AX45" i="7"/>
  <c r="AY45" i="7"/>
  <c r="AZ45" i="7"/>
  <c r="BA45" i="7"/>
  <c r="BB45" i="7"/>
  <c r="AQ46" i="7"/>
  <c r="AR46" i="7"/>
  <c r="AS46" i="7"/>
  <c r="AV46" i="7"/>
  <c r="AW46" i="7"/>
  <c r="AX46" i="7"/>
  <c r="AY46" i="7"/>
  <c r="AZ46" i="7"/>
  <c r="BA46" i="7"/>
  <c r="BB46" i="7"/>
  <c r="AQ47" i="7"/>
  <c r="AR47" i="7"/>
  <c r="AS47" i="7"/>
  <c r="AV47" i="7"/>
  <c r="AW47" i="7"/>
  <c r="AX47" i="7"/>
  <c r="AY47" i="7"/>
  <c r="AZ47" i="7"/>
  <c r="BA47" i="7"/>
  <c r="BB47" i="7"/>
  <c r="AQ48" i="7"/>
  <c r="AR48" i="7"/>
  <c r="AS48" i="7"/>
  <c r="AV48" i="7"/>
  <c r="AW48" i="7"/>
  <c r="AX48" i="7"/>
  <c r="AY48" i="7"/>
  <c r="AZ48" i="7"/>
  <c r="BA48" i="7"/>
  <c r="BB48" i="7"/>
  <c r="AQ49" i="7"/>
  <c r="AR49" i="7"/>
  <c r="AS49" i="7"/>
  <c r="AV49" i="7"/>
  <c r="AW49" i="7"/>
  <c r="AX49" i="7"/>
  <c r="AY49" i="7"/>
  <c r="AZ49" i="7"/>
  <c r="BA49" i="7"/>
  <c r="BB49" i="7"/>
  <c r="AQ50" i="7"/>
  <c r="AR50" i="7"/>
  <c r="AS50" i="7"/>
  <c r="AV50" i="7"/>
  <c r="AW50" i="7"/>
  <c r="AX50" i="7"/>
  <c r="AY50" i="7"/>
  <c r="AZ50" i="7"/>
  <c r="BA50" i="7"/>
  <c r="BB50" i="7"/>
  <c r="AQ51" i="7"/>
  <c r="AR51" i="7"/>
  <c r="AS51" i="7"/>
  <c r="AV51" i="7"/>
  <c r="AW51" i="7"/>
  <c r="AX51" i="7"/>
  <c r="AY51" i="7"/>
  <c r="AZ51" i="7"/>
  <c r="BA51" i="7"/>
  <c r="BB51" i="7"/>
  <c r="AQ52" i="7"/>
  <c r="AR52" i="7"/>
  <c r="AS52" i="7"/>
  <c r="AV52" i="7"/>
  <c r="AW52" i="7"/>
  <c r="AX52" i="7"/>
  <c r="AY52" i="7"/>
  <c r="AZ52" i="7"/>
  <c r="BA52" i="7"/>
  <c r="BB52" i="7"/>
  <c r="AQ53" i="7"/>
  <c r="AR53" i="7"/>
  <c r="AS53" i="7"/>
  <c r="AV53" i="7"/>
  <c r="AW53" i="7"/>
  <c r="AX53" i="7"/>
  <c r="AY53" i="7"/>
  <c r="AZ53" i="7"/>
  <c r="BA53" i="7"/>
  <c r="BB53" i="7"/>
  <c r="AQ54" i="7"/>
  <c r="AR54" i="7"/>
  <c r="AS54" i="7"/>
  <c r="AV54" i="7"/>
  <c r="AW54" i="7"/>
  <c r="AX54" i="7"/>
  <c r="AY54" i="7"/>
  <c r="AZ54" i="7"/>
  <c r="BA54" i="7"/>
  <c r="BB54" i="7"/>
  <c r="AQ55" i="7"/>
  <c r="AR55" i="7"/>
  <c r="AS55" i="7"/>
  <c r="AV55" i="7"/>
  <c r="AW55" i="7"/>
  <c r="AX55" i="7"/>
  <c r="AY55" i="7"/>
  <c r="AZ55" i="7"/>
  <c r="BA55" i="7"/>
  <c r="BB55" i="7"/>
  <c r="AQ56" i="7"/>
  <c r="AR56" i="7"/>
  <c r="AS56" i="7"/>
  <c r="AV56" i="7"/>
  <c r="AW56" i="7"/>
  <c r="AX56" i="7"/>
  <c r="AY56" i="7"/>
  <c r="AZ56" i="7"/>
  <c r="BA56" i="7"/>
  <c r="BB56" i="7"/>
  <c r="AQ57" i="7"/>
  <c r="AR57" i="7"/>
  <c r="AS57" i="7"/>
  <c r="AV57" i="7"/>
  <c r="AW57" i="7"/>
  <c r="AX57" i="7"/>
  <c r="AY57" i="7"/>
  <c r="AZ57" i="7"/>
  <c r="BA57" i="7"/>
  <c r="BB57" i="7"/>
  <c r="AQ58" i="7"/>
  <c r="AR58" i="7"/>
  <c r="AS58" i="7"/>
  <c r="AV58" i="7"/>
  <c r="AW58" i="7"/>
  <c r="AX58" i="7"/>
  <c r="AY58" i="7"/>
  <c r="AZ58" i="7"/>
  <c r="BA58" i="7"/>
  <c r="BB58" i="7"/>
  <c r="AQ59" i="7"/>
  <c r="AR59" i="7"/>
  <c r="AS59" i="7"/>
  <c r="AV59" i="7"/>
  <c r="AW59" i="7"/>
  <c r="AX59" i="7"/>
  <c r="AY59" i="7"/>
  <c r="AZ59" i="7"/>
  <c r="BA59" i="7"/>
  <c r="BB59" i="7"/>
  <c r="AQ60" i="7"/>
  <c r="AR60" i="7"/>
  <c r="AS60" i="7"/>
  <c r="AV60" i="7"/>
  <c r="AW60" i="7"/>
  <c r="AX60" i="7"/>
  <c r="AY60" i="7"/>
  <c r="AZ60" i="7"/>
  <c r="BA60" i="7"/>
  <c r="BB60" i="7"/>
  <c r="AQ61" i="7"/>
  <c r="AR61" i="7"/>
  <c r="AS61" i="7"/>
  <c r="AV61" i="7"/>
  <c r="AW61" i="7"/>
  <c r="AX61" i="7"/>
  <c r="AY61" i="7"/>
  <c r="AZ61" i="7"/>
  <c r="BA61" i="7"/>
  <c r="BB61" i="7"/>
  <c r="AQ62" i="7"/>
  <c r="AR62" i="7"/>
  <c r="AS62" i="7"/>
  <c r="AV62" i="7"/>
  <c r="AW62" i="7"/>
  <c r="AX62" i="7"/>
  <c r="AY62" i="7"/>
  <c r="AZ62" i="7"/>
  <c r="BA62" i="7"/>
  <c r="BB62" i="7"/>
  <c r="AQ63" i="7"/>
  <c r="AR63" i="7"/>
  <c r="AS63" i="7"/>
  <c r="AV63" i="7"/>
  <c r="AW63" i="7"/>
  <c r="AX63" i="7"/>
  <c r="AY63" i="7"/>
  <c r="AZ63" i="7"/>
  <c r="BA63" i="7"/>
  <c r="BB63" i="7"/>
  <c r="AQ64" i="7"/>
  <c r="AR64" i="7"/>
  <c r="AS64" i="7"/>
  <c r="AV64" i="7"/>
  <c r="AW64" i="7"/>
  <c r="AX64" i="7"/>
  <c r="AY64" i="7"/>
  <c r="AZ64" i="7"/>
  <c r="BA64" i="7"/>
  <c r="BB64" i="7"/>
  <c r="AQ65" i="7"/>
  <c r="AR65" i="7"/>
  <c r="AS65" i="7"/>
  <c r="AV65" i="7"/>
  <c r="AW65" i="7"/>
  <c r="AX65" i="7"/>
  <c r="AY65" i="7"/>
  <c r="AZ65" i="7"/>
  <c r="BA65" i="7"/>
  <c r="BB65" i="7"/>
  <c r="AQ66" i="7"/>
  <c r="AR66" i="7"/>
  <c r="AS66" i="7"/>
  <c r="AV66" i="7"/>
  <c r="AW66" i="7"/>
  <c r="AX66" i="7"/>
  <c r="AY66" i="7"/>
  <c r="AZ66" i="7"/>
  <c r="BA66" i="7"/>
  <c r="BB66" i="7"/>
  <c r="AQ67" i="7"/>
  <c r="AR67" i="7"/>
  <c r="AS67" i="7"/>
  <c r="AV67" i="7"/>
  <c r="AW67" i="7"/>
  <c r="AX67" i="7"/>
  <c r="AY67" i="7"/>
  <c r="AZ67" i="7"/>
  <c r="BA67" i="7"/>
  <c r="BB67" i="7"/>
  <c r="AQ68" i="7"/>
  <c r="AR68" i="7"/>
  <c r="AS68" i="7"/>
  <c r="AV68" i="7"/>
  <c r="AW68" i="7"/>
  <c r="AX68" i="7"/>
  <c r="AY68" i="7"/>
  <c r="AZ68" i="7"/>
  <c r="BA68" i="7"/>
  <c r="BB68" i="7"/>
  <c r="AQ69" i="7"/>
  <c r="AR69" i="7"/>
  <c r="AS69" i="7"/>
  <c r="AV69" i="7"/>
  <c r="AW69" i="7"/>
  <c r="AX69" i="7"/>
  <c r="AY69" i="7"/>
  <c r="AZ69" i="7"/>
  <c r="BA69" i="7"/>
  <c r="BB69" i="7"/>
  <c r="AQ70" i="7"/>
  <c r="AR70" i="7"/>
  <c r="AS70" i="7"/>
  <c r="AV70" i="7"/>
  <c r="AW70" i="7"/>
  <c r="AX70" i="7"/>
  <c r="AY70" i="7"/>
  <c r="AZ70" i="7"/>
  <c r="BA70" i="7"/>
  <c r="BB70" i="7"/>
  <c r="AQ71" i="7"/>
  <c r="AR71" i="7"/>
  <c r="AS71" i="7"/>
  <c r="AV71" i="7"/>
  <c r="AW71" i="7"/>
  <c r="AX71" i="7"/>
  <c r="AY71" i="7"/>
  <c r="AZ71" i="7"/>
  <c r="BA71" i="7"/>
  <c r="BB71" i="7"/>
  <c r="AQ72" i="7"/>
  <c r="AR72" i="7"/>
  <c r="AS72" i="7"/>
  <c r="AV72" i="7"/>
  <c r="AW72" i="7"/>
  <c r="AX72" i="7"/>
  <c r="AY72" i="7"/>
  <c r="AZ72" i="7"/>
  <c r="BA72" i="7"/>
  <c r="BB72" i="7"/>
  <c r="AQ73" i="7"/>
  <c r="AR73" i="7"/>
  <c r="AS73" i="7"/>
  <c r="AV73" i="7"/>
  <c r="AW73" i="7"/>
  <c r="AX73" i="7"/>
  <c r="AY73" i="7"/>
  <c r="AZ73" i="7"/>
  <c r="BA73" i="7"/>
  <c r="BB73" i="7"/>
  <c r="AQ74" i="7"/>
  <c r="AR74" i="7"/>
  <c r="AS74" i="7"/>
  <c r="AV74" i="7"/>
  <c r="AW74" i="7"/>
  <c r="AX74" i="7"/>
  <c r="AY74" i="7"/>
  <c r="AZ74" i="7"/>
  <c r="BA74" i="7"/>
  <c r="BB74" i="7"/>
  <c r="AQ75" i="7"/>
  <c r="AR75" i="7"/>
  <c r="AS75" i="7"/>
  <c r="AV75" i="7"/>
  <c r="AW75" i="7"/>
  <c r="AX75" i="7"/>
  <c r="AY75" i="7"/>
  <c r="AZ75" i="7"/>
  <c r="BA75" i="7"/>
  <c r="BB75" i="7"/>
  <c r="AQ76" i="7"/>
  <c r="AR76" i="7"/>
  <c r="AS76" i="7"/>
  <c r="AV76" i="7"/>
  <c r="AW76" i="7"/>
  <c r="AX76" i="7"/>
  <c r="AY76" i="7"/>
  <c r="AZ76" i="7"/>
  <c r="BA76" i="7"/>
  <c r="BB76" i="7"/>
  <c r="AQ77" i="7"/>
  <c r="AR77" i="7"/>
  <c r="AS77" i="7"/>
  <c r="AV77" i="7"/>
  <c r="AW77" i="7"/>
  <c r="AX77" i="7"/>
  <c r="AY77" i="7"/>
  <c r="AZ77" i="7"/>
  <c r="BA77" i="7"/>
  <c r="BB77" i="7"/>
  <c r="AQ78" i="7"/>
  <c r="AR78" i="7"/>
  <c r="AS78" i="7"/>
  <c r="AV78" i="7"/>
  <c r="AW78" i="7"/>
  <c r="AX78" i="7"/>
  <c r="AY78" i="7"/>
  <c r="AZ78" i="7"/>
  <c r="BA78" i="7"/>
  <c r="BB78" i="7"/>
  <c r="AQ79" i="7"/>
  <c r="AR79" i="7"/>
  <c r="AS79" i="7"/>
  <c r="AV79" i="7"/>
  <c r="AW79" i="7"/>
  <c r="AX79" i="7"/>
  <c r="AY79" i="7"/>
  <c r="AZ79" i="7"/>
  <c r="BA79" i="7"/>
  <c r="BB79" i="7"/>
  <c r="AQ80" i="7"/>
  <c r="AR80" i="7"/>
  <c r="AS80" i="7"/>
  <c r="AV80" i="7"/>
  <c r="AW80" i="7"/>
  <c r="AX80" i="7"/>
  <c r="AY80" i="7"/>
  <c r="AZ80" i="7"/>
  <c r="BA80" i="7"/>
  <c r="BB80" i="7"/>
  <c r="AQ81" i="7"/>
  <c r="AR81" i="7"/>
  <c r="AS81" i="7"/>
  <c r="AV81" i="7"/>
  <c r="AW81" i="7"/>
  <c r="AX81" i="7"/>
  <c r="AY81" i="7"/>
  <c r="AZ81" i="7"/>
  <c r="BA81" i="7"/>
  <c r="BB81" i="7"/>
  <c r="AQ82" i="7"/>
  <c r="AR82" i="7"/>
  <c r="AS82" i="7"/>
  <c r="AV82" i="7"/>
  <c r="AW82" i="7"/>
  <c r="AX82" i="7"/>
  <c r="AY82" i="7"/>
  <c r="AZ82" i="7"/>
  <c r="BA82" i="7"/>
  <c r="BB82" i="7"/>
  <c r="AQ83" i="7"/>
  <c r="AR83" i="7"/>
  <c r="AS83" i="7"/>
  <c r="AV83" i="7"/>
  <c r="AW83" i="7"/>
  <c r="AX83" i="7"/>
  <c r="AY83" i="7"/>
  <c r="AZ83" i="7"/>
  <c r="BA83" i="7"/>
  <c r="BB83" i="7"/>
  <c r="AQ84" i="7"/>
  <c r="AR84" i="7"/>
  <c r="AS84" i="7"/>
  <c r="AV84" i="7"/>
  <c r="AW84" i="7"/>
  <c r="AX84" i="7"/>
  <c r="AY84" i="7"/>
  <c r="AZ84" i="7"/>
  <c r="BA84" i="7"/>
  <c r="BB84" i="7"/>
  <c r="AQ85" i="7"/>
  <c r="AR85" i="7"/>
  <c r="AS85" i="7"/>
  <c r="AV85" i="7"/>
  <c r="AW85" i="7"/>
  <c r="AX85" i="7"/>
  <c r="AY85" i="7"/>
  <c r="AZ85" i="7"/>
  <c r="BA85" i="7"/>
  <c r="BB85" i="7"/>
  <c r="AQ86" i="7"/>
  <c r="AR86" i="7"/>
  <c r="AS86" i="7"/>
  <c r="AV86" i="7"/>
  <c r="AW86" i="7"/>
  <c r="AX86" i="7"/>
  <c r="AY86" i="7"/>
  <c r="AZ86" i="7"/>
  <c r="BA86" i="7"/>
  <c r="BB86" i="7"/>
  <c r="AQ87" i="7"/>
  <c r="AR87" i="7"/>
  <c r="AS87" i="7"/>
  <c r="AV87" i="7"/>
  <c r="AW87" i="7"/>
  <c r="AX87" i="7"/>
  <c r="AY87" i="7"/>
  <c r="AZ87" i="7"/>
  <c r="BA87" i="7"/>
  <c r="BB87" i="7"/>
  <c r="AQ88" i="7"/>
  <c r="AR88" i="7"/>
  <c r="AS88" i="7"/>
  <c r="AV88" i="7"/>
  <c r="AW88" i="7"/>
  <c r="AX88" i="7"/>
  <c r="AY88" i="7"/>
  <c r="AZ88" i="7"/>
  <c r="BA88" i="7"/>
  <c r="BB88" i="7"/>
  <c r="AQ89" i="7"/>
  <c r="AR89" i="7"/>
  <c r="AS89" i="7"/>
  <c r="AV89" i="7"/>
  <c r="AW89" i="7"/>
  <c r="AX89" i="7"/>
  <c r="AY89" i="7"/>
  <c r="AZ89" i="7"/>
  <c r="BA89" i="7"/>
  <c r="BB89" i="7"/>
  <c r="AQ90" i="7"/>
  <c r="AR90" i="7"/>
  <c r="AS90" i="7"/>
  <c r="AV90" i="7"/>
  <c r="AW90" i="7"/>
  <c r="AX90" i="7"/>
  <c r="AY90" i="7"/>
  <c r="AZ90" i="7"/>
  <c r="BA90" i="7"/>
  <c r="BB90" i="7"/>
  <c r="AQ91" i="7"/>
  <c r="AR91" i="7"/>
  <c r="AS91" i="7"/>
  <c r="AV91" i="7"/>
  <c r="AW91" i="7"/>
  <c r="AX91" i="7"/>
  <c r="AY91" i="7"/>
  <c r="AZ91" i="7"/>
  <c r="BA91" i="7"/>
  <c r="BB91" i="7"/>
  <c r="AQ92" i="7"/>
  <c r="AR92" i="7"/>
  <c r="AS92" i="7"/>
  <c r="AV92" i="7"/>
  <c r="AW92" i="7"/>
  <c r="AX92" i="7"/>
  <c r="AY92" i="7"/>
  <c r="AZ92" i="7"/>
  <c r="BA92" i="7"/>
  <c r="BB92" i="7"/>
  <c r="AQ93" i="7"/>
  <c r="AR93" i="7"/>
  <c r="AS93" i="7"/>
  <c r="AV93" i="7"/>
  <c r="AW93" i="7"/>
  <c r="AX93" i="7"/>
  <c r="AY93" i="7"/>
  <c r="AZ93" i="7"/>
  <c r="BA93" i="7"/>
  <c r="BB93" i="7"/>
  <c r="AQ94" i="7"/>
  <c r="AR94" i="7"/>
  <c r="AS94" i="7"/>
  <c r="AV94" i="7"/>
  <c r="AW94" i="7"/>
  <c r="AX94" i="7"/>
  <c r="AY94" i="7"/>
  <c r="AZ94" i="7"/>
  <c r="BA94" i="7"/>
  <c r="BB94" i="7"/>
  <c r="AQ95" i="7"/>
  <c r="AR95" i="7"/>
  <c r="AS95" i="7"/>
  <c r="AV95" i="7"/>
  <c r="AW95" i="7"/>
  <c r="AX95" i="7"/>
  <c r="AY95" i="7"/>
  <c r="AZ95" i="7"/>
  <c r="BA95" i="7"/>
  <c r="BB95" i="7"/>
  <c r="AQ96" i="7"/>
  <c r="AR96" i="7"/>
  <c r="AS96" i="7"/>
  <c r="AV96" i="7"/>
  <c r="AW96" i="7"/>
  <c r="AX96" i="7"/>
  <c r="AY96" i="7"/>
  <c r="AZ96" i="7"/>
  <c r="BA96" i="7"/>
  <c r="BB96" i="7"/>
  <c r="AQ97" i="7"/>
  <c r="AR97" i="7"/>
  <c r="AS97" i="7"/>
  <c r="AV97" i="7"/>
  <c r="AW97" i="7"/>
  <c r="AX97" i="7"/>
  <c r="AY97" i="7"/>
  <c r="AZ97" i="7"/>
  <c r="BA97" i="7"/>
  <c r="BB97" i="7"/>
  <c r="AQ98" i="7"/>
  <c r="AR98" i="7"/>
  <c r="AS98" i="7"/>
  <c r="AV98" i="7"/>
  <c r="AW98" i="7"/>
  <c r="AX98" i="7"/>
  <c r="AY98" i="7"/>
  <c r="AZ98" i="7"/>
  <c r="BA98" i="7"/>
  <c r="BB98" i="7"/>
  <c r="AQ99" i="7"/>
  <c r="AR99" i="7"/>
  <c r="AS99" i="7"/>
  <c r="AV99" i="7"/>
  <c r="AW99" i="7"/>
  <c r="AX99" i="7"/>
  <c r="AY99" i="7"/>
  <c r="AZ99" i="7"/>
  <c r="BA99" i="7"/>
  <c r="BB99" i="7"/>
  <c r="AQ100" i="7"/>
  <c r="AR100" i="7"/>
  <c r="AS100" i="7"/>
  <c r="AV100" i="7"/>
  <c r="AW100" i="7"/>
  <c r="AX100" i="7"/>
  <c r="AY100" i="7"/>
  <c r="AZ100" i="7"/>
  <c r="BA100" i="7"/>
  <c r="BB100" i="7"/>
  <c r="AQ125" i="7"/>
  <c r="AR125" i="7"/>
  <c r="AS125" i="7"/>
  <c r="AV125" i="7"/>
  <c r="AW125" i="7"/>
  <c r="AX125" i="7"/>
  <c r="AY125" i="7"/>
  <c r="AZ125" i="7"/>
  <c r="BA125" i="7"/>
  <c r="BB125" i="7"/>
  <c r="AQ126" i="7"/>
  <c r="AR126" i="7"/>
  <c r="AS126" i="7"/>
  <c r="AV126" i="7"/>
  <c r="AW126" i="7"/>
  <c r="AX126" i="7"/>
  <c r="AY126" i="7"/>
  <c r="AZ126" i="7"/>
  <c r="BA126" i="7"/>
  <c r="BB126" i="7"/>
  <c r="AQ127" i="7"/>
  <c r="AR127" i="7"/>
  <c r="AS127" i="7"/>
  <c r="AV127" i="7"/>
  <c r="AW127" i="7"/>
  <c r="AX127" i="7"/>
  <c r="AY127" i="7"/>
  <c r="AZ127" i="7"/>
  <c r="BA127" i="7"/>
  <c r="BB127" i="7"/>
  <c r="AQ128" i="7"/>
  <c r="AR128" i="7"/>
  <c r="AS128" i="7"/>
  <c r="AV128" i="7"/>
  <c r="AW128" i="7"/>
  <c r="AX128" i="7"/>
  <c r="AY128" i="7"/>
  <c r="AZ128" i="7"/>
  <c r="BA128" i="7"/>
  <c r="BB128" i="7"/>
  <c r="AP129" i="7"/>
  <c r="AQ129" i="7"/>
  <c r="AR129" i="7"/>
  <c r="AS129" i="7"/>
  <c r="AV129" i="7"/>
  <c r="AW129" i="7"/>
  <c r="AX129" i="7"/>
  <c r="AY129" i="7"/>
  <c r="AZ129" i="7"/>
  <c r="BA129" i="7"/>
  <c r="BB129" i="7"/>
  <c r="AP130" i="7"/>
  <c r="AQ130" i="7"/>
  <c r="AR130" i="7"/>
  <c r="AS130" i="7"/>
  <c r="AV130" i="7"/>
  <c r="AW130" i="7"/>
  <c r="AX130" i="7"/>
  <c r="AY130" i="7"/>
  <c r="AZ130" i="7"/>
  <c r="BA130" i="7"/>
  <c r="BB130" i="7"/>
  <c r="AP131" i="7"/>
  <c r="AQ131" i="7"/>
  <c r="AR131" i="7"/>
  <c r="AS131" i="7"/>
  <c r="AV131" i="7"/>
  <c r="AW131" i="7"/>
  <c r="AX131" i="7"/>
  <c r="AY131" i="7"/>
  <c r="AZ131" i="7"/>
  <c r="BA131" i="7"/>
  <c r="BB131" i="7"/>
  <c r="AP132" i="7"/>
  <c r="AQ132" i="7"/>
  <c r="AR132" i="7"/>
  <c r="AS132" i="7"/>
  <c r="AV132" i="7"/>
  <c r="AW132" i="7"/>
  <c r="AX132" i="7"/>
  <c r="AY132" i="7"/>
  <c r="AZ132" i="7"/>
  <c r="BA132" i="7"/>
  <c r="BB132" i="7"/>
  <c r="AP133" i="7"/>
  <c r="AQ133" i="7"/>
  <c r="AR133" i="7"/>
  <c r="AS133" i="7"/>
  <c r="AV133" i="7"/>
  <c r="AW133" i="7"/>
  <c r="AX133" i="7"/>
  <c r="AY133" i="7"/>
  <c r="AZ133" i="7"/>
  <c r="BA133" i="7"/>
  <c r="BB133" i="7"/>
  <c r="AP134" i="7"/>
  <c r="AQ134" i="7"/>
  <c r="AR134" i="7"/>
  <c r="AS134" i="7"/>
  <c r="AV134" i="7"/>
  <c r="AW134" i="7"/>
  <c r="AX134" i="7"/>
  <c r="AY134" i="7"/>
  <c r="AZ134" i="7"/>
  <c r="BA134" i="7"/>
  <c r="BB134" i="7"/>
  <c r="AP135" i="7"/>
  <c r="AQ135" i="7"/>
  <c r="AR135" i="7"/>
  <c r="AS135" i="7"/>
  <c r="AV135" i="7"/>
  <c r="AW135" i="7"/>
  <c r="AX135" i="7"/>
  <c r="AY135" i="7"/>
  <c r="AZ135" i="7"/>
  <c r="BA135" i="7"/>
  <c r="BB135" i="7"/>
  <c r="AP136" i="7"/>
  <c r="AQ136" i="7"/>
  <c r="AR136" i="7"/>
  <c r="AS136" i="7"/>
  <c r="AV136" i="7"/>
  <c r="AW136" i="7"/>
  <c r="AX136" i="7"/>
  <c r="AY136" i="7"/>
  <c r="AZ136" i="7"/>
  <c r="BA136" i="7"/>
  <c r="BB136" i="7"/>
  <c r="AP137" i="7"/>
  <c r="AQ137" i="7"/>
  <c r="AR137" i="7"/>
  <c r="AS137" i="7"/>
  <c r="AV137" i="7"/>
  <c r="AW137" i="7"/>
  <c r="AX137" i="7"/>
  <c r="AY137" i="7"/>
  <c r="AZ137" i="7"/>
  <c r="BA137" i="7"/>
  <c r="BB137" i="7"/>
  <c r="AP138" i="7"/>
  <c r="AQ138" i="7"/>
  <c r="AR138" i="7"/>
  <c r="AS138" i="7"/>
  <c r="AV138" i="7"/>
  <c r="AW138" i="7"/>
  <c r="AX138" i="7"/>
  <c r="AY138" i="7"/>
  <c r="AZ138" i="7"/>
  <c r="BA138" i="7"/>
  <c r="BB138" i="7"/>
  <c r="AP139" i="7"/>
  <c r="AQ139" i="7"/>
  <c r="AR139" i="7"/>
  <c r="AS139" i="7"/>
  <c r="AV139" i="7"/>
  <c r="AW139" i="7"/>
  <c r="AX139" i="7"/>
  <c r="AY139" i="7"/>
  <c r="AZ139" i="7"/>
  <c r="BA139" i="7"/>
  <c r="BB139" i="7"/>
  <c r="AQ2" i="7"/>
  <c r="AR2" i="7"/>
  <c r="AS2" i="7"/>
  <c r="AV2" i="7"/>
  <c r="AW2" i="7"/>
  <c r="AX2" i="7"/>
  <c r="AY2" i="7"/>
  <c r="AZ2" i="7"/>
  <c r="BA2" i="7"/>
  <c r="BB2" i="7"/>
  <c r="D122" i="1" l="1"/>
  <c r="AJ154" i="1"/>
  <c r="AJ153" i="1"/>
  <c r="AJ152" i="1"/>
  <c r="AJ151" i="1"/>
  <c r="AJ150" i="1"/>
  <c r="AJ149" i="1"/>
  <c r="AJ148" i="1"/>
  <c r="AJ147" i="1"/>
  <c r="AJ146" i="1"/>
  <c r="AJ145" i="1"/>
  <c r="AJ144" i="1"/>
  <c r="AJ143" i="1"/>
  <c r="AJ142" i="1"/>
  <c r="AJ141" i="1"/>
  <c r="AJ140" i="1"/>
  <c r="AJ139" i="1"/>
  <c r="AJ138" i="1"/>
  <c r="AJ137" i="1"/>
  <c r="AJ127" i="1"/>
  <c r="AJ126" i="1"/>
  <c r="AJ125" i="1"/>
  <c r="AJ124" i="1"/>
  <c r="AJ123" i="1"/>
  <c r="AJ122" i="1"/>
  <c r="AJ121" i="1"/>
  <c r="AJ120" i="1"/>
  <c r="AJ119" i="1"/>
  <c r="AQ16" i="1" l="1"/>
  <c r="AQ7" i="1"/>
  <c r="AQ34" i="1"/>
  <c r="AQ44" i="1"/>
  <c r="AQ90" i="1"/>
  <c r="AQ20" i="1"/>
  <c r="AQ68" i="1"/>
  <c r="AQ60" i="1"/>
  <c r="AQ6" i="1"/>
  <c r="AR6" i="1"/>
  <c r="AQ92" i="1"/>
  <c r="AQ33" i="1"/>
  <c r="AQ64" i="1"/>
  <c r="AQ24" i="1"/>
  <c r="AQ52" i="1"/>
  <c r="AQ55" i="1"/>
  <c r="AQ80" i="1"/>
  <c r="AQ27" i="1"/>
  <c r="AQ14" i="1"/>
  <c r="AQ82" i="1"/>
  <c r="AQ38" i="1"/>
  <c r="AQ31" i="1"/>
  <c r="AQ93" i="1"/>
  <c r="AQ77" i="1"/>
  <c r="AQ28" i="1"/>
  <c r="AQ15" i="1"/>
  <c r="AQ17" i="1"/>
  <c r="AQ70" i="1"/>
  <c r="AQ51" i="1"/>
  <c r="AQ50" i="1"/>
  <c r="AQ73" i="1"/>
  <c r="AQ87" i="1"/>
  <c r="AQ39" i="1"/>
  <c r="AQ53" i="1" l="1"/>
  <c r="D118" i="1" l="1"/>
  <c r="D124" i="1"/>
  <c r="D125" i="1" l="1"/>
  <c r="D119" i="1" l="1"/>
  <c r="D127" i="1"/>
  <c r="AB105" i="1" l="1"/>
  <c r="F19" i="4" l="1"/>
  <c r="F20" i="4"/>
  <c r="F21" i="4"/>
  <c r="F22" i="4" l="1"/>
  <c r="B26" i="4"/>
  <c r="D26" i="4"/>
  <c r="V99" i="1" s="1"/>
  <c r="T99" i="1" l="1"/>
  <c r="AJ130" i="1"/>
  <c r="AJ129" i="1"/>
  <c r="AJ128" i="1"/>
  <c r="AJ116" i="1" l="1"/>
  <c r="AJ117" i="1"/>
  <c r="AJ118" i="1"/>
  <c r="AJ131" i="1"/>
  <c r="AJ132" i="1"/>
  <c r="AJ133" i="1"/>
  <c r="AJ134" i="1"/>
  <c r="AJ135" i="1"/>
  <c r="AJ136" i="1"/>
  <c r="DO345" i="10" l="1"/>
  <c r="DN345" i="10"/>
  <c r="DJ345" i="10"/>
  <c r="DI345" i="10"/>
  <c r="DH345" i="10"/>
  <c r="DG345" i="10"/>
  <c r="DF345" i="10"/>
  <c r="DE345" i="10"/>
  <c r="DD345" i="10"/>
  <c r="DC345" i="10"/>
  <c r="DB345" i="10"/>
  <c r="DA345" i="10"/>
  <c r="CZ345" i="10"/>
  <c r="CY345" i="10"/>
  <c r="CX345" i="10"/>
  <c r="CW345" i="10"/>
  <c r="CV345" i="10"/>
  <c r="CU345" i="10"/>
  <c r="CT345" i="10"/>
  <c r="CS345" i="10"/>
  <c r="CR345" i="10"/>
  <c r="CQ345" i="10"/>
  <c r="CP345" i="10"/>
  <c r="CO345" i="10"/>
  <c r="CB345" i="10"/>
  <c r="BV345" i="10"/>
  <c r="BU345" i="10"/>
  <c r="BR345" i="10"/>
  <c r="BP345" i="10"/>
  <c r="BO345" i="10"/>
  <c r="BN345" i="10"/>
  <c r="BM345" i="10"/>
  <c r="BJ345" i="10"/>
  <c r="DO344" i="10"/>
  <c r="DN344" i="10"/>
  <c r="DJ344" i="10"/>
  <c r="DI344" i="10"/>
  <c r="DH344" i="10"/>
  <c r="DG344" i="10"/>
  <c r="DF344" i="10"/>
  <c r="DE344" i="10"/>
  <c r="DD344" i="10"/>
  <c r="DC344" i="10"/>
  <c r="DB344" i="10"/>
  <c r="DA344" i="10"/>
  <c r="CZ344" i="10"/>
  <c r="CY344" i="10"/>
  <c r="CX344" i="10"/>
  <c r="CW344" i="10"/>
  <c r="CV344" i="10"/>
  <c r="CU344" i="10"/>
  <c r="CT344" i="10"/>
  <c r="CS344" i="10"/>
  <c r="CR344" i="10"/>
  <c r="CQ344" i="10"/>
  <c r="CP344" i="10"/>
  <c r="CO344" i="10"/>
  <c r="CB344" i="10"/>
  <c r="BV344" i="10"/>
  <c r="BU344" i="10"/>
  <c r="BR344" i="10"/>
  <c r="BP344" i="10"/>
  <c r="BO344" i="10"/>
  <c r="BN344" i="10"/>
  <c r="BM344" i="10"/>
  <c r="BJ344" i="10"/>
  <c r="DO343" i="10"/>
  <c r="DN343" i="10"/>
  <c r="DJ343" i="10"/>
  <c r="DI343" i="10"/>
  <c r="DH343" i="10"/>
  <c r="DG343" i="10"/>
  <c r="DF343" i="10"/>
  <c r="DE343" i="10"/>
  <c r="DD343" i="10"/>
  <c r="DC343" i="10"/>
  <c r="DB343" i="10"/>
  <c r="DA343" i="10"/>
  <c r="CZ343" i="10"/>
  <c r="CY343" i="10"/>
  <c r="CX343" i="10"/>
  <c r="CW343" i="10"/>
  <c r="CV343" i="10"/>
  <c r="CU343" i="10"/>
  <c r="CT343" i="10"/>
  <c r="CS343" i="10"/>
  <c r="CR343" i="10"/>
  <c r="CQ343" i="10"/>
  <c r="CP343" i="10"/>
  <c r="CO343" i="10"/>
  <c r="CB343" i="10"/>
  <c r="BV343" i="10"/>
  <c r="BU343" i="10"/>
  <c r="BR343" i="10"/>
  <c r="BP343" i="10"/>
  <c r="BO343" i="10"/>
  <c r="BN343" i="10"/>
  <c r="BM343" i="10"/>
  <c r="BJ343" i="10"/>
  <c r="DO342" i="10"/>
  <c r="DN342" i="10"/>
  <c r="DJ342" i="10"/>
  <c r="DI342" i="10"/>
  <c r="DH342" i="10"/>
  <c r="DG342" i="10"/>
  <c r="DF342" i="10"/>
  <c r="DE342" i="10"/>
  <c r="DD342" i="10"/>
  <c r="DC342" i="10"/>
  <c r="DB342" i="10"/>
  <c r="DA342" i="10"/>
  <c r="CZ342" i="10"/>
  <c r="CY342" i="10"/>
  <c r="CX342" i="10"/>
  <c r="CW342" i="10"/>
  <c r="CV342" i="10"/>
  <c r="CU342" i="10"/>
  <c r="CT342" i="10"/>
  <c r="CS342" i="10"/>
  <c r="CR342" i="10"/>
  <c r="CQ342" i="10"/>
  <c r="CP342" i="10"/>
  <c r="CO342" i="10"/>
  <c r="CB342" i="10"/>
  <c r="BV342" i="10"/>
  <c r="BU342" i="10"/>
  <c r="BR342" i="10"/>
  <c r="BP342" i="10"/>
  <c r="BO342" i="10"/>
  <c r="BN342" i="10"/>
  <c r="BM342" i="10"/>
  <c r="BJ342" i="10"/>
  <c r="DO341" i="10"/>
  <c r="DN341" i="10"/>
  <c r="DJ341" i="10"/>
  <c r="DI341" i="10"/>
  <c r="DH341" i="10"/>
  <c r="DG341" i="10"/>
  <c r="DF341" i="10"/>
  <c r="DE341" i="10"/>
  <c r="DD341" i="10"/>
  <c r="DC341" i="10"/>
  <c r="DB341" i="10"/>
  <c r="DA341" i="10"/>
  <c r="CZ341" i="10"/>
  <c r="CY341" i="10"/>
  <c r="CX341" i="10"/>
  <c r="CW341" i="10"/>
  <c r="CV341" i="10"/>
  <c r="CU341" i="10"/>
  <c r="CT341" i="10"/>
  <c r="CS341" i="10"/>
  <c r="CR341" i="10"/>
  <c r="CQ341" i="10"/>
  <c r="CP341" i="10"/>
  <c r="CO341" i="10"/>
  <c r="CB341" i="10"/>
  <c r="BV341" i="10"/>
  <c r="BU341" i="10"/>
  <c r="BR341" i="10"/>
  <c r="BP341" i="10"/>
  <c r="BO341" i="10"/>
  <c r="BN341" i="10"/>
  <c r="BM341" i="10"/>
  <c r="BJ341" i="10"/>
  <c r="DO340" i="10"/>
  <c r="DN340" i="10"/>
  <c r="DJ340" i="10"/>
  <c r="DI340" i="10"/>
  <c r="DH340" i="10"/>
  <c r="DG340" i="10"/>
  <c r="DF340" i="10"/>
  <c r="DE340" i="10"/>
  <c r="DD340" i="10"/>
  <c r="DC340" i="10"/>
  <c r="DB340" i="10"/>
  <c r="DA340" i="10"/>
  <c r="CZ340" i="10"/>
  <c r="CY340" i="10"/>
  <c r="CX340" i="10"/>
  <c r="CW340" i="10"/>
  <c r="CV340" i="10"/>
  <c r="CU340" i="10"/>
  <c r="CT340" i="10"/>
  <c r="CS340" i="10"/>
  <c r="CR340" i="10"/>
  <c r="CQ340" i="10"/>
  <c r="CP340" i="10"/>
  <c r="CO340" i="10"/>
  <c r="CB340" i="10"/>
  <c r="BV340" i="10"/>
  <c r="BU340" i="10"/>
  <c r="BR340" i="10"/>
  <c r="BP340" i="10"/>
  <c r="BO340" i="10"/>
  <c r="BN340" i="10"/>
  <c r="BM340" i="10"/>
  <c r="BJ340" i="10"/>
  <c r="DO339" i="10"/>
  <c r="DN339" i="10"/>
  <c r="DJ339" i="10"/>
  <c r="DI339" i="10"/>
  <c r="DH339" i="10"/>
  <c r="DG339" i="10"/>
  <c r="DF339" i="10"/>
  <c r="DE339" i="10"/>
  <c r="DD339" i="10"/>
  <c r="DC339" i="10"/>
  <c r="DB339" i="10"/>
  <c r="DA339" i="10"/>
  <c r="CZ339" i="10"/>
  <c r="CY339" i="10"/>
  <c r="CX339" i="10"/>
  <c r="CW339" i="10"/>
  <c r="CV339" i="10"/>
  <c r="CU339" i="10"/>
  <c r="CT339" i="10"/>
  <c r="CS339" i="10"/>
  <c r="CR339" i="10"/>
  <c r="CQ339" i="10"/>
  <c r="CP339" i="10"/>
  <c r="CO339" i="10"/>
  <c r="CB339" i="10"/>
  <c r="BV339" i="10"/>
  <c r="BU339" i="10"/>
  <c r="BR339" i="10"/>
  <c r="BP339" i="10"/>
  <c r="BO339" i="10"/>
  <c r="BN339" i="10"/>
  <c r="BM339" i="10"/>
  <c r="BJ339" i="10"/>
  <c r="DO338" i="10"/>
  <c r="DN338" i="10"/>
  <c r="DJ338" i="10"/>
  <c r="DI338" i="10"/>
  <c r="DH338" i="10"/>
  <c r="DG338" i="10"/>
  <c r="DF338" i="10"/>
  <c r="DE338" i="10"/>
  <c r="DD338" i="10"/>
  <c r="DC338" i="10"/>
  <c r="DB338" i="10"/>
  <c r="DA338" i="10"/>
  <c r="CZ338" i="10"/>
  <c r="CY338" i="10"/>
  <c r="CX338" i="10"/>
  <c r="CW338" i="10"/>
  <c r="CV338" i="10"/>
  <c r="CU338" i="10"/>
  <c r="CT338" i="10"/>
  <c r="CS338" i="10"/>
  <c r="CR338" i="10"/>
  <c r="CQ338" i="10"/>
  <c r="CP338" i="10"/>
  <c r="CO338" i="10"/>
  <c r="CB338" i="10"/>
  <c r="BV338" i="10"/>
  <c r="BU338" i="10"/>
  <c r="BR338" i="10"/>
  <c r="BP338" i="10"/>
  <c r="BO338" i="10"/>
  <c r="BN338" i="10"/>
  <c r="BM338" i="10"/>
  <c r="BJ338" i="10"/>
  <c r="DO337" i="10"/>
  <c r="DN337" i="10"/>
  <c r="DJ337" i="10"/>
  <c r="DI337" i="10"/>
  <c r="DH337" i="10"/>
  <c r="DG337" i="10"/>
  <c r="DF337" i="10"/>
  <c r="DE337" i="10"/>
  <c r="DD337" i="10"/>
  <c r="DC337" i="10"/>
  <c r="DB337" i="10"/>
  <c r="DA337" i="10"/>
  <c r="CZ337" i="10"/>
  <c r="CY337" i="10"/>
  <c r="CX337" i="10"/>
  <c r="CW337" i="10"/>
  <c r="CV337" i="10"/>
  <c r="CU337" i="10"/>
  <c r="CT337" i="10"/>
  <c r="CS337" i="10"/>
  <c r="CR337" i="10"/>
  <c r="CQ337" i="10"/>
  <c r="CP337" i="10"/>
  <c r="CO337" i="10"/>
  <c r="CB337" i="10"/>
  <c r="BV337" i="10"/>
  <c r="BU337" i="10"/>
  <c r="BR337" i="10"/>
  <c r="BP337" i="10"/>
  <c r="BO337" i="10"/>
  <c r="BN337" i="10"/>
  <c r="BM337" i="10"/>
  <c r="BJ337" i="10"/>
  <c r="DO336" i="10"/>
  <c r="DN336" i="10"/>
  <c r="DJ336" i="10"/>
  <c r="DI336" i="10"/>
  <c r="DH336" i="10"/>
  <c r="DG336" i="10"/>
  <c r="DF336" i="10"/>
  <c r="DE336" i="10"/>
  <c r="DD336" i="10"/>
  <c r="DC336" i="10"/>
  <c r="DB336" i="10"/>
  <c r="DA336" i="10"/>
  <c r="CZ336" i="10"/>
  <c r="CY336" i="10"/>
  <c r="CX336" i="10"/>
  <c r="CW336" i="10"/>
  <c r="CV336" i="10"/>
  <c r="CU336" i="10"/>
  <c r="CT336" i="10"/>
  <c r="CS336" i="10"/>
  <c r="CR336" i="10"/>
  <c r="CQ336" i="10"/>
  <c r="CP336" i="10"/>
  <c r="CO336" i="10"/>
  <c r="CB336" i="10"/>
  <c r="BV336" i="10"/>
  <c r="BU336" i="10"/>
  <c r="BR336" i="10"/>
  <c r="BP336" i="10"/>
  <c r="BO336" i="10"/>
  <c r="BN336" i="10"/>
  <c r="BM336" i="10"/>
  <c r="BJ336" i="10"/>
  <c r="DO335" i="10"/>
  <c r="DN335" i="10"/>
  <c r="DJ335" i="10"/>
  <c r="DI335" i="10"/>
  <c r="DH335" i="10"/>
  <c r="DG335" i="10"/>
  <c r="DF335" i="10"/>
  <c r="DE335" i="10"/>
  <c r="DD335" i="10"/>
  <c r="DC335" i="10"/>
  <c r="DB335" i="10"/>
  <c r="DA335" i="10"/>
  <c r="CZ335" i="10"/>
  <c r="CY335" i="10"/>
  <c r="CX335" i="10"/>
  <c r="CW335" i="10"/>
  <c r="CV335" i="10"/>
  <c r="CU335" i="10"/>
  <c r="CT335" i="10"/>
  <c r="CS335" i="10"/>
  <c r="CR335" i="10"/>
  <c r="CQ335" i="10"/>
  <c r="CP335" i="10"/>
  <c r="CO335" i="10"/>
  <c r="CB335" i="10"/>
  <c r="BV335" i="10"/>
  <c r="BU335" i="10"/>
  <c r="BR335" i="10"/>
  <c r="BP335" i="10"/>
  <c r="BO335" i="10"/>
  <c r="BN335" i="10"/>
  <c r="BM335" i="10"/>
  <c r="BJ335" i="10"/>
  <c r="DO334" i="10"/>
  <c r="DN334" i="10"/>
  <c r="DJ334" i="10"/>
  <c r="DI334" i="10"/>
  <c r="DH334" i="10"/>
  <c r="DG334" i="10"/>
  <c r="DF334" i="10"/>
  <c r="DE334" i="10"/>
  <c r="DD334" i="10"/>
  <c r="DC334" i="10"/>
  <c r="DB334" i="10"/>
  <c r="DA334" i="10"/>
  <c r="CZ334" i="10"/>
  <c r="CY334" i="10"/>
  <c r="CX334" i="10"/>
  <c r="CW334" i="10"/>
  <c r="CV334" i="10"/>
  <c r="CU334" i="10"/>
  <c r="CT334" i="10"/>
  <c r="CS334" i="10"/>
  <c r="CR334" i="10"/>
  <c r="CQ334" i="10"/>
  <c r="CP334" i="10"/>
  <c r="CO334" i="10"/>
  <c r="CB334" i="10"/>
  <c r="BV334" i="10"/>
  <c r="BU334" i="10"/>
  <c r="BR334" i="10"/>
  <c r="BP334" i="10"/>
  <c r="BO334" i="10"/>
  <c r="BN334" i="10"/>
  <c r="BM334" i="10"/>
  <c r="BJ334" i="10"/>
  <c r="DO333" i="10"/>
  <c r="DN333" i="10"/>
  <c r="DJ333" i="10"/>
  <c r="DI333" i="10"/>
  <c r="DH333" i="10"/>
  <c r="DG333" i="10"/>
  <c r="DF333" i="10"/>
  <c r="DE333" i="10"/>
  <c r="DD333" i="10"/>
  <c r="DC333" i="10"/>
  <c r="DB333" i="10"/>
  <c r="DA333" i="10"/>
  <c r="CZ333" i="10"/>
  <c r="CY333" i="10"/>
  <c r="CX333" i="10"/>
  <c r="CW333" i="10"/>
  <c r="CV333" i="10"/>
  <c r="CU333" i="10"/>
  <c r="CT333" i="10"/>
  <c r="CS333" i="10"/>
  <c r="CR333" i="10"/>
  <c r="CQ333" i="10"/>
  <c r="CP333" i="10"/>
  <c r="CO333" i="10"/>
  <c r="CB333" i="10"/>
  <c r="BV333" i="10"/>
  <c r="BU333" i="10"/>
  <c r="BR333" i="10"/>
  <c r="BP333" i="10"/>
  <c r="BO333" i="10"/>
  <c r="BN333" i="10"/>
  <c r="BM333" i="10"/>
  <c r="BJ333" i="10"/>
  <c r="DO332" i="10"/>
  <c r="DN332" i="10"/>
  <c r="DJ332" i="10"/>
  <c r="DI332" i="10"/>
  <c r="DH332" i="10"/>
  <c r="DG332" i="10"/>
  <c r="DF332" i="10"/>
  <c r="DE332" i="10"/>
  <c r="DD332" i="10"/>
  <c r="DC332" i="10"/>
  <c r="DB332" i="10"/>
  <c r="DA332" i="10"/>
  <c r="CZ332" i="10"/>
  <c r="CY332" i="10"/>
  <c r="CX332" i="10"/>
  <c r="CW332" i="10"/>
  <c r="CV332" i="10"/>
  <c r="CU332" i="10"/>
  <c r="CT332" i="10"/>
  <c r="CS332" i="10"/>
  <c r="CR332" i="10"/>
  <c r="CQ332" i="10"/>
  <c r="CP332" i="10"/>
  <c r="CO332" i="10"/>
  <c r="CB332" i="10"/>
  <c r="BV332" i="10"/>
  <c r="BU332" i="10"/>
  <c r="BR332" i="10"/>
  <c r="BP332" i="10"/>
  <c r="BO332" i="10"/>
  <c r="BN332" i="10"/>
  <c r="BM332" i="10"/>
  <c r="BJ332" i="10"/>
  <c r="DO331" i="10"/>
  <c r="DN331" i="10"/>
  <c r="DJ331" i="10"/>
  <c r="DI331" i="10"/>
  <c r="DH331" i="10"/>
  <c r="DG331" i="10"/>
  <c r="DF331" i="10"/>
  <c r="DE331" i="10"/>
  <c r="DD331" i="10"/>
  <c r="DC331" i="10"/>
  <c r="DB331" i="10"/>
  <c r="DA331" i="10"/>
  <c r="CZ331" i="10"/>
  <c r="CY331" i="10"/>
  <c r="CX331" i="10"/>
  <c r="CW331" i="10"/>
  <c r="CV331" i="10"/>
  <c r="CU331" i="10"/>
  <c r="CT331" i="10"/>
  <c r="CS331" i="10"/>
  <c r="CR331" i="10"/>
  <c r="CQ331" i="10"/>
  <c r="CP331" i="10"/>
  <c r="CO331" i="10"/>
  <c r="CB331" i="10"/>
  <c r="BV331" i="10"/>
  <c r="BU331" i="10"/>
  <c r="BR331" i="10"/>
  <c r="BP331" i="10"/>
  <c r="BO331" i="10"/>
  <c r="BN331" i="10"/>
  <c r="BM331" i="10"/>
  <c r="BJ331" i="10"/>
  <c r="DO330" i="10"/>
  <c r="DN330" i="10"/>
  <c r="DJ330" i="10"/>
  <c r="DI330" i="10"/>
  <c r="DH330" i="10"/>
  <c r="DG330" i="10"/>
  <c r="DF330" i="10"/>
  <c r="DE330" i="10"/>
  <c r="DD330" i="10"/>
  <c r="DC330" i="10"/>
  <c r="DB330" i="10"/>
  <c r="DA330" i="10"/>
  <c r="CZ330" i="10"/>
  <c r="CY330" i="10"/>
  <c r="CX330" i="10"/>
  <c r="CW330" i="10"/>
  <c r="CV330" i="10"/>
  <c r="CU330" i="10"/>
  <c r="CT330" i="10"/>
  <c r="CS330" i="10"/>
  <c r="CR330" i="10"/>
  <c r="CQ330" i="10"/>
  <c r="CP330" i="10"/>
  <c r="CO330" i="10"/>
  <c r="CB330" i="10"/>
  <c r="BV330" i="10"/>
  <c r="BU330" i="10"/>
  <c r="BR330" i="10"/>
  <c r="BP330" i="10"/>
  <c r="BO330" i="10"/>
  <c r="BN330" i="10"/>
  <c r="BM330" i="10"/>
  <c r="BJ330" i="10"/>
  <c r="DO329" i="10"/>
  <c r="DN329" i="10"/>
  <c r="DJ329" i="10"/>
  <c r="DI329" i="10"/>
  <c r="DH329" i="10"/>
  <c r="DG329" i="10"/>
  <c r="DF329" i="10"/>
  <c r="DE329" i="10"/>
  <c r="DD329" i="10"/>
  <c r="DC329" i="10"/>
  <c r="DB329" i="10"/>
  <c r="DA329" i="10"/>
  <c r="CZ329" i="10"/>
  <c r="CY329" i="10"/>
  <c r="CX329" i="10"/>
  <c r="CW329" i="10"/>
  <c r="CV329" i="10"/>
  <c r="CU329" i="10"/>
  <c r="CT329" i="10"/>
  <c r="CS329" i="10"/>
  <c r="CR329" i="10"/>
  <c r="CQ329" i="10"/>
  <c r="CP329" i="10"/>
  <c r="CO329" i="10"/>
  <c r="CB329" i="10"/>
  <c r="BV329" i="10"/>
  <c r="BU329" i="10"/>
  <c r="BR329" i="10"/>
  <c r="BP329" i="10"/>
  <c r="BO329" i="10"/>
  <c r="BN329" i="10"/>
  <c r="BM329" i="10"/>
  <c r="BJ329" i="10"/>
  <c r="DO328" i="10"/>
  <c r="DN328" i="10"/>
  <c r="DJ328" i="10"/>
  <c r="DI328" i="10"/>
  <c r="DH328" i="10"/>
  <c r="DG328" i="10"/>
  <c r="DF328" i="10"/>
  <c r="DE328" i="10"/>
  <c r="DD328" i="10"/>
  <c r="DC328" i="10"/>
  <c r="DB328" i="10"/>
  <c r="DA328" i="10"/>
  <c r="CZ328" i="10"/>
  <c r="CY328" i="10"/>
  <c r="CX328" i="10"/>
  <c r="CW328" i="10"/>
  <c r="CV328" i="10"/>
  <c r="CU328" i="10"/>
  <c r="CT328" i="10"/>
  <c r="CS328" i="10"/>
  <c r="CR328" i="10"/>
  <c r="CQ328" i="10"/>
  <c r="CP328" i="10"/>
  <c r="CO328" i="10"/>
  <c r="CB328" i="10"/>
  <c r="BV328" i="10"/>
  <c r="BU328" i="10"/>
  <c r="BR328" i="10"/>
  <c r="BP328" i="10"/>
  <c r="BO328" i="10"/>
  <c r="BN328" i="10"/>
  <c r="BM328" i="10"/>
  <c r="BJ328" i="10"/>
  <c r="DO327" i="10"/>
  <c r="DN327" i="10"/>
  <c r="DJ327" i="10"/>
  <c r="DI327" i="10"/>
  <c r="DH327" i="10"/>
  <c r="DG327" i="10"/>
  <c r="DF327" i="10"/>
  <c r="DE327" i="10"/>
  <c r="DD327" i="10"/>
  <c r="DC327" i="10"/>
  <c r="DB327" i="10"/>
  <c r="DA327" i="10"/>
  <c r="CZ327" i="10"/>
  <c r="CY327" i="10"/>
  <c r="CX327" i="10"/>
  <c r="CW327" i="10"/>
  <c r="CV327" i="10"/>
  <c r="CU327" i="10"/>
  <c r="CT327" i="10"/>
  <c r="CS327" i="10"/>
  <c r="CR327" i="10"/>
  <c r="CQ327" i="10"/>
  <c r="CP327" i="10"/>
  <c r="CO327" i="10"/>
  <c r="CB327" i="10"/>
  <c r="BV327" i="10"/>
  <c r="BU327" i="10"/>
  <c r="BR327" i="10"/>
  <c r="BP327" i="10"/>
  <c r="BO327" i="10"/>
  <c r="BN327" i="10"/>
  <c r="BM327" i="10"/>
  <c r="BJ327" i="10"/>
  <c r="DO326" i="10"/>
  <c r="DN326" i="10"/>
  <c r="DJ326" i="10"/>
  <c r="DI326" i="10"/>
  <c r="DH326" i="10"/>
  <c r="DG326" i="10"/>
  <c r="DF326" i="10"/>
  <c r="DE326" i="10"/>
  <c r="DD326" i="10"/>
  <c r="DC326" i="10"/>
  <c r="DB326" i="10"/>
  <c r="DA326" i="10"/>
  <c r="CZ326" i="10"/>
  <c r="CY326" i="10"/>
  <c r="CX326" i="10"/>
  <c r="CW326" i="10"/>
  <c r="CV326" i="10"/>
  <c r="CU326" i="10"/>
  <c r="CT326" i="10"/>
  <c r="CS326" i="10"/>
  <c r="CR326" i="10"/>
  <c r="CQ326" i="10"/>
  <c r="CP326" i="10"/>
  <c r="CO326" i="10"/>
  <c r="CB326" i="10"/>
  <c r="BV326" i="10"/>
  <c r="BU326" i="10"/>
  <c r="BR326" i="10"/>
  <c r="BP326" i="10"/>
  <c r="BO326" i="10"/>
  <c r="BN326" i="10"/>
  <c r="BM326" i="10"/>
  <c r="BJ326" i="10"/>
  <c r="DO325" i="10"/>
  <c r="DN325" i="10"/>
  <c r="DJ325" i="10"/>
  <c r="DI325" i="10"/>
  <c r="DH325" i="10"/>
  <c r="DG325" i="10"/>
  <c r="DF325" i="10"/>
  <c r="DE325" i="10"/>
  <c r="DD325" i="10"/>
  <c r="DC325" i="10"/>
  <c r="DB325" i="10"/>
  <c r="DA325" i="10"/>
  <c r="CZ325" i="10"/>
  <c r="CY325" i="10"/>
  <c r="CX325" i="10"/>
  <c r="CW325" i="10"/>
  <c r="CV325" i="10"/>
  <c r="CU325" i="10"/>
  <c r="CT325" i="10"/>
  <c r="CS325" i="10"/>
  <c r="CR325" i="10"/>
  <c r="CQ325" i="10"/>
  <c r="CP325" i="10"/>
  <c r="CO325" i="10"/>
  <c r="CB325" i="10"/>
  <c r="BV325" i="10"/>
  <c r="BU325" i="10"/>
  <c r="BR325" i="10"/>
  <c r="BP325" i="10"/>
  <c r="BO325" i="10"/>
  <c r="BN325" i="10"/>
  <c r="BM325" i="10"/>
  <c r="BJ325" i="10"/>
  <c r="DO324" i="10"/>
  <c r="DN324" i="10"/>
  <c r="DJ324" i="10"/>
  <c r="DI324" i="10"/>
  <c r="DH324" i="10"/>
  <c r="DG324" i="10"/>
  <c r="DF324" i="10"/>
  <c r="DE324" i="10"/>
  <c r="DD324" i="10"/>
  <c r="DC324" i="10"/>
  <c r="DB324" i="10"/>
  <c r="DA324" i="10"/>
  <c r="CZ324" i="10"/>
  <c r="CY324" i="10"/>
  <c r="CX324" i="10"/>
  <c r="CW324" i="10"/>
  <c r="CV324" i="10"/>
  <c r="CU324" i="10"/>
  <c r="CT324" i="10"/>
  <c r="CS324" i="10"/>
  <c r="CR324" i="10"/>
  <c r="CQ324" i="10"/>
  <c r="CP324" i="10"/>
  <c r="CO324" i="10"/>
  <c r="CB324" i="10"/>
  <c r="BV324" i="10"/>
  <c r="BU324" i="10"/>
  <c r="BR324" i="10"/>
  <c r="BP324" i="10"/>
  <c r="BO324" i="10"/>
  <c r="BN324" i="10"/>
  <c r="BM324" i="10"/>
  <c r="BJ324" i="10"/>
  <c r="DO323" i="10"/>
  <c r="DN323" i="10"/>
  <c r="DJ323" i="10"/>
  <c r="DI323" i="10"/>
  <c r="DH323" i="10"/>
  <c r="DG323" i="10"/>
  <c r="DF323" i="10"/>
  <c r="DE323" i="10"/>
  <c r="DD323" i="10"/>
  <c r="DC323" i="10"/>
  <c r="DB323" i="10"/>
  <c r="DA323" i="10"/>
  <c r="CZ323" i="10"/>
  <c r="CY323" i="10"/>
  <c r="CX323" i="10"/>
  <c r="CW323" i="10"/>
  <c r="CV323" i="10"/>
  <c r="CU323" i="10"/>
  <c r="CT323" i="10"/>
  <c r="CS323" i="10"/>
  <c r="CR323" i="10"/>
  <c r="CQ323" i="10"/>
  <c r="CP323" i="10"/>
  <c r="CO323" i="10"/>
  <c r="CB323" i="10"/>
  <c r="BV323" i="10"/>
  <c r="BU323" i="10"/>
  <c r="BR323" i="10"/>
  <c r="BP323" i="10"/>
  <c r="BO323" i="10"/>
  <c r="BN323" i="10"/>
  <c r="BM323" i="10"/>
  <c r="BJ323" i="10"/>
  <c r="DO322" i="10"/>
  <c r="DN322" i="10"/>
  <c r="DJ322" i="10"/>
  <c r="DI322" i="10"/>
  <c r="DH322" i="10"/>
  <c r="DG322" i="10"/>
  <c r="DF322" i="10"/>
  <c r="DE322" i="10"/>
  <c r="DD322" i="10"/>
  <c r="DC322" i="10"/>
  <c r="DB322" i="10"/>
  <c r="DA322" i="10"/>
  <c r="CZ322" i="10"/>
  <c r="CY322" i="10"/>
  <c r="CX322" i="10"/>
  <c r="CW322" i="10"/>
  <c r="CV322" i="10"/>
  <c r="CU322" i="10"/>
  <c r="CT322" i="10"/>
  <c r="CS322" i="10"/>
  <c r="CR322" i="10"/>
  <c r="CQ322" i="10"/>
  <c r="CP322" i="10"/>
  <c r="CO322" i="10"/>
  <c r="CB322" i="10"/>
  <c r="BV322" i="10"/>
  <c r="BU322" i="10"/>
  <c r="BR322" i="10"/>
  <c r="BP322" i="10"/>
  <c r="BO322" i="10"/>
  <c r="BN322" i="10"/>
  <c r="BM322" i="10"/>
  <c r="BJ322" i="10"/>
  <c r="DO321" i="10"/>
  <c r="DN321" i="10"/>
  <c r="DJ321" i="10"/>
  <c r="DI321" i="10"/>
  <c r="DH321" i="10"/>
  <c r="DG321" i="10"/>
  <c r="DF321" i="10"/>
  <c r="DE321" i="10"/>
  <c r="DD321" i="10"/>
  <c r="DC321" i="10"/>
  <c r="DB321" i="10"/>
  <c r="DA321" i="10"/>
  <c r="CZ321" i="10"/>
  <c r="CY321" i="10"/>
  <c r="CX321" i="10"/>
  <c r="CW321" i="10"/>
  <c r="CV321" i="10"/>
  <c r="CU321" i="10"/>
  <c r="CT321" i="10"/>
  <c r="CS321" i="10"/>
  <c r="CR321" i="10"/>
  <c r="CQ321" i="10"/>
  <c r="CP321" i="10"/>
  <c r="CO321" i="10"/>
  <c r="CB321" i="10"/>
  <c r="BV321" i="10"/>
  <c r="BU321" i="10"/>
  <c r="BR321" i="10"/>
  <c r="BP321" i="10"/>
  <c r="BO321" i="10"/>
  <c r="BN321" i="10"/>
  <c r="BM321" i="10"/>
  <c r="BJ321" i="10"/>
  <c r="DO320" i="10"/>
  <c r="DN320" i="10"/>
  <c r="DJ320" i="10"/>
  <c r="DI320" i="10"/>
  <c r="DH320" i="10"/>
  <c r="DG320" i="10"/>
  <c r="DF320" i="10"/>
  <c r="DE320" i="10"/>
  <c r="DD320" i="10"/>
  <c r="DC320" i="10"/>
  <c r="DB320" i="10"/>
  <c r="DA320" i="10"/>
  <c r="CZ320" i="10"/>
  <c r="CY320" i="10"/>
  <c r="CX320" i="10"/>
  <c r="CW320" i="10"/>
  <c r="CV320" i="10"/>
  <c r="CU320" i="10"/>
  <c r="CT320" i="10"/>
  <c r="CS320" i="10"/>
  <c r="CR320" i="10"/>
  <c r="CQ320" i="10"/>
  <c r="CP320" i="10"/>
  <c r="CO320" i="10"/>
  <c r="CB320" i="10"/>
  <c r="BV320" i="10"/>
  <c r="BU320" i="10"/>
  <c r="BR320" i="10"/>
  <c r="BP320" i="10"/>
  <c r="BO320" i="10"/>
  <c r="BN320" i="10"/>
  <c r="BM320" i="10"/>
  <c r="BJ320" i="10"/>
  <c r="DO319" i="10"/>
  <c r="DN319" i="10"/>
  <c r="DJ319" i="10"/>
  <c r="DI319" i="10"/>
  <c r="DH319" i="10"/>
  <c r="DG319" i="10"/>
  <c r="DF319" i="10"/>
  <c r="DE319" i="10"/>
  <c r="DD319" i="10"/>
  <c r="DC319" i="10"/>
  <c r="DB319" i="10"/>
  <c r="DA319" i="10"/>
  <c r="CZ319" i="10"/>
  <c r="CY319" i="10"/>
  <c r="CX319" i="10"/>
  <c r="CW319" i="10"/>
  <c r="CV319" i="10"/>
  <c r="CU319" i="10"/>
  <c r="CT319" i="10"/>
  <c r="CS319" i="10"/>
  <c r="CR319" i="10"/>
  <c r="CQ319" i="10"/>
  <c r="CP319" i="10"/>
  <c r="CO319" i="10"/>
  <c r="CB319" i="10"/>
  <c r="BV319" i="10"/>
  <c r="BU319" i="10"/>
  <c r="BR319" i="10"/>
  <c r="BP319" i="10"/>
  <c r="BO319" i="10"/>
  <c r="BN319" i="10"/>
  <c r="BM319" i="10"/>
  <c r="BJ319" i="10"/>
  <c r="DO318" i="10"/>
  <c r="DN318" i="10"/>
  <c r="DJ318" i="10"/>
  <c r="DI318" i="10"/>
  <c r="DH318" i="10"/>
  <c r="DG318" i="10"/>
  <c r="DF318" i="10"/>
  <c r="DE318" i="10"/>
  <c r="DD318" i="10"/>
  <c r="DC318" i="10"/>
  <c r="DB318" i="10"/>
  <c r="DA318" i="10"/>
  <c r="CZ318" i="10"/>
  <c r="CY318" i="10"/>
  <c r="CX318" i="10"/>
  <c r="CW318" i="10"/>
  <c r="CV318" i="10"/>
  <c r="CU318" i="10"/>
  <c r="CT318" i="10"/>
  <c r="CS318" i="10"/>
  <c r="CR318" i="10"/>
  <c r="CQ318" i="10"/>
  <c r="CP318" i="10"/>
  <c r="CO318" i="10"/>
  <c r="CB318" i="10"/>
  <c r="BV318" i="10"/>
  <c r="BU318" i="10"/>
  <c r="BR318" i="10"/>
  <c r="BP318" i="10"/>
  <c r="BO318" i="10"/>
  <c r="BN318" i="10"/>
  <c r="BM318" i="10"/>
  <c r="BJ318" i="10"/>
  <c r="DO317" i="10"/>
  <c r="DN317" i="10"/>
  <c r="DJ317" i="10"/>
  <c r="DI317" i="10"/>
  <c r="DH317" i="10"/>
  <c r="DG317" i="10"/>
  <c r="DF317" i="10"/>
  <c r="DE317" i="10"/>
  <c r="DD317" i="10"/>
  <c r="DC317" i="10"/>
  <c r="DB317" i="10"/>
  <c r="DA317" i="10"/>
  <c r="CZ317" i="10"/>
  <c r="CY317" i="10"/>
  <c r="CX317" i="10"/>
  <c r="CW317" i="10"/>
  <c r="CV317" i="10"/>
  <c r="CU317" i="10"/>
  <c r="CT317" i="10"/>
  <c r="CS317" i="10"/>
  <c r="CR317" i="10"/>
  <c r="CQ317" i="10"/>
  <c r="CP317" i="10"/>
  <c r="CO317" i="10"/>
  <c r="CB317" i="10"/>
  <c r="BV317" i="10"/>
  <c r="BU317" i="10"/>
  <c r="BR317" i="10"/>
  <c r="BP317" i="10"/>
  <c r="BO317" i="10"/>
  <c r="BN317" i="10"/>
  <c r="BM317" i="10"/>
  <c r="BJ317" i="10"/>
  <c r="DO316" i="10"/>
  <c r="DN316" i="10"/>
  <c r="DJ316" i="10"/>
  <c r="DI316" i="10"/>
  <c r="DH316" i="10"/>
  <c r="DG316" i="10"/>
  <c r="DF316" i="10"/>
  <c r="DE316" i="10"/>
  <c r="DD316" i="10"/>
  <c r="DC316" i="10"/>
  <c r="DB316" i="10"/>
  <c r="DA316" i="10"/>
  <c r="CZ316" i="10"/>
  <c r="CY316" i="10"/>
  <c r="CX316" i="10"/>
  <c r="CW316" i="10"/>
  <c r="CV316" i="10"/>
  <c r="CU316" i="10"/>
  <c r="CT316" i="10"/>
  <c r="CS316" i="10"/>
  <c r="CR316" i="10"/>
  <c r="CQ316" i="10"/>
  <c r="CP316" i="10"/>
  <c r="CO316" i="10"/>
  <c r="CB316" i="10"/>
  <c r="BV316" i="10"/>
  <c r="BU316" i="10"/>
  <c r="BR316" i="10"/>
  <c r="BP316" i="10"/>
  <c r="BO316" i="10"/>
  <c r="BN316" i="10"/>
  <c r="BM316" i="10"/>
  <c r="BJ316" i="10"/>
  <c r="DO315" i="10"/>
  <c r="DN315" i="10"/>
  <c r="DJ315" i="10"/>
  <c r="DI315" i="10"/>
  <c r="DH315" i="10"/>
  <c r="DG315" i="10"/>
  <c r="DF315" i="10"/>
  <c r="DE315" i="10"/>
  <c r="DD315" i="10"/>
  <c r="DC315" i="10"/>
  <c r="DB315" i="10"/>
  <c r="DA315" i="10"/>
  <c r="CZ315" i="10"/>
  <c r="CY315" i="10"/>
  <c r="CX315" i="10"/>
  <c r="CW315" i="10"/>
  <c r="CV315" i="10"/>
  <c r="CU315" i="10"/>
  <c r="CT315" i="10"/>
  <c r="CS315" i="10"/>
  <c r="CR315" i="10"/>
  <c r="CQ315" i="10"/>
  <c r="CP315" i="10"/>
  <c r="CO315" i="10"/>
  <c r="CB315" i="10"/>
  <c r="BV315" i="10"/>
  <c r="BU315" i="10"/>
  <c r="BR315" i="10"/>
  <c r="BP315" i="10"/>
  <c r="BO315" i="10"/>
  <c r="BN315" i="10"/>
  <c r="BM315" i="10"/>
  <c r="BJ315" i="10"/>
  <c r="DO314" i="10"/>
  <c r="DN314" i="10"/>
  <c r="DJ314" i="10"/>
  <c r="DI314" i="10"/>
  <c r="DH314" i="10"/>
  <c r="DG314" i="10"/>
  <c r="DF314" i="10"/>
  <c r="DE314" i="10"/>
  <c r="DD314" i="10"/>
  <c r="DC314" i="10"/>
  <c r="DB314" i="10"/>
  <c r="DA314" i="10"/>
  <c r="CZ314" i="10"/>
  <c r="CY314" i="10"/>
  <c r="CX314" i="10"/>
  <c r="CW314" i="10"/>
  <c r="CV314" i="10"/>
  <c r="CU314" i="10"/>
  <c r="CT314" i="10"/>
  <c r="CS314" i="10"/>
  <c r="CR314" i="10"/>
  <c r="CQ314" i="10"/>
  <c r="CP314" i="10"/>
  <c r="CO314" i="10"/>
  <c r="CB314" i="10"/>
  <c r="BV314" i="10"/>
  <c r="BU314" i="10"/>
  <c r="BR314" i="10"/>
  <c r="BP314" i="10"/>
  <c r="BO314" i="10"/>
  <c r="BN314" i="10"/>
  <c r="BM314" i="10"/>
  <c r="BJ314" i="10"/>
  <c r="DO313" i="10"/>
  <c r="DN313" i="10"/>
  <c r="DJ313" i="10"/>
  <c r="DI313" i="10"/>
  <c r="DH313" i="10"/>
  <c r="DG313" i="10"/>
  <c r="DF313" i="10"/>
  <c r="DE313" i="10"/>
  <c r="DD313" i="10"/>
  <c r="DC313" i="10"/>
  <c r="DB313" i="10"/>
  <c r="DA313" i="10"/>
  <c r="CZ313" i="10"/>
  <c r="CY313" i="10"/>
  <c r="CX313" i="10"/>
  <c r="CW313" i="10"/>
  <c r="CV313" i="10"/>
  <c r="CU313" i="10"/>
  <c r="CT313" i="10"/>
  <c r="CS313" i="10"/>
  <c r="CR313" i="10"/>
  <c r="CQ313" i="10"/>
  <c r="CP313" i="10"/>
  <c r="CO313" i="10"/>
  <c r="CB313" i="10"/>
  <c r="BV313" i="10"/>
  <c r="BU313" i="10"/>
  <c r="BR313" i="10"/>
  <c r="BP313" i="10"/>
  <c r="BO313" i="10"/>
  <c r="BN313" i="10"/>
  <c r="BM313" i="10"/>
  <c r="BJ313" i="10"/>
  <c r="DO312" i="10"/>
  <c r="DN312" i="10"/>
  <c r="DJ312" i="10"/>
  <c r="DI312" i="10"/>
  <c r="DH312" i="10"/>
  <c r="DG312" i="10"/>
  <c r="DF312" i="10"/>
  <c r="DE312" i="10"/>
  <c r="DD312" i="10"/>
  <c r="DC312" i="10"/>
  <c r="DB312" i="10"/>
  <c r="DA312" i="10"/>
  <c r="CZ312" i="10"/>
  <c r="CY312" i="10"/>
  <c r="CX312" i="10"/>
  <c r="CW312" i="10"/>
  <c r="CV312" i="10"/>
  <c r="CU312" i="10"/>
  <c r="CT312" i="10"/>
  <c r="CS312" i="10"/>
  <c r="CR312" i="10"/>
  <c r="CQ312" i="10"/>
  <c r="CP312" i="10"/>
  <c r="CO312" i="10"/>
  <c r="CB312" i="10"/>
  <c r="BV312" i="10"/>
  <c r="BU312" i="10"/>
  <c r="BR312" i="10"/>
  <c r="BP312" i="10"/>
  <c r="BO312" i="10"/>
  <c r="BN312" i="10"/>
  <c r="BM312" i="10"/>
  <c r="BJ312" i="10"/>
  <c r="DO311" i="10"/>
  <c r="DN311" i="10"/>
  <c r="DJ311" i="10"/>
  <c r="DI311" i="10"/>
  <c r="DH311" i="10"/>
  <c r="DG311" i="10"/>
  <c r="DF311" i="10"/>
  <c r="DE311" i="10"/>
  <c r="DD311" i="10"/>
  <c r="DC311" i="10"/>
  <c r="DB311" i="10"/>
  <c r="DA311" i="10"/>
  <c r="CZ311" i="10"/>
  <c r="CY311" i="10"/>
  <c r="CX311" i="10"/>
  <c r="CW311" i="10"/>
  <c r="CV311" i="10"/>
  <c r="CU311" i="10"/>
  <c r="CT311" i="10"/>
  <c r="CS311" i="10"/>
  <c r="CR311" i="10"/>
  <c r="CQ311" i="10"/>
  <c r="CP311" i="10"/>
  <c r="CO311" i="10"/>
  <c r="CB311" i="10"/>
  <c r="BV311" i="10"/>
  <c r="BU311" i="10"/>
  <c r="BR311" i="10"/>
  <c r="BP311" i="10"/>
  <c r="BO311" i="10"/>
  <c r="BN311" i="10"/>
  <c r="BM311" i="10"/>
  <c r="BJ311" i="10"/>
  <c r="DO310" i="10"/>
  <c r="DN310" i="10"/>
  <c r="DJ310" i="10"/>
  <c r="DI310" i="10"/>
  <c r="DH310" i="10"/>
  <c r="DG310" i="10"/>
  <c r="DF310" i="10"/>
  <c r="DE310" i="10"/>
  <c r="DD310" i="10"/>
  <c r="DC310" i="10"/>
  <c r="DB310" i="10"/>
  <c r="DA310" i="10"/>
  <c r="CZ310" i="10"/>
  <c r="CY310" i="10"/>
  <c r="CX310" i="10"/>
  <c r="CW310" i="10"/>
  <c r="CV310" i="10"/>
  <c r="CU310" i="10"/>
  <c r="CT310" i="10"/>
  <c r="CS310" i="10"/>
  <c r="CR310" i="10"/>
  <c r="CQ310" i="10"/>
  <c r="CP310" i="10"/>
  <c r="CO310" i="10"/>
  <c r="CB310" i="10"/>
  <c r="BV310" i="10"/>
  <c r="BU310" i="10"/>
  <c r="BR310" i="10"/>
  <c r="BP310" i="10"/>
  <c r="BO310" i="10"/>
  <c r="BN310" i="10"/>
  <c r="BM310" i="10"/>
  <c r="BJ310" i="10"/>
  <c r="DO309" i="10"/>
  <c r="DN309" i="10"/>
  <c r="DJ309" i="10"/>
  <c r="DI309" i="10"/>
  <c r="DH309" i="10"/>
  <c r="DG309" i="10"/>
  <c r="DF309" i="10"/>
  <c r="DE309" i="10"/>
  <c r="DD309" i="10"/>
  <c r="DC309" i="10"/>
  <c r="DB309" i="10"/>
  <c r="DA309" i="10"/>
  <c r="CZ309" i="10"/>
  <c r="CY309" i="10"/>
  <c r="CX309" i="10"/>
  <c r="CW309" i="10"/>
  <c r="CV309" i="10"/>
  <c r="CU309" i="10"/>
  <c r="CT309" i="10"/>
  <c r="CS309" i="10"/>
  <c r="CR309" i="10"/>
  <c r="CQ309" i="10"/>
  <c r="CP309" i="10"/>
  <c r="CO309" i="10"/>
  <c r="CB309" i="10"/>
  <c r="BV309" i="10"/>
  <c r="BU309" i="10"/>
  <c r="BR309" i="10"/>
  <c r="BP309" i="10"/>
  <c r="BO309" i="10"/>
  <c r="BN309" i="10"/>
  <c r="BM309" i="10"/>
  <c r="BJ309" i="10"/>
  <c r="DO308" i="10"/>
  <c r="DN308" i="10"/>
  <c r="DJ308" i="10"/>
  <c r="DI308" i="10"/>
  <c r="DH308" i="10"/>
  <c r="DG308" i="10"/>
  <c r="DF308" i="10"/>
  <c r="DE308" i="10"/>
  <c r="DD308" i="10"/>
  <c r="DC308" i="10"/>
  <c r="DB308" i="10"/>
  <c r="DA308" i="10"/>
  <c r="CZ308" i="10"/>
  <c r="CY308" i="10"/>
  <c r="CX308" i="10"/>
  <c r="CW308" i="10"/>
  <c r="CV308" i="10"/>
  <c r="CU308" i="10"/>
  <c r="CT308" i="10"/>
  <c r="CS308" i="10"/>
  <c r="CR308" i="10"/>
  <c r="CQ308" i="10"/>
  <c r="CP308" i="10"/>
  <c r="CO308" i="10"/>
  <c r="CB308" i="10"/>
  <c r="BV308" i="10"/>
  <c r="BU308" i="10"/>
  <c r="BR308" i="10"/>
  <c r="BP308" i="10"/>
  <c r="BO308" i="10"/>
  <c r="BN308" i="10"/>
  <c r="BM308" i="10"/>
  <c r="BJ308" i="10"/>
  <c r="DO307" i="10"/>
  <c r="DN307" i="10"/>
  <c r="DJ307" i="10"/>
  <c r="DI307" i="10"/>
  <c r="DH307" i="10"/>
  <c r="DG307" i="10"/>
  <c r="DF307" i="10"/>
  <c r="DE307" i="10"/>
  <c r="DD307" i="10"/>
  <c r="DC307" i="10"/>
  <c r="DB307" i="10"/>
  <c r="DA307" i="10"/>
  <c r="CZ307" i="10"/>
  <c r="CY307" i="10"/>
  <c r="CX307" i="10"/>
  <c r="CW307" i="10"/>
  <c r="CV307" i="10"/>
  <c r="CU307" i="10"/>
  <c r="CT307" i="10"/>
  <c r="CS307" i="10"/>
  <c r="CR307" i="10"/>
  <c r="CQ307" i="10"/>
  <c r="CP307" i="10"/>
  <c r="CO307" i="10"/>
  <c r="CB307" i="10"/>
  <c r="BV307" i="10"/>
  <c r="BU307" i="10"/>
  <c r="BR307" i="10"/>
  <c r="BP307" i="10"/>
  <c r="BO307" i="10"/>
  <c r="BN307" i="10"/>
  <c r="BM307" i="10"/>
  <c r="BJ307" i="10"/>
  <c r="DO306" i="10"/>
  <c r="DN306" i="10"/>
  <c r="DJ306" i="10"/>
  <c r="DI306" i="10"/>
  <c r="DH306" i="10"/>
  <c r="DG306" i="10"/>
  <c r="DF306" i="10"/>
  <c r="DE306" i="10"/>
  <c r="DD306" i="10"/>
  <c r="DC306" i="10"/>
  <c r="DB306" i="10"/>
  <c r="DA306" i="10"/>
  <c r="CZ306" i="10"/>
  <c r="CY306" i="10"/>
  <c r="CX306" i="10"/>
  <c r="CW306" i="10"/>
  <c r="CV306" i="10"/>
  <c r="CU306" i="10"/>
  <c r="CT306" i="10"/>
  <c r="CS306" i="10"/>
  <c r="CR306" i="10"/>
  <c r="CQ306" i="10"/>
  <c r="CP306" i="10"/>
  <c r="CO306" i="10"/>
  <c r="CB306" i="10"/>
  <c r="BV306" i="10"/>
  <c r="BU306" i="10"/>
  <c r="BR306" i="10"/>
  <c r="BP306" i="10"/>
  <c r="BO306" i="10"/>
  <c r="BN306" i="10"/>
  <c r="BM306" i="10"/>
  <c r="BJ306" i="10"/>
  <c r="DO305" i="10"/>
  <c r="DN305" i="10"/>
  <c r="DJ305" i="10"/>
  <c r="DI305" i="10"/>
  <c r="DH305" i="10"/>
  <c r="DG305" i="10"/>
  <c r="DF305" i="10"/>
  <c r="DE305" i="10"/>
  <c r="DD305" i="10"/>
  <c r="DC305" i="10"/>
  <c r="DB305" i="10"/>
  <c r="DA305" i="10"/>
  <c r="CZ305" i="10"/>
  <c r="CY305" i="10"/>
  <c r="CX305" i="10"/>
  <c r="CW305" i="10"/>
  <c r="CV305" i="10"/>
  <c r="CU305" i="10"/>
  <c r="CT305" i="10"/>
  <c r="CS305" i="10"/>
  <c r="CR305" i="10"/>
  <c r="CQ305" i="10"/>
  <c r="CP305" i="10"/>
  <c r="CO305" i="10"/>
  <c r="CB305" i="10"/>
  <c r="BV305" i="10"/>
  <c r="BU305" i="10"/>
  <c r="BR305" i="10"/>
  <c r="BP305" i="10"/>
  <c r="BO305" i="10"/>
  <c r="BN305" i="10"/>
  <c r="BM305" i="10"/>
  <c r="BJ305" i="10"/>
  <c r="DO304" i="10"/>
  <c r="DN304" i="10"/>
  <c r="DJ304" i="10"/>
  <c r="DI304" i="10"/>
  <c r="DH304" i="10"/>
  <c r="DG304" i="10"/>
  <c r="DF304" i="10"/>
  <c r="DE304" i="10"/>
  <c r="DD304" i="10"/>
  <c r="DC304" i="10"/>
  <c r="DB304" i="10"/>
  <c r="DA304" i="10"/>
  <c r="CZ304" i="10"/>
  <c r="CY304" i="10"/>
  <c r="CX304" i="10"/>
  <c r="CW304" i="10"/>
  <c r="CV304" i="10"/>
  <c r="CU304" i="10"/>
  <c r="CT304" i="10"/>
  <c r="CS304" i="10"/>
  <c r="CR304" i="10"/>
  <c r="CQ304" i="10"/>
  <c r="CP304" i="10"/>
  <c r="CO304" i="10"/>
  <c r="CB304" i="10"/>
  <c r="BV304" i="10"/>
  <c r="BU304" i="10"/>
  <c r="BR304" i="10"/>
  <c r="BP304" i="10"/>
  <c r="BO304" i="10"/>
  <c r="BN304" i="10"/>
  <c r="BM304" i="10"/>
  <c r="BJ304" i="10"/>
  <c r="DO303" i="10"/>
  <c r="DN303" i="10"/>
  <c r="DJ303" i="10"/>
  <c r="DI303" i="10"/>
  <c r="DH303" i="10"/>
  <c r="DG303" i="10"/>
  <c r="DF303" i="10"/>
  <c r="DE303" i="10"/>
  <c r="DD303" i="10"/>
  <c r="DC303" i="10"/>
  <c r="DB303" i="10"/>
  <c r="DA303" i="10"/>
  <c r="CZ303" i="10"/>
  <c r="CY303" i="10"/>
  <c r="CX303" i="10"/>
  <c r="CW303" i="10"/>
  <c r="CV303" i="10"/>
  <c r="CU303" i="10"/>
  <c r="CT303" i="10"/>
  <c r="CS303" i="10"/>
  <c r="CR303" i="10"/>
  <c r="CQ303" i="10"/>
  <c r="CP303" i="10"/>
  <c r="CO303" i="10"/>
  <c r="CB303" i="10"/>
  <c r="BV303" i="10"/>
  <c r="BU303" i="10"/>
  <c r="BR303" i="10"/>
  <c r="BP303" i="10"/>
  <c r="BO303" i="10"/>
  <c r="BN303" i="10"/>
  <c r="BM303" i="10"/>
  <c r="BJ303" i="10"/>
  <c r="DO302" i="10"/>
  <c r="DN302" i="10"/>
  <c r="DJ302" i="10"/>
  <c r="DI302" i="10"/>
  <c r="DH302" i="10"/>
  <c r="DG302" i="10"/>
  <c r="DF302" i="10"/>
  <c r="DE302" i="10"/>
  <c r="DD302" i="10"/>
  <c r="DC302" i="10"/>
  <c r="DB302" i="10"/>
  <c r="DA302" i="10"/>
  <c r="CZ302" i="10"/>
  <c r="CY302" i="10"/>
  <c r="CX302" i="10"/>
  <c r="CW302" i="10"/>
  <c r="CV302" i="10"/>
  <c r="CU302" i="10"/>
  <c r="CT302" i="10"/>
  <c r="CS302" i="10"/>
  <c r="CR302" i="10"/>
  <c r="CQ302" i="10"/>
  <c r="CP302" i="10"/>
  <c r="CO302" i="10"/>
  <c r="CB302" i="10"/>
  <c r="BV302" i="10"/>
  <c r="BU302" i="10"/>
  <c r="BR302" i="10"/>
  <c r="BP302" i="10"/>
  <c r="BO302" i="10"/>
  <c r="BN302" i="10"/>
  <c r="BM302" i="10"/>
  <c r="BJ302" i="10"/>
  <c r="DO301" i="10"/>
  <c r="DN301" i="10"/>
  <c r="DJ301" i="10"/>
  <c r="DI301" i="10"/>
  <c r="DH301" i="10"/>
  <c r="DG301" i="10"/>
  <c r="DF301" i="10"/>
  <c r="DE301" i="10"/>
  <c r="DD301" i="10"/>
  <c r="DC301" i="10"/>
  <c r="DB301" i="10"/>
  <c r="DA301" i="10"/>
  <c r="CZ301" i="10"/>
  <c r="CY301" i="10"/>
  <c r="CX301" i="10"/>
  <c r="CW301" i="10"/>
  <c r="CV301" i="10"/>
  <c r="CU301" i="10"/>
  <c r="CT301" i="10"/>
  <c r="CS301" i="10"/>
  <c r="CR301" i="10"/>
  <c r="CQ301" i="10"/>
  <c r="CP301" i="10"/>
  <c r="CO301" i="10"/>
  <c r="CB301" i="10"/>
  <c r="BV301" i="10"/>
  <c r="BU301" i="10"/>
  <c r="BR301" i="10"/>
  <c r="BP301" i="10"/>
  <c r="BO301" i="10"/>
  <c r="BN301" i="10"/>
  <c r="BM301" i="10"/>
  <c r="BJ301" i="10"/>
  <c r="DO300" i="10"/>
  <c r="DN300" i="10"/>
  <c r="DJ300" i="10"/>
  <c r="DI300" i="10"/>
  <c r="DH300" i="10"/>
  <c r="DG300" i="10"/>
  <c r="DF300" i="10"/>
  <c r="DE300" i="10"/>
  <c r="DD300" i="10"/>
  <c r="DC300" i="10"/>
  <c r="DB300" i="10"/>
  <c r="DA300" i="10"/>
  <c r="CZ300" i="10"/>
  <c r="CY300" i="10"/>
  <c r="CX300" i="10"/>
  <c r="CW300" i="10"/>
  <c r="CV300" i="10"/>
  <c r="CU300" i="10"/>
  <c r="CT300" i="10"/>
  <c r="CS300" i="10"/>
  <c r="CR300" i="10"/>
  <c r="CQ300" i="10"/>
  <c r="CP300" i="10"/>
  <c r="CO300" i="10"/>
  <c r="CB300" i="10"/>
  <c r="BV300" i="10"/>
  <c r="BU300" i="10"/>
  <c r="BR300" i="10"/>
  <c r="BP300" i="10"/>
  <c r="BO300" i="10"/>
  <c r="BN300" i="10"/>
  <c r="BM300" i="10"/>
  <c r="BJ300" i="10"/>
  <c r="DO299" i="10"/>
  <c r="DN299" i="10"/>
  <c r="DJ299" i="10"/>
  <c r="DI299" i="10"/>
  <c r="DH299" i="10"/>
  <c r="DG299" i="10"/>
  <c r="DF299" i="10"/>
  <c r="DE299" i="10"/>
  <c r="DD299" i="10"/>
  <c r="DC299" i="10"/>
  <c r="DB299" i="10"/>
  <c r="DA299" i="10"/>
  <c r="CZ299" i="10"/>
  <c r="CY299" i="10"/>
  <c r="CX299" i="10"/>
  <c r="CW299" i="10"/>
  <c r="CV299" i="10"/>
  <c r="CU299" i="10"/>
  <c r="CT299" i="10"/>
  <c r="CS299" i="10"/>
  <c r="CR299" i="10"/>
  <c r="CQ299" i="10"/>
  <c r="CP299" i="10"/>
  <c r="CO299" i="10"/>
  <c r="CB299" i="10"/>
  <c r="BV299" i="10"/>
  <c r="BU299" i="10"/>
  <c r="BR299" i="10"/>
  <c r="BP299" i="10"/>
  <c r="BO299" i="10"/>
  <c r="BN299" i="10"/>
  <c r="BM299" i="10"/>
  <c r="BJ299" i="10"/>
  <c r="DO298" i="10"/>
  <c r="DN298" i="10"/>
  <c r="DJ298" i="10"/>
  <c r="DI298" i="10"/>
  <c r="DH298" i="10"/>
  <c r="DG298" i="10"/>
  <c r="DF298" i="10"/>
  <c r="DE298" i="10"/>
  <c r="DD298" i="10"/>
  <c r="DC298" i="10"/>
  <c r="DB298" i="10"/>
  <c r="DA298" i="10"/>
  <c r="CZ298" i="10"/>
  <c r="CY298" i="10"/>
  <c r="CX298" i="10"/>
  <c r="CW298" i="10"/>
  <c r="CV298" i="10"/>
  <c r="CU298" i="10"/>
  <c r="CT298" i="10"/>
  <c r="CS298" i="10"/>
  <c r="CR298" i="10"/>
  <c r="CQ298" i="10"/>
  <c r="CP298" i="10"/>
  <c r="CO298" i="10"/>
  <c r="CB298" i="10"/>
  <c r="BV298" i="10"/>
  <c r="BU298" i="10"/>
  <c r="BR298" i="10"/>
  <c r="BP298" i="10"/>
  <c r="BO298" i="10"/>
  <c r="BN298" i="10"/>
  <c r="BM298" i="10"/>
  <c r="BJ298" i="10"/>
  <c r="DO297" i="10"/>
  <c r="DN297" i="10"/>
  <c r="DJ297" i="10"/>
  <c r="DI297" i="10"/>
  <c r="DH297" i="10"/>
  <c r="DG297" i="10"/>
  <c r="DF297" i="10"/>
  <c r="DE297" i="10"/>
  <c r="DD297" i="10"/>
  <c r="DC297" i="10"/>
  <c r="DB297" i="10"/>
  <c r="DA297" i="10"/>
  <c r="CZ297" i="10"/>
  <c r="CY297" i="10"/>
  <c r="CX297" i="10"/>
  <c r="CW297" i="10"/>
  <c r="CV297" i="10"/>
  <c r="CU297" i="10"/>
  <c r="CT297" i="10"/>
  <c r="CS297" i="10"/>
  <c r="CR297" i="10"/>
  <c r="CQ297" i="10"/>
  <c r="CP297" i="10"/>
  <c r="CO297" i="10"/>
  <c r="CB297" i="10"/>
  <c r="BV297" i="10"/>
  <c r="BU297" i="10"/>
  <c r="BR297" i="10"/>
  <c r="BP297" i="10"/>
  <c r="BO297" i="10"/>
  <c r="BN297" i="10"/>
  <c r="BM297" i="10"/>
  <c r="BJ297" i="10"/>
  <c r="DO296" i="10"/>
  <c r="DN296" i="10"/>
  <c r="DJ296" i="10"/>
  <c r="DI296" i="10"/>
  <c r="DH296" i="10"/>
  <c r="DG296" i="10"/>
  <c r="DF296" i="10"/>
  <c r="DE296" i="10"/>
  <c r="DD296" i="10"/>
  <c r="DC296" i="10"/>
  <c r="DB296" i="10"/>
  <c r="DA296" i="10"/>
  <c r="CZ296" i="10"/>
  <c r="CY296" i="10"/>
  <c r="CX296" i="10"/>
  <c r="CW296" i="10"/>
  <c r="CV296" i="10"/>
  <c r="CU296" i="10"/>
  <c r="CT296" i="10"/>
  <c r="CS296" i="10"/>
  <c r="CR296" i="10"/>
  <c r="CQ296" i="10"/>
  <c r="CP296" i="10"/>
  <c r="CO296" i="10"/>
  <c r="CB296" i="10"/>
  <c r="BV296" i="10"/>
  <c r="BU296" i="10"/>
  <c r="BR296" i="10"/>
  <c r="BP296" i="10"/>
  <c r="BO296" i="10"/>
  <c r="BN296" i="10"/>
  <c r="BM296" i="10"/>
  <c r="BJ296" i="10"/>
  <c r="DO295" i="10"/>
  <c r="DN295" i="10"/>
  <c r="DJ295" i="10"/>
  <c r="DI295" i="10"/>
  <c r="DH295" i="10"/>
  <c r="DG295" i="10"/>
  <c r="DF295" i="10"/>
  <c r="DE295" i="10"/>
  <c r="DD295" i="10"/>
  <c r="DC295" i="10"/>
  <c r="DB295" i="10"/>
  <c r="DA295" i="10"/>
  <c r="CZ295" i="10"/>
  <c r="CY295" i="10"/>
  <c r="CX295" i="10"/>
  <c r="CW295" i="10"/>
  <c r="CV295" i="10"/>
  <c r="CU295" i="10"/>
  <c r="CT295" i="10"/>
  <c r="CS295" i="10"/>
  <c r="CR295" i="10"/>
  <c r="CQ295" i="10"/>
  <c r="CP295" i="10"/>
  <c r="CO295" i="10"/>
  <c r="CB295" i="10"/>
  <c r="BV295" i="10"/>
  <c r="BU295" i="10"/>
  <c r="BR295" i="10"/>
  <c r="BP295" i="10"/>
  <c r="BO295" i="10"/>
  <c r="BN295" i="10"/>
  <c r="BM295" i="10"/>
  <c r="BJ295" i="10"/>
  <c r="DO294" i="10"/>
  <c r="DN294" i="10"/>
  <c r="DJ294" i="10"/>
  <c r="DI294" i="10"/>
  <c r="DH294" i="10"/>
  <c r="DG294" i="10"/>
  <c r="DF294" i="10"/>
  <c r="DE294" i="10"/>
  <c r="DD294" i="10"/>
  <c r="DC294" i="10"/>
  <c r="DB294" i="10"/>
  <c r="DA294" i="10"/>
  <c r="CZ294" i="10"/>
  <c r="CY294" i="10"/>
  <c r="CX294" i="10"/>
  <c r="CW294" i="10"/>
  <c r="CV294" i="10"/>
  <c r="CU294" i="10"/>
  <c r="CT294" i="10"/>
  <c r="CS294" i="10"/>
  <c r="CR294" i="10"/>
  <c r="CQ294" i="10"/>
  <c r="CP294" i="10"/>
  <c r="CO294" i="10"/>
  <c r="CB294" i="10"/>
  <c r="BV294" i="10"/>
  <c r="BU294" i="10"/>
  <c r="BR294" i="10"/>
  <c r="BP294" i="10"/>
  <c r="BO294" i="10"/>
  <c r="BN294" i="10"/>
  <c r="BM294" i="10"/>
  <c r="BJ294" i="10"/>
  <c r="DO293" i="10"/>
  <c r="DN293" i="10"/>
  <c r="DJ293" i="10"/>
  <c r="DI293" i="10"/>
  <c r="DH293" i="10"/>
  <c r="DG293" i="10"/>
  <c r="DF293" i="10"/>
  <c r="DE293" i="10"/>
  <c r="DD293" i="10"/>
  <c r="DC293" i="10"/>
  <c r="DB293" i="10"/>
  <c r="DA293" i="10"/>
  <c r="CZ293" i="10"/>
  <c r="CY293" i="10"/>
  <c r="CX293" i="10"/>
  <c r="CW293" i="10"/>
  <c r="CV293" i="10"/>
  <c r="CU293" i="10"/>
  <c r="CT293" i="10"/>
  <c r="CS293" i="10"/>
  <c r="CR293" i="10"/>
  <c r="CQ293" i="10"/>
  <c r="CP293" i="10"/>
  <c r="CO293" i="10"/>
  <c r="CB293" i="10"/>
  <c r="BV293" i="10"/>
  <c r="BU293" i="10"/>
  <c r="BR293" i="10"/>
  <c r="BP293" i="10"/>
  <c r="BO293" i="10"/>
  <c r="BN293" i="10"/>
  <c r="BM293" i="10"/>
  <c r="BJ293" i="10"/>
  <c r="DO292" i="10"/>
  <c r="DN292" i="10"/>
  <c r="DJ292" i="10"/>
  <c r="DI292" i="10"/>
  <c r="DH292" i="10"/>
  <c r="DG292" i="10"/>
  <c r="DF292" i="10"/>
  <c r="DE292" i="10"/>
  <c r="DD292" i="10"/>
  <c r="DC292" i="10"/>
  <c r="DB292" i="10"/>
  <c r="DA292" i="10"/>
  <c r="CZ292" i="10"/>
  <c r="CY292" i="10"/>
  <c r="CX292" i="10"/>
  <c r="CW292" i="10"/>
  <c r="CV292" i="10"/>
  <c r="CU292" i="10"/>
  <c r="CT292" i="10"/>
  <c r="CS292" i="10"/>
  <c r="CR292" i="10"/>
  <c r="CQ292" i="10"/>
  <c r="CP292" i="10"/>
  <c r="CO292" i="10"/>
  <c r="CB292" i="10"/>
  <c r="BV292" i="10"/>
  <c r="BU292" i="10"/>
  <c r="BR292" i="10"/>
  <c r="BP292" i="10"/>
  <c r="BO292" i="10"/>
  <c r="BN292" i="10"/>
  <c r="BM292" i="10"/>
  <c r="BJ292" i="10"/>
  <c r="DO291" i="10"/>
  <c r="DN291" i="10"/>
  <c r="DJ291" i="10"/>
  <c r="DI291" i="10"/>
  <c r="DH291" i="10"/>
  <c r="DG291" i="10"/>
  <c r="DF291" i="10"/>
  <c r="DE291" i="10"/>
  <c r="DD291" i="10"/>
  <c r="DC291" i="10"/>
  <c r="DB291" i="10"/>
  <c r="DA291" i="10"/>
  <c r="CZ291" i="10"/>
  <c r="CY291" i="10"/>
  <c r="CX291" i="10"/>
  <c r="CW291" i="10"/>
  <c r="CV291" i="10"/>
  <c r="CU291" i="10"/>
  <c r="CT291" i="10"/>
  <c r="CS291" i="10"/>
  <c r="CR291" i="10"/>
  <c r="CQ291" i="10"/>
  <c r="CP291" i="10"/>
  <c r="CO291" i="10"/>
  <c r="CB291" i="10"/>
  <c r="BV291" i="10"/>
  <c r="BU291" i="10"/>
  <c r="BR291" i="10"/>
  <c r="BP291" i="10"/>
  <c r="BO291" i="10"/>
  <c r="BN291" i="10"/>
  <c r="BM291" i="10"/>
  <c r="BJ291" i="10"/>
  <c r="DO290" i="10"/>
  <c r="DN290" i="10"/>
  <c r="DJ290" i="10"/>
  <c r="DI290" i="10"/>
  <c r="DH290" i="10"/>
  <c r="DG290" i="10"/>
  <c r="DF290" i="10"/>
  <c r="DE290" i="10"/>
  <c r="DD290" i="10"/>
  <c r="DC290" i="10"/>
  <c r="DB290" i="10"/>
  <c r="DA290" i="10"/>
  <c r="CZ290" i="10"/>
  <c r="CY290" i="10"/>
  <c r="CX290" i="10"/>
  <c r="CW290" i="10"/>
  <c r="CV290" i="10"/>
  <c r="CU290" i="10"/>
  <c r="CT290" i="10"/>
  <c r="CS290" i="10"/>
  <c r="CR290" i="10"/>
  <c r="CQ290" i="10"/>
  <c r="CP290" i="10"/>
  <c r="CO290" i="10"/>
  <c r="CB290" i="10"/>
  <c r="BV290" i="10"/>
  <c r="BU290" i="10"/>
  <c r="BR290" i="10"/>
  <c r="BP290" i="10"/>
  <c r="BO290" i="10"/>
  <c r="BN290" i="10"/>
  <c r="BM290" i="10"/>
  <c r="BJ290" i="10"/>
  <c r="DO289" i="10"/>
  <c r="DN289" i="10"/>
  <c r="DJ289" i="10"/>
  <c r="DI289" i="10"/>
  <c r="DH289" i="10"/>
  <c r="DG289" i="10"/>
  <c r="DF289" i="10"/>
  <c r="DE289" i="10"/>
  <c r="DD289" i="10"/>
  <c r="DC289" i="10"/>
  <c r="DB289" i="10"/>
  <c r="DA289" i="10"/>
  <c r="CZ289" i="10"/>
  <c r="CY289" i="10"/>
  <c r="CX289" i="10"/>
  <c r="CW289" i="10"/>
  <c r="CV289" i="10"/>
  <c r="CU289" i="10"/>
  <c r="CT289" i="10"/>
  <c r="CS289" i="10"/>
  <c r="CR289" i="10"/>
  <c r="CQ289" i="10"/>
  <c r="CP289" i="10"/>
  <c r="CO289" i="10"/>
  <c r="CB289" i="10"/>
  <c r="BV289" i="10"/>
  <c r="BU289" i="10"/>
  <c r="BR289" i="10"/>
  <c r="BP289" i="10"/>
  <c r="BO289" i="10"/>
  <c r="BN289" i="10"/>
  <c r="BM289" i="10"/>
  <c r="BJ289" i="10"/>
  <c r="DO288" i="10"/>
  <c r="DN288" i="10"/>
  <c r="DJ288" i="10"/>
  <c r="DI288" i="10"/>
  <c r="DH288" i="10"/>
  <c r="DG288" i="10"/>
  <c r="DF288" i="10"/>
  <c r="DE288" i="10"/>
  <c r="DD288" i="10"/>
  <c r="DC288" i="10"/>
  <c r="DB288" i="10"/>
  <c r="DA288" i="10"/>
  <c r="CZ288" i="10"/>
  <c r="CY288" i="10"/>
  <c r="CX288" i="10"/>
  <c r="CW288" i="10"/>
  <c r="CV288" i="10"/>
  <c r="CU288" i="10"/>
  <c r="CT288" i="10"/>
  <c r="CS288" i="10"/>
  <c r="CR288" i="10"/>
  <c r="CQ288" i="10"/>
  <c r="CP288" i="10"/>
  <c r="CO288" i="10"/>
  <c r="CB288" i="10"/>
  <c r="BV288" i="10"/>
  <c r="BU288" i="10"/>
  <c r="BR288" i="10"/>
  <c r="BP288" i="10"/>
  <c r="BO288" i="10"/>
  <c r="BN288" i="10"/>
  <c r="BM288" i="10"/>
  <c r="BJ288" i="10"/>
  <c r="DO287" i="10"/>
  <c r="DN287" i="10"/>
  <c r="DJ287" i="10"/>
  <c r="DI287" i="10"/>
  <c r="DH287" i="10"/>
  <c r="DG287" i="10"/>
  <c r="DF287" i="10"/>
  <c r="DE287" i="10"/>
  <c r="DD287" i="10"/>
  <c r="DC287" i="10"/>
  <c r="DB287" i="10"/>
  <c r="DA287" i="10"/>
  <c r="CZ287" i="10"/>
  <c r="CY287" i="10"/>
  <c r="CX287" i="10"/>
  <c r="CW287" i="10"/>
  <c r="CV287" i="10"/>
  <c r="CU287" i="10"/>
  <c r="CT287" i="10"/>
  <c r="CS287" i="10"/>
  <c r="CR287" i="10"/>
  <c r="CQ287" i="10"/>
  <c r="CP287" i="10"/>
  <c r="CO287" i="10"/>
  <c r="CB287" i="10"/>
  <c r="BV287" i="10"/>
  <c r="BU287" i="10"/>
  <c r="BR287" i="10"/>
  <c r="BP287" i="10"/>
  <c r="BO287" i="10"/>
  <c r="BN287" i="10"/>
  <c r="BM287" i="10"/>
  <c r="BJ287" i="10"/>
  <c r="DO286" i="10"/>
  <c r="DN286" i="10"/>
  <c r="DJ286" i="10"/>
  <c r="DI286" i="10"/>
  <c r="DH286" i="10"/>
  <c r="DG286" i="10"/>
  <c r="DF286" i="10"/>
  <c r="DE286" i="10"/>
  <c r="DD286" i="10"/>
  <c r="DC286" i="10"/>
  <c r="DB286" i="10"/>
  <c r="DA286" i="10"/>
  <c r="CZ286" i="10"/>
  <c r="CY286" i="10"/>
  <c r="CX286" i="10"/>
  <c r="CW286" i="10"/>
  <c r="CV286" i="10"/>
  <c r="CU286" i="10"/>
  <c r="CT286" i="10"/>
  <c r="CS286" i="10"/>
  <c r="CR286" i="10"/>
  <c r="CQ286" i="10"/>
  <c r="CP286" i="10"/>
  <c r="CO286" i="10"/>
  <c r="CB286" i="10"/>
  <c r="BV286" i="10"/>
  <c r="BU286" i="10"/>
  <c r="BR286" i="10"/>
  <c r="BP286" i="10"/>
  <c r="BO286" i="10"/>
  <c r="BN286" i="10"/>
  <c r="BM286" i="10"/>
  <c r="BJ286" i="10"/>
  <c r="DO285" i="10"/>
  <c r="DN285" i="10"/>
  <c r="DJ285" i="10"/>
  <c r="DI285" i="10"/>
  <c r="DH285" i="10"/>
  <c r="DG285" i="10"/>
  <c r="DF285" i="10"/>
  <c r="DE285" i="10"/>
  <c r="DD285" i="10"/>
  <c r="DC285" i="10"/>
  <c r="DB285" i="10"/>
  <c r="DA285" i="10"/>
  <c r="CZ285" i="10"/>
  <c r="CY285" i="10"/>
  <c r="CX285" i="10"/>
  <c r="CW285" i="10"/>
  <c r="CV285" i="10"/>
  <c r="CU285" i="10"/>
  <c r="CT285" i="10"/>
  <c r="CS285" i="10"/>
  <c r="CR285" i="10"/>
  <c r="CQ285" i="10"/>
  <c r="CP285" i="10"/>
  <c r="CO285" i="10"/>
  <c r="CB285" i="10"/>
  <c r="BV285" i="10"/>
  <c r="BU285" i="10"/>
  <c r="BR285" i="10"/>
  <c r="BP285" i="10"/>
  <c r="BO285" i="10"/>
  <c r="BN285" i="10"/>
  <c r="BM285" i="10"/>
  <c r="BJ285" i="10"/>
  <c r="DO284" i="10"/>
  <c r="DN284" i="10"/>
  <c r="DJ284" i="10"/>
  <c r="DI284" i="10"/>
  <c r="DH284" i="10"/>
  <c r="DG284" i="10"/>
  <c r="DF284" i="10"/>
  <c r="DE284" i="10"/>
  <c r="DD284" i="10"/>
  <c r="DC284" i="10"/>
  <c r="DB284" i="10"/>
  <c r="DA284" i="10"/>
  <c r="CZ284" i="10"/>
  <c r="CY284" i="10"/>
  <c r="CX284" i="10"/>
  <c r="CW284" i="10"/>
  <c r="CV284" i="10"/>
  <c r="CU284" i="10"/>
  <c r="CT284" i="10"/>
  <c r="CS284" i="10"/>
  <c r="CR284" i="10"/>
  <c r="CQ284" i="10"/>
  <c r="CP284" i="10"/>
  <c r="CO284" i="10"/>
  <c r="CB284" i="10"/>
  <c r="BV284" i="10"/>
  <c r="BU284" i="10"/>
  <c r="BR284" i="10"/>
  <c r="BP284" i="10"/>
  <c r="BO284" i="10"/>
  <c r="BN284" i="10"/>
  <c r="BM284" i="10"/>
  <c r="BJ284" i="10"/>
  <c r="DO283" i="10"/>
  <c r="DN283" i="10"/>
  <c r="DJ283" i="10"/>
  <c r="DI283" i="10"/>
  <c r="DH283" i="10"/>
  <c r="DG283" i="10"/>
  <c r="DF283" i="10"/>
  <c r="DE283" i="10"/>
  <c r="DD283" i="10"/>
  <c r="DC283" i="10"/>
  <c r="DB283" i="10"/>
  <c r="DA283" i="10"/>
  <c r="CZ283" i="10"/>
  <c r="CY283" i="10"/>
  <c r="CX283" i="10"/>
  <c r="CW283" i="10"/>
  <c r="CV283" i="10"/>
  <c r="CU283" i="10"/>
  <c r="CT283" i="10"/>
  <c r="CS283" i="10"/>
  <c r="CR283" i="10"/>
  <c r="CQ283" i="10"/>
  <c r="CP283" i="10"/>
  <c r="CO283" i="10"/>
  <c r="CB283" i="10"/>
  <c r="BV283" i="10"/>
  <c r="BU283" i="10"/>
  <c r="BR283" i="10"/>
  <c r="BP283" i="10"/>
  <c r="BO283" i="10"/>
  <c r="BN283" i="10"/>
  <c r="BM283" i="10"/>
  <c r="BJ283" i="10"/>
  <c r="DO282" i="10"/>
  <c r="DN282" i="10"/>
  <c r="DJ282" i="10"/>
  <c r="DI282" i="10"/>
  <c r="DH282" i="10"/>
  <c r="DG282" i="10"/>
  <c r="DF282" i="10"/>
  <c r="DE282" i="10"/>
  <c r="DD282" i="10"/>
  <c r="DC282" i="10"/>
  <c r="DB282" i="10"/>
  <c r="DA282" i="10"/>
  <c r="CZ282" i="10"/>
  <c r="CY282" i="10"/>
  <c r="CX282" i="10"/>
  <c r="CW282" i="10"/>
  <c r="CV282" i="10"/>
  <c r="CU282" i="10"/>
  <c r="CT282" i="10"/>
  <c r="CS282" i="10"/>
  <c r="CR282" i="10"/>
  <c r="CQ282" i="10"/>
  <c r="CP282" i="10"/>
  <c r="CO282" i="10"/>
  <c r="CB282" i="10"/>
  <c r="BV282" i="10"/>
  <c r="BU282" i="10"/>
  <c r="BR282" i="10"/>
  <c r="BP282" i="10"/>
  <c r="BO282" i="10"/>
  <c r="BN282" i="10"/>
  <c r="BM282" i="10"/>
  <c r="BJ282" i="10"/>
  <c r="DO281" i="10"/>
  <c r="DN281" i="10"/>
  <c r="DJ281" i="10"/>
  <c r="DI281" i="10"/>
  <c r="DH281" i="10"/>
  <c r="DG281" i="10"/>
  <c r="DF281" i="10"/>
  <c r="DE281" i="10"/>
  <c r="DD281" i="10"/>
  <c r="DC281" i="10"/>
  <c r="DB281" i="10"/>
  <c r="DA281" i="10"/>
  <c r="CZ281" i="10"/>
  <c r="CY281" i="10"/>
  <c r="CX281" i="10"/>
  <c r="CW281" i="10"/>
  <c r="CV281" i="10"/>
  <c r="CU281" i="10"/>
  <c r="CT281" i="10"/>
  <c r="CS281" i="10"/>
  <c r="CR281" i="10"/>
  <c r="CQ281" i="10"/>
  <c r="CP281" i="10"/>
  <c r="CO281" i="10"/>
  <c r="CB281" i="10"/>
  <c r="BV281" i="10"/>
  <c r="BU281" i="10"/>
  <c r="BR281" i="10"/>
  <c r="BP281" i="10"/>
  <c r="BO281" i="10"/>
  <c r="BN281" i="10"/>
  <c r="BM281" i="10"/>
  <c r="BJ281" i="10"/>
  <c r="DO280" i="10"/>
  <c r="DN280" i="10"/>
  <c r="DJ280" i="10"/>
  <c r="DI280" i="10"/>
  <c r="DH280" i="10"/>
  <c r="DG280" i="10"/>
  <c r="DF280" i="10"/>
  <c r="DE280" i="10"/>
  <c r="DD280" i="10"/>
  <c r="DC280" i="10"/>
  <c r="DB280" i="10"/>
  <c r="DA280" i="10"/>
  <c r="CZ280" i="10"/>
  <c r="CY280" i="10"/>
  <c r="CX280" i="10"/>
  <c r="CW280" i="10"/>
  <c r="CV280" i="10"/>
  <c r="CU280" i="10"/>
  <c r="CT280" i="10"/>
  <c r="CS280" i="10"/>
  <c r="CR280" i="10"/>
  <c r="CQ280" i="10"/>
  <c r="CP280" i="10"/>
  <c r="CO280" i="10"/>
  <c r="CB280" i="10"/>
  <c r="BV280" i="10"/>
  <c r="BU280" i="10"/>
  <c r="BR280" i="10"/>
  <c r="BP280" i="10"/>
  <c r="BO280" i="10"/>
  <c r="BN280" i="10"/>
  <c r="BM280" i="10"/>
  <c r="BJ280" i="10"/>
  <c r="DO279" i="10"/>
  <c r="DN279" i="10"/>
  <c r="DJ279" i="10"/>
  <c r="DI279" i="10"/>
  <c r="DH279" i="10"/>
  <c r="DG279" i="10"/>
  <c r="DF279" i="10"/>
  <c r="DE279" i="10"/>
  <c r="DD279" i="10"/>
  <c r="DC279" i="10"/>
  <c r="DB279" i="10"/>
  <c r="DA279" i="10"/>
  <c r="CZ279" i="10"/>
  <c r="CY279" i="10"/>
  <c r="CX279" i="10"/>
  <c r="CW279" i="10"/>
  <c r="CV279" i="10"/>
  <c r="CU279" i="10"/>
  <c r="CT279" i="10"/>
  <c r="CS279" i="10"/>
  <c r="CR279" i="10"/>
  <c r="CQ279" i="10"/>
  <c r="CP279" i="10"/>
  <c r="CO279" i="10"/>
  <c r="CB279" i="10"/>
  <c r="BV279" i="10"/>
  <c r="BU279" i="10"/>
  <c r="BR279" i="10"/>
  <c r="BP279" i="10"/>
  <c r="BO279" i="10"/>
  <c r="BN279" i="10"/>
  <c r="BM279" i="10"/>
  <c r="BJ279" i="10"/>
  <c r="DO278" i="10"/>
  <c r="DN278" i="10"/>
  <c r="DJ278" i="10"/>
  <c r="DI278" i="10"/>
  <c r="DH278" i="10"/>
  <c r="DG278" i="10"/>
  <c r="DF278" i="10"/>
  <c r="DE278" i="10"/>
  <c r="DD278" i="10"/>
  <c r="DC278" i="10"/>
  <c r="DB278" i="10"/>
  <c r="DA278" i="10"/>
  <c r="CZ278" i="10"/>
  <c r="CY278" i="10"/>
  <c r="CX278" i="10"/>
  <c r="CW278" i="10"/>
  <c r="CV278" i="10"/>
  <c r="CU278" i="10"/>
  <c r="CT278" i="10"/>
  <c r="CS278" i="10"/>
  <c r="CR278" i="10"/>
  <c r="CQ278" i="10"/>
  <c r="CP278" i="10"/>
  <c r="CO278" i="10"/>
  <c r="CB278" i="10"/>
  <c r="BV278" i="10"/>
  <c r="BU278" i="10"/>
  <c r="BR278" i="10"/>
  <c r="BP278" i="10"/>
  <c r="BO278" i="10"/>
  <c r="BN278" i="10"/>
  <c r="BM278" i="10"/>
  <c r="BJ278" i="10"/>
  <c r="DO277" i="10"/>
  <c r="DN277" i="10"/>
  <c r="DJ277" i="10"/>
  <c r="DI277" i="10"/>
  <c r="DH277" i="10"/>
  <c r="DG277" i="10"/>
  <c r="DF277" i="10"/>
  <c r="DE277" i="10"/>
  <c r="DD277" i="10"/>
  <c r="DC277" i="10"/>
  <c r="DB277" i="10"/>
  <c r="DA277" i="10"/>
  <c r="CZ277" i="10"/>
  <c r="CY277" i="10"/>
  <c r="CX277" i="10"/>
  <c r="CW277" i="10"/>
  <c r="CV277" i="10"/>
  <c r="CU277" i="10"/>
  <c r="CT277" i="10"/>
  <c r="CS277" i="10"/>
  <c r="CR277" i="10"/>
  <c r="CQ277" i="10"/>
  <c r="CP277" i="10"/>
  <c r="CO277" i="10"/>
  <c r="CB277" i="10"/>
  <c r="BV277" i="10"/>
  <c r="BU277" i="10"/>
  <c r="BR277" i="10"/>
  <c r="BP277" i="10"/>
  <c r="BO277" i="10"/>
  <c r="BN277" i="10"/>
  <c r="BM277" i="10"/>
  <c r="BJ277" i="10"/>
  <c r="DO276" i="10"/>
  <c r="DN276" i="10"/>
  <c r="DJ276" i="10"/>
  <c r="DI276" i="10"/>
  <c r="DH276" i="10"/>
  <c r="DG276" i="10"/>
  <c r="DF276" i="10"/>
  <c r="DE276" i="10"/>
  <c r="DD276" i="10"/>
  <c r="DC276" i="10"/>
  <c r="DB276" i="10"/>
  <c r="DA276" i="10"/>
  <c r="CZ276" i="10"/>
  <c r="CY276" i="10"/>
  <c r="CX276" i="10"/>
  <c r="CW276" i="10"/>
  <c r="CV276" i="10"/>
  <c r="CU276" i="10"/>
  <c r="CT276" i="10"/>
  <c r="CS276" i="10"/>
  <c r="CR276" i="10"/>
  <c r="CQ276" i="10"/>
  <c r="CP276" i="10"/>
  <c r="CO276" i="10"/>
  <c r="CB276" i="10"/>
  <c r="BV276" i="10"/>
  <c r="BU276" i="10"/>
  <c r="BR276" i="10"/>
  <c r="BP276" i="10"/>
  <c r="BO276" i="10"/>
  <c r="BN276" i="10"/>
  <c r="BM276" i="10"/>
  <c r="BJ276" i="10"/>
  <c r="DO275" i="10"/>
  <c r="DN275" i="10"/>
  <c r="DJ275" i="10"/>
  <c r="DI275" i="10"/>
  <c r="DH275" i="10"/>
  <c r="DG275" i="10"/>
  <c r="DF275" i="10"/>
  <c r="DE275" i="10"/>
  <c r="DD275" i="10"/>
  <c r="DC275" i="10"/>
  <c r="DB275" i="10"/>
  <c r="DA275" i="10"/>
  <c r="CZ275" i="10"/>
  <c r="CY275" i="10"/>
  <c r="CX275" i="10"/>
  <c r="CW275" i="10"/>
  <c r="CV275" i="10"/>
  <c r="CU275" i="10"/>
  <c r="CT275" i="10"/>
  <c r="CS275" i="10"/>
  <c r="CR275" i="10"/>
  <c r="CQ275" i="10"/>
  <c r="CP275" i="10"/>
  <c r="CO275" i="10"/>
  <c r="CB275" i="10"/>
  <c r="BV275" i="10"/>
  <c r="BU275" i="10"/>
  <c r="BR275" i="10"/>
  <c r="BP275" i="10"/>
  <c r="BO275" i="10"/>
  <c r="BN275" i="10"/>
  <c r="BM275" i="10"/>
  <c r="BJ275" i="10"/>
  <c r="DO274" i="10"/>
  <c r="DN274" i="10"/>
  <c r="DJ274" i="10"/>
  <c r="DI274" i="10"/>
  <c r="DH274" i="10"/>
  <c r="DG274" i="10"/>
  <c r="DF274" i="10"/>
  <c r="DE274" i="10"/>
  <c r="DD274" i="10"/>
  <c r="DC274" i="10"/>
  <c r="DB274" i="10"/>
  <c r="DA274" i="10"/>
  <c r="CZ274" i="10"/>
  <c r="CY274" i="10"/>
  <c r="CX274" i="10"/>
  <c r="CW274" i="10"/>
  <c r="CV274" i="10"/>
  <c r="CU274" i="10"/>
  <c r="CT274" i="10"/>
  <c r="CS274" i="10"/>
  <c r="CR274" i="10"/>
  <c r="CQ274" i="10"/>
  <c r="CP274" i="10"/>
  <c r="CO274" i="10"/>
  <c r="CB274" i="10"/>
  <c r="BV274" i="10"/>
  <c r="BU274" i="10"/>
  <c r="BR274" i="10"/>
  <c r="BP274" i="10"/>
  <c r="BO274" i="10"/>
  <c r="BN274" i="10"/>
  <c r="BM274" i="10"/>
  <c r="BJ274" i="10"/>
  <c r="DO273" i="10"/>
  <c r="DN273" i="10"/>
  <c r="DJ273" i="10"/>
  <c r="DI273" i="10"/>
  <c r="DH273" i="10"/>
  <c r="DG273" i="10"/>
  <c r="DF273" i="10"/>
  <c r="DE273" i="10"/>
  <c r="DD273" i="10"/>
  <c r="DC273" i="10"/>
  <c r="DB273" i="10"/>
  <c r="DA273" i="10"/>
  <c r="CZ273" i="10"/>
  <c r="CY273" i="10"/>
  <c r="CX273" i="10"/>
  <c r="CW273" i="10"/>
  <c r="CV273" i="10"/>
  <c r="CU273" i="10"/>
  <c r="CT273" i="10"/>
  <c r="CS273" i="10"/>
  <c r="CR273" i="10"/>
  <c r="CQ273" i="10"/>
  <c r="CP273" i="10"/>
  <c r="CO273" i="10"/>
  <c r="CB273" i="10"/>
  <c r="BV273" i="10"/>
  <c r="BU273" i="10"/>
  <c r="BR273" i="10"/>
  <c r="BP273" i="10"/>
  <c r="BO273" i="10"/>
  <c r="BN273" i="10"/>
  <c r="BM273" i="10"/>
  <c r="BJ273" i="10"/>
  <c r="DO272" i="10"/>
  <c r="DN272" i="10"/>
  <c r="DJ272" i="10"/>
  <c r="DI272" i="10"/>
  <c r="DH272" i="10"/>
  <c r="DG272" i="10"/>
  <c r="DF272" i="10"/>
  <c r="DE272" i="10"/>
  <c r="DD272" i="10"/>
  <c r="DC272" i="10"/>
  <c r="DB272" i="10"/>
  <c r="DA272" i="10"/>
  <c r="CZ272" i="10"/>
  <c r="CY272" i="10"/>
  <c r="CX272" i="10"/>
  <c r="CW272" i="10"/>
  <c r="CV272" i="10"/>
  <c r="CU272" i="10"/>
  <c r="CT272" i="10"/>
  <c r="CS272" i="10"/>
  <c r="CR272" i="10"/>
  <c r="CQ272" i="10"/>
  <c r="CP272" i="10"/>
  <c r="CO272" i="10"/>
  <c r="CB272" i="10"/>
  <c r="BV272" i="10"/>
  <c r="BU272" i="10"/>
  <c r="BR272" i="10"/>
  <c r="BP272" i="10"/>
  <c r="BO272" i="10"/>
  <c r="BN272" i="10"/>
  <c r="BM272" i="10"/>
  <c r="BJ272" i="10"/>
  <c r="DO271" i="10"/>
  <c r="DN271" i="10"/>
  <c r="DJ271" i="10"/>
  <c r="DI271" i="10"/>
  <c r="DH271" i="10"/>
  <c r="DG271" i="10"/>
  <c r="DF271" i="10"/>
  <c r="DE271" i="10"/>
  <c r="DD271" i="10"/>
  <c r="DC271" i="10"/>
  <c r="DB271" i="10"/>
  <c r="DA271" i="10"/>
  <c r="CZ271" i="10"/>
  <c r="CY271" i="10"/>
  <c r="CX271" i="10"/>
  <c r="CW271" i="10"/>
  <c r="CV271" i="10"/>
  <c r="CU271" i="10"/>
  <c r="CT271" i="10"/>
  <c r="CS271" i="10"/>
  <c r="CR271" i="10"/>
  <c r="CQ271" i="10"/>
  <c r="CP271" i="10"/>
  <c r="CO271" i="10"/>
  <c r="CB271" i="10"/>
  <c r="BV271" i="10"/>
  <c r="BU271" i="10"/>
  <c r="BR271" i="10"/>
  <c r="BP271" i="10"/>
  <c r="BO271" i="10"/>
  <c r="BN271" i="10"/>
  <c r="BM271" i="10"/>
  <c r="BJ271" i="10"/>
  <c r="DO270" i="10"/>
  <c r="DN270" i="10"/>
  <c r="DJ270" i="10"/>
  <c r="DI270" i="10"/>
  <c r="DH270" i="10"/>
  <c r="DG270" i="10"/>
  <c r="DF270" i="10"/>
  <c r="DE270" i="10"/>
  <c r="DD270" i="10"/>
  <c r="DC270" i="10"/>
  <c r="DB270" i="10"/>
  <c r="DA270" i="10"/>
  <c r="CZ270" i="10"/>
  <c r="CY270" i="10"/>
  <c r="CX270" i="10"/>
  <c r="CW270" i="10"/>
  <c r="CV270" i="10"/>
  <c r="CU270" i="10"/>
  <c r="CT270" i="10"/>
  <c r="CS270" i="10"/>
  <c r="CR270" i="10"/>
  <c r="CQ270" i="10"/>
  <c r="CP270" i="10"/>
  <c r="CO270" i="10"/>
  <c r="CB270" i="10"/>
  <c r="BV270" i="10"/>
  <c r="BU270" i="10"/>
  <c r="BR270" i="10"/>
  <c r="BP270" i="10"/>
  <c r="BO270" i="10"/>
  <c r="BN270" i="10"/>
  <c r="BM270" i="10"/>
  <c r="BJ270" i="10"/>
  <c r="DO269" i="10"/>
  <c r="DN269" i="10"/>
  <c r="DJ269" i="10"/>
  <c r="DI269" i="10"/>
  <c r="DH269" i="10"/>
  <c r="DG269" i="10"/>
  <c r="DF269" i="10"/>
  <c r="DE269" i="10"/>
  <c r="DD269" i="10"/>
  <c r="DC269" i="10"/>
  <c r="DB269" i="10"/>
  <c r="DA269" i="10"/>
  <c r="CZ269" i="10"/>
  <c r="CY269" i="10"/>
  <c r="CX269" i="10"/>
  <c r="CW269" i="10"/>
  <c r="CV269" i="10"/>
  <c r="CU269" i="10"/>
  <c r="CT269" i="10"/>
  <c r="CS269" i="10"/>
  <c r="CR269" i="10"/>
  <c r="CQ269" i="10"/>
  <c r="CP269" i="10"/>
  <c r="CO269" i="10"/>
  <c r="CB269" i="10"/>
  <c r="BV269" i="10"/>
  <c r="BU269" i="10"/>
  <c r="BR269" i="10"/>
  <c r="BP269" i="10"/>
  <c r="BO269" i="10"/>
  <c r="BN269" i="10"/>
  <c r="BM269" i="10"/>
  <c r="BJ269" i="10"/>
  <c r="DO268" i="10"/>
  <c r="DN268" i="10"/>
  <c r="DJ268" i="10"/>
  <c r="DI268" i="10"/>
  <c r="DH268" i="10"/>
  <c r="DG268" i="10"/>
  <c r="DF268" i="10"/>
  <c r="DE268" i="10"/>
  <c r="DD268" i="10"/>
  <c r="DC268" i="10"/>
  <c r="DB268" i="10"/>
  <c r="DA268" i="10"/>
  <c r="CZ268" i="10"/>
  <c r="CY268" i="10"/>
  <c r="CX268" i="10"/>
  <c r="CW268" i="10"/>
  <c r="CV268" i="10"/>
  <c r="CU268" i="10"/>
  <c r="CT268" i="10"/>
  <c r="CS268" i="10"/>
  <c r="CR268" i="10"/>
  <c r="CQ268" i="10"/>
  <c r="CP268" i="10"/>
  <c r="CO268" i="10"/>
  <c r="CB268" i="10"/>
  <c r="BV268" i="10"/>
  <c r="BU268" i="10"/>
  <c r="BR268" i="10"/>
  <c r="BP268" i="10"/>
  <c r="BO268" i="10"/>
  <c r="BN268" i="10"/>
  <c r="BM268" i="10"/>
  <c r="BJ268" i="10"/>
  <c r="DO267" i="10"/>
  <c r="DN267" i="10"/>
  <c r="DJ267" i="10"/>
  <c r="DI267" i="10"/>
  <c r="DH267" i="10"/>
  <c r="DG267" i="10"/>
  <c r="DF267" i="10"/>
  <c r="DE267" i="10"/>
  <c r="DD267" i="10"/>
  <c r="DC267" i="10"/>
  <c r="DB267" i="10"/>
  <c r="DA267" i="10"/>
  <c r="CZ267" i="10"/>
  <c r="CY267" i="10"/>
  <c r="CX267" i="10"/>
  <c r="CW267" i="10"/>
  <c r="CV267" i="10"/>
  <c r="CU267" i="10"/>
  <c r="CT267" i="10"/>
  <c r="CS267" i="10"/>
  <c r="CR267" i="10"/>
  <c r="CQ267" i="10"/>
  <c r="CP267" i="10"/>
  <c r="CO267" i="10"/>
  <c r="CB267" i="10"/>
  <c r="BV267" i="10"/>
  <c r="BU267" i="10"/>
  <c r="BR267" i="10"/>
  <c r="BP267" i="10"/>
  <c r="BO267" i="10"/>
  <c r="BN267" i="10"/>
  <c r="BM267" i="10"/>
  <c r="BJ267" i="10"/>
  <c r="DO266" i="10"/>
  <c r="DN266" i="10"/>
  <c r="DJ266" i="10"/>
  <c r="DI266" i="10"/>
  <c r="DH266" i="10"/>
  <c r="DG266" i="10"/>
  <c r="DF266" i="10"/>
  <c r="DE266" i="10"/>
  <c r="DD266" i="10"/>
  <c r="DC266" i="10"/>
  <c r="DB266" i="10"/>
  <c r="DA266" i="10"/>
  <c r="CZ266" i="10"/>
  <c r="CY266" i="10"/>
  <c r="CX266" i="10"/>
  <c r="CW266" i="10"/>
  <c r="CV266" i="10"/>
  <c r="CU266" i="10"/>
  <c r="CT266" i="10"/>
  <c r="CS266" i="10"/>
  <c r="CR266" i="10"/>
  <c r="CQ266" i="10"/>
  <c r="CP266" i="10"/>
  <c r="CO266" i="10"/>
  <c r="CB266" i="10"/>
  <c r="BV266" i="10"/>
  <c r="BU266" i="10"/>
  <c r="BR266" i="10"/>
  <c r="BP266" i="10"/>
  <c r="BO266" i="10"/>
  <c r="BN266" i="10"/>
  <c r="BM266" i="10"/>
  <c r="BJ266" i="10"/>
  <c r="DO265" i="10"/>
  <c r="DN265" i="10"/>
  <c r="DJ265" i="10"/>
  <c r="DI265" i="10"/>
  <c r="DH265" i="10"/>
  <c r="DG265" i="10"/>
  <c r="DF265" i="10"/>
  <c r="DE265" i="10"/>
  <c r="DD265" i="10"/>
  <c r="DC265" i="10"/>
  <c r="DB265" i="10"/>
  <c r="DA265" i="10"/>
  <c r="CZ265" i="10"/>
  <c r="CY265" i="10"/>
  <c r="CX265" i="10"/>
  <c r="CW265" i="10"/>
  <c r="CV265" i="10"/>
  <c r="CU265" i="10"/>
  <c r="CT265" i="10"/>
  <c r="CS265" i="10"/>
  <c r="CR265" i="10"/>
  <c r="CQ265" i="10"/>
  <c r="CP265" i="10"/>
  <c r="CO265" i="10"/>
  <c r="CB265" i="10"/>
  <c r="BV265" i="10"/>
  <c r="BU265" i="10"/>
  <c r="BR265" i="10"/>
  <c r="BP265" i="10"/>
  <c r="BO265" i="10"/>
  <c r="BN265" i="10"/>
  <c r="BM265" i="10"/>
  <c r="BJ265" i="10"/>
  <c r="DO264" i="10"/>
  <c r="DN264" i="10"/>
  <c r="DJ264" i="10"/>
  <c r="DI264" i="10"/>
  <c r="DH264" i="10"/>
  <c r="DG264" i="10"/>
  <c r="DF264" i="10"/>
  <c r="DE264" i="10"/>
  <c r="DD264" i="10"/>
  <c r="DC264" i="10"/>
  <c r="DB264" i="10"/>
  <c r="DA264" i="10"/>
  <c r="CZ264" i="10"/>
  <c r="CY264" i="10"/>
  <c r="CX264" i="10"/>
  <c r="CW264" i="10"/>
  <c r="CV264" i="10"/>
  <c r="CU264" i="10"/>
  <c r="CT264" i="10"/>
  <c r="CS264" i="10"/>
  <c r="CR264" i="10"/>
  <c r="CQ264" i="10"/>
  <c r="CP264" i="10"/>
  <c r="CO264" i="10"/>
  <c r="CB264" i="10"/>
  <c r="BV264" i="10"/>
  <c r="BU264" i="10"/>
  <c r="BR264" i="10"/>
  <c r="BP264" i="10"/>
  <c r="BO264" i="10"/>
  <c r="BN264" i="10"/>
  <c r="BM264" i="10"/>
  <c r="BJ264" i="10"/>
  <c r="DO263" i="10"/>
  <c r="DN263" i="10"/>
  <c r="DJ263" i="10"/>
  <c r="DI263" i="10"/>
  <c r="DH263" i="10"/>
  <c r="DG263" i="10"/>
  <c r="DF263" i="10"/>
  <c r="DE263" i="10"/>
  <c r="DD263" i="10"/>
  <c r="DC263" i="10"/>
  <c r="DB263" i="10"/>
  <c r="DA263" i="10"/>
  <c r="CZ263" i="10"/>
  <c r="CY263" i="10"/>
  <c r="CX263" i="10"/>
  <c r="CW263" i="10"/>
  <c r="CV263" i="10"/>
  <c r="CU263" i="10"/>
  <c r="CT263" i="10"/>
  <c r="CS263" i="10"/>
  <c r="CR263" i="10"/>
  <c r="CQ263" i="10"/>
  <c r="CP263" i="10"/>
  <c r="CO263" i="10"/>
  <c r="CB263" i="10"/>
  <c r="BV263" i="10"/>
  <c r="BU263" i="10"/>
  <c r="BR263" i="10"/>
  <c r="BP263" i="10"/>
  <c r="BO263" i="10"/>
  <c r="BN263" i="10"/>
  <c r="BM263" i="10"/>
  <c r="BJ263" i="10"/>
  <c r="DO262" i="10"/>
  <c r="DN262" i="10"/>
  <c r="DJ262" i="10"/>
  <c r="DI262" i="10"/>
  <c r="DH262" i="10"/>
  <c r="DG262" i="10"/>
  <c r="DF262" i="10"/>
  <c r="DE262" i="10"/>
  <c r="DD262" i="10"/>
  <c r="DC262" i="10"/>
  <c r="DB262" i="10"/>
  <c r="DA262" i="10"/>
  <c r="CZ262" i="10"/>
  <c r="CY262" i="10"/>
  <c r="CX262" i="10"/>
  <c r="CW262" i="10"/>
  <c r="CV262" i="10"/>
  <c r="CU262" i="10"/>
  <c r="CT262" i="10"/>
  <c r="CS262" i="10"/>
  <c r="CR262" i="10"/>
  <c r="CQ262" i="10"/>
  <c r="CP262" i="10"/>
  <c r="CO262" i="10"/>
  <c r="CB262" i="10"/>
  <c r="BV262" i="10"/>
  <c r="BU262" i="10"/>
  <c r="BR262" i="10"/>
  <c r="BP262" i="10"/>
  <c r="BO262" i="10"/>
  <c r="BN262" i="10"/>
  <c r="BM262" i="10"/>
  <c r="BJ262" i="10"/>
  <c r="DO261" i="10"/>
  <c r="DN261" i="10"/>
  <c r="DJ261" i="10"/>
  <c r="DI261" i="10"/>
  <c r="DH261" i="10"/>
  <c r="DG261" i="10"/>
  <c r="DF261" i="10"/>
  <c r="DE261" i="10"/>
  <c r="DD261" i="10"/>
  <c r="DC261" i="10"/>
  <c r="DB261" i="10"/>
  <c r="DA261" i="10"/>
  <c r="CZ261" i="10"/>
  <c r="CY261" i="10"/>
  <c r="CX261" i="10"/>
  <c r="CW261" i="10"/>
  <c r="CV261" i="10"/>
  <c r="CU261" i="10"/>
  <c r="CT261" i="10"/>
  <c r="CS261" i="10"/>
  <c r="CR261" i="10"/>
  <c r="CQ261" i="10"/>
  <c r="CP261" i="10"/>
  <c r="CO261" i="10"/>
  <c r="CB261" i="10"/>
  <c r="BV261" i="10"/>
  <c r="BU261" i="10"/>
  <c r="BR261" i="10"/>
  <c r="BP261" i="10"/>
  <c r="BO261" i="10"/>
  <c r="BN261" i="10"/>
  <c r="BM261" i="10"/>
  <c r="BJ261" i="10"/>
  <c r="DO260" i="10"/>
  <c r="DN260" i="10"/>
  <c r="DJ260" i="10"/>
  <c r="DI260" i="10"/>
  <c r="DH260" i="10"/>
  <c r="DG260" i="10"/>
  <c r="DF260" i="10"/>
  <c r="DE260" i="10"/>
  <c r="DD260" i="10"/>
  <c r="DC260" i="10"/>
  <c r="DB260" i="10"/>
  <c r="DA260" i="10"/>
  <c r="CZ260" i="10"/>
  <c r="CY260" i="10"/>
  <c r="CX260" i="10"/>
  <c r="CW260" i="10"/>
  <c r="CV260" i="10"/>
  <c r="CU260" i="10"/>
  <c r="CT260" i="10"/>
  <c r="CS260" i="10"/>
  <c r="CR260" i="10"/>
  <c r="CQ260" i="10"/>
  <c r="CP260" i="10"/>
  <c r="CO260" i="10"/>
  <c r="CB260" i="10"/>
  <c r="BV260" i="10"/>
  <c r="BU260" i="10"/>
  <c r="BR260" i="10"/>
  <c r="BP260" i="10"/>
  <c r="BO260" i="10"/>
  <c r="BN260" i="10"/>
  <c r="BM260" i="10"/>
  <c r="BJ260" i="10"/>
  <c r="DO259" i="10"/>
  <c r="DN259" i="10"/>
  <c r="DJ259" i="10"/>
  <c r="DI259" i="10"/>
  <c r="DH259" i="10"/>
  <c r="DG259" i="10"/>
  <c r="DF259" i="10"/>
  <c r="DE259" i="10"/>
  <c r="DD259" i="10"/>
  <c r="DC259" i="10"/>
  <c r="DB259" i="10"/>
  <c r="DA259" i="10"/>
  <c r="CZ259" i="10"/>
  <c r="CY259" i="10"/>
  <c r="CX259" i="10"/>
  <c r="CW259" i="10"/>
  <c r="CV259" i="10"/>
  <c r="CU259" i="10"/>
  <c r="CT259" i="10"/>
  <c r="CS259" i="10"/>
  <c r="CR259" i="10"/>
  <c r="CQ259" i="10"/>
  <c r="CP259" i="10"/>
  <c r="CO259" i="10"/>
  <c r="CB259" i="10"/>
  <c r="BV259" i="10"/>
  <c r="BU259" i="10"/>
  <c r="BR259" i="10"/>
  <c r="BP259" i="10"/>
  <c r="BO259" i="10"/>
  <c r="BN259" i="10"/>
  <c r="BM259" i="10"/>
  <c r="BJ259" i="10"/>
  <c r="DO258" i="10"/>
  <c r="DN258" i="10"/>
  <c r="DJ258" i="10"/>
  <c r="DI258" i="10"/>
  <c r="DH258" i="10"/>
  <c r="DG258" i="10"/>
  <c r="DF258" i="10"/>
  <c r="DE258" i="10"/>
  <c r="DD258" i="10"/>
  <c r="DC258" i="10"/>
  <c r="DB258" i="10"/>
  <c r="DA258" i="10"/>
  <c r="CZ258" i="10"/>
  <c r="CY258" i="10"/>
  <c r="CX258" i="10"/>
  <c r="CW258" i="10"/>
  <c r="CV258" i="10"/>
  <c r="CU258" i="10"/>
  <c r="CT258" i="10"/>
  <c r="CS258" i="10"/>
  <c r="CR258" i="10"/>
  <c r="CQ258" i="10"/>
  <c r="CP258" i="10"/>
  <c r="CO258" i="10"/>
  <c r="CB258" i="10"/>
  <c r="BV258" i="10"/>
  <c r="BU258" i="10"/>
  <c r="BR258" i="10"/>
  <c r="BP258" i="10"/>
  <c r="BO258" i="10"/>
  <c r="BN258" i="10"/>
  <c r="BM258" i="10"/>
  <c r="BJ258" i="10"/>
  <c r="DO257" i="10"/>
  <c r="DN257" i="10"/>
  <c r="DJ257" i="10"/>
  <c r="DI257" i="10"/>
  <c r="DH257" i="10"/>
  <c r="DG257" i="10"/>
  <c r="DF257" i="10"/>
  <c r="DE257" i="10"/>
  <c r="DD257" i="10"/>
  <c r="DC257" i="10"/>
  <c r="DB257" i="10"/>
  <c r="DA257" i="10"/>
  <c r="CZ257" i="10"/>
  <c r="CY257" i="10"/>
  <c r="CX257" i="10"/>
  <c r="CW257" i="10"/>
  <c r="CV257" i="10"/>
  <c r="CU257" i="10"/>
  <c r="CT257" i="10"/>
  <c r="CS257" i="10"/>
  <c r="CR257" i="10"/>
  <c r="CQ257" i="10"/>
  <c r="CP257" i="10"/>
  <c r="CO257" i="10"/>
  <c r="CB257" i="10"/>
  <c r="BV257" i="10"/>
  <c r="BU257" i="10"/>
  <c r="BR257" i="10"/>
  <c r="BP257" i="10"/>
  <c r="BO257" i="10"/>
  <c r="BN257" i="10"/>
  <c r="BM257" i="10"/>
  <c r="BJ257" i="10"/>
  <c r="DO256" i="10"/>
  <c r="DN256" i="10"/>
  <c r="DJ256" i="10"/>
  <c r="DI256" i="10"/>
  <c r="DH256" i="10"/>
  <c r="DG256" i="10"/>
  <c r="DF256" i="10"/>
  <c r="DE256" i="10"/>
  <c r="DD256" i="10"/>
  <c r="DC256" i="10"/>
  <c r="DB256" i="10"/>
  <c r="DA256" i="10"/>
  <c r="CZ256" i="10"/>
  <c r="CY256" i="10"/>
  <c r="CX256" i="10"/>
  <c r="CW256" i="10"/>
  <c r="CV256" i="10"/>
  <c r="CU256" i="10"/>
  <c r="CT256" i="10"/>
  <c r="CS256" i="10"/>
  <c r="CR256" i="10"/>
  <c r="CQ256" i="10"/>
  <c r="CP256" i="10"/>
  <c r="CO256" i="10"/>
  <c r="CB256" i="10"/>
  <c r="BV256" i="10"/>
  <c r="BU256" i="10"/>
  <c r="BR256" i="10"/>
  <c r="BP256" i="10"/>
  <c r="BO256" i="10"/>
  <c r="BN256" i="10"/>
  <c r="BM256" i="10"/>
  <c r="BJ256" i="10"/>
  <c r="DO255" i="10"/>
  <c r="DN255" i="10"/>
  <c r="DJ255" i="10"/>
  <c r="DI255" i="10"/>
  <c r="DH255" i="10"/>
  <c r="DG255" i="10"/>
  <c r="DF255" i="10"/>
  <c r="DE255" i="10"/>
  <c r="DD255" i="10"/>
  <c r="DC255" i="10"/>
  <c r="DB255" i="10"/>
  <c r="DA255" i="10"/>
  <c r="CZ255" i="10"/>
  <c r="CY255" i="10"/>
  <c r="CX255" i="10"/>
  <c r="CW255" i="10"/>
  <c r="CV255" i="10"/>
  <c r="CU255" i="10"/>
  <c r="CT255" i="10"/>
  <c r="CS255" i="10"/>
  <c r="CR255" i="10"/>
  <c r="CQ255" i="10"/>
  <c r="CP255" i="10"/>
  <c r="CO255" i="10"/>
  <c r="CB255" i="10"/>
  <c r="BV255" i="10"/>
  <c r="BU255" i="10"/>
  <c r="BR255" i="10"/>
  <c r="BP255" i="10"/>
  <c r="BO255" i="10"/>
  <c r="BN255" i="10"/>
  <c r="BM255" i="10"/>
  <c r="BJ255" i="10"/>
  <c r="DO254" i="10"/>
  <c r="DN254" i="10"/>
  <c r="DJ254" i="10"/>
  <c r="DI254" i="10"/>
  <c r="DH254" i="10"/>
  <c r="DG254" i="10"/>
  <c r="DF254" i="10"/>
  <c r="DE254" i="10"/>
  <c r="DD254" i="10"/>
  <c r="DC254" i="10"/>
  <c r="DB254" i="10"/>
  <c r="DA254" i="10"/>
  <c r="CZ254" i="10"/>
  <c r="CY254" i="10"/>
  <c r="CX254" i="10"/>
  <c r="CW254" i="10"/>
  <c r="CV254" i="10"/>
  <c r="CU254" i="10"/>
  <c r="CT254" i="10"/>
  <c r="CS254" i="10"/>
  <c r="CR254" i="10"/>
  <c r="CQ254" i="10"/>
  <c r="CP254" i="10"/>
  <c r="CO254" i="10"/>
  <c r="CB254" i="10"/>
  <c r="BV254" i="10"/>
  <c r="BU254" i="10"/>
  <c r="BR254" i="10"/>
  <c r="BP254" i="10"/>
  <c r="BO254" i="10"/>
  <c r="BN254" i="10"/>
  <c r="BM254" i="10"/>
  <c r="BJ254" i="10"/>
  <c r="DO253" i="10"/>
  <c r="DN253" i="10"/>
  <c r="DJ253" i="10"/>
  <c r="DI253" i="10"/>
  <c r="DH253" i="10"/>
  <c r="DG253" i="10"/>
  <c r="DF253" i="10"/>
  <c r="DE253" i="10"/>
  <c r="DD253" i="10"/>
  <c r="DC253" i="10"/>
  <c r="DB253" i="10"/>
  <c r="DA253" i="10"/>
  <c r="CZ253" i="10"/>
  <c r="CY253" i="10"/>
  <c r="CX253" i="10"/>
  <c r="CW253" i="10"/>
  <c r="CV253" i="10"/>
  <c r="CU253" i="10"/>
  <c r="CT253" i="10"/>
  <c r="CS253" i="10"/>
  <c r="CR253" i="10"/>
  <c r="CQ253" i="10"/>
  <c r="CP253" i="10"/>
  <c r="CO253" i="10"/>
  <c r="CB253" i="10"/>
  <c r="BV253" i="10"/>
  <c r="BU253" i="10"/>
  <c r="BR253" i="10"/>
  <c r="BP253" i="10"/>
  <c r="BO253" i="10"/>
  <c r="BN253" i="10"/>
  <c r="BM253" i="10"/>
  <c r="BJ253" i="10"/>
  <c r="DO252" i="10"/>
  <c r="DN252" i="10"/>
  <c r="DJ252" i="10"/>
  <c r="DI252" i="10"/>
  <c r="DH252" i="10"/>
  <c r="DG252" i="10"/>
  <c r="DF252" i="10"/>
  <c r="DE252" i="10"/>
  <c r="DD252" i="10"/>
  <c r="DC252" i="10"/>
  <c r="DB252" i="10"/>
  <c r="DA252" i="10"/>
  <c r="CZ252" i="10"/>
  <c r="CY252" i="10"/>
  <c r="CX252" i="10"/>
  <c r="CW252" i="10"/>
  <c r="CV252" i="10"/>
  <c r="CU252" i="10"/>
  <c r="CT252" i="10"/>
  <c r="CS252" i="10"/>
  <c r="CR252" i="10"/>
  <c r="CQ252" i="10"/>
  <c r="CP252" i="10"/>
  <c r="CO252" i="10"/>
  <c r="CB252" i="10"/>
  <c r="BV252" i="10"/>
  <c r="BU252" i="10"/>
  <c r="BR252" i="10"/>
  <c r="BP252" i="10"/>
  <c r="BO252" i="10"/>
  <c r="BN252" i="10"/>
  <c r="BM252" i="10"/>
  <c r="BJ252" i="10"/>
  <c r="DO251" i="10"/>
  <c r="DN251" i="10"/>
  <c r="DJ251" i="10"/>
  <c r="DI251" i="10"/>
  <c r="DH251" i="10"/>
  <c r="DG251" i="10"/>
  <c r="DF251" i="10"/>
  <c r="DE251" i="10"/>
  <c r="DD251" i="10"/>
  <c r="DC251" i="10"/>
  <c r="DB251" i="10"/>
  <c r="DA251" i="10"/>
  <c r="CZ251" i="10"/>
  <c r="CY251" i="10"/>
  <c r="CX251" i="10"/>
  <c r="CW251" i="10"/>
  <c r="CV251" i="10"/>
  <c r="CU251" i="10"/>
  <c r="CT251" i="10"/>
  <c r="CS251" i="10"/>
  <c r="CR251" i="10"/>
  <c r="CQ251" i="10"/>
  <c r="CP251" i="10"/>
  <c r="CO251" i="10"/>
  <c r="CB251" i="10"/>
  <c r="BV251" i="10"/>
  <c r="BU251" i="10"/>
  <c r="BR251" i="10"/>
  <c r="BP251" i="10"/>
  <c r="BO251" i="10"/>
  <c r="BN251" i="10"/>
  <c r="BM251" i="10"/>
  <c r="BJ251" i="10"/>
  <c r="DO250" i="10"/>
  <c r="DN250" i="10"/>
  <c r="DJ250" i="10"/>
  <c r="DI250" i="10"/>
  <c r="DH250" i="10"/>
  <c r="DG250" i="10"/>
  <c r="DF250" i="10"/>
  <c r="DE250" i="10"/>
  <c r="DD250" i="10"/>
  <c r="DC250" i="10"/>
  <c r="DB250" i="10"/>
  <c r="DA250" i="10"/>
  <c r="CZ250" i="10"/>
  <c r="CY250" i="10"/>
  <c r="CX250" i="10"/>
  <c r="CW250" i="10"/>
  <c r="CV250" i="10"/>
  <c r="CU250" i="10"/>
  <c r="CT250" i="10"/>
  <c r="CS250" i="10"/>
  <c r="CR250" i="10"/>
  <c r="CQ250" i="10"/>
  <c r="CP250" i="10"/>
  <c r="CO250" i="10"/>
  <c r="CB250" i="10"/>
  <c r="BV250" i="10"/>
  <c r="BU250" i="10"/>
  <c r="BR250" i="10"/>
  <c r="BP250" i="10"/>
  <c r="BO250" i="10"/>
  <c r="BN250" i="10"/>
  <c r="BM250" i="10"/>
  <c r="BJ250" i="10"/>
  <c r="DO249" i="10"/>
  <c r="DN249" i="10"/>
  <c r="DJ249" i="10"/>
  <c r="DI249" i="10"/>
  <c r="DH249" i="10"/>
  <c r="DG249" i="10"/>
  <c r="DF249" i="10"/>
  <c r="DE249" i="10"/>
  <c r="DD249" i="10"/>
  <c r="DC249" i="10"/>
  <c r="DB249" i="10"/>
  <c r="DA249" i="10"/>
  <c r="CZ249" i="10"/>
  <c r="CY249" i="10"/>
  <c r="CX249" i="10"/>
  <c r="CW249" i="10"/>
  <c r="CV249" i="10"/>
  <c r="CU249" i="10"/>
  <c r="CT249" i="10"/>
  <c r="CS249" i="10"/>
  <c r="CR249" i="10"/>
  <c r="CQ249" i="10"/>
  <c r="CP249" i="10"/>
  <c r="CO249" i="10"/>
  <c r="CB249" i="10"/>
  <c r="BV249" i="10"/>
  <c r="BU249" i="10"/>
  <c r="BR249" i="10"/>
  <c r="BP249" i="10"/>
  <c r="BO249" i="10"/>
  <c r="BN249" i="10"/>
  <c r="BM249" i="10"/>
  <c r="BJ249" i="10"/>
  <c r="DO248" i="10"/>
  <c r="DN248" i="10"/>
  <c r="DJ248" i="10"/>
  <c r="DI248" i="10"/>
  <c r="DH248" i="10"/>
  <c r="DG248" i="10"/>
  <c r="DF248" i="10"/>
  <c r="DE248" i="10"/>
  <c r="DD248" i="10"/>
  <c r="DC248" i="10"/>
  <c r="DB248" i="10"/>
  <c r="DA248" i="10"/>
  <c r="CZ248" i="10"/>
  <c r="CY248" i="10"/>
  <c r="CX248" i="10"/>
  <c r="CW248" i="10"/>
  <c r="CV248" i="10"/>
  <c r="CU248" i="10"/>
  <c r="CT248" i="10"/>
  <c r="CS248" i="10"/>
  <c r="CR248" i="10"/>
  <c r="CQ248" i="10"/>
  <c r="CP248" i="10"/>
  <c r="CO248" i="10"/>
  <c r="CB248" i="10"/>
  <c r="BV248" i="10"/>
  <c r="BU248" i="10"/>
  <c r="BR248" i="10"/>
  <c r="BP248" i="10"/>
  <c r="BO248" i="10"/>
  <c r="BN248" i="10"/>
  <c r="BM248" i="10"/>
  <c r="BJ248" i="10"/>
  <c r="DO247" i="10"/>
  <c r="DN247" i="10"/>
  <c r="DJ247" i="10"/>
  <c r="DI247" i="10"/>
  <c r="DH247" i="10"/>
  <c r="DG247" i="10"/>
  <c r="DF247" i="10"/>
  <c r="DE247" i="10"/>
  <c r="DD247" i="10"/>
  <c r="DC247" i="10"/>
  <c r="DB247" i="10"/>
  <c r="DA247" i="10"/>
  <c r="CZ247" i="10"/>
  <c r="CY247" i="10"/>
  <c r="CX247" i="10"/>
  <c r="CW247" i="10"/>
  <c r="CV247" i="10"/>
  <c r="CU247" i="10"/>
  <c r="CT247" i="10"/>
  <c r="CS247" i="10"/>
  <c r="CR247" i="10"/>
  <c r="CQ247" i="10"/>
  <c r="CP247" i="10"/>
  <c r="CO247" i="10"/>
  <c r="CB247" i="10"/>
  <c r="BV247" i="10"/>
  <c r="BU247" i="10"/>
  <c r="BR247" i="10"/>
  <c r="BP247" i="10"/>
  <c r="BO247" i="10"/>
  <c r="BN247" i="10"/>
  <c r="BM247" i="10"/>
  <c r="BJ247" i="10"/>
  <c r="DO246" i="10"/>
  <c r="DN246" i="10"/>
  <c r="DJ246" i="10"/>
  <c r="DI246" i="10"/>
  <c r="DH246" i="10"/>
  <c r="DG246" i="10"/>
  <c r="DF246" i="10"/>
  <c r="DE246" i="10"/>
  <c r="DD246" i="10"/>
  <c r="DC246" i="10"/>
  <c r="DB246" i="10"/>
  <c r="DA246" i="10"/>
  <c r="CZ246" i="10"/>
  <c r="CY246" i="10"/>
  <c r="CX246" i="10"/>
  <c r="CW246" i="10"/>
  <c r="CV246" i="10"/>
  <c r="CU246" i="10"/>
  <c r="CT246" i="10"/>
  <c r="CS246" i="10"/>
  <c r="CR246" i="10"/>
  <c r="CQ246" i="10"/>
  <c r="CP246" i="10"/>
  <c r="CO246" i="10"/>
  <c r="CB246" i="10"/>
  <c r="BV246" i="10"/>
  <c r="BU246" i="10"/>
  <c r="BR246" i="10"/>
  <c r="BP246" i="10"/>
  <c r="BO246" i="10"/>
  <c r="BN246" i="10"/>
  <c r="BM246" i="10"/>
  <c r="BJ246" i="10"/>
  <c r="DO245" i="10"/>
  <c r="DN245" i="10"/>
  <c r="DJ245" i="10"/>
  <c r="DI245" i="10"/>
  <c r="DH245" i="10"/>
  <c r="DG245" i="10"/>
  <c r="DF245" i="10"/>
  <c r="DE245" i="10"/>
  <c r="DD245" i="10"/>
  <c r="DC245" i="10"/>
  <c r="DB245" i="10"/>
  <c r="DA245" i="10"/>
  <c r="CZ245" i="10"/>
  <c r="CY245" i="10"/>
  <c r="CX245" i="10"/>
  <c r="CW245" i="10"/>
  <c r="CV245" i="10"/>
  <c r="CU245" i="10"/>
  <c r="CT245" i="10"/>
  <c r="CS245" i="10"/>
  <c r="CR245" i="10"/>
  <c r="CQ245" i="10"/>
  <c r="CP245" i="10"/>
  <c r="CO245" i="10"/>
  <c r="CB245" i="10"/>
  <c r="BV245" i="10"/>
  <c r="BU245" i="10"/>
  <c r="BR245" i="10"/>
  <c r="BP245" i="10"/>
  <c r="BO245" i="10"/>
  <c r="BN245" i="10"/>
  <c r="BM245" i="10"/>
  <c r="BJ245" i="10"/>
  <c r="DO244" i="10"/>
  <c r="DN244" i="10"/>
  <c r="DJ244" i="10"/>
  <c r="DI244" i="10"/>
  <c r="DH244" i="10"/>
  <c r="DG244" i="10"/>
  <c r="DF244" i="10"/>
  <c r="DE244" i="10"/>
  <c r="DD244" i="10"/>
  <c r="DC244" i="10"/>
  <c r="DB244" i="10"/>
  <c r="DA244" i="10"/>
  <c r="CZ244" i="10"/>
  <c r="CY244" i="10"/>
  <c r="CX244" i="10"/>
  <c r="CW244" i="10"/>
  <c r="CV244" i="10"/>
  <c r="CU244" i="10"/>
  <c r="CT244" i="10"/>
  <c r="CS244" i="10"/>
  <c r="CR244" i="10"/>
  <c r="CQ244" i="10"/>
  <c r="CP244" i="10"/>
  <c r="CO244" i="10"/>
  <c r="CB244" i="10"/>
  <c r="BV244" i="10"/>
  <c r="BU244" i="10"/>
  <c r="BR244" i="10"/>
  <c r="BP244" i="10"/>
  <c r="BO244" i="10"/>
  <c r="BN244" i="10"/>
  <c r="BM244" i="10"/>
  <c r="BJ244" i="10"/>
  <c r="DO243" i="10"/>
  <c r="DN243" i="10"/>
  <c r="DJ243" i="10"/>
  <c r="DI243" i="10"/>
  <c r="DH243" i="10"/>
  <c r="DG243" i="10"/>
  <c r="DF243" i="10"/>
  <c r="DE243" i="10"/>
  <c r="DD243" i="10"/>
  <c r="DC243" i="10"/>
  <c r="DB243" i="10"/>
  <c r="DA243" i="10"/>
  <c r="CZ243" i="10"/>
  <c r="CY243" i="10"/>
  <c r="CX243" i="10"/>
  <c r="CW243" i="10"/>
  <c r="CV243" i="10"/>
  <c r="CU243" i="10"/>
  <c r="CT243" i="10"/>
  <c r="CS243" i="10"/>
  <c r="CR243" i="10"/>
  <c r="CQ243" i="10"/>
  <c r="CP243" i="10"/>
  <c r="CO243" i="10"/>
  <c r="CB243" i="10"/>
  <c r="BV243" i="10"/>
  <c r="BU243" i="10"/>
  <c r="BR243" i="10"/>
  <c r="BP243" i="10"/>
  <c r="BO243" i="10"/>
  <c r="BN243" i="10"/>
  <c r="BM243" i="10"/>
  <c r="BJ243" i="10"/>
  <c r="DO242" i="10"/>
  <c r="DN242" i="10"/>
  <c r="DJ242" i="10"/>
  <c r="DI242" i="10"/>
  <c r="DH242" i="10"/>
  <c r="DG242" i="10"/>
  <c r="DF242" i="10"/>
  <c r="DE242" i="10"/>
  <c r="DD242" i="10"/>
  <c r="DC242" i="10"/>
  <c r="DB242" i="10"/>
  <c r="DA242" i="10"/>
  <c r="CZ242" i="10"/>
  <c r="CY242" i="10"/>
  <c r="CX242" i="10"/>
  <c r="CW242" i="10"/>
  <c r="CV242" i="10"/>
  <c r="CU242" i="10"/>
  <c r="CT242" i="10"/>
  <c r="CS242" i="10"/>
  <c r="CR242" i="10"/>
  <c r="CQ242" i="10"/>
  <c r="CP242" i="10"/>
  <c r="CO242" i="10"/>
  <c r="CB242" i="10"/>
  <c r="BV242" i="10"/>
  <c r="BU242" i="10"/>
  <c r="BR242" i="10"/>
  <c r="BP242" i="10"/>
  <c r="BO242" i="10"/>
  <c r="BN242" i="10"/>
  <c r="BM242" i="10"/>
  <c r="BJ242" i="10"/>
  <c r="DO241" i="10"/>
  <c r="DN241" i="10"/>
  <c r="DJ241" i="10"/>
  <c r="DI241" i="10"/>
  <c r="DH241" i="10"/>
  <c r="DG241" i="10"/>
  <c r="DF241" i="10"/>
  <c r="DE241" i="10"/>
  <c r="DD241" i="10"/>
  <c r="DC241" i="10"/>
  <c r="DB241" i="10"/>
  <c r="DA241" i="10"/>
  <c r="CZ241" i="10"/>
  <c r="CY241" i="10"/>
  <c r="CX241" i="10"/>
  <c r="CW241" i="10"/>
  <c r="CV241" i="10"/>
  <c r="CU241" i="10"/>
  <c r="CT241" i="10"/>
  <c r="CS241" i="10"/>
  <c r="CR241" i="10"/>
  <c r="CQ241" i="10"/>
  <c r="CP241" i="10"/>
  <c r="CO241" i="10"/>
  <c r="CB241" i="10"/>
  <c r="BV241" i="10"/>
  <c r="BU241" i="10"/>
  <c r="BR241" i="10"/>
  <c r="BP241" i="10"/>
  <c r="BO241" i="10"/>
  <c r="BN241" i="10"/>
  <c r="BM241" i="10"/>
  <c r="BJ241" i="10"/>
  <c r="DO240" i="10"/>
  <c r="DN240" i="10"/>
  <c r="DJ240" i="10"/>
  <c r="DI240" i="10"/>
  <c r="DH240" i="10"/>
  <c r="DG240" i="10"/>
  <c r="DF240" i="10"/>
  <c r="DE240" i="10"/>
  <c r="DD240" i="10"/>
  <c r="DC240" i="10"/>
  <c r="DB240" i="10"/>
  <c r="DA240" i="10"/>
  <c r="CZ240" i="10"/>
  <c r="CY240" i="10"/>
  <c r="CX240" i="10"/>
  <c r="CW240" i="10"/>
  <c r="CV240" i="10"/>
  <c r="CU240" i="10"/>
  <c r="CT240" i="10"/>
  <c r="CS240" i="10"/>
  <c r="CR240" i="10"/>
  <c r="CQ240" i="10"/>
  <c r="CP240" i="10"/>
  <c r="CO240" i="10"/>
  <c r="CB240" i="10"/>
  <c r="BV240" i="10"/>
  <c r="BU240" i="10"/>
  <c r="BR240" i="10"/>
  <c r="BP240" i="10"/>
  <c r="BO240" i="10"/>
  <c r="BN240" i="10"/>
  <c r="BM240" i="10"/>
  <c r="BJ240" i="10"/>
  <c r="DO239" i="10"/>
  <c r="DN239" i="10"/>
  <c r="DJ239" i="10"/>
  <c r="DI239" i="10"/>
  <c r="DH239" i="10"/>
  <c r="DG239" i="10"/>
  <c r="DF239" i="10"/>
  <c r="DE239" i="10"/>
  <c r="DD239" i="10"/>
  <c r="DC239" i="10"/>
  <c r="DB239" i="10"/>
  <c r="DA239" i="10"/>
  <c r="CZ239" i="10"/>
  <c r="CY239" i="10"/>
  <c r="CX239" i="10"/>
  <c r="CW239" i="10"/>
  <c r="CV239" i="10"/>
  <c r="CU239" i="10"/>
  <c r="CT239" i="10"/>
  <c r="CS239" i="10"/>
  <c r="CR239" i="10"/>
  <c r="CQ239" i="10"/>
  <c r="CP239" i="10"/>
  <c r="CO239" i="10"/>
  <c r="CB239" i="10"/>
  <c r="BV239" i="10"/>
  <c r="BU239" i="10"/>
  <c r="BR239" i="10"/>
  <c r="BP239" i="10"/>
  <c r="BO239" i="10"/>
  <c r="BN239" i="10"/>
  <c r="BM239" i="10"/>
  <c r="BJ239" i="10"/>
  <c r="DO238" i="10"/>
  <c r="DN238" i="10"/>
  <c r="DJ238" i="10"/>
  <c r="DI238" i="10"/>
  <c r="DH238" i="10"/>
  <c r="DG238" i="10"/>
  <c r="DF238" i="10"/>
  <c r="DE238" i="10"/>
  <c r="DD238" i="10"/>
  <c r="DC238" i="10"/>
  <c r="DB238" i="10"/>
  <c r="DA238" i="10"/>
  <c r="CZ238" i="10"/>
  <c r="CY238" i="10"/>
  <c r="CX238" i="10"/>
  <c r="CW238" i="10"/>
  <c r="CV238" i="10"/>
  <c r="CU238" i="10"/>
  <c r="CT238" i="10"/>
  <c r="CS238" i="10"/>
  <c r="CR238" i="10"/>
  <c r="CQ238" i="10"/>
  <c r="CP238" i="10"/>
  <c r="CO238" i="10"/>
  <c r="CB238" i="10"/>
  <c r="BV238" i="10"/>
  <c r="BU238" i="10"/>
  <c r="BR238" i="10"/>
  <c r="BP238" i="10"/>
  <c r="BO238" i="10"/>
  <c r="BN238" i="10"/>
  <c r="BM238" i="10"/>
  <c r="BJ238" i="10"/>
  <c r="DO237" i="10"/>
  <c r="DN237" i="10"/>
  <c r="DJ237" i="10"/>
  <c r="DI237" i="10"/>
  <c r="DH237" i="10"/>
  <c r="DG237" i="10"/>
  <c r="DF237" i="10"/>
  <c r="DE237" i="10"/>
  <c r="DD237" i="10"/>
  <c r="DC237" i="10"/>
  <c r="DB237" i="10"/>
  <c r="DA237" i="10"/>
  <c r="CZ237" i="10"/>
  <c r="CY237" i="10"/>
  <c r="CX237" i="10"/>
  <c r="CW237" i="10"/>
  <c r="CV237" i="10"/>
  <c r="CU237" i="10"/>
  <c r="CT237" i="10"/>
  <c r="CS237" i="10"/>
  <c r="CR237" i="10"/>
  <c r="CQ237" i="10"/>
  <c r="CP237" i="10"/>
  <c r="CO237" i="10"/>
  <c r="CB237" i="10"/>
  <c r="BV237" i="10"/>
  <c r="BU237" i="10"/>
  <c r="BR237" i="10"/>
  <c r="BP237" i="10"/>
  <c r="BO237" i="10"/>
  <c r="BN237" i="10"/>
  <c r="BM237" i="10"/>
  <c r="BJ237" i="10"/>
  <c r="DO236" i="10"/>
  <c r="DN236" i="10"/>
  <c r="DJ236" i="10"/>
  <c r="DI236" i="10"/>
  <c r="DH236" i="10"/>
  <c r="DG236" i="10"/>
  <c r="DF236" i="10"/>
  <c r="DE236" i="10"/>
  <c r="DD236" i="10"/>
  <c r="DC236" i="10"/>
  <c r="DB236" i="10"/>
  <c r="DA236" i="10"/>
  <c r="CZ236" i="10"/>
  <c r="CY236" i="10"/>
  <c r="CX236" i="10"/>
  <c r="CW236" i="10"/>
  <c r="CV236" i="10"/>
  <c r="CU236" i="10"/>
  <c r="CT236" i="10"/>
  <c r="CS236" i="10"/>
  <c r="CR236" i="10"/>
  <c r="CQ236" i="10"/>
  <c r="CP236" i="10"/>
  <c r="CO236" i="10"/>
  <c r="CB236" i="10"/>
  <c r="BV236" i="10"/>
  <c r="BU236" i="10"/>
  <c r="BR236" i="10"/>
  <c r="BP236" i="10"/>
  <c r="BO236" i="10"/>
  <c r="BN236" i="10"/>
  <c r="BM236" i="10"/>
  <c r="BJ236" i="10"/>
  <c r="DO235" i="10"/>
  <c r="DN235" i="10"/>
  <c r="DJ235" i="10"/>
  <c r="DI235" i="10"/>
  <c r="DH235" i="10"/>
  <c r="DG235" i="10"/>
  <c r="DF235" i="10"/>
  <c r="DE235" i="10"/>
  <c r="DD235" i="10"/>
  <c r="DC235" i="10"/>
  <c r="DB235" i="10"/>
  <c r="DA235" i="10"/>
  <c r="CZ235" i="10"/>
  <c r="CY235" i="10"/>
  <c r="CX235" i="10"/>
  <c r="CW235" i="10"/>
  <c r="CV235" i="10"/>
  <c r="CU235" i="10"/>
  <c r="CT235" i="10"/>
  <c r="CS235" i="10"/>
  <c r="CR235" i="10"/>
  <c r="CQ235" i="10"/>
  <c r="CP235" i="10"/>
  <c r="CO235" i="10"/>
  <c r="CB235" i="10"/>
  <c r="BV235" i="10"/>
  <c r="BU235" i="10"/>
  <c r="BR235" i="10"/>
  <c r="BP235" i="10"/>
  <c r="BO235" i="10"/>
  <c r="BN235" i="10"/>
  <c r="BM235" i="10"/>
  <c r="BJ235" i="10"/>
  <c r="DO234" i="10"/>
  <c r="DN234" i="10"/>
  <c r="DJ234" i="10"/>
  <c r="DI234" i="10"/>
  <c r="DH234" i="10"/>
  <c r="DG234" i="10"/>
  <c r="DF234" i="10"/>
  <c r="DE234" i="10"/>
  <c r="DD234" i="10"/>
  <c r="DC234" i="10"/>
  <c r="DB234" i="10"/>
  <c r="DA234" i="10"/>
  <c r="CZ234" i="10"/>
  <c r="CY234" i="10"/>
  <c r="CX234" i="10"/>
  <c r="CW234" i="10"/>
  <c r="CV234" i="10"/>
  <c r="CU234" i="10"/>
  <c r="CT234" i="10"/>
  <c r="CS234" i="10"/>
  <c r="CR234" i="10"/>
  <c r="CQ234" i="10"/>
  <c r="CP234" i="10"/>
  <c r="CO234" i="10"/>
  <c r="CB234" i="10"/>
  <c r="BV234" i="10"/>
  <c r="BU234" i="10"/>
  <c r="BR234" i="10"/>
  <c r="BP234" i="10"/>
  <c r="BO234" i="10"/>
  <c r="BN234" i="10"/>
  <c r="BM234" i="10"/>
  <c r="BJ234" i="10"/>
  <c r="DO233" i="10"/>
  <c r="DN233" i="10"/>
  <c r="DJ233" i="10"/>
  <c r="DI233" i="10"/>
  <c r="DH233" i="10"/>
  <c r="DG233" i="10"/>
  <c r="DF233" i="10"/>
  <c r="DE233" i="10"/>
  <c r="DD233" i="10"/>
  <c r="DC233" i="10"/>
  <c r="DB233" i="10"/>
  <c r="DA233" i="10"/>
  <c r="CZ233" i="10"/>
  <c r="CY233" i="10"/>
  <c r="CX233" i="10"/>
  <c r="CW233" i="10"/>
  <c r="CV233" i="10"/>
  <c r="CU233" i="10"/>
  <c r="CT233" i="10"/>
  <c r="CS233" i="10"/>
  <c r="CR233" i="10"/>
  <c r="CQ233" i="10"/>
  <c r="CP233" i="10"/>
  <c r="CO233" i="10"/>
  <c r="CB233" i="10"/>
  <c r="BV233" i="10"/>
  <c r="BU233" i="10"/>
  <c r="BR233" i="10"/>
  <c r="BP233" i="10"/>
  <c r="BO233" i="10"/>
  <c r="BN233" i="10"/>
  <c r="BM233" i="10"/>
  <c r="BJ233" i="10"/>
  <c r="DO232" i="10"/>
  <c r="DN232" i="10"/>
  <c r="DJ232" i="10"/>
  <c r="DI232" i="10"/>
  <c r="DH232" i="10"/>
  <c r="DG232" i="10"/>
  <c r="DF232" i="10"/>
  <c r="DE232" i="10"/>
  <c r="DD232" i="10"/>
  <c r="DC232" i="10"/>
  <c r="DB232" i="10"/>
  <c r="DA232" i="10"/>
  <c r="CZ232" i="10"/>
  <c r="CY232" i="10"/>
  <c r="CX232" i="10"/>
  <c r="CW232" i="10"/>
  <c r="CV232" i="10"/>
  <c r="CU232" i="10"/>
  <c r="CT232" i="10"/>
  <c r="CS232" i="10"/>
  <c r="CR232" i="10"/>
  <c r="CQ232" i="10"/>
  <c r="CP232" i="10"/>
  <c r="CO232" i="10"/>
  <c r="CB232" i="10"/>
  <c r="BV232" i="10"/>
  <c r="BU232" i="10"/>
  <c r="BR232" i="10"/>
  <c r="BP232" i="10"/>
  <c r="BO232" i="10"/>
  <c r="BN232" i="10"/>
  <c r="BM232" i="10"/>
  <c r="BJ232" i="10"/>
  <c r="DO231" i="10"/>
  <c r="DN231" i="10"/>
  <c r="DJ231" i="10"/>
  <c r="DI231" i="10"/>
  <c r="DH231" i="10"/>
  <c r="DG231" i="10"/>
  <c r="DF231" i="10"/>
  <c r="DE231" i="10"/>
  <c r="DD231" i="10"/>
  <c r="DC231" i="10"/>
  <c r="DB231" i="10"/>
  <c r="DA231" i="10"/>
  <c r="CZ231" i="10"/>
  <c r="CY231" i="10"/>
  <c r="CX231" i="10"/>
  <c r="CW231" i="10"/>
  <c r="CV231" i="10"/>
  <c r="CU231" i="10"/>
  <c r="CT231" i="10"/>
  <c r="CS231" i="10"/>
  <c r="CR231" i="10"/>
  <c r="CQ231" i="10"/>
  <c r="CP231" i="10"/>
  <c r="CO231" i="10"/>
  <c r="CB231" i="10"/>
  <c r="BV231" i="10"/>
  <c r="BU231" i="10"/>
  <c r="BR231" i="10"/>
  <c r="BP231" i="10"/>
  <c r="BO231" i="10"/>
  <c r="BN231" i="10"/>
  <c r="BM231" i="10"/>
  <c r="BJ231" i="10"/>
  <c r="DO230" i="10"/>
  <c r="DN230" i="10"/>
  <c r="DJ230" i="10"/>
  <c r="DI230" i="10"/>
  <c r="DH230" i="10"/>
  <c r="DG230" i="10"/>
  <c r="DF230" i="10"/>
  <c r="DE230" i="10"/>
  <c r="DD230" i="10"/>
  <c r="DC230" i="10"/>
  <c r="DB230" i="10"/>
  <c r="DA230" i="10"/>
  <c r="CZ230" i="10"/>
  <c r="CY230" i="10"/>
  <c r="CX230" i="10"/>
  <c r="CW230" i="10"/>
  <c r="CV230" i="10"/>
  <c r="CU230" i="10"/>
  <c r="CT230" i="10"/>
  <c r="CS230" i="10"/>
  <c r="CR230" i="10"/>
  <c r="CQ230" i="10"/>
  <c r="CP230" i="10"/>
  <c r="CO230" i="10"/>
  <c r="CB230" i="10"/>
  <c r="BV230" i="10"/>
  <c r="BU230" i="10"/>
  <c r="BR230" i="10"/>
  <c r="BP230" i="10"/>
  <c r="BO230" i="10"/>
  <c r="BN230" i="10"/>
  <c r="BM230" i="10"/>
  <c r="BJ230" i="10"/>
  <c r="DO229" i="10"/>
  <c r="DN229" i="10"/>
  <c r="DJ229" i="10"/>
  <c r="DI229" i="10"/>
  <c r="DH229" i="10"/>
  <c r="DG229" i="10"/>
  <c r="DF229" i="10"/>
  <c r="DE229" i="10"/>
  <c r="DD229" i="10"/>
  <c r="DC229" i="10"/>
  <c r="DB229" i="10"/>
  <c r="DA229" i="10"/>
  <c r="CZ229" i="10"/>
  <c r="CY229" i="10"/>
  <c r="CX229" i="10"/>
  <c r="CW229" i="10"/>
  <c r="CV229" i="10"/>
  <c r="CU229" i="10"/>
  <c r="CT229" i="10"/>
  <c r="CS229" i="10"/>
  <c r="CR229" i="10"/>
  <c r="CQ229" i="10"/>
  <c r="CP229" i="10"/>
  <c r="CO229" i="10"/>
  <c r="CB229" i="10"/>
  <c r="BV229" i="10"/>
  <c r="BU229" i="10"/>
  <c r="BR229" i="10"/>
  <c r="BP229" i="10"/>
  <c r="BO229" i="10"/>
  <c r="BN229" i="10"/>
  <c r="BM229" i="10"/>
  <c r="BJ229" i="10"/>
  <c r="DO228" i="10"/>
  <c r="DN228" i="10"/>
  <c r="DJ228" i="10"/>
  <c r="DI228" i="10"/>
  <c r="DH228" i="10"/>
  <c r="DG228" i="10"/>
  <c r="DF228" i="10"/>
  <c r="DE228" i="10"/>
  <c r="DD228" i="10"/>
  <c r="DC228" i="10"/>
  <c r="DB228" i="10"/>
  <c r="DA228" i="10"/>
  <c r="CZ228" i="10"/>
  <c r="CY228" i="10"/>
  <c r="CX228" i="10"/>
  <c r="CW228" i="10"/>
  <c r="CV228" i="10"/>
  <c r="CU228" i="10"/>
  <c r="CT228" i="10"/>
  <c r="CS228" i="10"/>
  <c r="CR228" i="10"/>
  <c r="CQ228" i="10"/>
  <c r="CP228" i="10"/>
  <c r="CO228" i="10"/>
  <c r="CB228" i="10"/>
  <c r="BV228" i="10"/>
  <c r="BU228" i="10"/>
  <c r="BR228" i="10"/>
  <c r="BP228" i="10"/>
  <c r="BO228" i="10"/>
  <c r="BN228" i="10"/>
  <c r="BM228" i="10"/>
  <c r="BJ228" i="10"/>
  <c r="DO227" i="10"/>
  <c r="DN227" i="10"/>
  <c r="DJ227" i="10"/>
  <c r="DI227" i="10"/>
  <c r="DH227" i="10"/>
  <c r="DG227" i="10"/>
  <c r="DF227" i="10"/>
  <c r="DE227" i="10"/>
  <c r="DD227" i="10"/>
  <c r="DC227" i="10"/>
  <c r="DB227" i="10"/>
  <c r="DA227" i="10"/>
  <c r="CZ227" i="10"/>
  <c r="CY227" i="10"/>
  <c r="CX227" i="10"/>
  <c r="CW227" i="10"/>
  <c r="CV227" i="10"/>
  <c r="CU227" i="10"/>
  <c r="CT227" i="10"/>
  <c r="CS227" i="10"/>
  <c r="CR227" i="10"/>
  <c r="CQ227" i="10"/>
  <c r="CP227" i="10"/>
  <c r="CO227" i="10"/>
  <c r="CB227" i="10"/>
  <c r="BV227" i="10"/>
  <c r="BU227" i="10"/>
  <c r="BR227" i="10"/>
  <c r="BP227" i="10"/>
  <c r="BO227" i="10"/>
  <c r="BN227" i="10"/>
  <c r="BM227" i="10"/>
  <c r="BJ227" i="10"/>
  <c r="DO226" i="10"/>
  <c r="DN226" i="10"/>
  <c r="DJ226" i="10"/>
  <c r="DI226" i="10"/>
  <c r="DH226" i="10"/>
  <c r="DG226" i="10"/>
  <c r="DF226" i="10"/>
  <c r="DE226" i="10"/>
  <c r="DD226" i="10"/>
  <c r="DC226" i="10"/>
  <c r="DB226" i="10"/>
  <c r="DA226" i="10"/>
  <c r="CZ226" i="10"/>
  <c r="CY226" i="10"/>
  <c r="CX226" i="10"/>
  <c r="CW226" i="10"/>
  <c r="CV226" i="10"/>
  <c r="CU226" i="10"/>
  <c r="CT226" i="10"/>
  <c r="CS226" i="10"/>
  <c r="CR226" i="10"/>
  <c r="CQ226" i="10"/>
  <c r="CP226" i="10"/>
  <c r="CO226" i="10"/>
  <c r="CB226" i="10"/>
  <c r="BV226" i="10"/>
  <c r="BU226" i="10"/>
  <c r="BR226" i="10"/>
  <c r="BP226" i="10"/>
  <c r="BO226" i="10"/>
  <c r="BN226" i="10"/>
  <c r="BM226" i="10"/>
  <c r="BJ226" i="10"/>
  <c r="DO225" i="10"/>
  <c r="DN225" i="10"/>
  <c r="DJ225" i="10"/>
  <c r="DI225" i="10"/>
  <c r="DH225" i="10"/>
  <c r="DG225" i="10"/>
  <c r="DF225" i="10"/>
  <c r="DE225" i="10"/>
  <c r="DD225" i="10"/>
  <c r="DC225" i="10"/>
  <c r="DB225" i="10"/>
  <c r="DA225" i="10"/>
  <c r="CZ225" i="10"/>
  <c r="CY225" i="10"/>
  <c r="CX225" i="10"/>
  <c r="CW225" i="10"/>
  <c r="CV225" i="10"/>
  <c r="CU225" i="10"/>
  <c r="CT225" i="10"/>
  <c r="CS225" i="10"/>
  <c r="CR225" i="10"/>
  <c r="CQ225" i="10"/>
  <c r="CP225" i="10"/>
  <c r="CO225" i="10"/>
  <c r="CB225" i="10"/>
  <c r="BV225" i="10"/>
  <c r="BU225" i="10"/>
  <c r="BR225" i="10"/>
  <c r="BP225" i="10"/>
  <c r="BO225" i="10"/>
  <c r="BN225" i="10"/>
  <c r="BM225" i="10"/>
  <c r="BJ225" i="10"/>
  <c r="DO224" i="10"/>
  <c r="DN224" i="10"/>
  <c r="DJ224" i="10"/>
  <c r="DI224" i="10"/>
  <c r="DH224" i="10"/>
  <c r="DG224" i="10"/>
  <c r="DF224" i="10"/>
  <c r="DE224" i="10"/>
  <c r="DD224" i="10"/>
  <c r="DC224" i="10"/>
  <c r="DB224" i="10"/>
  <c r="DA224" i="10"/>
  <c r="CZ224" i="10"/>
  <c r="CY224" i="10"/>
  <c r="CX224" i="10"/>
  <c r="CW224" i="10"/>
  <c r="CV224" i="10"/>
  <c r="CU224" i="10"/>
  <c r="CT224" i="10"/>
  <c r="CS224" i="10"/>
  <c r="CR224" i="10"/>
  <c r="CQ224" i="10"/>
  <c r="CP224" i="10"/>
  <c r="CO224" i="10"/>
  <c r="CB224" i="10"/>
  <c r="BV224" i="10"/>
  <c r="BU224" i="10"/>
  <c r="BR224" i="10"/>
  <c r="BP224" i="10"/>
  <c r="BO224" i="10"/>
  <c r="BN224" i="10"/>
  <c r="BM224" i="10"/>
  <c r="BJ224" i="10"/>
  <c r="DO223" i="10"/>
  <c r="DN223" i="10"/>
  <c r="DJ223" i="10"/>
  <c r="DI223" i="10"/>
  <c r="DH223" i="10"/>
  <c r="DG223" i="10"/>
  <c r="DF223" i="10"/>
  <c r="DE223" i="10"/>
  <c r="DD223" i="10"/>
  <c r="DC223" i="10"/>
  <c r="DB223" i="10"/>
  <c r="DA223" i="10"/>
  <c r="CZ223" i="10"/>
  <c r="CY223" i="10"/>
  <c r="CX223" i="10"/>
  <c r="CW223" i="10"/>
  <c r="CV223" i="10"/>
  <c r="CU223" i="10"/>
  <c r="CT223" i="10"/>
  <c r="CS223" i="10"/>
  <c r="CR223" i="10"/>
  <c r="CQ223" i="10"/>
  <c r="CP223" i="10"/>
  <c r="CO223" i="10"/>
  <c r="CB223" i="10"/>
  <c r="BV223" i="10"/>
  <c r="BU223" i="10"/>
  <c r="BR223" i="10"/>
  <c r="BP223" i="10"/>
  <c r="BO223" i="10"/>
  <c r="BN223" i="10"/>
  <c r="BM223" i="10"/>
  <c r="BJ223" i="10"/>
  <c r="DO222" i="10"/>
  <c r="DN222" i="10"/>
  <c r="DJ222" i="10"/>
  <c r="DI222" i="10"/>
  <c r="DH222" i="10"/>
  <c r="DG222" i="10"/>
  <c r="DF222" i="10"/>
  <c r="DE222" i="10"/>
  <c r="DD222" i="10"/>
  <c r="DC222" i="10"/>
  <c r="DB222" i="10"/>
  <c r="DA222" i="10"/>
  <c r="CZ222" i="10"/>
  <c r="CY222" i="10"/>
  <c r="CX222" i="10"/>
  <c r="CW222" i="10"/>
  <c r="CV222" i="10"/>
  <c r="CU222" i="10"/>
  <c r="CT222" i="10"/>
  <c r="CS222" i="10"/>
  <c r="CR222" i="10"/>
  <c r="CQ222" i="10"/>
  <c r="CP222" i="10"/>
  <c r="CO222" i="10"/>
  <c r="CB222" i="10"/>
  <c r="BV222" i="10"/>
  <c r="BU222" i="10"/>
  <c r="BR222" i="10"/>
  <c r="BP222" i="10"/>
  <c r="BO222" i="10"/>
  <c r="BN222" i="10"/>
  <c r="BM222" i="10"/>
  <c r="BJ222" i="10"/>
  <c r="DO221" i="10"/>
  <c r="DN221" i="10"/>
  <c r="DJ221" i="10"/>
  <c r="DI221" i="10"/>
  <c r="DH221" i="10"/>
  <c r="DG221" i="10"/>
  <c r="DF221" i="10"/>
  <c r="DE221" i="10"/>
  <c r="DD221" i="10"/>
  <c r="DC221" i="10"/>
  <c r="DB221" i="10"/>
  <c r="DA221" i="10"/>
  <c r="CZ221" i="10"/>
  <c r="CY221" i="10"/>
  <c r="CX221" i="10"/>
  <c r="CW221" i="10"/>
  <c r="CV221" i="10"/>
  <c r="CU221" i="10"/>
  <c r="CT221" i="10"/>
  <c r="CS221" i="10"/>
  <c r="CR221" i="10"/>
  <c r="CQ221" i="10"/>
  <c r="CP221" i="10"/>
  <c r="CO221" i="10"/>
  <c r="CB221" i="10"/>
  <c r="BV221" i="10"/>
  <c r="BU221" i="10"/>
  <c r="BR221" i="10"/>
  <c r="BP221" i="10"/>
  <c r="BO221" i="10"/>
  <c r="BN221" i="10"/>
  <c r="BM221" i="10"/>
  <c r="BJ221" i="10"/>
  <c r="DO220" i="10"/>
  <c r="DN220" i="10"/>
  <c r="DJ220" i="10"/>
  <c r="DI220" i="10"/>
  <c r="DH220" i="10"/>
  <c r="DG220" i="10"/>
  <c r="DF220" i="10"/>
  <c r="DE220" i="10"/>
  <c r="DD220" i="10"/>
  <c r="DC220" i="10"/>
  <c r="DB220" i="10"/>
  <c r="DA220" i="10"/>
  <c r="CZ220" i="10"/>
  <c r="CY220" i="10"/>
  <c r="CX220" i="10"/>
  <c r="CW220" i="10"/>
  <c r="CV220" i="10"/>
  <c r="CU220" i="10"/>
  <c r="CT220" i="10"/>
  <c r="CS220" i="10"/>
  <c r="CR220" i="10"/>
  <c r="CQ220" i="10"/>
  <c r="CP220" i="10"/>
  <c r="CO220" i="10"/>
  <c r="CB220" i="10"/>
  <c r="BV220" i="10"/>
  <c r="BU220" i="10"/>
  <c r="BR220" i="10"/>
  <c r="BP220" i="10"/>
  <c r="BO220" i="10"/>
  <c r="BN220" i="10"/>
  <c r="BM220" i="10"/>
  <c r="BJ220" i="10"/>
  <c r="DO219" i="10"/>
  <c r="DN219" i="10"/>
  <c r="DJ219" i="10"/>
  <c r="DI219" i="10"/>
  <c r="DH219" i="10"/>
  <c r="DG219" i="10"/>
  <c r="DF219" i="10"/>
  <c r="DE219" i="10"/>
  <c r="DD219" i="10"/>
  <c r="DC219" i="10"/>
  <c r="DB219" i="10"/>
  <c r="DA219" i="10"/>
  <c r="CZ219" i="10"/>
  <c r="CY219" i="10"/>
  <c r="CX219" i="10"/>
  <c r="CW219" i="10"/>
  <c r="CV219" i="10"/>
  <c r="CU219" i="10"/>
  <c r="CT219" i="10"/>
  <c r="CS219" i="10"/>
  <c r="CR219" i="10"/>
  <c r="CQ219" i="10"/>
  <c r="CP219" i="10"/>
  <c r="CO219" i="10"/>
  <c r="CB219" i="10"/>
  <c r="BV219" i="10"/>
  <c r="BU219" i="10"/>
  <c r="BR219" i="10"/>
  <c r="BP219" i="10"/>
  <c r="BO219" i="10"/>
  <c r="BN219" i="10"/>
  <c r="BM219" i="10"/>
  <c r="BJ219" i="10"/>
  <c r="DO218" i="10"/>
  <c r="DN218" i="10"/>
  <c r="DJ218" i="10"/>
  <c r="DI218" i="10"/>
  <c r="DH218" i="10"/>
  <c r="DG218" i="10"/>
  <c r="DF218" i="10"/>
  <c r="DE218" i="10"/>
  <c r="DD218" i="10"/>
  <c r="DC218" i="10"/>
  <c r="DB218" i="10"/>
  <c r="DA218" i="10"/>
  <c r="CZ218" i="10"/>
  <c r="CY218" i="10"/>
  <c r="CX218" i="10"/>
  <c r="CW218" i="10"/>
  <c r="CV218" i="10"/>
  <c r="CU218" i="10"/>
  <c r="CT218" i="10"/>
  <c r="CS218" i="10"/>
  <c r="CR218" i="10"/>
  <c r="CQ218" i="10"/>
  <c r="CP218" i="10"/>
  <c r="CO218" i="10"/>
  <c r="CB218" i="10"/>
  <c r="BV218" i="10"/>
  <c r="BU218" i="10"/>
  <c r="BR218" i="10"/>
  <c r="BP218" i="10"/>
  <c r="BO218" i="10"/>
  <c r="BN218" i="10"/>
  <c r="BM218" i="10"/>
  <c r="BJ218" i="10"/>
  <c r="DO217" i="10"/>
  <c r="DN217" i="10"/>
  <c r="DJ217" i="10"/>
  <c r="DI217" i="10"/>
  <c r="DH217" i="10"/>
  <c r="DG217" i="10"/>
  <c r="DF217" i="10"/>
  <c r="DE217" i="10"/>
  <c r="DD217" i="10"/>
  <c r="DC217" i="10"/>
  <c r="DB217" i="10"/>
  <c r="DA217" i="10"/>
  <c r="CZ217" i="10"/>
  <c r="CY217" i="10"/>
  <c r="CX217" i="10"/>
  <c r="CW217" i="10"/>
  <c r="CV217" i="10"/>
  <c r="CU217" i="10"/>
  <c r="CT217" i="10"/>
  <c r="CS217" i="10"/>
  <c r="CR217" i="10"/>
  <c r="CQ217" i="10"/>
  <c r="CP217" i="10"/>
  <c r="CO217" i="10"/>
  <c r="CB217" i="10"/>
  <c r="BV217" i="10"/>
  <c r="BU217" i="10"/>
  <c r="BR217" i="10"/>
  <c r="BP217" i="10"/>
  <c r="BO217" i="10"/>
  <c r="BN217" i="10"/>
  <c r="BM217" i="10"/>
  <c r="BJ217" i="10"/>
  <c r="DO216" i="10"/>
  <c r="DN216" i="10"/>
  <c r="DJ216" i="10"/>
  <c r="DI216" i="10"/>
  <c r="DH216" i="10"/>
  <c r="DG216" i="10"/>
  <c r="DF216" i="10"/>
  <c r="DE216" i="10"/>
  <c r="DD216" i="10"/>
  <c r="DC216" i="10"/>
  <c r="DB216" i="10"/>
  <c r="DA216" i="10"/>
  <c r="CZ216" i="10"/>
  <c r="CY216" i="10"/>
  <c r="CX216" i="10"/>
  <c r="CW216" i="10"/>
  <c r="CV216" i="10"/>
  <c r="CU216" i="10"/>
  <c r="CT216" i="10"/>
  <c r="CS216" i="10"/>
  <c r="CR216" i="10"/>
  <c r="CQ216" i="10"/>
  <c r="CP216" i="10"/>
  <c r="CO216" i="10"/>
  <c r="CB216" i="10"/>
  <c r="BV216" i="10"/>
  <c r="BU216" i="10"/>
  <c r="BR216" i="10"/>
  <c r="BP216" i="10"/>
  <c r="BO216" i="10"/>
  <c r="BN216" i="10"/>
  <c r="BM216" i="10"/>
  <c r="BJ216" i="10"/>
  <c r="DO215" i="10"/>
  <c r="DN215" i="10"/>
  <c r="DJ215" i="10"/>
  <c r="DI215" i="10"/>
  <c r="DH215" i="10"/>
  <c r="DG215" i="10"/>
  <c r="DF215" i="10"/>
  <c r="DE215" i="10"/>
  <c r="DD215" i="10"/>
  <c r="DC215" i="10"/>
  <c r="DB215" i="10"/>
  <c r="DA215" i="10"/>
  <c r="CZ215" i="10"/>
  <c r="CY215" i="10"/>
  <c r="CX215" i="10"/>
  <c r="CW215" i="10"/>
  <c r="CV215" i="10"/>
  <c r="CU215" i="10"/>
  <c r="CT215" i="10"/>
  <c r="CS215" i="10"/>
  <c r="CR215" i="10"/>
  <c r="CQ215" i="10"/>
  <c r="CP215" i="10"/>
  <c r="CO215" i="10"/>
  <c r="CB215" i="10"/>
  <c r="BV215" i="10"/>
  <c r="BU215" i="10"/>
  <c r="BR215" i="10"/>
  <c r="BP215" i="10"/>
  <c r="BO215" i="10"/>
  <c r="BN215" i="10"/>
  <c r="BM215" i="10"/>
  <c r="BJ215" i="10"/>
  <c r="DO214" i="10"/>
  <c r="DN214" i="10"/>
  <c r="DJ214" i="10"/>
  <c r="DI214" i="10"/>
  <c r="DH214" i="10"/>
  <c r="DG214" i="10"/>
  <c r="DF214" i="10"/>
  <c r="DE214" i="10"/>
  <c r="DD214" i="10"/>
  <c r="DC214" i="10"/>
  <c r="DB214" i="10"/>
  <c r="DA214" i="10"/>
  <c r="CZ214" i="10"/>
  <c r="CY214" i="10"/>
  <c r="CX214" i="10"/>
  <c r="CW214" i="10"/>
  <c r="CV214" i="10"/>
  <c r="CU214" i="10"/>
  <c r="CT214" i="10"/>
  <c r="CS214" i="10"/>
  <c r="CR214" i="10"/>
  <c r="CQ214" i="10"/>
  <c r="CP214" i="10"/>
  <c r="CO214" i="10"/>
  <c r="CB214" i="10"/>
  <c r="BV214" i="10"/>
  <c r="BU214" i="10"/>
  <c r="BR214" i="10"/>
  <c r="BP214" i="10"/>
  <c r="BO214" i="10"/>
  <c r="BN214" i="10"/>
  <c r="BM214" i="10"/>
  <c r="BJ214" i="10"/>
  <c r="DO213" i="10"/>
  <c r="DN213" i="10"/>
  <c r="DJ213" i="10"/>
  <c r="DI213" i="10"/>
  <c r="DH213" i="10"/>
  <c r="DG213" i="10"/>
  <c r="DF213" i="10"/>
  <c r="DE213" i="10"/>
  <c r="DD213" i="10"/>
  <c r="DC213" i="10"/>
  <c r="DB213" i="10"/>
  <c r="DA213" i="10"/>
  <c r="CZ213" i="10"/>
  <c r="CY213" i="10"/>
  <c r="CX213" i="10"/>
  <c r="CW213" i="10"/>
  <c r="CV213" i="10"/>
  <c r="CU213" i="10"/>
  <c r="CT213" i="10"/>
  <c r="CS213" i="10"/>
  <c r="CR213" i="10"/>
  <c r="CQ213" i="10"/>
  <c r="CP213" i="10"/>
  <c r="CO213" i="10"/>
  <c r="CB213" i="10"/>
  <c r="BV213" i="10"/>
  <c r="BU213" i="10"/>
  <c r="BR213" i="10"/>
  <c r="BP213" i="10"/>
  <c r="BO213" i="10"/>
  <c r="BN213" i="10"/>
  <c r="BM213" i="10"/>
  <c r="BJ213" i="10"/>
  <c r="DO212" i="10"/>
  <c r="DN212" i="10"/>
  <c r="DJ212" i="10"/>
  <c r="DI212" i="10"/>
  <c r="DH212" i="10"/>
  <c r="DG212" i="10"/>
  <c r="DF212" i="10"/>
  <c r="DE212" i="10"/>
  <c r="DD212" i="10"/>
  <c r="DC212" i="10"/>
  <c r="DB212" i="10"/>
  <c r="DA212" i="10"/>
  <c r="CZ212" i="10"/>
  <c r="CY212" i="10"/>
  <c r="CX212" i="10"/>
  <c r="CW212" i="10"/>
  <c r="CV212" i="10"/>
  <c r="CU212" i="10"/>
  <c r="CT212" i="10"/>
  <c r="CS212" i="10"/>
  <c r="CR212" i="10"/>
  <c r="CQ212" i="10"/>
  <c r="CP212" i="10"/>
  <c r="CO212" i="10"/>
  <c r="CB212" i="10"/>
  <c r="BV212" i="10"/>
  <c r="BU212" i="10"/>
  <c r="BR212" i="10"/>
  <c r="BP212" i="10"/>
  <c r="BO212" i="10"/>
  <c r="BN212" i="10"/>
  <c r="BM212" i="10"/>
  <c r="BJ212" i="10"/>
  <c r="DO211" i="10"/>
  <c r="DN211" i="10"/>
  <c r="DJ211" i="10"/>
  <c r="DI211" i="10"/>
  <c r="DH211" i="10"/>
  <c r="DG211" i="10"/>
  <c r="DF211" i="10"/>
  <c r="DE211" i="10"/>
  <c r="DD211" i="10"/>
  <c r="DC211" i="10"/>
  <c r="DB211" i="10"/>
  <c r="DA211" i="10"/>
  <c r="CZ211" i="10"/>
  <c r="CY211" i="10"/>
  <c r="CX211" i="10"/>
  <c r="CW211" i="10"/>
  <c r="CV211" i="10"/>
  <c r="CU211" i="10"/>
  <c r="CT211" i="10"/>
  <c r="CS211" i="10"/>
  <c r="CR211" i="10"/>
  <c r="CQ211" i="10"/>
  <c r="CP211" i="10"/>
  <c r="CO211" i="10"/>
  <c r="CB211" i="10"/>
  <c r="BV211" i="10"/>
  <c r="BU211" i="10"/>
  <c r="BR211" i="10"/>
  <c r="BP211" i="10"/>
  <c r="BO211" i="10"/>
  <c r="BN211" i="10"/>
  <c r="BM211" i="10"/>
  <c r="BJ211" i="10"/>
  <c r="DO210" i="10"/>
  <c r="DN210" i="10"/>
  <c r="DJ210" i="10"/>
  <c r="DI210" i="10"/>
  <c r="DH210" i="10"/>
  <c r="DG210" i="10"/>
  <c r="DF210" i="10"/>
  <c r="DE210" i="10"/>
  <c r="DD210" i="10"/>
  <c r="DC210" i="10"/>
  <c r="DB210" i="10"/>
  <c r="DA210" i="10"/>
  <c r="CZ210" i="10"/>
  <c r="CY210" i="10"/>
  <c r="CX210" i="10"/>
  <c r="CW210" i="10"/>
  <c r="CV210" i="10"/>
  <c r="CU210" i="10"/>
  <c r="CT210" i="10"/>
  <c r="CS210" i="10"/>
  <c r="CR210" i="10"/>
  <c r="CQ210" i="10"/>
  <c r="CP210" i="10"/>
  <c r="CO210" i="10"/>
  <c r="CB210" i="10"/>
  <c r="BV210" i="10"/>
  <c r="BU210" i="10"/>
  <c r="BR210" i="10"/>
  <c r="BP210" i="10"/>
  <c r="BO210" i="10"/>
  <c r="BN210" i="10"/>
  <c r="BM210" i="10"/>
  <c r="BJ210" i="10"/>
  <c r="DO209" i="10"/>
  <c r="DN209" i="10"/>
  <c r="DJ209" i="10"/>
  <c r="DI209" i="10"/>
  <c r="DH209" i="10"/>
  <c r="DG209" i="10"/>
  <c r="DF209" i="10"/>
  <c r="DE209" i="10"/>
  <c r="DD209" i="10"/>
  <c r="DC209" i="10"/>
  <c r="DB209" i="10"/>
  <c r="DA209" i="10"/>
  <c r="CZ209" i="10"/>
  <c r="CY209" i="10"/>
  <c r="CX209" i="10"/>
  <c r="CW209" i="10"/>
  <c r="CV209" i="10"/>
  <c r="CU209" i="10"/>
  <c r="CT209" i="10"/>
  <c r="CS209" i="10"/>
  <c r="CR209" i="10"/>
  <c r="CQ209" i="10"/>
  <c r="CP209" i="10"/>
  <c r="CO209" i="10"/>
  <c r="CB209" i="10"/>
  <c r="BV209" i="10"/>
  <c r="BU209" i="10"/>
  <c r="BR209" i="10"/>
  <c r="BP209" i="10"/>
  <c r="BO209" i="10"/>
  <c r="BN209" i="10"/>
  <c r="BM209" i="10"/>
  <c r="BJ209" i="10"/>
  <c r="DO208" i="10"/>
  <c r="DN208" i="10"/>
  <c r="DJ208" i="10"/>
  <c r="DI208" i="10"/>
  <c r="DH208" i="10"/>
  <c r="DG208" i="10"/>
  <c r="DF208" i="10"/>
  <c r="DE208" i="10"/>
  <c r="DD208" i="10"/>
  <c r="DC208" i="10"/>
  <c r="DB208" i="10"/>
  <c r="DA208" i="10"/>
  <c r="CZ208" i="10"/>
  <c r="CY208" i="10"/>
  <c r="CX208" i="10"/>
  <c r="CW208" i="10"/>
  <c r="CV208" i="10"/>
  <c r="CU208" i="10"/>
  <c r="CT208" i="10"/>
  <c r="CS208" i="10"/>
  <c r="CR208" i="10"/>
  <c r="CQ208" i="10"/>
  <c r="CP208" i="10"/>
  <c r="CO208" i="10"/>
  <c r="CB208" i="10"/>
  <c r="BV208" i="10"/>
  <c r="BU208" i="10"/>
  <c r="BR208" i="10"/>
  <c r="BP208" i="10"/>
  <c r="BO208" i="10"/>
  <c r="BN208" i="10"/>
  <c r="BM208" i="10"/>
  <c r="BJ208" i="10"/>
  <c r="DO207" i="10"/>
  <c r="DN207" i="10"/>
  <c r="DJ207" i="10"/>
  <c r="DI207" i="10"/>
  <c r="DH207" i="10"/>
  <c r="DG207" i="10"/>
  <c r="DF207" i="10"/>
  <c r="DE207" i="10"/>
  <c r="DD207" i="10"/>
  <c r="DC207" i="10"/>
  <c r="DB207" i="10"/>
  <c r="DA207" i="10"/>
  <c r="CZ207" i="10"/>
  <c r="CY207" i="10"/>
  <c r="CX207" i="10"/>
  <c r="CW207" i="10"/>
  <c r="CV207" i="10"/>
  <c r="CU207" i="10"/>
  <c r="CT207" i="10"/>
  <c r="CS207" i="10"/>
  <c r="CR207" i="10"/>
  <c r="CQ207" i="10"/>
  <c r="CP207" i="10"/>
  <c r="CO207" i="10"/>
  <c r="CB207" i="10"/>
  <c r="BV207" i="10"/>
  <c r="BU207" i="10"/>
  <c r="BR207" i="10"/>
  <c r="BP207" i="10"/>
  <c r="BO207" i="10"/>
  <c r="BN207" i="10"/>
  <c r="BM207" i="10"/>
  <c r="BJ207" i="10"/>
  <c r="DO206" i="10"/>
  <c r="DN206" i="10"/>
  <c r="DJ206" i="10"/>
  <c r="DI206" i="10"/>
  <c r="DH206" i="10"/>
  <c r="DG206" i="10"/>
  <c r="DF206" i="10"/>
  <c r="DE206" i="10"/>
  <c r="DD206" i="10"/>
  <c r="DC206" i="10"/>
  <c r="DB206" i="10"/>
  <c r="DA206" i="10"/>
  <c r="CZ206" i="10"/>
  <c r="CY206" i="10"/>
  <c r="CX206" i="10"/>
  <c r="CW206" i="10"/>
  <c r="CV206" i="10"/>
  <c r="CU206" i="10"/>
  <c r="CT206" i="10"/>
  <c r="CS206" i="10"/>
  <c r="CR206" i="10"/>
  <c r="CQ206" i="10"/>
  <c r="CP206" i="10"/>
  <c r="CO206" i="10"/>
  <c r="CB206" i="10"/>
  <c r="BV206" i="10"/>
  <c r="BU206" i="10"/>
  <c r="BR206" i="10"/>
  <c r="BP206" i="10"/>
  <c r="BO206" i="10"/>
  <c r="BN206" i="10"/>
  <c r="BM206" i="10"/>
  <c r="BJ206" i="10"/>
  <c r="DO205" i="10"/>
  <c r="DN205" i="10"/>
  <c r="DJ205" i="10"/>
  <c r="DI205" i="10"/>
  <c r="DH205" i="10"/>
  <c r="DG205" i="10"/>
  <c r="DF205" i="10"/>
  <c r="DE205" i="10"/>
  <c r="DD205" i="10"/>
  <c r="DC205" i="10"/>
  <c r="DB205" i="10"/>
  <c r="DA205" i="10"/>
  <c r="CZ205" i="10"/>
  <c r="CY205" i="10"/>
  <c r="CX205" i="10"/>
  <c r="CW205" i="10"/>
  <c r="CV205" i="10"/>
  <c r="CU205" i="10"/>
  <c r="CT205" i="10"/>
  <c r="CS205" i="10"/>
  <c r="CR205" i="10"/>
  <c r="CQ205" i="10"/>
  <c r="CP205" i="10"/>
  <c r="CO205" i="10"/>
  <c r="CB205" i="10"/>
  <c r="BV205" i="10"/>
  <c r="BU205" i="10"/>
  <c r="BR205" i="10"/>
  <c r="BP205" i="10"/>
  <c r="BO205" i="10"/>
  <c r="BN205" i="10"/>
  <c r="BM205" i="10"/>
  <c r="BJ205" i="10"/>
  <c r="DO204" i="10"/>
  <c r="DN204" i="10"/>
  <c r="DJ204" i="10"/>
  <c r="DI204" i="10"/>
  <c r="DH204" i="10"/>
  <c r="DG204" i="10"/>
  <c r="DF204" i="10"/>
  <c r="DE204" i="10"/>
  <c r="DD204" i="10"/>
  <c r="DC204" i="10"/>
  <c r="DB204" i="10"/>
  <c r="DA204" i="10"/>
  <c r="CZ204" i="10"/>
  <c r="CY204" i="10"/>
  <c r="CX204" i="10"/>
  <c r="CW204" i="10"/>
  <c r="CV204" i="10"/>
  <c r="CU204" i="10"/>
  <c r="CT204" i="10"/>
  <c r="CS204" i="10"/>
  <c r="CR204" i="10"/>
  <c r="CQ204" i="10"/>
  <c r="CP204" i="10"/>
  <c r="CO204" i="10"/>
  <c r="CB204" i="10"/>
  <c r="BV204" i="10"/>
  <c r="BU204" i="10"/>
  <c r="BR204" i="10"/>
  <c r="BP204" i="10"/>
  <c r="BO204" i="10"/>
  <c r="BN204" i="10"/>
  <c r="BM204" i="10"/>
  <c r="BJ204" i="10"/>
  <c r="DO203" i="10"/>
  <c r="DN203" i="10"/>
  <c r="DJ203" i="10"/>
  <c r="DI203" i="10"/>
  <c r="DH203" i="10"/>
  <c r="DG203" i="10"/>
  <c r="DF203" i="10"/>
  <c r="DE203" i="10"/>
  <c r="DD203" i="10"/>
  <c r="DC203" i="10"/>
  <c r="DB203" i="10"/>
  <c r="DA203" i="10"/>
  <c r="CZ203" i="10"/>
  <c r="CY203" i="10"/>
  <c r="CX203" i="10"/>
  <c r="CW203" i="10"/>
  <c r="CV203" i="10"/>
  <c r="CU203" i="10"/>
  <c r="CT203" i="10"/>
  <c r="CS203" i="10"/>
  <c r="CR203" i="10"/>
  <c r="CQ203" i="10"/>
  <c r="CP203" i="10"/>
  <c r="CO203" i="10"/>
  <c r="CB203" i="10"/>
  <c r="BV203" i="10"/>
  <c r="BU203" i="10"/>
  <c r="BR203" i="10"/>
  <c r="BP203" i="10"/>
  <c r="BO203" i="10"/>
  <c r="BN203" i="10"/>
  <c r="BM203" i="10"/>
  <c r="BJ203" i="10"/>
  <c r="DO202" i="10"/>
  <c r="DN202" i="10"/>
  <c r="DJ202" i="10"/>
  <c r="DI202" i="10"/>
  <c r="DH202" i="10"/>
  <c r="DG202" i="10"/>
  <c r="DF202" i="10"/>
  <c r="DE202" i="10"/>
  <c r="DD202" i="10"/>
  <c r="DC202" i="10"/>
  <c r="DB202" i="10"/>
  <c r="DA202" i="10"/>
  <c r="CZ202" i="10"/>
  <c r="CY202" i="10"/>
  <c r="CX202" i="10"/>
  <c r="CW202" i="10"/>
  <c r="CV202" i="10"/>
  <c r="CU202" i="10"/>
  <c r="CT202" i="10"/>
  <c r="CS202" i="10"/>
  <c r="CR202" i="10"/>
  <c r="CQ202" i="10"/>
  <c r="CP202" i="10"/>
  <c r="CO202" i="10"/>
  <c r="CB202" i="10"/>
  <c r="BV202" i="10"/>
  <c r="BU202" i="10"/>
  <c r="BR202" i="10"/>
  <c r="BP202" i="10"/>
  <c r="BO202" i="10"/>
  <c r="BN202" i="10"/>
  <c r="BM202" i="10"/>
  <c r="BJ202" i="10"/>
  <c r="DO201" i="10"/>
  <c r="DN201" i="10"/>
  <c r="DJ201" i="10"/>
  <c r="DI201" i="10"/>
  <c r="DH201" i="10"/>
  <c r="DG201" i="10"/>
  <c r="DF201" i="10"/>
  <c r="DE201" i="10"/>
  <c r="DD201" i="10"/>
  <c r="DC201" i="10"/>
  <c r="DB201" i="10"/>
  <c r="DA201" i="10"/>
  <c r="CZ201" i="10"/>
  <c r="CY201" i="10"/>
  <c r="CX201" i="10"/>
  <c r="CW201" i="10"/>
  <c r="CV201" i="10"/>
  <c r="CU201" i="10"/>
  <c r="CT201" i="10"/>
  <c r="CS201" i="10"/>
  <c r="CR201" i="10"/>
  <c r="CQ201" i="10"/>
  <c r="CP201" i="10"/>
  <c r="CO201" i="10"/>
  <c r="CB201" i="10"/>
  <c r="BV201" i="10"/>
  <c r="BU201" i="10"/>
  <c r="BR201" i="10"/>
  <c r="BP201" i="10"/>
  <c r="BO201" i="10"/>
  <c r="BN201" i="10"/>
  <c r="BM201" i="10"/>
  <c r="BJ201" i="10"/>
  <c r="DO200" i="10"/>
  <c r="DN200" i="10"/>
  <c r="DJ200" i="10"/>
  <c r="DI200" i="10"/>
  <c r="DH200" i="10"/>
  <c r="DG200" i="10"/>
  <c r="DF200" i="10"/>
  <c r="DE200" i="10"/>
  <c r="DD200" i="10"/>
  <c r="DC200" i="10"/>
  <c r="DB200" i="10"/>
  <c r="DA200" i="10"/>
  <c r="CZ200" i="10"/>
  <c r="CY200" i="10"/>
  <c r="CX200" i="10"/>
  <c r="CW200" i="10"/>
  <c r="CV200" i="10"/>
  <c r="CU200" i="10"/>
  <c r="CT200" i="10"/>
  <c r="CS200" i="10"/>
  <c r="CR200" i="10"/>
  <c r="CQ200" i="10"/>
  <c r="CP200" i="10"/>
  <c r="CO200" i="10"/>
  <c r="CB200" i="10"/>
  <c r="BV200" i="10"/>
  <c r="BU200" i="10"/>
  <c r="BR200" i="10"/>
  <c r="BP200" i="10"/>
  <c r="BO200" i="10"/>
  <c r="BN200" i="10"/>
  <c r="BM200" i="10"/>
  <c r="BJ200" i="10"/>
  <c r="DO199" i="10"/>
  <c r="DN199" i="10"/>
  <c r="DJ199" i="10"/>
  <c r="DI199" i="10"/>
  <c r="DH199" i="10"/>
  <c r="DG199" i="10"/>
  <c r="DF199" i="10"/>
  <c r="DE199" i="10"/>
  <c r="DD199" i="10"/>
  <c r="DC199" i="10"/>
  <c r="DB199" i="10"/>
  <c r="DA199" i="10"/>
  <c r="CZ199" i="10"/>
  <c r="CY199" i="10"/>
  <c r="CX199" i="10"/>
  <c r="CW199" i="10"/>
  <c r="CV199" i="10"/>
  <c r="CU199" i="10"/>
  <c r="CT199" i="10"/>
  <c r="CS199" i="10"/>
  <c r="CR199" i="10"/>
  <c r="CQ199" i="10"/>
  <c r="CP199" i="10"/>
  <c r="CO199" i="10"/>
  <c r="CB199" i="10"/>
  <c r="BV199" i="10"/>
  <c r="BU199" i="10"/>
  <c r="BR199" i="10"/>
  <c r="BP199" i="10"/>
  <c r="BO199" i="10"/>
  <c r="BN199" i="10"/>
  <c r="BM199" i="10"/>
  <c r="BJ199" i="10"/>
  <c r="DO198" i="10"/>
  <c r="DN198" i="10"/>
  <c r="DJ198" i="10"/>
  <c r="DI198" i="10"/>
  <c r="DH198" i="10"/>
  <c r="DG198" i="10"/>
  <c r="DF198" i="10"/>
  <c r="DE198" i="10"/>
  <c r="DD198" i="10"/>
  <c r="DC198" i="10"/>
  <c r="DB198" i="10"/>
  <c r="DA198" i="10"/>
  <c r="CZ198" i="10"/>
  <c r="CY198" i="10"/>
  <c r="CX198" i="10"/>
  <c r="CW198" i="10"/>
  <c r="CV198" i="10"/>
  <c r="CU198" i="10"/>
  <c r="CT198" i="10"/>
  <c r="CS198" i="10"/>
  <c r="CR198" i="10"/>
  <c r="CQ198" i="10"/>
  <c r="CP198" i="10"/>
  <c r="CO198" i="10"/>
  <c r="CB198" i="10"/>
  <c r="BV198" i="10"/>
  <c r="BU198" i="10"/>
  <c r="BR198" i="10"/>
  <c r="BP198" i="10"/>
  <c r="BO198" i="10"/>
  <c r="BN198" i="10"/>
  <c r="BM198" i="10"/>
  <c r="BJ198" i="10"/>
  <c r="DO197" i="10"/>
  <c r="DN197" i="10"/>
  <c r="DJ197" i="10"/>
  <c r="DI197" i="10"/>
  <c r="DH197" i="10"/>
  <c r="DG197" i="10"/>
  <c r="DF197" i="10"/>
  <c r="DE197" i="10"/>
  <c r="DD197" i="10"/>
  <c r="DC197" i="10"/>
  <c r="DB197" i="10"/>
  <c r="DA197" i="10"/>
  <c r="CZ197" i="10"/>
  <c r="CY197" i="10"/>
  <c r="CX197" i="10"/>
  <c r="CW197" i="10"/>
  <c r="CV197" i="10"/>
  <c r="CU197" i="10"/>
  <c r="CT197" i="10"/>
  <c r="CS197" i="10"/>
  <c r="CR197" i="10"/>
  <c r="CQ197" i="10"/>
  <c r="CP197" i="10"/>
  <c r="CO197" i="10"/>
  <c r="CB197" i="10"/>
  <c r="BV197" i="10"/>
  <c r="BU197" i="10"/>
  <c r="BR197" i="10"/>
  <c r="BP197" i="10"/>
  <c r="BO197" i="10"/>
  <c r="BN197" i="10"/>
  <c r="BM197" i="10"/>
  <c r="BJ197" i="10"/>
  <c r="DO196" i="10"/>
  <c r="DN196" i="10"/>
  <c r="DJ196" i="10"/>
  <c r="DI196" i="10"/>
  <c r="DH196" i="10"/>
  <c r="DG196" i="10"/>
  <c r="DF196" i="10"/>
  <c r="DE196" i="10"/>
  <c r="DD196" i="10"/>
  <c r="DC196" i="10"/>
  <c r="DB196" i="10"/>
  <c r="DA196" i="10"/>
  <c r="CZ196" i="10"/>
  <c r="CY196" i="10"/>
  <c r="CX196" i="10"/>
  <c r="CW196" i="10"/>
  <c r="CV196" i="10"/>
  <c r="CU196" i="10"/>
  <c r="CT196" i="10"/>
  <c r="CS196" i="10"/>
  <c r="CR196" i="10"/>
  <c r="CQ196" i="10"/>
  <c r="CP196" i="10"/>
  <c r="CO196" i="10"/>
  <c r="CB196" i="10"/>
  <c r="BV196" i="10"/>
  <c r="BU196" i="10"/>
  <c r="BR196" i="10"/>
  <c r="BP196" i="10"/>
  <c r="BO196" i="10"/>
  <c r="BN196" i="10"/>
  <c r="BM196" i="10"/>
  <c r="BJ196" i="10"/>
  <c r="DO195" i="10"/>
  <c r="DN195" i="10"/>
  <c r="DJ195" i="10"/>
  <c r="DI195" i="10"/>
  <c r="DH195" i="10"/>
  <c r="DG195" i="10"/>
  <c r="DF195" i="10"/>
  <c r="DE195" i="10"/>
  <c r="DD195" i="10"/>
  <c r="DC195" i="10"/>
  <c r="DB195" i="10"/>
  <c r="DA195" i="10"/>
  <c r="CZ195" i="10"/>
  <c r="CY195" i="10"/>
  <c r="CX195" i="10"/>
  <c r="CW195" i="10"/>
  <c r="CV195" i="10"/>
  <c r="CU195" i="10"/>
  <c r="CT195" i="10"/>
  <c r="CS195" i="10"/>
  <c r="CR195" i="10"/>
  <c r="CQ195" i="10"/>
  <c r="CP195" i="10"/>
  <c r="CO195" i="10"/>
  <c r="CB195" i="10"/>
  <c r="BV195" i="10"/>
  <c r="BU195" i="10"/>
  <c r="BR195" i="10"/>
  <c r="BP195" i="10"/>
  <c r="BO195" i="10"/>
  <c r="BN195" i="10"/>
  <c r="BM195" i="10"/>
  <c r="BJ195" i="10"/>
  <c r="DO194" i="10"/>
  <c r="DN194" i="10"/>
  <c r="DJ194" i="10"/>
  <c r="DI194" i="10"/>
  <c r="DH194" i="10"/>
  <c r="DG194" i="10"/>
  <c r="DF194" i="10"/>
  <c r="DE194" i="10"/>
  <c r="DD194" i="10"/>
  <c r="DC194" i="10"/>
  <c r="DB194" i="10"/>
  <c r="DA194" i="10"/>
  <c r="CZ194" i="10"/>
  <c r="CY194" i="10"/>
  <c r="CX194" i="10"/>
  <c r="CW194" i="10"/>
  <c r="CV194" i="10"/>
  <c r="CU194" i="10"/>
  <c r="CT194" i="10"/>
  <c r="CS194" i="10"/>
  <c r="CR194" i="10"/>
  <c r="CQ194" i="10"/>
  <c r="CP194" i="10"/>
  <c r="CO194" i="10"/>
  <c r="CB194" i="10"/>
  <c r="BV194" i="10"/>
  <c r="BU194" i="10"/>
  <c r="BR194" i="10"/>
  <c r="BP194" i="10"/>
  <c r="BO194" i="10"/>
  <c r="BN194" i="10"/>
  <c r="BM194" i="10"/>
  <c r="BJ194" i="10"/>
  <c r="DO193" i="10"/>
  <c r="DN193" i="10"/>
  <c r="DJ193" i="10"/>
  <c r="DI193" i="10"/>
  <c r="DH193" i="10"/>
  <c r="DG193" i="10"/>
  <c r="DF193" i="10"/>
  <c r="DE193" i="10"/>
  <c r="DD193" i="10"/>
  <c r="DC193" i="10"/>
  <c r="DB193" i="10"/>
  <c r="DA193" i="10"/>
  <c r="CZ193" i="10"/>
  <c r="CY193" i="10"/>
  <c r="CX193" i="10"/>
  <c r="CW193" i="10"/>
  <c r="CV193" i="10"/>
  <c r="CU193" i="10"/>
  <c r="CT193" i="10"/>
  <c r="CS193" i="10"/>
  <c r="CR193" i="10"/>
  <c r="CQ193" i="10"/>
  <c r="CP193" i="10"/>
  <c r="CO193" i="10"/>
  <c r="CB193" i="10"/>
  <c r="BV193" i="10"/>
  <c r="BU193" i="10"/>
  <c r="BR193" i="10"/>
  <c r="BP193" i="10"/>
  <c r="BO193" i="10"/>
  <c r="BN193" i="10"/>
  <c r="BM193" i="10"/>
  <c r="BJ193" i="10"/>
  <c r="DO192" i="10"/>
  <c r="DN192" i="10"/>
  <c r="DJ192" i="10"/>
  <c r="DI192" i="10"/>
  <c r="DH192" i="10"/>
  <c r="DG192" i="10"/>
  <c r="DF192" i="10"/>
  <c r="DE192" i="10"/>
  <c r="DD192" i="10"/>
  <c r="DC192" i="10"/>
  <c r="DB192" i="10"/>
  <c r="DA192" i="10"/>
  <c r="CZ192" i="10"/>
  <c r="CY192" i="10"/>
  <c r="CX192" i="10"/>
  <c r="CW192" i="10"/>
  <c r="CV192" i="10"/>
  <c r="CU192" i="10"/>
  <c r="CT192" i="10"/>
  <c r="CS192" i="10"/>
  <c r="CR192" i="10"/>
  <c r="CQ192" i="10"/>
  <c r="CP192" i="10"/>
  <c r="CO192" i="10"/>
  <c r="CB192" i="10"/>
  <c r="BV192" i="10"/>
  <c r="BU192" i="10"/>
  <c r="BR192" i="10"/>
  <c r="BP192" i="10"/>
  <c r="BO192" i="10"/>
  <c r="BN192" i="10"/>
  <c r="BM192" i="10"/>
  <c r="BJ192" i="10"/>
  <c r="DO191" i="10"/>
  <c r="DN191" i="10"/>
  <c r="DJ191" i="10"/>
  <c r="DI191" i="10"/>
  <c r="DH191" i="10"/>
  <c r="DG191" i="10"/>
  <c r="DF191" i="10"/>
  <c r="DE191" i="10"/>
  <c r="DD191" i="10"/>
  <c r="DC191" i="10"/>
  <c r="DB191" i="10"/>
  <c r="DA191" i="10"/>
  <c r="CZ191" i="10"/>
  <c r="CY191" i="10"/>
  <c r="CX191" i="10"/>
  <c r="CW191" i="10"/>
  <c r="CV191" i="10"/>
  <c r="CU191" i="10"/>
  <c r="CT191" i="10"/>
  <c r="CS191" i="10"/>
  <c r="CR191" i="10"/>
  <c r="CQ191" i="10"/>
  <c r="CP191" i="10"/>
  <c r="CO191" i="10"/>
  <c r="CB191" i="10"/>
  <c r="BV191" i="10"/>
  <c r="BU191" i="10"/>
  <c r="BR191" i="10"/>
  <c r="BP191" i="10"/>
  <c r="BO191" i="10"/>
  <c r="BN191" i="10"/>
  <c r="BM191" i="10"/>
  <c r="BJ191" i="10"/>
  <c r="DO190" i="10"/>
  <c r="DN190" i="10"/>
  <c r="DJ190" i="10"/>
  <c r="DI190" i="10"/>
  <c r="DH190" i="10"/>
  <c r="DG190" i="10"/>
  <c r="DF190" i="10"/>
  <c r="DE190" i="10"/>
  <c r="DD190" i="10"/>
  <c r="DC190" i="10"/>
  <c r="DB190" i="10"/>
  <c r="DA190" i="10"/>
  <c r="CZ190" i="10"/>
  <c r="CY190" i="10"/>
  <c r="CX190" i="10"/>
  <c r="CW190" i="10"/>
  <c r="CV190" i="10"/>
  <c r="CU190" i="10"/>
  <c r="CT190" i="10"/>
  <c r="CS190" i="10"/>
  <c r="CR190" i="10"/>
  <c r="CQ190" i="10"/>
  <c r="CP190" i="10"/>
  <c r="CO190" i="10"/>
  <c r="CB190" i="10"/>
  <c r="BV190" i="10"/>
  <c r="BU190" i="10"/>
  <c r="BR190" i="10"/>
  <c r="BP190" i="10"/>
  <c r="BO190" i="10"/>
  <c r="BN190" i="10"/>
  <c r="BM190" i="10"/>
  <c r="BJ190" i="10"/>
  <c r="DO189" i="10"/>
  <c r="DN189" i="10"/>
  <c r="DJ189" i="10"/>
  <c r="DI189" i="10"/>
  <c r="DH189" i="10"/>
  <c r="DG189" i="10"/>
  <c r="DF189" i="10"/>
  <c r="DE189" i="10"/>
  <c r="DD189" i="10"/>
  <c r="DC189" i="10"/>
  <c r="DB189" i="10"/>
  <c r="DA189" i="10"/>
  <c r="CZ189" i="10"/>
  <c r="CY189" i="10"/>
  <c r="CX189" i="10"/>
  <c r="CW189" i="10"/>
  <c r="CV189" i="10"/>
  <c r="CU189" i="10"/>
  <c r="CT189" i="10"/>
  <c r="CS189" i="10"/>
  <c r="CR189" i="10"/>
  <c r="CQ189" i="10"/>
  <c r="CP189" i="10"/>
  <c r="CO189" i="10"/>
  <c r="CB189" i="10"/>
  <c r="BV189" i="10"/>
  <c r="BU189" i="10"/>
  <c r="BR189" i="10"/>
  <c r="BP189" i="10"/>
  <c r="BO189" i="10"/>
  <c r="BN189" i="10"/>
  <c r="BM189" i="10"/>
  <c r="BJ189" i="10"/>
  <c r="DO188" i="10"/>
  <c r="DN188" i="10"/>
  <c r="DJ188" i="10"/>
  <c r="DI188" i="10"/>
  <c r="DH188" i="10"/>
  <c r="DG188" i="10"/>
  <c r="DF188" i="10"/>
  <c r="DE188" i="10"/>
  <c r="DD188" i="10"/>
  <c r="DC188" i="10"/>
  <c r="DB188" i="10"/>
  <c r="DA188" i="10"/>
  <c r="CZ188" i="10"/>
  <c r="CY188" i="10"/>
  <c r="CX188" i="10"/>
  <c r="CW188" i="10"/>
  <c r="CV188" i="10"/>
  <c r="CU188" i="10"/>
  <c r="CT188" i="10"/>
  <c r="CS188" i="10"/>
  <c r="CR188" i="10"/>
  <c r="CQ188" i="10"/>
  <c r="CP188" i="10"/>
  <c r="CO188" i="10"/>
  <c r="CB188" i="10"/>
  <c r="BV188" i="10"/>
  <c r="BU188" i="10"/>
  <c r="BR188" i="10"/>
  <c r="BP188" i="10"/>
  <c r="BO188" i="10"/>
  <c r="BN188" i="10"/>
  <c r="BM188" i="10"/>
  <c r="BJ188" i="10"/>
  <c r="DO187" i="10"/>
  <c r="DN187" i="10"/>
  <c r="DJ187" i="10"/>
  <c r="DI187" i="10"/>
  <c r="DH187" i="10"/>
  <c r="DG187" i="10"/>
  <c r="DF187" i="10"/>
  <c r="DE187" i="10"/>
  <c r="DD187" i="10"/>
  <c r="DC187" i="10"/>
  <c r="DB187" i="10"/>
  <c r="DA187" i="10"/>
  <c r="CZ187" i="10"/>
  <c r="CY187" i="10"/>
  <c r="CX187" i="10"/>
  <c r="CW187" i="10"/>
  <c r="CV187" i="10"/>
  <c r="CU187" i="10"/>
  <c r="CT187" i="10"/>
  <c r="CS187" i="10"/>
  <c r="CR187" i="10"/>
  <c r="CQ187" i="10"/>
  <c r="CP187" i="10"/>
  <c r="CO187" i="10"/>
  <c r="CB187" i="10"/>
  <c r="BV187" i="10"/>
  <c r="BU187" i="10"/>
  <c r="BR187" i="10"/>
  <c r="BP187" i="10"/>
  <c r="BO187" i="10"/>
  <c r="BN187" i="10"/>
  <c r="BM187" i="10"/>
  <c r="BJ187" i="10"/>
  <c r="DO186" i="10"/>
  <c r="DN186" i="10"/>
  <c r="DJ186" i="10"/>
  <c r="DI186" i="10"/>
  <c r="DH186" i="10"/>
  <c r="DG186" i="10"/>
  <c r="DF186" i="10"/>
  <c r="DE186" i="10"/>
  <c r="DD186" i="10"/>
  <c r="DC186" i="10"/>
  <c r="DB186" i="10"/>
  <c r="DA186" i="10"/>
  <c r="CZ186" i="10"/>
  <c r="CY186" i="10"/>
  <c r="CX186" i="10"/>
  <c r="CW186" i="10"/>
  <c r="CV186" i="10"/>
  <c r="CU186" i="10"/>
  <c r="CT186" i="10"/>
  <c r="CS186" i="10"/>
  <c r="CR186" i="10"/>
  <c r="CQ186" i="10"/>
  <c r="CP186" i="10"/>
  <c r="CO186" i="10"/>
  <c r="CB186" i="10"/>
  <c r="BV186" i="10"/>
  <c r="BU186" i="10"/>
  <c r="BR186" i="10"/>
  <c r="BP186" i="10"/>
  <c r="BO186" i="10"/>
  <c r="BN186" i="10"/>
  <c r="BM186" i="10"/>
  <c r="BJ186" i="10"/>
  <c r="DO185" i="10"/>
  <c r="DN185" i="10"/>
  <c r="DJ185" i="10"/>
  <c r="DI185" i="10"/>
  <c r="DH185" i="10"/>
  <c r="DG185" i="10"/>
  <c r="DF185" i="10"/>
  <c r="DE185" i="10"/>
  <c r="DD185" i="10"/>
  <c r="DC185" i="10"/>
  <c r="DB185" i="10"/>
  <c r="DA185" i="10"/>
  <c r="CZ185" i="10"/>
  <c r="CY185" i="10"/>
  <c r="CX185" i="10"/>
  <c r="CW185" i="10"/>
  <c r="CV185" i="10"/>
  <c r="CU185" i="10"/>
  <c r="CT185" i="10"/>
  <c r="CS185" i="10"/>
  <c r="CR185" i="10"/>
  <c r="CQ185" i="10"/>
  <c r="CP185" i="10"/>
  <c r="CO185" i="10"/>
  <c r="CB185" i="10"/>
  <c r="BV185" i="10"/>
  <c r="BU185" i="10"/>
  <c r="BR185" i="10"/>
  <c r="BP185" i="10"/>
  <c r="BO185" i="10"/>
  <c r="BN185" i="10"/>
  <c r="BM185" i="10"/>
  <c r="BJ185" i="10"/>
  <c r="DO184" i="10"/>
  <c r="DN184" i="10"/>
  <c r="DJ184" i="10"/>
  <c r="DI184" i="10"/>
  <c r="DH184" i="10"/>
  <c r="DG184" i="10"/>
  <c r="DF184" i="10"/>
  <c r="DE184" i="10"/>
  <c r="DD184" i="10"/>
  <c r="DC184" i="10"/>
  <c r="DB184" i="10"/>
  <c r="DA184" i="10"/>
  <c r="CZ184" i="10"/>
  <c r="CY184" i="10"/>
  <c r="CX184" i="10"/>
  <c r="CW184" i="10"/>
  <c r="CV184" i="10"/>
  <c r="CU184" i="10"/>
  <c r="CT184" i="10"/>
  <c r="CS184" i="10"/>
  <c r="CR184" i="10"/>
  <c r="CQ184" i="10"/>
  <c r="CP184" i="10"/>
  <c r="CO184" i="10"/>
  <c r="CB184" i="10"/>
  <c r="BV184" i="10"/>
  <c r="BU184" i="10"/>
  <c r="BR184" i="10"/>
  <c r="BP184" i="10"/>
  <c r="BO184" i="10"/>
  <c r="BN184" i="10"/>
  <c r="BM184" i="10"/>
  <c r="BJ184" i="10"/>
  <c r="DO183" i="10"/>
  <c r="DN183" i="10"/>
  <c r="DJ183" i="10"/>
  <c r="DI183" i="10"/>
  <c r="DH183" i="10"/>
  <c r="DG183" i="10"/>
  <c r="DF183" i="10"/>
  <c r="DE183" i="10"/>
  <c r="DD183" i="10"/>
  <c r="DC183" i="10"/>
  <c r="DB183" i="10"/>
  <c r="DA183" i="10"/>
  <c r="CZ183" i="10"/>
  <c r="CY183" i="10"/>
  <c r="CX183" i="10"/>
  <c r="CW183" i="10"/>
  <c r="CV183" i="10"/>
  <c r="CU183" i="10"/>
  <c r="CT183" i="10"/>
  <c r="CS183" i="10"/>
  <c r="CR183" i="10"/>
  <c r="CQ183" i="10"/>
  <c r="CP183" i="10"/>
  <c r="CO183" i="10"/>
  <c r="CB183" i="10"/>
  <c r="BV183" i="10"/>
  <c r="BU183" i="10"/>
  <c r="BR183" i="10"/>
  <c r="BP183" i="10"/>
  <c r="BO183" i="10"/>
  <c r="BN183" i="10"/>
  <c r="BM183" i="10"/>
  <c r="BJ183" i="10"/>
  <c r="DO182" i="10"/>
  <c r="DN182" i="10"/>
  <c r="DJ182" i="10"/>
  <c r="DI182" i="10"/>
  <c r="DH182" i="10"/>
  <c r="DG182" i="10"/>
  <c r="DF182" i="10"/>
  <c r="DE182" i="10"/>
  <c r="DD182" i="10"/>
  <c r="DC182" i="10"/>
  <c r="DB182" i="10"/>
  <c r="DA182" i="10"/>
  <c r="CZ182" i="10"/>
  <c r="CY182" i="10"/>
  <c r="CX182" i="10"/>
  <c r="CW182" i="10"/>
  <c r="CV182" i="10"/>
  <c r="CU182" i="10"/>
  <c r="CT182" i="10"/>
  <c r="CS182" i="10"/>
  <c r="CR182" i="10"/>
  <c r="CQ182" i="10"/>
  <c r="CP182" i="10"/>
  <c r="CO182" i="10"/>
  <c r="CB182" i="10"/>
  <c r="BV182" i="10"/>
  <c r="BU182" i="10"/>
  <c r="BR182" i="10"/>
  <c r="BP182" i="10"/>
  <c r="BO182" i="10"/>
  <c r="BN182" i="10"/>
  <c r="BM182" i="10"/>
  <c r="BJ182" i="10"/>
  <c r="DO181" i="10"/>
  <c r="DN181" i="10"/>
  <c r="DJ181" i="10"/>
  <c r="DI181" i="10"/>
  <c r="DH181" i="10"/>
  <c r="DG181" i="10"/>
  <c r="DF181" i="10"/>
  <c r="DE181" i="10"/>
  <c r="DD181" i="10"/>
  <c r="DC181" i="10"/>
  <c r="DB181" i="10"/>
  <c r="DA181" i="10"/>
  <c r="CZ181" i="10"/>
  <c r="CY181" i="10"/>
  <c r="CX181" i="10"/>
  <c r="CW181" i="10"/>
  <c r="CV181" i="10"/>
  <c r="CU181" i="10"/>
  <c r="CT181" i="10"/>
  <c r="CS181" i="10"/>
  <c r="CR181" i="10"/>
  <c r="CQ181" i="10"/>
  <c r="CP181" i="10"/>
  <c r="CO181" i="10"/>
  <c r="CB181" i="10"/>
  <c r="BV181" i="10"/>
  <c r="BU181" i="10"/>
  <c r="BR181" i="10"/>
  <c r="BP181" i="10"/>
  <c r="BO181" i="10"/>
  <c r="BN181" i="10"/>
  <c r="BM181" i="10"/>
  <c r="BJ181" i="10"/>
  <c r="DO180" i="10"/>
  <c r="DN180" i="10"/>
  <c r="DJ180" i="10"/>
  <c r="DI180" i="10"/>
  <c r="DH180" i="10"/>
  <c r="DG180" i="10"/>
  <c r="DF180" i="10"/>
  <c r="DE180" i="10"/>
  <c r="DD180" i="10"/>
  <c r="DC180" i="10"/>
  <c r="DB180" i="10"/>
  <c r="DA180" i="10"/>
  <c r="CZ180" i="10"/>
  <c r="CY180" i="10"/>
  <c r="CX180" i="10"/>
  <c r="CW180" i="10"/>
  <c r="CV180" i="10"/>
  <c r="CU180" i="10"/>
  <c r="CT180" i="10"/>
  <c r="CS180" i="10"/>
  <c r="CR180" i="10"/>
  <c r="CQ180" i="10"/>
  <c r="CP180" i="10"/>
  <c r="CO180" i="10"/>
  <c r="CB180" i="10"/>
  <c r="BV180" i="10"/>
  <c r="BU180" i="10"/>
  <c r="BR180" i="10"/>
  <c r="BP180" i="10"/>
  <c r="BO180" i="10"/>
  <c r="BN180" i="10"/>
  <c r="BM180" i="10"/>
  <c r="BJ180" i="10"/>
  <c r="DO179" i="10"/>
  <c r="DN179" i="10"/>
  <c r="DJ179" i="10"/>
  <c r="DI179" i="10"/>
  <c r="DH179" i="10"/>
  <c r="DG179" i="10"/>
  <c r="DF179" i="10"/>
  <c r="DE179" i="10"/>
  <c r="DD179" i="10"/>
  <c r="DC179" i="10"/>
  <c r="DB179" i="10"/>
  <c r="DA179" i="10"/>
  <c r="CZ179" i="10"/>
  <c r="CY179" i="10"/>
  <c r="CX179" i="10"/>
  <c r="CW179" i="10"/>
  <c r="CV179" i="10"/>
  <c r="CU179" i="10"/>
  <c r="CT179" i="10"/>
  <c r="CS179" i="10"/>
  <c r="CR179" i="10"/>
  <c r="CQ179" i="10"/>
  <c r="CP179" i="10"/>
  <c r="CO179" i="10"/>
  <c r="CB179" i="10"/>
  <c r="BV179" i="10"/>
  <c r="BU179" i="10"/>
  <c r="BR179" i="10"/>
  <c r="BP179" i="10"/>
  <c r="BO179" i="10"/>
  <c r="BN179" i="10"/>
  <c r="BM179" i="10"/>
  <c r="BJ179" i="10"/>
  <c r="DO178" i="10"/>
  <c r="DN178" i="10"/>
  <c r="DJ178" i="10"/>
  <c r="DI178" i="10"/>
  <c r="DH178" i="10"/>
  <c r="DG178" i="10"/>
  <c r="DF178" i="10"/>
  <c r="DE178" i="10"/>
  <c r="DD178" i="10"/>
  <c r="DC178" i="10"/>
  <c r="DB178" i="10"/>
  <c r="DA178" i="10"/>
  <c r="CZ178" i="10"/>
  <c r="CY178" i="10"/>
  <c r="CX178" i="10"/>
  <c r="CW178" i="10"/>
  <c r="CV178" i="10"/>
  <c r="CU178" i="10"/>
  <c r="CT178" i="10"/>
  <c r="CS178" i="10"/>
  <c r="CR178" i="10"/>
  <c r="CQ178" i="10"/>
  <c r="CP178" i="10"/>
  <c r="CO178" i="10"/>
  <c r="CB178" i="10"/>
  <c r="BV178" i="10"/>
  <c r="BU178" i="10"/>
  <c r="BR178" i="10"/>
  <c r="BP178" i="10"/>
  <c r="BO178" i="10"/>
  <c r="BN178" i="10"/>
  <c r="BM178" i="10"/>
  <c r="BJ178" i="10"/>
  <c r="DO177" i="10"/>
  <c r="DN177" i="10"/>
  <c r="DJ177" i="10"/>
  <c r="DI177" i="10"/>
  <c r="DH177" i="10"/>
  <c r="DG177" i="10"/>
  <c r="DF177" i="10"/>
  <c r="DE177" i="10"/>
  <c r="DD177" i="10"/>
  <c r="DC177" i="10"/>
  <c r="DB177" i="10"/>
  <c r="DA177" i="10"/>
  <c r="CZ177" i="10"/>
  <c r="CY177" i="10"/>
  <c r="CX177" i="10"/>
  <c r="CW177" i="10"/>
  <c r="CV177" i="10"/>
  <c r="CU177" i="10"/>
  <c r="CT177" i="10"/>
  <c r="CS177" i="10"/>
  <c r="CR177" i="10"/>
  <c r="CQ177" i="10"/>
  <c r="CP177" i="10"/>
  <c r="CO177" i="10"/>
  <c r="CB177" i="10"/>
  <c r="BV177" i="10"/>
  <c r="BU177" i="10"/>
  <c r="BR177" i="10"/>
  <c r="BP177" i="10"/>
  <c r="BO177" i="10"/>
  <c r="BN177" i="10"/>
  <c r="BM177" i="10"/>
  <c r="BJ177" i="10"/>
  <c r="DO176" i="10"/>
  <c r="DN176" i="10"/>
  <c r="DJ176" i="10"/>
  <c r="DI176" i="10"/>
  <c r="DH176" i="10"/>
  <c r="DG176" i="10"/>
  <c r="DF176" i="10"/>
  <c r="DE176" i="10"/>
  <c r="DD176" i="10"/>
  <c r="DC176" i="10"/>
  <c r="DB176" i="10"/>
  <c r="DA176" i="10"/>
  <c r="CZ176" i="10"/>
  <c r="CY176" i="10"/>
  <c r="CX176" i="10"/>
  <c r="CW176" i="10"/>
  <c r="CV176" i="10"/>
  <c r="CU176" i="10"/>
  <c r="CT176" i="10"/>
  <c r="CS176" i="10"/>
  <c r="CR176" i="10"/>
  <c r="CQ176" i="10"/>
  <c r="CP176" i="10"/>
  <c r="CO176" i="10"/>
  <c r="CB176" i="10"/>
  <c r="BV176" i="10"/>
  <c r="BU176" i="10"/>
  <c r="BR176" i="10"/>
  <c r="BP176" i="10"/>
  <c r="BO176" i="10"/>
  <c r="BN176" i="10"/>
  <c r="BM176" i="10"/>
  <c r="BJ176" i="10"/>
  <c r="DO175" i="10"/>
  <c r="DN175" i="10"/>
  <c r="DJ175" i="10"/>
  <c r="DI175" i="10"/>
  <c r="DH175" i="10"/>
  <c r="DG175" i="10"/>
  <c r="DF175" i="10"/>
  <c r="DE175" i="10"/>
  <c r="DD175" i="10"/>
  <c r="DC175" i="10"/>
  <c r="DB175" i="10"/>
  <c r="DA175" i="10"/>
  <c r="CZ175" i="10"/>
  <c r="CY175" i="10"/>
  <c r="CX175" i="10"/>
  <c r="CW175" i="10"/>
  <c r="CV175" i="10"/>
  <c r="CU175" i="10"/>
  <c r="CT175" i="10"/>
  <c r="CS175" i="10"/>
  <c r="CR175" i="10"/>
  <c r="CQ175" i="10"/>
  <c r="CP175" i="10"/>
  <c r="CO175" i="10"/>
  <c r="CB175" i="10"/>
  <c r="BV175" i="10"/>
  <c r="BU175" i="10"/>
  <c r="BR175" i="10"/>
  <c r="BP175" i="10"/>
  <c r="BO175" i="10"/>
  <c r="BN175" i="10"/>
  <c r="BM175" i="10"/>
  <c r="BJ175" i="10"/>
  <c r="DO174" i="10"/>
  <c r="DN174" i="10"/>
  <c r="DJ174" i="10"/>
  <c r="DI174" i="10"/>
  <c r="DH174" i="10"/>
  <c r="DG174" i="10"/>
  <c r="DF174" i="10"/>
  <c r="DE174" i="10"/>
  <c r="DD174" i="10"/>
  <c r="DC174" i="10"/>
  <c r="DB174" i="10"/>
  <c r="DA174" i="10"/>
  <c r="CZ174" i="10"/>
  <c r="CY174" i="10"/>
  <c r="CX174" i="10"/>
  <c r="CW174" i="10"/>
  <c r="CV174" i="10"/>
  <c r="CU174" i="10"/>
  <c r="CT174" i="10"/>
  <c r="CS174" i="10"/>
  <c r="CR174" i="10"/>
  <c r="CQ174" i="10"/>
  <c r="CP174" i="10"/>
  <c r="CO174" i="10"/>
  <c r="CB174" i="10"/>
  <c r="BV174" i="10"/>
  <c r="BU174" i="10"/>
  <c r="BR174" i="10"/>
  <c r="BP174" i="10"/>
  <c r="BO174" i="10"/>
  <c r="BN174" i="10"/>
  <c r="BM174" i="10"/>
  <c r="BJ174" i="10"/>
  <c r="DO173" i="10"/>
  <c r="DN173" i="10"/>
  <c r="DJ173" i="10"/>
  <c r="DI173" i="10"/>
  <c r="DH173" i="10"/>
  <c r="DG173" i="10"/>
  <c r="DF173" i="10"/>
  <c r="DE173" i="10"/>
  <c r="DD173" i="10"/>
  <c r="DC173" i="10"/>
  <c r="DB173" i="10"/>
  <c r="DA173" i="10"/>
  <c r="CZ173" i="10"/>
  <c r="CY173" i="10"/>
  <c r="CX173" i="10"/>
  <c r="CW173" i="10"/>
  <c r="CV173" i="10"/>
  <c r="CU173" i="10"/>
  <c r="CT173" i="10"/>
  <c r="CS173" i="10"/>
  <c r="CR173" i="10"/>
  <c r="CQ173" i="10"/>
  <c r="CP173" i="10"/>
  <c r="CO173" i="10"/>
  <c r="CB173" i="10"/>
  <c r="BV173" i="10"/>
  <c r="BU173" i="10"/>
  <c r="BR173" i="10"/>
  <c r="BP173" i="10"/>
  <c r="BO173" i="10"/>
  <c r="BN173" i="10"/>
  <c r="BM173" i="10"/>
  <c r="BJ173" i="10"/>
  <c r="DO172" i="10"/>
  <c r="DN172" i="10"/>
  <c r="DJ172" i="10"/>
  <c r="DI172" i="10"/>
  <c r="DH172" i="10"/>
  <c r="DG172" i="10"/>
  <c r="DF172" i="10"/>
  <c r="DE172" i="10"/>
  <c r="DD172" i="10"/>
  <c r="DC172" i="10"/>
  <c r="DB172" i="10"/>
  <c r="DA172" i="10"/>
  <c r="CZ172" i="10"/>
  <c r="CY172" i="10"/>
  <c r="CX172" i="10"/>
  <c r="CW172" i="10"/>
  <c r="CV172" i="10"/>
  <c r="CU172" i="10"/>
  <c r="CT172" i="10"/>
  <c r="CS172" i="10"/>
  <c r="CR172" i="10"/>
  <c r="CQ172" i="10"/>
  <c r="CP172" i="10"/>
  <c r="CO172" i="10"/>
  <c r="CB172" i="10"/>
  <c r="BV172" i="10"/>
  <c r="BU172" i="10"/>
  <c r="BR172" i="10"/>
  <c r="BP172" i="10"/>
  <c r="BO172" i="10"/>
  <c r="BN172" i="10"/>
  <c r="BM172" i="10"/>
  <c r="BJ172" i="10"/>
  <c r="DO171" i="10"/>
  <c r="DN171" i="10"/>
  <c r="DJ171" i="10"/>
  <c r="DI171" i="10"/>
  <c r="DH171" i="10"/>
  <c r="DG171" i="10"/>
  <c r="DF171" i="10"/>
  <c r="DE171" i="10"/>
  <c r="DD171" i="10"/>
  <c r="DC171" i="10"/>
  <c r="DB171" i="10"/>
  <c r="DA171" i="10"/>
  <c r="CZ171" i="10"/>
  <c r="CY171" i="10"/>
  <c r="CX171" i="10"/>
  <c r="CW171" i="10"/>
  <c r="CV171" i="10"/>
  <c r="CU171" i="10"/>
  <c r="CT171" i="10"/>
  <c r="CS171" i="10"/>
  <c r="CR171" i="10"/>
  <c r="CQ171" i="10"/>
  <c r="CP171" i="10"/>
  <c r="CO171" i="10"/>
  <c r="CB171" i="10"/>
  <c r="BV171" i="10"/>
  <c r="BU171" i="10"/>
  <c r="BR171" i="10"/>
  <c r="BP171" i="10"/>
  <c r="BO171" i="10"/>
  <c r="BN171" i="10"/>
  <c r="BM171" i="10"/>
  <c r="BJ171" i="10"/>
  <c r="DO170" i="10"/>
  <c r="DN170" i="10"/>
  <c r="DJ170" i="10"/>
  <c r="DI170" i="10"/>
  <c r="DH170" i="10"/>
  <c r="DG170" i="10"/>
  <c r="DF170" i="10"/>
  <c r="DE170" i="10"/>
  <c r="DD170" i="10"/>
  <c r="DC170" i="10"/>
  <c r="DB170" i="10"/>
  <c r="DA170" i="10"/>
  <c r="CZ170" i="10"/>
  <c r="CY170" i="10"/>
  <c r="CX170" i="10"/>
  <c r="CW170" i="10"/>
  <c r="CV170" i="10"/>
  <c r="CU170" i="10"/>
  <c r="CT170" i="10"/>
  <c r="CS170" i="10"/>
  <c r="CR170" i="10"/>
  <c r="CQ170" i="10"/>
  <c r="CP170" i="10"/>
  <c r="CO170" i="10"/>
  <c r="CB170" i="10"/>
  <c r="BV170" i="10"/>
  <c r="BU170" i="10"/>
  <c r="BR170" i="10"/>
  <c r="BP170" i="10"/>
  <c r="BO170" i="10"/>
  <c r="BN170" i="10"/>
  <c r="BM170" i="10"/>
  <c r="BJ170" i="10"/>
  <c r="DO169" i="10"/>
  <c r="DN169" i="10"/>
  <c r="DJ169" i="10"/>
  <c r="DI169" i="10"/>
  <c r="DH169" i="10"/>
  <c r="DG169" i="10"/>
  <c r="DF169" i="10"/>
  <c r="DE169" i="10"/>
  <c r="DD169" i="10"/>
  <c r="DC169" i="10"/>
  <c r="DB169" i="10"/>
  <c r="DA169" i="10"/>
  <c r="CZ169" i="10"/>
  <c r="CY169" i="10"/>
  <c r="CX169" i="10"/>
  <c r="CW169" i="10"/>
  <c r="CV169" i="10"/>
  <c r="CU169" i="10"/>
  <c r="CT169" i="10"/>
  <c r="CS169" i="10"/>
  <c r="CR169" i="10"/>
  <c r="CQ169" i="10"/>
  <c r="CP169" i="10"/>
  <c r="CO169" i="10"/>
  <c r="CB169" i="10"/>
  <c r="BV169" i="10"/>
  <c r="BU169" i="10"/>
  <c r="BR169" i="10"/>
  <c r="BP169" i="10"/>
  <c r="BO169" i="10"/>
  <c r="BN169" i="10"/>
  <c r="BM169" i="10"/>
  <c r="BJ169" i="10"/>
  <c r="DO168" i="10"/>
  <c r="DN168" i="10"/>
  <c r="DJ168" i="10"/>
  <c r="DI168" i="10"/>
  <c r="DH168" i="10"/>
  <c r="DG168" i="10"/>
  <c r="DF168" i="10"/>
  <c r="DE168" i="10"/>
  <c r="DD168" i="10"/>
  <c r="DC168" i="10"/>
  <c r="DB168" i="10"/>
  <c r="DA168" i="10"/>
  <c r="CZ168" i="10"/>
  <c r="CY168" i="10"/>
  <c r="CX168" i="10"/>
  <c r="CW168" i="10"/>
  <c r="CV168" i="10"/>
  <c r="CU168" i="10"/>
  <c r="CT168" i="10"/>
  <c r="CS168" i="10"/>
  <c r="CR168" i="10"/>
  <c r="CQ168" i="10"/>
  <c r="CP168" i="10"/>
  <c r="CO168" i="10"/>
  <c r="CB168" i="10"/>
  <c r="BV168" i="10"/>
  <c r="BU168" i="10"/>
  <c r="BR168" i="10"/>
  <c r="BP168" i="10"/>
  <c r="BO168" i="10"/>
  <c r="BN168" i="10"/>
  <c r="BM168" i="10"/>
  <c r="BJ168" i="10"/>
  <c r="DO167" i="10"/>
  <c r="DN167" i="10"/>
  <c r="DJ167" i="10"/>
  <c r="DI167" i="10"/>
  <c r="DH167" i="10"/>
  <c r="DG167" i="10"/>
  <c r="DF167" i="10"/>
  <c r="DE167" i="10"/>
  <c r="DD167" i="10"/>
  <c r="DC167" i="10"/>
  <c r="DB167" i="10"/>
  <c r="DA167" i="10"/>
  <c r="CZ167" i="10"/>
  <c r="CY167" i="10"/>
  <c r="CX167" i="10"/>
  <c r="CW167" i="10"/>
  <c r="CV167" i="10"/>
  <c r="CU167" i="10"/>
  <c r="CT167" i="10"/>
  <c r="CS167" i="10"/>
  <c r="CR167" i="10"/>
  <c r="CQ167" i="10"/>
  <c r="CP167" i="10"/>
  <c r="CO167" i="10"/>
  <c r="CB167" i="10"/>
  <c r="BV167" i="10"/>
  <c r="BU167" i="10"/>
  <c r="BR167" i="10"/>
  <c r="BP167" i="10"/>
  <c r="BO167" i="10"/>
  <c r="BN167" i="10"/>
  <c r="BM167" i="10"/>
  <c r="BJ167" i="10"/>
  <c r="DO166" i="10"/>
  <c r="DN166" i="10"/>
  <c r="DJ166" i="10"/>
  <c r="DI166" i="10"/>
  <c r="DH166" i="10"/>
  <c r="DG166" i="10"/>
  <c r="DF166" i="10"/>
  <c r="DE166" i="10"/>
  <c r="DD166" i="10"/>
  <c r="DC166" i="10"/>
  <c r="DB166" i="10"/>
  <c r="DA166" i="10"/>
  <c r="CZ166" i="10"/>
  <c r="CY166" i="10"/>
  <c r="CX166" i="10"/>
  <c r="CW166" i="10"/>
  <c r="CV166" i="10"/>
  <c r="CU166" i="10"/>
  <c r="CT166" i="10"/>
  <c r="CS166" i="10"/>
  <c r="CR166" i="10"/>
  <c r="CQ166" i="10"/>
  <c r="CP166" i="10"/>
  <c r="CO166" i="10"/>
  <c r="CB166" i="10"/>
  <c r="BV166" i="10"/>
  <c r="BU166" i="10"/>
  <c r="BR166" i="10"/>
  <c r="BP166" i="10"/>
  <c r="BO166" i="10"/>
  <c r="BN166" i="10"/>
  <c r="BM166" i="10"/>
  <c r="BJ166" i="10"/>
  <c r="DO165" i="10"/>
  <c r="DN165" i="10"/>
  <c r="DJ165" i="10"/>
  <c r="DI165" i="10"/>
  <c r="DH165" i="10"/>
  <c r="DG165" i="10"/>
  <c r="DF165" i="10"/>
  <c r="DE165" i="10"/>
  <c r="DD165" i="10"/>
  <c r="DC165" i="10"/>
  <c r="DB165" i="10"/>
  <c r="DA165" i="10"/>
  <c r="CZ165" i="10"/>
  <c r="CY165" i="10"/>
  <c r="CX165" i="10"/>
  <c r="CW165" i="10"/>
  <c r="CV165" i="10"/>
  <c r="CU165" i="10"/>
  <c r="CT165" i="10"/>
  <c r="CS165" i="10"/>
  <c r="CR165" i="10"/>
  <c r="CQ165" i="10"/>
  <c r="CP165" i="10"/>
  <c r="CO165" i="10"/>
  <c r="CB165" i="10"/>
  <c r="BV165" i="10"/>
  <c r="BU165" i="10"/>
  <c r="BR165" i="10"/>
  <c r="BP165" i="10"/>
  <c r="BO165" i="10"/>
  <c r="BN165" i="10"/>
  <c r="BM165" i="10"/>
  <c r="BJ165" i="10"/>
  <c r="DO164" i="10"/>
  <c r="DN164" i="10"/>
  <c r="DJ164" i="10"/>
  <c r="DI164" i="10"/>
  <c r="DH164" i="10"/>
  <c r="DG164" i="10"/>
  <c r="DF164" i="10"/>
  <c r="DE164" i="10"/>
  <c r="DD164" i="10"/>
  <c r="DC164" i="10"/>
  <c r="DB164" i="10"/>
  <c r="DA164" i="10"/>
  <c r="CZ164" i="10"/>
  <c r="CY164" i="10"/>
  <c r="CX164" i="10"/>
  <c r="CW164" i="10"/>
  <c r="CV164" i="10"/>
  <c r="CU164" i="10"/>
  <c r="CT164" i="10"/>
  <c r="CS164" i="10"/>
  <c r="CR164" i="10"/>
  <c r="CQ164" i="10"/>
  <c r="CP164" i="10"/>
  <c r="CO164" i="10"/>
  <c r="CB164" i="10"/>
  <c r="BV164" i="10"/>
  <c r="BU164" i="10"/>
  <c r="BR164" i="10"/>
  <c r="BP164" i="10"/>
  <c r="BO164" i="10"/>
  <c r="BN164" i="10"/>
  <c r="BM164" i="10"/>
  <c r="BJ164" i="10"/>
  <c r="DO163" i="10"/>
  <c r="DN163" i="10"/>
  <c r="DJ163" i="10"/>
  <c r="DI163" i="10"/>
  <c r="DH163" i="10"/>
  <c r="DG163" i="10"/>
  <c r="DF163" i="10"/>
  <c r="DE163" i="10"/>
  <c r="DD163" i="10"/>
  <c r="DC163" i="10"/>
  <c r="DB163" i="10"/>
  <c r="DA163" i="10"/>
  <c r="CZ163" i="10"/>
  <c r="CY163" i="10"/>
  <c r="CX163" i="10"/>
  <c r="CW163" i="10"/>
  <c r="CV163" i="10"/>
  <c r="CU163" i="10"/>
  <c r="CT163" i="10"/>
  <c r="CS163" i="10"/>
  <c r="CR163" i="10"/>
  <c r="CQ163" i="10"/>
  <c r="CP163" i="10"/>
  <c r="CO163" i="10"/>
  <c r="CB163" i="10"/>
  <c r="BV163" i="10"/>
  <c r="BU163" i="10"/>
  <c r="BR163" i="10"/>
  <c r="BP163" i="10"/>
  <c r="BO163" i="10"/>
  <c r="BN163" i="10"/>
  <c r="BM163" i="10"/>
  <c r="BJ163" i="10"/>
  <c r="DO162" i="10"/>
  <c r="DN162" i="10"/>
  <c r="DJ162" i="10"/>
  <c r="DI162" i="10"/>
  <c r="DH162" i="10"/>
  <c r="DG162" i="10"/>
  <c r="DF162" i="10"/>
  <c r="DE162" i="10"/>
  <c r="DD162" i="10"/>
  <c r="DC162" i="10"/>
  <c r="DB162" i="10"/>
  <c r="DA162" i="10"/>
  <c r="CZ162" i="10"/>
  <c r="CY162" i="10"/>
  <c r="CX162" i="10"/>
  <c r="CW162" i="10"/>
  <c r="CV162" i="10"/>
  <c r="CU162" i="10"/>
  <c r="CT162" i="10"/>
  <c r="CS162" i="10"/>
  <c r="CR162" i="10"/>
  <c r="CQ162" i="10"/>
  <c r="CP162" i="10"/>
  <c r="CO162" i="10"/>
  <c r="CB162" i="10"/>
  <c r="BV162" i="10"/>
  <c r="BU162" i="10"/>
  <c r="BR162" i="10"/>
  <c r="BP162" i="10"/>
  <c r="BO162" i="10"/>
  <c r="BN162" i="10"/>
  <c r="BM162" i="10"/>
  <c r="BJ162" i="10"/>
  <c r="DO161" i="10"/>
  <c r="DN161" i="10"/>
  <c r="DJ161" i="10"/>
  <c r="DI161" i="10"/>
  <c r="DH161" i="10"/>
  <c r="DG161" i="10"/>
  <c r="DF161" i="10"/>
  <c r="DE161" i="10"/>
  <c r="DD161" i="10"/>
  <c r="DC161" i="10"/>
  <c r="DB161" i="10"/>
  <c r="DA161" i="10"/>
  <c r="CZ161" i="10"/>
  <c r="CY161" i="10"/>
  <c r="CX161" i="10"/>
  <c r="CW161" i="10"/>
  <c r="CV161" i="10"/>
  <c r="CU161" i="10"/>
  <c r="CT161" i="10"/>
  <c r="CS161" i="10"/>
  <c r="CR161" i="10"/>
  <c r="CQ161" i="10"/>
  <c r="CP161" i="10"/>
  <c r="CO161" i="10"/>
  <c r="CB161" i="10"/>
  <c r="BV161" i="10"/>
  <c r="BU161" i="10"/>
  <c r="BR161" i="10"/>
  <c r="BP161" i="10"/>
  <c r="BO161" i="10"/>
  <c r="BN161" i="10"/>
  <c r="BM161" i="10"/>
  <c r="BJ161" i="10"/>
  <c r="DO160" i="10"/>
  <c r="DN160" i="10"/>
  <c r="DJ160" i="10"/>
  <c r="DI160" i="10"/>
  <c r="DH160" i="10"/>
  <c r="DG160" i="10"/>
  <c r="DF160" i="10"/>
  <c r="DE160" i="10"/>
  <c r="DD160" i="10"/>
  <c r="DC160" i="10"/>
  <c r="DB160" i="10"/>
  <c r="DA160" i="10"/>
  <c r="CZ160" i="10"/>
  <c r="CY160" i="10"/>
  <c r="CX160" i="10"/>
  <c r="CW160" i="10"/>
  <c r="CV160" i="10"/>
  <c r="CU160" i="10"/>
  <c r="CT160" i="10"/>
  <c r="CS160" i="10"/>
  <c r="CR160" i="10"/>
  <c r="CQ160" i="10"/>
  <c r="CP160" i="10"/>
  <c r="CO160" i="10"/>
  <c r="CB160" i="10"/>
  <c r="BV160" i="10"/>
  <c r="BU160" i="10"/>
  <c r="BR160" i="10"/>
  <c r="BP160" i="10"/>
  <c r="BO160" i="10"/>
  <c r="BN160" i="10"/>
  <c r="BM160" i="10"/>
  <c r="BJ160" i="10"/>
  <c r="DO159" i="10"/>
  <c r="DN159" i="10"/>
  <c r="DJ159" i="10"/>
  <c r="DI159" i="10"/>
  <c r="DH159" i="10"/>
  <c r="DG159" i="10"/>
  <c r="DF159" i="10"/>
  <c r="DE159" i="10"/>
  <c r="DD159" i="10"/>
  <c r="DC159" i="10"/>
  <c r="DB159" i="10"/>
  <c r="DA159" i="10"/>
  <c r="CZ159" i="10"/>
  <c r="CY159" i="10"/>
  <c r="CX159" i="10"/>
  <c r="CW159" i="10"/>
  <c r="CV159" i="10"/>
  <c r="CU159" i="10"/>
  <c r="CT159" i="10"/>
  <c r="CS159" i="10"/>
  <c r="CR159" i="10"/>
  <c r="CQ159" i="10"/>
  <c r="CP159" i="10"/>
  <c r="CO159" i="10"/>
  <c r="CB159" i="10"/>
  <c r="BV159" i="10"/>
  <c r="BU159" i="10"/>
  <c r="BR159" i="10"/>
  <c r="BP159" i="10"/>
  <c r="BO159" i="10"/>
  <c r="BN159" i="10"/>
  <c r="BM159" i="10"/>
  <c r="BJ159" i="10"/>
  <c r="DO158" i="10"/>
  <c r="DN158" i="10"/>
  <c r="DJ158" i="10"/>
  <c r="DI158" i="10"/>
  <c r="DH158" i="10"/>
  <c r="DG158" i="10"/>
  <c r="DF158" i="10"/>
  <c r="DE158" i="10"/>
  <c r="DD158" i="10"/>
  <c r="DC158" i="10"/>
  <c r="DB158" i="10"/>
  <c r="DA158" i="10"/>
  <c r="CZ158" i="10"/>
  <c r="CY158" i="10"/>
  <c r="CX158" i="10"/>
  <c r="CW158" i="10"/>
  <c r="CV158" i="10"/>
  <c r="CU158" i="10"/>
  <c r="CT158" i="10"/>
  <c r="CS158" i="10"/>
  <c r="CR158" i="10"/>
  <c r="CQ158" i="10"/>
  <c r="CP158" i="10"/>
  <c r="CO158" i="10"/>
  <c r="CB158" i="10"/>
  <c r="BV158" i="10"/>
  <c r="BU158" i="10"/>
  <c r="BR158" i="10"/>
  <c r="BP158" i="10"/>
  <c r="BO158" i="10"/>
  <c r="BN158" i="10"/>
  <c r="BM158" i="10"/>
  <c r="BJ158" i="10"/>
  <c r="DO157" i="10"/>
  <c r="DN157" i="10"/>
  <c r="DJ157" i="10"/>
  <c r="DI157" i="10"/>
  <c r="DH157" i="10"/>
  <c r="DG157" i="10"/>
  <c r="DF157" i="10"/>
  <c r="DE157" i="10"/>
  <c r="DD157" i="10"/>
  <c r="DC157" i="10"/>
  <c r="DB157" i="10"/>
  <c r="DA157" i="10"/>
  <c r="CZ157" i="10"/>
  <c r="CY157" i="10"/>
  <c r="CX157" i="10"/>
  <c r="CW157" i="10"/>
  <c r="CV157" i="10"/>
  <c r="CU157" i="10"/>
  <c r="CT157" i="10"/>
  <c r="CS157" i="10"/>
  <c r="CR157" i="10"/>
  <c r="CQ157" i="10"/>
  <c r="CP157" i="10"/>
  <c r="CO157" i="10"/>
  <c r="CB157" i="10"/>
  <c r="BV157" i="10"/>
  <c r="BU157" i="10"/>
  <c r="BR157" i="10"/>
  <c r="BP157" i="10"/>
  <c r="BO157" i="10"/>
  <c r="BN157" i="10"/>
  <c r="BM157" i="10"/>
  <c r="BJ157" i="10"/>
  <c r="DO156" i="10"/>
  <c r="DN156" i="10"/>
  <c r="DJ156" i="10"/>
  <c r="DI156" i="10"/>
  <c r="DH156" i="10"/>
  <c r="DG156" i="10"/>
  <c r="DF156" i="10"/>
  <c r="DE156" i="10"/>
  <c r="DD156" i="10"/>
  <c r="DC156" i="10"/>
  <c r="DB156" i="10"/>
  <c r="DA156" i="10"/>
  <c r="CZ156" i="10"/>
  <c r="CY156" i="10"/>
  <c r="CX156" i="10"/>
  <c r="CW156" i="10"/>
  <c r="CV156" i="10"/>
  <c r="CU156" i="10"/>
  <c r="CT156" i="10"/>
  <c r="CS156" i="10"/>
  <c r="CR156" i="10"/>
  <c r="CQ156" i="10"/>
  <c r="CP156" i="10"/>
  <c r="CO156" i="10"/>
  <c r="CB156" i="10"/>
  <c r="BV156" i="10"/>
  <c r="BU156" i="10"/>
  <c r="BR156" i="10"/>
  <c r="BP156" i="10"/>
  <c r="BO156" i="10"/>
  <c r="BN156" i="10"/>
  <c r="BM156" i="10"/>
  <c r="BJ156" i="10"/>
  <c r="DO155" i="10"/>
  <c r="DN155" i="10"/>
  <c r="DJ155" i="10"/>
  <c r="DI155" i="10"/>
  <c r="DH155" i="10"/>
  <c r="DG155" i="10"/>
  <c r="DF155" i="10"/>
  <c r="DE155" i="10"/>
  <c r="DD155" i="10"/>
  <c r="DC155" i="10"/>
  <c r="DB155" i="10"/>
  <c r="DA155" i="10"/>
  <c r="CZ155" i="10"/>
  <c r="CY155" i="10"/>
  <c r="CX155" i="10"/>
  <c r="CW155" i="10"/>
  <c r="CV155" i="10"/>
  <c r="CU155" i="10"/>
  <c r="CT155" i="10"/>
  <c r="CS155" i="10"/>
  <c r="CR155" i="10"/>
  <c r="CQ155" i="10"/>
  <c r="CP155" i="10"/>
  <c r="CO155" i="10"/>
  <c r="CB155" i="10"/>
  <c r="BV155" i="10"/>
  <c r="BU155" i="10"/>
  <c r="BR155" i="10"/>
  <c r="BP155" i="10"/>
  <c r="BO155" i="10"/>
  <c r="BN155" i="10"/>
  <c r="BM155" i="10"/>
  <c r="BJ155" i="10"/>
  <c r="DO154" i="10"/>
  <c r="DN154" i="10"/>
  <c r="DJ154" i="10"/>
  <c r="DI154" i="10"/>
  <c r="DH154" i="10"/>
  <c r="DG154" i="10"/>
  <c r="DF154" i="10"/>
  <c r="DE154" i="10"/>
  <c r="DD154" i="10"/>
  <c r="DC154" i="10"/>
  <c r="DB154" i="10"/>
  <c r="DA154" i="10"/>
  <c r="CZ154" i="10"/>
  <c r="CY154" i="10"/>
  <c r="CX154" i="10"/>
  <c r="CW154" i="10"/>
  <c r="CV154" i="10"/>
  <c r="CU154" i="10"/>
  <c r="CT154" i="10"/>
  <c r="CS154" i="10"/>
  <c r="CR154" i="10"/>
  <c r="CQ154" i="10"/>
  <c r="CP154" i="10"/>
  <c r="CO154" i="10"/>
  <c r="CB154" i="10"/>
  <c r="BV154" i="10"/>
  <c r="BU154" i="10"/>
  <c r="BR154" i="10"/>
  <c r="BP154" i="10"/>
  <c r="BO154" i="10"/>
  <c r="BN154" i="10"/>
  <c r="BM154" i="10"/>
  <c r="BJ154" i="10"/>
  <c r="DO153" i="10"/>
  <c r="DN153" i="10"/>
  <c r="DJ153" i="10"/>
  <c r="DI153" i="10"/>
  <c r="DH153" i="10"/>
  <c r="DG153" i="10"/>
  <c r="DF153" i="10"/>
  <c r="DE153" i="10"/>
  <c r="DD153" i="10"/>
  <c r="DC153" i="10"/>
  <c r="DB153" i="10"/>
  <c r="DA153" i="10"/>
  <c r="CZ153" i="10"/>
  <c r="CY153" i="10"/>
  <c r="CX153" i="10"/>
  <c r="CW153" i="10"/>
  <c r="CV153" i="10"/>
  <c r="CU153" i="10"/>
  <c r="CT153" i="10"/>
  <c r="CS153" i="10"/>
  <c r="CR153" i="10"/>
  <c r="CQ153" i="10"/>
  <c r="CP153" i="10"/>
  <c r="CO153" i="10"/>
  <c r="CB153" i="10"/>
  <c r="BV153" i="10"/>
  <c r="BU153" i="10"/>
  <c r="BR153" i="10"/>
  <c r="BP153" i="10"/>
  <c r="BO153" i="10"/>
  <c r="BN153" i="10"/>
  <c r="BM153" i="10"/>
  <c r="BJ153" i="10"/>
  <c r="DO152" i="10"/>
  <c r="DN152" i="10"/>
  <c r="DJ152" i="10"/>
  <c r="DI152" i="10"/>
  <c r="DH152" i="10"/>
  <c r="DG152" i="10"/>
  <c r="DF152" i="10"/>
  <c r="DE152" i="10"/>
  <c r="DD152" i="10"/>
  <c r="DC152" i="10"/>
  <c r="DB152" i="10"/>
  <c r="DA152" i="10"/>
  <c r="CZ152" i="10"/>
  <c r="CY152" i="10"/>
  <c r="CX152" i="10"/>
  <c r="CW152" i="10"/>
  <c r="CV152" i="10"/>
  <c r="CU152" i="10"/>
  <c r="CT152" i="10"/>
  <c r="CS152" i="10"/>
  <c r="CR152" i="10"/>
  <c r="CQ152" i="10"/>
  <c r="CP152" i="10"/>
  <c r="CO152" i="10"/>
  <c r="CB152" i="10"/>
  <c r="BV152" i="10"/>
  <c r="BU152" i="10"/>
  <c r="BR152" i="10"/>
  <c r="BP152" i="10"/>
  <c r="BO152" i="10"/>
  <c r="BN152" i="10"/>
  <c r="BM152" i="10"/>
  <c r="BJ152" i="10"/>
  <c r="DO151" i="10"/>
  <c r="DN151" i="10"/>
  <c r="DJ151" i="10"/>
  <c r="DI151" i="10"/>
  <c r="DH151" i="10"/>
  <c r="DG151" i="10"/>
  <c r="DF151" i="10"/>
  <c r="DE151" i="10"/>
  <c r="DD151" i="10"/>
  <c r="DC151" i="10"/>
  <c r="DB151" i="10"/>
  <c r="DA151" i="10"/>
  <c r="CZ151" i="10"/>
  <c r="CY151" i="10"/>
  <c r="CX151" i="10"/>
  <c r="CW151" i="10"/>
  <c r="CV151" i="10"/>
  <c r="CU151" i="10"/>
  <c r="CT151" i="10"/>
  <c r="CS151" i="10"/>
  <c r="CR151" i="10"/>
  <c r="CQ151" i="10"/>
  <c r="CP151" i="10"/>
  <c r="CO151" i="10"/>
  <c r="CB151" i="10"/>
  <c r="BV151" i="10"/>
  <c r="BU151" i="10"/>
  <c r="BR151" i="10"/>
  <c r="BP151" i="10"/>
  <c r="BO151" i="10"/>
  <c r="BN151" i="10"/>
  <c r="BM151" i="10"/>
  <c r="BJ151" i="10"/>
  <c r="DO150" i="10"/>
  <c r="DN150" i="10"/>
  <c r="DJ150" i="10"/>
  <c r="DI150" i="10"/>
  <c r="DH150" i="10"/>
  <c r="DG150" i="10"/>
  <c r="DF150" i="10"/>
  <c r="DE150" i="10"/>
  <c r="DD150" i="10"/>
  <c r="DC150" i="10"/>
  <c r="DB150" i="10"/>
  <c r="DA150" i="10"/>
  <c r="CZ150" i="10"/>
  <c r="CY150" i="10"/>
  <c r="CX150" i="10"/>
  <c r="CW150" i="10"/>
  <c r="CV150" i="10"/>
  <c r="CU150" i="10"/>
  <c r="CT150" i="10"/>
  <c r="CS150" i="10"/>
  <c r="CR150" i="10"/>
  <c r="CQ150" i="10"/>
  <c r="CP150" i="10"/>
  <c r="CO150" i="10"/>
  <c r="CB150" i="10"/>
  <c r="BV150" i="10"/>
  <c r="BU150" i="10"/>
  <c r="BR150" i="10"/>
  <c r="BP150" i="10"/>
  <c r="BO150" i="10"/>
  <c r="BN150" i="10"/>
  <c r="BM150" i="10"/>
  <c r="BJ150" i="10"/>
  <c r="DO149" i="10"/>
  <c r="DN149" i="10"/>
  <c r="DJ149" i="10"/>
  <c r="DI149" i="10"/>
  <c r="DH149" i="10"/>
  <c r="DG149" i="10"/>
  <c r="DF149" i="10"/>
  <c r="DE149" i="10"/>
  <c r="DD149" i="10"/>
  <c r="DC149" i="10"/>
  <c r="DB149" i="10"/>
  <c r="DA149" i="10"/>
  <c r="CZ149" i="10"/>
  <c r="CY149" i="10"/>
  <c r="CX149" i="10"/>
  <c r="CW149" i="10"/>
  <c r="CV149" i="10"/>
  <c r="CU149" i="10"/>
  <c r="CT149" i="10"/>
  <c r="CS149" i="10"/>
  <c r="CR149" i="10"/>
  <c r="CQ149" i="10"/>
  <c r="CP149" i="10"/>
  <c r="CO149" i="10"/>
  <c r="CB149" i="10"/>
  <c r="BV149" i="10"/>
  <c r="BU149" i="10"/>
  <c r="BR149" i="10"/>
  <c r="BP149" i="10"/>
  <c r="BO149" i="10"/>
  <c r="BN149" i="10"/>
  <c r="BM149" i="10"/>
  <c r="BJ149" i="10"/>
  <c r="DO148" i="10"/>
  <c r="DN148" i="10"/>
  <c r="DJ148" i="10"/>
  <c r="DI148" i="10"/>
  <c r="DH148" i="10"/>
  <c r="DG148" i="10"/>
  <c r="DF148" i="10"/>
  <c r="DE148" i="10"/>
  <c r="DD148" i="10"/>
  <c r="DC148" i="10"/>
  <c r="DB148" i="10"/>
  <c r="DA148" i="10"/>
  <c r="CZ148" i="10"/>
  <c r="CY148" i="10"/>
  <c r="CX148" i="10"/>
  <c r="CW148" i="10"/>
  <c r="CV148" i="10"/>
  <c r="CU148" i="10"/>
  <c r="CT148" i="10"/>
  <c r="CS148" i="10"/>
  <c r="CR148" i="10"/>
  <c r="CQ148" i="10"/>
  <c r="CP148" i="10"/>
  <c r="CO148" i="10"/>
  <c r="CB148" i="10"/>
  <c r="BV148" i="10"/>
  <c r="BU148" i="10"/>
  <c r="BR148" i="10"/>
  <c r="BP148" i="10"/>
  <c r="BO148" i="10"/>
  <c r="BN148" i="10"/>
  <c r="BM148" i="10"/>
  <c r="BJ148" i="10"/>
  <c r="DO147" i="10"/>
  <c r="DN147" i="10"/>
  <c r="DJ147" i="10"/>
  <c r="DI147" i="10"/>
  <c r="DH147" i="10"/>
  <c r="DG147" i="10"/>
  <c r="DF147" i="10"/>
  <c r="DE147" i="10"/>
  <c r="DD147" i="10"/>
  <c r="DC147" i="10"/>
  <c r="DB147" i="10"/>
  <c r="DA147" i="10"/>
  <c r="CZ147" i="10"/>
  <c r="CY147" i="10"/>
  <c r="CX147" i="10"/>
  <c r="CW147" i="10"/>
  <c r="CV147" i="10"/>
  <c r="CU147" i="10"/>
  <c r="CT147" i="10"/>
  <c r="CS147" i="10"/>
  <c r="CR147" i="10"/>
  <c r="CQ147" i="10"/>
  <c r="CP147" i="10"/>
  <c r="CO147" i="10"/>
  <c r="CB147" i="10"/>
  <c r="BV147" i="10"/>
  <c r="BU147" i="10"/>
  <c r="BR147" i="10"/>
  <c r="BP147" i="10"/>
  <c r="BO147" i="10"/>
  <c r="BN147" i="10"/>
  <c r="BM147" i="10"/>
  <c r="BJ147" i="10"/>
  <c r="DO146" i="10"/>
  <c r="DN146" i="10"/>
  <c r="DJ146" i="10"/>
  <c r="DI146" i="10"/>
  <c r="DH146" i="10"/>
  <c r="DG146" i="10"/>
  <c r="DF146" i="10"/>
  <c r="DE146" i="10"/>
  <c r="DD146" i="10"/>
  <c r="DC146" i="10"/>
  <c r="DB146" i="10"/>
  <c r="DA146" i="10"/>
  <c r="CZ146" i="10"/>
  <c r="CY146" i="10"/>
  <c r="CX146" i="10"/>
  <c r="CW146" i="10"/>
  <c r="CV146" i="10"/>
  <c r="CU146" i="10"/>
  <c r="CT146" i="10"/>
  <c r="CS146" i="10"/>
  <c r="CR146" i="10"/>
  <c r="CQ146" i="10"/>
  <c r="CP146" i="10"/>
  <c r="CO146" i="10"/>
  <c r="CB146" i="10"/>
  <c r="BV146" i="10"/>
  <c r="BU146" i="10"/>
  <c r="BR146" i="10"/>
  <c r="BP146" i="10"/>
  <c r="BO146" i="10"/>
  <c r="BN146" i="10"/>
  <c r="BM146" i="10"/>
  <c r="BJ146" i="10"/>
  <c r="DO145" i="10"/>
  <c r="DN145" i="10"/>
  <c r="DJ145" i="10"/>
  <c r="DI145" i="10"/>
  <c r="DH145" i="10"/>
  <c r="DG145" i="10"/>
  <c r="DF145" i="10"/>
  <c r="DE145" i="10"/>
  <c r="DD145" i="10"/>
  <c r="DC145" i="10"/>
  <c r="DB145" i="10"/>
  <c r="DA145" i="10"/>
  <c r="CZ145" i="10"/>
  <c r="CY145" i="10"/>
  <c r="CX145" i="10"/>
  <c r="CW145" i="10"/>
  <c r="CV145" i="10"/>
  <c r="CU145" i="10"/>
  <c r="CT145" i="10"/>
  <c r="CS145" i="10"/>
  <c r="CR145" i="10"/>
  <c r="CQ145" i="10"/>
  <c r="CP145" i="10"/>
  <c r="CO145" i="10"/>
  <c r="CB145" i="10"/>
  <c r="BV145" i="10"/>
  <c r="BU145" i="10"/>
  <c r="BR145" i="10"/>
  <c r="BP145" i="10"/>
  <c r="BO145" i="10"/>
  <c r="BN145" i="10"/>
  <c r="BM145" i="10"/>
  <c r="BJ145" i="10"/>
  <c r="DO144" i="10"/>
  <c r="DN144" i="10"/>
  <c r="DJ144" i="10"/>
  <c r="DI144" i="10"/>
  <c r="DH144" i="10"/>
  <c r="DG144" i="10"/>
  <c r="DF144" i="10"/>
  <c r="DE144" i="10"/>
  <c r="DD144" i="10"/>
  <c r="DC144" i="10"/>
  <c r="DB144" i="10"/>
  <c r="DA144" i="10"/>
  <c r="CZ144" i="10"/>
  <c r="CY144" i="10"/>
  <c r="CX144" i="10"/>
  <c r="CW144" i="10"/>
  <c r="CV144" i="10"/>
  <c r="CU144" i="10"/>
  <c r="CT144" i="10"/>
  <c r="CS144" i="10"/>
  <c r="CR144" i="10"/>
  <c r="CQ144" i="10"/>
  <c r="CP144" i="10"/>
  <c r="CO144" i="10"/>
  <c r="CB144" i="10"/>
  <c r="BV144" i="10"/>
  <c r="BU144" i="10"/>
  <c r="BR144" i="10"/>
  <c r="BP144" i="10"/>
  <c r="BO144" i="10"/>
  <c r="BN144" i="10"/>
  <c r="BM144" i="10"/>
  <c r="BJ144" i="10"/>
  <c r="DO143" i="10"/>
  <c r="DN143" i="10"/>
  <c r="DJ143" i="10"/>
  <c r="DI143" i="10"/>
  <c r="DH143" i="10"/>
  <c r="DG143" i="10"/>
  <c r="DF143" i="10"/>
  <c r="DE143" i="10"/>
  <c r="DD143" i="10"/>
  <c r="DC143" i="10"/>
  <c r="DB143" i="10"/>
  <c r="DA143" i="10"/>
  <c r="CZ143" i="10"/>
  <c r="CY143" i="10"/>
  <c r="CX143" i="10"/>
  <c r="CW143" i="10"/>
  <c r="CV143" i="10"/>
  <c r="CU143" i="10"/>
  <c r="CT143" i="10"/>
  <c r="CS143" i="10"/>
  <c r="CR143" i="10"/>
  <c r="CQ143" i="10"/>
  <c r="CP143" i="10"/>
  <c r="CO143" i="10"/>
  <c r="CB143" i="10"/>
  <c r="BV143" i="10"/>
  <c r="BU143" i="10"/>
  <c r="BR143" i="10"/>
  <c r="BP143" i="10"/>
  <c r="BO143" i="10"/>
  <c r="BN143" i="10"/>
  <c r="BM143" i="10"/>
  <c r="BJ143" i="10"/>
  <c r="DO142" i="10"/>
  <c r="DN142" i="10"/>
  <c r="DJ142" i="10"/>
  <c r="DI142" i="10"/>
  <c r="DH142" i="10"/>
  <c r="DG142" i="10"/>
  <c r="DF142" i="10"/>
  <c r="DE142" i="10"/>
  <c r="DD142" i="10"/>
  <c r="DC142" i="10"/>
  <c r="DB142" i="10"/>
  <c r="DA142" i="10"/>
  <c r="CZ142" i="10"/>
  <c r="CY142" i="10"/>
  <c r="CX142" i="10"/>
  <c r="CW142" i="10"/>
  <c r="CV142" i="10"/>
  <c r="CU142" i="10"/>
  <c r="CT142" i="10"/>
  <c r="CS142" i="10"/>
  <c r="CR142" i="10"/>
  <c r="CQ142" i="10"/>
  <c r="CP142" i="10"/>
  <c r="CO142" i="10"/>
  <c r="CB142" i="10"/>
  <c r="BV142" i="10"/>
  <c r="BU142" i="10"/>
  <c r="BR142" i="10"/>
  <c r="BP142" i="10"/>
  <c r="BO142" i="10"/>
  <c r="BN142" i="10"/>
  <c r="BM142" i="10"/>
  <c r="BJ142" i="10"/>
  <c r="DO141" i="10"/>
  <c r="DN141" i="10"/>
  <c r="DJ141" i="10"/>
  <c r="DI141" i="10"/>
  <c r="DH141" i="10"/>
  <c r="DG141" i="10"/>
  <c r="DF141" i="10"/>
  <c r="DE141" i="10"/>
  <c r="DD141" i="10"/>
  <c r="DC141" i="10"/>
  <c r="DB141" i="10"/>
  <c r="DA141" i="10"/>
  <c r="CZ141" i="10"/>
  <c r="CY141" i="10"/>
  <c r="CX141" i="10"/>
  <c r="CW141" i="10"/>
  <c r="CV141" i="10"/>
  <c r="CU141" i="10"/>
  <c r="CT141" i="10"/>
  <c r="CS141" i="10"/>
  <c r="CR141" i="10"/>
  <c r="CQ141" i="10"/>
  <c r="CP141" i="10"/>
  <c r="CO141" i="10"/>
  <c r="CB141" i="10"/>
  <c r="BV141" i="10"/>
  <c r="BU141" i="10"/>
  <c r="BR141" i="10"/>
  <c r="BP141" i="10"/>
  <c r="BO141" i="10"/>
  <c r="BN141" i="10"/>
  <c r="BM141" i="10"/>
  <c r="BJ141" i="10"/>
  <c r="DO140" i="10"/>
  <c r="DN140" i="10"/>
  <c r="DJ140" i="10"/>
  <c r="DI140" i="10"/>
  <c r="DH140" i="10"/>
  <c r="DG140" i="10"/>
  <c r="DF140" i="10"/>
  <c r="DE140" i="10"/>
  <c r="DD140" i="10"/>
  <c r="DC140" i="10"/>
  <c r="DB140" i="10"/>
  <c r="DA140" i="10"/>
  <c r="CZ140" i="10"/>
  <c r="CY140" i="10"/>
  <c r="CX140" i="10"/>
  <c r="CW140" i="10"/>
  <c r="CV140" i="10"/>
  <c r="CU140" i="10"/>
  <c r="CT140" i="10"/>
  <c r="CS140" i="10"/>
  <c r="CR140" i="10"/>
  <c r="CQ140" i="10"/>
  <c r="CP140" i="10"/>
  <c r="CO140" i="10"/>
  <c r="CB140" i="10"/>
  <c r="BV140" i="10"/>
  <c r="BU140" i="10"/>
  <c r="BR140" i="10"/>
  <c r="BP140" i="10"/>
  <c r="BO140" i="10"/>
  <c r="BN140" i="10"/>
  <c r="BM140" i="10"/>
  <c r="BJ140" i="10"/>
  <c r="DO139" i="10"/>
  <c r="DN139" i="10"/>
  <c r="DJ139" i="10"/>
  <c r="DI139" i="10"/>
  <c r="DH139" i="10"/>
  <c r="DG139" i="10"/>
  <c r="DF139" i="10"/>
  <c r="DE139" i="10"/>
  <c r="DD139" i="10"/>
  <c r="DC139" i="10"/>
  <c r="DB139" i="10"/>
  <c r="DA139" i="10"/>
  <c r="CZ139" i="10"/>
  <c r="CY139" i="10"/>
  <c r="CX139" i="10"/>
  <c r="CW139" i="10"/>
  <c r="CV139" i="10"/>
  <c r="CU139" i="10"/>
  <c r="CT139" i="10"/>
  <c r="CS139" i="10"/>
  <c r="CR139" i="10"/>
  <c r="CQ139" i="10"/>
  <c r="CP139" i="10"/>
  <c r="CO139" i="10"/>
  <c r="CB139" i="10"/>
  <c r="BV139" i="10"/>
  <c r="BU139" i="10"/>
  <c r="BR139" i="10"/>
  <c r="BP139" i="10"/>
  <c r="BO139" i="10"/>
  <c r="BN139" i="10"/>
  <c r="BM139" i="10"/>
  <c r="BJ139" i="10"/>
  <c r="DO138" i="10"/>
  <c r="DN138" i="10"/>
  <c r="DJ138" i="10"/>
  <c r="DI138" i="10"/>
  <c r="DH138" i="10"/>
  <c r="DG138" i="10"/>
  <c r="DF138" i="10"/>
  <c r="DE138" i="10"/>
  <c r="DD138" i="10"/>
  <c r="DC138" i="10"/>
  <c r="DB138" i="10"/>
  <c r="DA138" i="10"/>
  <c r="CZ138" i="10"/>
  <c r="CY138" i="10"/>
  <c r="CX138" i="10"/>
  <c r="CW138" i="10"/>
  <c r="CV138" i="10"/>
  <c r="CU138" i="10"/>
  <c r="CT138" i="10"/>
  <c r="CS138" i="10"/>
  <c r="CR138" i="10"/>
  <c r="CQ138" i="10"/>
  <c r="CP138" i="10"/>
  <c r="CO138" i="10"/>
  <c r="CB138" i="10"/>
  <c r="BV138" i="10"/>
  <c r="BU138" i="10"/>
  <c r="BR138" i="10"/>
  <c r="BP138" i="10"/>
  <c r="BO138" i="10"/>
  <c r="BN138" i="10"/>
  <c r="BM138" i="10"/>
  <c r="BJ138" i="10"/>
  <c r="DO137" i="10"/>
  <c r="DN137" i="10"/>
  <c r="DJ137" i="10"/>
  <c r="DI137" i="10"/>
  <c r="DH137" i="10"/>
  <c r="DG137" i="10"/>
  <c r="DF137" i="10"/>
  <c r="DE137" i="10"/>
  <c r="DD137" i="10"/>
  <c r="DC137" i="10"/>
  <c r="DB137" i="10"/>
  <c r="DA137" i="10"/>
  <c r="CZ137" i="10"/>
  <c r="CY137" i="10"/>
  <c r="CX137" i="10"/>
  <c r="CW137" i="10"/>
  <c r="CV137" i="10"/>
  <c r="CU137" i="10"/>
  <c r="CT137" i="10"/>
  <c r="CS137" i="10"/>
  <c r="CR137" i="10"/>
  <c r="CQ137" i="10"/>
  <c r="CP137" i="10"/>
  <c r="CO137" i="10"/>
  <c r="CB137" i="10"/>
  <c r="BV137" i="10"/>
  <c r="BU137" i="10"/>
  <c r="BR137" i="10"/>
  <c r="BP137" i="10"/>
  <c r="BO137" i="10"/>
  <c r="BN137" i="10"/>
  <c r="BM137" i="10"/>
  <c r="BJ137" i="10"/>
  <c r="DO136" i="10"/>
  <c r="DN136" i="10"/>
  <c r="DJ136" i="10"/>
  <c r="DI136" i="10"/>
  <c r="DH136" i="10"/>
  <c r="DG136" i="10"/>
  <c r="DF136" i="10"/>
  <c r="DE136" i="10"/>
  <c r="DD136" i="10"/>
  <c r="DC136" i="10"/>
  <c r="DB136" i="10"/>
  <c r="DA136" i="10"/>
  <c r="CZ136" i="10"/>
  <c r="CY136" i="10"/>
  <c r="CX136" i="10"/>
  <c r="CW136" i="10"/>
  <c r="CV136" i="10"/>
  <c r="CU136" i="10"/>
  <c r="CT136" i="10"/>
  <c r="CS136" i="10"/>
  <c r="CR136" i="10"/>
  <c r="CQ136" i="10"/>
  <c r="CP136" i="10"/>
  <c r="CO136" i="10"/>
  <c r="CB136" i="10"/>
  <c r="BV136" i="10"/>
  <c r="BU136" i="10"/>
  <c r="BR136" i="10"/>
  <c r="BP136" i="10"/>
  <c r="BO136" i="10"/>
  <c r="BN136" i="10"/>
  <c r="BM136" i="10"/>
  <c r="BJ136" i="10"/>
  <c r="DO135" i="10"/>
  <c r="DN135" i="10"/>
  <c r="DJ135" i="10"/>
  <c r="DI135" i="10"/>
  <c r="DH135" i="10"/>
  <c r="DG135" i="10"/>
  <c r="DF135" i="10"/>
  <c r="DE135" i="10"/>
  <c r="DD135" i="10"/>
  <c r="DC135" i="10"/>
  <c r="DB135" i="10"/>
  <c r="DA135" i="10"/>
  <c r="CZ135" i="10"/>
  <c r="CY135" i="10"/>
  <c r="CX135" i="10"/>
  <c r="CW135" i="10"/>
  <c r="CV135" i="10"/>
  <c r="CU135" i="10"/>
  <c r="CT135" i="10"/>
  <c r="CS135" i="10"/>
  <c r="CR135" i="10"/>
  <c r="CQ135" i="10"/>
  <c r="CP135" i="10"/>
  <c r="CO135" i="10"/>
  <c r="CB135" i="10"/>
  <c r="BV135" i="10"/>
  <c r="BU135" i="10"/>
  <c r="BR135" i="10"/>
  <c r="BP135" i="10"/>
  <c r="BO135" i="10"/>
  <c r="BN135" i="10"/>
  <c r="BM135" i="10"/>
  <c r="BJ135" i="10"/>
  <c r="DO134" i="10"/>
  <c r="DN134" i="10"/>
  <c r="DJ134" i="10"/>
  <c r="DI134" i="10"/>
  <c r="DH134" i="10"/>
  <c r="DG134" i="10"/>
  <c r="DF134" i="10"/>
  <c r="DE134" i="10"/>
  <c r="DD134" i="10"/>
  <c r="DC134" i="10"/>
  <c r="DB134" i="10"/>
  <c r="DA134" i="10"/>
  <c r="CZ134" i="10"/>
  <c r="CY134" i="10"/>
  <c r="CX134" i="10"/>
  <c r="CW134" i="10"/>
  <c r="CV134" i="10"/>
  <c r="CU134" i="10"/>
  <c r="CT134" i="10"/>
  <c r="CS134" i="10"/>
  <c r="CR134" i="10"/>
  <c r="CQ134" i="10"/>
  <c r="CP134" i="10"/>
  <c r="CO134" i="10"/>
  <c r="CB134" i="10"/>
  <c r="BV134" i="10"/>
  <c r="BU134" i="10"/>
  <c r="BR134" i="10"/>
  <c r="BP134" i="10"/>
  <c r="BO134" i="10"/>
  <c r="BN134" i="10"/>
  <c r="BM134" i="10"/>
  <c r="BJ134" i="10"/>
  <c r="DO133" i="10"/>
  <c r="DN133" i="10"/>
  <c r="DJ133" i="10"/>
  <c r="DI133" i="10"/>
  <c r="DH133" i="10"/>
  <c r="DG133" i="10"/>
  <c r="DF133" i="10"/>
  <c r="DE133" i="10"/>
  <c r="DD133" i="10"/>
  <c r="DC133" i="10"/>
  <c r="DB133" i="10"/>
  <c r="DA133" i="10"/>
  <c r="CZ133" i="10"/>
  <c r="CY133" i="10"/>
  <c r="CX133" i="10"/>
  <c r="CW133" i="10"/>
  <c r="CV133" i="10"/>
  <c r="CU133" i="10"/>
  <c r="CT133" i="10"/>
  <c r="CS133" i="10"/>
  <c r="CR133" i="10"/>
  <c r="CQ133" i="10"/>
  <c r="CP133" i="10"/>
  <c r="CO133" i="10"/>
  <c r="CB133" i="10"/>
  <c r="BV133" i="10"/>
  <c r="BU133" i="10"/>
  <c r="BR133" i="10"/>
  <c r="BP133" i="10"/>
  <c r="BO133" i="10"/>
  <c r="BN133" i="10"/>
  <c r="BM133" i="10"/>
  <c r="BJ133" i="10"/>
  <c r="DO132" i="10"/>
  <c r="DN132" i="10"/>
  <c r="DJ132" i="10"/>
  <c r="DI132" i="10"/>
  <c r="DH132" i="10"/>
  <c r="DG132" i="10"/>
  <c r="DF132" i="10"/>
  <c r="DE132" i="10"/>
  <c r="DD132" i="10"/>
  <c r="DC132" i="10"/>
  <c r="DB132" i="10"/>
  <c r="DA132" i="10"/>
  <c r="CZ132" i="10"/>
  <c r="CY132" i="10"/>
  <c r="CX132" i="10"/>
  <c r="CW132" i="10"/>
  <c r="CV132" i="10"/>
  <c r="CU132" i="10"/>
  <c r="CT132" i="10"/>
  <c r="CS132" i="10"/>
  <c r="CR132" i="10"/>
  <c r="CQ132" i="10"/>
  <c r="CP132" i="10"/>
  <c r="CO132" i="10"/>
  <c r="CB132" i="10"/>
  <c r="BV132" i="10"/>
  <c r="BU132" i="10"/>
  <c r="BR132" i="10"/>
  <c r="BP132" i="10"/>
  <c r="BO132" i="10"/>
  <c r="BN132" i="10"/>
  <c r="BM132" i="10"/>
  <c r="BJ132" i="10"/>
  <c r="DO131" i="10"/>
  <c r="DN131" i="10"/>
  <c r="DJ131" i="10"/>
  <c r="DI131" i="10"/>
  <c r="DH131" i="10"/>
  <c r="DG131" i="10"/>
  <c r="DF131" i="10"/>
  <c r="DE131" i="10"/>
  <c r="DD131" i="10"/>
  <c r="DC131" i="10"/>
  <c r="DB131" i="10"/>
  <c r="DA131" i="10"/>
  <c r="CZ131" i="10"/>
  <c r="CY131" i="10"/>
  <c r="CX131" i="10"/>
  <c r="CW131" i="10"/>
  <c r="CV131" i="10"/>
  <c r="CU131" i="10"/>
  <c r="CT131" i="10"/>
  <c r="CS131" i="10"/>
  <c r="CR131" i="10"/>
  <c r="CQ131" i="10"/>
  <c r="CP131" i="10"/>
  <c r="CO131" i="10"/>
  <c r="CB131" i="10"/>
  <c r="BV131" i="10"/>
  <c r="BU131" i="10"/>
  <c r="BR131" i="10"/>
  <c r="BP131" i="10"/>
  <c r="BO131" i="10"/>
  <c r="BN131" i="10"/>
  <c r="BM131" i="10"/>
  <c r="BJ131" i="10"/>
  <c r="DO130" i="10"/>
  <c r="DN130" i="10"/>
  <c r="DJ130" i="10"/>
  <c r="DI130" i="10"/>
  <c r="DH130" i="10"/>
  <c r="DG130" i="10"/>
  <c r="DF130" i="10"/>
  <c r="DE130" i="10"/>
  <c r="DD130" i="10"/>
  <c r="DC130" i="10"/>
  <c r="DB130" i="10"/>
  <c r="DA130" i="10"/>
  <c r="CZ130" i="10"/>
  <c r="CY130" i="10"/>
  <c r="CX130" i="10"/>
  <c r="CW130" i="10"/>
  <c r="CV130" i="10"/>
  <c r="CU130" i="10"/>
  <c r="CT130" i="10"/>
  <c r="CS130" i="10"/>
  <c r="CR130" i="10"/>
  <c r="CQ130" i="10"/>
  <c r="CP130" i="10"/>
  <c r="CO130" i="10"/>
  <c r="CB130" i="10"/>
  <c r="BV130" i="10"/>
  <c r="BU130" i="10"/>
  <c r="BR130" i="10"/>
  <c r="BP130" i="10"/>
  <c r="BO130" i="10"/>
  <c r="BN130" i="10"/>
  <c r="BM130" i="10"/>
  <c r="BJ130" i="10"/>
  <c r="DO129" i="10"/>
  <c r="DN129" i="10"/>
  <c r="DJ129" i="10"/>
  <c r="DI129" i="10"/>
  <c r="DH129" i="10"/>
  <c r="DG129" i="10"/>
  <c r="DF129" i="10"/>
  <c r="DE129" i="10"/>
  <c r="DD129" i="10"/>
  <c r="DC129" i="10"/>
  <c r="DB129" i="10"/>
  <c r="DA129" i="10"/>
  <c r="CZ129" i="10"/>
  <c r="CY129" i="10"/>
  <c r="CX129" i="10"/>
  <c r="CW129" i="10"/>
  <c r="CV129" i="10"/>
  <c r="CU129" i="10"/>
  <c r="CT129" i="10"/>
  <c r="CS129" i="10"/>
  <c r="CR129" i="10"/>
  <c r="CQ129" i="10"/>
  <c r="CP129" i="10"/>
  <c r="CO129" i="10"/>
  <c r="CB129" i="10"/>
  <c r="BV129" i="10"/>
  <c r="BU129" i="10"/>
  <c r="BR129" i="10"/>
  <c r="BP129" i="10"/>
  <c r="BO129" i="10"/>
  <c r="BN129" i="10"/>
  <c r="BM129" i="10"/>
  <c r="BJ129" i="10"/>
  <c r="DO128" i="10"/>
  <c r="DN128" i="10"/>
  <c r="DJ128" i="10"/>
  <c r="DI128" i="10"/>
  <c r="DH128" i="10"/>
  <c r="DG128" i="10"/>
  <c r="DF128" i="10"/>
  <c r="DE128" i="10"/>
  <c r="DD128" i="10"/>
  <c r="DC128" i="10"/>
  <c r="DB128" i="10"/>
  <c r="DA128" i="10"/>
  <c r="CZ128" i="10"/>
  <c r="CY128" i="10"/>
  <c r="CX128" i="10"/>
  <c r="CW128" i="10"/>
  <c r="CV128" i="10"/>
  <c r="CU128" i="10"/>
  <c r="CT128" i="10"/>
  <c r="CS128" i="10"/>
  <c r="CR128" i="10"/>
  <c r="CQ128" i="10"/>
  <c r="CP128" i="10"/>
  <c r="CO128" i="10"/>
  <c r="CB128" i="10"/>
  <c r="BV128" i="10"/>
  <c r="BU128" i="10"/>
  <c r="BR128" i="10"/>
  <c r="BP128" i="10"/>
  <c r="BO128" i="10"/>
  <c r="BN128" i="10"/>
  <c r="BM128" i="10"/>
  <c r="BJ128" i="10"/>
  <c r="DO127" i="10"/>
  <c r="DN127" i="10"/>
  <c r="DJ127" i="10"/>
  <c r="DI127" i="10"/>
  <c r="DH127" i="10"/>
  <c r="DG127" i="10"/>
  <c r="DF127" i="10"/>
  <c r="DE127" i="10"/>
  <c r="DD127" i="10"/>
  <c r="DC127" i="10"/>
  <c r="DB127" i="10"/>
  <c r="DA127" i="10"/>
  <c r="CZ127" i="10"/>
  <c r="CY127" i="10"/>
  <c r="CX127" i="10"/>
  <c r="CW127" i="10"/>
  <c r="CV127" i="10"/>
  <c r="CU127" i="10"/>
  <c r="CT127" i="10"/>
  <c r="CS127" i="10"/>
  <c r="CR127" i="10"/>
  <c r="CQ127" i="10"/>
  <c r="CP127" i="10"/>
  <c r="CO127" i="10"/>
  <c r="CB127" i="10"/>
  <c r="BV127" i="10"/>
  <c r="BU127" i="10"/>
  <c r="BR127" i="10"/>
  <c r="BP127" i="10"/>
  <c r="BO127" i="10"/>
  <c r="BN127" i="10"/>
  <c r="BM127" i="10"/>
  <c r="BJ127" i="10"/>
  <c r="DO126" i="10"/>
  <c r="DN126" i="10"/>
  <c r="DJ126" i="10"/>
  <c r="DI126" i="10"/>
  <c r="DH126" i="10"/>
  <c r="DG126" i="10"/>
  <c r="DF126" i="10"/>
  <c r="DE126" i="10"/>
  <c r="DD126" i="10"/>
  <c r="DC126" i="10"/>
  <c r="DB126" i="10"/>
  <c r="DA126" i="10"/>
  <c r="CZ126" i="10"/>
  <c r="CY126" i="10"/>
  <c r="CX126" i="10"/>
  <c r="CW126" i="10"/>
  <c r="CV126" i="10"/>
  <c r="CU126" i="10"/>
  <c r="CT126" i="10"/>
  <c r="CS126" i="10"/>
  <c r="CR126" i="10"/>
  <c r="CQ126" i="10"/>
  <c r="CP126" i="10"/>
  <c r="CO126" i="10"/>
  <c r="CB126" i="10"/>
  <c r="BV126" i="10"/>
  <c r="BU126" i="10"/>
  <c r="BR126" i="10"/>
  <c r="BP126" i="10"/>
  <c r="BO126" i="10"/>
  <c r="BN126" i="10"/>
  <c r="BM126" i="10"/>
  <c r="BJ126" i="10"/>
  <c r="DO125" i="10"/>
  <c r="DN125" i="10"/>
  <c r="DJ125" i="10"/>
  <c r="DI125" i="10"/>
  <c r="DH125" i="10"/>
  <c r="DG125" i="10"/>
  <c r="DF125" i="10"/>
  <c r="DE125" i="10"/>
  <c r="DD125" i="10"/>
  <c r="DC125" i="10"/>
  <c r="DB125" i="10"/>
  <c r="DA125" i="10"/>
  <c r="CZ125" i="10"/>
  <c r="CY125" i="10"/>
  <c r="CX125" i="10"/>
  <c r="CW125" i="10"/>
  <c r="CV125" i="10"/>
  <c r="CU125" i="10"/>
  <c r="CT125" i="10"/>
  <c r="CS125" i="10"/>
  <c r="CR125" i="10"/>
  <c r="CQ125" i="10"/>
  <c r="CP125" i="10"/>
  <c r="CO125" i="10"/>
  <c r="CB125" i="10"/>
  <c r="BV125" i="10"/>
  <c r="BU125" i="10"/>
  <c r="BR125" i="10"/>
  <c r="BP125" i="10"/>
  <c r="BO125" i="10"/>
  <c r="BN125" i="10"/>
  <c r="BM125" i="10"/>
  <c r="BJ125" i="10"/>
  <c r="DO124" i="10"/>
  <c r="DN124" i="10"/>
  <c r="DJ124" i="10"/>
  <c r="DI124" i="10"/>
  <c r="DH124" i="10"/>
  <c r="DG124" i="10"/>
  <c r="DF124" i="10"/>
  <c r="DE124" i="10"/>
  <c r="DD124" i="10"/>
  <c r="DC124" i="10"/>
  <c r="DB124" i="10"/>
  <c r="DA124" i="10"/>
  <c r="CZ124" i="10"/>
  <c r="CY124" i="10"/>
  <c r="CX124" i="10"/>
  <c r="CW124" i="10"/>
  <c r="CV124" i="10"/>
  <c r="CU124" i="10"/>
  <c r="CT124" i="10"/>
  <c r="CS124" i="10"/>
  <c r="CR124" i="10"/>
  <c r="CQ124" i="10"/>
  <c r="CP124" i="10"/>
  <c r="CO124" i="10"/>
  <c r="CB124" i="10"/>
  <c r="BV124" i="10"/>
  <c r="BU124" i="10"/>
  <c r="BR124" i="10"/>
  <c r="BP124" i="10"/>
  <c r="BO124" i="10"/>
  <c r="BN124" i="10"/>
  <c r="BM124" i="10"/>
  <c r="BJ124" i="10"/>
  <c r="DO123" i="10"/>
  <c r="DN123" i="10"/>
  <c r="DJ123" i="10"/>
  <c r="DI123" i="10"/>
  <c r="DH123" i="10"/>
  <c r="DG123" i="10"/>
  <c r="DF123" i="10"/>
  <c r="DE123" i="10"/>
  <c r="DD123" i="10"/>
  <c r="DC123" i="10"/>
  <c r="DB123" i="10"/>
  <c r="DA123" i="10"/>
  <c r="CZ123" i="10"/>
  <c r="CY123" i="10"/>
  <c r="CX123" i="10"/>
  <c r="CW123" i="10"/>
  <c r="CV123" i="10"/>
  <c r="CU123" i="10"/>
  <c r="CT123" i="10"/>
  <c r="CS123" i="10"/>
  <c r="CR123" i="10"/>
  <c r="CQ123" i="10"/>
  <c r="CP123" i="10"/>
  <c r="CO123" i="10"/>
  <c r="CB123" i="10"/>
  <c r="BV123" i="10"/>
  <c r="BU123" i="10"/>
  <c r="BR123" i="10"/>
  <c r="BP123" i="10"/>
  <c r="BO123" i="10"/>
  <c r="BN123" i="10"/>
  <c r="BM123" i="10"/>
  <c r="BJ123" i="10"/>
  <c r="DO122" i="10"/>
  <c r="DN122" i="10"/>
  <c r="DJ122" i="10"/>
  <c r="DI122" i="10"/>
  <c r="DH122" i="10"/>
  <c r="DG122" i="10"/>
  <c r="DF122" i="10"/>
  <c r="DE122" i="10"/>
  <c r="DD122" i="10"/>
  <c r="DC122" i="10"/>
  <c r="DB122" i="10"/>
  <c r="DA122" i="10"/>
  <c r="CZ122" i="10"/>
  <c r="CY122" i="10"/>
  <c r="CX122" i="10"/>
  <c r="CW122" i="10"/>
  <c r="CV122" i="10"/>
  <c r="CU122" i="10"/>
  <c r="CT122" i="10"/>
  <c r="CS122" i="10"/>
  <c r="CR122" i="10"/>
  <c r="CQ122" i="10"/>
  <c r="CP122" i="10"/>
  <c r="CO122" i="10"/>
  <c r="CB122" i="10"/>
  <c r="BV122" i="10"/>
  <c r="BU122" i="10"/>
  <c r="BR122" i="10"/>
  <c r="BP122" i="10"/>
  <c r="BO122" i="10"/>
  <c r="BN122" i="10"/>
  <c r="BM122" i="10"/>
  <c r="BJ122" i="10"/>
  <c r="DO121" i="10"/>
  <c r="DN121" i="10"/>
  <c r="DJ121" i="10"/>
  <c r="DI121" i="10"/>
  <c r="DH121" i="10"/>
  <c r="DG121" i="10"/>
  <c r="DF121" i="10"/>
  <c r="DE121" i="10"/>
  <c r="DD121" i="10"/>
  <c r="DC121" i="10"/>
  <c r="DB121" i="10"/>
  <c r="DA121" i="10"/>
  <c r="CZ121" i="10"/>
  <c r="CY121" i="10"/>
  <c r="CX121" i="10"/>
  <c r="CW121" i="10"/>
  <c r="CV121" i="10"/>
  <c r="CU121" i="10"/>
  <c r="CT121" i="10"/>
  <c r="CS121" i="10"/>
  <c r="CR121" i="10"/>
  <c r="CQ121" i="10"/>
  <c r="CP121" i="10"/>
  <c r="CO121" i="10"/>
  <c r="CB121" i="10"/>
  <c r="BV121" i="10"/>
  <c r="BU121" i="10"/>
  <c r="BR121" i="10"/>
  <c r="BP121" i="10"/>
  <c r="BO121" i="10"/>
  <c r="BN121" i="10"/>
  <c r="BM121" i="10"/>
  <c r="BJ121" i="10"/>
  <c r="DO120" i="10"/>
  <c r="DN120" i="10"/>
  <c r="DJ120" i="10"/>
  <c r="DI120" i="10"/>
  <c r="DH120" i="10"/>
  <c r="DG120" i="10"/>
  <c r="DF120" i="10"/>
  <c r="DE120" i="10"/>
  <c r="DD120" i="10"/>
  <c r="DC120" i="10"/>
  <c r="DB120" i="10"/>
  <c r="DA120" i="10"/>
  <c r="CZ120" i="10"/>
  <c r="CY120" i="10"/>
  <c r="CX120" i="10"/>
  <c r="CW120" i="10"/>
  <c r="CV120" i="10"/>
  <c r="CU120" i="10"/>
  <c r="CT120" i="10"/>
  <c r="CS120" i="10"/>
  <c r="CR120" i="10"/>
  <c r="CQ120" i="10"/>
  <c r="CP120" i="10"/>
  <c r="CO120" i="10"/>
  <c r="CB120" i="10"/>
  <c r="BV120" i="10"/>
  <c r="BU120" i="10"/>
  <c r="BR120" i="10"/>
  <c r="BP120" i="10"/>
  <c r="BO120" i="10"/>
  <c r="BN120" i="10"/>
  <c r="BM120" i="10"/>
  <c r="BJ120" i="10"/>
  <c r="DO119" i="10"/>
  <c r="DN119" i="10"/>
  <c r="DJ119" i="10"/>
  <c r="DI119" i="10"/>
  <c r="DH119" i="10"/>
  <c r="DG119" i="10"/>
  <c r="DF119" i="10"/>
  <c r="DE119" i="10"/>
  <c r="DD119" i="10"/>
  <c r="DC119" i="10"/>
  <c r="DB119" i="10"/>
  <c r="DA119" i="10"/>
  <c r="CZ119" i="10"/>
  <c r="CY119" i="10"/>
  <c r="CX119" i="10"/>
  <c r="CW119" i="10"/>
  <c r="CV119" i="10"/>
  <c r="CU119" i="10"/>
  <c r="CT119" i="10"/>
  <c r="CS119" i="10"/>
  <c r="CR119" i="10"/>
  <c r="CQ119" i="10"/>
  <c r="CP119" i="10"/>
  <c r="CO119" i="10"/>
  <c r="CB119" i="10"/>
  <c r="BV119" i="10"/>
  <c r="BU119" i="10"/>
  <c r="BR119" i="10"/>
  <c r="BP119" i="10"/>
  <c r="BO119" i="10"/>
  <c r="BN119" i="10"/>
  <c r="BM119" i="10"/>
  <c r="BJ119" i="10"/>
  <c r="DO118" i="10"/>
  <c r="DN118" i="10"/>
  <c r="DJ118" i="10"/>
  <c r="DI118" i="10"/>
  <c r="DH118" i="10"/>
  <c r="DG118" i="10"/>
  <c r="DF118" i="10"/>
  <c r="DE118" i="10"/>
  <c r="DD118" i="10"/>
  <c r="DC118" i="10"/>
  <c r="DB118" i="10"/>
  <c r="DA118" i="10"/>
  <c r="CZ118" i="10"/>
  <c r="CY118" i="10"/>
  <c r="CX118" i="10"/>
  <c r="CW118" i="10"/>
  <c r="CV118" i="10"/>
  <c r="CU118" i="10"/>
  <c r="CT118" i="10"/>
  <c r="CS118" i="10"/>
  <c r="CR118" i="10"/>
  <c r="CQ118" i="10"/>
  <c r="CP118" i="10"/>
  <c r="CO118" i="10"/>
  <c r="CB118" i="10"/>
  <c r="BV118" i="10"/>
  <c r="BU118" i="10"/>
  <c r="BR118" i="10"/>
  <c r="BP118" i="10"/>
  <c r="BO118" i="10"/>
  <c r="BN118" i="10"/>
  <c r="BM118" i="10"/>
  <c r="BJ118" i="10"/>
  <c r="DO117" i="10"/>
  <c r="DN117" i="10"/>
  <c r="DJ117" i="10"/>
  <c r="DI117" i="10"/>
  <c r="DH117" i="10"/>
  <c r="DG117" i="10"/>
  <c r="DF117" i="10"/>
  <c r="DE117" i="10"/>
  <c r="DD117" i="10"/>
  <c r="DC117" i="10"/>
  <c r="DB117" i="10"/>
  <c r="DA117" i="10"/>
  <c r="CZ117" i="10"/>
  <c r="CY117" i="10"/>
  <c r="CX117" i="10"/>
  <c r="CW117" i="10"/>
  <c r="CV117" i="10"/>
  <c r="CU117" i="10"/>
  <c r="CT117" i="10"/>
  <c r="CS117" i="10"/>
  <c r="CR117" i="10"/>
  <c r="CQ117" i="10"/>
  <c r="CP117" i="10"/>
  <c r="CO117" i="10"/>
  <c r="CB117" i="10"/>
  <c r="BV117" i="10"/>
  <c r="BU117" i="10"/>
  <c r="BR117" i="10"/>
  <c r="BP117" i="10"/>
  <c r="BO117" i="10"/>
  <c r="BN117" i="10"/>
  <c r="BM117" i="10"/>
  <c r="BJ117" i="10"/>
  <c r="DO116" i="10"/>
  <c r="DN116" i="10"/>
  <c r="DJ116" i="10"/>
  <c r="DI116" i="10"/>
  <c r="DH116" i="10"/>
  <c r="DG116" i="10"/>
  <c r="DF116" i="10"/>
  <c r="DE116" i="10"/>
  <c r="DD116" i="10"/>
  <c r="DC116" i="10"/>
  <c r="DB116" i="10"/>
  <c r="DA116" i="10"/>
  <c r="CZ116" i="10"/>
  <c r="CY116" i="10"/>
  <c r="CX116" i="10"/>
  <c r="CW116" i="10"/>
  <c r="CV116" i="10"/>
  <c r="CU116" i="10"/>
  <c r="CT116" i="10"/>
  <c r="CS116" i="10"/>
  <c r="CR116" i="10"/>
  <c r="CQ116" i="10"/>
  <c r="CP116" i="10"/>
  <c r="CO116" i="10"/>
  <c r="CB116" i="10"/>
  <c r="BV116" i="10"/>
  <c r="BU116" i="10"/>
  <c r="BR116" i="10"/>
  <c r="BP116" i="10"/>
  <c r="BO116" i="10"/>
  <c r="BN116" i="10"/>
  <c r="BM116" i="10"/>
  <c r="BJ116" i="10"/>
  <c r="DO115" i="10"/>
  <c r="DN115" i="10"/>
  <c r="DJ115" i="10"/>
  <c r="DI115" i="10"/>
  <c r="DH115" i="10"/>
  <c r="DG115" i="10"/>
  <c r="DF115" i="10"/>
  <c r="DE115" i="10"/>
  <c r="DD115" i="10"/>
  <c r="DC115" i="10"/>
  <c r="DB115" i="10"/>
  <c r="DA115" i="10"/>
  <c r="CZ115" i="10"/>
  <c r="CY115" i="10"/>
  <c r="CX115" i="10"/>
  <c r="CW115" i="10"/>
  <c r="CV115" i="10"/>
  <c r="CU115" i="10"/>
  <c r="CT115" i="10"/>
  <c r="CS115" i="10"/>
  <c r="CR115" i="10"/>
  <c r="CQ115" i="10"/>
  <c r="CP115" i="10"/>
  <c r="CO115" i="10"/>
  <c r="CB115" i="10"/>
  <c r="BV115" i="10"/>
  <c r="BU115" i="10"/>
  <c r="BR115" i="10"/>
  <c r="BP115" i="10"/>
  <c r="BO115" i="10"/>
  <c r="BN115" i="10"/>
  <c r="BM115" i="10"/>
  <c r="BJ115" i="10"/>
  <c r="DO114" i="10"/>
  <c r="DN114" i="10"/>
  <c r="DJ114" i="10"/>
  <c r="DI114" i="10"/>
  <c r="DH114" i="10"/>
  <c r="DG114" i="10"/>
  <c r="DF114" i="10"/>
  <c r="DE114" i="10"/>
  <c r="DD114" i="10"/>
  <c r="DC114" i="10"/>
  <c r="DB114" i="10"/>
  <c r="DA114" i="10"/>
  <c r="CZ114" i="10"/>
  <c r="CY114" i="10"/>
  <c r="CX114" i="10"/>
  <c r="CW114" i="10"/>
  <c r="CV114" i="10"/>
  <c r="CU114" i="10"/>
  <c r="CT114" i="10"/>
  <c r="CS114" i="10"/>
  <c r="CR114" i="10"/>
  <c r="CQ114" i="10"/>
  <c r="CP114" i="10"/>
  <c r="CO114" i="10"/>
  <c r="CB114" i="10"/>
  <c r="BV114" i="10"/>
  <c r="BU114" i="10"/>
  <c r="BR114" i="10"/>
  <c r="BP114" i="10"/>
  <c r="BO114" i="10"/>
  <c r="BN114" i="10"/>
  <c r="BM114" i="10"/>
  <c r="BJ114" i="10"/>
  <c r="DO113" i="10"/>
  <c r="DN113" i="10"/>
  <c r="DJ113" i="10"/>
  <c r="DI113" i="10"/>
  <c r="DH113" i="10"/>
  <c r="DG113" i="10"/>
  <c r="DF113" i="10"/>
  <c r="DE113" i="10"/>
  <c r="DD113" i="10"/>
  <c r="DC113" i="10"/>
  <c r="DB113" i="10"/>
  <c r="DA113" i="10"/>
  <c r="CZ113" i="10"/>
  <c r="CY113" i="10"/>
  <c r="CX113" i="10"/>
  <c r="CW113" i="10"/>
  <c r="CV113" i="10"/>
  <c r="CU113" i="10"/>
  <c r="CT113" i="10"/>
  <c r="CS113" i="10"/>
  <c r="CR113" i="10"/>
  <c r="CQ113" i="10"/>
  <c r="CP113" i="10"/>
  <c r="CO113" i="10"/>
  <c r="CB113" i="10"/>
  <c r="BV113" i="10"/>
  <c r="BU113" i="10"/>
  <c r="BR113" i="10"/>
  <c r="BP113" i="10"/>
  <c r="BO113" i="10"/>
  <c r="BN113" i="10"/>
  <c r="BM113" i="10"/>
  <c r="BJ113" i="10"/>
  <c r="DO112" i="10"/>
  <c r="DN112" i="10"/>
  <c r="DJ112" i="10"/>
  <c r="DI112" i="10"/>
  <c r="DH112" i="10"/>
  <c r="DG112" i="10"/>
  <c r="DF112" i="10"/>
  <c r="DE112" i="10"/>
  <c r="DD112" i="10"/>
  <c r="DC112" i="10"/>
  <c r="DB112" i="10"/>
  <c r="DA112" i="10"/>
  <c r="CZ112" i="10"/>
  <c r="CY112" i="10"/>
  <c r="CX112" i="10"/>
  <c r="CW112" i="10"/>
  <c r="CV112" i="10"/>
  <c r="CU112" i="10"/>
  <c r="CT112" i="10"/>
  <c r="CS112" i="10"/>
  <c r="CR112" i="10"/>
  <c r="CQ112" i="10"/>
  <c r="CP112" i="10"/>
  <c r="CO112" i="10"/>
  <c r="CB112" i="10"/>
  <c r="BV112" i="10"/>
  <c r="BU112" i="10"/>
  <c r="BR112" i="10"/>
  <c r="BP112" i="10"/>
  <c r="BO112" i="10"/>
  <c r="BN112" i="10"/>
  <c r="BM112" i="10"/>
  <c r="BJ112" i="10"/>
  <c r="DO111" i="10"/>
  <c r="DN111" i="10"/>
  <c r="DJ111" i="10"/>
  <c r="DI111" i="10"/>
  <c r="DH111" i="10"/>
  <c r="DG111" i="10"/>
  <c r="DF111" i="10"/>
  <c r="DE111" i="10"/>
  <c r="DD111" i="10"/>
  <c r="DC111" i="10"/>
  <c r="DB111" i="10"/>
  <c r="DA111" i="10"/>
  <c r="CZ111" i="10"/>
  <c r="CY111" i="10"/>
  <c r="CX111" i="10"/>
  <c r="CW111" i="10"/>
  <c r="CV111" i="10"/>
  <c r="CU111" i="10"/>
  <c r="CT111" i="10"/>
  <c r="CS111" i="10"/>
  <c r="CR111" i="10"/>
  <c r="CQ111" i="10"/>
  <c r="CP111" i="10"/>
  <c r="CO111" i="10"/>
  <c r="CB111" i="10"/>
  <c r="BV111" i="10"/>
  <c r="BU111" i="10"/>
  <c r="BR111" i="10"/>
  <c r="BP111" i="10"/>
  <c r="BO111" i="10"/>
  <c r="BN111" i="10"/>
  <c r="BM111" i="10"/>
  <c r="BJ111" i="10"/>
  <c r="DO110" i="10"/>
  <c r="DN110" i="10"/>
  <c r="DJ110" i="10"/>
  <c r="DI110" i="10"/>
  <c r="DH110" i="10"/>
  <c r="DG110" i="10"/>
  <c r="DF110" i="10"/>
  <c r="DE110" i="10"/>
  <c r="DD110" i="10"/>
  <c r="DC110" i="10"/>
  <c r="DB110" i="10"/>
  <c r="DA110" i="10"/>
  <c r="CZ110" i="10"/>
  <c r="CY110" i="10"/>
  <c r="CX110" i="10"/>
  <c r="CW110" i="10"/>
  <c r="CV110" i="10"/>
  <c r="CU110" i="10"/>
  <c r="CT110" i="10"/>
  <c r="CS110" i="10"/>
  <c r="CR110" i="10"/>
  <c r="CQ110" i="10"/>
  <c r="CP110" i="10"/>
  <c r="CO110" i="10"/>
  <c r="CB110" i="10"/>
  <c r="BV110" i="10"/>
  <c r="BU110" i="10"/>
  <c r="BR110" i="10"/>
  <c r="BP110" i="10"/>
  <c r="BO110" i="10"/>
  <c r="BN110" i="10"/>
  <c r="BM110" i="10"/>
  <c r="BJ110" i="10"/>
  <c r="DO109" i="10"/>
  <c r="DN109" i="10"/>
  <c r="DJ109" i="10"/>
  <c r="DI109" i="10"/>
  <c r="DH109" i="10"/>
  <c r="DG109" i="10"/>
  <c r="DF109" i="10"/>
  <c r="DE109" i="10"/>
  <c r="DD109" i="10"/>
  <c r="DC109" i="10"/>
  <c r="DB109" i="10"/>
  <c r="DA109" i="10"/>
  <c r="CZ109" i="10"/>
  <c r="CY109" i="10"/>
  <c r="CX109" i="10"/>
  <c r="CW109" i="10"/>
  <c r="CV109" i="10"/>
  <c r="CU109" i="10"/>
  <c r="CT109" i="10"/>
  <c r="CS109" i="10"/>
  <c r="CR109" i="10"/>
  <c r="CQ109" i="10"/>
  <c r="CP109" i="10"/>
  <c r="CO109" i="10"/>
  <c r="CB109" i="10"/>
  <c r="BV109" i="10"/>
  <c r="BU109" i="10"/>
  <c r="BR109" i="10"/>
  <c r="BP109" i="10"/>
  <c r="BO109" i="10"/>
  <c r="BN109" i="10"/>
  <c r="BM109" i="10"/>
  <c r="BJ109" i="10"/>
  <c r="DO108" i="10"/>
  <c r="DN108" i="10"/>
  <c r="DJ108" i="10"/>
  <c r="DI108" i="10"/>
  <c r="DH108" i="10"/>
  <c r="DG108" i="10"/>
  <c r="DF108" i="10"/>
  <c r="DE108" i="10"/>
  <c r="DD108" i="10"/>
  <c r="DC108" i="10"/>
  <c r="DB108" i="10"/>
  <c r="DA108" i="10"/>
  <c r="CZ108" i="10"/>
  <c r="CY108" i="10"/>
  <c r="CX108" i="10"/>
  <c r="CW108" i="10"/>
  <c r="CV108" i="10"/>
  <c r="CU108" i="10"/>
  <c r="CT108" i="10"/>
  <c r="CS108" i="10"/>
  <c r="CR108" i="10"/>
  <c r="CQ108" i="10"/>
  <c r="CP108" i="10"/>
  <c r="CO108" i="10"/>
  <c r="CB108" i="10"/>
  <c r="BV108" i="10"/>
  <c r="BU108" i="10"/>
  <c r="BR108" i="10"/>
  <c r="BP108" i="10"/>
  <c r="BO108" i="10"/>
  <c r="BN108" i="10"/>
  <c r="BM108" i="10"/>
  <c r="BJ108" i="10"/>
  <c r="DO107" i="10"/>
  <c r="DN107" i="10"/>
  <c r="DJ107" i="10"/>
  <c r="DI107" i="10"/>
  <c r="DH107" i="10"/>
  <c r="DG107" i="10"/>
  <c r="DF107" i="10"/>
  <c r="DE107" i="10"/>
  <c r="DD107" i="10"/>
  <c r="DC107" i="10"/>
  <c r="DB107" i="10"/>
  <c r="DA107" i="10"/>
  <c r="CZ107" i="10"/>
  <c r="CY107" i="10"/>
  <c r="CX107" i="10"/>
  <c r="CW107" i="10"/>
  <c r="CV107" i="10"/>
  <c r="CU107" i="10"/>
  <c r="CT107" i="10"/>
  <c r="CS107" i="10"/>
  <c r="CR107" i="10"/>
  <c r="CQ107" i="10"/>
  <c r="CP107" i="10"/>
  <c r="CO107" i="10"/>
  <c r="CB107" i="10"/>
  <c r="BV107" i="10"/>
  <c r="BU107" i="10"/>
  <c r="BR107" i="10"/>
  <c r="BP107" i="10"/>
  <c r="BO107" i="10"/>
  <c r="BN107" i="10"/>
  <c r="BM107" i="10"/>
  <c r="BJ107" i="10"/>
  <c r="DO106" i="10"/>
  <c r="DN106" i="10"/>
  <c r="DJ106" i="10"/>
  <c r="DI106" i="10"/>
  <c r="DH106" i="10"/>
  <c r="DG106" i="10"/>
  <c r="DF106" i="10"/>
  <c r="DE106" i="10"/>
  <c r="DD106" i="10"/>
  <c r="DC106" i="10"/>
  <c r="DB106" i="10"/>
  <c r="DA106" i="10"/>
  <c r="CZ106" i="10"/>
  <c r="CY106" i="10"/>
  <c r="CX106" i="10"/>
  <c r="CW106" i="10"/>
  <c r="CV106" i="10"/>
  <c r="CU106" i="10"/>
  <c r="CT106" i="10"/>
  <c r="CS106" i="10"/>
  <c r="CR106" i="10"/>
  <c r="CQ106" i="10"/>
  <c r="CP106" i="10"/>
  <c r="CO106" i="10"/>
  <c r="CB106" i="10"/>
  <c r="BV106" i="10"/>
  <c r="BU106" i="10"/>
  <c r="BR106" i="10"/>
  <c r="BP106" i="10"/>
  <c r="BO106" i="10"/>
  <c r="BN106" i="10"/>
  <c r="BM106" i="10"/>
  <c r="BJ106" i="10"/>
  <c r="DO105" i="10"/>
  <c r="DN105" i="10"/>
  <c r="DJ105" i="10"/>
  <c r="DI105" i="10"/>
  <c r="DH105" i="10"/>
  <c r="DG105" i="10"/>
  <c r="DF105" i="10"/>
  <c r="DE105" i="10"/>
  <c r="DD105" i="10"/>
  <c r="DC105" i="10"/>
  <c r="DB105" i="10"/>
  <c r="DA105" i="10"/>
  <c r="CZ105" i="10"/>
  <c r="CY105" i="10"/>
  <c r="CX105" i="10"/>
  <c r="CW105" i="10"/>
  <c r="CV105" i="10"/>
  <c r="CU105" i="10"/>
  <c r="CT105" i="10"/>
  <c r="CS105" i="10"/>
  <c r="CR105" i="10"/>
  <c r="CQ105" i="10"/>
  <c r="CP105" i="10"/>
  <c r="CO105" i="10"/>
  <c r="CB105" i="10"/>
  <c r="BV105" i="10"/>
  <c r="BU105" i="10"/>
  <c r="BR105" i="10"/>
  <c r="BP105" i="10"/>
  <c r="BO105" i="10"/>
  <c r="BN105" i="10"/>
  <c r="BM105" i="10"/>
  <c r="BJ105" i="10"/>
  <c r="DO104" i="10"/>
  <c r="DN104" i="10"/>
  <c r="DJ104" i="10"/>
  <c r="DI104" i="10"/>
  <c r="DH104" i="10"/>
  <c r="DG104" i="10"/>
  <c r="DF104" i="10"/>
  <c r="DE104" i="10"/>
  <c r="DD104" i="10"/>
  <c r="DC104" i="10"/>
  <c r="DB104" i="10"/>
  <c r="DA104" i="10"/>
  <c r="CZ104" i="10"/>
  <c r="CY104" i="10"/>
  <c r="CX104" i="10"/>
  <c r="CW104" i="10"/>
  <c r="CV104" i="10"/>
  <c r="CU104" i="10"/>
  <c r="CT104" i="10"/>
  <c r="CS104" i="10"/>
  <c r="CR104" i="10"/>
  <c r="CQ104" i="10"/>
  <c r="CP104" i="10"/>
  <c r="CO104" i="10"/>
  <c r="CB104" i="10"/>
  <c r="BV104" i="10"/>
  <c r="BU104" i="10"/>
  <c r="BR104" i="10"/>
  <c r="BP104" i="10"/>
  <c r="BO104" i="10"/>
  <c r="BN104" i="10"/>
  <c r="BM104" i="10"/>
  <c r="BJ104" i="10"/>
  <c r="DO103" i="10"/>
  <c r="DN103" i="10"/>
  <c r="DJ103" i="10"/>
  <c r="DI103" i="10"/>
  <c r="DH103" i="10"/>
  <c r="DG103" i="10"/>
  <c r="DF103" i="10"/>
  <c r="DE103" i="10"/>
  <c r="DD103" i="10"/>
  <c r="DC103" i="10"/>
  <c r="DB103" i="10"/>
  <c r="DA103" i="10"/>
  <c r="CZ103" i="10"/>
  <c r="CY103" i="10"/>
  <c r="CX103" i="10"/>
  <c r="CW103" i="10"/>
  <c r="CV103" i="10"/>
  <c r="CU103" i="10"/>
  <c r="CT103" i="10"/>
  <c r="CS103" i="10"/>
  <c r="CR103" i="10"/>
  <c r="CQ103" i="10"/>
  <c r="CP103" i="10"/>
  <c r="CO103" i="10"/>
  <c r="CB103" i="10"/>
  <c r="BV103" i="10"/>
  <c r="BU103" i="10"/>
  <c r="BR103" i="10"/>
  <c r="BP103" i="10"/>
  <c r="BO103" i="10"/>
  <c r="BN103" i="10"/>
  <c r="BM103" i="10"/>
  <c r="BJ103" i="10"/>
  <c r="DO102" i="10"/>
  <c r="DN102" i="10"/>
  <c r="DJ102" i="10"/>
  <c r="DI102" i="10"/>
  <c r="DH102" i="10"/>
  <c r="DG102" i="10"/>
  <c r="DF102" i="10"/>
  <c r="DE102" i="10"/>
  <c r="DD102" i="10"/>
  <c r="DC102" i="10"/>
  <c r="DB102" i="10"/>
  <c r="DA102" i="10"/>
  <c r="CZ102" i="10"/>
  <c r="CY102" i="10"/>
  <c r="CX102" i="10"/>
  <c r="CW102" i="10"/>
  <c r="CV102" i="10"/>
  <c r="CU102" i="10"/>
  <c r="CT102" i="10"/>
  <c r="CS102" i="10"/>
  <c r="CR102" i="10"/>
  <c r="CQ102" i="10"/>
  <c r="CP102" i="10"/>
  <c r="CO102" i="10"/>
  <c r="CB102" i="10"/>
  <c r="BV102" i="10"/>
  <c r="BU102" i="10"/>
  <c r="BR102" i="10"/>
  <c r="BP102" i="10"/>
  <c r="BO102" i="10"/>
  <c r="BN102" i="10"/>
  <c r="BM102" i="10"/>
  <c r="BJ102" i="10"/>
  <c r="DO101" i="10"/>
  <c r="DN101" i="10"/>
  <c r="DJ101" i="10"/>
  <c r="DI101" i="10"/>
  <c r="DH101" i="10"/>
  <c r="DG101" i="10"/>
  <c r="DF101" i="10"/>
  <c r="DE101" i="10"/>
  <c r="DD101" i="10"/>
  <c r="DC101" i="10"/>
  <c r="DB101" i="10"/>
  <c r="DA101" i="10"/>
  <c r="CZ101" i="10"/>
  <c r="CY101" i="10"/>
  <c r="CX101" i="10"/>
  <c r="CW101" i="10"/>
  <c r="CV101" i="10"/>
  <c r="CU101" i="10"/>
  <c r="CT101" i="10"/>
  <c r="CS101" i="10"/>
  <c r="CR101" i="10"/>
  <c r="CQ101" i="10"/>
  <c r="CP101" i="10"/>
  <c r="CO101" i="10"/>
  <c r="CB101" i="10"/>
  <c r="BV101" i="10"/>
  <c r="BU101" i="10"/>
  <c r="BR101" i="10"/>
  <c r="BP101" i="10"/>
  <c r="BO101" i="10"/>
  <c r="BN101" i="10"/>
  <c r="BM101" i="10"/>
  <c r="BJ101" i="10"/>
  <c r="DO100" i="10"/>
  <c r="DN100" i="10"/>
  <c r="DJ100" i="10"/>
  <c r="DI100" i="10"/>
  <c r="DH100" i="10"/>
  <c r="DG100" i="10"/>
  <c r="DF100" i="10"/>
  <c r="DE100" i="10"/>
  <c r="DD100" i="10"/>
  <c r="DC100" i="10"/>
  <c r="DB100" i="10"/>
  <c r="DA100" i="10"/>
  <c r="CZ100" i="10"/>
  <c r="CY100" i="10"/>
  <c r="CX100" i="10"/>
  <c r="CW100" i="10"/>
  <c r="CV100" i="10"/>
  <c r="CU100" i="10"/>
  <c r="CT100" i="10"/>
  <c r="CS100" i="10"/>
  <c r="CR100" i="10"/>
  <c r="CQ100" i="10"/>
  <c r="CP100" i="10"/>
  <c r="CO100" i="10"/>
  <c r="CB100" i="10"/>
  <c r="BV100" i="10"/>
  <c r="BU100" i="10"/>
  <c r="BR100" i="10"/>
  <c r="BP100" i="10"/>
  <c r="BO100" i="10"/>
  <c r="BN100" i="10"/>
  <c r="BM100" i="10"/>
  <c r="BJ100" i="10"/>
  <c r="DO99" i="10"/>
  <c r="DN99" i="10"/>
  <c r="DJ99" i="10"/>
  <c r="DI99" i="10"/>
  <c r="DH99" i="10"/>
  <c r="DG99" i="10"/>
  <c r="DF99" i="10"/>
  <c r="DE99" i="10"/>
  <c r="DD99" i="10"/>
  <c r="DC99" i="10"/>
  <c r="DB99" i="10"/>
  <c r="DA99" i="10"/>
  <c r="CZ99" i="10"/>
  <c r="CY99" i="10"/>
  <c r="CX99" i="10"/>
  <c r="CW99" i="10"/>
  <c r="CV99" i="10"/>
  <c r="CU99" i="10"/>
  <c r="CT99" i="10"/>
  <c r="CS99" i="10"/>
  <c r="CR99" i="10"/>
  <c r="CQ99" i="10"/>
  <c r="CP99" i="10"/>
  <c r="CO99" i="10"/>
  <c r="CB99" i="10"/>
  <c r="BV99" i="10"/>
  <c r="BU99" i="10"/>
  <c r="BR99" i="10"/>
  <c r="BP99" i="10"/>
  <c r="BO99" i="10"/>
  <c r="BN99" i="10"/>
  <c r="BM99" i="10"/>
  <c r="BJ99" i="10"/>
  <c r="DO98" i="10"/>
  <c r="DN98" i="10"/>
  <c r="DJ98" i="10"/>
  <c r="DI98" i="10"/>
  <c r="DH98" i="10"/>
  <c r="DG98" i="10"/>
  <c r="DF98" i="10"/>
  <c r="DE98" i="10"/>
  <c r="DD98" i="10"/>
  <c r="DC98" i="10"/>
  <c r="DB98" i="10"/>
  <c r="DA98" i="10"/>
  <c r="CZ98" i="10"/>
  <c r="CY98" i="10"/>
  <c r="CX98" i="10"/>
  <c r="CW98" i="10"/>
  <c r="CV98" i="10"/>
  <c r="CU98" i="10"/>
  <c r="CT98" i="10"/>
  <c r="CS98" i="10"/>
  <c r="CR98" i="10"/>
  <c r="CQ98" i="10"/>
  <c r="CP98" i="10"/>
  <c r="CO98" i="10"/>
  <c r="CB98" i="10"/>
  <c r="BV98" i="10"/>
  <c r="BU98" i="10"/>
  <c r="BR98" i="10"/>
  <c r="BP98" i="10"/>
  <c r="BO98" i="10"/>
  <c r="BN98" i="10"/>
  <c r="BM98" i="10"/>
  <c r="BJ98" i="10"/>
  <c r="DO97" i="10"/>
  <c r="DN97" i="10"/>
  <c r="DJ97" i="10"/>
  <c r="DI97" i="10"/>
  <c r="DH97" i="10"/>
  <c r="DG97" i="10"/>
  <c r="DF97" i="10"/>
  <c r="DE97" i="10"/>
  <c r="DD97" i="10"/>
  <c r="DC97" i="10"/>
  <c r="DB97" i="10"/>
  <c r="DA97" i="10"/>
  <c r="CZ97" i="10"/>
  <c r="CY97" i="10"/>
  <c r="CX97" i="10"/>
  <c r="CW97" i="10"/>
  <c r="CV97" i="10"/>
  <c r="CU97" i="10"/>
  <c r="CT97" i="10"/>
  <c r="CS97" i="10"/>
  <c r="CR97" i="10"/>
  <c r="CQ97" i="10"/>
  <c r="CP97" i="10"/>
  <c r="CO97" i="10"/>
  <c r="CB97" i="10"/>
  <c r="BV97" i="10"/>
  <c r="BU97" i="10"/>
  <c r="BR97" i="10"/>
  <c r="BP97" i="10"/>
  <c r="BO97" i="10"/>
  <c r="BN97" i="10"/>
  <c r="BM97" i="10"/>
  <c r="BJ97" i="10"/>
  <c r="DO96" i="10"/>
  <c r="DN96" i="10"/>
  <c r="DJ96" i="10"/>
  <c r="DI96" i="10"/>
  <c r="DH96" i="10"/>
  <c r="DG96" i="10"/>
  <c r="DF96" i="10"/>
  <c r="DE96" i="10"/>
  <c r="DD96" i="10"/>
  <c r="DC96" i="10"/>
  <c r="DB96" i="10"/>
  <c r="DA96" i="10"/>
  <c r="CZ96" i="10"/>
  <c r="CY96" i="10"/>
  <c r="CX96" i="10"/>
  <c r="CW96" i="10"/>
  <c r="CV96" i="10"/>
  <c r="CU96" i="10"/>
  <c r="CT96" i="10"/>
  <c r="CS96" i="10"/>
  <c r="CR96" i="10"/>
  <c r="CQ96" i="10"/>
  <c r="CP96" i="10"/>
  <c r="CO96" i="10"/>
  <c r="CB96" i="10"/>
  <c r="BV96" i="10"/>
  <c r="BU96" i="10"/>
  <c r="BR96" i="10"/>
  <c r="BP96" i="10"/>
  <c r="BO96" i="10"/>
  <c r="BN96" i="10"/>
  <c r="BM96" i="10"/>
  <c r="BJ96" i="10"/>
  <c r="DO95" i="10"/>
  <c r="DN95" i="10"/>
  <c r="DJ95" i="10"/>
  <c r="DI95" i="10"/>
  <c r="DH95" i="10"/>
  <c r="DG95" i="10"/>
  <c r="DF95" i="10"/>
  <c r="DE95" i="10"/>
  <c r="DD95" i="10"/>
  <c r="DC95" i="10"/>
  <c r="DB95" i="10"/>
  <c r="DA95" i="10"/>
  <c r="CZ95" i="10"/>
  <c r="CY95" i="10"/>
  <c r="CX95" i="10"/>
  <c r="CW95" i="10"/>
  <c r="CV95" i="10"/>
  <c r="CU95" i="10"/>
  <c r="CT95" i="10"/>
  <c r="CS95" i="10"/>
  <c r="CR95" i="10"/>
  <c r="CQ95" i="10"/>
  <c r="CP95" i="10"/>
  <c r="CO95" i="10"/>
  <c r="CB95" i="10"/>
  <c r="BV95" i="10"/>
  <c r="BU95" i="10"/>
  <c r="BR95" i="10"/>
  <c r="BP95" i="10"/>
  <c r="BO95" i="10"/>
  <c r="BN95" i="10"/>
  <c r="BM95" i="10"/>
  <c r="BJ95" i="10"/>
  <c r="DO94" i="10"/>
  <c r="DN94" i="10"/>
  <c r="DJ94" i="10"/>
  <c r="DI94" i="10"/>
  <c r="DH94" i="10"/>
  <c r="DG94" i="10"/>
  <c r="DF94" i="10"/>
  <c r="DE94" i="10"/>
  <c r="DD94" i="10"/>
  <c r="DC94" i="10"/>
  <c r="DB94" i="10"/>
  <c r="DA94" i="10"/>
  <c r="CZ94" i="10"/>
  <c r="CY94" i="10"/>
  <c r="CX94" i="10"/>
  <c r="CW94" i="10"/>
  <c r="CV94" i="10"/>
  <c r="CU94" i="10"/>
  <c r="CT94" i="10"/>
  <c r="CS94" i="10"/>
  <c r="CR94" i="10"/>
  <c r="CQ94" i="10"/>
  <c r="CP94" i="10"/>
  <c r="CO94" i="10"/>
  <c r="CB94" i="10"/>
  <c r="BV94" i="10"/>
  <c r="BU94" i="10"/>
  <c r="BR94" i="10"/>
  <c r="BP94" i="10"/>
  <c r="BO94" i="10"/>
  <c r="BN94" i="10"/>
  <c r="BM94" i="10"/>
  <c r="BJ94" i="10"/>
  <c r="DO93" i="10"/>
  <c r="DN93" i="10"/>
  <c r="DJ93" i="10"/>
  <c r="DI93" i="10"/>
  <c r="DH93" i="10"/>
  <c r="DG93" i="10"/>
  <c r="DF93" i="10"/>
  <c r="DE93" i="10"/>
  <c r="DD93" i="10"/>
  <c r="DC93" i="10"/>
  <c r="DB93" i="10"/>
  <c r="DA93" i="10"/>
  <c r="CZ93" i="10"/>
  <c r="CY93" i="10"/>
  <c r="CX93" i="10"/>
  <c r="CW93" i="10"/>
  <c r="CV93" i="10"/>
  <c r="CU93" i="10"/>
  <c r="CT93" i="10"/>
  <c r="CS93" i="10"/>
  <c r="CR93" i="10"/>
  <c r="CQ93" i="10"/>
  <c r="CP93" i="10"/>
  <c r="CO93" i="10"/>
  <c r="CB93" i="10"/>
  <c r="BV93" i="10"/>
  <c r="BU93" i="10"/>
  <c r="BR93" i="10"/>
  <c r="BP93" i="10"/>
  <c r="BO93" i="10"/>
  <c r="BN93" i="10"/>
  <c r="BM93" i="10"/>
  <c r="BJ93" i="10"/>
  <c r="DO92" i="10"/>
  <c r="DN92" i="10"/>
  <c r="DJ92" i="10"/>
  <c r="DI92" i="10"/>
  <c r="DH92" i="10"/>
  <c r="DG92" i="10"/>
  <c r="DF92" i="10"/>
  <c r="DE92" i="10"/>
  <c r="DD92" i="10"/>
  <c r="DC92" i="10"/>
  <c r="DB92" i="10"/>
  <c r="DA92" i="10"/>
  <c r="CZ92" i="10"/>
  <c r="CY92" i="10"/>
  <c r="CX92" i="10"/>
  <c r="CW92" i="10"/>
  <c r="CV92" i="10"/>
  <c r="CU92" i="10"/>
  <c r="CT92" i="10"/>
  <c r="CS92" i="10"/>
  <c r="CR92" i="10"/>
  <c r="CQ92" i="10"/>
  <c r="CP92" i="10"/>
  <c r="CO92" i="10"/>
  <c r="CB92" i="10"/>
  <c r="BV92" i="10"/>
  <c r="BU92" i="10"/>
  <c r="BR92" i="10"/>
  <c r="BP92" i="10"/>
  <c r="BO92" i="10"/>
  <c r="BN92" i="10"/>
  <c r="BM92" i="10"/>
  <c r="BJ92" i="10"/>
  <c r="DO91" i="10"/>
  <c r="DN91" i="10"/>
  <c r="DJ91" i="10"/>
  <c r="DI91" i="10"/>
  <c r="DH91" i="10"/>
  <c r="DG91" i="10"/>
  <c r="DF91" i="10"/>
  <c r="DE91" i="10"/>
  <c r="DD91" i="10"/>
  <c r="DC91" i="10"/>
  <c r="DB91" i="10"/>
  <c r="DA91" i="10"/>
  <c r="CZ91" i="10"/>
  <c r="CY91" i="10"/>
  <c r="CX91" i="10"/>
  <c r="CW91" i="10"/>
  <c r="CV91" i="10"/>
  <c r="CU91" i="10"/>
  <c r="CT91" i="10"/>
  <c r="CS91" i="10"/>
  <c r="CR91" i="10"/>
  <c r="CQ91" i="10"/>
  <c r="CP91" i="10"/>
  <c r="CO91" i="10"/>
  <c r="CB91" i="10"/>
  <c r="BV91" i="10"/>
  <c r="BU91" i="10"/>
  <c r="BR91" i="10"/>
  <c r="BP91" i="10"/>
  <c r="BO91" i="10"/>
  <c r="BN91" i="10"/>
  <c r="BM91" i="10"/>
  <c r="BJ91" i="10"/>
  <c r="DO90" i="10"/>
  <c r="DN90" i="10"/>
  <c r="DJ90" i="10"/>
  <c r="DI90" i="10"/>
  <c r="DH90" i="10"/>
  <c r="DG90" i="10"/>
  <c r="DF90" i="10"/>
  <c r="DE90" i="10"/>
  <c r="DD90" i="10"/>
  <c r="DC90" i="10"/>
  <c r="DB90" i="10"/>
  <c r="DA90" i="10"/>
  <c r="CZ90" i="10"/>
  <c r="CY90" i="10"/>
  <c r="CX90" i="10"/>
  <c r="CW90" i="10"/>
  <c r="CV90" i="10"/>
  <c r="CU90" i="10"/>
  <c r="CT90" i="10"/>
  <c r="CS90" i="10"/>
  <c r="CR90" i="10"/>
  <c r="CQ90" i="10"/>
  <c r="CP90" i="10"/>
  <c r="CO90" i="10"/>
  <c r="CB90" i="10"/>
  <c r="BV90" i="10"/>
  <c r="BU90" i="10"/>
  <c r="BR90" i="10"/>
  <c r="BP90" i="10"/>
  <c r="BO90" i="10"/>
  <c r="BN90" i="10"/>
  <c r="BM90" i="10"/>
  <c r="BJ90" i="10"/>
  <c r="DO89" i="10"/>
  <c r="DN89" i="10"/>
  <c r="DJ89" i="10"/>
  <c r="DI89" i="10"/>
  <c r="DH89" i="10"/>
  <c r="DG89" i="10"/>
  <c r="DF89" i="10"/>
  <c r="DE89" i="10"/>
  <c r="DD89" i="10"/>
  <c r="DC89" i="10"/>
  <c r="DB89" i="10"/>
  <c r="DA89" i="10"/>
  <c r="CZ89" i="10"/>
  <c r="CY89" i="10"/>
  <c r="CX89" i="10"/>
  <c r="CW89" i="10"/>
  <c r="CV89" i="10"/>
  <c r="CU89" i="10"/>
  <c r="CT89" i="10"/>
  <c r="CS89" i="10"/>
  <c r="CR89" i="10"/>
  <c r="CQ89" i="10"/>
  <c r="CP89" i="10"/>
  <c r="CO89" i="10"/>
  <c r="CB89" i="10"/>
  <c r="BV89" i="10"/>
  <c r="BU89" i="10"/>
  <c r="BR89" i="10"/>
  <c r="BP89" i="10"/>
  <c r="BO89" i="10"/>
  <c r="BN89" i="10"/>
  <c r="BM89" i="10"/>
  <c r="BJ89" i="10"/>
  <c r="DO88" i="10"/>
  <c r="DN88" i="10"/>
  <c r="DJ88" i="10"/>
  <c r="DI88" i="10"/>
  <c r="DH88" i="10"/>
  <c r="DG88" i="10"/>
  <c r="DF88" i="10"/>
  <c r="DE88" i="10"/>
  <c r="DD88" i="10"/>
  <c r="DC88" i="10"/>
  <c r="DB88" i="10"/>
  <c r="DA88" i="10"/>
  <c r="CZ88" i="10"/>
  <c r="CY88" i="10"/>
  <c r="CX88" i="10"/>
  <c r="CW88" i="10"/>
  <c r="CV88" i="10"/>
  <c r="CU88" i="10"/>
  <c r="CT88" i="10"/>
  <c r="CS88" i="10"/>
  <c r="CR88" i="10"/>
  <c r="CQ88" i="10"/>
  <c r="CP88" i="10"/>
  <c r="CO88" i="10"/>
  <c r="CB88" i="10"/>
  <c r="BV88" i="10"/>
  <c r="BU88" i="10"/>
  <c r="BR88" i="10"/>
  <c r="BP88" i="10"/>
  <c r="BO88" i="10"/>
  <c r="BN88" i="10"/>
  <c r="BM88" i="10"/>
  <c r="BJ88" i="10"/>
  <c r="DO87" i="10"/>
  <c r="DN87" i="10"/>
  <c r="DJ87" i="10"/>
  <c r="DI87" i="10"/>
  <c r="DH87" i="10"/>
  <c r="DG87" i="10"/>
  <c r="DF87" i="10"/>
  <c r="DE87" i="10"/>
  <c r="DD87" i="10"/>
  <c r="DC87" i="10"/>
  <c r="DB87" i="10"/>
  <c r="DA87" i="10"/>
  <c r="CZ87" i="10"/>
  <c r="CY87" i="10"/>
  <c r="CX87" i="10"/>
  <c r="CW87" i="10"/>
  <c r="CV87" i="10"/>
  <c r="CU87" i="10"/>
  <c r="CT87" i="10"/>
  <c r="CS87" i="10"/>
  <c r="CR87" i="10"/>
  <c r="CQ87" i="10"/>
  <c r="CP87" i="10"/>
  <c r="CO87" i="10"/>
  <c r="CB87" i="10"/>
  <c r="BV87" i="10"/>
  <c r="BU87" i="10"/>
  <c r="BR87" i="10"/>
  <c r="BP87" i="10"/>
  <c r="BO87" i="10"/>
  <c r="BN87" i="10"/>
  <c r="BM87" i="10"/>
  <c r="BJ87" i="10"/>
  <c r="DO86" i="10"/>
  <c r="DN86" i="10"/>
  <c r="DJ86" i="10"/>
  <c r="DI86" i="10"/>
  <c r="DH86" i="10"/>
  <c r="DG86" i="10"/>
  <c r="DF86" i="10"/>
  <c r="DE86" i="10"/>
  <c r="DD86" i="10"/>
  <c r="DC86" i="10"/>
  <c r="DB86" i="10"/>
  <c r="DA86" i="10"/>
  <c r="CZ86" i="10"/>
  <c r="CY86" i="10"/>
  <c r="CX86" i="10"/>
  <c r="CW86" i="10"/>
  <c r="CV86" i="10"/>
  <c r="CU86" i="10"/>
  <c r="CT86" i="10"/>
  <c r="CS86" i="10"/>
  <c r="CR86" i="10"/>
  <c r="CQ86" i="10"/>
  <c r="CP86" i="10"/>
  <c r="CO86" i="10"/>
  <c r="CB86" i="10"/>
  <c r="BV86" i="10"/>
  <c r="BU86" i="10"/>
  <c r="BR86" i="10"/>
  <c r="BP86" i="10"/>
  <c r="BO86" i="10"/>
  <c r="BN86" i="10"/>
  <c r="BM86" i="10"/>
  <c r="BJ86" i="10"/>
  <c r="DO85" i="10"/>
  <c r="DN85" i="10"/>
  <c r="DJ85" i="10"/>
  <c r="DI85" i="10"/>
  <c r="DH85" i="10"/>
  <c r="DG85" i="10"/>
  <c r="DF85" i="10"/>
  <c r="DE85" i="10"/>
  <c r="DD85" i="10"/>
  <c r="DC85" i="10"/>
  <c r="DB85" i="10"/>
  <c r="DA85" i="10"/>
  <c r="CZ85" i="10"/>
  <c r="CY85" i="10"/>
  <c r="CX85" i="10"/>
  <c r="CW85" i="10"/>
  <c r="CV85" i="10"/>
  <c r="CU85" i="10"/>
  <c r="CT85" i="10"/>
  <c r="CS85" i="10"/>
  <c r="CR85" i="10"/>
  <c r="CQ85" i="10"/>
  <c r="CP85" i="10"/>
  <c r="CO85" i="10"/>
  <c r="CB85" i="10"/>
  <c r="BV85" i="10"/>
  <c r="BU85" i="10"/>
  <c r="BR85" i="10"/>
  <c r="BP85" i="10"/>
  <c r="BO85" i="10"/>
  <c r="BN85" i="10"/>
  <c r="BM85" i="10"/>
  <c r="BJ85" i="10"/>
  <c r="DO84" i="10"/>
  <c r="DN84" i="10"/>
  <c r="DJ84" i="10"/>
  <c r="DI84" i="10"/>
  <c r="DH84" i="10"/>
  <c r="DG84" i="10"/>
  <c r="DF84" i="10"/>
  <c r="DE84" i="10"/>
  <c r="DD84" i="10"/>
  <c r="DC84" i="10"/>
  <c r="DB84" i="10"/>
  <c r="DA84" i="10"/>
  <c r="CZ84" i="10"/>
  <c r="CY84" i="10"/>
  <c r="CX84" i="10"/>
  <c r="CW84" i="10"/>
  <c r="CV84" i="10"/>
  <c r="CU84" i="10"/>
  <c r="CT84" i="10"/>
  <c r="CS84" i="10"/>
  <c r="CR84" i="10"/>
  <c r="CQ84" i="10"/>
  <c r="CP84" i="10"/>
  <c r="CO84" i="10"/>
  <c r="CB84" i="10"/>
  <c r="BV84" i="10"/>
  <c r="BU84" i="10"/>
  <c r="BR84" i="10"/>
  <c r="BP84" i="10"/>
  <c r="BO84" i="10"/>
  <c r="BN84" i="10"/>
  <c r="BM84" i="10"/>
  <c r="BJ84" i="10"/>
  <c r="DO83" i="10"/>
  <c r="DN83" i="10"/>
  <c r="DJ83" i="10"/>
  <c r="DI83" i="10"/>
  <c r="DH83" i="10"/>
  <c r="DG83" i="10"/>
  <c r="DF83" i="10"/>
  <c r="DE83" i="10"/>
  <c r="DD83" i="10"/>
  <c r="DC83" i="10"/>
  <c r="DB83" i="10"/>
  <c r="DA83" i="10"/>
  <c r="CZ83" i="10"/>
  <c r="CY83" i="10"/>
  <c r="CX83" i="10"/>
  <c r="CW83" i="10"/>
  <c r="CV83" i="10"/>
  <c r="CU83" i="10"/>
  <c r="CT83" i="10"/>
  <c r="CS83" i="10"/>
  <c r="CR83" i="10"/>
  <c r="CQ83" i="10"/>
  <c r="CP83" i="10"/>
  <c r="CO83" i="10"/>
  <c r="CB83" i="10"/>
  <c r="BV83" i="10"/>
  <c r="BU83" i="10"/>
  <c r="BR83" i="10"/>
  <c r="BP83" i="10"/>
  <c r="BO83" i="10"/>
  <c r="BN83" i="10"/>
  <c r="BM83" i="10"/>
  <c r="BJ83" i="10"/>
  <c r="DO82" i="10"/>
  <c r="DN82" i="10"/>
  <c r="DJ82" i="10"/>
  <c r="DI82" i="10"/>
  <c r="DH82" i="10"/>
  <c r="DG82" i="10"/>
  <c r="DF82" i="10"/>
  <c r="DE82" i="10"/>
  <c r="DD82" i="10"/>
  <c r="DC82" i="10"/>
  <c r="DB82" i="10"/>
  <c r="DA82" i="10"/>
  <c r="CZ82" i="10"/>
  <c r="CY82" i="10"/>
  <c r="CX82" i="10"/>
  <c r="CW82" i="10"/>
  <c r="CV82" i="10"/>
  <c r="CU82" i="10"/>
  <c r="CT82" i="10"/>
  <c r="CS82" i="10"/>
  <c r="CR82" i="10"/>
  <c r="CQ82" i="10"/>
  <c r="CP82" i="10"/>
  <c r="CO82" i="10"/>
  <c r="CB82" i="10"/>
  <c r="BV82" i="10"/>
  <c r="BU82" i="10"/>
  <c r="BR82" i="10"/>
  <c r="BP82" i="10"/>
  <c r="BO82" i="10"/>
  <c r="BN82" i="10"/>
  <c r="BM82" i="10"/>
  <c r="BJ82" i="10"/>
  <c r="DO81" i="10"/>
  <c r="DN81" i="10"/>
  <c r="DJ81" i="10"/>
  <c r="DI81" i="10"/>
  <c r="DH81" i="10"/>
  <c r="DG81" i="10"/>
  <c r="DF81" i="10"/>
  <c r="DE81" i="10"/>
  <c r="DD81" i="10"/>
  <c r="DC81" i="10"/>
  <c r="DB81" i="10"/>
  <c r="DA81" i="10"/>
  <c r="CZ81" i="10"/>
  <c r="CY81" i="10"/>
  <c r="CX81" i="10"/>
  <c r="CW81" i="10"/>
  <c r="CV81" i="10"/>
  <c r="CU81" i="10"/>
  <c r="CT81" i="10"/>
  <c r="CS81" i="10"/>
  <c r="CR81" i="10"/>
  <c r="CQ81" i="10"/>
  <c r="CP81" i="10"/>
  <c r="CO81" i="10"/>
  <c r="CB81" i="10"/>
  <c r="BV81" i="10"/>
  <c r="BU81" i="10"/>
  <c r="BR81" i="10"/>
  <c r="BP81" i="10"/>
  <c r="BO81" i="10"/>
  <c r="BN81" i="10"/>
  <c r="BM81" i="10"/>
  <c r="BJ81" i="10"/>
  <c r="DO80" i="10"/>
  <c r="DN80" i="10"/>
  <c r="DJ80" i="10"/>
  <c r="DI80" i="10"/>
  <c r="DH80" i="10"/>
  <c r="DG80" i="10"/>
  <c r="DF80" i="10"/>
  <c r="DE80" i="10"/>
  <c r="DD80" i="10"/>
  <c r="DC80" i="10"/>
  <c r="DB80" i="10"/>
  <c r="DA80" i="10"/>
  <c r="CZ80" i="10"/>
  <c r="CY80" i="10"/>
  <c r="CX80" i="10"/>
  <c r="CW80" i="10"/>
  <c r="CV80" i="10"/>
  <c r="CU80" i="10"/>
  <c r="CT80" i="10"/>
  <c r="CS80" i="10"/>
  <c r="CR80" i="10"/>
  <c r="CQ80" i="10"/>
  <c r="CP80" i="10"/>
  <c r="CO80" i="10"/>
  <c r="CB80" i="10"/>
  <c r="BV80" i="10"/>
  <c r="BU80" i="10"/>
  <c r="BR80" i="10"/>
  <c r="BP80" i="10"/>
  <c r="BO80" i="10"/>
  <c r="BN80" i="10"/>
  <c r="BM80" i="10"/>
  <c r="BJ80" i="10"/>
  <c r="DO79" i="10"/>
  <c r="DN79" i="10"/>
  <c r="DJ79" i="10"/>
  <c r="DI79" i="10"/>
  <c r="DH79" i="10"/>
  <c r="DG79" i="10"/>
  <c r="DF79" i="10"/>
  <c r="DE79" i="10"/>
  <c r="DD79" i="10"/>
  <c r="DC79" i="10"/>
  <c r="DB79" i="10"/>
  <c r="DA79" i="10"/>
  <c r="CZ79" i="10"/>
  <c r="CY79" i="10"/>
  <c r="CX79" i="10"/>
  <c r="CW79" i="10"/>
  <c r="CV79" i="10"/>
  <c r="CU79" i="10"/>
  <c r="CT79" i="10"/>
  <c r="CS79" i="10"/>
  <c r="CR79" i="10"/>
  <c r="CQ79" i="10"/>
  <c r="CP79" i="10"/>
  <c r="CO79" i="10"/>
  <c r="CB79" i="10"/>
  <c r="BV79" i="10"/>
  <c r="BU79" i="10"/>
  <c r="BR79" i="10"/>
  <c r="BP79" i="10"/>
  <c r="BO79" i="10"/>
  <c r="BN79" i="10"/>
  <c r="BM79" i="10"/>
  <c r="BJ79" i="10"/>
  <c r="DO78" i="10"/>
  <c r="DN78" i="10"/>
  <c r="DJ78" i="10"/>
  <c r="DI78" i="10"/>
  <c r="DH78" i="10"/>
  <c r="DG78" i="10"/>
  <c r="DF78" i="10"/>
  <c r="DE78" i="10"/>
  <c r="DD78" i="10"/>
  <c r="DC78" i="10"/>
  <c r="DB78" i="10"/>
  <c r="DA78" i="10"/>
  <c r="CZ78" i="10"/>
  <c r="CY78" i="10"/>
  <c r="CX78" i="10"/>
  <c r="CW78" i="10"/>
  <c r="CV78" i="10"/>
  <c r="CU78" i="10"/>
  <c r="CT78" i="10"/>
  <c r="CS78" i="10"/>
  <c r="CR78" i="10"/>
  <c r="CQ78" i="10"/>
  <c r="CP78" i="10"/>
  <c r="CO78" i="10"/>
  <c r="CB78" i="10"/>
  <c r="BV78" i="10"/>
  <c r="BU78" i="10"/>
  <c r="BR78" i="10"/>
  <c r="BP78" i="10"/>
  <c r="BO78" i="10"/>
  <c r="BN78" i="10"/>
  <c r="BM78" i="10"/>
  <c r="BJ78" i="10"/>
  <c r="DO77" i="10"/>
  <c r="DN77" i="10"/>
  <c r="DJ77" i="10"/>
  <c r="DI77" i="10"/>
  <c r="DH77" i="10"/>
  <c r="DG77" i="10"/>
  <c r="DF77" i="10"/>
  <c r="DE77" i="10"/>
  <c r="DD77" i="10"/>
  <c r="DC77" i="10"/>
  <c r="DB77" i="10"/>
  <c r="DA77" i="10"/>
  <c r="CZ77" i="10"/>
  <c r="CY77" i="10"/>
  <c r="CX77" i="10"/>
  <c r="CW77" i="10"/>
  <c r="CV77" i="10"/>
  <c r="CU77" i="10"/>
  <c r="CT77" i="10"/>
  <c r="CS77" i="10"/>
  <c r="CR77" i="10"/>
  <c r="CQ77" i="10"/>
  <c r="CP77" i="10"/>
  <c r="CO77" i="10"/>
  <c r="CB77" i="10"/>
  <c r="BV77" i="10"/>
  <c r="BU77" i="10"/>
  <c r="BR77" i="10"/>
  <c r="BP77" i="10"/>
  <c r="BO77" i="10"/>
  <c r="BN77" i="10"/>
  <c r="BM77" i="10"/>
  <c r="BJ77" i="10"/>
  <c r="DO76" i="10"/>
  <c r="DN76" i="10"/>
  <c r="DJ76" i="10"/>
  <c r="DI76" i="10"/>
  <c r="DH76" i="10"/>
  <c r="DG76" i="10"/>
  <c r="DF76" i="10"/>
  <c r="DE76" i="10"/>
  <c r="DD76" i="10"/>
  <c r="DC76" i="10"/>
  <c r="DB76" i="10"/>
  <c r="DA76" i="10"/>
  <c r="CZ76" i="10"/>
  <c r="CY76" i="10"/>
  <c r="CX76" i="10"/>
  <c r="CW76" i="10"/>
  <c r="CV76" i="10"/>
  <c r="CU76" i="10"/>
  <c r="CT76" i="10"/>
  <c r="CS76" i="10"/>
  <c r="CR76" i="10"/>
  <c r="CQ76" i="10"/>
  <c r="CP76" i="10"/>
  <c r="CO76" i="10"/>
  <c r="CB76" i="10"/>
  <c r="BV76" i="10"/>
  <c r="BU76" i="10"/>
  <c r="BR76" i="10"/>
  <c r="BP76" i="10"/>
  <c r="BO76" i="10"/>
  <c r="BN76" i="10"/>
  <c r="BM76" i="10"/>
  <c r="BJ76" i="10"/>
  <c r="DO75" i="10"/>
  <c r="DN75" i="10"/>
  <c r="DJ75" i="10"/>
  <c r="DI75" i="10"/>
  <c r="DH75" i="10"/>
  <c r="DG75" i="10"/>
  <c r="DF75" i="10"/>
  <c r="DE75" i="10"/>
  <c r="DD75" i="10"/>
  <c r="DC75" i="10"/>
  <c r="DB75" i="10"/>
  <c r="DA75" i="10"/>
  <c r="CZ75" i="10"/>
  <c r="CY75" i="10"/>
  <c r="CX75" i="10"/>
  <c r="CW75" i="10"/>
  <c r="CV75" i="10"/>
  <c r="CU75" i="10"/>
  <c r="CT75" i="10"/>
  <c r="CS75" i="10"/>
  <c r="CR75" i="10"/>
  <c r="CQ75" i="10"/>
  <c r="CP75" i="10"/>
  <c r="CO75" i="10"/>
  <c r="CB75" i="10"/>
  <c r="BV75" i="10"/>
  <c r="BU75" i="10"/>
  <c r="BR75" i="10"/>
  <c r="BP75" i="10"/>
  <c r="BO75" i="10"/>
  <c r="BN75" i="10"/>
  <c r="BM75" i="10"/>
  <c r="BJ75" i="10"/>
  <c r="DO74" i="10"/>
  <c r="DN74" i="10"/>
  <c r="DJ74" i="10"/>
  <c r="DI74" i="10"/>
  <c r="DH74" i="10"/>
  <c r="DG74" i="10"/>
  <c r="DF74" i="10"/>
  <c r="DE74" i="10"/>
  <c r="DD74" i="10"/>
  <c r="DC74" i="10"/>
  <c r="DB74" i="10"/>
  <c r="DA74" i="10"/>
  <c r="CZ74" i="10"/>
  <c r="CY74" i="10"/>
  <c r="CX74" i="10"/>
  <c r="CW74" i="10"/>
  <c r="CV74" i="10"/>
  <c r="CU74" i="10"/>
  <c r="CT74" i="10"/>
  <c r="CS74" i="10"/>
  <c r="CR74" i="10"/>
  <c r="CQ74" i="10"/>
  <c r="CP74" i="10"/>
  <c r="CO74" i="10"/>
  <c r="CB74" i="10"/>
  <c r="BV74" i="10"/>
  <c r="BU74" i="10"/>
  <c r="BR74" i="10"/>
  <c r="BP74" i="10"/>
  <c r="BO74" i="10"/>
  <c r="BN74" i="10"/>
  <c r="BM74" i="10"/>
  <c r="BJ74" i="10"/>
  <c r="BV73" i="10"/>
  <c r="BU73" i="10"/>
  <c r="BR73" i="10"/>
  <c r="BP73" i="10"/>
  <c r="BO73" i="10"/>
  <c r="BN73" i="10"/>
  <c r="BM73" i="10"/>
  <c r="BJ73" i="10"/>
  <c r="DO72" i="10"/>
  <c r="DN72" i="10"/>
  <c r="DJ72" i="10"/>
  <c r="DI72" i="10"/>
  <c r="DH72" i="10"/>
  <c r="DG72" i="10"/>
  <c r="DF72" i="10"/>
  <c r="DE72" i="10"/>
  <c r="DD72" i="10"/>
  <c r="DC72" i="10"/>
  <c r="DB72" i="10"/>
  <c r="DA72" i="10"/>
  <c r="CZ72" i="10"/>
  <c r="CY72" i="10"/>
  <c r="CX72" i="10"/>
  <c r="CW72" i="10"/>
  <c r="CV72" i="10"/>
  <c r="CU72" i="10"/>
  <c r="CT72" i="10"/>
  <c r="CS72" i="10"/>
  <c r="CR72" i="10"/>
  <c r="CQ72" i="10"/>
  <c r="CP72" i="10"/>
  <c r="CO72" i="10"/>
  <c r="CB72" i="10"/>
  <c r="BV72" i="10"/>
  <c r="BU72" i="10"/>
  <c r="BR72" i="10"/>
  <c r="BP72" i="10"/>
  <c r="BO72" i="10"/>
  <c r="BN72" i="10"/>
  <c r="BM72" i="10"/>
  <c r="BJ72" i="10"/>
  <c r="DO71" i="10"/>
  <c r="DN71" i="10"/>
  <c r="DJ71" i="10"/>
  <c r="DI71" i="10"/>
  <c r="DH71" i="10"/>
  <c r="DG71" i="10"/>
  <c r="DF71" i="10"/>
  <c r="DE71" i="10"/>
  <c r="DD71" i="10"/>
  <c r="DC71" i="10"/>
  <c r="DB71" i="10"/>
  <c r="DA71" i="10"/>
  <c r="CZ71" i="10"/>
  <c r="CY71" i="10"/>
  <c r="CX71" i="10"/>
  <c r="CW71" i="10"/>
  <c r="CV71" i="10"/>
  <c r="CU71" i="10"/>
  <c r="CT71" i="10"/>
  <c r="CS71" i="10"/>
  <c r="CR71" i="10"/>
  <c r="CQ71" i="10"/>
  <c r="CP71" i="10"/>
  <c r="CO71" i="10"/>
  <c r="CB71" i="10"/>
  <c r="BV71" i="10"/>
  <c r="BU71" i="10"/>
  <c r="BR71" i="10"/>
  <c r="BP71" i="10"/>
  <c r="BO71" i="10"/>
  <c r="BN71" i="10"/>
  <c r="BM71" i="10"/>
  <c r="BJ71" i="10"/>
  <c r="DO70" i="10"/>
  <c r="DN70" i="10"/>
  <c r="DJ70" i="10"/>
  <c r="DI70" i="10"/>
  <c r="DH70" i="10"/>
  <c r="DG70" i="10"/>
  <c r="DF70" i="10"/>
  <c r="DE70" i="10"/>
  <c r="DD70" i="10"/>
  <c r="DC70" i="10"/>
  <c r="DB70" i="10"/>
  <c r="DA70" i="10"/>
  <c r="CZ70" i="10"/>
  <c r="CY70" i="10"/>
  <c r="CX70" i="10"/>
  <c r="CW70" i="10"/>
  <c r="CV70" i="10"/>
  <c r="CU70" i="10"/>
  <c r="CT70" i="10"/>
  <c r="CS70" i="10"/>
  <c r="CR70" i="10"/>
  <c r="CQ70" i="10"/>
  <c r="CP70" i="10"/>
  <c r="CO70" i="10"/>
  <c r="CB70" i="10"/>
  <c r="BV70" i="10"/>
  <c r="BU70" i="10"/>
  <c r="BR70" i="10"/>
  <c r="BP70" i="10"/>
  <c r="BO70" i="10"/>
  <c r="BN70" i="10"/>
  <c r="BM70" i="10"/>
  <c r="BJ70" i="10"/>
  <c r="DO69" i="10"/>
  <c r="DN69" i="10"/>
  <c r="DJ69" i="10"/>
  <c r="DI69" i="10"/>
  <c r="DH69" i="10"/>
  <c r="DG69" i="10"/>
  <c r="DF69" i="10"/>
  <c r="DE69" i="10"/>
  <c r="DD69" i="10"/>
  <c r="DC69" i="10"/>
  <c r="DB69" i="10"/>
  <c r="DA69" i="10"/>
  <c r="CZ69" i="10"/>
  <c r="CY69" i="10"/>
  <c r="CX69" i="10"/>
  <c r="CW69" i="10"/>
  <c r="CV69" i="10"/>
  <c r="CU69" i="10"/>
  <c r="CT69" i="10"/>
  <c r="CS69" i="10"/>
  <c r="CR69" i="10"/>
  <c r="CQ69" i="10"/>
  <c r="CP69" i="10"/>
  <c r="CO69" i="10"/>
  <c r="CB69" i="10"/>
  <c r="BV69" i="10"/>
  <c r="BU69" i="10"/>
  <c r="BR69" i="10"/>
  <c r="BP69" i="10"/>
  <c r="BO69" i="10"/>
  <c r="BN69" i="10"/>
  <c r="BM69" i="10"/>
  <c r="BJ69" i="10"/>
  <c r="DO68" i="10"/>
  <c r="DN68" i="10"/>
  <c r="DJ68" i="10"/>
  <c r="DI68" i="10"/>
  <c r="DH68" i="10"/>
  <c r="DG68" i="10"/>
  <c r="DF68" i="10"/>
  <c r="DE68" i="10"/>
  <c r="DD68" i="10"/>
  <c r="DC68" i="10"/>
  <c r="DB68" i="10"/>
  <c r="DA68" i="10"/>
  <c r="CZ68" i="10"/>
  <c r="CY68" i="10"/>
  <c r="CX68" i="10"/>
  <c r="CW68" i="10"/>
  <c r="CV68" i="10"/>
  <c r="CU68" i="10"/>
  <c r="CT68" i="10"/>
  <c r="CS68" i="10"/>
  <c r="CR68" i="10"/>
  <c r="CQ68" i="10"/>
  <c r="CP68" i="10"/>
  <c r="CO68" i="10"/>
  <c r="CB68" i="10"/>
  <c r="BV68" i="10"/>
  <c r="BU68" i="10"/>
  <c r="BR68" i="10"/>
  <c r="BP68" i="10"/>
  <c r="BO68" i="10"/>
  <c r="BN68" i="10"/>
  <c r="BM68" i="10"/>
  <c r="BJ68" i="10"/>
  <c r="DO67" i="10"/>
  <c r="DN67" i="10"/>
  <c r="DJ67" i="10"/>
  <c r="DI67" i="10"/>
  <c r="DH67" i="10"/>
  <c r="DG67" i="10"/>
  <c r="DF67" i="10"/>
  <c r="DE67" i="10"/>
  <c r="DD67" i="10"/>
  <c r="DC67" i="10"/>
  <c r="DB67" i="10"/>
  <c r="DA67" i="10"/>
  <c r="CZ67" i="10"/>
  <c r="CY67" i="10"/>
  <c r="CX67" i="10"/>
  <c r="CW67" i="10"/>
  <c r="CV67" i="10"/>
  <c r="CU67" i="10"/>
  <c r="CT67" i="10"/>
  <c r="CS67" i="10"/>
  <c r="CR67" i="10"/>
  <c r="CQ67" i="10"/>
  <c r="CP67" i="10"/>
  <c r="CO67" i="10"/>
  <c r="CB67" i="10"/>
  <c r="BV67" i="10"/>
  <c r="BU67" i="10"/>
  <c r="BR67" i="10"/>
  <c r="BP67" i="10"/>
  <c r="BO67" i="10"/>
  <c r="BN67" i="10"/>
  <c r="BM67" i="10"/>
  <c r="BJ67" i="10"/>
  <c r="DO66" i="10"/>
  <c r="DN66" i="10"/>
  <c r="DJ66" i="10"/>
  <c r="DI66" i="10"/>
  <c r="DH66" i="10"/>
  <c r="DG66" i="10"/>
  <c r="DF66" i="10"/>
  <c r="DE66" i="10"/>
  <c r="DD66" i="10"/>
  <c r="DC66" i="10"/>
  <c r="DB66" i="10"/>
  <c r="DA66" i="10"/>
  <c r="CZ66" i="10"/>
  <c r="CY66" i="10"/>
  <c r="CX66" i="10"/>
  <c r="CW66" i="10"/>
  <c r="CV66" i="10"/>
  <c r="CU66" i="10"/>
  <c r="CT66" i="10"/>
  <c r="CS66" i="10"/>
  <c r="CR66" i="10"/>
  <c r="CQ66" i="10"/>
  <c r="CP66" i="10"/>
  <c r="CO66" i="10"/>
  <c r="CB66" i="10"/>
  <c r="BV66" i="10"/>
  <c r="BU66" i="10"/>
  <c r="BR66" i="10"/>
  <c r="BP66" i="10"/>
  <c r="BO66" i="10"/>
  <c r="BN66" i="10"/>
  <c r="BM66" i="10"/>
  <c r="BJ66" i="10"/>
  <c r="DO65" i="10"/>
  <c r="DN65" i="10"/>
  <c r="DJ65" i="10"/>
  <c r="DI65" i="10"/>
  <c r="DH65" i="10"/>
  <c r="DG65" i="10"/>
  <c r="DF65" i="10"/>
  <c r="DE65" i="10"/>
  <c r="DD65" i="10"/>
  <c r="DC65" i="10"/>
  <c r="DB65" i="10"/>
  <c r="DA65" i="10"/>
  <c r="CZ65" i="10"/>
  <c r="CY65" i="10"/>
  <c r="CX65" i="10"/>
  <c r="CW65" i="10"/>
  <c r="CV65" i="10"/>
  <c r="CU65" i="10"/>
  <c r="CT65" i="10"/>
  <c r="CS65" i="10"/>
  <c r="CR65" i="10"/>
  <c r="CQ65" i="10"/>
  <c r="CP65" i="10"/>
  <c r="CO65" i="10"/>
  <c r="CB65" i="10"/>
  <c r="BV65" i="10"/>
  <c r="BU65" i="10"/>
  <c r="BR65" i="10"/>
  <c r="BP65" i="10"/>
  <c r="BO65" i="10"/>
  <c r="BN65" i="10"/>
  <c r="BM65" i="10"/>
  <c r="BJ65" i="10"/>
  <c r="DO64" i="10"/>
  <c r="DN64" i="10"/>
  <c r="DJ64" i="10"/>
  <c r="DI64" i="10"/>
  <c r="DH64" i="10"/>
  <c r="DG64" i="10"/>
  <c r="DF64" i="10"/>
  <c r="DE64" i="10"/>
  <c r="DD64" i="10"/>
  <c r="DC64" i="10"/>
  <c r="DB64" i="10"/>
  <c r="DA64" i="10"/>
  <c r="CZ64" i="10"/>
  <c r="CY64" i="10"/>
  <c r="CX64" i="10"/>
  <c r="CW64" i="10"/>
  <c r="CV64" i="10"/>
  <c r="CU64" i="10"/>
  <c r="CT64" i="10"/>
  <c r="CS64" i="10"/>
  <c r="CR64" i="10"/>
  <c r="CQ64" i="10"/>
  <c r="CP64" i="10"/>
  <c r="CO64" i="10"/>
  <c r="CB64" i="10"/>
  <c r="BV64" i="10"/>
  <c r="BU64" i="10"/>
  <c r="BR64" i="10"/>
  <c r="BP64" i="10"/>
  <c r="BO64" i="10"/>
  <c r="BN64" i="10"/>
  <c r="BM64" i="10"/>
  <c r="BJ64" i="10"/>
  <c r="DO63" i="10"/>
  <c r="DN63" i="10"/>
  <c r="DJ63" i="10"/>
  <c r="DI63" i="10"/>
  <c r="DH63" i="10"/>
  <c r="DG63" i="10"/>
  <c r="DF63" i="10"/>
  <c r="DE63" i="10"/>
  <c r="DD63" i="10"/>
  <c r="DC63" i="10"/>
  <c r="DB63" i="10"/>
  <c r="DA63" i="10"/>
  <c r="CZ63" i="10"/>
  <c r="CY63" i="10"/>
  <c r="CX63" i="10"/>
  <c r="CW63" i="10"/>
  <c r="CV63" i="10"/>
  <c r="CU63" i="10"/>
  <c r="CT63" i="10"/>
  <c r="CS63" i="10"/>
  <c r="CR63" i="10"/>
  <c r="CQ63" i="10"/>
  <c r="CP63" i="10"/>
  <c r="CO63" i="10"/>
  <c r="CB63" i="10"/>
  <c r="BV63" i="10"/>
  <c r="BU63" i="10"/>
  <c r="BR63" i="10"/>
  <c r="BP63" i="10"/>
  <c r="BO63" i="10"/>
  <c r="BN63" i="10"/>
  <c r="BM63" i="10"/>
  <c r="BJ63" i="10"/>
  <c r="DO62" i="10"/>
  <c r="DN62" i="10"/>
  <c r="DJ62" i="10"/>
  <c r="DI62" i="10"/>
  <c r="DH62" i="10"/>
  <c r="DG62" i="10"/>
  <c r="DF62" i="10"/>
  <c r="DE62" i="10"/>
  <c r="DD62" i="10"/>
  <c r="DC62" i="10"/>
  <c r="DB62" i="10"/>
  <c r="DA62" i="10"/>
  <c r="CZ62" i="10"/>
  <c r="CY62" i="10"/>
  <c r="CX62" i="10"/>
  <c r="CW62" i="10"/>
  <c r="CV62" i="10"/>
  <c r="CU62" i="10"/>
  <c r="CT62" i="10"/>
  <c r="CS62" i="10"/>
  <c r="CR62" i="10"/>
  <c r="CQ62" i="10"/>
  <c r="CP62" i="10"/>
  <c r="CO62" i="10"/>
  <c r="CB62" i="10"/>
  <c r="BV62" i="10"/>
  <c r="BU62" i="10"/>
  <c r="BR62" i="10"/>
  <c r="BP62" i="10"/>
  <c r="BO62" i="10"/>
  <c r="BN62" i="10"/>
  <c r="BM62" i="10"/>
  <c r="BJ62" i="10"/>
  <c r="DO61" i="10"/>
  <c r="DN61" i="10"/>
  <c r="DJ61" i="10"/>
  <c r="DI61" i="10"/>
  <c r="DH61" i="10"/>
  <c r="DG61" i="10"/>
  <c r="DF61" i="10"/>
  <c r="DE61" i="10"/>
  <c r="DD61" i="10"/>
  <c r="DC61" i="10"/>
  <c r="DB61" i="10"/>
  <c r="DA61" i="10"/>
  <c r="CZ61" i="10"/>
  <c r="CY61" i="10"/>
  <c r="CX61" i="10"/>
  <c r="CW61" i="10"/>
  <c r="CV61" i="10"/>
  <c r="CU61" i="10"/>
  <c r="CT61" i="10"/>
  <c r="CS61" i="10"/>
  <c r="CR61" i="10"/>
  <c r="CQ61" i="10"/>
  <c r="CP61" i="10"/>
  <c r="CO61" i="10"/>
  <c r="CB61" i="10"/>
  <c r="BV61" i="10"/>
  <c r="BU61" i="10"/>
  <c r="BR61" i="10"/>
  <c r="BP61" i="10"/>
  <c r="BO61" i="10"/>
  <c r="BN61" i="10"/>
  <c r="BM61" i="10"/>
  <c r="BJ61" i="10"/>
  <c r="DO60" i="10"/>
  <c r="DN60" i="10"/>
  <c r="DJ60" i="10"/>
  <c r="DI60" i="10"/>
  <c r="DH60" i="10"/>
  <c r="DG60" i="10"/>
  <c r="DF60" i="10"/>
  <c r="DE60" i="10"/>
  <c r="DD60" i="10"/>
  <c r="DC60" i="10"/>
  <c r="DB60" i="10"/>
  <c r="DA60" i="10"/>
  <c r="CZ60" i="10"/>
  <c r="CY60" i="10"/>
  <c r="CX60" i="10"/>
  <c r="CW60" i="10"/>
  <c r="CV60" i="10"/>
  <c r="CU60" i="10"/>
  <c r="CT60" i="10"/>
  <c r="CS60" i="10"/>
  <c r="CR60" i="10"/>
  <c r="CQ60" i="10"/>
  <c r="CP60" i="10"/>
  <c r="CO60" i="10"/>
  <c r="CB60" i="10"/>
  <c r="BV60" i="10"/>
  <c r="BU60" i="10"/>
  <c r="BR60" i="10"/>
  <c r="BP60" i="10"/>
  <c r="BO60" i="10"/>
  <c r="BN60" i="10"/>
  <c r="BM60" i="10"/>
  <c r="BJ60" i="10"/>
  <c r="DO59" i="10"/>
  <c r="DN59" i="10"/>
  <c r="DJ59" i="10"/>
  <c r="DI59" i="10"/>
  <c r="DH59" i="10"/>
  <c r="DG59" i="10"/>
  <c r="DF59" i="10"/>
  <c r="DE59" i="10"/>
  <c r="DD59" i="10"/>
  <c r="DC59" i="10"/>
  <c r="DB59" i="10"/>
  <c r="DA59" i="10"/>
  <c r="CZ59" i="10"/>
  <c r="CY59" i="10"/>
  <c r="CX59" i="10"/>
  <c r="CW59" i="10"/>
  <c r="CV59" i="10"/>
  <c r="CU59" i="10"/>
  <c r="CT59" i="10"/>
  <c r="CS59" i="10"/>
  <c r="CR59" i="10"/>
  <c r="CQ59" i="10"/>
  <c r="CP59" i="10"/>
  <c r="CO59" i="10"/>
  <c r="CB59" i="10"/>
  <c r="BV59" i="10"/>
  <c r="BU59" i="10"/>
  <c r="BR59" i="10"/>
  <c r="BP59" i="10"/>
  <c r="BO59" i="10"/>
  <c r="BN59" i="10"/>
  <c r="BM59" i="10"/>
  <c r="BJ59" i="10"/>
  <c r="DO58" i="10"/>
  <c r="DN58" i="10"/>
  <c r="DJ58" i="10"/>
  <c r="DI58" i="10"/>
  <c r="DH58" i="10"/>
  <c r="DG58" i="10"/>
  <c r="DF58" i="10"/>
  <c r="DE58" i="10"/>
  <c r="DD58" i="10"/>
  <c r="DC58" i="10"/>
  <c r="DB58" i="10"/>
  <c r="DA58" i="10"/>
  <c r="CZ58" i="10"/>
  <c r="CY58" i="10"/>
  <c r="CX58" i="10"/>
  <c r="CW58" i="10"/>
  <c r="CV58" i="10"/>
  <c r="CU58" i="10"/>
  <c r="CT58" i="10"/>
  <c r="CS58" i="10"/>
  <c r="CR58" i="10"/>
  <c r="CQ58" i="10"/>
  <c r="CP58" i="10"/>
  <c r="CO58" i="10"/>
  <c r="CB58" i="10"/>
  <c r="BV58" i="10"/>
  <c r="BU58" i="10"/>
  <c r="BR58" i="10"/>
  <c r="BP58" i="10"/>
  <c r="BO58" i="10"/>
  <c r="BN58" i="10"/>
  <c r="BM58" i="10"/>
  <c r="BJ58" i="10"/>
  <c r="DO57" i="10"/>
  <c r="DN57" i="10"/>
  <c r="DJ57" i="10"/>
  <c r="DI57" i="10"/>
  <c r="DH57" i="10"/>
  <c r="DG57" i="10"/>
  <c r="DF57" i="10"/>
  <c r="DE57" i="10"/>
  <c r="DD57" i="10"/>
  <c r="DC57" i="10"/>
  <c r="DB57" i="10"/>
  <c r="DA57" i="10"/>
  <c r="CZ57" i="10"/>
  <c r="CY57" i="10"/>
  <c r="CX57" i="10"/>
  <c r="CW57" i="10"/>
  <c r="CV57" i="10"/>
  <c r="CU57" i="10"/>
  <c r="CT57" i="10"/>
  <c r="CS57" i="10"/>
  <c r="CR57" i="10"/>
  <c r="CQ57" i="10"/>
  <c r="CP57" i="10"/>
  <c r="CO57" i="10"/>
  <c r="CB57" i="10"/>
  <c r="BV57" i="10"/>
  <c r="BU57" i="10"/>
  <c r="BR57" i="10"/>
  <c r="BP57" i="10"/>
  <c r="BO57" i="10"/>
  <c r="BN57" i="10"/>
  <c r="BM57" i="10"/>
  <c r="BJ57" i="10"/>
  <c r="DO56" i="10"/>
  <c r="DN56" i="10"/>
  <c r="DJ56" i="10"/>
  <c r="DI56" i="10"/>
  <c r="DH56" i="10"/>
  <c r="DG56" i="10"/>
  <c r="DF56" i="10"/>
  <c r="DE56" i="10"/>
  <c r="DD56" i="10"/>
  <c r="DC56" i="10"/>
  <c r="DB56" i="10"/>
  <c r="DA56" i="10"/>
  <c r="CZ56" i="10"/>
  <c r="CY56" i="10"/>
  <c r="CX56" i="10"/>
  <c r="CW56" i="10"/>
  <c r="CV56" i="10"/>
  <c r="CU56" i="10"/>
  <c r="CT56" i="10"/>
  <c r="CS56" i="10"/>
  <c r="CR56" i="10"/>
  <c r="CQ56" i="10"/>
  <c r="CP56" i="10"/>
  <c r="CO56" i="10"/>
  <c r="CB56" i="10"/>
  <c r="BV56" i="10"/>
  <c r="BU56" i="10"/>
  <c r="BR56" i="10"/>
  <c r="BP56" i="10"/>
  <c r="BO56" i="10"/>
  <c r="BN56" i="10"/>
  <c r="BM56" i="10"/>
  <c r="BJ56" i="10"/>
  <c r="DO55" i="10"/>
  <c r="DN55" i="10"/>
  <c r="DJ55" i="10"/>
  <c r="DI55" i="10"/>
  <c r="DH55" i="10"/>
  <c r="DG55" i="10"/>
  <c r="DF55" i="10"/>
  <c r="DE55" i="10"/>
  <c r="DD55" i="10"/>
  <c r="DC55" i="10"/>
  <c r="DB55" i="10"/>
  <c r="DA55" i="10"/>
  <c r="CZ55" i="10"/>
  <c r="CY55" i="10"/>
  <c r="CX55" i="10"/>
  <c r="CW55" i="10"/>
  <c r="CV55" i="10"/>
  <c r="CU55" i="10"/>
  <c r="CT55" i="10"/>
  <c r="CS55" i="10"/>
  <c r="CR55" i="10"/>
  <c r="CQ55" i="10"/>
  <c r="CP55" i="10"/>
  <c r="CO55" i="10"/>
  <c r="CB55" i="10"/>
  <c r="BV55" i="10"/>
  <c r="BU55" i="10"/>
  <c r="BR55" i="10"/>
  <c r="BP55" i="10"/>
  <c r="BO55" i="10"/>
  <c r="BN55" i="10"/>
  <c r="BM55" i="10"/>
  <c r="BJ55" i="10"/>
  <c r="DO54" i="10"/>
  <c r="DN54" i="10"/>
  <c r="DJ54" i="10"/>
  <c r="DI54" i="10"/>
  <c r="DH54" i="10"/>
  <c r="DG54" i="10"/>
  <c r="DF54" i="10"/>
  <c r="DE54" i="10"/>
  <c r="DD54" i="10"/>
  <c r="DC54" i="10"/>
  <c r="DB54" i="10"/>
  <c r="DA54" i="10"/>
  <c r="CZ54" i="10"/>
  <c r="CY54" i="10"/>
  <c r="CX54" i="10"/>
  <c r="CW54" i="10"/>
  <c r="CV54" i="10"/>
  <c r="CU54" i="10"/>
  <c r="CT54" i="10"/>
  <c r="CS54" i="10"/>
  <c r="CR54" i="10"/>
  <c r="CQ54" i="10"/>
  <c r="CP54" i="10"/>
  <c r="CO54" i="10"/>
  <c r="CB54" i="10"/>
  <c r="BV54" i="10"/>
  <c r="BU54" i="10"/>
  <c r="BR54" i="10"/>
  <c r="BP54" i="10"/>
  <c r="BO54" i="10"/>
  <c r="BN54" i="10"/>
  <c r="BM54" i="10"/>
  <c r="BJ54" i="10"/>
  <c r="DO53" i="10"/>
  <c r="DN53" i="10"/>
  <c r="DJ53" i="10"/>
  <c r="DI53" i="10"/>
  <c r="DH53" i="10"/>
  <c r="DG53" i="10"/>
  <c r="DF53" i="10"/>
  <c r="DE53" i="10"/>
  <c r="DD53" i="10"/>
  <c r="DC53" i="10"/>
  <c r="DB53" i="10"/>
  <c r="DA53" i="10"/>
  <c r="CZ53" i="10"/>
  <c r="CY53" i="10"/>
  <c r="CX53" i="10"/>
  <c r="CW53" i="10"/>
  <c r="CV53" i="10"/>
  <c r="CU53" i="10"/>
  <c r="CT53" i="10"/>
  <c r="CS53" i="10"/>
  <c r="CR53" i="10"/>
  <c r="CQ53" i="10"/>
  <c r="CP53" i="10"/>
  <c r="CO53" i="10"/>
  <c r="CB53" i="10"/>
  <c r="BV53" i="10"/>
  <c r="BU53" i="10"/>
  <c r="BR53" i="10"/>
  <c r="BP53" i="10"/>
  <c r="BO53" i="10"/>
  <c r="BN53" i="10"/>
  <c r="BM53" i="10"/>
  <c r="BJ53" i="10"/>
  <c r="DO52" i="10"/>
  <c r="DN52" i="10"/>
  <c r="DJ52" i="10"/>
  <c r="DI52" i="10"/>
  <c r="DH52" i="10"/>
  <c r="DG52" i="10"/>
  <c r="DF52" i="10"/>
  <c r="DE52" i="10"/>
  <c r="DD52" i="10"/>
  <c r="DC52" i="10"/>
  <c r="DB52" i="10"/>
  <c r="DA52" i="10"/>
  <c r="CZ52" i="10"/>
  <c r="CY52" i="10"/>
  <c r="CX52" i="10"/>
  <c r="CW52" i="10"/>
  <c r="CV52" i="10"/>
  <c r="CU52" i="10"/>
  <c r="CT52" i="10"/>
  <c r="CS52" i="10"/>
  <c r="CR52" i="10"/>
  <c r="CQ52" i="10"/>
  <c r="CP52" i="10"/>
  <c r="CO52" i="10"/>
  <c r="CB52" i="10"/>
  <c r="BV52" i="10"/>
  <c r="BU52" i="10"/>
  <c r="BR52" i="10"/>
  <c r="BP52" i="10"/>
  <c r="BO52" i="10"/>
  <c r="BN52" i="10"/>
  <c r="BM52" i="10"/>
  <c r="BJ52" i="10"/>
  <c r="DO51" i="10"/>
  <c r="DN51" i="10"/>
  <c r="DJ51" i="10"/>
  <c r="DI51" i="10"/>
  <c r="DH51" i="10"/>
  <c r="DG51" i="10"/>
  <c r="DF51" i="10"/>
  <c r="DE51" i="10"/>
  <c r="DD51" i="10"/>
  <c r="DC51" i="10"/>
  <c r="DB51" i="10"/>
  <c r="DA51" i="10"/>
  <c r="CZ51" i="10"/>
  <c r="CY51" i="10"/>
  <c r="CX51" i="10"/>
  <c r="CW51" i="10"/>
  <c r="CV51" i="10"/>
  <c r="CU51" i="10"/>
  <c r="CT51" i="10"/>
  <c r="CS51" i="10"/>
  <c r="CR51" i="10"/>
  <c r="CQ51" i="10"/>
  <c r="CP51" i="10"/>
  <c r="CO51" i="10"/>
  <c r="CB51" i="10"/>
  <c r="BV51" i="10"/>
  <c r="BU51" i="10"/>
  <c r="BR51" i="10"/>
  <c r="BP51" i="10"/>
  <c r="BO51" i="10"/>
  <c r="BN51" i="10"/>
  <c r="BM51" i="10"/>
  <c r="BJ51" i="10"/>
  <c r="DO50" i="10"/>
  <c r="DN50" i="10"/>
  <c r="DJ50" i="10"/>
  <c r="DI50" i="10"/>
  <c r="DH50" i="10"/>
  <c r="DG50" i="10"/>
  <c r="DF50" i="10"/>
  <c r="DE50" i="10"/>
  <c r="DD50" i="10"/>
  <c r="DC50" i="10"/>
  <c r="DB50" i="10"/>
  <c r="DA50" i="10"/>
  <c r="CZ50" i="10"/>
  <c r="CY50" i="10"/>
  <c r="CX50" i="10"/>
  <c r="CW50" i="10"/>
  <c r="CV50" i="10"/>
  <c r="CU50" i="10"/>
  <c r="CT50" i="10"/>
  <c r="CS50" i="10"/>
  <c r="CR50" i="10"/>
  <c r="CQ50" i="10"/>
  <c r="CP50" i="10"/>
  <c r="CO50" i="10"/>
  <c r="CB50" i="10"/>
  <c r="BV50" i="10"/>
  <c r="BU50" i="10"/>
  <c r="BR50" i="10"/>
  <c r="BP50" i="10"/>
  <c r="BO50" i="10"/>
  <c r="BN50" i="10"/>
  <c r="BM50" i="10"/>
  <c r="BJ50" i="10"/>
  <c r="DO49" i="10"/>
  <c r="DN49" i="10"/>
  <c r="DJ49" i="10"/>
  <c r="DI49" i="10"/>
  <c r="DH49" i="10"/>
  <c r="DG49" i="10"/>
  <c r="DF49" i="10"/>
  <c r="DE49" i="10"/>
  <c r="DD49" i="10"/>
  <c r="DC49" i="10"/>
  <c r="DB49" i="10"/>
  <c r="DA49" i="10"/>
  <c r="CZ49" i="10"/>
  <c r="CY49" i="10"/>
  <c r="CX49" i="10"/>
  <c r="CW49" i="10"/>
  <c r="CV49" i="10"/>
  <c r="CU49" i="10"/>
  <c r="CT49" i="10"/>
  <c r="CS49" i="10"/>
  <c r="CR49" i="10"/>
  <c r="CQ49" i="10"/>
  <c r="CP49" i="10"/>
  <c r="CO49" i="10"/>
  <c r="CB49" i="10"/>
  <c r="BV49" i="10"/>
  <c r="BU49" i="10"/>
  <c r="BR49" i="10"/>
  <c r="BP49" i="10"/>
  <c r="BO49" i="10"/>
  <c r="BN49" i="10"/>
  <c r="BM49" i="10"/>
  <c r="BJ49" i="10"/>
  <c r="DO48" i="10"/>
  <c r="DN48" i="10"/>
  <c r="DJ48" i="10"/>
  <c r="DI48" i="10"/>
  <c r="DH48" i="10"/>
  <c r="DG48" i="10"/>
  <c r="DF48" i="10"/>
  <c r="DE48" i="10"/>
  <c r="DD48" i="10"/>
  <c r="DC48" i="10"/>
  <c r="DB48" i="10"/>
  <c r="DA48" i="10"/>
  <c r="CZ48" i="10"/>
  <c r="CY48" i="10"/>
  <c r="CX48" i="10"/>
  <c r="CW48" i="10"/>
  <c r="CV48" i="10"/>
  <c r="CU48" i="10"/>
  <c r="CT48" i="10"/>
  <c r="CS48" i="10"/>
  <c r="CR48" i="10"/>
  <c r="CQ48" i="10"/>
  <c r="CP48" i="10"/>
  <c r="CO48" i="10"/>
  <c r="CB48" i="10"/>
  <c r="BV48" i="10"/>
  <c r="BU48" i="10"/>
  <c r="BR48" i="10"/>
  <c r="BP48" i="10"/>
  <c r="BO48" i="10"/>
  <c r="BN48" i="10"/>
  <c r="BM48" i="10"/>
  <c r="BJ48" i="10"/>
  <c r="DO47" i="10"/>
  <c r="DN47" i="10"/>
  <c r="DJ47" i="10"/>
  <c r="DI47" i="10"/>
  <c r="DH47" i="10"/>
  <c r="DG47" i="10"/>
  <c r="DF47" i="10"/>
  <c r="DE47" i="10"/>
  <c r="DD47" i="10"/>
  <c r="DC47" i="10"/>
  <c r="DB47" i="10"/>
  <c r="DA47" i="10"/>
  <c r="CZ47" i="10"/>
  <c r="CY47" i="10"/>
  <c r="CX47" i="10"/>
  <c r="CW47" i="10"/>
  <c r="CV47" i="10"/>
  <c r="CU47" i="10"/>
  <c r="CT47" i="10"/>
  <c r="CS47" i="10"/>
  <c r="CR47" i="10"/>
  <c r="CQ47" i="10"/>
  <c r="CP47" i="10"/>
  <c r="CO47" i="10"/>
  <c r="CB47" i="10"/>
  <c r="BV47" i="10"/>
  <c r="BU47" i="10"/>
  <c r="BR47" i="10"/>
  <c r="BP47" i="10"/>
  <c r="BO47" i="10"/>
  <c r="BN47" i="10"/>
  <c r="BM47" i="10"/>
  <c r="BJ47" i="10"/>
  <c r="DO46" i="10"/>
  <c r="DN46" i="10"/>
  <c r="DJ46" i="10"/>
  <c r="DI46" i="10"/>
  <c r="DH46" i="10"/>
  <c r="DG46" i="10"/>
  <c r="DF46" i="10"/>
  <c r="DE46" i="10"/>
  <c r="DD46" i="10"/>
  <c r="DC46" i="10"/>
  <c r="DB46" i="10"/>
  <c r="DA46" i="10"/>
  <c r="CZ46" i="10"/>
  <c r="CY46" i="10"/>
  <c r="CX46" i="10"/>
  <c r="CW46" i="10"/>
  <c r="CV46" i="10"/>
  <c r="CU46" i="10"/>
  <c r="CT46" i="10"/>
  <c r="CS46" i="10"/>
  <c r="CR46" i="10"/>
  <c r="CQ46" i="10"/>
  <c r="CP46" i="10"/>
  <c r="CO46" i="10"/>
  <c r="CB46" i="10"/>
  <c r="BV46" i="10"/>
  <c r="BU46" i="10"/>
  <c r="BR46" i="10"/>
  <c r="BP46" i="10"/>
  <c r="BO46" i="10"/>
  <c r="BN46" i="10"/>
  <c r="BM46" i="10"/>
  <c r="BJ46" i="10"/>
  <c r="DO45" i="10"/>
  <c r="DN45" i="10"/>
  <c r="DJ45" i="10"/>
  <c r="DI45" i="10"/>
  <c r="DH45" i="10"/>
  <c r="DG45" i="10"/>
  <c r="DF45" i="10"/>
  <c r="DE45" i="10"/>
  <c r="DD45" i="10"/>
  <c r="DC45" i="10"/>
  <c r="DB45" i="10"/>
  <c r="DA45" i="10"/>
  <c r="CZ45" i="10"/>
  <c r="CY45" i="10"/>
  <c r="CX45" i="10"/>
  <c r="CW45" i="10"/>
  <c r="CV45" i="10"/>
  <c r="CU45" i="10"/>
  <c r="CT45" i="10"/>
  <c r="CS45" i="10"/>
  <c r="CR45" i="10"/>
  <c r="CQ45" i="10"/>
  <c r="CP45" i="10"/>
  <c r="CO45" i="10"/>
  <c r="CB45" i="10"/>
  <c r="BV45" i="10"/>
  <c r="BU45" i="10"/>
  <c r="BR45" i="10"/>
  <c r="BP45" i="10"/>
  <c r="BO45" i="10"/>
  <c r="BN45" i="10"/>
  <c r="BM45" i="10"/>
  <c r="BJ45" i="10"/>
  <c r="DO44" i="10"/>
  <c r="DN44" i="10"/>
  <c r="DJ44" i="10"/>
  <c r="DI44" i="10"/>
  <c r="DH44" i="10"/>
  <c r="DG44" i="10"/>
  <c r="DF44" i="10"/>
  <c r="DE44" i="10"/>
  <c r="DD44" i="10"/>
  <c r="DC44" i="10"/>
  <c r="DB44" i="10"/>
  <c r="DA44" i="10"/>
  <c r="CZ44" i="10"/>
  <c r="CY44" i="10"/>
  <c r="CX44" i="10"/>
  <c r="CW44" i="10"/>
  <c r="CV44" i="10"/>
  <c r="CU44" i="10"/>
  <c r="CT44" i="10"/>
  <c r="CS44" i="10"/>
  <c r="CR44" i="10"/>
  <c r="CQ44" i="10"/>
  <c r="CP44" i="10"/>
  <c r="CO44" i="10"/>
  <c r="CB44" i="10"/>
  <c r="BV44" i="10"/>
  <c r="BU44" i="10"/>
  <c r="BR44" i="10"/>
  <c r="BP44" i="10"/>
  <c r="BO44" i="10"/>
  <c r="BN44" i="10"/>
  <c r="BM44" i="10"/>
  <c r="BJ44" i="10"/>
  <c r="DO43" i="10"/>
  <c r="DN43" i="10"/>
  <c r="DJ43" i="10"/>
  <c r="DI43" i="10"/>
  <c r="DH43" i="10"/>
  <c r="DG43" i="10"/>
  <c r="DF43" i="10"/>
  <c r="DE43" i="10"/>
  <c r="DD43" i="10"/>
  <c r="DC43" i="10"/>
  <c r="DB43" i="10"/>
  <c r="DA43" i="10"/>
  <c r="CZ43" i="10"/>
  <c r="CY43" i="10"/>
  <c r="CX43" i="10"/>
  <c r="CW43" i="10"/>
  <c r="CV43" i="10"/>
  <c r="CU43" i="10"/>
  <c r="CT43" i="10"/>
  <c r="CS43" i="10"/>
  <c r="CR43" i="10"/>
  <c r="CQ43" i="10"/>
  <c r="CP43" i="10"/>
  <c r="CO43" i="10"/>
  <c r="CB43" i="10"/>
  <c r="BV43" i="10"/>
  <c r="BU43" i="10"/>
  <c r="BR43" i="10"/>
  <c r="BP43" i="10"/>
  <c r="BO43" i="10"/>
  <c r="BN43" i="10"/>
  <c r="BM43" i="10"/>
  <c r="BJ43" i="10"/>
  <c r="DO42" i="10"/>
  <c r="DN42" i="10"/>
  <c r="DJ42" i="10"/>
  <c r="DI42" i="10"/>
  <c r="DH42" i="10"/>
  <c r="DG42" i="10"/>
  <c r="DF42" i="10"/>
  <c r="DE42" i="10"/>
  <c r="DD42" i="10"/>
  <c r="DC42" i="10"/>
  <c r="DB42" i="10"/>
  <c r="DA42" i="10"/>
  <c r="CZ42" i="10"/>
  <c r="CY42" i="10"/>
  <c r="CX42" i="10"/>
  <c r="CW42" i="10"/>
  <c r="CV42" i="10"/>
  <c r="CU42" i="10"/>
  <c r="CT42" i="10"/>
  <c r="CS42" i="10"/>
  <c r="CR42" i="10"/>
  <c r="CQ42" i="10"/>
  <c r="CP42" i="10"/>
  <c r="CO42" i="10"/>
  <c r="CB42" i="10"/>
  <c r="BV42" i="10"/>
  <c r="BU42" i="10"/>
  <c r="BR42" i="10"/>
  <c r="BP42" i="10"/>
  <c r="BO42" i="10"/>
  <c r="BN42" i="10"/>
  <c r="BM42" i="10"/>
  <c r="BJ42" i="10"/>
  <c r="DO41" i="10"/>
  <c r="DN41" i="10"/>
  <c r="DJ41" i="10"/>
  <c r="DI41" i="10"/>
  <c r="DH41" i="10"/>
  <c r="DG41" i="10"/>
  <c r="DF41" i="10"/>
  <c r="DE41" i="10"/>
  <c r="DD41" i="10"/>
  <c r="DC41" i="10"/>
  <c r="DB41" i="10"/>
  <c r="DA41" i="10"/>
  <c r="CZ41" i="10"/>
  <c r="CY41" i="10"/>
  <c r="CX41" i="10"/>
  <c r="CW41" i="10"/>
  <c r="CV41" i="10"/>
  <c r="CU41" i="10"/>
  <c r="CT41" i="10"/>
  <c r="CS41" i="10"/>
  <c r="CR41" i="10"/>
  <c r="CQ41" i="10"/>
  <c r="CP41" i="10"/>
  <c r="CO41" i="10"/>
  <c r="CB41" i="10"/>
  <c r="BV41" i="10"/>
  <c r="BU41" i="10"/>
  <c r="BR41" i="10"/>
  <c r="BP41" i="10"/>
  <c r="BO41" i="10"/>
  <c r="BN41" i="10"/>
  <c r="BM41" i="10"/>
  <c r="BJ41" i="10"/>
  <c r="DO40" i="10"/>
  <c r="DN40" i="10"/>
  <c r="DJ40" i="10"/>
  <c r="DI40" i="10"/>
  <c r="DH40" i="10"/>
  <c r="DG40" i="10"/>
  <c r="DF40" i="10"/>
  <c r="DE40" i="10"/>
  <c r="DD40" i="10"/>
  <c r="DC40" i="10"/>
  <c r="DB40" i="10"/>
  <c r="DA40" i="10"/>
  <c r="CZ40" i="10"/>
  <c r="CY40" i="10"/>
  <c r="CX40" i="10"/>
  <c r="CW40" i="10"/>
  <c r="CV40" i="10"/>
  <c r="CU40" i="10"/>
  <c r="CT40" i="10"/>
  <c r="CS40" i="10"/>
  <c r="CR40" i="10"/>
  <c r="CQ40" i="10"/>
  <c r="CP40" i="10"/>
  <c r="CO40" i="10"/>
  <c r="CB40" i="10"/>
  <c r="BV40" i="10"/>
  <c r="BU40" i="10"/>
  <c r="BR40" i="10"/>
  <c r="BP40" i="10"/>
  <c r="BO40" i="10"/>
  <c r="BN40" i="10"/>
  <c r="BM40" i="10"/>
  <c r="BJ40" i="10"/>
  <c r="DO39" i="10"/>
  <c r="DN39" i="10"/>
  <c r="DJ39" i="10"/>
  <c r="DI39" i="10"/>
  <c r="DH39" i="10"/>
  <c r="DG39" i="10"/>
  <c r="DF39" i="10"/>
  <c r="DE39" i="10"/>
  <c r="DD39" i="10"/>
  <c r="DC39" i="10"/>
  <c r="DB39" i="10"/>
  <c r="DA39" i="10"/>
  <c r="CZ39" i="10"/>
  <c r="CY39" i="10"/>
  <c r="CX39" i="10"/>
  <c r="CW39" i="10"/>
  <c r="CV39" i="10"/>
  <c r="CU39" i="10"/>
  <c r="CT39" i="10"/>
  <c r="CS39" i="10"/>
  <c r="CR39" i="10"/>
  <c r="CQ39" i="10"/>
  <c r="CP39" i="10"/>
  <c r="CO39" i="10"/>
  <c r="CB39" i="10"/>
  <c r="BV39" i="10"/>
  <c r="BU39" i="10"/>
  <c r="BR39" i="10"/>
  <c r="BP39" i="10"/>
  <c r="BO39" i="10"/>
  <c r="BN39" i="10"/>
  <c r="BM39" i="10"/>
  <c r="BJ39" i="10"/>
  <c r="DO38" i="10"/>
  <c r="DN38" i="10"/>
  <c r="DJ38" i="10"/>
  <c r="DI38" i="10"/>
  <c r="DH38" i="10"/>
  <c r="DG38" i="10"/>
  <c r="DF38" i="10"/>
  <c r="DE38" i="10"/>
  <c r="DD38" i="10"/>
  <c r="DC38" i="10"/>
  <c r="DB38" i="10"/>
  <c r="DA38" i="10"/>
  <c r="CZ38" i="10"/>
  <c r="CY38" i="10"/>
  <c r="CX38" i="10"/>
  <c r="CW38" i="10"/>
  <c r="CV38" i="10"/>
  <c r="CU38" i="10"/>
  <c r="CT38" i="10"/>
  <c r="CS38" i="10"/>
  <c r="CR38" i="10"/>
  <c r="CQ38" i="10"/>
  <c r="CP38" i="10"/>
  <c r="CO38" i="10"/>
  <c r="CB38" i="10"/>
  <c r="BV38" i="10"/>
  <c r="BU38" i="10"/>
  <c r="BR38" i="10"/>
  <c r="BP38" i="10"/>
  <c r="BO38" i="10"/>
  <c r="BN38" i="10"/>
  <c r="BM38" i="10"/>
  <c r="BJ38" i="10"/>
  <c r="DO37" i="10"/>
  <c r="DN37" i="10"/>
  <c r="DJ37" i="10"/>
  <c r="DI37" i="10"/>
  <c r="DH37" i="10"/>
  <c r="DG37" i="10"/>
  <c r="DF37" i="10"/>
  <c r="DE37" i="10"/>
  <c r="DD37" i="10"/>
  <c r="DC37" i="10"/>
  <c r="DB37" i="10"/>
  <c r="DA37" i="10"/>
  <c r="CZ37" i="10"/>
  <c r="CY37" i="10"/>
  <c r="CX37" i="10"/>
  <c r="CW37" i="10"/>
  <c r="CV37" i="10"/>
  <c r="CU37" i="10"/>
  <c r="CT37" i="10"/>
  <c r="CS37" i="10"/>
  <c r="CR37" i="10"/>
  <c r="CQ37" i="10"/>
  <c r="CP37" i="10"/>
  <c r="CO37" i="10"/>
  <c r="CB37" i="10"/>
  <c r="BV37" i="10"/>
  <c r="BU37" i="10"/>
  <c r="BR37" i="10"/>
  <c r="BP37" i="10"/>
  <c r="BO37" i="10"/>
  <c r="BN37" i="10"/>
  <c r="BM37" i="10"/>
  <c r="BJ37" i="10"/>
  <c r="DO36" i="10"/>
  <c r="DN36" i="10"/>
  <c r="DJ36" i="10"/>
  <c r="DI36" i="10"/>
  <c r="DH36" i="10"/>
  <c r="DG36" i="10"/>
  <c r="DF36" i="10"/>
  <c r="DE36" i="10"/>
  <c r="DD36" i="10"/>
  <c r="DC36" i="10"/>
  <c r="DB36" i="10"/>
  <c r="DA36" i="10"/>
  <c r="CZ36" i="10"/>
  <c r="CY36" i="10"/>
  <c r="CX36" i="10"/>
  <c r="CW36" i="10"/>
  <c r="CV36" i="10"/>
  <c r="CU36" i="10"/>
  <c r="CT36" i="10"/>
  <c r="CS36" i="10"/>
  <c r="CR36" i="10"/>
  <c r="CQ36" i="10"/>
  <c r="CP36" i="10"/>
  <c r="CO36" i="10"/>
  <c r="CB36" i="10"/>
  <c r="BV36" i="10"/>
  <c r="BU36" i="10"/>
  <c r="BR36" i="10"/>
  <c r="BP36" i="10"/>
  <c r="BO36" i="10"/>
  <c r="BN36" i="10"/>
  <c r="BM36" i="10"/>
  <c r="BJ36" i="10"/>
  <c r="DO35" i="10"/>
  <c r="DN35" i="10"/>
  <c r="DJ35" i="10"/>
  <c r="DI35" i="10"/>
  <c r="DH35" i="10"/>
  <c r="DG35" i="10"/>
  <c r="DF35" i="10"/>
  <c r="DE35" i="10"/>
  <c r="DD35" i="10"/>
  <c r="DC35" i="10"/>
  <c r="DB35" i="10"/>
  <c r="DA35" i="10"/>
  <c r="CZ35" i="10"/>
  <c r="CY35" i="10"/>
  <c r="CX35" i="10"/>
  <c r="CW35" i="10"/>
  <c r="CV35" i="10"/>
  <c r="CU35" i="10"/>
  <c r="CT35" i="10"/>
  <c r="CS35" i="10"/>
  <c r="CR35" i="10"/>
  <c r="CQ35" i="10"/>
  <c r="CP35" i="10"/>
  <c r="CO35" i="10"/>
  <c r="CB35" i="10"/>
  <c r="BV35" i="10"/>
  <c r="BU35" i="10"/>
  <c r="BR35" i="10"/>
  <c r="BP35" i="10"/>
  <c r="BO35" i="10"/>
  <c r="BN35" i="10"/>
  <c r="BM35" i="10"/>
  <c r="BJ35" i="10"/>
  <c r="DO34" i="10"/>
  <c r="DN34" i="10"/>
  <c r="DJ34" i="10"/>
  <c r="DI34" i="10"/>
  <c r="DH34" i="10"/>
  <c r="DG34" i="10"/>
  <c r="DF34" i="10"/>
  <c r="DE34" i="10"/>
  <c r="DD34" i="10"/>
  <c r="DC34" i="10"/>
  <c r="DB34" i="10"/>
  <c r="DA34" i="10"/>
  <c r="CZ34" i="10"/>
  <c r="CY34" i="10"/>
  <c r="CX34" i="10"/>
  <c r="CW34" i="10"/>
  <c r="CV34" i="10"/>
  <c r="CU34" i="10"/>
  <c r="CT34" i="10"/>
  <c r="CS34" i="10"/>
  <c r="CR34" i="10"/>
  <c r="CQ34" i="10"/>
  <c r="CP34" i="10"/>
  <c r="CO34" i="10"/>
  <c r="CB34" i="10"/>
  <c r="BV34" i="10"/>
  <c r="BU34" i="10"/>
  <c r="BR34" i="10"/>
  <c r="BP34" i="10"/>
  <c r="BO34" i="10"/>
  <c r="BN34" i="10"/>
  <c r="BM34" i="10"/>
  <c r="BJ34" i="10"/>
  <c r="DO33" i="10"/>
  <c r="DN33" i="10"/>
  <c r="DJ33" i="10"/>
  <c r="DI33" i="10"/>
  <c r="DH33" i="10"/>
  <c r="DG33" i="10"/>
  <c r="DF33" i="10"/>
  <c r="DE33" i="10"/>
  <c r="DD33" i="10"/>
  <c r="DC33" i="10"/>
  <c r="DB33" i="10"/>
  <c r="DA33" i="10"/>
  <c r="CZ33" i="10"/>
  <c r="CY33" i="10"/>
  <c r="CX33" i="10"/>
  <c r="CW33" i="10"/>
  <c r="CV33" i="10"/>
  <c r="CU33" i="10"/>
  <c r="CT33" i="10"/>
  <c r="CS33" i="10"/>
  <c r="CR33" i="10"/>
  <c r="CQ33" i="10"/>
  <c r="CP33" i="10"/>
  <c r="CO33" i="10"/>
  <c r="CB33" i="10"/>
  <c r="BV33" i="10"/>
  <c r="BU33" i="10"/>
  <c r="BR33" i="10"/>
  <c r="BP33" i="10"/>
  <c r="BO33" i="10"/>
  <c r="BN33" i="10"/>
  <c r="BM33" i="10"/>
  <c r="BJ33" i="10"/>
  <c r="DO32" i="10"/>
  <c r="DN32" i="10"/>
  <c r="DJ32" i="10"/>
  <c r="DI32" i="10"/>
  <c r="DH32" i="10"/>
  <c r="DG32" i="10"/>
  <c r="DF32" i="10"/>
  <c r="DE32" i="10"/>
  <c r="DD32" i="10"/>
  <c r="DC32" i="10"/>
  <c r="DB32" i="10"/>
  <c r="DA32" i="10"/>
  <c r="CZ32" i="10"/>
  <c r="CY32" i="10"/>
  <c r="CX32" i="10"/>
  <c r="CW32" i="10"/>
  <c r="CV32" i="10"/>
  <c r="CU32" i="10"/>
  <c r="CT32" i="10"/>
  <c r="CS32" i="10"/>
  <c r="CR32" i="10"/>
  <c r="CQ32" i="10"/>
  <c r="CP32" i="10"/>
  <c r="CO32" i="10"/>
  <c r="CB32" i="10"/>
  <c r="BV32" i="10"/>
  <c r="BU32" i="10"/>
  <c r="BR32" i="10"/>
  <c r="BP32" i="10"/>
  <c r="BO32" i="10"/>
  <c r="BN32" i="10"/>
  <c r="BM32" i="10"/>
  <c r="BJ32" i="10"/>
  <c r="DO31" i="10"/>
  <c r="DN31" i="10"/>
  <c r="DJ31" i="10"/>
  <c r="DI31" i="10"/>
  <c r="DH31" i="10"/>
  <c r="DG31" i="10"/>
  <c r="DF31" i="10"/>
  <c r="DE31" i="10"/>
  <c r="DD31" i="10"/>
  <c r="DC31" i="10"/>
  <c r="DB31" i="10"/>
  <c r="DA31" i="10"/>
  <c r="CZ31" i="10"/>
  <c r="CY31" i="10"/>
  <c r="CX31" i="10"/>
  <c r="CW31" i="10"/>
  <c r="CV31" i="10"/>
  <c r="CU31" i="10"/>
  <c r="CT31" i="10"/>
  <c r="CS31" i="10"/>
  <c r="CR31" i="10"/>
  <c r="CQ31" i="10"/>
  <c r="CP31" i="10"/>
  <c r="CO31" i="10"/>
  <c r="CB31" i="10"/>
  <c r="BV31" i="10"/>
  <c r="BU31" i="10"/>
  <c r="BR31" i="10"/>
  <c r="BP31" i="10"/>
  <c r="BO31" i="10"/>
  <c r="BN31" i="10"/>
  <c r="BM31" i="10"/>
  <c r="BJ31" i="10"/>
  <c r="DO30" i="10"/>
  <c r="DN30" i="10"/>
  <c r="DJ30" i="10"/>
  <c r="DI30" i="10"/>
  <c r="DH30" i="10"/>
  <c r="DG30" i="10"/>
  <c r="DF30" i="10"/>
  <c r="DE30" i="10"/>
  <c r="DD30" i="10"/>
  <c r="DC30" i="10"/>
  <c r="DB30" i="10"/>
  <c r="DA30" i="10"/>
  <c r="CZ30" i="10"/>
  <c r="CY30" i="10"/>
  <c r="CX30" i="10"/>
  <c r="CW30" i="10"/>
  <c r="CV30" i="10"/>
  <c r="CU30" i="10"/>
  <c r="CT30" i="10"/>
  <c r="CS30" i="10"/>
  <c r="CR30" i="10"/>
  <c r="CQ30" i="10"/>
  <c r="CP30" i="10"/>
  <c r="CO30" i="10"/>
  <c r="CB30" i="10"/>
  <c r="BV30" i="10"/>
  <c r="BU30" i="10"/>
  <c r="BR30" i="10"/>
  <c r="BP30" i="10"/>
  <c r="BO30" i="10"/>
  <c r="BN30" i="10"/>
  <c r="BM30" i="10"/>
  <c r="BJ30" i="10"/>
  <c r="DO29" i="10"/>
  <c r="DN29" i="10"/>
  <c r="DJ29" i="10"/>
  <c r="DI29" i="10"/>
  <c r="DH29" i="10"/>
  <c r="DG29" i="10"/>
  <c r="DF29" i="10"/>
  <c r="DE29" i="10"/>
  <c r="DD29" i="10"/>
  <c r="DC29" i="10"/>
  <c r="DB29" i="10"/>
  <c r="DA29" i="10"/>
  <c r="CZ29" i="10"/>
  <c r="CY29" i="10"/>
  <c r="CX29" i="10"/>
  <c r="CW29" i="10"/>
  <c r="CV29" i="10"/>
  <c r="CU29" i="10"/>
  <c r="CT29" i="10"/>
  <c r="CS29" i="10"/>
  <c r="CR29" i="10"/>
  <c r="CQ29" i="10"/>
  <c r="CP29" i="10"/>
  <c r="CO29" i="10"/>
  <c r="CB29" i="10"/>
  <c r="BV29" i="10"/>
  <c r="BU29" i="10"/>
  <c r="BR29" i="10"/>
  <c r="BP29" i="10"/>
  <c r="BO29" i="10"/>
  <c r="BN29" i="10"/>
  <c r="BM29" i="10"/>
  <c r="BJ29" i="10"/>
  <c r="DO28" i="10"/>
  <c r="DN28" i="10"/>
  <c r="DJ28" i="10"/>
  <c r="DI28" i="10"/>
  <c r="DH28" i="10"/>
  <c r="DG28" i="10"/>
  <c r="DF28" i="10"/>
  <c r="DE28" i="10"/>
  <c r="DD28" i="10"/>
  <c r="DC28" i="10"/>
  <c r="DB28" i="10"/>
  <c r="DA28" i="10"/>
  <c r="CZ28" i="10"/>
  <c r="CY28" i="10"/>
  <c r="CX28" i="10"/>
  <c r="CW28" i="10"/>
  <c r="CV28" i="10"/>
  <c r="CU28" i="10"/>
  <c r="CT28" i="10"/>
  <c r="CS28" i="10"/>
  <c r="CR28" i="10"/>
  <c r="CQ28" i="10"/>
  <c r="CP28" i="10"/>
  <c r="CO28" i="10"/>
  <c r="CB28" i="10"/>
  <c r="BV28" i="10"/>
  <c r="BU28" i="10"/>
  <c r="BR28" i="10"/>
  <c r="BP28" i="10"/>
  <c r="BO28" i="10"/>
  <c r="BN28" i="10"/>
  <c r="BM28" i="10"/>
  <c r="BJ28" i="10"/>
  <c r="DO27" i="10"/>
  <c r="DN27" i="10"/>
  <c r="DJ27" i="10"/>
  <c r="DI27" i="10"/>
  <c r="DH27" i="10"/>
  <c r="DG27" i="10"/>
  <c r="DF27" i="10"/>
  <c r="DE27" i="10"/>
  <c r="DD27" i="10"/>
  <c r="DC27" i="10"/>
  <c r="DB27" i="10"/>
  <c r="DA27" i="10"/>
  <c r="CZ27" i="10"/>
  <c r="CY27" i="10"/>
  <c r="CX27" i="10"/>
  <c r="CW27" i="10"/>
  <c r="CV27" i="10"/>
  <c r="CU27" i="10"/>
  <c r="CT27" i="10"/>
  <c r="CS27" i="10"/>
  <c r="CR27" i="10"/>
  <c r="CQ27" i="10"/>
  <c r="CP27" i="10"/>
  <c r="CO27" i="10"/>
  <c r="CB27" i="10"/>
  <c r="BV27" i="10"/>
  <c r="BU27" i="10"/>
  <c r="BR27" i="10"/>
  <c r="BP27" i="10"/>
  <c r="BO27" i="10"/>
  <c r="BN27" i="10"/>
  <c r="BM27" i="10"/>
  <c r="BJ27" i="10"/>
  <c r="DO26" i="10"/>
  <c r="DN26" i="10"/>
  <c r="DJ26" i="10"/>
  <c r="DI26" i="10"/>
  <c r="DH26" i="10"/>
  <c r="DG26" i="10"/>
  <c r="DF26" i="10"/>
  <c r="DE26" i="10"/>
  <c r="DD26" i="10"/>
  <c r="DC26" i="10"/>
  <c r="DB26" i="10"/>
  <c r="DA26" i="10"/>
  <c r="CZ26" i="10"/>
  <c r="CY26" i="10"/>
  <c r="CX26" i="10"/>
  <c r="CW26" i="10"/>
  <c r="CV26" i="10"/>
  <c r="CU26" i="10"/>
  <c r="CT26" i="10"/>
  <c r="CS26" i="10"/>
  <c r="CR26" i="10"/>
  <c r="CQ26" i="10"/>
  <c r="CP26" i="10"/>
  <c r="CO26" i="10"/>
  <c r="CB26" i="10"/>
  <c r="BV26" i="10"/>
  <c r="BU26" i="10"/>
  <c r="BR26" i="10"/>
  <c r="BP26" i="10"/>
  <c r="BO26" i="10"/>
  <c r="BN26" i="10"/>
  <c r="BM26" i="10"/>
  <c r="BJ26" i="10"/>
  <c r="DO25" i="10"/>
  <c r="DN25" i="10"/>
  <c r="DJ25" i="10"/>
  <c r="DI25" i="10"/>
  <c r="DH25" i="10"/>
  <c r="DG25" i="10"/>
  <c r="DF25" i="10"/>
  <c r="DE25" i="10"/>
  <c r="DD25" i="10"/>
  <c r="DC25" i="10"/>
  <c r="DB25" i="10"/>
  <c r="DA25" i="10"/>
  <c r="CZ25" i="10"/>
  <c r="CY25" i="10"/>
  <c r="CX25" i="10"/>
  <c r="CW25" i="10"/>
  <c r="CV25" i="10"/>
  <c r="CU25" i="10"/>
  <c r="CT25" i="10"/>
  <c r="CS25" i="10"/>
  <c r="CR25" i="10"/>
  <c r="CQ25" i="10"/>
  <c r="CP25" i="10"/>
  <c r="CO25" i="10"/>
  <c r="CB25" i="10"/>
  <c r="BV25" i="10"/>
  <c r="BU25" i="10"/>
  <c r="BR25" i="10"/>
  <c r="BP25" i="10"/>
  <c r="BO25" i="10"/>
  <c r="BN25" i="10"/>
  <c r="BM25" i="10"/>
  <c r="BJ25" i="10"/>
  <c r="DO24" i="10"/>
  <c r="DN24" i="10"/>
  <c r="DJ24" i="10"/>
  <c r="DI24" i="10"/>
  <c r="DH24" i="10"/>
  <c r="DG24" i="10"/>
  <c r="DF24" i="10"/>
  <c r="DE24" i="10"/>
  <c r="DD24" i="10"/>
  <c r="DC24" i="10"/>
  <c r="DB24" i="10"/>
  <c r="DA24" i="10"/>
  <c r="CZ24" i="10"/>
  <c r="CY24" i="10"/>
  <c r="CX24" i="10"/>
  <c r="CW24" i="10"/>
  <c r="CV24" i="10"/>
  <c r="CU24" i="10"/>
  <c r="CT24" i="10"/>
  <c r="CS24" i="10"/>
  <c r="CR24" i="10"/>
  <c r="CQ24" i="10"/>
  <c r="CP24" i="10"/>
  <c r="CO24" i="10"/>
  <c r="CB24" i="10"/>
  <c r="BV24" i="10"/>
  <c r="BU24" i="10"/>
  <c r="BR24" i="10"/>
  <c r="BP24" i="10"/>
  <c r="BO24" i="10"/>
  <c r="BN24" i="10"/>
  <c r="BM24" i="10"/>
  <c r="BJ24" i="10"/>
  <c r="DO23" i="10"/>
  <c r="DN23" i="10"/>
  <c r="DJ23" i="10"/>
  <c r="DI23" i="10"/>
  <c r="DH23" i="10"/>
  <c r="DG23" i="10"/>
  <c r="DF23" i="10"/>
  <c r="DE23" i="10"/>
  <c r="DD23" i="10"/>
  <c r="DC23" i="10"/>
  <c r="DB23" i="10"/>
  <c r="DA23" i="10"/>
  <c r="CZ23" i="10"/>
  <c r="CY23" i="10"/>
  <c r="CX23" i="10"/>
  <c r="CW23" i="10"/>
  <c r="CV23" i="10"/>
  <c r="CU23" i="10"/>
  <c r="CT23" i="10"/>
  <c r="CS23" i="10"/>
  <c r="CR23" i="10"/>
  <c r="CQ23" i="10"/>
  <c r="CP23" i="10"/>
  <c r="CO23" i="10"/>
  <c r="CB23" i="10"/>
  <c r="BV23" i="10"/>
  <c r="BU23" i="10"/>
  <c r="BR23" i="10"/>
  <c r="BP23" i="10"/>
  <c r="BO23" i="10"/>
  <c r="BN23" i="10"/>
  <c r="BM23" i="10"/>
  <c r="BJ23" i="10"/>
  <c r="DO22" i="10"/>
  <c r="DN22" i="10"/>
  <c r="DJ22" i="10"/>
  <c r="DI22" i="10"/>
  <c r="DH22" i="10"/>
  <c r="DG22" i="10"/>
  <c r="DF22" i="10"/>
  <c r="DE22" i="10"/>
  <c r="DD22" i="10"/>
  <c r="DC22" i="10"/>
  <c r="DB22" i="10"/>
  <c r="DA22" i="10"/>
  <c r="CZ22" i="10"/>
  <c r="CY22" i="10"/>
  <c r="CX22" i="10"/>
  <c r="CW22" i="10"/>
  <c r="CV22" i="10"/>
  <c r="CU22" i="10"/>
  <c r="CT22" i="10"/>
  <c r="CS22" i="10"/>
  <c r="CR22" i="10"/>
  <c r="CQ22" i="10"/>
  <c r="CP22" i="10"/>
  <c r="CO22" i="10"/>
  <c r="CB22" i="10"/>
  <c r="BV22" i="10"/>
  <c r="BU22" i="10"/>
  <c r="BR22" i="10"/>
  <c r="BP22" i="10"/>
  <c r="BO22" i="10"/>
  <c r="BN22" i="10"/>
  <c r="BM22" i="10"/>
  <c r="BJ22" i="10"/>
  <c r="DO21" i="10"/>
  <c r="DN21" i="10"/>
  <c r="DJ21" i="10"/>
  <c r="DI21" i="10"/>
  <c r="DH21" i="10"/>
  <c r="DG21" i="10"/>
  <c r="DF21" i="10"/>
  <c r="DE21" i="10"/>
  <c r="DD21" i="10"/>
  <c r="DC21" i="10"/>
  <c r="DB21" i="10"/>
  <c r="DA21" i="10"/>
  <c r="CZ21" i="10"/>
  <c r="CY21" i="10"/>
  <c r="CX21" i="10"/>
  <c r="CW21" i="10"/>
  <c r="CV21" i="10"/>
  <c r="CU21" i="10"/>
  <c r="CT21" i="10"/>
  <c r="CS21" i="10"/>
  <c r="CR21" i="10"/>
  <c r="CQ21" i="10"/>
  <c r="CP21" i="10"/>
  <c r="CO21" i="10"/>
  <c r="CB21" i="10"/>
  <c r="BV21" i="10"/>
  <c r="BU21" i="10"/>
  <c r="BR21" i="10"/>
  <c r="BP21" i="10"/>
  <c r="BO21" i="10"/>
  <c r="BN21" i="10"/>
  <c r="BM21" i="10"/>
  <c r="BJ21" i="10"/>
  <c r="DO20" i="10"/>
  <c r="DN20" i="10"/>
  <c r="DJ20" i="10"/>
  <c r="DI20" i="10"/>
  <c r="DH20" i="10"/>
  <c r="DG20" i="10"/>
  <c r="DF20" i="10"/>
  <c r="DE20" i="10"/>
  <c r="DD20" i="10"/>
  <c r="DC20" i="10"/>
  <c r="DB20" i="10"/>
  <c r="DA20" i="10"/>
  <c r="CZ20" i="10"/>
  <c r="CY20" i="10"/>
  <c r="CX20" i="10"/>
  <c r="CW20" i="10"/>
  <c r="CV20" i="10"/>
  <c r="CU20" i="10"/>
  <c r="CT20" i="10"/>
  <c r="CS20" i="10"/>
  <c r="CR20" i="10"/>
  <c r="CQ20" i="10"/>
  <c r="CP20" i="10"/>
  <c r="CO20" i="10"/>
  <c r="CB20" i="10"/>
  <c r="BV20" i="10"/>
  <c r="BU20" i="10"/>
  <c r="BR20" i="10"/>
  <c r="BP20" i="10"/>
  <c r="BO20" i="10"/>
  <c r="BN20" i="10"/>
  <c r="BM20" i="10"/>
  <c r="BJ20" i="10"/>
  <c r="DO19" i="10"/>
  <c r="DN19" i="10"/>
  <c r="DJ19" i="10"/>
  <c r="DI19" i="10"/>
  <c r="DH19" i="10"/>
  <c r="DG19" i="10"/>
  <c r="DF19" i="10"/>
  <c r="DE19" i="10"/>
  <c r="DD19" i="10"/>
  <c r="DC19" i="10"/>
  <c r="DB19" i="10"/>
  <c r="DA19" i="10"/>
  <c r="CZ19" i="10"/>
  <c r="CY19" i="10"/>
  <c r="CX19" i="10"/>
  <c r="CW19" i="10"/>
  <c r="CV19" i="10"/>
  <c r="CU19" i="10"/>
  <c r="CT19" i="10"/>
  <c r="CS19" i="10"/>
  <c r="CR19" i="10"/>
  <c r="CQ19" i="10"/>
  <c r="CP19" i="10"/>
  <c r="CO19" i="10"/>
  <c r="CB19" i="10"/>
  <c r="BV19" i="10"/>
  <c r="BU19" i="10"/>
  <c r="BR19" i="10"/>
  <c r="BP19" i="10"/>
  <c r="BO19" i="10"/>
  <c r="BN19" i="10"/>
  <c r="BM19" i="10"/>
  <c r="BJ19" i="10"/>
  <c r="DO18" i="10"/>
  <c r="DN18" i="10"/>
  <c r="DJ18" i="10"/>
  <c r="DI18" i="10"/>
  <c r="DH18" i="10"/>
  <c r="DG18" i="10"/>
  <c r="DF18" i="10"/>
  <c r="DE18" i="10"/>
  <c r="DD18" i="10"/>
  <c r="DC18" i="10"/>
  <c r="DB18" i="10"/>
  <c r="DA18" i="10"/>
  <c r="CZ18" i="10"/>
  <c r="CY18" i="10"/>
  <c r="CX18" i="10"/>
  <c r="CW18" i="10"/>
  <c r="CV18" i="10"/>
  <c r="CU18" i="10"/>
  <c r="CT18" i="10"/>
  <c r="CS18" i="10"/>
  <c r="CR18" i="10"/>
  <c r="CQ18" i="10"/>
  <c r="CP18" i="10"/>
  <c r="CO18" i="10"/>
  <c r="CB18" i="10"/>
  <c r="BV18" i="10"/>
  <c r="BU18" i="10"/>
  <c r="BR18" i="10"/>
  <c r="BP18" i="10"/>
  <c r="BO18" i="10"/>
  <c r="BN18" i="10"/>
  <c r="BM18" i="10"/>
  <c r="BJ18" i="10"/>
  <c r="DO17" i="10"/>
  <c r="DN17" i="10"/>
  <c r="DJ17" i="10"/>
  <c r="DI17" i="10"/>
  <c r="DH17" i="10"/>
  <c r="DG17" i="10"/>
  <c r="DF17" i="10"/>
  <c r="DE17" i="10"/>
  <c r="DD17" i="10"/>
  <c r="DC17" i="10"/>
  <c r="DB17" i="10"/>
  <c r="DA17" i="10"/>
  <c r="CZ17" i="10"/>
  <c r="CY17" i="10"/>
  <c r="CX17" i="10"/>
  <c r="CW17" i="10"/>
  <c r="CV17" i="10"/>
  <c r="CU17" i="10"/>
  <c r="CT17" i="10"/>
  <c r="CS17" i="10"/>
  <c r="CR17" i="10"/>
  <c r="CQ17" i="10"/>
  <c r="CP17" i="10"/>
  <c r="CO17" i="10"/>
  <c r="CB17" i="10"/>
  <c r="BV17" i="10"/>
  <c r="BU17" i="10"/>
  <c r="BR17" i="10"/>
  <c r="BP17" i="10"/>
  <c r="BO17" i="10"/>
  <c r="BN17" i="10"/>
  <c r="BM17" i="10"/>
  <c r="BJ17" i="10"/>
  <c r="DO16" i="10"/>
  <c r="DN16" i="10"/>
  <c r="DJ16" i="10"/>
  <c r="DI16" i="10"/>
  <c r="DH16" i="10"/>
  <c r="DG16" i="10"/>
  <c r="DF16" i="10"/>
  <c r="DE16" i="10"/>
  <c r="DD16" i="10"/>
  <c r="DC16" i="10"/>
  <c r="DB16" i="10"/>
  <c r="DA16" i="10"/>
  <c r="CZ16" i="10"/>
  <c r="CY16" i="10"/>
  <c r="CX16" i="10"/>
  <c r="CW16" i="10"/>
  <c r="CV16" i="10"/>
  <c r="CU16" i="10"/>
  <c r="CT16" i="10"/>
  <c r="CS16" i="10"/>
  <c r="CR16" i="10"/>
  <c r="CQ16" i="10"/>
  <c r="CP16" i="10"/>
  <c r="CO16" i="10"/>
  <c r="CB16" i="10"/>
  <c r="BV16" i="10"/>
  <c r="BU16" i="10"/>
  <c r="BR16" i="10"/>
  <c r="BP16" i="10"/>
  <c r="BO16" i="10"/>
  <c r="BN16" i="10"/>
  <c r="BM16" i="10"/>
  <c r="BJ16" i="10"/>
  <c r="DO15" i="10"/>
  <c r="DN15" i="10"/>
  <c r="DJ15" i="10"/>
  <c r="DI15" i="10"/>
  <c r="DH15" i="10"/>
  <c r="DG15" i="10"/>
  <c r="DF15" i="10"/>
  <c r="DE15" i="10"/>
  <c r="DD15" i="10"/>
  <c r="DC15" i="10"/>
  <c r="DB15" i="10"/>
  <c r="DA15" i="10"/>
  <c r="CZ15" i="10"/>
  <c r="CY15" i="10"/>
  <c r="CX15" i="10"/>
  <c r="CW15" i="10"/>
  <c r="CV15" i="10"/>
  <c r="CU15" i="10"/>
  <c r="CT15" i="10"/>
  <c r="CS15" i="10"/>
  <c r="CR15" i="10"/>
  <c r="CQ15" i="10"/>
  <c r="CP15" i="10"/>
  <c r="CO15" i="10"/>
  <c r="CB15" i="10"/>
  <c r="BV15" i="10"/>
  <c r="BU15" i="10"/>
  <c r="BR15" i="10"/>
  <c r="BP15" i="10"/>
  <c r="BO15" i="10"/>
  <c r="BN15" i="10"/>
  <c r="BM15" i="10"/>
  <c r="BJ15" i="10"/>
  <c r="DO14" i="10"/>
  <c r="DN14" i="10"/>
  <c r="DJ14" i="10"/>
  <c r="DI14" i="10"/>
  <c r="DH14" i="10"/>
  <c r="DG14" i="10"/>
  <c r="DF14" i="10"/>
  <c r="DE14" i="10"/>
  <c r="DD14" i="10"/>
  <c r="DC14" i="10"/>
  <c r="DB14" i="10"/>
  <c r="DA14" i="10"/>
  <c r="CZ14" i="10"/>
  <c r="CY14" i="10"/>
  <c r="CX14" i="10"/>
  <c r="CW14" i="10"/>
  <c r="CV14" i="10"/>
  <c r="CU14" i="10"/>
  <c r="CT14" i="10"/>
  <c r="CS14" i="10"/>
  <c r="CR14" i="10"/>
  <c r="CQ14" i="10"/>
  <c r="CP14" i="10"/>
  <c r="CO14" i="10"/>
  <c r="CB14" i="10"/>
  <c r="BV14" i="10"/>
  <c r="BU14" i="10"/>
  <c r="BR14" i="10"/>
  <c r="BP14" i="10"/>
  <c r="BO14" i="10"/>
  <c r="BN14" i="10"/>
  <c r="BM14" i="10"/>
  <c r="BJ14" i="10"/>
  <c r="DO13" i="10"/>
  <c r="DN13" i="10"/>
  <c r="DJ13" i="10"/>
  <c r="DI13" i="10"/>
  <c r="DH13" i="10"/>
  <c r="DG13" i="10"/>
  <c r="DF13" i="10"/>
  <c r="DE13" i="10"/>
  <c r="DD13" i="10"/>
  <c r="DC13" i="10"/>
  <c r="DB13" i="10"/>
  <c r="DA13" i="10"/>
  <c r="CZ13" i="10"/>
  <c r="CY13" i="10"/>
  <c r="CX13" i="10"/>
  <c r="CW13" i="10"/>
  <c r="CV13" i="10"/>
  <c r="CU13" i="10"/>
  <c r="CT13" i="10"/>
  <c r="CS13" i="10"/>
  <c r="CR13" i="10"/>
  <c r="CQ13" i="10"/>
  <c r="CP13" i="10"/>
  <c r="CO13" i="10"/>
  <c r="CB13" i="10"/>
  <c r="BV13" i="10"/>
  <c r="BU13" i="10"/>
  <c r="BR13" i="10"/>
  <c r="BP13" i="10"/>
  <c r="BO13" i="10"/>
  <c r="BN13" i="10"/>
  <c r="BM13" i="10"/>
  <c r="BJ13" i="10"/>
  <c r="DO12" i="10"/>
  <c r="DN12" i="10"/>
  <c r="DJ12" i="10"/>
  <c r="DI12" i="10"/>
  <c r="DH12" i="10"/>
  <c r="DG12" i="10"/>
  <c r="DF12" i="10"/>
  <c r="DE12" i="10"/>
  <c r="DD12" i="10"/>
  <c r="DC12" i="10"/>
  <c r="DB12" i="10"/>
  <c r="DA12" i="10"/>
  <c r="CZ12" i="10"/>
  <c r="CY12" i="10"/>
  <c r="CX12" i="10"/>
  <c r="CW12" i="10"/>
  <c r="CV12" i="10"/>
  <c r="CU12" i="10"/>
  <c r="CT12" i="10"/>
  <c r="CS12" i="10"/>
  <c r="CR12" i="10"/>
  <c r="CQ12" i="10"/>
  <c r="CP12" i="10"/>
  <c r="CO12" i="10"/>
  <c r="CB12" i="10"/>
  <c r="BV12" i="10"/>
  <c r="BU12" i="10"/>
  <c r="BR12" i="10"/>
  <c r="BP12" i="10"/>
  <c r="BO12" i="10"/>
  <c r="BN12" i="10"/>
  <c r="BM12" i="10"/>
  <c r="BJ12" i="10"/>
  <c r="DO11" i="10"/>
  <c r="DN11" i="10"/>
  <c r="DJ11" i="10"/>
  <c r="DI11" i="10"/>
  <c r="DH11" i="10"/>
  <c r="DG11" i="10"/>
  <c r="DF11" i="10"/>
  <c r="DE11" i="10"/>
  <c r="DD11" i="10"/>
  <c r="DC11" i="10"/>
  <c r="DB11" i="10"/>
  <c r="DA11" i="10"/>
  <c r="CZ11" i="10"/>
  <c r="CY11" i="10"/>
  <c r="CX11" i="10"/>
  <c r="CW11" i="10"/>
  <c r="CV11" i="10"/>
  <c r="CU11" i="10"/>
  <c r="CT11" i="10"/>
  <c r="CS11" i="10"/>
  <c r="CR11" i="10"/>
  <c r="CQ11" i="10"/>
  <c r="CP11" i="10"/>
  <c r="CO11" i="10"/>
  <c r="CB11" i="10"/>
  <c r="BV11" i="10"/>
  <c r="BU11" i="10"/>
  <c r="BR11" i="10"/>
  <c r="BP11" i="10"/>
  <c r="BO11" i="10"/>
  <c r="BN11" i="10"/>
  <c r="BM11" i="10"/>
  <c r="BJ11" i="10"/>
  <c r="DO10" i="10"/>
  <c r="DN10" i="10"/>
  <c r="DJ10" i="10"/>
  <c r="DI10" i="10"/>
  <c r="DH10" i="10"/>
  <c r="DG10" i="10"/>
  <c r="DF10" i="10"/>
  <c r="DE10" i="10"/>
  <c r="DD10" i="10"/>
  <c r="DC10" i="10"/>
  <c r="DB10" i="10"/>
  <c r="DA10" i="10"/>
  <c r="CZ10" i="10"/>
  <c r="CY10" i="10"/>
  <c r="CX10" i="10"/>
  <c r="CW10" i="10"/>
  <c r="CV10" i="10"/>
  <c r="CU10" i="10"/>
  <c r="CT10" i="10"/>
  <c r="CS10" i="10"/>
  <c r="CR10" i="10"/>
  <c r="CQ10" i="10"/>
  <c r="CP10" i="10"/>
  <c r="CO10" i="10"/>
  <c r="CB10" i="10"/>
  <c r="BV10" i="10"/>
  <c r="BU10" i="10"/>
  <c r="BR10" i="10"/>
  <c r="BP10" i="10"/>
  <c r="BO10" i="10"/>
  <c r="BN10" i="10"/>
  <c r="BM10" i="10"/>
  <c r="BJ10" i="10"/>
  <c r="DO9" i="10"/>
  <c r="DN9" i="10"/>
  <c r="DJ9" i="10"/>
  <c r="DI9" i="10"/>
  <c r="DH9" i="10"/>
  <c r="DG9" i="10"/>
  <c r="DF9" i="10"/>
  <c r="DE9" i="10"/>
  <c r="DD9" i="10"/>
  <c r="DC9" i="10"/>
  <c r="DB9" i="10"/>
  <c r="DA9" i="10"/>
  <c r="CZ9" i="10"/>
  <c r="CY9" i="10"/>
  <c r="CX9" i="10"/>
  <c r="CW9" i="10"/>
  <c r="CV9" i="10"/>
  <c r="CU9" i="10"/>
  <c r="CT9" i="10"/>
  <c r="CS9" i="10"/>
  <c r="CR9" i="10"/>
  <c r="CQ9" i="10"/>
  <c r="CP9" i="10"/>
  <c r="CO9" i="10"/>
  <c r="CB9" i="10"/>
  <c r="BV9" i="10"/>
  <c r="BU9" i="10"/>
  <c r="BR9" i="10"/>
  <c r="BP9" i="10"/>
  <c r="BO9" i="10"/>
  <c r="BN9" i="10"/>
  <c r="BM9" i="10"/>
  <c r="BJ9" i="10"/>
  <c r="DO8" i="10"/>
  <c r="DN8" i="10"/>
  <c r="DJ8" i="10"/>
  <c r="DI8" i="10"/>
  <c r="DH8" i="10"/>
  <c r="DG8" i="10"/>
  <c r="DF8" i="10"/>
  <c r="DE8" i="10"/>
  <c r="DD8" i="10"/>
  <c r="DC8" i="10"/>
  <c r="DB8" i="10"/>
  <c r="DA8" i="10"/>
  <c r="CZ8" i="10"/>
  <c r="CY8" i="10"/>
  <c r="CX8" i="10"/>
  <c r="CW8" i="10"/>
  <c r="CV8" i="10"/>
  <c r="CU8" i="10"/>
  <c r="CT8" i="10"/>
  <c r="CS8" i="10"/>
  <c r="CR8" i="10"/>
  <c r="CQ8" i="10"/>
  <c r="CP8" i="10"/>
  <c r="CO8" i="10"/>
  <c r="CB8" i="10"/>
  <c r="BV8" i="10"/>
  <c r="BU8" i="10"/>
  <c r="BR8" i="10"/>
  <c r="BP8" i="10"/>
  <c r="BO8" i="10"/>
  <c r="BN8" i="10"/>
  <c r="BM8" i="10"/>
  <c r="BJ8" i="10"/>
  <c r="DO7" i="10"/>
  <c r="DN7" i="10"/>
  <c r="DJ7" i="10"/>
  <c r="DI7" i="10"/>
  <c r="DH7" i="10"/>
  <c r="DG7" i="10"/>
  <c r="DF7" i="10"/>
  <c r="DE7" i="10"/>
  <c r="DD7" i="10"/>
  <c r="DC7" i="10"/>
  <c r="DB7" i="10"/>
  <c r="DA7" i="10"/>
  <c r="CZ7" i="10"/>
  <c r="CY7" i="10"/>
  <c r="CX7" i="10"/>
  <c r="CW7" i="10"/>
  <c r="CV7" i="10"/>
  <c r="CU7" i="10"/>
  <c r="CT7" i="10"/>
  <c r="CS7" i="10"/>
  <c r="CR7" i="10"/>
  <c r="CQ7" i="10"/>
  <c r="CP7" i="10"/>
  <c r="CO7" i="10"/>
  <c r="CB7" i="10"/>
  <c r="BV7" i="10"/>
  <c r="BU7" i="10"/>
  <c r="BR7" i="10"/>
  <c r="BP7" i="10"/>
  <c r="BO7" i="10"/>
  <c r="BN7" i="10"/>
  <c r="BM7" i="10"/>
  <c r="BJ7" i="10"/>
  <c r="DO6" i="10"/>
  <c r="DN6" i="10"/>
  <c r="DJ6" i="10"/>
  <c r="DI6" i="10"/>
  <c r="DH6" i="10"/>
  <c r="DG6" i="10"/>
  <c r="DF6" i="10"/>
  <c r="DE6" i="10"/>
  <c r="DD6" i="10"/>
  <c r="DC6" i="10"/>
  <c r="DB6" i="10"/>
  <c r="DA6" i="10"/>
  <c r="CZ6" i="10"/>
  <c r="CY6" i="10"/>
  <c r="CX6" i="10"/>
  <c r="CW6" i="10"/>
  <c r="CV6" i="10"/>
  <c r="CU6" i="10"/>
  <c r="CT6" i="10"/>
  <c r="CS6" i="10"/>
  <c r="CR6" i="10"/>
  <c r="CQ6" i="10"/>
  <c r="CP6" i="10"/>
  <c r="CO6" i="10"/>
  <c r="CB6" i="10"/>
  <c r="BV6" i="10"/>
  <c r="BU6" i="10"/>
  <c r="BR6" i="10"/>
  <c r="BP6" i="10"/>
  <c r="BO6" i="10"/>
  <c r="BN6" i="10"/>
  <c r="BM6" i="10"/>
  <c r="BJ6" i="10"/>
  <c r="BV5" i="10"/>
  <c r="BU5" i="10"/>
  <c r="BR5" i="10"/>
  <c r="BP5" i="10"/>
  <c r="BO5" i="10"/>
  <c r="BN5" i="10"/>
  <c r="BM5" i="10"/>
  <c r="BJ5" i="10"/>
  <c r="DO4" i="10"/>
  <c r="DN4" i="10"/>
  <c r="DJ4" i="10"/>
  <c r="DI4" i="10"/>
  <c r="DH4" i="10"/>
  <c r="DG4" i="10"/>
  <c r="DF4" i="10"/>
  <c r="DE4" i="10"/>
  <c r="DD4" i="10"/>
  <c r="DC4" i="10"/>
  <c r="DB4" i="10"/>
  <c r="DA4" i="10"/>
  <c r="CZ4" i="10"/>
  <c r="CY4" i="10"/>
  <c r="CX4" i="10"/>
  <c r="CW4" i="10"/>
  <c r="CV4" i="10"/>
  <c r="CU4" i="10"/>
  <c r="CT4" i="10"/>
  <c r="CS4" i="10"/>
  <c r="CR4" i="10"/>
  <c r="CQ4" i="10"/>
  <c r="CP4" i="10"/>
  <c r="CO4" i="10"/>
  <c r="CB4" i="10"/>
  <c r="BV4" i="10"/>
  <c r="BU4" i="10"/>
  <c r="BR4" i="10"/>
  <c r="BP4" i="10"/>
  <c r="BO4" i="10"/>
  <c r="BN4" i="10"/>
  <c r="BM4" i="10"/>
  <c r="BJ4" i="10"/>
  <c r="DO3" i="10"/>
  <c r="DN3" i="10"/>
  <c r="DJ3" i="10"/>
  <c r="DI3" i="10"/>
  <c r="DH3" i="10"/>
  <c r="DG3" i="10"/>
  <c r="DF3" i="10"/>
  <c r="DE3" i="10"/>
  <c r="DD3" i="10"/>
  <c r="DC3" i="10"/>
  <c r="DB3" i="10"/>
  <c r="DA3" i="10"/>
  <c r="CZ3" i="10"/>
  <c r="CY3" i="10"/>
  <c r="CX3" i="10"/>
  <c r="CW3" i="10"/>
  <c r="CV3" i="10"/>
  <c r="CU3" i="10"/>
  <c r="CT3" i="10"/>
  <c r="CS3" i="10"/>
  <c r="CR3" i="10"/>
  <c r="CQ3" i="10"/>
  <c r="CP3" i="10"/>
  <c r="CO3" i="10"/>
  <c r="CB3" i="10"/>
  <c r="BV3" i="10"/>
  <c r="BU3" i="10"/>
  <c r="BR3" i="10"/>
  <c r="BP3" i="10"/>
  <c r="BO3" i="10"/>
  <c r="BN3" i="10"/>
  <c r="BM3" i="10"/>
  <c r="BJ3" i="10"/>
  <c r="DO2" i="10"/>
  <c r="DN2" i="10"/>
  <c r="DJ2" i="10"/>
  <c r="DI2" i="10"/>
  <c r="DH2" i="10"/>
  <c r="DG2" i="10"/>
  <c r="DF2" i="10"/>
  <c r="DE2" i="10"/>
  <c r="DD2" i="10"/>
  <c r="DC2" i="10"/>
  <c r="DB2" i="10"/>
  <c r="DA2" i="10"/>
  <c r="CZ2" i="10"/>
  <c r="CY2" i="10"/>
  <c r="CX2" i="10"/>
  <c r="CW2" i="10"/>
  <c r="CV2" i="10"/>
  <c r="CU2" i="10"/>
  <c r="CT2" i="10"/>
  <c r="CS2" i="10"/>
  <c r="CR2" i="10"/>
  <c r="CQ2" i="10"/>
  <c r="CP2" i="10"/>
  <c r="CO2" i="10"/>
  <c r="CB2" i="10"/>
  <c r="BV2" i="10"/>
  <c r="BU2" i="10"/>
  <c r="BR2" i="10"/>
  <c r="BP2" i="10"/>
  <c r="BO2" i="10"/>
  <c r="BN2" i="10"/>
  <c r="BM2" i="10"/>
  <c r="Z345" i="10" l="1"/>
  <c r="Y345" i="10"/>
  <c r="X345" i="10"/>
  <c r="W345" i="10"/>
  <c r="V345" i="10"/>
  <c r="U345" i="10"/>
  <c r="S345" i="10"/>
  <c r="R345" i="10"/>
  <c r="Q345" i="10"/>
  <c r="O345" i="10" s="1"/>
  <c r="P345" i="10"/>
  <c r="Z344" i="10"/>
  <c r="Y344" i="10"/>
  <c r="X344" i="10"/>
  <c r="W344" i="10"/>
  <c r="V344" i="10"/>
  <c r="U344" i="10"/>
  <c r="S344" i="10"/>
  <c r="R344" i="10"/>
  <c r="Q344" i="10"/>
  <c r="T344" i="10" s="1"/>
  <c r="P344" i="10"/>
  <c r="Z343" i="10"/>
  <c r="Y343" i="10"/>
  <c r="X343" i="10"/>
  <c r="W343" i="10"/>
  <c r="V343" i="10"/>
  <c r="U343" i="10"/>
  <c r="S343" i="10"/>
  <c r="R343" i="10"/>
  <c r="Q343" i="10"/>
  <c r="P343" i="10"/>
  <c r="Z342" i="10"/>
  <c r="Y342" i="10"/>
  <c r="X342" i="10"/>
  <c r="W342" i="10"/>
  <c r="V342" i="10"/>
  <c r="U342" i="10"/>
  <c r="S342" i="10"/>
  <c r="R342" i="10"/>
  <c r="Q342" i="10"/>
  <c r="T342" i="10" s="1"/>
  <c r="P342" i="10"/>
  <c r="Z341" i="10"/>
  <c r="Y341" i="10"/>
  <c r="X341" i="10"/>
  <c r="W341" i="10"/>
  <c r="V341" i="10"/>
  <c r="U341" i="10"/>
  <c r="S341" i="10"/>
  <c r="R341" i="10"/>
  <c r="Q341" i="10"/>
  <c r="T341" i="10" s="1"/>
  <c r="P341" i="10"/>
  <c r="Z340" i="10"/>
  <c r="Y340" i="10"/>
  <c r="X340" i="10"/>
  <c r="W340" i="10"/>
  <c r="V340" i="10"/>
  <c r="U340" i="10"/>
  <c r="S340" i="10"/>
  <c r="R340" i="10"/>
  <c r="Q340" i="10"/>
  <c r="T340" i="10" s="1"/>
  <c r="P340" i="10"/>
  <c r="Z339" i="10"/>
  <c r="Y339" i="10"/>
  <c r="X339" i="10"/>
  <c r="W339" i="10"/>
  <c r="V339" i="10"/>
  <c r="U339" i="10"/>
  <c r="S339" i="10"/>
  <c r="R339" i="10"/>
  <c r="Q339" i="10"/>
  <c r="T339" i="10" s="1"/>
  <c r="P339" i="10"/>
  <c r="Z338" i="10"/>
  <c r="Y338" i="10"/>
  <c r="X338" i="10"/>
  <c r="W338" i="10"/>
  <c r="V338" i="10"/>
  <c r="U338" i="10"/>
  <c r="S338" i="10"/>
  <c r="R338" i="10"/>
  <c r="Q338" i="10"/>
  <c r="T338" i="10" s="1"/>
  <c r="P338" i="10"/>
  <c r="Z337" i="10"/>
  <c r="Y337" i="10"/>
  <c r="X337" i="10"/>
  <c r="W337" i="10"/>
  <c r="V337" i="10"/>
  <c r="U337" i="10"/>
  <c r="S337" i="10"/>
  <c r="R337" i="10"/>
  <c r="Q337" i="10"/>
  <c r="T337" i="10" s="1"/>
  <c r="P337" i="10"/>
  <c r="Z336" i="10"/>
  <c r="Y336" i="10"/>
  <c r="X336" i="10"/>
  <c r="W336" i="10"/>
  <c r="V336" i="10"/>
  <c r="U336" i="10"/>
  <c r="S336" i="10"/>
  <c r="R336" i="10"/>
  <c r="Q336" i="10"/>
  <c r="T336" i="10" s="1"/>
  <c r="P336" i="10"/>
  <c r="Z335" i="10"/>
  <c r="Y335" i="10"/>
  <c r="X335" i="10"/>
  <c r="W335" i="10"/>
  <c r="V335" i="10"/>
  <c r="U335" i="10"/>
  <c r="S335" i="10"/>
  <c r="R335" i="10"/>
  <c r="Q335" i="10"/>
  <c r="T335" i="10" s="1"/>
  <c r="P335" i="10"/>
  <c r="Z334" i="10"/>
  <c r="Y334" i="10"/>
  <c r="X334" i="10"/>
  <c r="W334" i="10"/>
  <c r="V334" i="10"/>
  <c r="U334" i="10"/>
  <c r="S334" i="10"/>
  <c r="R334" i="10"/>
  <c r="Q334" i="10"/>
  <c r="T334" i="10" s="1"/>
  <c r="P334" i="10"/>
  <c r="Z333" i="10"/>
  <c r="Y333" i="10"/>
  <c r="X333" i="10"/>
  <c r="W333" i="10"/>
  <c r="V333" i="10"/>
  <c r="U333" i="10"/>
  <c r="S333" i="10"/>
  <c r="R333" i="10"/>
  <c r="Q333" i="10"/>
  <c r="P333" i="10"/>
  <c r="Z332" i="10"/>
  <c r="Y332" i="10"/>
  <c r="X332" i="10"/>
  <c r="W332" i="10"/>
  <c r="V332" i="10"/>
  <c r="U332" i="10"/>
  <c r="S332" i="10"/>
  <c r="R332" i="10"/>
  <c r="Q332" i="10"/>
  <c r="O332" i="10" s="1"/>
  <c r="P332" i="10"/>
  <c r="Z331" i="10"/>
  <c r="Y331" i="10"/>
  <c r="X331" i="10"/>
  <c r="W331" i="10"/>
  <c r="V331" i="10"/>
  <c r="U331" i="10"/>
  <c r="S331" i="10"/>
  <c r="R331" i="10"/>
  <c r="Q331" i="10"/>
  <c r="T331" i="10" s="1"/>
  <c r="P331" i="10"/>
  <c r="Z330" i="10"/>
  <c r="Y330" i="10"/>
  <c r="X330" i="10"/>
  <c r="W330" i="10"/>
  <c r="V330" i="10"/>
  <c r="U330" i="10"/>
  <c r="S330" i="10"/>
  <c r="R330" i="10"/>
  <c r="Q330" i="10"/>
  <c r="P330" i="10"/>
  <c r="Z329" i="10"/>
  <c r="Y329" i="10"/>
  <c r="X329" i="10"/>
  <c r="W329" i="10"/>
  <c r="V329" i="10"/>
  <c r="U329" i="10"/>
  <c r="S329" i="10"/>
  <c r="R329" i="10"/>
  <c r="Q329" i="10"/>
  <c r="T329" i="10" s="1"/>
  <c r="P329" i="10"/>
  <c r="Z328" i="10"/>
  <c r="Y328" i="10"/>
  <c r="X328" i="10"/>
  <c r="W328" i="10"/>
  <c r="V328" i="10"/>
  <c r="U328" i="10"/>
  <c r="S328" i="10"/>
  <c r="R328" i="10"/>
  <c r="Q328" i="10"/>
  <c r="T328" i="10" s="1"/>
  <c r="P328" i="10"/>
  <c r="Z327" i="10"/>
  <c r="Y327" i="10"/>
  <c r="X327" i="10"/>
  <c r="W327" i="10"/>
  <c r="V327" i="10"/>
  <c r="U327" i="10"/>
  <c r="S327" i="10"/>
  <c r="R327" i="10"/>
  <c r="Q327" i="10"/>
  <c r="O327" i="10" s="1"/>
  <c r="P327" i="10"/>
  <c r="Z326" i="10"/>
  <c r="Y326" i="10"/>
  <c r="X326" i="10"/>
  <c r="W326" i="10"/>
  <c r="V326" i="10"/>
  <c r="U326" i="10"/>
  <c r="S326" i="10"/>
  <c r="R326" i="10"/>
  <c r="Q326" i="10"/>
  <c r="T326" i="10" s="1"/>
  <c r="P326" i="10"/>
  <c r="Z325" i="10"/>
  <c r="Y325" i="10"/>
  <c r="X325" i="10"/>
  <c r="W325" i="10"/>
  <c r="V325" i="10"/>
  <c r="U325" i="10"/>
  <c r="S325" i="10"/>
  <c r="R325" i="10"/>
  <c r="Q325" i="10"/>
  <c r="P325" i="10"/>
  <c r="Z324" i="10"/>
  <c r="Y324" i="10"/>
  <c r="X324" i="10"/>
  <c r="W324" i="10"/>
  <c r="V324" i="10"/>
  <c r="U324" i="10"/>
  <c r="S324" i="10"/>
  <c r="R324" i="10"/>
  <c r="Q324" i="10"/>
  <c r="T324" i="10" s="1"/>
  <c r="P324" i="10"/>
  <c r="Z323" i="10"/>
  <c r="Y323" i="10"/>
  <c r="X323" i="10"/>
  <c r="W323" i="10"/>
  <c r="V323" i="10"/>
  <c r="U323" i="10"/>
  <c r="S323" i="10"/>
  <c r="R323" i="10"/>
  <c r="Q323" i="10"/>
  <c r="T323" i="10" s="1"/>
  <c r="P323" i="10"/>
  <c r="Z322" i="10"/>
  <c r="Y322" i="10"/>
  <c r="X322" i="10"/>
  <c r="W322" i="10"/>
  <c r="V322" i="10"/>
  <c r="U322" i="10"/>
  <c r="S322" i="10"/>
  <c r="R322" i="10"/>
  <c r="Q322" i="10"/>
  <c r="P322" i="10"/>
  <c r="Z321" i="10"/>
  <c r="Y321" i="10"/>
  <c r="X321" i="10"/>
  <c r="W321" i="10"/>
  <c r="V321" i="10"/>
  <c r="U321" i="10"/>
  <c r="S321" i="10"/>
  <c r="R321" i="10"/>
  <c r="Q321" i="10"/>
  <c r="T321" i="10" s="1"/>
  <c r="P321" i="10"/>
  <c r="Z320" i="10"/>
  <c r="Y320" i="10"/>
  <c r="X320" i="10"/>
  <c r="W320" i="10"/>
  <c r="V320" i="10"/>
  <c r="U320" i="10"/>
  <c r="S320" i="10"/>
  <c r="R320" i="10"/>
  <c r="Q320" i="10"/>
  <c r="T320" i="10" s="1"/>
  <c r="P320" i="10"/>
  <c r="Z319" i="10"/>
  <c r="Y319" i="10"/>
  <c r="X319" i="10"/>
  <c r="W319" i="10"/>
  <c r="V319" i="10"/>
  <c r="U319" i="10"/>
  <c r="S319" i="10"/>
  <c r="R319" i="10"/>
  <c r="Q319" i="10"/>
  <c r="T319" i="10" s="1"/>
  <c r="P319" i="10"/>
  <c r="Z318" i="10"/>
  <c r="Y318" i="10"/>
  <c r="X318" i="10"/>
  <c r="W318" i="10"/>
  <c r="V318" i="10"/>
  <c r="U318" i="10"/>
  <c r="S318" i="10"/>
  <c r="R318" i="10"/>
  <c r="Q318" i="10"/>
  <c r="AD318" i="10" s="1"/>
  <c r="P318" i="10"/>
  <c r="Z317" i="10"/>
  <c r="Y317" i="10"/>
  <c r="X317" i="10"/>
  <c r="W317" i="10"/>
  <c r="V317" i="10"/>
  <c r="U317" i="10"/>
  <c r="S317" i="10"/>
  <c r="R317" i="10"/>
  <c r="Q317" i="10"/>
  <c r="AD317" i="10" s="1"/>
  <c r="P317" i="10"/>
  <c r="Z316" i="10"/>
  <c r="Y316" i="10"/>
  <c r="X316" i="10"/>
  <c r="W316" i="10"/>
  <c r="V316" i="10"/>
  <c r="U316" i="10"/>
  <c r="S316" i="10"/>
  <c r="R316" i="10"/>
  <c r="Q316" i="10"/>
  <c r="T316" i="10" s="1"/>
  <c r="P316" i="10"/>
  <c r="Z315" i="10"/>
  <c r="Y315" i="10"/>
  <c r="X315" i="10"/>
  <c r="W315" i="10"/>
  <c r="V315" i="10"/>
  <c r="U315" i="10"/>
  <c r="S315" i="10"/>
  <c r="R315" i="10"/>
  <c r="Q315" i="10"/>
  <c r="T315" i="10" s="1"/>
  <c r="P315" i="10"/>
  <c r="Z314" i="10"/>
  <c r="Y314" i="10"/>
  <c r="X314" i="10"/>
  <c r="W314" i="10"/>
  <c r="V314" i="10"/>
  <c r="U314" i="10"/>
  <c r="S314" i="10"/>
  <c r="R314" i="10"/>
  <c r="Q314" i="10"/>
  <c r="T314" i="10" s="1"/>
  <c r="P314" i="10"/>
  <c r="Z313" i="10"/>
  <c r="Y313" i="10"/>
  <c r="X313" i="10"/>
  <c r="W313" i="10"/>
  <c r="V313" i="10"/>
  <c r="U313" i="10"/>
  <c r="S313" i="10"/>
  <c r="R313" i="10"/>
  <c r="Q313" i="10"/>
  <c r="T313" i="10" s="1"/>
  <c r="P313" i="10"/>
  <c r="Z312" i="10"/>
  <c r="Y312" i="10"/>
  <c r="X312" i="10"/>
  <c r="W312" i="10"/>
  <c r="V312" i="10"/>
  <c r="U312" i="10"/>
  <c r="S312" i="10"/>
  <c r="R312" i="10"/>
  <c r="Q312" i="10"/>
  <c r="T312" i="10" s="1"/>
  <c r="P312" i="10"/>
  <c r="Z311" i="10"/>
  <c r="Y311" i="10"/>
  <c r="X311" i="10"/>
  <c r="W311" i="10"/>
  <c r="V311" i="10"/>
  <c r="U311" i="10"/>
  <c r="S311" i="10"/>
  <c r="R311" i="10"/>
  <c r="Q311" i="10"/>
  <c r="T311" i="10" s="1"/>
  <c r="P311" i="10"/>
  <c r="Z310" i="10"/>
  <c r="Y310" i="10"/>
  <c r="X310" i="10"/>
  <c r="W310" i="10"/>
  <c r="V310" i="10"/>
  <c r="U310" i="10"/>
  <c r="S310" i="10"/>
  <c r="R310" i="10"/>
  <c r="Q310" i="10"/>
  <c r="T310" i="10" s="1"/>
  <c r="P310" i="10"/>
  <c r="Z309" i="10"/>
  <c r="Y309" i="10"/>
  <c r="X309" i="10"/>
  <c r="W309" i="10"/>
  <c r="V309" i="10"/>
  <c r="U309" i="10"/>
  <c r="S309" i="10"/>
  <c r="R309" i="10"/>
  <c r="Q309" i="10"/>
  <c r="T309" i="10" s="1"/>
  <c r="P309" i="10"/>
  <c r="Z308" i="10"/>
  <c r="Y308" i="10"/>
  <c r="X308" i="10"/>
  <c r="W308" i="10"/>
  <c r="V308" i="10"/>
  <c r="U308" i="10"/>
  <c r="S308" i="10"/>
  <c r="R308" i="10"/>
  <c r="Q308" i="10"/>
  <c r="O308" i="10" s="1"/>
  <c r="P308" i="10"/>
  <c r="Z307" i="10"/>
  <c r="Y307" i="10"/>
  <c r="X307" i="10"/>
  <c r="W307" i="10"/>
  <c r="V307" i="10"/>
  <c r="U307" i="10"/>
  <c r="S307" i="10"/>
  <c r="R307" i="10"/>
  <c r="Q307" i="10"/>
  <c r="T307" i="10" s="1"/>
  <c r="P307" i="10"/>
  <c r="Z306" i="10"/>
  <c r="Y306" i="10"/>
  <c r="X306" i="10"/>
  <c r="W306" i="10"/>
  <c r="V306" i="10"/>
  <c r="U306" i="10"/>
  <c r="S306" i="10"/>
  <c r="R306" i="10"/>
  <c r="Q306" i="10"/>
  <c r="T306" i="10" s="1"/>
  <c r="P306" i="10"/>
  <c r="Z305" i="10"/>
  <c r="Y305" i="10"/>
  <c r="X305" i="10"/>
  <c r="W305" i="10"/>
  <c r="V305" i="10"/>
  <c r="U305" i="10"/>
  <c r="S305" i="10"/>
  <c r="R305" i="10"/>
  <c r="Q305" i="10"/>
  <c r="T305" i="10" s="1"/>
  <c r="P305" i="10"/>
  <c r="Z304" i="10"/>
  <c r="Y304" i="10"/>
  <c r="X304" i="10"/>
  <c r="W304" i="10"/>
  <c r="V304" i="10"/>
  <c r="U304" i="10"/>
  <c r="S304" i="10"/>
  <c r="R304" i="10"/>
  <c r="Q304" i="10"/>
  <c r="P304" i="10"/>
  <c r="Z303" i="10"/>
  <c r="Y303" i="10"/>
  <c r="X303" i="10"/>
  <c r="W303" i="10"/>
  <c r="V303" i="10"/>
  <c r="U303" i="10"/>
  <c r="S303" i="10"/>
  <c r="R303" i="10"/>
  <c r="Q303" i="10"/>
  <c r="O303" i="10" s="1"/>
  <c r="P303" i="10"/>
  <c r="Z302" i="10"/>
  <c r="Y302" i="10"/>
  <c r="X302" i="10"/>
  <c r="W302" i="10"/>
  <c r="V302" i="10"/>
  <c r="U302" i="10"/>
  <c r="S302" i="10"/>
  <c r="R302" i="10"/>
  <c r="Q302" i="10"/>
  <c r="P302" i="10"/>
  <c r="Z301" i="10"/>
  <c r="Y301" i="10"/>
  <c r="X301" i="10"/>
  <c r="W301" i="10"/>
  <c r="V301" i="10"/>
  <c r="U301" i="10"/>
  <c r="S301" i="10"/>
  <c r="R301" i="10"/>
  <c r="Q301" i="10"/>
  <c r="P301" i="10"/>
  <c r="Z300" i="10"/>
  <c r="Y300" i="10"/>
  <c r="X300" i="10"/>
  <c r="W300" i="10"/>
  <c r="V300" i="10"/>
  <c r="U300" i="10"/>
  <c r="S300" i="10"/>
  <c r="R300" i="10"/>
  <c r="Q300" i="10"/>
  <c r="T300" i="10" s="1"/>
  <c r="P300" i="10"/>
  <c r="Z299" i="10"/>
  <c r="Y299" i="10"/>
  <c r="X299" i="10"/>
  <c r="W299" i="10"/>
  <c r="V299" i="10"/>
  <c r="U299" i="10"/>
  <c r="S299" i="10"/>
  <c r="R299" i="10"/>
  <c r="Q299" i="10"/>
  <c r="P299" i="10"/>
  <c r="Z298" i="10"/>
  <c r="Y298" i="10"/>
  <c r="X298" i="10"/>
  <c r="W298" i="10"/>
  <c r="V298" i="10"/>
  <c r="U298" i="10"/>
  <c r="S298" i="10"/>
  <c r="R298" i="10"/>
  <c r="Q298" i="10"/>
  <c r="T298" i="10" s="1"/>
  <c r="P298" i="10"/>
  <c r="Z297" i="10"/>
  <c r="Y297" i="10"/>
  <c r="X297" i="10"/>
  <c r="W297" i="10"/>
  <c r="V297" i="10"/>
  <c r="U297" i="10"/>
  <c r="S297" i="10"/>
  <c r="R297" i="10"/>
  <c r="Q297" i="10"/>
  <c r="BF297" i="10" s="1"/>
  <c r="P297" i="10"/>
  <c r="Z296" i="10"/>
  <c r="Y296" i="10"/>
  <c r="X296" i="10"/>
  <c r="W296" i="10"/>
  <c r="V296" i="10"/>
  <c r="U296" i="10"/>
  <c r="S296" i="10"/>
  <c r="R296" i="10"/>
  <c r="Q296" i="10"/>
  <c r="T296" i="10" s="1"/>
  <c r="P296" i="10"/>
  <c r="Z295" i="10"/>
  <c r="Y295" i="10"/>
  <c r="X295" i="10"/>
  <c r="W295" i="10"/>
  <c r="V295" i="10"/>
  <c r="U295" i="10"/>
  <c r="S295" i="10"/>
  <c r="R295" i="10"/>
  <c r="Q295" i="10"/>
  <c r="T295" i="10" s="1"/>
  <c r="P295" i="10"/>
  <c r="Z294" i="10"/>
  <c r="Y294" i="10"/>
  <c r="X294" i="10"/>
  <c r="W294" i="10"/>
  <c r="V294" i="10"/>
  <c r="U294" i="10"/>
  <c r="S294" i="10"/>
  <c r="R294" i="10"/>
  <c r="Q294" i="10"/>
  <c r="O294" i="10" s="1"/>
  <c r="P294" i="10"/>
  <c r="BG293" i="10"/>
  <c r="Z293" i="10"/>
  <c r="Y293" i="10"/>
  <c r="X293" i="10"/>
  <c r="W293" i="10"/>
  <c r="V293" i="10"/>
  <c r="U293" i="10"/>
  <c r="S293" i="10"/>
  <c r="R293" i="10"/>
  <c r="Q293" i="10"/>
  <c r="AD293" i="10" s="1"/>
  <c r="P293" i="10"/>
  <c r="Z292" i="10"/>
  <c r="Y292" i="10"/>
  <c r="X292" i="10"/>
  <c r="W292" i="10"/>
  <c r="V292" i="10"/>
  <c r="U292" i="10"/>
  <c r="S292" i="10"/>
  <c r="R292" i="10"/>
  <c r="Q292" i="10"/>
  <c r="AC292" i="10" s="1"/>
  <c r="P292" i="10"/>
  <c r="Z291" i="10"/>
  <c r="Y291" i="10"/>
  <c r="X291" i="10"/>
  <c r="W291" i="10"/>
  <c r="V291" i="10"/>
  <c r="U291" i="10"/>
  <c r="S291" i="10"/>
  <c r="R291" i="10"/>
  <c r="Q291" i="10"/>
  <c r="P291" i="10"/>
  <c r="Z290" i="10"/>
  <c r="Y290" i="10"/>
  <c r="X290" i="10"/>
  <c r="W290" i="10"/>
  <c r="V290" i="10"/>
  <c r="U290" i="10"/>
  <c r="S290" i="10"/>
  <c r="R290" i="10"/>
  <c r="Q290" i="10"/>
  <c r="T290" i="10" s="1"/>
  <c r="P290" i="10"/>
  <c r="Z289" i="10"/>
  <c r="Y289" i="10"/>
  <c r="X289" i="10"/>
  <c r="W289" i="10"/>
  <c r="V289" i="10"/>
  <c r="U289" i="10"/>
  <c r="S289" i="10"/>
  <c r="R289" i="10"/>
  <c r="Q289" i="10"/>
  <c r="P289" i="10"/>
  <c r="Z288" i="10"/>
  <c r="Y288" i="10"/>
  <c r="X288" i="10"/>
  <c r="W288" i="10"/>
  <c r="V288" i="10"/>
  <c r="U288" i="10"/>
  <c r="S288" i="10"/>
  <c r="R288" i="10"/>
  <c r="Q288" i="10"/>
  <c r="T288" i="10" s="1"/>
  <c r="P288" i="10"/>
  <c r="Z287" i="10"/>
  <c r="Y287" i="10"/>
  <c r="X287" i="10"/>
  <c r="W287" i="10"/>
  <c r="V287" i="10"/>
  <c r="U287" i="10"/>
  <c r="S287" i="10"/>
  <c r="R287" i="10"/>
  <c r="Q287" i="10"/>
  <c r="T287" i="10" s="1"/>
  <c r="P287" i="10"/>
  <c r="Z286" i="10"/>
  <c r="Y286" i="10"/>
  <c r="X286" i="10"/>
  <c r="W286" i="10"/>
  <c r="V286" i="10"/>
  <c r="U286" i="10"/>
  <c r="S286" i="10"/>
  <c r="R286" i="10"/>
  <c r="Q286" i="10"/>
  <c r="O286" i="10" s="1"/>
  <c r="P286" i="10"/>
  <c r="Z285" i="10"/>
  <c r="Y285" i="10"/>
  <c r="X285" i="10"/>
  <c r="W285" i="10"/>
  <c r="V285" i="10"/>
  <c r="U285" i="10"/>
  <c r="S285" i="10"/>
  <c r="R285" i="10"/>
  <c r="Q285" i="10"/>
  <c r="O285" i="10" s="1"/>
  <c r="P285" i="10"/>
  <c r="Z284" i="10"/>
  <c r="Y284" i="10"/>
  <c r="X284" i="10"/>
  <c r="W284" i="10"/>
  <c r="V284" i="10"/>
  <c r="U284" i="10"/>
  <c r="S284" i="10"/>
  <c r="R284" i="10"/>
  <c r="Q284" i="10"/>
  <c r="BG284" i="10" s="1"/>
  <c r="P284" i="10"/>
  <c r="Z283" i="10"/>
  <c r="Y283" i="10"/>
  <c r="X283" i="10"/>
  <c r="W283" i="10"/>
  <c r="V283" i="10"/>
  <c r="U283" i="10"/>
  <c r="S283" i="10"/>
  <c r="R283" i="10"/>
  <c r="Q283" i="10"/>
  <c r="T283" i="10" s="1"/>
  <c r="P283" i="10"/>
  <c r="Z282" i="10"/>
  <c r="Y282" i="10"/>
  <c r="X282" i="10"/>
  <c r="W282" i="10"/>
  <c r="V282" i="10"/>
  <c r="U282" i="10"/>
  <c r="S282" i="10"/>
  <c r="R282" i="10"/>
  <c r="Q282" i="10"/>
  <c r="T282" i="10" s="1"/>
  <c r="P282" i="10"/>
  <c r="Z281" i="10"/>
  <c r="Y281" i="10"/>
  <c r="X281" i="10"/>
  <c r="W281" i="10"/>
  <c r="V281" i="10"/>
  <c r="U281" i="10"/>
  <c r="S281" i="10"/>
  <c r="R281" i="10"/>
  <c r="Q281" i="10"/>
  <c r="BG281" i="10" s="1"/>
  <c r="P281" i="10"/>
  <c r="Z280" i="10"/>
  <c r="Y280" i="10"/>
  <c r="X280" i="10"/>
  <c r="W280" i="10"/>
  <c r="V280" i="10"/>
  <c r="U280" i="10"/>
  <c r="S280" i="10"/>
  <c r="R280" i="10"/>
  <c r="Q280" i="10"/>
  <c r="T280" i="10" s="1"/>
  <c r="P280" i="10"/>
  <c r="Z279" i="10"/>
  <c r="Y279" i="10"/>
  <c r="X279" i="10"/>
  <c r="W279" i="10"/>
  <c r="V279" i="10"/>
  <c r="U279" i="10"/>
  <c r="S279" i="10"/>
  <c r="R279" i="10"/>
  <c r="Q279" i="10"/>
  <c r="T279" i="10" s="1"/>
  <c r="P279" i="10"/>
  <c r="Z278" i="10"/>
  <c r="Y278" i="10"/>
  <c r="X278" i="10"/>
  <c r="W278" i="10"/>
  <c r="V278" i="10"/>
  <c r="U278" i="10"/>
  <c r="S278" i="10"/>
  <c r="R278" i="10"/>
  <c r="Q278" i="10"/>
  <c r="T278" i="10" s="1"/>
  <c r="P278" i="10"/>
  <c r="Z277" i="10"/>
  <c r="Y277" i="10"/>
  <c r="X277" i="10"/>
  <c r="W277" i="10"/>
  <c r="V277" i="10"/>
  <c r="U277" i="10"/>
  <c r="S277" i="10"/>
  <c r="R277" i="10"/>
  <c r="Q277" i="10"/>
  <c r="P277" i="10"/>
  <c r="Z276" i="10"/>
  <c r="Y276" i="10"/>
  <c r="X276" i="10"/>
  <c r="W276" i="10"/>
  <c r="V276" i="10"/>
  <c r="U276" i="10"/>
  <c r="S276" i="10"/>
  <c r="R276" i="10"/>
  <c r="Q276" i="10"/>
  <c r="P276" i="10"/>
  <c r="Z275" i="10"/>
  <c r="Y275" i="10"/>
  <c r="X275" i="10"/>
  <c r="W275" i="10"/>
  <c r="V275" i="10"/>
  <c r="U275" i="10"/>
  <c r="S275" i="10"/>
  <c r="R275" i="10"/>
  <c r="Q275" i="10"/>
  <c r="P275" i="10"/>
  <c r="Z274" i="10"/>
  <c r="Y274" i="10"/>
  <c r="X274" i="10"/>
  <c r="W274" i="10"/>
  <c r="V274" i="10"/>
  <c r="U274" i="10"/>
  <c r="S274" i="10"/>
  <c r="R274" i="10"/>
  <c r="Q274" i="10"/>
  <c r="P274" i="10"/>
  <c r="Z273" i="10"/>
  <c r="Y273" i="10"/>
  <c r="X273" i="10"/>
  <c r="W273" i="10"/>
  <c r="V273" i="10"/>
  <c r="U273" i="10"/>
  <c r="S273" i="10"/>
  <c r="R273" i="10"/>
  <c r="Q273" i="10"/>
  <c r="T273" i="10" s="1"/>
  <c r="P273" i="10"/>
  <c r="Z272" i="10"/>
  <c r="Y272" i="10"/>
  <c r="X272" i="10"/>
  <c r="W272" i="10"/>
  <c r="V272" i="10"/>
  <c r="U272" i="10"/>
  <c r="S272" i="10"/>
  <c r="R272" i="10"/>
  <c r="Q272" i="10"/>
  <c r="T272" i="10" s="1"/>
  <c r="P272" i="10"/>
  <c r="Z271" i="10"/>
  <c r="Y271" i="10"/>
  <c r="X271" i="10"/>
  <c r="W271" i="10"/>
  <c r="V271" i="10"/>
  <c r="U271" i="10"/>
  <c r="S271" i="10"/>
  <c r="R271" i="10"/>
  <c r="Q271" i="10"/>
  <c r="T271" i="10" s="1"/>
  <c r="P271" i="10"/>
  <c r="Z270" i="10"/>
  <c r="Y270" i="10"/>
  <c r="X270" i="10"/>
  <c r="W270" i="10"/>
  <c r="V270" i="10"/>
  <c r="U270" i="10"/>
  <c r="S270" i="10"/>
  <c r="R270" i="10"/>
  <c r="Q270" i="10"/>
  <c r="P270" i="10"/>
  <c r="Z269" i="10"/>
  <c r="Y269" i="10"/>
  <c r="X269" i="10"/>
  <c r="W269" i="10"/>
  <c r="V269" i="10"/>
  <c r="U269" i="10"/>
  <c r="S269" i="10"/>
  <c r="R269" i="10"/>
  <c r="Q269" i="10"/>
  <c r="T269" i="10" s="1"/>
  <c r="P269" i="10"/>
  <c r="Z268" i="10"/>
  <c r="Y268" i="10"/>
  <c r="X268" i="10"/>
  <c r="W268" i="10"/>
  <c r="V268" i="10"/>
  <c r="U268" i="10"/>
  <c r="S268" i="10"/>
  <c r="R268" i="10"/>
  <c r="Q268" i="10"/>
  <c r="P268" i="10"/>
  <c r="Z267" i="10"/>
  <c r="Y267" i="10"/>
  <c r="X267" i="10"/>
  <c r="W267" i="10"/>
  <c r="V267" i="10"/>
  <c r="U267" i="10"/>
  <c r="S267" i="10"/>
  <c r="R267" i="10"/>
  <c r="Q267" i="10"/>
  <c r="T267" i="10" s="1"/>
  <c r="P267" i="10"/>
  <c r="Z266" i="10"/>
  <c r="Y266" i="10"/>
  <c r="X266" i="10"/>
  <c r="W266" i="10"/>
  <c r="V266" i="10"/>
  <c r="U266" i="10"/>
  <c r="S266" i="10"/>
  <c r="R266" i="10"/>
  <c r="Q266" i="10"/>
  <c r="P266" i="10"/>
  <c r="Z265" i="10"/>
  <c r="Y265" i="10"/>
  <c r="X265" i="10"/>
  <c r="W265" i="10"/>
  <c r="V265" i="10"/>
  <c r="U265" i="10"/>
  <c r="S265" i="10"/>
  <c r="R265" i="10"/>
  <c r="Q265" i="10"/>
  <c r="T265" i="10" s="1"/>
  <c r="P265" i="10"/>
  <c r="Z264" i="10"/>
  <c r="Y264" i="10"/>
  <c r="X264" i="10"/>
  <c r="W264" i="10"/>
  <c r="V264" i="10"/>
  <c r="U264" i="10"/>
  <c r="S264" i="10"/>
  <c r="R264" i="10"/>
  <c r="Q264" i="10"/>
  <c r="T264" i="10" s="1"/>
  <c r="P264" i="10"/>
  <c r="Z263" i="10"/>
  <c r="Y263" i="10"/>
  <c r="X263" i="10"/>
  <c r="W263" i="10"/>
  <c r="V263" i="10"/>
  <c r="U263" i="10"/>
  <c r="S263" i="10"/>
  <c r="R263" i="10"/>
  <c r="Q263" i="10"/>
  <c r="T263" i="10" s="1"/>
  <c r="P263" i="10"/>
  <c r="Z262" i="10"/>
  <c r="Y262" i="10"/>
  <c r="X262" i="10"/>
  <c r="W262" i="10"/>
  <c r="V262" i="10"/>
  <c r="U262" i="10"/>
  <c r="S262" i="10"/>
  <c r="R262" i="10"/>
  <c r="Q262" i="10"/>
  <c r="O262" i="10" s="1"/>
  <c r="P262" i="10"/>
  <c r="Z261" i="10"/>
  <c r="Y261" i="10"/>
  <c r="X261" i="10"/>
  <c r="W261" i="10"/>
  <c r="V261" i="10"/>
  <c r="U261" i="10"/>
  <c r="S261" i="10"/>
  <c r="R261" i="10"/>
  <c r="Q261" i="10"/>
  <c r="AD261" i="10" s="1"/>
  <c r="P261" i="10"/>
  <c r="Z260" i="10"/>
  <c r="Y260" i="10"/>
  <c r="X260" i="10"/>
  <c r="W260" i="10"/>
  <c r="V260" i="10"/>
  <c r="U260" i="10"/>
  <c r="S260" i="10"/>
  <c r="R260" i="10"/>
  <c r="Q260" i="10"/>
  <c r="T260" i="10" s="1"/>
  <c r="P260" i="10"/>
  <c r="Z259" i="10"/>
  <c r="Y259" i="10"/>
  <c r="X259" i="10"/>
  <c r="W259" i="10"/>
  <c r="V259" i="10"/>
  <c r="U259" i="10"/>
  <c r="S259" i="10"/>
  <c r="R259" i="10"/>
  <c r="Q259" i="10"/>
  <c r="P259" i="10"/>
  <c r="Z258" i="10"/>
  <c r="Y258" i="10"/>
  <c r="X258" i="10"/>
  <c r="W258" i="10"/>
  <c r="V258" i="10"/>
  <c r="U258" i="10"/>
  <c r="S258" i="10"/>
  <c r="R258" i="10"/>
  <c r="Q258" i="10"/>
  <c r="T258" i="10" s="1"/>
  <c r="P258" i="10"/>
  <c r="Z257" i="10"/>
  <c r="Y257" i="10"/>
  <c r="X257" i="10"/>
  <c r="W257" i="10"/>
  <c r="V257" i="10"/>
  <c r="U257" i="10"/>
  <c r="S257" i="10"/>
  <c r="R257" i="10"/>
  <c r="Q257" i="10"/>
  <c r="P257" i="10"/>
  <c r="Z256" i="10"/>
  <c r="Y256" i="10"/>
  <c r="X256" i="10"/>
  <c r="W256" i="10"/>
  <c r="V256" i="10"/>
  <c r="U256" i="10"/>
  <c r="S256" i="10"/>
  <c r="R256" i="10"/>
  <c r="Q256" i="10"/>
  <c r="AC256" i="10" s="1"/>
  <c r="P256" i="10"/>
  <c r="Z255" i="10"/>
  <c r="Y255" i="10"/>
  <c r="X255" i="10"/>
  <c r="W255" i="10"/>
  <c r="V255" i="10"/>
  <c r="U255" i="10"/>
  <c r="S255" i="10"/>
  <c r="R255" i="10"/>
  <c r="Q255" i="10"/>
  <c r="T255" i="10" s="1"/>
  <c r="P255" i="10"/>
  <c r="Z254" i="10"/>
  <c r="Y254" i="10"/>
  <c r="X254" i="10"/>
  <c r="W254" i="10"/>
  <c r="V254" i="10"/>
  <c r="U254" i="10"/>
  <c r="S254" i="10"/>
  <c r="R254" i="10"/>
  <c r="Q254" i="10"/>
  <c r="T254" i="10" s="1"/>
  <c r="P254" i="10"/>
  <c r="Z253" i="10"/>
  <c r="Y253" i="10"/>
  <c r="X253" i="10"/>
  <c r="W253" i="10"/>
  <c r="V253" i="10"/>
  <c r="U253" i="10"/>
  <c r="S253" i="10"/>
  <c r="R253" i="10"/>
  <c r="Q253" i="10"/>
  <c r="BG253" i="10" s="1"/>
  <c r="P253" i="10"/>
  <c r="Z252" i="10"/>
  <c r="Y252" i="10"/>
  <c r="X252" i="10"/>
  <c r="W252" i="10"/>
  <c r="V252" i="10"/>
  <c r="U252" i="10"/>
  <c r="S252" i="10"/>
  <c r="R252" i="10"/>
  <c r="Q252" i="10"/>
  <c r="T252" i="10" s="1"/>
  <c r="P252" i="10"/>
  <c r="Z251" i="10"/>
  <c r="Y251" i="10"/>
  <c r="X251" i="10"/>
  <c r="W251" i="10"/>
  <c r="V251" i="10"/>
  <c r="U251" i="10"/>
  <c r="S251" i="10"/>
  <c r="R251" i="10"/>
  <c r="Q251" i="10"/>
  <c r="T251" i="10" s="1"/>
  <c r="P251" i="10"/>
  <c r="Z250" i="10"/>
  <c r="Y250" i="10"/>
  <c r="X250" i="10"/>
  <c r="W250" i="10"/>
  <c r="V250" i="10"/>
  <c r="U250" i="10"/>
  <c r="S250" i="10"/>
  <c r="R250" i="10"/>
  <c r="Q250" i="10"/>
  <c r="T250" i="10" s="1"/>
  <c r="P250" i="10"/>
  <c r="Z249" i="10"/>
  <c r="Y249" i="10"/>
  <c r="X249" i="10"/>
  <c r="W249" i="10"/>
  <c r="V249" i="10"/>
  <c r="U249" i="10"/>
  <c r="S249" i="10"/>
  <c r="R249" i="10"/>
  <c r="Q249" i="10"/>
  <c r="T249" i="10" s="1"/>
  <c r="P249" i="10"/>
  <c r="Z248" i="10"/>
  <c r="Y248" i="10"/>
  <c r="X248" i="10"/>
  <c r="W248" i="10"/>
  <c r="V248" i="10"/>
  <c r="U248" i="10"/>
  <c r="S248" i="10"/>
  <c r="R248" i="10"/>
  <c r="Q248" i="10"/>
  <c r="O248" i="10" s="1"/>
  <c r="P248" i="10"/>
  <c r="Z247" i="10"/>
  <c r="Y247" i="10"/>
  <c r="X247" i="10"/>
  <c r="W247" i="10"/>
  <c r="V247" i="10"/>
  <c r="U247" i="10"/>
  <c r="S247" i="10"/>
  <c r="R247" i="10"/>
  <c r="Q247" i="10"/>
  <c r="T247" i="10" s="1"/>
  <c r="P247" i="10"/>
  <c r="Z246" i="10"/>
  <c r="Y246" i="10"/>
  <c r="X246" i="10"/>
  <c r="W246" i="10"/>
  <c r="V246" i="10"/>
  <c r="U246" i="10"/>
  <c r="S246" i="10"/>
  <c r="R246" i="10"/>
  <c r="Q246" i="10"/>
  <c r="P246" i="10"/>
  <c r="Z245" i="10"/>
  <c r="Y245" i="10"/>
  <c r="X245" i="10"/>
  <c r="W245" i="10"/>
  <c r="V245" i="10"/>
  <c r="U245" i="10"/>
  <c r="S245" i="10"/>
  <c r="R245" i="10"/>
  <c r="Q245" i="10"/>
  <c r="T245" i="10" s="1"/>
  <c r="P245" i="10"/>
  <c r="Z244" i="10"/>
  <c r="Y244" i="10"/>
  <c r="X244" i="10"/>
  <c r="W244" i="10"/>
  <c r="V244" i="10"/>
  <c r="U244" i="10"/>
  <c r="S244" i="10"/>
  <c r="R244" i="10"/>
  <c r="Q244" i="10"/>
  <c r="T244" i="10" s="1"/>
  <c r="P244" i="10"/>
  <c r="Z243" i="10"/>
  <c r="Y243" i="10"/>
  <c r="X243" i="10"/>
  <c r="W243" i="10"/>
  <c r="V243" i="10"/>
  <c r="U243" i="10"/>
  <c r="S243" i="10"/>
  <c r="R243" i="10"/>
  <c r="Q243" i="10"/>
  <c r="T243" i="10" s="1"/>
  <c r="P243" i="10"/>
  <c r="Z242" i="10"/>
  <c r="Y242" i="10"/>
  <c r="X242" i="10"/>
  <c r="W242" i="10"/>
  <c r="V242" i="10"/>
  <c r="U242" i="10"/>
  <c r="S242" i="10"/>
  <c r="R242" i="10"/>
  <c r="Q242" i="10"/>
  <c r="T242" i="10" s="1"/>
  <c r="P242" i="10"/>
  <c r="Z241" i="10"/>
  <c r="Y241" i="10"/>
  <c r="X241" i="10"/>
  <c r="W241" i="10"/>
  <c r="V241" i="10"/>
  <c r="U241" i="10"/>
  <c r="S241" i="10"/>
  <c r="R241" i="10"/>
  <c r="Q241" i="10"/>
  <c r="AC241" i="10" s="1"/>
  <c r="P241" i="10"/>
  <c r="Z240" i="10"/>
  <c r="Y240" i="10"/>
  <c r="X240" i="10"/>
  <c r="W240" i="10"/>
  <c r="V240" i="10"/>
  <c r="U240" i="10"/>
  <c r="S240" i="10"/>
  <c r="R240" i="10"/>
  <c r="Q240" i="10"/>
  <c r="BF240" i="10" s="1"/>
  <c r="P240" i="10"/>
  <c r="Z239" i="10"/>
  <c r="Y239" i="10"/>
  <c r="X239" i="10"/>
  <c r="W239" i="10"/>
  <c r="V239" i="10"/>
  <c r="U239" i="10"/>
  <c r="S239" i="10"/>
  <c r="R239" i="10"/>
  <c r="Q239" i="10"/>
  <c r="T239" i="10" s="1"/>
  <c r="P239" i="10"/>
  <c r="Z238" i="10"/>
  <c r="Y238" i="10"/>
  <c r="X238" i="10"/>
  <c r="W238" i="10"/>
  <c r="V238" i="10"/>
  <c r="U238" i="10"/>
  <c r="S238" i="10"/>
  <c r="R238" i="10"/>
  <c r="Q238" i="10"/>
  <c r="P238" i="10"/>
  <c r="Z237" i="10"/>
  <c r="Y237" i="10"/>
  <c r="X237" i="10"/>
  <c r="W237" i="10"/>
  <c r="V237" i="10"/>
  <c r="U237" i="10"/>
  <c r="S237" i="10"/>
  <c r="R237" i="10"/>
  <c r="Q237" i="10"/>
  <c r="T237" i="10" s="1"/>
  <c r="P237" i="10"/>
  <c r="Z236" i="10"/>
  <c r="Y236" i="10"/>
  <c r="X236" i="10"/>
  <c r="W236" i="10"/>
  <c r="V236" i="10"/>
  <c r="U236" i="10"/>
  <c r="S236" i="10"/>
  <c r="R236" i="10"/>
  <c r="Q236" i="10"/>
  <c r="P236" i="10"/>
  <c r="Z235" i="10"/>
  <c r="Y235" i="10"/>
  <c r="X235" i="10"/>
  <c r="W235" i="10"/>
  <c r="V235" i="10"/>
  <c r="U235" i="10"/>
  <c r="S235" i="10"/>
  <c r="R235" i="10"/>
  <c r="Q235" i="10"/>
  <c r="BG235" i="10" s="1"/>
  <c r="P235" i="10"/>
  <c r="Z234" i="10"/>
  <c r="Y234" i="10"/>
  <c r="X234" i="10"/>
  <c r="W234" i="10"/>
  <c r="V234" i="10"/>
  <c r="U234" i="10"/>
  <c r="S234" i="10"/>
  <c r="R234" i="10"/>
  <c r="Q234" i="10"/>
  <c r="AC234" i="10" s="1"/>
  <c r="P234" i="10"/>
  <c r="Z233" i="10"/>
  <c r="Y233" i="10"/>
  <c r="X233" i="10"/>
  <c r="W233" i="10"/>
  <c r="V233" i="10"/>
  <c r="U233" i="10"/>
  <c r="S233" i="10"/>
  <c r="R233" i="10"/>
  <c r="Q233" i="10"/>
  <c r="T233" i="10" s="1"/>
  <c r="P233" i="10"/>
  <c r="Z232" i="10"/>
  <c r="Y232" i="10"/>
  <c r="X232" i="10"/>
  <c r="W232" i="10"/>
  <c r="V232" i="10"/>
  <c r="U232" i="10"/>
  <c r="S232" i="10"/>
  <c r="R232" i="10"/>
  <c r="Q232" i="10"/>
  <c r="T232" i="10" s="1"/>
  <c r="P232" i="10"/>
  <c r="Z231" i="10"/>
  <c r="Y231" i="10"/>
  <c r="X231" i="10"/>
  <c r="W231" i="10"/>
  <c r="V231" i="10"/>
  <c r="U231" i="10"/>
  <c r="S231" i="10"/>
  <c r="R231" i="10"/>
  <c r="Q231" i="10"/>
  <c r="T231" i="10" s="1"/>
  <c r="P231" i="10"/>
  <c r="Z230" i="10"/>
  <c r="Y230" i="10"/>
  <c r="X230" i="10"/>
  <c r="W230" i="10"/>
  <c r="V230" i="10"/>
  <c r="U230" i="10"/>
  <c r="S230" i="10"/>
  <c r="R230" i="10"/>
  <c r="Q230" i="10"/>
  <c r="P230" i="10"/>
  <c r="Z229" i="10"/>
  <c r="Y229" i="10"/>
  <c r="X229" i="10"/>
  <c r="W229" i="10"/>
  <c r="V229" i="10"/>
  <c r="U229" i="10"/>
  <c r="S229" i="10"/>
  <c r="R229" i="10"/>
  <c r="Q229" i="10"/>
  <c r="P229" i="10"/>
  <c r="Z228" i="10"/>
  <c r="Y228" i="10"/>
  <c r="X228" i="10"/>
  <c r="W228" i="10"/>
  <c r="V228" i="10"/>
  <c r="U228" i="10"/>
  <c r="S228" i="10"/>
  <c r="R228" i="10"/>
  <c r="Q228" i="10"/>
  <c r="P228" i="10"/>
  <c r="Z227" i="10"/>
  <c r="Y227" i="10"/>
  <c r="X227" i="10"/>
  <c r="W227" i="10"/>
  <c r="V227" i="10"/>
  <c r="U227" i="10"/>
  <c r="S227" i="10"/>
  <c r="R227" i="10"/>
  <c r="Q227" i="10"/>
  <c r="P227" i="10"/>
  <c r="Z226" i="10"/>
  <c r="Y226" i="10"/>
  <c r="X226" i="10"/>
  <c r="W226" i="10"/>
  <c r="V226" i="10"/>
  <c r="U226" i="10"/>
  <c r="S226" i="10"/>
  <c r="R226" i="10"/>
  <c r="Q226" i="10"/>
  <c r="T226" i="10" s="1"/>
  <c r="P226" i="10"/>
  <c r="Z225" i="10"/>
  <c r="Y225" i="10"/>
  <c r="X225" i="10"/>
  <c r="W225" i="10"/>
  <c r="V225" i="10"/>
  <c r="U225" i="10"/>
  <c r="S225" i="10"/>
  <c r="R225" i="10"/>
  <c r="Q225" i="10"/>
  <c r="AD225" i="10" s="1"/>
  <c r="P225" i="10"/>
  <c r="Z224" i="10"/>
  <c r="Y224" i="10"/>
  <c r="X224" i="10"/>
  <c r="W224" i="10"/>
  <c r="V224" i="10"/>
  <c r="U224" i="10"/>
  <c r="S224" i="10"/>
  <c r="R224" i="10"/>
  <c r="Q224" i="10"/>
  <c r="P224" i="10"/>
  <c r="Z223" i="10"/>
  <c r="Y223" i="10"/>
  <c r="X223" i="10"/>
  <c r="W223" i="10"/>
  <c r="V223" i="10"/>
  <c r="U223" i="10"/>
  <c r="S223" i="10"/>
  <c r="R223" i="10"/>
  <c r="Q223" i="10"/>
  <c r="O223" i="10" s="1"/>
  <c r="P223" i="10"/>
  <c r="Z222" i="10"/>
  <c r="Y222" i="10"/>
  <c r="X222" i="10"/>
  <c r="W222" i="10"/>
  <c r="V222" i="10"/>
  <c r="U222" i="10"/>
  <c r="S222" i="10"/>
  <c r="R222" i="10"/>
  <c r="Q222" i="10"/>
  <c r="T222" i="10" s="1"/>
  <c r="P222" i="10"/>
  <c r="Z221" i="10"/>
  <c r="Y221" i="10"/>
  <c r="X221" i="10"/>
  <c r="W221" i="10"/>
  <c r="V221" i="10"/>
  <c r="U221" i="10"/>
  <c r="S221" i="10"/>
  <c r="R221" i="10"/>
  <c r="Q221" i="10"/>
  <c r="P221" i="10"/>
  <c r="Z220" i="10"/>
  <c r="Y220" i="10"/>
  <c r="X220" i="10"/>
  <c r="W220" i="10"/>
  <c r="V220" i="10"/>
  <c r="U220" i="10"/>
  <c r="S220" i="10"/>
  <c r="R220" i="10"/>
  <c r="Q220" i="10"/>
  <c r="O220" i="10" s="1"/>
  <c r="P220" i="10"/>
  <c r="Z219" i="10"/>
  <c r="Y219" i="10"/>
  <c r="X219" i="10"/>
  <c r="W219" i="10"/>
  <c r="V219" i="10"/>
  <c r="U219" i="10"/>
  <c r="S219" i="10"/>
  <c r="R219" i="10"/>
  <c r="Q219" i="10"/>
  <c r="T219" i="10" s="1"/>
  <c r="P219" i="10"/>
  <c r="Z218" i="10"/>
  <c r="Y218" i="10"/>
  <c r="X218" i="10"/>
  <c r="W218" i="10"/>
  <c r="V218" i="10"/>
  <c r="U218" i="10"/>
  <c r="S218" i="10"/>
  <c r="R218" i="10"/>
  <c r="Q218" i="10"/>
  <c r="T218" i="10" s="1"/>
  <c r="P218" i="10"/>
  <c r="Z217" i="10"/>
  <c r="Y217" i="10"/>
  <c r="X217" i="10"/>
  <c r="W217" i="10"/>
  <c r="V217" i="10"/>
  <c r="U217" i="10"/>
  <c r="S217" i="10"/>
  <c r="R217" i="10"/>
  <c r="Q217" i="10"/>
  <c r="T217" i="10" s="1"/>
  <c r="P217" i="10"/>
  <c r="Z216" i="10"/>
  <c r="Y216" i="10"/>
  <c r="X216" i="10"/>
  <c r="W216" i="10"/>
  <c r="V216" i="10"/>
  <c r="U216" i="10"/>
  <c r="S216" i="10"/>
  <c r="R216" i="10"/>
  <c r="Q216" i="10"/>
  <c r="P216" i="10"/>
  <c r="BG215" i="10"/>
  <c r="Z215" i="10"/>
  <c r="Y215" i="10"/>
  <c r="X215" i="10"/>
  <c r="W215" i="10"/>
  <c r="V215" i="10"/>
  <c r="U215" i="10"/>
  <c r="S215" i="10"/>
  <c r="R215" i="10"/>
  <c r="Q215" i="10"/>
  <c r="AC215" i="10" s="1"/>
  <c r="P215" i="10"/>
  <c r="Z214" i="10"/>
  <c r="Y214" i="10"/>
  <c r="X214" i="10"/>
  <c r="W214" i="10"/>
  <c r="V214" i="10"/>
  <c r="U214" i="10"/>
  <c r="S214" i="10"/>
  <c r="R214" i="10"/>
  <c r="Q214" i="10"/>
  <c r="T214" i="10" s="1"/>
  <c r="P214" i="10"/>
  <c r="Z213" i="10"/>
  <c r="Y213" i="10"/>
  <c r="X213" i="10"/>
  <c r="W213" i="10"/>
  <c r="V213" i="10"/>
  <c r="U213" i="10"/>
  <c r="S213" i="10"/>
  <c r="R213" i="10"/>
  <c r="Q213" i="10"/>
  <c r="T213" i="10" s="1"/>
  <c r="P213" i="10"/>
  <c r="Z212" i="10"/>
  <c r="Y212" i="10"/>
  <c r="X212" i="10"/>
  <c r="W212" i="10"/>
  <c r="V212" i="10"/>
  <c r="U212" i="10"/>
  <c r="S212" i="10"/>
  <c r="R212" i="10"/>
  <c r="Q212" i="10"/>
  <c r="O212" i="10" s="1"/>
  <c r="P212" i="10"/>
  <c r="Z211" i="10"/>
  <c r="Y211" i="10"/>
  <c r="X211" i="10"/>
  <c r="W211" i="10"/>
  <c r="V211" i="10"/>
  <c r="U211" i="10"/>
  <c r="S211" i="10"/>
  <c r="R211" i="10"/>
  <c r="Q211" i="10"/>
  <c r="P211" i="10"/>
  <c r="Z210" i="10"/>
  <c r="Y210" i="10"/>
  <c r="X210" i="10"/>
  <c r="W210" i="10"/>
  <c r="V210" i="10"/>
  <c r="U210" i="10"/>
  <c r="S210" i="10"/>
  <c r="R210" i="10"/>
  <c r="Q210" i="10"/>
  <c r="T210" i="10" s="1"/>
  <c r="P210" i="10"/>
  <c r="Z209" i="10"/>
  <c r="Y209" i="10"/>
  <c r="X209" i="10"/>
  <c r="W209" i="10"/>
  <c r="V209" i="10"/>
  <c r="U209" i="10"/>
  <c r="S209" i="10"/>
  <c r="R209" i="10"/>
  <c r="Q209" i="10"/>
  <c r="T209" i="10" s="1"/>
  <c r="P209" i="10"/>
  <c r="Z208" i="10"/>
  <c r="Y208" i="10"/>
  <c r="X208" i="10"/>
  <c r="W208" i="10"/>
  <c r="V208" i="10"/>
  <c r="U208" i="10"/>
  <c r="S208" i="10"/>
  <c r="R208" i="10"/>
  <c r="Q208" i="10"/>
  <c r="T208" i="10" s="1"/>
  <c r="P208" i="10"/>
  <c r="Z207" i="10"/>
  <c r="Y207" i="10"/>
  <c r="X207" i="10"/>
  <c r="W207" i="10"/>
  <c r="V207" i="10"/>
  <c r="U207" i="10"/>
  <c r="S207" i="10"/>
  <c r="R207" i="10"/>
  <c r="Q207" i="10"/>
  <c r="BG207" i="10" s="1"/>
  <c r="P207" i="10"/>
  <c r="Z206" i="10"/>
  <c r="Y206" i="10"/>
  <c r="X206" i="10"/>
  <c r="W206" i="10"/>
  <c r="V206" i="10"/>
  <c r="U206" i="10"/>
  <c r="S206" i="10"/>
  <c r="R206" i="10"/>
  <c r="Q206" i="10"/>
  <c r="AC206" i="10" s="1"/>
  <c r="P206" i="10"/>
  <c r="Z205" i="10"/>
  <c r="Y205" i="10"/>
  <c r="X205" i="10"/>
  <c r="W205" i="10"/>
  <c r="V205" i="10"/>
  <c r="U205" i="10"/>
  <c r="S205" i="10"/>
  <c r="R205" i="10"/>
  <c r="Q205" i="10"/>
  <c r="BG205" i="10" s="1"/>
  <c r="P205" i="10"/>
  <c r="Z204" i="10"/>
  <c r="Y204" i="10"/>
  <c r="X204" i="10"/>
  <c r="W204" i="10"/>
  <c r="V204" i="10"/>
  <c r="U204" i="10"/>
  <c r="S204" i="10"/>
  <c r="R204" i="10"/>
  <c r="Q204" i="10"/>
  <c r="BG204" i="10" s="1"/>
  <c r="P204" i="10"/>
  <c r="Z203" i="10"/>
  <c r="Y203" i="10"/>
  <c r="X203" i="10"/>
  <c r="W203" i="10"/>
  <c r="V203" i="10"/>
  <c r="U203" i="10"/>
  <c r="S203" i="10"/>
  <c r="R203" i="10"/>
  <c r="Q203" i="10"/>
  <c r="T203" i="10" s="1"/>
  <c r="P203" i="10"/>
  <c r="Z202" i="10"/>
  <c r="Y202" i="10"/>
  <c r="X202" i="10"/>
  <c r="W202" i="10"/>
  <c r="V202" i="10"/>
  <c r="U202" i="10"/>
  <c r="S202" i="10"/>
  <c r="R202" i="10"/>
  <c r="Q202" i="10"/>
  <c r="P202" i="10"/>
  <c r="Z201" i="10"/>
  <c r="Y201" i="10"/>
  <c r="X201" i="10"/>
  <c r="W201" i="10"/>
  <c r="V201" i="10"/>
  <c r="U201" i="10"/>
  <c r="S201" i="10"/>
  <c r="R201" i="10"/>
  <c r="Q201" i="10"/>
  <c r="T201" i="10" s="1"/>
  <c r="P201" i="10"/>
  <c r="Z200" i="10"/>
  <c r="Y200" i="10"/>
  <c r="X200" i="10"/>
  <c r="W200" i="10"/>
  <c r="V200" i="10"/>
  <c r="U200" i="10"/>
  <c r="S200" i="10"/>
  <c r="R200" i="10"/>
  <c r="Q200" i="10"/>
  <c r="O200" i="10" s="1"/>
  <c r="P200" i="10"/>
  <c r="Z199" i="10"/>
  <c r="Y199" i="10"/>
  <c r="X199" i="10"/>
  <c r="W199" i="10"/>
  <c r="V199" i="10"/>
  <c r="U199" i="10"/>
  <c r="S199" i="10"/>
  <c r="R199" i="10"/>
  <c r="Q199" i="10"/>
  <c r="O199" i="10" s="1"/>
  <c r="P199" i="10"/>
  <c r="Z198" i="10"/>
  <c r="Y198" i="10"/>
  <c r="X198" i="10"/>
  <c r="W198" i="10"/>
  <c r="V198" i="10"/>
  <c r="U198" i="10"/>
  <c r="S198" i="10"/>
  <c r="R198" i="10"/>
  <c r="Q198" i="10"/>
  <c r="T198" i="10" s="1"/>
  <c r="P198" i="10"/>
  <c r="Z197" i="10"/>
  <c r="Y197" i="10"/>
  <c r="X197" i="10"/>
  <c r="W197" i="10"/>
  <c r="V197" i="10"/>
  <c r="U197" i="10"/>
  <c r="S197" i="10"/>
  <c r="R197" i="10"/>
  <c r="Q197" i="10"/>
  <c r="P197" i="10"/>
  <c r="Z196" i="10"/>
  <c r="Y196" i="10"/>
  <c r="X196" i="10"/>
  <c r="W196" i="10"/>
  <c r="V196" i="10"/>
  <c r="U196" i="10"/>
  <c r="S196" i="10"/>
  <c r="R196" i="10"/>
  <c r="Q196" i="10"/>
  <c r="T196" i="10" s="1"/>
  <c r="P196" i="10"/>
  <c r="Z195" i="10"/>
  <c r="Y195" i="10"/>
  <c r="X195" i="10"/>
  <c r="W195" i="10"/>
  <c r="V195" i="10"/>
  <c r="U195" i="10"/>
  <c r="S195" i="10"/>
  <c r="R195" i="10"/>
  <c r="Q195" i="10"/>
  <c r="T195" i="10" s="1"/>
  <c r="P195" i="10"/>
  <c r="BF194" i="10"/>
  <c r="Z194" i="10"/>
  <c r="Y194" i="10"/>
  <c r="X194" i="10"/>
  <c r="W194" i="10"/>
  <c r="V194" i="10"/>
  <c r="U194" i="10"/>
  <c r="S194" i="10"/>
  <c r="R194" i="10"/>
  <c r="Q194" i="10"/>
  <c r="T194" i="10" s="1"/>
  <c r="P194" i="10"/>
  <c r="Z193" i="10"/>
  <c r="Y193" i="10"/>
  <c r="X193" i="10"/>
  <c r="W193" i="10"/>
  <c r="V193" i="10"/>
  <c r="U193" i="10"/>
  <c r="S193" i="10"/>
  <c r="R193" i="10"/>
  <c r="Q193" i="10"/>
  <c r="T193" i="10" s="1"/>
  <c r="P193" i="10"/>
  <c r="Z192" i="10"/>
  <c r="Y192" i="10"/>
  <c r="X192" i="10"/>
  <c r="W192" i="10"/>
  <c r="V192" i="10"/>
  <c r="U192" i="10"/>
  <c r="S192" i="10"/>
  <c r="R192" i="10"/>
  <c r="Q192" i="10"/>
  <c r="T192" i="10" s="1"/>
  <c r="P192" i="10"/>
  <c r="Z191" i="10"/>
  <c r="Y191" i="10"/>
  <c r="X191" i="10"/>
  <c r="W191" i="10"/>
  <c r="V191" i="10"/>
  <c r="U191" i="10"/>
  <c r="S191" i="10"/>
  <c r="R191" i="10"/>
  <c r="Q191" i="10"/>
  <c r="O191" i="10" s="1"/>
  <c r="P191" i="10"/>
  <c r="Z190" i="10"/>
  <c r="Y190" i="10"/>
  <c r="X190" i="10"/>
  <c r="W190" i="10"/>
  <c r="V190" i="10"/>
  <c r="U190" i="10"/>
  <c r="S190" i="10"/>
  <c r="R190" i="10"/>
  <c r="Q190" i="10"/>
  <c r="BF190" i="10" s="1"/>
  <c r="P190" i="10"/>
  <c r="Z189" i="10"/>
  <c r="Y189" i="10"/>
  <c r="X189" i="10"/>
  <c r="W189" i="10"/>
  <c r="V189" i="10"/>
  <c r="U189" i="10"/>
  <c r="S189" i="10"/>
  <c r="R189" i="10"/>
  <c r="Q189" i="10"/>
  <c r="T189" i="10" s="1"/>
  <c r="P189" i="10"/>
  <c r="Z188" i="10"/>
  <c r="Y188" i="10"/>
  <c r="X188" i="10"/>
  <c r="W188" i="10"/>
  <c r="V188" i="10"/>
  <c r="U188" i="10"/>
  <c r="S188" i="10"/>
  <c r="R188" i="10"/>
  <c r="Q188" i="10"/>
  <c r="T188" i="10" s="1"/>
  <c r="P188" i="10"/>
  <c r="Z187" i="10"/>
  <c r="Y187" i="10"/>
  <c r="X187" i="10"/>
  <c r="W187" i="10"/>
  <c r="V187" i="10"/>
  <c r="U187" i="10"/>
  <c r="S187" i="10"/>
  <c r="R187" i="10"/>
  <c r="Q187" i="10"/>
  <c r="T187" i="10" s="1"/>
  <c r="P187" i="10"/>
  <c r="Z186" i="10"/>
  <c r="Y186" i="10"/>
  <c r="X186" i="10"/>
  <c r="W186" i="10"/>
  <c r="V186" i="10"/>
  <c r="U186" i="10"/>
  <c r="S186" i="10"/>
  <c r="R186" i="10"/>
  <c r="Q186" i="10"/>
  <c r="T186" i="10" s="1"/>
  <c r="P186" i="10"/>
  <c r="Z185" i="10"/>
  <c r="Y185" i="10"/>
  <c r="X185" i="10"/>
  <c r="W185" i="10"/>
  <c r="V185" i="10"/>
  <c r="U185" i="10"/>
  <c r="S185" i="10"/>
  <c r="R185" i="10"/>
  <c r="Q185" i="10"/>
  <c r="P185" i="10"/>
  <c r="Z184" i="10"/>
  <c r="Y184" i="10"/>
  <c r="X184" i="10"/>
  <c r="W184" i="10"/>
  <c r="V184" i="10"/>
  <c r="U184" i="10"/>
  <c r="S184" i="10"/>
  <c r="R184" i="10"/>
  <c r="Q184" i="10"/>
  <c r="P184" i="10"/>
  <c r="Z183" i="10"/>
  <c r="Y183" i="10"/>
  <c r="X183" i="10"/>
  <c r="W183" i="10"/>
  <c r="V183" i="10"/>
  <c r="U183" i="10"/>
  <c r="S183" i="10"/>
  <c r="R183" i="10"/>
  <c r="Q183" i="10"/>
  <c r="AC183" i="10" s="1"/>
  <c r="P183" i="10"/>
  <c r="Z182" i="10"/>
  <c r="Y182" i="10"/>
  <c r="X182" i="10"/>
  <c r="W182" i="10"/>
  <c r="V182" i="10"/>
  <c r="U182" i="10"/>
  <c r="S182" i="10"/>
  <c r="R182" i="10"/>
  <c r="Q182" i="10"/>
  <c r="T182" i="10" s="1"/>
  <c r="P182" i="10"/>
  <c r="Z181" i="10"/>
  <c r="Y181" i="10"/>
  <c r="X181" i="10"/>
  <c r="W181" i="10"/>
  <c r="V181" i="10"/>
  <c r="U181" i="10"/>
  <c r="S181" i="10"/>
  <c r="R181" i="10"/>
  <c r="Q181" i="10"/>
  <c r="P181" i="10"/>
  <c r="Z180" i="10"/>
  <c r="Y180" i="10"/>
  <c r="X180" i="10"/>
  <c r="W180" i="10"/>
  <c r="V180" i="10"/>
  <c r="U180" i="10"/>
  <c r="S180" i="10"/>
  <c r="R180" i="10"/>
  <c r="Q180" i="10"/>
  <c r="T180" i="10" s="1"/>
  <c r="P180" i="10"/>
  <c r="Z179" i="10"/>
  <c r="Y179" i="10"/>
  <c r="X179" i="10"/>
  <c r="W179" i="10"/>
  <c r="V179" i="10"/>
  <c r="U179" i="10"/>
  <c r="S179" i="10"/>
  <c r="R179" i="10"/>
  <c r="Q179" i="10"/>
  <c r="P179" i="10"/>
  <c r="Z178" i="10"/>
  <c r="Y178" i="10"/>
  <c r="X178" i="10"/>
  <c r="W178" i="10"/>
  <c r="V178" i="10"/>
  <c r="U178" i="10"/>
  <c r="S178" i="10"/>
  <c r="R178" i="10"/>
  <c r="Q178" i="10"/>
  <c r="T178" i="10" s="1"/>
  <c r="P178" i="10"/>
  <c r="Z177" i="10"/>
  <c r="Y177" i="10"/>
  <c r="X177" i="10"/>
  <c r="W177" i="10"/>
  <c r="V177" i="10"/>
  <c r="U177" i="10"/>
  <c r="S177" i="10"/>
  <c r="R177" i="10"/>
  <c r="Q177" i="10"/>
  <c r="T177" i="10" s="1"/>
  <c r="P177" i="10"/>
  <c r="Z176" i="10"/>
  <c r="Y176" i="10"/>
  <c r="X176" i="10"/>
  <c r="W176" i="10"/>
  <c r="V176" i="10"/>
  <c r="U176" i="10"/>
  <c r="S176" i="10"/>
  <c r="R176" i="10"/>
  <c r="Q176" i="10"/>
  <c r="T176" i="10" s="1"/>
  <c r="P176" i="10"/>
  <c r="Z175" i="10"/>
  <c r="Y175" i="10"/>
  <c r="X175" i="10"/>
  <c r="W175" i="10"/>
  <c r="V175" i="10"/>
  <c r="U175" i="10"/>
  <c r="S175" i="10"/>
  <c r="R175" i="10"/>
  <c r="Q175" i="10"/>
  <c r="T175" i="10" s="1"/>
  <c r="P175" i="10"/>
  <c r="Z174" i="10"/>
  <c r="Y174" i="10"/>
  <c r="X174" i="10"/>
  <c r="W174" i="10"/>
  <c r="V174" i="10"/>
  <c r="U174" i="10"/>
  <c r="S174" i="10"/>
  <c r="R174" i="10"/>
  <c r="Q174" i="10"/>
  <c r="AC174" i="10" s="1"/>
  <c r="P174" i="10"/>
  <c r="Z173" i="10"/>
  <c r="Y173" i="10"/>
  <c r="X173" i="10"/>
  <c r="W173" i="10"/>
  <c r="V173" i="10"/>
  <c r="U173" i="10"/>
  <c r="S173" i="10"/>
  <c r="R173" i="10"/>
  <c r="Q173" i="10"/>
  <c r="T173" i="10" s="1"/>
  <c r="P173" i="10"/>
  <c r="Z172" i="10"/>
  <c r="Y172" i="10"/>
  <c r="X172" i="10"/>
  <c r="W172" i="10"/>
  <c r="V172" i="10"/>
  <c r="U172" i="10"/>
  <c r="S172" i="10"/>
  <c r="R172" i="10"/>
  <c r="Q172" i="10"/>
  <c r="T172" i="10" s="1"/>
  <c r="P172" i="10"/>
  <c r="Z171" i="10"/>
  <c r="Y171" i="10"/>
  <c r="X171" i="10"/>
  <c r="W171" i="10"/>
  <c r="V171" i="10"/>
  <c r="U171" i="10"/>
  <c r="S171" i="10"/>
  <c r="R171" i="10"/>
  <c r="Q171" i="10"/>
  <c r="P171" i="10"/>
  <c r="Z170" i="10"/>
  <c r="Y170" i="10"/>
  <c r="X170" i="10"/>
  <c r="W170" i="10"/>
  <c r="V170" i="10"/>
  <c r="U170" i="10"/>
  <c r="S170" i="10"/>
  <c r="R170" i="10"/>
  <c r="Q170" i="10"/>
  <c r="P170" i="10"/>
  <c r="Z169" i="10"/>
  <c r="Y169" i="10"/>
  <c r="X169" i="10"/>
  <c r="W169" i="10"/>
  <c r="V169" i="10"/>
  <c r="U169" i="10"/>
  <c r="S169" i="10"/>
  <c r="R169" i="10"/>
  <c r="Q169" i="10"/>
  <c r="T169" i="10" s="1"/>
  <c r="P169" i="10"/>
  <c r="Z168" i="10"/>
  <c r="Y168" i="10"/>
  <c r="X168" i="10"/>
  <c r="W168" i="10"/>
  <c r="V168" i="10"/>
  <c r="U168" i="10"/>
  <c r="S168" i="10"/>
  <c r="R168" i="10"/>
  <c r="Q168" i="10"/>
  <c r="BG168" i="10" s="1"/>
  <c r="P168" i="10"/>
  <c r="Z167" i="10"/>
  <c r="Y167" i="10"/>
  <c r="X167" i="10"/>
  <c r="W167" i="10"/>
  <c r="V167" i="10"/>
  <c r="U167" i="10"/>
  <c r="S167" i="10"/>
  <c r="R167" i="10"/>
  <c r="Q167" i="10"/>
  <c r="BG167" i="10" s="1"/>
  <c r="P167" i="10"/>
  <c r="Z166" i="10"/>
  <c r="Y166" i="10"/>
  <c r="X166" i="10"/>
  <c r="W166" i="10"/>
  <c r="V166" i="10"/>
  <c r="U166" i="10"/>
  <c r="S166" i="10"/>
  <c r="R166" i="10"/>
  <c r="Q166" i="10"/>
  <c r="T166" i="10" s="1"/>
  <c r="P166" i="10"/>
  <c r="Z165" i="10"/>
  <c r="Y165" i="10"/>
  <c r="X165" i="10"/>
  <c r="W165" i="10"/>
  <c r="V165" i="10"/>
  <c r="U165" i="10"/>
  <c r="S165" i="10"/>
  <c r="R165" i="10"/>
  <c r="Q165" i="10"/>
  <c r="T165" i="10" s="1"/>
  <c r="P165" i="10"/>
  <c r="Z164" i="10"/>
  <c r="Y164" i="10"/>
  <c r="X164" i="10"/>
  <c r="W164" i="10"/>
  <c r="V164" i="10"/>
  <c r="U164" i="10"/>
  <c r="S164" i="10"/>
  <c r="R164" i="10"/>
  <c r="Q164" i="10"/>
  <c r="T164" i="10" s="1"/>
  <c r="P164" i="10"/>
  <c r="Z163" i="10"/>
  <c r="Y163" i="10"/>
  <c r="X163" i="10"/>
  <c r="W163" i="10"/>
  <c r="V163" i="10"/>
  <c r="U163" i="10"/>
  <c r="S163" i="10"/>
  <c r="R163" i="10"/>
  <c r="Q163" i="10"/>
  <c r="T163" i="10" s="1"/>
  <c r="P163" i="10"/>
  <c r="Z162" i="10"/>
  <c r="Y162" i="10"/>
  <c r="X162" i="10"/>
  <c r="W162" i="10"/>
  <c r="V162" i="10"/>
  <c r="U162" i="10"/>
  <c r="S162" i="10"/>
  <c r="R162" i="10"/>
  <c r="Q162" i="10"/>
  <c r="P162" i="10"/>
  <c r="Z161" i="10"/>
  <c r="Y161" i="10"/>
  <c r="X161" i="10"/>
  <c r="W161" i="10"/>
  <c r="V161" i="10"/>
  <c r="U161" i="10"/>
  <c r="S161" i="10"/>
  <c r="R161" i="10"/>
  <c r="Q161" i="10"/>
  <c r="T161" i="10" s="1"/>
  <c r="P161" i="10"/>
  <c r="Z160" i="10"/>
  <c r="Y160" i="10"/>
  <c r="X160" i="10"/>
  <c r="W160" i="10"/>
  <c r="V160" i="10"/>
  <c r="U160" i="10"/>
  <c r="S160" i="10"/>
  <c r="R160" i="10"/>
  <c r="Q160" i="10"/>
  <c r="AD160" i="10" s="1"/>
  <c r="P160" i="10"/>
  <c r="Z159" i="10"/>
  <c r="Y159" i="10"/>
  <c r="X159" i="10"/>
  <c r="W159" i="10"/>
  <c r="V159" i="10"/>
  <c r="U159" i="10"/>
  <c r="S159" i="10"/>
  <c r="R159" i="10"/>
  <c r="Q159" i="10"/>
  <c r="P159" i="10"/>
  <c r="Z158" i="10"/>
  <c r="Y158" i="10"/>
  <c r="X158" i="10"/>
  <c r="W158" i="10"/>
  <c r="V158" i="10"/>
  <c r="U158" i="10"/>
  <c r="S158" i="10"/>
  <c r="R158" i="10"/>
  <c r="Q158" i="10"/>
  <c r="T158" i="10" s="1"/>
  <c r="P158" i="10"/>
  <c r="Z157" i="10"/>
  <c r="Y157" i="10"/>
  <c r="X157" i="10"/>
  <c r="W157" i="10"/>
  <c r="V157" i="10"/>
  <c r="U157" i="10"/>
  <c r="S157" i="10"/>
  <c r="R157" i="10"/>
  <c r="Q157" i="10"/>
  <c r="T157" i="10" s="1"/>
  <c r="P157" i="10"/>
  <c r="Z156" i="10"/>
  <c r="Y156" i="10"/>
  <c r="X156" i="10"/>
  <c r="W156" i="10"/>
  <c r="V156" i="10"/>
  <c r="U156" i="10"/>
  <c r="S156" i="10"/>
  <c r="R156" i="10"/>
  <c r="Q156" i="10"/>
  <c r="T156" i="10" s="1"/>
  <c r="P156" i="10"/>
  <c r="Z155" i="10"/>
  <c r="Y155" i="10"/>
  <c r="X155" i="10"/>
  <c r="W155" i="10"/>
  <c r="V155" i="10"/>
  <c r="U155" i="10"/>
  <c r="S155" i="10"/>
  <c r="R155" i="10"/>
  <c r="Q155" i="10"/>
  <c r="T155" i="10" s="1"/>
  <c r="P155" i="10"/>
  <c r="Z154" i="10"/>
  <c r="Y154" i="10"/>
  <c r="X154" i="10"/>
  <c r="W154" i="10"/>
  <c r="V154" i="10"/>
  <c r="U154" i="10"/>
  <c r="S154" i="10"/>
  <c r="R154" i="10"/>
  <c r="Q154" i="10"/>
  <c r="AD154" i="10" s="1"/>
  <c r="P154" i="10"/>
  <c r="Z153" i="10"/>
  <c r="Y153" i="10"/>
  <c r="X153" i="10"/>
  <c r="W153" i="10"/>
  <c r="V153" i="10"/>
  <c r="U153" i="10"/>
  <c r="S153" i="10"/>
  <c r="R153" i="10"/>
  <c r="Q153" i="10"/>
  <c r="T153" i="10" s="1"/>
  <c r="P153" i="10"/>
  <c r="Z152" i="10"/>
  <c r="Y152" i="10"/>
  <c r="X152" i="10"/>
  <c r="W152" i="10"/>
  <c r="V152" i="10"/>
  <c r="U152" i="10"/>
  <c r="S152" i="10"/>
  <c r="R152" i="10"/>
  <c r="Q152" i="10"/>
  <c r="T152" i="10" s="1"/>
  <c r="P152" i="10"/>
  <c r="Z151" i="10"/>
  <c r="Y151" i="10"/>
  <c r="X151" i="10"/>
  <c r="W151" i="10"/>
  <c r="V151" i="10"/>
  <c r="U151" i="10"/>
  <c r="S151" i="10"/>
  <c r="R151" i="10"/>
  <c r="Q151" i="10"/>
  <c r="P151" i="10"/>
  <c r="Z150" i="10"/>
  <c r="Y150" i="10"/>
  <c r="X150" i="10"/>
  <c r="W150" i="10"/>
  <c r="V150" i="10"/>
  <c r="U150" i="10"/>
  <c r="S150" i="10"/>
  <c r="R150" i="10"/>
  <c r="Q150" i="10"/>
  <c r="P150" i="10"/>
  <c r="Z149" i="10"/>
  <c r="Y149" i="10"/>
  <c r="X149" i="10"/>
  <c r="W149" i="10"/>
  <c r="V149" i="10"/>
  <c r="U149" i="10"/>
  <c r="S149" i="10"/>
  <c r="R149" i="10"/>
  <c r="Q149" i="10"/>
  <c r="T149" i="10" s="1"/>
  <c r="P149" i="10"/>
  <c r="Z148" i="10"/>
  <c r="Y148" i="10"/>
  <c r="X148" i="10"/>
  <c r="W148" i="10"/>
  <c r="V148" i="10"/>
  <c r="U148" i="10"/>
  <c r="S148" i="10"/>
  <c r="R148" i="10"/>
  <c r="Q148" i="10"/>
  <c r="T148" i="10" s="1"/>
  <c r="P148" i="10"/>
  <c r="Z147" i="10"/>
  <c r="Y147" i="10"/>
  <c r="X147" i="10"/>
  <c r="W147" i="10"/>
  <c r="V147" i="10"/>
  <c r="U147" i="10"/>
  <c r="S147" i="10"/>
  <c r="R147" i="10"/>
  <c r="Q147" i="10"/>
  <c r="T147" i="10" s="1"/>
  <c r="P147" i="10"/>
  <c r="Z146" i="10"/>
  <c r="Y146" i="10"/>
  <c r="X146" i="10"/>
  <c r="W146" i="10"/>
  <c r="V146" i="10"/>
  <c r="U146" i="10"/>
  <c r="S146" i="10"/>
  <c r="R146" i="10"/>
  <c r="Q146" i="10"/>
  <c r="T146" i="10" s="1"/>
  <c r="P146" i="10"/>
  <c r="Z145" i="10"/>
  <c r="Y145" i="10"/>
  <c r="X145" i="10"/>
  <c r="W145" i="10"/>
  <c r="V145" i="10"/>
  <c r="U145" i="10"/>
  <c r="S145" i="10"/>
  <c r="R145" i="10"/>
  <c r="Q145" i="10"/>
  <c r="T145" i="10" s="1"/>
  <c r="P145" i="10"/>
  <c r="Z144" i="10"/>
  <c r="Y144" i="10"/>
  <c r="X144" i="10"/>
  <c r="W144" i="10"/>
  <c r="V144" i="10"/>
  <c r="U144" i="10"/>
  <c r="S144" i="10"/>
  <c r="R144" i="10"/>
  <c r="Q144" i="10"/>
  <c r="T144" i="10" s="1"/>
  <c r="P144" i="10"/>
  <c r="Z143" i="10"/>
  <c r="Y143" i="10"/>
  <c r="X143" i="10"/>
  <c r="W143" i="10"/>
  <c r="V143" i="10"/>
  <c r="U143" i="10"/>
  <c r="S143" i="10"/>
  <c r="R143" i="10"/>
  <c r="Q143" i="10"/>
  <c r="T143" i="10" s="1"/>
  <c r="P143" i="10"/>
  <c r="Z142" i="10"/>
  <c r="Y142" i="10"/>
  <c r="X142" i="10"/>
  <c r="W142" i="10"/>
  <c r="V142" i="10"/>
  <c r="U142" i="10"/>
  <c r="S142" i="10"/>
  <c r="R142" i="10"/>
  <c r="Q142" i="10"/>
  <c r="P142" i="10"/>
  <c r="Z141" i="10"/>
  <c r="Y141" i="10"/>
  <c r="X141" i="10"/>
  <c r="W141" i="10"/>
  <c r="V141" i="10"/>
  <c r="U141" i="10"/>
  <c r="S141" i="10"/>
  <c r="R141" i="10"/>
  <c r="Q141" i="10"/>
  <c r="P141" i="10"/>
  <c r="Z140" i="10"/>
  <c r="Y140" i="10"/>
  <c r="X140" i="10"/>
  <c r="W140" i="10"/>
  <c r="V140" i="10"/>
  <c r="U140" i="10"/>
  <c r="S140" i="10"/>
  <c r="R140" i="10"/>
  <c r="Q140" i="10"/>
  <c r="T140" i="10" s="1"/>
  <c r="P140" i="10"/>
  <c r="Z139" i="10"/>
  <c r="Y139" i="10"/>
  <c r="X139" i="10"/>
  <c r="W139" i="10"/>
  <c r="V139" i="10"/>
  <c r="U139" i="10"/>
  <c r="S139" i="10"/>
  <c r="R139" i="10"/>
  <c r="Q139" i="10"/>
  <c r="AC139" i="10" s="1"/>
  <c r="P139" i="10"/>
  <c r="Z138" i="10"/>
  <c r="Y138" i="10"/>
  <c r="X138" i="10"/>
  <c r="W138" i="10"/>
  <c r="V138" i="10"/>
  <c r="U138" i="10"/>
  <c r="S138" i="10"/>
  <c r="R138" i="10"/>
  <c r="Q138" i="10"/>
  <c r="T138" i="10" s="1"/>
  <c r="P138" i="10"/>
  <c r="Z137" i="10"/>
  <c r="Y137" i="10"/>
  <c r="X137" i="10"/>
  <c r="W137" i="10"/>
  <c r="V137" i="10"/>
  <c r="U137" i="10"/>
  <c r="S137" i="10"/>
  <c r="R137" i="10"/>
  <c r="Q137" i="10"/>
  <c r="T137" i="10" s="1"/>
  <c r="P137" i="10"/>
  <c r="Z136" i="10"/>
  <c r="Y136" i="10"/>
  <c r="X136" i="10"/>
  <c r="W136" i="10"/>
  <c r="V136" i="10"/>
  <c r="U136" i="10"/>
  <c r="S136" i="10"/>
  <c r="R136" i="10"/>
  <c r="Q136" i="10"/>
  <c r="AD136" i="10" s="1"/>
  <c r="P136" i="10"/>
  <c r="Z135" i="10"/>
  <c r="Y135" i="10"/>
  <c r="X135" i="10"/>
  <c r="W135" i="10"/>
  <c r="V135" i="10"/>
  <c r="U135" i="10"/>
  <c r="S135" i="10"/>
  <c r="R135" i="10"/>
  <c r="Q135" i="10"/>
  <c r="T135" i="10" s="1"/>
  <c r="P135" i="10"/>
  <c r="Z134" i="10"/>
  <c r="Y134" i="10"/>
  <c r="X134" i="10"/>
  <c r="W134" i="10"/>
  <c r="V134" i="10"/>
  <c r="U134" i="10"/>
  <c r="S134" i="10"/>
  <c r="R134" i="10"/>
  <c r="Q134" i="10"/>
  <c r="T134" i="10" s="1"/>
  <c r="P134" i="10"/>
  <c r="Z133" i="10"/>
  <c r="Y133" i="10"/>
  <c r="X133" i="10"/>
  <c r="W133" i="10"/>
  <c r="V133" i="10"/>
  <c r="U133" i="10"/>
  <c r="S133" i="10"/>
  <c r="R133" i="10"/>
  <c r="Q133" i="10"/>
  <c r="T133" i="10" s="1"/>
  <c r="P133" i="10"/>
  <c r="Z132" i="10"/>
  <c r="Y132" i="10"/>
  <c r="X132" i="10"/>
  <c r="W132" i="10"/>
  <c r="V132" i="10"/>
  <c r="U132" i="10"/>
  <c r="S132" i="10"/>
  <c r="R132" i="10"/>
  <c r="Q132" i="10"/>
  <c r="T132" i="10" s="1"/>
  <c r="P132" i="10"/>
  <c r="BG131" i="10"/>
  <c r="Z131" i="10"/>
  <c r="Y131" i="10"/>
  <c r="X131" i="10"/>
  <c r="W131" i="10"/>
  <c r="V131" i="10"/>
  <c r="U131" i="10"/>
  <c r="S131" i="10"/>
  <c r="R131" i="10"/>
  <c r="Q131" i="10"/>
  <c r="AC131" i="10" s="1"/>
  <c r="P131" i="10"/>
  <c r="Z130" i="10"/>
  <c r="Y130" i="10"/>
  <c r="X130" i="10"/>
  <c r="W130" i="10"/>
  <c r="V130" i="10"/>
  <c r="U130" i="10"/>
  <c r="S130" i="10"/>
  <c r="R130" i="10"/>
  <c r="Q130" i="10"/>
  <c r="P130" i="10"/>
  <c r="Z129" i="10"/>
  <c r="Y129" i="10"/>
  <c r="X129" i="10"/>
  <c r="W129" i="10"/>
  <c r="V129" i="10"/>
  <c r="U129" i="10"/>
  <c r="S129" i="10"/>
  <c r="R129" i="10"/>
  <c r="Q129" i="10"/>
  <c r="T129" i="10" s="1"/>
  <c r="P129" i="10"/>
  <c r="Z128" i="10"/>
  <c r="Y128" i="10"/>
  <c r="X128" i="10"/>
  <c r="W128" i="10"/>
  <c r="V128" i="10"/>
  <c r="U128" i="10"/>
  <c r="S128" i="10"/>
  <c r="R128" i="10"/>
  <c r="Q128" i="10"/>
  <c r="T128" i="10" s="1"/>
  <c r="P128" i="10"/>
  <c r="Z127" i="10"/>
  <c r="Y127" i="10"/>
  <c r="X127" i="10"/>
  <c r="W127" i="10"/>
  <c r="V127" i="10"/>
  <c r="U127" i="10"/>
  <c r="S127" i="10"/>
  <c r="R127" i="10"/>
  <c r="Q127" i="10"/>
  <c r="T127" i="10" s="1"/>
  <c r="P127" i="10"/>
  <c r="Z126" i="10"/>
  <c r="Y126" i="10"/>
  <c r="X126" i="10"/>
  <c r="W126" i="10"/>
  <c r="V126" i="10"/>
  <c r="U126" i="10"/>
  <c r="S126" i="10"/>
  <c r="R126" i="10"/>
  <c r="Q126" i="10"/>
  <c r="T126" i="10" s="1"/>
  <c r="P126" i="10"/>
  <c r="Z125" i="10"/>
  <c r="Y125" i="10"/>
  <c r="X125" i="10"/>
  <c r="W125" i="10"/>
  <c r="V125" i="10"/>
  <c r="U125" i="10"/>
  <c r="S125" i="10"/>
  <c r="R125" i="10"/>
  <c r="Q125" i="10"/>
  <c r="T125" i="10" s="1"/>
  <c r="P125" i="10"/>
  <c r="Z124" i="10"/>
  <c r="Y124" i="10"/>
  <c r="X124" i="10"/>
  <c r="W124" i="10"/>
  <c r="V124" i="10"/>
  <c r="U124" i="10"/>
  <c r="S124" i="10"/>
  <c r="R124" i="10"/>
  <c r="Q124" i="10"/>
  <c r="T124" i="10" s="1"/>
  <c r="P124" i="10"/>
  <c r="Z123" i="10"/>
  <c r="Y123" i="10"/>
  <c r="X123" i="10"/>
  <c r="W123" i="10"/>
  <c r="V123" i="10"/>
  <c r="U123" i="10"/>
  <c r="S123" i="10"/>
  <c r="R123" i="10"/>
  <c r="Q123" i="10"/>
  <c r="T123" i="10" s="1"/>
  <c r="P123" i="10"/>
  <c r="Z122" i="10"/>
  <c r="Y122" i="10"/>
  <c r="X122" i="10"/>
  <c r="W122" i="10"/>
  <c r="V122" i="10"/>
  <c r="U122" i="10"/>
  <c r="S122" i="10"/>
  <c r="R122" i="10"/>
  <c r="Q122" i="10"/>
  <c r="T122" i="10" s="1"/>
  <c r="P122" i="10"/>
  <c r="Z121" i="10"/>
  <c r="Y121" i="10"/>
  <c r="X121" i="10"/>
  <c r="W121" i="10"/>
  <c r="V121" i="10"/>
  <c r="U121" i="10"/>
  <c r="S121" i="10"/>
  <c r="R121" i="10"/>
  <c r="Q121" i="10"/>
  <c r="T121" i="10" s="1"/>
  <c r="P121" i="10"/>
  <c r="Z120" i="10"/>
  <c r="Y120" i="10"/>
  <c r="X120" i="10"/>
  <c r="W120" i="10"/>
  <c r="V120" i="10"/>
  <c r="U120" i="10"/>
  <c r="S120" i="10"/>
  <c r="R120" i="10"/>
  <c r="Q120" i="10"/>
  <c r="P120" i="10"/>
  <c r="Z119" i="10"/>
  <c r="Y119" i="10"/>
  <c r="X119" i="10"/>
  <c r="W119" i="10"/>
  <c r="V119" i="10"/>
  <c r="U119" i="10"/>
  <c r="S119" i="10"/>
  <c r="R119" i="10"/>
  <c r="Q119" i="10"/>
  <c r="AC119" i="10" s="1"/>
  <c r="P119" i="10"/>
  <c r="Z118" i="10"/>
  <c r="Y118" i="10"/>
  <c r="X118" i="10"/>
  <c r="W118" i="10"/>
  <c r="V118" i="10"/>
  <c r="U118" i="10"/>
  <c r="S118" i="10"/>
  <c r="R118" i="10"/>
  <c r="Q118" i="10"/>
  <c r="T118" i="10" s="1"/>
  <c r="P118" i="10"/>
  <c r="Z117" i="10"/>
  <c r="Y117" i="10"/>
  <c r="X117" i="10"/>
  <c r="W117" i="10"/>
  <c r="V117" i="10"/>
  <c r="U117" i="10"/>
  <c r="S117" i="10"/>
  <c r="R117" i="10"/>
  <c r="Q117" i="10"/>
  <c r="T117" i="10" s="1"/>
  <c r="P117" i="10"/>
  <c r="Z116" i="10"/>
  <c r="Y116" i="10"/>
  <c r="X116" i="10"/>
  <c r="W116" i="10"/>
  <c r="V116" i="10"/>
  <c r="U116" i="10"/>
  <c r="S116" i="10"/>
  <c r="R116" i="10"/>
  <c r="Q116" i="10"/>
  <c r="T116" i="10" s="1"/>
  <c r="P116" i="10"/>
  <c r="Z115" i="10"/>
  <c r="Y115" i="10"/>
  <c r="X115" i="10"/>
  <c r="W115" i="10"/>
  <c r="V115" i="10"/>
  <c r="U115" i="10"/>
  <c r="S115" i="10"/>
  <c r="R115" i="10"/>
  <c r="Q115" i="10"/>
  <c r="T115" i="10" s="1"/>
  <c r="P115" i="10"/>
  <c r="Z114" i="10"/>
  <c r="Y114" i="10"/>
  <c r="X114" i="10"/>
  <c r="W114" i="10"/>
  <c r="V114" i="10"/>
  <c r="U114" i="10"/>
  <c r="S114" i="10"/>
  <c r="R114" i="10"/>
  <c r="Q114" i="10"/>
  <c r="T114" i="10" s="1"/>
  <c r="P114" i="10"/>
  <c r="Z113" i="10"/>
  <c r="Y113" i="10"/>
  <c r="X113" i="10"/>
  <c r="W113" i="10"/>
  <c r="V113" i="10"/>
  <c r="U113" i="10"/>
  <c r="S113" i="10"/>
  <c r="R113" i="10"/>
  <c r="Q113" i="10"/>
  <c r="T113" i="10" s="1"/>
  <c r="P113" i="10"/>
  <c r="Z112" i="10"/>
  <c r="Y112" i="10"/>
  <c r="X112" i="10"/>
  <c r="W112" i="10"/>
  <c r="V112" i="10"/>
  <c r="U112" i="10"/>
  <c r="S112" i="10"/>
  <c r="R112" i="10"/>
  <c r="Q112" i="10"/>
  <c r="AD112" i="10" s="1"/>
  <c r="P112" i="10"/>
  <c r="Z111" i="10"/>
  <c r="Y111" i="10"/>
  <c r="X111" i="10"/>
  <c r="W111" i="10"/>
  <c r="V111" i="10"/>
  <c r="U111" i="10"/>
  <c r="S111" i="10"/>
  <c r="R111" i="10"/>
  <c r="Q111" i="10"/>
  <c r="P111" i="10"/>
  <c r="Z110" i="10"/>
  <c r="Y110" i="10"/>
  <c r="X110" i="10"/>
  <c r="W110" i="10"/>
  <c r="V110" i="10"/>
  <c r="U110" i="10"/>
  <c r="S110" i="10"/>
  <c r="R110" i="10"/>
  <c r="Q110" i="10"/>
  <c r="P110" i="10"/>
  <c r="Z109" i="10"/>
  <c r="Y109" i="10"/>
  <c r="X109" i="10"/>
  <c r="W109" i="10"/>
  <c r="V109" i="10"/>
  <c r="U109" i="10"/>
  <c r="S109" i="10"/>
  <c r="R109" i="10"/>
  <c r="Q109" i="10"/>
  <c r="T109" i="10" s="1"/>
  <c r="P109" i="10"/>
  <c r="Z108" i="10"/>
  <c r="Y108" i="10"/>
  <c r="X108" i="10"/>
  <c r="W108" i="10"/>
  <c r="V108" i="10"/>
  <c r="U108" i="10"/>
  <c r="S108" i="10"/>
  <c r="R108" i="10"/>
  <c r="Q108" i="10"/>
  <c r="T108" i="10" s="1"/>
  <c r="P108" i="10"/>
  <c r="Z107" i="10"/>
  <c r="Y107" i="10"/>
  <c r="X107" i="10"/>
  <c r="W107" i="10"/>
  <c r="V107" i="10"/>
  <c r="U107" i="10"/>
  <c r="S107" i="10"/>
  <c r="R107" i="10"/>
  <c r="Q107" i="10"/>
  <c r="T107" i="10" s="1"/>
  <c r="P107" i="10"/>
  <c r="Z106" i="10"/>
  <c r="Y106" i="10"/>
  <c r="X106" i="10"/>
  <c r="W106" i="10"/>
  <c r="V106" i="10"/>
  <c r="U106" i="10"/>
  <c r="S106" i="10"/>
  <c r="R106" i="10"/>
  <c r="Q106" i="10"/>
  <c r="T106" i="10" s="1"/>
  <c r="P106" i="10"/>
  <c r="Z105" i="10"/>
  <c r="Y105" i="10"/>
  <c r="X105" i="10"/>
  <c r="W105" i="10"/>
  <c r="V105" i="10"/>
  <c r="U105" i="10"/>
  <c r="S105" i="10"/>
  <c r="R105" i="10"/>
  <c r="Q105" i="10"/>
  <c r="T105" i="10" s="1"/>
  <c r="P105" i="10"/>
  <c r="Z104" i="10"/>
  <c r="Y104" i="10"/>
  <c r="X104" i="10"/>
  <c r="W104" i="10"/>
  <c r="V104" i="10"/>
  <c r="U104" i="10"/>
  <c r="S104" i="10"/>
  <c r="R104" i="10"/>
  <c r="Q104" i="10"/>
  <c r="P104" i="10"/>
  <c r="Z103" i="10"/>
  <c r="Y103" i="10"/>
  <c r="X103" i="10"/>
  <c r="W103" i="10"/>
  <c r="V103" i="10"/>
  <c r="U103" i="10"/>
  <c r="S103" i="10"/>
  <c r="R103" i="10"/>
  <c r="Q103" i="10"/>
  <c r="P103" i="10"/>
  <c r="Z102" i="10"/>
  <c r="Y102" i="10"/>
  <c r="X102" i="10"/>
  <c r="W102" i="10"/>
  <c r="V102" i="10"/>
  <c r="U102" i="10"/>
  <c r="S102" i="10"/>
  <c r="R102" i="10"/>
  <c r="Q102" i="10"/>
  <c r="T102" i="10" s="1"/>
  <c r="P102" i="10"/>
  <c r="Z101" i="10"/>
  <c r="Y101" i="10"/>
  <c r="X101" i="10"/>
  <c r="W101" i="10"/>
  <c r="V101" i="10"/>
  <c r="U101" i="10"/>
  <c r="S101" i="10"/>
  <c r="R101" i="10"/>
  <c r="Q101" i="10"/>
  <c r="T101" i="10" s="1"/>
  <c r="P101" i="10"/>
  <c r="Z100" i="10"/>
  <c r="Y100" i="10"/>
  <c r="X100" i="10"/>
  <c r="W100" i="10"/>
  <c r="V100" i="10"/>
  <c r="U100" i="10"/>
  <c r="S100" i="10"/>
  <c r="R100" i="10"/>
  <c r="Q100" i="10"/>
  <c r="BG100" i="10" s="1"/>
  <c r="P100" i="10"/>
  <c r="Z99" i="10"/>
  <c r="Y99" i="10"/>
  <c r="X99" i="10"/>
  <c r="W99" i="10"/>
  <c r="V99" i="10"/>
  <c r="U99" i="10"/>
  <c r="S99" i="10"/>
  <c r="R99" i="10"/>
  <c r="Q99" i="10"/>
  <c r="P99" i="10"/>
  <c r="Z98" i="10"/>
  <c r="Y98" i="10"/>
  <c r="X98" i="10"/>
  <c r="W98" i="10"/>
  <c r="V98" i="10"/>
  <c r="U98" i="10"/>
  <c r="S98" i="10"/>
  <c r="R98" i="10"/>
  <c r="Q98" i="10"/>
  <c r="T98" i="10" s="1"/>
  <c r="P98" i="10"/>
  <c r="Z97" i="10"/>
  <c r="Y97" i="10"/>
  <c r="X97" i="10"/>
  <c r="W97" i="10"/>
  <c r="V97" i="10"/>
  <c r="U97" i="10"/>
  <c r="S97" i="10"/>
  <c r="R97" i="10"/>
  <c r="Q97" i="10"/>
  <c r="O97" i="10" s="1"/>
  <c r="P97" i="10"/>
  <c r="Z96" i="10"/>
  <c r="Y96" i="10"/>
  <c r="X96" i="10"/>
  <c r="W96" i="10"/>
  <c r="V96" i="10"/>
  <c r="U96" i="10"/>
  <c r="S96" i="10"/>
  <c r="R96" i="10"/>
  <c r="Q96" i="10"/>
  <c r="T96" i="10" s="1"/>
  <c r="P96" i="10"/>
  <c r="Z95" i="10"/>
  <c r="Y95" i="10"/>
  <c r="X95" i="10"/>
  <c r="W95" i="10"/>
  <c r="V95" i="10"/>
  <c r="U95" i="10"/>
  <c r="S95" i="10"/>
  <c r="R95" i="10"/>
  <c r="Q95" i="10"/>
  <c r="T95" i="10" s="1"/>
  <c r="P95" i="10"/>
  <c r="Z94" i="10"/>
  <c r="Y94" i="10"/>
  <c r="X94" i="10"/>
  <c r="W94" i="10"/>
  <c r="V94" i="10"/>
  <c r="U94" i="10"/>
  <c r="S94" i="10"/>
  <c r="R94" i="10"/>
  <c r="Q94" i="10"/>
  <c r="T94" i="10" s="1"/>
  <c r="P94" i="10"/>
  <c r="Z93" i="10"/>
  <c r="Y93" i="10"/>
  <c r="X93" i="10"/>
  <c r="W93" i="10"/>
  <c r="V93" i="10"/>
  <c r="U93" i="10"/>
  <c r="S93" i="10"/>
  <c r="R93" i="10"/>
  <c r="Q93" i="10"/>
  <c r="T93" i="10" s="1"/>
  <c r="P93" i="10"/>
  <c r="Z92" i="10"/>
  <c r="Y92" i="10"/>
  <c r="X92" i="10"/>
  <c r="W92" i="10"/>
  <c r="V92" i="10"/>
  <c r="U92" i="10"/>
  <c r="S92" i="10"/>
  <c r="R92" i="10"/>
  <c r="Q92" i="10"/>
  <c r="AC92" i="10" s="1"/>
  <c r="P92" i="10"/>
  <c r="Z91" i="10"/>
  <c r="Y91" i="10"/>
  <c r="X91" i="10"/>
  <c r="W91" i="10"/>
  <c r="V91" i="10"/>
  <c r="U91" i="10"/>
  <c r="S91" i="10"/>
  <c r="R91" i="10"/>
  <c r="Q91" i="10"/>
  <c r="T91" i="10" s="1"/>
  <c r="P91" i="10"/>
  <c r="Z90" i="10"/>
  <c r="Y90" i="10"/>
  <c r="X90" i="10"/>
  <c r="W90" i="10"/>
  <c r="V90" i="10"/>
  <c r="U90" i="10"/>
  <c r="S90" i="10"/>
  <c r="R90" i="10"/>
  <c r="Q90" i="10"/>
  <c r="AD90" i="10" s="1"/>
  <c r="P90" i="10"/>
  <c r="Z89" i="10"/>
  <c r="Y89" i="10"/>
  <c r="X89" i="10"/>
  <c r="W89" i="10"/>
  <c r="V89" i="10"/>
  <c r="U89" i="10"/>
  <c r="S89" i="10"/>
  <c r="R89" i="10"/>
  <c r="Q89" i="10"/>
  <c r="T89" i="10" s="1"/>
  <c r="P89" i="10"/>
  <c r="Z88" i="10"/>
  <c r="Y88" i="10"/>
  <c r="X88" i="10"/>
  <c r="W88" i="10"/>
  <c r="V88" i="10"/>
  <c r="U88" i="10"/>
  <c r="S88" i="10"/>
  <c r="R88" i="10"/>
  <c r="Q88" i="10"/>
  <c r="T88" i="10" s="1"/>
  <c r="P88" i="10"/>
  <c r="Z87" i="10"/>
  <c r="Y87" i="10"/>
  <c r="X87" i="10"/>
  <c r="W87" i="10"/>
  <c r="V87" i="10"/>
  <c r="U87" i="10"/>
  <c r="S87" i="10"/>
  <c r="R87" i="10"/>
  <c r="Q87" i="10"/>
  <c r="P87" i="10"/>
  <c r="Z86" i="10"/>
  <c r="Y86" i="10"/>
  <c r="X86" i="10"/>
  <c r="W86" i="10"/>
  <c r="V86" i="10"/>
  <c r="U86" i="10"/>
  <c r="S86" i="10"/>
  <c r="R86" i="10"/>
  <c r="Q86" i="10"/>
  <c r="T86" i="10" s="1"/>
  <c r="P86" i="10"/>
  <c r="Z85" i="10"/>
  <c r="Y85" i="10"/>
  <c r="X85" i="10"/>
  <c r="W85" i="10"/>
  <c r="V85" i="10"/>
  <c r="U85" i="10"/>
  <c r="S85" i="10"/>
  <c r="R85" i="10"/>
  <c r="Q85" i="10"/>
  <c r="T85" i="10" s="1"/>
  <c r="P85" i="10"/>
  <c r="Z84" i="10"/>
  <c r="Y84" i="10"/>
  <c r="X84" i="10"/>
  <c r="W84" i="10"/>
  <c r="V84" i="10"/>
  <c r="U84" i="10"/>
  <c r="S84" i="10"/>
  <c r="R84" i="10"/>
  <c r="Q84" i="10"/>
  <c r="BG84" i="10" s="1"/>
  <c r="P84" i="10"/>
  <c r="Z83" i="10"/>
  <c r="Y83" i="10"/>
  <c r="X83" i="10"/>
  <c r="W83" i="10"/>
  <c r="V83" i="10"/>
  <c r="U83" i="10"/>
  <c r="S83" i="10"/>
  <c r="R83" i="10"/>
  <c r="Q83" i="10"/>
  <c r="P83" i="10"/>
  <c r="Z82" i="10"/>
  <c r="Y82" i="10"/>
  <c r="X82" i="10"/>
  <c r="W82" i="10"/>
  <c r="V82" i="10"/>
  <c r="U82" i="10"/>
  <c r="S82" i="10"/>
  <c r="R82" i="10"/>
  <c r="Q82" i="10"/>
  <c r="T82" i="10" s="1"/>
  <c r="P82" i="10"/>
  <c r="Z81" i="10"/>
  <c r="Y81" i="10"/>
  <c r="X81" i="10"/>
  <c r="W81" i="10"/>
  <c r="V81" i="10"/>
  <c r="U81" i="10"/>
  <c r="S81" i="10"/>
  <c r="R81" i="10"/>
  <c r="Q81" i="10"/>
  <c r="T81" i="10" s="1"/>
  <c r="P81" i="10"/>
  <c r="Z80" i="10"/>
  <c r="Y80" i="10"/>
  <c r="X80" i="10"/>
  <c r="W80" i="10"/>
  <c r="V80" i="10"/>
  <c r="U80" i="10"/>
  <c r="S80" i="10"/>
  <c r="R80" i="10"/>
  <c r="Q80" i="10"/>
  <c r="T80" i="10" s="1"/>
  <c r="P80" i="10"/>
  <c r="Z79" i="10"/>
  <c r="Y79" i="10"/>
  <c r="X79" i="10"/>
  <c r="W79" i="10"/>
  <c r="V79" i="10"/>
  <c r="U79" i="10"/>
  <c r="S79" i="10"/>
  <c r="R79" i="10"/>
  <c r="Q79" i="10"/>
  <c r="P79" i="10"/>
  <c r="Z78" i="10"/>
  <c r="Y78" i="10"/>
  <c r="X78" i="10"/>
  <c r="W78" i="10"/>
  <c r="V78" i="10"/>
  <c r="U78" i="10"/>
  <c r="S78" i="10"/>
  <c r="R78" i="10"/>
  <c r="Q78" i="10"/>
  <c r="T78" i="10" s="1"/>
  <c r="P78" i="10"/>
  <c r="Z77" i="10"/>
  <c r="Y77" i="10"/>
  <c r="X77" i="10"/>
  <c r="W77" i="10"/>
  <c r="V77" i="10"/>
  <c r="U77" i="10"/>
  <c r="S77" i="10"/>
  <c r="R77" i="10"/>
  <c r="Q77" i="10"/>
  <c r="T77" i="10" s="1"/>
  <c r="P77" i="10"/>
  <c r="Z76" i="10"/>
  <c r="Y76" i="10"/>
  <c r="X76" i="10"/>
  <c r="W76" i="10"/>
  <c r="V76" i="10"/>
  <c r="U76" i="10"/>
  <c r="S76" i="10"/>
  <c r="R76" i="10"/>
  <c r="Q76" i="10"/>
  <c r="BG76" i="10" s="1"/>
  <c r="P76" i="10"/>
  <c r="Z75" i="10"/>
  <c r="Y75" i="10"/>
  <c r="X75" i="10"/>
  <c r="W75" i="10"/>
  <c r="V75" i="10"/>
  <c r="U75" i="10"/>
  <c r="S75" i="10"/>
  <c r="Q75" i="10"/>
  <c r="T75" i="10" s="1"/>
  <c r="P75" i="10"/>
  <c r="Z74" i="10"/>
  <c r="Y74" i="10"/>
  <c r="X74" i="10"/>
  <c r="W74" i="10"/>
  <c r="V74" i="10"/>
  <c r="U74" i="10"/>
  <c r="S74" i="10"/>
  <c r="Q74" i="10"/>
  <c r="BG74" i="10" s="1"/>
  <c r="P74" i="10"/>
  <c r="Z73" i="10"/>
  <c r="Y73" i="10"/>
  <c r="X73" i="10"/>
  <c r="W73" i="10"/>
  <c r="V73" i="10"/>
  <c r="U73" i="10"/>
  <c r="S73" i="10"/>
  <c r="Q73" i="10"/>
  <c r="O73" i="10" s="1"/>
  <c r="P73" i="10"/>
  <c r="Z72" i="10"/>
  <c r="Y72" i="10"/>
  <c r="X72" i="10"/>
  <c r="W72" i="10"/>
  <c r="V72" i="10"/>
  <c r="U72" i="10"/>
  <c r="S72" i="10"/>
  <c r="Q72" i="10"/>
  <c r="T72" i="10" s="1"/>
  <c r="P72" i="10"/>
  <c r="Z71" i="10"/>
  <c r="Y71" i="10"/>
  <c r="X71" i="10"/>
  <c r="W71" i="10"/>
  <c r="V71" i="10"/>
  <c r="U71" i="10"/>
  <c r="S71" i="10"/>
  <c r="Q71" i="10"/>
  <c r="T71" i="10" s="1"/>
  <c r="P71" i="10"/>
  <c r="Z70" i="10"/>
  <c r="Y70" i="10"/>
  <c r="X70" i="10"/>
  <c r="W70" i="10"/>
  <c r="V70" i="10"/>
  <c r="U70" i="10"/>
  <c r="S70" i="10"/>
  <c r="Q70" i="10"/>
  <c r="T70" i="10" s="1"/>
  <c r="P70" i="10"/>
  <c r="Z69" i="10"/>
  <c r="Y69" i="10"/>
  <c r="X69" i="10"/>
  <c r="W69" i="10"/>
  <c r="V69" i="10"/>
  <c r="U69" i="10"/>
  <c r="S69" i="10"/>
  <c r="Q69" i="10"/>
  <c r="P69" i="10"/>
  <c r="Z68" i="10"/>
  <c r="Y68" i="10"/>
  <c r="X68" i="10"/>
  <c r="W68" i="10"/>
  <c r="V68" i="10"/>
  <c r="U68" i="10"/>
  <c r="S68" i="10"/>
  <c r="Q68" i="10"/>
  <c r="T68" i="10" s="1"/>
  <c r="P68" i="10"/>
  <c r="Z67" i="10"/>
  <c r="Y67" i="10"/>
  <c r="X67" i="10"/>
  <c r="W67" i="10"/>
  <c r="V67" i="10"/>
  <c r="U67" i="10"/>
  <c r="S67" i="10"/>
  <c r="Q67" i="10"/>
  <c r="T67" i="10" s="1"/>
  <c r="P67" i="10"/>
  <c r="Z66" i="10"/>
  <c r="Y66" i="10"/>
  <c r="X66" i="10"/>
  <c r="W66" i="10"/>
  <c r="V66" i="10"/>
  <c r="U66" i="10"/>
  <c r="S66" i="10"/>
  <c r="Q66" i="10"/>
  <c r="T66" i="10" s="1"/>
  <c r="P66" i="10"/>
  <c r="Z65" i="10"/>
  <c r="Y65" i="10"/>
  <c r="X65" i="10"/>
  <c r="W65" i="10"/>
  <c r="V65" i="10"/>
  <c r="U65" i="10"/>
  <c r="S65" i="10"/>
  <c r="Q65" i="10"/>
  <c r="T65" i="10" s="1"/>
  <c r="P65" i="10"/>
  <c r="Z64" i="10"/>
  <c r="Y64" i="10"/>
  <c r="X64" i="10"/>
  <c r="W64" i="10"/>
  <c r="V64" i="10"/>
  <c r="U64" i="10"/>
  <c r="S64" i="10"/>
  <c r="Q64" i="10"/>
  <c r="T64" i="10" s="1"/>
  <c r="P64" i="10"/>
  <c r="Z63" i="10"/>
  <c r="Y63" i="10"/>
  <c r="X63" i="10"/>
  <c r="W63" i="10"/>
  <c r="V63" i="10"/>
  <c r="U63" i="10"/>
  <c r="S63" i="10"/>
  <c r="Q63" i="10"/>
  <c r="BG63" i="10" s="1"/>
  <c r="P63" i="10"/>
  <c r="Z62" i="10"/>
  <c r="Y62" i="10"/>
  <c r="X62" i="10"/>
  <c r="W62" i="10"/>
  <c r="V62" i="10"/>
  <c r="U62" i="10"/>
  <c r="S62" i="10"/>
  <c r="Q62" i="10"/>
  <c r="T62" i="10" s="1"/>
  <c r="P62" i="10"/>
  <c r="Z61" i="10"/>
  <c r="Y61" i="10"/>
  <c r="X61" i="10"/>
  <c r="W61" i="10"/>
  <c r="V61" i="10"/>
  <c r="U61" i="10"/>
  <c r="S61" i="10"/>
  <c r="Q61" i="10"/>
  <c r="P61" i="10"/>
  <c r="Z60" i="10"/>
  <c r="Y60" i="10"/>
  <c r="X60" i="10"/>
  <c r="W60" i="10"/>
  <c r="V60" i="10"/>
  <c r="U60" i="10"/>
  <c r="S60" i="10"/>
  <c r="Q60" i="10"/>
  <c r="O60" i="10" s="1"/>
  <c r="P60" i="10"/>
  <c r="Z59" i="10"/>
  <c r="Y59" i="10"/>
  <c r="X59" i="10"/>
  <c r="W59" i="10"/>
  <c r="V59" i="10"/>
  <c r="U59" i="10"/>
  <c r="S59" i="10"/>
  <c r="Q59" i="10"/>
  <c r="R59" i="10" s="1"/>
  <c r="P59" i="10"/>
  <c r="Z58" i="10"/>
  <c r="Y58" i="10"/>
  <c r="X58" i="10"/>
  <c r="W58" i="10"/>
  <c r="V58" i="10"/>
  <c r="U58" i="10"/>
  <c r="S58" i="10"/>
  <c r="Q58" i="10"/>
  <c r="P58" i="10"/>
  <c r="Z57" i="10"/>
  <c r="Y57" i="10"/>
  <c r="X57" i="10"/>
  <c r="W57" i="10"/>
  <c r="V57" i="10"/>
  <c r="U57" i="10"/>
  <c r="S57" i="10"/>
  <c r="Q57" i="10"/>
  <c r="T57" i="10" s="1"/>
  <c r="P57" i="10"/>
  <c r="O57" i="10"/>
  <c r="Z56" i="10"/>
  <c r="Y56" i="10"/>
  <c r="X56" i="10"/>
  <c r="W56" i="10"/>
  <c r="V56" i="10"/>
  <c r="U56" i="10"/>
  <c r="S56" i="10"/>
  <c r="Q56" i="10"/>
  <c r="T56" i="10" s="1"/>
  <c r="P56" i="10"/>
  <c r="Z55" i="10"/>
  <c r="Y55" i="10"/>
  <c r="X55" i="10"/>
  <c r="W55" i="10"/>
  <c r="V55" i="10"/>
  <c r="U55" i="10"/>
  <c r="S55" i="10"/>
  <c r="Q55" i="10"/>
  <c r="O55" i="10" s="1"/>
  <c r="P55" i="10"/>
  <c r="Z54" i="10"/>
  <c r="Y54" i="10"/>
  <c r="X54" i="10"/>
  <c r="W54" i="10"/>
  <c r="V54" i="10"/>
  <c r="U54" i="10"/>
  <c r="S54" i="10"/>
  <c r="Q54" i="10"/>
  <c r="P54" i="10"/>
  <c r="Z53" i="10"/>
  <c r="Y53" i="10"/>
  <c r="X53" i="10"/>
  <c r="W53" i="10"/>
  <c r="V53" i="10"/>
  <c r="U53" i="10"/>
  <c r="S53" i="10"/>
  <c r="Q53" i="10"/>
  <c r="T53" i="10" s="1"/>
  <c r="P53" i="10"/>
  <c r="Z52" i="10"/>
  <c r="Y52" i="10"/>
  <c r="X52" i="10"/>
  <c r="W52" i="10"/>
  <c r="V52" i="10"/>
  <c r="U52" i="10"/>
  <c r="S52" i="10"/>
  <c r="Q52" i="10"/>
  <c r="R52" i="10" s="1"/>
  <c r="P52" i="10"/>
  <c r="Z51" i="10"/>
  <c r="Y51" i="10"/>
  <c r="X51" i="10"/>
  <c r="W51" i="10"/>
  <c r="V51" i="10"/>
  <c r="U51" i="10"/>
  <c r="S51" i="10"/>
  <c r="Q51" i="10"/>
  <c r="T51" i="10" s="1"/>
  <c r="P51" i="10"/>
  <c r="Z50" i="10"/>
  <c r="Y50" i="10"/>
  <c r="X50" i="10"/>
  <c r="W50" i="10"/>
  <c r="V50" i="10"/>
  <c r="U50" i="10"/>
  <c r="S50" i="10"/>
  <c r="Q50" i="10"/>
  <c r="T50" i="10" s="1"/>
  <c r="P50" i="10"/>
  <c r="Z49" i="10"/>
  <c r="Y49" i="10"/>
  <c r="X49" i="10"/>
  <c r="W49" i="10"/>
  <c r="V49" i="10"/>
  <c r="U49" i="10"/>
  <c r="S49" i="10"/>
  <c r="Q49" i="10"/>
  <c r="R49" i="10" s="1"/>
  <c r="P49" i="10"/>
  <c r="Z48" i="10"/>
  <c r="Y48" i="10"/>
  <c r="X48" i="10"/>
  <c r="W48" i="10"/>
  <c r="V48" i="10"/>
  <c r="U48" i="10"/>
  <c r="S48" i="10"/>
  <c r="Q48" i="10"/>
  <c r="T48" i="10" s="1"/>
  <c r="P48" i="10"/>
  <c r="Z47" i="10"/>
  <c r="Y47" i="10"/>
  <c r="X47" i="10"/>
  <c r="W47" i="10"/>
  <c r="V47" i="10"/>
  <c r="U47" i="10"/>
  <c r="S47" i="10"/>
  <c r="Q47" i="10"/>
  <c r="T47" i="10" s="1"/>
  <c r="P47" i="10"/>
  <c r="Z46" i="10"/>
  <c r="Y46" i="10"/>
  <c r="R46" i="10" s="1"/>
  <c r="X46" i="10"/>
  <c r="W46" i="10"/>
  <c r="V46" i="10"/>
  <c r="U46" i="10"/>
  <c r="S46" i="10"/>
  <c r="Q46" i="10"/>
  <c r="T46" i="10" s="1"/>
  <c r="P46" i="10"/>
  <c r="Z45" i="10"/>
  <c r="Y45" i="10"/>
  <c r="X45" i="10"/>
  <c r="W45" i="10"/>
  <c r="V45" i="10"/>
  <c r="U45" i="10"/>
  <c r="S45" i="10"/>
  <c r="Q45" i="10"/>
  <c r="R45" i="10" s="1"/>
  <c r="P45" i="10"/>
  <c r="Z44" i="10"/>
  <c r="Y44" i="10"/>
  <c r="X44" i="10"/>
  <c r="W44" i="10"/>
  <c r="V44" i="10"/>
  <c r="U44" i="10"/>
  <c r="S44" i="10"/>
  <c r="Q44" i="10"/>
  <c r="T44" i="10" s="1"/>
  <c r="P44" i="10"/>
  <c r="Z43" i="10"/>
  <c r="Y43" i="10"/>
  <c r="X43" i="10"/>
  <c r="W43" i="10"/>
  <c r="V43" i="10"/>
  <c r="U43" i="10"/>
  <c r="S43" i="10"/>
  <c r="Q43" i="10"/>
  <c r="T43" i="10" s="1"/>
  <c r="P43" i="10"/>
  <c r="Z42" i="10"/>
  <c r="Y42" i="10"/>
  <c r="R42" i="10" s="1"/>
  <c r="X42" i="10"/>
  <c r="W42" i="10"/>
  <c r="V42" i="10"/>
  <c r="U42" i="10"/>
  <c r="S42" i="10"/>
  <c r="Q42" i="10"/>
  <c r="O42" i="10" s="1"/>
  <c r="P42" i="10"/>
  <c r="Z41" i="10"/>
  <c r="Y41" i="10"/>
  <c r="X41" i="10"/>
  <c r="W41" i="10"/>
  <c r="V41" i="10"/>
  <c r="U41" i="10"/>
  <c r="S41" i="10"/>
  <c r="Q41" i="10"/>
  <c r="R41" i="10" s="1"/>
  <c r="P41" i="10"/>
  <c r="Z40" i="10"/>
  <c r="Y40" i="10"/>
  <c r="X40" i="10"/>
  <c r="W40" i="10"/>
  <c r="V40" i="10"/>
  <c r="U40" i="10"/>
  <c r="S40" i="10"/>
  <c r="Q40" i="10"/>
  <c r="P40" i="10"/>
  <c r="Z39" i="10"/>
  <c r="Y39" i="10"/>
  <c r="R39" i="10" s="1"/>
  <c r="X39" i="10"/>
  <c r="W39" i="10"/>
  <c r="V39" i="10"/>
  <c r="U39" i="10"/>
  <c r="S39" i="10"/>
  <c r="Q39" i="10"/>
  <c r="T39" i="10" s="1"/>
  <c r="P39" i="10"/>
  <c r="Z38" i="10"/>
  <c r="Y38" i="10"/>
  <c r="X38" i="10"/>
  <c r="W38" i="10"/>
  <c r="V38" i="10"/>
  <c r="U38" i="10"/>
  <c r="S38" i="10"/>
  <c r="Q38" i="10"/>
  <c r="T38" i="10" s="1"/>
  <c r="P38" i="10"/>
  <c r="Z37" i="10"/>
  <c r="Y37" i="10"/>
  <c r="X37" i="10"/>
  <c r="W37" i="10"/>
  <c r="V37" i="10"/>
  <c r="U37" i="10"/>
  <c r="S37" i="10"/>
  <c r="Q37" i="10"/>
  <c r="P37" i="10"/>
  <c r="Z36" i="10"/>
  <c r="Y36" i="10"/>
  <c r="X36" i="10"/>
  <c r="W36" i="10"/>
  <c r="V36" i="10"/>
  <c r="U36" i="10"/>
  <c r="S36" i="10"/>
  <c r="Q36" i="10"/>
  <c r="P36" i="10"/>
  <c r="Z35" i="10"/>
  <c r="Y35" i="10"/>
  <c r="X35" i="10"/>
  <c r="W35" i="10"/>
  <c r="V35" i="10"/>
  <c r="U35" i="10"/>
  <c r="S35" i="10"/>
  <c r="Q35" i="10"/>
  <c r="T35" i="10" s="1"/>
  <c r="P35" i="10"/>
  <c r="Z34" i="10"/>
  <c r="Y34" i="10"/>
  <c r="X34" i="10"/>
  <c r="W34" i="10"/>
  <c r="V34" i="10"/>
  <c r="U34" i="10"/>
  <c r="S34" i="10"/>
  <c r="Q34" i="10"/>
  <c r="T34" i="10" s="1"/>
  <c r="P34" i="10"/>
  <c r="O34" i="10"/>
  <c r="Z33" i="10"/>
  <c r="Y33" i="10"/>
  <c r="X33" i="10"/>
  <c r="W33" i="10"/>
  <c r="V33" i="10"/>
  <c r="U33" i="10"/>
  <c r="S33" i="10"/>
  <c r="Q33" i="10"/>
  <c r="T33" i="10" s="1"/>
  <c r="P33" i="10"/>
  <c r="Z32" i="10"/>
  <c r="Y32" i="10"/>
  <c r="X32" i="10"/>
  <c r="W32" i="10"/>
  <c r="V32" i="10"/>
  <c r="U32" i="10"/>
  <c r="S32" i="10"/>
  <c r="Q32" i="10"/>
  <c r="T32" i="10" s="1"/>
  <c r="P32" i="10"/>
  <c r="Z31" i="10"/>
  <c r="Y31" i="10"/>
  <c r="X31" i="10"/>
  <c r="W31" i="10"/>
  <c r="V31" i="10"/>
  <c r="U31" i="10"/>
  <c r="S31" i="10"/>
  <c r="Q31" i="10"/>
  <c r="P31" i="10"/>
  <c r="Z30" i="10"/>
  <c r="Y30" i="10"/>
  <c r="X30" i="10"/>
  <c r="W30" i="10"/>
  <c r="V30" i="10"/>
  <c r="U30" i="10"/>
  <c r="S30" i="10"/>
  <c r="Q30" i="10"/>
  <c r="P30" i="10"/>
  <c r="Z29" i="10"/>
  <c r="Y29" i="10"/>
  <c r="X29" i="10"/>
  <c r="W29" i="10"/>
  <c r="V29" i="10"/>
  <c r="U29" i="10"/>
  <c r="S29" i="10"/>
  <c r="Q29" i="10"/>
  <c r="O29" i="10" s="1"/>
  <c r="P29" i="10"/>
  <c r="Z28" i="10"/>
  <c r="Y28" i="10"/>
  <c r="X28" i="10"/>
  <c r="W28" i="10"/>
  <c r="V28" i="10"/>
  <c r="U28" i="10"/>
  <c r="S28" i="10"/>
  <c r="Q28" i="10"/>
  <c r="T28" i="10" s="1"/>
  <c r="P28" i="10"/>
  <c r="Z27" i="10"/>
  <c r="Y27" i="10"/>
  <c r="X27" i="10"/>
  <c r="W27" i="10"/>
  <c r="V27" i="10"/>
  <c r="U27" i="10"/>
  <c r="S27" i="10"/>
  <c r="Q27" i="10"/>
  <c r="T27" i="10" s="1"/>
  <c r="P27" i="10"/>
  <c r="Z26" i="10"/>
  <c r="Y26" i="10"/>
  <c r="X26" i="10"/>
  <c r="W26" i="10"/>
  <c r="V26" i="10"/>
  <c r="U26" i="10"/>
  <c r="S26" i="10"/>
  <c r="Q26" i="10"/>
  <c r="T26" i="10" s="1"/>
  <c r="P26" i="10"/>
  <c r="Z25" i="10"/>
  <c r="Y25" i="10"/>
  <c r="X25" i="10"/>
  <c r="W25" i="10"/>
  <c r="V25" i="10"/>
  <c r="U25" i="10"/>
  <c r="S25" i="10"/>
  <c r="Q25" i="10"/>
  <c r="T25" i="10" s="1"/>
  <c r="P25" i="10"/>
  <c r="Z24" i="10"/>
  <c r="Y24" i="10"/>
  <c r="X24" i="10"/>
  <c r="W24" i="10"/>
  <c r="V24" i="10"/>
  <c r="U24" i="10"/>
  <c r="S24" i="10"/>
  <c r="Q24" i="10"/>
  <c r="T24" i="10" s="1"/>
  <c r="P24" i="10"/>
  <c r="Z23" i="10"/>
  <c r="Y23" i="10"/>
  <c r="X23" i="10"/>
  <c r="W23" i="10"/>
  <c r="V23" i="10"/>
  <c r="U23" i="10"/>
  <c r="S23" i="10"/>
  <c r="Q23" i="10"/>
  <c r="T23" i="10" s="1"/>
  <c r="P23" i="10"/>
  <c r="Z22" i="10"/>
  <c r="Y22" i="10"/>
  <c r="X22" i="10"/>
  <c r="W22" i="10"/>
  <c r="V22" i="10"/>
  <c r="U22" i="10"/>
  <c r="S22" i="10"/>
  <c r="Q22" i="10"/>
  <c r="O22" i="10" s="1"/>
  <c r="P22" i="10"/>
  <c r="Z21" i="10"/>
  <c r="Y21" i="10"/>
  <c r="X21" i="10"/>
  <c r="W21" i="10"/>
  <c r="V21" i="10"/>
  <c r="U21" i="10"/>
  <c r="S21" i="10"/>
  <c r="Q21" i="10"/>
  <c r="O21" i="10" s="1"/>
  <c r="P21" i="10"/>
  <c r="Z20" i="10"/>
  <c r="Y20" i="10"/>
  <c r="X20" i="10"/>
  <c r="W20" i="10"/>
  <c r="V20" i="10"/>
  <c r="U20" i="10"/>
  <c r="S20" i="10"/>
  <c r="Q20" i="10"/>
  <c r="P20" i="10"/>
  <c r="Z19" i="10"/>
  <c r="Y19" i="10"/>
  <c r="X19" i="10"/>
  <c r="W19" i="10"/>
  <c r="V19" i="10"/>
  <c r="U19" i="10"/>
  <c r="S19" i="10"/>
  <c r="Q19" i="10"/>
  <c r="T19" i="10" s="1"/>
  <c r="P19" i="10"/>
  <c r="Z18" i="10"/>
  <c r="Y18" i="10"/>
  <c r="X18" i="10"/>
  <c r="W18" i="10"/>
  <c r="V18" i="10"/>
  <c r="U18" i="10"/>
  <c r="S18" i="10"/>
  <c r="Q18" i="10"/>
  <c r="T18" i="10" s="1"/>
  <c r="P18" i="10"/>
  <c r="Z17" i="10"/>
  <c r="Y17" i="10"/>
  <c r="X17" i="10"/>
  <c r="W17" i="10"/>
  <c r="V17" i="10"/>
  <c r="U17" i="10"/>
  <c r="S17" i="10"/>
  <c r="Q17" i="10"/>
  <c r="O17" i="10" s="1"/>
  <c r="P17" i="10"/>
  <c r="Z16" i="10"/>
  <c r="Y16" i="10"/>
  <c r="X16" i="10"/>
  <c r="W16" i="10"/>
  <c r="V16" i="10"/>
  <c r="U16" i="10"/>
  <c r="S16" i="10"/>
  <c r="Q16" i="10"/>
  <c r="T16" i="10" s="1"/>
  <c r="P16" i="10"/>
  <c r="A16" i="10"/>
  <c r="Z15" i="10"/>
  <c r="Y15" i="10"/>
  <c r="X15" i="10"/>
  <c r="W15" i="10"/>
  <c r="V15" i="10"/>
  <c r="U15" i="10"/>
  <c r="S15" i="10"/>
  <c r="Q15" i="10"/>
  <c r="P15" i="10"/>
  <c r="A15" i="10"/>
  <c r="Z14" i="10"/>
  <c r="Y14" i="10"/>
  <c r="X14" i="10"/>
  <c r="W14" i="10"/>
  <c r="V14" i="10"/>
  <c r="U14" i="10"/>
  <c r="S14" i="10"/>
  <c r="Q14" i="10"/>
  <c r="P14" i="10"/>
  <c r="A14" i="10"/>
  <c r="Z13" i="10"/>
  <c r="Y13" i="10"/>
  <c r="X13" i="10"/>
  <c r="W13" i="10"/>
  <c r="V13" i="10"/>
  <c r="U13" i="10"/>
  <c r="S13" i="10"/>
  <c r="Q13" i="10"/>
  <c r="P13" i="10"/>
  <c r="Z12" i="10"/>
  <c r="Y12" i="10"/>
  <c r="X12" i="10"/>
  <c r="W12" i="10"/>
  <c r="V12" i="10"/>
  <c r="U12" i="10"/>
  <c r="S12" i="10"/>
  <c r="Q12" i="10"/>
  <c r="T12" i="10" s="1"/>
  <c r="P12" i="10"/>
  <c r="Z11" i="10"/>
  <c r="Y11" i="10"/>
  <c r="X11" i="10"/>
  <c r="W11" i="10"/>
  <c r="V11" i="10"/>
  <c r="U11" i="10"/>
  <c r="S11" i="10"/>
  <c r="Q11" i="10"/>
  <c r="O11" i="10" s="1"/>
  <c r="P11" i="10"/>
  <c r="Z10" i="10"/>
  <c r="Y10" i="10"/>
  <c r="R10" i="10" s="1"/>
  <c r="AB10" i="10" s="1"/>
  <c r="X10" i="10"/>
  <c r="W10" i="10"/>
  <c r="V10" i="10"/>
  <c r="U10" i="10"/>
  <c r="S10" i="10"/>
  <c r="Q10" i="10"/>
  <c r="BG10" i="10" s="1"/>
  <c r="P10" i="10"/>
  <c r="O10" i="10"/>
  <c r="AC10" i="10" s="1"/>
  <c r="Z9" i="10"/>
  <c r="Y9" i="10"/>
  <c r="X9" i="10"/>
  <c r="W9" i="10"/>
  <c r="V9" i="10"/>
  <c r="U9" i="10"/>
  <c r="S9" i="10"/>
  <c r="Q9" i="10"/>
  <c r="T9" i="10" s="1"/>
  <c r="P9" i="10"/>
  <c r="Z8" i="10"/>
  <c r="Y8" i="10"/>
  <c r="X8" i="10"/>
  <c r="W8" i="10"/>
  <c r="V8" i="10"/>
  <c r="U8" i="10"/>
  <c r="S8" i="10"/>
  <c r="Q8" i="10"/>
  <c r="T8" i="10" s="1"/>
  <c r="P8" i="10"/>
  <c r="Z7" i="10"/>
  <c r="Y7" i="10"/>
  <c r="X7" i="10"/>
  <c r="W7" i="10"/>
  <c r="V7" i="10"/>
  <c r="U7" i="10"/>
  <c r="S7" i="10"/>
  <c r="Q7" i="10"/>
  <c r="T7" i="10" s="1"/>
  <c r="P7" i="10"/>
  <c r="Z6" i="10"/>
  <c r="Y6" i="10"/>
  <c r="X6" i="10"/>
  <c r="W6" i="10"/>
  <c r="V6" i="10"/>
  <c r="U6" i="10"/>
  <c r="S6" i="10"/>
  <c r="Q6" i="10"/>
  <c r="O6" i="10" s="1"/>
  <c r="P6" i="10"/>
  <c r="AB5" i="10"/>
  <c r="Z5" i="10"/>
  <c r="Y5" i="10"/>
  <c r="X5" i="10"/>
  <c r="W5" i="10"/>
  <c r="V5" i="10"/>
  <c r="U5" i="10"/>
  <c r="S5" i="10"/>
  <c r="Q5" i="10"/>
  <c r="P5" i="10"/>
  <c r="AB4" i="10"/>
  <c r="Z4" i="10"/>
  <c r="Y4" i="10"/>
  <c r="X4" i="10"/>
  <c r="W4" i="10"/>
  <c r="V4" i="10"/>
  <c r="U4" i="10"/>
  <c r="S4" i="10"/>
  <c r="Q4" i="10"/>
  <c r="T4" i="10" s="1"/>
  <c r="P4" i="10"/>
  <c r="AB3" i="10"/>
  <c r="Z3" i="10"/>
  <c r="Y3" i="10"/>
  <c r="X3" i="10"/>
  <c r="W3" i="10"/>
  <c r="V3" i="10"/>
  <c r="U3" i="10"/>
  <c r="S3" i="10"/>
  <c r="Q3" i="10"/>
  <c r="O3" i="10" s="1"/>
  <c r="P3" i="10"/>
  <c r="AB2" i="10"/>
  <c r="Z2" i="10"/>
  <c r="Y2" i="10"/>
  <c r="X2" i="10"/>
  <c r="W2" i="10"/>
  <c r="V2" i="10"/>
  <c r="U2" i="10"/>
  <c r="S2" i="10"/>
  <c r="Q2" i="10"/>
  <c r="T2" i="10" s="1"/>
  <c r="P2" i="10"/>
  <c r="BB1" i="10"/>
  <c r="R69" i="10" l="1"/>
  <c r="AD294" i="10"/>
  <c r="AD190" i="10"/>
  <c r="AD191" i="10"/>
  <c r="AD204" i="10"/>
  <c r="O315" i="10"/>
  <c r="AB98" i="10"/>
  <c r="AC235" i="10"/>
  <c r="BG292" i="10"/>
  <c r="BG332" i="10"/>
  <c r="R62" i="10"/>
  <c r="O169" i="10"/>
  <c r="O235" i="10"/>
  <c r="AD235" i="10"/>
  <c r="AE235" i="10" s="1"/>
  <c r="O251" i="10"/>
  <c r="BG261" i="10"/>
  <c r="R4" i="10"/>
  <c r="O66" i="10"/>
  <c r="R66" i="10"/>
  <c r="O175" i="10"/>
  <c r="O261" i="10"/>
  <c r="O2" i="10"/>
  <c r="AB173" i="10"/>
  <c r="AB296" i="10"/>
  <c r="R6" i="10"/>
  <c r="AB6" i="10" s="1"/>
  <c r="O280" i="10"/>
  <c r="O293" i="10"/>
  <c r="AB327" i="10"/>
  <c r="R29" i="10"/>
  <c r="R31" i="10"/>
  <c r="O149" i="10"/>
  <c r="AB191" i="10"/>
  <c r="BG251" i="10"/>
  <c r="R55" i="10"/>
  <c r="AH55" i="10" s="1"/>
  <c r="R64" i="10"/>
  <c r="AC109" i="10"/>
  <c r="AC195" i="10"/>
  <c r="AB331" i="10"/>
  <c r="AB338" i="10"/>
  <c r="R68" i="10"/>
  <c r="BG195" i="10"/>
  <c r="BG256" i="10"/>
  <c r="O265" i="10"/>
  <c r="BG4" i="10"/>
  <c r="R50" i="10"/>
  <c r="R54" i="10"/>
  <c r="BG55" i="10"/>
  <c r="AC160" i="10"/>
  <c r="BG248" i="10"/>
  <c r="R2" i="10"/>
  <c r="R12" i="10"/>
  <c r="R17" i="10"/>
  <c r="R21" i="10"/>
  <c r="R25" i="10"/>
  <c r="AH25" i="10" s="1"/>
  <c r="R61" i="10"/>
  <c r="BG139" i="10"/>
  <c r="AD220" i="10"/>
  <c r="AC296" i="10"/>
  <c r="AB109" i="10"/>
  <c r="AT109" i="10" s="1"/>
  <c r="O139" i="10"/>
  <c r="AD152" i="10"/>
  <c r="AC240" i="10"/>
  <c r="O263" i="10"/>
  <c r="AD296" i="10"/>
  <c r="R58" i="10"/>
  <c r="O101" i="10"/>
  <c r="O152" i="10"/>
  <c r="BG152" i="10"/>
  <c r="R53" i="10"/>
  <c r="R56" i="10"/>
  <c r="R63" i="10"/>
  <c r="R65" i="10"/>
  <c r="R67" i="10"/>
  <c r="R71" i="10"/>
  <c r="BF71" i="10"/>
  <c r="BG73" i="10"/>
  <c r="O84" i="10"/>
  <c r="AD92" i="10"/>
  <c r="BG95" i="10"/>
  <c r="O128" i="10"/>
  <c r="O183" i="10"/>
  <c r="O269" i="10"/>
  <c r="BI269" i="10" s="1"/>
  <c r="BG25" i="10"/>
  <c r="R33" i="10"/>
  <c r="AH33" i="10" s="1"/>
  <c r="R60" i="10"/>
  <c r="AB76" i="10"/>
  <c r="AC76" i="10"/>
  <c r="BG92" i="10"/>
  <c r="AD131" i="10"/>
  <c r="AE131" i="10" s="1"/>
  <c r="AB153" i="10"/>
  <c r="AB156" i="10"/>
  <c r="O167" i="10"/>
  <c r="AC168" i="10"/>
  <c r="AC204" i="10"/>
  <c r="AE204" i="10" s="1"/>
  <c r="O207" i="10"/>
  <c r="AC212" i="10"/>
  <c r="AD215" i="10"/>
  <c r="AE215" i="10" s="1"/>
  <c r="AB223" i="10"/>
  <c r="BF223" i="10"/>
  <c r="AD256" i="10"/>
  <c r="AE256" i="10" s="1"/>
  <c r="AB283" i="10"/>
  <c r="O284" i="10"/>
  <c r="AB285" i="10"/>
  <c r="AD285" i="10"/>
  <c r="AD292" i="10"/>
  <c r="AE292" i="10" s="1"/>
  <c r="BG296" i="10"/>
  <c r="AD319" i="10"/>
  <c r="BF73" i="10"/>
  <c r="AB157" i="10"/>
  <c r="AD157" i="10"/>
  <c r="AB183" i="10"/>
  <c r="AB219" i="10"/>
  <c r="BE219" i="10" s="1"/>
  <c r="AC219" i="10"/>
  <c r="AB317" i="10"/>
  <c r="AC317" i="10"/>
  <c r="AE317" i="10" s="1"/>
  <c r="R40" i="10"/>
  <c r="R43" i="10"/>
  <c r="AH43" i="10" s="1"/>
  <c r="R47" i="10"/>
  <c r="R51" i="10"/>
  <c r="AB81" i="10"/>
  <c r="AT81" i="10" s="1"/>
  <c r="BF88" i="10"/>
  <c r="AC91" i="10"/>
  <c r="AD145" i="10"/>
  <c r="O155" i="10"/>
  <c r="BI155" i="10" s="1"/>
  <c r="AC167" i="10"/>
  <c r="AD207" i="10"/>
  <c r="AB210" i="10"/>
  <c r="BF222" i="10"/>
  <c r="O245" i="10"/>
  <c r="O282" i="10"/>
  <c r="AD284" i="10"/>
  <c r="AC286" i="10"/>
  <c r="AB343" i="10"/>
  <c r="BB343" i="10" s="1"/>
  <c r="BG8" i="10"/>
  <c r="R74" i="10"/>
  <c r="AB74" i="10" s="1"/>
  <c r="AB135" i="10"/>
  <c r="AW135" i="10" s="1"/>
  <c r="AC135" i="10"/>
  <c r="AB277" i="10"/>
  <c r="R23" i="10"/>
  <c r="AL23" i="10" s="1"/>
  <c r="O63" i="10"/>
  <c r="AC63" i="10" s="1"/>
  <c r="O65" i="10"/>
  <c r="AC65" i="10" s="1"/>
  <c r="O67" i="10"/>
  <c r="BG88" i="10"/>
  <c r="O92" i="10"/>
  <c r="O143" i="10"/>
  <c r="BI143" i="10" s="1"/>
  <c r="AD167" i="10"/>
  <c r="BG222" i="10"/>
  <c r="R57" i="10"/>
  <c r="BI57" i="10" s="1"/>
  <c r="BA57" i="10" s="1"/>
  <c r="R72" i="10"/>
  <c r="AH72" i="10" s="1"/>
  <c r="AH114" i="10"/>
  <c r="BG114" i="10"/>
  <c r="AH125" i="10"/>
  <c r="AC125" i="10"/>
  <c r="AB154" i="10"/>
  <c r="AD300" i="10"/>
  <c r="AH307" i="10"/>
  <c r="R8" i="10"/>
  <c r="R44" i="10"/>
  <c r="R48" i="10"/>
  <c r="AH48" i="10" s="1"/>
  <c r="R70" i="10"/>
  <c r="R73" i="10"/>
  <c r="AB73" i="10" s="1"/>
  <c r="R75" i="10"/>
  <c r="O76" i="10"/>
  <c r="AB105" i="10"/>
  <c r="AC105" i="10"/>
  <c r="AB112" i="10"/>
  <c r="AB115" i="10"/>
  <c r="BG119" i="10"/>
  <c r="O140" i="10"/>
  <c r="AD165" i="10"/>
  <c r="AD194" i="10"/>
  <c r="AC203" i="10"/>
  <c r="AB205" i="10"/>
  <c r="O215" i="10"/>
  <c r="O256" i="10"/>
  <c r="O306" i="10"/>
  <c r="AD308" i="10"/>
  <c r="AB315" i="10"/>
  <c r="BG315" i="10"/>
  <c r="AB329" i="10"/>
  <c r="O15" i="10"/>
  <c r="AC15" i="10" s="1"/>
  <c r="AD15" i="10" s="1"/>
  <c r="AE15" i="10" s="1"/>
  <c r="T15" i="10"/>
  <c r="BG23" i="10"/>
  <c r="O30" i="10"/>
  <c r="AC30" i="10" s="1"/>
  <c r="AD30" i="10" s="1"/>
  <c r="AE30" i="10" s="1"/>
  <c r="T30" i="10"/>
  <c r="O5" i="10"/>
  <c r="T5" i="10"/>
  <c r="CB5" i="10" s="1"/>
  <c r="AB12" i="10"/>
  <c r="AB31" i="10"/>
  <c r="T31" i="10"/>
  <c r="BG31" i="10"/>
  <c r="BF40" i="10"/>
  <c r="T40" i="10"/>
  <c r="AC42" i="10"/>
  <c r="AD42" i="10" s="1"/>
  <c r="AE42" i="10" s="1"/>
  <c r="BG47" i="10"/>
  <c r="BF63" i="10"/>
  <c r="T63" i="10"/>
  <c r="T73" i="10"/>
  <c r="BG97" i="10"/>
  <c r="AD100" i="10"/>
  <c r="BF108" i="10"/>
  <c r="O111" i="10"/>
  <c r="T111" i="10"/>
  <c r="BI111" i="10" s="1"/>
  <c r="O114" i="10"/>
  <c r="BF122" i="10"/>
  <c r="BF155" i="10"/>
  <c r="AB158" i="10"/>
  <c r="BG158" i="10"/>
  <c r="O161" i="10"/>
  <c r="BI161" i="10" s="1"/>
  <c r="BF167" i="10"/>
  <c r="T167" i="10"/>
  <c r="BI167" i="10" s="1"/>
  <c r="BA167" i="10" s="1"/>
  <c r="AH172" i="10"/>
  <c r="AB174" i="10"/>
  <c r="AD181" i="10"/>
  <c r="T181" i="10"/>
  <c r="O190" i="10"/>
  <c r="T190" i="10"/>
  <c r="BF204" i="10"/>
  <c r="T204" i="10"/>
  <c r="BF207" i="10"/>
  <c r="T207" i="10"/>
  <c r="BI207" i="10" s="1"/>
  <c r="BA207" i="10" s="1"/>
  <c r="AB220" i="10"/>
  <c r="AB222" i="10"/>
  <c r="BB222" i="10" s="1"/>
  <c r="AD222" i="10"/>
  <c r="O224" i="10"/>
  <c r="T224" i="10"/>
  <c r="AC233" i="10"/>
  <c r="BF235" i="10"/>
  <c r="T235" i="10"/>
  <c r="AD248" i="10"/>
  <c r="BF261" i="10"/>
  <c r="T261" i="10"/>
  <c r="BI261" i="10" s="1"/>
  <c r="BG262" i="10"/>
  <c r="BG264" i="10"/>
  <c r="AB278" i="10"/>
  <c r="AK278" i="10" s="1"/>
  <c r="AC278" i="10"/>
  <c r="BF284" i="10"/>
  <c r="T284" i="10"/>
  <c r="AC304" i="10"/>
  <c r="T304" i="10"/>
  <c r="AC307" i="10"/>
  <c r="BG317" i="10"/>
  <c r="T317" i="10"/>
  <c r="AB328" i="10"/>
  <c r="O329" i="10"/>
  <c r="AC331" i="10"/>
  <c r="BF20" i="10"/>
  <c r="T20" i="10"/>
  <c r="T36" i="10"/>
  <c r="BG36" i="10"/>
  <c r="BF45" i="10"/>
  <c r="T45" i="10"/>
  <c r="BF55" i="10"/>
  <c r="T55" i="10"/>
  <c r="BF61" i="10"/>
  <c r="T61" i="10"/>
  <c r="O68" i="10"/>
  <c r="O77" i="10"/>
  <c r="O83" i="10"/>
  <c r="T83" i="10"/>
  <c r="AE92" i="10"/>
  <c r="BF103" i="10"/>
  <c r="T103" i="10"/>
  <c r="O123" i="10"/>
  <c r="BF142" i="10"/>
  <c r="T142" i="10"/>
  <c r="AD151" i="10"/>
  <c r="T151" i="10"/>
  <c r="AC184" i="10"/>
  <c r="T184" i="10"/>
  <c r="BF227" i="10"/>
  <c r="T227" i="10"/>
  <c r="BF230" i="10"/>
  <c r="T230" i="10"/>
  <c r="BF238" i="10"/>
  <c r="T238" i="10"/>
  <c r="AD246" i="10"/>
  <c r="T246" i="10"/>
  <c r="AD259" i="10"/>
  <c r="AE259" i="10" s="1"/>
  <c r="T259" i="10"/>
  <c r="BF277" i="10"/>
  <c r="T277" i="10"/>
  <c r="O289" i="10"/>
  <c r="T289" i="10"/>
  <c r="AD301" i="10"/>
  <c r="T301" i="10"/>
  <c r="BF333" i="10"/>
  <c r="T333" i="10"/>
  <c r="O343" i="10"/>
  <c r="T343" i="10"/>
  <c r="AX343" i="10" s="1"/>
  <c r="BF9" i="10"/>
  <c r="BG11" i="10"/>
  <c r="T11" i="10"/>
  <c r="AB21" i="10"/>
  <c r="BG3" i="10"/>
  <c r="T3" i="10"/>
  <c r="AB25" i="10"/>
  <c r="BG42" i="10"/>
  <c r="BF52" i="10"/>
  <c r="T52" i="10"/>
  <c r="O58" i="10"/>
  <c r="AC58" i="10" s="1"/>
  <c r="T58" i="10"/>
  <c r="BG80" i="10"/>
  <c r="AC112" i="10"/>
  <c r="T112" i="10"/>
  <c r="BG148" i="10"/>
  <c r="BF154" i="10"/>
  <c r="T154" i="10"/>
  <c r="AV154" i="10" s="1"/>
  <c r="BF159" i="10"/>
  <c r="T159" i="10"/>
  <c r="AC172" i="10"/>
  <c r="AH184" i="10"/>
  <c r="AD184" i="10"/>
  <c r="AE184" i="10" s="1"/>
  <c r="BF187" i="10"/>
  <c r="O206" i="10"/>
  <c r="T206" i="10"/>
  <c r="BG211" i="10"/>
  <c r="T211" i="10"/>
  <c r="AC225" i="10"/>
  <c r="T225" i="10"/>
  <c r="AC227" i="10"/>
  <c r="BG234" i="10"/>
  <c r="T234" i="10"/>
  <c r="AW234" i="10" s="1"/>
  <c r="BG241" i="10"/>
  <c r="T241" i="10"/>
  <c r="AB243" i="10"/>
  <c r="AQ243" i="10" s="1"/>
  <c r="AC243" i="10"/>
  <c r="AB259" i="10"/>
  <c r="AC259" i="10"/>
  <c r="AB267" i="10"/>
  <c r="O270" i="10"/>
  <c r="T270" i="10"/>
  <c r="BF274" i="10"/>
  <c r="T274" i="10"/>
  <c r="AD286" i="10"/>
  <c r="T286" i="10"/>
  <c r="BI286" i="10" s="1"/>
  <c r="BA286" i="10" s="1"/>
  <c r="AC294" i="10"/>
  <c r="AE294" i="10" s="1"/>
  <c r="T294" i="10"/>
  <c r="BI294" i="10" s="1"/>
  <c r="BA294" i="10" s="1"/>
  <c r="O299" i="10"/>
  <c r="T299" i="10"/>
  <c r="AC309" i="10"/>
  <c r="AC321" i="10"/>
  <c r="BG324" i="10"/>
  <c r="BF327" i="10"/>
  <c r="T327" i="10"/>
  <c r="AM327" i="10" s="1"/>
  <c r="AD333" i="10"/>
  <c r="AD343" i="10"/>
  <c r="O13" i="10"/>
  <c r="AC13" i="10" s="1"/>
  <c r="AD13" i="10" s="1"/>
  <c r="AE13" i="10" s="1"/>
  <c r="T13" i="10"/>
  <c r="BF21" i="10"/>
  <c r="T21" i="10"/>
  <c r="BG21" i="10"/>
  <c r="BF29" i="10"/>
  <c r="T29" i="10"/>
  <c r="BG37" i="10"/>
  <c r="T37" i="10"/>
  <c r="AC104" i="10"/>
  <c r="T104" i="10"/>
  <c r="O120" i="10"/>
  <c r="T120" i="10"/>
  <c r="BF184" i="10"/>
  <c r="AD199" i="10"/>
  <c r="T199" i="10"/>
  <c r="BF202" i="10"/>
  <c r="T202" i="10"/>
  <c r="BG221" i="10"/>
  <c r="T221" i="10"/>
  <c r="AT221" i="10" s="1"/>
  <c r="BG227" i="10"/>
  <c r="BG259" i="10"/>
  <c r="BF268" i="10"/>
  <c r="T268" i="10"/>
  <c r="BC268" i="10" s="1"/>
  <c r="AC277" i="10"/>
  <c r="O302" i="10"/>
  <c r="T302" i="10"/>
  <c r="BF309" i="10"/>
  <c r="AC319" i="10"/>
  <c r="BF332" i="10"/>
  <c r="T332" i="10"/>
  <c r="BF17" i="10"/>
  <c r="T17" i="10"/>
  <c r="BG17" i="10"/>
  <c r="AB8" i="10"/>
  <c r="BF10" i="10"/>
  <c r="T10" i="10"/>
  <c r="O18" i="10"/>
  <c r="AC18" i="10" s="1"/>
  <c r="AD18" i="10" s="1"/>
  <c r="AE18" i="10" s="1"/>
  <c r="O26" i="10"/>
  <c r="AC29" i="10"/>
  <c r="AD29" i="10" s="1"/>
  <c r="AE29" i="10" s="1"/>
  <c r="O41" i="10"/>
  <c r="T41" i="10"/>
  <c r="O47" i="10"/>
  <c r="AC47" i="10" s="1"/>
  <c r="O49" i="10"/>
  <c r="T49" i="10"/>
  <c r="O59" i="10"/>
  <c r="T59" i="10"/>
  <c r="BF68" i="10"/>
  <c r="BF84" i="10"/>
  <c r="T84" i="10"/>
  <c r="BI84" i="10" s="1"/>
  <c r="AB86" i="10"/>
  <c r="BF86" i="10"/>
  <c r="AD91" i="10"/>
  <c r="O99" i="10"/>
  <c r="T99" i="10"/>
  <c r="AD107" i="10"/>
  <c r="AD109" i="10"/>
  <c r="AE109" i="10" s="1"/>
  <c r="BF112" i="10"/>
  <c r="O124" i="10"/>
  <c r="O130" i="10"/>
  <c r="T130" i="10"/>
  <c r="BG135" i="10"/>
  <c r="O147" i="10"/>
  <c r="BG154" i="10"/>
  <c r="BF160" i="10"/>
  <c r="T160" i="10"/>
  <c r="AD162" i="10"/>
  <c r="T162" i="10"/>
  <c r="AC175" i="10"/>
  <c r="BF179" i="10"/>
  <c r="T179" i="10"/>
  <c r="AC199" i="10"/>
  <c r="AE199" i="10" s="1"/>
  <c r="AD206" i="10"/>
  <c r="AE206" i="10" s="1"/>
  <c r="AC214" i="10"/>
  <c r="BF216" i="10"/>
  <c r="T216" i="10"/>
  <c r="AH219" i="10"/>
  <c r="AC221" i="10"/>
  <c r="O226" i="10"/>
  <c r="AD234" i="10"/>
  <c r="AE234" i="10" s="1"/>
  <c r="AD241" i="10"/>
  <c r="AE241" i="10" s="1"/>
  <c r="BF252" i="10"/>
  <c r="AD257" i="10"/>
  <c r="T257" i="10"/>
  <c r="AC263" i="10"/>
  <c r="BF265" i="10"/>
  <c r="AC268" i="10"/>
  <c r="BG275" i="10"/>
  <c r="T275" i="10"/>
  <c r="AD277" i="10"/>
  <c r="AE277" i="10" s="1"/>
  <c r="AB290" i="10"/>
  <c r="O295" i="10"/>
  <c r="BG308" i="10"/>
  <c r="T308" i="10"/>
  <c r="BI308" i="10" s="1"/>
  <c r="AY308" i="10" s="1"/>
  <c r="BG309" i="10"/>
  <c r="O313" i="10"/>
  <c r="AH317" i="10"/>
  <c r="O322" i="10"/>
  <c r="T322" i="10"/>
  <c r="BF325" i="10"/>
  <c r="T325" i="10"/>
  <c r="AD327" i="10"/>
  <c r="BF330" i="10"/>
  <c r="T330" i="10"/>
  <c r="AC332" i="10"/>
  <c r="BF337" i="10"/>
  <c r="O14" i="10"/>
  <c r="T14" i="10"/>
  <c r="AB23" i="10"/>
  <c r="BG29" i="10"/>
  <c r="O44" i="10"/>
  <c r="BI44" i="10" s="1"/>
  <c r="BG62" i="10"/>
  <c r="T74" i="10"/>
  <c r="BF76" i="10"/>
  <c r="T76" i="10"/>
  <c r="AC84" i="10"/>
  <c r="BG107" i="10"/>
  <c r="BG112" i="10"/>
  <c r="AD130" i="10"/>
  <c r="BF168" i="10"/>
  <c r="T168" i="10"/>
  <c r="O170" i="10"/>
  <c r="T170" i="10"/>
  <c r="BF183" i="10"/>
  <c r="T183" i="10"/>
  <c r="AP183" i="10" s="1"/>
  <c r="BF185" i="10"/>
  <c r="T185" i="10"/>
  <c r="BG191" i="10"/>
  <c r="T191" i="10"/>
  <c r="AS191" i="10" s="1"/>
  <c r="BF205" i="10"/>
  <c r="T205" i="10"/>
  <c r="BF212" i="10"/>
  <c r="T212" i="10"/>
  <c r="AD221" i="10"/>
  <c r="AC223" i="10"/>
  <c r="T223" i="10"/>
  <c r="BI223" i="10" s="1"/>
  <c r="O228" i="10"/>
  <c r="T228" i="10"/>
  <c r="BF234" i="10"/>
  <c r="O236" i="10"/>
  <c r="T236" i="10"/>
  <c r="BG240" i="10"/>
  <c r="T240" i="10"/>
  <c r="BF241" i="10"/>
  <c r="AB255" i="10"/>
  <c r="AJ255" i="10" s="1"/>
  <c r="BF263" i="10"/>
  <c r="BG268" i="10"/>
  <c r="BG277" i="10"/>
  <c r="BF285" i="10"/>
  <c r="T285" i="10"/>
  <c r="AT285" i="10" s="1"/>
  <c r="BF291" i="10"/>
  <c r="T291" i="10"/>
  <c r="AT291" i="10" s="1"/>
  <c r="BF293" i="10"/>
  <c r="T293" i="10"/>
  <c r="BI293" i="10" s="1"/>
  <c r="AY293" i="10" s="1"/>
  <c r="AD297" i="10"/>
  <c r="T297" i="10"/>
  <c r="AM297" i="10" s="1"/>
  <c r="AB300" i="10"/>
  <c r="AI300" i="10" s="1"/>
  <c r="AC300" i="10"/>
  <c r="AC308" i="10"/>
  <c r="O310" i="10"/>
  <c r="AB322" i="10"/>
  <c r="AB325" i="10"/>
  <c r="BG327" i="10"/>
  <c r="AD332" i="10"/>
  <c r="AE332" i="10" s="1"/>
  <c r="BF8" i="10"/>
  <c r="BF18" i="10"/>
  <c r="BG22" i="10"/>
  <c r="T22" i="10"/>
  <c r="BF26" i="10"/>
  <c r="BF35" i="10"/>
  <c r="BG39" i="10"/>
  <c r="BF54" i="10"/>
  <c r="T54" i="10"/>
  <c r="BF69" i="10"/>
  <c r="T69" i="10"/>
  <c r="BF87" i="10"/>
  <c r="T87" i="10"/>
  <c r="BG90" i="10"/>
  <c r="T90" i="10"/>
  <c r="BF97" i="10"/>
  <c r="T97" i="10"/>
  <c r="BF100" i="10"/>
  <c r="T100" i="10"/>
  <c r="O110" i="10"/>
  <c r="T110" i="10"/>
  <c r="BG136" i="10"/>
  <c r="T136" i="10"/>
  <c r="BF141" i="10"/>
  <c r="T141" i="10"/>
  <c r="AD197" i="10"/>
  <c r="T197" i="10"/>
  <c r="BF248" i="10"/>
  <c r="T248" i="10"/>
  <c r="AC253" i="10"/>
  <c r="T253" i="10"/>
  <c r="BF262" i="10"/>
  <c r="T262" i="10"/>
  <c r="BI262" i="10" s="1"/>
  <c r="AY262" i="10" s="1"/>
  <c r="BG266" i="10"/>
  <c r="T266" i="10"/>
  <c r="BF276" i="10"/>
  <c r="T276" i="10"/>
  <c r="BG303" i="10"/>
  <c r="T303" i="10"/>
  <c r="BG318" i="10"/>
  <c r="T318" i="10"/>
  <c r="AB341" i="10"/>
  <c r="BC341" i="10" s="1"/>
  <c r="BF6" i="10"/>
  <c r="T6" i="10"/>
  <c r="AN6" i="10" s="1"/>
  <c r="BG6" i="10"/>
  <c r="O36" i="10"/>
  <c r="AC36" i="10" s="1"/>
  <c r="AD36" i="10" s="1"/>
  <c r="AE36" i="10" s="1"/>
  <c r="BF42" i="10"/>
  <c r="T42" i="10"/>
  <c r="BI42" i="10" s="1"/>
  <c r="BA42" i="10" s="1"/>
  <c r="BF60" i="10"/>
  <c r="T60" i="10"/>
  <c r="BI60" i="10" s="1"/>
  <c r="BF74" i="10"/>
  <c r="AD76" i="10"/>
  <c r="AE76" i="10" s="1"/>
  <c r="BF79" i="10"/>
  <c r="T79" i="10"/>
  <c r="O85" i="10"/>
  <c r="AB90" i="10"/>
  <c r="AJ90" i="10" s="1"/>
  <c r="AC90" i="10"/>
  <c r="AE90" i="10" s="1"/>
  <c r="BF92" i="10"/>
  <c r="T92" i="10"/>
  <c r="AB97" i="10"/>
  <c r="BB97" i="10" s="1"/>
  <c r="AC97" i="10"/>
  <c r="AC100" i="10"/>
  <c r="AB102" i="10"/>
  <c r="BF102" i="10"/>
  <c r="BF105" i="10"/>
  <c r="BG115" i="10"/>
  <c r="BF119" i="10"/>
  <c r="T119" i="10"/>
  <c r="BF131" i="10"/>
  <c r="T131" i="10"/>
  <c r="AC136" i="10"/>
  <c r="BF139" i="10"/>
  <c r="T139" i="10"/>
  <c r="BI139" i="10" s="1"/>
  <c r="BG141" i="10"/>
  <c r="BF147" i="10"/>
  <c r="AH150" i="10"/>
  <c r="T150" i="10"/>
  <c r="BG160" i="10"/>
  <c r="AD168" i="10"/>
  <c r="AE168" i="10" s="1"/>
  <c r="BF171" i="10"/>
  <c r="T171" i="10"/>
  <c r="BG174" i="10"/>
  <c r="T174" i="10"/>
  <c r="BG183" i="10"/>
  <c r="BF200" i="10"/>
  <c r="T200" i="10"/>
  <c r="AD205" i="10"/>
  <c r="AB209" i="10"/>
  <c r="AI209" i="10" s="1"/>
  <c r="BG212" i="10"/>
  <c r="BF215" i="10"/>
  <c r="T215" i="10"/>
  <c r="BI215" i="10" s="1"/>
  <c r="BF220" i="10"/>
  <c r="T220" i="10"/>
  <c r="O227" i="10"/>
  <c r="BF229" i="10"/>
  <c r="T229" i="10"/>
  <c r="BI229" i="10" s="1"/>
  <c r="AD240" i="10"/>
  <c r="AC248" i="10"/>
  <c r="AE248" i="10" s="1"/>
  <c r="AD253" i="10"/>
  <c r="BF256" i="10"/>
  <c r="T256" i="10"/>
  <c r="BG258" i="10"/>
  <c r="AD262" i="10"/>
  <c r="AB266" i="10"/>
  <c r="BC266" i="10" s="1"/>
  <c r="BF266" i="10"/>
  <c r="O277" i="10"/>
  <c r="BI277" i="10" s="1"/>
  <c r="AY277" i="10" s="1"/>
  <c r="O281" i="10"/>
  <c r="T281" i="10"/>
  <c r="AS281" i="10" s="1"/>
  <c r="BG285" i="10"/>
  <c r="BF292" i="10"/>
  <c r="T292" i="10"/>
  <c r="O301" i="10"/>
  <c r="BI301" i="10" s="1"/>
  <c r="BF308" i="10"/>
  <c r="AB318" i="10"/>
  <c r="AZ318" i="10" s="1"/>
  <c r="AC318" i="10"/>
  <c r="AB320" i="10"/>
  <c r="AZ320" i="10" s="1"/>
  <c r="O321" i="10"/>
  <c r="O324" i="10"/>
  <c r="AC326" i="10"/>
  <c r="O333" i="10"/>
  <c r="BI333" i="10" s="1"/>
  <c r="BA333" i="10" s="1"/>
  <c r="O336" i="10"/>
  <c r="BF338" i="10"/>
  <c r="BF345" i="10"/>
  <c r="T345" i="10"/>
  <c r="BI345" i="10" s="1"/>
  <c r="AB79" i="10"/>
  <c r="AC57" i="10"/>
  <c r="AD57" i="10" s="1"/>
  <c r="AD117" i="10"/>
  <c r="BG117" i="10"/>
  <c r="BF123" i="10"/>
  <c r="AD123" i="10"/>
  <c r="BG123" i="10"/>
  <c r="BG166" i="10"/>
  <c r="AD166" i="10"/>
  <c r="AC166" i="10"/>
  <c r="BF232" i="10"/>
  <c r="BG232" i="10"/>
  <c r="AD232" i="10"/>
  <c r="AC232" i="10"/>
  <c r="O232" i="10"/>
  <c r="BI232" i="10" s="1"/>
  <c r="BF298" i="10"/>
  <c r="AD298" i="10"/>
  <c r="AC298" i="10"/>
  <c r="BG298" i="10"/>
  <c r="O298" i="10"/>
  <c r="BI298" i="10" s="1"/>
  <c r="AY298" i="10" s="1"/>
  <c r="BG19" i="10"/>
  <c r="BF25" i="10"/>
  <c r="O25" i="10"/>
  <c r="AC25" i="10" s="1"/>
  <c r="AD25" i="10" s="1"/>
  <c r="AE25" i="10" s="1"/>
  <c r="BF47" i="10"/>
  <c r="AB54" i="10"/>
  <c r="BF64" i="10"/>
  <c r="BG64" i="10"/>
  <c r="AB70" i="10"/>
  <c r="AP70" i="10" s="1"/>
  <c r="AD99" i="10"/>
  <c r="BG106" i="10"/>
  <c r="AD106" i="10"/>
  <c r="O106" i="10"/>
  <c r="BI106" i="10" s="1"/>
  <c r="BF106" i="10"/>
  <c r="AC106" i="10"/>
  <c r="BF115" i="10"/>
  <c r="AC115" i="10"/>
  <c r="AD115" i="10"/>
  <c r="O115" i="10"/>
  <c r="AB117" i="10"/>
  <c r="AU117" i="10" s="1"/>
  <c r="AC117" i="10"/>
  <c r="AC123" i="10"/>
  <c r="BG126" i="10"/>
  <c r="BF126" i="10"/>
  <c r="AH157" i="10"/>
  <c r="AC157" i="10"/>
  <c r="BF157" i="10"/>
  <c r="O157" i="10"/>
  <c r="AB166" i="10"/>
  <c r="BC166" i="10" s="1"/>
  <c r="AB176" i="10"/>
  <c r="BG187" i="10"/>
  <c r="AC187" i="10"/>
  <c r="O187" i="10"/>
  <c r="BI187" i="10" s="1"/>
  <c r="AY187" i="10" s="1"/>
  <c r="BG203" i="10"/>
  <c r="AB232" i="10"/>
  <c r="AB291" i="10"/>
  <c r="BG144" i="10"/>
  <c r="AC144" i="10"/>
  <c r="AD144" i="10"/>
  <c r="BF340" i="10"/>
  <c r="BG340" i="10"/>
  <c r="O340" i="10"/>
  <c r="AD340" i="10"/>
  <c r="AC340" i="10"/>
  <c r="AD137" i="10"/>
  <c r="BG137" i="10"/>
  <c r="AH146" i="10"/>
  <c r="BG12" i="10"/>
  <c r="BF70" i="10"/>
  <c r="BG70" i="10"/>
  <c r="AC99" i="10"/>
  <c r="BF217" i="10"/>
  <c r="O217" i="10"/>
  <c r="BI217" i="10" s="1"/>
  <c r="AY217" i="10" s="1"/>
  <c r="AH117" i="10"/>
  <c r="BG129" i="10"/>
  <c r="AD129" i="10"/>
  <c r="AC176" i="10"/>
  <c r="AH192" i="10"/>
  <c r="BG342" i="10"/>
  <c r="AD342" i="10"/>
  <c r="AC342" i="10"/>
  <c r="O342" i="10"/>
  <c r="BI342" i="10" s="1"/>
  <c r="AC121" i="10"/>
  <c r="BG121" i="10"/>
  <c r="AB48" i="10"/>
  <c r="BF50" i="10"/>
  <c r="BG50" i="10"/>
  <c r="BF89" i="10"/>
  <c r="AD89" i="10"/>
  <c r="O89" i="10"/>
  <c r="BG89" i="10"/>
  <c r="AC89" i="10"/>
  <c r="AB340" i="10"/>
  <c r="AT340" i="10" s="1"/>
  <c r="AH103" i="10"/>
  <c r="AD121" i="10"/>
  <c r="AC137" i="10"/>
  <c r="AB142" i="10"/>
  <c r="BF149" i="10"/>
  <c r="AC149" i="10"/>
  <c r="BG149" i="10"/>
  <c r="BF180" i="10"/>
  <c r="AD180" i="10"/>
  <c r="AC180" i="10"/>
  <c r="BG313" i="10"/>
  <c r="AH313" i="10"/>
  <c r="AD313" i="10"/>
  <c r="BG30" i="10"/>
  <c r="BF56" i="10"/>
  <c r="AB56" i="10"/>
  <c r="BG78" i="10"/>
  <c r="O78" i="10"/>
  <c r="AC83" i="10"/>
  <c r="AD83" i="10"/>
  <c r="BF107" i="10"/>
  <c r="O107" i="10"/>
  <c r="BI107" i="10" s="1"/>
  <c r="BA107" i="10" s="1"/>
  <c r="BF127" i="10"/>
  <c r="AC127" i="10"/>
  <c r="O127" i="10"/>
  <c r="BI127" i="10" s="1"/>
  <c r="AY127" i="10" s="1"/>
  <c r="AB129" i="10"/>
  <c r="AC129" i="10"/>
  <c r="AH134" i="10"/>
  <c r="BG134" i="10"/>
  <c r="AD134" i="10"/>
  <c r="AB150" i="10"/>
  <c r="AB159" i="10"/>
  <c r="AZ159" i="10" s="1"/>
  <c r="AB170" i="10"/>
  <c r="BF170" i="10"/>
  <c r="AB180" i="10"/>
  <c r="AC192" i="10"/>
  <c r="AB246" i="10"/>
  <c r="AD271" i="10"/>
  <c r="AC271" i="10"/>
  <c r="O271" i="10"/>
  <c r="BI271" i="10" s="1"/>
  <c r="BA271" i="10" s="1"/>
  <c r="AB342" i="10"/>
  <c r="AB78" i="10"/>
  <c r="AL78" i="10" s="1"/>
  <c r="BF78" i="10"/>
  <c r="AC96" i="10"/>
  <c r="BG96" i="10"/>
  <c r="AB107" i="10"/>
  <c r="BG111" i="10"/>
  <c r="O144" i="10"/>
  <c r="BI144" i="10" s="1"/>
  <c r="BA144" i="10" s="1"/>
  <c r="BF148" i="10"/>
  <c r="O148" i="10"/>
  <c r="BG155" i="10"/>
  <c r="AD155" i="10"/>
  <c r="AN157" i="10"/>
  <c r="BG157" i="10"/>
  <c r="AD161" i="10"/>
  <c r="AC161" i="10"/>
  <c r="AE161" i="10" s="1"/>
  <c r="BF173" i="10"/>
  <c r="AC173" i="10"/>
  <c r="AE173" i="10" s="1"/>
  <c r="AD173" i="10"/>
  <c r="BG173" i="10"/>
  <c r="BF198" i="10"/>
  <c r="AD198" i="10"/>
  <c r="O198" i="10"/>
  <c r="AC198" i="10"/>
  <c r="BG237" i="10"/>
  <c r="BF237" i="10"/>
  <c r="AD237" i="10"/>
  <c r="BG46" i="10"/>
  <c r="BF48" i="10"/>
  <c r="AD79" i="10"/>
  <c r="AB99" i="10"/>
  <c r="AH132" i="10"/>
  <c r="O132" i="10"/>
  <c r="AB144" i="10"/>
  <c r="BG48" i="10"/>
  <c r="BF176" i="10"/>
  <c r="AD176" i="10"/>
  <c r="BG176" i="10"/>
  <c r="O176" i="10"/>
  <c r="BI176" i="10" s="1"/>
  <c r="AY176" i="10" s="1"/>
  <c r="BF33" i="10"/>
  <c r="O33" i="10"/>
  <c r="AH51" i="10"/>
  <c r="BG246" i="10"/>
  <c r="BF246" i="10"/>
  <c r="AH246" i="10"/>
  <c r="O246" i="10"/>
  <c r="AB33" i="10"/>
  <c r="AC49" i="10"/>
  <c r="AD49" i="10" s="1"/>
  <c r="BF58" i="10"/>
  <c r="BG58" i="10"/>
  <c r="BF39" i="10"/>
  <c r="O39" i="10"/>
  <c r="BI39" i="10" s="1"/>
  <c r="AB45" i="10"/>
  <c r="BF66" i="10"/>
  <c r="BG66" i="10"/>
  <c r="BF2" i="10"/>
  <c r="BG2" i="10"/>
  <c r="AC11" i="10"/>
  <c r="AD11" i="10" s="1"/>
  <c r="AE11" i="10" s="1"/>
  <c r="BG33" i="10"/>
  <c r="AB39" i="10"/>
  <c r="AS39" i="10" s="1"/>
  <c r="O50" i="10"/>
  <c r="BG56" i="10"/>
  <c r="BF81" i="10"/>
  <c r="AC81" i="10"/>
  <c r="O81" i="10"/>
  <c r="BG81" i="10"/>
  <c r="AD81" i="10"/>
  <c r="BG105" i="10"/>
  <c r="AD105" i="10"/>
  <c r="AC107" i="10"/>
  <c r="BG127" i="10"/>
  <c r="BF135" i="10"/>
  <c r="O135" i="10"/>
  <c r="BI135" i="10" s="1"/>
  <c r="AE167" i="10"/>
  <c r="AC237" i="10"/>
  <c r="BF244" i="10"/>
  <c r="AD244" i="10"/>
  <c r="O244" i="10"/>
  <c r="BI244" i="10" s="1"/>
  <c r="AY244" i="10" s="1"/>
  <c r="AC244" i="10"/>
  <c r="O272" i="10"/>
  <c r="AD272" i="10"/>
  <c r="BF320" i="10"/>
  <c r="AD320" i="10"/>
  <c r="AC320" i="10"/>
  <c r="AE320" i="10" s="1"/>
  <c r="O320" i="10"/>
  <c r="BF247" i="10"/>
  <c r="AH247" i="10"/>
  <c r="O247" i="10"/>
  <c r="AC247" i="10"/>
  <c r="AB275" i="10"/>
  <c r="AZ275" i="10" s="1"/>
  <c r="BG334" i="10"/>
  <c r="AD334" i="10"/>
  <c r="AC334" i="10"/>
  <c r="O334" i="10"/>
  <c r="BG40" i="10"/>
  <c r="AH60" i="10"/>
  <c r="AB64" i="10"/>
  <c r="AB83" i="10"/>
  <c r="BG98" i="10"/>
  <c r="AC98" i="10"/>
  <c r="AB134" i="10"/>
  <c r="AH140" i="10"/>
  <c r="BF143" i="10"/>
  <c r="AC143" i="10"/>
  <c r="BG147" i="10"/>
  <c r="AD147" i="10"/>
  <c r="AC158" i="10"/>
  <c r="BF158" i="10"/>
  <c r="AB161" i="10"/>
  <c r="BF175" i="10"/>
  <c r="AD175" i="10"/>
  <c r="AE175" i="10" s="1"/>
  <c r="BI175" i="10"/>
  <c r="AY175" i="10" s="1"/>
  <c r="BG175" i="10"/>
  <c r="AH200" i="10"/>
  <c r="AD226" i="10"/>
  <c r="AC226" i="10"/>
  <c r="AH226" i="10"/>
  <c r="AD282" i="10"/>
  <c r="AC282" i="10"/>
  <c r="BF282" i="10"/>
  <c r="BG282" i="10"/>
  <c r="AH305" i="10"/>
  <c r="O335" i="10"/>
  <c r="AD335" i="10"/>
  <c r="AH77" i="10"/>
  <c r="AH80" i="10"/>
  <c r="O80" i="10"/>
  <c r="BI80" i="10" s="1"/>
  <c r="BF94" i="10"/>
  <c r="O94" i="10"/>
  <c r="BI94" i="10" s="1"/>
  <c r="BC98" i="10"/>
  <c r="AD108" i="10"/>
  <c r="O108" i="10"/>
  <c r="BI108" i="10" s="1"/>
  <c r="AY108" i="10" s="1"/>
  <c r="AD116" i="10"/>
  <c r="BG128" i="10"/>
  <c r="AC128" i="10"/>
  <c r="AD128" i="10"/>
  <c r="BG145" i="10"/>
  <c r="AC145" i="10"/>
  <c r="AE145" i="10" s="1"/>
  <c r="BF152" i="10"/>
  <c r="AC152" i="10"/>
  <c r="AE152" i="10" s="1"/>
  <c r="AH177" i="10"/>
  <c r="BF189" i="10"/>
  <c r="AH189" i="10"/>
  <c r="BF213" i="10"/>
  <c r="BG213" i="10"/>
  <c r="AD213" i="10"/>
  <c r="AC213" i="10"/>
  <c r="BG218" i="10"/>
  <c r="BF218" i="10"/>
  <c r="BF250" i="10"/>
  <c r="O250" i="10"/>
  <c r="BG255" i="10"/>
  <c r="O255" i="10"/>
  <c r="BI255" i="10" s="1"/>
  <c r="BA255" i="10" s="1"/>
  <c r="AC255" i="10"/>
  <c r="BF269" i="10"/>
  <c r="AD269" i="10"/>
  <c r="AC269" i="10"/>
  <c r="BG269" i="10"/>
  <c r="BF311" i="10"/>
  <c r="O311" i="10"/>
  <c r="BI311" i="10" s="1"/>
  <c r="BG311" i="10"/>
  <c r="AD311" i="10"/>
  <c r="AC311" i="10"/>
  <c r="BG314" i="10"/>
  <c r="O314" i="10"/>
  <c r="AD314" i="10"/>
  <c r="BF314" i="10"/>
  <c r="AO4" i="10"/>
  <c r="AB17" i="10"/>
  <c r="AC21" i="10"/>
  <c r="AC22" i="10"/>
  <c r="AD22" i="10" s="1"/>
  <c r="AE22" i="10" s="1"/>
  <c r="AB29" i="10"/>
  <c r="AM29" i="10" s="1"/>
  <c r="AB40" i="10"/>
  <c r="AC55" i="10"/>
  <c r="AD55" i="10" s="1"/>
  <c r="AB69" i="10"/>
  <c r="AB80" i="10"/>
  <c r="BC80" i="10" s="1"/>
  <c r="AC80" i="10"/>
  <c r="AH94" i="10"/>
  <c r="AD98" i="10"/>
  <c r="AC108" i="10"/>
  <c r="AC116" i="10"/>
  <c r="AE116" i="10" s="1"/>
  <c r="AD122" i="10"/>
  <c r="AH122" i="10"/>
  <c r="AB128" i="10"/>
  <c r="AP128" i="10" s="1"/>
  <c r="AH130" i="10"/>
  <c r="BG143" i="10"/>
  <c r="AB145" i="10"/>
  <c r="AV145" i="10" s="1"/>
  <c r="AB152" i="10"/>
  <c r="AQ152" i="10" s="1"/>
  <c r="AD158" i="10"/>
  <c r="BF165" i="10"/>
  <c r="BG165" i="10"/>
  <c r="AC165" i="10"/>
  <c r="AE165" i="10" s="1"/>
  <c r="AB184" i="10"/>
  <c r="BB184" i="10" s="1"/>
  <c r="AB189" i="10"/>
  <c r="BC189" i="10" s="1"/>
  <c r="AD189" i="10"/>
  <c r="BG194" i="10"/>
  <c r="O194" i="10"/>
  <c r="BG233" i="10"/>
  <c r="AD233" i="10"/>
  <c r="BF243" i="10"/>
  <c r="BG243" i="10"/>
  <c r="AD243" i="10"/>
  <c r="O243" i="10"/>
  <c r="AB250" i="10"/>
  <c r="BB250" i="10" s="1"/>
  <c r="AB311" i="10"/>
  <c r="BB311" i="10" s="1"/>
  <c r="AB61" i="10"/>
  <c r="BC74" i="10"/>
  <c r="AD84" i="10"/>
  <c r="AB91" i="10"/>
  <c r="AD97" i="10"/>
  <c r="AE97" i="10" s="1"/>
  <c r="AB136" i="10"/>
  <c r="AD139" i="10"/>
  <c r="AE139" i="10" s="1"/>
  <c r="AB168" i="10"/>
  <c r="AB172" i="10"/>
  <c r="BC172" i="10" s="1"/>
  <c r="AD174" i="10"/>
  <c r="AE174" i="10" s="1"/>
  <c r="AB181" i="10"/>
  <c r="AD183" i="10"/>
  <c r="AE183" i="10" s="1"/>
  <c r="AH190" i="10"/>
  <c r="AH211" i="10"/>
  <c r="AD214" i="10"/>
  <c r="O214" i="10"/>
  <c r="BF228" i="10"/>
  <c r="BF254" i="10"/>
  <c r="BG254" i="10"/>
  <c r="AD254" i="10"/>
  <c r="AB270" i="10"/>
  <c r="BF278" i="10"/>
  <c r="O278" i="10"/>
  <c r="BI278" i="10" s="1"/>
  <c r="AY278" i="10" s="1"/>
  <c r="AD278" i="10"/>
  <c r="AE278" i="10" s="1"/>
  <c r="BG295" i="10"/>
  <c r="BF295" i="10"/>
  <c r="AB299" i="10"/>
  <c r="AV299" i="10" s="1"/>
  <c r="AB304" i="10"/>
  <c r="AB307" i="10"/>
  <c r="AQ307" i="10" s="1"/>
  <c r="AB75" i="10"/>
  <c r="AH85" i="10"/>
  <c r="O91" i="10"/>
  <c r="BI91" i="10" s="1"/>
  <c r="O100" i="10"/>
  <c r="AB116" i="10"/>
  <c r="O119" i="10"/>
  <c r="O131" i="10"/>
  <c r="O136" i="10"/>
  <c r="AB137" i="10"/>
  <c r="AB140" i="10"/>
  <c r="O160" i="10"/>
  <c r="AB162" i="10"/>
  <c r="O168" i="10"/>
  <c r="AB171" i="10"/>
  <c r="BB171" i="10" s="1"/>
  <c r="BF191" i="10"/>
  <c r="AC191" i="10"/>
  <c r="AE191" i="10" s="1"/>
  <c r="BF199" i="10"/>
  <c r="BG199" i="10"/>
  <c r="AH217" i="10"/>
  <c r="AB230" i="10"/>
  <c r="AO230" i="10" s="1"/>
  <c r="AB233" i="10"/>
  <c r="AB238" i="10"/>
  <c r="BB238" i="10" s="1"/>
  <c r="AB244" i="10"/>
  <c r="BF251" i="10"/>
  <c r="AC251" i="10"/>
  <c r="AB251" i="10"/>
  <c r="AV251" i="10" s="1"/>
  <c r="AD251" i="10"/>
  <c r="AE251" i="10" s="1"/>
  <c r="AB272" i="10"/>
  <c r="BB272" i="10" s="1"/>
  <c r="BG306" i="10"/>
  <c r="BF306" i="10"/>
  <c r="AB313" i="10"/>
  <c r="AN313" i="10" s="1"/>
  <c r="BG326" i="10"/>
  <c r="AB335" i="10"/>
  <c r="BB335" i="10" s="1"/>
  <c r="AB96" i="10"/>
  <c r="AZ96" i="10" s="1"/>
  <c r="AH101" i="10"/>
  <c r="AB104" i="10"/>
  <c r="BC104" i="10" s="1"/>
  <c r="AB121" i="10"/>
  <c r="AB132" i="10"/>
  <c r="AZ132" i="10" s="1"/>
  <c r="AH179" i="10"/>
  <c r="AH185" i="10"/>
  <c r="AC190" i="10"/>
  <c r="AE190" i="10" s="1"/>
  <c r="BG190" i="10"/>
  <c r="BF195" i="10"/>
  <c r="O195" i="10"/>
  <c r="AB213" i="10"/>
  <c r="BG231" i="10"/>
  <c r="AC231" i="10"/>
  <c r="AB247" i="10"/>
  <c r="AK247" i="10" s="1"/>
  <c r="BF270" i="10"/>
  <c r="AD270" i="10"/>
  <c r="AE270" i="10" s="1"/>
  <c r="AC270" i="10"/>
  <c r="BG270" i="10"/>
  <c r="BG299" i="10"/>
  <c r="AD299" i="10"/>
  <c r="AE299" i="10" s="1"/>
  <c r="AC299" i="10"/>
  <c r="BF304" i="10"/>
  <c r="BG304" i="10"/>
  <c r="AD304" i="10"/>
  <c r="O304" i="10"/>
  <c r="BF307" i="10"/>
  <c r="O307" i="10"/>
  <c r="BI307" i="10" s="1"/>
  <c r="BA307" i="10" s="1"/>
  <c r="AB316" i="10"/>
  <c r="BF319" i="10"/>
  <c r="O319" i="10"/>
  <c r="BI319" i="10" s="1"/>
  <c r="BA319" i="10" s="1"/>
  <c r="BG319" i="10"/>
  <c r="BF341" i="10"/>
  <c r="AD341" i="10"/>
  <c r="AC341" i="10"/>
  <c r="O341" i="10"/>
  <c r="AB195" i="10"/>
  <c r="AB203" i="10"/>
  <c r="AO203" i="10" s="1"/>
  <c r="AB204" i="10"/>
  <c r="AZ204" i="10" s="1"/>
  <c r="AC205" i="10"/>
  <c r="AC207" i="10"/>
  <c r="AD212" i="10"/>
  <c r="AC220" i="10"/>
  <c r="AB221" i="10"/>
  <c r="AD227" i="10"/>
  <c r="AB234" i="10"/>
  <c r="BF236" i="10"/>
  <c r="AB240" i="10"/>
  <c r="AB241" i="10"/>
  <c r="BF257" i="10"/>
  <c r="AC261" i="10"/>
  <c r="AE261" i="10" s="1"/>
  <c r="AC262" i="10"/>
  <c r="AB281" i="10"/>
  <c r="BF281" i="10"/>
  <c r="AC284" i="10"/>
  <c r="AE284" i="10" s="1"/>
  <c r="AC285" i="10"/>
  <c r="AB289" i="10"/>
  <c r="AC293" i="10"/>
  <c r="AE293" i="10" s="1"/>
  <c r="AH297" i="10"/>
  <c r="BG301" i="10"/>
  <c r="AH309" i="10"/>
  <c r="AD322" i="10"/>
  <c r="BI332" i="10"/>
  <c r="AY332" i="10" s="1"/>
  <c r="AC333" i="10"/>
  <c r="AE333" i="10" s="1"/>
  <c r="AH345" i="10"/>
  <c r="AB188" i="10"/>
  <c r="AB196" i="10"/>
  <c r="BB196" i="10" s="1"/>
  <c r="AB202" i="10"/>
  <c r="O204" i="10"/>
  <c r="AH208" i="10"/>
  <c r="O216" i="10"/>
  <c r="AB218" i="10"/>
  <c r="AM218" i="10" s="1"/>
  <c r="O221" i="10"/>
  <c r="BF221" i="10"/>
  <c r="AH224" i="10"/>
  <c r="AB226" i="10"/>
  <c r="AP226" i="10" s="1"/>
  <c r="O229" i="10"/>
  <c r="AH231" i="10"/>
  <c r="O234" i="10"/>
  <c r="O240" i="10"/>
  <c r="BI240" i="10" s="1"/>
  <c r="AY240" i="10" s="1"/>
  <c r="AB254" i="10"/>
  <c r="AZ254" i="10" s="1"/>
  <c r="AB276" i="10"/>
  <c r="AB280" i="10"/>
  <c r="AX280" i="10" s="1"/>
  <c r="AB282" i="10"/>
  <c r="BE282" i="10" s="1"/>
  <c r="O292" i="10"/>
  <c r="AB295" i="10"/>
  <c r="AK295" i="10" s="1"/>
  <c r="AB306" i="10"/>
  <c r="AZ306" i="10" s="1"/>
  <c r="BF318" i="10"/>
  <c r="AB334" i="10"/>
  <c r="BI212" i="10"/>
  <c r="BA212" i="10" s="1"/>
  <c r="AH268" i="10"/>
  <c r="O318" i="10"/>
  <c r="AB330" i="10"/>
  <c r="BB330" i="10" s="1"/>
  <c r="AB225" i="10"/>
  <c r="AB253" i="10"/>
  <c r="AH257" i="10"/>
  <c r="AB262" i="10"/>
  <c r="AB274" i="10"/>
  <c r="AB293" i="10"/>
  <c r="BE293" i="10" s="1"/>
  <c r="AB297" i="10"/>
  <c r="AB301" i="10"/>
  <c r="AB303" i="10"/>
  <c r="AB310" i="10"/>
  <c r="AZ310" i="10" s="1"/>
  <c r="AB333" i="10"/>
  <c r="AU333" i="10" s="1"/>
  <c r="AB336" i="10"/>
  <c r="AZ336" i="10" s="1"/>
  <c r="AE160" i="10"/>
  <c r="AE225" i="10"/>
  <c r="AE237" i="10"/>
  <c r="AU161" i="10"/>
  <c r="AB200" i="10"/>
  <c r="AZ200" i="10" s="1"/>
  <c r="BE4" i="10"/>
  <c r="AH70" i="10"/>
  <c r="AO137" i="10"/>
  <c r="AB194" i="10"/>
  <c r="AH194" i="10"/>
  <c r="AP296" i="10"/>
  <c r="AX296" i="10"/>
  <c r="AQ296" i="10"/>
  <c r="AO296" i="10"/>
  <c r="AH69" i="10"/>
  <c r="AU176" i="10"/>
  <c r="AN176" i="10"/>
  <c r="AM176" i="10"/>
  <c r="BD176" i="10"/>
  <c r="AV176" i="10"/>
  <c r="AH295" i="10"/>
  <c r="AB198" i="10"/>
  <c r="AM198" i="10" s="1"/>
  <c r="AH198" i="10"/>
  <c r="AH142" i="10"/>
  <c r="AB314" i="10"/>
  <c r="BB314" i="10" s="1"/>
  <c r="AH314" i="10"/>
  <c r="AH45" i="10"/>
  <c r="AB62" i="10"/>
  <c r="AS62" i="10" s="1"/>
  <c r="AH62" i="10"/>
  <c r="AB63" i="10"/>
  <c r="BC161" i="10"/>
  <c r="AR98" i="10"/>
  <c r="AK98" i="10"/>
  <c r="BC4" i="10"/>
  <c r="AM98" i="10"/>
  <c r="AT176" i="10"/>
  <c r="AI8" i="10"/>
  <c r="AS109" i="10"/>
  <c r="AV109" i="10"/>
  <c r="AU109" i="10"/>
  <c r="BC129" i="10"/>
  <c r="AE319" i="10"/>
  <c r="AH237" i="10"/>
  <c r="AH250" i="10"/>
  <c r="AB268" i="10"/>
  <c r="AH296" i="10"/>
  <c r="AH325" i="10"/>
  <c r="BI198" i="10"/>
  <c r="BA198" i="10" s="1"/>
  <c r="AH329" i="10"/>
  <c r="AH281" i="10"/>
  <c r="BB4" i="10"/>
  <c r="AH75" i="10"/>
  <c r="AE205" i="10"/>
  <c r="AH303" i="10"/>
  <c r="AH306" i="10"/>
  <c r="AH280" i="10"/>
  <c r="AH170" i="10"/>
  <c r="AB231" i="10"/>
  <c r="AR231" i="10" s="1"/>
  <c r="AB309" i="10"/>
  <c r="BB309" i="10" s="1"/>
  <c r="BE23" i="10"/>
  <c r="AH96" i="10"/>
  <c r="AH105" i="10"/>
  <c r="BI128" i="10"/>
  <c r="BA128" i="10" s="1"/>
  <c r="AH328" i="10"/>
  <c r="AH336" i="10"/>
  <c r="AH338" i="10"/>
  <c r="AZ79" i="10"/>
  <c r="BB79" i="10"/>
  <c r="BG7" i="10"/>
  <c r="R7" i="10"/>
  <c r="BI29" i="10"/>
  <c r="AS4" i="10"/>
  <c r="BG9" i="10"/>
  <c r="AK12" i="10"/>
  <c r="R28" i="10"/>
  <c r="AB28" i="10" s="1"/>
  <c r="BE28" i="10" s="1"/>
  <c r="O61" i="10"/>
  <c r="AC61" i="10" s="1"/>
  <c r="AD61" i="10" s="1"/>
  <c r="AH78" i="10"/>
  <c r="AC138" i="10"/>
  <c r="AB138" i="10"/>
  <c r="BG138" i="10"/>
  <c r="O138" i="10"/>
  <c r="AH138" i="10"/>
  <c r="BF138" i="10"/>
  <c r="AD138" i="10"/>
  <c r="AT4" i="10"/>
  <c r="R9" i="10"/>
  <c r="AU23" i="10"/>
  <c r="AB52" i="10"/>
  <c r="AP52" i="10" s="1"/>
  <c r="AB59" i="10"/>
  <c r="BG59" i="10"/>
  <c r="AH59" i="10"/>
  <c r="BF59" i="10"/>
  <c r="AK74" i="10"/>
  <c r="AB113" i="10"/>
  <c r="AB163" i="10"/>
  <c r="AC3" i="10"/>
  <c r="AD3" i="10" s="1"/>
  <c r="AE3" i="10" s="1"/>
  <c r="AU4" i="10"/>
  <c r="BB6" i="10"/>
  <c r="AZ6" i="10"/>
  <c r="O8" i="10"/>
  <c r="AC17" i="10"/>
  <c r="AD17" i="10" s="1"/>
  <c r="AE17" i="10" s="1"/>
  <c r="BG18" i="10"/>
  <c r="R18" i="10"/>
  <c r="O24" i="10"/>
  <c r="AC24" i="10" s="1"/>
  <c r="R27" i="10"/>
  <c r="AB27" i="10" s="1"/>
  <c r="BF27" i="10"/>
  <c r="AC33" i="10"/>
  <c r="AD33" i="10" s="1"/>
  <c r="AE33" i="10" s="1"/>
  <c r="BF34" i="10"/>
  <c r="BG34" i="10"/>
  <c r="AC34" i="10"/>
  <c r="AD34" i="10" s="1"/>
  <c r="AE34" i="10" s="1"/>
  <c r="R34" i="10"/>
  <c r="AC44" i="10"/>
  <c r="AD44" i="10" s="1"/>
  <c r="AH44" i="10"/>
  <c r="BF44" i="10"/>
  <c r="BG44" i="10"/>
  <c r="AH52" i="10"/>
  <c r="AH61" i="10"/>
  <c r="AW75" i="10"/>
  <c r="O75" i="10"/>
  <c r="BG75" i="10"/>
  <c r="BF75" i="10"/>
  <c r="BC90" i="10"/>
  <c r="AH106" i="10"/>
  <c r="AB106" i="10"/>
  <c r="AD124" i="10"/>
  <c r="AC124" i="10"/>
  <c r="BI124" i="10"/>
  <c r="BG124" i="10"/>
  <c r="AH124" i="10"/>
  <c r="BF124" i="10"/>
  <c r="AB124" i="10"/>
  <c r="AN124" i="10" s="1"/>
  <c r="AH147" i="10"/>
  <c r="AB147" i="10"/>
  <c r="BB147" i="10" s="1"/>
  <c r="AC186" i="10"/>
  <c r="AD186" i="10"/>
  <c r="O186" i="10"/>
  <c r="BI186" i="10" s="1"/>
  <c r="BA186" i="10" s="1"/>
  <c r="BF186" i="10"/>
  <c r="BG186" i="10"/>
  <c r="AH186" i="10"/>
  <c r="AC344" i="10"/>
  <c r="BG344" i="10"/>
  <c r="AD344" i="10"/>
  <c r="AH344" i="10"/>
  <c r="O344" i="10"/>
  <c r="BF344" i="10"/>
  <c r="BG61" i="10"/>
  <c r="AD163" i="10"/>
  <c r="AC163" i="10"/>
  <c r="AO163" i="10"/>
  <c r="BF163" i="10"/>
  <c r="O163" i="10"/>
  <c r="BI163" i="10" s="1"/>
  <c r="AY163" i="10" s="1"/>
  <c r="BG163" i="10"/>
  <c r="AH163" i="10"/>
  <c r="AL12" i="10"/>
  <c r="AO25" i="10"/>
  <c r="O20" i="10"/>
  <c r="AC20" i="10"/>
  <c r="AD20" i="10" s="1"/>
  <c r="AE20" i="10" s="1"/>
  <c r="BB39" i="10"/>
  <c r="AH46" i="10"/>
  <c r="AB46" i="10"/>
  <c r="AK4" i="10"/>
  <c r="R20" i="10"/>
  <c r="AB20" i="10" s="1"/>
  <c r="BG24" i="10"/>
  <c r="R24" i="10"/>
  <c r="BF24" i="10"/>
  <c r="R38" i="10"/>
  <c r="AB53" i="10"/>
  <c r="BB53" i="10" s="1"/>
  <c r="AZ62" i="10"/>
  <c r="AI64" i="10"/>
  <c r="AW64" i="10"/>
  <c r="AO64" i="10"/>
  <c r="AM64" i="10"/>
  <c r="AB72" i="10"/>
  <c r="AW74" i="10"/>
  <c r="O88" i="10"/>
  <c r="BI88" i="10" s="1"/>
  <c r="AD88" i="10"/>
  <c r="AH88" i="10"/>
  <c r="O95" i="10"/>
  <c r="BI95" i="10" s="1"/>
  <c r="AD95" i="10"/>
  <c r="AC95" i="10"/>
  <c r="BF95" i="10"/>
  <c r="AH95" i="10"/>
  <c r="AB131" i="10"/>
  <c r="BB202" i="10"/>
  <c r="AC6" i="10"/>
  <c r="AD6" i="10" s="1"/>
  <c r="AE6" i="10" s="1"/>
  <c r="O28" i="10"/>
  <c r="AC28" i="10" s="1"/>
  <c r="BG28" i="10"/>
  <c r="O9" i="10"/>
  <c r="AC9" i="10" s="1"/>
  <c r="AD9" i="10" s="1"/>
  <c r="AE9" i="10" s="1"/>
  <c r="AS10" i="10"/>
  <c r="BG16" i="10"/>
  <c r="R16" i="10"/>
  <c r="BF16" i="10"/>
  <c r="BG32" i="10"/>
  <c r="R32" i="10"/>
  <c r="AB32" i="10" s="1"/>
  <c r="BF32" i="10"/>
  <c r="AB89" i="10"/>
  <c r="BB89" i="10" s="1"/>
  <c r="O113" i="10"/>
  <c r="BI113" i="10"/>
  <c r="AH113" i="10"/>
  <c r="BG113" i="10"/>
  <c r="BF113" i="10"/>
  <c r="AD113" i="10"/>
  <c r="AC113" i="10"/>
  <c r="O27" i="10"/>
  <c r="AC27" i="10" s="1"/>
  <c r="AD27" i="10" s="1"/>
  <c r="AE27" i="10" s="1"/>
  <c r="AW4" i="10"/>
  <c r="AZ10" i="10"/>
  <c r="AZ338" i="10"/>
  <c r="AZ328" i="10"/>
  <c r="AZ303" i="10"/>
  <c r="AZ285" i="10"/>
  <c r="AZ290" i="10"/>
  <c r="AZ246" i="10"/>
  <c r="AZ194" i="10"/>
  <c r="AZ173" i="10"/>
  <c r="AZ150" i="10"/>
  <c r="AZ1" i="10"/>
  <c r="BG15" i="10"/>
  <c r="R15" i="10"/>
  <c r="BF15" i="10"/>
  <c r="BG20" i="10"/>
  <c r="BG27" i="10"/>
  <c r="O38" i="10"/>
  <c r="BG38" i="10"/>
  <c r="AL4" i="10"/>
  <c r="BG5" i="10"/>
  <c r="R5" i="10"/>
  <c r="BF5" i="10"/>
  <c r="O7" i="10"/>
  <c r="O19" i="10"/>
  <c r="O37" i="10"/>
  <c r="AC37" i="10" s="1"/>
  <c r="BF37" i="10"/>
  <c r="AB55" i="10"/>
  <c r="AQ62" i="10"/>
  <c r="BB64" i="10"/>
  <c r="AB88" i="10"/>
  <c r="AZ88" i="10" s="1"/>
  <c r="AB95" i="10"/>
  <c r="BC95" i="10" s="1"/>
  <c r="AC118" i="10"/>
  <c r="AH118" i="10"/>
  <c r="AD118" i="10"/>
  <c r="O118" i="10"/>
  <c r="BG118" i="10"/>
  <c r="BF118" i="10"/>
  <c r="AB127" i="10"/>
  <c r="AZ210" i="10"/>
  <c r="AR10" i="10"/>
  <c r="O52" i="10"/>
  <c r="BG52" i="10"/>
  <c r="AI62" i="10"/>
  <c r="BG13" i="10"/>
  <c r="R13" i="10"/>
  <c r="AB13" i="10" s="1"/>
  <c r="BF13" i="10"/>
  <c r="O53" i="10"/>
  <c r="AC53" i="10" s="1"/>
  <c r="AH53" i="10"/>
  <c r="BF53" i="10"/>
  <c r="BG53" i="10"/>
  <c r="AZ105" i="10"/>
  <c r="BB334" i="10"/>
  <c r="BB299" i="10"/>
  <c r="BB254" i="10"/>
  <c r="BB226" i="10"/>
  <c r="BB176" i="10"/>
  <c r="BB173" i="10"/>
  <c r="AI4" i="10"/>
  <c r="AM4" i="10"/>
  <c r="BF7" i="10"/>
  <c r="AC14" i="10"/>
  <c r="AD14" i="10" s="1"/>
  <c r="AE14" i="10" s="1"/>
  <c r="BG14" i="10"/>
  <c r="R14" i="10"/>
  <c r="AB14" i="10" s="1"/>
  <c r="BF14" i="10"/>
  <c r="O16" i="10"/>
  <c r="AC16" i="10" s="1"/>
  <c r="R19" i="10"/>
  <c r="BF19" i="10"/>
  <c r="BI25" i="10"/>
  <c r="AC26" i="10"/>
  <c r="AD26" i="10" s="1"/>
  <c r="AE26" i="10" s="1"/>
  <c r="BG26" i="10"/>
  <c r="R26" i="10"/>
  <c r="BI26" i="10" s="1"/>
  <c r="BA26" i="10" s="1"/>
  <c r="BF28" i="10"/>
  <c r="O32" i="10"/>
  <c r="R37" i="10"/>
  <c r="AB37" i="10" s="1"/>
  <c r="AB43" i="10"/>
  <c r="AO43" i="10" s="1"/>
  <c r="BG43" i="10"/>
  <c r="O43" i="10"/>
  <c r="AC43" i="10" s="1"/>
  <c r="AD43" i="10" s="1"/>
  <c r="BF43" i="10"/>
  <c r="O54" i="10"/>
  <c r="AC54" i="10" s="1"/>
  <c r="AD54" i="10" s="1"/>
  <c r="BG54" i="10"/>
  <c r="AB68" i="10"/>
  <c r="AH68" i="10"/>
  <c r="AQ74" i="10"/>
  <c r="AM74" i="10"/>
  <c r="BE74" i="10"/>
  <c r="AQ86" i="10"/>
  <c r="AC88" i="10"/>
  <c r="AB118" i="10"/>
  <c r="AB143" i="10"/>
  <c r="AT143" i="10" s="1"/>
  <c r="AW180" i="10"/>
  <c r="AN180" i="10"/>
  <c r="AL180" i="10"/>
  <c r="AK180" i="10"/>
  <c r="BD180" i="10"/>
  <c r="BC180" i="10"/>
  <c r="O339" i="10"/>
  <c r="BI339" i="10" s="1"/>
  <c r="BA339" i="10" s="1"/>
  <c r="AD339" i="10"/>
  <c r="AH339" i="10"/>
  <c r="AC339" i="10"/>
  <c r="BF339" i="10"/>
  <c r="BG339" i="10"/>
  <c r="O4" i="10"/>
  <c r="AN4" i="10"/>
  <c r="AV4" i="10"/>
  <c r="BD4" i="10"/>
  <c r="AH6" i="10"/>
  <c r="AD10" i="10"/>
  <c r="AE10" i="10" s="1"/>
  <c r="BB10" i="10"/>
  <c r="O12" i="10"/>
  <c r="AH17" i="10"/>
  <c r="AD21" i="10"/>
  <c r="O23" i="10"/>
  <c r="AN23" i="10"/>
  <c r="O31" i="10"/>
  <c r="O35" i="10"/>
  <c r="AC35" i="10" s="1"/>
  <c r="BF36" i="10"/>
  <c r="O46" i="10"/>
  <c r="BF46" i="10"/>
  <c r="O51" i="10"/>
  <c r="AJ62" i="10"/>
  <c r="AH67" i="10"/>
  <c r="BG68" i="10"/>
  <c r="BB86" i="10"/>
  <c r="AD86" i="10"/>
  <c r="AC86" i="10"/>
  <c r="BD86" i="10"/>
  <c r="AZ86" i="10"/>
  <c r="AJ86" i="10"/>
  <c r="O86" i="10"/>
  <c r="AH86" i="10"/>
  <c r="BG86" i="10"/>
  <c r="AD93" i="10"/>
  <c r="AC93" i="10"/>
  <c r="AB93" i="10"/>
  <c r="BG93" i="10"/>
  <c r="O93" i="10"/>
  <c r="AH93" i="10"/>
  <c r="BF93" i="10"/>
  <c r="AL98" i="10"/>
  <c r="AU104" i="10"/>
  <c r="BG104" i="10"/>
  <c r="BF104" i="10"/>
  <c r="O104" i="10"/>
  <c r="AD104" i="10"/>
  <c r="AH104" i="10"/>
  <c r="AZ109" i="10"/>
  <c r="AR109" i="10"/>
  <c r="AJ109" i="10"/>
  <c r="AQ109" i="10"/>
  <c r="AH109" i="10"/>
  <c r="AP109" i="10"/>
  <c r="O109" i="10"/>
  <c r="BI109" i="10" s="1"/>
  <c r="BG109" i="10"/>
  <c r="AX109" i="10"/>
  <c r="AO109" i="10"/>
  <c r="BF109" i="10"/>
  <c r="AW109" i="10"/>
  <c r="AN109" i="10"/>
  <c r="BE109" i="10"/>
  <c r="AM109" i="10"/>
  <c r="BD109" i="10"/>
  <c r="AL109" i="10"/>
  <c r="BC109" i="10"/>
  <c r="AK109" i="10"/>
  <c r="BB109" i="10"/>
  <c r="AI109" i="10"/>
  <c r="O126" i="10"/>
  <c r="AC126" i="10"/>
  <c r="AH126" i="10"/>
  <c r="AD126" i="10"/>
  <c r="AH154" i="10"/>
  <c r="BB157" i="10"/>
  <c r="AZ157" i="10"/>
  <c r="AC162" i="10"/>
  <c r="AE162" i="10" s="1"/>
  <c r="BF162" i="10"/>
  <c r="O162" i="10"/>
  <c r="AH162" i="10"/>
  <c r="BG162" i="10"/>
  <c r="AH4" i="10"/>
  <c r="AP4" i="10"/>
  <c r="AX4" i="10"/>
  <c r="BF4" i="10"/>
  <c r="AH12" i="10"/>
  <c r="BF12" i="10"/>
  <c r="BF23" i="10"/>
  <c r="BF31" i="10"/>
  <c r="BG35" i="10"/>
  <c r="R35" i="10"/>
  <c r="AB44" i="10"/>
  <c r="AV44" i="10" s="1"/>
  <c r="AC51" i="10"/>
  <c r="AD51" i="10" s="1"/>
  <c r="AB51" i="10"/>
  <c r="BB51" i="10" s="1"/>
  <c r="BG51" i="10"/>
  <c r="BF51" i="10"/>
  <c r="BE62" i="10"/>
  <c r="AW62" i="10"/>
  <c r="AO62" i="10"/>
  <c r="BD62" i="10"/>
  <c r="AV62" i="10"/>
  <c r="AN62" i="10"/>
  <c r="O62" i="10"/>
  <c r="BI62" i="10" s="1"/>
  <c r="BC62" i="10"/>
  <c r="AU62" i="10"/>
  <c r="AM62" i="10"/>
  <c r="BB62" i="10"/>
  <c r="AT62" i="10"/>
  <c r="AL62" i="10"/>
  <c r="AP62" i="10"/>
  <c r="BF62" i="10"/>
  <c r="O71" i="10"/>
  <c r="BG71" i="10"/>
  <c r="BB102" i="10"/>
  <c r="AD102" i="10"/>
  <c r="AC102" i="10"/>
  <c r="AZ102" i="10"/>
  <c r="O102" i="10"/>
  <c r="AH102" i="10"/>
  <c r="BG102" i="10"/>
  <c r="AZ116" i="10"/>
  <c r="AB119" i="10"/>
  <c r="O134" i="10"/>
  <c r="AC134" i="10"/>
  <c r="BF134" i="10"/>
  <c r="AQ134" i="10"/>
  <c r="BF3" i="10"/>
  <c r="AQ4" i="10"/>
  <c r="BF11" i="10"/>
  <c r="BF22" i="10"/>
  <c r="BF30" i="10"/>
  <c r="AC60" i="10"/>
  <c r="AD60" i="10" s="1"/>
  <c r="BG60" i="10"/>
  <c r="BG69" i="10"/>
  <c r="O69" i="10"/>
  <c r="AC69" i="10" s="1"/>
  <c r="AD69" i="10" s="1"/>
  <c r="BG82" i="10"/>
  <c r="BF82" i="10"/>
  <c r="AH82" i="10"/>
  <c r="O82" i="10"/>
  <c r="AD82" i="10"/>
  <c r="AC82" i="10"/>
  <c r="AC110" i="10"/>
  <c r="BG110" i="10"/>
  <c r="BF110" i="10"/>
  <c r="AD110" i="10"/>
  <c r="AH110" i="10"/>
  <c r="AH111" i="10"/>
  <c r="O141" i="10"/>
  <c r="AD141" i="10"/>
  <c r="AH141" i="10"/>
  <c r="AI145" i="10"/>
  <c r="BB156" i="10"/>
  <c r="AD156" i="10"/>
  <c r="AZ156" i="10"/>
  <c r="AH156" i="10"/>
  <c r="O156" i="10"/>
  <c r="BG156" i="10"/>
  <c r="AC156" i="10"/>
  <c r="BF156" i="10"/>
  <c r="AD164" i="10"/>
  <c r="O164" i="10"/>
  <c r="AH164" i="10"/>
  <c r="BG164" i="10"/>
  <c r="BF164" i="10"/>
  <c r="AC164" i="10"/>
  <c r="AH169" i="10"/>
  <c r="AD182" i="10"/>
  <c r="BG182" i="10"/>
  <c r="BF182" i="10"/>
  <c r="AC182" i="10"/>
  <c r="O182" i="10"/>
  <c r="BI182" i="10" s="1"/>
  <c r="AH182" i="10"/>
  <c r="AH2" i="10"/>
  <c r="R3" i="10"/>
  <c r="AJ4" i="10"/>
  <c r="AR4" i="10"/>
  <c r="AZ4" i="10"/>
  <c r="AH10" i="10"/>
  <c r="R11" i="10"/>
  <c r="AZ12" i="10"/>
  <c r="AH21" i="10"/>
  <c r="R22" i="10"/>
  <c r="AB22" i="10" s="1"/>
  <c r="AH29" i="10"/>
  <c r="R30" i="10"/>
  <c r="AB30" i="10" s="1"/>
  <c r="R36" i="10"/>
  <c r="AB36" i="10" s="1"/>
  <c r="O45" i="10"/>
  <c r="BB45" i="10"/>
  <c r="AC45" i="10"/>
  <c r="AR45" i="10"/>
  <c r="BG45" i="10"/>
  <c r="AB60" i="10"/>
  <c r="AR62" i="10"/>
  <c r="AC67" i="10"/>
  <c r="AD67" i="10" s="1"/>
  <c r="AB67" i="10"/>
  <c r="BG67" i="10"/>
  <c r="BF67" i="10"/>
  <c r="O72" i="10"/>
  <c r="AC72" i="10" s="1"/>
  <c r="BG72" i="10"/>
  <c r="BF72" i="10"/>
  <c r="BB74" i="10"/>
  <c r="AD77" i="10"/>
  <c r="BG77" i="10"/>
  <c r="AC77" i="10"/>
  <c r="BI77" i="10"/>
  <c r="AB77" i="10"/>
  <c r="BF77" i="10"/>
  <c r="AD78" i="10"/>
  <c r="AC78" i="10"/>
  <c r="AB82" i="10"/>
  <c r="AS82" i="10" s="1"/>
  <c r="AH87" i="10"/>
  <c r="BE98" i="10"/>
  <c r="AW98" i="10"/>
  <c r="AO98" i="10"/>
  <c r="AZ98" i="10"/>
  <c r="AJ98" i="10"/>
  <c r="AU98" i="10"/>
  <c r="AT98" i="10"/>
  <c r="AS98" i="10"/>
  <c r="BB98" i="10"/>
  <c r="AB110" i="10"/>
  <c r="AO110" i="10" s="1"/>
  <c r="BG120" i="10"/>
  <c r="BF120" i="10"/>
  <c r="AD120" i="10"/>
  <c r="AC120" i="10"/>
  <c r="AB120" i="10"/>
  <c r="AH120" i="10"/>
  <c r="AB123" i="10"/>
  <c r="AP123" i="10" s="1"/>
  <c r="BI123" i="10"/>
  <c r="AI137" i="10"/>
  <c r="AB141" i="10"/>
  <c r="AZ141" i="10" s="1"/>
  <c r="AC141" i="10"/>
  <c r="AH158" i="10"/>
  <c r="AM158" i="10"/>
  <c r="AB164" i="10"/>
  <c r="AZ164" i="10" s="1"/>
  <c r="AD178" i="10"/>
  <c r="AC178" i="10"/>
  <c r="AH178" i="10"/>
  <c r="BF178" i="10"/>
  <c r="O178" i="10"/>
  <c r="BG178" i="10"/>
  <c r="AD209" i="10"/>
  <c r="AC209" i="10"/>
  <c r="O209" i="10"/>
  <c r="AH209" i="10"/>
  <c r="BG209" i="10"/>
  <c r="BF209" i="10"/>
  <c r="O40" i="10"/>
  <c r="AH42" i="10"/>
  <c r="O48" i="10"/>
  <c r="AC48" i="10" s="1"/>
  <c r="AD48" i="10" s="1"/>
  <c r="AE48" i="10" s="1"/>
  <c r="AH50" i="10"/>
  <c r="O56" i="10"/>
  <c r="AH58" i="10"/>
  <c r="O64" i="10"/>
  <c r="BI64" i="10" s="1"/>
  <c r="AV64" i="10"/>
  <c r="AH66" i="10"/>
  <c r="O70" i="10"/>
  <c r="AC70" i="10" s="1"/>
  <c r="AP74" i="10"/>
  <c r="AH79" i="10"/>
  <c r="AD80" i="10"/>
  <c r="AJ80" i="10"/>
  <c r="BF80" i="10"/>
  <c r="O87" i="10"/>
  <c r="AD87" i="10"/>
  <c r="AC87" i="10"/>
  <c r="BG87" i="10"/>
  <c r="BD96" i="10"/>
  <c r="O96" i="10"/>
  <c r="BI96" i="10" s="1"/>
  <c r="AD96" i="10"/>
  <c r="BF96" i="10"/>
  <c r="O103" i="10"/>
  <c r="AD103" i="10"/>
  <c r="AC103" i="10"/>
  <c r="BG103" i="10"/>
  <c r="AD111" i="10"/>
  <c r="BF111" i="10"/>
  <c r="AC111" i="10"/>
  <c r="AB111" i="10"/>
  <c r="AB126" i="10"/>
  <c r="AC151" i="10"/>
  <c r="AB151" i="10"/>
  <c r="AH151" i="10"/>
  <c r="BG151" i="10"/>
  <c r="O151" i="10"/>
  <c r="BF151" i="10"/>
  <c r="AB182" i="10"/>
  <c r="AP195" i="10"/>
  <c r="AO195" i="10"/>
  <c r="BE195" i="10"/>
  <c r="AM195" i="10"/>
  <c r="AX195" i="10"/>
  <c r="BC195" i="10"/>
  <c r="AH41" i="10"/>
  <c r="BF41" i="10"/>
  <c r="AH49" i="10"/>
  <c r="BF49" i="10"/>
  <c r="AH57" i="10"/>
  <c r="BF57" i="10"/>
  <c r="BF65" i="10"/>
  <c r="AH74" i="10"/>
  <c r="AZ74" i="10"/>
  <c r="AD85" i="10"/>
  <c r="BI85" i="10"/>
  <c r="AY85" i="10" s="1"/>
  <c r="AC85" i="10"/>
  <c r="AB85" i="10"/>
  <c r="BG85" i="10"/>
  <c r="BF85" i="10"/>
  <c r="AB87" i="10"/>
  <c r="AN91" i="10"/>
  <c r="AD94" i="10"/>
  <c r="AC94" i="10"/>
  <c r="BG94" i="10"/>
  <c r="AD101" i="10"/>
  <c r="AC101" i="10"/>
  <c r="AB101" i="10"/>
  <c r="BG101" i="10"/>
  <c r="BF101" i="10"/>
  <c r="AB103" i="10"/>
  <c r="AL105" i="10"/>
  <c r="BC105" i="10"/>
  <c r="AT105" i="10"/>
  <c r="AK105" i="10"/>
  <c r="AJ105" i="10"/>
  <c r="AP105" i="10"/>
  <c r="BF114" i="10"/>
  <c r="AD114" i="10"/>
  <c r="AC114" i="10"/>
  <c r="BI114" i="10"/>
  <c r="AB114" i="10"/>
  <c r="BD114" i="10" s="1"/>
  <c r="O133" i="10"/>
  <c r="BI133" i="10" s="1"/>
  <c r="AD133" i="10"/>
  <c r="AH133" i="10"/>
  <c r="AC133" i="10"/>
  <c r="BG133" i="10"/>
  <c r="BF133" i="10"/>
  <c r="BI149" i="10"/>
  <c r="AY149" i="10" s="1"/>
  <c r="AH149" i="10"/>
  <c r="AB149" i="10"/>
  <c r="AB160" i="10"/>
  <c r="AW170" i="10"/>
  <c r="AX172" i="10"/>
  <c r="BG188" i="10"/>
  <c r="AH188" i="10"/>
  <c r="O188" i="10"/>
  <c r="AD188" i="10"/>
  <c r="BF188" i="10"/>
  <c r="AC188" i="10"/>
  <c r="AZ220" i="10"/>
  <c r="AW39" i="10"/>
  <c r="BG41" i="10"/>
  <c r="AB42" i="10"/>
  <c r="BG49" i="10"/>
  <c r="AB50" i="10"/>
  <c r="BG57" i="10"/>
  <c r="AB58" i="10"/>
  <c r="AH64" i="10"/>
  <c r="AX64" i="10"/>
  <c r="BG65" i="10"/>
  <c r="AB66" i="10"/>
  <c r="BB66" i="10" s="1"/>
  <c r="BD74" i="10"/>
  <c r="O74" i="10"/>
  <c r="AC74" i="10" s="1"/>
  <c r="AB94" i="10"/>
  <c r="AL94" i="10" s="1"/>
  <c r="AQ105" i="10"/>
  <c r="AV135" i="10"/>
  <c r="AR135" i="10"/>
  <c r="AO161" i="10"/>
  <c r="AM161" i="10"/>
  <c r="AW168" i="10"/>
  <c r="AJ210" i="10"/>
  <c r="AH39" i="10"/>
  <c r="AB41" i="10"/>
  <c r="AB49" i="10"/>
  <c r="AB57" i="10"/>
  <c r="AJ57" i="10" s="1"/>
  <c r="AH63" i="10"/>
  <c r="AB65" i="10"/>
  <c r="O79" i="10"/>
  <c r="AC79" i="10"/>
  <c r="BG79" i="10"/>
  <c r="AW105" i="10"/>
  <c r="BG153" i="10"/>
  <c r="BF153" i="10"/>
  <c r="AD153" i="10"/>
  <c r="AC153" i="10"/>
  <c r="AN153" i="10"/>
  <c r="O153" i="10"/>
  <c r="BI153" i="10" s="1"/>
  <c r="AH153" i="10"/>
  <c r="AH76" i="10"/>
  <c r="AH84" i="10"/>
  <c r="O90" i="10"/>
  <c r="BI90" i="10" s="1"/>
  <c r="BA90" i="10" s="1"/>
  <c r="AO91" i="10"/>
  <c r="BE91" i="10"/>
  <c r="AH92" i="10"/>
  <c r="O98" i="10"/>
  <c r="BI98" i="10" s="1"/>
  <c r="AN98" i="10"/>
  <c r="AV98" i="10"/>
  <c r="BD98" i="10"/>
  <c r="AW99" i="10"/>
  <c r="AH100" i="10"/>
  <c r="BD105" i="10"/>
  <c r="AV105" i="10"/>
  <c r="AN105" i="10"/>
  <c r="O105" i="10"/>
  <c r="BI105" i="10" s="1"/>
  <c r="AY105" i="10" s="1"/>
  <c r="AI105" i="10"/>
  <c r="AR105" i="10"/>
  <c r="O112" i="10"/>
  <c r="O116" i="10"/>
  <c r="O117" i="10"/>
  <c r="BF117" i="10"/>
  <c r="O122" i="10"/>
  <c r="BI122" i="10" s="1"/>
  <c r="BA122" i="10" s="1"/>
  <c r="AC130" i="10"/>
  <c r="AE130" i="10" s="1"/>
  <c r="AB130" i="10"/>
  <c r="AI130" i="10" s="1"/>
  <c r="BG130" i="10"/>
  <c r="BF130" i="10"/>
  <c r="AB133" i="10"/>
  <c r="BB136" i="10"/>
  <c r="AD140" i="10"/>
  <c r="AC140" i="10"/>
  <c r="AM140" i="10"/>
  <c r="BG140" i="10"/>
  <c r="BF140" i="10"/>
  <c r="O146" i="10"/>
  <c r="BI152" i="10"/>
  <c r="AP157" i="10"/>
  <c r="AL161" i="10"/>
  <c r="BD161" i="10"/>
  <c r="O171" i="10"/>
  <c r="AD171" i="10"/>
  <c r="AC171" i="10"/>
  <c r="AZ171" i="10"/>
  <c r="AH171" i="10"/>
  <c r="BG171" i="10"/>
  <c r="AR174" i="10"/>
  <c r="AD201" i="10"/>
  <c r="O201" i="10"/>
  <c r="BG201" i="10"/>
  <c r="AH201" i="10"/>
  <c r="BF201" i="10"/>
  <c r="AC201" i="10"/>
  <c r="AB227" i="10"/>
  <c r="AH83" i="10"/>
  <c r="BF83" i="10"/>
  <c r="AH91" i="10"/>
  <c r="AX91" i="10"/>
  <c r="BF91" i="10"/>
  <c r="AH99" i="10"/>
  <c r="BF99" i="10"/>
  <c r="BB105" i="10"/>
  <c r="BG108" i="10"/>
  <c r="AH108" i="10"/>
  <c r="AH112" i="10"/>
  <c r="AZ112" i="10"/>
  <c r="AH116" i="10"/>
  <c r="O142" i="10"/>
  <c r="AC142" i="10"/>
  <c r="BG142" i="10"/>
  <c r="BD150" i="10"/>
  <c r="O150" i="10"/>
  <c r="BI150" i="10" s="1"/>
  <c r="BG150" i="10"/>
  <c r="AO150" i="10"/>
  <c r="BF150" i="10"/>
  <c r="AM150" i="10"/>
  <c r="AD150" i="10"/>
  <c r="BC150" i="10"/>
  <c r="AV152" i="10"/>
  <c r="AH159" i="10"/>
  <c r="O159" i="10"/>
  <c r="BG159" i="10"/>
  <c r="AC159" i="10"/>
  <c r="AZ161" i="10"/>
  <c r="AD177" i="10"/>
  <c r="AC177" i="10"/>
  <c r="AB177" i="10"/>
  <c r="BG177" i="10"/>
  <c r="O177" i="10"/>
  <c r="BF177" i="10"/>
  <c r="AB179" i="10"/>
  <c r="BD179" i="10" s="1"/>
  <c r="AS184" i="10"/>
  <c r="AH187" i="10"/>
  <c r="AS231" i="10"/>
  <c r="BG83" i="10"/>
  <c r="AB84" i="10"/>
  <c r="AH90" i="10"/>
  <c r="AP90" i="10"/>
  <c r="BF90" i="10"/>
  <c r="AQ91" i="10"/>
  <c r="BG91" i="10"/>
  <c r="AB92" i="10"/>
  <c r="AZ92" i="10" s="1"/>
  <c r="AH98" i="10"/>
  <c r="AP98" i="10"/>
  <c r="AX98" i="10"/>
  <c r="BF98" i="10"/>
  <c r="BG99" i="10"/>
  <c r="AB100" i="10"/>
  <c r="AP100" i="10" s="1"/>
  <c r="AE112" i="10"/>
  <c r="BC116" i="10"/>
  <c r="BG116" i="10"/>
  <c r="AC122" i="10"/>
  <c r="AE122" i="10" s="1"/>
  <c r="BG122" i="10"/>
  <c r="O125" i="10"/>
  <c r="BI125" i="10" s="1"/>
  <c r="AY125" i="10" s="1"/>
  <c r="AD125" i="10"/>
  <c r="AE125" i="10" s="1"/>
  <c r="BF125" i="10"/>
  <c r="AB139" i="10"/>
  <c r="AC146" i="10"/>
  <c r="AB146" i="10"/>
  <c r="AR146" i="10" s="1"/>
  <c r="BG146" i="10"/>
  <c r="BF146" i="10"/>
  <c r="AM174" i="10"/>
  <c r="AB187" i="10"/>
  <c r="BB187" i="10" s="1"/>
  <c r="BB194" i="10"/>
  <c r="AB211" i="10"/>
  <c r="AZ211" i="10" s="1"/>
  <c r="AB269" i="10"/>
  <c r="BB269" i="10" s="1"/>
  <c r="AH81" i="10"/>
  <c r="AZ83" i="10"/>
  <c r="AH89" i="10"/>
  <c r="AJ91" i="10"/>
  <c r="AZ91" i="10"/>
  <c r="AH97" i="10"/>
  <c r="AI98" i="10"/>
  <c r="AQ98" i="10"/>
  <c r="AZ99" i="10"/>
  <c r="AB108" i="10"/>
  <c r="AQ108" i="10" s="1"/>
  <c r="BB112" i="10"/>
  <c r="BF116" i="10"/>
  <c r="AB122" i="10"/>
  <c r="AB125" i="10"/>
  <c r="AM125" i="10" s="1"/>
  <c r="BG125" i="10"/>
  <c r="AD132" i="10"/>
  <c r="BI132" i="10"/>
  <c r="AC132" i="10"/>
  <c r="BG132" i="10"/>
  <c r="BF132" i="10"/>
  <c r="AD142" i="10"/>
  <c r="AE142" i="10" s="1"/>
  <c r="AD146" i="10"/>
  <c r="AD148" i="10"/>
  <c r="AC148" i="10"/>
  <c r="AB148" i="10"/>
  <c r="BB148" i="10" s="1"/>
  <c r="AH148" i="10"/>
  <c r="AC150" i="10"/>
  <c r="AU150" i="10"/>
  <c r="AU152" i="10"/>
  <c r="AH155" i="10"/>
  <c r="AB155" i="10"/>
  <c r="AD159" i="10"/>
  <c r="AB165" i="10"/>
  <c r="BD165" i="10" s="1"/>
  <c r="BB191" i="10"/>
  <c r="AK243" i="10"/>
  <c r="AH107" i="10"/>
  <c r="AH115" i="10"/>
  <c r="AD119" i="10"/>
  <c r="AE119" i="10" s="1"/>
  <c r="O121" i="10"/>
  <c r="AN121" i="10"/>
  <c r="BD121" i="10"/>
  <c r="AH123" i="10"/>
  <c r="AD127" i="10"/>
  <c r="O129" i="10"/>
  <c r="BI129" i="10" s="1"/>
  <c r="AH131" i="10"/>
  <c r="AD135" i="10"/>
  <c r="BB135" i="10"/>
  <c r="AE136" i="10"/>
  <c r="AU136" i="10"/>
  <c r="O137" i="10"/>
  <c r="AN137" i="10"/>
  <c r="AH139" i="10"/>
  <c r="AD143" i="10"/>
  <c r="O145" i="10"/>
  <c r="BI145" i="10" s="1"/>
  <c r="AC147" i="10"/>
  <c r="AE147" i="10" s="1"/>
  <c r="BI147" i="10"/>
  <c r="AD149" i="10"/>
  <c r="O154" i="10"/>
  <c r="AE157" i="10"/>
  <c r="AR157" i="10"/>
  <c r="AN161" i="10"/>
  <c r="AW161" i="10"/>
  <c r="BF161" i="10"/>
  <c r="AD169" i="10"/>
  <c r="AC169" i="10"/>
  <c r="AB169" i="10"/>
  <c r="AL169" i="10" s="1"/>
  <c r="BG169" i="10"/>
  <c r="BF169" i="10"/>
  <c r="AI170" i="10"/>
  <c r="AK173" i="10"/>
  <c r="AO176" i="10"/>
  <c r="BD183" i="10"/>
  <c r="AT183" i="10"/>
  <c r="O196" i="10"/>
  <c r="AB201" i="10"/>
  <c r="AH221" i="10"/>
  <c r="AB229" i="10"/>
  <c r="BB229" i="10" s="1"/>
  <c r="AH229" i="10"/>
  <c r="AH121" i="10"/>
  <c r="BF121" i="10"/>
  <c r="AH129" i="10"/>
  <c r="AP129" i="10"/>
  <c r="BF129" i="10"/>
  <c r="BE136" i="10"/>
  <c r="AH137" i="10"/>
  <c r="AX137" i="10"/>
  <c r="BF137" i="10"/>
  <c r="AH145" i="10"/>
  <c r="BF145" i="10"/>
  <c r="AZ154" i="10"/>
  <c r="BB154" i="10"/>
  <c r="O158" i="10"/>
  <c r="BI158" i="10" s="1"/>
  <c r="AY158" i="10" s="1"/>
  <c r="AP161" i="10"/>
  <c r="AB178" i="10"/>
  <c r="AZ178" i="10" s="1"/>
  <c r="BG196" i="10"/>
  <c r="BF196" i="10"/>
  <c r="AD196" i="10"/>
  <c r="AC196" i="10"/>
  <c r="AZ196" i="10"/>
  <c r="AH196" i="10"/>
  <c r="BD223" i="10"/>
  <c r="AH242" i="10"/>
  <c r="AB242" i="10"/>
  <c r="AH128" i="10"/>
  <c r="BF128" i="10"/>
  <c r="AH136" i="10"/>
  <c r="AX136" i="10"/>
  <c r="BF136" i="10"/>
  <c r="AH144" i="10"/>
  <c r="BF144" i="10"/>
  <c r="BG161" i="10"/>
  <c r="AQ161" i="10"/>
  <c r="AI161" i="10"/>
  <c r="AH161" i="10"/>
  <c r="AR161" i="10"/>
  <c r="AW172" i="10"/>
  <c r="O172" i="10"/>
  <c r="BI172" i="10" s="1"/>
  <c r="AM172" i="10"/>
  <c r="AD172" i="10"/>
  <c r="BF172" i="10"/>
  <c r="BE173" i="10"/>
  <c r="AW173" i="10"/>
  <c r="AO173" i="10"/>
  <c r="AR173" i="10"/>
  <c r="AC181" i="10"/>
  <c r="AE181" i="10" s="1"/>
  <c r="AZ181" i="10"/>
  <c r="AH181" i="10"/>
  <c r="O181" i="10"/>
  <c r="BG181" i="10"/>
  <c r="BF181" i="10"/>
  <c r="O218" i="10"/>
  <c r="AD218" i="10"/>
  <c r="AC218" i="10"/>
  <c r="AH218" i="10"/>
  <c r="AH236" i="10"/>
  <c r="AH119" i="10"/>
  <c r="AZ121" i="10"/>
  <c r="AH127" i="10"/>
  <c r="AH135" i="10"/>
  <c r="AX135" i="10"/>
  <c r="AH143" i="10"/>
  <c r="AC154" i="10"/>
  <c r="AE154" i="10" s="1"/>
  <c r="AC155" i="10"/>
  <c r="AJ161" i="10"/>
  <c r="AS161" i="10"/>
  <c r="BB161" i="10"/>
  <c r="BB170" i="10"/>
  <c r="AT170" i="10"/>
  <c r="AD170" i="10"/>
  <c r="AK170" i="10"/>
  <c r="AC170" i="10"/>
  <c r="AP170" i="10"/>
  <c r="AZ170" i="10"/>
  <c r="BG170" i="10"/>
  <c r="BG172" i="10"/>
  <c r="AS173" i="10"/>
  <c r="AZ176" i="10"/>
  <c r="AW176" i="10"/>
  <c r="BG179" i="10"/>
  <c r="O179" i="10"/>
  <c r="AD179" i="10"/>
  <c r="AK179" i="10"/>
  <c r="AC179" i="10"/>
  <c r="AZ191" i="10"/>
  <c r="AD193" i="10"/>
  <c r="AC193" i="10"/>
  <c r="AH193" i="10"/>
  <c r="BG193" i="10"/>
  <c r="O193" i="10"/>
  <c r="BI193" i="10" s="1"/>
  <c r="BF193" i="10"/>
  <c r="O211" i="10"/>
  <c r="AD211" i="10"/>
  <c r="AC211" i="10"/>
  <c r="BF211" i="10"/>
  <c r="AD216" i="10"/>
  <c r="AC216" i="10"/>
  <c r="AB216" i="10"/>
  <c r="AZ216" i="10" s="1"/>
  <c r="BG216" i="10"/>
  <c r="AH216" i="10"/>
  <c r="AH152" i="10"/>
  <c r="AX152" i="10"/>
  <c r="AH160" i="10"/>
  <c r="O166" i="10"/>
  <c r="BI166" i="10" s="1"/>
  <c r="BA166" i="10" s="1"/>
  <c r="AH168" i="10"/>
  <c r="AM173" i="10"/>
  <c r="AU173" i="10"/>
  <c r="BC173" i="10"/>
  <c r="O174" i="10"/>
  <c r="BI174" i="10" s="1"/>
  <c r="BA174" i="10" s="1"/>
  <c r="BD174" i="10"/>
  <c r="AH176" i="10"/>
  <c r="AP176" i="10"/>
  <c r="AX176" i="10"/>
  <c r="AO180" i="10"/>
  <c r="AX180" i="10"/>
  <c r="BG180" i="10"/>
  <c r="AH183" i="10"/>
  <c r="AQ183" i="10"/>
  <c r="AZ183" i="10"/>
  <c r="O185" i="10"/>
  <c r="BI185" i="10" s="1"/>
  <c r="AB186" i="10"/>
  <c r="AS189" i="10"/>
  <c r="BF197" i="10"/>
  <c r="AH197" i="10"/>
  <c r="O197" i="10"/>
  <c r="BI197" i="10" s="1"/>
  <c r="AC197" i="10"/>
  <c r="AE197" i="10" s="1"/>
  <c r="AB197" i="10"/>
  <c r="BG197" i="10"/>
  <c r="AN203" i="10"/>
  <c r="O203" i="10"/>
  <c r="BB203" i="10"/>
  <c r="AD203" i="10"/>
  <c r="AE203" i="10" s="1"/>
  <c r="AH203" i="10"/>
  <c r="BF203" i="10"/>
  <c r="AW205" i="10"/>
  <c r="AK205" i="10"/>
  <c r="AJ205" i="10"/>
  <c r="O252" i="10"/>
  <c r="AD252" i="10"/>
  <c r="BG252" i="10"/>
  <c r="AH252" i="10"/>
  <c r="AC252" i="10"/>
  <c r="AB252" i="10"/>
  <c r="O165" i="10"/>
  <c r="BI165" i="10" s="1"/>
  <c r="BE166" i="10"/>
  <c r="AH167" i="10"/>
  <c r="AQ168" i="10"/>
  <c r="O173" i="10"/>
  <c r="BI173" i="10" s="1"/>
  <c r="AN173" i="10"/>
  <c r="AV173" i="10"/>
  <c r="BD173" i="10"/>
  <c r="AH175" i="10"/>
  <c r="AI176" i="10"/>
  <c r="AQ176" i="10"/>
  <c r="O180" i="10"/>
  <c r="BI180" i="10" s="1"/>
  <c r="AY180" i="10" s="1"/>
  <c r="AP180" i="10"/>
  <c r="AR184" i="10"/>
  <c r="BG192" i="10"/>
  <c r="O192" i="10"/>
  <c r="BF192" i="10"/>
  <c r="AD192" i="10"/>
  <c r="AB192" i="10"/>
  <c r="AR192" i="10" s="1"/>
  <c r="BD210" i="10"/>
  <c r="AN210" i="10"/>
  <c r="O210" i="10"/>
  <c r="BI210" i="10" s="1"/>
  <c r="AU210" i="10"/>
  <c r="BB210" i="10"/>
  <c r="AL210" i="10"/>
  <c r="AD210" i="10"/>
  <c r="AS210" i="10"/>
  <c r="AK210" i="10"/>
  <c r="AC210" i="10"/>
  <c r="AM210" i="10"/>
  <c r="AX210" i="10"/>
  <c r="AH210" i="10"/>
  <c r="AW210" i="10"/>
  <c r="AR210" i="10"/>
  <c r="BF210" i="10"/>
  <c r="AP210" i="10"/>
  <c r="BG210" i="10"/>
  <c r="AV220" i="10"/>
  <c r="AN220" i="10"/>
  <c r="AS220" i="10"/>
  <c r="AR220" i="10"/>
  <c r="AQ220" i="10"/>
  <c r="AK220" i="10"/>
  <c r="AH166" i="10"/>
  <c r="BF166" i="10"/>
  <c r="AH174" i="10"/>
  <c r="BF174" i="10"/>
  <c r="AJ176" i="10"/>
  <c r="AR176" i="10"/>
  <c r="AH180" i="10"/>
  <c r="AQ180" i="10"/>
  <c r="BB183" i="10"/>
  <c r="AD185" i="10"/>
  <c r="BG185" i="10"/>
  <c r="O189" i="10"/>
  <c r="BI189" i="10" s="1"/>
  <c r="AC189" i="10"/>
  <c r="AW189" i="10"/>
  <c r="BG189" i="10"/>
  <c r="AB190" i="10"/>
  <c r="AI210" i="10"/>
  <c r="AC249" i="10"/>
  <c r="AB249" i="10"/>
  <c r="AR249" i="10" s="1"/>
  <c r="BG249" i="10"/>
  <c r="O249" i="10"/>
  <c r="BI249" i="10" s="1"/>
  <c r="AH249" i="10"/>
  <c r="AD249" i="10"/>
  <c r="AP282" i="10"/>
  <c r="AL282" i="10"/>
  <c r="BD282" i="10"/>
  <c r="AW282" i="10"/>
  <c r="AS282" i="10"/>
  <c r="AH165" i="10"/>
  <c r="AB167" i="10"/>
  <c r="AH173" i="10"/>
  <c r="AP173" i="10"/>
  <c r="AX173" i="10"/>
  <c r="AI174" i="10"/>
  <c r="AB175" i="10"/>
  <c r="AK176" i="10"/>
  <c r="AZ180" i="10"/>
  <c r="AR180" i="10"/>
  <c r="AJ180" i="10"/>
  <c r="AI180" i="10"/>
  <c r="AS180" i="10"/>
  <c r="BB180" i="10"/>
  <c r="BG184" i="10"/>
  <c r="O184" i="10"/>
  <c r="AB185" i="10"/>
  <c r="AZ185" i="10" s="1"/>
  <c r="AC185" i="10"/>
  <c r="BI195" i="10"/>
  <c r="AZ195" i="10"/>
  <c r="AH195" i="10"/>
  <c r="O202" i="10"/>
  <c r="AC202" i="10"/>
  <c r="BG202" i="10"/>
  <c r="AH202" i="10"/>
  <c r="AD202" i="10"/>
  <c r="AZ202" i="10"/>
  <c r="AB212" i="10"/>
  <c r="AD228" i="10"/>
  <c r="AC228" i="10"/>
  <c r="AB228" i="10"/>
  <c r="BG228" i="10"/>
  <c r="AH228" i="10"/>
  <c r="AB248" i="10"/>
  <c r="AU248" i="10" s="1"/>
  <c r="BF249" i="10"/>
  <c r="AD187" i="10"/>
  <c r="AN195" i="10"/>
  <c r="BG198" i="10"/>
  <c r="BD198" i="10"/>
  <c r="AB199" i="10"/>
  <c r="O208" i="10"/>
  <c r="AZ213" i="10"/>
  <c r="BB220" i="10"/>
  <c r="AU226" i="10"/>
  <c r="AS226" i="10"/>
  <c r="O230" i="10"/>
  <c r="AD230" i="10"/>
  <c r="AC230" i="10"/>
  <c r="AH230" i="10"/>
  <c r="BG230" i="10"/>
  <c r="AC238" i="10"/>
  <c r="AH238" i="10"/>
  <c r="O238" i="10"/>
  <c r="BG238" i="10"/>
  <c r="AD238" i="10"/>
  <c r="BB259" i="10"/>
  <c r="AH259" i="10"/>
  <c r="AZ259" i="10"/>
  <c r="AB193" i="10"/>
  <c r="AL193" i="10" s="1"/>
  <c r="AD208" i="10"/>
  <c r="AC208" i="10"/>
  <c r="AB208" i="10"/>
  <c r="BB208" i="10" s="1"/>
  <c r="BG208" i="10"/>
  <c r="BF208" i="10"/>
  <c r="AL213" i="10"/>
  <c r="O219" i="10"/>
  <c r="BI219" i="10" s="1"/>
  <c r="AD219" i="10"/>
  <c r="BF219" i="10"/>
  <c r="BI220" i="10"/>
  <c r="BA220" i="10" s="1"/>
  <c r="AX244" i="10"/>
  <c r="BD244" i="10"/>
  <c r="AX259" i="10"/>
  <c r="AL259" i="10"/>
  <c r="AW259" i="10"/>
  <c r="AK259" i="10"/>
  <c r="AO259" i="10"/>
  <c r="BE259" i="10"/>
  <c r="AI259" i="10"/>
  <c r="AR259" i="10"/>
  <c r="AP259" i="10"/>
  <c r="AC194" i="10"/>
  <c r="BC194" i="10"/>
  <c r="AD217" i="10"/>
  <c r="AC217" i="10"/>
  <c r="BG217" i="10"/>
  <c r="BG219" i="10"/>
  <c r="BG224" i="10"/>
  <c r="BF224" i="10"/>
  <c r="AD224" i="10"/>
  <c r="AC224" i="10"/>
  <c r="BI224" i="10"/>
  <c r="BA224" i="10" s="1"/>
  <c r="BB225" i="10"/>
  <c r="AZ225" i="10"/>
  <c r="AB258" i="10"/>
  <c r="AU194" i="10"/>
  <c r="BB195" i="10"/>
  <c r="AT195" i="10"/>
  <c r="AD195" i="10"/>
  <c r="AE195" i="10" s="1"/>
  <c r="AR195" i="10"/>
  <c r="AD200" i="10"/>
  <c r="AC200" i="10"/>
  <c r="BG200" i="10"/>
  <c r="AB217" i="10"/>
  <c r="AB224" i="10"/>
  <c r="AB235" i="10"/>
  <c r="BG245" i="10"/>
  <c r="BF245" i="10"/>
  <c r="AD245" i="10"/>
  <c r="BI245" i="10"/>
  <c r="BA245" i="10" s="1"/>
  <c r="AC245" i="10"/>
  <c r="AH245" i="10"/>
  <c r="BB246" i="10"/>
  <c r="BI248" i="10"/>
  <c r="AZ262" i="10"/>
  <c r="AT262" i="10"/>
  <c r="AO262" i="10"/>
  <c r="BD262" i="10"/>
  <c r="AH191" i="10"/>
  <c r="AH199" i="10"/>
  <c r="O205" i="10"/>
  <c r="BI205" i="10" s="1"/>
  <c r="AV205" i="10"/>
  <c r="AH207" i="10"/>
  <c r="O213" i="10"/>
  <c r="AH215" i="10"/>
  <c r="AE220" i="10"/>
  <c r="AM220" i="10"/>
  <c r="AU220" i="10"/>
  <c r="BD220" i="10"/>
  <c r="AI221" i="10"/>
  <c r="BB221" i="10"/>
  <c r="O222" i="10"/>
  <c r="AH222" i="10"/>
  <c r="AX223" i="10"/>
  <c r="BG223" i="10"/>
  <c r="BG225" i="10"/>
  <c r="BF225" i="10"/>
  <c r="AH225" i="10"/>
  <c r="O225" i="10"/>
  <c r="AT226" i="10"/>
  <c r="BF226" i="10"/>
  <c r="AK232" i="10"/>
  <c r="BG236" i="10"/>
  <c r="AD236" i="10"/>
  <c r="AC236" i="10"/>
  <c r="AB236" i="10"/>
  <c r="AD239" i="10"/>
  <c r="O239" i="10"/>
  <c r="BG239" i="10"/>
  <c r="BF239" i="10"/>
  <c r="AC239" i="10"/>
  <c r="AH240" i="10"/>
  <c r="AZ240" i="10"/>
  <c r="AB245" i="10"/>
  <c r="O253" i="10"/>
  <c r="BI253" i="10" s="1"/>
  <c r="BA253" i="10" s="1"/>
  <c r="AH253" i="10"/>
  <c r="BF253" i="10"/>
  <c r="AZ277" i="10"/>
  <c r="AH206" i="10"/>
  <c r="BF206" i="10"/>
  <c r="AH214" i="10"/>
  <c r="BF214" i="10"/>
  <c r="AW233" i="10"/>
  <c r="BI235" i="10"/>
  <c r="AB239" i="10"/>
  <c r="AH265" i="10"/>
  <c r="O267" i="10"/>
  <c r="BB267" i="10"/>
  <c r="AT267" i="10"/>
  <c r="AD267" i="10"/>
  <c r="AC267" i="10"/>
  <c r="AL267" i="10"/>
  <c r="AW267" i="10"/>
  <c r="BG267" i="10"/>
  <c r="BF267" i="10"/>
  <c r="AH267" i="10"/>
  <c r="AZ267" i="10"/>
  <c r="BD277" i="10"/>
  <c r="AV277" i="10"/>
  <c r="AN277" i="10"/>
  <c r="BC277" i="10"/>
  <c r="AU277" i="10"/>
  <c r="AM277" i="10"/>
  <c r="AQ277" i="10"/>
  <c r="AL277" i="10"/>
  <c r="AK277" i="10"/>
  <c r="AT277" i="10"/>
  <c r="AS277" i="10"/>
  <c r="AR277" i="10"/>
  <c r="AJ277" i="10"/>
  <c r="AM300" i="10"/>
  <c r="AH205" i="10"/>
  <c r="AX205" i="10"/>
  <c r="BG206" i="10"/>
  <c r="AB207" i="10"/>
  <c r="AH213" i="10"/>
  <c r="BG214" i="10"/>
  <c r="AB215" i="10"/>
  <c r="AP215" i="10" s="1"/>
  <c r="AO220" i="10"/>
  <c r="AW220" i="10"/>
  <c r="AL221" i="10"/>
  <c r="AC222" i="10"/>
  <c r="AH223" i="10"/>
  <c r="AK226" i="10"/>
  <c r="O231" i="10"/>
  <c r="AD231" i="10"/>
  <c r="BF231" i="10"/>
  <c r="AS233" i="10"/>
  <c r="AH239" i="10"/>
  <c r="AZ244" i="10"/>
  <c r="AN250" i="10"/>
  <c r="O260" i="10"/>
  <c r="AD260" i="10"/>
  <c r="AC260" i="10"/>
  <c r="BG260" i="10"/>
  <c r="BF260" i="10"/>
  <c r="AH260" i="10"/>
  <c r="AH204" i="10"/>
  <c r="AB206" i="10"/>
  <c r="AH212" i="10"/>
  <c r="AB214" i="10"/>
  <c r="AJ214" i="10" s="1"/>
  <c r="BG220" i="10"/>
  <c r="AH220" i="10"/>
  <c r="AP220" i="10"/>
  <c r="AX220" i="10"/>
  <c r="AT223" i="10"/>
  <c r="AD223" i="10"/>
  <c r="AE223" i="10" s="1"/>
  <c r="AZ226" i="10"/>
  <c r="AR226" i="10"/>
  <c r="AJ226" i="10"/>
  <c r="BG226" i="10"/>
  <c r="AQ226" i="10"/>
  <c r="AI226" i="10"/>
  <c r="BE226" i="10"/>
  <c r="AW226" i="10"/>
  <c r="AO226" i="10"/>
  <c r="AL226" i="10"/>
  <c r="AX226" i="10"/>
  <c r="AD229" i="10"/>
  <c r="AC229" i="10"/>
  <c r="BG229" i="10"/>
  <c r="AT233" i="10"/>
  <c r="AT240" i="10"/>
  <c r="AK240" i="10"/>
  <c r="AS240" i="10"/>
  <c r="AJ240" i="10"/>
  <c r="O242" i="10"/>
  <c r="BG242" i="10"/>
  <c r="BF242" i="10"/>
  <c r="AD242" i="10"/>
  <c r="AC242" i="10"/>
  <c r="BD242" i="10"/>
  <c r="AI267" i="10"/>
  <c r="AD273" i="10"/>
  <c r="AC273" i="10"/>
  <c r="AB273" i="10"/>
  <c r="BB273" i="10" s="1"/>
  <c r="BG273" i="10"/>
  <c r="O273" i="10"/>
  <c r="BI273" i="10" s="1"/>
  <c r="BF273" i="10"/>
  <c r="AH273" i="10"/>
  <c r="BB282" i="10"/>
  <c r="AH227" i="10"/>
  <c r="O233" i="10"/>
  <c r="BI233" i="10" s="1"/>
  <c r="BA233" i="10" s="1"/>
  <c r="AN233" i="10"/>
  <c r="BD233" i="10"/>
  <c r="AH234" i="10"/>
  <c r="AZ234" i="10"/>
  <c r="O237" i="10"/>
  <c r="AU240" i="10"/>
  <c r="AM240" i="10"/>
  <c r="AR240" i="10"/>
  <c r="AC246" i="10"/>
  <c r="AE246" i="10" s="1"/>
  <c r="AI247" i="10"/>
  <c r="AB260" i="10"/>
  <c r="AK260" i="10" s="1"/>
  <c r="AB261" i="10"/>
  <c r="O276" i="10"/>
  <c r="BB276" i="10"/>
  <c r="AD276" i="10"/>
  <c r="AZ276" i="10"/>
  <c r="AC276" i="10"/>
  <c r="BG276" i="10"/>
  <c r="AH276" i="10"/>
  <c r="BB240" i="10"/>
  <c r="AH241" i="10"/>
  <c r="AZ241" i="10"/>
  <c r="BB243" i="10"/>
  <c r="BG247" i="10"/>
  <c r="AD247" i="10"/>
  <c r="AE247" i="10" s="1"/>
  <c r="AU247" i="10"/>
  <c r="AM251" i="10"/>
  <c r="AK251" i="10"/>
  <c r="AS255" i="10"/>
  <c r="AH233" i="10"/>
  <c r="AP233" i="10"/>
  <c r="BF233" i="10"/>
  <c r="BB234" i="10"/>
  <c r="O241" i="10"/>
  <c r="AV247" i="10"/>
  <c r="AQ251" i="10"/>
  <c r="AU255" i="10"/>
  <c r="AH263" i="10"/>
  <c r="AC264" i="10"/>
  <c r="AH264" i="10"/>
  <c r="AD264" i="10"/>
  <c r="O264" i="10"/>
  <c r="BI264" i="10" s="1"/>
  <c r="AZ281" i="10"/>
  <c r="AZ304" i="10"/>
  <c r="AH232" i="10"/>
  <c r="AQ233" i="10"/>
  <c r="AB237" i="10"/>
  <c r="AZ237" i="10" s="1"/>
  <c r="BB241" i="10"/>
  <c r="BG244" i="10"/>
  <c r="AQ244" i="10"/>
  <c r="AH244" i="10"/>
  <c r="AX247" i="10"/>
  <c r="AD250" i="10"/>
  <c r="AC250" i="10"/>
  <c r="AQ250" i="10"/>
  <c r="BG250" i="10"/>
  <c r="AC257" i="10"/>
  <c r="AE257" i="10" s="1"/>
  <c r="AB257" i="10"/>
  <c r="AZ257" i="10" s="1"/>
  <c r="BG257" i="10"/>
  <c r="O257" i="10"/>
  <c r="BF264" i="10"/>
  <c r="AK268" i="10"/>
  <c r="BB277" i="10"/>
  <c r="AL278" i="10"/>
  <c r="AH235" i="10"/>
  <c r="AH243" i="10"/>
  <c r="AH251" i="10"/>
  <c r="AX251" i="10"/>
  <c r="AM254" i="10"/>
  <c r="AC254" i="10"/>
  <c r="AE254" i="10" s="1"/>
  <c r="AK254" i="10"/>
  <c r="AD255" i="10"/>
  <c r="AE255" i="10" s="1"/>
  <c r="AC258" i="10"/>
  <c r="AQ259" i="10"/>
  <c r="AR262" i="10"/>
  <c r="BC262" i="10"/>
  <c r="AB263" i="10"/>
  <c r="BG263" i="10"/>
  <c r="AD263" i="10"/>
  <c r="AE263" i="10" s="1"/>
  <c r="BI263" i="10"/>
  <c r="AY263" i="10" s="1"/>
  <c r="AH266" i="10"/>
  <c r="AN268" i="10"/>
  <c r="O268" i="10"/>
  <c r="BB268" i="10"/>
  <c r="AD268" i="10"/>
  <c r="AE268" i="10" s="1"/>
  <c r="AZ268" i="10"/>
  <c r="AQ268" i="10"/>
  <c r="O275" i="10"/>
  <c r="AD275" i="10"/>
  <c r="AC275" i="10"/>
  <c r="AQ275" i="10"/>
  <c r="AH275" i="10"/>
  <c r="BF275" i="10"/>
  <c r="AQ293" i="10"/>
  <c r="AV293" i="10"/>
  <c r="AZ293" i="10"/>
  <c r="AH248" i="10"/>
  <c r="AP248" i="10"/>
  <c r="O254" i="10"/>
  <c r="BI254" i="10" s="1"/>
  <c r="AY254" i="10" s="1"/>
  <c r="AN254" i="10"/>
  <c r="AV254" i="10"/>
  <c r="BD254" i="10"/>
  <c r="AW255" i="10"/>
  <c r="AH256" i="10"/>
  <c r="O258" i="10"/>
  <c r="BI258" i="10" s="1"/>
  <c r="AH258" i="10"/>
  <c r="BD259" i="10"/>
  <c r="AV259" i="10"/>
  <c r="AN259" i="10"/>
  <c r="O259" i="10"/>
  <c r="BI259" i="10" s="1"/>
  <c r="AY259" i="10" s="1"/>
  <c r="BC259" i="10"/>
  <c r="AU259" i="10"/>
  <c r="AM259" i="10"/>
  <c r="AJ259" i="10"/>
  <c r="AT259" i="10"/>
  <c r="BF259" i="10"/>
  <c r="AJ262" i="10"/>
  <c r="AB264" i="10"/>
  <c r="AD265" i="10"/>
  <c r="AC265" i="10"/>
  <c r="BI265" i="10"/>
  <c r="BG265" i="10"/>
  <c r="O266" i="10"/>
  <c r="AE271" i="10"/>
  <c r="BB274" i="10"/>
  <c r="AD274" i="10"/>
  <c r="AC274" i="10"/>
  <c r="BD274" i="10"/>
  <c r="AZ274" i="10"/>
  <c r="O274" i="10"/>
  <c r="O283" i="10"/>
  <c r="BB283" i="10"/>
  <c r="AH283" i="10"/>
  <c r="AQ283" i="10"/>
  <c r="AZ283" i="10"/>
  <c r="AD283" i="10"/>
  <c r="AC283" i="10"/>
  <c r="AU283" i="10"/>
  <c r="BG283" i="10"/>
  <c r="BF283" i="10"/>
  <c r="AJ283" i="10"/>
  <c r="BI292" i="10"/>
  <c r="AV311" i="10"/>
  <c r="AJ311" i="10"/>
  <c r="AQ311" i="10"/>
  <c r="AN311" i="10"/>
  <c r="AT311" i="10"/>
  <c r="BD311" i="10"/>
  <c r="AH255" i="10"/>
  <c r="BF255" i="10"/>
  <c r="BB270" i="10"/>
  <c r="O279" i="10"/>
  <c r="BI279" i="10" s="1"/>
  <c r="BG279" i="10"/>
  <c r="BF279" i="10"/>
  <c r="AD279" i="10"/>
  <c r="AC279" i="10"/>
  <c r="AD288" i="10"/>
  <c r="AC288" i="10"/>
  <c r="BG288" i="10"/>
  <c r="AH288" i="10"/>
  <c r="BF288" i="10"/>
  <c r="O288" i="10"/>
  <c r="AB292" i="10"/>
  <c r="AO292" i="10" s="1"/>
  <c r="AI318" i="10"/>
  <c r="AT318" i="10"/>
  <c r="AH254" i="10"/>
  <c r="AP254" i="10"/>
  <c r="AB256" i="10"/>
  <c r="AX256" i="10" s="1"/>
  <c r="AM258" i="10"/>
  <c r="BB258" i="10"/>
  <c r="AD258" i="10"/>
  <c r="BF258" i="10"/>
  <c r="AQ262" i="10"/>
  <c r="AI262" i="10"/>
  <c r="AW262" i="10"/>
  <c r="AM262" i="10"/>
  <c r="AL262" i="10"/>
  <c r="AD266" i="10"/>
  <c r="AC266" i="10"/>
  <c r="AH274" i="10"/>
  <c r="BG274" i="10"/>
  <c r="AH279" i="10"/>
  <c r="BB280" i="10"/>
  <c r="AC287" i="10"/>
  <c r="BG287" i="10"/>
  <c r="AH287" i="10"/>
  <c r="BF287" i="10"/>
  <c r="AD287" i="10"/>
  <c r="AE287" i="10" s="1"/>
  <c r="O287" i="10"/>
  <c r="AE318" i="10"/>
  <c r="AB265" i="10"/>
  <c r="BB265" i="10" s="1"/>
  <c r="AB279" i="10"/>
  <c r="AC280" i="10"/>
  <c r="BG280" i="10"/>
  <c r="BF280" i="10"/>
  <c r="AM280" i="10"/>
  <c r="AD280" i="10"/>
  <c r="BB285" i="10"/>
  <c r="AB288" i="10"/>
  <c r="AO288" i="10" s="1"/>
  <c r="O290" i="10"/>
  <c r="BB290" i="10"/>
  <c r="AD290" i="10"/>
  <c r="AH290" i="10"/>
  <c r="BG290" i="10"/>
  <c r="AC290" i="10"/>
  <c r="AV290" i="10"/>
  <c r="BF290" i="10"/>
  <c r="AP290" i="10"/>
  <c r="BE278" i="10"/>
  <c r="AB287" i="10"/>
  <c r="AJ287" i="10" s="1"/>
  <c r="O291" i="10"/>
  <c r="AD291" i="10"/>
  <c r="AH291" i="10"/>
  <c r="AC291" i="10"/>
  <c r="BG291" i="10"/>
  <c r="AW296" i="10"/>
  <c r="AK296" i="10"/>
  <c r="BE296" i="10"/>
  <c r="AS296" i="10"/>
  <c r="AI296" i="10"/>
  <c r="BB296" i="10"/>
  <c r="AR296" i="10"/>
  <c r="AL296" i="10"/>
  <c r="AZ296" i="10"/>
  <c r="AX303" i="10"/>
  <c r="AB284" i="10"/>
  <c r="BB289" i="10"/>
  <c r="AD289" i="10"/>
  <c r="AC289" i="10"/>
  <c r="BG289" i="10"/>
  <c r="AH289" i="10"/>
  <c r="BF289" i="10"/>
  <c r="AZ289" i="10"/>
  <c r="AS299" i="10"/>
  <c r="AX278" i="10"/>
  <c r="BI282" i="10"/>
  <c r="AY282" i="10" s="1"/>
  <c r="AB308" i="10"/>
  <c r="AH308" i="10"/>
  <c r="AH326" i="10"/>
  <c r="AB326" i="10"/>
  <c r="AZ326" i="10" s="1"/>
  <c r="AH272" i="10"/>
  <c r="BF272" i="10"/>
  <c r="BB281" i="10"/>
  <c r="AD281" i="10"/>
  <c r="AD302" i="10"/>
  <c r="AC302" i="10"/>
  <c r="AB302" i="10"/>
  <c r="AT302" i="10" s="1"/>
  <c r="BG302" i="10"/>
  <c r="AH302" i="10"/>
  <c r="BF302" i="10"/>
  <c r="AH271" i="10"/>
  <c r="BF271" i="10"/>
  <c r="BG272" i="10"/>
  <c r="AZ297" i="10"/>
  <c r="AB298" i="10"/>
  <c r="AX298" i="10" s="1"/>
  <c r="BB304" i="10"/>
  <c r="AO307" i="10"/>
  <c r="BD307" i="10"/>
  <c r="BC307" i="10"/>
  <c r="BG312" i="10"/>
  <c r="BF312" i="10"/>
  <c r="AH312" i="10"/>
  <c r="AD312" i="10"/>
  <c r="AC312" i="10"/>
  <c r="AB312" i="10"/>
  <c r="AZ312" i="10" s="1"/>
  <c r="O312" i="10"/>
  <c r="AH262" i="10"/>
  <c r="AP262" i="10"/>
  <c r="AX262" i="10"/>
  <c r="AH270" i="10"/>
  <c r="BG271" i="10"/>
  <c r="AO277" i="10"/>
  <c r="AW277" i="10"/>
  <c r="BE277" i="10"/>
  <c r="BG278" i="10"/>
  <c r="AQ278" i="10"/>
  <c r="AH278" i="10"/>
  <c r="AH282" i="10"/>
  <c r="AZ282" i="10"/>
  <c r="AH286" i="10"/>
  <c r="BB301" i="10"/>
  <c r="BI303" i="10"/>
  <c r="AI304" i="10"/>
  <c r="AQ304" i="10"/>
  <c r="AO304" i="10"/>
  <c r="BE304" i="10"/>
  <c r="AH261" i="10"/>
  <c r="AH269" i="10"/>
  <c r="AB271" i="10"/>
  <c r="AJ271" i="10" s="1"/>
  <c r="AC272" i="10"/>
  <c r="AE272" i="10" s="1"/>
  <c r="AH277" i="10"/>
  <c r="AP277" i="10"/>
  <c r="AX277" i="10"/>
  <c r="AC281" i="10"/>
  <c r="BC282" i="10"/>
  <c r="AI282" i="10"/>
  <c r="AR282" i="10"/>
  <c r="AB286" i="10"/>
  <c r="BG286" i="10"/>
  <c r="BF286" i="10"/>
  <c r="BG300" i="10"/>
  <c r="AW300" i="10"/>
  <c r="AU300" i="10"/>
  <c r="AH300" i="10"/>
  <c r="O300" i="10"/>
  <c r="BI300" i="10" s="1"/>
  <c r="BA300" i="10" s="1"/>
  <c r="BF300" i="10"/>
  <c r="AX300" i="10"/>
  <c r="BG321" i="10"/>
  <c r="BF321" i="10"/>
  <c r="AH321" i="10"/>
  <c r="AD321" i="10"/>
  <c r="BI321" i="10"/>
  <c r="AD295" i="10"/>
  <c r="AN297" i="10"/>
  <c r="O297" i="10"/>
  <c r="BB297" i="10"/>
  <c r="BG297" i="10"/>
  <c r="AS313" i="10"/>
  <c r="BC313" i="10"/>
  <c r="AP313" i="10"/>
  <c r="BB313" i="10"/>
  <c r="AO313" i="10"/>
  <c r="AT313" i="10"/>
  <c r="AH294" i="10"/>
  <c r="BF294" i="10"/>
  <c r="BG305" i="10"/>
  <c r="O305" i="10"/>
  <c r="BI305" i="10" s="1"/>
  <c r="BF305" i="10"/>
  <c r="AD305" i="10"/>
  <c r="AC305" i="10"/>
  <c r="AX313" i="10"/>
  <c r="BB322" i="10"/>
  <c r="AO284" i="10"/>
  <c r="AW284" i="10"/>
  <c r="AH285" i="10"/>
  <c r="AH293" i="10"/>
  <c r="BG294" i="10"/>
  <c r="BD296" i="10"/>
  <c r="AV296" i="10"/>
  <c r="AN296" i="10"/>
  <c r="O296" i="10"/>
  <c r="BI296" i="10" s="1"/>
  <c r="BC296" i="10"/>
  <c r="AU296" i="10"/>
  <c r="AM296" i="10"/>
  <c r="AE296" i="10"/>
  <c r="AJ296" i="10"/>
  <c r="AT296" i="10"/>
  <c r="BF296" i="10"/>
  <c r="AE298" i="10"/>
  <c r="BF303" i="10"/>
  <c r="AV303" i="10"/>
  <c r="AM303" i="10"/>
  <c r="AD303" i="10"/>
  <c r="BC303" i="10"/>
  <c r="AC303" i="10"/>
  <c r="BB303" i="10"/>
  <c r="AJ303" i="10"/>
  <c r="AR303" i="10"/>
  <c r="AB305" i="10"/>
  <c r="AN305" i="10" s="1"/>
  <c r="AX309" i="10"/>
  <c r="AL309" i="10"/>
  <c r="AU309" i="10"/>
  <c r="AJ309" i="10"/>
  <c r="AT309" i="10"/>
  <c r="AI309" i="10"/>
  <c r="BI318" i="10"/>
  <c r="AH284" i="10"/>
  <c r="AH292" i="10"/>
  <c r="AB294" i="10"/>
  <c r="AZ294" i="10" s="1"/>
  <c r="AC295" i="10"/>
  <c r="AC297" i="10"/>
  <c r="AE297" i="10" s="1"/>
  <c r="AC310" i="10"/>
  <c r="AH310" i="10"/>
  <c r="BG310" i="10"/>
  <c r="BF310" i="10"/>
  <c r="AD310" i="10"/>
  <c r="AH301" i="10"/>
  <c r="BF301" i="10"/>
  <c r="AI307" i="10"/>
  <c r="AS307" i="10"/>
  <c r="AW313" i="10"/>
  <c r="BB315" i="10"/>
  <c r="AD315" i="10"/>
  <c r="AZ315" i="10"/>
  <c r="AH315" i="10"/>
  <c r="BF316" i="10"/>
  <c r="AD316" i="10"/>
  <c r="BB316" i="10"/>
  <c r="AH316" i="10"/>
  <c r="O316" i="10"/>
  <c r="AZ316" i="10"/>
  <c r="AM317" i="10"/>
  <c r="AZ317" i="10"/>
  <c r="BB307" i="10"/>
  <c r="AT307" i="10"/>
  <c r="AL307" i="10"/>
  <c r="AD307" i="10"/>
  <c r="AE307" i="10" s="1"/>
  <c r="BE307" i="10"/>
  <c r="AV307" i="10"/>
  <c r="AX307" i="10"/>
  <c r="AN307" i="10"/>
  <c r="AJ307" i="10"/>
  <c r="AU307" i="10"/>
  <c r="BG307" i="10"/>
  <c r="AC323" i="10"/>
  <c r="BG323" i="10"/>
  <c r="AD323" i="10"/>
  <c r="O323" i="10"/>
  <c r="BI323" i="10" s="1"/>
  <c r="AY323" i="10" s="1"/>
  <c r="BF323" i="10"/>
  <c r="AZ329" i="10"/>
  <c r="AH330" i="10"/>
  <c r="BE333" i="10"/>
  <c r="AW333" i="10"/>
  <c r="AO333" i="10"/>
  <c r="BD333" i="10"/>
  <c r="AV333" i="10"/>
  <c r="AN333" i="10"/>
  <c r="BB333" i="10"/>
  <c r="AL333" i="10"/>
  <c r="AK333" i="10"/>
  <c r="AZ333" i="10"/>
  <c r="AJ333" i="10"/>
  <c r="BC333" i="10"/>
  <c r="AM333" i="10"/>
  <c r="AT333" i="10"/>
  <c r="AS333" i="10"/>
  <c r="AR333" i="10"/>
  <c r="AH299" i="10"/>
  <c r="BF299" i="10"/>
  <c r="AZ301" i="10"/>
  <c r="AC306" i="10"/>
  <c r="AK307" i="10"/>
  <c r="AW307" i="10"/>
  <c r="BD309" i="10"/>
  <c r="AV309" i="10"/>
  <c r="AN309" i="10"/>
  <c r="O309" i="10"/>
  <c r="BI309" i="10" s="1"/>
  <c r="BA309" i="10" s="1"/>
  <c r="AP309" i="10"/>
  <c r="AZ309" i="10"/>
  <c r="AO309" i="10"/>
  <c r="AD309" i="10"/>
  <c r="AK309" i="10"/>
  <c r="AW309" i="10"/>
  <c r="AL311" i="10"/>
  <c r="AQ313" i="10"/>
  <c r="BB317" i="10"/>
  <c r="AM318" i="10"/>
  <c r="AB319" i="10"/>
  <c r="AX319" i="10" s="1"/>
  <c r="AH323" i="10"/>
  <c r="AH298" i="10"/>
  <c r="AC301" i="10"/>
  <c r="AE301" i="10" s="1"/>
  <c r="BC306" i="10"/>
  <c r="AD306" i="10"/>
  <c r="AM307" i="10"/>
  <c r="AR311" i="10"/>
  <c r="AI311" i="10"/>
  <c r="AS311" i="10"/>
  <c r="AM311" i="10"/>
  <c r="BI315" i="10"/>
  <c r="AC315" i="10"/>
  <c r="BF315" i="10"/>
  <c r="AT316" i="10"/>
  <c r="AC316" i="10"/>
  <c r="BG316" i="10"/>
  <c r="AX318" i="10"/>
  <c r="AK318" i="10"/>
  <c r="AP318" i="10"/>
  <c r="AD324" i="10"/>
  <c r="BI324" i="10"/>
  <c r="AY324" i="10" s="1"/>
  <c r="AC324" i="10"/>
  <c r="AH324" i="10"/>
  <c r="BF324" i="10"/>
  <c r="AX327" i="10"/>
  <c r="AW327" i="10"/>
  <c r="AZ341" i="10"/>
  <c r="AJ341" i="10"/>
  <c r="AU341" i="10"/>
  <c r="AK341" i="10"/>
  <c r="AH304" i="10"/>
  <c r="AZ313" i="10"/>
  <c r="AR313" i="10"/>
  <c r="AJ313" i="10"/>
  <c r="BD313" i="10"/>
  <c r="AU313" i="10"/>
  <c r="AL313" i="10"/>
  <c r="AC313" i="10"/>
  <c r="AE313" i="10" s="1"/>
  <c r="AK313" i="10"/>
  <c r="AV313" i="10"/>
  <c r="BF313" i="10"/>
  <c r="BD318" i="10"/>
  <c r="AV318" i="10"/>
  <c r="BB318" i="10"/>
  <c r="AR318" i="10"/>
  <c r="AH318" i="10"/>
  <c r="AJ318" i="10"/>
  <c r="AB323" i="10"/>
  <c r="AT323" i="10" s="1"/>
  <c r="AZ325" i="10"/>
  <c r="AL331" i="10"/>
  <c r="BC334" i="10"/>
  <c r="AM334" i="10"/>
  <c r="AL334" i="10"/>
  <c r="AV334" i="10"/>
  <c r="AU334" i="10"/>
  <c r="AT334" i="10"/>
  <c r="AX338" i="10"/>
  <c r="AM313" i="10"/>
  <c r="O317" i="10"/>
  <c r="BF317" i="10"/>
  <c r="AN340" i="10"/>
  <c r="BE342" i="10"/>
  <c r="AW342" i="10"/>
  <c r="AO342" i="10"/>
  <c r="BB342" i="10"/>
  <c r="AL342" i="10"/>
  <c r="AK342" i="10"/>
  <c r="AV342" i="10"/>
  <c r="BC342" i="10"/>
  <c r="AM342" i="10"/>
  <c r="AT342" i="10"/>
  <c r="AS342" i="10"/>
  <c r="AN342" i="10"/>
  <c r="AE308" i="10"/>
  <c r="AC314" i="10"/>
  <c r="AE314" i="10" s="1"/>
  <c r="AB321" i="10"/>
  <c r="AW321" i="10" s="1"/>
  <c r="O326" i="10"/>
  <c r="BI326" i="10" s="1"/>
  <c r="AD326" i="10"/>
  <c r="AE326" i="10" s="1"/>
  <c r="BF326" i="10"/>
  <c r="AZ327" i="10"/>
  <c r="AH327" i="10"/>
  <c r="BG330" i="10"/>
  <c r="O337" i="10"/>
  <c r="BI337" i="10" s="1"/>
  <c r="BA337" i="10" s="1"/>
  <c r="AB344" i="10"/>
  <c r="AB324" i="10"/>
  <c r="AZ324" i="10" s="1"/>
  <c r="AD337" i="10"/>
  <c r="AC337" i="10"/>
  <c r="AH337" i="10"/>
  <c r="BG337" i="10"/>
  <c r="AB339" i="10"/>
  <c r="AX339" i="10" s="1"/>
  <c r="BB328" i="10"/>
  <c r="AD328" i="10"/>
  <c r="BG328" i="10"/>
  <c r="BF328" i="10"/>
  <c r="AC328" i="10"/>
  <c r="BD328" i="10"/>
  <c r="O328" i="10"/>
  <c r="BD331" i="10"/>
  <c r="AV331" i="10"/>
  <c r="AN331" i="10"/>
  <c r="O331" i="10"/>
  <c r="BI331" i="10" s="1"/>
  <c r="BC331" i="10"/>
  <c r="AU331" i="10"/>
  <c r="AM331" i="10"/>
  <c r="BE331" i="10"/>
  <c r="AW331" i="10"/>
  <c r="AO331" i="10"/>
  <c r="AT331" i="10"/>
  <c r="AI331" i="10"/>
  <c r="BG331" i="10"/>
  <c r="AS331" i="10"/>
  <c r="AH331" i="10"/>
  <c r="BF331" i="10"/>
  <c r="AR331" i="10"/>
  <c r="AD331" i="10"/>
  <c r="AE331" i="10" s="1"/>
  <c r="AX331" i="10"/>
  <c r="AJ331" i="10"/>
  <c r="BB325" i="10"/>
  <c r="AD325" i="10"/>
  <c r="AC325" i="10"/>
  <c r="AO325" i="10"/>
  <c r="O325" i="10"/>
  <c r="BG325" i="10"/>
  <c r="O330" i="10"/>
  <c r="AZ330" i="10"/>
  <c r="AD330" i="10"/>
  <c r="AC330" i="10"/>
  <c r="AZ331" i="10"/>
  <c r="AS334" i="10"/>
  <c r="AH311" i="10"/>
  <c r="AP311" i="10"/>
  <c r="AX311" i="10"/>
  <c r="AH319" i="10"/>
  <c r="AQ320" i="10"/>
  <c r="BG320" i="10"/>
  <c r="BD322" i="10"/>
  <c r="AC322" i="10"/>
  <c r="AC327" i="10"/>
  <c r="AE327" i="10" s="1"/>
  <c r="AR327" i="10"/>
  <c r="BB327" i="10"/>
  <c r="BE329" i="10"/>
  <c r="AC329" i="10"/>
  <c r="AO329" i="10"/>
  <c r="AC336" i="10"/>
  <c r="BG336" i="10"/>
  <c r="AD336" i="10"/>
  <c r="BF336" i="10"/>
  <c r="AH322" i="10"/>
  <c r="BF322" i="10"/>
  <c r="BB329" i="10"/>
  <c r="AD329" i="10"/>
  <c r="BC329" i="10"/>
  <c r="AU329" i="10"/>
  <c r="AJ329" i="10"/>
  <c r="BF329" i="10"/>
  <c r="AB337" i="10"/>
  <c r="BG322" i="10"/>
  <c r="AW329" i="10"/>
  <c r="BG329" i="10"/>
  <c r="AB332" i="10"/>
  <c r="AX332" i="10" s="1"/>
  <c r="AD345" i="10"/>
  <c r="AC345" i="10"/>
  <c r="BG345" i="10"/>
  <c r="AH320" i="10"/>
  <c r="AZ322" i="10"/>
  <c r="AN329" i="10"/>
  <c r="BE334" i="10"/>
  <c r="AW334" i="10"/>
  <c r="AO334" i="10"/>
  <c r="AN334" i="10"/>
  <c r="BD334" i="10"/>
  <c r="BB338" i="10"/>
  <c r="AD338" i="10"/>
  <c r="AC338" i="10"/>
  <c r="AJ338" i="10"/>
  <c r="BD338" i="10"/>
  <c r="O338" i="10"/>
  <c r="BG338" i="10"/>
  <c r="AB345" i="10"/>
  <c r="AZ345" i="10" s="1"/>
  <c r="AH332" i="10"/>
  <c r="AI333" i="10"/>
  <c r="AQ333" i="10"/>
  <c r="BG333" i="10"/>
  <c r="AJ334" i="10"/>
  <c r="AR334" i="10"/>
  <c r="AZ334" i="10"/>
  <c r="AV335" i="10"/>
  <c r="AC335" i="10"/>
  <c r="AH340" i="10"/>
  <c r="BG341" i="10"/>
  <c r="AJ342" i="10"/>
  <c r="AR342" i="10"/>
  <c r="AZ342" i="10"/>
  <c r="AC343" i="10"/>
  <c r="AE343" i="10" s="1"/>
  <c r="AH335" i="10"/>
  <c r="AP335" i="10"/>
  <c r="BF335" i="10"/>
  <c r="AH343" i="10"/>
  <c r="AP343" i="10"/>
  <c r="BF343" i="10"/>
  <c r="AH334" i="10"/>
  <c r="AP334" i="10"/>
  <c r="AX334" i="10"/>
  <c r="BF334" i="10"/>
  <c r="BG335" i="10"/>
  <c r="AH342" i="10"/>
  <c r="AP342" i="10"/>
  <c r="AX342" i="10"/>
  <c r="BF342" i="10"/>
  <c r="BG343" i="10"/>
  <c r="AH333" i="10"/>
  <c r="AP333" i="10"/>
  <c r="AX333" i="10"/>
  <c r="AI334" i="10"/>
  <c r="AQ334" i="10"/>
  <c r="AZ335" i="10"/>
  <c r="AH341" i="10"/>
  <c r="AI342" i="10"/>
  <c r="AQ342" i="10"/>
  <c r="AZ343" i="10"/>
  <c r="BD204" i="10" l="1"/>
  <c r="AT181" i="10"/>
  <c r="AQ340" i="10"/>
  <c r="AV340" i="10"/>
  <c r="AO320" i="10"/>
  <c r="AM299" i="10"/>
  <c r="BE297" i="10"/>
  <c r="AX297" i="10"/>
  <c r="AT297" i="10"/>
  <c r="AR278" i="10"/>
  <c r="AP278" i="10"/>
  <c r="AJ299" i="10"/>
  <c r="AM278" i="10"/>
  <c r="AL280" i="10"/>
  <c r="AK280" i="10"/>
  <c r="AZ266" i="10"/>
  <c r="BB266" i="10"/>
  <c r="AT293" i="10"/>
  <c r="AK293" i="10"/>
  <c r="AO293" i="10"/>
  <c r="AN278" i="10"/>
  <c r="AJ268" i="10"/>
  <c r="AU268" i="10"/>
  <c r="BE268" i="10"/>
  <c r="AP251" i="10"/>
  <c r="AZ280" i="10"/>
  <c r="AU278" i="10"/>
  <c r="AR250" i="10"/>
  <c r="AL250" i="10"/>
  <c r="AT234" i="10"/>
  <c r="AP250" i="10"/>
  <c r="AS234" i="10"/>
  <c r="AS251" i="10"/>
  <c r="AU251" i="10"/>
  <c r="AN251" i="10"/>
  <c r="AV221" i="10"/>
  <c r="BD250" i="10"/>
  <c r="AQ223" i="10"/>
  <c r="AU234" i="10"/>
  <c r="AU219" i="10"/>
  <c r="AW238" i="10"/>
  <c r="AT198" i="10"/>
  <c r="AZ198" i="10"/>
  <c r="AX166" i="10"/>
  <c r="AS223" i="10"/>
  <c r="AK196" i="10"/>
  <c r="AW196" i="10"/>
  <c r="AE127" i="10"/>
  <c r="BE152" i="10"/>
  <c r="AN90" i="10"/>
  <c r="AX39" i="10"/>
  <c r="AE85" i="10"/>
  <c r="BB96" i="10"/>
  <c r="AO96" i="10"/>
  <c r="AZ23" i="10"/>
  <c r="BD132" i="10"/>
  <c r="AI80" i="10"/>
  <c r="AE212" i="10"/>
  <c r="AE244" i="10"/>
  <c r="AE335" i="10"/>
  <c r="BI330" i="10"/>
  <c r="AJ340" i="10"/>
  <c r="AO340" i="10"/>
  <c r="AZ340" i="10"/>
  <c r="AQ299" i="10"/>
  <c r="AU320" i="10"/>
  <c r="BB306" i="10"/>
  <c r="BB310" i="10"/>
  <c r="AN299" i="10"/>
  <c r="AX293" i="10"/>
  <c r="AT278" i="10"/>
  <c r="AJ278" i="10"/>
  <c r="AU299" i="10"/>
  <c r="BD280" i="10"/>
  <c r="BB278" i="10"/>
  <c r="AV266" i="10"/>
  <c r="AM293" i="10"/>
  <c r="BB293" i="10"/>
  <c r="AW293" i="10"/>
  <c r="BD278" i="10"/>
  <c r="AR251" i="10"/>
  <c r="AZ250" i="10"/>
  <c r="BE251" i="10"/>
  <c r="AL251" i="10"/>
  <c r="BC251" i="10"/>
  <c r="AI234" i="10"/>
  <c r="BB251" i="10"/>
  <c r="AQ234" i="10"/>
  <c r="AR223" i="10"/>
  <c r="AX234" i="10"/>
  <c r="AV198" i="10"/>
  <c r="AJ238" i="10"/>
  <c r="AR238" i="10"/>
  <c r="AW167" i="10"/>
  <c r="AX128" i="10"/>
  <c r="BC223" i="10"/>
  <c r="AL143" i="10"/>
  <c r="AI132" i="10"/>
  <c r="BE96" i="10"/>
  <c r="AU39" i="10"/>
  <c r="AR29" i="10"/>
  <c r="AZ97" i="10"/>
  <c r="AE144" i="10"/>
  <c r="AE232" i="10"/>
  <c r="AE253" i="10"/>
  <c r="BI160" i="10"/>
  <c r="BE241" i="10"/>
  <c r="AE91" i="10"/>
  <c r="AE240" i="10"/>
  <c r="AK320" i="10"/>
  <c r="AT310" i="10"/>
  <c r="AZ299" i="10"/>
  <c r="AP293" i="10"/>
  <c r="BI297" i="10"/>
  <c r="BA297" i="10" s="1"/>
  <c r="AI278" i="10"/>
  <c r="AZ278" i="10"/>
  <c r="AO278" i="10"/>
  <c r="AS278" i="10"/>
  <c r="AW278" i="10"/>
  <c r="AJ293" i="10"/>
  <c r="AN293" i="10"/>
  <c r="AO251" i="10"/>
  <c r="AT251" i="10"/>
  <c r="AI166" i="10"/>
  <c r="AE172" i="10"/>
  <c r="AN223" i="10"/>
  <c r="AZ166" i="10"/>
  <c r="BB132" i="10"/>
  <c r="AS152" i="10"/>
  <c r="AM90" i="10"/>
  <c r="AN96" i="10"/>
  <c r="AX23" i="10"/>
  <c r="BE29" i="10"/>
  <c r="BB152" i="10"/>
  <c r="AM23" i="10"/>
  <c r="AT23" i="10"/>
  <c r="AE285" i="10"/>
  <c r="AE269" i="10"/>
  <c r="AV285" i="10"/>
  <c r="AO285" i="10"/>
  <c r="AS285" i="10"/>
  <c r="AP285" i="10"/>
  <c r="AJ285" i="10"/>
  <c r="AI285" i="10"/>
  <c r="AQ285" i="10"/>
  <c r="AI30" i="10"/>
  <c r="BD285" i="10"/>
  <c r="BI256" i="10"/>
  <c r="BA256" i="10" s="1"/>
  <c r="BI284" i="10"/>
  <c r="BI100" i="10"/>
  <c r="BA100" i="10" s="1"/>
  <c r="AJ144" i="10"/>
  <c r="BB144" i="10"/>
  <c r="BD144" i="10"/>
  <c r="AK144" i="10"/>
  <c r="AZ144" i="10"/>
  <c r="AM144" i="10"/>
  <c r="AP144" i="10"/>
  <c r="AI144" i="10"/>
  <c r="BC144" i="10"/>
  <c r="AW144" i="10"/>
  <c r="AR107" i="10"/>
  <c r="AJ107" i="10"/>
  <c r="AW107" i="10"/>
  <c r="AM107" i="10"/>
  <c r="BC107" i="10"/>
  <c r="BB107" i="10"/>
  <c r="AZ107" i="10"/>
  <c r="BE107" i="10"/>
  <c r="AU107" i="10"/>
  <c r="AK107" i="10"/>
  <c r="AN107" i="10"/>
  <c r="AT107" i="10"/>
  <c r="AX107" i="10"/>
  <c r="BD107" i="10"/>
  <c r="AW129" i="10"/>
  <c r="AI129" i="10"/>
  <c r="AS129" i="10"/>
  <c r="BD129" i="10"/>
  <c r="AL129" i="10"/>
  <c r="AX129" i="10"/>
  <c r="AR129" i="10"/>
  <c r="AM232" i="10"/>
  <c r="AZ232" i="10"/>
  <c r="BD232" i="10"/>
  <c r="AO232" i="10"/>
  <c r="AN79" i="10"/>
  <c r="AL79" i="10"/>
  <c r="AL112" i="10"/>
  <c r="AW112" i="10"/>
  <c r="AN112" i="10"/>
  <c r="AK112" i="10"/>
  <c r="AP112" i="10"/>
  <c r="BC112" i="10"/>
  <c r="AS112" i="10"/>
  <c r="AV25" i="10"/>
  <c r="AS25" i="10"/>
  <c r="AL25" i="10"/>
  <c r="AN25" i="10"/>
  <c r="AT25" i="10"/>
  <c r="AU25" i="10"/>
  <c r="AI25" i="10"/>
  <c r="AQ25" i="10"/>
  <c r="BE25" i="10"/>
  <c r="AW25" i="10"/>
  <c r="BI68" i="10"/>
  <c r="AY68" i="10" s="1"/>
  <c r="AC68" i="10"/>
  <c r="AD68" i="10" s="1"/>
  <c r="AJ174" i="10"/>
  <c r="BC174" i="10"/>
  <c r="AV174" i="10"/>
  <c r="BE174" i="10"/>
  <c r="AL174" i="10"/>
  <c r="AT174" i="10"/>
  <c r="AO174" i="10"/>
  <c r="AP174" i="10"/>
  <c r="AQ174" i="10"/>
  <c r="BI63" i="10"/>
  <c r="BE63" i="10"/>
  <c r="AU63" i="10"/>
  <c r="AX63" i="10"/>
  <c r="AQ31" i="10"/>
  <c r="AS31" i="10"/>
  <c r="AT31" i="10"/>
  <c r="AL31" i="10"/>
  <c r="AN31" i="10"/>
  <c r="AX31" i="10"/>
  <c r="AJ31" i="10"/>
  <c r="AW31" i="10"/>
  <c r="AK31" i="10"/>
  <c r="BC31" i="10"/>
  <c r="AO31" i="10"/>
  <c r="AU31" i="10"/>
  <c r="BD31" i="10"/>
  <c r="AM31" i="10"/>
  <c r="AI31" i="10"/>
  <c r="AP31" i="10"/>
  <c r="AR31" i="10"/>
  <c r="AT205" i="10"/>
  <c r="BE205" i="10"/>
  <c r="AZ205" i="10"/>
  <c r="BC205" i="10"/>
  <c r="BD205" i="10"/>
  <c r="AQ205" i="10"/>
  <c r="AO205" i="10"/>
  <c r="AU205" i="10"/>
  <c r="AN205" i="10"/>
  <c r="AP205" i="10"/>
  <c r="AM8" i="10"/>
  <c r="AH8" i="10"/>
  <c r="AB47" i="10"/>
  <c r="AH47" i="10"/>
  <c r="AP223" i="10"/>
  <c r="AV223" i="10"/>
  <c r="AU223" i="10"/>
  <c r="AK223" i="10"/>
  <c r="AZ223" i="10"/>
  <c r="AL223" i="10"/>
  <c r="AJ223" i="10"/>
  <c r="BE223" i="10"/>
  <c r="AO223" i="10"/>
  <c r="BB223" i="10"/>
  <c r="AI223" i="10"/>
  <c r="AZ153" i="10"/>
  <c r="AM153" i="10"/>
  <c r="BD153" i="10"/>
  <c r="BB153" i="10"/>
  <c r="AZ76" i="10"/>
  <c r="BD76" i="10"/>
  <c r="AL76" i="10"/>
  <c r="AU76" i="10"/>
  <c r="AX76" i="10"/>
  <c r="AB71" i="10"/>
  <c r="AO71" i="10" s="1"/>
  <c r="BB71" i="10"/>
  <c r="AH71" i="10"/>
  <c r="AZ71" i="10"/>
  <c r="BB56" i="10"/>
  <c r="AH56" i="10"/>
  <c r="AZ56" i="10"/>
  <c r="AZ2" i="10"/>
  <c r="AR2" i="10"/>
  <c r="AJ2" i="10"/>
  <c r="BC2" i="10"/>
  <c r="AS2" i="10"/>
  <c r="AM2" i="10"/>
  <c r="BE2" i="10"/>
  <c r="AV2" i="10"/>
  <c r="AU2" i="10"/>
  <c r="BB2" i="10"/>
  <c r="AQ2" i="10"/>
  <c r="AO2" i="10"/>
  <c r="AL2" i="10"/>
  <c r="AP2" i="10"/>
  <c r="BD2" i="10"/>
  <c r="AI2" i="10"/>
  <c r="AX2" i="10"/>
  <c r="AH54" i="10"/>
  <c r="AZ54" i="10"/>
  <c r="AP331" i="10"/>
  <c r="BB331" i="10"/>
  <c r="AK331" i="10"/>
  <c r="AQ331" i="10"/>
  <c r="BB31" i="10"/>
  <c r="AH31" i="10"/>
  <c r="AZ31" i="10"/>
  <c r="AC2" i="10"/>
  <c r="AD2" i="10" s="1"/>
  <c r="AE2" i="10" s="1"/>
  <c r="BI2" i="10"/>
  <c r="AY2" i="10" s="1"/>
  <c r="BI66" i="10"/>
  <c r="BA66" i="10" s="1"/>
  <c r="AC66" i="10"/>
  <c r="AD66" i="10" s="1"/>
  <c r="AS318" i="10"/>
  <c r="AU232" i="10"/>
  <c r="AL228" i="10"/>
  <c r="BB252" i="10"/>
  <c r="AQ252" i="10"/>
  <c r="AN174" i="10"/>
  <c r="AQ144" i="10"/>
  <c r="AZ129" i="10"/>
  <c r="AX144" i="10"/>
  <c r="BE144" i="10"/>
  <c r="AJ112" i="10"/>
  <c r="AS174" i="10"/>
  <c r="AO129" i="10"/>
  <c r="AQ112" i="10"/>
  <c r="AQ107" i="10"/>
  <c r="AZ174" i="10"/>
  <c r="AI107" i="10"/>
  <c r="AR79" i="10"/>
  <c r="AI56" i="10"/>
  <c r="AJ25" i="10"/>
  <c r="AP25" i="10"/>
  <c r="BE112" i="10"/>
  <c r="BB205" i="10"/>
  <c r="AN2" i="10"/>
  <c r="AK2" i="10"/>
  <c r="BE31" i="10"/>
  <c r="AK262" i="10"/>
  <c r="BE262" i="10"/>
  <c r="AU262" i="10"/>
  <c r="AS262" i="10"/>
  <c r="AM223" i="10"/>
  <c r="AO244" i="10"/>
  <c r="BC244" i="10"/>
  <c r="AN244" i="10"/>
  <c r="AZ168" i="10"/>
  <c r="BB168" i="10"/>
  <c r="AN168" i="10"/>
  <c r="BD91" i="10"/>
  <c r="AS91" i="10"/>
  <c r="AU91" i="10"/>
  <c r="AW91" i="10"/>
  <c r="BB91" i="10"/>
  <c r="AP91" i="10"/>
  <c r="AI91" i="10"/>
  <c r="AR91" i="10"/>
  <c r="AW232" i="10"/>
  <c r="AJ129" i="10"/>
  <c r="AO144" i="10"/>
  <c r="AE149" i="10"/>
  <c r="AU144" i="10"/>
  <c r="AP107" i="10"/>
  <c r="BB174" i="10"/>
  <c r="AU174" i="10"/>
  <c r="AQ129" i="10"/>
  <c r="AL107" i="10"/>
  <c r="AE134" i="10"/>
  <c r="AQ76" i="10"/>
  <c r="AT2" i="10"/>
  <c r="AW2" i="10"/>
  <c r="BB47" i="10"/>
  <c r="AO76" i="10"/>
  <c r="AE198" i="10"/>
  <c r="BC56" i="10"/>
  <c r="AR56" i="10"/>
  <c r="AN56" i="10"/>
  <c r="AK56" i="10"/>
  <c r="AW56" i="10"/>
  <c r="AL56" i="10"/>
  <c r="AO56" i="10"/>
  <c r="AP56" i="10"/>
  <c r="BC340" i="10"/>
  <c r="BB340" i="10"/>
  <c r="AQ166" i="10"/>
  <c r="AL166" i="10"/>
  <c r="AJ166" i="10"/>
  <c r="AW166" i="10"/>
  <c r="AL90" i="10"/>
  <c r="AR90" i="10"/>
  <c r="AT90" i="10"/>
  <c r="AX90" i="10"/>
  <c r="BE90" i="10"/>
  <c r="BD90" i="10"/>
  <c r="AQ6" i="10"/>
  <c r="AX6" i="10"/>
  <c r="AP221" i="10"/>
  <c r="AJ221" i="10"/>
  <c r="AK221" i="10"/>
  <c r="AU221" i="10"/>
  <c r="AM221" i="10"/>
  <c r="AQ221" i="10"/>
  <c r="AS221" i="10"/>
  <c r="BC221" i="10"/>
  <c r="AM234" i="10"/>
  <c r="AV234" i="10"/>
  <c r="BE234" i="10"/>
  <c r="AR234" i="10"/>
  <c r="AJ234" i="10"/>
  <c r="AK234" i="10"/>
  <c r="AP234" i="10"/>
  <c r="BI234" i="10"/>
  <c r="AY234" i="10" s="1"/>
  <c r="AO234" i="10"/>
  <c r="BC234" i="10"/>
  <c r="AR317" i="10"/>
  <c r="AZ158" i="10"/>
  <c r="AW158" i="10"/>
  <c r="BB115" i="10"/>
  <c r="AX115" i="10"/>
  <c r="AE300" i="10"/>
  <c r="AW23" i="10"/>
  <c r="BC23" i="10"/>
  <c r="AO23" i="10"/>
  <c r="AK23" i="10"/>
  <c r="AQ23" i="10"/>
  <c r="AV23" i="10"/>
  <c r="AP23" i="10"/>
  <c r="AR23" i="10"/>
  <c r="AS23" i="10"/>
  <c r="BB23" i="10"/>
  <c r="BD23" i="10"/>
  <c r="AH23" i="10"/>
  <c r="AI23" i="10"/>
  <c r="AJ23" i="10"/>
  <c r="AH40" i="10"/>
  <c r="AX40" i="10"/>
  <c r="BC219" i="10"/>
  <c r="AL219" i="10"/>
  <c r="BE269" i="10"/>
  <c r="AR285" i="10"/>
  <c r="AQ318" i="10"/>
  <c r="AU293" i="10"/>
  <c r="AL293" i="10"/>
  <c r="BD293" i="10"/>
  <c r="AI293" i="10"/>
  <c r="AP232" i="10"/>
  <c r="AE245" i="10"/>
  <c r="AX174" i="10"/>
  <c r="AW174" i="10"/>
  <c r="AS205" i="10"/>
  <c r="AI205" i="10"/>
  <c r="AW223" i="10"/>
  <c r="AM112" i="10"/>
  <c r="AS133" i="10"/>
  <c r="AN133" i="10"/>
  <c r="AP76" i="10"/>
  <c r="AV107" i="10"/>
  <c r="AT36" i="10"/>
  <c r="AV31" i="10"/>
  <c r="BB262" i="10"/>
  <c r="AP127" i="10"/>
  <c r="AL127" i="10"/>
  <c r="AT56" i="10"/>
  <c r="AO253" i="10"/>
  <c r="AR253" i="10"/>
  <c r="AU253" i="10"/>
  <c r="AI213" i="10"/>
  <c r="BB213" i="10"/>
  <c r="AU121" i="10"/>
  <c r="BB121" i="10"/>
  <c r="BE121" i="10"/>
  <c r="AO121" i="10"/>
  <c r="AM121" i="10"/>
  <c r="AV121" i="10"/>
  <c r="AP121" i="10"/>
  <c r="AJ121" i="10"/>
  <c r="BB233" i="10"/>
  <c r="AM233" i="10"/>
  <c r="AO233" i="10"/>
  <c r="AV233" i="10"/>
  <c r="AX233" i="10"/>
  <c r="AI233" i="10"/>
  <c r="BB137" i="10"/>
  <c r="AZ137" i="10"/>
  <c r="AO116" i="10"/>
  <c r="BB116" i="10"/>
  <c r="AS136" i="10"/>
  <c r="AL136" i="10"/>
  <c r="AO136" i="10"/>
  <c r="AR136" i="10"/>
  <c r="BE69" i="10"/>
  <c r="AZ69" i="10"/>
  <c r="BB69" i="10"/>
  <c r="AE135" i="10"/>
  <c r="BI79" i="10"/>
  <c r="AY79" i="10" s="1"/>
  <c r="AP72" i="10"/>
  <c r="BB163" i="10"/>
  <c r="AK163" i="10"/>
  <c r="AR163" i="10"/>
  <c r="BD29" i="10"/>
  <c r="AP29" i="10"/>
  <c r="AX161" i="10"/>
  <c r="BE161" i="10"/>
  <c r="AR39" i="10"/>
  <c r="BC39" i="10"/>
  <c r="BE39" i="10"/>
  <c r="AK39" i="10"/>
  <c r="AO39" i="10"/>
  <c r="AP39" i="10"/>
  <c r="AJ54" i="10"/>
  <c r="AO190" i="10"/>
  <c r="AE192" i="10"/>
  <c r="AX131" i="10"/>
  <c r="AE79" i="10"/>
  <c r="AD74" i="10"/>
  <c r="AE74" i="10" s="1"/>
  <c r="AE80" i="10"/>
  <c r="AT119" i="10"/>
  <c r="BI221" i="10"/>
  <c r="AY221" i="10" s="1"/>
  <c r="AK241" i="10"/>
  <c r="AE207" i="10"/>
  <c r="AE84" i="10"/>
  <c r="AE226" i="10"/>
  <c r="AE180" i="10"/>
  <c r="AQ291" i="10"/>
  <c r="BC276" i="10"/>
  <c r="BI236" i="10"/>
  <c r="BA236" i="10" s="1"/>
  <c r="AO168" i="10"/>
  <c r="BI49" i="10"/>
  <c r="AX17" i="10"/>
  <c r="AK225" i="10"/>
  <c r="AQ3" i="10"/>
  <c r="BI227" i="10"/>
  <c r="AU83" i="10"/>
  <c r="AE151" i="10"/>
  <c r="AE243" i="10"/>
  <c r="AE282" i="10"/>
  <c r="AE105" i="10"/>
  <c r="BD33" i="10"/>
  <c r="AK174" i="10"/>
  <c r="BI76" i="10"/>
  <c r="AW8" i="10"/>
  <c r="AV246" i="10"/>
  <c r="BC142" i="10"/>
  <c r="BI55" i="10"/>
  <c r="BA55" i="10" s="1"/>
  <c r="AK83" i="10"/>
  <c r="AK154" i="10"/>
  <c r="BI17" i="10"/>
  <c r="AV87" i="10"/>
  <c r="BI131" i="10"/>
  <c r="AI154" i="10"/>
  <c r="AJ154" i="10"/>
  <c r="AR276" i="10"/>
  <c r="AR83" i="10"/>
  <c r="AP227" i="10"/>
  <c r="AW276" i="10"/>
  <c r="AJ83" i="10"/>
  <c r="AQ83" i="10"/>
  <c r="BE83" i="10"/>
  <c r="AI83" i="10"/>
  <c r="AW83" i="10"/>
  <c r="BC154" i="10"/>
  <c r="AO83" i="10"/>
  <c r="AW3" i="10"/>
  <c r="BI191" i="10"/>
  <c r="AU276" i="10"/>
  <c r="AM83" i="10"/>
  <c r="BD270" i="10"/>
  <c r="AL21" i="10"/>
  <c r="BI110" i="10"/>
  <c r="BI206" i="10"/>
  <c r="BI302" i="10"/>
  <c r="BI59" i="10"/>
  <c r="BA59" i="10" s="1"/>
  <c r="AP327" i="10"/>
  <c r="AK343" i="10"/>
  <c r="AK327" i="10"/>
  <c r="BD300" i="10"/>
  <c r="AQ300" i="10"/>
  <c r="AI255" i="10"/>
  <c r="AI270" i="10"/>
  <c r="BB275" i="10"/>
  <c r="AL255" i="10"/>
  <c r="AJ246" i="10"/>
  <c r="AE273" i="10"/>
  <c r="AT241" i="10"/>
  <c r="AW253" i="10"/>
  <c r="AN219" i="10"/>
  <c r="AE187" i="10"/>
  <c r="AO191" i="10"/>
  <c r="AS203" i="10"/>
  <c r="AW203" i="10"/>
  <c r="AI172" i="10"/>
  <c r="BE168" i="10"/>
  <c r="AN81" i="10"/>
  <c r="BB209" i="10"/>
  <c r="AZ143" i="10"/>
  <c r="AW52" i="10"/>
  <c r="BI168" i="10"/>
  <c r="BA168" i="10" s="1"/>
  <c r="AE81" i="10"/>
  <c r="AT20" i="10"/>
  <c r="AE100" i="10"/>
  <c r="AT300" i="10"/>
  <c r="AN291" i="10"/>
  <c r="AQ270" i="10"/>
  <c r="BE253" i="10"/>
  <c r="AV219" i="10"/>
  <c r="AJ189" i="10"/>
  <c r="AX203" i="10"/>
  <c r="BE203" i="10"/>
  <c r="AN172" i="10"/>
  <c r="AE143" i="10"/>
  <c r="AM142" i="10"/>
  <c r="AT168" i="10"/>
  <c r="AU209" i="10"/>
  <c r="AU191" i="10"/>
  <c r="BI119" i="10"/>
  <c r="AT184" i="10"/>
  <c r="AS327" i="10"/>
  <c r="AN327" i="10"/>
  <c r="BI327" i="10"/>
  <c r="AY327" i="10" s="1"/>
  <c r="AU327" i="10"/>
  <c r="AI323" i="10"/>
  <c r="AJ300" i="10"/>
  <c r="BD219" i="10"/>
  <c r="AI249" i="10"/>
  <c r="AV189" i="10"/>
  <c r="AR168" i="10"/>
  <c r="AX219" i="10"/>
  <c r="AV172" i="10"/>
  <c r="BD158" i="10"/>
  <c r="AX81" i="10"/>
  <c r="AL125" i="10"/>
  <c r="BI142" i="10"/>
  <c r="AP48" i="10"/>
  <c r="AJ52" i="10"/>
  <c r="AZ255" i="10"/>
  <c r="AL163" i="10"/>
  <c r="AK62" i="10"/>
  <c r="AE227" i="10"/>
  <c r="AE262" i="10"/>
  <c r="BC275" i="10"/>
  <c r="AS259" i="10"/>
  <c r="AS343" i="10"/>
  <c r="AI327" i="10"/>
  <c r="AN336" i="10"/>
  <c r="BI317" i="10"/>
  <c r="BA317" i="10" s="1"/>
  <c r="AT327" i="10"/>
  <c r="BE298" i="10"/>
  <c r="AR300" i="10"/>
  <c r="AX255" i="10"/>
  <c r="AX253" i="10"/>
  <c r="AP219" i="10"/>
  <c r="AO219" i="10"/>
  <c r="AJ219" i="10"/>
  <c r="AJ168" i="10"/>
  <c r="AL203" i="10"/>
  <c r="BD172" i="10"/>
  <c r="AP81" i="10"/>
  <c r="AN142" i="10"/>
  <c r="AU168" i="10"/>
  <c r="AD45" i="10"/>
  <c r="BB117" i="10"/>
  <c r="AZ52" i="10"/>
  <c r="AX62" i="10"/>
  <c r="AV327" i="10"/>
  <c r="AW298" i="10"/>
  <c r="AZ300" i="10"/>
  <c r="AZ271" i="10"/>
  <c r="AP255" i="10"/>
  <c r="BE255" i="10"/>
  <c r="AI253" i="10"/>
  <c r="AQ219" i="10"/>
  <c r="AW219" i="10"/>
  <c r="AO275" i="10"/>
  <c r="AZ219" i="10"/>
  <c r="AT203" i="10"/>
  <c r="AP172" i="10"/>
  <c r="AO172" i="10"/>
  <c r="AR181" i="10"/>
  <c r="BD142" i="10"/>
  <c r="AV168" i="10"/>
  <c r="BB52" i="10"/>
  <c r="AD58" i="10"/>
  <c r="AE58" i="10" s="1"/>
  <c r="AE221" i="10"/>
  <c r="AZ70" i="10"/>
  <c r="AJ327" i="10"/>
  <c r="AK300" i="10"/>
  <c r="AX269" i="10"/>
  <c r="AW269" i="10"/>
  <c r="BC308" i="10"/>
  <c r="AT270" i="10"/>
  <c r="AO255" i="10"/>
  <c r="AZ253" i="10"/>
  <c r="AT219" i="10"/>
  <c r="AI168" i="10"/>
  <c r="AU203" i="10"/>
  <c r="AX168" i="10"/>
  <c r="AQ172" i="10"/>
  <c r="AK158" i="10"/>
  <c r="AL172" i="10"/>
  <c r="BE172" i="10"/>
  <c r="BC159" i="10"/>
  <c r="BC168" i="10"/>
  <c r="AJ172" i="10"/>
  <c r="AE96" i="10"/>
  <c r="AZ172" i="10"/>
  <c r="AI219" i="10"/>
  <c r="BI120" i="10"/>
  <c r="BA120" i="10" s="1"/>
  <c r="AV300" i="10"/>
  <c r="AP269" i="10"/>
  <c r="AO269" i="10"/>
  <c r="AP300" i="10"/>
  <c r="AR219" i="10"/>
  <c r="BB219" i="10"/>
  <c r="AS219" i="10"/>
  <c r="BC203" i="10"/>
  <c r="AP168" i="10"/>
  <c r="BD191" i="10"/>
  <c r="AE155" i="10"/>
  <c r="AT172" i="10"/>
  <c r="BC191" i="10"/>
  <c r="AL168" i="10"/>
  <c r="AR172" i="10"/>
  <c r="BI69" i="10"/>
  <c r="AK219" i="10"/>
  <c r="AC59" i="10"/>
  <c r="AD59" i="10" s="1"/>
  <c r="BE327" i="10"/>
  <c r="AE286" i="10"/>
  <c r="AN234" i="10"/>
  <c r="AO238" i="10"/>
  <c r="AP319" i="10"/>
  <c r="BC327" i="10"/>
  <c r="AO327" i="10"/>
  <c r="AO300" i="10"/>
  <c r="AL270" i="10"/>
  <c r="AU241" i="10"/>
  <c r="AL300" i="10"/>
  <c r="AM253" i="10"/>
  <c r="AM219" i="10"/>
  <c r="AM212" i="10"/>
  <c r="AZ203" i="10"/>
  <c r="BB172" i="10"/>
  <c r="AT142" i="10"/>
  <c r="AS172" i="10"/>
  <c r="BD226" i="10"/>
  <c r="AK255" i="10"/>
  <c r="BC304" i="10"/>
  <c r="BI190" i="10"/>
  <c r="BI92" i="10"/>
  <c r="BA92" i="10" s="1"/>
  <c r="BI67" i="10"/>
  <c r="BA67" i="10" s="1"/>
  <c r="AV270" i="10"/>
  <c r="BB255" i="10"/>
  <c r="AV241" i="10"/>
  <c r="AN300" i="10"/>
  <c r="AE194" i="10"/>
  <c r="AK189" i="10"/>
  <c r="AR203" i="10"/>
  <c r="BD203" i="10"/>
  <c r="AU172" i="10"/>
  <c r="AK172" i="10"/>
  <c r="AN117" i="10"/>
  <c r="BD168" i="10"/>
  <c r="AL158" i="10"/>
  <c r="BD327" i="10"/>
  <c r="AL327" i="10"/>
  <c r="AC64" i="10"/>
  <c r="AD64" i="10" s="1"/>
  <c r="AE64" i="10" s="1"/>
  <c r="AQ17" i="10"/>
  <c r="AM225" i="10"/>
  <c r="BE300" i="10"/>
  <c r="AQ327" i="10"/>
  <c r="AS300" i="10"/>
  <c r="AQ255" i="10"/>
  <c r="AT255" i="10"/>
  <c r="BD241" i="10"/>
  <c r="BC246" i="10"/>
  <c r="AK168" i="10"/>
  <c r="BB179" i="10"/>
  <c r="AS168" i="10"/>
  <c r="BD117" i="10"/>
  <c r="AE164" i="10"/>
  <c r="AQ158" i="10"/>
  <c r="AE107" i="10"/>
  <c r="AN33" i="10"/>
  <c r="AP33" i="10"/>
  <c r="AX33" i="10"/>
  <c r="AU33" i="10"/>
  <c r="AS33" i="10"/>
  <c r="AR33" i="10"/>
  <c r="AQ33" i="10"/>
  <c r="AJ33" i="10"/>
  <c r="AI33" i="10"/>
  <c r="AK33" i="10"/>
  <c r="BB230" i="10"/>
  <c r="AK218" i="10"/>
  <c r="AT243" i="10"/>
  <c r="AN135" i="10"/>
  <c r="AU135" i="10"/>
  <c r="AT33" i="10"/>
  <c r="AZ128" i="10"/>
  <c r="AV128" i="10"/>
  <c r="BB128" i="10"/>
  <c r="AZ80" i="10"/>
  <c r="AQ80" i="10"/>
  <c r="AO80" i="10"/>
  <c r="AP80" i="10"/>
  <c r="BB80" i="10"/>
  <c r="AV80" i="10"/>
  <c r="BE80" i="10"/>
  <c r="AU80" i="10"/>
  <c r="AX80" i="10"/>
  <c r="AL80" i="10"/>
  <c r="AK80" i="10"/>
  <c r="BI56" i="10"/>
  <c r="AY56" i="10" s="1"/>
  <c r="AC56" i="10"/>
  <c r="AD56" i="10" s="1"/>
  <c r="AE56" i="10" s="1"/>
  <c r="AU134" i="10"/>
  <c r="AK134" i="10"/>
  <c r="AZ134" i="10"/>
  <c r="AJ134" i="10"/>
  <c r="BB8" i="10"/>
  <c r="AX8" i="10"/>
  <c r="BD8" i="10"/>
  <c r="AT8" i="10"/>
  <c r="AP8" i="10"/>
  <c r="AU8" i="10"/>
  <c r="AO8" i="10"/>
  <c r="AV8" i="10"/>
  <c r="AJ8" i="10"/>
  <c r="AK8" i="10"/>
  <c r="AN8" i="10"/>
  <c r="BE8" i="10"/>
  <c r="BC8" i="10"/>
  <c r="AR304" i="10"/>
  <c r="AZ272" i="10"/>
  <c r="AT135" i="10"/>
  <c r="AI65" i="10"/>
  <c r="AR65" i="10"/>
  <c r="BD135" i="10"/>
  <c r="AV240" i="10"/>
  <c r="AI240" i="10"/>
  <c r="AX240" i="10"/>
  <c r="AO318" i="10"/>
  <c r="AX304" i="10"/>
  <c r="BD341" i="10"/>
  <c r="AM295" i="10"/>
  <c r="BB295" i="10"/>
  <c r="AV304" i="10"/>
  <c r="AJ304" i="10"/>
  <c r="AL318" i="10"/>
  <c r="AR241" i="10"/>
  <c r="AP261" i="10"/>
  <c r="BI246" i="10"/>
  <c r="AY246" i="10" s="1"/>
  <c r="BC240" i="10"/>
  <c r="BD240" i="10"/>
  <c r="AT222" i="10"/>
  <c r="AO198" i="10"/>
  <c r="AW192" i="10"/>
  <c r="AU218" i="10"/>
  <c r="AW181" i="10"/>
  <c r="AE196" i="10"/>
  <c r="AR158" i="10"/>
  <c r="AL135" i="10"/>
  <c r="AU159" i="10"/>
  <c r="AQ103" i="10"/>
  <c r="BD103" i="10"/>
  <c r="AT80" i="10"/>
  <c r="BB164" i="10"/>
  <c r="AZ110" i="10"/>
  <c r="BB33" i="10"/>
  <c r="AX221" i="10"/>
  <c r="AZ221" i="10"/>
  <c r="BD221" i="10"/>
  <c r="AW221" i="10"/>
  <c r="AR221" i="10"/>
  <c r="AX96" i="10"/>
  <c r="AJ96" i="10"/>
  <c r="AP96" i="10"/>
  <c r="BC96" i="10"/>
  <c r="AI96" i="10"/>
  <c r="AQ96" i="10"/>
  <c r="AV96" i="10"/>
  <c r="AL96" i="10"/>
  <c r="AS96" i="10"/>
  <c r="AU96" i="10"/>
  <c r="AR96" i="10"/>
  <c r="AM96" i="10"/>
  <c r="AW96" i="10"/>
  <c r="AT96" i="10"/>
  <c r="AW251" i="10"/>
  <c r="AZ251" i="10"/>
  <c r="AZ140" i="10"/>
  <c r="BB140" i="10"/>
  <c r="AE340" i="10"/>
  <c r="AL232" i="10"/>
  <c r="BB232" i="10"/>
  <c r="AS232" i="10"/>
  <c r="AQ232" i="10"/>
  <c r="AJ232" i="10"/>
  <c r="AN262" i="10"/>
  <c r="AV262" i="10"/>
  <c r="AL285" i="10"/>
  <c r="BE285" i="10"/>
  <c r="AC41" i="10"/>
  <c r="AD41" i="10" s="1"/>
  <c r="AE41" i="10" s="1"/>
  <c r="BI41" i="10"/>
  <c r="AN154" i="10"/>
  <c r="AL154" i="10"/>
  <c r="AP154" i="10"/>
  <c r="AR154" i="10"/>
  <c r="BD154" i="10"/>
  <c r="AL220" i="10"/>
  <c r="AJ220" i="10"/>
  <c r="BE220" i="10"/>
  <c r="CB73" i="10"/>
  <c r="BI73" i="10"/>
  <c r="BI65" i="10"/>
  <c r="BA65" i="10" s="1"/>
  <c r="AH65" i="10"/>
  <c r="AM104" i="10"/>
  <c r="AL104" i="10"/>
  <c r="AQ104" i="10"/>
  <c r="AV104" i="10"/>
  <c r="BB104" i="10"/>
  <c r="AL162" i="10"/>
  <c r="AZ162" i="10"/>
  <c r="AS135" i="10"/>
  <c r="AQ135" i="10"/>
  <c r="BE135" i="10"/>
  <c r="BC135" i="10"/>
  <c r="AP135" i="10"/>
  <c r="AO135" i="10"/>
  <c r="AK135" i="10"/>
  <c r="AV295" i="10"/>
  <c r="BC295" i="10"/>
  <c r="AU179" i="10"/>
  <c r="BB162" i="10"/>
  <c r="AN115" i="10"/>
  <c r="AZ115" i="10"/>
  <c r="BC115" i="10"/>
  <c r="BA308" i="10"/>
  <c r="AP304" i="10"/>
  <c r="AW304" i="10"/>
  <c r="AS304" i="10"/>
  <c r="BC318" i="10"/>
  <c r="AS241" i="10"/>
  <c r="AI241" i="10"/>
  <c r="AL240" i="10"/>
  <c r="AX230" i="10"/>
  <c r="AW198" i="10"/>
  <c r="AQ128" i="10"/>
  <c r="AP218" i="10"/>
  <c r="AW80" i="10"/>
  <c r="AI135" i="10"/>
  <c r="AX20" i="10"/>
  <c r="AQ81" i="10"/>
  <c r="AJ135" i="10"/>
  <c r="AR8" i="10"/>
  <c r="BD83" i="10"/>
  <c r="AT83" i="10"/>
  <c r="BC83" i="10"/>
  <c r="AP83" i="10"/>
  <c r="AX83" i="10"/>
  <c r="BB83" i="10"/>
  <c r="AS83" i="10"/>
  <c r="BI50" i="10"/>
  <c r="BA50" i="10" s="1"/>
  <c r="AC50" i="10"/>
  <c r="AD50" i="10" s="1"/>
  <c r="AE50" i="10" s="1"/>
  <c r="AJ209" i="10"/>
  <c r="AZ209" i="10"/>
  <c r="BD209" i="10"/>
  <c r="AP209" i="10"/>
  <c r="AS90" i="10"/>
  <c r="AZ90" i="10"/>
  <c r="AW90" i="10"/>
  <c r="AI90" i="10"/>
  <c r="AK90" i="10"/>
  <c r="AO90" i="10"/>
  <c r="AQ90" i="10"/>
  <c r="AU90" i="10"/>
  <c r="BB90" i="10"/>
  <c r="AV90" i="10"/>
  <c r="BC300" i="10"/>
  <c r="BB300" i="10"/>
  <c r="AC39" i="10"/>
  <c r="AD39" i="10" s="1"/>
  <c r="AE39" i="10" s="1"/>
  <c r="AL99" i="10"/>
  <c r="AX99" i="10"/>
  <c r="BD99" i="10"/>
  <c r="AC62" i="10"/>
  <c r="AD62" i="10" s="1"/>
  <c r="AE62" i="10" s="1"/>
  <c r="AN76" i="10"/>
  <c r="BB76" i="10"/>
  <c r="AW76" i="10"/>
  <c r="AT76" i="10"/>
  <c r="BC76" i="10"/>
  <c r="AM76" i="10"/>
  <c r="AI76" i="10"/>
  <c r="AS76" i="10"/>
  <c r="AJ76" i="10"/>
  <c r="AK76" i="10"/>
  <c r="AV76" i="10"/>
  <c r="BE76" i="10"/>
  <c r="BD21" i="10"/>
  <c r="AZ21" i="10"/>
  <c r="BB21" i="10"/>
  <c r="AN184" i="10"/>
  <c r="BD184" i="10"/>
  <c r="AM184" i="10"/>
  <c r="AO158" i="10"/>
  <c r="AS158" i="10"/>
  <c r="AJ158" i="10"/>
  <c r="BB158" i="10"/>
  <c r="BE158" i="10"/>
  <c r="AI158" i="10"/>
  <c r="AU158" i="10"/>
  <c r="AX158" i="10"/>
  <c r="AL336" i="10"/>
  <c r="AX341" i="10"/>
  <c r="AW318" i="10"/>
  <c r="BE318" i="10"/>
  <c r="BE341" i="10"/>
  <c r="AE321" i="10"/>
  <c r="AK304" i="10"/>
  <c r="AZ291" i="10"/>
  <c r="AJ241" i="10"/>
  <c r="BI241" i="10"/>
  <c r="BA241" i="10" s="1"/>
  <c r="BE240" i="10"/>
  <c r="AZ230" i="10"/>
  <c r="AJ184" i="10"/>
  <c r="BC158" i="10"/>
  <c r="AI128" i="10"/>
  <c r="AZ218" i="10"/>
  <c r="AN158" i="10"/>
  <c r="AP158" i="10"/>
  <c r="AZ243" i="10"/>
  <c r="AU81" i="10"/>
  <c r="AZ135" i="10"/>
  <c r="AL81" i="10"/>
  <c r="AE104" i="10"/>
  <c r="BB341" i="10"/>
  <c r="AD53" i="10"/>
  <c r="AE53" i="10" s="1"/>
  <c r="AC75" i="10"/>
  <c r="AD75" i="10" s="1"/>
  <c r="AE75" i="10" s="1"/>
  <c r="AZ8" i="10"/>
  <c r="BC52" i="10"/>
  <c r="AL52" i="10"/>
  <c r="AI52" i="10"/>
  <c r="BE52" i="10"/>
  <c r="AH73" i="10"/>
  <c r="CP73" i="10" s="1"/>
  <c r="BC241" i="10"/>
  <c r="BB188" i="10"/>
  <c r="AZ188" i="10"/>
  <c r="AE98" i="10"/>
  <c r="AI29" i="10"/>
  <c r="AV29" i="10"/>
  <c r="AL29" i="10"/>
  <c r="AJ29" i="10"/>
  <c r="AU29" i="10"/>
  <c r="AN29" i="10"/>
  <c r="AT29" i="10"/>
  <c r="BC29" i="10"/>
  <c r="AO29" i="10"/>
  <c r="AX29" i="10"/>
  <c r="BB29" i="10"/>
  <c r="AK29" i="10"/>
  <c r="AW29" i="10"/>
  <c r="AE83" i="10"/>
  <c r="AS142" i="10"/>
  <c r="BB142" i="10"/>
  <c r="AP142" i="10"/>
  <c r="AQ142" i="10"/>
  <c r="AE89" i="10"/>
  <c r="AN179" i="10"/>
  <c r="AQ179" i="10"/>
  <c r="AD47" i="10"/>
  <c r="AE47" i="10" s="1"/>
  <c r="AN70" i="10"/>
  <c r="AL70" i="10"/>
  <c r="AR70" i="10"/>
  <c r="BC70" i="10"/>
  <c r="AI70" i="10"/>
  <c r="AK70" i="10"/>
  <c r="AF313" i="10"/>
  <c r="AU304" i="10"/>
  <c r="BB218" i="10"/>
  <c r="BI103" i="10"/>
  <c r="AY103" i="10" s="1"/>
  <c r="BI70" i="10"/>
  <c r="BA70" i="10" s="1"/>
  <c r="AD70" i="10"/>
  <c r="AE70" i="10" s="1"/>
  <c r="BB134" i="10"/>
  <c r="AS8" i="10"/>
  <c r="AQ8" i="10"/>
  <c r="AP59" i="10"/>
  <c r="AV59" i="10"/>
  <c r="AO59" i="10"/>
  <c r="BB198" i="10"/>
  <c r="AQ198" i="10"/>
  <c r="AI198" i="10"/>
  <c r="AL198" i="10"/>
  <c r="AV48" i="10"/>
  <c r="AX48" i="10"/>
  <c r="BC117" i="10"/>
  <c r="BE117" i="10"/>
  <c r="AT117" i="10"/>
  <c r="AL117" i="10"/>
  <c r="AV117" i="10"/>
  <c r="AK81" i="10"/>
  <c r="AR81" i="10"/>
  <c r="AV81" i="10"/>
  <c r="AW81" i="10"/>
  <c r="AM81" i="10"/>
  <c r="BB81" i="10"/>
  <c r="BC81" i="10"/>
  <c r="AE322" i="10"/>
  <c r="BB336" i="10"/>
  <c r="AO341" i="10"/>
  <c r="AP341" i="10"/>
  <c r="AQ341" i="10"/>
  <c r="BE330" i="10"/>
  <c r="AU318" i="10"/>
  <c r="AN318" i="10"/>
  <c r="AR341" i="10"/>
  <c r="AE309" i="10"/>
  <c r="AN241" i="10"/>
  <c r="AP241" i="10"/>
  <c r="AP240" i="10"/>
  <c r="AZ222" i="10"/>
  <c r="AF259" i="10"/>
  <c r="BI202" i="10"/>
  <c r="AY202" i="10" s="1"/>
  <c r="BI184" i="10"/>
  <c r="AY184" i="10" s="1"/>
  <c r="AT158" i="10"/>
  <c r="AO218" i="10"/>
  <c r="AV158" i="10"/>
  <c r="AV243" i="10"/>
  <c r="AZ117" i="10"/>
  <c r="AM135" i="10"/>
  <c r="AL33" i="10"/>
  <c r="AC71" i="10"/>
  <c r="AD71" i="10" s="1"/>
  <c r="AE71" i="10" s="1"/>
  <c r="BB204" i="10"/>
  <c r="AZ81" i="10"/>
  <c r="AL128" i="10"/>
  <c r="BE81" i="10"/>
  <c r="AO21" i="10"/>
  <c r="AL8" i="10"/>
  <c r="BB48" i="10"/>
  <c r="AM241" i="10"/>
  <c r="AX241" i="10"/>
  <c r="AL241" i="10"/>
  <c r="AO241" i="10"/>
  <c r="AW241" i="10"/>
  <c r="AQ241" i="10"/>
  <c r="BE244" i="10"/>
  <c r="AS244" i="10"/>
  <c r="AM244" i="10"/>
  <c r="AR78" i="10"/>
  <c r="BB78" i="10"/>
  <c r="AT129" i="10"/>
  <c r="AK129" i="10"/>
  <c r="BE129" i="10"/>
  <c r="AN129" i="10"/>
  <c r="AV129" i="10"/>
  <c r="BB129" i="10"/>
  <c r="AM129" i="10"/>
  <c r="BI58" i="10"/>
  <c r="AY58" i="10" s="1"/>
  <c r="BC278" i="10"/>
  <c r="AV278" i="10"/>
  <c r="AG278" i="10" s="1"/>
  <c r="AV204" i="10"/>
  <c r="AN240" i="10"/>
  <c r="AW240" i="10"/>
  <c r="BI304" i="10"/>
  <c r="BA304" i="10" s="1"/>
  <c r="AM40" i="10"/>
  <c r="AE334" i="10"/>
  <c r="BE102" i="10"/>
  <c r="AM102" i="10"/>
  <c r="AO12" i="10"/>
  <c r="AM12" i="10"/>
  <c r="AW12" i="10"/>
  <c r="BC12" i="10"/>
  <c r="AN12" i="10"/>
  <c r="BB12" i="10"/>
  <c r="AX105" i="10"/>
  <c r="AM105" i="10"/>
  <c r="BE105" i="10"/>
  <c r="AD63" i="10"/>
  <c r="AE63" i="10" s="1"/>
  <c r="AE222" i="10"/>
  <c r="AT125" i="10"/>
  <c r="AX58" i="10"/>
  <c r="BI40" i="10"/>
  <c r="AC40" i="10"/>
  <c r="AC46" i="10"/>
  <c r="AD46" i="10" s="1"/>
  <c r="AE46" i="10" s="1"/>
  <c r="BI52" i="10"/>
  <c r="BA52" i="10" s="1"/>
  <c r="AC52" i="10"/>
  <c r="AD52" i="10" s="1"/>
  <c r="AE52" i="10" s="1"/>
  <c r="AJ53" i="10"/>
  <c r="AT53" i="10"/>
  <c r="AV91" i="10"/>
  <c r="AM91" i="10"/>
  <c r="BC91" i="10"/>
  <c r="AJ150" i="10"/>
  <c r="AI150" i="10"/>
  <c r="BB150" i="10"/>
  <c r="AL176" i="10"/>
  <c r="AS176" i="10"/>
  <c r="BC176" i="10"/>
  <c r="BE176" i="10"/>
  <c r="AE123" i="10"/>
  <c r="BC216" i="10"/>
  <c r="AU162" i="10"/>
  <c r="BE10" i="10"/>
  <c r="AW10" i="10"/>
  <c r="BD25" i="10"/>
  <c r="AK25" i="10"/>
  <c r="AR25" i="10"/>
  <c r="BC25" i="10"/>
  <c r="AZ25" i="10"/>
  <c r="AM25" i="10"/>
  <c r="BB25" i="10"/>
  <c r="AX25" i="10"/>
  <c r="BE75" i="10"/>
  <c r="BC75" i="10"/>
  <c r="BE154" i="10"/>
  <c r="AX154" i="10"/>
  <c r="AQ154" i="10"/>
  <c r="AZ33" i="10"/>
  <c r="BI33" i="10"/>
  <c r="BA33" i="10" s="1"/>
  <c r="AE231" i="10"/>
  <c r="AJ236" i="10"/>
  <c r="AE219" i="10"/>
  <c r="AE238" i="10"/>
  <c r="BI171" i="10"/>
  <c r="AD72" i="10"/>
  <c r="AE72" i="10" s="1"/>
  <c r="AL40" i="10"/>
  <c r="AV184" i="10"/>
  <c r="AN39" i="10"/>
  <c r="AL39" i="10"/>
  <c r="AZ39" i="10"/>
  <c r="AM39" i="10"/>
  <c r="AS320" i="10"/>
  <c r="AM320" i="10"/>
  <c r="BB320" i="10"/>
  <c r="AT6" i="10"/>
  <c r="BE6" i="10"/>
  <c r="AL317" i="10"/>
  <c r="BI151" i="10"/>
  <c r="AY151" i="10" s="1"/>
  <c r="AE141" i="10"/>
  <c r="BI104" i="10"/>
  <c r="BA104" i="10" s="1"/>
  <c r="AO20" i="10"/>
  <c r="AW268" i="10"/>
  <c r="AM238" i="10"/>
  <c r="AE55" i="10"/>
  <c r="AE213" i="10"/>
  <c r="AE166" i="10"/>
  <c r="AD65" i="10"/>
  <c r="AE65" i="10" s="1"/>
  <c r="AE86" i="10"/>
  <c r="AE304" i="10"/>
  <c r="AE233" i="10"/>
  <c r="AL54" i="10"/>
  <c r="AC73" i="10"/>
  <c r="AD73" i="10" s="1"/>
  <c r="BC60" i="10"/>
  <c r="BI54" i="10"/>
  <c r="AV63" i="10"/>
  <c r="BI136" i="10"/>
  <c r="AE214" i="10"/>
  <c r="AR17" i="10"/>
  <c r="AT220" i="10"/>
  <c r="AR76" i="10"/>
  <c r="AI277" i="10"/>
  <c r="AG277" i="10" s="1"/>
  <c r="BC220" i="10"/>
  <c r="AM168" i="10"/>
  <c r="AY174" i="10"/>
  <c r="AY166" i="10"/>
  <c r="AN317" i="10"/>
  <c r="BE204" i="10"/>
  <c r="BI225" i="10"/>
  <c r="BA225" i="10" s="1"/>
  <c r="AI225" i="10"/>
  <c r="AL119" i="10"/>
  <c r="AR6" i="10"/>
  <c r="AO162" i="10"/>
  <c r="AP6" i="10"/>
  <c r="AO6" i="10"/>
  <c r="AI10" i="10"/>
  <c r="BE225" i="10"/>
  <c r="AW204" i="10"/>
  <c r="AN225" i="10"/>
  <c r="AQ225" i="10"/>
  <c r="AQ204" i="10"/>
  <c r="AT216" i="10"/>
  <c r="AX10" i="10"/>
  <c r="AJ6" i="10"/>
  <c r="AP162" i="10"/>
  <c r="AU10" i="10"/>
  <c r="AV6" i="10"/>
  <c r="AK10" i="10"/>
  <c r="AW6" i="10"/>
  <c r="AU317" i="10"/>
  <c r="BD317" i="10"/>
  <c r="AS317" i="10"/>
  <c r="BE317" i="10"/>
  <c r="AX204" i="10"/>
  <c r="AO204" i="10"/>
  <c r="AV225" i="10"/>
  <c r="BC204" i="10"/>
  <c r="AS204" i="10"/>
  <c r="AP10" i="10"/>
  <c r="AQ162" i="10"/>
  <c r="BD6" i="10"/>
  <c r="BC6" i="10"/>
  <c r="AN10" i="10"/>
  <c r="AS6" i="10"/>
  <c r="BC225" i="10"/>
  <c r="AI6" i="10"/>
  <c r="AV317" i="10"/>
  <c r="AJ317" i="10"/>
  <c r="AI317" i="10"/>
  <c r="AP204" i="10"/>
  <c r="BD225" i="10"/>
  <c r="AU204" i="10"/>
  <c r="AT204" i="10"/>
  <c r="AM216" i="10"/>
  <c r="AQ10" i="10"/>
  <c r="AU6" i="10"/>
  <c r="AV10" i="10"/>
  <c r="AK6" i="10"/>
  <c r="AX317" i="10"/>
  <c r="AS225" i="10"/>
  <c r="AQ317" i="10"/>
  <c r="AY333" i="10"/>
  <c r="AG333" i="10" s="1"/>
  <c r="AK317" i="10"/>
  <c r="AO317" i="10"/>
  <c r="AM204" i="10"/>
  <c r="AJ225" i="10"/>
  <c r="AI204" i="10"/>
  <c r="AL6" i="10"/>
  <c r="AK162" i="10"/>
  <c r="AT10" i="10"/>
  <c r="BI6" i="10"/>
  <c r="AY6" i="10" s="1"/>
  <c r="BD10" i="10"/>
  <c r="AO225" i="10"/>
  <c r="AT225" i="10"/>
  <c r="BI204" i="10"/>
  <c r="AY204" i="10" s="1"/>
  <c r="AT317" i="10"/>
  <c r="AP317" i="10"/>
  <c r="AP225" i="10"/>
  <c r="AR225" i="10"/>
  <c r="AL225" i="10"/>
  <c r="AN204" i="10"/>
  <c r="AI162" i="10"/>
  <c r="AS162" i="10"/>
  <c r="AL10" i="10"/>
  <c r="AM6" i="10"/>
  <c r="BC10" i="10"/>
  <c r="AJ10" i="10"/>
  <c r="AO10" i="10"/>
  <c r="AU225" i="10"/>
  <c r="BI10" i="10"/>
  <c r="AK204" i="10"/>
  <c r="BC317" i="10"/>
  <c r="AW225" i="10"/>
  <c r="AX225" i="10"/>
  <c r="AW162" i="10"/>
  <c r="AM10" i="10"/>
  <c r="AW317" i="10"/>
  <c r="BA342" i="10"/>
  <c r="AY342" i="10"/>
  <c r="AY261" i="10"/>
  <c r="BA261" i="10"/>
  <c r="AU256" i="10"/>
  <c r="AU236" i="10"/>
  <c r="AZ212" i="10"/>
  <c r="AV20" i="10"/>
  <c r="AE128" i="10"/>
  <c r="AW121" i="10"/>
  <c r="AE176" i="10"/>
  <c r="AT305" i="10"/>
  <c r="AE267" i="10"/>
  <c r="AP214" i="10"/>
  <c r="AE201" i="10"/>
  <c r="AP3" i="10"/>
  <c r="AE113" i="10"/>
  <c r="BB58" i="10"/>
  <c r="AO30" i="10"/>
  <c r="AE106" i="10"/>
  <c r="AL324" i="10"/>
  <c r="AE258" i="10"/>
  <c r="AE229" i="10"/>
  <c r="AV249" i="10"/>
  <c r="AV192" i="10"/>
  <c r="BE3" i="10"/>
  <c r="AE344" i="10"/>
  <c r="AE124" i="10"/>
  <c r="AV226" i="10"/>
  <c r="AI220" i="10"/>
  <c r="AZ58" i="10"/>
  <c r="AE311" i="10"/>
  <c r="BE214" i="10"/>
  <c r="AE178" i="10"/>
  <c r="AU3" i="10"/>
  <c r="AF30" i="10"/>
  <c r="AK96" i="10"/>
  <c r="AE342" i="10"/>
  <c r="AR59" i="10"/>
  <c r="BB249" i="10"/>
  <c r="AE211" i="10"/>
  <c r="AX127" i="10"/>
  <c r="AK148" i="10"/>
  <c r="BB125" i="10"/>
  <c r="BC89" i="10"/>
  <c r="BE192" i="10"/>
  <c r="BC256" i="10"/>
  <c r="AT237" i="10"/>
  <c r="AE242" i="10"/>
  <c r="BD148" i="10"/>
  <c r="AW94" i="10"/>
  <c r="AE66" i="10"/>
  <c r="AE99" i="10"/>
  <c r="AE117" i="10"/>
  <c r="AY304" i="10"/>
  <c r="BA332" i="10"/>
  <c r="AY57" i="10"/>
  <c r="AY271" i="10"/>
  <c r="BA127" i="10"/>
  <c r="AY167" i="10"/>
  <c r="AY107" i="10"/>
  <c r="BA277" i="10"/>
  <c r="AY198" i="10"/>
  <c r="BA221" i="10"/>
  <c r="BA262" i="10"/>
  <c r="BA149" i="10"/>
  <c r="BA176" i="10"/>
  <c r="AY207" i="10"/>
  <c r="BA2" i="10"/>
  <c r="BA298" i="10"/>
  <c r="AY294" i="10"/>
  <c r="AY144" i="10"/>
  <c r="AY212" i="10"/>
  <c r="AY256" i="10"/>
  <c r="AY128" i="10"/>
  <c r="AY55" i="10"/>
  <c r="BA293" i="10"/>
  <c r="AY42" i="10"/>
  <c r="AY90" i="10"/>
  <c r="BA108" i="10"/>
  <c r="BA278" i="10"/>
  <c r="BA41" i="10"/>
  <c r="AY41" i="10"/>
  <c r="BA279" i="10"/>
  <c r="AY279" i="10"/>
  <c r="BI199" i="10"/>
  <c r="AP199" i="10"/>
  <c r="AI97" i="10"/>
  <c r="BE97" i="10"/>
  <c r="AT97" i="10"/>
  <c r="BC97" i="10"/>
  <c r="AW97" i="10"/>
  <c r="AO97" i="10"/>
  <c r="AQ97" i="10"/>
  <c r="AR97" i="10"/>
  <c r="AM97" i="10"/>
  <c r="AU213" i="10"/>
  <c r="AW213" i="10"/>
  <c r="BD213" i="10"/>
  <c r="AS213" i="10"/>
  <c r="AJ213" i="10"/>
  <c r="AQ213" i="10"/>
  <c r="AQ116" i="10"/>
  <c r="AV116" i="10"/>
  <c r="BD116" i="10"/>
  <c r="AR116" i="10"/>
  <c r="AI116" i="10"/>
  <c r="AN116" i="10"/>
  <c r="AJ116" i="10"/>
  <c r="AX116" i="10"/>
  <c r="AS116" i="10"/>
  <c r="AT336" i="10"/>
  <c r="AU330" i="10"/>
  <c r="BE336" i="10"/>
  <c r="AO338" i="10"/>
  <c r="AR310" i="10"/>
  <c r="AR266" i="10"/>
  <c r="AP264" i="10"/>
  <c r="AJ231" i="10"/>
  <c r="AI230" i="10"/>
  <c r="AM230" i="10"/>
  <c r="AI157" i="10"/>
  <c r="AP115" i="10"/>
  <c r="AP116" i="10"/>
  <c r="AK178" i="10"/>
  <c r="BE178" i="10"/>
  <c r="AQ82" i="10"/>
  <c r="AI115" i="10"/>
  <c r="AQ247" i="10"/>
  <c r="AL116" i="10"/>
  <c r="BI270" i="10"/>
  <c r="AM270" i="10"/>
  <c r="AT191" i="10"/>
  <c r="AL191" i="10"/>
  <c r="AV191" i="10"/>
  <c r="AW191" i="10"/>
  <c r="AI191" i="10"/>
  <c r="BE191" i="10"/>
  <c r="AQ191" i="10"/>
  <c r="AP191" i="10"/>
  <c r="BD243" i="10"/>
  <c r="AR243" i="10"/>
  <c r="BI243" i="10"/>
  <c r="BA243" i="10" s="1"/>
  <c r="AU243" i="10"/>
  <c r="AI243" i="10"/>
  <c r="AL243" i="10"/>
  <c r="AW243" i="10"/>
  <c r="AS243" i="10"/>
  <c r="AO243" i="10"/>
  <c r="AW137" i="10"/>
  <c r="AV137" i="10"/>
  <c r="AU137" i="10"/>
  <c r="BD137" i="10"/>
  <c r="AL137" i="10"/>
  <c r="AT137" i="10"/>
  <c r="AP137" i="10"/>
  <c r="AQ137" i="10"/>
  <c r="BC137" i="10"/>
  <c r="BI115" i="10"/>
  <c r="AQ345" i="10"/>
  <c r="AK329" i="10"/>
  <c r="AX330" i="10"/>
  <c r="BC330" i="10"/>
  <c r="AS340" i="10"/>
  <c r="BD340" i="10"/>
  <c r="AT341" i="10"/>
  <c r="AW341" i="10"/>
  <c r="AL297" i="10"/>
  <c r="AJ291" i="10"/>
  <c r="BI287" i="10"/>
  <c r="AY287" i="10" s="1"/>
  <c r="AL283" i="10"/>
  <c r="AN270" i="10"/>
  <c r="AR283" i="10"/>
  <c r="AM275" i="10"/>
  <c r="BI268" i="10"/>
  <c r="BA268" i="10" s="1"/>
  <c r="BA263" i="10"/>
  <c r="BC280" i="10"/>
  <c r="AX232" i="10"/>
  <c r="BI247" i="10"/>
  <c r="BA247" i="10" s="1"/>
  <c r="BE232" i="10"/>
  <c r="AJ247" i="10"/>
  <c r="AS247" i="10"/>
  <c r="BC232" i="10"/>
  <c r="BI260" i="10"/>
  <c r="AY260" i="10" s="1"/>
  <c r="AV213" i="10"/>
  <c r="AX191" i="10"/>
  <c r="AR194" i="10"/>
  <c r="AK194" i="10"/>
  <c r="AV282" i="10"/>
  <c r="AT232" i="10"/>
  <c r="BC179" i="10"/>
  <c r="AQ181" i="10"/>
  <c r="BE201" i="10"/>
  <c r="AJ243" i="10"/>
  <c r="AK116" i="10"/>
  <c r="BE116" i="10"/>
  <c r="AN97" i="10"/>
  <c r="AQ157" i="10"/>
  <c r="AX13" i="10"/>
  <c r="AS115" i="10"/>
  <c r="BA215" i="10"/>
  <c r="AY215" i="10"/>
  <c r="AJ251" i="10"/>
  <c r="AI251" i="10"/>
  <c r="BA91" i="10"/>
  <c r="AY91" i="10"/>
  <c r="AM154" i="10"/>
  <c r="AO154" i="10"/>
  <c r="AW154" i="10"/>
  <c r="AS154" i="10"/>
  <c r="AT154" i="10"/>
  <c r="AU154" i="10"/>
  <c r="AX117" i="10"/>
  <c r="AR117" i="10"/>
  <c r="AW117" i="10"/>
  <c r="AM117" i="10"/>
  <c r="AJ117" i="10"/>
  <c r="AS117" i="10"/>
  <c r="AI117" i="10"/>
  <c r="AK117" i="10"/>
  <c r="AQ117" i="10"/>
  <c r="BA76" i="10"/>
  <c r="AY76" i="10"/>
  <c r="AM336" i="10"/>
  <c r="AN230" i="10"/>
  <c r="AX97" i="10"/>
  <c r="AT116" i="10"/>
  <c r="AL338" i="10"/>
  <c r="AS337" i="10"/>
  <c r="AI340" i="10"/>
  <c r="BI275" i="10"/>
  <c r="AY275" i="10" s="1"/>
  <c r="AV268" i="10"/>
  <c r="AL247" i="10"/>
  <c r="AP97" i="10"/>
  <c r="AU97" i="10"/>
  <c r="AY284" i="10"/>
  <c r="BA284" i="10"/>
  <c r="AU12" i="10"/>
  <c r="AT12" i="10"/>
  <c r="AP12" i="10"/>
  <c r="AQ12" i="10"/>
  <c r="AS12" i="10"/>
  <c r="AX12" i="10"/>
  <c r="AJ12" i="10"/>
  <c r="BD12" i="10"/>
  <c r="AI341" i="10"/>
  <c r="BI338" i="10"/>
  <c r="BA338" i="10" s="1"/>
  <c r="AX329" i="10"/>
  <c r="AJ336" i="10"/>
  <c r="BD325" i="10"/>
  <c r="AR344" i="10"/>
  <c r="AM340" i="10"/>
  <c r="BE340" i="10"/>
  <c r="AS341" i="10"/>
  <c r="BE306" i="10"/>
  <c r="AS329" i="10"/>
  <c r="BC310" i="10"/>
  <c r="AW310" i="10"/>
  <c r="AX270" i="10"/>
  <c r="AN280" i="10"/>
  <c r="AT279" i="10"/>
  <c r="AO270" i="10"/>
  <c r="AT283" i="10"/>
  <c r="AM283" i="10"/>
  <c r="BD283" i="10"/>
  <c r="AT268" i="10"/>
  <c r="BD268" i="10"/>
  <c r="AX243" i="10"/>
  <c r="AX268" i="10"/>
  <c r="AW247" i="10"/>
  <c r="AX276" i="10"/>
  <c r="BI276" i="10"/>
  <c r="BA276" i="10" s="1"/>
  <c r="AR232" i="10"/>
  <c r="BI231" i="10"/>
  <c r="BA231" i="10" s="1"/>
  <c r="AP213" i="10"/>
  <c r="AU212" i="10"/>
  <c r="AR213" i="10"/>
  <c r="AN247" i="10"/>
  <c r="BE275" i="10"/>
  <c r="AI254" i="10"/>
  <c r="AK230" i="10"/>
  <c r="AR202" i="10"/>
  <c r="AQ202" i="10"/>
  <c r="AJ202" i="10"/>
  <c r="AM191" i="10"/>
  <c r="BI216" i="10"/>
  <c r="AY216" i="10" s="1"/>
  <c r="AW216" i="10"/>
  <c r="AK191" i="10"/>
  <c r="AS179" i="10"/>
  <c r="AV179" i="10"/>
  <c r="AJ196" i="10"/>
  <c r="BD196" i="10"/>
  <c r="BC243" i="10"/>
  <c r="AV157" i="10"/>
  <c r="AS97" i="10"/>
  <c r="BE137" i="10"/>
  <c r="AN78" i="10"/>
  <c r="AM78" i="10"/>
  <c r="AW78" i="10"/>
  <c r="AK270" i="10"/>
  <c r="AL233" i="10"/>
  <c r="AJ233" i="10"/>
  <c r="AR233" i="10"/>
  <c r="BE233" i="10"/>
  <c r="BD128" i="10"/>
  <c r="AM128" i="10"/>
  <c r="AO128" i="10"/>
  <c r="AR128" i="10"/>
  <c r="AU128" i="10"/>
  <c r="AW128" i="10"/>
  <c r="BC128" i="10"/>
  <c r="BE128" i="10"/>
  <c r="AJ128" i="10"/>
  <c r="AP150" i="10"/>
  <c r="AT150" i="10"/>
  <c r="AQ150" i="10"/>
  <c r="AK150" i="10"/>
  <c r="AL150" i="10"/>
  <c r="AX150" i="10"/>
  <c r="AR150" i="10"/>
  <c r="AN150" i="10"/>
  <c r="BI99" i="10"/>
  <c r="AI99" i="10"/>
  <c r="AJ99" i="10"/>
  <c r="AQ99" i="10"/>
  <c r="AP99" i="10"/>
  <c r="AU99" i="10"/>
  <c r="BE99" i="10"/>
  <c r="AI336" i="10"/>
  <c r="AU231" i="10"/>
  <c r="AN213" i="10"/>
  <c r="AT115" i="10"/>
  <c r="AO115" i="10"/>
  <c r="AL115" i="10"/>
  <c r="AW115" i="10"/>
  <c r="AJ115" i="10"/>
  <c r="AV115" i="10"/>
  <c r="AR115" i="10"/>
  <c r="BI280" i="10"/>
  <c r="AY280" i="10" s="1"/>
  <c r="BI283" i="10"/>
  <c r="AY283" i="10" s="1"/>
  <c r="AL268" i="10"/>
  <c r="AM247" i="10"/>
  <c r="BC231" i="10"/>
  <c r="AX213" i="10"/>
  <c r="AM181" i="10"/>
  <c r="BD181" i="10"/>
  <c r="AI181" i="10"/>
  <c r="AK157" i="10"/>
  <c r="AO282" i="10"/>
  <c r="AT282" i="10"/>
  <c r="AK282" i="10"/>
  <c r="AX340" i="10"/>
  <c r="AR336" i="10"/>
  <c r="AP330" i="10"/>
  <c r="AK340" i="10"/>
  <c r="AU340" i="10"/>
  <c r="AU336" i="10"/>
  <c r="BI340" i="10"/>
  <c r="AY340" i="10" s="1"/>
  <c r="AL341" i="10"/>
  <c r="AN341" i="10"/>
  <c r="AV306" i="10"/>
  <c r="AR330" i="10"/>
  <c r="AI306" i="10"/>
  <c r="AM282" i="10"/>
  <c r="AP270" i="10"/>
  <c r="AI290" i="10"/>
  <c r="AW270" i="10"/>
  <c r="AI283" i="10"/>
  <c r="AO283" i="10"/>
  <c r="AK275" i="10"/>
  <c r="AO268" i="10"/>
  <c r="AP243" i="10"/>
  <c r="AM250" i="10"/>
  <c r="AX250" i="10"/>
  <c r="AI268" i="10"/>
  <c r="BE247" i="10"/>
  <c r="AT246" i="10"/>
  <c r="BD246" i="10"/>
  <c r="AN232" i="10"/>
  <c r="AU245" i="10"/>
  <c r="AO213" i="10"/>
  <c r="AP247" i="10"/>
  <c r="AI275" i="10"/>
  <c r="AL254" i="10"/>
  <c r="AW230" i="10"/>
  <c r="AS230" i="10"/>
  <c r="AN282" i="10"/>
  <c r="AT213" i="10"/>
  <c r="AN191" i="10"/>
  <c r="AR137" i="10"/>
  <c r="BI169" i="10"/>
  <c r="AY169" i="10" s="1"/>
  <c r="AI169" i="10"/>
  <c r="AN243" i="10"/>
  <c r="AS155" i="10"/>
  <c r="AM116" i="10"/>
  <c r="AI159" i="10"/>
  <c r="AP159" i="10"/>
  <c r="AS159" i="10"/>
  <c r="BC126" i="10"/>
  <c r="AK137" i="10"/>
  <c r="AV112" i="10"/>
  <c r="AX112" i="10"/>
  <c r="AI112" i="10"/>
  <c r="AT112" i="10"/>
  <c r="AO112" i="10"/>
  <c r="AR112" i="10"/>
  <c r="BD112" i="10"/>
  <c r="AU112" i="10"/>
  <c r="AJ198" i="10"/>
  <c r="AN198" i="10"/>
  <c r="BE198" i="10"/>
  <c r="BI78" i="10"/>
  <c r="AY78" i="10" s="1"/>
  <c r="BI336" i="10"/>
  <c r="BD230" i="10"/>
  <c r="AU230" i="10"/>
  <c r="AV97" i="10"/>
  <c r="AL157" i="10"/>
  <c r="BC157" i="10"/>
  <c r="AX157" i="10"/>
  <c r="BD157" i="10"/>
  <c r="AU157" i="10"/>
  <c r="AS157" i="10"/>
  <c r="AT157" i="10"/>
  <c r="AM157" i="10"/>
  <c r="AO157" i="10"/>
  <c r="BE157" i="10"/>
  <c r="AW340" i="10"/>
  <c r="AT306" i="10"/>
  <c r="AQ310" i="10"/>
  <c r="BE280" i="10"/>
  <c r="AU171" i="10"/>
  <c r="BC171" i="10"/>
  <c r="AW116" i="10"/>
  <c r="BD97" i="10"/>
  <c r="AK93" i="10"/>
  <c r="AN93" i="10"/>
  <c r="AN338" i="10"/>
  <c r="AU338" i="10"/>
  <c r="AP340" i="10"/>
  <c r="AV338" i="10"/>
  <c r="BC338" i="10"/>
  <c r="AM329" i="10"/>
  <c r="AL340" i="10"/>
  <c r="AV336" i="10"/>
  <c r="AW338" i="10"/>
  <c r="AM341" i="10"/>
  <c r="AV341" i="10"/>
  <c r="AM306" i="10"/>
  <c r="AQ329" i="10"/>
  <c r="AR306" i="10"/>
  <c r="AU282" i="10"/>
  <c r="AQ282" i="10"/>
  <c r="AO291" i="10"/>
  <c r="AU266" i="10"/>
  <c r="AS270" i="10"/>
  <c r="BE270" i="10"/>
  <c r="BC283" i="10"/>
  <c r="AW283" i="10"/>
  <c r="AS275" i="10"/>
  <c r="AJ270" i="10"/>
  <c r="AM268" i="10"/>
  <c r="AV232" i="10"/>
  <c r="BI267" i="10"/>
  <c r="AY267" i="10" s="1"/>
  <c r="AV267" i="10"/>
  <c r="AX267" i="10"/>
  <c r="AU246" i="10"/>
  <c r="BE213" i="10"/>
  <c r="AR275" i="10"/>
  <c r="AU254" i="10"/>
  <c r="AU202" i="10"/>
  <c r="AJ282" i="10"/>
  <c r="AX282" i="10"/>
  <c r="AJ191" i="10"/>
  <c r="AR191" i="10"/>
  <c r="AL179" i="10"/>
  <c r="AJ137" i="10"/>
  <c r="AM243" i="10"/>
  <c r="AL148" i="10"/>
  <c r="BI148" i="10"/>
  <c r="BA148" i="10" s="1"/>
  <c r="AU148" i="10"/>
  <c r="AU116" i="10"/>
  <c r="AW157" i="10"/>
  <c r="AS137" i="10"/>
  <c r="AP78" i="10"/>
  <c r="AR12" i="10"/>
  <c r="AI12" i="10"/>
  <c r="AV12" i="10"/>
  <c r="AK115" i="10"/>
  <c r="AM137" i="10"/>
  <c r="BC255" i="10"/>
  <c r="AV255" i="10"/>
  <c r="AM255" i="10"/>
  <c r="BE12" i="10"/>
  <c r="BE243" i="10"/>
  <c r="AY161" i="10"/>
  <c r="BA161" i="10"/>
  <c r="BI222" i="10"/>
  <c r="AY222" i="10" s="1"/>
  <c r="BI213" i="10"/>
  <c r="AY213" i="10" s="1"/>
  <c r="BI192" i="10"/>
  <c r="BA192" i="10" s="1"/>
  <c r="BI154" i="10"/>
  <c r="BA154" i="10" s="1"/>
  <c r="BI137" i="10"/>
  <c r="BA137" i="10" s="1"/>
  <c r="AR142" i="10"/>
  <c r="BI117" i="10"/>
  <c r="BA117" i="10" s="1"/>
  <c r="BI112" i="10"/>
  <c r="AY112" i="10" s="1"/>
  <c r="AU153" i="10"/>
  <c r="AS79" i="10"/>
  <c r="AU111" i="10"/>
  <c r="AQ22" i="10"/>
  <c r="BI134" i="10"/>
  <c r="AN102" i="10"/>
  <c r="AN162" i="10"/>
  <c r="BE162" i="10"/>
  <c r="AK37" i="10"/>
  <c r="BD52" i="10"/>
  <c r="AK52" i="10"/>
  <c r="AX198" i="10"/>
  <c r="BI89" i="10"/>
  <c r="BA89" i="10" s="1"/>
  <c r="AO146" i="10"/>
  <c r="AP153" i="10"/>
  <c r="AW153" i="10"/>
  <c r="BI46" i="10"/>
  <c r="BA46" i="10" s="1"/>
  <c r="AS68" i="10"/>
  <c r="AR52" i="10"/>
  <c r="AU52" i="10"/>
  <c r="AX79" i="10"/>
  <c r="AX52" i="10"/>
  <c r="BC210" i="10"/>
  <c r="BI179" i="10"/>
  <c r="BA179" i="10" s="1"/>
  <c r="AR218" i="10"/>
  <c r="AU178" i="10"/>
  <c r="AJ41" i="10"/>
  <c r="AV45" i="10"/>
  <c r="AU110" i="10"/>
  <c r="AU53" i="10"/>
  <c r="BI118" i="10"/>
  <c r="AY118" i="10" s="1"/>
  <c r="AV53" i="10"/>
  <c r="BI344" i="10"/>
  <c r="AY344" i="10" s="1"/>
  <c r="AX27" i="10"/>
  <c r="AY319" i="10"/>
  <c r="AX75" i="10"/>
  <c r="AI189" i="10"/>
  <c r="BI250" i="10"/>
  <c r="AY250" i="10" s="1"/>
  <c r="AR340" i="10"/>
  <c r="AI232" i="10"/>
  <c r="AS169" i="10"/>
  <c r="BI146" i="10"/>
  <c r="AY146" i="10" s="1"/>
  <c r="BI116" i="10"/>
  <c r="BA116" i="10" s="1"/>
  <c r="AL77" i="10"/>
  <c r="BI82" i="10"/>
  <c r="BA82" i="10" s="1"/>
  <c r="AO117" i="10"/>
  <c r="BA264" i="10"/>
  <c r="AY264" i="10"/>
  <c r="AY302" i="10"/>
  <c r="BA302" i="10"/>
  <c r="BA331" i="10"/>
  <c r="AY331" i="10"/>
  <c r="AG331" i="10" s="1"/>
  <c r="AY265" i="10"/>
  <c r="BA265" i="10"/>
  <c r="AU322" i="10"/>
  <c r="AV316" i="10"/>
  <c r="AV287" i="10"/>
  <c r="BC287" i="10"/>
  <c r="AW287" i="10"/>
  <c r="AM242" i="10"/>
  <c r="AK242" i="10"/>
  <c r="BE242" i="10"/>
  <c r="AO242" i="10"/>
  <c r="AU242" i="10"/>
  <c r="BD71" i="10"/>
  <c r="BE71" i="10"/>
  <c r="AW71" i="10"/>
  <c r="AT71" i="10"/>
  <c r="AJ71" i="10"/>
  <c r="AQ71" i="10"/>
  <c r="AK71" i="10"/>
  <c r="AL71" i="10"/>
  <c r="AS71" i="10"/>
  <c r="AP71" i="10"/>
  <c r="AX95" i="10"/>
  <c r="AM95" i="10"/>
  <c r="AZ95" i="10"/>
  <c r="BB95" i="10"/>
  <c r="AW95" i="10"/>
  <c r="BE95" i="10"/>
  <c r="AH11" i="10"/>
  <c r="AB11" i="10"/>
  <c r="AR11" i="10" s="1"/>
  <c r="AJ77" i="10"/>
  <c r="AM21" i="10"/>
  <c r="BC21" i="10"/>
  <c r="AN21" i="10"/>
  <c r="AR21" i="10"/>
  <c r="AQ21" i="10"/>
  <c r="AK21" i="10"/>
  <c r="BE21" i="10"/>
  <c r="AU21" i="10"/>
  <c r="BI21" i="10"/>
  <c r="AY21" i="10" s="1"/>
  <c r="AP21" i="10"/>
  <c r="AX21" i="10"/>
  <c r="AJ21" i="10"/>
  <c r="AV21" i="10"/>
  <c r="AI320" i="10"/>
  <c r="AP325" i="10"/>
  <c r="AS295" i="10"/>
  <c r="BI299" i="10"/>
  <c r="BA299" i="10" s="1"/>
  <c r="AM287" i="10"/>
  <c r="BE276" i="10"/>
  <c r="AE189" i="10"/>
  <c r="AL181" i="10"/>
  <c r="AL69" i="10"/>
  <c r="BC69" i="10"/>
  <c r="AW21" i="10"/>
  <c r="BE145" i="10"/>
  <c r="AK145" i="10"/>
  <c r="AW145" i="10"/>
  <c r="AQ145" i="10"/>
  <c r="AT145" i="10"/>
  <c r="AU145" i="10"/>
  <c r="AN145" i="10"/>
  <c r="AO145" i="10"/>
  <c r="BB145" i="10"/>
  <c r="BD145" i="10"/>
  <c r="AR145" i="10"/>
  <c r="BD299" i="10"/>
  <c r="AE239" i="10"/>
  <c r="AP238" i="10"/>
  <c r="AI183" i="10"/>
  <c r="BC155" i="10"/>
  <c r="AO181" i="10"/>
  <c r="AU196" i="10"/>
  <c r="AM196" i="10"/>
  <c r="AO196" i="10"/>
  <c r="BC196" i="10"/>
  <c r="BI196" i="10"/>
  <c r="BA196" i="10" s="1"/>
  <c r="AR74" i="10"/>
  <c r="AE133" i="10"/>
  <c r="AQ114" i="10"/>
  <c r="AR114" i="10"/>
  <c r="AS63" i="10"/>
  <c r="AT40" i="10"/>
  <c r="AS145" i="10"/>
  <c r="AR141" i="10"/>
  <c r="AE82" i="10"/>
  <c r="AN63" i="10"/>
  <c r="AO40" i="10"/>
  <c r="AJ48" i="10"/>
  <c r="AR104" i="10"/>
  <c r="AO104" i="10"/>
  <c r="BD104" i="10"/>
  <c r="AI104" i="10"/>
  <c r="AT104" i="10"/>
  <c r="AP104" i="10"/>
  <c r="AN104" i="10"/>
  <c r="AX104" i="10"/>
  <c r="AS104" i="10"/>
  <c r="AW104" i="10"/>
  <c r="AK104" i="10"/>
  <c r="AL244" i="10"/>
  <c r="AI244" i="10"/>
  <c r="AV244" i="10"/>
  <c r="AU244" i="10"/>
  <c r="AP244" i="10"/>
  <c r="AK244" i="10"/>
  <c r="AR244" i="10"/>
  <c r="BI214" i="10"/>
  <c r="BE181" i="10"/>
  <c r="AN181" i="10"/>
  <c r="AS181" i="10"/>
  <c r="AP181" i="10"/>
  <c r="AU181" i="10"/>
  <c r="AT136" i="10"/>
  <c r="AV136" i="10"/>
  <c r="AK136" i="10"/>
  <c r="AJ136" i="10"/>
  <c r="AM136" i="10"/>
  <c r="AI136" i="10"/>
  <c r="BC136" i="10"/>
  <c r="AW136" i="10"/>
  <c r="AP136" i="10"/>
  <c r="AZ136" i="10"/>
  <c r="BB61" i="10"/>
  <c r="AW61" i="10"/>
  <c r="AT61" i="10"/>
  <c r="AZ61" i="10"/>
  <c r="AQ61" i="10"/>
  <c r="AI61" i="10"/>
  <c r="AJ61" i="10"/>
  <c r="AL184" i="10"/>
  <c r="AZ184" i="10"/>
  <c r="AQ184" i="10"/>
  <c r="AW184" i="10"/>
  <c r="AU184" i="10"/>
  <c r="BC184" i="10"/>
  <c r="AX184" i="10"/>
  <c r="AO311" i="10"/>
  <c r="BE311" i="10"/>
  <c r="BB291" i="10"/>
  <c r="AW291" i="10"/>
  <c r="AK166" i="10"/>
  <c r="AS166" i="10"/>
  <c r="BB166" i="10"/>
  <c r="AU166" i="10"/>
  <c r="AT166" i="10"/>
  <c r="AN166" i="10"/>
  <c r="AP166" i="10"/>
  <c r="AM166" i="10"/>
  <c r="BD166" i="10"/>
  <c r="AO166" i="10"/>
  <c r="AT121" i="10"/>
  <c r="AI121" i="10"/>
  <c r="AL121" i="10"/>
  <c r="AS121" i="10"/>
  <c r="AX121" i="10"/>
  <c r="AR121" i="10"/>
  <c r="AO70" i="10"/>
  <c r="AQ70" i="10"/>
  <c r="AS70" i="10"/>
  <c r="BD70" i="10"/>
  <c r="AX70" i="10"/>
  <c r="AJ70" i="10"/>
  <c r="AT70" i="10"/>
  <c r="AV70" i="10"/>
  <c r="AM70" i="10"/>
  <c r="AW70" i="10"/>
  <c r="BB70" i="10"/>
  <c r="BI47" i="10"/>
  <c r="BD47" i="10"/>
  <c r="AV47" i="10"/>
  <c r="AL47" i="10"/>
  <c r="AI47" i="10"/>
  <c r="AK47" i="10"/>
  <c r="AN47" i="10"/>
  <c r="AJ47" i="10"/>
  <c r="AR47" i="10"/>
  <c r="AT47" i="10"/>
  <c r="AS47" i="10"/>
  <c r="AM47" i="10"/>
  <c r="AO47" i="10"/>
  <c r="AU188" i="10"/>
  <c r="AM188" i="10"/>
  <c r="AN188" i="10"/>
  <c r="AO188" i="10"/>
  <c r="AL188" i="10"/>
  <c r="AX322" i="10"/>
  <c r="AF323" i="10"/>
  <c r="AF301" i="10"/>
  <c r="AO63" i="10"/>
  <c r="AR188" i="10"/>
  <c r="AM63" i="10"/>
  <c r="AB16" i="10"/>
  <c r="AU16" i="10" s="1"/>
  <c r="AT343" i="10"/>
  <c r="AN316" i="10"/>
  <c r="AS310" i="10"/>
  <c r="BD301" i="10"/>
  <c r="AW271" i="10"/>
  <c r="AP271" i="10"/>
  <c r="AR271" i="10"/>
  <c r="AO316" i="10"/>
  <c r="AS147" i="10"/>
  <c r="AX71" i="10"/>
  <c r="AL152" i="10"/>
  <c r="AK152" i="10"/>
  <c r="AJ152" i="10"/>
  <c r="AW152" i="10"/>
  <c r="AZ152" i="10"/>
  <c r="AI152" i="10"/>
  <c r="AM152" i="10"/>
  <c r="BB54" i="10"/>
  <c r="AS54" i="10"/>
  <c r="AT54" i="10"/>
  <c r="AO54" i="10"/>
  <c r="AI54" i="10"/>
  <c r="AN54" i="10"/>
  <c r="BD316" i="10"/>
  <c r="AN242" i="10"/>
  <c r="AX266" i="10"/>
  <c r="AK222" i="10"/>
  <c r="AI222" i="10"/>
  <c r="AJ222" i="10"/>
  <c r="BC222" i="10"/>
  <c r="AP152" i="10"/>
  <c r="AO152" i="10"/>
  <c r="BA98" i="10"/>
  <c r="AY98" i="10"/>
  <c r="AG98" i="10" s="1"/>
  <c r="BD188" i="10"/>
  <c r="BE156" i="10"/>
  <c r="AK156" i="10"/>
  <c r="AJ156" i="10"/>
  <c r="AI141" i="10"/>
  <c r="BB43" i="10"/>
  <c r="BD43" i="10"/>
  <c r="AZ43" i="10"/>
  <c r="AU74" i="10"/>
  <c r="AT74" i="10"/>
  <c r="AL74" i="10"/>
  <c r="AX74" i="10"/>
  <c r="AJ74" i="10"/>
  <c r="AV74" i="10"/>
  <c r="AS74" i="10"/>
  <c r="AO74" i="10"/>
  <c r="AU40" i="10"/>
  <c r="AK40" i="10"/>
  <c r="AJ40" i="10"/>
  <c r="AZ40" i="10"/>
  <c r="AV40" i="10"/>
  <c r="AP40" i="10"/>
  <c r="BD40" i="10"/>
  <c r="BB40" i="10"/>
  <c r="AI40" i="10"/>
  <c r="AS40" i="10"/>
  <c r="AR40" i="10"/>
  <c r="BA49" i="10"/>
  <c r="AY49" i="10"/>
  <c r="AR322" i="10"/>
  <c r="AL325" i="10"/>
  <c r="AJ320" i="10"/>
  <c r="AL316" i="10"/>
  <c r="AI310" i="10"/>
  <c r="BE325" i="10"/>
  <c r="AU287" i="10"/>
  <c r="AK266" i="10"/>
  <c r="AY255" i="10"/>
  <c r="AO281" i="10"/>
  <c r="AX242" i="10"/>
  <c r="AZ199" i="10"/>
  <c r="AX199" i="10"/>
  <c r="AJ322" i="10"/>
  <c r="AE329" i="10"/>
  <c r="AS322" i="10"/>
  <c r="AT320" i="10"/>
  <c r="BC316" i="10"/>
  <c r="BE303" i="10"/>
  <c r="AK303" i="10"/>
  <c r="AT274" i="10"/>
  <c r="BC254" i="10"/>
  <c r="BE254" i="10"/>
  <c r="AS254" i="10"/>
  <c r="AT254" i="10"/>
  <c r="AQ273" i="10"/>
  <c r="AX273" i="10"/>
  <c r="AY253" i="10"/>
  <c r="AW254" i="10"/>
  <c r="AE210" i="10"/>
  <c r="AN229" i="10"/>
  <c r="AU125" i="10"/>
  <c r="BE125" i="10"/>
  <c r="AV125" i="10"/>
  <c r="AR125" i="10"/>
  <c r="AZ269" i="10"/>
  <c r="AN125" i="10"/>
  <c r="BI177" i="10"/>
  <c r="AY177" i="10" s="1"/>
  <c r="AM159" i="10"/>
  <c r="AO159" i="10"/>
  <c r="AX159" i="10"/>
  <c r="AW159" i="10"/>
  <c r="AN159" i="10"/>
  <c r="AQ159" i="10"/>
  <c r="AR152" i="10"/>
  <c r="AJ49" i="10"/>
  <c r="AI74" i="10"/>
  <c r="BC188" i="10"/>
  <c r="AN40" i="10"/>
  <c r="AK209" i="10"/>
  <c r="BE209" i="10"/>
  <c r="BC209" i="10"/>
  <c r="AN209" i="10"/>
  <c r="AM209" i="10"/>
  <c r="AR209" i="10"/>
  <c r="AL209" i="10"/>
  <c r="AL145" i="10"/>
  <c r="AW40" i="10"/>
  <c r="BE104" i="10"/>
  <c r="AK48" i="10"/>
  <c r="BA88" i="10"/>
  <c r="AY88" i="10"/>
  <c r="AT244" i="10"/>
  <c r="BD152" i="10"/>
  <c r="BC40" i="10"/>
  <c r="AU17" i="10"/>
  <c r="AP253" i="10"/>
  <c r="AT253" i="10"/>
  <c r="AQ253" i="10"/>
  <c r="AN253" i="10"/>
  <c r="AJ253" i="10"/>
  <c r="BC253" i="10"/>
  <c r="AL253" i="10"/>
  <c r="AS253" i="10"/>
  <c r="AZ295" i="10"/>
  <c r="AJ295" i="10"/>
  <c r="AU295" i="10"/>
  <c r="AK285" i="10"/>
  <c r="AW285" i="10"/>
  <c r="AU285" i="10"/>
  <c r="AN285" i="10"/>
  <c r="BC285" i="10"/>
  <c r="AM285" i="10"/>
  <c r="AX285" i="10"/>
  <c r="AK195" i="10"/>
  <c r="AQ195" i="10"/>
  <c r="AS195" i="10"/>
  <c r="AU195" i="10"/>
  <c r="BD195" i="10"/>
  <c r="AI195" i="10"/>
  <c r="AV195" i="10"/>
  <c r="AR247" i="10"/>
  <c r="AZ247" i="10"/>
  <c r="AO247" i="10"/>
  <c r="AT247" i="10"/>
  <c r="BE70" i="10"/>
  <c r="AL321" i="10"/>
  <c r="AB7" i="10"/>
  <c r="AT7" i="10" s="1"/>
  <c r="AH7" i="10"/>
  <c r="BI7" i="10"/>
  <c r="AZ63" i="10"/>
  <c r="AR63" i="10"/>
  <c r="AK63" i="10"/>
  <c r="AW63" i="10"/>
  <c r="BD63" i="10"/>
  <c r="AX316" i="10"/>
  <c r="AS118" i="10"/>
  <c r="AV118" i="10"/>
  <c r="AZ118" i="10"/>
  <c r="AU118" i="10"/>
  <c r="AP322" i="10"/>
  <c r="AV310" i="10"/>
  <c r="AN310" i="10"/>
  <c r="AL289" i="10"/>
  <c r="BE289" i="10"/>
  <c r="BD290" i="10"/>
  <c r="AJ188" i="10"/>
  <c r="AQ94" i="10"/>
  <c r="AK113" i="10"/>
  <c r="AQ113" i="10"/>
  <c r="AI113" i="10"/>
  <c r="BC299" i="10"/>
  <c r="AT299" i="10"/>
  <c r="AL299" i="10"/>
  <c r="BE299" i="10"/>
  <c r="AW299" i="10"/>
  <c r="AV320" i="10"/>
  <c r="BC249" i="10"/>
  <c r="AM71" i="10"/>
  <c r="AI21" i="10"/>
  <c r="BC320" i="10"/>
  <c r="AL310" i="10"/>
  <c r="AK299" i="10"/>
  <c r="AR257" i="10"/>
  <c r="BB257" i="10"/>
  <c r="AJ185" i="10"/>
  <c r="BE338" i="10"/>
  <c r="AO303" i="10"/>
  <c r="AK276" i="10"/>
  <c r="AX227" i="10"/>
  <c r="AX215" i="10"/>
  <c r="AR185" i="10"/>
  <c r="AZ186" i="10"/>
  <c r="AU186" i="10"/>
  <c r="BD186" i="10"/>
  <c r="AX181" i="10"/>
  <c r="AK181" i="10"/>
  <c r="AR343" i="10"/>
  <c r="AX320" i="10"/>
  <c r="AL329" i="10"/>
  <c r="AV326" i="10"/>
  <c r="AX299" i="10"/>
  <c r="BD329" i="10"/>
  <c r="BD310" i="10"/>
  <c r="AE303" i="10"/>
  <c r="AL322" i="10"/>
  <c r="AT321" i="10"/>
  <c r="AP321" i="10"/>
  <c r="AQ271" i="10"/>
  <c r="BI312" i="10"/>
  <c r="BA312" i="10" s="1"/>
  <c r="AO271" i="10"/>
  <c r="AO299" i="10"/>
  <c r="AR289" i="10"/>
  <c r="BB284" i="10"/>
  <c r="AP284" i="10"/>
  <c r="AX291" i="10"/>
  <c r="AV291" i="10"/>
  <c r="AK310" i="10"/>
  <c r="AW290" i="10"/>
  <c r="AU311" i="10"/>
  <c r="AK273" i="10"/>
  <c r="BI242" i="10"/>
  <c r="BA242" i="10" s="1"/>
  <c r="AK253" i="10"/>
  <c r="AV253" i="10"/>
  <c r="AI236" i="10"/>
  <c r="BD236" i="10"/>
  <c r="AL236" i="10"/>
  <c r="AV222" i="10"/>
  <c r="BC247" i="10"/>
  <c r="AJ244" i="10"/>
  <c r="BC248" i="10"/>
  <c r="AM248" i="10"/>
  <c r="AX248" i="10"/>
  <c r="AO184" i="10"/>
  <c r="AI190" i="10"/>
  <c r="AW190" i="10"/>
  <c r="AR190" i="10"/>
  <c r="AS192" i="10"/>
  <c r="AX192" i="10"/>
  <c r="AT192" i="10"/>
  <c r="AI192" i="10"/>
  <c r="AU183" i="10"/>
  <c r="AV166" i="10"/>
  <c r="AU216" i="10"/>
  <c r="AE193" i="10"/>
  <c r="AZ145" i="10"/>
  <c r="BI181" i="10"/>
  <c r="AY181" i="10" s="1"/>
  <c r="AV196" i="10"/>
  <c r="AX145" i="10"/>
  <c r="AV159" i="10"/>
  <c r="AU132" i="10"/>
  <c r="AQ132" i="10"/>
  <c r="AV132" i="10"/>
  <c r="AT132" i="10"/>
  <c r="AP125" i="10"/>
  <c r="AK184" i="10"/>
  <c r="BD136" i="10"/>
  <c r="AX47" i="10"/>
  <c r="BI74" i="10"/>
  <c r="AY74" i="10" s="1"/>
  <c r="BB42" i="10"/>
  <c r="AX42" i="10"/>
  <c r="AZ42" i="10"/>
  <c r="AV181" i="10"/>
  <c r="BB94" i="10"/>
  <c r="AV209" i="10"/>
  <c r="BD178" i="10"/>
  <c r="BD60" i="10"/>
  <c r="AV60" i="10"/>
  <c r="AR60" i="10"/>
  <c r="AM145" i="10"/>
  <c r="AR51" i="10"/>
  <c r="BE40" i="10"/>
  <c r="AZ104" i="10"/>
  <c r="BC71" i="10"/>
  <c r="BC54" i="10"/>
  <c r="AV54" i="10"/>
  <c r="AI13" i="10"/>
  <c r="AS21" i="10"/>
  <c r="AX69" i="10"/>
  <c r="AT152" i="10"/>
  <c r="BC152" i="10"/>
  <c r="AR166" i="10"/>
  <c r="AM203" i="10"/>
  <c r="AV203" i="10"/>
  <c r="AP203" i="10"/>
  <c r="AQ203" i="10"/>
  <c r="AI203" i="10"/>
  <c r="AO322" i="10"/>
  <c r="AW141" i="10"/>
  <c r="AN141" i="10"/>
  <c r="AP141" i="10"/>
  <c r="AP63" i="10"/>
  <c r="AB19" i="10"/>
  <c r="AN19" i="10" s="1"/>
  <c r="BA95" i="10"/>
  <c r="AY95" i="10"/>
  <c r="AP326" i="10"/>
  <c r="AV322" i="10"/>
  <c r="AL287" i="10"/>
  <c r="AQ266" i="10"/>
  <c r="AL266" i="10"/>
  <c r="AJ266" i="10"/>
  <c r="AS266" i="10"/>
  <c r="AN266" i="10"/>
  <c r="AZ227" i="10"/>
  <c r="BB227" i="10"/>
  <c r="AN320" i="10"/>
  <c r="AW320" i="10"/>
  <c r="AR320" i="10"/>
  <c r="AL320" i="10"/>
  <c r="AI299" i="10"/>
  <c r="AX301" i="10"/>
  <c r="AK287" i="10"/>
  <c r="AL229" i="10"/>
  <c r="AI187" i="10"/>
  <c r="AS249" i="10"/>
  <c r="AJ249" i="10"/>
  <c r="AT249" i="10"/>
  <c r="AK188" i="10"/>
  <c r="BB63" i="10"/>
  <c r="AU113" i="10"/>
  <c r="AO75" i="10"/>
  <c r="AM75" i="10"/>
  <c r="BB75" i="10"/>
  <c r="AS75" i="10"/>
  <c r="AP75" i="10"/>
  <c r="AI75" i="10"/>
  <c r="AZ75" i="10"/>
  <c r="AL75" i="10"/>
  <c r="AV75" i="10"/>
  <c r="AR75" i="10"/>
  <c r="AU75" i="10"/>
  <c r="AN75" i="10"/>
  <c r="AT75" i="10"/>
  <c r="AW183" i="10"/>
  <c r="AX183" i="10"/>
  <c r="AO183" i="10"/>
  <c r="AN183" i="10"/>
  <c r="AV183" i="10"/>
  <c r="AL183" i="10"/>
  <c r="BE183" i="10"/>
  <c r="BI183" i="10"/>
  <c r="AY183" i="10" s="1"/>
  <c r="AK183" i="10"/>
  <c r="AJ183" i="10"/>
  <c r="AR183" i="10"/>
  <c r="AZ189" i="10"/>
  <c r="BB189" i="10"/>
  <c r="AL189" i="10"/>
  <c r="AM189" i="10"/>
  <c r="AV17" i="10"/>
  <c r="AN17" i="10"/>
  <c r="AW17" i="10"/>
  <c r="BB17" i="10"/>
  <c r="AM17" i="10"/>
  <c r="AK17" i="10"/>
  <c r="AZ17" i="10"/>
  <c r="BD17" i="10"/>
  <c r="BC17" i="10"/>
  <c r="AO17" i="10"/>
  <c r="AP17" i="10"/>
  <c r="AJ17" i="10"/>
  <c r="AL17" i="10"/>
  <c r="BE17" i="10"/>
  <c r="AT17" i="10"/>
  <c r="AI17" i="10"/>
  <c r="AU343" i="10"/>
  <c r="BB326" i="10"/>
  <c r="AU316" i="10"/>
  <c r="AX310" i="10"/>
  <c r="AM291" i="10"/>
  <c r="AS287" i="10"/>
  <c r="AU189" i="10"/>
  <c r="AQ322" i="10"/>
  <c r="BE322" i="10"/>
  <c r="AU310" i="10"/>
  <c r="AX287" i="10"/>
  <c r="BI228" i="10"/>
  <c r="AY228" i="10" s="1"/>
  <c r="BE189" i="10"/>
  <c r="AM183" i="10"/>
  <c r="AI178" i="10"/>
  <c r="AJ178" i="10"/>
  <c r="AX178" i="10"/>
  <c r="AM178" i="10"/>
  <c r="AQ343" i="10"/>
  <c r="AN343" i="10"/>
  <c r="AK322" i="10"/>
  <c r="BD320" i="10"/>
  <c r="AJ343" i="10"/>
  <c r="BI343" i="10"/>
  <c r="BA343" i="10" s="1"/>
  <c r="AT345" i="10"/>
  <c r="AP320" i="10"/>
  <c r="BB345" i="10"/>
  <c r="BD326" i="10"/>
  <c r="AS316" i="10"/>
  <c r="BC311" i="10"/>
  <c r="BE320" i="10"/>
  <c r="AP299" i="10"/>
  <c r="AP329" i="10"/>
  <c r="AK306" i="10"/>
  <c r="AR316" i="10"/>
  <c r="AJ306" i="10"/>
  <c r="AP310" i="10"/>
  <c r="AO310" i="10"/>
  <c r="AV297" i="10"/>
  <c r="BC297" i="10"/>
  <c r="AW297" i="10"/>
  <c r="AX284" i="10"/>
  <c r="AT303" i="10"/>
  <c r="BE284" i="10"/>
  <c r="AM322" i="10"/>
  <c r="AJ297" i="10"/>
  <c r="AL272" i="10"/>
  <c r="BC272" i="10"/>
  <c r="AI271" i="10"/>
  <c r="AX271" i="10"/>
  <c r="AR299" i="10"/>
  <c r="AF276" i="10"/>
  <c r="AI291" i="10"/>
  <c r="BD291" i="10"/>
  <c r="AJ310" i="10"/>
  <c r="AV280" i="10"/>
  <c r="AP280" i="10"/>
  <c r="AO280" i="10"/>
  <c r="AU280" i="10"/>
  <c r="AS280" i="10"/>
  <c r="AW280" i="10"/>
  <c r="AT280" i="10"/>
  <c r="BD266" i="10"/>
  <c r="AM266" i="10"/>
  <c r="AX254" i="10"/>
  <c r="AT288" i="10"/>
  <c r="AK311" i="10"/>
  <c r="AZ264" i="10"/>
  <c r="BC264" i="10"/>
  <c r="AJ275" i="10"/>
  <c r="AW275" i="10"/>
  <c r="BD275" i="10"/>
  <c r="AP275" i="10"/>
  <c r="AU275" i="10"/>
  <c r="AN265" i="10"/>
  <c r="BB247" i="10"/>
  <c r="AW244" i="10"/>
  <c r="AL242" i="10"/>
  <c r="AW242" i="10"/>
  <c r="BB253" i="10"/>
  <c r="BD253" i="10"/>
  <c r="AR222" i="10"/>
  <c r="AL195" i="10"/>
  <c r="BD247" i="10"/>
  <c r="BD224" i="10"/>
  <c r="AJ194" i="10"/>
  <c r="BI194" i="10"/>
  <c r="AS194" i="10"/>
  <c r="AL194" i="10"/>
  <c r="BB244" i="10"/>
  <c r="AZ238" i="10"/>
  <c r="AW195" i="10"/>
  <c r="AZ248" i="10"/>
  <c r="AX189" i="10"/>
  <c r="AI184" i="10"/>
  <c r="AN249" i="10"/>
  <c r="AN189" i="10"/>
  <c r="BC192" i="10"/>
  <c r="BC183" i="10"/>
  <c r="AP184" i="10"/>
  <c r="AO216" i="10"/>
  <c r="AE216" i="10"/>
  <c r="AK155" i="10"/>
  <c r="AJ145" i="10"/>
  <c r="AQ136" i="10"/>
  <c r="BD218" i="10"/>
  <c r="AJ218" i="10"/>
  <c r="AS218" i="10"/>
  <c r="AI218" i="10"/>
  <c r="BI218" i="10"/>
  <c r="AI196" i="10"/>
  <c r="BE196" i="10"/>
  <c r="AP145" i="10"/>
  <c r="AS183" i="10"/>
  <c r="AQ121" i="10"/>
  <c r="AZ108" i="10"/>
  <c r="AI108" i="10"/>
  <c r="AT159" i="10"/>
  <c r="BE184" i="10"/>
  <c r="AL159" i="10"/>
  <c r="BI159" i="10"/>
  <c r="BA159" i="10" s="1"/>
  <c r="AN136" i="10"/>
  <c r="BA175" i="10"/>
  <c r="AK121" i="10"/>
  <c r="AO79" i="10"/>
  <c r="BE79" i="10"/>
  <c r="AP47" i="10"/>
  <c r="AN74" i="10"/>
  <c r="BB50" i="10"/>
  <c r="AZ50" i="10"/>
  <c r="AW188" i="10"/>
  <c r="BB181" i="10"/>
  <c r="AL114" i="10"/>
  <c r="AM94" i="10"/>
  <c r="AJ195" i="10"/>
  <c r="BD111" i="10"/>
  <c r="BC63" i="10"/>
  <c r="AW209" i="10"/>
  <c r="AS209" i="10"/>
  <c r="AP156" i="10"/>
  <c r="BC145" i="10"/>
  <c r="AU141" i="10"/>
  <c r="AM110" i="10"/>
  <c r="BD69" i="10"/>
  <c r="AN134" i="10"/>
  <c r="BC134" i="10"/>
  <c r="AL134" i="10"/>
  <c r="AT102" i="10"/>
  <c r="AL102" i="10"/>
  <c r="BD102" i="10"/>
  <c r="AS102" i="10"/>
  <c r="AR71" i="10"/>
  <c r="AZ51" i="10"/>
  <c r="AQ40" i="10"/>
  <c r="AJ104" i="10"/>
  <c r="BI93" i="10"/>
  <c r="BA93" i="10" s="1"/>
  <c r="BA68" i="10"/>
  <c r="AT21" i="10"/>
  <c r="AU70" i="10"/>
  <c r="AQ13" i="10"/>
  <c r="AS17" i="10"/>
  <c r="AQ75" i="10"/>
  <c r="BI285" i="10"/>
  <c r="AY285" i="10" s="1"/>
  <c r="AK75" i="10"/>
  <c r="AQ47" i="10"/>
  <c r="AU138" i="10"/>
  <c r="AV138" i="10"/>
  <c r="AN152" i="10"/>
  <c r="BC99" i="10"/>
  <c r="AM99" i="10"/>
  <c r="AT99" i="10"/>
  <c r="BB99" i="10"/>
  <c r="AS99" i="10"/>
  <c r="AK99" i="10"/>
  <c r="AN99" i="10"/>
  <c r="AV99" i="10"/>
  <c r="AO99" i="10"/>
  <c r="AR99" i="10"/>
  <c r="AZ142" i="10"/>
  <c r="BE142" i="10"/>
  <c r="AO142" i="10"/>
  <c r="AK142" i="10"/>
  <c r="AV142" i="10"/>
  <c r="AQ48" i="10"/>
  <c r="AU48" i="10"/>
  <c r="AI48" i="10"/>
  <c r="AS48" i="10"/>
  <c r="AW48" i="10"/>
  <c r="AM48" i="10"/>
  <c r="AR48" i="10"/>
  <c r="BE48" i="10"/>
  <c r="AL48" i="10"/>
  <c r="AO48" i="10"/>
  <c r="AN48" i="10"/>
  <c r="AZ48" i="10"/>
  <c r="BD48" i="10"/>
  <c r="AT48" i="10"/>
  <c r="BC48" i="10"/>
  <c r="AX163" i="10"/>
  <c r="BE163" i="10"/>
  <c r="AS163" i="10"/>
  <c r="AN163" i="10"/>
  <c r="BD163" i="10"/>
  <c r="AJ163" i="10"/>
  <c r="AW163" i="10"/>
  <c r="AM163" i="10"/>
  <c r="AP163" i="10"/>
  <c r="BE231" i="10"/>
  <c r="AQ231" i="10"/>
  <c r="AQ188" i="10"/>
  <c r="AV188" i="10"/>
  <c r="AS188" i="10"/>
  <c r="BD234" i="10"/>
  <c r="AL234" i="10"/>
  <c r="AG234" i="10" s="1"/>
  <c r="BA63" i="10"/>
  <c r="AY63" i="10"/>
  <c r="AM213" i="10"/>
  <c r="BC213" i="10"/>
  <c r="AK213" i="10"/>
  <c r="AK64" i="10"/>
  <c r="AJ64" i="10"/>
  <c r="AL64" i="10"/>
  <c r="AS64" i="10"/>
  <c r="AQ64" i="10"/>
  <c r="BC64" i="10"/>
  <c r="BE64" i="10"/>
  <c r="AU64" i="10"/>
  <c r="AP64" i="10"/>
  <c r="AR64" i="10"/>
  <c r="AZ64" i="10"/>
  <c r="AT64" i="10"/>
  <c r="AN64" i="10"/>
  <c r="BD64" i="10"/>
  <c r="AS150" i="10"/>
  <c r="AV150" i="10"/>
  <c r="AW150" i="10"/>
  <c r="AI173" i="10"/>
  <c r="AT173" i="10"/>
  <c r="AQ173" i="10"/>
  <c r="AL173" i="10"/>
  <c r="AV56" i="10"/>
  <c r="AX56" i="10"/>
  <c r="AU56" i="10"/>
  <c r="AJ56" i="10"/>
  <c r="AQ56" i="10"/>
  <c r="BD56" i="10"/>
  <c r="AM56" i="10"/>
  <c r="BE56" i="10"/>
  <c r="AE312" i="10"/>
  <c r="AE291" i="10"/>
  <c r="BI288" i="10"/>
  <c r="AY288" i="10" s="1"/>
  <c r="BE283" i="10"/>
  <c r="BI257" i="10"/>
  <c r="AY257" i="10" s="1"/>
  <c r="BC237" i="10"/>
  <c r="AE264" i="10"/>
  <c r="BI237" i="10"/>
  <c r="BA237" i="10" s="1"/>
  <c r="BB256" i="10"/>
  <c r="BC224" i="10"/>
  <c r="AL208" i="10"/>
  <c r="BI230" i="10"/>
  <c r="AY230" i="10" s="1"/>
  <c r="BI203" i="10"/>
  <c r="BA203" i="10" s="1"/>
  <c r="AU197" i="10"/>
  <c r="AT179" i="10"/>
  <c r="BI121" i="10"/>
  <c r="AY121" i="10" s="1"/>
  <c r="BI201" i="10"/>
  <c r="BA201" i="10" s="1"/>
  <c r="AE171" i="10"/>
  <c r="AS153" i="10"/>
  <c r="BI87" i="10"/>
  <c r="BA87" i="10" s="1"/>
  <c r="BI209" i="10"/>
  <c r="AY209" i="10" s="1"/>
  <c r="AV110" i="10"/>
  <c r="BD110" i="10"/>
  <c r="BC110" i="10"/>
  <c r="AP110" i="10"/>
  <c r="BE82" i="10"/>
  <c r="AX82" i="10"/>
  <c r="AN82" i="10"/>
  <c r="AT30" i="10"/>
  <c r="AJ162" i="10"/>
  <c r="BC162" i="10"/>
  <c r="AR162" i="10"/>
  <c r="AT162" i="10"/>
  <c r="AX162" i="10"/>
  <c r="AV162" i="10"/>
  <c r="AO86" i="10"/>
  <c r="AT86" i="10"/>
  <c r="AK86" i="10"/>
  <c r="AX86" i="10"/>
  <c r="AT16" i="10"/>
  <c r="AZ163" i="10"/>
  <c r="AP28" i="10"/>
  <c r="AN28" i="10"/>
  <c r="BI341" i="10"/>
  <c r="AN304" i="10"/>
  <c r="AL304" i="10"/>
  <c r="AT304" i="10"/>
  <c r="BD304" i="10"/>
  <c r="AM304" i="10"/>
  <c r="AR270" i="10"/>
  <c r="AZ270" i="10"/>
  <c r="AU270" i="10"/>
  <c r="BC270" i="10"/>
  <c r="AO105" i="10"/>
  <c r="AS105" i="10"/>
  <c r="AU105" i="10"/>
  <c r="AT78" i="10"/>
  <c r="BC78" i="10"/>
  <c r="AZ78" i="10"/>
  <c r="AF37" i="10"/>
  <c r="AE137" i="10"/>
  <c r="BE53" i="10"/>
  <c r="AW53" i="10"/>
  <c r="BI138" i="10"/>
  <c r="AT144" i="10"/>
  <c r="AS144" i="10"/>
  <c r="AL144" i="10"/>
  <c r="AV144" i="10"/>
  <c r="AN144" i="10"/>
  <c r="AR144" i="10"/>
  <c r="AU342" i="10"/>
  <c r="BD342" i="10"/>
  <c r="AV180" i="10"/>
  <c r="AT180" i="10"/>
  <c r="AU180" i="10"/>
  <c r="BE180" i="10"/>
  <c r="AM180" i="10"/>
  <c r="BE313" i="10"/>
  <c r="BI313" i="10"/>
  <c r="AQ79" i="10"/>
  <c r="AJ79" i="10"/>
  <c r="AI79" i="10"/>
  <c r="BD79" i="10"/>
  <c r="BI274" i="10"/>
  <c r="AY274" i="10" s="1"/>
  <c r="BI266" i="10"/>
  <c r="AY266" i="10" s="1"/>
  <c r="AE275" i="10"/>
  <c r="BD267" i="10"/>
  <c r="BI239" i="10"/>
  <c r="BA239" i="10" s="1"/>
  <c r="BI238" i="10"/>
  <c r="BA238" i="10" s="1"/>
  <c r="AX249" i="10"/>
  <c r="AM179" i="10"/>
  <c r="AR230" i="10"/>
  <c r="AI179" i="10"/>
  <c r="AZ179" i="10"/>
  <c r="AR153" i="10"/>
  <c r="AQ153" i="10"/>
  <c r="AL153" i="10"/>
  <c r="AK153" i="10"/>
  <c r="AN170" i="10"/>
  <c r="AL103" i="10"/>
  <c r="AB26" i="10"/>
  <c r="BC26" i="10" s="1"/>
  <c r="AB15" i="10"/>
  <c r="AK15" i="10" s="1"/>
  <c r="BC163" i="10"/>
  <c r="AK59" i="10"/>
  <c r="BC59" i="10"/>
  <c r="AM59" i="10"/>
  <c r="AU59" i="10"/>
  <c r="AN59" i="10"/>
  <c r="AI59" i="10"/>
  <c r="AF216" i="10"/>
  <c r="AB9" i="10"/>
  <c r="AI9" i="10" s="1"/>
  <c r="AJ173" i="10"/>
  <c r="AP45" i="10"/>
  <c r="AZ45" i="10"/>
  <c r="BE45" i="10"/>
  <c r="AU45" i="10"/>
  <c r="AT45" i="10"/>
  <c r="AX84" i="10"/>
  <c r="AE101" i="10"/>
  <c r="AP58" i="10"/>
  <c r="AM164" i="10"/>
  <c r="BI156" i="10"/>
  <c r="AY156" i="10" s="1"/>
  <c r="BI71" i="10"/>
  <c r="AY71" i="10" s="1"/>
  <c r="BI126" i="10"/>
  <c r="AE21" i="10"/>
  <c r="AE339" i="10"/>
  <c r="BI53" i="10"/>
  <c r="BA53" i="10" s="1"/>
  <c r="BI75" i="10"/>
  <c r="AY75" i="10" s="1"/>
  <c r="AB18" i="10"/>
  <c r="AT18" i="10" s="1"/>
  <c r="AE138" i="10"/>
  <c r="AR293" i="10"/>
  <c r="AS293" i="10"/>
  <c r="BC293" i="10"/>
  <c r="AE341" i="10"/>
  <c r="AU233" i="10"/>
  <c r="BC233" i="10"/>
  <c r="AK233" i="10"/>
  <c r="AZ233" i="10"/>
  <c r="AR307" i="10"/>
  <c r="AP307" i="10"/>
  <c r="AZ307" i="10"/>
  <c r="AW311" i="10"/>
  <c r="AZ311" i="10"/>
  <c r="AS29" i="10"/>
  <c r="AQ29" i="10"/>
  <c r="AZ29" i="10"/>
  <c r="BD80" i="10"/>
  <c r="AN80" i="10"/>
  <c r="AM80" i="10"/>
  <c r="BI226" i="10"/>
  <c r="AN226" i="10"/>
  <c r="AT161" i="10"/>
  <c r="AV161" i="10"/>
  <c r="AK161" i="10"/>
  <c r="BI320" i="10"/>
  <c r="BA320" i="10" s="1"/>
  <c r="AJ157" i="10"/>
  <c r="BI157" i="10"/>
  <c r="AY157" i="10" s="1"/>
  <c r="AO107" i="10"/>
  <c r="AS107" i="10"/>
  <c r="AF35" i="10"/>
  <c r="AF11" i="10"/>
  <c r="AF5" i="10"/>
  <c r="AC5" i="10"/>
  <c r="AD5" i="10" s="1"/>
  <c r="AE5" i="10" s="1"/>
  <c r="BI141" i="10"/>
  <c r="AB35" i="10"/>
  <c r="AS35" i="10" s="1"/>
  <c r="BI86" i="10"/>
  <c r="AY86" i="10" s="1"/>
  <c r="AI53" i="10"/>
  <c r="AQ20" i="10"/>
  <c r="AQ163" i="10"/>
  <c r="BC186" i="10"/>
  <c r="AV52" i="10"/>
  <c r="AS52" i="10"/>
  <c r="AO52" i="10"/>
  <c r="AM52" i="10"/>
  <c r="AN52" i="10"/>
  <c r="AK334" i="10"/>
  <c r="AL205" i="10"/>
  <c r="AR205" i="10"/>
  <c r="AM205" i="10"/>
  <c r="BI97" i="10"/>
  <c r="AL97" i="10"/>
  <c r="AK97" i="10"/>
  <c r="BD255" i="10"/>
  <c r="AR255" i="10"/>
  <c r="AN255" i="10"/>
  <c r="AT128" i="10"/>
  <c r="AS128" i="10"/>
  <c r="AK128" i="10"/>
  <c r="AN128" i="10"/>
  <c r="AE158" i="10"/>
  <c r="AJ81" i="10"/>
  <c r="BD81" i="10"/>
  <c r="AO81" i="10"/>
  <c r="AI81" i="10"/>
  <c r="AS81" i="10"/>
  <c r="AQ39" i="10"/>
  <c r="AT39" i="10"/>
  <c r="AI39" i="10"/>
  <c r="AJ39" i="10"/>
  <c r="AV39" i="10"/>
  <c r="BD39" i="10"/>
  <c r="AF33" i="10"/>
  <c r="BB159" i="10"/>
  <c r="AJ159" i="10"/>
  <c r="BI83" i="10"/>
  <c r="AN83" i="10"/>
  <c r="AL83" i="10"/>
  <c r="AV83" i="10"/>
  <c r="AE115" i="10"/>
  <c r="AF32" i="10"/>
  <c r="AV182" i="10"/>
  <c r="BI48" i="10"/>
  <c r="AY48" i="10" s="1"/>
  <c r="BI178" i="10"/>
  <c r="BA178" i="10" s="1"/>
  <c r="AE120" i="10"/>
  <c r="AO78" i="10"/>
  <c r="BI45" i="10"/>
  <c r="BA45" i="10" s="1"/>
  <c r="BI102" i="10"/>
  <c r="AY102" i="10" s="1"/>
  <c r="BI162" i="10"/>
  <c r="BA162" i="10" s="1"/>
  <c r="AR20" i="10"/>
  <c r="AN106" i="10"/>
  <c r="AB34" i="10"/>
  <c r="AM34" i="10" s="1"/>
  <c r="AR204" i="10"/>
  <c r="AL204" i="10"/>
  <c r="AJ204" i="10"/>
  <c r="BI251" i="10"/>
  <c r="BD251" i="10"/>
  <c r="AW69" i="10"/>
  <c r="AV33" i="10"/>
  <c r="AW33" i="10"/>
  <c r="AO33" i="10"/>
  <c r="BC33" i="10"/>
  <c r="BE33" i="10"/>
  <c r="AM33" i="10"/>
  <c r="AE129" i="10"/>
  <c r="AJ97" i="10"/>
  <c r="BE115" i="10"/>
  <c r="AQ115" i="10"/>
  <c r="AU115" i="10"/>
  <c r="AM115" i="10"/>
  <c r="BD115" i="10"/>
  <c r="AQ52" i="10"/>
  <c r="BE221" i="10"/>
  <c r="AN221" i="10"/>
  <c r="AO221" i="10"/>
  <c r="AJ203" i="10"/>
  <c r="AE108" i="10"/>
  <c r="AE49" i="10"/>
  <c r="AS56" i="10"/>
  <c r="AE121" i="10"/>
  <c r="AE186" i="10"/>
  <c r="AE44" i="10"/>
  <c r="AT91" i="10"/>
  <c r="AL91" i="10"/>
  <c r="AK91" i="10"/>
  <c r="AS80" i="10"/>
  <c r="AR80" i="10"/>
  <c r="BI334" i="10"/>
  <c r="BI81" i="10"/>
  <c r="BE150" i="10"/>
  <c r="AK203" i="10"/>
  <c r="AP117" i="10"/>
  <c r="BI38" i="10"/>
  <c r="AB38" i="10"/>
  <c r="AZ38" i="10" s="1"/>
  <c r="AB24" i="10"/>
  <c r="AR24" i="10" s="1"/>
  <c r="AW138" i="10"/>
  <c r="AM226" i="10"/>
  <c r="AO240" i="10"/>
  <c r="AQ240" i="10"/>
  <c r="BC121" i="10"/>
  <c r="AI313" i="10"/>
  <c r="BC226" i="10"/>
  <c r="AU129" i="10"/>
  <c r="AE57" i="10"/>
  <c r="AE45" i="10"/>
  <c r="AE325" i="10"/>
  <c r="AE289" i="10"/>
  <c r="AE265" i="10"/>
  <c r="AE228" i="10"/>
  <c r="AE209" i="10"/>
  <c r="AE61" i="10"/>
  <c r="AE279" i="10"/>
  <c r="AE132" i="10"/>
  <c r="AE111" i="10"/>
  <c r="AE77" i="10"/>
  <c r="AE302" i="10"/>
  <c r="AE69" i="10"/>
  <c r="AE163" i="10"/>
  <c r="AE324" i="10"/>
  <c r="AE315" i="10"/>
  <c r="AE202" i="10"/>
  <c r="AE68" i="10"/>
  <c r="AE345" i="10"/>
  <c r="AE336" i="10"/>
  <c r="AE306" i="10"/>
  <c r="AE290" i="10"/>
  <c r="AE280" i="10"/>
  <c r="AE276" i="10"/>
  <c r="AE218" i="10"/>
  <c r="AE148" i="10"/>
  <c r="AE150" i="10"/>
  <c r="AE156" i="10"/>
  <c r="AE43" i="10"/>
  <c r="AE88" i="10"/>
  <c r="AP292" i="10"/>
  <c r="AX292" i="10"/>
  <c r="AJ206" i="10"/>
  <c r="BE206" i="10"/>
  <c r="AI206" i="10"/>
  <c r="AT46" i="10"/>
  <c r="AN46" i="10"/>
  <c r="AR324" i="10"/>
  <c r="AK228" i="10"/>
  <c r="AI228" i="10"/>
  <c r="AX228" i="10"/>
  <c r="AW228" i="10"/>
  <c r="BB160" i="10"/>
  <c r="AZ160" i="10"/>
  <c r="AX160" i="10"/>
  <c r="AP160" i="10"/>
  <c r="AE330" i="10"/>
  <c r="AJ294" i="10"/>
  <c r="AQ294" i="10"/>
  <c r="AY233" i="10"/>
  <c r="AW231" i="10"/>
  <c r="AX106" i="10"/>
  <c r="AN149" i="10"/>
  <c r="AR149" i="10"/>
  <c r="AZ149" i="10"/>
  <c r="AW149" i="10"/>
  <c r="AU149" i="10"/>
  <c r="AM149" i="10"/>
  <c r="AI149" i="10"/>
  <c r="BB149" i="10"/>
  <c r="AO27" i="10"/>
  <c r="AP27" i="10"/>
  <c r="AT27" i="10"/>
  <c r="AZ27" i="10"/>
  <c r="BA136" i="10"/>
  <c r="AY136" i="10"/>
  <c r="BA191" i="10"/>
  <c r="AY191" i="10"/>
  <c r="AP332" i="10"/>
  <c r="AR337" i="10"/>
  <c r="AI308" i="10"/>
  <c r="BA323" i="10"/>
  <c r="AE310" i="10"/>
  <c r="AX261" i="10"/>
  <c r="AP279" i="10"/>
  <c r="AF270" i="10"/>
  <c r="BA244" i="10"/>
  <c r="AW260" i="10"/>
  <c r="AZ260" i="10"/>
  <c r="BA240" i="10"/>
  <c r="BB200" i="10"/>
  <c r="AZ228" i="10"/>
  <c r="BD201" i="10"/>
  <c r="AZ201" i="10"/>
  <c r="AJ201" i="10"/>
  <c r="AU165" i="10"/>
  <c r="AV165" i="10"/>
  <c r="AX165" i="10"/>
  <c r="AZ130" i="10"/>
  <c r="AQ130" i="10"/>
  <c r="BE130" i="10"/>
  <c r="AK130" i="10"/>
  <c r="AX100" i="10"/>
  <c r="BB123" i="10"/>
  <c r="AV13" i="10"/>
  <c r="AT13" i="10"/>
  <c r="AJ13" i="10"/>
  <c r="AK13" i="10"/>
  <c r="AO13" i="10"/>
  <c r="AL13" i="10"/>
  <c r="AZ13" i="10"/>
  <c r="BB13" i="10"/>
  <c r="AH13" i="10"/>
  <c r="AS113" i="10"/>
  <c r="BD113" i="10"/>
  <c r="BC113" i="10"/>
  <c r="AW113" i="10"/>
  <c r="AX113" i="10"/>
  <c r="AJ113" i="10"/>
  <c r="AL122" i="10"/>
  <c r="AN122" i="10"/>
  <c r="AM122" i="10"/>
  <c r="AQ122" i="10"/>
  <c r="AO57" i="10"/>
  <c r="AQ57" i="10"/>
  <c r="AW57" i="10"/>
  <c r="AX57" i="10"/>
  <c r="AY80" i="10"/>
  <c r="BA80" i="10"/>
  <c r="AW337" i="10"/>
  <c r="BB207" i="10"/>
  <c r="AP207" i="10"/>
  <c r="AZ207" i="10"/>
  <c r="AX207" i="10"/>
  <c r="BE106" i="10"/>
  <c r="AW106" i="10"/>
  <c r="AO106" i="10"/>
  <c r="AI106" i="10"/>
  <c r="AR106" i="10"/>
  <c r="AZ106" i="10"/>
  <c r="AK231" i="10"/>
  <c r="AX231" i="10"/>
  <c r="AO231" i="10"/>
  <c r="AZ231" i="10"/>
  <c r="BD231" i="10"/>
  <c r="BB231" i="10"/>
  <c r="AV231" i="10"/>
  <c r="AT231" i="10"/>
  <c r="AN231" i="10"/>
  <c r="AL231" i="10"/>
  <c r="BA139" i="10"/>
  <c r="AY139" i="10"/>
  <c r="AZ123" i="10"/>
  <c r="BB106" i="10"/>
  <c r="AL323" i="10"/>
  <c r="AX294" i="10"/>
  <c r="AY286" i="10"/>
  <c r="AL279" i="10"/>
  <c r="AW279" i="10"/>
  <c r="AN279" i="10"/>
  <c r="BD279" i="10"/>
  <c r="AP231" i="10"/>
  <c r="AQ206" i="10"/>
  <c r="AO206" i="10"/>
  <c r="BC149" i="10"/>
  <c r="AX123" i="10"/>
  <c r="AK151" i="10"/>
  <c r="AO151" i="10"/>
  <c r="AQ151" i="10"/>
  <c r="AW151" i="10"/>
  <c r="BB119" i="10"/>
  <c r="AX119" i="10"/>
  <c r="AP119" i="10"/>
  <c r="AM44" i="10"/>
  <c r="AZ44" i="10"/>
  <c r="AL44" i="10"/>
  <c r="BB100" i="10"/>
  <c r="BB55" i="10"/>
  <c r="AP55" i="10"/>
  <c r="AZ55" i="10"/>
  <c r="AM55" i="10"/>
  <c r="AX55" i="10"/>
  <c r="AU55" i="10"/>
  <c r="BC55" i="10"/>
  <c r="AO55" i="10"/>
  <c r="AW55" i="10"/>
  <c r="BE55" i="10"/>
  <c r="BA84" i="10"/>
  <c r="AY84" i="10"/>
  <c r="AZ332" i="10"/>
  <c r="BB332" i="10"/>
  <c r="AX324" i="10"/>
  <c r="AZ314" i="10"/>
  <c r="AP84" i="10"/>
  <c r="BB84" i="10"/>
  <c r="AZ84" i="10"/>
  <c r="AW126" i="10"/>
  <c r="AU126" i="10"/>
  <c r="AT126" i="10"/>
  <c r="AO126" i="10"/>
  <c r="BB324" i="10"/>
  <c r="AE87" i="10"/>
  <c r="AR308" i="10"/>
  <c r="AY321" i="10"/>
  <c r="BA321" i="10"/>
  <c r="BB308" i="10"/>
  <c r="AU68" i="10"/>
  <c r="AL68" i="10"/>
  <c r="AJ68" i="10"/>
  <c r="AQ68" i="10"/>
  <c r="BC68" i="10"/>
  <c r="AR68" i="10"/>
  <c r="AM68" i="10"/>
  <c r="AT32" i="10"/>
  <c r="AL32" i="10"/>
  <c r="AE328" i="10"/>
  <c r="AE338" i="10"/>
  <c r="AL345" i="10"/>
  <c r="AM308" i="10"/>
  <c r="BE292" i="10"/>
  <c r="BA305" i="10"/>
  <c r="AY305" i="10"/>
  <c r="AQ279" i="10"/>
  <c r="AV264" i="10"/>
  <c r="AZ206" i="10"/>
  <c r="AE230" i="10"/>
  <c r="BE228" i="10"/>
  <c r="BE175" i="10"/>
  <c r="AO175" i="10"/>
  <c r="AZ175" i="10"/>
  <c r="AW175" i="10"/>
  <c r="AO167" i="10"/>
  <c r="BE167" i="10"/>
  <c r="AP167" i="10"/>
  <c r="AZ167" i="10"/>
  <c r="AX175" i="10"/>
  <c r="AV148" i="10"/>
  <c r="BC148" i="10"/>
  <c r="AJ148" i="10"/>
  <c r="AS148" i="10"/>
  <c r="AM148" i="10"/>
  <c r="AZ148" i="10"/>
  <c r="AQ148" i="10"/>
  <c r="AT148" i="10"/>
  <c r="AZ57" i="10"/>
  <c r="BB101" i="10"/>
  <c r="BE101" i="10"/>
  <c r="BC182" i="10"/>
  <c r="AM182" i="10"/>
  <c r="AS182" i="10"/>
  <c r="AL182" i="10"/>
  <c r="AJ182" i="10"/>
  <c r="AK182" i="10"/>
  <c r="AX182" i="10"/>
  <c r="AQ182" i="10"/>
  <c r="AO182" i="10"/>
  <c r="AF221" i="10"/>
  <c r="AZ5" i="10"/>
  <c r="DH5" i="10" s="1"/>
  <c r="AF253" i="10"/>
  <c r="AF235" i="10"/>
  <c r="AF278" i="10"/>
  <c r="AF41" i="10"/>
  <c r="AF6" i="10"/>
  <c r="AF162" i="10"/>
  <c r="BD124" i="10"/>
  <c r="AS124" i="10"/>
  <c r="AX124" i="10"/>
  <c r="AK124" i="10"/>
  <c r="BC124" i="10"/>
  <c r="AR124" i="10"/>
  <c r="AM124" i="10"/>
  <c r="AO124" i="10"/>
  <c r="AQ124" i="10"/>
  <c r="AZ124" i="10"/>
  <c r="BB124" i="10"/>
  <c r="AJ124" i="10"/>
  <c r="AP206" i="10"/>
  <c r="AT88" i="10"/>
  <c r="AN88" i="10"/>
  <c r="AI88" i="10"/>
  <c r="AY223" i="10"/>
  <c r="AG223" i="10" s="1"/>
  <c r="BA223" i="10"/>
  <c r="AS324" i="10"/>
  <c r="AW324" i="10"/>
  <c r="AQ324" i="10"/>
  <c r="AO324" i="10"/>
  <c r="AK323" i="10"/>
  <c r="AZ323" i="10"/>
  <c r="AR323" i="10"/>
  <c r="AN323" i="10"/>
  <c r="AJ323" i="10"/>
  <c r="AW323" i="10"/>
  <c r="AT324" i="10"/>
  <c r="AO305" i="10"/>
  <c r="AL305" i="10"/>
  <c r="AQ305" i="10"/>
  <c r="AY195" i="10"/>
  <c r="BA195" i="10"/>
  <c r="AZ308" i="10"/>
  <c r="AZ292" i="10"/>
  <c r="BE212" i="10"/>
  <c r="AP212" i="10"/>
  <c r="AX212" i="10"/>
  <c r="AM72" i="10"/>
  <c r="AX72" i="10"/>
  <c r="BB72" i="10"/>
  <c r="AO72" i="10"/>
  <c r="AS72" i="10"/>
  <c r="AW72" i="10"/>
  <c r="AT72" i="10"/>
  <c r="AN72" i="10"/>
  <c r="AL72" i="10"/>
  <c r="AV72" i="10"/>
  <c r="AU9" i="10"/>
  <c r="AM9" i="10"/>
  <c r="AS9" i="10"/>
  <c r="BB9" i="10"/>
  <c r="AZ9" i="10"/>
  <c r="AH9" i="10"/>
  <c r="BA10" i="10"/>
  <c r="AY10" i="10"/>
  <c r="AR264" i="10"/>
  <c r="AJ264" i="10"/>
  <c r="AW264" i="10"/>
  <c r="AX264" i="10"/>
  <c r="AL264" i="10"/>
  <c r="BE264" i="10"/>
  <c r="AQ264" i="10"/>
  <c r="BB261" i="10"/>
  <c r="AO261" i="10"/>
  <c r="AW261" i="10"/>
  <c r="BE261" i="10"/>
  <c r="AR228" i="10"/>
  <c r="AM321" i="10"/>
  <c r="AO321" i="10"/>
  <c r="AX321" i="10"/>
  <c r="AN321" i="10"/>
  <c r="AU308" i="10"/>
  <c r="BB323" i="10"/>
  <c r="AW292" i="10"/>
  <c r="AI305" i="10"/>
  <c r="AS321" i="10"/>
  <c r="AI286" i="10"/>
  <c r="AV286" i="10"/>
  <c r="AR288" i="10"/>
  <c r="AL288" i="10"/>
  <c r="AP288" i="10"/>
  <c r="AV288" i="10"/>
  <c r="AJ279" i="10"/>
  <c r="AZ263" i="10"/>
  <c r="AQ263" i="10"/>
  <c r="AM263" i="10"/>
  <c r="AE250" i="10"/>
  <c r="AR206" i="10"/>
  <c r="AM231" i="10"/>
  <c r="AM228" i="10"/>
  <c r="AZ190" i="10"/>
  <c r="BE190" i="10"/>
  <c r="AP175" i="10"/>
  <c r="AI122" i="10"/>
  <c r="AI231" i="10"/>
  <c r="BB177" i="10"/>
  <c r="AZ177" i="10"/>
  <c r="AR57" i="10"/>
  <c r="AZ101" i="10"/>
  <c r="AX41" i="10"/>
  <c r="AI151" i="10"/>
  <c r="AI182" i="10"/>
  <c r="AR14" i="10"/>
  <c r="BE14" i="10"/>
  <c r="AH14" i="10"/>
  <c r="AW14" i="10"/>
  <c r="AT44" i="10"/>
  <c r="AT339" i="10"/>
  <c r="AN339" i="10"/>
  <c r="AE337" i="10"/>
  <c r="AQ314" i="10"/>
  <c r="AM324" i="10"/>
  <c r="AY309" i="10"/>
  <c r="AE316" i="10"/>
  <c r="AT287" i="10"/>
  <c r="AR287" i="10"/>
  <c r="AE288" i="10"/>
  <c r="AK237" i="10"/>
  <c r="BB237" i="10"/>
  <c r="AZ214" i="10"/>
  <c r="BD260" i="10"/>
  <c r="AI214" i="10"/>
  <c r="AS236" i="10"/>
  <c r="AE236" i="10"/>
  <c r="AW214" i="10"/>
  <c r="AE217" i="10"/>
  <c r="AI208" i="10"/>
  <c r="AJ228" i="10"/>
  <c r="AN185" i="10"/>
  <c r="AL216" i="10"/>
  <c r="AJ216" i="10"/>
  <c r="AN216" i="10"/>
  <c r="AK216" i="10"/>
  <c r="AQ216" i="10"/>
  <c r="BB216" i="10"/>
  <c r="AO193" i="10"/>
  <c r="AR169" i="10"/>
  <c r="AJ169" i="10"/>
  <c r="AY132" i="10"/>
  <c r="BA132" i="10"/>
  <c r="AP108" i="10"/>
  <c r="AT108" i="10"/>
  <c r="AP146" i="10"/>
  <c r="AJ36" i="10"/>
  <c r="AX36" i="10"/>
  <c r="AX30" i="10"/>
  <c r="BC30" i="10"/>
  <c r="AR164" i="10"/>
  <c r="AM93" i="10"/>
  <c r="AS93" i="10"/>
  <c r="AZ339" i="10"/>
  <c r="BC37" i="10"/>
  <c r="AX37" i="10"/>
  <c r="BB37" i="10"/>
  <c r="AK118" i="10"/>
  <c r="BE20" i="10"/>
  <c r="AM20" i="10"/>
  <c r="AP20" i="10"/>
  <c r="BI20" i="10"/>
  <c r="AY20" i="10" s="1"/>
  <c r="AS20" i="10"/>
  <c r="AH20" i="10"/>
  <c r="AN20" i="10"/>
  <c r="AV34" i="10"/>
  <c r="AE305" i="10"/>
  <c r="BD321" i="10"/>
  <c r="BE287" i="10"/>
  <c r="AZ287" i="10"/>
  <c r="AE266" i="10"/>
  <c r="AE283" i="10"/>
  <c r="AE274" i="10"/>
  <c r="AJ265" i="10"/>
  <c r="AE260" i="10"/>
  <c r="AX214" i="10"/>
  <c r="BB236" i="10"/>
  <c r="AY236" i="10"/>
  <c r="BA217" i="10"/>
  <c r="AE249" i="10"/>
  <c r="AL186" i="10"/>
  <c r="AT186" i="10"/>
  <c r="AR216" i="10"/>
  <c r="BE133" i="10"/>
  <c r="AR133" i="10"/>
  <c r="AK103" i="10"/>
  <c r="AN103" i="10"/>
  <c r="BC103" i="10"/>
  <c r="BB103" i="10"/>
  <c r="AQ87" i="10"/>
  <c r="AN87" i="10"/>
  <c r="AY109" i="10"/>
  <c r="BA109" i="10"/>
  <c r="AT118" i="10"/>
  <c r="AN37" i="10"/>
  <c r="AR186" i="10"/>
  <c r="AR252" i="10"/>
  <c r="AZ252" i="10"/>
  <c r="AP197" i="10"/>
  <c r="AN197" i="10"/>
  <c r="AK197" i="10"/>
  <c r="BD185" i="10"/>
  <c r="AS211" i="10"/>
  <c r="AW49" i="10"/>
  <c r="AR49" i="10"/>
  <c r="AZ133" i="10"/>
  <c r="AF87" i="10"/>
  <c r="AP339" i="10"/>
  <c r="AU339" i="10"/>
  <c r="AE54" i="10"/>
  <c r="BD37" i="10"/>
  <c r="AL34" i="10"/>
  <c r="AH28" i="10"/>
  <c r="BB28" i="10"/>
  <c r="AZ28" i="10"/>
  <c r="AE323" i="10"/>
  <c r="AN208" i="10"/>
  <c r="AN252" i="10"/>
  <c r="AN146" i="10"/>
  <c r="AJ146" i="10"/>
  <c r="AM146" i="10"/>
  <c r="AW146" i="10"/>
  <c r="AT111" i="10"/>
  <c r="AW111" i="10"/>
  <c r="AZ111" i="10"/>
  <c r="AL111" i="10"/>
  <c r="AE110" i="10"/>
  <c r="AE51" i="10"/>
  <c r="BD118" i="10"/>
  <c r="AI118" i="10"/>
  <c r="AQ118" i="10"/>
  <c r="AX118" i="10"/>
  <c r="AT127" i="10"/>
  <c r="BB127" i="10"/>
  <c r="AN118" i="10"/>
  <c r="AE179" i="10"/>
  <c r="AN148" i="10"/>
  <c r="AE146" i="10"/>
  <c r="AE159" i="10"/>
  <c r="AO125" i="10"/>
  <c r="BA79" i="10"/>
  <c r="AJ114" i="10"/>
  <c r="AL110" i="10"/>
  <c r="AE182" i="10"/>
  <c r="AL141" i="10"/>
  <c r="BE110" i="10"/>
  <c r="AK110" i="10"/>
  <c r="AV82" i="10"/>
  <c r="AL60" i="10"/>
  <c r="AE126" i="10"/>
  <c r="AE95" i="10"/>
  <c r="AV3" i="10"/>
  <c r="AL59" i="10"/>
  <c r="AQ63" i="10"/>
  <c r="AL63" i="10"/>
  <c r="AI63" i="10"/>
  <c r="AT63" i="10"/>
  <c r="AJ63" i="10"/>
  <c r="AE252" i="10"/>
  <c r="AK125" i="10"/>
  <c r="AE153" i="10"/>
  <c r="AJ72" i="10"/>
  <c r="AJ35" i="10"/>
  <c r="AX141" i="10"/>
  <c r="AM141" i="10"/>
  <c r="AS110" i="10"/>
  <c r="AO82" i="10"/>
  <c r="BB60" i="10"/>
  <c r="AK95" i="10"/>
  <c r="BD95" i="10"/>
  <c r="BB59" i="10"/>
  <c r="BE309" i="10"/>
  <c r="BC309" i="10"/>
  <c r="AS309" i="10"/>
  <c r="AR309" i="10"/>
  <c r="AQ309" i="10"/>
  <c r="AM309" i="10"/>
  <c r="AS268" i="10"/>
  <c r="AR268" i="10"/>
  <c r="AP268" i="10"/>
  <c r="AS95" i="10"/>
  <c r="AE170" i="10"/>
  <c r="BD125" i="10"/>
  <c r="AE177" i="10"/>
  <c r="AE114" i="10"/>
  <c r="AS178" i="10"/>
  <c r="AE78" i="10"/>
  <c r="AF292" i="10"/>
  <c r="BC141" i="10"/>
  <c r="AX110" i="10"/>
  <c r="AP82" i="10"/>
  <c r="AZ60" i="10"/>
  <c r="AP43" i="10"/>
  <c r="AU13" i="10"/>
  <c r="AE118" i="10"/>
  <c r="AZ15" i="10"/>
  <c r="AJ95" i="10"/>
  <c r="AH19" i="10"/>
  <c r="AW59" i="10"/>
  <c r="AZ59" i="10"/>
  <c r="AS198" i="10"/>
  <c r="AP198" i="10"/>
  <c r="AK198" i="10"/>
  <c r="BC198" i="10"/>
  <c r="AU198" i="10"/>
  <c r="AR198" i="10"/>
  <c r="AY193" i="10"/>
  <c r="BA193" i="10"/>
  <c r="BA315" i="10"/>
  <c r="AY315" i="10"/>
  <c r="AY273" i="10"/>
  <c r="BA273" i="10"/>
  <c r="AY229" i="10"/>
  <c r="BA229" i="10"/>
  <c r="AY171" i="10"/>
  <c r="BA171" i="10"/>
  <c r="AY345" i="10"/>
  <c r="BA345" i="10"/>
  <c r="BA150" i="10"/>
  <c r="AY150" i="10"/>
  <c r="BA249" i="10"/>
  <c r="AY249" i="10"/>
  <c r="BA114" i="10"/>
  <c r="AY114" i="10"/>
  <c r="BA330" i="10"/>
  <c r="AY330" i="10"/>
  <c r="BA202" i="10"/>
  <c r="BA258" i="10"/>
  <c r="AY258" i="10"/>
  <c r="AY301" i="10"/>
  <c r="BA301" i="10"/>
  <c r="BE15" i="10"/>
  <c r="AR32" i="10"/>
  <c r="BC9" i="10"/>
  <c r="AF93" i="10"/>
  <c r="AV88" i="10"/>
  <c r="AI186" i="10"/>
  <c r="AW34" i="10"/>
  <c r="AU34" i="10"/>
  <c r="AF148" i="10"/>
  <c r="AF63" i="10"/>
  <c r="AF229" i="10"/>
  <c r="AF220" i="10"/>
  <c r="AF277" i="10"/>
  <c r="AF327" i="10"/>
  <c r="AR138" i="10"/>
  <c r="AK7" i="10"/>
  <c r="AN7" i="10"/>
  <c r="AP7" i="10"/>
  <c r="BD7" i="10"/>
  <c r="AX7" i="10"/>
  <c r="AV7" i="10"/>
  <c r="AL7" i="10"/>
  <c r="BI27" i="10"/>
  <c r="AX274" i="10"/>
  <c r="AV274" i="10"/>
  <c r="AP274" i="10"/>
  <c r="AI274" i="10"/>
  <c r="AI239" i="10"/>
  <c r="AU239" i="10"/>
  <c r="AK239" i="10"/>
  <c r="AJ239" i="10"/>
  <c r="BD239" i="10"/>
  <c r="BC239" i="10"/>
  <c r="AR239" i="10"/>
  <c r="AQ239" i="10"/>
  <c r="AT239" i="10"/>
  <c r="AX239" i="10"/>
  <c r="AM239" i="10"/>
  <c r="AQ235" i="10"/>
  <c r="AO235" i="10"/>
  <c r="AW235" i="10"/>
  <c r="AN235" i="10"/>
  <c r="BE235" i="10"/>
  <c r="AV235" i="10"/>
  <c r="AM235" i="10"/>
  <c r="BD235" i="10"/>
  <c r="AL235" i="10"/>
  <c r="BC235" i="10"/>
  <c r="AK235" i="10"/>
  <c r="AJ235" i="10"/>
  <c r="AI235" i="10"/>
  <c r="AU235" i="10"/>
  <c r="AS235" i="10"/>
  <c r="AT235" i="10"/>
  <c r="AR235" i="10"/>
  <c r="BB235" i="10"/>
  <c r="BE217" i="10"/>
  <c r="AX217" i="10"/>
  <c r="AW217" i="10"/>
  <c r="AO217" i="10"/>
  <c r="AI217" i="10"/>
  <c r="AM217" i="10"/>
  <c r="AS217" i="10"/>
  <c r="AQ217" i="10"/>
  <c r="BE200" i="10"/>
  <c r="BD200" i="10"/>
  <c r="AV200" i="10"/>
  <c r="AR200" i="10"/>
  <c r="AP200" i="10"/>
  <c r="AO200" i="10"/>
  <c r="AM200" i="10"/>
  <c r="AK200" i="10"/>
  <c r="AJ177" i="10"/>
  <c r="BD177" i="10"/>
  <c r="AN177" i="10"/>
  <c r="BC85" i="10"/>
  <c r="AX85" i="10"/>
  <c r="AW85" i="10"/>
  <c r="AM85" i="10"/>
  <c r="BD85" i="10"/>
  <c r="AN85" i="10"/>
  <c r="AK85" i="10"/>
  <c r="AV85" i="10"/>
  <c r="BB85" i="10"/>
  <c r="AT85" i="10"/>
  <c r="AQ85" i="10"/>
  <c r="AZ85" i="10"/>
  <c r="AP85" i="10"/>
  <c r="AV120" i="10"/>
  <c r="AT120" i="10"/>
  <c r="AX120" i="10"/>
  <c r="BE120" i="10"/>
  <c r="AS120" i="10"/>
  <c r="AW120" i="10"/>
  <c r="AO120" i="10"/>
  <c r="BD120" i="10"/>
  <c r="AN120" i="10"/>
  <c r="AZ120" i="10"/>
  <c r="AU120" i="10"/>
  <c r="AL120" i="10"/>
  <c r="BE67" i="10"/>
  <c r="AO67" i="10"/>
  <c r="BD67" i="10"/>
  <c r="AN67" i="10"/>
  <c r="AU67" i="10"/>
  <c r="AM67" i="10"/>
  <c r="AW67" i="10"/>
  <c r="BC67" i="10"/>
  <c r="AV67" i="10"/>
  <c r="AZ67" i="10"/>
  <c r="AP67" i="10"/>
  <c r="AX67" i="10"/>
  <c r="AR67" i="10"/>
  <c r="AJ67" i="10"/>
  <c r="AK67" i="10"/>
  <c r="BB67" i="10"/>
  <c r="BA182" i="10"/>
  <c r="AY182" i="10"/>
  <c r="AD35" i="10"/>
  <c r="AE35" i="10" s="1"/>
  <c r="BI35" i="10"/>
  <c r="BI32" i="10"/>
  <c r="AF206" i="10"/>
  <c r="AT325" i="10"/>
  <c r="AO328" i="10"/>
  <c r="AR328" i="10"/>
  <c r="AR315" i="10"/>
  <c r="AX314" i="10"/>
  <c r="AX326" i="10"/>
  <c r="AS326" i="10"/>
  <c r="AR326" i="10"/>
  <c r="AK326" i="10"/>
  <c r="AJ326" i="10"/>
  <c r="AQ326" i="10"/>
  <c r="AI326" i="10"/>
  <c r="AP289" i="10"/>
  <c r="AN289" i="10"/>
  <c r="AX289" i="10"/>
  <c r="AO289" i="10"/>
  <c r="AR265" i="10"/>
  <c r="AF241" i="10"/>
  <c r="AM273" i="10"/>
  <c r="AK245" i="10"/>
  <c r="AK217" i="10"/>
  <c r="AU217" i="10"/>
  <c r="AU252" i="10"/>
  <c r="AO252" i="10"/>
  <c r="AI252" i="10"/>
  <c r="AF145" i="10"/>
  <c r="BE171" i="10"/>
  <c r="AW171" i="10"/>
  <c r="AQ171" i="10"/>
  <c r="AM171" i="10"/>
  <c r="AS171" i="10"/>
  <c r="AX171" i="10"/>
  <c r="AK171" i="10"/>
  <c r="BD171" i="10"/>
  <c r="AN171" i="10"/>
  <c r="AL171" i="10"/>
  <c r="AO171" i="10"/>
  <c r="BE140" i="10"/>
  <c r="BD140" i="10"/>
  <c r="AX140" i="10"/>
  <c r="AN140" i="10"/>
  <c r="AO140" i="10"/>
  <c r="AJ140" i="10"/>
  <c r="AV140" i="10"/>
  <c r="BC140" i="10"/>
  <c r="BI140" i="10"/>
  <c r="AQ140" i="10"/>
  <c r="AU140" i="10"/>
  <c r="AI140" i="10"/>
  <c r="AR140" i="10"/>
  <c r="AW140" i="10"/>
  <c r="AK140" i="10"/>
  <c r="BA160" i="10"/>
  <c r="AY160" i="10"/>
  <c r="AU41" i="10"/>
  <c r="AT41" i="10"/>
  <c r="AS41" i="10"/>
  <c r="BC41" i="10"/>
  <c r="AM41" i="10"/>
  <c r="AK41" i="10"/>
  <c r="BB41" i="10"/>
  <c r="BD41" i="10"/>
  <c r="AN41" i="10"/>
  <c r="AL41" i="10"/>
  <c r="AV41" i="10"/>
  <c r="BE41" i="10"/>
  <c r="AR41" i="10"/>
  <c r="AZ41" i="10"/>
  <c r="AP41" i="10"/>
  <c r="BA151" i="10"/>
  <c r="AM120" i="10"/>
  <c r="BB22" i="10"/>
  <c r="BI22" i="10"/>
  <c r="AN22" i="10"/>
  <c r="AZ22" i="10"/>
  <c r="BD22" i="10"/>
  <c r="AS22" i="10"/>
  <c r="BE22" i="10"/>
  <c r="AM22" i="10"/>
  <c r="AJ22" i="10"/>
  <c r="BC22" i="10"/>
  <c r="AH22" i="10"/>
  <c r="AI22" i="10"/>
  <c r="AF82" i="10"/>
  <c r="AQ32" i="10"/>
  <c r="AF7" i="10"/>
  <c r="AF180" i="10"/>
  <c r="AF88" i="10"/>
  <c r="AF20" i="10"/>
  <c r="AL344" i="10"/>
  <c r="AS344" i="10"/>
  <c r="AF47" i="10"/>
  <c r="AF294" i="10"/>
  <c r="AZ46" i="10"/>
  <c r="AW335" i="10"/>
  <c r="AF330" i="10"/>
  <c r="AX328" i="10"/>
  <c r="BE319" i="10"/>
  <c r="AW319" i="10"/>
  <c r="AO319" i="10"/>
  <c r="BC319" i="10"/>
  <c r="AS319" i="10"/>
  <c r="AI319" i="10"/>
  <c r="AQ319" i="10"/>
  <c r="AN319" i="10"/>
  <c r="AR319" i="10"/>
  <c r="AM319" i="10"/>
  <c r="BD319" i="10"/>
  <c r="AL319" i="10"/>
  <c r="AK319" i="10"/>
  <c r="AT319" i="10"/>
  <c r="AJ319" i="10"/>
  <c r="AU319" i="10"/>
  <c r="AV319" i="10"/>
  <c r="AO314" i="10"/>
  <c r="AF314" i="10"/>
  <c r="AF312" i="10"/>
  <c r="BB298" i="10"/>
  <c r="AM302" i="10"/>
  <c r="AR281" i="10"/>
  <c r="AF295" i="10"/>
  <c r="AS290" i="10"/>
  <c r="BC258" i="10"/>
  <c r="AK274" i="10"/>
  <c r="BA254" i="10"/>
  <c r="AP235" i="10"/>
  <c r="AQ257" i="10"/>
  <c r="AQ272" i="10"/>
  <c r="AN273" i="10"/>
  <c r="AN260" i="10"/>
  <c r="BE245" i="10"/>
  <c r="AP217" i="10"/>
  <c r="AP202" i="10"/>
  <c r="AO202" i="10"/>
  <c r="AL202" i="10"/>
  <c r="AM202" i="10"/>
  <c r="AX202" i="10"/>
  <c r="BE202" i="10"/>
  <c r="AF238" i="10"/>
  <c r="BI211" i="10"/>
  <c r="AK177" i="10"/>
  <c r="AF121" i="10"/>
  <c r="BI101" i="10"/>
  <c r="AU101" i="10"/>
  <c r="AJ101" i="10"/>
  <c r="AV101" i="10"/>
  <c r="BD164" i="10"/>
  <c r="AT35" i="10"/>
  <c r="AE102" i="10"/>
  <c r="AV51" i="10"/>
  <c r="AK51" i="10"/>
  <c r="AV46" i="10"/>
  <c r="BI14" i="10"/>
  <c r="AH38" i="10"/>
  <c r="AQ28" i="10"/>
  <c r="AR28" i="10"/>
  <c r="AO28" i="10"/>
  <c r="AM28" i="10"/>
  <c r="AT28" i="10"/>
  <c r="BD28" i="10"/>
  <c r="AX28" i="10"/>
  <c r="AV28" i="10"/>
  <c r="AS28" i="10"/>
  <c r="AU344" i="10"/>
  <c r="AF80" i="10"/>
  <c r="AF269" i="10"/>
  <c r="AE59" i="10"/>
  <c r="AL138" i="10"/>
  <c r="AJ138" i="10"/>
  <c r="AJ335" i="10"/>
  <c r="AN330" i="10"/>
  <c r="AV328" i="10"/>
  <c r="AI325" i="10"/>
  <c r="AS314" i="10"/>
  <c r="AF337" i="10"/>
  <c r="AM315" i="10"/>
  <c r="AY297" i="10"/>
  <c r="BA296" i="10"/>
  <c r="AY296" i="10"/>
  <c r="AG296" i="10" s="1"/>
  <c r="AN315" i="10"/>
  <c r="AL312" i="10"/>
  <c r="AU312" i="10"/>
  <c r="BC302" i="10"/>
  <c r="AI281" i="10"/>
  <c r="AF273" i="10"/>
  <c r="AO290" i="10"/>
  <c r="AI288" i="10"/>
  <c r="BE274" i="10"/>
  <c r="BA234" i="10"/>
  <c r="AL276" i="10"/>
  <c r="AP246" i="10"/>
  <c r="AI246" i="10"/>
  <c r="AO246" i="10"/>
  <c r="AQ246" i="10"/>
  <c r="AM246" i="10"/>
  <c r="BE273" i="10"/>
  <c r="AI260" i="10"/>
  <c r="AZ245" i="10"/>
  <c r="AN200" i="10"/>
  <c r="AQ274" i="10"/>
  <c r="BA219" i="10"/>
  <c r="AY219" i="10"/>
  <c r="BC238" i="10"/>
  <c r="AM222" i="10"/>
  <c r="AF197" i="10"/>
  <c r="AT228" i="10"/>
  <c r="AP165" i="10"/>
  <c r="AF184" i="10"/>
  <c r="AS252" i="10"/>
  <c r="AJ211" i="10"/>
  <c r="AY155" i="10"/>
  <c r="BA155" i="10"/>
  <c r="AT139" i="10"/>
  <c r="AL139" i="10"/>
  <c r="AS139" i="10"/>
  <c r="AK139" i="10"/>
  <c r="AR139" i="10"/>
  <c r="AJ139" i="10"/>
  <c r="BE139" i="10"/>
  <c r="AO139" i="10"/>
  <c r="BD139" i="10"/>
  <c r="AN139" i="10"/>
  <c r="BC139" i="10"/>
  <c r="AM139" i="10"/>
  <c r="AI139" i="10"/>
  <c r="AV139" i="10"/>
  <c r="AU139" i="10"/>
  <c r="AQ139" i="10"/>
  <c r="AW139" i="10"/>
  <c r="AX139" i="10"/>
  <c r="AF155" i="10"/>
  <c r="AR171" i="10"/>
  <c r="AS140" i="10"/>
  <c r="AY111" i="10"/>
  <c r="BA111" i="10"/>
  <c r="AE103" i="10"/>
  <c r="AP120" i="10"/>
  <c r="AI120" i="10"/>
  <c r="AM77" i="10"/>
  <c r="AO164" i="10"/>
  <c r="AF126" i="10"/>
  <c r="BD46" i="10"/>
  <c r="BI23" i="10"/>
  <c r="AC23" i="10"/>
  <c r="AD23" i="10" s="1"/>
  <c r="AE23" i="10" s="1"/>
  <c r="AI28" i="10"/>
  <c r="AW330" i="10"/>
  <c r="AQ325" i="10"/>
  <c r="AM325" i="10"/>
  <c r="BC336" i="10"/>
  <c r="AP324" i="10"/>
  <c r="AQ306" i="10"/>
  <c r="AP306" i="10"/>
  <c r="AO306" i="10"/>
  <c r="AN306" i="10"/>
  <c r="AX306" i="10"/>
  <c r="AW306" i="10"/>
  <c r="BD306" i="10"/>
  <c r="AW316" i="10"/>
  <c r="AJ315" i="10"/>
  <c r="BD314" i="10"/>
  <c r="BD315" i="10"/>
  <c r="AI321" i="10"/>
  <c r="AO302" i="10"/>
  <c r="AE281" i="10"/>
  <c r="AS289" i="10"/>
  <c r="AR325" i="10"/>
  <c r="AI279" i="10"/>
  <c r="BB279" i="10"/>
  <c r="AS279" i="10"/>
  <c r="AO279" i="10"/>
  <c r="AF279" i="10"/>
  <c r="AI265" i="10"/>
  <c r="AJ263" i="10"/>
  <c r="AO250" i="10"/>
  <c r="AQ237" i="10"/>
  <c r="AO237" i="10"/>
  <c r="AN237" i="10"/>
  <c r="BE237" i="10"/>
  <c r="AM237" i="10"/>
  <c r="BD237" i="10"/>
  <c r="AL237" i="10"/>
  <c r="AX237" i="10"/>
  <c r="AW237" i="10"/>
  <c r="AU237" i="10"/>
  <c r="AV237" i="10"/>
  <c r="AS276" i="10"/>
  <c r="AK267" i="10"/>
  <c r="AW239" i="10"/>
  <c r="AK236" i="10"/>
  <c r="AV236" i="10"/>
  <c r="AX193" i="10"/>
  <c r="AW193" i="10"/>
  <c r="AZ193" i="10"/>
  <c r="BD193" i="10"/>
  <c r="AQ193" i="10"/>
  <c r="AN193" i="10"/>
  <c r="AR193" i="10"/>
  <c r="AU193" i="10"/>
  <c r="BB193" i="10"/>
  <c r="AS193" i="10"/>
  <c r="BE193" i="10"/>
  <c r="AP193" i="10"/>
  <c r="AN228" i="10"/>
  <c r="AK202" i="10"/>
  <c r="AF219" i="10"/>
  <c r="BI252" i="10"/>
  <c r="AW200" i="10"/>
  <c r="AF165" i="10"/>
  <c r="AY145" i="10"/>
  <c r="BA145" i="10"/>
  <c r="AL177" i="10"/>
  <c r="AE140" i="10"/>
  <c r="AI101" i="10"/>
  <c r="AX87" i="10"/>
  <c r="AW87" i="10"/>
  <c r="AR87" i="10"/>
  <c r="AI87" i="10"/>
  <c r="BE87" i="10"/>
  <c r="AO87" i="10"/>
  <c r="AJ87" i="10"/>
  <c r="AZ87" i="10"/>
  <c r="AP87" i="10"/>
  <c r="BC87" i="10"/>
  <c r="AU87" i="10"/>
  <c r="AM87" i="10"/>
  <c r="AS87" i="10"/>
  <c r="BD87" i="10"/>
  <c r="BB87" i="10"/>
  <c r="AT151" i="10"/>
  <c r="AK87" i="10"/>
  <c r="AO41" i="10"/>
  <c r="BB120" i="10"/>
  <c r="AI67" i="10"/>
  <c r="AQ51" i="10"/>
  <c r="BB93" i="10"/>
  <c r="AW46" i="10"/>
  <c r="BI43" i="10"/>
  <c r="AF81" i="10"/>
  <c r="AL28" i="10"/>
  <c r="BI19" i="10"/>
  <c r="AC19" i="10"/>
  <c r="AD19" i="10" s="1"/>
  <c r="AE19" i="10" s="1"/>
  <c r="AH5" i="10"/>
  <c r="CP5" i="10" s="1"/>
  <c r="BC5" i="10"/>
  <c r="DN5" i="10" s="1"/>
  <c r="BB5" i="10"/>
  <c r="DJ5" i="10" s="1"/>
  <c r="AT131" i="10"/>
  <c r="AL131" i="10"/>
  <c r="AS131" i="10"/>
  <c r="AK131" i="10"/>
  <c r="AR131" i="10"/>
  <c r="AJ131" i="10"/>
  <c r="AI131" i="10"/>
  <c r="AW131" i="10"/>
  <c r="AV131" i="10"/>
  <c r="AU131" i="10"/>
  <c r="AN131" i="10"/>
  <c r="AM131" i="10"/>
  <c r="BE131" i="10"/>
  <c r="BC131" i="10"/>
  <c r="AQ131" i="10"/>
  <c r="AO131" i="10"/>
  <c r="BD131" i="10"/>
  <c r="BB131" i="10"/>
  <c r="AZ131" i="10"/>
  <c r="AP131" i="10"/>
  <c r="AN344" i="10"/>
  <c r="AF66" i="10"/>
  <c r="AF99" i="10"/>
  <c r="AF175" i="10"/>
  <c r="AF250" i="10"/>
  <c r="AF284" i="10"/>
  <c r="AF333" i="10"/>
  <c r="BE27" i="10"/>
  <c r="BD138" i="10"/>
  <c r="BC138" i="10"/>
  <c r="AN61" i="10"/>
  <c r="AL61" i="10"/>
  <c r="BE61" i="10"/>
  <c r="AP61" i="10"/>
  <c r="AO61" i="10"/>
  <c r="AR61" i="10"/>
  <c r="BC61" i="10"/>
  <c r="BI61" i="10"/>
  <c r="AM61" i="10"/>
  <c r="AS61" i="10"/>
  <c r="AX61" i="10"/>
  <c r="AU61" i="10"/>
  <c r="AI343" i="10"/>
  <c r="AI335" i="10"/>
  <c r="AS335" i="10"/>
  <c r="BE345" i="10"/>
  <c r="BD345" i="10"/>
  <c r="AX345" i="10"/>
  <c r="AO345" i="10"/>
  <c r="AN345" i="10"/>
  <c r="AI345" i="10"/>
  <c r="BC345" i="10"/>
  <c r="AS345" i="10"/>
  <c r="AF338" i="10"/>
  <c r="AI322" i="10"/>
  <c r="AV329" i="10"/>
  <c r="AT329" i="10"/>
  <c r="AR338" i="10"/>
  <c r="AQ336" i="10"/>
  <c r="BA327" i="10"/>
  <c r="AQ330" i="10"/>
  <c r="BD330" i="10"/>
  <c r="AU325" i="10"/>
  <c r="AP328" i="10"/>
  <c r="AL328" i="10"/>
  <c r="AI337" i="10"/>
  <c r="AU337" i="10"/>
  <c r="AK337" i="10"/>
  <c r="AK328" i="10"/>
  <c r="AY326" i="10"/>
  <c r="BA326" i="10"/>
  <c r="BC314" i="10"/>
  <c r="BI314" i="10"/>
  <c r="BE337" i="10"/>
  <c r="AU324" i="10"/>
  <c r="AK324" i="10"/>
  <c r="AM323" i="10"/>
  <c r="AU306" i="10"/>
  <c r="AI330" i="10"/>
  <c r="AR329" i="10"/>
  <c r="BD323" i="10"/>
  <c r="AQ323" i="10"/>
  <c r="AT330" i="10"/>
  <c r="AO315" i="10"/>
  <c r="BI306" i="10"/>
  <c r="AF310" i="10"/>
  <c r="BE310" i="10"/>
  <c r="AR294" i="10"/>
  <c r="AS303" i="10"/>
  <c r="AL303" i="10"/>
  <c r="AW303" i="10"/>
  <c r="AI294" i="10"/>
  <c r="AM305" i="10"/>
  <c r="AU297" i="10"/>
  <c r="AP294" i="10"/>
  <c r="AW322" i="10"/>
  <c r="AE295" i="10"/>
  <c r="BC321" i="10"/>
  <c r="AU321" i="10"/>
  <c r="AR321" i="10"/>
  <c r="AQ321" i="10"/>
  <c r="BC301" i="10"/>
  <c r="AV301" i="10"/>
  <c r="BE281" i="10"/>
  <c r="AU271" i="10"/>
  <c r="AT271" i="10"/>
  <c r="BC271" i="10"/>
  <c r="AM271" i="10"/>
  <c r="AK271" i="10"/>
  <c r="BD271" i="10"/>
  <c r="BB271" i="10"/>
  <c r="AS271" i="10"/>
  <c r="AV271" i="10"/>
  <c r="AN271" i="10"/>
  <c r="AL271" i="10"/>
  <c r="AI316" i="10"/>
  <c r="AU281" i="10"/>
  <c r="AJ316" i="10"/>
  <c r="AV312" i="10"/>
  <c r="AP312" i="10"/>
  <c r="AW312" i="10"/>
  <c r="AQ302" i="10"/>
  <c r="AL281" i="10"/>
  <c r="BE271" i="10"/>
  <c r="AU289" i="10"/>
  <c r="BC291" i="10"/>
  <c r="AF289" i="10"/>
  <c r="AW325" i="10"/>
  <c r="BD289" i="10"/>
  <c r="AF267" i="10"/>
  <c r="BE266" i="10"/>
  <c r="AI266" i="10"/>
  <c r="AW266" i="10"/>
  <c r="AO266" i="10"/>
  <c r="AT266" i="10"/>
  <c r="AT258" i="10"/>
  <c r="BE288" i="10"/>
  <c r="AJ288" i="10"/>
  <c r="AU279" i="10"/>
  <c r="AM279" i="10"/>
  <c r="AX279" i="10"/>
  <c r="AZ279" i="10"/>
  <c r="AP291" i="10"/>
  <c r="AK283" i="10"/>
  <c r="AP283" i="10"/>
  <c r="AR274" i="10"/>
  <c r="BC274" i="10"/>
  <c r="AQ265" i="10"/>
  <c r="AX275" i="10"/>
  <c r="AL275" i="10"/>
  <c r="AN275" i="10"/>
  <c r="AN263" i="10"/>
  <c r="AR263" i="10"/>
  <c r="AJ257" i="10"/>
  <c r="AS257" i="10"/>
  <c r="AW250" i="10"/>
  <c r="AK250" i="10"/>
  <c r="AJ281" i="10"/>
  <c r="AF257" i="10"/>
  <c r="AI237" i="10"/>
  <c r="BD276" i="10"/>
  <c r="AU272" i="10"/>
  <c r="AK246" i="10"/>
  <c r="AU273" i="10"/>
  <c r="AR273" i="10"/>
  <c r="AZ256" i="10"/>
  <c r="AF242" i="10"/>
  <c r="AJ229" i="10"/>
  <c r="AU229" i="10"/>
  <c r="AR214" i="10"/>
  <c r="BC260" i="10"/>
  <c r="AO260" i="10"/>
  <c r="AI276" i="10"/>
  <c r="BC267" i="10"/>
  <c r="AR246" i="10"/>
  <c r="AW246" i="10"/>
  <c r="AS239" i="10"/>
  <c r="AL239" i="10"/>
  <c r="BC236" i="10"/>
  <c r="BE236" i="10"/>
  <c r="BD229" i="10"/>
  <c r="AO214" i="10"/>
  <c r="AY205" i="10"/>
  <c r="BA205" i="10"/>
  <c r="AY245" i="10"/>
  <c r="AQ200" i="10"/>
  <c r="AE200" i="10"/>
  <c r="AF245" i="10"/>
  <c r="AF225" i="10"/>
  <c r="AE224" i="10"/>
  <c r="AU224" i="10"/>
  <c r="AZ217" i="10"/>
  <c r="AL217" i="10"/>
  <c r="AT194" i="10"/>
  <c r="AR291" i="10"/>
  <c r="AJ208" i="10"/>
  <c r="AE208" i="10"/>
  <c r="AF297" i="10"/>
  <c r="AF251" i="10"/>
  <c r="BD238" i="10"/>
  <c r="AQ238" i="10"/>
  <c r="AS238" i="10"/>
  <c r="AJ230" i="10"/>
  <c r="AL230" i="10"/>
  <c r="AV230" i="10"/>
  <c r="AF207" i="10"/>
  <c r="BA259" i="10"/>
  <c r="BH259" i="10" s="1"/>
  <c r="AO228" i="10"/>
  <c r="BD208" i="10"/>
  <c r="AS202" i="10"/>
  <c r="AV202" i="10"/>
  <c r="AS283" i="10"/>
  <c r="BE249" i="10"/>
  <c r="AW249" i="10"/>
  <c r="AK249" i="10"/>
  <c r="AV190" i="10"/>
  <c r="AM190" i="10"/>
  <c r="AN190" i="10"/>
  <c r="AL190" i="10"/>
  <c r="AX190" i="10"/>
  <c r="AK190" i="10"/>
  <c r="AU190" i="10"/>
  <c r="AJ190" i="10"/>
  <c r="AT190" i="10"/>
  <c r="AS190" i="10"/>
  <c r="AQ190" i="10"/>
  <c r="BC190" i="10"/>
  <c r="BB190" i="10"/>
  <c r="AP190" i="10"/>
  <c r="BD190" i="10"/>
  <c r="AE185" i="10"/>
  <c r="AU192" i="10"/>
  <c r="AJ192" i="10"/>
  <c r="BB192" i="10"/>
  <c r="BD192" i="10"/>
  <c r="AZ192" i="10"/>
  <c r="AL192" i="10"/>
  <c r="AQ192" i="10"/>
  <c r="AN192" i="10"/>
  <c r="AK192" i="10"/>
  <c r="AP192" i="10"/>
  <c r="AO192" i="10"/>
  <c r="AM192" i="10"/>
  <c r="AW252" i="10"/>
  <c r="AM252" i="10"/>
  <c r="AX200" i="10"/>
  <c r="AX216" i="10"/>
  <c r="AK211" i="10"/>
  <c r="BE211" i="10"/>
  <c r="AK193" i="10"/>
  <c r="AV193" i="10"/>
  <c r="AJ170" i="10"/>
  <c r="AF179" i="10"/>
  <c r="AY172" i="10"/>
  <c r="BA172" i="10"/>
  <c r="AJ147" i="10"/>
  <c r="AR155" i="10"/>
  <c r="AI155" i="10"/>
  <c r="AQ155" i="10"/>
  <c r="AU155" i="10"/>
  <c r="AP155" i="10"/>
  <c r="AN155" i="10"/>
  <c r="BE155" i="10"/>
  <c r="AM155" i="10"/>
  <c r="BD155" i="10"/>
  <c r="AW155" i="10"/>
  <c r="AV155" i="10"/>
  <c r="AL155" i="10"/>
  <c r="BB155" i="10"/>
  <c r="AO155" i="10"/>
  <c r="AZ155" i="10"/>
  <c r="AX155" i="10"/>
  <c r="AJ155" i="10"/>
  <c r="AT155" i="10"/>
  <c r="AT146" i="10"/>
  <c r="AI146" i="10"/>
  <c r="AS146" i="10"/>
  <c r="BB139" i="10"/>
  <c r="AT177" i="10"/>
  <c r="AI171" i="10"/>
  <c r="AL140" i="10"/>
  <c r="BI130" i="10"/>
  <c r="AJ130" i="10"/>
  <c r="AO130" i="10"/>
  <c r="AP130" i="10"/>
  <c r="BA105" i="10"/>
  <c r="AZ65" i="10"/>
  <c r="AE188" i="10"/>
  <c r="AM133" i="10"/>
  <c r="AS114" i="10"/>
  <c r="AO114" i="10"/>
  <c r="AQ101" i="10"/>
  <c r="AE94" i="10"/>
  <c r="AF133" i="10"/>
  <c r="AM111" i="10"/>
  <c r="AY96" i="10"/>
  <c r="BA96" i="10"/>
  <c r="AJ120" i="10"/>
  <c r="AQ67" i="10"/>
  <c r="AF48" i="10"/>
  <c r="AF38" i="10"/>
  <c r="AI3" i="10"/>
  <c r="AQ164" i="10"/>
  <c r="AM156" i="10"/>
  <c r="AF72" i="10"/>
  <c r="AF110" i="10"/>
  <c r="BI51" i="10"/>
  <c r="AX177" i="10"/>
  <c r="AQ126" i="10"/>
  <c r="AX93" i="10"/>
  <c r="AR93" i="10"/>
  <c r="AF92" i="10"/>
  <c r="AL43" i="10"/>
  <c r="AY26" i="10"/>
  <c r="BI16" i="10"/>
  <c r="AF161" i="10"/>
  <c r="AF118" i="10"/>
  <c r="BD51" i="10"/>
  <c r="AI37" i="10"/>
  <c r="BI37" i="10"/>
  <c r="AI15" i="10"/>
  <c r="BD16" i="10"/>
  <c r="AV16" i="10"/>
  <c r="AZ16" i="10"/>
  <c r="BE16" i="10"/>
  <c r="AW16" i="10"/>
  <c r="AJ16" i="10"/>
  <c r="AO16" i="10"/>
  <c r="AX16" i="10"/>
  <c r="AH16" i="10"/>
  <c r="AK16" i="10"/>
  <c r="AF9" i="10"/>
  <c r="AP88" i="10"/>
  <c r="AF16" i="10"/>
  <c r="AD16" i="10"/>
  <c r="AE16" i="10" s="1"/>
  <c r="BA163" i="10"/>
  <c r="AW344" i="10"/>
  <c r="AM186" i="10"/>
  <c r="AO186" i="10"/>
  <c r="AF190" i="10"/>
  <c r="AF146" i="10"/>
  <c r="AF198" i="10"/>
  <c r="AF266" i="10"/>
  <c r="AL113" i="10"/>
  <c r="AV113" i="10"/>
  <c r="AM113" i="10"/>
  <c r="AN113" i="10"/>
  <c r="AP113" i="10"/>
  <c r="AT113" i="10"/>
  <c r="BB113" i="10"/>
  <c r="BE113" i="10"/>
  <c r="AZ113" i="10"/>
  <c r="AO113" i="10"/>
  <c r="AR113" i="10"/>
  <c r="AO138" i="10"/>
  <c r="AU335" i="10"/>
  <c r="AM335" i="10"/>
  <c r="AL335" i="10"/>
  <c r="BE335" i="10"/>
  <c r="BC335" i="10"/>
  <c r="AN335" i="10"/>
  <c r="BD335" i="10"/>
  <c r="AO335" i="10"/>
  <c r="AQ328" i="10"/>
  <c r="AJ328" i="10"/>
  <c r="BC328" i="10"/>
  <c r="AI328" i="10"/>
  <c r="AK344" i="10"/>
  <c r="AM344" i="10"/>
  <c r="AP344" i="10"/>
  <c r="AQ344" i="10"/>
  <c r="AX344" i="10"/>
  <c r="AO344" i="10"/>
  <c r="AI344" i="10"/>
  <c r="AZ344" i="10"/>
  <c r="AT344" i="10"/>
  <c r="BD344" i="10"/>
  <c r="BE344" i="10"/>
  <c r="AW314" i="10"/>
  <c r="AV314" i="10"/>
  <c r="AU314" i="10"/>
  <c r="AL314" i="10"/>
  <c r="AI314" i="10"/>
  <c r="AX315" i="10"/>
  <c r="AV315" i="10"/>
  <c r="AU315" i="10"/>
  <c r="AK315" i="10"/>
  <c r="AW315" i="10"/>
  <c r="BE315" i="10"/>
  <c r="BD302" i="10"/>
  <c r="AU302" i="10"/>
  <c r="AP302" i="10"/>
  <c r="BE302" i="10"/>
  <c r="AS302" i="10"/>
  <c r="AS245" i="10"/>
  <c r="AQ245" i="10"/>
  <c r="AP245" i="10"/>
  <c r="AW245" i="10"/>
  <c r="BD245" i="10"/>
  <c r="AV239" i="10"/>
  <c r="BB245" i="10"/>
  <c r="AM245" i="10"/>
  <c r="BI12" i="10"/>
  <c r="AC12" i="10"/>
  <c r="AD12" i="10" s="1"/>
  <c r="AE12" i="10" s="1"/>
  <c r="AD28" i="10"/>
  <c r="AE28" i="10" s="1"/>
  <c r="BI28" i="10"/>
  <c r="AF106" i="10"/>
  <c r="AF298" i="10"/>
  <c r="AF68" i="10"/>
  <c r="AO337" i="10"/>
  <c r="AK312" i="10"/>
  <c r="BE286" i="10"/>
  <c r="AT286" i="10"/>
  <c r="BD286" i="10"/>
  <c r="AS286" i="10"/>
  <c r="BB286" i="10"/>
  <c r="AW286" i="10"/>
  <c r="AM286" i="10"/>
  <c r="AN286" i="10"/>
  <c r="AL286" i="10"/>
  <c r="BC286" i="10"/>
  <c r="AO286" i="10"/>
  <c r="BC298" i="10"/>
  <c r="AU298" i="10"/>
  <c r="AM298" i="10"/>
  <c r="AS298" i="10"/>
  <c r="BD298" i="10"/>
  <c r="AR298" i="10"/>
  <c r="AQ298" i="10"/>
  <c r="AN298" i="10"/>
  <c r="AV298" i="10"/>
  <c r="AT298" i="10"/>
  <c r="AJ298" i="10"/>
  <c r="AL298" i="10"/>
  <c r="AK298" i="10"/>
  <c r="AI298" i="10"/>
  <c r="AX302" i="10"/>
  <c r="AJ302" i="10"/>
  <c r="AX265" i="10"/>
  <c r="AW265" i="10"/>
  <c r="AO265" i="10"/>
  <c r="AM265" i="10"/>
  <c r="AP265" i="10"/>
  <c r="BD265" i="10"/>
  <c r="BC265" i="10"/>
  <c r="AU258" i="10"/>
  <c r="AV265" i="10"/>
  <c r="AX235" i="10"/>
  <c r="AI257" i="10"/>
  <c r="AQ281" i="10"/>
  <c r="AF254" i="10"/>
  <c r="AT229" i="10"/>
  <c r="AF205" i="10"/>
  <c r="AG259" i="10"/>
  <c r="AY210" i="10"/>
  <c r="BA210" i="10"/>
  <c r="BD252" i="10"/>
  <c r="AU211" i="10"/>
  <c r="AF191" i="10"/>
  <c r="BD187" i="10"/>
  <c r="AS187" i="10"/>
  <c r="BC187" i="10"/>
  <c r="AQ187" i="10"/>
  <c r="AP187" i="10"/>
  <c r="AO187" i="10"/>
  <c r="AN187" i="10"/>
  <c r="AM187" i="10"/>
  <c r="AK187" i="10"/>
  <c r="AX187" i="10"/>
  <c r="BE187" i="10"/>
  <c r="AV187" i="10"/>
  <c r="AU187" i="10"/>
  <c r="AJ187" i="10"/>
  <c r="AW187" i="10"/>
  <c r="AZ187" i="10"/>
  <c r="AR187" i="10"/>
  <c r="AF119" i="10"/>
  <c r="AF95" i="10"/>
  <c r="AI164" i="10"/>
  <c r="AX22" i="10"/>
  <c r="AF50" i="10"/>
  <c r="AF100" i="10"/>
  <c r="BE85" i="10"/>
  <c r="AN43" i="10"/>
  <c r="AK43" i="10"/>
  <c r="BC43" i="10"/>
  <c r="AX46" i="10"/>
  <c r="AS46" i="10"/>
  <c r="AR46" i="10"/>
  <c r="AJ46" i="10"/>
  <c r="AI46" i="10"/>
  <c r="AQ46" i="10"/>
  <c r="AK46" i="10"/>
  <c r="BC46" i="10"/>
  <c r="AP46" i="10"/>
  <c r="BE46" i="10"/>
  <c r="AU46" i="10"/>
  <c r="AO46" i="10"/>
  <c r="AY124" i="10"/>
  <c r="BA124" i="10"/>
  <c r="AI27" i="10"/>
  <c r="AK27" i="10"/>
  <c r="AN27" i="10"/>
  <c r="AL27" i="10"/>
  <c r="BC27" i="10"/>
  <c r="AM27" i="10"/>
  <c r="AR27" i="10"/>
  <c r="AW27" i="10"/>
  <c r="AH27" i="10"/>
  <c r="AF204" i="10"/>
  <c r="AY59" i="10"/>
  <c r="AF52" i="10"/>
  <c r="AR335" i="10"/>
  <c r="AF345" i="10"/>
  <c r="AX337" i="10"/>
  <c r="AL337" i="10"/>
  <c r="AK314" i="10"/>
  <c r="BB319" i="10"/>
  <c r="BC315" i="10"/>
  <c r="AR305" i="10"/>
  <c r="AP305" i="10"/>
  <c r="AK305" i="10"/>
  <c r="AJ305" i="10"/>
  <c r="BC305" i="10"/>
  <c r="BB305" i="10"/>
  <c r="BA311" i="10"/>
  <c r="AY311" i="10"/>
  <c r="BE301" i="10"/>
  <c r="AP286" i="10"/>
  <c r="AJ286" i="10"/>
  <c r="BB312" i="10"/>
  <c r="BD312" i="10"/>
  <c r="AR302" i="10"/>
  <c r="AM290" i="10"/>
  <c r="AJ258" i="10"/>
  <c r="AK290" i="10"/>
  <c r="BB288" i="10"/>
  <c r="AO274" i="10"/>
  <c r="AF260" i="10"/>
  <c r="AK257" i="10"/>
  <c r="AV272" i="10"/>
  <c r="AY220" i="10"/>
  <c r="BA248" i="10"/>
  <c r="AY248" i="10"/>
  <c r="BC245" i="10"/>
  <c r="AR245" i="10"/>
  <c r="AS200" i="10"/>
  <c r="AX224" i="10"/>
  <c r="BC217" i="10"/>
  <c r="AK208" i="10"/>
  <c r="AF210" i="10"/>
  <c r="AL187" i="10"/>
  <c r="BC202" i="10"/>
  <c r="AQ185" i="10"/>
  <c r="AP185" i="10"/>
  <c r="AO185" i="10"/>
  <c r="BB185" i="10"/>
  <c r="BC185" i="10"/>
  <c r="AS185" i="10"/>
  <c r="AK185" i="10"/>
  <c r="BE185" i="10"/>
  <c r="AF217" i="10"/>
  <c r="AW185" i="10"/>
  <c r="BA165" i="10"/>
  <c r="AY165" i="10"/>
  <c r="AT185" i="10"/>
  <c r="AS201" i="10"/>
  <c r="AL201" i="10"/>
  <c r="AQ201" i="10"/>
  <c r="AW201" i="10"/>
  <c r="BC201" i="10"/>
  <c r="AI201" i="10"/>
  <c r="AP201" i="10"/>
  <c r="AM201" i="10"/>
  <c r="AR201" i="10"/>
  <c r="AN201" i="10"/>
  <c r="AI177" i="10"/>
  <c r="AU85" i="10"/>
  <c r="AY94" i="10"/>
  <c r="BA94" i="10"/>
  <c r="AL85" i="10"/>
  <c r="AM151" i="10"/>
  <c r="BI164" i="10"/>
  <c r="BC120" i="10"/>
  <c r="AS77" i="10"/>
  <c r="AR77" i="10"/>
  <c r="BD77" i="10"/>
  <c r="AP77" i="10"/>
  <c r="BC77" i="10"/>
  <c r="AN77" i="10"/>
  <c r="AV77" i="10"/>
  <c r="AQ77" i="10"/>
  <c r="AK77" i="10"/>
  <c r="AI77" i="10"/>
  <c r="AU77" i="10"/>
  <c r="AT77" i="10"/>
  <c r="AO77" i="10"/>
  <c r="AW77" i="10"/>
  <c r="AP22" i="10"/>
  <c r="AX35" i="10"/>
  <c r="AW35" i="10"/>
  <c r="BE35" i="10"/>
  <c r="AV35" i="10"/>
  <c r="AR35" i="10"/>
  <c r="AM35" i="10"/>
  <c r="AO35" i="10"/>
  <c r="AN35" i="10"/>
  <c r="AH35" i="10"/>
  <c r="BB35" i="10"/>
  <c r="AL35" i="10"/>
  <c r="BC35" i="10"/>
  <c r="AU35" i="10"/>
  <c r="AZ35" i="10"/>
  <c r="BD35" i="10"/>
  <c r="AP35" i="10"/>
  <c r="AI35" i="10"/>
  <c r="AW22" i="10"/>
  <c r="BE43" i="10"/>
  <c r="AL14" i="10"/>
  <c r="BD14" i="10"/>
  <c r="AN14" i="10"/>
  <c r="BB14" i="10"/>
  <c r="AU14" i="10"/>
  <c r="AT14" i="10"/>
  <c r="BC14" i="10"/>
  <c r="AM14" i="10"/>
  <c r="AV14" i="10"/>
  <c r="AX14" i="10"/>
  <c r="AJ14" i="10"/>
  <c r="AO14" i="10"/>
  <c r="AS14" i="10"/>
  <c r="AP14" i="10"/>
  <c r="AK14" i="10"/>
  <c r="AI14" i="10"/>
  <c r="BB27" i="10"/>
  <c r="AF25" i="10"/>
  <c r="BB344" i="10"/>
  <c r="AF55" i="10"/>
  <c r="AF212" i="10"/>
  <c r="AM345" i="10"/>
  <c r="AW345" i="10"/>
  <c r="AL339" i="10"/>
  <c r="AS339" i="10"/>
  <c r="AK339" i="10"/>
  <c r="AJ339" i="10"/>
  <c r="BC339" i="10"/>
  <c r="BE339" i="10"/>
  <c r="AM339" i="10"/>
  <c r="AO339" i="10"/>
  <c r="AR339" i="10"/>
  <c r="AQ339" i="10"/>
  <c r="AU326" i="10"/>
  <c r="AQ315" i="10"/>
  <c r="AX295" i="10"/>
  <c r="AQ295" i="10"/>
  <c r="AP295" i="10"/>
  <c r="AN295" i="10"/>
  <c r="AO295" i="10"/>
  <c r="AP314" i="10"/>
  <c r="AF305" i="10"/>
  <c r="AF303" i="10"/>
  <c r="AR272" i="10"/>
  <c r="AP272" i="10"/>
  <c r="AK289" i="10"/>
  <c r="AJ290" i="10"/>
  <c r="AX288" i="10"/>
  <c r="AK288" i="10"/>
  <c r="BA292" i="10"/>
  <c r="AY292" i="10"/>
  <c r="AM274" i="10"/>
  <c r="AU250" i="10"/>
  <c r="AI250" i="10"/>
  <c r="AV250" i="10"/>
  <c r="AF290" i="10"/>
  <c r="AN276" i="10"/>
  <c r="AK229" i="10"/>
  <c r="AV260" i="10"/>
  <c r="AX246" i="10"/>
  <c r="AP229" i="10"/>
  <c r="AP222" i="10"/>
  <c r="AO222" i="10"/>
  <c r="AX222" i="10"/>
  <c r="AW222" i="10"/>
  <c r="AN222" i="10"/>
  <c r="BE222" i="10"/>
  <c r="AL222" i="10"/>
  <c r="AQ222" i="10"/>
  <c r="BE246" i="10"/>
  <c r="BE257" i="10"/>
  <c r="AN239" i="10"/>
  <c r="AL224" i="10"/>
  <c r="AJ217" i="10"/>
  <c r="AL185" i="10"/>
  <c r="AF230" i="10"/>
  <c r="AL252" i="10"/>
  <c r="BB197" i="10"/>
  <c r="AZ197" i="10"/>
  <c r="BE197" i="10"/>
  <c r="AQ197" i="10"/>
  <c r="AR197" i="10"/>
  <c r="AO197" i="10"/>
  <c r="AJ197" i="10"/>
  <c r="AV197" i="10"/>
  <c r="AS197" i="10"/>
  <c r="AL197" i="10"/>
  <c r="AT197" i="10"/>
  <c r="AX197" i="10"/>
  <c r="AI185" i="10"/>
  <c r="AO211" i="10"/>
  <c r="AZ236" i="10"/>
  <c r="AY122" i="10"/>
  <c r="AF243" i="10"/>
  <c r="AV201" i="10"/>
  <c r="AV171" i="10"/>
  <c r="AF135" i="10"/>
  <c r="AI41" i="10"/>
  <c r="AW41" i="10"/>
  <c r="AV164" i="10"/>
  <c r="AK35" i="10"/>
  <c r="AP51" i="10"/>
  <c r="AQ35" i="10"/>
  <c r="AO22" i="10"/>
  <c r="AF109" i="10"/>
  <c r="BE143" i="10"/>
  <c r="AW143" i="10"/>
  <c r="AO143" i="10"/>
  <c r="BD143" i="10"/>
  <c r="AV143" i="10"/>
  <c r="AN143" i="10"/>
  <c r="AI143" i="10"/>
  <c r="AU143" i="10"/>
  <c r="AS143" i="10"/>
  <c r="AR143" i="10"/>
  <c r="AM143" i="10"/>
  <c r="AK143" i="10"/>
  <c r="AJ143" i="10"/>
  <c r="BC143" i="10"/>
  <c r="AQ143" i="10"/>
  <c r="BB143" i="10"/>
  <c r="AP143" i="10"/>
  <c r="AX143" i="10"/>
  <c r="AQ14" i="10"/>
  <c r="AS88" i="10"/>
  <c r="BE88" i="10"/>
  <c r="BC88" i="10"/>
  <c r="AR88" i="10"/>
  <c r="AW88" i="10"/>
  <c r="AU88" i="10"/>
  <c r="AK88" i="10"/>
  <c r="AQ88" i="10"/>
  <c r="BD88" i="10"/>
  <c r="AJ88" i="10"/>
  <c r="AK345" i="10"/>
  <c r="AX336" i="10"/>
  <c r="AW336" i="10"/>
  <c r="AV330" i="10"/>
  <c r="AS325" i="10"/>
  <c r="AM337" i="10"/>
  <c r="AK330" i="10"/>
  <c r="BC326" i="10"/>
  <c r="AP338" i="10"/>
  <c r="AQ316" i="10"/>
  <c r="AI295" i="10"/>
  <c r="AJ321" i="10"/>
  <c r="AI301" i="10"/>
  <c r="AZ286" i="10"/>
  <c r="BD281" i="10"/>
  <c r="AJ272" i="10"/>
  <c r="AI302" i="10"/>
  <c r="BI295" i="10"/>
  <c r="BE291" i="10"/>
  <c r="AQ290" i="10"/>
  <c r="BC290" i="10"/>
  <c r="AL258" i="10"/>
  <c r="AX290" i="10"/>
  <c r="AQ288" i="10"/>
  <c r="AW288" i="10"/>
  <c r="AS288" i="10"/>
  <c r="AU274" i="10"/>
  <c r="AT265" i="10"/>
  <c r="AP257" i="10"/>
  <c r="BD257" i="10"/>
  <c r="AV276" i="10"/>
  <c r="BC250" i="10"/>
  <c r="AJ273" i="10"/>
  <c r="AS229" i="10"/>
  <c r="AM229" i="10"/>
  <c r="AS260" i="10"/>
  <c r="AO267" i="10"/>
  <c r="AF256" i="10"/>
  <c r="AN246" i="10"/>
  <c r="AF246" i="10"/>
  <c r="AL245" i="10"/>
  <c r="AN245" i="10"/>
  <c r="AM224" i="10"/>
  <c r="BD212" i="10"/>
  <c r="AV212" i="10"/>
  <c r="AN212" i="10"/>
  <c r="AL212" i="10"/>
  <c r="AK212" i="10"/>
  <c r="AJ212" i="10"/>
  <c r="AT212" i="10"/>
  <c r="AS212" i="10"/>
  <c r="AR212" i="10"/>
  <c r="AQ212" i="10"/>
  <c r="AI212" i="10"/>
  <c r="BC212" i="10"/>
  <c r="AN202" i="10"/>
  <c r="AL249" i="10"/>
  <c r="AQ249" i="10"/>
  <c r="BB212" i="10"/>
  <c r="AF223" i="10"/>
  <c r="AW197" i="10"/>
  <c r="AW211" i="10"/>
  <c r="AF227" i="10"/>
  <c r="AQ242" i="10"/>
  <c r="AJ242" i="10"/>
  <c r="AT242" i="10"/>
  <c r="AI242" i="10"/>
  <c r="BB242" i="10"/>
  <c r="BC242" i="10"/>
  <c r="AZ139" i="10"/>
  <c r="BB201" i="10"/>
  <c r="BB49" i="10"/>
  <c r="AL49" i="10"/>
  <c r="AK49" i="10"/>
  <c r="AV49" i="10"/>
  <c r="AT49" i="10"/>
  <c r="AN49" i="10"/>
  <c r="AU49" i="10"/>
  <c r="AM49" i="10"/>
  <c r="AS49" i="10"/>
  <c r="BD49" i="10"/>
  <c r="BC49" i="10"/>
  <c r="AP49" i="10"/>
  <c r="AZ49" i="10"/>
  <c r="AX49" i="10"/>
  <c r="AI49" i="10"/>
  <c r="AQ49" i="10"/>
  <c r="AO49" i="10"/>
  <c r="AK101" i="10"/>
  <c r="AS94" i="10"/>
  <c r="AP94" i="10"/>
  <c r="AO85" i="10"/>
  <c r="AP164" i="10"/>
  <c r="AY110" i="10"/>
  <c r="BA110" i="10"/>
  <c r="AL46" i="10"/>
  <c r="AU22" i="10"/>
  <c r="AY339" i="10"/>
  <c r="BD339" i="10"/>
  <c r="BI5" i="10"/>
  <c r="AP16" i="10"/>
  <c r="AF19" i="10"/>
  <c r="AP32" i="10"/>
  <c r="AJ344" i="10"/>
  <c r="AK186" i="10"/>
  <c r="AY44" i="10"/>
  <c r="BA44" i="10"/>
  <c r="AK335" i="10"/>
  <c r="AK338" i="10"/>
  <c r="AJ345" i="10"/>
  <c r="BE332" i="10"/>
  <c r="AW332" i="10"/>
  <c r="AO332" i="10"/>
  <c r="BD332" i="10"/>
  <c r="AV332" i="10"/>
  <c r="AN332" i="10"/>
  <c r="AQ332" i="10"/>
  <c r="AM332" i="10"/>
  <c r="AL332" i="10"/>
  <c r="BC332" i="10"/>
  <c r="AR332" i="10"/>
  <c r="AU332" i="10"/>
  <c r="AT332" i="10"/>
  <c r="AS332" i="10"/>
  <c r="AJ332" i="10"/>
  <c r="AK332" i="10"/>
  <c r="AI332" i="10"/>
  <c r="AP345" i="10"/>
  <c r="AK336" i="10"/>
  <c r="AN325" i="10"/>
  <c r="BI325" i="10"/>
  <c r="BC325" i="10"/>
  <c r="AF331" i="10"/>
  <c r="AN328" i="10"/>
  <c r="AT328" i="10"/>
  <c r="AY337" i="10"/>
  <c r="BC337" i="10"/>
  <c r="AF328" i="10"/>
  <c r="AL326" i="10"/>
  <c r="AF326" i="10"/>
  <c r="AT314" i="10"/>
  <c r="BD336" i="10"/>
  <c r="AF317" i="10"/>
  <c r="AI329" i="10"/>
  <c r="AF324" i="10"/>
  <c r="BC324" i="10"/>
  <c r="AS315" i="10"/>
  <c r="AY307" i="10"/>
  <c r="AS301" i="10"/>
  <c r="AP298" i="10"/>
  <c r="BE316" i="10"/>
  <c r="AL306" i="10"/>
  <c r="AJ330" i="10"/>
  <c r="AO323" i="10"/>
  <c r="BI329" i="10"/>
  <c r="BI316" i="10"/>
  <c r="AF304" i="10"/>
  <c r="BI310" i="10"/>
  <c r="AM310" i="10"/>
  <c r="AZ305" i="10"/>
  <c r="AQ297" i="10"/>
  <c r="AP297" i="10"/>
  <c r="AI297" i="10"/>
  <c r="AR297" i="10"/>
  <c r="BC322" i="10"/>
  <c r="BE314" i="10"/>
  <c r="AU303" i="10"/>
  <c r="AS305" i="10"/>
  <c r="AV305" i="10"/>
  <c r="AX305" i="10"/>
  <c r="AK297" i="10"/>
  <c r="AN322" i="10"/>
  <c r="AF299" i="10"/>
  <c r="BD297" i="10"/>
  <c r="AL295" i="10"/>
  <c r="AK321" i="10"/>
  <c r="AV321" i="10"/>
  <c r="AZ321" i="10"/>
  <c r="AZ298" i="10"/>
  <c r="AQ286" i="10"/>
  <c r="BA282" i="10"/>
  <c r="AV281" i="10"/>
  <c r="AS272" i="10"/>
  <c r="AF308" i="10"/>
  <c r="AK281" i="10"/>
  <c r="AK316" i="10"/>
  <c r="BE312" i="10"/>
  <c r="AS312" i="10"/>
  <c r="AV302" i="10"/>
  <c r="BB302" i="10"/>
  <c r="AT281" i="10"/>
  <c r="AX308" i="10"/>
  <c r="AN308" i="10"/>
  <c r="BD308" i="10"/>
  <c r="AQ308" i="10"/>
  <c r="AP308" i="10"/>
  <c r="AO308" i="10"/>
  <c r="AL308" i="10"/>
  <c r="BE308" i="10"/>
  <c r="AW308" i="10"/>
  <c r="AV308" i="10"/>
  <c r="AT308" i="10"/>
  <c r="AS308" i="10"/>
  <c r="AK308" i="10"/>
  <c r="AJ308" i="10"/>
  <c r="AI289" i="10"/>
  <c r="BI289" i="10"/>
  <c r="BC289" i="10"/>
  <c r="AS291" i="10"/>
  <c r="BB287" i="10"/>
  <c r="AO287" i="10"/>
  <c r="AN287" i="10"/>
  <c r="AX325" i="10"/>
  <c r="AR290" i="10"/>
  <c r="AL290" i="10"/>
  <c r="AN290" i="10"/>
  <c r="AF283" i="10"/>
  <c r="AQ280" i="10"/>
  <c r="AR280" i="10"/>
  <c r="AM288" i="10"/>
  <c r="AP287" i="10"/>
  <c r="AI287" i="10"/>
  <c r="AF280" i="10"/>
  <c r="AG262" i="10"/>
  <c r="AU288" i="10"/>
  <c r="AK279" i="10"/>
  <c r="AV279" i="10"/>
  <c r="AF316" i="10"/>
  <c r="AK291" i="10"/>
  <c r="AN283" i="10"/>
  <c r="AW274" i="10"/>
  <c r="AK265" i="10"/>
  <c r="AM264" i="10"/>
  <c r="AI264" i="10"/>
  <c r="AU264" i="10"/>
  <c r="AN264" i="10"/>
  <c r="AT275" i="10"/>
  <c r="AV275" i="10"/>
  <c r="AX263" i="10"/>
  <c r="AO258" i="10"/>
  <c r="AO254" i="10"/>
  <c r="AJ254" i="10"/>
  <c r="AI280" i="10"/>
  <c r="AN257" i="10"/>
  <c r="BE250" i="10"/>
  <c r="AS250" i="10"/>
  <c r="AO264" i="10"/>
  <c r="AT264" i="10"/>
  <c r="AK264" i="10"/>
  <c r="AJ237" i="10"/>
  <c r="AJ276" i="10"/>
  <c r="AO276" i="10"/>
  <c r="AV261" i="10"/>
  <c r="AL261" i="10"/>
  <c r="BD261" i="10"/>
  <c r="AS261" i="10"/>
  <c r="BC261" i="10"/>
  <c r="AR261" i="10"/>
  <c r="AQ261" i="10"/>
  <c r="AK261" i="10"/>
  <c r="AI261" i="10"/>
  <c r="AZ261" i="10"/>
  <c r="AU261" i="10"/>
  <c r="AT261" i="10"/>
  <c r="AN261" i="10"/>
  <c r="AM261" i="10"/>
  <c r="AJ261" i="10"/>
  <c r="AS246" i="10"/>
  <c r="AP237" i="10"/>
  <c r="AW295" i="10"/>
  <c r="AP273" i="10"/>
  <c r="AV273" i="10"/>
  <c r="AZ273" i="10"/>
  <c r="AS242" i="10"/>
  <c r="AV242" i="10"/>
  <c r="AP242" i="10"/>
  <c r="AR229" i="10"/>
  <c r="BC229" i="10"/>
  <c r="BB206" i="10"/>
  <c r="AL206" i="10"/>
  <c r="AK206" i="10"/>
  <c r="AV206" i="10"/>
  <c r="AT206" i="10"/>
  <c r="AM206" i="10"/>
  <c r="BD206" i="10"/>
  <c r="AS206" i="10"/>
  <c r="AN206" i="10"/>
  <c r="AU206" i="10"/>
  <c r="BC206" i="10"/>
  <c r="AW206" i="10"/>
  <c r="BB260" i="10"/>
  <c r="AL260" i="10"/>
  <c r="AS222" i="10"/>
  <c r="AS215" i="10"/>
  <c r="AK215" i="10"/>
  <c r="AR215" i="10"/>
  <c r="AJ215" i="10"/>
  <c r="AQ215" i="10"/>
  <c r="AI215" i="10"/>
  <c r="AU215" i="10"/>
  <c r="AT215" i="10"/>
  <c r="BE215" i="10"/>
  <c r="AO215" i="10"/>
  <c r="BC215" i="10"/>
  <c r="AM215" i="10"/>
  <c r="BD215" i="10"/>
  <c r="AW215" i="10"/>
  <c r="AN215" i="10"/>
  <c r="AL215" i="10"/>
  <c r="AV215" i="10"/>
  <c r="BB215" i="10"/>
  <c r="AW212" i="10"/>
  <c r="AP276" i="10"/>
  <c r="AF231" i="10"/>
  <c r="AO239" i="10"/>
  <c r="BB239" i="10"/>
  <c r="AO245" i="10"/>
  <c r="AR242" i="10"/>
  <c r="AY224" i="10"/>
  <c r="AL200" i="10"/>
  <c r="AZ239" i="10"/>
  <c r="AK224" i="10"/>
  <c r="AN224" i="10"/>
  <c r="AT217" i="10"/>
  <c r="AF274" i="10"/>
  <c r="AF233" i="10"/>
  <c r="AZ208" i="10"/>
  <c r="AQ254" i="10"/>
  <c r="AF249" i="10"/>
  <c r="AT230" i="10"/>
  <c r="BD217" i="10"/>
  <c r="AU200" i="10"/>
  <c r="AU228" i="10"/>
  <c r="BD228" i="10"/>
  <c r="AP228" i="10"/>
  <c r="BC228" i="10"/>
  <c r="BB228" i="10"/>
  <c r="AS228" i="10"/>
  <c r="AI202" i="10"/>
  <c r="BD202" i="10"/>
  <c r="AF188" i="10"/>
  <c r="AO249" i="10"/>
  <c r="AF208" i="10"/>
  <c r="BA189" i="10"/>
  <c r="AY189" i="10"/>
  <c r="AM185" i="10"/>
  <c r="AF189" i="10"/>
  <c r="BC252" i="10"/>
  <c r="AZ215" i="10"/>
  <c r="AI197" i="10"/>
  <c r="AX211" i="10"/>
  <c r="AI193" i="10"/>
  <c r="AT193" i="10"/>
  <c r="AJ193" i="10"/>
  <c r="AF268" i="10"/>
  <c r="AZ242" i="10"/>
  <c r="BA180" i="10"/>
  <c r="AX169" i="10"/>
  <c r="AW169" i="10"/>
  <c r="AV169" i="10"/>
  <c r="AN169" i="10"/>
  <c r="AM169" i="10"/>
  <c r="BE169" i="10"/>
  <c r="BC169" i="10"/>
  <c r="AU169" i="10"/>
  <c r="AO169" i="10"/>
  <c r="BD169" i="10"/>
  <c r="AK169" i="10"/>
  <c r="BB169" i="10"/>
  <c r="AT169" i="10"/>
  <c r="AQ169" i="10"/>
  <c r="AZ169" i="10"/>
  <c r="AP169" i="10"/>
  <c r="AY147" i="10"/>
  <c r="BA147" i="10"/>
  <c r="AW177" i="10"/>
  <c r="AK201" i="10"/>
  <c r="AU201" i="10"/>
  <c r="AT171" i="10"/>
  <c r="AT140" i="10"/>
  <c r="AK133" i="10"/>
  <c r="AI133" i="10"/>
  <c r="AV94" i="10"/>
  <c r="AS50" i="10"/>
  <c r="AK50" i="10"/>
  <c r="AR50" i="10"/>
  <c r="AJ50" i="10"/>
  <c r="AQ50" i="10"/>
  <c r="AI50" i="10"/>
  <c r="BD50" i="10"/>
  <c r="AN50" i="10"/>
  <c r="BC50" i="10"/>
  <c r="AM50" i="10"/>
  <c r="AL50" i="10"/>
  <c r="AV50" i="10"/>
  <c r="AT50" i="10"/>
  <c r="AO50" i="10"/>
  <c r="BE50" i="10"/>
  <c r="AW50" i="10"/>
  <c r="AU50" i="10"/>
  <c r="AP50" i="10"/>
  <c r="AX50" i="10"/>
  <c r="AW133" i="10"/>
  <c r="AU133" i="10"/>
  <c r="AZ114" i="10"/>
  <c r="AP114" i="10"/>
  <c r="AN114" i="10"/>
  <c r="AI114" i="10"/>
  <c r="AV114" i="10"/>
  <c r="BC114" i="10"/>
  <c r="AM114" i="10"/>
  <c r="AT114" i="10"/>
  <c r="AK114" i="10"/>
  <c r="BE114" i="10"/>
  <c r="AU114" i="10"/>
  <c r="BB114" i="10"/>
  <c r="AX114" i="10"/>
  <c r="AW114" i="10"/>
  <c r="AL101" i="10"/>
  <c r="AI85" i="10"/>
  <c r="AS85" i="10"/>
  <c r="BB126" i="10"/>
  <c r="AZ126" i="10"/>
  <c r="BD126" i="10"/>
  <c r="AI126" i="10"/>
  <c r="AP126" i="10"/>
  <c r="AV126" i="10"/>
  <c r="AX126" i="10"/>
  <c r="AL126" i="10"/>
  <c r="AN126" i="10"/>
  <c r="AJ126" i="10"/>
  <c r="AK126" i="10"/>
  <c r="AR111" i="10"/>
  <c r="AL87" i="10"/>
  <c r="AR120" i="10"/>
  <c r="BB77" i="10"/>
  <c r="AY67" i="10"/>
  <c r="AL67" i="10"/>
  <c r="AF67" i="10"/>
  <c r="AF17" i="10"/>
  <c r="AF24" i="10"/>
  <c r="BB3" i="10"/>
  <c r="AZ3" i="10"/>
  <c r="AF22" i="10"/>
  <c r="AF14" i="10"/>
  <c r="AF91" i="10"/>
  <c r="AF57" i="10"/>
  <c r="AF43" i="10"/>
  <c r="BD3" i="10"/>
  <c r="AF107" i="10"/>
  <c r="AF26" i="10"/>
  <c r="AF3" i="10"/>
  <c r="AN3" i="10"/>
  <c r="AF116" i="10"/>
  <c r="AL3" i="10"/>
  <c r="AF209" i="10"/>
  <c r="AF76" i="10"/>
  <c r="AF36" i="10"/>
  <c r="BI3" i="10"/>
  <c r="AF2" i="10"/>
  <c r="AR3" i="10"/>
  <c r="AF64" i="10"/>
  <c r="AF124" i="10"/>
  <c r="AF340" i="10"/>
  <c r="AF334" i="10"/>
  <c r="AF311" i="10"/>
  <c r="AF286" i="10"/>
  <c r="AF255" i="10"/>
  <c r="AF247" i="10"/>
  <c r="AF214" i="10"/>
  <c r="AF149" i="10"/>
  <c r="AF185" i="10"/>
  <c r="AF122" i="10"/>
  <c r="AF84" i="10"/>
  <c r="AT3" i="10"/>
  <c r="AF51" i="10"/>
  <c r="AF12" i="10"/>
  <c r="AC38" i="10"/>
  <c r="AD38" i="10" s="1"/>
  <c r="AF196" i="10"/>
  <c r="AJ3" i="10"/>
  <c r="AF339" i="10"/>
  <c r="AF78" i="10"/>
  <c r="AF111" i="10"/>
  <c r="AF169" i="10"/>
  <c r="AF103" i="10"/>
  <c r="AF90" i="10"/>
  <c r="AF117" i="10"/>
  <c r="AF215" i="10"/>
  <c r="AF89" i="10"/>
  <c r="AF114" i="10"/>
  <c r="AF113" i="10"/>
  <c r="AF182" i="10"/>
  <c r="AF344" i="10"/>
  <c r="AF34" i="10"/>
  <c r="AF58" i="10"/>
  <c r="AF332" i="10"/>
  <c r="AF343" i="10"/>
  <c r="AF307" i="10"/>
  <c r="AF282" i="10"/>
  <c r="AF244" i="10"/>
  <c r="AF258" i="10"/>
  <c r="AF183" i="10"/>
  <c r="AF144" i="10"/>
  <c r="AF222" i="10"/>
  <c r="AF153" i="10"/>
  <c r="AF70" i="10"/>
  <c r="AS3" i="10"/>
  <c r="AF193" i="10"/>
  <c r="AF13" i="10"/>
  <c r="AF73" i="10"/>
  <c r="AF168" i="10"/>
  <c r="AF105" i="10"/>
  <c r="AF147" i="10"/>
  <c r="AF54" i="10"/>
  <c r="AF120" i="10"/>
  <c r="AF101" i="10"/>
  <c r="AF142" i="10"/>
  <c r="AF173" i="10"/>
  <c r="AF186" i="10"/>
  <c r="AF59" i="10"/>
  <c r="AF8" i="10"/>
  <c r="AF56" i="10"/>
  <c r="AF341" i="10"/>
  <c r="AF329" i="10"/>
  <c r="AF293" i="10"/>
  <c r="AF281" i="10"/>
  <c r="AF232" i="10"/>
  <c r="AF262" i="10"/>
  <c r="AF176" i="10"/>
  <c r="AF131" i="10"/>
  <c r="AF170" i="10"/>
  <c r="AF139" i="10"/>
  <c r="AF39" i="10"/>
  <c r="AF75" i="10"/>
  <c r="AF40" i="10"/>
  <c r="AF60" i="10"/>
  <c r="AF31" i="10"/>
  <c r="AF97" i="10"/>
  <c r="AF174" i="10"/>
  <c r="AF69" i="10"/>
  <c r="AH3" i="10"/>
  <c r="AF156" i="10"/>
  <c r="AF164" i="10"/>
  <c r="AF178" i="10"/>
  <c r="AF140" i="10"/>
  <c r="AF79" i="10"/>
  <c r="AF239" i="10"/>
  <c r="AF115" i="10"/>
  <c r="AF150" i="10"/>
  <c r="AF203" i="10"/>
  <c r="AF213" i="10"/>
  <c r="AF141" i="10"/>
  <c r="AF181" i="10"/>
  <c r="AF187" i="10"/>
  <c r="AF302" i="10"/>
  <c r="AK3" i="10"/>
  <c r="AF18" i="10"/>
  <c r="AF342" i="10"/>
  <c r="AF320" i="10"/>
  <c r="AF285" i="10"/>
  <c r="AF261" i="10"/>
  <c r="AF234" i="10"/>
  <c r="AF237" i="10"/>
  <c r="AF240" i="10"/>
  <c r="AF128" i="10"/>
  <c r="AF83" i="10"/>
  <c r="AF132" i="10"/>
  <c r="AF49" i="10"/>
  <c r="AF163" i="10"/>
  <c r="AF4" i="10"/>
  <c r="AF10" i="10"/>
  <c r="AF28" i="10"/>
  <c r="AF71" i="10"/>
  <c r="AF291" i="10"/>
  <c r="AM3" i="10"/>
  <c r="AF157" i="10"/>
  <c r="AO3" i="10"/>
  <c r="AF123" i="10"/>
  <c r="AF134" i="10"/>
  <c r="AF137" i="10"/>
  <c r="AX3" i="10"/>
  <c r="AF96" i="10"/>
  <c r="AF74" i="10"/>
  <c r="AF166" i="10"/>
  <c r="AF94" i="10"/>
  <c r="AF125" i="10"/>
  <c r="AF127" i="10"/>
  <c r="AF177" i="10"/>
  <c r="AF172" i="10"/>
  <c r="AF224" i="10"/>
  <c r="AF265" i="10"/>
  <c r="AS164" i="10"/>
  <c r="AI156" i="10"/>
  <c r="BA69" i="10"/>
  <c r="AY69" i="10"/>
  <c r="AY60" i="10"/>
  <c r="BA60" i="10"/>
  <c r="AO134" i="10"/>
  <c r="AM134" i="10"/>
  <c r="AX134" i="10"/>
  <c r="BD134" i="10"/>
  <c r="AP134" i="10"/>
  <c r="AT134" i="10"/>
  <c r="AV134" i="10"/>
  <c r="AR134" i="10"/>
  <c r="AS134" i="10"/>
  <c r="AW134" i="10"/>
  <c r="AY106" i="10"/>
  <c r="BA106" i="10"/>
  <c r="AL51" i="10"/>
  <c r="AR126" i="10"/>
  <c r="AS126" i="10"/>
  <c r="BE126" i="10"/>
  <c r="AV86" i="10"/>
  <c r="AW86" i="10"/>
  <c r="AL86" i="10"/>
  <c r="AN86" i="10"/>
  <c r="BC86" i="10"/>
  <c r="AR86" i="10"/>
  <c r="AI86" i="10"/>
  <c r="AM86" i="10"/>
  <c r="AS86" i="10"/>
  <c r="BE86" i="10"/>
  <c r="AU86" i="10"/>
  <c r="AF53" i="10"/>
  <c r="BB46" i="10"/>
  <c r="AC4" i="10"/>
  <c r="AD4" i="10" s="1"/>
  <c r="AE4" i="10" s="1"/>
  <c r="BI4" i="10"/>
  <c r="BB339" i="10"/>
  <c r="BA54" i="10"/>
  <c r="AY54" i="10"/>
  <c r="AM43" i="10"/>
  <c r="AJ43" i="10"/>
  <c r="AT43" i="10"/>
  <c r="AF15" i="10"/>
  <c r="AZ14" i="10"/>
  <c r="AF21" i="10"/>
  <c r="AF108" i="10"/>
  <c r="AF77" i="10"/>
  <c r="AW37" i="10"/>
  <c r="AC7" i="10"/>
  <c r="AD7" i="10" s="1"/>
  <c r="AF62" i="10"/>
  <c r="AV27" i="10"/>
  <c r="AW32" i="10"/>
  <c r="AI16" i="10"/>
  <c r="AT9" i="10"/>
  <c r="BD9" i="10"/>
  <c r="AV9" i="10"/>
  <c r="BI9" i="10"/>
  <c r="AJ9" i="10"/>
  <c r="AR9" i="10"/>
  <c r="AN9" i="10"/>
  <c r="AL9" i="10"/>
  <c r="AK9" i="10"/>
  <c r="AQ9" i="10"/>
  <c r="AO9" i="10"/>
  <c r="AU28" i="10"/>
  <c r="BB88" i="10"/>
  <c r="AJ28" i="10"/>
  <c r="AT24" i="10"/>
  <c r="AH24" i="10"/>
  <c r="AO24" i="10"/>
  <c r="BI24" i="10"/>
  <c r="AN5" i="10"/>
  <c r="CV5" i="10" s="1"/>
  <c r="AF29" i="10"/>
  <c r="AF27" i="10"/>
  <c r="AY186" i="10"/>
  <c r="AX147" i="10"/>
  <c r="AO147" i="10"/>
  <c r="AW147" i="10"/>
  <c r="AN147" i="10"/>
  <c r="BE147" i="10"/>
  <c r="AV147" i="10"/>
  <c r="AM147" i="10"/>
  <c r="AI147" i="10"/>
  <c r="AU147" i="10"/>
  <c r="AR147" i="10"/>
  <c r="AQ147" i="10"/>
  <c r="AP147" i="10"/>
  <c r="AL147" i="10"/>
  <c r="BD147" i="10"/>
  <c r="AT147" i="10"/>
  <c r="BC147" i="10"/>
  <c r="AZ147" i="10"/>
  <c r="AK147" i="10"/>
  <c r="AK44" i="10"/>
  <c r="AL5" i="10"/>
  <c r="CT5" i="10" s="1"/>
  <c r="AF65" i="10"/>
  <c r="AF151" i="10"/>
  <c r="AF194" i="10"/>
  <c r="AF272" i="10"/>
  <c r="AF319" i="10"/>
  <c r="AK61" i="10"/>
  <c r="AV61" i="10"/>
  <c r="BD5" i="10"/>
  <c r="DO5" i="10" s="1"/>
  <c r="AL22" i="10"/>
  <c r="AP315" i="10"/>
  <c r="AT315" i="10"/>
  <c r="AI315" i="10"/>
  <c r="AN314" i="10"/>
  <c r="AY300" i="10"/>
  <c r="AR312" i="10"/>
  <c r="AJ312" i="10"/>
  <c r="AQ312" i="10"/>
  <c r="AL257" i="10"/>
  <c r="AT273" i="10"/>
  <c r="BA173" i="10"/>
  <c r="AY173" i="10"/>
  <c r="BA197" i="10"/>
  <c r="AY197" i="10"/>
  <c r="AM211" i="10"/>
  <c r="BA123" i="10"/>
  <c r="AY123" i="10"/>
  <c r="BA77" i="10"/>
  <c r="AY77" i="10"/>
  <c r="AN32" i="10"/>
  <c r="BD32" i="10"/>
  <c r="AU32" i="10"/>
  <c r="AV32" i="10"/>
  <c r="AJ32" i="10"/>
  <c r="AO32" i="10"/>
  <c r="AM32" i="10"/>
  <c r="AX32" i="10"/>
  <c r="AS32" i="10"/>
  <c r="BC32" i="10"/>
  <c r="AK32" i="10"/>
  <c r="AH32" i="10"/>
  <c r="AI32" i="10"/>
  <c r="BB32" i="10"/>
  <c r="AV344" i="10"/>
  <c r="AF136" i="10"/>
  <c r="AF306" i="10"/>
  <c r="AP337" i="10"/>
  <c r="AQ337" i="10"/>
  <c r="BD337" i="10"/>
  <c r="AF325" i="10"/>
  <c r="AZ337" i="10"/>
  <c r="AW301" i="10"/>
  <c r="AO301" i="10"/>
  <c r="AN301" i="10"/>
  <c r="AM301" i="10"/>
  <c r="AL301" i="10"/>
  <c r="AP301" i="10"/>
  <c r="AT301" i="10"/>
  <c r="AK286" i="10"/>
  <c r="AW281" i="10"/>
  <c r="BI281" i="10"/>
  <c r="AW272" i="10"/>
  <c r="AT272" i="10"/>
  <c r="AO272" i="10"/>
  <c r="BD272" i="10"/>
  <c r="AO312" i="10"/>
  <c r="AT312" i="10"/>
  <c r="AT289" i="10"/>
  <c r="AV258" i="10"/>
  <c r="AI272" i="10"/>
  <c r="BE239" i="10"/>
  <c r="AP239" i="10"/>
  <c r="AF226" i="10"/>
  <c r="AF252" i="10"/>
  <c r="AV245" i="10"/>
  <c r="AJ245" i="10"/>
  <c r="AO224" i="10"/>
  <c r="AQ208" i="10"/>
  <c r="AF218" i="10"/>
  <c r="BE177" i="10"/>
  <c r="AF152" i="10"/>
  <c r="AJ85" i="10"/>
  <c r="BC164" i="10"/>
  <c r="AF154" i="10"/>
  <c r="BA39" i="10"/>
  <c r="AY39" i="10"/>
  <c r="AK22" i="10"/>
  <c r="AF130" i="10"/>
  <c r="AF336" i="10"/>
  <c r="AK138" i="10"/>
  <c r="AM138" i="10"/>
  <c r="AT138" i="10"/>
  <c r="AP138" i="10"/>
  <c r="AQ138" i="10"/>
  <c r="BB138" i="10"/>
  <c r="AN138" i="10"/>
  <c r="AZ138" i="10"/>
  <c r="BE138" i="10"/>
  <c r="AX138" i="10"/>
  <c r="AT335" i="10"/>
  <c r="AU328" i="10"/>
  <c r="AM328" i="10"/>
  <c r="AF335" i="10"/>
  <c r="AO326" i="10"/>
  <c r="AM326" i="10"/>
  <c r="AR301" i="10"/>
  <c r="AO298" i="10"/>
  <c r="AM314" i="10"/>
  <c r="AU305" i="10"/>
  <c r="AW305" i="10"/>
  <c r="AF300" i="10"/>
  <c r="AX272" i="10"/>
  <c r="AN288" i="10"/>
  <c r="BC288" i="10"/>
  <c r="AZ265" i="10"/>
  <c r="AP281" i="10"/>
  <c r="AF263" i="10"/>
  <c r="AO273" i="10"/>
  <c r="BE267" i="10"/>
  <c r="AM267" i="10"/>
  <c r="AS267" i="10"/>
  <c r="AP267" i="10"/>
  <c r="AJ267" i="10"/>
  <c r="AT238" i="10"/>
  <c r="AN238" i="10"/>
  <c r="AU238" i="10"/>
  <c r="AX238" i="10"/>
  <c r="AV238" i="10"/>
  <c r="AP224" i="10"/>
  <c r="BC200" i="10"/>
  <c r="AF236" i="10"/>
  <c r="AW165" i="10"/>
  <c r="AO165" i="10"/>
  <c r="AL165" i="10"/>
  <c r="AK165" i="10"/>
  <c r="AJ165" i="10"/>
  <c r="AT165" i="10"/>
  <c r="AS165" i="10"/>
  <c r="AR165" i="10"/>
  <c r="AI165" i="10"/>
  <c r="AQ165" i="10"/>
  <c r="AM165" i="10"/>
  <c r="BB165" i="10"/>
  <c r="BC165" i="10"/>
  <c r="AN165" i="10"/>
  <c r="AF159" i="10"/>
  <c r="AF129" i="10"/>
  <c r="AS66" i="10"/>
  <c r="AK66" i="10"/>
  <c r="AR66" i="10"/>
  <c r="AJ66" i="10"/>
  <c r="AQ66" i="10"/>
  <c r="AI66" i="10"/>
  <c r="AL66" i="10"/>
  <c r="AW66" i="10"/>
  <c r="AV66" i="10"/>
  <c r="AT66" i="10"/>
  <c r="AM66" i="10"/>
  <c r="AN66" i="10"/>
  <c r="BE66" i="10"/>
  <c r="BD66" i="10"/>
  <c r="AO66" i="10"/>
  <c r="BC66" i="10"/>
  <c r="AU66" i="10"/>
  <c r="AZ66" i="10"/>
  <c r="AP66" i="10"/>
  <c r="AQ41" i="10"/>
  <c r="AP171" i="10"/>
  <c r="AR85" i="10"/>
  <c r="AV151" i="10"/>
  <c r="AR151" i="10"/>
  <c r="AX151" i="10"/>
  <c r="AU151" i="10"/>
  <c r="BB151" i="10"/>
  <c r="AP151" i="10"/>
  <c r="AL151" i="10"/>
  <c r="AS151" i="10"/>
  <c r="AJ151" i="10"/>
  <c r="AN151" i="10"/>
  <c r="BE151" i="10"/>
  <c r="BC151" i="10"/>
  <c r="AZ151" i="10"/>
  <c r="BA103" i="10"/>
  <c r="AZ77" i="10"/>
  <c r="BA62" i="10"/>
  <c r="AY62" i="10"/>
  <c r="AG62" i="10" s="1"/>
  <c r="BE89" i="10"/>
  <c r="AW89" i="10"/>
  <c r="AO89" i="10"/>
  <c r="BD89" i="10"/>
  <c r="AV89" i="10"/>
  <c r="AN89" i="10"/>
  <c r="AL89" i="10"/>
  <c r="AK89" i="10"/>
  <c r="AJ89" i="10"/>
  <c r="AI89" i="10"/>
  <c r="AS89" i="10"/>
  <c r="AR89" i="10"/>
  <c r="AQ89" i="10"/>
  <c r="AT89" i="10"/>
  <c r="AP89" i="10"/>
  <c r="AZ89" i="10"/>
  <c r="AR22" i="10"/>
  <c r="AW28" i="10"/>
  <c r="AF160" i="10"/>
  <c r="AF61" i="10"/>
  <c r="AF195" i="10"/>
  <c r="AF322" i="10"/>
  <c r="BI335" i="10"/>
  <c r="AK325" i="10"/>
  <c r="AS328" i="10"/>
  <c r="AT337" i="10"/>
  <c r="AW326" i="10"/>
  <c r="AJ301" i="10"/>
  <c r="BD305" i="10"/>
  <c r="AR295" i="10"/>
  <c r="AU301" i="10"/>
  <c r="AX286" i="10"/>
  <c r="AR286" i="10"/>
  <c r="BA303" i="10"/>
  <c r="AY303" i="10"/>
  <c r="AZ302" i="10"/>
  <c r="AJ325" i="10"/>
  <c r="AU290" i="10"/>
  <c r="AR256" i="10"/>
  <c r="AJ256" i="10"/>
  <c r="AQ256" i="10"/>
  <c r="AI256" i="10"/>
  <c r="AK256" i="10"/>
  <c r="AW256" i="10"/>
  <c r="AV256" i="10"/>
  <c r="AT256" i="10"/>
  <c r="BD256" i="10"/>
  <c r="AS256" i="10"/>
  <c r="AO256" i="10"/>
  <c r="AN256" i="10"/>
  <c r="AL256" i="10"/>
  <c r="BE256" i="10"/>
  <c r="AF287" i="10"/>
  <c r="AS274" i="10"/>
  <c r="AU265" i="10"/>
  <c r="AL265" i="10"/>
  <c r="AR258" i="10"/>
  <c r="AU263" i="10"/>
  <c r="BE263" i="10"/>
  <c r="AT263" i="10"/>
  <c r="BD263" i="10"/>
  <c r="AS263" i="10"/>
  <c r="AW263" i="10"/>
  <c r="AV263" i="10"/>
  <c r="AP263" i="10"/>
  <c r="AO263" i="10"/>
  <c r="BB263" i="10"/>
  <c r="AL263" i="10"/>
  <c r="AK263" i="10"/>
  <c r="BC263" i="10"/>
  <c r="AM256" i="10"/>
  <c r="AT257" i="10"/>
  <c r="AT250" i="10"/>
  <c r="AX281" i="10"/>
  <c r="BE272" i="10"/>
  <c r="BE265" i="10"/>
  <c r="BC273" i="10"/>
  <c r="BD273" i="10"/>
  <c r="AS273" i="10"/>
  <c r="AM260" i="10"/>
  <c r="AX236" i="10"/>
  <c r="AW236" i="10"/>
  <c r="AP236" i="10"/>
  <c r="AO236" i="10"/>
  <c r="AN236" i="10"/>
  <c r="AM236" i="10"/>
  <c r="AT236" i="10"/>
  <c r="AU222" i="10"/>
  <c r="AS208" i="10"/>
  <c r="AT187" i="10"/>
  <c r="BE165" i="10"/>
  <c r="BE252" i="10"/>
  <c r="AJ200" i="10"/>
  <c r="BD197" i="10"/>
  <c r="BE229" i="10"/>
  <c r="AO229" i="10"/>
  <c r="AX229" i="10"/>
  <c r="AW229" i="10"/>
  <c r="AV229" i="10"/>
  <c r="AI229" i="10"/>
  <c r="AX89" i="10"/>
  <c r="AQ177" i="10"/>
  <c r="AT201" i="10"/>
  <c r="AU89" i="10"/>
  <c r="AF201" i="10"/>
  <c r="AP101" i="10"/>
  <c r="AX156" i="10"/>
  <c r="AU156" i="10"/>
  <c r="AQ156" i="10"/>
  <c r="AO156" i="10"/>
  <c r="AN156" i="10"/>
  <c r="AS156" i="10"/>
  <c r="AW156" i="10"/>
  <c r="BD156" i="10"/>
  <c r="AR156" i="10"/>
  <c r="AT156" i="10"/>
  <c r="AV156" i="10"/>
  <c r="BC156" i="10"/>
  <c r="AF45" i="10"/>
  <c r="AI339" i="10"/>
  <c r="AW339" i="10"/>
  <c r="AV339" i="10"/>
  <c r="AQ43" i="10"/>
  <c r="BC16" i="10"/>
  <c r="AY52" i="10"/>
  <c r="AQ335" i="10"/>
  <c r="AV345" i="10"/>
  <c r="AT338" i="10"/>
  <c r="AU345" i="10"/>
  <c r="AO330" i="10"/>
  <c r="BI328" i="10"/>
  <c r="BE328" i="10"/>
  <c r="BB337" i="10"/>
  <c r="BE326" i="10"/>
  <c r="AF309" i="10"/>
  <c r="AT322" i="10"/>
  <c r="BB321" i="10"/>
  <c r="AF321" i="10"/>
  <c r="AN302" i="10"/>
  <c r="AM312" i="10"/>
  <c r="AN312" i="10"/>
  <c r="AZ319" i="10"/>
  <c r="AL302" i="10"/>
  <c r="AV289" i="10"/>
  <c r="AM289" i="10"/>
  <c r="AU291" i="10"/>
  <c r="BI290" i="10"/>
  <c r="AJ289" i="10"/>
  <c r="AR279" i="10"/>
  <c r="AJ274" i="10"/>
  <c r="AO257" i="10"/>
  <c r="AM257" i="10"/>
  <c r="AU257" i="10"/>
  <c r="AX257" i="10"/>
  <c r="AV257" i="10"/>
  <c r="AS237" i="10"/>
  <c r="AT276" i="10"/>
  <c r="AN272" i="10"/>
  <c r="AQ229" i="10"/>
  <c r="AU267" i="10"/>
  <c r="BD222" i="10"/>
  <c r="AI200" i="10"/>
  <c r="BI200" i="10"/>
  <c r="BI272" i="10"/>
  <c r="AV224" i="10"/>
  <c r="AR217" i="10"/>
  <c r="AV208" i="10"/>
  <c r="AU208" i="10"/>
  <c r="BE208" i="10"/>
  <c r="BC208" i="10"/>
  <c r="AX208" i="10"/>
  <c r="AW208" i="10"/>
  <c r="AO208" i="10"/>
  <c r="AM208" i="10"/>
  <c r="AR208" i="10"/>
  <c r="AL238" i="10"/>
  <c r="AK238" i="10"/>
  <c r="BI208" i="10"/>
  <c r="AQ228" i="10"/>
  <c r="AT202" i="10"/>
  <c r="AU249" i="10"/>
  <c r="BA185" i="10"/>
  <c r="AY185" i="10"/>
  <c r="AF248" i="10"/>
  <c r="AP252" i="10"/>
  <c r="AR224" i="10"/>
  <c r="AM193" i="10"/>
  <c r="AP139" i="10"/>
  <c r="AR122" i="10"/>
  <c r="AP122" i="10"/>
  <c r="AU122" i="10"/>
  <c r="AT122" i="10"/>
  <c r="BD122" i="10"/>
  <c r="BC122" i="10"/>
  <c r="AS122" i="10"/>
  <c r="BE122" i="10"/>
  <c r="BB122" i="10"/>
  <c r="AJ122" i="10"/>
  <c r="AK122" i="10"/>
  <c r="AW122" i="10"/>
  <c r="AX122" i="10"/>
  <c r="AV122" i="10"/>
  <c r="AO122" i="10"/>
  <c r="AZ122" i="10"/>
  <c r="AY142" i="10"/>
  <c r="BA142" i="10"/>
  <c r="AO133" i="10"/>
  <c r="AP133" i="10"/>
  <c r="AJ133" i="10"/>
  <c r="BD133" i="10"/>
  <c r="BB133" i="10"/>
  <c r="AX133" i="10"/>
  <c r="AQ133" i="10"/>
  <c r="AV133" i="10"/>
  <c r="AT133" i="10"/>
  <c r="AM89" i="10"/>
  <c r="AY133" i="10"/>
  <c r="BA133" i="10"/>
  <c r="AL133" i="10"/>
  <c r="AQ120" i="10"/>
  <c r="AS67" i="10"/>
  <c r="AW164" i="10"/>
  <c r="AF143" i="10"/>
  <c r="AP93" i="10"/>
  <c r="AO93" i="10"/>
  <c r="AV93" i="10"/>
  <c r="AU93" i="10"/>
  <c r="BE93" i="10"/>
  <c r="AT93" i="10"/>
  <c r="AQ93" i="10"/>
  <c r="AL93" i="10"/>
  <c r="AI93" i="10"/>
  <c r="AW93" i="10"/>
  <c r="AZ93" i="10"/>
  <c r="BD93" i="10"/>
  <c r="AJ93" i="10"/>
  <c r="AH37" i="10"/>
  <c r="AT37" i="10"/>
  <c r="AQ37" i="10"/>
  <c r="AO37" i="10"/>
  <c r="BE37" i="10"/>
  <c r="AU37" i="10"/>
  <c r="AM37" i="10"/>
  <c r="AR37" i="10"/>
  <c r="AP37" i="10"/>
  <c r="AL37" i="10"/>
  <c r="AZ37" i="10"/>
  <c r="AV37" i="10"/>
  <c r="AJ37" i="10"/>
  <c r="AM16" i="10"/>
  <c r="AQ27" i="10"/>
  <c r="AS37" i="10"/>
  <c r="AX15" i="10"/>
  <c r="AH15" i="10"/>
  <c r="BC15" i="10"/>
  <c r="AM15" i="10"/>
  <c r="BB15" i="10"/>
  <c r="AL15" i="10"/>
  <c r="AT15" i="10"/>
  <c r="AN15" i="10"/>
  <c r="BI15" i="10"/>
  <c r="AR15" i="10"/>
  <c r="AW15" i="10"/>
  <c r="BD15" i="10"/>
  <c r="AJ15" i="10"/>
  <c r="AO15" i="10"/>
  <c r="AU15" i="10"/>
  <c r="AS15" i="10"/>
  <c r="AP15" i="10"/>
  <c r="AQ15" i="10"/>
  <c r="AV15" i="10"/>
  <c r="AU27" i="10"/>
  <c r="AZ32" i="10"/>
  <c r="AK28" i="10"/>
  <c r="AL88" i="10"/>
  <c r="AO88" i="10"/>
  <c r="AX335" i="10"/>
  <c r="BE343" i="10"/>
  <c r="AO343" i="10"/>
  <c r="BC343" i="10"/>
  <c r="AW343" i="10"/>
  <c r="AM343" i="10"/>
  <c r="AV343" i="10"/>
  <c r="AL343" i="10"/>
  <c r="AQ338" i="10"/>
  <c r="AS338" i="10"/>
  <c r="AM338" i="10"/>
  <c r="AR345" i="10"/>
  <c r="BD343" i="10"/>
  <c r="AP336" i="10"/>
  <c r="AS336" i="10"/>
  <c r="BI322" i="10"/>
  <c r="AL330" i="10"/>
  <c r="AM330" i="10"/>
  <c r="AV325" i="10"/>
  <c r="AN337" i="10"/>
  <c r="AW328" i="10"/>
  <c r="AV337" i="10"/>
  <c r="AJ337" i="10"/>
  <c r="BE324" i="10"/>
  <c r="BD324" i="10"/>
  <c r="AN324" i="10"/>
  <c r="AI324" i="10"/>
  <c r="AT326" i="10"/>
  <c r="AN326" i="10"/>
  <c r="AJ314" i="10"/>
  <c r="AO336" i="10"/>
  <c r="AI338" i="10"/>
  <c r="AX323" i="10"/>
  <c r="AV323" i="10"/>
  <c r="AU323" i="10"/>
  <c r="AP323" i="10"/>
  <c r="AV324" i="10"/>
  <c r="AJ324" i="10"/>
  <c r="BA324" i="10"/>
  <c r="AK301" i="10"/>
  <c r="AP316" i="10"/>
  <c r="AS330" i="10"/>
  <c r="BC323" i="10"/>
  <c r="BE323" i="10"/>
  <c r="AS323" i="10"/>
  <c r="AM316" i="10"/>
  <c r="AF315" i="10"/>
  <c r="AL315" i="10"/>
  <c r="AS306" i="10"/>
  <c r="BE295" i="10"/>
  <c r="BE294" i="10"/>
  <c r="AW294" i="10"/>
  <c r="AO294" i="10"/>
  <c r="BC294" i="10"/>
  <c r="AM294" i="10"/>
  <c r="BB294" i="10"/>
  <c r="AL294" i="10"/>
  <c r="AK294" i="10"/>
  <c r="AV294" i="10"/>
  <c r="AN294" i="10"/>
  <c r="AU294" i="10"/>
  <c r="BD294" i="10"/>
  <c r="AS294" i="10"/>
  <c r="AT294" i="10"/>
  <c r="BA318" i="10"/>
  <c r="AY318" i="10"/>
  <c r="AR314" i="10"/>
  <c r="AQ303" i="10"/>
  <c r="AP303" i="10"/>
  <c r="AN303" i="10"/>
  <c r="AI303" i="10"/>
  <c r="BD303" i="10"/>
  <c r="BD295" i="10"/>
  <c r="BE305" i="10"/>
  <c r="AF296" i="10"/>
  <c r="AO297" i="10"/>
  <c r="AT295" i="10"/>
  <c r="BE321" i="10"/>
  <c r="AQ301" i="10"/>
  <c r="AM281" i="10"/>
  <c r="AK272" i="10"/>
  <c r="AU286" i="10"/>
  <c r="AX312" i="10"/>
  <c r="BC312" i="10"/>
  <c r="AI312" i="10"/>
  <c r="AW302" i="10"/>
  <c r="AK302" i="10"/>
  <c r="AS297" i="10"/>
  <c r="AQ289" i="10"/>
  <c r="AW289" i="10"/>
  <c r="BC284" i="10"/>
  <c r="AS284" i="10"/>
  <c r="AI284" i="10"/>
  <c r="AR284" i="10"/>
  <c r="AQ284" i="10"/>
  <c r="AN284" i="10"/>
  <c r="AV284" i="10"/>
  <c r="AU284" i="10"/>
  <c r="AT284" i="10"/>
  <c r="AK284" i="10"/>
  <c r="BD284" i="10"/>
  <c r="AM284" i="10"/>
  <c r="AL284" i="10"/>
  <c r="AJ284" i="10"/>
  <c r="BI291" i="10"/>
  <c r="AL291" i="10"/>
  <c r="AZ284" i="10"/>
  <c r="BE290" i="10"/>
  <c r="AT290" i="10"/>
  <c r="AF275" i="10"/>
  <c r="BD287" i="10"/>
  <c r="AQ287" i="10"/>
  <c r="BD292" i="10"/>
  <c r="AV292" i="10"/>
  <c r="AN292" i="10"/>
  <c r="BC292" i="10"/>
  <c r="AU292" i="10"/>
  <c r="AM292" i="10"/>
  <c r="AK292" i="10"/>
  <c r="AJ292" i="10"/>
  <c r="AI292" i="10"/>
  <c r="AT292" i="10"/>
  <c r="AL292" i="10"/>
  <c r="AS292" i="10"/>
  <c r="AR292" i="10"/>
  <c r="BB292" i="10"/>
  <c r="AQ292" i="10"/>
  <c r="BD288" i="10"/>
  <c r="AZ288" i="10"/>
  <c r="BC279" i="10"/>
  <c r="BE279" i="10"/>
  <c r="AF288" i="10"/>
  <c r="AV283" i="10"/>
  <c r="AN274" i="10"/>
  <c r="AL274" i="10"/>
  <c r="AP266" i="10"/>
  <c r="AS265" i="10"/>
  <c r="AP256" i="10"/>
  <c r="AI263" i="10"/>
  <c r="AJ280" i="10"/>
  <c r="AW257" i="10"/>
  <c r="BC257" i="10"/>
  <c r="AJ250" i="10"/>
  <c r="AN281" i="10"/>
  <c r="BC281" i="10"/>
  <c r="BB264" i="10"/>
  <c r="BD264" i="10"/>
  <c r="AS264" i="10"/>
  <c r="AR237" i="10"/>
  <c r="AF264" i="10"/>
  <c r="AQ276" i="10"/>
  <c r="AM276" i="10"/>
  <c r="AM272" i="10"/>
  <c r="AQ260" i="10"/>
  <c r="AR260" i="10"/>
  <c r="AU260" i="10"/>
  <c r="AT260" i="10"/>
  <c r="AX283" i="10"/>
  <c r="AW273" i="10"/>
  <c r="AI273" i="10"/>
  <c r="AL273" i="10"/>
  <c r="AZ229" i="10"/>
  <c r="BA227" i="10"/>
  <c r="AY227" i="10"/>
  <c r="AS214" i="10"/>
  <c r="BD214" i="10"/>
  <c r="AN214" i="10"/>
  <c r="BC214" i="10"/>
  <c r="AM214" i="10"/>
  <c r="AK214" i="10"/>
  <c r="BB214" i="10"/>
  <c r="AV214" i="10"/>
  <c r="AU214" i="10"/>
  <c r="AT214" i="10"/>
  <c r="AL214" i="10"/>
  <c r="AQ214" i="10"/>
  <c r="AJ260" i="10"/>
  <c r="AX260" i="10"/>
  <c r="AP260" i="10"/>
  <c r="BE260" i="10"/>
  <c r="AO212" i="10"/>
  <c r="AR267" i="10"/>
  <c r="AQ267" i="10"/>
  <c r="AN267" i="10"/>
  <c r="AL246" i="10"/>
  <c r="AX206" i="10"/>
  <c r="AR236" i="10"/>
  <c r="AQ236" i="10"/>
  <c r="AI245" i="10"/>
  <c r="AX245" i="10"/>
  <c r="AJ224" i="10"/>
  <c r="AI224" i="10"/>
  <c r="AQ224" i="10"/>
  <c r="BB224" i="10"/>
  <c r="AZ224" i="10"/>
  <c r="BE224" i="10"/>
  <c r="AS224" i="10"/>
  <c r="AV217" i="10"/>
  <c r="AF211" i="10"/>
  <c r="AT200" i="10"/>
  <c r="BE258" i="10"/>
  <c r="AS258" i="10"/>
  <c r="AI258" i="10"/>
  <c r="AP258" i="10"/>
  <c r="AN258" i="10"/>
  <c r="AK258" i="10"/>
  <c r="AX258" i="10"/>
  <c r="AW258" i="10"/>
  <c r="AQ258" i="10"/>
  <c r="BD258" i="10"/>
  <c r="AZ258" i="10"/>
  <c r="AZ235" i="10"/>
  <c r="AT224" i="10"/>
  <c r="AW224" i="10"/>
  <c r="BB217" i="10"/>
  <c r="AX194" i="10"/>
  <c r="AW194" i="10"/>
  <c r="AO194" i="10"/>
  <c r="AN194" i="10"/>
  <c r="AM194" i="10"/>
  <c r="BE194" i="10"/>
  <c r="AQ194" i="10"/>
  <c r="AV194" i="10"/>
  <c r="AP194" i="10"/>
  <c r="AI194" i="10"/>
  <c r="BD194" i="10"/>
  <c r="AP208" i="10"/>
  <c r="AT208" i="10"/>
  <c r="AR254" i="10"/>
  <c r="AI238" i="10"/>
  <c r="AQ230" i="10"/>
  <c r="AP230" i="10"/>
  <c r="BE230" i="10"/>
  <c r="BC230" i="10"/>
  <c r="AF228" i="10"/>
  <c r="AN217" i="10"/>
  <c r="AR199" i="10"/>
  <c r="AJ199" i="10"/>
  <c r="AQ199" i="10"/>
  <c r="AO199" i="10"/>
  <c r="AN199" i="10"/>
  <c r="AV199" i="10"/>
  <c r="AL199" i="10"/>
  <c r="AM199" i="10"/>
  <c r="BE199" i="10"/>
  <c r="AK199" i="10"/>
  <c r="BD199" i="10"/>
  <c r="AI199" i="10"/>
  <c r="BC199" i="10"/>
  <c r="AU199" i="10"/>
  <c r="AS199" i="10"/>
  <c r="AW199" i="10"/>
  <c r="AT199" i="10"/>
  <c r="BB199" i="10"/>
  <c r="BA187" i="10"/>
  <c r="AR248" i="10"/>
  <c r="AJ248" i="10"/>
  <c r="AT248" i="10"/>
  <c r="BE248" i="10"/>
  <c r="AS248" i="10"/>
  <c r="BD248" i="10"/>
  <c r="AQ248" i="10"/>
  <c r="AO248" i="10"/>
  <c r="AL248" i="10"/>
  <c r="AK248" i="10"/>
  <c r="AI248" i="10"/>
  <c r="AW248" i="10"/>
  <c r="AV248" i="10"/>
  <c r="AN248" i="10"/>
  <c r="BB248" i="10"/>
  <c r="AV228" i="10"/>
  <c r="AW202" i="10"/>
  <c r="AF199" i="10"/>
  <c r="AX185" i="10"/>
  <c r="AP249" i="10"/>
  <c r="AZ249" i="10"/>
  <c r="BD249" i="10"/>
  <c r="AM249" i="10"/>
  <c r="AF202" i="10"/>
  <c r="AV185" i="10"/>
  <c r="AU185" i="10"/>
  <c r="AX252" i="10"/>
  <c r="BC197" i="10"/>
  <c r="AM197" i="10"/>
  <c r="AF192" i="10"/>
  <c r="BC193" i="10"/>
  <c r="BD170" i="10"/>
  <c r="BE170" i="10"/>
  <c r="AL170" i="10"/>
  <c r="AO170" i="10"/>
  <c r="AX170" i="10"/>
  <c r="BC170" i="10"/>
  <c r="BI170" i="10"/>
  <c r="AR170" i="10"/>
  <c r="AV170" i="10"/>
  <c r="AM170" i="10"/>
  <c r="AS170" i="10"/>
  <c r="AQ170" i="10"/>
  <c r="AU170" i="10"/>
  <c r="BE238" i="10"/>
  <c r="AY129" i="10"/>
  <c r="BA129" i="10"/>
  <c r="AW132" i="10"/>
  <c r="AX132" i="10"/>
  <c r="AM132" i="10"/>
  <c r="AS132" i="10"/>
  <c r="AP132" i="10"/>
  <c r="BE132" i="10"/>
  <c r="AK132" i="10"/>
  <c r="AO132" i="10"/>
  <c r="AN132" i="10"/>
  <c r="AJ132" i="10"/>
  <c r="AL132" i="10"/>
  <c r="BC132" i="10"/>
  <c r="AP211" i="10"/>
  <c r="BD211" i="10"/>
  <c r="BB211" i="10"/>
  <c r="AR211" i="10"/>
  <c r="AV211" i="10"/>
  <c r="AT211" i="10"/>
  <c r="AI211" i="10"/>
  <c r="AQ211" i="10"/>
  <c r="AN211" i="10"/>
  <c r="AL211" i="10"/>
  <c r="BC211" i="10"/>
  <c r="AZ165" i="10"/>
  <c r="BB146" i="10"/>
  <c r="AX146" i="10"/>
  <c r="AV146" i="10"/>
  <c r="AU146" i="10"/>
  <c r="AL146" i="10"/>
  <c r="BC146" i="10"/>
  <c r="AK146" i="10"/>
  <c r="AQ146" i="10"/>
  <c r="AZ146" i="10"/>
  <c r="BE146" i="10"/>
  <c r="BA131" i="10"/>
  <c r="AY131" i="10"/>
  <c r="AM177" i="10"/>
  <c r="AT245" i="10"/>
  <c r="AO201" i="10"/>
  <c r="AX201" i="10"/>
  <c r="AJ171" i="10"/>
  <c r="AP140" i="10"/>
  <c r="AY153" i="10"/>
  <c r="BA153" i="10"/>
  <c r="AF85" i="10"/>
  <c r="AV65" i="10"/>
  <c r="AU65" i="10"/>
  <c r="AT65" i="10"/>
  <c r="BD65" i="10"/>
  <c r="AN65" i="10"/>
  <c r="AK65" i="10"/>
  <c r="AM65" i="10"/>
  <c r="BB65" i="10"/>
  <c r="AL65" i="10"/>
  <c r="BC65" i="10"/>
  <c r="AS65" i="10"/>
  <c r="AO65" i="10"/>
  <c r="AP65" i="10"/>
  <c r="AQ65" i="10"/>
  <c r="AW65" i="10"/>
  <c r="AX65" i="10"/>
  <c r="BE65" i="10"/>
  <c r="AJ65" i="10"/>
  <c r="BE94" i="10"/>
  <c r="BD94" i="10"/>
  <c r="AO94" i="10"/>
  <c r="AN94" i="10"/>
  <c r="AX94" i="10"/>
  <c r="AI94" i="10"/>
  <c r="AZ94" i="10"/>
  <c r="BC94" i="10"/>
  <c r="AR94" i="10"/>
  <c r="AU94" i="10"/>
  <c r="AJ94" i="10"/>
  <c r="AK94" i="10"/>
  <c r="BD146" i="10"/>
  <c r="BC133" i="10"/>
  <c r="AT101" i="10"/>
  <c r="AT94" i="10"/>
  <c r="BA85" i="10"/>
  <c r="BD151" i="10"/>
  <c r="AS111" i="10"/>
  <c r="AN111" i="10"/>
  <c r="AT87" i="10"/>
  <c r="AX66" i="10"/>
  <c r="BE49" i="10"/>
  <c r="AF158" i="10"/>
  <c r="AK120" i="10"/>
  <c r="AX77" i="10"/>
  <c r="AT67" i="10"/>
  <c r="AM45" i="10"/>
  <c r="AS45" i="10"/>
  <c r="AX45" i="10"/>
  <c r="AI45" i="10"/>
  <c r="AK45" i="10"/>
  <c r="AW45" i="10"/>
  <c r="BD45" i="10"/>
  <c r="AJ45" i="10"/>
  <c r="AN45" i="10"/>
  <c r="AL45" i="10"/>
  <c r="AQ45" i="10"/>
  <c r="BC45" i="10"/>
  <c r="AV36" i="10"/>
  <c r="AQ36" i="10"/>
  <c r="AO36" i="10"/>
  <c r="AP36" i="10"/>
  <c r="BD36" i="10"/>
  <c r="AH36" i="10"/>
  <c r="BE36" i="10"/>
  <c r="BC36" i="10"/>
  <c r="AI36" i="10"/>
  <c r="AU36" i="10"/>
  <c r="AZ36" i="10"/>
  <c r="AW36" i="10"/>
  <c r="AM36" i="10"/>
  <c r="AR36" i="10"/>
  <c r="BI36" i="10"/>
  <c r="BB36" i="10"/>
  <c r="AK36" i="10"/>
  <c r="AN36" i="10"/>
  <c r="BD30" i="10"/>
  <c r="AN30" i="10"/>
  <c r="AJ30" i="10"/>
  <c r="BB30" i="10"/>
  <c r="AK30" i="10"/>
  <c r="AZ30" i="10"/>
  <c r="AV30" i="10"/>
  <c r="AS30" i="10"/>
  <c r="AW30" i="10"/>
  <c r="AQ30" i="10"/>
  <c r="BI30" i="10"/>
  <c r="AM30" i="10"/>
  <c r="BE30" i="10"/>
  <c r="AH30" i="10"/>
  <c r="AR30" i="10"/>
  <c r="AU30" i="10"/>
  <c r="AP30" i="10"/>
  <c r="AL30" i="10"/>
  <c r="AL156" i="10"/>
  <c r="AR132" i="10"/>
  <c r="AO69" i="10"/>
  <c r="AU69" i="10"/>
  <c r="AS69" i="10"/>
  <c r="AJ69" i="10"/>
  <c r="AM69" i="10"/>
  <c r="AK69" i="10"/>
  <c r="AR69" i="10"/>
  <c r="AI69" i="10"/>
  <c r="AV69" i="10"/>
  <c r="AT69" i="10"/>
  <c r="AQ69" i="10"/>
  <c r="AN69" i="10"/>
  <c r="AE60" i="10"/>
  <c r="AL36" i="10"/>
  <c r="AI134" i="10"/>
  <c r="BE134" i="10"/>
  <c r="AP102" i="10"/>
  <c r="AQ102" i="10"/>
  <c r="AV102" i="10"/>
  <c r="BC102" i="10"/>
  <c r="AR102" i="10"/>
  <c r="AI102" i="10"/>
  <c r="AU102" i="10"/>
  <c r="AJ102" i="10"/>
  <c r="AX102" i="10"/>
  <c r="AW102" i="10"/>
  <c r="AK102" i="10"/>
  <c r="AO102" i="10"/>
  <c r="AP69" i="10"/>
  <c r="AJ51" i="10"/>
  <c r="AT51" i="10"/>
  <c r="AM126" i="10"/>
  <c r="AF104" i="10"/>
  <c r="BC93" i="10"/>
  <c r="AN51" i="10"/>
  <c r="AM46" i="10"/>
  <c r="AS36" i="10"/>
  <c r="BC3" i="10"/>
  <c r="AP86" i="10"/>
  <c r="AI68" i="10"/>
  <c r="AX68" i="10"/>
  <c r="AW68" i="10"/>
  <c r="AO68" i="10"/>
  <c r="AN68" i="10"/>
  <c r="BE68" i="10"/>
  <c r="BD68" i="10"/>
  <c r="AV68" i="10"/>
  <c r="AP68" i="10"/>
  <c r="AK68" i="10"/>
  <c r="BB68" i="10"/>
  <c r="AT68" i="10"/>
  <c r="AZ68" i="10"/>
  <c r="AR43" i="10"/>
  <c r="AM53" i="10"/>
  <c r="AS53" i="10"/>
  <c r="AR53" i="10"/>
  <c r="AO53" i="10"/>
  <c r="AK53" i="10"/>
  <c r="BD53" i="10"/>
  <c r="AP53" i="10"/>
  <c r="AN53" i="10"/>
  <c r="AL53" i="10"/>
  <c r="AX53" i="10"/>
  <c r="BC53" i="10"/>
  <c r="BE13" i="10"/>
  <c r="BI13" i="10"/>
  <c r="AR13" i="10"/>
  <c r="AW13" i="10"/>
  <c r="AD37" i="10"/>
  <c r="AE37" i="10" s="1"/>
  <c r="AR5" i="10"/>
  <c r="CZ5" i="10" s="1"/>
  <c r="AF98" i="10"/>
  <c r="AF23" i="10"/>
  <c r="AJ27" i="10"/>
  <c r="BD27" i="10"/>
  <c r="AY113" i="10"/>
  <c r="BA113" i="10"/>
  <c r="BE32" i="10"/>
  <c r="AC32" i="10"/>
  <c r="AD32" i="10" s="1"/>
  <c r="AE32" i="10" s="1"/>
  <c r="AQ16" i="10"/>
  <c r="AW9" i="10"/>
  <c r="AF42" i="10"/>
  <c r="BC28" i="10"/>
  <c r="AF102" i="10"/>
  <c r="AX88" i="10"/>
  <c r="AM88" i="10"/>
  <c r="BE77" i="10"/>
  <c r="AS27" i="10"/>
  <c r="AQ24" i="10"/>
  <c r="AV22" i="10"/>
  <c r="BC344" i="10"/>
  <c r="AF44" i="10"/>
  <c r="AT22" i="10"/>
  <c r="BA17" i="10"/>
  <c r="AY17" i="10"/>
  <c r="AF112" i="10"/>
  <c r="AF167" i="10"/>
  <c r="AF200" i="10"/>
  <c r="AF271" i="10"/>
  <c r="AF318" i="10"/>
  <c r="AF171" i="10"/>
  <c r="AF46" i="10"/>
  <c r="AF138" i="10"/>
  <c r="AI138" i="10"/>
  <c r="AS138" i="10"/>
  <c r="BD61" i="10"/>
  <c r="AF86" i="10"/>
  <c r="AO45" i="10"/>
  <c r="AS207" i="10"/>
  <c r="AK207" i="10"/>
  <c r="AR207" i="10"/>
  <c r="AJ207" i="10"/>
  <c r="AQ207" i="10"/>
  <c r="AI207" i="10"/>
  <c r="BD207" i="10"/>
  <c r="AN207" i="10"/>
  <c r="BC207" i="10"/>
  <c r="AM207" i="10"/>
  <c r="AL207" i="10"/>
  <c r="AV207" i="10"/>
  <c r="AO207" i="10"/>
  <c r="BE207" i="10"/>
  <c r="AW207" i="10"/>
  <c r="AT207" i="10"/>
  <c r="AU207" i="10"/>
  <c r="AY235" i="10"/>
  <c r="BA235" i="10"/>
  <c r="AR175" i="10"/>
  <c r="AJ175" i="10"/>
  <c r="AQ175" i="10"/>
  <c r="AI175" i="10"/>
  <c r="AK175" i="10"/>
  <c r="AV175" i="10"/>
  <c r="AU175" i="10"/>
  <c r="AS175" i="10"/>
  <c r="BD175" i="10"/>
  <c r="BC175" i="10"/>
  <c r="BB175" i="10"/>
  <c r="AT175" i="10"/>
  <c r="AN175" i="10"/>
  <c r="AM175" i="10"/>
  <c r="AL175" i="10"/>
  <c r="AR167" i="10"/>
  <c r="AJ167" i="10"/>
  <c r="AQ167" i="10"/>
  <c r="AI167" i="10"/>
  <c r="AT167" i="10"/>
  <c r="AS167" i="10"/>
  <c r="BD167" i="10"/>
  <c r="AN167" i="10"/>
  <c r="BB167" i="10"/>
  <c r="AL167" i="10"/>
  <c r="BC167" i="10"/>
  <c r="AV167" i="10"/>
  <c r="AU167" i="10"/>
  <c r="AM167" i="10"/>
  <c r="AK167" i="10"/>
  <c r="AP189" i="10"/>
  <c r="AO189" i="10"/>
  <c r="AR189" i="10"/>
  <c r="BD189" i="10"/>
  <c r="BA232" i="10"/>
  <c r="AY232" i="10"/>
  <c r="AQ210" i="10"/>
  <c r="AO210" i="10"/>
  <c r="AT210" i="10"/>
  <c r="AV210" i="10"/>
  <c r="AT189" i="10"/>
  <c r="AX167" i="10"/>
  <c r="AK252" i="10"/>
  <c r="AJ252" i="10"/>
  <c r="AT252" i="10"/>
  <c r="AV252" i="10"/>
  <c r="AP216" i="10"/>
  <c r="AI216" i="10"/>
  <c r="AP196" i="10"/>
  <c r="BC218" i="10"/>
  <c r="AS196" i="10"/>
  <c r="AN196" i="10"/>
  <c r="BA158" i="10"/>
  <c r="AE169" i="10"/>
  <c r="AR148" i="10"/>
  <c r="AP148" i="10"/>
  <c r="AO148" i="10"/>
  <c r="AX148" i="10"/>
  <c r="AW148" i="10"/>
  <c r="AI148" i="10"/>
  <c r="BE148" i="10"/>
  <c r="BC108" i="10"/>
  <c r="AJ125" i="10"/>
  <c r="BC177" i="10"/>
  <c r="BD159" i="10"/>
  <c r="BE159" i="10"/>
  <c r="AX142" i="10"/>
  <c r="AI142" i="10"/>
  <c r="AL142" i="10"/>
  <c r="AJ142" i="10"/>
  <c r="AU142" i="10"/>
  <c r="AW142" i="10"/>
  <c r="AS227" i="10"/>
  <c r="AK227" i="10"/>
  <c r="AR227" i="10"/>
  <c r="AJ227" i="10"/>
  <c r="AU227" i="10"/>
  <c r="BE227" i="10"/>
  <c r="AT227" i="10"/>
  <c r="BD227" i="10"/>
  <c r="AQ227" i="10"/>
  <c r="BC227" i="10"/>
  <c r="AO227" i="10"/>
  <c r="AW227" i="10"/>
  <c r="AN227" i="10"/>
  <c r="AI227" i="10"/>
  <c r="AV227" i="10"/>
  <c r="AM227" i="10"/>
  <c r="AL227" i="10"/>
  <c r="BA152" i="10"/>
  <c r="AY152" i="10"/>
  <c r="BA125" i="10"/>
  <c r="AJ153" i="10"/>
  <c r="AI153" i="10"/>
  <c r="AW79" i="10"/>
  <c r="AS57" i="10"/>
  <c r="BD57" i="10"/>
  <c r="AN57" i="10"/>
  <c r="BC57" i="10"/>
  <c r="AM57" i="10"/>
  <c r="AK57" i="10"/>
  <c r="AU57" i="10"/>
  <c r="BB57" i="10"/>
  <c r="AV57" i="10"/>
  <c r="AT57" i="10"/>
  <c r="AL57" i="10"/>
  <c r="AU79" i="10"/>
  <c r="AI57" i="10"/>
  <c r="AT188" i="10"/>
  <c r="BE188" i="10"/>
  <c r="BI188" i="10"/>
  <c r="AX188" i="10"/>
  <c r="BC181" i="10"/>
  <c r="AP57" i="10"/>
  <c r="AJ111" i="10"/>
  <c r="AT103" i="10"/>
  <c r="AV103" i="10"/>
  <c r="BC79" i="10"/>
  <c r="AY64" i="10"/>
  <c r="BA64" i="10"/>
  <c r="BE57" i="10"/>
  <c r="AX209" i="10"/>
  <c r="AN178" i="10"/>
  <c r="AP178" i="10"/>
  <c r="AR178" i="10"/>
  <c r="BC178" i="10"/>
  <c r="AT123" i="10"/>
  <c r="AL123" i="10"/>
  <c r="AR123" i="10"/>
  <c r="AJ123" i="10"/>
  <c r="AW123" i="10"/>
  <c r="AK123" i="10"/>
  <c r="AV123" i="10"/>
  <c r="AI123" i="10"/>
  <c r="AU123" i="10"/>
  <c r="BE123" i="10"/>
  <c r="AS123" i="10"/>
  <c r="AN123" i="10"/>
  <c r="AM123" i="10"/>
  <c r="BD123" i="10"/>
  <c r="BC123" i="10"/>
  <c r="AQ123" i="10"/>
  <c r="AO123" i="10"/>
  <c r="AX78" i="10"/>
  <c r="AQ78" i="10"/>
  <c r="AU78" i="10"/>
  <c r="BE72" i="10"/>
  <c r="BI72" i="10"/>
  <c r="AV71" i="10"/>
  <c r="AR182" i="10"/>
  <c r="BE182" i="10"/>
  <c r="AJ164" i="10"/>
  <c r="AU164" i="10"/>
  <c r="BE164" i="10"/>
  <c r="AK141" i="10"/>
  <c r="AT82" i="10"/>
  <c r="BD82" i="10"/>
  <c r="AI82" i="10"/>
  <c r="AT60" i="10"/>
  <c r="AI71" i="10"/>
  <c r="AI51" i="10"/>
  <c r="AM162" i="10"/>
  <c r="BD162" i="10"/>
  <c r="BI31" i="10"/>
  <c r="AC31" i="10"/>
  <c r="AD31" i="10" s="1"/>
  <c r="AE31" i="10" s="1"/>
  <c r="AY143" i="10"/>
  <c r="BA143" i="10"/>
  <c r="BD54" i="10"/>
  <c r="AW43" i="10"/>
  <c r="AI43" i="10"/>
  <c r="BA25" i="10"/>
  <c r="AY25" i="10"/>
  <c r="AS13" i="10"/>
  <c r="AT52" i="10"/>
  <c r="AJ118" i="10"/>
  <c r="BB118" i="10"/>
  <c r="BE78" i="10"/>
  <c r="BD55" i="10"/>
  <c r="AV55" i="10"/>
  <c r="AN55" i="10"/>
  <c r="AL55" i="10"/>
  <c r="AK55" i="10"/>
  <c r="AJ55" i="10"/>
  <c r="AT55" i="10"/>
  <c r="AS55" i="10"/>
  <c r="AI55" i="10"/>
  <c r="AR55" i="10"/>
  <c r="AQ55" i="10"/>
  <c r="BF38" i="10"/>
  <c r="AL19" i="10"/>
  <c r="AV78" i="10"/>
  <c r="BA6" i="10"/>
  <c r="AO95" i="10"/>
  <c r="AU95" i="10"/>
  <c r="AX54" i="10"/>
  <c r="AS78" i="10"/>
  <c r="BD20" i="10"/>
  <c r="AP13" i="10"/>
  <c r="AI163" i="10"/>
  <c r="AV163" i="10"/>
  <c r="AW186" i="10"/>
  <c r="AV186" i="10"/>
  <c r="AP186" i="10"/>
  <c r="AP124" i="10"/>
  <c r="AI124" i="10"/>
  <c r="AU124" i="10"/>
  <c r="AT79" i="10"/>
  <c r="AJ75" i="10"/>
  <c r="BD75" i="10"/>
  <c r="AW44" i="10"/>
  <c r="BB44" i="10"/>
  <c r="AI78" i="10"/>
  <c r="AQ59" i="10"/>
  <c r="AT59" i="10"/>
  <c r="AP9" i="10"/>
  <c r="AX218" i="10"/>
  <c r="BD78" i="10"/>
  <c r="AR54" i="10"/>
  <c r="AQ54" i="10"/>
  <c r="AQ218" i="10"/>
  <c r="BE218" i="10"/>
  <c r="AL218" i="10"/>
  <c r="AN218" i="10"/>
  <c r="AT196" i="10"/>
  <c r="AR196" i="10"/>
  <c r="AQ196" i="10"/>
  <c r="AQ125" i="10"/>
  <c r="AK108" i="10"/>
  <c r="BD269" i="10"/>
  <c r="AV269" i="10"/>
  <c r="AN269" i="10"/>
  <c r="BC269" i="10"/>
  <c r="AU269" i="10"/>
  <c r="AM269" i="10"/>
  <c r="AK269" i="10"/>
  <c r="AQ269" i="10"/>
  <c r="AL269" i="10"/>
  <c r="AJ269" i="10"/>
  <c r="AT269" i="10"/>
  <c r="AR269" i="10"/>
  <c r="AI269" i="10"/>
  <c r="AS269" i="10"/>
  <c r="AZ125" i="10"/>
  <c r="AS100" i="10"/>
  <c r="AK100" i="10"/>
  <c r="AR100" i="10"/>
  <c r="AJ100" i="10"/>
  <c r="AQ100" i="10"/>
  <c r="AI100" i="10"/>
  <c r="BD100" i="10"/>
  <c r="AN100" i="10"/>
  <c r="BC100" i="10"/>
  <c r="AM100" i="10"/>
  <c r="AL100" i="10"/>
  <c r="AW100" i="10"/>
  <c r="BE100" i="10"/>
  <c r="AU100" i="10"/>
  <c r="AO100" i="10"/>
  <c r="AV100" i="10"/>
  <c r="AT100" i="10"/>
  <c r="AV177" i="10"/>
  <c r="AU177" i="10"/>
  <c r="AP177" i="10"/>
  <c r="AS177" i="10"/>
  <c r="AV130" i="10"/>
  <c r="AU130" i="10"/>
  <c r="AT130" i="10"/>
  <c r="AL130" i="10"/>
  <c r="BD130" i="10"/>
  <c r="BC130" i="10"/>
  <c r="AX130" i="10"/>
  <c r="AN130" i="10"/>
  <c r="BB130" i="10"/>
  <c r="AM130" i="10"/>
  <c r="AS130" i="10"/>
  <c r="AJ181" i="10"/>
  <c r="BC153" i="10"/>
  <c r="AV153" i="10"/>
  <c r="AV79" i="10"/>
  <c r="AS42" i="10"/>
  <c r="AK42" i="10"/>
  <c r="AR42" i="10"/>
  <c r="AJ42" i="10"/>
  <c r="AQ42" i="10"/>
  <c r="AI42" i="10"/>
  <c r="AW42" i="10"/>
  <c r="AV42" i="10"/>
  <c r="AU42" i="10"/>
  <c r="BE42" i="10"/>
  <c r="AO42" i="10"/>
  <c r="AN42" i="10"/>
  <c r="AM42" i="10"/>
  <c r="AL42" i="10"/>
  <c r="AT42" i="10"/>
  <c r="BD42" i="10"/>
  <c r="BC42" i="10"/>
  <c r="AW101" i="10"/>
  <c r="AN101" i="10"/>
  <c r="AM101" i="10"/>
  <c r="BD101" i="10"/>
  <c r="BC101" i="10"/>
  <c r="AX101" i="10"/>
  <c r="AS101" i="10"/>
  <c r="BC111" i="10"/>
  <c r="AV111" i="10"/>
  <c r="AO101" i="10"/>
  <c r="AP42" i="10"/>
  <c r="AY40" i="10"/>
  <c r="BA40" i="10"/>
  <c r="AT209" i="10"/>
  <c r="AL178" i="10"/>
  <c r="AQ110" i="10"/>
  <c r="AR110" i="10"/>
  <c r="AT110" i="10"/>
  <c r="AJ78" i="10"/>
  <c r="AU182" i="10"/>
  <c r="AN182" i="10"/>
  <c r="AT182" i="10"/>
  <c r="AK164" i="10"/>
  <c r="AX153" i="10"/>
  <c r="AQ141" i="10"/>
  <c r="AO141" i="10"/>
  <c r="AT141" i="10"/>
  <c r="AV141" i="10"/>
  <c r="AI110" i="10"/>
  <c r="BC82" i="10"/>
  <c r="AU82" i="10"/>
  <c r="AW82" i="10"/>
  <c r="AK60" i="10"/>
  <c r="AR159" i="10"/>
  <c r="AE93" i="10"/>
  <c r="AM54" i="10"/>
  <c r="AW54" i="10"/>
  <c r="AR26" i="10"/>
  <c r="AW19" i="10"/>
  <c r="AS19" i="10"/>
  <c r="AI19" i="10"/>
  <c r="AQ19" i="10"/>
  <c r="BB82" i="10"/>
  <c r="BA135" i="10"/>
  <c r="AY135" i="10"/>
  <c r="AL118" i="10"/>
  <c r="AR118" i="10"/>
  <c r="AO118" i="10"/>
  <c r="AO19" i="10"/>
  <c r="BB19" i="10"/>
  <c r="BD19" i="10"/>
  <c r="AQ95" i="10"/>
  <c r="AP95" i="10"/>
  <c r="AR72" i="10"/>
  <c r="AQ72" i="10"/>
  <c r="AI72" i="10"/>
  <c r="AU72" i="10"/>
  <c r="AK72" i="10"/>
  <c r="BD72" i="10"/>
  <c r="AZ72" i="10"/>
  <c r="AQ53" i="10"/>
  <c r="AZ53" i="10"/>
  <c r="BC72" i="10"/>
  <c r="AU20" i="10"/>
  <c r="AW20" i="10"/>
  <c r="AK159" i="10"/>
  <c r="BE186" i="10"/>
  <c r="AN186" i="10"/>
  <c r="AQ186" i="10"/>
  <c r="AS186" i="10"/>
  <c r="AV124" i="10"/>
  <c r="AK78" i="10"/>
  <c r="AX44" i="10"/>
  <c r="AS44" i="10"/>
  <c r="AY33" i="10"/>
  <c r="AJ18" i="10"/>
  <c r="AH18" i="10"/>
  <c r="AW18" i="10"/>
  <c r="AV18" i="10"/>
  <c r="BE18" i="10"/>
  <c r="AU71" i="10"/>
  <c r="AT218" i="10"/>
  <c r="AV218" i="10"/>
  <c r="AX125" i="10"/>
  <c r="AW125" i="10"/>
  <c r="AS125" i="10"/>
  <c r="AI125" i="10"/>
  <c r="BB108" i="10"/>
  <c r="AS108" i="10"/>
  <c r="AJ108" i="10"/>
  <c r="AV108" i="10"/>
  <c r="AU108" i="10"/>
  <c r="AO108" i="10"/>
  <c r="AN108" i="10"/>
  <c r="BE108" i="10"/>
  <c r="BD108" i="10"/>
  <c r="AX108" i="10"/>
  <c r="AM108" i="10"/>
  <c r="AL108" i="10"/>
  <c r="AW108" i="10"/>
  <c r="BC125" i="10"/>
  <c r="AS92" i="10"/>
  <c r="AK92" i="10"/>
  <c r="AR92" i="10"/>
  <c r="AJ92" i="10"/>
  <c r="AQ92" i="10"/>
  <c r="AI92" i="10"/>
  <c r="AV92" i="10"/>
  <c r="AU92" i="10"/>
  <c r="AT92" i="10"/>
  <c r="BE92" i="10"/>
  <c r="AO92" i="10"/>
  <c r="BD92" i="10"/>
  <c r="BC92" i="10"/>
  <c r="BB92" i="10"/>
  <c r="AN92" i="10"/>
  <c r="AM92" i="10"/>
  <c r="AL92" i="10"/>
  <c r="AW92" i="10"/>
  <c r="AR108" i="10"/>
  <c r="AX92" i="10"/>
  <c r="BE153" i="10"/>
  <c r="BE160" i="10"/>
  <c r="AV160" i="10"/>
  <c r="AM160" i="10"/>
  <c r="BD160" i="10"/>
  <c r="AU160" i="10"/>
  <c r="AL160" i="10"/>
  <c r="BC160" i="10"/>
  <c r="AT160" i="10"/>
  <c r="AK160" i="10"/>
  <c r="AR160" i="10"/>
  <c r="AI160" i="10"/>
  <c r="AN160" i="10"/>
  <c r="AJ160" i="10"/>
  <c r="AW160" i="10"/>
  <c r="AS160" i="10"/>
  <c r="AQ160" i="10"/>
  <c r="AO160" i="10"/>
  <c r="AX103" i="10"/>
  <c r="AW103" i="10"/>
  <c r="AR103" i="10"/>
  <c r="BE103" i="10"/>
  <c r="AZ103" i="10"/>
  <c r="AO103" i="10"/>
  <c r="AJ103" i="10"/>
  <c r="AP103" i="10"/>
  <c r="AI103" i="10"/>
  <c r="AX111" i="10"/>
  <c r="AQ111" i="10"/>
  <c r="AO111" i="10"/>
  <c r="AP111" i="10"/>
  <c r="AI111" i="10"/>
  <c r="BE111" i="10"/>
  <c r="BB111" i="10"/>
  <c r="AS103" i="10"/>
  <c r="AM103" i="10"/>
  <c r="AO178" i="10"/>
  <c r="AV178" i="10"/>
  <c r="AT178" i="10"/>
  <c r="AZ182" i="10"/>
  <c r="AP182" i="10"/>
  <c r="BD182" i="10"/>
  <c r="AW182" i="10"/>
  <c r="BB182" i="10"/>
  <c r="AL164" i="10"/>
  <c r="AN164" i="10"/>
  <c r="AS141" i="10"/>
  <c r="BE141" i="10"/>
  <c r="BB141" i="10"/>
  <c r="BD141" i="10"/>
  <c r="BB110" i="10"/>
  <c r="AN110" i="10"/>
  <c r="AJ82" i="10"/>
  <c r="AQ60" i="10"/>
  <c r="AS60" i="10"/>
  <c r="AM60" i="10"/>
  <c r="BD119" i="10"/>
  <c r="AV119" i="10"/>
  <c r="AN119" i="10"/>
  <c r="AK119" i="10"/>
  <c r="AW119" i="10"/>
  <c r="AJ119" i="10"/>
  <c r="AU119" i="10"/>
  <c r="AI119" i="10"/>
  <c r="AS119" i="10"/>
  <c r="AM119" i="10"/>
  <c r="BE119" i="10"/>
  <c r="BC119" i="10"/>
  <c r="AO119" i="10"/>
  <c r="AQ119" i="10"/>
  <c r="AZ119" i="10"/>
  <c r="AR119" i="10"/>
  <c r="AQ44" i="10"/>
  <c r="AI44" i="10"/>
  <c r="BD44" i="10"/>
  <c r="AO44" i="10"/>
  <c r="AN44" i="10"/>
  <c r="BE44" i="10"/>
  <c r="AK54" i="10"/>
  <c r="AU54" i="10"/>
  <c r="BE54" i="10"/>
  <c r="BD26" i="10"/>
  <c r="AN26" i="10"/>
  <c r="AH26" i="10"/>
  <c r="AX26" i="10"/>
  <c r="AM26" i="10"/>
  <c r="BE127" i="10"/>
  <c r="AW127" i="10"/>
  <c r="AO127" i="10"/>
  <c r="BD127" i="10"/>
  <c r="AV127" i="10"/>
  <c r="AN127" i="10"/>
  <c r="AK127" i="10"/>
  <c r="AJ127" i="10"/>
  <c r="AI127" i="10"/>
  <c r="AU127" i="10"/>
  <c r="BC127" i="10"/>
  <c r="AS127" i="10"/>
  <c r="AR127" i="10"/>
  <c r="AQ127" i="10"/>
  <c r="AM127" i="10"/>
  <c r="BC118" i="10"/>
  <c r="AW118" i="10"/>
  <c r="AJ19" i="10"/>
  <c r="AR95" i="10"/>
  <c r="AL95" i="10"/>
  <c r="AN95" i="10"/>
  <c r="AN71" i="10"/>
  <c r="BC20" i="10"/>
  <c r="AT163" i="10"/>
  <c r="AJ186" i="10"/>
  <c r="AX186" i="10"/>
  <c r="BB186" i="10"/>
  <c r="BE124" i="10"/>
  <c r="AW124" i="10"/>
  <c r="AL124" i="10"/>
  <c r="AM79" i="10"/>
  <c r="AJ44" i="10"/>
  <c r="AU44" i="10"/>
  <c r="AK34" i="10"/>
  <c r="AI34" i="10"/>
  <c r="AZ34" i="10"/>
  <c r="AQ34" i="10"/>
  <c r="AR34" i="10"/>
  <c r="AO34" i="10"/>
  <c r="BD34" i="10"/>
  <c r="AD24" i="10"/>
  <c r="AE24" i="10" s="1"/>
  <c r="BE59" i="10"/>
  <c r="BD59" i="10"/>
  <c r="AS59" i="10"/>
  <c r="AP54" i="10"/>
  <c r="BA29" i="10"/>
  <c r="AY29" i="10"/>
  <c r="BD216" i="10"/>
  <c r="AV216" i="10"/>
  <c r="BE216" i="10"/>
  <c r="AS216" i="10"/>
  <c r="AW218" i="10"/>
  <c r="AL196" i="10"/>
  <c r="AX196" i="10"/>
  <c r="BE210" i="10"/>
  <c r="BA269" i="10"/>
  <c r="AY269" i="10"/>
  <c r="AS84" i="10"/>
  <c r="AK84" i="10"/>
  <c r="AR84" i="10"/>
  <c r="AJ84" i="10"/>
  <c r="AQ84" i="10"/>
  <c r="AI84" i="10"/>
  <c r="BD84" i="10"/>
  <c r="AN84" i="10"/>
  <c r="BC84" i="10"/>
  <c r="AM84" i="10"/>
  <c r="AL84" i="10"/>
  <c r="AW84" i="10"/>
  <c r="AO84" i="10"/>
  <c r="BE84" i="10"/>
  <c r="AU84" i="10"/>
  <c r="AV84" i="10"/>
  <c r="AT84" i="10"/>
  <c r="AP179" i="10"/>
  <c r="BE179" i="10"/>
  <c r="AO179" i="10"/>
  <c r="AX179" i="10"/>
  <c r="AW179" i="10"/>
  <c r="AR179" i="10"/>
  <c r="AJ179" i="10"/>
  <c r="AO177" i="10"/>
  <c r="AR177" i="10"/>
  <c r="AQ189" i="10"/>
  <c r="AW130" i="10"/>
  <c r="AR130" i="10"/>
  <c r="AP92" i="10"/>
  <c r="AO153" i="10"/>
  <c r="AZ100" i="10"/>
  <c r="AK79" i="10"/>
  <c r="AS58" i="10"/>
  <c r="AK58" i="10"/>
  <c r="AR58" i="10"/>
  <c r="AJ58" i="10"/>
  <c r="AQ58" i="10"/>
  <c r="AI58" i="10"/>
  <c r="AU58" i="10"/>
  <c r="AT58" i="10"/>
  <c r="BE58" i="10"/>
  <c r="AO58" i="10"/>
  <c r="BC58" i="10"/>
  <c r="AM58" i="10"/>
  <c r="AL58" i="10"/>
  <c r="AN58" i="10"/>
  <c r="BD58" i="10"/>
  <c r="AW58" i="10"/>
  <c r="AV58" i="10"/>
  <c r="AP188" i="10"/>
  <c r="AI188" i="10"/>
  <c r="AQ149" i="10"/>
  <c r="AP149" i="10"/>
  <c r="AJ149" i="10"/>
  <c r="AX149" i="10"/>
  <c r="AV149" i="10"/>
  <c r="AT149" i="10"/>
  <c r="AK149" i="10"/>
  <c r="BE149" i="10"/>
  <c r="AS149" i="10"/>
  <c r="AO149" i="10"/>
  <c r="AL149" i="10"/>
  <c r="BD149" i="10"/>
  <c r="AR101" i="10"/>
  <c r="AT153" i="10"/>
  <c r="AK111" i="10"/>
  <c r="AU103" i="10"/>
  <c r="AQ209" i="10"/>
  <c r="AO209" i="10"/>
  <c r="AQ178" i="10"/>
  <c r="AW178" i="10"/>
  <c r="BB178" i="10"/>
  <c r="AM82" i="10"/>
  <c r="AL82" i="10"/>
  <c r="AK82" i="10"/>
  <c r="AE67" i="10"/>
  <c r="BE60" i="10"/>
  <c r="AX60" i="10"/>
  <c r="AI60" i="10"/>
  <c r="AW60" i="10"/>
  <c r="AO60" i="10"/>
  <c r="BI11" i="10"/>
  <c r="BB11" i="10"/>
  <c r="AX164" i="10"/>
  <c r="AT164" i="10"/>
  <c r="AJ141" i="10"/>
  <c r="AJ110" i="10"/>
  <c r="AW110" i="10"/>
  <c r="AZ82" i="10"/>
  <c r="AJ60" i="10"/>
  <c r="AU60" i="10"/>
  <c r="AY119" i="10"/>
  <c r="BA119" i="10"/>
  <c r="AP60" i="10"/>
  <c r="AU51" i="10"/>
  <c r="AX51" i="10"/>
  <c r="AM51" i="10"/>
  <c r="BE51" i="10"/>
  <c r="BC51" i="10"/>
  <c r="AW51" i="10"/>
  <c r="AO51" i="10"/>
  <c r="AS51" i="10"/>
  <c r="AR82" i="10"/>
  <c r="AN60" i="10"/>
  <c r="AX43" i="10"/>
  <c r="AV43" i="10"/>
  <c r="AU43" i="10"/>
  <c r="AS43" i="10"/>
  <c r="AU26" i="10"/>
  <c r="BD13" i="10"/>
  <c r="BC13" i="10"/>
  <c r="AN13" i="10"/>
  <c r="AM13" i="10"/>
  <c r="AZ127" i="10"/>
  <c r="AM118" i="10"/>
  <c r="AP118" i="10"/>
  <c r="BE118" i="10"/>
  <c r="AR19" i="10"/>
  <c r="AM19" i="10"/>
  <c r="AI95" i="10"/>
  <c r="AT95" i="10"/>
  <c r="AV95" i="10"/>
  <c r="AZ20" i="10"/>
  <c r="AL20" i="10"/>
  <c r="AJ20" i="10"/>
  <c r="BB20" i="10"/>
  <c r="AI20" i="10"/>
  <c r="AK20" i="10"/>
  <c r="AU163" i="10"/>
  <c r="AT124" i="10"/>
  <c r="AQ106" i="10"/>
  <c r="AP106" i="10"/>
  <c r="AJ106" i="10"/>
  <c r="AV106" i="10"/>
  <c r="AU106" i="10"/>
  <c r="AT106" i="10"/>
  <c r="BC106" i="10"/>
  <c r="AS106" i="10"/>
  <c r="AM106" i="10"/>
  <c r="AK106" i="10"/>
  <c r="BD106" i="10"/>
  <c r="AL106" i="10"/>
  <c r="AP79" i="10"/>
  <c r="AP44" i="10"/>
  <c r="AR44" i="10"/>
  <c r="BC44" i="10"/>
  <c r="AJ34" i="10"/>
  <c r="AH34" i="10"/>
  <c r="AQ18" i="10"/>
  <c r="BI18" i="10"/>
  <c r="BI8" i="10"/>
  <c r="AC8" i="10"/>
  <c r="AD8" i="10" s="1"/>
  <c r="AE8" i="10" s="1"/>
  <c r="AX59" i="10"/>
  <c r="AJ59" i="10"/>
  <c r="BI34" i="10"/>
  <c r="AG174" i="10" l="1"/>
  <c r="AG2" i="10"/>
  <c r="AY241" i="10"/>
  <c r="AY100" i="10"/>
  <c r="AY120" i="10"/>
  <c r="BH174" i="10"/>
  <c r="AY66" i="10"/>
  <c r="BH2" i="10"/>
  <c r="AY104" i="10"/>
  <c r="AY70" i="10"/>
  <c r="AX19" i="10"/>
  <c r="BC24" i="10"/>
  <c r="AT19" i="10"/>
  <c r="AK11" i="10"/>
  <c r="BC47" i="10"/>
  <c r="AW47" i="10"/>
  <c r="AU47" i="10"/>
  <c r="BE47" i="10"/>
  <c r="AL16" i="10"/>
  <c r="AR16" i="10"/>
  <c r="AN16" i="10"/>
  <c r="AS16" i="10"/>
  <c r="BE19" i="10"/>
  <c r="AZ47" i="10"/>
  <c r="AY92" i="10"/>
  <c r="AG327" i="10"/>
  <c r="AG219" i="10"/>
  <c r="BH278" i="10"/>
  <c r="BH342" i="10"/>
  <c r="BH300" i="10"/>
  <c r="AY168" i="10"/>
  <c r="AG168" i="10" s="1"/>
  <c r="AY317" i="10"/>
  <c r="AG241" i="10"/>
  <c r="BH90" i="10"/>
  <c r="AG172" i="10"/>
  <c r="BH327" i="10"/>
  <c r="BA206" i="10"/>
  <c r="AY206" i="10"/>
  <c r="AG206" i="10" s="1"/>
  <c r="AG176" i="10"/>
  <c r="AX9" i="10"/>
  <c r="BA58" i="10"/>
  <c r="AY190" i="10"/>
  <c r="BA190" i="10"/>
  <c r="AG158" i="10"/>
  <c r="BE9" i="10"/>
  <c r="AE73" i="10"/>
  <c r="AW73" i="10"/>
  <c r="DE73" i="10" s="1"/>
  <c r="AT73" i="10"/>
  <c r="DB73" i="10" s="1"/>
  <c r="BC73" i="10"/>
  <c r="DN73" i="10" s="1"/>
  <c r="BE73" i="10"/>
  <c r="AU73" i="10"/>
  <c r="DC73" i="10" s="1"/>
  <c r="AV73" i="10"/>
  <c r="DD73" i="10" s="1"/>
  <c r="AX73" i="10"/>
  <c r="DF73" i="10" s="1"/>
  <c r="AK73" i="10"/>
  <c r="CS73" i="10" s="1"/>
  <c r="AQ73" i="10"/>
  <c r="CY73" i="10" s="1"/>
  <c r="AL73" i="10"/>
  <c r="CT73" i="10" s="1"/>
  <c r="AO73" i="10"/>
  <c r="CW73" i="10" s="1"/>
  <c r="AI73" i="10"/>
  <c r="CQ73" i="10" s="1"/>
  <c r="AM73" i="10"/>
  <c r="CU73" i="10" s="1"/>
  <c r="BD73" i="10"/>
  <c r="DO73" i="10" s="1"/>
  <c r="AP73" i="10"/>
  <c r="CX73" i="10" s="1"/>
  <c r="AR73" i="10"/>
  <c r="CZ73" i="10" s="1"/>
  <c r="AS73" i="10"/>
  <c r="DA73" i="10" s="1"/>
  <c r="AN73" i="10"/>
  <c r="CV73" i="10" s="1"/>
  <c r="AJ73" i="10"/>
  <c r="CR73" i="10" s="1"/>
  <c r="AP24" i="10"/>
  <c r="BB24" i="10"/>
  <c r="BB18" i="10"/>
  <c r="AI11" i="10"/>
  <c r="BA184" i="10"/>
  <c r="AY65" i="10"/>
  <c r="BH65" i="10" s="1"/>
  <c r="BB26" i="10"/>
  <c r="AG76" i="10"/>
  <c r="BH262" i="10"/>
  <c r="AZ73" i="10"/>
  <c r="DH73" i="10" s="1"/>
  <c r="AI26" i="10"/>
  <c r="AZ11" i="10"/>
  <c r="AS26" i="10"/>
  <c r="AP26" i="10"/>
  <c r="AP18" i="10"/>
  <c r="AZ18" i="10"/>
  <c r="AG135" i="10"/>
  <c r="AG318" i="10"/>
  <c r="AS24" i="10"/>
  <c r="BD24" i="10"/>
  <c r="BB7" i="10"/>
  <c r="BD11" i="10"/>
  <c r="AZ26" i="10"/>
  <c r="BB73" i="10"/>
  <c r="DJ73" i="10" s="1"/>
  <c r="AP11" i="10"/>
  <c r="AV26" i="10"/>
  <c r="BH277" i="10"/>
  <c r="AG25" i="10"/>
  <c r="AU11" i="10"/>
  <c r="AY50" i="10"/>
  <c r="BH50" i="10" s="1"/>
  <c r="AV11" i="10"/>
  <c r="AU18" i="10"/>
  <c r="AO26" i="10"/>
  <c r="AM18" i="10"/>
  <c r="AX18" i="10"/>
  <c r="BH158" i="10"/>
  <c r="BA246" i="10"/>
  <c r="AU24" i="10"/>
  <c r="AV24" i="10"/>
  <c r="AY225" i="10"/>
  <c r="BH225" i="10" s="1"/>
  <c r="AJ7" i="10"/>
  <c r="AM7" i="10"/>
  <c r="AJ24" i="10"/>
  <c r="AN24" i="10"/>
  <c r="BC18" i="10"/>
  <c r="AJ11" i="10"/>
  <c r="AI18" i="10"/>
  <c r="BE26" i="10"/>
  <c r="AS18" i="10"/>
  <c r="AN18" i="10"/>
  <c r="AT26" i="10"/>
  <c r="AK24" i="10"/>
  <c r="AL24" i="10"/>
  <c r="BA56" i="10"/>
  <c r="BH56" i="10" s="1"/>
  <c r="AR7" i="10"/>
  <c r="AK18" i="10"/>
  <c r="BA204" i="10"/>
  <c r="BH204" i="10" s="1"/>
  <c r="BH176" i="10"/>
  <c r="AD40" i="10"/>
  <c r="AE40" i="10" s="1"/>
  <c r="AT11" i="10"/>
  <c r="AW26" i="10"/>
  <c r="AI24" i="10"/>
  <c r="AX24" i="10"/>
  <c r="AL11" i="10"/>
  <c r="BD18" i="10"/>
  <c r="AO18" i="10"/>
  <c r="AM24" i="10"/>
  <c r="AL18" i="10"/>
  <c r="AQ11" i="10"/>
  <c r="AG220" i="10"/>
  <c r="BH333" i="10"/>
  <c r="AG10" i="10"/>
  <c r="BA288" i="10"/>
  <c r="BH288" i="10" s="1"/>
  <c r="AG317" i="10"/>
  <c r="AG6" i="10"/>
  <c r="AV5" i="10"/>
  <c r="DD5" i="10" s="1"/>
  <c r="AS11" i="10"/>
  <c r="AN11" i="10"/>
  <c r="AZ24" i="10"/>
  <c r="BC11" i="10"/>
  <c r="AT5" i="10"/>
  <c r="DB5" i="10" s="1"/>
  <c r="AZ19" i="10"/>
  <c r="BE24" i="10"/>
  <c r="AM11" i="10"/>
  <c r="AW24" i="10"/>
  <c r="AK5" i="10"/>
  <c r="CS5" i="10" s="1"/>
  <c r="AW11" i="10"/>
  <c r="BA222" i="10"/>
  <c r="BH222" i="10" s="1"/>
  <c r="BA181" i="10"/>
  <c r="BH181" i="10" s="1"/>
  <c r="AY242" i="10"/>
  <c r="BH242" i="10" s="1"/>
  <c r="AY154" i="10"/>
  <c r="AG154" i="10" s="1"/>
  <c r="AY338" i="10"/>
  <c r="AG338" i="10" s="1"/>
  <c r="AY276" i="10"/>
  <c r="BH276" i="10" s="1"/>
  <c r="AY243" i="10"/>
  <c r="BH243" i="10" s="1"/>
  <c r="AY268" i="10"/>
  <c r="AG268" i="10" s="1"/>
  <c r="BA275" i="10"/>
  <c r="BH275" i="10" s="1"/>
  <c r="BA71" i="10"/>
  <c r="BH71" i="10" s="1"/>
  <c r="BA267" i="10"/>
  <c r="BH267" i="10" s="1"/>
  <c r="AY148" i="10"/>
  <c r="AG148" i="10" s="1"/>
  <c r="AY231" i="10"/>
  <c r="BH231" i="10" s="1"/>
  <c r="AY117" i="10"/>
  <c r="AG117" i="10" s="1"/>
  <c r="BA48" i="10"/>
  <c r="BH48" i="10" s="1"/>
  <c r="BA274" i="10"/>
  <c r="BH274" i="10" s="1"/>
  <c r="AY137" i="10"/>
  <c r="BH137" i="10" s="1"/>
  <c r="AY45" i="10"/>
  <c r="AG45" i="10" s="1"/>
  <c r="BH104" i="10"/>
  <c r="AY87" i="10"/>
  <c r="AG87" i="10" s="1"/>
  <c r="BA340" i="10"/>
  <c r="BH340" i="10" s="1"/>
  <c r="BA21" i="10"/>
  <c r="BH21" i="10" s="1"/>
  <c r="BA230" i="10"/>
  <c r="BH230" i="10" s="1"/>
  <c r="BH76" i="10"/>
  <c r="BA266" i="10"/>
  <c r="BH266" i="10" s="1"/>
  <c r="AY116" i="10"/>
  <c r="AG116" i="10" s="1"/>
  <c r="AY192" i="10"/>
  <c r="BH192" i="10" s="1"/>
  <c r="BA283" i="10"/>
  <c r="BH283" i="10" s="1"/>
  <c r="BA146" i="10"/>
  <c r="BH146" i="10" s="1"/>
  <c r="BA78" i="10"/>
  <c r="BH78" i="10" s="1"/>
  <c r="BA280" i="10"/>
  <c r="BH280" i="10" s="1"/>
  <c r="BA257" i="10"/>
  <c r="BH257" i="10" s="1"/>
  <c r="AY178" i="10"/>
  <c r="AG178" i="10" s="1"/>
  <c r="BA112" i="10"/>
  <c r="BH112" i="10" s="1"/>
  <c r="AG221" i="10"/>
  <c r="AY46" i="10"/>
  <c r="BH46" i="10" s="1"/>
  <c r="BA177" i="10"/>
  <c r="BH177" i="10" s="1"/>
  <c r="BA344" i="10"/>
  <c r="BH344" i="10" s="1"/>
  <c r="BA102" i="10"/>
  <c r="BH102" i="10" s="1"/>
  <c r="BA74" i="10"/>
  <c r="BH74" i="10" s="1"/>
  <c r="BA118" i="10"/>
  <c r="BH118" i="10" s="1"/>
  <c r="AG255" i="10"/>
  <c r="BH98" i="10"/>
  <c r="AG244" i="10"/>
  <c r="BA287" i="10"/>
  <c r="BH287" i="10" s="1"/>
  <c r="AG282" i="10"/>
  <c r="AG90" i="10"/>
  <c r="AY203" i="10"/>
  <c r="AG203" i="10" s="1"/>
  <c r="AY312" i="10"/>
  <c r="BH312" i="10" s="1"/>
  <c r="BA156" i="10"/>
  <c r="BH156" i="10" s="1"/>
  <c r="AY179" i="10"/>
  <c r="BH179" i="10" s="1"/>
  <c r="AG340" i="10"/>
  <c r="AY247" i="10"/>
  <c r="AG247" i="10" s="1"/>
  <c r="AY159" i="10"/>
  <c r="AG159" i="10" s="1"/>
  <c r="BH223" i="10"/>
  <c r="AG240" i="10"/>
  <c r="BH107" i="10"/>
  <c r="AY196" i="10"/>
  <c r="BH196" i="10" s="1"/>
  <c r="BA209" i="10"/>
  <c r="BH209" i="10" s="1"/>
  <c r="AG129" i="10"/>
  <c r="AG213" i="10"/>
  <c r="AG173" i="10"/>
  <c r="BH221" i="10"/>
  <c r="AG105" i="10"/>
  <c r="AG112" i="10"/>
  <c r="BH168" i="10"/>
  <c r="BH91" i="10"/>
  <c r="AG144" i="10"/>
  <c r="AG166" i="10"/>
  <c r="AG233" i="10"/>
  <c r="BH136" i="10"/>
  <c r="BH244" i="10"/>
  <c r="AG80" i="10"/>
  <c r="AY343" i="10"/>
  <c r="AG343" i="10" s="1"/>
  <c r="BH166" i="10"/>
  <c r="BA134" i="10"/>
  <c r="AY134" i="10"/>
  <c r="AG134" i="10" s="1"/>
  <c r="AG33" i="10"/>
  <c r="BH135" i="10"/>
  <c r="BH241" i="10"/>
  <c r="AG180" i="10"/>
  <c r="BH144" i="10"/>
  <c r="AG304" i="10"/>
  <c r="BH253" i="10"/>
  <c r="AG21" i="10"/>
  <c r="BH331" i="10"/>
  <c r="AY336" i="10"/>
  <c r="AG336" i="10" s="1"/>
  <c r="BA336" i="10"/>
  <c r="BA115" i="10"/>
  <c r="AY115" i="10"/>
  <c r="AG115" i="10" s="1"/>
  <c r="AG121" i="10"/>
  <c r="BH63" i="10"/>
  <c r="AY199" i="10"/>
  <c r="AG199" i="10" s="1"/>
  <c r="BA199" i="10"/>
  <c r="BA169" i="10"/>
  <c r="BH169" i="10" s="1"/>
  <c r="BA75" i="10"/>
  <c r="BH75" i="10" s="1"/>
  <c r="BA260" i="10"/>
  <c r="BH260" i="10" s="1"/>
  <c r="AY53" i="10"/>
  <c r="AG53" i="10" s="1"/>
  <c r="AG128" i="10"/>
  <c r="AY89" i="10"/>
  <c r="AG89" i="10" s="1"/>
  <c r="BH317" i="10"/>
  <c r="BH234" i="10"/>
  <c r="BA213" i="10"/>
  <c r="BH213" i="10" s="1"/>
  <c r="AY82" i="10"/>
  <c r="BH82" i="10" s="1"/>
  <c r="BH309" i="10"/>
  <c r="BA86" i="10"/>
  <c r="BH86" i="10" s="1"/>
  <c r="AG191" i="10"/>
  <c r="AG293" i="10"/>
  <c r="BH180" i="10"/>
  <c r="AG29" i="10"/>
  <c r="AG91" i="10"/>
  <c r="AG285" i="10"/>
  <c r="AG184" i="10"/>
  <c r="BH80" i="10"/>
  <c r="AG70" i="10"/>
  <c r="BA216" i="10"/>
  <c r="BH216" i="10" s="1"/>
  <c r="BH255" i="10"/>
  <c r="AG161" i="10"/>
  <c r="BH233" i="10"/>
  <c r="AY270" i="10"/>
  <c r="AG270" i="10" s="1"/>
  <c r="BA270" i="10"/>
  <c r="BA250" i="10"/>
  <c r="BH250" i="10" s="1"/>
  <c r="AG107" i="10"/>
  <c r="AG104" i="10"/>
  <c r="AG152" i="10"/>
  <c r="AG232" i="10"/>
  <c r="BH282" i="10"/>
  <c r="AG157" i="10"/>
  <c r="BH39" i="10"/>
  <c r="BA157" i="10"/>
  <c r="BH157" i="10" s="1"/>
  <c r="AG136" i="10"/>
  <c r="AG204" i="10"/>
  <c r="AG183" i="10"/>
  <c r="BA99" i="10"/>
  <c r="AY99" i="10"/>
  <c r="AG99" i="10" s="1"/>
  <c r="AG64" i="10"/>
  <c r="BH105" i="10"/>
  <c r="AP5" i="10"/>
  <c r="CX5" i="10" s="1"/>
  <c r="AY238" i="10"/>
  <c r="BH238" i="10" s="1"/>
  <c r="BH293" i="10"/>
  <c r="AY201" i="10"/>
  <c r="BH201" i="10" s="1"/>
  <c r="AY320" i="10"/>
  <c r="AG320" i="10" s="1"/>
  <c r="AY313" i="10"/>
  <c r="AG313" i="10" s="1"/>
  <c r="BA313" i="10"/>
  <c r="AY7" i="10"/>
  <c r="BA7" i="10"/>
  <c r="BA121" i="10"/>
  <c r="BH121" i="10" s="1"/>
  <c r="AY93" i="10"/>
  <c r="AG93" i="10" s="1"/>
  <c r="BB38" i="10"/>
  <c r="AY299" i="10"/>
  <c r="BH299" i="10" s="1"/>
  <c r="BA20" i="10"/>
  <c r="BH20" i="10" s="1"/>
  <c r="AG205" i="10"/>
  <c r="AG342" i="10"/>
  <c r="AS5" i="10"/>
  <c r="DA5" i="10" s="1"/>
  <c r="AM5" i="10"/>
  <c r="CU5" i="10" s="1"/>
  <c r="AG56" i="10"/>
  <c r="AN34" i="10"/>
  <c r="AW5" i="10"/>
  <c r="DE5" i="10" s="1"/>
  <c r="AL26" i="10"/>
  <c r="AQ26" i="10"/>
  <c r="AJ26" i="10"/>
  <c r="AO11" i="10"/>
  <c r="BE11" i="10"/>
  <c r="AX11" i="10"/>
  <c r="BA334" i="10"/>
  <c r="AY334" i="10"/>
  <c r="AG334" i="10" s="1"/>
  <c r="AY141" i="10"/>
  <c r="AG141" i="10" s="1"/>
  <c r="BA141" i="10"/>
  <c r="AG74" i="10"/>
  <c r="AG209" i="10"/>
  <c r="AE7" i="10"/>
  <c r="AQ5" i="10"/>
  <c r="CY5" i="10" s="1"/>
  <c r="AO5" i="10"/>
  <c r="CW5" i="10" s="1"/>
  <c r="AY237" i="10"/>
  <c r="BH237" i="10" s="1"/>
  <c r="AY162" i="10"/>
  <c r="AG162" i="10" s="1"/>
  <c r="BH161" i="10"/>
  <c r="AP34" i="10"/>
  <c r="BB34" i="10"/>
  <c r="AR18" i="10"/>
  <c r="AK26" i="10"/>
  <c r="BC7" i="10"/>
  <c r="AI7" i="10"/>
  <c r="BE7" i="10"/>
  <c r="AQ7" i="10"/>
  <c r="AS7" i="10"/>
  <c r="AW7" i="10"/>
  <c r="AO7" i="10"/>
  <c r="AU7" i="10"/>
  <c r="BA214" i="10"/>
  <c r="AY214" i="10"/>
  <c r="AG214" i="10" s="1"/>
  <c r="BA251" i="10"/>
  <c r="AY251" i="10"/>
  <c r="AG251" i="10" s="1"/>
  <c r="AG17" i="10"/>
  <c r="BA126" i="10"/>
  <c r="AY126" i="10"/>
  <c r="AG108" i="10"/>
  <c r="AG75" i="10"/>
  <c r="BA285" i="10"/>
  <c r="BH285" i="10" s="1"/>
  <c r="BH307" i="10"/>
  <c r="AJ5" i="10"/>
  <c r="CR5" i="10" s="1"/>
  <c r="AG145" i="10"/>
  <c r="BH240" i="10"/>
  <c r="BA341" i="10"/>
  <c r="AY341" i="10"/>
  <c r="AG341" i="10" s="1"/>
  <c r="BC34" i="10"/>
  <c r="AG253" i="10"/>
  <c r="AX5" i="10"/>
  <c r="DF5" i="10" s="1"/>
  <c r="BH304" i="10"/>
  <c r="BH128" i="10"/>
  <c r="AG150" i="10"/>
  <c r="AS34" i="10"/>
  <c r="AX34" i="10"/>
  <c r="BA183" i="10"/>
  <c r="BH183" i="10" s="1"/>
  <c r="BE5" i="10"/>
  <c r="AY5" i="10" s="1"/>
  <c r="DG5" i="10" s="1"/>
  <c r="BH184" i="10"/>
  <c r="BE34" i="10"/>
  <c r="BA83" i="10"/>
  <c r="AY83" i="10"/>
  <c r="AG83" i="10" s="1"/>
  <c r="BA226" i="10"/>
  <c r="AY226" i="10"/>
  <c r="AG226" i="10" s="1"/>
  <c r="AY194" i="10"/>
  <c r="AG194" i="10" s="1"/>
  <c r="BA194" i="10"/>
  <c r="AK19" i="10"/>
  <c r="BC19" i="10"/>
  <c r="AP19" i="10"/>
  <c r="AV19" i="10"/>
  <c r="AU19" i="10"/>
  <c r="BB16" i="10"/>
  <c r="AY138" i="10"/>
  <c r="AG138" i="10" s="1"/>
  <c r="BA138" i="10"/>
  <c r="AG48" i="10"/>
  <c r="BH152" i="10"/>
  <c r="BA228" i="10"/>
  <c r="BH228" i="10" s="1"/>
  <c r="AY239" i="10"/>
  <c r="AG239" i="10" s="1"/>
  <c r="AI5" i="10"/>
  <c r="CQ5" i="10" s="1"/>
  <c r="AU5" i="10"/>
  <c r="DC5" i="10" s="1"/>
  <c r="AT34" i="10"/>
  <c r="AG198" i="10"/>
  <c r="AY81" i="10"/>
  <c r="AG81" i="10" s="1"/>
  <c r="BA81" i="10"/>
  <c r="AY97" i="10"/>
  <c r="AG97" i="10" s="1"/>
  <c r="BA97" i="10"/>
  <c r="BA218" i="10"/>
  <c r="AY218" i="10"/>
  <c r="AG218" i="10" s="1"/>
  <c r="AY47" i="10"/>
  <c r="BA47" i="10"/>
  <c r="AZ7" i="10"/>
  <c r="AG63" i="10"/>
  <c r="BH195" i="10"/>
  <c r="AG195" i="10"/>
  <c r="BH198" i="10"/>
  <c r="BH109" i="10"/>
  <c r="BH191" i="10"/>
  <c r="BH10" i="10"/>
  <c r="BH55" i="10"/>
  <c r="AG109" i="10"/>
  <c r="BH129" i="10"/>
  <c r="BH311" i="10"/>
  <c r="BH96" i="10"/>
  <c r="BH296" i="10"/>
  <c r="BH70" i="10"/>
  <c r="AG311" i="10"/>
  <c r="AG309" i="10"/>
  <c r="BH298" i="10"/>
  <c r="AG171" i="10"/>
  <c r="AG271" i="10"/>
  <c r="BH323" i="10"/>
  <c r="AG122" i="10"/>
  <c r="AG96" i="10"/>
  <c r="AG228" i="10"/>
  <c r="BH42" i="10"/>
  <c r="BH269" i="10"/>
  <c r="BH84" i="10"/>
  <c r="AG39" i="10"/>
  <c r="AG59" i="10"/>
  <c r="AG52" i="10"/>
  <c r="BH264" i="10"/>
  <c r="AG344" i="10"/>
  <c r="BH172" i="10"/>
  <c r="BH205" i="10"/>
  <c r="BH100" i="10"/>
  <c r="BH236" i="10"/>
  <c r="BH142" i="10"/>
  <c r="BH273" i="10"/>
  <c r="AG254" i="10"/>
  <c r="BH210" i="10"/>
  <c r="BH131" i="10"/>
  <c r="BH315" i="10"/>
  <c r="BH219" i="10"/>
  <c r="BH345" i="10"/>
  <c r="BH25" i="10"/>
  <c r="BH207" i="10"/>
  <c r="BH62" i="10"/>
  <c r="BH49" i="10"/>
  <c r="AG187" i="10"/>
  <c r="AG249" i="10"/>
  <c r="BH254" i="10"/>
  <c r="BH326" i="10"/>
  <c r="AG106" i="10"/>
  <c r="BH29" i="10"/>
  <c r="BH119" i="10"/>
  <c r="BH186" i="10"/>
  <c r="BH95" i="10"/>
  <c r="BH68" i="10"/>
  <c r="BH324" i="10"/>
  <c r="AG88" i="10"/>
  <c r="BH319" i="10"/>
  <c r="BH263" i="10"/>
  <c r="BH337" i="10"/>
  <c r="BH88" i="10"/>
  <c r="BH261" i="10"/>
  <c r="BH110" i="10"/>
  <c r="BH197" i="10"/>
  <c r="BH187" i="10"/>
  <c r="BH190" i="10"/>
  <c r="AG345" i="10"/>
  <c r="AG65" i="10"/>
  <c r="BH292" i="10"/>
  <c r="BH185" i="10"/>
  <c r="BH155" i="10"/>
  <c r="BH182" i="10"/>
  <c r="BH175" i="10"/>
  <c r="BH94" i="10"/>
  <c r="BH147" i="10"/>
  <c r="BH286" i="10"/>
  <c r="BH111" i="10"/>
  <c r="BH245" i="10"/>
  <c r="BH127" i="10"/>
  <c r="BH6" i="10"/>
  <c r="AG189" i="10"/>
  <c r="BH167" i="10"/>
  <c r="BH229" i="10"/>
  <c r="BH284" i="10"/>
  <c r="BH297" i="10"/>
  <c r="BH318" i="10"/>
  <c r="AG283" i="10"/>
  <c r="AG230" i="10"/>
  <c r="BH256" i="10"/>
  <c r="BH145" i="10"/>
  <c r="BH202" i="10"/>
  <c r="BH120" i="10"/>
  <c r="BH58" i="10"/>
  <c r="BH165" i="10"/>
  <c r="AG111" i="10"/>
  <c r="BH173" i="10"/>
  <c r="BH215" i="10"/>
  <c r="BH160" i="10"/>
  <c r="BH153" i="10"/>
  <c r="BH139" i="10"/>
  <c r="AG190" i="10"/>
  <c r="BH235" i="10"/>
  <c r="AG267" i="10"/>
  <c r="BH294" i="10"/>
  <c r="BH106" i="10"/>
  <c r="AG85" i="10"/>
  <c r="AG308" i="10"/>
  <c r="BH44" i="10"/>
  <c r="AG305" i="10"/>
  <c r="AG113" i="10"/>
  <c r="AG67" i="10"/>
  <c r="BH40" i="10"/>
  <c r="AG151" i="10"/>
  <c r="BH321" i="10"/>
  <c r="BH232" i="10"/>
  <c r="BH17" i="10"/>
  <c r="BH132" i="10"/>
  <c r="BH206" i="10"/>
  <c r="BH227" i="10"/>
  <c r="AG323" i="10"/>
  <c r="BH133" i="10"/>
  <c r="AG169" i="10"/>
  <c r="BH79" i="10"/>
  <c r="BH108" i="10"/>
  <c r="AG118" i="10"/>
  <c r="BH149" i="10"/>
  <c r="AG79" i="10"/>
  <c r="BH92" i="10"/>
  <c r="AG125" i="10"/>
  <c r="BH33" i="10"/>
  <c r="AG54" i="10"/>
  <c r="AG182" i="10"/>
  <c r="BH143" i="10"/>
  <c r="AG71" i="10"/>
  <c r="BH64" i="10"/>
  <c r="AG210" i="10"/>
  <c r="AG248" i="10"/>
  <c r="BH258" i="10"/>
  <c r="AG258" i="10"/>
  <c r="BH224" i="10"/>
  <c r="BH66" i="10"/>
  <c r="BH265" i="10"/>
  <c r="AG280" i="10"/>
  <c r="AG222" i="10"/>
  <c r="BH248" i="10"/>
  <c r="AG286" i="10"/>
  <c r="BH124" i="10"/>
  <c r="BH163" i="10"/>
  <c r="AG275" i="10"/>
  <c r="BH279" i="10"/>
  <c r="AG236" i="10"/>
  <c r="BH41" i="10"/>
  <c r="BH220" i="10"/>
  <c r="BH193" i="10"/>
  <c r="AQ38" i="10"/>
  <c r="AE38" i="10"/>
  <c r="AU38" i="10"/>
  <c r="AJ38" i="10"/>
  <c r="BE38" i="10"/>
  <c r="AL38" i="10"/>
  <c r="AM38" i="10"/>
  <c r="AR38" i="10"/>
  <c r="BD38" i="10"/>
  <c r="AN38" i="10"/>
  <c r="AO38" i="10"/>
  <c r="AT38" i="10"/>
  <c r="AP38" i="10"/>
  <c r="AS38" i="10"/>
  <c r="AX38" i="10"/>
  <c r="AV38" i="10"/>
  <c r="AK38" i="10"/>
  <c r="AW38" i="10"/>
  <c r="BC38" i="10"/>
  <c r="AI38" i="10"/>
  <c r="BA13" i="10"/>
  <c r="AY13" i="10"/>
  <c r="AG13" i="10" s="1"/>
  <c r="AY51" i="10"/>
  <c r="AG51" i="10" s="1"/>
  <c r="BA51" i="10"/>
  <c r="BA32" i="10"/>
  <c r="AY32" i="10"/>
  <c r="AG32" i="10" s="1"/>
  <c r="AY188" i="10"/>
  <c r="AG188" i="10" s="1"/>
  <c r="BA188" i="10"/>
  <c r="AY200" i="10"/>
  <c r="AG200" i="10" s="1"/>
  <c r="BA200" i="10"/>
  <c r="BH271" i="10"/>
  <c r="AG337" i="10"/>
  <c r="AG303" i="10"/>
  <c r="BH77" i="10"/>
  <c r="BH301" i="10"/>
  <c r="AG84" i="10"/>
  <c r="AG153" i="10"/>
  <c r="AG68" i="10"/>
  <c r="AY170" i="10"/>
  <c r="AG170" i="10" s="1"/>
  <c r="BA170" i="10"/>
  <c r="AG273" i="10"/>
  <c r="AG263" i="10"/>
  <c r="AG284" i="10"/>
  <c r="AG66" i="10"/>
  <c r="AG202" i="10"/>
  <c r="AG300" i="10"/>
  <c r="BH308" i="10"/>
  <c r="AY211" i="10"/>
  <c r="AG211" i="10" s="1"/>
  <c r="BA211" i="10"/>
  <c r="AG160" i="10"/>
  <c r="AG124" i="10"/>
  <c r="BA72" i="10"/>
  <c r="AY72" i="10"/>
  <c r="AG72" i="10" s="1"/>
  <c r="AG57" i="10"/>
  <c r="AG156" i="10"/>
  <c r="AG114" i="10"/>
  <c r="AG261" i="10"/>
  <c r="AG297" i="10"/>
  <c r="BA329" i="10"/>
  <c r="AY329" i="10"/>
  <c r="AG329" i="10" s="1"/>
  <c r="AG250" i="10"/>
  <c r="BA164" i="10"/>
  <c r="AY164" i="10"/>
  <c r="AG164" i="10" s="1"/>
  <c r="AG146" i="10"/>
  <c r="AG294" i="10"/>
  <c r="BA306" i="10"/>
  <c r="AY306" i="10"/>
  <c r="AG306" i="10" s="1"/>
  <c r="AG265" i="10"/>
  <c r="AY23" i="10"/>
  <c r="AG23" i="10" s="1"/>
  <c r="BA23" i="10"/>
  <c r="BH67" i="10"/>
  <c r="BH85" i="10"/>
  <c r="AG217" i="10"/>
  <c r="AY27" i="10"/>
  <c r="AG27" i="10" s="1"/>
  <c r="BA27" i="10"/>
  <c r="AG186" i="10"/>
  <c r="BH52" i="10"/>
  <c r="AG42" i="10"/>
  <c r="AG216" i="10"/>
  <c r="AY272" i="10"/>
  <c r="AG272" i="10" s="1"/>
  <c r="BA272" i="10"/>
  <c r="AG50" i="10"/>
  <c r="AY325" i="10"/>
  <c r="AG325" i="10" s="1"/>
  <c r="BA325" i="10"/>
  <c r="AY252" i="10"/>
  <c r="AG252" i="10" s="1"/>
  <c r="BA252" i="10"/>
  <c r="AG246" i="10"/>
  <c r="AG102" i="10"/>
  <c r="AG94" i="10"/>
  <c r="AG165" i="10"/>
  <c r="BA310" i="10"/>
  <c r="AY310" i="10"/>
  <c r="AG310" i="10" s="1"/>
  <c r="AG302" i="10"/>
  <c r="AG132" i="10"/>
  <c r="AG77" i="10"/>
  <c r="AG298" i="10"/>
  <c r="AG326" i="10"/>
  <c r="BA35" i="10"/>
  <c r="AY35" i="10"/>
  <c r="AG35" i="10" s="1"/>
  <c r="BH302" i="10"/>
  <c r="AG60" i="10"/>
  <c r="AG163" i="10"/>
  <c r="AG123" i="10"/>
  <c r="BH57" i="10"/>
  <c r="AG339" i="10"/>
  <c r="BH69" i="10"/>
  <c r="AG143" i="10"/>
  <c r="AG41" i="10"/>
  <c r="AY314" i="10"/>
  <c r="AG314" i="10" s="1"/>
  <c r="BA314" i="10"/>
  <c r="BH150" i="10"/>
  <c r="AG92" i="10"/>
  <c r="AY31" i="10"/>
  <c r="AG31" i="10" s="1"/>
  <c r="BA31" i="10"/>
  <c r="BH54" i="10"/>
  <c r="AY316" i="10"/>
  <c r="AG316" i="10" s="1"/>
  <c r="BA316" i="10"/>
  <c r="AG212" i="10"/>
  <c r="AG177" i="10"/>
  <c r="AG266" i="10"/>
  <c r="AG139" i="10"/>
  <c r="AG260" i="10"/>
  <c r="BH60" i="10"/>
  <c r="BA335" i="10"/>
  <c r="AY335" i="10"/>
  <c r="AG335" i="10" s="1"/>
  <c r="AG315" i="10"/>
  <c r="AG20" i="10"/>
  <c r="AG103" i="10"/>
  <c r="AG110" i="10"/>
  <c r="BH249" i="10"/>
  <c r="AY290" i="10"/>
  <c r="AG290" i="10" s="1"/>
  <c r="BA290" i="10"/>
  <c r="BH151" i="10"/>
  <c r="AG147" i="10"/>
  <c r="AY9" i="10"/>
  <c r="BA9" i="10"/>
  <c r="AY4" i="10"/>
  <c r="AG4" i="10" s="1"/>
  <c r="BA4" i="10"/>
  <c r="AG193" i="10"/>
  <c r="AG332" i="10"/>
  <c r="AG301" i="10"/>
  <c r="BH332" i="10"/>
  <c r="AG181" i="10"/>
  <c r="BA16" i="10"/>
  <c r="AY16" i="10"/>
  <c r="AG16" i="10" s="1"/>
  <c r="AG307" i="10"/>
  <c r="AG120" i="10"/>
  <c r="BA101" i="10"/>
  <c r="AY101" i="10"/>
  <c r="AG101" i="10" s="1"/>
  <c r="BH103" i="10"/>
  <c r="AG55" i="10"/>
  <c r="AG207" i="10"/>
  <c r="AG40" i="10"/>
  <c r="AG142" i="10"/>
  <c r="AG149" i="10"/>
  <c r="AY322" i="10"/>
  <c r="AG322" i="10" s="1"/>
  <c r="BA322" i="10"/>
  <c r="BH212" i="10"/>
  <c r="AG86" i="10"/>
  <c r="BH189" i="10"/>
  <c r="AG215" i="10"/>
  <c r="AG287" i="10"/>
  <c r="AY289" i="10"/>
  <c r="AG289" i="10" s="1"/>
  <c r="BA289" i="10"/>
  <c r="AG185" i="10"/>
  <c r="BH113" i="10"/>
  <c r="BA130" i="10"/>
  <c r="AY130" i="10"/>
  <c r="AG130" i="10" s="1"/>
  <c r="AG155" i="10"/>
  <c r="BH171" i="10"/>
  <c r="AG288" i="10"/>
  <c r="BA22" i="10"/>
  <c r="AY22" i="10"/>
  <c r="AG22" i="10" s="1"/>
  <c r="AY140" i="10"/>
  <c r="AG140" i="10" s="1"/>
  <c r="BA140" i="10"/>
  <c r="AG235" i="10"/>
  <c r="BH59" i="10"/>
  <c r="BA34" i="10"/>
  <c r="AY34" i="10"/>
  <c r="AY295" i="10"/>
  <c r="AG295" i="10" s="1"/>
  <c r="BA295" i="10"/>
  <c r="BA30" i="10"/>
  <c r="AY30" i="10"/>
  <c r="AG30" i="10" s="1"/>
  <c r="BA24" i="10"/>
  <c r="AY24" i="10"/>
  <c r="AG264" i="10"/>
  <c r="AY12" i="10"/>
  <c r="AG12" i="10" s="1"/>
  <c r="BA12" i="10"/>
  <c r="AG279" i="10"/>
  <c r="BH122" i="10"/>
  <c r="BA208" i="10"/>
  <c r="AY208" i="10"/>
  <c r="AG208" i="10" s="1"/>
  <c r="AG49" i="10"/>
  <c r="BH339" i="10"/>
  <c r="AG224" i="10"/>
  <c r="AG324" i="10"/>
  <c r="BA3" i="10"/>
  <c r="AY3" i="10"/>
  <c r="AG3" i="10" s="1"/>
  <c r="AG257" i="10"/>
  <c r="AY28" i="10"/>
  <c r="AG28" i="10" s="1"/>
  <c r="BA28" i="10"/>
  <c r="AG330" i="10"/>
  <c r="AY43" i="10"/>
  <c r="AG43" i="10" s="1"/>
  <c r="BA43" i="10"/>
  <c r="AY8" i="10"/>
  <c r="AG8" i="10" s="1"/>
  <c r="BA8" i="10"/>
  <c r="AG95" i="10"/>
  <c r="AG44" i="10"/>
  <c r="BH125" i="10"/>
  <c r="AG78" i="10"/>
  <c r="AG227" i="10"/>
  <c r="BA18" i="10"/>
  <c r="AY18" i="10"/>
  <c r="BA11" i="10"/>
  <c r="AY11" i="10"/>
  <c r="AG58" i="10"/>
  <c r="AG119" i="10"/>
  <c r="AG100" i="10"/>
  <c r="AG269" i="10"/>
  <c r="AG175" i="10"/>
  <c r="AG245" i="10"/>
  <c r="BH246" i="10"/>
  <c r="AG256" i="10"/>
  <c r="AG127" i="10"/>
  <c r="BH123" i="10"/>
  <c r="AG167" i="10"/>
  <c r="AG69" i="10"/>
  <c r="BA36" i="10"/>
  <c r="AY36" i="10"/>
  <c r="AG36" i="10" s="1"/>
  <c r="AG292" i="10"/>
  <c r="BA291" i="10"/>
  <c r="AY291" i="10"/>
  <c r="AG291" i="10" s="1"/>
  <c r="BA15" i="10"/>
  <c r="AY15" i="10"/>
  <c r="AG15" i="10" s="1"/>
  <c r="BA328" i="10"/>
  <c r="AY328" i="10"/>
  <c r="AG328" i="10" s="1"/>
  <c r="AG229" i="10"/>
  <c r="BH303" i="10"/>
  <c r="AY281" i="10"/>
  <c r="AG281" i="10" s="1"/>
  <c r="BA281" i="10"/>
  <c r="BH114" i="10"/>
  <c r="AG133" i="10"/>
  <c r="AG197" i="10"/>
  <c r="BH305" i="10"/>
  <c r="AY37" i="10"/>
  <c r="AG37" i="10" s="1"/>
  <c r="BA37" i="10"/>
  <c r="BH217" i="10"/>
  <c r="AY61" i="10"/>
  <c r="AG61" i="10" s="1"/>
  <c r="BA61" i="10"/>
  <c r="AG131" i="10"/>
  <c r="AY19" i="10"/>
  <c r="BA19" i="10"/>
  <c r="AG321" i="10"/>
  <c r="BA14" i="10"/>
  <c r="AY14" i="10"/>
  <c r="AG14" i="10" s="1"/>
  <c r="AG319" i="10"/>
  <c r="AG274" i="10"/>
  <c r="BH330" i="10"/>
  <c r="AG225" i="10" l="1"/>
  <c r="AG242" i="10"/>
  <c r="AG47" i="10"/>
  <c r="AG9" i="10"/>
  <c r="BH338" i="10"/>
  <c r="AG137" i="10"/>
  <c r="AG243" i="10"/>
  <c r="AG192" i="10"/>
  <c r="BH154" i="10"/>
  <c r="AY73" i="10"/>
  <c r="AG24" i="10"/>
  <c r="AG276" i="10"/>
  <c r="BH148" i="10"/>
  <c r="BH87" i="10"/>
  <c r="BH268" i="10"/>
  <c r="BH47" i="10"/>
  <c r="BH138" i="10"/>
  <c r="BH194" i="10"/>
  <c r="AG196" i="10"/>
  <c r="AG231" i="10"/>
  <c r="BH247" i="10"/>
  <c r="BH117" i="10"/>
  <c r="AG238" i="10"/>
  <c r="BH45" i="10"/>
  <c r="AG299" i="10"/>
  <c r="BH97" i="10"/>
  <c r="AG237" i="10"/>
  <c r="AG82" i="10"/>
  <c r="BH116" i="10"/>
  <c r="BH159" i="10"/>
  <c r="BH93" i="10"/>
  <c r="BH313" i="10"/>
  <c r="BH270" i="10"/>
  <c r="AG179" i="10"/>
  <c r="BH214" i="10"/>
  <c r="BH178" i="10"/>
  <c r="AG312" i="10"/>
  <c r="BH343" i="10"/>
  <c r="AG46" i="10"/>
  <c r="BH89" i="10"/>
  <c r="BH218" i="10"/>
  <c r="BH53" i="10"/>
  <c r="BH203" i="10"/>
  <c r="BH99" i="10"/>
  <c r="BH18" i="10"/>
  <c r="BH295" i="10"/>
  <c r="AG7" i="10"/>
  <c r="BH199" i="10"/>
  <c r="BH316" i="10"/>
  <c r="BH134" i="10"/>
  <c r="BH336" i="10"/>
  <c r="BH162" i="10"/>
  <c r="AG11" i="10"/>
  <c r="BH226" i="10"/>
  <c r="BH341" i="10"/>
  <c r="BH26" i="10"/>
  <c r="BH281" i="10"/>
  <c r="BH81" i="10"/>
  <c r="AG201" i="10"/>
  <c r="BH126" i="10"/>
  <c r="BH7" i="10"/>
  <c r="BH320" i="10"/>
  <c r="BH115" i="10"/>
  <c r="BH32" i="10"/>
  <c r="BH51" i="10"/>
  <c r="AG5" i="10"/>
  <c r="CO5" i="10" s="1"/>
  <c r="AG34" i="10"/>
  <c r="BH141" i="10"/>
  <c r="BH83" i="10"/>
  <c r="BH334" i="10"/>
  <c r="BH31" i="10"/>
  <c r="AG18" i="10"/>
  <c r="BH251" i="10"/>
  <c r="AG126" i="10"/>
  <c r="AG26" i="10"/>
  <c r="BH211" i="10"/>
  <c r="AG19" i="10"/>
  <c r="BH239" i="10"/>
  <c r="BA5" i="10"/>
  <c r="DI5" i="10" s="1"/>
  <c r="BH35" i="10"/>
  <c r="BH27" i="10"/>
  <c r="BH188" i="10"/>
  <c r="BH15" i="10"/>
  <c r="BH43" i="10"/>
  <c r="BH16" i="10"/>
  <c r="BH22" i="10"/>
  <c r="BH325" i="10"/>
  <c r="BH36" i="10"/>
  <c r="BH314" i="10"/>
  <c r="BH272" i="10"/>
  <c r="BH37" i="10"/>
  <c r="BH3" i="10"/>
  <c r="BH208" i="10"/>
  <c r="BH72" i="10"/>
  <c r="BH19" i="10"/>
  <c r="BH28" i="10"/>
  <c r="BH4" i="10"/>
  <c r="BH24" i="10"/>
  <c r="BH130" i="10"/>
  <c r="BH14" i="10"/>
  <c r="BH30" i="10"/>
  <c r="BH8" i="10"/>
  <c r="BH12" i="10"/>
  <c r="BH34" i="10"/>
  <c r="BH289" i="10"/>
  <c r="BH9" i="10"/>
  <c r="BH252" i="10"/>
  <c r="BH61" i="10"/>
  <c r="BH322" i="10"/>
  <c r="BH11" i="10"/>
  <c r="BH164" i="10"/>
  <c r="BH310" i="10"/>
  <c r="BH306" i="10"/>
  <c r="BH140" i="10"/>
  <c r="BH101" i="10"/>
  <c r="BH23" i="10"/>
  <c r="BH329" i="10"/>
  <c r="BH200" i="10"/>
  <c r="AY38" i="10"/>
  <c r="BH13" i="10"/>
  <c r="BH328" i="10"/>
  <c r="BH291" i="10"/>
  <c r="BH290" i="10"/>
  <c r="BH335" i="10"/>
  <c r="BH170" i="10"/>
  <c r="AG73" i="10" l="1"/>
  <c r="CO73" i="10" s="1"/>
  <c r="DG73" i="10"/>
  <c r="BA73" i="10"/>
  <c r="BH5" i="10"/>
  <c r="BA38" i="10"/>
  <c r="BH38" i="10" s="1"/>
  <c r="AG38" i="10"/>
  <c r="DI73" i="10" l="1"/>
  <c r="BH73" i="10"/>
  <c r="T98" i="1" l="1"/>
  <c r="T105" i="1" s="1"/>
  <c r="U98" i="1"/>
  <c r="V98" i="1"/>
  <c r="V105" i="1" s="1"/>
  <c r="W98" i="1"/>
  <c r="X98" i="1"/>
  <c r="Y98" i="1"/>
  <c r="Y105" i="1" s="1"/>
  <c r="Z98" i="1"/>
  <c r="AA98" i="1"/>
  <c r="AC98" i="1"/>
  <c r="AD98" i="1"/>
  <c r="AE98" i="1"/>
  <c r="AE105" i="1" s="1"/>
  <c r="AF98" i="1"/>
  <c r="AG98" i="1"/>
  <c r="H19" i="4"/>
  <c r="H20" i="4"/>
  <c r="D120" i="1" l="1"/>
  <c r="E26" i="4" l="1"/>
  <c r="W99" i="1" l="1"/>
  <c r="W105" i="1" s="1"/>
  <c r="X105" i="1"/>
  <c r="H21" i="4"/>
  <c r="C26" i="4"/>
  <c r="U99" i="1" s="1"/>
  <c r="AA105" i="1"/>
  <c r="Z105" i="1"/>
  <c r="AD105" i="1"/>
  <c r="AF105" i="1"/>
  <c r="U105" i="1" l="1"/>
  <c r="P26" i="4"/>
  <c r="AG105" i="1" s="1"/>
  <c r="H22" i="4"/>
  <c r="BG2" i="1"/>
  <c r="AT2" i="1"/>
  <c r="AV2" i="1"/>
  <c r="AS2" i="1"/>
  <c r="AU2" i="1"/>
  <c r="Q26" i="4" l="1"/>
  <c r="AJ99" i="1"/>
  <c r="AC105" i="1"/>
  <c r="AS3" i="1"/>
  <c r="AS4" i="1"/>
  <c r="AS5" i="1"/>
  <c r="AS6" i="1"/>
  <c r="AS7" i="1"/>
  <c r="AS8" i="1"/>
  <c r="AS9" i="1"/>
  <c r="AS10" i="1"/>
  <c r="AS11" i="1"/>
  <c r="AS12" i="1"/>
  <c r="AS13" i="1"/>
  <c r="AS14" i="1"/>
  <c r="AS15" i="1"/>
  <c r="AS16" i="1"/>
  <c r="AS17" i="1"/>
  <c r="AS18" i="1"/>
  <c r="AS19" i="1"/>
  <c r="AS20" i="1"/>
  <c r="AS21" i="1"/>
  <c r="AS22" i="1"/>
  <c r="AS23" i="1"/>
  <c r="AS24" i="1"/>
  <c r="AS25" i="1"/>
  <c r="AS26" i="1"/>
  <c r="AS27" i="1"/>
  <c r="AS28" i="1"/>
  <c r="AS29" i="1"/>
  <c r="AS30" i="1"/>
  <c r="AS31" i="1"/>
  <c r="AS32" i="1"/>
  <c r="AS33" i="1"/>
  <c r="AS34" i="1"/>
  <c r="AS35" i="1"/>
  <c r="AS36" i="1"/>
  <c r="AS37" i="1"/>
  <c r="AS38" i="1"/>
  <c r="AS39" i="1"/>
  <c r="AS40" i="1"/>
  <c r="AS41" i="1"/>
  <c r="AS42" i="1"/>
  <c r="AS43" i="1"/>
  <c r="AS44" i="1"/>
  <c r="AS45" i="1"/>
  <c r="AS46" i="1"/>
  <c r="AS47" i="1"/>
  <c r="AS48" i="1"/>
  <c r="AS49" i="1"/>
  <c r="AS50" i="1"/>
  <c r="AS51" i="1"/>
  <c r="AS52" i="1"/>
  <c r="AS53" i="1"/>
  <c r="AS54" i="1"/>
  <c r="AS55" i="1"/>
  <c r="AS56" i="1"/>
  <c r="AS57" i="1"/>
  <c r="AS58" i="1"/>
  <c r="AS59" i="1"/>
  <c r="AS60" i="1"/>
  <c r="AS61" i="1"/>
  <c r="AS62" i="1"/>
  <c r="AS63" i="1"/>
  <c r="AS64" i="1"/>
  <c r="AS65" i="1"/>
  <c r="AS66" i="1"/>
  <c r="AS67" i="1"/>
  <c r="AS68" i="1"/>
  <c r="AS69" i="1"/>
  <c r="AS70" i="1"/>
  <c r="AS71" i="1"/>
  <c r="AS72" i="1"/>
  <c r="AS73" i="1"/>
  <c r="AS74" i="1"/>
  <c r="AS75" i="1"/>
  <c r="AS76" i="1"/>
  <c r="AS77" i="1"/>
  <c r="AS78" i="1"/>
  <c r="AS79" i="1"/>
  <c r="AS80" i="1"/>
  <c r="AS81" i="1"/>
  <c r="AS82" i="1"/>
  <c r="AS83" i="1"/>
  <c r="AS84" i="1"/>
  <c r="AS85" i="1"/>
  <c r="AS86" i="1"/>
  <c r="AS87" i="1"/>
  <c r="AS88" i="1"/>
  <c r="AS89" i="1"/>
  <c r="AS90" i="1"/>
  <c r="AS91" i="1"/>
  <c r="AS92" i="1"/>
  <c r="AS93" i="1"/>
  <c r="AS94" i="1"/>
  <c r="AS95" i="1"/>
  <c r="T100" i="1"/>
  <c r="AT3" i="1"/>
  <c r="AT4" i="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U100" i="1"/>
  <c r="AU3" i="1"/>
  <c r="AU4" i="1"/>
  <c r="AU5" i="1"/>
  <c r="AU6" i="1"/>
  <c r="AU7" i="1"/>
  <c r="AU8" i="1"/>
  <c r="AU9" i="1"/>
  <c r="AU10" i="1"/>
  <c r="AU1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V100" i="1"/>
  <c r="AV3"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W100" i="1"/>
  <c r="AW3" i="1"/>
  <c r="AW4" i="1"/>
  <c r="AW5" i="1"/>
  <c r="AW6" i="1"/>
  <c r="AW7" i="1"/>
  <c r="AW8"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X100" i="1"/>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38" i="1"/>
  <c r="AX39" i="1"/>
  <c r="AX40" i="1"/>
  <c r="AX41" i="1"/>
  <c r="AX42" i="1"/>
  <c r="AX43" i="1"/>
  <c r="AX44" i="1"/>
  <c r="AX45" i="1"/>
  <c r="AX46" i="1"/>
  <c r="AX47" i="1"/>
  <c r="AX48" i="1"/>
  <c r="AX49" i="1"/>
  <c r="AX50" i="1"/>
  <c r="AX51" i="1"/>
  <c r="AX52" i="1"/>
  <c r="AX53" i="1"/>
  <c r="AX54" i="1"/>
  <c r="AX55" i="1"/>
  <c r="AX56" i="1"/>
  <c r="AX57" i="1"/>
  <c r="AX58" i="1"/>
  <c r="AX59" i="1"/>
  <c r="AX60" i="1"/>
  <c r="AX61" i="1"/>
  <c r="AX62" i="1"/>
  <c r="AX63" i="1"/>
  <c r="AX64" i="1"/>
  <c r="AX65" i="1"/>
  <c r="AX66" i="1"/>
  <c r="AX67" i="1"/>
  <c r="AX68" i="1"/>
  <c r="AX69" i="1"/>
  <c r="AX70" i="1"/>
  <c r="AX71" i="1"/>
  <c r="AX72" i="1"/>
  <c r="AX73" i="1"/>
  <c r="AX74" i="1"/>
  <c r="AX75" i="1"/>
  <c r="AX76" i="1"/>
  <c r="AX77" i="1"/>
  <c r="AX78" i="1"/>
  <c r="AX79" i="1"/>
  <c r="AX80" i="1"/>
  <c r="AX81" i="1"/>
  <c r="AX82" i="1"/>
  <c r="AX83" i="1"/>
  <c r="AX84" i="1"/>
  <c r="AX85" i="1"/>
  <c r="AX86" i="1"/>
  <c r="AX87" i="1"/>
  <c r="AX88" i="1"/>
  <c r="AX89" i="1"/>
  <c r="AX90" i="1"/>
  <c r="AX91" i="1"/>
  <c r="AX92" i="1"/>
  <c r="AX93" i="1"/>
  <c r="AX94" i="1"/>
  <c r="AX95" i="1"/>
  <c r="Y100" i="1"/>
  <c r="AY3" i="1"/>
  <c r="AY4" i="1"/>
  <c r="AY5" i="1"/>
  <c r="AY6" i="1"/>
  <c r="AY7" i="1"/>
  <c r="AY8"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Y58" i="1"/>
  <c r="AY59" i="1"/>
  <c r="AY60" i="1"/>
  <c r="AY61" i="1"/>
  <c r="AY62" i="1"/>
  <c r="AY63" i="1"/>
  <c r="AY64" i="1"/>
  <c r="AY65" i="1"/>
  <c r="AY66" i="1"/>
  <c r="AY67" i="1"/>
  <c r="AY68" i="1"/>
  <c r="AY69" i="1"/>
  <c r="AY70" i="1"/>
  <c r="AY71" i="1"/>
  <c r="AY72" i="1"/>
  <c r="AY73" i="1"/>
  <c r="AY74" i="1"/>
  <c r="AY75" i="1"/>
  <c r="AY76" i="1"/>
  <c r="AY77" i="1"/>
  <c r="AY78" i="1"/>
  <c r="AY79" i="1"/>
  <c r="AY80" i="1"/>
  <c r="AY81" i="1"/>
  <c r="AY82" i="1"/>
  <c r="AY83" i="1"/>
  <c r="AY84" i="1"/>
  <c r="AY85" i="1"/>
  <c r="AY86" i="1"/>
  <c r="AY87" i="1"/>
  <c r="AY88" i="1"/>
  <c r="AY89" i="1"/>
  <c r="AY90" i="1"/>
  <c r="AY91" i="1"/>
  <c r="AY92" i="1"/>
  <c r="AY93" i="1"/>
  <c r="AY94" i="1"/>
  <c r="AY95" i="1"/>
  <c r="Z100" i="1"/>
  <c r="AZ3" i="1"/>
  <c r="AZ4" i="1"/>
  <c r="AZ5" i="1"/>
  <c r="AZ6" i="1"/>
  <c r="AZ7" i="1"/>
  <c r="AZ8" i="1"/>
  <c r="AZ9" i="1"/>
  <c r="AZ10" i="1"/>
  <c r="AZ11" i="1"/>
  <c r="AZ12" i="1"/>
  <c r="AZ13" i="1"/>
  <c r="AZ14" i="1"/>
  <c r="AZ15" i="1"/>
  <c r="AZ16" i="1"/>
  <c r="AZ17" i="1"/>
  <c r="AZ18" i="1"/>
  <c r="AZ19" i="1"/>
  <c r="AZ20" i="1"/>
  <c r="AZ21" i="1"/>
  <c r="AZ22" i="1"/>
  <c r="AZ23" i="1"/>
  <c r="AZ24" i="1"/>
  <c r="AZ25" i="1"/>
  <c r="AZ26" i="1"/>
  <c r="AZ27" i="1"/>
  <c r="AZ28" i="1"/>
  <c r="AZ29" i="1"/>
  <c r="AZ30" i="1"/>
  <c r="AZ31" i="1"/>
  <c r="AZ32" i="1"/>
  <c r="AZ33" i="1"/>
  <c r="AZ34" i="1"/>
  <c r="AZ35" i="1"/>
  <c r="AZ36" i="1"/>
  <c r="AZ37" i="1"/>
  <c r="AZ38" i="1"/>
  <c r="AZ39" i="1"/>
  <c r="AZ40" i="1"/>
  <c r="AZ41" i="1"/>
  <c r="AZ42" i="1"/>
  <c r="AZ43" i="1"/>
  <c r="AZ44" i="1"/>
  <c r="AZ45" i="1"/>
  <c r="AZ46" i="1"/>
  <c r="AZ47" i="1"/>
  <c r="AZ48" i="1"/>
  <c r="AZ49" i="1"/>
  <c r="AZ50" i="1"/>
  <c r="AZ51" i="1"/>
  <c r="AZ52" i="1"/>
  <c r="AZ53" i="1"/>
  <c r="AZ54" i="1"/>
  <c r="AZ55" i="1"/>
  <c r="AZ56" i="1"/>
  <c r="AZ57" i="1"/>
  <c r="AZ58" i="1"/>
  <c r="AZ59" i="1"/>
  <c r="AZ60" i="1"/>
  <c r="AZ61" i="1"/>
  <c r="AZ62" i="1"/>
  <c r="AZ63" i="1"/>
  <c r="AZ64" i="1"/>
  <c r="AZ65" i="1"/>
  <c r="AZ66" i="1"/>
  <c r="AZ67" i="1"/>
  <c r="AZ68" i="1"/>
  <c r="AZ69" i="1"/>
  <c r="AZ70" i="1"/>
  <c r="AZ71" i="1"/>
  <c r="AZ72" i="1"/>
  <c r="AZ73" i="1"/>
  <c r="AZ74" i="1"/>
  <c r="AZ75" i="1"/>
  <c r="AZ76" i="1"/>
  <c r="AZ77" i="1"/>
  <c r="AZ78" i="1"/>
  <c r="AZ79" i="1"/>
  <c r="AZ80" i="1"/>
  <c r="AZ81" i="1"/>
  <c r="AZ82" i="1"/>
  <c r="AZ83" i="1"/>
  <c r="AZ84" i="1"/>
  <c r="AZ85" i="1"/>
  <c r="AZ86" i="1"/>
  <c r="AZ87" i="1"/>
  <c r="AZ88" i="1"/>
  <c r="AZ89" i="1"/>
  <c r="AZ90" i="1"/>
  <c r="AZ91" i="1"/>
  <c r="AZ92" i="1"/>
  <c r="AZ93" i="1"/>
  <c r="AZ94" i="1"/>
  <c r="AZ95" i="1"/>
  <c r="AA100" i="1"/>
  <c r="BA3" i="1"/>
  <c r="BA4" i="1"/>
  <c r="BA5" i="1"/>
  <c r="BA6" i="1"/>
  <c r="BA7" i="1"/>
  <c r="BA8" i="1"/>
  <c r="BA9" i="1"/>
  <c r="BA10" i="1"/>
  <c r="BA11" i="1"/>
  <c r="BA12" i="1"/>
  <c r="BA13" i="1"/>
  <c r="BA14" i="1"/>
  <c r="BA15" i="1"/>
  <c r="BA16" i="1"/>
  <c r="BA17" i="1"/>
  <c r="BA18" i="1"/>
  <c r="BA19" i="1"/>
  <c r="BA20" i="1"/>
  <c r="BA21" i="1"/>
  <c r="BA22" i="1"/>
  <c r="BA23" i="1"/>
  <c r="BA24" i="1"/>
  <c r="BA25" i="1"/>
  <c r="BA26" i="1"/>
  <c r="BA27" i="1"/>
  <c r="BA28" i="1"/>
  <c r="BA29" i="1"/>
  <c r="BA30" i="1"/>
  <c r="BA31" i="1"/>
  <c r="BA32" i="1"/>
  <c r="BA33" i="1"/>
  <c r="BA34" i="1"/>
  <c r="BA35" i="1"/>
  <c r="BA36" i="1"/>
  <c r="BA37" i="1"/>
  <c r="BA38" i="1"/>
  <c r="BA39" i="1"/>
  <c r="BA40" i="1"/>
  <c r="BA41" i="1"/>
  <c r="BA42" i="1"/>
  <c r="BA43" i="1"/>
  <c r="BA44" i="1"/>
  <c r="BA45" i="1"/>
  <c r="BA46" i="1"/>
  <c r="BA47" i="1"/>
  <c r="BA48" i="1"/>
  <c r="BA49" i="1"/>
  <c r="BA50" i="1"/>
  <c r="BA51" i="1"/>
  <c r="BA52" i="1"/>
  <c r="BA53" i="1"/>
  <c r="BA54" i="1"/>
  <c r="BA55" i="1"/>
  <c r="BA56" i="1"/>
  <c r="BA57" i="1"/>
  <c r="BA58" i="1"/>
  <c r="BA59" i="1"/>
  <c r="BA60" i="1"/>
  <c r="BA61" i="1"/>
  <c r="BA62" i="1"/>
  <c r="BA63" i="1"/>
  <c r="BA64" i="1"/>
  <c r="BA65" i="1"/>
  <c r="BA66" i="1"/>
  <c r="BA67" i="1"/>
  <c r="BA68" i="1"/>
  <c r="BA69" i="1"/>
  <c r="BA70" i="1"/>
  <c r="BA71" i="1"/>
  <c r="BA72" i="1"/>
  <c r="BA73" i="1"/>
  <c r="BA74" i="1"/>
  <c r="BA75" i="1"/>
  <c r="BA76" i="1"/>
  <c r="BA77" i="1"/>
  <c r="BA78" i="1"/>
  <c r="BA79" i="1"/>
  <c r="BA80" i="1"/>
  <c r="BA81" i="1"/>
  <c r="BA82" i="1"/>
  <c r="BA83" i="1"/>
  <c r="BA84" i="1"/>
  <c r="BA85" i="1"/>
  <c r="BA86" i="1"/>
  <c r="BA87" i="1"/>
  <c r="BA88" i="1"/>
  <c r="BA89" i="1"/>
  <c r="BA90" i="1"/>
  <c r="BA91" i="1"/>
  <c r="BA92" i="1"/>
  <c r="BA93" i="1"/>
  <c r="BA94" i="1"/>
  <c r="BA95" i="1"/>
  <c r="AB100" i="1"/>
  <c r="BB3"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AC100" i="1"/>
  <c r="BC3" i="1"/>
  <c r="BC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AD100" i="1"/>
  <c r="BD3" i="1"/>
  <c r="BD4" i="1"/>
  <c r="BD5" i="1"/>
  <c r="BD6" i="1"/>
  <c r="BD7" i="1"/>
  <c r="BD8" i="1"/>
  <c r="BD9" i="1"/>
  <c r="BD10" i="1"/>
  <c r="BD11" i="1"/>
  <c r="BD12" i="1"/>
  <c r="BD13" i="1"/>
  <c r="BD14" i="1"/>
  <c r="BD15" i="1"/>
  <c r="BD16" i="1"/>
  <c r="BD17" i="1"/>
  <c r="BD18" i="1"/>
  <c r="BD19" i="1"/>
  <c r="BD20" i="1"/>
  <c r="BD21" i="1"/>
  <c r="BD22" i="1"/>
  <c r="BD23" i="1"/>
  <c r="BD24" i="1"/>
  <c r="BD25" i="1"/>
  <c r="BD26" i="1"/>
  <c r="BD27" i="1"/>
  <c r="BD28" i="1"/>
  <c r="BD29" i="1"/>
  <c r="BD30" i="1"/>
  <c r="BD31" i="1"/>
  <c r="BD32" i="1"/>
  <c r="BD33" i="1"/>
  <c r="BD34" i="1"/>
  <c r="BD35" i="1"/>
  <c r="BD36" i="1"/>
  <c r="BD37" i="1"/>
  <c r="BD38" i="1"/>
  <c r="BD39" i="1"/>
  <c r="BD40" i="1"/>
  <c r="BD41" i="1"/>
  <c r="BD42" i="1"/>
  <c r="BD43" i="1"/>
  <c r="BD44" i="1"/>
  <c r="BD45" i="1"/>
  <c r="BD46" i="1"/>
  <c r="BD47" i="1"/>
  <c r="BD48" i="1"/>
  <c r="BD49" i="1"/>
  <c r="BD50" i="1"/>
  <c r="BD51" i="1"/>
  <c r="BD52" i="1"/>
  <c r="BD53" i="1"/>
  <c r="BD54" i="1"/>
  <c r="BD55" i="1"/>
  <c r="BD56" i="1"/>
  <c r="BD57" i="1"/>
  <c r="BD58" i="1"/>
  <c r="BD59" i="1"/>
  <c r="BD60" i="1"/>
  <c r="BD61" i="1"/>
  <c r="BD62" i="1"/>
  <c r="BD63" i="1"/>
  <c r="BD64" i="1"/>
  <c r="BD65" i="1"/>
  <c r="BD66" i="1"/>
  <c r="BD67" i="1"/>
  <c r="BD68" i="1"/>
  <c r="BD69" i="1"/>
  <c r="BD70" i="1"/>
  <c r="BD71" i="1"/>
  <c r="BD72" i="1"/>
  <c r="BD73" i="1"/>
  <c r="BD74" i="1"/>
  <c r="BD75" i="1"/>
  <c r="BD76" i="1"/>
  <c r="BD77" i="1"/>
  <c r="BD78" i="1"/>
  <c r="BD79" i="1"/>
  <c r="BD80" i="1"/>
  <c r="BD81" i="1"/>
  <c r="BD82" i="1"/>
  <c r="BD83" i="1"/>
  <c r="BD84" i="1"/>
  <c r="BD85" i="1"/>
  <c r="BD86" i="1"/>
  <c r="BD87" i="1"/>
  <c r="BD88" i="1"/>
  <c r="BD89" i="1"/>
  <c r="BD90" i="1"/>
  <c r="BD91" i="1"/>
  <c r="BD92" i="1"/>
  <c r="BD93" i="1"/>
  <c r="BD94" i="1"/>
  <c r="BD95" i="1"/>
  <c r="AE100" i="1"/>
  <c r="BE3" i="1"/>
  <c r="BE4" i="1"/>
  <c r="BE5" i="1"/>
  <c r="BE6" i="1"/>
  <c r="BE7" i="1"/>
  <c r="BE8" i="1"/>
  <c r="BE9" i="1"/>
  <c r="BE10" i="1"/>
  <c r="BE11" i="1"/>
  <c r="BE12" i="1"/>
  <c r="BE13" i="1"/>
  <c r="BE14" i="1"/>
  <c r="BE15" i="1"/>
  <c r="BE16" i="1"/>
  <c r="BE17" i="1"/>
  <c r="BE18" i="1"/>
  <c r="BE19" i="1"/>
  <c r="BE20" i="1"/>
  <c r="BE21" i="1"/>
  <c r="BE22" i="1"/>
  <c r="BE23" i="1"/>
  <c r="BE24" i="1"/>
  <c r="BE25" i="1"/>
  <c r="BE26" i="1"/>
  <c r="BE27" i="1"/>
  <c r="BE28" i="1"/>
  <c r="BE29" i="1"/>
  <c r="BE30" i="1"/>
  <c r="BE31" i="1"/>
  <c r="BE32" i="1"/>
  <c r="BE33" i="1"/>
  <c r="BE34" i="1"/>
  <c r="BE35" i="1"/>
  <c r="BE36" i="1"/>
  <c r="BE37" i="1"/>
  <c r="BE38" i="1"/>
  <c r="BE39" i="1"/>
  <c r="BE40" i="1"/>
  <c r="BE41" i="1"/>
  <c r="BE42" i="1"/>
  <c r="BE43" i="1"/>
  <c r="BE44" i="1"/>
  <c r="BE45" i="1"/>
  <c r="BE46" i="1"/>
  <c r="BE47" i="1"/>
  <c r="BE48" i="1"/>
  <c r="BE49" i="1"/>
  <c r="BE50" i="1"/>
  <c r="BE51" i="1"/>
  <c r="BE52" i="1"/>
  <c r="BE53" i="1"/>
  <c r="BE54" i="1"/>
  <c r="BE55" i="1"/>
  <c r="BE56" i="1"/>
  <c r="BE57" i="1"/>
  <c r="BE58" i="1"/>
  <c r="BE59" i="1"/>
  <c r="BE60" i="1"/>
  <c r="BE61" i="1"/>
  <c r="BE62" i="1"/>
  <c r="BE63" i="1"/>
  <c r="BE64" i="1"/>
  <c r="BE65" i="1"/>
  <c r="BE66" i="1"/>
  <c r="BE67" i="1"/>
  <c r="BE68" i="1"/>
  <c r="BE69" i="1"/>
  <c r="BE70" i="1"/>
  <c r="BE71" i="1"/>
  <c r="BE72" i="1"/>
  <c r="BE73" i="1"/>
  <c r="BE74" i="1"/>
  <c r="BE75" i="1"/>
  <c r="BE76" i="1"/>
  <c r="BE77" i="1"/>
  <c r="BE78" i="1"/>
  <c r="BE79" i="1"/>
  <c r="BE80" i="1"/>
  <c r="BE81" i="1"/>
  <c r="BE82" i="1"/>
  <c r="BE83" i="1"/>
  <c r="BE84" i="1"/>
  <c r="BE85" i="1"/>
  <c r="BE86" i="1"/>
  <c r="BE87" i="1"/>
  <c r="BE88" i="1"/>
  <c r="BE89" i="1"/>
  <c r="BE90" i="1"/>
  <c r="BE91" i="1"/>
  <c r="BE92" i="1"/>
  <c r="BE93" i="1"/>
  <c r="BE94" i="1"/>
  <c r="BE95" i="1"/>
  <c r="AF100" i="1"/>
  <c r="BF3" i="1"/>
  <c r="BF4" i="1"/>
  <c r="BF5" i="1"/>
  <c r="BF6" i="1"/>
  <c r="BF7" i="1"/>
  <c r="BF8" i="1"/>
  <c r="BF9" i="1"/>
  <c r="BF10" i="1"/>
  <c r="BF11" i="1"/>
  <c r="BF12" i="1"/>
  <c r="BF13" i="1"/>
  <c r="BF14" i="1"/>
  <c r="BF15" i="1"/>
  <c r="BF16" i="1"/>
  <c r="BF17" i="1"/>
  <c r="BF18" i="1"/>
  <c r="BF19" i="1"/>
  <c r="BF20" i="1"/>
  <c r="BF21" i="1"/>
  <c r="BF22" i="1"/>
  <c r="BF23" i="1"/>
  <c r="BF24" i="1"/>
  <c r="BF25" i="1"/>
  <c r="BF26" i="1"/>
  <c r="BF27" i="1"/>
  <c r="BF28" i="1"/>
  <c r="BF29" i="1"/>
  <c r="BF30" i="1"/>
  <c r="BF31" i="1"/>
  <c r="BF32" i="1"/>
  <c r="BF33" i="1"/>
  <c r="BF34" i="1"/>
  <c r="BF35" i="1"/>
  <c r="BF36" i="1"/>
  <c r="BF37" i="1"/>
  <c r="BF38" i="1"/>
  <c r="BF39" i="1"/>
  <c r="BF40" i="1"/>
  <c r="BF41" i="1"/>
  <c r="BF42" i="1"/>
  <c r="BF43" i="1"/>
  <c r="BF44" i="1"/>
  <c r="BF45" i="1"/>
  <c r="BF46" i="1"/>
  <c r="BF47" i="1"/>
  <c r="BF48" i="1"/>
  <c r="BF49" i="1"/>
  <c r="BF50" i="1"/>
  <c r="BF51" i="1"/>
  <c r="BF52" i="1"/>
  <c r="BF53" i="1"/>
  <c r="BF54" i="1"/>
  <c r="BF55" i="1"/>
  <c r="BF56" i="1"/>
  <c r="BF57" i="1"/>
  <c r="BF58" i="1"/>
  <c r="BF59" i="1"/>
  <c r="BF60" i="1"/>
  <c r="BF61" i="1"/>
  <c r="BF62" i="1"/>
  <c r="BF63" i="1"/>
  <c r="BF64" i="1"/>
  <c r="BF65" i="1"/>
  <c r="BF66" i="1"/>
  <c r="BF67" i="1"/>
  <c r="BF68" i="1"/>
  <c r="BF69" i="1"/>
  <c r="BF70" i="1"/>
  <c r="BF71" i="1"/>
  <c r="BF72" i="1"/>
  <c r="BF73" i="1"/>
  <c r="BF74" i="1"/>
  <c r="BF75" i="1"/>
  <c r="BF76" i="1"/>
  <c r="BF77" i="1"/>
  <c r="BF78" i="1"/>
  <c r="BF79" i="1"/>
  <c r="BF80" i="1"/>
  <c r="BF81" i="1"/>
  <c r="BF82" i="1"/>
  <c r="BF83" i="1"/>
  <c r="BF84" i="1"/>
  <c r="BF85" i="1"/>
  <c r="BF86" i="1"/>
  <c r="BF87" i="1"/>
  <c r="BF88" i="1"/>
  <c r="BF89" i="1"/>
  <c r="BF90" i="1"/>
  <c r="BF91" i="1"/>
  <c r="BF92" i="1"/>
  <c r="BF93" i="1"/>
  <c r="BF94" i="1"/>
  <c r="BF95" i="1"/>
  <c r="AG100" i="1"/>
  <c r="AJ100" i="1"/>
  <c r="T102" i="1"/>
  <c r="U102" i="1"/>
  <c r="V102" i="1"/>
  <c r="W102" i="1"/>
  <c r="X102" i="1"/>
  <c r="Y102" i="1"/>
  <c r="Z102" i="1"/>
  <c r="AA102" i="1"/>
  <c r="AB102" i="1"/>
  <c r="AC102" i="1"/>
  <c r="AD102" i="1"/>
  <c r="AE102" i="1"/>
  <c r="AF102" i="1"/>
  <c r="AG102" i="1"/>
  <c r="AJ102" i="1"/>
  <c r="T104" i="1"/>
  <c r="U104" i="1"/>
  <c r="V104" i="1"/>
  <c r="W104" i="1"/>
  <c r="X104" i="1"/>
  <c r="Y104" i="1"/>
  <c r="Z104" i="1"/>
  <c r="AA104" i="1"/>
  <c r="AB104" i="1"/>
  <c r="AC104" i="1"/>
  <c r="AD104" i="1"/>
  <c r="AE104" i="1"/>
  <c r="AF104" i="1"/>
  <c r="AG104" i="1"/>
  <c r="AJ104" i="1"/>
  <c r="AJ98" i="1"/>
  <c r="AJ105" i="1"/>
  <c r="AK104" i="1"/>
  <c r="AN104" i="1"/>
  <c r="AK102" i="1"/>
  <c r="AN102" i="1"/>
  <c r="AK100" i="1"/>
  <c r="AN100" i="1"/>
  <c r="AC103" i="1"/>
  <c r="AC101" i="1"/>
  <c r="AB101" i="1"/>
  <c r="T103" i="1"/>
  <c r="T101" i="1"/>
  <c r="Z101" i="1"/>
  <c r="Y101" i="1"/>
  <c r="Y103" i="1"/>
  <c r="AB103" i="1"/>
  <c r="Z103" i="1"/>
  <c r="AD103" i="1"/>
  <c r="AD101" i="1"/>
  <c r="U101" i="1"/>
  <c r="U103" i="1"/>
  <c r="AA103" i="1"/>
  <c r="AA101" i="1"/>
  <c r="V101" i="1"/>
  <c r="X101" i="1"/>
  <c r="X103" i="1"/>
  <c r="AE101" i="1"/>
  <c r="W101" i="1"/>
  <c r="AF101" i="1"/>
  <c r="BG3" i="1"/>
  <c r="BG4" i="1"/>
  <c r="BG5" i="1"/>
  <c r="BG6" i="1"/>
  <c r="BG7" i="1"/>
  <c r="BG8" i="1"/>
  <c r="BG9" i="1"/>
  <c r="BG10" i="1"/>
  <c r="BG11" i="1"/>
  <c r="BG12" i="1"/>
  <c r="BG13" i="1"/>
  <c r="BG14" i="1"/>
  <c r="BG15" i="1"/>
  <c r="BG16" i="1"/>
  <c r="BG17" i="1"/>
  <c r="BG18" i="1"/>
  <c r="BG19" i="1"/>
  <c r="BG20" i="1"/>
  <c r="BG21" i="1"/>
  <c r="BG22" i="1"/>
  <c r="BG23" i="1"/>
  <c r="BG24" i="1"/>
  <c r="BG25" i="1"/>
  <c r="BG26" i="1"/>
  <c r="BG27" i="1"/>
  <c r="BG28" i="1"/>
  <c r="BG29" i="1"/>
  <c r="BG30" i="1"/>
  <c r="BG31" i="1"/>
  <c r="BG32" i="1"/>
  <c r="BG33" i="1"/>
  <c r="BG34" i="1"/>
  <c r="BG35" i="1"/>
  <c r="BG36" i="1"/>
  <c r="BG37" i="1"/>
  <c r="BG38" i="1"/>
  <c r="BG39" i="1"/>
  <c r="BG40" i="1"/>
  <c r="BG41" i="1"/>
  <c r="BG42" i="1"/>
  <c r="BG43" i="1"/>
  <c r="BG44" i="1"/>
  <c r="BG45" i="1"/>
  <c r="BG46" i="1"/>
  <c r="BG47" i="1"/>
  <c r="BG48" i="1"/>
  <c r="BG49" i="1"/>
  <c r="BG50" i="1"/>
  <c r="BG51" i="1"/>
  <c r="BG52" i="1"/>
  <c r="BG53" i="1"/>
  <c r="BG54" i="1"/>
  <c r="BG55" i="1"/>
  <c r="BG56" i="1"/>
  <c r="BG57" i="1"/>
  <c r="BG58" i="1"/>
  <c r="BG59" i="1"/>
  <c r="BG60" i="1"/>
  <c r="BG61" i="1"/>
  <c r="BG62" i="1"/>
  <c r="BG63" i="1"/>
  <c r="BG64" i="1"/>
  <c r="BG65" i="1"/>
  <c r="BG66" i="1"/>
  <c r="BG67" i="1"/>
  <c r="BG68" i="1"/>
  <c r="BG69" i="1"/>
  <c r="BG70" i="1"/>
  <c r="BG71" i="1"/>
  <c r="BG72" i="1"/>
  <c r="BG73" i="1"/>
  <c r="BG74" i="1"/>
  <c r="BG75" i="1"/>
  <c r="BG76" i="1"/>
  <c r="BG77" i="1"/>
  <c r="BG78" i="1"/>
  <c r="BG79" i="1"/>
  <c r="BG80" i="1"/>
  <c r="BG81" i="1"/>
  <c r="BG82" i="1"/>
  <c r="BG83" i="1"/>
  <c r="BG84" i="1"/>
  <c r="BG85" i="1"/>
  <c r="BG86" i="1"/>
  <c r="BG87" i="1"/>
  <c r="BG88" i="1"/>
  <c r="BG89" i="1"/>
  <c r="BG90" i="1"/>
  <c r="BG91" i="1"/>
  <c r="BG92" i="1"/>
  <c r="BG93" i="1"/>
  <c r="BG94" i="1"/>
  <c r="BG95" i="1"/>
  <c r="AH100" i="1"/>
  <c r="AH102" i="1"/>
  <c r="AH103" i="1"/>
  <c r="AH101" i="1"/>
  <c r="V103" i="1"/>
  <c r="AG101" i="1"/>
  <c r="AG103" i="1"/>
  <c r="AF103" i="1"/>
  <c r="AE103" i="1"/>
  <c r="AH104" i="1"/>
  <c r="W103" i="1"/>
</calcChain>
</file>

<file path=xl/comments1.xml><?xml version="1.0" encoding="utf-8"?>
<comments xmlns="http://schemas.openxmlformats.org/spreadsheetml/2006/main">
  <authors>
    <author>Greg Stymfal</author>
  </authors>
  <commentList>
    <comment ref="BI1" authorId="0" shapeId="0">
      <text>
        <r>
          <rPr>
            <b/>
            <sz val="9"/>
            <color indexed="81"/>
            <rFont val="Tahoma"/>
            <family val="2"/>
          </rPr>
          <t xml:space="preserve">Type * Ranking Group
Type = 
In Progress = 0.5
Enabler = 0.6
Business, EAD N/A = 0.8
Business, EAD number = 1
Ranking Group =  (1 to the max features in groups of 5)
 </t>
        </r>
      </text>
    </comment>
  </commentList>
</comments>
</file>

<file path=xl/comments2.xml><?xml version="1.0" encoding="utf-8"?>
<comments xmlns="http://schemas.openxmlformats.org/spreadsheetml/2006/main">
  <authors>
    <author>Greg Stymfal</author>
  </authors>
  <commentList>
    <comment ref="A1" authorId="0" shapeId="0">
      <text>
        <r>
          <rPr>
            <b/>
            <sz val="9"/>
            <color indexed="81"/>
            <rFont val="Tahoma"/>
            <family val="2"/>
          </rPr>
          <t xml:space="preserve">Check the EAD query results for matching CIs to see if the CI task is open forr the EAD. </t>
        </r>
      </text>
    </comment>
  </commentList>
</comments>
</file>

<file path=xl/comments3.xml><?xml version="1.0" encoding="utf-8"?>
<comments xmlns="http://schemas.openxmlformats.org/spreadsheetml/2006/main">
  <authors>
    <author>Greg Stymfal</author>
  </authors>
  <commentList>
    <comment ref="A1" authorId="0" shapeId="0">
      <text>
        <r>
          <rPr>
            <b/>
            <sz val="10"/>
            <color indexed="81"/>
            <rFont val="Tahoma"/>
            <family val="2"/>
          </rPr>
          <t>- Run RTC Query: PI_Planning_Individual_Feature
- export the results to a spreadheet
- copy (by value) the results to columns B..N</t>
        </r>
      </text>
    </comment>
    <comment ref="O1" authorId="0" shapeId="0">
      <text>
        <r>
          <rPr>
            <b/>
            <sz val="9"/>
            <color indexed="81"/>
            <rFont val="Tahoma"/>
            <family val="2"/>
          </rPr>
          <t>- Use points for stories
- Use Hours/8 for Problems
- The fields are mutually exclusive, so we can just add them.
- we don't include the setimates for Strategies and features because it would mess up the team formulas in AT and to the right.</t>
        </r>
      </text>
    </comment>
    <comment ref="R1" authorId="0" shapeId="0">
      <text>
        <r>
          <rPr>
            <b/>
            <sz val="9"/>
            <color indexed="81"/>
            <rFont val="Tahoma"/>
            <family val="2"/>
          </rPr>
          <t>=IF($D2="","ZeroEntry",        &lt;= ZeroEntry
IF($D2="Program Epic",0,       &lt;= no possible Feature, use 0
IF($Z2="Feature",$B2,      &lt;= this is a Feature, use this
IF($AN2="Feature", RIGHT($C2,6)+0,        &lt;= if parent is Feature, use parent
IF($AM2="Feature", RIGHT(VLOOKUP(RIGHT($C2,6)+0,$B:$C,2,FALSE),6)+0,     &lt;= if grand-parent is Feature, use grand-parent
0)))) )     &lt;= anything else use 0</t>
        </r>
        <r>
          <rPr>
            <sz val="9"/>
            <color indexed="81"/>
            <rFont val="Tahoma"/>
            <family val="2"/>
          </rPr>
          <t xml:space="preserve">
</t>
        </r>
      </text>
    </comment>
    <comment ref="AA1" authorId="0" shapeId="0">
      <text>
        <r>
          <rPr>
            <b/>
            <sz val="9"/>
            <color indexed="81"/>
            <rFont val="Tahoma"/>
            <family val="2"/>
          </rPr>
          <t xml:space="preserve">This column is no longer used. 
Keeping here just to avoid updating all of the formulas and macros that might have columns hardcoded.
</t>
        </r>
      </text>
    </comment>
    <comment ref="AB1" authorId="0" shapeId="0">
      <text>
        <r>
          <rPr>
            <b/>
            <sz val="9"/>
            <color indexed="81"/>
            <rFont val="Tahoma"/>
            <family val="2"/>
          </rPr>
          <t>=IF(LEFT($G2,2)="PI",LEFT($G2,5),&lt;= If the Planned for is a PI value, Use it (minus the “In Progress” or “Candidate” text
IF(OR(RIGHT($G2,2)="RR",$G2="Future"),$G2, &lt;= OTRR, DTRR, and Future don’t need a translation
IF(LEFT($G2,3)="EA ",  CONCATENATE("PI ", TEXT(VALUE(MID($G2,4,2)),"00")), &lt;= Convert EA N.x to PI N
"Unassigned"))))   &lt;= else "Unassigned"</t>
        </r>
      </text>
    </comment>
    <comment ref="AF1" authorId="0" shapeId="0">
      <text>
        <r>
          <rPr>
            <b/>
            <sz val="9"/>
            <color indexed="81"/>
            <rFont val="Tahoma"/>
            <family val="2"/>
          </rPr>
          <t xml:space="preserve">=IF($H2="Done", 0,          &lt;= Nothing remaining if “Done”
IF(AND($X2="Program Epic",COUNTIF($AA:$AA,$B2)=1),$M2,    &lt;= Epic with no children, use the estimated points
IF(AND($X2="Program Epic",$H2&lt;&gt;"Approved"),MAX($M2-SUMIFS($M:$M,$AA:$AA,$B2,$X:$X,"Feature"),0),    &lt;= Epic with children and not yet “Approved”, use estimated points minus the features estimated points (but don’t go negative). Approved Epics use 0 because Features will cover it.
IF(AND($X2="Feature",COUNTIF($AB:$AB,$B2)=1),$M2,      &lt;= Feature with no children, use the estimated points
IF($X2="Feature",MAX($M2-SUMIFS($P:$P,$H:$H,"Done",$AB:$AB,$B2),0),   &lt;= Feature with children, use estimated points minus the features estimated points (but don’t go negative)
IF(AND(OR($Y2="Story",$Y2="Problem"),$AC2=0),$x2,""))))))  &lt;= Featureless Stories and Problems use their points
</t>
        </r>
      </text>
    </comment>
    <comment ref="AI1" authorId="0" shapeId="0">
      <text>
        <r>
          <rPr>
            <b/>
            <sz val="9"/>
            <color indexed="81"/>
            <rFont val="Tahoma"/>
            <family val="2"/>
          </rPr>
          <t xml:space="preserve">Commented formula in this column (results for features and orphan stories only):
=IF(AND($Z2="Feature",LEFT($AR2,2)="PI"),     &lt;= Feature, assigned to an Increment 
   IF(AND(COUNTIF($AD:$AD,$B2)=1,$AF2=AY$1), IF($AR2=$A$10,$AV2,0),,   &lt;= Feature, assigned to an Increment, no stories, team matches, and it is the main PI then assign all unaccounted points to this team
IF(OR($AT2&lt;1,RIGHT($G2,8)="Progress"),SUMIFS($X:$X,$AD:$AD,$B2,$AF:$AF,AY$1,$Y:$Y,"&lt;&gt;Done",$AR:$AR,$A$10), &lt;= Feature, assigned to an Increment, NO missing story points or feature In Progress or Done points,
       then use all the remaining story points that that match this PI that match this team (don’t add any points from the feature estimate)
IF($AF2=AY$1,IF($AR2=$A$10,$AT2,0)+SUMIFS($X:$X,$AD:$AD,$B2,$AF:$AF,AY$1,$Y:$Y,"&lt;&gt;Done",$AR:$AR,$A$10),  &lt;= Feature, assigned to an Increment, MISSING story points, this team OWNS the feature and it is the main PI, then assign all unaccounted points to this team PLUS all the remaining story points that match this PI, that match this team
   SUMIFS($X:$X,$AD:$AD,$B2,$AF:$AF,AY$1,$Y:$Y,"&lt;&gt;Done",$AR:$AR,$A$10)))),  &lt;= Feature, assigned to an Increment, missing story points, this team DOESN’T OWN the feature, then assign all the remaining story points that match this team
IF(AND(OR($Z2="Story",$Z2="Problem"),$AR2=$A$10,$AD2=0,$AF2=AY$1,$Y2&lt;&gt;"Done"),$X2,  &lt;= Story, in correct Increment or Unassigned, no parent feature, this team, not Done, use story points
""))   &lt;= Not a feature or story in correct Increment
</t>
        </r>
      </text>
    </comment>
    <comment ref="AZ1" authorId="0" shapeId="0">
      <text>
        <r>
          <rPr>
            <b/>
            <sz val="9"/>
            <color indexed="81"/>
            <rFont val="Tahoma"/>
            <family val="2"/>
          </rPr>
          <t xml:space="preserve">=IF($X2="Feature",SUMIFS($P:$P,$AB:$AB,$B2,$H:$H,"&lt;&gt;Done",$AM:$AM,$A$7),      &lt;= for features use story points for matching feature, Status is &lt;&gt; Done
IF(AND($X2="Story",$AB2=0,$H2="&lt;&gt;Done", $AM2=$A$7),$P2,"")) ),      &lt;= for stories with no parent feature, use story point if  Status is "&lt;&gt;Done"
</t>
        </r>
        <r>
          <rPr>
            <sz val="9"/>
            <color indexed="81"/>
            <rFont val="Tahoma"/>
            <family val="2"/>
          </rPr>
          <t xml:space="preserve">
</t>
        </r>
      </text>
    </comment>
    <comment ref="BA1" authorId="0" shapeId="0">
      <text>
        <r>
          <rPr>
            <b/>
            <sz val="9"/>
            <color indexed="81"/>
            <rFont val="Tahoma"/>
            <family val="2"/>
          </rPr>
          <t>=IF(SUM(AX2:BR2)=0,"",SUM(AX2:BR2))   &lt;= Sum of the team columns</t>
        </r>
      </text>
    </comment>
    <comment ref="BB1" authorId="0" shapeId="0">
      <text>
        <r>
          <rPr>
            <b/>
            <sz val="9"/>
            <color indexed="81"/>
            <rFont val="Tahoma"/>
            <family val="2"/>
          </rPr>
          <t xml:space="preserve">=IF($X2="Feature",SUMIFS($P:$P,$AB:$AB,$B2,$H:$H,"&lt;&gt;Done",$AM:$AM,BM$1),
&lt;= for features use story points for matching feature, Status is not Done , proposed=&lt;header Value&gt; 
IF(AND($X2="Story",$AB2=0,$H2="&lt;&gt;Done", $AM2=$BM$1),$P2,""))   &lt;= for stories with no parent feature, use story point if  Status is not Done , proposed=&lt;header Value&gt; 
The &lt;Header value&gt; is one increment past the greatest of the proposed increments
</t>
        </r>
      </text>
    </comment>
    <comment ref="BI1" authorId="0" shapeId="0">
      <text>
        <r>
          <rPr>
            <b/>
            <sz val="9"/>
            <color indexed="81"/>
            <rFont val="Tahoma"/>
            <family val="2"/>
          </rPr>
          <t xml:space="preserve">=IF(AND(
      OR(AND(Z2="Problem",H2&lt;&gt;"Assessing",H2&lt;&gt;"Triage"),      &lt;= count problems even if zero points, but don't count if Problem is still in Triage or Assessing
             AND(Z2="Story",P2&lt;&gt;0)),
      AD2=0,    &lt;= not a part of a feature
      AF2&lt;&gt;"Process"),   &lt;= don't count Process team
"Add_Scope","No")
</t>
        </r>
      </text>
    </comment>
  </commentList>
</comments>
</file>

<file path=xl/sharedStrings.xml><?xml version="1.0" encoding="utf-8"?>
<sst xmlns="http://schemas.openxmlformats.org/spreadsheetml/2006/main" count="19529" uniqueCount="2378">
  <si>
    <t>Id</t>
  </si>
  <si>
    <t>Summary</t>
  </si>
  <si>
    <t>Proposed</t>
  </si>
  <si>
    <t>Planned For</t>
  </si>
  <si>
    <t>Status</t>
  </si>
  <si>
    <t>Estimated Story Points</t>
  </si>
  <si>
    <t>Owned By</t>
  </si>
  <si>
    <t>Target Deployment</t>
  </si>
  <si>
    <t>Team</t>
  </si>
  <si>
    <t>Strategy</t>
  </si>
  <si>
    <t>Sub-Strategy</t>
  </si>
  <si>
    <t># of Team's Impacted</t>
  </si>
  <si>
    <t>Done/Closed</t>
  </si>
  <si>
    <t>AMS-GS_AWARE</t>
  </si>
  <si>
    <t>SA</t>
  </si>
  <si>
    <t>SE</t>
  </si>
  <si>
    <t>Lab Support</t>
  </si>
  <si>
    <t>TOFF</t>
  </si>
  <si>
    <t>Tools</t>
  </si>
  <si>
    <t>UX</t>
  </si>
  <si>
    <t>WF_RAN</t>
  </si>
  <si>
    <t>Other (should be 0)</t>
  </si>
  <si>
    <t>Planned PI(s)</t>
  </si>
  <si>
    <t>Good/Bad</t>
  </si>
  <si>
    <t>Feature Status</t>
  </si>
  <si>
    <t>Rank</t>
  </si>
  <si>
    <t>MUOS</t>
  </si>
  <si>
    <t>NA</t>
  </si>
  <si>
    <t>Approved</t>
  </si>
  <si>
    <t>Kohagen, Jessica-P63742</t>
  </si>
  <si>
    <t>Business</t>
  </si>
  <si>
    <t>NetOps_SA_FM_GEO Strategy</t>
  </si>
  <si>
    <t>AWARE Infrastructure Sub-Strategy</t>
  </si>
  <si>
    <t>NA_InProgress</t>
  </si>
  <si>
    <t>Robustness_Reliability Strategy</t>
  </si>
  <si>
    <t xml:space="preserve">   </t>
  </si>
  <si>
    <t/>
  </si>
  <si>
    <t>Obsolescence Strategy</t>
  </si>
  <si>
    <t>EAD N/A</t>
  </si>
  <si>
    <t>Windows Obsolescence Sub-Strategy</t>
  </si>
  <si>
    <t>Good</t>
  </si>
  <si>
    <t>Enabler</t>
  </si>
  <si>
    <t>Sustainment Strategy</t>
  </si>
  <si>
    <t>Systems Integration &amp; Test Sub-Strategy</t>
  </si>
  <si>
    <t>ILS Sub-Strategy</t>
  </si>
  <si>
    <t>AMS-GS Sub-Strategy</t>
  </si>
  <si>
    <t>Tools Sub-Strategy</t>
  </si>
  <si>
    <t>Kaczocha, Mike-P57514</t>
  </si>
  <si>
    <t>Metrics, Test &amp; Analysis Sub-Strategy</t>
  </si>
  <si>
    <t>Cyber Strategy</t>
  </si>
  <si>
    <t>Cyber EAD Support Sub-Strategy</t>
  </si>
  <si>
    <t>RMF Process Sub-Strategy</t>
  </si>
  <si>
    <t>Cyber Security Monitoring Sub-Strategy</t>
  </si>
  <si>
    <t>Fault Management Sub-Strategy</t>
  </si>
  <si>
    <t>Pflueger, Mike</t>
  </si>
  <si>
    <t>Integrated Ground Call Services Sub-Strategy</t>
  </si>
  <si>
    <t>Total of Filtered items</t>
  </si>
  <si>
    <t>Planned Capacity</t>
  </si>
  <si>
    <t>Accum</t>
  </si>
  <si>
    <t>Accum %</t>
  </si>
  <si>
    <t>Green points (90%) used</t>
  </si>
  <si>
    <t>Unused green points</t>
  </si>
  <si>
    <t>Yellow points used</t>
  </si>
  <si>
    <t>Unused yellow/green points</t>
  </si>
  <si>
    <t>Red points</t>
  </si>
  <si>
    <t>Filtered Load /Capacity  Percentage</t>
  </si>
  <si>
    <t>SAFe Work Type</t>
  </si>
  <si>
    <t>Story/Prob Points</t>
  </si>
  <si>
    <t>MUOS Type</t>
  </si>
  <si>
    <t>Aceptance Status</t>
  </si>
  <si>
    <t>New</t>
  </si>
  <si>
    <t>Story</t>
  </si>
  <si>
    <t>Problem</t>
  </si>
  <si>
    <t>Step #</t>
  </si>
  <si>
    <t>Step</t>
  </si>
  <si>
    <t>Now for the Ranking Lookup tab</t>
  </si>
  <si>
    <t>Export the Ranking Plan in RTC to a .csv file</t>
  </si>
  <si>
    <t>Copy columns g-h</t>
  </si>
  <si>
    <t>paste into columns A-B of the Ranking Lookup tab</t>
  </si>
  <si>
    <t xml:space="preserve">The LM SharePoint location for this spreadsheet is:  </t>
  </si>
  <si>
    <t>Planned Capacity and Reserve of the Teams</t>
  </si>
  <si>
    <t>Total</t>
  </si>
  <si>
    <t>Grand Total</t>
  </si>
  <si>
    <t>Valid As Of</t>
  </si>
  <si>
    <t>Capacity</t>
  </si>
  <si>
    <t>Total Capacity</t>
  </si>
  <si>
    <t>Team Capacity</t>
  </si>
  <si>
    <t>Pre PI</t>
  </si>
  <si>
    <t xml:space="preserve">Deployment Assessment Definitions (da_x): </t>
  </si>
  <si>
    <t>1. Values to use are: Yes, No or Waiver</t>
  </si>
  <si>
    <t>da_yes</t>
  </si>
  <si>
    <t>1. “Yes” means we can deploy it per our interpretation of the criteria</t>
  </si>
  <si>
    <t>da_no</t>
  </si>
  <si>
    <t>1. “No” means we can’t deploy it per our interpretation of the criteria AND we feel it is candidate to move out beyond OTRR (not mapped to pre-OTRR mitigation step or recommending changing it so it is not mapped to pre-OTRR mitigation step)</t>
  </si>
  <si>
    <t>da_waiver</t>
  </si>
  <si>
    <t>1. “Waiver” means the feature is mapped to a mitigation step before OTRR and we feel it is essential for OTRR and should remain mapped to pre-OTRR mitigation step</t>
  </si>
  <si>
    <t>da_na</t>
  </si>
  <si>
    <t>1. “NA” means the feature is enabler or something that would not be applicable to deployment or deployment criteria; not related to any downstream pre-OTRR deployable business features</t>
  </si>
  <si>
    <t>da_na_yes</t>
  </si>
  <si>
    <t>1. “NA_Yes” means the feature is enabler or something that would not be applicable to deployment or deployment criteria BUT it feeds a downstream pre-OTRR deployable business feature that is tagged “Yes”</t>
  </si>
  <si>
    <t>da_na_no</t>
  </si>
  <si>
    <t>1. “NA_No” means the feature is enabler or something that would not be applicable to deployment or deployment criteria BUT it feeds a downstream pre-OTRR deployable business feature that is tagged “No”</t>
  </si>
  <si>
    <t>da_na_waiver</t>
  </si>
  <si>
    <t>1. “NA_Waiver” means the feature is enabler or something that would not be applicable to deployment or deployment criteria BUT it feeds a downstream pre-OTRR deployable business feature that is tagged “Waiver”</t>
  </si>
  <si>
    <t>Unassigned</t>
  </si>
  <si>
    <t>Phillips, Steven-p66912</t>
  </si>
  <si>
    <t>Implementing</t>
  </si>
  <si>
    <t>IETM_Training</t>
  </si>
  <si>
    <t>ILS: Logistics</t>
  </si>
  <si>
    <t>CSE</t>
  </si>
  <si>
    <t>Cetroute, Billy-p69258</t>
  </si>
  <si>
    <t># of PWI children</t>
  </si>
  <si>
    <t># of EWI children</t>
  </si>
  <si>
    <t>McMahon, Tom-P57170</t>
  </si>
  <si>
    <t>Total Features:</t>
  </si>
  <si>
    <t>% Planned</t>
  </si>
  <si>
    <t>Parent</t>
  </si>
  <si>
    <t>Feature</t>
  </si>
  <si>
    <t>PI 11</t>
  </si>
  <si>
    <t>Spare1</t>
  </si>
  <si>
    <t>Spare2</t>
  </si>
  <si>
    <t>Add Scope</t>
  </si>
  <si>
    <t>MUOS/AMS-GS_AWARE</t>
  </si>
  <si>
    <t>Process</t>
  </si>
  <si>
    <t>MUOS/TOFF</t>
  </si>
  <si>
    <t>MUOS/Tools</t>
  </si>
  <si>
    <t>MUOS/IETM-Training</t>
  </si>
  <si>
    <t>MUOS/Logistics</t>
  </si>
  <si>
    <t>MUOS/Cyber Security Engineering</t>
  </si>
  <si>
    <t>RelReg</t>
  </si>
  <si>
    <t>PI 12</t>
  </si>
  <si>
    <t>18-02</t>
  </si>
  <si>
    <t>Draft</t>
  </si>
  <si>
    <t>19-10</t>
  </si>
  <si>
    <t>EAD 13</t>
  </si>
  <si>
    <t>Albal, Kishore A</t>
  </si>
  <si>
    <t>SA Infrastructure Sub-Strategy</t>
  </si>
  <si>
    <t>19-03</t>
  </si>
  <si>
    <t>Williams, Michael-P27394</t>
  </si>
  <si>
    <t>Windows 10 Laptop for ETT</t>
  </si>
  <si>
    <t xml:space="preserve">Windows 10 Laptop for AJM/MTC </t>
  </si>
  <si>
    <t>Close Pending</t>
  </si>
  <si>
    <t>Type</t>
  </si>
  <si>
    <t>Filed Against</t>
  </si>
  <si>
    <t>Story Points (numeric)</t>
  </si>
  <si>
    <t>Estimate</t>
  </si>
  <si>
    <t>Net status</t>
  </si>
  <si>
    <t>Story/Prob</t>
  </si>
  <si>
    <t>Great-Great-Great-Grandparent</t>
  </si>
  <si>
    <t>Great-Great-Grandparent</t>
  </si>
  <si>
    <t>Great-Grandparent</t>
  </si>
  <si>
    <t>Grandparent Type</t>
  </si>
  <si>
    <t>Parent Type</t>
  </si>
  <si>
    <t>Child Type</t>
  </si>
  <si>
    <t>Spare 1</t>
  </si>
  <si>
    <t>"Planning" Timeline</t>
  </si>
  <si>
    <t>Story/Prob Est. Total</t>
  </si>
  <si>
    <t>Story/Prob Est. Delta</t>
  </si>
  <si>
    <t>% Story Estimate Change</t>
  </si>
  <si>
    <t>Story/Prob Est. Remaining</t>
  </si>
  <si>
    <t>ILS</t>
  </si>
  <si>
    <t>Additional Scope</t>
  </si>
  <si>
    <t>Planning PI:</t>
  </si>
  <si>
    <t>EAD 14</t>
  </si>
  <si>
    <t>Roberts, Shawn-P56361</t>
  </si>
  <si>
    <t>Assessing</t>
  </si>
  <si>
    <t>Munoz, Ricardo-p66905</t>
  </si>
  <si>
    <t>Future</t>
  </si>
  <si>
    <t>Triage</t>
  </si>
  <si>
    <t>#251622</t>
  </si>
  <si>
    <t>Valverde, Michael-P57677</t>
  </si>
  <si>
    <t>De Leon, Lisa-P25002</t>
  </si>
  <si>
    <t>Dailey, Conan B</t>
  </si>
  <si>
    <t>Syring, Michael-P64348</t>
  </si>
  <si>
    <t>18-06</t>
  </si>
  <si>
    <t>Configuration Item</t>
  </si>
  <si>
    <t>External Record Reference</t>
  </si>
  <si>
    <t>Related</t>
  </si>
  <si>
    <t>Tags</t>
  </si>
  <si>
    <t>Features</t>
  </si>
  <si>
    <t>Modified Date</t>
  </si>
  <si>
    <t>SIEM Impacts from SAN Switch (FOUO)</t>
  </si>
  <si>
    <t>01-P58397P001 - GTS - SWITCH</t>
  </si>
  <si>
    <t>ewi2pwi</t>
  </si>
  <si>
    <t>Williams, Josh-P66987</t>
  </si>
  <si>
    <t>Task</t>
  </si>
  <si>
    <t>98-P53523T - GIS - SVD</t>
  </si>
  <si>
    <t>SIEM Impacts from SAN Switch (SECRET)</t>
  </si>
  <si>
    <t>MAS - Need new non-node-locked licenses for BEA Weblogic</t>
  </si>
  <si>
    <t>98-P52180E - GTS - SWITCH - MAS - SVD</t>
  </si>
  <si>
    <t>98-P54191T - NMS - NM - FCAP - FaultMgmt - SVD</t>
  </si>
  <si>
    <t>Root password update corrupts root password for mas server</t>
  </si>
  <si>
    <t>irmapproved, sev_checked</t>
  </si>
  <si>
    <t>98-P54199T - NMS - NM - Security - AntiVirusHIDS - SVD</t>
  </si>
  <si>
    <t>98-P53492T - GTS - RN - ETI - SP - SVD</t>
  </si>
  <si>
    <t>Harpt, Mark-P56785</t>
  </si>
  <si>
    <t>severity_checked</t>
  </si>
  <si>
    <t>98-P54107T - GEO - AMS-GS SVD</t>
  </si>
  <si>
    <t>#troubleticket, sev_checked</t>
  </si>
  <si>
    <t>#troubleticket, dt_assist_4, sev_checked</t>
  </si>
  <si>
    <t>98-P59859M - NMS - NM - Splunk - Infra - SVD</t>
  </si>
  <si>
    <t>SR 993880 / INC000003445999: WH- TPM Workflow Failures During ETISP Switchovers</t>
  </si>
  <si>
    <t>ETISP SVD Redlines</t>
  </si>
  <si>
    <t>area default in the ipworks worldwide script needs to be defined explicitly</t>
  </si>
  <si>
    <t>98-P53508T - GTS - SWITCH - DNS - DHCP - SVD</t>
  </si>
  <si>
    <t>sev_checked</t>
  </si>
  <si>
    <t>98-P53511T - GTS - RN - RNC - SVD</t>
  </si>
  <si>
    <t>DNSDHCP Server Install has incomplete / out-of-date instructions for Tectia installation (Appendix T)</t>
  </si>
  <si>
    <t>EAD 11</t>
  </si>
  <si>
    <t>98-P55755M - Firewall - Network - SVD</t>
  </si>
  <si>
    <t>98-P53510T - GTS - RN - RBS - SVD</t>
  </si>
  <si>
    <t>98-P59858M - NMS - NM - Splunk - App - SVD</t>
  </si>
  <si>
    <t>TUB Synchronization Monitor function is faulty</t>
  </si>
  <si>
    <t>#troubleticket, spas00000142174, sev_checked</t>
  </si>
  <si>
    <t>98-P54196T - NMS - NM - FCAP - PerfMgmt - SVD</t>
  </si>
  <si>
    <t>VLAB RBS11 is sometimes not Behaving According to the ETI Calibration Enabled flag</t>
  </si>
  <si>
    <t>98-P55479M - GTS - RN - ETI - ETT - SVD</t>
  </si>
  <si>
    <t>Module May Repeatedly Reject Provisioning of a Group</t>
  </si>
  <si>
    <t>RNC Health Check provides number of groups provisioned on each RNC.  Need O-Level routine procedure to then verify each RNC has the same number of Groups &amp; Recovery procedures if not.</t>
  </si>
  <si>
    <t>99-P52182E - GTS - HSM - ERS</t>
  </si>
  <si>
    <t>RNC System: Correct Group Power Control Rate Reduction algorithm per CAI RevT</t>
  </si>
  <si>
    <t>EIC PDR reconnection issues due to table entries not being deleted</t>
  </si>
  <si>
    <t>98-P55510M - GTS - RN - ETI - AWARE - SVD</t>
  </si>
  <si>
    <t>RNC AARM Alarms and Events should provide info on trigger</t>
  </si>
  <si>
    <t>Baumgartner, Robert-p57221</t>
  </si>
  <si>
    <t>SIB Configuration for, BUT NOT UNTIL,  WFv3.1</t>
  </si>
  <si>
    <t>GTS: RNC may not be respecting rncRetransmitRequestDiscardInterval</t>
  </si>
  <si>
    <t>INC000002967645 : AU - Groups unable to read Group Enabled messages</t>
  </si>
  <si>
    <t>McGrew II, Michael-P65920</t>
  </si>
  <si>
    <t>GIS NW Juniper Router IPV6 configuration error</t>
  </si>
  <si>
    <t>TIS Lantronix is pointing to the wrong siem collector</t>
  </si>
  <si>
    <t>GIS Server Install has incomplete / out-of-date instructions for Tectia installation (Appendix A.6)</t>
  </si>
  <si>
    <t>Lyon, Glen M</t>
  </si>
  <si>
    <t>SR 974188INC000003192066: WH- Under the "Juniper M10i Router - Isolate Failure" section of the IETM. Procedure is misleading.</t>
  </si>
  <si>
    <t>Firewall is blocking some SIP BYE messages</t>
  </si>
  <si>
    <t>Workstation LDAP Browser connection is inconsistent to cscf-wh</t>
  </si>
  <si>
    <t>98-P53543T - GTS - SWITCH - CSCF - SVD</t>
  </si>
  <si>
    <t>severity_checked, #troubleticket</t>
  </si>
  <si>
    <t>Determine and fix root cause of CSCF Diameter interface drops</t>
  </si>
  <si>
    <t>#troubleticket, severity_checked</t>
  </si>
  <si>
    <t>RCG server 1, 2, and possibly 3 issue - sciasrfw1 firewalls reports that RCGs1 &amp; RCGs2 communication with Australia fcu over port 8081 is not allowed</t>
  </si>
  <si>
    <t>98-P53556T - GTS - RN - RCG Router - SVD</t>
  </si>
  <si>
    <t>#troubleticket</t>
  </si>
  <si>
    <t>98-P59405M - NMS - NM - Common - MSSQLServer - SVD</t>
  </si>
  <si>
    <t>MUOS Geolocation: Update Zeta AMS-GS UI Server document Section titled "PKI Updates" to include copying only public key material for app201 and app202 servers onto the UI server</t>
  </si>
  <si>
    <t>Update AMS-GS SVD to include reference to IETM procedure for MAC Learning</t>
  </si>
  <si>
    <t>98-P54139T - ILS - IETM SVD</t>
  </si>
  <si>
    <t>98-P54139T MUOS Interactive Technical Manual (IETM) needs to be updated to point to 99-P53449E Interactive Electronic Technical Manual</t>
  </si>
  <si>
    <t>98-P54188T - NMS - NM - Security - AAA - SVD</t>
  </si>
  <si>
    <t>frb_2019-02, severity_checked</t>
  </si>
  <si>
    <t>WH- Incorrect Timestamps on GeoProc Logs</t>
  </si>
  <si>
    <t>98-P54189T - NMS - NM - FCAP - GeoProc - SVD</t>
  </si>
  <si>
    <t>Automate cscf check on mm12</t>
  </si>
  <si>
    <t>98-P54190T - NMS - NM - FCAP - EMM - SVD</t>
  </si>
  <si>
    <t>Black, Colin R</t>
  </si>
  <si>
    <t>NMS: FM topology install script does not support special character</t>
  </si>
  <si>
    <t>NMS FM: SECRET FM should receive faults from TDS in their original color</t>
  </si>
  <si>
    <t>NMS B3: FM RAF Probe disconnect alarms sometimes do not clear</t>
  </si>
  <si>
    <t>NMS SNMP V3 Traps from ATM switch</t>
  </si>
  <si>
    <t>NM3_21 rebase for PCR MUOSD00304745</t>
  </si>
  <si>
    <t>98-P54194T - NMS - NM - FCAP - NetMAC - SVD</t>
  </si>
  <si>
    <t>AV/HIDS SVD installation issue: EPO verification for mas-xx server</t>
  </si>
  <si>
    <t>NMS SVD Changes Needed for Repair and Replace - AV/HIDS</t>
  </si>
  <si>
    <t>NMS B3: AV/HIDS scanning causes error messages</t>
  </si>
  <si>
    <t>SR 993528 / INC000003443363: WH-McAfee ePO Orchestrator Using Incorrect Timezone</t>
  </si>
  <si>
    <t>#troubleticket, irmapproved, sev_checked</t>
  </si>
  <si>
    <t>[Urgent] SR 984301 / INC000003355751: MUOS -McAfee preventing ETISP to go into running</t>
  </si>
  <si>
    <t>RANI network connection between WH and other sites fails and does not auto-recover</t>
  </si>
  <si>
    <t>98-P55477M - GTS - RN - RANI - SVD</t>
  </si>
  <si>
    <t>ETT SVD Migration Section Clean Up</t>
  </si>
  <si>
    <t>Nadolski, Richard-P57245</t>
  </si>
  <si>
    <t>Actions for ETI Configuration Tool alarm (Event ID ECT_0001) needs additional recovery steps</t>
  </si>
  <si>
    <t>ETT Update Alignment procedures with AU Site Alignment Optimization Redlines (ETT SVD and Alignment docs)</t>
  </si>
  <si>
    <t>TCC: (R2.1) Sunview KVM Model SNX1198b Impact on HP DL360 for Windows Server 2012</t>
  </si>
  <si>
    <t>98-P55483M - OS - WindowsServer2012 - SVD</t>
  </si>
  <si>
    <t>Ruminski, Paul-P57218</t>
  </si>
  <si>
    <t>GS: RHEL OS SVD incorrect CI in table 8</t>
  </si>
  <si>
    <t>98-P55503M - OS - RHEL - SVD</t>
  </si>
  <si>
    <t>98-P55504M - Network - HAIPE - SVD</t>
  </si>
  <si>
    <t>98-P59422M - NMS - NM - SecretAppServer - SVD</t>
  </si>
  <si>
    <t>98-P55607M - GTS - TIS - SVD</t>
  </si>
  <si>
    <t>98-P55613M RevG Earth Terminal Front End Processor (FEP) and GUI LIB 1244 Corrupt</t>
  </si>
  <si>
    <t>98-P55613M - GTS - RN - ET - SVD</t>
  </si>
  <si>
    <t>98-P55616M - IA - SVD</t>
  </si>
  <si>
    <t>Acas laptop acaslaptop-au scanning on the wrong interface/port to certain devices</t>
  </si>
  <si>
    <t>Acas laptop acaslaptop-sc scanning on the wrong interface/port or ip address to certain devices</t>
  </si>
  <si>
    <t>Acas laptop acaslaptop-wh-01 scanning on the wrong interface/port to certain devices</t>
  </si>
  <si>
    <t>UPdate the ETI Level 3 Test Procedure</t>
  </si>
  <si>
    <t>98-P55636M - GTS - RN - ETI - SVD</t>
  </si>
  <si>
    <t>Martin, Patrick-P64995</t>
  </si>
  <si>
    <t>B3 LBIP - Default SNMPv3 credentials need to be changed to match guidelines</t>
  </si>
  <si>
    <t>Field error checking needed in the ETI Configuration Tool</t>
  </si>
  <si>
    <t>SCS: AJM: Path to AJM ISO In AJM SVD is incorrect.</t>
  </si>
  <si>
    <t>98-P57029M - SCS - TTC - AJM Unclassified- SVD</t>
  </si>
  <si>
    <t>98-P57034M - SCS - TTC - AJM Classified- SVD</t>
  </si>
  <si>
    <t>SCS_Switch_SVD incorrect installation instructions for TCA switches</t>
  </si>
  <si>
    <t>98-P59277M - SCS - Switch - Ethernet SVD</t>
  </si>
  <si>
    <t>98-P59291M - SCS - OA - SVD</t>
  </si>
  <si>
    <t>SPAS00000172042: HQ -  Inaccurate fuel used calculation for missing telemetry for non-nominal thruster activity</t>
  </si>
  <si>
    <t>ewi2pwi, #troubleticket, spas00000172042, ads</t>
  </si>
  <si>
    <t>TTS Platform SVD is missing instructions to set the MTU size</t>
  </si>
  <si>
    <t>98-P59293M - SCS - TTS Platform - SVD</t>
  </si>
  <si>
    <t>ewi2pwi, #troubleticket, 537174, sev_checked</t>
  </si>
  <si>
    <t>TTS Platform SVD is missing clear instructions on how to perform a clean install (for a spare)</t>
  </si>
  <si>
    <t>#troubleticket, sr537174, spas00000116838, sev_checked</t>
  </si>
  <si>
    <t>SPAS00000150095: NMS - B3 - TSM Cannot Age Data from oss11wh (SPAS00000150095)</t>
  </si>
  <si>
    <t>98-P59401M - NMS - NM - Common - TSM - SVD</t>
  </si>
  <si>
    <t>#troubleticket, spas00000150095, sev_checked</t>
  </si>
  <si>
    <t>NMS SVD Changes Needed for Repair and Replace - Windows Server</t>
  </si>
  <si>
    <t>98-P59402M - NMS - NM - Common - MSServer - SVD</t>
  </si>
  <si>
    <t>98-P59402M003 RevL (12/6/2017) : NM Microsoft Windows 2003 Server, SVD references 98-P54199T NM AV/HIDS SVD (4-942) but not the 98-P59854M NM HBSS SVD</t>
  </si>
  <si>
    <t>fcap101-wh-nma issue - whiassfw1 firewall reports that fcap101-wh-nma communication with  etnbe-au/nw/sc/wh over port 8081 is not allowed.</t>
  </si>
  <si>
    <t>The SQL logs on the database servers can grow too large and fill up disk space (INC000001570435)</t>
  </si>
  <si>
    <t>Lab GndGdsIpAddrs does not use all available SSA HAIPEs</t>
  </si>
  <si>
    <t>NMS: OTAP Common Data: Add power control parameters for 9.6_64 MRAB to Provisioning</t>
  </si>
  <si>
    <t>NMS:  McAfee Inturshield and the FM tool need to setup for SNMP TRAPS</t>
  </si>
  <si>
    <t>98-P59411M - NMS - NM - FCAP - McAfeeNIDS - SVD</t>
  </si>
  <si>
    <t>98-P59412M - NMS - NM - Provisioning - KeyMgmt - SVD</t>
  </si>
  <si>
    <t>NMS - B3 - KMS Needs a Mechanism to Forget RCG Public Keys</t>
  </si>
  <si>
    <t>NMS distributing New keys with older keytags when ECU rekey occurs while UE not registered on the network</t>
  </si>
  <si>
    <t>Bulk Key Management Introduced Logging of Unusable Keys During Key Loading</t>
  </si>
  <si>
    <t>INC000001506132: WH - OTAP101-WH-NMA, The source component detected a failure processing a received JMS message.</t>
  </si>
  <si>
    <t>ewi2pwi, #troubleticket, sev_checked</t>
  </si>
  <si>
    <t>Data from OSS-RC is not reliably being delivered</t>
  </si>
  <si>
    <t>98-P59417M - NMS - NM - FCAP - OSSRC - SVD</t>
  </si>
  <si>
    <t>OSSRC cannot process TFDU message received from OssrcIface</t>
  </si>
  <si>
    <t>98-P59418M - NMS - NM - FCAP - OSSRCIface - SVD</t>
  </si>
  <si>
    <t>OTAP needs to generate a critical alarm when the OTAP Application service is stopped.</t>
  </si>
  <si>
    <t>98-P59419M - NMS - NM - Provisioning - OTAP - SVD</t>
  </si>
  <si>
    <t>Always display current MPR data for a group in PPA &amp; Splunk</t>
  </si>
  <si>
    <t>B3 NMS - Spectrum Mask Management Updates Do Not Sync Profiles</t>
  </si>
  <si>
    <t>NMS B3 - SIEM Not Receiving Events From Various Syslog Event Sources</t>
  </si>
  <si>
    <t>98-P59428M - NMS - NM - Security - SIEM - SVD</t>
  </si>
  <si>
    <t>Collecting SIEM syslog events from the SGSN</t>
  </si>
  <si>
    <t>Recovery Steps in Ground System Account Maintenance Plan "setup (SAN Switch)" need clarification</t>
  </si>
  <si>
    <t>98-P59430M - NMS - NM - Common - SANSwitch - SVD</t>
  </si>
  <si>
    <t>REBASE: NMS-SECRET TDS reports failed to write to socket probe</t>
  </si>
  <si>
    <t>98-P59431M - NMS - NM - FCAP - FMTDS - SVD</t>
  </si>
  <si>
    <t>NMS SVD Changes Needed for Repair and Replace - TPM</t>
  </si>
  <si>
    <t>98-P59432M - NMS - NM - FCAP - TPM - SVD</t>
  </si>
  <si>
    <t>Configuration issue found during EAD-3 deployment for ETISP workflow</t>
  </si>
  <si>
    <t>DB2 HADR failover script problematic</t>
  </si>
  <si>
    <t>NMS TPM failover HADR scripts problematic</t>
  </si>
  <si>
    <t>MAS Security audit logs not accessible by SIEM Service</t>
  </si>
  <si>
    <t>993529/INC000003443396: WH- Incorrect Timestamps on Tivoli Provisioning Manager (TPM) Workflow Logs</t>
  </si>
  <si>
    <t>Create periodic procedure to verify system-wide operation of the NTP service</t>
  </si>
  <si>
    <t>98-P59785M - NMS - NM - Common - Utilities - SVD</t>
  </si>
  <si>
    <t>98-P59805M - NMS - NM - Planning - SC-GEO - SVD</t>
  </si>
  <si>
    <t>ET Antenna Data Adapter cannot recover from a null SNMP response PDU</t>
  </si>
  <si>
    <t>Redlines for Printer SVD</t>
  </si>
  <si>
    <t>98-P59844M - NMS - NM - Common - Printer - SVD</t>
  </si>
  <si>
    <t>Site printer install instructions will not support printing from all WIn10 and XP workstations</t>
  </si>
  <si>
    <t>98-P59856M - Network - ExtremeSwitch - SVD</t>
  </si>
  <si>
    <t>Red Lines to Extreme Switch to update instructions on the MAC Lockdown</t>
  </si>
  <si>
    <t>Splunk PtX service summary dashboards: RAF ping probe failure causes all cells in RAF to show Partial for PtX</t>
  </si>
  <si>
    <t>SPLUNK incorrectly display congestion on a cell that had been cleared of congestion</t>
  </si>
  <si>
    <t>98-P59860M - NMS - NM - OS - Win10Workstation - SVD</t>
  </si>
  <si>
    <t>ERS replacement documentation does not mention establishing WCDMA services</t>
  </si>
  <si>
    <t>99-P52182E RevE 99-P52182E ERS HSM doesn't match PL01-P51667E ERS Cabinet Updates for Aware</t>
  </si>
  <si>
    <t>Klug, Keith-P64249</t>
  </si>
  <si>
    <t>sev_checked, irmapproved</t>
  </si>
  <si>
    <t>MUOS Geolocation: Update PKI document to copy only the bare minimum files needed for UI and DB server</t>
  </si>
  <si>
    <t>Cox, Steve-P57681</t>
  </si>
  <si>
    <t>PKI TR the SCS Ethernet Switch section needs to be updated for cisco commands</t>
  </si>
  <si>
    <t>PKI  - JMS applications missing instructions to remove obsolete CRLs and CAs</t>
  </si>
  <si>
    <t>PKI  - Tectia missing instructions to remove obsolete CRLs and CAs</t>
  </si>
  <si>
    <t>IG - PKI - Missing Instructions to Generate Certificates for NMF Printers</t>
  </si>
  <si>
    <t>IETM HP DP385 BIOS procedure update for MUOS Ground System Account Maintenance Plan</t>
  </si>
  <si>
    <t>Add OSS-RC Sybase "sa" Account to Account Management Plan</t>
  </si>
  <si>
    <t>Update account management document to address SCS KVM equipment Password management</t>
  </si>
  <si>
    <t>Failure to provision A4 key should not leave key in the "in-transit" state</t>
  </si>
  <si>
    <t>MAINT: WF got stuck during expedited intermittently</t>
  </si>
  <si>
    <t>99-P58492M - UES</t>
  </si>
  <si>
    <t>GOVT: BLER not reported for active service when Group is joined.</t>
  </si>
  <si>
    <t>GOVT: No Signal Generated from MCaiAsnas to MCaiControl to Save the GCK as indicated by SDD</t>
  </si>
  <si>
    <t>MAINT: An inadvertent re-transmission of a segment during OTAFT killed the OTAFT session.</t>
  </si>
  <si>
    <t>GOVT: PT HAIPE crashes if IKE-5 has to be retransmitted (PtP Voice Only)</t>
  </si>
  <si>
    <t>GOVT: OTA WF stuck after inter RNC move on processing incoming call</t>
  </si>
  <si>
    <t>MAINT: Incoming page for a call not received while the radio was joined to a group</t>
  </si>
  <si>
    <t>GOVT: PTP originating end allowed to setup a call with MBR not supported by terminating end</t>
  </si>
  <si>
    <t>GOVT:  SW - Handle "Retry" of INVITE from MFT that went OOS</t>
  </si>
  <si>
    <t>MAINT: UE brings up C0 twice when receiving a page during PSM.</t>
  </si>
  <si>
    <t>MILSTD: Failure to reenter PSM after SIP Re-registration</t>
  </si>
  <si>
    <t>MILSTD: WF does not abide by the PRACH message power calculation in the CAI-ICD and ignores the power offset setting sent by</t>
  </si>
  <si>
    <t>MAINT: Beam-carrier Evaluation for MAMA Request differs from documentation</t>
  </si>
  <si>
    <t>MAINT:  Memory Access Error when pulling rf cable while RLC has packets to send.</t>
  </si>
  <si>
    <t>MAINT:  Group Talker loses data</t>
  </si>
  <si>
    <t>MAINT: Group Tx denied continuosly, WF did not go OOS</t>
  </si>
  <si>
    <t>OTA: Missing the first U2B DCH message occurred more often in WFV3.1.5</t>
  </si>
  <si>
    <t>MAINT: Power Control calculation needs to use BLER input as feedback</t>
  </si>
  <si>
    <t>OTA: Selecting a new Profile while in EMCON can cause WF not to launch</t>
  </si>
  <si>
    <t>GOVT: Stuck in initial acquisition when the stronger cell doesn't respond to range requests</t>
  </si>
  <si>
    <t>MAINT: Tx-Over-Ride had garbled voice while a talker was releasing</t>
  </si>
  <si>
    <t>MAINT: Develop group buffering improvements in the WF</t>
  </si>
  <si>
    <t>GOVT: PRACH Message Part power level does not match what is specified in the CAI</t>
  </si>
  <si>
    <t>OTA: Apply Periodic Rach Ranging (PRR) Response incorrect when rollover by a frame</t>
  </si>
  <si>
    <t>GOVT: EMCON Mobility failure during Group Join if experiencing BCH CRC errors</t>
  </si>
  <si>
    <t>GOVT: WF task crash when active KS deleted</t>
  </si>
  <si>
    <t>GOVT: RLCDL crash under 64K PtP call and exchanging small sized pkts (100bytes) with maritime severe</t>
  </si>
  <si>
    <t>GOVT: 384k DCH power is fluctuating 4 dB in an AWGN channel</t>
  </si>
  <si>
    <t>GOVT: Sending MSN in Conversational Voice is resetting the Inactivity Timer</t>
  </si>
  <si>
    <t>GOVT: Transmit IMSI permission granted but the WF goes OOS 3 to 4 times before completing registration</t>
  </si>
  <si>
    <t>GOVT: Need to determine how to handle SCIP Assembly files</t>
  </si>
  <si>
    <t>GOVT: BCI documentation updates</t>
  </si>
  <si>
    <t>MAINT: CellUpdateConfirm failed to receive during calls deactive</t>
  </si>
  <si>
    <t>GOVT: WF fails to play Group Transmit Request Failure (GTRF) tone</t>
  </si>
  <si>
    <t>GOVT: Freq Drift Change Request</t>
  </si>
  <si>
    <t>MILSTD:  WF Issue with PSM Periodic RAU</t>
  </si>
  <si>
    <t>GOVT: WDS Appendix I Mobility Trigger 1 is incorrect</t>
  </si>
  <si>
    <t>MAINT: Always prefer dynamic IP for PtP &amp; make PtN choice a preference</t>
  </si>
  <si>
    <t>MAINT: Full Duplex IP data does not always resume after multi RAB mobility</t>
  </si>
  <si>
    <t>MAINT: Display progress information during bootstrap provisioning.</t>
  </si>
  <si>
    <t>MAINT: Undocumented Error codes in 3.1.5</t>
  </si>
  <si>
    <t>MAINT: CELL_FACH Mobility does not work with DTI enabled</t>
  </si>
  <si>
    <t>MILSTD: The Receive Mask in the Composite Report Mask is +25 kHz from what it should be</t>
  </si>
  <si>
    <t>GOVT: Rinfinity Target BLER initialization missing</t>
  </si>
  <si>
    <t>GOVT: GDS Reg results in task crash when FFVS is expired</t>
  </si>
  <si>
    <t>GOVT: HAIPE DN table and LEP table are limited to 4 subnets</t>
  </si>
  <si>
    <t>GOVT: Allow profile portability &amp; zeroization recovery after AES rekey</t>
  </si>
  <si>
    <t>GOVT: WF does not update HAIPE config in persisted data on Monthly PPK Changeover</t>
  </si>
  <si>
    <t>MAINT: WDS Appendix E is missing GrpCongCellReselTimer</t>
  </si>
  <si>
    <t>MAINT: FWDD - Use of persistanent clock estimate in L1</t>
  </si>
  <si>
    <t>GOVT: Handle "Retry" of INVITE from MFT that went OOS</t>
  </si>
  <si>
    <t>MAINT: RBS did not receive U2B DCH preambles intermittently (0.4%)</t>
  </si>
  <si>
    <t>MAINT: Parent-New mobility trigger for congestion</t>
  </si>
  <si>
    <t>MAINT: WF log (decibel) measurements</t>
  </si>
  <si>
    <t>MAINT: Use beam average pathgain in open loop power control</t>
  </si>
  <si>
    <t>MAINT: UE should not read SIBs/Group Enable on gaining cell</t>
  </si>
  <si>
    <t>MAINT: Antenna Gain/External Power Source in MAMA Request</t>
  </si>
  <si>
    <t>HMS: Failure to reject new group transmit request when transmitting to group</t>
  </si>
  <si>
    <t>MAINT: COTS Asnas code has lots of active but unused code</t>
  </si>
  <si>
    <t>HMS: WF fatal error 0x7A5C0673 while deleting PPKs</t>
  </si>
  <si>
    <t>GOVT: Red side activation timer does not allow Ground Inactivity Timer to control timeout</t>
  </si>
  <si>
    <t>RR2: Uncovered state timer changes</t>
  </si>
  <si>
    <t>MAINT: TTI indicator got set too early before transmit for UL DCH</t>
  </si>
  <si>
    <t>MAINT: Remove QTimer thread in MCaiControl</t>
  </si>
  <si>
    <t>RR2: Downlink CRC Error Triggers Cell Update</t>
  </si>
  <si>
    <t>MAINT: Session ID range check, Packetizer is receiving session ID larger than 0 - 15 limit</t>
  </si>
  <si>
    <t>MAINT: PSM and EMCON interaction results in WF hang</t>
  </si>
  <si>
    <t>RR2:  UE fails to trigger mobility when the group id is removed from the groupEnabled messages.</t>
  </si>
  <si>
    <t>RR2: DSN Call Terminated After Waveform Doesn't Acknowledge Retransmitted SPRT: PHYSUP and CONNECT</t>
  </si>
  <si>
    <t>MAINT: Improvement on handling the response of allocatePtpService() interface</t>
  </si>
  <si>
    <t>GOVT: Profile Manager efficiency improvements</t>
  </si>
  <si>
    <t>RR2: Invalid Cell ID/ sbcIndex displayed during EMCON in boot up.</t>
  </si>
  <si>
    <t>RR2: UE stuck processing incoming call if GDS query for Originating UE fails</t>
  </si>
  <si>
    <t>GOVT: WF HAIPE SW only supports a maximum of 24 PPKs.</t>
  </si>
  <si>
    <t>MAINT: Reauthentication from PSM</t>
  </si>
  <si>
    <t>RR2: Continuous steady state B2U BLER higher than expected based on the OLPC target SIR</t>
  </si>
  <si>
    <t>RR2:  L1 measures SBCs that are not in the neighbor list.</t>
  </si>
  <si>
    <t>RR2: OTAFTed GK Key returned success by AsNas when AIM failed the decryption</t>
  </si>
  <si>
    <t>GOVT: WF should set the IPV6 packetizer addresses when an IPv6 address is not configured</t>
  </si>
  <si>
    <t>GOVT: Unable to get the complete hGroupMappingTable from HCDM</t>
  </si>
  <si>
    <t>MAINT: Allow go configure while WF is in OOS condition</t>
  </si>
  <si>
    <t>HMS: Waveform stores more than 20 frequency profiles</t>
  </si>
  <si>
    <t>MAINT: Waveform Handling of Large HAIPE Tables needs improvement</t>
  </si>
  <si>
    <t>GOVT: Uninitialized variables in layer1FdbkMinMaxControl</t>
  </si>
  <si>
    <t>RR2: WF does not send pcGroupJoinFail to PCore if SA creation failed</t>
  </si>
  <si>
    <t>GOVT: FFT/IFFT Wrapper</t>
  </si>
  <si>
    <t>GOVT: Limited FPGA Comments</t>
  </si>
  <si>
    <t>GOVT: DSP code does not use a portable redefine for the long data type</t>
  </si>
  <si>
    <t>GOVT: Shared Memory Arbiter RAM latency</t>
  </si>
  <si>
    <t>GOVT: DSP Uninitialized Variables</t>
  </si>
  <si>
    <t>GOVT: POSIX Clock Id Behavior</t>
  </si>
  <si>
    <t>GOVT: Large number of compiler warnings</t>
  </si>
  <si>
    <t>GOVT: #define cleanup</t>
  </si>
  <si>
    <t>GOVT: Porting Endianness Issues</t>
  </si>
  <si>
    <t>GOVT: DSP - Fix implicit function declaration warnings</t>
  </si>
  <si>
    <t>GOVT: FPGA memory accesses do not all go through MOCB</t>
  </si>
  <si>
    <t>GOVT: WF metering of data to prevent overrun and packet drop</t>
  </si>
  <si>
    <t>GOVT: SA Scanning misaligned in frame, RxIM Processing time not factored in</t>
  </si>
  <si>
    <t>RR2: PtP does not clean up topology - PtN SA may fail or be delayed</t>
  </si>
  <si>
    <t>RR2: SIP Reason "CL/COI mismatch" erroneously returned on SCIP call</t>
  </si>
  <si>
    <t>HMS: NipernetTop message size issue</t>
  </si>
  <si>
    <t>MAINT: Not Restoring C0 Header Compression Contexts Entering Monitor Mode or Unjoining Group</t>
  </si>
  <si>
    <t>MAINT: Remove unused functions in McaiControl_derived.cpp</t>
  </si>
  <si>
    <t>MAINT: OTA-FT updates to improve prov sync with NMS</t>
  </si>
  <si>
    <t>GOVT: The new commonGK key index is blanked out when updating the Current commonGk with the Next commonGk key data</t>
  </si>
  <si>
    <t>MAINT: +3ppm doppler WF failed to camp any cell, after going OOS in C1</t>
  </si>
  <si>
    <t>WF error 0x31FFFFFF on 3.1.5 Patch2 during PSM mobility</t>
  </si>
  <si>
    <t>MAINT:  Incorrect Cobra parameter causes Asnas to halt where the env becomes corrupted</t>
  </si>
  <si>
    <t>MAINT: WF hung when B2U link is down in GO_CONFIGURE state</t>
  </si>
  <si>
    <t>GOVT: Group Calls go OOS and fail to recover after Unjoin</t>
  </si>
  <si>
    <t>GOVT: WF Fatal Error 0x52140000 and 0x52150000 when Fq Profile changes</t>
  </si>
  <si>
    <t>MAINT: Back to Back PtP data calls do not work correctly on unclass WFs</t>
  </si>
  <si>
    <t>GOVT: WF gets stuck in OOS when enter EMCON executed after inter RNC move</t>
  </si>
  <si>
    <t>GOVT: No GDS Register if OOS triggered immediately after Unpreserve C0</t>
  </si>
  <si>
    <t>GOVT: Mobility is not always triggered</t>
  </si>
  <si>
    <t>GOVT: WF does not range in group listener</t>
  </si>
  <si>
    <t>GOVT: WF Assert when no measurements</t>
  </si>
  <si>
    <t>GOVT: WF fails to report missing K/OK keys</t>
  </si>
  <si>
    <t>GOVT: Task crash during teardown during Mobility Event</t>
  </si>
  <si>
    <t>GOVT: Selecting Frequency profile fails if more than 20 profiles already downloaded</t>
  </si>
  <si>
    <t>GOVT: MCaiAsNas fails to send GPRS Detach Response to MCaiControl</t>
  </si>
  <si>
    <t>GOVT: Teardown failure while recovering from OOS</t>
  </si>
  <si>
    <t>GOVT: OOS during OTAFT results in OTAFT failure if additional updates are made to the same object</t>
  </si>
  <si>
    <t>GOVT: WF Teardown exceeds 45 seconds after Tx IMSI request is denied</t>
  </si>
  <si>
    <t>WF does not handle cell deteriorating when in config state</t>
  </si>
  <si>
    <t>GOVT: WF does not complete Mobility because IKE is in progress</t>
  </si>
  <si>
    <t>GOVT: OTA task crash during Mobility</t>
  </si>
  <si>
    <t>GOVT: WF does not range when in config state</t>
  </si>
  <si>
    <t>GOVT: Teardown fails as redControl does not trigger event to handle teardown</t>
  </si>
  <si>
    <t>DSN ICD: Align ICD with MVG changes</t>
  </si>
  <si>
    <t>MUOS_IG_ICD_70-P51605E</t>
  </si>
  <si>
    <t>COI-ADNS: Updates Needed for ADNS in GTS to Teleport SIPRNET/NIPRNET External ICD</t>
  </si>
  <si>
    <t>MUOS_IG_ICD_70-P51606E</t>
  </si>
  <si>
    <t>xIPRNET ICD does not define tactical PC MTU requirements</t>
  </si>
  <si>
    <t>SPAS00000149659: xIPRNET ICD: Updates to Teleport NIPRNET PT addresses</t>
  </si>
  <si>
    <t>#troubleticket, spas00000149659, sev_checked</t>
  </si>
  <si>
    <t>CAI Addm 21 Missing GDS-Fronting HAIPE Selection Algorithm</t>
  </si>
  <si>
    <t>MUOS_IG_ICD_CAI_70-P50230E</t>
  </si>
  <si>
    <t>CAI Addm 20: OTAFT prevented due to congestion</t>
  </si>
  <si>
    <t>CAI Addm 20: OTA-FT updates for UE Sync Robustness</t>
  </si>
  <si>
    <t>SPAS00000163057: MUOS OAS JSpOC OCM to CDM Transition SC/GEO -ISCS ICD</t>
  </si>
  <si>
    <t>MUOS_IG_ICD_SCS_70-P53135E</t>
  </si>
  <si>
    <t>Windows 10 workstation displays McAfee warning about out of date DAT files</t>
  </si>
  <si>
    <t>MUOS_IG_IETM_99-P59523V</t>
  </si>
  <si>
    <t>Update LBIP Power Down Procedure to include Warning about LBIP1 and LBIP2 power off impacting operational TTC strings</t>
  </si>
  <si>
    <t>IETM / Account Maintenance Doc does not have procedure to reset internal IDS password in NMS cabinet and IASS/R/C cabinets</t>
  </si>
  <si>
    <t>IETM Update for Ticket INC000003462045: WH - Unable to fully remove user accounts from MUOS system</t>
  </si>
  <si>
    <t>INC000000152684: WH, NMF, HLR, WRITE TO DATAFILE FAILED; FILE ERROR 43</t>
  </si>
  <si>
    <t>DT_Assist / BringBack / JMRT</t>
  </si>
  <si>
    <t>Business Value</t>
  </si>
  <si>
    <t>#342163</t>
  </si>
  <si>
    <t>Lab - TXO Ericsson - Re-test Ericsson parts from TXO from Initial 2018 bulk buy warranty replacement boards</t>
  </si>
  <si>
    <t>IETM - Ensure E: drive permissions are correct prior to starting bulk key load (INC000003920384)</t>
  </si>
  <si>
    <t>#troubleticket, frb_2019-08</t>
  </si>
  <si>
    <t>ATM:  fabric configuration security ipfiltering command is missing the gis-xx server ip address for backups</t>
  </si>
  <si>
    <t>Windows Time Service is not as Accurate as NTP</t>
  </si>
  <si>
    <t>Grey Colors used on Splunk Cell RF Path Status Table are Difficult to Distinguish and are not consistent with other Greys on Global System Status</t>
  </si>
  <si>
    <t>FM reporting wrong fault for TFDU</t>
  </si>
  <si>
    <t>GOVT: Unable to join group without going out of service following a change in SIR.</t>
  </si>
  <si>
    <t>NMS Workstation Virtual Machine IETM- Findings from EAD 10 Training Delivery</t>
  </si>
  <si>
    <t>Splunk Cell Status Dashboard Errors- Findings from EAD 10 Training Delivery</t>
  </si>
  <si>
    <t>Update for IETM 'Restart RNC Predefined Scanners' procedure per trouble ticket</t>
  </si>
  <si>
    <t>Large CRL Files result in Tectia authentication issues for PM data collection</t>
  </si>
  <si>
    <t>Spies, Aidan M.</t>
  </si>
  <si>
    <t>SAN Switch (FOUO): Enable Syslog Logging</t>
  </si>
  <si>
    <t>SAN Switch (SECRET): Enable Syslog Logging</t>
  </si>
  <si>
    <t>NMS: Limit initial provisioning to 20 frequency profiles at each terminal</t>
  </si>
  <si>
    <t>Splunk Help Enhancements- ARSTRAT Feedback from EAD 8 Training Event</t>
  </si>
  <si>
    <t>Update default Index</t>
  </si>
  <si>
    <t>Splunk Navigation Enhancements - Hide Search and Reporting</t>
  </si>
  <si>
    <t>Congestion Maps - Create 4 Unique Maps - 1 for each Satellite</t>
  </si>
  <si>
    <t>Disable/Hide the Help button in splunk bar because it doesnt work</t>
  </si>
  <si>
    <t>SBC Status table Hover addition</t>
  </si>
  <si>
    <t>Schwalm, Sam S</t>
  </si>
  <si>
    <t>Johnson, Derek T</t>
  </si>
  <si>
    <t>Lockwood, Dan E</t>
  </si>
  <si>
    <t>Dixon, Craig R</t>
  </si>
  <si>
    <t>Trella, Chris M</t>
  </si>
  <si>
    <t>Ebert, Brandon L</t>
  </si>
  <si>
    <t>Laptops</t>
  </si>
  <si>
    <t>ETI</t>
  </si>
  <si>
    <t>MAGIC</t>
  </si>
  <si>
    <t>WWTS</t>
  </si>
  <si>
    <t>Planning and Provisioning Strategy</t>
  </si>
  <si>
    <t>Planning Sub-Strategy</t>
  </si>
  <si>
    <t>TD19-10: Prepare Docs for Connected AWARE Sicily FRCB (to support deployment post MOT&amp;E)</t>
  </si>
  <si>
    <t>Group Services Sub-Strategy</t>
  </si>
  <si>
    <t>Provisioning Sub-Strategy</t>
  </si>
  <si>
    <t>EAD 15</t>
  </si>
  <si>
    <t>Scratch install installation issues with LinuxShield and Solaris HIPS in AV/HIDS SVD</t>
  </si>
  <si>
    <t>MUOS/Laptops</t>
  </si>
  <si>
    <t>ETISP Digi Passport pings from FOUO workstation provide inconsistent access to primary and redundant network interfaces</t>
  </si>
  <si>
    <t>Incorrect/incomplete ActiveMQ Operator Installation Verification procedure in migration instructions</t>
  </si>
  <si>
    <t>98-P59814M - NMS - NM - Common - ActiveMQ - SVD</t>
  </si>
  <si>
    <t>AWARE Radio OTAF Updates</t>
  </si>
  <si>
    <t>Remove p2pprov account from system</t>
  </si>
  <si>
    <t>Splunk sysadmin accounts not set up consistently across the 3 servers</t>
  </si>
  <si>
    <t>RT logic equipment t400 and t500 do not send SNMP traps</t>
  </si>
  <si>
    <t>98-P61745A - SCS - RT Logic T400XR SVD</t>
  </si>
  <si>
    <t>98-P53544T - GTS - SWITCH - HSS - SVD</t>
  </si>
  <si>
    <t>Curtis, Chris B</t>
  </si>
  <si>
    <t>HAIPE Installation/Power Up Procedure Missing Steps to Delete and Rediscover Device in GEM One</t>
  </si>
  <si>
    <t>98-P55506M - Network - HAIPEMgmt - SVD</t>
  </si>
  <si>
    <t>ACAS Scanning Reachability for CSCF</t>
  </si>
  <si>
    <t>Update Netcool so that 'available' alarm clears 'unavailable' alarm for HPHLR Time Synchronization</t>
  </si>
  <si>
    <t>Ralls, Ken B</t>
  </si>
  <si>
    <t>TFDU Alarming Unreliable</t>
  </si>
  <si>
    <t>Redline to OTAP instructions in the PKI Deployment Plan</t>
  </si>
  <si>
    <t>Determine if SXB3 can be removed from the RNC</t>
  </si>
  <si>
    <t>Redlines for AV/HIDS SVD from EAD-10 Deployment</t>
  </si>
  <si>
    <t>Boddapati, Anil</t>
  </si>
  <si>
    <t>Jiang, Jonathan C</t>
  </si>
  <si>
    <t>Firewall whiassfw1 captured blocked ssl/https traffic from new workstations sending  to unknown addresses (on 445 protocol and port 137)</t>
  </si>
  <si>
    <t>98-P59408M - NMS - NM - Common - MSWorkstation - SVD</t>
  </si>
  <si>
    <t>ScGeoStatusCollector service begame 'hung' while waiting a result from remote SOAP invocation of TPM workflow.</t>
  </si>
  <si>
    <t xml:space="preserve"> “HandleSfreData” TPM workflow requires enhancement to provide a failure indication when incorrectly formatted SFRE data is entered</t>
  </si>
  <si>
    <t>AmsStatusAdapter code should be modified to react consistently to malformed SFRE data</t>
  </si>
  <si>
    <t>ATO Maintenance: STIG alignment for Windows 2012 inf servers; i) Acct Mgmt.</t>
  </si>
  <si>
    <t>IETM update to add password recovery to AMP for "raniadmin" account with the "faillock" command.</t>
  </si>
  <si>
    <t>98-P59852M - NMS - NM - OS - WindowsServer2012 - SVD</t>
  </si>
  <si>
    <t>Splunk server /var/spool/mail/root files are filling up</t>
  </si>
  <si>
    <t>irmapproved</t>
  </si>
  <si>
    <t>ETISP Demod software consumed 100% CPU with board access errors when WCDMA VME chassis halted U2B data flow; unable to access etispd.</t>
  </si>
  <si>
    <t>Langford, Yu-ling</t>
  </si>
  <si>
    <t>PI 13</t>
  </si>
  <si>
    <t>MacDonald, Michael W</t>
  </si>
  <si>
    <t>Shema, James M</t>
  </si>
  <si>
    <t>Update firewalls to allow SSH from a Tectia client on a Windows 10 workstation</t>
  </si>
  <si>
    <t>Agcon, Joel</t>
  </si>
  <si>
    <t>Jones, Glen L</t>
  </si>
  <si>
    <t>RCG Router SVD needs to be updated-include step to verify configuration register is set correctly</t>
  </si>
  <si>
    <t>sev_checked, triaged</t>
  </si>
  <si>
    <t>#318430</t>
  </si>
  <si>
    <t>Canadian Foreign Military Sales (FMS) Planning Phase 1</t>
  </si>
  <si>
    <t>International Partner Access Strategy</t>
  </si>
  <si>
    <t>Canadian Partner Access Sub-Strategy</t>
  </si>
  <si>
    <t>EAD-12 Deployment: Change HSS LDAP Browser install instructions</t>
  </si>
  <si>
    <t>MPC Test PWI for Template work</t>
  </si>
  <si>
    <t>01-P53571E001 - GTS - NME 11</t>
  </si>
  <si>
    <t>Splunk: Extraneous cell IDs reported in fmevents index</t>
  </si>
  <si>
    <t>Update Teleport ICD for xIPRNET TACLANE SA Failover Configuration</t>
  </si>
  <si>
    <t>IETM legacy issues for Restore DNS— Normal Operation Procedure from review 964214</t>
  </si>
  <si>
    <t>IETM legacy issues for Restore ATM — Normal Operation Procedure from review 964214</t>
  </si>
  <si>
    <t>Secret workstation operator unable to clear IE browser cache</t>
  </si>
  <si>
    <t>Acuna, Mateo-hc01898</t>
  </si>
  <si>
    <t>whtisextids &amp; nwtisextids overlap the interface between the TIS CE routers in the functional block diagram</t>
  </si>
  <si>
    <t>63-P53199T - ILS - Functional Block Diagram</t>
  </si>
  <si>
    <t>Speed up the Splunk reporting of problems when the DSN GW is inaccessible</t>
  </si>
  <si>
    <t>TIS CE router "bgp peer connection idle" alarm does not auto clear when BGP peer recovers</t>
  </si>
  <si>
    <t>98-P59813M - NMS - NM - Common - Tectia - SVD</t>
  </si>
  <si>
    <t>99-P52181E - GTS - HSM - ETISP</t>
  </si>
  <si>
    <t xml:space="preserve">Down Link power spikes in WH and VLAB  </t>
  </si>
  <si>
    <t>Techeval issue: All defined radio groups were de-activated and then re-activated.</t>
  </si>
  <si>
    <t>98-P54069T - UES - SVD</t>
  </si>
  <si>
    <t>Techeval issue: 9.6 call should have been a 64/64 call.</t>
  </si>
  <si>
    <t>99-P57050M - NMS - NM - PKI</t>
  </si>
  <si>
    <t>dnsdhcp-sc-2 and  rcgs2-au-raf can not authenticate users using AAA servers inf101-wh-rfa, inf101-nw-rfa and inf101-wh-nma</t>
  </si>
  <si>
    <t>UEs on APN11 and APN12 can not initiate isakmp connections with NIPRNET HAIPE due to firewall blocking traffic</t>
  </si>
  <si>
    <t>Corcoran, David G</t>
  </si>
  <si>
    <t>ATO Maintenance: Windows 2012 inf servers a) Password Complexity</t>
  </si>
  <si>
    <t>NMS Workstation Power Up, Power Down, Reboot IETM- Findings from EAD 10 Training Delivery</t>
  </si>
  <si>
    <t>Dialog Boxes/Applications Not Displaying Properly in WS VM RDP- Findings from EAD 10 Training Delivery</t>
  </si>
  <si>
    <t>NMF workstations sometimes lock up</t>
  </si>
  <si>
    <t>99-P57051M - NMS - NM - GSAM</t>
  </si>
  <si>
    <t>PKI Deployment Plan needs to update AAA section to remove old published PKI CI certificates</t>
  </si>
  <si>
    <t>Issues with Windows 10 Workstations and IETM</t>
  </si>
  <si>
    <t>HP HLR time sync faults occurring within tolerance but risk timing being out-of-sync if exceeded</t>
  </si>
  <si>
    <t>English, Chris A</t>
  </si>
  <si>
    <t>NMO parts list update: add ETI Configuration Tool and Windows 10 Workstation</t>
  </si>
  <si>
    <t>EA 12.2</t>
  </si>
  <si>
    <t>Hayton, William-P57308</t>
  </si>
  <si>
    <t>99-P59435M - NMS - NM - HW-SW Map</t>
  </si>
  <si>
    <t>Capacity_Scalability Strategy</t>
  </si>
  <si>
    <t>19-15</t>
  </si>
  <si>
    <t>EA 12.5</t>
  </si>
  <si>
    <t>OBS - NAVSOC: OA Workstation upgrade</t>
  </si>
  <si>
    <t>Vomocil, Jessica</t>
  </si>
  <si>
    <t>Determine execution plan for TOFF metrics collection and reporting</t>
  </si>
  <si>
    <t>Analyzing</t>
  </si>
  <si>
    <t>EAD 12</t>
  </si>
  <si>
    <t>EA 12.6</t>
  </si>
  <si>
    <t>Features at PI Planning Start</t>
  </si>
  <si>
    <t>Features added during planning</t>
  </si>
  <si>
    <t>Avg. Est Feature Size</t>
  </si>
  <si>
    <t>EA 12.4</t>
  </si>
  <si>
    <t>EA 12.3</t>
  </si>
  <si>
    <t>Unassigned (moved out  of PI)</t>
  </si>
  <si>
    <t>Accepted Features:</t>
  </si>
  <si>
    <t>Current Total Features</t>
  </si>
  <si>
    <t>EA 12.1</t>
  </si>
  <si>
    <t>ETT Laptop: Install &amp; Test Simulation Framework Part 1</t>
  </si>
  <si>
    <t>Wolfe, Sally-P57128</t>
  </si>
  <si>
    <t>ETT Laptop: Support ETT Integration Testing</t>
  </si>
  <si>
    <t>Feature Demo Support – Customer Demo Event - ETT Laptop Feature 318430</t>
  </si>
  <si>
    <t>Ong, Hayden Alexander</t>
  </si>
  <si>
    <t>Feature Demo Prep Support -  Win10 LAPTOP ETT Update: Windows 10 Laptop - final demo</t>
  </si>
  <si>
    <t>ETT Laptop: Create final image to address integration testing bugs &amp; IA fixes</t>
  </si>
  <si>
    <t>ETT Laptop: IA Patching and STIGs Part 2</t>
  </si>
  <si>
    <t>ETT Laptop: IA patching and STIGs assessment (Second Assessment) on second image (post-ETT tools)</t>
  </si>
  <si>
    <t>Urban, Carol A</t>
  </si>
  <si>
    <t>Feature 318430: IETM Updates for ETT Laptop - part 3</t>
  </si>
  <si>
    <t>Traver, Holly J</t>
  </si>
  <si>
    <t>Feature 318430: IETM Updates for ETT Laptop - part2</t>
  </si>
  <si>
    <t>ETT Laptop: Engineering IETM updates - part 3</t>
  </si>
  <si>
    <t>Lajavardy, Maryam-P29104</t>
  </si>
  <si>
    <t>ETT Laptop: Engineering IETM updates - part 1</t>
  </si>
  <si>
    <t>Feature 318430: Create new SHB for ETT Laptop</t>
  </si>
  <si>
    <t>In Development</t>
  </si>
  <si>
    <t>Windows 10 Laptop for ETT : Initial SVD Updates</t>
  </si>
  <si>
    <t>Windows 10 Laptop for ETT : Initial ETT Image</t>
  </si>
  <si>
    <t>UX Updates for ETT Applications</t>
  </si>
  <si>
    <t>Invalid</t>
  </si>
  <si>
    <t>Update IETM for ETT Applications</t>
  </si>
  <si>
    <t>IETM Audit for ETT Applications</t>
  </si>
  <si>
    <t>Install and Test 98-P57055M SVD SCSsim4GTS-ETI</t>
  </si>
  <si>
    <t>Install and Test P53367T SVD NMSsim4GTS</t>
  </si>
  <si>
    <t>Install and Test 98-P57054M SVD RNCsim4GTS-ETI</t>
  </si>
  <si>
    <t>Install and Test 98-P53342T SVD Simulation Framework</t>
  </si>
  <si>
    <t>Install and Test RRT</t>
  </si>
  <si>
    <t>Install RAF/ET Alignment (MATLAB Code)</t>
  </si>
  <si>
    <t>Install and Test RAF/ET Alignment (Excel Spreadsheet)</t>
  </si>
  <si>
    <t>Install and Test Apache Tomcat</t>
  </si>
  <si>
    <t>Install and TestMySQL Database Server Community Edition</t>
  </si>
  <si>
    <t>Install and Test MATROX GRAPHICS DUALHEAD2GO DIGITAL EDITION</t>
  </si>
  <si>
    <t>Install and Test SimpleTesterPro</t>
  </si>
  <si>
    <t>Install and Test MATLAB Signal Processing Toolbox</t>
  </si>
  <si>
    <t>Install and Test MATLAB</t>
  </si>
  <si>
    <t>Aquire Apache Tomcat</t>
  </si>
  <si>
    <t>Aquire MySQL Database Server Community Edition</t>
  </si>
  <si>
    <t>Aquire MATROX GRAPHICS DUALHEAD2GO DIGITAL EDITION</t>
  </si>
  <si>
    <t>Aquire SimpleTesterPro</t>
  </si>
  <si>
    <t>Aquire MATLAB Signal Processing Toolbox</t>
  </si>
  <si>
    <t>Aquire MATLAB</t>
  </si>
  <si>
    <t>ETT Laptop: Agile Team Test (Unit Test, Install)</t>
  </si>
  <si>
    <t>ETT LAPTOP: Update AV for the ETT laptops</t>
  </si>
  <si>
    <t>ETT LAPTOP: updates to the Account Maintenance Plan</t>
  </si>
  <si>
    <t>ETT LAPTOP: Update PKI Deployment Plan to remove CA bundle for Windows hosts</t>
  </si>
  <si>
    <t>ETT LAPTOP: Review DADMS status</t>
  </si>
  <si>
    <t>ETT Laptop: IA Patching and STIGs Assessment (Initial Assessment)</t>
  </si>
  <si>
    <t>ETT Laptop: Update/create HW/SW Map (HSM) - with review</t>
  </si>
  <si>
    <t>ETT Laptop: Audit IETM for ETT Laptop references to assess needed updates</t>
  </si>
  <si>
    <t>Feature 318430: Drawing updates for ETT Laptop</t>
  </si>
  <si>
    <t>Southerland, Bernie A</t>
  </si>
  <si>
    <t>Feature 318430: IETM Updates for ETT Laptop: Repair &amp; Replace</t>
  </si>
  <si>
    <t>ETT Laptop: UX IETM Review</t>
  </si>
  <si>
    <t>Determine if PGP or Bit Locker Applies</t>
  </si>
  <si>
    <t>Identify unique host names and update NEDB</t>
  </si>
  <si>
    <t>Feature 318430: IETM Team to "Integrate newer version of Java with IETM"</t>
  </si>
  <si>
    <t>Eng team to "Update newer version of Java, Agile Test and integrate</t>
  </si>
  <si>
    <t>ETT Laptop: AVHIDS/HBSS updates for laptop (since it will be stand-alone from the network)</t>
  </si>
  <si>
    <t>ETT Laptop: Update ETT CI to run on windows 10 laptop</t>
  </si>
  <si>
    <t>ETT Laptop: TPS requests to support ETT laptop (if necessary)</t>
  </si>
  <si>
    <t>ETT Laptop: Peer review ETT latop artifacts</t>
  </si>
  <si>
    <t>ETT Laptop: Peer review common document updates (AMP)</t>
  </si>
  <si>
    <t>ETT Laptop: Update parts lists</t>
  </si>
  <si>
    <t>ETT Laptop: Cross-training for creating windows images</t>
  </si>
  <si>
    <t>Feature 318430: Depot Build and Deliver ETT Laptops</t>
  </si>
  <si>
    <t>Anderson, Josh J</t>
  </si>
  <si>
    <t>Feature 318430: Parts List Updates for ETT laptop</t>
  </si>
  <si>
    <t>ETT Laptop: Create the new SVD</t>
  </si>
  <si>
    <t>ETT Laptop: Create new HSM CI for ETT and AJM/MTC Laptop_x000D_
 </t>
  </si>
  <si>
    <t xml:space="preserve">Feature Demo – System Test, Demo Prep </t>
  </si>
  <si>
    <t>ETT Laptop: Initiate CM PDO Processing for all CI's</t>
  </si>
  <si>
    <t>Feature 318430: IETM Updates for ETT Laptop - part1</t>
  </si>
  <si>
    <t>Brown, Paul-p69178</t>
  </si>
  <si>
    <t>ETT Laptop: Agile Team Test (STCD Dev &amp; Test)</t>
  </si>
  <si>
    <t>ETT Laptop: IA Patching and STIGs Part 1</t>
  </si>
  <si>
    <t>ETT Laptop: Deployment Notes and Operator Impact Inputs</t>
  </si>
  <si>
    <t>ETT Laptop: Engineering IETM updates - part 2</t>
  </si>
  <si>
    <t>ETT Laptop: IA Posture Assessment</t>
  </si>
  <si>
    <t xml:space="preserve">Feature Demo – Customer Demo Event - ETT Laptop Feature 318430 </t>
  </si>
  <si>
    <t>ETT Laptop: Update ETT SVD to Baseline MPC EAD 7.4</t>
  </si>
  <si>
    <t>ETT Laptop: Create the ETT laptop image</t>
  </si>
  <si>
    <t>Woolf, Christian D</t>
  </si>
  <si>
    <t>OBS: Fiber Optic MUX Trade Study</t>
  </si>
  <si>
    <t>RF and Tracking Alignment Site # 3 (Relo) - WH</t>
  </si>
  <si>
    <t>TFDU Repair and Replace procedures need steps added to add SNMP Engine ID to fcap server so that alarms work properly</t>
  </si>
  <si>
    <t>Capacity19</t>
  </si>
  <si>
    <t>Firewall whiassfw1 captured blocked smb  traffic from otap 101 /102 to inf101-wh-rfa</t>
  </si>
  <si>
    <t>Firewall whiassfw1 captured blocked smb and rpc traffic from workstation 104 to router and unknown address</t>
  </si>
  <si>
    <t>UE performance will be degraded after RNC reboot or satellite relocation until next sateliite zero crossing</t>
  </si>
  <si>
    <t>Mobility fails when group is in monitor mode</t>
  </si>
  <si>
    <t>Improve mobility success by ignoring "OOS triggers" on the losing cell.</t>
  </si>
  <si>
    <t>RNC does not read RLC RESET ACK message correctly.</t>
  </si>
  <si>
    <t>Services do not function correctly due to incorrect time after server reboot</t>
  </si>
  <si>
    <t>SCS: OAS COLA Query Conversion Errors</t>
  </si>
  <si>
    <t>PI 14</t>
  </si>
  <si>
    <t>mpc_ead_x.y</t>
  </si>
  <si>
    <t>MGS Adapter service will not start without manual intervention</t>
  </si>
  <si>
    <t>Vendor found issue:  Radio does not re-enter PSM after a call completes.</t>
  </si>
  <si>
    <t>Kentjana, Anton</t>
  </si>
  <si>
    <t>98-P55750M - GTS - SWITCH - TFDU - SVD</t>
  </si>
  <si>
    <t>#troubleticket, irmapproved, i-level</t>
  </si>
  <si>
    <t>Waveform can deadlock due to the order of unlocking HCDM mutexes.</t>
  </si>
  <si>
    <t>Lee, Yue-Chain-P64745</t>
  </si>
  <si>
    <t>MultiRAB calls fail after a few minutes because ASNAS is sending the wrong number of Transport channels for TFCI 32.</t>
  </si>
  <si>
    <t>Truong, Hy N</t>
  </si>
  <si>
    <t>UE misses SIBs that are updated at the ground.</t>
  </si>
  <si>
    <t>SIEM Security Daily Report on Secret ENclave no longer idenitifiies virus detections</t>
  </si>
  <si>
    <t>Windows 2012 Servers are not reporting all faults to FM</t>
  </si>
  <si>
    <t>98-P53544T HSS, SVD - add build files to the software manifest for release - required for scratch installation of the HSS.</t>
  </si>
  <si>
    <t>98-P53543T CSCF, SVD - add build files to the software manifest for release - required for scratch installation of the CSCF.</t>
  </si>
  <si>
    <t>Splunk Intersite Link Status Timestamps sometimes show the date 6/1/17</t>
  </si>
  <si>
    <t>Splunk Global System Status: Sometimes difficult to notice service affecting problems on pie charts</t>
  </si>
  <si>
    <t>OSSRC - Need ability to clear old alarms stuck in ossrc</t>
  </si>
  <si>
    <t>Feedback on Splunk IP Teleport Connection Status help page - part 2</t>
  </si>
  <si>
    <t>triaged</t>
  </si>
  <si>
    <t xml:space="preserve">INC000004006080 (WH- WH-Splunk GUI locked-up and became unresponsive). </t>
  </si>
  <si>
    <t>ATO Maintenance: T400XR - Backup/Audit</t>
  </si>
  <si>
    <t>cyber_ccb, cyber_ccb_attn</t>
  </si>
  <si>
    <t>ATO Maintenance: Remediate IA Findings Remove Insecure rsh Shell on Splunk servers</t>
  </si>
  <si>
    <t>98-P59403M - NMS - NM - Common - GenericUnixSTIG - SVD</t>
  </si>
  <si>
    <t>Northwest firewall denying esp packet from niprnet to UE APN12</t>
  </si>
  <si>
    <t>GIS Firewall (WH) is denying inter group packets from WH (36.125) port 49265 to NW (35.125) port 49188.</t>
  </si>
  <si>
    <t>GIS Firewall (WH) is denying multiple devices sending packet to (VIP) tpm100/102-wh-nma port 9046.</t>
  </si>
  <si>
    <t>GIS Firewall (WH) is denying dnsdhcp-sc-1/2 https (443) packets to fcap101-wh-nma and fcap102-wh-nma</t>
  </si>
  <si>
    <t>GIS Firewall (WH) is denying ddiascextswitch2, hqiascfw2 and ddiascfw2 syslog packet to siem105-wh-nma</t>
  </si>
  <si>
    <t>GIS Firewall (NW,WH) is denying dsgw-nw syslog packet to siem105-wh-nma</t>
  </si>
  <si>
    <t>Tran, Sang-P64572</t>
  </si>
  <si>
    <t>All Firewalls are denying ospf messages.</t>
  </si>
  <si>
    <t>Northwest /Wahiawa GIS Firewall is denying ESP packets from NIPRNET haipe destine to UE P2N (APN11/APN12).</t>
  </si>
  <si>
    <t>GIS Firewall is denying UE APN00 srcport 500 to siprnet haipe dstport 500 occasionally</t>
  </si>
  <si>
    <t>UE APN12 – niprnet  (gis firewall – primary NW) - (during nwiassce1 router failure)</t>
  </si>
  <si>
    <t>98-P55509M - Network - Router - SVD</t>
  </si>
  <si>
    <t>ADS: Need to expand on logging/messages for OAS conjunction assessment tool errors.</t>
  </si>
  <si>
    <t>#troubleticket, inc000001570435, sev_checked, triaged</t>
  </si>
  <si>
    <t>ETISP SFRE performance management report (and possibly other NMS input) to include satellite ID</t>
  </si>
  <si>
    <t>SPAS00000174514 for MUOS -HQ, MUOS OAS Throws Error After Running a Task AgainNext</t>
  </si>
  <si>
    <t>#troubleticket, sev_checked, i-level</t>
  </si>
  <si>
    <t>INC000003849107: RTWP PM reports &amp; low RTWP alarms used in Situational Awareness seem to be incorrect based upon faulty RTWP measurements</t>
  </si>
  <si>
    <t>SBC drill down display and data defects</t>
  </si>
  <si>
    <t>Rev</t>
  </si>
  <si>
    <t>Ver</t>
  </si>
  <si>
    <t>Location</t>
  </si>
  <si>
    <t>EA 14.2</t>
  </si>
  <si>
    <t>TBD</t>
  </si>
  <si>
    <t>hard-drive_yes</t>
  </si>
  <si>
    <t>AU
NW
SC
WH</t>
  </si>
  <si>
    <t>98-P54141T -</t>
  </si>
  <si>
    <t>AU
DD
HQ
NW
SC
WH</t>
  </si>
  <si>
    <t>WH</t>
  </si>
  <si>
    <t>hard-drive_no</t>
  </si>
  <si>
    <t>NW
WH</t>
  </si>
  <si>
    <t xml:space="preserve">PI 13  </t>
  </si>
  <si>
    <t>Point_Audit</t>
  </si>
  <si>
    <t>Congestion Management- Incorporate Findings From Site/Test</t>
  </si>
  <si>
    <t>Splunk Group ID Lookup- Submit Query by Pushing Enter</t>
  </si>
  <si>
    <t>MPR fields missing from SarNetwork table &amp; groupStats macro</t>
  </si>
  <si>
    <t>GSS &amp; WCDMA service dashboards experienced Splunk errors</t>
  </si>
  <si>
    <t>Splunk displays UNKNOWN feederlink status &amp; no feederlink configuration during FEP outage</t>
  </si>
  <si>
    <t>Utilize intersite link status to report some WCDMA failures sooner</t>
  </si>
  <si>
    <t>Provide better visual correlation between beam maps &amp; cell tables</t>
  </si>
  <si>
    <t>Stevens, Robert-P56766</t>
  </si>
  <si>
    <t>ATO Maintenance: IA Remediation for F5 BigIP DMZ Proxy/Load Balancers prxylb201 and prxylb202</t>
  </si>
  <si>
    <t>TD#</t>
  </si>
  <si>
    <t>Feature Estimation Accuracy</t>
  </si>
  <si>
    <t>Copy the content [B1..last row/column] from the .csv</t>
  </si>
  <si>
    <t>NTP Server SVD Error and Updates</t>
  </si>
  <si>
    <t>98-P59818M - NMS - NM - Common - NTPServer - SVD</t>
  </si>
  <si>
    <t>Jitter Causing Bad SA Reporting</t>
  </si>
  <si>
    <t>Trujillo, Tony-P63360</t>
  </si>
  <si>
    <t>98-P59221M - SCS - SCS SVD</t>
  </si>
  <si>
    <t>Now for the EAD_CIs tab</t>
  </si>
  <si>
    <t>paste by value to [A3] of the  EAD_CIs tab</t>
  </si>
  <si>
    <t>Possible PWIs</t>
  </si>
  <si>
    <t>Epic</t>
  </si>
  <si>
    <t>Deliver TD 19-10 AWARE to SC Site</t>
  </si>
  <si>
    <t>FM Whitelist</t>
  </si>
  <si>
    <t>Add alarm summary text for ETISP &amp; ERS whitelist alarms which currently have no summary</t>
  </si>
  <si>
    <t>Add alarm event IDs and Auto Alarm Clear Logic to NetCool rules file for RNC and RBS</t>
  </si>
  <si>
    <t>Add Auto Alarm Clear Logic and Event IDs to Netcool rules file for TFDU</t>
  </si>
  <si>
    <t>Research all elements to identify hardware failure alarms to be added to whitelist</t>
  </si>
  <si>
    <t>Define needs for generating unique event IDs for whitelisted alarms</t>
  </si>
  <si>
    <t>Implement generation of unique event IDs for whitelisted alarms</t>
  </si>
  <si>
    <t>(INC000002393226) Netcool update to autoclear UPS alarms per clear signals listed in IETM</t>
  </si>
  <si>
    <t>Weldon, Alex J</t>
  </si>
  <si>
    <t>Roach, Andy</t>
  </si>
  <si>
    <t>FM Alarm Action Procedure (IETM) improvements</t>
  </si>
  <si>
    <t>Amstutz, Jenny (NE)</t>
  </si>
  <si>
    <t>EAD 16</t>
  </si>
  <si>
    <t>Obsolescence: Windows Obsolescence - Trade study</t>
  </si>
  <si>
    <t>Obsolescence: Laptop replacement of the windows XP laptops</t>
  </si>
  <si>
    <t>Y</t>
  </si>
  <si>
    <t>Epic Active</t>
  </si>
  <si>
    <t>TD19-10: Implement SPLUNK HA for Site</t>
  </si>
  <si>
    <t>PI 15</t>
  </si>
  <si>
    <t>Decomposition Complete</t>
  </si>
  <si>
    <t>PI 06 (archived)</t>
  </si>
  <si>
    <t>Approved to Decompose</t>
  </si>
  <si>
    <t>Account Maintenance Plan missing updates for some VirusScan Console passwords</t>
  </si>
  <si>
    <t>ILS_Laptop_GEN2:  PGP Encryption Desktop stops working</t>
  </si>
  <si>
    <t>Update Splunk dashboard help to explain that some WCDMA failure patterns may imply AWARE failures &amp; not system failures</t>
  </si>
  <si>
    <t>IETM Procedure update from DTA-4 Finding: Action to Restore Service for PRVB0030 alarm.</t>
  </si>
  <si>
    <t>Create Splunk Help for Knowledge Object Sharing- ARSTRAT Feedback from EAD 8 Training Event</t>
  </si>
  <si>
    <t>sev_checked, irmapproved, list_7</t>
  </si>
  <si>
    <t>Ready for PO Sync Approval</t>
  </si>
  <si>
    <t>PI 10 (archived)</t>
  </si>
  <si>
    <t>Bulk Planning SAR Input Enhancement</t>
  </si>
  <si>
    <t>RNC Does Not Maintain the Provisioning of Groups within the RNC</t>
  </si>
  <si>
    <t>OBS: Develop Replacement for FOUO AV-HIDs using HBSS Solution</t>
  </si>
  <si>
    <t>OBS: PRC-155 Replacement Trade Study</t>
  </si>
  <si>
    <t>Orphan PWI</t>
  </si>
  <si>
    <t>OBS: Develop Architecture and Design for Upgrading the Network Equipment</t>
  </si>
  <si>
    <t>Bulk Planning SAR Input Enhancement (Epic)</t>
  </si>
  <si>
    <t>TD 19-10 Finalize AWARE Design Documentation</t>
  </si>
  <si>
    <t>Feature Type</t>
  </si>
  <si>
    <t>Sustainment</t>
  </si>
  <si>
    <t>Business Deliverable</t>
  </si>
  <si>
    <t>Business Deployable</t>
  </si>
  <si>
    <t>TD19-10: PI 13/14 Support of ADI/EMI/PRISM Integration</t>
  </si>
  <si>
    <t>System Engineering Sub-Strategy</t>
  </si>
  <si>
    <t>Ready for System IPT Review</t>
  </si>
  <si>
    <t>OBS - HW: Complete and Release ILS Documentation for BAR Solution</t>
  </si>
  <si>
    <t>PI 17</t>
  </si>
  <si>
    <t>PI 16</t>
  </si>
  <si>
    <t>OBS - PPA: Develop System Design for PPA Replacement</t>
  </si>
  <si>
    <t>WF PWI Burn down</t>
  </si>
  <si>
    <t>OBS - HW: Integrate Nutanix HW/SW Design into VLab</t>
  </si>
  <si>
    <t>OBS - HW: Design and Implement changes to FM System (Netcool) for Nutanix HW and Application VMs</t>
  </si>
  <si>
    <t>OBS - HBSS: Integrate and test production HBSS solution into VLab</t>
  </si>
  <si>
    <t>OBS: Develop High Availability Hardware Replacement for Secret and DMZ Enclaves</t>
  </si>
  <si>
    <t xml:space="preserve">OBS - HBSS: Integrate and Test FOUO HBSS solution into VLab </t>
  </si>
  <si>
    <t>Northwest and Wahiawa Firewall is denying DSN gateway packets destine for the UEs on APN01 port 50000.</t>
  </si>
  <si>
    <t>Firewall is denying multiple devices NetBIOS/host identitiy protocol 139 connection to inf101-wh-rfa and other destinations</t>
  </si>
  <si>
    <t>cyber_ccb</t>
  </si>
  <si>
    <t>98-P55464M - Network - LB - SVD</t>
  </si>
  <si>
    <t>RNC sends a rrcConnectionRelease when the radio send an RLC Reset message</t>
  </si>
  <si>
    <t>Profile gets stuck in SYNC IN PROGRESS state (REGN - OTAFT)</t>
  </si>
  <si>
    <t>PPA allowed creation of multiple copies of a frequency profile</t>
  </si>
  <si>
    <t>RNC cell selection randomization threshold should be configurable</t>
  </si>
  <si>
    <t>ADS: No OAS alarms for burn duration being off</t>
  </si>
  <si>
    <t>#troubleticket, ads</t>
  </si>
  <si>
    <t>The database prunes to only 2 days worth of synchronization data</t>
  </si>
  <si>
    <t>OAS system log and OAS log doesn't store enough data for delayed recovery</t>
  </si>
  <si>
    <t>There are many -127 value cells in the MAMA Request</t>
  </si>
  <si>
    <t>12-P40117V – Ues</t>
  </si>
  <si>
    <t>EAD-13 Deployment: SSA load balancer script has incorrect credentials</t>
  </si>
  <si>
    <t>SCS: During Prepass need to load default XML files to insure correct settings</t>
  </si>
  <si>
    <t>98-P55734M - GTS - SWITCH - SSA - LB - SVD</t>
  </si>
  <si>
    <t>EAD-13 Deployment: ETISP Config Tool Advanced Screen usage causes subsequent problems with switchover configuration</t>
  </si>
  <si>
    <t>AE: Matlab code incorrectly initializes nx1 matrix as 1xn when no active carriers are available for an analysis terminal</t>
  </si>
  <si>
    <t>mpc_ead_13.8</t>
  </si>
  <si>
    <t>98-P59786M - NMS - NM - Planning - AnalysisEngine - SVD</t>
  </si>
  <si>
    <t>Initial Cell Search (ICS) Other Satellite Measurements Missing</t>
  </si>
  <si>
    <t>Keeler, Tim-P64646</t>
  </si>
  <si>
    <t>ILS Tools Gen2 Laptop displays McAfee warning about out of date DAT files</t>
  </si>
  <si>
    <t>NAVSOC Gen2 Laptop displays McAfee warning about out of date DAT files</t>
  </si>
  <si>
    <t>OTAP issues due to intermittent locks on caller records</t>
  </si>
  <si>
    <t>Test PWI</t>
  </si>
  <si>
    <t>Northwest  TIS firewall and Northwest GIS Firewall is denying port sweeps from assume acas nw laptop which is configured incorrectly</t>
  </si>
  <si>
    <t>rebase_yes, reapply_maybe, rewrite_yes, mpc_ead_12.1</t>
  </si>
  <si>
    <t>01-P51664E - GTS - ETISP Cabinet Drawing</t>
  </si>
  <si>
    <t>Functional Block Diagram Updates</t>
  </si>
  <si>
    <t>Firewall reports ers-nw/wh sending messages to fcu101-au on port 8081.  Policy does not support this activity.  It looks like a network flood.</t>
  </si>
  <si>
    <t>Account Maintenance Plan Credential Updates for LBSW and LBIP</t>
  </si>
  <si>
    <t>Firewall (primarily Northwest) denying inter-apn routing between APN11 to APN12 at NW and WH sites starting with the ISAKMP messaging</t>
  </si>
  <si>
    <t>Sicily site does not have good instructions on how to use the etnbe-sc  and ett laptop</t>
  </si>
  <si>
    <t>Firewall (primarily Australia) is denying inter-apn routing between APN05 to APN05 at AU, NW and WH sites starting with the ISAKMP messaging</t>
  </si>
  <si>
    <t>MAS Registrar causes the two MAS devices to be Out-of-Sync</t>
  </si>
  <si>
    <t>MUOSD00320297</t>
  </si>
  <si>
    <t>MUOSD00321081</t>
  </si>
  <si>
    <t>Weaver, Dean A</t>
  </si>
  <si>
    <t>Scratch Pad for PI Planning</t>
  </si>
  <si>
    <t>Schlangen, Tom J</t>
  </si>
  <si>
    <t>19-acc</t>
  </si>
  <si>
    <t>19-fms</t>
  </si>
  <si>
    <t>OBS - PPA: Create a Development Concept/Architecture for PPA Replacement</t>
  </si>
  <si>
    <t>EAD 17</t>
  </si>
  <si>
    <t>19-18</t>
  </si>
  <si>
    <t>TD 19-18 Unclass GDS Analysis</t>
  </si>
  <si>
    <t>OBS - HW: Create Drawings and FRCB Package for Nutanix Deployment</t>
  </si>
  <si>
    <t>Magic</t>
  </si>
  <si>
    <t>Cyber</t>
  </si>
  <si>
    <t>Falcons</t>
  </si>
  <si>
    <t>Octopi</t>
  </si>
  <si>
    <t>SIC</t>
  </si>
  <si>
    <t>Roadrunners</t>
  </si>
  <si>
    <t>Labradors</t>
  </si>
  <si>
    <t>Okapi</t>
  </si>
  <si>
    <t>Alicorn</t>
  </si>
  <si>
    <t>98-P59815M - NMS - NM - ProvBridge - SVD</t>
  </si>
  <si>
    <t>#386935</t>
  </si>
  <si>
    <t>mfr_na, ci_no, site_val_no, hw_license_no, 18-02_sow, stakeholderapproval, kickoff_done</t>
  </si>
  <si>
    <t>mfr_na, 19-10_sow, site_val_no, hw_license_no, kickoff_no, stakeholderapproval, ci_no</t>
  </si>
  <si>
    <t>hw_license_no, site_val_no, 18-02_sow, ci_no, mfr_na, kickoff_no</t>
  </si>
  <si>
    <t>19-10_sow, mfr_na, ci_yes_done, kickoff_done, site_val_no, hw_license_no, i-level, stakeholderapproval, major</t>
  </si>
  <si>
    <t>hw_license_no, mfr_na, site_val_no, kickoff_no, ci_no, stakeholderapproval, 19-18_sow</t>
  </si>
  <si>
    <t>18-02_sow, hw_license_done, kickoff_done, mfr_3, ci_yes_done, stakeholderapproval, site_val_done, major</t>
  </si>
  <si>
    <t>da_yes, site_val_no, 18-02_sow, mfr_3, ci_yes_done, kickoff_done, major, hw_license_no</t>
  </si>
  <si>
    <t>da_yes, site_val_no, 18-02_sow, mfr_3, ci_yes_done, kickoff_done, hw_license_done, major</t>
  </si>
  <si>
    <t>mfr1_template08292019, 18-02_sow, hw_license_no, site_val_no, stakeholderapproval, kickoff_done, ci_yes_done, mfr_1, major</t>
  </si>
  <si>
    <t>ci_no, site_val_no, kickoff_no, 18-02_sow, hw_license_no, mfr_na, stakeholderapproval</t>
  </si>
  <si>
    <t>hw_license_no, site_val_no, ci_no, 18-06_sow, mfr_na, stakeholderapproval, kickoff_done</t>
  </si>
  <si>
    <t>mfr_na, 19-10_sow, ci_no, kickoff_no, site_val_no, hw_license_no, stakeholderapproval</t>
  </si>
  <si>
    <t>hw_license_no, kickoff_no, ci_no, site_val_no, mfr_na, sys, relocation, 19-03_sow, stakeholderapproval</t>
  </si>
  <si>
    <t>hw_license_no, kickoff_no, ci_no, site_val_no, mfr_na, sys, relocation, stakeholderapproval, 19-03_sow</t>
  </si>
  <si>
    <t>mfr_na, ci_no, site_val_no, hw_license_no, kickoff_no, stakeholderapproval, 19-fms_sow</t>
  </si>
  <si>
    <t>Remove references to the "etnbe" laptop host names from the NEDB; find other references and create PWIs</t>
  </si>
  <si>
    <t>FM Whitelist updates for PI 14: Update whitelist and filter logic</t>
  </si>
  <si>
    <t>TD19-10: Prepare Docs for SPLUNK HA FRCB in support of EAD 17</t>
  </si>
  <si>
    <t>PI 15 - In Progress</t>
  </si>
  <si>
    <t>Reduce Provisioning Bridge Database Contention</t>
  </si>
  <si>
    <t>Cyber RMF Accreditation of Call Bank Radio System</t>
  </si>
  <si>
    <t>Youwer, Mark-P57268</t>
  </si>
  <si>
    <t>Coordinate and Complete Non-Feature IETM Content for EAD 16 (Recurring)</t>
  </si>
  <si>
    <t>Remove references to the "etnbe" laptop host names from the system (SIEM)</t>
  </si>
  <si>
    <t>MUOS Geolocation Support, Maintenance  Zeta EAD 16</t>
  </si>
  <si>
    <t>WF Baseline</t>
  </si>
  <si>
    <t>mfr1_template08292019, 18-02_sow, hw_license_no, mfr_1, kickoff_no, stakeholderapproval, ci_yes_done, site_val_done, minor</t>
  </si>
  <si>
    <t>Morris, Ken E</t>
  </si>
  <si>
    <t xml:space="preserve"> </t>
  </si>
  <si>
    <t>OBS - NET: Determine Network Architecture and Design of the MUOS Ground System and Develop an Execution Plan</t>
  </si>
  <si>
    <t>ci_no, site_val_no, 18-02_sow, kickoff_done, stakeholderapproval, mfr_na, hw_license_done</t>
  </si>
  <si>
    <t>OK</t>
  </si>
  <si>
    <t>Spare3</t>
  </si>
  <si>
    <t xml:space="preserve">PI 14  </t>
  </si>
  <si>
    <t>No _SOW tag, and the PA yields: nothing</t>
  </si>
  <si>
    <t>Lab - TXO Ericsson - Create and update HIGH priority board test procedures for testing Ericsson parts</t>
  </si>
  <si>
    <t>mfr_na, da_na, ci_no, site_val_no, kickoff_no, hw_license_no, 18-06_sow</t>
  </si>
  <si>
    <t>No _SOW tag, and the PA yields: 18-02</t>
  </si>
  <si>
    <t>mfr_tbd</t>
  </si>
  <si>
    <t>Insua, Katie-P68824</t>
  </si>
  <si>
    <t>18-02_sow, kickoff_no, ci_no, hw_license_no, site_val_no, mfr_na</t>
  </si>
  <si>
    <t>Update Call Bank Servers to Use Connected AWARE Architecture to support IATT</t>
  </si>
  <si>
    <t>site_val_no, hw_license_yes, 18-02_sow, kickoff_done, ci_no, stakeholderapproval, mfr_na</t>
  </si>
  <si>
    <t>hw_license_no, kickoff_no, site_val_no, ci_no, 18-02_sow, mfr_1, stakeholderapproval, minor</t>
  </si>
  <si>
    <t>Rhymes, Martin L</t>
  </si>
  <si>
    <t>Driskill, Dustin J</t>
  </si>
  <si>
    <t>Enhance and Optimize MUOS Build and Release Process Part 2</t>
  </si>
  <si>
    <t>18-02_sow, mfr_na, site_val_no, kickoff_no, da_na, ci_no, stakeholderapproval, hw_license_no</t>
  </si>
  <si>
    <t>18-02_sow, site_val_no, kickoff_no, hw_license_no, mfr_na, stakeholderapproval, minor, ci_yes_done</t>
  </si>
  <si>
    <t>Johnson, Craig-p68603</t>
  </si>
  <si>
    <t>Config Item</t>
  </si>
  <si>
    <t>#367689</t>
  </si>
  <si>
    <t>No CI</t>
  </si>
  <si>
    <t>Geier, Ardie J</t>
  </si>
  <si>
    <t>Stymfal, Greg T</t>
  </si>
  <si>
    <t>Montano, Ty T</t>
  </si>
  <si>
    <t>Provisioning Bridge database contention can bring down terminal provisioning (INC000004253880)</t>
  </si>
  <si>
    <t>#392743</t>
  </si>
  <si>
    <t>EA 14.1</t>
  </si>
  <si>
    <t>wf_rnc</t>
  </si>
  <si>
    <t>sev_checked, triaged, wf_rnc</t>
  </si>
  <si>
    <t>sev_checked, irmapproved, wf_rnc</t>
  </si>
  <si>
    <t>sev_checked, wf_rnc</t>
  </si>
  <si>
    <t>ewi2pwi, wf_rnc</t>
  </si>
  <si>
    <t>sev_checked, wf_document</t>
  </si>
  <si>
    <t>Configure system to gain access to the swscs-xx-tca red switches located in RAF RSC SAFE.</t>
  </si>
  <si>
    <t>#troubleticket, frb_2018-26, irmapproved, sev_checked, sys_of_sys, mgm, wf_rnc</t>
  </si>
  <si>
    <t>#troubleticket, sev_checked, wf_rnc</t>
  </si>
  <si>
    <t>sev_checked, irmapproved, wf_ptx</t>
  </si>
  <si>
    <t>severity_checked, wf_rnc</t>
  </si>
  <si>
    <t>sev_checked, wf_ptx</t>
  </si>
  <si>
    <t>sev_checked, wf_mobility</t>
  </si>
  <si>
    <t>severity_checked, wf_mobility</t>
  </si>
  <si>
    <t>muosmu-16258, sev_checked, wf_oos</t>
  </si>
  <si>
    <t>muosmu-16260, sev_checked, wf_ptx</t>
  </si>
  <si>
    <t>muosmu-16262, wf_mobility</t>
  </si>
  <si>
    <t>muosmu-16268, sev_checked, wf_ptx</t>
  </si>
  <si>
    <t>ewi2pwi, muosmu-14994, wf_ptx</t>
  </si>
  <si>
    <t>ewi2pwi, muosmu-15001, wf_ptx</t>
  </si>
  <si>
    <t>ewi2pwi, muosmu-15031, wf_ptx</t>
  </si>
  <si>
    <t>muosmu-15149, sev_checked, wf_ptx</t>
  </si>
  <si>
    <t>muosmu-15228, sev_checked, wf_ptx</t>
  </si>
  <si>
    <t>muosmu-15398, sev_checked, wf_ptx</t>
  </si>
  <si>
    <t>ewi2pwi, muosmu-15434, wf_ptx</t>
  </si>
  <si>
    <t>ewi2pwi, muosmu-15494, wf_ptx</t>
  </si>
  <si>
    <t>ewi2pwi, muosmu-15495, wf_ptx</t>
  </si>
  <si>
    <t>ewi2pwi, muosmu-15516, wf_ptx</t>
  </si>
  <si>
    <t>ewi2pwi, muosmu-15527, wf_ptx</t>
  </si>
  <si>
    <t>ewi2pwi, muosmu-15529, wf_ptx</t>
  </si>
  <si>
    <t>ewi2pwi, muosmu-15530, wf_ptx</t>
  </si>
  <si>
    <t>muosmu-15546, sev_checked, wf_ptx</t>
  </si>
  <si>
    <t>ewi2pwi, muosmu-15547, wf_ptx</t>
  </si>
  <si>
    <t>muosmu-15549, sev_checked, wf_ptx</t>
  </si>
  <si>
    <t>ewi2pwi, muosmu-15551, wf_ptx</t>
  </si>
  <si>
    <t>ewi2pwi, muosmu-15553, wf_ptx</t>
  </si>
  <si>
    <t>muosmu-15605, sev_checked, wf_ptx</t>
  </si>
  <si>
    <t>ewi2pwi, muosmu-15611, wf_ptx</t>
  </si>
  <si>
    <t>muosmu-15623, sev_checked, wf_ptx</t>
  </si>
  <si>
    <t>ewi2pwi, muosmu-15629, wf_oos</t>
  </si>
  <si>
    <t>ewi2pwi, muosmu-15633, wf_ptx</t>
  </si>
  <si>
    <t>muosmu-15676, sev_checked, wf_mobility</t>
  </si>
  <si>
    <t>muosmu-15688, sev_checked, wf_ptx</t>
  </si>
  <si>
    <t>muosmu-15689, sev_checked, wf_ptx</t>
  </si>
  <si>
    <t>ewi2pwi, muosmu-15704, wf_ptx</t>
  </si>
  <si>
    <t>muosmu-15709, sev_checked, wf_ptx</t>
  </si>
  <si>
    <t>ewi2pwi, muosmu-15756, wf_ptx</t>
  </si>
  <si>
    <t>ewi2pwi, muosmu-15767, wf_ptx</t>
  </si>
  <si>
    <t>muosmu-15772, sev_checked, wf_ptx</t>
  </si>
  <si>
    <t>muosmu-15826, sev_checked, wf_ptx</t>
  </si>
  <si>
    <t>muosmu-15868, sev_checked, wf_ptx</t>
  </si>
  <si>
    <t>muosmu-15878, sev_checked, wf_ptx</t>
  </si>
  <si>
    <t>muosmu-15886, sev_checked, wf_ptx</t>
  </si>
  <si>
    <t>ewi2pwi, muosmu-15944, wf_oos</t>
  </si>
  <si>
    <t>ewi2pwi, muosmu-15973, wf_ptx</t>
  </si>
  <si>
    <t>ewi2pwi, muosmu-16010, wf_ptx</t>
  </si>
  <si>
    <t>ewi2pwi, muosmu-16031, wf_mobility</t>
  </si>
  <si>
    <t>ewi2pwi, muosmu-16033, wf_mobility</t>
  </si>
  <si>
    <t>ewi2pwi, muosmu-16034, wf_ptx</t>
  </si>
  <si>
    <t>ewi2pwi, muosmu-16035, wf_mobility</t>
  </si>
  <si>
    <t>ewi2pwi, muosmu-16036, wf_mobility</t>
  </si>
  <si>
    <t>muosmu-16051, sev_checked, wf_rnc</t>
  </si>
  <si>
    <t>ewi2pwi, muosmu-16058, wf_ptx</t>
  </si>
  <si>
    <t>muosmu-16077, sev_checked, wf_document</t>
  </si>
  <si>
    <t>muosmu-16078, sev_checked, wf_document</t>
  </si>
  <si>
    <t>ewi2pwi, muosmu-16089, wf_ptx</t>
  </si>
  <si>
    <t>muosmu-16092, sev_checked, wf_ptx</t>
  </si>
  <si>
    <t>muosmu-16116, sev_checked, wf_ptx</t>
  </si>
  <si>
    <t>muosmu-16120, sev_checked, wf_ptx</t>
  </si>
  <si>
    <t>muosmu-16121, sev_checked, wf_mobility</t>
  </si>
  <si>
    <t>muosmu-16123, sev_checked, wf_ptx</t>
  </si>
  <si>
    <t>muosmu-16129, severity_checked, wf_ptx</t>
  </si>
  <si>
    <t>ewi2pwi, muosmu-16130, wf_ptx</t>
  </si>
  <si>
    <t>muosmu-16136, sev_checked, wf_ptx</t>
  </si>
  <si>
    <t>ewi2pwi, muosmu-16138, wf_ptx</t>
  </si>
  <si>
    <t>muosmu-16141, sev_checked, wf_ptx</t>
  </si>
  <si>
    <t>muosmu-16153, sev_checked, wf_ptx</t>
  </si>
  <si>
    <t>muosmu-16156, sev_checked, wf_ptx</t>
  </si>
  <si>
    <t>muosmu-16157, sev_checked, wf_ptx</t>
  </si>
  <si>
    <t>muosmu-16158, sev_checked, wf_ptx</t>
  </si>
  <si>
    <t>muosmu-16165, sev_checked, wf_mobility</t>
  </si>
  <si>
    <t>muosmu-16174, sev_checked, wf_ptx</t>
  </si>
  <si>
    <t>muosmu-16177, wf_ptx</t>
  </si>
  <si>
    <t>muosmu-16190, sev_checked, wf_mobility</t>
  </si>
  <si>
    <t>muosmu-16199, sev_checked, wf_ptx</t>
  </si>
  <si>
    <t>muosmu-16200, sev_checked, wf_ptx</t>
  </si>
  <si>
    <t>sev_checked, irmapproved, wf_oos</t>
  </si>
  <si>
    <t>muosmu-16220, sev_checked, wf_mobility</t>
  </si>
  <si>
    <t>muosmu-16221, sev_checked, wf_ptx</t>
  </si>
  <si>
    <t>muosmu-16010, sev_checked, wf_ptx</t>
  </si>
  <si>
    <t>muosmu-16059, sev_checked, wf_ptx</t>
  </si>
  <si>
    <t>ewi2pwi, muosmu-16223, wf_ptx</t>
  </si>
  <si>
    <t>muosmu-16247, sev_checked, wf_mobility</t>
  </si>
  <si>
    <t>muosmu-16254, sev_checked, wf_ptx</t>
  </si>
  <si>
    <t>#troubleticket, wf_rnc</t>
  </si>
  <si>
    <t>wf_ptx</t>
  </si>
  <si>
    <t>#troubleticket, i-level, wf_rnc</t>
  </si>
  <si>
    <t>wf_mobility</t>
  </si>
  <si>
    <t>"no buffer space" error on Analysis Engine when performing aggregate plan analysis</t>
  </si>
  <si>
    <t>AWARE UTN Devices are not in FM Whitelist</t>
  </si>
  <si>
    <t>SIP reason header cause codes not present in MAS CDRs</t>
  </si>
  <si>
    <t>Splunk index uses reserrved words (e.g. "tag" ) as field labels that can't be searched.</t>
  </si>
  <si>
    <t>No indication in Group CDRs that Group Call Terminated due to Override</t>
  </si>
  <si>
    <t>Tran, Tan-P57311</t>
  </si>
  <si>
    <t>When MHAL restarts, MHAL restarts the radios or radios take too long to restart</t>
  </si>
  <si>
    <t>Day, Carl</t>
  </si>
  <si>
    <t>sev_checked, #troubleticket, wf_rnc</t>
  </si>
  <si>
    <t>ewi2pwi, muosmu-16088, sev_checked, wf_ptx</t>
  </si>
  <si>
    <t>Program Epic</t>
  </si>
  <si>
    <t>Story 343920: CM Release of 98-P54107T – GEO – AMS-GS SVD (EAD 16)</t>
  </si>
  <si>
    <t>Story 343920: CM Release of 99-P53449E - ILS - IETM (EAD 16)</t>
  </si>
  <si>
    <t>Story 343920: CM Release of 99-P57050M - NMS - NM Common PKI (EAD 16)</t>
  </si>
  <si>
    <t>Story 343920: CM Release of  98-P59403M - NMS - NM Common - GenericUnixSTIG (EAD 16)</t>
  </si>
  <si>
    <t>hw_license_no, 18-02_sow, stakeholderapproval, mfr_1, ci_yes_done, site_val_done, minor, kickoff_done, top_focus</t>
  </si>
  <si>
    <t>mfr_na, site_val_no, 18-02_sow, hw_license_no, frcbtemplate09062019, kickoff_done, stakeholderapproval, major, ci_yes_done</t>
  </si>
  <si>
    <t>High Dev Risk -  ATO Generic Unix STIG SVD Findings - (Solaris)</t>
  </si>
  <si>
    <t>PI 14 HW FRB Support (Recurring)</t>
  </si>
  <si>
    <t>Capture &amp; Communicate TOFF Metrics (Recurring)</t>
  </si>
  <si>
    <t>PI 14 PWI Triage/Assessment Support (Recurring)</t>
  </si>
  <si>
    <t>Ellwanger, Lee L</t>
  </si>
  <si>
    <t>Tools Team Support / LOE for SDE/ODE Environment in PI 14</t>
  </si>
  <si>
    <t>Tools Team Support / LOE for RAN/RDE Environment in PI 14</t>
  </si>
  <si>
    <t>PI 14 Technical Support (Recurring)</t>
  </si>
  <si>
    <t>TD 20-04 MUOS Conversion to Advanced Cryptographic Capability (ACC)</t>
  </si>
  <si>
    <t>Cyber IA Patching - PI 14 (Recurring)</t>
  </si>
  <si>
    <t>Cyber Sustainment Activities - PI 14 (Recurring)</t>
  </si>
  <si>
    <t>Cyber MFR Support - PI 14 (Recurring)</t>
  </si>
  <si>
    <t>mfr_na, ci_no, kickoff_no, hw_license_no, site_val_no, stakeholderapproval, 19-15_sow</t>
  </si>
  <si>
    <t>TD 19-15: Create ULX Detailed Design</t>
  </si>
  <si>
    <t>Deliver Maintainer Refresher Training in SC</t>
  </si>
  <si>
    <t>EA 14.4</t>
  </si>
  <si>
    <t>Deliver Maintainer Refresher Training in AU</t>
  </si>
  <si>
    <t>EA 14.5</t>
  </si>
  <si>
    <t>Deliver Maintainer Refresher Training in WH</t>
  </si>
  <si>
    <t>PI 14 Maintain CRM Database (Recurring)</t>
  </si>
  <si>
    <t>PI 14 Parts List and Drawing Updates/Modifications Discovered within IA Patching or Outside Standard Features (Recurring)</t>
  </si>
  <si>
    <t>Deliver EAD 15 Training</t>
  </si>
  <si>
    <t>Assess Training Needs and Plan Training for Development During PI 14 (Recurring)</t>
  </si>
  <si>
    <t>RAN Dev Env (RDE) Transition to Production Part 2</t>
  </si>
  <si>
    <t>TD19-10: Deploy/Install and On-Site Integration of Connected AWARE in Sicily</t>
  </si>
  <si>
    <t>site_val_no, hw_license_no, kickoff_no, ci_no, mfr_na, 18-02_sow, stakeholderapproval</t>
  </si>
  <si>
    <t>da_na, mfr_na, hw_license_no, kickoff_no, site_val_no, ci_no, 18-02_sow, stakeholderapproval</t>
  </si>
  <si>
    <t>Warranty Performance Report (CDRL A005)</t>
  </si>
  <si>
    <t>Lab - Maintain Labs for Integration, Testing and Test Events with minimal down time  (PI-14)</t>
  </si>
  <si>
    <t>Government Property Inventory Report (CDRL A006)</t>
  </si>
  <si>
    <t>to-002</t>
  </si>
  <si>
    <t>Release Regression - EAD 16 Regression Testing (PI14)</t>
  </si>
  <si>
    <t>mfr_na, da_na, ci_no, 18-02_sow, kickoff_no, site_val_no, rank_med, toolsbacklog, hw_license_yes, stakeholderapproval</t>
  </si>
  <si>
    <t>MAS: Investigate MAS Registrar Out-of-Sync causes</t>
  </si>
  <si>
    <t>18-02_sow, hw_license_no, kickoff_no, site_val_no, ci_no, mfr_na, loe, da_na, toolsbacklog, stakeholderapproval</t>
  </si>
  <si>
    <t>mfr_na, da_na, site_val_no, hw_license_no, kickoff_no, ci_no, 18-02_sow, loe, stakeholderapproval</t>
  </si>
  <si>
    <t>Update MUOSRel App68</t>
  </si>
  <si>
    <t>DeRosier, Kathryn S</t>
  </si>
  <si>
    <t>Identify, Report and Prioritize and Support Incidents &amp; Trouble Tickets (Recurring)</t>
  </si>
  <si>
    <t>mfr_na, kickoff_no, hw_license_no, site_val_no, 18-02_sow, ci_no, stakeholderapproval</t>
  </si>
  <si>
    <t>Address ProvBridge to HLR timeout during terminal provisioning</t>
  </si>
  <si>
    <t>ci_no, mfr_na, kickoff_no, site_val_no, hw_license_no, stakeholderapproval</t>
  </si>
  <si>
    <t>WF PWI Burn down - Group</t>
  </si>
  <si>
    <t>TD 19-10 Service Management Additional Tasks - respond to questions from ATT</t>
  </si>
  <si>
    <t>19-21</t>
  </si>
  <si>
    <t>TD19-10: Deliver Connected AWARE Training for Sicily EAD 15 Deployment</t>
  </si>
  <si>
    <t>Tracking Alignment Site # 4 (Relo) - AU</t>
  </si>
  <si>
    <t>OBS - HLR: HW/FRCB for HLR Deployment</t>
  </si>
  <si>
    <t>INC000002782201: AU- RAF qst101-au-fms Requires Power User Change</t>
  </si>
  <si>
    <t>99-P53449E - ILS - IETM (CDRL 012)</t>
  </si>
  <si>
    <t>INC000003381432: A particular tape on the high side has an Access field of “Unavailable"</t>
  </si>
  <si>
    <t>INC000003250586 (DNSDHCP PRIMARY &amp; SECONDARY IN WH AND NW - Ipworks bouncing)</t>
  </si>
  <si>
    <t>INC000003462045: Security Management IETM procedure updates</t>
  </si>
  <si>
    <t>Requesting IETM procedure for performing TSM Migration backup filepools manually [SR 992794 / INC000003432269]</t>
  </si>
  <si>
    <t>Remedy Ticket SPAS123530: Operational WH RBS2 - 4 of 6 Beams unlock/disable - Node does not respond to restart command</t>
  </si>
  <si>
    <t>IETM: ET ACU section needs an update to the Autophase procedure</t>
  </si>
  <si>
    <t>ET Encoder replacement procedure update in IETM needed</t>
  </si>
  <si>
    <t>IETM:  A lock learning procedure is needed for IETM</t>
  </si>
  <si>
    <t>IETM: New procedure needed to extend TPM file transfer timeouts via "CopyFile_Timeout" TPM variables</t>
  </si>
  <si>
    <t>IETM: DL145 NMO Operator installation procedure</t>
  </si>
  <si>
    <t>IETM: Repair and replace of servers should discuss using hard drives from failed system (SPAS00000144079)</t>
  </si>
  <si>
    <t>SPAS00000133871: Multiple jobs reporting failed and stalled on Wahiawa HP HLR</t>
  </si>
  <si>
    <t>SPAS00000140147 - IETM inconsistent in handling / documentation of UPS</t>
  </si>
  <si>
    <t>IETM - Restore HLR - Normal Operation Procedure is incorrect in the IETM version 2015-03-04 version</t>
  </si>
  <si>
    <t>IETM: Update to account for new NM interface to TFDU 56000</t>
  </si>
  <si>
    <t>#troubleticket, csr123530, sev_checked, wf_rnc</t>
  </si>
  <si>
    <t>#troubleticket, spas00000142531, sev_checked</t>
  </si>
  <si>
    <t>#troubleticket, 640176, spas00000144079, sev_checked</t>
  </si>
  <si>
    <t>#troubleticket, sr624778, spas00000133871, sev_checked</t>
  </si>
  <si>
    <t>#troubleticket, sr626443, spas00000140147, sev_checked</t>
  </si>
  <si>
    <t>IETM - Troubleshooting procedure needed for DVD Drive failure in HP DL145 (mgsad102-wh)  (SPAS00000143986)</t>
  </si>
  <si>
    <t>SPAS00000144428: The Anti Jam Modem (AJM) does NOT have a procedure listed in the IETM to perform the Configuration.</t>
  </si>
  <si>
    <t>IETM - Sidewinder firewall / Dell PC CMOS batteries should be change out routinely on yearly basis</t>
  </si>
  <si>
    <t>SPAS00000147193: WH, ET2, ACU, XCO TIMER ERROR (DOCUMENTATION ONLY)</t>
  </si>
  <si>
    <t>Feature : SPAS00000130711: TMDR DIGI PASSPORT (ETI)</t>
  </si>
  <si>
    <t>SPAS00000131129: WH, NMF,  TMDER : UNKNOWN FACTORY DEFAULT TSP ACCOUNT PASSWORDS FOR CSCF &amp; HSS</t>
  </si>
  <si>
    <t>IETM - Remove and replace procedure needed for Feed Blower flow switch replacement in the ET</t>
  </si>
  <si>
    <t>SPAS00000146210 for NAVSOC HQ - SEV ROUTINE- TTC3 Server reads error message -- I1912 SEL full</t>
  </si>
  <si>
    <t>IETM: Hard drive on  DL385 repair and replace procedure needs to describe loading new drivers</t>
  </si>
  <si>
    <t>IETM: Provide troubleshooting instructions for GeoProc path status (SPAS00000142273)</t>
  </si>
  <si>
    <t>IETM: OSS-RC: Add ALEX instructions for restoring image</t>
  </si>
  <si>
    <t>IETM: OSS-RC: Add Power On and Power Off Instructions</t>
  </si>
  <si>
    <t>IETM: OSS-RC: Add Basic Troubleshooting Procedures</t>
  </si>
  <si>
    <t>IETM: Need repair and replace procedures for db201 and db202 (SPAS00000150492)</t>
  </si>
  <si>
    <t>IETM: OSS-RC: Need instructions to debug and replace OSSRC .dt file</t>
  </si>
  <si>
    <t>IETM: Update Isolate Fault procedure for the L-Band Interface Distal (LBID)</t>
  </si>
  <si>
    <t>IETM: OA File Server: Procedure to create a new bootable and mirrored drive for OA File Servers</t>
  </si>
  <si>
    <t>SPAS00000149252: NW, MAS-NW, METASTAT, DISK DRIVE REQUIRES MAINTENANCE</t>
  </si>
  <si>
    <t>IETM: Need instructions on how to restore OSSRC CRL push (SPAS00000155753)</t>
  </si>
  <si>
    <t>Updated IETM troubleshooting steps needed for the LNA</t>
  </si>
  <si>
    <t>IETM: Need replacement procedure for FOUO tape library</t>
  </si>
  <si>
    <t>IETM: Document what to do with the Windows Service Pack Installer Update service</t>
  </si>
  <si>
    <t>SPAS00000151061:  SC, RAF, UPS101-SC-FMS, xupstdBypassNotAvailable: [188] MAJOR: The UPS bypass is unavailable.</t>
  </si>
  <si>
    <t>IETM Update for  Primary OA File Server failure troubleshooting / recovery</t>
  </si>
  <si>
    <t>IETM - Detailed troubleshooting procedures required to diagnose failed SSPA</t>
  </si>
  <si>
    <t>SPAS00000162955:     AU ,ETISP3, FRAME SYNC LOSS</t>
  </si>
  <si>
    <t>IETM: OAS related IETM clarifications required - SPAS00000140135 / SPAS00000140137 / SPAS00000118006</t>
  </si>
  <si>
    <t>IETM: TCA Reinstall Steps Missing from TPM Troubleshooting Section (SPAS00000155923 &amp; SPAS00000164096)</t>
  </si>
  <si>
    <t>IETM: Document translation of Radiant Mercury channel names to MGS Adapter message queues (SPAS00000163423)</t>
  </si>
  <si>
    <t>IETM: Add troubleshooting section for McAfee NIDS (SPAS00000165306)</t>
  </si>
  <si>
    <t>SPAS00000158352: SC, RAF, AJM will not power up/SPAS00000159270: Reference : SC/RAF/Anti-Jam Modem Will not Power Up</t>
  </si>
  <si>
    <t>Create LDAPS failover procedures for Intrushield</t>
  </si>
  <si>
    <t>Create LDAPS failover procedures for IAS Load Balancers</t>
  </si>
  <si>
    <t>Create LDAPS failover procedures for SSA Load Balancers</t>
  </si>
  <si>
    <t>Create LDAPS failover procedures for DMZ Load Balancers</t>
  </si>
  <si>
    <t>Create LDAPS failover procedures for KMS &amp; JMX Console</t>
  </si>
  <si>
    <t>Create LDAPS failover procedures for OTAP</t>
  </si>
  <si>
    <t>Create LDAPS Failover Overview Section</t>
  </si>
  <si>
    <t>SPAS00000164426:    AU, ET1-AU, HUB Temp Thermostat error, request replacement.</t>
  </si>
  <si>
    <t>Central Control Unit (CCU) Drive Board update procedures needed for the IETM</t>
  </si>
  <si>
    <t>IETM: Updates needed for explaining the KMS event retry procedure</t>
  </si>
  <si>
    <t>IETM: Add JMS Monitor Alarms (SPAS00000167103)</t>
  </si>
  <si>
    <t>SPAS00000160875:  WH, ET1 LBID RU1 Failed cooling fan, IETM Site Tech can perform action, IETM update to include LBID removal</t>
  </si>
  <si>
    <t>SPAS00000165668: WH - ET#3, LNA 3 FAULT, IETM Update</t>
  </si>
  <si>
    <t>SPAS00000169563: NW, SF, SSAGDS1-NW, COULD NOT FORWARD REGISTRATION MESSAGE TO REMOTE SERVER.</t>
  </si>
  <si>
    <t>IETM procedure needed for L-Band Interface Proximal (LBIP) fan replacement</t>
  </si>
  <si>
    <t>IETM procedure needed for L-Band Interface Distal (LBID) fan replacement</t>
  </si>
  <si>
    <t>IETM: update removal and installation procedures for replacement ET Motor Controllers</t>
  </si>
  <si>
    <t>IETM: SIEM Maintenance Needs Step to Restart Crystal Reports Service When Restarting SQL Server</t>
  </si>
  <si>
    <t>#troubleticket, spas00000143986, sev_checked</t>
  </si>
  <si>
    <t>#troubleticket, 641958, spas00000144428, sev_checked</t>
  </si>
  <si>
    <t>#troubleticket, 652907, spas00000140540, inc000000314425, sev_checked</t>
  </si>
  <si>
    <t>#troubleticket, 652733, spas00000130711, sev_checked</t>
  </si>
  <si>
    <t>#troubleticket, 654420, spas00000131129, sev_checked</t>
  </si>
  <si>
    <t>#troubleticket, 651497, sev_checked</t>
  </si>
  <si>
    <t>#troubleticket, 661179, spas00000142273, spas00000150570, sev_checked</t>
  </si>
  <si>
    <t>#troubleticket, spas00000149419, sev_checked</t>
  </si>
  <si>
    <t>#troubleticket, spas00000153936, sev_checked, wf_rnc</t>
  </si>
  <si>
    <t>#troubleticket, 662756, spas00000150492, sev_checked</t>
  </si>
  <si>
    <t>#troubleticket, spas00000149252, sev_checked</t>
  </si>
  <si>
    <t>#troubleticket, spas00000155753, sev_checked, wf_rnc</t>
  </si>
  <si>
    <t>#troubleticket, spas00000153113, sev_checked</t>
  </si>
  <si>
    <t>#troubleticket, spas00000151061, sev_checked, wf_rnc</t>
  </si>
  <si>
    <t>#troubleticket, spas00000155050, sev_checked</t>
  </si>
  <si>
    <t>#troubleticket, spas00000140135/spas00000140137/spas00000118006, ads, sev_checked</t>
  </si>
  <si>
    <t>#troubleticket, sr, 654524, spas00000155923, spas00000164096, sev_checked</t>
  </si>
  <si>
    <t>#troubleticket, spas00000165306, sev_checked</t>
  </si>
  <si>
    <t>#troubleticket, spas00000158352, spas00000159270, sev_checked</t>
  </si>
  <si>
    <t>#troubleticket, spas00000164426, sev_checked</t>
  </si>
  <si>
    <t>#troubleticket, spas00000167103, sev_checked</t>
  </si>
  <si>
    <t>#troubleticket, spas00000160875, sev_checked</t>
  </si>
  <si>
    <t>#troubleticket, spas00000165668, sev_checked</t>
  </si>
  <si>
    <t>#troubleticket, n/a, sev_checked</t>
  </si>
  <si>
    <t>#troubleticket, spas00000159058, sev_checked</t>
  </si>
  <si>
    <t>IETM: Update CRL instructions to clarify how to copy files</t>
  </si>
  <si>
    <t>IETM:  Clarify RNC Feeder Links Should be Disabled When Communications with the RNC are Down</t>
  </si>
  <si>
    <t>INC000000226747: TT # 174614 HQ - OAS COLA Database values not matching IETM table.</t>
  </si>
  <si>
    <t>IETM:  Scrub Fault Management Elements Table for Aggregations in FM Troubleshooting Module</t>
  </si>
  <si>
    <t>INC000000295196: NW, MAS-NW, ONE OR MORE ELEMENTS HAS A PROBLEM (Voltage Sensor)</t>
  </si>
  <si>
    <t>NMS: Improve alarm Usage Proc: An unrecoverable SFTP error has occurred. Manual intervention is required (INC000000904509)</t>
  </si>
  <si>
    <t>IETM Procedure update for Section 3.5.4 in Administration Options for adding a token (INC 306697)</t>
  </si>
  <si>
    <t>INC000000307581:  Cannot replace Extreme Switch in IASC cabinet per IETM instructions</t>
  </si>
  <si>
    <t>INC000001157386: REQUEST TO ADD MORE INFORMATION IETM</t>
  </si>
  <si>
    <t>IETM - Update CIC Ranges in the Canoga Perkins FO MUX T1 Interface Alarms Procedure</t>
  </si>
  <si>
    <t>INC000001471167: WH/NW - requesting procedure to reboot DSN Gateway via VX tool be added to the IETM.</t>
  </si>
  <si>
    <t>IETM Update for MSR-0412: On-Board Computer (OBC) Memory Dump Procedure update request</t>
  </si>
  <si>
    <t>Waveguide Dehydrator Install and Isolate Failure IETM procedures need to be updated</t>
  </si>
  <si>
    <t>#troubleticket, inc000000226747, ads, sev_checked</t>
  </si>
  <si>
    <t>#troubleticket, inc000000295196, inc000001428757, sev_checked</t>
  </si>
  <si>
    <t>#troubleticket, inc000000904509, sev_checked</t>
  </si>
  <si>
    <t>#troubleticket, inc000000306697, sev_checked</t>
  </si>
  <si>
    <t>#troubleticket, inc000000307581, sev_checked</t>
  </si>
  <si>
    <t>#troubleticket, inc000001157386, sev_checked</t>
  </si>
  <si>
    <t>#troubleticket, inc000001471167, sev_checked</t>
  </si>
  <si>
    <t>#troubleticket, inc000002159428, sev_checked</t>
  </si>
  <si>
    <t>IETM: Update RBS board replacement procedures based on redlines from lab installs</t>
  </si>
  <si>
    <t>IETM documentation update - MUOS Application Server - Installation document has broken links to MAS Software Installation Procedure.</t>
  </si>
  <si>
    <t>IETM: enhancement to remove alarms associated with value of overdrive bit (OD bit)</t>
  </si>
  <si>
    <t>IETM updates for MAS REGISTRAR_OUT_SYNC alarms</t>
  </si>
  <si>
    <t>IETM Update: Satellite_StatusUnavailable found in two different places in List_of_CustomAlarms but with two different event IDs</t>
  </si>
  <si>
    <t>GGSN Alarm Recovery Procedures -Feedback from NCTAMS EAD 9 Training (9-10 Oct 2018)</t>
  </si>
  <si>
    <t>Manual Tape Expiration Procedure- Feedback from NCTAMS EAD 9 Training (9-10 Oct 2018)</t>
  </si>
  <si>
    <t>Update FM Troubleshooting procedure in IETM so that if one cannot login, can restart Netcool process as part of troubleshooting steps.</t>
  </si>
  <si>
    <t>Add Preliminary Troubleshooting Steps to AWARE Start Call Automation Procedure</t>
  </si>
  <si>
    <t>#troubleticket, dt_assist_4, sev_checked, wf_rnc</t>
  </si>
  <si>
    <t>IETM - Troubleshoot CSCF HSS - Normal Operation Procedure update</t>
  </si>
  <si>
    <t>sev_checked, wf_mobility, wf_po</t>
  </si>
  <si>
    <t>sev_checked, wf_ptx, wf_po</t>
  </si>
  <si>
    <t>severity_checked, wf_oos, wf_po</t>
  </si>
  <si>
    <t>sev_checked, wf_oos, wf_po</t>
  </si>
  <si>
    <t>muosmu-16257, sev_checked, irmapproved, wf_oos, wf_po</t>
  </si>
  <si>
    <t>muosmu-16261, sev_checked, wf_ptx, wf_po</t>
  </si>
  <si>
    <t>muosmu-15819, sev_checked, wf_mobility, wf_po</t>
  </si>
  <si>
    <t>muosmu-16125, sev_checked, wf_ptx, wf_po</t>
  </si>
  <si>
    <t>muosmu-16131, sev_checked, wf_document</t>
  </si>
  <si>
    <t>muosmu-16160, sev_checked, irmapproved, wf_oos, wf_po</t>
  </si>
  <si>
    <t>Document how to specify preset requests so that HAIPE config white paper rules are followed for MFT provisioning</t>
  </si>
  <si>
    <t>Issues with "Load Balancer: BigIPService Down Recovery -&gt; Normal Operation Procedure" recovery procedure in the IETM</t>
  </si>
  <si>
    <t>KMS Troubleshooting IETM- Findings from EAD 10 Training Delivery</t>
  </si>
  <si>
    <t xml:space="preserve">RBS Create CV IETM and ET Switchover procedure are not consistent </t>
  </si>
  <si>
    <t>ATO Maintenance: GIS Servers - Update login banners</t>
  </si>
  <si>
    <t>ATO Maintenance: GIS Servers - Access control &amp; account management</t>
  </si>
  <si>
    <t>ATO Maintenance: GIS Servers - Audit</t>
  </si>
  <si>
    <t>PI 15 - Candidate</t>
  </si>
  <si>
    <t>Alarm Recovery GP__9022: Clarify which section to perform of Referenced Procedure</t>
  </si>
  <si>
    <t>Alarm Recovery PLN_9985: Unable to Analyze a Carrier Config</t>
  </si>
  <si>
    <t>IETM Backup SGSN - Normal Operation Procedure update</t>
  </si>
  <si>
    <t xml:space="preserve">Routine Task to Backup ETT MySQL Database No Longer Needed </t>
  </si>
  <si>
    <t>DNSEM needs to be removed from “Non-Redundant Equipment - Functional Description” IETM procedure</t>
  </si>
  <si>
    <t>Burnett, Johnathan (NE)</t>
  </si>
  <si>
    <t>Update IETM for Recovery from expired CRLs section per issue found during PKI deployment</t>
  </si>
  <si>
    <t>Quest TELSEC Procedure is not O-Level Appropriate</t>
  </si>
  <si>
    <t>MGS Update Virus Definitions Procedure is not O-Level Appropriate</t>
  </si>
  <si>
    <t>Create procedure to clean up stuck KMS Group Events for IETM</t>
  </si>
  <si>
    <t>Periodically Clear SQL Error Logs-Normal Operation Procedure (EAD 12 Training Findings)</t>
  </si>
  <si>
    <t>NMF Personnel Using Links to Old IETM Versions (EAD 12 Training Findings)</t>
  </si>
  <si>
    <t>Start MUOS Application Server — Normal Operation Procedure (EAD 12 Training Findings)</t>
  </si>
  <si>
    <t>Stop MUOS Application Server — Normal Operation Procedure (EAD 12 Training Findings)</t>
  </si>
  <si>
    <t>Restart Ping Probes- Normal Operation Procedure (EAD 12 Training Findings)</t>
  </si>
  <si>
    <t>Restore ATM — Normal Operation Procedure references SVD</t>
  </si>
  <si>
    <t>IETM KMS Compromise Recovery Operating Procedures – Normal Operation Procedure update to prevent issue described in trouble ticket</t>
  </si>
  <si>
    <t>Signaling Link Unavailable alarm includes specifics in "Summary" such that O-Level could not find this specific alarm and perform recovery procedure.</t>
  </si>
  <si>
    <t>Region Management Normal Operation Procedure format does not follow style guide</t>
  </si>
  <si>
    <t>ads</t>
  </si>
  <si>
    <t>IETM: Backup HAIPE - Normal Operation Procedure into IETM</t>
  </si>
  <si>
    <t>ETISP_GetState workflow is not visible via the ETISP Demod product.</t>
  </si>
  <si>
    <t>IETM update for Managing TSM Clients - Normal Operation Procedure.</t>
  </si>
  <si>
    <t>Alarm Recovery procedure for PLN_9999 needs updating after recent design change.</t>
  </si>
  <si>
    <t>IETM Update: OD Recovery Procedures Should Say to Restart Computer If OA Manager is Blank</t>
  </si>
  <si>
    <t>OAS setup.exe can't log into raid if the OA is already logged in</t>
  </si>
  <si>
    <t>In the VLab, we cannot logon to the following firewalls using a Domain Radius Account.  The following FIREWALLS have been identified to have this problem: nwiassfw1, nwtisfw1, hqiascfw1, hqiascfw2, auiasrfw1</t>
  </si>
  <si>
    <t>#troubleticket, frb_2019-14, hw_license_yes</t>
  </si>
  <si>
    <t>INC000004283134: NAVSOC HQ-Procedure for configuring a different satellite for Ka-Band</t>
  </si>
  <si>
    <t>INC000004283330: NAVSOC HQ-24 hr max duration requirement for recovery ODs</t>
  </si>
  <si>
    <t>INC000004283331: NAVSOC HQ-EWSK and not just relocation for thruster efficiency solving fix</t>
  </si>
  <si>
    <t>INC000004283280: NAVSOC HQ-Telemetry check doesn't check telemetry if the previous telemetry task failed</t>
  </si>
  <si>
    <t>INC000004283233: NAVSOC HQ-Recovery from ODs during maneuvers</t>
  </si>
  <si>
    <t>INC000004326041: NAVSOC HQ-OAS Planned Failover procedure corrections</t>
  </si>
  <si>
    <t>Evaluate and Update IETM - HPA Acceptance Procedure &amp; HPA Degas Procedure to include body overcurrent fault test</t>
  </si>
  <si>
    <t>frb_2019-15</t>
  </si>
  <si>
    <t>Update IETM Alarm Procedures with TPM References</t>
  </si>
  <si>
    <t>[MAINT] WF got stuck due to RF Channel Info msg not process</t>
  </si>
  <si>
    <t>[Harris] deadlock when AP1 state failed during cell search/measurement</t>
  </si>
  <si>
    <t>[MAINT] UE Instrumentation: AsNasActivity reported incorrect for PTP Service in Splunk</t>
  </si>
  <si>
    <t>muosmu-16271, wf_ptx</t>
  </si>
  <si>
    <t>pcr_16278, wf_mobility</t>
  </si>
  <si>
    <t>wf_oos</t>
  </si>
  <si>
    <t>Need to investigate OSE_HEAP_EHEAP_EXHAUSTED Core dumps; which was cause of group outage</t>
  </si>
  <si>
    <t>IETM update for Troubleshoot OSS-RC - Normal Operation Procedure based on recovery actions needed (INC000004340615)</t>
  </si>
  <si>
    <t>IETM needs instruction to restart OAS every week due to ADS recommendation from TT INC000002341449</t>
  </si>
  <si>
    <t>#troubleticket, wf_ietm</t>
  </si>
  <si>
    <t>Many of the momentum adjusts on S-band (generally for M503), the OAS telemetry acceration history files fail to generated properly.</t>
  </si>
  <si>
    <t>Telemetry check warnings for intrusions in OAS not matching telemetry when they're not needed</t>
  </si>
  <si>
    <t>Telem check will fail to process maneuver telemetry properly when there is an OD failure where OD only predicts out ephemeris for a couple days and a couple days have elapsed since the failure</t>
  </si>
  <si>
    <t>IETM: "Recover From a Failed AutoOD - Normal Operation Procedure" procedure needs a step to run the OAS to MUS ephemeris task</t>
  </si>
  <si>
    <t>IETM Updates for Range Rate File Duration</t>
  </si>
  <si>
    <t>OAS Filter Tuning</t>
  </si>
  <si>
    <t>OAS Unable to remove momentum dumps using maneuver planning application</t>
  </si>
  <si>
    <t>OAS Zero Velocity Momentum Adjusts</t>
  </si>
  <si>
    <t>xsf files for Extreme Switch 450/450A in S/W Installation Instruction are mixed up</t>
  </si>
  <si>
    <t>Eggplant Automation found scenario where new version of Frequency Profiles can't be saved.</t>
  </si>
  <si>
    <t>RNC: Activate PDP Context Reject message during C0 (requested-traffic-class-not-available)</t>
  </si>
  <si>
    <t>98-P59427M - NMS - NM - Provisioning - Scheduler - SVD</t>
  </si>
  <si>
    <t>Uncheck the checkpoint box within the hyper-V manager on the SITE and VLAB windows 10 work stations.</t>
  </si>
  <si>
    <t>Runaway “SNMPP” process on the IASS firewalls</t>
  </si>
  <si>
    <t>Information Broadcast in Group Enable Does Not Match CAI</t>
  </si>
  <si>
    <t>RNC P2P_CDR trace for Mobility Request CDR duplicates 5 lines for single cell/beam scenario (log print only issue)</t>
  </si>
  <si>
    <t>AWARE - Fault Notifier must be throttled to send messages 2 seconds apart</t>
  </si>
  <si>
    <t>MAINT: WF reported Incorrect MobilityTriggerState in MAMA2 message</t>
  </si>
  <si>
    <t>98-P55517M RHEL SVD - deficiencies in knowing what is installed on what</t>
  </si>
  <si>
    <t>MTC Loader Clear Case File locations</t>
  </si>
  <si>
    <t>NAVSOC HQ-OAS culled ratio with ambiguity factor</t>
  </si>
  <si>
    <t>mama2_test, wf_mobility</t>
  </si>
  <si>
    <t>Konitzer, Mike J</t>
  </si>
  <si>
    <t>98-P55517M - OS - RHEL - ENT - SVD</t>
  </si>
  <si>
    <t>Cottle, Rick (NE)</t>
  </si>
  <si>
    <t>98-P59284M - SCS - MTCLOADER - SVD</t>
  </si>
  <si>
    <t>CAI and Waveform are not in agreement on the RAU bit in the MAMA Response message.</t>
  </si>
  <si>
    <t>ETISP Configuration Tool Unload ETISP with Differing States</t>
  </si>
  <si>
    <t>O-Level unable to complete Monthly maintenance procedure "Clean up Planned Areas"</t>
  </si>
  <si>
    <t>Account Maintenance Plan: Procedure typo 5.336.2 Password change instructions 1.d.ii step 2 command should be “use ipworks”</t>
  </si>
  <si>
    <t>Update VLAB DMZ Firewall to allow ePO Console Web Access from SECRET NMF Windows 10 Workstations</t>
  </si>
  <si>
    <t>PM is not always recovering from temporary network outages</t>
  </si>
  <si>
    <t>NAVSOC HQ-OAS Momentum Adjust Fuel UsagePredictions Completely Off</t>
  </si>
  <si>
    <t>INC000004414275: NAVSOC HQ-Intrusion reports for relocation</t>
  </si>
  <si>
    <t>INC000004414276: NAVSOC HQ-Checking momentum adjusts in OAS relocation phase 1 procedure</t>
  </si>
  <si>
    <t>INC000004414277: NAVSOC HQ-Missing Telemetry Procedure Incorrect Step References</t>
  </si>
  <si>
    <t>Update RBS SVD with redlines from last VLAB install</t>
  </si>
  <si>
    <t>IETM: COLA Procedure Updates from the R1.4.4 Install</t>
  </si>
  <si>
    <t>#troubleticket, spas00000174512, ads, sev_checked</t>
  </si>
  <si>
    <t>IETM Procedure ACU-Isolate Failure jumps straight into replacing ACU instead of try rebooting first</t>
  </si>
  <si>
    <t>SR 930760 - INC000002166721 - IETM Polatis Switch Soft Reset- Normal Operation Procedure needs corrections</t>
  </si>
  <si>
    <t>INC000002833111   Investigate AU RBS6 TxDeviceGroup_TxTxCommunicationError equipment_malfunction</t>
  </si>
  <si>
    <t>IETM: Add support for an analysis results progress indicator</t>
  </si>
  <si>
    <t>FALSE</t>
  </si>
  <si>
    <t>Incorporate CRM comments into the Training Conduct Support Package (A013)</t>
  </si>
  <si>
    <t>TRUE</t>
  </si>
  <si>
    <t>stakeholderapproval, ci_no, mfr_na, site_val_no, kickoff_no, hw_frb_fracas, 19-10_sow, hw_license_no</t>
  </si>
  <si>
    <t>18-02_sow, hw_license_no, site_val_no, ci_yes_done, stakeholderapproval, kickoff_yes</t>
  </si>
  <si>
    <t>mfr_3, site_val_no, kickoff_done, 19-10_sow, hw_license_done, stakeholderapproval, ci_yes_done, major</t>
  </si>
  <si>
    <t>19-10_sow, hw_license_no, site_val_no, mfr_na, ci_no, po_sync_ready, kickoff_no</t>
  </si>
  <si>
    <t>Unclassified</t>
  </si>
  <si>
    <t>3- Medium - Best Effort for Next Release</t>
  </si>
  <si>
    <t>4- Inconvenience</t>
  </si>
  <si>
    <t>#393391</t>
  </si>
  <si>
    <t>Underwood, Anne K</t>
  </si>
  <si>
    <t>Story 343920: CM Release of 98-P59422M – NMS – NM – SecretAppServer – SVD (EAD 16)</t>
  </si>
  <si>
    <t>Story 343920: CM Release of MUOS_IG_GS_NMS_NM_Provisioning_OTAP_SVD_98-P59419M (EAD 16)</t>
  </si>
  <si>
    <t>#1001248</t>
  </si>
  <si>
    <t>Priority</t>
  </si>
  <si>
    <t>Severity</t>
  </si>
  <si>
    <t>4- Low</t>
  </si>
  <si>
    <t>1- Urgent - Patch/Immediate release</t>
  </si>
  <si>
    <t>2- High - Committed to Next Release</t>
  </si>
  <si>
    <t>6- Cyber</t>
  </si>
  <si>
    <t>2- Adverse - System Failure, no workaround</t>
  </si>
  <si>
    <t>5- Trivial</t>
  </si>
  <si>
    <t>EAD 10</t>
  </si>
  <si>
    <t>3- Adverse - Workaround</t>
  </si>
  <si>
    <t>Silva, Anthony D</t>
  </si>
  <si>
    <t>ETI Switchover Procedure Table 4 and Section 20 update</t>
  </si>
  <si>
    <t>Enhance the "alarm tracker" tool to automate daily snapshots against current whitelist</t>
  </si>
  <si>
    <t>IETM alarm recovery procedures for NMS alarms (Part 1) [No Procedure]</t>
  </si>
  <si>
    <t>IETM alarm recovery procedures for NMS alarms (Part 1 of 3) [Non-O-Level]</t>
  </si>
  <si>
    <t>IETM alarm recovery procedures for NMS alarms (Part 2 of 3) [Non-O-Level]</t>
  </si>
  <si>
    <t>IETM alarm recovery procedures for NMS alarms (Part 3 of 3) [Non-O-Level]</t>
  </si>
  <si>
    <t>FM Whitelist updates for PI 15: Update whitelist and filter logic</t>
  </si>
  <si>
    <t>Transport Services Sub-Strategy</t>
  </si>
  <si>
    <t>Terminal Provisioning Reliability</t>
  </si>
  <si>
    <t>EAD 16 Feature?</t>
  </si>
  <si>
    <t>mfr_3, ci_yes, hw_license_yes, 18-02_sow, kickoff_yes</t>
  </si>
  <si>
    <t>epic_scrub_done</t>
  </si>
  <si>
    <t>stakeholderapproval</t>
  </si>
  <si>
    <t>site_val_no, 18-02_sow, ci_no, hw_license_no, kickoff_no, mfr_na</t>
  </si>
  <si>
    <t>ci_no, mfr_na, kickoff_no, hw_license_no, site_val_no, 18-02_sow, stakeholderapproval, pmr_ai</t>
  </si>
  <si>
    <t>19-10_sow, site_val_no, hw_license_no, kickoff_done, ci_yes_done, stakeholderapproval, mfr_na, frcb</t>
  </si>
  <si>
    <t>mfr_na</t>
  </si>
  <si>
    <t>mfr_tbd, da_yes, nsf</t>
  </si>
  <si>
    <t>da_yes, mfr_tbd</t>
  </si>
  <si>
    <t>da_na_yes, ci_no, 18-02_sow, mfr_na, hw_license_no, kickoff_no, site_val_no</t>
  </si>
  <si>
    <t>Fuller, David S</t>
  </si>
  <si>
    <t>da_yes, nsf, mfr_1</t>
  </si>
  <si>
    <t>da_waiver, nsf</t>
  </si>
  <si>
    <t>mfr_1, i-level</t>
  </si>
  <si>
    <t>ready4ipt, i-level</t>
  </si>
  <si>
    <t>Brazones, Mark-P57576</t>
  </si>
  <si>
    <t>#troubleticket, site_val_no, hw_license_no, kickoff_no, 18-02_sow, mfr_na, stakeholderapproval</t>
  </si>
  <si>
    <t>OBS:  Develop Common Design for use of Passwords and Credential Management</t>
  </si>
  <si>
    <t>mfr_3, site_val_yes, ci_yes, 18-02_sow, major, hw_license_done, kickoff_done, stakeholderapproval</t>
  </si>
  <si>
    <t>da_na, site_val_no, kickoff_no, ci_no, 18-02_sow, mfr_na, stakeholderapproval, hw_license_done</t>
  </si>
  <si>
    <t>ci_no, kickoff_no, hw_license_no, site_val_no, stakeholderapproval, mfr_na, minor</t>
  </si>
  <si>
    <t>hw_license_no, kickoff_no, ci_no, site_val_no, stakeholderapproval, mfr_na</t>
  </si>
  <si>
    <t>18-02_sow, hw_license_no, site_val_no, kickoff_no, stakeholderapproval, ci_yes_done, mfr_1, minor</t>
  </si>
  <si>
    <t>ci_no, site_val_no, 18-02_sow, hw_license_no, mfr_na, stakeholderapproval, kickoff_done</t>
  </si>
  <si>
    <t>19-10_sow, hw_license_done, ci_no, stakeholderapproval, mfr_na, site_val_no, kickoff_done</t>
  </si>
  <si>
    <t>SWIT Dev Env (SDE) Create Developer WS VMs</t>
  </si>
  <si>
    <t>Implement Group Provisioning Change</t>
  </si>
  <si>
    <t>Implement Module Group Provisioning Changes (Traces only)</t>
  </si>
  <si>
    <t>Gen 2 ETT Laptop Obsolescence for Windows 10 and IA compliance</t>
  </si>
  <si>
    <t>da_na, ci_no, site_val_no, kickoff_no, hw_license_no, stakeholderapproval, mfr_na, 18-02_sow</t>
  </si>
  <si>
    <t>OBS - HLR: Complete and Release As-Built documentation for HLR Solution</t>
  </si>
  <si>
    <t>OBS - HLR: Complete and Release ILS Documentation for HLR Solution</t>
  </si>
  <si>
    <t>18-02_sow, ci_yes, minor, kickoff_yes, hw_license_done</t>
  </si>
  <si>
    <t>OBS - HLR: Coordinate and Support Deployment of HLR at NW</t>
  </si>
  <si>
    <t>OBS - HLR: Coordinate and Support Deployment of HLR at WH</t>
  </si>
  <si>
    <t>td, 18-02_sow, hw_license_done, kickoff_yes, major</t>
  </si>
  <si>
    <t>OBS - HLR: Replace Obsolete HLR-AuC HW/SW at WH, NW, and Scottsdale Lab</t>
  </si>
  <si>
    <t>TD 19-10: Deploy AWARE-NMF Connectivity Changes to WH</t>
  </si>
  <si>
    <t>mfr_na, 19-10_sow, site_val_no, hw_license_no, kickoff_no, ci_no, stakeholderapproval</t>
  </si>
  <si>
    <t>rout201-wh-nma and rout202-wh-nma ports 1/1 offline</t>
  </si>
  <si>
    <t>Remove geoc10x-xx-gcs entries from TCA ping in TPM</t>
  </si>
  <si>
    <t>ETISP Configuration Tool Start ETISP after power up - both Services won't start</t>
  </si>
  <si>
    <t>Update IETM Schedule of Routine Procedures for On-Orbit Operations to include password maintenance</t>
  </si>
  <si>
    <t>EAD14 Deployment:  SCS Switch SVD redlines for use of laptop</t>
  </si>
  <si>
    <t>EAD14 Deployment:  RNC and RBS SVD and OPI Redlines</t>
  </si>
  <si>
    <t>EAD14 Deployment: ETISP SVD Redlines</t>
  </si>
  <si>
    <t>Quinlivan, Mike-P24805</t>
  </si>
  <si>
    <t>99-P53590T - GTS - RN - RNC - OPI</t>
  </si>
  <si>
    <t>Update RT Logic password expiration impacts in the Account Maintenance Plan</t>
  </si>
  <si>
    <t>RNC group owner receives an unexpected inactivity timeout message from listener after the call has been released</t>
  </si>
  <si>
    <t>Firewall reports ranimgmt-sc-1 sending messages to fcu101-au on port 8081.  Policy does not support this activity.  It looks like a network flood.</t>
  </si>
  <si>
    <t>KMS Database Corruption caused by creating 250 terminal profiles at once.</t>
  </si>
  <si>
    <t>IETM Provisioning Troubleshooting Guide</t>
  </si>
  <si>
    <t>Attempt discovery of root cause of ETISP HW failure that led to ETISP outputting high power</t>
  </si>
  <si>
    <t>Evaluate and create O-Level Quarterly procedure test HPA body overcurrent fault</t>
  </si>
  <si>
    <t>Evaluate use of inline power limiter to help protect against HPA which fails to shutdown upon failure threshold being reached</t>
  </si>
  <si>
    <t>O-Level has no procedure to follow when high Mission EIRP is observed and no alarm(s) corresponding to incident</t>
  </si>
  <si>
    <t>Evaluate and Update RAF/ET Alignment to include body overcurrent fault test</t>
  </si>
  <si>
    <t>Account Maintenance Plan incorrect for ETISP SNMP password change</t>
  </si>
  <si>
    <t>GIS Firewall (WH, SC, NW, AU) is denying NTP messages to CE router, internal and external switch occasionally.</t>
  </si>
  <si>
    <t>#troubleticket, ads, severity_checked, toff_tfa, top_focus, top_issue</t>
  </si>
  <si>
    <t>#troubleticket, spas00000174514, sev_checked, toff_tfa, top_focus, top_issue</t>
  </si>
  <si>
    <t>Feature 392058: IETM ETISP Alarm procedure for ETI_2620 add checks for ET issues prior to restart</t>
  </si>
  <si>
    <t>Investigate intermittent Tectia SSH failures on Solaris/Linux [SR 995562 / INC000003464350]</t>
  </si>
  <si>
    <t>#troubleticket, irmapproved, sev_checked, frb_2018-23</t>
  </si>
  <si>
    <t>Non-optimal list of cells being generated in the MAMA2 Response for non-group based cell selection</t>
  </si>
  <si>
    <t>Vernia, Chad P</t>
  </si>
  <si>
    <t>AU Preventive Maintenance Activity for 2020</t>
  </si>
  <si>
    <t>site_val_no, ci_no, kickoff_no, hw_license_no, to-002_sow, stakeholderapproval</t>
  </si>
  <si>
    <t>DMSMS Tracker Submittal (CDRL A007))</t>
  </si>
  <si>
    <t>Systemic Configuration (CDRL A015)</t>
  </si>
  <si>
    <t>template08202019, kickoff_yes, site_val_yes, 18-02_sow, major, hw_license_done, stakeholderapproval, ci_yes_done, mfr_3</t>
  </si>
  <si>
    <t>Cyber: CAT1 Mitigation and Burndown</t>
  </si>
  <si>
    <t>Implement updates towards establishment of MUOS Core System Documentation Baseline</t>
  </si>
  <si>
    <t>site_val_done, hw_license_no, ci_yes_done, #troubleticket, mfr_1, 18-02_sow, stakeholderapproval, top_focus, minor, kickoff_done</t>
  </si>
  <si>
    <t>Bawor, Adam S</t>
  </si>
  <si>
    <t>DSN Gateway Sub-Strategy</t>
  </si>
  <si>
    <t>mfr1_template08292019, site_val_done, hw_license_no, #troubleticket, 18-02_sow, mfr_tbd, minor, ci_yes_done, stakeholderapproval, mfr_1, kickoff_done, top_focus</t>
  </si>
  <si>
    <t>mfr1_template08292019, kickoff_done, site_val_done, hw_license_no, 18-02_sow, stakeholderapproval, ci_yes_done, mfr_1, minor, top_focus</t>
  </si>
  <si>
    <t>TD 20-05: ULX System Assessment</t>
  </si>
  <si>
    <t>TD 19-10: Finalize AWARE for SC and Update from WH Lessons Learned</t>
  </si>
  <si>
    <t>site_val_no, kickoff_yes, 19-10_sow, ci_yes_done, stakeholderapproval, major, hw_license_pending_client, mfr_2</t>
  </si>
  <si>
    <t>MAMA2 Cleanup (including fix for PWI 1006103)</t>
  </si>
  <si>
    <t>EA 14.3</t>
  </si>
  <si>
    <t>MAMA2: Rnh core dump during cell selection with 17 viable cells</t>
  </si>
  <si>
    <t>01-P51661E - GTS - PCU Cabinet - RAF, SCD</t>
  </si>
  <si>
    <t>FEP SVD needs to be updated to include depot instructions for configuration for new part number dehydrator</t>
  </si>
  <si>
    <t>EAD14 Deployment: AWARE VM behavior</t>
  </si>
  <si>
    <t>Modules not registering with CGNH</t>
  </si>
  <si>
    <t>SSG20 access list needs updated to include new workstations</t>
  </si>
  <si>
    <t>98-P59278M - SCS - SSG - SVD</t>
  </si>
  <si>
    <t>RCG Software Installation and Configuration Procedure (Radio_Cover_Generator_Server.pdf)</t>
  </si>
  <si>
    <t>98-P53557T - GTS - RN - RCG Server - SVD</t>
  </si>
  <si>
    <t>ocm11wh - Filesystem 'swap' mounted at '/var/run' is at 100% full:  Recovery needs to be documented</t>
  </si>
  <si>
    <t>NM ETI Configuration Tool advanced mode requires two active ETs</t>
  </si>
  <si>
    <t>During M503 ( Spare Satellite) House keeping all 3 ET's should be allowed to be configured</t>
  </si>
  <si>
    <t>Extreme switch replacement error</t>
  </si>
  <si>
    <t>NM ETI Configuration Tool- Feedback from NCTAMS EAD 9 Training (9-10 Oct 2018)</t>
  </si>
  <si>
    <t>NM ETI Configuration Tool - Feedback from NCTAMS EAD 9 Training (9-10 Oct 2018)</t>
  </si>
  <si>
    <t>SPAS00000149419:  I need GD to identify EXACTLY which steps need to be performed w/in ACU Configuration Doc w/in the IETM File</t>
  </si>
  <si>
    <t>mfr_na, hw_license_no, kickoff_no, stakeholderapproval, site_val_no, minor, to-003_sow, ci_yes_done</t>
  </si>
  <si>
    <t>to-003</t>
  </si>
  <si>
    <t>OBS - DSN GW: Develop Capability Spec</t>
  </si>
  <si>
    <t>ci_no, kickoff_no, hw_license_no, to-001_sow, site_val_no, mfr_na, stakeholderapproval</t>
  </si>
  <si>
    <t>to-001</t>
  </si>
  <si>
    <t>19-21_sow, hw_license_no, kickoff_no, ci_no, site_val_no, stakeholderapproval, mfr_na</t>
  </si>
  <si>
    <t>ci_no, site_val_no, kickoff_no, hw_license_no, mfr_na, to-001_sow, ietm-template_20190830, stakeholderapproval</t>
  </si>
  <si>
    <t>ci_no, site_val_no, kickoff_no, hw_license_no, ietm-template_20190830, to-001_sow, stakeholderapproval, mfr_na</t>
  </si>
  <si>
    <t>ci_no, hw_license_no, kickoff_no, site_val_no, loe, demo_no, to-001_sow, stakeholderapproval, mfr_na</t>
  </si>
  <si>
    <t>hw_license_no, site_val_no, kickoff_no, to-001_sow, stakeholderapproval, mfr_na, ci_yes_done</t>
  </si>
  <si>
    <t>site_val_no, kickoff_no, loe, hw_license_done, demo_no, ci_no, to-001_sow, stakeholderapproval, mfr_na</t>
  </si>
  <si>
    <t>template08202019, 18-02_sow, ci_yes_done, hw_license_no, site_val_done, mfr_1, kickoff_no, stakeholderapproval, major</t>
  </si>
  <si>
    <t>hw_license_no, site_val_no, kickoff_no, ci_yes_done, demo_yes, to-001_sow, ietm-template_20190830, stakeholderapproval, mfr_na, minor</t>
  </si>
  <si>
    <t>site_val_no, ci_no, kickoff_no, hw_license_no, stakeholderapproval, mfr_na, demo_no, 19-21_sow, to-001_sow</t>
  </si>
  <si>
    <t>site_val_no, kickoff_no, ci_no, hw_license_no, stakeholderapproval, mfr_na, demo_no, 19-21_sow, to-001_sow</t>
  </si>
  <si>
    <t>site_val_no, ci_no, kickoff_no, hw_license_no, stakeholderapproval, mfr_na, 19-21_sow, to-001_sow</t>
  </si>
  <si>
    <t>19-10_sow, ci_no, site_val_no, hw_license_no, kickoff_no, demo_no, stakeholderapproval, mfr_na</t>
  </si>
  <si>
    <t>Define MUOS Guard Updates/Process for File Based Data</t>
  </si>
  <si>
    <t>hw_license_no, mfr_na, ci_no, stakeholderapproval, 19-acc_sow, site_val_no, kickoff_done</t>
  </si>
  <si>
    <t>TD/TO #</t>
  </si>
  <si>
    <t>ci_no, site_val_no, hw_license_no, kickoff_no, mfr_na, stakeholderapproval, 19-15_sow</t>
  </si>
  <si>
    <t>to-004</t>
  </si>
  <si>
    <t>TD 20-06: MUOS Space Support Enhanced Alternate Telemetry</t>
  </si>
  <si>
    <t>OBS: Create a Development Concept/Architecture for 2 Factor Authentication</t>
  </si>
  <si>
    <t>mfr_na, ci_no, site_val_no, kickoff_yes, 18-02_sow, hw_license_no</t>
  </si>
  <si>
    <t>18-02_sow, mfr_na, hw_license_no, site_val_no, kickoff_no, stakeholderapproval</t>
  </si>
  <si>
    <t>OBS - HLR: Upgrade HP HLR/AuC HW &amp; SW</t>
  </si>
  <si>
    <t>Murray, Will-P67105</t>
  </si>
  <si>
    <t>TD19-10: SPLUNK HA Update IETMs, Task Analysis, etc</t>
  </si>
  <si>
    <t>mfr_na, 18-02_sow, ci_no, site_val_no, hw_license_no, kickoff_no</t>
  </si>
  <si>
    <t>Morton, Randall-P57014</t>
  </si>
  <si>
    <t>Cyber BlueSheets</t>
  </si>
  <si>
    <t>site_val_no, hw_license_no, 18-02_sow, stakeholderapproval, kickoff_done, mfr_na, ci_yes_done</t>
  </si>
  <si>
    <t>OBS - HW: FRCB for Site Power Changes for Nutanix Deployment</t>
  </si>
  <si>
    <t>mfr_na, ci_no, site_val_no, hw_license_no, 18-02_sow, kickoff_done, stakeholderapproval, frcbtemplate09062019</t>
  </si>
  <si>
    <t>hw_license_no, 18-02_sow, mfr_1, site_val_yes, kickoff_done, top_focus, major, ci_yes_done</t>
  </si>
  <si>
    <t>Afdahl, Randy-p2219c</t>
  </si>
  <si>
    <t>Smith, Aaron R</t>
  </si>
  <si>
    <t>OBS - HBSS: Prepare HBSS for Deployment to Site</t>
  </si>
  <si>
    <t>OBS: Develop Password, Credential Management, and 2 factor Authentication Concept and Design</t>
  </si>
  <si>
    <t>Update Software_Installation_and_Configuration_Table.pdf to remove/correct references to XP</t>
  </si>
  <si>
    <t>mfr_na, hw_license_no, kickoff_no, 18-02_sow</t>
  </si>
  <si>
    <t>TD 19-10 WCDMA Optimization</t>
  </si>
  <si>
    <t>Synchronize sites restore is too early to grab latest OD</t>
  </si>
  <si>
    <t>GNH router forwarding table corruption</t>
  </si>
  <si>
    <t>SPAS00000147363: B3 RNC : Stuck RadioLink on group fixed-net causes UE poor voice issue on Group Service Leg (GSL)</t>
  </si>
  <si>
    <t>EAD 16 OOC</t>
  </si>
  <si>
    <t>Update Refresher Training Materials to Include Redlines from WH and SC Refresher Training Events</t>
  </si>
  <si>
    <t>hw_license_no, site_val_no, kickoff_no, to-001_sow, ci_yes_done, stakeholderapproval, mfr_na</t>
  </si>
  <si>
    <t>Wallace, Brianna A</t>
  </si>
  <si>
    <t>mfr_3, 18-02_sow, mfr_tbd, kickoff_done, stakeholderapproval, ci_no, site_val_no, hw_license_done, pi-14_accepted</t>
  </si>
  <si>
    <t>Labs – TXO Ericsson – Test Ericsson parts from second part of 2030 completion order - Part A</t>
  </si>
  <si>
    <t>site_val_yes, minor, hw_license_no, stakeholderapproval, kickoff_done, mfr_1, ci_yes_done</t>
  </si>
  <si>
    <t>Ready for Feature Demo</t>
  </si>
  <si>
    <t>site_val_no, hw_license_no, 18-02_sow, ci_no, mfr_na, stakeholderapproval, kickoff_no</t>
  </si>
  <si>
    <t>EAD 15 OOC</t>
  </si>
  <si>
    <t># of EAD 16 /17 CIs</t>
  </si>
  <si>
    <t>Story 393213: CM Release of 98-P53523T - GIS - SVD (EAD 17)</t>
  </si>
  <si>
    <t>Story 393213: CM Release of 98-P53543T - GTS - SWITCH - CSCF -SVD (EAD 17)</t>
  </si>
  <si>
    <t>Story 393213: CM Release of 98-P53543T – GTS – SWITCH – CSCF – SVD (EAD 17)</t>
  </si>
  <si>
    <t>Story 393213: CM Release of 98-P53544T - GTS - SWITCH - HSS -SVD (EAD 17)</t>
  </si>
  <si>
    <t>Story 393213: CM Release of 98-P54191T - NMS - NM - FCAP - FaultMgmt - SVD (EAD 17)</t>
  </si>
  <si>
    <t>MUOSD00321503</t>
  </si>
  <si>
    <t>Story 393213: CM Release of 98-P55504M – Network – HAIPE – SVD (EAD 17)</t>
  </si>
  <si>
    <t>Story 393213: CM Release of 98-P55506M - Network - HAIPEMgmt - SVD (EAD 17)</t>
  </si>
  <si>
    <t>Story 393213: CM Release of 98-P55517M – OS – RHEL – ENT – SVD (EAD 17)</t>
  </si>
  <si>
    <t>Story 393213: CM Release of 98-P55607M – GTS – TIS – SVD (EAD 17)</t>
  </si>
  <si>
    <t>Story 393213: CM Release of 98-P55722M – GTS – SWITCH – HLR – SVD (EAD 17)</t>
  </si>
  <si>
    <t>Story 393213: CM Release of 98-P55755M - Firewall - Network - SVD (EAD 17)</t>
  </si>
  <si>
    <t>Story 393213: CM Release of 98-P59291M – SCS – OA – SVD (EAD 17)</t>
  </si>
  <si>
    <t>Story 393213: CM Release of 98-P59815M - NMS - NM - ProvBridge - SVD (EAD 17)</t>
  </si>
  <si>
    <t>Story 393213: CM Release of 98-P59858M of NM Splunk Application SVD (EAD 17)</t>
  </si>
  <si>
    <t>Story 393213: CM Release of 98-P59859M - NMS - NM - Splunk - Infra - SVD (EAD 17)</t>
  </si>
  <si>
    <t>Story 393213: CM Release of 99-P53449E - ILS - IETM (EAD 17)</t>
  </si>
  <si>
    <t>Story 393213: CM Release of 99-P57050M - NMS - NM Common PKI (EAD 17)</t>
  </si>
  <si>
    <t>Story 393213: CM Release of 99-P59435M – NMS – NM – Common – HW-SW Map (EAD 17)</t>
  </si>
  <si>
    <t>Story 393213: CM Release of RNC CI: 98-P53511T-GTS-RN-RNC-SVD (EAD 17)</t>
  </si>
  <si>
    <t>18-02_sow, major, ci_yes_done</t>
  </si>
  <si>
    <t>Troubleshooting &amp; Recovery Procedures for Splunk HA Nutanix</t>
  </si>
  <si>
    <t>EAD CIs</t>
  </si>
  <si>
    <t>#377437</t>
  </si>
  <si>
    <t>Story 343885: CM Release of 98-P54107T – GEO – AMS-GS SVD **MPC EAD12.19_August_UFO_Table_Update****</t>
  </si>
  <si>
    <t>#378401
#367776</t>
  </si>
  <si>
    <t>C+VA9</t>
  </si>
  <si>
    <t>1.0.6</t>
  </si>
  <si>
    <t>Story 343914: CM Release of 99-P48072V – SEIT – System Operational Verification Test (SOVT) for MUOSv1.1.22.0 (EAD 14), 2nd Release needed prior to 10/28/2019</t>
  </si>
  <si>
    <t>N/A</t>
  </si>
  <si>
    <t>#367192
#366348</t>
  </si>
  <si>
    <t>Story 343917: CM Release of 01-P52326E001  – GTS – Polatis Optical Switch (EAD 15)</t>
  </si>
  <si>
    <t>Story 343917: CM Release of 01-P53569E001 – GTS – NME 9 Cabinet Assembly (EAD 16 Documents)</t>
  </si>
  <si>
    <t>01-P53569E001 – GTS – NME 9 Cabinet Assembly</t>
  </si>
  <si>
    <t>Story 343917: CM Release of 01-P53570E001 – GTS – NME 10 (EAD 15)</t>
  </si>
  <si>
    <t>01-P53570E001 - GTS - NME 10</t>
  </si>
  <si>
    <t>#352910</t>
  </si>
  <si>
    <t>Story 343917: CM Release of 01-P53571E001 – GTS – NME 11 (EAD 15)</t>
  </si>
  <si>
    <t>Napier, Diane S</t>
  </si>
  <si>
    <t>Story 343917: CM Release of 01-P53572E001 – GTS – NME 12 (EAD 15)</t>
  </si>
  <si>
    <t>01-P53572E001 - GTS - NME 12</t>
  </si>
  <si>
    <t>Story 343917: CM Release of 01-P53573E001 – GTS – NME 13 Cabinet Assembly (EAD 15)</t>
  </si>
  <si>
    <t>01-P53573E001 – GTS – NME 13 Cabinet Assembly</t>
  </si>
  <si>
    <t>Story 343917: CM Release of 01-P53578E001 – GTS – NME 8 Cabinet Assembly (EAD 16 Documents)</t>
  </si>
  <si>
    <t>01-P53578E001 – GTS – NME 8 Cabinet Assembly</t>
  </si>
  <si>
    <t>Story 343917: CM Release of 01-P53579E001 – GTS – NME 14 Cabinet Assembly (EAD 15)</t>
  </si>
  <si>
    <t>01-P53579E001 – GTS – NME 14 Cabinet Assembly</t>
  </si>
  <si>
    <t>Story 343917: CM Release of 01-P53580E001 – GTS – NME 15 Cabinet Assembly (EAD 15)</t>
  </si>
  <si>
    <t>01-P53580E001 – GTS – NME 15 Cabinet Assembly</t>
  </si>
  <si>
    <t>#385551</t>
  </si>
  <si>
    <t>SC
WH</t>
  </si>
  <si>
    <t>Story 343917: CM Release of 1300121 – GTS – Polatis FG 19" (EAD 15)</t>
  </si>
  <si>
    <t>#366348
#367192</t>
  </si>
  <si>
    <t>#378000</t>
  </si>
  <si>
    <t>Story 343917: CM Release of 69-P57162M – GTS – NME 8 (EAD 16 Documents)</t>
  </si>
  <si>
    <t>69-P57162M – GTS – NME 8</t>
  </si>
  <si>
    <t>Story 343917: CM Release of 69-P57163M – GTS – NME 9 (EAD 16 Documents)</t>
  </si>
  <si>
    <t>69-P57163M – GTS – NME 9</t>
  </si>
  <si>
    <t>Story 343917: CM Release of 69-P57164M – GTS – NME 10 (EAD 15)</t>
  </si>
  <si>
    <t>69-P57164M - GTS - NME 10</t>
  </si>
  <si>
    <t>Story 343917: CM Release of 69-P57165M – GTS – NME 11 (EAD 15)</t>
  </si>
  <si>
    <t>69-P57165M - GTS - NME 11</t>
  </si>
  <si>
    <t>Story 343917: CM Release of 69-P57166M – GTS – NME 12 (EAD 15)</t>
  </si>
  <si>
    <t>69-P57166M - GTS - NME 12</t>
  </si>
  <si>
    <t>Story 343917: CM Release of 69-P57167M – GTS – NME 13 (EAD 15)</t>
  </si>
  <si>
    <t>69-P57167M – GTS – NME 13</t>
  </si>
  <si>
    <t>Story 343917: CM Release of 69-P57168M – GTS – NME 14 (EAD 15)</t>
  </si>
  <si>
    <t>69-P57168M – GTS – NME 14</t>
  </si>
  <si>
    <t>Story 343917: CM Release of 69-P57169M – GTS – NME 15 (EAD 15)</t>
  </si>
  <si>
    <t>69-P57169M - GTS – NME 15</t>
  </si>
  <si>
    <t>98-P53342T - MS - SimulationFramework - SVD</t>
  </si>
  <si>
    <t>Story 343917: CM Release of 98-P56577V – AU Site SVD (EAD 15)</t>
  </si>
  <si>
    <t>98-P56577V - AU Site SVD</t>
  </si>
  <si>
    <t>#343917</t>
  </si>
  <si>
    <t>AU</t>
  </si>
  <si>
    <t>Story 343917: CM Release of 98-P56578V – DD Site SVD (EAD 15)</t>
  </si>
  <si>
    <t>98-P56578V - DD Site SVD</t>
  </si>
  <si>
    <t>DD</t>
  </si>
  <si>
    <t>Story 343917: CM Release of 98-P56579V – HQ Site SVD (EAD 15)</t>
  </si>
  <si>
    <t>98-P56579V - HQ Site SVD</t>
  </si>
  <si>
    <t>HQ</t>
  </si>
  <si>
    <t>Story 343917: CM Release of 98-P56580V – NW Site SVD (EAD 15)</t>
  </si>
  <si>
    <t>98-P56580V - NW Site SVD</t>
  </si>
  <si>
    <t>NW</t>
  </si>
  <si>
    <t>Story 343917: CM Release of 98-P56581V – SC Site SVD (EAD 15)</t>
  </si>
  <si>
    <t>98-P56581V - SC Site SVD</t>
  </si>
  <si>
    <t>SC</t>
  </si>
  <si>
    <t>98-P59414M - NMS - NM - Security - GSKey - SVD</t>
  </si>
  <si>
    <t>MUOSD00321692</t>
  </si>
  <si>
    <t>MUOSD00321495</t>
  </si>
  <si>
    <t>99-P53198T - NMS - NM - NEDB</t>
  </si>
  <si>
    <t>Story 343917: CM Release of 99-P55760M – GTS  – SW/HW – ERS-AWARE (EAD 15)</t>
  </si>
  <si>
    <t>MUOSD00321867</t>
  </si>
  <si>
    <t>Story 343917: CM Release of PL01-P51668E001 – GTS – HSM – LBI (EAD 15)</t>
  </si>
  <si>
    <t>Story 343917: CM Release of PL01-P53569E – NME 9 Cabinet Assembly - NMA, Parts List (EAD 16 Documents)</t>
  </si>
  <si>
    <t>PL01-P53569E001 - GTS - NME 9 Cabinet Assembly - NMA, Parts List</t>
  </si>
  <si>
    <t>Story 343917: CM Release of PL01-P53570E001 – GTS – NME 10 Cabinet Assembly Parts List (EAD 15)</t>
  </si>
  <si>
    <t>PL01-P53570E001 – GTS – NME 10 Cabinet Assembly, Parts List</t>
  </si>
  <si>
    <t>Story 343917: CM Release of PL01-P53571E001 – GTS – NME 11 Cabinet Assembly Parts List (EAD 15)</t>
  </si>
  <si>
    <t>PL01-P53571E001 – GTS – NME 11 Cabinet Assembly, Parts List</t>
  </si>
  <si>
    <t>Story 343917: CM Release of PL01-P53572E001 – GTS – NME 12 Cabinet Assembly Parts List (EAD 15)</t>
  </si>
  <si>
    <t>PL01-P53572E001 – GTS – NME 12 Cabinet Assembly, Parts List</t>
  </si>
  <si>
    <t>Story 343917: CM Release of PL01-P53573E001 – GTS – NME 13 Cabinet Assembly Parts List (EAD 15)</t>
  </si>
  <si>
    <t>PL01-P53573E001 – GTS – NME 13 Cabinet Assembly, Parts List</t>
  </si>
  <si>
    <t>Story 343917: CM Release of PL01-P53578E001 – NME 8 Cabinet Assembly - NMA, Parts List (EAD 16 Documents)</t>
  </si>
  <si>
    <t>PL01-P53578E001 - GTS - NME 8 Cabinet Assembly - NMA, Parts List</t>
  </si>
  <si>
    <t>Story 343917: CM Release of PL01-P53579E001 – GTS – NME 14 Cabinet Assembly Parts List (EAD 15)</t>
  </si>
  <si>
    <t>PL01-P53579E001 – GTS – NME 14 Cabinet Assembly, Parts List</t>
  </si>
  <si>
    <t>Story 343917: CM Release of PL01-P53580E001 – GTS – NME 15 Cabinet Assembly Parts List (EAD 15)</t>
  </si>
  <si>
    <t>PL01-P53580E001 – GTS – NME 15 Cabinet Assembly, Parts List</t>
  </si>
  <si>
    <t>Story 343917: CM Release of TS-5203-02 – ILS –  BLOCK UP-CONVERTER, KA-BAND, Parts List (EAD 15)</t>
  </si>
  <si>
    <t>98-P58502M003 – UES – SVD</t>
  </si>
  <si>
    <t>Story 343917: NM CSCI HSM 99-P59435M RevAB entries missing for GEM 1 in NMO Assembly. (Part 2)</t>
  </si>
  <si>
    <t>#375840
#390680
#390681</t>
  </si>
  <si>
    <t>Story 343918: CM Release of 98-P58502M UES for WF &amp; RAN Patch  (EAD 15 OOC)</t>
  </si>
  <si>
    <t>#358513</t>
  </si>
  <si>
    <t>Story 343918: CM Release of 99-P59535V – ILS – Warranty Performance Rpt (CDRL A005)</t>
  </si>
  <si>
    <t>#396770</t>
  </si>
  <si>
    <t>Story 343918: CM Release of CDRL A006 – ILS – Gvmt Property Inventory Rpt</t>
  </si>
  <si>
    <t>#396835</t>
  </si>
  <si>
    <t>Story 343918: CM Release of CDRL A007 - DMSMS Tracker</t>
  </si>
  <si>
    <t>#396845</t>
  </si>
  <si>
    <t>Story 343918: CM Release of CDRL A017 - SLA/TPS Report</t>
  </si>
  <si>
    <t>#1000037</t>
  </si>
  <si>
    <t>Story 343920: CM Release of 01-P51661E, PCU CABINET - RAF, SCD (EAD 16)</t>
  </si>
  <si>
    <t>#395855</t>
  </si>
  <si>
    <t>98-P57054M - MS - RNCsim4GTS-ETI - SVD</t>
  </si>
  <si>
    <t>98-P57055M - MS - SCSsim4GTS-ETI - SVD</t>
  </si>
  <si>
    <t>Story 343920: CM Release of 99-P57051M - NMS - NM Common - GSAM (EAD 16) [aka Account Maintenance Plan]</t>
  </si>
  <si>
    <t>Story 343920: CM Release of   98-P59412M NMS - NM - Provisioning - KeyMgmt – SVD (EAD 16)</t>
  </si>
  <si>
    <t>#299984</t>
  </si>
  <si>
    <t>#354680
#1004701</t>
  </si>
  <si>
    <t>98-P55722M - GTS - SWITCH - HLR - SVD</t>
  </si>
  <si>
    <t>#1002345</t>
  </si>
  <si>
    <t>#354871</t>
  </si>
  <si>
    <t>DD
HQ</t>
  </si>
  <si>
    <t>#342163
#381524</t>
  </si>
  <si>
    <t>#1004171
#1006376</t>
  </si>
  <si>
    <t>Major/Minor</t>
  </si>
  <si>
    <t xml:space="preserve">PI 15  </t>
  </si>
  <si>
    <t>Add/update IETM alarm recovery procedures for CORE/GIS alarms [O-Level - Needs Updates]</t>
  </si>
  <si>
    <t>Address missing and "not appropriate for O-level operator" ET alarm recovery procedures</t>
  </si>
  <si>
    <t>Updates for ET Alarm Recovery Procedures [O-Level - Needs Updates]</t>
  </si>
  <si>
    <t>Add/update IETM alarm recovery procedures for RCG alarms Part 2</t>
  </si>
  <si>
    <t>OBS - DSN GW: Develop Detailed System Design Artifacts</t>
  </si>
  <si>
    <t>OBS - TPM: Design TPM Replacement for File Transfer</t>
  </si>
  <si>
    <t xml:space="preserve">ETI - TPM: Prototype and Refactor ETI Manager Design Solution </t>
  </si>
  <si>
    <t>OBS - TPM: Develop, integrate, and test ETI Manager solution into VLab</t>
  </si>
  <si>
    <t>ODE Network Post-Upgrade Optimization</t>
  </si>
  <si>
    <t>RAN Dev Env (RDE) Post Transition Cleanup</t>
  </si>
  <si>
    <t>Tools Team Support / LOE for SDE/ODE Environment in PI 15</t>
  </si>
  <si>
    <t>Coordinate and Complete Non-Feature IETM Content for EAD 17 (Recurring)</t>
  </si>
  <si>
    <t>mfr_1, da_yes, ietm_only, i-level</t>
  </si>
  <si>
    <t>site_val_no, ci_no, hw_license_no, 18-02_sow, mfr_na, stakeholderapproval, kickoff_done</t>
  </si>
  <si>
    <t>mfr_na, da_na, ci_no, 18-02_sow, kickoff_no, site_val_no, hw_license_no, toolsbacklog, stakeholderapproval</t>
  </si>
  <si>
    <t>Minor</t>
  </si>
  <si>
    <t>Major</t>
  </si>
  <si>
    <t>Bad:Est_&gt;_Pts</t>
  </si>
  <si>
    <t>Add/update IETM alarm recovery procedures for CORE/GIS alarms [No Procedure]</t>
  </si>
  <si>
    <t>i-level</t>
  </si>
  <si>
    <t>KMS Troubleshooting Rewrite for style guide compliance</t>
  </si>
  <si>
    <t>Waveform hangs when an RRC message arrives for a parent RRC process.</t>
  </si>
  <si>
    <t>Yes</t>
  </si>
  <si>
    <t>Additional_Scope tab is updated by the Import from Inc_all button above</t>
  </si>
  <si>
    <t>Procedure to recover KVM display when it disappears on KVM with Version 6 of FW does not exist</t>
  </si>
  <si>
    <t>Northwest (NW) GIS Firewall is denying IP protocol 50 ESP packets from WH NIPRNET HAIPE (whniprnethaipe1) to UE (APN12).</t>
  </si>
  <si>
    <t>Firewall rule does not support packets from the mas-wh/nw port 13006/13005 to the OTAFT Servers port 5080</t>
  </si>
  <si>
    <t>DD, HQ, HLR, &amp; WHTIS Firewall (WH) are denying snmp (port 161) packets from fcap101-wh-nma to various node (port 161).</t>
  </si>
  <si>
    <t>Redlines for Firewall Network SVD(98-P55755M) from EAD-10 Deployment</t>
  </si>
  <si>
    <t>IETM RNC Health Check procedure needs updates for missing checks</t>
  </si>
  <si>
    <t>Feature 392058: IETM Recovery procedure incorrect for ETI_11xx and ETI_7101</t>
  </si>
  <si>
    <t>974240 / INC000003218093: WH - KMS GCK Rekey Failure - Unable to find Event ID RCG-0201</t>
  </si>
  <si>
    <t>ATO Maintenance: IA Remediation for Audit Generation and Distribution on Splunk Servers</t>
  </si>
  <si>
    <t>EAD 12 OOC</t>
  </si>
  <si>
    <t>Feature_PWIs tab is updated by the Import from Inc_all button above</t>
  </si>
  <si>
    <t>Feature_List tab is updated by the Import from Inc_all button above</t>
  </si>
  <si>
    <t>FRB 2019_15 Design review millitron protection algorithm and review B2U firmware design</t>
  </si>
  <si>
    <t>MUOS Geolocation - Ephemeris data available to SIPRNET users</t>
  </si>
  <si>
    <t>IETM clean-up post-OTRR</t>
  </si>
  <si>
    <t>Non-redundant equipment section of IETM is out of date</t>
  </si>
  <si>
    <t>IETM recovery procedures for RNC alarms [O-Level - Needs Updates]</t>
  </si>
  <si>
    <t>Update MM12WH account maintenance procedure to clean-up/empty "/var/opt/mediation/online/counters" directory</t>
  </si>
  <si>
    <t>Add/update IETM alarm recovery procedures for CORE/GIS alarms [Non-O-Level]</t>
  </si>
  <si>
    <t>IETM alarm recovery procedures for NMS alarms [O-Level - Needs Updates]</t>
  </si>
  <si>
    <t>OTAP Server alarm improvements</t>
  </si>
  <si>
    <t>OBS: Eliminate TPM Windows 2003 servers and application</t>
  </si>
  <si>
    <t>da_yes, site_val_no, 18-02_sow, ci_yes_done, kickoff_done, major, hw_license_no, mfr_2</t>
  </si>
  <si>
    <t>da_yes, site_val_no, 18-02_sow, ci_yes_done, kickoff_done, hw_license_done, major, mfr_2</t>
  </si>
  <si>
    <t>EAD OOC</t>
  </si>
  <si>
    <t>ActiveEpics tab is updated by the Import from Inc_all button above</t>
  </si>
  <si>
    <t>Last Import</t>
  </si>
  <si>
    <t>98-P54199T NM AV/HIDS SVD has residual issues in Appendix A when AWARE moved from Windows to RHEL</t>
  </si>
  <si>
    <t>Extreme Switch Software Installation and Configuration Procedure (Extreme_Switch_X450_X450a.pdf)</t>
  </si>
  <si>
    <t>INC000004491712: NAVSOC HQ-OAS Not using correct thruster efficiency for relocation</t>
  </si>
  <si>
    <t>INC000004513895: NAVSOC HQ-OAS Variable For 30 day OD predictions</t>
  </si>
  <si>
    <t>INC000004515469: NAVSOC HQ-OAS S-Band Thinning After Maneuvers</t>
  </si>
  <si>
    <t>INC000004520973: NAVSOC HQ- Procedure updating for updating OAS SK scenario for relocated satellite</t>
  </si>
  <si>
    <t>EAD14 Deployment: Common Group Key update caused AWARE failure</t>
  </si>
  <si>
    <t>Firewall reports WH aware servers  sending messages to inf101-wh-nma on multiple ports.  Policy does not support this activity.  It looks like a network flood.</t>
  </si>
  <si>
    <t>PPA User is incorrectly prevented from logging on to an application server.</t>
  </si>
  <si>
    <t>AWARE: Mobility timeouts can sometimes cause MultiHAL to hang</t>
  </si>
  <si>
    <t>98-P59401M RevP NM Backup and Archive (EAD-15) still has bogus instances that were removed during R2.1 Tech Refresh</t>
  </si>
  <si>
    <t>Permission Denied Errors when Executing Geolocation Services Verification Script</t>
  </si>
  <si>
    <t>Stop NFSmapid DNS queries from the MAS</t>
  </si>
  <si>
    <t>INC000004581189: NAVSOC HQ-OAS Procedure for updating EOP type files</t>
  </si>
  <si>
    <t>INC000004581199: NAVSOC HQ-OAS's ODTK Covariance message stopping AutoOD</t>
  </si>
  <si>
    <t>WH- Manual RRT MATLAB code has out of date M50x associations. Need to associate M502 with PAC and M503 with CONUS</t>
  </si>
  <si>
    <t>AWARE: Terminals could not proceed with OTAFT due to speed of AWARE scenarios</t>
  </si>
  <si>
    <t>ATO Maintenance: Feature xxxxxx: FM Servers - Remove or disable unneeded services/apps</t>
  </si>
  <si>
    <t>ATO Maintenance: Feature xxxxxx : FM Servers - General Configuration Settings to resolve Cyber RMF Findings - part 2</t>
  </si>
  <si>
    <t>ATO Maintenance: Feature xxxxxx: FM Servers - Fix Boot Device</t>
  </si>
  <si>
    <t>Password recovery procedure for root for the T400/T501/T500 is not in IETM Account Maintenance Document</t>
  </si>
  <si>
    <t>Appendix A changes on  FTP instructions for  new Windows 10 MTC/AJM laptop Needed for AJM SVD</t>
  </si>
  <si>
    <t>Appendix A changes on  FTP instructions for  new Windows 10 MTC/AJM laptop Needed for AJM SVD (Unclassified)</t>
  </si>
  <si>
    <t>Splunk Help Does not Provide Sufficient Documentation for Indexed Provisioning Data</t>
  </si>
  <si>
    <t>Resource Usage Dashboard table title (Last Reported Value...) fails to refresh/update</t>
  </si>
  <si>
    <t>Splunk reported radios operating in NW cells could access WH static IP addresses when WH RAF was disconnected</t>
  </si>
  <si>
    <t>cyber_ccb, irmapproved</t>
  </si>
  <si>
    <t>mpc_ead_14.14, rebase_yes, reapply_maybe</t>
  </si>
  <si>
    <t>frb_2019-19, #troubleticket, mtb</t>
  </si>
  <si>
    <t>ads, #troubleticket</t>
  </si>
  <si>
    <t>mpc_ead_14.26, rebase_yes, reapply_maybe, rewrite_maybe</t>
  </si>
  <si>
    <t>Young, Allen W</t>
  </si>
  <si>
    <t>Waaler, Max G</t>
  </si>
  <si>
    <t>PL01-P51664E001 – GTS – Signal Processor Cabinet Assembly</t>
  </si>
  <si>
    <t>98-P59433M - NMS - NM - Planning - UsageProc - SVD</t>
  </si>
  <si>
    <t>01-P53037E001 - ILS - ETT Assembly</t>
  </si>
  <si>
    <t>OrphanPWI_CI_Check tab is updated by the Import from Inc_all button above</t>
  </si>
  <si>
    <t>Execute the "EAD_CIs" Query in [C1] and Export to a .csv file</t>
  </si>
  <si>
    <t xml:space="preserve">The GD SharePoint location for this spreadsheet is: </t>
  </si>
  <si>
    <t>Increment 15 Planning</t>
  </si>
  <si>
    <t>ci_no, hw_license_no, kickoff_no, site_val_no, to-001_sow, stakeholderapproval, mfr_na, demo_no</t>
  </si>
  <si>
    <t>IETM Style Guide update for "Accounting Management Troubleshooting - Normal Operation Procedure"</t>
  </si>
  <si>
    <t>IETM Style Guide update for "Splunk Enterprise - Account Administration - Normal Operation Procedure"</t>
  </si>
  <si>
    <t>Identify, Report, Prioritize, and Support to Incidents &amp; Trouble Tickets (Recurring) - PI 15</t>
  </si>
  <si>
    <t>PI 15 PWI Triage/Assessment Support (Recurring)</t>
  </si>
  <si>
    <t>Assess Training Needs and Plan Training for Development During PI 15 (Recurring)</t>
  </si>
  <si>
    <t>EA 15.5</t>
  </si>
  <si>
    <t>mfr1_template08292019, ci_no, site_val_no, hw_license_no, mfr_na, stakeholderapproval, kickoff_done, to-005_sow</t>
  </si>
  <si>
    <t>Fix Problem 333910: Firewall rule does not support packets from the mas-wh/nw port 13006/13005 to the OTAFT Servers port 5080</t>
  </si>
  <si>
    <t>Done</t>
  </si>
  <si>
    <t>AWARE: AMP incorrectly calls out 90-day expiration period</t>
  </si>
  <si>
    <t>Columns Software Application and SVD columns should be removed from the NEDB Configurable Objects.  They are not maintained correctly.</t>
  </si>
  <si>
    <t>Table 12 MUOS APNs in the NEDB should have a column in the table stating that intra-routing is allowed for most APNs (primarily APN05, APN01).</t>
  </si>
  <si>
    <t>Firewall (primarily Whiassfw) is denying intra-apn routing between APN05 to APN05 at WH starting with the ISAKMP messaging</t>
  </si>
  <si>
    <t>AWARE: AHM_0003 Alarm being incorrectly cleared by AHM_0004</t>
  </si>
  <si>
    <t>REG: SCIP admission control triggers SA drop</t>
  </si>
  <si>
    <t>muosmu-15910, sev_checked, wf_ptx</t>
  </si>
  <si>
    <t>99-P53199T - SEIT - NEDB</t>
  </si>
  <si>
    <t>Date</t>
  </si>
  <si>
    <t>Time</t>
  </si>
  <si>
    <t>Start</t>
  </si>
  <si>
    <t>Feature List</t>
  </si>
  <si>
    <t>Added_Scope</t>
  </si>
  <si>
    <t>Feature_PWI</t>
  </si>
  <si>
    <t>ActiveEpic</t>
  </si>
  <si>
    <t>Orphan_PWI</t>
  </si>
  <si>
    <t>Finish</t>
  </si>
  <si>
    <t>PI 15 Maintain CRM Database (Recurring)</t>
  </si>
  <si>
    <t>PI 15 Parts List and Drawing Updates/Modifications Discovered within IA Patching or Outside Standard Features (Recurring)</t>
  </si>
  <si>
    <t>PI 15 HW FRB Support (CDRL A008)  (Recurring)</t>
  </si>
  <si>
    <t>PI 16 - In Progress</t>
  </si>
  <si>
    <t>site_val_no, hw_license_no, kickoff_no, ci_no, mfr_na, 18-02_sow, bucket_feature_make_purples_yellow, stakeholderapproval</t>
  </si>
  <si>
    <t>da_na, mfr_na, hw_license_no, kickoff_no, site_val_no, ci_no, 18-02_sow, bucket_feature_make_purples_yellow, stakeholderapproval</t>
  </si>
  <si>
    <t>EAD 18</t>
  </si>
  <si>
    <t>EA 15.2</t>
  </si>
  <si>
    <t>MILSTD: WF preserves the last known local mask when scanning is disabled</t>
  </si>
  <si>
    <t>Depot: Laptop Efforts for EAD 15</t>
  </si>
  <si>
    <t>NM Windows 10 Workstation - Windows 10 Enterprise v1709 End Of Life</t>
  </si>
  <si>
    <t>SIEM203 Scratch Install Issues - Requires SVD Redlines to Windows 2003 Server SVD</t>
  </si>
  <si>
    <t>Story 1011568: CM Release of 99-P53426E – ILS – MUOS Ground Systems Level of Repair Analysis (LORA) (EAD 18)</t>
  </si>
  <si>
    <t>#299984
#1011441</t>
  </si>
  <si>
    <t>A</t>
  </si>
  <si>
    <t>MUOSD00322315</t>
  </si>
  <si>
    <t>#377408
#1001248
#381643
#383958
#315485
#342163
#299984
#354174
#381524
#332951
#318380
#386935</t>
  </si>
  <si>
    <t>Story 353837 Release PDO for 01-P53037 ETT Assembly Parts List (EAD 16 OOC)</t>
  </si>
  <si>
    <t>Story 353837 Release PDO for 99-P59552V Software to Hardware Mapping ILS Laptop GEN2 - ETT (EAD 16 OOC)</t>
  </si>
  <si>
    <t>Story 353837 Release PDO  for  98-P53342 Simulation Framework (EAD 16 OOC)</t>
  </si>
  <si>
    <t>Story 353837  Release PDO for Account Maintenance Plan (EAD 16 OOC)</t>
  </si>
  <si>
    <t>hard-drive_yes, okapi_ooc</t>
  </si>
  <si>
    <t>Story 353837: CM Release of 98-P57054M - MS -RNCsim4GTS-ETI - SVD (EAD 16 OOC)</t>
  </si>
  <si>
    <t>Story 353837: CM Release of 99-P53449  Interactive Electronic Technical Manual (IETM) – SVD (EAD 16 OOC)</t>
  </si>
  <si>
    <t>Story 353837: CM Release of  98-P54141 ILS Gen2 Laptop (EAD 16 OOC)</t>
  </si>
  <si>
    <t>Story 393213: CM Release of 98-P54107T GS GEO:  MUOS_IG_GS_GEO_SVD</t>
  </si>
  <si>
    <t>#1007900</t>
  </si>
  <si>
    <t>Story 393213: CM Release of 98-P54188T - NMS -NM - Security -AAA - SVD (EAD 17)</t>
  </si>
  <si>
    <t>Story 393213: CM Release of 98-P55509M – Network – Router – SVD (EAD 17)</t>
  </si>
  <si>
    <t>Story 393213: CM Release of 98-P59401M NMS-NM-Common-TSM (EAD 17)</t>
  </si>
  <si>
    <t>Story 393213: CM Release of 98-P59410M003 – NMS – NM – FCAP – F5BIG-IP – SVD (EAD 17)</t>
  </si>
  <si>
    <t>98-P59410M003 – NMS – NM – FCAP – F5BIG-IP – SVD</t>
  </si>
  <si>
    <t>Story 393213: CM Release of 98-P59414M – NMS – NM – Security – GSKey – SVD (GSKM) (EAD 17)</t>
  </si>
  <si>
    <t>Story 393213: CM Release of 98-P59421M NM Juniper Router   (EAD 17)</t>
  </si>
  <si>
    <t>Story 393213: CM Release of 98-P59428M - NMS - NM - Security - SIEM - SVD (EAD 17)</t>
  </si>
  <si>
    <t>Story 393213: CM Release of 98-P59430M MUOS_IG_GS_NMS_NM_Common_SANSwitch_SVD</t>
  </si>
  <si>
    <t>Story 393213: CM Release of 98-P59434M_NM_CSCI_SVD (EAD 17)</t>
  </si>
  <si>
    <t>98-P59434M - NMS - NM - Common - NMCSCI - SVD</t>
  </si>
  <si>
    <t>Story 393213: CM Release of 98-P59436M MUOS_IG_GS_NMS_NM_Common_RAIDArray_SVD</t>
  </si>
  <si>
    <t>98-P59436M - NMS - NM - Common - RAIDArray - SVD</t>
  </si>
  <si>
    <t>Story 393213: CM Release of 98-P59813M MUOS_IG_GS_NMS_NM_Common_Tectia_SVD</t>
  </si>
  <si>
    <t>Story 393213: CM Release of 98-P59852M  MUOS_IG_GS_NMS_NM_OS_WindowsServer2012_SVD (EAD 17)</t>
  </si>
  <si>
    <t>Story 393213: CM Release of 98-P59854M MUOS_IG_GS_NMS_NM_Security_HBSS_SVD (EAD 17)</t>
  </si>
  <si>
    <t>Story 393213: CM Release of 98-P59856M - Network - ExtremeSwitch - SVD (EAD 17)</t>
  </si>
  <si>
    <t>Story 393213: CM Release of 98-P59860M MUOS_IG_GS_NMS_NM_OS_Win10Workstation_SVD (EAD 17)</t>
  </si>
  <si>
    <t>Story 393213: CM Release of 99-P48066V - SEIT - IDP - SC - MUOSv1.1.25.0 (EAD-17 HLR End Of Life - Wahiawa) Installation Design Plan NCTAMSPAC SATCOM Wahiawa, HI (EAD 17)</t>
  </si>
  <si>
    <t>#1002381</t>
  </si>
  <si>
    <t>Story 393213: CM Release of 99-P48067V - SEIT -  BESEP (Base Electronic System Engineer Plan) Source Material for MUOSv1.1.25.0 (EAD-17 HLR End Of Life) - Wahiawa at NCTAMSPAC SATCOM Wahiawa, HI (EAD 17)</t>
  </si>
  <si>
    <t>Story 393213: CM Release of 99-P48068V - SEIT -  System Operational Verification Test (SOVT) for MUOSv1.1.25.0 (EAD-17 HLR End Of Life) – NCTAMSPAC SATCOM Wahiawa, HI (EAD 17)</t>
  </si>
  <si>
    <t>Story 393213: CM Release of 99-P48069V - SEIT -  MUOSv1.1.25.0 (EAD-17) HLR End Of Life - WH Test Report - NCTAMSPAC SATCOM Wahiawa, HI (EAD 17)</t>
  </si>
  <si>
    <t>Story 393213: CM Release of 99-P48089V - SEIT - IDP - SC - MUOSv1.1.25.0 (EAD-17 HLR End Of Life - Northwest) Installation Design Plan NAVSATCOMMFAC NORTHWEST (EAD 17)</t>
  </si>
  <si>
    <t>Story 393213: CM Release of 99-P48090V - SEIT - BESEP (Base Electronic System Engineer Plan) Source Material for MUOSv1.1.25.0 (EAD-17 HLR End Of Life) - NAVSATCOMMFAC NORTHWEST (EAD 17)</t>
  </si>
  <si>
    <t>Story 393213: CM Release of 99-P48091V - SEIT -  System Operational Verification Test (SOVT) for MUOSv1.1.25.0 (EAD-17 HLR End Of Life) – NAVSATCOMMFAC NORTHWEST (EAD 17)</t>
  </si>
  <si>
    <t>Story 393213: CM Release of 99-P48092V - SEIT -  MUOSv1.1.25.0 (EAD-17) HLR End Of Life - NW Test Report - NAVSATCOMMFAC NORTHWEST (EAD 17)</t>
  </si>
  <si>
    <t>Story 393213: CM Release of 99-P53198T – NMS – NM – NEDB (EAD 17)</t>
  </si>
  <si>
    <t>Story 393213: CM Release of 99-P57051M – NMS – NM – GSAM (EAD 17)</t>
  </si>
  <si>
    <t>#1007536</t>
  </si>
  <si>
    <t>Story 393213: CM Release of Cisco Switch (EAD 17)</t>
  </si>
  <si>
    <t>Story 393213: CM Release of Nutanix_HP_SVD_98-P55764M (EAD 17)</t>
  </si>
  <si>
    <t>Story 393213: NME201 (new cabinet) (EAD 17)</t>
  </si>
  <si>
    <t>Story 393213: NME202 (new cabinet) (EAD 17)</t>
  </si>
  <si>
    <t>Task Analysis (JDTA) (CDRL A011)</t>
  </si>
  <si>
    <t>kickoff_no, mfr_na, site_val_no, hw_license_no, to-001_sow, ci_yes_done, stakeholderapproval</t>
  </si>
  <si>
    <t>ci_no, site_val_no, kickoff_no, hw_license_no, mfr_na, ietm-template_20190830, to-001_sow, demo_no, stakeholderapproval</t>
  </si>
  <si>
    <t>site_val_no, ci_no, hw_license_no, loe, demo_no, kickoff_no, to-001_sow, stakeholderapproval, mfr_na</t>
  </si>
  <si>
    <t>site_val_no, ci_no, kickoff_no, hw_license_no, to-002_sow, stakeholderapproval, mfr_na</t>
  </si>
  <si>
    <t>ci_no, site_val_no, hw_license_no, to-001_sow, stakeholderapproval, kickoff_done, mfr_na</t>
  </si>
  <si>
    <t>mfr1_template08292019, mfr_na</t>
  </si>
  <si>
    <t>MUOSAT-MHAL: sle_cpp - connection to SLE refused to open after being open in previous scenarios</t>
  </si>
  <si>
    <t>Willinger, Jacob T</t>
  </si>
  <si>
    <t>Mendez, Matthew A</t>
  </si>
  <si>
    <t>SWIT Lab Improvements</t>
  </si>
  <si>
    <t>Nutanix Cleanup for EAD 18</t>
  </si>
  <si>
    <t>PI 09 (archived)</t>
  </si>
  <si>
    <t>ci_no, hw_license_no, site_val_no, kickoff_no, 18-02_sow, stakeholderapproval</t>
  </si>
  <si>
    <t>18-02_sow, hw_license_no, ci_yes, demo_yes, kickoff_no, site_val_no, mfr_na</t>
  </si>
  <si>
    <t>Earth Terminal Interface (ETI) Processing IETM Refers to Legacy Geolocation Functionality</t>
  </si>
  <si>
    <t>Missing Step to Delete Script Output File in Geolocation Services Verification Procedure</t>
  </si>
  <si>
    <t>AWARE Security Log Collection - No steps to delete/clear out old log files</t>
  </si>
  <si>
    <t>EA 13.7 (archived)</t>
  </si>
  <si>
    <t>PI 13 (archived)</t>
  </si>
  <si>
    <t>#380808
#1011898</t>
  </si>
  <si>
    <t>#380808
#1011897</t>
  </si>
  <si>
    <t>#380808
#1011904</t>
  </si>
  <si>
    <t>#342163
#380808
#1007900
#1011910</t>
  </si>
  <si>
    <t>Story 393213: CM Release of 99-P59545V – CDRL A011 – ILS – JDTA (EAD 17)</t>
  </si>
  <si>
    <t>99-P59545 – CDRL A011 – ILS – JDTA</t>
  </si>
  <si>
    <t>EA 16.3</t>
  </si>
  <si>
    <t>#1012485</t>
  </si>
  <si>
    <t>#380808
#1011896</t>
  </si>
  <si>
    <t>#380808
#1011903</t>
  </si>
  <si>
    <t>#380808
#1011895</t>
  </si>
  <si>
    <t>#380808
#1011894</t>
  </si>
  <si>
    <t>WH Preventive Maintenance Activity for 2020</t>
  </si>
  <si>
    <t>SC Preventive Maintenance Activity for 2020</t>
  </si>
  <si>
    <t>Spares Plan (CDRL A004)</t>
  </si>
  <si>
    <t>Watt, Amelia M</t>
  </si>
  <si>
    <t>Resolve PPA issue that prevents a group from being extended once 64000 group ids have been reached</t>
  </si>
  <si>
    <t>sev_checked, for_toff_po_review</t>
  </si>
  <si>
    <t>98-P59422M003 - NMS_NM - NM Secret Application Server - SVD</t>
  </si>
  <si>
    <t>Periodically notify MFTs to perform OTA-FT</t>
  </si>
  <si>
    <t>Tools Team Support / LOE for RAN/RDE Environment in PI 15</t>
  </si>
  <si>
    <t>Annual Level of Repair Assessment (LORA): Review &amp; Update the LORA Created and Delivered in 2019 (CDRL A010)</t>
  </si>
  <si>
    <t>PI 15 Supply Support Tracking (Recurring)</t>
  </si>
  <si>
    <t>RAN Dev Env (RDE) Network Upgrade of MUOS Tools - OSSRC migration</t>
  </si>
  <si>
    <t>OTA-FT Notification and Protocol Improvements</t>
  </si>
  <si>
    <t>AWARE MariaDB general log file is getting too large</t>
  </si>
  <si>
    <t>Design for User Service Profile Rekey Issues</t>
  </si>
  <si>
    <t>to-006</t>
  </si>
  <si>
    <t>Account recovery for user NODE.DPA has incorrect command</t>
  </si>
  <si>
    <t>MUOSAT-SP: Autopopulate PtP Destination IP address in MGEN tab</t>
  </si>
  <si>
    <t>MUOSAT-SP: Notify automation when 'Waveform Launch Failure' occurs, and similar errors</t>
  </si>
  <si>
    <t>MUOSAT-SP: Pass TX denied reason code to MHAL</t>
  </si>
  <si>
    <t>MUOSAT-SP: Bootstrap provisioning doesn't work without SAFP ID</t>
  </si>
  <si>
    <t>MUOSAT-SP: Dialed digits should not be checked in PtN calls.</t>
  </si>
  <si>
    <t>MUOSAT-SP: Group join retry code prevents softphone shutdown</t>
  </si>
  <si>
    <t>MUOSAT-SP: Display Rx Signal Strength</t>
  </si>
  <si>
    <t>MUOSAT-SP: Document Build Environment Setup</t>
  </si>
  <si>
    <t>MUOSAT-SP: Don't allow user to press group join button more than once</t>
  </si>
  <si>
    <t>Update IETM Recovery Procedure for RCG_0062 per trouble ticket information</t>
  </si>
  <si>
    <t>User Service Profile Rekey Issues (Epic)</t>
  </si>
  <si>
    <t>Provide Capability to Pass Text Files Through the NMS Guard</t>
  </si>
  <si>
    <t>OBS: Develop Replacement for the Planned Provisioning Application (PPA)</t>
  </si>
  <si>
    <t>Delete PPA User Accounts (Enabler)</t>
  </si>
  <si>
    <t>SAR/Terminal Profile Screen Enhancements and Deletion of Notification Msgs (Enabler)</t>
  </si>
  <si>
    <t>Perform Automatic Aging of Aggregate Plan Data Used by PlanProvApp</t>
  </si>
  <si>
    <t>Develop improved Likelihood of Success output</t>
  </si>
  <si>
    <t>Design PPA UI Cleanup due to absent CDRs/PM/FM data</t>
  </si>
  <si>
    <t>Implement PPA UI Cleanup due to absent CDRs/PM/FM data</t>
  </si>
  <si>
    <t>Fix Issues with Multiple Group SARs (MOT&amp;E Finding E-03)</t>
  </si>
  <si>
    <t>Ready for PO Sync Review</t>
  </si>
  <si>
    <t>PI 19</t>
  </si>
  <si>
    <t>PI 22</t>
  </si>
  <si>
    <t>to-006_sow, mfr_na, hw_license_no, site_val_no</t>
  </si>
  <si>
    <t>mfr_na, 18-02_sow, ci_no, site_val_no, hw_license_no, kickoff_no, stakeholderapproval</t>
  </si>
  <si>
    <t>mfr_na, 18-02_sow, site_val_no, hw_license_no, kickoff_no, ci_no, stakeholderapproval</t>
  </si>
  <si>
    <t>18-02_sow, hw_license_no, kickoff_no, ci_yes_done, site_val_done, stakeholderapproval, mfr_1</t>
  </si>
  <si>
    <t>da_na_waiver, nsf</t>
  </si>
  <si>
    <t>mfr_1, bringback, da_waiver, nsf</t>
  </si>
  <si>
    <t>fiber mux software installation verification instructions are incorrect</t>
  </si>
  <si>
    <t>New eRxIM Values after Relocation</t>
  </si>
  <si>
    <t>firewall issues related to traffic coming in on incorrect interfaces</t>
  </si>
  <si>
    <t>mpc_ead_14.34, rebase_yes, reapply_yes</t>
  </si>
  <si>
    <t>Investigate PMW-146 Questions Related to Top Secret WCDMA Services</t>
  </si>
  <si>
    <t>Canada FMS Capability Spec Initial Draft</t>
  </si>
  <si>
    <t>Preliminary Design of NMS Guard Updates for File Based Data</t>
  </si>
  <si>
    <t>Complete development of Sicily Connected AWARE</t>
  </si>
  <si>
    <t>site_val_no, ci_no, kickoff_no, hw_license_no, to-001_sow, stakeholderapproval</t>
  </si>
  <si>
    <t>hw_license_no, ci_yes, site_val_no, kickoff_no, to-001_sow, stakeholderapproval</t>
  </si>
  <si>
    <t>hw_license_no, site_val_no, kickoff_no, demo_no, to-001_sow, mfr_na, ci_yes_done, stakeholderapproval</t>
  </si>
  <si>
    <t>to-011</t>
  </si>
  <si>
    <t>Canadian Foreign Military Sales (FMS) Planning and Design</t>
  </si>
  <si>
    <t>Software_Installation_and_Configuration_Table.pdf is incomplete/inaccurate</t>
  </si>
  <si>
    <t>-</t>
  </si>
  <si>
    <t>Lab - Maintain Labs for Integration, Testing and Test Events with minimal down time  (PI-15)</t>
  </si>
  <si>
    <t>OBS - PPA Prototyping</t>
  </si>
  <si>
    <t>Lab – TXO Ericsson – Test Ericsson parts from second part of 2030 completion order - Part B</t>
  </si>
  <si>
    <t>Ready for System IPT Approval</t>
  </si>
  <si>
    <t>site_val_no, hw_license_no, kickoff_no, ci_no, 18-02_sow, mfr_na, stakeholderapproval</t>
  </si>
  <si>
    <t>SPAS00000171676: ISEA Requires SME support to resolve TFBR 0173-16</t>
  </si>
  <si>
    <t>Nominal Telemetry in the generateMuosDatabase Script</t>
  </si>
  <si>
    <t>Port 31 on switches oamsw-xx-3 and oamsw-xx-4 is not in use</t>
  </si>
  <si>
    <t>PI 24</t>
  </si>
  <si>
    <t>98-P53546T - GTS - SWITCH - L2 - L3 - SW - SVD</t>
  </si>
  <si>
    <t>Banh, Khai T</t>
  </si>
  <si>
    <t>Fix User Service Profile Rekey Issues</t>
  </si>
  <si>
    <t>Release Regression - EAD 16 Regression Testing (PI15)</t>
  </si>
  <si>
    <t>Deployment and on-site support of OSS-RC for PI15</t>
  </si>
  <si>
    <t>MUOS Service KPI definition, implementation, analysis and update</t>
  </si>
  <si>
    <t>IETM Update: KPK-UK Rekey, if failed due to Insufficient Keys Error, operator should retry</t>
  </si>
  <si>
    <t>Incomplete FM Failover if primary server has hard crash</t>
  </si>
  <si>
    <t>B3 NMS FM - Backup precision probe does not take over when primary probe is down</t>
  </si>
  <si>
    <t>IETM: Need to describe what to do when MPR Mapping update indicates partial success (SPAS00000150472)</t>
  </si>
  <si>
    <t>#troubleticket, frb_2019-07</t>
  </si>
  <si>
    <t>sev_checked, list_5, triaged</t>
  </si>
  <si>
    <t>#troubleticket, spas00000150472, sev_checked</t>
  </si>
  <si>
    <t>mfr_na, site_val_no, hw_license_no, kickoff_no, ci_no, to-006_sow</t>
  </si>
  <si>
    <t>Burnett, Johnathan D</t>
  </si>
  <si>
    <t>During compromise common group key waveform got stuck</t>
  </si>
  <si>
    <t>Bonifaz, Fernando A</t>
  </si>
  <si>
    <t>stakeholderapproval, 18-02_sow</t>
  </si>
  <si>
    <t>The Alex CSCF and HSS Troubleshooting Guide is located in Alex but is difficult to find</t>
  </si>
  <si>
    <t>Monitor ePolicy Orchestrator – Normal Operation Procedure for step 2.2.9.4 should be the same as 2.2.9.5</t>
  </si>
  <si>
    <t>gis-wh/nw McAfee ePolicy Orchestrator (ePO) issue - whiassfw1 firewalls reports that gis-wh communication with Australia fcu over port 8081 (McAfee ePolicy Orchestrator (ePO)) application is not allowed</t>
  </si>
  <si>
    <t>RNC Board Crashes are seen at site and in VLab</t>
  </si>
  <si>
    <t>OSSRC GCK Rekey Issue - SR 931897 / INC000002296121</t>
  </si>
  <si>
    <t>irmapproved, sev_checked, wf_rnc</t>
  </si>
  <si>
    <t>C</t>
  </si>
  <si>
    <t>F</t>
  </si>
  <si>
    <t>Story 343920: CM Release of 62-P51610E - GTS Switch - Core Network Product Specification (EAD 16)</t>
  </si>
  <si>
    <t>#387448</t>
  </si>
  <si>
    <t>Story 343920: CM Release of 99-P48087V -  System Operational Verification Test (SOVT) for MUOSv1.1.24.0 (EAD-16) Wahiawa Power Upgrades for NCTAMSPAC SATCOM Wahiawa</t>
  </si>
  <si>
    <t>#383168</t>
  </si>
  <si>
    <t>Story 353837: CM Release of 01-P59548V - ILS LAPTOP GEN2 ASSEMBLY(EAD 16 OOC)</t>
  </si>
  <si>
    <t>#377437
#1013793</t>
  </si>
  <si>
    <t>Story 353837: CM Release of 01-P59554V001 - ILS - LAPTOP, MTC-AJM GEN2 ASSEMBLY  Rev DASH to A(EAD 16 OOC)</t>
  </si>
  <si>
    <t>#1013793
#377437</t>
  </si>
  <si>
    <t>Story 393213: CM Release of 01-P53569E - NME 9 CABINET ASSEMBLY - NMA (EAD 17)</t>
  </si>
  <si>
    <t>#383165</t>
  </si>
  <si>
    <t>Story 393213: CM Release of 01-P53578E - NME 8 CABINET ASSEMBLY – NM (EAD 17)</t>
  </si>
  <si>
    <t>Story 393213: CM Release of 63-P53199T - ILS - Functional Block Diagram (EAD 17)</t>
  </si>
  <si>
    <t>#342054</t>
  </si>
  <si>
    <t>K</t>
  </si>
  <si>
    <t>AR
AU
DD
HQ
NW
SC
WH</t>
  </si>
  <si>
    <t>Story 393213: CM Release of 69-P50495E - INTERCONNECT DIAGRAM - SF/NMF, WAHIAWA (EAD 17)</t>
  </si>
  <si>
    <t>Story 393213: CM Release of 69-P57162M - INTERCONNECT DIAGRAM - NME 8 (EAD 17)</t>
  </si>
  <si>
    <t>Story 393213: CM Release of 69-P57163M - INTERCONNECT DIAGRAM - NME 9 (EAD 17)</t>
  </si>
  <si>
    <t>Story 393213: CM Release of 69-P59869M - INTERCONNECT DIAGRAM - NME 201 - NMS (EAD 17)</t>
  </si>
  <si>
    <t>Story 393213: CM Release of 69-P59873M - INTERCONNECT DIAGRAM - NME 202 - NMS (EAD 17)</t>
  </si>
  <si>
    <t>Story 393213: CM Release of 98-P54107T – GEO – AMS-GS SVD (EAD 17)</t>
  </si>
  <si>
    <t>#1013452</t>
  </si>
  <si>
    <t>Story 393213: CM Release of 98-P54199T - NMS - NM - Security - AntiVirusHIDS - SVD (EAD 17)</t>
  </si>
  <si>
    <t>MUOSD00321916</t>
  </si>
  <si>
    <t>V</t>
  </si>
  <si>
    <t>Story 393213: CM Release of 98-P55510M – GTS – RN – ETI – AWARE – SVD (EAD 17)</t>
  </si>
  <si>
    <t>M</t>
  </si>
  <si>
    <t>Story 393213: CM Release of 98-P59405M – NMS – NM – Common – MSSQLServer – SVD (EAD 17)</t>
  </si>
  <si>
    <t>W</t>
  </si>
  <si>
    <t>3.0.0</t>
  </si>
  <si>
    <t>#380808
#1007900
#1011901
#342054</t>
  </si>
  <si>
    <t>#380808
#1011906
#342054</t>
  </si>
  <si>
    <t>#388195
#1004738
#342054</t>
  </si>
  <si>
    <t>Story 393213: CM Release of 99-P48074V - SEIT - IDP - SC - MUOSv1.1.23.0 (EAD-??) Connected AWARE - Sicily) Installation Design Plan at NRTP Niscemi, Sicily (EAD 17)</t>
  </si>
  <si>
    <t>Story 393213: CM Release of 99-P48075V - SEIT - BESEP Source Material for MUOSv1.1.23.0 (EAD-??) Connected AWARE – Sicily) at NRTP Niscemi, Sicily (EAD 17)</t>
  </si>
  <si>
    <t>Story 393213: CM Release of 99-P48076V - SEIT - SOVT for MUOSv1.1.23.0 (EAD-??) Connected AWARE – Sicily) (EAD 17)</t>
  </si>
  <si>
    <t>Story 393213: CM Release of 99-P48077V - SEIT - MUOSv1.1.23.0 (EAD-??) AWARE Connected - Sicily Test Report (EAD 17)</t>
  </si>
  <si>
    <t>Story 393213: CM Release of 99-P55760M – GTS  – SW/HW – ERS-AWARE (EAD 17)</t>
  </si>
  <si>
    <t>#380808
#1007900
#1011900
#342054</t>
  </si>
  <si>
    <t>Story 393213: CM Release of 99-P61689A – SEIT (EAD 17) [aka MUOS I-Level Procedures and Supporting Material]</t>
  </si>
  <si>
    <t>99-P61689A – SEIT</t>
  </si>
  <si>
    <t>Story 393213: CM Release of 99-TBD– Cluster 200 – HW-SW Map (EAD 17)</t>
  </si>
  <si>
    <t>#380808</t>
  </si>
  <si>
    <t>Story 393213: CM Release of PL01-P53578E001 - NME 8 CABINET ASSEMBLY (EAD 17)</t>
  </si>
  <si>
    <t>TO-9: Develop Build and Development Tools</t>
  </si>
  <si>
    <t>TO-9: Develop and Test ULX Manager and Monitor and Control</t>
  </si>
  <si>
    <t>TO-9: Develop Channel Processor Prototype for ULX</t>
  </si>
  <si>
    <t>TO-9: Update ULX Detailed Design</t>
  </si>
  <si>
    <t>TO 6: PI 15 Support of ADI/EMI/PRISM Integration</t>
  </si>
  <si>
    <t>Implement the WCDMA Reliability Metric (CSSR) defined in PI-14 and track these Availability related metrics implemented in PI-14</t>
  </si>
  <si>
    <t>EA 15.4</t>
  </si>
  <si>
    <t>mfr_na, site_val_no, hw_license_no, kickoff_no, ci_no, 18-02_sow, stakeholderapproval</t>
  </si>
  <si>
    <t>Feature 1011295: Additional GEO Removal in Vlab Resolved ETISP Frame Sync Loss Issues</t>
  </si>
  <si>
    <t>Update switch configuration for swtiches in Extreme Switch SVD to match port disabling performed during MPC EAD 9.24 updates</t>
  </si>
  <si>
    <t>TO-9: Build ULX System 1 and 2</t>
  </si>
  <si>
    <t>Extending legacy capability within the ground system (ULX)</t>
  </si>
  <si>
    <t>2019 Proposals</t>
  </si>
  <si>
    <t>PI 08 (archived)</t>
  </si>
  <si>
    <t>Review Epic Completion</t>
  </si>
  <si>
    <t>18-02_sow, site_val_no, hw_license_no, ci_no, kickoff_no, mfr_na</t>
  </si>
  <si>
    <t>Cheung, Joseph-P62808 (Perm Res)</t>
  </si>
  <si>
    <t>Worger, Bill R</t>
  </si>
  <si>
    <t>INC000004671222: NAVSOC HQ-OAS - Momentum adjusts within 24 hours of EWSK</t>
  </si>
  <si>
    <t>No Routine Task to Backup ACU Configuration</t>
  </si>
  <si>
    <t>Splunk GUI locks up and becomes unresponsive</t>
  </si>
  <si>
    <t>ETI_2627 AXPIC Alarm Recovery Procedure Alternate Procedure Exists at Site, Should Be Incorporated into IETM</t>
  </si>
  <si>
    <t>FEP Software Installation and Configuration Procedure (Earth Terminal SVD 98-P55613M003)</t>
  </si>
  <si>
    <t>ACU Software Installation and Configuration Procedure (ACU.pdf)</t>
  </si>
  <si>
    <t>Update IETM procedures to instruct operators of upper and lower boundaries for Broadcast Deactivation Date to prevent errors in Rekey and Group Comprimise</t>
  </si>
  <si>
    <t>MAS whitelisted alarms and recovery procedures need systemic look in order for O-Level to be able to react when actually needed.</t>
  </si>
  <si>
    <t>Need to document ACU configurations</t>
  </si>
  <si>
    <t>Investigate blocks being lost outside of RLC</t>
  </si>
  <si>
    <t>PCR MUOSMU-15395 Investigate consistent packet drop levels</t>
  </si>
  <si>
    <t>Investigate high initial B2U BLER</t>
  </si>
  <si>
    <t>Investigate continuous higher than expected BLER</t>
  </si>
  <si>
    <t>Lab - SWIT Revitalize - Assessment, inventory, drawings, plan RAN and SWIT</t>
  </si>
  <si>
    <t>Implement updates towards establishment of MUOS Esential System Documentation Baseline</t>
  </si>
  <si>
    <t>Implement updates towards establishment of MUOS Essential System Documentation baseline</t>
  </si>
  <si>
    <t>18-02_sow, mfr_na, hw_license_no, site_val_no, kickoff_yes, ci_no, stakeholderapproval</t>
  </si>
  <si>
    <t>Closed</t>
  </si>
  <si>
    <t>Implement updates towards establishment of MUOS Core System Documentation baseline</t>
  </si>
  <si>
    <t>Complete establishment of MUOS Core System Documentation baseline</t>
  </si>
  <si>
    <t>Establish Effective System Documentation baseline</t>
  </si>
  <si>
    <t>td, 18-02_sow, hw_license_done, kickoff_yes, major, mfr_na, site_val_yes</t>
  </si>
  <si>
    <t>mfr_tbd, site_val_no, hw_license_no, kickoff_yes, 18-02_sow, ci_no</t>
  </si>
  <si>
    <t>site_val_no, kickoff_yes, 19-10_sow, ci_yes_done, stakeholderapproval, major, mfr_2, hw_license_done</t>
  </si>
  <si>
    <t>EAD-15 Deployment: Port configuration for the ETT laptop is incorrect in baseline.</t>
  </si>
  <si>
    <t>Diaz, Mike-P17114</t>
  </si>
  <si>
    <t>#377437
#1007900</t>
  </si>
  <si>
    <t>Story 393213: CM Release of 01-P51736E - NMS_NM - RFA Cabinet Assembly - RAF (EAD 17)</t>
  </si>
  <si>
    <t>#1014079
#1003390</t>
  </si>
  <si>
    <t>Story 393213: CM Release of 63-P53199T - SEIT - Functional Block Diagram MUOS Ground System (EAD 17)</t>
  </si>
  <si>
    <t>#1014168
#1003390</t>
  </si>
  <si>
    <t>#1003390
#1014169</t>
  </si>
  <si>
    <t>#367689
#1003390
#1014170</t>
  </si>
  <si>
    <t>Story 393213: CM Release of 98-P53546T002GTS CSA/PSA L2/L3 Switch, Software Version Description (SVD) (EAD 17)</t>
  </si>
  <si>
    <t>#1003390
#1014172</t>
  </si>
  <si>
    <t>#380808
#1007900
#1011902
#342054
#1003390
#1014198</t>
  </si>
  <si>
    <t>#380808
#1011907
#342054
#385632
#1014199
#1003390</t>
  </si>
  <si>
    <t>#342054
#1014201
#1003390</t>
  </si>
  <si>
    <t>Story 393213: CM Release of 98-P554477M - GTS - RN - RANI, SVD (EAD 17)</t>
  </si>
  <si>
    <t>#1003390
#1014203</t>
  </si>
  <si>
    <t>Story 393213: CM Release of 98-P55503M003 - GS_OS - GS Red Hat Enterprise Linux, SVD (EAD 17)</t>
  </si>
  <si>
    <t>#1013928
#1003390</t>
  </si>
  <si>
    <t>Story 393213: CM Release of 98-P55755M - GS_Network - GS Firewall Network, SVD (EAD 17)</t>
  </si>
  <si>
    <t>#1014202
#1003390</t>
  </si>
  <si>
    <t>Story 393213: CM Release of 98-P59411M - NMS_NM - NM McAfee External Network Intrusion Detection (EAD 17)</t>
  </si>
  <si>
    <t>#1014205
#1003390</t>
  </si>
  <si>
    <t>Story 393213: CM Release of 98-P59412M - NMS - NM - Provisioning - KeyMgmt - SVD</t>
  </si>
  <si>
    <t>#1001263</t>
  </si>
  <si>
    <t>#380808
#1011908
#342054
#1014206
#1003390</t>
  </si>
  <si>
    <t>#354680
#1004701
#1004738
#380808</t>
  </si>
  <si>
    <t>Story 393213: CM Release of 99-P52204E - GTS - Software to Hardware Mapping - IP CORE 2 (EAD 17)</t>
  </si>
  <si>
    <t>#1014154
#1003390</t>
  </si>
  <si>
    <t>#380808
#1007900
#1011899
#342054
#1014157
#1003390</t>
  </si>
  <si>
    <t>Story 393213: CM Release of 99-P57051M - NMS_NM - MUOS Ground System Account Maintenance Plan (EAD 17)</t>
  </si>
  <si>
    <t>#1014204
#1003390</t>
  </si>
  <si>
    <t>Story 393213: CM Release of  01-P51735 - GTS - EIP CORE 2, Cabinet Assembly, PSA (EAD 17)</t>
  </si>
  <si>
    <t>01-P51735E – GTS – HSM – IP CORE 2</t>
  </si>
  <si>
    <t>#1003390
#1014078</t>
  </si>
  <si>
    <t>s</t>
  </si>
  <si>
    <t>OBS - MS SQL: Create Capability Specification for SQL Server Replacement</t>
  </si>
  <si>
    <t>Notify MFTs to perform OTA-FT following bootstrap OTA-FT (trouble ticket  INC000004670352)</t>
  </si>
  <si>
    <t>Cyber: RMF Continuous Monitoring - PI 15 (Recurring)</t>
  </si>
  <si>
    <t>Cyber: MFR Deployment Support - PI 15 (Recurring)</t>
  </si>
  <si>
    <t>Cyber: TO3 IA Patching - PI 15 (Recurring)</t>
  </si>
  <si>
    <t>ci_no, site_val_no, kickoff_no, 18-02_sow, hw_license_no, mfr_na</t>
  </si>
  <si>
    <t>mfr_na, ci_no, kickoff_done, site_val_no, hw_license_no, to-006_sow, mpc_x_y, stakeholderapproval</t>
  </si>
  <si>
    <t>Targeted cell search results do not contain enough information for the MAMA Request.</t>
  </si>
  <si>
    <t>Implement Routine PPA Database Admin Tasks</t>
  </si>
  <si>
    <t>Routine PPA Database Admin Tasks</t>
  </si>
  <si>
    <t>OBS: Develop VM Development, Management, and Deployment Environment</t>
  </si>
  <si>
    <t>OBS: Two Factor Authentication (2FA) Prototype Planning</t>
  </si>
  <si>
    <t>OBS - AWARE &amp; Call Banks: Transition Plan to Clustered Architecture VM environment</t>
  </si>
  <si>
    <t>Windows Obsolescence Upgrade</t>
  </si>
  <si>
    <t>OBS: Windows Server SHB Testing &amp; Implementation Planning</t>
  </si>
  <si>
    <t>Define Routine PPA Database Admin Tasks</t>
  </si>
  <si>
    <t>ci_no, kickoff_no, 18-02_sow, mfr_na, site_val_no</t>
  </si>
  <si>
    <t>18-02_sow, hw_license_no, kickoff_no, site_val_no, mfr_na, ci_no</t>
  </si>
  <si>
    <t>18-02_sow, kickoff_yes, site_val_no, hw_license_no, ci_no, mfr_na</t>
  </si>
  <si>
    <t>dt_assist_1, ci_no, hw_license_no, site_val_no, kickoff_no, mfr_na, 18-02_sow</t>
  </si>
  <si>
    <t>ETISP Configuration Tool - update software to display Rev # on GUI for software "patches"</t>
  </si>
  <si>
    <t>Implement the WCDMA Reliability Metrics (Group Call CSSR) defined in PI-14, Define Retainability metrics and identify additional metrics to define for WCDMA services</t>
  </si>
  <si>
    <t>Plan forTO-6 Trade Studies</t>
  </si>
  <si>
    <t>Identify &amp; Communicate Top Issues (Recurring)</t>
  </si>
  <si>
    <t xml:space="preserve">OBS - Complete Nutanix Release Prep, IA refresh, and IETMs for Nutanix Solution </t>
  </si>
  <si>
    <t>mfr_na, ci_no, site_val_no, kickoff_no, hw_license_no, to-009_sow</t>
  </si>
  <si>
    <t>18-02_sow, hw_license_no, minor, site_val_no, stakeholderapproval, ci_no, kickoff_no, mfr_na</t>
  </si>
  <si>
    <t>18-02_sow, hw_license_no, site_val_no, stakeholderapproval, kickoff_done, mfr_na, ci_no</t>
  </si>
  <si>
    <t>mfr_na, da_na, ci_no, 18-02_sow, stakeholderapproval, site_val_no, hw_license_no, kickoff_no</t>
  </si>
  <si>
    <t>to-009</t>
  </si>
  <si>
    <t xml:space="preserve">Trouble ticket: INC000004670352 - WH- 1/3 of MUOS terminals not downloading most current freq profile. </t>
  </si>
  <si>
    <t>Update IETM Procedure " Add Domain Account to McAfee Firewall - Normal Operation Procedure" with special note and update title</t>
  </si>
  <si>
    <t>Vendor:  Asnas unjoins a group without telling the Red side.  Reboot required.</t>
  </si>
  <si>
    <t>Vendor:  Mobility during Configuring state where routing area changes causes waveform to hang.</t>
  </si>
  <si>
    <t>OBS: Develop Replacement for MUOS use of Active MQ</t>
  </si>
  <si>
    <t>OBS: Develop Replacement for MUOS use of Microsoft SQL Server</t>
  </si>
  <si>
    <t>Trade Studies for TO-6</t>
  </si>
  <si>
    <t>Gen 2 Laptops NTP set to unreachable server</t>
  </si>
  <si>
    <t>severity_checked, irmapproved, wf_group, wf_active</t>
  </si>
  <si>
    <t>muosmu-16246, sev_checked, wf_mobility, wf_active</t>
  </si>
  <si>
    <t>muosmu-16239, sev_checked, wf_group, wf_active</t>
  </si>
  <si>
    <t>muosmu-16238, sev_checked, wf_group, wf_active</t>
  </si>
  <si>
    <t>muosmu-16237, severity_checked, #troubleticket, wf_group, wf_po, wf_active</t>
  </si>
  <si>
    <t>muosmu-16201, sev_checked, wf_group, wf_po, wf_active</t>
  </si>
  <si>
    <t>muosmu-16194, severity_checked, wf_group, wf_po, wf_active</t>
  </si>
  <si>
    <t>muosmu-16185, severity_checked, wf_group, wf_po, wf_active</t>
  </si>
  <si>
    <t>ewi2pwi, muosmu-16183, irmapproved, wf_group, wf_active</t>
  </si>
  <si>
    <t>ewi2pwi, muosmu-16145, wf_group, wf_po, wf_active</t>
  </si>
  <si>
    <t>muosmu-16139, sev_checked, wf_group, wf_active</t>
  </si>
  <si>
    <t>ewi2pwi, muosmu-16080, wf_group, wf_po, wf_active</t>
  </si>
  <si>
    <t>ewi2pwi, muosmu-16014, wf_group, wf_po, wf_active</t>
  </si>
  <si>
    <t>muosmu-15955, sev_checked, irmapproved, wf_group, wf_active</t>
  </si>
  <si>
    <t>ewi2pwi, muosmu-15954, wf_group, wf_po, wf_active</t>
  </si>
  <si>
    <t>muosmu-15820, sev_checked, wf_group, wf_po, wf_active</t>
  </si>
  <si>
    <t>ewi2pwi, muosmu-15632, wf_group, wf_active</t>
  </si>
  <si>
    <t>ewi2pwi, muosmu-15576, wf_group, wf_po, wf_active</t>
  </si>
  <si>
    <t>muosmu-16269, sev_checked, wf_group, wf_po, wf_active</t>
  </si>
  <si>
    <t>severity_checked, wf_group, wf_po, wf_active</t>
  </si>
  <si>
    <t>Story 343920: CM Release of PL01-P59548V001 - ILS - ILS LAPTOP GEN2 ASSEMBLY, Parts  List (EAD 16)</t>
  </si>
  <si>
    <t>Story 343920: CM Release of PL01-P59548V004 - ILS - ILS LAPTOP GEN2 ASSEMBLY, Parts  List (EAD 16)</t>
  </si>
  <si>
    <t>Story 343920: CM Release of PL01-P59554V001 - ILS - PARTS LIST, LAPTOP, MTC-AJM GEN2 ASSEMBLY (EAD 16)</t>
  </si>
  <si>
    <t>Story 393213: CM Release of 62-PXXXXXX 2-Factor Authentication Capabilities Specification (EAD 17)</t>
  </si>
  <si>
    <t>Story 393213: CM Release of 98-P55616M – IA – SVD (EAD 17) May 2020 Update</t>
  </si>
  <si>
    <t>#395688</t>
  </si>
  <si>
    <t>P</t>
  </si>
  <si>
    <t>Story 393213: CM Release of MUOS_IG_GS_NMS_NM_Provisioning_OTAP_SVD_98-P59419M (EAD 17)</t>
  </si>
  <si>
    <t>#1014252
#1013063</t>
  </si>
  <si>
    <t>TO-6  Service Management - respond to questions from ATT</t>
  </si>
  <si>
    <t>Burn Down the WF PWI Backlog with Priority</t>
  </si>
  <si>
    <t>to-006_sow, hw_license_no, site_val_no, mfr_na, kickoff_no</t>
  </si>
  <si>
    <t>kickoff_no, hw_license_no, site_val_no, 18-02_sow, ci_no, mfr_na, stakeholderapproval</t>
  </si>
  <si>
    <t>mfr_na, 18-02_sow, hw_license_no, major, kickoff_done, site_val_done, ci_yes_done, stakeholderapproval</t>
  </si>
  <si>
    <t>RFA Cabinet - Functional Description IETM Lists incorrect Hostnames, Server Types, OS, Etc.</t>
  </si>
  <si>
    <t>Feature 1015153: Antenna Control ISO cannot be burnt with the new ILSLAPTOPS using Windows 10 - Looks like Roxio might be needed</t>
  </si>
  <si>
    <t>TO-6 Respond to questions from ATT on MUOS system and operation</t>
  </si>
  <si>
    <t>to-006_sow, hw_license_no, kickoff_no, mfr_na, site_val_no</t>
  </si>
  <si>
    <t>Add/update IETM alarm recovery procedures for RBS alarms (5 of 6)</t>
  </si>
  <si>
    <t>EA 15.3</t>
  </si>
  <si>
    <t>site_val_no, hw_license_yes, to-009_sow, ci_no, mfr_na, kickoff_done</t>
  </si>
  <si>
    <t>mfr_na, ci_no, site_val_no, hw_license_yes, to-009_sow, kickoff_done</t>
  </si>
  <si>
    <t>mfr_na, ci_no, site_val_no, to-009_sow, hw_license_yes, kickoff_done</t>
  </si>
  <si>
    <t>Ready for IRM Approval</t>
  </si>
  <si>
    <t>Add/update IETM alarm recovery procedures for RBS alarms (6 of 6)</t>
  </si>
  <si>
    <t>Prevent MFTs from using outdated Frequency Profiles (trouble ticket  INC000004670352)</t>
  </si>
  <si>
    <t>fiber mux AID is incorrect for DTE/DCE setting</t>
  </si>
  <si>
    <t>ET SW Interface Verification Test Procedure 99-P57052M is blank on hard disk</t>
  </si>
  <si>
    <t>#troubleticket, mpc_ead_x.y</t>
  </si>
  <si>
    <t>#troubleticket, wf_rn, wf_po</t>
  </si>
  <si>
    <t>#troubleticket, sev_checked, wf_rnc, i-level</t>
  </si>
  <si>
    <t>mfr1_template08292019, mfr_1, 18-02_sow, hw_license_no, kickoff_yes, site_val_done, stakeholderapproval, ci_yes_done, minor</t>
  </si>
  <si>
    <t>site_val_no, hw_license_no, kickoff_no, ci_no, mfr_na, stakeholderapproval, 18-02_sow</t>
  </si>
  <si>
    <t>ci_no, site_val_no, hw_license_no, kickoff_no, mfr_na, stakeholderapproval, 18-02_sow</t>
  </si>
  <si>
    <t>hw_license_no, kickoff_no, ci_no, stakeholderapproval, mfr_na, site_val_no, 18-02_sow</t>
  </si>
  <si>
    <t>ci_no, kickoff_no, hw_license_no, stakeholderapproval, mfr_na, site_val_no, minor, 18-02_sow</t>
  </si>
  <si>
    <t>hw_license_no, kickoff_no, stakeholderapproval, mfr_na, site_val_no, ci_yes_done, minor, to-003_sow</t>
  </si>
  <si>
    <t>hw_license_no, site_val_no, kickoff_no, ci_yes_done, ietm-template_20190801, to-001_sow, demo_yes, stakeholderapproval, mfr_na, minor</t>
  </si>
  <si>
    <t>Add/update IETM alarm recovery procedures for RCG alarms Part 3</t>
  </si>
  <si>
    <t>Make Diameter configurations in CSCF/HSS consistent between NW and WH</t>
  </si>
  <si>
    <t>Story 343920: CM Release of 98-P56577V – AU Site SVD (EAD 16)</t>
  </si>
  <si>
    <t>PI 14 - In Progress</t>
  </si>
  <si>
    <t>Story 343920: CM Release of 98-P56578V – DD Site SVD (EAD 16)</t>
  </si>
  <si>
    <t>Story 343920: CM Release of 98-P56579V – HQ Site SVD (EAD 16)</t>
  </si>
  <si>
    <t>Story 343920: CM Release of 98-P56580V – NW Site SVD (EAD 16)</t>
  </si>
  <si>
    <t>Story 343920: CM Release of 98-P56581V – SC Site SVD (EAD 16)</t>
  </si>
  <si>
    <t>Story 343920: CM Release of 98-P56582V – WH Site SVD (EAD 16)</t>
  </si>
  <si>
    <t>98-P56582V - WH Site SVD</t>
  </si>
  <si>
    <t>#1007900
#1013452</t>
  </si>
  <si>
    <t>#299984
#380808
#1007900
#1011909
#1003390
#1014202
#1013452</t>
  </si>
  <si>
    <t>#354174
#342163
#383958
#381524
#315485
#381643
#318380
#393265
#299984
#332951
#358656
#1002345
#367689
#1013452
#1001263
#1008506
#380808</t>
  </si>
  <si>
    <t>#354680
#1004701
#1004738
#367689
#380808
#1007900
#1011905
#342054
#1013452</t>
  </si>
  <si>
    <t>Story 393213: Release of 98-P55464M MUOS_IG_GS_Network_LB_SVD (EAD 17)</t>
  </si>
  <si>
    <t>18-02_sow, hw_license_no, site_val_no, ci_no, mfr_na, kickoff_done, stakeholderapproval</t>
  </si>
  <si>
    <t>mfr_na, 18-02_sow, site_val_no, hw_license_no, kickoff_no, major, top_issue</t>
  </si>
  <si>
    <t>site_val_no, hw_license_no, 18-02_sow, ci_no, mfr_na, kickoff_done, stakeholderapproval</t>
  </si>
  <si>
    <t>site_val_done, hw_license_no, ci_yes_done, #troubleticket, mfr_1, 18-02_sow, stakeholderapproval, minor, kickoff_done, top_issue</t>
  </si>
  <si>
    <t>minor, stakeholderapproval, kickoff_done, mfr_1, ci_yes_done, site_val_done, hw_license_no, 18-02_sow</t>
  </si>
  <si>
    <t>i-level, kickoff_no, site_val_no, hw_license_no, major, ci_yes_done, mfr_na, stakeholderapproval, 18-02_sow, top_issue</t>
  </si>
  <si>
    <t>Error</t>
  </si>
  <si>
    <t>SIEM services blocked from starting by HIPS</t>
  </si>
  <si>
    <t>Verifying</t>
  </si>
  <si>
    <t>98-P59854M - NMS - NM - Security - HBSS - SVD</t>
  </si>
  <si>
    <t>mfr1_template08292019, site_val_done, hw_license_no, #troubleticket, 18-02_sow, mfr_tbd, minor, ci_yes_done, stakeholderapproval, mfr_1, kickoff_done, top_issue</t>
  </si>
  <si>
    <t>mpc_ead_9.24</t>
  </si>
  <si>
    <t>Settings Not Provided for Tectia Login in the SSG20_LinkDown_Recovery_Procedure.pdf</t>
  </si>
  <si>
    <t>Add/update IETM alarm recovery procedures for ETI alarms (part 3 of 4) [Non-O-Level]</t>
  </si>
  <si>
    <t>ETI Add/update IETM alarm recovery procedures for ETI/ETISP alarms (part 4 of 4 [Non-O-Level]</t>
  </si>
  <si>
    <t>Inconsistent Acronyms throughout IETM</t>
  </si>
  <si>
    <t>LBID Missing from Antenna Hub Assembly General Descriptions IETMs</t>
  </si>
  <si>
    <t>IETM Descriptions for Splitter/Combiner Assembly Are Incorrect</t>
  </si>
  <si>
    <t>ACAS Scanning Reachability for HSS</t>
  </si>
  <si>
    <t>Implement Solution for the DL Power Spike</t>
  </si>
  <si>
    <t>Determine Cause of DL Power Spikes causing RNC Congestion</t>
  </si>
  <si>
    <t>mfr1_template08292019, da_yes, mfr_na, ietm_only, hw_license_no, 18-02_sow, site_val_no, kickoff_no, ci_yes, i-level, major, top_issue</t>
  </si>
  <si>
    <t>i-level, kickoff_no, site_val_no, hw_license_no, major, mfr_na, 18-02_sow, top_issue</t>
  </si>
  <si>
    <t>ETI Alarms: Add/Update IETM Alarm Recovery Procedures (Part 2 of 4) [Non-O-Level]</t>
  </si>
  <si>
    <t>Feature 342054: Update Splunk Dashboard to handle new AWARE node names from Fault Notifier</t>
  </si>
  <si>
    <t>ITK Management IETM procedure missing instruction to save index from Step 2.8.1</t>
  </si>
  <si>
    <t>EA 15.1</t>
  </si>
  <si>
    <t>Update TACLANE Configuration files to Add Circuit ID to the Device Name in Parenthesis</t>
  </si>
  <si>
    <t>FM Whitelist updates for PI 16: Update whitelist and filter logic</t>
  </si>
  <si>
    <t>hw_license_no, kickoff_no, site_val_no, 18-02_sow, mfr_1, minor, ci_yes</t>
  </si>
  <si>
    <t>hw_license_no, site_val_no, ci_no, mfr_na, kickoff_done, stakeholderapproval, task</t>
  </si>
  <si>
    <t>hw_license_no, kickoff_no, site_val_no, 18-02_sow, stakeholderapproval, minor, ci_no, mfr_na</t>
  </si>
  <si>
    <t>Improve System Reliability by Resolving the DL Power Spike</t>
  </si>
  <si>
    <t>IETM update for NMS PCC0018 Registration Request Refused By CSL Recovery – Normal Operation Procedure (INC000004697647)</t>
  </si>
  <si>
    <t>#troubleticket, #wf_ietm</t>
  </si>
  <si>
    <t>mfr_na, 18-02_sow, to-004_sow, ci_no, hw_license_no, site_val_no, kickoff_done</t>
  </si>
  <si>
    <t>to-006_sow, hw_license_no, site_val_no, mfr_na, kickoff_no, stakeholderapproval, ci_no</t>
  </si>
  <si>
    <t>to-011_sow, hw_license_no, ci_no, mfr_3, site_val_no, stakeholderapproval, kickoff_done</t>
  </si>
  <si>
    <t>mfr_3, ci_yes_done, 18-02_sow, major, kickoff_done, stakeholderapproval, site_val_done, hw_license_no</t>
  </si>
  <si>
    <t>template08202019, 18-02_sow, major, stakeholderapproval, ci_yes_done, mfr_3, kickoff_done, site_val_done, hw_license_pending_client</t>
  </si>
  <si>
    <t>site_val_no, kickoff_no, loe, demo_no, ci_no, to-001_sow, stakeholderapproval, mfr_na, hw_license_pending_client</t>
  </si>
  <si>
    <t>19-10_sow, ci_yes_done, stakeholderapproval, mfr_2, site_val_no, kickoff_done, major, hw_license_pending_client</t>
  </si>
  <si>
    <t>IETM update for Radio Network Controller (RNC) GroupKeySet_GroupKeystreamUnavailable Alarm Recovery Procedure (INC000004735075)</t>
  </si>
  <si>
    <t>#troubleticket, mpc_ead_8.6, sev_checked, rebase_yes, reapply_yes, rewrite_maybe</t>
  </si>
  <si>
    <t>MUOS Geolocation Support, Maintenance  Zeta EAD 18 (includes Ephemeris to SIPRNet)</t>
  </si>
  <si>
    <t>mfr1_template08292019, site_val_done, hw_license_no, stakeholderapproval, major, 18-02_sow, mfr_1, ci_yes_done, kickoff_done</t>
  </si>
  <si>
    <t>mfr_na, site_val_no, hw_license_yes, to-009_sow, kickoff_done, ci_no</t>
  </si>
  <si>
    <t>mfr1_template08292019, mfr_1, 18-02_sow, hw_license_no, site_val_done, stakeholderapproval, ci_yes_done, minor, kickoff_done</t>
  </si>
  <si>
    <t>mfr_na, da_na, site_val_no, hw_license_no, stakeholderapproval, 18-02_sow, ci_no, kickoff_done</t>
  </si>
  <si>
    <t>hw_license_no, site_val_no, kickoff_no, to-001_sow, stakeholderapproval, mfr_na, minor, ci_yes_done</t>
  </si>
  <si>
    <t>mfr1_template08292019, major, 18-02_sow, hw_license_no, site_val_done, stakeholderapproval, ci_yes_done, mfr_na, kickoff_done</t>
  </si>
  <si>
    <t>mfr_3, 18-02_sow, mfr_tbd, kickoff_done, site_val_done, ci_yes_done, stakeholderapproval, major, hw_license_no</t>
  </si>
  <si>
    <t>mfr_na, ci_no, site_val_no, 18-02_sow, hw_license_no, kickoff_done</t>
  </si>
  <si>
    <t>hw_license_no, 18-02_sow, mfr_1, kickoff_done, ci_yes_done, top_issue, minor, site_val_done</t>
  </si>
  <si>
    <t>mfr1_template08292019, da_yes, mfr_na, ietm_only, hw_license_no, 18-02_sow, site_val_no, kickoff_no, i-level, major, stakeholderapproval, top_issue, ci_yes_done</t>
  </si>
  <si>
    <t>i-level, ci_yes, hw_license_no, 18-02_sow, site_val_no, stakeholderapproval, mfr_na, major, top_issue, kickoff_no</t>
  </si>
  <si>
    <t>Garrison, David D</t>
  </si>
  <si>
    <t>Feature 1004171: Execute Test Cases - Part B</t>
  </si>
  <si>
    <t>i-level, mfr_na, ci_yes, site_val_no, hw_license_no, top_issue, kickoff_no</t>
  </si>
  <si>
    <t>mpc_ead_13.5, rebase_yes, reapply_yes</t>
  </si>
  <si>
    <t>Install Roxio Creator Silver 12 on Gen 2 Tools Laptops</t>
  </si>
  <si>
    <t>OBS - Active MQ: Create Design for Active MQ Replacement</t>
  </si>
  <si>
    <t>PI 15 DMSMS Support (Recurring)</t>
  </si>
  <si>
    <t>hw_license_no, stakeholderapproval, mfr_1, major, 18-02_sow, ci_yes_done, site_val_done, kickoff_done</t>
  </si>
  <si>
    <t>hw_license_no, stakeholderapproval, mfr_1, major, 18-02_sow, site_val_no, ci_no, kickoff_done</t>
  </si>
  <si>
    <t>18-02_sow, major, ci_yes_done, hw_license_no, mfr_1, site_val_done, kickoff_done</t>
  </si>
  <si>
    <t>hw_license_no, site_val_no, kickoff_no, to-001_sow, stakeholderapproval, mfr_na, ci_yes_done, minor</t>
  </si>
  <si>
    <t>Modification of ETT Assembly</t>
  </si>
  <si>
    <t>Feature 395855: Drawing Updates based on Redlines for in 53-P52819E – SITE – AC Power Distribution (EAD 16)</t>
  </si>
  <si>
    <t>Feature 1007900: Analysis of HBSS ePO issues from trouble ticket</t>
  </si>
  <si>
    <t>Feature 1007900: EAD-13 Deployment: HBSS changes to allow Asset Maintenance Move task</t>
  </si>
  <si>
    <t>Feature 395855: Drawing Updates based on Redlines for 01-P51661E – GTS – PCU Cabinet - RAF, SCD</t>
  </si>
  <si>
    <t>53-P52819E - SITE - AC Power Distribution - AU</t>
  </si>
  <si>
    <t>Site Redlines for TACLANE Obsolescence (Identified during EAD 11 deployment)</t>
  </si>
  <si>
    <t>18-02_sow, to-002_sow, major, hw_license_no, site_val_done, mfr_3, ci_yes_done, stakeholderapproval, kickoff_done</t>
  </si>
  <si>
    <t>18-02_sow, hw_license_no, kickoff_no, site_val_no, ci_yes_done, mfr_na, stakeholderapproval, mpc_ead_11.5, mpc_ead_11.16, mpc_ead_11.10, minor</t>
  </si>
  <si>
    <t>KG-175 Sub-Strategy</t>
  </si>
  <si>
    <t>HW/SW Map: HAIPE Mgmt SVD must be added to workstations in NM HW/SW Mapping document</t>
  </si>
  <si>
    <t>GEM One FALSE critical faults associated with topology widget</t>
  </si>
  <si>
    <t>IETM: Backup HAIPE-  Normal Operation Procedure Refers to a Section in GEM One User Manual that Does Not Exist</t>
  </si>
  <si>
    <t>IETM: GEM One content in Security Management needs to be updated and verified in the lab</t>
  </si>
  <si>
    <t>IETM: TACLANE 1G guide is linked for HAIPE Ds</t>
  </si>
  <si>
    <t>IETM: GEM One steps do not belong in NMF Power Up procedure</t>
  </si>
  <si>
    <t>IETM: Current HAIPE G Clock Maintenance steps require local update; should use GEM One</t>
  </si>
  <si>
    <t>IETM: Audit Logs section of HAIPE Management GEM One-Normal Operations is not procedural</t>
  </si>
  <si>
    <t>IETM: Instructions for checking for HAIPE Faults and FFVS expiration are missing from HAIPE Management procedure</t>
  </si>
  <si>
    <t>TD19-10: Deliver Connected AWARE Training for Sicily EAD 18 Deployment</t>
  </si>
  <si>
    <t>Obsolescence: Replace all MUOS Taclane KG175A's</t>
  </si>
  <si>
    <t>PI 08</t>
  </si>
  <si>
    <t>irmapproved, sev_checked, mpc_ead_9.28, rebase_yes, reapply_yes</t>
  </si>
  <si>
    <t>&lt;Feature 1017680&gt;ET SVD MPC Rebases</t>
  </si>
  <si>
    <t>ci_yes_done, mpcs, 98-p55613m, site_val_done, hw_license_no, kickoff_no, minor, mfr_1</t>
  </si>
  <si>
    <t>TFDU GTF module status data should be checked prior to assuming/initiating repair or replace action - IETM update</t>
  </si>
  <si>
    <t>mfr_tbd, site_val_no, hw_license_no, kickoff_no, ci_no, 18-02_sow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</si>
</sst>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d/yy;@"/>
    <numFmt numFmtId="165" formatCode="0.0"/>
    <numFmt numFmtId="166" formatCode="0.0%"/>
    <numFmt numFmtId="167" formatCode="[$-409]h:mm\ AM/PM;@"/>
  </numFmts>
  <fonts count="4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0" tint="-0.499984740745262"/>
      <name val="Calibri"/>
      <family val="2"/>
      <scheme val="minor"/>
    </font>
    <font>
      <sz val="11"/>
      <name val="Calibri"/>
      <family val="2"/>
      <scheme val="minor"/>
    </font>
    <font>
      <b/>
      <sz val="11"/>
      <color rgb="FF00B0F0"/>
      <name val="Calibri"/>
      <family val="2"/>
      <scheme val="minor"/>
    </font>
    <font>
      <b/>
      <sz val="12"/>
      <color theme="1"/>
      <name val="Calibri"/>
      <family val="2"/>
      <scheme val="minor"/>
    </font>
    <font>
      <b/>
      <sz val="11"/>
      <color theme="4" tint="-0.249977111117893"/>
      <name val="Calibri"/>
      <family val="2"/>
      <scheme val="minor"/>
    </font>
    <font>
      <sz val="11"/>
      <color theme="4" tint="-0.249977111117893"/>
      <name val="Calibri"/>
      <family val="2"/>
      <scheme val="minor"/>
    </font>
    <font>
      <b/>
      <sz val="16"/>
      <color rgb="FF17365D"/>
      <name val="Calibri"/>
      <family val="2"/>
      <scheme val="minor"/>
    </font>
    <font>
      <sz val="12"/>
      <color theme="1"/>
      <name val="Times New Roman"/>
      <family val="1"/>
    </font>
    <font>
      <sz val="10"/>
      <color theme="1"/>
      <name val="Calibri"/>
      <family val="2"/>
      <scheme val="minor"/>
    </font>
    <font>
      <sz val="11"/>
      <color rgb="FF000000"/>
      <name val="Calibri"/>
      <family val="2"/>
    </font>
    <font>
      <sz val="16"/>
      <color rgb="FF000000"/>
      <name val="Calibri"/>
      <family val="2"/>
    </font>
    <font>
      <sz val="11"/>
      <color rgb="FFFFFFFF"/>
      <name val="Calibri"/>
      <family val="2"/>
    </font>
    <font>
      <sz val="11"/>
      <color rgb="FF808080"/>
      <name val="Calibri"/>
      <family val="2"/>
    </font>
    <font>
      <sz val="11"/>
      <color theme="1"/>
      <name val="Calibri"/>
      <family val="2"/>
    </font>
    <font>
      <b/>
      <sz val="11"/>
      <color theme="0" tint="-0.499984740745262"/>
      <name val="Calibri"/>
      <family val="2"/>
      <scheme val="minor"/>
    </font>
    <font>
      <sz val="11"/>
      <color theme="0" tint="-0.34998626667073579"/>
      <name val="Calibri"/>
      <family val="2"/>
      <scheme val="minor"/>
    </font>
    <font>
      <b/>
      <i/>
      <sz val="11"/>
      <color theme="1"/>
      <name val="Calibri"/>
      <family val="2"/>
      <scheme val="minor"/>
    </font>
    <font>
      <i/>
      <sz val="11"/>
      <color theme="1" tint="0.499984740745262"/>
      <name val="Calibri"/>
      <family val="2"/>
      <scheme val="minor"/>
    </font>
    <font>
      <b/>
      <i/>
      <sz val="16"/>
      <color rgb="FFFF0000"/>
      <name val="Calibri"/>
      <family val="2"/>
      <scheme val="minor"/>
    </font>
    <font>
      <b/>
      <sz val="10"/>
      <color indexed="81"/>
      <name val="Tahoma"/>
      <family val="2"/>
    </font>
    <font>
      <b/>
      <sz val="9"/>
      <color indexed="81"/>
      <name val="Tahoma"/>
      <family val="2"/>
    </font>
    <font>
      <sz val="9"/>
      <color indexed="81"/>
      <name val="Tahoma"/>
      <family val="2"/>
    </font>
    <font>
      <sz val="12"/>
      <color theme="1"/>
      <name val="Calibri"/>
      <family val="2"/>
      <scheme val="minor"/>
    </font>
    <font>
      <u/>
      <sz val="11"/>
      <color theme="10"/>
      <name val="Calibri"/>
      <family val="2"/>
      <scheme val="minor"/>
    </font>
    <font>
      <sz val="11"/>
      <color theme="0" tint="-0.14999847407452621"/>
      <name val="Calibri"/>
      <family val="2"/>
      <scheme val="minor"/>
    </font>
    <font>
      <b/>
      <sz val="11"/>
      <color theme="0" tint="-0.14999847407452621"/>
      <name val="Calibri"/>
      <family val="2"/>
      <scheme val="minor"/>
    </font>
    <font>
      <sz val="14"/>
      <color theme="1"/>
      <name val="Calibri"/>
      <family val="2"/>
      <scheme val="minor"/>
    </font>
    <font>
      <u/>
      <sz val="12"/>
      <color theme="10"/>
      <name val="Calibri"/>
      <family val="2"/>
      <scheme val="minor"/>
    </font>
    <font>
      <sz val="12"/>
      <color rgb="FF000000"/>
      <name val="Calibri"/>
      <family val="2"/>
    </font>
    <font>
      <b/>
      <sz val="12"/>
      <color rgb="FF000000"/>
      <name val="Calibri"/>
      <family val="2"/>
    </font>
    <font>
      <b/>
      <sz val="11"/>
      <name val="Calibri"/>
      <family val="2"/>
      <scheme val="minor"/>
    </font>
  </fonts>
  <fills count="5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1"/>
        <bgColor indexed="64"/>
      </patternFill>
    </fill>
    <fill>
      <patternFill patternType="solid">
        <fgColor theme="6"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1" tint="0.249977111117893"/>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000000"/>
        <bgColor rgb="FF000000"/>
      </patternFill>
    </fill>
    <fill>
      <patternFill patternType="solid">
        <fgColor rgb="FFD9D9D9"/>
        <bgColor rgb="FF000000"/>
      </patternFill>
    </fill>
    <fill>
      <patternFill patternType="solid">
        <fgColor rgb="FFFFFF00"/>
        <bgColor rgb="FF000000"/>
      </patternFill>
    </fill>
    <fill>
      <patternFill patternType="solid">
        <fgColor theme="7" tint="0.59999389629810485"/>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rgb="FFFFC000"/>
        <bgColor indexed="64"/>
      </patternFill>
    </fill>
    <fill>
      <patternFill patternType="solid">
        <fgColor theme="5" tint="0.79998168889431442"/>
        <bgColor indexed="64"/>
      </patternFill>
    </fill>
    <fill>
      <patternFill patternType="solid">
        <fgColor theme="2" tint="-0.749992370372631"/>
        <bgColor indexed="64"/>
      </patternFill>
    </fill>
    <fill>
      <patternFill patternType="solid">
        <fgColor theme="2" tint="-9.9978637043366805E-2"/>
        <bgColor indexed="64"/>
      </patternFill>
    </fill>
    <fill>
      <patternFill patternType="solid">
        <fgColor theme="1" tint="0.34998626667073579"/>
        <bgColor indexed="64"/>
      </patternFill>
    </fill>
  </fills>
  <borders count="3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theme="1"/>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41" fillId="0" borderId="0" applyNumberFormat="0" applyFill="0" applyBorder="0" applyAlignment="0" applyProtection="0"/>
  </cellStyleXfs>
  <cellXfs count="264">
    <xf numFmtId="0" fontId="0" fillId="0" borderId="0" xfId="0"/>
    <xf numFmtId="1" fontId="0" fillId="0" borderId="0" xfId="0" applyNumberFormat="1" applyFill="1" applyProtection="1"/>
    <xf numFmtId="0" fontId="0" fillId="0" borderId="0" xfId="0" applyFill="1" applyAlignment="1" applyProtection="1">
      <alignment horizontal="center"/>
    </xf>
    <xf numFmtId="0" fontId="0" fillId="0" borderId="0" xfId="0" applyFill="1" applyProtection="1"/>
    <xf numFmtId="1" fontId="18" fillId="0" borderId="0" xfId="0" applyNumberFormat="1" applyFont="1" applyFill="1"/>
    <xf numFmtId="0" fontId="0" fillId="0" borderId="0" xfId="0" applyFill="1"/>
    <xf numFmtId="0" fontId="0" fillId="0" borderId="0" xfId="0" applyNumberFormat="1" applyBorder="1" applyAlignment="1">
      <alignment horizontal="right"/>
    </xf>
    <xf numFmtId="0" fontId="20" fillId="0" borderId="0" xfId="0" applyNumberFormat="1" applyFont="1" applyFill="1" applyBorder="1" applyAlignment="1">
      <alignment horizontal="center"/>
    </xf>
    <xf numFmtId="0" fontId="19" fillId="0" borderId="0" xfId="0" applyFont="1" applyFill="1" applyProtection="1"/>
    <xf numFmtId="0" fontId="0" fillId="38" borderId="0" xfId="0" applyFill="1" applyAlignment="1">
      <alignment horizontal="center" textRotation="90"/>
    </xf>
    <xf numFmtId="0" fontId="0" fillId="36" borderId="21" xfId="0" applyFill="1" applyBorder="1" applyAlignment="1">
      <alignment horizontal="right"/>
    </xf>
    <xf numFmtId="0" fontId="0" fillId="36" borderId="0" xfId="0" applyFill="1" applyBorder="1" applyAlignment="1">
      <alignment horizontal="right"/>
    </xf>
    <xf numFmtId="0" fontId="0" fillId="36" borderId="22" xfId="0" applyFill="1" applyBorder="1" applyAlignment="1">
      <alignment horizontal="right"/>
    </xf>
    <xf numFmtId="0" fontId="0" fillId="35" borderId="18" xfId="0" applyFill="1" applyBorder="1" applyAlignment="1">
      <alignment horizontal="right"/>
    </xf>
    <xf numFmtId="0" fontId="0" fillId="35" borderId="19" xfId="0" applyFill="1" applyBorder="1" applyAlignment="1">
      <alignment horizontal="right"/>
    </xf>
    <xf numFmtId="0" fontId="0" fillId="35" borderId="21" xfId="0" applyFill="1" applyBorder="1" applyAlignment="1">
      <alignment horizontal="right"/>
    </xf>
    <xf numFmtId="0" fontId="0" fillId="35" borderId="0" xfId="0" applyFill="1" applyBorder="1" applyAlignment="1">
      <alignment horizontal="right"/>
    </xf>
    <xf numFmtId="0" fontId="19" fillId="0" borderId="10" xfId="0" applyFont="1" applyFill="1" applyBorder="1" applyAlignment="1"/>
    <xf numFmtId="0" fontId="16" fillId="38" borderId="14" xfId="0" applyNumberFormat="1" applyFont="1" applyFill="1" applyBorder="1" applyAlignment="1">
      <alignment horizontal="right"/>
    </xf>
    <xf numFmtId="0" fontId="16" fillId="38" borderId="17" xfId="0" applyNumberFormat="1" applyFont="1" applyFill="1" applyBorder="1" applyAlignment="1">
      <alignment horizontal="right"/>
    </xf>
    <xf numFmtId="0" fontId="16" fillId="38" borderId="15" xfId="0" applyNumberFormat="1" applyFont="1" applyFill="1" applyBorder="1" applyAlignment="1">
      <alignment horizontal="right"/>
    </xf>
    <xf numFmtId="1" fontId="19" fillId="0" borderId="10" xfId="0" applyNumberFormat="1" applyFont="1" applyFill="1" applyBorder="1" applyAlignment="1" applyProtection="1">
      <alignment horizontal="center"/>
    </xf>
    <xf numFmtId="0" fontId="19" fillId="0" borderId="10" xfId="0" applyFont="1" applyFill="1" applyBorder="1" applyAlignment="1" applyProtection="1">
      <alignment horizontal="center" wrapText="1"/>
    </xf>
    <xf numFmtId="1" fontId="17" fillId="34" borderId="12" xfId="0" applyNumberFormat="1" applyFont="1" applyFill="1" applyBorder="1" applyAlignment="1" applyProtection="1">
      <alignment horizontal="center" vertical="top" textRotation="90"/>
    </xf>
    <xf numFmtId="0" fontId="17" fillId="39" borderId="0" xfId="0" applyFont="1" applyFill="1" applyAlignment="1">
      <alignment horizontal="center" vertical="top" textRotation="90"/>
    </xf>
    <xf numFmtId="1" fontId="17" fillId="39" borderId="12" xfId="0" applyNumberFormat="1" applyFont="1" applyFill="1" applyBorder="1" applyAlignment="1" applyProtection="1">
      <alignment horizontal="center" vertical="top" textRotation="90"/>
    </xf>
    <xf numFmtId="0" fontId="16" fillId="0" borderId="23" xfId="0" applyFont="1" applyBorder="1" applyAlignment="1">
      <alignment horizontal="center"/>
    </xf>
    <xf numFmtId="0" fontId="0" fillId="0" borderId="17" xfId="0" applyBorder="1" applyAlignment="1">
      <alignment horizontal="center"/>
    </xf>
    <xf numFmtId="0" fontId="0" fillId="0" borderId="15" xfId="0" applyBorder="1" applyAlignment="1">
      <alignment horizontal="right"/>
    </xf>
    <xf numFmtId="0" fontId="0" fillId="37" borderId="12" xfId="0" applyNumberFormat="1" applyFill="1" applyBorder="1" applyAlignment="1">
      <alignment horizontal="center"/>
    </xf>
    <xf numFmtId="0" fontId="0" fillId="0" borderId="10" xfId="0" applyFill="1" applyBorder="1" applyProtection="1"/>
    <xf numFmtId="0" fontId="0" fillId="0" borderId="10" xfId="0" applyFill="1" applyBorder="1" applyAlignment="1" applyProtection="1">
      <alignment horizontal="center"/>
    </xf>
    <xf numFmtId="0" fontId="0" fillId="0" borderId="10" xfId="0" applyFill="1" applyBorder="1"/>
    <xf numFmtId="0" fontId="0" fillId="0" borderId="0" xfId="0" applyBorder="1"/>
    <xf numFmtId="0" fontId="0" fillId="0" borderId="10" xfId="0" applyBorder="1"/>
    <xf numFmtId="0" fontId="0" fillId="40" borderId="10" xfId="0" applyFont="1" applyFill="1" applyBorder="1" applyAlignment="1">
      <alignment horizontal="right"/>
    </xf>
    <xf numFmtId="0" fontId="16" fillId="40" borderId="10" xfId="0" applyFont="1" applyFill="1" applyBorder="1"/>
    <xf numFmtId="0" fontId="0" fillId="0" borderId="10" xfId="0" applyBorder="1" applyAlignment="1">
      <alignment horizontal="right"/>
    </xf>
    <xf numFmtId="0" fontId="0" fillId="0" borderId="0" xfId="0" applyAlignment="1">
      <alignment horizontal="right"/>
    </xf>
    <xf numFmtId="0" fontId="0" fillId="0" borderId="0" xfId="0" applyBorder="1" applyAlignment="1">
      <alignment horizontal="right"/>
    </xf>
    <xf numFmtId="0" fontId="0" fillId="41" borderId="0" xfId="0" applyFill="1" applyBorder="1" applyAlignment="1">
      <alignment horizontal="left"/>
    </xf>
    <xf numFmtId="0" fontId="0" fillId="41" borderId="0" xfId="0" applyFill="1" applyBorder="1" applyAlignment="1"/>
    <xf numFmtId="0" fontId="0" fillId="0" borderId="0" xfId="0" applyAlignment="1">
      <alignment horizontal="center"/>
    </xf>
    <xf numFmtId="0" fontId="16" fillId="0" borderId="10" xfId="0" applyFont="1" applyBorder="1"/>
    <xf numFmtId="0" fontId="16" fillId="38" borderId="17" xfId="0" applyFont="1" applyFill="1" applyBorder="1" applyAlignment="1">
      <alignment horizontal="center"/>
    </xf>
    <xf numFmtId="0" fontId="0" fillId="38" borderId="10" xfId="0" applyFont="1" applyFill="1" applyBorder="1" applyAlignment="1">
      <alignment horizontal="center"/>
    </xf>
    <xf numFmtId="0" fontId="16" fillId="0" borderId="0" xfId="0" applyFont="1" applyBorder="1"/>
    <xf numFmtId="0" fontId="16" fillId="0" borderId="0" xfId="0" applyFont="1" applyBorder="1" applyAlignment="1">
      <alignment horizontal="center"/>
    </xf>
    <xf numFmtId="0" fontId="16" fillId="0" borderId="0" xfId="0" applyFont="1" applyBorder="1" applyAlignment="1">
      <alignment horizontal="right"/>
    </xf>
    <xf numFmtId="0" fontId="16" fillId="0" borderId="10" xfId="0" applyFont="1" applyFill="1" applyBorder="1"/>
    <xf numFmtId="0" fontId="16" fillId="0" borderId="14" xfId="0" applyFont="1" applyBorder="1" applyAlignment="1">
      <alignment horizontal="center"/>
    </xf>
    <xf numFmtId="0" fontId="16" fillId="0" borderId="14" xfId="0" applyFont="1" applyFill="1" applyBorder="1" applyAlignment="1">
      <alignment horizontal="center"/>
    </xf>
    <xf numFmtId="0" fontId="0" fillId="0" borderId="0" xfId="0"/>
    <xf numFmtId="1" fontId="0" fillId="0" borderId="10" xfId="0" applyNumberFormat="1" applyFill="1" applyBorder="1" applyProtection="1"/>
    <xf numFmtId="0" fontId="0" fillId="0" borderId="10" xfId="0" applyBorder="1" applyAlignment="1">
      <alignment horizontal="center"/>
    </xf>
    <xf numFmtId="1" fontId="19" fillId="0" borderId="10" xfId="0" applyNumberFormat="1" applyFont="1" applyFill="1" applyBorder="1" applyAlignment="1">
      <alignment horizontal="center"/>
    </xf>
    <xf numFmtId="0" fontId="0" fillId="0" borderId="10" xfId="0" applyNumberFormat="1" applyBorder="1" applyAlignment="1">
      <alignment horizontal="center"/>
    </xf>
    <xf numFmtId="0" fontId="16" fillId="0" borderId="10" xfId="0" applyFont="1" applyBorder="1" applyAlignment="1">
      <alignment horizontal="center"/>
    </xf>
    <xf numFmtId="0" fontId="16" fillId="38" borderId="10" xfId="0" applyNumberFormat="1" applyFont="1" applyFill="1" applyBorder="1" applyAlignment="1">
      <alignment horizontal="center"/>
    </xf>
    <xf numFmtId="0" fontId="0" fillId="0" borderId="10" xfId="0" applyFont="1" applyFill="1" applyBorder="1"/>
    <xf numFmtId="0" fontId="16" fillId="0" borderId="10" xfId="0" applyFont="1" applyFill="1" applyBorder="1" applyAlignment="1">
      <alignment horizontal="center"/>
    </xf>
    <xf numFmtId="0" fontId="0" fillId="0" borderId="10" xfId="0" applyFont="1" applyBorder="1" applyAlignment="1">
      <alignment horizontal="center"/>
    </xf>
    <xf numFmtId="1" fontId="19" fillId="0" borderId="10" xfId="0" applyNumberFormat="1" applyFont="1" applyFill="1" applyBorder="1"/>
    <xf numFmtId="0" fontId="19" fillId="0" borderId="10" xfId="0" applyFont="1" applyFill="1" applyBorder="1" applyAlignment="1">
      <alignment horizontal="center"/>
    </xf>
    <xf numFmtId="0" fontId="19" fillId="0" borderId="10" xfId="0" applyFont="1" applyFill="1" applyBorder="1" applyAlignment="1" applyProtection="1">
      <alignment horizontal="center"/>
    </xf>
    <xf numFmtId="0" fontId="19" fillId="0" borderId="10" xfId="0" applyFont="1" applyFill="1" applyBorder="1" applyProtection="1"/>
    <xf numFmtId="0" fontId="19" fillId="0" borderId="10" xfId="1" applyNumberFormat="1" applyFont="1" applyFill="1" applyBorder="1" applyAlignment="1">
      <alignment horizontal="center"/>
    </xf>
    <xf numFmtId="0" fontId="19" fillId="0" borderId="10" xfId="0" applyFont="1" applyFill="1" applyBorder="1"/>
    <xf numFmtId="1" fontId="18" fillId="33" borderId="12" xfId="0" applyNumberFormat="1" applyFont="1" applyFill="1" applyBorder="1" applyAlignment="1">
      <alignment horizontal="center" vertical="top" textRotation="90"/>
    </xf>
    <xf numFmtId="0" fontId="17" fillId="34" borderId="12" xfId="0" applyFont="1" applyFill="1" applyBorder="1" applyAlignment="1" applyProtection="1">
      <alignment horizontal="center" vertical="top" textRotation="90"/>
    </xf>
    <xf numFmtId="1" fontId="19" fillId="0" borderId="10" xfId="0" applyNumberFormat="1" applyFont="1" applyFill="1" applyBorder="1" applyProtection="1"/>
    <xf numFmtId="9" fontId="19" fillId="0" borderId="10" xfId="1" applyFont="1" applyFill="1" applyBorder="1" applyAlignment="1">
      <alignment horizontal="center" vertical="center"/>
    </xf>
    <xf numFmtId="0" fontId="0" fillId="0" borderId="10" xfId="0" applyFont="1" applyFill="1" applyBorder="1" applyAlignment="1">
      <alignment horizontal="center"/>
    </xf>
    <xf numFmtId="0" fontId="19" fillId="0" borderId="10" xfId="0" applyFont="1" applyFill="1" applyBorder="1" applyAlignment="1" applyProtection="1"/>
    <xf numFmtId="0" fontId="16" fillId="0" borderId="14" xfId="0" applyFont="1" applyBorder="1"/>
    <xf numFmtId="1" fontId="0" fillId="0" borderId="10" xfId="0" applyNumberFormat="1" applyBorder="1" applyAlignment="1">
      <alignment horizontal="center"/>
    </xf>
    <xf numFmtId="0" fontId="22" fillId="0" borderId="0" xfId="0" applyNumberFormat="1" applyFont="1" applyFill="1" applyBorder="1" applyAlignment="1">
      <alignment horizontal="center"/>
    </xf>
    <xf numFmtId="9" fontId="22" fillId="0" borderId="0" xfId="1" applyFont="1" applyFill="1" applyBorder="1" applyAlignment="1">
      <alignment horizontal="center"/>
    </xf>
    <xf numFmtId="0" fontId="23" fillId="0" borderId="0" xfId="0" applyNumberFormat="1" applyFont="1" applyBorder="1" applyAlignment="1">
      <alignment horizontal="center"/>
    </xf>
    <xf numFmtId="0" fontId="0" fillId="0" borderId="14" xfId="0" applyFill="1" applyBorder="1"/>
    <xf numFmtId="0" fontId="0" fillId="0" borderId="17" xfId="0" applyBorder="1"/>
    <xf numFmtId="0" fontId="17" fillId="34" borderId="10" xfId="0" applyFont="1" applyFill="1" applyBorder="1" applyAlignment="1" applyProtection="1">
      <alignment horizontal="center" vertical="top" textRotation="90"/>
    </xf>
    <xf numFmtId="0" fontId="24" fillId="0" borderId="0" xfId="0" applyFont="1" applyAlignment="1">
      <alignment vertical="center"/>
    </xf>
    <xf numFmtId="0" fontId="25" fillId="0" borderId="0" xfId="0" applyFont="1" applyAlignment="1">
      <alignment vertical="center"/>
    </xf>
    <xf numFmtId="0" fontId="0" fillId="0" borderId="0" xfId="0" applyAlignment="1">
      <alignment horizontal="left" vertical="center" indent="1"/>
    </xf>
    <xf numFmtId="0" fontId="0" fillId="0" borderId="0" xfId="0"/>
    <xf numFmtId="0" fontId="0" fillId="33" borderId="14" xfId="0" applyFill="1" applyBorder="1"/>
    <xf numFmtId="0" fontId="0" fillId="33" borderId="17" xfId="0" applyFill="1" applyBorder="1"/>
    <xf numFmtId="0" fontId="0" fillId="33" borderId="15" xfId="0" applyFill="1" applyBorder="1" applyAlignment="1">
      <alignment horizontal="right"/>
    </xf>
    <xf numFmtId="9" fontId="26" fillId="33" borderId="10" xfId="1" applyFont="1" applyFill="1" applyBorder="1"/>
    <xf numFmtId="9" fontId="26" fillId="33" borderId="15" xfId="1" applyFont="1" applyFill="1" applyBorder="1"/>
    <xf numFmtId="0" fontId="0" fillId="37" borderId="21" xfId="0" applyFill="1" applyBorder="1" applyAlignment="1">
      <alignment horizontal="right"/>
    </xf>
    <xf numFmtId="0" fontId="0" fillId="37" borderId="0" xfId="0" applyFill="1" applyBorder="1" applyAlignment="1">
      <alignment horizontal="right"/>
    </xf>
    <xf numFmtId="0" fontId="0" fillId="37" borderId="22" xfId="0" applyFill="1" applyBorder="1" applyAlignment="1">
      <alignment horizontal="right"/>
    </xf>
    <xf numFmtId="1" fontId="0" fillId="36" borderId="10" xfId="0" applyNumberFormat="1" applyFill="1" applyBorder="1" applyAlignment="1">
      <alignment horizontal="center"/>
    </xf>
    <xf numFmtId="0" fontId="0" fillId="0" borderId="0" xfId="0"/>
    <xf numFmtId="0" fontId="19" fillId="0" borderId="10" xfId="0" applyFont="1" applyBorder="1"/>
    <xf numFmtId="1" fontId="19" fillId="0" borderId="10" xfId="0" applyNumberFormat="1" applyFont="1" applyFill="1" applyBorder="1" applyAlignment="1">
      <alignment horizontal="center" vertical="center"/>
    </xf>
    <xf numFmtId="0" fontId="19" fillId="0" borderId="10" xfId="0" applyFont="1" applyFill="1" applyBorder="1" applyAlignment="1" applyProtection="1">
      <alignment horizontal="left"/>
    </xf>
    <xf numFmtId="0" fontId="19" fillId="0" borderId="10" xfId="0" applyFont="1" applyFill="1" applyBorder="1" applyAlignment="1" applyProtection="1">
      <alignment horizontal="right"/>
    </xf>
    <xf numFmtId="0" fontId="19" fillId="0" borderId="13" xfId="0" applyFont="1" applyFill="1" applyBorder="1"/>
    <xf numFmtId="0" fontId="19" fillId="0" borderId="13" xfId="1" applyNumberFormat="1" applyFont="1" applyFill="1" applyBorder="1" applyAlignment="1">
      <alignment horizontal="center"/>
    </xf>
    <xf numFmtId="0" fontId="0" fillId="0" borderId="10" xfId="0" applyNumberFormat="1" applyBorder="1" applyAlignment="1">
      <alignment horizontal="right"/>
    </xf>
    <xf numFmtId="0" fontId="19" fillId="0" borderId="0" xfId="0" applyFont="1"/>
    <xf numFmtId="0" fontId="17" fillId="34" borderId="0" xfId="0" applyFont="1" applyFill="1" applyAlignment="1">
      <alignment horizontal="center" textRotation="90"/>
    </xf>
    <xf numFmtId="14" fontId="0" fillId="0" borderId="10" xfId="0" applyNumberFormat="1" applyFill="1" applyBorder="1" applyAlignment="1">
      <alignment horizontal="center"/>
    </xf>
    <xf numFmtId="0" fontId="19" fillId="0" borderId="13" xfId="0" applyFont="1" applyFill="1" applyBorder="1" applyAlignment="1"/>
    <xf numFmtId="0" fontId="19" fillId="0" borderId="13" xfId="0" applyFont="1" applyFill="1" applyBorder="1" applyAlignment="1">
      <alignment horizontal="center"/>
    </xf>
    <xf numFmtId="1" fontId="29" fillId="42" borderId="10" xfId="0" applyNumberFormat="1" applyFont="1" applyFill="1" applyBorder="1" applyAlignment="1" applyProtection="1">
      <alignment horizontal="center" vertical="top" textRotation="90"/>
    </xf>
    <xf numFmtId="0" fontId="29" fillId="42" borderId="10" xfId="0" applyFont="1" applyFill="1" applyBorder="1" applyAlignment="1" applyProtection="1">
      <alignment vertical="top" textRotation="90"/>
    </xf>
    <xf numFmtId="0" fontId="29" fillId="42" borderId="10" xfId="0" applyFont="1" applyFill="1" applyBorder="1" applyAlignment="1" applyProtection="1">
      <alignment horizontal="center" vertical="top" textRotation="90" wrapText="1"/>
    </xf>
    <xf numFmtId="0" fontId="29" fillId="42" borderId="10" xfId="0" applyFont="1" applyFill="1" applyBorder="1" applyAlignment="1" applyProtection="1">
      <alignment horizontal="center" vertical="top" textRotation="90"/>
    </xf>
    <xf numFmtId="1" fontId="30" fillId="43" borderId="10" xfId="0" applyNumberFormat="1" applyFont="1" applyFill="1" applyBorder="1" applyAlignment="1">
      <alignment horizontal="center" vertical="top" textRotation="90" wrapText="1"/>
    </xf>
    <xf numFmtId="1" fontId="30" fillId="43" borderId="10" xfId="0" applyNumberFormat="1" applyFont="1" applyFill="1" applyBorder="1" applyAlignment="1">
      <alignment horizontal="center" vertical="top" textRotation="90"/>
    </xf>
    <xf numFmtId="1" fontId="30" fillId="44" borderId="10" xfId="0" applyNumberFormat="1" applyFont="1" applyFill="1" applyBorder="1" applyAlignment="1">
      <alignment horizontal="center" vertical="top" textRotation="90" wrapText="1"/>
    </xf>
    <xf numFmtId="0" fontId="31" fillId="0" borderId="0" xfId="0" applyFont="1" applyFill="1" applyBorder="1"/>
    <xf numFmtId="0" fontId="0" fillId="38" borderId="0" xfId="0" applyFill="1"/>
    <xf numFmtId="1" fontId="13" fillId="34" borderId="18" xfId="0" applyNumberFormat="1" applyFont="1" applyFill="1" applyBorder="1" applyAlignment="1">
      <alignment horizontal="center" vertical="top" textRotation="90"/>
    </xf>
    <xf numFmtId="0" fontId="32" fillId="33" borderId="24" xfId="0" applyNumberFormat="1" applyFont="1" applyFill="1" applyBorder="1" applyAlignment="1">
      <alignment horizontal="center" vertical="top" textRotation="90"/>
    </xf>
    <xf numFmtId="0" fontId="18" fillId="33" borderId="10" xfId="0" applyNumberFormat="1" applyFont="1" applyFill="1" applyBorder="1" applyAlignment="1">
      <alignment horizontal="center" vertical="top" textRotation="90"/>
    </xf>
    <xf numFmtId="0" fontId="33" fillId="0" borderId="0" xfId="0" applyFont="1" applyAlignment="1">
      <alignment textRotation="90"/>
    </xf>
    <xf numFmtId="1" fontId="0" fillId="0" borderId="18" xfId="0" applyNumberFormat="1" applyFont="1" applyBorder="1"/>
    <xf numFmtId="0" fontId="0" fillId="0" borderId="18" xfId="0" applyFont="1" applyBorder="1"/>
    <xf numFmtId="0" fontId="0" fillId="0" borderId="18" xfId="0" applyFont="1" applyBorder="1" applyAlignment="1">
      <alignment horizontal="center"/>
    </xf>
    <xf numFmtId="0" fontId="0" fillId="0" borderId="18" xfId="0" applyFont="1" applyBorder="1" applyAlignment="1"/>
    <xf numFmtId="0" fontId="0" fillId="0" borderId="19" xfId="0" applyFont="1" applyBorder="1"/>
    <xf numFmtId="1" fontId="18" fillId="0" borderId="18" xfId="0" applyNumberFormat="1" applyFont="1" applyBorder="1" applyAlignment="1">
      <alignment horizontal="left"/>
    </xf>
    <xf numFmtId="1" fontId="18" fillId="0" borderId="18" xfId="0" applyNumberFormat="1" applyFont="1" applyBorder="1"/>
    <xf numFmtId="1" fontId="19" fillId="0" borderId="18" xfId="0" applyNumberFormat="1" applyFont="1" applyFill="1" applyBorder="1"/>
    <xf numFmtId="0" fontId="18" fillId="0" borderId="18" xfId="0" applyNumberFormat="1" applyFont="1" applyBorder="1" applyAlignment="1">
      <alignment horizontal="left"/>
    </xf>
    <xf numFmtId="0" fontId="18" fillId="0" borderId="18" xfId="0" applyFont="1" applyBorder="1" applyAlignment="1">
      <alignment horizontal="center"/>
    </xf>
    <xf numFmtId="0" fontId="33" fillId="0" borderId="18" xfId="0" applyFont="1" applyBorder="1" applyAlignment="1">
      <alignment horizontal="center"/>
    </xf>
    <xf numFmtId="9" fontId="0" fillId="0" borderId="18" xfId="1" applyNumberFormat="1" applyFont="1" applyBorder="1" applyAlignment="1">
      <alignment horizontal="center"/>
    </xf>
    <xf numFmtId="0" fontId="0" fillId="0" borderId="12" xfId="1" applyNumberFormat="1" applyFont="1" applyBorder="1" applyAlignment="1">
      <alignment horizontal="center"/>
    </xf>
    <xf numFmtId="0" fontId="0" fillId="0" borderId="10" xfId="1" applyNumberFormat="1" applyFont="1" applyBorder="1" applyAlignment="1">
      <alignment horizontal="center"/>
    </xf>
    <xf numFmtId="0" fontId="0" fillId="0" borderId="10" xfId="0" applyBorder="1" applyAlignment="1">
      <alignment vertical="center"/>
    </xf>
    <xf numFmtId="0" fontId="33" fillId="0" borderId="10" xfId="0" applyFont="1" applyBorder="1" applyAlignment="1">
      <alignment horizontal="center"/>
    </xf>
    <xf numFmtId="164" fontId="0" fillId="38" borderId="0" xfId="0" applyNumberFormat="1" applyFill="1"/>
    <xf numFmtId="0" fontId="0" fillId="0" borderId="19" xfId="0" applyFont="1" applyBorder="1" applyAlignment="1">
      <alignment horizontal="center"/>
    </xf>
    <xf numFmtId="18" fontId="0" fillId="38" borderId="0" xfId="0" applyNumberFormat="1" applyFill="1"/>
    <xf numFmtId="0" fontId="34" fillId="38" borderId="0" xfId="0" applyFont="1" applyFill="1"/>
    <xf numFmtId="0" fontId="0" fillId="45" borderId="0" xfId="0" applyFill="1"/>
    <xf numFmtId="0" fontId="35" fillId="38" borderId="0" xfId="0" applyFont="1" applyFill="1"/>
    <xf numFmtId="0" fontId="36" fillId="38" borderId="0" xfId="0" applyFont="1" applyFill="1" applyAlignment="1"/>
    <xf numFmtId="0" fontId="0" fillId="0" borderId="18" xfId="0" applyBorder="1"/>
    <xf numFmtId="0" fontId="0" fillId="0" borderId="19" xfId="0" applyBorder="1"/>
    <xf numFmtId="1" fontId="0" fillId="0" borderId="10" xfId="0" applyNumberFormat="1" applyFont="1" applyBorder="1"/>
    <xf numFmtId="0" fontId="0" fillId="0" borderId="10" xfId="0" applyFont="1" applyBorder="1"/>
    <xf numFmtId="0" fontId="0" fillId="0" borderId="10" xfId="0" applyFont="1" applyBorder="1" applyAlignment="1"/>
    <xf numFmtId="0" fontId="19" fillId="0" borderId="10" xfId="0" applyFont="1" applyFill="1" applyBorder="1" applyAlignment="1">
      <alignment horizontal="left"/>
    </xf>
    <xf numFmtId="0" fontId="0" fillId="0" borderId="0" xfId="0" applyFill="1" applyAlignment="1" applyProtection="1">
      <alignment horizontal="right"/>
    </xf>
    <xf numFmtId="0" fontId="0" fillId="46" borderId="19" xfId="0" applyFill="1" applyBorder="1" applyAlignment="1">
      <alignment horizontal="right"/>
    </xf>
    <xf numFmtId="0" fontId="0" fillId="46" borderId="20" xfId="0" applyFill="1" applyBorder="1" applyAlignment="1">
      <alignment horizontal="right"/>
    </xf>
    <xf numFmtId="0" fontId="0" fillId="46" borderId="0" xfId="0" applyFill="1" applyBorder="1" applyAlignment="1">
      <alignment horizontal="right"/>
    </xf>
    <xf numFmtId="0" fontId="0" fillId="46" borderId="22" xfId="0" applyFill="1" applyBorder="1" applyAlignment="1">
      <alignment horizontal="right"/>
    </xf>
    <xf numFmtId="0" fontId="0" fillId="46" borderId="10" xfId="0" applyNumberFormat="1" applyFill="1" applyBorder="1" applyAlignment="1">
      <alignment horizontal="center"/>
    </xf>
    <xf numFmtId="0" fontId="0" fillId="46" borderId="25" xfId="0" applyFill="1" applyBorder="1" applyAlignment="1">
      <alignment horizontal="right"/>
    </xf>
    <xf numFmtId="0" fontId="0" fillId="0" borderId="26" xfId="0" applyBorder="1"/>
    <xf numFmtId="0" fontId="0" fillId="36" borderId="27" xfId="0" applyFill="1" applyBorder="1" applyAlignment="1">
      <alignment horizontal="right"/>
    </xf>
    <xf numFmtId="0" fontId="0" fillId="37" borderId="28" xfId="0" applyFill="1" applyBorder="1" applyAlignment="1">
      <alignment horizontal="right"/>
    </xf>
    <xf numFmtId="0" fontId="0" fillId="0" borderId="29" xfId="0" applyBorder="1"/>
    <xf numFmtId="0" fontId="0" fillId="34" borderId="0" xfId="0" applyFill="1"/>
    <xf numFmtId="0" fontId="19" fillId="0" borderId="0" xfId="0" applyFont="1" applyFill="1" applyAlignment="1" applyProtection="1">
      <alignment horizontal="center"/>
    </xf>
    <xf numFmtId="0" fontId="0" fillId="0" borderId="10" xfId="0" applyBorder="1" applyAlignment="1">
      <alignment horizontal="left"/>
    </xf>
    <xf numFmtId="1" fontId="18" fillId="38" borderId="12" xfId="0" applyNumberFormat="1" applyFont="1" applyFill="1" applyBorder="1" applyAlignment="1">
      <alignment horizontal="center" vertical="top" textRotation="90"/>
    </xf>
    <xf numFmtId="1" fontId="18" fillId="38" borderId="11" xfId="0" applyNumberFormat="1" applyFont="1" applyFill="1" applyBorder="1" applyAlignment="1">
      <alignment horizontal="center" vertical="top" textRotation="90"/>
    </xf>
    <xf numFmtId="0" fontId="42" fillId="47" borderId="10" xfId="0" applyFont="1" applyFill="1" applyBorder="1" applyAlignment="1">
      <alignment horizontal="center"/>
    </xf>
    <xf numFmtId="0" fontId="43" fillId="47" borderId="14" xfId="0" applyFont="1" applyFill="1" applyBorder="1" applyAlignment="1">
      <alignment horizontal="center"/>
    </xf>
    <xf numFmtId="14" fontId="42" fillId="47" borderId="10" xfId="0" applyNumberFormat="1" applyFont="1" applyFill="1" applyBorder="1" applyAlignment="1">
      <alignment horizontal="center"/>
    </xf>
    <xf numFmtId="0" fontId="0" fillId="48" borderId="0" xfId="0" applyFill="1" applyAlignment="1">
      <alignment horizontal="center"/>
    </xf>
    <xf numFmtId="1" fontId="19" fillId="0" borderId="0" xfId="0" applyNumberFormat="1" applyFont="1" applyFill="1" applyBorder="1" applyProtection="1"/>
    <xf numFmtId="0" fontId="19" fillId="0" borderId="0" xfId="0" applyFont="1" applyFill="1" applyBorder="1" applyProtection="1"/>
    <xf numFmtId="0" fontId="19" fillId="0" borderId="0" xfId="0" applyFont="1" applyFill="1" applyBorder="1" applyAlignment="1" applyProtection="1">
      <alignment horizontal="center"/>
    </xf>
    <xf numFmtId="1" fontId="19" fillId="0" borderId="0" xfId="0" applyNumberFormat="1" applyFont="1" applyFill="1" applyBorder="1"/>
    <xf numFmtId="0" fontId="19" fillId="0" borderId="0" xfId="0" applyFont="1" applyFill="1" applyBorder="1"/>
    <xf numFmtId="0" fontId="19" fillId="0" borderId="0" xfId="1" applyNumberFormat="1" applyFont="1" applyFill="1" applyBorder="1" applyAlignment="1">
      <alignment horizontal="center"/>
    </xf>
    <xf numFmtId="0" fontId="19" fillId="0" borderId="0" xfId="0" applyFont="1" applyFill="1" applyBorder="1" applyAlignment="1">
      <alignment horizontal="center"/>
    </xf>
    <xf numFmtId="0" fontId="19" fillId="0" borderId="0" xfId="0" applyFont="1" applyFill="1" applyBorder="1" applyAlignment="1">
      <alignment horizontal="left"/>
    </xf>
    <xf numFmtId="9" fontId="19" fillId="0" borderId="0" xfId="1" applyFont="1" applyFill="1" applyBorder="1" applyAlignment="1">
      <alignment horizontal="center" vertical="center"/>
    </xf>
    <xf numFmtId="1" fontId="19" fillId="0" borderId="0" xfId="0" applyNumberFormat="1" applyFont="1" applyFill="1" applyBorder="1" applyAlignment="1">
      <alignment horizontal="center" vertical="center"/>
    </xf>
    <xf numFmtId="0" fontId="17" fillId="34" borderId="12" xfId="0" applyFont="1" applyFill="1" applyBorder="1" applyAlignment="1" applyProtection="1">
      <alignment horizontal="left" vertical="top" textRotation="90"/>
    </xf>
    <xf numFmtId="0" fontId="19" fillId="0" borderId="0" xfId="0" applyFont="1" applyFill="1" applyBorder="1" applyAlignment="1" applyProtection="1">
      <alignment horizontal="left"/>
    </xf>
    <xf numFmtId="0" fontId="0" fillId="0" borderId="0" xfId="0" applyFill="1" applyAlignment="1" applyProtection="1">
      <alignment horizontal="left"/>
    </xf>
    <xf numFmtId="0" fontId="0" fillId="0" borderId="0" xfId="0" applyAlignment="1">
      <alignment horizontal="left"/>
    </xf>
    <xf numFmtId="0" fontId="19" fillId="0" borderId="10" xfId="0" applyFont="1" applyFill="1" applyBorder="1" applyAlignment="1" applyProtection="1">
      <alignment horizontal="left" wrapText="1"/>
    </xf>
    <xf numFmtId="0" fontId="19" fillId="0" borderId="0" xfId="0" applyFont="1" applyFill="1" applyAlignment="1" applyProtection="1">
      <alignment horizontal="left"/>
    </xf>
    <xf numFmtId="0" fontId="0" fillId="49" borderId="0" xfId="0" applyFill="1"/>
    <xf numFmtId="0" fontId="40" fillId="33" borderId="32" xfId="0" applyFont="1" applyFill="1" applyBorder="1"/>
    <xf numFmtId="0" fontId="40" fillId="33" borderId="33" xfId="0" applyFont="1" applyFill="1" applyBorder="1"/>
    <xf numFmtId="0" fontId="41" fillId="33" borderId="33" xfId="43" applyFill="1" applyBorder="1"/>
    <xf numFmtId="0" fontId="0" fillId="33" borderId="33" xfId="0" applyFill="1" applyBorder="1"/>
    <xf numFmtId="0" fontId="0" fillId="38" borderId="10" xfId="0" applyFill="1" applyBorder="1"/>
    <xf numFmtId="0" fontId="0" fillId="49" borderId="10" xfId="0" applyFill="1" applyBorder="1"/>
    <xf numFmtId="0" fontId="40" fillId="36" borderId="31" xfId="0" applyFont="1" applyFill="1" applyBorder="1" applyAlignment="1">
      <alignment horizontal="right" wrapText="1"/>
    </xf>
    <xf numFmtId="0" fontId="45" fillId="33" borderId="30" xfId="43" applyFont="1" applyFill="1" applyBorder="1"/>
    <xf numFmtId="0" fontId="40" fillId="33" borderId="30" xfId="0" applyFont="1" applyFill="1" applyBorder="1"/>
    <xf numFmtId="0" fontId="40" fillId="33" borderId="31" xfId="0" applyFont="1" applyFill="1" applyBorder="1"/>
    <xf numFmtId="0" fontId="40" fillId="0" borderId="0" xfId="0" applyFont="1"/>
    <xf numFmtId="0" fontId="40" fillId="34" borderId="0" xfId="0" applyFont="1" applyFill="1"/>
    <xf numFmtId="0" fontId="17" fillId="50" borderId="10" xfId="0" applyFont="1" applyFill="1" applyBorder="1" applyAlignment="1" applyProtection="1">
      <alignment horizontal="center" vertical="top" textRotation="90"/>
    </xf>
    <xf numFmtId="0" fontId="17" fillId="50" borderId="12" xfId="0" applyFont="1" applyFill="1" applyBorder="1" applyAlignment="1" applyProtection="1">
      <alignment horizontal="center" vertical="top" textRotation="90"/>
    </xf>
    <xf numFmtId="0" fontId="13" fillId="34" borderId="18" xfId="0" applyFont="1" applyFill="1" applyBorder="1" applyAlignment="1">
      <alignment horizontal="center" vertical="top" textRotation="90"/>
    </xf>
    <xf numFmtId="0" fontId="0" fillId="51" borderId="10" xfId="0" applyFill="1" applyBorder="1"/>
    <xf numFmtId="0" fontId="41" fillId="0" borderId="0" xfId="43"/>
    <xf numFmtId="0" fontId="17" fillId="34" borderId="12" xfId="0" applyFont="1" applyFill="1" applyBorder="1" applyAlignment="1" applyProtection="1">
      <alignment horizontal="right" vertical="top" textRotation="90"/>
    </xf>
    <xf numFmtId="0" fontId="19" fillId="0" borderId="10" xfId="0" applyFont="1" applyFill="1" applyBorder="1" applyAlignment="1" applyProtection="1">
      <alignment horizontal="right" wrapText="1"/>
    </xf>
    <xf numFmtId="0" fontId="19" fillId="0" borderId="0" xfId="0" applyFont="1" applyFill="1" applyBorder="1" applyAlignment="1" applyProtection="1">
      <alignment horizontal="right"/>
    </xf>
    <xf numFmtId="0" fontId="44" fillId="0" borderId="10" xfId="0" applyFont="1" applyFill="1" applyBorder="1" applyAlignment="1" applyProtection="1">
      <alignment horizontal="right"/>
    </xf>
    <xf numFmtId="0" fontId="44" fillId="0" borderId="10" xfId="0" applyFont="1" applyBorder="1"/>
    <xf numFmtId="9" fontId="44" fillId="0" borderId="10" xfId="0" applyNumberFormat="1" applyFont="1" applyBorder="1"/>
    <xf numFmtId="165" fontId="44" fillId="0" borderId="10" xfId="0" applyNumberFormat="1" applyFont="1" applyBorder="1"/>
    <xf numFmtId="0" fontId="44" fillId="0" borderId="13" xfId="0" applyFont="1" applyFill="1" applyBorder="1" applyAlignment="1" applyProtection="1">
      <alignment horizontal="right"/>
    </xf>
    <xf numFmtId="0" fontId="44" fillId="0" borderId="13" xfId="0" applyFont="1" applyBorder="1"/>
    <xf numFmtId="0" fontId="0" fillId="33" borderId="10" xfId="0" applyFill="1" applyBorder="1"/>
    <xf numFmtId="0" fontId="0" fillId="33" borderId="10" xfId="0" applyFill="1" applyBorder="1" applyAlignment="1" applyProtection="1">
      <alignment horizontal="left"/>
    </xf>
    <xf numFmtId="164" fontId="0" fillId="33" borderId="33" xfId="0" applyNumberFormat="1" applyFill="1" applyBorder="1"/>
    <xf numFmtId="164" fontId="0" fillId="38" borderId="10" xfId="0" applyNumberFormat="1" applyFill="1" applyBorder="1"/>
    <xf numFmtId="164" fontId="0" fillId="0" borderId="10" xfId="0" applyNumberFormat="1" applyBorder="1"/>
    <xf numFmtId="164" fontId="0" fillId="0" borderId="0" xfId="0" applyNumberFormat="1"/>
    <xf numFmtId="0" fontId="17" fillId="34" borderId="18" xfId="0" applyFont="1" applyFill="1" applyBorder="1" applyAlignment="1" applyProtection="1">
      <alignment horizontal="center" vertical="top" textRotation="90"/>
    </xf>
    <xf numFmtId="0" fontId="19" fillId="0" borderId="14" xfId="0" applyFont="1" applyFill="1" applyBorder="1" applyAlignment="1">
      <alignment horizontal="center"/>
    </xf>
    <xf numFmtId="0" fontId="0" fillId="0" borderId="14" xfId="0" applyBorder="1" applyAlignment="1">
      <alignment horizontal="center"/>
    </xf>
    <xf numFmtId="1" fontId="19" fillId="0" borderId="14" xfId="0" applyNumberFormat="1" applyFont="1" applyFill="1" applyBorder="1" applyAlignment="1">
      <alignment horizontal="center"/>
    </xf>
    <xf numFmtId="1" fontId="18" fillId="33" borderId="20" xfId="0" applyNumberFormat="1" applyFont="1" applyFill="1" applyBorder="1" applyAlignment="1">
      <alignment horizontal="center" vertical="top" textRotation="90"/>
    </xf>
    <xf numFmtId="1" fontId="17" fillId="52" borderId="0" xfId="0" applyNumberFormat="1" applyFont="1" applyFill="1" applyBorder="1" applyAlignment="1" applyProtection="1">
      <alignment horizontal="center" vertical="top" textRotation="90"/>
    </xf>
    <xf numFmtId="0" fontId="0" fillId="0" borderId="0" xfId="0" applyNumberFormat="1" applyBorder="1" applyAlignment="1">
      <alignment horizontal="left"/>
    </xf>
    <xf numFmtId="1" fontId="0" fillId="0" borderId="0" xfId="0" applyNumberFormat="1" applyAlignment="1">
      <alignment horizontal="left"/>
    </xf>
    <xf numFmtId="0" fontId="0" fillId="33" borderId="10" xfId="0" applyFill="1" applyBorder="1" applyAlignment="1">
      <alignment horizontal="right"/>
    </xf>
    <xf numFmtId="166" fontId="0" fillId="0" borderId="0" xfId="0" applyNumberFormat="1" applyAlignment="1">
      <alignment horizontal="right"/>
    </xf>
    <xf numFmtId="1" fontId="0" fillId="0" borderId="0" xfId="0" applyNumberFormat="1" applyAlignment="1">
      <alignment horizontal="right"/>
    </xf>
    <xf numFmtId="0" fontId="0" fillId="0" borderId="0" xfId="0" applyFont="1" applyFill="1" applyBorder="1"/>
    <xf numFmtId="0" fontId="42" fillId="47" borderId="0" xfId="0" applyFont="1" applyFill="1" applyBorder="1"/>
    <xf numFmtId="0" fontId="0" fillId="0" borderId="0" xfId="0" applyFont="1" applyBorder="1" applyAlignment="1">
      <alignment horizontal="center"/>
    </xf>
    <xf numFmtId="0" fontId="0" fillId="0" borderId="0" xfId="0" applyFill="1" applyBorder="1"/>
    <xf numFmtId="0" fontId="16" fillId="33" borderId="10" xfId="0" applyFont="1" applyFill="1" applyBorder="1"/>
    <xf numFmtId="0" fontId="0" fillId="33" borderId="10" xfId="0" applyFont="1" applyFill="1" applyBorder="1"/>
    <xf numFmtId="0" fontId="0" fillId="33" borderId="10" xfId="0" applyFont="1" applyFill="1" applyBorder="1" applyAlignment="1">
      <alignment horizontal="center"/>
    </xf>
    <xf numFmtId="0" fontId="16" fillId="33" borderId="10" xfId="0" applyFont="1" applyFill="1" applyBorder="1" applyAlignment="1">
      <alignment horizontal="center"/>
    </xf>
    <xf numFmtId="0" fontId="41" fillId="0" borderId="10" xfId="43" applyBorder="1"/>
    <xf numFmtId="0" fontId="0" fillId="40" borderId="25" xfId="0" applyFill="1" applyBorder="1"/>
    <xf numFmtId="0" fontId="0" fillId="0" borderId="27" xfId="0" applyBorder="1"/>
    <xf numFmtId="0" fontId="0" fillId="0" borderId="27" xfId="0" applyFill="1" applyBorder="1"/>
    <xf numFmtId="0" fontId="0" fillId="0" borderId="28" xfId="0" applyFill="1" applyBorder="1"/>
    <xf numFmtId="0" fontId="0" fillId="40" borderId="26" xfId="0" applyFill="1" applyBorder="1"/>
    <xf numFmtId="0" fontId="0" fillId="40" borderId="34" xfId="0" applyFill="1" applyBorder="1"/>
    <xf numFmtId="164" fontId="0" fillId="0" borderId="29" xfId="0" applyNumberFormat="1" applyBorder="1"/>
    <xf numFmtId="167" fontId="0" fillId="0" borderId="35" xfId="0" applyNumberFormat="1" applyBorder="1"/>
    <xf numFmtId="167" fontId="0" fillId="0" borderId="36" xfId="0" applyNumberFormat="1" applyBorder="1"/>
    <xf numFmtId="0" fontId="0" fillId="0" borderId="0" xfId="0" applyAlignment="1">
      <alignment wrapText="1"/>
    </xf>
    <xf numFmtId="0" fontId="19" fillId="34" borderId="12" xfId="0" applyFont="1" applyFill="1" applyBorder="1" applyAlignment="1" applyProtection="1">
      <alignment horizontal="center" vertical="top" textRotation="90"/>
    </xf>
    <xf numFmtId="0" fontId="19" fillId="0" borderId="0" xfId="0" applyNumberFormat="1" applyFont="1" applyBorder="1" applyAlignment="1">
      <alignment horizontal="right"/>
    </xf>
    <xf numFmtId="0" fontId="19" fillId="0" borderId="17" xfId="0" applyFont="1" applyBorder="1"/>
    <xf numFmtId="0" fontId="48" fillId="38" borderId="17" xfId="0" applyNumberFormat="1" applyFont="1" applyFill="1" applyBorder="1" applyAlignment="1">
      <alignment horizontal="right"/>
    </xf>
    <xf numFmtId="0" fontId="19" fillId="46" borderId="19" xfId="0" applyFont="1" applyFill="1" applyBorder="1" applyAlignment="1">
      <alignment horizontal="right"/>
    </xf>
    <xf numFmtId="0" fontId="19" fillId="46" borderId="0" xfId="0" applyFont="1" applyFill="1" applyBorder="1" applyAlignment="1">
      <alignment horizontal="right"/>
    </xf>
    <xf numFmtId="0" fontId="19" fillId="36" borderId="0" xfId="0" applyFont="1" applyFill="1" applyBorder="1" applyAlignment="1">
      <alignment horizontal="right"/>
    </xf>
    <xf numFmtId="0" fontId="19" fillId="37" borderId="0" xfId="0" applyFont="1" applyFill="1" applyBorder="1" applyAlignment="1">
      <alignment horizontal="right"/>
    </xf>
    <xf numFmtId="0" fontId="19" fillId="33" borderId="17" xfId="0" applyFont="1" applyFill="1" applyBorder="1"/>
    <xf numFmtId="0" fontId="19" fillId="0" borderId="0" xfId="0" applyFont="1" applyFill="1" applyAlignment="1" applyProtection="1">
      <alignment horizontal="right"/>
    </xf>
    <xf numFmtId="0" fontId="19" fillId="0" borderId="0" xfId="0" applyFont="1" applyAlignment="1">
      <alignment horizontal="center"/>
    </xf>
    <xf numFmtId="0" fontId="41" fillId="0" borderId="0" xfId="43" applyFill="1"/>
    <xf numFmtId="0" fontId="48" fillId="0" borderId="10" xfId="0" applyFont="1" applyFill="1" applyBorder="1" applyAlignment="1" applyProtection="1"/>
    <xf numFmtId="1" fontId="48" fillId="0" borderId="10" xfId="0" applyNumberFormat="1" applyFont="1" applyFill="1" applyBorder="1" applyAlignment="1" applyProtection="1">
      <alignment horizontal="center"/>
    </xf>
    <xf numFmtId="0" fontId="21" fillId="0" borderId="16" xfId="0" applyFont="1" applyBorder="1" applyAlignment="1">
      <alignment horizont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43"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46">
    <dxf>
      <font>
        <strike val="0"/>
      </font>
      <fill>
        <patternFill>
          <bgColor theme="5" tint="0.39994506668294322"/>
        </patternFill>
      </fill>
    </dxf>
    <dxf>
      <fill>
        <patternFill>
          <bgColor theme="3" tint="0.79998168889431442"/>
        </patternFill>
      </fill>
    </dxf>
    <dxf>
      <fill>
        <patternFill>
          <bgColor theme="9" tint="0.59996337778862885"/>
        </patternFill>
      </fill>
    </dxf>
    <dxf>
      <fill>
        <patternFill>
          <bgColor theme="7" tint="0.59996337778862885"/>
        </patternFill>
      </fill>
    </dxf>
    <dxf>
      <fill>
        <patternFill>
          <bgColor theme="3" tint="0.59996337778862885"/>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ill>
        <patternFill>
          <bgColor theme="5" tint="0.59996337778862885"/>
        </patternFill>
      </fill>
    </dxf>
    <dxf>
      <fill>
        <patternFill>
          <bgColor rgb="FFFFFF00"/>
        </patternFill>
      </fill>
    </dxf>
    <dxf>
      <fill>
        <patternFill>
          <bgColor theme="6" tint="0.39994506668294322"/>
        </patternFill>
      </fill>
    </dxf>
    <dxf>
      <fill>
        <patternFill>
          <bgColor theme="6"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ill>
        <patternFill>
          <bgColor rgb="FFFFFF99"/>
        </patternFill>
      </fill>
    </dxf>
    <dxf>
      <fill>
        <patternFill>
          <bgColor theme="5" tint="0.59996337778862885"/>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106680</xdr:colOff>
          <xdr:row>0</xdr:row>
          <xdr:rowOff>60960</xdr:rowOff>
        </xdr:from>
        <xdr:to>
          <xdr:col>1</xdr:col>
          <xdr:colOff>1325880</xdr:colOff>
          <xdr:row>0</xdr:row>
          <xdr:rowOff>388620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Planning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0</xdr:row>
          <xdr:rowOff>525780</xdr:rowOff>
        </xdr:from>
        <xdr:to>
          <xdr:col>1</xdr:col>
          <xdr:colOff>1257300</xdr:colOff>
          <xdr:row>0</xdr:row>
          <xdr:rowOff>876300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114</xdr:row>
          <xdr:rowOff>175260</xdr:rowOff>
        </xdr:from>
        <xdr:to>
          <xdr:col>17</xdr:col>
          <xdr:colOff>441960</xdr:colOff>
          <xdr:row>122</xdr:row>
          <xdr:rowOff>137160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Update TD Sums by color</a:t>
              </a:r>
            </a:p>
          </xdr:txBody>
        </xdr:sp>
        <xdr:clientData fPrintsWithSheet="0"/>
      </xdr:twoCellAnchor>
    </mc:Choice>
    <mc:Fallback/>
  </mc:AlternateContent>
  <xdr:oneCellAnchor>
    <xdr:from>
      <xdr:col>1</xdr:col>
      <xdr:colOff>1565580</xdr:colOff>
      <xdr:row>0</xdr:row>
      <xdr:rowOff>77057</xdr:rowOff>
    </xdr:from>
    <xdr:ext cx="2138588" cy="907193"/>
    <xdr:sp macro="" textlink="">
      <xdr:nvSpPr>
        <xdr:cNvPr id="2" name="Rectangle 1"/>
        <xdr:cNvSpPr/>
      </xdr:nvSpPr>
      <xdr:spPr>
        <a:xfrm>
          <a:off x="2168830" y="77057"/>
          <a:ext cx="2138588" cy="907193"/>
        </a:xfrm>
        <a:prstGeom prst="rect">
          <a:avLst/>
        </a:prstGeom>
        <a:noFill/>
      </xdr:spPr>
      <xdr:txBody>
        <a:bodyPr wrap="square" lIns="91440" tIns="45720" rIns="91440" bIns="45720">
          <a:noAutofit/>
        </a:bodyPr>
        <a:lstStyle/>
        <a:p>
          <a:pPr algn="l"/>
          <a:r>
            <a:rPr lang="en-US" sz="11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 Ctrl-w =</a:t>
          </a:r>
          <a:r>
            <a:rPr lang="en-US" sz="11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Feature's PWIs</a:t>
          </a:r>
          <a:endParaRPr lang="en-US" sz="11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l"/>
          <a:r>
            <a:rPr lang="en-US" sz="11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 Ctrl-</a:t>
          </a:r>
          <a:r>
            <a:rPr lang="en-US" sz="11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e  = Feature's possible </a:t>
          </a:r>
          <a:r>
            <a:rPr lang="en-US" sz="11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PWIs</a:t>
          </a:r>
        </a:p>
        <a:p>
          <a:pPr algn="l"/>
          <a:r>
            <a:rPr lang="en-US" sz="11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 Ctrl-m = Epic's features</a:t>
          </a:r>
        </a:p>
        <a:p>
          <a:pPr algn="l"/>
          <a:r>
            <a:rPr lang="en-US" sz="11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a typeface="+mn-ea"/>
              <a:cs typeface="+mn-cs"/>
            </a:rPr>
            <a:t>- Right-click "Show Details" on PWI/CI/Epic</a:t>
          </a:r>
        </a:p>
      </xdr:txBody>
    </xdr:sp>
    <xdr:clientData/>
  </xdr:oneCellAnchor>
  <mc:AlternateContent xmlns:mc="http://schemas.openxmlformats.org/markup-compatibility/2006">
    <mc:Choice xmlns:a14="http://schemas.microsoft.com/office/drawing/2010/main" Requires="a14">
      <xdr:twoCellAnchor>
        <xdr:from>
          <xdr:col>1</xdr:col>
          <xdr:colOff>76200</xdr:colOff>
          <xdr:row>0</xdr:row>
          <xdr:rowOff>914400</xdr:rowOff>
        </xdr:from>
        <xdr:to>
          <xdr:col>1</xdr:col>
          <xdr:colOff>1333500</xdr:colOff>
          <xdr:row>1</xdr:row>
          <xdr:rowOff>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 ID Links - entire Workbook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137160</xdr:colOff>
          <xdr:row>0</xdr:row>
          <xdr:rowOff>68580</xdr:rowOff>
        </xdr:from>
        <xdr:to>
          <xdr:col>1</xdr:col>
          <xdr:colOff>1363980</xdr:colOff>
          <xdr:row>0</xdr:row>
          <xdr:rowOff>327660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AuditView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xdr:colOff>
          <xdr:row>0</xdr:row>
          <xdr:rowOff>457200</xdr:rowOff>
        </xdr:from>
        <xdr:to>
          <xdr:col>1</xdr:col>
          <xdr:colOff>1363980</xdr:colOff>
          <xdr:row>0</xdr:row>
          <xdr:rowOff>670560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xdr:colOff>
          <xdr:row>0</xdr:row>
          <xdr:rowOff>876300</xdr:rowOff>
        </xdr:from>
        <xdr:to>
          <xdr:col>1</xdr:col>
          <xdr:colOff>1371600</xdr:colOff>
          <xdr:row>0</xdr:row>
          <xdr:rowOff>1173480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Return to List tab</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99060</xdr:rowOff>
        </xdr:from>
        <xdr:to>
          <xdr:col>3</xdr:col>
          <xdr:colOff>1333500</xdr:colOff>
          <xdr:row>0</xdr:row>
          <xdr:rowOff>464820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0</xdr:row>
          <xdr:rowOff>693420</xdr:rowOff>
        </xdr:from>
        <xdr:to>
          <xdr:col>3</xdr:col>
          <xdr:colOff>1562100</xdr:colOff>
          <xdr:row>0</xdr:row>
          <xdr:rowOff>1066800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Return To List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251460</xdr:rowOff>
        </xdr:from>
        <xdr:to>
          <xdr:col>1</xdr:col>
          <xdr:colOff>1684020</xdr:colOff>
          <xdr:row>0</xdr:row>
          <xdr:rowOff>655320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274320</xdr:colOff>
          <xdr:row>0</xdr:row>
          <xdr:rowOff>800100</xdr:rowOff>
        </xdr:from>
        <xdr:to>
          <xdr:col>1</xdr:col>
          <xdr:colOff>1744980</xdr:colOff>
          <xdr:row>0</xdr:row>
          <xdr:rowOff>1173480</xdr:rowOff>
        </xdr:to>
        <xdr:sp macro="" textlink="">
          <xdr:nvSpPr>
            <xdr:cNvPr id="32770" name="Button 2" hidden="1">
              <a:extLst>
                <a:ext uri="{63B3BB69-23CF-44E3-9099-C40C66FF867C}">
                  <a14:compatExt spid="_x0000_s327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Return To List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350520</xdr:rowOff>
        </xdr:from>
        <xdr:to>
          <xdr:col>0</xdr:col>
          <xdr:colOff>640080</xdr:colOff>
          <xdr:row>0</xdr:row>
          <xdr:rowOff>990600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198120</xdr:colOff>
          <xdr:row>0</xdr:row>
          <xdr:rowOff>350520</xdr:rowOff>
        </xdr:from>
        <xdr:to>
          <xdr:col>2</xdr:col>
          <xdr:colOff>1668780</xdr:colOff>
          <xdr:row>0</xdr:row>
          <xdr:rowOff>723900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Return To List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68580</xdr:colOff>
          <xdr:row>0</xdr:row>
          <xdr:rowOff>30480</xdr:rowOff>
        </xdr:from>
        <xdr:to>
          <xdr:col>3</xdr:col>
          <xdr:colOff>30480</xdr:colOff>
          <xdr:row>0</xdr:row>
          <xdr:rowOff>327660</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144780</xdr:colOff>
          <xdr:row>0</xdr:row>
          <xdr:rowOff>38100</xdr:rowOff>
        </xdr:from>
        <xdr:to>
          <xdr:col>3</xdr:col>
          <xdr:colOff>1440180</xdr:colOff>
          <xdr:row>0</xdr:row>
          <xdr:rowOff>419100</xdr:rowOff>
        </xdr:to>
        <xdr:sp macro="" textlink="">
          <xdr:nvSpPr>
            <xdr:cNvPr id="16388" name="Button 4"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Return To List tab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xdr:colOff>
          <xdr:row>0</xdr:row>
          <xdr:rowOff>60960</xdr:rowOff>
        </xdr:from>
        <xdr:to>
          <xdr:col>1</xdr:col>
          <xdr:colOff>419100</xdr:colOff>
          <xdr:row>0</xdr:row>
          <xdr:rowOff>350520</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83820</xdr:colOff>
          <xdr:row>0</xdr:row>
          <xdr:rowOff>99060</xdr:rowOff>
        </xdr:from>
        <xdr:to>
          <xdr:col>6</xdr:col>
          <xdr:colOff>632460</xdr:colOff>
          <xdr:row>1</xdr:row>
          <xdr:rowOff>7620</xdr:rowOff>
        </xdr:to>
        <xdr:sp macro="" textlink="">
          <xdr:nvSpPr>
            <xdr:cNvPr id="22531" name="Button 3" hidden="1">
              <a:extLst>
                <a:ext uri="{63B3BB69-23CF-44E3-9099-C40C66FF867C}">
                  <a14:compatExt spid="_x0000_s225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Return To List tab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1143000</xdr:colOff>
          <xdr:row>0</xdr:row>
          <xdr:rowOff>30480</xdr:rowOff>
        </xdr:from>
        <xdr:to>
          <xdr:col>1</xdr:col>
          <xdr:colOff>3467100</xdr:colOff>
          <xdr:row>4</xdr:row>
          <xdr:rowOff>22860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cs typeface="Calibri"/>
                </a:rPr>
                <a:t>Import from Inc_all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160020</xdr:colOff>
      <xdr:row>0</xdr:row>
      <xdr:rowOff>617220</xdr:rowOff>
    </xdr:from>
    <xdr:to>
      <xdr:col>8</xdr:col>
      <xdr:colOff>236220</xdr:colOff>
      <xdr:row>0</xdr:row>
      <xdr:rowOff>1638159</xdr:rowOff>
    </xdr:to>
    <xdr:pic>
      <xdr:nvPicPr>
        <xdr:cNvPr id="12" name="Picture 11"/>
        <xdr:cNvPicPr>
          <a:picLocks noChangeAspect="1"/>
        </xdr:cNvPicPr>
      </xdr:nvPicPr>
      <xdr:blipFill>
        <a:blip xmlns:r="http://schemas.openxmlformats.org/officeDocument/2006/relationships" r:embed="rId1"/>
        <a:stretch>
          <a:fillRect/>
        </a:stretch>
      </xdr:blipFill>
      <xdr:spPr>
        <a:xfrm>
          <a:off x="160020" y="617220"/>
          <a:ext cx="5394960" cy="102093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s://gdccm01.gddsi.com:9443/ccm/web/projects/MUOS%20SAFe%204.0%20Project" TargetMode="External"/><Relationship Id="rId117" Type="http://schemas.openxmlformats.org/officeDocument/2006/relationships/hyperlink" Target="https://gdccm01.gddsi.com:9443/ccm/web/projects/MUOS%20SAFe%204.0%20Project" TargetMode="External"/><Relationship Id="rId21" Type="http://schemas.openxmlformats.org/officeDocument/2006/relationships/hyperlink" Target="https://gdccm01.gddsi.com:9443/ccm/web/projects/MUOS%20SAFe%204.0%20Project" TargetMode="External"/><Relationship Id="rId42" Type="http://schemas.openxmlformats.org/officeDocument/2006/relationships/hyperlink" Target="https://gdccm01.gddsi.com:9443/ccm/web/projects/MUOS%20SAFe%204.0%20Project" TargetMode="External"/><Relationship Id="rId47" Type="http://schemas.openxmlformats.org/officeDocument/2006/relationships/hyperlink" Target="https://gdccm01.gddsi.com:9443/ccm/web/projects/MUOS%20SAFe%204.0%20Project" TargetMode="External"/><Relationship Id="rId63" Type="http://schemas.openxmlformats.org/officeDocument/2006/relationships/hyperlink" Target="https://gdccm01.gddsi.com:9443/ccm/web/projects/MUOS%20SAFe%204.0%20Project" TargetMode="External"/><Relationship Id="rId68" Type="http://schemas.openxmlformats.org/officeDocument/2006/relationships/hyperlink" Target="https://gdccm01.gddsi.com:9443/ccm/web/projects/MUOS%20SAFe%204.0%20Project" TargetMode="External"/><Relationship Id="rId84" Type="http://schemas.openxmlformats.org/officeDocument/2006/relationships/hyperlink" Target="https://gdccm01.gddsi.com:9443/ccm/web/projects/MUOS%20SAFe%204.0%20Project" TargetMode="External"/><Relationship Id="rId89" Type="http://schemas.openxmlformats.org/officeDocument/2006/relationships/hyperlink" Target="https://gdccm01.gddsi.com:9443/ccm/web/projects/MUOS%20SAFe%204.0%20Project" TargetMode="External"/><Relationship Id="rId112" Type="http://schemas.openxmlformats.org/officeDocument/2006/relationships/hyperlink" Target="https://gdccm01.gddsi.com:9443/ccm/web/projects/MUOS%20SAFe%204.0%20Project" TargetMode="External"/><Relationship Id="rId133" Type="http://schemas.openxmlformats.org/officeDocument/2006/relationships/ctrlProp" Target="../ctrlProps/ctrlProp2.xml"/><Relationship Id="rId16" Type="http://schemas.openxmlformats.org/officeDocument/2006/relationships/hyperlink" Target="https://gdccm01.gddsi.com:9443/ccm/web/projects/MUOS%20SAFe%204.0%20Project" TargetMode="External"/><Relationship Id="rId107" Type="http://schemas.openxmlformats.org/officeDocument/2006/relationships/hyperlink" Target="https://gdccm01.gddsi.com:9443/ccm/web/projects/MUOS%20SAFe%204.0%20Project" TargetMode="External"/><Relationship Id="rId11" Type="http://schemas.openxmlformats.org/officeDocument/2006/relationships/hyperlink" Target="https://gdccm01.gddsi.com:9443/ccm/web/projects/MUOS%20SAFe%204.0%20Project" TargetMode="External"/><Relationship Id="rId32" Type="http://schemas.openxmlformats.org/officeDocument/2006/relationships/hyperlink" Target="https://gdccm01.gddsi.com:9443/ccm/web/projects/MUOS%20SAFe%204.0%20Project" TargetMode="External"/><Relationship Id="rId37" Type="http://schemas.openxmlformats.org/officeDocument/2006/relationships/hyperlink" Target="https://gdccm01.gddsi.com:9443/ccm/web/projects/MUOS%20SAFe%204.0%20Project" TargetMode="External"/><Relationship Id="rId53" Type="http://schemas.openxmlformats.org/officeDocument/2006/relationships/hyperlink" Target="https://gdccm01.gddsi.com:9443/ccm/web/projects/MUOS%20SAFe%204.0%20Project" TargetMode="External"/><Relationship Id="rId58" Type="http://schemas.openxmlformats.org/officeDocument/2006/relationships/hyperlink" Target="https://gdccm01.gddsi.com:9443/ccm/web/projects/MUOS%20SAFe%204.0%20Project" TargetMode="External"/><Relationship Id="rId74" Type="http://schemas.openxmlformats.org/officeDocument/2006/relationships/hyperlink" Target="https://gdccm01.gddsi.com:9443/ccm/web/projects/MUOS%20SAFe%204.0%20Project" TargetMode="External"/><Relationship Id="rId79" Type="http://schemas.openxmlformats.org/officeDocument/2006/relationships/hyperlink" Target="https://gdccm01.gddsi.com:9443/ccm/web/projects/MUOS%20SAFe%204.0%20Project" TargetMode="External"/><Relationship Id="rId102" Type="http://schemas.openxmlformats.org/officeDocument/2006/relationships/hyperlink" Target="https://gdccm01.gddsi.com:9443/ccm/web/projects/MUOS%20SAFe%204.0%20Project" TargetMode="External"/><Relationship Id="rId123" Type="http://schemas.openxmlformats.org/officeDocument/2006/relationships/hyperlink" Target="https://gdccm01.gddsi.com:9443/ccm/web/projects/MUOS%20SAFe%204.0%20Project" TargetMode="External"/><Relationship Id="rId128" Type="http://schemas.openxmlformats.org/officeDocument/2006/relationships/hyperlink" Target="https://gdccm01.gddsi.com:9443/ccm/web/projects/MUOS%20SAFe%204.0%20Project" TargetMode="External"/><Relationship Id="rId5" Type="http://schemas.openxmlformats.org/officeDocument/2006/relationships/hyperlink" Target="https://gdccm01.gddsi.com:9443/ccm/web/projects/MUOS%20SAFe%204.0%20Project" TargetMode="External"/><Relationship Id="rId90" Type="http://schemas.openxmlformats.org/officeDocument/2006/relationships/hyperlink" Target="https://gdccm01.gddsi.com:9443/ccm/web/projects/MUOS%20SAFe%204.0%20Project" TargetMode="External"/><Relationship Id="rId95" Type="http://schemas.openxmlformats.org/officeDocument/2006/relationships/hyperlink" Target="https://gdccm01.gddsi.com:9443/ccm/web/projects/MUOS%20SAFe%204.0%20Project" TargetMode="External"/><Relationship Id="rId14" Type="http://schemas.openxmlformats.org/officeDocument/2006/relationships/hyperlink" Target="https://gdccm01.gddsi.com:9443/ccm/web/projects/MUOS%20SAFe%204.0%20Project" TargetMode="External"/><Relationship Id="rId22" Type="http://schemas.openxmlformats.org/officeDocument/2006/relationships/hyperlink" Target="https://gdccm01.gddsi.com:9443/ccm/web/projects/MUOS%20SAFe%204.0%20Project" TargetMode="External"/><Relationship Id="rId27" Type="http://schemas.openxmlformats.org/officeDocument/2006/relationships/hyperlink" Target="https://gdccm01.gddsi.com:9443/ccm/web/projects/MUOS%20SAFe%204.0%20Project" TargetMode="External"/><Relationship Id="rId30" Type="http://schemas.openxmlformats.org/officeDocument/2006/relationships/hyperlink" Target="https://gdccm01.gddsi.com:9443/ccm/web/projects/MUOS%20SAFe%204.0%20Project" TargetMode="External"/><Relationship Id="rId35" Type="http://schemas.openxmlformats.org/officeDocument/2006/relationships/hyperlink" Target="https://gdccm01.gddsi.com:9443/ccm/web/projects/MUOS%20SAFe%204.0%20Project" TargetMode="External"/><Relationship Id="rId43" Type="http://schemas.openxmlformats.org/officeDocument/2006/relationships/hyperlink" Target="https://gdccm01.gddsi.com:9443/ccm/web/projects/MUOS%20SAFe%204.0%20Project" TargetMode="External"/><Relationship Id="rId48" Type="http://schemas.openxmlformats.org/officeDocument/2006/relationships/hyperlink" Target="https://gdccm01.gddsi.com:9443/ccm/web/projects/MUOS%20SAFe%204.0%20Project" TargetMode="External"/><Relationship Id="rId56" Type="http://schemas.openxmlformats.org/officeDocument/2006/relationships/hyperlink" Target="https://gdccm01.gddsi.com:9443/ccm/web/projects/MUOS%20SAFe%204.0%20Project" TargetMode="External"/><Relationship Id="rId64" Type="http://schemas.openxmlformats.org/officeDocument/2006/relationships/hyperlink" Target="https://gdccm01.gddsi.com:9443/ccm/web/projects/MUOS%20SAFe%204.0%20Project" TargetMode="External"/><Relationship Id="rId69" Type="http://schemas.openxmlformats.org/officeDocument/2006/relationships/hyperlink" Target="https://gdccm01.gddsi.com:9443/ccm/web/projects/MUOS%20SAFe%204.0%20Project" TargetMode="External"/><Relationship Id="rId77" Type="http://schemas.openxmlformats.org/officeDocument/2006/relationships/hyperlink" Target="https://gdccm01.gddsi.com:9443/ccm/web/projects/MUOS%20SAFe%204.0%20Project" TargetMode="External"/><Relationship Id="rId100" Type="http://schemas.openxmlformats.org/officeDocument/2006/relationships/hyperlink" Target="https://gdccm01.gddsi.com:9443/ccm/web/projects/MUOS%20SAFe%204.0%20Project" TargetMode="External"/><Relationship Id="rId105" Type="http://schemas.openxmlformats.org/officeDocument/2006/relationships/hyperlink" Target="https://gdccm01.gddsi.com:9443/ccm/web/projects/MUOS%20SAFe%204.0%20Project" TargetMode="External"/><Relationship Id="rId113" Type="http://schemas.openxmlformats.org/officeDocument/2006/relationships/hyperlink" Target="https://gdccm01.gddsi.com:9443/ccm/web/projects/MUOS%20SAFe%204.0%20Project" TargetMode="External"/><Relationship Id="rId118" Type="http://schemas.openxmlformats.org/officeDocument/2006/relationships/hyperlink" Target="https://gdccm01.gddsi.com:9443/ccm/web/projects/MUOS%20SAFe%204.0%20Project" TargetMode="External"/><Relationship Id="rId126" Type="http://schemas.openxmlformats.org/officeDocument/2006/relationships/hyperlink" Target="https://gdccm01.gddsi.com:9443/ccm/web/projects/MUOS%20SAFe%204.0%20Project" TargetMode="External"/><Relationship Id="rId134" Type="http://schemas.openxmlformats.org/officeDocument/2006/relationships/ctrlProp" Target="../ctrlProps/ctrlProp3.xml"/><Relationship Id="rId8" Type="http://schemas.openxmlformats.org/officeDocument/2006/relationships/hyperlink" Target="https://gdccm01.gddsi.com:9443/ccm/web/projects/MUOS%20SAFe%204.0%20Project" TargetMode="External"/><Relationship Id="rId51" Type="http://schemas.openxmlformats.org/officeDocument/2006/relationships/hyperlink" Target="https://gdccm01.gddsi.com:9443/ccm/web/projects/MUOS%20SAFe%204.0%20Project" TargetMode="External"/><Relationship Id="rId72" Type="http://schemas.openxmlformats.org/officeDocument/2006/relationships/hyperlink" Target="https://gdccm01.gddsi.com:9443/ccm/web/projects/MUOS%20SAFe%204.0%20Project" TargetMode="External"/><Relationship Id="rId80" Type="http://schemas.openxmlformats.org/officeDocument/2006/relationships/hyperlink" Target="https://gdccm01.gddsi.com:9443/ccm/web/projects/MUOS%20SAFe%204.0%20Project" TargetMode="External"/><Relationship Id="rId85" Type="http://schemas.openxmlformats.org/officeDocument/2006/relationships/hyperlink" Target="https://gdccm01.gddsi.com:9443/ccm/web/projects/MUOS%20SAFe%204.0%20Project" TargetMode="External"/><Relationship Id="rId93" Type="http://schemas.openxmlformats.org/officeDocument/2006/relationships/hyperlink" Target="https://gdccm01.gddsi.com:9443/ccm/web/projects/MUOS%20SAFe%204.0%20Project" TargetMode="External"/><Relationship Id="rId98" Type="http://schemas.openxmlformats.org/officeDocument/2006/relationships/hyperlink" Target="https://gdccm01.gddsi.com:9443/ccm/web/projects/MUOS%20SAFe%204.0%20Project" TargetMode="External"/><Relationship Id="rId121" Type="http://schemas.openxmlformats.org/officeDocument/2006/relationships/hyperlink" Target="https://gdccm01.gddsi.com:9443/ccm/web/projects/MUOS%20SAFe%204.0%20Project" TargetMode="External"/><Relationship Id="rId3" Type="http://schemas.openxmlformats.org/officeDocument/2006/relationships/hyperlink" Target="https://gdccm01.gddsi.com:9443/ccm/web/projects/MUOS%20SAFe%204.0%20Project" TargetMode="External"/><Relationship Id="rId12" Type="http://schemas.openxmlformats.org/officeDocument/2006/relationships/hyperlink" Target="https://gdccm01.gddsi.com:9443/ccm/web/projects/MUOS%20SAFe%204.0%20Project" TargetMode="External"/><Relationship Id="rId17" Type="http://schemas.openxmlformats.org/officeDocument/2006/relationships/hyperlink" Target="https://gdccm01.gddsi.com:9443/ccm/web/projects/MUOS%20SAFe%204.0%20Project" TargetMode="External"/><Relationship Id="rId25" Type="http://schemas.openxmlformats.org/officeDocument/2006/relationships/hyperlink" Target="https://gdccm01.gddsi.com:9443/ccm/web/projects/MUOS%20SAFe%204.0%20Project" TargetMode="External"/><Relationship Id="rId33" Type="http://schemas.openxmlformats.org/officeDocument/2006/relationships/hyperlink" Target="https://gdccm01.gddsi.com:9443/ccm/web/projects/MUOS%20SAFe%204.0%20Project" TargetMode="External"/><Relationship Id="rId38" Type="http://schemas.openxmlformats.org/officeDocument/2006/relationships/hyperlink" Target="https://gdccm01.gddsi.com:9443/ccm/web/projects/MUOS%20SAFe%204.0%20Project" TargetMode="External"/><Relationship Id="rId46" Type="http://schemas.openxmlformats.org/officeDocument/2006/relationships/hyperlink" Target="https://gdccm01.gddsi.com:9443/ccm/web/projects/MUOS%20SAFe%204.0%20Project" TargetMode="External"/><Relationship Id="rId59" Type="http://schemas.openxmlformats.org/officeDocument/2006/relationships/hyperlink" Target="https://gdccm01.gddsi.com:9443/ccm/web/projects/MUOS%20SAFe%204.0%20Project" TargetMode="External"/><Relationship Id="rId67" Type="http://schemas.openxmlformats.org/officeDocument/2006/relationships/hyperlink" Target="https://gdccm01.gddsi.com:9443/ccm/web/projects/MUOS%20SAFe%204.0%20Project" TargetMode="External"/><Relationship Id="rId103" Type="http://schemas.openxmlformats.org/officeDocument/2006/relationships/hyperlink" Target="https://gdccm01.gddsi.com:9443/ccm/web/projects/MUOS%20SAFe%204.0%20Project" TargetMode="External"/><Relationship Id="rId108" Type="http://schemas.openxmlformats.org/officeDocument/2006/relationships/hyperlink" Target="https://gdccm01.gddsi.com:9443/ccm/web/projects/MUOS%20SAFe%204.0%20Project" TargetMode="External"/><Relationship Id="rId116" Type="http://schemas.openxmlformats.org/officeDocument/2006/relationships/hyperlink" Target="https://gdccm01.gddsi.com:9443/ccm/web/projects/MUOS%20SAFe%204.0%20Project" TargetMode="External"/><Relationship Id="rId124" Type="http://schemas.openxmlformats.org/officeDocument/2006/relationships/hyperlink" Target="https://gdccm01.gddsi.com:9443/ccm/web/projects/MUOS%20SAFe%204.0%20Project" TargetMode="External"/><Relationship Id="rId129" Type="http://schemas.openxmlformats.org/officeDocument/2006/relationships/printerSettings" Target="../printerSettings/printerSettings1.bin"/><Relationship Id="rId20" Type="http://schemas.openxmlformats.org/officeDocument/2006/relationships/hyperlink" Target="https://gdccm01.gddsi.com:9443/ccm/web/projects/MUOS%20SAFe%204.0%20Project" TargetMode="External"/><Relationship Id="rId41" Type="http://schemas.openxmlformats.org/officeDocument/2006/relationships/hyperlink" Target="https://gdccm01.gddsi.com:9443/ccm/web/projects/MUOS%20SAFe%204.0%20Project" TargetMode="External"/><Relationship Id="rId54" Type="http://schemas.openxmlformats.org/officeDocument/2006/relationships/hyperlink" Target="https://gdccm01.gddsi.com:9443/ccm/web/projects/MUOS%20SAFe%204.0%20Project" TargetMode="External"/><Relationship Id="rId62" Type="http://schemas.openxmlformats.org/officeDocument/2006/relationships/hyperlink" Target="https://gdccm01.gddsi.com:9443/ccm/web/projects/MUOS%20SAFe%204.0%20Project" TargetMode="External"/><Relationship Id="rId70" Type="http://schemas.openxmlformats.org/officeDocument/2006/relationships/hyperlink" Target="https://gdccm01.gddsi.com:9443/ccm/web/projects/MUOS%20SAFe%204.0%20Project" TargetMode="External"/><Relationship Id="rId75" Type="http://schemas.openxmlformats.org/officeDocument/2006/relationships/hyperlink" Target="https://gdccm01.gddsi.com:9443/ccm/web/projects/MUOS%20SAFe%204.0%20Project" TargetMode="External"/><Relationship Id="rId83" Type="http://schemas.openxmlformats.org/officeDocument/2006/relationships/hyperlink" Target="https://gdccm01.gddsi.com:9443/ccm/web/projects/MUOS%20SAFe%204.0%20Project" TargetMode="External"/><Relationship Id="rId88" Type="http://schemas.openxmlformats.org/officeDocument/2006/relationships/hyperlink" Target="https://gdccm01.gddsi.com:9443/ccm/web/projects/MUOS%20SAFe%204.0%20Project" TargetMode="External"/><Relationship Id="rId91" Type="http://schemas.openxmlformats.org/officeDocument/2006/relationships/hyperlink" Target="https://gdccm01.gddsi.com:9443/ccm/web/projects/MUOS%20SAFe%204.0%20Project" TargetMode="External"/><Relationship Id="rId96" Type="http://schemas.openxmlformats.org/officeDocument/2006/relationships/hyperlink" Target="https://gdccm01.gddsi.com:9443/ccm/web/projects/MUOS%20SAFe%204.0%20Project" TargetMode="External"/><Relationship Id="rId111" Type="http://schemas.openxmlformats.org/officeDocument/2006/relationships/hyperlink" Target="https://gdccm01.gddsi.com:9443/ccm/web/projects/MUOS%20SAFe%204.0%20Project" TargetMode="External"/><Relationship Id="rId132" Type="http://schemas.openxmlformats.org/officeDocument/2006/relationships/ctrlProp" Target="../ctrlProps/ctrlProp1.xml"/><Relationship Id="rId1" Type="http://schemas.openxmlformats.org/officeDocument/2006/relationships/hyperlink" Target="https://gdccm01.gddsi.com:9443/ccm/web/projects/MUOS%20SAFe%204.0%20Project" TargetMode="External"/><Relationship Id="rId6" Type="http://schemas.openxmlformats.org/officeDocument/2006/relationships/hyperlink" Target="https://gdccm01.gddsi.com:9443/ccm/web/projects/MUOS%20SAFe%204.0%20Project" TargetMode="External"/><Relationship Id="rId15" Type="http://schemas.openxmlformats.org/officeDocument/2006/relationships/hyperlink" Target="https://gdccm01.gddsi.com:9443/ccm/web/projects/MUOS%20SAFe%204.0%20Project" TargetMode="External"/><Relationship Id="rId23" Type="http://schemas.openxmlformats.org/officeDocument/2006/relationships/hyperlink" Target="https://gdccm01.gddsi.com:9443/ccm/web/projects/MUOS%20SAFe%204.0%20Project" TargetMode="External"/><Relationship Id="rId28" Type="http://schemas.openxmlformats.org/officeDocument/2006/relationships/hyperlink" Target="https://gdccm01.gddsi.com:9443/ccm/web/projects/MUOS%20SAFe%204.0%20Project" TargetMode="External"/><Relationship Id="rId36" Type="http://schemas.openxmlformats.org/officeDocument/2006/relationships/hyperlink" Target="https://gdccm01.gddsi.com:9443/ccm/web/projects/MUOS%20SAFe%204.0%20Project" TargetMode="External"/><Relationship Id="rId49" Type="http://schemas.openxmlformats.org/officeDocument/2006/relationships/hyperlink" Target="https://gdccm01.gddsi.com:9443/ccm/web/projects/MUOS%20SAFe%204.0%20Project" TargetMode="External"/><Relationship Id="rId57" Type="http://schemas.openxmlformats.org/officeDocument/2006/relationships/hyperlink" Target="https://gdccm01.gddsi.com:9443/ccm/web/projects/MUOS%20SAFe%204.0%20Project" TargetMode="External"/><Relationship Id="rId106" Type="http://schemas.openxmlformats.org/officeDocument/2006/relationships/hyperlink" Target="https://gdccm01.gddsi.com:9443/ccm/web/projects/MUOS%20SAFe%204.0%20Project" TargetMode="External"/><Relationship Id="rId114" Type="http://schemas.openxmlformats.org/officeDocument/2006/relationships/hyperlink" Target="https://gdccm01.gddsi.com:9443/ccm/web/projects/MUOS%20SAFe%204.0%20Project" TargetMode="External"/><Relationship Id="rId119" Type="http://schemas.openxmlformats.org/officeDocument/2006/relationships/hyperlink" Target="https://gdccm01.gddsi.com:9443/ccm/web/projects/MUOS%20SAFe%204.0%20Project" TargetMode="External"/><Relationship Id="rId127" Type="http://schemas.openxmlformats.org/officeDocument/2006/relationships/hyperlink" Target="https://gdccm01.gddsi.com:9443/ccm/web/projects/MUOS%20SAFe%204.0%20Project" TargetMode="External"/><Relationship Id="rId10" Type="http://schemas.openxmlformats.org/officeDocument/2006/relationships/hyperlink" Target="https://gdccm01.gddsi.com:9443/ccm/web/projects/MUOS%20SAFe%204.0%20Project" TargetMode="External"/><Relationship Id="rId31" Type="http://schemas.openxmlformats.org/officeDocument/2006/relationships/hyperlink" Target="https://gdccm01.gddsi.com:9443/ccm/web/projects/MUOS%20SAFe%204.0%20Project" TargetMode="External"/><Relationship Id="rId44" Type="http://schemas.openxmlformats.org/officeDocument/2006/relationships/hyperlink" Target="https://gdccm01.gddsi.com:9443/ccm/web/projects/MUOS%20SAFe%204.0%20Project" TargetMode="External"/><Relationship Id="rId52" Type="http://schemas.openxmlformats.org/officeDocument/2006/relationships/hyperlink" Target="https://gdccm01.gddsi.com:9443/ccm/web/projects/MUOS%20SAFe%204.0%20Project" TargetMode="External"/><Relationship Id="rId60" Type="http://schemas.openxmlformats.org/officeDocument/2006/relationships/hyperlink" Target="https://gdccm01.gddsi.com:9443/ccm/web/projects/MUOS%20SAFe%204.0%20Project" TargetMode="External"/><Relationship Id="rId65" Type="http://schemas.openxmlformats.org/officeDocument/2006/relationships/hyperlink" Target="https://gdccm01.gddsi.com:9443/ccm/web/projects/MUOS%20SAFe%204.0%20Project" TargetMode="External"/><Relationship Id="rId73" Type="http://schemas.openxmlformats.org/officeDocument/2006/relationships/hyperlink" Target="https://gdccm01.gddsi.com:9443/ccm/web/projects/MUOS%20SAFe%204.0%20Project" TargetMode="External"/><Relationship Id="rId78" Type="http://schemas.openxmlformats.org/officeDocument/2006/relationships/hyperlink" Target="https://gdccm01.gddsi.com:9443/ccm/web/projects/MUOS%20SAFe%204.0%20Project" TargetMode="External"/><Relationship Id="rId81" Type="http://schemas.openxmlformats.org/officeDocument/2006/relationships/hyperlink" Target="https://gdccm01.gddsi.com:9443/ccm/web/projects/MUOS%20SAFe%204.0%20Project" TargetMode="External"/><Relationship Id="rId86" Type="http://schemas.openxmlformats.org/officeDocument/2006/relationships/hyperlink" Target="https://gdccm01.gddsi.com:9443/ccm/web/projects/MUOS%20SAFe%204.0%20Project" TargetMode="External"/><Relationship Id="rId94" Type="http://schemas.openxmlformats.org/officeDocument/2006/relationships/hyperlink" Target="https://gdccm01.gddsi.com:9443/ccm/web/projects/MUOS%20SAFe%204.0%20Project" TargetMode="External"/><Relationship Id="rId99" Type="http://schemas.openxmlformats.org/officeDocument/2006/relationships/hyperlink" Target="https://gdccm01.gddsi.com:9443/ccm/web/projects/MUOS%20SAFe%204.0%20Project" TargetMode="External"/><Relationship Id="rId101" Type="http://schemas.openxmlformats.org/officeDocument/2006/relationships/hyperlink" Target="https://gdccm01.gddsi.com:9443/ccm/web/projects/MUOS%20SAFe%204.0%20Project" TargetMode="External"/><Relationship Id="rId122" Type="http://schemas.openxmlformats.org/officeDocument/2006/relationships/hyperlink" Target="https://gdccm01.gddsi.com:9443/ccm/web/projects/MUOS%20SAFe%204.0%20Project" TargetMode="External"/><Relationship Id="rId130" Type="http://schemas.openxmlformats.org/officeDocument/2006/relationships/drawing" Target="../drawings/drawing1.xml"/><Relationship Id="rId135" Type="http://schemas.openxmlformats.org/officeDocument/2006/relationships/ctrlProp" Target="../ctrlProps/ctrlProp4.xml"/><Relationship Id="rId4" Type="http://schemas.openxmlformats.org/officeDocument/2006/relationships/hyperlink" Target="https://gdccm01.gddsi.com:9443/ccm/web/projects/MUOS%20SAFe%204.0%20Project" TargetMode="External"/><Relationship Id="rId9" Type="http://schemas.openxmlformats.org/officeDocument/2006/relationships/hyperlink" Target="https://gdccm01.gddsi.com:9443/ccm/web/projects/MUOS%20SAFe%204.0%20Project" TargetMode="External"/><Relationship Id="rId13" Type="http://schemas.openxmlformats.org/officeDocument/2006/relationships/hyperlink" Target="https://gdccm01.gddsi.com:9443/ccm/web/projects/MUOS%20SAFe%204.0%20Project" TargetMode="External"/><Relationship Id="rId18" Type="http://schemas.openxmlformats.org/officeDocument/2006/relationships/hyperlink" Target="https://gdccm01.gddsi.com:9443/ccm/web/projects/MUOS%20SAFe%204.0%20Project" TargetMode="External"/><Relationship Id="rId39" Type="http://schemas.openxmlformats.org/officeDocument/2006/relationships/hyperlink" Target="https://gdccm01.gddsi.com:9443/ccm/web/projects/MUOS%20SAFe%204.0%20Project" TargetMode="External"/><Relationship Id="rId109" Type="http://schemas.openxmlformats.org/officeDocument/2006/relationships/hyperlink" Target="https://gdccm01.gddsi.com:9443/ccm/web/projects/MUOS%20SAFe%204.0%20Project" TargetMode="External"/><Relationship Id="rId34" Type="http://schemas.openxmlformats.org/officeDocument/2006/relationships/hyperlink" Target="https://gdccm01.gddsi.com:9443/ccm/web/projects/MUOS%20SAFe%204.0%20Project" TargetMode="External"/><Relationship Id="rId50" Type="http://schemas.openxmlformats.org/officeDocument/2006/relationships/hyperlink" Target="https://gdccm01.gddsi.com:9443/ccm/web/projects/MUOS%20SAFe%204.0%20Project" TargetMode="External"/><Relationship Id="rId55" Type="http://schemas.openxmlformats.org/officeDocument/2006/relationships/hyperlink" Target="https://gdccm01.gddsi.com:9443/ccm/web/projects/MUOS%20SAFe%204.0%20Project" TargetMode="External"/><Relationship Id="rId76" Type="http://schemas.openxmlformats.org/officeDocument/2006/relationships/hyperlink" Target="https://gdccm01.gddsi.com:9443/ccm/web/projects/MUOS%20SAFe%204.0%20Project" TargetMode="External"/><Relationship Id="rId97" Type="http://schemas.openxmlformats.org/officeDocument/2006/relationships/hyperlink" Target="https://gdccm01.gddsi.com:9443/ccm/web/projects/MUOS%20SAFe%204.0%20Project" TargetMode="External"/><Relationship Id="rId104" Type="http://schemas.openxmlformats.org/officeDocument/2006/relationships/hyperlink" Target="https://gdccm01.gddsi.com:9443/ccm/web/projects/MUOS%20SAFe%204.0%20Project" TargetMode="External"/><Relationship Id="rId120" Type="http://schemas.openxmlformats.org/officeDocument/2006/relationships/hyperlink" Target="https://gdccm01.gddsi.com:9443/ccm/web/projects/MUOS%20SAFe%204.0%20Project" TargetMode="External"/><Relationship Id="rId125" Type="http://schemas.openxmlformats.org/officeDocument/2006/relationships/hyperlink" Target="https://gdccm01.gddsi.com:9443/ccm/web/projects/MUOS%20SAFe%204.0%20Project" TargetMode="External"/><Relationship Id="rId7" Type="http://schemas.openxmlformats.org/officeDocument/2006/relationships/hyperlink" Target="https://gdccm01.gddsi.com:9443/ccm/web/projects/MUOS%20SAFe%204.0%20Project" TargetMode="External"/><Relationship Id="rId71" Type="http://schemas.openxmlformats.org/officeDocument/2006/relationships/hyperlink" Target="https://gdccm01.gddsi.com:9443/ccm/web/projects/MUOS%20SAFe%204.0%20Project" TargetMode="External"/><Relationship Id="rId92" Type="http://schemas.openxmlformats.org/officeDocument/2006/relationships/hyperlink" Target="https://gdccm01.gddsi.com:9443/ccm/web/projects/MUOS%20SAFe%204.0%20Project" TargetMode="External"/><Relationship Id="rId2" Type="http://schemas.openxmlformats.org/officeDocument/2006/relationships/hyperlink" Target="https://gdccm01.gddsi.com:9443/ccm/web/projects/MUOS%20SAFe%204.0%20Project" TargetMode="External"/><Relationship Id="rId29" Type="http://schemas.openxmlformats.org/officeDocument/2006/relationships/hyperlink" Target="https://gdccm01.gddsi.com:9443/ccm/web/projects/MUOS%20SAFe%204.0%20Project" TargetMode="External"/><Relationship Id="rId24" Type="http://schemas.openxmlformats.org/officeDocument/2006/relationships/hyperlink" Target="https://gdccm01.gddsi.com:9443/ccm/web/projects/MUOS%20SAFe%204.0%20Project" TargetMode="External"/><Relationship Id="rId40" Type="http://schemas.openxmlformats.org/officeDocument/2006/relationships/hyperlink" Target="https://gdccm01.gddsi.com:9443/ccm/web/projects/MUOS%20SAFe%204.0%20Project" TargetMode="External"/><Relationship Id="rId45" Type="http://schemas.openxmlformats.org/officeDocument/2006/relationships/hyperlink" Target="https://gdccm01.gddsi.com:9443/ccm/web/projects/MUOS%20SAFe%204.0%20Project" TargetMode="External"/><Relationship Id="rId66" Type="http://schemas.openxmlformats.org/officeDocument/2006/relationships/hyperlink" Target="https://gdccm01.gddsi.com:9443/ccm/web/projects/MUOS%20SAFe%204.0%20Project" TargetMode="External"/><Relationship Id="rId87" Type="http://schemas.openxmlformats.org/officeDocument/2006/relationships/hyperlink" Target="https://gdccm01.gddsi.com:9443/ccm/web/projects/MUOS%20SAFe%204.0%20Project" TargetMode="External"/><Relationship Id="rId110" Type="http://schemas.openxmlformats.org/officeDocument/2006/relationships/hyperlink" Target="https://gdccm01.gddsi.com:9443/ccm/web/projects/MUOS%20SAFe%204.0%20Project" TargetMode="External"/><Relationship Id="rId115" Type="http://schemas.openxmlformats.org/officeDocument/2006/relationships/hyperlink" Target="https://gdccm01.gddsi.com:9443/ccm/web/projects/MUOS%20SAFe%204.0%20Project" TargetMode="External"/><Relationship Id="rId131" Type="http://schemas.openxmlformats.org/officeDocument/2006/relationships/vmlDrawing" Target="../drawings/vmlDrawing1.vml"/><Relationship Id="rId136" Type="http://schemas.openxmlformats.org/officeDocument/2006/relationships/comments" Target="../comments1.xml"/><Relationship Id="rId61" Type="http://schemas.openxmlformats.org/officeDocument/2006/relationships/hyperlink" Target="https://gdccm01.gddsi.com:9443/ccm/web/projects/MUOS%20SAFe%204.0%20Project" TargetMode="External"/><Relationship Id="rId82" Type="http://schemas.openxmlformats.org/officeDocument/2006/relationships/hyperlink" Target="https://gdccm01.gddsi.com:9443/ccm/web/projects/MUOS%20SAFe%204.0%20Project" TargetMode="External"/><Relationship Id="rId19" Type="http://schemas.openxmlformats.org/officeDocument/2006/relationships/hyperlink" Target="https://gdccm01.gddsi.com:9443/ccm/web/projects/MUOS%20SAFe%204.0%20Project"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https://gdccm01.gddsi.com:9443/ccm/web/projects/MUOS%20SAFe%204.0%20Project" TargetMode="External"/><Relationship Id="rId117" Type="http://schemas.openxmlformats.org/officeDocument/2006/relationships/hyperlink" Target="https://gdccm01.gddsi.com:9443/ccm/web/projects/MUOS%20SAFe%204.0%20Project" TargetMode="External"/><Relationship Id="rId21" Type="http://schemas.openxmlformats.org/officeDocument/2006/relationships/hyperlink" Target="https://gdccm01.gddsi.com:9443/ccm/web/projects/MUOS%20SAFe%204.0%20Project" TargetMode="External"/><Relationship Id="rId42" Type="http://schemas.openxmlformats.org/officeDocument/2006/relationships/hyperlink" Target="https://gdccm01.gddsi.com:9443/ccm/web/projects/MUOS%20SAFe%204.0%20Project" TargetMode="External"/><Relationship Id="rId47" Type="http://schemas.openxmlformats.org/officeDocument/2006/relationships/hyperlink" Target="https://gdccm01.gddsi.com:9443/ccm/web/projects/MUOS%20SAFe%204.0%20Project" TargetMode="External"/><Relationship Id="rId63" Type="http://schemas.openxmlformats.org/officeDocument/2006/relationships/hyperlink" Target="https://gdccm01.gddsi.com:9443/ccm/web/projects/MUOS%20SAFe%204.0%20Project" TargetMode="External"/><Relationship Id="rId68" Type="http://schemas.openxmlformats.org/officeDocument/2006/relationships/hyperlink" Target="https://gdccm01.gddsi.com:9443/ccm/web/projects/MUOS%20SAFe%204.0%20Project" TargetMode="External"/><Relationship Id="rId84" Type="http://schemas.openxmlformats.org/officeDocument/2006/relationships/hyperlink" Target="https://gdccm01.gddsi.com:9443/ccm/web/projects/MUOS%20SAFe%204.0%20Project" TargetMode="External"/><Relationship Id="rId89" Type="http://schemas.openxmlformats.org/officeDocument/2006/relationships/hyperlink" Target="https://gdccm01.gddsi.com:9443/ccm/web/projects/MUOS%20SAFe%204.0%20Project" TargetMode="External"/><Relationship Id="rId112" Type="http://schemas.openxmlformats.org/officeDocument/2006/relationships/hyperlink" Target="https://gdccm01.gddsi.com:9443/ccm/web/projects/MUOS%20SAFe%204.0%20Project" TargetMode="External"/><Relationship Id="rId133" Type="http://schemas.openxmlformats.org/officeDocument/2006/relationships/hyperlink" Target="https://gdccm01.gddsi.com:9443/ccm/web/projects/MUOS%20SAFe%204.0%20Project" TargetMode="External"/><Relationship Id="rId138" Type="http://schemas.openxmlformats.org/officeDocument/2006/relationships/hyperlink" Target="https://gdccm01.gddsi.com:9443/ccm/web/projects/MUOS%20SAFe%204.0%20Project" TargetMode="External"/><Relationship Id="rId154" Type="http://schemas.openxmlformats.org/officeDocument/2006/relationships/hyperlink" Target="https://gdccm01.gddsi.com:9443/ccm/web/projects/MUOS%20SAFe%204.0%20Project" TargetMode="External"/><Relationship Id="rId159" Type="http://schemas.openxmlformats.org/officeDocument/2006/relationships/hyperlink" Target="https://gdccm01.gddsi.com:9443/ccm/web/projects/MUOS%20SAFe%204.0%20Project" TargetMode="External"/><Relationship Id="rId16" Type="http://schemas.openxmlformats.org/officeDocument/2006/relationships/hyperlink" Target="https://gdccm01.gddsi.com:9443/ccm/web/projects/MUOS%20SAFe%204.0%20Project" TargetMode="External"/><Relationship Id="rId107" Type="http://schemas.openxmlformats.org/officeDocument/2006/relationships/hyperlink" Target="https://gdccm01.gddsi.com:9443/ccm/web/projects/MUOS%20SAFe%204.0%20Project" TargetMode="External"/><Relationship Id="rId11" Type="http://schemas.openxmlformats.org/officeDocument/2006/relationships/hyperlink" Target="https://gdccm01.gddsi.com:9443/ccm/web/projects/MUOS%20SAFe%204.0%20Project" TargetMode="External"/><Relationship Id="rId32" Type="http://schemas.openxmlformats.org/officeDocument/2006/relationships/hyperlink" Target="https://gdccm01.gddsi.com:9443/ccm/web/projects/MUOS%20SAFe%204.0%20Project" TargetMode="External"/><Relationship Id="rId37" Type="http://schemas.openxmlformats.org/officeDocument/2006/relationships/hyperlink" Target="https://gdccm01.gddsi.com:9443/ccm/web/projects/MUOS%20SAFe%204.0%20Project" TargetMode="External"/><Relationship Id="rId53" Type="http://schemas.openxmlformats.org/officeDocument/2006/relationships/hyperlink" Target="https://gdccm01.gddsi.com:9443/ccm/web/projects/MUOS%20SAFe%204.0%20Project" TargetMode="External"/><Relationship Id="rId58" Type="http://schemas.openxmlformats.org/officeDocument/2006/relationships/hyperlink" Target="https://gdccm01.gddsi.com:9443/ccm/web/projects/MUOS%20SAFe%204.0%20Project" TargetMode="External"/><Relationship Id="rId74" Type="http://schemas.openxmlformats.org/officeDocument/2006/relationships/hyperlink" Target="https://gdccm01.gddsi.com:9443/ccm/web/projects/MUOS%20SAFe%204.0%20Project" TargetMode="External"/><Relationship Id="rId79" Type="http://schemas.openxmlformats.org/officeDocument/2006/relationships/hyperlink" Target="https://gdccm01.gddsi.com:9443/ccm/web/projects/MUOS%20SAFe%204.0%20Project" TargetMode="External"/><Relationship Id="rId102" Type="http://schemas.openxmlformats.org/officeDocument/2006/relationships/hyperlink" Target="https://gdccm01.gddsi.com:9443/ccm/web/projects/MUOS%20SAFe%204.0%20Project" TargetMode="External"/><Relationship Id="rId123" Type="http://schemas.openxmlformats.org/officeDocument/2006/relationships/hyperlink" Target="https://gdccm01.gddsi.com:9443/ccm/web/projects/MUOS%20SAFe%204.0%20Project" TargetMode="External"/><Relationship Id="rId128" Type="http://schemas.openxmlformats.org/officeDocument/2006/relationships/hyperlink" Target="https://gdccm01.gddsi.com:9443/ccm/web/projects/MUOS%20SAFe%204.0%20Project" TargetMode="External"/><Relationship Id="rId144" Type="http://schemas.openxmlformats.org/officeDocument/2006/relationships/hyperlink" Target="https://gdccm01.gddsi.com:9443/ccm/web/projects/MUOS%20SAFe%204.0%20Project" TargetMode="External"/><Relationship Id="rId149" Type="http://schemas.openxmlformats.org/officeDocument/2006/relationships/hyperlink" Target="https://gdccm01.gddsi.com:9443/ccm/web/projects/MUOS%20SAFe%204.0%20Project" TargetMode="External"/><Relationship Id="rId5" Type="http://schemas.openxmlformats.org/officeDocument/2006/relationships/hyperlink" Target="https://gdccm01.gddsi.com:9443/ccm/web/projects/MUOS%20SAFe%204.0%20Project" TargetMode="External"/><Relationship Id="rId90" Type="http://schemas.openxmlformats.org/officeDocument/2006/relationships/hyperlink" Target="https://gdccm01.gddsi.com:9443/ccm/web/projects/MUOS%20SAFe%204.0%20Project" TargetMode="External"/><Relationship Id="rId95" Type="http://schemas.openxmlformats.org/officeDocument/2006/relationships/hyperlink" Target="https://gdccm01.gddsi.com:9443/ccm/web/projects/MUOS%20SAFe%204.0%20Project" TargetMode="External"/><Relationship Id="rId160" Type="http://schemas.openxmlformats.org/officeDocument/2006/relationships/hyperlink" Target="https://gdccm01.gddsi.com:9443/ccm/web/projects/MUOS%20SAFe%204.0%20Project" TargetMode="External"/><Relationship Id="rId165" Type="http://schemas.openxmlformats.org/officeDocument/2006/relationships/ctrlProp" Target="../ctrlProps/ctrlProp8.xml"/><Relationship Id="rId22" Type="http://schemas.openxmlformats.org/officeDocument/2006/relationships/hyperlink" Target="https://gdccm01.gddsi.com:9443/ccm/web/projects/MUOS%20SAFe%204.0%20Project" TargetMode="External"/><Relationship Id="rId27" Type="http://schemas.openxmlformats.org/officeDocument/2006/relationships/hyperlink" Target="https://gdccm01.gddsi.com:9443/ccm/web/projects/MUOS%20SAFe%204.0%20Project" TargetMode="External"/><Relationship Id="rId43" Type="http://schemas.openxmlformats.org/officeDocument/2006/relationships/hyperlink" Target="https://gdccm01.gddsi.com:9443/ccm/web/projects/MUOS%20SAFe%204.0%20Project" TargetMode="External"/><Relationship Id="rId48" Type="http://schemas.openxmlformats.org/officeDocument/2006/relationships/hyperlink" Target="https://gdccm01.gddsi.com:9443/ccm/web/projects/MUOS%20SAFe%204.0%20Project" TargetMode="External"/><Relationship Id="rId64" Type="http://schemas.openxmlformats.org/officeDocument/2006/relationships/hyperlink" Target="https://gdccm01.gddsi.com:9443/ccm/web/projects/MUOS%20SAFe%204.0%20Project" TargetMode="External"/><Relationship Id="rId69" Type="http://schemas.openxmlformats.org/officeDocument/2006/relationships/hyperlink" Target="https://gdccm01.gddsi.com:9443/ccm/web/projects/MUOS%20SAFe%204.0%20Project" TargetMode="External"/><Relationship Id="rId113" Type="http://schemas.openxmlformats.org/officeDocument/2006/relationships/hyperlink" Target="https://gdccm01.gddsi.com:9443/ccm/web/projects/MUOS%20SAFe%204.0%20Project" TargetMode="External"/><Relationship Id="rId118" Type="http://schemas.openxmlformats.org/officeDocument/2006/relationships/hyperlink" Target="https://gdccm01.gddsi.com:9443/ccm/web/projects/MUOS%20SAFe%204.0%20Project" TargetMode="External"/><Relationship Id="rId134" Type="http://schemas.openxmlformats.org/officeDocument/2006/relationships/hyperlink" Target="https://gdccm01.gddsi.com:9443/ccm/web/projects/MUOS%20SAFe%204.0%20Project" TargetMode="External"/><Relationship Id="rId139" Type="http://schemas.openxmlformats.org/officeDocument/2006/relationships/hyperlink" Target="https://gdccm01.gddsi.com:9443/ccm/web/projects/MUOS%20SAFe%204.0%20Project" TargetMode="External"/><Relationship Id="rId80" Type="http://schemas.openxmlformats.org/officeDocument/2006/relationships/hyperlink" Target="https://gdccm01.gddsi.com:9443/ccm/web/projects/MUOS%20SAFe%204.0%20Project" TargetMode="External"/><Relationship Id="rId85" Type="http://schemas.openxmlformats.org/officeDocument/2006/relationships/hyperlink" Target="https://gdccm01.gddsi.com:9443/ccm/web/projects/MUOS%20SAFe%204.0%20Project" TargetMode="External"/><Relationship Id="rId150" Type="http://schemas.openxmlformats.org/officeDocument/2006/relationships/hyperlink" Target="https://gdccm01.gddsi.com:9443/ccm/web/projects/MUOS%20SAFe%204.0%20Project" TargetMode="External"/><Relationship Id="rId155" Type="http://schemas.openxmlformats.org/officeDocument/2006/relationships/hyperlink" Target="https://gdccm01.gddsi.com:9443/ccm/web/projects/MUOS%20SAFe%204.0%20Project" TargetMode="External"/><Relationship Id="rId12" Type="http://schemas.openxmlformats.org/officeDocument/2006/relationships/hyperlink" Target="https://gdccm01.gddsi.com:9443/ccm/web/projects/MUOS%20SAFe%204.0%20Project" TargetMode="External"/><Relationship Id="rId17" Type="http://schemas.openxmlformats.org/officeDocument/2006/relationships/hyperlink" Target="https://gdccm01.gddsi.com:9443/ccm/web/projects/MUOS%20SAFe%204.0%20Project" TargetMode="External"/><Relationship Id="rId33" Type="http://schemas.openxmlformats.org/officeDocument/2006/relationships/hyperlink" Target="https://gdccm01.gddsi.com:9443/ccm/web/projects/MUOS%20SAFe%204.0%20Project" TargetMode="External"/><Relationship Id="rId38" Type="http://schemas.openxmlformats.org/officeDocument/2006/relationships/hyperlink" Target="https://gdccm01.gddsi.com:9443/ccm/web/projects/MUOS%20SAFe%204.0%20Project" TargetMode="External"/><Relationship Id="rId59" Type="http://schemas.openxmlformats.org/officeDocument/2006/relationships/hyperlink" Target="https://gdccm01.gddsi.com:9443/ccm/web/projects/MUOS%20SAFe%204.0%20Project" TargetMode="External"/><Relationship Id="rId103" Type="http://schemas.openxmlformats.org/officeDocument/2006/relationships/hyperlink" Target="https://gdccm01.gddsi.com:9443/ccm/web/projects/MUOS%20SAFe%204.0%20Project" TargetMode="External"/><Relationship Id="rId108" Type="http://schemas.openxmlformats.org/officeDocument/2006/relationships/hyperlink" Target="https://gdccm01.gddsi.com:9443/ccm/web/projects/MUOS%20SAFe%204.0%20Project" TargetMode="External"/><Relationship Id="rId124" Type="http://schemas.openxmlformats.org/officeDocument/2006/relationships/hyperlink" Target="https://gdccm01.gddsi.com:9443/ccm/web/projects/MUOS%20SAFe%204.0%20Project" TargetMode="External"/><Relationship Id="rId129" Type="http://schemas.openxmlformats.org/officeDocument/2006/relationships/hyperlink" Target="https://gdccm01.gddsi.com:9443/ccm/web/projects/MUOS%20SAFe%204.0%20Project" TargetMode="External"/><Relationship Id="rId54" Type="http://schemas.openxmlformats.org/officeDocument/2006/relationships/hyperlink" Target="https://gdccm01.gddsi.com:9443/ccm/web/projects/MUOS%20SAFe%204.0%20Project" TargetMode="External"/><Relationship Id="rId70" Type="http://schemas.openxmlformats.org/officeDocument/2006/relationships/hyperlink" Target="https://gdccm01.gddsi.com:9443/ccm/web/projects/MUOS%20SAFe%204.0%20Project" TargetMode="External"/><Relationship Id="rId75" Type="http://schemas.openxmlformats.org/officeDocument/2006/relationships/hyperlink" Target="https://gdccm01.gddsi.com:9443/ccm/web/projects/MUOS%20SAFe%204.0%20Project" TargetMode="External"/><Relationship Id="rId91" Type="http://schemas.openxmlformats.org/officeDocument/2006/relationships/hyperlink" Target="https://gdccm01.gddsi.com:9443/ccm/web/projects/MUOS%20SAFe%204.0%20Project" TargetMode="External"/><Relationship Id="rId96" Type="http://schemas.openxmlformats.org/officeDocument/2006/relationships/hyperlink" Target="https://gdccm01.gddsi.com:9443/ccm/web/projects/MUOS%20SAFe%204.0%20Project" TargetMode="External"/><Relationship Id="rId140" Type="http://schemas.openxmlformats.org/officeDocument/2006/relationships/hyperlink" Target="https://gdccm01.gddsi.com:9443/ccm/web/projects/MUOS%20SAFe%204.0%20Project" TargetMode="External"/><Relationship Id="rId145" Type="http://schemas.openxmlformats.org/officeDocument/2006/relationships/hyperlink" Target="https://gdccm01.gddsi.com:9443/ccm/web/projects/MUOS%20SAFe%204.0%20Project" TargetMode="External"/><Relationship Id="rId161" Type="http://schemas.openxmlformats.org/officeDocument/2006/relationships/hyperlink" Target="https://gdccm01.gddsi.com:9443/ccm/web/projects/MUOS%20SAFe%204.0%20Project" TargetMode="External"/><Relationship Id="rId166" Type="http://schemas.openxmlformats.org/officeDocument/2006/relationships/ctrlProp" Target="../ctrlProps/ctrlProp9.xml"/><Relationship Id="rId1" Type="http://schemas.openxmlformats.org/officeDocument/2006/relationships/hyperlink" Target="https://gdccm01.gddsi.com:9443/ccm/web/projects/MUOS%20SAFe%204.0%20Project" TargetMode="External"/><Relationship Id="rId6" Type="http://schemas.openxmlformats.org/officeDocument/2006/relationships/hyperlink" Target="https://gdccm01.gddsi.com:9443/ccm/web/projects/MUOS%20SAFe%204.0%20Project" TargetMode="External"/><Relationship Id="rId15" Type="http://schemas.openxmlformats.org/officeDocument/2006/relationships/hyperlink" Target="https://gdccm01.gddsi.com:9443/ccm/web/projects/MUOS%20SAFe%204.0%20Project" TargetMode="External"/><Relationship Id="rId23" Type="http://schemas.openxmlformats.org/officeDocument/2006/relationships/hyperlink" Target="https://gdccm01.gddsi.com:9443/ccm/web/projects/MUOS%20SAFe%204.0%20Project" TargetMode="External"/><Relationship Id="rId28" Type="http://schemas.openxmlformats.org/officeDocument/2006/relationships/hyperlink" Target="https://gdccm01.gddsi.com:9443/ccm/web/projects/MUOS%20SAFe%204.0%20Project" TargetMode="External"/><Relationship Id="rId36" Type="http://schemas.openxmlformats.org/officeDocument/2006/relationships/hyperlink" Target="https://gdccm01.gddsi.com:9443/ccm/web/projects/MUOS%20SAFe%204.0%20Project" TargetMode="External"/><Relationship Id="rId49" Type="http://schemas.openxmlformats.org/officeDocument/2006/relationships/hyperlink" Target="https://gdccm01.gddsi.com:9443/ccm/web/projects/MUOS%20SAFe%204.0%20Project" TargetMode="External"/><Relationship Id="rId57" Type="http://schemas.openxmlformats.org/officeDocument/2006/relationships/hyperlink" Target="https://gdccm01.gddsi.com:9443/ccm/web/projects/MUOS%20SAFe%204.0%20Project" TargetMode="External"/><Relationship Id="rId106" Type="http://schemas.openxmlformats.org/officeDocument/2006/relationships/hyperlink" Target="https://gdccm01.gddsi.com:9443/ccm/web/projects/MUOS%20SAFe%204.0%20Project" TargetMode="External"/><Relationship Id="rId114" Type="http://schemas.openxmlformats.org/officeDocument/2006/relationships/hyperlink" Target="https://gdccm01.gddsi.com:9443/ccm/web/projects/MUOS%20SAFe%204.0%20Project" TargetMode="External"/><Relationship Id="rId119" Type="http://schemas.openxmlformats.org/officeDocument/2006/relationships/hyperlink" Target="https://gdccm01.gddsi.com:9443/ccm/web/projects/MUOS%20SAFe%204.0%20Project" TargetMode="External"/><Relationship Id="rId127" Type="http://schemas.openxmlformats.org/officeDocument/2006/relationships/hyperlink" Target="https://gdccm01.gddsi.com:9443/ccm/web/projects/MUOS%20SAFe%204.0%20Project" TargetMode="External"/><Relationship Id="rId10" Type="http://schemas.openxmlformats.org/officeDocument/2006/relationships/hyperlink" Target="https://gdccm01.gddsi.com:9443/ccm/web/projects/MUOS%20SAFe%204.0%20Project" TargetMode="External"/><Relationship Id="rId31" Type="http://schemas.openxmlformats.org/officeDocument/2006/relationships/hyperlink" Target="https://gdccm01.gddsi.com:9443/ccm/web/projects/MUOS%20SAFe%204.0%20Project" TargetMode="External"/><Relationship Id="rId44" Type="http://schemas.openxmlformats.org/officeDocument/2006/relationships/hyperlink" Target="https://gdccm01.gddsi.com:9443/ccm/web/projects/MUOS%20SAFe%204.0%20Project" TargetMode="External"/><Relationship Id="rId52" Type="http://schemas.openxmlformats.org/officeDocument/2006/relationships/hyperlink" Target="https://gdccm01.gddsi.com:9443/ccm/web/projects/MUOS%20SAFe%204.0%20Project" TargetMode="External"/><Relationship Id="rId60" Type="http://schemas.openxmlformats.org/officeDocument/2006/relationships/hyperlink" Target="https://gdccm01.gddsi.com:9443/ccm/web/projects/MUOS%20SAFe%204.0%20Project" TargetMode="External"/><Relationship Id="rId65" Type="http://schemas.openxmlformats.org/officeDocument/2006/relationships/hyperlink" Target="https://gdccm01.gddsi.com:9443/ccm/web/projects/MUOS%20SAFe%204.0%20Project" TargetMode="External"/><Relationship Id="rId73" Type="http://schemas.openxmlformats.org/officeDocument/2006/relationships/hyperlink" Target="https://gdccm01.gddsi.com:9443/ccm/web/projects/MUOS%20SAFe%204.0%20Project" TargetMode="External"/><Relationship Id="rId78" Type="http://schemas.openxmlformats.org/officeDocument/2006/relationships/hyperlink" Target="https://gdccm01.gddsi.com:9443/ccm/web/projects/MUOS%20SAFe%204.0%20Project" TargetMode="External"/><Relationship Id="rId81" Type="http://schemas.openxmlformats.org/officeDocument/2006/relationships/hyperlink" Target="https://gdccm01.gddsi.com:9443/ccm/web/projects/MUOS%20SAFe%204.0%20Project" TargetMode="External"/><Relationship Id="rId86" Type="http://schemas.openxmlformats.org/officeDocument/2006/relationships/hyperlink" Target="https://gdccm01.gddsi.com:9443/ccm/web/projects/MUOS%20SAFe%204.0%20Project" TargetMode="External"/><Relationship Id="rId94" Type="http://schemas.openxmlformats.org/officeDocument/2006/relationships/hyperlink" Target="https://gdccm01.gddsi.com:9443/ccm/web/projects/MUOS%20SAFe%204.0%20Project" TargetMode="External"/><Relationship Id="rId99" Type="http://schemas.openxmlformats.org/officeDocument/2006/relationships/hyperlink" Target="https://gdccm01.gddsi.com:9443/ccm/web/projects/MUOS%20SAFe%204.0%20Project" TargetMode="External"/><Relationship Id="rId101" Type="http://schemas.openxmlformats.org/officeDocument/2006/relationships/hyperlink" Target="https://gdccm01.gddsi.com:9443/ccm/web/projects/MUOS%20SAFe%204.0%20Project" TargetMode="External"/><Relationship Id="rId122" Type="http://schemas.openxmlformats.org/officeDocument/2006/relationships/hyperlink" Target="https://gdccm01.gddsi.com:9443/ccm/web/projects/MUOS%20SAFe%204.0%20Project" TargetMode="External"/><Relationship Id="rId130" Type="http://schemas.openxmlformats.org/officeDocument/2006/relationships/hyperlink" Target="https://gdccm01.gddsi.com:9443/ccm/web/projects/MUOS%20SAFe%204.0%20Project" TargetMode="External"/><Relationship Id="rId135" Type="http://schemas.openxmlformats.org/officeDocument/2006/relationships/hyperlink" Target="https://gdccm01.gddsi.com:9443/ccm/web/projects/MUOS%20SAFe%204.0%20Project" TargetMode="External"/><Relationship Id="rId143" Type="http://schemas.openxmlformats.org/officeDocument/2006/relationships/hyperlink" Target="https://gdccm01.gddsi.com:9443/ccm/web/projects/MUOS%20SAFe%204.0%20Project" TargetMode="External"/><Relationship Id="rId148" Type="http://schemas.openxmlformats.org/officeDocument/2006/relationships/hyperlink" Target="https://gdccm01.gddsi.com:9443/ccm/web/projects/MUOS%20SAFe%204.0%20Project" TargetMode="External"/><Relationship Id="rId151" Type="http://schemas.openxmlformats.org/officeDocument/2006/relationships/hyperlink" Target="https://gdccm01.gddsi.com:9443/ccm/web/projects/MUOS%20SAFe%204.0%20Project" TargetMode="External"/><Relationship Id="rId156" Type="http://schemas.openxmlformats.org/officeDocument/2006/relationships/hyperlink" Target="https://gdccm01.gddsi.com:9443/ccm/web/projects/MUOS%20SAFe%204.0%20Project" TargetMode="External"/><Relationship Id="rId164" Type="http://schemas.openxmlformats.org/officeDocument/2006/relationships/vmlDrawing" Target="../drawings/vmlDrawing3.vml"/><Relationship Id="rId4" Type="http://schemas.openxmlformats.org/officeDocument/2006/relationships/hyperlink" Target="https://gdccm01.gddsi.com:9443/ccm/web/projects/MUOS%20SAFe%204.0%20Project" TargetMode="External"/><Relationship Id="rId9" Type="http://schemas.openxmlformats.org/officeDocument/2006/relationships/hyperlink" Target="https://gdccm01.gddsi.com:9443/ccm/web/projects/MUOS%20SAFe%204.0%20Project" TargetMode="External"/><Relationship Id="rId13" Type="http://schemas.openxmlformats.org/officeDocument/2006/relationships/hyperlink" Target="https://gdccm01.gddsi.com:9443/ccm/web/projects/MUOS%20SAFe%204.0%20Project" TargetMode="External"/><Relationship Id="rId18" Type="http://schemas.openxmlformats.org/officeDocument/2006/relationships/hyperlink" Target="https://gdccm01.gddsi.com:9443/ccm/web/projects/MUOS%20SAFe%204.0%20Project" TargetMode="External"/><Relationship Id="rId39" Type="http://schemas.openxmlformats.org/officeDocument/2006/relationships/hyperlink" Target="https://gdccm01.gddsi.com:9443/ccm/web/projects/MUOS%20SAFe%204.0%20Project" TargetMode="External"/><Relationship Id="rId109" Type="http://schemas.openxmlformats.org/officeDocument/2006/relationships/hyperlink" Target="https://gdccm01.gddsi.com:9443/ccm/web/projects/MUOS%20SAFe%204.0%20Project" TargetMode="External"/><Relationship Id="rId34" Type="http://schemas.openxmlformats.org/officeDocument/2006/relationships/hyperlink" Target="https://gdccm01.gddsi.com:9443/ccm/web/projects/MUOS%20SAFe%204.0%20Project" TargetMode="External"/><Relationship Id="rId50" Type="http://schemas.openxmlformats.org/officeDocument/2006/relationships/hyperlink" Target="https://gdccm01.gddsi.com:9443/ccm/web/projects/MUOS%20SAFe%204.0%20Project" TargetMode="External"/><Relationship Id="rId55" Type="http://schemas.openxmlformats.org/officeDocument/2006/relationships/hyperlink" Target="https://gdccm01.gddsi.com:9443/ccm/web/projects/MUOS%20SAFe%204.0%20Project" TargetMode="External"/><Relationship Id="rId76" Type="http://schemas.openxmlformats.org/officeDocument/2006/relationships/hyperlink" Target="https://gdccm01.gddsi.com:9443/ccm/web/projects/MUOS%20SAFe%204.0%20Project" TargetMode="External"/><Relationship Id="rId97" Type="http://schemas.openxmlformats.org/officeDocument/2006/relationships/hyperlink" Target="https://gdccm01.gddsi.com:9443/ccm/web/projects/MUOS%20SAFe%204.0%20Project" TargetMode="External"/><Relationship Id="rId104" Type="http://schemas.openxmlformats.org/officeDocument/2006/relationships/hyperlink" Target="https://gdccm01.gddsi.com:9443/ccm/web/projects/MUOS%20SAFe%204.0%20Project" TargetMode="External"/><Relationship Id="rId120" Type="http://schemas.openxmlformats.org/officeDocument/2006/relationships/hyperlink" Target="https://gdccm01.gddsi.com:9443/ccm/web/projects/MUOS%20SAFe%204.0%20Project" TargetMode="External"/><Relationship Id="rId125" Type="http://schemas.openxmlformats.org/officeDocument/2006/relationships/hyperlink" Target="https://gdccm01.gddsi.com:9443/ccm/web/projects/MUOS%20SAFe%204.0%20Project" TargetMode="External"/><Relationship Id="rId141" Type="http://schemas.openxmlformats.org/officeDocument/2006/relationships/hyperlink" Target="https://gdccm01.gddsi.com:9443/ccm/web/projects/MUOS%20SAFe%204.0%20Project" TargetMode="External"/><Relationship Id="rId146" Type="http://schemas.openxmlformats.org/officeDocument/2006/relationships/hyperlink" Target="https://gdccm01.gddsi.com:9443/ccm/web/projects/MUOS%20SAFe%204.0%20Project" TargetMode="External"/><Relationship Id="rId7" Type="http://schemas.openxmlformats.org/officeDocument/2006/relationships/hyperlink" Target="https://gdccm01.gddsi.com:9443/ccm/web/projects/MUOS%20SAFe%204.0%20Project" TargetMode="External"/><Relationship Id="rId71" Type="http://schemas.openxmlformats.org/officeDocument/2006/relationships/hyperlink" Target="https://gdccm01.gddsi.com:9443/ccm/web/projects/MUOS%20SAFe%204.0%20Project" TargetMode="External"/><Relationship Id="rId92" Type="http://schemas.openxmlformats.org/officeDocument/2006/relationships/hyperlink" Target="https://gdccm01.gddsi.com:9443/ccm/web/projects/MUOS%20SAFe%204.0%20Project" TargetMode="External"/><Relationship Id="rId162" Type="http://schemas.openxmlformats.org/officeDocument/2006/relationships/printerSettings" Target="../printerSettings/printerSettings4.bin"/><Relationship Id="rId2" Type="http://schemas.openxmlformats.org/officeDocument/2006/relationships/hyperlink" Target="https://gdccm01.gddsi.com:9443/ccm/web/projects/MUOS%20SAFe%204.0%20Project" TargetMode="External"/><Relationship Id="rId29" Type="http://schemas.openxmlformats.org/officeDocument/2006/relationships/hyperlink" Target="https://gdccm01.gddsi.com:9443/ccm/web/projects/MUOS%20SAFe%204.0%20Project" TargetMode="External"/><Relationship Id="rId24" Type="http://schemas.openxmlformats.org/officeDocument/2006/relationships/hyperlink" Target="https://gdccm01.gddsi.com:9443/ccm/web/projects/MUOS%20SAFe%204.0%20Project" TargetMode="External"/><Relationship Id="rId40" Type="http://schemas.openxmlformats.org/officeDocument/2006/relationships/hyperlink" Target="https://gdccm01.gddsi.com:9443/ccm/web/projects/MUOS%20SAFe%204.0%20Project" TargetMode="External"/><Relationship Id="rId45" Type="http://schemas.openxmlformats.org/officeDocument/2006/relationships/hyperlink" Target="https://gdccm01.gddsi.com:9443/ccm/web/projects/MUOS%20SAFe%204.0%20Project" TargetMode="External"/><Relationship Id="rId66" Type="http://schemas.openxmlformats.org/officeDocument/2006/relationships/hyperlink" Target="https://gdccm01.gddsi.com:9443/ccm/web/projects/MUOS%20SAFe%204.0%20Project" TargetMode="External"/><Relationship Id="rId87" Type="http://schemas.openxmlformats.org/officeDocument/2006/relationships/hyperlink" Target="https://gdccm01.gddsi.com:9443/ccm/web/projects/MUOS%20SAFe%204.0%20Project" TargetMode="External"/><Relationship Id="rId110" Type="http://schemas.openxmlformats.org/officeDocument/2006/relationships/hyperlink" Target="https://gdccm01.gddsi.com:9443/ccm/web/projects/MUOS%20SAFe%204.0%20Project" TargetMode="External"/><Relationship Id="rId115" Type="http://schemas.openxmlformats.org/officeDocument/2006/relationships/hyperlink" Target="https://gdccm01.gddsi.com:9443/ccm/web/projects/MUOS%20SAFe%204.0%20Project" TargetMode="External"/><Relationship Id="rId131" Type="http://schemas.openxmlformats.org/officeDocument/2006/relationships/hyperlink" Target="https://gdccm01.gddsi.com:9443/ccm/web/projects/MUOS%20SAFe%204.0%20Project" TargetMode="External"/><Relationship Id="rId136" Type="http://schemas.openxmlformats.org/officeDocument/2006/relationships/hyperlink" Target="https://gdccm01.gddsi.com:9443/ccm/web/projects/MUOS%20SAFe%204.0%20Project" TargetMode="External"/><Relationship Id="rId157" Type="http://schemas.openxmlformats.org/officeDocument/2006/relationships/hyperlink" Target="https://gdccm01.gddsi.com:9443/ccm/web/projects/MUOS%20SAFe%204.0%20Project" TargetMode="External"/><Relationship Id="rId61" Type="http://schemas.openxmlformats.org/officeDocument/2006/relationships/hyperlink" Target="https://gdccm01.gddsi.com:9443/ccm/web/projects/MUOS%20SAFe%204.0%20Project" TargetMode="External"/><Relationship Id="rId82" Type="http://schemas.openxmlformats.org/officeDocument/2006/relationships/hyperlink" Target="https://gdccm01.gddsi.com:9443/ccm/web/projects/MUOS%20SAFe%204.0%20Project" TargetMode="External"/><Relationship Id="rId152" Type="http://schemas.openxmlformats.org/officeDocument/2006/relationships/hyperlink" Target="https://gdccm01.gddsi.com:9443/ccm/web/projects/MUOS%20SAFe%204.0%20Project" TargetMode="External"/><Relationship Id="rId19" Type="http://schemas.openxmlformats.org/officeDocument/2006/relationships/hyperlink" Target="https://gdccm01.gddsi.com:9443/ccm/web/projects/MUOS%20SAFe%204.0%20Project" TargetMode="External"/><Relationship Id="rId14" Type="http://schemas.openxmlformats.org/officeDocument/2006/relationships/hyperlink" Target="https://gdccm01.gddsi.com:9443/ccm/web/projects/MUOS%20SAFe%204.0%20Project" TargetMode="External"/><Relationship Id="rId30" Type="http://schemas.openxmlformats.org/officeDocument/2006/relationships/hyperlink" Target="https://gdccm01.gddsi.com:9443/ccm/web/projects/MUOS%20SAFe%204.0%20Project" TargetMode="External"/><Relationship Id="rId35" Type="http://schemas.openxmlformats.org/officeDocument/2006/relationships/hyperlink" Target="https://gdccm01.gddsi.com:9443/ccm/web/projects/MUOS%20SAFe%204.0%20Project" TargetMode="External"/><Relationship Id="rId56" Type="http://schemas.openxmlformats.org/officeDocument/2006/relationships/hyperlink" Target="https://gdccm01.gddsi.com:9443/ccm/web/projects/MUOS%20SAFe%204.0%20Project" TargetMode="External"/><Relationship Id="rId77" Type="http://schemas.openxmlformats.org/officeDocument/2006/relationships/hyperlink" Target="https://gdccm01.gddsi.com:9443/ccm/web/projects/MUOS%20SAFe%204.0%20Project" TargetMode="External"/><Relationship Id="rId100" Type="http://schemas.openxmlformats.org/officeDocument/2006/relationships/hyperlink" Target="https://gdccm01.gddsi.com:9443/ccm/web/projects/MUOS%20SAFe%204.0%20Project" TargetMode="External"/><Relationship Id="rId105" Type="http://schemas.openxmlformats.org/officeDocument/2006/relationships/hyperlink" Target="https://gdccm01.gddsi.com:9443/ccm/web/projects/MUOS%20SAFe%204.0%20Project" TargetMode="External"/><Relationship Id="rId126" Type="http://schemas.openxmlformats.org/officeDocument/2006/relationships/hyperlink" Target="https://gdccm01.gddsi.com:9443/ccm/web/projects/MUOS%20SAFe%204.0%20Project" TargetMode="External"/><Relationship Id="rId147" Type="http://schemas.openxmlformats.org/officeDocument/2006/relationships/hyperlink" Target="https://gdccm01.gddsi.com:9443/ccm/web/projects/MUOS%20SAFe%204.0%20Project" TargetMode="External"/><Relationship Id="rId8" Type="http://schemas.openxmlformats.org/officeDocument/2006/relationships/hyperlink" Target="https://gdccm01.gddsi.com:9443/ccm/web/projects/MUOS%20SAFe%204.0%20Project" TargetMode="External"/><Relationship Id="rId51" Type="http://schemas.openxmlformats.org/officeDocument/2006/relationships/hyperlink" Target="https://gdccm01.gddsi.com:9443/ccm/web/projects/MUOS%20SAFe%204.0%20Project" TargetMode="External"/><Relationship Id="rId72" Type="http://schemas.openxmlformats.org/officeDocument/2006/relationships/hyperlink" Target="https://gdccm01.gddsi.com:9443/ccm/web/projects/MUOS%20SAFe%204.0%20Project" TargetMode="External"/><Relationship Id="rId93" Type="http://schemas.openxmlformats.org/officeDocument/2006/relationships/hyperlink" Target="https://gdccm01.gddsi.com:9443/ccm/web/projects/MUOS%20SAFe%204.0%20Project" TargetMode="External"/><Relationship Id="rId98" Type="http://schemas.openxmlformats.org/officeDocument/2006/relationships/hyperlink" Target="https://gdccm01.gddsi.com:9443/ccm/web/projects/MUOS%20SAFe%204.0%20Project" TargetMode="External"/><Relationship Id="rId121" Type="http://schemas.openxmlformats.org/officeDocument/2006/relationships/hyperlink" Target="https://gdccm01.gddsi.com:9443/ccm/web/projects/MUOS%20SAFe%204.0%20Project" TargetMode="External"/><Relationship Id="rId142" Type="http://schemas.openxmlformats.org/officeDocument/2006/relationships/hyperlink" Target="https://gdccm01.gddsi.com:9443/ccm/web/projects/MUOS%20SAFe%204.0%20Project" TargetMode="External"/><Relationship Id="rId163" Type="http://schemas.openxmlformats.org/officeDocument/2006/relationships/drawing" Target="../drawings/drawing3.xml"/><Relationship Id="rId3" Type="http://schemas.openxmlformats.org/officeDocument/2006/relationships/hyperlink" Target="https://gdccm01.gddsi.com:9443/ccm/web/projects/MUOS%20SAFe%204.0%20Project" TargetMode="External"/><Relationship Id="rId25" Type="http://schemas.openxmlformats.org/officeDocument/2006/relationships/hyperlink" Target="https://gdccm01.gddsi.com:9443/ccm/web/projects/MUOS%20SAFe%204.0%20Project" TargetMode="External"/><Relationship Id="rId46" Type="http://schemas.openxmlformats.org/officeDocument/2006/relationships/hyperlink" Target="https://gdccm01.gddsi.com:9443/ccm/web/projects/MUOS%20SAFe%204.0%20Project" TargetMode="External"/><Relationship Id="rId67" Type="http://schemas.openxmlformats.org/officeDocument/2006/relationships/hyperlink" Target="https://gdccm01.gddsi.com:9443/ccm/web/projects/MUOS%20SAFe%204.0%20Project" TargetMode="External"/><Relationship Id="rId116" Type="http://schemas.openxmlformats.org/officeDocument/2006/relationships/hyperlink" Target="https://gdccm01.gddsi.com:9443/ccm/web/projects/MUOS%20SAFe%204.0%20Project" TargetMode="External"/><Relationship Id="rId137" Type="http://schemas.openxmlformats.org/officeDocument/2006/relationships/hyperlink" Target="https://gdccm01.gddsi.com:9443/ccm/web/projects/MUOS%20SAFe%204.0%20Project" TargetMode="External"/><Relationship Id="rId158" Type="http://schemas.openxmlformats.org/officeDocument/2006/relationships/hyperlink" Target="https://gdccm01.gddsi.com:9443/ccm/web/projects/MUOS%20SAFe%204.0%20Project" TargetMode="External"/><Relationship Id="rId20" Type="http://schemas.openxmlformats.org/officeDocument/2006/relationships/hyperlink" Target="https://gdccm01.gddsi.com:9443/ccm/web/projects/MUOS%20SAFe%204.0%20Project" TargetMode="External"/><Relationship Id="rId41" Type="http://schemas.openxmlformats.org/officeDocument/2006/relationships/hyperlink" Target="https://gdccm01.gddsi.com:9443/ccm/web/projects/MUOS%20SAFe%204.0%20Project" TargetMode="External"/><Relationship Id="rId62" Type="http://schemas.openxmlformats.org/officeDocument/2006/relationships/hyperlink" Target="https://gdccm01.gddsi.com:9443/ccm/web/projects/MUOS%20SAFe%204.0%20Project" TargetMode="External"/><Relationship Id="rId83" Type="http://schemas.openxmlformats.org/officeDocument/2006/relationships/hyperlink" Target="https://gdccm01.gddsi.com:9443/ccm/web/projects/MUOS%20SAFe%204.0%20Project" TargetMode="External"/><Relationship Id="rId88" Type="http://schemas.openxmlformats.org/officeDocument/2006/relationships/hyperlink" Target="https://gdccm01.gddsi.com:9443/ccm/web/projects/MUOS%20SAFe%204.0%20Project" TargetMode="External"/><Relationship Id="rId111" Type="http://schemas.openxmlformats.org/officeDocument/2006/relationships/hyperlink" Target="https://gdccm01.gddsi.com:9443/ccm/web/projects/MUOS%20SAFe%204.0%20Project" TargetMode="External"/><Relationship Id="rId132" Type="http://schemas.openxmlformats.org/officeDocument/2006/relationships/hyperlink" Target="https://gdccm01.gddsi.com:9443/ccm/web/projects/MUOS%20SAFe%204.0%20Project" TargetMode="External"/><Relationship Id="rId153" Type="http://schemas.openxmlformats.org/officeDocument/2006/relationships/hyperlink" Target="https://gdccm01.gddsi.com:9443/ccm/web/projects/MUOS%20SAFe%204.0%20Project"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gdccm01.gddsi.com:9443/ccm/web/projects/MUOS%20SAFe%204.0%20Project" TargetMode="External"/><Relationship Id="rId13" Type="http://schemas.openxmlformats.org/officeDocument/2006/relationships/ctrlProp" Target="../ctrlProps/ctrlProp10.xml"/><Relationship Id="rId3" Type="http://schemas.openxmlformats.org/officeDocument/2006/relationships/hyperlink" Target="https://gdccm01.gddsi.com:9443/ccm/web/projects/MUOS%20SAFe%204.0%20Project" TargetMode="External"/><Relationship Id="rId7" Type="http://schemas.openxmlformats.org/officeDocument/2006/relationships/hyperlink" Target="https://gdccm01.gddsi.com:9443/ccm/web/projects/MUOS%20SAFe%204.0%20Project" TargetMode="External"/><Relationship Id="rId12" Type="http://schemas.openxmlformats.org/officeDocument/2006/relationships/vmlDrawing" Target="../drawings/vmlDrawing4.vml"/><Relationship Id="rId2" Type="http://schemas.openxmlformats.org/officeDocument/2006/relationships/hyperlink" Target="https://gdccm01.gddsi.com:9443/ccm/web/projects/MUOS%20SAFe%204.0%20Project" TargetMode="External"/><Relationship Id="rId1" Type="http://schemas.openxmlformats.org/officeDocument/2006/relationships/hyperlink" Target="https://gdccm01.gddsi.com:9443/ccm/web/projects/MUOS%20SAFe%204.0%20Project" TargetMode="External"/><Relationship Id="rId6" Type="http://schemas.openxmlformats.org/officeDocument/2006/relationships/hyperlink" Target="https://gdccm01.gddsi.com:9443/ccm/web/projects/MUOS%20SAFe%204.0%20Project" TargetMode="External"/><Relationship Id="rId11" Type="http://schemas.openxmlformats.org/officeDocument/2006/relationships/drawing" Target="../drawings/drawing4.xml"/><Relationship Id="rId5" Type="http://schemas.openxmlformats.org/officeDocument/2006/relationships/hyperlink" Target="https://gdccm01.gddsi.com:9443/ccm/web/projects/MUOS%20SAFe%204.0%20Project" TargetMode="External"/><Relationship Id="rId10" Type="http://schemas.openxmlformats.org/officeDocument/2006/relationships/hyperlink" Target="https://gdccm01.gddsi.com:9443/ccm/web/projects/MUOS%20SAFe%204.0%20Project" TargetMode="External"/><Relationship Id="rId4" Type="http://schemas.openxmlformats.org/officeDocument/2006/relationships/hyperlink" Target="https://gdccm01.gddsi.com:9443/ccm/web/projects/MUOS%20SAFe%204.0%20Project" TargetMode="External"/><Relationship Id="rId9" Type="http://schemas.openxmlformats.org/officeDocument/2006/relationships/hyperlink" Target="https://gdccm01.gddsi.com:9443/ccm/web/projects/MUOS%20SAFe%204.0%20Project" TargetMode="Externa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26" Type="http://schemas.openxmlformats.org/officeDocument/2006/relationships/hyperlink" Target="https://gdccm01.gddsi.com:9443/ccm/web/projects/MUOS%20SAFe%204.0%20Project" TargetMode="External"/><Relationship Id="rId117" Type="http://schemas.openxmlformats.org/officeDocument/2006/relationships/hyperlink" Target="https://gdccm01.gddsi.com:9443/ccm/web/projects/MUOS%20SAFe%204.0%20Project" TargetMode="External"/><Relationship Id="rId21" Type="http://schemas.openxmlformats.org/officeDocument/2006/relationships/hyperlink" Target="https://gdccm01.gddsi.com:9443/ccm/web/projects/MUOS%20SAFe%204.0%20Project" TargetMode="External"/><Relationship Id="rId42" Type="http://schemas.openxmlformats.org/officeDocument/2006/relationships/hyperlink" Target="https://gdccm01.gddsi.com:9443/ccm/web/projects/MUOS%20SAFe%204.0%20Project" TargetMode="External"/><Relationship Id="rId47" Type="http://schemas.openxmlformats.org/officeDocument/2006/relationships/hyperlink" Target="https://gdccm01.gddsi.com:9443/ccm/web/projects/MUOS%20SAFe%204.0%20Project" TargetMode="External"/><Relationship Id="rId63" Type="http://schemas.openxmlformats.org/officeDocument/2006/relationships/hyperlink" Target="https://gdccm01.gddsi.com:9443/ccm/web/projects/MUOS%20SAFe%204.0%20Project" TargetMode="External"/><Relationship Id="rId68" Type="http://schemas.openxmlformats.org/officeDocument/2006/relationships/hyperlink" Target="https://gdccm01.gddsi.com:9443/ccm/web/projects/MUOS%20SAFe%204.0%20Project" TargetMode="External"/><Relationship Id="rId84" Type="http://schemas.openxmlformats.org/officeDocument/2006/relationships/hyperlink" Target="https://gdccm01.gddsi.com:9443/ccm/web/projects/MUOS%20SAFe%204.0%20Project" TargetMode="External"/><Relationship Id="rId89" Type="http://schemas.openxmlformats.org/officeDocument/2006/relationships/hyperlink" Target="https://gdccm01.gddsi.com:9443/ccm/web/projects/MUOS%20SAFe%204.0%20Project" TargetMode="External"/><Relationship Id="rId112" Type="http://schemas.openxmlformats.org/officeDocument/2006/relationships/hyperlink" Target="https://gdccm01.gddsi.com:9443/ccm/web/projects/MUOS%20SAFe%204.0%20Project" TargetMode="External"/><Relationship Id="rId133" Type="http://schemas.openxmlformats.org/officeDocument/2006/relationships/hyperlink" Target="https://gdccm01.gddsi.com:9443/ccm/web/projects/MUOS%20SAFe%204.0%20Project" TargetMode="External"/><Relationship Id="rId138" Type="http://schemas.openxmlformats.org/officeDocument/2006/relationships/hyperlink" Target="https://gdccm01.gddsi.com:9443/ccm/web/projects/MUOS%20SAFe%204.0%20Project" TargetMode="External"/><Relationship Id="rId154" Type="http://schemas.openxmlformats.org/officeDocument/2006/relationships/hyperlink" Target="https://gdccm01.gddsi.com:9443/ccm/web/projects/MUOS%20SAFe%204.0%20Project" TargetMode="External"/><Relationship Id="rId159" Type="http://schemas.openxmlformats.org/officeDocument/2006/relationships/drawing" Target="../drawings/drawing5.xml"/><Relationship Id="rId16" Type="http://schemas.openxmlformats.org/officeDocument/2006/relationships/hyperlink" Target="https://gdccm01.gddsi.com:9443/ccm/web/projects/MUOS%20SAFe%204.0%20Project" TargetMode="External"/><Relationship Id="rId107" Type="http://schemas.openxmlformats.org/officeDocument/2006/relationships/hyperlink" Target="https://gdccm01.gddsi.com:9443/ccm/web/projects/MUOS%20SAFe%204.0%20Project" TargetMode="External"/><Relationship Id="rId11" Type="http://schemas.openxmlformats.org/officeDocument/2006/relationships/hyperlink" Target="https://gdccm01.gddsi.com:9443/ccm/web/projects/MUOS%20SAFe%204.0%20Project" TargetMode="External"/><Relationship Id="rId32" Type="http://schemas.openxmlformats.org/officeDocument/2006/relationships/hyperlink" Target="https://gdccm01.gddsi.com:9443/ccm/web/projects/MUOS%20SAFe%204.0%20Project" TargetMode="External"/><Relationship Id="rId37" Type="http://schemas.openxmlformats.org/officeDocument/2006/relationships/hyperlink" Target="https://gdccm01.gddsi.com:9443/ccm/web/projects/MUOS%20SAFe%204.0%20Project" TargetMode="External"/><Relationship Id="rId53" Type="http://schemas.openxmlformats.org/officeDocument/2006/relationships/hyperlink" Target="https://gdccm01.gddsi.com:9443/ccm/web/projects/MUOS%20SAFe%204.0%20Project" TargetMode="External"/><Relationship Id="rId58" Type="http://schemas.openxmlformats.org/officeDocument/2006/relationships/hyperlink" Target="https://gdccm01.gddsi.com:9443/ccm/web/projects/MUOS%20SAFe%204.0%20Project" TargetMode="External"/><Relationship Id="rId74" Type="http://schemas.openxmlformats.org/officeDocument/2006/relationships/hyperlink" Target="https://gdccm01.gddsi.com:9443/ccm/web/projects/MUOS%20SAFe%204.0%20Project" TargetMode="External"/><Relationship Id="rId79" Type="http://schemas.openxmlformats.org/officeDocument/2006/relationships/hyperlink" Target="https://gdccm01.gddsi.com:9443/ccm/web/projects/MUOS%20SAFe%204.0%20Project" TargetMode="External"/><Relationship Id="rId102" Type="http://schemas.openxmlformats.org/officeDocument/2006/relationships/hyperlink" Target="https://gdccm01.gddsi.com:9443/ccm/web/projects/MUOS%20SAFe%204.0%20Project" TargetMode="External"/><Relationship Id="rId123" Type="http://schemas.openxmlformats.org/officeDocument/2006/relationships/hyperlink" Target="https://gdccm01.gddsi.com:9443/ccm/web/projects/MUOS%20SAFe%204.0%20Project" TargetMode="External"/><Relationship Id="rId128" Type="http://schemas.openxmlformats.org/officeDocument/2006/relationships/hyperlink" Target="https://gdccm01.gddsi.com:9443/ccm/web/projects/MUOS%20SAFe%204.0%20Project" TargetMode="External"/><Relationship Id="rId144" Type="http://schemas.openxmlformats.org/officeDocument/2006/relationships/hyperlink" Target="https://gdccm01.gddsi.com:9443/ccm/web/projects/MUOS%20SAFe%204.0%20Project" TargetMode="External"/><Relationship Id="rId149" Type="http://schemas.openxmlformats.org/officeDocument/2006/relationships/hyperlink" Target="https://gdccm01.gddsi.com:9443/ccm/web/projects/MUOS%20SAFe%204.0%20Project" TargetMode="External"/><Relationship Id="rId5" Type="http://schemas.openxmlformats.org/officeDocument/2006/relationships/hyperlink" Target="https://gdccm01.gddsi.com:9443/ccm/web/projects/MUOS%20SAFe%204.0%20Project" TargetMode="External"/><Relationship Id="rId90" Type="http://schemas.openxmlformats.org/officeDocument/2006/relationships/hyperlink" Target="https://gdccm01.gddsi.com:9443/ccm/web/projects/MUOS%20SAFe%204.0%20Project" TargetMode="External"/><Relationship Id="rId95" Type="http://schemas.openxmlformats.org/officeDocument/2006/relationships/hyperlink" Target="https://gdccm01.gddsi.com:9443/ccm/web/projects/MUOS%20SAFe%204.0%20Project" TargetMode="External"/><Relationship Id="rId160" Type="http://schemas.openxmlformats.org/officeDocument/2006/relationships/vmlDrawing" Target="../drawings/vmlDrawing5.vml"/><Relationship Id="rId22" Type="http://schemas.openxmlformats.org/officeDocument/2006/relationships/hyperlink" Target="https://gdccm01.gddsi.com:9443/ccm/web/projects/MUOS%20SAFe%204.0%20Project" TargetMode="External"/><Relationship Id="rId27" Type="http://schemas.openxmlformats.org/officeDocument/2006/relationships/hyperlink" Target="https://gdccm01.gddsi.com:9443/ccm/web/projects/MUOS%20SAFe%204.0%20Project" TargetMode="External"/><Relationship Id="rId43" Type="http://schemas.openxmlformats.org/officeDocument/2006/relationships/hyperlink" Target="https://gdccm01.gddsi.com:9443/ccm/web/projects/MUOS%20SAFe%204.0%20Project" TargetMode="External"/><Relationship Id="rId48" Type="http://schemas.openxmlformats.org/officeDocument/2006/relationships/hyperlink" Target="https://gdccm01.gddsi.com:9443/ccm/web/projects/MUOS%20SAFe%204.0%20Project" TargetMode="External"/><Relationship Id="rId64" Type="http://schemas.openxmlformats.org/officeDocument/2006/relationships/hyperlink" Target="https://gdccm01.gddsi.com:9443/ccm/web/projects/MUOS%20SAFe%204.0%20Project" TargetMode="External"/><Relationship Id="rId69" Type="http://schemas.openxmlformats.org/officeDocument/2006/relationships/hyperlink" Target="https://gdccm01.gddsi.com:9443/ccm/web/projects/MUOS%20SAFe%204.0%20Project" TargetMode="External"/><Relationship Id="rId113" Type="http://schemas.openxmlformats.org/officeDocument/2006/relationships/hyperlink" Target="https://gdccm01.gddsi.com:9443/ccm/web/projects/MUOS%20SAFe%204.0%20Project" TargetMode="External"/><Relationship Id="rId118" Type="http://schemas.openxmlformats.org/officeDocument/2006/relationships/hyperlink" Target="https://gdccm01.gddsi.com:9443/ccm/web/projects/MUOS%20SAFe%204.0%20Project" TargetMode="External"/><Relationship Id="rId134" Type="http://schemas.openxmlformats.org/officeDocument/2006/relationships/hyperlink" Target="https://gdccm01.gddsi.com:9443/ccm/web/projects/MUOS%20SAFe%204.0%20Project" TargetMode="External"/><Relationship Id="rId139" Type="http://schemas.openxmlformats.org/officeDocument/2006/relationships/hyperlink" Target="https://gdccm01.gddsi.com:9443/ccm/web/projects/MUOS%20SAFe%204.0%20Project" TargetMode="External"/><Relationship Id="rId80" Type="http://schemas.openxmlformats.org/officeDocument/2006/relationships/hyperlink" Target="https://gdccm01.gddsi.com:9443/ccm/web/projects/MUOS%20SAFe%204.0%20Project" TargetMode="External"/><Relationship Id="rId85" Type="http://schemas.openxmlformats.org/officeDocument/2006/relationships/hyperlink" Target="https://gdccm01.gddsi.com:9443/ccm/web/projects/MUOS%20SAFe%204.0%20Project" TargetMode="External"/><Relationship Id="rId150" Type="http://schemas.openxmlformats.org/officeDocument/2006/relationships/hyperlink" Target="https://gdccm01.gddsi.com:9443/ccm/web/projects/MUOS%20SAFe%204.0%20Project" TargetMode="External"/><Relationship Id="rId155" Type="http://schemas.openxmlformats.org/officeDocument/2006/relationships/hyperlink" Target="https://gdccm01.gddsi.com:9443/ccm/web/projects/MUOS%20SAFe%204.0%20Project" TargetMode="External"/><Relationship Id="rId12" Type="http://schemas.openxmlformats.org/officeDocument/2006/relationships/hyperlink" Target="https://gdccm01.gddsi.com:9443/ccm/web/projects/MUOS%20SAFe%204.0%20Project" TargetMode="External"/><Relationship Id="rId17" Type="http://schemas.openxmlformats.org/officeDocument/2006/relationships/hyperlink" Target="https://gdccm01.gddsi.com:9443/ccm/web/projects/MUOS%20SAFe%204.0%20Project" TargetMode="External"/><Relationship Id="rId33" Type="http://schemas.openxmlformats.org/officeDocument/2006/relationships/hyperlink" Target="https://gdccm01.gddsi.com:9443/ccm/web/projects/MUOS%20SAFe%204.0%20Project" TargetMode="External"/><Relationship Id="rId38" Type="http://schemas.openxmlformats.org/officeDocument/2006/relationships/hyperlink" Target="https://gdccm01.gddsi.com:9443/ccm/web/projects/MUOS%20SAFe%204.0%20Project" TargetMode="External"/><Relationship Id="rId59" Type="http://schemas.openxmlformats.org/officeDocument/2006/relationships/hyperlink" Target="https://gdccm01.gddsi.com:9443/ccm/web/projects/MUOS%20SAFe%204.0%20Project" TargetMode="External"/><Relationship Id="rId103" Type="http://schemas.openxmlformats.org/officeDocument/2006/relationships/hyperlink" Target="https://gdccm01.gddsi.com:9443/ccm/web/projects/MUOS%20SAFe%204.0%20Project" TargetMode="External"/><Relationship Id="rId108" Type="http://schemas.openxmlformats.org/officeDocument/2006/relationships/hyperlink" Target="https://gdccm01.gddsi.com:9443/ccm/web/projects/MUOS%20SAFe%204.0%20Project" TargetMode="External"/><Relationship Id="rId124" Type="http://schemas.openxmlformats.org/officeDocument/2006/relationships/hyperlink" Target="https://gdccm01.gddsi.com:9443/ccm/web/projects/MUOS%20SAFe%204.0%20Project" TargetMode="External"/><Relationship Id="rId129" Type="http://schemas.openxmlformats.org/officeDocument/2006/relationships/hyperlink" Target="https://gdccm01.gddsi.com:9443/ccm/web/projects/MUOS%20SAFe%204.0%20Project" TargetMode="External"/><Relationship Id="rId20" Type="http://schemas.openxmlformats.org/officeDocument/2006/relationships/hyperlink" Target="https://gdccm01.gddsi.com:9443/ccm/web/projects/MUOS%20SAFe%204.0%20Project" TargetMode="External"/><Relationship Id="rId41" Type="http://schemas.openxmlformats.org/officeDocument/2006/relationships/hyperlink" Target="https://gdccm01.gddsi.com:9443/ccm/web/projects/MUOS%20SAFe%204.0%20Project" TargetMode="External"/><Relationship Id="rId54" Type="http://schemas.openxmlformats.org/officeDocument/2006/relationships/hyperlink" Target="https://gdccm01.gddsi.com:9443/ccm/web/projects/MUOS%20SAFe%204.0%20Project" TargetMode="External"/><Relationship Id="rId62" Type="http://schemas.openxmlformats.org/officeDocument/2006/relationships/hyperlink" Target="https://gdccm01.gddsi.com:9443/ccm/web/projects/MUOS%20SAFe%204.0%20Project" TargetMode="External"/><Relationship Id="rId70" Type="http://schemas.openxmlformats.org/officeDocument/2006/relationships/hyperlink" Target="https://gdccm01.gddsi.com:9443/ccm/web/projects/MUOS%20SAFe%204.0%20Project" TargetMode="External"/><Relationship Id="rId75" Type="http://schemas.openxmlformats.org/officeDocument/2006/relationships/hyperlink" Target="https://gdccm01.gddsi.com:9443/ccm/web/projects/MUOS%20SAFe%204.0%20Project" TargetMode="External"/><Relationship Id="rId83" Type="http://schemas.openxmlformats.org/officeDocument/2006/relationships/hyperlink" Target="https://gdccm01.gddsi.com:9443/ccm/web/projects/MUOS%20SAFe%204.0%20Project" TargetMode="External"/><Relationship Id="rId88" Type="http://schemas.openxmlformats.org/officeDocument/2006/relationships/hyperlink" Target="https://gdccm01.gddsi.com:9443/ccm/web/projects/MUOS%20SAFe%204.0%20Project" TargetMode="External"/><Relationship Id="rId91" Type="http://schemas.openxmlformats.org/officeDocument/2006/relationships/hyperlink" Target="https://gdccm01.gddsi.com:9443/ccm/web/projects/MUOS%20SAFe%204.0%20Project" TargetMode="External"/><Relationship Id="rId96" Type="http://schemas.openxmlformats.org/officeDocument/2006/relationships/hyperlink" Target="https://gdccm01.gddsi.com:9443/ccm/web/projects/MUOS%20SAFe%204.0%20Project" TargetMode="External"/><Relationship Id="rId111" Type="http://schemas.openxmlformats.org/officeDocument/2006/relationships/hyperlink" Target="https://gdccm01.gddsi.com:9443/ccm/web/projects/MUOS%20SAFe%204.0%20Project" TargetMode="External"/><Relationship Id="rId132" Type="http://schemas.openxmlformats.org/officeDocument/2006/relationships/hyperlink" Target="https://gdccm01.gddsi.com:9443/ccm/web/projects/MUOS%20SAFe%204.0%20Project" TargetMode="External"/><Relationship Id="rId140" Type="http://schemas.openxmlformats.org/officeDocument/2006/relationships/hyperlink" Target="https://gdccm01.gddsi.com:9443/ccm/web/projects/MUOS%20SAFe%204.0%20Project" TargetMode="External"/><Relationship Id="rId145" Type="http://schemas.openxmlformats.org/officeDocument/2006/relationships/hyperlink" Target="https://gdccm01.gddsi.com:9443/ccm/web/projects/MUOS%20SAFe%204.0%20Project" TargetMode="External"/><Relationship Id="rId153" Type="http://schemas.openxmlformats.org/officeDocument/2006/relationships/hyperlink" Target="https://gdccm01.gddsi.com:9443/ccm/web/projects/MUOS%20SAFe%204.0%20Project" TargetMode="External"/><Relationship Id="rId161" Type="http://schemas.openxmlformats.org/officeDocument/2006/relationships/ctrlProp" Target="../ctrlProps/ctrlProp12.xml"/><Relationship Id="rId1" Type="http://schemas.openxmlformats.org/officeDocument/2006/relationships/hyperlink" Target="https://gdccm01.gddsi.com:9443/ccm/web/projects/MUOS%20SAFe%204.0%20Project" TargetMode="External"/><Relationship Id="rId6" Type="http://schemas.openxmlformats.org/officeDocument/2006/relationships/hyperlink" Target="https://gdccm01.gddsi.com:9443/ccm/web/projects/MUOS%20SAFe%204.0%20Project" TargetMode="External"/><Relationship Id="rId15" Type="http://schemas.openxmlformats.org/officeDocument/2006/relationships/hyperlink" Target="https://gdccm01.gddsi.com:9443/ccm/web/projects/MUOS%20SAFe%204.0%20Project" TargetMode="External"/><Relationship Id="rId23" Type="http://schemas.openxmlformats.org/officeDocument/2006/relationships/hyperlink" Target="https://gdccm01.gddsi.com:9443/ccm/web/projects/MUOS%20SAFe%204.0%20Project" TargetMode="External"/><Relationship Id="rId28" Type="http://schemas.openxmlformats.org/officeDocument/2006/relationships/hyperlink" Target="https://gdccm01.gddsi.com:9443/ccm/web/projects/MUOS%20SAFe%204.0%20Project" TargetMode="External"/><Relationship Id="rId36" Type="http://schemas.openxmlformats.org/officeDocument/2006/relationships/hyperlink" Target="https://gdccm01.gddsi.com:9443/ccm/web/projects/MUOS%20SAFe%204.0%20Project" TargetMode="External"/><Relationship Id="rId49" Type="http://schemas.openxmlformats.org/officeDocument/2006/relationships/hyperlink" Target="https://gdccm01.gddsi.com:9443/ccm/web/projects/MUOS%20SAFe%204.0%20Project" TargetMode="External"/><Relationship Id="rId57" Type="http://schemas.openxmlformats.org/officeDocument/2006/relationships/hyperlink" Target="https://gdccm01.gddsi.com:9443/ccm/web/projects/MUOS%20SAFe%204.0%20Project" TargetMode="External"/><Relationship Id="rId106" Type="http://schemas.openxmlformats.org/officeDocument/2006/relationships/hyperlink" Target="https://gdccm01.gddsi.com:9443/ccm/web/projects/MUOS%20SAFe%204.0%20Project" TargetMode="External"/><Relationship Id="rId114" Type="http://schemas.openxmlformats.org/officeDocument/2006/relationships/hyperlink" Target="https://gdccm01.gddsi.com:9443/ccm/web/projects/MUOS%20SAFe%204.0%20Project" TargetMode="External"/><Relationship Id="rId119" Type="http://schemas.openxmlformats.org/officeDocument/2006/relationships/hyperlink" Target="https://gdccm01.gddsi.com:9443/ccm/web/projects/MUOS%20SAFe%204.0%20Project" TargetMode="External"/><Relationship Id="rId127" Type="http://schemas.openxmlformats.org/officeDocument/2006/relationships/hyperlink" Target="https://gdccm01.gddsi.com:9443/ccm/web/projects/MUOS%20SAFe%204.0%20Project" TargetMode="External"/><Relationship Id="rId10" Type="http://schemas.openxmlformats.org/officeDocument/2006/relationships/hyperlink" Target="https://gdccm01.gddsi.com:9443/ccm/web/projects/MUOS%20SAFe%204.0%20Project" TargetMode="External"/><Relationship Id="rId31" Type="http://schemas.openxmlformats.org/officeDocument/2006/relationships/hyperlink" Target="https://gdccm01.gddsi.com:9443/ccm/web/projects/MUOS%20SAFe%204.0%20Project" TargetMode="External"/><Relationship Id="rId44" Type="http://schemas.openxmlformats.org/officeDocument/2006/relationships/hyperlink" Target="https://gdccm01.gddsi.com:9443/ccm/web/projects/MUOS%20SAFe%204.0%20Project" TargetMode="External"/><Relationship Id="rId52" Type="http://schemas.openxmlformats.org/officeDocument/2006/relationships/hyperlink" Target="https://gdccm01.gddsi.com:9443/ccm/web/projects/MUOS%20SAFe%204.0%20Project" TargetMode="External"/><Relationship Id="rId60" Type="http://schemas.openxmlformats.org/officeDocument/2006/relationships/hyperlink" Target="https://gdccm01.gddsi.com:9443/ccm/web/projects/MUOS%20SAFe%204.0%20Project" TargetMode="External"/><Relationship Id="rId65" Type="http://schemas.openxmlformats.org/officeDocument/2006/relationships/hyperlink" Target="https://gdccm01.gddsi.com:9443/ccm/web/projects/MUOS%20SAFe%204.0%20Project" TargetMode="External"/><Relationship Id="rId73" Type="http://schemas.openxmlformats.org/officeDocument/2006/relationships/hyperlink" Target="https://gdccm01.gddsi.com:9443/ccm/web/projects/MUOS%20SAFe%204.0%20Project" TargetMode="External"/><Relationship Id="rId78" Type="http://schemas.openxmlformats.org/officeDocument/2006/relationships/hyperlink" Target="https://gdccm01.gddsi.com:9443/ccm/web/projects/MUOS%20SAFe%204.0%20Project" TargetMode="External"/><Relationship Id="rId81" Type="http://schemas.openxmlformats.org/officeDocument/2006/relationships/hyperlink" Target="https://gdccm01.gddsi.com:9443/ccm/web/projects/MUOS%20SAFe%204.0%20Project" TargetMode="External"/><Relationship Id="rId86" Type="http://schemas.openxmlformats.org/officeDocument/2006/relationships/hyperlink" Target="https://gdccm01.gddsi.com:9443/ccm/web/projects/MUOS%20SAFe%204.0%20Project" TargetMode="External"/><Relationship Id="rId94" Type="http://schemas.openxmlformats.org/officeDocument/2006/relationships/hyperlink" Target="https://gdccm01.gddsi.com:9443/ccm/web/projects/MUOS%20SAFe%204.0%20Project" TargetMode="External"/><Relationship Id="rId99" Type="http://schemas.openxmlformats.org/officeDocument/2006/relationships/hyperlink" Target="https://gdccm01.gddsi.com:9443/ccm/web/projects/MUOS%20SAFe%204.0%20Project" TargetMode="External"/><Relationship Id="rId101" Type="http://schemas.openxmlformats.org/officeDocument/2006/relationships/hyperlink" Target="https://gdccm01.gddsi.com:9443/ccm/web/projects/MUOS%20SAFe%204.0%20Project" TargetMode="External"/><Relationship Id="rId122" Type="http://schemas.openxmlformats.org/officeDocument/2006/relationships/hyperlink" Target="https://gdccm01.gddsi.com:9443/ccm/web/projects/MUOS%20SAFe%204.0%20Project" TargetMode="External"/><Relationship Id="rId130" Type="http://schemas.openxmlformats.org/officeDocument/2006/relationships/hyperlink" Target="https://gdccm01.gddsi.com:9443/ccm/web/projects/MUOS%20SAFe%204.0%20Project" TargetMode="External"/><Relationship Id="rId135" Type="http://schemas.openxmlformats.org/officeDocument/2006/relationships/hyperlink" Target="https://gdccm01.gddsi.com:9443/ccm/web/projects/MUOS%20SAFe%204.0%20Project" TargetMode="External"/><Relationship Id="rId143" Type="http://schemas.openxmlformats.org/officeDocument/2006/relationships/hyperlink" Target="https://gdccm01.gddsi.com:9443/ccm/web/projects/MUOS%20SAFe%204.0%20Project" TargetMode="External"/><Relationship Id="rId148" Type="http://schemas.openxmlformats.org/officeDocument/2006/relationships/hyperlink" Target="https://gdccm01.gddsi.com:9443/ccm/web/projects/MUOS%20SAFe%204.0%20Project" TargetMode="External"/><Relationship Id="rId151" Type="http://schemas.openxmlformats.org/officeDocument/2006/relationships/hyperlink" Target="https://gdccm01.gddsi.com:9443/ccm/web/projects/MUOS%20SAFe%204.0%20Project" TargetMode="External"/><Relationship Id="rId156" Type="http://schemas.openxmlformats.org/officeDocument/2006/relationships/hyperlink" Target="https://gdccm01.gddsi.com:9443/ccm/web/projects/MUOS%20SAFe%204.0%20Project" TargetMode="External"/><Relationship Id="rId4" Type="http://schemas.openxmlformats.org/officeDocument/2006/relationships/hyperlink" Target="https://gdccm01.gddsi.com:9443/ccm/web/projects/MUOS%20SAFe%204.0%20Project" TargetMode="External"/><Relationship Id="rId9" Type="http://schemas.openxmlformats.org/officeDocument/2006/relationships/hyperlink" Target="https://gdccm01.gddsi.com:9443/ccm/web/projects/MUOS%20SAFe%204.0%20Project" TargetMode="External"/><Relationship Id="rId13" Type="http://schemas.openxmlformats.org/officeDocument/2006/relationships/hyperlink" Target="https://gdccm01.gddsi.com:9443/ccm/web/projects/MUOS%20SAFe%204.0%20Project" TargetMode="External"/><Relationship Id="rId18" Type="http://schemas.openxmlformats.org/officeDocument/2006/relationships/hyperlink" Target="https://gdccm01.gddsi.com:9443/ccm/web/projects/MUOS%20SAFe%204.0%20Project" TargetMode="External"/><Relationship Id="rId39" Type="http://schemas.openxmlformats.org/officeDocument/2006/relationships/hyperlink" Target="https://gdccm01.gddsi.com:9443/ccm/web/projects/MUOS%20SAFe%204.0%20Project" TargetMode="External"/><Relationship Id="rId109" Type="http://schemas.openxmlformats.org/officeDocument/2006/relationships/hyperlink" Target="https://gdccm01.gddsi.com:9443/ccm/web/projects/MUOS%20SAFe%204.0%20Project" TargetMode="External"/><Relationship Id="rId34" Type="http://schemas.openxmlformats.org/officeDocument/2006/relationships/hyperlink" Target="https://gdccm01.gddsi.com:9443/ccm/web/projects/MUOS%20SAFe%204.0%20Project" TargetMode="External"/><Relationship Id="rId50" Type="http://schemas.openxmlformats.org/officeDocument/2006/relationships/hyperlink" Target="https://gdccm01.gddsi.com:9443/ccm/web/projects/MUOS%20SAFe%204.0%20Project" TargetMode="External"/><Relationship Id="rId55" Type="http://schemas.openxmlformats.org/officeDocument/2006/relationships/hyperlink" Target="https://gdccm01.gddsi.com:9443/ccm/web/projects/MUOS%20SAFe%204.0%20Project" TargetMode="External"/><Relationship Id="rId76" Type="http://schemas.openxmlformats.org/officeDocument/2006/relationships/hyperlink" Target="https://gdccm01.gddsi.com:9443/ccm/web/projects/MUOS%20SAFe%204.0%20Project" TargetMode="External"/><Relationship Id="rId97" Type="http://schemas.openxmlformats.org/officeDocument/2006/relationships/hyperlink" Target="https://gdccm01.gddsi.com:9443/ccm/web/projects/MUOS%20SAFe%204.0%20Project" TargetMode="External"/><Relationship Id="rId104" Type="http://schemas.openxmlformats.org/officeDocument/2006/relationships/hyperlink" Target="https://gdccm01.gddsi.com:9443/ccm/web/projects/MUOS%20SAFe%204.0%20Project" TargetMode="External"/><Relationship Id="rId120" Type="http://schemas.openxmlformats.org/officeDocument/2006/relationships/hyperlink" Target="https://gdccm01.gddsi.com:9443/ccm/web/projects/MUOS%20SAFe%204.0%20Project" TargetMode="External"/><Relationship Id="rId125" Type="http://schemas.openxmlformats.org/officeDocument/2006/relationships/hyperlink" Target="https://gdccm01.gddsi.com:9443/ccm/web/projects/MUOS%20SAFe%204.0%20Project" TargetMode="External"/><Relationship Id="rId141" Type="http://schemas.openxmlformats.org/officeDocument/2006/relationships/hyperlink" Target="https://gdccm01.gddsi.com:9443/ccm/web/projects/MUOS%20SAFe%204.0%20Project" TargetMode="External"/><Relationship Id="rId146" Type="http://schemas.openxmlformats.org/officeDocument/2006/relationships/hyperlink" Target="https://gdccm01.gddsi.com:9443/ccm/web/projects/MUOS%20SAFe%204.0%20Project" TargetMode="External"/><Relationship Id="rId7" Type="http://schemas.openxmlformats.org/officeDocument/2006/relationships/hyperlink" Target="https://gdccm01.gddsi.com:9443/ccm/web/projects/MUOS%20SAFe%204.0%20Project" TargetMode="External"/><Relationship Id="rId71" Type="http://schemas.openxmlformats.org/officeDocument/2006/relationships/hyperlink" Target="https://gdccm01.gddsi.com:9443/ccm/web/projects/MUOS%20SAFe%204.0%20Project" TargetMode="External"/><Relationship Id="rId92" Type="http://schemas.openxmlformats.org/officeDocument/2006/relationships/hyperlink" Target="https://gdccm01.gddsi.com:9443/ccm/web/projects/MUOS%20SAFe%204.0%20Project" TargetMode="External"/><Relationship Id="rId162" Type="http://schemas.openxmlformats.org/officeDocument/2006/relationships/ctrlProp" Target="../ctrlProps/ctrlProp13.xml"/><Relationship Id="rId2" Type="http://schemas.openxmlformats.org/officeDocument/2006/relationships/hyperlink" Target="https://gdccm01.gddsi.com:9443/ccm/web/projects/MUOS%20SAFe%204.0%20Project" TargetMode="External"/><Relationship Id="rId29" Type="http://schemas.openxmlformats.org/officeDocument/2006/relationships/hyperlink" Target="https://gdccm01.gddsi.com:9443/ccm/web/projects/MUOS%20SAFe%204.0%20Project" TargetMode="External"/><Relationship Id="rId24" Type="http://schemas.openxmlformats.org/officeDocument/2006/relationships/hyperlink" Target="https://gdccm01.gddsi.com:9443/ccm/web/projects/MUOS%20SAFe%204.0%20Project" TargetMode="External"/><Relationship Id="rId40" Type="http://schemas.openxmlformats.org/officeDocument/2006/relationships/hyperlink" Target="https://gdccm01.gddsi.com:9443/ccm/web/projects/MUOS%20SAFe%204.0%20Project" TargetMode="External"/><Relationship Id="rId45" Type="http://schemas.openxmlformats.org/officeDocument/2006/relationships/hyperlink" Target="https://gdccm01.gddsi.com:9443/ccm/web/projects/MUOS%20SAFe%204.0%20Project" TargetMode="External"/><Relationship Id="rId66" Type="http://schemas.openxmlformats.org/officeDocument/2006/relationships/hyperlink" Target="https://gdccm01.gddsi.com:9443/ccm/web/projects/MUOS%20SAFe%204.0%20Project" TargetMode="External"/><Relationship Id="rId87" Type="http://schemas.openxmlformats.org/officeDocument/2006/relationships/hyperlink" Target="https://gdccm01.gddsi.com:9443/ccm/web/projects/MUOS%20SAFe%204.0%20Project" TargetMode="External"/><Relationship Id="rId110" Type="http://schemas.openxmlformats.org/officeDocument/2006/relationships/hyperlink" Target="https://gdccm01.gddsi.com:9443/ccm/web/projects/MUOS%20SAFe%204.0%20Project" TargetMode="External"/><Relationship Id="rId115" Type="http://schemas.openxmlformats.org/officeDocument/2006/relationships/hyperlink" Target="https://gdccm01.gddsi.com:9443/ccm/web/projects/MUOS%20SAFe%204.0%20Project" TargetMode="External"/><Relationship Id="rId131" Type="http://schemas.openxmlformats.org/officeDocument/2006/relationships/hyperlink" Target="https://gdccm01.gddsi.com:9443/ccm/web/projects/MUOS%20SAFe%204.0%20Project" TargetMode="External"/><Relationship Id="rId136" Type="http://schemas.openxmlformats.org/officeDocument/2006/relationships/hyperlink" Target="https://gdccm01.gddsi.com:9443/ccm/web/projects/MUOS%20SAFe%204.0%20Project" TargetMode="External"/><Relationship Id="rId157" Type="http://schemas.openxmlformats.org/officeDocument/2006/relationships/hyperlink" Target="https://gdccm01.gddsi.com:9443/ccm/web/projects/MUOS%20SAFe%204.0%20Project" TargetMode="External"/><Relationship Id="rId61" Type="http://schemas.openxmlformats.org/officeDocument/2006/relationships/hyperlink" Target="https://gdccm01.gddsi.com:9443/ccm/web/projects/MUOS%20SAFe%204.0%20Project" TargetMode="External"/><Relationship Id="rId82" Type="http://schemas.openxmlformats.org/officeDocument/2006/relationships/hyperlink" Target="https://gdccm01.gddsi.com:9443/ccm/web/projects/MUOS%20SAFe%204.0%20Project" TargetMode="External"/><Relationship Id="rId152" Type="http://schemas.openxmlformats.org/officeDocument/2006/relationships/hyperlink" Target="https://gdccm01.gddsi.com:9443/ccm/web/projects/MUOS%20SAFe%204.0%20Project" TargetMode="External"/><Relationship Id="rId19" Type="http://schemas.openxmlformats.org/officeDocument/2006/relationships/hyperlink" Target="https://gdccm01.gddsi.com:9443/ccm/web/projects/MUOS%20SAFe%204.0%20Project" TargetMode="External"/><Relationship Id="rId14" Type="http://schemas.openxmlformats.org/officeDocument/2006/relationships/hyperlink" Target="https://gdccm01.gddsi.com:9443/ccm/web/projects/MUOS%20SAFe%204.0%20Project" TargetMode="External"/><Relationship Id="rId30" Type="http://schemas.openxmlformats.org/officeDocument/2006/relationships/hyperlink" Target="https://gdccm01.gddsi.com:9443/ccm/web/projects/MUOS%20SAFe%204.0%20Project" TargetMode="External"/><Relationship Id="rId35" Type="http://schemas.openxmlformats.org/officeDocument/2006/relationships/hyperlink" Target="https://gdccm01.gddsi.com:9443/ccm/web/projects/MUOS%20SAFe%204.0%20Project" TargetMode="External"/><Relationship Id="rId56" Type="http://schemas.openxmlformats.org/officeDocument/2006/relationships/hyperlink" Target="https://gdccm01.gddsi.com:9443/ccm/web/projects/MUOS%20SAFe%204.0%20Project" TargetMode="External"/><Relationship Id="rId77" Type="http://schemas.openxmlformats.org/officeDocument/2006/relationships/hyperlink" Target="https://gdccm01.gddsi.com:9443/ccm/web/projects/MUOS%20SAFe%204.0%20Project" TargetMode="External"/><Relationship Id="rId100" Type="http://schemas.openxmlformats.org/officeDocument/2006/relationships/hyperlink" Target="https://gdccm01.gddsi.com:9443/ccm/web/projects/MUOS%20SAFe%204.0%20Project" TargetMode="External"/><Relationship Id="rId105" Type="http://schemas.openxmlformats.org/officeDocument/2006/relationships/hyperlink" Target="https://gdccm01.gddsi.com:9443/ccm/web/projects/MUOS%20SAFe%204.0%20Project" TargetMode="External"/><Relationship Id="rId126" Type="http://schemas.openxmlformats.org/officeDocument/2006/relationships/hyperlink" Target="https://gdccm01.gddsi.com:9443/ccm/web/projects/MUOS%20SAFe%204.0%20Project" TargetMode="External"/><Relationship Id="rId147" Type="http://schemas.openxmlformats.org/officeDocument/2006/relationships/hyperlink" Target="https://gdccm01.gddsi.com:9443/ccm/web/projects/MUOS%20SAFe%204.0%20Project" TargetMode="External"/><Relationship Id="rId8" Type="http://schemas.openxmlformats.org/officeDocument/2006/relationships/hyperlink" Target="https://gdccm01.gddsi.com:9443/ccm/web/projects/MUOS%20SAFe%204.0%20Project" TargetMode="External"/><Relationship Id="rId51" Type="http://schemas.openxmlformats.org/officeDocument/2006/relationships/hyperlink" Target="https://gdccm01.gddsi.com:9443/ccm/web/projects/MUOS%20SAFe%204.0%20Project" TargetMode="External"/><Relationship Id="rId72" Type="http://schemas.openxmlformats.org/officeDocument/2006/relationships/hyperlink" Target="https://gdccm01.gddsi.com:9443/ccm/web/projects/MUOS%20SAFe%204.0%20Project" TargetMode="External"/><Relationship Id="rId93" Type="http://schemas.openxmlformats.org/officeDocument/2006/relationships/hyperlink" Target="https://gdccm01.gddsi.com:9443/ccm/web/projects/MUOS%20SAFe%204.0%20Project" TargetMode="External"/><Relationship Id="rId98" Type="http://schemas.openxmlformats.org/officeDocument/2006/relationships/hyperlink" Target="https://gdccm01.gddsi.com:9443/ccm/web/projects/MUOS%20SAFe%204.0%20Project" TargetMode="External"/><Relationship Id="rId121" Type="http://schemas.openxmlformats.org/officeDocument/2006/relationships/hyperlink" Target="https://gdccm01.gddsi.com:9443/ccm/web/projects/MUOS%20SAFe%204.0%20Project" TargetMode="External"/><Relationship Id="rId142" Type="http://schemas.openxmlformats.org/officeDocument/2006/relationships/hyperlink" Target="https://gdccm01.gddsi.com:9443/ccm/web/projects/MUOS%20SAFe%204.0%20Project" TargetMode="External"/><Relationship Id="rId3" Type="http://schemas.openxmlformats.org/officeDocument/2006/relationships/hyperlink" Target="https://gdccm01.gddsi.com:9443/ccm/web/projects/MUOS%20SAFe%204.0%20Project" TargetMode="External"/><Relationship Id="rId25" Type="http://schemas.openxmlformats.org/officeDocument/2006/relationships/hyperlink" Target="https://gdccm01.gddsi.com:9443/ccm/web/projects/MUOS%20SAFe%204.0%20Project" TargetMode="External"/><Relationship Id="rId46" Type="http://schemas.openxmlformats.org/officeDocument/2006/relationships/hyperlink" Target="https://gdccm01.gddsi.com:9443/ccm/web/projects/MUOS%20SAFe%204.0%20Project" TargetMode="External"/><Relationship Id="rId67" Type="http://schemas.openxmlformats.org/officeDocument/2006/relationships/hyperlink" Target="https://gdccm01.gddsi.com:9443/ccm/web/projects/MUOS%20SAFe%204.0%20Project" TargetMode="External"/><Relationship Id="rId116" Type="http://schemas.openxmlformats.org/officeDocument/2006/relationships/hyperlink" Target="https://gdccm01.gddsi.com:9443/ccm/web/projects/MUOS%20SAFe%204.0%20Project" TargetMode="External"/><Relationship Id="rId137" Type="http://schemas.openxmlformats.org/officeDocument/2006/relationships/hyperlink" Target="https://gdccm01.gddsi.com:9443/ccm/web/projects/MUOS%20SAFe%204.0%20Project" TargetMode="External"/><Relationship Id="rId158" Type="http://schemas.openxmlformats.org/officeDocument/2006/relationships/hyperlink" Target="https://gdccm01.gddsi.com:9443/ccm/web/projects/MUOS%20SAFe%204.0%20Project" TargetMode="External"/></Relationships>
</file>

<file path=xl/worksheets/_rels/sheet7.xml.rels><?xml version="1.0" encoding="UTF-8" standalone="yes"?>
<Relationships xmlns="http://schemas.openxmlformats.org/package/2006/relationships"><Relationship Id="rId117" Type="http://schemas.openxmlformats.org/officeDocument/2006/relationships/hyperlink" Target="https://gdccm01.gddsi.com:9443/ccm/web/projects/MUOS%20SAFe%204.0%20Project" TargetMode="External"/><Relationship Id="rId299" Type="http://schemas.openxmlformats.org/officeDocument/2006/relationships/hyperlink" Target="https://gdccm01.gddsi.com:9443/ccm/web/projects/MUOS%20SAFe%204.0%20Project" TargetMode="External"/><Relationship Id="rId671" Type="http://schemas.openxmlformats.org/officeDocument/2006/relationships/hyperlink" Target="https://gdccm01.gddsi.com:9443/ccm/web/projects/MUOS%20SAFe%204.0%20Project" TargetMode="External"/><Relationship Id="rId21" Type="http://schemas.openxmlformats.org/officeDocument/2006/relationships/hyperlink" Target="https://gdccm01.gddsi.com:9443/ccm/web/projects/MUOS%20SAFe%204.0%20Project" TargetMode="External"/><Relationship Id="rId63" Type="http://schemas.openxmlformats.org/officeDocument/2006/relationships/hyperlink" Target="https://gdccm01.gddsi.com:9443/ccm/web/projects/MUOS%20SAFe%204.0%20Project" TargetMode="External"/><Relationship Id="rId159" Type="http://schemas.openxmlformats.org/officeDocument/2006/relationships/hyperlink" Target="https://gdccm01.gddsi.com:9443/ccm/web/projects/MUOS%20SAFe%204.0%20Project" TargetMode="External"/><Relationship Id="rId324" Type="http://schemas.openxmlformats.org/officeDocument/2006/relationships/hyperlink" Target="https://gdccm01.gddsi.com:9443/ccm/web/projects/MUOS%20SAFe%204.0%20Project" TargetMode="External"/><Relationship Id="rId366" Type="http://schemas.openxmlformats.org/officeDocument/2006/relationships/hyperlink" Target="https://gdccm01.gddsi.com:9443/ccm/web/projects/MUOS%20SAFe%204.0%20Project" TargetMode="External"/><Relationship Id="rId531" Type="http://schemas.openxmlformats.org/officeDocument/2006/relationships/hyperlink" Target="https://gdccm01.gddsi.com:9443/ccm/web/projects/MUOS%20SAFe%204.0%20Project" TargetMode="External"/><Relationship Id="rId573" Type="http://schemas.openxmlformats.org/officeDocument/2006/relationships/hyperlink" Target="https://gdccm01.gddsi.com:9443/ccm/web/projects/MUOS%20SAFe%204.0%20Project" TargetMode="External"/><Relationship Id="rId629" Type="http://schemas.openxmlformats.org/officeDocument/2006/relationships/hyperlink" Target="https://gdccm01.gddsi.com:9443/ccm/web/projects/MUOS%20SAFe%204.0%20Project" TargetMode="External"/><Relationship Id="rId170" Type="http://schemas.openxmlformats.org/officeDocument/2006/relationships/hyperlink" Target="https://gdccm01.gddsi.com:9443/ccm/web/projects/MUOS%20SAFe%204.0%20Project" TargetMode="External"/><Relationship Id="rId226" Type="http://schemas.openxmlformats.org/officeDocument/2006/relationships/hyperlink" Target="https://gdccm01.gddsi.com:9443/ccm/web/projects/MUOS%20SAFe%204.0%20Project" TargetMode="External"/><Relationship Id="rId433" Type="http://schemas.openxmlformats.org/officeDocument/2006/relationships/hyperlink" Target="https://gdccm01.gddsi.com:9443/ccm/web/projects/MUOS%20SAFe%204.0%20Project" TargetMode="External"/><Relationship Id="rId268" Type="http://schemas.openxmlformats.org/officeDocument/2006/relationships/hyperlink" Target="https://gdccm01.gddsi.com:9443/ccm/web/projects/MUOS%20SAFe%204.0%20Project" TargetMode="External"/><Relationship Id="rId475" Type="http://schemas.openxmlformats.org/officeDocument/2006/relationships/hyperlink" Target="https://gdccm01.gddsi.com:9443/ccm/web/projects/MUOS%20SAFe%204.0%20Project" TargetMode="External"/><Relationship Id="rId640" Type="http://schemas.openxmlformats.org/officeDocument/2006/relationships/hyperlink" Target="https://gdccm01.gddsi.com:9443/ccm/web/projects/MUOS%20SAFe%204.0%20Project" TargetMode="External"/><Relationship Id="rId32" Type="http://schemas.openxmlformats.org/officeDocument/2006/relationships/hyperlink" Target="https://gdccm01.gddsi.com:9443/ccm/web/projects/MUOS%20SAFe%204.0%20Project" TargetMode="External"/><Relationship Id="rId74" Type="http://schemas.openxmlformats.org/officeDocument/2006/relationships/hyperlink" Target="https://gdccm01.gddsi.com:9443/ccm/web/projects/MUOS%20SAFe%204.0%20Project" TargetMode="External"/><Relationship Id="rId128" Type="http://schemas.openxmlformats.org/officeDocument/2006/relationships/hyperlink" Target="https://gdccm01.gddsi.com:9443/ccm/web/projects/MUOS%20SAFe%204.0%20Project" TargetMode="External"/><Relationship Id="rId335" Type="http://schemas.openxmlformats.org/officeDocument/2006/relationships/hyperlink" Target="https://gdccm01.gddsi.com:9443/ccm/web/projects/MUOS%20SAFe%204.0%20Project" TargetMode="External"/><Relationship Id="rId377" Type="http://schemas.openxmlformats.org/officeDocument/2006/relationships/hyperlink" Target="https://gdccm01.gddsi.com:9443/ccm/web/projects/MUOS%20SAFe%204.0%20Project" TargetMode="External"/><Relationship Id="rId500" Type="http://schemas.openxmlformats.org/officeDocument/2006/relationships/hyperlink" Target="https://gdccm01.gddsi.com:9443/ccm/web/projects/MUOS%20SAFe%204.0%20Project" TargetMode="External"/><Relationship Id="rId542" Type="http://schemas.openxmlformats.org/officeDocument/2006/relationships/hyperlink" Target="https://gdccm01.gddsi.com:9443/ccm/web/projects/MUOS%20SAFe%204.0%20Project" TargetMode="External"/><Relationship Id="rId584" Type="http://schemas.openxmlformats.org/officeDocument/2006/relationships/hyperlink" Target="https://gdccm01.gddsi.com:9443/ccm/web/projects/MUOS%20SAFe%204.0%20Project" TargetMode="External"/><Relationship Id="rId5" Type="http://schemas.openxmlformats.org/officeDocument/2006/relationships/hyperlink" Target="https://gdccm01.gddsi.com:9443/ccm/web/projects/MUOS%20SAFe%204.0%20Project" TargetMode="External"/><Relationship Id="rId181" Type="http://schemas.openxmlformats.org/officeDocument/2006/relationships/hyperlink" Target="https://gdccm01.gddsi.com:9443/ccm/web/projects/MUOS%20SAFe%204.0%20Project" TargetMode="External"/><Relationship Id="rId237" Type="http://schemas.openxmlformats.org/officeDocument/2006/relationships/hyperlink" Target="https://gdccm01.gddsi.com:9443/ccm/web/projects/MUOS%20SAFe%204.0%20Project" TargetMode="External"/><Relationship Id="rId402" Type="http://schemas.openxmlformats.org/officeDocument/2006/relationships/hyperlink" Target="https://gdccm01.gddsi.com:9443/ccm/web/projects/MUOS%20SAFe%204.0%20Project" TargetMode="External"/><Relationship Id="rId279" Type="http://schemas.openxmlformats.org/officeDocument/2006/relationships/hyperlink" Target="https://gdccm01.gddsi.com:9443/ccm/web/projects/MUOS%20SAFe%204.0%20Project" TargetMode="External"/><Relationship Id="rId444" Type="http://schemas.openxmlformats.org/officeDocument/2006/relationships/hyperlink" Target="https://gdccm01.gddsi.com:9443/ccm/web/projects/MUOS%20SAFe%204.0%20Project" TargetMode="External"/><Relationship Id="rId486" Type="http://schemas.openxmlformats.org/officeDocument/2006/relationships/hyperlink" Target="https://gdccm01.gddsi.com:9443/ccm/web/projects/MUOS%20SAFe%204.0%20Project" TargetMode="External"/><Relationship Id="rId651" Type="http://schemas.openxmlformats.org/officeDocument/2006/relationships/hyperlink" Target="https://gdccm01.gddsi.com:9443/ccm/web/projects/MUOS%20SAFe%204.0%20Project" TargetMode="External"/><Relationship Id="rId43" Type="http://schemas.openxmlformats.org/officeDocument/2006/relationships/hyperlink" Target="https://gdccm01.gddsi.com:9443/ccm/web/projects/MUOS%20SAFe%204.0%20Project" TargetMode="External"/><Relationship Id="rId139" Type="http://schemas.openxmlformats.org/officeDocument/2006/relationships/hyperlink" Target="https://gdccm01.gddsi.com:9443/ccm/web/projects/MUOS%20SAFe%204.0%20Project" TargetMode="External"/><Relationship Id="rId290" Type="http://schemas.openxmlformats.org/officeDocument/2006/relationships/hyperlink" Target="https://gdccm01.gddsi.com:9443/ccm/web/projects/MUOS%20SAFe%204.0%20Project" TargetMode="External"/><Relationship Id="rId304" Type="http://schemas.openxmlformats.org/officeDocument/2006/relationships/hyperlink" Target="https://gdccm01.gddsi.com:9443/ccm/web/projects/MUOS%20SAFe%204.0%20Project" TargetMode="External"/><Relationship Id="rId346" Type="http://schemas.openxmlformats.org/officeDocument/2006/relationships/hyperlink" Target="https://gdccm01.gddsi.com:9443/ccm/web/projects/MUOS%20SAFe%204.0%20Project" TargetMode="External"/><Relationship Id="rId388" Type="http://schemas.openxmlformats.org/officeDocument/2006/relationships/hyperlink" Target="https://gdccm01.gddsi.com:9443/ccm/web/projects/MUOS%20SAFe%204.0%20Project" TargetMode="External"/><Relationship Id="rId511" Type="http://schemas.openxmlformats.org/officeDocument/2006/relationships/hyperlink" Target="https://gdccm01.gddsi.com:9443/ccm/web/projects/MUOS%20SAFe%204.0%20Project" TargetMode="External"/><Relationship Id="rId553" Type="http://schemas.openxmlformats.org/officeDocument/2006/relationships/hyperlink" Target="https://gdccm01.gddsi.com:9443/ccm/web/projects/MUOS%20SAFe%204.0%20Project" TargetMode="External"/><Relationship Id="rId609" Type="http://schemas.openxmlformats.org/officeDocument/2006/relationships/hyperlink" Target="https://gdccm01.gddsi.com:9443/ccm/web/projects/MUOS%20SAFe%204.0%20Project" TargetMode="External"/><Relationship Id="rId85" Type="http://schemas.openxmlformats.org/officeDocument/2006/relationships/hyperlink" Target="https://gdccm01.gddsi.com:9443/ccm/web/projects/MUOS%20SAFe%204.0%20Project" TargetMode="External"/><Relationship Id="rId150" Type="http://schemas.openxmlformats.org/officeDocument/2006/relationships/hyperlink" Target="https://gdccm01.gddsi.com:9443/ccm/web/projects/MUOS%20SAFe%204.0%20Project" TargetMode="External"/><Relationship Id="rId192" Type="http://schemas.openxmlformats.org/officeDocument/2006/relationships/hyperlink" Target="https://gdccm01.gddsi.com:9443/ccm/web/projects/MUOS%20SAFe%204.0%20Project" TargetMode="External"/><Relationship Id="rId206" Type="http://schemas.openxmlformats.org/officeDocument/2006/relationships/hyperlink" Target="https://gdccm01.gddsi.com:9443/ccm/web/projects/MUOS%20SAFe%204.0%20Project" TargetMode="External"/><Relationship Id="rId413" Type="http://schemas.openxmlformats.org/officeDocument/2006/relationships/hyperlink" Target="https://gdccm01.gddsi.com:9443/ccm/web/projects/MUOS%20SAFe%204.0%20Project" TargetMode="External"/><Relationship Id="rId595" Type="http://schemas.openxmlformats.org/officeDocument/2006/relationships/hyperlink" Target="https://gdccm01.gddsi.com:9443/ccm/web/projects/MUOS%20SAFe%204.0%20Project" TargetMode="External"/><Relationship Id="rId248" Type="http://schemas.openxmlformats.org/officeDocument/2006/relationships/hyperlink" Target="https://gdccm01.gddsi.com:9443/ccm/web/projects/MUOS%20SAFe%204.0%20Project" TargetMode="External"/><Relationship Id="rId455" Type="http://schemas.openxmlformats.org/officeDocument/2006/relationships/hyperlink" Target="https://gdccm01.gddsi.com:9443/ccm/web/projects/MUOS%20SAFe%204.0%20Project" TargetMode="External"/><Relationship Id="rId497" Type="http://schemas.openxmlformats.org/officeDocument/2006/relationships/hyperlink" Target="https://gdccm01.gddsi.com:9443/ccm/web/projects/MUOS%20SAFe%204.0%20Project" TargetMode="External"/><Relationship Id="rId620" Type="http://schemas.openxmlformats.org/officeDocument/2006/relationships/hyperlink" Target="https://gdccm01.gddsi.com:9443/ccm/web/projects/MUOS%20SAFe%204.0%20Project" TargetMode="External"/><Relationship Id="rId662" Type="http://schemas.openxmlformats.org/officeDocument/2006/relationships/hyperlink" Target="https://gdccm01.gddsi.com:9443/ccm/web/projects/MUOS%20SAFe%204.0%20Project" TargetMode="External"/><Relationship Id="rId12" Type="http://schemas.openxmlformats.org/officeDocument/2006/relationships/hyperlink" Target="https://gdccm01.gddsi.com:9443/ccm/web/projects/MUOS%20SAFe%204.0%20Project" TargetMode="External"/><Relationship Id="rId108" Type="http://schemas.openxmlformats.org/officeDocument/2006/relationships/hyperlink" Target="https://gdccm01.gddsi.com:9443/ccm/web/projects/MUOS%20SAFe%204.0%20Project" TargetMode="External"/><Relationship Id="rId315" Type="http://schemas.openxmlformats.org/officeDocument/2006/relationships/hyperlink" Target="https://gdccm01.gddsi.com:9443/ccm/web/projects/MUOS%20SAFe%204.0%20Project" TargetMode="External"/><Relationship Id="rId357" Type="http://schemas.openxmlformats.org/officeDocument/2006/relationships/hyperlink" Target="https://gdccm01.gddsi.com:9443/ccm/web/projects/MUOS%20SAFe%204.0%20Project" TargetMode="External"/><Relationship Id="rId522" Type="http://schemas.openxmlformats.org/officeDocument/2006/relationships/hyperlink" Target="https://gdccm01.gddsi.com:9443/ccm/web/projects/MUOS%20SAFe%204.0%20Project" TargetMode="External"/><Relationship Id="rId54" Type="http://schemas.openxmlformats.org/officeDocument/2006/relationships/hyperlink" Target="https://gdccm01.gddsi.com:9443/ccm/web/projects/MUOS%20SAFe%204.0%20Project" TargetMode="External"/><Relationship Id="rId96" Type="http://schemas.openxmlformats.org/officeDocument/2006/relationships/hyperlink" Target="https://gdccm01.gddsi.com:9443/ccm/web/projects/MUOS%20SAFe%204.0%20Project" TargetMode="External"/><Relationship Id="rId161" Type="http://schemas.openxmlformats.org/officeDocument/2006/relationships/hyperlink" Target="https://gdccm01.gddsi.com:9443/ccm/web/projects/MUOS%20SAFe%204.0%20Project" TargetMode="External"/><Relationship Id="rId217" Type="http://schemas.openxmlformats.org/officeDocument/2006/relationships/hyperlink" Target="https://gdccm01.gddsi.com:9443/ccm/web/projects/MUOS%20SAFe%204.0%20Project" TargetMode="External"/><Relationship Id="rId399" Type="http://schemas.openxmlformats.org/officeDocument/2006/relationships/hyperlink" Target="https://gdccm01.gddsi.com:9443/ccm/web/projects/MUOS%20SAFe%204.0%20Project" TargetMode="External"/><Relationship Id="rId564" Type="http://schemas.openxmlformats.org/officeDocument/2006/relationships/hyperlink" Target="https://gdccm01.gddsi.com:9443/ccm/web/projects/MUOS%20SAFe%204.0%20Project" TargetMode="External"/><Relationship Id="rId259" Type="http://schemas.openxmlformats.org/officeDocument/2006/relationships/hyperlink" Target="https://gdccm01.gddsi.com:9443/ccm/web/projects/MUOS%20SAFe%204.0%20Project" TargetMode="External"/><Relationship Id="rId424" Type="http://schemas.openxmlformats.org/officeDocument/2006/relationships/hyperlink" Target="https://gdccm01.gddsi.com:9443/ccm/web/projects/MUOS%20SAFe%204.0%20Project" TargetMode="External"/><Relationship Id="rId466" Type="http://schemas.openxmlformats.org/officeDocument/2006/relationships/hyperlink" Target="https://gdccm01.gddsi.com:9443/ccm/web/projects/MUOS%20SAFe%204.0%20Project" TargetMode="External"/><Relationship Id="rId631" Type="http://schemas.openxmlformats.org/officeDocument/2006/relationships/hyperlink" Target="https://gdccm01.gddsi.com:9443/ccm/web/projects/MUOS%20SAFe%204.0%20Project" TargetMode="External"/><Relationship Id="rId673" Type="http://schemas.openxmlformats.org/officeDocument/2006/relationships/hyperlink" Target="https://gdccm01.gddsi.com:9443/ccm/web/projects/MUOS%20SAFe%204.0%20Project" TargetMode="External"/><Relationship Id="rId23" Type="http://schemas.openxmlformats.org/officeDocument/2006/relationships/hyperlink" Target="https://gdccm01.gddsi.com:9443/ccm/web/projects/MUOS%20SAFe%204.0%20Project" TargetMode="External"/><Relationship Id="rId119" Type="http://schemas.openxmlformats.org/officeDocument/2006/relationships/hyperlink" Target="https://gdccm01.gddsi.com:9443/ccm/web/projects/MUOS%20SAFe%204.0%20Project" TargetMode="External"/><Relationship Id="rId270" Type="http://schemas.openxmlformats.org/officeDocument/2006/relationships/hyperlink" Target="https://gdccm01.gddsi.com:9443/ccm/web/projects/MUOS%20SAFe%204.0%20Project" TargetMode="External"/><Relationship Id="rId326" Type="http://schemas.openxmlformats.org/officeDocument/2006/relationships/hyperlink" Target="https://gdccm01.gddsi.com:9443/ccm/web/projects/MUOS%20SAFe%204.0%20Project" TargetMode="External"/><Relationship Id="rId533" Type="http://schemas.openxmlformats.org/officeDocument/2006/relationships/hyperlink" Target="https://gdccm01.gddsi.com:9443/ccm/web/projects/MUOS%20SAFe%204.0%20Project" TargetMode="External"/><Relationship Id="rId65" Type="http://schemas.openxmlformats.org/officeDocument/2006/relationships/hyperlink" Target="https://gdccm01.gddsi.com:9443/ccm/web/projects/MUOS%20SAFe%204.0%20Project" TargetMode="External"/><Relationship Id="rId130" Type="http://schemas.openxmlformats.org/officeDocument/2006/relationships/hyperlink" Target="https://gdccm01.gddsi.com:9443/ccm/web/projects/MUOS%20SAFe%204.0%20Project" TargetMode="External"/><Relationship Id="rId368" Type="http://schemas.openxmlformats.org/officeDocument/2006/relationships/hyperlink" Target="https://gdccm01.gddsi.com:9443/ccm/web/projects/MUOS%20SAFe%204.0%20Project" TargetMode="External"/><Relationship Id="rId575" Type="http://schemas.openxmlformats.org/officeDocument/2006/relationships/hyperlink" Target="https://gdccm01.gddsi.com:9443/ccm/web/projects/MUOS%20SAFe%204.0%20Project" TargetMode="External"/><Relationship Id="rId172" Type="http://schemas.openxmlformats.org/officeDocument/2006/relationships/hyperlink" Target="https://gdccm01.gddsi.com:9443/ccm/web/projects/MUOS%20SAFe%204.0%20Project" TargetMode="External"/><Relationship Id="rId228" Type="http://schemas.openxmlformats.org/officeDocument/2006/relationships/hyperlink" Target="https://gdccm01.gddsi.com:9443/ccm/web/projects/MUOS%20SAFe%204.0%20Project" TargetMode="External"/><Relationship Id="rId435" Type="http://schemas.openxmlformats.org/officeDocument/2006/relationships/hyperlink" Target="https://gdccm01.gddsi.com:9443/ccm/web/projects/MUOS%20SAFe%204.0%20Project" TargetMode="External"/><Relationship Id="rId477" Type="http://schemas.openxmlformats.org/officeDocument/2006/relationships/hyperlink" Target="https://gdccm01.gddsi.com:9443/ccm/web/projects/MUOS%20SAFe%204.0%20Project" TargetMode="External"/><Relationship Id="rId600" Type="http://schemas.openxmlformats.org/officeDocument/2006/relationships/hyperlink" Target="https://gdccm01.gddsi.com:9443/ccm/web/projects/MUOS%20SAFe%204.0%20Project" TargetMode="External"/><Relationship Id="rId642" Type="http://schemas.openxmlformats.org/officeDocument/2006/relationships/hyperlink" Target="https://gdccm01.gddsi.com:9443/ccm/web/projects/MUOS%20SAFe%204.0%20Project" TargetMode="External"/><Relationship Id="rId281" Type="http://schemas.openxmlformats.org/officeDocument/2006/relationships/hyperlink" Target="https://gdccm01.gddsi.com:9443/ccm/web/projects/MUOS%20SAFe%204.0%20Project" TargetMode="External"/><Relationship Id="rId337" Type="http://schemas.openxmlformats.org/officeDocument/2006/relationships/hyperlink" Target="https://gdccm01.gddsi.com:9443/ccm/web/projects/MUOS%20SAFe%204.0%20Project" TargetMode="External"/><Relationship Id="rId502" Type="http://schemas.openxmlformats.org/officeDocument/2006/relationships/hyperlink" Target="https://gdccm01.gddsi.com:9443/ccm/web/projects/MUOS%20SAFe%204.0%20Project" TargetMode="External"/><Relationship Id="rId34" Type="http://schemas.openxmlformats.org/officeDocument/2006/relationships/hyperlink" Target="https://gdccm01.gddsi.com:9443/ccm/web/projects/MUOS%20SAFe%204.0%20Project" TargetMode="External"/><Relationship Id="rId76" Type="http://schemas.openxmlformats.org/officeDocument/2006/relationships/hyperlink" Target="https://gdccm01.gddsi.com:9443/ccm/web/projects/MUOS%20SAFe%204.0%20Project" TargetMode="External"/><Relationship Id="rId141" Type="http://schemas.openxmlformats.org/officeDocument/2006/relationships/hyperlink" Target="https://gdccm01.gddsi.com:9443/ccm/web/projects/MUOS%20SAFe%204.0%20Project" TargetMode="External"/><Relationship Id="rId379" Type="http://schemas.openxmlformats.org/officeDocument/2006/relationships/hyperlink" Target="https://gdccm01.gddsi.com:9443/ccm/web/projects/MUOS%20SAFe%204.0%20Project" TargetMode="External"/><Relationship Id="rId544" Type="http://schemas.openxmlformats.org/officeDocument/2006/relationships/hyperlink" Target="https://gdccm01.gddsi.com:9443/ccm/web/projects/MUOS%20SAFe%204.0%20Project" TargetMode="External"/><Relationship Id="rId586" Type="http://schemas.openxmlformats.org/officeDocument/2006/relationships/hyperlink" Target="https://gdccm01.gddsi.com:9443/ccm/web/projects/MUOS%20SAFe%204.0%20Project" TargetMode="External"/><Relationship Id="rId7" Type="http://schemas.openxmlformats.org/officeDocument/2006/relationships/hyperlink" Target="https://gdccm01.gddsi.com:9443/ccm/web/projects/MUOS%20SAFe%204.0%20Project" TargetMode="External"/><Relationship Id="rId183" Type="http://schemas.openxmlformats.org/officeDocument/2006/relationships/hyperlink" Target="https://gdccm01.gddsi.com:9443/ccm/web/projects/MUOS%20SAFe%204.0%20Project" TargetMode="External"/><Relationship Id="rId239" Type="http://schemas.openxmlformats.org/officeDocument/2006/relationships/hyperlink" Target="https://gdccm01.gddsi.com:9443/ccm/web/projects/MUOS%20SAFe%204.0%20Project" TargetMode="External"/><Relationship Id="rId390" Type="http://schemas.openxmlformats.org/officeDocument/2006/relationships/hyperlink" Target="https://gdccm01.gddsi.com:9443/ccm/web/projects/MUOS%20SAFe%204.0%20Project" TargetMode="External"/><Relationship Id="rId404" Type="http://schemas.openxmlformats.org/officeDocument/2006/relationships/hyperlink" Target="https://gdccm01.gddsi.com:9443/ccm/web/projects/MUOS%20SAFe%204.0%20Project" TargetMode="External"/><Relationship Id="rId446" Type="http://schemas.openxmlformats.org/officeDocument/2006/relationships/hyperlink" Target="https://gdccm01.gddsi.com:9443/ccm/web/projects/MUOS%20SAFe%204.0%20Project" TargetMode="External"/><Relationship Id="rId611" Type="http://schemas.openxmlformats.org/officeDocument/2006/relationships/hyperlink" Target="https://gdccm01.gddsi.com:9443/ccm/web/projects/MUOS%20SAFe%204.0%20Project" TargetMode="External"/><Relationship Id="rId653" Type="http://schemas.openxmlformats.org/officeDocument/2006/relationships/hyperlink" Target="https://gdccm01.gddsi.com:9443/ccm/web/projects/MUOS%20SAFe%204.0%20Project" TargetMode="External"/><Relationship Id="rId250" Type="http://schemas.openxmlformats.org/officeDocument/2006/relationships/hyperlink" Target="https://gdccm01.gddsi.com:9443/ccm/web/projects/MUOS%20SAFe%204.0%20Project" TargetMode="External"/><Relationship Id="rId292" Type="http://schemas.openxmlformats.org/officeDocument/2006/relationships/hyperlink" Target="https://gdccm01.gddsi.com:9443/ccm/web/projects/MUOS%20SAFe%204.0%20Project" TargetMode="External"/><Relationship Id="rId306" Type="http://schemas.openxmlformats.org/officeDocument/2006/relationships/hyperlink" Target="https://gdccm01.gddsi.com:9443/ccm/web/projects/MUOS%20SAFe%204.0%20Project" TargetMode="External"/><Relationship Id="rId488" Type="http://schemas.openxmlformats.org/officeDocument/2006/relationships/hyperlink" Target="https://gdccm01.gddsi.com:9443/ccm/web/projects/MUOS%20SAFe%204.0%20Project" TargetMode="External"/><Relationship Id="rId45" Type="http://schemas.openxmlformats.org/officeDocument/2006/relationships/hyperlink" Target="https://gdccm01.gddsi.com:9443/ccm/web/projects/MUOS%20SAFe%204.0%20Project" TargetMode="External"/><Relationship Id="rId87" Type="http://schemas.openxmlformats.org/officeDocument/2006/relationships/hyperlink" Target="https://gdccm01.gddsi.com:9443/ccm/web/projects/MUOS%20SAFe%204.0%20Project" TargetMode="External"/><Relationship Id="rId110" Type="http://schemas.openxmlformats.org/officeDocument/2006/relationships/hyperlink" Target="https://gdccm01.gddsi.com:9443/ccm/web/projects/MUOS%20SAFe%204.0%20Project" TargetMode="External"/><Relationship Id="rId348" Type="http://schemas.openxmlformats.org/officeDocument/2006/relationships/hyperlink" Target="https://gdccm01.gddsi.com:9443/ccm/web/projects/MUOS%20SAFe%204.0%20Project" TargetMode="External"/><Relationship Id="rId513" Type="http://schemas.openxmlformats.org/officeDocument/2006/relationships/hyperlink" Target="https://gdccm01.gddsi.com:9443/ccm/web/projects/MUOS%20SAFe%204.0%20Project" TargetMode="External"/><Relationship Id="rId555" Type="http://schemas.openxmlformats.org/officeDocument/2006/relationships/hyperlink" Target="https://gdccm01.gddsi.com:9443/ccm/web/projects/MUOS%20SAFe%204.0%20Project" TargetMode="External"/><Relationship Id="rId597" Type="http://schemas.openxmlformats.org/officeDocument/2006/relationships/hyperlink" Target="https://gdccm01.gddsi.com:9443/ccm/web/projects/MUOS%20SAFe%204.0%20Project" TargetMode="External"/><Relationship Id="rId152" Type="http://schemas.openxmlformats.org/officeDocument/2006/relationships/hyperlink" Target="https://gdccm01.gddsi.com:9443/ccm/web/projects/MUOS%20SAFe%204.0%20Project" TargetMode="External"/><Relationship Id="rId194" Type="http://schemas.openxmlformats.org/officeDocument/2006/relationships/hyperlink" Target="https://gdccm01.gddsi.com:9443/ccm/web/projects/MUOS%20SAFe%204.0%20Project" TargetMode="External"/><Relationship Id="rId208" Type="http://schemas.openxmlformats.org/officeDocument/2006/relationships/hyperlink" Target="https://gdccm01.gddsi.com:9443/ccm/web/projects/MUOS%20SAFe%204.0%20Project" TargetMode="External"/><Relationship Id="rId415" Type="http://schemas.openxmlformats.org/officeDocument/2006/relationships/hyperlink" Target="https://gdccm01.gddsi.com:9443/ccm/web/projects/MUOS%20SAFe%204.0%20Project" TargetMode="External"/><Relationship Id="rId457" Type="http://schemas.openxmlformats.org/officeDocument/2006/relationships/hyperlink" Target="https://gdccm01.gddsi.com:9443/ccm/web/projects/MUOS%20SAFe%204.0%20Project" TargetMode="External"/><Relationship Id="rId622" Type="http://schemas.openxmlformats.org/officeDocument/2006/relationships/hyperlink" Target="https://gdccm01.gddsi.com:9443/ccm/web/projects/MUOS%20SAFe%204.0%20Project" TargetMode="External"/><Relationship Id="rId261" Type="http://schemas.openxmlformats.org/officeDocument/2006/relationships/hyperlink" Target="https://gdccm01.gddsi.com:9443/ccm/web/projects/MUOS%20SAFe%204.0%20Project" TargetMode="External"/><Relationship Id="rId499" Type="http://schemas.openxmlformats.org/officeDocument/2006/relationships/hyperlink" Target="https://gdccm01.gddsi.com:9443/ccm/web/projects/MUOS%20SAFe%204.0%20Project" TargetMode="External"/><Relationship Id="rId664" Type="http://schemas.openxmlformats.org/officeDocument/2006/relationships/hyperlink" Target="https://gdccm01.gddsi.com:9443/ccm/web/projects/MUOS%20SAFe%204.0%20Project" TargetMode="External"/><Relationship Id="rId14" Type="http://schemas.openxmlformats.org/officeDocument/2006/relationships/hyperlink" Target="https://gdccm01.gddsi.com:9443/ccm/web/projects/MUOS%20SAFe%204.0%20Project" TargetMode="External"/><Relationship Id="rId56" Type="http://schemas.openxmlformats.org/officeDocument/2006/relationships/hyperlink" Target="https://gdccm01.gddsi.com:9443/ccm/web/projects/MUOS%20SAFe%204.0%20Project" TargetMode="External"/><Relationship Id="rId317" Type="http://schemas.openxmlformats.org/officeDocument/2006/relationships/hyperlink" Target="https://gdccm01.gddsi.com:9443/ccm/web/projects/MUOS%20SAFe%204.0%20Project" TargetMode="External"/><Relationship Id="rId359" Type="http://schemas.openxmlformats.org/officeDocument/2006/relationships/hyperlink" Target="https://gdccm01.gddsi.com:9443/ccm/web/projects/MUOS%20SAFe%204.0%20Project" TargetMode="External"/><Relationship Id="rId524" Type="http://schemas.openxmlformats.org/officeDocument/2006/relationships/hyperlink" Target="https://gdccm01.gddsi.com:9443/ccm/web/projects/MUOS%20SAFe%204.0%20Project" TargetMode="External"/><Relationship Id="rId566" Type="http://schemas.openxmlformats.org/officeDocument/2006/relationships/hyperlink" Target="https://gdccm01.gddsi.com:9443/ccm/web/projects/MUOS%20SAFe%204.0%20Project" TargetMode="External"/><Relationship Id="rId98" Type="http://schemas.openxmlformats.org/officeDocument/2006/relationships/hyperlink" Target="https://gdccm01.gddsi.com:9443/ccm/web/projects/MUOS%20SAFe%204.0%20Project" TargetMode="External"/><Relationship Id="rId121" Type="http://schemas.openxmlformats.org/officeDocument/2006/relationships/hyperlink" Target="https://gdccm01.gddsi.com:9443/ccm/web/projects/MUOS%20SAFe%204.0%20Project" TargetMode="External"/><Relationship Id="rId163" Type="http://schemas.openxmlformats.org/officeDocument/2006/relationships/hyperlink" Target="https://gdccm01.gddsi.com:9443/ccm/web/projects/MUOS%20SAFe%204.0%20Project" TargetMode="External"/><Relationship Id="rId219" Type="http://schemas.openxmlformats.org/officeDocument/2006/relationships/hyperlink" Target="https://gdccm01.gddsi.com:9443/ccm/web/projects/MUOS%20SAFe%204.0%20Project" TargetMode="External"/><Relationship Id="rId370" Type="http://schemas.openxmlformats.org/officeDocument/2006/relationships/hyperlink" Target="https://gdccm01.gddsi.com:9443/ccm/web/projects/MUOS%20SAFe%204.0%20Project" TargetMode="External"/><Relationship Id="rId426" Type="http://schemas.openxmlformats.org/officeDocument/2006/relationships/hyperlink" Target="https://gdccm01.gddsi.com:9443/ccm/web/projects/MUOS%20SAFe%204.0%20Project" TargetMode="External"/><Relationship Id="rId633" Type="http://schemas.openxmlformats.org/officeDocument/2006/relationships/hyperlink" Target="https://gdccm01.gddsi.com:9443/ccm/web/projects/MUOS%20SAFe%204.0%20Project" TargetMode="External"/><Relationship Id="rId230" Type="http://schemas.openxmlformats.org/officeDocument/2006/relationships/hyperlink" Target="https://gdccm01.gddsi.com:9443/ccm/web/projects/MUOS%20SAFe%204.0%20Project" TargetMode="External"/><Relationship Id="rId468" Type="http://schemas.openxmlformats.org/officeDocument/2006/relationships/hyperlink" Target="https://gdccm01.gddsi.com:9443/ccm/web/projects/MUOS%20SAFe%204.0%20Project" TargetMode="External"/><Relationship Id="rId675" Type="http://schemas.openxmlformats.org/officeDocument/2006/relationships/drawing" Target="../drawings/drawing6.xml"/><Relationship Id="rId25" Type="http://schemas.openxmlformats.org/officeDocument/2006/relationships/hyperlink" Target="https://gdccm01.gddsi.com:9443/ccm/web/projects/MUOS%20SAFe%204.0%20Project" TargetMode="External"/><Relationship Id="rId67" Type="http://schemas.openxmlformats.org/officeDocument/2006/relationships/hyperlink" Target="https://gdccm01.gddsi.com:9443/ccm/web/projects/MUOS%20SAFe%204.0%20Project" TargetMode="External"/><Relationship Id="rId272" Type="http://schemas.openxmlformats.org/officeDocument/2006/relationships/hyperlink" Target="https://gdccm01.gddsi.com:9443/ccm/web/projects/MUOS%20SAFe%204.0%20Project" TargetMode="External"/><Relationship Id="rId328" Type="http://schemas.openxmlformats.org/officeDocument/2006/relationships/hyperlink" Target="https://gdccm01.gddsi.com:9443/ccm/web/projects/MUOS%20SAFe%204.0%20Project" TargetMode="External"/><Relationship Id="rId535" Type="http://schemas.openxmlformats.org/officeDocument/2006/relationships/hyperlink" Target="https://gdccm01.gddsi.com:9443/ccm/web/projects/MUOS%20SAFe%204.0%20Project" TargetMode="External"/><Relationship Id="rId577" Type="http://schemas.openxmlformats.org/officeDocument/2006/relationships/hyperlink" Target="https://gdccm01.gddsi.com:9443/ccm/web/projects/MUOS%20SAFe%204.0%20Project" TargetMode="External"/><Relationship Id="rId132" Type="http://schemas.openxmlformats.org/officeDocument/2006/relationships/hyperlink" Target="https://gdccm01.gddsi.com:9443/ccm/web/projects/MUOS%20SAFe%204.0%20Project" TargetMode="External"/><Relationship Id="rId174" Type="http://schemas.openxmlformats.org/officeDocument/2006/relationships/hyperlink" Target="https://gdccm01.gddsi.com:9443/ccm/web/projects/MUOS%20SAFe%204.0%20Project" TargetMode="External"/><Relationship Id="rId381" Type="http://schemas.openxmlformats.org/officeDocument/2006/relationships/hyperlink" Target="https://gdccm01.gddsi.com:9443/ccm/web/projects/MUOS%20SAFe%204.0%20Project" TargetMode="External"/><Relationship Id="rId602" Type="http://schemas.openxmlformats.org/officeDocument/2006/relationships/hyperlink" Target="https://gdccm01.gddsi.com:9443/ccm/web/projects/MUOS%20SAFe%204.0%20Project" TargetMode="External"/><Relationship Id="rId241" Type="http://schemas.openxmlformats.org/officeDocument/2006/relationships/hyperlink" Target="https://gdccm01.gddsi.com:9443/ccm/web/projects/MUOS%20SAFe%204.0%20Project" TargetMode="External"/><Relationship Id="rId437" Type="http://schemas.openxmlformats.org/officeDocument/2006/relationships/hyperlink" Target="https://gdccm01.gddsi.com:9443/ccm/web/projects/MUOS%20SAFe%204.0%20Project" TargetMode="External"/><Relationship Id="rId479" Type="http://schemas.openxmlformats.org/officeDocument/2006/relationships/hyperlink" Target="https://gdccm01.gddsi.com:9443/ccm/web/projects/MUOS%20SAFe%204.0%20Project" TargetMode="External"/><Relationship Id="rId644" Type="http://schemas.openxmlformats.org/officeDocument/2006/relationships/hyperlink" Target="https://gdccm01.gddsi.com:9443/ccm/web/projects/MUOS%20SAFe%204.0%20Project" TargetMode="External"/><Relationship Id="rId36" Type="http://schemas.openxmlformats.org/officeDocument/2006/relationships/hyperlink" Target="https://gdccm01.gddsi.com:9443/ccm/web/projects/MUOS%20SAFe%204.0%20Project" TargetMode="External"/><Relationship Id="rId283" Type="http://schemas.openxmlformats.org/officeDocument/2006/relationships/hyperlink" Target="https://gdccm01.gddsi.com:9443/ccm/web/projects/MUOS%20SAFe%204.0%20Project" TargetMode="External"/><Relationship Id="rId339" Type="http://schemas.openxmlformats.org/officeDocument/2006/relationships/hyperlink" Target="https://gdccm01.gddsi.com:9443/ccm/web/projects/MUOS%20SAFe%204.0%20Project" TargetMode="External"/><Relationship Id="rId490" Type="http://schemas.openxmlformats.org/officeDocument/2006/relationships/hyperlink" Target="https://gdccm01.gddsi.com:9443/ccm/web/projects/MUOS%20SAFe%204.0%20Project" TargetMode="External"/><Relationship Id="rId504" Type="http://schemas.openxmlformats.org/officeDocument/2006/relationships/hyperlink" Target="https://gdccm01.gddsi.com:9443/ccm/web/projects/MUOS%20SAFe%204.0%20Project" TargetMode="External"/><Relationship Id="rId546" Type="http://schemas.openxmlformats.org/officeDocument/2006/relationships/hyperlink" Target="https://gdccm01.gddsi.com:9443/ccm/web/projects/MUOS%20SAFe%204.0%20Project" TargetMode="External"/><Relationship Id="rId78" Type="http://schemas.openxmlformats.org/officeDocument/2006/relationships/hyperlink" Target="https://gdccm01.gddsi.com:9443/ccm/web/projects/MUOS%20SAFe%204.0%20Project" TargetMode="External"/><Relationship Id="rId101" Type="http://schemas.openxmlformats.org/officeDocument/2006/relationships/hyperlink" Target="https://gdccm01.gddsi.com:9443/ccm/web/projects/MUOS%20SAFe%204.0%20Project" TargetMode="External"/><Relationship Id="rId143" Type="http://schemas.openxmlformats.org/officeDocument/2006/relationships/hyperlink" Target="https://gdccm01.gddsi.com:9443/ccm/web/projects/MUOS%20SAFe%204.0%20Project" TargetMode="External"/><Relationship Id="rId185" Type="http://schemas.openxmlformats.org/officeDocument/2006/relationships/hyperlink" Target="https://gdccm01.gddsi.com:9443/ccm/web/projects/MUOS%20SAFe%204.0%20Project" TargetMode="External"/><Relationship Id="rId350" Type="http://schemas.openxmlformats.org/officeDocument/2006/relationships/hyperlink" Target="https://gdccm01.gddsi.com:9443/ccm/web/projects/MUOS%20SAFe%204.0%20Project" TargetMode="External"/><Relationship Id="rId406" Type="http://schemas.openxmlformats.org/officeDocument/2006/relationships/hyperlink" Target="https://gdccm01.gddsi.com:9443/ccm/web/projects/MUOS%20SAFe%204.0%20Project" TargetMode="External"/><Relationship Id="rId588" Type="http://schemas.openxmlformats.org/officeDocument/2006/relationships/hyperlink" Target="https://gdccm01.gddsi.com:9443/ccm/web/projects/MUOS%20SAFe%204.0%20Project" TargetMode="External"/><Relationship Id="rId9" Type="http://schemas.openxmlformats.org/officeDocument/2006/relationships/hyperlink" Target="https://gdccm01.gddsi.com:9443/ccm/web/projects/MUOS%20SAFe%204.0%20Project" TargetMode="External"/><Relationship Id="rId210" Type="http://schemas.openxmlformats.org/officeDocument/2006/relationships/hyperlink" Target="https://gdccm01.gddsi.com:9443/ccm/web/projects/MUOS%20SAFe%204.0%20Project" TargetMode="External"/><Relationship Id="rId392" Type="http://schemas.openxmlformats.org/officeDocument/2006/relationships/hyperlink" Target="https://gdccm01.gddsi.com:9443/ccm/web/projects/MUOS%20SAFe%204.0%20Project" TargetMode="External"/><Relationship Id="rId448" Type="http://schemas.openxmlformats.org/officeDocument/2006/relationships/hyperlink" Target="https://gdccm01.gddsi.com:9443/ccm/web/projects/MUOS%20SAFe%204.0%20Project" TargetMode="External"/><Relationship Id="rId613" Type="http://schemas.openxmlformats.org/officeDocument/2006/relationships/hyperlink" Target="https://gdccm01.gddsi.com:9443/ccm/web/projects/MUOS%20SAFe%204.0%20Project" TargetMode="External"/><Relationship Id="rId655" Type="http://schemas.openxmlformats.org/officeDocument/2006/relationships/hyperlink" Target="https://gdccm01.gddsi.com:9443/ccm/web/projects/MUOS%20SAFe%204.0%20Project" TargetMode="External"/><Relationship Id="rId252" Type="http://schemas.openxmlformats.org/officeDocument/2006/relationships/hyperlink" Target="https://gdccm01.gddsi.com:9443/ccm/web/projects/MUOS%20SAFe%204.0%20Project" TargetMode="External"/><Relationship Id="rId294" Type="http://schemas.openxmlformats.org/officeDocument/2006/relationships/hyperlink" Target="https://gdccm01.gddsi.com:9443/ccm/web/projects/MUOS%20SAFe%204.0%20Project" TargetMode="External"/><Relationship Id="rId308" Type="http://schemas.openxmlformats.org/officeDocument/2006/relationships/hyperlink" Target="https://gdccm01.gddsi.com:9443/ccm/web/projects/MUOS%20SAFe%204.0%20Project" TargetMode="External"/><Relationship Id="rId515" Type="http://schemas.openxmlformats.org/officeDocument/2006/relationships/hyperlink" Target="https://gdccm01.gddsi.com:9443/ccm/web/projects/MUOS%20SAFe%204.0%20Project" TargetMode="External"/><Relationship Id="rId47" Type="http://schemas.openxmlformats.org/officeDocument/2006/relationships/hyperlink" Target="https://gdccm01.gddsi.com:9443/ccm/web/projects/MUOS%20SAFe%204.0%20Project" TargetMode="External"/><Relationship Id="rId89" Type="http://schemas.openxmlformats.org/officeDocument/2006/relationships/hyperlink" Target="https://gdccm01.gddsi.com:9443/ccm/web/projects/MUOS%20SAFe%204.0%20Project" TargetMode="External"/><Relationship Id="rId112" Type="http://schemas.openxmlformats.org/officeDocument/2006/relationships/hyperlink" Target="https://gdccm01.gddsi.com:9443/ccm/web/projects/MUOS%20SAFe%204.0%20Project" TargetMode="External"/><Relationship Id="rId154" Type="http://schemas.openxmlformats.org/officeDocument/2006/relationships/hyperlink" Target="https://gdccm01.gddsi.com:9443/ccm/web/projects/MUOS%20SAFe%204.0%20Project" TargetMode="External"/><Relationship Id="rId361" Type="http://schemas.openxmlformats.org/officeDocument/2006/relationships/hyperlink" Target="https://gdccm01.gddsi.com:9443/ccm/web/projects/MUOS%20SAFe%204.0%20Project" TargetMode="External"/><Relationship Id="rId557" Type="http://schemas.openxmlformats.org/officeDocument/2006/relationships/hyperlink" Target="https://gdccm01.gddsi.com:9443/ccm/web/projects/MUOS%20SAFe%204.0%20Project" TargetMode="External"/><Relationship Id="rId599" Type="http://schemas.openxmlformats.org/officeDocument/2006/relationships/hyperlink" Target="https://gdccm01.gddsi.com:9443/ccm/web/projects/MUOS%20SAFe%204.0%20Project" TargetMode="External"/><Relationship Id="rId196" Type="http://schemas.openxmlformats.org/officeDocument/2006/relationships/hyperlink" Target="https://gdccm01.gddsi.com:9443/ccm/web/projects/MUOS%20SAFe%204.0%20Project" TargetMode="External"/><Relationship Id="rId417" Type="http://schemas.openxmlformats.org/officeDocument/2006/relationships/hyperlink" Target="https://gdccm01.gddsi.com:9443/ccm/web/projects/MUOS%20SAFe%204.0%20Project" TargetMode="External"/><Relationship Id="rId459" Type="http://schemas.openxmlformats.org/officeDocument/2006/relationships/hyperlink" Target="https://gdccm01.gddsi.com:9443/ccm/web/projects/MUOS%20SAFe%204.0%20Project" TargetMode="External"/><Relationship Id="rId624" Type="http://schemas.openxmlformats.org/officeDocument/2006/relationships/hyperlink" Target="https://gdccm01.gddsi.com:9443/ccm/web/projects/MUOS%20SAFe%204.0%20Project" TargetMode="External"/><Relationship Id="rId666" Type="http://schemas.openxmlformats.org/officeDocument/2006/relationships/hyperlink" Target="https://gdccm01.gddsi.com:9443/ccm/web/projects/MUOS%20SAFe%204.0%20Project" TargetMode="External"/><Relationship Id="rId16" Type="http://schemas.openxmlformats.org/officeDocument/2006/relationships/hyperlink" Target="https://gdccm01.gddsi.com:9443/ccm/web/projects/MUOS%20SAFe%204.0%20Project" TargetMode="External"/><Relationship Id="rId221" Type="http://schemas.openxmlformats.org/officeDocument/2006/relationships/hyperlink" Target="https://gdccm01.gddsi.com:9443/ccm/web/projects/MUOS%20SAFe%204.0%20Project" TargetMode="External"/><Relationship Id="rId263" Type="http://schemas.openxmlformats.org/officeDocument/2006/relationships/hyperlink" Target="https://gdccm01.gddsi.com:9443/ccm/web/projects/MUOS%20SAFe%204.0%20Project" TargetMode="External"/><Relationship Id="rId319" Type="http://schemas.openxmlformats.org/officeDocument/2006/relationships/hyperlink" Target="https://gdccm01.gddsi.com:9443/ccm/web/projects/MUOS%20SAFe%204.0%20Project" TargetMode="External"/><Relationship Id="rId470" Type="http://schemas.openxmlformats.org/officeDocument/2006/relationships/hyperlink" Target="https://gdccm01.gddsi.com:9443/ccm/web/projects/MUOS%20SAFe%204.0%20Project" TargetMode="External"/><Relationship Id="rId526" Type="http://schemas.openxmlformats.org/officeDocument/2006/relationships/hyperlink" Target="https://gdccm01.gddsi.com:9443/ccm/web/projects/MUOS%20SAFe%204.0%20Project" TargetMode="External"/><Relationship Id="rId58" Type="http://schemas.openxmlformats.org/officeDocument/2006/relationships/hyperlink" Target="https://gdccm01.gddsi.com:9443/ccm/web/projects/MUOS%20SAFe%204.0%20Project" TargetMode="External"/><Relationship Id="rId123" Type="http://schemas.openxmlformats.org/officeDocument/2006/relationships/hyperlink" Target="https://gdccm01.gddsi.com:9443/ccm/web/projects/MUOS%20SAFe%204.0%20Project" TargetMode="External"/><Relationship Id="rId330" Type="http://schemas.openxmlformats.org/officeDocument/2006/relationships/hyperlink" Target="https://gdccm01.gddsi.com:9443/ccm/web/projects/MUOS%20SAFe%204.0%20Project" TargetMode="External"/><Relationship Id="rId568" Type="http://schemas.openxmlformats.org/officeDocument/2006/relationships/hyperlink" Target="https://gdccm01.gddsi.com:9443/ccm/web/projects/MUOS%20SAFe%204.0%20Project" TargetMode="External"/><Relationship Id="rId165" Type="http://schemas.openxmlformats.org/officeDocument/2006/relationships/hyperlink" Target="https://gdccm01.gddsi.com:9443/ccm/web/projects/MUOS%20SAFe%204.0%20Project" TargetMode="External"/><Relationship Id="rId372" Type="http://schemas.openxmlformats.org/officeDocument/2006/relationships/hyperlink" Target="https://gdccm01.gddsi.com:9443/ccm/web/projects/MUOS%20SAFe%204.0%20Project" TargetMode="External"/><Relationship Id="rId428" Type="http://schemas.openxmlformats.org/officeDocument/2006/relationships/hyperlink" Target="https://gdccm01.gddsi.com:9443/ccm/web/projects/MUOS%20SAFe%204.0%20Project" TargetMode="External"/><Relationship Id="rId635" Type="http://schemas.openxmlformats.org/officeDocument/2006/relationships/hyperlink" Target="https://gdccm01.gddsi.com:9443/ccm/web/projects/MUOS%20SAFe%204.0%20Project" TargetMode="External"/><Relationship Id="rId677" Type="http://schemas.openxmlformats.org/officeDocument/2006/relationships/ctrlProp" Target="../ctrlProps/ctrlProp14.xml"/><Relationship Id="rId232" Type="http://schemas.openxmlformats.org/officeDocument/2006/relationships/hyperlink" Target="https://gdccm01.gddsi.com:9443/ccm/web/projects/MUOS%20SAFe%204.0%20Project" TargetMode="External"/><Relationship Id="rId274" Type="http://schemas.openxmlformats.org/officeDocument/2006/relationships/hyperlink" Target="https://gdccm01.gddsi.com:9443/ccm/web/projects/MUOS%20SAFe%204.0%20Project" TargetMode="External"/><Relationship Id="rId481" Type="http://schemas.openxmlformats.org/officeDocument/2006/relationships/hyperlink" Target="https://gdccm01.gddsi.com:9443/ccm/web/projects/MUOS%20SAFe%204.0%20Project" TargetMode="External"/><Relationship Id="rId27" Type="http://schemas.openxmlformats.org/officeDocument/2006/relationships/hyperlink" Target="https://gdccm01.gddsi.com:9443/ccm/web/projects/MUOS%20SAFe%204.0%20Project" TargetMode="External"/><Relationship Id="rId69" Type="http://schemas.openxmlformats.org/officeDocument/2006/relationships/hyperlink" Target="https://gdccm01.gddsi.com:9443/ccm/web/projects/MUOS%20SAFe%204.0%20Project" TargetMode="External"/><Relationship Id="rId134" Type="http://schemas.openxmlformats.org/officeDocument/2006/relationships/hyperlink" Target="https://gdccm01.gddsi.com:9443/ccm/web/projects/MUOS%20SAFe%204.0%20Project" TargetMode="External"/><Relationship Id="rId537" Type="http://schemas.openxmlformats.org/officeDocument/2006/relationships/hyperlink" Target="https://gdccm01.gddsi.com:9443/ccm/web/projects/MUOS%20SAFe%204.0%20Project" TargetMode="External"/><Relationship Id="rId579" Type="http://schemas.openxmlformats.org/officeDocument/2006/relationships/hyperlink" Target="https://gdccm01.gddsi.com:9443/ccm/web/projects/MUOS%20SAFe%204.0%20Project" TargetMode="External"/><Relationship Id="rId80" Type="http://schemas.openxmlformats.org/officeDocument/2006/relationships/hyperlink" Target="https://gdccm01.gddsi.com:9443/ccm/web/projects/MUOS%20SAFe%204.0%20Project" TargetMode="External"/><Relationship Id="rId176" Type="http://schemas.openxmlformats.org/officeDocument/2006/relationships/hyperlink" Target="https://gdccm01.gddsi.com:9443/ccm/web/projects/MUOS%20SAFe%204.0%20Project" TargetMode="External"/><Relationship Id="rId341" Type="http://schemas.openxmlformats.org/officeDocument/2006/relationships/hyperlink" Target="https://gdccm01.gddsi.com:9443/ccm/web/projects/MUOS%20SAFe%204.0%20Project" TargetMode="External"/><Relationship Id="rId383" Type="http://schemas.openxmlformats.org/officeDocument/2006/relationships/hyperlink" Target="https://gdccm01.gddsi.com:9443/ccm/web/projects/MUOS%20SAFe%204.0%20Project" TargetMode="External"/><Relationship Id="rId439" Type="http://schemas.openxmlformats.org/officeDocument/2006/relationships/hyperlink" Target="https://gdccm01.gddsi.com:9443/ccm/web/projects/MUOS%20SAFe%204.0%20Project" TargetMode="External"/><Relationship Id="rId590" Type="http://schemas.openxmlformats.org/officeDocument/2006/relationships/hyperlink" Target="https://gdccm01.gddsi.com:9443/ccm/web/projects/MUOS%20SAFe%204.0%20Project" TargetMode="External"/><Relationship Id="rId604" Type="http://schemas.openxmlformats.org/officeDocument/2006/relationships/hyperlink" Target="https://gdccm01.gddsi.com:9443/ccm/web/projects/MUOS%20SAFe%204.0%20Project" TargetMode="External"/><Relationship Id="rId646" Type="http://schemas.openxmlformats.org/officeDocument/2006/relationships/hyperlink" Target="https://gdccm01.gddsi.com:9443/ccm/web/projects/MUOS%20SAFe%204.0%20Project" TargetMode="External"/><Relationship Id="rId201" Type="http://schemas.openxmlformats.org/officeDocument/2006/relationships/hyperlink" Target="https://gdccm01.gddsi.com:9443/ccm/web/projects/MUOS%20SAFe%204.0%20Project" TargetMode="External"/><Relationship Id="rId243" Type="http://schemas.openxmlformats.org/officeDocument/2006/relationships/hyperlink" Target="https://gdccm01.gddsi.com:9443/ccm/web/projects/MUOS%20SAFe%204.0%20Project" TargetMode="External"/><Relationship Id="rId285" Type="http://schemas.openxmlformats.org/officeDocument/2006/relationships/hyperlink" Target="https://gdccm01.gddsi.com:9443/ccm/web/projects/MUOS%20SAFe%204.0%20Project" TargetMode="External"/><Relationship Id="rId450" Type="http://schemas.openxmlformats.org/officeDocument/2006/relationships/hyperlink" Target="https://gdccm01.gddsi.com:9443/ccm/web/projects/MUOS%20SAFe%204.0%20Project" TargetMode="External"/><Relationship Id="rId506" Type="http://schemas.openxmlformats.org/officeDocument/2006/relationships/hyperlink" Target="https://gdccm01.gddsi.com:9443/ccm/web/projects/MUOS%20SAFe%204.0%20Project" TargetMode="External"/><Relationship Id="rId38" Type="http://schemas.openxmlformats.org/officeDocument/2006/relationships/hyperlink" Target="https://gdccm01.gddsi.com:9443/ccm/web/projects/MUOS%20SAFe%204.0%20Project" TargetMode="External"/><Relationship Id="rId103" Type="http://schemas.openxmlformats.org/officeDocument/2006/relationships/hyperlink" Target="https://gdccm01.gddsi.com:9443/ccm/web/projects/MUOS%20SAFe%204.0%20Project" TargetMode="External"/><Relationship Id="rId310" Type="http://schemas.openxmlformats.org/officeDocument/2006/relationships/hyperlink" Target="https://gdccm01.gddsi.com:9443/ccm/web/projects/MUOS%20SAFe%204.0%20Project" TargetMode="External"/><Relationship Id="rId492" Type="http://schemas.openxmlformats.org/officeDocument/2006/relationships/hyperlink" Target="https://gdccm01.gddsi.com:9443/ccm/web/projects/MUOS%20SAFe%204.0%20Project" TargetMode="External"/><Relationship Id="rId548" Type="http://schemas.openxmlformats.org/officeDocument/2006/relationships/hyperlink" Target="https://gdccm01.gddsi.com:9443/ccm/web/projects/MUOS%20SAFe%204.0%20Project" TargetMode="External"/><Relationship Id="rId91" Type="http://schemas.openxmlformats.org/officeDocument/2006/relationships/hyperlink" Target="https://gdccm01.gddsi.com:9443/ccm/web/projects/MUOS%20SAFe%204.0%20Project" TargetMode="External"/><Relationship Id="rId145" Type="http://schemas.openxmlformats.org/officeDocument/2006/relationships/hyperlink" Target="https://gdccm01.gddsi.com:9443/ccm/web/projects/MUOS%20SAFe%204.0%20Project" TargetMode="External"/><Relationship Id="rId187" Type="http://schemas.openxmlformats.org/officeDocument/2006/relationships/hyperlink" Target="https://gdccm01.gddsi.com:9443/ccm/web/projects/MUOS%20SAFe%204.0%20Project" TargetMode="External"/><Relationship Id="rId352" Type="http://schemas.openxmlformats.org/officeDocument/2006/relationships/hyperlink" Target="https://gdccm01.gddsi.com:9443/ccm/web/projects/MUOS%20SAFe%204.0%20Project" TargetMode="External"/><Relationship Id="rId394" Type="http://schemas.openxmlformats.org/officeDocument/2006/relationships/hyperlink" Target="https://gdccm01.gddsi.com:9443/ccm/web/projects/MUOS%20SAFe%204.0%20Project" TargetMode="External"/><Relationship Id="rId408" Type="http://schemas.openxmlformats.org/officeDocument/2006/relationships/hyperlink" Target="https://gdccm01.gddsi.com:9443/ccm/web/projects/MUOS%20SAFe%204.0%20Project" TargetMode="External"/><Relationship Id="rId615" Type="http://schemas.openxmlformats.org/officeDocument/2006/relationships/hyperlink" Target="https://gdccm01.gddsi.com:9443/ccm/web/projects/MUOS%20SAFe%204.0%20Project" TargetMode="External"/><Relationship Id="rId212" Type="http://schemas.openxmlformats.org/officeDocument/2006/relationships/hyperlink" Target="https://gdccm01.gddsi.com:9443/ccm/web/projects/MUOS%20SAFe%204.0%20Project" TargetMode="External"/><Relationship Id="rId254" Type="http://schemas.openxmlformats.org/officeDocument/2006/relationships/hyperlink" Target="https://gdccm01.gddsi.com:9443/ccm/web/projects/MUOS%20SAFe%204.0%20Project" TargetMode="External"/><Relationship Id="rId657" Type="http://schemas.openxmlformats.org/officeDocument/2006/relationships/hyperlink" Target="https://gdccm01.gddsi.com:9443/ccm/web/projects/MUOS%20SAFe%204.0%20Project" TargetMode="External"/><Relationship Id="rId49" Type="http://schemas.openxmlformats.org/officeDocument/2006/relationships/hyperlink" Target="https://gdccm01.gddsi.com:9443/ccm/web/projects/MUOS%20SAFe%204.0%20Project" TargetMode="External"/><Relationship Id="rId114" Type="http://schemas.openxmlformats.org/officeDocument/2006/relationships/hyperlink" Target="https://gdccm01.gddsi.com:9443/ccm/web/projects/MUOS%20SAFe%204.0%20Project" TargetMode="External"/><Relationship Id="rId296" Type="http://schemas.openxmlformats.org/officeDocument/2006/relationships/hyperlink" Target="https://gdccm01.gddsi.com:9443/ccm/web/projects/MUOS%20SAFe%204.0%20Project" TargetMode="External"/><Relationship Id="rId461" Type="http://schemas.openxmlformats.org/officeDocument/2006/relationships/hyperlink" Target="https://gdccm01.gddsi.com:9443/ccm/web/projects/MUOS%20SAFe%204.0%20Project" TargetMode="External"/><Relationship Id="rId517" Type="http://schemas.openxmlformats.org/officeDocument/2006/relationships/hyperlink" Target="https://gdccm01.gddsi.com:9443/ccm/web/projects/MUOS%20SAFe%204.0%20Project" TargetMode="External"/><Relationship Id="rId559" Type="http://schemas.openxmlformats.org/officeDocument/2006/relationships/hyperlink" Target="https://gdccm01.gddsi.com:9443/ccm/web/projects/MUOS%20SAFe%204.0%20Project" TargetMode="External"/><Relationship Id="rId60" Type="http://schemas.openxmlformats.org/officeDocument/2006/relationships/hyperlink" Target="https://gdccm01.gddsi.com:9443/ccm/web/projects/MUOS%20SAFe%204.0%20Project" TargetMode="External"/><Relationship Id="rId156" Type="http://schemas.openxmlformats.org/officeDocument/2006/relationships/hyperlink" Target="https://gdccm01.gddsi.com:9443/ccm/web/projects/MUOS%20SAFe%204.0%20Project" TargetMode="External"/><Relationship Id="rId198" Type="http://schemas.openxmlformats.org/officeDocument/2006/relationships/hyperlink" Target="https://gdccm01.gddsi.com:9443/ccm/web/projects/MUOS%20SAFe%204.0%20Project" TargetMode="External"/><Relationship Id="rId321" Type="http://schemas.openxmlformats.org/officeDocument/2006/relationships/hyperlink" Target="https://gdccm01.gddsi.com:9443/ccm/web/projects/MUOS%20SAFe%204.0%20Project" TargetMode="External"/><Relationship Id="rId363" Type="http://schemas.openxmlformats.org/officeDocument/2006/relationships/hyperlink" Target="https://gdccm01.gddsi.com:9443/ccm/web/projects/MUOS%20SAFe%204.0%20Project" TargetMode="External"/><Relationship Id="rId419" Type="http://schemas.openxmlformats.org/officeDocument/2006/relationships/hyperlink" Target="https://gdccm01.gddsi.com:9443/ccm/web/projects/MUOS%20SAFe%204.0%20Project" TargetMode="External"/><Relationship Id="rId570" Type="http://schemas.openxmlformats.org/officeDocument/2006/relationships/hyperlink" Target="https://gdccm01.gddsi.com:9443/ccm/web/projects/MUOS%20SAFe%204.0%20Project" TargetMode="External"/><Relationship Id="rId626" Type="http://schemas.openxmlformats.org/officeDocument/2006/relationships/hyperlink" Target="https://gdccm01.gddsi.com:9443/ccm/web/projects/MUOS%20SAFe%204.0%20Project" TargetMode="External"/><Relationship Id="rId223" Type="http://schemas.openxmlformats.org/officeDocument/2006/relationships/hyperlink" Target="https://gdccm01.gddsi.com:9443/ccm/web/projects/MUOS%20SAFe%204.0%20Project" TargetMode="External"/><Relationship Id="rId430" Type="http://schemas.openxmlformats.org/officeDocument/2006/relationships/hyperlink" Target="https://gdccm01.gddsi.com:9443/ccm/web/projects/MUOS%20SAFe%204.0%20Project" TargetMode="External"/><Relationship Id="rId668" Type="http://schemas.openxmlformats.org/officeDocument/2006/relationships/hyperlink" Target="https://gdccm01.gddsi.com:9443/ccm/web/projects/MUOS%20SAFe%204.0%20Project" TargetMode="External"/><Relationship Id="rId18" Type="http://schemas.openxmlformats.org/officeDocument/2006/relationships/hyperlink" Target="https://gdccm01.gddsi.com:9443/ccm/web/projects/MUOS%20SAFe%204.0%20Project" TargetMode="External"/><Relationship Id="rId265" Type="http://schemas.openxmlformats.org/officeDocument/2006/relationships/hyperlink" Target="https://gdccm01.gddsi.com:9443/ccm/web/projects/MUOS%20SAFe%204.0%20Project" TargetMode="External"/><Relationship Id="rId472" Type="http://schemas.openxmlformats.org/officeDocument/2006/relationships/hyperlink" Target="https://gdccm01.gddsi.com:9443/ccm/web/projects/MUOS%20SAFe%204.0%20Project" TargetMode="External"/><Relationship Id="rId528" Type="http://schemas.openxmlformats.org/officeDocument/2006/relationships/hyperlink" Target="https://gdccm01.gddsi.com:9443/ccm/web/projects/MUOS%20SAFe%204.0%20Project" TargetMode="External"/><Relationship Id="rId125" Type="http://schemas.openxmlformats.org/officeDocument/2006/relationships/hyperlink" Target="https://gdccm01.gddsi.com:9443/ccm/web/projects/MUOS%20SAFe%204.0%20Project" TargetMode="External"/><Relationship Id="rId167" Type="http://schemas.openxmlformats.org/officeDocument/2006/relationships/hyperlink" Target="https://gdccm01.gddsi.com:9443/ccm/web/projects/MUOS%20SAFe%204.0%20Project" TargetMode="External"/><Relationship Id="rId332" Type="http://schemas.openxmlformats.org/officeDocument/2006/relationships/hyperlink" Target="https://gdccm01.gddsi.com:9443/ccm/web/projects/MUOS%20SAFe%204.0%20Project" TargetMode="External"/><Relationship Id="rId374" Type="http://schemas.openxmlformats.org/officeDocument/2006/relationships/hyperlink" Target="https://gdccm01.gddsi.com:9443/ccm/web/projects/MUOS%20SAFe%204.0%20Project" TargetMode="External"/><Relationship Id="rId581" Type="http://schemas.openxmlformats.org/officeDocument/2006/relationships/hyperlink" Target="https://gdccm01.gddsi.com:9443/ccm/web/projects/MUOS%20SAFe%204.0%20Project" TargetMode="External"/><Relationship Id="rId71" Type="http://schemas.openxmlformats.org/officeDocument/2006/relationships/hyperlink" Target="https://gdccm01.gddsi.com:9443/ccm/web/projects/MUOS%20SAFe%204.0%20Project" TargetMode="External"/><Relationship Id="rId92" Type="http://schemas.openxmlformats.org/officeDocument/2006/relationships/hyperlink" Target="https://gdccm01.gddsi.com:9443/ccm/web/projects/MUOS%20SAFe%204.0%20Project" TargetMode="External"/><Relationship Id="rId213" Type="http://schemas.openxmlformats.org/officeDocument/2006/relationships/hyperlink" Target="https://gdccm01.gddsi.com:9443/ccm/web/projects/MUOS%20SAFe%204.0%20Project" TargetMode="External"/><Relationship Id="rId234" Type="http://schemas.openxmlformats.org/officeDocument/2006/relationships/hyperlink" Target="https://gdccm01.gddsi.com:9443/ccm/web/projects/MUOS%20SAFe%204.0%20Project" TargetMode="External"/><Relationship Id="rId420" Type="http://schemas.openxmlformats.org/officeDocument/2006/relationships/hyperlink" Target="https://gdccm01.gddsi.com:9443/ccm/web/projects/MUOS%20SAFe%204.0%20Project" TargetMode="External"/><Relationship Id="rId616" Type="http://schemas.openxmlformats.org/officeDocument/2006/relationships/hyperlink" Target="https://gdccm01.gddsi.com:9443/ccm/web/projects/MUOS%20SAFe%204.0%20Project" TargetMode="External"/><Relationship Id="rId637" Type="http://schemas.openxmlformats.org/officeDocument/2006/relationships/hyperlink" Target="https://gdccm01.gddsi.com:9443/ccm/web/projects/MUOS%20SAFe%204.0%20Project" TargetMode="External"/><Relationship Id="rId658" Type="http://schemas.openxmlformats.org/officeDocument/2006/relationships/hyperlink" Target="https://gdccm01.gddsi.com:9443/ccm/web/projects/MUOS%20SAFe%204.0%20Project" TargetMode="External"/><Relationship Id="rId679" Type="http://schemas.openxmlformats.org/officeDocument/2006/relationships/comments" Target="../comments2.xml"/><Relationship Id="rId2" Type="http://schemas.openxmlformats.org/officeDocument/2006/relationships/hyperlink" Target="https://gdccm01.gddsi.com:9443/ccm/web/projects/MUOS%20SAFe%204.0%20Project" TargetMode="External"/><Relationship Id="rId29" Type="http://schemas.openxmlformats.org/officeDocument/2006/relationships/hyperlink" Target="https://gdccm01.gddsi.com:9443/ccm/web/projects/MUOS%20SAFe%204.0%20Project" TargetMode="External"/><Relationship Id="rId255" Type="http://schemas.openxmlformats.org/officeDocument/2006/relationships/hyperlink" Target="https://gdccm01.gddsi.com:9443/ccm/web/projects/MUOS%20SAFe%204.0%20Project" TargetMode="External"/><Relationship Id="rId276" Type="http://schemas.openxmlformats.org/officeDocument/2006/relationships/hyperlink" Target="https://gdccm01.gddsi.com:9443/ccm/web/projects/MUOS%20SAFe%204.0%20Project" TargetMode="External"/><Relationship Id="rId297" Type="http://schemas.openxmlformats.org/officeDocument/2006/relationships/hyperlink" Target="https://gdccm01.gddsi.com:9443/ccm/web/projects/MUOS%20SAFe%204.0%20Project" TargetMode="External"/><Relationship Id="rId441" Type="http://schemas.openxmlformats.org/officeDocument/2006/relationships/hyperlink" Target="https://gdccm01.gddsi.com:9443/ccm/web/projects/MUOS%20SAFe%204.0%20Project" TargetMode="External"/><Relationship Id="rId462" Type="http://schemas.openxmlformats.org/officeDocument/2006/relationships/hyperlink" Target="https://gdccm01.gddsi.com:9443/ccm/web/projects/MUOS%20SAFe%204.0%20Project" TargetMode="External"/><Relationship Id="rId483" Type="http://schemas.openxmlformats.org/officeDocument/2006/relationships/hyperlink" Target="https://gdccm01.gddsi.com:9443/ccm/web/projects/MUOS%20SAFe%204.0%20Project" TargetMode="External"/><Relationship Id="rId518" Type="http://schemas.openxmlformats.org/officeDocument/2006/relationships/hyperlink" Target="https://gdccm01.gddsi.com:9443/ccm/web/projects/MUOS%20SAFe%204.0%20Project" TargetMode="External"/><Relationship Id="rId539" Type="http://schemas.openxmlformats.org/officeDocument/2006/relationships/hyperlink" Target="https://gdccm01.gddsi.com:9443/ccm/web/projects/MUOS%20SAFe%204.0%20Project" TargetMode="External"/><Relationship Id="rId40" Type="http://schemas.openxmlformats.org/officeDocument/2006/relationships/hyperlink" Target="https://gdccm01.gddsi.com:9443/ccm/web/projects/MUOS%20SAFe%204.0%20Project" TargetMode="External"/><Relationship Id="rId115" Type="http://schemas.openxmlformats.org/officeDocument/2006/relationships/hyperlink" Target="https://gdccm01.gddsi.com:9443/ccm/web/projects/MUOS%20SAFe%204.0%20Project" TargetMode="External"/><Relationship Id="rId136" Type="http://schemas.openxmlformats.org/officeDocument/2006/relationships/hyperlink" Target="https://gdccm01.gddsi.com:9443/ccm/web/projects/MUOS%20SAFe%204.0%20Project" TargetMode="External"/><Relationship Id="rId157" Type="http://schemas.openxmlformats.org/officeDocument/2006/relationships/hyperlink" Target="https://gdccm01.gddsi.com:9443/ccm/web/projects/MUOS%20SAFe%204.0%20Project" TargetMode="External"/><Relationship Id="rId178" Type="http://schemas.openxmlformats.org/officeDocument/2006/relationships/hyperlink" Target="https://gdccm01.gddsi.com:9443/ccm/web/projects/MUOS%20SAFe%204.0%20Project" TargetMode="External"/><Relationship Id="rId301" Type="http://schemas.openxmlformats.org/officeDocument/2006/relationships/hyperlink" Target="https://gdccm01.gddsi.com:9443/ccm/web/projects/MUOS%20SAFe%204.0%20Project" TargetMode="External"/><Relationship Id="rId322" Type="http://schemas.openxmlformats.org/officeDocument/2006/relationships/hyperlink" Target="https://gdccm01.gddsi.com:9443/ccm/web/projects/MUOS%20SAFe%204.0%20Project" TargetMode="External"/><Relationship Id="rId343" Type="http://schemas.openxmlformats.org/officeDocument/2006/relationships/hyperlink" Target="https://gdccm01.gddsi.com:9443/ccm/web/projects/MUOS%20SAFe%204.0%20Project" TargetMode="External"/><Relationship Id="rId364" Type="http://schemas.openxmlformats.org/officeDocument/2006/relationships/hyperlink" Target="https://gdccm01.gddsi.com:9443/ccm/web/projects/MUOS%20SAFe%204.0%20Project" TargetMode="External"/><Relationship Id="rId550" Type="http://schemas.openxmlformats.org/officeDocument/2006/relationships/hyperlink" Target="https://gdccm01.gddsi.com:9443/ccm/web/projects/MUOS%20SAFe%204.0%20Project" TargetMode="External"/><Relationship Id="rId61" Type="http://schemas.openxmlformats.org/officeDocument/2006/relationships/hyperlink" Target="https://gdccm01.gddsi.com:9443/ccm/web/projects/MUOS%20SAFe%204.0%20Project" TargetMode="External"/><Relationship Id="rId82" Type="http://schemas.openxmlformats.org/officeDocument/2006/relationships/hyperlink" Target="https://gdccm01.gddsi.com:9443/ccm/web/projects/MUOS%20SAFe%204.0%20Project" TargetMode="External"/><Relationship Id="rId199" Type="http://schemas.openxmlformats.org/officeDocument/2006/relationships/hyperlink" Target="https://gdccm01.gddsi.com:9443/ccm/web/projects/MUOS%20SAFe%204.0%20Project" TargetMode="External"/><Relationship Id="rId203" Type="http://schemas.openxmlformats.org/officeDocument/2006/relationships/hyperlink" Target="https://gdccm01.gddsi.com:9443/ccm/web/projects/MUOS%20SAFe%204.0%20Project" TargetMode="External"/><Relationship Id="rId385" Type="http://schemas.openxmlformats.org/officeDocument/2006/relationships/hyperlink" Target="https://gdccm01.gddsi.com:9443/ccm/web/projects/MUOS%20SAFe%204.0%20Project" TargetMode="External"/><Relationship Id="rId571" Type="http://schemas.openxmlformats.org/officeDocument/2006/relationships/hyperlink" Target="https://gdccm01.gddsi.com:9443/ccm/web/projects/MUOS%20SAFe%204.0%20Project" TargetMode="External"/><Relationship Id="rId592" Type="http://schemas.openxmlformats.org/officeDocument/2006/relationships/hyperlink" Target="https://gdccm01.gddsi.com:9443/ccm/web/projects/MUOS%20SAFe%204.0%20Project" TargetMode="External"/><Relationship Id="rId606" Type="http://schemas.openxmlformats.org/officeDocument/2006/relationships/hyperlink" Target="https://gdccm01.gddsi.com:9443/ccm/web/projects/MUOS%20SAFe%204.0%20Project" TargetMode="External"/><Relationship Id="rId627" Type="http://schemas.openxmlformats.org/officeDocument/2006/relationships/hyperlink" Target="https://gdccm01.gddsi.com:9443/ccm/web/projects/MUOS%20SAFe%204.0%20Project" TargetMode="External"/><Relationship Id="rId648" Type="http://schemas.openxmlformats.org/officeDocument/2006/relationships/hyperlink" Target="https://gdccm01.gddsi.com:9443/ccm/web/projects/MUOS%20SAFe%204.0%20Project" TargetMode="External"/><Relationship Id="rId669" Type="http://schemas.openxmlformats.org/officeDocument/2006/relationships/hyperlink" Target="https://gdccm01.gddsi.com:9443/ccm/web/projects/MUOS%20SAFe%204.0%20Project" TargetMode="External"/><Relationship Id="rId19" Type="http://schemas.openxmlformats.org/officeDocument/2006/relationships/hyperlink" Target="https://gdccm01.gddsi.com:9443/ccm/web/projects/MUOS%20SAFe%204.0%20Project" TargetMode="External"/><Relationship Id="rId224" Type="http://schemas.openxmlformats.org/officeDocument/2006/relationships/hyperlink" Target="https://gdccm01.gddsi.com:9443/ccm/web/projects/MUOS%20SAFe%204.0%20Project" TargetMode="External"/><Relationship Id="rId245" Type="http://schemas.openxmlformats.org/officeDocument/2006/relationships/hyperlink" Target="https://gdccm01.gddsi.com:9443/ccm/web/projects/MUOS%20SAFe%204.0%20Project" TargetMode="External"/><Relationship Id="rId266" Type="http://schemas.openxmlformats.org/officeDocument/2006/relationships/hyperlink" Target="https://gdccm01.gddsi.com:9443/ccm/web/projects/MUOS%20SAFe%204.0%20Project" TargetMode="External"/><Relationship Id="rId287" Type="http://schemas.openxmlformats.org/officeDocument/2006/relationships/hyperlink" Target="https://gdccm01.gddsi.com:9443/ccm/web/projects/MUOS%20SAFe%204.0%20Project" TargetMode="External"/><Relationship Id="rId410" Type="http://schemas.openxmlformats.org/officeDocument/2006/relationships/hyperlink" Target="https://gdccm01.gddsi.com:9443/ccm/web/projects/MUOS%20SAFe%204.0%20Project" TargetMode="External"/><Relationship Id="rId431" Type="http://schemas.openxmlformats.org/officeDocument/2006/relationships/hyperlink" Target="https://gdccm01.gddsi.com:9443/ccm/web/projects/MUOS%20SAFe%204.0%20Project" TargetMode="External"/><Relationship Id="rId452" Type="http://schemas.openxmlformats.org/officeDocument/2006/relationships/hyperlink" Target="https://gdccm01.gddsi.com:9443/ccm/web/projects/MUOS%20SAFe%204.0%20Project" TargetMode="External"/><Relationship Id="rId473" Type="http://schemas.openxmlformats.org/officeDocument/2006/relationships/hyperlink" Target="https://gdccm01.gddsi.com:9443/ccm/web/projects/MUOS%20SAFe%204.0%20Project" TargetMode="External"/><Relationship Id="rId494" Type="http://schemas.openxmlformats.org/officeDocument/2006/relationships/hyperlink" Target="https://gdccm01.gddsi.com:9443/ccm/web/projects/MUOS%20SAFe%204.0%20Project" TargetMode="External"/><Relationship Id="rId508" Type="http://schemas.openxmlformats.org/officeDocument/2006/relationships/hyperlink" Target="https://gdccm01.gddsi.com:9443/ccm/web/projects/MUOS%20SAFe%204.0%20Project" TargetMode="External"/><Relationship Id="rId529" Type="http://schemas.openxmlformats.org/officeDocument/2006/relationships/hyperlink" Target="https://gdccm01.gddsi.com:9443/ccm/web/projects/MUOS%20SAFe%204.0%20Project" TargetMode="External"/><Relationship Id="rId30" Type="http://schemas.openxmlformats.org/officeDocument/2006/relationships/hyperlink" Target="https://gdccm01.gddsi.com:9443/ccm/web/projects/MUOS%20SAFe%204.0%20Project" TargetMode="External"/><Relationship Id="rId105" Type="http://schemas.openxmlformats.org/officeDocument/2006/relationships/hyperlink" Target="https://gdccm01.gddsi.com:9443/ccm/web/projects/MUOS%20SAFe%204.0%20Project" TargetMode="External"/><Relationship Id="rId126" Type="http://schemas.openxmlformats.org/officeDocument/2006/relationships/hyperlink" Target="https://gdccm01.gddsi.com:9443/ccm/web/projects/MUOS%20SAFe%204.0%20Project" TargetMode="External"/><Relationship Id="rId147" Type="http://schemas.openxmlformats.org/officeDocument/2006/relationships/hyperlink" Target="https://gdccm01.gddsi.com:9443/ccm/web/projects/MUOS%20SAFe%204.0%20Project" TargetMode="External"/><Relationship Id="rId168" Type="http://schemas.openxmlformats.org/officeDocument/2006/relationships/hyperlink" Target="https://gdccm01.gddsi.com:9443/ccm/web/projects/MUOS%20SAFe%204.0%20Project" TargetMode="External"/><Relationship Id="rId312" Type="http://schemas.openxmlformats.org/officeDocument/2006/relationships/hyperlink" Target="https://gdccm01.gddsi.com:9443/ccm/web/projects/MUOS%20SAFe%204.0%20Project" TargetMode="External"/><Relationship Id="rId333" Type="http://schemas.openxmlformats.org/officeDocument/2006/relationships/hyperlink" Target="https://gdccm01.gddsi.com:9443/ccm/web/projects/MUOS%20SAFe%204.0%20Project" TargetMode="External"/><Relationship Id="rId354" Type="http://schemas.openxmlformats.org/officeDocument/2006/relationships/hyperlink" Target="https://gdccm01.gddsi.com:9443/ccm/web/projects/MUOS%20SAFe%204.0%20Project" TargetMode="External"/><Relationship Id="rId540" Type="http://schemas.openxmlformats.org/officeDocument/2006/relationships/hyperlink" Target="https://gdccm01.gddsi.com:9443/ccm/web/projects/MUOS%20SAFe%204.0%20Project" TargetMode="External"/><Relationship Id="rId51" Type="http://schemas.openxmlformats.org/officeDocument/2006/relationships/hyperlink" Target="https://gdccm01.gddsi.com:9443/ccm/web/projects/MUOS%20SAFe%204.0%20Project" TargetMode="External"/><Relationship Id="rId72" Type="http://schemas.openxmlformats.org/officeDocument/2006/relationships/hyperlink" Target="https://gdccm01.gddsi.com:9443/ccm/web/projects/MUOS%20SAFe%204.0%20Project" TargetMode="External"/><Relationship Id="rId93" Type="http://schemas.openxmlformats.org/officeDocument/2006/relationships/hyperlink" Target="https://gdccm01.gddsi.com:9443/ccm/web/projects/MUOS%20SAFe%204.0%20Project" TargetMode="External"/><Relationship Id="rId189" Type="http://schemas.openxmlformats.org/officeDocument/2006/relationships/hyperlink" Target="https://gdccm01.gddsi.com:9443/ccm/web/projects/MUOS%20SAFe%204.0%20Project" TargetMode="External"/><Relationship Id="rId375" Type="http://schemas.openxmlformats.org/officeDocument/2006/relationships/hyperlink" Target="https://gdccm01.gddsi.com:9443/ccm/web/projects/MUOS%20SAFe%204.0%20Project" TargetMode="External"/><Relationship Id="rId396" Type="http://schemas.openxmlformats.org/officeDocument/2006/relationships/hyperlink" Target="https://gdccm01.gddsi.com:9443/ccm/web/projects/MUOS%20SAFe%204.0%20Project" TargetMode="External"/><Relationship Id="rId561" Type="http://schemas.openxmlformats.org/officeDocument/2006/relationships/hyperlink" Target="https://gdccm01.gddsi.com:9443/ccm/web/projects/MUOS%20SAFe%204.0%20Project" TargetMode="External"/><Relationship Id="rId582" Type="http://schemas.openxmlformats.org/officeDocument/2006/relationships/hyperlink" Target="https://gdccm01.gddsi.com:9443/ccm/web/projects/MUOS%20SAFe%204.0%20Project" TargetMode="External"/><Relationship Id="rId617" Type="http://schemas.openxmlformats.org/officeDocument/2006/relationships/hyperlink" Target="https://gdccm01.gddsi.com:9443/ccm/web/projects/MUOS%20SAFe%204.0%20Project" TargetMode="External"/><Relationship Id="rId638" Type="http://schemas.openxmlformats.org/officeDocument/2006/relationships/hyperlink" Target="https://gdccm01.gddsi.com:9443/ccm/web/projects/MUOS%20SAFe%204.0%20Project" TargetMode="External"/><Relationship Id="rId659" Type="http://schemas.openxmlformats.org/officeDocument/2006/relationships/hyperlink" Target="https://gdccm01.gddsi.com:9443/ccm/web/projects/MUOS%20SAFe%204.0%20Project" TargetMode="External"/><Relationship Id="rId3" Type="http://schemas.openxmlformats.org/officeDocument/2006/relationships/hyperlink" Target="https://gdccm01.gddsi.com:9443/ccm/web/projects/MUOS%20SAFe%204.0%20Project" TargetMode="External"/><Relationship Id="rId214" Type="http://schemas.openxmlformats.org/officeDocument/2006/relationships/hyperlink" Target="https://gdccm01.gddsi.com:9443/ccm/web/projects/MUOS%20SAFe%204.0%20Project" TargetMode="External"/><Relationship Id="rId235" Type="http://schemas.openxmlformats.org/officeDocument/2006/relationships/hyperlink" Target="https://gdccm01.gddsi.com:9443/ccm/web/projects/MUOS%20SAFe%204.0%20Project" TargetMode="External"/><Relationship Id="rId256" Type="http://schemas.openxmlformats.org/officeDocument/2006/relationships/hyperlink" Target="https://gdccm01.gddsi.com:9443/ccm/web/projects/MUOS%20SAFe%204.0%20Project" TargetMode="External"/><Relationship Id="rId277" Type="http://schemas.openxmlformats.org/officeDocument/2006/relationships/hyperlink" Target="https://gdccm01.gddsi.com:9443/ccm/web/projects/MUOS%20SAFe%204.0%20Project" TargetMode="External"/><Relationship Id="rId298" Type="http://schemas.openxmlformats.org/officeDocument/2006/relationships/hyperlink" Target="https://gdccm01.gddsi.com:9443/ccm/web/projects/MUOS%20SAFe%204.0%20Project" TargetMode="External"/><Relationship Id="rId400" Type="http://schemas.openxmlformats.org/officeDocument/2006/relationships/hyperlink" Target="https://gdccm01.gddsi.com:9443/ccm/web/projects/MUOS%20SAFe%204.0%20Project" TargetMode="External"/><Relationship Id="rId421" Type="http://schemas.openxmlformats.org/officeDocument/2006/relationships/hyperlink" Target="https://gdccm01.gddsi.com:9443/ccm/web/projects/MUOS%20SAFe%204.0%20Project" TargetMode="External"/><Relationship Id="rId442" Type="http://schemas.openxmlformats.org/officeDocument/2006/relationships/hyperlink" Target="https://gdccm01.gddsi.com:9443/ccm/web/projects/MUOS%20SAFe%204.0%20Project" TargetMode="External"/><Relationship Id="rId463" Type="http://schemas.openxmlformats.org/officeDocument/2006/relationships/hyperlink" Target="https://gdccm01.gddsi.com:9443/ccm/web/projects/MUOS%20SAFe%204.0%20Project" TargetMode="External"/><Relationship Id="rId484" Type="http://schemas.openxmlformats.org/officeDocument/2006/relationships/hyperlink" Target="https://gdccm01.gddsi.com:9443/ccm/web/projects/MUOS%20SAFe%204.0%20Project" TargetMode="External"/><Relationship Id="rId519" Type="http://schemas.openxmlformats.org/officeDocument/2006/relationships/hyperlink" Target="https://gdccm01.gddsi.com:9443/ccm/web/projects/MUOS%20SAFe%204.0%20Project" TargetMode="External"/><Relationship Id="rId670" Type="http://schemas.openxmlformats.org/officeDocument/2006/relationships/hyperlink" Target="https://gdccm01.gddsi.com:9443/ccm/web/projects/MUOS%20SAFe%204.0%20Project" TargetMode="External"/><Relationship Id="rId116" Type="http://schemas.openxmlformats.org/officeDocument/2006/relationships/hyperlink" Target="https://gdccm01.gddsi.com:9443/ccm/web/projects/MUOS%20SAFe%204.0%20Project" TargetMode="External"/><Relationship Id="rId137" Type="http://schemas.openxmlformats.org/officeDocument/2006/relationships/hyperlink" Target="https://gdccm01.gddsi.com:9443/ccm/web/projects/MUOS%20SAFe%204.0%20Project" TargetMode="External"/><Relationship Id="rId158" Type="http://schemas.openxmlformats.org/officeDocument/2006/relationships/hyperlink" Target="https://gdccm01.gddsi.com:9443/ccm/web/projects/MUOS%20SAFe%204.0%20Project" TargetMode="External"/><Relationship Id="rId302" Type="http://schemas.openxmlformats.org/officeDocument/2006/relationships/hyperlink" Target="https://gdccm01.gddsi.com:9443/ccm/web/projects/MUOS%20SAFe%204.0%20Project" TargetMode="External"/><Relationship Id="rId323" Type="http://schemas.openxmlformats.org/officeDocument/2006/relationships/hyperlink" Target="https://gdccm01.gddsi.com:9443/ccm/web/projects/MUOS%20SAFe%204.0%20Project" TargetMode="External"/><Relationship Id="rId344" Type="http://schemas.openxmlformats.org/officeDocument/2006/relationships/hyperlink" Target="https://gdccm01.gddsi.com:9443/ccm/web/projects/MUOS%20SAFe%204.0%20Project" TargetMode="External"/><Relationship Id="rId530" Type="http://schemas.openxmlformats.org/officeDocument/2006/relationships/hyperlink" Target="https://gdccm01.gddsi.com:9443/ccm/web/projects/MUOS%20SAFe%204.0%20Project" TargetMode="External"/><Relationship Id="rId20" Type="http://schemas.openxmlformats.org/officeDocument/2006/relationships/hyperlink" Target="https://gdccm01.gddsi.com:9443/ccm/web/projects/MUOS%20SAFe%204.0%20Project" TargetMode="External"/><Relationship Id="rId41" Type="http://schemas.openxmlformats.org/officeDocument/2006/relationships/hyperlink" Target="https://gdccm01.gddsi.com:9443/ccm/web/projects/MUOS%20SAFe%204.0%20Project" TargetMode="External"/><Relationship Id="rId62" Type="http://schemas.openxmlformats.org/officeDocument/2006/relationships/hyperlink" Target="https://gdccm01.gddsi.com:9443/ccm/web/projects/MUOS%20SAFe%204.0%20Project" TargetMode="External"/><Relationship Id="rId83" Type="http://schemas.openxmlformats.org/officeDocument/2006/relationships/hyperlink" Target="https://gdccm01.gddsi.com:9443/ccm/web/projects/MUOS%20SAFe%204.0%20Project" TargetMode="External"/><Relationship Id="rId179" Type="http://schemas.openxmlformats.org/officeDocument/2006/relationships/hyperlink" Target="https://gdccm01.gddsi.com:9443/ccm/web/projects/MUOS%20SAFe%204.0%20Project" TargetMode="External"/><Relationship Id="rId365" Type="http://schemas.openxmlformats.org/officeDocument/2006/relationships/hyperlink" Target="https://gdccm01.gddsi.com:9443/ccm/web/projects/MUOS%20SAFe%204.0%20Project" TargetMode="External"/><Relationship Id="rId386" Type="http://schemas.openxmlformats.org/officeDocument/2006/relationships/hyperlink" Target="https://gdccm01.gddsi.com:9443/ccm/web/projects/MUOS%20SAFe%204.0%20Project" TargetMode="External"/><Relationship Id="rId551" Type="http://schemas.openxmlformats.org/officeDocument/2006/relationships/hyperlink" Target="https://gdccm01.gddsi.com:9443/ccm/web/projects/MUOS%20SAFe%204.0%20Project" TargetMode="External"/><Relationship Id="rId572" Type="http://schemas.openxmlformats.org/officeDocument/2006/relationships/hyperlink" Target="https://gdccm01.gddsi.com:9443/ccm/web/projects/MUOS%20SAFe%204.0%20Project" TargetMode="External"/><Relationship Id="rId593" Type="http://schemas.openxmlformats.org/officeDocument/2006/relationships/hyperlink" Target="https://gdccm01.gddsi.com:9443/ccm/web/projects/MUOS%20SAFe%204.0%20Project" TargetMode="External"/><Relationship Id="rId607" Type="http://schemas.openxmlformats.org/officeDocument/2006/relationships/hyperlink" Target="https://gdccm01.gddsi.com:9443/ccm/web/projects/MUOS%20SAFe%204.0%20Project" TargetMode="External"/><Relationship Id="rId628" Type="http://schemas.openxmlformats.org/officeDocument/2006/relationships/hyperlink" Target="https://gdccm01.gddsi.com:9443/ccm/web/projects/MUOS%20SAFe%204.0%20Project" TargetMode="External"/><Relationship Id="rId649" Type="http://schemas.openxmlformats.org/officeDocument/2006/relationships/hyperlink" Target="https://gdccm01.gddsi.com:9443/ccm/web/projects/MUOS%20SAFe%204.0%20Project" TargetMode="External"/><Relationship Id="rId190" Type="http://schemas.openxmlformats.org/officeDocument/2006/relationships/hyperlink" Target="https://gdccm01.gddsi.com:9443/ccm/web/projects/MUOS%20SAFe%204.0%20Project" TargetMode="External"/><Relationship Id="rId204" Type="http://schemas.openxmlformats.org/officeDocument/2006/relationships/hyperlink" Target="https://gdccm01.gddsi.com:9443/ccm/web/projects/MUOS%20SAFe%204.0%20Project" TargetMode="External"/><Relationship Id="rId225" Type="http://schemas.openxmlformats.org/officeDocument/2006/relationships/hyperlink" Target="https://gdccm01.gddsi.com:9443/ccm/web/projects/MUOS%20SAFe%204.0%20Project" TargetMode="External"/><Relationship Id="rId246" Type="http://schemas.openxmlformats.org/officeDocument/2006/relationships/hyperlink" Target="https://gdccm01.gddsi.com:9443/ccm/web/projects/MUOS%20SAFe%204.0%20Project" TargetMode="External"/><Relationship Id="rId267" Type="http://schemas.openxmlformats.org/officeDocument/2006/relationships/hyperlink" Target="https://gdccm01.gddsi.com:9443/ccm/web/projects/MUOS%20SAFe%204.0%20Project" TargetMode="External"/><Relationship Id="rId288" Type="http://schemas.openxmlformats.org/officeDocument/2006/relationships/hyperlink" Target="https://gdccm01.gddsi.com:9443/ccm/web/projects/MUOS%20SAFe%204.0%20Project" TargetMode="External"/><Relationship Id="rId411" Type="http://schemas.openxmlformats.org/officeDocument/2006/relationships/hyperlink" Target="https://gdccm01.gddsi.com:9443/ccm/web/projects/MUOS%20SAFe%204.0%20Project" TargetMode="External"/><Relationship Id="rId432" Type="http://schemas.openxmlformats.org/officeDocument/2006/relationships/hyperlink" Target="https://gdccm01.gddsi.com:9443/ccm/web/projects/MUOS%20SAFe%204.0%20Project" TargetMode="External"/><Relationship Id="rId453" Type="http://schemas.openxmlformats.org/officeDocument/2006/relationships/hyperlink" Target="https://gdccm01.gddsi.com:9443/ccm/web/projects/MUOS%20SAFe%204.0%20Project" TargetMode="External"/><Relationship Id="rId474" Type="http://schemas.openxmlformats.org/officeDocument/2006/relationships/hyperlink" Target="https://gdccm01.gddsi.com:9443/ccm/web/projects/MUOS%20SAFe%204.0%20Project" TargetMode="External"/><Relationship Id="rId509" Type="http://schemas.openxmlformats.org/officeDocument/2006/relationships/hyperlink" Target="https://gdccm01.gddsi.com:9443/ccm/web/projects/MUOS%20SAFe%204.0%20Project" TargetMode="External"/><Relationship Id="rId660" Type="http://schemas.openxmlformats.org/officeDocument/2006/relationships/hyperlink" Target="https://gdccm01.gddsi.com:9443/ccm/web/projects/MUOS%20SAFe%204.0%20Project" TargetMode="External"/><Relationship Id="rId106" Type="http://schemas.openxmlformats.org/officeDocument/2006/relationships/hyperlink" Target="https://gdccm01.gddsi.com:9443/ccm/web/projects/MUOS%20SAFe%204.0%20Project" TargetMode="External"/><Relationship Id="rId127" Type="http://schemas.openxmlformats.org/officeDocument/2006/relationships/hyperlink" Target="https://gdccm01.gddsi.com:9443/ccm/web/projects/MUOS%20SAFe%204.0%20Project" TargetMode="External"/><Relationship Id="rId313" Type="http://schemas.openxmlformats.org/officeDocument/2006/relationships/hyperlink" Target="https://gdccm01.gddsi.com:9443/ccm/web/projects/MUOS%20SAFe%204.0%20Project" TargetMode="External"/><Relationship Id="rId495" Type="http://schemas.openxmlformats.org/officeDocument/2006/relationships/hyperlink" Target="https://gdccm01.gddsi.com:9443/ccm/web/projects/MUOS%20SAFe%204.0%20Project" TargetMode="External"/><Relationship Id="rId10" Type="http://schemas.openxmlformats.org/officeDocument/2006/relationships/hyperlink" Target="https://gdccm01.gddsi.com:9443/ccm/web/projects/MUOS%20SAFe%204.0%20Project" TargetMode="External"/><Relationship Id="rId31" Type="http://schemas.openxmlformats.org/officeDocument/2006/relationships/hyperlink" Target="https://gdccm01.gddsi.com:9443/ccm/web/projects/MUOS%20SAFe%204.0%20Project" TargetMode="External"/><Relationship Id="rId52" Type="http://schemas.openxmlformats.org/officeDocument/2006/relationships/hyperlink" Target="https://gdccm01.gddsi.com:9443/ccm/web/projects/MUOS%20SAFe%204.0%20Project" TargetMode="External"/><Relationship Id="rId73" Type="http://schemas.openxmlformats.org/officeDocument/2006/relationships/hyperlink" Target="https://gdccm01.gddsi.com:9443/ccm/web/projects/MUOS%20SAFe%204.0%20Project" TargetMode="External"/><Relationship Id="rId94" Type="http://schemas.openxmlformats.org/officeDocument/2006/relationships/hyperlink" Target="https://gdccm01.gddsi.com:9443/ccm/web/projects/MUOS%20SAFe%204.0%20Project" TargetMode="External"/><Relationship Id="rId148" Type="http://schemas.openxmlformats.org/officeDocument/2006/relationships/hyperlink" Target="https://gdccm01.gddsi.com:9443/ccm/web/projects/MUOS%20SAFe%204.0%20Project" TargetMode="External"/><Relationship Id="rId169" Type="http://schemas.openxmlformats.org/officeDocument/2006/relationships/hyperlink" Target="https://gdccm01.gddsi.com:9443/ccm/web/projects/MUOS%20SAFe%204.0%20Project" TargetMode="External"/><Relationship Id="rId334" Type="http://schemas.openxmlformats.org/officeDocument/2006/relationships/hyperlink" Target="https://gdccm01.gddsi.com:9443/ccm/web/projects/MUOS%20SAFe%204.0%20Project" TargetMode="External"/><Relationship Id="rId355" Type="http://schemas.openxmlformats.org/officeDocument/2006/relationships/hyperlink" Target="https://gdccm01.gddsi.com:9443/ccm/web/projects/MUOS%20SAFe%204.0%20Project" TargetMode="External"/><Relationship Id="rId376" Type="http://schemas.openxmlformats.org/officeDocument/2006/relationships/hyperlink" Target="https://gdccm01.gddsi.com:9443/ccm/web/projects/MUOS%20SAFe%204.0%20Project" TargetMode="External"/><Relationship Id="rId397" Type="http://schemas.openxmlformats.org/officeDocument/2006/relationships/hyperlink" Target="https://gdccm01.gddsi.com:9443/ccm/web/projects/MUOS%20SAFe%204.0%20Project" TargetMode="External"/><Relationship Id="rId520" Type="http://schemas.openxmlformats.org/officeDocument/2006/relationships/hyperlink" Target="https://gdccm01.gddsi.com:9443/ccm/web/projects/MUOS%20SAFe%204.0%20Project" TargetMode="External"/><Relationship Id="rId541" Type="http://schemas.openxmlformats.org/officeDocument/2006/relationships/hyperlink" Target="https://gdccm01.gddsi.com:9443/ccm/web/projects/MUOS%20SAFe%204.0%20Project" TargetMode="External"/><Relationship Id="rId562" Type="http://schemas.openxmlformats.org/officeDocument/2006/relationships/hyperlink" Target="https://gdccm01.gddsi.com:9443/ccm/web/projects/MUOS%20SAFe%204.0%20Project" TargetMode="External"/><Relationship Id="rId583" Type="http://schemas.openxmlformats.org/officeDocument/2006/relationships/hyperlink" Target="https://gdccm01.gddsi.com:9443/ccm/web/projects/MUOS%20SAFe%204.0%20Project" TargetMode="External"/><Relationship Id="rId618" Type="http://schemas.openxmlformats.org/officeDocument/2006/relationships/hyperlink" Target="https://gdccm01.gddsi.com:9443/ccm/web/projects/MUOS%20SAFe%204.0%20Project" TargetMode="External"/><Relationship Id="rId639" Type="http://schemas.openxmlformats.org/officeDocument/2006/relationships/hyperlink" Target="https://gdccm01.gddsi.com:9443/ccm/web/projects/MUOS%20SAFe%204.0%20Project" TargetMode="External"/><Relationship Id="rId4" Type="http://schemas.openxmlformats.org/officeDocument/2006/relationships/hyperlink" Target="https://gdccm01.gddsi.com:9443/ccm/web/projects/MUOS%20SAFe%204.0%20Project" TargetMode="External"/><Relationship Id="rId180" Type="http://schemas.openxmlformats.org/officeDocument/2006/relationships/hyperlink" Target="https://gdccm01.gddsi.com:9443/ccm/web/projects/MUOS%20SAFe%204.0%20Project" TargetMode="External"/><Relationship Id="rId215" Type="http://schemas.openxmlformats.org/officeDocument/2006/relationships/hyperlink" Target="https://gdccm01.gddsi.com:9443/ccm/web/projects/MUOS%20SAFe%204.0%20Project" TargetMode="External"/><Relationship Id="rId236" Type="http://schemas.openxmlformats.org/officeDocument/2006/relationships/hyperlink" Target="https://gdccm01.gddsi.com:9443/ccm/web/projects/MUOS%20SAFe%204.0%20Project" TargetMode="External"/><Relationship Id="rId257" Type="http://schemas.openxmlformats.org/officeDocument/2006/relationships/hyperlink" Target="https://gdccm01.gddsi.com:9443/ccm/web/projects/MUOS%20SAFe%204.0%20Project" TargetMode="External"/><Relationship Id="rId278" Type="http://schemas.openxmlformats.org/officeDocument/2006/relationships/hyperlink" Target="https://gdccm01.gddsi.com:9443/ccm/web/projects/MUOS%20SAFe%204.0%20Project" TargetMode="External"/><Relationship Id="rId401" Type="http://schemas.openxmlformats.org/officeDocument/2006/relationships/hyperlink" Target="https://gdccm01.gddsi.com:9443/ccm/web/projects/MUOS%20SAFe%204.0%20Project" TargetMode="External"/><Relationship Id="rId422" Type="http://schemas.openxmlformats.org/officeDocument/2006/relationships/hyperlink" Target="https://gdccm01.gddsi.com:9443/ccm/web/projects/MUOS%20SAFe%204.0%20Project" TargetMode="External"/><Relationship Id="rId443" Type="http://schemas.openxmlformats.org/officeDocument/2006/relationships/hyperlink" Target="https://gdccm01.gddsi.com:9443/ccm/web/projects/MUOS%20SAFe%204.0%20Project" TargetMode="External"/><Relationship Id="rId464" Type="http://schemas.openxmlformats.org/officeDocument/2006/relationships/hyperlink" Target="https://gdccm01.gddsi.com:9443/ccm/web/projects/MUOS%20SAFe%204.0%20Project" TargetMode="External"/><Relationship Id="rId650" Type="http://schemas.openxmlformats.org/officeDocument/2006/relationships/hyperlink" Target="https://gdccm01.gddsi.com:9443/ccm/web/projects/MUOS%20SAFe%204.0%20Project" TargetMode="External"/><Relationship Id="rId303" Type="http://schemas.openxmlformats.org/officeDocument/2006/relationships/hyperlink" Target="https://gdccm01.gddsi.com:9443/ccm/web/projects/MUOS%20SAFe%204.0%20Project" TargetMode="External"/><Relationship Id="rId485" Type="http://schemas.openxmlformats.org/officeDocument/2006/relationships/hyperlink" Target="https://gdccm01.gddsi.com:9443/ccm/web/projects/MUOS%20SAFe%204.0%20Project" TargetMode="External"/><Relationship Id="rId42" Type="http://schemas.openxmlformats.org/officeDocument/2006/relationships/hyperlink" Target="https://gdccm01.gddsi.com:9443/ccm/web/projects/MUOS%20SAFe%204.0%20Project" TargetMode="External"/><Relationship Id="rId84" Type="http://schemas.openxmlformats.org/officeDocument/2006/relationships/hyperlink" Target="https://gdccm01.gddsi.com:9443/ccm/web/projects/MUOS%20SAFe%204.0%20Project" TargetMode="External"/><Relationship Id="rId138" Type="http://schemas.openxmlformats.org/officeDocument/2006/relationships/hyperlink" Target="https://gdccm01.gddsi.com:9443/ccm/web/projects/MUOS%20SAFe%204.0%20Project" TargetMode="External"/><Relationship Id="rId345" Type="http://schemas.openxmlformats.org/officeDocument/2006/relationships/hyperlink" Target="https://gdccm01.gddsi.com:9443/ccm/web/projects/MUOS%20SAFe%204.0%20Project" TargetMode="External"/><Relationship Id="rId387" Type="http://schemas.openxmlformats.org/officeDocument/2006/relationships/hyperlink" Target="https://gdccm01.gddsi.com:9443/ccm/web/projects/MUOS%20SAFe%204.0%20Project" TargetMode="External"/><Relationship Id="rId510" Type="http://schemas.openxmlformats.org/officeDocument/2006/relationships/hyperlink" Target="https://gdccm01.gddsi.com:9443/ccm/web/projects/MUOS%20SAFe%204.0%20Project" TargetMode="External"/><Relationship Id="rId552" Type="http://schemas.openxmlformats.org/officeDocument/2006/relationships/hyperlink" Target="https://gdccm01.gddsi.com:9443/ccm/web/projects/MUOS%20SAFe%204.0%20Project" TargetMode="External"/><Relationship Id="rId594" Type="http://schemas.openxmlformats.org/officeDocument/2006/relationships/hyperlink" Target="https://gdccm01.gddsi.com:9443/ccm/web/projects/MUOS%20SAFe%204.0%20Project" TargetMode="External"/><Relationship Id="rId608" Type="http://schemas.openxmlformats.org/officeDocument/2006/relationships/hyperlink" Target="https://gdccm01.gddsi.com:9443/ccm/web/projects/MUOS%20SAFe%204.0%20Project" TargetMode="External"/><Relationship Id="rId191" Type="http://schemas.openxmlformats.org/officeDocument/2006/relationships/hyperlink" Target="https://gdccm01.gddsi.com:9443/ccm/web/projects/MUOS%20SAFe%204.0%20Project" TargetMode="External"/><Relationship Id="rId205" Type="http://schemas.openxmlformats.org/officeDocument/2006/relationships/hyperlink" Target="https://gdccm01.gddsi.com:9443/ccm/web/projects/MUOS%20SAFe%204.0%20Project" TargetMode="External"/><Relationship Id="rId247" Type="http://schemas.openxmlformats.org/officeDocument/2006/relationships/hyperlink" Target="https://gdccm01.gddsi.com:9443/ccm/web/projects/MUOS%20SAFe%204.0%20Project" TargetMode="External"/><Relationship Id="rId412" Type="http://schemas.openxmlformats.org/officeDocument/2006/relationships/hyperlink" Target="https://gdccm01.gddsi.com:9443/ccm/web/projects/MUOS%20SAFe%204.0%20Project" TargetMode="External"/><Relationship Id="rId107" Type="http://schemas.openxmlformats.org/officeDocument/2006/relationships/hyperlink" Target="https://gdccm01.gddsi.com:9443/ccm/web/projects/MUOS%20SAFe%204.0%20Project" TargetMode="External"/><Relationship Id="rId289" Type="http://schemas.openxmlformats.org/officeDocument/2006/relationships/hyperlink" Target="https://gdccm01.gddsi.com:9443/ccm/web/projects/MUOS%20SAFe%204.0%20Project" TargetMode="External"/><Relationship Id="rId454" Type="http://schemas.openxmlformats.org/officeDocument/2006/relationships/hyperlink" Target="https://gdccm01.gddsi.com:9443/ccm/web/projects/MUOS%20SAFe%204.0%20Project" TargetMode="External"/><Relationship Id="rId496" Type="http://schemas.openxmlformats.org/officeDocument/2006/relationships/hyperlink" Target="https://gdccm01.gddsi.com:9443/ccm/web/projects/MUOS%20SAFe%204.0%20Project" TargetMode="External"/><Relationship Id="rId661" Type="http://schemas.openxmlformats.org/officeDocument/2006/relationships/hyperlink" Target="https://gdccm01.gddsi.com:9443/ccm/web/projects/MUOS%20SAFe%204.0%20Project" TargetMode="External"/><Relationship Id="rId11" Type="http://schemas.openxmlformats.org/officeDocument/2006/relationships/hyperlink" Target="https://gdccm01.gddsi.com:9443/ccm/web/projects/MUOS%20SAFe%204.0%20Project" TargetMode="External"/><Relationship Id="rId53" Type="http://schemas.openxmlformats.org/officeDocument/2006/relationships/hyperlink" Target="https://gdccm01.gddsi.com:9443/ccm/web/projects/MUOS%20SAFe%204.0%20Project" TargetMode="External"/><Relationship Id="rId149" Type="http://schemas.openxmlformats.org/officeDocument/2006/relationships/hyperlink" Target="https://gdccm01.gddsi.com:9443/ccm/web/projects/MUOS%20SAFe%204.0%20Project" TargetMode="External"/><Relationship Id="rId314" Type="http://schemas.openxmlformats.org/officeDocument/2006/relationships/hyperlink" Target="https://gdccm01.gddsi.com:9443/ccm/web/projects/MUOS%20SAFe%204.0%20Project" TargetMode="External"/><Relationship Id="rId356" Type="http://schemas.openxmlformats.org/officeDocument/2006/relationships/hyperlink" Target="https://gdccm01.gddsi.com:9443/ccm/web/projects/MUOS%20SAFe%204.0%20Project" TargetMode="External"/><Relationship Id="rId398" Type="http://schemas.openxmlformats.org/officeDocument/2006/relationships/hyperlink" Target="https://gdccm01.gddsi.com:9443/ccm/web/projects/MUOS%20SAFe%204.0%20Project" TargetMode="External"/><Relationship Id="rId521" Type="http://schemas.openxmlformats.org/officeDocument/2006/relationships/hyperlink" Target="https://gdccm01.gddsi.com:9443/ccm/web/projects/MUOS%20SAFe%204.0%20Project" TargetMode="External"/><Relationship Id="rId563" Type="http://schemas.openxmlformats.org/officeDocument/2006/relationships/hyperlink" Target="https://gdccm01.gddsi.com:9443/ccm/web/projects/MUOS%20SAFe%204.0%20Project" TargetMode="External"/><Relationship Id="rId619" Type="http://schemas.openxmlformats.org/officeDocument/2006/relationships/hyperlink" Target="https://gdccm01.gddsi.com:9443/ccm/web/projects/MUOS%20SAFe%204.0%20Project" TargetMode="External"/><Relationship Id="rId95" Type="http://schemas.openxmlformats.org/officeDocument/2006/relationships/hyperlink" Target="https://gdccm01.gddsi.com:9443/ccm/web/projects/MUOS%20SAFe%204.0%20Project" TargetMode="External"/><Relationship Id="rId160" Type="http://schemas.openxmlformats.org/officeDocument/2006/relationships/hyperlink" Target="https://gdccm01.gddsi.com:9443/ccm/web/projects/MUOS%20SAFe%204.0%20Project" TargetMode="External"/><Relationship Id="rId216" Type="http://schemas.openxmlformats.org/officeDocument/2006/relationships/hyperlink" Target="https://gdccm01.gddsi.com:9443/ccm/web/projects/MUOS%20SAFe%204.0%20Project" TargetMode="External"/><Relationship Id="rId423" Type="http://schemas.openxmlformats.org/officeDocument/2006/relationships/hyperlink" Target="https://gdccm01.gddsi.com:9443/ccm/web/projects/MUOS%20SAFe%204.0%20Project" TargetMode="External"/><Relationship Id="rId258" Type="http://schemas.openxmlformats.org/officeDocument/2006/relationships/hyperlink" Target="https://gdccm01.gddsi.com:9443/ccm/web/projects/MUOS%20SAFe%204.0%20Project" TargetMode="External"/><Relationship Id="rId465" Type="http://schemas.openxmlformats.org/officeDocument/2006/relationships/hyperlink" Target="https://gdccm01.gddsi.com:9443/ccm/web/projects/MUOS%20SAFe%204.0%20Project" TargetMode="External"/><Relationship Id="rId630" Type="http://schemas.openxmlformats.org/officeDocument/2006/relationships/hyperlink" Target="https://gdccm01.gddsi.com:9443/ccm/web/projects/MUOS%20SAFe%204.0%20Project" TargetMode="External"/><Relationship Id="rId672" Type="http://schemas.openxmlformats.org/officeDocument/2006/relationships/hyperlink" Target="https://gdccm01.gddsi.com:9443/ccm/web/projects/MUOS%20SAFe%204.0%20Project" TargetMode="External"/><Relationship Id="rId22" Type="http://schemas.openxmlformats.org/officeDocument/2006/relationships/hyperlink" Target="https://gdccm01.gddsi.com:9443/ccm/web/projects/MUOS%20SAFe%204.0%20Project" TargetMode="External"/><Relationship Id="rId64" Type="http://schemas.openxmlformats.org/officeDocument/2006/relationships/hyperlink" Target="https://gdccm01.gddsi.com:9443/ccm/web/projects/MUOS%20SAFe%204.0%20Project" TargetMode="External"/><Relationship Id="rId118" Type="http://schemas.openxmlformats.org/officeDocument/2006/relationships/hyperlink" Target="https://gdccm01.gddsi.com:9443/ccm/web/projects/MUOS%20SAFe%204.0%20Project" TargetMode="External"/><Relationship Id="rId325" Type="http://schemas.openxmlformats.org/officeDocument/2006/relationships/hyperlink" Target="https://gdccm01.gddsi.com:9443/ccm/web/projects/MUOS%20SAFe%204.0%20Project" TargetMode="External"/><Relationship Id="rId367" Type="http://schemas.openxmlformats.org/officeDocument/2006/relationships/hyperlink" Target="https://gdccm01.gddsi.com:9443/ccm/web/projects/MUOS%20SAFe%204.0%20Project" TargetMode="External"/><Relationship Id="rId532" Type="http://schemas.openxmlformats.org/officeDocument/2006/relationships/hyperlink" Target="https://gdccm01.gddsi.com:9443/ccm/web/projects/MUOS%20SAFe%204.0%20Project" TargetMode="External"/><Relationship Id="rId574" Type="http://schemas.openxmlformats.org/officeDocument/2006/relationships/hyperlink" Target="https://gdccm01.gddsi.com:9443/ccm/web/projects/MUOS%20SAFe%204.0%20Project" TargetMode="External"/><Relationship Id="rId171" Type="http://schemas.openxmlformats.org/officeDocument/2006/relationships/hyperlink" Target="https://gdccm01.gddsi.com:9443/ccm/web/projects/MUOS%20SAFe%204.0%20Project" TargetMode="External"/><Relationship Id="rId227" Type="http://schemas.openxmlformats.org/officeDocument/2006/relationships/hyperlink" Target="https://gdccm01.gddsi.com:9443/ccm/web/projects/MUOS%20SAFe%204.0%20Project" TargetMode="External"/><Relationship Id="rId269" Type="http://schemas.openxmlformats.org/officeDocument/2006/relationships/hyperlink" Target="https://gdccm01.gddsi.com:9443/ccm/web/projects/MUOS%20SAFe%204.0%20Project" TargetMode="External"/><Relationship Id="rId434" Type="http://schemas.openxmlformats.org/officeDocument/2006/relationships/hyperlink" Target="https://gdccm01.gddsi.com:9443/ccm/web/projects/MUOS%20SAFe%204.0%20Project" TargetMode="External"/><Relationship Id="rId476" Type="http://schemas.openxmlformats.org/officeDocument/2006/relationships/hyperlink" Target="https://gdccm01.gddsi.com:9443/ccm/web/projects/MUOS%20SAFe%204.0%20Project" TargetMode="External"/><Relationship Id="rId641" Type="http://schemas.openxmlformats.org/officeDocument/2006/relationships/hyperlink" Target="https://gdccm01.gddsi.com:9443/ccm/web/projects/MUOS%20SAFe%204.0%20Project" TargetMode="External"/><Relationship Id="rId33" Type="http://schemas.openxmlformats.org/officeDocument/2006/relationships/hyperlink" Target="https://gdccm01.gddsi.com:9443/ccm/web/projects/MUOS%20SAFe%204.0%20Project" TargetMode="External"/><Relationship Id="rId129" Type="http://schemas.openxmlformats.org/officeDocument/2006/relationships/hyperlink" Target="https://gdccm01.gddsi.com:9443/ccm/web/projects/MUOS%20SAFe%204.0%20Project" TargetMode="External"/><Relationship Id="rId280" Type="http://schemas.openxmlformats.org/officeDocument/2006/relationships/hyperlink" Target="https://gdccm01.gddsi.com:9443/ccm/web/projects/MUOS%20SAFe%204.0%20Project" TargetMode="External"/><Relationship Id="rId336" Type="http://schemas.openxmlformats.org/officeDocument/2006/relationships/hyperlink" Target="https://gdccm01.gddsi.com:9443/ccm/web/projects/MUOS%20SAFe%204.0%20Project" TargetMode="External"/><Relationship Id="rId501" Type="http://schemas.openxmlformats.org/officeDocument/2006/relationships/hyperlink" Target="https://gdccm01.gddsi.com:9443/ccm/web/projects/MUOS%20SAFe%204.0%20Project" TargetMode="External"/><Relationship Id="rId543" Type="http://schemas.openxmlformats.org/officeDocument/2006/relationships/hyperlink" Target="https://gdccm01.gddsi.com:9443/ccm/web/projects/MUOS%20SAFe%204.0%20Project" TargetMode="External"/><Relationship Id="rId75" Type="http://schemas.openxmlformats.org/officeDocument/2006/relationships/hyperlink" Target="https://gdccm01.gddsi.com:9443/ccm/web/projects/MUOS%20SAFe%204.0%20Project" TargetMode="External"/><Relationship Id="rId140" Type="http://schemas.openxmlformats.org/officeDocument/2006/relationships/hyperlink" Target="https://gdccm01.gddsi.com:9443/ccm/web/projects/MUOS%20SAFe%204.0%20Project" TargetMode="External"/><Relationship Id="rId182" Type="http://schemas.openxmlformats.org/officeDocument/2006/relationships/hyperlink" Target="https://gdccm01.gddsi.com:9443/ccm/web/projects/MUOS%20SAFe%204.0%20Project" TargetMode="External"/><Relationship Id="rId378" Type="http://schemas.openxmlformats.org/officeDocument/2006/relationships/hyperlink" Target="https://gdccm01.gddsi.com:9443/ccm/web/projects/MUOS%20SAFe%204.0%20Project" TargetMode="External"/><Relationship Id="rId403" Type="http://schemas.openxmlformats.org/officeDocument/2006/relationships/hyperlink" Target="https://gdccm01.gddsi.com:9443/ccm/web/projects/MUOS%20SAFe%204.0%20Project" TargetMode="External"/><Relationship Id="rId585" Type="http://schemas.openxmlformats.org/officeDocument/2006/relationships/hyperlink" Target="https://gdccm01.gddsi.com:9443/ccm/web/projects/MUOS%20SAFe%204.0%20Project" TargetMode="External"/><Relationship Id="rId6" Type="http://schemas.openxmlformats.org/officeDocument/2006/relationships/hyperlink" Target="https://gdccm01.gddsi.com:9443/ccm/web/projects/MUOS%20SAFe%204.0%20Project" TargetMode="External"/><Relationship Id="rId238" Type="http://schemas.openxmlformats.org/officeDocument/2006/relationships/hyperlink" Target="https://gdccm01.gddsi.com:9443/ccm/web/projects/MUOS%20SAFe%204.0%20Project" TargetMode="External"/><Relationship Id="rId445" Type="http://schemas.openxmlformats.org/officeDocument/2006/relationships/hyperlink" Target="https://gdccm01.gddsi.com:9443/ccm/web/projects/MUOS%20SAFe%204.0%20Project" TargetMode="External"/><Relationship Id="rId487" Type="http://schemas.openxmlformats.org/officeDocument/2006/relationships/hyperlink" Target="https://gdccm01.gddsi.com:9443/ccm/web/projects/MUOS%20SAFe%204.0%20Project" TargetMode="External"/><Relationship Id="rId610" Type="http://schemas.openxmlformats.org/officeDocument/2006/relationships/hyperlink" Target="https://gdccm01.gddsi.com:9443/ccm/web/projects/MUOS%20SAFe%204.0%20Project" TargetMode="External"/><Relationship Id="rId652" Type="http://schemas.openxmlformats.org/officeDocument/2006/relationships/hyperlink" Target="https://gdccm01.gddsi.com:9443/ccm/web/projects/MUOS%20SAFe%204.0%20Project" TargetMode="External"/><Relationship Id="rId291" Type="http://schemas.openxmlformats.org/officeDocument/2006/relationships/hyperlink" Target="https://gdccm01.gddsi.com:9443/ccm/web/projects/MUOS%20SAFe%204.0%20Project" TargetMode="External"/><Relationship Id="rId305" Type="http://schemas.openxmlformats.org/officeDocument/2006/relationships/hyperlink" Target="https://gdccm01.gddsi.com:9443/ccm/web/projects/MUOS%20SAFe%204.0%20Project" TargetMode="External"/><Relationship Id="rId347" Type="http://schemas.openxmlformats.org/officeDocument/2006/relationships/hyperlink" Target="https://gdccm01.gddsi.com:9443/ccm/web/projects/MUOS%20SAFe%204.0%20Project" TargetMode="External"/><Relationship Id="rId512" Type="http://schemas.openxmlformats.org/officeDocument/2006/relationships/hyperlink" Target="https://gdccm01.gddsi.com:9443/ccm/web/projects/MUOS%20SAFe%204.0%20Project" TargetMode="External"/><Relationship Id="rId44" Type="http://schemas.openxmlformats.org/officeDocument/2006/relationships/hyperlink" Target="https://gdccm01.gddsi.com:9443/ccm/web/projects/MUOS%20SAFe%204.0%20Project" TargetMode="External"/><Relationship Id="rId86" Type="http://schemas.openxmlformats.org/officeDocument/2006/relationships/hyperlink" Target="https://gdccm01.gddsi.com:9443/ccm/web/projects/MUOS%20SAFe%204.0%20Project" TargetMode="External"/><Relationship Id="rId151" Type="http://schemas.openxmlformats.org/officeDocument/2006/relationships/hyperlink" Target="https://gdccm01.gddsi.com:9443/ccm/web/projects/MUOS%20SAFe%204.0%20Project" TargetMode="External"/><Relationship Id="rId389" Type="http://schemas.openxmlformats.org/officeDocument/2006/relationships/hyperlink" Target="https://gdccm01.gddsi.com:9443/ccm/web/projects/MUOS%20SAFe%204.0%20Project" TargetMode="External"/><Relationship Id="rId554" Type="http://schemas.openxmlformats.org/officeDocument/2006/relationships/hyperlink" Target="https://gdccm01.gddsi.com:9443/ccm/web/projects/MUOS%20SAFe%204.0%20Project" TargetMode="External"/><Relationship Id="rId596" Type="http://schemas.openxmlformats.org/officeDocument/2006/relationships/hyperlink" Target="https://gdccm01.gddsi.com:9443/ccm/web/projects/MUOS%20SAFe%204.0%20Project" TargetMode="External"/><Relationship Id="rId193" Type="http://schemas.openxmlformats.org/officeDocument/2006/relationships/hyperlink" Target="https://gdccm01.gddsi.com:9443/ccm/web/projects/MUOS%20SAFe%204.0%20Project" TargetMode="External"/><Relationship Id="rId207" Type="http://schemas.openxmlformats.org/officeDocument/2006/relationships/hyperlink" Target="https://gdccm01.gddsi.com:9443/ccm/web/projects/MUOS%20SAFe%204.0%20Project" TargetMode="External"/><Relationship Id="rId249" Type="http://schemas.openxmlformats.org/officeDocument/2006/relationships/hyperlink" Target="https://gdccm01.gddsi.com:9443/ccm/web/projects/MUOS%20SAFe%204.0%20Project" TargetMode="External"/><Relationship Id="rId414" Type="http://schemas.openxmlformats.org/officeDocument/2006/relationships/hyperlink" Target="https://gdccm01.gddsi.com:9443/ccm/web/projects/MUOS%20SAFe%204.0%20Project" TargetMode="External"/><Relationship Id="rId456" Type="http://schemas.openxmlformats.org/officeDocument/2006/relationships/hyperlink" Target="https://gdccm01.gddsi.com:9443/ccm/web/projects/MUOS%20SAFe%204.0%20Project" TargetMode="External"/><Relationship Id="rId498" Type="http://schemas.openxmlformats.org/officeDocument/2006/relationships/hyperlink" Target="https://gdccm01.gddsi.com:9443/ccm/web/projects/MUOS%20SAFe%204.0%20Project" TargetMode="External"/><Relationship Id="rId621" Type="http://schemas.openxmlformats.org/officeDocument/2006/relationships/hyperlink" Target="https://gdccm01.gddsi.com:9443/ccm/web/projects/MUOS%20SAFe%204.0%20Project" TargetMode="External"/><Relationship Id="rId663" Type="http://schemas.openxmlformats.org/officeDocument/2006/relationships/hyperlink" Target="https://gdccm01.gddsi.com:9443/ccm/web/projects/MUOS%20SAFe%204.0%20Project" TargetMode="External"/><Relationship Id="rId13" Type="http://schemas.openxmlformats.org/officeDocument/2006/relationships/hyperlink" Target="https://gdccm01.gddsi.com:9443/ccm/web/projects/MUOS%20SAFe%204.0%20Project" TargetMode="External"/><Relationship Id="rId109" Type="http://schemas.openxmlformats.org/officeDocument/2006/relationships/hyperlink" Target="https://gdccm01.gddsi.com:9443/ccm/web/projects/MUOS%20SAFe%204.0%20Project" TargetMode="External"/><Relationship Id="rId260" Type="http://schemas.openxmlformats.org/officeDocument/2006/relationships/hyperlink" Target="https://gdccm01.gddsi.com:9443/ccm/web/projects/MUOS%20SAFe%204.0%20Project" TargetMode="External"/><Relationship Id="rId316" Type="http://schemas.openxmlformats.org/officeDocument/2006/relationships/hyperlink" Target="https://gdccm01.gddsi.com:9443/ccm/web/projects/MUOS%20SAFe%204.0%20Project" TargetMode="External"/><Relationship Id="rId523" Type="http://schemas.openxmlformats.org/officeDocument/2006/relationships/hyperlink" Target="https://gdccm01.gddsi.com:9443/ccm/web/projects/MUOS%20SAFe%204.0%20Project" TargetMode="External"/><Relationship Id="rId55" Type="http://schemas.openxmlformats.org/officeDocument/2006/relationships/hyperlink" Target="https://gdccm01.gddsi.com:9443/ccm/web/projects/MUOS%20SAFe%204.0%20Project" TargetMode="External"/><Relationship Id="rId97" Type="http://schemas.openxmlformats.org/officeDocument/2006/relationships/hyperlink" Target="https://gdccm01.gddsi.com:9443/ccm/web/projects/MUOS%20SAFe%204.0%20Project" TargetMode="External"/><Relationship Id="rId120" Type="http://schemas.openxmlformats.org/officeDocument/2006/relationships/hyperlink" Target="https://gdccm01.gddsi.com:9443/ccm/web/projects/MUOS%20SAFe%204.0%20Project" TargetMode="External"/><Relationship Id="rId358" Type="http://schemas.openxmlformats.org/officeDocument/2006/relationships/hyperlink" Target="https://gdccm01.gddsi.com:9443/ccm/web/projects/MUOS%20SAFe%204.0%20Project" TargetMode="External"/><Relationship Id="rId565" Type="http://schemas.openxmlformats.org/officeDocument/2006/relationships/hyperlink" Target="https://gdccm01.gddsi.com:9443/ccm/web/projects/MUOS%20SAFe%204.0%20Project" TargetMode="External"/><Relationship Id="rId162" Type="http://schemas.openxmlformats.org/officeDocument/2006/relationships/hyperlink" Target="https://gdccm01.gddsi.com:9443/ccm/web/projects/MUOS%20SAFe%204.0%20Project" TargetMode="External"/><Relationship Id="rId218" Type="http://schemas.openxmlformats.org/officeDocument/2006/relationships/hyperlink" Target="https://gdccm01.gddsi.com:9443/ccm/web/projects/MUOS%20SAFe%204.0%20Project" TargetMode="External"/><Relationship Id="rId425" Type="http://schemas.openxmlformats.org/officeDocument/2006/relationships/hyperlink" Target="https://gdccm01.gddsi.com:9443/ccm/web/projects/MUOS%20SAFe%204.0%20Project" TargetMode="External"/><Relationship Id="rId467" Type="http://schemas.openxmlformats.org/officeDocument/2006/relationships/hyperlink" Target="https://gdccm01.gddsi.com:9443/ccm/web/projects/MUOS%20SAFe%204.0%20Project" TargetMode="External"/><Relationship Id="rId632" Type="http://schemas.openxmlformats.org/officeDocument/2006/relationships/hyperlink" Target="https://gdccm01.gddsi.com:9443/ccm/web/projects/MUOS%20SAFe%204.0%20Project" TargetMode="External"/><Relationship Id="rId271" Type="http://schemas.openxmlformats.org/officeDocument/2006/relationships/hyperlink" Target="https://gdccm01.gddsi.com:9443/ccm/web/projects/MUOS%20SAFe%204.0%20Project" TargetMode="External"/><Relationship Id="rId674" Type="http://schemas.openxmlformats.org/officeDocument/2006/relationships/hyperlink" Target="https://gdccm01.gddsi.com:9443/ccm/web/projects/MUOS%20SAFe%204.0%20Project" TargetMode="External"/><Relationship Id="rId24" Type="http://schemas.openxmlformats.org/officeDocument/2006/relationships/hyperlink" Target="https://gdccm01.gddsi.com:9443/ccm/web/projects/MUOS%20SAFe%204.0%20Project" TargetMode="External"/><Relationship Id="rId66" Type="http://schemas.openxmlformats.org/officeDocument/2006/relationships/hyperlink" Target="https://gdccm01.gddsi.com:9443/ccm/web/projects/MUOS%20SAFe%204.0%20Project" TargetMode="External"/><Relationship Id="rId131" Type="http://schemas.openxmlformats.org/officeDocument/2006/relationships/hyperlink" Target="https://gdccm01.gddsi.com:9443/ccm/web/projects/MUOS%20SAFe%204.0%20Project" TargetMode="External"/><Relationship Id="rId327" Type="http://schemas.openxmlformats.org/officeDocument/2006/relationships/hyperlink" Target="https://gdccm01.gddsi.com:9443/ccm/web/projects/MUOS%20SAFe%204.0%20Project" TargetMode="External"/><Relationship Id="rId369" Type="http://schemas.openxmlformats.org/officeDocument/2006/relationships/hyperlink" Target="https://gdccm01.gddsi.com:9443/ccm/web/projects/MUOS%20SAFe%204.0%20Project" TargetMode="External"/><Relationship Id="rId534" Type="http://schemas.openxmlformats.org/officeDocument/2006/relationships/hyperlink" Target="https://gdccm01.gddsi.com:9443/ccm/web/projects/MUOS%20SAFe%204.0%20Project" TargetMode="External"/><Relationship Id="rId576" Type="http://schemas.openxmlformats.org/officeDocument/2006/relationships/hyperlink" Target="https://gdccm01.gddsi.com:9443/ccm/web/projects/MUOS%20SAFe%204.0%20Project" TargetMode="External"/><Relationship Id="rId173" Type="http://schemas.openxmlformats.org/officeDocument/2006/relationships/hyperlink" Target="https://gdccm01.gddsi.com:9443/ccm/web/projects/MUOS%20SAFe%204.0%20Project" TargetMode="External"/><Relationship Id="rId229" Type="http://schemas.openxmlformats.org/officeDocument/2006/relationships/hyperlink" Target="https://gdccm01.gddsi.com:9443/ccm/web/projects/MUOS%20SAFe%204.0%20Project" TargetMode="External"/><Relationship Id="rId380" Type="http://schemas.openxmlformats.org/officeDocument/2006/relationships/hyperlink" Target="https://gdccm01.gddsi.com:9443/ccm/web/projects/MUOS%20SAFe%204.0%20Project" TargetMode="External"/><Relationship Id="rId436" Type="http://schemas.openxmlformats.org/officeDocument/2006/relationships/hyperlink" Target="https://gdccm01.gddsi.com:9443/ccm/web/projects/MUOS%20SAFe%204.0%20Project" TargetMode="External"/><Relationship Id="rId601" Type="http://schemas.openxmlformats.org/officeDocument/2006/relationships/hyperlink" Target="https://gdccm01.gddsi.com:9443/ccm/web/projects/MUOS%20SAFe%204.0%20Project" TargetMode="External"/><Relationship Id="rId643" Type="http://schemas.openxmlformats.org/officeDocument/2006/relationships/hyperlink" Target="https://gdccm01.gddsi.com:9443/ccm/web/projects/MUOS%20SAFe%204.0%20Project" TargetMode="External"/><Relationship Id="rId240" Type="http://schemas.openxmlformats.org/officeDocument/2006/relationships/hyperlink" Target="https://gdccm01.gddsi.com:9443/ccm/web/projects/MUOS%20SAFe%204.0%20Project" TargetMode="External"/><Relationship Id="rId478" Type="http://schemas.openxmlformats.org/officeDocument/2006/relationships/hyperlink" Target="https://gdccm01.gddsi.com:9443/ccm/web/projects/MUOS%20SAFe%204.0%20Project" TargetMode="External"/><Relationship Id="rId35" Type="http://schemas.openxmlformats.org/officeDocument/2006/relationships/hyperlink" Target="https://gdccm01.gddsi.com:9443/ccm/web/projects/MUOS%20SAFe%204.0%20Project" TargetMode="External"/><Relationship Id="rId77" Type="http://schemas.openxmlformats.org/officeDocument/2006/relationships/hyperlink" Target="https://gdccm01.gddsi.com:9443/ccm/web/projects/MUOS%20SAFe%204.0%20Project" TargetMode="External"/><Relationship Id="rId100" Type="http://schemas.openxmlformats.org/officeDocument/2006/relationships/hyperlink" Target="https://gdccm01.gddsi.com:9443/ccm/web/projects/MUOS%20SAFe%204.0%20Project" TargetMode="External"/><Relationship Id="rId282" Type="http://schemas.openxmlformats.org/officeDocument/2006/relationships/hyperlink" Target="https://gdccm01.gddsi.com:9443/ccm/web/projects/MUOS%20SAFe%204.0%20Project" TargetMode="External"/><Relationship Id="rId338" Type="http://schemas.openxmlformats.org/officeDocument/2006/relationships/hyperlink" Target="https://gdccm01.gddsi.com:9443/ccm/web/projects/MUOS%20SAFe%204.0%20Project" TargetMode="External"/><Relationship Id="rId503" Type="http://schemas.openxmlformats.org/officeDocument/2006/relationships/hyperlink" Target="https://gdccm01.gddsi.com:9443/ccm/web/projects/MUOS%20SAFe%204.0%20Project" TargetMode="External"/><Relationship Id="rId545" Type="http://schemas.openxmlformats.org/officeDocument/2006/relationships/hyperlink" Target="https://gdccm01.gddsi.com:9443/ccm/web/projects/MUOS%20SAFe%204.0%20Project" TargetMode="External"/><Relationship Id="rId587" Type="http://schemas.openxmlformats.org/officeDocument/2006/relationships/hyperlink" Target="https://gdccm01.gddsi.com:9443/ccm/web/projects/MUOS%20SAFe%204.0%20Project" TargetMode="External"/><Relationship Id="rId8" Type="http://schemas.openxmlformats.org/officeDocument/2006/relationships/hyperlink" Target="https://gdccm01.gddsi.com:9443/ccm/web/projects/MUOS%20SAFe%204.0%20Project" TargetMode="External"/><Relationship Id="rId142" Type="http://schemas.openxmlformats.org/officeDocument/2006/relationships/hyperlink" Target="https://gdccm01.gddsi.com:9443/ccm/web/projects/MUOS%20SAFe%204.0%20Project" TargetMode="External"/><Relationship Id="rId184" Type="http://schemas.openxmlformats.org/officeDocument/2006/relationships/hyperlink" Target="https://gdccm01.gddsi.com:9443/ccm/web/projects/MUOS%20SAFe%204.0%20Project" TargetMode="External"/><Relationship Id="rId391" Type="http://schemas.openxmlformats.org/officeDocument/2006/relationships/hyperlink" Target="https://gdccm01.gddsi.com:9443/ccm/web/projects/MUOS%20SAFe%204.0%20Project" TargetMode="External"/><Relationship Id="rId405" Type="http://schemas.openxmlformats.org/officeDocument/2006/relationships/hyperlink" Target="https://gdccm01.gddsi.com:9443/ccm/web/projects/MUOS%20SAFe%204.0%20Project" TargetMode="External"/><Relationship Id="rId447" Type="http://schemas.openxmlformats.org/officeDocument/2006/relationships/hyperlink" Target="https://gdccm01.gddsi.com:9443/ccm/web/projects/MUOS%20SAFe%204.0%20Project" TargetMode="External"/><Relationship Id="rId612" Type="http://schemas.openxmlformats.org/officeDocument/2006/relationships/hyperlink" Target="https://gdccm01.gddsi.com:9443/ccm/web/projects/MUOS%20SAFe%204.0%20Project" TargetMode="External"/><Relationship Id="rId251" Type="http://schemas.openxmlformats.org/officeDocument/2006/relationships/hyperlink" Target="https://gdccm01.gddsi.com:9443/ccm/web/projects/MUOS%20SAFe%204.0%20Project" TargetMode="External"/><Relationship Id="rId489" Type="http://schemas.openxmlformats.org/officeDocument/2006/relationships/hyperlink" Target="https://gdccm01.gddsi.com:9443/ccm/web/projects/MUOS%20SAFe%204.0%20Project" TargetMode="External"/><Relationship Id="rId654" Type="http://schemas.openxmlformats.org/officeDocument/2006/relationships/hyperlink" Target="https://gdccm01.gddsi.com:9443/ccm/web/projects/MUOS%20SAFe%204.0%20Project" TargetMode="External"/><Relationship Id="rId46" Type="http://schemas.openxmlformats.org/officeDocument/2006/relationships/hyperlink" Target="https://gdccm01.gddsi.com:9443/ccm/web/projects/MUOS%20SAFe%204.0%20Project" TargetMode="External"/><Relationship Id="rId293" Type="http://schemas.openxmlformats.org/officeDocument/2006/relationships/hyperlink" Target="https://gdccm01.gddsi.com:9443/ccm/web/projects/MUOS%20SAFe%204.0%20Project" TargetMode="External"/><Relationship Id="rId307" Type="http://schemas.openxmlformats.org/officeDocument/2006/relationships/hyperlink" Target="https://gdccm01.gddsi.com:9443/ccm/web/projects/MUOS%20SAFe%204.0%20Project" TargetMode="External"/><Relationship Id="rId349" Type="http://schemas.openxmlformats.org/officeDocument/2006/relationships/hyperlink" Target="https://gdccm01.gddsi.com:9443/ccm/web/projects/MUOS%20SAFe%204.0%20Project" TargetMode="External"/><Relationship Id="rId514" Type="http://schemas.openxmlformats.org/officeDocument/2006/relationships/hyperlink" Target="https://gdccm01.gddsi.com:9443/ccm/web/projects/MUOS%20SAFe%204.0%20Project" TargetMode="External"/><Relationship Id="rId556" Type="http://schemas.openxmlformats.org/officeDocument/2006/relationships/hyperlink" Target="https://gdccm01.gddsi.com:9443/ccm/web/projects/MUOS%20SAFe%204.0%20Project" TargetMode="External"/><Relationship Id="rId88" Type="http://schemas.openxmlformats.org/officeDocument/2006/relationships/hyperlink" Target="https://gdccm01.gddsi.com:9443/ccm/web/projects/MUOS%20SAFe%204.0%20Project" TargetMode="External"/><Relationship Id="rId111" Type="http://schemas.openxmlformats.org/officeDocument/2006/relationships/hyperlink" Target="https://gdccm01.gddsi.com:9443/ccm/web/projects/MUOS%20SAFe%204.0%20Project" TargetMode="External"/><Relationship Id="rId153" Type="http://schemas.openxmlformats.org/officeDocument/2006/relationships/hyperlink" Target="https://gdccm01.gddsi.com:9443/ccm/web/projects/MUOS%20SAFe%204.0%20Project" TargetMode="External"/><Relationship Id="rId195" Type="http://schemas.openxmlformats.org/officeDocument/2006/relationships/hyperlink" Target="https://gdccm01.gddsi.com:9443/ccm/web/projects/MUOS%20SAFe%204.0%20Project" TargetMode="External"/><Relationship Id="rId209" Type="http://schemas.openxmlformats.org/officeDocument/2006/relationships/hyperlink" Target="https://gdccm01.gddsi.com:9443/ccm/web/projects/MUOS%20SAFe%204.0%20Project" TargetMode="External"/><Relationship Id="rId360" Type="http://schemas.openxmlformats.org/officeDocument/2006/relationships/hyperlink" Target="https://gdccm01.gddsi.com:9443/ccm/web/projects/MUOS%20SAFe%204.0%20Project" TargetMode="External"/><Relationship Id="rId416" Type="http://schemas.openxmlformats.org/officeDocument/2006/relationships/hyperlink" Target="https://gdccm01.gddsi.com:9443/ccm/web/projects/MUOS%20SAFe%204.0%20Project" TargetMode="External"/><Relationship Id="rId598" Type="http://schemas.openxmlformats.org/officeDocument/2006/relationships/hyperlink" Target="https://gdccm01.gddsi.com:9443/ccm/web/projects/MUOS%20SAFe%204.0%20Project" TargetMode="External"/><Relationship Id="rId220" Type="http://schemas.openxmlformats.org/officeDocument/2006/relationships/hyperlink" Target="https://gdccm01.gddsi.com:9443/ccm/web/projects/MUOS%20SAFe%204.0%20Project" TargetMode="External"/><Relationship Id="rId458" Type="http://schemas.openxmlformats.org/officeDocument/2006/relationships/hyperlink" Target="https://gdccm01.gddsi.com:9443/ccm/web/projects/MUOS%20SAFe%204.0%20Project" TargetMode="External"/><Relationship Id="rId623" Type="http://schemas.openxmlformats.org/officeDocument/2006/relationships/hyperlink" Target="https://gdccm01.gddsi.com:9443/ccm/web/projects/MUOS%20SAFe%204.0%20Project" TargetMode="External"/><Relationship Id="rId665" Type="http://schemas.openxmlformats.org/officeDocument/2006/relationships/hyperlink" Target="https://gdccm01.gddsi.com:9443/ccm/web/projects/MUOS%20SAFe%204.0%20Project" TargetMode="External"/><Relationship Id="rId15" Type="http://schemas.openxmlformats.org/officeDocument/2006/relationships/hyperlink" Target="https://gdccm01.gddsi.com:9443/ccm/web/projects/MUOS%20SAFe%204.0%20Project" TargetMode="External"/><Relationship Id="rId57" Type="http://schemas.openxmlformats.org/officeDocument/2006/relationships/hyperlink" Target="https://gdccm01.gddsi.com:9443/ccm/web/projects/MUOS%20SAFe%204.0%20Project" TargetMode="External"/><Relationship Id="rId262" Type="http://schemas.openxmlformats.org/officeDocument/2006/relationships/hyperlink" Target="https://gdccm01.gddsi.com:9443/ccm/web/projects/MUOS%20SAFe%204.0%20Project" TargetMode="External"/><Relationship Id="rId318" Type="http://schemas.openxmlformats.org/officeDocument/2006/relationships/hyperlink" Target="https://gdccm01.gddsi.com:9443/ccm/web/projects/MUOS%20SAFe%204.0%20Project" TargetMode="External"/><Relationship Id="rId525" Type="http://schemas.openxmlformats.org/officeDocument/2006/relationships/hyperlink" Target="https://gdccm01.gddsi.com:9443/ccm/web/projects/MUOS%20SAFe%204.0%20Project" TargetMode="External"/><Relationship Id="rId567" Type="http://schemas.openxmlformats.org/officeDocument/2006/relationships/hyperlink" Target="https://gdccm01.gddsi.com:9443/ccm/web/projects/MUOS%20SAFe%204.0%20Project" TargetMode="External"/><Relationship Id="rId99" Type="http://schemas.openxmlformats.org/officeDocument/2006/relationships/hyperlink" Target="https://gdccm01.gddsi.com:9443/ccm/web/projects/MUOS%20SAFe%204.0%20Project" TargetMode="External"/><Relationship Id="rId122" Type="http://schemas.openxmlformats.org/officeDocument/2006/relationships/hyperlink" Target="https://gdccm01.gddsi.com:9443/ccm/web/projects/MUOS%20SAFe%204.0%20Project" TargetMode="External"/><Relationship Id="rId164" Type="http://schemas.openxmlformats.org/officeDocument/2006/relationships/hyperlink" Target="https://gdccm01.gddsi.com:9443/ccm/web/projects/MUOS%20SAFe%204.0%20Project" TargetMode="External"/><Relationship Id="rId371" Type="http://schemas.openxmlformats.org/officeDocument/2006/relationships/hyperlink" Target="https://gdccm01.gddsi.com:9443/ccm/web/projects/MUOS%20SAFe%204.0%20Project" TargetMode="External"/><Relationship Id="rId427" Type="http://schemas.openxmlformats.org/officeDocument/2006/relationships/hyperlink" Target="https://gdccm01.gddsi.com:9443/ccm/web/projects/MUOS%20SAFe%204.0%20Project" TargetMode="External"/><Relationship Id="rId469" Type="http://schemas.openxmlformats.org/officeDocument/2006/relationships/hyperlink" Target="https://gdccm01.gddsi.com:9443/ccm/web/projects/MUOS%20SAFe%204.0%20Project" TargetMode="External"/><Relationship Id="rId634" Type="http://schemas.openxmlformats.org/officeDocument/2006/relationships/hyperlink" Target="https://gdccm01.gddsi.com:9443/ccm/web/projects/MUOS%20SAFe%204.0%20Project" TargetMode="External"/><Relationship Id="rId676" Type="http://schemas.openxmlformats.org/officeDocument/2006/relationships/vmlDrawing" Target="../drawings/vmlDrawing6.vml"/><Relationship Id="rId26" Type="http://schemas.openxmlformats.org/officeDocument/2006/relationships/hyperlink" Target="https://gdccm01.gddsi.com:9443/ccm/web/projects/MUOS%20SAFe%204.0%20Project" TargetMode="External"/><Relationship Id="rId231" Type="http://schemas.openxmlformats.org/officeDocument/2006/relationships/hyperlink" Target="https://gdccm01.gddsi.com:9443/ccm/web/projects/MUOS%20SAFe%204.0%20Project" TargetMode="External"/><Relationship Id="rId273" Type="http://schemas.openxmlformats.org/officeDocument/2006/relationships/hyperlink" Target="https://gdccm01.gddsi.com:9443/ccm/web/projects/MUOS%20SAFe%204.0%20Project" TargetMode="External"/><Relationship Id="rId329" Type="http://schemas.openxmlformats.org/officeDocument/2006/relationships/hyperlink" Target="https://gdccm01.gddsi.com:9443/ccm/web/projects/MUOS%20SAFe%204.0%20Project" TargetMode="External"/><Relationship Id="rId480" Type="http://schemas.openxmlformats.org/officeDocument/2006/relationships/hyperlink" Target="https://gdccm01.gddsi.com:9443/ccm/web/projects/MUOS%20SAFe%204.0%20Project" TargetMode="External"/><Relationship Id="rId536" Type="http://schemas.openxmlformats.org/officeDocument/2006/relationships/hyperlink" Target="https://gdccm01.gddsi.com:9443/ccm/web/projects/MUOS%20SAFe%204.0%20Project" TargetMode="External"/><Relationship Id="rId68" Type="http://schemas.openxmlformats.org/officeDocument/2006/relationships/hyperlink" Target="https://gdccm01.gddsi.com:9443/ccm/web/projects/MUOS%20SAFe%204.0%20Project" TargetMode="External"/><Relationship Id="rId133" Type="http://schemas.openxmlformats.org/officeDocument/2006/relationships/hyperlink" Target="https://gdccm01.gddsi.com:9443/ccm/web/projects/MUOS%20SAFe%204.0%20Project" TargetMode="External"/><Relationship Id="rId175" Type="http://schemas.openxmlformats.org/officeDocument/2006/relationships/hyperlink" Target="https://gdccm01.gddsi.com:9443/ccm/web/projects/MUOS%20SAFe%204.0%20Project" TargetMode="External"/><Relationship Id="rId340" Type="http://schemas.openxmlformats.org/officeDocument/2006/relationships/hyperlink" Target="https://gdccm01.gddsi.com:9443/ccm/web/projects/MUOS%20SAFe%204.0%20Project" TargetMode="External"/><Relationship Id="rId578" Type="http://schemas.openxmlformats.org/officeDocument/2006/relationships/hyperlink" Target="https://gdccm01.gddsi.com:9443/ccm/web/projects/MUOS%20SAFe%204.0%20Project" TargetMode="External"/><Relationship Id="rId200" Type="http://schemas.openxmlformats.org/officeDocument/2006/relationships/hyperlink" Target="https://gdccm01.gddsi.com:9443/ccm/web/projects/MUOS%20SAFe%204.0%20Project" TargetMode="External"/><Relationship Id="rId382" Type="http://schemas.openxmlformats.org/officeDocument/2006/relationships/hyperlink" Target="https://gdccm01.gddsi.com:9443/ccm/web/projects/MUOS%20SAFe%204.0%20Project" TargetMode="External"/><Relationship Id="rId438" Type="http://schemas.openxmlformats.org/officeDocument/2006/relationships/hyperlink" Target="https://gdccm01.gddsi.com:9443/ccm/web/projects/MUOS%20SAFe%204.0%20Project" TargetMode="External"/><Relationship Id="rId603" Type="http://schemas.openxmlformats.org/officeDocument/2006/relationships/hyperlink" Target="https://gdccm01.gddsi.com:9443/ccm/web/projects/MUOS%20SAFe%204.0%20Project" TargetMode="External"/><Relationship Id="rId645" Type="http://schemas.openxmlformats.org/officeDocument/2006/relationships/hyperlink" Target="https://gdccm01.gddsi.com:9443/ccm/web/projects/MUOS%20SAFe%204.0%20Project" TargetMode="External"/><Relationship Id="rId242" Type="http://schemas.openxmlformats.org/officeDocument/2006/relationships/hyperlink" Target="https://gdccm01.gddsi.com:9443/ccm/web/projects/MUOS%20SAFe%204.0%20Project" TargetMode="External"/><Relationship Id="rId284" Type="http://schemas.openxmlformats.org/officeDocument/2006/relationships/hyperlink" Target="https://gdccm01.gddsi.com:9443/ccm/web/projects/MUOS%20SAFe%204.0%20Project" TargetMode="External"/><Relationship Id="rId491" Type="http://schemas.openxmlformats.org/officeDocument/2006/relationships/hyperlink" Target="https://gdccm01.gddsi.com:9443/ccm/web/projects/MUOS%20SAFe%204.0%20Project" TargetMode="External"/><Relationship Id="rId505" Type="http://schemas.openxmlformats.org/officeDocument/2006/relationships/hyperlink" Target="https://gdccm01.gddsi.com:9443/ccm/web/projects/MUOS%20SAFe%204.0%20Project" TargetMode="External"/><Relationship Id="rId37" Type="http://schemas.openxmlformats.org/officeDocument/2006/relationships/hyperlink" Target="https://gdccm01.gddsi.com:9443/ccm/web/projects/MUOS%20SAFe%204.0%20Project" TargetMode="External"/><Relationship Id="rId79" Type="http://schemas.openxmlformats.org/officeDocument/2006/relationships/hyperlink" Target="https://gdccm01.gddsi.com:9443/ccm/web/projects/MUOS%20SAFe%204.0%20Project" TargetMode="External"/><Relationship Id="rId102" Type="http://schemas.openxmlformats.org/officeDocument/2006/relationships/hyperlink" Target="https://gdccm01.gddsi.com:9443/ccm/web/projects/MUOS%20SAFe%204.0%20Project" TargetMode="External"/><Relationship Id="rId144" Type="http://schemas.openxmlformats.org/officeDocument/2006/relationships/hyperlink" Target="https://gdccm01.gddsi.com:9443/ccm/web/projects/MUOS%20SAFe%204.0%20Project" TargetMode="External"/><Relationship Id="rId547" Type="http://schemas.openxmlformats.org/officeDocument/2006/relationships/hyperlink" Target="https://gdccm01.gddsi.com:9443/ccm/web/projects/MUOS%20SAFe%204.0%20Project" TargetMode="External"/><Relationship Id="rId589" Type="http://schemas.openxmlformats.org/officeDocument/2006/relationships/hyperlink" Target="https://gdccm01.gddsi.com:9443/ccm/web/projects/MUOS%20SAFe%204.0%20Project" TargetMode="External"/><Relationship Id="rId90" Type="http://schemas.openxmlformats.org/officeDocument/2006/relationships/hyperlink" Target="https://gdccm01.gddsi.com:9443/ccm/web/projects/MUOS%20SAFe%204.0%20Project" TargetMode="External"/><Relationship Id="rId186" Type="http://schemas.openxmlformats.org/officeDocument/2006/relationships/hyperlink" Target="https://gdccm01.gddsi.com:9443/ccm/web/projects/MUOS%20SAFe%204.0%20Project" TargetMode="External"/><Relationship Id="rId351" Type="http://schemas.openxmlformats.org/officeDocument/2006/relationships/hyperlink" Target="https://gdccm01.gddsi.com:9443/ccm/web/projects/MUOS%20SAFe%204.0%20Project" TargetMode="External"/><Relationship Id="rId393" Type="http://schemas.openxmlformats.org/officeDocument/2006/relationships/hyperlink" Target="https://gdccm01.gddsi.com:9443/ccm/web/projects/MUOS%20SAFe%204.0%20Project" TargetMode="External"/><Relationship Id="rId407" Type="http://schemas.openxmlformats.org/officeDocument/2006/relationships/hyperlink" Target="https://gdccm01.gddsi.com:9443/ccm/web/projects/MUOS%20SAFe%204.0%20Project" TargetMode="External"/><Relationship Id="rId449" Type="http://schemas.openxmlformats.org/officeDocument/2006/relationships/hyperlink" Target="https://gdccm01.gddsi.com:9443/ccm/web/projects/MUOS%20SAFe%204.0%20Project" TargetMode="External"/><Relationship Id="rId614" Type="http://schemas.openxmlformats.org/officeDocument/2006/relationships/hyperlink" Target="https://gdccm01.gddsi.com:9443/ccm/web/projects/MUOS%20SAFe%204.0%20Project" TargetMode="External"/><Relationship Id="rId656" Type="http://schemas.openxmlformats.org/officeDocument/2006/relationships/hyperlink" Target="https://gdccm01.gddsi.com:9443/ccm/web/projects/MUOS%20SAFe%204.0%20Project" TargetMode="External"/><Relationship Id="rId211" Type="http://schemas.openxmlformats.org/officeDocument/2006/relationships/hyperlink" Target="https://gdccm01.gddsi.com:9443/ccm/web/projects/MUOS%20SAFe%204.0%20Project" TargetMode="External"/><Relationship Id="rId253" Type="http://schemas.openxmlformats.org/officeDocument/2006/relationships/hyperlink" Target="https://gdccm01.gddsi.com:9443/ccm/web/projects/MUOS%20SAFe%204.0%20Project" TargetMode="External"/><Relationship Id="rId295" Type="http://schemas.openxmlformats.org/officeDocument/2006/relationships/hyperlink" Target="https://gdccm01.gddsi.com:9443/ccm/web/projects/MUOS%20SAFe%204.0%20Project" TargetMode="External"/><Relationship Id="rId309" Type="http://schemas.openxmlformats.org/officeDocument/2006/relationships/hyperlink" Target="https://gdccm01.gddsi.com:9443/ccm/web/projects/MUOS%20SAFe%204.0%20Project" TargetMode="External"/><Relationship Id="rId460" Type="http://schemas.openxmlformats.org/officeDocument/2006/relationships/hyperlink" Target="https://gdccm01.gddsi.com:9443/ccm/web/projects/MUOS%20SAFe%204.0%20Project" TargetMode="External"/><Relationship Id="rId516" Type="http://schemas.openxmlformats.org/officeDocument/2006/relationships/hyperlink" Target="https://gdccm01.gddsi.com:9443/ccm/web/projects/MUOS%20SAFe%204.0%20Project" TargetMode="External"/><Relationship Id="rId48" Type="http://schemas.openxmlformats.org/officeDocument/2006/relationships/hyperlink" Target="https://gdccm01.gddsi.com:9443/ccm/web/projects/MUOS%20SAFe%204.0%20Project" TargetMode="External"/><Relationship Id="rId113" Type="http://schemas.openxmlformats.org/officeDocument/2006/relationships/hyperlink" Target="https://gdccm01.gddsi.com:9443/ccm/web/projects/MUOS%20SAFe%204.0%20Project" TargetMode="External"/><Relationship Id="rId320" Type="http://schemas.openxmlformats.org/officeDocument/2006/relationships/hyperlink" Target="https://gdccm01.gddsi.com:9443/ccm/web/projects/MUOS%20SAFe%204.0%20Project" TargetMode="External"/><Relationship Id="rId558" Type="http://schemas.openxmlformats.org/officeDocument/2006/relationships/hyperlink" Target="https://gdccm01.gddsi.com:9443/ccm/web/projects/MUOS%20SAFe%204.0%20Project" TargetMode="External"/><Relationship Id="rId155" Type="http://schemas.openxmlformats.org/officeDocument/2006/relationships/hyperlink" Target="https://gdccm01.gddsi.com:9443/ccm/web/projects/MUOS%20SAFe%204.0%20Project" TargetMode="External"/><Relationship Id="rId197" Type="http://schemas.openxmlformats.org/officeDocument/2006/relationships/hyperlink" Target="https://gdccm01.gddsi.com:9443/ccm/web/projects/MUOS%20SAFe%204.0%20Project" TargetMode="External"/><Relationship Id="rId362" Type="http://schemas.openxmlformats.org/officeDocument/2006/relationships/hyperlink" Target="https://gdccm01.gddsi.com:9443/ccm/web/projects/MUOS%20SAFe%204.0%20Project" TargetMode="External"/><Relationship Id="rId418" Type="http://schemas.openxmlformats.org/officeDocument/2006/relationships/hyperlink" Target="https://gdccm01.gddsi.com:9443/ccm/web/projects/MUOS%20SAFe%204.0%20Project" TargetMode="External"/><Relationship Id="rId625" Type="http://schemas.openxmlformats.org/officeDocument/2006/relationships/hyperlink" Target="https://gdccm01.gddsi.com:9443/ccm/web/projects/MUOS%20SAFe%204.0%20Project" TargetMode="External"/><Relationship Id="rId222" Type="http://schemas.openxmlformats.org/officeDocument/2006/relationships/hyperlink" Target="https://gdccm01.gddsi.com:9443/ccm/web/projects/MUOS%20SAFe%204.0%20Project" TargetMode="External"/><Relationship Id="rId264" Type="http://schemas.openxmlformats.org/officeDocument/2006/relationships/hyperlink" Target="https://gdccm01.gddsi.com:9443/ccm/web/projects/MUOS%20SAFe%204.0%20Project" TargetMode="External"/><Relationship Id="rId471" Type="http://schemas.openxmlformats.org/officeDocument/2006/relationships/hyperlink" Target="https://gdccm01.gddsi.com:9443/ccm/web/projects/MUOS%20SAFe%204.0%20Project" TargetMode="External"/><Relationship Id="rId667" Type="http://schemas.openxmlformats.org/officeDocument/2006/relationships/hyperlink" Target="https://gdccm01.gddsi.com:9443/ccm/web/projects/MUOS%20SAFe%204.0%20Project" TargetMode="External"/><Relationship Id="rId17" Type="http://schemas.openxmlformats.org/officeDocument/2006/relationships/hyperlink" Target="https://gdccm01.gddsi.com:9443/ccm/web/projects/MUOS%20SAFe%204.0%20Project" TargetMode="External"/><Relationship Id="rId59" Type="http://schemas.openxmlformats.org/officeDocument/2006/relationships/hyperlink" Target="https://gdccm01.gddsi.com:9443/ccm/web/projects/MUOS%20SAFe%204.0%20Project" TargetMode="External"/><Relationship Id="rId124" Type="http://schemas.openxmlformats.org/officeDocument/2006/relationships/hyperlink" Target="https://gdccm01.gddsi.com:9443/ccm/web/projects/MUOS%20SAFe%204.0%20Project" TargetMode="External"/><Relationship Id="rId527" Type="http://schemas.openxmlformats.org/officeDocument/2006/relationships/hyperlink" Target="https://gdccm01.gddsi.com:9443/ccm/web/projects/MUOS%20SAFe%204.0%20Project" TargetMode="External"/><Relationship Id="rId569" Type="http://schemas.openxmlformats.org/officeDocument/2006/relationships/hyperlink" Target="https://gdccm01.gddsi.com:9443/ccm/web/projects/MUOS%20SAFe%204.0%20Project" TargetMode="External"/><Relationship Id="rId70" Type="http://schemas.openxmlformats.org/officeDocument/2006/relationships/hyperlink" Target="https://gdccm01.gddsi.com:9443/ccm/web/projects/MUOS%20SAFe%204.0%20Project" TargetMode="External"/><Relationship Id="rId166" Type="http://schemas.openxmlformats.org/officeDocument/2006/relationships/hyperlink" Target="https://gdccm01.gddsi.com:9443/ccm/web/projects/MUOS%20SAFe%204.0%20Project" TargetMode="External"/><Relationship Id="rId331" Type="http://schemas.openxmlformats.org/officeDocument/2006/relationships/hyperlink" Target="https://gdccm01.gddsi.com:9443/ccm/web/projects/MUOS%20SAFe%204.0%20Project" TargetMode="External"/><Relationship Id="rId373" Type="http://schemas.openxmlformats.org/officeDocument/2006/relationships/hyperlink" Target="https://gdccm01.gddsi.com:9443/ccm/web/projects/MUOS%20SAFe%204.0%20Project" TargetMode="External"/><Relationship Id="rId429" Type="http://schemas.openxmlformats.org/officeDocument/2006/relationships/hyperlink" Target="https://gdccm01.gddsi.com:9443/ccm/web/projects/MUOS%20SAFe%204.0%20Project" TargetMode="External"/><Relationship Id="rId580" Type="http://schemas.openxmlformats.org/officeDocument/2006/relationships/hyperlink" Target="https://gdccm01.gddsi.com:9443/ccm/web/projects/MUOS%20SAFe%204.0%20Project" TargetMode="External"/><Relationship Id="rId636" Type="http://schemas.openxmlformats.org/officeDocument/2006/relationships/hyperlink" Target="https://gdccm01.gddsi.com:9443/ccm/web/projects/MUOS%20SAFe%204.0%20Project" TargetMode="External"/><Relationship Id="rId1" Type="http://schemas.openxmlformats.org/officeDocument/2006/relationships/hyperlink" Target="https://gdccm01.gddsi.com:9443/ccm/web/projects/MUOS%20SAFe%204.0%20Project" TargetMode="External"/><Relationship Id="rId233" Type="http://schemas.openxmlformats.org/officeDocument/2006/relationships/hyperlink" Target="https://gdccm01.gddsi.com:9443/ccm/web/projects/MUOS%20SAFe%204.0%20Project" TargetMode="External"/><Relationship Id="rId440" Type="http://schemas.openxmlformats.org/officeDocument/2006/relationships/hyperlink" Target="https://gdccm01.gddsi.com:9443/ccm/web/projects/MUOS%20SAFe%204.0%20Project" TargetMode="External"/><Relationship Id="rId678" Type="http://schemas.openxmlformats.org/officeDocument/2006/relationships/ctrlProp" Target="../ctrlProps/ctrlProp15.xml"/><Relationship Id="rId28" Type="http://schemas.openxmlformats.org/officeDocument/2006/relationships/hyperlink" Target="https://gdccm01.gddsi.com:9443/ccm/web/projects/MUOS%20SAFe%204.0%20Project" TargetMode="External"/><Relationship Id="rId275" Type="http://schemas.openxmlformats.org/officeDocument/2006/relationships/hyperlink" Target="https://gdccm01.gddsi.com:9443/ccm/web/projects/MUOS%20SAFe%204.0%20Project" TargetMode="External"/><Relationship Id="rId300" Type="http://schemas.openxmlformats.org/officeDocument/2006/relationships/hyperlink" Target="https://gdccm01.gddsi.com:9443/ccm/web/projects/MUOS%20SAFe%204.0%20Project" TargetMode="External"/><Relationship Id="rId482" Type="http://schemas.openxmlformats.org/officeDocument/2006/relationships/hyperlink" Target="https://gdccm01.gddsi.com:9443/ccm/web/projects/MUOS%20SAFe%204.0%20Project" TargetMode="External"/><Relationship Id="rId538" Type="http://schemas.openxmlformats.org/officeDocument/2006/relationships/hyperlink" Target="https://gdccm01.gddsi.com:9443/ccm/web/projects/MUOS%20SAFe%204.0%20Project" TargetMode="External"/><Relationship Id="rId81" Type="http://schemas.openxmlformats.org/officeDocument/2006/relationships/hyperlink" Target="https://gdccm01.gddsi.com:9443/ccm/web/projects/MUOS%20SAFe%204.0%20Project" TargetMode="External"/><Relationship Id="rId135" Type="http://schemas.openxmlformats.org/officeDocument/2006/relationships/hyperlink" Target="https://gdccm01.gddsi.com:9443/ccm/web/projects/MUOS%20SAFe%204.0%20Project" TargetMode="External"/><Relationship Id="rId177" Type="http://schemas.openxmlformats.org/officeDocument/2006/relationships/hyperlink" Target="https://gdccm01.gddsi.com:9443/ccm/web/projects/MUOS%20SAFe%204.0%20Project" TargetMode="External"/><Relationship Id="rId342" Type="http://schemas.openxmlformats.org/officeDocument/2006/relationships/hyperlink" Target="https://gdccm01.gddsi.com:9443/ccm/web/projects/MUOS%20SAFe%204.0%20Project" TargetMode="External"/><Relationship Id="rId384" Type="http://schemas.openxmlformats.org/officeDocument/2006/relationships/hyperlink" Target="https://gdccm01.gddsi.com:9443/ccm/web/projects/MUOS%20SAFe%204.0%20Project" TargetMode="External"/><Relationship Id="rId591" Type="http://schemas.openxmlformats.org/officeDocument/2006/relationships/hyperlink" Target="https://gdccm01.gddsi.com:9443/ccm/web/projects/MUOS%20SAFe%204.0%20Project" TargetMode="External"/><Relationship Id="rId605" Type="http://schemas.openxmlformats.org/officeDocument/2006/relationships/hyperlink" Target="https://gdccm01.gddsi.com:9443/ccm/web/projects/MUOS%20SAFe%204.0%20Project" TargetMode="External"/><Relationship Id="rId202" Type="http://schemas.openxmlformats.org/officeDocument/2006/relationships/hyperlink" Target="https://gdccm01.gddsi.com:9443/ccm/web/projects/MUOS%20SAFe%204.0%20Project" TargetMode="External"/><Relationship Id="rId244" Type="http://schemas.openxmlformats.org/officeDocument/2006/relationships/hyperlink" Target="https://gdccm01.gddsi.com:9443/ccm/web/projects/MUOS%20SAFe%204.0%20Project" TargetMode="External"/><Relationship Id="rId647" Type="http://schemas.openxmlformats.org/officeDocument/2006/relationships/hyperlink" Target="https://gdccm01.gddsi.com:9443/ccm/web/projects/MUOS%20SAFe%204.0%20Project" TargetMode="External"/><Relationship Id="rId39" Type="http://schemas.openxmlformats.org/officeDocument/2006/relationships/hyperlink" Target="https://gdccm01.gddsi.com:9443/ccm/web/projects/MUOS%20SAFe%204.0%20Project" TargetMode="External"/><Relationship Id="rId286" Type="http://schemas.openxmlformats.org/officeDocument/2006/relationships/hyperlink" Target="https://gdccm01.gddsi.com:9443/ccm/web/projects/MUOS%20SAFe%204.0%20Project" TargetMode="External"/><Relationship Id="rId451" Type="http://schemas.openxmlformats.org/officeDocument/2006/relationships/hyperlink" Target="https://gdccm01.gddsi.com:9443/ccm/web/projects/MUOS%20SAFe%204.0%20Project" TargetMode="External"/><Relationship Id="rId493" Type="http://schemas.openxmlformats.org/officeDocument/2006/relationships/hyperlink" Target="https://gdccm01.gddsi.com:9443/ccm/web/projects/MUOS%20SAFe%204.0%20Project" TargetMode="External"/><Relationship Id="rId507" Type="http://schemas.openxmlformats.org/officeDocument/2006/relationships/hyperlink" Target="https://gdccm01.gddsi.com:9443/ccm/web/projects/MUOS%20SAFe%204.0%20Project" TargetMode="External"/><Relationship Id="rId549" Type="http://schemas.openxmlformats.org/officeDocument/2006/relationships/hyperlink" Target="https://gdccm01.gddsi.com:9443/ccm/web/projects/MUOS%20SAFe%204.0%20Project" TargetMode="External"/><Relationship Id="rId50" Type="http://schemas.openxmlformats.org/officeDocument/2006/relationships/hyperlink" Target="https://gdccm01.gddsi.com:9443/ccm/web/projects/MUOS%20SAFe%204.0%20Project" TargetMode="External"/><Relationship Id="rId104" Type="http://schemas.openxmlformats.org/officeDocument/2006/relationships/hyperlink" Target="https://gdccm01.gddsi.com:9443/ccm/web/projects/MUOS%20SAFe%204.0%20Project" TargetMode="External"/><Relationship Id="rId146" Type="http://schemas.openxmlformats.org/officeDocument/2006/relationships/hyperlink" Target="https://gdccm01.gddsi.com:9443/ccm/web/projects/MUOS%20SAFe%204.0%20Project" TargetMode="External"/><Relationship Id="rId188" Type="http://schemas.openxmlformats.org/officeDocument/2006/relationships/hyperlink" Target="https://gdccm01.gddsi.com:9443/ccm/web/projects/MUOS%20SAFe%204.0%20Project" TargetMode="External"/><Relationship Id="rId311" Type="http://schemas.openxmlformats.org/officeDocument/2006/relationships/hyperlink" Target="https://gdccm01.gddsi.com:9443/ccm/web/projects/MUOS%20SAFe%204.0%20Project" TargetMode="External"/><Relationship Id="rId353" Type="http://schemas.openxmlformats.org/officeDocument/2006/relationships/hyperlink" Target="https://gdccm01.gddsi.com:9443/ccm/web/projects/MUOS%20SAFe%204.0%20Project" TargetMode="External"/><Relationship Id="rId395" Type="http://schemas.openxmlformats.org/officeDocument/2006/relationships/hyperlink" Target="https://gdccm01.gddsi.com:9443/ccm/web/projects/MUOS%20SAFe%204.0%20Project" TargetMode="External"/><Relationship Id="rId409" Type="http://schemas.openxmlformats.org/officeDocument/2006/relationships/hyperlink" Target="https://gdccm01.gddsi.com:9443/ccm/web/projects/MUOS%20SAFe%204.0%20Project" TargetMode="External"/><Relationship Id="rId560" Type="http://schemas.openxmlformats.org/officeDocument/2006/relationships/hyperlink" Target="https://gdccm01.gddsi.com:9443/ccm/web/projects/MUOS%20SAFe%204.0%20Project"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https://gdccm01.gddsi.com:9443/ccm/web/projects/MUOS%20SAFe%204.0%20Project" TargetMode="Externa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hyperlink" Target="http://connectingpoint.rc4s.com/sites/IGS/1639%20%20Engineering/Forms/Library%20View1.aspx?RootFolder=%2Fsites%2FIGS%2F1639%20%20Engineering%2FProcess%2FMUOS%20Enterprise%20Agile%2FIncrement%2015%20Planning&amp;&amp;InitialTabId=Ribbon%2ERead&amp;VisibilityContext=WS" TargetMode="Externa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pageSetUpPr fitToPage="1"/>
  </sheetPr>
  <dimension ref="A1:BK500"/>
  <sheetViews>
    <sheetView tabSelected="1" zoomScale="145" zoomScaleNormal="145" workbookViewId="0">
      <pane ySplit="1" topLeftCell="A2" activePane="bottomLeft" state="frozen"/>
      <selection activeCell="J1" sqref="J1"/>
      <selection pane="bottomLeft" activeCell="A2" sqref="A2"/>
    </sheetView>
  </sheetViews>
  <sheetFormatPr defaultRowHeight="14.4" x14ac:dyDescent="0.3"/>
  <cols>
    <col min="1" max="1" width="9" customWidth="1"/>
    <col min="2" max="2" width="57.6640625" customWidth="1"/>
    <col min="3" max="3" width="10" style="183" customWidth="1"/>
    <col min="4" max="4" width="9.33203125" style="183" customWidth="1"/>
    <col min="5" max="5" width="5.88671875" customWidth="1"/>
    <col min="6" max="6" width="10.44140625" style="38" customWidth="1"/>
    <col min="7" max="7" width="6.88671875" style="38" customWidth="1"/>
    <col min="8" max="8" width="0.109375" style="95" customWidth="1"/>
    <col min="9" max="9" width="6" style="103" customWidth="1"/>
    <col min="10" max="10" width="7.33203125" style="183" customWidth="1"/>
    <col min="11" max="11" width="9" style="42" customWidth="1"/>
    <col min="12" max="12" width="6" customWidth="1"/>
    <col min="13" max="14" width="9.109375" customWidth="1"/>
    <col min="15" max="15" width="3.6640625" style="52" customWidth="1"/>
    <col min="16" max="16" width="6.5546875" style="95" customWidth="1"/>
    <col min="17" max="17" width="6.5546875" style="103" customWidth="1"/>
    <col min="18" max="18" width="8.33203125" customWidth="1"/>
    <col min="19" max="19" width="6.6640625" customWidth="1"/>
    <col min="20" max="20" width="6.5546875" customWidth="1"/>
    <col min="21" max="21" width="6" customWidth="1"/>
    <col min="22" max="22" width="6.33203125" customWidth="1"/>
    <col min="23" max="23" width="6" style="52" customWidth="1"/>
    <col min="24" max="24" width="6.109375" style="52" customWidth="1"/>
    <col min="25" max="25" width="5.6640625" customWidth="1"/>
    <col min="26" max="26" width="5.5546875" customWidth="1"/>
    <col min="27" max="27" width="6.109375" customWidth="1"/>
    <col min="28" max="28" width="6.33203125" style="95" customWidth="1"/>
    <col min="29" max="29" width="5.6640625" customWidth="1"/>
    <col min="30" max="31" width="5.5546875" customWidth="1"/>
    <col min="32" max="32" width="6.109375" style="52" customWidth="1"/>
    <col min="33" max="33" width="5.88671875" customWidth="1"/>
    <col min="34" max="34" width="4.6640625" customWidth="1"/>
    <col min="35" max="36" width="5.6640625" customWidth="1"/>
    <col min="37" max="37" width="6.33203125" customWidth="1"/>
    <col min="38" max="38" width="5.109375" style="85" customWidth="1"/>
    <col min="39" max="39" width="9.33203125" style="85" customWidth="1"/>
    <col min="40" max="40" width="4.88671875" customWidth="1"/>
    <col min="41" max="41" width="5.44140625" customWidth="1"/>
    <col min="42" max="42" width="4.5546875" customWidth="1"/>
    <col min="43" max="43" width="6.109375" customWidth="1"/>
    <col min="44" max="44" width="4.6640625" customWidth="1"/>
    <col min="45" max="47" width="5.88671875" customWidth="1"/>
    <col min="48" max="51" width="5.88671875" style="52" customWidth="1"/>
    <col min="52" max="52" width="5.88671875" customWidth="1"/>
    <col min="53" max="53" width="5.88671875" style="95" customWidth="1"/>
    <col min="54" max="58" width="5.88671875" customWidth="1"/>
    <col min="59" max="59" width="4.33203125" style="52" customWidth="1"/>
    <col min="60" max="61" width="6.5546875" style="42" customWidth="1"/>
  </cols>
  <sheetData>
    <row r="1" spans="1:63" ht="91.95" customHeight="1" x14ac:dyDescent="0.3">
      <c r="A1" s="23" t="s">
        <v>0</v>
      </c>
      <c r="B1" s="69" t="s">
        <v>1</v>
      </c>
      <c r="C1" s="180" t="s">
        <v>3</v>
      </c>
      <c r="D1" s="180" t="s">
        <v>4</v>
      </c>
      <c r="E1" s="69" t="s">
        <v>5</v>
      </c>
      <c r="F1" s="204" t="s">
        <v>877</v>
      </c>
      <c r="G1" s="204" t="s">
        <v>178</v>
      </c>
      <c r="H1" s="69" t="s">
        <v>6</v>
      </c>
      <c r="I1" s="249" t="s">
        <v>7</v>
      </c>
      <c r="J1" s="180" t="s">
        <v>878</v>
      </c>
      <c r="K1" s="199" t="s">
        <v>837</v>
      </c>
      <c r="L1" s="69" t="s">
        <v>8</v>
      </c>
      <c r="M1" s="69" t="s">
        <v>9</v>
      </c>
      <c r="N1" s="69" t="s">
        <v>10</v>
      </c>
      <c r="O1" s="199" t="s">
        <v>111</v>
      </c>
      <c r="P1" s="69" t="s">
        <v>1567</v>
      </c>
      <c r="Q1" s="249" t="s">
        <v>1743</v>
      </c>
      <c r="R1" s="69" t="s">
        <v>11</v>
      </c>
      <c r="S1" s="69" t="s">
        <v>12</v>
      </c>
      <c r="T1" s="69" t="s">
        <v>951</v>
      </c>
      <c r="U1" s="69" t="s">
        <v>944</v>
      </c>
      <c r="V1" s="69" t="s">
        <v>945</v>
      </c>
      <c r="W1" s="69" t="s">
        <v>949</v>
      </c>
      <c r="X1" s="69" t="s">
        <v>943</v>
      </c>
      <c r="Y1" s="69" t="s">
        <v>946</v>
      </c>
      <c r="Z1" s="69" t="s">
        <v>950</v>
      </c>
      <c r="AA1" s="69" t="s">
        <v>948</v>
      </c>
      <c r="AB1" s="69" t="s">
        <v>15</v>
      </c>
      <c r="AC1" s="69" t="s">
        <v>947</v>
      </c>
      <c r="AD1" s="69" t="s">
        <v>17</v>
      </c>
      <c r="AE1" s="69" t="s">
        <v>18</v>
      </c>
      <c r="AF1" s="69" t="s">
        <v>19</v>
      </c>
      <c r="AG1" s="69" t="s">
        <v>554</v>
      </c>
      <c r="AH1" s="69" t="s">
        <v>21</v>
      </c>
      <c r="AI1" s="69" t="s">
        <v>758</v>
      </c>
      <c r="AJ1" s="69" t="s">
        <v>1744</v>
      </c>
      <c r="AK1" s="69" t="s">
        <v>886</v>
      </c>
      <c r="AL1" s="81" t="s">
        <v>520</v>
      </c>
      <c r="AM1" s="81" t="s">
        <v>855</v>
      </c>
      <c r="AN1" s="69" t="s">
        <v>816</v>
      </c>
      <c r="AO1" s="24" t="s">
        <v>24</v>
      </c>
      <c r="AP1" s="25" t="s">
        <v>25</v>
      </c>
      <c r="AQ1" s="9" t="s">
        <v>827</v>
      </c>
      <c r="AR1" s="200" t="s">
        <v>1604</v>
      </c>
      <c r="AS1" s="68" t="s">
        <v>951</v>
      </c>
      <c r="AT1" s="68" t="s">
        <v>944</v>
      </c>
      <c r="AU1" s="68" t="s">
        <v>945</v>
      </c>
      <c r="AV1" s="68" t="s">
        <v>949</v>
      </c>
      <c r="AW1" s="68" t="s">
        <v>943</v>
      </c>
      <c r="AX1" s="68" t="s">
        <v>946</v>
      </c>
      <c r="AY1" s="68" t="s">
        <v>950</v>
      </c>
      <c r="AZ1" s="68" t="s">
        <v>948</v>
      </c>
      <c r="BA1" s="68" t="s">
        <v>15</v>
      </c>
      <c r="BB1" s="68" t="s">
        <v>947</v>
      </c>
      <c r="BC1" s="68" t="s">
        <v>17</v>
      </c>
      <c r="BD1" s="68" t="s">
        <v>18</v>
      </c>
      <c r="BE1" s="68" t="s">
        <v>19</v>
      </c>
      <c r="BF1" s="68" t="s">
        <v>554</v>
      </c>
      <c r="BG1" s="68" t="s">
        <v>21</v>
      </c>
      <c r="BH1" s="200" t="s">
        <v>836</v>
      </c>
      <c r="BI1" s="69" t="s">
        <v>521</v>
      </c>
    </row>
    <row r="2" spans="1:63" s="5" customFormat="1" ht="14.4" customHeight="1" x14ac:dyDescent="0.3">
      <c r="A2" s="262"/>
      <c r="B2" s="261"/>
      <c r="C2" s="98"/>
      <c r="D2" s="98"/>
      <c r="E2" s="64"/>
      <c r="F2" s="205"/>
      <c r="G2" s="205"/>
      <c r="H2" s="22"/>
      <c r="I2" s="22"/>
      <c r="J2" s="184"/>
      <c r="K2" s="22"/>
      <c r="L2" s="62"/>
      <c r="M2" s="17"/>
      <c r="N2" s="17"/>
      <c r="O2" s="106"/>
      <c r="P2" s="106"/>
      <c r="Q2" s="106"/>
      <c r="R2" s="107"/>
      <c r="S2" s="55"/>
      <c r="T2" s="55"/>
      <c r="U2" s="55"/>
      <c r="V2" s="55"/>
      <c r="W2" s="55"/>
      <c r="X2" s="55"/>
      <c r="Y2" s="55"/>
      <c r="Z2" s="55"/>
      <c r="AA2" s="55"/>
      <c r="AB2" s="55"/>
      <c r="AC2" s="55"/>
      <c r="AD2" s="55"/>
      <c r="AE2" s="55"/>
      <c r="AF2" s="55"/>
      <c r="AG2" s="55"/>
      <c r="AH2" s="55"/>
      <c r="AI2" s="55"/>
      <c r="AJ2" s="55"/>
      <c r="AK2" s="55"/>
      <c r="AL2" s="55"/>
      <c r="AM2" s="55"/>
      <c r="AN2" s="55"/>
      <c r="AO2" s="67" t="s">
        <v>87</v>
      </c>
      <c r="AP2" s="21">
        <v>0</v>
      </c>
      <c r="AQ2" s="67"/>
      <c r="AR2" s="67"/>
      <c r="AS2" s="55">
        <f t="shared" ref="AS2:BG2" si="0">T2</f>
        <v>0</v>
      </c>
      <c r="AT2" s="55">
        <f t="shared" si="0"/>
        <v>0</v>
      </c>
      <c r="AU2" s="55">
        <f t="shared" si="0"/>
        <v>0</v>
      </c>
      <c r="AV2" s="55">
        <f t="shared" si="0"/>
        <v>0</v>
      </c>
      <c r="AW2" s="55">
        <f t="shared" si="0"/>
        <v>0</v>
      </c>
      <c r="AX2" s="55">
        <f t="shared" si="0"/>
        <v>0</v>
      </c>
      <c r="AY2" s="55">
        <f t="shared" si="0"/>
        <v>0</v>
      </c>
      <c r="AZ2" s="55">
        <f t="shared" si="0"/>
        <v>0</v>
      </c>
      <c r="BA2" s="55">
        <f t="shared" si="0"/>
        <v>0</v>
      </c>
      <c r="BB2" s="55">
        <f t="shared" si="0"/>
        <v>0</v>
      </c>
      <c r="BC2" s="55">
        <f t="shared" si="0"/>
        <v>0</v>
      </c>
      <c r="BD2" s="55">
        <f t="shared" si="0"/>
        <v>0</v>
      </c>
      <c r="BE2" s="55">
        <f t="shared" si="0"/>
        <v>0</v>
      </c>
      <c r="BF2" s="55">
        <f t="shared" si="0"/>
        <v>0</v>
      </c>
      <c r="BG2" s="55">
        <f t="shared" si="0"/>
        <v>0</v>
      </c>
      <c r="BH2" s="55"/>
      <c r="BI2" s="55"/>
    </row>
    <row r="3" spans="1:63" s="5" customFormat="1" ht="14.4" customHeight="1" x14ac:dyDescent="0.3">
      <c r="A3" s="203">
        <v>1011150</v>
      </c>
      <c r="B3" s="65" t="s">
        <v>1839</v>
      </c>
      <c r="C3" s="98" t="s">
        <v>1842</v>
      </c>
      <c r="D3" s="98" t="s">
        <v>28</v>
      </c>
      <c r="E3" s="65">
        <v>115</v>
      </c>
      <c r="F3" s="99" t="s">
        <v>41</v>
      </c>
      <c r="G3" s="99" t="s">
        <v>1867</v>
      </c>
      <c r="H3" s="64" t="s">
        <v>850</v>
      </c>
      <c r="I3" s="64" t="s">
        <v>38</v>
      </c>
      <c r="J3" s="98" t="s">
        <v>1414</v>
      </c>
      <c r="K3" s="95">
        <v>0</v>
      </c>
      <c r="L3" s="62" t="s">
        <v>17</v>
      </c>
      <c r="M3" s="67" t="s">
        <v>31</v>
      </c>
      <c r="N3" s="67" t="s">
        <v>48</v>
      </c>
      <c r="O3" s="67">
        <v>0</v>
      </c>
      <c r="P3" s="67" t="s">
        <v>131</v>
      </c>
      <c r="Q3" s="67" t="s">
        <v>36</v>
      </c>
      <c r="R3" s="66">
        <v>7</v>
      </c>
      <c r="S3" s="63">
        <v>0</v>
      </c>
      <c r="T3" s="63">
        <v>4</v>
      </c>
      <c r="U3" s="63">
        <v>0</v>
      </c>
      <c r="V3" s="63">
        <v>0</v>
      </c>
      <c r="W3" s="63">
        <v>4</v>
      </c>
      <c r="X3" s="63">
        <v>10</v>
      </c>
      <c r="Y3" s="63">
        <v>0</v>
      </c>
      <c r="Z3" s="63">
        <v>9</v>
      </c>
      <c r="AA3" s="63">
        <v>0</v>
      </c>
      <c r="AB3" s="63">
        <v>0</v>
      </c>
      <c r="AC3" s="63">
        <v>13</v>
      </c>
      <c r="AD3" s="63">
        <v>62</v>
      </c>
      <c r="AE3" s="63">
        <v>0</v>
      </c>
      <c r="AF3" s="63">
        <v>0</v>
      </c>
      <c r="AG3" s="63">
        <v>13</v>
      </c>
      <c r="AH3" s="63">
        <v>0</v>
      </c>
      <c r="AI3" s="63">
        <v>0</v>
      </c>
      <c r="AJ3" s="63">
        <v>115</v>
      </c>
      <c r="AK3" s="63">
        <v>0</v>
      </c>
      <c r="AL3" s="63" t="s">
        <v>35</v>
      </c>
      <c r="AM3" s="63" t="s">
        <v>36</v>
      </c>
      <c r="AN3" s="149" t="s">
        <v>40</v>
      </c>
      <c r="AO3" s="67" t="str">
        <f>VLOOKUP(A3,'Ranking Lookup'!A:C,3,0)</f>
        <v>Pre PI</v>
      </c>
      <c r="AP3" s="63">
        <f>IFERROR(VLOOKUP($A3,'Ranking Lookup'!$A:$B,2,0),"Unranked")</f>
        <v>1</v>
      </c>
      <c r="AQ3" s="71">
        <f>SUM(S3:AI3,AK3)/E3</f>
        <v>1</v>
      </c>
      <c r="AR3" s="97">
        <f>IF(A3="","",
COUNTIF(EAD_CIs!I:I,"*"&amp;A3&amp;"*"))</f>
        <v>0</v>
      </c>
      <c r="AS3" s="97">
        <f>AS2+T3</f>
        <v>4</v>
      </c>
      <c r="AT3" s="97">
        <f>AT2+U3</f>
        <v>0</v>
      </c>
      <c r="AU3" s="97">
        <f>AU2+V3</f>
        <v>0</v>
      </c>
      <c r="AV3" s="97">
        <f>AV2+W3</f>
        <v>4</v>
      </c>
      <c r="AW3" s="97">
        <f>AW2+X3</f>
        <v>10</v>
      </c>
      <c r="AX3" s="97">
        <f>AX2+Y3</f>
        <v>0</v>
      </c>
      <c r="AY3" s="97">
        <f>AY2+Z3</f>
        <v>9</v>
      </c>
      <c r="AZ3" s="97">
        <f>AZ2+AA3</f>
        <v>0</v>
      </c>
      <c r="BA3" s="97">
        <f>BA2+AB3</f>
        <v>0</v>
      </c>
      <c r="BB3" s="97">
        <f>BB2+AC3</f>
        <v>13</v>
      </c>
      <c r="BC3" s="97">
        <f>BC2+AD3</f>
        <v>62</v>
      </c>
      <c r="BD3" s="97">
        <f>BD2+AE3</f>
        <v>0</v>
      </c>
      <c r="BE3" s="97">
        <f>BE2+AF3</f>
        <v>0</v>
      </c>
      <c r="BF3" s="97">
        <f>BF2+AG3</f>
        <v>13</v>
      </c>
      <c r="BG3" s="97">
        <f>BG2+AH3</f>
        <v>0</v>
      </c>
      <c r="BH3" s="63">
        <f>IF(A3="",0,
COUNTIF(OrphanPWI_CI_Check!A:A,"*"&amp;A3&amp;"*"))</f>
        <v>0</v>
      </c>
      <c r="BI3" s="63">
        <f>IF(NOT(ISERROR(SEARCH("In Progress",   VLOOKUP($A3,$A:$D,MATCH("Planned For",$A$1:$D$1,0), 1)))),0.5,
 IF($F3="Enabler",0.6,
 IF($I3="EAD N/A",0.8,1))) *  ( ROUNDUP(MAX('Ranking Lookup'!B:B)/5,0) +1 - ROUNDUP(IF(NOT(ISNUMBER(VLOOKUP(A3,'Ranking Lookup'!A:B,2,0))),  MAX('Ranking Lookup'!B:B))/5,0) )</f>
        <v>10.799999999999999</v>
      </c>
      <c r="BK3" s="95"/>
    </row>
    <row r="4" spans="1:63" s="5" customFormat="1" ht="14.4" customHeight="1" x14ac:dyDescent="0.3">
      <c r="A4" s="203">
        <v>395853</v>
      </c>
      <c r="B4" s="65" t="s">
        <v>2176</v>
      </c>
      <c r="C4" s="98" t="s">
        <v>1321</v>
      </c>
      <c r="D4" s="98" t="s">
        <v>28</v>
      </c>
      <c r="E4" s="65">
        <v>27</v>
      </c>
      <c r="F4" s="99" t="s">
        <v>879</v>
      </c>
      <c r="G4" s="99" t="s">
        <v>2266</v>
      </c>
      <c r="H4" s="64" t="s">
        <v>630</v>
      </c>
      <c r="I4" s="64" t="s">
        <v>38</v>
      </c>
      <c r="J4" s="98" t="s">
        <v>1414</v>
      </c>
      <c r="K4" s="95">
        <v>0</v>
      </c>
      <c r="L4" s="62" t="s">
        <v>944</v>
      </c>
      <c r="M4" s="67" t="s">
        <v>49</v>
      </c>
      <c r="N4" s="67" t="s">
        <v>50</v>
      </c>
      <c r="O4" s="67">
        <v>0</v>
      </c>
      <c r="P4" s="67" t="s">
        <v>131</v>
      </c>
      <c r="Q4" s="67" t="s">
        <v>1760</v>
      </c>
      <c r="R4" s="66">
        <v>1</v>
      </c>
      <c r="S4" s="63">
        <v>0</v>
      </c>
      <c r="T4" s="63">
        <v>0</v>
      </c>
      <c r="U4" s="63">
        <v>27</v>
      </c>
      <c r="V4" s="63">
        <v>0</v>
      </c>
      <c r="W4" s="63">
        <v>0</v>
      </c>
      <c r="X4" s="63">
        <v>0</v>
      </c>
      <c r="Y4" s="63">
        <v>0</v>
      </c>
      <c r="Z4" s="63">
        <v>0</v>
      </c>
      <c r="AA4" s="63">
        <v>0</v>
      </c>
      <c r="AB4" s="63">
        <v>0</v>
      </c>
      <c r="AC4" s="63">
        <v>0</v>
      </c>
      <c r="AD4" s="63">
        <v>0</v>
      </c>
      <c r="AE4" s="63">
        <v>0</v>
      </c>
      <c r="AF4" s="63">
        <v>0</v>
      </c>
      <c r="AG4" s="63">
        <v>0</v>
      </c>
      <c r="AH4" s="63">
        <v>0</v>
      </c>
      <c r="AI4" s="63">
        <v>0</v>
      </c>
      <c r="AJ4" s="63">
        <v>27</v>
      </c>
      <c r="AK4" s="63">
        <v>0</v>
      </c>
      <c r="AL4" s="63" t="s">
        <v>35</v>
      </c>
      <c r="AM4" s="63" t="s">
        <v>36</v>
      </c>
      <c r="AN4" s="149" t="s">
        <v>40</v>
      </c>
      <c r="AO4" s="67" t="str">
        <f>VLOOKUP(A4,'Ranking Lookup'!A:C,3,0)</f>
        <v>Pre PI</v>
      </c>
      <c r="AP4" s="63">
        <f>IFERROR(VLOOKUP($A4,'Ranking Lookup'!$A:$B,2,0),"Unranked")</f>
        <v>2</v>
      </c>
      <c r="AQ4" s="71">
        <f>SUM(S4:AI4,AK4)/E4</f>
        <v>1</v>
      </c>
      <c r="AR4" s="97">
        <f>IF(A4="","",
COUNTIF(EAD_CIs!I:I,"*"&amp;A4&amp;"*"))</f>
        <v>0</v>
      </c>
      <c r="AS4" s="97">
        <f>AS3+T4</f>
        <v>4</v>
      </c>
      <c r="AT4" s="97">
        <f>AT3+U4</f>
        <v>27</v>
      </c>
      <c r="AU4" s="97">
        <f>AU3+V4</f>
        <v>0</v>
      </c>
      <c r="AV4" s="97">
        <f>AV3+W4</f>
        <v>4</v>
      </c>
      <c r="AW4" s="97">
        <f>AW3+X4</f>
        <v>10</v>
      </c>
      <c r="AX4" s="97">
        <f>AX3+Y4</f>
        <v>0</v>
      </c>
      <c r="AY4" s="97">
        <f>AY3+Z4</f>
        <v>9</v>
      </c>
      <c r="AZ4" s="97">
        <f>AZ3+AA4</f>
        <v>0</v>
      </c>
      <c r="BA4" s="97">
        <f>BA3+AB4</f>
        <v>0</v>
      </c>
      <c r="BB4" s="97">
        <f>BB3+AC4</f>
        <v>13</v>
      </c>
      <c r="BC4" s="97">
        <f>BC3+AD4</f>
        <v>62</v>
      </c>
      <c r="BD4" s="97">
        <f>BD3+AE4</f>
        <v>0</v>
      </c>
      <c r="BE4" s="97">
        <f>BE3+AF4</f>
        <v>0</v>
      </c>
      <c r="BF4" s="97">
        <f>BF3+AG4</f>
        <v>13</v>
      </c>
      <c r="BG4" s="97">
        <f>BG3+AH4</f>
        <v>0</v>
      </c>
      <c r="BH4" s="63">
        <f>IF(A4="",0,
COUNTIF(OrphanPWI_CI_Check!A:A,"*"&amp;A4&amp;"*"))</f>
        <v>0</v>
      </c>
      <c r="BI4" s="63">
        <f>IF(NOT(ISERROR(SEARCH("In Progress",   VLOOKUP($A4,$A:$D,MATCH("Planned For",$A$1:$D$1,0), 1)))),0.5,
 IF($F4="Enabler",0.6,
 IF($I4="EAD N/A",0.8,1))) *  ( ROUNDUP(MAX('Ranking Lookup'!B:B)/5,0) +1 - ROUNDUP(IF(NOT(ISNUMBER(VLOOKUP(A4,'Ranking Lookup'!A:B,2,0))),  MAX('Ranking Lookup'!B:B))/5,0) )</f>
        <v>14.4</v>
      </c>
      <c r="BK4" s="95"/>
    </row>
    <row r="5" spans="1:63" s="5" customFormat="1" ht="14.4" customHeight="1" x14ac:dyDescent="0.3">
      <c r="A5" s="203">
        <v>395688</v>
      </c>
      <c r="B5" s="65" t="s">
        <v>2177</v>
      </c>
      <c r="C5" s="98" t="s">
        <v>1321</v>
      </c>
      <c r="D5" s="98" t="s">
        <v>28</v>
      </c>
      <c r="E5" s="65">
        <v>59</v>
      </c>
      <c r="F5" s="99" t="s">
        <v>880</v>
      </c>
      <c r="G5" s="99" t="s">
        <v>2267</v>
      </c>
      <c r="H5" s="64" t="s">
        <v>2040</v>
      </c>
      <c r="I5" s="64" t="s">
        <v>1793</v>
      </c>
      <c r="J5" s="98" t="s">
        <v>1412</v>
      </c>
      <c r="K5" s="95">
        <v>0</v>
      </c>
      <c r="L5" s="62" t="s">
        <v>944</v>
      </c>
      <c r="M5" s="67" t="s">
        <v>49</v>
      </c>
      <c r="N5" s="67" t="s">
        <v>50</v>
      </c>
      <c r="O5" s="67">
        <v>0</v>
      </c>
      <c r="P5" s="67" t="s">
        <v>1549</v>
      </c>
      <c r="Q5" s="67" t="s">
        <v>1760</v>
      </c>
      <c r="R5" s="66">
        <v>1</v>
      </c>
      <c r="S5" s="63">
        <v>0</v>
      </c>
      <c r="T5" s="63">
        <v>0</v>
      </c>
      <c r="U5" s="63">
        <v>59</v>
      </c>
      <c r="V5" s="63">
        <v>0</v>
      </c>
      <c r="W5" s="63">
        <v>0</v>
      </c>
      <c r="X5" s="63">
        <v>0</v>
      </c>
      <c r="Y5" s="63">
        <v>0</v>
      </c>
      <c r="Z5" s="63">
        <v>0</v>
      </c>
      <c r="AA5" s="63">
        <v>0</v>
      </c>
      <c r="AB5" s="63">
        <v>0</v>
      </c>
      <c r="AC5" s="63">
        <v>0</v>
      </c>
      <c r="AD5" s="63">
        <v>0</v>
      </c>
      <c r="AE5" s="63">
        <v>0</v>
      </c>
      <c r="AF5" s="63">
        <v>0</v>
      </c>
      <c r="AG5" s="63">
        <v>0</v>
      </c>
      <c r="AH5" s="63">
        <v>0</v>
      </c>
      <c r="AI5" s="63">
        <v>0</v>
      </c>
      <c r="AJ5" s="63">
        <v>59</v>
      </c>
      <c r="AK5" s="63">
        <v>0</v>
      </c>
      <c r="AL5" s="63" t="s">
        <v>35</v>
      </c>
      <c r="AM5" s="63" t="s">
        <v>36</v>
      </c>
      <c r="AN5" s="149" t="s">
        <v>40</v>
      </c>
      <c r="AO5" s="67" t="str">
        <f>VLOOKUP(A5,'Ranking Lookup'!A:C,3,0)</f>
        <v>Pre PI</v>
      </c>
      <c r="AP5" s="63">
        <f>IFERROR(VLOOKUP($A5,'Ranking Lookup'!$A:$B,2,0),"Unranked")</f>
        <v>3</v>
      </c>
      <c r="AQ5" s="71">
        <f>SUM(S5:AI5,AK5)/E5</f>
        <v>1</v>
      </c>
      <c r="AR5" s="97">
        <f>IF(A5="","",
COUNTIF(EAD_CIs!I:I,"*"&amp;A5&amp;"*"))</f>
        <v>1</v>
      </c>
      <c r="AS5" s="97">
        <f>AS4+T5</f>
        <v>4</v>
      </c>
      <c r="AT5" s="97">
        <f>AT4+U5</f>
        <v>86</v>
      </c>
      <c r="AU5" s="97">
        <f>AU4+V5</f>
        <v>0</v>
      </c>
      <c r="AV5" s="97">
        <f>AV4+W5</f>
        <v>4</v>
      </c>
      <c r="AW5" s="97">
        <f>AW4+X5</f>
        <v>10</v>
      </c>
      <c r="AX5" s="97">
        <f>AX4+Y5</f>
        <v>0</v>
      </c>
      <c r="AY5" s="97">
        <f>AY4+Z5</f>
        <v>9</v>
      </c>
      <c r="AZ5" s="97">
        <f>AZ4+AA5</f>
        <v>0</v>
      </c>
      <c r="BA5" s="97">
        <f>BA4+AB5</f>
        <v>0</v>
      </c>
      <c r="BB5" s="97">
        <f>BB4+AC5</f>
        <v>13</v>
      </c>
      <c r="BC5" s="97">
        <f>BC4+AD5</f>
        <v>62</v>
      </c>
      <c r="BD5" s="97">
        <f>BD4+AE5</f>
        <v>0</v>
      </c>
      <c r="BE5" s="97">
        <f>BE4+AF5</f>
        <v>0</v>
      </c>
      <c r="BF5" s="97">
        <f>BF4+AG5</f>
        <v>13</v>
      </c>
      <c r="BG5" s="97">
        <f>BG4+AH5</f>
        <v>0</v>
      </c>
      <c r="BH5" s="63">
        <f>IF(A5="",0,
COUNTIF(OrphanPWI_CI_Check!A:A,"*"&amp;A5&amp;"*"))</f>
        <v>4</v>
      </c>
      <c r="BI5" s="63">
        <f>IF(NOT(ISERROR(SEARCH("In Progress",   VLOOKUP($A5,$A:$D,MATCH("Planned For",$A$1:$D$1,0), 1)))),0.5,
 IF($F5="Enabler",0.6,
 IF($I5="EAD N/A",0.8,1))) *  ( ROUNDUP(MAX('Ranking Lookup'!B:B)/5,0) +1 - ROUNDUP(IF(NOT(ISNUMBER(VLOOKUP(A5,'Ranking Lookup'!A:B,2,0))),  MAX('Ranking Lookup'!B:B))/5,0) )</f>
        <v>18</v>
      </c>
      <c r="BK5" s="95"/>
    </row>
    <row r="6" spans="1:63" s="5" customFormat="1" ht="14.4" customHeight="1" x14ac:dyDescent="0.3">
      <c r="A6" s="203">
        <v>395897</v>
      </c>
      <c r="B6" s="65" t="s">
        <v>2175</v>
      </c>
      <c r="C6" s="98" t="s">
        <v>1321</v>
      </c>
      <c r="D6" s="98" t="s">
        <v>28</v>
      </c>
      <c r="E6" s="65">
        <v>22</v>
      </c>
      <c r="F6" s="99" t="s">
        <v>41</v>
      </c>
      <c r="G6" s="99" t="s">
        <v>2265</v>
      </c>
      <c r="H6" s="64" t="s">
        <v>2340</v>
      </c>
      <c r="I6" s="64" t="s">
        <v>38</v>
      </c>
      <c r="J6" s="98" t="s">
        <v>1414</v>
      </c>
      <c r="K6" s="95">
        <v>0</v>
      </c>
      <c r="L6" s="62" t="s">
        <v>944</v>
      </c>
      <c r="M6" s="67" t="s">
        <v>49</v>
      </c>
      <c r="N6" s="67" t="s">
        <v>50</v>
      </c>
      <c r="O6" s="67">
        <v>0</v>
      </c>
      <c r="P6" s="67" t="s">
        <v>131</v>
      </c>
      <c r="Q6" s="67" t="s">
        <v>36</v>
      </c>
      <c r="R6" s="66">
        <v>2</v>
      </c>
      <c r="S6" s="63">
        <v>0</v>
      </c>
      <c r="T6" s="63">
        <v>0</v>
      </c>
      <c r="U6" s="63">
        <v>16</v>
      </c>
      <c r="V6" s="63">
        <v>0</v>
      </c>
      <c r="W6" s="63">
        <v>0</v>
      </c>
      <c r="X6" s="63">
        <v>6</v>
      </c>
      <c r="Y6" s="63">
        <v>0</v>
      </c>
      <c r="Z6" s="63">
        <v>0</v>
      </c>
      <c r="AA6" s="63">
        <v>0</v>
      </c>
      <c r="AB6" s="63">
        <v>0</v>
      </c>
      <c r="AC6" s="63">
        <v>0</v>
      </c>
      <c r="AD6" s="63">
        <v>0</v>
      </c>
      <c r="AE6" s="63">
        <v>0</v>
      </c>
      <c r="AF6" s="63">
        <v>0</v>
      </c>
      <c r="AG6" s="63">
        <v>0</v>
      </c>
      <c r="AH6" s="63">
        <v>0</v>
      </c>
      <c r="AI6" s="63">
        <v>0</v>
      </c>
      <c r="AJ6" s="63">
        <v>22</v>
      </c>
      <c r="AK6" s="63">
        <v>0</v>
      </c>
      <c r="AL6" s="63" t="s">
        <v>35</v>
      </c>
      <c r="AM6" s="63" t="s">
        <v>36</v>
      </c>
      <c r="AN6" s="149" t="s">
        <v>40</v>
      </c>
      <c r="AO6" s="67" t="str">
        <f>VLOOKUP(A6,'Ranking Lookup'!A:C,3,0)</f>
        <v>Pre PI</v>
      </c>
      <c r="AP6" s="63">
        <f>IFERROR(VLOOKUP($A6,'Ranking Lookup'!$A:$B,2,0),"Unranked")</f>
        <v>4</v>
      </c>
      <c r="AQ6" s="71">
        <f>SUM(S6:AI6,AK6)/E6</f>
        <v>1</v>
      </c>
      <c r="AR6" s="97">
        <f>IF(A6="","",
COUNTIF(EAD_CIs!I:I,"*"&amp;A6&amp;"*"))</f>
        <v>0</v>
      </c>
      <c r="AS6" s="97">
        <f>AS5+T6</f>
        <v>4</v>
      </c>
      <c r="AT6" s="97">
        <f>AT5+U6</f>
        <v>102</v>
      </c>
      <c r="AU6" s="97">
        <f>AU5+V6</f>
        <v>0</v>
      </c>
      <c r="AV6" s="97">
        <f>AV5+W6</f>
        <v>4</v>
      </c>
      <c r="AW6" s="97">
        <f>AW5+X6</f>
        <v>16</v>
      </c>
      <c r="AX6" s="97">
        <f>AX5+Y6</f>
        <v>0</v>
      </c>
      <c r="AY6" s="97">
        <f>AY5+Z6</f>
        <v>9</v>
      </c>
      <c r="AZ6" s="97">
        <f>AZ5+AA6</f>
        <v>0</v>
      </c>
      <c r="BA6" s="97">
        <f>BA5+AB6</f>
        <v>0</v>
      </c>
      <c r="BB6" s="97">
        <f>BB5+AC6</f>
        <v>13</v>
      </c>
      <c r="BC6" s="97">
        <f>BC5+AD6</f>
        <v>62</v>
      </c>
      <c r="BD6" s="97">
        <f>BD5+AE6</f>
        <v>0</v>
      </c>
      <c r="BE6" s="97">
        <f>BE5+AF6</f>
        <v>0</v>
      </c>
      <c r="BF6" s="97">
        <f>BF5+AG6</f>
        <v>13</v>
      </c>
      <c r="BG6" s="97">
        <f>BG5+AH6</f>
        <v>0</v>
      </c>
      <c r="BH6" s="63">
        <f>IF(A6="",0,
COUNTIF(OrphanPWI_CI_Check!A:A,"*"&amp;A6&amp;"*"))</f>
        <v>0</v>
      </c>
      <c r="BI6" s="63">
        <f>IF(NOT(ISERROR(SEARCH("In Progress",   VLOOKUP($A6,$A:$D,MATCH("Planned For",$A$1:$D$1,0), 1)))),0.5,
 IF($F6="Enabler",0.6,
 IF($I6="EAD N/A",0.8,1))) *  ( ROUNDUP(MAX('Ranking Lookup'!B:B)/5,0) +1 - ROUNDUP(IF(NOT(ISNUMBER(VLOOKUP(A6,'Ranking Lookup'!A:B,2,0))),  MAX('Ranking Lookup'!B:B))/5,0) )</f>
        <v>10.799999999999999</v>
      </c>
      <c r="BK6" s="95"/>
    </row>
    <row r="7" spans="1:63" s="5" customFormat="1" ht="14.4" customHeight="1" x14ac:dyDescent="0.3">
      <c r="A7" s="203">
        <v>395114</v>
      </c>
      <c r="B7" s="65" t="s">
        <v>1865</v>
      </c>
      <c r="C7" s="98" t="s">
        <v>1842</v>
      </c>
      <c r="D7" s="98" t="s">
        <v>28</v>
      </c>
      <c r="E7" s="65">
        <v>41</v>
      </c>
      <c r="F7" s="99" t="s">
        <v>879</v>
      </c>
      <c r="G7" s="99" t="s">
        <v>2324</v>
      </c>
      <c r="H7" s="64" t="s">
        <v>110</v>
      </c>
      <c r="I7" s="64" t="s">
        <v>38</v>
      </c>
      <c r="J7" s="98" t="s">
        <v>1412</v>
      </c>
      <c r="K7" s="95">
        <v>0</v>
      </c>
      <c r="L7" s="62" t="s">
        <v>946</v>
      </c>
      <c r="M7" s="67" t="s">
        <v>42</v>
      </c>
      <c r="N7" s="67" t="s">
        <v>44</v>
      </c>
      <c r="O7" s="67">
        <v>0</v>
      </c>
      <c r="P7" s="67" t="s">
        <v>1552</v>
      </c>
      <c r="Q7" s="67" t="s">
        <v>36</v>
      </c>
      <c r="R7" s="66">
        <v>2</v>
      </c>
      <c r="S7" s="63">
        <v>0</v>
      </c>
      <c r="T7" s="63">
        <v>0</v>
      </c>
      <c r="U7" s="63">
        <v>0</v>
      </c>
      <c r="V7" s="63">
        <v>0</v>
      </c>
      <c r="W7" s="63">
        <v>16</v>
      </c>
      <c r="X7" s="63">
        <v>0</v>
      </c>
      <c r="Y7" s="63">
        <v>24</v>
      </c>
      <c r="Z7" s="63">
        <v>0</v>
      </c>
      <c r="AA7" s="63">
        <v>0</v>
      </c>
      <c r="AB7" s="63">
        <v>0</v>
      </c>
      <c r="AC7" s="63">
        <v>0</v>
      </c>
      <c r="AD7" s="63">
        <v>0</v>
      </c>
      <c r="AE7" s="63">
        <v>0</v>
      </c>
      <c r="AF7" s="63">
        <v>0</v>
      </c>
      <c r="AG7" s="63">
        <v>0</v>
      </c>
      <c r="AH7" s="63">
        <v>0</v>
      </c>
      <c r="AI7" s="63">
        <v>0</v>
      </c>
      <c r="AJ7" s="63">
        <v>40</v>
      </c>
      <c r="AK7" s="63">
        <v>0</v>
      </c>
      <c r="AL7" s="63" t="s">
        <v>35</v>
      </c>
      <c r="AM7" s="63" t="s">
        <v>36</v>
      </c>
      <c r="AN7" s="149" t="s">
        <v>2290</v>
      </c>
      <c r="AO7" s="67" t="str">
        <f>VLOOKUP(A7,'Ranking Lookup'!A:C,3,0)</f>
        <v>Pre PI</v>
      </c>
      <c r="AP7" s="63">
        <f>IFERROR(VLOOKUP($A7,'Ranking Lookup'!$A:$B,2,0),"Unranked")</f>
        <v>5</v>
      </c>
      <c r="AQ7" s="71">
        <f>SUM(S7:AI7,AK7)/E7</f>
        <v>0.97560975609756095</v>
      </c>
      <c r="AR7" s="97">
        <f>IF(A7="","",
COUNTIF(EAD_CIs!I:I,"*"&amp;A7&amp;"*"))</f>
        <v>0</v>
      </c>
      <c r="AS7" s="97">
        <f>AS6+T7</f>
        <v>4</v>
      </c>
      <c r="AT7" s="97">
        <f>AT6+U7</f>
        <v>102</v>
      </c>
      <c r="AU7" s="97">
        <f>AU6+V7</f>
        <v>0</v>
      </c>
      <c r="AV7" s="97">
        <f>AV6+W7</f>
        <v>20</v>
      </c>
      <c r="AW7" s="97">
        <f>AW6+X7</f>
        <v>16</v>
      </c>
      <c r="AX7" s="97">
        <f>AX6+Y7</f>
        <v>24</v>
      </c>
      <c r="AY7" s="97">
        <f>AY6+Z7</f>
        <v>9</v>
      </c>
      <c r="AZ7" s="97">
        <f>AZ6+AA7</f>
        <v>0</v>
      </c>
      <c r="BA7" s="97">
        <f>BA6+AB7</f>
        <v>0</v>
      </c>
      <c r="BB7" s="97">
        <f>BB6+AC7</f>
        <v>13</v>
      </c>
      <c r="BC7" s="97">
        <f>BC6+AD7</f>
        <v>62</v>
      </c>
      <c r="BD7" s="97">
        <f>BD6+AE7</f>
        <v>0</v>
      </c>
      <c r="BE7" s="97">
        <f>BE6+AF7</f>
        <v>0</v>
      </c>
      <c r="BF7" s="97">
        <f>BF6+AG7</f>
        <v>13</v>
      </c>
      <c r="BG7" s="97">
        <f>BG6+AH7</f>
        <v>0</v>
      </c>
      <c r="BH7" s="63">
        <f>IF(A7="",0,
COUNTIF(OrphanPWI_CI_Check!A:A,"*"&amp;A7&amp;"*"))</f>
        <v>0</v>
      </c>
      <c r="BI7" s="63">
        <f>IF(NOT(ISERROR(SEARCH("In Progress",   VLOOKUP($A7,$A:$D,MATCH("Planned For",$A$1:$D$1,0), 1)))),0.5,
 IF($F7="Enabler",0.6,
 IF($I7="EAD N/A",0.8,1))) *  ( ROUNDUP(MAX('Ranking Lookup'!B:B)/5,0) +1 - ROUNDUP(IF(NOT(ISNUMBER(VLOOKUP(A7,'Ranking Lookup'!A:B,2,0))),  MAX('Ranking Lookup'!B:B))/5,0) )</f>
        <v>14.4</v>
      </c>
      <c r="BK7" s="95"/>
    </row>
    <row r="8" spans="1:63" s="5" customFormat="1" ht="14.4" customHeight="1" x14ac:dyDescent="0.3">
      <c r="A8" s="203">
        <v>1005403</v>
      </c>
      <c r="B8" s="65" t="s">
        <v>1515</v>
      </c>
      <c r="C8" s="98" t="s">
        <v>972</v>
      </c>
      <c r="D8" s="98" t="s">
        <v>106</v>
      </c>
      <c r="E8" s="65">
        <v>16</v>
      </c>
      <c r="F8" s="99" t="s">
        <v>41</v>
      </c>
      <c r="G8" s="99" t="s">
        <v>1928</v>
      </c>
      <c r="H8" s="64" t="s">
        <v>110</v>
      </c>
      <c r="I8" s="64" t="s">
        <v>38</v>
      </c>
      <c r="J8" s="98" t="s">
        <v>1412</v>
      </c>
      <c r="K8" s="95">
        <v>0</v>
      </c>
      <c r="L8" s="62" t="s">
        <v>946</v>
      </c>
      <c r="M8" s="67" t="s">
        <v>42</v>
      </c>
      <c r="N8" s="67" t="s">
        <v>44</v>
      </c>
      <c r="O8" s="67">
        <v>0</v>
      </c>
      <c r="P8" s="67" t="s">
        <v>1158</v>
      </c>
      <c r="Q8" s="67" t="s">
        <v>36</v>
      </c>
      <c r="R8" s="66">
        <v>1</v>
      </c>
      <c r="S8" s="63">
        <v>6</v>
      </c>
      <c r="T8" s="63">
        <v>0</v>
      </c>
      <c r="U8" s="63">
        <v>0</v>
      </c>
      <c r="V8" s="63">
        <v>0</v>
      </c>
      <c r="W8" s="63">
        <v>0</v>
      </c>
      <c r="X8" s="63">
        <v>0</v>
      </c>
      <c r="Y8" s="63">
        <v>8</v>
      </c>
      <c r="Z8" s="63">
        <v>0</v>
      </c>
      <c r="AA8" s="63">
        <v>0</v>
      </c>
      <c r="AB8" s="63">
        <v>0</v>
      </c>
      <c r="AC8" s="63">
        <v>0</v>
      </c>
      <c r="AD8" s="63">
        <v>0</v>
      </c>
      <c r="AE8" s="63">
        <v>0</v>
      </c>
      <c r="AF8" s="63">
        <v>0</v>
      </c>
      <c r="AG8" s="63">
        <v>0</v>
      </c>
      <c r="AH8" s="63">
        <v>0</v>
      </c>
      <c r="AI8" s="63">
        <v>2</v>
      </c>
      <c r="AJ8" s="63">
        <v>8</v>
      </c>
      <c r="AK8" s="63">
        <v>0</v>
      </c>
      <c r="AL8" s="63" t="s">
        <v>35</v>
      </c>
      <c r="AM8" s="63" t="s">
        <v>36</v>
      </c>
      <c r="AN8" s="149" t="s">
        <v>33</v>
      </c>
      <c r="AO8" s="67" t="str">
        <f>VLOOKUP(A8,'Ranking Lookup'!A:C,3,0)</f>
        <v>Pre PI</v>
      </c>
      <c r="AP8" s="63">
        <f>IFERROR(VLOOKUP($A8,'Ranking Lookup'!$A:$B,2,0),"Unranked")</f>
        <v>6</v>
      </c>
      <c r="AQ8" s="71">
        <f>SUM(S8:AI8,AK8)/E8</f>
        <v>1</v>
      </c>
      <c r="AR8" s="97">
        <f>IF(A8="","",
COUNTIF(EAD_CIs!I:I,"*"&amp;A8&amp;"*"))</f>
        <v>0</v>
      </c>
      <c r="AS8" s="97">
        <f>AS7+T8</f>
        <v>4</v>
      </c>
      <c r="AT8" s="97">
        <f>AT7+U8</f>
        <v>102</v>
      </c>
      <c r="AU8" s="97">
        <f>AU7+V8</f>
        <v>0</v>
      </c>
      <c r="AV8" s="97">
        <f>AV7+W8</f>
        <v>20</v>
      </c>
      <c r="AW8" s="97">
        <f>AW7+X8</f>
        <v>16</v>
      </c>
      <c r="AX8" s="97">
        <f>AX7+Y8</f>
        <v>32</v>
      </c>
      <c r="AY8" s="97">
        <f>AY7+Z8</f>
        <v>9</v>
      </c>
      <c r="AZ8" s="97">
        <f>AZ7+AA8</f>
        <v>0</v>
      </c>
      <c r="BA8" s="97">
        <f>BA7+AB8</f>
        <v>0</v>
      </c>
      <c r="BB8" s="97">
        <f>BB7+AC8</f>
        <v>13</v>
      </c>
      <c r="BC8" s="97">
        <f>BC7+AD8</f>
        <v>62</v>
      </c>
      <c r="BD8" s="97">
        <f>BD7+AE8</f>
        <v>0</v>
      </c>
      <c r="BE8" s="97">
        <f>BE7+AF8</f>
        <v>0</v>
      </c>
      <c r="BF8" s="97">
        <f>BF7+AG8</f>
        <v>13</v>
      </c>
      <c r="BG8" s="97">
        <f>BG7+AH8</f>
        <v>0</v>
      </c>
      <c r="BH8" s="63">
        <f>IF(A8="",0,
COUNTIF(OrphanPWI_CI_Check!A:A,"*"&amp;A8&amp;"*"))</f>
        <v>0</v>
      </c>
      <c r="BI8" s="63">
        <f>IF(NOT(ISERROR(SEARCH("In Progress",   VLOOKUP($A8,$A:$D,MATCH("Planned For",$A$1:$D$1,0), 1)))),0.5,
 IF($F8="Enabler",0.6,
 IF($I8="EAD N/A",0.8,1))) *  ( ROUNDUP(MAX('Ranking Lookup'!B:B)/5,0) +1 - ROUNDUP(IF(NOT(ISNUMBER(VLOOKUP(A8,'Ranking Lookup'!A:B,2,0))),  MAX('Ranking Lookup'!B:B))/5,0) )</f>
        <v>10.799999999999999</v>
      </c>
      <c r="BK8" s="95"/>
    </row>
    <row r="9" spans="1:63" s="5" customFormat="1" ht="14.4" customHeight="1" x14ac:dyDescent="0.3">
      <c r="A9" s="203">
        <v>1012588</v>
      </c>
      <c r="B9" s="65" t="s">
        <v>1956</v>
      </c>
      <c r="C9" s="98" t="s">
        <v>1866</v>
      </c>
      <c r="D9" s="98" t="s">
        <v>28</v>
      </c>
      <c r="E9" s="65">
        <v>10</v>
      </c>
      <c r="F9" s="99" t="s">
        <v>41</v>
      </c>
      <c r="G9" s="99" t="s">
        <v>2010</v>
      </c>
      <c r="H9" s="64" t="s">
        <v>1959</v>
      </c>
      <c r="I9" s="64" t="s">
        <v>38</v>
      </c>
      <c r="J9" s="98" t="s">
        <v>1412</v>
      </c>
      <c r="K9" s="95">
        <v>0</v>
      </c>
      <c r="L9" s="62" t="s">
        <v>946</v>
      </c>
      <c r="M9" s="67" t="s">
        <v>42</v>
      </c>
      <c r="N9" s="67" t="s">
        <v>44</v>
      </c>
      <c r="O9" s="67">
        <v>0</v>
      </c>
      <c r="P9" s="67" t="s">
        <v>1552</v>
      </c>
      <c r="Q9" s="67" t="s">
        <v>36</v>
      </c>
      <c r="R9" s="66">
        <v>1</v>
      </c>
      <c r="S9" s="63">
        <v>0</v>
      </c>
      <c r="T9" s="63">
        <v>0</v>
      </c>
      <c r="U9" s="63">
        <v>0</v>
      </c>
      <c r="V9" s="63">
        <v>0</v>
      </c>
      <c r="W9" s="63">
        <v>0</v>
      </c>
      <c r="X9" s="63">
        <v>0</v>
      </c>
      <c r="Y9" s="63">
        <v>1</v>
      </c>
      <c r="Z9" s="63">
        <v>0</v>
      </c>
      <c r="AA9" s="63">
        <v>0</v>
      </c>
      <c r="AB9" s="63">
        <v>0</v>
      </c>
      <c r="AC9" s="63">
        <v>0</v>
      </c>
      <c r="AD9" s="63">
        <v>0</v>
      </c>
      <c r="AE9" s="63">
        <v>0</v>
      </c>
      <c r="AF9" s="63">
        <v>0</v>
      </c>
      <c r="AG9" s="63">
        <v>0</v>
      </c>
      <c r="AH9" s="63">
        <v>0</v>
      </c>
      <c r="AI9" s="63">
        <v>0</v>
      </c>
      <c r="AJ9" s="63">
        <v>1</v>
      </c>
      <c r="AK9" s="63">
        <v>3</v>
      </c>
      <c r="AL9" s="63" t="s">
        <v>35</v>
      </c>
      <c r="AM9" s="63" t="s">
        <v>36</v>
      </c>
      <c r="AN9" s="149" t="s">
        <v>33</v>
      </c>
      <c r="AO9" s="67" t="str">
        <f>VLOOKUP(A9,'Ranking Lookup'!A:C,3,0)</f>
        <v>Pre PI</v>
      </c>
      <c r="AP9" s="63">
        <f>IFERROR(VLOOKUP($A9,'Ranking Lookup'!$A:$B,2,0),"Unranked")</f>
        <v>7</v>
      </c>
      <c r="AQ9" s="71">
        <f>SUM(S9:AI9,AK9)/E9</f>
        <v>0.4</v>
      </c>
      <c r="AR9" s="97">
        <f>IF(A9="","",
COUNTIF(EAD_CIs!I:I,"*"&amp;A9&amp;"*"))</f>
        <v>0</v>
      </c>
      <c r="AS9" s="97">
        <f>AS8+T9</f>
        <v>4</v>
      </c>
      <c r="AT9" s="97">
        <f>AT8+U9</f>
        <v>102</v>
      </c>
      <c r="AU9" s="97">
        <f>AU8+V9</f>
        <v>0</v>
      </c>
      <c r="AV9" s="97">
        <f>AV8+W9</f>
        <v>20</v>
      </c>
      <c r="AW9" s="97">
        <f>AW8+X9</f>
        <v>16</v>
      </c>
      <c r="AX9" s="97">
        <f>AX8+Y9</f>
        <v>33</v>
      </c>
      <c r="AY9" s="97">
        <f>AY8+Z9</f>
        <v>9</v>
      </c>
      <c r="AZ9" s="97">
        <f>AZ8+AA9</f>
        <v>0</v>
      </c>
      <c r="BA9" s="97">
        <f>BA8+AB9</f>
        <v>0</v>
      </c>
      <c r="BB9" s="97">
        <f>BB8+AC9</f>
        <v>13</v>
      </c>
      <c r="BC9" s="97">
        <f>BC8+AD9</f>
        <v>62</v>
      </c>
      <c r="BD9" s="97">
        <f>BD8+AE9</f>
        <v>0</v>
      </c>
      <c r="BE9" s="97">
        <f>BE8+AF9</f>
        <v>0</v>
      </c>
      <c r="BF9" s="97">
        <f>BF8+AG9</f>
        <v>13</v>
      </c>
      <c r="BG9" s="97">
        <f>BG8+AH9</f>
        <v>0</v>
      </c>
      <c r="BH9" s="63">
        <f>IF(A9="",0,
COUNTIF(OrphanPWI_CI_Check!A:A,"*"&amp;A9&amp;"*"))</f>
        <v>0</v>
      </c>
      <c r="BI9" s="63">
        <f>IF(NOT(ISERROR(SEARCH("In Progress",   VLOOKUP($A9,$A:$D,MATCH("Planned For",$A$1:$D$1,0), 1)))),0.5,
 IF($F9="Enabler",0.6,
 IF($I9="EAD N/A",0.8,1))) *  ( ROUNDUP(MAX('Ranking Lookup'!B:B)/5,0) +1 - ROUNDUP(IF(NOT(ISNUMBER(VLOOKUP(A9,'Ranking Lookup'!A:B,2,0))),  MAX('Ranking Lookup'!B:B))/5,0) )</f>
        <v>9</v>
      </c>
      <c r="BK9"/>
    </row>
    <row r="10" spans="1:63" s="5" customFormat="1" ht="14.4" customHeight="1" x14ac:dyDescent="0.3">
      <c r="A10" s="203">
        <v>1013534</v>
      </c>
      <c r="B10" s="65" t="s">
        <v>2017</v>
      </c>
      <c r="C10" s="98" t="s">
        <v>1842</v>
      </c>
      <c r="D10" s="98" t="s">
        <v>28</v>
      </c>
      <c r="E10" s="65">
        <v>239</v>
      </c>
      <c r="F10" s="99" t="s">
        <v>41</v>
      </c>
      <c r="G10" s="99" t="s">
        <v>1163</v>
      </c>
      <c r="H10" s="64" t="s">
        <v>47</v>
      </c>
      <c r="I10" s="64" t="s">
        <v>38</v>
      </c>
      <c r="J10" s="98" t="s">
        <v>1412</v>
      </c>
      <c r="K10" s="95">
        <v>0</v>
      </c>
      <c r="L10" s="62" t="s">
        <v>949</v>
      </c>
      <c r="M10" s="67" t="s">
        <v>42</v>
      </c>
      <c r="N10" s="67" t="s">
        <v>43</v>
      </c>
      <c r="O10" s="67">
        <v>0</v>
      </c>
      <c r="P10" s="67" t="s">
        <v>131</v>
      </c>
      <c r="Q10" s="67" t="s">
        <v>36</v>
      </c>
      <c r="R10" s="66">
        <v>5</v>
      </c>
      <c r="S10" s="63">
        <v>0</v>
      </c>
      <c r="T10" s="63">
        <v>0</v>
      </c>
      <c r="U10" s="63">
        <v>0</v>
      </c>
      <c r="V10" s="63">
        <v>0</v>
      </c>
      <c r="W10" s="63">
        <v>211</v>
      </c>
      <c r="X10" s="63">
        <v>0</v>
      </c>
      <c r="Y10" s="63">
        <v>2</v>
      </c>
      <c r="Z10" s="63">
        <v>0</v>
      </c>
      <c r="AA10" s="63">
        <v>0</v>
      </c>
      <c r="AB10" s="63">
        <v>0</v>
      </c>
      <c r="AC10" s="63">
        <v>10</v>
      </c>
      <c r="AD10" s="63">
        <v>9</v>
      </c>
      <c r="AE10" s="63">
        <v>0</v>
      </c>
      <c r="AF10" s="63">
        <v>0</v>
      </c>
      <c r="AG10" s="63">
        <v>7</v>
      </c>
      <c r="AH10" s="63">
        <v>0</v>
      </c>
      <c r="AI10" s="63">
        <v>0</v>
      </c>
      <c r="AJ10" s="63">
        <v>239</v>
      </c>
      <c r="AK10" s="63">
        <v>0</v>
      </c>
      <c r="AL10" s="63" t="s">
        <v>35</v>
      </c>
      <c r="AM10" s="63" t="s">
        <v>36</v>
      </c>
      <c r="AN10" s="149" t="s">
        <v>1762</v>
      </c>
      <c r="AO10" s="67" t="str">
        <f>VLOOKUP(A10,'Ranking Lookup'!A:C,3,0)</f>
        <v>Pre PI</v>
      </c>
      <c r="AP10" s="63">
        <f>IFERROR(VLOOKUP($A10,'Ranking Lookup'!$A:$B,2,0),"Unranked")</f>
        <v>8</v>
      </c>
      <c r="AQ10" s="71">
        <f>SUM(S10:AI10,AK10)/E10</f>
        <v>1</v>
      </c>
      <c r="AR10" s="97">
        <f>IF(A10="","",
COUNTIF(EAD_CIs!I:I,"*"&amp;A10&amp;"*"))</f>
        <v>0</v>
      </c>
      <c r="AS10" s="97">
        <f>AS9+T10</f>
        <v>4</v>
      </c>
      <c r="AT10" s="97">
        <f>AT9+U10</f>
        <v>102</v>
      </c>
      <c r="AU10" s="97">
        <f>AU9+V10</f>
        <v>0</v>
      </c>
      <c r="AV10" s="97">
        <f>AV9+W10</f>
        <v>231</v>
      </c>
      <c r="AW10" s="97">
        <f>AW9+X10</f>
        <v>16</v>
      </c>
      <c r="AX10" s="97">
        <f>AX9+Y10</f>
        <v>35</v>
      </c>
      <c r="AY10" s="97">
        <f>AY9+Z10</f>
        <v>9</v>
      </c>
      <c r="AZ10" s="97">
        <f>AZ9+AA10</f>
        <v>0</v>
      </c>
      <c r="BA10" s="97">
        <f>BA9+AB10</f>
        <v>0</v>
      </c>
      <c r="BB10" s="97">
        <f>BB9+AC10</f>
        <v>23</v>
      </c>
      <c r="BC10" s="97">
        <f>BC9+AD10</f>
        <v>71</v>
      </c>
      <c r="BD10" s="97">
        <f>BD9+AE10</f>
        <v>0</v>
      </c>
      <c r="BE10" s="97">
        <f>BE9+AF10</f>
        <v>0</v>
      </c>
      <c r="BF10" s="97">
        <f>BF9+AG10</f>
        <v>20</v>
      </c>
      <c r="BG10" s="97">
        <f>BG9+AH10</f>
        <v>0</v>
      </c>
      <c r="BH10" s="63">
        <f>IF(A10="",0,
COUNTIF(OrphanPWI_CI_Check!A:A,"*"&amp;A10&amp;"*"))</f>
        <v>0</v>
      </c>
      <c r="BI10" s="63">
        <f>IF(NOT(ISERROR(SEARCH("In Progress",   VLOOKUP($A10,$A:$D,MATCH("Planned For",$A$1:$D$1,0), 1)))),0.5,
 IF($F10="Enabler",0.6,
 IF($I10="EAD N/A",0.8,1))) *  ( ROUNDUP(MAX('Ranking Lookup'!B:B)/5,0) +1 - ROUNDUP(IF(NOT(ISNUMBER(VLOOKUP(A10,'Ranking Lookup'!A:B,2,0))),  MAX('Ranking Lookup'!B:B))/5,0) )</f>
        <v>9</v>
      </c>
      <c r="BK10" s="95"/>
    </row>
    <row r="11" spans="1:63" s="5" customFormat="1" ht="14.4" customHeight="1" x14ac:dyDescent="0.3">
      <c r="A11" s="203">
        <v>1011070</v>
      </c>
      <c r="B11" s="65" t="s">
        <v>1840</v>
      </c>
      <c r="C11" s="98" t="s">
        <v>1842</v>
      </c>
      <c r="D11" s="98" t="s">
        <v>28</v>
      </c>
      <c r="E11" s="65">
        <v>62</v>
      </c>
      <c r="F11" s="99" t="s">
        <v>41</v>
      </c>
      <c r="G11" s="99" t="s">
        <v>1868</v>
      </c>
      <c r="H11" s="64" t="s">
        <v>1132</v>
      </c>
      <c r="I11" s="64" t="s">
        <v>38</v>
      </c>
      <c r="J11" s="98" t="s">
        <v>1414</v>
      </c>
      <c r="K11" s="95">
        <v>0</v>
      </c>
      <c r="L11" s="62" t="s">
        <v>17</v>
      </c>
      <c r="M11" s="67" t="s">
        <v>31</v>
      </c>
      <c r="N11" s="67" t="s">
        <v>36</v>
      </c>
      <c r="O11" s="67">
        <v>0</v>
      </c>
      <c r="P11" s="67" t="s">
        <v>131</v>
      </c>
      <c r="Q11" s="67" t="s">
        <v>36</v>
      </c>
      <c r="R11" s="66">
        <v>10</v>
      </c>
      <c r="S11" s="63">
        <v>0</v>
      </c>
      <c r="T11" s="63">
        <v>4</v>
      </c>
      <c r="U11" s="63">
        <v>5</v>
      </c>
      <c r="V11" s="63">
        <v>5</v>
      </c>
      <c r="W11" s="63">
        <v>0</v>
      </c>
      <c r="X11" s="63">
        <v>10</v>
      </c>
      <c r="Y11" s="63">
        <v>5</v>
      </c>
      <c r="Z11" s="63">
        <v>4</v>
      </c>
      <c r="AA11" s="63">
        <v>0</v>
      </c>
      <c r="AB11" s="63">
        <v>4</v>
      </c>
      <c r="AC11" s="63">
        <v>10</v>
      </c>
      <c r="AD11" s="63">
        <v>5</v>
      </c>
      <c r="AE11" s="63">
        <v>0</v>
      </c>
      <c r="AF11" s="63">
        <v>0</v>
      </c>
      <c r="AG11" s="63">
        <v>10</v>
      </c>
      <c r="AH11" s="63">
        <v>0</v>
      </c>
      <c r="AI11" s="63">
        <v>0</v>
      </c>
      <c r="AJ11" s="63">
        <v>62</v>
      </c>
      <c r="AK11" s="63">
        <v>0</v>
      </c>
      <c r="AL11" s="63" t="s">
        <v>35</v>
      </c>
      <c r="AM11" s="63" t="s">
        <v>36</v>
      </c>
      <c r="AN11" s="149" t="s">
        <v>40</v>
      </c>
      <c r="AO11" s="67" t="str">
        <f>VLOOKUP(A11,'Ranking Lookup'!A:C,3,0)</f>
        <v>Pre PI</v>
      </c>
      <c r="AP11" s="63">
        <f>IFERROR(VLOOKUP($A11,'Ranking Lookup'!$A:$B,2,0),"Unranked")</f>
        <v>9</v>
      </c>
      <c r="AQ11" s="71">
        <f>SUM(S11:AI11,AK11)/E11</f>
        <v>1</v>
      </c>
      <c r="AR11" s="97">
        <f>IF(A11="","",
COUNTIF(EAD_CIs!I:I,"*"&amp;A11&amp;"*"))</f>
        <v>0</v>
      </c>
      <c r="AS11" s="97">
        <f>AS10+T11</f>
        <v>8</v>
      </c>
      <c r="AT11" s="97">
        <f>AT10+U11</f>
        <v>107</v>
      </c>
      <c r="AU11" s="97">
        <f>AU10+V11</f>
        <v>5</v>
      </c>
      <c r="AV11" s="97">
        <f>AV10+W11</f>
        <v>231</v>
      </c>
      <c r="AW11" s="97">
        <f>AW10+X11</f>
        <v>26</v>
      </c>
      <c r="AX11" s="97">
        <f>AX10+Y11</f>
        <v>40</v>
      </c>
      <c r="AY11" s="97">
        <f>AY10+Z11</f>
        <v>13</v>
      </c>
      <c r="AZ11" s="97">
        <f>AZ10+AA11</f>
        <v>0</v>
      </c>
      <c r="BA11" s="97">
        <f>BA10+AB11</f>
        <v>4</v>
      </c>
      <c r="BB11" s="97">
        <f>BB10+AC11</f>
        <v>33</v>
      </c>
      <c r="BC11" s="97">
        <f>BC10+AD11</f>
        <v>76</v>
      </c>
      <c r="BD11" s="97">
        <f>BD10+AE11</f>
        <v>0</v>
      </c>
      <c r="BE11" s="97">
        <f>BE10+AF11</f>
        <v>0</v>
      </c>
      <c r="BF11" s="97">
        <f>BF10+AG11</f>
        <v>30</v>
      </c>
      <c r="BG11" s="97">
        <f>BG10+AH11</f>
        <v>0</v>
      </c>
      <c r="BH11" s="63">
        <f>IF(A11="",0,
COUNTIF(OrphanPWI_CI_Check!A:A,"*"&amp;A11&amp;"*"))</f>
        <v>0</v>
      </c>
      <c r="BI11" s="63">
        <f>IF(NOT(ISERROR(SEARCH("In Progress",   VLOOKUP($A11,$A:$D,MATCH("Planned For",$A$1:$D$1,0), 1)))),0.5,
 IF($F11="Enabler",0.6,
 IF($I11="EAD N/A",0.8,1))) *  ( ROUNDUP(MAX('Ranking Lookup'!B:B)/5,0) +1 - ROUNDUP(IF(NOT(ISNUMBER(VLOOKUP(A11,'Ranking Lookup'!A:B,2,0))),  MAX('Ranking Lookup'!B:B))/5,0) )</f>
        <v>10.799999999999999</v>
      </c>
      <c r="BK11" s="95"/>
    </row>
    <row r="12" spans="1:63" s="5" customFormat="1" ht="14.4" customHeight="1" x14ac:dyDescent="0.3">
      <c r="A12" s="203">
        <v>1013657</v>
      </c>
      <c r="B12" s="65" t="s">
        <v>2029</v>
      </c>
      <c r="C12" s="98" t="s">
        <v>1842</v>
      </c>
      <c r="D12" s="98" t="s">
        <v>28</v>
      </c>
      <c r="E12" s="65">
        <v>85</v>
      </c>
      <c r="F12" s="99" t="s">
        <v>879</v>
      </c>
      <c r="G12" s="99" t="s">
        <v>1467</v>
      </c>
      <c r="H12" s="64" t="s">
        <v>47</v>
      </c>
      <c r="I12" s="64" t="s">
        <v>38</v>
      </c>
      <c r="J12" s="98" t="s">
        <v>1412</v>
      </c>
      <c r="K12" s="95">
        <v>0</v>
      </c>
      <c r="L12" s="62" t="s">
        <v>948</v>
      </c>
      <c r="M12" s="67" t="s">
        <v>42</v>
      </c>
      <c r="N12" s="67" t="s">
        <v>43</v>
      </c>
      <c r="O12" s="67">
        <v>0</v>
      </c>
      <c r="P12" s="67" t="s">
        <v>131</v>
      </c>
      <c r="Q12" s="67" t="s">
        <v>36</v>
      </c>
      <c r="R12" s="66">
        <v>2</v>
      </c>
      <c r="S12" s="63">
        <v>0</v>
      </c>
      <c r="T12" s="63">
        <v>0</v>
      </c>
      <c r="U12" s="63">
        <v>0</v>
      </c>
      <c r="V12" s="63">
        <v>0</v>
      </c>
      <c r="W12" s="63">
        <v>5</v>
      </c>
      <c r="X12" s="63">
        <v>0</v>
      </c>
      <c r="Y12" s="63">
        <v>0</v>
      </c>
      <c r="Z12" s="63">
        <v>0</v>
      </c>
      <c r="AA12" s="63">
        <v>80</v>
      </c>
      <c r="AB12" s="63">
        <v>0</v>
      </c>
      <c r="AC12" s="63">
        <v>0</v>
      </c>
      <c r="AD12" s="63">
        <v>0</v>
      </c>
      <c r="AE12" s="63">
        <v>0</v>
      </c>
      <c r="AF12" s="63">
        <v>0</v>
      </c>
      <c r="AG12" s="63">
        <v>0</v>
      </c>
      <c r="AH12" s="63">
        <v>0</v>
      </c>
      <c r="AI12" s="63">
        <v>0</v>
      </c>
      <c r="AJ12" s="63">
        <v>85</v>
      </c>
      <c r="AK12" s="63">
        <v>0</v>
      </c>
      <c r="AL12" s="63" t="s">
        <v>35</v>
      </c>
      <c r="AM12" s="63" t="s">
        <v>36</v>
      </c>
      <c r="AN12" s="149" t="s">
        <v>40</v>
      </c>
      <c r="AO12" s="67" t="str">
        <f>VLOOKUP(A12,'Ranking Lookup'!A:C,3,0)</f>
        <v>Pre PI</v>
      </c>
      <c r="AP12" s="63">
        <f>IFERROR(VLOOKUP($A12,'Ranking Lookup'!$A:$B,2,0),"Unranked")</f>
        <v>10</v>
      </c>
      <c r="AQ12" s="71">
        <f>SUM(S12:AI12,AK12)/E12</f>
        <v>1</v>
      </c>
      <c r="AR12" s="97">
        <f>IF(A12="","",
COUNTIF(EAD_CIs!I:I,"*"&amp;A12&amp;"*"))</f>
        <v>0</v>
      </c>
      <c r="AS12" s="97">
        <f>AS11+T12</f>
        <v>8</v>
      </c>
      <c r="AT12" s="97">
        <f>AT11+U12</f>
        <v>107</v>
      </c>
      <c r="AU12" s="97">
        <f>AU11+V12</f>
        <v>5</v>
      </c>
      <c r="AV12" s="97">
        <f>AV11+W12</f>
        <v>236</v>
      </c>
      <c r="AW12" s="97">
        <f>AW11+X12</f>
        <v>26</v>
      </c>
      <c r="AX12" s="97">
        <f>AX11+Y12</f>
        <v>40</v>
      </c>
      <c r="AY12" s="97">
        <f>AY11+Z12</f>
        <v>13</v>
      </c>
      <c r="AZ12" s="97">
        <f>AZ11+AA12</f>
        <v>80</v>
      </c>
      <c r="BA12" s="97">
        <f>BA11+AB12</f>
        <v>4</v>
      </c>
      <c r="BB12" s="97">
        <f>BB11+AC12</f>
        <v>33</v>
      </c>
      <c r="BC12" s="97">
        <f>BC11+AD12</f>
        <v>76</v>
      </c>
      <c r="BD12" s="97">
        <f>BD11+AE12</f>
        <v>0</v>
      </c>
      <c r="BE12" s="97">
        <f>BE11+AF12</f>
        <v>0</v>
      </c>
      <c r="BF12" s="97">
        <f>BF11+AG12</f>
        <v>30</v>
      </c>
      <c r="BG12" s="97">
        <f>BG11+AH12</f>
        <v>0</v>
      </c>
      <c r="BH12" s="63">
        <f>IF(A12="",0,
COUNTIF(OrphanPWI_CI_Check!A:A,"*"&amp;A12&amp;"*"))</f>
        <v>0</v>
      </c>
      <c r="BI12" s="63">
        <f>IF(NOT(ISERROR(SEARCH("In Progress",   VLOOKUP($A12,$A:$D,MATCH("Planned For",$A$1:$D$1,0), 1)))),0.5,
 IF($F12="Enabler",0.6,
 IF($I12="EAD N/A",0.8,1))) *  ( ROUNDUP(MAX('Ranking Lookup'!B:B)/5,0) +1 - ROUNDUP(IF(NOT(ISNUMBER(VLOOKUP(A12,'Ranking Lookup'!A:B,2,0))),  MAX('Ranking Lookup'!B:B))/5,0) )</f>
        <v>9</v>
      </c>
      <c r="BK12" s="95"/>
    </row>
    <row r="13" spans="1:63" s="5" customFormat="1" ht="14.4" customHeight="1" x14ac:dyDescent="0.3">
      <c r="A13" s="203">
        <v>372921</v>
      </c>
      <c r="B13" s="65" t="s">
        <v>974</v>
      </c>
      <c r="C13" s="98" t="s">
        <v>972</v>
      </c>
      <c r="D13" s="98" t="s">
        <v>106</v>
      </c>
      <c r="E13" s="65">
        <v>63</v>
      </c>
      <c r="F13" s="99" t="s">
        <v>879</v>
      </c>
      <c r="G13" s="99" t="s">
        <v>994</v>
      </c>
      <c r="H13" s="64" t="s">
        <v>1578</v>
      </c>
      <c r="I13" s="64" t="s">
        <v>38</v>
      </c>
      <c r="J13" s="98" t="s">
        <v>1414</v>
      </c>
      <c r="K13" s="95">
        <v>0</v>
      </c>
      <c r="L13" s="62" t="s">
        <v>944</v>
      </c>
      <c r="M13" s="67" t="s">
        <v>49</v>
      </c>
      <c r="N13" s="67" t="s">
        <v>51</v>
      </c>
      <c r="O13" s="67">
        <v>0</v>
      </c>
      <c r="P13" s="67" t="s">
        <v>131</v>
      </c>
      <c r="Q13" s="67" t="s">
        <v>36</v>
      </c>
      <c r="R13" s="66">
        <v>2</v>
      </c>
      <c r="S13" s="63">
        <v>41</v>
      </c>
      <c r="T13" s="63">
        <v>0</v>
      </c>
      <c r="U13" s="63">
        <v>25</v>
      </c>
      <c r="V13" s="63">
        <v>0</v>
      </c>
      <c r="W13" s="63">
        <v>0</v>
      </c>
      <c r="X13" s="63">
        <v>0</v>
      </c>
      <c r="Y13" s="63">
        <v>0</v>
      </c>
      <c r="Z13" s="63">
        <v>0</v>
      </c>
      <c r="AA13" s="63">
        <v>0</v>
      </c>
      <c r="AB13" s="63">
        <v>5</v>
      </c>
      <c r="AC13" s="63">
        <v>0</v>
      </c>
      <c r="AD13" s="63">
        <v>0</v>
      </c>
      <c r="AE13" s="63">
        <v>0</v>
      </c>
      <c r="AF13" s="63">
        <v>0</v>
      </c>
      <c r="AG13" s="63">
        <v>0</v>
      </c>
      <c r="AH13" s="63">
        <v>0</v>
      </c>
      <c r="AI13" s="63">
        <v>6</v>
      </c>
      <c r="AJ13" s="63">
        <v>30</v>
      </c>
      <c r="AK13" s="63">
        <v>0</v>
      </c>
      <c r="AL13" s="63" t="s">
        <v>35</v>
      </c>
      <c r="AM13" s="63" t="s">
        <v>36</v>
      </c>
      <c r="AN13" s="149" t="s">
        <v>33</v>
      </c>
      <c r="AO13" s="67" t="str">
        <f>VLOOKUP(A13,'Ranking Lookup'!A:C,3,0)</f>
        <v>Pre PI</v>
      </c>
      <c r="AP13" s="63">
        <f>IFERROR(VLOOKUP($A13,'Ranking Lookup'!$A:$B,2,0),"Unranked")</f>
        <v>11</v>
      </c>
      <c r="AQ13" s="71">
        <f>SUM(S13:AI13,AK13)/E13</f>
        <v>1.2222222222222223</v>
      </c>
      <c r="AR13" s="97">
        <f>IF(A13="","",
COUNTIF(EAD_CIs!I:I,"*"&amp;A13&amp;"*"))</f>
        <v>0</v>
      </c>
      <c r="AS13" s="97">
        <f>AS12+T13</f>
        <v>8</v>
      </c>
      <c r="AT13" s="97">
        <f>AT12+U13</f>
        <v>132</v>
      </c>
      <c r="AU13" s="97">
        <f>AU12+V13</f>
        <v>5</v>
      </c>
      <c r="AV13" s="97">
        <f>AV12+W13</f>
        <v>236</v>
      </c>
      <c r="AW13" s="97">
        <f>AW12+X13</f>
        <v>26</v>
      </c>
      <c r="AX13" s="97">
        <f>AX12+Y13</f>
        <v>40</v>
      </c>
      <c r="AY13" s="97">
        <f>AY12+Z13</f>
        <v>13</v>
      </c>
      <c r="AZ13" s="97">
        <f>AZ12+AA13</f>
        <v>80</v>
      </c>
      <c r="BA13" s="97">
        <f>BA12+AB13</f>
        <v>9</v>
      </c>
      <c r="BB13" s="97">
        <f>BB12+AC13</f>
        <v>33</v>
      </c>
      <c r="BC13" s="97">
        <f>BC12+AD13</f>
        <v>76</v>
      </c>
      <c r="BD13" s="97">
        <f>BD12+AE13</f>
        <v>0</v>
      </c>
      <c r="BE13" s="97">
        <f>BE12+AF13</f>
        <v>0</v>
      </c>
      <c r="BF13" s="97">
        <f>BF12+AG13</f>
        <v>30</v>
      </c>
      <c r="BG13" s="97">
        <f>BG12+AH13</f>
        <v>0</v>
      </c>
      <c r="BH13" s="63">
        <f>IF(A13="",0,
COUNTIF(OrphanPWI_CI_Check!A:A,"*"&amp;A13&amp;"*"))</f>
        <v>0</v>
      </c>
      <c r="BI13" s="63">
        <f>IF(NOT(ISERROR(SEARCH("In Progress",   VLOOKUP($A13,$A:$D,MATCH("Planned For",$A$1:$D$1,0), 1)))),0.5,
 IF($F13="Enabler",0.6,
 IF($I13="EAD N/A",0.8,1))) *  ( ROUNDUP(MAX('Ranking Lookup'!B:B)/5,0) +1 - ROUNDUP(IF(NOT(ISNUMBER(VLOOKUP(A13,'Ranking Lookup'!A:B,2,0))),  MAX('Ranking Lookup'!B:B))/5,0) )</f>
        <v>14.4</v>
      </c>
    </row>
    <row r="14" spans="1:63" s="5" customFormat="1" ht="14.4" customHeight="1" x14ac:dyDescent="0.3">
      <c r="A14" s="203">
        <v>376446</v>
      </c>
      <c r="B14" s="65" t="s">
        <v>995</v>
      </c>
      <c r="C14" s="98" t="s">
        <v>2102</v>
      </c>
      <c r="D14" s="98" t="s">
        <v>106</v>
      </c>
      <c r="E14" s="65">
        <v>63</v>
      </c>
      <c r="F14" s="99" t="s">
        <v>879</v>
      </c>
      <c r="G14" s="99" t="s">
        <v>996</v>
      </c>
      <c r="H14" s="64" t="s">
        <v>535</v>
      </c>
      <c r="I14" s="64" t="s">
        <v>38</v>
      </c>
      <c r="J14" s="98" t="s">
        <v>1412</v>
      </c>
      <c r="K14" s="95">
        <v>0</v>
      </c>
      <c r="L14" s="62" t="s">
        <v>943</v>
      </c>
      <c r="M14" s="67" t="s">
        <v>34</v>
      </c>
      <c r="N14" s="67" t="s">
        <v>36</v>
      </c>
      <c r="O14" s="67">
        <v>0</v>
      </c>
      <c r="P14" s="67" t="s">
        <v>131</v>
      </c>
      <c r="Q14" s="67" t="s">
        <v>36</v>
      </c>
      <c r="R14" s="66">
        <v>3</v>
      </c>
      <c r="S14" s="63">
        <v>36</v>
      </c>
      <c r="T14" s="63">
        <v>0</v>
      </c>
      <c r="U14" s="63">
        <v>0</v>
      </c>
      <c r="V14" s="63">
        <v>0</v>
      </c>
      <c r="W14" s="63">
        <v>3</v>
      </c>
      <c r="X14" s="63">
        <v>19</v>
      </c>
      <c r="Y14" s="63">
        <v>0</v>
      </c>
      <c r="Z14" s="63">
        <v>3</v>
      </c>
      <c r="AA14" s="63">
        <v>0</v>
      </c>
      <c r="AB14" s="63">
        <v>0</v>
      </c>
      <c r="AC14" s="63">
        <v>0</v>
      </c>
      <c r="AD14" s="63">
        <v>0</v>
      </c>
      <c r="AE14" s="63">
        <v>0</v>
      </c>
      <c r="AF14" s="63">
        <v>0</v>
      </c>
      <c r="AG14" s="63">
        <v>0</v>
      </c>
      <c r="AH14" s="63">
        <v>0</v>
      </c>
      <c r="AI14" s="63">
        <v>7</v>
      </c>
      <c r="AJ14" s="63">
        <v>25</v>
      </c>
      <c r="AK14" s="63">
        <v>0</v>
      </c>
      <c r="AL14" s="63" t="s">
        <v>35</v>
      </c>
      <c r="AM14" s="63" t="s">
        <v>36</v>
      </c>
      <c r="AN14" s="63" t="s">
        <v>33</v>
      </c>
      <c r="AO14" s="67" t="str">
        <f>VLOOKUP(A14,'Ranking Lookup'!A:C,3,0)</f>
        <v>Pre PI</v>
      </c>
      <c r="AP14" s="63">
        <f>IFERROR(VLOOKUP($A14,'Ranking Lookup'!$A:$B,2,0),"Unranked")</f>
        <v>12</v>
      </c>
      <c r="AQ14" s="71">
        <f>SUM(S14:AI14,AK14)/E14</f>
        <v>1.0793650793650793</v>
      </c>
      <c r="AR14" s="97">
        <f>IF(A14="","",
COUNTIF(EAD_CIs!I:I,"*"&amp;A14&amp;"*"))</f>
        <v>0</v>
      </c>
      <c r="AS14" s="97">
        <f>AS13+T14</f>
        <v>8</v>
      </c>
      <c r="AT14" s="97">
        <f>AT13+U14</f>
        <v>132</v>
      </c>
      <c r="AU14" s="97">
        <f>AU13+V14</f>
        <v>5</v>
      </c>
      <c r="AV14" s="97">
        <f>AV13+W14</f>
        <v>239</v>
      </c>
      <c r="AW14" s="97">
        <f>AW13+X14</f>
        <v>45</v>
      </c>
      <c r="AX14" s="97">
        <f>AX13+Y14</f>
        <v>40</v>
      </c>
      <c r="AY14" s="97">
        <f>AY13+Z14</f>
        <v>16</v>
      </c>
      <c r="AZ14" s="97">
        <f>AZ13+AA14</f>
        <v>80</v>
      </c>
      <c r="BA14" s="97">
        <f>BA13+AB14</f>
        <v>9</v>
      </c>
      <c r="BB14" s="97">
        <f>BB13+AC14</f>
        <v>33</v>
      </c>
      <c r="BC14" s="97">
        <f>BC13+AD14</f>
        <v>76</v>
      </c>
      <c r="BD14" s="97">
        <f>BD13+AE14</f>
        <v>0</v>
      </c>
      <c r="BE14" s="97">
        <f>BE13+AF14</f>
        <v>0</v>
      </c>
      <c r="BF14" s="97">
        <f>BF13+AG14</f>
        <v>30</v>
      </c>
      <c r="BG14" s="97">
        <f>BG13+AH14</f>
        <v>0</v>
      </c>
      <c r="BH14" s="63">
        <f>IF(A14="",0,
COUNTIF(OrphanPWI_CI_Check!A:A,"*"&amp;A14&amp;"*"))</f>
        <v>0</v>
      </c>
      <c r="BI14" s="63">
        <f>IF(NOT(ISERROR(SEARCH("In Progress",   VLOOKUP($A14,$A:$D,MATCH("Planned For",$A$1:$D$1,0), 1)))),0.5,
 IF($F14="Enabler",0.6,
 IF($I14="EAD N/A",0.8,1))) *  ( ROUNDUP(MAX('Ranking Lookup'!B:B)/5,0) +1 - ROUNDUP(IF(NOT(ISNUMBER(VLOOKUP(A14,'Ranking Lookup'!A:B,2,0))),  MAX('Ranking Lookup'!B:B))/5,0) )</f>
        <v>14.4</v>
      </c>
      <c r="BK14" s="95"/>
    </row>
    <row r="15" spans="1:63" s="5" customFormat="1" ht="14.4" customHeight="1" x14ac:dyDescent="0.3">
      <c r="A15" s="203">
        <v>396001</v>
      </c>
      <c r="B15" s="65" t="s">
        <v>2030</v>
      </c>
      <c r="C15" s="98" t="s">
        <v>2250</v>
      </c>
      <c r="D15" s="98" t="s">
        <v>28</v>
      </c>
      <c r="E15" s="65">
        <v>10</v>
      </c>
      <c r="F15" s="99" t="s">
        <v>41</v>
      </c>
      <c r="G15" s="99" t="s">
        <v>2243</v>
      </c>
      <c r="H15" s="64" t="s">
        <v>824</v>
      </c>
      <c r="I15" s="64" t="s">
        <v>38</v>
      </c>
      <c r="J15" s="98" t="s">
        <v>1414</v>
      </c>
      <c r="K15" s="95">
        <v>0</v>
      </c>
      <c r="L15" s="62" t="s">
        <v>17</v>
      </c>
      <c r="M15" s="67" t="s">
        <v>31</v>
      </c>
      <c r="N15" s="67" t="s">
        <v>36</v>
      </c>
      <c r="O15" s="67">
        <v>0</v>
      </c>
      <c r="P15" s="67" t="s">
        <v>131</v>
      </c>
      <c r="Q15" s="67" t="s">
        <v>36</v>
      </c>
      <c r="R15" s="66">
        <v>1</v>
      </c>
      <c r="S15" s="63">
        <v>0</v>
      </c>
      <c r="T15" s="63">
        <v>0</v>
      </c>
      <c r="U15" s="63">
        <v>0</v>
      </c>
      <c r="V15" s="63">
        <v>0</v>
      </c>
      <c r="W15" s="63">
        <v>0</v>
      </c>
      <c r="X15" s="63">
        <v>0</v>
      </c>
      <c r="Y15" s="63">
        <v>0</v>
      </c>
      <c r="Z15" s="63">
        <v>0</v>
      </c>
      <c r="AA15" s="63">
        <v>0</v>
      </c>
      <c r="AB15" s="63">
        <v>0</v>
      </c>
      <c r="AC15" s="63">
        <v>0</v>
      </c>
      <c r="AD15" s="63">
        <v>10</v>
      </c>
      <c r="AE15" s="63">
        <v>0</v>
      </c>
      <c r="AF15" s="63">
        <v>0</v>
      </c>
      <c r="AG15" s="63">
        <v>0</v>
      </c>
      <c r="AH15" s="63">
        <v>0</v>
      </c>
      <c r="AI15" s="63">
        <v>0</v>
      </c>
      <c r="AJ15" s="63">
        <v>10</v>
      </c>
      <c r="AK15" s="63">
        <v>0</v>
      </c>
      <c r="AL15" s="63" t="s">
        <v>35</v>
      </c>
      <c r="AM15" s="63" t="s">
        <v>36</v>
      </c>
      <c r="AN15" s="149" t="s">
        <v>40</v>
      </c>
      <c r="AO15" s="67" t="str">
        <f>VLOOKUP(A15,'Ranking Lookup'!A:C,3,0)</f>
        <v>Pre PI</v>
      </c>
      <c r="AP15" s="63">
        <f>IFERROR(VLOOKUP($A15,'Ranking Lookup'!$A:$B,2,0),"Unranked")</f>
        <v>13</v>
      </c>
      <c r="AQ15" s="71">
        <f>SUM(S15:AI15,AK15)/E15</f>
        <v>1</v>
      </c>
      <c r="AR15" s="97">
        <f>IF(A15="","",
COUNTIF(EAD_CIs!I:I,"*"&amp;A15&amp;"*"))</f>
        <v>0</v>
      </c>
      <c r="AS15" s="97">
        <f>AS14+T15</f>
        <v>8</v>
      </c>
      <c r="AT15" s="97">
        <f>AT14+U15</f>
        <v>132</v>
      </c>
      <c r="AU15" s="97">
        <f>AU14+V15</f>
        <v>5</v>
      </c>
      <c r="AV15" s="97">
        <f>AV14+W15</f>
        <v>239</v>
      </c>
      <c r="AW15" s="97">
        <f>AW14+X15</f>
        <v>45</v>
      </c>
      <c r="AX15" s="97">
        <f>AX14+Y15</f>
        <v>40</v>
      </c>
      <c r="AY15" s="97">
        <f>AY14+Z15</f>
        <v>16</v>
      </c>
      <c r="AZ15" s="97">
        <f>AZ14+AA15</f>
        <v>80</v>
      </c>
      <c r="BA15" s="97">
        <f>BA14+AB15</f>
        <v>9</v>
      </c>
      <c r="BB15" s="97">
        <f>BB14+AC15</f>
        <v>33</v>
      </c>
      <c r="BC15" s="97">
        <f>BC14+AD15</f>
        <v>86</v>
      </c>
      <c r="BD15" s="97">
        <f>BD14+AE15</f>
        <v>0</v>
      </c>
      <c r="BE15" s="97">
        <f>BE14+AF15</f>
        <v>0</v>
      </c>
      <c r="BF15" s="97">
        <f>BF14+AG15</f>
        <v>30</v>
      </c>
      <c r="BG15" s="97">
        <f>BG14+AH15</f>
        <v>0</v>
      </c>
      <c r="BH15" s="63">
        <f>IF(A15="",0,
COUNTIF(OrphanPWI_CI_Check!A:A,"*"&amp;A15&amp;"*"))</f>
        <v>0</v>
      </c>
      <c r="BI15" s="63">
        <f>IF(NOT(ISERROR(SEARCH("In Progress",   VLOOKUP($A15,$A:$D,MATCH("Planned For",$A$1:$D$1,0), 1)))),0.5,
 IF($F15="Enabler",0.6,
 IF($I15="EAD N/A",0.8,1))) *  ( ROUNDUP(MAX('Ranking Lookup'!B:B)/5,0) +1 - ROUNDUP(IF(NOT(ISNUMBER(VLOOKUP(A15,'Ranking Lookup'!A:B,2,0))),  MAX('Ranking Lookup'!B:B))/5,0) )</f>
        <v>10.799999999999999</v>
      </c>
      <c r="BK15" s="95"/>
    </row>
    <row r="16" spans="1:63" s="5" customFormat="1" ht="14.4" customHeight="1" x14ac:dyDescent="0.3">
      <c r="A16" s="203">
        <v>396508</v>
      </c>
      <c r="B16" s="65" t="s">
        <v>1149</v>
      </c>
      <c r="C16" s="98" t="s">
        <v>2102</v>
      </c>
      <c r="D16" s="98" t="s">
        <v>106</v>
      </c>
      <c r="E16" s="65">
        <v>9</v>
      </c>
      <c r="F16" s="99" t="s">
        <v>879</v>
      </c>
      <c r="G16" s="99" t="s">
        <v>1555</v>
      </c>
      <c r="H16" s="64" t="s">
        <v>548</v>
      </c>
      <c r="I16" s="64" t="s">
        <v>38</v>
      </c>
      <c r="J16" s="98" t="s">
        <v>1414</v>
      </c>
      <c r="K16" s="95">
        <v>0</v>
      </c>
      <c r="L16" s="62" t="s">
        <v>945</v>
      </c>
      <c r="M16" s="67" t="s">
        <v>42</v>
      </c>
      <c r="N16" s="67" t="s">
        <v>44</v>
      </c>
      <c r="O16" s="67">
        <v>0</v>
      </c>
      <c r="P16" s="67" t="s">
        <v>1552</v>
      </c>
      <c r="Q16" s="67" t="s">
        <v>36</v>
      </c>
      <c r="R16" s="66">
        <v>1</v>
      </c>
      <c r="S16" s="63">
        <v>3</v>
      </c>
      <c r="T16" s="63">
        <v>0</v>
      </c>
      <c r="U16" s="63">
        <v>0</v>
      </c>
      <c r="V16" s="63">
        <v>7</v>
      </c>
      <c r="W16" s="63">
        <v>0</v>
      </c>
      <c r="X16" s="63">
        <v>0</v>
      </c>
      <c r="Y16" s="63">
        <v>0</v>
      </c>
      <c r="Z16" s="63">
        <v>0</v>
      </c>
      <c r="AA16" s="63">
        <v>0</v>
      </c>
      <c r="AB16" s="63">
        <v>0</v>
      </c>
      <c r="AC16" s="63">
        <v>0</v>
      </c>
      <c r="AD16" s="63">
        <v>0</v>
      </c>
      <c r="AE16" s="63">
        <v>0</v>
      </c>
      <c r="AF16" s="63">
        <v>0</v>
      </c>
      <c r="AG16" s="63">
        <v>0</v>
      </c>
      <c r="AH16" s="63">
        <v>0</v>
      </c>
      <c r="AI16" s="63">
        <v>0</v>
      </c>
      <c r="AJ16" s="63">
        <v>7</v>
      </c>
      <c r="AK16" s="63">
        <v>0</v>
      </c>
      <c r="AL16" s="63" t="s">
        <v>35</v>
      </c>
      <c r="AM16" s="63" t="s">
        <v>36</v>
      </c>
      <c r="AN16" s="149" t="s">
        <v>33</v>
      </c>
      <c r="AO16" s="67" t="str">
        <f>VLOOKUP(A16,'Ranking Lookup'!A:C,3,0)</f>
        <v>Pre PI</v>
      </c>
      <c r="AP16" s="63">
        <f>IFERROR(VLOOKUP($A16,'Ranking Lookup'!$A:$B,2,0),"Unranked")</f>
        <v>14</v>
      </c>
      <c r="AQ16" s="71">
        <f>SUM(S16:AI16,AK16)/E16</f>
        <v>1.1111111111111112</v>
      </c>
      <c r="AR16" s="97">
        <f>IF(A16="","",
COUNTIF(EAD_CIs!I:I,"*"&amp;A16&amp;"*"))</f>
        <v>0</v>
      </c>
      <c r="AS16" s="97">
        <f>AS15+T16</f>
        <v>8</v>
      </c>
      <c r="AT16" s="97">
        <f>AT15+U16</f>
        <v>132</v>
      </c>
      <c r="AU16" s="97">
        <f>AU15+V16</f>
        <v>12</v>
      </c>
      <c r="AV16" s="97">
        <f>AV15+W16</f>
        <v>239</v>
      </c>
      <c r="AW16" s="97">
        <f>AW15+X16</f>
        <v>45</v>
      </c>
      <c r="AX16" s="97">
        <f>AX15+Y16</f>
        <v>40</v>
      </c>
      <c r="AY16" s="97">
        <f>AY15+Z16</f>
        <v>16</v>
      </c>
      <c r="AZ16" s="97">
        <f>AZ15+AA16</f>
        <v>80</v>
      </c>
      <c r="BA16" s="97">
        <f>BA15+AB16</f>
        <v>9</v>
      </c>
      <c r="BB16" s="97">
        <f>BB15+AC16</f>
        <v>33</v>
      </c>
      <c r="BC16" s="97">
        <f>BC15+AD16</f>
        <v>86</v>
      </c>
      <c r="BD16" s="97">
        <f>BD15+AE16</f>
        <v>0</v>
      </c>
      <c r="BE16" s="97">
        <f>BE15+AF16</f>
        <v>0</v>
      </c>
      <c r="BF16" s="97">
        <f>BF15+AG16</f>
        <v>30</v>
      </c>
      <c r="BG16" s="97">
        <f>BG15+AH16</f>
        <v>0</v>
      </c>
      <c r="BH16" s="63">
        <f>IF(A16="",0,
COUNTIF(OrphanPWI_CI_Check!A:A,"*"&amp;A16&amp;"*"))</f>
        <v>0</v>
      </c>
      <c r="BI16" s="63">
        <f>IF(NOT(ISERROR(SEARCH("In Progress",   VLOOKUP($A16,$A:$D,MATCH("Planned For",$A$1:$D$1,0), 1)))),0.5,
 IF($F16="Enabler",0.6,
 IF($I16="EAD N/A",0.8,1))) *  ( ROUNDUP(MAX('Ranking Lookup'!B:B)/5,0) +1 - ROUNDUP(IF(NOT(ISNUMBER(VLOOKUP(A16,'Ranking Lookup'!A:B,2,0))),  MAX('Ranking Lookup'!B:B))/5,0) )</f>
        <v>14.4</v>
      </c>
      <c r="BK16" s="95"/>
    </row>
    <row r="17" spans="1:63" s="5" customFormat="1" ht="14.4" customHeight="1" x14ac:dyDescent="0.3">
      <c r="A17" s="203">
        <v>1010421</v>
      </c>
      <c r="B17" s="65" t="s">
        <v>1966</v>
      </c>
      <c r="C17" s="98" t="s">
        <v>1842</v>
      </c>
      <c r="D17" s="98" t="s">
        <v>28</v>
      </c>
      <c r="E17" s="65">
        <v>25</v>
      </c>
      <c r="F17" s="99" t="s">
        <v>879</v>
      </c>
      <c r="G17" s="99" t="s">
        <v>1927</v>
      </c>
      <c r="H17" s="64" t="s">
        <v>110</v>
      </c>
      <c r="I17" s="64" t="s">
        <v>38</v>
      </c>
      <c r="J17" s="98" t="s">
        <v>1412</v>
      </c>
      <c r="K17" s="95">
        <v>0</v>
      </c>
      <c r="L17" s="62" t="s">
        <v>946</v>
      </c>
      <c r="M17" s="67" t="s">
        <v>42</v>
      </c>
      <c r="N17" s="67" t="s">
        <v>44</v>
      </c>
      <c r="O17" s="67">
        <v>1</v>
      </c>
      <c r="P17" s="67" t="s">
        <v>1552</v>
      </c>
      <c r="Q17" s="67" t="s">
        <v>36</v>
      </c>
      <c r="R17" s="66">
        <v>1</v>
      </c>
      <c r="S17" s="63">
        <v>0</v>
      </c>
      <c r="T17" s="63">
        <v>0</v>
      </c>
      <c r="U17" s="63">
        <v>0</v>
      </c>
      <c r="V17" s="63">
        <v>0</v>
      </c>
      <c r="W17" s="63">
        <v>0</v>
      </c>
      <c r="X17" s="63">
        <v>0</v>
      </c>
      <c r="Y17" s="63">
        <v>25</v>
      </c>
      <c r="Z17" s="63">
        <v>0</v>
      </c>
      <c r="AA17" s="63">
        <v>0</v>
      </c>
      <c r="AB17" s="63">
        <v>0</v>
      </c>
      <c r="AC17" s="63">
        <v>0</v>
      </c>
      <c r="AD17" s="63">
        <v>0</v>
      </c>
      <c r="AE17" s="63">
        <v>0</v>
      </c>
      <c r="AF17" s="63">
        <v>0</v>
      </c>
      <c r="AG17" s="63">
        <v>0</v>
      </c>
      <c r="AH17" s="63">
        <v>0</v>
      </c>
      <c r="AI17" s="63">
        <v>0</v>
      </c>
      <c r="AJ17" s="63">
        <v>25</v>
      </c>
      <c r="AK17" s="63">
        <v>0</v>
      </c>
      <c r="AL17" s="63" t="s">
        <v>35</v>
      </c>
      <c r="AM17" s="63" t="s">
        <v>36</v>
      </c>
      <c r="AN17" s="149" t="s">
        <v>40</v>
      </c>
      <c r="AO17" s="67" t="str">
        <f>VLOOKUP(A17,'Ranking Lookup'!A:C,3,0)</f>
        <v>Pre PI</v>
      </c>
      <c r="AP17" s="63">
        <f>IFERROR(VLOOKUP($A17,'Ranking Lookup'!$A:$B,2,0),"Unranked")</f>
        <v>15</v>
      </c>
      <c r="AQ17" s="71">
        <f>SUM(S17:AI17,AK17)/E17</f>
        <v>1</v>
      </c>
      <c r="AR17" s="97">
        <f>IF(A17="","",
COUNTIF(EAD_CIs!I:I,"*"&amp;A17&amp;"*"))</f>
        <v>0</v>
      </c>
      <c r="AS17" s="97">
        <f>AS16+T17</f>
        <v>8</v>
      </c>
      <c r="AT17" s="97">
        <f>AT16+U17</f>
        <v>132</v>
      </c>
      <c r="AU17" s="97">
        <f>AU16+V17</f>
        <v>12</v>
      </c>
      <c r="AV17" s="97">
        <f>AV16+W17</f>
        <v>239</v>
      </c>
      <c r="AW17" s="97">
        <f>AW16+X17</f>
        <v>45</v>
      </c>
      <c r="AX17" s="97">
        <f>AX16+Y17</f>
        <v>65</v>
      </c>
      <c r="AY17" s="97">
        <f>AY16+Z17</f>
        <v>16</v>
      </c>
      <c r="AZ17" s="97">
        <f>AZ16+AA17</f>
        <v>80</v>
      </c>
      <c r="BA17" s="97">
        <f>BA16+AB17</f>
        <v>9</v>
      </c>
      <c r="BB17" s="97">
        <f>BB16+AC17</f>
        <v>33</v>
      </c>
      <c r="BC17" s="97">
        <f>BC16+AD17</f>
        <v>86</v>
      </c>
      <c r="BD17" s="97">
        <f>BD16+AE17</f>
        <v>0</v>
      </c>
      <c r="BE17" s="97">
        <f>BE16+AF17</f>
        <v>0</v>
      </c>
      <c r="BF17" s="97">
        <f>BF16+AG17</f>
        <v>30</v>
      </c>
      <c r="BG17" s="97">
        <f>BG16+AH17</f>
        <v>0</v>
      </c>
      <c r="BH17" s="63">
        <f>IF(A17="",0,
COUNTIF(OrphanPWI_CI_Check!A:A,"*"&amp;A17&amp;"*"))</f>
        <v>0</v>
      </c>
      <c r="BI17" s="63">
        <f>IF(NOT(ISERROR(SEARCH("In Progress",   VLOOKUP($A17,$A:$D,MATCH("Planned For",$A$1:$D$1,0), 1)))),0.5,
 IF($F17="Enabler",0.6,
 IF($I17="EAD N/A",0.8,1))) *  ( ROUNDUP(MAX('Ranking Lookup'!B:B)/5,0) +1 - ROUNDUP(IF(NOT(ISNUMBER(VLOOKUP(A17,'Ranking Lookup'!A:B,2,0))),  MAX('Ranking Lookup'!B:B))/5,0) )</f>
        <v>14.4</v>
      </c>
      <c r="BK17" s="95"/>
    </row>
    <row r="18" spans="1:63" s="5" customFormat="1" ht="14.4" customHeight="1" x14ac:dyDescent="0.3">
      <c r="A18" s="203">
        <v>395855</v>
      </c>
      <c r="B18" s="65" t="s">
        <v>1148</v>
      </c>
      <c r="C18" s="98" t="s">
        <v>2310</v>
      </c>
      <c r="D18" s="98" t="s">
        <v>106</v>
      </c>
      <c r="E18" s="65">
        <v>10</v>
      </c>
      <c r="F18" s="99" t="s">
        <v>879</v>
      </c>
      <c r="G18" s="99" t="s">
        <v>2350</v>
      </c>
      <c r="H18" s="64" t="s">
        <v>110</v>
      </c>
      <c r="I18" s="64" t="s">
        <v>851</v>
      </c>
      <c r="J18" s="98" t="s">
        <v>1414</v>
      </c>
      <c r="K18" s="95">
        <v>0</v>
      </c>
      <c r="L18" s="62" t="s">
        <v>946</v>
      </c>
      <c r="M18" s="67" t="s">
        <v>42</v>
      </c>
      <c r="N18" s="67" t="s">
        <v>44</v>
      </c>
      <c r="O18" s="67">
        <v>3</v>
      </c>
      <c r="P18" s="67" t="s">
        <v>1552</v>
      </c>
      <c r="Q18" s="67" t="s">
        <v>1760</v>
      </c>
      <c r="R18" s="66">
        <v>1</v>
      </c>
      <c r="S18" s="63">
        <v>8</v>
      </c>
      <c r="T18" s="63">
        <v>0</v>
      </c>
      <c r="U18" s="63">
        <v>0</v>
      </c>
      <c r="V18" s="63">
        <v>0</v>
      </c>
      <c r="W18" s="63">
        <v>0</v>
      </c>
      <c r="X18" s="63">
        <v>0</v>
      </c>
      <c r="Y18" s="63">
        <v>1</v>
      </c>
      <c r="Z18" s="63">
        <v>0</v>
      </c>
      <c r="AA18" s="63">
        <v>0</v>
      </c>
      <c r="AB18" s="63">
        <v>0</v>
      </c>
      <c r="AC18" s="63">
        <v>0</v>
      </c>
      <c r="AD18" s="63">
        <v>0</v>
      </c>
      <c r="AE18" s="63">
        <v>0</v>
      </c>
      <c r="AF18" s="63">
        <v>0</v>
      </c>
      <c r="AG18" s="63">
        <v>0</v>
      </c>
      <c r="AH18" s="63">
        <v>0</v>
      </c>
      <c r="AI18" s="63">
        <v>1</v>
      </c>
      <c r="AJ18" s="63">
        <v>1</v>
      </c>
      <c r="AK18" s="63">
        <v>0</v>
      </c>
      <c r="AL18" s="63" t="s">
        <v>35</v>
      </c>
      <c r="AM18" s="63" t="s">
        <v>36</v>
      </c>
      <c r="AN18" s="149" t="s">
        <v>33</v>
      </c>
      <c r="AO18" s="67" t="str">
        <f>VLOOKUP(A18,'Ranking Lookup'!A:C,3,0)</f>
        <v>Pre PI</v>
      </c>
      <c r="AP18" s="63">
        <f>IFERROR(VLOOKUP($A18,'Ranking Lookup'!$A:$B,2,0),"Unranked")</f>
        <v>16</v>
      </c>
      <c r="AQ18" s="71">
        <f>SUM(S18:AI18,AK18)/E18</f>
        <v>1</v>
      </c>
      <c r="AR18" s="97">
        <f>IF(A18="","",
COUNTIF(EAD_CIs!I:I,"*"&amp;A18&amp;"*"))</f>
        <v>1</v>
      </c>
      <c r="AS18" s="97">
        <f>AS17+T18</f>
        <v>8</v>
      </c>
      <c r="AT18" s="97">
        <f>AT17+U18</f>
        <v>132</v>
      </c>
      <c r="AU18" s="97">
        <f>AU17+V18</f>
        <v>12</v>
      </c>
      <c r="AV18" s="97">
        <f>AV17+W18</f>
        <v>239</v>
      </c>
      <c r="AW18" s="97">
        <f>AW17+X18</f>
        <v>45</v>
      </c>
      <c r="AX18" s="97">
        <f>AX17+Y18</f>
        <v>66</v>
      </c>
      <c r="AY18" s="97">
        <f>AY17+Z18</f>
        <v>16</v>
      </c>
      <c r="AZ18" s="97">
        <f>AZ17+AA18</f>
        <v>80</v>
      </c>
      <c r="BA18" s="97">
        <f>BA17+AB18</f>
        <v>9</v>
      </c>
      <c r="BB18" s="97">
        <f>BB17+AC18</f>
        <v>33</v>
      </c>
      <c r="BC18" s="97">
        <f>BC17+AD18</f>
        <v>86</v>
      </c>
      <c r="BD18" s="97">
        <f>BD17+AE18</f>
        <v>0</v>
      </c>
      <c r="BE18" s="97">
        <f>BE17+AF18</f>
        <v>0</v>
      </c>
      <c r="BF18" s="97">
        <f>BF17+AG18</f>
        <v>30</v>
      </c>
      <c r="BG18" s="97">
        <f>BG17+AH18</f>
        <v>0</v>
      </c>
      <c r="BH18" s="63">
        <f>IF(A18="",0,
COUNTIF(OrphanPWI_CI_Check!A:A,"*"&amp;A18&amp;"*"))</f>
        <v>0</v>
      </c>
      <c r="BI18" s="63">
        <f>IF(NOT(ISERROR(SEARCH("In Progress",   VLOOKUP($A18,$A:$D,MATCH("Planned For",$A$1:$D$1,0), 1)))),0.5,
 IF($F18="Enabler",0.6,
 IF($I18="EAD N/A",0.8,1))) *  ( ROUNDUP(MAX('Ranking Lookup'!B:B)/5,0) +1 - ROUNDUP(IF(NOT(ISNUMBER(VLOOKUP(A18,'Ranking Lookup'!A:B,2,0))),  MAX('Ranking Lookup'!B:B))/5,0) )</f>
        <v>18</v>
      </c>
    </row>
    <row r="19" spans="1:63" s="5" customFormat="1" ht="14.4" customHeight="1" x14ac:dyDescent="0.3">
      <c r="A19" s="203">
        <v>1011295</v>
      </c>
      <c r="B19" s="65" t="s">
        <v>1864</v>
      </c>
      <c r="C19" s="98" t="s">
        <v>1842</v>
      </c>
      <c r="D19" s="98" t="s">
        <v>28</v>
      </c>
      <c r="E19" s="65">
        <v>16</v>
      </c>
      <c r="F19" s="99" t="s">
        <v>879</v>
      </c>
      <c r="G19" s="99" t="s">
        <v>2333</v>
      </c>
      <c r="H19" s="64" t="s">
        <v>110</v>
      </c>
      <c r="I19" s="64" t="s">
        <v>939</v>
      </c>
      <c r="J19" s="98" t="s">
        <v>1414</v>
      </c>
      <c r="K19" s="95">
        <v>0</v>
      </c>
      <c r="L19" s="62" t="s">
        <v>946</v>
      </c>
      <c r="M19" s="67" t="s">
        <v>42</v>
      </c>
      <c r="N19" s="67" t="s">
        <v>44</v>
      </c>
      <c r="O19" s="67">
        <v>1</v>
      </c>
      <c r="P19" s="67" t="s">
        <v>1552</v>
      </c>
      <c r="Q19" s="67" t="s">
        <v>1760</v>
      </c>
      <c r="R19" s="66">
        <v>1</v>
      </c>
      <c r="S19" s="63">
        <v>0</v>
      </c>
      <c r="T19" s="63">
        <v>0</v>
      </c>
      <c r="U19" s="63">
        <v>0</v>
      </c>
      <c r="V19" s="63">
        <v>0</v>
      </c>
      <c r="W19" s="63">
        <v>0</v>
      </c>
      <c r="X19" s="63">
        <v>0</v>
      </c>
      <c r="Y19" s="63">
        <v>16</v>
      </c>
      <c r="Z19" s="63">
        <v>0</v>
      </c>
      <c r="AA19" s="63">
        <v>0</v>
      </c>
      <c r="AB19" s="63">
        <v>0</v>
      </c>
      <c r="AC19" s="63">
        <v>0</v>
      </c>
      <c r="AD19" s="63">
        <v>0</v>
      </c>
      <c r="AE19" s="63">
        <v>0</v>
      </c>
      <c r="AF19" s="63">
        <v>0</v>
      </c>
      <c r="AG19" s="63">
        <v>0</v>
      </c>
      <c r="AH19" s="63">
        <v>0</v>
      </c>
      <c r="AI19" s="63">
        <v>0</v>
      </c>
      <c r="AJ19" s="63">
        <v>16</v>
      </c>
      <c r="AK19" s="63">
        <v>0</v>
      </c>
      <c r="AL19" s="63" t="s">
        <v>35</v>
      </c>
      <c r="AM19" s="63" t="s">
        <v>36</v>
      </c>
      <c r="AN19" s="149" t="s">
        <v>40</v>
      </c>
      <c r="AO19" s="67" t="str">
        <f>VLOOKUP(A19,'Ranking Lookup'!A:C,3,0)</f>
        <v>Pre PI</v>
      </c>
      <c r="AP19" s="63">
        <f>IFERROR(VLOOKUP($A19,'Ranking Lookup'!$A:$B,2,0),"Unranked")</f>
        <v>17</v>
      </c>
      <c r="AQ19" s="71">
        <f>SUM(S19:AI19,AK19)/E19</f>
        <v>1</v>
      </c>
      <c r="AR19" s="97">
        <f>IF(A19="","",
COUNTIF(EAD_CIs!I:I,"*"&amp;A19&amp;"*"))</f>
        <v>0</v>
      </c>
      <c r="AS19" s="97">
        <f>AS18+T19</f>
        <v>8</v>
      </c>
      <c r="AT19" s="97">
        <f>AT18+U19</f>
        <v>132</v>
      </c>
      <c r="AU19" s="97">
        <f>AU18+V19</f>
        <v>12</v>
      </c>
      <c r="AV19" s="97">
        <f>AV18+W19</f>
        <v>239</v>
      </c>
      <c r="AW19" s="97">
        <f>AW18+X19</f>
        <v>45</v>
      </c>
      <c r="AX19" s="97">
        <f>AX18+Y19</f>
        <v>82</v>
      </c>
      <c r="AY19" s="97">
        <f>AY18+Z19</f>
        <v>16</v>
      </c>
      <c r="AZ19" s="97">
        <f>AZ18+AA19</f>
        <v>80</v>
      </c>
      <c r="BA19" s="97">
        <f>BA18+AB19</f>
        <v>9</v>
      </c>
      <c r="BB19" s="97">
        <f>BB18+AC19</f>
        <v>33</v>
      </c>
      <c r="BC19" s="97">
        <f>BC18+AD19</f>
        <v>86</v>
      </c>
      <c r="BD19" s="97">
        <f>BD18+AE19</f>
        <v>0</v>
      </c>
      <c r="BE19" s="97">
        <f>BE18+AF19</f>
        <v>0</v>
      </c>
      <c r="BF19" s="97">
        <f>BF18+AG19</f>
        <v>30</v>
      </c>
      <c r="BG19" s="97">
        <f>BG18+AH19</f>
        <v>0</v>
      </c>
      <c r="BH19" s="63">
        <f>IF(A19="",0,
COUNTIF(OrphanPWI_CI_Check!A:A,"*"&amp;A19&amp;"*"))</f>
        <v>0</v>
      </c>
      <c r="BI19" s="63">
        <f>IF(NOT(ISERROR(SEARCH("In Progress",   VLOOKUP($A19,$A:$D,MATCH("Planned For",$A$1:$D$1,0), 1)))),0.5,
 IF($F19="Enabler",0.6,
 IF($I19="EAD N/A",0.8,1))) *  ( ROUNDUP(MAX('Ranking Lookup'!B:B)/5,0) +1 - ROUNDUP(IF(NOT(ISNUMBER(VLOOKUP(A19,'Ranking Lookup'!A:B,2,0))),  MAX('Ranking Lookup'!B:B))/5,0) )</f>
        <v>18</v>
      </c>
      <c r="BK19"/>
    </row>
    <row r="20" spans="1:63" s="5" customFormat="1" ht="14.4" customHeight="1" x14ac:dyDescent="0.3">
      <c r="A20" s="203">
        <v>1005321</v>
      </c>
      <c r="B20" s="65" t="s">
        <v>1518</v>
      </c>
      <c r="C20" s="98" t="s">
        <v>857</v>
      </c>
      <c r="D20" s="98" t="s">
        <v>106</v>
      </c>
      <c r="E20" s="65">
        <v>34</v>
      </c>
      <c r="F20" s="99" t="s">
        <v>879</v>
      </c>
      <c r="G20" s="99" t="s">
        <v>1929</v>
      </c>
      <c r="H20" s="64" t="s">
        <v>1437</v>
      </c>
      <c r="I20" s="64" t="s">
        <v>38</v>
      </c>
      <c r="J20" s="98" t="s">
        <v>1414</v>
      </c>
      <c r="K20" s="95">
        <v>0</v>
      </c>
      <c r="L20" s="62" t="s">
        <v>946</v>
      </c>
      <c r="M20" s="67" t="s">
        <v>42</v>
      </c>
      <c r="N20" s="67" t="s">
        <v>44</v>
      </c>
      <c r="O20" s="67">
        <v>0</v>
      </c>
      <c r="P20" s="67" t="s">
        <v>1552</v>
      </c>
      <c r="Q20" s="67" t="s">
        <v>36</v>
      </c>
      <c r="R20" s="66">
        <v>2</v>
      </c>
      <c r="S20" s="63">
        <v>0</v>
      </c>
      <c r="T20" s="63">
        <v>0</v>
      </c>
      <c r="U20" s="63">
        <v>6</v>
      </c>
      <c r="V20" s="63">
        <v>0</v>
      </c>
      <c r="W20" s="63">
        <v>0</v>
      </c>
      <c r="X20" s="63">
        <v>0</v>
      </c>
      <c r="Y20" s="63">
        <v>28</v>
      </c>
      <c r="Z20" s="63">
        <v>0</v>
      </c>
      <c r="AA20" s="63">
        <v>0</v>
      </c>
      <c r="AB20" s="63">
        <v>0</v>
      </c>
      <c r="AC20" s="63">
        <v>0</v>
      </c>
      <c r="AD20" s="63">
        <v>0</v>
      </c>
      <c r="AE20" s="63">
        <v>0</v>
      </c>
      <c r="AF20" s="63">
        <v>0</v>
      </c>
      <c r="AG20" s="63">
        <v>0</v>
      </c>
      <c r="AH20" s="63">
        <v>0</v>
      </c>
      <c r="AI20" s="63">
        <v>0</v>
      </c>
      <c r="AJ20" s="63">
        <v>34</v>
      </c>
      <c r="AK20" s="63">
        <v>0</v>
      </c>
      <c r="AL20" s="63" t="s">
        <v>35</v>
      </c>
      <c r="AM20" s="63" t="s">
        <v>36</v>
      </c>
      <c r="AN20" s="149" t="s">
        <v>40</v>
      </c>
      <c r="AO20" s="67" t="str">
        <f>VLOOKUP(A20,'Ranking Lookup'!A:C,3,0)</f>
        <v>Pre PI</v>
      </c>
      <c r="AP20" s="63">
        <f>IFERROR(VLOOKUP($A20,'Ranking Lookup'!$A:$B,2,0),"Unranked")</f>
        <v>18</v>
      </c>
      <c r="AQ20" s="71">
        <f>SUM(S20:AI20,AK20)/E20</f>
        <v>1</v>
      </c>
      <c r="AR20" s="97">
        <f>IF(A20="","",
COUNTIF(EAD_CIs!I:I,"*"&amp;A20&amp;"*"))</f>
        <v>0</v>
      </c>
      <c r="AS20" s="97">
        <f>AS19+T20</f>
        <v>8</v>
      </c>
      <c r="AT20" s="97">
        <f>AT19+U20</f>
        <v>138</v>
      </c>
      <c r="AU20" s="97">
        <f>AU19+V20</f>
        <v>12</v>
      </c>
      <c r="AV20" s="97">
        <f>AV19+W20</f>
        <v>239</v>
      </c>
      <c r="AW20" s="97">
        <f>AW19+X20</f>
        <v>45</v>
      </c>
      <c r="AX20" s="97">
        <f>AX19+Y20</f>
        <v>110</v>
      </c>
      <c r="AY20" s="97">
        <f>AY19+Z20</f>
        <v>16</v>
      </c>
      <c r="AZ20" s="97">
        <f>AZ19+AA20</f>
        <v>80</v>
      </c>
      <c r="BA20" s="97">
        <f>BA19+AB20</f>
        <v>9</v>
      </c>
      <c r="BB20" s="97">
        <f>BB19+AC20</f>
        <v>33</v>
      </c>
      <c r="BC20" s="97">
        <f>BC19+AD20</f>
        <v>86</v>
      </c>
      <c r="BD20" s="97">
        <f>BD19+AE20</f>
        <v>0</v>
      </c>
      <c r="BE20" s="97">
        <f>BE19+AF20</f>
        <v>0</v>
      </c>
      <c r="BF20" s="97">
        <f>BF19+AG20</f>
        <v>30</v>
      </c>
      <c r="BG20" s="97">
        <f>BG19+AH20</f>
        <v>0</v>
      </c>
      <c r="BH20" s="63">
        <f>IF(A20="",0,
COUNTIF(OrphanPWI_CI_Check!A:A,"*"&amp;A20&amp;"*"))</f>
        <v>0</v>
      </c>
      <c r="BI20" s="63">
        <f>IF(NOT(ISERROR(SEARCH("In Progress",   VLOOKUP($A20,$A:$D,MATCH("Planned For",$A$1:$D$1,0), 1)))),0.5,
 IF($F20="Enabler",0.6,
 IF($I20="EAD N/A",0.8,1))) *  ( ROUNDUP(MAX('Ranking Lookup'!B:B)/5,0) +1 - ROUNDUP(IF(NOT(ISNUMBER(VLOOKUP(A20,'Ranking Lookup'!A:B,2,0))),  MAX('Ranking Lookup'!B:B))/5,0) )</f>
        <v>14.4</v>
      </c>
      <c r="BK20" s="95"/>
    </row>
    <row r="21" spans="1:63" s="5" customFormat="1" ht="14.4" customHeight="1" x14ac:dyDescent="0.3">
      <c r="A21" s="203">
        <v>1011419</v>
      </c>
      <c r="B21" s="65" t="s">
        <v>1863</v>
      </c>
      <c r="C21" s="98" t="s">
        <v>1842</v>
      </c>
      <c r="D21" s="98" t="s">
        <v>28</v>
      </c>
      <c r="E21" s="65">
        <v>10</v>
      </c>
      <c r="F21" s="99" t="s">
        <v>41</v>
      </c>
      <c r="G21" s="99" t="s">
        <v>1556</v>
      </c>
      <c r="H21" s="64" t="s">
        <v>110</v>
      </c>
      <c r="I21" s="64" t="s">
        <v>38</v>
      </c>
      <c r="J21" s="98" t="s">
        <v>1414</v>
      </c>
      <c r="K21" s="95">
        <v>0</v>
      </c>
      <c r="L21" s="62" t="s">
        <v>946</v>
      </c>
      <c r="M21" s="67" t="s">
        <v>42</v>
      </c>
      <c r="N21" s="67" t="s">
        <v>44</v>
      </c>
      <c r="O21" s="67">
        <v>0</v>
      </c>
      <c r="P21" s="67" t="s">
        <v>1552</v>
      </c>
      <c r="Q21" s="67" t="s">
        <v>36</v>
      </c>
      <c r="R21" s="66">
        <v>1</v>
      </c>
      <c r="S21" s="63">
        <v>0</v>
      </c>
      <c r="T21" s="63">
        <v>0</v>
      </c>
      <c r="U21" s="63">
        <v>0</v>
      </c>
      <c r="V21" s="63">
        <v>0</v>
      </c>
      <c r="W21" s="63">
        <v>0</v>
      </c>
      <c r="X21" s="63">
        <v>0</v>
      </c>
      <c r="Y21" s="63">
        <v>10</v>
      </c>
      <c r="Z21" s="63">
        <v>0</v>
      </c>
      <c r="AA21" s="63">
        <v>0</v>
      </c>
      <c r="AB21" s="63">
        <v>0</v>
      </c>
      <c r="AC21" s="63">
        <v>0</v>
      </c>
      <c r="AD21" s="63">
        <v>0</v>
      </c>
      <c r="AE21" s="63">
        <v>0</v>
      </c>
      <c r="AF21" s="63">
        <v>0</v>
      </c>
      <c r="AG21" s="63">
        <v>0</v>
      </c>
      <c r="AH21" s="63">
        <v>0</v>
      </c>
      <c r="AI21" s="63">
        <v>0</v>
      </c>
      <c r="AJ21" s="63">
        <v>10</v>
      </c>
      <c r="AK21" s="63">
        <v>0</v>
      </c>
      <c r="AL21" s="63" t="s">
        <v>35</v>
      </c>
      <c r="AM21" s="63" t="s">
        <v>36</v>
      </c>
      <c r="AN21" s="149" t="s">
        <v>40</v>
      </c>
      <c r="AO21" s="67" t="str">
        <f>VLOOKUP(A21,'Ranking Lookup'!A:C,3,0)</f>
        <v>Pre PI</v>
      </c>
      <c r="AP21" s="63">
        <f>IFERROR(VLOOKUP($A21,'Ranking Lookup'!$A:$B,2,0),"Unranked")</f>
        <v>19</v>
      </c>
      <c r="AQ21" s="71">
        <f>SUM(S21:AI21,AK21)/E21</f>
        <v>1</v>
      </c>
      <c r="AR21" s="97">
        <f>IF(A21="","",
COUNTIF(EAD_CIs!I:I,"*"&amp;A21&amp;"*"))</f>
        <v>0</v>
      </c>
      <c r="AS21" s="97">
        <f>AS20+T21</f>
        <v>8</v>
      </c>
      <c r="AT21" s="97">
        <f>AT20+U21</f>
        <v>138</v>
      </c>
      <c r="AU21" s="97">
        <f>AU20+V21</f>
        <v>12</v>
      </c>
      <c r="AV21" s="97">
        <f>AV20+W21</f>
        <v>239</v>
      </c>
      <c r="AW21" s="97">
        <f>AW20+X21</f>
        <v>45</v>
      </c>
      <c r="AX21" s="97">
        <f>AX20+Y21</f>
        <v>120</v>
      </c>
      <c r="AY21" s="97">
        <f>AY20+Z21</f>
        <v>16</v>
      </c>
      <c r="AZ21" s="97">
        <f>AZ20+AA21</f>
        <v>80</v>
      </c>
      <c r="BA21" s="97">
        <f>BA20+AB21</f>
        <v>9</v>
      </c>
      <c r="BB21" s="97">
        <f>BB20+AC21</f>
        <v>33</v>
      </c>
      <c r="BC21" s="97">
        <f>BC20+AD21</f>
        <v>86</v>
      </c>
      <c r="BD21" s="97">
        <f>BD20+AE21</f>
        <v>0</v>
      </c>
      <c r="BE21" s="97">
        <f>BE20+AF21</f>
        <v>0</v>
      </c>
      <c r="BF21" s="97">
        <f>BF20+AG21</f>
        <v>30</v>
      </c>
      <c r="BG21" s="97">
        <f>BG20+AH21</f>
        <v>0</v>
      </c>
      <c r="BH21" s="63">
        <f>IF(A21="",0,
COUNTIF(OrphanPWI_CI_Check!A:A,"*"&amp;A21&amp;"*"))</f>
        <v>0</v>
      </c>
      <c r="BI21" s="63">
        <f>IF(NOT(ISERROR(SEARCH("In Progress",   VLOOKUP($A21,$A:$D,MATCH("Planned For",$A$1:$D$1,0), 1)))),0.5,
 IF($F21="Enabler",0.6,
 IF($I21="EAD N/A",0.8,1))) *  ( ROUNDUP(MAX('Ranking Lookup'!B:B)/5,0) +1 - ROUNDUP(IF(NOT(ISNUMBER(VLOOKUP(A21,'Ranking Lookup'!A:B,2,0))),  MAX('Ranking Lookup'!B:B))/5,0) )</f>
        <v>10.799999999999999</v>
      </c>
      <c r="BK21" s="95"/>
    </row>
    <row r="22" spans="1:63" s="5" customFormat="1" ht="14.4" customHeight="1" x14ac:dyDescent="0.3">
      <c r="A22" s="203">
        <v>1012540</v>
      </c>
      <c r="B22" s="65" t="s">
        <v>1958</v>
      </c>
      <c r="C22" s="98" t="s">
        <v>1866</v>
      </c>
      <c r="D22" s="98" t="s">
        <v>28</v>
      </c>
      <c r="E22" s="65">
        <v>21</v>
      </c>
      <c r="F22" s="99" t="s">
        <v>879</v>
      </c>
      <c r="G22" s="99" t="s">
        <v>2011</v>
      </c>
      <c r="H22" s="64" t="s">
        <v>110</v>
      </c>
      <c r="I22" s="64" t="s">
        <v>38</v>
      </c>
      <c r="J22" s="98" t="s">
        <v>1412</v>
      </c>
      <c r="K22" s="95">
        <v>0</v>
      </c>
      <c r="L22" s="62" t="s">
        <v>946</v>
      </c>
      <c r="M22" s="67" t="s">
        <v>42</v>
      </c>
      <c r="N22" s="67" t="s">
        <v>44</v>
      </c>
      <c r="O22" s="67">
        <v>0</v>
      </c>
      <c r="P22" s="67" t="s">
        <v>1552</v>
      </c>
      <c r="Q22" s="67" t="s">
        <v>36</v>
      </c>
      <c r="R22" s="66">
        <v>1</v>
      </c>
      <c r="S22" s="63">
        <v>0</v>
      </c>
      <c r="T22" s="63">
        <v>0</v>
      </c>
      <c r="U22" s="63">
        <v>0</v>
      </c>
      <c r="V22" s="63">
        <v>0</v>
      </c>
      <c r="W22" s="63">
        <v>0</v>
      </c>
      <c r="X22" s="63">
        <v>0</v>
      </c>
      <c r="Y22" s="63">
        <v>10</v>
      </c>
      <c r="Z22" s="63">
        <v>0</v>
      </c>
      <c r="AA22" s="63">
        <v>0</v>
      </c>
      <c r="AB22" s="63">
        <v>0</v>
      </c>
      <c r="AC22" s="63">
        <v>0</v>
      </c>
      <c r="AD22" s="63">
        <v>0</v>
      </c>
      <c r="AE22" s="63">
        <v>0</v>
      </c>
      <c r="AF22" s="63">
        <v>0</v>
      </c>
      <c r="AG22" s="63">
        <v>0</v>
      </c>
      <c r="AH22" s="63">
        <v>0</v>
      </c>
      <c r="AI22" s="63">
        <v>0</v>
      </c>
      <c r="AJ22" s="63">
        <v>10</v>
      </c>
      <c r="AK22" s="63">
        <v>11</v>
      </c>
      <c r="AL22" s="63" t="s">
        <v>35</v>
      </c>
      <c r="AM22" s="63" t="s">
        <v>36</v>
      </c>
      <c r="AN22" s="149" t="s">
        <v>33</v>
      </c>
      <c r="AO22" s="67" t="str">
        <f>VLOOKUP(A22,'Ranking Lookup'!A:C,3,0)</f>
        <v>Pre PI</v>
      </c>
      <c r="AP22" s="63">
        <f>IFERROR(VLOOKUP($A22,'Ranking Lookup'!$A:$B,2,0),"Unranked")</f>
        <v>20</v>
      </c>
      <c r="AQ22" s="71">
        <f>SUM(S22:AI22,AK22)/E22</f>
        <v>1</v>
      </c>
      <c r="AR22" s="97">
        <f>IF(A22="","",
COUNTIF(EAD_CIs!I:I,"*"&amp;A22&amp;"*"))</f>
        <v>0</v>
      </c>
      <c r="AS22" s="97">
        <f>AS21+T22</f>
        <v>8</v>
      </c>
      <c r="AT22" s="97">
        <f>AT21+U22</f>
        <v>138</v>
      </c>
      <c r="AU22" s="97">
        <f>AU21+V22</f>
        <v>12</v>
      </c>
      <c r="AV22" s="97">
        <f>AV21+W22</f>
        <v>239</v>
      </c>
      <c r="AW22" s="97">
        <f>AW21+X22</f>
        <v>45</v>
      </c>
      <c r="AX22" s="97">
        <f>AX21+Y22</f>
        <v>130</v>
      </c>
      <c r="AY22" s="97">
        <f>AY21+Z22</f>
        <v>16</v>
      </c>
      <c r="AZ22" s="97">
        <f>AZ21+AA22</f>
        <v>80</v>
      </c>
      <c r="BA22" s="97">
        <f>BA21+AB22</f>
        <v>9</v>
      </c>
      <c r="BB22" s="97">
        <f>BB21+AC22</f>
        <v>33</v>
      </c>
      <c r="BC22" s="97">
        <f>BC21+AD22</f>
        <v>86</v>
      </c>
      <c r="BD22" s="97">
        <f>BD21+AE22</f>
        <v>0</v>
      </c>
      <c r="BE22" s="97">
        <f>BE21+AF22</f>
        <v>0</v>
      </c>
      <c r="BF22" s="97">
        <f>BF21+AG22</f>
        <v>30</v>
      </c>
      <c r="BG22" s="97">
        <f>BG21+AH22</f>
        <v>0</v>
      </c>
      <c r="BH22" s="63">
        <f>IF(A22="",0,
COUNTIF(OrphanPWI_CI_Check!A:A,"*"&amp;A22&amp;"*"))</f>
        <v>0</v>
      </c>
      <c r="BI22" s="63">
        <f>IF(NOT(ISERROR(SEARCH("In Progress",   VLOOKUP($A22,$A:$D,MATCH("Planned For",$A$1:$D$1,0), 1)))),0.5,
 IF($F22="Enabler",0.6,
 IF($I22="EAD N/A",0.8,1))) *  ( ROUNDUP(MAX('Ranking Lookup'!B:B)/5,0) +1 - ROUNDUP(IF(NOT(ISNUMBER(VLOOKUP(A22,'Ranking Lookup'!A:B,2,0))),  MAX('Ranking Lookup'!B:B))/5,0) )</f>
        <v>9</v>
      </c>
      <c r="BK22" s="95"/>
    </row>
    <row r="23" spans="1:63" s="5" customFormat="1" ht="14.4" customHeight="1" x14ac:dyDescent="0.3">
      <c r="A23" s="203">
        <v>1011441</v>
      </c>
      <c r="B23" s="65" t="s">
        <v>1965</v>
      </c>
      <c r="C23" s="98" t="s">
        <v>1866</v>
      </c>
      <c r="D23" s="98" t="s">
        <v>28</v>
      </c>
      <c r="E23" s="65">
        <v>11</v>
      </c>
      <c r="F23" s="64" t="s">
        <v>879</v>
      </c>
      <c r="G23" s="99" t="s">
        <v>1925</v>
      </c>
      <c r="H23" s="64" t="s">
        <v>110</v>
      </c>
      <c r="I23" s="64" t="s">
        <v>38</v>
      </c>
      <c r="J23" s="98" t="s">
        <v>1412</v>
      </c>
      <c r="K23" s="95">
        <v>0</v>
      </c>
      <c r="L23" s="62" t="s">
        <v>946</v>
      </c>
      <c r="M23" s="67" t="s">
        <v>42</v>
      </c>
      <c r="N23" s="67" t="s">
        <v>44</v>
      </c>
      <c r="O23" s="67">
        <v>0</v>
      </c>
      <c r="P23" s="67" t="s">
        <v>1552</v>
      </c>
      <c r="Q23" s="67" t="s">
        <v>36</v>
      </c>
      <c r="R23" s="66">
        <v>1</v>
      </c>
      <c r="S23" s="63">
        <v>0</v>
      </c>
      <c r="T23" s="63">
        <v>0</v>
      </c>
      <c r="U23" s="63">
        <v>0</v>
      </c>
      <c r="V23" s="63">
        <v>0</v>
      </c>
      <c r="W23" s="63">
        <v>0</v>
      </c>
      <c r="X23" s="63">
        <v>0</v>
      </c>
      <c r="Y23" s="63">
        <v>7</v>
      </c>
      <c r="Z23" s="63">
        <v>0</v>
      </c>
      <c r="AA23" s="63">
        <v>0</v>
      </c>
      <c r="AB23" s="63">
        <v>0</v>
      </c>
      <c r="AC23" s="63">
        <v>0</v>
      </c>
      <c r="AD23" s="63">
        <v>0</v>
      </c>
      <c r="AE23" s="63">
        <v>0</v>
      </c>
      <c r="AF23" s="63">
        <v>0</v>
      </c>
      <c r="AG23" s="63">
        <v>0</v>
      </c>
      <c r="AH23" s="63">
        <v>0</v>
      </c>
      <c r="AI23" s="63">
        <v>0</v>
      </c>
      <c r="AJ23" s="63">
        <v>7</v>
      </c>
      <c r="AK23" s="63">
        <v>0</v>
      </c>
      <c r="AL23" s="63" t="s">
        <v>35</v>
      </c>
      <c r="AM23" s="63" t="s">
        <v>36</v>
      </c>
      <c r="AN23" s="149" t="s">
        <v>33</v>
      </c>
      <c r="AO23" s="67" t="str">
        <f>VLOOKUP(A23,'Ranking Lookup'!A:C,3,0)</f>
        <v>Pre PI</v>
      </c>
      <c r="AP23" s="63">
        <f>IFERROR(VLOOKUP($A23,'Ranking Lookup'!$A:$B,2,0),"Unranked")</f>
        <v>21</v>
      </c>
      <c r="AQ23" s="71">
        <f>SUM(S23:AI23,AK23)/E23</f>
        <v>0.63636363636363635</v>
      </c>
      <c r="AR23" s="97">
        <f>IF(A23="","",
COUNTIF(EAD_CIs!I:I,"*"&amp;A23&amp;"*"))</f>
        <v>1</v>
      </c>
      <c r="AS23" s="97">
        <f>AS22+T23</f>
        <v>8</v>
      </c>
      <c r="AT23" s="97">
        <f>AT22+U23</f>
        <v>138</v>
      </c>
      <c r="AU23" s="97">
        <f>AU22+V23</f>
        <v>12</v>
      </c>
      <c r="AV23" s="97">
        <f>AV22+W23</f>
        <v>239</v>
      </c>
      <c r="AW23" s="97">
        <f>AW22+X23</f>
        <v>45</v>
      </c>
      <c r="AX23" s="97">
        <f>AX22+Y23</f>
        <v>137</v>
      </c>
      <c r="AY23" s="97">
        <f>AY22+Z23</f>
        <v>16</v>
      </c>
      <c r="AZ23" s="97">
        <f>AZ22+AA23</f>
        <v>80</v>
      </c>
      <c r="BA23" s="97">
        <f>BA22+AB23</f>
        <v>9</v>
      </c>
      <c r="BB23" s="97">
        <f>BB22+AC23</f>
        <v>33</v>
      </c>
      <c r="BC23" s="97">
        <f>BC22+AD23</f>
        <v>86</v>
      </c>
      <c r="BD23" s="97">
        <f>BD22+AE23</f>
        <v>0</v>
      </c>
      <c r="BE23" s="97">
        <f>BE22+AF23</f>
        <v>0</v>
      </c>
      <c r="BF23" s="97">
        <f>BF22+AG23</f>
        <v>30</v>
      </c>
      <c r="BG23" s="97">
        <f>BG22+AH23</f>
        <v>0</v>
      </c>
      <c r="BH23" s="63">
        <f>IF(A23="",0,
COUNTIF(OrphanPWI_CI_Check!A:A,"*"&amp;A23&amp;"*"))</f>
        <v>0</v>
      </c>
      <c r="BI23" s="63">
        <f>IF(NOT(ISERROR(SEARCH("In Progress",   VLOOKUP($A23,$A:$D,MATCH("Planned For",$A$1:$D$1,0), 1)))),0.5,
 IF($F23="Enabler",0.6,
 IF($I23="EAD N/A",0.8,1))) *  ( ROUNDUP(MAX('Ranking Lookup'!B:B)/5,0) +1 - ROUNDUP(IF(NOT(ISNUMBER(VLOOKUP(A23,'Ranking Lookup'!A:B,2,0))),  MAX('Ranking Lookup'!B:B))/5,0) )</f>
        <v>14.4</v>
      </c>
      <c r="BK23" s="95"/>
    </row>
    <row r="24" spans="1:63" s="5" customFormat="1" ht="14.4" customHeight="1" x14ac:dyDescent="0.3">
      <c r="A24" s="203">
        <v>1012485</v>
      </c>
      <c r="B24" s="65" t="s">
        <v>1924</v>
      </c>
      <c r="C24" s="98" t="s">
        <v>1866</v>
      </c>
      <c r="D24" s="98" t="s">
        <v>28</v>
      </c>
      <c r="E24" s="65">
        <v>22</v>
      </c>
      <c r="F24" s="99" t="s">
        <v>879</v>
      </c>
      <c r="G24" s="99" t="s">
        <v>2012</v>
      </c>
      <c r="H24" s="64" t="s">
        <v>548</v>
      </c>
      <c r="I24" s="64" t="s">
        <v>38</v>
      </c>
      <c r="J24" s="98" t="s">
        <v>1414</v>
      </c>
      <c r="K24" s="95">
        <v>0</v>
      </c>
      <c r="L24" s="62" t="s">
        <v>945</v>
      </c>
      <c r="M24" s="67" t="s">
        <v>42</v>
      </c>
      <c r="N24" s="67" t="s">
        <v>44</v>
      </c>
      <c r="O24" s="67">
        <v>0</v>
      </c>
      <c r="P24" s="67" t="s">
        <v>1552</v>
      </c>
      <c r="Q24" s="67" t="s">
        <v>36</v>
      </c>
      <c r="R24" s="66">
        <v>1</v>
      </c>
      <c r="S24" s="63">
        <v>0</v>
      </c>
      <c r="T24" s="63">
        <v>0</v>
      </c>
      <c r="U24" s="63">
        <v>0</v>
      </c>
      <c r="V24" s="63">
        <v>10</v>
      </c>
      <c r="W24" s="63">
        <v>0</v>
      </c>
      <c r="X24" s="63">
        <v>0</v>
      </c>
      <c r="Y24" s="63">
        <v>0</v>
      </c>
      <c r="Z24" s="63">
        <v>0</v>
      </c>
      <c r="AA24" s="63">
        <v>0</v>
      </c>
      <c r="AB24" s="63">
        <v>0</v>
      </c>
      <c r="AC24" s="63">
        <v>0</v>
      </c>
      <c r="AD24" s="63">
        <v>0</v>
      </c>
      <c r="AE24" s="63">
        <v>0</v>
      </c>
      <c r="AF24" s="63">
        <v>0</v>
      </c>
      <c r="AG24" s="63">
        <v>0</v>
      </c>
      <c r="AH24" s="63">
        <v>0</v>
      </c>
      <c r="AI24" s="63">
        <v>0</v>
      </c>
      <c r="AJ24" s="63">
        <v>10</v>
      </c>
      <c r="AK24" s="63">
        <v>0</v>
      </c>
      <c r="AL24" s="63" t="s">
        <v>35</v>
      </c>
      <c r="AM24" s="63" t="s">
        <v>36</v>
      </c>
      <c r="AN24" s="149" t="s">
        <v>33</v>
      </c>
      <c r="AO24" s="67" t="str">
        <f>VLOOKUP(A24,'Ranking Lookup'!A:C,3,0)</f>
        <v>Pre PI</v>
      </c>
      <c r="AP24" s="63">
        <f>IFERROR(VLOOKUP($A24,'Ranking Lookup'!$A:$B,2,0),"Unranked")</f>
        <v>22</v>
      </c>
      <c r="AQ24" s="71">
        <f>SUM(S24:AI24,AK24)/E24</f>
        <v>0.45454545454545453</v>
      </c>
      <c r="AR24" s="97">
        <f>IF(A24="","",
COUNTIF(EAD_CIs!I:I,"*"&amp;A24&amp;"*"))</f>
        <v>1</v>
      </c>
      <c r="AS24" s="97">
        <f>AS23+T24</f>
        <v>8</v>
      </c>
      <c r="AT24" s="97">
        <f>AT23+U24</f>
        <v>138</v>
      </c>
      <c r="AU24" s="97">
        <f>AU23+V24</f>
        <v>22</v>
      </c>
      <c r="AV24" s="97">
        <f>AV23+W24</f>
        <v>239</v>
      </c>
      <c r="AW24" s="97">
        <f>AW23+X24</f>
        <v>45</v>
      </c>
      <c r="AX24" s="97">
        <f>AX23+Y24</f>
        <v>137</v>
      </c>
      <c r="AY24" s="97">
        <f>AY23+Z24</f>
        <v>16</v>
      </c>
      <c r="AZ24" s="97">
        <f>AZ23+AA24</f>
        <v>80</v>
      </c>
      <c r="BA24" s="97">
        <f>BA23+AB24</f>
        <v>9</v>
      </c>
      <c r="BB24" s="97">
        <f>BB23+AC24</f>
        <v>33</v>
      </c>
      <c r="BC24" s="97">
        <f>BC23+AD24</f>
        <v>86</v>
      </c>
      <c r="BD24" s="97">
        <f>BD23+AE24</f>
        <v>0</v>
      </c>
      <c r="BE24" s="97">
        <f>BE23+AF24</f>
        <v>0</v>
      </c>
      <c r="BF24" s="97">
        <f>BF23+AG24</f>
        <v>30</v>
      </c>
      <c r="BG24" s="97">
        <f>BG23+AH24</f>
        <v>0</v>
      </c>
      <c r="BH24" s="63">
        <f>IF(A24="",0,
COUNTIF(OrphanPWI_CI_Check!A:A,"*"&amp;A24&amp;"*"))</f>
        <v>0</v>
      </c>
      <c r="BI24" s="63">
        <f>IF(NOT(ISERROR(SEARCH("In Progress",   VLOOKUP($A24,$A:$D,MATCH("Planned For",$A$1:$D$1,0), 1)))),0.5,
 IF($F24="Enabler",0.6,
 IF($I24="EAD N/A",0.8,1))) *  ( ROUNDUP(MAX('Ranking Lookup'!B:B)/5,0) +1 - ROUNDUP(IF(NOT(ISNUMBER(VLOOKUP(A24,'Ranking Lookup'!A:B,2,0))),  MAX('Ranking Lookup'!B:B))/5,0) )</f>
        <v>9</v>
      </c>
      <c r="BK24" s="95"/>
    </row>
    <row r="25" spans="1:63" s="5" customFormat="1" ht="14.4" customHeight="1" x14ac:dyDescent="0.3">
      <c r="A25" s="203">
        <v>1011394</v>
      </c>
      <c r="B25" s="65" t="s">
        <v>2346</v>
      </c>
      <c r="C25" s="98" t="s">
        <v>1842</v>
      </c>
      <c r="D25" s="98" t="s">
        <v>28</v>
      </c>
      <c r="E25" s="65">
        <v>10</v>
      </c>
      <c r="F25" s="99" t="s">
        <v>879</v>
      </c>
      <c r="G25" s="99" t="s">
        <v>1551</v>
      </c>
      <c r="H25" s="64" t="s">
        <v>110</v>
      </c>
      <c r="I25" s="64" t="s">
        <v>38</v>
      </c>
      <c r="J25" s="98" t="s">
        <v>1414</v>
      </c>
      <c r="K25" s="95">
        <v>0</v>
      </c>
      <c r="L25" s="62" t="s">
        <v>946</v>
      </c>
      <c r="M25" s="67" t="s">
        <v>42</v>
      </c>
      <c r="N25" s="67" t="s">
        <v>44</v>
      </c>
      <c r="O25" s="67">
        <v>0</v>
      </c>
      <c r="P25" s="67" t="s">
        <v>1552</v>
      </c>
      <c r="Q25" s="67" t="s">
        <v>36</v>
      </c>
      <c r="R25" s="66">
        <v>1</v>
      </c>
      <c r="S25" s="63">
        <v>0</v>
      </c>
      <c r="T25" s="63">
        <v>0</v>
      </c>
      <c r="U25" s="63">
        <v>0</v>
      </c>
      <c r="V25" s="63">
        <v>0</v>
      </c>
      <c r="W25" s="63">
        <v>0</v>
      </c>
      <c r="X25" s="63">
        <v>0</v>
      </c>
      <c r="Y25" s="63">
        <v>10</v>
      </c>
      <c r="Z25" s="63">
        <v>0</v>
      </c>
      <c r="AA25" s="63">
        <v>0</v>
      </c>
      <c r="AB25" s="63">
        <v>0</v>
      </c>
      <c r="AC25" s="63">
        <v>0</v>
      </c>
      <c r="AD25" s="63">
        <v>0</v>
      </c>
      <c r="AE25" s="63">
        <v>0</v>
      </c>
      <c r="AF25" s="63">
        <v>0</v>
      </c>
      <c r="AG25" s="63">
        <v>0</v>
      </c>
      <c r="AH25" s="63">
        <v>0</v>
      </c>
      <c r="AI25" s="63">
        <v>0</v>
      </c>
      <c r="AJ25" s="63">
        <v>10</v>
      </c>
      <c r="AK25" s="63">
        <v>0</v>
      </c>
      <c r="AL25" s="63" t="s">
        <v>35</v>
      </c>
      <c r="AM25" s="63" t="s">
        <v>36</v>
      </c>
      <c r="AN25" s="149" t="s">
        <v>40</v>
      </c>
      <c r="AO25" s="67" t="str">
        <f>VLOOKUP(A25,'Ranking Lookup'!A:C,3,0)</f>
        <v>Pre PI</v>
      </c>
      <c r="AP25" s="63">
        <f>IFERROR(VLOOKUP($A25,'Ranking Lookup'!$A:$B,2,0),"Unranked")</f>
        <v>23</v>
      </c>
      <c r="AQ25" s="71">
        <f>SUM(S25:AI25,AK25)/E25</f>
        <v>1</v>
      </c>
      <c r="AR25" s="97">
        <f>IF(A25="","",
COUNTIF(EAD_CIs!I:I,"*"&amp;A25&amp;"*"))</f>
        <v>0</v>
      </c>
      <c r="AS25" s="97">
        <f>AS24+T25</f>
        <v>8</v>
      </c>
      <c r="AT25" s="97">
        <f>AT24+U25</f>
        <v>138</v>
      </c>
      <c r="AU25" s="97">
        <f>AU24+V25</f>
        <v>22</v>
      </c>
      <c r="AV25" s="97">
        <f>AV24+W25</f>
        <v>239</v>
      </c>
      <c r="AW25" s="97">
        <f>AW24+X25</f>
        <v>45</v>
      </c>
      <c r="AX25" s="97">
        <f>AX24+Y25</f>
        <v>147</v>
      </c>
      <c r="AY25" s="97">
        <f>AY24+Z25</f>
        <v>16</v>
      </c>
      <c r="AZ25" s="97">
        <f>AZ24+AA25</f>
        <v>80</v>
      </c>
      <c r="BA25" s="97">
        <f>BA24+AB25</f>
        <v>9</v>
      </c>
      <c r="BB25" s="97">
        <f>BB24+AC25</f>
        <v>33</v>
      </c>
      <c r="BC25" s="97">
        <f>BC24+AD25</f>
        <v>86</v>
      </c>
      <c r="BD25" s="97">
        <f>BD24+AE25</f>
        <v>0</v>
      </c>
      <c r="BE25" s="97">
        <f>BE24+AF25</f>
        <v>0</v>
      </c>
      <c r="BF25" s="97">
        <f>BF24+AG25</f>
        <v>30</v>
      </c>
      <c r="BG25" s="97">
        <f>BG24+AH25</f>
        <v>0</v>
      </c>
      <c r="BH25" s="63">
        <f>IF(A25="",0,
COUNTIF(OrphanPWI_CI_Check!A:A,"*"&amp;A25&amp;"*"))</f>
        <v>0</v>
      </c>
      <c r="BI25" s="63">
        <f>IF(NOT(ISERROR(SEARCH("In Progress",   VLOOKUP($A25,$A:$D,MATCH("Planned For",$A$1:$D$1,0), 1)))),0.5,
 IF($F25="Enabler",0.6,
 IF($I25="EAD N/A",0.8,1))) *  ( ROUNDUP(MAX('Ranking Lookup'!B:B)/5,0) +1 - ROUNDUP(IF(NOT(ISNUMBER(VLOOKUP(A25,'Ranking Lookup'!A:B,2,0))),  MAX('Ranking Lookup'!B:B))/5,0) )</f>
        <v>14.4</v>
      </c>
      <c r="BK25" s="95"/>
    </row>
    <row r="26" spans="1:63" s="5" customFormat="1" ht="14.4" customHeight="1" x14ac:dyDescent="0.3">
      <c r="A26" s="203">
        <v>1010653</v>
      </c>
      <c r="B26" s="65" t="s">
        <v>1841</v>
      </c>
      <c r="C26" s="98" t="s">
        <v>1842</v>
      </c>
      <c r="D26" s="98" t="s">
        <v>28</v>
      </c>
      <c r="E26" s="65">
        <v>6</v>
      </c>
      <c r="F26" s="99" t="s">
        <v>41</v>
      </c>
      <c r="G26" s="99" t="s">
        <v>1926</v>
      </c>
      <c r="H26" s="64" t="s">
        <v>548</v>
      </c>
      <c r="I26" s="64" t="s">
        <v>38</v>
      </c>
      <c r="J26" s="98" t="s">
        <v>1414</v>
      </c>
      <c r="K26" s="95">
        <v>0</v>
      </c>
      <c r="L26" s="62" t="s">
        <v>945</v>
      </c>
      <c r="M26" s="67" t="s">
        <v>42</v>
      </c>
      <c r="N26" s="67" t="s">
        <v>44</v>
      </c>
      <c r="O26" s="67">
        <v>0</v>
      </c>
      <c r="P26" s="67" t="s">
        <v>1552</v>
      </c>
      <c r="Q26" s="67" t="s">
        <v>36</v>
      </c>
      <c r="R26" s="66">
        <v>1</v>
      </c>
      <c r="S26" s="63">
        <v>0</v>
      </c>
      <c r="T26" s="63">
        <v>0</v>
      </c>
      <c r="U26" s="63">
        <v>0</v>
      </c>
      <c r="V26" s="63">
        <v>6</v>
      </c>
      <c r="W26" s="63">
        <v>0</v>
      </c>
      <c r="X26" s="63">
        <v>0</v>
      </c>
      <c r="Y26" s="63">
        <v>0</v>
      </c>
      <c r="Z26" s="63">
        <v>0</v>
      </c>
      <c r="AA26" s="63">
        <v>0</v>
      </c>
      <c r="AB26" s="63">
        <v>0</v>
      </c>
      <c r="AC26" s="63">
        <v>0</v>
      </c>
      <c r="AD26" s="63">
        <v>0</v>
      </c>
      <c r="AE26" s="63">
        <v>0</v>
      </c>
      <c r="AF26" s="63">
        <v>0</v>
      </c>
      <c r="AG26" s="63">
        <v>0</v>
      </c>
      <c r="AH26" s="63">
        <v>0</v>
      </c>
      <c r="AI26" s="63">
        <v>0</v>
      </c>
      <c r="AJ26" s="63">
        <v>6</v>
      </c>
      <c r="AK26" s="63">
        <v>0</v>
      </c>
      <c r="AL26" s="63" t="s">
        <v>35</v>
      </c>
      <c r="AM26" s="63" t="s">
        <v>36</v>
      </c>
      <c r="AN26" s="149" t="s">
        <v>40</v>
      </c>
      <c r="AO26" s="67" t="str">
        <f>VLOOKUP(A26,'Ranking Lookup'!A:C,3,0)</f>
        <v>Pre PI</v>
      </c>
      <c r="AP26" s="63">
        <f>IFERROR(VLOOKUP($A26,'Ranking Lookup'!$A:$B,2,0),"Unranked")</f>
        <v>24</v>
      </c>
      <c r="AQ26" s="71">
        <f>SUM(S26:AI26,AK26)/E26</f>
        <v>1</v>
      </c>
      <c r="AR26" s="97">
        <f>IF(A26="","",
COUNTIF(EAD_CIs!I:I,"*"&amp;A26&amp;"*"))</f>
        <v>0</v>
      </c>
      <c r="AS26" s="97">
        <f>AS25+T26</f>
        <v>8</v>
      </c>
      <c r="AT26" s="97">
        <f>AT25+U26</f>
        <v>138</v>
      </c>
      <c r="AU26" s="97">
        <f>AU25+V26</f>
        <v>28</v>
      </c>
      <c r="AV26" s="97">
        <f>AV25+W26</f>
        <v>239</v>
      </c>
      <c r="AW26" s="97">
        <f>AW25+X26</f>
        <v>45</v>
      </c>
      <c r="AX26" s="97">
        <f>AX25+Y26</f>
        <v>147</v>
      </c>
      <c r="AY26" s="97">
        <f>AY25+Z26</f>
        <v>16</v>
      </c>
      <c r="AZ26" s="97">
        <f>AZ25+AA26</f>
        <v>80</v>
      </c>
      <c r="BA26" s="97">
        <f>BA25+AB26</f>
        <v>9</v>
      </c>
      <c r="BB26" s="97">
        <f>BB25+AC26</f>
        <v>33</v>
      </c>
      <c r="BC26" s="97">
        <f>BC25+AD26</f>
        <v>86</v>
      </c>
      <c r="BD26" s="97">
        <f>BD25+AE26</f>
        <v>0</v>
      </c>
      <c r="BE26" s="97">
        <f>BE25+AF26</f>
        <v>0</v>
      </c>
      <c r="BF26" s="97">
        <f>BF25+AG26</f>
        <v>30</v>
      </c>
      <c r="BG26" s="97">
        <f>BG25+AH26</f>
        <v>0</v>
      </c>
      <c r="BH26" s="63">
        <f>IF(A26="",0,
COUNTIF(OrphanPWI_CI_Check!A:A,"*"&amp;A26&amp;"*"))</f>
        <v>0</v>
      </c>
      <c r="BI26" s="63">
        <f>IF(NOT(ISERROR(SEARCH("In Progress",   VLOOKUP($A26,$A:$D,MATCH("Planned For",$A$1:$D$1,0), 1)))),0.5,
 IF($F26="Enabler",0.6,
 IF($I26="EAD N/A",0.8,1))) *  ( ROUNDUP(MAX('Ranking Lookup'!B:B)/5,0) +1 - ROUNDUP(IF(NOT(ISNUMBER(VLOOKUP(A26,'Ranking Lookup'!A:B,2,0))),  MAX('Ranking Lookup'!B:B))/5,0) )</f>
        <v>10.799999999999999</v>
      </c>
      <c r="BK26" s="95"/>
    </row>
    <row r="27" spans="1:63" s="5" customFormat="1" ht="14.4" customHeight="1" x14ac:dyDescent="0.3">
      <c r="A27" s="203">
        <v>1002477</v>
      </c>
      <c r="B27" s="65" t="s">
        <v>1413</v>
      </c>
      <c r="C27" s="98" t="s">
        <v>2250</v>
      </c>
      <c r="D27" s="98" t="s">
        <v>28</v>
      </c>
      <c r="E27" s="65">
        <v>14</v>
      </c>
      <c r="F27" s="99" t="s">
        <v>879</v>
      </c>
      <c r="G27" s="99" t="s">
        <v>1836</v>
      </c>
      <c r="H27" s="64" t="s">
        <v>548</v>
      </c>
      <c r="I27" s="64" t="s">
        <v>38</v>
      </c>
      <c r="J27" s="98" t="s">
        <v>1414</v>
      </c>
      <c r="K27" s="95">
        <v>0</v>
      </c>
      <c r="L27" s="62" t="s">
        <v>945</v>
      </c>
      <c r="M27" s="67" t="s">
        <v>42</v>
      </c>
      <c r="N27" s="67" t="s">
        <v>44</v>
      </c>
      <c r="O27" s="67">
        <v>0</v>
      </c>
      <c r="P27" s="67" t="s">
        <v>1552</v>
      </c>
      <c r="Q27" s="67" t="s">
        <v>36</v>
      </c>
      <c r="R27" s="66">
        <v>1</v>
      </c>
      <c r="S27" s="63">
        <v>0</v>
      </c>
      <c r="T27" s="63">
        <v>0</v>
      </c>
      <c r="U27" s="63">
        <v>0</v>
      </c>
      <c r="V27" s="63">
        <v>14</v>
      </c>
      <c r="W27" s="63">
        <v>0</v>
      </c>
      <c r="X27" s="63">
        <v>0</v>
      </c>
      <c r="Y27" s="63">
        <v>0</v>
      </c>
      <c r="Z27" s="63">
        <v>0</v>
      </c>
      <c r="AA27" s="63">
        <v>0</v>
      </c>
      <c r="AB27" s="63">
        <v>0</v>
      </c>
      <c r="AC27" s="63">
        <v>0</v>
      </c>
      <c r="AD27" s="63">
        <v>0</v>
      </c>
      <c r="AE27" s="63">
        <v>0</v>
      </c>
      <c r="AF27" s="63">
        <v>0</v>
      </c>
      <c r="AG27" s="63">
        <v>0</v>
      </c>
      <c r="AH27" s="63">
        <v>0</v>
      </c>
      <c r="AI27" s="63">
        <v>0</v>
      </c>
      <c r="AJ27" s="63">
        <v>14</v>
      </c>
      <c r="AK27" s="63">
        <v>0</v>
      </c>
      <c r="AL27" s="63" t="s">
        <v>35</v>
      </c>
      <c r="AM27" s="63" t="s">
        <v>36</v>
      </c>
      <c r="AN27" s="149" t="s">
        <v>40</v>
      </c>
      <c r="AO27" s="67" t="str">
        <f>VLOOKUP(A27,'Ranking Lookup'!A:C,3,0)</f>
        <v>Pre PI</v>
      </c>
      <c r="AP27" s="63">
        <f>IFERROR(VLOOKUP($A27,'Ranking Lookup'!$A:$B,2,0),"Unranked")</f>
        <v>25</v>
      </c>
      <c r="AQ27" s="71">
        <f>SUM(S27:AI27,AK27)/E27</f>
        <v>1</v>
      </c>
      <c r="AR27" s="97">
        <f>IF(A27="","",
COUNTIF(EAD_CIs!I:I,"*"&amp;A27&amp;"*"))</f>
        <v>0</v>
      </c>
      <c r="AS27" s="97">
        <f>AS26+T27</f>
        <v>8</v>
      </c>
      <c r="AT27" s="97">
        <f>AT26+U27</f>
        <v>138</v>
      </c>
      <c r="AU27" s="97">
        <f>AU26+V27</f>
        <v>42</v>
      </c>
      <c r="AV27" s="97">
        <f>AV26+W27</f>
        <v>239</v>
      </c>
      <c r="AW27" s="97">
        <f>AW26+X27</f>
        <v>45</v>
      </c>
      <c r="AX27" s="97">
        <f>AX26+Y27</f>
        <v>147</v>
      </c>
      <c r="AY27" s="97">
        <f>AY26+Z27</f>
        <v>16</v>
      </c>
      <c r="AZ27" s="97">
        <f>AZ26+AA27</f>
        <v>80</v>
      </c>
      <c r="BA27" s="97">
        <f>BA26+AB27</f>
        <v>9</v>
      </c>
      <c r="BB27" s="97">
        <f>BB26+AC27</f>
        <v>33</v>
      </c>
      <c r="BC27" s="97">
        <f>BC26+AD27</f>
        <v>86</v>
      </c>
      <c r="BD27" s="97">
        <f>BD26+AE27</f>
        <v>0</v>
      </c>
      <c r="BE27" s="97">
        <f>BE26+AF27</f>
        <v>0</v>
      </c>
      <c r="BF27" s="97">
        <f>BF26+AG27</f>
        <v>30</v>
      </c>
      <c r="BG27" s="97">
        <f>BG26+AH27</f>
        <v>0</v>
      </c>
      <c r="BH27" s="63">
        <f>IF(A27="",0,
COUNTIF(OrphanPWI_CI_Check!A:A,"*"&amp;A27&amp;"*"))</f>
        <v>0</v>
      </c>
      <c r="BI27" s="63">
        <f>IF(NOT(ISERROR(SEARCH("In Progress",   VLOOKUP($A27,$A:$D,MATCH("Planned For",$A$1:$D$1,0), 1)))),0.5,
 IF($F27="Enabler",0.6,
 IF($I27="EAD N/A",0.8,1))) *  ( ROUNDUP(MAX('Ranking Lookup'!B:B)/5,0) +1 - ROUNDUP(IF(NOT(ISNUMBER(VLOOKUP(A27,'Ranking Lookup'!A:B,2,0))),  MAX('Ranking Lookup'!B:B))/5,0) )</f>
        <v>14.4</v>
      </c>
    </row>
    <row r="28" spans="1:63" s="5" customFormat="1" ht="14.4" customHeight="1" x14ac:dyDescent="0.3">
      <c r="A28" s="203">
        <v>342054</v>
      </c>
      <c r="B28" s="65" t="s">
        <v>2009</v>
      </c>
      <c r="C28" s="98" t="s">
        <v>1866</v>
      </c>
      <c r="D28" s="98" t="s">
        <v>106</v>
      </c>
      <c r="E28" s="65">
        <v>93</v>
      </c>
      <c r="F28" s="99" t="s">
        <v>880</v>
      </c>
      <c r="G28" s="99" t="s">
        <v>2325</v>
      </c>
      <c r="H28" s="64" t="s">
        <v>1391</v>
      </c>
      <c r="I28" s="64" t="s">
        <v>1869</v>
      </c>
      <c r="J28" s="98" t="s">
        <v>1412</v>
      </c>
      <c r="K28" s="203">
        <v>347074</v>
      </c>
      <c r="L28" s="62" t="s">
        <v>943</v>
      </c>
      <c r="M28" s="67" t="s">
        <v>31</v>
      </c>
      <c r="N28" s="67" t="s">
        <v>32</v>
      </c>
      <c r="O28" s="67">
        <v>5</v>
      </c>
      <c r="P28" s="67" t="s">
        <v>133</v>
      </c>
      <c r="Q28" s="67" t="s">
        <v>1761</v>
      </c>
      <c r="R28" s="66">
        <v>3</v>
      </c>
      <c r="S28" s="63">
        <v>27</v>
      </c>
      <c r="T28" s="63">
        <v>0</v>
      </c>
      <c r="U28" s="63">
        <v>0</v>
      </c>
      <c r="V28" s="63">
        <v>3</v>
      </c>
      <c r="W28" s="63">
        <v>16</v>
      </c>
      <c r="X28" s="63">
        <v>27</v>
      </c>
      <c r="Y28" s="63">
        <v>0</v>
      </c>
      <c r="Z28" s="63">
        <v>0</v>
      </c>
      <c r="AA28" s="63">
        <v>0</v>
      </c>
      <c r="AB28" s="63">
        <v>0</v>
      </c>
      <c r="AC28" s="63">
        <v>0</v>
      </c>
      <c r="AD28" s="63">
        <v>0</v>
      </c>
      <c r="AE28" s="63">
        <v>0</v>
      </c>
      <c r="AF28" s="63">
        <v>0</v>
      </c>
      <c r="AG28" s="63">
        <v>0</v>
      </c>
      <c r="AH28" s="63">
        <v>0</v>
      </c>
      <c r="AI28" s="63">
        <v>0</v>
      </c>
      <c r="AJ28" s="63">
        <v>46</v>
      </c>
      <c r="AK28" s="63">
        <v>39</v>
      </c>
      <c r="AL28" s="63" t="s">
        <v>35</v>
      </c>
      <c r="AM28" s="63" t="s">
        <v>854</v>
      </c>
      <c r="AN28" s="149" t="s">
        <v>33</v>
      </c>
      <c r="AO28" s="67" t="str">
        <f>VLOOKUP(A28,'Ranking Lookup'!A:C,3,0)</f>
        <v>Pre PI</v>
      </c>
      <c r="AP28" s="63">
        <f>IFERROR(VLOOKUP($A28,'Ranking Lookup'!$A:$B,2,0),"Unranked")</f>
        <v>26</v>
      </c>
      <c r="AQ28" s="71">
        <f>SUM(S28:AI28,AK28)/E28</f>
        <v>1.2043010752688172</v>
      </c>
      <c r="AR28" s="97">
        <f>IF(A28="","",
COUNTIF(EAD_CIs!I:I,"*"&amp;A28&amp;"*"))</f>
        <v>19</v>
      </c>
      <c r="AS28" s="97">
        <f>AS27+T28</f>
        <v>8</v>
      </c>
      <c r="AT28" s="97">
        <f>AT27+U28</f>
        <v>138</v>
      </c>
      <c r="AU28" s="97">
        <f>AU27+V28</f>
        <v>45</v>
      </c>
      <c r="AV28" s="97">
        <f>AV27+W28</f>
        <v>255</v>
      </c>
      <c r="AW28" s="97">
        <f>AW27+X28</f>
        <v>72</v>
      </c>
      <c r="AX28" s="97">
        <f>AX27+Y28</f>
        <v>147</v>
      </c>
      <c r="AY28" s="97">
        <f>AY27+Z28</f>
        <v>16</v>
      </c>
      <c r="AZ28" s="97">
        <f>AZ27+AA28</f>
        <v>80</v>
      </c>
      <c r="BA28" s="97">
        <f>BA27+AB28</f>
        <v>9</v>
      </c>
      <c r="BB28" s="97">
        <f>BB27+AC28</f>
        <v>33</v>
      </c>
      <c r="BC28" s="97">
        <f>BC27+AD28</f>
        <v>86</v>
      </c>
      <c r="BD28" s="97">
        <f>BD27+AE28</f>
        <v>0</v>
      </c>
      <c r="BE28" s="97">
        <f>BE27+AF28</f>
        <v>0</v>
      </c>
      <c r="BF28" s="97">
        <f>BF27+AG28</f>
        <v>30</v>
      </c>
      <c r="BG28" s="97">
        <f>BG27+AH28</f>
        <v>0</v>
      </c>
      <c r="BH28" s="63">
        <f>IF(A28="",0,
COUNTIF(OrphanPWI_CI_Check!A:A,"*"&amp;A28&amp;"*"))</f>
        <v>63</v>
      </c>
      <c r="BI28" s="63">
        <f>IF(NOT(ISERROR(SEARCH("In Progress",   VLOOKUP($A28,$A:$D,MATCH("Planned For",$A$1:$D$1,0), 1)))),0.5,
 IF($F28="Enabler",0.6,
 IF($I28="EAD N/A",0.8,1))) *  ( ROUNDUP(MAX('Ranking Lookup'!B:B)/5,0) +1 - ROUNDUP(IF(NOT(ISNUMBER(VLOOKUP(A28,'Ranking Lookup'!A:B,2,0))),  MAX('Ranking Lookup'!B:B))/5,0) )</f>
        <v>18</v>
      </c>
      <c r="BK28" s="95"/>
    </row>
    <row r="29" spans="1:63" s="5" customFormat="1" ht="14.4" customHeight="1" x14ac:dyDescent="0.3">
      <c r="A29" s="203">
        <v>1006376</v>
      </c>
      <c r="B29" s="65" t="s">
        <v>1530</v>
      </c>
      <c r="C29" s="98" t="s">
        <v>972</v>
      </c>
      <c r="D29" s="98" t="s">
        <v>106</v>
      </c>
      <c r="E29" s="65">
        <v>38</v>
      </c>
      <c r="F29" s="99" t="s">
        <v>880</v>
      </c>
      <c r="G29" s="99" t="s">
        <v>2349</v>
      </c>
      <c r="H29" s="64" t="s">
        <v>1514</v>
      </c>
      <c r="I29" s="64" t="s">
        <v>939</v>
      </c>
      <c r="J29" s="98" t="s">
        <v>1412</v>
      </c>
      <c r="K29" s="203">
        <v>340740</v>
      </c>
      <c r="L29" s="62" t="s">
        <v>554</v>
      </c>
      <c r="M29" s="67" t="s">
        <v>34</v>
      </c>
      <c r="N29" s="67" t="s">
        <v>55</v>
      </c>
      <c r="O29" s="67">
        <v>2</v>
      </c>
      <c r="P29" s="67" t="s">
        <v>131</v>
      </c>
      <c r="Q29" s="67" t="s">
        <v>1761</v>
      </c>
      <c r="R29" s="66">
        <v>1</v>
      </c>
      <c r="S29" s="63">
        <v>19</v>
      </c>
      <c r="T29" s="63">
        <v>0</v>
      </c>
      <c r="U29" s="63">
        <v>0</v>
      </c>
      <c r="V29" s="63">
        <v>0</v>
      </c>
      <c r="W29" s="63">
        <v>0</v>
      </c>
      <c r="X29" s="63">
        <v>0</v>
      </c>
      <c r="Y29" s="63">
        <v>0</v>
      </c>
      <c r="Z29" s="63">
        <v>0</v>
      </c>
      <c r="AA29" s="63">
        <v>0</v>
      </c>
      <c r="AB29" s="63">
        <v>0</v>
      </c>
      <c r="AC29" s="63">
        <v>0</v>
      </c>
      <c r="AD29" s="63">
        <v>0</v>
      </c>
      <c r="AE29" s="63">
        <v>0</v>
      </c>
      <c r="AF29" s="63">
        <v>0</v>
      </c>
      <c r="AG29" s="63">
        <v>28</v>
      </c>
      <c r="AH29" s="63">
        <v>0</v>
      </c>
      <c r="AI29" s="63">
        <v>0</v>
      </c>
      <c r="AJ29" s="63">
        <v>28</v>
      </c>
      <c r="AK29" s="63">
        <v>0</v>
      </c>
      <c r="AL29" s="63" t="s">
        <v>35</v>
      </c>
      <c r="AM29" s="63" t="s">
        <v>854</v>
      </c>
      <c r="AN29" s="149" t="s">
        <v>33</v>
      </c>
      <c r="AO29" s="67" t="str">
        <f>VLOOKUP(A29,'Ranking Lookup'!A:C,3,0)</f>
        <v>Pre PI</v>
      </c>
      <c r="AP29" s="63">
        <f>IFERROR(VLOOKUP($A29,'Ranking Lookup'!$A:$B,2,0),"Unranked")</f>
        <v>27</v>
      </c>
      <c r="AQ29" s="71">
        <f>SUM(S29:AI29,AK29)/E29</f>
        <v>1.236842105263158</v>
      </c>
      <c r="AR29" s="97">
        <f>IF(A29="","",
COUNTIF(EAD_CIs!I:I,"*"&amp;A29&amp;"*"))</f>
        <v>1</v>
      </c>
      <c r="AS29" s="97">
        <f>AS28+T29</f>
        <v>8</v>
      </c>
      <c r="AT29" s="97">
        <f>AT28+U29</f>
        <v>138</v>
      </c>
      <c r="AU29" s="97">
        <f>AU28+V29</f>
        <v>45</v>
      </c>
      <c r="AV29" s="97">
        <f>AV28+W29</f>
        <v>255</v>
      </c>
      <c r="AW29" s="97">
        <f>AW28+X29</f>
        <v>72</v>
      </c>
      <c r="AX29" s="97">
        <f>AX28+Y29</f>
        <v>147</v>
      </c>
      <c r="AY29" s="97">
        <f>AY28+Z29</f>
        <v>16</v>
      </c>
      <c r="AZ29" s="97">
        <f>AZ28+AA29</f>
        <v>80</v>
      </c>
      <c r="BA29" s="97">
        <f>BA28+AB29</f>
        <v>9</v>
      </c>
      <c r="BB29" s="97">
        <f>BB28+AC29</f>
        <v>33</v>
      </c>
      <c r="BC29" s="97">
        <f>BC28+AD29</f>
        <v>86</v>
      </c>
      <c r="BD29" s="97">
        <f>BD28+AE29</f>
        <v>0</v>
      </c>
      <c r="BE29" s="97">
        <f>BE28+AF29</f>
        <v>0</v>
      </c>
      <c r="BF29" s="97">
        <f>BF28+AG29</f>
        <v>58</v>
      </c>
      <c r="BG29" s="97">
        <f>BG28+AH29</f>
        <v>0</v>
      </c>
      <c r="BH29" s="63">
        <f>IF(A29="",0,
COUNTIF(OrphanPWI_CI_Check!A:A,"*"&amp;A29&amp;"*"))</f>
        <v>0</v>
      </c>
      <c r="BI29" s="63">
        <f>IF(NOT(ISERROR(SEARCH("In Progress",   VLOOKUP($A29,$A:$D,MATCH("Planned For",$A$1:$D$1,0), 1)))),0.5,
 IF($F29="Enabler",0.6,
 IF($I29="EAD N/A",0.8,1))) *  ( ROUNDUP(MAX('Ranking Lookup'!B:B)/5,0) +1 - ROUNDUP(IF(NOT(ISNUMBER(VLOOKUP(A29,'Ranking Lookup'!A:B,2,0))),  MAX('Ranking Lookup'!B:B))/5,0) )</f>
        <v>18</v>
      </c>
      <c r="BK29" s="95"/>
    </row>
    <row r="30" spans="1:63" s="5" customFormat="1" ht="14.4" customHeight="1" x14ac:dyDescent="0.3">
      <c r="A30" s="203">
        <v>1014596</v>
      </c>
      <c r="B30" s="65" t="s">
        <v>2098</v>
      </c>
      <c r="C30" s="98" t="s">
        <v>1321</v>
      </c>
      <c r="D30" s="98" t="s">
        <v>28</v>
      </c>
      <c r="E30" s="65">
        <v>93</v>
      </c>
      <c r="F30" s="99" t="s">
        <v>879</v>
      </c>
      <c r="G30" s="99" t="s">
        <v>2253</v>
      </c>
      <c r="H30" s="64" t="s">
        <v>547</v>
      </c>
      <c r="I30" s="64" t="s">
        <v>38</v>
      </c>
      <c r="J30" s="98" t="s">
        <v>1412</v>
      </c>
      <c r="K30" s="203">
        <v>370101</v>
      </c>
      <c r="L30" s="62" t="s">
        <v>951</v>
      </c>
      <c r="M30" s="67" t="s">
        <v>644</v>
      </c>
      <c r="N30" s="67" t="s">
        <v>36</v>
      </c>
      <c r="O30" s="67">
        <v>0</v>
      </c>
      <c r="P30" s="67" t="s">
        <v>2202</v>
      </c>
      <c r="Q30" s="67" t="s">
        <v>36</v>
      </c>
      <c r="R30" s="66">
        <v>1</v>
      </c>
      <c r="S30" s="63">
        <v>0</v>
      </c>
      <c r="T30" s="63">
        <v>80</v>
      </c>
      <c r="U30" s="63">
        <v>0</v>
      </c>
      <c r="V30" s="63">
        <v>0</v>
      </c>
      <c r="W30" s="63">
        <v>0</v>
      </c>
      <c r="X30" s="63">
        <v>0</v>
      </c>
      <c r="Y30" s="63">
        <v>0</v>
      </c>
      <c r="Z30" s="63">
        <v>0</v>
      </c>
      <c r="AA30" s="63">
        <v>0</v>
      </c>
      <c r="AB30" s="63">
        <v>0</v>
      </c>
      <c r="AC30" s="63">
        <v>0</v>
      </c>
      <c r="AD30" s="63">
        <v>0</v>
      </c>
      <c r="AE30" s="63">
        <v>0</v>
      </c>
      <c r="AF30" s="63">
        <v>0</v>
      </c>
      <c r="AG30" s="63">
        <v>0</v>
      </c>
      <c r="AH30" s="63">
        <v>0</v>
      </c>
      <c r="AI30" s="63">
        <v>0</v>
      </c>
      <c r="AJ30" s="63">
        <v>80</v>
      </c>
      <c r="AK30" s="63">
        <v>13</v>
      </c>
      <c r="AL30" s="63" t="s">
        <v>35</v>
      </c>
      <c r="AM30" s="63" t="s">
        <v>854</v>
      </c>
      <c r="AN30" s="149" t="s">
        <v>40</v>
      </c>
      <c r="AO30" s="67" t="str">
        <f>VLOOKUP(A30,'Ranking Lookup'!A:C,3,0)</f>
        <v>Pre PI</v>
      </c>
      <c r="AP30" s="63">
        <f>IFERROR(VLOOKUP($A30,'Ranking Lookup'!$A:$B,2,0),"Unranked")</f>
        <v>28</v>
      </c>
      <c r="AQ30" s="71">
        <f>SUM(S30:AI30,AK30)/E30</f>
        <v>1</v>
      </c>
      <c r="AR30" s="97">
        <f>IF(A30="","",
COUNTIF(EAD_CIs!I:I,"*"&amp;A30&amp;"*"))</f>
        <v>0</v>
      </c>
      <c r="AS30" s="97">
        <f>AS29+T30</f>
        <v>88</v>
      </c>
      <c r="AT30" s="97">
        <f>AT29+U30</f>
        <v>138</v>
      </c>
      <c r="AU30" s="97">
        <f>AU29+V30</f>
        <v>45</v>
      </c>
      <c r="AV30" s="97">
        <f>AV29+W30</f>
        <v>255</v>
      </c>
      <c r="AW30" s="97">
        <f>AW29+X30</f>
        <v>72</v>
      </c>
      <c r="AX30" s="97">
        <f>AX29+Y30</f>
        <v>147</v>
      </c>
      <c r="AY30" s="97">
        <f>AY29+Z30</f>
        <v>16</v>
      </c>
      <c r="AZ30" s="97">
        <f>AZ29+AA30</f>
        <v>80</v>
      </c>
      <c r="BA30" s="97">
        <f>BA29+AB30</f>
        <v>9</v>
      </c>
      <c r="BB30" s="97">
        <f>BB29+AC30</f>
        <v>33</v>
      </c>
      <c r="BC30" s="97">
        <f>BC29+AD30</f>
        <v>86</v>
      </c>
      <c r="BD30" s="97">
        <f>BD29+AE30</f>
        <v>0</v>
      </c>
      <c r="BE30" s="97">
        <f>BE29+AF30</f>
        <v>0</v>
      </c>
      <c r="BF30" s="97">
        <f>BF29+AG30</f>
        <v>58</v>
      </c>
      <c r="BG30" s="97">
        <f>BG29+AH30</f>
        <v>0</v>
      </c>
      <c r="BH30" s="63">
        <f>IF(A30="",0,
COUNTIF(OrphanPWI_CI_Check!A:A,"*"&amp;A30&amp;"*"))</f>
        <v>0</v>
      </c>
      <c r="BI30" s="63">
        <f>IF(NOT(ISERROR(SEARCH("In Progress",   VLOOKUP($A30,$A:$D,MATCH("Planned For",$A$1:$D$1,0), 1)))),0.5,
 IF($F30="Enabler",0.6,
 IF($I30="EAD N/A",0.8,1))) *  ( ROUNDUP(MAX('Ranking Lookup'!B:B)/5,0) +1 - ROUNDUP(IF(NOT(ISNUMBER(VLOOKUP(A30,'Ranking Lookup'!A:B,2,0))),  MAX('Ranking Lookup'!B:B))/5,0) )</f>
        <v>14.4</v>
      </c>
      <c r="BK30" s="95"/>
    </row>
    <row r="31" spans="1:63" s="5" customFormat="1" ht="14.4" customHeight="1" x14ac:dyDescent="0.3">
      <c r="A31" s="203">
        <v>1014595</v>
      </c>
      <c r="B31" s="65" t="s">
        <v>2099</v>
      </c>
      <c r="C31" s="98" t="s">
        <v>1321</v>
      </c>
      <c r="D31" s="98" t="s">
        <v>28</v>
      </c>
      <c r="E31" s="65">
        <v>97</v>
      </c>
      <c r="F31" s="99" t="s">
        <v>879</v>
      </c>
      <c r="G31" s="99" t="s">
        <v>2198</v>
      </c>
      <c r="H31" s="64" t="s">
        <v>547</v>
      </c>
      <c r="I31" s="64" t="s">
        <v>38</v>
      </c>
      <c r="J31" s="98" t="s">
        <v>1412</v>
      </c>
      <c r="K31" s="203">
        <v>370101</v>
      </c>
      <c r="L31" s="62" t="s">
        <v>951</v>
      </c>
      <c r="M31" s="67" t="s">
        <v>644</v>
      </c>
      <c r="N31" s="67" t="s">
        <v>36</v>
      </c>
      <c r="O31" s="67">
        <v>0</v>
      </c>
      <c r="P31" s="67" t="s">
        <v>2202</v>
      </c>
      <c r="Q31" s="67" t="s">
        <v>36</v>
      </c>
      <c r="R31" s="66">
        <v>2</v>
      </c>
      <c r="S31" s="63">
        <v>0</v>
      </c>
      <c r="T31" s="63">
        <v>90</v>
      </c>
      <c r="U31" s="63">
        <v>7</v>
      </c>
      <c r="V31" s="63">
        <v>0</v>
      </c>
      <c r="W31" s="63">
        <v>0</v>
      </c>
      <c r="X31" s="63">
        <v>0</v>
      </c>
      <c r="Y31" s="63">
        <v>0</v>
      </c>
      <c r="Z31" s="63">
        <v>0</v>
      </c>
      <c r="AA31" s="63">
        <v>0</v>
      </c>
      <c r="AB31" s="63">
        <v>0</v>
      </c>
      <c r="AC31" s="63">
        <v>0</v>
      </c>
      <c r="AD31" s="63">
        <v>0</v>
      </c>
      <c r="AE31" s="63">
        <v>0</v>
      </c>
      <c r="AF31" s="63">
        <v>0</v>
      </c>
      <c r="AG31" s="63">
        <v>0</v>
      </c>
      <c r="AH31" s="63">
        <v>0</v>
      </c>
      <c r="AI31" s="63">
        <v>0</v>
      </c>
      <c r="AJ31" s="63">
        <v>97</v>
      </c>
      <c r="AK31" s="63">
        <v>0</v>
      </c>
      <c r="AL31" s="63" t="s">
        <v>35</v>
      </c>
      <c r="AM31" s="63" t="s">
        <v>854</v>
      </c>
      <c r="AN31" s="149" t="s">
        <v>40</v>
      </c>
      <c r="AO31" s="67" t="str">
        <f>VLOOKUP(A31,'Ranking Lookup'!A:C,3,0)</f>
        <v>Pre PI</v>
      </c>
      <c r="AP31" s="63">
        <f>IFERROR(VLOOKUP($A31,'Ranking Lookup'!$A:$B,2,0),"Unranked")</f>
        <v>29</v>
      </c>
      <c r="AQ31" s="71">
        <f>SUM(S31:AI31,AK31)/E31</f>
        <v>1</v>
      </c>
      <c r="AR31" s="97">
        <f>IF(A31="","",
COUNTIF(EAD_CIs!I:I,"*"&amp;A31&amp;"*"))</f>
        <v>0</v>
      </c>
      <c r="AS31" s="97">
        <f>AS30+T31</f>
        <v>178</v>
      </c>
      <c r="AT31" s="97">
        <f>AT30+U31</f>
        <v>145</v>
      </c>
      <c r="AU31" s="97">
        <f>AU30+V31</f>
        <v>45</v>
      </c>
      <c r="AV31" s="97">
        <f>AV30+W31</f>
        <v>255</v>
      </c>
      <c r="AW31" s="97">
        <f>AW30+X31</f>
        <v>72</v>
      </c>
      <c r="AX31" s="97">
        <f>AX30+Y31</f>
        <v>147</v>
      </c>
      <c r="AY31" s="97">
        <f>AY30+Z31</f>
        <v>16</v>
      </c>
      <c r="AZ31" s="97">
        <f>AZ30+AA31</f>
        <v>80</v>
      </c>
      <c r="BA31" s="97">
        <f>BA30+AB31</f>
        <v>9</v>
      </c>
      <c r="BB31" s="97">
        <f>BB30+AC31</f>
        <v>33</v>
      </c>
      <c r="BC31" s="97">
        <f>BC30+AD31</f>
        <v>86</v>
      </c>
      <c r="BD31" s="97">
        <f>BD30+AE31</f>
        <v>0</v>
      </c>
      <c r="BE31" s="97">
        <f>BE30+AF31</f>
        <v>0</v>
      </c>
      <c r="BF31" s="97">
        <f>BF30+AG31</f>
        <v>58</v>
      </c>
      <c r="BG31" s="97">
        <f>BG30+AH31</f>
        <v>0</v>
      </c>
      <c r="BH31" s="63">
        <f>IF(A31="",0,
COUNTIF(OrphanPWI_CI_Check!A:A,"*"&amp;A31&amp;"*"))</f>
        <v>0</v>
      </c>
      <c r="BI31" s="63">
        <f>IF(NOT(ISERROR(SEARCH("In Progress",   VLOOKUP($A31,$A:$D,MATCH("Planned For",$A$1:$D$1,0), 1)))),0.5,
 IF($F31="Enabler",0.6,
 IF($I31="EAD N/A",0.8,1))) *  ( ROUNDUP(MAX('Ranking Lookup'!B:B)/5,0) +1 - ROUNDUP(IF(NOT(ISNUMBER(VLOOKUP(A31,'Ranking Lookup'!A:B,2,0))),  MAX('Ranking Lookup'!B:B))/5,0) )</f>
        <v>9</v>
      </c>
      <c r="BK31" s="95"/>
    </row>
    <row r="32" spans="1:63" s="5" customFormat="1" ht="14.4" customHeight="1" x14ac:dyDescent="0.3">
      <c r="A32" s="203">
        <v>1014597</v>
      </c>
      <c r="B32" s="65" t="s">
        <v>2097</v>
      </c>
      <c r="C32" s="98" t="s">
        <v>1321</v>
      </c>
      <c r="D32" s="98" t="s">
        <v>28</v>
      </c>
      <c r="E32" s="65">
        <v>70</v>
      </c>
      <c r="F32" s="99" t="s">
        <v>879</v>
      </c>
      <c r="G32" s="99" t="s">
        <v>2330</v>
      </c>
      <c r="H32" s="64" t="s">
        <v>547</v>
      </c>
      <c r="I32" s="64" t="s">
        <v>38</v>
      </c>
      <c r="J32" s="98" t="s">
        <v>1412</v>
      </c>
      <c r="K32" s="203">
        <v>370101</v>
      </c>
      <c r="L32" s="62" t="s">
        <v>951</v>
      </c>
      <c r="M32" s="67" t="s">
        <v>644</v>
      </c>
      <c r="N32" s="67" t="s">
        <v>36</v>
      </c>
      <c r="O32" s="67">
        <v>0</v>
      </c>
      <c r="P32" s="67" t="s">
        <v>2202</v>
      </c>
      <c r="Q32" s="67" t="s">
        <v>36</v>
      </c>
      <c r="R32" s="66">
        <v>3</v>
      </c>
      <c r="S32" s="63">
        <v>0</v>
      </c>
      <c r="T32" s="63">
        <v>57</v>
      </c>
      <c r="U32" s="63">
        <v>5</v>
      </c>
      <c r="V32" s="63">
        <v>0</v>
      </c>
      <c r="W32" s="63">
        <v>0</v>
      </c>
      <c r="X32" s="63">
        <v>0</v>
      </c>
      <c r="Y32" s="63">
        <v>0</v>
      </c>
      <c r="Z32" s="63">
        <v>0</v>
      </c>
      <c r="AA32" s="63">
        <v>0</v>
      </c>
      <c r="AB32" s="63">
        <v>0</v>
      </c>
      <c r="AC32" s="63">
        <v>8</v>
      </c>
      <c r="AD32" s="63">
        <v>0</v>
      </c>
      <c r="AE32" s="63">
        <v>0</v>
      </c>
      <c r="AF32" s="63">
        <v>0</v>
      </c>
      <c r="AG32" s="63">
        <v>0</v>
      </c>
      <c r="AH32" s="63">
        <v>0</v>
      </c>
      <c r="AI32" s="63">
        <v>0</v>
      </c>
      <c r="AJ32" s="63">
        <v>70</v>
      </c>
      <c r="AK32" s="63">
        <v>0</v>
      </c>
      <c r="AL32" s="63" t="s">
        <v>35</v>
      </c>
      <c r="AM32" s="63" t="s">
        <v>854</v>
      </c>
      <c r="AN32" s="149" t="s">
        <v>40</v>
      </c>
      <c r="AO32" s="67" t="str">
        <f>VLOOKUP(A32,'Ranking Lookup'!A:C,3,0)</f>
        <v>Pre PI</v>
      </c>
      <c r="AP32" s="63">
        <f>IFERROR(VLOOKUP($A32,'Ranking Lookup'!$A:$B,2,0),"Unranked")</f>
        <v>30</v>
      </c>
      <c r="AQ32" s="71">
        <f>SUM(S32:AI32,AK32)/E32</f>
        <v>1</v>
      </c>
      <c r="AR32" s="97">
        <f>IF(A32="","",
COUNTIF(EAD_CIs!I:I,"*"&amp;A32&amp;"*"))</f>
        <v>0</v>
      </c>
      <c r="AS32" s="97">
        <f>AS31+T32</f>
        <v>235</v>
      </c>
      <c r="AT32" s="97">
        <f>AT31+U32</f>
        <v>150</v>
      </c>
      <c r="AU32" s="97">
        <f>AU31+V32</f>
        <v>45</v>
      </c>
      <c r="AV32" s="97">
        <f>AV31+W32</f>
        <v>255</v>
      </c>
      <c r="AW32" s="97">
        <f>AW31+X32</f>
        <v>72</v>
      </c>
      <c r="AX32" s="97">
        <f>AX31+Y32</f>
        <v>147</v>
      </c>
      <c r="AY32" s="97">
        <f>AY31+Z32</f>
        <v>16</v>
      </c>
      <c r="AZ32" s="97">
        <f>AZ31+AA32</f>
        <v>80</v>
      </c>
      <c r="BA32" s="97">
        <f>BA31+AB32</f>
        <v>9</v>
      </c>
      <c r="BB32" s="97">
        <f>BB31+AC32</f>
        <v>41</v>
      </c>
      <c r="BC32" s="97">
        <f>BC31+AD32</f>
        <v>86</v>
      </c>
      <c r="BD32" s="97">
        <f>BD31+AE32</f>
        <v>0</v>
      </c>
      <c r="BE32" s="97">
        <f>BE31+AF32</f>
        <v>0</v>
      </c>
      <c r="BF32" s="97">
        <f>BF31+AG32</f>
        <v>58</v>
      </c>
      <c r="BG32" s="97">
        <f>BG31+AH32</f>
        <v>0</v>
      </c>
      <c r="BH32" s="63">
        <f>IF(A32="",0,
COUNTIF(OrphanPWI_CI_Check!A:A,"*"&amp;A32&amp;"*"))</f>
        <v>0</v>
      </c>
      <c r="BI32" s="63">
        <f>IF(NOT(ISERROR(SEARCH("In Progress",   VLOOKUP($A32,$A:$D,MATCH("Planned For",$A$1:$D$1,0), 1)))),0.5,
 IF($F32="Enabler",0.6,
 IF($I32="EAD N/A",0.8,1))) *  ( ROUNDUP(MAX('Ranking Lookup'!B:B)/5,0) +1 - ROUNDUP(IF(NOT(ISNUMBER(VLOOKUP(A32,'Ranking Lookup'!A:B,2,0))),  MAX('Ranking Lookup'!B:B))/5,0) )</f>
        <v>14.4</v>
      </c>
      <c r="BK32"/>
    </row>
    <row r="33" spans="1:63" s="5" customFormat="1" ht="14.4" customHeight="1" x14ac:dyDescent="0.3">
      <c r="A33" s="203">
        <v>1014598</v>
      </c>
      <c r="B33" s="65" t="s">
        <v>2096</v>
      </c>
      <c r="C33" s="98" t="s">
        <v>1321</v>
      </c>
      <c r="D33" s="98" t="s">
        <v>28</v>
      </c>
      <c r="E33" s="65">
        <v>25</v>
      </c>
      <c r="F33" s="99" t="s">
        <v>879</v>
      </c>
      <c r="G33" s="99" t="s">
        <v>2252</v>
      </c>
      <c r="H33" s="64" t="s">
        <v>547</v>
      </c>
      <c r="I33" s="64" t="s">
        <v>38</v>
      </c>
      <c r="J33" s="98" t="s">
        <v>1412</v>
      </c>
      <c r="K33" s="203">
        <v>370101</v>
      </c>
      <c r="L33" s="62" t="s">
        <v>951</v>
      </c>
      <c r="M33" s="67" t="s">
        <v>644</v>
      </c>
      <c r="N33" s="67" t="s">
        <v>36</v>
      </c>
      <c r="O33" s="67">
        <v>0</v>
      </c>
      <c r="P33" s="67" t="s">
        <v>2202</v>
      </c>
      <c r="Q33" s="67" t="s">
        <v>36</v>
      </c>
      <c r="R33" s="66">
        <v>2</v>
      </c>
      <c r="S33" s="63">
        <v>0</v>
      </c>
      <c r="T33" s="63">
        <v>13</v>
      </c>
      <c r="U33" s="63">
        <v>0</v>
      </c>
      <c r="V33" s="63">
        <v>0</v>
      </c>
      <c r="W33" s="63">
        <v>0</v>
      </c>
      <c r="X33" s="63">
        <v>0</v>
      </c>
      <c r="Y33" s="63">
        <v>0</v>
      </c>
      <c r="Z33" s="63">
        <v>0</v>
      </c>
      <c r="AA33" s="63">
        <v>0</v>
      </c>
      <c r="AB33" s="63">
        <v>0</v>
      </c>
      <c r="AC33" s="63">
        <v>0</v>
      </c>
      <c r="AD33" s="63">
        <v>0</v>
      </c>
      <c r="AE33" s="63">
        <v>12</v>
      </c>
      <c r="AF33" s="63">
        <v>0</v>
      </c>
      <c r="AG33" s="63">
        <v>0</v>
      </c>
      <c r="AH33" s="63">
        <v>0</v>
      </c>
      <c r="AI33" s="63">
        <v>0</v>
      </c>
      <c r="AJ33" s="63">
        <v>25</v>
      </c>
      <c r="AK33" s="63">
        <v>0</v>
      </c>
      <c r="AL33" s="63" t="s">
        <v>35</v>
      </c>
      <c r="AM33" s="63" t="s">
        <v>854</v>
      </c>
      <c r="AN33" s="149" t="s">
        <v>40</v>
      </c>
      <c r="AO33" s="67" t="str">
        <f>VLOOKUP(A33,'Ranking Lookup'!A:C,3,0)</f>
        <v>Pre PI</v>
      </c>
      <c r="AP33" s="63">
        <f>IFERROR(VLOOKUP($A33,'Ranking Lookup'!$A:$B,2,0),"Unranked")</f>
        <v>31</v>
      </c>
      <c r="AQ33" s="71">
        <f>SUM(S33:AI33,AK33)/E33</f>
        <v>1</v>
      </c>
      <c r="AR33" s="97">
        <f>IF(A33="","",
COUNTIF(EAD_CIs!I:I,"*"&amp;A33&amp;"*"))</f>
        <v>0</v>
      </c>
      <c r="AS33" s="97">
        <f>AS32+T33</f>
        <v>248</v>
      </c>
      <c r="AT33" s="97">
        <f>AT32+U33</f>
        <v>150</v>
      </c>
      <c r="AU33" s="97">
        <f>AU32+V33</f>
        <v>45</v>
      </c>
      <c r="AV33" s="97">
        <f>AV32+W33</f>
        <v>255</v>
      </c>
      <c r="AW33" s="97">
        <f>AW32+X33</f>
        <v>72</v>
      </c>
      <c r="AX33" s="97">
        <f>AX32+Y33</f>
        <v>147</v>
      </c>
      <c r="AY33" s="97">
        <f>AY32+Z33</f>
        <v>16</v>
      </c>
      <c r="AZ33" s="97">
        <f>AZ32+AA33</f>
        <v>80</v>
      </c>
      <c r="BA33" s="97">
        <f>BA32+AB33</f>
        <v>9</v>
      </c>
      <c r="BB33" s="97">
        <f>BB32+AC33</f>
        <v>41</v>
      </c>
      <c r="BC33" s="97">
        <f>BC32+AD33</f>
        <v>86</v>
      </c>
      <c r="BD33" s="97">
        <f>BD32+AE33</f>
        <v>12</v>
      </c>
      <c r="BE33" s="97">
        <f>BE32+AF33</f>
        <v>0</v>
      </c>
      <c r="BF33" s="97">
        <f>BF32+AG33</f>
        <v>58</v>
      </c>
      <c r="BG33" s="97">
        <f>BG32+AH33</f>
        <v>0</v>
      </c>
      <c r="BH33" s="63">
        <f>IF(A33="",0,
COUNTIF(OrphanPWI_CI_Check!A:A,"*"&amp;A33&amp;"*"))</f>
        <v>0</v>
      </c>
      <c r="BI33" s="63">
        <f>IF(NOT(ISERROR(SEARCH("In Progress",   VLOOKUP($A33,$A:$D,MATCH("Planned For",$A$1:$D$1,0), 1)))),0.5,
 IF($F33="Enabler",0.6,
 IF($I33="EAD N/A",0.8,1))) *  ( ROUNDUP(MAX('Ranking Lookup'!B:B)/5,0) +1 - ROUNDUP(IF(NOT(ISNUMBER(VLOOKUP(A33,'Ranking Lookup'!A:B,2,0))),  MAX('Ranking Lookup'!B:B))/5,0) )</f>
        <v>14.4</v>
      </c>
      <c r="BK33" s="95"/>
    </row>
    <row r="34" spans="1:63" s="5" customFormat="1" ht="14.4" customHeight="1" x14ac:dyDescent="0.3">
      <c r="A34" s="203">
        <v>1014602</v>
      </c>
      <c r="B34" s="65" t="s">
        <v>2106</v>
      </c>
      <c r="C34" s="98" t="s">
        <v>1321</v>
      </c>
      <c r="D34" s="98" t="s">
        <v>28</v>
      </c>
      <c r="E34" s="65">
        <v>40</v>
      </c>
      <c r="F34" s="99" t="s">
        <v>41</v>
      </c>
      <c r="G34" s="99" t="s">
        <v>2251</v>
      </c>
      <c r="H34" s="64" t="s">
        <v>547</v>
      </c>
      <c r="I34" s="64" t="s">
        <v>38</v>
      </c>
      <c r="J34" s="98" t="s">
        <v>1412</v>
      </c>
      <c r="K34" s="203">
        <v>370101</v>
      </c>
      <c r="L34" s="62" t="s">
        <v>951</v>
      </c>
      <c r="M34" s="67" t="s">
        <v>644</v>
      </c>
      <c r="N34" s="67" t="s">
        <v>36</v>
      </c>
      <c r="O34" s="67">
        <v>0</v>
      </c>
      <c r="P34" s="67" t="s">
        <v>2202</v>
      </c>
      <c r="Q34" s="67" t="s">
        <v>36</v>
      </c>
      <c r="R34" s="66">
        <v>3</v>
      </c>
      <c r="S34" s="63">
        <v>0</v>
      </c>
      <c r="T34" s="63">
        <v>6</v>
      </c>
      <c r="U34" s="63">
        <v>3</v>
      </c>
      <c r="V34" s="63">
        <v>0</v>
      </c>
      <c r="W34" s="63">
        <v>31</v>
      </c>
      <c r="X34" s="63">
        <v>0</v>
      </c>
      <c r="Y34" s="63">
        <v>0</v>
      </c>
      <c r="Z34" s="63">
        <v>0</v>
      </c>
      <c r="AA34" s="63">
        <v>0</v>
      </c>
      <c r="AB34" s="63">
        <v>0</v>
      </c>
      <c r="AC34" s="63">
        <v>0</v>
      </c>
      <c r="AD34" s="63">
        <v>0</v>
      </c>
      <c r="AE34" s="63">
        <v>0</v>
      </c>
      <c r="AF34" s="63">
        <v>0</v>
      </c>
      <c r="AG34" s="63">
        <v>0</v>
      </c>
      <c r="AH34" s="63">
        <v>0</v>
      </c>
      <c r="AI34" s="63">
        <v>0</v>
      </c>
      <c r="AJ34" s="63">
        <v>40</v>
      </c>
      <c r="AK34" s="63">
        <v>0</v>
      </c>
      <c r="AL34" s="63" t="s">
        <v>35</v>
      </c>
      <c r="AM34" s="63" t="s">
        <v>854</v>
      </c>
      <c r="AN34" s="149" t="s">
        <v>40</v>
      </c>
      <c r="AO34" s="67" t="str">
        <f>VLOOKUP(A34,'Ranking Lookup'!A:C,3,0)</f>
        <v>Pre PI</v>
      </c>
      <c r="AP34" s="63">
        <f>IFERROR(VLOOKUP($A34,'Ranking Lookup'!$A:$B,2,0),"Unranked")</f>
        <v>32</v>
      </c>
      <c r="AQ34" s="71">
        <f>SUM(S34:AI34,AK34)/E34</f>
        <v>1</v>
      </c>
      <c r="AR34" s="97">
        <f>IF(A34="","",
COUNTIF(EAD_CIs!I:I,"*"&amp;A34&amp;"*"))</f>
        <v>0</v>
      </c>
      <c r="AS34" s="97">
        <f>AS33+T34</f>
        <v>254</v>
      </c>
      <c r="AT34" s="97">
        <f>AT33+U34</f>
        <v>153</v>
      </c>
      <c r="AU34" s="97">
        <f>AU33+V34</f>
        <v>45</v>
      </c>
      <c r="AV34" s="97">
        <f>AV33+W34</f>
        <v>286</v>
      </c>
      <c r="AW34" s="97">
        <f>AW33+X34</f>
        <v>72</v>
      </c>
      <c r="AX34" s="97">
        <f>AX33+Y34</f>
        <v>147</v>
      </c>
      <c r="AY34" s="97">
        <f>AY33+Z34</f>
        <v>16</v>
      </c>
      <c r="AZ34" s="97">
        <f>AZ33+AA34</f>
        <v>80</v>
      </c>
      <c r="BA34" s="97">
        <f>BA33+AB34</f>
        <v>9</v>
      </c>
      <c r="BB34" s="97">
        <f>BB33+AC34</f>
        <v>41</v>
      </c>
      <c r="BC34" s="97">
        <f>BC33+AD34</f>
        <v>86</v>
      </c>
      <c r="BD34" s="97">
        <f>BD33+AE34</f>
        <v>12</v>
      </c>
      <c r="BE34" s="97">
        <f>BE33+AF34</f>
        <v>0</v>
      </c>
      <c r="BF34" s="97">
        <f>BF33+AG34</f>
        <v>58</v>
      </c>
      <c r="BG34" s="97">
        <f>BG33+AH34</f>
        <v>0</v>
      </c>
      <c r="BH34" s="63">
        <f>IF(A34="",0,
COUNTIF(OrphanPWI_CI_Check!A:A,"*"&amp;A34&amp;"*"))</f>
        <v>0</v>
      </c>
      <c r="BI34" s="63">
        <f>IF(NOT(ISERROR(SEARCH("In Progress",   VLOOKUP($A34,$A:$D,MATCH("Planned For",$A$1:$D$1,0), 1)))),0.5,
 IF($F34="Enabler",0.6,
 IF($I34="EAD N/A",0.8,1))) *  ( ROUNDUP(MAX('Ranking Lookup'!B:B)/5,0) +1 - ROUNDUP(IF(NOT(ISNUMBER(VLOOKUP(A34,'Ranking Lookup'!A:B,2,0))),  MAX('Ranking Lookup'!B:B))/5,0) )</f>
        <v>10.799999999999999</v>
      </c>
      <c r="BK34"/>
    </row>
    <row r="35" spans="1:63" s="5" customFormat="1" ht="14.4" customHeight="1" x14ac:dyDescent="0.3">
      <c r="A35" s="203">
        <v>1012748</v>
      </c>
      <c r="B35" s="65" t="s">
        <v>2007</v>
      </c>
      <c r="C35" s="98" t="s">
        <v>1866</v>
      </c>
      <c r="D35" s="98" t="s">
        <v>28</v>
      </c>
      <c r="E35" s="65">
        <v>174</v>
      </c>
      <c r="F35" s="99" t="s">
        <v>879</v>
      </c>
      <c r="G35" s="99" t="s">
        <v>2321</v>
      </c>
      <c r="H35" s="64" t="s">
        <v>54</v>
      </c>
      <c r="I35" s="64" t="s">
        <v>38</v>
      </c>
      <c r="J35" s="98" t="s">
        <v>1412</v>
      </c>
      <c r="K35" s="203">
        <v>368857</v>
      </c>
      <c r="L35" s="62" t="s">
        <v>15</v>
      </c>
      <c r="M35" s="67" t="s">
        <v>606</v>
      </c>
      <c r="N35" s="67" t="s">
        <v>607</v>
      </c>
      <c r="O35" s="67">
        <v>0</v>
      </c>
      <c r="P35" s="67" t="s">
        <v>2013</v>
      </c>
      <c r="Q35" s="67" t="s">
        <v>36</v>
      </c>
      <c r="R35" s="66">
        <v>6</v>
      </c>
      <c r="S35" s="63">
        <v>0</v>
      </c>
      <c r="T35" s="63">
        <v>0</v>
      </c>
      <c r="U35" s="63">
        <v>9</v>
      </c>
      <c r="V35" s="63">
        <v>0</v>
      </c>
      <c r="W35" s="63">
        <v>0</v>
      </c>
      <c r="X35" s="63">
        <v>10</v>
      </c>
      <c r="Y35" s="63">
        <v>5</v>
      </c>
      <c r="Z35" s="63">
        <v>5</v>
      </c>
      <c r="AA35" s="63">
        <v>0</v>
      </c>
      <c r="AB35" s="63">
        <v>98</v>
      </c>
      <c r="AC35" s="63">
        <v>14</v>
      </c>
      <c r="AD35" s="63">
        <v>0</v>
      </c>
      <c r="AE35" s="63">
        <v>0</v>
      </c>
      <c r="AF35" s="63">
        <v>0</v>
      </c>
      <c r="AG35" s="63">
        <v>0</v>
      </c>
      <c r="AH35" s="63">
        <v>0</v>
      </c>
      <c r="AI35" s="63">
        <v>0</v>
      </c>
      <c r="AJ35" s="63">
        <v>141</v>
      </c>
      <c r="AK35" s="63">
        <v>19</v>
      </c>
      <c r="AL35" s="63" t="s">
        <v>35</v>
      </c>
      <c r="AM35" s="63" t="s">
        <v>854</v>
      </c>
      <c r="AN35" s="149" t="s">
        <v>33</v>
      </c>
      <c r="AO35" s="67" t="str">
        <f>VLOOKUP(A35,'Ranking Lookup'!A:C,3,0)</f>
        <v>Pre PI</v>
      </c>
      <c r="AP35" s="63">
        <f>IFERROR(VLOOKUP($A35,'Ranking Lookup'!$A:$B,2,0),"Unranked")</f>
        <v>33</v>
      </c>
      <c r="AQ35" s="71">
        <f>SUM(S35:AI35,AK35)/E35</f>
        <v>0.91954022988505746</v>
      </c>
      <c r="AR35" s="97">
        <f>IF(A35="","",
COUNTIF(EAD_CIs!I:I,"*"&amp;A35&amp;"*"))</f>
        <v>0</v>
      </c>
      <c r="AS35" s="97">
        <f>AS34+T35</f>
        <v>254</v>
      </c>
      <c r="AT35" s="97">
        <f>AT34+U35</f>
        <v>162</v>
      </c>
      <c r="AU35" s="97">
        <f>AU34+V35</f>
        <v>45</v>
      </c>
      <c r="AV35" s="97">
        <f>AV34+W35</f>
        <v>286</v>
      </c>
      <c r="AW35" s="97">
        <f>AW34+X35</f>
        <v>82</v>
      </c>
      <c r="AX35" s="97">
        <f>AX34+Y35</f>
        <v>152</v>
      </c>
      <c r="AY35" s="97">
        <f>AY34+Z35</f>
        <v>21</v>
      </c>
      <c r="AZ35" s="97">
        <f>AZ34+AA35</f>
        <v>80</v>
      </c>
      <c r="BA35" s="97">
        <f>BA34+AB35</f>
        <v>107</v>
      </c>
      <c r="BB35" s="97">
        <f>BB34+AC35</f>
        <v>55</v>
      </c>
      <c r="BC35" s="97">
        <f>BC34+AD35</f>
        <v>86</v>
      </c>
      <c r="BD35" s="97">
        <f>BD34+AE35</f>
        <v>12</v>
      </c>
      <c r="BE35" s="97">
        <f>BE34+AF35</f>
        <v>0</v>
      </c>
      <c r="BF35" s="97">
        <f>BF34+AG35</f>
        <v>58</v>
      </c>
      <c r="BG35" s="97">
        <f>BG34+AH35</f>
        <v>0</v>
      </c>
      <c r="BH35" s="63">
        <f>IF(A35="",0,
COUNTIF(OrphanPWI_CI_Check!A:A,"*"&amp;A35&amp;"*"))</f>
        <v>0</v>
      </c>
      <c r="BI35" s="63">
        <f>IF(NOT(ISERROR(SEARCH("In Progress",   VLOOKUP($A35,$A:$D,MATCH("Planned For",$A$1:$D$1,0), 1)))),0.5,
 IF($F35="Enabler",0.6,
 IF($I35="EAD N/A",0.8,1))) *  ( ROUNDUP(MAX('Ranking Lookup'!B:B)/5,0) +1 - ROUNDUP(IF(NOT(ISNUMBER(VLOOKUP(A35,'Ranking Lookup'!A:B,2,0))),  MAX('Ranking Lookup'!B:B))/5,0) )</f>
        <v>9</v>
      </c>
      <c r="BK35" s="95"/>
    </row>
    <row r="36" spans="1:63" s="5" customFormat="1" ht="14.4" customHeight="1" x14ac:dyDescent="0.3">
      <c r="A36" s="203">
        <v>1008620</v>
      </c>
      <c r="B36" s="65" t="s">
        <v>2019</v>
      </c>
      <c r="C36" s="98" t="s">
        <v>1842</v>
      </c>
      <c r="D36" s="98" t="s">
        <v>28</v>
      </c>
      <c r="E36" s="65">
        <v>33</v>
      </c>
      <c r="F36" s="99" t="s">
        <v>879</v>
      </c>
      <c r="G36" s="99" t="s">
        <v>2314</v>
      </c>
      <c r="H36" s="64" t="s">
        <v>47</v>
      </c>
      <c r="I36" s="64" t="s">
        <v>38</v>
      </c>
      <c r="J36" s="98" t="s">
        <v>1412</v>
      </c>
      <c r="K36" s="95">
        <v>0</v>
      </c>
      <c r="L36" s="70" t="s">
        <v>949</v>
      </c>
      <c r="M36" s="65" t="s">
        <v>42</v>
      </c>
      <c r="N36" s="64" t="s">
        <v>43</v>
      </c>
      <c r="O36" s="73">
        <v>0</v>
      </c>
      <c r="P36" s="65" t="s">
        <v>988</v>
      </c>
      <c r="Q36" s="65" t="s">
        <v>36</v>
      </c>
      <c r="R36" s="64">
        <v>1</v>
      </c>
      <c r="S36" s="64">
        <v>0</v>
      </c>
      <c r="T36" s="64">
        <v>0</v>
      </c>
      <c r="U36" s="55">
        <v>0</v>
      </c>
      <c r="V36" s="63">
        <v>0</v>
      </c>
      <c r="W36" s="63">
        <v>33</v>
      </c>
      <c r="X36" s="63">
        <v>0</v>
      </c>
      <c r="Y36" s="63">
        <v>0</v>
      </c>
      <c r="Z36" s="63">
        <v>0</v>
      </c>
      <c r="AA36" s="63">
        <v>0</v>
      </c>
      <c r="AB36" s="63">
        <v>0</v>
      </c>
      <c r="AC36" s="63">
        <v>0</v>
      </c>
      <c r="AD36" s="63">
        <v>0</v>
      </c>
      <c r="AE36" s="63">
        <v>0</v>
      </c>
      <c r="AF36" s="63">
        <v>0</v>
      </c>
      <c r="AG36" s="63">
        <v>0</v>
      </c>
      <c r="AH36" s="63">
        <v>0</v>
      </c>
      <c r="AI36" s="63">
        <v>0</v>
      </c>
      <c r="AJ36" s="63">
        <v>33</v>
      </c>
      <c r="AK36" s="63">
        <v>0</v>
      </c>
      <c r="AL36" s="63" t="s">
        <v>35</v>
      </c>
      <c r="AM36" s="63" t="s">
        <v>36</v>
      </c>
      <c r="AN36" s="149" t="s">
        <v>40</v>
      </c>
      <c r="AO36" s="67" t="str">
        <f>VLOOKUP(A36,'Ranking Lookup'!A:C,3,0)</f>
        <v>Pre PI</v>
      </c>
      <c r="AP36" s="63">
        <f>IFERROR(VLOOKUP($A36,'Ranking Lookup'!$A:$B,2,0),"Unranked")</f>
        <v>34</v>
      </c>
      <c r="AQ36" s="71">
        <f>SUM(S36:AI36,AK36)/E36</f>
        <v>1</v>
      </c>
      <c r="AR36" s="97">
        <f>IF(A36="","",
COUNTIF(EAD_CIs!I:I,"*"&amp;A36&amp;"*"))</f>
        <v>0</v>
      </c>
      <c r="AS36" s="97">
        <f>AS35+T36</f>
        <v>254</v>
      </c>
      <c r="AT36" s="97">
        <f>AT35+U36</f>
        <v>162</v>
      </c>
      <c r="AU36" s="97">
        <f>AU35+V36</f>
        <v>45</v>
      </c>
      <c r="AV36" s="97">
        <f>AV35+W36</f>
        <v>319</v>
      </c>
      <c r="AW36" s="97">
        <f>AW35+X36</f>
        <v>82</v>
      </c>
      <c r="AX36" s="97">
        <f>AX35+Y36</f>
        <v>152</v>
      </c>
      <c r="AY36" s="97">
        <f>AY35+Z36</f>
        <v>21</v>
      </c>
      <c r="AZ36" s="97">
        <f>AZ35+AA36</f>
        <v>80</v>
      </c>
      <c r="BA36" s="97">
        <f>BA35+AB36</f>
        <v>107</v>
      </c>
      <c r="BB36" s="97">
        <f>BB35+AC36</f>
        <v>55</v>
      </c>
      <c r="BC36" s="97">
        <f>BC35+AD36</f>
        <v>86</v>
      </c>
      <c r="BD36" s="97">
        <f>BD35+AE36</f>
        <v>12</v>
      </c>
      <c r="BE36" s="97">
        <f>BE35+AF36</f>
        <v>0</v>
      </c>
      <c r="BF36" s="97">
        <f>BF35+AG36</f>
        <v>58</v>
      </c>
      <c r="BG36" s="97">
        <f>BG35+AH36</f>
        <v>0</v>
      </c>
      <c r="BH36" s="63">
        <f>IF(A36="",0,
COUNTIF(OrphanPWI_CI_Check!A:A,"*"&amp;A36&amp;"*"))</f>
        <v>0</v>
      </c>
      <c r="BI36" s="63">
        <f>IF(NOT(ISERROR(SEARCH("In Progress",   VLOOKUP($A36,$A:$D,MATCH("Planned For",$A$1:$D$1,0), 1)))),0.5,
 IF($F36="Enabler",0.6,
 IF($I36="EAD N/A",0.8,1))) *  ( ROUNDUP(MAX('Ranking Lookup'!B:B)/5,0) +1 - ROUNDUP(IF(NOT(ISNUMBER(VLOOKUP(A36,'Ranking Lookup'!A:B,2,0))),  MAX('Ranking Lookup'!B:B))/5,0) )</f>
        <v>14.4</v>
      </c>
      <c r="BK36" s="95"/>
    </row>
    <row r="37" spans="1:63" s="5" customFormat="1" ht="14.4" customHeight="1" x14ac:dyDescent="0.3">
      <c r="A37" s="203">
        <v>383165</v>
      </c>
      <c r="B37" s="65" t="s">
        <v>942</v>
      </c>
      <c r="C37" s="98" t="s">
        <v>1866</v>
      </c>
      <c r="D37" s="98" t="s">
        <v>106</v>
      </c>
      <c r="E37" s="65">
        <v>102</v>
      </c>
      <c r="F37" s="99" t="s">
        <v>879</v>
      </c>
      <c r="G37" s="99" t="s">
        <v>1127</v>
      </c>
      <c r="H37" s="64" t="s">
        <v>1585</v>
      </c>
      <c r="I37" s="64" t="s">
        <v>38</v>
      </c>
      <c r="J37" s="98" t="s">
        <v>1412</v>
      </c>
      <c r="K37" s="203">
        <v>354861</v>
      </c>
      <c r="L37" s="62" t="s">
        <v>950</v>
      </c>
      <c r="M37" s="67" t="s">
        <v>37</v>
      </c>
      <c r="N37" s="67" t="s">
        <v>39</v>
      </c>
      <c r="O37" s="67">
        <v>0</v>
      </c>
      <c r="P37" s="67" t="s">
        <v>131</v>
      </c>
      <c r="Q37" s="67" t="s">
        <v>1761</v>
      </c>
      <c r="R37" s="66">
        <v>2</v>
      </c>
      <c r="S37" s="63">
        <v>70</v>
      </c>
      <c r="T37" s="63">
        <v>0</v>
      </c>
      <c r="U37" s="63">
        <v>0</v>
      </c>
      <c r="V37" s="63">
        <v>0</v>
      </c>
      <c r="W37" s="63">
        <v>0</v>
      </c>
      <c r="X37" s="63">
        <v>0</v>
      </c>
      <c r="Y37" s="63">
        <v>6</v>
      </c>
      <c r="Z37" s="63">
        <v>8</v>
      </c>
      <c r="AA37" s="63">
        <v>0</v>
      </c>
      <c r="AB37" s="63">
        <v>0</v>
      </c>
      <c r="AC37" s="63">
        <v>0</v>
      </c>
      <c r="AD37" s="63">
        <v>0</v>
      </c>
      <c r="AE37" s="63">
        <v>0</v>
      </c>
      <c r="AF37" s="63">
        <v>0</v>
      </c>
      <c r="AG37" s="63">
        <v>0</v>
      </c>
      <c r="AH37" s="63">
        <v>0</v>
      </c>
      <c r="AI37" s="63">
        <v>2</v>
      </c>
      <c r="AJ37" s="63">
        <v>14</v>
      </c>
      <c r="AK37" s="63">
        <v>0</v>
      </c>
      <c r="AL37" s="63" t="s">
        <v>35</v>
      </c>
      <c r="AM37" s="63" t="s">
        <v>854</v>
      </c>
      <c r="AN37" s="149" t="s">
        <v>33</v>
      </c>
      <c r="AO37" s="67" t="str">
        <f>VLOOKUP(A37,'Ranking Lookup'!A:C,3,0)</f>
        <v>Pre PI</v>
      </c>
      <c r="AP37" s="63">
        <f>IFERROR(VLOOKUP($A37,'Ranking Lookup'!$A:$B,2,0),"Unranked")</f>
        <v>35</v>
      </c>
      <c r="AQ37" s="71">
        <f>SUM(S37:AI37,AK37)/E37</f>
        <v>0.84313725490196079</v>
      </c>
      <c r="AR37" s="97">
        <f>IF(A37="","",
COUNTIF(EAD_CIs!I:I,"*"&amp;A37&amp;"*"))</f>
        <v>8</v>
      </c>
      <c r="AS37" s="97">
        <f>AS36+T37</f>
        <v>254</v>
      </c>
      <c r="AT37" s="97">
        <f>AT36+U37</f>
        <v>162</v>
      </c>
      <c r="AU37" s="97">
        <f>AU36+V37</f>
        <v>45</v>
      </c>
      <c r="AV37" s="97">
        <f>AV36+W37</f>
        <v>319</v>
      </c>
      <c r="AW37" s="97">
        <f>AW36+X37</f>
        <v>82</v>
      </c>
      <c r="AX37" s="97">
        <f>AX36+Y37</f>
        <v>158</v>
      </c>
      <c r="AY37" s="97">
        <f>AY36+Z37</f>
        <v>29</v>
      </c>
      <c r="AZ37" s="97">
        <f>AZ36+AA37</f>
        <v>80</v>
      </c>
      <c r="BA37" s="97">
        <f>BA36+AB37</f>
        <v>107</v>
      </c>
      <c r="BB37" s="97">
        <f>BB36+AC37</f>
        <v>55</v>
      </c>
      <c r="BC37" s="97">
        <f>BC36+AD37</f>
        <v>86</v>
      </c>
      <c r="BD37" s="97">
        <f>BD36+AE37</f>
        <v>12</v>
      </c>
      <c r="BE37" s="97">
        <f>BE36+AF37</f>
        <v>0</v>
      </c>
      <c r="BF37" s="97">
        <f>BF36+AG37</f>
        <v>58</v>
      </c>
      <c r="BG37" s="97">
        <f>BG36+AH37</f>
        <v>0</v>
      </c>
      <c r="BH37" s="63">
        <f>IF(A37="",0,
COUNTIF(OrphanPWI_CI_Check!A:A,"*"&amp;A37&amp;"*"))</f>
        <v>0</v>
      </c>
      <c r="BI37" s="63">
        <f>IF(NOT(ISERROR(SEARCH("In Progress",   VLOOKUP($A37,$A:$D,MATCH("Planned For",$A$1:$D$1,0), 1)))),0.5,
 IF($F37="Enabler",0.6,
 IF($I37="EAD N/A",0.8,1))) *  ( ROUNDUP(MAX('Ranking Lookup'!B:B)/5,0) +1 - ROUNDUP(IF(NOT(ISNUMBER(VLOOKUP(A37,'Ranking Lookup'!A:B,2,0))),  MAX('Ranking Lookup'!B:B))/5,0) )</f>
        <v>14.4</v>
      </c>
      <c r="BK37" s="95"/>
    </row>
    <row r="38" spans="1:63" s="5" customFormat="1" ht="14.4" customHeight="1" x14ac:dyDescent="0.3">
      <c r="A38" s="203">
        <v>380808</v>
      </c>
      <c r="B38" s="65" t="s">
        <v>2197</v>
      </c>
      <c r="C38" s="98" t="s">
        <v>1866</v>
      </c>
      <c r="D38" s="98" t="s">
        <v>28</v>
      </c>
      <c r="E38" s="65">
        <v>283</v>
      </c>
      <c r="F38" s="99" t="s">
        <v>880</v>
      </c>
      <c r="G38" s="99" t="s">
        <v>2244</v>
      </c>
      <c r="H38" s="64" t="s">
        <v>1585</v>
      </c>
      <c r="I38" s="64" t="s">
        <v>1869</v>
      </c>
      <c r="J38" s="98" t="s">
        <v>1412</v>
      </c>
      <c r="K38" s="203">
        <v>354861</v>
      </c>
      <c r="L38" s="62" t="s">
        <v>950</v>
      </c>
      <c r="M38" s="67" t="s">
        <v>37</v>
      </c>
      <c r="N38" s="67" t="s">
        <v>39</v>
      </c>
      <c r="O38" s="67">
        <v>1</v>
      </c>
      <c r="P38" s="67" t="s">
        <v>131</v>
      </c>
      <c r="Q38" s="67" t="s">
        <v>1761</v>
      </c>
      <c r="R38" s="66">
        <v>6</v>
      </c>
      <c r="S38" s="63">
        <v>0</v>
      </c>
      <c r="T38" s="63">
        <v>0</v>
      </c>
      <c r="U38" s="63">
        <v>0</v>
      </c>
      <c r="V38" s="63">
        <v>24</v>
      </c>
      <c r="W38" s="63">
        <v>10</v>
      </c>
      <c r="X38" s="63">
        <v>21</v>
      </c>
      <c r="Y38" s="63">
        <v>6</v>
      </c>
      <c r="Z38" s="63">
        <v>92</v>
      </c>
      <c r="AA38" s="63">
        <v>0</v>
      </c>
      <c r="AB38" s="63">
        <v>0</v>
      </c>
      <c r="AC38" s="63">
        <v>22</v>
      </c>
      <c r="AD38" s="63">
        <v>0</v>
      </c>
      <c r="AE38" s="63">
        <v>0</v>
      </c>
      <c r="AF38" s="63">
        <v>0</v>
      </c>
      <c r="AG38" s="63">
        <v>0</v>
      </c>
      <c r="AH38" s="63">
        <v>0</v>
      </c>
      <c r="AI38" s="63">
        <v>0</v>
      </c>
      <c r="AJ38" s="63">
        <v>175</v>
      </c>
      <c r="AK38" s="63">
        <v>153</v>
      </c>
      <c r="AL38" s="63" t="s">
        <v>35</v>
      </c>
      <c r="AM38" s="63" t="s">
        <v>854</v>
      </c>
      <c r="AN38" s="149" t="s">
        <v>33</v>
      </c>
      <c r="AO38" s="67" t="str">
        <f>VLOOKUP(A38,'Ranking Lookup'!A:C,3,0)</f>
        <v>Pre PI</v>
      </c>
      <c r="AP38" s="63">
        <f>IFERROR(VLOOKUP($A38,'Ranking Lookup'!$A:$B,2,0),"Unranked")</f>
        <v>36</v>
      </c>
      <c r="AQ38" s="71">
        <f>SUM(S38:AI38,AK38)/E38</f>
        <v>1.1590106007067138</v>
      </c>
      <c r="AR38" s="97">
        <f>IF(A38="","",
COUNTIF(EAD_CIs!I:I,"*"&amp;A38&amp;"*"))</f>
        <v>20</v>
      </c>
      <c r="AS38" s="97">
        <f>AS37+T38</f>
        <v>254</v>
      </c>
      <c r="AT38" s="97">
        <f>AT37+U38</f>
        <v>162</v>
      </c>
      <c r="AU38" s="97">
        <f>AU37+V38</f>
        <v>69</v>
      </c>
      <c r="AV38" s="97">
        <f>AV37+W38</f>
        <v>329</v>
      </c>
      <c r="AW38" s="97">
        <f>AW37+X38</f>
        <v>103</v>
      </c>
      <c r="AX38" s="97">
        <f>AX37+Y38</f>
        <v>164</v>
      </c>
      <c r="AY38" s="97">
        <f>AY37+Z38</f>
        <v>121</v>
      </c>
      <c r="AZ38" s="97">
        <f>AZ37+AA38</f>
        <v>80</v>
      </c>
      <c r="BA38" s="97">
        <f>BA37+AB38</f>
        <v>107</v>
      </c>
      <c r="BB38" s="97">
        <f>BB37+AC38</f>
        <v>77</v>
      </c>
      <c r="BC38" s="97">
        <f>BC37+AD38</f>
        <v>86</v>
      </c>
      <c r="BD38" s="97">
        <f>BD37+AE38</f>
        <v>12</v>
      </c>
      <c r="BE38" s="97">
        <f>BE37+AF38</f>
        <v>0</v>
      </c>
      <c r="BF38" s="97">
        <f>BF37+AG38</f>
        <v>58</v>
      </c>
      <c r="BG38" s="97">
        <f>BG37+AH38</f>
        <v>0</v>
      </c>
      <c r="BH38" s="63">
        <f>IF(A38="",0,
COUNTIF(OrphanPWI_CI_Check!A:A,"*"&amp;A38&amp;"*"))</f>
        <v>52</v>
      </c>
      <c r="BI38" s="63">
        <f>IF(NOT(ISERROR(SEARCH("In Progress",   VLOOKUP($A38,$A:$D,MATCH("Planned For",$A$1:$D$1,0), 1)))),0.5,
 IF($F38="Enabler",0.6,
 IF($I38="EAD N/A",0.8,1))) *  ( ROUNDUP(MAX('Ranking Lookup'!B:B)/5,0) +1 - ROUNDUP(IF(NOT(ISNUMBER(VLOOKUP(A38,'Ranking Lookup'!A:B,2,0))),  MAX('Ranking Lookup'!B:B))/5,0) )</f>
        <v>18</v>
      </c>
      <c r="BK38" s="95"/>
    </row>
    <row r="39" spans="1:63" s="5" customFormat="1" ht="14.4" customHeight="1" x14ac:dyDescent="0.3">
      <c r="A39" s="203">
        <v>384084</v>
      </c>
      <c r="B39" s="65" t="s">
        <v>890</v>
      </c>
      <c r="C39" s="98" t="s">
        <v>1866</v>
      </c>
      <c r="D39" s="98" t="s">
        <v>106</v>
      </c>
      <c r="E39" s="65">
        <v>46</v>
      </c>
      <c r="F39" s="99" t="s">
        <v>880</v>
      </c>
      <c r="G39" s="99" t="s">
        <v>962</v>
      </c>
      <c r="H39" s="64" t="s">
        <v>999</v>
      </c>
      <c r="I39" s="64" t="s">
        <v>1869</v>
      </c>
      <c r="J39" s="98" t="s">
        <v>1412</v>
      </c>
      <c r="K39" s="203">
        <v>354861</v>
      </c>
      <c r="L39" s="62" t="s">
        <v>947</v>
      </c>
      <c r="M39" s="67" t="s">
        <v>37</v>
      </c>
      <c r="N39" s="67" t="s">
        <v>39</v>
      </c>
      <c r="O39" s="67">
        <v>0</v>
      </c>
      <c r="P39" s="67" t="s">
        <v>131</v>
      </c>
      <c r="Q39" s="67" t="s">
        <v>1761</v>
      </c>
      <c r="R39" s="66">
        <v>3</v>
      </c>
      <c r="S39" s="63">
        <v>42</v>
      </c>
      <c r="T39" s="63">
        <v>0</v>
      </c>
      <c r="U39" s="63">
        <v>0</v>
      </c>
      <c r="V39" s="63">
        <v>0</v>
      </c>
      <c r="W39" s="63">
        <v>0</v>
      </c>
      <c r="X39" s="63">
        <v>0</v>
      </c>
      <c r="Y39" s="63">
        <v>0</v>
      </c>
      <c r="Z39" s="63">
        <v>11</v>
      </c>
      <c r="AA39" s="63">
        <v>0</v>
      </c>
      <c r="AB39" s="63">
        <v>0</v>
      </c>
      <c r="AC39" s="63">
        <v>23</v>
      </c>
      <c r="AD39" s="63">
        <v>3</v>
      </c>
      <c r="AE39" s="63">
        <v>0</v>
      </c>
      <c r="AF39" s="63">
        <v>0</v>
      </c>
      <c r="AG39" s="63">
        <v>0</v>
      </c>
      <c r="AH39" s="63">
        <v>0</v>
      </c>
      <c r="AI39" s="63">
        <v>5</v>
      </c>
      <c r="AJ39" s="63">
        <v>37</v>
      </c>
      <c r="AK39" s="63">
        <v>0</v>
      </c>
      <c r="AL39" s="63" t="s">
        <v>35</v>
      </c>
      <c r="AM39" s="63" t="s">
        <v>854</v>
      </c>
      <c r="AN39" s="149" t="s">
        <v>33</v>
      </c>
      <c r="AO39" s="67" t="str">
        <f>VLOOKUP(A39,'Ranking Lookup'!A:C,3,0)</f>
        <v>Pre PI</v>
      </c>
      <c r="AP39" s="63">
        <f>IFERROR(VLOOKUP($A39,'Ranking Lookup'!$A:$B,2,0),"Unranked")</f>
        <v>37</v>
      </c>
      <c r="AQ39" s="71">
        <f>SUM(S39:AI39,AK39)/E39</f>
        <v>1.826086956521739</v>
      </c>
      <c r="AR39" s="97">
        <f>IF(A39="","",
COUNTIF(EAD_CIs!I:I,"*"&amp;A39&amp;"*"))</f>
        <v>0</v>
      </c>
      <c r="AS39" s="97">
        <f>AS38+T39</f>
        <v>254</v>
      </c>
      <c r="AT39" s="97">
        <f>AT38+U39</f>
        <v>162</v>
      </c>
      <c r="AU39" s="97">
        <f>AU38+V39</f>
        <v>69</v>
      </c>
      <c r="AV39" s="97">
        <f>AV38+W39</f>
        <v>329</v>
      </c>
      <c r="AW39" s="97">
        <f>AW38+X39</f>
        <v>103</v>
      </c>
      <c r="AX39" s="97">
        <f>AX38+Y39</f>
        <v>164</v>
      </c>
      <c r="AY39" s="97">
        <f>AY38+Z39</f>
        <v>132</v>
      </c>
      <c r="AZ39" s="97">
        <f>AZ38+AA39</f>
        <v>80</v>
      </c>
      <c r="BA39" s="97">
        <f>BA38+AB39</f>
        <v>107</v>
      </c>
      <c r="BB39" s="97">
        <f>BB38+AC39</f>
        <v>100</v>
      </c>
      <c r="BC39" s="97">
        <f>BC38+AD39</f>
        <v>89</v>
      </c>
      <c r="BD39" s="97">
        <f>BD38+AE39</f>
        <v>12</v>
      </c>
      <c r="BE39" s="97">
        <f>BE38+AF39</f>
        <v>0</v>
      </c>
      <c r="BF39" s="97">
        <f>BF38+AG39</f>
        <v>58</v>
      </c>
      <c r="BG39" s="97">
        <f>BG38+AH39</f>
        <v>0</v>
      </c>
      <c r="BH39" s="63">
        <f>IF(A39="",0,
COUNTIF(OrphanPWI_CI_Check!A:A,"*"&amp;A39&amp;"*"))</f>
        <v>0</v>
      </c>
      <c r="BI39" s="63">
        <f>IF(NOT(ISERROR(SEARCH("In Progress",   VLOOKUP($A39,$A:$D,MATCH("Planned For",$A$1:$D$1,0), 1)))),0.5,
 IF($F39="Enabler",0.6,
 IF($I39="EAD N/A",0.8,1))) *  ( ROUNDUP(MAX('Ranking Lookup'!B:B)/5,0) +1 - ROUNDUP(IF(NOT(ISNUMBER(VLOOKUP(A39,'Ranking Lookup'!A:B,2,0))),  MAX('Ranking Lookup'!B:B))/5,0) )</f>
        <v>18</v>
      </c>
      <c r="BK39" s="95"/>
    </row>
    <row r="40" spans="1:63" s="5" customFormat="1" ht="14.4" customHeight="1" x14ac:dyDescent="0.3">
      <c r="A40" s="203">
        <v>1008506</v>
      </c>
      <c r="B40" s="65" t="s">
        <v>1626</v>
      </c>
      <c r="C40" s="98" t="s">
        <v>1866</v>
      </c>
      <c r="D40" s="98" t="s">
        <v>28</v>
      </c>
      <c r="E40" s="65">
        <v>105</v>
      </c>
      <c r="F40" s="99" t="s">
        <v>880</v>
      </c>
      <c r="G40" s="64" t="s">
        <v>2334</v>
      </c>
      <c r="H40" s="64" t="s">
        <v>166</v>
      </c>
      <c r="I40" s="64" t="s">
        <v>1869</v>
      </c>
      <c r="J40" s="98" t="s">
        <v>1412</v>
      </c>
      <c r="K40" s="203">
        <v>354861</v>
      </c>
      <c r="L40" s="62" t="s">
        <v>947</v>
      </c>
      <c r="M40" s="67" t="s">
        <v>37</v>
      </c>
      <c r="N40" s="67" t="s">
        <v>39</v>
      </c>
      <c r="O40" s="67">
        <v>5</v>
      </c>
      <c r="P40" s="67" t="s">
        <v>131</v>
      </c>
      <c r="Q40" s="67" t="s">
        <v>1761</v>
      </c>
      <c r="R40" s="66">
        <v>1</v>
      </c>
      <c r="S40" s="63">
        <v>0</v>
      </c>
      <c r="T40" s="63">
        <v>0</v>
      </c>
      <c r="U40" s="63">
        <v>0</v>
      </c>
      <c r="V40" s="63">
        <v>0</v>
      </c>
      <c r="W40" s="63">
        <v>0</v>
      </c>
      <c r="X40" s="63">
        <v>0</v>
      </c>
      <c r="Y40" s="63">
        <v>0</v>
      </c>
      <c r="Z40" s="63">
        <v>0</v>
      </c>
      <c r="AA40" s="63">
        <v>0</v>
      </c>
      <c r="AB40" s="63">
        <v>0</v>
      </c>
      <c r="AC40" s="63">
        <v>89</v>
      </c>
      <c r="AD40" s="63">
        <v>0</v>
      </c>
      <c r="AE40" s="63">
        <v>0</v>
      </c>
      <c r="AF40" s="63">
        <v>0</v>
      </c>
      <c r="AG40" s="63">
        <v>0</v>
      </c>
      <c r="AH40" s="63">
        <v>0</v>
      </c>
      <c r="AI40" s="63">
        <v>0</v>
      </c>
      <c r="AJ40" s="63">
        <v>89</v>
      </c>
      <c r="AK40" s="63">
        <v>84</v>
      </c>
      <c r="AL40" s="63" t="s">
        <v>35</v>
      </c>
      <c r="AM40" s="63" t="s">
        <v>854</v>
      </c>
      <c r="AN40" s="149" t="s">
        <v>33</v>
      </c>
      <c r="AO40" s="67" t="str">
        <f>VLOOKUP(A40,'Ranking Lookup'!A:C,3,0)</f>
        <v>Pre PI</v>
      </c>
      <c r="AP40" s="63">
        <f>IFERROR(VLOOKUP($A40,'Ranking Lookup'!$A:$B,2,0),"Unranked")</f>
        <v>38</v>
      </c>
      <c r="AQ40" s="71">
        <f>SUM(S40:AI40,AK40)/E40</f>
        <v>1.6476190476190475</v>
      </c>
      <c r="AR40" s="97">
        <f>IF(A40="","",
COUNTIF(EAD_CIs!I:I,"*"&amp;A40&amp;"*"))</f>
        <v>1</v>
      </c>
      <c r="AS40" s="97">
        <f>AS39+T40</f>
        <v>254</v>
      </c>
      <c r="AT40" s="97">
        <f>AT39+U40</f>
        <v>162</v>
      </c>
      <c r="AU40" s="97">
        <f>AU39+V40</f>
        <v>69</v>
      </c>
      <c r="AV40" s="97">
        <f>AV39+W40</f>
        <v>329</v>
      </c>
      <c r="AW40" s="97">
        <f>AW39+X40</f>
        <v>103</v>
      </c>
      <c r="AX40" s="97">
        <f>AX39+Y40</f>
        <v>164</v>
      </c>
      <c r="AY40" s="97">
        <f>AY39+Z40</f>
        <v>132</v>
      </c>
      <c r="AZ40" s="97">
        <f>AZ39+AA40</f>
        <v>80</v>
      </c>
      <c r="BA40" s="97">
        <f>BA39+AB40</f>
        <v>107</v>
      </c>
      <c r="BB40" s="97">
        <f>BB39+AC40</f>
        <v>189</v>
      </c>
      <c r="BC40" s="97">
        <f>BC39+AD40</f>
        <v>89</v>
      </c>
      <c r="BD40" s="97">
        <f>BD39+AE40</f>
        <v>12</v>
      </c>
      <c r="BE40" s="97">
        <f>BE39+AF40</f>
        <v>0</v>
      </c>
      <c r="BF40" s="97">
        <f>BF39+AG40</f>
        <v>58</v>
      </c>
      <c r="BG40" s="97">
        <f>BG39+AH40</f>
        <v>0</v>
      </c>
      <c r="BH40" s="63">
        <f>IF(A40="",0,
COUNTIF(OrphanPWI_CI_Check!A:A,"*"&amp;A40&amp;"*"))</f>
        <v>0</v>
      </c>
      <c r="BI40" s="63">
        <f>IF(NOT(ISERROR(SEARCH("In Progress",   VLOOKUP($A40,$A:$D,MATCH("Planned For",$A$1:$D$1,0), 1)))),0.5,
 IF($F40="Enabler",0.6,
 IF($I40="EAD N/A",0.8,1))) *  ( ROUNDUP(MAX('Ranking Lookup'!B:B)/5,0) +1 - ROUNDUP(IF(NOT(ISNUMBER(VLOOKUP(A40,'Ranking Lookup'!A:B,2,0))),  MAX('Ranking Lookup'!B:B))/5,0) )</f>
        <v>18</v>
      </c>
      <c r="BK40" s="95"/>
    </row>
    <row r="41" spans="1:63" s="5" customFormat="1" ht="14.4" customHeight="1" x14ac:dyDescent="0.3">
      <c r="A41" s="203">
        <v>1002345</v>
      </c>
      <c r="B41" s="65" t="s">
        <v>1574</v>
      </c>
      <c r="C41" s="98" t="s">
        <v>1866</v>
      </c>
      <c r="D41" s="98" t="s">
        <v>106</v>
      </c>
      <c r="E41" s="65">
        <v>67</v>
      </c>
      <c r="F41" s="99" t="s">
        <v>880</v>
      </c>
      <c r="G41" s="99" t="s">
        <v>2323</v>
      </c>
      <c r="H41" s="64" t="s">
        <v>170</v>
      </c>
      <c r="I41" s="64" t="s">
        <v>1869</v>
      </c>
      <c r="J41" s="98" t="s">
        <v>1412</v>
      </c>
      <c r="K41" s="203">
        <v>1000707</v>
      </c>
      <c r="L41" s="62" t="s">
        <v>943</v>
      </c>
      <c r="M41" s="67" t="s">
        <v>37</v>
      </c>
      <c r="N41" s="67" t="s">
        <v>36</v>
      </c>
      <c r="O41" s="67">
        <v>3</v>
      </c>
      <c r="P41" s="67" t="s">
        <v>131</v>
      </c>
      <c r="Q41" s="67" t="s">
        <v>1761</v>
      </c>
      <c r="R41" s="66">
        <v>2</v>
      </c>
      <c r="S41" s="63">
        <v>12</v>
      </c>
      <c r="T41" s="63">
        <v>0</v>
      </c>
      <c r="U41" s="63">
        <v>0</v>
      </c>
      <c r="V41" s="63">
        <v>3</v>
      </c>
      <c r="W41" s="63">
        <v>0</v>
      </c>
      <c r="X41" s="63">
        <v>22</v>
      </c>
      <c r="Y41" s="63">
        <v>0</v>
      </c>
      <c r="Z41" s="63">
        <v>0</v>
      </c>
      <c r="AA41" s="63">
        <v>0</v>
      </c>
      <c r="AB41" s="63">
        <v>0</v>
      </c>
      <c r="AC41" s="63">
        <v>0</v>
      </c>
      <c r="AD41" s="63">
        <v>0</v>
      </c>
      <c r="AE41" s="63">
        <v>0</v>
      </c>
      <c r="AF41" s="63">
        <v>0</v>
      </c>
      <c r="AG41" s="63">
        <v>0</v>
      </c>
      <c r="AH41" s="63">
        <v>0</v>
      </c>
      <c r="AI41" s="63">
        <v>0</v>
      </c>
      <c r="AJ41" s="63">
        <v>25</v>
      </c>
      <c r="AK41" s="63">
        <v>31</v>
      </c>
      <c r="AL41" s="63" t="s">
        <v>35</v>
      </c>
      <c r="AM41" s="63" t="s">
        <v>854</v>
      </c>
      <c r="AN41" s="149" t="s">
        <v>33</v>
      </c>
      <c r="AO41" s="67" t="str">
        <f>VLOOKUP(A41,'Ranking Lookup'!A:C,3,0)</f>
        <v>Pre PI</v>
      </c>
      <c r="AP41" s="63">
        <f>IFERROR(VLOOKUP($A41,'Ranking Lookup'!$A:$B,2,0),"Unranked")</f>
        <v>39</v>
      </c>
      <c r="AQ41" s="71">
        <f>SUM(S41:AI41,AK41)/E41</f>
        <v>1.0149253731343284</v>
      </c>
      <c r="AR41" s="97">
        <f>IF(A41="","",
COUNTIF(EAD_CIs!I:I,"*"&amp;A41&amp;"*"))</f>
        <v>2</v>
      </c>
      <c r="AS41" s="97">
        <f>AS40+T41</f>
        <v>254</v>
      </c>
      <c r="AT41" s="97">
        <f>AT40+U41</f>
        <v>162</v>
      </c>
      <c r="AU41" s="97">
        <f>AU40+V41</f>
        <v>72</v>
      </c>
      <c r="AV41" s="97">
        <f>AV40+W41</f>
        <v>329</v>
      </c>
      <c r="AW41" s="97">
        <f>AW40+X41</f>
        <v>125</v>
      </c>
      <c r="AX41" s="97">
        <f>AX40+Y41</f>
        <v>164</v>
      </c>
      <c r="AY41" s="97">
        <f>AY40+Z41</f>
        <v>132</v>
      </c>
      <c r="AZ41" s="97">
        <f>AZ40+AA41</f>
        <v>80</v>
      </c>
      <c r="BA41" s="97">
        <f>BA40+AB41</f>
        <v>107</v>
      </c>
      <c r="BB41" s="97">
        <f>BB40+AC41</f>
        <v>189</v>
      </c>
      <c r="BC41" s="97">
        <f>BC40+AD41</f>
        <v>89</v>
      </c>
      <c r="BD41" s="97">
        <f>BD40+AE41</f>
        <v>12</v>
      </c>
      <c r="BE41" s="97">
        <f>BE40+AF41</f>
        <v>0</v>
      </c>
      <c r="BF41" s="97">
        <f>BF40+AG41</f>
        <v>58</v>
      </c>
      <c r="BG41" s="97">
        <f>BG40+AH41</f>
        <v>0</v>
      </c>
      <c r="BH41" s="63">
        <f>IF(A41="",0,
COUNTIF(OrphanPWI_CI_Check!A:A,"*"&amp;A41&amp;"*"))</f>
        <v>0</v>
      </c>
      <c r="BI41" s="63">
        <f>IF(NOT(ISERROR(SEARCH("In Progress",   VLOOKUP($A41,$A:$D,MATCH("Planned For",$A$1:$D$1,0), 1)))),0.5,
 IF($F41="Enabler",0.6,
 IF($I41="EAD N/A",0.8,1))) *  ( ROUNDUP(MAX('Ranking Lookup'!B:B)/5,0) +1 - ROUNDUP(IF(NOT(ISNUMBER(VLOOKUP(A41,'Ranking Lookup'!A:B,2,0))),  MAX('Ranking Lookup'!B:B))/5,0) )</f>
        <v>18</v>
      </c>
      <c r="BK41" s="95"/>
    </row>
    <row r="42" spans="1:63" s="5" customFormat="1" ht="14.4" customHeight="1" x14ac:dyDescent="0.3">
      <c r="A42" s="203">
        <v>1002381</v>
      </c>
      <c r="B42" s="65" t="s">
        <v>1175</v>
      </c>
      <c r="C42" s="98" t="s">
        <v>972</v>
      </c>
      <c r="D42" s="64" t="s">
        <v>106</v>
      </c>
      <c r="E42" s="65">
        <v>41</v>
      </c>
      <c r="F42" s="65" t="s">
        <v>879</v>
      </c>
      <c r="G42" s="99" t="s">
        <v>2322</v>
      </c>
      <c r="H42" s="64" t="s">
        <v>170</v>
      </c>
      <c r="I42" s="64" t="s">
        <v>38</v>
      </c>
      <c r="J42" s="98" t="s">
        <v>1412</v>
      </c>
      <c r="K42" s="203">
        <v>1000707</v>
      </c>
      <c r="L42" s="62" t="s">
        <v>943</v>
      </c>
      <c r="M42" s="67" t="s">
        <v>37</v>
      </c>
      <c r="N42" s="67" t="s">
        <v>36</v>
      </c>
      <c r="O42" s="67">
        <v>0</v>
      </c>
      <c r="P42" s="67" t="s">
        <v>131</v>
      </c>
      <c r="Q42" s="67" t="s">
        <v>1761</v>
      </c>
      <c r="R42" s="66">
        <v>2</v>
      </c>
      <c r="S42" s="63">
        <v>11</v>
      </c>
      <c r="T42" s="63">
        <v>0</v>
      </c>
      <c r="U42" s="63">
        <v>0</v>
      </c>
      <c r="V42" s="63">
        <v>0</v>
      </c>
      <c r="W42" s="63">
        <v>0</v>
      </c>
      <c r="X42" s="63">
        <v>18</v>
      </c>
      <c r="Y42" s="63">
        <v>4</v>
      </c>
      <c r="Z42" s="63">
        <v>0</v>
      </c>
      <c r="AA42" s="63">
        <v>0</v>
      </c>
      <c r="AB42" s="63">
        <v>0</v>
      </c>
      <c r="AC42" s="63">
        <v>0</v>
      </c>
      <c r="AD42" s="63">
        <v>0</v>
      </c>
      <c r="AE42" s="63">
        <v>0</v>
      </c>
      <c r="AF42" s="63">
        <v>0</v>
      </c>
      <c r="AG42" s="63">
        <v>0</v>
      </c>
      <c r="AH42" s="63">
        <v>0</v>
      </c>
      <c r="AI42" s="63">
        <v>7</v>
      </c>
      <c r="AJ42" s="63">
        <v>22</v>
      </c>
      <c r="AK42" s="63">
        <v>3</v>
      </c>
      <c r="AL42" s="63" t="s">
        <v>35</v>
      </c>
      <c r="AM42" s="63" t="s">
        <v>854</v>
      </c>
      <c r="AN42" s="149" t="s">
        <v>33</v>
      </c>
      <c r="AO42" s="67" t="str">
        <f>VLOOKUP(A42,'Ranking Lookup'!A:C,3,0)</f>
        <v>Pre PI</v>
      </c>
      <c r="AP42" s="63">
        <f>IFERROR(VLOOKUP($A42,'Ranking Lookup'!$A:$B,2,0),"Unranked")</f>
        <v>40</v>
      </c>
      <c r="AQ42" s="71">
        <f>SUM(S42:AI42,AK42)/E42</f>
        <v>1.0487804878048781</v>
      </c>
      <c r="AR42" s="97">
        <f>IF(A42="","",
COUNTIF(EAD_CIs!I:I,"*"&amp;A42&amp;"*"))</f>
        <v>8</v>
      </c>
      <c r="AS42" s="97">
        <f>AS41+T42</f>
        <v>254</v>
      </c>
      <c r="AT42" s="97">
        <f>AT41+U42</f>
        <v>162</v>
      </c>
      <c r="AU42" s="97">
        <f>AU41+V42</f>
        <v>72</v>
      </c>
      <c r="AV42" s="97">
        <f>AV41+W42</f>
        <v>329</v>
      </c>
      <c r="AW42" s="97">
        <f>AW41+X42</f>
        <v>143</v>
      </c>
      <c r="AX42" s="97">
        <f>AX41+Y42</f>
        <v>168</v>
      </c>
      <c r="AY42" s="97">
        <f>AY41+Z42</f>
        <v>132</v>
      </c>
      <c r="AZ42" s="97">
        <f>AZ41+AA42</f>
        <v>80</v>
      </c>
      <c r="BA42" s="97">
        <f>BA41+AB42</f>
        <v>107</v>
      </c>
      <c r="BB42" s="97">
        <f>BB41+AC42</f>
        <v>189</v>
      </c>
      <c r="BC42" s="97">
        <f>BC41+AD42</f>
        <v>89</v>
      </c>
      <c r="BD42" s="97">
        <f>BD41+AE42</f>
        <v>12</v>
      </c>
      <c r="BE42" s="97">
        <f>BE41+AF42</f>
        <v>0</v>
      </c>
      <c r="BF42" s="97">
        <f>BF41+AG42</f>
        <v>58</v>
      </c>
      <c r="BG42" s="97">
        <f>BG41+AH42</f>
        <v>0</v>
      </c>
      <c r="BH42" s="63">
        <f>IF(A42="",0,
COUNTIF(OrphanPWI_CI_Check!A:A,"*"&amp;A42&amp;"*"))</f>
        <v>0</v>
      </c>
      <c r="BI42" s="63">
        <f>IF(NOT(ISERROR(SEARCH("In Progress",   VLOOKUP($A42,$A:$D,MATCH("Planned For",$A$1:$D$1,0), 1)))),0.5,
 IF($F42="Enabler",0.6,
 IF($I42="EAD N/A",0.8,1))) *  ( ROUNDUP(MAX('Ranking Lookup'!B:B)/5,0) +1 - ROUNDUP(IF(NOT(ISNUMBER(VLOOKUP(A42,'Ranking Lookup'!A:B,2,0))),  MAX('Ranking Lookup'!B:B))/5,0) )</f>
        <v>14.4</v>
      </c>
      <c r="BK42"/>
    </row>
    <row r="43" spans="1:63" s="5" customFormat="1" ht="14.4" customHeight="1" x14ac:dyDescent="0.3">
      <c r="A43" s="203">
        <v>1007900</v>
      </c>
      <c r="B43" s="65" t="s">
        <v>1586</v>
      </c>
      <c r="C43" s="98" t="s">
        <v>1866</v>
      </c>
      <c r="D43" s="98" t="s">
        <v>28</v>
      </c>
      <c r="E43" s="65">
        <v>132</v>
      </c>
      <c r="F43" s="99" t="s">
        <v>880</v>
      </c>
      <c r="G43" s="99" t="s">
        <v>2335</v>
      </c>
      <c r="H43" s="64" t="s">
        <v>138</v>
      </c>
      <c r="I43" s="64" t="s">
        <v>1869</v>
      </c>
      <c r="J43" s="98" t="s">
        <v>1412</v>
      </c>
      <c r="K43" s="203">
        <v>354861</v>
      </c>
      <c r="L43" s="62" t="s">
        <v>950</v>
      </c>
      <c r="M43" s="67" t="s">
        <v>37</v>
      </c>
      <c r="N43" s="67" t="s">
        <v>39</v>
      </c>
      <c r="O43" s="67">
        <v>4</v>
      </c>
      <c r="P43" s="67" t="s">
        <v>131</v>
      </c>
      <c r="Q43" s="67" t="s">
        <v>1761</v>
      </c>
      <c r="R43" s="66">
        <v>4</v>
      </c>
      <c r="S43" s="63">
        <v>0</v>
      </c>
      <c r="T43" s="63">
        <v>0</v>
      </c>
      <c r="U43" s="63">
        <v>0</v>
      </c>
      <c r="V43" s="63">
        <v>10</v>
      </c>
      <c r="W43" s="63">
        <v>0</v>
      </c>
      <c r="X43" s="63">
        <v>0</v>
      </c>
      <c r="Y43" s="63">
        <v>0</v>
      </c>
      <c r="Z43" s="63">
        <v>84</v>
      </c>
      <c r="AA43" s="63">
        <v>0</v>
      </c>
      <c r="AB43" s="63">
        <v>0</v>
      </c>
      <c r="AC43" s="63">
        <v>3</v>
      </c>
      <c r="AD43" s="63">
        <v>8</v>
      </c>
      <c r="AE43" s="63">
        <v>0</v>
      </c>
      <c r="AF43" s="63">
        <v>0</v>
      </c>
      <c r="AG43" s="63">
        <v>0</v>
      </c>
      <c r="AH43" s="63">
        <v>0</v>
      </c>
      <c r="AI43" s="63">
        <v>0</v>
      </c>
      <c r="AJ43" s="63">
        <v>105</v>
      </c>
      <c r="AK43" s="63">
        <v>41</v>
      </c>
      <c r="AL43" s="63" t="s">
        <v>35</v>
      </c>
      <c r="AM43" s="63" t="s">
        <v>854</v>
      </c>
      <c r="AN43" s="149" t="s">
        <v>33</v>
      </c>
      <c r="AO43" s="67" t="str">
        <f>VLOOKUP(A43,'Ranking Lookup'!A:C,3,0)</f>
        <v>Pre PI</v>
      </c>
      <c r="AP43" s="63">
        <f>IFERROR(VLOOKUP($A43,'Ranking Lookup'!$A:$B,2,0),"Unranked")</f>
        <v>41</v>
      </c>
      <c r="AQ43" s="71">
        <f>SUM(S43:AI43,AK43)/E43</f>
        <v>1.106060606060606</v>
      </c>
      <c r="AR43" s="97">
        <f>IF(A43="","",
COUNTIF(EAD_CIs!I:I,"*"&amp;A43&amp;"*"))</f>
        <v>18</v>
      </c>
      <c r="AS43" s="97">
        <f>AS42+T43</f>
        <v>254</v>
      </c>
      <c r="AT43" s="97">
        <f>AT42+U43</f>
        <v>162</v>
      </c>
      <c r="AU43" s="97">
        <f>AU42+V43</f>
        <v>82</v>
      </c>
      <c r="AV43" s="97">
        <f>AV42+W43</f>
        <v>329</v>
      </c>
      <c r="AW43" s="97">
        <f>AW42+X43</f>
        <v>143</v>
      </c>
      <c r="AX43" s="97">
        <f>AX42+Y43</f>
        <v>168</v>
      </c>
      <c r="AY43" s="97">
        <f>AY42+Z43</f>
        <v>216</v>
      </c>
      <c r="AZ43" s="97">
        <f>AZ42+AA43</f>
        <v>80</v>
      </c>
      <c r="BA43" s="97">
        <f>BA42+AB43</f>
        <v>107</v>
      </c>
      <c r="BB43" s="97">
        <f>BB42+AC43</f>
        <v>192</v>
      </c>
      <c r="BC43" s="97">
        <f>BC42+AD43</f>
        <v>97</v>
      </c>
      <c r="BD43" s="97">
        <f>BD42+AE43</f>
        <v>12</v>
      </c>
      <c r="BE43" s="97">
        <f>BE42+AF43</f>
        <v>0</v>
      </c>
      <c r="BF43" s="97">
        <f>BF42+AG43</f>
        <v>58</v>
      </c>
      <c r="BG43" s="97">
        <f>BG42+AH43</f>
        <v>0</v>
      </c>
      <c r="BH43" s="63">
        <f>IF(A43="",0,
COUNTIF(OrphanPWI_CI_Check!A:A,"*"&amp;A43&amp;"*"))</f>
        <v>38</v>
      </c>
      <c r="BI43" s="63">
        <f>IF(NOT(ISERROR(SEARCH("In Progress",   VLOOKUP($A43,$A:$D,MATCH("Planned For",$A$1:$D$1,0), 1)))),0.5,
 IF($F43="Enabler",0.6,
 IF($I43="EAD N/A",0.8,1))) *  ( ROUNDUP(MAX('Ranking Lookup'!B:B)/5,0) +1 - ROUNDUP(IF(NOT(ISNUMBER(VLOOKUP(A43,'Ranking Lookup'!A:B,2,0))),  MAX('Ranking Lookup'!B:B))/5,0) )</f>
        <v>18</v>
      </c>
      <c r="BK43" s="95"/>
    </row>
    <row r="44" spans="1:63" s="5" customFormat="1" ht="14.4" customHeight="1" x14ac:dyDescent="0.3">
      <c r="A44" s="203">
        <v>385442</v>
      </c>
      <c r="B44" s="65" t="s">
        <v>983</v>
      </c>
      <c r="C44" s="98" t="s">
        <v>972</v>
      </c>
      <c r="D44" s="98" t="s">
        <v>106</v>
      </c>
      <c r="E44" s="65">
        <v>128</v>
      </c>
      <c r="F44" s="64" t="s">
        <v>879</v>
      </c>
      <c r="G44" s="99" t="s">
        <v>954</v>
      </c>
      <c r="H44" s="64" t="s">
        <v>1584</v>
      </c>
      <c r="I44" s="64" t="s">
        <v>38</v>
      </c>
      <c r="J44" s="98" t="s">
        <v>1412</v>
      </c>
      <c r="K44" s="203">
        <v>385438</v>
      </c>
      <c r="L44" s="62" t="s">
        <v>950</v>
      </c>
      <c r="M44" s="67" t="s">
        <v>36</v>
      </c>
      <c r="N44" s="67" t="s">
        <v>36</v>
      </c>
      <c r="O44" s="67">
        <v>0</v>
      </c>
      <c r="P44" s="67" t="s">
        <v>131</v>
      </c>
      <c r="Q44" s="67" t="s">
        <v>36</v>
      </c>
      <c r="R44" s="66">
        <v>2</v>
      </c>
      <c r="S44" s="63">
        <v>91</v>
      </c>
      <c r="T44" s="63">
        <v>0</v>
      </c>
      <c r="U44" s="63">
        <v>0</v>
      </c>
      <c r="V44" s="63">
        <v>0</v>
      </c>
      <c r="W44" s="63">
        <v>0</v>
      </c>
      <c r="X44" s="63">
        <v>0</v>
      </c>
      <c r="Y44" s="63">
        <v>3</v>
      </c>
      <c r="Z44" s="63">
        <v>51</v>
      </c>
      <c r="AA44" s="63">
        <v>0</v>
      </c>
      <c r="AB44" s="63">
        <v>0</v>
      </c>
      <c r="AC44" s="63">
        <v>0</v>
      </c>
      <c r="AD44" s="63">
        <v>0</v>
      </c>
      <c r="AE44" s="63">
        <v>0</v>
      </c>
      <c r="AF44" s="63">
        <v>0</v>
      </c>
      <c r="AG44" s="63">
        <v>0</v>
      </c>
      <c r="AH44" s="63">
        <v>0</v>
      </c>
      <c r="AI44" s="63">
        <v>0</v>
      </c>
      <c r="AJ44" s="63">
        <v>54</v>
      </c>
      <c r="AK44" s="63">
        <v>0</v>
      </c>
      <c r="AL44" s="63" t="s">
        <v>35</v>
      </c>
      <c r="AM44" s="63" t="s">
        <v>854</v>
      </c>
      <c r="AN44" s="149" t="s">
        <v>33</v>
      </c>
      <c r="AO44" s="67" t="str">
        <f>VLOOKUP(A44,'Ranking Lookup'!A:C,3,0)</f>
        <v>Pre PI</v>
      </c>
      <c r="AP44" s="63">
        <f>IFERROR(VLOOKUP($A44,'Ranking Lookup'!$A:$B,2,0),"Unranked")</f>
        <v>42</v>
      </c>
      <c r="AQ44" s="71">
        <f>SUM(S44:AI44,AK44)/E44</f>
        <v>1.1328125</v>
      </c>
      <c r="AR44" s="97">
        <f>IF(A44="","",
COUNTIF(EAD_CIs!I:I,"*"&amp;A44&amp;"*"))</f>
        <v>0</v>
      </c>
      <c r="AS44" s="97">
        <f>AS43+T44</f>
        <v>254</v>
      </c>
      <c r="AT44" s="97">
        <f>AT43+U44</f>
        <v>162</v>
      </c>
      <c r="AU44" s="97">
        <f>AU43+V44</f>
        <v>82</v>
      </c>
      <c r="AV44" s="97">
        <f>AV43+W44</f>
        <v>329</v>
      </c>
      <c r="AW44" s="97">
        <f>AW43+X44</f>
        <v>143</v>
      </c>
      <c r="AX44" s="97">
        <f>AX43+Y44</f>
        <v>171</v>
      </c>
      <c r="AY44" s="97">
        <f>AY43+Z44</f>
        <v>267</v>
      </c>
      <c r="AZ44" s="97">
        <f>AZ43+AA44</f>
        <v>80</v>
      </c>
      <c r="BA44" s="97">
        <f>BA43+AB44</f>
        <v>107</v>
      </c>
      <c r="BB44" s="97">
        <f>BB43+AC44</f>
        <v>192</v>
      </c>
      <c r="BC44" s="97">
        <f>BC43+AD44</f>
        <v>97</v>
      </c>
      <c r="BD44" s="97">
        <f>BD43+AE44</f>
        <v>12</v>
      </c>
      <c r="BE44" s="97">
        <f>BE43+AF44</f>
        <v>0</v>
      </c>
      <c r="BF44" s="97">
        <f>BF43+AG44</f>
        <v>58</v>
      </c>
      <c r="BG44" s="97">
        <f>BG43+AH44</f>
        <v>0</v>
      </c>
      <c r="BH44" s="63">
        <f>IF(A44="",0,
COUNTIF(OrphanPWI_CI_Check!A:A,"*"&amp;A44&amp;"*"))</f>
        <v>0</v>
      </c>
      <c r="BI44" s="63">
        <f>IF(NOT(ISERROR(SEARCH("In Progress",   VLOOKUP($A44,$A:$D,MATCH("Planned For",$A$1:$D$1,0), 1)))),0.5,
 IF($F44="Enabler",0.6,
 IF($I44="EAD N/A",0.8,1))) *  ( ROUNDUP(MAX('Ranking Lookup'!B:B)/5,0) +1 - ROUNDUP(IF(NOT(ISNUMBER(VLOOKUP(A44,'Ranking Lookup'!A:B,2,0))),  MAX('Ranking Lookup'!B:B))/5,0) )</f>
        <v>14.4</v>
      </c>
      <c r="BK44"/>
    </row>
    <row r="45" spans="1:63" s="5" customFormat="1" ht="14.4" customHeight="1" x14ac:dyDescent="0.3">
      <c r="A45" s="203">
        <v>354871</v>
      </c>
      <c r="B45" s="65" t="s">
        <v>647</v>
      </c>
      <c r="C45" s="98" t="s">
        <v>1866</v>
      </c>
      <c r="D45" s="98" t="s">
        <v>106</v>
      </c>
      <c r="E45" s="65">
        <v>248</v>
      </c>
      <c r="F45" s="99" t="s">
        <v>880</v>
      </c>
      <c r="G45" s="99" t="s">
        <v>959</v>
      </c>
      <c r="H45" s="64" t="s">
        <v>549</v>
      </c>
      <c r="I45" s="64" t="s">
        <v>1869</v>
      </c>
      <c r="J45" s="98" t="s">
        <v>1412</v>
      </c>
      <c r="K45" s="203">
        <v>241501</v>
      </c>
      <c r="L45" s="62" t="s">
        <v>17</v>
      </c>
      <c r="M45" s="67" t="s">
        <v>37</v>
      </c>
      <c r="N45" s="67" t="s">
        <v>39</v>
      </c>
      <c r="O45" s="67">
        <v>3</v>
      </c>
      <c r="P45" s="67" t="s">
        <v>131</v>
      </c>
      <c r="Q45" s="67" t="s">
        <v>1761</v>
      </c>
      <c r="R45" s="66">
        <v>3</v>
      </c>
      <c r="S45" s="63">
        <v>129</v>
      </c>
      <c r="T45" s="63">
        <v>0</v>
      </c>
      <c r="U45" s="63">
        <v>0</v>
      </c>
      <c r="V45" s="63">
        <v>9</v>
      </c>
      <c r="W45" s="63">
        <v>0</v>
      </c>
      <c r="X45" s="63">
        <v>0</v>
      </c>
      <c r="Y45" s="63">
        <v>0</v>
      </c>
      <c r="Z45" s="63">
        <v>3</v>
      </c>
      <c r="AA45" s="63">
        <v>0</v>
      </c>
      <c r="AB45" s="63">
        <v>0</v>
      </c>
      <c r="AC45" s="63">
        <v>0</v>
      </c>
      <c r="AD45" s="63">
        <v>45</v>
      </c>
      <c r="AE45" s="63">
        <v>0</v>
      </c>
      <c r="AF45" s="63">
        <v>0</v>
      </c>
      <c r="AG45" s="63">
        <v>0</v>
      </c>
      <c r="AH45" s="63">
        <v>0</v>
      </c>
      <c r="AI45" s="63">
        <v>3</v>
      </c>
      <c r="AJ45" s="63">
        <v>57</v>
      </c>
      <c r="AK45" s="63">
        <v>0</v>
      </c>
      <c r="AL45" s="63" t="s">
        <v>35</v>
      </c>
      <c r="AM45" s="63" t="s">
        <v>854</v>
      </c>
      <c r="AN45" s="149" t="s">
        <v>33</v>
      </c>
      <c r="AO45" s="67" t="str">
        <f>VLOOKUP(A45,'Ranking Lookup'!A:C,3,0)</f>
        <v>Pre PI</v>
      </c>
      <c r="AP45" s="63">
        <f>IFERROR(VLOOKUP($A45,'Ranking Lookup'!$A:$B,2,0),"Unranked")</f>
        <v>43</v>
      </c>
      <c r="AQ45" s="71">
        <f>SUM(S45:AI45,AK45)/E45</f>
        <v>0.76209677419354838</v>
      </c>
      <c r="AR45" s="97">
        <f>IF(A45="","",
COUNTIF(EAD_CIs!I:I,"*"&amp;A45&amp;"*"))</f>
        <v>1</v>
      </c>
      <c r="AS45" s="97">
        <f>AS44+T45</f>
        <v>254</v>
      </c>
      <c r="AT45" s="97">
        <f>AT44+U45</f>
        <v>162</v>
      </c>
      <c r="AU45" s="97">
        <f>AU44+V45</f>
        <v>91</v>
      </c>
      <c r="AV45" s="97">
        <f>AV44+W45</f>
        <v>329</v>
      </c>
      <c r="AW45" s="97">
        <f>AW44+X45</f>
        <v>143</v>
      </c>
      <c r="AX45" s="97">
        <f>AX44+Y45</f>
        <v>171</v>
      </c>
      <c r="AY45" s="97">
        <f>AY44+Z45</f>
        <v>270</v>
      </c>
      <c r="AZ45" s="97">
        <f>AZ44+AA45</f>
        <v>80</v>
      </c>
      <c r="BA45" s="97">
        <f>BA44+AB45</f>
        <v>107</v>
      </c>
      <c r="BB45" s="97">
        <f>BB44+AC45</f>
        <v>192</v>
      </c>
      <c r="BC45" s="97">
        <f>BC44+AD45</f>
        <v>142</v>
      </c>
      <c r="BD45" s="97">
        <f>BD44+AE45</f>
        <v>12</v>
      </c>
      <c r="BE45" s="97">
        <f>BE44+AF45</f>
        <v>0</v>
      </c>
      <c r="BF45" s="97">
        <f>BF44+AG45</f>
        <v>58</v>
      </c>
      <c r="BG45" s="97">
        <f>BG44+AH45</f>
        <v>0</v>
      </c>
      <c r="BH45" s="63">
        <f>IF(A45="",0,
COUNTIF(OrphanPWI_CI_Check!A:A,"*"&amp;A45&amp;"*"))</f>
        <v>19</v>
      </c>
      <c r="BI45" s="63">
        <f>IF(NOT(ISERROR(SEARCH("In Progress",   VLOOKUP($A45,$A:$D,MATCH("Planned For",$A$1:$D$1,0), 1)))),0.5,
 IF($F45="Enabler",0.6,
 IF($I45="EAD N/A",0.8,1))) *  ( ROUNDUP(MAX('Ranking Lookup'!B:B)/5,0) +1 - ROUNDUP(IF(NOT(ISNUMBER(VLOOKUP(A45,'Ranking Lookup'!A:B,2,0))),  MAX('Ranking Lookup'!B:B))/5,0) )</f>
        <v>18</v>
      </c>
      <c r="BK45" s="95"/>
    </row>
    <row r="46" spans="1:63" s="5" customFormat="1" ht="14.4" customHeight="1" x14ac:dyDescent="0.3">
      <c r="A46" s="203">
        <v>388053</v>
      </c>
      <c r="B46" s="65" t="s">
        <v>887</v>
      </c>
      <c r="C46" s="98" t="s">
        <v>972</v>
      </c>
      <c r="D46" s="98" t="s">
        <v>106</v>
      </c>
      <c r="E46" s="65">
        <v>97</v>
      </c>
      <c r="F46" s="99" t="s">
        <v>41</v>
      </c>
      <c r="G46" s="99" t="s">
        <v>1471</v>
      </c>
      <c r="H46" s="64" t="s">
        <v>1575</v>
      </c>
      <c r="I46" s="64" t="s">
        <v>38</v>
      </c>
      <c r="J46" s="98" t="s">
        <v>1412</v>
      </c>
      <c r="K46" s="203">
        <v>388154</v>
      </c>
      <c r="L46" s="62" t="s">
        <v>15</v>
      </c>
      <c r="M46" s="67" t="s">
        <v>37</v>
      </c>
      <c r="N46" s="67" t="s">
        <v>39</v>
      </c>
      <c r="O46" s="67">
        <v>0</v>
      </c>
      <c r="P46" s="67" t="s">
        <v>131</v>
      </c>
      <c r="Q46" s="67" t="s">
        <v>36</v>
      </c>
      <c r="R46" s="66">
        <v>1</v>
      </c>
      <c r="S46" s="63">
        <v>75</v>
      </c>
      <c r="T46" s="63">
        <v>0</v>
      </c>
      <c r="U46" s="63">
        <v>0</v>
      </c>
      <c r="V46" s="63">
        <v>0</v>
      </c>
      <c r="W46" s="63">
        <v>0</v>
      </c>
      <c r="X46" s="63">
        <v>0</v>
      </c>
      <c r="Y46" s="63">
        <v>0</v>
      </c>
      <c r="Z46" s="63">
        <v>0</v>
      </c>
      <c r="AA46" s="63">
        <v>0</v>
      </c>
      <c r="AB46" s="63">
        <v>21</v>
      </c>
      <c r="AC46" s="63">
        <v>0</v>
      </c>
      <c r="AD46" s="63">
        <v>0</v>
      </c>
      <c r="AE46" s="63">
        <v>0</v>
      </c>
      <c r="AF46" s="63">
        <v>0</v>
      </c>
      <c r="AG46" s="63">
        <v>0</v>
      </c>
      <c r="AH46" s="63">
        <v>0</v>
      </c>
      <c r="AI46" s="63">
        <v>1</v>
      </c>
      <c r="AJ46" s="63">
        <v>21</v>
      </c>
      <c r="AK46" s="63">
        <v>0</v>
      </c>
      <c r="AL46" s="63" t="s">
        <v>35</v>
      </c>
      <c r="AM46" s="63" t="s">
        <v>854</v>
      </c>
      <c r="AN46" s="149" t="s">
        <v>33</v>
      </c>
      <c r="AO46" s="67" t="str">
        <f>VLOOKUP(A46,'Ranking Lookup'!A:C,3,0)</f>
        <v>Pre PI</v>
      </c>
      <c r="AP46" s="63">
        <f>IFERROR(VLOOKUP($A46,'Ranking Lookup'!$A:$B,2,0),"Unranked")</f>
        <v>44</v>
      </c>
      <c r="AQ46" s="71">
        <f>SUM(S46:AI46,AK46)/E46</f>
        <v>1</v>
      </c>
      <c r="AR46" s="97">
        <f>IF(A46="","",
COUNTIF(EAD_CIs!I:I,"*"&amp;A46&amp;"*"))</f>
        <v>0</v>
      </c>
      <c r="AS46" s="97">
        <f>AS45+T46</f>
        <v>254</v>
      </c>
      <c r="AT46" s="97">
        <f>AT45+U46</f>
        <v>162</v>
      </c>
      <c r="AU46" s="97">
        <f>AU45+V46</f>
        <v>91</v>
      </c>
      <c r="AV46" s="97">
        <f>AV45+W46</f>
        <v>329</v>
      </c>
      <c r="AW46" s="97">
        <f>AW45+X46</f>
        <v>143</v>
      </c>
      <c r="AX46" s="97">
        <f>AX45+Y46</f>
        <v>171</v>
      </c>
      <c r="AY46" s="97">
        <f>AY45+Z46</f>
        <v>270</v>
      </c>
      <c r="AZ46" s="97">
        <f>AZ45+AA46</f>
        <v>80</v>
      </c>
      <c r="BA46" s="97">
        <f>BA45+AB46</f>
        <v>128</v>
      </c>
      <c r="BB46" s="97">
        <f>BB45+AC46</f>
        <v>192</v>
      </c>
      <c r="BC46" s="97">
        <f>BC45+AD46</f>
        <v>142</v>
      </c>
      <c r="BD46" s="97">
        <f>BD45+AE46</f>
        <v>12</v>
      </c>
      <c r="BE46" s="97">
        <f>BE45+AF46</f>
        <v>0</v>
      </c>
      <c r="BF46" s="97">
        <f>BF45+AG46</f>
        <v>58</v>
      </c>
      <c r="BG46" s="97">
        <f>BG45+AH46</f>
        <v>0</v>
      </c>
      <c r="BH46" s="63">
        <f>IF(A46="",0,
COUNTIF(OrphanPWI_CI_Check!A:A,"*"&amp;A46&amp;"*"))</f>
        <v>0</v>
      </c>
      <c r="BI46" s="63">
        <f>IF(NOT(ISERROR(SEARCH("In Progress",   VLOOKUP($A46,$A:$D,MATCH("Planned For",$A$1:$D$1,0), 1)))),0.5,
 IF($F46="Enabler",0.6,
 IF($I46="EAD N/A",0.8,1))) *  ( ROUNDUP(MAX('Ranking Lookup'!B:B)/5,0) +1 - ROUNDUP(IF(NOT(ISNUMBER(VLOOKUP(A46,'Ranking Lookup'!A:B,2,0))),  MAX('Ranking Lookup'!B:B))/5,0) )</f>
        <v>10.799999999999999</v>
      </c>
      <c r="BK46" s="95"/>
    </row>
    <row r="47" spans="1:63" s="5" customFormat="1" ht="14.4" customHeight="1" x14ac:dyDescent="0.3">
      <c r="A47" s="203">
        <v>1013234</v>
      </c>
      <c r="B47" s="65" t="s">
        <v>2018</v>
      </c>
      <c r="C47" s="98" t="s">
        <v>1321</v>
      </c>
      <c r="D47" s="98" t="s">
        <v>2020</v>
      </c>
      <c r="E47" s="65">
        <v>56</v>
      </c>
      <c r="F47" s="99" t="s">
        <v>879</v>
      </c>
      <c r="G47" s="99" t="s">
        <v>2319</v>
      </c>
      <c r="H47" s="64" t="s">
        <v>1575</v>
      </c>
      <c r="I47" s="64" t="s">
        <v>38</v>
      </c>
      <c r="J47" s="98" t="s">
        <v>1412</v>
      </c>
      <c r="K47" s="203">
        <v>388154</v>
      </c>
      <c r="L47" s="62" t="s">
        <v>15</v>
      </c>
      <c r="M47" s="67" t="s">
        <v>37</v>
      </c>
      <c r="N47" s="67" t="s">
        <v>39</v>
      </c>
      <c r="O47" s="67">
        <v>0</v>
      </c>
      <c r="P47" s="67" t="s">
        <v>131</v>
      </c>
      <c r="Q47" s="67" t="s">
        <v>36</v>
      </c>
      <c r="R47" s="66">
        <v>2</v>
      </c>
      <c r="S47" s="63">
        <v>0</v>
      </c>
      <c r="T47" s="63">
        <v>0</v>
      </c>
      <c r="U47" s="63">
        <v>0</v>
      </c>
      <c r="V47" s="63">
        <v>0</v>
      </c>
      <c r="W47" s="63">
        <v>0</v>
      </c>
      <c r="X47" s="63">
        <v>0</v>
      </c>
      <c r="Y47" s="63">
        <v>0</v>
      </c>
      <c r="Z47" s="63">
        <v>0</v>
      </c>
      <c r="AA47" s="63">
        <v>0</v>
      </c>
      <c r="AB47" s="63">
        <v>8</v>
      </c>
      <c r="AC47" s="63">
        <v>48</v>
      </c>
      <c r="AD47" s="63">
        <v>0</v>
      </c>
      <c r="AE47" s="63">
        <v>0</v>
      </c>
      <c r="AF47" s="63">
        <v>0</v>
      </c>
      <c r="AG47" s="63">
        <v>0</v>
      </c>
      <c r="AH47" s="63">
        <v>0</v>
      </c>
      <c r="AI47" s="63">
        <v>0</v>
      </c>
      <c r="AJ47" s="63">
        <v>56</v>
      </c>
      <c r="AK47" s="63">
        <v>0</v>
      </c>
      <c r="AL47" s="63" t="s">
        <v>35</v>
      </c>
      <c r="AM47" s="63" t="s">
        <v>854</v>
      </c>
      <c r="AN47" s="149" t="s">
        <v>40</v>
      </c>
      <c r="AO47" s="67" t="str">
        <f>VLOOKUP(A47,'Ranking Lookup'!A:C,3,0)</f>
        <v>Pre PI</v>
      </c>
      <c r="AP47" s="63">
        <f>IFERROR(VLOOKUP($A47,'Ranking Lookup'!$A:$B,2,0),"Unranked")</f>
        <v>45</v>
      </c>
      <c r="AQ47" s="71">
        <f>SUM(S47:AI47,AK47)/E47</f>
        <v>1</v>
      </c>
      <c r="AR47" s="97">
        <f>IF(A47="","",
COUNTIF(EAD_CIs!I:I,"*"&amp;A47&amp;"*"))</f>
        <v>0</v>
      </c>
      <c r="AS47" s="97">
        <f>AS46+T47</f>
        <v>254</v>
      </c>
      <c r="AT47" s="97">
        <f>AT46+U47</f>
        <v>162</v>
      </c>
      <c r="AU47" s="97">
        <f>AU46+V47</f>
        <v>91</v>
      </c>
      <c r="AV47" s="97">
        <f>AV46+W47</f>
        <v>329</v>
      </c>
      <c r="AW47" s="97">
        <f>AW46+X47</f>
        <v>143</v>
      </c>
      <c r="AX47" s="97">
        <f>AX46+Y47</f>
        <v>171</v>
      </c>
      <c r="AY47" s="97">
        <f>AY46+Z47</f>
        <v>270</v>
      </c>
      <c r="AZ47" s="97">
        <f>AZ46+AA47</f>
        <v>80</v>
      </c>
      <c r="BA47" s="97">
        <f>BA46+AB47</f>
        <v>136</v>
      </c>
      <c r="BB47" s="97">
        <f>BB46+AC47</f>
        <v>240</v>
      </c>
      <c r="BC47" s="97">
        <f>BC46+AD47</f>
        <v>142</v>
      </c>
      <c r="BD47" s="97">
        <f>BD46+AE47</f>
        <v>12</v>
      </c>
      <c r="BE47" s="97">
        <f>BE46+AF47</f>
        <v>0</v>
      </c>
      <c r="BF47" s="97">
        <f>BF46+AG47</f>
        <v>58</v>
      </c>
      <c r="BG47" s="97">
        <f>BG46+AH47</f>
        <v>0</v>
      </c>
      <c r="BH47" s="63">
        <f>IF(A47="",0,
COUNTIF(OrphanPWI_CI_Check!A:A,"*"&amp;A47&amp;"*"))</f>
        <v>0</v>
      </c>
      <c r="BI47" s="63">
        <f>IF(NOT(ISERROR(SEARCH("In Progress",   VLOOKUP($A47,$A:$D,MATCH("Planned For",$A$1:$D$1,0), 1)))),0.5,
 IF($F47="Enabler",0.6,
 IF($I47="EAD N/A",0.8,1))) *  ( ROUNDUP(MAX('Ranking Lookup'!B:B)/5,0) +1 - ROUNDUP(IF(NOT(ISNUMBER(VLOOKUP(A47,'Ranking Lookup'!A:B,2,0))),  MAX('Ranking Lookup'!B:B))/5,0) )</f>
        <v>9</v>
      </c>
      <c r="BK47"/>
    </row>
    <row r="48" spans="1:63" s="5" customFormat="1" ht="14.4" customHeight="1" x14ac:dyDescent="0.3">
      <c r="A48" s="203">
        <v>377437</v>
      </c>
      <c r="B48" s="65" t="s">
        <v>1476</v>
      </c>
      <c r="C48" s="98" t="s">
        <v>972</v>
      </c>
      <c r="D48" s="98" t="s">
        <v>106</v>
      </c>
      <c r="E48" s="65">
        <v>71</v>
      </c>
      <c r="F48" s="99" t="s">
        <v>880</v>
      </c>
      <c r="G48" s="99" t="s">
        <v>2288</v>
      </c>
      <c r="H48" s="64" t="s">
        <v>184</v>
      </c>
      <c r="I48" s="64" t="s">
        <v>939</v>
      </c>
      <c r="J48" s="98" t="s">
        <v>1412</v>
      </c>
      <c r="K48" s="203">
        <v>251622</v>
      </c>
      <c r="L48" s="62" t="s">
        <v>950</v>
      </c>
      <c r="M48" s="67" t="s">
        <v>37</v>
      </c>
      <c r="N48" s="67" t="s">
        <v>39</v>
      </c>
      <c r="O48" s="67">
        <v>1</v>
      </c>
      <c r="P48" s="67" t="s">
        <v>131</v>
      </c>
      <c r="Q48" s="67" t="s">
        <v>1760</v>
      </c>
      <c r="R48" s="66">
        <v>3</v>
      </c>
      <c r="S48" s="63">
        <v>45</v>
      </c>
      <c r="T48" s="63">
        <v>0</v>
      </c>
      <c r="U48" s="63">
        <v>5</v>
      </c>
      <c r="V48" s="63">
        <v>1</v>
      </c>
      <c r="W48" s="63">
        <v>0</v>
      </c>
      <c r="X48" s="63">
        <v>0</v>
      </c>
      <c r="Y48" s="63">
        <v>0</v>
      </c>
      <c r="Z48" s="63">
        <v>33</v>
      </c>
      <c r="AA48" s="63">
        <v>0</v>
      </c>
      <c r="AB48" s="63">
        <v>0</v>
      </c>
      <c r="AC48" s="63">
        <v>0</v>
      </c>
      <c r="AD48" s="63">
        <v>0</v>
      </c>
      <c r="AE48" s="63">
        <v>0</v>
      </c>
      <c r="AF48" s="63">
        <v>0</v>
      </c>
      <c r="AG48" s="63">
        <v>0</v>
      </c>
      <c r="AH48" s="63">
        <v>0</v>
      </c>
      <c r="AI48" s="63">
        <v>3</v>
      </c>
      <c r="AJ48" s="63">
        <v>39</v>
      </c>
      <c r="AK48" s="63">
        <v>0</v>
      </c>
      <c r="AL48" s="63" t="s">
        <v>35</v>
      </c>
      <c r="AM48" s="63" t="s">
        <v>854</v>
      </c>
      <c r="AN48" s="149" t="s">
        <v>33</v>
      </c>
      <c r="AO48" s="67" t="str">
        <f>VLOOKUP(A48,'Ranking Lookup'!A:C,3,0)</f>
        <v>Pre PI</v>
      </c>
      <c r="AP48" s="63">
        <f>IFERROR(VLOOKUP($A48,'Ranking Lookup'!$A:$B,2,0),"Unranked")</f>
        <v>46</v>
      </c>
      <c r="AQ48" s="71">
        <f>SUM(S48:AI48,AK48)/E48</f>
        <v>1.2253521126760563</v>
      </c>
      <c r="AR48" s="97">
        <f>IF(A48="","",
COUNTIF(EAD_CIs!I:I,"*"&amp;A48&amp;"*"))</f>
        <v>12</v>
      </c>
      <c r="AS48" s="97">
        <f>AS47+T48</f>
        <v>254</v>
      </c>
      <c r="AT48" s="97">
        <f>AT47+U48</f>
        <v>167</v>
      </c>
      <c r="AU48" s="97">
        <f>AU47+V48</f>
        <v>92</v>
      </c>
      <c r="AV48" s="97">
        <f>AV47+W48</f>
        <v>329</v>
      </c>
      <c r="AW48" s="97">
        <f>AW47+X48</f>
        <v>143</v>
      </c>
      <c r="AX48" s="97">
        <f>AX47+Y48</f>
        <v>171</v>
      </c>
      <c r="AY48" s="97">
        <f>AY47+Z48</f>
        <v>303</v>
      </c>
      <c r="AZ48" s="97">
        <f>AZ47+AA48</f>
        <v>80</v>
      </c>
      <c r="BA48" s="97">
        <f>BA47+AB48</f>
        <v>136</v>
      </c>
      <c r="BB48" s="97">
        <f>BB47+AC48</f>
        <v>240</v>
      </c>
      <c r="BC48" s="97">
        <f>BC47+AD48</f>
        <v>142</v>
      </c>
      <c r="BD48" s="97">
        <f>BD47+AE48</f>
        <v>12</v>
      </c>
      <c r="BE48" s="97">
        <f>BE47+AF48</f>
        <v>0</v>
      </c>
      <c r="BF48" s="97">
        <f>BF47+AG48</f>
        <v>58</v>
      </c>
      <c r="BG48" s="97">
        <f>BG47+AH48</f>
        <v>0</v>
      </c>
      <c r="BH48" s="63">
        <f>IF(A48="",0,
COUNTIF(OrphanPWI_CI_Check!A:A,"*"&amp;A48&amp;"*"))</f>
        <v>5</v>
      </c>
      <c r="BI48" s="63">
        <f>IF(NOT(ISERROR(SEARCH("In Progress",   VLOOKUP($A48,$A:$D,MATCH("Planned For",$A$1:$D$1,0), 1)))),0.5,
 IF($F48="Enabler",0.6,
 IF($I48="EAD N/A",0.8,1))) *  ( ROUNDUP(MAX('Ranking Lookup'!B:B)/5,0) +1 - ROUNDUP(IF(NOT(ISNUMBER(VLOOKUP(A48,'Ranking Lookup'!A:B,2,0))),  MAX('Ranking Lookup'!B:B))/5,0) )</f>
        <v>18</v>
      </c>
      <c r="BK48" s="95"/>
    </row>
    <row r="49" spans="1:63" s="5" customFormat="1" ht="14.4" customHeight="1" x14ac:dyDescent="0.3">
      <c r="A49" s="203">
        <v>1004171</v>
      </c>
      <c r="B49" s="65" t="s">
        <v>1474</v>
      </c>
      <c r="C49" s="98" t="s">
        <v>972</v>
      </c>
      <c r="D49" s="98" t="s">
        <v>106</v>
      </c>
      <c r="E49" s="65">
        <v>59</v>
      </c>
      <c r="F49" s="99" t="s">
        <v>880</v>
      </c>
      <c r="G49" s="99" t="s">
        <v>2337</v>
      </c>
      <c r="H49" s="64" t="s">
        <v>595</v>
      </c>
      <c r="I49" s="64" t="s">
        <v>939</v>
      </c>
      <c r="J49" s="98" t="s">
        <v>1412</v>
      </c>
      <c r="K49" s="203">
        <v>381600</v>
      </c>
      <c r="L49" s="62" t="s">
        <v>554</v>
      </c>
      <c r="M49" s="67" t="s">
        <v>34</v>
      </c>
      <c r="N49" s="67" t="s">
        <v>558</v>
      </c>
      <c r="O49" s="67">
        <v>4</v>
      </c>
      <c r="P49" s="67" t="s">
        <v>131</v>
      </c>
      <c r="Q49" s="67" t="s">
        <v>1760</v>
      </c>
      <c r="R49" s="66">
        <v>2</v>
      </c>
      <c r="S49" s="63">
        <v>32</v>
      </c>
      <c r="T49" s="63">
        <v>0</v>
      </c>
      <c r="U49" s="63">
        <v>0</v>
      </c>
      <c r="V49" s="63">
        <v>0</v>
      </c>
      <c r="W49" s="63">
        <v>0</v>
      </c>
      <c r="X49" s="63">
        <v>0</v>
      </c>
      <c r="Y49" s="63">
        <v>0</v>
      </c>
      <c r="Z49" s="63">
        <v>0</v>
      </c>
      <c r="AA49" s="63">
        <v>0</v>
      </c>
      <c r="AB49" s="63">
        <v>0</v>
      </c>
      <c r="AC49" s="63">
        <v>0</v>
      </c>
      <c r="AD49" s="63">
        <v>0</v>
      </c>
      <c r="AE49" s="63">
        <v>11</v>
      </c>
      <c r="AF49" s="63">
        <v>0</v>
      </c>
      <c r="AG49" s="63">
        <v>31</v>
      </c>
      <c r="AH49" s="63">
        <v>0</v>
      </c>
      <c r="AI49" s="63">
        <v>0</v>
      </c>
      <c r="AJ49" s="63">
        <v>42</v>
      </c>
      <c r="AK49" s="63">
        <v>0</v>
      </c>
      <c r="AL49" s="63" t="s">
        <v>35</v>
      </c>
      <c r="AM49" s="63" t="s">
        <v>854</v>
      </c>
      <c r="AN49" s="149" t="s">
        <v>33</v>
      </c>
      <c r="AO49" s="67" t="str">
        <f>VLOOKUP(A49,'Ranking Lookup'!A:C,3,0)</f>
        <v>Pre PI</v>
      </c>
      <c r="AP49" s="63">
        <f>IFERROR(VLOOKUP($A49,'Ranking Lookup'!$A:$B,2,0),"Unranked")</f>
        <v>47</v>
      </c>
      <c r="AQ49" s="71">
        <f>SUM(S49:AI49,AK49)/E49</f>
        <v>1.2542372881355932</v>
      </c>
      <c r="AR49" s="97">
        <f>IF(A49="","",
COUNTIF(EAD_CIs!I:I,"*"&amp;A49&amp;"*"))</f>
        <v>1</v>
      </c>
      <c r="AS49" s="97">
        <f>AS48+T49</f>
        <v>254</v>
      </c>
      <c r="AT49" s="97">
        <f>AT48+U49</f>
        <v>167</v>
      </c>
      <c r="AU49" s="97">
        <f>AU48+V49</f>
        <v>92</v>
      </c>
      <c r="AV49" s="97">
        <f>AV48+W49</f>
        <v>329</v>
      </c>
      <c r="AW49" s="97">
        <f>AW48+X49</f>
        <v>143</v>
      </c>
      <c r="AX49" s="97">
        <f>AX48+Y49</f>
        <v>171</v>
      </c>
      <c r="AY49" s="97">
        <f>AY48+Z49</f>
        <v>303</v>
      </c>
      <c r="AZ49" s="97">
        <f>AZ48+AA49</f>
        <v>80</v>
      </c>
      <c r="BA49" s="97">
        <f>BA48+AB49</f>
        <v>136</v>
      </c>
      <c r="BB49" s="97">
        <f>BB48+AC49</f>
        <v>240</v>
      </c>
      <c r="BC49" s="97">
        <f>BC48+AD49</f>
        <v>142</v>
      </c>
      <c r="BD49" s="97">
        <f>BD48+AE49</f>
        <v>23</v>
      </c>
      <c r="BE49" s="97">
        <f>BE48+AF49</f>
        <v>0</v>
      </c>
      <c r="BF49" s="97">
        <f>BF48+AG49</f>
        <v>89</v>
      </c>
      <c r="BG49" s="97">
        <f>BG48+AH49</f>
        <v>0</v>
      </c>
      <c r="BH49" s="63">
        <f>IF(A49="",0,
COUNTIF(OrphanPWI_CI_Check!A:A,"*"&amp;A49&amp;"*"))</f>
        <v>0</v>
      </c>
      <c r="BI49" s="63">
        <f>IF(NOT(ISERROR(SEARCH("In Progress",   VLOOKUP($A49,$A:$D,MATCH("Planned For",$A$1:$D$1,0), 1)))),0.5,
 IF($F49="Enabler",0.6,
 IF($I49="EAD N/A",0.8,1))) *  ( ROUNDUP(MAX('Ranking Lookup'!B:B)/5,0) +1 - ROUNDUP(IF(NOT(ISNUMBER(VLOOKUP(A49,'Ranking Lookup'!A:B,2,0))),  MAX('Ranking Lookup'!B:B))/5,0) )</f>
        <v>18</v>
      </c>
      <c r="BK49" s="95"/>
    </row>
    <row r="50" spans="1:63" s="5" customFormat="1" ht="14.4" customHeight="1" x14ac:dyDescent="0.3">
      <c r="A50" s="203">
        <v>297335</v>
      </c>
      <c r="B50" s="65" t="s">
        <v>1151</v>
      </c>
      <c r="C50" s="98" t="s">
        <v>972</v>
      </c>
      <c r="D50" s="98" t="s">
        <v>106</v>
      </c>
      <c r="E50" s="65">
        <v>84</v>
      </c>
      <c r="F50" s="99" t="s">
        <v>41</v>
      </c>
      <c r="G50" s="99" t="s">
        <v>1477</v>
      </c>
      <c r="H50" s="64" t="s">
        <v>981</v>
      </c>
      <c r="I50" s="64" t="s">
        <v>38</v>
      </c>
      <c r="J50" s="98" t="s">
        <v>1412</v>
      </c>
      <c r="K50" s="95">
        <v>0</v>
      </c>
      <c r="L50" s="62" t="s">
        <v>18</v>
      </c>
      <c r="M50" s="67" t="s">
        <v>42</v>
      </c>
      <c r="N50" s="67" t="s">
        <v>46</v>
      </c>
      <c r="O50" s="67">
        <v>0</v>
      </c>
      <c r="P50" s="67" t="s">
        <v>131</v>
      </c>
      <c r="Q50" s="67" t="s">
        <v>36</v>
      </c>
      <c r="R50" s="66">
        <v>2</v>
      </c>
      <c r="S50" s="63">
        <v>36</v>
      </c>
      <c r="T50" s="63">
        <v>0</v>
      </c>
      <c r="U50" s="63">
        <v>0</v>
      </c>
      <c r="V50" s="63">
        <v>0</v>
      </c>
      <c r="W50" s="63">
        <v>0</v>
      </c>
      <c r="X50" s="63">
        <v>0</v>
      </c>
      <c r="Y50" s="63">
        <v>0</v>
      </c>
      <c r="Z50" s="63">
        <v>0</v>
      </c>
      <c r="AA50" s="63">
        <v>0</v>
      </c>
      <c r="AB50" s="63">
        <v>0</v>
      </c>
      <c r="AC50" s="63">
        <v>0</v>
      </c>
      <c r="AD50" s="63">
        <v>0</v>
      </c>
      <c r="AE50" s="63">
        <v>17</v>
      </c>
      <c r="AF50" s="63">
        <v>0</v>
      </c>
      <c r="AG50" s="63">
        <v>1</v>
      </c>
      <c r="AH50" s="63">
        <v>0</v>
      </c>
      <c r="AI50" s="63">
        <v>30</v>
      </c>
      <c r="AJ50" s="63">
        <v>18</v>
      </c>
      <c r="AK50" s="63">
        <v>0</v>
      </c>
      <c r="AL50" s="63" t="s">
        <v>35</v>
      </c>
      <c r="AM50" s="63" t="s">
        <v>36</v>
      </c>
      <c r="AN50" s="149" t="s">
        <v>33</v>
      </c>
      <c r="AO50" s="67" t="str">
        <f>VLOOKUP(A50,'Ranking Lookup'!A:C,3,0)</f>
        <v>Pre PI</v>
      </c>
      <c r="AP50" s="63">
        <f>IFERROR(VLOOKUP($A50,'Ranking Lookup'!$A:$B,2,0),"Unranked")</f>
        <v>48</v>
      </c>
      <c r="AQ50" s="71">
        <f>SUM(S50:AI50,AK50)/E50</f>
        <v>1</v>
      </c>
      <c r="AR50" s="97">
        <f>IF(A50="","",
COUNTIF(EAD_CIs!I:I,"*"&amp;A50&amp;"*"))</f>
        <v>0</v>
      </c>
      <c r="AS50" s="97">
        <f>AS49+T50</f>
        <v>254</v>
      </c>
      <c r="AT50" s="97">
        <f>AT49+U50</f>
        <v>167</v>
      </c>
      <c r="AU50" s="97">
        <f>AU49+V50</f>
        <v>92</v>
      </c>
      <c r="AV50" s="97">
        <f>AV49+W50</f>
        <v>329</v>
      </c>
      <c r="AW50" s="97">
        <f>AW49+X50</f>
        <v>143</v>
      </c>
      <c r="AX50" s="97">
        <f>AX49+Y50</f>
        <v>171</v>
      </c>
      <c r="AY50" s="97">
        <f>AY49+Z50</f>
        <v>303</v>
      </c>
      <c r="AZ50" s="97">
        <f>AZ49+AA50</f>
        <v>80</v>
      </c>
      <c r="BA50" s="97">
        <f>BA49+AB50</f>
        <v>136</v>
      </c>
      <c r="BB50" s="97">
        <f>BB49+AC50</f>
        <v>240</v>
      </c>
      <c r="BC50" s="97">
        <f>BC49+AD50</f>
        <v>142</v>
      </c>
      <c r="BD50" s="97">
        <f>BD49+AE50</f>
        <v>40</v>
      </c>
      <c r="BE50" s="97">
        <f>BE49+AF50</f>
        <v>0</v>
      </c>
      <c r="BF50" s="97">
        <f>BF49+AG50</f>
        <v>90</v>
      </c>
      <c r="BG50" s="97">
        <f>BG49+AH50</f>
        <v>0</v>
      </c>
      <c r="BH50" s="63">
        <f>IF(A50="",0,
COUNTIF(OrphanPWI_CI_Check!A:A,"*"&amp;A50&amp;"*"))</f>
        <v>0</v>
      </c>
      <c r="BI50" s="63">
        <f>IF(NOT(ISERROR(SEARCH("In Progress",   VLOOKUP($A50,$A:$D,MATCH("Planned For",$A$1:$D$1,0), 1)))),0.5,
 IF($F50="Enabler",0.6,
 IF($I50="EAD N/A",0.8,1))) *  ( ROUNDUP(MAX('Ranking Lookup'!B:B)/5,0) +1 - ROUNDUP(IF(NOT(ISNUMBER(VLOOKUP(A50,'Ranking Lookup'!A:B,2,0))),  MAX('Ranking Lookup'!B:B))/5,0) )</f>
        <v>10.799999999999999</v>
      </c>
      <c r="BK50" s="95"/>
    </row>
    <row r="51" spans="1:63" s="5" customFormat="1" ht="14.4" customHeight="1" x14ac:dyDescent="0.3">
      <c r="A51" s="203">
        <v>1012996</v>
      </c>
      <c r="B51" s="65" t="s">
        <v>1964</v>
      </c>
      <c r="C51" s="98" t="s">
        <v>1321</v>
      </c>
      <c r="D51" s="98" t="s">
        <v>28</v>
      </c>
      <c r="E51" s="65">
        <v>28</v>
      </c>
      <c r="F51" s="99" t="s">
        <v>41</v>
      </c>
      <c r="G51" s="99" t="s">
        <v>1162</v>
      </c>
      <c r="H51" s="64" t="s">
        <v>981</v>
      </c>
      <c r="I51" s="64" t="s">
        <v>38</v>
      </c>
      <c r="J51" s="98" t="s">
        <v>1414</v>
      </c>
      <c r="K51" s="95">
        <v>0</v>
      </c>
      <c r="L51" s="62" t="s">
        <v>18</v>
      </c>
      <c r="M51" s="67" t="s">
        <v>42</v>
      </c>
      <c r="N51" s="67" t="s">
        <v>46</v>
      </c>
      <c r="O51" s="67">
        <v>0</v>
      </c>
      <c r="P51" s="67" t="s">
        <v>131</v>
      </c>
      <c r="Q51" s="67" t="s">
        <v>36</v>
      </c>
      <c r="R51" s="66">
        <v>1</v>
      </c>
      <c r="S51" s="63">
        <v>0</v>
      </c>
      <c r="T51" s="63">
        <v>0</v>
      </c>
      <c r="U51" s="63">
        <v>0</v>
      </c>
      <c r="V51" s="63">
        <v>0</v>
      </c>
      <c r="W51" s="63">
        <v>0</v>
      </c>
      <c r="X51" s="63">
        <v>0</v>
      </c>
      <c r="Y51" s="63">
        <v>0</v>
      </c>
      <c r="Z51" s="63">
        <v>0</v>
      </c>
      <c r="AA51" s="63">
        <v>0</v>
      </c>
      <c r="AB51" s="63">
        <v>0</v>
      </c>
      <c r="AC51" s="63">
        <v>0</v>
      </c>
      <c r="AD51" s="63">
        <v>0</v>
      </c>
      <c r="AE51" s="63">
        <v>28</v>
      </c>
      <c r="AF51" s="63">
        <v>0</v>
      </c>
      <c r="AG51" s="63">
        <v>0</v>
      </c>
      <c r="AH51" s="63">
        <v>0</v>
      </c>
      <c r="AI51" s="63">
        <v>0</v>
      </c>
      <c r="AJ51" s="63">
        <v>28</v>
      </c>
      <c r="AK51" s="63">
        <v>0</v>
      </c>
      <c r="AL51" s="63" t="s">
        <v>35</v>
      </c>
      <c r="AM51" s="63" t="s">
        <v>36</v>
      </c>
      <c r="AN51" s="149" t="s">
        <v>40</v>
      </c>
      <c r="AO51" s="67" t="str">
        <f>VLOOKUP(A51,'Ranking Lookup'!A:C,3,0)</f>
        <v>Pre PI</v>
      </c>
      <c r="AP51" s="63">
        <f>IFERROR(VLOOKUP($A51,'Ranking Lookup'!$A:$B,2,0),"Unranked")</f>
        <v>49</v>
      </c>
      <c r="AQ51" s="71">
        <f>SUM(S51:AI51,AK51)/E51</f>
        <v>1</v>
      </c>
      <c r="AR51" s="97">
        <f>IF(A51="","",
COUNTIF(EAD_CIs!I:I,"*"&amp;A51&amp;"*"))</f>
        <v>0</v>
      </c>
      <c r="AS51" s="97">
        <f>AS50+T51</f>
        <v>254</v>
      </c>
      <c r="AT51" s="97">
        <f>AT50+U51</f>
        <v>167</v>
      </c>
      <c r="AU51" s="97">
        <f>AU50+V51</f>
        <v>92</v>
      </c>
      <c r="AV51" s="97">
        <f>AV50+W51</f>
        <v>329</v>
      </c>
      <c r="AW51" s="97">
        <f>AW50+X51</f>
        <v>143</v>
      </c>
      <c r="AX51" s="97">
        <f>AX50+Y51</f>
        <v>171</v>
      </c>
      <c r="AY51" s="97">
        <f>AY50+Z51</f>
        <v>303</v>
      </c>
      <c r="AZ51" s="97">
        <f>AZ50+AA51</f>
        <v>80</v>
      </c>
      <c r="BA51" s="97">
        <f>BA50+AB51</f>
        <v>136</v>
      </c>
      <c r="BB51" s="97">
        <f>BB50+AC51</f>
        <v>240</v>
      </c>
      <c r="BC51" s="97">
        <f>BC50+AD51</f>
        <v>142</v>
      </c>
      <c r="BD51" s="97">
        <f>BD50+AE51</f>
        <v>68</v>
      </c>
      <c r="BE51" s="97">
        <f>BE50+AF51</f>
        <v>0</v>
      </c>
      <c r="BF51" s="97">
        <f>BF50+AG51</f>
        <v>90</v>
      </c>
      <c r="BG51" s="97">
        <f>BG50+AH51</f>
        <v>0</v>
      </c>
      <c r="BH51" s="63">
        <f>IF(A51="",0,
COUNTIF(OrphanPWI_CI_Check!A:A,"*"&amp;A51&amp;"*"))</f>
        <v>0</v>
      </c>
      <c r="BI51" s="63">
        <f>IF(NOT(ISERROR(SEARCH("In Progress",   VLOOKUP($A51,$A:$D,MATCH("Planned For",$A$1:$D$1,0), 1)))),0.5,
 IF($F51="Enabler",0.6,
 IF($I51="EAD N/A",0.8,1))) *  ( ROUNDUP(MAX('Ranking Lookup'!B:B)/5,0) +1 - ROUNDUP(IF(NOT(ISNUMBER(VLOOKUP(A51,'Ranking Lookup'!A:B,2,0))),  MAX('Ranking Lookup'!B:B))/5,0) )</f>
        <v>9</v>
      </c>
      <c r="BK51"/>
    </row>
    <row r="52" spans="1:63" s="5" customFormat="1" ht="14.4" customHeight="1" x14ac:dyDescent="0.3">
      <c r="A52" s="203">
        <v>293371</v>
      </c>
      <c r="B52" s="65" t="s">
        <v>1967</v>
      </c>
      <c r="C52" s="98" t="s">
        <v>1321</v>
      </c>
      <c r="D52" s="98" t="s">
        <v>28</v>
      </c>
      <c r="E52" s="65">
        <v>10</v>
      </c>
      <c r="F52" s="99" t="s">
        <v>41</v>
      </c>
      <c r="G52" s="99" t="s">
        <v>2201</v>
      </c>
      <c r="H52" s="64" t="s">
        <v>981</v>
      </c>
      <c r="I52" s="64" t="s">
        <v>38</v>
      </c>
      <c r="J52" s="98" t="s">
        <v>1412</v>
      </c>
      <c r="K52" s="95">
        <v>0</v>
      </c>
      <c r="L52" s="62" t="s">
        <v>18</v>
      </c>
      <c r="M52" s="67" t="s">
        <v>42</v>
      </c>
      <c r="N52" s="67" t="s">
        <v>46</v>
      </c>
      <c r="O52" s="67">
        <v>0</v>
      </c>
      <c r="P52" s="67" t="s">
        <v>131</v>
      </c>
      <c r="Q52" s="67" t="s">
        <v>36</v>
      </c>
      <c r="R52" s="66">
        <v>1</v>
      </c>
      <c r="S52" s="63">
        <v>0</v>
      </c>
      <c r="T52" s="63">
        <v>0</v>
      </c>
      <c r="U52" s="63">
        <v>0</v>
      </c>
      <c r="V52" s="63">
        <v>0</v>
      </c>
      <c r="W52" s="63">
        <v>0</v>
      </c>
      <c r="X52" s="63">
        <v>0</v>
      </c>
      <c r="Y52" s="63">
        <v>0</v>
      </c>
      <c r="Z52" s="63">
        <v>0</v>
      </c>
      <c r="AA52" s="63">
        <v>0</v>
      </c>
      <c r="AB52" s="63">
        <v>0</v>
      </c>
      <c r="AC52" s="63">
        <v>0</v>
      </c>
      <c r="AD52" s="63">
        <v>0</v>
      </c>
      <c r="AE52" s="63">
        <v>10</v>
      </c>
      <c r="AF52" s="63">
        <v>0</v>
      </c>
      <c r="AG52" s="63">
        <v>0</v>
      </c>
      <c r="AH52" s="63">
        <v>0</v>
      </c>
      <c r="AI52" s="63">
        <v>0</v>
      </c>
      <c r="AJ52" s="63">
        <v>10</v>
      </c>
      <c r="AK52" s="63">
        <v>0</v>
      </c>
      <c r="AL52" s="63" t="s">
        <v>35</v>
      </c>
      <c r="AM52" s="63" t="s">
        <v>36</v>
      </c>
      <c r="AN52" s="149" t="s">
        <v>40</v>
      </c>
      <c r="AO52" s="67" t="str">
        <f>VLOOKUP(A52,'Ranking Lookup'!A:C,3,0)</f>
        <v>Pre PI</v>
      </c>
      <c r="AP52" s="63">
        <f>IFERROR(VLOOKUP($A52,'Ranking Lookup'!$A:$B,2,0),"Unranked")</f>
        <v>50</v>
      </c>
      <c r="AQ52" s="71">
        <f>SUM(S52:AI52,AK52)/E52</f>
        <v>1</v>
      </c>
      <c r="AR52" s="97">
        <f>IF(A52="","",
COUNTIF(EAD_CIs!I:I,"*"&amp;A52&amp;"*"))</f>
        <v>0</v>
      </c>
      <c r="AS52" s="97">
        <f>AS51+T52</f>
        <v>254</v>
      </c>
      <c r="AT52" s="97">
        <f>AT51+U52</f>
        <v>167</v>
      </c>
      <c r="AU52" s="97">
        <f>AU51+V52</f>
        <v>92</v>
      </c>
      <c r="AV52" s="97">
        <f>AV51+W52</f>
        <v>329</v>
      </c>
      <c r="AW52" s="97">
        <f>AW51+X52</f>
        <v>143</v>
      </c>
      <c r="AX52" s="97">
        <f>AX51+Y52</f>
        <v>171</v>
      </c>
      <c r="AY52" s="97">
        <f>AY51+Z52</f>
        <v>303</v>
      </c>
      <c r="AZ52" s="97">
        <f>AZ51+AA52</f>
        <v>80</v>
      </c>
      <c r="BA52" s="97">
        <f>BA51+AB52</f>
        <v>136</v>
      </c>
      <c r="BB52" s="97">
        <f>BB51+AC52</f>
        <v>240</v>
      </c>
      <c r="BC52" s="97">
        <f>BC51+AD52</f>
        <v>142</v>
      </c>
      <c r="BD52" s="97">
        <f>BD51+AE52</f>
        <v>78</v>
      </c>
      <c r="BE52" s="97">
        <f>BE51+AF52</f>
        <v>0</v>
      </c>
      <c r="BF52" s="97">
        <f>BF51+AG52</f>
        <v>90</v>
      </c>
      <c r="BG52" s="97">
        <f>BG51+AH52</f>
        <v>0</v>
      </c>
      <c r="BH52" s="63">
        <f>IF(A52="",0,
COUNTIF(OrphanPWI_CI_Check!A:A,"*"&amp;A52&amp;"*"))</f>
        <v>0</v>
      </c>
      <c r="BI52" s="63">
        <f>IF(NOT(ISERROR(SEARCH("In Progress",   VLOOKUP($A52,$A:$D,MATCH("Planned For",$A$1:$D$1,0), 1)))),0.5,
 IF($F52="Enabler",0.6,
 IF($I52="EAD N/A",0.8,1))) *  ( ROUNDUP(MAX('Ranking Lookup'!B:B)/5,0) +1 - ROUNDUP(IF(NOT(ISNUMBER(VLOOKUP(A52,'Ranking Lookup'!A:B,2,0))),  MAX('Ranking Lookup'!B:B))/5,0) )</f>
        <v>10.799999999999999</v>
      </c>
      <c r="BK52"/>
    </row>
    <row r="53" spans="1:63" s="5" customFormat="1" ht="14.4" customHeight="1" x14ac:dyDescent="0.3">
      <c r="A53" s="203">
        <v>383958</v>
      </c>
      <c r="B53" s="65" t="s">
        <v>869</v>
      </c>
      <c r="C53" s="98" t="s">
        <v>972</v>
      </c>
      <c r="D53" s="98" t="s">
        <v>106</v>
      </c>
      <c r="E53" s="65">
        <v>103</v>
      </c>
      <c r="F53" s="99" t="s">
        <v>880</v>
      </c>
      <c r="G53" s="99" t="s">
        <v>1559</v>
      </c>
      <c r="H53" s="64" t="s">
        <v>998</v>
      </c>
      <c r="I53" s="64" t="s">
        <v>939</v>
      </c>
      <c r="J53" s="98" t="s">
        <v>1412</v>
      </c>
      <c r="K53" s="203">
        <v>385201</v>
      </c>
      <c r="L53" s="62" t="s">
        <v>947</v>
      </c>
      <c r="M53" s="67" t="s">
        <v>555</v>
      </c>
      <c r="N53" s="67" t="s">
        <v>556</v>
      </c>
      <c r="O53" s="67">
        <v>0</v>
      </c>
      <c r="P53" s="67" t="s">
        <v>131</v>
      </c>
      <c r="Q53" s="67" t="s">
        <v>1761</v>
      </c>
      <c r="R53" s="66">
        <v>2</v>
      </c>
      <c r="S53" s="63">
        <v>38</v>
      </c>
      <c r="T53" s="63">
        <v>0</v>
      </c>
      <c r="U53" s="63">
        <v>0</v>
      </c>
      <c r="V53" s="63">
        <v>2</v>
      </c>
      <c r="W53" s="63">
        <v>0</v>
      </c>
      <c r="X53" s="63">
        <v>0</v>
      </c>
      <c r="Y53" s="63">
        <v>0</v>
      </c>
      <c r="Z53" s="63">
        <v>0</v>
      </c>
      <c r="AA53" s="63">
        <v>0</v>
      </c>
      <c r="AB53" s="63">
        <v>0</v>
      </c>
      <c r="AC53" s="63">
        <v>50</v>
      </c>
      <c r="AD53" s="63">
        <v>0</v>
      </c>
      <c r="AE53" s="63">
        <v>0</v>
      </c>
      <c r="AF53" s="63">
        <v>0</v>
      </c>
      <c r="AG53" s="63">
        <v>0</v>
      </c>
      <c r="AH53" s="63">
        <v>0</v>
      </c>
      <c r="AI53" s="63">
        <v>0</v>
      </c>
      <c r="AJ53" s="63">
        <v>52</v>
      </c>
      <c r="AK53" s="63">
        <v>0</v>
      </c>
      <c r="AL53" s="63" t="s">
        <v>35</v>
      </c>
      <c r="AM53" s="63" t="s">
        <v>854</v>
      </c>
      <c r="AN53" s="149" t="s">
        <v>33</v>
      </c>
      <c r="AO53" s="67" t="str">
        <f>VLOOKUP(A53,'Ranking Lookup'!A:C,3,0)</f>
        <v>Pre PI</v>
      </c>
      <c r="AP53" s="63">
        <f>IFERROR(VLOOKUP($A53,'Ranking Lookup'!$A:$B,2,0),"Unranked")</f>
        <v>51</v>
      </c>
      <c r="AQ53" s="71">
        <f>SUM(S53:AI53,AK53)/E53</f>
        <v>0.87378640776699024</v>
      </c>
      <c r="AR53" s="97">
        <f>IF(A53="","",
COUNTIF(EAD_CIs!I:I,"*"&amp;A53&amp;"*"))</f>
        <v>2</v>
      </c>
      <c r="AS53" s="97">
        <f>AS52+T53</f>
        <v>254</v>
      </c>
      <c r="AT53" s="97">
        <f>AT52+U53</f>
        <v>167</v>
      </c>
      <c r="AU53" s="97">
        <f>AU52+V53</f>
        <v>94</v>
      </c>
      <c r="AV53" s="97">
        <f>AV52+W53</f>
        <v>329</v>
      </c>
      <c r="AW53" s="97">
        <f>AW52+X53</f>
        <v>143</v>
      </c>
      <c r="AX53" s="97">
        <f>AX52+Y53</f>
        <v>171</v>
      </c>
      <c r="AY53" s="97">
        <f>AY52+Z53</f>
        <v>303</v>
      </c>
      <c r="AZ53" s="97">
        <f>AZ52+AA53</f>
        <v>80</v>
      </c>
      <c r="BA53" s="97">
        <f>BA52+AB53</f>
        <v>136</v>
      </c>
      <c r="BB53" s="97">
        <f>BB52+AC53</f>
        <v>290</v>
      </c>
      <c r="BC53" s="97">
        <f>BC52+AD53</f>
        <v>142</v>
      </c>
      <c r="BD53" s="97">
        <f>BD52+AE53</f>
        <v>78</v>
      </c>
      <c r="BE53" s="97">
        <f>BE52+AF53</f>
        <v>0</v>
      </c>
      <c r="BF53" s="97">
        <f>BF52+AG53</f>
        <v>90</v>
      </c>
      <c r="BG53" s="97">
        <f>BG52+AH53</f>
        <v>0</v>
      </c>
      <c r="BH53" s="63">
        <f>IF(A53="",0,
COUNTIF(OrphanPWI_CI_Check!A:A,"*"&amp;A53&amp;"*"))</f>
        <v>150</v>
      </c>
      <c r="BI53" s="63">
        <f>IF(NOT(ISERROR(SEARCH("In Progress",   VLOOKUP($A53,$A:$D,MATCH("Planned For",$A$1:$D$1,0), 1)))),0.5,
 IF($F53="Enabler",0.6,
 IF($I53="EAD N/A",0.8,1))) *  ( ROUNDUP(MAX('Ranking Lookup'!B:B)/5,0) +1 - ROUNDUP(IF(NOT(ISNUMBER(VLOOKUP(A53,'Ranking Lookup'!A:B,2,0))),  MAX('Ranking Lookup'!B:B))/5,0) )</f>
        <v>18</v>
      </c>
      <c r="BK53"/>
    </row>
    <row r="54" spans="1:63" s="5" customFormat="1" ht="14.4" customHeight="1" x14ac:dyDescent="0.3">
      <c r="A54" s="203">
        <v>1009453</v>
      </c>
      <c r="B54" s="65" t="s">
        <v>2304</v>
      </c>
      <c r="C54" s="98" t="s">
        <v>857</v>
      </c>
      <c r="D54" s="98" t="s">
        <v>28</v>
      </c>
      <c r="E54" s="65">
        <v>20</v>
      </c>
      <c r="F54" s="99" t="s">
        <v>41</v>
      </c>
      <c r="G54" s="99" t="s">
        <v>2348</v>
      </c>
      <c r="H54" s="64" t="s">
        <v>595</v>
      </c>
      <c r="I54" s="64" t="s">
        <v>38</v>
      </c>
      <c r="J54" s="98" t="s">
        <v>1412</v>
      </c>
      <c r="K54" s="203">
        <v>1016405</v>
      </c>
      <c r="L54" s="62" t="s">
        <v>554</v>
      </c>
      <c r="M54" s="67" t="s">
        <v>36</v>
      </c>
      <c r="N54" s="67" t="s">
        <v>36</v>
      </c>
      <c r="O54" s="67">
        <v>0</v>
      </c>
      <c r="P54" s="67" t="s">
        <v>131</v>
      </c>
      <c r="Q54" s="67" t="s">
        <v>1761</v>
      </c>
      <c r="R54" s="66">
        <v>2</v>
      </c>
      <c r="S54" s="63">
        <v>0</v>
      </c>
      <c r="T54" s="63">
        <v>0</v>
      </c>
      <c r="U54" s="63">
        <v>0</v>
      </c>
      <c r="V54" s="63">
        <v>0</v>
      </c>
      <c r="W54" s="63">
        <v>2</v>
      </c>
      <c r="X54" s="63">
        <v>0</v>
      </c>
      <c r="Y54" s="63">
        <v>0</v>
      </c>
      <c r="Z54" s="63">
        <v>0</v>
      </c>
      <c r="AA54" s="63">
        <v>0</v>
      </c>
      <c r="AB54" s="63">
        <v>0</v>
      </c>
      <c r="AC54" s="63">
        <v>0</v>
      </c>
      <c r="AD54" s="63">
        <v>0</v>
      </c>
      <c r="AE54" s="63">
        <v>0</v>
      </c>
      <c r="AF54" s="63">
        <v>0</v>
      </c>
      <c r="AG54" s="63">
        <v>18</v>
      </c>
      <c r="AH54" s="63">
        <v>0</v>
      </c>
      <c r="AI54" s="63">
        <v>0</v>
      </c>
      <c r="AJ54" s="63">
        <v>20</v>
      </c>
      <c r="AK54" s="63">
        <v>0</v>
      </c>
      <c r="AL54" s="63" t="s">
        <v>35</v>
      </c>
      <c r="AM54" s="63" t="s">
        <v>854</v>
      </c>
      <c r="AN54" s="149" t="s">
        <v>40</v>
      </c>
      <c r="AO54" s="67" t="str">
        <f>VLOOKUP(A54,'Ranking Lookup'!A:C,3,0)</f>
        <v>Pre PI</v>
      </c>
      <c r="AP54" s="63">
        <f>IFERROR(VLOOKUP($A54,'Ranking Lookup'!$A:$B,2,0),"Unranked")</f>
        <v>52</v>
      </c>
      <c r="AQ54" s="71">
        <f>SUM(S54:AI54,AK54)/E54</f>
        <v>1</v>
      </c>
      <c r="AR54" s="97">
        <f>IF(A54="","",
COUNTIF(EAD_CIs!I:I,"*"&amp;A54&amp;"*"))</f>
        <v>0</v>
      </c>
      <c r="AS54" s="97">
        <f>AS53+T54</f>
        <v>254</v>
      </c>
      <c r="AT54" s="97">
        <f>AT53+U54</f>
        <v>167</v>
      </c>
      <c r="AU54" s="97">
        <f>AU53+V54</f>
        <v>94</v>
      </c>
      <c r="AV54" s="97">
        <f>AV53+W54</f>
        <v>331</v>
      </c>
      <c r="AW54" s="97">
        <f>AW53+X54</f>
        <v>143</v>
      </c>
      <c r="AX54" s="97">
        <f>AX53+Y54</f>
        <v>171</v>
      </c>
      <c r="AY54" s="97">
        <f>AY53+Z54</f>
        <v>303</v>
      </c>
      <c r="AZ54" s="97">
        <f>AZ53+AA54</f>
        <v>80</v>
      </c>
      <c r="BA54" s="97">
        <f>BA53+AB54</f>
        <v>136</v>
      </c>
      <c r="BB54" s="97">
        <f>BB53+AC54</f>
        <v>290</v>
      </c>
      <c r="BC54" s="97">
        <f>BC53+AD54</f>
        <v>142</v>
      </c>
      <c r="BD54" s="97">
        <f>BD53+AE54</f>
        <v>78</v>
      </c>
      <c r="BE54" s="97">
        <f>BE53+AF54</f>
        <v>0</v>
      </c>
      <c r="BF54" s="97">
        <f>BF53+AG54</f>
        <v>108</v>
      </c>
      <c r="BG54" s="97">
        <f>BG53+AH54</f>
        <v>0</v>
      </c>
      <c r="BH54" s="63">
        <f>IF(A54="",0,
COUNTIF(OrphanPWI_CI_Check!A:A,"*"&amp;A54&amp;"*"))</f>
        <v>0</v>
      </c>
      <c r="BI54" s="63">
        <f>IF(NOT(ISERROR(SEARCH("In Progress",   VLOOKUP($A54,$A:$D,MATCH("Planned For",$A$1:$D$1,0), 1)))),0.5,
 IF($F54="Enabler",0.6,
 IF($I54="EAD N/A",0.8,1))) *  ( ROUNDUP(MAX('Ranking Lookup'!B:B)/5,0) +1 - ROUNDUP(IF(NOT(ISNUMBER(VLOOKUP(A54,'Ranking Lookup'!A:B,2,0))),  MAX('Ranking Lookup'!B:B))/5,0) )</f>
        <v>10.799999999999999</v>
      </c>
      <c r="BK54" s="95"/>
    </row>
    <row r="55" spans="1:63" s="5" customFormat="1" ht="14.4" customHeight="1" x14ac:dyDescent="0.3">
      <c r="A55" s="203">
        <v>1015911</v>
      </c>
      <c r="B55" s="65" t="s">
        <v>2303</v>
      </c>
      <c r="C55" s="98" t="s">
        <v>1321</v>
      </c>
      <c r="D55" s="98" t="s">
        <v>28</v>
      </c>
      <c r="E55" s="65">
        <v>42</v>
      </c>
      <c r="F55" s="99" t="s">
        <v>880</v>
      </c>
      <c r="G55" s="99" t="s">
        <v>2347</v>
      </c>
      <c r="H55" s="64" t="s">
        <v>595</v>
      </c>
      <c r="I55" s="64" t="s">
        <v>939</v>
      </c>
      <c r="J55" s="98" t="s">
        <v>1412</v>
      </c>
      <c r="K55" s="203">
        <v>1016405</v>
      </c>
      <c r="L55" s="62" t="s">
        <v>554</v>
      </c>
      <c r="M55" s="67" t="s">
        <v>36</v>
      </c>
      <c r="N55" s="67" t="s">
        <v>36</v>
      </c>
      <c r="O55" s="67">
        <v>0</v>
      </c>
      <c r="P55" s="67" t="s">
        <v>131</v>
      </c>
      <c r="Q55" s="67" t="s">
        <v>1761</v>
      </c>
      <c r="R55" s="66">
        <v>1</v>
      </c>
      <c r="S55" s="63">
        <v>0</v>
      </c>
      <c r="T55" s="63">
        <v>0</v>
      </c>
      <c r="U55" s="63">
        <v>0</v>
      </c>
      <c r="V55" s="63">
        <v>0</v>
      </c>
      <c r="W55" s="63">
        <v>0</v>
      </c>
      <c r="X55" s="63">
        <v>0</v>
      </c>
      <c r="Y55" s="63">
        <v>0</v>
      </c>
      <c r="Z55" s="63">
        <v>0</v>
      </c>
      <c r="AA55" s="63">
        <v>0</v>
      </c>
      <c r="AB55" s="63">
        <v>0</v>
      </c>
      <c r="AC55" s="63">
        <v>0</v>
      </c>
      <c r="AD55" s="63">
        <v>0</v>
      </c>
      <c r="AE55" s="63">
        <v>0</v>
      </c>
      <c r="AF55" s="63">
        <v>0</v>
      </c>
      <c r="AG55" s="63">
        <v>42</v>
      </c>
      <c r="AH55" s="63">
        <v>0</v>
      </c>
      <c r="AI55" s="63">
        <v>0</v>
      </c>
      <c r="AJ55" s="63">
        <v>42</v>
      </c>
      <c r="AK55" s="63">
        <v>0</v>
      </c>
      <c r="AL55" s="63" t="s">
        <v>35</v>
      </c>
      <c r="AM55" s="63" t="s">
        <v>854</v>
      </c>
      <c r="AN55" s="149" t="s">
        <v>40</v>
      </c>
      <c r="AO55" s="67" t="str">
        <f>VLOOKUP(A55,'Ranking Lookup'!A:C,3,0)</f>
        <v>Pre PI</v>
      </c>
      <c r="AP55" s="63">
        <f>IFERROR(VLOOKUP($A55,'Ranking Lookup'!$A:$B,2,0),"Unranked")</f>
        <v>53</v>
      </c>
      <c r="AQ55" s="71">
        <f>SUM(S55:AI55,AK55)/E55</f>
        <v>1</v>
      </c>
      <c r="AR55" s="97">
        <f>IF(A55="","",
COUNTIF(EAD_CIs!I:I,"*"&amp;A55&amp;"*"))</f>
        <v>0</v>
      </c>
      <c r="AS55" s="97">
        <f>AS54+T55</f>
        <v>254</v>
      </c>
      <c r="AT55" s="97">
        <f>AT54+U55</f>
        <v>167</v>
      </c>
      <c r="AU55" s="97">
        <f>AU54+V55</f>
        <v>94</v>
      </c>
      <c r="AV55" s="97">
        <f>AV54+W55</f>
        <v>331</v>
      </c>
      <c r="AW55" s="97">
        <f>AW54+X55</f>
        <v>143</v>
      </c>
      <c r="AX55" s="97">
        <f>AX54+Y55</f>
        <v>171</v>
      </c>
      <c r="AY55" s="97">
        <f>AY54+Z55</f>
        <v>303</v>
      </c>
      <c r="AZ55" s="97">
        <f>AZ54+AA55</f>
        <v>80</v>
      </c>
      <c r="BA55" s="97">
        <f>BA54+AB55</f>
        <v>136</v>
      </c>
      <c r="BB55" s="97">
        <f>BB54+AC55</f>
        <v>290</v>
      </c>
      <c r="BC55" s="97">
        <f>BC54+AD55</f>
        <v>142</v>
      </c>
      <c r="BD55" s="97">
        <f>BD54+AE55</f>
        <v>78</v>
      </c>
      <c r="BE55" s="97">
        <f>BE54+AF55</f>
        <v>0</v>
      </c>
      <c r="BF55" s="97">
        <f>BF54+AG55</f>
        <v>150</v>
      </c>
      <c r="BG55" s="97">
        <f>BG54+AH55</f>
        <v>0</v>
      </c>
      <c r="BH55" s="63">
        <f>IF(A55="",0,
COUNTIF(OrphanPWI_CI_Check!A:A,"*"&amp;A55&amp;"*"))</f>
        <v>0</v>
      </c>
      <c r="BI55" s="63">
        <f>IF(NOT(ISERROR(SEARCH("In Progress",   VLOOKUP($A55,$A:$D,MATCH("Planned For",$A$1:$D$1,0), 1)))),0.5,
 IF($F55="Enabler",0.6,
 IF($I55="EAD N/A",0.8,1))) *  ( ROUNDUP(MAX('Ranking Lookup'!B:B)/5,0) +1 - ROUNDUP(IF(NOT(ISNUMBER(VLOOKUP(A55,'Ranking Lookup'!A:B,2,0))),  MAX('Ranking Lookup'!B:B))/5,0) )</f>
        <v>18</v>
      </c>
      <c r="BK55" s="95"/>
    </row>
    <row r="56" spans="1:63" s="5" customFormat="1" ht="14.4" customHeight="1" x14ac:dyDescent="0.3">
      <c r="A56" s="203">
        <v>381524</v>
      </c>
      <c r="B56" s="65" t="s">
        <v>973</v>
      </c>
      <c r="C56" s="98" t="s">
        <v>972</v>
      </c>
      <c r="D56" s="98" t="s">
        <v>106</v>
      </c>
      <c r="E56" s="65">
        <v>51</v>
      </c>
      <c r="F56" s="99" t="s">
        <v>880</v>
      </c>
      <c r="G56" s="99" t="s">
        <v>2287</v>
      </c>
      <c r="H56" s="64" t="s">
        <v>1003</v>
      </c>
      <c r="I56" s="64" t="s">
        <v>939</v>
      </c>
      <c r="J56" s="98" t="s">
        <v>1412</v>
      </c>
      <c r="K56" s="203">
        <v>395610</v>
      </c>
      <c r="L56" s="62" t="s">
        <v>947</v>
      </c>
      <c r="M56" s="67" t="s">
        <v>555</v>
      </c>
      <c r="N56" s="67" t="s">
        <v>559</v>
      </c>
      <c r="O56" s="67">
        <v>2</v>
      </c>
      <c r="P56" s="67" t="s">
        <v>131</v>
      </c>
      <c r="Q56" s="67" t="s">
        <v>1760</v>
      </c>
      <c r="R56" s="66">
        <v>2</v>
      </c>
      <c r="S56" s="63">
        <v>15</v>
      </c>
      <c r="T56" s="63">
        <v>0</v>
      </c>
      <c r="U56" s="63">
        <v>0</v>
      </c>
      <c r="V56" s="63">
        <v>2</v>
      </c>
      <c r="W56" s="63">
        <v>0</v>
      </c>
      <c r="X56" s="63">
        <v>0</v>
      </c>
      <c r="Y56" s="63">
        <v>0</v>
      </c>
      <c r="Z56" s="63">
        <v>0</v>
      </c>
      <c r="AA56" s="63">
        <v>0</v>
      </c>
      <c r="AB56" s="63">
        <v>0</v>
      </c>
      <c r="AC56" s="63">
        <v>24</v>
      </c>
      <c r="AD56" s="63">
        <v>0</v>
      </c>
      <c r="AE56" s="63">
        <v>0</v>
      </c>
      <c r="AF56" s="63">
        <v>0</v>
      </c>
      <c r="AG56" s="63">
        <v>0</v>
      </c>
      <c r="AH56" s="63">
        <v>0</v>
      </c>
      <c r="AI56" s="63">
        <v>0</v>
      </c>
      <c r="AJ56" s="63">
        <v>26</v>
      </c>
      <c r="AK56" s="63">
        <v>0</v>
      </c>
      <c r="AL56" s="63" t="s">
        <v>35</v>
      </c>
      <c r="AM56" s="63" t="s">
        <v>854</v>
      </c>
      <c r="AN56" s="149" t="s">
        <v>33</v>
      </c>
      <c r="AO56" s="67" t="str">
        <f>VLOOKUP(A56,'Ranking Lookup'!A:C,3,0)</f>
        <v>Pre PI</v>
      </c>
      <c r="AP56" s="63">
        <f>IFERROR(VLOOKUP($A56,'Ranking Lookup'!$A:$B,2,0),"Unranked")</f>
        <v>54</v>
      </c>
      <c r="AQ56" s="71">
        <f>SUM(S56:AI56,AK56)/E56</f>
        <v>0.80392156862745101</v>
      </c>
      <c r="AR56" s="97">
        <f>IF(A56="","",
COUNTIF(EAD_CIs!I:I,"*"&amp;A56&amp;"*"))</f>
        <v>3</v>
      </c>
      <c r="AS56" s="97">
        <f>AS55+T56</f>
        <v>254</v>
      </c>
      <c r="AT56" s="97">
        <f>AT55+U56</f>
        <v>167</v>
      </c>
      <c r="AU56" s="97">
        <f>AU55+V56</f>
        <v>96</v>
      </c>
      <c r="AV56" s="97">
        <f>AV55+W56</f>
        <v>331</v>
      </c>
      <c r="AW56" s="97">
        <f>AW55+X56</f>
        <v>143</v>
      </c>
      <c r="AX56" s="97">
        <f>AX55+Y56</f>
        <v>171</v>
      </c>
      <c r="AY56" s="97">
        <f>AY55+Z56</f>
        <v>303</v>
      </c>
      <c r="AZ56" s="97">
        <f>AZ55+AA56</f>
        <v>80</v>
      </c>
      <c r="BA56" s="97">
        <f>BA55+AB56</f>
        <v>136</v>
      </c>
      <c r="BB56" s="97">
        <f>BB55+AC56</f>
        <v>314</v>
      </c>
      <c r="BC56" s="97">
        <f>BC55+AD56</f>
        <v>142</v>
      </c>
      <c r="BD56" s="97">
        <f>BD55+AE56</f>
        <v>78</v>
      </c>
      <c r="BE56" s="97">
        <f>BE55+AF56</f>
        <v>0</v>
      </c>
      <c r="BF56" s="97">
        <f>BF55+AG56</f>
        <v>150</v>
      </c>
      <c r="BG56" s="97">
        <f>BG55+AH56</f>
        <v>0</v>
      </c>
      <c r="BH56" s="63">
        <f>IF(A56="",0,
COUNTIF(OrphanPWI_CI_Check!A:A,"*"&amp;A56&amp;"*"))</f>
        <v>150</v>
      </c>
      <c r="BI56" s="63">
        <f>IF(NOT(ISERROR(SEARCH("In Progress",   VLOOKUP($A56,$A:$D,MATCH("Planned For",$A$1:$D$1,0), 1)))),0.5,
 IF($F56="Enabler",0.6,
 IF($I56="EAD N/A",0.8,1))) *  ( ROUNDUP(MAX('Ranking Lookup'!B:B)/5,0) +1 - ROUNDUP(IF(NOT(ISNUMBER(VLOOKUP(A56,'Ranking Lookup'!A:B,2,0))),  MAX('Ranking Lookup'!B:B))/5,0) )</f>
        <v>18</v>
      </c>
      <c r="BK56"/>
    </row>
    <row r="57" spans="1:63" s="5" customFormat="1" ht="14.4" customHeight="1" x14ac:dyDescent="0.3">
      <c r="A57" s="203">
        <v>1001912</v>
      </c>
      <c r="B57" s="65" t="s">
        <v>1170</v>
      </c>
      <c r="C57" s="98" t="s">
        <v>972</v>
      </c>
      <c r="D57" s="98" t="s">
        <v>106</v>
      </c>
      <c r="E57" s="65">
        <v>127</v>
      </c>
      <c r="F57" s="99" t="s">
        <v>879</v>
      </c>
      <c r="G57" s="99" t="s">
        <v>2200</v>
      </c>
      <c r="H57" s="64" t="s">
        <v>1009</v>
      </c>
      <c r="I57" s="64" t="s">
        <v>979</v>
      </c>
      <c r="J57" s="98" t="s">
        <v>1412</v>
      </c>
      <c r="K57" s="95">
        <v>0</v>
      </c>
      <c r="L57" s="62" t="s">
        <v>554</v>
      </c>
      <c r="M57" s="67" t="s">
        <v>34</v>
      </c>
      <c r="N57" s="67" t="s">
        <v>55</v>
      </c>
      <c r="O57" s="67">
        <v>15</v>
      </c>
      <c r="P57" s="67" t="s">
        <v>131</v>
      </c>
      <c r="Q57" s="67" t="s">
        <v>36</v>
      </c>
      <c r="R57" s="66">
        <v>1</v>
      </c>
      <c r="S57" s="63">
        <v>131</v>
      </c>
      <c r="T57" s="63">
        <v>0</v>
      </c>
      <c r="U57" s="63">
        <v>0</v>
      </c>
      <c r="V57" s="63">
        <v>0</v>
      </c>
      <c r="W57" s="63">
        <v>0</v>
      </c>
      <c r="X57" s="63">
        <v>0</v>
      </c>
      <c r="Y57" s="63">
        <v>0</v>
      </c>
      <c r="Z57" s="63">
        <v>0</v>
      </c>
      <c r="AA57" s="63">
        <v>0</v>
      </c>
      <c r="AB57" s="63">
        <v>0</v>
      </c>
      <c r="AC57" s="63">
        <v>0</v>
      </c>
      <c r="AD57" s="63">
        <v>0</v>
      </c>
      <c r="AE57" s="63">
        <v>0</v>
      </c>
      <c r="AF57" s="63">
        <v>0</v>
      </c>
      <c r="AG57" s="63">
        <v>3</v>
      </c>
      <c r="AH57" s="63">
        <v>0</v>
      </c>
      <c r="AI57" s="63">
        <v>3</v>
      </c>
      <c r="AJ57" s="63">
        <v>3</v>
      </c>
      <c r="AK57" s="63">
        <v>0</v>
      </c>
      <c r="AL57" s="63" t="s">
        <v>35</v>
      </c>
      <c r="AM57" s="63" t="s">
        <v>36</v>
      </c>
      <c r="AN57" s="149" t="s">
        <v>33</v>
      </c>
      <c r="AO57" s="67" t="str">
        <f>VLOOKUP(A57,'Ranking Lookup'!A:C,3,0)</f>
        <v>Pre PI</v>
      </c>
      <c r="AP57" s="63">
        <f>IFERROR(VLOOKUP($A57,'Ranking Lookup'!$A:$B,2,0),"Unranked")</f>
        <v>55</v>
      </c>
      <c r="AQ57" s="71">
        <f>SUM(S57:AI57,AK57)/E57</f>
        <v>1.078740157480315</v>
      </c>
      <c r="AR57" s="97">
        <f>IF(A57="","",
COUNTIF(EAD_CIs!I:I,"*"&amp;A57&amp;"*"))</f>
        <v>0</v>
      </c>
      <c r="AS57" s="97">
        <f>AS56+T57</f>
        <v>254</v>
      </c>
      <c r="AT57" s="97">
        <f>AT56+U57</f>
        <v>167</v>
      </c>
      <c r="AU57" s="97">
        <f>AU56+V57</f>
        <v>96</v>
      </c>
      <c r="AV57" s="97">
        <f>AV56+W57</f>
        <v>331</v>
      </c>
      <c r="AW57" s="97">
        <f>AW56+X57</f>
        <v>143</v>
      </c>
      <c r="AX57" s="97">
        <f>AX56+Y57</f>
        <v>171</v>
      </c>
      <c r="AY57" s="97">
        <f>AY56+Z57</f>
        <v>303</v>
      </c>
      <c r="AZ57" s="97">
        <f>AZ56+AA57</f>
        <v>80</v>
      </c>
      <c r="BA57" s="97">
        <f>BA56+AB57</f>
        <v>136</v>
      </c>
      <c r="BB57" s="97">
        <f>BB56+AC57</f>
        <v>314</v>
      </c>
      <c r="BC57" s="97">
        <f>BC56+AD57</f>
        <v>142</v>
      </c>
      <c r="BD57" s="97">
        <f>BD56+AE57</f>
        <v>78</v>
      </c>
      <c r="BE57" s="97">
        <f>BE56+AF57</f>
        <v>0</v>
      </c>
      <c r="BF57" s="97">
        <f>BF56+AG57</f>
        <v>153</v>
      </c>
      <c r="BG57" s="97">
        <f>BG56+AH57</f>
        <v>0</v>
      </c>
      <c r="BH57" s="63">
        <f>IF(A57="",0,
COUNTIF(OrphanPWI_CI_Check!A:A,"*"&amp;A57&amp;"*"))</f>
        <v>0</v>
      </c>
      <c r="BI57" s="63">
        <f>IF(NOT(ISERROR(SEARCH("In Progress",   VLOOKUP($A57,$A:$D,MATCH("Planned For",$A$1:$D$1,0), 1)))),0.5,
 IF($F57="Enabler",0.6,
 IF($I57="EAD N/A",0.8,1))) *  ( ROUNDUP(MAX('Ranking Lookup'!B:B)/5,0) +1 - ROUNDUP(IF(NOT(ISNUMBER(VLOOKUP(A57,'Ranking Lookup'!A:B,2,0))),  MAX('Ranking Lookup'!B:B))/5,0) )</f>
        <v>18</v>
      </c>
      <c r="BK57" s="95"/>
    </row>
    <row r="58" spans="1:63" s="5" customFormat="1" ht="14.4" customHeight="1" x14ac:dyDescent="0.3">
      <c r="A58" s="203">
        <v>1014252</v>
      </c>
      <c r="B58" s="65" t="s">
        <v>2174</v>
      </c>
      <c r="C58" s="98" t="s">
        <v>2102</v>
      </c>
      <c r="D58" s="98" t="s">
        <v>28</v>
      </c>
      <c r="E58" s="65">
        <v>22</v>
      </c>
      <c r="F58" s="99" t="s">
        <v>880</v>
      </c>
      <c r="G58" s="99" t="s">
        <v>2331</v>
      </c>
      <c r="H58" s="64" t="s">
        <v>254</v>
      </c>
      <c r="I58" s="64" t="s">
        <v>939</v>
      </c>
      <c r="J58" s="98" t="s">
        <v>1412</v>
      </c>
      <c r="K58" s="203">
        <v>1015467</v>
      </c>
      <c r="L58" s="62" t="s">
        <v>947</v>
      </c>
      <c r="M58" s="67" t="s">
        <v>555</v>
      </c>
      <c r="N58" s="67" t="s">
        <v>559</v>
      </c>
      <c r="O58" s="67">
        <v>0</v>
      </c>
      <c r="P58" s="67" t="s">
        <v>131</v>
      </c>
      <c r="Q58" s="67" t="s">
        <v>1760</v>
      </c>
      <c r="R58" s="66">
        <v>1</v>
      </c>
      <c r="S58" s="63">
        <v>0</v>
      </c>
      <c r="T58" s="63">
        <v>0</v>
      </c>
      <c r="U58" s="63">
        <v>0</v>
      </c>
      <c r="V58" s="63">
        <v>0</v>
      </c>
      <c r="W58" s="63">
        <v>0</v>
      </c>
      <c r="X58" s="63">
        <v>0</v>
      </c>
      <c r="Y58" s="63">
        <v>0</v>
      </c>
      <c r="Z58" s="63">
        <v>0</v>
      </c>
      <c r="AA58" s="63">
        <v>0</v>
      </c>
      <c r="AB58" s="63">
        <v>0</v>
      </c>
      <c r="AC58" s="63">
        <v>22</v>
      </c>
      <c r="AD58" s="63">
        <v>0</v>
      </c>
      <c r="AE58" s="63">
        <v>0</v>
      </c>
      <c r="AF58" s="63">
        <v>0</v>
      </c>
      <c r="AG58" s="63">
        <v>0</v>
      </c>
      <c r="AH58" s="63">
        <v>0</v>
      </c>
      <c r="AI58" s="63">
        <v>0</v>
      </c>
      <c r="AJ58" s="63">
        <v>22</v>
      </c>
      <c r="AK58" s="63">
        <v>0</v>
      </c>
      <c r="AL58" s="63" t="s">
        <v>35</v>
      </c>
      <c r="AM58" s="63" t="s">
        <v>854</v>
      </c>
      <c r="AN58" s="149" t="s">
        <v>40</v>
      </c>
      <c r="AO58" s="67" t="str">
        <f>VLOOKUP(A58,'Ranking Lookup'!A:C,3,0)</f>
        <v>Pre PI</v>
      </c>
      <c r="AP58" s="63">
        <f>IFERROR(VLOOKUP($A58,'Ranking Lookup'!$A:$B,2,0),"Unranked")</f>
        <v>56</v>
      </c>
      <c r="AQ58" s="71">
        <f>SUM(S58:AI58,AK58)/E58</f>
        <v>1</v>
      </c>
      <c r="AR58" s="97">
        <f>IF(A58="","",
COUNTIF(EAD_CIs!I:I,"*"&amp;A58&amp;"*"))</f>
        <v>1</v>
      </c>
      <c r="AS58" s="97">
        <f>AS57+T58</f>
        <v>254</v>
      </c>
      <c r="AT58" s="97">
        <f>AT57+U58</f>
        <v>167</v>
      </c>
      <c r="AU58" s="97">
        <f>AU57+V58</f>
        <v>96</v>
      </c>
      <c r="AV58" s="97">
        <f>AV57+W58</f>
        <v>331</v>
      </c>
      <c r="AW58" s="97">
        <f>AW57+X58</f>
        <v>143</v>
      </c>
      <c r="AX58" s="97">
        <f>AX57+Y58</f>
        <v>171</v>
      </c>
      <c r="AY58" s="97">
        <f>AY57+Z58</f>
        <v>303</v>
      </c>
      <c r="AZ58" s="97">
        <f>AZ57+AA58</f>
        <v>80</v>
      </c>
      <c r="BA58" s="97">
        <f>BA57+AB58</f>
        <v>136</v>
      </c>
      <c r="BB58" s="97">
        <f>BB57+AC58</f>
        <v>336</v>
      </c>
      <c r="BC58" s="97">
        <f>BC57+AD58</f>
        <v>142</v>
      </c>
      <c r="BD58" s="97">
        <f>BD57+AE58</f>
        <v>78</v>
      </c>
      <c r="BE58" s="97">
        <f>BE57+AF58</f>
        <v>0</v>
      </c>
      <c r="BF58" s="97">
        <f>BF57+AG58</f>
        <v>153</v>
      </c>
      <c r="BG58" s="97">
        <f>BG57+AH58</f>
        <v>0</v>
      </c>
      <c r="BH58" s="63">
        <f>IF(A58="",0,
COUNTIF(OrphanPWI_CI_Check!A:A,"*"&amp;A58&amp;"*"))</f>
        <v>0</v>
      </c>
      <c r="BI58" s="63">
        <f>IF(NOT(ISERROR(SEARCH("In Progress",   VLOOKUP($A58,$A:$D,MATCH("Planned For",$A$1:$D$1,0), 1)))),0.5,
 IF($F58="Enabler",0.6,
 IF($I58="EAD N/A",0.8,1))) *  ( ROUNDUP(MAX('Ranking Lookup'!B:B)/5,0) +1 - ROUNDUP(IF(NOT(ISNUMBER(VLOOKUP(A58,'Ranking Lookup'!A:B,2,0))),  MAX('Ranking Lookup'!B:B))/5,0) )</f>
        <v>9</v>
      </c>
      <c r="BK58" s="95"/>
    </row>
    <row r="59" spans="1:63" s="5" customFormat="1" ht="14.4" customHeight="1" x14ac:dyDescent="0.3">
      <c r="A59" s="203">
        <v>385632</v>
      </c>
      <c r="B59" s="65" t="s">
        <v>1444</v>
      </c>
      <c r="C59" s="98" t="s">
        <v>1321</v>
      </c>
      <c r="D59" s="98" t="s">
        <v>28</v>
      </c>
      <c r="E59" s="65">
        <v>5</v>
      </c>
      <c r="F59" s="99" t="s">
        <v>880</v>
      </c>
      <c r="G59" s="99" t="s">
        <v>2315</v>
      </c>
      <c r="H59" s="64" t="s">
        <v>847</v>
      </c>
      <c r="I59" s="64" t="s">
        <v>1793</v>
      </c>
      <c r="J59" s="98" t="s">
        <v>1412</v>
      </c>
      <c r="K59" s="203">
        <v>216351</v>
      </c>
      <c r="L59" s="62" t="s">
        <v>947</v>
      </c>
      <c r="M59" s="67" t="s">
        <v>31</v>
      </c>
      <c r="N59" s="67" t="s">
        <v>53</v>
      </c>
      <c r="O59" s="67">
        <v>0</v>
      </c>
      <c r="P59" s="67" t="s">
        <v>131</v>
      </c>
      <c r="Q59" s="67" t="s">
        <v>1760</v>
      </c>
      <c r="R59" s="66">
        <v>2</v>
      </c>
      <c r="S59" s="63">
        <v>0</v>
      </c>
      <c r="T59" s="63">
        <v>0</v>
      </c>
      <c r="U59" s="63">
        <v>0</v>
      </c>
      <c r="V59" s="63">
        <v>0</v>
      </c>
      <c r="W59" s="63">
        <v>0</v>
      </c>
      <c r="X59" s="63">
        <v>0</v>
      </c>
      <c r="Y59" s="63">
        <v>0</v>
      </c>
      <c r="Z59" s="63">
        <v>0</v>
      </c>
      <c r="AA59" s="63">
        <v>0</v>
      </c>
      <c r="AB59" s="63">
        <v>1</v>
      </c>
      <c r="AC59" s="63">
        <v>4</v>
      </c>
      <c r="AD59" s="63">
        <v>0</v>
      </c>
      <c r="AE59" s="63">
        <v>0</v>
      </c>
      <c r="AF59" s="63">
        <v>0</v>
      </c>
      <c r="AG59" s="63">
        <v>0</v>
      </c>
      <c r="AH59" s="63">
        <v>0</v>
      </c>
      <c r="AI59" s="63">
        <v>0</v>
      </c>
      <c r="AJ59" s="63">
        <v>5</v>
      </c>
      <c r="AK59" s="63">
        <v>0</v>
      </c>
      <c r="AL59" s="63" t="s">
        <v>35</v>
      </c>
      <c r="AM59" s="63" t="s">
        <v>854</v>
      </c>
      <c r="AN59" s="149" t="s">
        <v>40</v>
      </c>
      <c r="AO59" s="67" t="str">
        <f>VLOOKUP(A59,'Ranking Lookup'!A:C,3,0)</f>
        <v>Pre PI</v>
      </c>
      <c r="AP59" s="63">
        <f>IFERROR(VLOOKUP($A59,'Ranking Lookup'!$A:$B,2,0),"Unranked")</f>
        <v>57</v>
      </c>
      <c r="AQ59" s="71">
        <f>SUM(S59:AI59,AK59)/E59</f>
        <v>1</v>
      </c>
      <c r="AR59" s="97">
        <f>IF(A59="","",
COUNTIF(EAD_CIs!I:I,"*"&amp;A59&amp;"*"))</f>
        <v>1</v>
      </c>
      <c r="AS59" s="97">
        <f>AS58+T59</f>
        <v>254</v>
      </c>
      <c r="AT59" s="97">
        <f>AT58+U59</f>
        <v>167</v>
      </c>
      <c r="AU59" s="97">
        <f>AU58+V59</f>
        <v>96</v>
      </c>
      <c r="AV59" s="97">
        <f>AV58+W59</f>
        <v>331</v>
      </c>
      <c r="AW59" s="97">
        <f>AW58+X59</f>
        <v>143</v>
      </c>
      <c r="AX59" s="97">
        <f>AX58+Y59</f>
        <v>171</v>
      </c>
      <c r="AY59" s="97">
        <f>AY58+Z59</f>
        <v>303</v>
      </c>
      <c r="AZ59" s="97">
        <f>AZ58+AA59</f>
        <v>80</v>
      </c>
      <c r="BA59" s="97">
        <f>BA58+AB59</f>
        <v>137</v>
      </c>
      <c r="BB59" s="97">
        <f>BB58+AC59</f>
        <v>340</v>
      </c>
      <c r="BC59" s="97">
        <f>BC58+AD59</f>
        <v>142</v>
      </c>
      <c r="BD59" s="97">
        <f>BD58+AE59</f>
        <v>78</v>
      </c>
      <c r="BE59" s="97">
        <f>BE58+AF59</f>
        <v>0</v>
      </c>
      <c r="BF59" s="97">
        <f>BF58+AG59</f>
        <v>153</v>
      </c>
      <c r="BG59" s="97">
        <f>BG58+AH59</f>
        <v>0</v>
      </c>
      <c r="BH59" s="63">
        <f>IF(A59="",0,
COUNTIF(OrphanPWI_CI_Check!A:A,"*"&amp;A59&amp;"*"))</f>
        <v>12</v>
      </c>
      <c r="BI59" s="63">
        <f>IF(NOT(ISERROR(SEARCH("In Progress",   VLOOKUP($A59,$A:$D,MATCH("Planned For",$A$1:$D$1,0), 1)))),0.5,
 IF($F59="Enabler",0.6,
 IF($I59="EAD N/A",0.8,1))) *  ( ROUNDUP(MAX('Ranking Lookup'!B:B)/5,0) +1 - ROUNDUP(IF(NOT(ISNUMBER(VLOOKUP(A59,'Ranking Lookup'!A:B,2,0))),  MAX('Ranking Lookup'!B:B))/5,0) )</f>
        <v>18</v>
      </c>
      <c r="BK59"/>
    </row>
    <row r="60" spans="1:63" s="5" customFormat="1" ht="14.4" customHeight="1" x14ac:dyDescent="0.3">
      <c r="A60" s="203">
        <v>1014387</v>
      </c>
      <c r="B60" s="65" t="s">
        <v>2100</v>
      </c>
      <c r="C60" s="98" t="s">
        <v>1321</v>
      </c>
      <c r="D60" s="98" t="s">
        <v>28</v>
      </c>
      <c r="E60" s="65">
        <v>31</v>
      </c>
      <c r="F60" s="99" t="s">
        <v>879</v>
      </c>
      <c r="G60" s="99" t="s">
        <v>2179</v>
      </c>
      <c r="H60" s="64" t="s">
        <v>270</v>
      </c>
      <c r="I60" s="64" t="s">
        <v>1793</v>
      </c>
      <c r="J60" s="98" t="s">
        <v>1412</v>
      </c>
      <c r="K60" s="203">
        <v>278830</v>
      </c>
      <c r="L60" s="62" t="s">
        <v>949</v>
      </c>
      <c r="M60" s="67" t="s">
        <v>42</v>
      </c>
      <c r="N60" s="67" t="s">
        <v>36</v>
      </c>
      <c r="O60" s="67">
        <v>0</v>
      </c>
      <c r="P60" s="67" t="s">
        <v>1971</v>
      </c>
      <c r="Q60" s="67" t="s">
        <v>36</v>
      </c>
      <c r="R60" s="66">
        <v>4</v>
      </c>
      <c r="S60" s="63">
        <v>0</v>
      </c>
      <c r="T60" s="63">
        <v>6</v>
      </c>
      <c r="U60" s="63">
        <v>3</v>
      </c>
      <c r="V60" s="63">
        <v>0</v>
      </c>
      <c r="W60" s="63">
        <v>20</v>
      </c>
      <c r="X60" s="63">
        <v>0</v>
      </c>
      <c r="Y60" s="63">
        <v>0</v>
      </c>
      <c r="Z60" s="63">
        <v>0</v>
      </c>
      <c r="AA60" s="63">
        <v>0</v>
      </c>
      <c r="AB60" s="63">
        <v>0</v>
      </c>
      <c r="AC60" s="63">
        <v>0</v>
      </c>
      <c r="AD60" s="63">
        <v>0</v>
      </c>
      <c r="AE60" s="63">
        <v>2</v>
      </c>
      <c r="AF60" s="63">
        <v>0</v>
      </c>
      <c r="AG60" s="63">
        <v>0</v>
      </c>
      <c r="AH60" s="63">
        <v>0</v>
      </c>
      <c r="AI60" s="63">
        <v>0</v>
      </c>
      <c r="AJ60" s="63">
        <v>31</v>
      </c>
      <c r="AK60" s="63">
        <v>0</v>
      </c>
      <c r="AL60" s="63" t="s">
        <v>35</v>
      </c>
      <c r="AM60" s="63" t="s">
        <v>854</v>
      </c>
      <c r="AN60" s="149" t="s">
        <v>40</v>
      </c>
      <c r="AO60" s="67" t="str">
        <f>VLOOKUP(A60,'Ranking Lookup'!A:C,3,0)</f>
        <v>Pre PI</v>
      </c>
      <c r="AP60" s="63">
        <f>IFERROR(VLOOKUP($A60,'Ranking Lookup'!$A:$B,2,0),"Unranked")</f>
        <v>58</v>
      </c>
      <c r="AQ60" s="71">
        <f>SUM(S60:AI60,AK60)/E60</f>
        <v>1</v>
      </c>
      <c r="AR60" s="97">
        <f>IF(A60="","",
COUNTIF(EAD_CIs!I:I,"*"&amp;A60&amp;"*"))</f>
        <v>0</v>
      </c>
      <c r="AS60" s="97">
        <f>AS59+T60</f>
        <v>260</v>
      </c>
      <c r="AT60" s="97">
        <f>AT59+U60</f>
        <v>170</v>
      </c>
      <c r="AU60" s="97">
        <f>AU59+V60</f>
        <v>96</v>
      </c>
      <c r="AV60" s="97">
        <f>AV59+W60</f>
        <v>351</v>
      </c>
      <c r="AW60" s="97">
        <f>AW59+X60</f>
        <v>143</v>
      </c>
      <c r="AX60" s="97">
        <f>AX59+Y60</f>
        <v>171</v>
      </c>
      <c r="AY60" s="97">
        <f>AY59+Z60</f>
        <v>303</v>
      </c>
      <c r="AZ60" s="97">
        <f>AZ59+AA60</f>
        <v>80</v>
      </c>
      <c r="BA60" s="97">
        <f>BA59+AB60</f>
        <v>137</v>
      </c>
      <c r="BB60" s="97">
        <f>BB59+AC60</f>
        <v>340</v>
      </c>
      <c r="BC60" s="97">
        <f>BC59+AD60</f>
        <v>142</v>
      </c>
      <c r="BD60" s="97">
        <f>BD59+AE60</f>
        <v>80</v>
      </c>
      <c r="BE60" s="97">
        <f>BE59+AF60</f>
        <v>0</v>
      </c>
      <c r="BF60" s="97">
        <f>BF59+AG60</f>
        <v>153</v>
      </c>
      <c r="BG60" s="97">
        <f>BG59+AH60</f>
        <v>0</v>
      </c>
      <c r="BH60" s="63">
        <f>IF(A60="",0,
COUNTIF(OrphanPWI_CI_Check!A:A,"*"&amp;A60&amp;"*"))</f>
        <v>0</v>
      </c>
      <c r="BI60" s="63">
        <f>IF(NOT(ISERROR(SEARCH("In Progress",   VLOOKUP($A60,$A:$D,MATCH("Planned For",$A$1:$D$1,0), 1)))),0.5,
 IF($F60="Enabler",0.6,
 IF($I60="EAD N/A",0.8,1))) *  ( ROUNDUP(MAX('Ranking Lookup'!B:B)/5,0) +1 - ROUNDUP(IF(NOT(ISNUMBER(VLOOKUP(A60,'Ranking Lookup'!A:B,2,0))),  MAX('Ranking Lookup'!B:B))/5,0) )</f>
        <v>9</v>
      </c>
      <c r="BK60"/>
    </row>
    <row r="61" spans="1:63" s="5" customFormat="1" ht="14.4" customHeight="1" x14ac:dyDescent="0.3">
      <c r="A61" s="203">
        <v>1015439</v>
      </c>
      <c r="B61" s="65" t="s">
        <v>2240</v>
      </c>
      <c r="C61" s="98" t="s">
        <v>1321</v>
      </c>
      <c r="D61" s="98" t="s">
        <v>28</v>
      </c>
      <c r="E61" s="65">
        <v>13</v>
      </c>
      <c r="F61" s="99" t="s">
        <v>41</v>
      </c>
      <c r="G61" s="64" t="s">
        <v>2320</v>
      </c>
      <c r="H61" s="64" t="s">
        <v>135</v>
      </c>
      <c r="I61" s="64" t="s">
        <v>38</v>
      </c>
      <c r="J61" s="98" t="s">
        <v>1412</v>
      </c>
      <c r="K61" s="203">
        <v>1015438</v>
      </c>
      <c r="L61" s="62" t="s">
        <v>15</v>
      </c>
      <c r="M61" s="67" t="s">
        <v>31</v>
      </c>
      <c r="N61" s="67" t="s">
        <v>136</v>
      </c>
      <c r="O61" s="67">
        <v>0</v>
      </c>
      <c r="P61" s="67" t="s">
        <v>1971</v>
      </c>
      <c r="Q61" s="67" t="s">
        <v>36</v>
      </c>
      <c r="R61" s="66">
        <v>4</v>
      </c>
      <c r="S61" s="63">
        <v>0</v>
      </c>
      <c r="T61" s="63">
        <v>0</v>
      </c>
      <c r="U61" s="63">
        <v>0</v>
      </c>
      <c r="V61" s="63">
        <v>0</v>
      </c>
      <c r="W61" s="63">
        <v>0</v>
      </c>
      <c r="X61" s="63">
        <v>0</v>
      </c>
      <c r="Y61" s="63">
        <v>0</v>
      </c>
      <c r="Z61" s="63">
        <v>0</v>
      </c>
      <c r="AA61" s="63">
        <v>0</v>
      </c>
      <c r="AB61" s="63">
        <v>7</v>
      </c>
      <c r="AC61" s="63">
        <v>2</v>
      </c>
      <c r="AD61" s="63">
        <v>2</v>
      </c>
      <c r="AE61" s="63">
        <v>0</v>
      </c>
      <c r="AF61" s="63">
        <v>0</v>
      </c>
      <c r="AG61" s="63">
        <v>2</v>
      </c>
      <c r="AH61" s="63">
        <v>0</v>
      </c>
      <c r="AI61" s="63">
        <v>0</v>
      </c>
      <c r="AJ61" s="63">
        <v>13</v>
      </c>
      <c r="AK61" s="63">
        <v>0</v>
      </c>
      <c r="AL61" s="63" t="s">
        <v>35</v>
      </c>
      <c r="AM61" s="63" t="s">
        <v>854</v>
      </c>
      <c r="AN61" s="149" t="s">
        <v>40</v>
      </c>
      <c r="AO61" s="67" t="str">
        <f>VLOOKUP(A61,'Ranking Lookup'!A:C,3,0)</f>
        <v>Pre PI</v>
      </c>
      <c r="AP61" s="63">
        <f>IFERROR(VLOOKUP($A61,'Ranking Lookup'!$A:$B,2,0),"Unranked")</f>
        <v>59</v>
      </c>
      <c r="AQ61" s="71">
        <f>SUM(S61:AI61,AK61)/E61</f>
        <v>1</v>
      </c>
      <c r="AR61" s="97">
        <f>IF(A61="","",
COUNTIF(EAD_CIs!I:I,"*"&amp;A61&amp;"*"))</f>
        <v>0</v>
      </c>
      <c r="AS61" s="97">
        <f>AS60+T61</f>
        <v>260</v>
      </c>
      <c r="AT61" s="97">
        <f>AT60+U61</f>
        <v>170</v>
      </c>
      <c r="AU61" s="97">
        <f>AU60+V61</f>
        <v>96</v>
      </c>
      <c r="AV61" s="97">
        <f>AV60+W61</f>
        <v>351</v>
      </c>
      <c r="AW61" s="97">
        <f>AW60+X61</f>
        <v>143</v>
      </c>
      <c r="AX61" s="97">
        <f>AX60+Y61</f>
        <v>171</v>
      </c>
      <c r="AY61" s="97">
        <f>AY60+Z61</f>
        <v>303</v>
      </c>
      <c r="AZ61" s="97">
        <f>AZ60+AA61</f>
        <v>80</v>
      </c>
      <c r="BA61" s="97">
        <f>BA60+AB61</f>
        <v>144</v>
      </c>
      <c r="BB61" s="97">
        <f>BB60+AC61</f>
        <v>342</v>
      </c>
      <c r="BC61" s="97">
        <f>BC60+AD61</f>
        <v>144</v>
      </c>
      <c r="BD61" s="97">
        <f>BD60+AE61</f>
        <v>80</v>
      </c>
      <c r="BE61" s="97">
        <f>BE60+AF61</f>
        <v>0</v>
      </c>
      <c r="BF61" s="97">
        <f>BF60+AG61</f>
        <v>155</v>
      </c>
      <c r="BG61" s="97">
        <f>BG60+AH61</f>
        <v>0</v>
      </c>
      <c r="BH61" s="63">
        <f>IF(A61="",0,
COUNTIF(OrphanPWI_CI_Check!A:A,"*"&amp;A61&amp;"*"))</f>
        <v>0</v>
      </c>
      <c r="BI61" s="63">
        <f>IF(NOT(ISERROR(SEARCH("In Progress",   VLOOKUP($A61,$A:$D,MATCH("Planned For",$A$1:$D$1,0), 1)))),0.5,
 IF($F61="Enabler",0.6,
 IF($I61="EAD N/A",0.8,1))) *  ( ROUNDUP(MAX('Ranking Lookup'!B:B)/5,0) +1 - ROUNDUP(IF(NOT(ISNUMBER(VLOOKUP(A61,'Ranking Lookup'!A:B,2,0))),  MAX('Ranking Lookup'!B:B))/5,0) )</f>
        <v>10.799999999999999</v>
      </c>
    </row>
    <row r="62" spans="1:63" s="5" customFormat="1" ht="14.4" customHeight="1" x14ac:dyDescent="0.3">
      <c r="A62" s="203">
        <v>1015005</v>
      </c>
      <c r="B62" s="65" t="s">
        <v>2345</v>
      </c>
      <c r="C62" s="98" t="s">
        <v>1866</v>
      </c>
      <c r="D62" s="98" t="s">
        <v>2020</v>
      </c>
      <c r="E62" s="65">
        <v>43</v>
      </c>
      <c r="F62" s="99" t="s">
        <v>879</v>
      </c>
      <c r="G62" s="99" t="s">
        <v>2178</v>
      </c>
      <c r="H62" s="64" t="s">
        <v>547</v>
      </c>
      <c r="I62" s="64" t="s">
        <v>38</v>
      </c>
      <c r="J62" s="98" t="s">
        <v>1412</v>
      </c>
      <c r="K62" s="203">
        <v>1015251</v>
      </c>
      <c r="L62" s="62" t="s">
        <v>15</v>
      </c>
      <c r="M62" s="67" t="s">
        <v>37</v>
      </c>
      <c r="N62" s="67" t="s">
        <v>39</v>
      </c>
      <c r="O62" s="67">
        <v>0</v>
      </c>
      <c r="P62" s="67" t="s">
        <v>131</v>
      </c>
      <c r="Q62" s="67" t="s">
        <v>36</v>
      </c>
      <c r="R62" s="66">
        <v>2</v>
      </c>
      <c r="S62" s="63">
        <v>0</v>
      </c>
      <c r="T62" s="63">
        <v>0</v>
      </c>
      <c r="U62" s="63">
        <v>3</v>
      </c>
      <c r="V62" s="63">
        <v>0</v>
      </c>
      <c r="W62" s="63">
        <v>0</v>
      </c>
      <c r="X62" s="63">
        <v>0</v>
      </c>
      <c r="Y62" s="63">
        <v>0</v>
      </c>
      <c r="Z62" s="63">
        <v>0</v>
      </c>
      <c r="AA62" s="63">
        <v>0</v>
      </c>
      <c r="AB62" s="63">
        <v>19</v>
      </c>
      <c r="AC62" s="63">
        <v>0</v>
      </c>
      <c r="AD62" s="63">
        <v>0</v>
      </c>
      <c r="AE62" s="63">
        <v>0</v>
      </c>
      <c r="AF62" s="63">
        <v>0</v>
      </c>
      <c r="AG62" s="63">
        <v>0</v>
      </c>
      <c r="AH62" s="63">
        <v>0</v>
      </c>
      <c r="AI62" s="63">
        <v>0</v>
      </c>
      <c r="AJ62" s="63">
        <v>22</v>
      </c>
      <c r="AK62" s="63">
        <v>21</v>
      </c>
      <c r="AL62" s="63" t="s">
        <v>35</v>
      </c>
      <c r="AM62" s="63" t="s">
        <v>854</v>
      </c>
      <c r="AN62" s="149" t="s">
        <v>33</v>
      </c>
      <c r="AO62" s="67" t="str">
        <f>VLOOKUP(A62,'Ranking Lookup'!A:C,3,0)</f>
        <v>Pre PI</v>
      </c>
      <c r="AP62" s="63">
        <f>IFERROR(VLOOKUP($A62,'Ranking Lookup'!$A:$B,2,0),"Unranked")</f>
        <v>60</v>
      </c>
      <c r="AQ62" s="71">
        <f>SUM(S62:AI62,AK62)/E62</f>
        <v>1</v>
      </c>
      <c r="AR62" s="97">
        <f>IF(A62="","",
COUNTIF(EAD_CIs!I:I,"*"&amp;A62&amp;"*"))</f>
        <v>0</v>
      </c>
      <c r="AS62" s="97">
        <f>AS61+T62</f>
        <v>260</v>
      </c>
      <c r="AT62" s="97">
        <f>AT61+U62</f>
        <v>173</v>
      </c>
      <c r="AU62" s="97">
        <f>AU61+V62</f>
        <v>96</v>
      </c>
      <c r="AV62" s="97">
        <f>AV61+W62</f>
        <v>351</v>
      </c>
      <c r="AW62" s="97">
        <f>AW61+X62</f>
        <v>143</v>
      </c>
      <c r="AX62" s="97">
        <f>AX61+Y62</f>
        <v>171</v>
      </c>
      <c r="AY62" s="97">
        <f>AY61+Z62</f>
        <v>303</v>
      </c>
      <c r="AZ62" s="97">
        <f>AZ61+AA62</f>
        <v>80</v>
      </c>
      <c r="BA62" s="97">
        <f>BA61+AB62</f>
        <v>163</v>
      </c>
      <c r="BB62" s="97">
        <f>BB61+AC62</f>
        <v>342</v>
      </c>
      <c r="BC62" s="97">
        <f>BC61+AD62</f>
        <v>144</v>
      </c>
      <c r="BD62" s="97">
        <f>BD61+AE62</f>
        <v>80</v>
      </c>
      <c r="BE62" s="97">
        <f>BE61+AF62</f>
        <v>0</v>
      </c>
      <c r="BF62" s="97">
        <f>BF61+AG62</f>
        <v>155</v>
      </c>
      <c r="BG62" s="97">
        <f>BG61+AH62</f>
        <v>0</v>
      </c>
      <c r="BH62" s="63">
        <f>IF(A62="",0,
COUNTIF(OrphanPWI_CI_Check!A:A,"*"&amp;A62&amp;"*"))</f>
        <v>0</v>
      </c>
      <c r="BI62" s="63">
        <f>IF(NOT(ISERROR(SEARCH("In Progress",   VLOOKUP($A62,$A:$D,MATCH("Planned For",$A$1:$D$1,0), 1)))),0.5,
 IF($F62="Enabler",0.6,
 IF($I62="EAD N/A",0.8,1))) *  ( ROUNDUP(MAX('Ranking Lookup'!B:B)/5,0) +1 - ROUNDUP(IF(NOT(ISNUMBER(VLOOKUP(A62,'Ranking Lookup'!A:B,2,0))),  MAX('Ranking Lookup'!B:B))/5,0) )</f>
        <v>9</v>
      </c>
      <c r="BK62" s="95"/>
    </row>
    <row r="63" spans="1:63" s="5" customFormat="1" ht="14.4" customHeight="1" x14ac:dyDescent="0.3">
      <c r="A63" s="203">
        <v>1006191</v>
      </c>
      <c r="B63" s="65" t="s">
        <v>1749</v>
      </c>
      <c r="C63" s="98" t="s">
        <v>1866</v>
      </c>
      <c r="D63" s="98" t="s">
        <v>28</v>
      </c>
      <c r="E63" s="65">
        <v>105</v>
      </c>
      <c r="F63" s="99" t="s">
        <v>879</v>
      </c>
      <c r="G63" s="99" t="s">
        <v>2284</v>
      </c>
      <c r="H63" s="64" t="s">
        <v>1523</v>
      </c>
      <c r="I63" s="64" t="s">
        <v>38</v>
      </c>
      <c r="J63" s="98" t="s">
        <v>1412</v>
      </c>
      <c r="K63" s="95">
        <v>0</v>
      </c>
      <c r="L63" s="62" t="s">
        <v>15</v>
      </c>
      <c r="M63" s="67" t="s">
        <v>37</v>
      </c>
      <c r="N63" s="67" t="s">
        <v>1524</v>
      </c>
      <c r="O63" s="67">
        <v>0</v>
      </c>
      <c r="P63" s="67" t="s">
        <v>131</v>
      </c>
      <c r="Q63" s="67" t="s">
        <v>36</v>
      </c>
      <c r="R63" s="66">
        <v>5</v>
      </c>
      <c r="S63" s="63">
        <v>0</v>
      </c>
      <c r="T63" s="63">
        <v>0</v>
      </c>
      <c r="U63" s="63">
        <v>8</v>
      </c>
      <c r="V63" s="63">
        <v>0</v>
      </c>
      <c r="W63" s="63">
        <v>0</v>
      </c>
      <c r="X63" s="63">
        <v>8</v>
      </c>
      <c r="Y63" s="63">
        <v>0</v>
      </c>
      <c r="Z63" s="63">
        <v>16</v>
      </c>
      <c r="AA63" s="63">
        <v>0</v>
      </c>
      <c r="AB63" s="63">
        <v>44</v>
      </c>
      <c r="AC63" s="63">
        <v>0</v>
      </c>
      <c r="AD63" s="63">
        <v>0</v>
      </c>
      <c r="AE63" s="63">
        <v>0</v>
      </c>
      <c r="AF63" s="63">
        <v>0</v>
      </c>
      <c r="AG63" s="63">
        <v>3</v>
      </c>
      <c r="AH63" s="63">
        <v>0</v>
      </c>
      <c r="AI63" s="63">
        <v>0</v>
      </c>
      <c r="AJ63" s="63">
        <v>79</v>
      </c>
      <c r="AK63" s="63">
        <v>26</v>
      </c>
      <c r="AL63" s="63" t="s">
        <v>35</v>
      </c>
      <c r="AM63" s="63" t="s">
        <v>36</v>
      </c>
      <c r="AN63" s="149" t="s">
        <v>33</v>
      </c>
      <c r="AO63" s="67" t="str">
        <f>VLOOKUP(A63,'Ranking Lookup'!A:C,3,0)</f>
        <v>Pre PI</v>
      </c>
      <c r="AP63" s="63">
        <f>IFERROR(VLOOKUP($A63,'Ranking Lookup'!$A:$B,2,0),"Unranked")</f>
        <v>61</v>
      </c>
      <c r="AQ63" s="71">
        <f>SUM(S63:AI63,AK63)/E63</f>
        <v>1</v>
      </c>
      <c r="AR63" s="97">
        <f>IF(A63="","",
COUNTIF(EAD_CIs!I:I,"*"&amp;A63&amp;"*"))</f>
        <v>0</v>
      </c>
      <c r="AS63" s="97">
        <f>AS62+T63</f>
        <v>260</v>
      </c>
      <c r="AT63" s="97">
        <f>AT62+U63</f>
        <v>181</v>
      </c>
      <c r="AU63" s="97">
        <f>AU62+V63</f>
        <v>96</v>
      </c>
      <c r="AV63" s="97">
        <f>AV62+W63</f>
        <v>351</v>
      </c>
      <c r="AW63" s="97">
        <f>AW62+X63</f>
        <v>151</v>
      </c>
      <c r="AX63" s="97">
        <f>AX62+Y63</f>
        <v>171</v>
      </c>
      <c r="AY63" s="97">
        <f>AY62+Z63</f>
        <v>319</v>
      </c>
      <c r="AZ63" s="97">
        <f>AZ62+AA63</f>
        <v>80</v>
      </c>
      <c r="BA63" s="97">
        <f>BA62+AB63</f>
        <v>207</v>
      </c>
      <c r="BB63" s="97">
        <f>BB62+AC63</f>
        <v>342</v>
      </c>
      <c r="BC63" s="97">
        <f>BC62+AD63</f>
        <v>144</v>
      </c>
      <c r="BD63" s="97">
        <f>BD62+AE63</f>
        <v>80</v>
      </c>
      <c r="BE63" s="97">
        <f>BE62+AF63</f>
        <v>0</v>
      </c>
      <c r="BF63" s="97">
        <f>BF62+AG63</f>
        <v>158</v>
      </c>
      <c r="BG63" s="97">
        <f>BG62+AH63</f>
        <v>0</v>
      </c>
      <c r="BH63" s="63">
        <f>IF(A63="",0,
COUNTIF(OrphanPWI_CI_Check!A:A,"*"&amp;A63&amp;"*"))</f>
        <v>0</v>
      </c>
      <c r="BI63" s="63">
        <f>IF(NOT(ISERROR(SEARCH("In Progress",   VLOOKUP($A63,$A:$D,MATCH("Planned For",$A$1:$D$1,0), 1)))),0.5,
 IF($F63="Enabler",0.6,
 IF($I63="EAD N/A",0.8,1))) *  ( ROUNDUP(MAX('Ranking Lookup'!B:B)/5,0) +1 - ROUNDUP(IF(NOT(ISNUMBER(VLOOKUP(A63,'Ranking Lookup'!A:B,2,0))),  MAX('Ranking Lookup'!B:B))/5,0) )</f>
        <v>14.4</v>
      </c>
      <c r="BK63"/>
    </row>
    <row r="64" spans="1:63" s="5" customFormat="1" ht="14.4" customHeight="1" x14ac:dyDescent="0.3">
      <c r="A64" s="203">
        <v>1015153</v>
      </c>
      <c r="B64" s="65" t="s">
        <v>2344</v>
      </c>
      <c r="C64" s="98" t="s">
        <v>972</v>
      </c>
      <c r="D64" s="98" t="s">
        <v>106</v>
      </c>
      <c r="E64" s="65">
        <v>34</v>
      </c>
      <c r="F64" s="99" t="s">
        <v>880</v>
      </c>
      <c r="G64" s="99" t="s">
        <v>2329</v>
      </c>
      <c r="H64" s="64" t="s">
        <v>362</v>
      </c>
      <c r="I64" s="64" t="s">
        <v>1594</v>
      </c>
      <c r="J64" s="98" t="s">
        <v>1412</v>
      </c>
      <c r="K64" s="203">
        <v>251622</v>
      </c>
      <c r="L64" s="62" t="s">
        <v>950</v>
      </c>
      <c r="M64" s="67" t="s">
        <v>37</v>
      </c>
      <c r="N64" s="67" t="s">
        <v>39</v>
      </c>
      <c r="O64" s="67">
        <v>1</v>
      </c>
      <c r="P64" s="67" t="s">
        <v>131</v>
      </c>
      <c r="Q64" s="67" t="s">
        <v>1761</v>
      </c>
      <c r="R64" s="66">
        <v>3</v>
      </c>
      <c r="S64" s="63">
        <v>6</v>
      </c>
      <c r="T64" s="63">
        <v>0</v>
      </c>
      <c r="U64" s="63">
        <v>0</v>
      </c>
      <c r="V64" s="63">
        <v>2</v>
      </c>
      <c r="W64" s="63">
        <v>0</v>
      </c>
      <c r="X64" s="63">
        <v>0</v>
      </c>
      <c r="Y64" s="63">
        <v>2</v>
      </c>
      <c r="Z64" s="63">
        <v>28</v>
      </c>
      <c r="AA64" s="63">
        <v>0</v>
      </c>
      <c r="AB64" s="63">
        <v>0</v>
      </c>
      <c r="AC64" s="63">
        <v>0</v>
      </c>
      <c r="AD64" s="63">
        <v>0</v>
      </c>
      <c r="AE64" s="63">
        <v>0</v>
      </c>
      <c r="AF64" s="63">
        <v>0</v>
      </c>
      <c r="AG64" s="63">
        <v>0</v>
      </c>
      <c r="AH64" s="63">
        <v>0</v>
      </c>
      <c r="AI64" s="63">
        <v>0</v>
      </c>
      <c r="AJ64" s="63">
        <v>32</v>
      </c>
      <c r="AK64" s="63">
        <v>0</v>
      </c>
      <c r="AL64" s="63" t="s">
        <v>35</v>
      </c>
      <c r="AM64" s="63" t="s">
        <v>854</v>
      </c>
      <c r="AN64" s="149" t="s">
        <v>33</v>
      </c>
      <c r="AO64" s="67" t="str">
        <f>VLOOKUP(A64,'Ranking Lookup'!A:C,3,0)</f>
        <v>Pre PI</v>
      </c>
      <c r="AP64" s="63">
        <f>IFERROR(VLOOKUP($A64,'Ranking Lookup'!$A:$B,2,0),"Unranked")</f>
        <v>62</v>
      </c>
      <c r="AQ64" s="71">
        <f>SUM(S64:AI64,AK64)/E64</f>
        <v>1.1176470588235294</v>
      </c>
      <c r="AR64" s="97">
        <f>IF(A64="","",
COUNTIF(EAD_CIs!I:I,"*"&amp;A64&amp;"*"))</f>
        <v>0</v>
      </c>
      <c r="AS64" s="97">
        <f>AS63+T64</f>
        <v>260</v>
      </c>
      <c r="AT64" s="97">
        <f>AT63+U64</f>
        <v>181</v>
      </c>
      <c r="AU64" s="97">
        <f>AU63+V64</f>
        <v>98</v>
      </c>
      <c r="AV64" s="97">
        <f>AV63+W64</f>
        <v>351</v>
      </c>
      <c r="AW64" s="97">
        <f>AW63+X64</f>
        <v>151</v>
      </c>
      <c r="AX64" s="97">
        <f>AX63+Y64</f>
        <v>173</v>
      </c>
      <c r="AY64" s="97">
        <f>AY63+Z64</f>
        <v>347</v>
      </c>
      <c r="AZ64" s="97">
        <f>AZ63+AA64</f>
        <v>80</v>
      </c>
      <c r="BA64" s="97">
        <f>BA63+AB64</f>
        <v>207</v>
      </c>
      <c r="BB64" s="97">
        <f>BB63+AC64</f>
        <v>342</v>
      </c>
      <c r="BC64" s="97">
        <f>BC63+AD64</f>
        <v>144</v>
      </c>
      <c r="BD64" s="97">
        <f>BD63+AE64</f>
        <v>80</v>
      </c>
      <c r="BE64" s="97">
        <f>BE63+AF64</f>
        <v>0</v>
      </c>
      <c r="BF64" s="97">
        <f>BF63+AG64</f>
        <v>158</v>
      </c>
      <c r="BG64" s="97">
        <f>BG63+AH64</f>
        <v>0</v>
      </c>
      <c r="BH64" s="63">
        <f>IF(A64="",0,
COUNTIF(OrphanPWI_CI_Check!A:A,"*"&amp;A64&amp;"*"))</f>
        <v>0</v>
      </c>
      <c r="BI64" s="63">
        <f>IF(NOT(ISERROR(SEARCH("In Progress",   VLOOKUP($A64,$A:$D,MATCH("Planned For",$A$1:$D$1,0), 1)))),0.5,
 IF($F64="Enabler",0.6,
 IF($I64="EAD N/A",0.8,1))) *  ( ROUNDUP(MAX('Ranking Lookup'!B:B)/5,0) +1 - ROUNDUP(IF(NOT(ISNUMBER(VLOOKUP(A64,'Ranking Lookup'!A:B,2,0))),  MAX('Ranking Lookup'!B:B))/5,0) )</f>
        <v>9</v>
      </c>
      <c r="BK64" s="95"/>
    </row>
    <row r="65" spans="1:63" s="5" customFormat="1" ht="14.4" customHeight="1" x14ac:dyDescent="0.3">
      <c r="A65" s="203">
        <v>1007536</v>
      </c>
      <c r="B65" s="65" t="s">
        <v>1571</v>
      </c>
      <c r="C65" s="98" t="s">
        <v>972</v>
      </c>
      <c r="D65" s="98" t="s">
        <v>106</v>
      </c>
      <c r="E65" s="65">
        <v>82</v>
      </c>
      <c r="F65" s="99" t="s">
        <v>879</v>
      </c>
      <c r="G65" s="99" t="s">
        <v>2336</v>
      </c>
      <c r="H65" s="64" t="s">
        <v>362</v>
      </c>
      <c r="I65" s="64" t="s">
        <v>38</v>
      </c>
      <c r="J65" s="98" t="s">
        <v>1412</v>
      </c>
      <c r="K65" s="203">
        <v>1004098</v>
      </c>
      <c r="L65" s="62" t="s">
        <v>950</v>
      </c>
      <c r="M65" s="67" t="s">
        <v>36</v>
      </c>
      <c r="N65" s="67" t="s">
        <v>36</v>
      </c>
      <c r="O65" s="67">
        <v>0</v>
      </c>
      <c r="P65" s="67" t="s">
        <v>131</v>
      </c>
      <c r="Q65" s="67" t="s">
        <v>36</v>
      </c>
      <c r="R65" s="66">
        <v>3</v>
      </c>
      <c r="S65" s="63">
        <v>21</v>
      </c>
      <c r="T65" s="63">
        <v>0</v>
      </c>
      <c r="U65" s="63">
        <v>0</v>
      </c>
      <c r="V65" s="63">
        <v>0</v>
      </c>
      <c r="W65" s="63">
        <v>0</v>
      </c>
      <c r="X65" s="63">
        <v>0</v>
      </c>
      <c r="Y65" s="63">
        <v>0</v>
      </c>
      <c r="Z65" s="63">
        <v>35</v>
      </c>
      <c r="AA65" s="63">
        <v>0</v>
      </c>
      <c r="AB65" s="63">
        <v>0</v>
      </c>
      <c r="AC65" s="63">
        <v>8</v>
      </c>
      <c r="AD65" s="63">
        <v>0</v>
      </c>
      <c r="AE65" s="63">
        <v>1</v>
      </c>
      <c r="AF65" s="63">
        <v>0</v>
      </c>
      <c r="AG65" s="63">
        <v>0</v>
      </c>
      <c r="AH65" s="63">
        <v>0</v>
      </c>
      <c r="AI65" s="63">
        <v>5</v>
      </c>
      <c r="AJ65" s="63">
        <v>44</v>
      </c>
      <c r="AK65" s="63">
        <v>38</v>
      </c>
      <c r="AL65" s="63" t="s">
        <v>35</v>
      </c>
      <c r="AM65" s="63" t="s">
        <v>854</v>
      </c>
      <c r="AN65" s="149" t="s">
        <v>33</v>
      </c>
      <c r="AO65" s="67" t="str">
        <f>VLOOKUP(A65,'Ranking Lookup'!A:C,3,0)</f>
        <v>Pre PI</v>
      </c>
      <c r="AP65" s="63">
        <f>IFERROR(VLOOKUP($A65,'Ranking Lookup'!$A:$B,2,0),"Unranked")</f>
        <v>63</v>
      </c>
      <c r="AQ65" s="71">
        <f>SUM(S65:AI65,AK65)/E65</f>
        <v>1.3170731707317074</v>
      </c>
      <c r="AR65" s="97">
        <f>IF(A65="","",
COUNTIF(EAD_CIs!I:I,"*"&amp;A65&amp;"*"))</f>
        <v>1</v>
      </c>
      <c r="AS65" s="97">
        <f>AS64+T65</f>
        <v>260</v>
      </c>
      <c r="AT65" s="97">
        <f>AT64+U65</f>
        <v>181</v>
      </c>
      <c r="AU65" s="97">
        <f>AU64+V65</f>
        <v>98</v>
      </c>
      <c r="AV65" s="97">
        <f>AV64+W65</f>
        <v>351</v>
      </c>
      <c r="AW65" s="97">
        <f>AW64+X65</f>
        <v>151</v>
      </c>
      <c r="AX65" s="97">
        <f>AX64+Y65</f>
        <v>173</v>
      </c>
      <c r="AY65" s="97">
        <f>AY64+Z65</f>
        <v>382</v>
      </c>
      <c r="AZ65" s="97">
        <f>AZ64+AA65</f>
        <v>80</v>
      </c>
      <c r="BA65" s="97">
        <f>BA64+AB65</f>
        <v>207</v>
      </c>
      <c r="BB65" s="97">
        <f>BB64+AC65</f>
        <v>350</v>
      </c>
      <c r="BC65" s="97">
        <f>BC64+AD65</f>
        <v>144</v>
      </c>
      <c r="BD65" s="97">
        <f>BD64+AE65</f>
        <v>81</v>
      </c>
      <c r="BE65" s="97">
        <f>BE64+AF65</f>
        <v>0</v>
      </c>
      <c r="BF65" s="97">
        <f>BF64+AG65</f>
        <v>158</v>
      </c>
      <c r="BG65" s="97">
        <f>BG64+AH65</f>
        <v>0</v>
      </c>
      <c r="BH65" s="63">
        <f>IF(A65="",0,
COUNTIF(OrphanPWI_CI_Check!A:A,"*"&amp;A65&amp;"*"))</f>
        <v>0</v>
      </c>
      <c r="BI65" s="63">
        <f>IF(NOT(ISERROR(SEARCH("In Progress",   VLOOKUP($A65,$A:$D,MATCH("Planned For",$A$1:$D$1,0), 1)))),0.5,
 IF($F65="Enabler",0.6,
 IF($I65="EAD N/A",0.8,1))) *  ( ROUNDUP(MAX('Ranking Lookup'!B:B)/5,0) +1 - ROUNDUP(IF(NOT(ISNUMBER(VLOOKUP(A65,'Ranking Lookup'!A:B,2,0))),  MAX('Ranking Lookup'!B:B))/5,0) )</f>
        <v>14.4</v>
      </c>
      <c r="BK65" s="95"/>
    </row>
    <row r="66" spans="1:63" s="5" customFormat="1" ht="14.4" customHeight="1" x14ac:dyDescent="0.3">
      <c r="A66" s="203">
        <v>1013452</v>
      </c>
      <c r="B66" s="65" t="s">
        <v>2328</v>
      </c>
      <c r="C66" s="98" t="s">
        <v>1866</v>
      </c>
      <c r="D66" s="98" t="s">
        <v>28</v>
      </c>
      <c r="E66" s="65">
        <v>90</v>
      </c>
      <c r="F66" s="99" t="s">
        <v>880</v>
      </c>
      <c r="G66" s="99" t="s">
        <v>2358</v>
      </c>
      <c r="H66" s="64" t="s">
        <v>582</v>
      </c>
      <c r="I66" s="64" t="s">
        <v>1869</v>
      </c>
      <c r="J66" s="98" t="s">
        <v>1412</v>
      </c>
      <c r="K66" s="203">
        <v>1006483</v>
      </c>
      <c r="L66" s="62" t="s">
        <v>943</v>
      </c>
      <c r="M66" s="67" t="s">
        <v>31</v>
      </c>
      <c r="N66" s="67" t="s">
        <v>45</v>
      </c>
      <c r="O66" s="67">
        <v>0</v>
      </c>
      <c r="P66" s="67" t="s">
        <v>131</v>
      </c>
      <c r="Q66" s="67" t="s">
        <v>1761</v>
      </c>
      <c r="R66" s="66">
        <v>3</v>
      </c>
      <c r="S66" s="63">
        <v>0</v>
      </c>
      <c r="T66" s="63">
        <v>0</v>
      </c>
      <c r="U66" s="63">
        <v>0</v>
      </c>
      <c r="V66" s="63">
        <v>1</v>
      </c>
      <c r="W66" s="63">
        <v>0</v>
      </c>
      <c r="X66" s="63">
        <v>34</v>
      </c>
      <c r="Y66" s="63">
        <v>0</v>
      </c>
      <c r="Z66" s="63">
        <v>0</v>
      </c>
      <c r="AA66" s="63">
        <v>0</v>
      </c>
      <c r="AB66" s="63">
        <v>1</v>
      </c>
      <c r="AC66" s="63">
        <v>0</v>
      </c>
      <c r="AD66" s="63">
        <v>0</v>
      </c>
      <c r="AE66" s="63">
        <v>0</v>
      </c>
      <c r="AF66" s="63">
        <v>0</v>
      </c>
      <c r="AG66" s="63">
        <v>0</v>
      </c>
      <c r="AH66" s="63">
        <v>0</v>
      </c>
      <c r="AI66" s="63">
        <v>0</v>
      </c>
      <c r="AJ66" s="63">
        <v>36</v>
      </c>
      <c r="AK66" s="63">
        <v>56</v>
      </c>
      <c r="AL66" s="63" t="s">
        <v>35</v>
      </c>
      <c r="AM66" s="63" t="s">
        <v>854</v>
      </c>
      <c r="AN66" s="149" t="s">
        <v>33</v>
      </c>
      <c r="AO66" s="67" t="str">
        <f>VLOOKUP(A66,'Ranking Lookup'!A:C,3,0)</f>
        <v>Pre PI</v>
      </c>
      <c r="AP66" s="63">
        <f>IFERROR(VLOOKUP($A66,'Ranking Lookup'!$A:$B,2,0),"Unranked")</f>
        <v>64</v>
      </c>
      <c r="AQ66" s="71">
        <f>SUM(S66:AI66,AK66)/E66</f>
        <v>1.0222222222222221</v>
      </c>
      <c r="AR66" s="97">
        <f>IF(A66="","",
COUNTIF(EAD_CIs!I:I,"*"&amp;A66&amp;"*"))</f>
        <v>6</v>
      </c>
      <c r="AS66" s="97">
        <f>AS65+T66</f>
        <v>260</v>
      </c>
      <c r="AT66" s="97">
        <f>AT65+U66</f>
        <v>181</v>
      </c>
      <c r="AU66" s="97">
        <f>AU65+V66</f>
        <v>99</v>
      </c>
      <c r="AV66" s="97">
        <f>AV65+W66</f>
        <v>351</v>
      </c>
      <c r="AW66" s="97">
        <f>AW65+X66</f>
        <v>185</v>
      </c>
      <c r="AX66" s="97">
        <f>AX65+Y66</f>
        <v>173</v>
      </c>
      <c r="AY66" s="97">
        <f>AY65+Z66</f>
        <v>382</v>
      </c>
      <c r="AZ66" s="97">
        <f>AZ65+AA66</f>
        <v>80</v>
      </c>
      <c r="BA66" s="97">
        <f>BA65+AB66</f>
        <v>208</v>
      </c>
      <c r="BB66" s="97">
        <f>BB65+AC66</f>
        <v>350</v>
      </c>
      <c r="BC66" s="97">
        <f>BC65+AD66</f>
        <v>144</v>
      </c>
      <c r="BD66" s="97">
        <f>BD65+AE66</f>
        <v>81</v>
      </c>
      <c r="BE66" s="97">
        <f>BE65+AF66</f>
        <v>0</v>
      </c>
      <c r="BF66" s="97">
        <f>BF65+AG66</f>
        <v>158</v>
      </c>
      <c r="BG66" s="97">
        <f>BG65+AH66</f>
        <v>0</v>
      </c>
      <c r="BH66" s="63">
        <f>IF(A66="",0,
COUNTIF(OrphanPWI_CI_Check!A:A,"*"&amp;A66&amp;"*"))</f>
        <v>28</v>
      </c>
      <c r="BI66" s="63">
        <f>IF(NOT(ISERROR(SEARCH("In Progress",   VLOOKUP($A66,$A:$D,MATCH("Planned For",$A$1:$D$1,0), 1)))),0.5,
 IF($F66="Enabler",0.6,
 IF($I66="EAD N/A",0.8,1))) *  ( ROUNDUP(MAX('Ranking Lookup'!B:B)/5,0) +1 - ROUNDUP(IF(NOT(ISNUMBER(VLOOKUP(A66,'Ranking Lookup'!A:B,2,0))),  MAX('Ranking Lookup'!B:B))/5,0) )</f>
        <v>9</v>
      </c>
      <c r="BK66" s="95"/>
    </row>
    <row r="67" spans="1:63" s="5" customFormat="1" ht="14.4" customHeight="1" x14ac:dyDescent="0.3">
      <c r="A67" s="203">
        <v>1013136</v>
      </c>
      <c r="B67" s="65" t="s">
        <v>2241</v>
      </c>
      <c r="C67" s="98" t="s">
        <v>1866</v>
      </c>
      <c r="D67" s="98" t="s">
        <v>28</v>
      </c>
      <c r="E67" s="65">
        <v>106</v>
      </c>
      <c r="F67" s="99" t="s">
        <v>879</v>
      </c>
      <c r="G67" s="99" t="s">
        <v>2199</v>
      </c>
      <c r="H67" s="64" t="s">
        <v>1009</v>
      </c>
      <c r="I67" s="64" t="s">
        <v>979</v>
      </c>
      <c r="J67" s="98" t="s">
        <v>1412</v>
      </c>
      <c r="K67" s="95">
        <v>0</v>
      </c>
      <c r="L67" s="62" t="s">
        <v>554</v>
      </c>
      <c r="M67" s="67" t="s">
        <v>34</v>
      </c>
      <c r="N67" s="67" t="s">
        <v>55</v>
      </c>
      <c r="O67" s="67">
        <v>6</v>
      </c>
      <c r="P67" s="67" t="s">
        <v>131</v>
      </c>
      <c r="Q67" s="67" t="s">
        <v>1760</v>
      </c>
      <c r="R67" s="66">
        <v>1</v>
      </c>
      <c r="S67" s="63">
        <v>0</v>
      </c>
      <c r="T67" s="63">
        <v>0</v>
      </c>
      <c r="U67" s="63">
        <v>0</v>
      </c>
      <c r="V67" s="63">
        <v>0</v>
      </c>
      <c r="W67" s="63">
        <v>0</v>
      </c>
      <c r="X67" s="63">
        <v>0</v>
      </c>
      <c r="Y67" s="63">
        <v>0</v>
      </c>
      <c r="Z67" s="63">
        <v>0</v>
      </c>
      <c r="AA67" s="63">
        <v>0</v>
      </c>
      <c r="AB67" s="63">
        <v>0</v>
      </c>
      <c r="AC67" s="63">
        <v>0</v>
      </c>
      <c r="AD67" s="63">
        <v>0</v>
      </c>
      <c r="AE67" s="63">
        <v>0</v>
      </c>
      <c r="AF67" s="63">
        <v>0</v>
      </c>
      <c r="AG67" s="63">
        <v>103</v>
      </c>
      <c r="AH67" s="63">
        <v>0</v>
      </c>
      <c r="AI67" s="63">
        <v>0</v>
      </c>
      <c r="AJ67" s="63">
        <v>103</v>
      </c>
      <c r="AK67" s="63">
        <v>5</v>
      </c>
      <c r="AL67" s="63" t="s">
        <v>35</v>
      </c>
      <c r="AM67" s="63" t="s">
        <v>36</v>
      </c>
      <c r="AN67" s="149" t="s">
        <v>33</v>
      </c>
      <c r="AO67" s="67" t="str">
        <f>VLOOKUP(A67,'Ranking Lookup'!A:C,3,0)</f>
        <v>Pre PI</v>
      </c>
      <c r="AP67" s="63">
        <f>IFERROR(VLOOKUP($A67,'Ranking Lookup'!$A:$B,2,0),"Unranked")</f>
        <v>65</v>
      </c>
      <c r="AQ67" s="71">
        <f>SUM(S67:AI67,AK67)/E67</f>
        <v>1.0188679245283019</v>
      </c>
      <c r="AR67" s="97">
        <f>IF(A67="","",
COUNTIF(EAD_CIs!I:I,"*"&amp;A67&amp;"*"))</f>
        <v>0</v>
      </c>
      <c r="AS67" s="97">
        <f>AS66+T67</f>
        <v>260</v>
      </c>
      <c r="AT67" s="97">
        <f>AT66+U67</f>
        <v>181</v>
      </c>
      <c r="AU67" s="97">
        <f>AU66+V67</f>
        <v>99</v>
      </c>
      <c r="AV67" s="97">
        <f>AV66+W67</f>
        <v>351</v>
      </c>
      <c r="AW67" s="97">
        <f>AW66+X67</f>
        <v>185</v>
      </c>
      <c r="AX67" s="97">
        <f>AX66+Y67</f>
        <v>173</v>
      </c>
      <c r="AY67" s="97">
        <f>AY66+Z67</f>
        <v>382</v>
      </c>
      <c r="AZ67" s="97">
        <f>AZ66+AA67</f>
        <v>80</v>
      </c>
      <c r="BA67" s="97">
        <f>BA66+AB67</f>
        <v>208</v>
      </c>
      <c r="BB67" s="97">
        <f>BB66+AC67</f>
        <v>350</v>
      </c>
      <c r="BC67" s="97">
        <f>BC66+AD67</f>
        <v>144</v>
      </c>
      <c r="BD67" s="97">
        <f>BD66+AE67</f>
        <v>81</v>
      </c>
      <c r="BE67" s="97">
        <f>BE66+AF67</f>
        <v>0</v>
      </c>
      <c r="BF67" s="97">
        <f>BF66+AG67</f>
        <v>261</v>
      </c>
      <c r="BG67" s="97">
        <f>BG66+AH67</f>
        <v>0</v>
      </c>
      <c r="BH67" s="63">
        <f>IF(A67="",0,
COUNTIF(OrphanPWI_CI_Check!A:A,"*"&amp;A67&amp;"*"))</f>
        <v>0</v>
      </c>
      <c r="BI67" s="63">
        <f>IF(NOT(ISERROR(SEARCH("In Progress",   VLOOKUP($A67,$A:$D,MATCH("Planned For",$A$1:$D$1,0), 1)))),0.5,
 IF($F67="Enabler",0.6,
 IF($I67="EAD N/A",0.8,1))) *  ( ROUNDUP(MAX('Ranking Lookup'!B:B)/5,0) +1 - ROUNDUP(IF(NOT(ISNUMBER(VLOOKUP(A67,'Ranking Lookup'!A:B,2,0))),  MAX('Ranking Lookup'!B:B))/5,0) )</f>
        <v>9</v>
      </c>
      <c r="BK67"/>
    </row>
    <row r="68" spans="1:63" s="5" customFormat="1" ht="14.4" customHeight="1" x14ac:dyDescent="0.3">
      <c r="A68" s="203">
        <v>332951</v>
      </c>
      <c r="B68" s="65" t="s">
        <v>2249</v>
      </c>
      <c r="C68" s="98" t="s">
        <v>1321</v>
      </c>
      <c r="D68" s="98" t="s">
        <v>28</v>
      </c>
      <c r="E68" s="65">
        <v>45</v>
      </c>
      <c r="F68" s="99" t="s">
        <v>880</v>
      </c>
      <c r="G68" s="99" t="s">
        <v>2289</v>
      </c>
      <c r="H68" s="64" t="s">
        <v>1165</v>
      </c>
      <c r="I68" s="64" t="s">
        <v>939</v>
      </c>
      <c r="J68" s="98" t="s">
        <v>1412</v>
      </c>
      <c r="K68" s="203">
        <v>216364</v>
      </c>
      <c r="L68" s="62" t="s">
        <v>554</v>
      </c>
      <c r="M68" s="67" t="s">
        <v>31</v>
      </c>
      <c r="N68" s="67" t="s">
        <v>53</v>
      </c>
      <c r="O68" s="67">
        <v>0</v>
      </c>
      <c r="P68" s="67" t="s">
        <v>131</v>
      </c>
      <c r="Q68" s="67" t="s">
        <v>1761</v>
      </c>
      <c r="R68" s="66">
        <v>3</v>
      </c>
      <c r="S68" s="63">
        <v>0</v>
      </c>
      <c r="T68" s="63">
        <v>0</v>
      </c>
      <c r="U68" s="63">
        <v>0</v>
      </c>
      <c r="V68" s="63">
        <v>10</v>
      </c>
      <c r="W68" s="63">
        <v>8</v>
      </c>
      <c r="X68" s="63">
        <v>0</v>
      </c>
      <c r="Y68" s="63">
        <v>0</v>
      </c>
      <c r="Z68" s="63">
        <v>0</v>
      </c>
      <c r="AA68" s="63">
        <v>0</v>
      </c>
      <c r="AB68" s="63">
        <v>0</v>
      </c>
      <c r="AC68" s="63">
        <v>0</v>
      </c>
      <c r="AD68" s="63">
        <v>0</v>
      </c>
      <c r="AE68" s="63">
        <v>0</v>
      </c>
      <c r="AF68" s="63">
        <v>0</v>
      </c>
      <c r="AG68" s="63">
        <v>27</v>
      </c>
      <c r="AH68" s="63">
        <v>0</v>
      </c>
      <c r="AI68" s="63">
        <v>0</v>
      </c>
      <c r="AJ68" s="63">
        <v>45</v>
      </c>
      <c r="AK68" s="63">
        <v>0</v>
      </c>
      <c r="AL68" s="63" t="s">
        <v>35</v>
      </c>
      <c r="AM68" s="63" t="s">
        <v>854</v>
      </c>
      <c r="AN68" s="149" t="s">
        <v>1762</v>
      </c>
      <c r="AO68" s="67" t="str">
        <f>VLOOKUP(A68,'Ranking Lookup'!A:C,3,0)</f>
        <v>Pre PI</v>
      </c>
      <c r="AP68" s="63">
        <f>IFERROR(VLOOKUP($A68,'Ranking Lookup'!$A:$B,2,0),"Unranked")</f>
        <v>66</v>
      </c>
      <c r="AQ68" s="71">
        <f>SUM(S68:AI68,AK68)/E68</f>
        <v>1</v>
      </c>
      <c r="AR68" s="97">
        <f>IF(A68="","",
COUNTIF(EAD_CIs!I:I,"*"&amp;A68&amp;"*"))</f>
        <v>2</v>
      </c>
      <c r="AS68" s="97">
        <f>AS67+T68</f>
        <v>260</v>
      </c>
      <c r="AT68" s="97">
        <f>AT67+U68</f>
        <v>181</v>
      </c>
      <c r="AU68" s="97">
        <f>AU67+V68</f>
        <v>109</v>
      </c>
      <c r="AV68" s="97">
        <f>AV67+W68</f>
        <v>359</v>
      </c>
      <c r="AW68" s="97">
        <f>AW67+X68</f>
        <v>185</v>
      </c>
      <c r="AX68" s="97">
        <f>AX67+Y68</f>
        <v>173</v>
      </c>
      <c r="AY68" s="97">
        <f>AY67+Z68</f>
        <v>382</v>
      </c>
      <c r="AZ68" s="97">
        <f>AZ67+AA68</f>
        <v>80</v>
      </c>
      <c r="BA68" s="97">
        <f>BA67+AB68</f>
        <v>208</v>
      </c>
      <c r="BB68" s="97">
        <f>BB67+AC68</f>
        <v>350</v>
      </c>
      <c r="BC68" s="97">
        <f>BC67+AD68</f>
        <v>144</v>
      </c>
      <c r="BD68" s="97">
        <f>BD67+AE68</f>
        <v>81</v>
      </c>
      <c r="BE68" s="97">
        <f>BE67+AF68</f>
        <v>0</v>
      </c>
      <c r="BF68" s="97">
        <f>BF67+AG68</f>
        <v>288</v>
      </c>
      <c r="BG68" s="97">
        <f>BG67+AH68</f>
        <v>0</v>
      </c>
      <c r="BH68" s="63">
        <f>IF(A68="",0,
COUNTIF(OrphanPWI_CI_Check!A:A,"*"&amp;A68&amp;"*"))</f>
        <v>150</v>
      </c>
      <c r="BI68" s="63">
        <f>IF(NOT(ISERROR(SEARCH("In Progress",   VLOOKUP($A68,$A:$D,MATCH("Planned For",$A$1:$D$1,0), 1)))),0.5,
 IF($F68="Enabler",0.6,
 IF($I68="EAD N/A",0.8,1))) *  ( ROUNDUP(MAX('Ranking Lookup'!B:B)/5,0) +1 - ROUNDUP(IF(NOT(ISNUMBER(VLOOKUP(A68,'Ranking Lookup'!A:B,2,0))),  MAX('Ranking Lookup'!B:B))/5,0) )</f>
        <v>18</v>
      </c>
      <c r="BK68"/>
    </row>
    <row r="69" spans="1:63" s="5" customFormat="1" ht="14.4" customHeight="1" x14ac:dyDescent="0.3">
      <c r="A69" s="203">
        <v>396669</v>
      </c>
      <c r="B69" s="65" t="s">
        <v>1748</v>
      </c>
      <c r="C69" s="98" t="s">
        <v>1321</v>
      </c>
      <c r="D69" s="98" t="s">
        <v>28</v>
      </c>
      <c r="E69" s="65">
        <v>25</v>
      </c>
      <c r="F69" s="99" t="s">
        <v>880</v>
      </c>
      <c r="G69" s="99" t="s">
        <v>2338</v>
      </c>
      <c r="H69" s="64" t="s">
        <v>173</v>
      </c>
      <c r="I69" s="64" t="s">
        <v>939</v>
      </c>
      <c r="J69" s="98" t="s">
        <v>1412</v>
      </c>
      <c r="K69" s="203">
        <v>216364</v>
      </c>
      <c r="L69" s="62" t="s">
        <v>554</v>
      </c>
      <c r="M69" s="67" t="s">
        <v>31</v>
      </c>
      <c r="N69" s="67" t="s">
        <v>53</v>
      </c>
      <c r="O69" s="67">
        <v>1</v>
      </c>
      <c r="P69" s="67" t="s">
        <v>131</v>
      </c>
      <c r="Q69" s="67" t="s">
        <v>1761</v>
      </c>
      <c r="R69" s="66">
        <v>2</v>
      </c>
      <c r="S69" s="63">
        <v>0</v>
      </c>
      <c r="T69" s="63">
        <v>0</v>
      </c>
      <c r="U69" s="63">
        <v>0</v>
      </c>
      <c r="V69" s="63">
        <v>4</v>
      </c>
      <c r="W69" s="63">
        <v>0</v>
      </c>
      <c r="X69" s="63">
        <v>0</v>
      </c>
      <c r="Y69" s="63">
        <v>0</v>
      </c>
      <c r="Z69" s="63">
        <v>0</v>
      </c>
      <c r="AA69" s="63">
        <v>0</v>
      </c>
      <c r="AB69" s="63">
        <v>0</v>
      </c>
      <c r="AC69" s="63">
        <v>0</v>
      </c>
      <c r="AD69" s="63">
        <v>0</v>
      </c>
      <c r="AE69" s="63">
        <v>0</v>
      </c>
      <c r="AF69" s="63">
        <v>0</v>
      </c>
      <c r="AG69" s="63">
        <v>21</v>
      </c>
      <c r="AH69" s="63">
        <v>0</v>
      </c>
      <c r="AI69" s="63">
        <v>0</v>
      </c>
      <c r="AJ69" s="63">
        <v>25</v>
      </c>
      <c r="AK69" s="63">
        <v>0</v>
      </c>
      <c r="AL69" s="63" t="s">
        <v>35</v>
      </c>
      <c r="AM69" s="63" t="s">
        <v>854</v>
      </c>
      <c r="AN69" s="149" t="s">
        <v>40</v>
      </c>
      <c r="AO69" s="67" t="str">
        <f>VLOOKUP(A69,'Ranking Lookup'!A:C,3,0)</f>
        <v>Pre PI</v>
      </c>
      <c r="AP69" s="63">
        <f>IFERROR(VLOOKUP($A69,'Ranking Lookup'!$A:$B,2,0),"Unranked")</f>
        <v>67</v>
      </c>
      <c r="AQ69" s="71">
        <f>SUM(S69:AI69,AK69)/E69</f>
        <v>1</v>
      </c>
      <c r="AR69" s="97">
        <f>IF(A69="","",
COUNTIF(EAD_CIs!I:I,"*"&amp;A69&amp;"*"))</f>
        <v>0</v>
      </c>
      <c r="AS69" s="97">
        <f>AS68+T69</f>
        <v>260</v>
      </c>
      <c r="AT69" s="97">
        <f>AT68+U69</f>
        <v>181</v>
      </c>
      <c r="AU69" s="97">
        <f>AU68+V69</f>
        <v>113</v>
      </c>
      <c r="AV69" s="97">
        <f>AV68+W69</f>
        <v>359</v>
      </c>
      <c r="AW69" s="97">
        <f>AW68+X69</f>
        <v>185</v>
      </c>
      <c r="AX69" s="97">
        <f>AX68+Y69</f>
        <v>173</v>
      </c>
      <c r="AY69" s="97">
        <f>AY68+Z69</f>
        <v>382</v>
      </c>
      <c r="AZ69" s="97">
        <f>AZ68+AA69</f>
        <v>80</v>
      </c>
      <c r="BA69" s="97">
        <f>BA68+AB69</f>
        <v>208</v>
      </c>
      <c r="BB69" s="97">
        <f>BB68+AC69</f>
        <v>350</v>
      </c>
      <c r="BC69" s="97">
        <f>BC68+AD69</f>
        <v>144</v>
      </c>
      <c r="BD69" s="97">
        <f>BD68+AE69</f>
        <v>81</v>
      </c>
      <c r="BE69" s="97">
        <f>BE68+AF69</f>
        <v>0</v>
      </c>
      <c r="BF69" s="97">
        <f>BF68+AG69</f>
        <v>309</v>
      </c>
      <c r="BG69" s="97">
        <f>BG68+AH69</f>
        <v>0</v>
      </c>
      <c r="BH69" s="63">
        <f>IF(A69="",0,
COUNTIF(OrphanPWI_CI_Check!A:A,"*"&amp;A69&amp;"*"))</f>
        <v>0</v>
      </c>
      <c r="BI69" s="63">
        <f>IF(NOT(ISERROR(SEARCH("In Progress",   VLOOKUP($A69,$A:$D,MATCH("Planned For",$A$1:$D$1,0), 1)))),0.5,
 IF($F69="Enabler",0.6,
 IF($I69="EAD N/A",0.8,1))) *  ( ROUNDUP(MAX('Ranking Lookup'!B:B)/5,0) +1 - ROUNDUP(IF(NOT(ISNUMBER(VLOOKUP(A69,'Ranking Lookup'!A:B,2,0))),  MAX('Ranking Lookup'!B:B))/5,0) )</f>
        <v>18</v>
      </c>
      <c r="BK69" s="95"/>
    </row>
    <row r="70" spans="1:63" s="5" customFormat="1" ht="14.4" customHeight="1" x14ac:dyDescent="0.3">
      <c r="A70" s="203">
        <v>358656</v>
      </c>
      <c r="B70" s="65" t="s">
        <v>1746</v>
      </c>
      <c r="C70" s="98" t="s">
        <v>1321</v>
      </c>
      <c r="D70" s="98" t="s">
        <v>28</v>
      </c>
      <c r="E70" s="65">
        <v>35</v>
      </c>
      <c r="F70" s="99" t="s">
        <v>880</v>
      </c>
      <c r="G70" s="99" t="s">
        <v>2339</v>
      </c>
      <c r="H70" s="64" t="s">
        <v>547</v>
      </c>
      <c r="I70" s="64" t="s">
        <v>939</v>
      </c>
      <c r="J70" s="98" t="s">
        <v>1412</v>
      </c>
      <c r="K70" s="203">
        <v>216364</v>
      </c>
      <c r="L70" s="62" t="s">
        <v>951</v>
      </c>
      <c r="M70" s="67" t="s">
        <v>31</v>
      </c>
      <c r="N70" s="67" t="s">
        <v>53</v>
      </c>
      <c r="O70" s="67">
        <v>0</v>
      </c>
      <c r="P70" s="67" t="s">
        <v>131</v>
      </c>
      <c r="Q70" s="67" t="s">
        <v>1761</v>
      </c>
      <c r="R70" s="66">
        <v>2</v>
      </c>
      <c r="S70" s="63">
        <v>0</v>
      </c>
      <c r="T70" s="63">
        <v>33</v>
      </c>
      <c r="U70" s="63">
        <v>0</v>
      </c>
      <c r="V70" s="63">
        <v>2</v>
      </c>
      <c r="W70" s="63">
        <v>0</v>
      </c>
      <c r="X70" s="63">
        <v>0</v>
      </c>
      <c r="Y70" s="63">
        <v>0</v>
      </c>
      <c r="Z70" s="63">
        <v>0</v>
      </c>
      <c r="AA70" s="63">
        <v>0</v>
      </c>
      <c r="AB70" s="63">
        <v>0</v>
      </c>
      <c r="AC70" s="63">
        <v>0</v>
      </c>
      <c r="AD70" s="63">
        <v>0</v>
      </c>
      <c r="AE70" s="63">
        <v>0</v>
      </c>
      <c r="AF70" s="63">
        <v>0</v>
      </c>
      <c r="AG70" s="63">
        <v>0</v>
      </c>
      <c r="AH70" s="63">
        <v>0</v>
      </c>
      <c r="AI70" s="63">
        <v>0</v>
      </c>
      <c r="AJ70" s="63">
        <v>35</v>
      </c>
      <c r="AK70" s="63">
        <v>0</v>
      </c>
      <c r="AL70" s="63" t="s">
        <v>35</v>
      </c>
      <c r="AM70" s="63" t="s">
        <v>854</v>
      </c>
      <c r="AN70" s="149" t="s">
        <v>40</v>
      </c>
      <c r="AO70" s="67" t="str">
        <f>VLOOKUP(A70,'Ranking Lookup'!A:C,3,0)</f>
        <v>Pre PI</v>
      </c>
      <c r="AP70" s="63">
        <f>IFERROR(VLOOKUP($A70,'Ranking Lookup'!$A:$B,2,0),"Unranked")</f>
        <v>68</v>
      </c>
      <c r="AQ70" s="71">
        <f>SUM(S70:AI70,AK70)/E70</f>
        <v>1</v>
      </c>
      <c r="AR70" s="97">
        <f>IF(A70="","",
COUNTIF(EAD_CIs!I:I,"*"&amp;A70&amp;"*"))</f>
        <v>1</v>
      </c>
      <c r="AS70" s="97">
        <f>AS69+T70</f>
        <v>293</v>
      </c>
      <c r="AT70" s="97">
        <f>AT69+U70</f>
        <v>181</v>
      </c>
      <c r="AU70" s="97">
        <f>AU69+V70</f>
        <v>115</v>
      </c>
      <c r="AV70" s="97">
        <f>AV69+W70</f>
        <v>359</v>
      </c>
      <c r="AW70" s="97">
        <f>AW69+X70</f>
        <v>185</v>
      </c>
      <c r="AX70" s="97">
        <f>AX69+Y70</f>
        <v>173</v>
      </c>
      <c r="AY70" s="97">
        <f>AY69+Z70</f>
        <v>382</v>
      </c>
      <c r="AZ70" s="97">
        <f>AZ69+AA70</f>
        <v>80</v>
      </c>
      <c r="BA70" s="97">
        <f>BA69+AB70</f>
        <v>208</v>
      </c>
      <c r="BB70" s="97">
        <f>BB69+AC70</f>
        <v>350</v>
      </c>
      <c r="BC70" s="97">
        <f>BC69+AD70</f>
        <v>144</v>
      </c>
      <c r="BD70" s="97">
        <f>BD69+AE70</f>
        <v>81</v>
      </c>
      <c r="BE70" s="97">
        <f>BE69+AF70</f>
        <v>0</v>
      </c>
      <c r="BF70" s="97">
        <f>BF69+AG70</f>
        <v>309</v>
      </c>
      <c r="BG70" s="97">
        <f>BG69+AH70</f>
        <v>0</v>
      </c>
      <c r="BH70" s="63">
        <f>IF(A70="",0,
COUNTIF(OrphanPWI_CI_Check!A:A,"*"&amp;A70&amp;"*"))</f>
        <v>0</v>
      </c>
      <c r="BI70" s="63">
        <f>IF(NOT(ISERROR(SEARCH("In Progress",   VLOOKUP($A70,$A:$D,MATCH("Planned For",$A$1:$D$1,0), 1)))),0.5,
 IF($F70="Enabler",0.6,
 IF($I70="EAD N/A",0.8,1))) *  ( ROUNDUP(MAX('Ranking Lookup'!B:B)/5,0) +1 - ROUNDUP(IF(NOT(ISNUMBER(VLOOKUP(A70,'Ranking Lookup'!A:B,2,0))),  MAX('Ranking Lookup'!B:B))/5,0) )</f>
        <v>18</v>
      </c>
    </row>
    <row r="71" spans="1:63" s="5" customFormat="1" ht="14.4" customHeight="1" x14ac:dyDescent="0.3">
      <c r="A71" s="203">
        <v>392058</v>
      </c>
      <c r="B71" s="65" t="s">
        <v>2307</v>
      </c>
      <c r="C71" s="98" t="s">
        <v>1321</v>
      </c>
      <c r="D71" s="98" t="s">
        <v>28</v>
      </c>
      <c r="E71" s="65">
        <v>41</v>
      </c>
      <c r="F71" s="99" t="s">
        <v>880</v>
      </c>
      <c r="G71" s="99" t="s">
        <v>2285</v>
      </c>
      <c r="H71" s="64" t="s">
        <v>547</v>
      </c>
      <c r="I71" s="64" t="s">
        <v>939</v>
      </c>
      <c r="J71" s="98" t="s">
        <v>1412</v>
      </c>
      <c r="K71" s="203">
        <v>216364</v>
      </c>
      <c r="L71" s="62" t="s">
        <v>951</v>
      </c>
      <c r="M71" s="67" t="s">
        <v>31</v>
      </c>
      <c r="N71" s="67" t="s">
        <v>53</v>
      </c>
      <c r="O71" s="67">
        <v>2</v>
      </c>
      <c r="P71" s="67" t="s">
        <v>131</v>
      </c>
      <c r="Q71" s="67" t="s">
        <v>1761</v>
      </c>
      <c r="R71" s="66">
        <v>2</v>
      </c>
      <c r="S71" s="63">
        <v>0</v>
      </c>
      <c r="T71" s="63">
        <v>36</v>
      </c>
      <c r="U71" s="63">
        <v>0</v>
      </c>
      <c r="V71" s="63">
        <v>5</v>
      </c>
      <c r="W71" s="63">
        <v>0</v>
      </c>
      <c r="X71" s="63">
        <v>0</v>
      </c>
      <c r="Y71" s="63">
        <v>0</v>
      </c>
      <c r="Z71" s="63">
        <v>0</v>
      </c>
      <c r="AA71" s="63">
        <v>0</v>
      </c>
      <c r="AB71" s="63">
        <v>0</v>
      </c>
      <c r="AC71" s="63">
        <v>0</v>
      </c>
      <c r="AD71" s="63">
        <v>0</v>
      </c>
      <c r="AE71" s="63">
        <v>0</v>
      </c>
      <c r="AF71" s="63">
        <v>0</v>
      </c>
      <c r="AG71" s="63">
        <v>0</v>
      </c>
      <c r="AH71" s="63">
        <v>0</v>
      </c>
      <c r="AI71" s="63">
        <v>0</v>
      </c>
      <c r="AJ71" s="63">
        <v>41</v>
      </c>
      <c r="AK71" s="63">
        <v>0</v>
      </c>
      <c r="AL71" s="63" t="s">
        <v>35</v>
      </c>
      <c r="AM71" s="63" t="s">
        <v>854</v>
      </c>
      <c r="AN71" s="149" t="s">
        <v>40</v>
      </c>
      <c r="AO71" s="67" t="str">
        <f>VLOOKUP(A71,'Ranking Lookup'!A:C,3,0)</f>
        <v>Pre PI</v>
      </c>
      <c r="AP71" s="63">
        <f>IFERROR(VLOOKUP($A71,'Ranking Lookup'!$A:$B,2,0),"Unranked")</f>
        <v>69</v>
      </c>
      <c r="AQ71" s="71">
        <f>SUM(S71:AI71,AK71)/E71</f>
        <v>1</v>
      </c>
      <c r="AR71" s="97">
        <f>IF(A71="","",
COUNTIF(EAD_CIs!I:I,"*"&amp;A71&amp;"*"))</f>
        <v>0</v>
      </c>
      <c r="AS71" s="97">
        <f>AS70+T71</f>
        <v>329</v>
      </c>
      <c r="AT71" s="97">
        <f>AT70+U71</f>
        <v>181</v>
      </c>
      <c r="AU71" s="97">
        <f>AU70+V71</f>
        <v>120</v>
      </c>
      <c r="AV71" s="97">
        <f>AV70+W71</f>
        <v>359</v>
      </c>
      <c r="AW71" s="97">
        <f>AW70+X71</f>
        <v>185</v>
      </c>
      <c r="AX71" s="97">
        <f>AX70+Y71</f>
        <v>173</v>
      </c>
      <c r="AY71" s="97">
        <f>AY70+Z71</f>
        <v>382</v>
      </c>
      <c r="AZ71" s="97">
        <f>AZ70+AA71</f>
        <v>80</v>
      </c>
      <c r="BA71" s="97">
        <f>BA70+AB71</f>
        <v>208</v>
      </c>
      <c r="BB71" s="97">
        <f>BB70+AC71</f>
        <v>350</v>
      </c>
      <c r="BC71" s="97">
        <f>BC70+AD71</f>
        <v>144</v>
      </c>
      <c r="BD71" s="97">
        <f>BD70+AE71</f>
        <v>81</v>
      </c>
      <c r="BE71" s="97">
        <f>BE70+AF71</f>
        <v>0</v>
      </c>
      <c r="BF71" s="97">
        <f>BF70+AG71</f>
        <v>309</v>
      </c>
      <c r="BG71" s="97">
        <f>BG70+AH71</f>
        <v>0</v>
      </c>
      <c r="BH71" s="63">
        <f>IF(A71="",0,
COUNTIF(OrphanPWI_CI_Check!A:A,"*"&amp;A71&amp;"*"))</f>
        <v>0</v>
      </c>
      <c r="BI71" s="63">
        <f>IF(NOT(ISERROR(SEARCH("In Progress",   VLOOKUP($A71,$A:$D,MATCH("Planned For",$A$1:$D$1,0), 1)))),0.5,
 IF($F71="Enabler",0.6,
 IF($I71="EAD N/A",0.8,1))) *  ( ROUNDUP(MAX('Ranking Lookup'!B:B)/5,0) +1 - ROUNDUP(IF(NOT(ISNUMBER(VLOOKUP(A71,'Ranking Lookup'!A:B,2,0))),  MAX('Ranking Lookup'!B:B))/5,0) )</f>
        <v>18</v>
      </c>
      <c r="BK71"/>
    </row>
    <row r="72" spans="1:63" s="5" customFormat="1" ht="14.4" customHeight="1" x14ac:dyDescent="0.3">
      <c r="A72" s="203">
        <v>393265</v>
      </c>
      <c r="B72" s="65" t="s">
        <v>1756</v>
      </c>
      <c r="C72" s="98" t="s">
        <v>2102</v>
      </c>
      <c r="D72" s="98" t="s">
        <v>28</v>
      </c>
      <c r="E72" s="65">
        <v>10</v>
      </c>
      <c r="F72" s="99" t="s">
        <v>880</v>
      </c>
      <c r="G72" s="99" t="s">
        <v>2268</v>
      </c>
      <c r="H72" s="64" t="s">
        <v>548</v>
      </c>
      <c r="I72" s="64" t="s">
        <v>939</v>
      </c>
      <c r="J72" s="98" t="s">
        <v>1412</v>
      </c>
      <c r="K72" s="95">
        <v>0</v>
      </c>
      <c r="L72" s="62" t="s">
        <v>945</v>
      </c>
      <c r="M72" s="67" t="s">
        <v>42</v>
      </c>
      <c r="N72" s="67" t="s">
        <v>44</v>
      </c>
      <c r="O72" s="67">
        <v>4</v>
      </c>
      <c r="P72" s="67" t="s">
        <v>1552</v>
      </c>
      <c r="Q72" s="67" t="s">
        <v>1760</v>
      </c>
      <c r="R72" s="66">
        <v>1</v>
      </c>
      <c r="S72" s="63">
        <v>0</v>
      </c>
      <c r="T72" s="63">
        <v>0</v>
      </c>
      <c r="U72" s="63">
        <v>0</v>
      </c>
      <c r="V72" s="63">
        <v>10</v>
      </c>
      <c r="W72" s="63">
        <v>0</v>
      </c>
      <c r="X72" s="63">
        <v>0</v>
      </c>
      <c r="Y72" s="63">
        <v>0</v>
      </c>
      <c r="Z72" s="63">
        <v>0</v>
      </c>
      <c r="AA72" s="63">
        <v>0</v>
      </c>
      <c r="AB72" s="63">
        <v>0</v>
      </c>
      <c r="AC72" s="63">
        <v>0</v>
      </c>
      <c r="AD72" s="63">
        <v>0</v>
      </c>
      <c r="AE72" s="63">
        <v>0</v>
      </c>
      <c r="AF72" s="63">
        <v>0</v>
      </c>
      <c r="AG72" s="63">
        <v>0</v>
      </c>
      <c r="AH72" s="63">
        <v>0</v>
      </c>
      <c r="AI72" s="63">
        <v>0</v>
      </c>
      <c r="AJ72" s="63">
        <v>10</v>
      </c>
      <c r="AK72" s="63">
        <v>0</v>
      </c>
      <c r="AL72" s="63" t="s">
        <v>35</v>
      </c>
      <c r="AM72" s="63" t="s">
        <v>36</v>
      </c>
      <c r="AN72" s="149" t="s">
        <v>40</v>
      </c>
      <c r="AO72" s="67" t="str">
        <f>VLOOKUP(A72,'Ranking Lookup'!A:C,3,0)</f>
        <v>Pre PI</v>
      </c>
      <c r="AP72" s="63">
        <f>IFERROR(VLOOKUP($A72,'Ranking Lookup'!$A:$B,2,0),"Unranked")</f>
        <v>70</v>
      </c>
      <c r="AQ72" s="71">
        <f>SUM(S72:AI72,AK72)/E72</f>
        <v>1</v>
      </c>
      <c r="AR72" s="97">
        <f>IF(A72="","",
COUNTIF(EAD_CIs!I:I,"*"&amp;A72&amp;"*"))</f>
        <v>1</v>
      </c>
      <c r="AS72" s="97">
        <f>AS71+T72</f>
        <v>329</v>
      </c>
      <c r="AT72" s="97">
        <f>AT71+U72</f>
        <v>181</v>
      </c>
      <c r="AU72" s="97">
        <f>AU71+V72</f>
        <v>130</v>
      </c>
      <c r="AV72" s="97">
        <f>AV71+W72</f>
        <v>359</v>
      </c>
      <c r="AW72" s="97">
        <f>AW71+X72</f>
        <v>185</v>
      </c>
      <c r="AX72" s="97">
        <f>AX71+Y72</f>
        <v>173</v>
      </c>
      <c r="AY72" s="97">
        <f>AY71+Z72</f>
        <v>382</v>
      </c>
      <c r="AZ72" s="97">
        <f>AZ71+AA72</f>
        <v>80</v>
      </c>
      <c r="BA72" s="97">
        <f>BA71+AB72</f>
        <v>208</v>
      </c>
      <c r="BB72" s="97">
        <f>BB71+AC72</f>
        <v>350</v>
      </c>
      <c r="BC72" s="97">
        <f>BC71+AD72</f>
        <v>144</v>
      </c>
      <c r="BD72" s="97">
        <f>BD71+AE72</f>
        <v>81</v>
      </c>
      <c r="BE72" s="97">
        <f>BE71+AF72</f>
        <v>0</v>
      </c>
      <c r="BF72" s="97">
        <f>BF71+AG72</f>
        <v>309</v>
      </c>
      <c r="BG72" s="97">
        <f>BG71+AH72</f>
        <v>0</v>
      </c>
      <c r="BH72" s="63">
        <f>IF(A72="",0,
COUNTIF(OrphanPWI_CI_Check!A:A,"*"&amp;A72&amp;"*"))</f>
        <v>0</v>
      </c>
      <c r="BI72" s="63">
        <f>IF(NOT(ISERROR(SEARCH("In Progress",   VLOOKUP($A72,$A:$D,MATCH("Planned For",$A$1:$D$1,0), 1)))),0.5,
 IF($F72="Enabler",0.6,
 IF($I72="EAD N/A",0.8,1))) *  ( ROUNDUP(MAX('Ranking Lookup'!B:B)/5,0) +1 - ROUNDUP(IF(NOT(ISNUMBER(VLOOKUP(A72,'Ranking Lookup'!A:B,2,0))),  MAX('Ranking Lookup'!B:B))/5,0) )</f>
        <v>18</v>
      </c>
      <c r="BK72" s="95"/>
    </row>
    <row r="73" spans="1:63" s="5" customFormat="1" ht="14.4" customHeight="1" x14ac:dyDescent="0.3">
      <c r="A73" s="203">
        <v>342163</v>
      </c>
      <c r="B73" s="65" t="s">
        <v>2357</v>
      </c>
      <c r="C73" s="98" t="s">
        <v>857</v>
      </c>
      <c r="D73" s="98" t="s">
        <v>106</v>
      </c>
      <c r="E73" s="65">
        <v>37</v>
      </c>
      <c r="F73" s="99" t="s">
        <v>880</v>
      </c>
      <c r="G73" s="99" t="s">
        <v>2359</v>
      </c>
      <c r="H73" s="64" t="s">
        <v>232</v>
      </c>
      <c r="I73" s="64" t="s">
        <v>939</v>
      </c>
      <c r="J73" s="98" t="s">
        <v>1412</v>
      </c>
      <c r="K73" s="203">
        <v>245808</v>
      </c>
      <c r="L73" s="62" t="s">
        <v>943</v>
      </c>
      <c r="M73" s="67" t="s">
        <v>37</v>
      </c>
      <c r="N73" s="67" t="s">
        <v>2360</v>
      </c>
      <c r="O73" s="67">
        <v>9</v>
      </c>
      <c r="P73" s="67" t="s">
        <v>131</v>
      </c>
      <c r="Q73" s="67" t="s">
        <v>1760</v>
      </c>
      <c r="R73" s="66">
        <v>3</v>
      </c>
      <c r="S73" s="63">
        <v>14</v>
      </c>
      <c r="T73" s="63">
        <v>0</v>
      </c>
      <c r="U73" s="63">
        <v>1</v>
      </c>
      <c r="V73" s="63">
        <v>3</v>
      </c>
      <c r="W73" s="63">
        <v>0</v>
      </c>
      <c r="X73" s="63">
        <v>16</v>
      </c>
      <c r="Y73" s="63">
        <v>0</v>
      </c>
      <c r="Z73" s="63">
        <v>0</v>
      </c>
      <c r="AA73" s="63">
        <v>0</v>
      </c>
      <c r="AB73" s="63">
        <v>0</v>
      </c>
      <c r="AC73" s="63">
        <v>0</v>
      </c>
      <c r="AD73" s="63">
        <v>0</v>
      </c>
      <c r="AE73" s="63">
        <v>0</v>
      </c>
      <c r="AF73" s="63">
        <v>0</v>
      </c>
      <c r="AG73" s="63">
        <v>0</v>
      </c>
      <c r="AH73" s="63">
        <v>0</v>
      </c>
      <c r="AI73" s="63">
        <v>0</v>
      </c>
      <c r="AJ73" s="63">
        <v>20</v>
      </c>
      <c r="AK73" s="63">
        <v>0</v>
      </c>
      <c r="AL73" s="63" t="s">
        <v>35</v>
      </c>
      <c r="AM73" s="63" t="s">
        <v>854</v>
      </c>
      <c r="AN73" s="149" t="s">
        <v>33</v>
      </c>
      <c r="AO73" s="67" t="str">
        <f>VLOOKUP(A73,'Ranking Lookup'!A:C,3,0)</f>
        <v>Pre PI</v>
      </c>
      <c r="AP73" s="63">
        <f>IFERROR(VLOOKUP($A73,'Ranking Lookup'!$A:$B,2,0),"Unranked")</f>
        <v>71</v>
      </c>
      <c r="AQ73" s="71">
        <f>SUM(S73:AI73,AK73)/E73</f>
        <v>0.91891891891891897</v>
      </c>
      <c r="AR73" s="97">
        <f>IF(A73="","",
COUNTIF(EAD_CIs!I:I,"*"&amp;A73&amp;"*"))</f>
        <v>6</v>
      </c>
      <c r="AS73" s="97">
        <f>AS72+T73</f>
        <v>329</v>
      </c>
      <c r="AT73" s="97">
        <f>AT72+U73</f>
        <v>182</v>
      </c>
      <c r="AU73" s="97">
        <f>AU72+V73</f>
        <v>133</v>
      </c>
      <c r="AV73" s="97">
        <f>AV72+W73</f>
        <v>359</v>
      </c>
      <c r="AW73" s="97">
        <f>AW72+X73</f>
        <v>201</v>
      </c>
      <c r="AX73" s="97">
        <f>AX72+Y73</f>
        <v>173</v>
      </c>
      <c r="AY73" s="97">
        <f>AY72+Z73</f>
        <v>382</v>
      </c>
      <c r="AZ73" s="97">
        <f>AZ72+AA73</f>
        <v>80</v>
      </c>
      <c r="BA73" s="97">
        <f>BA72+AB73</f>
        <v>208</v>
      </c>
      <c r="BB73" s="97">
        <f>BB72+AC73</f>
        <v>350</v>
      </c>
      <c r="BC73" s="97">
        <f>BC72+AD73</f>
        <v>144</v>
      </c>
      <c r="BD73" s="97">
        <f>BD72+AE73</f>
        <v>81</v>
      </c>
      <c r="BE73" s="97">
        <f>BE72+AF73</f>
        <v>0</v>
      </c>
      <c r="BF73" s="97">
        <f>BF72+AG73</f>
        <v>309</v>
      </c>
      <c r="BG73" s="97">
        <f>BG72+AH73</f>
        <v>0</v>
      </c>
      <c r="BH73" s="63">
        <f>IF(A73="",0,
COUNTIF(OrphanPWI_CI_Check!A:A,"*"&amp;A73&amp;"*"))</f>
        <v>152</v>
      </c>
      <c r="BI73" s="63">
        <f>IF(NOT(ISERROR(SEARCH("In Progress",   VLOOKUP($A73,$A:$D,MATCH("Planned For",$A$1:$D$1,0), 1)))),0.5,
 IF($F73="Enabler",0.6,
 IF($I73="EAD N/A",0.8,1))) *  ( ROUNDUP(MAX('Ranking Lookup'!B:B)/5,0) +1 - ROUNDUP(IF(NOT(ISNUMBER(VLOOKUP(A73,'Ranking Lookup'!A:B,2,0))),  MAX('Ranking Lookup'!B:B))/5,0) )</f>
        <v>18</v>
      </c>
      <c r="BK73" s="95"/>
    </row>
    <row r="74" spans="1:63" s="5" customFormat="1" ht="14.4" customHeight="1" x14ac:dyDescent="0.3">
      <c r="A74" s="203">
        <v>387448</v>
      </c>
      <c r="B74" s="65" t="s">
        <v>2128</v>
      </c>
      <c r="C74" s="98" t="s">
        <v>972</v>
      </c>
      <c r="D74" s="98" t="s">
        <v>106</v>
      </c>
      <c r="E74" s="65">
        <v>19</v>
      </c>
      <c r="F74" s="99" t="s">
        <v>879</v>
      </c>
      <c r="G74" s="99" t="s">
        <v>1602</v>
      </c>
      <c r="H74" s="64" t="s">
        <v>1597</v>
      </c>
      <c r="I74" s="64" t="s">
        <v>38</v>
      </c>
      <c r="J74" s="98" t="s">
        <v>1412</v>
      </c>
      <c r="K74" s="203">
        <v>381997</v>
      </c>
      <c r="L74" s="62" t="s">
        <v>15</v>
      </c>
      <c r="M74" s="67" t="s">
        <v>42</v>
      </c>
      <c r="N74" s="67" t="s">
        <v>882</v>
      </c>
      <c r="O74" s="67">
        <v>0</v>
      </c>
      <c r="P74" s="67" t="s">
        <v>131</v>
      </c>
      <c r="Q74" s="67" t="s">
        <v>36</v>
      </c>
      <c r="R74" s="66">
        <v>2</v>
      </c>
      <c r="S74" s="63">
        <v>16</v>
      </c>
      <c r="T74" s="63">
        <v>0</v>
      </c>
      <c r="U74" s="63">
        <v>0</v>
      </c>
      <c r="V74" s="63">
        <v>0</v>
      </c>
      <c r="W74" s="63">
        <v>0</v>
      </c>
      <c r="X74" s="63">
        <v>0</v>
      </c>
      <c r="Y74" s="63">
        <v>0</v>
      </c>
      <c r="Z74" s="63">
        <v>0</v>
      </c>
      <c r="AA74" s="63">
        <v>0</v>
      </c>
      <c r="AB74" s="63">
        <v>2</v>
      </c>
      <c r="AC74" s="63">
        <v>0</v>
      </c>
      <c r="AD74" s="63">
        <v>0</v>
      </c>
      <c r="AE74" s="63">
        <v>0</v>
      </c>
      <c r="AF74" s="63">
        <v>0</v>
      </c>
      <c r="AG74" s="63">
        <v>3</v>
      </c>
      <c r="AH74" s="63">
        <v>0</v>
      </c>
      <c r="AI74" s="63">
        <v>5</v>
      </c>
      <c r="AJ74" s="63">
        <v>5</v>
      </c>
      <c r="AK74" s="63">
        <v>0</v>
      </c>
      <c r="AL74" s="63" t="s">
        <v>35</v>
      </c>
      <c r="AM74" s="63" t="s">
        <v>854</v>
      </c>
      <c r="AN74" s="149" t="s">
        <v>33</v>
      </c>
      <c r="AO74" s="67" t="str">
        <f>VLOOKUP(A74,'Ranking Lookup'!A:C,3,0)</f>
        <v>Pre PI</v>
      </c>
      <c r="AP74" s="63">
        <f>IFERROR(VLOOKUP($A74,'Ranking Lookup'!$A:$B,2,0),"Unranked")</f>
        <v>72</v>
      </c>
      <c r="AQ74" s="71">
        <f>SUM(S74:AI74,AK74)/E74</f>
        <v>1.368421052631579</v>
      </c>
      <c r="AR74" s="97">
        <f>IF(A74="","",
COUNTIF(EAD_CIs!I:I,"*"&amp;A74&amp;"*"))</f>
        <v>1</v>
      </c>
      <c r="AS74" s="97">
        <f>AS73+T74</f>
        <v>329</v>
      </c>
      <c r="AT74" s="97">
        <f>AT73+U74</f>
        <v>182</v>
      </c>
      <c r="AU74" s="97">
        <f>AU73+V74</f>
        <v>133</v>
      </c>
      <c r="AV74" s="97">
        <f>AV73+W74</f>
        <v>359</v>
      </c>
      <c r="AW74" s="97">
        <f>AW73+X74</f>
        <v>201</v>
      </c>
      <c r="AX74" s="97">
        <f>AX73+Y74</f>
        <v>173</v>
      </c>
      <c r="AY74" s="97">
        <f>AY73+Z74</f>
        <v>382</v>
      </c>
      <c r="AZ74" s="97">
        <f>AZ73+AA74</f>
        <v>80</v>
      </c>
      <c r="BA74" s="97">
        <f>BA73+AB74</f>
        <v>210</v>
      </c>
      <c r="BB74" s="97">
        <f>BB73+AC74</f>
        <v>350</v>
      </c>
      <c r="BC74" s="97">
        <f>BC73+AD74</f>
        <v>144</v>
      </c>
      <c r="BD74" s="97">
        <f>BD73+AE74</f>
        <v>81</v>
      </c>
      <c r="BE74" s="97">
        <f>BE73+AF74</f>
        <v>0</v>
      </c>
      <c r="BF74" s="97">
        <f>BF73+AG74</f>
        <v>312</v>
      </c>
      <c r="BG74" s="97">
        <f>BG73+AH74</f>
        <v>0</v>
      </c>
      <c r="BH74" s="63">
        <f>IF(A74="",0,
COUNTIF(OrphanPWI_CI_Check!A:A,"*"&amp;A74&amp;"*"))</f>
        <v>0</v>
      </c>
      <c r="BI74" s="63">
        <f>IF(NOT(ISERROR(SEARCH("In Progress",   VLOOKUP($A74,$A:$D,MATCH("Planned For",$A$1:$D$1,0), 1)))),0.5,
 IF($F74="Enabler",0.6,
 IF($I74="EAD N/A",0.8,1))) *  ( ROUNDUP(MAX('Ranking Lookup'!B:B)/5,0) +1 - ROUNDUP(IF(NOT(ISNUMBER(VLOOKUP(A74,'Ranking Lookup'!A:B,2,0))),  MAX('Ranking Lookup'!B:B))/5,0) )</f>
        <v>14.4</v>
      </c>
      <c r="BK74" s="95"/>
    </row>
    <row r="75" spans="1:63" s="5" customFormat="1" ht="14.4" customHeight="1" x14ac:dyDescent="0.3">
      <c r="A75" s="203">
        <v>387446</v>
      </c>
      <c r="B75" s="65" t="s">
        <v>2129</v>
      </c>
      <c r="C75" s="98" t="s">
        <v>1321</v>
      </c>
      <c r="D75" s="98" t="s">
        <v>28</v>
      </c>
      <c r="E75" s="65">
        <v>25</v>
      </c>
      <c r="F75" s="99" t="s">
        <v>879</v>
      </c>
      <c r="G75" s="99" t="s">
        <v>2286</v>
      </c>
      <c r="H75" s="64" t="s">
        <v>1597</v>
      </c>
      <c r="I75" s="64" t="s">
        <v>38</v>
      </c>
      <c r="J75" s="98" t="s">
        <v>1412</v>
      </c>
      <c r="K75" s="203">
        <v>381997</v>
      </c>
      <c r="L75" s="62" t="s">
        <v>15</v>
      </c>
      <c r="M75" s="67" t="s">
        <v>42</v>
      </c>
      <c r="N75" s="67" t="s">
        <v>882</v>
      </c>
      <c r="O75" s="67">
        <v>0</v>
      </c>
      <c r="P75" s="67" t="s">
        <v>131</v>
      </c>
      <c r="Q75" s="67" t="s">
        <v>36</v>
      </c>
      <c r="R75" s="66">
        <v>3</v>
      </c>
      <c r="S75" s="63">
        <v>0</v>
      </c>
      <c r="T75" s="63">
        <v>0</v>
      </c>
      <c r="U75" s="63">
        <v>0</v>
      </c>
      <c r="V75" s="63">
        <v>0</v>
      </c>
      <c r="W75" s="63">
        <v>0</v>
      </c>
      <c r="X75" s="63">
        <v>2</v>
      </c>
      <c r="Y75" s="63">
        <v>0</v>
      </c>
      <c r="Z75" s="63">
        <v>0</v>
      </c>
      <c r="AA75" s="63">
        <v>0</v>
      </c>
      <c r="AB75" s="63">
        <v>16</v>
      </c>
      <c r="AC75" s="63">
        <v>0</v>
      </c>
      <c r="AD75" s="63">
        <v>0</v>
      </c>
      <c r="AE75" s="63">
        <v>0</v>
      </c>
      <c r="AF75" s="63">
        <v>0</v>
      </c>
      <c r="AG75" s="63">
        <v>7</v>
      </c>
      <c r="AH75" s="63">
        <v>0</v>
      </c>
      <c r="AI75" s="63">
        <v>0</v>
      </c>
      <c r="AJ75" s="63">
        <v>25</v>
      </c>
      <c r="AK75" s="63">
        <v>0</v>
      </c>
      <c r="AL75" s="63" t="s">
        <v>35</v>
      </c>
      <c r="AM75" s="63" t="s">
        <v>854</v>
      </c>
      <c r="AN75" s="149" t="s">
        <v>40</v>
      </c>
      <c r="AO75" s="67" t="str">
        <f>VLOOKUP(A75,'Ranking Lookup'!A:C,3,0)</f>
        <v>Pre PI</v>
      </c>
      <c r="AP75" s="63">
        <f>IFERROR(VLOOKUP($A75,'Ranking Lookup'!$A:$B,2,0),"Unranked")</f>
        <v>73</v>
      </c>
      <c r="AQ75" s="71">
        <f>SUM(S75:AI75,AK75)/E75</f>
        <v>1</v>
      </c>
      <c r="AR75" s="97">
        <f>IF(A75="","",
COUNTIF(EAD_CIs!I:I,"*"&amp;A75&amp;"*"))</f>
        <v>0</v>
      </c>
      <c r="AS75" s="97">
        <f>AS74+T75</f>
        <v>329</v>
      </c>
      <c r="AT75" s="97">
        <f>AT74+U75</f>
        <v>182</v>
      </c>
      <c r="AU75" s="97">
        <f>AU74+V75</f>
        <v>133</v>
      </c>
      <c r="AV75" s="97">
        <f>AV74+W75</f>
        <v>359</v>
      </c>
      <c r="AW75" s="97">
        <f>AW74+X75</f>
        <v>203</v>
      </c>
      <c r="AX75" s="97">
        <f>AX74+Y75</f>
        <v>173</v>
      </c>
      <c r="AY75" s="97">
        <f>AY74+Z75</f>
        <v>382</v>
      </c>
      <c r="AZ75" s="97">
        <f>AZ74+AA75</f>
        <v>80</v>
      </c>
      <c r="BA75" s="97">
        <f>BA74+AB75</f>
        <v>226</v>
      </c>
      <c r="BB75" s="97">
        <f>BB74+AC75</f>
        <v>350</v>
      </c>
      <c r="BC75" s="97">
        <f>BC74+AD75</f>
        <v>144</v>
      </c>
      <c r="BD75" s="97">
        <f>BD74+AE75</f>
        <v>81</v>
      </c>
      <c r="BE75" s="97">
        <f>BE74+AF75</f>
        <v>0</v>
      </c>
      <c r="BF75" s="97">
        <f>BF74+AG75</f>
        <v>319</v>
      </c>
      <c r="BG75" s="97">
        <f>BG74+AH75</f>
        <v>0</v>
      </c>
      <c r="BH75" s="63">
        <f>IF(A75="",0,
COUNTIF(OrphanPWI_CI_Check!A:A,"*"&amp;A75&amp;"*"))</f>
        <v>0</v>
      </c>
      <c r="BI75" s="63">
        <f>IF(NOT(ISERROR(SEARCH("In Progress",   VLOOKUP($A75,$A:$D,MATCH("Planned For",$A$1:$D$1,0), 1)))),0.5,
 IF($F75="Enabler",0.6,
 IF($I75="EAD N/A",0.8,1))) *  ( ROUNDUP(MAX('Ranking Lookup'!B:B)/5,0) +1 - ROUNDUP(IF(NOT(ISNUMBER(VLOOKUP(A75,'Ranking Lookup'!A:B,2,0))),  MAX('Ranking Lookup'!B:B))/5,0) )</f>
        <v>14.4</v>
      </c>
    </row>
    <row r="76" spans="1:63" s="5" customFormat="1" ht="14.4" customHeight="1" x14ac:dyDescent="0.3">
      <c r="A76" s="203">
        <v>1001062</v>
      </c>
      <c r="B76" s="65" t="s">
        <v>1754</v>
      </c>
      <c r="C76" s="98" t="s">
        <v>1321</v>
      </c>
      <c r="D76" s="98" t="s">
        <v>28</v>
      </c>
      <c r="E76" s="65">
        <v>27</v>
      </c>
      <c r="F76" s="99" t="s">
        <v>41</v>
      </c>
      <c r="G76" s="99" t="s">
        <v>2021</v>
      </c>
      <c r="H76" s="64" t="s">
        <v>981</v>
      </c>
      <c r="I76" s="64" t="s">
        <v>38</v>
      </c>
      <c r="J76" s="98" t="s">
        <v>1412</v>
      </c>
      <c r="K76" s="95">
        <v>0</v>
      </c>
      <c r="L76" s="62" t="s">
        <v>18</v>
      </c>
      <c r="M76" s="67" t="s">
        <v>42</v>
      </c>
      <c r="N76" s="67" t="s">
        <v>46</v>
      </c>
      <c r="O76" s="67">
        <v>0</v>
      </c>
      <c r="P76" s="67" t="s">
        <v>131</v>
      </c>
      <c r="Q76" s="67" t="s">
        <v>36</v>
      </c>
      <c r="R76" s="66">
        <v>1</v>
      </c>
      <c r="S76" s="63">
        <v>0</v>
      </c>
      <c r="T76" s="63">
        <v>0</v>
      </c>
      <c r="U76" s="63">
        <v>0</v>
      </c>
      <c r="V76" s="63">
        <v>0</v>
      </c>
      <c r="W76" s="63">
        <v>0</v>
      </c>
      <c r="X76" s="63">
        <v>0</v>
      </c>
      <c r="Y76" s="63">
        <v>0</v>
      </c>
      <c r="Z76" s="63">
        <v>0</v>
      </c>
      <c r="AA76" s="63">
        <v>0</v>
      </c>
      <c r="AB76" s="63">
        <v>0</v>
      </c>
      <c r="AC76" s="63">
        <v>0</v>
      </c>
      <c r="AD76" s="63">
        <v>0</v>
      </c>
      <c r="AE76" s="63">
        <v>27</v>
      </c>
      <c r="AF76" s="63">
        <v>0</v>
      </c>
      <c r="AG76" s="63">
        <v>0</v>
      </c>
      <c r="AH76" s="63">
        <v>0</v>
      </c>
      <c r="AI76" s="63">
        <v>0</v>
      </c>
      <c r="AJ76" s="63">
        <v>27</v>
      </c>
      <c r="AK76" s="63">
        <v>0</v>
      </c>
      <c r="AL76" s="63" t="s">
        <v>35</v>
      </c>
      <c r="AM76" s="63" t="s">
        <v>36</v>
      </c>
      <c r="AN76" s="149" t="s">
        <v>40</v>
      </c>
      <c r="AO76" s="67" t="str">
        <f>VLOOKUP(A76,'Ranking Lookup'!A:C,3,0)</f>
        <v>Pre PI</v>
      </c>
      <c r="AP76" s="63">
        <f>IFERROR(VLOOKUP($A76,'Ranking Lookup'!$A:$B,2,0),"Unranked")</f>
        <v>74</v>
      </c>
      <c r="AQ76" s="71">
        <f>SUM(S76:AI76,AK76)/E76</f>
        <v>1</v>
      </c>
      <c r="AR76" s="97">
        <f>IF(A76="","",
COUNTIF(EAD_CIs!I:I,"*"&amp;A76&amp;"*"))</f>
        <v>0</v>
      </c>
      <c r="AS76" s="97">
        <f>AS75+T76</f>
        <v>329</v>
      </c>
      <c r="AT76" s="97">
        <f>AT75+U76</f>
        <v>182</v>
      </c>
      <c r="AU76" s="97">
        <f>AU75+V76</f>
        <v>133</v>
      </c>
      <c r="AV76" s="97">
        <f>AV75+W76</f>
        <v>359</v>
      </c>
      <c r="AW76" s="97">
        <f>AW75+X76</f>
        <v>203</v>
      </c>
      <c r="AX76" s="97">
        <f>AX75+Y76</f>
        <v>173</v>
      </c>
      <c r="AY76" s="97">
        <f>AY75+Z76</f>
        <v>382</v>
      </c>
      <c r="AZ76" s="97">
        <f>AZ75+AA76</f>
        <v>80</v>
      </c>
      <c r="BA76" s="97">
        <f>BA75+AB76</f>
        <v>226</v>
      </c>
      <c r="BB76" s="97">
        <f>BB75+AC76</f>
        <v>350</v>
      </c>
      <c r="BC76" s="97">
        <f>BC75+AD76</f>
        <v>144</v>
      </c>
      <c r="BD76" s="97">
        <f>BD75+AE76</f>
        <v>108</v>
      </c>
      <c r="BE76" s="97">
        <f>BE75+AF76</f>
        <v>0</v>
      </c>
      <c r="BF76" s="97">
        <f>BF75+AG76</f>
        <v>319</v>
      </c>
      <c r="BG76" s="97">
        <f>BG75+AH76</f>
        <v>0</v>
      </c>
      <c r="BH76" s="63">
        <f>IF(A76="",0,
COUNTIF(OrphanPWI_CI_Check!A:A,"*"&amp;A76&amp;"*"))</f>
        <v>0</v>
      </c>
      <c r="BI76" s="63">
        <f>IF(NOT(ISERROR(SEARCH("In Progress",   VLOOKUP($A76,$A:$D,MATCH("Planned For",$A$1:$D$1,0), 1)))),0.5,
 IF($F76="Enabler",0.6,
 IF($I76="EAD N/A",0.8,1))) *  ( ROUNDUP(MAX('Ranking Lookup'!B:B)/5,0) +1 - ROUNDUP(IF(NOT(ISNUMBER(VLOOKUP(A76,'Ranking Lookup'!A:B,2,0))),  MAX('Ranking Lookup'!B:B))/5,0) )</f>
        <v>10.799999999999999</v>
      </c>
      <c r="BK76" s="95"/>
    </row>
    <row r="77" spans="1:63" s="5" customFormat="1" ht="14.4" customHeight="1" x14ac:dyDescent="0.3">
      <c r="A77" s="203">
        <v>1002583</v>
      </c>
      <c r="B77" s="65" t="s">
        <v>1755</v>
      </c>
      <c r="C77" s="98" t="s">
        <v>1321</v>
      </c>
      <c r="D77" s="98" t="s">
        <v>28</v>
      </c>
      <c r="E77" s="65">
        <v>13</v>
      </c>
      <c r="F77" s="99" t="s">
        <v>41</v>
      </c>
      <c r="G77" s="99" t="s">
        <v>1162</v>
      </c>
      <c r="H77" s="64" t="s">
        <v>981</v>
      </c>
      <c r="I77" s="64" t="s">
        <v>38</v>
      </c>
      <c r="J77" s="98" t="s">
        <v>1414</v>
      </c>
      <c r="K77" s="95">
        <v>0</v>
      </c>
      <c r="L77" s="62" t="s">
        <v>18</v>
      </c>
      <c r="M77" s="67" t="s">
        <v>42</v>
      </c>
      <c r="N77" s="67" t="s">
        <v>46</v>
      </c>
      <c r="O77" s="67">
        <v>0</v>
      </c>
      <c r="P77" s="67" t="s">
        <v>131</v>
      </c>
      <c r="Q77" s="67" t="s">
        <v>36</v>
      </c>
      <c r="R77" s="66">
        <v>1</v>
      </c>
      <c r="S77" s="63">
        <v>0</v>
      </c>
      <c r="T77" s="63">
        <v>0</v>
      </c>
      <c r="U77" s="63">
        <v>0</v>
      </c>
      <c r="V77" s="63">
        <v>0</v>
      </c>
      <c r="W77" s="63">
        <v>0</v>
      </c>
      <c r="X77" s="63">
        <v>0</v>
      </c>
      <c r="Y77" s="63">
        <v>0</v>
      </c>
      <c r="Z77" s="63">
        <v>0</v>
      </c>
      <c r="AA77" s="63">
        <v>0</v>
      </c>
      <c r="AB77" s="63">
        <v>0</v>
      </c>
      <c r="AC77" s="63">
        <v>0</v>
      </c>
      <c r="AD77" s="63">
        <v>0</v>
      </c>
      <c r="AE77" s="63">
        <v>13</v>
      </c>
      <c r="AF77" s="63">
        <v>0</v>
      </c>
      <c r="AG77" s="63">
        <v>0</v>
      </c>
      <c r="AH77" s="63">
        <v>0</v>
      </c>
      <c r="AI77" s="63">
        <v>0</v>
      </c>
      <c r="AJ77" s="63">
        <v>13</v>
      </c>
      <c r="AK77" s="63">
        <v>0</v>
      </c>
      <c r="AL77" s="63" t="s">
        <v>35</v>
      </c>
      <c r="AM77" s="63" t="s">
        <v>36</v>
      </c>
      <c r="AN77" s="149" t="s">
        <v>40</v>
      </c>
      <c r="AO77" s="67" t="str">
        <f>VLOOKUP(A77,'Ranking Lookup'!A:C,3,0)</f>
        <v>Pre PI</v>
      </c>
      <c r="AP77" s="63">
        <f>IFERROR(VLOOKUP($A77,'Ranking Lookup'!$A:$B,2,0),"Unranked")</f>
        <v>75</v>
      </c>
      <c r="AQ77" s="71">
        <f>SUM(S77:AI77,AK77)/E77</f>
        <v>1</v>
      </c>
      <c r="AR77" s="97">
        <f>IF(A77="","",
COUNTIF(EAD_CIs!I:I,"*"&amp;A77&amp;"*"))</f>
        <v>0</v>
      </c>
      <c r="AS77" s="97">
        <f>AS76+T77</f>
        <v>329</v>
      </c>
      <c r="AT77" s="97">
        <f>AT76+U77</f>
        <v>182</v>
      </c>
      <c r="AU77" s="97">
        <f>AU76+V77</f>
        <v>133</v>
      </c>
      <c r="AV77" s="97">
        <f>AV76+W77</f>
        <v>359</v>
      </c>
      <c r="AW77" s="97">
        <f>AW76+X77</f>
        <v>203</v>
      </c>
      <c r="AX77" s="97">
        <f>AX76+Y77</f>
        <v>173</v>
      </c>
      <c r="AY77" s="97">
        <f>AY76+Z77</f>
        <v>382</v>
      </c>
      <c r="AZ77" s="97">
        <f>AZ76+AA77</f>
        <v>80</v>
      </c>
      <c r="BA77" s="97">
        <f>BA76+AB77</f>
        <v>226</v>
      </c>
      <c r="BB77" s="97">
        <f>BB76+AC77</f>
        <v>350</v>
      </c>
      <c r="BC77" s="97">
        <f>BC76+AD77</f>
        <v>144</v>
      </c>
      <c r="BD77" s="97">
        <f>BD76+AE77</f>
        <v>121</v>
      </c>
      <c r="BE77" s="97">
        <f>BE76+AF77</f>
        <v>0</v>
      </c>
      <c r="BF77" s="97">
        <f>BF76+AG77</f>
        <v>319</v>
      </c>
      <c r="BG77" s="97">
        <f>BG76+AH77</f>
        <v>0</v>
      </c>
      <c r="BH77" s="63">
        <f>IF(A77="",0,
COUNTIF(OrphanPWI_CI_Check!A:A,"*"&amp;A77&amp;"*"))</f>
        <v>0</v>
      </c>
      <c r="BI77" s="63">
        <f>IF(NOT(ISERROR(SEARCH("In Progress",   VLOOKUP($A77,$A:$D,MATCH("Planned For",$A$1:$D$1,0), 1)))),0.5,
 IF($F77="Enabler",0.6,
 IF($I77="EAD N/A",0.8,1))) *  ( ROUNDUP(MAX('Ranking Lookup'!B:B)/5,0) +1 - ROUNDUP(IF(NOT(ISNUMBER(VLOOKUP(A77,'Ranking Lookup'!A:B,2,0))),  MAX('Ranking Lookup'!B:B))/5,0) )</f>
        <v>10.799999999999999</v>
      </c>
      <c r="BK77" s="95"/>
    </row>
    <row r="78" spans="1:63" s="5" customFormat="1" ht="14.4" customHeight="1" x14ac:dyDescent="0.3">
      <c r="A78" s="203">
        <v>390441</v>
      </c>
      <c r="B78" s="65" t="s">
        <v>1000</v>
      </c>
      <c r="C78" s="98" t="s">
        <v>972</v>
      </c>
      <c r="D78" s="98" t="s">
        <v>106</v>
      </c>
      <c r="E78" s="65">
        <v>24</v>
      </c>
      <c r="F78" s="99" t="s">
        <v>41</v>
      </c>
      <c r="G78" s="99" t="s">
        <v>1001</v>
      </c>
      <c r="H78" s="64" t="s">
        <v>981</v>
      </c>
      <c r="I78" s="64" t="s">
        <v>38</v>
      </c>
      <c r="J78" s="98" t="s">
        <v>1414</v>
      </c>
      <c r="K78" s="95">
        <v>0</v>
      </c>
      <c r="L78" s="62" t="s">
        <v>18</v>
      </c>
      <c r="M78" s="67" t="s">
        <v>42</v>
      </c>
      <c r="N78" s="67" t="s">
        <v>46</v>
      </c>
      <c r="O78" s="67">
        <v>0</v>
      </c>
      <c r="P78" s="67" t="s">
        <v>131</v>
      </c>
      <c r="Q78" s="67" t="s">
        <v>36</v>
      </c>
      <c r="R78" s="66">
        <v>1</v>
      </c>
      <c r="S78" s="63">
        <v>0</v>
      </c>
      <c r="T78" s="63">
        <v>0</v>
      </c>
      <c r="U78" s="63">
        <v>0</v>
      </c>
      <c r="V78" s="63">
        <v>0</v>
      </c>
      <c r="W78" s="63">
        <v>0</v>
      </c>
      <c r="X78" s="63">
        <v>0</v>
      </c>
      <c r="Y78" s="63">
        <v>0</v>
      </c>
      <c r="Z78" s="63">
        <v>0</v>
      </c>
      <c r="AA78" s="63">
        <v>0</v>
      </c>
      <c r="AB78" s="63">
        <v>0</v>
      </c>
      <c r="AC78" s="63">
        <v>0</v>
      </c>
      <c r="AD78" s="63">
        <v>0</v>
      </c>
      <c r="AE78" s="63">
        <v>19</v>
      </c>
      <c r="AF78" s="63">
        <v>0</v>
      </c>
      <c r="AG78" s="63">
        <v>0</v>
      </c>
      <c r="AH78" s="63">
        <v>0</v>
      </c>
      <c r="AI78" s="63">
        <v>5</v>
      </c>
      <c r="AJ78" s="63">
        <v>19</v>
      </c>
      <c r="AK78" s="63">
        <v>0</v>
      </c>
      <c r="AL78" s="63" t="s">
        <v>35</v>
      </c>
      <c r="AM78" s="63" t="s">
        <v>36</v>
      </c>
      <c r="AN78" s="149" t="s">
        <v>33</v>
      </c>
      <c r="AO78" s="67" t="str">
        <f>VLOOKUP(A78,'Ranking Lookup'!A:C,3,0)</f>
        <v>Pre PI</v>
      </c>
      <c r="AP78" s="63">
        <f>IFERROR(VLOOKUP($A78,'Ranking Lookup'!$A:$B,2,0),"Unranked")</f>
        <v>76</v>
      </c>
      <c r="AQ78" s="71">
        <f>SUM(S78:AI78,AK78)/E78</f>
        <v>1</v>
      </c>
      <c r="AR78" s="97">
        <f>IF(A78="","",
COUNTIF(EAD_CIs!I:I,"*"&amp;A78&amp;"*"))</f>
        <v>0</v>
      </c>
      <c r="AS78" s="97">
        <f>AS77+T78</f>
        <v>329</v>
      </c>
      <c r="AT78" s="97">
        <f>AT77+U78</f>
        <v>182</v>
      </c>
      <c r="AU78" s="97">
        <f>AU77+V78</f>
        <v>133</v>
      </c>
      <c r="AV78" s="97">
        <f>AV77+W78</f>
        <v>359</v>
      </c>
      <c r="AW78" s="97">
        <f>AW77+X78</f>
        <v>203</v>
      </c>
      <c r="AX78" s="97">
        <f>AX77+Y78</f>
        <v>173</v>
      </c>
      <c r="AY78" s="97">
        <f>AY77+Z78</f>
        <v>382</v>
      </c>
      <c r="AZ78" s="97">
        <f>AZ77+AA78</f>
        <v>80</v>
      </c>
      <c r="BA78" s="97">
        <f>BA77+AB78</f>
        <v>226</v>
      </c>
      <c r="BB78" s="97">
        <f>BB77+AC78</f>
        <v>350</v>
      </c>
      <c r="BC78" s="97">
        <f>BC77+AD78</f>
        <v>144</v>
      </c>
      <c r="BD78" s="97">
        <f>BD77+AE78</f>
        <v>140</v>
      </c>
      <c r="BE78" s="97">
        <f>BE77+AF78</f>
        <v>0</v>
      </c>
      <c r="BF78" s="97">
        <f>BF77+AG78</f>
        <v>319</v>
      </c>
      <c r="BG78" s="97">
        <f>BG77+AH78</f>
        <v>0</v>
      </c>
      <c r="BH78" s="63">
        <f>IF(A78="",0,
COUNTIF(OrphanPWI_CI_Check!A:A,"*"&amp;A78&amp;"*"))</f>
        <v>0</v>
      </c>
      <c r="BI78" s="63">
        <f>IF(NOT(ISERROR(SEARCH("In Progress",   VLOOKUP($A78,$A:$D,MATCH("Planned For",$A$1:$D$1,0), 1)))),0.5,
 IF($F78="Enabler",0.6,
 IF($I78="EAD N/A",0.8,1))) *  ( ROUNDUP(MAX('Ranking Lookup'!B:B)/5,0) +1 - ROUNDUP(IF(NOT(ISNUMBER(VLOOKUP(A78,'Ranking Lookup'!A:B,2,0))),  MAX('Ranking Lookup'!B:B))/5,0) )</f>
        <v>10.799999999999999</v>
      </c>
    </row>
    <row r="79" spans="1:63" s="5" customFormat="1" ht="14.4" customHeight="1" x14ac:dyDescent="0.3">
      <c r="A79" s="203">
        <v>340486</v>
      </c>
      <c r="B79" s="65" t="s">
        <v>1753</v>
      </c>
      <c r="C79" s="98" t="s">
        <v>1321</v>
      </c>
      <c r="D79" s="98" t="s">
        <v>28</v>
      </c>
      <c r="E79" s="65">
        <v>27</v>
      </c>
      <c r="F79" s="99" t="s">
        <v>41</v>
      </c>
      <c r="G79" s="99" t="s">
        <v>1759</v>
      </c>
      <c r="H79" s="64" t="s">
        <v>981</v>
      </c>
      <c r="I79" s="99" t="s">
        <v>38</v>
      </c>
      <c r="J79" s="98" t="s">
        <v>1414</v>
      </c>
      <c r="K79" s="95">
        <v>0</v>
      </c>
      <c r="L79" s="62" t="s">
        <v>18</v>
      </c>
      <c r="M79" s="67" t="s">
        <v>42</v>
      </c>
      <c r="N79" s="67" t="s">
        <v>46</v>
      </c>
      <c r="O79" s="67">
        <v>0</v>
      </c>
      <c r="P79" s="67" t="s">
        <v>131</v>
      </c>
      <c r="Q79" s="67" t="s">
        <v>36</v>
      </c>
      <c r="R79" s="66">
        <v>1</v>
      </c>
      <c r="S79" s="63">
        <v>0</v>
      </c>
      <c r="T79" s="63">
        <v>0</v>
      </c>
      <c r="U79" s="63">
        <v>0</v>
      </c>
      <c r="V79" s="63">
        <v>0</v>
      </c>
      <c r="W79" s="63">
        <v>0</v>
      </c>
      <c r="X79" s="63">
        <v>0</v>
      </c>
      <c r="Y79" s="63">
        <v>0</v>
      </c>
      <c r="Z79" s="63">
        <v>0</v>
      </c>
      <c r="AA79" s="63">
        <v>0</v>
      </c>
      <c r="AB79" s="63">
        <v>0</v>
      </c>
      <c r="AC79" s="63">
        <v>0</v>
      </c>
      <c r="AD79" s="63">
        <v>0</v>
      </c>
      <c r="AE79" s="63">
        <v>27</v>
      </c>
      <c r="AF79" s="63">
        <v>0</v>
      </c>
      <c r="AG79" s="63">
        <v>0</v>
      </c>
      <c r="AH79" s="63">
        <v>0</v>
      </c>
      <c r="AI79" s="63">
        <v>0</v>
      </c>
      <c r="AJ79" s="63">
        <v>27</v>
      </c>
      <c r="AK79" s="63">
        <v>0</v>
      </c>
      <c r="AL79" s="63" t="s">
        <v>35</v>
      </c>
      <c r="AM79" s="63" t="s">
        <v>36</v>
      </c>
      <c r="AN79" s="149" t="s">
        <v>40</v>
      </c>
      <c r="AO79" s="67" t="str">
        <f>VLOOKUP(A79,'Ranking Lookup'!A:C,3,0)</f>
        <v>Pre PI</v>
      </c>
      <c r="AP79" s="63">
        <f>IFERROR(VLOOKUP($A79,'Ranking Lookup'!$A:$B,2,0),"Unranked")</f>
        <v>77</v>
      </c>
      <c r="AQ79" s="71">
        <f>SUM(S79:AI79,AK79)/E79</f>
        <v>1</v>
      </c>
      <c r="AR79" s="97">
        <f>IF(A79="","",
COUNTIF(EAD_CIs!I:I,"*"&amp;A79&amp;"*"))</f>
        <v>0</v>
      </c>
      <c r="AS79" s="97">
        <f>AS78+T79</f>
        <v>329</v>
      </c>
      <c r="AT79" s="97">
        <f>AT78+U79</f>
        <v>182</v>
      </c>
      <c r="AU79" s="97">
        <f>AU78+V79</f>
        <v>133</v>
      </c>
      <c r="AV79" s="97">
        <f>AV78+W79</f>
        <v>359</v>
      </c>
      <c r="AW79" s="97">
        <f>AW78+X79</f>
        <v>203</v>
      </c>
      <c r="AX79" s="97">
        <f>AX78+Y79</f>
        <v>173</v>
      </c>
      <c r="AY79" s="97">
        <f>AY78+Z79</f>
        <v>382</v>
      </c>
      <c r="AZ79" s="97">
        <f>AZ78+AA79</f>
        <v>80</v>
      </c>
      <c r="BA79" s="97">
        <f>BA78+AB79</f>
        <v>226</v>
      </c>
      <c r="BB79" s="97">
        <f>BB78+AC79</f>
        <v>350</v>
      </c>
      <c r="BC79" s="97">
        <f>BC78+AD79</f>
        <v>144</v>
      </c>
      <c r="BD79" s="97">
        <f>BD78+AE79</f>
        <v>167</v>
      </c>
      <c r="BE79" s="97">
        <f>BE78+AF79</f>
        <v>0</v>
      </c>
      <c r="BF79" s="97">
        <f>BF78+AG79</f>
        <v>319</v>
      </c>
      <c r="BG79" s="97">
        <f>BG78+AH79</f>
        <v>0</v>
      </c>
      <c r="BH79" s="63">
        <f>IF(A79="",0,
COUNTIF(OrphanPWI_CI_Check!A:A,"*"&amp;A79&amp;"*"))</f>
        <v>0</v>
      </c>
      <c r="BI79" s="63">
        <f>IF(NOT(ISERROR(SEARCH("In Progress",   VLOOKUP($A79,$A:$D,MATCH("Planned For",$A$1:$D$1,0), 1)))),0.5,
 IF($F79="Enabler",0.6,
 IF($I79="EAD N/A",0.8,1))) *  ( ROUNDUP(MAX('Ranking Lookup'!B:B)/5,0) +1 - ROUNDUP(IF(NOT(ISNUMBER(VLOOKUP(A79,'Ranking Lookup'!A:B,2,0))),  MAX('Ranking Lookup'!B:B))/5,0) )</f>
        <v>10.799999999999999</v>
      </c>
      <c r="BK79" s="95"/>
    </row>
    <row r="80" spans="1:63" s="5" customFormat="1" ht="14.4" customHeight="1" x14ac:dyDescent="0.3">
      <c r="A80" s="203">
        <v>1011001</v>
      </c>
      <c r="B80" s="65" t="s">
        <v>2196</v>
      </c>
      <c r="C80" s="98" t="s">
        <v>1842</v>
      </c>
      <c r="D80" s="98" t="s">
        <v>28</v>
      </c>
      <c r="E80" s="65">
        <v>21</v>
      </c>
      <c r="F80" s="99" t="s">
        <v>41</v>
      </c>
      <c r="G80" s="99" t="s">
        <v>1153</v>
      </c>
      <c r="H80" s="64" t="s">
        <v>745</v>
      </c>
      <c r="I80" s="64" t="s">
        <v>38</v>
      </c>
      <c r="J80" s="98" t="s">
        <v>1414</v>
      </c>
      <c r="K80" s="95">
        <v>0</v>
      </c>
      <c r="L80" s="62" t="s">
        <v>17</v>
      </c>
      <c r="M80" s="67" t="s">
        <v>31</v>
      </c>
      <c r="N80" s="67" t="s">
        <v>48</v>
      </c>
      <c r="O80" s="67">
        <v>0</v>
      </c>
      <c r="P80" s="67" t="s">
        <v>131</v>
      </c>
      <c r="Q80" s="67" t="s">
        <v>36</v>
      </c>
      <c r="R80" s="66">
        <v>1</v>
      </c>
      <c r="S80" s="63">
        <v>0</v>
      </c>
      <c r="T80" s="63">
        <v>0</v>
      </c>
      <c r="U80" s="63">
        <v>0</v>
      </c>
      <c r="V80" s="63">
        <v>0</v>
      </c>
      <c r="W80" s="63">
        <v>0</v>
      </c>
      <c r="X80" s="63">
        <v>0</v>
      </c>
      <c r="Y80" s="63">
        <v>0</v>
      </c>
      <c r="Z80" s="63">
        <v>0</v>
      </c>
      <c r="AA80" s="63">
        <v>0</v>
      </c>
      <c r="AB80" s="63">
        <v>0</v>
      </c>
      <c r="AC80" s="63">
        <v>0</v>
      </c>
      <c r="AD80" s="63">
        <v>21</v>
      </c>
      <c r="AE80" s="63">
        <v>0</v>
      </c>
      <c r="AF80" s="63">
        <v>0</v>
      </c>
      <c r="AG80" s="63">
        <v>0</v>
      </c>
      <c r="AH80" s="63">
        <v>0</v>
      </c>
      <c r="AI80" s="63">
        <v>0</v>
      </c>
      <c r="AJ80" s="63">
        <v>21</v>
      </c>
      <c r="AK80" s="63">
        <v>0</v>
      </c>
      <c r="AL80" s="63" t="s">
        <v>35</v>
      </c>
      <c r="AM80" s="63" t="s">
        <v>36</v>
      </c>
      <c r="AN80" s="149" t="s">
        <v>40</v>
      </c>
      <c r="AO80" s="67" t="str">
        <f>VLOOKUP(A80,'Ranking Lookup'!A:C,3,0)</f>
        <v>Pre PI</v>
      </c>
      <c r="AP80" s="63">
        <f>IFERROR(VLOOKUP($A80,'Ranking Lookup'!$A:$B,2,0),"Unranked")</f>
        <v>78</v>
      </c>
      <c r="AQ80" s="71">
        <f>SUM(S80:AI80,AK80)/E80</f>
        <v>1</v>
      </c>
      <c r="AR80" s="97">
        <f>IF(A80="","",
COUNTIF(EAD_CIs!I:I,"*"&amp;A80&amp;"*"))</f>
        <v>0</v>
      </c>
      <c r="AS80" s="97">
        <f>AS79+T80</f>
        <v>329</v>
      </c>
      <c r="AT80" s="97">
        <f>AT79+U80</f>
        <v>182</v>
      </c>
      <c r="AU80" s="97">
        <f>AU79+V80</f>
        <v>133</v>
      </c>
      <c r="AV80" s="97">
        <f>AV79+W80</f>
        <v>359</v>
      </c>
      <c r="AW80" s="97">
        <f>AW79+X80</f>
        <v>203</v>
      </c>
      <c r="AX80" s="97">
        <f>AX79+Y80</f>
        <v>173</v>
      </c>
      <c r="AY80" s="97">
        <f>AY79+Z80</f>
        <v>382</v>
      </c>
      <c r="AZ80" s="97">
        <f>AZ79+AA80</f>
        <v>80</v>
      </c>
      <c r="BA80" s="97">
        <f>BA79+AB80</f>
        <v>226</v>
      </c>
      <c r="BB80" s="97">
        <f>BB79+AC80</f>
        <v>350</v>
      </c>
      <c r="BC80" s="97">
        <f>BC79+AD80</f>
        <v>165</v>
      </c>
      <c r="BD80" s="97">
        <f>BD79+AE80</f>
        <v>167</v>
      </c>
      <c r="BE80" s="97">
        <f>BE79+AF80</f>
        <v>0</v>
      </c>
      <c r="BF80" s="97">
        <f>BF79+AG80</f>
        <v>319</v>
      </c>
      <c r="BG80" s="97">
        <f>BG79+AH80</f>
        <v>0</v>
      </c>
      <c r="BH80" s="63">
        <f>IF(A80="",0,
COUNTIF(OrphanPWI_CI_Check!A:A,"*"&amp;A80&amp;"*"))</f>
        <v>0</v>
      </c>
      <c r="BI80" s="63">
        <f>IF(NOT(ISERROR(SEARCH("In Progress",   VLOOKUP($A80,$A:$D,MATCH("Planned For",$A$1:$D$1,0), 1)))),0.5,
 IF($F80="Enabler",0.6,
 IF($I80="EAD N/A",0.8,1))) *  ( ROUNDUP(MAX('Ranking Lookup'!B:B)/5,0) +1 - ROUNDUP(IF(NOT(ISNUMBER(VLOOKUP(A80,'Ranking Lookup'!A:B,2,0))),  MAX('Ranking Lookup'!B:B))/5,0) )</f>
        <v>10.799999999999999</v>
      </c>
      <c r="BK80" s="95"/>
    </row>
    <row r="81" spans="1:63" s="5" customFormat="1" ht="14.4" customHeight="1" x14ac:dyDescent="0.3">
      <c r="A81" s="203">
        <v>1014491</v>
      </c>
      <c r="B81" s="65" t="s">
        <v>2194</v>
      </c>
      <c r="C81" s="98" t="s">
        <v>2102</v>
      </c>
      <c r="D81" s="98" t="s">
        <v>28</v>
      </c>
      <c r="E81" s="65">
        <v>8</v>
      </c>
      <c r="F81" s="99" t="s">
        <v>879</v>
      </c>
      <c r="G81" s="99" t="s">
        <v>2103</v>
      </c>
      <c r="H81" s="64" t="s">
        <v>745</v>
      </c>
      <c r="I81" s="64" t="s">
        <v>38</v>
      </c>
      <c r="J81" s="98" t="s">
        <v>1412</v>
      </c>
      <c r="K81" s="203">
        <v>1014021</v>
      </c>
      <c r="L81" s="62" t="s">
        <v>17</v>
      </c>
      <c r="M81" s="67" t="s">
        <v>31</v>
      </c>
      <c r="N81" s="67" t="s">
        <v>36</v>
      </c>
      <c r="O81" s="67">
        <v>0</v>
      </c>
      <c r="P81" s="67" t="s">
        <v>131</v>
      </c>
      <c r="Q81" s="67" t="s">
        <v>36</v>
      </c>
      <c r="R81" s="66">
        <v>2</v>
      </c>
      <c r="S81" s="63">
        <v>0</v>
      </c>
      <c r="T81" s="63">
        <v>0</v>
      </c>
      <c r="U81" s="63">
        <v>0</v>
      </c>
      <c r="V81" s="63">
        <v>0</v>
      </c>
      <c r="W81" s="63">
        <v>0</v>
      </c>
      <c r="X81" s="63">
        <v>0</v>
      </c>
      <c r="Y81" s="63">
        <v>0</v>
      </c>
      <c r="Z81" s="63">
        <v>0</v>
      </c>
      <c r="AA81" s="63">
        <v>0</v>
      </c>
      <c r="AB81" s="63">
        <v>5</v>
      </c>
      <c r="AC81" s="63">
        <v>3</v>
      </c>
      <c r="AD81" s="63">
        <v>0</v>
      </c>
      <c r="AE81" s="63">
        <v>0</v>
      </c>
      <c r="AF81" s="63">
        <v>0</v>
      </c>
      <c r="AG81" s="63">
        <v>0</v>
      </c>
      <c r="AH81" s="63">
        <v>0</v>
      </c>
      <c r="AI81" s="63">
        <v>0</v>
      </c>
      <c r="AJ81" s="63">
        <v>8</v>
      </c>
      <c r="AK81" s="63">
        <v>0</v>
      </c>
      <c r="AL81" s="63" t="s">
        <v>35</v>
      </c>
      <c r="AM81" s="63" t="s">
        <v>854</v>
      </c>
      <c r="AN81" s="149" t="s">
        <v>40</v>
      </c>
      <c r="AO81" s="67" t="str">
        <f>VLOOKUP(A81,'Ranking Lookup'!A:C,3,0)</f>
        <v>Pre PI</v>
      </c>
      <c r="AP81" s="63">
        <f>IFERROR(VLOOKUP($A81,'Ranking Lookup'!$A:$B,2,0),"Unranked")</f>
        <v>79</v>
      </c>
      <c r="AQ81" s="71">
        <f>SUM(S81:AI81,AK81)/E81</f>
        <v>1</v>
      </c>
      <c r="AR81" s="97">
        <f>IF(A81="","",
COUNTIF(EAD_CIs!I:I,"*"&amp;A81&amp;"*"))</f>
        <v>0</v>
      </c>
      <c r="AS81" s="97">
        <f>AS80+T81</f>
        <v>329</v>
      </c>
      <c r="AT81" s="97">
        <f>AT80+U81</f>
        <v>182</v>
      </c>
      <c r="AU81" s="97">
        <f>AU80+V81</f>
        <v>133</v>
      </c>
      <c r="AV81" s="97">
        <f>AV80+W81</f>
        <v>359</v>
      </c>
      <c r="AW81" s="97">
        <f>AW80+X81</f>
        <v>203</v>
      </c>
      <c r="AX81" s="97">
        <f>AX80+Y81</f>
        <v>173</v>
      </c>
      <c r="AY81" s="97">
        <f>AY80+Z81</f>
        <v>382</v>
      </c>
      <c r="AZ81" s="97">
        <f>AZ80+AA81</f>
        <v>80</v>
      </c>
      <c r="BA81" s="97">
        <f>BA80+AB81</f>
        <v>231</v>
      </c>
      <c r="BB81" s="97">
        <f>BB80+AC81</f>
        <v>353</v>
      </c>
      <c r="BC81" s="97">
        <f>BC80+AD81</f>
        <v>165</v>
      </c>
      <c r="BD81" s="97">
        <f>BD80+AE81</f>
        <v>167</v>
      </c>
      <c r="BE81" s="97">
        <f>BE80+AF81</f>
        <v>0</v>
      </c>
      <c r="BF81" s="97">
        <f>BF80+AG81</f>
        <v>319</v>
      </c>
      <c r="BG81" s="97">
        <f>BG80+AH81</f>
        <v>0</v>
      </c>
      <c r="BH81" s="63">
        <f>IF(A81="",0,
COUNTIF(OrphanPWI_CI_Check!A:A,"*"&amp;A81&amp;"*"))</f>
        <v>0</v>
      </c>
      <c r="BI81" s="63">
        <f>IF(NOT(ISERROR(SEARCH("In Progress",   VLOOKUP($A81,$A:$D,MATCH("Planned For",$A$1:$D$1,0), 1)))),0.5,
 IF($F81="Enabler",0.6,
 IF($I81="EAD N/A",0.8,1))) *  ( ROUNDUP(MAX('Ranking Lookup'!B:B)/5,0) +1 - ROUNDUP(IF(NOT(ISNUMBER(VLOOKUP(A81,'Ranking Lookup'!A:B,2,0))),  MAX('Ranking Lookup'!B:B))/5,0) )</f>
        <v>9</v>
      </c>
      <c r="BK81"/>
    </row>
    <row r="82" spans="1:63" s="5" customFormat="1" ht="14.4" customHeight="1" x14ac:dyDescent="0.3">
      <c r="A82" s="203">
        <v>1014023</v>
      </c>
      <c r="B82" s="65" t="s">
        <v>2101</v>
      </c>
      <c r="C82" s="98" t="s">
        <v>2102</v>
      </c>
      <c r="D82" s="98" t="s">
        <v>28</v>
      </c>
      <c r="E82" s="65">
        <v>8</v>
      </c>
      <c r="F82" s="99" t="s">
        <v>879</v>
      </c>
      <c r="G82" s="99" t="s">
        <v>2103</v>
      </c>
      <c r="H82" s="64" t="s">
        <v>745</v>
      </c>
      <c r="I82" s="64" t="s">
        <v>38</v>
      </c>
      <c r="J82" s="98" t="s">
        <v>1412</v>
      </c>
      <c r="K82" s="203">
        <v>1014021</v>
      </c>
      <c r="L82" s="62" t="s">
        <v>17</v>
      </c>
      <c r="M82" s="67" t="s">
        <v>31</v>
      </c>
      <c r="N82" s="67" t="s">
        <v>36</v>
      </c>
      <c r="O82" s="67">
        <v>0</v>
      </c>
      <c r="P82" s="67" t="s">
        <v>131</v>
      </c>
      <c r="Q82" s="67" t="s">
        <v>36</v>
      </c>
      <c r="R82" s="66">
        <v>2</v>
      </c>
      <c r="S82" s="63">
        <v>0</v>
      </c>
      <c r="T82" s="63">
        <v>0</v>
      </c>
      <c r="U82" s="63">
        <v>0</v>
      </c>
      <c r="V82" s="63">
        <v>0</v>
      </c>
      <c r="W82" s="63">
        <v>0</v>
      </c>
      <c r="X82" s="63">
        <v>0</v>
      </c>
      <c r="Y82" s="63">
        <v>0</v>
      </c>
      <c r="Z82" s="63">
        <v>0</v>
      </c>
      <c r="AA82" s="63">
        <v>0</v>
      </c>
      <c r="AB82" s="63">
        <v>0</v>
      </c>
      <c r="AC82" s="63">
        <v>3</v>
      </c>
      <c r="AD82" s="63">
        <v>5</v>
      </c>
      <c r="AE82" s="63">
        <v>0</v>
      </c>
      <c r="AF82" s="63">
        <v>0</v>
      </c>
      <c r="AG82" s="63">
        <v>0</v>
      </c>
      <c r="AH82" s="63">
        <v>0</v>
      </c>
      <c r="AI82" s="63">
        <v>0</v>
      </c>
      <c r="AJ82" s="63">
        <v>8</v>
      </c>
      <c r="AK82" s="63">
        <v>0</v>
      </c>
      <c r="AL82" s="63" t="s">
        <v>35</v>
      </c>
      <c r="AM82" s="63" t="s">
        <v>854</v>
      </c>
      <c r="AN82" s="149" t="s">
        <v>40</v>
      </c>
      <c r="AO82" s="67" t="str">
        <f>VLOOKUP(A82,'Ranking Lookup'!A:C,3,0)</f>
        <v>Pre PI</v>
      </c>
      <c r="AP82" s="63">
        <f>IFERROR(VLOOKUP($A82,'Ranking Lookup'!$A:$B,2,0),"Unranked")</f>
        <v>80</v>
      </c>
      <c r="AQ82" s="71">
        <f>SUM(S82:AI82,AK82)/E82</f>
        <v>1</v>
      </c>
      <c r="AR82" s="97">
        <f>IF(A82="","",
COUNTIF(EAD_CIs!I:I,"*"&amp;A82&amp;"*"))</f>
        <v>0</v>
      </c>
      <c r="AS82" s="97">
        <f>AS81+T82</f>
        <v>329</v>
      </c>
      <c r="AT82" s="97">
        <f>AT81+U82</f>
        <v>182</v>
      </c>
      <c r="AU82" s="97">
        <f>AU81+V82</f>
        <v>133</v>
      </c>
      <c r="AV82" s="97">
        <f>AV81+W82</f>
        <v>359</v>
      </c>
      <c r="AW82" s="97">
        <f>AW81+X82</f>
        <v>203</v>
      </c>
      <c r="AX82" s="97">
        <f>AX81+Y82</f>
        <v>173</v>
      </c>
      <c r="AY82" s="97">
        <f>AY81+Z82</f>
        <v>382</v>
      </c>
      <c r="AZ82" s="97">
        <f>AZ81+AA82</f>
        <v>80</v>
      </c>
      <c r="BA82" s="97">
        <f>BA81+AB82</f>
        <v>231</v>
      </c>
      <c r="BB82" s="97">
        <f>BB81+AC82</f>
        <v>356</v>
      </c>
      <c r="BC82" s="97">
        <f>BC81+AD82</f>
        <v>170</v>
      </c>
      <c r="BD82" s="97">
        <f>BD81+AE82</f>
        <v>167</v>
      </c>
      <c r="BE82" s="97">
        <f>BE81+AF82</f>
        <v>0</v>
      </c>
      <c r="BF82" s="97">
        <f>BF81+AG82</f>
        <v>319</v>
      </c>
      <c r="BG82" s="97">
        <f>BG81+AH82</f>
        <v>0</v>
      </c>
      <c r="BH82" s="63">
        <f>IF(A82="",0,
COUNTIF(OrphanPWI_CI_Check!A:A,"*"&amp;A82&amp;"*"))</f>
        <v>0</v>
      </c>
      <c r="BI82" s="63">
        <f>IF(NOT(ISERROR(SEARCH("In Progress",   VLOOKUP($A82,$A:$D,MATCH("Planned For",$A$1:$D$1,0), 1)))),0.5,
 IF($F82="Enabler",0.6,
 IF($I82="EAD N/A",0.8,1))) *  ( ROUNDUP(MAX('Ranking Lookup'!B:B)/5,0) +1 - ROUNDUP(IF(NOT(ISNUMBER(VLOOKUP(A82,'Ranking Lookup'!A:B,2,0))),  MAX('Ranking Lookup'!B:B))/5,0) )</f>
        <v>9</v>
      </c>
      <c r="BK82" s="95"/>
    </row>
    <row r="83" spans="1:63" s="5" customFormat="1" ht="14.4" customHeight="1" x14ac:dyDescent="0.3">
      <c r="A83" s="203">
        <v>1013496</v>
      </c>
      <c r="B83" s="65" t="s">
        <v>2006</v>
      </c>
      <c r="C83" s="98" t="s">
        <v>1321</v>
      </c>
      <c r="D83" s="98" t="s">
        <v>28</v>
      </c>
      <c r="E83" s="65">
        <v>5</v>
      </c>
      <c r="F83" s="99" t="s">
        <v>41</v>
      </c>
      <c r="G83" s="99" t="s">
        <v>2263</v>
      </c>
      <c r="H83" s="64" t="s">
        <v>105</v>
      </c>
      <c r="I83" s="64" t="s">
        <v>38</v>
      </c>
      <c r="J83" s="98" t="s">
        <v>1412</v>
      </c>
      <c r="K83" s="95">
        <v>0</v>
      </c>
      <c r="L83" s="62" t="s">
        <v>15</v>
      </c>
      <c r="M83" s="67" t="s">
        <v>644</v>
      </c>
      <c r="N83" s="67" t="s">
        <v>36</v>
      </c>
      <c r="O83" s="67">
        <v>0</v>
      </c>
      <c r="P83" s="67" t="s">
        <v>131</v>
      </c>
      <c r="Q83" s="67" t="s">
        <v>36</v>
      </c>
      <c r="R83" s="66">
        <v>1</v>
      </c>
      <c r="S83" s="63">
        <v>0</v>
      </c>
      <c r="T83" s="63">
        <v>0</v>
      </c>
      <c r="U83" s="63">
        <v>0</v>
      </c>
      <c r="V83" s="63">
        <v>0</v>
      </c>
      <c r="W83" s="63">
        <v>0</v>
      </c>
      <c r="X83" s="63">
        <v>0</v>
      </c>
      <c r="Y83" s="63">
        <v>0</v>
      </c>
      <c r="Z83" s="63">
        <v>0</v>
      </c>
      <c r="AA83" s="63">
        <v>0</v>
      </c>
      <c r="AB83" s="63">
        <v>5</v>
      </c>
      <c r="AC83" s="63">
        <v>0</v>
      </c>
      <c r="AD83" s="63">
        <v>0</v>
      </c>
      <c r="AE83" s="63">
        <v>0</v>
      </c>
      <c r="AF83" s="63">
        <v>0</v>
      </c>
      <c r="AG83" s="63">
        <v>0</v>
      </c>
      <c r="AH83" s="63">
        <v>0</v>
      </c>
      <c r="AI83" s="63">
        <v>0</v>
      </c>
      <c r="AJ83" s="63">
        <v>5</v>
      </c>
      <c r="AK83" s="63">
        <v>0</v>
      </c>
      <c r="AL83" s="63" t="s">
        <v>35</v>
      </c>
      <c r="AM83" s="63" t="s">
        <v>36</v>
      </c>
      <c r="AN83" s="149" t="s">
        <v>40</v>
      </c>
      <c r="AO83" s="67" t="str">
        <f>VLOOKUP(A83,'Ranking Lookup'!A:C,3,0)</f>
        <v>Pre PI</v>
      </c>
      <c r="AP83" s="63">
        <f>IFERROR(VLOOKUP($A83,'Ranking Lookup'!$A:$B,2,0),"Unranked")</f>
        <v>82</v>
      </c>
      <c r="AQ83" s="71">
        <f>SUM(S83:AI83,AK83)/E83</f>
        <v>1</v>
      </c>
      <c r="AR83" s="97">
        <f>IF(A83="","",
COUNTIF(EAD_CIs!I:I,"*"&amp;A83&amp;"*"))</f>
        <v>0</v>
      </c>
      <c r="AS83" s="97">
        <f>AS82+T83</f>
        <v>329</v>
      </c>
      <c r="AT83" s="97">
        <f>AT82+U83</f>
        <v>182</v>
      </c>
      <c r="AU83" s="97">
        <f>AU82+V83</f>
        <v>133</v>
      </c>
      <c r="AV83" s="97">
        <f>AV82+W83</f>
        <v>359</v>
      </c>
      <c r="AW83" s="97">
        <f>AW82+X83</f>
        <v>203</v>
      </c>
      <c r="AX83" s="97">
        <f>AX82+Y83</f>
        <v>173</v>
      </c>
      <c r="AY83" s="97">
        <f>AY82+Z83</f>
        <v>382</v>
      </c>
      <c r="AZ83" s="97">
        <f>AZ82+AA83</f>
        <v>80</v>
      </c>
      <c r="BA83" s="97">
        <f>BA82+AB83</f>
        <v>236</v>
      </c>
      <c r="BB83" s="97">
        <f>BB82+AC83</f>
        <v>356</v>
      </c>
      <c r="BC83" s="97">
        <f>BC82+AD83</f>
        <v>170</v>
      </c>
      <c r="BD83" s="97">
        <f>BD82+AE83</f>
        <v>167</v>
      </c>
      <c r="BE83" s="97">
        <f>BE82+AF83</f>
        <v>0</v>
      </c>
      <c r="BF83" s="97">
        <f>BF82+AG83</f>
        <v>319</v>
      </c>
      <c r="BG83" s="97">
        <f>BG82+AH83</f>
        <v>0</v>
      </c>
      <c r="BH83" s="63">
        <f>IF(A83="",0,
COUNTIF(OrphanPWI_CI_Check!A:A,"*"&amp;A83&amp;"*"))</f>
        <v>0</v>
      </c>
      <c r="BI83" s="63">
        <f>IF(NOT(ISERROR(SEARCH("In Progress",   VLOOKUP($A83,$A:$D,MATCH("Planned For",$A$1:$D$1,0), 1)))),0.5,
 IF($F83="Enabler",0.6,
 IF($I83="EAD N/A",0.8,1))) *  ( ROUNDUP(MAX('Ranking Lookup'!B:B)/5,0) +1 - ROUNDUP(IF(NOT(ISNUMBER(VLOOKUP(A83,'Ranking Lookup'!A:B,2,0))),  MAX('Ranking Lookup'!B:B))/5,0) )</f>
        <v>9</v>
      </c>
      <c r="BK83"/>
    </row>
    <row r="84" spans="1:63" s="5" customFormat="1" ht="14.4" customHeight="1" x14ac:dyDescent="0.3">
      <c r="A84" s="203">
        <v>1013750</v>
      </c>
      <c r="B84" s="65" t="s">
        <v>2127</v>
      </c>
      <c r="C84" s="98" t="s">
        <v>1842</v>
      </c>
      <c r="D84" s="98" t="s">
        <v>28</v>
      </c>
      <c r="E84" s="65">
        <v>29</v>
      </c>
      <c r="F84" s="99" t="s">
        <v>879</v>
      </c>
      <c r="G84" s="99" t="s">
        <v>2332</v>
      </c>
      <c r="H84" s="64" t="s">
        <v>47</v>
      </c>
      <c r="I84" s="64" t="s">
        <v>38</v>
      </c>
      <c r="J84" s="98" t="s">
        <v>1412</v>
      </c>
      <c r="K84" s="203">
        <v>1012099</v>
      </c>
      <c r="L84" s="62" t="s">
        <v>949</v>
      </c>
      <c r="M84" s="67" t="s">
        <v>42</v>
      </c>
      <c r="N84" s="67" t="s">
        <v>43</v>
      </c>
      <c r="O84" s="67">
        <v>0</v>
      </c>
      <c r="P84" s="67" t="s">
        <v>131</v>
      </c>
      <c r="Q84" s="67" t="s">
        <v>36</v>
      </c>
      <c r="R84" s="66">
        <v>4</v>
      </c>
      <c r="S84" s="63">
        <v>0</v>
      </c>
      <c r="T84" s="63">
        <v>0</v>
      </c>
      <c r="U84" s="63">
        <v>0</v>
      </c>
      <c r="V84" s="63">
        <v>0</v>
      </c>
      <c r="W84" s="63">
        <v>23</v>
      </c>
      <c r="X84" s="63">
        <v>0</v>
      </c>
      <c r="Y84" s="63">
        <v>0</v>
      </c>
      <c r="Z84" s="63">
        <v>0</v>
      </c>
      <c r="AA84" s="63">
        <v>0</v>
      </c>
      <c r="AB84" s="63">
        <v>0</v>
      </c>
      <c r="AC84" s="63">
        <v>2</v>
      </c>
      <c r="AD84" s="63">
        <v>2</v>
      </c>
      <c r="AE84" s="63">
        <v>0</v>
      </c>
      <c r="AF84" s="63">
        <v>0</v>
      </c>
      <c r="AG84" s="63">
        <v>2</v>
      </c>
      <c r="AH84" s="63">
        <v>0</v>
      </c>
      <c r="AI84" s="63">
        <v>0</v>
      </c>
      <c r="AJ84" s="63">
        <v>29</v>
      </c>
      <c r="AK84" s="63">
        <v>0</v>
      </c>
      <c r="AL84" s="63" t="s">
        <v>35</v>
      </c>
      <c r="AM84" s="63" t="s">
        <v>854</v>
      </c>
      <c r="AN84" s="149" t="s">
        <v>40</v>
      </c>
      <c r="AO84" s="67" t="str">
        <f>VLOOKUP(A84,'Ranking Lookup'!A:C,3,0)</f>
        <v>Pre PI</v>
      </c>
      <c r="AP84" s="63">
        <f>IFERROR(VLOOKUP($A84,'Ranking Lookup'!$A:$B,2,0),"Unranked")</f>
        <v>83</v>
      </c>
      <c r="AQ84" s="71">
        <f>SUM(S84:AI84,AK84)/E84</f>
        <v>1</v>
      </c>
      <c r="AR84" s="97">
        <f>IF(A84="","",
COUNTIF(EAD_CIs!I:I,"*"&amp;A84&amp;"*"))</f>
        <v>0</v>
      </c>
      <c r="AS84" s="97">
        <f>AS83+T84</f>
        <v>329</v>
      </c>
      <c r="AT84" s="97">
        <f>AT83+U84</f>
        <v>182</v>
      </c>
      <c r="AU84" s="97">
        <f>AU83+V84</f>
        <v>133</v>
      </c>
      <c r="AV84" s="97">
        <f>AV83+W84</f>
        <v>382</v>
      </c>
      <c r="AW84" s="97">
        <f>AW83+X84</f>
        <v>203</v>
      </c>
      <c r="AX84" s="97">
        <f>AX83+Y84</f>
        <v>173</v>
      </c>
      <c r="AY84" s="97">
        <f>AY83+Z84</f>
        <v>382</v>
      </c>
      <c r="AZ84" s="97">
        <f>AZ83+AA84</f>
        <v>80</v>
      </c>
      <c r="BA84" s="97">
        <f>BA83+AB84</f>
        <v>236</v>
      </c>
      <c r="BB84" s="97">
        <f>BB83+AC84</f>
        <v>358</v>
      </c>
      <c r="BC84" s="97">
        <f>BC83+AD84</f>
        <v>172</v>
      </c>
      <c r="BD84" s="97">
        <f>BD83+AE84</f>
        <v>167</v>
      </c>
      <c r="BE84" s="97">
        <f>BE83+AF84</f>
        <v>0</v>
      </c>
      <c r="BF84" s="97">
        <f>BF83+AG84</f>
        <v>321</v>
      </c>
      <c r="BG84" s="97">
        <f>BG83+AH84</f>
        <v>0</v>
      </c>
      <c r="BH84" s="63">
        <f>IF(A84="",0,
COUNTIF(OrphanPWI_CI_Check!A:A,"*"&amp;A84&amp;"*"))</f>
        <v>0</v>
      </c>
      <c r="BI84" s="63">
        <f>IF(NOT(ISERROR(SEARCH("In Progress",   VLOOKUP($A84,$A:$D,MATCH("Planned For",$A$1:$D$1,0), 1)))),0.5,
 IF($F84="Enabler",0.6,
 IF($I84="EAD N/A",0.8,1))) *  ( ROUNDUP(MAX('Ranking Lookup'!B:B)/5,0) +1 - ROUNDUP(IF(NOT(ISNUMBER(VLOOKUP(A84,'Ranking Lookup'!A:B,2,0))),  MAX('Ranking Lookup'!B:B))/5,0) )</f>
        <v>9</v>
      </c>
      <c r="BK84" s="95"/>
    </row>
    <row r="85" spans="1:63" s="5" customFormat="1" ht="14.4" customHeight="1" x14ac:dyDescent="0.3">
      <c r="A85" s="203">
        <v>1012570</v>
      </c>
      <c r="B85" s="65" t="s">
        <v>1957</v>
      </c>
      <c r="C85" s="98" t="s">
        <v>1866</v>
      </c>
      <c r="D85" s="98" t="s">
        <v>28</v>
      </c>
      <c r="E85" s="65">
        <v>11</v>
      </c>
      <c r="F85" s="99" t="s">
        <v>41</v>
      </c>
      <c r="G85" s="99" t="s">
        <v>2010</v>
      </c>
      <c r="H85" s="64" t="s">
        <v>1959</v>
      </c>
      <c r="I85" s="64" t="s">
        <v>38</v>
      </c>
      <c r="J85" s="98" t="s">
        <v>1412</v>
      </c>
      <c r="K85" s="95">
        <v>0</v>
      </c>
      <c r="L85" s="62" t="s">
        <v>946</v>
      </c>
      <c r="M85" s="67" t="s">
        <v>42</v>
      </c>
      <c r="N85" s="67" t="s">
        <v>44</v>
      </c>
      <c r="O85" s="67">
        <v>0</v>
      </c>
      <c r="P85" s="67" t="s">
        <v>1552</v>
      </c>
      <c r="Q85" s="67" t="s">
        <v>36</v>
      </c>
      <c r="R85" s="66">
        <v>1</v>
      </c>
      <c r="S85" s="63">
        <v>0</v>
      </c>
      <c r="T85" s="63">
        <v>0</v>
      </c>
      <c r="U85" s="63">
        <v>0</v>
      </c>
      <c r="V85" s="63">
        <v>0</v>
      </c>
      <c r="W85" s="63">
        <v>0</v>
      </c>
      <c r="X85" s="63">
        <v>0</v>
      </c>
      <c r="Y85" s="63">
        <v>5</v>
      </c>
      <c r="Z85" s="63">
        <v>0</v>
      </c>
      <c r="AA85" s="63">
        <v>0</v>
      </c>
      <c r="AB85" s="63">
        <v>0</v>
      </c>
      <c r="AC85" s="63">
        <v>0</v>
      </c>
      <c r="AD85" s="63">
        <v>0</v>
      </c>
      <c r="AE85" s="63">
        <v>0</v>
      </c>
      <c r="AF85" s="63">
        <v>0</v>
      </c>
      <c r="AG85" s="63">
        <v>0</v>
      </c>
      <c r="AH85" s="63">
        <v>0</v>
      </c>
      <c r="AI85" s="63">
        <v>0</v>
      </c>
      <c r="AJ85" s="63">
        <v>5</v>
      </c>
      <c r="AK85" s="63">
        <v>0</v>
      </c>
      <c r="AL85" s="63" t="s">
        <v>35</v>
      </c>
      <c r="AM85" s="63" t="s">
        <v>36</v>
      </c>
      <c r="AN85" s="149" t="s">
        <v>33</v>
      </c>
      <c r="AO85" s="67" t="str">
        <f>VLOOKUP(A85,'Ranking Lookup'!A:C,3,0)</f>
        <v>Pre PI</v>
      </c>
      <c r="AP85" s="63">
        <f>IFERROR(VLOOKUP($A85,'Ranking Lookup'!$A:$B,2,0),"Unranked")</f>
        <v>84</v>
      </c>
      <c r="AQ85" s="71">
        <f>SUM(S85:AI85,AK85)/E85</f>
        <v>0.45454545454545453</v>
      </c>
      <c r="AR85" s="97">
        <f>IF(A85="","",
COUNTIF(EAD_CIs!I:I,"*"&amp;A85&amp;"*"))</f>
        <v>0</v>
      </c>
      <c r="AS85" s="97">
        <f>AS84+T85</f>
        <v>329</v>
      </c>
      <c r="AT85" s="97">
        <f>AT84+U85</f>
        <v>182</v>
      </c>
      <c r="AU85" s="97">
        <f>AU84+V85</f>
        <v>133</v>
      </c>
      <c r="AV85" s="97">
        <f>AV84+W85</f>
        <v>382</v>
      </c>
      <c r="AW85" s="97">
        <f>AW84+X85</f>
        <v>203</v>
      </c>
      <c r="AX85" s="97">
        <f>AX84+Y85</f>
        <v>178</v>
      </c>
      <c r="AY85" s="97">
        <f>AY84+Z85</f>
        <v>382</v>
      </c>
      <c r="AZ85" s="97">
        <f>AZ84+AA85</f>
        <v>80</v>
      </c>
      <c r="BA85" s="97">
        <f>BA84+AB85</f>
        <v>236</v>
      </c>
      <c r="BB85" s="97">
        <f>BB84+AC85</f>
        <v>358</v>
      </c>
      <c r="BC85" s="97">
        <f>BC84+AD85</f>
        <v>172</v>
      </c>
      <c r="BD85" s="97">
        <f>BD84+AE85</f>
        <v>167</v>
      </c>
      <c r="BE85" s="97">
        <f>BE84+AF85</f>
        <v>0</v>
      </c>
      <c r="BF85" s="97">
        <f>BF84+AG85</f>
        <v>321</v>
      </c>
      <c r="BG85" s="97">
        <f>BG84+AH85</f>
        <v>0</v>
      </c>
      <c r="BH85" s="63">
        <f>IF(A85="",0,
COUNTIF(OrphanPWI_CI_Check!A:A,"*"&amp;A85&amp;"*"))</f>
        <v>0</v>
      </c>
      <c r="BI85" s="63">
        <f>IF(NOT(ISERROR(SEARCH("In Progress",   VLOOKUP($A85,$A:$D,MATCH("Planned For",$A$1:$D$1,0), 1)))),0.5,
 IF($F85="Enabler",0.6,
 IF($I85="EAD N/A",0.8,1))) *  ( ROUNDUP(MAX('Ranking Lookup'!B:B)/5,0) +1 - ROUNDUP(IF(NOT(ISNUMBER(VLOOKUP(A85,'Ranking Lookup'!A:B,2,0))),  MAX('Ranking Lookup'!B:B))/5,0) )</f>
        <v>9</v>
      </c>
      <c r="BK85" s="95"/>
    </row>
    <row r="86" spans="1:63" s="5" customFormat="1" ht="14.4" customHeight="1" x14ac:dyDescent="0.3">
      <c r="A86" s="203">
        <v>353134</v>
      </c>
      <c r="B86" s="65" t="s">
        <v>1142</v>
      </c>
      <c r="C86" s="98" t="s">
        <v>2102</v>
      </c>
      <c r="D86" s="65" t="s">
        <v>106</v>
      </c>
      <c r="E86" s="65">
        <v>27</v>
      </c>
      <c r="F86" s="99" t="s">
        <v>879</v>
      </c>
      <c r="G86" s="99" t="s">
        <v>1563</v>
      </c>
      <c r="H86" s="64" t="s">
        <v>548</v>
      </c>
      <c r="I86" s="64" t="s">
        <v>38</v>
      </c>
      <c r="J86" s="98" t="s">
        <v>1412</v>
      </c>
      <c r="K86" s="95">
        <v>0</v>
      </c>
      <c r="L86" s="62" t="s">
        <v>945</v>
      </c>
      <c r="M86" s="67" t="s">
        <v>42</v>
      </c>
      <c r="N86" s="67" t="s">
        <v>44</v>
      </c>
      <c r="O86" s="67">
        <v>0</v>
      </c>
      <c r="P86" s="67" t="s">
        <v>1172</v>
      </c>
      <c r="Q86" s="67" t="s">
        <v>36</v>
      </c>
      <c r="R86" s="66">
        <v>1</v>
      </c>
      <c r="S86" s="63">
        <v>10</v>
      </c>
      <c r="T86" s="63">
        <v>0</v>
      </c>
      <c r="U86" s="63">
        <v>0</v>
      </c>
      <c r="V86" s="63">
        <v>19</v>
      </c>
      <c r="W86" s="63">
        <v>0</v>
      </c>
      <c r="X86" s="63">
        <v>0</v>
      </c>
      <c r="Y86" s="63">
        <v>0</v>
      </c>
      <c r="Z86" s="63">
        <v>0</v>
      </c>
      <c r="AA86" s="63">
        <v>0</v>
      </c>
      <c r="AB86" s="63">
        <v>0</v>
      </c>
      <c r="AC86" s="63">
        <v>0</v>
      </c>
      <c r="AD86" s="63">
        <v>0</v>
      </c>
      <c r="AE86" s="63">
        <v>0</v>
      </c>
      <c r="AF86" s="63">
        <v>0</v>
      </c>
      <c r="AG86" s="63">
        <v>0</v>
      </c>
      <c r="AH86" s="63">
        <v>0</v>
      </c>
      <c r="AI86" s="63">
        <v>0</v>
      </c>
      <c r="AJ86" s="63">
        <v>19</v>
      </c>
      <c r="AK86" s="63">
        <v>0</v>
      </c>
      <c r="AL86" s="63" t="s">
        <v>35</v>
      </c>
      <c r="AM86" s="63" t="s">
        <v>36</v>
      </c>
      <c r="AN86" s="149" t="s">
        <v>33</v>
      </c>
      <c r="AO86" s="67" t="str">
        <f>VLOOKUP(A86,'Ranking Lookup'!A:C,3,0)</f>
        <v>Pre PI</v>
      </c>
      <c r="AP86" s="63">
        <f>IFERROR(VLOOKUP($A86,'Ranking Lookup'!$A:$B,2,0),"Unranked")</f>
        <v>85</v>
      </c>
      <c r="AQ86" s="71">
        <f>SUM(S86:AI86,AK86)/E86</f>
        <v>1.0740740740740742</v>
      </c>
      <c r="AR86" s="97">
        <f>IF(A86="","",
COUNTIF(EAD_CIs!I:I,"*"&amp;A86&amp;"*"))</f>
        <v>0</v>
      </c>
      <c r="AS86" s="97">
        <f>AS85+T86</f>
        <v>329</v>
      </c>
      <c r="AT86" s="97">
        <f>AT85+U86</f>
        <v>182</v>
      </c>
      <c r="AU86" s="97">
        <f>AU85+V86</f>
        <v>152</v>
      </c>
      <c r="AV86" s="97">
        <f>AV85+W86</f>
        <v>382</v>
      </c>
      <c r="AW86" s="97">
        <f>AW85+X86</f>
        <v>203</v>
      </c>
      <c r="AX86" s="97">
        <f>AX85+Y86</f>
        <v>178</v>
      </c>
      <c r="AY86" s="97">
        <f>AY85+Z86</f>
        <v>382</v>
      </c>
      <c r="AZ86" s="97">
        <f>AZ85+AA86</f>
        <v>80</v>
      </c>
      <c r="BA86" s="97">
        <f>BA85+AB86</f>
        <v>236</v>
      </c>
      <c r="BB86" s="97">
        <f>BB85+AC86</f>
        <v>358</v>
      </c>
      <c r="BC86" s="97">
        <f>BC85+AD86</f>
        <v>172</v>
      </c>
      <c r="BD86" s="97">
        <f>BD85+AE86</f>
        <v>167</v>
      </c>
      <c r="BE86" s="97">
        <f>BE85+AF86</f>
        <v>0</v>
      </c>
      <c r="BF86" s="97">
        <f>BF85+AG86</f>
        <v>321</v>
      </c>
      <c r="BG86" s="97">
        <f>BG85+AH86</f>
        <v>0</v>
      </c>
      <c r="BH86" s="63">
        <f>IF(A86="",0,
COUNTIF(OrphanPWI_CI_Check!A:A,"*"&amp;A86&amp;"*"))</f>
        <v>0</v>
      </c>
      <c r="BI86" s="63">
        <f>IF(NOT(ISERROR(SEARCH("In Progress",   VLOOKUP($A86,$A:$D,MATCH("Planned For",$A$1:$D$1,0), 1)))),0.5,
 IF($F86="Enabler",0.6,
 IF($I86="EAD N/A",0.8,1))) *  ( ROUNDUP(MAX('Ranking Lookup'!B:B)/5,0) +1 - ROUNDUP(IF(NOT(ISNUMBER(VLOOKUP(A86,'Ranking Lookup'!A:B,2,0))),  MAX('Ranking Lookup'!B:B))/5,0) )</f>
        <v>14.4</v>
      </c>
      <c r="BK86"/>
    </row>
    <row r="87" spans="1:63" s="5" customFormat="1" ht="14.4" customHeight="1" x14ac:dyDescent="0.3">
      <c r="A87" s="203">
        <v>1017680</v>
      </c>
      <c r="B87" s="65" t="s">
        <v>2374</v>
      </c>
      <c r="C87" s="98" t="s">
        <v>2272</v>
      </c>
      <c r="D87" s="98" t="s">
        <v>867</v>
      </c>
      <c r="E87" s="65">
        <v>16</v>
      </c>
      <c r="F87" s="99" t="s">
        <v>880</v>
      </c>
      <c r="G87" s="99" t="s">
        <v>2375</v>
      </c>
      <c r="H87" s="64" t="s">
        <v>104</v>
      </c>
      <c r="I87" s="64" t="s">
        <v>36</v>
      </c>
      <c r="J87" s="98" t="s">
        <v>1412</v>
      </c>
      <c r="K87" s="95">
        <v>0</v>
      </c>
      <c r="L87" s="62" t="s">
        <v>949</v>
      </c>
      <c r="M87" s="67" t="s">
        <v>42</v>
      </c>
      <c r="N87" s="67" t="s">
        <v>44</v>
      </c>
      <c r="O87" s="67">
        <v>0</v>
      </c>
      <c r="P87" s="67" t="s">
        <v>991</v>
      </c>
      <c r="Q87" s="67" t="s">
        <v>1760</v>
      </c>
      <c r="R87" s="66">
        <v>3</v>
      </c>
      <c r="S87" s="63">
        <v>0</v>
      </c>
      <c r="T87" s="63">
        <v>0</v>
      </c>
      <c r="U87" s="63">
        <v>0</v>
      </c>
      <c r="V87" s="63">
        <v>1</v>
      </c>
      <c r="W87" s="63">
        <v>14</v>
      </c>
      <c r="X87" s="63">
        <v>0</v>
      </c>
      <c r="Y87" s="63">
        <v>0</v>
      </c>
      <c r="Z87" s="63">
        <v>0</v>
      </c>
      <c r="AA87" s="63">
        <v>0</v>
      </c>
      <c r="AB87" s="63">
        <v>0</v>
      </c>
      <c r="AC87" s="63">
        <v>0</v>
      </c>
      <c r="AD87" s="63">
        <v>0</v>
      </c>
      <c r="AE87" s="63">
        <v>0</v>
      </c>
      <c r="AF87" s="63">
        <v>1</v>
      </c>
      <c r="AG87" s="63">
        <v>0</v>
      </c>
      <c r="AH87" s="63">
        <v>0</v>
      </c>
      <c r="AI87" s="63">
        <v>0</v>
      </c>
      <c r="AJ87" s="63">
        <v>16</v>
      </c>
      <c r="AK87" s="63">
        <v>0</v>
      </c>
      <c r="AL87" s="63" t="s">
        <v>35</v>
      </c>
      <c r="AM87" s="63" t="s">
        <v>36</v>
      </c>
      <c r="AN87" s="149" t="s">
        <v>33</v>
      </c>
      <c r="AO87" s="67" t="e">
        <f>VLOOKUP(A87,'Ranking Lookup'!A:C,3,0)</f>
        <v>#N/A</v>
      </c>
      <c r="AP87" s="63" t="str">
        <f>IFERROR(VLOOKUP($A87,'Ranking Lookup'!$A:$B,2,0),"Unranked")</f>
        <v>Unranked</v>
      </c>
      <c r="AQ87" s="71">
        <f>SUM(S87:AI87,AK87)/E87</f>
        <v>1</v>
      </c>
      <c r="AR87" s="97">
        <f>IF(A87="","",
COUNTIF(EAD_CIs!I:I,"*"&amp;A87&amp;"*"))</f>
        <v>0</v>
      </c>
      <c r="AS87" s="97">
        <f>AS86+T87</f>
        <v>329</v>
      </c>
      <c r="AT87" s="97">
        <f>AT86+U87</f>
        <v>182</v>
      </c>
      <c r="AU87" s="97">
        <f>AU86+V87</f>
        <v>153</v>
      </c>
      <c r="AV87" s="97">
        <f>AV86+W87</f>
        <v>396</v>
      </c>
      <c r="AW87" s="97">
        <f>AW86+X87</f>
        <v>203</v>
      </c>
      <c r="AX87" s="97">
        <f>AX86+Y87</f>
        <v>178</v>
      </c>
      <c r="AY87" s="97">
        <f>AY86+Z87</f>
        <v>382</v>
      </c>
      <c r="AZ87" s="97">
        <f>AZ86+AA87</f>
        <v>80</v>
      </c>
      <c r="BA87" s="97">
        <f>BA86+AB87</f>
        <v>236</v>
      </c>
      <c r="BB87" s="97">
        <f>BB86+AC87</f>
        <v>358</v>
      </c>
      <c r="BC87" s="97">
        <f>BC86+AD87</f>
        <v>172</v>
      </c>
      <c r="BD87" s="97">
        <f>BD86+AE87</f>
        <v>167</v>
      </c>
      <c r="BE87" s="97">
        <f>BE86+AF87</f>
        <v>1</v>
      </c>
      <c r="BF87" s="97">
        <f>BF86+AG87</f>
        <v>321</v>
      </c>
      <c r="BG87" s="97">
        <f>BG86+AH87</f>
        <v>0</v>
      </c>
      <c r="BH87" s="63">
        <f>IF(A87="",0,
COUNTIF(OrphanPWI_CI_Check!A:A,"*"&amp;A87&amp;"*"))</f>
        <v>0</v>
      </c>
      <c r="BI87" s="63">
        <f>IF(NOT(ISERROR(SEARCH("In Progress",   VLOOKUP($A87,$A:$D,MATCH("Planned For",$A$1:$D$1,0), 1)))),0.5,
 IF($F87="Enabler",0.6,
 IF($I87="EAD N/A",0.8,1))) *  ( ROUNDUP(MAX('Ranking Lookup'!B:B)/5,0) +1 - ROUNDUP(IF(NOT(ISNUMBER(VLOOKUP(A87,'Ranking Lookup'!A:B,2,0))),  MAX('Ranking Lookup'!B:B))/5,0) )</f>
        <v>0.5</v>
      </c>
      <c r="BK87" s="95"/>
    </row>
    <row r="88" spans="1:63" s="5" customFormat="1" ht="14.4" customHeight="1" x14ac:dyDescent="0.3">
      <c r="A88" s="95"/>
      <c r="B88" s="65"/>
      <c r="C88" s="98"/>
      <c r="D88" s="98"/>
      <c r="E88" s="65"/>
      <c r="F88" s="99"/>
      <c r="G88" s="99"/>
      <c r="H88" s="64"/>
      <c r="I88" s="64"/>
      <c r="J88" s="98"/>
      <c r="K88" s="95"/>
      <c r="L88" s="62"/>
      <c r="M88" s="67"/>
      <c r="N88" s="67"/>
      <c r="O88" s="67"/>
      <c r="P88" s="67"/>
      <c r="Q88" s="67"/>
      <c r="R88" s="66"/>
      <c r="S88" s="63"/>
      <c r="T88" s="63"/>
      <c r="U88" s="63"/>
      <c r="V88" s="63"/>
      <c r="W88" s="63"/>
      <c r="X88" s="63"/>
      <c r="Y88" s="63"/>
      <c r="Z88" s="63"/>
      <c r="AA88" s="63"/>
      <c r="AB88" s="63"/>
      <c r="AC88" s="63"/>
      <c r="AD88" s="63"/>
      <c r="AE88" s="63"/>
      <c r="AF88" s="63"/>
      <c r="AG88" s="63"/>
      <c r="AH88" s="63"/>
      <c r="AI88" s="63"/>
      <c r="AJ88" s="63"/>
      <c r="AK88" s="63"/>
      <c r="AL88" s="63"/>
      <c r="AM88" s="63"/>
      <c r="AN88" s="149"/>
      <c r="AO88" s="67" t="e">
        <f>VLOOKUP(A88,'Ranking Lookup'!A:C,3,0)</f>
        <v>#N/A</v>
      </c>
      <c r="AP88" s="63" t="str">
        <f>IFERROR(VLOOKUP($A88,'Ranking Lookup'!$A:$B,2,0),"Unranked")</f>
        <v>Unranked</v>
      </c>
      <c r="AQ88" s="71" t="e">
        <f>SUM(S88:AI88,AK88)/E88</f>
        <v>#DIV/0!</v>
      </c>
      <c r="AR88" s="97" t="str">
        <f>IF(A88="","",
COUNTIF(EAD_CIs!I:I,"*"&amp;A88&amp;"*"))</f>
        <v/>
      </c>
      <c r="AS88" s="97">
        <f>AS87+T88</f>
        <v>329</v>
      </c>
      <c r="AT88" s="97">
        <f>AT87+U88</f>
        <v>182</v>
      </c>
      <c r="AU88" s="97">
        <f>AU87+V88</f>
        <v>153</v>
      </c>
      <c r="AV88" s="97">
        <f>AV87+W88</f>
        <v>396</v>
      </c>
      <c r="AW88" s="97">
        <f>AW87+X88</f>
        <v>203</v>
      </c>
      <c r="AX88" s="97">
        <f>AX87+Y88</f>
        <v>178</v>
      </c>
      <c r="AY88" s="97">
        <f>AY87+Z88</f>
        <v>382</v>
      </c>
      <c r="AZ88" s="97">
        <f>AZ87+AA88</f>
        <v>80</v>
      </c>
      <c r="BA88" s="97">
        <f>BA87+AB88</f>
        <v>236</v>
      </c>
      <c r="BB88" s="97">
        <f>BB87+AC88</f>
        <v>358</v>
      </c>
      <c r="BC88" s="97">
        <f>BC87+AD88</f>
        <v>172</v>
      </c>
      <c r="BD88" s="97">
        <f>BD87+AE88</f>
        <v>167</v>
      </c>
      <c r="BE88" s="97">
        <f>BE87+AF88</f>
        <v>1</v>
      </c>
      <c r="BF88" s="97">
        <f>BF87+AG88</f>
        <v>321</v>
      </c>
      <c r="BG88" s="97">
        <f>BG87+AH88</f>
        <v>0</v>
      </c>
      <c r="BH88" s="63">
        <f>IF(A88="",0,
COUNTIF(OrphanPWI_CI_Check!A:A,"*"&amp;A88&amp;"*"))</f>
        <v>0</v>
      </c>
      <c r="BI88" s="63">
        <f>IF(NOT(ISERROR(SEARCH("In Progress",   VLOOKUP($A88,$A:$D,MATCH("Planned For",$A$1:$D$1,0), 1)))),0.5,
 IF($F88="Enabler",0.6,
 IF($I88="EAD N/A",0.8,1))) *  ( ROUNDUP(MAX('Ranking Lookup'!B:B)/5,0) +1 - ROUNDUP(IF(NOT(ISNUMBER(VLOOKUP(A88,'Ranking Lookup'!A:B,2,0))),  MAX('Ranking Lookup'!B:B))/5,0) )</f>
        <v>1</v>
      </c>
      <c r="BK88" s="95"/>
    </row>
    <row r="89" spans="1:63" s="5" customFormat="1" ht="14.4" customHeight="1" x14ac:dyDescent="0.3">
      <c r="A89" s="260"/>
      <c r="B89" s="65"/>
      <c r="C89" s="98"/>
      <c r="D89" s="98"/>
      <c r="E89" s="65"/>
      <c r="F89" s="99"/>
      <c r="G89" s="99"/>
      <c r="H89" s="64"/>
      <c r="I89" s="64"/>
      <c r="J89" s="98"/>
      <c r="K89" s="203"/>
      <c r="L89" s="62"/>
      <c r="M89" s="67"/>
      <c r="N89" s="67"/>
      <c r="O89" s="67"/>
      <c r="P89" s="67"/>
      <c r="Q89" s="67"/>
      <c r="R89" s="66"/>
      <c r="S89" s="63"/>
      <c r="T89" s="63"/>
      <c r="U89" s="63"/>
      <c r="V89" s="63"/>
      <c r="W89" s="63"/>
      <c r="X89" s="63"/>
      <c r="Y89" s="63"/>
      <c r="Z89" s="63"/>
      <c r="AA89" s="63"/>
      <c r="AB89" s="63"/>
      <c r="AC89" s="63"/>
      <c r="AD89" s="63"/>
      <c r="AE89" s="63"/>
      <c r="AF89" s="63"/>
      <c r="AG89" s="63"/>
      <c r="AH89" s="63"/>
      <c r="AI89" s="63"/>
      <c r="AJ89" s="63"/>
      <c r="AK89" s="63"/>
      <c r="AL89" s="63"/>
      <c r="AM89" s="63"/>
      <c r="AN89" s="149"/>
      <c r="AO89" s="67" t="e">
        <f>VLOOKUP(A89,'Ranking Lookup'!A:C,3,0)</f>
        <v>#N/A</v>
      </c>
      <c r="AP89" s="63" t="str">
        <f>IFERROR(VLOOKUP($A89,'Ranking Lookup'!$A:$B,2,0),"Unranked")</f>
        <v>Unranked</v>
      </c>
      <c r="AQ89" s="71" t="e">
        <f>SUM(S89:AI89,AK89)/E89</f>
        <v>#DIV/0!</v>
      </c>
      <c r="AR89" s="97" t="str">
        <f>IF(A89="","",
COUNTIF(EAD_CIs!I:I,"*"&amp;A89&amp;"*"))</f>
        <v/>
      </c>
      <c r="AS89" s="97">
        <f>AS88+T89</f>
        <v>329</v>
      </c>
      <c r="AT89" s="97">
        <f>AT88+U89</f>
        <v>182</v>
      </c>
      <c r="AU89" s="97">
        <f>AU88+V89</f>
        <v>153</v>
      </c>
      <c r="AV89" s="97">
        <f>AV88+W89</f>
        <v>396</v>
      </c>
      <c r="AW89" s="97">
        <f>AW88+X89</f>
        <v>203</v>
      </c>
      <c r="AX89" s="97">
        <f>AX88+Y89</f>
        <v>178</v>
      </c>
      <c r="AY89" s="97">
        <f>AY88+Z89</f>
        <v>382</v>
      </c>
      <c r="AZ89" s="97">
        <f>AZ88+AA89</f>
        <v>80</v>
      </c>
      <c r="BA89" s="97">
        <f>BA88+AB89</f>
        <v>236</v>
      </c>
      <c r="BB89" s="97">
        <f>BB88+AC89</f>
        <v>358</v>
      </c>
      <c r="BC89" s="97">
        <f>BC88+AD89</f>
        <v>172</v>
      </c>
      <c r="BD89" s="97">
        <f>BD88+AE89</f>
        <v>167</v>
      </c>
      <c r="BE89" s="97">
        <f>BE88+AF89</f>
        <v>1</v>
      </c>
      <c r="BF89" s="97">
        <f>BF88+AG89</f>
        <v>321</v>
      </c>
      <c r="BG89" s="97">
        <f>BG88+AH89</f>
        <v>0</v>
      </c>
      <c r="BH89" s="63">
        <f>IF(A89="",0,
COUNTIF(OrphanPWI_CI_Check!A:A,"*"&amp;A89&amp;"*"))</f>
        <v>0</v>
      </c>
      <c r="BI89" s="63">
        <f>IF(NOT(ISERROR(SEARCH("In Progress",   VLOOKUP($A89,$A:$D,MATCH("Planned For",$A$1:$D$1,0), 1)))),0.5,
 IF($F89="Enabler",0.6,
 IF($I89="EAD N/A",0.8,1))) *  ( ROUNDUP(MAX('Ranking Lookup'!B:B)/5,0) +1 - ROUNDUP(IF(NOT(ISNUMBER(VLOOKUP(A89,'Ranking Lookup'!A:B,2,0))),  MAX('Ranking Lookup'!B:B))/5,0) )</f>
        <v>1</v>
      </c>
      <c r="BK89" s="95"/>
    </row>
    <row r="90" spans="1:63" s="5" customFormat="1" ht="14.4" customHeight="1" x14ac:dyDescent="0.3">
      <c r="A90" s="260"/>
      <c r="B90" s="65"/>
      <c r="C90" s="98"/>
      <c r="D90" s="98"/>
      <c r="E90" s="65"/>
      <c r="F90" s="99"/>
      <c r="G90" s="99"/>
      <c r="H90" s="64"/>
      <c r="I90" s="64"/>
      <c r="J90" s="98"/>
      <c r="K90" s="95"/>
      <c r="L90" s="62"/>
      <c r="M90" s="67"/>
      <c r="N90" s="67"/>
      <c r="O90" s="67"/>
      <c r="P90" s="67"/>
      <c r="Q90" s="67"/>
      <c r="R90" s="66"/>
      <c r="S90" s="63"/>
      <c r="T90" s="63"/>
      <c r="U90" s="63"/>
      <c r="V90" s="63"/>
      <c r="W90" s="63"/>
      <c r="X90" s="63"/>
      <c r="Y90" s="63"/>
      <c r="Z90" s="63"/>
      <c r="AA90" s="63"/>
      <c r="AB90" s="63"/>
      <c r="AC90" s="63"/>
      <c r="AD90" s="63"/>
      <c r="AE90" s="63"/>
      <c r="AF90" s="63"/>
      <c r="AG90" s="63"/>
      <c r="AH90" s="63"/>
      <c r="AI90" s="63"/>
      <c r="AJ90" s="63"/>
      <c r="AK90" s="63"/>
      <c r="AL90" s="63"/>
      <c r="AM90" s="63"/>
      <c r="AN90" s="149"/>
      <c r="AO90" s="67" t="e">
        <f>VLOOKUP(A90,'Ranking Lookup'!A:C,3,0)</f>
        <v>#N/A</v>
      </c>
      <c r="AP90" s="63" t="str">
        <f>IFERROR(VLOOKUP($A90,'Ranking Lookup'!$A:$B,2,0),"Unranked")</f>
        <v>Unranked</v>
      </c>
      <c r="AQ90" s="71" t="e">
        <f>SUM(S90:AI90,AK90)/E90</f>
        <v>#DIV/0!</v>
      </c>
      <c r="AR90" s="97" t="str">
        <f>IF(A90="","",
COUNTIF(EAD_CIs!I:I,"*"&amp;A90&amp;"*"))</f>
        <v/>
      </c>
      <c r="AS90" s="97">
        <f>AS89+T90</f>
        <v>329</v>
      </c>
      <c r="AT90" s="97">
        <f>AT89+U90</f>
        <v>182</v>
      </c>
      <c r="AU90" s="97">
        <f>AU89+V90</f>
        <v>153</v>
      </c>
      <c r="AV90" s="97">
        <f>AV89+W90</f>
        <v>396</v>
      </c>
      <c r="AW90" s="97">
        <f>AW89+X90</f>
        <v>203</v>
      </c>
      <c r="AX90" s="97">
        <f>AX89+Y90</f>
        <v>178</v>
      </c>
      <c r="AY90" s="97">
        <f>AY89+Z90</f>
        <v>382</v>
      </c>
      <c r="AZ90" s="97">
        <f>AZ89+AA90</f>
        <v>80</v>
      </c>
      <c r="BA90" s="97">
        <f>BA89+AB90</f>
        <v>236</v>
      </c>
      <c r="BB90" s="97">
        <f>BB89+AC90</f>
        <v>358</v>
      </c>
      <c r="BC90" s="97">
        <f>BC89+AD90</f>
        <v>172</v>
      </c>
      <c r="BD90" s="97">
        <f>BD89+AE90</f>
        <v>167</v>
      </c>
      <c r="BE90" s="97">
        <f>BE89+AF90</f>
        <v>1</v>
      </c>
      <c r="BF90" s="97">
        <f>BF89+AG90</f>
        <v>321</v>
      </c>
      <c r="BG90" s="97">
        <f>BG89+AH90</f>
        <v>0</v>
      </c>
      <c r="BH90" s="63">
        <f>IF(A90="",0,
COUNTIF(OrphanPWI_CI_Check!A:A,"*"&amp;A90&amp;"*"))</f>
        <v>0</v>
      </c>
      <c r="BI90" s="63">
        <f>IF(NOT(ISERROR(SEARCH("In Progress",   VLOOKUP($A90,$A:$D,MATCH("Planned For",$A$1:$D$1,0), 1)))),0.5,
 IF($F90="Enabler",0.6,
 IF($I90="EAD N/A",0.8,1))) *  ( ROUNDUP(MAX('Ranking Lookup'!B:B)/5,0) +1 - ROUNDUP(IF(NOT(ISNUMBER(VLOOKUP(A90,'Ranking Lookup'!A:B,2,0))),  MAX('Ranking Lookup'!B:B))/5,0) )</f>
        <v>1</v>
      </c>
      <c r="BK90" s="95"/>
    </row>
    <row r="91" spans="1:63" s="5" customFormat="1" ht="14.4" customHeight="1" x14ac:dyDescent="0.3">
      <c r="A91" s="260"/>
      <c r="B91" s="65"/>
      <c r="C91" s="98"/>
      <c r="D91" s="98"/>
      <c r="E91" s="65"/>
      <c r="F91" s="99"/>
      <c r="G91" s="99"/>
      <c r="H91" s="64"/>
      <c r="I91" s="64"/>
      <c r="J91" s="98"/>
      <c r="K91" s="203"/>
      <c r="L91" s="62"/>
      <c r="M91" s="67"/>
      <c r="N91" s="67"/>
      <c r="O91" s="67"/>
      <c r="P91" s="67"/>
      <c r="Q91" s="67"/>
      <c r="R91" s="66"/>
      <c r="S91" s="63"/>
      <c r="T91" s="63"/>
      <c r="U91" s="63"/>
      <c r="V91" s="63"/>
      <c r="W91" s="63"/>
      <c r="X91" s="63"/>
      <c r="Y91" s="63"/>
      <c r="Z91" s="63"/>
      <c r="AA91" s="63"/>
      <c r="AB91" s="63"/>
      <c r="AC91" s="63"/>
      <c r="AD91" s="63"/>
      <c r="AE91" s="63"/>
      <c r="AF91" s="63"/>
      <c r="AG91" s="63"/>
      <c r="AH91" s="63"/>
      <c r="AI91" s="63"/>
      <c r="AJ91" s="63"/>
      <c r="AK91" s="63"/>
      <c r="AL91" s="63"/>
      <c r="AM91" s="63"/>
      <c r="AN91" s="149"/>
      <c r="AO91" s="67" t="e">
        <f>VLOOKUP(A91,'Ranking Lookup'!A:C,3,0)</f>
        <v>#N/A</v>
      </c>
      <c r="AP91" s="63" t="str">
        <f>IFERROR(VLOOKUP($A91,'Ranking Lookup'!$A:$B,2,0),"Unranked")</f>
        <v>Unranked</v>
      </c>
      <c r="AQ91" s="71" t="e">
        <f>SUM(S91:AI91,AK91)/E91</f>
        <v>#DIV/0!</v>
      </c>
      <c r="AR91" s="97" t="str">
        <f>IF(A91="","",
COUNTIF(EAD_CIs!I:I,"*"&amp;A91&amp;"*"))</f>
        <v/>
      </c>
      <c r="AS91" s="97">
        <f>AS90+T91</f>
        <v>329</v>
      </c>
      <c r="AT91" s="97">
        <f>AT90+U91</f>
        <v>182</v>
      </c>
      <c r="AU91" s="97">
        <f>AU90+V91</f>
        <v>153</v>
      </c>
      <c r="AV91" s="97">
        <f>AV90+W91</f>
        <v>396</v>
      </c>
      <c r="AW91" s="97">
        <f>AW90+X91</f>
        <v>203</v>
      </c>
      <c r="AX91" s="97">
        <f>AX90+Y91</f>
        <v>178</v>
      </c>
      <c r="AY91" s="97">
        <f>AY90+Z91</f>
        <v>382</v>
      </c>
      <c r="AZ91" s="97">
        <f>AZ90+AA91</f>
        <v>80</v>
      </c>
      <c r="BA91" s="97">
        <f>BA90+AB91</f>
        <v>236</v>
      </c>
      <c r="BB91" s="97">
        <f>BB90+AC91</f>
        <v>358</v>
      </c>
      <c r="BC91" s="97">
        <f>BC90+AD91</f>
        <v>172</v>
      </c>
      <c r="BD91" s="97">
        <f>BD90+AE91</f>
        <v>167</v>
      </c>
      <c r="BE91" s="97">
        <f>BE90+AF91</f>
        <v>1</v>
      </c>
      <c r="BF91" s="97">
        <f>BF90+AG91</f>
        <v>321</v>
      </c>
      <c r="BG91" s="97">
        <f>BG90+AH91</f>
        <v>0</v>
      </c>
      <c r="BH91" s="63">
        <f>IF(A91="",0,
COUNTIF(OrphanPWI_CI_Check!A:A,"*"&amp;A91&amp;"*"))</f>
        <v>0</v>
      </c>
      <c r="BI91" s="63">
        <f>IF(NOT(ISERROR(SEARCH("In Progress",   VLOOKUP($A91,$A:$D,MATCH("Planned For",$A$1:$D$1,0), 1)))),0.5,
 IF($F91="Enabler",0.6,
 IF($I91="EAD N/A",0.8,1))) *  ( ROUNDUP(MAX('Ranking Lookup'!B:B)/5,0) +1 - ROUNDUP(IF(NOT(ISNUMBER(VLOOKUP(A91,'Ranking Lookup'!A:B,2,0))),  MAX('Ranking Lookup'!B:B))/5,0) )</f>
        <v>1</v>
      </c>
      <c r="BK91" s="95"/>
    </row>
    <row r="92" spans="1:63" s="5" customFormat="1" ht="14.4" customHeight="1" x14ac:dyDescent="0.3">
      <c r="B92" s="65"/>
      <c r="C92" s="98"/>
      <c r="D92" s="98"/>
      <c r="E92" s="65"/>
      <c r="F92" s="99"/>
      <c r="G92" s="99"/>
      <c r="H92" s="64"/>
      <c r="I92" s="64"/>
      <c r="J92" s="98"/>
      <c r="K92" s="95"/>
      <c r="L92" s="62"/>
      <c r="M92" s="67"/>
      <c r="N92" s="67"/>
      <c r="O92" s="67"/>
      <c r="P92" s="67"/>
      <c r="Q92" s="67"/>
      <c r="R92" s="66"/>
      <c r="S92" s="63"/>
      <c r="T92" s="63"/>
      <c r="U92" s="63"/>
      <c r="V92" s="63"/>
      <c r="W92" s="63"/>
      <c r="X92" s="63"/>
      <c r="Y92" s="63"/>
      <c r="Z92" s="63"/>
      <c r="AA92" s="63"/>
      <c r="AB92" s="63"/>
      <c r="AC92" s="63"/>
      <c r="AD92" s="63"/>
      <c r="AE92" s="63"/>
      <c r="AF92" s="63"/>
      <c r="AG92" s="63"/>
      <c r="AH92" s="63"/>
      <c r="AI92" s="63"/>
      <c r="AJ92" s="63"/>
      <c r="AK92" s="63"/>
      <c r="AL92" s="63"/>
      <c r="AM92" s="63"/>
      <c r="AN92" s="149"/>
      <c r="AO92" s="67" t="e">
        <f>VLOOKUP(A92,'Ranking Lookup'!A:C,3,0)</f>
        <v>#N/A</v>
      </c>
      <c r="AP92" s="63" t="str">
        <f>IFERROR(VLOOKUP($A92,'Ranking Lookup'!$A:$B,2,0),"Unranked")</f>
        <v>Unranked</v>
      </c>
      <c r="AQ92" s="71" t="e">
        <f>SUM(S92:AI92,AK92)/E92</f>
        <v>#DIV/0!</v>
      </c>
      <c r="AR92" s="97" t="str">
        <f>IF(A92="","",
COUNTIF(EAD_CIs!I:I,"*"&amp;A92&amp;"*"))</f>
        <v/>
      </c>
      <c r="AS92" s="97">
        <f>AS91+T92</f>
        <v>329</v>
      </c>
      <c r="AT92" s="97">
        <f>AT91+U92</f>
        <v>182</v>
      </c>
      <c r="AU92" s="97">
        <f>AU91+V92</f>
        <v>153</v>
      </c>
      <c r="AV92" s="97">
        <f>AV91+W92</f>
        <v>396</v>
      </c>
      <c r="AW92" s="97">
        <f>AW91+X92</f>
        <v>203</v>
      </c>
      <c r="AX92" s="97">
        <f>AX91+Y92</f>
        <v>178</v>
      </c>
      <c r="AY92" s="97">
        <f>AY91+Z92</f>
        <v>382</v>
      </c>
      <c r="AZ92" s="97">
        <f>AZ91+AA92</f>
        <v>80</v>
      </c>
      <c r="BA92" s="97">
        <f>BA91+AB92</f>
        <v>236</v>
      </c>
      <c r="BB92" s="97">
        <f>BB91+AC92</f>
        <v>358</v>
      </c>
      <c r="BC92" s="97">
        <f>BC91+AD92</f>
        <v>172</v>
      </c>
      <c r="BD92" s="97">
        <f>BD91+AE92</f>
        <v>167</v>
      </c>
      <c r="BE92" s="97">
        <f>BE91+AF92</f>
        <v>1</v>
      </c>
      <c r="BF92" s="97">
        <f>BF91+AG92</f>
        <v>321</v>
      </c>
      <c r="BG92" s="97">
        <f>BG91+AH92</f>
        <v>0</v>
      </c>
      <c r="BH92" s="63">
        <f>IF(A92="",0,
COUNTIF(OrphanPWI_CI_Check!A:A,"*"&amp;A92&amp;"*"))</f>
        <v>0</v>
      </c>
      <c r="BI92" s="63">
        <f>IF(NOT(ISERROR(SEARCH("In Progress",   VLOOKUP($A92,$A:$D,MATCH("Planned For",$A$1:$D$1,0), 1)))),0.5,
 IF($F92="Enabler",0.6,
 IF($I92="EAD N/A",0.8,1))) *  ( ROUNDUP(MAX('Ranking Lookup'!B:B)/5,0) +1 - ROUNDUP(IF(NOT(ISNUMBER(VLOOKUP(A92,'Ranking Lookup'!A:B,2,0))),  MAX('Ranking Lookup'!B:B))/5,0) )</f>
        <v>1</v>
      </c>
      <c r="BK92" s="95"/>
    </row>
    <row r="93" spans="1:63" s="5" customFormat="1" ht="14.4" customHeight="1" x14ac:dyDescent="0.3">
      <c r="A93" s="203"/>
      <c r="B93" s="65"/>
      <c r="C93" s="98"/>
      <c r="D93" s="98"/>
      <c r="E93" s="65"/>
      <c r="F93" s="99"/>
      <c r="G93" s="99"/>
      <c r="H93" s="64"/>
      <c r="I93" s="64"/>
      <c r="J93" s="98"/>
      <c r="K93" s="203"/>
      <c r="L93" s="62"/>
      <c r="M93" s="67"/>
      <c r="N93" s="67"/>
      <c r="O93" s="67"/>
      <c r="P93" s="67"/>
      <c r="Q93" s="67"/>
      <c r="R93" s="66"/>
      <c r="S93" s="63"/>
      <c r="T93" s="63"/>
      <c r="U93" s="63"/>
      <c r="V93" s="63"/>
      <c r="W93" s="63"/>
      <c r="X93" s="63"/>
      <c r="Y93" s="63"/>
      <c r="Z93" s="63"/>
      <c r="AA93" s="63"/>
      <c r="AB93" s="63"/>
      <c r="AC93" s="63"/>
      <c r="AD93" s="63"/>
      <c r="AE93" s="63"/>
      <c r="AF93" s="63"/>
      <c r="AG93" s="63"/>
      <c r="AH93" s="63"/>
      <c r="AI93" s="63"/>
      <c r="AJ93" s="63"/>
      <c r="AK93" s="63"/>
      <c r="AL93" s="63"/>
      <c r="AM93" s="63"/>
      <c r="AN93" s="149"/>
      <c r="AO93" s="67" t="e">
        <f>VLOOKUP(A93,'Ranking Lookup'!A:C,3,0)</f>
        <v>#N/A</v>
      </c>
      <c r="AP93" s="63" t="str">
        <f>IFERROR(VLOOKUP($A93,'Ranking Lookup'!$A:$B,2,0),"Unranked")</f>
        <v>Unranked</v>
      </c>
      <c r="AQ93" s="71" t="e">
        <f>SUM(S93:AI93,AK93)/E93</f>
        <v>#DIV/0!</v>
      </c>
      <c r="AR93" s="97" t="str">
        <f>IF(A93="","",
COUNTIF(EAD_CIs!I:I,"*"&amp;A93&amp;"*"))</f>
        <v/>
      </c>
      <c r="AS93" s="97">
        <f>AS92+T93</f>
        <v>329</v>
      </c>
      <c r="AT93" s="97">
        <f>AT92+U93</f>
        <v>182</v>
      </c>
      <c r="AU93" s="97">
        <f>AU92+V93</f>
        <v>153</v>
      </c>
      <c r="AV93" s="97">
        <f>AV92+W93</f>
        <v>396</v>
      </c>
      <c r="AW93" s="97">
        <f>AW92+X93</f>
        <v>203</v>
      </c>
      <c r="AX93" s="97">
        <f>AX92+Y93</f>
        <v>178</v>
      </c>
      <c r="AY93" s="97">
        <f>AY92+Z93</f>
        <v>382</v>
      </c>
      <c r="AZ93" s="97">
        <f>AZ92+AA93</f>
        <v>80</v>
      </c>
      <c r="BA93" s="97">
        <f>BA92+AB93</f>
        <v>236</v>
      </c>
      <c r="BB93" s="97">
        <f>BB92+AC93</f>
        <v>358</v>
      </c>
      <c r="BC93" s="97">
        <f>BC92+AD93</f>
        <v>172</v>
      </c>
      <c r="BD93" s="97">
        <f>BD92+AE93</f>
        <v>167</v>
      </c>
      <c r="BE93" s="97">
        <f>BE92+AF93</f>
        <v>1</v>
      </c>
      <c r="BF93" s="97">
        <f>BF92+AG93</f>
        <v>321</v>
      </c>
      <c r="BG93" s="97">
        <f>BG92+AH93</f>
        <v>0</v>
      </c>
      <c r="BH93" s="63">
        <f>IF(A93="",0,
COUNTIF(OrphanPWI_CI_Check!A:A,"*"&amp;A93&amp;"*"))</f>
        <v>0</v>
      </c>
      <c r="BI93" s="63">
        <f>IF(NOT(ISERROR(SEARCH("In Progress",   VLOOKUP($A93,$A:$D,MATCH("Planned For",$A$1:$D$1,0), 1)))),0.5,
 IF($F93="Enabler",0.6,
 IF($I93="EAD N/A",0.8,1))) *  ( ROUNDUP(MAX('Ranking Lookup'!B:B)/5,0) +1 - ROUNDUP(IF(NOT(ISNUMBER(VLOOKUP(A93,'Ranking Lookup'!A:B,2,0))),  MAX('Ranking Lookup'!B:B))/5,0) )</f>
        <v>1</v>
      </c>
      <c r="BK93" s="95"/>
    </row>
    <row r="94" spans="1:63" s="5" customFormat="1" ht="14.4" customHeight="1" x14ac:dyDescent="0.3">
      <c r="A94" s="203"/>
      <c r="B94" s="65"/>
      <c r="C94" s="98"/>
      <c r="D94" s="98"/>
      <c r="E94" s="65"/>
      <c r="F94" s="99"/>
      <c r="G94" s="99"/>
      <c r="H94" s="64"/>
      <c r="I94" s="64"/>
      <c r="J94" s="98"/>
      <c r="K94" s="95"/>
      <c r="L94" s="62"/>
      <c r="M94" s="67"/>
      <c r="N94" s="67"/>
      <c r="O94" s="67"/>
      <c r="P94" s="67"/>
      <c r="Q94" s="67"/>
      <c r="R94" s="66"/>
      <c r="S94" s="63"/>
      <c r="T94" s="63"/>
      <c r="U94" s="63"/>
      <c r="V94" s="63"/>
      <c r="W94" s="63"/>
      <c r="X94" s="63"/>
      <c r="Y94" s="63"/>
      <c r="Z94" s="63"/>
      <c r="AA94" s="63"/>
      <c r="AB94" s="63"/>
      <c r="AC94" s="63"/>
      <c r="AD94" s="63"/>
      <c r="AE94" s="63"/>
      <c r="AF94" s="63"/>
      <c r="AG94" s="63"/>
      <c r="AH94" s="63"/>
      <c r="AI94" s="63"/>
      <c r="AJ94" s="63"/>
      <c r="AK94" s="63"/>
      <c r="AL94" s="63"/>
      <c r="AM94" s="63"/>
      <c r="AN94" s="149"/>
      <c r="AO94" s="67" t="e">
        <f>VLOOKUP(A94,'Ranking Lookup'!A:C,3,0)</f>
        <v>#N/A</v>
      </c>
      <c r="AP94" s="63" t="str">
        <f>IFERROR(VLOOKUP($A94,'Ranking Lookup'!$A:$B,2,0),"Unranked")</f>
        <v>Unranked</v>
      </c>
      <c r="AQ94" s="71" t="e">
        <f>SUM(S94:AI94,AK94)/E94</f>
        <v>#DIV/0!</v>
      </c>
      <c r="AR94" s="97" t="str">
        <f>IF(A94="","",
COUNTIF(EAD_CIs!I:I,"*"&amp;A94&amp;"*"))</f>
        <v/>
      </c>
      <c r="AS94" s="97">
        <f>AS93+T94</f>
        <v>329</v>
      </c>
      <c r="AT94" s="97">
        <f>AT93+U94</f>
        <v>182</v>
      </c>
      <c r="AU94" s="97">
        <f>AU93+V94</f>
        <v>153</v>
      </c>
      <c r="AV94" s="97">
        <f>AV93+W94</f>
        <v>396</v>
      </c>
      <c r="AW94" s="97">
        <f>AW93+X94</f>
        <v>203</v>
      </c>
      <c r="AX94" s="97">
        <f>AX93+Y94</f>
        <v>178</v>
      </c>
      <c r="AY94" s="97">
        <f>AY93+Z94</f>
        <v>382</v>
      </c>
      <c r="AZ94" s="97">
        <f>AZ93+AA94</f>
        <v>80</v>
      </c>
      <c r="BA94" s="97">
        <f>BA93+AB94</f>
        <v>236</v>
      </c>
      <c r="BB94" s="97">
        <f>BB93+AC94</f>
        <v>358</v>
      </c>
      <c r="BC94" s="97">
        <f>BC93+AD94</f>
        <v>172</v>
      </c>
      <c r="BD94" s="97">
        <f>BD93+AE94</f>
        <v>167</v>
      </c>
      <c r="BE94" s="97">
        <f>BE93+AF94</f>
        <v>1</v>
      </c>
      <c r="BF94" s="97">
        <f>BF93+AG94</f>
        <v>321</v>
      </c>
      <c r="BG94" s="97">
        <f>BG93+AH94</f>
        <v>0</v>
      </c>
      <c r="BH94" s="63">
        <f>IF(A94="",0,
COUNTIF(OrphanPWI_CI_Check!A:A,"*"&amp;A94&amp;"*"))</f>
        <v>0</v>
      </c>
      <c r="BI94" s="63">
        <f>IF(NOT(ISERROR(SEARCH("In Progress",   VLOOKUP($A94,$A:$D,MATCH("Planned For",$A$1:$D$1,0), 1)))),0.5,
 IF($F94="Enabler",0.6,
 IF($I94="EAD N/A",0.8,1))) *  ( ROUNDUP(MAX('Ranking Lookup'!B:B)/5,0) +1 - ROUNDUP(IF(NOT(ISNUMBER(VLOOKUP(A94,'Ranking Lookup'!A:B,2,0))),  MAX('Ranking Lookup'!B:B))/5,0) )</f>
        <v>1</v>
      </c>
      <c r="BK94" s="95"/>
    </row>
    <row r="95" spans="1:63" s="5" customFormat="1" ht="14.4" customHeight="1" x14ac:dyDescent="0.3">
      <c r="A95" s="95"/>
      <c r="B95" s="65"/>
      <c r="C95" s="98"/>
      <c r="D95" s="98"/>
      <c r="E95" s="65"/>
      <c r="F95" s="99"/>
      <c r="G95" s="99"/>
      <c r="H95" s="64"/>
      <c r="I95" s="64"/>
      <c r="J95" s="98"/>
      <c r="K95" s="95"/>
      <c r="L95" s="62"/>
      <c r="M95" s="67"/>
      <c r="N95" s="67"/>
      <c r="O95" s="67"/>
      <c r="P95" s="67"/>
      <c r="Q95" s="67"/>
      <c r="R95" s="66"/>
      <c r="S95" s="63"/>
      <c r="T95" s="63"/>
      <c r="U95" s="63"/>
      <c r="V95" s="63"/>
      <c r="W95" s="63"/>
      <c r="X95" s="63"/>
      <c r="Y95" s="63"/>
      <c r="Z95" s="63"/>
      <c r="AA95" s="63"/>
      <c r="AB95" s="63"/>
      <c r="AC95" s="63"/>
      <c r="AD95" s="63"/>
      <c r="AE95" s="63"/>
      <c r="AF95" s="63"/>
      <c r="AG95" s="63"/>
      <c r="AH95" s="63"/>
      <c r="AI95" s="63"/>
      <c r="AJ95" s="63"/>
      <c r="AK95" s="63"/>
      <c r="AL95" s="63"/>
      <c r="AM95" s="63"/>
      <c r="AN95" s="149"/>
      <c r="AO95" s="67" t="e">
        <f>VLOOKUP(A95,'Ranking Lookup'!A:C,3,0)</f>
        <v>#N/A</v>
      </c>
      <c r="AP95" s="63" t="str">
        <f>IFERROR(VLOOKUP($A95,'Ranking Lookup'!$A:$B,2,0),"Unranked")</f>
        <v>Unranked</v>
      </c>
      <c r="AQ95" s="71" t="e">
        <f>SUM(S95:AI95,AK95)/E95</f>
        <v>#DIV/0!</v>
      </c>
      <c r="AR95" s="97" t="str">
        <f>IF(A95="","",
COUNTIF(EAD_CIs!I:I,"*"&amp;A95&amp;"*"))</f>
        <v/>
      </c>
      <c r="AS95" s="97">
        <f>AS94+T95</f>
        <v>329</v>
      </c>
      <c r="AT95" s="97">
        <f>AT94+U95</f>
        <v>182</v>
      </c>
      <c r="AU95" s="97">
        <f>AU94+V95</f>
        <v>153</v>
      </c>
      <c r="AV95" s="97">
        <f>AV94+W95</f>
        <v>396</v>
      </c>
      <c r="AW95" s="97">
        <f>AW94+X95</f>
        <v>203</v>
      </c>
      <c r="AX95" s="97">
        <f>AX94+Y95</f>
        <v>178</v>
      </c>
      <c r="AY95" s="97">
        <f>AY94+Z95</f>
        <v>382</v>
      </c>
      <c r="AZ95" s="97">
        <f>AZ94+AA95</f>
        <v>80</v>
      </c>
      <c r="BA95" s="97">
        <f>BA94+AB95</f>
        <v>236</v>
      </c>
      <c r="BB95" s="97">
        <f>BB94+AC95</f>
        <v>358</v>
      </c>
      <c r="BC95" s="97">
        <f>BC94+AD95</f>
        <v>172</v>
      </c>
      <c r="BD95" s="97">
        <f>BD94+AE95</f>
        <v>167</v>
      </c>
      <c r="BE95" s="97">
        <f>BE94+AF95</f>
        <v>1</v>
      </c>
      <c r="BF95" s="97">
        <f>BF94+AG95</f>
        <v>321</v>
      </c>
      <c r="BG95" s="97">
        <f>BG94+AH95</f>
        <v>0</v>
      </c>
      <c r="BH95" s="63">
        <f>IF(A95="",0,
COUNTIF(OrphanPWI_CI_Check!A:A,"*"&amp;A95&amp;"*"))</f>
        <v>0</v>
      </c>
      <c r="BI95" s="63">
        <f>IF(NOT(ISERROR(SEARCH("In Progress",   VLOOKUP($A95,$A:$D,MATCH("Planned For",$A$1:$D$1,0), 1)))),0.5,
 IF($F95="Enabler",0.6,
 IF($I95="EAD N/A",0.8,1))) *  ( ROUNDUP(MAX('Ranking Lookup'!B:B)/5,0) +1 - ROUNDUP(IF(NOT(ISNUMBER(VLOOKUP(A95,'Ranking Lookup'!A:B,2,0))),  MAX('Ranking Lookup'!B:B))/5,0) )</f>
        <v>1</v>
      </c>
      <c r="BK95" s="95"/>
    </row>
    <row r="96" spans="1:63" s="5" customFormat="1" ht="14.4" customHeight="1" x14ac:dyDescent="0.3">
      <c r="A96" s="170"/>
      <c r="B96" s="171"/>
      <c r="C96" s="181"/>
      <c r="D96" s="181"/>
      <c r="E96" s="171"/>
      <c r="F96" s="206"/>
      <c r="G96" s="206"/>
      <c r="H96" s="172"/>
      <c r="I96" s="172"/>
      <c r="J96" s="181"/>
      <c r="K96" s="172"/>
      <c r="L96" s="173"/>
      <c r="M96" s="174"/>
      <c r="N96" s="174"/>
      <c r="O96" s="174"/>
      <c r="P96" s="174"/>
      <c r="Q96" s="174"/>
      <c r="R96" s="175"/>
      <c r="S96" s="176"/>
      <c r="T96" s="176"/>
      <c r="U96" s="176"/>
      <c r="V96" s="176"/>
      <c r="W96" s="176"/>
      <c r="X96" s="176"/>
      <c r="Y96" s="176"/>
      <c r="Z96" s="176"/>
      <c r="AA96" s="176"/>
      <c r="AB96" s="176"/>
      <c r="AC96" s="176"/>
      <c r="AD96" s="176"/>
      <c r="AE96" s="176"/>
      <c r="AF96" s="176"/>
      <c r="AG96" s="176"/>
      <c r="AH96" s="176"/>
      <c r="AI96" s="176"/>
      <c r="AJ96" s="176"/>
      <c r="AK96" s="176"/>
      <c r="AL96" s="176"/>
      <c r="AM96" s="176"/>
      <c r="AN96" s="177"/>
      <c r="AO96" s="174"/>
      <c r="AP96" s="176"/>
      <c r="AQ96" s="178"/>
      <c r="AR96" s="178"/>
      <c r="AS96" s="179"/>
      <c r="AT96" s="179"/>
      <c r="AU96" s="179"/>
      <c r="AV96" s="179"/>
      <c r="AW96" s="179"/>
      <c r="AX96" s="179"/>
      <c r="AY96" s="179"/>
      <c r="AZ96" s="179"/>
      <c r="BA96" s="179"/>
      <c r="BB96" s="179"/>
      <c r="BC96" s="179"/>
      <c r="BD96" s="179"/>
      <c r="BE96" s="179"/>
      <c r="BF96" s="179"/>
      <c r="BG96" s="179"/>
      <c r="BH96" s="176"/>
      <c r="BI96" s="176"/>
    </row>
    <row r="97" spans="1:63" ht="14.4" customHeight="1" thickBot="1" x14ac:dyDescent="0.35">
      <c r="A97" s="1"/>
      <c r="B97" s="6"/>
      <c r="C97" s="182"/>
      <c r="D97" s="182"/>
      <c r="E97" s="2"/>
      <c r="F97" s="150"/>
      <c r="G97" s="150"/>
      <c r="H97" s="3"/>
      <c r="I97" s="8"/>
      <c r="J97" s="185"/>
      <c r="K97" s="162"/>
      <c r="L97" s="4"/>
      <c r="M97" s="5"/>
      <c r="N97" s="85"/>
      <c r="O97" s="85"/>
      <c r="R97" s="85"/>
      <c r="S97" s="85"/>
      <c r="T97" s="85"/>
      <c r="U97" s="85"/>
      <c r="V97" s="85"/>
      <c r="W97" s="85"/>
      <c r="X97" s="85"/>
      <c r="Y97" s="85"/>
      <c r="Z97" s="85"/>
      <c r="AA97" s="85"/>
      <c r="AC97" s="85"/>
      <c r="AD97" s="85"/>
      <c r="AE97" s="85"/>
      <c r="AF97" s="85"/>
      <c r="AG97" s="85"/>
      <c r="AH97" s="85"/>
      <c r="AI97" s="85"/>
      <c r="AJ97" s="85"/>
      <c r="AK97" s="85"/>
      <c r="AN97" s="85"/>
      <c r="AO97" s="8"/>
      <c r="AP97" s="8"/>
      <c r="AQ97" s="85"/>
      <c r="AR97" s="85"/>
      <c r="AS97" s="85"/>
      <c r="AT97" s="85"/>
      <c r="AU97" s="85"/>
      <c r="AV97" s="85"/>
      <c r="AW97" s="85"/>
      <c r="AX97" s="85"/>
      <c r="AY97" s="85"/>
      <c r="AZ97" s="85"/>
      <c r="BB97" s="85"/>
      <c r="BC97" s="85"/>
      <c r="BD97" s="85"/>
      <c r="BE97" s="85"/>
      <c r="BF97" s="85"/>
      <c r="BG97" s="85"/>
    </row>
    <row r="98" spans="1:63" ht="14.4" customHeight="1" thickBot="1" x14ac:dyDescent="0.35">
      <c r="A98" s="1"/>
      <c r="B98" s="6"/>
      <c r="C98" s="182"/>
      <c r="D98" s="182"/>
      <c r="E98" s="2"/>
      <c r="F98" s="150"/>
      <c r="G98" s="150"/>
      <c r="H98" s="3"/>
      <c r="I98" s="8"/>
      <c r="J98" s="185"/>
      <c r="K98" s="162"/>
      <c r="L98" s="4"/>
      <c r="M98" s="79"/>
      <c r="N98" s="80"/>
      <c r="O98" s="80"/>
      <c r="P98" s="80"/>
      <c r="Q98" s="251"/>
      <c r="R98" s="27"/>
      <c r="S98" s="28" t="s">
        <v>56</v>
      </c>
      <c r="T98" s="56">
        <f>SUBTOTAL(9,T2:T97)</f>
        <v>329</v>
      </c>
      <c r="U98" s="56">
        <f>SUBTOTAL(9,U2:U97)</f>
        <v>182</v>
      </c>
      <c r="V98" s="56">
        <f>SUBTOTAL(9,V2:V97)</f>
        <v>153</v>
      </c>
      <c r="W98" s="56">
        <f>SUBTOTAL(9,W2:W97)</f>
        <v>396</v>
      </c>
      <c r="X98" s="56">
        <f>SUBTOTAL(9,X2:X97)</f>
        <v>203</v>
      </c>
      <c r="Y98" s="56">
        <f>SUBTOTAL(9,Y2:Y97)</f>
        <v>178</v>
      </c>
      <c r="Z98" s="56">
        <f>SUBTOTAL(9,Z2:Z97)</f>
        <v>382</v>
      </c>
      <c r="AA98" s="56">
        <f>SUBTOTAL(9,AA2:AA97)</f>
        <v>80</v>
      </c>
      <c r="AB98" s="56">
        <f>SUBTOTAL(9,AB2:AB97)</f>
        <v>236</v>
      </c>
      <c r="AC98" s="56">
        <f>SUBTOTAL(9,AC2:AC97)</f>
        <v>358</v>
      </c>
      <c r="AD98" s="56">
        <f>SUBTOTAL(9,AD2:AD97)</f>
        <v>172</v>
      </c>
      <c r="AE98" s="56">
        <f>SUBTOTAL(9,AE2:AE97)</f>
        <v>167</v>
      </c>
      <c r="AF98" s="56">
        <f>SUBTOTAL(9,AF2:AF97)</f>
        <v>1</v>
      </c>
      <c r="AG98" s="56">
        <f>SUBTOTAL(9,AG2:AG97)</f>
        <v>321</v>
      </c>
      <c r="AH98" s="56">
        <f>SUBTOTAL(9,AH2:AH97)</f>
        <v>0</v>
      </c>
      <c r="AI98" s="56"/>
      <c r="AJ98" s="26">
        <f>SUM(AJ100:AJ104)</f>
        <v>3158</v>
      </c>
      <c r="AK98" s="85"/>
      <c r="AN98" s="85"/>
      <c r="AO98" s="8"/>
      <c r="AP98" s="7"/>
      <c r="AQ98" s="8"/>
      <c r="AR98" s="85"/>
      <c r="AS98" s="85"/>
      <c r="AT98" s="85"/>
      <c r="AU98" s="85"/>
      <c r="AV98" s="85"/>
      <c r="AW98" s="85"/>
      <c r="AX98" s="85"/>
      <c r="AY98" s="85"/>
      <c r="AZ98" s="85"/>
      <c r="BB98" s="85"/>
      <c r="BC98" s="85"/>
      <c r="BD98" s="85"/>
      <c r="BE98" s="85"/>
      <c r="BF98" s="85"/>
      <c r="BG98" s="85"/>
    </row>
    <row r="99" spans="1:63" ht="14.4" customHeight="1" x14ac:dyDescent="0.3">
      <c r="A99" s="1"/>
      <c r="B99" s="6"/>
      <c r="C99" s="182"/>
      <c r="D99" s="182"/>
      <c r="E99" s="2"/>
      <c r="F99" s="150"/>
      <c r="G99" s="150"/>
      <c r="H99" s="3"/>
      <c r="I99" s="8"/>
      <c r="J99" s="185"/>
      <c r="K99" s="162"/>
      <c r="L99" s="4"/>
      <c r="M99" s="18"/>
      <c r="N99" s="19"/>
      <c r="O99" s="19"/>
      <c r="P99" s="19"/>
      <c r="Q99" s="252"/>
      <c r="R99" s="19"/>
      <c r="S99" s="20" t="s">
        <v>57</v>
      </c>
      <c r="T99" s="58">
        <f>'Team Capacity - PI 15'!B26</f>
        <v>320</v>
      </c>
      <c r="U99" s="58">
        <f>'Team Capacity - PI 15'!C26</f>
        <v>208</v>
      </c>
      <c r="V99" s="58">
        <f>'Team Capacity - PI 15'!D26</f>
        <v>157</v>
      </c>
      <c r="W99" s="58">
        <f>'Team Capacity - PI 15'!E26</f>
        <v>397</v>
      </c>
      <c r="X99" s="58">
        <f>'Team Capacity - PI 15'!F26</f>
        <v>223</v>
      </c>
      <c r="Y99" s="58">
        <f>'Team Capacity - PI 15'!G26</f>
        <v>190</v>
      </c>
      <c r="Z99" s="58">
        <f>'Team Capacity - PI 15'!H26</f>
        <v>459</v>
      </c>
      <c r="AA99" s="58">
        <f>'Team Capacity - PI 15'!I26</f>
        <v>88</v>
      </c>
      <c r="AB99" s="58">
        <f>'Team Capacity - PI 15'!J26</f>
        <v>252</v>
      </c>
      <c r="AC99" s="58">
        <f>'Team Capacity - PI 15'!K26</f>
        <v>442</v>
      </c>
      <c r="AD99" s="58">
        <f>'Team Capacity - PI 15'!L26</f>
        <v>201</v>
      </c>
      <c r="AE99" s="58">
        <f>'Team Capacity - PI 15'!M26</f>
        <v>169</v>
      </c>
      <c r="AF99" s="58">
        <f>'Team Capacity - PI 15'!N26</f>
        <v>0</v>
      </c>
      <c r="AG99" s="58">
        <f>'Team Capacity - PI 15'!O26</f>
        <v>355</v>
      </c>
      <c r="AH99" s="58">
        <v>0</v>
      </c>
      <c r="AI99" s="58"/>
      <c r="AJ99" s="58">
        <f>SUM(T99:AG99)</f>
        <v>3461</v>
      </c>
      <c r="AK99" s="76" t="s">
        <v>58</v>
      </c>
      <c r="AL99" s="76"/>
      <c r="AM99" s="76"/>
      <c r="AN99" s="76" t="s">
        <v>59</v>
      </c>
      <c r="AO99" s="85"/>
      <c r="AP99" s="85"/>
      <c r="AQ99" s="85"/>
      <c r="AR99" s="85"/>
      <c r="AS99" s="85"/>
      <c r="AT99" s="85"/>
      <c r="AU99" s="85"/>
      <c r="AV99" s="85"/>
      <c r="AW99" s="85"/>
      <c r="AX99" s="85"/>
      <c r="AY99" s="85"/>
      <c r="AZ99" s="85"/>
      <c r="BB99" s="85"/>
      <c r="BC99" s="85"/>
      <c r="BD99" s="85"/>
      <c r="BE99" s="85"/>
      <c r="BF99" s="85"/>
      <c r="BG99" s="85"/>
      <c r="BH99" s="76"/>
      <c r="BI99" s="76"/>
    </row>
    <row r="100" spans="1:63" ht="14.4" customHeight="1" x14ac:dyDescent="0.3">
      <c r="A100" s="1"/>
      <c r="B100" s="6"/>
      <c r="C100" s="182"/>
      <c r="D100" s="182"/>
      <c r="E100" s="2"/>
      <c r="F100" s="150"/>
      <c r="G100" s="150"/>
      <c r="H100" s="3"/>
      <c r="I100" s="8"/>
      <c r="J100" s="185"/>
      <c r="K100" s="162"/>
      <c r="L100" s="4"/>
      <c r="M100" s="13"/>
      <c r="N100" s="14"/>
      <c r="O100" s="14"/>
      <c r="P100" s="151"/>
      <c r="Q100" s="253"/>
      <c r="R100" s="151"/>
      <c r="S100" s="152" t="s">
        <v>60</v>
      </c>
      <c r="T100" s="56">
        <f>SUMIF(AS2:AS95,"&lt;="&amp;T99*0.9,T2:T95)</f>
        <v>260</v>
      </c>
      <c r="U100" s="56">
        <f>SUMIF(AT2:AT95,"&lt;="&amp;U99*0.9,U2:U95)</f>
        <v>182</v>
      </c>
      <c r="V100" s="56">
        <f>SUMIF(AU2:AU95,"&lt;="&amp;V99*0.9,V2:V95)</f>
        <v>133</v>
      </c>
      <c r="W100" s="56">
        <f>SUMIF(AV2:AV95,"&lt;="&amp;W99*0.9,W2:W95)</f>
        <v>351</v>
      </c>
      <c r="X100" s="56">
        <f>SUMIF(AW2:AW95,"&lt;="&amp;X99*0.9,X2:X95)</f>
        <v>185</v>
      </c>
      <c r="Y100" s="56">
        <f>SUMIF(AX2:AX95,"&lt;="&amp;Y99*0.9,Y2:Y95)</f>
        <v>171</v>
      </c>
      <c r="Z100" s="56">
        <f>SUMIF(AY2:AY95,"&lt;="&amp;Z99*0.9,Z2:Z95)</f>
        <v>382</v>
      </c>
      <c r="AA100" s="56">
        <f>SUMIF(AZ2:AZ95,"&lt;="&amp;AA99*0.9,AA2:AA95)</f>
        <v>0</v>
      </c>
      <c r="AB100" s="56">
        <f>SUMIF(BA2:BA95,"&lt;="&amp;AB99*0.9,AB2:AB95)</f>
        <v>226</v>
      </c>
      <c r="AC100" s="56">
        <f>SUMIF(BB2:BB95,"&lt;="&amp;AC99*0.9,AC2:AC95)</f>
        <v>358</v>
      </c>
      <c r="AD100" s="56">
        <f>SUMIF(BC2:BC95,"&lt;="&amp;AD99*0.9,AD2:AD95)</f>
        <v>172</v>
      </c>
      <c r="AE100" s="56">
        <f>SUMIF(BD2:BD95,"&lt;="&amp;AE99*0.9,AE2:AE95)</f>
        <v>140</v>
      </c>
      <c r="AF100" s="56">
        <f>SUMIF(BE2:BE95,"&lt;="&amp;AF99*0.9,AF2:AF95)</f>
        <v>0</v>
      </c>
      <c r="AG100" s="56">
        <f>SUMIF(BF2:BF95,"&lt;="&amp;AG99*0.9,AG2:AG95)</f>
        <v>319</v>
      </c>
      <c r="AH100" s="56">
        <f>SUMIF(BG2:BG95,"&lt;="&amp;AH99*0.9,AH2:AH95)</f>
        <v>0</v>
      </c>
      <c r="AI100" s="56"/>
      <c r="AJ100" s="155">
        <f>SUM(T100:AG100)</f>
        <v>2879</v>
      </c>
      <c r="AK100" s="42">
        <f>AJ100</f>
        <v>2879</v>
      </c>
      <c r="AL100" s="42"/>
      <c r="AM100" s="42"/>
      <c r="AN100" s="77">
        <f>AK100/$AJ$99</f>
        <v>0.83184050852354807</v>
      </c>
      <c r="AO100" s="85"/>
      <c r="AP100" s="85"/>
      <c r="AQ100" s="85"/>
      <c r="AR100" s="85"/>
      <c r="AS100" s="85"/>
      <c r="AU100" s="85"/>
      <c r="AV100" s="85"/>
      <c r="AW100" s="85"/>
      <c r="AX100" s="85"/>
      <c r="AY100" s="85"/>
      <c r="AZ100" s="85"/>
      <c r="BB100" s="85"/>
      <c r="BC100" s="85"/>
      <c r="BD100" s="85"/>
      <c r="BE100" s="85"/>
      <c r="BF100" s="85"/>
      <c r="BG100" s="85"/>
      <c r="BH100" s="77"/>
      <c r="BI100" s="77"/>
    </row>
    <row r="101" spans="1:63" ht="14.4" customHeight="1" x14ac:dyDescent="0.3">
      <c r="A101" s="1"/>
      <c r="B101" s="6"/>
      <c r="C101" s="182"/>
      <c r="D101" s="182"/>
      <c r="E101" s="2"/>
      <c r="F101" s="150"/>
      <c r="G101" s="150"/>
      <c r="H101" s="3"/>
      <c r="I101" s="8"/>
      <c r="J101" s="185"/>
      <c r="K101" s="162"/>
      <c r="L101" s="4"/>
      <c r="M101" s="15"/>
      <c r="N101" s="16"/>
      <c r="O101" s="16"/>
      <c r="P101" s="153"/>
      <c r="Q101" s="254"/>
      <c r="R101" s="153"/>
      <c r="S101" s="154" t="s">
        <v>61</v>
      </c>
      <c r="T101" s="75">
        <f>(T99*0.9)-T100</f>
        <v>28</v>
      </c>
      <c r="U101" s="75">
        <f>(U99*0.9)-U100</f>
        <v>5.2000000000000171</v>
      </c>
      <c r="V101" s="75">
        <f>(V99*0.9)-V100</f>
        <v>8.3000000000000114</v>
      </c>
      <c r="W101" s="75">
        <f>(W99*0.9)-W100</f>
        <v>6.3000000000000114</v>
      </c>
      <c r="X101" s="75">
        <f>(X99*0.9)-X100</f>
        <v>15.700000000000017</v>
      </c>
      <c r="Y101" s="75">
        <f>(Y99*0.9)-Y100</f>
        <v>0</v>
      </c>
      <c r="Z101" s="75">
        <f>(Z99*0.9)-Z100</f>
        <v>31.100000000000023</v>
      </c>
      <c r="AA101" s="75">
        <f>(AA99*0.9)-AA100</f>
        <v>79.2</v>
      </c>
      <c r="AB101" s="75">
        <f>(AB99*0.9)-AB100</f>
        <v>0.80000000000001137</v>
      </c>
      <c r="AC101" s="75">
        <f>(AC99*0.9)-AC100</f>
        <v>39.800000000000011</v>
      </c>
      <c r="AD101" s="75">
        <f>(AD99*0.9)-AD100</f>
        <v>8.9000000000000057</v>
      </c>
      <c r="AE101" s="75">
        <f>(AE99*0.9)-AE100</f>
        <v>12.099999999999994</v>
      </c>
      <c r="AF101" s="75">
        <f>(AF99*0.9)-AF100</f>
        <v>0</v>
      </c>
      <c r="AG101" s="75">
        <f>(AG99*0.9)-AG100</f>
        <v>0.5</v>
      </c>
      <c r="AH101" s="75">
        <f>(AH99*0.9)-AH100</f>
        <v>0</v>
      </c>
      <c r="AI101" s="75"/>
      <c r="AJ101" s="56"/>
      <c r="AK101" s="42"/>
      <c r="AL101" s="42"/>
      <c r="AM101" s="42"/>
      <c r="AN101" s="76"/>
      <c r="AO101" s="85"/>
      <c r="AP101" s="85"/>
      <c r="AQ101" s="85"/>
      <c r="AR101" s="85"/>
      <c r="AS101" s="85"/>
      <c r="AU101" s="85"/>
      <c r="AV101" s="85"/>
      <c r="AW101" s="85"/>
      <c r="AX101" s="85"/>
      <c r="AY101" s="85"/>
      <c r="AZ101" s="85"/>
      <c r="BB101" s="85"/>
      <c r="BC101" s="85"/>
      <c r="BD101" s="85"/>
      <c r="BE101" s="85"/>
      <c r="BF101" s="85"/>
      <c r="BG101" s="85"/>
      <c r="BH101" s="76"/>
      <c r="BI101" s="76"/>
    </row>
    <row r="102" spans="1:63" ht="14.4" customHeight="1" x14ac:dyDescent="0.3">
      <c r="A102" s="1"/>
      <c r="B102" s="6"/>
      <c r="C102" s="182"/>
      <c r="D102" s="182"/>
      <c r="E102" s="2"/>
      <c r="F102" s="150"/>
      <c r="G102" s="150"/>
      <c r="H102" s="3"/>
      <c r="I102" s="8"/>
      <c r="J102" s="185"/>
      <c r="K102" s="162"/>
      <c r="L102" s="4"/>
      <c r="M102" s="10"/>
      <c r="N102" s="11"/>
      <c r="O102" s="11"/>
      <c r="P102" s="11"/>
      <c r="Q102" s="255"/>
      <c r="R102" s="11"/>
      <c r="S102" s="12" t="s">
        <v>62</v>
      </c>
      <c r="T102" s="75">
        <f>SUMIF(AS2:AS95,"&lt;="&amp;T99,T2:T95)-T100</f>
        <v>33</v>
      </c>
      <c r="U102" s="75">
        <f>SUMIF(AT2:AT95,"&lt;="&amp;U99,U2:U95)-U100</f>
        <v>0</v>
      </c>
      <c r="V102" s="75">
        <f>SUMIF(AU2:AU95,"&lt;="&amp;V99,V2:V95)-V100</f>
        <v>20</v>
      </c>
      <c r="W102" s="75">
        <f>SUMIF(AV2:AV95,"&lt;="&amp;W99,W2:W95)-W100</f>
        <v>45</v>
      </c>
      <c r="X102" s="75">
        <f>SUMIF(AW2:AW95,"&lt;="&amp;X99,X2:X95)-X100</f>
        <v>18</v>
      </c>
      <c r="Y102" s="75">
        <f>SUMIF(AX2:AX95,"&lt;="&amp;Y99,Y2:Y95)-Y100</f>
        <v>7</v>
      </c>
      <c r="Z102" s="75">
        <f>SUMIF(AY2:AY95,"&lt;="&amp;Z99,Z2:Z95)-Z100</f>
        <v>0</v>
      </c>
      <c r="AA102" s="75">
        <f>SUMIF(AZ2:AZ95,"&lt;="&amp;AA99,AA2:AA95)-AA100</f>
        <v>80</v>
      </c>
      <c r="AB102" s="75">
        <f>SUMIF(BA2:BA95,"&lt;="&amp;AB99,AB2:AB95)-AB100</f>
        <v>10</v>
      </c>
      <c r="AC102" s="75">
        <f>SUMIF(BB2:BB95,"&lt;="&amp;AC99,AC2:AC95)-AC100</f>
        <v>0</v>
      </c>
      <c r="AD102" s="75">
        <f>SUMIF(BC2:BC95,"&lt;="&amp;AD99,AD2:AD95)-AD100</f>
        <v>0</v>
      </c>
      <c r="AE102" s="75">
        <f>SUMIF(BD2:BD95,"&lt;="&amp;AE99,AE2:AE95)-AE100</f>
        <v>27</v>
      </c>
      <c r="AF102" s="75">
        <f>SUMIF(BE2:BE95,"&lt;="&amp;AF99,AF2:AF95)-AF100</f>
        <v>0</v>
      </c>
      <c r="AG102" s="75">
        <f>SUMIF(BF2:BF95,"&lt;="&amp;AG99,AG2:AG95)-AG100</f>
        <v>2</v>
      </c>
      <c r="AH102" s="75">
        <f>SUMIF(BG2:BG95,"&lt;="&amp;AH99,AH2:AH95)-AH100</f>
        <v>0</v>
      </c>
      <c r="AI102" s="75"/>
      <c r="AJ102" s="94">
        <f>SUM(T102:AG102)</f>
        <v>242</v>
      </c>
      <c r="AK102" s="42">
        <f>SUM($AJ100:AJ$102)</f>
        <v>3121</v>
      </c>
      <c r="AL102" s="42"/>
      <c r="AM102" s="42"/>
      <c r="AN102" s="77">
        <f>AK102/$AJ$99</f>
        <v>0.90176249638832706</v>
      </c>
      <c r="AO102" s="85"/>
      <c r="AP102" s="85"/>
      <c r="AQ102" s="85"/>
      <c r="AR102" s="85"/>
      <c r="AS102" s="85"/>
      <c r="AU102" s="85"/>
      <c r="AV102" s="85"/>
      <c r="AW102" s="85"/>
      <c r="AX102" s="85"/>
      <c r="AY102" s="85"/>
      <c r="AZ102" s="85"/>
      <c r="BB102" s="85"/>
      <c r="BC102" s="85"/>
      <c r="BD102" s="85"/>
      <c r="BE102" s="85"/>
      <c r="BF102" s="85"/>
      <c r="BG102" s="85"/>
      <c r="BH102" s="77"/>
      <c r="BI102" s="77"/>
    </row>
    <row r="103" spans="1:63" ht="14.4" customHeight="1" x14ac:dyDescent="0.3">
      <c r="A103" s="1"/>
      <c r="B103" s="6"/>
      <c r="C103" s="182"/>
      <c r="D103" s="182"/>
      <c r="E103" s="2"/>
      <c r="F103" s="150"/>
      <c r="G103" s="150"/>
      <c r="H103" s="3"/>
      <c r="I103" s="8"/>
      <c r="J103" s="185"/>
      <c r="K103" s="162"/>
      <c r="L103" s="4"/>
      <c r="M103" s="10"/>
      <c r="N103" s="11"/>
      <c r="O103" s="11"/>
      <c r="P103" s="11"/>
      <c r="Q103" s="255"/>
      <c r="R103" s="11"/>
      <c r="S103" s="12" t="s">
        <v>63</v>
      </c>
      <c r="T103" s="75">
        <f>T99-(T100+T102)</f>
        <v>27</v>
      </c>
      <c r="U103" s="75">
        <f>U99-(U100+U102)</f>
        <v>26</v>
      </c>
      <c r="V103" s="75">
        <f>V99-(V100+V102)</f>
        <v>4</v>
      </c>
      <c r="W103" s="75">
        <f>W99-(W100+W102)</f>
        <v>1</v>
      </c>
      <c r="X103" s="75">
        <f>X99-(X100+X102)</f>
        <v>20</v>
      </c>
      <c r="Y103" s="75">
        <f>Y99-(Y100+Y102)</f>
        <v>12</v>
      </c>
      <c r="Z103" s="75">
        <f>Z99-(Z100+Z102)</f>
        <v>77</v>
      </c>
      <c r="AA103" s="75">
        <f>AA99-(AA100+AA102)</f>
        <v>8</v>
      </c>
      <c r="AB103" s="75">
        <f>AB99-(AB100+AB102)</f>
        <v>16</v>
      </c>
      <c r="AC103" s="75">
        <f>AC99-(AC100+AC102)</f>
        <v>84</v>
      </c>
      <c r="AD103" s="75">
        <f>AD99-(AD100+AD102)</f>
        <v>29</v>
      </c>
      <c r="AE103" s="75">
        <f>AE99-(AE100+AE102)</f>
        <v>2</v>
      </c>
      <c r="AF103" s="75">
        <f>AF99-(AF100+AF102)</f>
        <v>0</v>
      </c>
      <c r="AG103" s="75">
        <f>AG99-(AG100+AG102)</f>
        <v>34</v>
      </c>
      <c r="AH103" s="75">
        <f>AH99-(AH100+AH102)</f>
        <v>0</v>
      </c>
      <c r="AI103" s="75"/>
      <c r="AJ103" s="56"/>
      <c r="AK103" s="42"/>
      <c r="AL103" s="42"/>
      <c r="AM103" s="42"/>
      <c r="AN103" s="78"/>
      <c r="AO103" s="85"/>
      <c r="AP103" s="95"/>
      <c r="AQ103" s="95"/>
      <c r="AR103" s="95"/>
      <c r="AS103" s="95"/>
      <c r="AT103" s="95"/>
      <c r="AU103" s="95"/>
      <c r="AV103" s="95"/>
      <c r="AW103" s="95"/>
      <c r="AX103" s="95"/>
      <c r="AY103" s="95"/>
      <c r="AZ103" s="95"/>
      <c r="BB103" s="95"/>
      <c r="BC103" s="95"/>
      <c r="BD103" s="95"/>
      <c r="BE103" s="95"/>
      <c r="BF103" s="95"/>
      <c r="BG103" s="95"/>
      <c r="BH103" s="77"/>
      <c r="BI103" s="77"/>
    </row>
    <row r="104" spans="1:63" ht="14.4" customHeight="1" x14ac:dyDescent="0.3">
      <c r="A104" s="1"/>
      <c r="B104" s="6"/>
      <c r="C104" s="182"/>
      <c r="D104" s="182"/>
      <c r="E104" s="2"/>
      <c r="F104" s="150"/>
      <c r="G104" s="150"/>
      <c r="H104" s="3"/>
      <c r="I104" s="8"/>
      <c r="J104" s="185"/>
      <c r="K104" s="162"/>
      <c r="L104" s="4"/>
      <c r="M104" s="91"/>
      <c r="N104" s="92"/>
      <c r="O104" s="92"/>
      <c r="P104" s="92"/>
      <c r="Q104" s="256"/>
      <c r="R104" s="92"/>
      <c r="S104" s="93" t="s">
        <v>64</v>
      </c>
      <c r="T104" s="56">
        <f>SUMIF(AS2:AS95,"&gt;"&amp;T99,T2:T95)</f>
        <v>36</v>
      </c>
      <c r="U104" s="56">
        <f>SUMIF(AT2:AT95,"&gt;"&amp;U99,U2:U95)</f>
        <v>0</v>
      </c>
      <c r="V104" s="56">
        <f>SUMIF(AU2:AU95,"&gt;"&amp;V99,V2:V95)</f>
        <v>0</v>
      </c>
      <c r="W104" s="56">
        <f>SUMIF(AV2:AV95,"&gt;"&amp;W99,W2:W95)</f>
        <v>0</v>
      </c>
      <c r="X104" s="56">
        <f>SUMIF(AW2:AW95,"&gt;"&amp;X99,X2:X95)</f>
        <v>0</v>
      </c>
      <c r="Y104" s="56">
        <f>SUMIF(AX2:AX95,"&gt;"&amp;Y99,Y2:Y95)</f>
        <v>0</v>
      </c>
      <c r="Z104" s="56">
        <f>SUMIF(AY2:AY95,"&gt;"&amp;Z99,Z2:Z95)</f>
        <v>0</v>
      </c>
      <c r="AA104" s="56">
        <f>SUMIF(AZ2:AZ95,"&gt;"&amp;AA99,AA2:AA95)</f>
        <v>0</v>
      </c>
      <c r="AB104" s="56">
        <f>SUMIF(BA2:BA95,"&gt;"&amp;AB99,AB2:AB95)</f>
        <v>0</v>
      </c>
      <c r="AC104" s="56">
        <f>SUMIF(BB2:BB95,"&gt;"&amp;AC99,AC2:AC95)</f>
        <v>0</v>
      </c>
      <c r="AD104" s="56">
        <f>SUMIF(BC2:BC95,"&gt;"&amp;AD99,AD2:AD95)</f>
        <v>0</v>
      </c>
      <c r="AE104" s="56">
        <f>SUMIF(BD2:BD95,"&gt;"&amp;AE99,AE2:AE95)</f>
        <v>0</v>
      </c>
      <c r="AF104" s="56">
        <f>SUMIF(BE2:BE95,"&gt;"&amp;AF99,AF2:AF95)</f>
        <v>1</v>
      </c>
      <c r="AG104" s="56">
        <f>SUMIF(BF2:BF95,"&gt;"&amp;AG99,AG2:AG95)</f>
        <v>0</v>
      </c>
      <c r="AH104" s="56">
        <f>SUMIF(BG2:BG95,"&gt;"&amp;AH99,AH2:AH95)</f>
        <v>0</v>
      </c>
      <c r="AI104" s="56"/>
      <c r="AJ104" s="29">
        <f>SUM(T104:AG104)</f>
        <v>37</v>
      </c>
      <c r="AK104" s="42">
        <f>SUM($AJ100:AJ$104)</f>
        <v>3158</v>
      </c>
      <c r="AL104" s="42"/>
      <c r="AM104" s="42"/>
      <c r="AN104" s="77">
        <f>AK104/$AJ$99</f>
        <v>0.91245304825195028</v>
      </c>
      <c r="AO104" s="85"/>
      <c r="AP104" s="95"/>
      <c r="AQ104" s="95"/>
      <c r="AR104" s="95"/>
      <c r="AS104" s="95"/>
      <c r="AT104" s="95"/>
      <c r="AU104" s="95"/>
      <c r="AV104" s="95"/>
      <c r="AW104" s="95"/>
      <c r="AX104" s="95"/>
      <c r="AY104" s="95"/>
      <c r="AZ104" s="95"/>
      <c r="BB104" s="95"/>
      <c r="BC104" s="95"/>
      <c r="BD104" s="95"/>
      <c r="BE104" s="95"/>
      <c r="BF104" s="95"/>
      <c r="BG104" s="95"/>
      <c r="BH104" s="77"/>
      <c r="BI104" s="77"/>
    </row>
    <row r="105" spans="1:63" ht="14.4" customHeight="1" x14ac:dyDescent="0.3">
      <c r="A105" s="1"/>
      <c r="B105" s="6"/>
      <c r="C105" s="182"/>
      <c r="D105" s="182"/>
      <c r="E105" s="2"/>
      <c r="F105" s="150"/>
      <c r="G105" s="150"/>
      <c r="H105" s="3"/>
      <c r="I105" s="8"/>
      <c r="J105" s="185"/>
      <c r="K105" s="162"/>
      <c r="L105" s="4"/>
      <c r="M105" s="86"/>
      <c r="N105" s="87"/>
      <c r="O105" s="87"/>
      <c r="P105" s="87"/>
      <c r="Q105" s="257"/>
      <c r="R105" s="87"/>
      <c r="S105" s="88" t="s">
        <v>65</v>
      </c>
      <c r="T105" s="90">
        <f>T98/T99</f>
        <v>1.028125</v>
      </c>
      <c r="U105" s="89">
        <f>U98/U99</f>
        <v>0.875</v>
      </c>
      <c r="V105" s="89">
        <f>V98/V99</f>
        <v>0.97452229299363058</v>
      </c>
      <c r="W105" s="89">
        <f>W98/W99</f>
        <v>0.9974811083123426</v>
      </c>
      <c r="X105" s="89">
        <f>X98/X99</f>
        <v>0.91031390134529144</v>
      </c>
      <c r="Y105" s="89">
        <f>Y98/Y99</f>
        <v>0.93684210526315792</v>
      </c>
      <c r="Z105" s="89">
        <f>Z98/Z99</f>
        <v>0.83224400871459692</v>
      </c>
      <c r="AA105" s="89">
        <f>AA98/AA99</f>
        <v>0.90909090909090906</v>
      </c>
      <c r="AB105" s="89">
        <f>AB98/AB99</f>
        <v>0.93650793650793651</v>
      </c>
      <c r="AC105" s="89">
        <f>AC98/AC99</f>
        <v>0.80995475113122173</v>
      </c>
      <c r="AD105" s="89">
        <f>AD98/AD99</f>
        <v>0.85572139303482586</v>
      </c>
      <c r="AE105" s="89">
        <f>AE98/AE99</f>
        <v>0.98816568047337283</v>
      </c>
      <c r="AF105" s="89" t="e">
        <f>AF98/AF99</f>
        <v>#DIV/0!</v>
      </c>
      <c r="AG105" s="89">
        <f>AG98/AG99</f>
        <v>0.90422535211267607</v>
      </c>
      <c r="AH105" s="89" t="s">
        <v>27</v>
      </c>
      <c r="AI105" s="34"/>
      <c r="AJ105" s="89">
        <f>AJ98/AJ99</f>
        <v>0.91245304825195028</v>
      </c>
      <c r="AK105" s="77"/>
      <c r="AL105" s="77"/>
      <c r="AM105" s="77"/>
      <c r="AN105" s="8"/>
      <c r="AO105" s="85"/>
      <c r="AP105" s="95"/>
      <c r="AQ105" s="95"/>
      <c r="AR105" s="95"/>
      <c r="AS105" s="95"/>
      <c r="AT105" s="95"/>
      <c r="AU105" s="95"/>
      <c r="AV105" s="95"/>
      <c r="AW105" s="95"/>
      <c r="AX105" s="95"/>
      <c r="AY105" s="95"/>
      <c r="AZ105" s="95"/>
      <c r="BB105" s="95"/>
      <c r="BC105" s="95"/>
      <c r="BD105" s="95"/>
      <c r="BE105" s="95"/>
      <c r="BF105" s="95"/>
      <c r="BG105" s="95"/>
      <c r="BH105" s="77"/>
      <c r="BI105" s="77"/>
    </row>
    <row r="106" spans="1:63" ht="14.4" customHeight="1" x14ac:dyDescent="0.3">
      <c r="A106" s="1"/>
      <c r="B106" s="6"/>
      <c r="C106" s="182"/>
      <c r="D106" s="182"/>
      <c r="E106" s="2"/>
      <c r="F106" s="150"/>
      <c r="G106" s="150"/>
      <c r="H106" s="3"/>
      <c r="I106" s="8"/>
      <c r="J106" s="185"/>
      <c r="K106" s="162"/>
      <c r="L106" s="4"/>
      <c r="M106" s="85"/>
      <c r="N106" s="85"/>
      <c r="O106" s="85"/>
      <c r="R106" s="85"/>
      <c r="S106" s="85"/>
      <c r="T106" s="85"/>
      <c r="U106" s="85"/>
      <c r="V106" s="85"/>
      <c r="W106" s="85"/>
      <c r="X106" s="85"/>
      <c r="Y106" s="85"/>
      <c r="Z106" s="85"/>
      <c r="AA106" s="85"/>
      <c r="AC106" s="85"/>
      <c r="AD106" s="85"/>
      <c r="AE106" s="85"/>
      <c r="AF106" s="85"/>
      <c r="AG106" s="85"/>
      <c r="AH106" s="85"/>
      <c r="AI106" s="85"/>
      <c r="AJ106" s="8"/>
      <c r="AK106" s="8"/>
      <c r="AL106" s="8"/>
      <c r="AM106" s="8"/>
      <c r="AN106" s="85"/>
      <c r="AO106" s="85"/>
      <c r="AP106" s="95"/>
      <c r="AQ106" s="95"/>
      <c r="AR106" s="95"/>
      <c r="AS106" s="95"/>
      <c r="AT106" s="95"/>
      <c r="AU106" s="95"/>
      <c r="AV106" s="95"/>
      <c r="AW106" s="95"/>
      <c r="AX106" s="95"/>
      <c r="AY106" s="95"/>
      <c r="AZ106" s="95"/>
      <c r="BB106" s="95"/>
      <c r="BC106" s="95"/>
      <c r="BD106" s="95"/>
      <c r="BE106" s="95"/>
      <c r="BF106" s="95"/>
      <c r="BG106" s="95"/>
      <c r="BH106" s="77"/>
      <c r="BI106" s="77"/>
      <c r="BK106" s="95"/>
    </row>
    <row r="107" spans="1:63" s="95" customFormat="1" ht="14.4" customHeight="1" x14ac:dyDescent="0.3">
      <c r="A107" s="1"/>
      <c r="B107" s="6"/>
      <c r="C107" s="225"/>
      <c r="D107" s="6"/>
      <c r="E107" s="6"/>
      <c r="F107" s="6"/>
      <c r="G107" s="6"/>
      <c r="H107" s="6"/>
      <c r="I107" s="250"/>
      <c r="J107" s="6"/>
      <c r="K107" s="6"/>
      <c r="L107" s="6"/>
      <c r="M107" s="6"/>
      <c r="N107" s="6"/>
      <c r="O107" s="6"/>
      <c r="P107" s="6"/>
      <c r="Q107" s="250"/>
      <c r="R107" s="6"/>
      <c r="S107" s="6"/>
      <c r="T107" s="6"/>
      <c r="U107" s="6"/>
      <c r="V107" s="6"/>
      <c r="W107" s="6"/>
      <c r="X107" s="6"/>
      <c r="Y107" s="6"/>
      <c r="Z107" s="6"/>
      <c r="AA107" s="6"/>
      <c r="AB107" s="6"/>
      <c r="AC107" s="6"/>
      <c r="AD107" s="6"/>
      <c r="AE107" s="6"/>
      <c r="AF107" s="6"/>
      <c r="AG107" s="6"/>
      <c r="AH107" s="6"/>
      <c r="AI107" s="6"/>
      <c r="AJ107" s="6"/>
      <c r="AK107" s="6"/>
      <c r="AL107" s="8"/>
      <c r="AM107" s="8"/>
      <c r="BH107" s="77"/>
      <c r="BI107" s="77"/>
    </row>
    <row r="108" spans="1:63" s="95" customFormat="1" ht="14.4" customHeight="1" x14ac:dyDescent="0.3">
      <c r="A108" s="1"/>
      <c r="B108" s="6"/>
      <c r="C108" s="225"/>
      <c r="D108" s="6"/>
      <c r="E108" s="6"/>
      <c r="F108" s="6"/>
      <c r="G108" s="6"/>
      <c r="H108" s="6"/>
      <c r="I108" s="250"/>
      <c r="J108" s="6"/>
      <c r="K108" s="6"/>
      <c r="L108" s="6"/>
      <c r="M108" s="6"/>
      <c r="N108" s="6"/>
      <c r="O108" s="6"/>
      <c r="P108" s="6"/>
      <c r="Q108" s="250"/>
      <c r="R108" s="6"/>
      <c r="S108" s="6"/>
      <c r="T108" s="6"/>
      <c r="U108" s="6"/>
      <c r="V108" s="6"/>
      <c r="W108" s="6"/>
      <c r="X108" s="6"/>
      <c r="Y108" s="6"/>
      <c r="Z108" s="6"/>
      <c r="AA108" s="6"/>
      <c r="AB108" s="6"/>
      <c r="AC108" s="6"/>
      <c r="AD108" s="6"/>
      <c r="AE108" s="6"/>
      <c r="AF108" s="6"/>
      <c r="AG108" s="6"/>
      <c r="AH108" s="6"/>
      <c r="AI108" s="6"/>
      <c r="AJ108" s="6"/>
      <c r="AK108" s="6"/>
      <c r="AL108" s="8"/>
      <c r="AM108" s="8"/>
      <c r="BH108" s="77"/>
      <c r="BI108" s="77"/>
    </row>
    <row r="109" spans="1:63" s="95" customFormat="1" ht="14.4" customHeight="1" x14ac:dyDescent="0.3">
      <c r="A109" s="1"/>
      <c r="B109" s="6"/>
      <c r="C109" s="225"/>
      <c r="D109" s="6"/>
      <c r="E109" s="6"/>
      <c r="F109" s="6"/>
      <c r="G109" s="6"/>
      <c r="H109" s="6"/>
      <c r="I109" s="250"/>
      <c r="J109" s="6"/>
      <c r="K109" s="6"/>
      <c r="L109" s="6"/>
      <c r="M109" s="6"/>
      <c r="N109" s="6"/>
      <c r="O109" s="6"/>
      <c r="P109" s="6"/>
      <c r="Q109" s="250"/>
      <c r="R109" s="6"/>
      <c r="S109" s="6"/>
      <c r="T109" s="6"/>
      <c r="U109" s="6"/>
      <c r="V109" s="6"/>
      <c r="W109" s="6"/>
      <c r="X109" s="6"/>
      <c r="Y109" s="6"/>
      <c r="Z109" s="6"/>
      <c r="AA109" s="6"/>
      <c r="AB109" s="6"/>
      <c r="AC109" s="6"/>
      <c r="AD109" s="6"/>
      <c r="AE109" s="6"/>
      <c r="AF109" s="6"/>
      <c r="AG109" s="6"/>
      <c r="AH109" s="6"/>
      <c r="AI109" s="6"/>
      <c r="AJ109" s="6"/>
      <c r="AK109" s="6"/>
      <c r="AL109" s="8"/>
      <c r="AM109" s="8"/>
      <c r="BH109" s="77"/>
      <c r="BI109" s="77"/>
    </row>
    <row r="110" spans="1:63" s="95" customFormat="1" ht="14.4" customHeight="1" x14ac:dyDescent="0.3">
      <c r="A110" s="1"/>
      <c r="B110" s="6"/>
      <c r="C110" s="225"/>
      <c r="D110" s="6"/>
      <c r="E110" s="6"/>
      <c r="F110" s="6"/>
      <c r="G110" s="6"/>
      <c r="H110" s="6"/>
      <c r="I110" s="250"/>
      <c r="J110" s="6"/>
      <c r="K110" s="6"/>
      <c r="L110" s="6"/>
      <c r="M110" s="6"/>
      <c r="N110" s="6"/>
      <c r="O110" s="6"/>
      <c r="P110" s="6"/>
      <c r="Q110" s="250"/>
      <c r="R110" s="6"/>
      <c r="S110" s="6"/>
      <c r="T110" s="6"/>
      <c r="U110" s="6"/>
      <c r="V110" s="6"/>
      <c r="W110" s="6"/>
      <c r="X110" s="6"/>
      <c r="Y110" s="6"/>
      <c r="Z110" s="6"/>
      <c r="AA110" s="6"/>
      <c r="AB110" s="6"/>
      <c r="AC110" s="6"/>
      <c r="AD110" s="6"/>
      <c r="AE110" s="6"/>
      <c r="AF110" s="6"/>
      <c r="AG110" s="6"/>
      <c r="AH110" s="6"/>
      <c r="AI110" s="6"/>
      <c r="AJ110" s="6"/>
      <c r="AK110" s="6"/>
      <c r="AL110" s="8"/>
      <c r="AM110" s="8"/>
      <c r="BH110" s="77"/>
      <c r="BI110" s="77"/>
    </row>
    <row r="111" spans="1:63" s="95" customFormat="1" ht="14.4" customHeight="1" x14ac:dyDescent="0.3">
      <c r="A111" s="1"/>
      <c r="B111" s="6"/>
      <c r="C111" s="225"/>
      <c r="D111" s="6"/>
      <c r="E111" s="6"/>
      <c r="F111" s="6"/>
      <c r="G111" s="6"/>
      <c r="H111" s="6"/>
      <c r="I111" s="250"/>
      <c r="J111" s="6"/>
      <c r="K111" s="6"/>
      <c r="L111" s="6"/>
      <c r="M111" s="6"/>
      <c r="N111" s="6"/>
      <c r="O111" s="6"/>
      <c r="P111" s="6"/>
      <c r="Q111" s="250"/>
      <c r="R111" s="6"/>
      <c r="S111" s="6"/>
      <c r="T111" s="6"/>
      <c r="U111" s="6"/>
      <c r="V111" s="6"/>
      <c r="W111" s="6"/>
      <c r="X111" s="6"/>
      <c r="Y111" s="6"/>
      <c r="Z111" s="6"/>
      <c r="AA111" s="6"/>
      <c r="AB111" s="6"/>
      <c r="AC111" s="6"/>
      <c r="AD111" s="6"/>
      <c r="AE111" s="6"/>
      <c r="AF111" s="6"/>
      <c r="AG111" s="6"/>
      <c r="AH111" s="6"/>
      <c r="AI111" s="6"/>
      <c r="AJ111" s="6"/>
      <c r="AK111" s="6"/>
      <c r="AL111" s="8"/>
      <c r="AM111" s="8"/>
      <c r="BH111" s="77"/>
      <c r="BI111" s="77"/>
    </row>
    <row r="112" spans="1:63" s="95" customFormat="1" ht="14.4" customHeight="1" x14ac:dyDescent="0.3">
      <c r="A112" s="1"/>
      <c r="B112" s="6"/>
      <c r="C112" s="225"/>
      <c r="D112" s="6"/>
      <c r="E112" s="6"/>
      <c r="F112" s="6"/>
      <c r="G112" s="6"/>
      <c r="H112" s="6"/>
      <c r="I112" s="250"/>
      <c r="J112" s="6"/>
      <c r="K112" s="6"/>
      <c r="L112" s="6"/>
      <c r="M112" s="6"/>
      <c r="N112" s="6"/>
      <c r="O112" s="6"/>
      <c r="P112" s="6"/>
      <c r="Q112" s="250"/>
      <c r="R112" s="6"/>
      <c r="S112" s="6"/>
      <c r="T112" s="6"/>
      <c r="U112" s="6"/>
      <c r="V112" s="6"/>
      <c r="W112" s="6"/>
      <c r="X112" s="6"/>
      <c r="Y112" s="6"/>
      <c r="Z112" s="6"/>
      <c r="AA112" s="6"/>
      <c r="AB112" s="6"/>
      <c r="AC112" s="6"/>
      <c r="AD112" s="6"/>
      <c r="AE112" s="6"/>
      <c r="AF112" s="6"/>
      <c r="AG112" s="6"/>
      <c r="AH112" s="6"/>
      <c r="AI112" s="6"/>
      <c r="AJ112" s="6"/>
      <c r="AK112" s="6"/>
      <c r="AL112" s="8"/>
      <c r="AM112" s="8"/>
      <c r="BH112" s="77"/>
      <c r="BI112" s="77"/>
    </row>
    <row r="113" spans="1:63" s="95" customFormat="1" ht="14.4" customHeight="1" x14ac:dyDescent="0.3">
      <c r="A113" s="1"/>
      <c r="B113" s="6"/>
      <c r="C113" s="225"/>
      <c r="D113" s="6"/>
      <c r="E113" s="6"/>
      <c r="F113" s="6"/>
      <c r="G113" s="6"/>
      <c r="H113" s="6"/>
      <c r="I113" s="250"/>
      <c r="J113" s="6"/>
      <c r="K113" s="6"/>
      <c r="L113" s="6"/>
      <c r="M113" s="6"/>
      <c r="N113" s="6"/>
      <c r="O113" s="6"/>
      <c r="P113" s="6"/>
      <c r="Q113" s="250"/>
      <c r="R113" s="6"/>
      <c r="S113" s="6"/>
      <c r="T113" s="6"/>
      <c r="U113" s="6"/>
      <c r="V113" s="6"/>
      <c r="W113" s="6"/>
      <c r="X113" s="6"/>
      <c r="Y113" s="6"/>
      <c r="Z113" s="6"/>
      <c r="AA113" s="6"/>
      <c r="AB113" s="6"/>
      <c r="AC113" s="6"/>
      <c r="AD113" s="6"/>
      <c r="AE113" s="6"/>
      <c r="AF113" s="6"/>
      <c r="AG113" s="6"/>
      <c r="AH113" s="6"/>
      <c r="AI113" s="6"/>
      <c r="AJ113" s="6"/>
      <c r="AK113" s="6"/>
      <c r="AL113" s="8"/>
      <c r="AM113" s="8"/>
      <c r="BH113" s="77"/>
      <c r="BI113" s="77"/>
    </row>
    <row r="114" spans="1:63" s="95" customFormat="1" ht="14.4" customHeight="1" x14ac:dyDescent="0.3">
      <c r="A114" s="1"/>
      <c r="B114" s="6"/>
      <c r="C114" s="225"/>
      <c r="D114" s="6"/>
      <c r="E114" s="6"/>
      <c r="F114" s="6"/>
      <c r="G114" s="6"/>
      <c r="H114" s="6"/>
      <c r="I114" s="250"/>
      <c r="J114" s="6"/>
      <c r="K114" s="6"/>
      <c r="L114" s="6"/>
      <c r="M114" s="6"/>
      <c r="N114" s="6"/>
      <c r="O114" s="6"/>
      <c r="P114" s="6"/>
      <c r="Q114" s="250"/>
      <c r="R114" s="6"/>
      <c r="S114" s="6"/>
      <c r="T114" s="6"/>
      <c r="U114" s="6"/>
      <c r="V114" s="6"/>
      <c r="W114" s="6"/>
      <c r="X114" s="6"/>
      <c r="Y114" s="6"/>
      <c r="Z114" s="6"/>
      <c r="AA114" s="6"/>
      <c r="AB114" s="6"/>
      <c r="AC114" s="6"/>
      <c r="AD114" s="6"/>
      <c r="AE114" s="6"/>
      <c r="AF114" s="6"/>
      <c r="AG114" s="6"/>
      <c r="AH114" s="6"/>
      <c r="AI114" s="6"/>
      <c r="AJ114" s="6"/>
      <c r="AK114" s="6"/>
      <c r="AL114" s="8"/>
      <c r="AM114" s="8"/>
      <c r="BH114" s="42"/>
      <c r="BI114" s="42"/>
    </row>
    <row r="115" spans="1:63" s="95" customFormat="1" ht="14.4" customHeight="1" thickBot="1" x14ac:dyDescent="0.35">
      <c r="A115" s="1"/>
      <c r="B115" s="6"/>
      <c r="C115" s="182"/>
      <c r="D115" s="182"/>
      <c r="E115" s="2"/>
      <c r="F115" s="150"/>
      <c r="G115" s="150"/>
      <c r="H115" s="3"/>
      <c r="I115" s="8"/>
      <c r="J115" s="185"/>
      <c r="K115" s="162"/>
      <c r="L115" s="4"/>
      <c r="Q115" s="103"/>
      <c r="BH115" s="42"/>
      <c r="BI115" s="42"/>
    </row>
    <row r="116" spans="1:63" s="95" customFormat="1" ht="14.4" customHeight="1" x14ac:dyDescent="0.3">
      <c r="A116" s="1"/>
      <c r="B116" s="6"/>
      <c r="C116" s="182"/>
      <c r="D116" s="182"/>
      <c r="E116" s="2"/>
      <c r="F116" s="150"/>
      <c r="G116" s="150"/>
      <c r="H116" s="3"/>
      <c r="I116" s="8"/>
      <c r="J116" s="185"/>
      <c r="K116" s="162"/>
      <c r="L116" s="4"/>
      <c r="P116" s="150"/>
      <c r="Q116" s="258"/>
      <c r="S116" s="156" t="s">
        <v>131</v>
      </c>
      <c r="T116" s="157">
        <v>9</v>
      </c>
      <c r="U116" s="157">
        <v>57</v>
      </c>
      <c r="V116" s="157">
        <v>34</v>
      </c>
      <c r="W116" s="157">
        <v>211</v>
      </c>
      <c r="X116" s="157">
        <v>74</v>
      </c>
      <c r="Y116" s="157">
        <v>38</v>
      </c>
      <c r="Z116" s="157">
        <v>357</v>
      </c>
      <c r="AA116" s="157">
        <v>85</v>
      </c>
      <c r="AB116" s="157">
        <v>104</v>
      </c>
      <c r="AC116" s="157">
        <v>215</v>
      </c>
      <c r="AD116" s="157">
        <v>171</v>
      </c>
      <c r="AE116" s="157">
        <v>187</v>
      </c>
      <c r="AF116" s="157">
        <v>0</v>
      </c>
      <c r="AG116" s="157">
        <v>238</v>
      </c>
      <c r="AH116" s="157"/>
      <c r="AI116" s="157"/>
      <c r="AJ116" s="156">
        <f>SUM(T116:AI116)</f>
        <v>1780</v>
      </c>
      <c r="AK116" s="8"/>
      <c r="AL116" s="8"/>
      <c r="AM116" s="8"/>
      <c r="BH116" s="42"/>
      <c r="BI116" s="42"/>
    </row>
    <row r="117" spans="1:63" s="95" customFormat="1" ht="14.4" customHeight="1" x14ac:dyDescent="0.3">
      <c r="A117" s="1"/>
      <c r="B117" s="213" t="s">
        <v>934</v>
      </c>
      <c r="C117" s="227"/>
      <c r="D117" s="214"/>
      <c r="E117" s="2"/>
      <c r="F117" s="150"/>
      <c r="G117" s="150"/>
      <c r="H117" s="3"/>
      <c r="I117" s="8"/>
      <c r="J117" s="185"/>
      <c r="K117" s="162"/>
      <c r="L117" s="4"/>
      <c r="Q117" s="103"/>
      <c r="S117" s="158" t="s">
        <v>131</v>
      </c>
      <c r="T117" s="34">
        <v>0</v>
      </c>
      <c r="U117" s="34">
        <v>2</v>
      </c>
      <c r="V117" s="34">
        <v>0</v>
      </c>
      <c r="W117" s="34">
        <v>2</v>
      </c>
      <c r="X117" s="34">
        <v>17</v>
      </c>
      <c r="Y117" s="34">
        <v>6</v>
      </c>
      <c r="Z117" s="34">
        <v>0</v>
      </c>
      <c r="AA117" s="34">
        <v>0</v>
      </c>
      <c r="AB117" s="34">
        <v>0</v>
      </c>
      <c r="AC117" s="34">
        <v>0</v>
      </c>
      <c r="AD117" s="34">
        <v>2</v>
      </c>
      <c r="AE117" s="34">
        <v>10</v>
      </c>
      <c r="AF117" s="34">
        <v>0</v>
      </c>
      <c r="AG117" s="34">
        <v>0</v>
      </c>
      <c r="AH117" s="34"/>
      <c r="AI117" s="34"/>
      <c r="AJ117" s="158">
        <f>SUM(T117:AI117)</f>
        <v>39</v>
      </c>
      <c r="AK117" s="8"/>
      <c r="AL117" s="8"/>
      <c r="AM117" s="8"/>
      <c r="BH117" s="42"/>
      <c r="BI117" s="42"/>
    </row>
    <row r="118" spans="1:63" s="95" customFormat="1" ht="14.4" customHeight="1" thickBot="1" x14ac:dyDescent="0.4">
      <c r="A118" s="1"/>
      <c r="B118" s="211" t="s">
        <v>659</v>
      </c>
      <c r="C118" s="38">
        <f>COUNTIF(AO3:AO95, "Accepted")</f>
        <v>0</v>
      </c>
      <c r="D118" s="212">
        <f>COUNTIF(AO3:AO95, "Accepted")</f>
        <v>0</v>
      </c>
      <c r="E118" s="2"/>
      <c r="F118" s="150"/>
      <c r="G118" s="150"/>
      <c r="H118" s="3"/>
      <c r="I118" s="8"/>
      <c r="J118" s="185"/>
      <c r="K118" s="162"/>
      <c r="L118" s="4"/>
      <c r="Q118" s="103"/>
      <c r="S118" s="159" t="s">
        <v>131</v>
      </c>
      <c r="T118" s="160">
        <v>0</v>
      </c>
      <c r="U118" s="160">
        <v>0</v>
      </c>
      <c r="V118" s="160">
        <v>0</v>
      </c>
      <c r="W118" s="160">
        <v>0</v>
      </c>
      <c r="X118" s="160">
        <v>0</v>
      </c>
      <c r="Y118" s="160">
        <v>0</v>
      </c>
      <c r="Z118" s="160">
        <v>0</v>
      </c>
      <c r="AA118" s="160">
        <v>0</v>
      </c>
      <c r="AB118" s="160">
        <v>0</v>
      </c>
      <c r="AC118" s="160">
        <v>0</v>
      </c>
      <c r="AD118" s="160">
        <v>0</v>
      </c>
      <c r="AE118" s="160">
        <v>0</v>
      </c>
      <c r="AF118" s="160">
        <v>0</v>
      </c>
      <c r="AG118" s="160">
        <v>0</v>
      </c>
      <c r="AH118" s="160"/>
      <c r="AI118" s="160"/>
      <c r="AJ118" s="159">
        <f>SUM(T118:AI118)</f>
        <v>0</v>
      </c>
      <c r="AK118" s="8"/>
      <c r="AL118" s="8"/>
      <c r="AM118" s="8"/>
      <c r="BH118" s="42"/>
      <c r="BI118" s="42"/>
    </row>
    <row r="119" spans="1:63" s="95" customFormat="1" ht="14.4" customHeight="1" x14ac:dyDescent="0.35">
      <c r="A119" s="1"/>
      <c r="B119" s="207" t="s">
        <v>114</v>
      </c>
      <c r="C119" s="38">
        <f>C125</f>
        <v>90</v>
      </c>
      <c r="D119" s="208">
        <f>D125</f>
        <v>85</v>
      </c>
      <c r="E119" s="2"/>
      <c r="F119" s="150"/>
      <c r="G119" s="150"/>
      <c r="H119" s="3"/>
      <c r="I119" s="8"/>
      <c r="J119" s="185"/>
      <c r="K119" s="162"/>
      <c r="L119" s="4"/>
      <c r="Q119" s="103"/>
      <c r="S119" s="156" t="s">
        <v>174</v>
      </c>
      <c r="T119" s="157">
        <v>0</v>
      </c>
      <c r="U119" s="157">
        <v>0</v>
      </c>
      <c r="V119" s="157">
        <v>0</v>
      </c>
      <c r="W119" s="157">
        <v>55</v>
      </c>
      <c r="X119" s="157">
        <v>0</v>
      </c>
      <c r="Y119" s="157">
        <v>0</v>
      </c>
      <c r="Z119" s="157">
        <v>0</v>
      </c>
      <c r="AA119" s="157">
        <v>0</v>
      </c>
      <c r="AB119" s="157">
        <v>0</v>
      </c>
      <c r="AC119" s="157">
        <v>0</v>
      </c>
      <c r="AD119" s="157">
        <v>0</v>
      </c>
      <c r="AE119" s="157">
        <v>0</v>
      </c>
      <c r="AF119" s="157">
        <v>0</v>
      </c>
      <c r="AG119" s="157">
        <v>0</v>
      </c>
      <c r="AH119" s="157"/>
      <c r="AI119" s="157"/>
      <c r="AJ119" s="156">
        <f>SUM(T119:AI119)</f>
        <v>55</v>
      </c>
      <c r="AK119" s="8"/>
      <c r="AL119" s="8"/>
      <c r="AM119" s="8"/>
      <c r="BH119" s="42"/>
      <c r="BI119" s="42"/>
      <c r="BK119"/>
    </row>
    <row r="120" spans="1:63" s="95" customFormat="1" ht="14.4" customHeight="1" x14ac:dyDescent="0.35">
      <c r="A120" s="1"/>
      <c r="B120" s="207" t="s">
        <v>115</v>
      </c>
      <c r="C120" s="228">
        <f>C118/C119</f>
        <v>0</v>
      </c>
      <c r="D120" s="209">
        <f>D118/D119</f>
        <v>0</v>
      </c>
      <c r="E120" s="2"/>
      <c r="F120" s="150"/>
      <c r="G120" s="150"/>
      <c r="H120" s="3"/>
      <c r="I120" s="8"/>
      <c r="J120" s="185"/>
      <c r="K120" s="162"/>
      <c r="L120" s="4"/>
      <c r="Q120" s="103"/>
      <c r="S120" s="158" t="s">
        <v>174</v>
      </c>
      <c r="T120" s="34">
        <v>0</v>
      </c>
      <c r="U120" s="34">
        <v>0</v>
      </c>
      <c r="V120" s="34">
        <v>0</v>
      </c>
      <c r="W120" s="34">
        <v>31</v>
      </c>
      <c r="X120" s="34">
        <v>0</v>
      </c>
      <c r="Y120" s="34">
        <v>0</v>
      </c>
      <c r="Z120" s="34">
        <v>0</v>
      </c>
      <c r="AA120" s="34">
        <v>0</v>
      </c>
      <c r="AB120" s="34">
        <v>0</v>
      </c>
      <c r="AC120" s="34">
        <v>0</v>
      </c>
      <c r="AD120" s="34">
        <v>0</v>
      </c>
      <c r="AE120" s="34">
        <v>0</v>
      </c>
      <c r="AF120" s="34">
        <v>0</v>
      </c>
      <c r="AG120" s="34">
        <v>0</v>
      </c>
      <c r="AH120" s="34"/>
      <c r="AI120" s="34"/>
      <c r="AJ120" s="158">
        <f>SUM(T120:AI120)</f>
        <v>31</v>
      </c>
      <c r="AK120" s="8"/>
      <c r="AL120" s="8"/>
      <c r="AM120" s="8"/>
      <c r="BH120" s="42"/>
      <c r="BI120" s="42"/>
      <c r="BK120"/>
    </row>
    <row r="121" spans="1:63" s="95" customFormat="1" ht="14.4" customHeight="1" thickBot="1" x14ac:dyDescent="0.4">
      <c r="A121" s="1"/>
      <c r="B121" s="207"/>
      <c r="C121" s="38"/>
      <c r="D121" s="208"/>
      <c r="E121" s="2"/>
      <c r="F121" s="150"/>
      <c r="G121" s="150"/>
      <c r="H121" s="3"/>
      <c r="I121" s="8"/>
      <c r="J121" s="185"/>
      <c r="K121" s="162"/>
      <c r="L121" s="4"/>
      <c r="Q121" s="103"/>
      <c r="S121" s="159" t="s">
        <v>174</v>
      </c>
      <c r="T121" s="160">
        <v>0</v>
      </c>
      <c r="U121" s="160">
        <v>0</v>
      </c>
      <c r="V121" s="160">
        <v>0</v>
      </c>
      <c r="W121" s="160">
        <v>0</v>
      </c>
      <c r="X121" s="160">
        <v>0</v>
      </c>
      <c r="Y121" s="160">
        <v>0</v>
      </c>
      <c r="Z121" s="160">
        <v>0</v>
      </c>
      <c r="AA121" s="160">
        <v>0</v>
      </c>
      <c r="AB121" s="160">
        <v>0</v>
      </c>
      <c r="AC121" s="160">
        <v>0</v>
      </c>
      <c r="AD121" s="160">
        <v>0</v>
      </c>
      <c r="AE121" s="160">
        <v>0</v>
      </c>
      <c r="AF121" s="160">
        <v>0</v>
      </c>
      <c r="AG121" s="160">
        <v>0</v>
      </c>
      <c r="AH121" s="160"/>
      <c r="AI121" s="160"/>
      <c r="AJ121" s="159">
        <f>SUM(T121:AI121)</f>
        <v>0</v>
      </c>
      <c r="AK121" s="8"/>
      <c r="AL121" s="8"/>
      <c r="AM121" s="8"/>
      <c r="BH121" s="42"/>
      <c r="BI121" s="42"/>
      <c r="BK121"/>
    </row>
    <row r="122" spans="1:63" s="95" customFormat="1" ht="14.4" customHeight="1" x14ac:dyDescent="0.35">
      <c r="A122" s="1"/>
      <c r="B122" s="207" t="s">
        <v>653</v>
      </c>
      <c r="C122" s="38">
        <v>90</v>
      </c>
      <c r="D122" s="208">
        <f>COUNT(A2:A95)</f>
        <v>85</v>
      </c>
      <c r="E122" s="2"/>
      <c r="F122" s="150"/>
      <c r="G122" s="150"/>
      <c r="H122" s="3"/>
      <c r="I122" s="8"/>
      <c r="J122" s="185"/>
      <c r="K122" s="162"/>
      <c r="L122" s="4"/>
      <c r="Q122" s="103"/>
      <c r="S122" s="156" t="s">
        <v>137</v>
      </c>
      <c r="T122" s="157">
        <v>34</v>
      </c>
      <c r="U122" s="157">
        <v>0</v>
      </c>
      <c r="V122" s="157">
        <v>0</v>
      </c>
      <c r="W122" s="157">
        <v>19</v>
      </c>
      <c r="X122" s="157">
        <v>0</v>
      </c>
      <c r="Y122" s="157">
        <v>0</v>
      </c>
      <c r="Z122" s="157">
        <v>0</v>
      </c>
      <c r="AA122" s="157">
        <v>0</v>
      </c>
      <c r="AB122" s="157">
        <v>0</v>
      </c>
      <c r="AC122" s="157">
        <v>0</v>
      </c>
      <c r="AD122" s="157">
        <v>0</v>
      </c>
      <c r="AE122" s="157">
        <v>0</v>
      </c>
      <c r="AF122" s="157">
        <v>0</v>
      </c>
      <c r="AG122" s="157">
        <v>0</v>
      </c>
      <c r="AH122" s="157"/>
      <c r="AI122" s="157"/>
      <c r="AJ122" s="156">
        <f>SUM(T122:AI122)</f>
        <v>53</v>
      </c>
      <c r="AK122" s="8"/>
      <c r="AL122" s="8"/>
      <c r="AM122" s="8"/>
      <c r="BH122" s="42"/>
      <c r="BI122" s="42"/>
      <c r="BK122"/>
    </row>
    <row r="123" spans="1:63" s="95" customFormat="1" ht="14.4" customHeight="1" x14ac:dyDescent="0.35">
      <c r="A123" s="1"/>
      <c r="B123" s="207" t="s">
        <v>654</v>
      </c>
      <c r="C123" s="38">
        <v>0</v>
      </c>
      <c r="D123" s="208">
        <v>0</v>
      </c>
      <c r="E123" s="2"/>
      <c r="F123" s="150"/>
      <c r="G123" s="150"/>
      <c r="H123" s="3"/>
      <c r="I123" s="8"/>
      <c r="J123" s="185"/>
      <c r="K123" s="162"/>
      <c r="L123" s="4"/>
      <c r="Q123" s="103"/>
      <c r="S123" s="158" t="s">
        <v>137</v>
      </c>
      <c r="T123" s="34">
        <v>0</v>
      </c>
      <c r="U123" s="34">
        <v>0</v>
      </c>
      <c r="V123" s="34">
        <v>0</v>
      </c>
      <c r="W123" s="34">
        <v>0</v>
      </c>
      <c r="X123" s="34">
        <v>0</v>
      </c>
      <c r="Y123" s="34">
        <v>0</v>
      </c>
      <c r="Z123" s="34">
        <v>0</v>
      </c>
      <c r="AA123" s="34">
        <v>0</v>
      </c>
      <c r="AB123" s="34">
        <v>0</v>
      </c>
      <c r="AC123" s="34">
        <v>0</v>
      </c>
      <c r="AD123" s="34">
        <v>0</v>
      </c>
      <c r="AE123" s="34">
        <v>0</v>
      </c>
      <c r="AF123" s="34">
        <v>0</v>
      </c>
      <c r="AG123" s="34">
        <v>0</v>
      </c>
      <c r="AH123" s="34"/>
      <c r="AI123" s="34"/>
      <c r="AJ123" s="158">
        <f>SUM(T123:AI123)</f>
        <v>0</v>
      </c>
      <c r="AK123" s="8"/>
      <c r="AL123" s="8"/>
      <c r="AM123" s="8"/>
      <c r="BH123" s="42"/>
      <c r="BI123" s="42"/>
      <c r="BK123"/>
    </row>
    <row r="124" spans="1:63" s="95" customFormat="1" ht="14.4" customHeight="1" thickBot="1" x14ac:dyDescent="0.4">
      <c r="A124" s="1"/>
      <c r="B124" s="207" t="s">
        <v>658</v>
      </c>
      <c r="C124" s="38">
        <f>COUNTIF(AO3:AO95, "Unassigned")</f>
        <v>0</v>
      </c>
      <c r="D124" s="208">
        <f>COUNTIF(AO3:AO95, "Unassigned")</f>
        <v>0</v>
      </c>
      <c r="E124" s="2"/>
      <c r="F124" s="150"/>
      <c r="G124" s="150"/>
      <c r="H124" s="3"/>
      <c r="I124" s="8"/>
      <c r="J124" s="185"/>
      <c r="K124" s="162"/>
      <c r="L124" s="4"/>
      <c r="Q124" s="103"/>
      <c r="S124" s="159" t="s">
        <v>137</v>
      </c>
      <c r="T124" s="160">
        <v>0</v>
      </c>
      <c r="U124" s="160">
        <v>0</v>
      </c>
      <c r="V124" s="160">
        <v>0</v>
      </c>
      <c r="W124" s="160">
        <v>0</v>
      </c>
      <c r="X124" s="160">
        <v>0</v>
      </c>
      <c r="Y124" s="160">
        <v>0</v>
      </c>
      <c r="Z124" s="160">
        <v>0</v>
      </c>
      <c r="AA124" s="160">
        <v>0</v>
      </c>
      <c r="AB124" s="160">
        <v>0</v>
      </c>
      <c r="AC124" s="160">
        <v>0</v>
      </c>
      <c r="AD124" s="160">
        <v>0</v>
      </c>
      <c r="AE124" s="160">
        <v>0</v>
      </c>
      <c r="AF124" s="160">
        <v>0</v>
      </c>
      <c r="AG124" s="160">
        <v>0</v>
      </c>
      <c r="AH124" s="160"/>
      <c r="AI124" s="160"/>
      <c r="AJ124" s="159">
        <f>SUM(T124:AI124)</f>
        <v>0</v>
      </c>
      <c r="AK124" s="8"/>
      <c r="AL124" s="8"/>
      <c r="AM124" s="8"/>
      <c r="BH124" s="42"/>
      <c r="BI124" s="42"/>
      <c r="BK124"/>
    </row>
    <row r="125" spans="1:63" s="95" customFormat="1" ht="14.4" customHeight="1" x14ac:dyDescent="0.35">
      <c r="A125" s="1"/>
      <c r="B125" s="207" t="s">
        <v>660</v>
      </c>
      <c r="C125" s="38">
        <f>C122+C123-C124</f>
        <v>90</v>
      </c>
      <c r="D125" s="208">
        <f>D122+D123-D124</f>
        <v>85</v>
      </c>
      <c r="E125" s="2"/>
      <c r="F125" s="150"/>
      <c r="G125" s="150"/>
      <c r="H125" s="3"/>
      <c r="I125" s="8"/>
      <c r="J125" s="185"/>
      <c r="K125" s="162"/>
      <c r="L125" s="4"/>
      <c r="Q125" s="103"/>
      <c r="S125" s="156" t="s">
        <v>133</v>
      </c>
      <c r="T125" s="157">
        <v>0</v>
      </c>
      <c r="U125" s="157">
        <v>0</v>
      </c>
      <c r="V125" s="157">
        <v>25</v>
      </c>
      <c r="W125" s="157">
        <v>47</v>
      </c>
      <c r="X125" s="157">
        <v>66</v>
      </c>
      <c r="Y125" s="157">
        <v>1</v>
      </c>
      <c r="Z125" s="157">
        <v>7</v>
      </c>
      <c r="AA125" s="157">
        <v>0</v>
      </c>
      <c r="AB125" s="157">
        <v>20</v>
      </c>
      <c r="AC125" s="157">
        <v>167</v>
      </c>
      <c r="AD125" s="157">
        <v>5</v>
      </c>
      <c r="AE125" s="157">
        <v>0</v>
      </c>
      <c r="AF125" s="157">
        <v>0</v>
      </c>
      <c r="AG125" s="157">
        <v>2</v>
      </c>
      <c r="AH125" s="157"/>
      <c r="AI125" s="157"/>
      <c r="AJ125" s="156">
        <f>SUM(T125:AI125)</f>
        <v>340</v>
      </c>
      <c r="AK125" s="8"/>
      <c r="AL125" s="8"/>
      <c r="AM125" s="8"/>
      <c r="BH125" s="42"/>
      <c r="BI125" s="42"/>
      <c r="BK125"/>
    </row>
    <row r="126" spans="1:63" s="95" customFormat="1" ht="14.4" customHeight="1" x14ac:dyDescent="0.35">
      <c r="A126" s="1"/>
      <c r="B126" s="207"/>
      <c r="C126" s="38"/>
      <c r="D126" s="208"/>
      <c r="E126" s="2"/>
      <c r="F126" s="150"/>
      <c r="G126" s="150"/>
      <c r="H126" s="3"/>
      <c r="I126" s="8"/>
      <c r="J126" s="185"/>
      <c r="K126" s="162"/>
      <c r="L126" s="4"/>
      <c r="Q126" s="103"/>
      <c r="S126" s="158" t="s">
        <v>133</v>
      </c>
      <c r="T126" s="34">
        <v>0</v>
      </c>
      <c r="U126" s="34">
        <v>0</v>
      </c>
      <c r="V126" s="34">
        <v>0</v>
      </c>
      <c r="W126" s="34">
        <v>0</v>
      </c>
      <c r="X126" s="34">
        <v>0</v>
      </c>
      <c r="Y126" s="34">
        <v>0</v>
      </c>
      <c r="Z126" s="34">
        <v>0</v>
      </c>
      <c r="AA126" s="34">
        <v>2</v>
      </c>
      <c r="AB126" s="34">
        <v>0</v>
      </c>
      <c r="AC126" s="34">
        <v>0</v>
      </c>
      <c r="AD126" s="34">
        <v>0</v>
      </c>
      <c r="AE126" s="34">
        <v>0</v>
      </c>
      <c r="AF126" s="34">
        <v>0</v>
      </c>
      <c r="AG126" s="34">
        <v>0</v>
      </c>
      <c r="AH126" s="34"/>
      <c r="AI126" s="34"/>
      <c r="AJ126" s="158">
        <f>SUM(T126:AI126)</f>
        <v>2</v>
      </c>
      <c r="AK126" s="8"/>
      <c r="AL126" s="8"/>
      <c r="AM126" s="8"/>
      <c r="BH126" s="42"/>
      <c r="BI126" s="42"/>
      <c r="BK126"/>
    </row>
    <row r="127" spans="1:63" s="95" customFormat="1" ht="14.4" customHeight="1" thickBot="1" x14ac:dyDescent="0.4">
      <c r="A127" s="1"/>
      <c r="B127" s="207" t="s">
        <v>655</v>
      </c>
      <c r="C127" s="229">
        <f>AVERAGE(AJ3:AJ95)+AVERAGE(AK3:AK95)+AVERAGE(S3:S95)</f>
        <v>54.529411764705884</v>
      </c>
      <c r="D127" s="210">
        <f>SUM(E3:E95)/D125</f>
        <v>53.494117647058822</v>
      </c>
      <c r="E127" s="226"/>
      <c r="F127" s="150"/>
      <c r="G127" s="150"/>
      <c r="H127" s="3"/>
      <c r="I127" s="8"/>
      <c r="J127" s="185"/>
      <c r="K127" s="162"/>
      <c r="L127" s="4"/>
      <c r="Q127" s="103"/>
      <c r="S127" s="159" t="s">
        <v>133</v>
      </c>
      <c r="T127" s="160">
        <v>0</v>
      </c>
      <c r="U127" s="160">
        <v>0</v>
      </c>
      <c r="V127" s="160">
        <v>0</v>
      </c>
      <c r="W127" s="160">
        <v>0</v>
      </c>
      <c r="X127" s="160">
        <v>0</v>
      </c>
      <c r="Y127" s="160">
        <v>0</v>
      </c>
      <c r="Z127" s="160">
        <v>0</v>
      </c>
      <c r="AA127" s="160">
        <v>0</v>
      </c>
      <c r="AB127" s="160">
        <v>0</v>
      </c>
      <c r="AC127" s="160">
        <v>0</v>
      </c>
      <c r="AD127" s="160">
        <v>0</v>
      </c>
      <c r="AE127" s="160">
        <v>0</v>
      </c>
      <c r="AF127" s="160">
        <v>0</v>
      </c>
      <c r="AG127" s="160">
        <v>0</v>
      </c>
      <c r="AH127" s="160"/>
      <c r="AI127" s="160"/>
      <c r="AJ127" s="159">
        <f>SUM(T127:AI127)</f>
        <v>0</v>
      </c>
      <c r="AK127" s="8"/>
      <c r="AL127" s="8"/>
      <c r="AM127" s="8"/>
      <c r="BH127" s="42"/>
      <c r="BI127" s="42"/>
      <c r="BK127"/>
    </row>
    <row r="128" spans="1:63" s="95" customFormat="1" ht="14.4" customHeight="1" x14ac:dyDescent="0.3">
      <c r="A128" s="1"/>
      <c r="B128"/>
      <c r="C128" s="183"/>
      <c r="D128" s="182"/>
      <c r="E128" s="2"/>
      <c r="F128" s="150"/>
      <c r="G128" s="150"/>
      <c r="H128" s="3"/>
      <c r="I128" s="8"/>
      <c r="J128" s="185"/>
      <c r="K128" s="162" t="s">
        <v>982</v>
      </c>
      <c r="L128" s="4"/>
      <c r="Q128" s="103"/>
      <c r="S128" s="156" t="s">
        <v>645</v>
      </c>
      <c r="T128" s="157">
        <v>262</v>
      </c>
      <c r="U128" s="157">
        <v>20</v>
      </c>
      <c r="V128" s="157">
        <v>0</v>
      </c>
      <c r="W128" s="157">
        <v>8</v>
      </c>
      <c r="X128" s="157">
        <v>0</v>
      </c>
      <c r="Y128" s="157">
        <v>14</v>
      </c>
      <c r="Z128" s="157">
        <v>0</v>
      </c>
      <c r="AA128" s="157">
        <v>0</v>
      </c>
      <c r="AB128" s="157">
        <v>10</v>
      </c>
      <c r="AC128" s="157">
        <v>0</v>
      </c>
      <c r="AD128" s="157">
        <v>0</v>
      </c>
      <c r="AE128" s="157">
        <v>0</v>
      </c>
      <c r="AF128" s="157">
        <v>0</v>
      </c>
      <c r="AG128" s="157">
        <v>0</v>
      </c>
      <c r="AH128" s="157"/>
      <c r="AI128" s="157"/>
      <c r="AJ128" s="156">
        <f>SUM(T128:AI128)</f>
        <v>314</v>
      </c>
      <c r="AK128" s="8"/>
      <c r="AL128" s="8"/>
      <c r="AM128" s="8"/>
      <c r="BH128" s="42"/>
      <c r="BI128" s="42"/>
      <c r="BK128"/>
    </row>
    <row r="129" spans="1:63" s="95" customFormat="1" ht="14.4" customHeight="1" x14ac:dyDescent="0.3">
      <c r="A129" s="1"/>
      <c r="B129" s="85"/>
      <c r="C129" s="183"/>
      <c r="D129" s="182"/>
      <c r="E129" s="2"/>
      <c r="F129" s="150"/>
      <c r="G129" s="150"/>
      <c r="H129" s="3"/>
      <c r="I129" s="8"/>
      <c r="J129" s="185"/>
      <c r="K129" s="162"/>
      <c r="L129" s="4"/>
      <c r="Q129" s="103"/>
      <c r="S129" s="158" t="s">
        <v>645</v>
      </c>
      <c r="T129" s="34">
        <v>139</v>
      </c>
      <c r="U129" s="34">
        <v>0</v>
      </c>
      <c r="V129" s="34">
        <v>0</v>
      </c>
      <c r="W129" s="34">
        <v>0</v>
      </c>
      <c r="X129" s="34">
        <v>0</v>
      </c>
      <c r="Y129" s="34">
        <v>0</v>
      </c>
      <c r="Z129" s="34">
        <v>0</v>
      </c>
      <c r="AA129" s="34">
        <v>0</v>
      </c>
      <c r="AB129" s="34">
        <v>0</v>
      </c>
      <c r="AC129" s="34">
        <v>0</v>
      </c>
      <c r="AD129" s="34">
        <v>0</v>
      </c>
      <c r="AE129" s="34">
        <v>0</v>
      </c>
      <c r="AF129" s="34">
        <v>0</v>
      </c>
      <c r="AG129" s="34">
        <v>0</v>
      </c>
      <c r="AH129" s="34"/>
      <c r="AI129" s="34"/>
      <c r="AJ129" s="158">
        <f>SUM(T129:AI129)</f>
        <v>139</v>
      </c>
      <c r="AK129" s="8"/>
      <c r="AL129" s="8"/>
      <c r="AM129" s="8"/>
      <c r="BH129" s="42"/>
      <c r="BI129" s="42"/>
      <c r="BK129"/>
    </row>
    <row r="130" spans="1:63" ht="14.4" customHeight="1" thickBot="1" x14ac:dyDescent="0.35">
      <c r="A130" s="85"/>
      <c r="B130" s="85"/>
      <c r="D130" s="182"/>
      <c r="E130" s="2"/>
      <c r="F130" s="150"/>
      <c r="G130" s="150"/>
      <c r="H130" s="3"/>
      <c r="I130" s="8"/>
      <c r="J130" s="185"/>
      <c r="L130" s="85"/>
      <c r="M130" s="85"/>
      <c r="N130" s="85"/>
      <c r="O130" s="85"/>
      <c r="R130" s="85"/>
      <c r="S130" s="159" t="s">
        <v>645</v>
      </c>
      <c r="T130" s="160">
        <v>79</v>
      </c>
      <c r="U130" s="160">
        <v>0</v>
      </c>
      <c r="V130" s="160">
        <v>0</v>
      </c>
      <c r="W130" s="160">
        <v>0</v>
      </c>
      <c r="X130" s="160">
        <v>0</v>
      </c>
      <c r="Y130" s="160">
        <v>0</v>
      </c>
      <c r="Z130" s="160">
        <v>0</v>
      </c>
      <c r="AA130" s="160">
        <v>0</v>
      </c>
      <c r="AB130" s="160">
        <v>0</v>
      </c>
      <c r="AC130" s="160">
        <v>0</v>
      </c>
      <c r="AD130" s="160">
        <v>0</v>
      </c>
      <c r="AE130" s="160">
        <v>0</v>
      </c>
      <c r="AF130" s="160">
        <v>0</v>
      </c>
      <c r="AG130" s="160">
        <v>0</v>
      </c>
      <c r="AH130" s="160"/>
      <c r="AI130" s="160"/>
      <c r="AJ130" s="159">
        <f>SUM(T130:AI130)</f>
        <v>79</v>
      </c>
      <c r="AK130" s="8"/>
      <c r="AL130" s="8"/>
      <c r="AM130" s="8"/>
      <c r="AO130" s="95"/>
      <c r="AP130" s="95"/>
      <c r="AQ130" s="85"/>
      <c r="AR130" s="85"/>
      <c r="AS130" s="85"/>
      <c r="AU130" s="85"/>
    </row>
    <row r="131" spans="1:63" ht="14.4" customHeight="1" x14ac:dyDescent="0.3">
      <c r="A131" s="85"/>
      <c r="H131" s="3"/>
      <c r="I131" s="8"/>
      <c r="J131" s="185"/>
      <c r="L131" s="95"/>
      <c r="M131" s="95"/>
      <c r="N131" s="95"/>
      <c r="O131" s="95"/>
      <c r="R131" s="95"/>
      <c r="S131" s="156" t="s">
        <v>940</v>
      </c>
      <c r="T131" s="157">
        <v>0</v>
      </c>
      <c r="U131" s="157">
        <v>0</v>
      </c>
      <c r="V131" s="157">
        <v>0</v>
      </c>
      <c r="W131" s="157">
        <v>0</v>
      </c>
      <c r="X131" s="157">
        <v>0</v>
      </c>
      <c r="Y131" s="157">
        <v>0</v>
      </c>
      <c r="Z131" s="157">
        <v>0</v>
      </c>
      <c r="AA131" s="157">
        <v>0</v>
      </c>
      <c r="AB131" s="157">
        <v>20</v>
      </c>
      <c r="AC131" s="157">
        <v>0</v>
      </c>
      <c r="AD131" s="157">
        <v>0</v>
      </c>
      <c r="AE131" s="157">
        <v>0</v>
      </c>
      <c r="AF131" s="157">
        <v>0</v>
      </c>
      <c r="AG131" s="157">
        <v>13</v>
      </c>
      <c r="AH131" s="157"/>
      <c r="AI131" s="157"/>
      <c r="AJ131" s="156">
        <f>SUM(T131:AI131)</f>
        <v>33</v>
      </c>
      <c r="AK131" s="85"/>
      <c r="AM131" s="8"/>
      <c r="AO131" s="95"/>
      <c r="AP131" s="95"/>
      <c r="AQ131" s="85"/>
      <c r="AR131" s="85"/>
      <c r="AS131" s="85"/>
      <c r="AU131" s="85"/>
    </row>
    <row r="132" spans="1:63" ht="14.4" customHeight="1" x14ac:dyDescent="0.3">
      <c r="A132" s="85"/>
      <c r="H132" s="3"/>
      <c r="I132" s="8"/>
      <c r="J132" s="185"/>
      <c r="L132" s="95"/>
      <c r="M132" s="95"/>
      <c r="N132" s="95"/>
      <c r="O132" s="95"/>
      <c r="R132" s="95"/>
      <c r="S132" s="158" t="s">
        <v>940</v>
      </c>
      <c r="T132" s="34">
        <v>0</v>
      </c>
      <c r="U132" s="34">
        <v>0</v>
      </c>
      <c r="V132" s="34">
        <v>0</v>
      </c>
      <c r="W132" s="34">
        <v>0</v>
      </c>
      <c r="X132" s="34">
        <v>0</v>
      </c>
      <c r="Y132" s="34">
        <v>0</v>
      </c>
      <c r="Z132" s="34">
        <v>0</v>
      </c>
      <c r="AA132" s="34">
        <v>0</v>
      </c>
      <c r="AB132" s="34">
        <v>0</v>
      </c>
      <c r="AC132" s="34">
        <v>0</v>
      </c>
      <c r="AD132" s="34">
        <v>0</v>
      </c>
      <c r="AE132" s="34">
        <v>0</v>
      </c>
      <c r="AF132" s="34">
        <v>0</v>
      </c>
      <c r="AG132" s="34">
        <v>0</v>
      </c>
      <c r="AH132" s="34"/>
      <c r="AI132" s="34"/>
      <c r="AJ132" s="158">
        <f>SUM(T132:AI132)</f>
        <v>0</v>
      </c>
      <c r="AK132" s="85"/>
      <c r="AM132" s="8"/>
      <c r="AO132" s="95"/>
      <c r="AP132" s="95"/>
      <c r="AQ132" s="85"/>
      <c r="AR132" s="85"/>
      <c r="AS132" s="85"/>
      <c r="AU132" s="85"/>
    </row>
    <row r="133" spans="1:63" ht="14.4" customHeight="1" thickBot="1" x14ac:dyDescent="0.35">
      <c r="A133" s="85"/>
      <c r="H133" s="3"/>
      <c r="I133" s="8"/>
      <c r="J133" s="185"/>
      <c r="L133" s="95"/>
      <c r="M133" s="95"/>
      <c r="N133" s="95"/>
      <c r="O133" s="95"/>
      <c r="R133" s="95"/>
      <c r="S133" s="159" t="s">
        <v>940</v>
      </c>
      <c r="T133" s="160">
        <v>0</v>
      </c>
      <c r="U133" s="160">
        <v>0</v>
      </c>
      <c r="V133" s="160">
        <v>0</v>
      </c>
      <c r="W133" s="160">
        <v>0</v>
      </c>
      <c r="X133" s="160">
        <v>0</v>
      </c>
      <c r="Y133" s="160">
        <v>0</v>
      </c>
      <c r="Z133" s="160">
        <v>0</v>
      </c>
      <c r="AA133" s="160">
        <v>0</v>
      </c>
      <c r="AB133" s="160">
        <v>0</v>
      </c>
      <c r="AC133" s="160">
        <v>0</v>
      </c>
      <c r="AD133" s="160">
        <v>0</v>
      </c>
      <c r="AE133" s="160">
        <v>0</v>
      </c>
      <c r="AF133" s="160">
        <v>0</v>
      </c>
      <c r="AG133" s="160">
        <v>0</v>
      </c>
      <c r="AH133" s="160"/>
      <c r="AI133" s="160"/>
      <c r="AJ133" s="159">
        <f t="shared" ref="AJ133:AJ153" si="1">SUM(T133:AI133)</f>
        <v>0</v>
      </c>
      <c r="AK133" s="8"/>
      <c r="AM133" s="8"/>
      <c r="AO133" s="95"/>
      <c r="AP133" s="95"/>
      <c r="AQ133" s="85"/>
      <c r="AR133" s="85"/>
      <c r="AS133" s="85"/>
      <c r="AT133" s="85"/>
      <c r="AU133" s="85"/>
    </row>
    <row r="134" spans="1:63" ht="14.4" customHeight="1" x14ac:dyDescent="0.3">
      <c r="A134" s="85"/>
      <c r="H134" s="3"/>
      <c r="I134" s="8"/>
      <c r="J134" s="185"/>
      <c r="L134" s="95"/>
      <c r="M134" s="95"/>
      <c r="N134" s="95"/>
      <c r="O134" s="95"/>
      <c r="R134" s="95"/>
      <c r="S134" s="156" t="s">
        <v>1172</v>
      </c>
      <c r="T134" s="157">
        <v>0</v>
      </c>
      <c r="U134" s="157">
        <v>0</v>
      </c>
      <c r="V134" s="157">
        <v>55</v>
      </c>
      <c r="W134" s="157">
        <v>0</v>
      </c>
      <c r="X134" s="157">
        <v>0</v>
      </c>
      <c r="Y134" s="157">
        <v>0</v>
      </c>
      <c r="Z134" s="157">
        <v>0</v>
      </c>
      <c r="AA134" s="157">
        <v>0</v>
      </c>
      <c r="AB134" s="157">
        <v>0</v>
      </c>
      <c r="AC134" s="157">
        <v>0</v>
      </c>
      <c r="AD134" s="157">
        <v>0</v>
      </c>
      <c r="AE134" s="157">
        <v>0</v>
      </c>
      <c r="AF134" s="157">
        <v>0</v>
      </c>
      <c r="AG134" s="157">
        <v>0</v>
      </c>
      <c r="AH134" s="157"/>
      <c r="AI134" s="157"/>
      <c r="AJ134" s="156">
        <f t="shared" si="1"/>
        <v>55</v>
      </c>
      <c r="AK134" s="85"/>
      <c r="AM134" s="8"/>
      <c r="AO134" s="95"/>
      <c r="AP134" s="95"/>
      <c r="AQ134" s="85"/>
      <c r="AR134" s="85"/>
      <c r="AS134" s="85"/>
      <c r="AT134" s="85"/>
      <c r="AU134" s="85"/>
    </row>
    <row r="135" spans="1:63" ht="14.4" customHeight="1" x14ac:dyDescent="0.3">
      <c r="A135" s="85"/>
      <c r="H135" s="3"/>
      <c r="I135" s="8"/>
      <c r="J135" s="185"/>
      <c r="L135" s="95"/>
      <c r="M135" s="95"/>
      <c r="N135" s="95"/>
      <c r="O135" s="95"/>
      <c r="R135" s="95"/>
      <c r="S135" s="158" t="s">
        <v>1172</v>
      </c>
      <c r="T135" s="34">
        <v>0</v>
      </c>
      <c r="U135" s="34">
        <v>0</v>
      </c>
      <c r="V135" s="34">
        <v>21</v>
      </c>
      <c r="W135" s="34">
        <v>0</v>
      </c>
      <c r="X135" s="34">
        <v>0</v>
      </c>
      <c r="Y135" s="34">
        <v>0</v>
      </c>
      <c r="Z135" s="34">
        <v>0</v>
      </c>
      <c r="AA135" s="34">
        <v>0</v>
      </c>
      <c r="AB135" s="34">
        <v>0</v>
      </c>
      <c r="AC135" s="34">
        <v>0</v>
      </c>
      <c r="AD135" s="34">
        <v>0</v>
      </c>
      <c r="AE135" s="34">
        <v>0</v>
      </c>
      <c r="AF135" s="34">
        <v>0</v>
      </c>
      <c r="AG135" s="34">
        <v>0</v>
      </c>
      <c r="AH135" s="34"/>
      <c r="AI135" s="34"/>
      <c r="AJ135" s="158">
        <f t="shared" si="1"/>
        <v>21</v>
      </c>
      <c r="AK135" s="85"/>
      <c r="AM135" s="8"/>
      <c r="AO135" s="95"/>
      <c r="AP135" s="95"/>
      <c r="AQ135" s="85"/>
      <c r="AR135" s="85"/>
      <c r="AS135" s="85"/>
      <c r="AT135" s="85"/>
      <c r="AU135" s="85"/>
    </row>
    <row r="136" spans="1:63" ht="14.4" customHeight="1" thickBot="1" x14ac:dyDescent="0.35">
      <c r="A136" s="85"/>
      <c r="H136" s="3"/>
      <c r="I136" s="8"/>
      <c r="J136" s="185"/>
      <c r="L136" s="95"/>
      <c r="M136" s="95"/>
      <c r="N136" s="95"/>
      <c r="O136" s="95"/>
      <c r="R136" s="95"/>
      <c r="S136" s="159" t="s">
        <v>1172</v>
      </c>
      <c r="T136" s="160">
        <v>0</v>
      </c>
      <c r="U136" s="160">
        <v>0</v>
      </c>
      <c r="V136" s="160">
        <v>0</v>
      </c>
      <c r="W136" s="160">
        <v>0</v>
      </c>
      <c r="X136" s="160">
        <v>0</v>
      </c>
      <c r="Y136" s="160">
        <v>0</v>
      </c>
      <c r="Z136" s="160">
        <v>0</v>
      </c>
      <c r="AA136" s="160">
        <v>0</v>
      </c>
      <c r="AB136" s="160">
        <v>0</v>
      </c>
      <c r="AC136" s="160">
        <v>0</v>
      </c>
      <c r="AD136" s="160">
        <v>0</v>
      </c>
      <c r="AE136" s="160">
        <v>0</v>
      </c>
      <c r="AF136" s="160">
        <v>0</v>
      </c>
      <c r="AG136" s="160">
        <v>0</v>
      </c>
      <c r="AH136" s="160"/>
      <c r="AI136" s="160"/>
      <c r="AJ136" s="159">
        <f t="shared" si="1"/>
        <v>0</v>
      </c>
      <c r="AK136" s="8"/>
      <c r="AM136" s="8"/>
      <c r="AO136" s="95"/>
      <c r="AP136" s="95"/>
      <c r="AQ136" s="85"/>
      <c r="AR136" s="85"/>
      <c r="AS136" s="85"/>
      <c r="AT136" s="85"/>
      <c r="AU136" s="85"/>
    </row>
    <row r="137" spans="1:63" ht="14.4" customHeight="1" x14ac:dyDescent="0.3">
      <c r="A137" s="85"/>
      <c r="H137" s="3"/>
      <c r="I137" s="8"/>
      <c r="J137" s="185"/>
      <c r="L137" s="95"/>
      <c r="M137" s="95"/>
      <c r="N137" s="95"/>
      <c r="O137" s="95"/>
      <c r="R137" s="95"/>
      <c r="S137" s="156" t="s">
        <v>936</v>
      </c>
      <c r="T137" s="157">
        <v>0</v>
      </c>
      <c r="U137" s="157">
        <v>3</v>
      </c>
      <c r="V137" s="157">
        <v>1</v>
      </c>
      <c r="W137" s="157">
        <v>0</v>
      </c>
      <c r="X137" s="157">
        <v>0</v>
      </c>
      <c r="Y137" s="157">
        <v>6</v>
      </c>
      <c r="Z137" s="157">
        <v>0</v>
      </c>
      <c r="AA137" s="157">
        <v>0</v>
      </c>
      <c r="AB137" s="157">
        <v>10</v>
      </c>
      <c r="AC137" s="157">
        <v>0</v>
      </c>
      <c r="AD137" s="157">
        <v>0</v>
      </c>
      <c r="AE137" s="157">
        <v>0</v>
      </c>
      <c r="AF137" s="157">
        <v>0</v>
      </c>
      <c r="AG137" s="157">
        <v>41</v>
      </c>
      <c r="AH137" s="157"/>
      <c r="AI137" s="157"/>
      <c r="AJ137" s="156">
        <f t="shared" si="1"/>
        <v>61</v>
      </c>
      <c r="AK137" s="85"/>
      <c r="AM137" s="8"/>
      <c r="AO137" s="95"/>
      <c r="AP137" s="95"/>
      <c r="AQ137" s="85"/>
      <c r="AR137" s="85"/>
      <c r="AS137" s="85"/>
      <c r="AT137" s="85"/>
      <c r="AU137" s="85"/>
    </row>
    <row r="138" spans="1:63" ht="14.4" customHeight="1" x14ac:dyDescent="0.3">
      <c r="A138" s="85"/>
      <c r="H138" s="3"/>
      <c r="I138" s="8"/>
      <c r="J138" s="185"/>
      <c r="L138" s="95"/>
      <c r="M138" s="95"/>
      <c r="N138" s="95"/>
      <c r="O138" s="95"/>
      <c r="R138" s="95"/>
      <c r="S138" s="158" t="s">
        <v>936</v>
      </c>
      <c r="T138" s="34">
        <v>0</v>
      </c>
      <c r="U138" s="34">
        <v>0</v>
      </c>
      <c r="V138" s="34">
        <v>0</v>
      </c>
      <c r="W138" s="34">
        <v>0</v>
      </c>
      <c r="X138" s="34">
        <v>30</v>
      </c>
      <c r="Y138" s="34">
        <v>0</v>
      </c>
      <c r="Z138" s="34">
        <v>0</v>
      </c>
      <c r="AA138" s="34">
        <v>0</v>
      </c>
      <c r="AB138" s="34">
        <v>0</v>
      </c>
      <c r="AC138" s="34">
        <v>0</v>
      </c>
      <c r="AD138" s="34">
        <v>0</v>
      </c>
      <c r="AE138" s="34">
        <v>0</v>
      </c>
      <c r="AF138" s="34">
        <v>0</v>
      </c>
      <c r="AG138" s="34">
        <v>0</v>
      </c>
      <c r="AH138" s="34"/>
      <c r="AI138" s="34"/>
      <c r="AJ138" s="158">
        <f t="shared" si="1"/>
        <v>30</v>
      </c>
      <c r="AK138" s="85"/>
      <c r="AO138" s="8"/>
      <c r="AP138" s="95"/>
      <c r="AQ138" s="85"/>
      <c r="AR138" s="85"/>
      <c r="AS138" s="85"/>
      <c r="AT138" s="85"/>
      <c r="AU138" s="85"/>
    </row>
    <row r="139" spans="1:63" ht="14.4" customHeight="1" thickBot="1" x14ac:dyDescent="0.35">
      <c r="A139" s="85"/>
      <c r="H139" s="3"/>
      <c r="I139" s="8"/>
      <c r="J139" s="185"/>
      <c r="L139" s="95"/>
      <c r="M139" s="95"/>
      <c r="N139" s="95"/>
      <c r="O139" s="95"/>
      <c r="R139" s="95"/>
      <c r="S139" s="159" t="s">
        <v>936</v>
      </c>
      <c r="T139" s="160">
        <v>0</v>
      </c>
      <c r="U139" s="160">
        <v>0</v>
      </c>
      <c r="V139" s="160">
        <v>0</v>
      </c>
      <c r="W139" s="160">
        <v>0</v>
      </c>
      <c r="X139" s="160">
        <v>0</v>
      </c>
      <c r="Y139" s="160">
        <v>0</v>
      </c>
      <c r="Z139" s="160">
        <v>0</v>
      </c>
      <c r="AA139" s="160">
        <v>0</v>
      </c>
      <c r="AB139" s="160">
        <v>0</v>
      </c>
      <c r="AC139" s="160">
        <v>0</v>
      </c>
      <c r="AD139" s="160">
        <v>0</v>
      </c>
      <c r="AE139" s="160">
        <v>0</v>
      </c>
      <c r="AF139" s="160">
        <v>0</v>
      </c>
      <c r="AG139" s="160">
        <v>0</v>
      </c>
      <c r="AH139" s="160"/>
      <c r="AI139" s="160"/>
      <c r="AJ139" s="159">
        <f t="shared" si="1"/>
        <v>0</v>
      </c>
      <c r="AK139" s="8"/>
      <c r="AP139" s="95"/>
      <c r="AQ139" s="85"/>
      <c r="AR139" s="85"/>
      <c r="AS139" s="85"/>
      <c r="AT139" s="85"/>
      <c r="AU139" s="85"/>
    </row>
    <row r="140" spans="1:63" ht="14.4" customHeight="1" x14ac:dyDescent="0.3">
      <c r="A140" s="85"/>
      <c r="H140" s="3"/>
      <c r="I140" s="8"/>
      <c r="J140" s="185"/>
      <c r="L140" s="95"/>
      <c r="M140" s="95"/>
      <c r="N140" s="95"/>
      <c r="O140" s="95"/>
      <c r="R140" s="95"/>
      <c r="S140" s="156" t="s">
        <v>937</v>
      </c>
      <c r="T140" s="157">
        <v>0</v>
      </c>
      <c r="U140" s="157">
        <v>13</v>
      </c>
      <c r="V140" s="157">
        <v>2</v>
      </c>
      <c r="W140" s="157">
        <v>0</v>
      </c>
      <c r="X140" s="157">
        <v>11</v>
      </c>
      <c r="Y140" s="157">
        <v>5</v>
      </c>
      <c r="Z140" s="157">
        <v>2</v>
      </c>
      <c r="AA140" s="157">
        <v>0</v>
      </c>
      <c r="AB140" s="157">
        <v>99</v>
      </c>
      <c r="AC140" s="157">
        <v>8</v>
      </c>
      <c r="AD140" s="157">
        <v>0</v>
      </c>
      <c r="AE140" s="157">
        <v>0</v>
      </c>
      <c r="AF140" s="157">
        <v>0</v>
      </c>
      <c r="AG140" s="157">
        <v>3</v>
      </c>
      <c r="AH140" s="157"/>
      <c r="AI140" s="157"/>
      <c r="AJ140" s="156">
        <f t="shared" si="1"/>
        <v>143</v>
      </c>
      <c r="AK140" s="85"/>
      <c r="AM140" s="8"/>
      <c r="AO140" s="95"/>
      <c r="AP140" s="95"/>
      <c r="AQ140" s="85"/>
      <c r="AR140" s="85"/>
      <c r="AS140" s="85"/>
      <c r="AT140" s="85"/>
      <c r="AU140" s="85"/>
    </row>
    <row r="141" spans="1:63" ht="14.4" customHeight="1" x14ac:dyDescent="0.3">
      <c r="H141" s="3"/>
      <c r="I141" s="8"/>
      <c r="J141" s="185"/>
      <c r="L141" s="95"/>
      <c r="M141" s="95"/>
      <c r="N141" s="95"/>
      <c r="O141" s="95"/>
      <c r="R141" s="95"/>
      <c r="S141" s="158" t="s">
        <v>937</v>
      </c>
      <c r="T141" s="34">
        <v>0</v>
      </c>
      <c r="U141" s="34">
        <v>0</v>
      </c>
      <c r="V141" s="34">
        <v>0</v>
      </c>
      <c r="W141" s="34">
        <v>0</v>
      </c>
      <c r="X141" s="34">
        <v>0</v>
      </c>
      <c r="Y141" s="34">
        <v>0</v>
      </c>
      <c r="Z141" s="34">
        <v>0</v>
      </c>
      <c r="AA141" s="34">
        <v>0</v>
      </c>
      <c r="AB141" s="34">
        <v>0</v>
      </c>
      <c r="AC141" s="34">
        <v>0</v>
      </c>
      <c r="AD141" s="34">
        <v>0</v>
      </c>
      <c r="AE141" s="34">
        <v>0</v>
      </c>
      <c r="AF141" s="34">
        <v>0</v>
      </c>
      <c r="AG141" s="34">
        <v>0</v>
      </c>
      <c r="AH141" s="34"/>
      <c r="AI141" s="34"/>
      <c r="AJ141" s="158">
        <f t="shared" si="1"/>
        <v>0</v>
      </c>
      <c r="AK141" s="85"/>
      <c r="AM141" s="8"/>
      <c r="AO141" s="95"/>
      <c r="AP141" s="95"/>
    </row>
    <row r="142" spans="1:63" ht="14.4" customHeight="1" thickBot="1" x14ac:dyDescent="0.35">
      <c r="H142" s="3"/>
      <c r="I142" s="8"/>
      <c r="J142" s="185"/>
      <c r="L142" s="95"/>
      <c r="M142" s="95"/>
      <c r="N142" s="95"/>
      <c r="O142" s="95"/>
      <c r="R142" s="95"/>
      <c r="S142" s="159" t="s">
        <v>937</v>
      </c>
      <c r="T142" s="160">
        <v>0</v>
      </c>
      <c r="U142" s="160">
        <v>0</v>
      </c>
      <c r="V142" s="160">
        <v>0</v>
      </c>
      <c r="W142" s="160">
        <v>0</v>
      </c>
      <c r="X142" s="160">
        <v>0</v>
      </c>
      <c r="Y142" s="160">
        <v>0</v>
      </c>
      <c r="Z142" s="160">
        <v>0</v>
      </c>
      <c r="AA142" s="160">
        <v>0</v>
      </c>
      <c r="AB142" s="160">
        <v>0</v>
      </c>
      <c r="AC142" s="160">
        <v>0</v>
      </c>
      <c r="AD142" s="160">
        <v>0</v>
      </c>
      <c r="AE142" s="160">
        <v>0</v>
      </c>
      <c r="AF142" s="160">
        <v>0</v>
      </c>
      <c r="AG142" s="160">
        <v>0</v>
      </c>
      <c r="AH142" s="160"/>
      <c r="AI142" s="160"/>
      <c r="AJ142" s="159">
        <f t="shared" si="1"/>
        <v>0</v>
      </c>
      <c r="AK142" s="85"/>
      <c r="AM142" s="8"/>
      <c r="AO142" s="95"/>
      <c r="AP142" s="95"/>
    </row>
    <row r="143" spans="1:63" ht="14.4" customHeight="1" x14ac:dyDescent="0.3">
      <c r="H143" s="3"/>
      <c r="I143" s="8"/>
      <c r="J143" s="185"/>
      <c r="L143" s="85"/>
      <c r="M143" s="85"/>
      <c r="N143" s="95"/>
      <c r="O143" s="95"/>
      <c r="R143" s="85"/>
      <c r="S143" s="156" t="s">
        <v>1552</v>
      </c>
      <c r="T143" s="157">
        <v>0</v>
      </c>
      <c r="U143" s="157">
        <v>9</v>
      </c>
      <c r="V143" s="157">
        <v>28</v>
      </c>
      <c r="W143" s="157">
        <v>7</v>
      </c>
      <c r="X143" s="157">
        <v>10</v>
      </c>
      <c r="Y143" s="157">
        <v>91</v>
      </c>
      <c r="Z143" s="157">
        <v>0</v>
      </c>
      <c r="AA143" s="157">
        <v>0</v>
      </c>
      <c r="AB143" s="157">
        <v>1</v>
      </c>
      <c r="AC143" s="157">
        <v>1</v>
      </c>
      <c r="AD143" s="157">
        <v>7</v>
      </c>
      <c r="AE143" s="157">
        <v>0</v>
      </c>
      <c r="AF143" s="157">
        <v>0</v>
      </c>
      <c r="AG143" s="157">
        <v>0</v>
      </c>
      <c r="AH143" s="157"/>
      <c r="AI143" s="157"/>
      <c r="AJ143" s="156">
        <f t="shared" si="1"/>
        <v>154</v>
      </c>
      <c r="AK143" s="85"/>
      <c r="AM143" s="8"/>
      <c r="AO143" s="95"/>
      <c r="AP143" s="95"/>
    </row>
    <row r="144" spans="1:63" ht="14.4" customHeight="1" x14ac:dyDescent="0.3">
      <c r="N144" s="95"/>
      <c r="O144" s="95"/>
      <c r="S144" s="158" t="s">
        <v>1552</v>
      </c>
      <c r="T144" s="34">
        <v>0</v>
      </c>
      <c r="U144" s="34">
        <v>0</v>
      </c>
      <c r="V144" s="34">
        <v>0</v>
      </c>
      <c r="W144" s="34">
        <v>0</v>
      </c>
      <c r="X144" s="34">
        <v>0</v>
      </c>
      <c r="Y144" s="34">
        <v>0</v>
      </c>
      <c r="Z144" s="34">
        <v>0</v>
      </c>
      <c r="AA144" s="34">
        <v>0</v>
      </c>
      <c r="AB144" s="34">
        <v>0</v>
      </c>
      <c r="AC144" s="34">
        <v>0</v>
      </c>
      <c r="AD144" s="34">
        <v>0</v>
      </c>
      <c r="AE144" s="34">
        <v>0</v>
      </c>
      <c r="AF144" s="34">
        <v>0</v>
      </c>
      <c r="AG144" s="34">
        <v>0</v>
      </c>
      <c r="AH144" s="34"/>
      <c r="AI144" s="34"/>
      <c r="AJ144" s="158">
        <f t="shared" si="1"/>
        <v>0</v>
      </c>
      <c r="AM144" s="8"/>
      <c r="AO144" s="95"/>
      <c r="AP144" s="95"/>
    </row>
    <row r="145" spans="2:42" ht="14.4" customHeight="1" thickBot="1" x14ac:dyDescent="0.35">
      <c r="N145" s="95"/>
      <c r="O145" s="95"/>
      <c r="S145" s="159" t="s">
        <v>1552</v>
      </c>
      <c r="T145" s="160">
        <v>0</v>
      </c>
      <c r="U145" s="160">
        <v>0</v>
      </c>
      <c r="V145" s="160">
        <v>22</v>
      </c>
      <c r="W145" s="160">
        <v>0</v>
      </c>
      <c r="X145" s="160">
        <v>0</v>
      </c>
      <c r="Y145" s="160">
        <v>0</v>
      </c>
      <c r="Z145" s="160">
        <v>5</v>
      </c>
      <c r="AA145" s="160">
        <v>0</v>
      </c>
      <c r="AB145" s="160">
        <v>0</v>
      </c>
      <c r="AC145" s="160">
        <v>0</v>
      </c>
      <c r="AD145" s="160">
        <v>0</v>
      </c>
      <c r="AE145" s="160">
        <v>0</v>
      </c>
      <c r="AF145" s="160">
        <v>0</v>
      </c>
      <c r="AG145" s="160">
        <v>0</v>
      </c>
      <c r="AH145" s="160"/>
      <c r="AI145" s="160"/>
      <c r="AJ145" s="159">
        <f t="shared" si="1"/>
        <v>27</v>
      </c>
      <c r="AM145" s="8"/>
      <c r="AO145" s="95"/>
      <c r="AP145" s="95"/>
    </row>
    <row r="146" spans="2:42" ht="14.4" customHeight="1" x14ac:dyDescent="0.3">
      <c r="N146" s="95"/>
      <c r="O146" s="95"/>
      <c r="S146" s="156" t="s">
        <v>1158</v>
      </c>
      <c r="T146" s="157">
        <v>0</v>
      </c>
      <c r="U146" s="157">
        <v>0</v>
      </c>
      <c r="V146" s="157">
        <v>0</v>
      </c>
      <c r="W146" s="157">
        <v>0</v>
      </c>
      <c r="X146" s="157">
        <v>0</v>
      </c>
      <c r="Y146" s="157">
        <v>13</v>
      </c>
      <c r="Z146" s="157">
        <v>0</v>
      </c>
      <c r="AA146" s="157">
        <v>0</v>
      </c>
      <c r="AB146" s="157">
        <v>0</v>
      </c>
      <c r="AC146" s="157">
        <v>0</v>
      </c>
      <c r="AD146" s="157">
        <v>0</v>
      </c>
      <c r="AE146" s="157">
        <v>0</v>
      </c>
      <c r="AF146" s="157">
        <v>0</v>
      </c>
      <c r="AG146" s="157">
        <v>0</v>
      </c>
      <c r="AH146" s="157"/>
      <c r="AI146" s="157"/>
      <c r="AJ146" s="156">
        <f t="shared" si="1"/>
        <v>13</v>
      </c>
      <c r="AM146" s="8"/>
      <c r="AO146" s="95"/>
      <c r="AP146" s="95"/>
    </row>
    <row r="147" spans="2:42" ht="14.4" customHeight="1" x14ac:dyDescent="0.3">
      <c r="N147" s="95"/>
      <c r="O147" s="95"/>
      <c r="S147" s="158" t="s">
        <v>1158</v>
      </c>
      <c r="T147" s="34">
        <v>0</v>
      </c>
      <c r="U147" s="34">
        <v>0</v>
      </c>
      <c r="V147" s="34">
        <v>0</v>
      </c>
      <c r="W147" s="34">
        <v>0</v>
      </c>
      <c r="X147" s="34">
        <v>0</v>
      </c>
      <c r="Y147" s="34">
        <v>0</v>
      </c>
      <c r="Z147" s="34">
        <v>0</v>
      </c>
      <c r="AA147" s="34">
        <v>0</v>
      </c>
      <c r="AB147" s="34">
        <v>0</v>
      </c>
      <c r="AC147" s="34">
        <v>0</v>
      </c>
      <c r="AD147" s="34">
        <v>0</v>
      </c>
      <c r="AE147" s="34">
        <v>0</v>
      </c>
      <c r="AF147" s="34">
        <v>0</v>
      </c>
      <c r="AG147" s="34">
        <v>0</v>
      </c>
      <c r="AH147" s="34"/>
      <c r="AI147" s="34"/>
      <c r="AJ147" s="158">
        <f t="shared" si="1"/>
        <v>0</v>
      </c>
      <c r="AM147" s="8"/>
      <c r="AO147" s="95"/>
      <c r="AP147" s="95"/>
    </row>
    <row r="148" spans="2:42" ht="14.4" customHeight="1" thickBot="1" x14ac:dyDescent="0.35">
      <c r="N148" s="95"/>
      <c r="O148" s="95"/>
      <c r="S148" s="159" t="s">
        <v>1158</v>
      </c>
      <c r="T148" s="160">
        <v>0</v>
      </c>
      <c r="U148" s="160">
        <v>0</v>
      </c>
      <c r="V148" s="160">
        <v>0</v>
      </c>
      <c r="W148" s="160">
        <v>0</v>
      </c>
      <c r="X148" s="160">
        <v>0</v>
      </c>
      <c r="Y148" s="160">
        <v>0</v>
      </c>
      <c r="Z148" s="160">
        <v>0</v>
      </c>
      <c r="AA148" s="160">
        <v>0</v>
      </c>
      <c r="AB148" s="160">
        <v>0</v>
      </c>
      <c r="AC148" s="160">
        <v>0</v>
      </c>
      <c r="AD148" s="160">
        <v>0</v>
      </c>
      <c r="AE148" s="160">
        <v>0</v>
      </c>
      <c r="AF148" s="160">
        <v>0</v>
      </c>
      <c r="AG148" s="160">
        <v>0</v>
      </c>
      <c r="AH148" s="160"/>
      <c r="AI148" s="160"/>
      <c r="AJ148" s="159">
        <f t="shared" si="1"/>
        <v>0</v>
      </c>
    </row>
    <row r="149" spans="2:42" ht="14.4" customHeight="1" x14ac:dyDescent="0.3">
      <c r="B149" s="85"/>
      <c r="E149" s="85"/>
      <c r="L149" s="85"/>
      <c r="M149" s="85"/>
      <c r="N149" s="85"/>
      <c r="O149" s="85"/>
      <c r="R149" s="85"/>
      <c r="S149" s="156" t="s">
        <v>1549</v>
      </c>
      <c r="T149" s="157">
        <v>0</v>
      </c>
      <c r="U149" s="157">
        <v>37</v>
      </c>
      <c r="V149" s="157">
        <v>0</v>
      </c>
      <c r="W149" s="157">
        <v>0</v>
      </c>
      <c r="X149" s="157">
        <v>0</v>
      </c>
      <c r="Y149" s="157">
        <v>0</v>
      </c>
      <c r="Z149" s="157">
        <v>0</v>
      </c>
      <c r="AA149" s="157">
        <v>0</v>
      </c>
      <c r="AB149" s="157">
        <v>0</v>
      </c>
      <c r="AC149" s="157">
        <v>0</v>
      </c>
      <c r="AD149" s="157">
        <v>0</v>
      </c>
      <c r="AE149" s="157">
        <v>0</v>
      </c>
      <c r="AF149" s="157">
        <v>0</v>
      </c>
      <c r="AG149" s="157">
        <v>0</v>
      </c>
      <c r="AH149" s="157"/>
      <c r="AI149" s="157"/>
      <c r="AJ149" s="156">
        <f t="shared" si="1"/>
        <v>37</v>
      </c>
      <c r="AK149" s="85"/>
    </row>
    <row r="150" spans="2:42" ht="14.4" customHeight="1" x14ac:dyDescent="0.3">
      <c r="S150" s="158" t="s">
        <v>1549</v>
      </c>
      <c r="T150" s="34">
        <v>0</v>
      </c>
      <c r="U150" s="34">
        <v>0</v>
      </c>
      <c r="V150" s="34">
        <v>0</v>
      </c>
      <c r="W150" s="34">
        <v>0</v>
      </c>
      <c r="X150" s="34">
        <v>0</v>
      </c>
      <c r="Y150" s="34">
        <v>0</v>
      </c>
      <c r="Z150" s="34">
        <v>0</v>
      </c>
      <c r="AA150" s="34">
        <v>0</v>
      </c>
      <c r="AB150" s="34">
        <v>0</v>
      </c>
      <c r="AC150" s="34">
        <v>0</v>
      </c>
      <c r="AD150" s="34">
        <v>0</v>
      </c>
      <c r="AE150" s="34">
        <v>0</v>
      </c>
      <c r="AF150" s="34">
        <v>0</v>
      </c>
      <c r="AG150" s="34">
        <v>0</v>
      </c>
      <c r="AH150" s="34"/>
      <c r="AI150" s="34"/>
      <c r="AJ150" s="158">
        <f t="shared" si="1"/>
        <v>0</v>
      </c>
    </row>
    <row r="151" spans="2:42" ht="14.4" customHeight="1" thickBot="1" x14ac:dyDescent="0.35">
      <c r="S151" s="159" t="s">
        <v>1549</v>
      </c>
      <c r="T151" s="160">
        <v>0</v>
      </c>
      <c r="U151" s="160">
        <v>0</v>
      </c>
      <c r="V151" s="160">
        <v>0</v>
      </c>
      <c r="W151" s="160">
        <v>0</v>
      </c>
      <c r="X151" s="160">
        <v>0</v>
      </c>
      <c r="Y151" s="160">
        <v>0</v>
      </c>
      <c r="Z151" s="160">
        <v>0</v>
      </c>
      <c r="AA151" s="160">
        <v>0</v>
      </c>
      <c r="AB151" s="160">
        <v>0</v>
      </c>
      <c r="AC151" s="160">
        <v>0</v>
      </c>
      <c r="AD151" s="160">
        <v>0</v>
      </c>
      <c r="AE151" s="160">
        <v>0</v>
      </c>
      <c r="AF151" s="160">
        <v>0</v>
      </c>
      <c r="AG151" s="160">
        <v>0</v>
      </c>
      <c r="AH151" s="160"/>
      <c r="AI151" s="160"/>
      <c r="AJ151" s="159">
        <f t="shared" si="1"/>
        <v>0</v>
      </c>
    </row>
    <row r="152" spans="2:42" ht="14.4" customHeight="1" x14ac:dyDescent="0.3">
      <c r="S152" s="156" t="s">
        <v>1569</v>
      </c>
      <c r="T152" s="157">
        <v>0</v>
      </c>
      <c r="U152" s="157">
        <v>0</v>
      </c>
      <c r="V152" s="157">
        <v>0</v>
      </c>
      <c r="W152" s="157">
        <v>0</v>
      </c>
      <c r="X152" s="157">
        <v>0</v>
      </c>
      <c r="Y152" s="157">
        <v>0</v>
      </c>
      <c r="Z152" s="157">
        <v>0</v>
      </c>
      <c r="AA152" s="157">
        <v>0</v>
      </c>
      <c r="AB152" s="157">
        <v>0</v>
      </c>
      <c r="AC152" s="157">
        <v>0</v>
      </c>
      <c r="AD152" s="157">
        <v>0</v>
      </c>
      <c r="AE152" s="157">
        <v>0</v>
      </c>
      <c r="AF152" s="157">
        <v>0</v>
      </c>
      <c r="AG152" s="157">
        <v>0</v>
      </c>
      <c r="AH152" s="157"/>
      <c r="AI152" s="157"/>
      <c r="AJ152" s="156">
        <f t="shared" si="1"/>
        <v>0</v>
      </c>
    </row>
    <row r="153" spans="2:42" ht="14.4" customHeight="1" x14ac:dyDescent="0.3">
      <c r="S153" s="158" t="s">
        <v>1569</v>
      </c>
      <c r="T153" s="34">
        <v>0</v>
      </c>
      <c r="U153" s="34">
        <v>0</v>
      </c>
      <c r="V153" s="34">
        <v>0</v>
      </c>
      <c r="W153" s="34">
        <v>0</v>
      </c>
      <c r="X153" s="34">
        <v>0</v>
      </c>
      <c r="Y153" s="34">
        <v>0</v>
      </c>
      <c r="Z153" s="34">
        <v>0</v>
      </c>
      <c r="AA153" s="34">
        <v>0</v>
      </c>
      <c r="AB153" s="34">
        <v>0</v>
      </c>
      <c r="AC153" s="34">
        <v>0</v>
      </c>
      <c r="AD153" s="34">
        <v>0</v>
      </c>
      <c r="AE153" s="34">
        <v>0</v>
      </c>
      <c r="AF153" s="34">
        <v>0</v>
      </c>
      <c r="AG153" s="34">
        <v>0</v>
      </c>
      <c r="AH153" s="34"/>
      <c r="AI153" s="34"/>
      <c r="AJ153" s="158">
        <f t="shared" si="1"/>
        <v>0</v>
      </c>
    </row>
    <row r="154" spans="2:42" ht="14.4" customHeight="1" thickBot="1" x14ac:dyDescent="0.35">
      <c r="B154" s="95"/>
      <c r="D154" s="95"/>
      <c r="E154" s="95"/>
      <c r="J154" s="95"/>
      <c r="L154" s="95"/>
      <c r="M154" s="95"/>
      <c r="N154" s="95"/>
      <c r="O154" s="95"/>
      <c r="R154" s="95"/>
      <c r="S154" s="159" t="s">
        <v>1569</v>
      </c>
      <c r="T154" s="160">
        <v>0</v>
      </c>
      <c r="U154" s="160">
        <v>0</v>
      </c>
      <c r="V154" s="160">
        <v>0</v>
      </c>
      <c r="W154" s="160">
        <v>0</v>
      </c>
      <c r="X154" s="160">
        <v>0</v>
      </c>
      <c r="Y154" s="160">
        <v>0</v>
      </c>
      <c r="Z154" s="160">
        <v>0</v>
      </c>
      <c r="AA154" s="160">
        <v>0</v>
      </c>
      <c r="AB154" s="160">
        <v>0</v>
      </c>
      <c r="AC154" s="160">
        <v>0</v>
      </c>
      <c r="AD154" s="160">
        <v>0</v>
      </c>
      <c r="AE154" s="160">
        <v>0</v>
      </c>
      <c r="AF154" s="160">
        <v>0</v>
      </c>
      <c r="AG154" s="160">
        <v>0</v>
      </c>
      <c r="AH154" s="160"/>
      <c r="AI154" s="160"/>
      <c r="AJ154" s="159">
        <f t="shared" ref="AJ154" si="2">SUM(T154:AI154)</f>
        <v>0</v>
      </c>
      <c r="AK154" s="95"/>
      <c r="AL154" s="95"/>
      <c r="AM154" s="95"/>
    </row>
    <row r="155" spans="2:42" ht="14.4" customHeight="1" x14ac:dyDescent="0.3">
      <c r="L155" s="42"/>
      <c r="M155" s="42"/>
      <c r="N155" s="42"/>
      <c r="O155" s="42"/>
      <c r="P155" s="42"/>
      <c r="Q155" s="259"/>
      <c r="R155" s="42"/>
      <c r="S155" s="42"/>
      <c r="T155" s="42"/>
      <c r="U155" s="42"/>
      <c r="V155" s="42"/>
      <c r="W155" s="42"/>
      <c r="X155" s="42"/>
      <c r="Y155" s="42"/>
      <c r="Z155" s="42"/>
      <c r="AA155" s="42"/>
      <c r="AB155" s="42"/>
      <c r="AC155" s="42"/>
      <c r="AD155" s="42"/>
      <c r="AE155" s="42"/>
      <c r="AF155" s="42"/>
      <c r="AG155" s="42"/>
      <c r="AH155" s="42"/>
      <c r="AI155" s="42"/>
      <c r="AJ155" s="42"/>
      <c r="AK155" s="42"/>
    </row>
    <row r="156" spans="2:42" ht="14.4" customHeight="1" x14ac:dyDescent="0.3">
      <c r="L156" s="42"/>
      <c r="M156" s="42"/>
      <c r="N156" s="42"/>
      <c r="O156" s="42"/>
      <c r="P156" s="42"/>
      <c r="Q156" s="259"/>
      <c r="R156" s="42"/>
      <c r="S156" s="42"/>
      <c r="T156" s="42"/>
      <c r="U156" s="42"/>
      <c r="V156" s="42"/>
      <c r="W156" s="42"/>
      <c r="X156" s="42"/>
      <c r="Y156" s="42"/>
      <c r="Z156" s="42"/>
      <c r="AA156" s="42"/>
      <c r="AB156" s="42"/>
      <c r="AC156" s="42"/>
      <c r="AD156" s="42"/>
      <c r="AE156" s="42"/>
      <c r="AF156" s="42"/>
      <c r="AG156" s="42"/>
      <c r="AH156" s="42"/>
      <c r="AI156" s="42"/>
      <c r="AJ156" s="42"/>
      <c r="AK156" s="42"/>
    </row>
    <row r="157" spans="2:42" ht="14.4" customHeight="1" x14ac:dyDescent="0.3">
      <c r="L157" s="42"/>
      <c r="M157" s="42"/>
      <c r="N157" s="42"/>
      <c r="O157" s="42"/>
      <c r="P157" s="42"/>
      <c r="Q157" s="259"/>
      <c r="R157" s="42"/>
      <c r="S157" s="42"/>
      <c r="T157" s="42"/>
      <c r="U157" s="42"/>
      <c r="V157" s="42"/>
      <c r="W157" s="42"/>
      <c r="X157" s="42"/>
      <c r="Y157" s="42"/>
      <c r="Z157" s="42"/>
      <c r="AA157" s="42"/>
      <c r="AB157" s="42"/>
      <c r="AC157" s="42"/>
      <c r="AD157" s="42"/>
      <c r="AE157" s="42"/>
      <c r="AF157" s="42"/>
      <c r="AG157" s="42"/>
      <c r="AH157" s="42"/>
      <c r="AI157" s="42"/>
      <c r="AJ157" s="42"/>
      <c r="AK157" s="42"/>
    </row>
    <row r="158" spans="2:42" ht="14.4" customHeight="1" x14ac:dyDescent="0.3">
      <c r="L158" s="42"/>
      <c r="M158" s="42"/>
      <c r="N158" s="42"/>
      <c r="O158" s="42"/>
      <c r="P158" s="42"/>
      <c r="Q158" s="259"/>
      <c r="R158" s="42"/>
      <c r="S158" s="42"/>
      <c r="T158" s="42"/>
      <c r="U158" s="42"/>
      <c r="V158" s="42"/>
      <c r="W158" s="42"/>
      <c r="X158" s="42"/>
      <c r="Y158" s="42"/>
      <c r="Z158" s="42"/>
      <c r="AA158" s="42"/>
      <c r="AB158" s="42"/>
      <c r="AC158" s="42"/>
      <c r="AD158" s="42"/>
      <c r="AE158" s="42"/>
      <c r="AF158" s="42"/>
      <c r="AG158" s="42"/>
      <c r="AH158" s="42"/>
      <c r="AI158" s="42"/>
      <c r="AJ158" s="42"/>
      <c r="AK158" s="42"/>
    </row>
    <row r="159" spans="2:42" ht="14.4" customHeight="1" x14ac:dyDescent="0.3">
      <c r="L159" s="42"/>
      <c r="M159" s="42"/>
      <c r="N159" s="42"/>
      <c r="O159" s="42"/>
      <c r="P159" s="42"/>
      <c r="Q159" s="259"/>
      <c r="R159" s="42"/>
      <c r="S159" s="42"/>
      <c r="T159" s="42"/>
      <c r="U159" s="42"/>
      <c r="V159" s="42"/>
      <c r="W159" s="42"/>
      <c r="X159" s="42"/>
      <c r="Y159" s="42"/>
      <c r="Z159" s="42"/>
      <c r="AA159" s="42"/>
      <c r="AB159" s="42"/>
      <c r="AC159" s="42"/>
      <c r="AD159" s="42"/>
      <c r="AE159" s="42"/>
      <c r="AF159" s="42"/>
      <c r="AG159" s="42"/>
      <c r="AH159" s="42"/>
      <c r="AI159" s="42"/>
      <c r="AJ159" s="42"/>
      <c r="AK159" s="42"/>
    </row>
    <row r="160" spans="2:42" ht="14.4" customHeight="1" x14ac:dyDescent="0.3">
      <c r="L160" s="42"/>
      <c r="M160" s="42"/>
      <c r="N160" s="42"/>
      <c r="O160" s="42"/>
      <c r="P160" s="42"/>
      <c r="Q160" s="259"/>
      <c r="R160" s="42"/>
      <c r="S160" s="42"/>
      <c r="T160" s="42"/>
      <c r="U160" s="42"/>
      <c r="V160" s="42"/>
      <c r="W160" s="42"/>
      <c r="X160" s="42"/>
      <c r="Y160" s="42"/>
      <c r="Z160" s="42"/>
      <c r="AA160" s="42"/>
      <c r="AB160" s="42"/>
      <c r="AC160" s="42"/>
      <c r="AD160" s="42"/>
      <c r="AE160" s="42"/>
      <c r="AF160" s="42"/>
      <c r="AG160" s="42"/>
      <c r="AH160" s="42"/>
      <c r="AI160" s="42"/>
      <c r="AJ160" s="42"/>
      <c r="AK160" s="42"/>
    </row>
    <row r="161" spans="2:41" ht="14.4" customHeight="1" x14ac:dyDescent="0.3">
      <c r="L161" s="42"/>
      <c r="M161" s="42"/>
      <c r="N161" s="42"/>
      <c r="O161" s="42"/>
      <c r="P161" s="42"/>
      <c r="Q161" s="259"/>
      <c r="R161" s="42"/>
      <c r="S161" s="42"/>
      <c r="T161" s="42"/>
      <c r="U161" s="42"/>
      <c r="V161" s="42"/>
      <c r="W161" s="42"/>
      <c r="X161" s="42"/>
      <c r="Y161" s="42"/>
      <c r="Z161" s="42"/>
      <c r="AA161" s="42"/>
      <c r="AB161" s="42"/>
      <c r="AC161" s="42"/>
      <c r="AD161" s="42"/>
      <c r="AE161" s="42"/>
      <c r="AF161" s="42"/>
      <c r="AG161" s="42"/>
      <c r="AH161" s="42"/>
      <c r="AI161" s="42"/>
      <c r="AJ161" s="42"/>
      <c r="AK161" s="42"/>
    </row>
    <row r="162" spans="2:41" ht="14.4" customHeight="1" x14ac:dyDescent="0.3">
      <c r="L162" s="42"/>
      <c r="M162" s="42"/>
      <c r="N162" s="42"/>
      <c r="O162" s="42"/>
      <c r="P162" s="42"/>
      <c r="Q162" s="259"/>
      <c r="R162" s="42"/>
      <c r="S162" s="42"/>
      <c r="T162" s="42"/>
      <c r="U162" s="42"/>
      <c r="V162" s="42"/>
      <c r="W162" s="42"/>
      <c r="X162" s="42"/>
      <c r="Y162" s="42"/>
      <c r="Z162" s="42"/>
      <c r="AA162" s="42"/>
      <c r="AB162" s="42"/>
      <c r="AC162" s="42"/>
      <c r="AD162" s="42"/>
      <c r="AE162" s="42"/>
      <c r="AF162" s="42"/>
      <c r="AG162" s="42"/>
      <c r="AH162" s="42"/>
      <c r="AI162" s="42"/>
      <c r="AJ162" s="42"/>
      <c r="AK162" s="42"/>
    </row>
    <row r="163" spans="2:41" ht="14.4" customHeight="1" x14ac:dyDescent="0.3">
      <c r="L163" s="42"/>
      <c r="M163" s="42"/>
      <c r="N163" s="42"/>
      <c r="O163" s="42"/>
      <c r="P163" s="42"/>
      <c r="Q163" s="259"/>
      <c r="R163" s="42"/>
      <c r="S163" s="42"/>
      <c r="T163" s="42"/>
      <c r="U163" s="42"/>
      <c r="V163" s="42"/>
      <c r="W163" s="42"/>
      <c r="X163" s="42"/>
      <c r="Y163" s="42"/>
      <c r="Z163" s="42"/>
      <c r="AA163" s="42"/>
      <c r="AB163" s="42"/>
      <c r="AC163" s="42"/>
      <c r="AD163" s="42"/>
      <c r="AE163" s="42"/>
      <c r="AF163" s="42"/>
      <c r="AG163" s="42"/>
      <c r="AH163" s="42"/>
      <c r="AI163" s="42"/>
      <c r="AJ163" s="42"/>
      <c r="AK163" s="42"/>
    </row>
    <row r="164" spans="2:41" ht="14.4" customHeight="1" x14ac:dyDescent="0.3">
      <c r="L164" s="42"/>
      <c r="M164" s="42"/>
      <c r="N164" s="42"/>
      <c r="O164" s="42"/>
      <c r="P164" s="42"/>
      <c r="Q164" s="259"/>
      <c r="R164" s="42"/>
      <c r="S164" s="42"/>
      <c r="T164" s="42"/>
      <c r="U164" s="42"/>
      <c r="V164" s="42"/>
      <c r="W164" s="42"/>
      <c r="X164" s="42"/>
      <c r="Y164" s="42"/>
      <c r="Z164" s="42"/>
      <c r="AA164" s="42"/>
      <c r="AB164" s="42"/>
      <c r="AC164" s="42"/>
      <c r="AD164" s="42"/>
      <c r="AE164" s="42"/>
      <c r="AF164" s="42"/>
      <c r="AG164" s="42"/>
      <c r="AH164" s="42"/>
      <c r="AI164" s="42"/>
      <c r="AJ164" s="42"/>
      <c r="AK164" s="42"/>
    </row>
    <row r="165" spans="2:41" ht="14.4" customHeight="1" x14ac:dyDescent="0.3"/>
    <row r="166" spans="2:41" ht="14.4" customHeight="1" x14ac:dyDescent="0.3"/>
    <row r="167" spans="2:41" ht="14.4" customHeight="1" x14ac:dyDescent="0.3"/>
    <row r="168" spans="2:41" ht="14.4" customHeight="1" x14ac:dyDescent="0.3"/>
    <row r="169" spans="2:41" ht="14.4" customHeight="1" x14ac:dyDescent="0.3">
      <c r="B169" s="95"/>
      <c r="C169" s="95"/>
      <c r="D169" s="95"/>
      <c r="E169" s="95"/>
      <c r="F169" s="95"/>
      <c r="G169" s="95"/>
      <c r="J169" s="95"/>
      <c r="K169" s="95"/>
      <c r="L169" s="95"/>
      <c r="M169" s="95"/>
      <c r="N169" s="95"/>
      <c r="O169" s="95"/>
      <c r="R169" s="95"/>
      <c r="S169" s="95"/>
      <c r="T169" s="95"/>
      <c r="U169" s="95"/>
      <c r="V169" s="95"/>
      <c r="W169" s="95"/>
      <c r="X169" s="95"/>
      <c r="Y169" s="95"/>
      <c r="Z169" s="95"/>
      <c r="AA169" s="95"/>
      <c r="AC169" s="95"/>
      <c r="AD169" s="95"/>
      <c r="AE169" s="95"/>
      <c r="AF169" s="95"/>
      <c r="AG169" s="95"/>
      <c r="AH169" s="95"/>
      <c r="AI169" s="95"/>
      <c r="AJ169" s="95"/>
      <c r="AK169" s="95"/>
      <c r="AL169" s="95"/>
      <c r="AM169" s="95"/>
      <c r="AN169" s="95"/>
      <c r="AO169" s="95"/>
    </row>
    <row r="170" spans="2:41" ht="14.4" customHeight="1" x14ac:dyDescent="0.3"/>
    <row r="171" spans="2:41" ht="14.4" customHeight="1" x14ac:dyDescent="0.3"/>
    <row r="172" spans="2:41" ht="14.4" customHeight="1" x14ac:dyDescent="0.3"/>
    <row r="173" spans="2:41" ht="14.4" customHeight="1" x14ac:dyDescent="0.3"/>
    <row r="174" spans="2:41" ht="14.4" customHeight="1" x14ac:dyDescent="0.3">
      <c r="B174" s="95"/>
      <c r="D174" s="95"/>
      <c r="E174" s="95"/>
      <c r="J174" s="95"/>
      <c r="L174" s="95"/>
      <c r="M174" s="95"/>
      <c r="N174" s="95"/>
      <c r="O174" s="95"/>
      <c r="R174" s="95"/>
      <c r="AK174" s="95"/>
      <c r="AL174" s="95"/>
      <c r="AM174" s="95"/>
    </row>
    <row r="175" spans="2:41" ht="14.4" customHeight="1" x14ac:dyDescent="0.3">
      <c r="B175" s="95"/>
      <c r="D175" s="95"/>
      <c r="E175" s="95"/>
      <c r="F175" s="95"/>
      <c r="G175" s="95"/>
      <c r="J175" s="95"/>
      <c r="K175" s="95"/>
      <c r="L175" s="95"/>
      <c r="M175" s="95"/>
      <c r="N175" s="95"/>
      <c r="O175" s="95"/>
      <c r="R175" s="95"/>
      <c r="S175" s="95"/>
      <c r="T175" s="95"/>
      <c r="U175" s="95"/>
      <c r="V175" s="95"/>
      <c r="W175" s="95"/>
      <c r="X175" s="95"/>
      <c r="Y175" s="95"/>
      <c r="Z175" s="95"/>
      <c r="AA175" s="95"/>
      <c r="AC175" s="95"/>
      <c r="AD175" s="95"/>
      <c r="AE175" s="95"/>
      <c r="AF175" s="95"/>
      <c r="AG175" s="95"/>
      <c r="AH175" s="95"/>
      <c r="AI175" s="95"/>
      <c r="AJ175" s="95"/>
      <c r="AK175" s="95"/>
      <c r="AL175" s="95"/>
      <c r="AM175" s="95"/>
      <c r="AN175" s="95"/>
    </row>
    <row r="176" spans="2:41" ht="14.4" customHeight="1" x14ac:dyDescent="0.3"/>
    <row r="177" spans="19:36" ht="14.4" customHeight="1" x14ac:dyDescent="0.3"/>
    <row r="178" spans="19:36" ht="14.4" customHeight="1" x14ac:dyDescent="0.3"/>
    <row r="179" spans="19:36" ht="14.4" customHeight="1" x14ac:dyDescent="0.3"/>
    <row r="180" spans="19:36" ht="14.4" customHeight="1" x14ac:dyDescent="0.3"/>
    <row r="181" spans="19:36" ht="14.4" customHeight="1" x14ac:dyDescent="0.3"/>
    <row r="182" spans="19:36" ht="14.4" customHeight="1" x14ac:dyDescent="0.3"/>
    <row r="183" spans="19:36" ht="14.4" customHeight="1" x14ac:dyDescent="0.3">
      <c r="S183" s="95"/>
      <c r="T183" s="95"/>
      <c r="U183" s="95"/>
      <c r="V183" s="95"/>
      <c r="W183" s="95"/>
      <c r="X183" s="95"/>
      <c r="Y183" s="95"/>
      <c r="Z183" s="95"/>
      <c r="AA183" s="95"/>
      <c r="AC183" s="95"/>
      <c r="AD183" s="95"/>
      <c r="AE183" s="95"/>
      <c r="AF183" s="95"/>
      <c r="AG183" s="95"/>
      <c r="AH183" s="95"/>
      <c r="AI183" s="95"/>
      <c r="AJ183" s="95"/>
    </row>
    <row r="184" spans="19:36" ht="14.4" customHeight="1" x14ac:dyDescent="0.3"/>
    <row r="185" spans="19:36" ht="14.4" customHeight="1" x14ac:dyDescent="0.3"/>
    <row r="186" spans="19:36" ht="14.4" customHeight="1" x14ac:dyDescent="0.3"/>
    <row r="187" spans="19:36" ht="14.4" customHeight="1" x14ac:dyDescent="0.3"/>
    <row r="188" spans="19:36" ht="14.4" customHeight="1" x14ac:dyDescent="0.3"/>
    <row r="189" spans="19:36" ht="14.4" customHeight="1" x14ac:dyDescent="0.3"/>
    <row r="190" spans="19:36" ht="14.4" customHeight="1" x14ac:dyDescent="0.3"/>
    <row r="191" spans="19:36" ht="14.4" customHeight="1" x14ac:dyDescent="0.3"/>
    <row r="192" spans="19:36" ht="14.4" customHeight="1" x14ac:dyDescent="0.3"/>
    <row r="193" spans="28:39" ht="14.4" customHeight="1" x14ac:dyDescent="0.3"/>
    <row r="194" spans="28:39" ht="14.4" customHeight="1" x14ac:dyDescent="0.3"/>
    <row r="195" spans="28:39" ht="14.4" customHeight="1" x14ac:dyDescent="0.3">
      <c r="AB195"/>
      <c r="AE195" s="52"/>
      <c r="AF195"/>
      <c r="AK195" s="85"/>
      <c r="AM195"/>
    </row>
    <row r="196" spans="28:39" ht="14.4" customHeight="1" x14ac:dyDescent="0.3">
      <c r="AB196"/>
      <c r="AE196" s="52"/>
      <c r="AF196"/>
      <c r="AK196" s="85"/>
      <c r="AM196"/>
    </row>
    <row r="197" spans="28:39" ht="14.4" customHeight="1" x14ac:dyDescent="0.3"/>
    <row r="198" spans="28:39" ht="14.4" customHeight="1" x14ac:dyDescent="0.3"/>
    <row r="199" spans="28:39" ht="14.4" customHeight="1" x14ac:dyDescent="0.3"/>
    <row r="200" spans="28:39" ht="14.4" customHeight="1" x14ac:dyDescent="0.3"/>
    <row r="201" spans="28:39" ht="14.4" customHeight="1" x14ac:dyDescent="0.3"/>
    <row r="202" spans="28:39" ht="14.4" customHeight="1" x14ac:dyDescent="0.3"/>
    <row r="203" spans="28:39" ht="14.4" customHeight="1" x14ac:dyDescent="0.3"/>
    <row r="204" spans="28:39" ht="14.4" customHeight="1" x14ac:dyDescent="0.3"/>
    <row r="205" spans="28:39" ht="14.4" customHeight="1" x14ac:dyDescent="0.3"/>
    <row r="206" spans="28:39" ht="14.4" customHeight="1" x14ac:dyDescent="0.3"/>
    <row r="207" spans="28:39" ht="14.4" customHeight="1" x14ac:dyDescent="0.3"/>
    <row r="208" spans="28:39" ht="14.4" customHeight="1" x14ac:dyDescent="0.3"/>
    <row r="209" ht="14.4" customHeight="1" x14ac:dyDescent="0.3"/>
    <row r="210" ht="14.4" customHeight="1" x14ac:dyDescent="0.3"/>
    <row r="211" ht="14.4" customHeight="1" x14ac:dyDescent="0.3"/>
    <row r="212" ht="14.4" customHeight="1" x14ac:dyDescent="0.3"/>
    <row r="213" ht="14.4" customHeight="1" x14ac:dyDescent="0.3"/>
    <row r="214" ht="14.4" customHeight="1" x14ac:dyDescent="0.3"/>
    <row r="215" ht="14.4" customHeight="1" x14ac:dyDescent="0.3"/>
    <row r="216" ht="14.4" customHeight="1" x14ac:dyDescent="0.3"/>
    <row r="217" ht="14.4" customHeight="1" x14ac:dyDescent="0.3"/>
    <row r="218" ht="14.4" customHeight="1" x14ac:dyDescent="0.3"/>
    <row r="219" ht="14.4" customHeight="1" x14ac:dyDescent="0.3"/>
    <row r="220" ht="14.4" customHeight="1" x14ac:dyDescent="0.3"/>
    <row r="221" ht="14.4" customHeight="1" x14ac:dyDescent="0.3"/>
    <row r="222" ht="14.4" customHeight="1" x14ac:dyDescent="0.3"/>
    <row r="223" ht="14.4" customHeight="1" x14ac:dyDescent="0.3"/>
    <row r="224" ht="14.4" customHeight="1" x14ac:dyDescent="0.3"/>
    <row r="225" ht="14.4" customHeight="1" x14ac:dyDescent="0.3"/>
    <row r="226" ht="14.4" customHeight="1" x14ac:dyDescent="0.3"/>
    <row r="227" ht="14.4" customHeight="1" x14ac:dyDescent="0.3"/>
    <row r="228" ht="14.4" customHeight="1" x14ac:dyDescent="0.3"/>
    <row r="229" ht="14.4" customHeight="1" x14ac:dyDescent="0.3"/>
    <row r="230" ht="14.4" customHeight="1" x14ac:dyDescent="0.3"/>
    <row r="231" ht="14.4" customHeight="1" x14ac:dyDescent="0.3"/>
    <row r="232" ht="14.4" customHeight="1" x14ac:dyDescent="0.3"/>
    <row r="233" ht="14.4" customHeight="1" x14ac:dyDescent="0.3"/>
    <row r="234" ht="14.4" customHeight="1" x14ac:dyDescent="0.3"/>
    <row r="235" ht="14.4" customHeight="1" x14ac:dyDescent="0.3"/>
    <row r="236" ht="14.4" customHeight="1" x14ac:dyDescent="0.3"/>
    <row r="237" ht="14.4" customHeight="1" x14ac:dyDescent="0.3"/>
    <row r="238" ht="14.4" customHeight="1" x14ac:dyDescent="0.3"/>
    <row r="239" ht="14.4" customHeight="1" x14ac:dyDescent="0.3"/>
    <row r="240" ht="14.4" customHeight="1" x14ac:dyDescent="0.3"/>
    <row r="241" ht="14.4" customHeight="1" x14ac:dyDescent="0.3"/>
    <row r="242" ht="14.4" customHeight="1" x14ac:dyDescent="0.3"/>
    <row r="243" ht="14.4" customHeight="1" x14ac:dyDescent="0.3"/>
    <row r="244" ht="14.4" customHeight="1" x14ac:dyDescent="0.3"/>
    <row r="245" ht="14.4" customHeight="1" x14ac:dyDescent="0.3"/>
    <row r="246" ht="14.4" customHeight="1" x14ac:dyDescent="0.3"/>
    <row r="247" ht="14.4" customHeight="1" x14ac:dyDescent="0.3"/>
    <row r="248" ht="14.4" customHeight="1" x14ac:dyDescent="0.3"/>
    <row r="249" ht="14.4" customHeight="1" x14ac:dyDescent="0.3"/>
    <row r="250" ht="14.4" customHeight="1" x14ac:dyDescent="0.3"/>
    <row r="251" ht="14.4" customHeight="1" x14ac:dyDescent="0.3"/>
    <row r="252" ht="14.4" customHeight="1" x14ac:dyDescent="0.3"/>
    <row r="253" ht="14.4" customHeight="1" x14ac:dyDescent="0.3"/>
    <row r="254" ht="14.4" customHeight="1" x14ac:dyDescent="0.3"/>
    <row r="255" ht="14.4" customHeight="1" x14ac:dyDescent="0.3"/>
    <row r="256" ht="14.4" customHeight="1" x14ac:dyDescent="0.3"/>
    <row r="257" ht="14.4" customHeight="1" x14ac:dyDescent="0.3"/>
    <row r="258" ht="14.4" customHeight="1" x14ac:dyDescent="0.3"/>
    <row r="259" ht="14.4" customHeight="1" x14ac:dyDescent="0.3"/>
    <row r="260" ht="14.4" customHeight="1" x14ac:dyDescent="0.3"/>
    <row r="261" ht="14.4" customHeight="1" x14ac:dyDescent="0.3"/>
    <row r="262" ht="14.4" customHeight="1" x14ac:dyDescent="0.3"/>
    <row r="263" ht="14.4" customHeight="1" x14ac:dyDescent="0.3"/>
    <row r="264" ht="14.4" customHeight="1" x14ac:dyDescent="0.3"/>
    <row r="265" ht="14.4" customHeight="1" x14ac:dyDescent="0.3"/>
    <row r="266" ht="14.4" customHeight="1" x14ac:dyDescent="0.3"/>
    <row r="267" ht="14.4" customHeight="1" x14ac:dyDescent="0.3"/>
    <row r="268" ht="14.4" customHeight="1" x14ac:dyDescent="0.3"/>
    <row r="269" ht="14.4" customHeight="1" x14ac:dyDescent="0.3"/>
    <row r="270" ht="14.4" customHeight="1" x14ac:dyDescent="0.3"/>
    <row r="271" ht="14.4" customHeight="1" x14ac:dyDescent="0.3"/>
    <row r="272" ht="14.4" customHeight="1" x14ac:dyDescent="0.3"/>
    <row r="273" ht="14.4" customHeight="1" x14ac:dyDescent="0.3"/>
    <row r="274" ht="14.4" customHeight="1" x14ac:dyDescent="0.3"/>
    <row r="275" ht="14.4" customHeight="1" x14ac:dyDescent="0.3"/>
    <row r="276" ht="14.4" customHeight="1" x14ac:dyDescent="0.3"/>
    <row r="277" ht="14.4" customHeight="1" x14ac:dyDescent="0.3"/>
    <row r="278" ht="14.4" customHeight="1" x14ac:dyDescent="0.3"/>
    <row r="279" ht="14.4" customHeight="1" x14ac:dyDescent="0.3"/>
    <row r="280" ht="14.4" customHeight="1" x14ac:dyDescent="0.3"/>
    <row r="281" ht="14.4" customHeight="1" x14ac:dyDescent="0.3"/>
    <row r="282" ht="14.4" customHeight="1" x14ac:dyDescent="0.3"/>
    <row r="283" ht="14.4" customHeight="1" x14ac:dyDescent="0.3"/>
    <row r="284" ht="14.4" customHeight="1" x14ac:dyDescent="0.3"/>
    <row r="285" ht="14.4" customHeight="1" x14ac:dyDescent="0.3"/>
    <row r="286" ht="14.4" customHeight="1" x14ac:dyDescent="0.3"/>
    <row r="287" ht="14.4" customHeight="1" x14ac:dyDescent="0.3"/>
    <row r="288" ht="14.4" customHeight="1" x14ac:dyDescent="0.3"/>
    <row r="289" ht="14.4" customHeight="1" x14ac:dyDescent="0.3"/>
    <row r="290" ht="14.4" customHeight="1" x14ac:dyDescent="0.3"/>
    <row r="291" ht="14.4" customHeight="1" x14ac:dyDescent="0.3"/>
    <row r="292" ht="14.4" customHeight="1" x14ac:dyDescent="0.3"/>
    <row r="293" ht="14.4" customHeight="1" x14ac:dyDescent="0.3"/>
    <row r="294" ht="14.4" customHeight="1" x14ac:dyDescent="0.3"/>
    <row r="295" ht="14.4" customHeight="1" x14ac:dyDescent="0.3"/>
    <row r="296" ht="14.4" customHeight="1" x14ac:dyDescent="0.3"/>
    <row r="297" ht="14.4" customHeight="1" x14ac:dyDescent="0.3"/>
    <row r="298" ht="14.4" customHeight="1" x14ac:dyDescent="0.3"/>
    <row r="299" ht="14.4" customHeight="1" x14ac:dyDescent="0.3"/>
    <row r="300" ht="14.4" customHeight="1" x14ac:dyDescent="0.3"/>
    <row r="301" ht="14.4" customHeight="1" x14ac:dyDescent="0.3"/>
    <row r="302" ht="14.4" customHeight="1" x14ac:dyDescent="0.3"/>
    <row r="303" ht="14.4" customHeight="1" x14ac:dyDescent="0.3"/>
    <row r="304" ht="14.4" customHeight="1" x14ac:dyDescent="0.3"/>
    <row r="305" ht="14.4" customHeight="1" x14ac:dyDescent="0.3"/>
    <row r="306" ht="14.4" customHeight="1" x14ac:dyDescent="0.3"/>
    <row r="307" ht="14.4" customHeight="1" x14ac:dyDescent="0.3"/>
    <row r="308" ht="14.4" customHeight="1" x14ac:dyDescent="0.3"/>
    <row r="309" ht="14.4" customHeight="1" x14ac:dyDescent="0.3"/>
    <row r="310" ht="14.4" customHeight="1" x14ac:dyDescent="0.3"/>
    <row r="311" ht="14.4" customHeight="1" x14ac:dyDescent="0.3"/>
    <row r="312" ht="14.4" customHeight="1" x14ac:dyDescent="0.3"/>
    <row r="313" ht="14.4" customHeight="1" x14ac:dyDescent="0.3"/>
    <row r="314" ht="14.4" customHeight="1" x14ac:dyDescent="0.3"/>
    <row r="315" ht="14.4" customHeight="1" x14ac:dyDescent="0.3"/>
    <row r="316" ht="14.4" customHeight="1" x14ac:dyDescent="0.3"/>
    <row r="317" ht="14.4" customHeight="1" x14ac:dyDescent="0.3"/>
    <row r="318" ht="14.4" customHeight="1" x14ac:dyDescent="0.3"/>
    <row r="319" ht="14.4" customHeight="1" x14ac:dyDescent="0.3"/>
    <row r="320" ht="14.4" customHeight="1" x14ac:dyDescent="0.3"/>
    <row r="321" ht="14.4" customHeight="1" x14ac:dyDescent="0.3"/>
    <row r="322" ht="14.4" customHeight="1" x14ac:dyDescent="0.3"/>
    <row r="323" ht="14.4" customHeight="1" x14ac:dyDescent="0.3"/>
    <row r="324" ht="14.4" customHeight="1" x14ac:dyDescent="0.3"/>
    <row r="325" ht="14.4" customHeight="1" x14ac:dyDescent="0.3"/>
    <row r="326" ht="14.4" customHeight="1" x14ac:dyDescent="0.3"/>
    <row r="327" ht="14.4" customHeight="1" x14ac:dyDescent="0.3"/>
    <row r="328" ht="14.4" customHeight="1" x14ac:dyDescent="0.3"/>
    <row r="329" ht="14.4" customHeight="1" x14ac:dyDescent="0.3"/>
    <row r="330" ht="14.4" customHeight="1" x14ac:dyDescent="0.3"/>
    <row r="331" ht="14.4" customHeight="1" x14ac:dyDescent="0.3"/>
    <row r="332" ht="14.4" customHeight="1" x14ac:dyDescent="0.3"/>
    <row r="333" ht="14.4" customHeight="1" x14ac:dyDescent="0.3"/>
    <row r="334" ht="14.4" customHeight="1" x14ac:dyDescent="0.3"/>
    <row r="335" ht="14.4" customHeight="1" x14ac:dyDescent="0.3"/>
    <row r="336" ht="14.4" customHeight="1" x14ac:dyDescent="0.3"/>
    <row r="337" ht="14.4" customHeight="1" x14ac:dyDescent="0.3"/>
    <row r="338" ht="14.4" customHeight="1" x14ac:dyDescent="0.3"/>
    <row r="339" ht="14.4" customHeight="1" x14ac:dyDescent="0.3"/>
    <row r="340" ht="14.4" customHeight="1" x14ac:dyDescent="0.3"/>
    <row r="341" ht="14.4" customHeight="1" x14ac:dyDescent="0.3"/>
    <row r="342" ht="14.4" customHeight="1" x14ac:dyDescent="0.3"/>
    <row r="343" ht="14.4" customHeight="1" x14ac:dyDescent="0.3"/>
    <row r="344" ht="14.4" customHeight="1" x14ac:dyDescent="0.3"/>
    <row r="345" ht="14.4" customHeight="1" x14ac:dyDescent="0.3"/>
    <row r="346" ht="14.4" customHeight="1" x14ac:dyDescent="0.3"/>
    <row r="347" ht="14.4" customHeight="1" x14ac:dyDescent="0.3"/>
    <row r="348" ht="14.4" customHeight="1" x14ac:dyDescent="0.3"/>
    <row r="349" ht="14.4" customHeight="1" x14ac:dyDescent="0.3"/>
    <row r="350" ht="14.4" customHeight="1" x14ac:dyDescent="0.3"/>
    <row r="351" ht="14.4" customHeight="1" x14ac:dyDescent="0.3"/>
    <row r="352" ht="14.4" customHeight="1" x14ac:dyDescent="0.3"/>
    <row r="353" ht="14.4" customHeight="1" x14ac:dyDescent="0.3"/>
    <row r="354" ht="14.4" customHeight="1" x14ac:dyDescent="0.3"/>
    <row r="355" ht="14.4" customHeight="1" x14ac:dyDescent="0.3"/>
    <row r="356" ht="14.4" customHeight="1" x14ac:dyDescent="0.3"/>
    <row r="357" ht="14.4" customHeight="1" x14ac:dyDescent="0.3"/>
    <row r="358" ht="14.4" customHeight="1" x14ac:dyDescent="0.3"/>
    <row r="359" ht="14.4" customHeight="1" x14ac:dyDescent="0.3"/>
    <row r="360" ht="14.4" customHeight="1" x14ac:dyDescent="0.3"/>
    <row r="361" ht="14.4" customHeight="1" x14ac:dyDescent="0.3"/>
    <row r="362" ht="14.4" customHeight="1" x14ac:dyDescent="0.3"/>
    <row r="363" ht="14.4" customHeight="1" x14ac:dyDescent="0.3"/>
    <row r="364" ht="14.4" customHeight="1" x14ac:dyDescent="0.3"/>
    <row r="365" ht="14.4" customHeight="1" x14ac:dyDescent="0.3"/>
    <row r="366" ht="14.4" customHeight="1" x14ac:dyDescent="0.3"/>
    <row r="367" ht="14.4" customHeight="1" x14ac:dyDescent="0.3"/>
    <row r="368" ht="14.4" customHeight="1" x14ac:dyDescent="0.3"/>
    <row r="369" ht="14.4" customHeight="1" x14ac:dyDescent="0.3"/>
    <row r="370" ht="14.4" customHeight="1" x14ac:dyDescent="0.3"/>
    <row r="371" ht="14.4" customHeight="1" x14ac:dyDescent="0.3"/>
    <row r="372" ht="14.4" customHeight="1" x14ac:dyDescent="0.3"/>
    <row r="373" ht="14.4" customHeight="1" x14ac:dyDescent="0.3"/>
    <row r="374" ht="14.4" customHeight="1" x14ac:dyDescent="0.3"/>
    <row r="375" ht="14.4" customHeight="1" x14ac:dyDescent="0.3"/>
    <row r="376" ht="14.4" customHeight="1" x14ac:dyDescent="0.3"/>
    <row r="377" ht="14.4" customHeight="1" x14ac:dyDescent="0.3"/>
    <row r="378" ht="14.4" customHeight="1" x14ac:dyDescent="0.3"/>
    <row r="379" ht="14.4" customHeight="1" x14ac:dyDescent="0.3"/>
    <row r="380" ht="14.4" customHeight="1" x14ac:dyDescent="0.3"/>
    <row r="381" ht="14.4" customHeight="1" x14ac:dyDescent="0.3"/>
    <row r="382" ht="14.4" customHeight="1" x14ac:dyDescent="0.3"/>
    <row r="383" ht="14.4" customHeight="1" x14ac:dyDescent="0.3"/>
    <row r="384" ht="14.4" customHeight="1" x14ac:dyDescent="0.3"/>
    <row r="385" ht="14.4" customHeight="1" x14ac:dyDescent="0.3"/>
    <row r="386" ht="14.4" customHeight="1" x14ac:dyDescent="0.3"/>
    <row r="387" ht="14.4" customHeight="1" x14ac:dyDescent="0.3"/>
    <row r="388" ht="14.4" customHeight="1" x14ac:dyDescent="0.3"/>
    <row r="389" ht="14.4" customHeight="1" x14ac:dyDescent="0.3"/>
    <row r="390" ht="14.4" customHeight="1" x14ac:dyDescent="0.3"/>
    <row r="391" ht="14.4" customHeight="1" x14ac:dyDescent="0.3"/>
    <row r="392" ht="14.4" customHeight="1" x14ac:dyDescent="0.3"/>
    <row r="393" ht="14.4" customHeight="1" x14ac:dyDescent="0.3"/>
    <row r="394" ht="14.4" customHeight="1" x14ac:dyDescent="0.3"/>
    <row r="395" ht="14.4" customHeight="1" x14ac:dyDescent="0.3"/>
    <row r="396" ht="14.4" customHeight="1" x14ac:dyDescent="0.3"/>
    <row r="397" ht="14.4" customHeight="1" x14ac:dyDescent="0.3"/>
    <row r="398" ht="14.4" customHeight="1" x14ac:dyDescent="0.3"/>
    <row r="399" ht="14.4" customHeight="1" x14ac:dyDescent="0.3"/>
    <row r="400" ht="14.4" customHeight="1" x14ac:dyDescent="0.3"/>
    <row r="401" ht="14.4" customHeight="1" x14ac:dyDescent="0.3"/>
    <row r="402" ht="14.4" customHeight="1" x14ac:dyDescent="0.3"/>
    <row r="403" ht="14.4" customHeight="1" x14ac:dyDescent="0.3"/>
    <row r="404" ht="14.4" customHeight="1" x14ac:dyDescent="0.3"/>
    <row r="405" ht="14.4" customHeight="1" x14ac:dyDescent="0.3"/>
    <row r="406" ht="14.4" customHeight="1" x14ac:dyDescent="0.3"/>
    <row r="407" ht="14.4" customHeight="1" x14ac:dyDescent="0.3"/>
    <row r="408" ht="14.4" customHeight="1" x14ac:dyDescent="0.3"/>
    <row r="409" ht="14.4" customHeight="1" x14ac:dyDescent="0.3"/>
    <row r="410" ht="14.4" customHeight="1" x14ac:dyDescent="0.3"/>
    <row r="411" ht="14.4" customHeight="1" x14ac:dyDescent="0.3"/>
    <row r="412" ht="14.4" customHeight="1" x14ac:dyDescent="0.3"/>
    <row r="413" ht="14.4" customHeight="1" x14ac:dyDescent="0.3"/>
    <row r="414" ht="14.4" customHeight="1" x14ac:dyDescent="0.3"/>
    <row r="415" ht="14.4" customHeight="1" x14ac:dyDescent="0.3"/>
    <row r="416" ht="14.4" customHeight="1" x14ac:dyDescent="0.3"/>
    <row r="417" ht="14.4" customHeight="1" x14ac:dyDescent="0.3"/>
    <row r="418" ht="14.4" customHeight="1" x14ac:dyDescent="0.3"/>
    <row r="419" ht="14.4" customHeight="1" x14ac:dyDescent="0.3"/>
    <row r="420" ht="14.4" customHeight="1" x14ac:dyDescent="0.3"/>
    <row r="421" ht="14.4" customHeight="1" x14ac:dyDescent="0.3"/>
    <row r="422" ht="14.4" customHeight="1" x14ac:dyDescent="0.3"/>
    <row r="423" ht="14.4" customHeight="1" x14ac:dyDescent="0.3"/>
    <row r="424" ht="14.4" customHeight="1" x14ac:dyDescent="0.3"/>
    <row r="425" ht="14.4" customHeight="1" x14ac:dyDescent="0.3"/>
    <row r="426" ht="14.4" customHeight="1" x14ac:dyDescent="0.3"/>
    <row r="427" ht="14.4" customHeight="1" x14ac:dyDescent="0.3"/>
    <row r="428" ht="14.4" customHeight="1" x14ac:dyDescent="0.3"/>
    <row r="429" ht="14.4" customHeight="1" x14ac:dyDescent="0.3"/>
    <row r="430" ht="14.4" customHeight="1" x14ac:dyDescent="0.3"/>
    <row r="431" ht="14.4" customHeight="1" x14ac:dyDescent="0.3"/>
    <row r="432" ht="14.4" customHeight="1" x14ac:dyDescent="0.3"/>
    <row r="433" ht="14.4" customHeight="1" x14ac:dyDescent="0.3"/>
    <row r="434" ht="14.4" customHeight="1" x14ac:dyDescent="0.3"/>
    <row r="435" ht="14.4" customHeight="1" x14ac:dyDescent="0.3"/>
    <row r="436" ht="14.4" customHeight="1" x14ac:dyDescent="0.3"/>
    <row r="437" ht="14.4" customHeight="1" x14ac:dyDescent="0.3"/>
    <row r="438" ht="14.4" customHeight="1" x14ac:dyDescent="0.3"/>
    <row r="439" ht="14.4" customHeight="1" x14ac:dyDescent="0.3"/>
    <row r="440" ht="14.4" customHeight="1" x14ac:dyDescent="0.3"/>
    <row r="441" ht="14.4" customHeight="1" x14ac:dyDescent="0.3"/>
    <row r="442" ht="14.4" customHeight="1" x14ac:dyDescent="0.3"/>
    <row r="443" ht="14.4" customHeight="1" x14ac:dyDescent="0.3"/>
    <row r="444" ht="14.4" customHeight="1" x14ac:dyDescent="0.3"/>
    <row r="445" ht="14.4" customHeight="1" x14ac:dyDescent="0.3"/>
    <row r="446" ht="14.4" customHeight="1" x14ac:dyDescent="0.3"/>
    <row r="447" ht="14.4" customHeight="1" x14ac:dyDescent="0.3"/>
    <row r="448" ht="14.4" customHeight="1" x14ac:dyDescent="0.3"/>
    <row r="449" ht="14.4" customHeight="1" x14ac:dyDescent="0.3"/>
    <row r="450" ht="14.4" customHeight="1" x14ac:dyDescent="0.3"/>
    <row r="451" ht="14.4" customHeight="1" x14ac:dyDescent="0.3"/>
    <row r="452" ht="14.4" customHeight="1" x14ac:dyDescent="0.3"/>
    <row r="453" ht="14.4" customHeight="1" x14ac:dyDescent="0.3"/>
    <row r="454" ht="14.4" customHeight="1" x14ac:dyDescent="0.3"/>
    <row r="455" ht="14.4" customHeight="1" x14ac:dyDescent="0.3"/>
    <row r="456" ht="14.4" customHeight="1" x14ac:dyDescent="0.3"/>
    <row r="457" ht="14.4" customHeight="1" x14ac:dyDescent="0.3"/>
    <row r="458" ht="14.4" customHeight="1" x14ac:dyDescent="0.3"/>
    <row r="459" ht="14.4" customHeight="1" x14ac:dyDescent="0.3"/>
    <row r="460" ht="14.4" customHeight="1" x14ac:dyDescent="0.3"/>
    <row r="461" ht="14.4" customHeight="1" x14ac:dyDescent="0.3"/>
    <row r="462" ht="14.4" customHeight="1" x14ac:dyDescent="0.3"/>
    <row r="463" ht="14.4" customHeight="1" x14ac:dyDescent="0.3"/>
    <row r="464" ht="14.4" customHeight="1" x14ac:dyDescent="0.3"/>
    <row r="465" ht="14.4" customHeight="1" x14ac:dyDescent="0.3"/>
    <row r="466" ht="14.4" customHeight="1" x14ac:dyDescent="0.3"/>
    <row r="467" ht="14.4" customHeight="1" x14ac:dyDescent="0.3"/>
    <row r="468" ht="14.4" customHeight="1" x14ac:dyDescent="0.3"/>
    <row r="469" ht="14.4" customHeight="1" x14ac:dyDescent="0.3"/>
    <row r="470" ht="14.4" customHeight="1" x14ac:dyDescent="0.3"/>
    <row r="471" ht="14.4" customHeight="1" x14ac:dyDescent="0.3"/>
    <row r="472" ht="14.4" customHeight="1" x14ac:dyDescent="0.3"/>
    <row r="473" ht="14.4" customHeight="1" x14ac:dyDescent="0.3"/>
    <row r="474" ht="14.4" customHeight="1" x14ac:dyDescent="0.3"/>
    <row r="475" ht="14.4" customHeight="1" x14ac:dyDescent="0.3"/>
    <row r="476" ht="14.4" customHeight="1" x14ac:dyDescent="0.3"/>
    <row r="477" ht="14.4" customHeight="1" x14ac:dyDescent="0.3"/>
    <row r="478" ht="14.4" customHeight="1" x14ac:dyDescent="0.3"/>
    <row r="479" ht="14.4" customHeight="1" x14ac:dyDescent="0.3"/>
    <row r="480" ht="14.4" customHeight="1" x14ac:dyDescent="0.3"/>
    <row r="481" ht="14.4" customHeight="1" x14ac:dyDescent="0.3"/>
    <row r="482" ht="14.4" customHeight="1" x14ac:dyDescent="0.3"/>
    <row r="483" ht="14.4" customHeight="1" x14ac:dyDescent="0.3"/>
    <row r="484" ht="14.4" customHeight="1" x14ac:dyDescent="0.3"/>
    <row r="485" ht="14.4" customHeight="1" x14ac:dyDescent="0.3"/>
    <row r="486" ht="14.4" customHeight="1" x14ac:dyDescent="0.3"/>
    <row r="487" ht="14.4" customHeight="1" x14ac:dyDescent="0.3"/>
    <row r="488" ht="14.4" customHeight="1" x14ac:dyDescent="0.3"/>
    <row r="489" ht="14.4" customHeight="1" x14ac:dyDescent="0.3"/>
    <row r="490" ht="14.4" customHeight="1" x14ac:dyDescent="0.3"/>
    <row r="491" ht="14.4" customHeight="1" x14ac:dyDescent="0.3"/>
    <row r="492" ht="14.4" customHeight="1" x14ac:dyDescent="0.3"/>
    <row r="493" ht="14.4" customHeight="1" x14ac:dyDescent="0.3"/>
    <row r="494" ht="14.4" customHeight="1" x14ac:dyDescent="0.3"/>
    <row r="495" ht="14.4" customHeight="1" x14ac:dyDescent="0.3"/>
    <row r="496" ht="14.4" customHeight="1" x14ac:dyDescent="0.3"/>
    <row r="497" ht="14.4" customHeight="1" x14ac:dyDescent="0.3"/>
    <row r="498" ht="14.4" customHeight="1" x14ac:dyDescent="0.3"/>
    <row r="499" ht="14.4" customHeight="1" x14ac:dyDescent="0.3"/>
    <row r="500" ht="14.4" customHeight="1" x14ac:dyDescent="0.3"/>
  </sheetData>
  <sheetProtection sort="0" autoFilter="0" pivotTables="0"/>
  <autoFilter ref="A1:BI95"/>
  <sortState ref="A3:BI87">
    <sortCondition ref="AP3:AP87"/>
  </sortState>
  <conditionalFormatting sqref="AO2:AO96">
    <cfRule type="cellIs" dxfId="45" priority="105" operator="equal">
      <formula>"Stretch"</formula>
    </cfRule>
    <cfRule type="cellIs" dxfId="44" priority="106" operator="equal">
      <formula>"Accepted"</formula>
    </cfRule>
    <cfRule type="cellIs" dxfId="43" priority="107" operator="equal">
      <formula>"Unassigned"</formula>
    </cfRule>
  </conditionalFormatting>
  <conditionalFormatting sqref="AR3:AR95">
    <cfRule type="expression" dxfId="42" priority="79">
      <formula>AND(I3="EAD 15",AR3=0)</formula>
    </cfRule>
  </conditionalFormatting>
  <conditionalFormatting sqref="BH3:BH95">
    <cfRule type="expression" dxfId="41" priority="78">
      <formula>BH3&gt;0</formula>
    </cfRule>
  </conditionalFormatting>
  <conditionalFormatting sqref="AN3:AN95">
    <cfRule type="expression" dxfId="40" priority="76">
      <formula>LEFT(AN3,3)="Bad"</formula>
    </cfRule>
  </conditionalFormatting>
  <conditionalFormatting sqref="H92">
    <cfRule type="expression" dxfId="39" priority="44">
      <formula>AU92="OK"</formula>
    </cfRule>
    <cfRule type="expression" dxfId="38" priority="45">
      <formula>AU92="BAD"</formula>
    </cfRule>
  </conditionalFormatting>
  <conditionalFormatting sqref="G84">
    <cfRule type="expression" dxfId="37" priority="42">
      <formula>AT84="OK"</formula>
    </cfRule>
    <cfRule type="expression" dxfId="36" priority="43">
      <formula>AT84="BAD"</formula>
    </cfRule>
  </conditionalFormatting>
  <conditionalFormatting sqref="G11">
    <cfRule type="expression" dxfId="35" priority="40">
      <formula>AT11="OK"</formula>
    </cfRule>
    <cfRule type="expression" dxfId="34" priority="41">
      <formula>AT11="BAD"</formula>
    </cfRule>
  </conditionalFormatting>
  <conditionalFormatting sqref="G6">
    <cfRule type="expression" dxfId="33" priority="38">
      <formula>AT6="OK"</formula>
    </cfRule>
    <cfRule type="expression" dxfId="32" priority="39">
      <formula>AT6="BAD"</formula>
    </cfRule>
  </conditionalFormatting>
  <conditionalFormatting sqref="D78">
    <cfRule type="expression" dxfId="31" priority="34">
      <formula>AQ78="OK"</formula>
    </cfRule>
    <cfRule type="expression" dxfId="30" priority="35">
      <formula>AQ78="BAD"</formula>
    </cfRule>
  </conditionalFormatting>
  <conditionalFormatting sqref="F78">
    <cfRule type="expression" dxfId="29" priority="32">
      <formula>AS78="OK"</formula>
    </cfRule>
    <cfRule type="expression" dxfId="28" priority="33">
      <formula>AS78="BAD"</formula>
    </cfRule>
  </conditionalFormatting>
  <conditionalFormatting sqref="F35">
    <cfRule type="expression" dxfId="27" priority="30">
      <formula>AS35="OK"</formula>
    </cfRule>
    <cfRule type="expression" dxfId="26" priority="31">
      <formula>AS35="BAD"</formula>
    </cfRule>
  </conditionalFormatting>
  <conditionalFormatting sqref="F25">
    <cfRule type="expression" dxfId="25" priority="28">
      <formula>AS25="OK"</formula>
    </cfRule>
    <cfRule type="expression" dxfId="24" priority="29">
      <formula>AS25="BAD"</formula>
    </cfRule>
  </conditionalFormatting>
  <conditionalFormatting sqref="AL78">
    <cfRule type="expression" dxfId="23" priority="26">
      <formula>BY78="OK"</formula>
    </cfRule>
    <cfRule type="expression" dxfId="22" priority="27">
      <formula>BY78="BAD"</formula>
    </cfRule>
  </conditionalFormatting>
  <conditionalFormatting sqref="H91">
    <cfRule type="expression" dxfId="21" priority="9">
      <formula>AU91="OK"</formula>
    </cfRule>
    <cfRule type="expression" dxfId="20" priority="10">
      <formula>AU91="BAD"</formula>
    </cfRule>
  </conditionalFormatting>
  <conditionalFormatting sqref="D26">
    <cfRule type="expression" dxfId="19" priority="7">
      <formula>AQ26="OK"</formula>
    </cfRule>
    <cfRule type="expression" dxfId="18" priority="8">
      <formula>AQ26="BAD"</formula>
    </cfRule>
  </conditionalFormatting>
  <conditionalFormatting sqref="F49">
    <cfRule type="expression" dxfId="17" priority="5">
      <formula>AS49="OK"</formula>
    </cfRule>
    <cfRule type="expression" dxfId="16" priority="6">
      <formula>AS49="BAD"</formula>
    </cfRule>
  </conditionalFormatting>
  <conditionalFormatting sqref="I82">
    <cfRule type="expression" dxfId="15" priority="3">
      <formula>AV82="OK"</formula>
    </cfRule>
    <cfRule type="expression" dxfId="14" priority="4">
      <formula>AV82="BAD"</formula>
    </cfRule>
  </conditionalFormatting>
  <conditionalFormatting sqref="M59">
    <cfRule type="expression" dxfId="13" priority="1">
      <formula>AY59="OK"</formula>
    </cfRule>
    <cfRule type="expression" dxfId="12" priority="2">
      <formula>AY59="BAD"</formula>
    </cfRule>
  </conditionalFormatting>
  <conditionalFormatting sqref="T3:AH95">
    <cfRule type="cellIs" dxfId="11" priority="374" operator="equal">
      <formula>0</formula>
    </cfRule>
    <cfRule type="expression" dxfId="10" priority="375">
      <formula>AS3&lt;=T$99*0.9</formula>
    </cfRule>
    <cfRule type="expression" dxfId="9" priority="376">
      <formula>AS3&lt;=T$99</formula>
    </cfRule>
    <cfRule type="expression" dxfId="8" priority="377">
      <formula>AS3&gt;T$99</formula>
    </cfRule>
  </conditionalFormatting>
  <hyperlinks>
    <hyperlink ref="A87" r:id="rId1" location="action=com.ibm.team.workitem.viewWorkItem&amp;id=1017680" display="https://gdccm01.gddsi.com:9443/ccm/web/projects/MUOS SAFe 4.0 Project - action=com.ibm.team.workitem.viewWorkItem&amp;id=1017680"/>
    <hyperlink ref="A55" r:id="rId2" location="action=com.ibm.team.workitem.viewWorkItem&amp;id=1015911" display="https://gdccm01.gddsi.com:9443/ccm/web/projects/MUOS SAFe 4.0 Project - action=com.ibm.team.workitem.viewWorkItem&amp;id=1015911"/>
    <hyperlink ref="A61" r:id="rId3" location="action=com.ibm.team.workitem.viewWorkItem&amp;id=1015439" display="https://gdccm01.gddsi.com:9443/ccm/web/projects/MUOS SAFe 4.0 Project - action=com.ibm.team.workitem.viewWorkItem&amp;id=1015439"/>
    <hyperlink ref="A64" r:id="rId4" location="action=com.ibm.team.workitem.viewWorkItem&amp;id=1015153" display="https://gdccm01.gddsi.com:9443/ccm/web/projects/MUOS SAFe 4.0 Project - action=com.ibm.team.workitem.viewWorkItem&amp;id=1015153"/>
    <hyperlink ref="A62" r:id="rId5" location="action=com.ibm.team.workitem.viewWorkItem&amp;id=1015005" display="https://gdccm01.gddsi.com:9443/ccm/web/projects/MUOS SAFe 4.0 Project - action=com.ibm.team.workitem.viewWorkItem&amp;id=1015005"/>
    <hyperlink ref="A34" r:id="rId6" location="action=com.ibm.team.workitem.viewWorkItem&amp;id=1014602" display="https://gdccm01.gddsi.com:9443/ccm/web/projects/MUOS SAFe 4.0 Project - action=com.ibm.team.workitem.viewWorkItem&amp;id=1014602"/>
    <hyperlink ref="A33" r:id="rId7" location="action=com.ibm.team.workitem.viewWorkItem&amp;id=1014598" display="https://gdccm01.gddsi.com:9443/ccm/web/projects/MUOS SAFe 4.0 Project - action=com.ibm.team.workitem.viewWorkItem&amp;id=1014598"/>
    <hyperlink ref="A32" r:id="rId8" location="action=com.ibm.team.workitem.viewWorkItem&amp;id=1014597" display="https://gdccm01.gddsi.com:9443/ccm/web/projects/MUOS SAFe 4.0 Project - action=com.ibm.team.workitem.viewWorkItem&amp;id=1014597"/>
    <hyperlink ref="A30" r:id="rId9" location="action=com.ibm.team.workitem.viewWorkItem&amp;id=1014596" display="https://gdccm01.gddsi.com:9443/ccm/web/projects/MUOS SAFe 4.0 Project - action=com.ibm.team.workitem.viewWorkItem&amp;id=1014596"/>
    <hyperlink ref="A31" r:id="rId10" location="action=com.ibm.team.workitem.viewWorkItem&amp;id=1014595" display="https://gdccm01.gddsi.com:9443/ccm/web/projects/MUOS SAFe 4.0 Project - action=com.ibm.team.workitem.viewWorkItem&amp;id=1014595"/>
    <hyperlink ref="A81" r:id="rId11" location="action=com.ibm.team.workitem.viewWorkItem&amp;id=1014491" display="https://gdccm01.gddsi.com:9443/ccm/web/projects/MUOS SAFe 4.0 Project - action=com.ibm.team.workitem.viewWorkItem&amp;id=1014491"/>
    <hyperlink ref="A60" r:id="rId12" location="action=com.ibm.team.workitem.viewWorkItem&amp;id=1014387" display="https://gdccm01.gddsi.com:9443/ccm/web/projects/MUOS SAFe 4.0 Project - action=com.ibm.team.workitem.viewWorkItem&amp;id=1014387"/>
    <hyperlink ref="A58" r:id="rId13" location="action=com.ibm.team.workitem.viewWorkItem&amp;id=1014252" display="https://gdccm01.gddsi.com:9443/ccm/web/projects/MUOS SAFe 4.0 Project - action=com.ibm.team.workitem.viewWorkItem&amp;id=1014252"/>
    <hyperlink ref="A82" r:id="rId14" location="action=com.ibm.team.workitem.viewWorkItem&amp;id=1014023" display="https://gdccm01.gddsi.com:9443/ccm/web/projects/MUOS SAFe 4.0 Project - action=com.ibm.team.workitem.viewWorkItem&amp;id=1014023"/>
    <hyperlink ref="A84" r:id="rId15" location="action=com.ibm.team.workitem.viewWorkItem&amp;id=1013750" display="https://gdccm01.gddsi.com:9443/ccm/web/projects/MUOS SAFe 4.0 Project - action=com.ibm.team.workitem.viewWorkItem&amp;id=1013750"/>
    <hyperlink ref="A12" r:id="rId16" location="action=com.ibm.team.workitem.viewWorkItem&amp;id=1013657" display="https://gdccm01.gddsi.com:9443/ccm/web/projects/MUOS SAFe 4.0 Project - action=com.ibm.team.workitem.viewWorkItem&amp;id=1013657"/>
    <hyperlink ref="A10" r:id="rId17" location="action=com.ibm.team.workitem.viewWorkItem&amp;id=1013534" display="https://gdccm01.gddsi.com:9443/ccm/web/projects/MUOS SAFe 4.0 Project - action=com.ibm.team.workitem.viewWorkItem&amp;id=1013534"/>
    <hyperlink ref="A83" r:id="rId18" location="action=com.ibm.team.workitem.viewWorkItem&amp;id=1013496" display="https://gdccm01.gddsi.com:9443/ccm/web/projects/MUOS SAFe 4.0 Project - action=com.ibm.team.workitem.viewWorkItem&amp;id=1013496"/>
    <hyperlink ref="A66" r:id="rId19" location="action=com.ibm.team.workitem.viewWorkItem&amp;id=1013452" display="https://gdccm01.gddsi.com:9443/ccm/web/projects/MUOS SAFe 4.0 Project - action=com.ibm.team.workitem.viewWorkItem&amp;id=1013452"/>
    <hyperlink ref="A47" r:id="rId20" location="action=com.ibm.team.workitem.viewWorkItem&amp;id=1013234" display="https://gdccm01.gddsi.com:9443/ccm/web/projects/MUOS SAFe 4.0 Project - action=com.ibm.team.workitem.viewWorkItem&amp;id=1013234"/>
    <hyperlink ref="A67" r:id="rId21" location="action=com.ibm.team.workitem.viewWorkItem&amp;id=1013136" display="https://gdccm01.gddsi.com:9443/ccm/web/projects/MUOS SAFe 4.0 Project - action=com.ibm.team.workitem.viewWorkItem&amp;id=1013136"/>
    <hyperlink ref="A51" r:id="rId22" location="action=com.ibm.team.workitem.viewWorkItem&amp;id=1012996" display="https://gdccm01.gddsi.com:9443/ccm/web/projects/MUOS SAFe 4.0 Project - action=com.ibm.team.workitem.viewWorkItem&amp;id=1012996"/>
    <hyperlink ref="A35" r:id="rId23" location="action=com.ibm.team.workitem.viewWorkItem&amp;id=1012748" display="https://gdccm01.gddsi.com:9443/ccm/web/projects/MUOS SAFe 4.0 Project - action=com.ibm.team.workitem.viewWorkItem&amp;id=1012748"/>
    <hyperlink ref="A9" r:id="rId24" location="action=com.ibm.team.workitem.viewWorkItem&amp;id=1012588" display="https://gdccm01.gddsi.com:9443/ccm/web/projects/MUOS SAFe 4.0 Project - action=com.ibm.team.workitem.viewWorkItem&amp;id=1012588"/>
    <hyperlink ref="A85" r:id="rId25" location="action=com.ibm.team.workitem.viewWorkItem&amp;id=1012570" display="https://gdccm01.gddsi.com:9443/ccm/web/projects/MUOS SAFe 4.0 Project - action=com.ibm.team.workitem.viewWorkItem&amp;id=1012570"/>
    <hyperlink ref="A22" r:id="rId26" location="action=com.ibm.team.workitem.viewWorkItem&amp;id=1012540" display="https://gdccm01.gddsi.com:9443/ccm/web/projects/MUOS SAFe 4.0 Project - action=com.ibm.team.workitem.viewWorkItem&amp;id=1012540"/>
    <hyperlink ref="A24" r:id="rId27" location="action=com.ibm.team.workitem.viewWorkItem&amp;id=1012485" display="https://gdccm01.gddsi.com:9443/ccm/web/projects/MUOS SAFe 4.0 Project - action=com.ibm.team.workitem.viewWorkItem&amp;id=1012485"/>
    <hyperlink ref="A23" r:id="rId28" location="action=com.ibm.team.workitem.viewWorkItem&amp;id=1011441" display="https://gdccm01.gddsi.com:9443/ccm/web/projects/MUOS SAFe 4.0 Project - action=com.ibm.team.workitem.viewWorkItem&amp;id=1011441"/>
    <hyperlink ref="A21" r:id="rId29" location="action=com.ibm.team.workitem.viewWorkItem&amp;id=1011419" display="https://gdccm01.gddsi.com:9443/ccm/web/projects/MUOS SAFe 4.0 Project - action=com.ibm.team.workitem.viewWorkItem&amp;id=1011419"/>
    <hyperlink ref="A25" r:id="rId30" location="action=com.ibm.team.workitem.viewWorkItem&amp;id=1011394" display="https://gdccm01.gddsi.com:9443/ccm/web/projects/MUOS SAFe 4.0 Project - action=com.ibm.team.workitem.viewWorkItem&amp;id=1011394"/>
    <hyperlink ref="A19" r:id="rId31" location="action=com.ibm.team.workitem.viewWorkItem&amp;id=1011295" display="https://gdccm01.gddsi.com:9443/ccm/web/projects/MUOS SAFe 4.0 Project - action=com.ibm.team.workitem.viewWorkItem&amp;id=1011295"/>
    <hyperlink ref="A3" r:id="rId32" location="action=com.ibm.team.workitem.viewWorkItem&amp;id=1011150" display="https://gdccm01.gddsi.com:9443/ccm/web/projects/MUOS SAFe 4.0 Project - action=com.ibm.team.workitem.viewWorkItem&amp;id=1011150"/>
    <hyperlink ref="A11" r:id="rId33" location="action=com.ibm.team.workitem.viewWorkItem&amp;id=1011070" display="https://gdccm01.gddsi.com:9443/ccm/web/projects/MUOS SAFe 4.0 Project - action=com.ibm.team.workitem.viewWorkItem&amp;id=1011070"/>
    <hyperlink ref="A80" r:id="rId34" location="action=com.ibm.team.workitem.viewWorkItem&amp;id=1011001" display="https://gdccm01.gddsi.com:9443/ccm/web/projects/MUOS SAFe 4.0 Project - action=com.ibm.team.workitem.viewWorkItem&amp;id=1011001"/>
    <hyperlink ref="A26" r:id="rId35" location="action=com.ibm.team.workitem.viewWorkItem&amp;id=1010653" display="https://gdccm01.gddsi.com:9443/ccm/web/projects/MUOS SAFe 4.0 Project - action=com.ibm.team.workitem.viewWorkItem&amp;id=1010653"/>
    <hyperlink ref="A17" r:id="rId36" location="action=com.ibm.team.workitem.viewWorkItem&amp;id=1010421" display="https://gdccm01.gddsi.com:9443/ccm/web/projects/MUOS SAFe 4.0 Project - action=com.ibm.team.workitem.viewWorkItem&amp;id=1010421"/>
    <hyperlink ref="A54" r:id="rId37" location="action=com.ibm.team.workitem.viewWorkItem&amp;id=1009453" display="https://gdccm01.gddsi.com:9443/ccm/web/projects/MUOS SAFe 4.0 Project - action=com.ibm.team.workitem.viewWorkItem&amp;id=1009453"/>
    <hyperlink ref="A36" r:id="rId38" location="action=com.ibm.team.workitem.viewWorkItem&amp;id=1008620" display="https://gdccm01.gddsi.com:9443/ccm/web/projects/MUOS SAFe 4.0 Project - action=com.ibm.team.workitem.viewWorkItem&amp;id=1008620"/>
    <hyperlink ref="A40" r:id="rId39" location="action=com.ibm.team.workitem.viewWorkItem&amp;id=1008506" display="https://gdccm01.gddsi.com:9443/ccm/web/projects/MUOS SAFe 4.0 Project - action=com.ibm.team.workitem.viewWorkItem&amp;id=1008506"/>
    <hyperlink ref="A43" r:id="rId40" location="action=com.ibm.team.workitem.viewWorkItem&amp;id=1007900" display="https://gdccm01.gddsi.com:9443/ccm/web/projects/MUOS SAFe 4.0 Project - action=com.ibm.team.workitem.viewWorkItem&amp;id=1007900"/>
    <hyperlink ref="A65" r:id="rId41" location="action=com.ibm.team.workitem.viewWorkItem&amp;id=1007536" display="https://gdccm01.gddsi.com:9443/ccm/web/projects/MUOS SAFe 4.0 Project - action=com.ibm.team.workitem.viewWorkItem&amp;id=1007536"/>
    <hyperlink ref="A29" r:id="rId42" location="action=com.ibm.team.workitem.viewWorkItem&amp;id=1006376" display="https://gdccm01.gddsi.com:9443/ccm/web/projects/MUOS SAFe 4.0 Project - action=com.ibm.team.workitem.viewWorkItem&amp;id=1006376"/>
    <hyperlink ref="A63" r:id="rId43" location="action=com.ibm.team.workitem.viewWorkItem&amp;id=1006191" display="https://gdccm01.gddsi.com:9443/ccm/web/projects/MUOS SAFe 4.0 Project - action=com.ibm.team.workitem.viewWorkItem&amp;id=1006191"/>
    <hyperlink ref="A8" r:id="rId44" location="action=com.ibm.team.workitem.viewWorkItem&amp;id=1005403" display="https://gdccm01.gddsi.com:9443/ccm/web/projects/MUOS SAFe 4.0 Project - action=com.ibm.team.workitem.viewWorkItem&amp;id=1005403"/>
    <hyperlink ref="A20" r:id="rId45" location="action=com.ibm.team.workitem.viewWorkItem&amp;id=1005321" display="https://gdccm01.gddsi.com:9443/ccm/web/projects/MUOS SAFe 4.0 Project - action=com.ibm.team.workitem.viewWorkItem&amp;id=1005321"/>
    <hyperlink ref="A49" r:id="rId46" location="action=com.ibm.team.workitem.viewWorkItem&amp;id=1004171" display="https://gdccm01.gddsi.com:9443/ccm/web/projects/MUOS SAFe 4.0 Project - action=com.ibm.team.workitem.viewWorkItem&amp;id=1004171"/>
    <hyperlink ref="A77" r:id="rId47" location="action=com.ibm.team.workitem.viewWorkItem&amp;id=1002583" display="https://gdccm01.gddsi.com:9443/ccm/web/projects/MUOS SAFe 4.0 Project - action=com.ibm.team.workitem.viewWorkItem&amp;id=1002583"/>
    <hyperlink ref="A27" r:id="rId48" location="action=com.ibm.team.workitem.viewWorkItem&amp;id=1002477" display="https://gdccm01.gddsi.com:9443/ccm/web/projects/MUOS SAFe 4.0 Project - action=com.ibm.team.workitem.viewWorkItem&amp;id=1002477"/>
    <hyperlink ref="A42" r:id="rId49" location="action=com.ibm.team.workitem.viewWorkItem&amp;id=1002381" display="https://gdccm01.gddsi.com:9443/ccm/web/projects/MUOS SAFe 4.0 Project - action=com.ibm.team.workitem.viewWorkItem&amp;id=1002381"/>
    <hyperlink ref="A41" r:id="rId50" location="action=com.ibm.team.workitem.viewWorkItem&amp;id=1002345" display="https://gdccm01.gddsi.com:9443/ccm/web/projects/MUOS SAFe 4.0 Project - action=com.ibm.team.workitem.viewWorkItem&amp;id=1002345"/>
    <hyperlink ref="A57" r:id="rId51" location="action=com.ibm.team.workitem.viewWorkItem&amp;id=1001912" display="https://gdccm01.gddsi.com:9443/ccm/web/projects/MUOS SAFe 4.0 Project - action=com.ibm.team.workitem.viewWorkItem&amp;id=1001912"/>
    <hyperlink ref="A76" r:id="rId52" location="action=com.ibm.team.workitem.viewWorkItem&amp;id=1001062" display="https://gdccm01.gddsi.com:9443/ccm/web/projects/MUOS SAFe 4.0 Project - action=com.ibm.team.workitem.viewWorkItem&amp;id=1001062"/>
    <hyperlink ref="A69" r:id="rId53" location="action=com.ibm.team.workitem.viewWorkItem&amp;id=396669" display="https://gdccm01.gddsi.com:9443/ccm/web/projects/MUOS SAFe 4.0 Project - action=com.ibm.team.workitem.viewWorkItem&amp;id=396669"/>
    <hyperlink ref="A16" r:id="rId54" location="action=com.ibm.team.workitem.viewWorkItem&amp;id=396508" display="https://gdccm01.gddsi.com:9443/ccm/web/projects/MUOS SAFe 4.0 Project - action=com.ibm.team.workitem.viewWorkItem&amp;id=396508"/>
    <hyperlink ref="A15" r:id="rId55" location="action=com.ibm.team.workitem.viewWorkItem&amp;id=396001" display="https://gdccm01.gddsi.com:9443/ccm/web/projects/MUOS SAFe 4.0 Project - action=com.ibm.team.workitem.viewWorkItem&amp;id=396001"/>
    <hyperlink ref="A6" r:id="rId56" location="action=com.ibm.team.workitem.viewWorkItem&amp;id=395897" display="https://gdccm01.gddsi.com:9443/ccm/web/projects/MUOS SAFe 4.0 Project - action=com.ibm.team.workitem.viewWorkItem&amp;id=395897"/>
    <hyperlink ref="A18" r:id="rId57" location="action=com.ibm.team.workitem.viewWorkItem&amp;id=395855" display="https://gdccm01.gddsi.com:9443/ccm/web/projects/MUOS SAFe 4.0 Project - action=com.ibm.team.workitem.viewWorkItem&amp;id=395855"/>
    <hyperlink ref="A4" r:id="rId58" location="action=com.ibm.team.workitem.viewWorkItem&amp;id=395853" display="https://gdccm01.gddsi.com:9443/ccm/web/projects/MUOS SAFe 4.0 Project - action=com.ibm.team.workitem.viewWorkItem&amp;id=395853"/>
    <hyperlink ref="A5" r:id="rId59" location="action=com.ibm.team.workitem.viewWorkItem&amp;id=395688" display="https://gdccm01.gddsi.com:9443/ccm/web/projects/MUOS SAFe 4.0 Project - action=com.ibm.team.workitem.viewWorkItem&amp;id=395688"/>
    <hyperlink ref="A7" r:id="rId60" location="action=com.ibm.team.workitem.viewWorkItem&amp;id=395114" display="https://gdccm01.gddsi.com:9443/ccm/web/projects/MUOS SAFe 4.0 Project - action=com.ibm.team.workitem.viewWorkItem&amp;id=395114"/>
    <hyperlink ref="A72" r:id="rId61" location="action=com.ibm.team.workitem.viewWorkItem&amp;id=393265" display="https://gdccm01.gddsi.com:9443/ccm/web/projects/MUOS SAFe 4.0 Project - action=com.ibm.team.workitem.viewWorkItem&amp;id=393265"/>
    <hyperlink ref="A71" r:id="rId62" location="action=com.ibm.team.workitem.viewWorkItem&amp;id=392058" display="https://gdccm01.gddsi.com:9443/ccm/web/projects/MUOS SAFe 4.0 Project - action=com.ibm.team.workitem.viewWorkItem&amp;id=392058"/>
    <hyperlink ref="A78" r:id="rId63" location="action=com.ibm.team.workitem.viewWorkItem&amp;id=390441" display="https://gdccm01.gddsi.com:9443/ccm/web/projects/MUOS SAFe 4.0 Project - action=com.ibm.team.workitem.viewWorkItem&amp;id=390441"/>
    <hyperlink ref="A46" r:id="rId64" location="action=com.ibm.team.workitem.viewWorkItem&amp;id=388053" display="https://gdccm01.gddsi.com:9443/ccm/web/projects/MUOS SAFe 4.0 Project - action=com.ibm.team.workitem.viewWorkItem&amp;id=388053"/>
    <hyperlink ref="A74" r:id="rId65" location="action=com.ibm.team.workitem.viewWorkItem&amp;id=387448" display="https://gdccm01.gddsi.com:9443/ccm/web/projects/MUOS SAFe 4.0 Project - action=com.ibm.team.workitem.viewWorkItem&amp;id=387448"/>
    <hyperlink ref="A75" r:id="rId66" location="action=com.ibm.team.workitem.viewWorkItem&amp;id=387446" display="https://gdccm01.gddsi.com:9443/ccm/web/projects/MUOS SAFe 4.0 Project - action=com.ibm.team.workitem.viewWorkItem&amp;id=387446"/>
    <hyperlink ref="A59" r:id="rId67" location="action=com.ibm.team.workitem.viewWorkItem&amp;id=385632" display="https://gdccm01.gddsi.com:9443/ccm/web/projects/MUOS SAFe 4.0 Project - action=com.ibm.team.workitem.viewWorkItem&amp;id=385632"/>
    <hyperlink ref="A44" r:id="rId68" location="action=com.ibm.team.workitem.viewWorkItem&amp;id=385442" display="https://gdccm01.gddsi.com:9443/ccm/web/projects/MUOS SAFe 4.0 Project - action=com.ibm.team.workitem.viewWorkItem&amp;id=385442"/>
    <hyperlink ref="A39" r:id="rId69" location="action=com.ibm.team.workitem.viewWorkItem&amp;id=384084" display="https://gdccm01.gddsi.com:9443/ccm/web/projects/MUOS SAFe 4.0 Project - action=com.ibm.team.workitem.viewWorkItem&amp;id=384084"/>
    <hyperlink ref="A53" r:id="rId70" location="action=com.ibm.team.workitem.viewWorkItem&amp;id=383958" display="https://gdccm01.gddsi.com:9443/ccm/web/projects/MUOS SAFe 4.0 Project - action=com.ibm.team.workitem.viewWorkItem&amp;id=383958"/>
    <hyperlink ref="A37" r:id="rId71" location="action=com.ibm.team.workitem.viewWorkItem&amp;id=383165" display="https://gdccm01.gddsi.com:9443/ccm/web/projects/MUOS SAFe 4.0 Project - action=com.ibm.team.workitem.viewWorkItem&amp;id=383165"/>
    <hyperlink ref="A56" r:id="rId72" location="action=com.ibm.team.workitem.viewWorkItem&amp;id=381524" display="https://gdccm01.gddsi.com:9443/ccm/web/projects/MUOS SAFe 4.0 Project - action=com.ibm.team.workitem.viewWorkItem&amp;id=381524"/>
    <hyperlink ref="A38" r:id="rId73" location="action=com.ibm.team.workitem.viewWorkItem&amp;id=380808" display="https://gdccm01.gddsi.com:9443/ccm/web/projects/MUOS SAFe 4.0 Project - action=com.ibm.team.workitem.viewWorkItem&amp;id=380808"/>
    <hyperlink ref="A48" r:id="rId74" location="action=com.ibm.team.workitem.viewWorkItem&amp;id=377437" display="https://gdccm01.gddsi.com:9443/ccm/web/projects/MUOS SAFe 4.0 Project - action=com.ibm.team.workitem.viewWorkItem&amp;id=377437"/>
    <hyperlink ref="A14" r:id="rId75" location="action=com.ibm.team.workitem.viewWorkItem&amp;id=376446" display="https://gdccm01.gddsi.com:9443/ccm/web/projects/MUOS SAFe 4.0 Project - action=com.ibm.team.workitem.viewWorkItem&amp;id=376446"/>
    <hyperlink ref="A13" r:id="rId76" location="action=com.ibm.team.workitem.viewWorkItem&amp;id=372921" display="https://gdccm01.gddsi.com:9443/ccm/web/projects/MUOS SAFe 4.0 Project - action=com.ibm.team.workitem.viewWorkItem&amp;id=372921"/>
    <hyperlink ref="A70" r:id="rId77" location="action=com.ibm.team.workitem.viewWorkItem&amp;id=358656" display="https://gdccm01.gddsi.com:9443/ccm/web/projects/MUOS SAFe 4.0 Project - action=com.ibm.team.workitem.viewWorkItem&amp;id=358656"/>
    <hyperlink ref="A45" r:id="rId78" location="action=com.ibm.team.workitem.viewWorkItem&amp;id=354871" display="https://gdccm01.gddsi.com:9443/ccm/web/projects/MUOS SAFe 4.0 Project - action=com.ibm.team.workitem.viewWorkItem&amp;id=354871"/>
    <hyperlink ref="A86" r:id="rId79" location="action=com.ibm.team.workitem.viewWorkItem&amp;id=353134" display="https://gdccm01.gddsi.com:9443/ccm/web/projects/MUOS SAFe 4.0 Project - action=com.ibm.team.workitem.viewWorkItem&amp;id=353134"/>
    <hyperlink ref="A73" r:id="rId80" location="action=com.ibm.team.workitem.viewWorkItem&amp;id=342163" display="https://gdccm01.gddsi.com:9443/ccm/web/projects/MUOS SAFe 4.0 Project - action=com.ibm.team.workitem.viewWorkItem&amp;id=342163"/>
    <hyperlink ref="A28" r:id="rId81" location="action=com.ibm.team.workitem.viewWorkItem&amp;id=342054" display="https://gdccm01.gddsi.com:9443/ccm/web/projects/MUOS SAFe 4.0 Project - action=com.ibm.team.workitem.viewWorkItem&amp;id=342054"/>
    <hyperlink ref="A79" r:id="rId82" location="action=com.ibm.team.workitem.viewWorkItem&amp;id=340486" display="https://gdccm01.gddsi.com:9443/ccm/web/projects/MUOS SAFe 4.0 Project - action=com.ibm.team.workitem.viewWorkItem&amp;id=340486"/>
    <hyperlink ref="A68" r:id="rId83" location="action=com.ibm.team.workitem.viewWorkItem&amp;id=332951" display="https://gdccm01.gddsi.com:9443/ccm/web/projects/MUOS SAFe 4.0 Project - action=com.ibm.team.workitem.viewWorkItem&amp;id=332951"/>
    <hyperlink ref="A50" r:id="rId84" location="action=com.ibm.team.workitem.viewWorkItem&amp;id=297335" display="https://gdccm01.gddsi.com:9443/ccm/web/projects/MUOS SAFe 4.0 Project - action=com.ibm.team.workitem.viewWorkItem&amp;id=297335"/>
    <hyperlink ref="A52" r:id="rId85" location="action=com.ibm.team.workitem.viewWorkItem&amp;id=293371" display="https://gdccm01.gddsi.com:9443/ccm/web/projects/MUOS SAFe 4.0 Project - action=com.ibm.team.workitem.viewWorkItem&amp;id=293371"/>
    <hyperlink ref="K55" r:id="rId86" location="action=com.ibm.team.workitem.viewWorkItem&amp;id=1016405" display="https://gdccm01.gddsi.com:9443/ccm/web/projects/MUOS SAFe 4.0 Project - action=com.ibm.team.workitem.viewWorkItem&amp;id=1016405"/>
    <hyperlink ref="K61" r:id="rId87" location="action=com.ibm.team.workitem.viewWorkItem&amp;id=1015438" display="https://gdccm01.gddsi.com:9443/ccm/web/projects/MUOS SAFe 4.0 Project - action=com.ibm.team.workitem.viewWorkItem&amp;id=1015438"/>
    <hyperlink ref="K64" r:id="rId88" location="action=com.ibm.team.workitem.viewWorkItem&amp;id=251622" display="https://gdccm01.gddsi.com:9443/ccm/web/projects/MUOS SAFe 4.0 Project - action=com.ibm.team.workitem.viewWorkItem&amp;id=251622"/>
    <hyperlink ref="K62" r:id="rId89" location="action=com.ibm.team.workitem.viewWorkItem&amp;id=1015251" display="https://gdccm01.gddsi.com:9443/ccm/web/projects/MUOS SAFe 4.0 Project - action=com.ibm.team.workitem.viewWorkItem&amp;id=1015251"/>
    <hyperlink ref="K34" r:id="rId90" location="action=com.ibm.team.workitem.viewWorkItem&amp;id=370101" display="https://gdccm01.gddsi.com:9443/ccm/web/projects/MUOS SAFe 4.0 Project - action=com.ibm.team.workitem.viewWorkItem&amp;id=370101"/>
    <hyperlink ref="K33" r:id="rId91" location="action=com.ibm.team.workitem.viewWorkItem&amp;id=370101" display="https://gdccm01.gddsi.com:9443/ccm/web/projects/MUOS SAFe 4.0 Project - action=com.ibm.team.workitem.viewWorkItem&amp;id=370101"/>
    <hyperlink ref="K32" r:id="rId92" location="action=com.ibm.team.workitem.viewWorkItem&amp;id=370101" display="https://gdccm01.gddsi.com:9443/ccm/web/projects/MUOS SAFe 4.0 Project - action=com.ibm.team.workitem.viewWorkItem&amp;id=370101"/>
    <hyperlink ref="K30" r:id="rId93" location="action=com.ibm.team.workitem.viewWorkItem&amp;id=370101" display="https://gdccm01.gddsi.com:9443/ccm/web/projects/MUOS SAFe 4.0 Project - action=com.ibm.team.workitem.viewWorkItem&amp;id=370101"/>
    <hyperlink ref="K31" r:id="rId94" location="action=com.ibm.team.workitem.viewWorkItem&amp;id=370101" display="https://gdccm01.gddsi.com:9443/ccm/web/projects/MUOS SAFe 4.0 Project - action=com.ibm.team.workitem.viewWorkItem&amp;id=370101"/>
    <hyperlink ref="K81" r:id="rId95" location="action=com.ibm.team.workitem.viewWorkItem&amp;id=1014021" display="https://gdccm01.gddsi.com:9443/ccm/web/projects/MUOS SAFe 4.0 Project - action=com.ibm.team.workitem.viewWorkItem&amp;id=1014021"/>
    <hyperlink ref="K60" r:id="rId96" location="action=com.ibm.team.workitem.viewWorkItem&amp;id=278830" display="https://gdccm01.gddsi.com:9443/ccm/web/projects/MUOS SAFe 4.0 Project - action=com.ibm.team.workitem.viewWorkItem&amp;id=278830"/>
    <hyperlink ref="K58" r:id="rId97" location="action=com.ibm.team.workitem.viewWorkItem&amp;id=1015467" display="https://gdccm01.gddsi.com:9443/ccm/web/projects/MUOS SAFe 4.0 Project - action=com.ibm.team.workitem.viewWorkItem&amp;id=1015467"/>
    <hyperlink ref="K82" r:id="rId98" location="action=com.ibm.team.workitem.viewWorkItem&amp;id=1014021" display="https://gdccm01.gddsi.com:9443/ccm/web/projects/MUOS SAFe 4.0 Project - action=com.ibm.team.workitem.viewWorkItem&amp;id=1014021"/>
    <hyperlink ref="K84" r:id="rId99" location="action=com.ibm.team.workitem.viewWorkItem&amp;id=1012099" display="https://gdccm01.gddsi.com:9443/ccm/web/projects/MUOS SAFe 4.0 Project - action=com.ibm.team.workitem.viewWorkItem&amp;id=1012099"/>
    <hyperlink ref="K66" r:id="rId100" location="action=com.ibm.team.workitem.viewWorkItem&amp;id=1006483" display="https://gdccm01.gddsi.com:9443/ccm/web/projects/MUOS SAFe 4.0 Project - action=com.ibm.team.workitem.viewWorkItem&amp;id=1006483"/>
    <hyperlink ref="K47" r:id="rId101" location="action=com.ibm.team.workitem.viewWorkItem&amp;id=388154" display="https://gdccm01.gddsi.com:9443/ccm/web/projects/MUOS SAFe 4.0 Project - action=com.ibm.team.workitem.viewWorkItem&amp;id=388154"/>
    <hyperlink ref="K35" r:id="rId102" location="action=com.ibm.team.workitem.viewWorkItem&amp;id=368857" display="https://gdccm01.gddsi.com:9443/ccm/web/projects/MUOS SAFe 4.0 Project - action=com.ibm.team.workitem.viewWorkItem&amp;id=368857"/>
    <hyperlink ref="K54" r:id="rId103" location="action=com.ibm.team.workitem.viewWorkItem&amp;id=1016405" display="https://gdccm01.gddsi.com:9443/ccm/web/projects/MUOS SAFe 4.0 Project - action=com.ibm.team.workitem.viewWorkItem&amp;id=1016405"/>
    <hyperlink ref="K40" r:id="rId104" location="action=com.ibm.team.workitem.viewWorkItem&amp;id=354861" display="https://gdccm01.gddsi.com:9443/ccm/web/projects/MUOS SAFe 4.0 Project - action=com.ibm.team.workitem.viewWorkItem&amp;id=354861"/>
    <hyperlink ref="K43" r:id="rId105" location="action=com.ibm.team.workitem.viewWorkItem&amp;id=354861" display="https://gdccm01.gddsi.com:9443/ccm/web/projects/MUOS SAFe 4.0 Project - action=com.ibm.team.workitem.viewWorkItem&amp;id=354861"/>
    <hyperlink ref="K65" r:id="rId106" location="action=com.ibm.team.workitem.viewWorkItem&amp;id=1004098" display="https://gdccm01.gddsi.com:9443/ccm/web/projects/MUOS SAFe 4.0 Project - action=com.ibm.team.workitem.viewWorkItem&amp;id=1004098"/>
    <hyperlink ref="K29" r:id="rId107" location="action=com.ibm.team.workitem.viewWorkItem&amp;id=340740" display="https://gdccm01.gddsi.com:9443/ccm/web/projects/MUOS SAFe 4.0 Project - action=com.ibm.team.workitem.viewWorkItem&amp;id=340740"/>
    <hyperlink ref="K49" r:id="rId108" location="action=com.ibm.team.workitem.viewWorkItem&amp;id=381600" display="https://gdccm01.gddsi.com:9443/ccm/web/projects/MUOS SAFe 4.0 Project - action=com.ibm.team.workitem.viewWorkItem&amp;id=381600"/>
    <hyperlink ref="K42" r:id="rId109" location="action=com.ibm.team.workitem.viewWorkItem&amp;id=1000707" display="https://gdccm01.gddsi.com:9443/ccm/web/projects/MUOS SAFe 4.0 Project - action=com.ibm.team.workitem.viewWorkItem&amp;id=1000707"/>
    <hyperlink ref="K41" r:id="rId110" location="action=com.ibm.team.workitem.viewWorkItem&amp;id=1000707" display="https://gdccm01.gddsi.com:9443/ccm/web/projects/MUOS SAFe 4.0 Project - action=com.ibm.team.workitem.viewWorkItem&amp;id=1000707"/>
    <hyperlink ref="K69" r:id="rId111" location="action=com.ibm.team.workitem.viewWorkItem&amp;id=216364" display="https://gdccm01.gddsi.com:9443/ccm/web/projects/MUOS SAFe 4.0 Project - action=com.ibm.team.workitem.viewWorkItem&amp;id=216364"/>
    <hyperlink ref="K71" r:id="rId112" location="action=com.ibm.team.workitem.viewWorkItem&amp;id=216364" display="https://gdccm01.gddsi.com:9443/ccm/web/projects/MUOS SAFe 4.0 Project - action=com.ibm.team.workitem.viewWorkItem&amp;id=216364"/>
    <hyperlink ref="K46" r:id="rId113" location="action=com.ibm.team.workitem.viewWorkItem&amp;id=388154" display="https://gdccm01.gddsi.com:9443/ccm/web/projects/MUOS SAFe 4.0 Project - action=com.ibm.team.workitem.viewWorkItem&amp;id=388154"/>
    <hyperlink ref="K74" r:id="rId114" location="action=com.ibm.team.workitem.viewWorkItem&amp;id=381997" display="https://gdccm01.gddsi.com:9443/ccm/web/projects/MUOS SAFe 4.0 Project - action=com.ibm.team.workitem.viewWorkItem&amp;id=381997"/>
    <hyperlink ref="K75" r:id="rId115" location="action=com.ibm.team.workitem.viewWorkItem&amp;id=381997" display="https://gdccm01.gddsi.com:9443/ccm/web/projects/MUOS SAFe 4.0 Project - action=com.ibm.team.workitem.viewWorkItem&amp;id=381997"/>
    <hyperlink ref="K59" r:id="rId116" location="action=com.ibm.team.workitem.viewWorkItem&amp;id=216351" display="https://gdccm01.gddsi.com:9443/ccm/web/projects/MUOS SAFe 4.0 Project - action=com.ibm.team.workitem.viewWorkItem&amp;id=216351"/>
    <hyperlink ref="K44" r:id="rId117" location="action=com.ibm.team.workitem.viewWorkItem&amp;id=385438" display="https://gdccm01.gddsi.com:9443/ccm/web/projects/MUOS SAFe 4.0 Project - action=com.ibm.team.workitem.viewWorkItem&amp;id=385438"/>
    <hyperlink ref="K39" r:id="rId118" location="action=com.ibm.team.workitem.viewWorkItem&amp;id=354861" display="https://gdccm01.gddsi.com:9443/ccm/web/projects/MUOS SAFe 4.0 Project - action=com.ibm.team.workitem.viewWorkItem&amp;id=354861"/>
    <hyperlink ref="K53" r:id="rId119" location="action=com.ibm.team.workitem.viewWorkItem&amp;id=385201" display="https://gdccm01.gddsi.com:9443/ccm/web/projects/MUOS SAFe 4.0 Project - action=com.ibm.team.workitem.viewWorkItem&amp;id=385201"/>
    <hyperlink ref="K37" r:id="rId120" location="action=com.ibm.team.workitem.viewWorkItem&amp;id=354861" display="https://gdccm01.gddsi.com:9443/ccm/web/projects/MUOS SAFe 4.0 Project - action=com.ibm.team.workitem.viewWorkItem&amp;id=354861"/>
    <hyperlink ref="K56" r:id="rId121" location="action=com.ibm.team.workitem.viewWorkItem&amp;id=395610" display="https://gdccm01.gddsi.com:9443/ccm/web/projects/MUOS SAFe 4.0 Project - action=com.ibm.team.workitem.viewWorkItem&amp;id=395610"/>
    <hyperlink ref="K38" r:id="rId122" location="action=com.ibm.team.workitem.viewWorkItem&amp;id=354861" display="https://gdccm01.gddsi.com:9443/ccm/web/projects/MUOS SAFe 4.0 Project - action=com.ibm.team.workitem.viewWorkItem&amp;id=354861"/>
    <hyperlink ref="K48" r:id="rId123" location="action=com.ibm.team.workitem.viewWorkItem&amp;id=251622" display="https://gdccm01.gddsi.com:9443/ccm/web/projects/MUOS SAFe 4.0 Project - action=com.ibm.team.workitem.viewWorkItem&amp;id=251622"/>
    <hyperlink ref="K70" r:id="rId124" location="action=com.ibm.team.workitem.viewWorkItem&amp;id=216364" display="https://gdccm01.gddsi.com:9443/ccm/web/projects/MUOS SAFe 4.0 Project - action=com.ibm.team.workitem.viewWorkItem&amp;id=216364"/>
    <hyperlink ref="K45" r:id="rId125" location="action=com.ibm.team.workitem.viewWorkItem&amp;id=241501" display="https://gdccm01.gddsi.com:9443/ccm/web/projects/MUOS SAFe 4.0 Project - action=com.ibm.team.workitem.viewWorkItem&amp;id=241501"/>
    <hyperlink ref="K73" r:id="rId126" location="action=com.ibm.team.workitem.viewWorkItem&amp;id=245808" display="https://gdccm01.gddsi.com:9443/ccm/web/projects/MUOS SAFe 4.0 Project - action=com.ibm.team.workitem.viewWorkItem&amp;id=245808"/>
    <hyperlink ref="K28" r:id="rId127" location="action=com.ibm.team.workitem.viewWorkItem&amp;id=347074" display="https://gdccm01.gddsi.com:9443/ccm/web/projects/MUOS SAFe 4.0 Project - action=com.ibm.team.workitem.viewWorkItem&amp;id=347074"/>
    <hyperlink ref="K68" r:id="rId128" location="action=com.ibm.team.workitem.viewWorkItem&amp;id=216364" display="https://gdccm01.gddsi.com:9443/ccm/web/projects/MUOS SAFe 4.0 Project - action=com.ibm.team.workitem.viewWorkItem&amp;id=216364"/>
  </hyperlinks>
  <pageMargins left="0.7" right="0.7" top="0.75" bottom="0.75" header="0.3" footer="0.3"/>
  <pageSetup paperSize="17" scale="59" orientation="landscape" r:id="rId129"/>
  <drawing r:id="rId130"/>
  <legacyDrawing r:id="rId131"/>
  <mc:AlternateContent xmlns:mc="http://schemas.openxmlformats.org/markup-compatibility/2006">
    <mc:Choice Requires="x14">
      <controls>
        <mc:AlternateContent xmlns:mc="http://schemas.openxmlformats.org/markup-compatibility/2006">
          <mc:Choice Requires="x14">
            <control shapeId="3073" r:id="rId132" name="Button 1">
              <controlPr defaultSize="0" print="0" autoFill="0" autoPict="0" macro="[0]!PlanningView">
                <anchor moveWithCells="1" sizeWithCells="1">
                  <from>
                    <xdr:col>1</xdr:col>
                    <xdr:colOff>106680</xdr:colOff>
                    <xdr:row>0</xdr:row>
                    <xdr:rowOff>60960</xdr:rowOff>
                  </from>
                  <to>
                    <xdr:col>1</xdr:col>
                    <xdr:colOff>1325880</xdr:colOff>
                    <xdr:row>0</xdr:row>
                    <xdr:rowOff>388620</xdr:rowOff>
                  </to>
                </anchor>
              </controlPr>
            </control>
          </mc:Choice>
        </mc:AlternateContent>
        <mc:AlternateContent xmlns:mc="http://schemas.openxmlformats.org/markup-compatibility/2006">
          <mc:Choice Requires="x14">
            <control shapeId="3074" r:id="rId133" name="Button 2">
              <controlPr defaultSize="0" print="0" autoFill="0" autoPict="0" macro="[0]!Show_all">
                <anchor moveWithCells="1" sizeWithCells="1">
                  <from>
                    <xdr:col>1</xdr:col>
                    <xdr:colOff>60960</xdr:colOff>
                    <xdr:row>0</xdr:row>
                    <xdr:rowOff>525780</xdr:rowOff>
                  </from>
                  <to>
                    <xdr:col>1</xdr:col>
                    <xdr:colOff>1257300</xdr:colOff>
                    <xdr:row>0</xdr:row>
                    <xdr:rowOff>876300</xdr:rowOff>
                  </to>
                </anchor>
              </controlPr>
            </control>
          </mc:Choice>
        </mc:AlternateContent>
        <mc:AlternateContent xmlns:mc="http://schemas.openxmlformats.org/markup-compatibility/2006">
          <mc:Choice Requires="x14">
            <control shapeId="3078" r:id="rId134" name="Button 6">
              <controlPr defaultSize="0" print="0" autoFill="0" autoPict="0" macro="[0]!Update_TD_Color_Sums">
                <anchor moveWithCells="1" sizeWithCells="1">
                  <from>
                    <xdr:col>15</xdr:col>
                    <xdr:colOff>114300</xdr:colOff>
                    <xdr:row>114</xdr:row>
                    <xdr:rowOff>175260</xdr:rowOff>
                  </from>
                  <to>
                    <xdr:col>17</xdr:col>
                    <xdr:colOff>441960</xdr:colOff>
                    <xdr:row>122</xdr:row>
                    <xdr:rowOff>137160</xdr:rowOff>
                  </to>
                </anchor>
              </controlPr>
            </control>
          </mc:Choice>
        </mc:AlternateContent>
        <mc:AlternateContent xmlns:mc="http://schemas.openxmlformats.org/markup-compatibility/2006">
          <mc:Choice Requires="x14">
            <control shapeId="3081" r:id="rId135" name="Button 9">
              <controlPr defaultSize="0" print="0" autoFill="0" autoPict="0" macro="[0]!Remove_Links">
                <anchor moveWithCells="1" sizeWithCells="1">
                  <from>
                    <xdr:col>1</xdr:col>
                    <xdr:colOff>76200</xdr:colOff>
                    <xdr:row>0</xdr:row>
                    <xdr:rowOff>914400</xdr:rowOff>
                  </from>
                  <to>
                    <xdr:col>1</xdr:col>
                    <xdr:colOff>1333500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6" id="{60411A56-D647-4DDA-B42B-56BC3E69B6CE}">
            <xm:f>ISERROR(FIND("epic_scrub_done",VLOOKUP(K3,ActiveEpics!A:I,9,0)))</xm:f>
            <x14:dxf>
              <fill>
                <patternFill>
                  <bgColor theme="5" tint="0.79998168889431442"/>
                </patternFill>
              </fill>
            </x14:dxf>
          </x14:cfRule>
          <xm:sqref>K3:K95</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A520"/>
  <sheetViews>
    <sheetView zoomScale="70" zoomScaleNormal="70" workbookViewId="0">
      <pane ySplit="1" topLeftCell="A2" activePane="bottomLeft" state="frozen"/>
      <selection activeCell="J1" sqref="J1"/>
      <selection pane="bottomLeft" activeCell="A2" sqref="A2"/>
    </sheetView>
  </sheetViews>
  <sheetFormatPr defaultColWidth="8.88671875" defaultRowHeight="14.4" x14ac:dyDescent="0.3"/>
  <cols>
    <col min="1" max="1" width="10.6640625" style="95" customWidth="1"/>
    <col min="2" max="2" width="47.33203125" style="95" customWidth="1"/>
    <col min="3" max="3" width="8.109375" style="95" customWidth="1"/>
    <col min="4" max="4" width="7.88671875" style="95" customWidth="1"/>
    <col min="5" max="5" width="5.33203125" style="42" customWidth="1"/>
    <col min="6" max="7" width="5.33203125" style="95" customWidth="1"/>
    <col min="8" max="8" width="9.109375" style="95" customWidth="1"/>
    <col min="9" max="9" width="9" style="95" customWidth="1"/>
    <col min="10" max="10" width="7.6640625" style="95" customWidth="1"/>
    <col min="11" max="11" width="4.33203125" style="95" customWidth="1"/>
    <col min="12" max="12" width="9.44140625" style="103" customWidth="1"/>
    <col min="13" max="16" width="4.33203125" style="95" customWidth="1"/>
    <col min="17" max="17" width="4.5546875" style="42" customWidth="1"/>
    <col min="18" max="18" width="4.5546875" style="95" customWidth="1"/>
    <col min="19" max="20" width="4.109375" style="42" customWidth="1"/>
    <col min="21" max="21" width="5.33203125" style="42" customWidth="1"/>
    <col min="22" max="23" width="4.109375" style="42" customWidth="1"/>
    <col min="24" max="24" width="4.5546875" style="42" customWidth="1"/>
    <col min="25" max="27" width="4.109375" style="42" customWidth="1"/>
    <col min="28" max="28" width="6.33203125" style="42" customWidth="1"/>
    <col min="29" max="35" width="4.109375" style="42" customWidth="1"/>
    <col min="36" max="36" width="6.44140625" style="42" customWidth="1"/>
    <col min="37" max="37" width="6.5546875" style="42" customWidth="1"/>
    <col min="38" max="39" width="4.109375" style="42" customWidth="1"/>
    <col min="40" max="40" width="11.88671875" style="42" customWidth="1"/>
    <col min="41" max="41" width="4.5546875" style="33" customWidth="1"/>
    <col min="42" max="42" width="4.109375" style="95" customWidth="1"/>
    <col min="43" max="45" width="5.6640625" style="95" customWidth="1"/>
    <col min="46" max="46" width="8.88671875" style="95" customWidth="1"/>
    <col min="47" max="48" width="5.6640625" style="95" customWidth="1"/>
    <col min="49" max="49" width="5.33203125" style="95" customWidth="1"/>
    <col min="50" max="53" width="5.6640625" style="95" customWidth="1"/>
    <col min="54" max="56" width="5.33203125" style="95" customWidth="1"/>
    <col min="57" max="63" width="5.6640625" style="95" customWidth="1"/>
    <col min="64" max="79" width="5.88671875" style="95" customWidth="1"/>
    <col min="80" max="16384" width="8.88671875" style="95"/>
  </cols>
  <sheetData>
    <row r="1" spans="1:79" ht="133.19999999999999" x14ac:dyDescent="0.3">
      <c r="A1" s="23" t="s">
        <v>0</v>
      </c>
      <c r="B1" s="69" t="s">
        <v>1</v>
      </c>
      <c r="C1" s="69" t="s">
        <v>3</v>
      </c>
      <c r="D1" s="69" t="s">
        <v>4</v>
      </c>
      <c r="E1" s="69" t="s">
        <v>5</v>
      </c>
      <c r="F1" s="69" t="s">
        <v>877</v>
      </c>
      <c r="G1" s="69" t="s">
        <v>178</v>
      </c>
      <c r="H1" s="69" t="s">
        <v>6</v>
      </c>
      <c r="I1" s="69" t="s">
        <v>7</v>
      </c>
      <c r="J1" s="69" t="s">
        <v>878</v>
      </c>
      <c r="K1" s="69" t="s">
        <v>837</v>
      </c>
      <c r="L1" s="69" t="s">
        <v>8</v>
      </c>
      <c r="M1" s="69" t="s">
        <v>9</v>
      </c>
      <c r="N1" s="69" t="s">
        <v>10</v>
      </c>
      <c r="O1" s="81" t="s">
        <v>111</v>
      </c>
      <c r="P1" s="69" t="s">
        <v>826</v>
      </c>
      <c r="Q1" s="69" t="s">
        <v>11</v>
      </c>
      <c r="R1" s="69" t="s">
        <v>12</v>
      </c>
      <c r="S1" s="69" t="s">
        <v>951</v>
      </c>
      <c r="T1" s="69" t="s">
        <v>944</v>
      </c>
      <c r="U1" s="69" t="s">
        <v>945</v>
      </c>
      <c r="V1" s="69" t="s">
        <v>949</v>
      </c>
      <c r="W1" s="69" t="s">
        <v>551</v>
      </c>
      <c r="X1" s="69" t="s">
        <v>943</v>
      </c>
      <c r="Y1" s="69" t="s">
        <v>946</v>
      </c>
      <c r="Z1" s="69" t="s">
        <v>950</v>
      </c>
      <c r="AA1" s="69" t="s">
        <v>948</v>
      </c>
      <c r="AB1" s="69" t="s">
        <v>15</v>
      </c>
      <c r="AC1" s="69" t="s">
        <v>947</v>
      </c>
      <c r="AD1" s="69" t="s">
        <v>17</v>
      </c>
      <c r="AE1" s="69" t="s">
        <v>18</v>
      </c>
      <c r="AF1" s="69" t="s">
        <v>19</v>
      </c>
      <c r="AG1" s="69" t="s">
        <v>554</v>
      </c>
      <c r="AH1" s="69" t="s">
        <v>21</v>
      </c>
      <c r="AI1" s="69" t="s">
        <v>596</v>
      </c>
      <c r="AJ1" s="69" t="s">
        <v>987</v>
      </c>
      <c r="AK1" s="69" t="s">
        <v>857</v>
      </c>
      <c r="AL1" s="69" t="s">
        <v>520</v>
      </c>
      <c r="AM1" s="69" t="s">
        <v>855</v>
      </c>
      <c r="AN1" s="219" t="s">
        <v>816</v>
      </c>
      <c r="AO1" s="224"/>
      <c r="AP1" s="223" t="s">
        <v>3</v>
      </c>
      <c r="AQ1" s="68" t="s">
        <v>4</v>
      </c>
      <c r="AR1" s="68" t="s">
        <v>5</v>
      </c>
      <c r="AS1" s="68" t="s">
        <v>877</v>
      </c>
      <c r="AT1" s="164" t="s">
        <v>178</v>
      </c>
      <c r="AU1" s="164" t="s">
        <v>6</v>
      </c>
      <c r="AV1" s="164" t="s">
        <v>7</v>
      </c>
      <c r="AW1" s="164" t="s">
        <v>878</v>
      </c>
      <c r="AX1" s="164" t="s">
        <v>837</v>
      </c>
      <c r="AY1" s="164" t="s">
        <v>8</v>
      </c>
      <c r="AZ1" s="164" t="s">
        <v>9</v>
      </c>
      <c r="BA1" s="164" t="s">
        <v>10</v>
      </c>
      <c r="BB1" s="164" t="s">
        <v>111</v>
      </c>
      <c r="BC1" s="164" t="s">
        <v>826</v>
      </c>
      <c r="BD1" s="164" t="s">
        <v>11</v>
      </c>
      <c r="BE1" s="164" t="s">
        <v>12</v>
      </c>
      <c r="BF1" s="164" t="s">
        <v>951</v>
      </c>
      <c r="BG1" s="164" t="s">
        <v>944</v>
      </c>
      <c r="BH1" s="164" t="s">
        <v>945</v>
      </c>
      <c r="BI1" s="164" t="s">
        <v>949</v>
      </c>
      <c r="BJ1" s="164" t="s">
        <v>551</v>
      </c>
      <c r="BK1" s="164" t="s">
        <v>943</v>
      </c>
      <c r="BL1" s="165" t="s">
        <v>946</v>
      </c>
      <c r="BM1" s="165" t="s">
        <v>950</v>
      </c>
      <c r="BN1" s="165" t="s">
        <v>948</v>
      </c>
      <c r="BO1" s="165" t="s">
        <v>15</v>
      </c>
      <c r="BP1" s="165" t="s">
        <v>947</v>
      </c>
      <c r="BQ1" s="165" t="s">
        <v>17</v>
      </c>
      <c r="BR1" s="165" t="s">
        <v>18</v>
      </c>
      <c r="BS1" s="165" t="s">
        <v>19</v>
      </c>
      <c r="BT1" s="165" t="s">
        <v>554</v>
      </c>
      <c r="BU1" s="165" t="s">
        <v>21</v>
      </c>
      <c r="BV1" s="165" t="s">
        <v>596</v>
      </c>
      <c r="BW1" s="165" t="s">
        <v>987</v>
      </c>
      <c r="BX1" s="165" t="s">
        <v>857</v>
      </c>
      <c r="BY1" s="165" t="s">
        <v>520</v>
      </c>
      <c r="BZ1" s="165" t="s">
        <v>855</v>
      </c>
      <c r="CA1" s="165" t="s">
        <v>816</v>
      </c>
    </row>
    <row r="2" spans="1:79" ht="14.4" customHeight="1" x14ac:dyDescent="0.3">
      <c r="A2" s="70">
        <v>1007569</v>
      </c>
      <c r="B2" s="65" t="s">
        <v>1570</v>
      </c>
      <c r="C2" s="98" t="s">
        <v>1145</v>
      </c>
      <c r="D2" s="65" t="s">
        <v>28</v>
      </c>
      <c r="E2" s="64">
        <v>38</v>
      </c>
      <c r="F2" s="64" t="s">
        <v>879</v>
      </c>
      <c r="G2" s="64" t="s">
        <v>1454</v>
      </c>
      <c r="H2" s="64" t="s">
        <v>745</v>
      </c>
      <c r="I2" s="99" t="s">
        <v>38</v>
      </c>
      <c r="J2" s="64" t="s">
        <v>1412</v>
      </c>
      <c r="K2" s="64">
        <v>0</v>
      </c>
      <c r="L2" s="62" t="s">
        <v>17</v>
      </c>
      <c r="M2" s="67" t="s">
        <v>644</v>
      </c>
      <c r="N2" s="67" t="s">
        <v>36</v>
      </c>
      <c r="O2" s="100">
        <v>0</v>
      </c>
      <c r="P2" s="101" t="s">
        <v>988</v>
      </c>
      <c r="Q2" s="63">
        <v>4</v>
      </c>
      <c r="R2" s="63">
        <v>0</v>
      </c>
      <c r="S2" s="63">
        <v>18</v>
      </c>
      <c r="T2" s="63">
        <v>1</v>
      </c>
      <c r="U2" s="63">
        <v>0</v>
      </c>
      <c r="V2" s="63">
        <v>0</v>
      </c>
      <c r="W2" s="63">
        <v>0</v>
      </c>
      <c r="X2" s="63">
        <v>0</v>
      </c>
      <c r="Y2" s="63">
        <v>0</v>
      </c>
      <c r="Z2" s="63">
        <v>0</v>
      </c>
      <c r="AA2" s="63">
        <v>0</v>
      </c>
      <c r="AB2" s="63">
        <v>0</v>
      </c>
      <c r="AC2" s="63">
        <v>5</v>
      </c>
      <c r="AD2" s="63">
        <v>14</v>
      </c>
      <c r="AE2" s="63">
        <v>0</v>
      </c>
      <c r="AF2" s="63">
        <v>0</v>
      </c>
      <c r="AG2" s="63">
        <v>0</v>
      </c>
      <c r="AH2" s="63">
        <v>0</v>
      </c>
      <c r="AI2" s="63">
        <v>0</v>
      </c>
      <c r="AJ2" s="63">
        <v>38</v>
      </c>
      <c r="AK2" s="63">
        <v>0</v>
      </c>
      <c r="AL2" s="63" t="s">
        <v>35</v>
      </c>
      <c r="AM2" s="63" t="s">
        <v>36</v>
      </c>
      <c r="AN2" s="220" t="s">
        <v>40</v>
      </c>
      <c r="AO2" s="224"/>
      <c r="AP2" s="95" t="e">
        <f>IF(C2=VLOOKUP($A2,Feature_List!$A$2:$AO$101,MATCH(AP$1,Feature_List!$A$1:$AO$1,0),FALSE),"OK","BAD")</f>
        <v>#N/A</v>
      </c>
      <c r="AQ2" s="95" t="e">
        <f>IF(D2=VLOOKUP($A2,Feature_List!$A$2:$AO$101,MATCH(AQ$1,Feature_List!$A$1:$AO$1,0),FALSE),"OK","BAD")</f>
        <v>#N/A</v>
      </c>
      <c r="AR2" s="95" t="e">
        <f>IF(E2=VLOOKUP($A2,Feature_List!$A$2:$AO$101,MATCH(AR$1,Feature_List!$A$1:$AO$1,0),FALSE),"OK","BAD")</f>
        <v>#N/A</v>
      </c>
      <c r="AS2" s="95" t="e">
        <f>IF(F2=VLOOKUP($A2,Feature_List!$A$2:$AO$101,MATCH(AS$1,Feature_List!$A$1:$AO$1,0),FALSE),"OK","BAD")</f>
        <v>#N/A</v>
      </c>
      <c r="AT2" s="95" t="s">
        <v>985</v>
      </c>
      <c r="AU2" s="95" t="s">
        <v>985</v>
      </c>
      <c r="AV2" s="95" t="e">
        <f>IF(I2=VLOOKUP($A2,Feature_List!$A$2:$AO$101,MATCH(AV$1,Feature_List!$A$1:$AO$1,0),FALSE),"OK","BAD")</f>
        <v>#N/A</v>
      </c>
      <c r="AW2" s="95" t="e">
        <f>IF(J2=VLOOKUP($A2,Feature_List!$A$2:$AO$101,MATCH(AW$1,Feature_List!$A$1:$AO$1,0),FALSE),"OK","BAD")</f>
        <v>#N/A</v>
      </c>
      <c r="AX2" s="95" t="e">
        <f>IF(K2=VLOOKUP($A2,Feature_List!$A$2:$AO$101,MATCH(AX$1,Feature_List!$A$1:$AO$1,0),FALSE),"OK","BAD")</f>
        <v>#N/A</v>
      </c>
      <c r="AY2" s="95" t="e">
        <f>IF(L2=VLOOKUP($A2,Feature_List!$A$2:$AO$101,MATCH(AY$1,Feature_List!$A$1:$AO$1,0),FALSE),"OK","BAD")</f>
        <v>#N/A</v>
      </c>
      <c r="AZ2" s="95" t="e">
        <f>IF(M2=VLOOKUP($A2,Feature_List!$A$2:$AO$101,MATCH(AZ$1,Feature_List!$A$1:$AO$1,0),FALSE),"OK","BAD")</f>
        <v>#N/A</v>
      </c>
      <c r="BA2" s="95" t="e">
        <f>IF(N2=VLOOKUP($A2,Feature_List!$A$2:$AO$101,MATCH(BA$1,Feature_List!$A$1:$AO$1,0),FALSE),"OK","BAD")</f>
        <v>#N/A</v>
      </c>
      <c r="BB2" s="95" t="e">
        <f>IF(O2=VLOOKUP($A2,Feature_List!$A$2:$AO$101,MATCH(BB$1,Feature_List!$A$1:$AO$1,0),FALSE),"OK","BAD")</f>
        <v>#N/A</v>
      </c>
      <c r="BC2" s="95" t="e">
        <f>IF(P2=VLOOKUP($A2,Feature_List!$A$2:$AO$101,MATCH(BC$1,Feature_List!$A$1:$AO$1,0),FALSE),"OK","BAD")</f>
        <v>#N/A</v>
      </c>
      <c r="BD2" s="95" t="e">
        <f>IF(Q2=VLOOKUP($A2,Feature_List!$A$2:$AO$101,MATCH(BD$1,Feature_List!$A$1:$AO$1,0),FALSE),"OK","BAD")</f>
        <v>#N/A</v>
      </c>
      <c r="BE2" s="95" t="e">
        <f>IF(R2=VLOOKUP($A2,Feature_List!$A$2:$AO$101,MATCH(BE$1,Feature_List!$A$1:$AO$1,0),FALSE),"OK","BAD")</f>
        <v>#N/A</v>
      </c>
      <c r="BF2" s="95" t="e">
        <f>IF(S2=VLOOKUP($A2,Feature_List!$A$2:$AO$101,MATCH(BF$1,Feature_List!$A$1:$AO$1,0),FALSE),"OK","BAD")</f>
        <v>#N/A</v>
      </c>
      <c r="BG2" s="95" t="e">
        <f>IF(T2=VLOOKUP($A2,Feature_List!$A$2:$AO$101,MATCH(BG$1,Feature_List!$A$1:$AO$1,0),FALSE),"OK","BAD")</f>
        <v>#N/A</v>
      </c>
      <c r="BH2" s="95" t="e">
        <f>IF(U2=VLOOKUP($A2,Feature_List!$A$2:$AO$101,MATCH(BH$1,Feature_List!$A$1:$AO$1,0),FALSE),"OK","BAD")</f>
        <v>#N/A</v>
      </c>
      <c r="BI2" s="95" t="e">
        <f>IF(V2=VLOOKUP($A2,Feature_List!$A$2:$AO$101,MATCH(BI$1,Feature_List!$A$1:$AO$1,0),FALSE),"OK","BAD")</f>
        <v>#N/A</v>
      </c>
      <c r="BJ2" s="95" t="e">
        <f>IF(W2=VLOOKUP($A2,Feature_List!$A$2:$AO$101,MATCH(BJ$1,Feature_List!$A$1:$AO$1,0),FALSE),"OK","BAD")</f>
        <v>#N/A</v>
      </c>
      <c r="BK2" s="95" t="e">
        <f>IF(X2=VLOOKUP($A2,Feature_List!$A$2:$AO$101,MATCH(BK$1,Feature_List!$A$1:$AO$1,0),FALSE),"OK","BAD")</f>
        <v>#N/A</v>
      </c>
      <c r="BL2" s="95" t="e">
        <f>IF(Y2=VLOOKUP($A2,Feature_List!$A$2:$AO$101,MATCH(BL$1,Feature_List!$A$1:$AO$1,0),FALSE),"OK","BAD")</f>
        <v>#N/A</v>
      </c>
      <c r="BM2" s="95" t="e">
        <f>IF(Z2=VLOOKUP($A2,Feature_List!$A$2:$AO$101,MATCH(BM$1,Feature_List!$A$1:$AO$1,0),FALSE),"OK","BAD")</f>
        <v>#N/A</v>
      </c>
      <c r="BN2" s="95" t="e">
        <f>IF(AA2=VLOOKUP($A2,Feature_List!$A$2:$AO$101,MATCH(BN$1,Feature_List!$A$1:$AO$1,0),FALSE),"OK","BAD")</f>
        <v>#N/A</v>
      </c>
      <c r="BO2" s="95" t="e">
        <f>IF(AB2=VLOOKUP($A2,Feature_List!$A$2:$AO$101,MATCH(BO$1,Feature_List!$A$1:$AO$1,0),FALSE),"OK","BAD")</f>
        <v>#N/A</v>
      </c>
      <c r="BP2" s="95" t="e">
        <f>IF(AC2=VLOOKUP($A2,Feature_List!$A$2:$AO$101,MATCH(BP$1,Feature_List!$A$1:$AO$1,0),FALSE),"OK","BAD")</f>
        <v>#N/A</v>
      </c>
      <c r="BQ2" s="95" t="e">
        <f>IF(AD2=VLOOKUP($A2,Feature_List!$A$2:$AO$101,MATCH(BQ$1,Feature_List!$A$1:$AO$1,0),FALSE),"OK","BAD")</f>
        <v>#N/A</v>
      </c>
      <c r="BR2" s="95" t="e">
        <f>IF(AE2=VLOOKUP($A2,Feature_List!$A$2:$AO$101,MATCH(BR$1,Feature_List!$A$1:$AO$1,0),FALSE),"OK","BAD")</f>
        <v>#N/A</v>
      </c>
      <c r="BS2" s="95" t="e">
        <f>IF(AF2=VLOOKUP($A2,Feature_List!$A$2:$AO$101,MATCH(BS$1,Feature_List!$A$1:$AO$1,0),FALSE),"OK","BAD")</f>
        <v>#N/A</v>
      </c>
      <c r="BT2" s="95" t="e">
        <f>IF(AG2=VLOOKUP($A2,Feature_List!$A$2:$AO$101,MATCH(BT$1,Feature_List!$A$1:$AO$1,0),FALSE),"OK","BAD")</f>
        <v>#N/A</v>
      </c>
      <c r="BU2" s="95" t="e">
        <f>IF(AH2=VLOOKUP($A2,Feature_List!$A$2:$AO$101,MATCH(BU$1,Feature_List!$A$1:$AO$1,0),FALSE),"OK","BAD")</f>
        <v>#N/A</v>
      </c>
      <c r="BV2" s="95" t="e">
        <f>IF(AI2=VLOOKUP($A2,Feature_List!$A$2:$AO$101,MATCH(BV$1,Feature_List!$A$1:$AO$1,0),FALSE),"OK","BAD")</f>
        <v>#N/A</v>
      </c>
      <c r="BW2" s="95" t="e">
        <f>IF(AJ2=VLOOKUP($A2,Feature_List!$A$2:$AO$101,MATCH(BW$1,Feature_List!$A$1:$AO$1,0),FALSE),"OK","BAD")</f>
        <v>#N/A</v>
      </c>
      <c r="BX2" s="95" t="e">
        <f>IF(AK2=VLOOKUP($A2,Feature_List!$A$2:$AO$101,MATCH(BX$1,Feature_List!$A$1:$AO$1,0),FALSE),"OK","BAD")</f>
        <v>#N/A</v>
      </c>
      <c r="BY2" s="95" t="e">
        <f>IF(AL2=VLOOKUP($A2,Feature_List!$A$2:$AO$101,MATCH(BY$1,Feature_List!$A$1:$AO$1,0),FALSE),"OK","BAD")</f>
        <v>#N/A</v>
      </c>
      <c r="BZ2" s="95" t="e">
        <f>IF(AM2=VLOOKUP($A2,Feature_List!$A$2:$AO$101,MATCH(BZ$1,Feature_List!$A$1:$AO$1,0),FALSE),"OK","BAD")</f>
        <v>#N/A</v>
      </c>
      <c r="CA2" s="95" t="e">
        <f>IF(AN2=VLOOKUP($A2,Feature_List!$A$2:$AO$101,MATCH(CA$1,Feature_List!$A$1:$AO$1,0),FALSE),"OK","BAD")</f>
        <v>#N/A</v>
      </c>
    </row>
    <row r="3" spans="1:79" ht="14.4" customHeight="1" x14ac:dyDescent="0.3">
      <c r="A3" s="70">
        <v>1007536</v>
      </c>
      <c r="B3" s="65" t="s">
        <v>1571</v>
      </c>
      <c r="C3" s="98" t="s">
        <v>972</v>
      </c>
      <c r="D3" s="65" t="s">
        <v>106</v>
      </c>
      <c r="E3" s="64">
        <v>82</v>
      </c>
      <c r="F3" s="64" t="s">
        <v>879</v>
      </c>
      <c r="G3" s="64" t="s">
        <v>1572</v>
      </c>
      <c r="H3" s="64" t="s">
        <v>362</v>
      </c>
      <c r="I3" s="99" t="s">
        <v>38</v>
      </c>
      <c r="J3" s="64" t="s">
        <v>1412</v>
      </c>
      <c r="K3" s="64">
        <v>1004098</v>
      </c>
      <c r="L3" s="62" t="s">
        <v>950</v>
      </c>
      <c r="M3" s="67" t="s">
        <v>36</v>
      </c>
      <c r="N3" s="67" t="s">
        <v>36</v>
      </c>
      <c r="O3" s="67">
        <v>0</v>
      </c>
      <c r="P3" s="66" t="s">
        <v>131</v>
      </c>
      <c r="Q3" s="63">
        <v>1</v>
      </c>
      <c r="R3" s="63">
        <v>0</v>
      </c>
      <c r="S3" s="63">
        <v>0</v>
      </c>
      <c r="T3" s="63">
        <v>0</v>
      </c>
      <c r="U3" s="63">
        <v>0</v>
      </c>
      <c r="V3" s="63">
        <v>0</v>
      </c>
      <c r="W3" s="63">
        <v>0</v>
      </c>
      <c r="X3" s="63">
        <v>0</v>
      </c>
      <c r="Y3" s="63">
        <v>0</v>
      </c>
      <c r="Z3" s="63">
        <v>21</v>
      </c>
      <c r="AA3" s="63">
        <v>0</v>
      </c>
      <c r="AB3" s="63">
        <v>0</v>
      </c>
      <c r="AC3" s="63">
        <v>0</v>
      </c>
      <c r="AD3" s="63">
        <v>0</v>
      </c>
      <c r="AE3" s="63">
        <v>0</v>
      </c>
      <c r="AF3" s="63">
        <v>0</v>
      </c>
      <c r="AG3" s="63">
        <v>0</v>
      </c>
      <c r="AH3" s="63">
        <v>0</v>
      </c>
      <c r="AI3" s="63">
        <v>0</v>
      </c>
      <c r="AJ3" s="63">
        <v>21</v>
      </c>
      <c r="AK3" s="63">
        <v>61</v>
      </c>
      <c r="AL3" s="63" t="s">
        <v>35</v>
      </c>
      <c r="AM3" s="63" t="s">
        <v>854</v>
      </c>
      <c r="AN3" s="220" t="s">
        <v>33</v>
      </c>
      <c r="AO3" s="224"/>
      <c r="AP3" s="95" t="str">
        <f>IF(C3=VLOOKUP($A3,Feature_List!$A$2:$AO$101,MATCH(AP$1,Feature_List!$A$1:$AO$1,0),FALSE),"OK","BAD")</f>
        <v>OK</v>
      </c>
      <c r="AQ3" s="95" t="str">
        <f>IF(D3=VLOOKUP($A3,Feature_List!$A$2:$AO$101,MATCH(AQ$1,Feature_List!$A$1:$AO$1,0),FALSE),"OK","BAD")</f>
        <v>OK</v>
      </c>
      <c r="AR3" s="95" t="str">
        <f>IF(E3=VLOOKUP($A3,Feature_List!$A$2:$AO$101,MATCH(AR$1,Feature_List!$A$1:$AO$1,0),FALSE),"OK","BAD")</f>
        <v>OK</v>
      </c>
      <c r="AS3" s="95" t="str">
        <f>IF(F3=VLOOKUP($A3,Feature_List!$A$2:$AO$101,MATCH(AS$1,Feature_List!$A$1:$AO$1,0),FALSE),"OK","BAD")</f>
        <v>OK</v>
      </c>
      <c r="AT3" s="95" t="s">
        <v>985</v>
      </c>
      <c r="AU3" s="95" t="s">
        <v>985</v>
      </c>
      <c r="AV3" s="95" t="str">
        <f>IF(I3=VLOOKUP($A3,Feature_List!$A$2:$AO$101,MATCH(AV$1,Feature_List!$A$1:$AO$1,0),FALSE),"OK","BAD")</f>
        <v>OK</v>
      </c>
      <c r="AW3" s="95" t="str">
        <f>IF(J3=VLOOKUP($A3,Feature_List!$A$2:$AO$101,MATCH(AW$1,Feature_List!$A$1:$AO$1,0),FALSE),"OK","BAD")</f>
        <v>OK</v>
      </c>
      <c r="AX3" s="95" t="str">
        <f>IF(K3=VLOOKUP($A3,Feature_List!$A$2:$AO$101,MATCH(AX$1,Feature_List!$A$1:$AO$1,0),FALSE),"OK","BAD")</f>
        <v>OK</v>
      </c>
      <c r="AY3" s="95" t="str">
        <f>IF(L3=VLOOKUP($A3,Feature_List!$A$2:$AO$101,MATCH(AY$1,Feature_List!$A$1:$AO$1,0),FALSE),"OK","BAD")</f>
        <v>OK</v>
      </c>
      <c r="AZ3" s="95" t="str">
        <f>IF(M3=VLOOKUP($A3,Feature_List!$A$2:$AO$101,MATCH(AZ$1,Feature_List!$A$1:$AO$1,0),FALSE),"OK","BAD")</f>
        <v>OK</v>
      </c>
      <c r="BA3" s="95" t="str">
        <f>IF(N3=VLOOKUP($A3,Feature_List!$A$2:$AO$101,MATCH(BA$1,Feature_List!$A$1:$AO$1,0),FALSE),"OK","BAD")</f>
        <v>OK</v>
      </c>
      <c r="BB3" s="95" t="str">
        <f>IF(O3=VLOOKUP($A3,Feature_List!$A$2:$AO$101,MATCH(BB$1,Feature_List!$A$1:$AO$1,0),FALSE),"OK","BAD")</f>
        <v>OK</v>
      </c>
      <c r="BC3" s="95" t="e">
        <f>IF(P3=VLOOKUP($A3,Feature_List!$A$2:$AO$101,MATCH(BC$1,Feature_List!$A$1:$AO$1,0),FALSE),"OK","BAD")</f>
        <v>#N/A</v>
      </c>
      <c r="BD3" s="95" t="str">
        <f>IF(Q3=VLOOKUP($A3,Feature_List!$A$2:$AO$101,MATCH(BD$1,Feature_List!$A$1:$AO$1,0),FALSE),"OK","BAD")</f>
        <v>BAD</v>
      </c>
      <c r="BE3" s="95" t="str">
        <f>IF(R3=VLOOKUP($A3,Feature_List!$A$2:$AO$101,MATCH(BE$1,Feature_List!$A$1:$AO$1,0),FALSE),"OK","BAD")</f>
        <v>BAD</v>
      </c>
      <c r="BF3" s="95" t="str">
        <f>IF(S3=VLOOKUP($A3,Feature_List!$A$2:$AO$101,MATCH(BF$1,Feature_List!$A$1:$AO$1,0),FALSE),"OK","BAD")</f>
        <v>OK</v>
      </c>
      <c r="BG3" s="95" t="str">
        <f>IF(T3=VLOOKUP($A3,Feature_List!$A$2:$AO$101,MATCH(BG$1,Feature_List!$A$1:$AO$1,0),FALSE),"OK","BAD")</f>
        <v>OK</v>
      </c>
      <c r="BH3" s="95" t="str">
        <f>IF(U3=VLOOKUP($A3,Feature_List!$A$2:$AO$101,MATCH(BH$1,Feature_List!$A$1:$AO$1,0),FALSE),"OK","BAD")</f>
        <v>OK</v>
      </c>
      <c r="BI3" s="95" t="str">
        <f>IF(V3=VLOOKUP($A3,Feature_List!$A$2:$AO$101,MATCH(BI$1,Feature_List!$A$1:$AO$1,0),FALSE),"OK","BAD")</f>
        <v>OK</v>
      </c>
      <c r="BJ3" s="95" t="e">
        <f>IF(W3=VLOOKUP($A3,Feature_List!$A$2:$AO$101,MATCH(BJ$1,Feature_List!$A$1:$AO$1,0),FALSE),"OK","BAD")</f>
        <v>#N/A</v>
      </c>
      <c r="BK3" s="95" t="str">
        <f>IF(X3=VLOOKUP($A3,Feature_List!$A$2:$AO$101,MATCH(BK$1,Feature_List!$A$1:$AO$1,0),FALSE),"OK","BAD")</f>
        <v>OK</v>
      </c>
      <c r="BL3" s="95" t="str">
        <f>IF(Y3=VLOOKUP($A3,Feature_List!$A$2:$AO$101,MATCH(BL$1,Feature_List!$A$1:$AO$1,0),FALSE),"OK","BAD")</f>
        <v>OK</v>
      </c>
      <c r="BM3" s="95" t="str">
        <f>IF(Z3=VLOOKUP($A3,Feature_List!$A$2:$AO$101,MATCH(BM$1,Feature_List!$A$1:$AO$1,0),FALSE),"OK","BAD")</f>
        <v>BAD</v>
      </c>
      <c r="BN3" s="95" t="str">
        <f>IF(AA3=VLOOKUP($A3,Feature_List!$A$2:$AO$101,MATCH(BN$1,Feature_List!$A$1:$AO$1,0),FALSE),"OK","BAD")</f>
        <v>OK</v>
      </c>
      <c r="BO3" s="95" t="str">
        <f>IF(AB3=VLOOKUP($A3,Feature_List!$A$2:$AO$101,MATCH(BO$1,Feature_List!$A$1:$AO$1,0),FALSE),"OK","BAD")</f>
        <v>OK</v>
      </c>
      <c r="BP3" s="95" t="str">
        <f>IF(AC3=VLOOKUP($A3,Feature_List!$A$2:$AO$101,MATCH(BP$1,Feature_List!$A$1:$AO$1,0),FALSE),"OK","BAD")</f>
        <v>BAD</v>
      </c>
      <c r="BQ3" s="95" t="str">
        <f>IF(AD3=VLOOKUP($A3,Feature_List!$A$2:$AO$101,MATCH(BQ$1,Feature_List!$A$1:$AO$1,0),FALSE),"OK","BAD")</f>
        <v>OK</v>
      </c>
      <c r="BR3" s="95" t="str">
        <f>IF(AE3=VLOOKUP($A3,Feature_List!$A$2:$AO$101,MATCH(BR$1,Feature_List!$A$1:$AO$1,0),FALSE),"OK","BAD")</f>
        <v>BAD</v>
      </c>
      <c r="BS3" s="95" t="str">
        <f>IF(AF3=VLOOKUP($A3,Feature_List!$A$2:$AO$101,MATCH(BS$1,Feature_List!$A$1:$AO$1,0),FALSE),"OK","BAD")</f>
        <v>OK</v>
      </c>
      <c r="BT3" s="95" t="str">
        <f>IF(AG3=VLOOKUP($A3,Feature_List!$A$2:$AO$101,MATCH(BT$1,Feature_List!$A$1:$AO$1,0),FALSE),"OK","BAD")</f>
        <v>OK</v>
      </c>
      <c r="BU3" s="95" t="str">
        <f>IF(AH3=VLOOKUP($A3,Feature_List!$A$2:$AO$101,MATCH(BU$1,Feature_List!$A$1:$AO$1,0),FALSE),"OK","BAD")</f>
        <v>OK</v>
      </c>
      <c r="BV3" s="95" t="e">
        <f>IF(AI3=VLOOKUP($A3,Feature_List!$A$2:$AO$101,MATCH(BV$1,Feature_List!$A$1:$AO$1,0),FALSE),"OK","BAD")</f>
        <v>#N/A</v>
      </c>
      <c r="BW3" s="95" t="e">
        <f>IF(AJ3=VLOOKUP($A3,Feature_List!$A$2:$AO$101,MATCH(BW$1,Feature_List!$A$1:$AO$1,0),FALSE),"OK","BAD")</f>
        <v>#N/A</v>
      </c>
      <c r="BX3" s="95" t="e">
        <f>IF(AK3=VLOOKUP($A3,Feature_List!$A$2:$AO$101,MATCH(BX$1,Feature_List!$A$1:$AO$1,0),FALSE),"OK","BAD")</f>
        <v>#N/A</v>
      </c>
      <c r="BY3" s="95" t="str">
        <f>IF(AL3=VLOOKUP($A3,Feature_List!$A$2:$AO$101,MATCH(BY$1,Feature_List!$A$1:$AO$1,0),FALSE),"OK","BAD")</f>
        <v>OK</v>
      </c>
      <c r="BZ3" s="95" t="str">
        <f>IF(AM3=VLOOKUP($A3,Feature_List!$A$2:$AO$101,MATCH(BZ$1,Feature_List!$A$1:$AO$1,0),FALSE),"OK","BAD")</f>
        <v>OK</v>
      </c>
      <c r="CA3" s="95" t="str">
        <f>IF(AN3=VLOOKUP($A3,Feature_List!$A$2:$AO$101,MATCH(CA$1,Feature_List!$A$1:$AO$1,0),FALSE),"OK","BAD")</f>
        <v>OK</v>
      </c>
    </row>
    <row r="4" spans="1:79" ht="14.4" customHeight="1" x14ac:dyDescent="0.3">
      <c r="A4" s="34">
        <v>1006843</v>
      </c>
      <c r="B4" s="34" t="s">
        <v>1565</v>
      </c>
      <c r="C4" s="34" t="s">
        <v>1143</v>
      </c>
      <c r="D4" s="34" t="s">
        <v>28</v>
      </c>
      <c r="E4" s="54">
        <v>8</v>
      </c>
      <c r="F4" s="34" t="s">
        <v>41</v>
      </c>
      <c r="G4" s="34" t="s">
        <v>1573</v>
      </c>
      <c r="H4" s="34" t="s">
        <v>545</v>
      </c>
      <c r="I4" s="34" t="s">
        <v>38</v>
      </c>
      <c r="J4" s="34" t="s">
        <v>1412</v>
      </c>
      <c r="K4" s="34">
        <v>385420</v>
      </c>
      <c r="L4" s="96" t="s">
        <v>947</v>
      </c>
      <c r="M4" s="34" t="s">
        <v>36</v>
      </c>
      <c r="N4" s="34" t="s">
        <v>36</v>
      </c>
      <c r="O4" s="34">
        <v>0</v>
      </c>
      <c r="P4" s="34" t="s">
        <v>131</v>
      </c>
      <c r="Q4" s="54">
        <v>2</v>
      </c>
      <c r="R4" s="34">
        <v>0</v>
      </c>
      <c r="S4" s="54">
        <v>0</v>
      </c>
      <c r="T4" s="54">
        <v>0</v>
      </c>
      <c r="U4" s="54">
        <v>0</v>
      </c>
      <c r="V4" s="54">
        <v>0</v>
      </c>
      <c r="W4" s="54">
        <v>0</v>
      </c>
      <c r="X4" s="54">
        <v>0</v>
      </c>
      <c r="Y4" s="54">
        <v>0</v>
      </c>
      <c r="Z4" s="54">
        <v>0</v>
      </c>
      <c r="AA4" s="54">
        <v>0</v>
      </c>
      <c r="AB4" s="54">
        <v>3</v>
      </c>
      <c r="AC4" s="54">
        <v>5</v>
      </c>
      <c r="AD4" s="54">
        <v>0</v>
      </c>
      <c r="AE4" s="54">
        <v>0</v>
      </c>
      <c r="AF4" s="54">
        <v>0</v>
      </c>
      <c r="AG4" s="54">
        <v>0</v>
      </c>
      <c r="AH4" s="54">
        <v>0</v>
      </c>
      <c r="AI4" s="54">
        <v>0</v>
      </c>
      <c r="AJ4" s="54">
        <v>8</v>
      </c>
      <c r="AK4" s="54">
        <v>0</v>
      </c>
      <c r="AL4" s="54" t="s">
        <v>35</v>
      </c>
      <c r="AM4" s="54" t="s">
        <v>854</v>
      </c>
      <c r="AN4" s="221" t="s">
        <v>40</v>
      </c>
      <c r="AO4" s="224"/>
      <c r="AP4" s="95" t="e">
        <f>IF(C4=VLOOKUP($A4,Feature_List!$A$2:$AO$101,MATCH(AP$1,Feature_List!$A$1:$AO$1,0),FALSE),"OK","BAD")</f>
        <v>#N/A</v>
      </c>
      <c r="AQ4" s="95" t="e">
        <f>IF(D4=VLOOKUP($A4,Feature_List!$A$2:$AO$101,MATCH(AQ$1,Feature_List!$A$1:$AO$1,0),FALSE),"OK","BAD")</f>
        <v>#N/A</v>
      </c>
      <c r="AR4" s="95" t="e">
        <f>IF(E4=VLOOKUP($A4,Feature_List!$A$2:$AO$101,MATCH(AR$1,Feature_List!$A$1:$AO$1,0),FALSE),"OK","BAD")</f>
        <v>#N/A</v>
      </c>
      <c r="AS4" s="95" t="e">
        <f>IF(F4=VLOOKUP($A4,Feature_List!$A$2:$AO$101,MATCH(AS$1,Feature_List!$A$1:$AO$1,0),FALSE),"OK","BAD")</f>
        <v>#N/A</v>
      </c>
      <c r="AT4" s="95" t="s">
        <v>985</v>
      </c>
      <c r="AU4" s="95" t="s">
        <v>985</v>
      </c>
      <c r="AV4" s="95" t="e">
        <f>IF(I4=VLOOKUP($A4,Feature_List!$A$2:$AO$101,MATCH(AV$1,Feature_List!$A$1:$AO$1,0),FALSE),"OK","BAD")</f>
        <v>#N/A</v>
      </c>
      <c r="AW4" s="95" t="e">
        <f>IF(J4=VLOOKUP($A4,Feature_List!$A$2:$AO$101,MATCH(AW$1,Feature_List!$A$1:$AO$1,0),FALSE),"OK","BAD")</f>
        <v>#N/A</v>
      </c>
      <c r="AX4" s="95" t="e">
        <f>IF(K4=VLOOKUP($A4,Feature_List!$A$2:$AO$101,MATCH(AX$1,Feature_List!$A$1:$AO$1,0),FALSE),"OK","BAD")</f>
        <v>#N/A</v>
      </c>
      <c r="AY4" s="95" t="e">
        <f>IF(L4=VLOOKUP($A4,Feature_List!$A$2:$AO$101,MATCH(AY$1,Feature_List!$A$1:$AO$1,0),FALSE),"OK","BAD")</f>
        <v>#N/A</v>
      </c>
      <c r="AZ4" s="95" t="e">
        <f>IF(M4=VLOOKUP($A4,Feature_List!$A$2:$AO$101,MATCH(AZ$1,Feature_List!$A$1:$AO$1,0),FALSE),"OK","BAD")</f>
        <v>#N/A</v>
      </c>
      <c r="BA4" s="95" t="e">
        <f>IF(N4=VLOOKUP($A4,Feature_List!$A$2:$AO$101,MATCH(BA$1,Feature_List!$A$1:$AO$1,0),FALSE),"OK","BAD")</f>
        <v>#N/A</v>
      </c>
      <c r="BB4" s="95" t="e">
        <f>IF(O4=VLOOKUP($A4,Feature_List!$A$2:$AO$101,MATCH(BB$1,Feature_List!$A$1:$AO$1,0),FALSE),"OK","BAD")</f>
        <v>#N/A</v>
      </c>
      <c r="BC4" s="95" t="e">
        <f>IF(P4=VLOOKUP($A4,Feature_List!$A$2:$AO$101,MATCH(BC$1,Feature_List!$A$1:$AO$1,0),FALSE),"OK","BAD")</f>
        <v>#N/A</v>
      </c>
      <c r="BD4" s="95" t="e">
        <f>IF(Q4=VLOOKUP($A4,Feature_List!$A$2:$AO$101,MATCH(BD$1,Feature_List!$A$1:$AO$1,0),FALSE),"OK","BAD")</f>
        <v>#N/A</v>
      </c>
      <c r="BE4" s="95" t="e">
        <f>IF(R4=VLOOKUP($A4,Feature_List!$A$2:$AO$101,MATCH(BE$1,Feature_List!$A$1:$AO$1,0),FALSE),"OK","BAD")</f>
        <v>#N/A</v>
      </c>
      <c r="BF4" s="95" t="e">
        <f>IF(S4=VLOOKUP($A4,Feature_List!$A$2:$AO$101,MATCH(BF$1,Feature_List!$A$1:$AO$1,0),FALSE),"OK","BAD")</f>
        <v>#N/A</v>
      </c>
      <c r="BG4" s="95" t="e">
        <f>IF(T4=VLOOKUP($A4,Feature_List!$A$2:$AO$101,MATCH(BG$1,Feature_List!$A$1:$AO$1,0),FALSE),"OK","BAD")</f>
        <v>#N/A</v>
      </c>
      <c r="BH4" s="95" t="e">
        <f>IF(U4=VLOOKUP($A4,Feature_List!$A$2:$AO$101,MATCH(BH$1,Feature_List!$A$1:$AO$1,0),FALSE),"OK","BAD")</f>
        <v>#N/A</v>
      </c>
      <c r="BI4" s="95" t="e">
        <f>IF(V4=VLOOKUP($A4,Feature_List!$A$2:$AO$101,MATCH(BI$1,Feature_List!$A$1:$AO$1,0),FALSE),"OK","BAD")</f>
        <v>#N/A</v>
      </c>
      <c r="BJ4" s="95" t="e">
        <f>IF(W4=VLOOKUP($A4,Feature_List!$A$2:$AO$101,MATCH(BJ$1,Feature_List!$A$1:$AO$1,0),FALSE),"OK","BAD")</f>
        <v>#N/A</v>
      </c>
      <c r="BK4" s="95" t="e">
        <f>IF(X4=VLOOKUP($A4,Feature_List!$A$2:$AO$101,MATCH(BK$1,Feature_List!$A$1:$AO$1,0),FALSE),"OK","BAD")</f>
        <v>#N/A</v>
      </c>
      <c r="BL4" s="95" t="e">
        <f>IF(Y4=VLOOKUP($A4,Feature_List!$A$2:$AO$101,MATCH(BL$1,Feature_List!$A$1:$AO$1,0),FALSE),"OK","BAD")</f>
        <v>#N/A</v>
      </c>
      <c r="BM4" s="95" t="e">
        <f>IF(Z4=VLOOKUP($A4,Feature_List!$A$2:$AO$101,MATCH(BM$1,Feature_List!$A$1:$AO$1,0),FALSE),"OK","BAD")</f>
        <v>#N/A</v>
      </c>
      <c r="BN4" s="95" t="e">
        <f>IF(AA4=VLOOKUP($A4,Feature_List!$A$2:$AO$101,MATCH(BN$1,Feature_List!$A$1:$AO$1,0),FALSE),"OK","BAD")</f>
        <v>#N/A</v>
      </c>
      <c r="BO4" s="95" t="e">
        <f>IF(AB4=VLOOKUP($A4,Feature_List!$A$2:$AO$101,MATCH(BO$1,Feature_List!$A$1:$AO$1,0),FALSE),"OK","BAD")</f>
        <v>#N/A</v>
      </c>
      <c r="BP4" s="95" t="e">
        <f>IF(AC4=VLOOKUP($A4,Feature_List!$A$2:$AO$101,MATCH(BP$1,Feature_List!$A$1:$AO$1,0),FALSE),"OK","BAD")</f>
        <v>#N/A</v>
      </c>
      <c r="BQ4" s="95" t="e">
        <f>IF(AD4=VLOOKUP($A4,Feature_List!$A$2:$AO$101,MATCH(BQ$1,Feature_List!$A$1:$AO$1,0),FALSE),"OK","BAD")</f>
        <v>#N/A</v>
      </c>
      <c r="BR4" s="95" t="e">
        <f>IF(AE4=VLOOKUP($A4,Feature_List!$A$2:$AO$101,MATCH(BR$1,Feature_List!$A$1:$AO$1,0),FALSE),"OK","BAD")</f>
        <v>#N/A</v>
      </c>
      <c r="BS4" s="95" t="e">
        <f>IF(AF4=VLOOKUP($A4,Feature_List!$A$2:$AO$101,MATCH(BS$1,Feature_List!$A$1:$AO$1,0),FALSE),"OK","BAD")</f>
        <v>#N/A</v>
      </c>
      <c r="BT4" s="95" t="e">
        <f>IF(AG4=VLOOKUP($A4,Feature_List!$A$2:$AO$101,MATCH(BT$1,Feature_List!$A$1:$AO$1,0),FALSE),"OK","BAD")</f>
        <v>#N/A</v>
      </c>
      <c r="BU4" s="95" t="e">
        <f>IF(AH4=VLOOKUP($A4,Feature_List!$A$2:$AO$101,MATCH(BU$1,Feature_List!$A$1:$AO$1,0),FALSE),"OK","BAD")</f>
        <v>#N/A</v>
      </c>
      <c r="BV4" s="95" t="e">
        <f>IF(AI4=VLOOKUP($A4,Feature_List!$A$2:$AO$101,MATCH(BV$1,Feature_List!$A$1:$AO$1,0),FALSE),"OK","BAD")</f>
        <v>#N/A</v>
      </c>
      <c r="BW4" s="95" t="e">
        <f>IF(AJ4=VLOOKUP($A4,Feature_List!$A$2:$AO$101,MATCH(BW$1,Feature_List!$A$1:$AO$1,0),FALSE),"OK","BAD")</f>
        <v>#N/A</v>
      </c>
      <c r="BX4" s="95" t="e">
        <f>IF(AK4=VLOOKUP($A4,Feature_List!$A$2:$AO$101,MATCH(BX$1,Feature_List!$A$1:$AO$1,0),FALSE),"OK","BAD")</f>
        <v>#N/A</v>
      </c>
      <c r="BY4" s="95" t="e">
        <f>IF(AL4=VLOOKUP($A4,Feature_List!$A$2:$AO$101,MATCH(BY$1,Feature_List!$A$1:$AO$1,0),FALSE),"OK","BAD")</f>
        <v>#N/A</v>
      </c>
      <c r="BZ4" s="95" t="e">
        <f>IF(AM4=VLOOKUP($A4,Feature_List!$A$2:$AO$101,MATCH(BZ$1,Feature_List!$A$1:$AO$1,0),FALSE),"OK","BAD")</f>
        <v>#N/A</v>
      </c>
      <c r="CA4" s="95" t="e">
        <f>IF(AN4=VLOOKUP($A4,Feature_List!$A$2:$AO$101,MATCH(CA$1,Feature_List!$A$1:$AO$1,0),FALSE),"OK","BAD")</f>
        <v>#N/A</v>
      </c>
    </row>
    <row r="5" spans="1:79" ht="14.4" customHeight="1" x14ac:dyDescent="0.3">
      <c r="A5" s="70">
        <v>1006376</v>
      </c>
      <c r="B5" s="65" t="s">
        <v>1530</v>
      </c>
      <c r="C5" s="98" t="s">
        <v>972</v>
      </c>
      <c r="D5" s="65" t="s">
        <v>28</v>
      </c>
      <c r="E5" s="64">
        <v>38</v>
      </c>
      <c r="F5" s="64" t="s">
        <v>880</v>
      </c>
      <c r="G5" s="64" t="s">
        <v>1625</v>
      </c>
      <c r="H5" s="64" t="s">
        <v>1514</v>
      </c>
      <c r="I5" s="99" t="s">
        <v>939</v>
      </c>
      <c r="J5" s="64" t="s">
        <v>1412</v>
      </c>
      <c r="K5" s="64">
        <v>340740</v>
      </c>
      <c r="L5" s="62" t="s">
        <v>554</v>
      </c>
      <c r="M5" s="67" t="s">
        <v>34</v>
      </c>
      <c r="N5" s="67" t="s">
        <v>55</v>
      </c>
      <c r="O5" s="67">
        <v>2</v>
      </c>
      <c r="P5" s="66" t="s">
        <v>131</v>
      </c>
      <c r="Q5" s="63">
        <v>1</v>
      </c>
      <c r="R5" s="63">
        <v>0</v>
      </c>
      <c r="S5" s="63">
        <v>0</v>
      </c>
      <c r="T5" s="63">
        <v>0</v>
      </c>
      <c r="U5" s="63">
        <v>0</v>
      </c>
      <c r="V5" s="63">
        <v>0</v>
      </c>
      <c r="W5" s="63">
        <v>0</v>
      </c>
      <c r="X5" s="63">
        <v>0</v>
      </c>
      <c r="Y5" s="63">
        <v>0</v>
      </c>
      <c r="Z5" s="63">
        <v>0</v>
      </c>
      <c r="AA5" s="63">
        <v>0</v>
      </c>
      <c r="AB5" s="63">
        <v>0</v>
      </c>
      <c r="AC5" s="63">
        <v>0</v>
      </c>
      <c r="AD5" s="63">
        <v>0</v>
      </c>
      <c r="AE5" s="63">
        <v>0</v>
      </c>
      <c r="AF5" s="63">
        <v>0</v>
      </c>
      <c r="AG5" s="63">
        <v>16</v>
      </c>
      <c r="AH5" s="63">
        <v>0</v>
      </c>
      <c r="AI5" s="63">
        <v>0</v>
      </c>
      <c r="AJ5" s="63">
        <v>16</v>
      </c>
      <c r="AK5" s="63">
        <v>22</v>
      </c>
      <c r="AL5" s="63" t="s">
        <v>35</v>
      </c>
      <c r="AM5" s="63" t="s">
        <v>854</v>
      </c>
      <c r="AN5" s="220" t="s">
        <v>33</v>
      </c>
      <c r="AO5" s="224"/>
      <c r="AP5" s="95" t="str">
        <f>IF(C5=VLOOKUP($A5,Feature_List!$A$2:$AO$101,MATCH(AP$1,Feature_List!$A$1:$AO$1,0),FALSE),"OK","BAD")</f>
        <v>OK</v>
      </c>
      <c r="AQ5" s="95" t="str">
        <f>IF(D5=VLOOKUP($A5,Feature_List!$A$2:$AO$101,MATCH(AQ$1,Feature_List!$A$1:$AO$1,0),FALSE),"OK","BAD")</f>
        <v>BAD</v>
      </c>
      <c r="AR5" s="95" t="str">
        <f>IF(E5=VLOOKUP($A5,Feature_List!$A$2:$AO$101,MATCH(AR$1,Feature_List!$A$1:$AO$1,0),FALSE),"OK","BAD")</f>
        <v>OK</v>
      </c>
      <c r="AS5" s="95" t="str">
        <f>IF(F5=VLOOKUP($A5,Feature_List!$A$2:$AO$101,MATCH(AS$1,Feature_List!$A$1:$AO$1,0),FALSE),"OK","BAD")</f>
        <v>OK</v>
      </c>
      <c r="AT5" s="95" t="s">
        <v>985</v>
      </c>
      <c r="AU5" s="95" t="s">
        <v>985</v>
      </c>
      <c r="AV5" s="95" t="str">
        <f>IF(I5=VLOOKUP($A5,Feature_List!$A$2:$AO$101,MATCH(AV$1,Feature_List!$A$1:$AO$1,0),FALSE),"OK","BAD")</f>
        <v>OK</v>
      </c>
      <c r="AW5" s="95" t="str">
        <f>IF(J5=VLOOKUP($A5,Feature_List!$A$2:$AO$101,MATCH(AW$1,Feature_List!$A$1:$AO$1,0),FALSE),"OK","BAD")</f>
        <v>OK</v>
      </c>
      <c r="AX5" s="95" t="str">
        <f>IF(K5=VLOOKUP($A5,Feature_List!$A$2:$AO$101,MATCH(AX$1,Feature_List!$A$1:$AO$1,0),FALSE),"OK","BAD")</f>
        <v>OK</v>
      </c>
      <c r="AY5" s="95" t="str">
        <f>IF(L5=VLOOKUP($A5,Feature_List!$A$2:$AO$101,MATCH(AY$1,Feature_List!$A$1:$AO$1,0),FALSE),"OK","BAD")</f>
        <v>OK</v>
      </c>
      <c r="AZ5" s="95" t="str">
        <f>IF(M5=VLOOKUP($A5,Feature_List!$A$2:$AO$101,MATCH(AZ$1,Feature_List!$A$1:$AO$1,0),FALSE),"OK","BAD")</f>
        <v>OK</v>
      </c>
      <c r="BA5" s="95" t="str">
        <f>IF(N5=VLOOKUP($A5,Feature_List!$A$2:$AO$101,MATCH(BA$1,Feature_List!$A$1:$AO$1,0),FALSE),"OK","BAD")</f>
        <v>OK</v>
      </c>
      <c r="BB5" s="95" t="str">
        <f>IF(O5=VLOOKUP($A5,Feature_List!$A$2:$AO$101,MATCH(BB$1,Feature_List!$A$1:$AO$1,0),FALSE),"OK","BAD")</f>
        <v>OK</v>
      </c>
      <c r="BC5" s="95" t="e">
        <f>IF(P5=VLOOKUP($A5,Feature_List!$A$2:$AO$101,MATCH(BC$1,Feature_List!$A$1:$AO$1,0),FALSE),"OK","BAD")</f>
        <v>#N/A</v>
      </c>
      <c r="BD5" s="95" t="str">
        <f>IF(Q5=VLOOKUP($A5,Feature_List!$A$2:$AO$101,MATCH(BD$1,Feature_List!$A$1:$AO$1,0),FALSE),"OK","BAD")</f>
        <v>OK</v>
      </c>
      <c r="BE5" s="95" t="str">
        <f>IF(R5=VLOOKUP($A5,Feature_List!$A$2:$AO$101,MATCH(BE$1,Feature_List!$A$1:$AO$1,0),FALSE),"OK","BAD")</f>
        <v>BAD</v>
      </c>
      <c r="BF5" s="95" t="str">
        <f>IF(S5=VLOOKUP($A5,Feature_List!$A$2:$AO$101,MATCH(BF$1,Feature_List!$A$1:$AO$1,0),FALSE),"OK","BAD")</f>
        <v>OK</v>
      </c>
      <c r="BG5" s="95" t="str">
        <f>IF(T5=VLOOKUP($A5,Feature_List!$A$2:$AO$101,MATCH(BG$1,Feature_List!$A$1:$AO$1,0),FALSE),"OK","BAD")</f>
        <v>OK</v>
      </c>
      <c r="BH5" s="95" t="str">
        <f>IF(U5=VLOOKUP($A5,Feature_List!$A$2:$AO$101,MATCH(BH$1,Feature_List!$A$1:$AO$1,0),FALSE),"OK","BAD")</f>
        <v>OK</v>
      </c>
      <c r="BI5" s="95" t="str">
        <f>IF(V5=VLOOKUP($A5,Feature_List!$A$2:$AO$101,MATCH(BI$1,Feature_List!$A$1:$AO$1,0),FALSE),"OK","BAD")</f>
        <v>OK</v>
      </c>
      <c r="BJ5" s="95" t="e">
        <f>IF(W5=VLOOKUP($A5,Feature_List!$A$2:$AO$101,MATCH(BJ$1,Feature_List!$A$1:$AO$1,0),FALSE),"OK","BAD")</f>
        <v>#N/A</v>
      </c>
      <c r="BK5" s="95" t="str">
        <f>IF(X5=VLOOKUP($A5,Feature_List!$A$2:$AO$101,MATCH(BK$1,Feature_List!$A$1:$AO$1,0),FALSE),"OK","BAD")</f>
        <v>OK</v>
      </c>
      <c r="BL5" s="95" t="str">
        <f>IF(Y5=VLOOKUP($A5,Feature_List!$A$2:$AO$101,MATCH(BL$1,Feature_List!$A$1:$AO$1,0),FALSE),"OK","BAD")</f>
        <v>OK</v>
      </c>
      <c r="BM5" s="95" t="str">
        <f>IF(Z5=VLOOKUP($A5,Feature_List!$A$2:$AO$101,MATCH(BM$1,Feature_List!$A$1:$AO$1,0),FALSE),"OK","BAD")</f>
        <v>OK</v>
      </c>
      <c r="BN5" s="95" t="str">
        <f>IF(AA5=VLOOKUP($A5,Feature_List!$A$2:$AO$101,MATCH(BN$1,Feature_List!$A$1:$AO$1,0),FALSE),"OK","BAD")</f>
        <v>OK</v>
      </c>
      <c r="BO5" s="95" t="str">
        <f>IF(AB5=VLOOKUP($A5,Feature_List!$A$2:$AO$101,MATCH(BO$1,Feature_List!$A$1:$AO$1,0),FALSE),"OK","BAD")</f>
        <v>OK</v>
      </c>
      <c r="BP5" s="95" t="str">
        <f>IF(AC5=VLOOKUP($A5,Feature_List!$A$2:$AO$101,MATCH(BP$1,Feature_List!$A$1:$AO$1,0),FALSE),"OK","BAD")</f>
        <v>OK</v>
      </c>
      <c r="BQ5" s="95" t="str">
        <f>IF(AD5=VLOOKUP($A5,Feature_List!$A$2:$AO$101,MATCH(BQ$1,Feature_List!$A$1:$AO$1,0),FALSE),"OK","BAD")</f>
        <v>OK</v>
      </c>
      <c r="BR5" s="95" t="str">
        <f>IF(AE5=VLOOKUP($A5,Feature_List!$A$2:$AO$101,MATCH(BR$1,Feature_List!$A$1:$AO$1,0),FALSE),"OK","BAD")</f>
        <v>OK</v>
      </c>
      <c r="BS5" s="95" t="str">
        <f>IF(AF5=VLOOKUP($A5,Feature_List!$A$2:$AO$101,MATCH(BS$1,Feature_List!$A$1:$AO$1,0),FALSE),"OK","BAD")</f>
        <v>OK</v>
      </c>
      <c r="BT5" s="95" t="str">
        <f>IF(AG5=VLOOKUP($A5,Feature_List!$A$2:$AO$101,MATCH(BT$1,Feature_List!$A$1:$AO$1,0),FALSE),"OK","BAD")</f>
        <v>BAD</v>
      </c>
      <c r="BU5" s="95" t="str">
        <f>IF(AH5=VLOOKUP($A5,Feature_List!$A$2:$AO$101,MATCH(BU$1,Feature_List!$A$1:$AO$1,0),FALSE),"OK","BAD")</f>
        <v>OK</v>
      </c>
      <c r="BV5" s="95" t="e">
        <f>IF(AI5=VLOOKUP($A5,Feature_List!$A$2:$AO$101,MATCH(BV$1,Feature_List!$A$1:$AO$1,0),FALSE),"OK","BAD")</f>
        <v>#N/A</v>
      </c>
      <c r="BW5" s="95" t="e">
        <f>IF(AJ5=VLOOKUP($A5,Feature_List!$A$2:$AO$101,MATCH(BW$1,Feature_List!$A$1:$AO$1,0),FALSE),"OK","BAD")</f>
        <v>#N/A</v>
      </c>
      <c r="BX5" s="95" t="e">
        <f>IF(AK5=VLOOKUP($A5,Feature_List!$A$2:$AO$101,MATCH(BX$1,Feature_List!$A$1:$AO$1,0),FALSE),"OK","BAD")</f>
        <v>#N/A</v>
      </c>
      <c r="BY5" s="95" t="str">
        <f>IF(AL5=VLOOKUP($A5,Feature_List!$A$2:$AO$101,MATCH(BY$1,Feature_List!$A$1:$AO$1,0),FALSE),"OK","BAD")</f>
        <v>OK</v>
      </c>
      <c r="BZ5" s="95" t="str">
        <f>IF(AM5=VLOOKUP($A5,Feature_List!$A$2:$AO$101,MATCH(BZ$1,Feature_List!$A$1:$AO$1,0),FALSE),"OK","BAD")</f>
        <v>OK</v>
      </c>
      <c r="CA5" s="95" t="str">
        <f>IF(AN5=VLOOKUP($A5,Feature_List!$A$2:$AO$101,MATCH(CA$1,Feature_List!$A$1:$AO$1,0),FALSE),"OK","BAD")</f>
        <v>OK</v>
      </c>
    </row>
    <row r="6" spans="1:79" ht="14.4" customHeight="1" x14ac:dyDescent="0.3">
      <c r="A6" s="70">
        <v>1005740</v>
      </c>
      <c r="B6" s="65" t="s">
        <v>1550</v>
      </c>
      <c r="C6" s="98" t="s">
        <v>1145</v>
      </c>
      <c r="D6" s="65" t="s">
        <v>106</v>
      </c>
      <c r="E6" s="64">
        <v>23</v>
      </c>
      <c r="F6" s="64" t="s">
        <v>879</v>
      </c>
      <c r="G6" s="64" t="s">
        <v>1577</v>
      </c>
      <c r="H6" s="64" t="s">
        <v>1523</v>
      </c>
      <c r="I6" s="99" t="s">
        <v>38</v>
      </c>
      <c r="J6" s="64" t="s">
        <v>1412</v>
      </c>
      <c r="K6" s="64">
        <v>0</v>
      </c>
      <c r="L6" s="62" t="s">
        <v>15</v>
      </c>
      <c r="M6" s="67" t="s">
        <v>37</v>
      </c>
      <c r="N6" s="67" t="s">
        <v>1524</v>
      </c>
      <c r="O6" s="67">
        <v>0</v>
      </c>
      <c r="P6" s="66" t="s">
        <v>131</v>
      </c>
      <c r="Q6" s="63">
        <v>1</v>
      </c>
      <c r="R6" s="63">
        <v>0</v>
      </c>
      <c r="S6" s="63">
        <v>0</v>
      </c>
      <c r="T6" s="63">
        <v>0</v>
      </c>
      <c r="U6" s="63">
        <v>0</v>
      </c>
      <c r="V6" s="63">
        <v>0</v>
      </c>
      <c r="W6" s="63">
        <v>0</v>
      </c>
      <c r="X6" s="63">
        <v>0</v>
      </c>
      <c r="Y6" s="63">
        <v>0</v>
      </c>
      <c r="Z6" s="63">
        <v>0</v>
      </c>
      <c r="AA6" s="63">
        <v>0</v>
      </c>
      <c r="AB6" s="63">
        <v>23</v>
      </c>
      <c r="AC6" s="63">
        <v>0</v>
      </c>
      <c r="AD6" s="63">
        <v>0</v>
      </c>
      <c r="AE6" s="63">
        <v>0</v>
      </c>
      <c r="AF6" s="63">
        <v>0</v>
      </c>
      <c r="AG6" s="63">
        <v>0</v>
      </c>
      <c r="AH6" s="63">
        <v>0</v>
      </c>
      <c r="AI6" s="63">
        <v>0</v>
      </c>
      <c r="AJ6" s="63">
        <v>23</v>
      </c>
      <c r="AK6" s="63">
        <v>0</v>
      </c>
      <c r="AL6" s="63" t="s">
        <v>35</v>
      </c>
      <c r="AM6" s="63" t="s">
        <v>36</v>
      </c>
      <c r="AN6" s="220" t="s">
        <v>40</v>
      </c>
      <c r="AO6" s="224"/>
      <c r="AP6" s="95" t="e">
        <f>IF(C6=VLOOKUP($A6,Feature_List!$A$2:$AO$101,MATCH(AP$1,Feature_List!$A$1:$AO$1,0),FALSE),"OK","BAD")</f>
        <v>#N/A</v>
      </c>
      <c r="AQ6" s="95" t="e">
        <f>IF(D6=VLOOKUP($A6,Feature_List!$A$2:$AO$101,MATCH(AQ$1,Feature_List!$A$1:$AO$1,0),FALSE),"OK","BAD")</f>
        <v>#N/A</v>
      </c>
      <c r="AR6" s="95" t="e">
        <f>IF(E6=VLOOKUP($A6,Feature_List!$A$2:$AO$101,MATCH(AR$1,Feature_List!$A$1:$AO$1,0),FALSE),"OK","BAD")</f>
        <v>#N/A</v>
      </c>
      <c r="AS6" s="95" t="e">
        <f>IF(F6=VLOOKUP($A6,Feature_List!$A$2:$AO$101,MATCH(AS$1,Feature_List!$A$1:$AO$1,0),FALSE),"OK","BAD")</f>
        <v>#N/A</v>
      </c>
      <c r="AT6" s="95" t="s">
        <v>985</v>
      </c>
      <c r="AU6" s="95" t="s">
        <v>985</v>
      </c>
      <c r="AV6" s="95" t="e">
        <f>IF(I6=VLOOKUP($A6,Feature_List!$A$2:$AO$101,MATCH(AV$1,Feature_List!$A$1:$AO$1,0),FALSE),"OK","BAD")</f>
        <v>#N/A</v>
      </c>
      <c r="AW6" s="95" t="e">
        <f>IF(J6=VLOOKUP($A6,Feature_List!$A$2:$AO$101,MATCH(AW$1,Feature_List!$A$1:$AO$1,0),FALSE),"OK","BAD")</f>
        <v>#N/A</v>
      </c>
      <c r="AX6" s="95" t="e">
        <f>IF(K6=VLOOKUP($A6,Feature_List!$A$2:$AO$101,MATCH(AX$1,Feature_List!$A$1:$AO$1,0),FALSE),"OK","BAD")</f>
        <v>#N/A</v>
      </c>
      <c r="AY6" s="95" t="e">
        <f>IF(L6=VLOOKUP($A6,Feature_List!$A$2:$AO$101,MATCH(AY$1,Feature_List!$A$1:$AO$1,0),FALSE),"OK","BAD")</f>
        <v>#N/A</v>
      </c>
      <c r="AZ6" s="95" t="e">
        <f>IF(M6=VLOOKUP($A6,Feature_List!$A$2:$AO$101,MATCH(AZ$1,Feature_List!$A$1:$AO$1,0),FALSE),"OK","BAD")</f>
        <v>#N/A</v>
      </c>
      <c r="BA6" s="95" t="e">
        <f>IF(N6=VLOOKUP($A6,Feature_List!$A$2:$AO$101,MATCH(BA$1,Feature_List!$A$1:$AO$1,0),FALSE),"OK","BAD")</f>
        <v>#N/A</v>
      </c>
      <c r="BB6" s="95" t="e">
        <f>IF(O6=VLOOKUP($A6,Feature_List!$A$2:$AO$101,MATCH(BB$1,Feature_List!$A$1:$AO$1,0),FALSE),"OK","BAD")</f>
        <v>#N/A</v>
      </c>
      <c r="BC6" s="95" t="e">
        <f>IF(P6=VLOOKUP($A6,Feature_List!$A$2:$AO$101,MATCH(BC$1,Feature_List!$A$1:$AO$1,0),FALSE),"OK","BAD")</f>
        <v>#N/A</v>
      </c>
      <c r="BD6" s="95" t="e">
        <f>IF(Q6=VLOOKUP($A6,Feature_List!$A$2:$AO$101,MATCH(BD$1,Feature_List!$A$1:$AO$1,0),FALSE),"OK","BAD")</f>
        <v>#N/A</v>
      </c>
      <c r="BE6" s="95" t="e">
        <f>IF(R6=VLOOKUP($A6,Feature_List!$A$2:$AO$101,MATCH(BE$1,Feature_List!$A$1:$AO$1,0),FALSE),"OK","BAD")</f>
        <v>#N/A</v>
      </c>
      <c r="BF6" s="95" t="e">
        <f>IF(S6=VLOOKUP($A6,Feature_List!$A$2:$AO$101,MATCH(BF$1,Feature_List!$A$1:$AO$1,0),FALSE),"OK","BAD")</f>
        <v>#N/A</v>
      </c>
      <c r="BG6" s="95" t="e">
        <f>IF(T6=VLOOKUP($A6,Feature_List!$A$2:$AO$101,MATCH(BG$1,Feature_List!$A$1:$AO$1,0),FALSE),"OK","BAD")</f>
        <v>#N/A</v>
      </c>
      <c r="BH6" s="95" t="e">
        <f>IF(U6=VLOOKUP($A6,Feature_List!$A$2:$AO$101,MATCH(BH$1,Feature_List!$A$1:$AO$1,0),FALSE),"OK","BAD")</f>
        <v>#N/A</v>
      </c>
      <c r="BI6" s="95" t="e">
        <f>IF(V6=VLOOKUP($A6,Feature_List!$A$2:$AO$101,MATCH(BI$1,Feature_List!$A$1:$AO$1,0),FALSE),"OK","BAD")</f>
        <v>#N/A</v>
      </c>
      <c r="BJ6" s="95" t="e">
        <f>IF(W6=VLOOKUP($A6,Feature_List!$A$2:$AO$101,MATCH(BJ$1,Feature_List!$A$1:$AO$1,0),FALSE),"OK","BAD")</f>
        <v>#N/A</v>
      </c>
      <c r="BK6" s="95" t="e">
        <f>IF(X6=VLOOKUP($A6,Feature_List!$A$2:$AO$101,MATCH(BK$1,Feature_List!$A$1:$AO$1,0),FALSE),"OK","BAD")</f>
        <v>#N/A</v>
      </c>
      <c r="BL6" s="95" t="e">
        <f>IF(Y6=VLOOKUP($A6,Feature_List!$A$2:$AO$101,MATCH(BL$1,Feature_List!$A$1:$AO$1,0),FALSE),"OK","BAD")</f>
        <v>#N/A</v>
      </c>
      <c r="BM6" s="95" t="e">
        <f>IF(Z6=VLOOKUP($A6,Feature_List!$A$2:$AO$101,MATCH(BM$1,Feature_List!$A$1:$AO$1,0),FALSE),"OK","BAD")</f>
        <v>#N/A</v>
      </c>
      <c r="BN6" s="95" t="e">
        <f>IF(AA6=VLOOKUP($A6,Feature_List!$A$2:$AO$101,MATCH(BN$1,Feature_List!$A$1:$AO$1,0),FALSE),"OK","BAD")</f>
        <v>#N/A</v>
      </c>
      <c r="BO6" s="95" t="e">
        <f>IF(AB6=VLOOKUP($A6,Feature_List!$A$2:$AO$101,MATCH(BO$1,Feature_List!$A$1:$AO$1,0),FALSE),"OK","BAD")</f>
        <v>#N/A</v>
      </c>
      <c r="BP6" s="95" t="e">
        <f>IF(AC6=VLOOKUP($A6,Feature_List!$A$2:$AO$101,MATCH(BP$1,Feature_List!$A$1:$AO$1,0),FALSE),"OK","BAD")</f>
        <v>#N/A</v>
      </c>
      <c r="BQ6" s="95" t="e">
        <f>IF(AD6=VLOOKUP($A6,Feature_List!$A$2:$AO$101,MATCH(BQ$1,Feature_List!$A$1:$AO$1,0),FALSE),"OK","BAD")</f>
        <v>#N/A</v>
      </c>
      <c r="BR6" s="95" t="e">
        <f>IF(AE6=VLOOKUP($A6,Feature_List!$A$2:$AO$101,MATCH(BR$1,Feature_List!$A$1:$AO$1,0),FALSE),"OK","BAD")</f>
        <v>#N/A</v>
      </c>
      <c r="BS6" s="95" t="e">
        <f>IF(AF6=VLOOKUP($A6,Feature_List!$A$2:$AO$101,MATCH(BS$1,Feature_List!$A$1:$AO$1,0),FALSE),"OK","BAD")</f>
        <v>#N/A</v>
      </c>
      <c r="BT6" s="95" t="e">
        <f>IF(AG6=VLOOKUP($A6,Feature_List!$A$2:$AO$101,MATCH(BT$1,Feature_List!$A$1:$AO$1,0),FALSE),"OK","BAD")</f>
        <v>#N/A</v>
      </c>
      <c r="BU6" s="95" t="e">
        <f>IF(AH6=VLOOKUP($A6,Feature_List!$A$2:$AO$101,MATCH(BU$1,Feature_List!$A$1:$AO$1,0),FALSE),"OK","BAD")</f>
        <v>#N/A</v>
      </c>
      <c r="BV6" s="95" t="e">
        <f>IF(AI6=VLOOKUP($A6,Feature_List!$A$2:$AO$101,MATCH(BV$1,Feature_List!$A$1:$AO$1,0),FALSE),"OK","BAD")</f>
        <v>#N/A</v>
      </c>
      <c r="BW6" s="95" t="e">
        <f>IF(AJ6=VLOOKUP($A6,Feature_List!$A$2:$AO$101,MATCH(BW$1,Feature_List!$A$1:$AO$1,0),FALSE),"OK","BAD")</f>
        <v>#N/A</v>
      </c>
      <c r="BX6" s="95" t="e">
        <f>IF(AK6=VLOOKUP($A6,Feature_List!$A$2:$AO$101,MATCH(BX$1,Feature_List!$A$1:$AO$1,0),FALSE),"OK","BAD")</f>
        <v>#N/A</v>
      </c>
      <c r="BY6" s="95" t="e">
        <f>IF(AL6=VLOOKUP($A6,Feature_List!$A$2:$AO$101,MATCH(BY$1,Feature_List!$A$1:$AO$1,0),FALSE),"OK","BAD")</f>
        <v>#N/A</v>
      </c>
      <c r="BZ6" s="95" t="e">
        <f>IF(AM6=VLOOKUP($A6,Feature_List!$A$2:$AO$101,MATCH(BZ$1,Feature_List!$A$1:$AO$1,0),FALSE),"OK","BAD")</f>
        <v>#N/A</v>
      </c>
      <c r="CA6" s="95" t="e">
        <f>IF(AN6=VLOOKUP($A6,Feature_List!$A$2:$AO$101,MATCH(CA$1,Feature_List!$A$1:$AO$1,0),FALSE),"OK","BAD")</f>
        <v>#N/A</v>
      </c>
    </row>
    <row r="7" spans="1:79" ht="14.4" customHeight="1" x14ac:dyDescent="0.3">
      <c r="A7" s="70">
        <v>1005403</v>
      </c>
      <c r="B7" s="65" t="s">
        <v>1515</v>
      </c>
      <c r="C7" s="98" t="s">
        <v>972</v>
      </c>
      <c r="D7" s="65" t="s">
        <v>28</v>
      </c>
      <c r="E7" s="64">
        <v>14</v>
      </c>
      <c r="F7" s="64" t="s">
        <v>41</v>
      </c>
      <c r="G7" s="64" t="s">
        <v>1516</v>
      </c>
      <c r="H7" s="64" t="s">
        <v>110</v>
      </c>
      <c r="I7" s="99" t="s">
        <v>38</v>
      </c>
      <c r="J7" s="64" t="s">
        <v>1412</v>
      </c>
      <c r="K7" s="64">
        <v>0</v>
      </c>
      <c r="L7" s="62" t="s">
        <v>946</v>
      </c>
      <c r="M7" s="67" t="s">
        <v>42</v>
      </c>
      <c r="N7" s="67" t="s">
        <v>44</v>
      </c>
      <c r="O7" s="67">
        <v>0</v>
      </c>
      <c r="P7" s="66" t="s">
        <v>1158</v>
      </c>
      <c r="Q7" s="63">
        <v>1</v>
      </c>
      <c r="R7" s="63">
        <v>0</v>
      </c>
      <c r="S7" s="63">
        <v>0</v>
      </c>
      <c r="T7" s="63">
        <v>0</v>
      </c>
      <c r="U7" s="63">
        <v>0</v>
      </c>
      <c r="V7" s="63">
        <v>0</v>
      </c>
      <c r="W7" s="63">
        <v>0</v>
      </c>
      <c r="X7" s="63">
        <v>0</v>
      </c>
      <c r="Y7" s="63">
        <v>8</v>
      </c>
      <c r="Z7" s="63">
        <v>0</v>
      </c>
      <c r="AA7" s="63">
        <v>0</v>
      </c>
      <c r="AB7" s="63">
        <v>0</v>
      </c>
      <c r="AC7" s="63">
        <v>0</v>
      </c>
      <c r="AD7" s="63">
        <v>0</v>
      </c>
      <c r="AE7" s="63">
        <v>0</v>
      </c>
      <c r="AF7" s="63">
        <v>0</v>
      </c>
      <c r="AG7" s="63">
        <v>0</v>
      </c>
      <c r="AH7" s="63">
        <v>0</v>
      </c>
      <c r="AI7" s="63">
        <v>0</v>
      </c>
      <c r="AJ7" s="63">
        <v>8</v>
      </c>
      <c r="AK7" s="63">
        <v>6</v>
      </c>
      <c r="AL7" s="63" t="s">
        <v>35</v>
      </c>
      <c r="AM7" s="63" t="s">
        <v>36</v>
      </c>
      <c r="AN7" s="220" t="s">
        <v>33</v>
      </c>
      <c r="AO7" s="224"/>
      <c r="AP7" s="95" t="str">
        <f>IF(C7=VLOOKUP($A7,Feature_List!$A$2:$AO$101,MATCH(AP$1,Feature_List!$A$1:$AO$1,0),FALSE),"OK","BAD")</f>
        <v>OK</v>
      </c>
      <c r="AQ7" s="95" t="str">
        <f>IF(D7=VLOOKUP($A7,Feature_List!$A$2:$AO$101,MATCH(AQ$1,Feature_List!$A$1:$AO$1,0),FALSE),"OK","BAD")</f>
        <v>BAD</v>
      </c>
      <c r="AR7" s="95" t="str">
        <f>IF(E7=VLOOKUP($A7,Feature_List!$A$2:$AO$101,MATCH(AR$1,Feature_List!$A$1:$AO$1,0),FALSE),"OK","BAD")</f>
        <v>BAD</v>
      </c>
      <c r="AS7" s="95" t="str">
        <f>IF(F7=VLOOKUP($A7,Feature_List!$A$2:$AO$101,MATCH(AS$1,Feature_List!$A$1:$AO$1,0),FALSE),"OK","BAD")</f>
        <v>OK</v>
      </c>
      <c r="AT7" s="95" t="s">
        <v>985</v>
      </c>
      <c r="AU7" s="95" t="s">
        <v>985</v>
      </c>
      <c r="AV7" s="95" t="str">
        <f>IF(I7=VLOOKUP($A7,Feature_List!$A$2:$AO$101,MATCH(AV$1,Feature_List!$A$1:$AO$1,0),FALSE),"OK","BAD")</f>
        <v>OK</v>
      </c>
      <c r="AW7" s="95" t="str">
        <f>IF(J7=VLOOKUP($A7,Feature_List!$A$2:$AO$101,MATCH(AW$1,Feature_List!$A$1:$AO$1,0),FALSE),"OK","BAD")</f>
        <v>OK</v>
      </c>
      <c r="AX7" s="95" t="str">
        <f>IF(K7=VLOOKUP($A7,Feature_List!$A$2:$AO$101,MATCH(AX$1,Feature_List!$A$1:$AO$1,0),FALSE),"OK","BAD")</f>
        <v>OK</v>
      </c>
      <c r="AY7" s="95" t="str">
        <f>IF(L7=VLOOKUP($A7,Feature_List!$A$2:$AO$101,MATCH(AY$1,Feature_List!$A$1:$AO$1,0),FALSE),"OK","BAD")</f>
        <v>OK</v>
      </c>
      <c r="AZ7" s="95" t="str">
        <f>IF(M7=VLOOKUP($A7,Feature_List!$A$2:$AO$101,MATCH(AZ$1,Feature_List!$A$1:$AO$1,0),FALSE),"OK","BAD")</f>
        <v>OK</v>
      </c>
      <c r="BA7" s="95" t="str">
        <f>IF(N7=VLOOKUP($A7,Feature_List!$A$2:$AO$101,MATCH(BA$1,Feature_List!$A$1:$AO$1,0),FALSE),"OK","BAD")</f>
        <v>OK</v>
      </c>
      <c r="BB7" s="95" t="str">
        <f>IF(O7=VLOOKUP($A7,Feature_List!$A$2:$AO$101,MATCH(BB$1,Feature_List!$A$1:$AO$1,0),FALSE),"OK","BAD")</f>
        <v>OK</v>
      </c>
      <c r="BC7" s="95" t="e">
        <f>IF(P7=VLOOKUP($A7,Feature_List!$A$2:$AO$101,MATCH(BC$1,Feature_List!$A$1:$AO$1,0),FALSE),"OK","BAD")</f>
        <v>#N/A</v>
      </c>
      <c r="BD7" s="95" t="str">
        <f>IF(Q7=VLOOKUP($A7,Feature_List!$A$2:$AO$101,MATCH(BD$1,Feature_List!$A$1:$AO$1,0),FALSE),"OK","BAD")</f>
        <v>OK</v>
      </c>
      <c r="BE7" s="95" t="str">
        <f>IF(R7=VLOOKUP($A7,Feature_List!$A$2:$AO$101,MATCH(BE$1,Feature_List!$A$1:$AO$1,0),FALSE),"OK","BAD")</f>
        <v>BAD</v>
      </c>
      <c r="BF7" s="95" t="str">
        <f>IF(S7=VLOOKUP($A7,Feature_List!$A$2:$AO$101,MATCH(BF$1,Feature_List!$A$1:$AO$1,0),FALSE),"OK","BAD")</f>
        <v>OK</v>
      </c>
      <c r="BG7" s="95" t="str">
        <f>IF(T7=VLOOKUP($A7,Feature_List!$A$2:$AO$101,MATCH(BG$1,Feature_List!$A$1:$AO$1,0),FALSE),"OK","BAD")</f>
        <v>OK</v>
      </c>
      <c r="BH7" s="95" t="str">
        <f>IF(U7=VLOOKUP($A7,Feature_List!$A$2:$AO$101,MATCH(BH$1,Feature_List!$A$1:$AO$1,0),FALSE),"OK","BAD")</f>
        <v>OK</v>
      </c>
      <c r="BI7" s="95" t="str">
        <f>IF(V7=VLOOKUP($A7,Feature_List!$A$2:$AO$101,MATCH(BI$1,Feature_List!$A$1:$AO$1,0),FALSE),"OK","BAD")</f>
        <v>OK</v>
      </c>
      <c r="BJ7" s="95" t="e">
        <f>IF(W7=VLOOKUP($A7,Feature_List!$A$2:$AO$101,MATCH(BJ$1,Feature_List!$A$1:$AO$1,0),FALSE),"OK","BAD")</f>
        <v>#N/A</v>
      </c>
      <c r="BK7" s="95" t="str">
        <f>IF(X7=VLOOKUP($A7,Feature_List!$A$2:$AO$101,MATCH(BK$1,Feature_List!$A$1:$AO$1,0),FALSE),"OK","BAD")</f>
        <v>OK</v>
      </c>
      <c r="BL7" s="95" t="str">
        <f>IF(Y7=VLOOKUP($A7,Feature_List!$A$2:$AO$101,MATCH(BL$1,Feature_List!$A$1:$AO$1,0),FALSE),"OK","BAD")</f>
        <v>OK</v>
      </c>
      <c r="BM7" s="95" t="str">
        <f>IF(Z7=VLOOKUP($A7,Feature_List!$A$2:$AO$101,MATCH(BM$1,Feature_List!$A$1:$AO$1,0),FALSE),"OK","BAD")</f>
        <v>OK</v>
      </c>
      <c r="BN7" s="95" t="str">
        <f>IF(AA7=VLOOKUP($A7,Feature_List!$A$2:$AO$101,MATCH(BN$1,Feature_List!$A$1:$AO$1,0),FALSE),"OK","BAD")</f>
        <v>OK</v>
      </c>
      <c r="BO7" s="95" t="str">
        <f>IF(AB7=VLOOKUP($A7,Feature_List!$A$2:$AO$101,MATCH(BO$1,Feature_List!$A$1:$AO$1,0),FALSE),"OK","BAD")</f>
        <v>OK</v>
      </c>
      <c r="BP7" s="95" t="str">
        <f>IF(AC7=VLOOKUP($A7,Feature_List!$A$2:$AO$101,MATCH(BP$1,Feature_List!$A$1:$AO$1,0),FALSE),"OK","BAD")</f>
        <v>OK</v>
      </c>
      <c r="BQ7" s="95" t="str">
        <f>IF(AD7=VLOOKUP($A7,Feature_List!$A$2:$AO$101,MATCH(BQ$1,Feature_List!$A$1:$AO$1,0),FALSE),"OK","BAD")</f>
        <v>OK</v>
      </c>
      <c r="BR7" s="95" t="str">
        <f>IF(AE7=VLOOKUP($A7,Feature_List!$A$2:$AO$101,MATCH(BR$1,Feature_List!$A$1:$AO$1,0),FALSE),"OK","BAD")</f>
        <v>OK</v>
      </c>
      <c r="BS7" s="95" t="str">
        <f>IF(AF7=VLOOKUP($A7,Feature_List!$A$2:$AO$101,MATCH(BS$1,Feature_List!$A$1:$AO$1,0),FALSE),"OK","BAD")</f>
        <v>OK</v>
      </c>
      <c r="BT7" s="95" t="str">
        <f>IF(AG7=VLOOKUP($A7,Feature_List!$A$2:$AO$101,MATCH(BT$1,Feature_List!$A$1:$AO$1,0),FALSE),"OK","BAD")</f>
        <v>OK</v>
      </c>
      <c r="BU7" s="95" t="str">
        <f>IF(AH7=VLOOKUP($A7,Feature_List!$A$2:$AO$101,MATCH(BU$1,Feature_List!$A$1:$AO$1,0),FALSE),"OK","BAD")</f>
        <v>OK</v>
      </c>
      <c r="BV7" s="95" t="e">
        <f>IF(AI7=VLOOKUP($A7,Feature_List!$A$2:$AO$101,MATCH(BV$1,Feature_List!$A$1:$AO$1,0),FALSE),"OK","BAD")</f>
        <v>#N/A</v>
      </c>
      <c r="BW7" s="95" t="e">
        <f>IF(AJ7=VLOOKUP($A7,Feature_List!$A$2:$AO$101,MATCH(BW$1,Feature_List!$A$1:$AO$1,0),FALSE),"OK","BAD")</f>
        <v>#N/A</v>
      </c>
      <c r="BX7" s="95" t="e">
        <f>IF(AK7=VLOOKUP($A7,Feature_List!$A$2:$AO$101,MATCH(BX$1,Feature_List!$A$1:$AO$1,0),FALSE),"OK","BAD")</f>
        <v>#N/A</v>
      </c>
      <c r="BY7" s="95" t="str">
        <f>IF(AL7=VLOOKUP($A7,Feature_List!$A$2:$AO$101,MATCH(BY$1,Feature_List!$A$1:$AO$1,0),FALSE),"OK","BAD")</f>
        <v>OK</v>
      </c>
      <c r="BZ7" s="95" t="str">
        <f>IF(AM7=VLOOKUP($A7,Feature_List!$A$2:$AO$101,MATCH(BZ$1,Feature_List!$A$1:$AO$1,0),FALSE),"OK","BAD")</f>
        <v>OK</v>
      </c>
      <c r="CA7" s="95" t="str">
        <f>IF(AN7=VLOOKUP($A7,Feature_List!$A$2:$AO$101,MATCH(CA$1,Feature_List!$A$1:$AO$1,0),FALSE),"OK","BAD")</f>
        <v>OK</v>
      </c>
    </row>
    <row r="8" spans="1:79" ht="14.4" customHeight="1" x14ac:dyDescent="0.3">
      <c r="A8" s="70">
        <v>1005343</v>
      </c>
      <c r="B8" s="65" t="s">
        <v>1517</v>
      </c>
      <c r="C8" s="98" t="s">
        <v>1145</v>
      </c>
      <c r="D8" s="65" t="s">
        <v>28</v>
      </c>
      <c r="E8" s="64">
        <v>24</v>
      </c>
      <c r="F8" s="64" t="s">
        <v>879</v>
      </c>
      <c r="G8" s="64" t="s">
        <v>1551</v>
      </c>
      <c r="H8" s="64" t="s">
        <v>110</v>
      </c>
      <c r="I8" s="99" t="s">
        <v>38</v>
      </c>
      <c r="J8" s="64" t="s">
        <v>1414</v>
      </c>
      <c r="K8" s="64">
        <v>0</v>
      </c>
      <c r="L8" s="62" t="s">
        <v>946</v>
      </c>
      <c r="M8" s="67" t="s">
        <v>42</v>
      </c>
      <c r="N8" s="67" t="s">
        <v>44</v>
      </c>
      <c r="O8" s="67">
        <v>0</v>
      </c>
      <c r="P8" s="66" t="s">
        <v>1552</v>
      </c>
      <c r="Q8" s="63">
        <v>1</v>
      </c>
      <c r="R8" s="63">
        <v>0</v>
      </c>
      <c r="S8" s="63">
        <v>0</v>
      </c>
      <c r="T8" s="63">
        <v>0</v>
      </c>
      <c r="U8" s="63">
        <v>0</v>
      </c>
      <c r="V8" s="63">
        <v>0</v>
      </c>
      <c r="W8" s="63">
        <v>0</v>
      </c>
      <c r="X8" s="63">
        <v>0</v>
      </c>
      <c r="Y8" s="63">
        <v>24</v>
      </c>
      <c r="Z8" s="63">
        <v>0</v>
      </c>
      <c r="AA8" s="63">
        <v>0</v>
      </c>
      <c r="AB8" s="63">
        <v>0</v>
      </c>
      <c r="AC8" s="63">
        <v>0</v>
      </c>
      <c r="AD8" s="63">
        <v>0</v>
      </c>
      <c r="AE8" s="63">
        <v>0</v>
      </c>
      <c r="AF8" s="63">
        <v>0</v>
      </c>
      <c r="AG8" s="63">
        <v>0</v>
      </c>
      <c r="AH8" s="63">
        <v>0</v>
      </c>
      <c r="AI8" s="63">
        <v>0</v>
      </c>
      <c r="AJ8" s="63">
        <v>24</v>
      </c>
      <c r="AK8" s="63">
        <v>0</v>
      </c>
      <c r="AL8" s="63" t="s">
        <v>35</v>
      </c>
      <c r="AM8" s="63" t="s">
        <v>36</v>
      </c>
      <c r="AN8" s="220" t="s">
        <v>40</v>
      </c>
      <c r="AO8" s="224"/>
      <c r="AP8" s="95" t="e">
        <f>IF(C8=VLOOKUP($A8,Feature_List!$A$2:$AO$101,MATCH(AP$1,Feature_List!$A$1:$AO$1,0),FALSE),"OK","BAD")</f>
        <v>#N/A</v>
      </c>
      <c r="AQ8" s="95" t="e">
        <f>IF(D8=VLOOKUP($A8,Feature_List!$A$2:$AO$101,MATCH(AQ$1,Feature_List!$A$1:$AO$1,0),FALSE),"OK","BAD")</f>
        <v>#N/A</v>
      </c>
      <c r="AR8" s="95" t="e">
        <f>IF(E8=VLOOKUP($A8,Feature_List!$A$2:$AO$101,MATCH(AR$1,Feature_List!$A$1:$AO$1,0),FALSE),"OK","BAD")</f>
        <v>#N/A</v>
      </c>
      <c r="AS8" s="95" t="e">
        <f>IF(F8=VLOOKUP($A8,Feature_List!$A$2:$AO$101,MATCH(AS$1,Feature_List!$A$1:$AO$1,0),FALSE),"OK","BAD")</f>
        <v>#N/A</v>
      </c>
      <c r="AT8" s="95" t="s">
        <v>985</v>
      </c>
      <c r="AU8" s="95" t="s">
        <v>985</v>
      </c>
      <c r="AV8" s="95" t="e">
        <f>IF(I8=VLOOKUP($A8,Feature_List!$A$2:$AO$101,MATCH(AV$1,Feature_List!$A$1:$AO$1,0),FALSE),"OK","BAD")</f>
        <v>#N/A</v>
      </c>
      <c r="AW8" s="95" t="e">
        <f>IF(J8=VLOOKUP($A8,Feature_List!$A$2:$AO$101,MATCH(AW$1,Feature_List!$A$1:$AO$1,0),FALSE),"OK","BAD")</f>
        <v>#N/A</v>
      </c>
      <c r="AX8" s="95" t="e">
        <f>IF(K8=VLOOKUP($A8,Feature_List!$A$2:$AO$101,MATCH(AX$1,Feature_List!$A$1:$AO$1,0),FALSE),"OK","BAD")</f>
        <v>#N/A</v>
      </c>
      <c r="AY8" s="95" t="e">
        <f>IF(L8=VLOOKUP($A8,Feature_List!$A$2:$AO$101,MATCH(AY$1,Feature_List!$A$1:$AO$1,0),FALSE),"OK","BAD")</f>
        <v>#N/A</v>
      </c>
      <c r="AZ8" s="95" t="e">
        <f>IF(M8=VLOOKUP($A8,Feature_List!$A$2:$AO$101,MATCH(AZ$1,Feature_List!$A$1:$AO$1,0),FALSE),"OK","BAD")</f>
        <v>#N/A</v>
      </c>
      <c r="BA8" s="95" t="e">
        <f>IF(N8=VLOOKUP($A8,Feature_List!$A$2:$AO$101,MATCH(BA$1,Feature_List!$A$1:$AO$1,0),FALSE),"OK","BAD")</f>
        <v>#N/A</v>
      </c>
      <c r="BB8" s="95" t="e">
        <f>IF(O8=VLOOKUP($A8,Feature_List!$A$2:$AO$101,MATCH(BB$1,Feature_List!$A$1:$AO$1,0),FALSE),"OK","BAD")</f>
        <v>#N/A</v>
      </c>
      <c r="BC8" s="95" t="e">
        <f>IF(P8=VLOOKUP($A8,Feature_List!$A$2:$AO$101,MATCH(BC$1,Feature_List!$A$1:$AO$1,0),FALSE),"OK","BAD")</f>
        <v>#N/A</v>
      </c>
      <c r="BD8" s="95" t="e">
        <f>IF(Q8=VLOOKUP($A8,Feature_List!$A$2:$AO$101,MATCH(BD$1,Feature_List!$A$1:$AO$1,0),FALSE),"OK","BAD")</f>
        <v>#N/A</v>
      </c>
      <c r="BE8" s="95" t="e">
        <f>IF(R8=VLOOKUP($A8,Feature_List!$A$2:$AO$101,MATCH(BE$1,Feature_List!$A$1:$AO$1,0),FALSE),"OK","BAD")</f>
        <v>#N/A</v>
      </c>
      <c r="BF8" s="95" t="e">
        <f>IF(S8=VLOOKUP($A8,Feature_List!$A$2:$AO$101,MATCH(BF$1,Feature_List!$A$1:$AO$1,0),FALSE),"OK","BAD")</f>
        <v>#N/A</v>
      </c>
      <c r="BG8" s="95" t="e">
        <f>IF(T8=VLOOKUP($A8,Feature_List!$A$2:$AO$101,MATCH(BG$1,Feature_List!$A$1:$AO$1,0),FALSE),"OK","BAD")</f>
        <v>#N/A</v>
      </c>
      <c r="BH8" s="95" t="e">
        <f>IF(U8=VLOOKUP($A8,Feature_List!$A$2:$AO$101,MATCH(BH$1,Feature_List!$A$1:$AO$1,0),FALSE),"OK","BAD")</f>
        <v>#N/A</v>
      </c>
      <c r="BI8" s="95" t="e">
        <f>IF(V8=VLOOKUP($A8,Feature_List!$A$2:$AO$101,MATCH(BI$1,Feature_List!$A$1:$AO$1,0),FALSE),"OK","BAD")</f>
        <v>#N/A</v>
      </c>
      <c r="BJ8" s="95" t="e">
        <f>IF(W8=VLOOKUP($A8,Feature_List!$A$2:$AO$101,MATCH(BJ$1,Feature_List!$A$1:$AO$1,0),FALSE),"OK","BAD")</f>
        <v>#N/A</v>
      </c>
      <c r="BK8" s="95" t="e">
        <f>IF(X8=VLOOKUP($A8,Feature_List!$A$2:$AO$101,MATCH(BK$1,Feature_List!$A$1:$AO$1,0),FALSE),"OK","BAD")</f>
        <v>#N/A</v>
      </c>
      <c r="BL8" s="95" t="e">
        <f>IF(Y8=VLOOKUP($A8,Feature_List!$A$2:$AO$101,MATCH(BL$1,Feature_List!$A$1:$AO$1,0),FALSE),"OK","BAD")</f>
        <v>#N/A</v>
      </c>
      <c r="BM8" s="95" t="e">
        <f>IF(Z8=VLOOKUP($A8,Feature_List!$A$2:$AO$101,MATCH(BM$1,Feature_List!$A$1:$AO$1,0),FALSE),"OK","BAD")</f>
        <v>#N/A</v>
      </c>
      <c r="BN8" s="95" t="e">
        <f>IF(AA8=VLOOKUP($A8,Feature_List!$A$2:$AO$101,MATCH(BN$1,Feature_List!$A$1:$AO$1,0),FALSE),"OK","BAD")</f>
        <v>#N/A</v>
      </c>
      <c r="BO8" s="95" t="e">
        <f>IF(AB8=VLOOKUP($A8,Feature_List!$A$2:$AO$101,MATCH(BO$1,Feature_List!$A$1:$AO$1,0),FALSE),"OK","BAD")</f>
        <v>#N/A</v>
      </c>
      <c r="BP8" s="95" t="e">
        <f>IF(AC8=VLOOKUP($A8,Feature_List!$A$2:$AO$101,MATCH(BP$1,Feature_List!$A$1:$AO$1,0),FALSE),"OK","BAD")</f>
        <v>#N/A</v>
      </c>
      <c r="BQ8" s="95" t="e">
        <f>IF(AD8=VLOOKUP($A8,Feature_List!$A$2:$AO$101,MATCH(BQ$1,Feature_List!$A$1:$AO$1,0),FALSE),"OK","BAD")</f>
        <v>#N/A</v>
      </c>
      <c r="BR8" s="95" t="e">
        <f>IF(AE8=VLOOKUP($A8,Feature_List!$A$2:$AO$101,MATCH(BR$1,Feature_List!$A$1:$AO$1,0),FALSE),"OK","BAD")</f>
        <v>#N/A</v>
      </c>
      <c r="BS8" s="95" t="e">
        <f>IF(AF8=VLOOKUP($A8,Feature_List!$A$2:$AO$101,MATCH(BS$1,Feature_List!$A$1:$AO$1,0),FALSE),"OK","BAD")</f>
        <v>#N/A</v>
      </c>
      <c r="BT8" s="95" t="e">
        <f>IF(AG8=VLOOKUP($A8,Feature_List!$A$2:$AO$101,MATCH(BT$1,Feature_List!$A$1:$AO$1,0),FALSE),"OK","BAD")</f>
        <v>#N/A</v>
      </c>
      <c r="BU8" s="95" t="e">
        <f>IF(AH8=VLOOKUP($A8,Feature_List!$A$2:$AO$101,MATCH(BU$1,Feature_List!$A$1:$AO$1,0),FALSE),"OK","BAD")</f>
        <v>#N/A</v>
      </c>
      <c r="BV8" s="95" t="e">
        <f>IF(AI8=VLOOKUP($A8,Feature_List!$A$2:$AO$101,MATCH(BV$1,Feature_List!$A$1:$AO$1,0),FALSE),"OK","BAD")</f>
        <v>#N/A</v>
      </c>
      <c r="BW8" s="95" t="e">
        <f>IF(AJ8=VLOOKUP($A8,Feature_List!$A$2:$AO$101,MATCH(BW$1,Feature_List!$A$1:$AO$1,0),FALSE),"OK","BAD")</f>
        <v>#N/A</v>
      </c>
      <c r="BX8" s="95" t="e">
        <f>IF(AK8=VLOOKUP($A8,Feature_List!$A$2:$AO$101,MATCH(BX$1,Feature_List!$A$1:$AO$1,0),FALSE),"OK","BAD")</f>
        <v>#N/A</v>
      </c>
      <c r="BY8" s="95" t="e">
        <f>IF(AL8=VLOOKUP($A8,Feature_List!$A$2:$AO$101,MATCH(BY$1,Feature_List!$A$1:$AO$1,0),FALSE),"OK","BAD")</f>
        <v>#N/A</v>
      </c>
      <c r="BZ8" s="95" t="e">
        <f>IF(AM8=VLOOKUP($A8,Feature_List!$A$2:$AO$101,MATCH(BZ$1,Feature_List!$A$1:$AO$1,0),FALSE),"OK","BAD")</f>
        <v>#N/A</v>
      </c>
      <c r="CA8" s="95" t="e">
        <f>IF(AN8=VLOOKUP($A8,Feature_List!$A$2:$AO$101,MATCH(CA$1,Feature_List!$A$1:$AO$1,0),FALSE),"OK","BAD")</f>
        <v>#N/A</v>
      </c>
    </row>
    <row r="9" spans="1:79" ht="14.4" customHeight="1" x14ac:dyDescent="0.3">
      <c r="A9" s="70">
        <v>1004171</v>
      </c>
      <c r="B9" s="65" t="s">
        <v>1474</v>
      </c>
      <c r="C9" s="98" t="s">
        <v>972</v>
      </c>
      <c r="D9" s="65" t="s">
        <v>28</v>
      </c>
      <c r="E9" s="64">
        <v>59</v>
      </c>
      <c r="F9" s="64" t="s">
        <v>880</v>
      </c>
      <c r="G9" s="64" t="s">
        <v>1583</v>
      </c>
      <c r="H9" s="64" t="s">
        <v>595</v>
      </c>
      <c r="I9" s="99" t="s">
        <v>939</v>
      </c>
      <c r="J9" s="64" t="s">
        <v>1412</v>
      </c>
      <c r="K9" s="64">
        <v>381600</v>
      </c>
      <c r="L9" s="62" t="s">
        <v>554</v>
      </c>
      <c r="M9" s="67" t="s">
        <v>34</v>
      </c>
      <c r="N9" s="67" t="s">
        <v>558</v>
      </c>
      <c r="O9" s="67">
        <v>4</v>
      </c>
      <c r="P9" s="66" t="s">
        <v>131</v>
      </c>
      <c r="Q9" s="63">
        <v>1</v>
      </c>
      <c r="R9" s="63">
        <v>0</v>
      </c>
      <c r="S9" s="63">
        <v>0</v>
      </c>
      <c r="T9" s="63">
        <v>0</v>
      </c>
      <c r="U9" s="63">
        <v>0</v>
      </c>
      <c r="V9" s="63">
        <v>0</v>
      </c>
      <c r="W9" s="63">
        <v>0</v>
      </c>
      <c r="X9" s="63">
        <v>0</v>
      </c>
      <c r="Y9" s="63">
        <v>0</v>
      </c>
      <c r="Z9" s="63">
        <v>0</v>
      </c>
      <c r="AA9" s="63">
        <v>0</v>
      </c>
      <c r="AB9" s="63">
        <v>0</v>
      </c>
      <c r="AC9" s="63">
        <v>0</v>
      </c>
      <c r="AD9" s="63">
        <v>0</v>
      </c>
      <c r="AE9" s="63">
        <v>0</v>
      </c>
      <c r="AF9" s="63">
        <v>0</v>
      </c>
      <c r="AG9" s="63">
        <v>30</v>
      </c>
      <c r="AH9" s="63">
        <v>0</v>
      </c>
      <c r="AI9" s="63">
        <v>0</v>
      </c>
      <c r="AJ9" s="63">
        <v>30</v>
      </c>
      <c r="AK9" s="63">
        <v>29</v>
      </c>
      <c r="AL9" s="63" t="s">
        <v>35</v>
      </c>
      <c r="AM9" s="63" t="s">
        <v>854</v>
      </c>
      <c r="AN9" s="220" t="s">
        <v>33</v>
      </c>
      <c r="AO9" s="224"/>
      <c r="AP9" s="95" t="str">
        <f>IF(C9=VLOOKUP($A9,Feature_List!$A$2:$AO$101,MATCH(AP$1,Feature_List!$A$1:$AO$1,0),FALSE),"OK","BAD")</f>
        <v>OK</v>
      </c>
      <c r="AQ9" s="95" t="str">
        <f>IF(D9=VLOOKUP($A9,Feature_List!$A$2:$AO$101,MATCH(AQ$1,Feature_List!$A$1:$AO$1,0),FALSE),"OK","BAD")</f>
        <v>BAD</v>
      </c>
      <c r="AR9" s="95" t="str">
        <f>IF(E9=VLOOKUP($A9,Feature_List!$A$2:$AO$101,MATCH(AR$1,Feature_List!$A$1:$AO$1,0),FALSE),"OK","BAD")</f>
        <v>OK</v>
      </c>
      <c r="AS9" s="95" t="str">
        <f>IF(F9=VLOOKUP($A9,Feature_List!$A$2:$AO$101,MATCH(AS$1,Feature_List!$A$1:$AO$1,0),FALSE),"OK","BAD")</f>
        <v>OK</v>
      </c>
      <c r="AT9" s="95" t="s">
        <v>985</v>
      </c>
      <c r="AU9" s="95" t="s">
        <v>985</v>
      </c>
      <c r="AV9" s="95" t="str">
        <f>IF(I9=VLOOKUP($A9,Feature_List!$A$2:$AO$101,MATCH(AV$1,Feature_List!$A$1:$AO$1,0),FALSE),"OK","BAD")</f>
        <v>OK</v>
      </c>
      <c r="AW9" s="95" t="str">
        <f>IF(J9=VLOOKUP($A9,Feature_List!$A$2:$AO$101,MATCH(AW$1,Feature_List!$A$1:$AO$1,0),FALSE),"OK","BAD")</f>
        <v>OK</v>
      </c>
      <c r="AX9" s="95" t="str">
        <f>IF(K9=VLOOKUP($A9,Feature_List!$A$2:$AO$101,MATCH(AX$1,Feature_List!$A$1:$AO$1,0),FALSE),"OK","BAD")</f>
        <v>OK</v>
      </c>
      <c r="AY9" s="95" t="str">
        <f>IF(L9=VLOOKUP($A9,Feature_List!$A$2:$AO$101,MATCH(AY$1,Feature_List!$A$1:$AO$1,0),FALSE),"OK","BAD")</f>
        <v>OK</v>
      </c>
      <c r="AZ9" s="95" t="str">
        <f>IF(M9=VLOOKUP($A9,Feature_List!$A$2:$AO$101,MATCH(AZ$1,Feature_List!$A$1:$AO$1,0),FALSE),"OK","BAD")</f>
        <v>OK</v>
      </c>
      <c r="BA9" s="95" t="str">
        <f>IF(N9=VLOOKUP($A9,Feature_List!$A$2:$AO$101,MATCH(BA$1,Feature_List!$A$1:$AO$1,0),FALSE),"OK","BAD")</f>
        <v>OK</v>
      </c>
      <c r="BB9" s="95" t="str">
        <f>IF(O9=VLOOKUP($A9,Feature_List!$A$2:$AO$101,MATCH(BB$1,Feature_List!$A$1:$AO$1,0),FALSE),"OK","BAD")</f>
        <v>OK</v>
      </c>
      <c r="BC9" s="95" t="e">
        <f>IF(P9=VLOOKUP($A9,Feature_List!$A$2:$AO$101,MATCH(BC$1,Feature_List!$A$1:$AO$1,0),FALSE),"OK","BAD")</f>
        <v>#N/A</v>
      </c>
      <c r="BD9" s="95" t="str">
        <f>IF(Q9=VLOOKUP($A9,Feature_List!$A$2:$AO$101,MATCH(BD$1,Feature_List!$A$1:$AO$1,0),FALSE),"OK","BAD")</f>
        <v>BAD</v>
      </c>
      <c r="BE9" s="95" t="str">
        <f>IF(R9=VLOOKUP($A9,Feature_List!$A$2:$AO$101,MATCH(BE$1,Feature_List!$A$1:$AO$1,0),FALSE),"OK","BAD")</f>
        <v>BAD</v>
      </c>
      <c r="BF9" s="95" t="str">
        <f>IF(S9=VLOOKUP($A9,Feature_List!$A$2:$AO$101,MATCH(BF$1,Feature_List!$A$1:$AO$1,0),FALSE),"OK","BAD")</f>
        <v>OK</v>
      </c>
      <c r="BG9" s="95" t="str">
        <f>IF(T9=VLOOKUP($A9,Feature_List!$A$2:$AO$101,MATCH(BG$1,Feature_List!$A$1:$AO$1,0),FALSE),"OK","BAD")</f>
        <v>OK</v>
      </c>
      <c r="BH9" s="95" t="str">
        <f>IF(U9=VLOOKUP($A9,Feature_List!$A$2:$AO$101,MATCH(BH$1,Feature_List!$A$1:$AO$1,0),FALSE),"OK","BAD")</f>
        <v>OK</v>
      </c>
      <c r="BI9" s="95" t="str">
        <f>IF(V9=VLOOKUP($A9,Feature_List!$A$2:$AO$101,MATCH(BI$1,Feature_List!$A$1:$AO$1,0),FALSE),"OK","BAD")</f>
        <v>OK</v>
      </c>
      <c r="BJ9" s="95" t="e">
        <f>IF(W9=VLOOKUP($A9,Feature_List!$A$2:$AO$101,MATCH(BJ$1,Feature_List!$A$1:$AO$1,0),FALSE),"OK","BAD")</f>
        <v>#N/A</v>
      </c>
      <c r="BK9" s="95" t="str">
        <f>IF(X9=VLOOKUP($A9,Feature_List!$A$2:$AO$101,MATCH(BK$1,Feature_List!$A$1:$AO$1,0),FALSE),"OK","BAD")</f>
        <v>OK</v>
      </c>
      <c r="BL9" s="95" t="str">
        <f>IF(Y9=VLOOKUP($A9,Feature_List!$A$2:$AO$101,MATCH(BL$1,Feature_List!$A$1:$AO$1,0),FALSE),"OK","BAD")</f>
        <v>OK</v>
      </c>
      <c r="BM9" s="95" t="str">
        <f>IF(Z9=VLOOKUP($A9,Feature_List!$A$2:$AO$101,MATCH(BM$1,Feature_List!$A$1:$AO$1,0),FALSE),"OK","BAD")</f>
        <v>OK</v>
      </c>
      <c r="BN9" s="95" t="str">
        <f>IF(AA9=VLOOKUP($A9,Feature_List!$A$2:$AO$101,MATCH(BN$1,Feature_List!$A$1:$AO$1,0),FALSE),"OK","BAD")</f>
        <v>OK</v>
      </c>
      <c r="BO9" s="95" t="str">
        <f>IF(AB9=VLOOKUP($A9,Feature_List!$A$2:$AO$101,MATCH(BO$1,Feature_List!$A$1:$AO$1,0),FALSE),"OK","BAD")</f>
        <v>OK</v>
      </c>
      <c r="BP9" s="95" t="str">
        <f>IF(AC9=VLOOKUP($A9,Feature_List!$A$2:$AO$101,MATCH(BP$1,Feature_List!$A$1:$AO$1,0),FALSE),"OK","BAD")</f>
        <v>OK</v>
      </c>
      <c r="BQ9" s="95" t="str">
        <f>IF(AD9=VLOOKUP($A9,Feature_List!$A$2:$AO$101,MATCH(BQ$1,Feature_List!$A$1:$AO$1,0),FALSE),"OK","BAD")</f>
        <v>OK</v>
      </c>
      <c r="BR9" s="95" t="str">
        <f>IF(AE9=VLOOKUP($A9,Feature_List!$A$2:$AO$101,MATCH(BR$1,Feature_List!$A$1:$AO$1,0),FALSE),"OK","BAD")</f>
        <v>BAD</v>
      </c>
      <c r="BS9" s="95" t="str">
        <f>IF(AF9=VLOOKUP($A9,Feature_List!$A$2:$AO$101,MATCH(BS$1,Feature_List!$A$1:$AO$1,0),FALSE),"OK","BAD")</f>
        <v>OK</v>
      </c>
      <c r="BT9" s="95" t="str">
        <f>IF(AG9=VLOOKUP($A9,Feature_List!$A$2:$AO$101,MATCH(BT$1,Feature_List!$A$1:$AO$1,0),FALSE),"OK","BAD")</f>
        <v>BAD</v>
      </c>
      <c r="BU9" s="95" t="str">
        <f>IF(AH9=VLOOKUP($A9,Feature_List!$A$2:$AO$101,MATCH(BU$1,Feature_List!$A$1:$AO$1,0),FALSE),"OK","BAD")</f>
        <v>OK</v>
      </c>
      <c r="BV9" s="95" t="e">
        <f>IF(AI9=VLOOKUP($A9,Feature_List!$A$2:$AO$101,MATCH(BV$1,Feature_List!$A$1:$AO$1,0),FALSE),"OK","BAD")</f>
        <v>#N/A</v>
      </c>
      <c r="BW9" s="95" t="e">
        <f>IF(AJ9=VLOOKUP($A9,Feature_List!$A$2:$AO$101,MATCH(BW$1,Feature_List!$A$1:$AO$1,0),FALSE),"OK","BAD")</f>
        <v>#N/A</v>
      </c>
      <c r="BX9" s="95" t="e">
        <f>IF(AK9=VLOOKUP($A9,Feature_List!$A$2:$AO$101,MATCH(BX$1,Feature_List!$A$1:$AO$1,0),FALSE),"OK","BAD")</f>
        <v>#N/A</v>
      </c>
      <c r="BY9" s="95" t="str">
        <f>IF(AL9=VLOOKUP($A9,Feature_List!$A$2:$AO$101,MATCH(BY$1,Feature_List!$A$1:$AO$1,0),FALSE),"OK","BAD")</f>
        <v>OK</v>
      </c>
      <c r="BZ9" s="95" t="str">
        <f>IF(AM9=VLOOKUP($A9,Feature_List!$A$2:$AO$101,MATCH(BZ$1,Feature_List!$A$1:$AO$1,0),FALSE),"OK","BAD")</f>
        <v>OK</v>
      </c>
      <c r="CA9" s="95" t="str">
        <f>IF(AN9=VLOOKUP($A9,Feature_List!$A$2:$AO$101,MATCH(CA$1,Feature_List!$A$1:$AO$1,0),FALSE),"OK","BAD")</f>
        <v>OK</v>
      </c>
    </row>
    <row r="10" spans="1:79" ht="14.4" customHeight="1" x14ac:dyDescent="0.3">
      <c r="A10" s="70">
        <v>1002381</v>
      </c>
      <c r="B10" s="65" t="s">
        <v>1175</v>
      </c>
      <c r="C10" s="98" t="s">
        <v>972</v>
      </c>
      <c r="D10" s="65" t="s">
        <v>28</v>
      </c>
      <c r="E10" s="64">
        <v>41</v>
      </c>
      <c r="F10" s="64" t="s">
        <v>880</v>
      </c>
      <c r="G10" s="64" t="s">
        <v>1466</v>
      </c>
      <c r="H10" s="64" t="s">
        <v>170</v>
      </c>
      <c r="I10" s="99" t="s">
        <v>38</v>
      </c>
      <c r="J10" s="64" t="s">
        <v>1412</v>
      </c>
      <c r="K10" s="64">
        <v>1000707</v>
      </c>
      <c r="L10" s="62" t="s">
        <v>943</v>
      </c>
      <c r="M10" s="67" t="s">
        <v>37</v>
      </c>
      <c r="N10" s="67" t="s">
        <v>36</v>
      </c>
      <c r="O10" s="67">
        <v>0</v>
      </c>
      <c r="P10" s="66" t="s">
        <v>131</v>
      </c>
      <c r="Q10" s="63">
        <v>1</v>
      </c>
      <c r="R10" s="63">
        <v>0</v>
      </c>
      <c r="S10" s="63">
        <v>0</v>
      </c>
      <c r="T10" s="63">
        <v>0</v>
      </c>
      <c r="U10" s="63">
        <v>0</v>
      </c>
      <c r="V10" s="63">
        <v>0</v>
      </c>
      <c r="W10" s="63">
        <v>0</v>
      </c>
      <c r="X10" s="63">
        <v>0</v>
      </c>
      <c r="Y10" s="63">
        <v>20</v>
      </c>
      <c r="Z10" s="63">
        <v>0</v>
      </c>
      <c r="AA10" s="63">
        <v>0</v>
      </c>
      <c r="AB10" s="63">
        <v>0</v>
      </c>
      <c r="AC10" s="63">
        <v>0</v>
      </c>
      <c r="AD10" s="63">
        <v>0</v>
      </c>
      <c r="AE10" s="63">
        <v>0</v>
      </c>
      <c r="AF10" s="63">
        <v>0</v>
      </c>
      <c r="AG10" s="63">
        <v>0</v>
      </c>
      <c r="AH10" s="63">
        <v>0</v>
      </c>
      <c r="AI10" s="63">
        <v>0</v>
      </c>
      <c r="AJ10" s="63">
        <v>20</v>
      </c>
      <c r="AK10" s="63">
        <v>21</v>
      </c>
      <c r="AL10" s="63" t="s">
        <v>35</v>
      </c>
      <c r="AM10" s="63" t="s">
        <v>854</v>
      </c>
      <c r="AN10" s="220" t="s">
        <v>33</v>
      </c>
      <c r="AO10" s="224"/>
      <c r="AP10" s="95" t="str">
        <f>IF(C10=VLOOKUP($A10,Feature_List!$A$2:$AO$101,MATCH(AP$1,Feature_List!$A$1:$AO$1,0),FALSE),"OK","BAD")</f>
        <v>OK</v>
      </c>
      <c r="AQ10" s="95" t="str">
        <f>IF(D10=VLOOKUP($A10,Feature_List!$A$2:$AO$101,MATCH(AQ$1,Feature_List!$A$1:$AO$1,0),FALSE),"OK","BAD")</f>
        <v>BAD</v>
      </c>
      <c r="AR10" s="95" t="str">
        <f>IF(E10=VLOOKUP($A10,Feature_List!$A$2:$AO$101,MATCH(AR$1,Feature_List!$A$1:$AO$1,0),FALSE),"OK","BAD")</f>
        <v>OK</v>
      </c>
      <c r="AS10" s="95" t="str">
        <f>IF(F10=VLOOKUP($A10,Feature_List!$A$2:$AO$101,MATCH(AS$1,Feature_List!$A$1:$AO$1,0),FALSE),"OK","BAD")</f>
        <v>BAD</v>
      </c>
      <c r="AT10" s="95" t="s">
        <v>985</v>
      </c>
      <c r="AU10" s="95" t="s">
        <v>985</v>
      </c>
      <c r="AV10" s="95" t="str">
        <f>IF(I10=VLOOKUP($A10,Feature_List!$A$2:$AO$101,MATCH(AV$1,Feature_List!$A$1:$AO$1,0),FALSE),"OK","BAD")</f>
        <v>OK</v>
      </c>
      <c r="AW10" s="95" t="str">
        <f>IF(J10=VLOOKUP($A10,Feature_List!$A$2:$AO$101,MATCH(AW$1,Feature_List!$A$1:$AO$1,0),FALSE),"OK","BAD")</f>
        <v>OK</v>
      </c>
      <c r="AX10" s="95" t="str">
        <f>IF(K10=VLOOKUP($A10,Feature_List!$A$2:$AO$101,MATCH(AX$1,Feature_List!$A$1:$AO$1,0),FALSE),"OK","BAD")</f>
        <v>OK</v>
      </c>
      <c r="AY10" s="95" t="str">
        <f>IF(L10=VLOOKUP($A10,Feature_List!$A$2:$AO$101,MATCH(AY$1,Feature_List!$A$1:$AO$1,0),FALSE),"OK","BAD")</f>
        <v>OK</v>
      </c>
      <c r="AZ10" s="95" t="str">
        <f>IF(M10=VLOOKUP($A10,Feature_List!$A$2:$AO$101,MATCH(AZ$1,Feature_List!$A$1:$AO$1,0),FALSE),"OK","BAD")</f>
        <v>OK</v>
      </c>
      <c r="BA10" s="95" t="str">
        <f>IF(N10=VLOOKUP($A10,Feature_List!$A$2:$AO$101,MATCH(BA$1,Feature_List!$A$1:$AO$1,0),FALSE),"OK","BAD")</f>
        <v>OK</v>
      </c>
      <c r="BB10" s="95" t="str">
        <f>IF(O10=VLOOKUP($A10,Feature_List!$A$2:$AO$101,MATCH(BB$1,Feature_List!$A$1:$AO$1,0),FALSE),"OK","BAD")</f>
        <v>OK</v>
      </c>
      <c r="BC10" s="95" t="e">
        <f>IF(P10=VLOOKUP($A10,Feature_List!$A$2:$AO$101,MATCH(BC$1,Feature_List!$A$1:$AO$1,0),FALSE),"OK","BAD")</f>
        <v>#N/A</v>
      </c>
      <c r="BD10" s="95" t="str">
        <f>IF(Q10=VLOOKUP($A10,Feature_List!$A$2:$AO$101,MATCH(BD$1,Feature_List!$A$1:$AO$1,0),FALSE),"OK","BAD")</f>
        <v>BAD</v>
      </c>
      <c r="BE10" s="95" t="str">
        <f>IF(R10=VLOOKUP($A10,Feature_List!$A$2:$AO$101,MATCH(BE$1,Feature_List!$A$1:$AO$1,0),FALSE),"OK","BAD")</f>
        <v>BAD</v>
      </c>
      <c r="BF10" s="95" t="str">
        <f>IF(S10=VLOOKUP($A10,Feature_List!$A$2:$AO$101,MATCH(BF$1,Feature_List!$A$1:$AO$1,0),FALSE),"OK","BAD")</f>
        <v>OK</v>
      </c>
      <c r="BG10" s="95" t="str">
        <f>IF(T10=VLOOKUP($A10,Feature_List!$A$2:$AO$101,MATCH(BG$1,Feature_List!$A$1:$AO$1,0),FALSE),"OK","BAD")</f>
        <v>OK</v>
      </c>
      <c r="BH10" s="95" t="str">
        <f>IF(U10=VLOOKUP($A10,Feature_List!$A$2:$AO$101,MATCH(BH$1,Feature_List!$A$1:$AO$1,0),FALSE),"OK","BAD")</f>
        <v>OK</v>
      </c>
      <c r="BI10" s="95" t="str">
        <f>IF(V10=VLOOKUP($A10,Feature_List!$A$2:$AO$101,MATCH(BI$1,Feature_List!$A$1:$AO$1,0),FALSE),"OK","BAD")</f>
        <v>OK</v>
      </c>
      <c r="BJ10" s="95" t="e">
        <f>IF(W10=VLOOKUP($A10,Feature_List!$A$2:$AO$101,MATCH(BJ$1,Feature_List!$A$1:$AO$1,0),FALSE),"OK","BAD")</f>
        <v>#N/A</v>
      </c>
      <c r="BK10" s="95" t="str">
        <f>IF(X10=VLOOKUP($A10,Feature_List!$A$2:$AO$101,MATCH(BK$1,Feature_List!$A$1:$AO$1,0),FALSE),"OK","BAD")</f>
        <v>BAD</v>
      </c>
      <c r="BL10" s="95" t="str">
        <f>IF(Y10=VLOOKUP($A10,Feature_List!$A$2:$AO$101,MATCH(BL$1,Feature_List!$A$1:$AO$1,0),FALSE),"OK","BAD")</f>
        <v>BAD</v>
      </c>
      <c r="BM10" s="95" t="str">
        <f>IF(Z10=VLOOKUP($A10,Feature_List!$A$2:$AO$101,MATCH(BM$1,Feature_List!$A$1:$AO$1,0),FALSE),"OK","BAD")</f>
        <v>OK</v>
      </c>
      <c r="BN10" s="95" t="str">
        <f>IF(AA10=VLOOKUP($A10,Feature_List!$A$2:$AO$101,MATCH(BN$1,Feature_List!$A$1:$AO$1,0),FALSE),"OK","BAD")</f>
        <v>OK</v>
      </c>
      <c r="BO10" s="95" t="str">
        <f>IF(AB10=VLOOKUP($A10,Feature_List!$A$2:$AO$101,MATCH(BO$1,Feature_List!$A$1:$AO$1,0),FALSE),"OK","BAD")</f>
        <v>OK</v>
      </c>
      <c r="BP10" s="95" t="str">
        <f>IF(AC10=VLOOKUP($A10,Feature_List!$A$2:$AO$101,MATCH(BP$1,Feature_List!$A$1:$AO$1,0),FALSE),"OK","BAD")</f>
        <v>OK</v>
      </c>
      <c r="BQ10" s="95" t="str">
        <f>IF(AD10=VLOOKUP($A10,Feature_List!$A$2:$AO$101,MATCH(BQ$1,Feature_List!$A$1:$AO$1,0),FALSE),"OK","BAD")</f>
        <v>OK</v>
      </c>
      <c r="BR10" s="95" t="str">
        <f>IF(AE10=VLOOKUP($A10,Feature_List!$A$2:$AO$101,MATCH(BR$1,Feature_List!$A$1:$AO$1,0),FALSE),"OK","BAD")</f>
        <v>OK</v>
      </c>
      <c r="BS10" s="95" t="str">
        <f>IF(AF10=VLOOKUP($A10,Feature_List!$A$2:$AO$101,MATCH(BS$1,Feature_List!$A$1:$AO$1,0),FALSE),"OK","BAD")</f>
        <v>OK</v>
      </c>
      <c r="BT10" s="95" t="str">
        <f>IF(AG10=VLOOKUP($A10,Feature_List!$A$2:$AO$101,MATCH(BT$1,Feature_List!$A$1:$AO$1,0),FALSE),"OK","BAD")</f>
        <v>OK</v>
      </c>
      <c r="BU10" s="95" t="str">
        <f>IF(AH10=VLOOKUP($A10,Feature_List!$A$2:$AO$101,MATCH(BU$1,Feature_List!$A$1:$AO$1,0),FALSE),"OK","BAD")</f>
        <v>OK</v>
      </c>
      <c r="BV10" s="95" t="e">
        <f>IF(AI10=VLOOKUP($A10,Feature_List!$A$2:$AO$101,MATCH(BV$1,Feature_List!$A$1:$AO$1,0),FALSE),"OK","BAD")</f>
        <v>#N/A</v>
      </c>
      <c r="BW10" s="95" t="e">
        <f>IF(AJ10=VLOOKUP($A10,Feature_List!$A$2:$AO$101,MATCH(BW$1,Feature_List!$A$1:$AO$1,0),FALSE),"OK","BAD")</f>
        <v>#N/A</v>
      </c>
      <c r="BX10" s="95" t="e">
        <f>IF(AK10=VLOOKUP($A10,Feature_List!$A$2:$AO$101,MATCH(BX$1,Feature_List!$A$1:$AO$1,0),FALSE),"OK","BAD")</f>
        <v>#N/A</v>
      </c>
      <c r="BY10" s="95" t="str">
        <f>IF(AL10=VLOOKUP($A10,Feature_List!$A$2:$AO$101,MATCH(BY$1,Feature_List!$A$1:$AO$1,0),FALSE),"OK","BAD")</f>
        <v>OK</v>
      </c>
      <c r="BZ10" s="95" t="str">
        <f>IF(AM10=VLOOKUP($A10,Feature_List!$A$2:$AO$101,MATCH(BZ$1,Feature_List!$A$1:$AO$1,0),FALSE),"OK","BAD")</f>
        <v>OK</v>
      </c>
      <c r="CA10" s="95" t="str">
        <f>IF(AN10=VLOOKUP($A10,Feature_List!$A$2:$AO$101,MATCH(CA$1,Feature_List!$A$1:$AO$1,0),FALSE),"OK","BAD")</f>
        <v>OK</v>
      </c>
    </row>
    <row r="11" spans="1:79" ht="14.4" customHeight="1" x14ac:dyDescent="0.3">
      <c r="A11" s="70">
        <v>1002345</v>
      </c>
      <c r="B11" s="65" t="s">
        <v>1574</v>
      </c>
      <c r="C11" s="98" t="s">
        <v>972</v>
      </c>
      <c r="D11" s="65" t="s">
        <v>28</v>
      </c>
      <c r="E11" s="64">
        <v>67</v>
      </c>
      <c r="F11" s="64" t="s">
        <v>880</v>
      </c>
      <c r="G11" s="64" t="s">
        <v>1519</v>
      </c>
      <c r="H11" s="64" t="s">
        <v>170</v>
      </c>
      <c r="I11" s="99" t="s">
        <v>939</v>
      </c>
      <c r="J11" s="64" t="s">
        <v>1412</v>
      </c>
      <c r="K11" s="64">
        <v>1000707</v>
      </c>
      <c r="L11" s="62" t="s">
        <v>943</v>
      </c>
      <c r="M11" s="67" t="s">
        <v>37</v>
      </c>
      <c r="N11" s="67" t="s">
        <v>36</v>
      </c>
      <c r="O11" s="67">
        <v>0</v>
      </c>
      <c r="P11" s="66" t="s">
        <v>131</v>
      </c>
      <c r="Q11" s="63">
        <v>1</v>
      </c>
      <c r="R11" s="63">
        <v>0</v>
      </c>
      <c r="S11" s="63">
        <v>0</v>
      </c>
      <c r="T11" s="63">
        <v>0</v>
      </c>
      <c r="U11" s="63">
        <v>0</v>
      </c>
      <c r="V11" s="63">
        <v>0</v>
      </c>
      <c r="W11" s="63">
        <v>0</v>
      </c>
      <c r="X11" s="63">
        <v>12</v>
      </c>
      <c r="Y11" s="63">
        <v>0</v>
      </c>
      <c r="Z11" s="63">
        <v>0</v>
      </c>
      <c r="AA11" s="63">
        <v>0</v>
      </c>
      <c r="AB11" s="63">
        <v>0</v>
      </c>
      <c r="AC11" s="63">
        <v>0</v>
      </c>
      <c r="AD11" s="63">
        <v>0</v>
      </c>
      <c r="AE11" s="63">
        <v>0</v>
      </c>
      <c r="AF11" s="63">
        <v>0</v>
      </c>
      <c r="AG11" s="63">
        <v>0</v>
      </c>
      <c r="AH11" s="63">
        <v>0</v>
      </c>
      <c r="AI11" s="63">
        <v>0</v>
      </c>
      <c r="AJ11" s="63">
        <v>12</v>
      </c>
      <c r="AK11" s="63">
        <v>55</v>
      </c>
      <c r="AL11" s="63" t="s">
        <v>35</v>
      </c>
      <c r="AM11" s="63" t="s">
        <v>854</v>
      </c>
      <c r="AN11" s="220" t="s">
        <v>33</v>
      </c>
      <c r="AO11" s="224"/>
      <c r="AP11" s="95" t="str">
        <f>IF(C11=VLOOKUP($A11,Feature_List!$A$2:$AO$101,MATCH(AP$1,Feature_List!$A$1:$AO$1,0),FALSE),"OK","BAD")</f>
        <v>BAD</v>
      </c>
      <c r="AQ11" s="95" t="str">
        <f>IF(D11=VLOOKUP($A11,Feature_List!$A$2:$AO$101,MATCH(AQ$1,Feature_List!$A$1:$AO$1,0),FALSE),"OK","BAD")</f>
        <v>BAD</v>
      </c>
      <c r="AR11" s="95" t="str">
        <f>IF(E11=VLOOKUP($A11,Feature_List!$A$2:$AO$101,MATCH(AR$1,Feature_List!$A$1:$AO$1,0),FALSE),"OK","BAD")</f>
        <v>OK</v>
      </c>
      <c r="AS11" s="95" t="str">
        <f>IF(F11=VLOOKUP($A11,Feature_List!$A$2:$AO$101,MATCH(AS$1,Feature_List!$A$1:$AO$1,0),FALSE),"OK","BAD")</f>
        <v>OK</v>
      </c>
      <c r="AT11" s="95" t="s">
        <v>985</v>
      </c>
      <c r="AU11" s="95" t="s">
        <v>985</v>
      </c>
      <c r="AV11" s="95" t="str">
        <f>IF(I11=VLOOKUP($A11,Feature_List!$A$2:$AO$101,MATCH(AV$1,Feature_List!$A$1:$AO$1,0),FALSE),"OK","BAD")</f>
        <v>BAD</v>
      </c>
      <c r="AW11" s="95" t="str">
        <f>IF(J11=VLOOKUP($A11,Feature_List!$A$2:$AO$101,MATCH(AW$1,Feature_List!$A$1:$AO$1,0),FALSE),"OK","BAD")</f>
        <v>OK</v>
      </c>
      <c r="AX11" s="95" t="str">
        <f>IF(K11=VLOOKUP($A11,Feature_List!$A$2:$AO$101,MATCH(AX$1,Feature_List!$A$1:$AO$1,0),FALSE),"OK","BAD")</f>
        <v>OK</v>
      </c>
      <c r="AY11" s="95" t="str">
        <f>IF(L11=VLOOKUP($A11,Feature_List!$A$2:$AO$101,MATCH(AY$1,Feature_List!$A$1:$AO$1,0),FALSE),"OK","BAD")</f>
        <v>OK</v>
      </c>
      <c r="AZ11" s="95" t="str">
        <f>IF(M11=VLOOKUP($A11,Feature_List!$A$2:$AO$101,MATCH(AZ$1,Feature_List!$A$1:$AO$1,0),FALSE),"OK","BAD")</f>
        <v>OK</v>
      </c>
      <c r="BA11" s="95" t="str">
        <f>IF(N11=VLOOKUP($A11,Feature_List!$A$2:$AO$101,MATCH(BA$1,Feature_List!$A$1:$AO$1,0),FALSE),"OK","BAD")</f>
        <v>OK</v>
      </c>
      <c r="BB11" s="95" t="str">
        <f>IF(O11=VLOOKUP($A11,Feature_List!$A$2:$AO$101,MATCH(BB$1,Feature_List!$A$1:$AO$1,0),FALSE),"OK","BAD")</f>
        <v>BAD</v>
      </c>
      <c r="BC11" s="95" t="e">
        <f>IF(P11=VLOOKUP($A11,Feature_List!$A$2:$AO$101,MATCH(BC$1,Feature_List!$A$1:$AO$1,0),FALSE),"OK","BAD")</f>
        <v>#N/A</v>
      </c>
      <c r="BD11" s="95" t="str">
        <f>IF(Q11=VLOOKUP($A11,Feature_List!$A$2:$AO$101,MATCH(BD$1,Feature_List!$A$1:$AO$1,0),FALSE),"OK","BAD")</f>
        <v>BAD</v>
      </c>
      <c r="BE11" s="95" t="str">
        <f>IF(R11=VLOOKUP($A11,Feature_List!$A$2:$AO$101,MATCH(BE$1,Feature_List!$A$1:$AO$1,0),FALSE),"OK","BAD")</f>
        <v>BAD</v>
      </c>
      <c r="BF11" s="95" t="str">
        <f>IF(S11=VLOOKUP($A11,Feature_List!$A$2:$AO$101,MATCH(BF$1,Feature_List!$A$1:$AO$1,0),FALSE),"OK","BAD")</f>
        <v>OK</v>
      </c>
      <c r="BG11" s="95" t="str">
        <f>IF(T11=VLOOKUP($A11,Feature_List!$A$2:$AO$101,MATCH(BG$1,Feature_List!$A$1:$AO$1,0),FALSE),"OK","BAD")</f>
        <v>OK</v>
      </c>
      <c r="BH11" s="95" t="str">
        <f>IF(U11=VLOOKUP($A11,Feature_List!$A$2:$AO$101,MATCH(BH$1,Feature_List!$A$1:$AO$1,0),FALSE),"OK","BAD")</f>
        <v>BAD</v>
      </c>
      <c r="BI11" s="95" t="str">
        <f>IF(V11=VLOOKUP($A11,Feature_List!$A$2:$AO$101,MATCH(BI$1,Feature_List!$A$1:$AO$1,0),FALSE),"OK","BAD")</f>
        <v>OK</v>
      </c>
      <c r="BJ11" s="95" t="e">
        <f>IF(W11=VLOOKUP($A11,Feature_List!$A$2:$AO$101,MATCH(BJ$1,Feature_List!$A$1:$AO$1,0),FALSE),"OK","BAD")</f>
        <v>#N/A</v>
      </c>
      <c r="BK11" s="95" t="str">
        <f>IF(X11=VLOOKUP($A11,Feature_List!$A$2:$AO$101,MATCH(BK$1,Feature_List!$A$1:$AO$1,0),FALSE),"OK","BAD")</f>
        <v>BAD</v>
      </c>
      <c r="BL11" s="95" t="str">
        <f>IF(Y11=VLOOKUP($A11,Feature_List!$A$2:$AO$101,MATCH(BL$1,Feature_List!$A$1:$AO$1,0),FALSE),"OK","BAD")</f>
        <v>OK</v>
      </c>
      <c r="BM11" s="95" t="str">
        <f>IF(Z11=VLOOKUP($A11,Feature_List!$A$2:$AO$101,MATCH(BM$1,Feature_List!$A$1:$AO$1,0),FALSE),"OK","BAD")</f>
        <v>OK</v>
      </c>
      <c r="BN11" s="95" t="str">
        <f>IF(AA11=VLOOKUP($A11,Feature_List!$A$2:$AO$101,MATCH(BN$1,Feature_List!$A$1:$AO$1,0),FALSE),"OK","BAD")</f>
        <v>OK</v>
      </c>
      <c r="BO11" s="95" t="str">
        <f>IF(AB11=VLOOKUP($A11,Feature_List!$A$2:$AO$101,MATCH(BO$1,Feature_List!$A$1:$AO$1,0),FALSE),"OK","BAD")</f>
        <v>OK</v>
      </c>
      <c r="BP11" s="95" t="str">
        <f>IF(AC11=VLOOKUP($A11,Feature_List!$A$2:$AO$101,MATCH(BP$1,Feature_List!$A$1:$AO$1,0),FALSE),"OK","BAD")</f>
        <v>OK</v>
      </c>
      <c r="BQ11" s="95" t="str">
        <f>IF(AD11=VLOOKUP($A11,Feature_List!$A$2:$AO$101,MATCH(BQ$1,Feature_List!$A$1:$AO$1,0),FALSE),"OK","BAD")</f>
        <v>OK</v>
      </c>
      <c r="BR11" s="95" t="str">
        <f>IF(AE11=VLOOKUP($A11,Feature_List!$A$2:$AO$101,MATCH(BR$1,Feature_List!$A$1:$AO$1,0),FALSE),"OK","BAD")</f>
        <v>OK</v>
      </c>
      <c r="BS11" s="95" t="str">
        <f>IF(AF11=VLOOKUP($A11,Feature_List!$A$2:$AO$101,MATCH(BS$1,Feature_List!$A$1:$AO$1,0),FALSE),"OK","BAD")</f>
        <v>OK</v>
      </c>
      <c r="BT11" s="95" t="str">
        <f>IF(AG11=VLOOKUP($A11,Feature_List!$A$2:$AO$101,MATCH(BT$1,Feature_List!$A$1:$AO$1,0),FALSE),"OK","BAD")</f>
        <v>OK</v>
      </c>
      <c r="BU11" s="95" t="str">
        <f>IF(AH11=VLOOKUP($A11,Feature_List!$A$2:$AO$101,MATCH(BU$1,Feature_List!$A$1:$AO$1,0),FALSE),"OK","BAD")</f>
        <v>OK</v>
      </c>
      <c r="BV11" s="95" t="e">
        <f>IF(AI11=VLOOKUP($A11,Feature_List!$A$2:$AO$101,MATCH(BV$1,Feature_List!$A$1:$AO$1,0),FALSE),"OK","BAD")</f>
        <v>#N/A</v>
      </c>
      <c r="BW11" s="95" t="e">
        <f>IF(AJ11=VLOOKUP($A11,Feature_List!$A$2:$AO$101,MATCH(BW$1,Feature_List!$A$1:$AO$1,0),FALSE),"OK","BAD")</f>
        <v>#N/A</v>
      </c>
      <c r="BX11" s="95" t="e">
        <f>IF(AK11=VLOOKUP($A11,Feature_List!$A$2:$AO$101,MATCH(BX$1,Feature_List!$A$1:$AO$1,0),FALSE),"OK","BAD")</f>
        <v>#N/A</v>
      </c>
      <c r="BY11" s="95" t="str">
        <f>IF(AL11=VLOOKUP($A11,Feature_List!$A$2:$AO$101,MATCH(BY$1,Feature_List!$A$1:$AO$1,0),FALSE),"OK","BAD")</f>
        <v>OK</v>
      </c>
      <c r="BZ11" s="95" t="str">
        <f>IF(AM11=VLOOKUP($A11,Feature_List!$A$2:$AO$101,MATCH(BZ$1,Feature_List!$A$1:$AO$1,0),FALSE),"OK","BAD")</f>
        <v>OK</v>
      </c>
      <c r="CA11" s="95" t="str">
        <f>IF(AN11=VLOOKUP($A11,Feature_List!$A$2:$AO$101,MATCH(CA$1,Feature_List!$A$1:$AO$1,0),FALSE),"OK","BAD")</f>
        <v>OK</v>
      </c>
    </row>
    <row r="12" spans="1:79" ht="14.4" customHeight="1" x14ac:dyDescent="0.3">
      <c r="A12" s="70">
        <v>1002089</v>
      </c>
      <c r="B12" s="65" t="s">
        <v>1595</v>
      </c>
      <c r="C12" s="98" t="s">
        <v>1531</v>
      </c>
      <c r="D12" s="65" t="s">
        <v>28</v>
      </c>
      <c r="E12" s="64">
        <v>16</v>
      </c>
      <c r="F12" s="64" t="s">
        <v>879</v>
      </c>
      <c r="G12" s="64" t="s">
        <v>1553</v>
      </c>
      <c r="H12" s="64" t="s">
        <v>548</v>
      </c>
      <c r="I12" s="99" t="s">
        <v>38</v>
      </c>
      <c r="J12" s="64" t="s">
        <v>1414</v>
      </c>
      <c r="K12" s="64">
        <v>0</v>
      </c>
      <c r="L12" s="62" t="s">
        <v>945</v>
      </c>
      <c r="M12" s="67" t="s">
        <v>42</v>
      </c>
      <c r="N12" s="67" t="s">
        <v>44</v>
      </c>
      <c r="O12" s="67">
        <v>0</v>
      </c>
      <c r="P12" s="66" t="s">
        <v>1172</v>
      </c>
      <c r="Q12" s="63">
        <v>1</v>
      </c>
      <c r="R12" s="63">
        <v>0</v>
      </c>
      <c r="S12" s="63">
        <v>0</v>
      </c>
      <c r="T12" s="63">
        <v>0</v>
      </c>
      <c r="U12" s="63">
        <v>16</v>
      </c>
      <c r="V12" s="63">
        <v>0</v>
      </c>
      <c r="W12" s="63">
        <v>0</v>
      </c>
      <c r="X12" s="63">
        <v>0</v>
      </c>
      <c r="Y12" s="63">
        <v>0</v>
      </c>
      <c r="Z12" s="63">
        <v>0</v>
      </c>
      <c r="AA12" s="63">
        <v>0</v>
      </c>
      <c r="AB12" s="63">
        <v>0</v>
      </c>
      <c r="AC12" s="63">
        <v>0</v>
      </c>
      <c r="AD12" s="63">
        <v>0</v>
      </c>
      <c r="AE12" s="63">
        <v>0</v>
      </c>
      <c r="AF12" s="63">
        <v>0</v>
      </c>
      <c r="AG12" s="63">
        <v>0</v>
      </c>
      <c r="AH12" s="63">
        <v>0</v>
      </c>
      <c r="AI12" s="63">
        <v>0</v>
      </c>
      <c r="AJ12" s="63">
        <v>16</v>
      </c>
      <c r="AK12" s="63">
        <v>0</v>
      </c>
      <c r="AL12" s="63" t="s">
        <v>35</v>
      </c>
      <c r="AM12" s="63" t="s">
        <v>36</v>
      </c>
      <c r="AN12" s="220" t="s">
        <v>40</v>
      </c>
      <c r="AO12" s="224"/>
      <c r="AP12" s="95" t="e">
        <f>IF(C12=VLOOKUP($A12,Feature_List!$A$2:$AO$101,MATCH(AP$1,Feature_List!$A$1:$AO$1,0),FALSE),"OK","BAD")</f>
        <v>#N/A</v>
      </c>
      <c r="AQ12" s="95" t="e">
        <f>IF(D12=VLOOKUP($A12,Feature_List!$A$2:$AO$101,MATCH(AQ$1,Feature_List!$A$1:$AO$1,0),FALSE),"OK","BAD")</f>
        <v>#N/A</v>
      </c>
      <c r="AR12" s="95" t="e">
        <f>IF(E12=VLOOKUP($A12,Feature_List!$A$2:$AO$101,MATCH(AR$1,Feature_List!$A$1:$AO$1,0),FALSE),"OK","BAD")</f>
        <v>#N/A</v>
      </c>
      <c r="AS12" s="95" t="e">
        <f>IF(F12=VLOOKUP($A12,Feature_List!$A$2:$AO$101,MATCH(AS$1,Feature_List!$A$1:$AO$1,0),FALSE),"OK","BAD")</f>
        <v>#N/A</v>
      </c>
      <c r="AT12" s="95" t="s">
        <v>985</v>
      </c>
      <c r="AU12" s="95" t="s">
        <v>985</v>
      </c>
      <c r="AV12" s="95" t="e">
        <f>IF(I12=VLOOKUP($A12,Feature_List!$A$2:$AO$101,MATCH(AV$1,Feature_List!$A$1:$AO$1,0),FALSE),"OK","BAD")</f>
        <v>#N/A</v>
      </c>
      <c r="AW12" s="95" t="e">
        <f>IF(J12=VLOOKUP($A12,Feature_List!$A$2:$AO$101,MATCH(AW$1,Feature_List!$A$1:$AO$1,0),FALSE),"OK","BAD")</f>
        <v>#N/A</v>
      </c>
      <c r="AX12" s="95" t="e">
        <f>IF(K12=VLOOKUP($A12,Feature_List!$A$2:$AO$101,MATCH(AX$1,Feature_List!$A$1:$AO$1,0),FALSE),"OK","BAD")</f>
        <v>#N/A</v>
      </c>
      <c r="AY12" s="95" t="e">
        <f>IF(L12=VLOOKUP($A12,Feature_List!$A$2:$AO$101,MATCH(AY$1,Feature_List!$A$1:$AO$1,0),FALSE),"OK","BAD")</f>
        <v>#N/A</v>
      </c>
      <c r="AZ12" s="95" t="e">
        <f>IF(M12=VLOOKUP($A12,Feature_List!$A$2:$AO$101,MATCH(AZ$1,Feature_List!$A$1:$AO$1,0),FALSE),"OK","BAD")</f>
        <v>#N/A</v>
      </c>
      <c r="BA12" s="95" t="e">
        <f>IF(N12=VLOOKUP($A12,Feature_List!$A$2:$AO$101,MATCH(BA$1,Feature_List!$A$1:$AO$1,0),FALSE),"OK","BAD")</f>
        <v>#N/A</v>
      </c>
      <c r="BB12" s="95" t="e">
        <f>IF(O12=VLOOKUP($A12,Feature_List!$A$2:$AO$101,MATCH(BB$1,Feature_List!$A$1:$AO$1,0),FALSE),"OK","BAD")</f>
        <v>#N/A</v>
      </c>
      <c r="BC12" s="95" t="e">
        <f>IF(P12=VLOOKUP($A12,Feature_List!$A$2:$AO$101,MATCH(BC$1,Feature_List!$A$1:$AO$1,0),FALSE),"OK","BAD")</f>
        <v>#N/A</v>
      </c>
      <c r="BD12" s="95" t="e">
        <f>IF(Q12=VLOOKUP($A12,Feature_List!$A$2:$AO$101,MATCH(BD$1,Feature_List!$A$1:$AO$1,0),FALSE),"OK","BAD")</f>
        <v>#N/A</v>
      </c>
      <c r="BE12" s="95" t="e">
        <f>IF(R12=VLOOKUP($A12,Feature_List!$A$2:$AO$101,MATCH(BE$1,Feature_List!$A$1:$AO$1,0),FALSE),"OK","BAD")</f>
        <v>#N/A</v>
      </c>
      <c r="BF12" s="95" t="e">
        <f>IF(S12=VLOOKUP($A12,Feature_List!$A$2:$AO$101,MATCH(BF$1,Feature_List!$A$1:$AO$1,0),FALSE),"OK","BAD")</f>
        <v>#N/A</v>
      </c>
      <c r="BG12" s="95" t="e">
        <f>IF(T12=VLOOKUP($A12,Feature_List!$A$2:$AO$101,MATCH(BG$1,Feature_List!$A$1:$AO$1,0),FALSE),"OK","BAD")</f>
        <v>#N/A</v>
      </c>
      <c r="BH12" s="95" t="e">
        <f>IF(U12=VLOOKUP($A12,Feature_List!$A$2:$AO$101,MATCH(BH$1,Feature_List!$A$1:$AO$1,0),FALSE),"OK","BAD")</f>
        <v>#N/A</v>
      </c>
      <c r="BI12" s="95" t="e">
        <f>IF(V12=VLOOKUP($A12,Feature_List!$A$2:$AO$101,MATCH(BI$1,Feature_List!$A$1:$AO$1,0),FALSE),"OK","BAD")</f>
        <v>#N/A</v>
      </c>
      <c r="BJ12" s="95" t="e">
        <f>IF(W12=VLOOKUP($A12,Feature_List!$A$2:$AO$101,MATCH(BJ$1,Feature_List!$A$1:$AO$1,0),FALSE),"OK","BAD")</f>
        <v>#N/A</v>
      </c>
      <c r="BK12" s="95" t="e">
        <f>IF(X12=VLOOKUP($A12,Feature_List!$A$2:$AO$101,MATCH(BK$1,Feature_List!$A$1:$AO$1,0),FALSE),"OK","BAD")</f>
        <v>#N/A</v>
      </c>
      <c r="BL12" s="95" t="e">
        <f>IF(Y12=VLOOKUP($A12,Feature_List!$A$2:$AO$101,MATCH(BL$1,Feature_List!$A$1:$AO$1,0),FALSE),"OK","BAD")</f>
        <v>#N/A</v>
      </c>
      <c r="BM12" s="95" t="e">
        <f>IF(Z12=VLOOKUP($A12,Feature_List!$A$2:$AO$101,MATCH(BM$1,Feature_List!$A$1:$AO$1,0),FALSE),"OK","BAD")</f>
        <v>#N/A</v>
      </c>
      <c r="BN12" s="95" t="e">
        <f>IF(AA12=VLOOKUP($A12,Feature_List!$A$2:$AO$101,MATCH(BN$1,Feature_List!$A$1:$AO$1,0),FALSE),"OK","BAD")</f>
        <v>#N/A</v>
      </c>
      <c r="BO12" s="95" t="e">
        <f>IF(AB12=VLOOKUP($A12,Feature_List!$A$2:$AO$101,MATCH(BO$1,Feature_List!$A$1:$AO$1,0),FALSE),"OK","BAD")</f>
        <v>#N/A</v>
      </c>
      <c r="BP12" s="95" t="e">
        <f>IF(AC12=VLOOKUP($A12,Feature_List!$A$2:$AO$101,MATCH(BP$1,Feature_List!$A$1:$AO$1,0),FALSE),"OK","BAD")</f>
        <v>#N/A</v>
      </c>
      <c r="BQ12" s="95" t="e">
        <f>IF(AD12=VLOOKUP($A12,Feature_List!$A$2:$AO$101,MATCH(BQ$1,Feature_List!$A$1:$AO$1,0),FALSE),"OK","BAD")</f>
        <v>#N/A</v>
      </c>
      <c r="BR12" s="95" t="e">
        <f>IF(AE12=VLOOKUP($A12,Feature_List!$A$2:$AO$101,MATCH(BR$1,Feature_List!$A$1:$AO$1,0),FALSE),"OK","BAD")</f>
        <v>#N/A</v>
      </c>
      <c r="BS12" s="95" t="e">
        <f>IF(AF12=VLOOKUP($A12,Feature_List!$A$2:$AO$101,MATCH(BS$1,Feature_List!$A$1:$AO$1,0),FALSE),"OK","BAD")</f>
        <v>#N/A</v>
      </c>
      <c r="BT12" s="95" t="e">
        <f>IF(AG12=VLOOKUP($A12,Feature_List!$A$2:$AO$101,MATCH(BT$1,Feature_List!$A$1:$AO$1,0),FALSE),"OK","BAD")</f>
        <v>#N/A</v>
      </c>
      <c r="BU12" s="95" t="e">
        <f>IF(AH12=VLOOKUP($A12,Feature_List!$A$2:$AO$101,MATCH(BU$1,Feature_List!$A$1:$AO$1,0),FALSE),"OK","BAD")</f>
        <v>#N/A</v>
      </c>
      <c r="BV12" s="95" t="e">
        <f>IF(AI12=VLOOKUP($A12,Feature_List!$A$2:$AO$101,MATCH(BV$1,Feature_List!$A$1:$AO$1,0),FALSE),"OK","BAD")</f>
        <v>#N/A</v>
      </c>
      <c r="BW12" s="95" t="e">
        <f>IF(AJ12=VLOOKUP($A12,Feature_List!$A$2:$AO$101,MATCH(BW$1,Feature_List!$A$1:$AO$1,0),FALSE),"OK","BAD")</f>
        <v>#N/A</v>
      </c>
      <c r="BX12" s="95" t="e">
        <f>IF(AK12=VLOOKUP($A12,Feature_List!$A$2:$AO$101,MATCH(BX$1,Feature_List!$A$1:$AO$1,0),FALSE),"OK","BAD")</f>
        <v>#N/A</v>
      </c>
      <c r="BY12" s="95" t="e">
        <f>IF(AL12=VLOOKUP($A12,Feature_List!$A$2:$AO$101,MATCH(BY$1,Feature_List!$A$1:$AO$1,0),FALSE),"OK","BAD")</f>
        <v>#N/A</v>
      </c>
      <c r="BZ12" s="95" t="e">
        <f>IF(AM12=VLOOKUP($A12,Feature_List!$A$2:$AO$101,MATCH(BZ$1,Feature_List!$A$1:$AO$1,0),FALSE),"OK","BAD")</f>
        <v>#N/A</v>
      </c>
      <c r="CA12" s="95" t="e">
        <f>IF(AN12=VLOOKUP($A12,Feature_List!$A$2:$AO$101,MATCH(CA$1,Feature_List!$A$1:$AO$1,0),FALSE),"OK","BAD")</f>
        <v>#N/A</v>
      </c>
    </row>
    <row r="13" spans="1:79" ht="14.4" customHeight="1" x14ac:dyDescent="0.3">
      <c r="A13" s="70">
        <v>1002036</v>
      </c>
      <c r="B13" s="65" t="s">
        <v>1171</v>
      </c>
      <c r="C13" s="98" t="s">
        <v>1145</v>
      </c>
      <c r="D13" s="65" t="s">
        <v>28</v>
      </c>
      <c r="E13" s="64">
        <v>10</v>
      </c>
      <c r="F13" s="64" t="s">
        <v>41</v>
      </c>
      <c r="G13" s="64" t="s">
        <v>1415</v>
      </c>
      <c r="H13" s="64" t="s">
        <v>135</v>
      </c>
      <c r="I13" s="99" t="s">
        <v>38</v>
      </c>
      <c r="J13" s="64" t="s">
        <v>1412</v>
      </c>
      <c r="K13" s="64">
        <v>0</v>
      </c>
      <c r="L13" s="62" t="s">
        <v>15</v>
      </c>
      <c r="M13" s="67" t="s">
        <v>31</v>
      </c>
      <c r="N13" s="67" t="s">
        <v>136</v>
      </c>
      <c r="O13" s="67">
        <v>0</v>
      </c>
      <c r="P13" s="66" t="s">
        <v>133</v>
      </c>
      <c r="Q13" s="63">
        <v>1</v>
      </c>
      <c r="R13" s="63">
        <v>0</v>
      </c>
      <c r="S13" s="63">
        <v>0</v>
      </c>
      <c r="T13" s="63">
        <v>0</v>
      </c>
      <c r="U13" s="63">
        <v>0</v>
      </c>
      <c r="V13" s="63">
        <v>0</v>
      </c>
      <c r="W13" s="63">
        <v>0</v>
      </c>
      <c r="X13" s="63">
        <v>0</v>
      </c>
      <c r="Y13" s="63">
        <v>0</v>
      </c>
      <c r="Z13" s="63">
        <v>0</v>
      </c>
      <c r="AA13" s="63">
        <v>0</v>
      </c>
      <c r="AB13" s="63">
        <v>10</v>
      </c>
      <c r="AC13" s="63">
        <v>0</v>
      </c>
      <c r="AD13" s="63">
        <v>0</v>
      </c>
      <c r="AE13" s="63">
        <v>0</v>
      </c>
      <c r="AF13" s="63">
        <v>0</v>
      </c>
      <c r="AG13" s="63">
        <v>0</v>
      </c>
      <c r="AH13" s="63">
        <v>0</v>
      </c>
      <c r="AI13" s="63">
        <v>0</v>
      </c>
      <c r="AJ13" s="63">
        <v>10</v>
      </c>
      <c r="AK13" s="63">
        <v>0</v>
      </c>
      <c r="AL13" s="63" t="s">
        <v>35</v>
      </c>
      <c r="AM13" s="63" t="s">
        <v>36</v>
      </c>
      <c r="AN13" s="220" t="s">
        <v>40</v>
      </c>
      <c r="AO13" s="224"/>
      <c r="AP13" s="95" t="e">
        <f>IF(C13=VLOOKUP($A13,Feature_List!$A$2:$AO$101,MATCH(AP$1,Feature_List!$A$1:$AO$1,0),FALSE),"OK","BAD")</f>
        <v>#N/A</v>
      </c>
      <c r="AQ13" s="95" t="e">
        <f>IF(D13=VLOOKUP($A13,Feature_List!$A$2:$AO$101,MATCH(AQ$1,Feature_List!$A$1:$AO$1,0),FALSE),"OK","BAD")</f>
        <v>#N/A</v>
      </c>
      <c r="AR13" s="95" t="e">
        <f>IF(E13=VLOOKUP($A13,Feature_List!$A$2:$AO$101,MATCH(AR$1,Feature_List!$A$1:$AO$1,0),FALSE),"OK","BAD")</f>
        <v>#N/A</v>
      </c>
      <c r="AS13" s="95" t="e">
        <f>IF(F13=VLOOKUP($A13,Feature_List!$A$2:$AO$101,MATCH(AS$1,Feature_List!$A$1:$AO$1,0),FALSE),"OK","BAD")</f>
        <v>#N/A</v>
      </c>
      <c r="AT13" s="95" t="s">
        <v>985</v>
      </c>
      <c r="AU13" s="95" t="s">
        <v>985</v>
      </c>
      <c r="AV13" s="95" t="e">
        <f>IF(I13=VLOOKUP($A13,Feature_List!$A$2:$AO$101,MATCH(AV$1,Feature_List!$A$1:$AO$1,0),FALSE),"OK","BAD")</f>
        <v>#N/A</v>
      </c>
      <c r="AW13" s="95" t="e">
        <f>IF(J13=VLOOKUP($A13,Feature_List!$A$2:$AO$101,MATCH(AW$1,Feature_List!$A$1:$AO$1,0),FALSE),"OK","BAD")</f>
        <v>#N/A</v>
      </c>
      <c r="AX13" s="95" t="e">
        <f>IF(K13=VLOOKUP($A13,Feature_List!$A$2:$AO$101,MATCH(AX$1,Feature_List!$A$1:$AO$1,0),FALSE),"OK","BAD")</f>
        <v>#N/A</v>
      </c>
      <c r="AY13" s="95" t="e">
        <f>IF(L13=VLOOKUP($A13,Feature_List!$A$2:$AO$101,MATCH(AY$1,Feature_List!$A$1:$AO$1,0),FALSE),"OK","BAD")</f>
        <v>#N/A</v>
      </c>
      <c r="AZ13" s="95" t="e">
        <f>IF(M13=VLOOKUP($A13,Feature_List!$A$2:$AO$101,MATCH(AZ$1,Feature_List!$A$1:$AO$1,0),FALSE),"OK","BAD")</f>
        <v>#N/A</v>
      </c>
      <c r="BA13" s="95" t="e">
        <f>IF(N13=VLOOKUP($A13,Feature_List!$A$2:$AO$101,MATCH(BA$1,Feature_List!$A$1:$AO$1,0),FALSE),"OK","BAD")</f>
        <v>#N/A</v>
      </c>
      <c r="BB13" s="95" t="e">
        <f>IF(O13=VLOOKUP($A13,Feature_List!$A$2:$AO$101,MATCH(BB$1,Feature_List!$A$1:$AO$1,0),FALSE),"OK","BAD")</f>
        <v>#N/A</v>
      </c>
      <c r="BC13" s="95" t="e">
        <f>IF(P13=VLOOKUP($A13,Feature_List!$A$2:$AO$101,MATCH(BC$1,Feature_List!$A$1:$AO$1,0),FALSE),"OK","BAD")</f>
        <v>#N/A</v>
      </c>
      <c r="BD13" s="95" t="e">
        <f>IF(Q13=VLOOKUP($A13,Feature_List!$A$2:$AO$101,MATCH(BD$1,Feature_List!$A$1:$AO$1,0),FALSE),"OK","BAD")</f>
        <v>#N/A</v>
      </c>
      <c r="BE13" s="95" t="e">
        <f>IF(R13=VLOOKUP($A13,Feature_List!$A$2:$AO$101,MATCH(BE$1,Feature_List!$A$1:$AO$1,0),FALSE),"OK","BAD")</f>
        <v>#N/A</v>
      </c>
      <c r="BF13" s="95" t="e">
        <f>IF(S13=VLOOKUP($A13,Feature_List!$A$2:$AO$101,MATCH(BF$1,Feature_List!$A$1:$AO$1,0),FALSE),"OK","BAD")</f>
        <v>#N/A</v>
      </c>
      <c r="BG13" s="95" t="e">
        <f>IF(T13=VLOOKUP($A13,Feature_List!$A$2:$AO$101,MATCH(BG$1,Feature_List!$A$1:$AO$1,0),FALSE),"OK","BAD")</f>
        <v>#N/A</v>
      </c>
      <c r="BH13" s="95" t="e">
        <f>IF(U13=VLOOKUP($A13,Feature_List!$A$2:$AO$101,MATCH(BH$1,Feature_List!$A$1:$AO$1,0),FALSE),"OK","BAD")</f>
        <v>#N/A</v>
      </c>
      <c r="BI13" s="95" t="e">
        <f>IF(V13=VLOOKUP($A13,Feature_List!$A$2:$AO$101,MATCH(BI$1,Feature_List!$A$1:$AO$1,0),FALSE),"OK","BAD")</f>
        <v>#N/A</v>
      </c>
      <c r="BJ13" s="95" t="e">
        <f>IF(W13=VLOOKUP($A13,Feature_List!$A$2:$AO$101,MATCH(BJ$1,Feature_List!$A$1:$AO$1,0),FALSE),"OK","BAD")</f>
        <v>#N/A</v>
      </c>
      <c r="BK13" s="95" t="e">
        <f>IF(X13=VLOOKUP($A13,Feature_List!$A$2:$AO$101,MATCH(BK$1,Feature_List!$A$1:$AO$1,0),FALSE),"OK","BAD")</f>
        <v>#N/A</v>
      </c>
      <c r="BL13" s="95" t="e">
        <f>IF(Y13=VLOOKUP($A13,Feature_List!$A$2:$AO$101,MATCH(BL$1,Feature_List!$A$1:$AO$1,0),FALSE),"OK","BAD")</f>
        <v>#N/A</v>
      </c>
      <c r="BM13" s="95" t="e">
        <f>IF(Z13=VLOOKUP($A13,Feature_List!$A$2:$AO$101,MATCH(BM$1,Feature_List!$A$1:$AO$1,0),FALSE),"OK","BAD")</f>
        <v>#N/A</v>
      </c>
      <c r="BN13" s="95" t="e">
        <f>IF(AA13=VLOOKUP($A13,Feature_List!$A$2:$AO$101,MATCH(BN$1,Feature_List!$A$1:$AO$1,0),FALSE),"OK","BAD")</f>
        <v>#N/A</v>
      </c>
      <c r="BO13" s="95" t="e">
        <f>IF(AB13=VLOOKUP($A13,Feature_List!$A$2:$AO$101,MATCH(BO$1,Feature_List!$A$1:$AO$1,0),FALSE),"OK","BAD")</f>
        <v>#N/A</v>
      </c>
      <c r="BP13" s="95" t="e">
        <f>IF(AC13=VLOOKUP($A13,Feature_List!$A$2:$AO$101,MATCH(BP$1,Feature_List!$A$1:$AO$1,0),FALSE),"OK","BAD")</f>
        <v>#N/A</v>
      </c>
      <c r="BQ13" s="95" t="e">
        <f>IF(AD13=VLOOKUP($A13,Feature_List!$A$2:$AO$101,MATCH(BQ$1,Feature_List!$A$1:$AO$1,0),FALSE),"OK","BAD")</f>
        <v>#N/A</v>
      </c>
      <c r="BR13" s="95" t="e">
        <f>IF(AE13=VLOOKUP($A13,Feature_List!$A$2:$AO$101,MATCH(BR$1,Feature_List!$A$1:$AO$1,0),FALSE),"OK","BAD")</f>
        <v>#N/A</v>
      </c>
      <c r="BS13" s="95" t="e">
        <f>IF(AF13=VLOOKUP($A13,Feature_List!$A$2:$AO$101,MATCH(BS$1,Feature_List!$A$1:$AO$1,0),FALSE),"OK","BAD")</f>
        <v>#N/A</v>
      </c>
      <c r="BT13" s="95" t="e">
        <f>IF(AG13=VLOOKUP($A13,Feature_List!$A$2:$AO$101,MATCH(BT$1,Feature_List!$A$1:$AO$1,0),FALSE),"OK","BAD")</f>
        <v>#N/A</v>
      </c>
      <c r="BU13" s="95" t="e">
        <f>IF(AH13=VLOOKUP($A13,Feature_List!$A$2:$AO$101,MATCH(BU$1,Feature_List!$A$1:$AO$1,0),FALSE),"OK","BAD")</f>
        <v>#N/A</v>
      </c>
      <c r="BV13" s="95" t="e">
        <f>IF(AI13=VLOOKUP($A13,Feature_List!$A$2:$AO$101,MATCH(BV$1,Feature_List!$A$1:$AO$1,0),FALSE),"OK","BAD")</f>
        <v>#N/A</v>
      </c>
      <c r="BW13" s="95" t="e">
        <f>IF(AJ13=VLOOKUP($A13,Feature_List!$A$2:$AO$101,MATCH(BW$1,Feature_List!$A$1:$AO$1,0),FALSE),"OK","BAD")</f>
        <v>#N/A</v>
      </c>
      <c r="BX13" s="95" t="e">
        <f>IF(AK13=VLOOKUP($A13,Feature_List!$A$2:$AO$101,MATCH(BX$1,Feature_List!$A$1:$AO$1,0),FALSE),"OK","BAD")</f>
        <v>#N/A</v>
      </c>
      <c r="BY13" s="95" t="e">
        <f>IF(AL13=VLOOKUP($A13,Feature_List!$A$2:$AO$101,MATCH(BY$1,Feature_List!$A$1:$AO$1,0),FALSE),"OK","BAD")</f>
        <v>#N/A</v>
      </c>
      <c r="BZ13" s="95" t="e">
        <f>IF(AM13=VLOOKUP($A13,Feature_List!$A$2:$AO$101,MATCH(BZ$1,Feature_List!$A$1:$AO$1,0),FALSE),"OK","BAD")</f>
        <v>#N/A</v>
      </c>
      <c r="CA13" s="95" t="e">
        <f>IF(AN13=VLOOKUP($A13,Feature_List!$A$2:$AO$101,MATCH(CA$1,Feature_List!$A$1:$AO$1,0),FALSE),"OK","BAD")</f>
        <v>#N/A</v>
      </c>
    </row>
    <row r="14" spans="1:79" ht="14.4" customHeight="1" x14ac:dyDescent="0.3">
      <c r="A14" s="70">
        <v>1001912</v>
      </c>
      <c r="B14" s="65" t="s">
        <v>1170</v>
      </c>
      <c r="C14" s="98" t="s">
        <v>972</v>
      </c>
      <c r="D14" s="65" t="s">
        <v>28</v>
      </c>
      <c r="E14" s="64">
        <v>127</v>
      </c>
      <c r="F14" s="64" t="s">
        <v>879</v>
      </c>
      <c r="G14" s="64" t="s">
        <v>1416</v>
      </c>
      <c r="H14" s="64" t="s">
        <v>1009</v>
      </c>
      <c r="I14" s="99" t="s">
        <v>979</v>
      </c>
      <c r="J14" s="64" t="s">
        <v>1412</v>
      </c>
      <c r="K14" s="64">
        <v>0</v>
      </c>
      <c r="L14" s="62" t="s">
        <v>554</v>
      </c>
      <c r="M14" s="67" t="s">
        <v>34</v>
      </c>
      <c r="N14" s="67" t="s">
        <v>55</v>
      </c>
      <c r="O14" s="67">
        <v>8</v>
      </c>
      <c r="P14" s="66" t="s">
        <v>131</v>
      </c>
      <c r="Q14" s="63">
        <v>2</v>
      </c>
      <c r="R14" s="63">
        <v>0</v>
      </c>
      <c r="S14" s="63">
        <v>0</v>
      </c>
      <c r="T14" s="63">
        <v>0</v>
      </c>
      <c r="U14" s="63">
        <v>0</v>
      </c>
      <c r="V14" s="63">
        <v>0</v>
      </c>
      <c r="W14" s="63">
        <v>0</v>
      </c>
      <c r="X14" s="63">
        <v>5</v>
      </c>
      <c r="Y14" s="63">
        <v>0</v>
      </c>
      <c r="Z14" s="63">
        <v>0</v>
      </c>
      <c r="AA14" s="63">
        <v>0</v>
      </c>
      <c r="AB14" s="63">
        <v>0</v>
      </c>
      <c r="AC14" s="63">
        <v>0</v>
      </c>
      <c r="AD14" s="63">
        <v>0</v>
      </c>
      <c r="AE14" s="63">
        <v>0</v>
      </c>
      <c r="AF14" s="63">
        <v>0</v>
      </c>
      <c r="AG14" s="63">
        <v>114</v>
      </c>
      <c r="AH14" s="63">
        <v>0</v>
      </c>
      <c r="AI14" s="63">
        <v>0</v>
      </c>
      <c r="AJ14" s="63">
        <v>119</v>
      </c>
      <c r="AK14" s="63">
        <v>8</v>
      </c>
      <c r="AL14" s="63" t="s">
        <v>35</v>
      </c>
      <c r="AM14" s="63" t="s">
        <v>36</v>
      </c>
      <c r="AN14" s="220" t="s">
        <v>33</v>
      </c>
      <c r="AO14" s="224"/>
      <c r="AP14" s="95" t="str">
        <f>IF(C14=VLOOKUP($A14,Feature_List!$A$2:$AO$101,MATCH(AP$1,Feature_List!$A$1:$AO$1,0),FALSE),"OK","BAD")</f>
        <v>OK</v>
      </c>
      <c r="AQ14" s="95" t="str">
        <f>IF(D14=VLOOKUP($A14,Feature_List!$A$2:$AO$101,MATCH(AQ$1,Feature_List!$A$1:$AO$1,0),FALSE),"OK","BAD")</f>
        <v>BAD</v>
      </c>
      <c r="AR14" s="95" t="str">
        <f>IF(E14=VLOOKUP($A14,Feature_List!$A$2:$AO$101,MATCH(AR$1,Feature_List!$A$1:$AO$1,0),FALSE),"OK","BAD")</f>
        <v>OK</v>
      </c>
      <c r="AS14" s="95" t="str">
        <f>IF(F14=VLOOKUP($A14,Feature_List!$A$2:$AO$101,MATCH(AS$1,Feature_List!$A$1:$AO$1,0),FALSE),"OK","BAD")</f>
        <v>OK</v>
      </c>
      <c r="AT14" s="95" t="s">
        <v>985</v>
      </c>
      <c r="AU14" s="95" t="s">
        <v>985</v>
      </c>
      <c r="AV14" s="95" t="str">
        <f>IF(I14=VLOOKUP($A14,Feature_List!$A$2:$AO$101,MATCH(AV$1,Feature_List!$A$1:$AO$1,0),FALSE),"OK","BAD")</f>
        <v>OK</v>
      </c>
      <c r="AW14" s="95" t="str">
        <f>IF(J14=VLOOKUP($A14,Feature_List!$A$2:$AO$101,MATCH(AW$1,Feature_List!$A$1:$AO$1,0),FALSE),"OK","BAD")</f>
        <v>OK</v>
      </c>
      <c r="AX14" s="95" t="str">
        <f>IF(K14=VLOOKUP($A14,Feature_List!$A$2:$AO$101,MATCH(AX$1,Feature_List!$A$1:$AO$1,0),FALSE),"OK","BAD")</f>
        <v>OK</v>
      </c>
      <c r="AY14" s="95" t="str">
        <f>IF(L14=VLOOKUP($A14,Feature_List!$A$2:$AO$101,MATCH(AY$1,Feature_List!$A$1:$AO$1,0),FALSE),"OK","BAD")</f>
        <v>OK</v>
      </c>
      <c r="AZ14" s="95" t="str">
        <f>IF(M14=VLOOKUP($A14,Feature_List!$A$2:$AO$101,MATCH(AZ$1,Feature_List!$A$1:$AO$1,0),FALSE),"OK","BAD")</f>
        <v>OK</v>
      </c>
      <c r="BA14" s="95" t="str">
        <f>IF(N14=VLOOKUP($A14,Feature_List!$A$2:$AO$101,MATCH(BA$1,Feature_List!$A$1:$AO$1,0),FALSE),"OK","BAD")</f>
        <v>OK</v>
      </c>
      <c r="BB14" s="95" t="str">
        <f>IF(O14=VLOOKUP($A14,Feature_List!$A$2:$AO$101,MATCH(BB$1,Feature_List!$A$1:$AO$1,0),FALSE),"OK","BAD")</f>
        <v>BAD</v>
      </c>
      <c r="BC14" s="95" t="e">
        <f>IF(P14=VLOOKUP($A14,Feature_List!$A$2:$AO$101,MATCH(BC$1,Feature_List!$A$1:$AO$1,0),FALSE),"OK","BAD")</f>
        <v>#N/A</v>
      </c>
      <c r="BD14" s="95" t="str">
        <f>IF(Q14=VLOOKUP($A14,Feature_List!$A$2:$AO$101,MATCH(BD$1,Feature_List!$A$1:$AO$1,0),FALSE),"OK","BAD")</f>
        <v>BAD</v>
      </c>
      <c r="BE14" s="95" t="str">
        <f>IF(R14=VLOOKUP($A14,Feature_List!$A$2:$AO$101,MATCH(BE$1,Feature_List!$A$1:$AO$1,0),FALSE),"OK","BAD")</f>
        <v>BAD</v>
      </c>
      <c r="BF14" s="95" t="str">
        <f>IF(S14=VLOOKUP($A14,Feature_List!$A$2:$AO$101,MATCH(BF$1,Feature_List!$A$1:$AO$1,0),FALSE),"OK","BAD")</f>
        <v>OK</v>
      </c>
      <c r="BG14" s="95" t="str">
        <f>IF(T14=VLOOKUP($A14,Feature_List!$A$2:$AO$101,MATCH(BG$1,Feature_List!$A$1:$AO$1,0),FALSE),"OK","BAD")</f>
        <v>OK</v>
      </c>
      <c r="BH14" s="95" t="str">
        <f>IF(U14=VLOOKUP($A14,Feature_List!$A$2:$AO$101,MATCH(BH$1,Feature_List!$A$1:$AO$1,0),FALSE),"OK","BAD")</f>
        <v>OK</v>
      </c>
      <c r="BI14" s="95" t="str">
        <f>IF(V14=VLOOKUP($A14,Feature_List!$A$2:$AO$101,MATCH(BI$1,Feature_List!$A$1:$AO$1,0),FALSE),"OK","BAD")</f>
        <v>OK</v>
      </c>
      <c r="BJ14" s="95" t="e">
        <f>IF(W14=VLOOKUP($A14,Feature_List!$A$2:$AO$101,MATCH(BJ$1,Feature_List!$A$1:$AO$1,0),FALSE),"OK","BAD")</f>
        <v>#N/A</v>
      </c>
      <c r="BK14" s="95" t="str">
        <f>IF(X14=VLOOKUP($A14,Feature_List!$A$2:$AO$101,MATCH(BK$1,Feature_List!$A$1:$AO$1,0),FALSE),"OK","BAD")</f>
        <v>BAD</v>
      </c>
      <c r="BL14" s="95" t="str">
        <f>IF(Y14=VLOOKUP($A14,Feature_List!$A$2:$AO$101,MATCH(BL$1,Feature_List!$A$1:$AO$1,0),FALSE),"OK","BAD")</f>
        <v>OK</v>
      </c>
      <c r="BM14" s="95" t="str">
        <f>IF(Z14=VLOOKUP($A14,Feature_List!$A$2:$AO$101,MATCH(BM$1,Feature_List!$A$1:$AO$1,0),FALSE),"OK","BAD")</f>
        <v>OK</v>
      </c>
      <c r="BN14" s="95" t="str">
        <f>IF(AA14=VLOOKUP($A14,Feature_List!$A$2:$AO$101,MATCH(BN$1,Feature_List!$A$1:$AO$1,0),FALSE),"OK","BAD")</f>
        <v>OK</v>
      </c>
      <c r="BO14" s="95" t="str">
        <f>IF(AB14=VLOOKUP($A14,Feature_List!$A$2:$AO$101,MATCH(BO$1,Feature_List!$A$1:$AO$1,0),FALSE),"OK","BAD")</f>
        <v>OK</v>
      </c>
      <c r="BP14" s="95" t="str">
        <f>IF(AC14=VLOOKUP($A14,Feature_List!$A$2:$AO$101,MATCH(BP$1,Feature_List!$A$1:$AO$1,0),FALSE),"OK","BAD")</f>
        <v>OK</v>
      </c>
      <c r="BQ14" s="95" t="str">
        <f>IF(AD14=VLOOKUP($A14,Feature_List!$A$2:$AO$101,MATCH(BQ$1,Feature_List!$A$1:$AO$1,0),FALSE),"OK","BAD")</f>
        <v>OK</v>
      </c>
      <c r="BR14" s="95" t="str">
        <f>IF(AE14=VLOOKUP($A14,Feature_List!$A$2:$AO$101,MATCH(BR$1,Feature_List!$A$1:$AO$1,0),FALSE),"OK","BAD")</f>
        <v>OK</v>
      </c>
      <c r="BS14" s="95" t="str">
        <f>IF(AF14=VLOOKUP($A14,Feature_List!$A$2:$AO$101,MATCH(BS$1,Feature_List!$A$1:$AO$1,0),FALSE),"OK","BAD")</f>
        <v>OK</v>
      </c>
      <c r="BT14" s="95" t="str">
        <f>IF(AG14=VLOOKUP($A14,Feature_List!$A$2:$AO$101,MATCH(BT$1,Feature_List!$A$1:$AO$1,0),FALSE),"OK","BAD")</f>
        <v>BAD</v>
      </c>
      <c r="BU14" s="95" t="str">
        <f>IF(AH14=VLOOKUP($A14,Feature_List!$A$2:$AO$101,MATCH(BU$1,Feature_List!$A$1:$AO$1,0),FALSE),"OK","BAD")</f>
        <v>OK</v>
      </c>
      <c r="BV14" s="95" t="e">
        <f>IF(AI14=VLOOKUP($A14,Feature_List!$A$2:$AO$101,MATCH(BV$1,Feature_List!$A$1:$AO$1,0),FALSE),"OK","BAD")</f>
        <v>#N/A</v>
      </c>
      <c r="BW14" s="95" t="e">
        <f>IF(AJ14=VLOOKUP($A14,Feature_List!$A$2:$AO$101,MATCH(BW$1,Feature_List!$A$1:$AO$1,0),FALSE),"OK","BAD")</f>
        <v>#N/A</v>
      </c>
      <c r="BX14" s="95" t="e">
        <f>IF(AK14=VLOOKUP($A14,Feature_List!$A$2:$AO$101,MATCH(BX$1,Feature_List!$A$1:$AO$1,0),FALSE),"OK","BAD")</f>
        <v>#N/A</v>
      </c>
      <c r="BY14" s="95" t="str">
        <f>IF(AL14=VLOOKUP($A14,Feature_List!$A$2:$AO$101,MATCH(BY$1,Feature_List!$A$1:$AO$1,0),FALSE),"OK","BAD")</f>
        <v>OK</v>
      </c>
      <c r="BZ14" s="95" t="str">
        <f>IF(AM14=VLOOKUP($A14,Feature_List!$A$2:$AO$101,MATCH(BZ$1,Feature_List!$A$1:$AO$1,0),FALSE),"OK","BAD")</f>
        <v>OK</v>
      </c>
      <c r="CA14" s="95" t="str">
        <f>IF(AN14=VLOOKUP($A14,Feature_List!$A$2:$AO$101,MATCH(CA$1,Feature_List!$A$1:$AO$1,0),FALSE),"OK","BAD")</f>
        <v>OK</v>
      </c>
    </row>
    <row r="15" spans="1:79" ht="14.4" customHeight="1" x14ac:dyDescent="0.3">
      <c r="A15" s="70">
        <v>1001636</v>
      </c>
      <c r="B15" s="65" t="s">
        <v>1520</v>
      </c>
      <c r="C15" s="98" t="s">
        <v>1145</v>
      </c>
      <c r="D15" s="65" t="s">
        <v>106</v>
      </c>
      <c r="E15" s="64">
        <v>22</v>
      </c>
      <c r="F15" s="64" t="s">
        <v>41</v>
      </c>
      <c r="G15" s="64" t="s">
        <v>1169</v>
      </c>
      <c r="H15" s="64" t="s">
        <v>172</v>
      </c>
      <c r="I15" s="99" t="s">
        <v>38</v>
      </c>
      <c r="J15" s="64" t="s">
        <v>1414</v>
      </c>
      <c r="K15" s="64">
        <v>0</v>
      </c>
      <c r="L15" s="62" t="s">
        <v>944</v>
      </c>
      <c r="M15" s="67" t="s">
        <v>49</v>
      </c>
      <c r="N15" s="67" t="s">
        <v>50</v>
      </c>
      <c r="O15" s="67">
        <v>0</v>
      </c>
      <c r="P15" s="66" t="s">
        <v>991</v>
      </c>
      <c r="Q15" s="63">
        <v>2</v>
      </c>
      <c r="R15" s="63">
        <v>10</v>
      </c>
      <c r="S15" s="63">
        <v>0</v>
      </c>
      <c r="T15" s="63">
        <v>11</v>
      </c>
      <c r="U15" s="63">
        <v>0</v>
      </c>
      <c r="V15" s="63">
        <v>0</v>
      </c>
      <c r="W15" s="63">
        <v>0</v>
      </c>
      <c r="X15" s="63">
        <v>0</v>
      </c>
      <c r="Y15" s="63">
        <v>0</v>
      </c>
      <c r="Z15" s="63">
        <v>0</v>
      </c>
      <c r="AA15" s="63">
        <v>0</v>
      </c>
      <c r="AB15" s="63">
        <v>1</v>
      </c>
      <c r="AC15" s="63">
        <v>0</v>
      </c>
      <c r="AD15" s="63">
        <v>0</v>
      </c>
      <c r="AE15" s="63">
        <v>0</v>
      </c>
      <c r="AF15" s="63">
        <v>0</v>
      </c>
      <c r="AG15" s="63">
        <v>0</v>
      </c>
      <c r="AH15" s="63">
        <v>0</v>
      </c>
      <c r="AI15" s="63">
        <v>0</v>
      </c>
      <c r="AJ15" s="63">
        <v>12</v>
      </c>
      <c r="AK15" s="63">
        <v>0</v>
      </c>
      <c r="AL15" s="63" t="s">
        <v>35</v>
      </c>
      <c r="AM15" s="63" t="s">
        <v>36</v>
      </c>
      <c r="AN15" s="220" t="s">
        <v>33</v>
      </c>
      <c r="AO15" s="224"/>
      <c r="AP15" s="95" t="e">
        <f>IF(C15=VLOOKUP($A15,Feature_List!$A$2:$AO$101,MATCH(AP$1,Feature_List!$A$1:$AO$1,0),FALSE),"OK","BAD")</f>
        <v>#N/A</v>
      </c>
      <c r="AQ15" s="95" t="e">
        <f>IF(D15=VLOOKUP($A15,Feature_List!$A$2:$AO$101,MATCH(AQ$1,Feature_List!$A$1:$AO$1,0),FALSE),"OK","BAD")</f>
        <v>#N/A</v>
      </c>
      <c r="AR15" s="95" t="e">
        <f>IF(E15=VLOOKUP($A15,Feature_List!$A$2:$AO$101,MATCH(AR$1,Feature_List!$A$1:$AO$1,0),FALSE),"OK","BAD")</f>
        <v>#N/A</v>
      </c>
      <c r="AS15" s="95" t="e">
        <f>IF(F15=VLOOKUP($A15,Feature_List!$A$2:$AO$101,MATCH(AS$1,Feature_List!$A$1:$AO$1,0),FALSE),"OK","BAD")</f>
        <v>#N/A</v>
      </c>
      <c r="AT15" s="95" t="s">
        <v>985</v>
      </c>
      <c r="AU15" s="95" t="s">
        <v>985</v>
      </c>
      <c r="AV15" s="95" t="e">
        <f>IF(I15=VLOOKUP($A15,Feature_List!$A$2:$AO$101,MATCH(AV$1,Feature_List!$A$1:$AO$1,0),FALSE),"OK","BAD")</f>
        <v>#N/A</v>
      </c>
      <c r="AW15" s="95" t="e">
        <f>IF(J15=VLOOKUP($A15,Feature_List!$A$2:$AO$101,MATCH(AW$1,Feature_List!$A$1:$AO$1,0),FALSE),"OK","BAD")</f>
        <v>#N/A</v>
      </c>
      <c r="AX15" s="95" t="e">
        <f>IF(K15=VLOOKUP($A15,Feature_List!$A$2:$AO$101,MATCH(AX$1,Feature_List!$A$1:$AO$1,0),FALSE),"OK","BAD")</f>
        <v>#N/A</v>
      </c>
      <c r="AY15" s="95" t="e">
        <f>IF(L15=VLOOKUP($A15,Feature_List!$A$2:$AO$101,MATCH(AY$1,Feature_List!$A$1:$AO$1,0),FALSE),"OK","BAD")</f>
        <v>#N/A</v>
      </c>
      <c r="AZ15" s="95" t="e">
        <f>IF(M15=VLOOKUP($A15,Feature_List!$A$2:$AO$101,MATCH(AZ$1,Feature_List!$A$1:$AO$1,0),FALSE),"OK","BAD")</f>
        <v>#N/A</v>
      </c>
      <c r="BA15" s="95" t="e">
        <f>IF(N15=VLOOKUP($A15,Feature_List!$A$2:$AO$101,MATCH(BA$1,Feature_List!$A$1:$AO$1,0),FALSE),"OK","BAD")</f>
        <v>#N/A</v>
      </c>
      <c r="BB15" s="95" t="e">
        <f>IF(O15=VLOOKUP($A15,Feature_List!$A$2:$AO$101,MATCH(BB$1,Feature_List!$A$1:$AO$1,0),FALSE),"OK","BAD")</f>
        <v>#N/A</v>
      </c>
      <c r="BC15" s="95" t="e">
        <f>IF(P15=VLOOKUP($A15,Feature_List!$A$2:$AO$101,MATCH(BC$1,Feature_List!$A$1:$AO$1,0),FALSE),"OK","BAD")</f>
        <v>#N/A</v>
      </c>
      <c r="BD15" s="95" t="e">
        <f>IF(Q15=VLOOKUP($A15,Feature_List!$A$2:$AO$101,MATCH(BD$1,Feature_List!$A$1:$AO$1,0),FALSE),"OK","BAD")</f>
        <v>#N/A</v>
      </c>
      <c r="BE15" s="95" t="e">
        <f>IF(R15=VLOOKUP($A15,Feature_List!$A$2:$AO$101,MATCH(BE$1,Feature_List!$A$1:$AO$1,0),FALSE),"OK","BAD")</f>
        <v>#N/A</v>
      </c>
      <c r="BF15" s="95" t="e">
        <f>IF(S15=VLOOKUP($A15,Feature_List!$A$2:$AO$101,MATCH(BF$1,Feature_List!$A$1:$AO$1,0),FALSE),"OK","BAD")</f>
        <v>#N/A</v>
      </c>
      <c r="BG15" s="95" t="e">
        <f>IF(T15=VLOOKUP($A15,Feature_List!$A$2:$AO$101,MATCH(BG$1,Feature_List!$A$1:$AO$1,0),FALSE),"OK","BAD")</f>
        <v>#N/A</v>
      </c>
      <c r="BH15" s="95" t="e">
        <f>IF(U15=VLOOKUP($A15,Feature_List!$A$2:$AO$101,MATCH(BH$1,Feature_List!$A$1:$AO$1,0),FALSE),"OK","BAD")</f>
        <v>#N/A</v>
      </c>
      <c r="BI15" s="95" t="e">
        <f>IF(V15=VLOOKUP($A15,Feature_List!$A$2:$AO$101,MATCH(BI$1,Feature_List!$A$1:$AO$1,0),FALSE),"OK","BAD")</f>
        <v>#N/A</v>
      </c>
      <c r="BJ15" s="95" t="e">
        <f>IF(W15=VLOOKUP($A15,Feature_List!$A$2:$AO$101,MATCH(BJ$1,Feature_List!$A$1:$AO$1,0),FALSE),"OK","BAD")</f>
        <v>#N/A</v>
      </c>
      <c r="BK15" s="95" t="e">
        <f>IF(X15=VLOOKUP($A15,Feature_List!$A$2:$AO$101,MATCH(BK$1,Feature_List!$A$1:$AO$1,0),FALSE),"OK","BAD")</f>
        <v>#N/A</v>
      </c>
      <c r="BL15" s="95" t="e">
        <f>IF(Y15=VLOOKUP($A15,Feature_List!$A$2:$AO$101,MATCH(BL$1,Feature_List!$A$1:$AO$1,0),FALSE),"OK","BAD")</f>
        <v>#N/A</v>
      </c>
      <c r="BM15" s="95" t="e">
        <f>IF(Z15=VLOOKUP($A15,Feature_List!$A$2:$AO$101,MATCH(BM$1,Feature_List!$A$1:$AO$1,0),FALSE),"OK","BAD")</f>
        <v>#N/A</v>
      </c>
      <c r="BN15" s="95" t="e">
        <f>IF(AA15=VLOOKUP($A15,Feature_List!$A$2:$AO$101,MATCH(BN$1,Feature_List!$A$1:$AO$1,0),FALSE),"OK","BAD")</f>
        <v>#N/A</v>
      </c>
      <c r="BO15" s="95" t="e">
        <f>IF(AB15=VLOOKUP($A15,Feature_List!$A$2:$AO$101,MATCH(BO$1,Feature_List!$A$1:$AO$1,0),FALSE),"OK","BAD")</f>
        <v>#N/A</v>
      </c>
      <c r="BP15" s="95" t="e">
        <f>IF(AC15=VLOOKUP($A15,Feature_List!$A$2:$AO$101,MATCH(BP$1,Feature_List!$A$1:$AO$1,0),FALSE),"OK","BAD")</f>
        <v>#N/A</v>
      </c>
      <c r="BQ15" s="95" t="e">
        <f>IF(AD15=VLOOKUP($A15,Feature_List!$A$2:$AO$101,MATCH(BQ$1,Feature_List!$A$1:$AO$1,0),FALSE),"OK","BAD")</f>
        <v>#N/A</v>
      </c>
      <c r="BR15" s="95" t="e">
        <f>IF(AE15=VLOOKUP($A15,Feature_List!$A$2:$AO$101,MATCH(BR$1,Feature_List!$A$1:$AO$1,0),FALSE),"OK","BAD")</f>
        <v>#N/A</v>
      </c>
      <c r="BS15" s="95" t="e">
        <f>IF(AF15=VLOOKUP($A15,Feature_List!$A$2:$AO$101,MATCH(BS$1,Feature_List!$A$1:$AO$1,0),FALSE),"OK","BAD")</f>
        <v>#N/A</v>
      </c>
      <c r="BT15" s="95" t="e">
        <f>IF(AG15=VLOOKUP($A15,Feature_List!$A$2:$AO$101,MATCH(BT$1,Feature_List!$A$1:$AO$1,0),FALSE),"OK","BAD")</f>
        <v>#N/A</v>
      </c>
      <c r="BU15" s="95" t="e">
        <f>IF(AH15=VLOOKUP($A15,Feature_List!$A$2:$AO$101,MATCH(BU$1,Feature_List!$A$1:$AO$1,0),FALSE),"OK","BAD")</f>
        <v>#N/A</v>
      </c>
      <c r="BV15" s="95" t="e">
        <f>IF(AI15=VLOOKUP($A15,Feature_List!$A$2:$AO$101,MATCH(BV$1,Feature_List!$A$1:$AO$1,0),FALSE),"OK","BAD")</f>
        <v>#N/A</v>
      </c>
      <c r="BW15" s="95" t="e">
        <f>IF(AJ15=VLOOKUP($A15,Feature_List!$A$2:$AO$101,MATCH(BW$1,Feature_List!$A$1:$AO$1,0),FALSE),"OK","BAD")</f>
        <v>#N/A</v>
      </c>
      <c r="BX15" s="95" t="e">
        <f>IF(AK15=VLOOKUP($A15,Feature_List!$A$2:$AO$101,MATCH(BX$1,Feature_List!$A$1:$AO$1,0),FALSE),"OK","BAD")</f>
        <v>#N/A</v>
      </c>
      <c r="BY15" s="95" t="e">
        <f>IF(AL15=VLOOKUP($A15,Feature_List!$A$2:$AO$101,MATCH(BY$1,Feature_List!$A$1:$AO$1,0),FALSE),"OK","BAD")</f>
        <v>#N/A</v>
      </c>
      <c r="BZ15" s="95" t="e">
        <f>IF(AM15=VLOOKUP($A15,Feature_List!$A$2:$AO$101,MATCH(BZ$1,Feature_List!$A$1:$AO$1,0),FALSE),"OK","BAD")</f>
        <v>#N/A</v>
      </c>
      <c r="CA15" s="95" t="e">
        <f>IF(AN15=VLOOKUP($A15,Feature_List!$A$2:$AO$101,MATCH(CA$1,Feature_List!$A$1:$AO$1,0),FALSE),"OK","BAD")</f>
        <v>#N/A</v>
      </c>
    </row>
    <row r="16" spans="1:79" ht="14.4" customHeight="1" x14ac:dyDescent="0.3">
      <c r="A16" s="70">
        <v>1001248</v>
      </c>
      <c r="B16" s="65" t="s">
        <v>919</v>
      </c>
      <c r="C16" s="98" t="s">
        <v>1145</v>
      </c>
      <c r="D16" s="65" t="s">
        <v>106</v>
      </c>
      <c r="E16" s="64">
        <v>35</v>
      </c>
      <c r="F16" s="64" t="s">
        <v>880</v>
      </c>
      <c r="G16" s="64" t="s">
        <v>1525</v>
      </c>
      <c r="H16" s="64" t="s">
        <v>1116</v>
      </c>
      <c r="I16" s="99" t="s">
        <v>851</v>
      </c>
      <c r="J16" s="65" t="s">
        <v>1412</v>
      </c>
      <c r="K16" s="65">
        <v>395610</v>
      </c>
      <c r="L16" s="62" t="s">
        <v>947</v>
      </c>
      <c r="M16" s="67" t="s">
        <v>555</v>
      </c>
      <c r="N16" s="67" t="s">
        <v>559</v>
      </c>
      <c r="O16" s="67">
        <v>3</v>
      </c>
      <c r="P16" s="66" t="s">
        <v>131</v>
      </c>
      <c r="Q16" s="63">
        <v>3</v>
      </c>
      <c r="R16" s="63">
        <v>0</v>
      </c>
      <c r="S16" s="63">
        <v>0</v>
      </c>
      <c r="T16" s="63">
        <v>0</v>
      </c>
      <c r="U16" s="63">
        <v>1</v>
      </c>
      <c r="V16" s="63">
        <v>0</v>
      </c>
      <c r="W16" s="63">
        <v>0</v>
      </c>
      <c r="X16" s="63">
        <v>0</v>
      </c>
      <c r="Y16" s="63">
        <v>0</v>
      </c>
      <c r="Z16" s="63">
        <v>0</v>
      </c>
      <c r="AA16" s="63">
        <v>0</v>
      </c>
      <c r="AB16" s="63">
        <v>2</v>
      </c>
      <c r="AC16" s="63">
        <v>32</v>
      </c>
      <c r="AD16" s="63">
        <v>0</v>
      </c>
      <c r="AE16" s="63">
        <v>0</v>
      </c>
      <c r="AF16" s="63">
        <v>0</v>
      </c>
      <c r="AG16" s="63">
        <v>0</v>
      </c>
      <c r="AH16" s="63">
        <v>0</v>
      </c>
      <c r="AI16" s="63">
        <v>0</v>
      </c>
      <c r="AJ16" s="63">
        <v>35</v>
      </c>
      <c r="AK16" s="63">
        <v>0</v>
      </c>
      <c r="AL16" s="63" t="s">
        <v>35</v>
      </c>
      <c r="AM16" s="63" t="s">
        <v>854</v>
      </c>
      <c r="AN16" s="220" t="s">
        <v>40</v>
      </c>
      <c r="AO16" s="224"/>
      <c r="AP16" s="95" t="e">
        <f>IF(C16=VLOOKUP($A16,Feature_List!$A$2:$AO$101,MATCH(AP$1,Feature_List!$A$1:$AO$1,0),FALSE),"OK","BAD")</f>
        <v>#N/A</v>
      </c>
      <c r="AQ16" s="95" t="e">
        <f>IF(D16=VLOOKUP($A16,Feature_List!$A$2:$AO$101,MATCH(AQ$1,Feature_List!$A$1:$AO$1,0),FALSE),"OK","BAD")</f>
        <v>#N/A</v>
      </c>
      <c r="AR16" s="95" t="e">
        <f>IF(E16=VLOOKUP($A16,Feature_List!$A$2:$AO$101,MATCH(AR$1,Feature_List!$A$1:$AO$1,0),FALSE),"OK","BAD")</f>
        <v>#N/A</v>
      </c>
      <c r="AS16" s="95" t="e">
        <f>IF(F16=VLOOKUP($A16,Feature_List!$A$2:$AO$101,MATCH(AS$1,Feature_List!$A$1:$AO$1,0),FALSE),"OK","BAD")</f>
        <v>#N/A</v>
      </c>
      <c r="AT16" s="95" t="s">
        <v>985</v>
      </c>
      <c r="AU16" s="95" t="s">
        <v>985</v>
      </c>
      <c r="AV16" s="95" t="e">
        <f>IF(I16=VLOOKUP($A16,Feature_List!$A$2:$AO$101,MATCH(AV$1,Feature_List!$A$1:$AO$1,0),FALSE),"OK","BAD")</f>
        <v>#N/A</v>
      </c>
      <c r="AW16" s="95" t="e">
        <f>IF(J16=VLOOKUP($A16,Feature_List!$A$2:$AO$101,MATCH(AW$1,Feature_List!$A$1:$AO$1,0),FALSE),"OK","BAD")</f>
        <v>#N/A</v>
      </c>
      <c r="AX16" s="95" t="e">
        <f>IF(K16=VLOOKUP($A16,Feature_List!$A$2:$AO$101,MATCH(AX$1,Feature_List!$A$1:$AO$1,0),FALSE),"OK","BAD")</f>
        <v>#N/A</v>
      </c>
      <c r="AY16" s="95" t="e">
        <f>IF(L16=VLOOKUP($A16,Feature_List!$A$2:$AO$101,MATCH(AY$1,Feature_List!$A$1:$AO$1,0),FALSE),"OK","BAD")</f>
        <v>#N/A</v>
      </c>
      <c r="AZ16" s="95" t="e">
        <f>IF(M16=VLOOKUP($A16,Feature_List!$A$2:$AO$101,MATCH(AZ$1,Feature_List!$A$1:$AO$1,0),FALSE),"OK","BAD")</f>
        <v>#N/A</v>
      </c>
      <c r="BA16" s="95" t="e">
        <f>IF(N16=VLOOKUP($A16,Feature_List!$A$2:$AO$101,MATCH(BA$1,Feature_List!$A$1:$AO$1,0),FALSE),"OK","BAD")</f>
        <v>#N/A</v>
      </c>
      <c r="BB16" s="95" t="e">
        <f>IF(O16=VLOOKUP($A16,Feature_List!$A$2:$AO$101,MATCH(BB$1,Feature_List!$A$1:$AO$1,0),FALSE),"OK","BAD")</f>
        <v>#N/A</v>
      </c>
      <c r="BC16" s="95" t="e">
        <f>IF(P16=VLOOKUP($A16,Feature_List!$A$2:$AO$101,MATCH(BC$1,Feature_List!$A$1:$AO$1,0),FALSE),"OK","BAD")</f>
        <v>#N/A</v>
      </c>
      <c r="BD16" s="95" t="e">
        <f>IF(Q16=VLOOKUP($A16,Feature_List!$A$2:$AO$101,MATCH(BD$1,Feature_List!$A$1:$AO$1,0),FALSE),"OK","BAD")</f>
        <v>#N/A</v>
      </c>
      <c r="BE16" s="95" t="e">
        <f>IF(R16=VLOOKUP($A16,Feature_List!$A$2:$AO$101,MATCH(BE$1,Feature_List!$A$1:$AO$1,0),FALSE),"OK","BAD")</f>
        <v>#N/A</v>
      </c>
      <c r="BF16" s="95" t="e">
        <f>IF(S16=VLOOKUP($A16,Feature_List!$A$2:$AO$101,MATCH(BF$1,Feature_List!$A$1:$AO$1,0),FALSE),"OK","BAD")</f>
        <v>#N/A</v>
      </c>
      <c r="BG16" s="95" t="e">
        <f>IF(T16=VLOOKUP($A16,Feature_List!$A$2:$AO$101,MATCH(BG$1,Feature_List!$A$1:$AO$1,0),FALSE),"OK","BAD")</f>
        <v>#N/A</v>
      </c>
      <c r="BH16" s="95" t="e">
        <f>IF(U16=VLOOKUP($A16,Feature_List!$A$2:$AO$101,MATCH(BH$1,Feature_List!$A$1:$AO$1,0),FALSE),"OK","BAD")</f>
        <v>#N/A</v>
      </c>
      <c r="BI16" s="95" t="e">
        <f>IF(V16=VLOOKUP($A16,Feature_List!$A$2:$AO$101,MATCH(BI$1,Feature_List!$A$1:$AO$1,0),FALSE),"OK","BAD")</f>
        <v>#N/A</v>
      </c>
      <c r="BJ16" s="95" t="e">
        <f>IF(W16=VLOOKUP($A16,Feature_List!$A$2:$AO$101,MATCH(BJ$1,Feature_List!$A$1:$AO$1,0),FALSE),"OK","BAD")</f>
        <v>#N/A</v>
      </c>
      <c r="BK16" s="95" t="e">
        <f>IF(X16=VLOOKUP($A16,Feature_List!$A$2:$AO$101,MATCH(BK$1,Feature_List!$A$1:$AO$1,0),FALSE),"OK","BAD")</f>
        <v>#N/A</v>
      </c>
      <c r="BL16" s="95" t="e">
        <f>IF(Y16=VLOOKUP($A16,Feature_List!$A$2:$AO$101,MATCH(BL$1,Feature_List!$A$1:$AO$1,0),FALSE),"OK","BAD")</f>
        <v>#N/A</v>
      </c>
      <c r="BM16" s="95" t="e">
        <f>IF(Z16=VLOOKUP($A16,Feature_List!$A$2:$AO$101,MATCH(BM$1,Feature_List!$A$1:$AO$1,0),FALSE),"OK","BAD")</f>
        <v>#N/A</v>
      </c>
      <c r="BN16" s="95" t="e">
        <f>IF(AA16=VLOOKUP($A16,Feature_List!$A$2:$AO$101,MATCH(BN$1,Feature_List!$A$1:$AO$1,0),FALSE),"OK","BAD")</f>
        <v>#N/A</v>
      </c>
      <c r="BO16" s="95" t="e">
        <f>IF(AB16=VLOOKUP($A16,Feature_List!$A$2:$AO$101,MATCH(BO$1,Feature_List!$A$1:$AO$1,0),FALSE),"OK","BAD")</f>
        <v>#N/A</v>
      </c>
      <c r="BP16" s="95" t="e">
        <f>IF(AC16=VLOOKUP($A16,Feature_List!$A$2:$AO$101,MATCH(BP$1,Feature_List!$A$1:$AO$1,0),FALSE),"OK","BAD")</f>
        <v>#N/A</v>
      </c>
      <c r="BQ16" s="95" t="e">
        <f>IF(AD16=VLOOKUP($A16,Feature_List!$A$2:$AO$101,MATCH(BQ$1,Feature_List!$A$1:$AO$1,0),FALSE),"OK","BAD")</f>
        <v>#N/A</v>
      </c>
      <c r="BR16" s="95" t="e">
        <f>IF(AE16=VLOOKUP($A16,Feature_List!$A$2:$AO$101,MATCH(BR$1,Feature_List!$A$1:$AO$1,0),FALSE),"OK","BAD")</f>
        <v>#N/A</v>
      </c>
      <c r="BS16" s="95" t="e">
        <f>IF(AF16=VLOOKUP($A16,Feature_List!$A$2:$AO$101,MATCH(BS$1,Feature_List!$A$1:$AO$1,0),FALSE),"OK","BAD")</f>
        <v>#N/A</v>
      </c>
      <c r="BT16" s="95" t="e">
        <f>IF(AG16=VLOOKUP($A16,Feature_List!$A$2:$AO$101,MATCH(BT$1,Feature_List!$A$1:$AO$1,0),FALSE),"OK","BAD")</f>
        <v>#N/A</v>
      </c>
      <c r="BU16" s="95" t="e">
        <f>IF(AH16=VLOOKUP($A16,Feature_List!$A$2:$AO$101,MATCH(BU$1,Feature_List!$A$1:$AO$1,0),FALSE),"OK","BAD")</f>
        <v>#N/A</v>
      </c>
      <c r="BV16" s="95" t="e">
        <f>IF(AI16=VLOOKUP($A16,Feature_List!$A$2:$AO$101,MATCH(BV$1,Feature_List!$A$1:$AO$1,0),FALSE),"OK","BAD")</f>
        <v>#N/A</v>
      </c>
      <c r="BW16" s="95" t="e">
        <f>IF(AJ16=VLOOKUP($A16,Feature_List!$A$2:$AO$101,MATCH(BW$1,Feature_List!$A$1:$AO$1,0),FALSE),"OK","BAD")</f>
        <v>#N/A</v>
      </c>
      <c r="BX16" s="95" t="e">
        <f>IF(AK16=VLOOKUP($A16,Feature_List!$A$2:$AO$101,MATCH(BX$1,Feature_List!$A$1:$AO$1,0),FALSE),"OK","BAD")</f>
        <v>#N/A</v>
      </c>
      <c r="BY16" s="95" t="e">
        <f>IF(AL16=VLOOKUP($A16,Feature_List!$A$2:$AO$101,MATCH(BY$1,Feature_List!$A$1:$AO$1,0),FALSE),"OK","BAD")</f>
        <v>#N/A</v>
      </c>
      <c r="BZ16" s="95" t="e">
        <f>IF(AM16=VLOOKUP($A16,Feature_List!$A$2:$AO$101,MATCH(BZ$1,Feature_List!$A$1:$AO$1,0),FALSE),"OK","BAD")</f>
        <v>#N/A</v>
      </c>
      <c r="CA16" s="95" t="e">
        <f>IF(AN16=VLOOKUP($A16,Feature_List!$A$2:$AO$101,MATCH(CA$1,Feature_List!$A$1:$AO$1,0),FALSE),"OK","BAD")</f>
        <v>#N/A</v>
      </c>
    </row>
    <row r="17" spans="1:79" ht="14.4" customHeight="1" x14ac:dyDescent="0.3">
      <c r="A17" s="34">
        <v>1000847</v>
      </c>
      <c r="B17" s="34" t="s">
        <v>1164</v>
      </c>
      <c r="C17" s="34" t="s">
        <v>1531</v>
      </c>
      <c r="D17" s="34" t="s">
        <v>28</v>
      </c>
      <c r="E17" s="54">
        <v>9</v>
      </c>
      <c r="F17" s="34" t="s">
        <v>41</v>
      </c>
      <c r="G17" s="34" t="s">
        <v>1162</v>
      </c>
      <c r="H17" s="34" t="s">
        <v>981</v>
      </c>
      <c r="I17" s="34" t="s">
        <v>38</v>
      </c>
      <c r="J17" s="34" t="s">
        <v>1414</v>
      </c>
      <c r="K17" s="34">
        <v>0</v>
      </c>
      <c r="L17" s="96" t="s">
        <v>18</v>
      </c>
      <c r="M17" s="34" t="s">
        <v>42</v>
      </c>
      <c r="N17" s="34" t="s">
        <v>46</v>
      </c>
      <c r="O17" s="34">
        <v>0</v>
      </c>
      <c r="P17" s="34" t="s">
        <v>131</v>
      </c>
      <c r="Q17" s="54">
        <v>1</v>
      </c>
      <c r="R17" s="34">
        <v>0</v>
      </c>
      <c r="S17" s="54">
        <v>0</v>
      </c>
      <c r="T17" s="54">
        <v>0</v>
      </c>
      <c r="U17" s="54">
        <v>0</v>
      </c>
      <c r="V17" s="54">
        <v>0</v>
      </c>
      <c r="W17" s="54">
        <v>0</v>
      </c>
      <c r="X17" s="54">
        <v>0</v>
      </c>
      <c r="Y17" s="54">
        <v>0</v>
      </c>
      <c r="Z17" s="54">
        <v>0</v>
      </c>
      <c r="AA17" s="54">
        <v>0</v>
      </c>
      <c r="AB17" s="54">
        <v>0</v>
      </c>
      <c r="AC17" s="54">
        <v>0</v>
      </c>
      <c r="AD17" s="54">
        <v>0</v>
      </c>
      <c r="AE17" s="54">
        <v>9</v>
      </c>
      <c r="AF17" s="54">
        <v>0</v>
      </c>
      <c r="AG17" s="54">
        <v>0</v>
      </c>
      <c r="AH17" s="54">
        <v>0</v>
      </c>
      <c r="AI17" s="54">
        <v>0</v>
      </c>
      <c r="AJ17" s="54">
        <v>9</v>
      </c>
      <c r="AK17" s="54">
        <v>0</v>
      </c>
      <c r="AL17" s="54" t="s">
        <v>35</v>
      </c>
      <c r="AM17" s="54" t="s">
        <v>36</v>
      </c>
      <c r="AN17" s="221" t="s">
        <v>40</v>
      </c>
      <c r="AO17" s="224"/>
      <c r="AP17" s="95" t="e">
        <f>IF(C17=VLOOKUP($A17,Feature_List!$A$2:$AO$101,MATCH(AP$1,Feature_List!$A$1:$AO$1,0),FALSE),"OK","BAD")</f>
        <v>#N/A</v>
      </c>
      <c r="AQ17" s="95" t="e">
        <f>IF(D17=VLOOKUP($A17,Feature_List!$A$2:$AO$101,MATCH(AQ$1,Feature_List!$A$1:$AO$1,0),FALSE),"OK","BAD")</f>
        <v>#N/A</v>
      </c>
      <c r="AR17" s="95" t="e">
        <f>IF(E17=VLOOKUP($A17,Feature_List!$A$2:$AO$101,MATCH(AR$1,Feature_List!$A$1:$AO$1,0),FALSE),"OK","BAD")</f>
        <v>#N/A</v>
      </c>
      <c r="AS17" s="95" t="e">
        <f>IF(F17=VLOOKUP($A17,Feature_List!$A$2:$AO$101,MATCH(AS$1,Feature_List!$A$1:$AO$1,0),FALSE),"OK","BAD")</f>
        <v>#N/A</v>
      </c>
      <c r="AT17" s="95" t="s">
        <v>985</v>
      </c>
      <c r="AU17" s="95" t="s">
        <v>985</v>
      </c>
      <c r="AV17" s="95" t="e">
        <f>IF(I17=VLOOKUP($A17,Feature_List!$A$2:$AO$101,MATCH(AV$1,Feature_List!$A$1:$AO$1,0),FALSE),"OK","BAD")</f>
        <v>#N/A</v>
      </c>
      <c r="AW17" s="95" t="e">
        <f>IF(J17=VLOOKUP($A17,Feature_List!$A$2:$AO$101,MATCH(AW$1,Feature_List!$A$1:$AO$1,0),FALSE),"OK","BAD")</f>
        <v>#N/A</v>
      </c>
      <c r="AX17" s="95" t="e">
        <f>IF(K17=VLOOKUP($A17,Feature_List!$A$2:$AO$101,MATCH(AX$1,Feature_List!$A$1:$AO$1,0),FALSE),"OK","BAD")</f>
        <v>#N/A</v>
      </c>
      <c r="AY17" s="95" t="e">
        <f>IF(L17=VLOOKUP($A17,Feature_List!$A$2:$AO$101,MATCH(AY$1,Feature_List!$A$1:$AO$1,0),FALSE),"OK","BAD")</f>
        <v>#N/A</v>
      </c>
      <c r="AZ17" s="95" t="e">
        <f>IF(M17=VLOOKUP($A17,Feature_List!$A$2:$AO$101,MATCH(AZ$1,Feature_List!$A$1:$AO$1,0),FALSE),"OK","BAD")</f>
        <v>#N/A</v>
      </c>
      <c r="BA17" s="95" t="e">
        <f>IF(N17=VLOOKUP($A17,Feature_List!$A$2:$AO$101,MATCH(BA$1,Feature_List!$A$1:$AO$1,0),FALSE),"OK","BAD")</f>
        <v>#N/A</v>
      </c>
      <c r="BB17" s="95" t="e">
        <f>IF(O17=VLOOKUP($A17,Feature_List!$A$2:$AO$101,MATCH(BB$1,Feature_List!$A$1:$AO$1,0),FALSE),"OK","BAD")</f>
        <v>#N/A</v>
      </c>
      <c r="BC17" s="95" t="e">
        <f>IF(P17=VLOOKUP($A17,Feature_List!$A$2:$AO$101,MATCH(BC$1,Feature_List!$A$1:$AO$1,0),FALSE),"OK","BAD")</f>
        <v>#N/A</v>
      </c>
      <c r="BD17" s="95" t="e">
        <f>IF(Q17=VLOOKUP($A17,Feature_List!$A$2:$AO$101,MATCH(BD$1,Feature_List!$A$1:$AO$1,0),FALSE),"OK","BAD")</f>
        <v>#N/A</v>
      </c>
      <c r="BE17" s="95" t="e">
        <f>IF(R17=VLOOKUP($A17,Feature_List!$A$2:$AO$101,MATCH(BE$1,Feature_List!$A$1:$AO$1,0),FALSE),"OK","BAD")</f>
        <v>#N/A</v>
      </c>
      <c r="BF17" s="95" t="e">
        <f>IF(S17=VLOOKUP($A17,Feature_List!$A$2:$AO$101,MATCH(BF$1,Feature_List!$A$1:$AO$1,0),FALSE),"OK","BAD")</f>
        <v>#N/A</v>
      </c>
      <c r="BG17" s="95" t="e">
        <f>IF(T17=VLOOKUP($A17,Feature_List!$A$2:$AO$101,MATCH(BG$1,Feature_List!$A$1:$AO$1,0),FALSE),"OK","BAD")</f>
        <v>#N/A</v>
      </c>
      <c r="BH17" s="95" t="e">
        <f>IF(U17=VLOOKUP($A17,Feature_List!$A$2:$AO$101,MATCH(BH$1,Feature_List!$A$1:$AO$1,0),FALSE),"OK","BAD")</f>
        <v>#N/A</v>
      </c>
      <c r="BI17" s="95" t="e">
        <f>IF(V17=VLOOKUP($A17,Feature_List!$A$2:$AO$101,MATCH(BI$1,Feature_List!$A$1:$AO$1,0),FALSE),"OK","BAD")</f>
        <v>#N/A</v>
      </c>
      <c r="BJ17" s="95" t="e">
        <f>IF(W17=VLOOKUP($A17,Feature_List!$A$2:$AO$101,MATCH(BJ$1,Feature_List!$A$1:$AO$1,0),FALSE),"OK","BAD")</f>
        <v>#N/A</v>
      </c>
      <c r="BK17" s="95" t="e">
        <f>IF(X17=VLOOKUP($A17,Feature_List!$A$2:$AO$101,MATCH(BK$1,Feature_List!$A$1:$AO$1,0),FALSE),"OK","BAD")</f>
        <v>#N/A</v>
      </c>
      <c r="BL17" s="95" t="e">
        <f>IF(Y17=VLOOKUP($A17,Feature_List!$A$2:$AO$101,MATCH(BL$1,Feature_List!$A$1:$AO$1,0),FALSE),"OK","BAD")</f>
        <v>#N/A</v>
      </c>
      <c r="BM17" s="95" t="e">
        <f>IF(Z17=VLOOKUP($A17,Feature_List!$A$2:$AO$101,MATCH(BM$1,Feature_List!$A$1:$AO$1,0),FALSE),"OK","BAD")</f>
        <v>#N/A</v>
      </c>
      <c r="BN17" s="95" t="e">
        <f>IF(AA17=VLOOKUP($A17,Feature_List!$A$2:$AO$101,MATCH(BN$1,Feature_List!$A$1:$AO$1,0),FALSE),"OK","BAD")</f>
        <v>#N/A</v>
      </c>
      <c r="BO17" s="95" t="e">
        <f>IF(AB17=VLOOKUP($A17,Feature_List!$A$2:$AO$101,MATCH(BO$1,Feature_List!$A$1:$AO$1,0),FALSE),"OK","BAD")</f>
        <v>#N/A</v>
      </c>
      <c r="BP17" s="95" t="e">
        <f>IF(AC17=VLOOKUP($A17,Feature_List!$A$2:$AO$101,MATCH(BP$1,Feature_List!$A$1:$AO$1,0),FALSE),"OK","BAD")</f>
        <v>#N/A</v>
      </c>
      <c r="BQ17" s="95" t="e">
        <f>IF(AD17=VLOOKUP($A17,Feature_List!$A$2:$AO$101,MATCH(BQ$1,Feature_List!$A$1:$AO$1,0),FALSE),"OK","BAD")</f>
        <v>#N/A</v>
      </c>
      <c r="BR17" s="95" t="e">
        <f>IF(AE17=VLOOKUP($A17,Feature_List!$A$2:$AO$101,MATCH(BR$1,Feature_List!$A$1:$AO$1,0),FALSE),"OK","BAD")</f>
        <v>#N/A</v>
      </c>
      <c r="BS17" s="95" t="e">
        <f>IF(AF17=VLOOKUP($A17,Feature_List!$A$2:$AO$101,MATCH(BS$1,Feature_List!$A$1:$AO$1,0),FALSE),"OK","BAD")</f>
        <v>#N/A</v>
      </c>
      <c r="BT17" s="95" t="e">
        <f>IF(AG17=VLOOKUP($A17,Feature_List!$A$2:$AO$101,MATCH(BT$1,Feature_List!$A$1:$AO$1,0),FALSE),"OK","BAD")</f>
        <v>#N/A</v>
      </c>
      <c r="BU17" s="95" t="e">
        <f>IF(AH17=VLOOKUP($A17,Feature_List!$A$2:$AO$101,MATCH(BU$1,Feature_List!$A$1:$AO$1,0),FALSE),"OK","BAD")</f>
        <v>#N/A</v>
      </c>
      <c r="BV17" s="95" t="e">
        <f>IF(AI17=VLOOKUP($A17,Feature_List!$A$2:$AO$101,MATCH(BV$1,Feature_List!$A$1:$AO$1,0),FALSE),"OK","BAD")</f>
        <v>#N/A</v>
      </c>
      <c r="BW17" s="95" t="e">
        <f>IF(AJ17=VLOOKUP($A17,Feature_List!$A$2:$AO$101,MATCH(BW$1,Feature_List!$A$1:$AO$1,0),FALSE),"OK","BAD")</f>
        <v>#N/A</v>
      </c>
      <c r="BX17" s="95" t="e">
        <f>IF(AK17=VLOOKUP($A17,Feature_List!$A$2:$AO$101,MATCH(BX$1,Feature_List!$A$1:$AO$1,0),FALSE),"OK","BAD")</f>
        <v>#N/A</v>
      </c>
      <c r="BY17" s="95" t="e">
        <f>IF(AL17=VLOOKUP($A17,Feature_List!$A$2:$AO$101,MATCH(BY$1,Feature_List!$A$1:$AO$1,0),FALSE),"OK","BAD")</f>
        <v>#N/A</v>
      </c>
      <c r="BZ17" s="95" t="e">
        <f>IF(AM17=VLOOKUP($A17,Feature_List!$A$2:$AO$101,MATCH(BZ$1,Feature_List!$A$1:$AO$1,0),FALSE),"OK","BAD")</f>
        <v>#N/A</v>
      </c>
      <c r="CA17" s="95" t="e">
        <f>IF(AN17=VLOOKUP($A17,Feature_List!$A$2:$AO$101,MATCH(CA$1,Feature_List!$A$1:$AO$1,0),FALSE),"OK","BAD")</f>
        <v>#N/A</v>
      </c>
    </row>
    <row r="18" spans="1:79" ht="14.4" customHeight="1" x14ac:dyDescent="0.3">
      <c r="A18" s="70">
        <v>1000204</v>
      </c>
      <c r="B18" s="65" t="s">
        <v>1159</v>
      </c>
      <c r="C18" s="98" t="s">
        <v>1145</v>
      </c>
      <c r="D18" s="65" t="s">
        <v>28</v>
      </c>
      <c r="E18" s="64">
        <v>90</v>
      </c>
      <c r="F18" s="64" t="s">
        <v>879</v>
      </c>
      <c r="G18" s="64" t="s">
        <v>1467</v>
      </c>
      <c r="H18" s="64" t="s">
        <v>1463</v>
      </c>
      <c r="I18" s="99" t="s">
        <v>38</v>
      </c>
      <c r="J18" s="64" t="s">
        <v>1412</v>
      </c>
      <c r="K18" s="64">
        <v>0</v>
      </c>
      <c r="L18" s="62" t="s">
        <v>948</v>
      </c>
      <c r="M18" s="67" t="s">
        <v>42</v>
      </c>
      <c r="N18" s="67" t="s">
        <v>43</v>
      </c>
      <c r="O18" s="67">
        <v>0</v>
      </c>
      <c r="P18" s="66" t="s">
        <v>131</v>
      </c>
      <c r="Q18" s="63">
        <v>2</v>
      </c>
      <c r="R18" s="63">
        <v>0</v>
      </c>
      <c r="S18" s="63">
        <v>0</v>
      </c>
      <c r="T18" s="63">
        <v>0</v>
      </c>
      <c r="U18" s="63">
        <v>0</v>
      </c>
      <c r="V18" s="63">
        <v>5</v>
      </c>
      <c r="W18" s="63">
        <v>0</v>
      </c>
      <c r="X18" s="63">
        <v>0</v>
      </c>
      <c r="Y18" s="63">
        <v>0</v>
      </c>
      <c r="Z18" s="63">
        <v>0</v>
      </c>
      <c r="AA18" s="63">
        <v>85</v>
      </c>
      <c r="AB18" s="63">
        <v>0</v>
      </c>
      <c r="AC18" s="63">
        <v>0</v>
      </c>
      <c r="AD18" s="63">
        <v>0</v>
      </c>
      <c r="AE18" s="63">
        <v>0</v>
      </c>
      <c r="AF18" s="63">
        <v>0</v>
      </c>
      <c r="AG18" s="63">
        <v>0</v>
      </c>
      <c r="AH18" s="63">
        <v>0</v>
      </c>
      <c r="AI18" s="63">
        <v>0</v>
      </c>
      <c r="AJ18" s="63">
        <v>90</v>
      </c>
      <c r="AK18" s="63">
        <v>0</v>
      </c>
      <c r="AL18" s="63" t="s">
        <v>35</v>
      </c>
      <c r="AM18" s="63" t="s">
        <v>36</v>
      </c>
      <c r="AN18" s="220" t="s">
        <v>40</v>
      </c>
      <c r="AO18" s="224"/>
      <c r="AP18" s="95" t="e">
        <f>IF(C18=VLOOKUP($A18,Feature_List!$A$2:$AO$101,MATCH(AP$1,Feature_List!$A$1:$AO$1,0),FALSE),"OK","BAD")</f>
        <v>#N/A</v>
      </c>
      <c r="AQ18" s="95" t="e">
        <f>IF(D18=VLOOKUP($A18,Feature_List!$A$2:$AO$101,MATCH(AQ$1,Feature_List!$A$1:$AO$1,0),FALSE),"OK","BAD")</f>
        <v>#N/A</v>
      </c>
      <c r="AR18" s="95" t="e">
        <f>IF(E18=VLOOKUP($A18,Feature_List!$A$2:$AO$101,MATCH(AR$1,Feature_List!$A$1:$AO$1,0),FALSE),"OK","BAD")</f>
        <v>#N/A</v>
      </c>
      <c r="AS18" s="95" t="e">
        <f>IF(F18=VLOOKUP($A18,Feature_List!$A$2:$AO$101,MATCH(AS$1,Feature_List!$A$1:$AO$1,0),FALSE),"OK","BAD")</f>
        <v>#N/A</v>
      </c>
      <c r="AT18" s="95" t="s">
        <v>985</v>
      </c>
      <c r="AU18" s="95" t="s">
        <v>985</v>
      </c>
      <c r="AV18" s="95" t="e">
        <f>IF(I18=VLOOKUP($A18,Feature_List!$A$2:$AO$101,MATCH(AV$1,Feature_List!$A$1:$AO$1,0),FALSE),"OK","BAD")</f>
        <v>#N/A</v>
      </c>
      <c r="AW18" s="95" t="e">
        <f>IF(J18=VLOOKUP($A18,Feature_List!$A$2:$AO$101,MATCH(AW$1,Feature_List!$A$1:$AO$1,0),FALSE),"OK","BAD")</f>
        <v>#N/A</v>
      </c>
      <c r="AX18" s="95" t="e">
        <f>IF(K18=VLOOKUP($A18,Feature_List!$A$2:$AO$101,MATCH(AX$1,Feature_List!$A$1:$AO$1,0),FALSE),"OK","BAD")</f>
        <v>#N/A</v>
      </c>
      <c r="AY18" s="95" t="e">
        <f>IF(L18=VLOOKUP($A18,Feature_List!$A$2:$AO$101,MATCH(AY$1,Feature_List!$A$1:$AO$1,0),FALSE),"OK","BAD")</f>
        <v>#N/A</v>
      </c>
      <c r="AZ18" s="95" t="e">
        <f>IF(M18=VLOOKUP($A18,Feature_List!$A$2:$AO$101,MATCH(AZ$1,Feature_List!$A$1:$AO$1,0),FALSE),"OK","BAD")</f>
        <v>#N/A</v>
      </c>
      <c r="BA18" s="95" t="e">
        <f>IF(N18=VLOOKUP($A18,Feature_List!$A$2:$AO$101,MATCH(BA$1,Feature_List!$A$1:$AO$1,0),FALSE),"OK","BAD")</f>
        <v>#N/A</v>
      </c>
      <c r="BB18" s="95" t="e">
        <f>IF(O18=VLOOKUP($A18,Feature_List!$A$2:$AO$101,MATCH(BB$1,Feature_List!$A$1:$AO$1,0),FALSE),"OK","BAD")</f>
        <v>#N/A</v>
      </c>
      <c r="BC18" s="95" t="e">
        <f>IF(P18=VLOOKUP($A18,Feature_List!$A$2:$AO$101,MATCH(BC$1,Feature_List!$A$1:$AO$1,0),FALSE),"OK","BAD")</f>
        <v>#N/A</v>
      </c>
      <c r="BD18" s="95" t="e">
        <f>IF(Q18=VLOOKUP($A18,Feature_List!$A$2:$AO$101,MATCH(BD$1,Feature_List!$A$1:$AO$1,0),FALSE),"OK","BAD")</f>
        <v>#N/A</v>
      </c>
      <c r="BE18" s="95" t="e">
        <f>IF(R18=VLOOKUP($A18,Feature_List!$A$2:$AO$101,MATCH(BE$1,Feature_List!$A$1:$AO$1,0),FALSE),"OK","BAD")</f>
        <v>#N/A</v>
      </c>
      <c r="BF18" s="95" t="e">
        <f>IF(S18=VLOOKUP($A18,Feature_List!$A$2:$AO$101,MATCH(BF$1,Feature_List!$A$1:$AO$1,0),FALSE),"OK","BAD")</f>
        <v>#N/A</v>
      </c>
      <c r="BG18" s="95" t="e">
        <f>IF(T18=VLOOKUP($A18,Feature_List!$A$2:$AO$101,MATCH(BG$1,Feature_List!$A$1:$AO$1,0),FALSE),"OK","BAD")</f>
        <v>#N/A</v>
      </c>
      <c r="BH18" s="95" t="e">
        <f>IF(U18=VLOOKUP($A18,Feature_List!$A$2:$AO$101,MATCH(BH$1,Feature_List!$A$1:$AO$1,0),FALSE),"OK","BAD")</f>
        <v>#N/A</v>
      </c>
      <c r="BI18" s="95" t="e">
        <f>IF(V18=VLOOKUP($A18,Feature_List!$A$2:$AO$101,MATCH(BI$1,Feature_List!$A$1:$AO$1,0),FALSE),"OK","BAD")</f>
        <v>#N/A</v>
      </c>
      <c r="BJ18" s="95" t="e">
        <f>IF(W18=VLOOKUP($A18,Feature_List!$A$2:$AO$101,MATCH(BJ$1,Feature_List!$A$1:$AO$1,0),FALSE),"OK","BAD")</f>
        <v>#N/A</v>
      </c>
      <c r="BK18" s="95" t="e">
        <f>IF(X18=VLOOKUP($A18,Feature_List!$A$2:$AO$101,MATCH(BK$1,Feature_List!$A$1:$AO$1,0),FALSE),"OK","BAD")</f>
        <v>#N/A</v>
      </c>
      <c r="BL18" s="95" t="e">
        <f>IF(Y18=VLOOKUP($A18,Feature_List!$A$2:$AO$101,MATCH(BL$1,Feature_List!$A$1:$AO$1,0),FALSE),"OK","BAD")</f>
        <v>#N/A</v>
      </c>
      <c r="BM18" s="95" t="e">
        <f>IF(Z18=VLOOKUP($A18,Feature_List!$A$2:$AO$101,MATCH(BM$1,Feature_List!$A$1:$AO$1,0),FALSE),"OK","BAD")</f>
        <v>#N/A</v>
      </c>
      <c r="BN18" s="95" t="e">
        <f>IF(AA18=VLOOKUP($A18,Feature_List!$A$2:$AO$101,MATCH(BN$1,Feature_List!$A$1:$AO$1,0),FALSE),"OK","BAD")</f>
        <v>#N/A</v>
      </c>
      <c r="BO18" s="95" t="e">
        <f>IF(AB18=VLOOKUP($A18,Feature_List!$A$2:$AO$101,MATCH(BO$1,Feature_List!$A$1:$AO$1,0),FALSE),"OK","BAD")</f>
        <v>#N/A</v>
      </c>
      <c r="BP18" s="95" t="e">
        <f>IF(AC18=VLOOKUP($A18,Feature_List!$A$2:$AO$101,MATCH(BP$1,Feature_List!$A$1:$AO$1,0),FALSE),"OK","BAD")</f>
        <v>#N/A</v>
      </c>
      <c r="BQ18" s="95" t="e">
        <f>IF(AD18=VLOOKUP($A18,Feature_List!$A$2:$AO$101,MATCH(BQ$1,Feature_List!$A$1:$AO$1,0),FALSE),"OK","BAD")</f>
        <v>#N/A</v>
      </c>
      <c r="BR18" s="95" t="e">
        <f>IF(AE18=VLOOKUP($A18,Feature_List!$A$2:$AO$101,MATCH(BR$1,Feature_List!$A$1:$AO$1,0),FALSE),"OK","BAD")</f>
        <v>#N/A</v>
      </c>
      <c r="BS18" s="95" t="e">
        <f>IF(AF18=VLOOKUP($A18,Feature_List!$A$2:$AO$101,MATCH(BS$1,Feature_List!$A$1:$AO$1,0),FALSE),"OK","BAD")</f>
        <v>#N/A</v>
      </c>
      <c r="BT18" s="95" t="e">
        <f>IF(AG18=VLOOKUP($A18,Feature_List!$A$2:$AO$101,MATCH(BT$1,Feature_List!$A$1:$AO$1,0),FALSE),"OK","BAD")</f>
        <v>#N/A</v>
      </c>
      <c r="BU18" s="95" t="e">
        <f>IF(AH18=VLOOKUP($A18,Feature_List!$A$2:$AO$101,MATCH(BU$1,Feature_List!$A$1:$AO$1,0),FALSE),"OK","BAD")</f>
        <v>#N/A</v>
      </c>
      <c r="BV18" s="95" t="e">
        <f>IF(AI18=VLOOKUP($A18,Feature_List!$A$2:$AO$101,MATCH(BV$1,Feature_List!$A$1:$AO$1,0),FALSE),"OK","BAD")</f>
        <v>#N/A</v>
      </c>
      <c r="BW18" s="95" t="e">
        <f>IF(AJ18=VLOOKUP($A18,Feature_List!$A$2:$AO$101,MATCH(BW$1,Feature_List!$A$1:$AO$1,0),FALSE),"OK","BAD")</f>
        <v>#N/A</v>
      </c>
      <c r="BX18" s="95" t="e">
        <f>IF(AK18=VLOOKUP($A18,Feature_List!$A$2:$AO$101,MATCH(BX$1,Feature_List!$A$1:$AO$1,0),FALSE),"OK","BAD")</f>
        <v>#N/A</v>
      </c>
      <c r="BY18" s="95" t="e">
        <f>IF(AL18=VLOOKUP($A18,Feature_List!$A$2:$AO$101,MATCH(BY$1,Feature_List!$A$1:$AO$1,0),FALSE),"OK","BAD")</f>
        <v>#N/A</v>
      </c>
      <c r="BZ18" s="95" t="e">
        <f>IF(AM18=VLOOKUP($A18,Feature_List!$A$2:$AO$101,MATCH(BZ$1,Feature_List!$A$1:$AO$1,0),FALSE),"OK","BAD")</f>
        <v>#N/A</v>
      </c>
      <c r="CA18" s="95" t="e">
        <f>IF(AN18=VLOOKUP($A18,Feature_List!$A$2:$AO$101,MATCH(CA$1,Feature_List!$A$1:$AO$1,0),FALSE),"OK","BAD")</f>
        <v>#N/A</v>
      </c>
    </row>
    <row r="19" spans="1:79" ht="14.4" customHeight="1" x14ac:dyDescent="0.3">
      <c r="A19" s="70">
        <v>396835</v>
      </c>
      <c r="B19" s="65" t="s">
        <v>1157</v>
      </c>
      <c r="C19" s="98" t="s">
        <v>1143</v>
      </c>
      <c r="D19" s="65" t="s">
        <v>106</v>
      </c>
      <c r="E19" s="64">
        <v>16</v>
      </c>
      <c r="F19" s="64" t="s">
        <v>879</v>
      </c>
      <c r="G19" s="64" t="s">
        <v>1596</v>
      </c>
      <c r="H19" s="64" t="s">
        <v>110</v>
      </c>
      <c r="I19" s="99" t="s">
        <v>38</v>
      </c>
      <c r="J19" s="64" t="s">
        <v>1412</v>
      </c>
      <c r="K19" s="64">
        <v>0</v>
      </c>
      <c r="L19" s="62" t="s">
        <v>946</v>
      </c>
      <c r="M19" s="67" t="s">
        <v>42</v>
      </c>
      <c r="N19" s="67" t="s">
        <v>44</v>
      </c>
      <c r="O19" s="67">
        <v>0</v>
      </c>
      <c r="P19" s="66" t="s">
        <v>1552</v>
      </c>
      <c r="Q19" s="63">
        <v>1</v>
      </c>
      <c r="R19" s="63">
        <v>6</v>
      </c>
      <c r="S19" s="63">
        <v>0</v>
      </c>
      <c r="T19" s="63">
        <v>0</v>
      </c>
      <c r="U19" s="63">
        <v>0</v>
      </c>
      <c r="V19" s="63">
        <v>0</v>
      </c>
      <c r="W19" s="63">
        <v>0</v>
      </c>
      <c r="X19" s="63">
        <v>0</v>
      </c>
      <c r="Y19" s="63">
        <v>10</v>
      </c>
      <c r="Z19" s="63">
        <v>0</v>
      </c>
      <c r="AA19" s="63">
        <v>0</v>
      </c>
      <c r="AB19" s="63">
        <v>0</v>
      </c>
      <c r="AC19" s="63">
        <v>0</v>
      </c>
      <c r="AD19" s="63">
        <v>0</v>
      </c>
      <c r="AE19" s="63">
        <v>0</v>
      </c>
      <c r="AF19" s="63">
        <v>0</v>
      </c>
      <c r="AG19" s="63">
        <v>0</v>
      </c>
      <c r="AH19" s="63">
        <v>0</v>
      </c>
      <c r="AI19" s="63">
        <v>0</v>
      </c>
      <c r="AJ19" s="63">
        <v>10</v>
      </c>
      <c r="AK19" s="63">
        <v>0</v>
      </c>
      <c r="AL19" s="63" t="s">
        <v>35</v>
      </c>
      <c r="AM19" s="63" t="s">
        <v>36</v>
      </c>
      <c r="AN19" s="220" t="s">
        <v>33</v>
      </c>
      <c r="AO19" s="224"/>
      <c r="AP19" s="95" t="e">
        <f>IF(C19=VLOOKUP($A19,Feature_List!$A$2:$AO$101,MATCH(AP$1,Feature_List!$A$1:$AO$1,0),FALSE),"OK","BAD")</f>
        <v>#N/A</v>
      </c>
      <c r="AQ19" s="95" t="e">
        <f>IF(D19=VLOOKUP($A19,Feature_List!$A$2:$AO$101,MATCH(AQ$1,Feature_List!$A$1:$AO$1,0),FALSE),"OK","BAD")</f>
        <v>#N/A</v>
      </c>
      <c r="AR19" s="95" t="e">
        <f>IF(E19=VLOOKUP($A19,Feature_List!$A$2:$AO$101,MATCH(AR$1,Feature_List!$A$1:$AO$1,0),FALSE),"OK","BAD")</f>
        <v>#N/A</v>
      </c>
      <c r="AS19" s="95" t="e">
        <f>IF(F19=VLOOKUP($A19,Feature_List!$A$2:$AO$101,MATCH(AS$1,Feature_List!$A$1:$AO$1,0),FALSE),"OK","BAD")</f>
        <v>#N/A</v>
      </c>
      <c r="AT19" s="95" t="s">
        <v>985</v>
      </c>
      <c r="AU19" s="95" t="s">
        <v>985</v>
      </c>
      <c r="AV19" s="95" t="e">
        <f>IF(I19=VLOOKUP($A19,Feature_List!$A$2:$AO$101,MATCH(AV$1,Feature_List!$A$1:$AO$1,0),FALSE),"OK","BAD")</f>
        <v>#N/A</v>
      </c>
      <c r="AW19" s="95" t="e">
        <f>IF(J19=VLOOKUP($A19,Feature_List!$A$2:$AO$101,MATCH(AW$1,Feature_List!$A$1:$AO$1,0),FALSE),"OK","BAD")</f>
        <v>#N/A</v>
      </c>
      <c r="AX19" s="95" t="e">
        <f>IF(K19=VLOOKUP($A19,Feature_List!$A$2:$AO$101,MATCH(AX$1,Feature_List!$A$1:$AO$1,0),FALSE),"OK","BAD")</f>
        <v>#N/A</v>
      </c>
      <c r="AY19" s="95" t="e">
        <f>IF(L19=VLOOKUP($A19,Feature_List!$A$2:$AO$101,MATCH(AY$1,Feature_List!$A$1:$AO$1,0),FALSE),"OK","BAD")</f>
        <v>#N/A</v>
      </c>
      <c r="AZ19" s="95" t="e">
        <f>IF(M19=VLOOKUP($A19,Feature_List!$A$2:$AO$101,MATCH(AZ$1,Feature_List!$A$1:$AO$1,0),FALSE),"OK","BAD")</f>
        <v>#N/A</v>
      </c>
      <c r="BA19" s="95" t="e">
        <f>IF(N19=VLOOKUP($A19,Feature_List!$A$2:$AO$101,MATCH(BA$1,Feature_List!$A$1:$AO$1,0),FALSE),"OK","BAD")</f>
        <v>#N/A</v>
      </c>
      <c r="BB19" s="95" t="e">
        <f>IF(O19=VLOOKUP($A19,Feature_List!$A$2:$AO$101,MATCH(BB$1,Feature_List!$A$1:$AO$1,0),FALSE),"OK","BAD")</f>
        <v>#N/A</v>
      </c>
      <c r="BC19" s="95" t="e">
        <f>IF(P19=VLOOKUP($A19,Feature_List!$A$2:$AO$101,MATCH(BC$1,Feature_List!$A$1:$AO$1,0),FALSE),"OK","BAD")</f>
        <v>#N/A</v>
      </c>
      <c r="BD19" s="95" t="e">
        <f>IF(Q19=VLOOKUP($A19,Feature_List!$A$2:$AO$101,MATCH(BD$1,Feature_List!$A$1:$AO$1,0),FALSE),"OK","BAD")</f>
        <v>#N/A</v>
      </c>
      <c r="BE19" s="95" t="e">
        <f>IF(R19=VLOOKUP($A19,Feature_List!$A$2:$AO$101,MATCH(BE$1,Feature_List!$A$1:$AO$1,0),FALSE),"OK","BAD")</f>
        <v>#N/A</v>
      </c>
      <c r="BF19" s="95" t="e">
        <f>IF(S19=VLOOKUP($A19,Feature_List!$A$2:$AO$101,MATCH(BF$1,Feature_List!$A$1:$AO$1,0),FALSE),"OK","BAD")</f>
        <v>#N/A</v>
      </c>
      <c r="BG19" s="95" t="e">
        <f>IF(T19=VLOOKUP($A19,Feature_List!$A$2:$AO$101,MATCH(BG$1,Feature_List!$A$1:$AO$1,0),FALSE),"OK","BAD")</f>
        <v>#N/A</v>
      </c>
      <c r="BH19" s="95" t="e">
        <f>IF(U19=VLOOKUP($A19,Feature_List!$A$2:$AO$101,MATCH(BH$1,Feature_List!$A$1:$AO$1,0),FALSE),"OK","BAD")</f>
        <v>#N/A</v>
      </c>
      <c r="BI19" s="95" t="e">
        <f>IF(V19=VLOOKUP($A19,Feature_List!$A$2:$AO$101,MATCH(BI$1,Feature_List!$A$1:$AO$1,0),FALSE),"OK","BAD")</f>
        <v>#N/A</v>
      </c>
      <c r="BJ19" s="95" t="e">
        <f>IF(W19=VLOOKUP($A19,Feature_List!$A$2:$AO$101,MATCH(BJ$1,Feature_List!$A$1:$AO$1,0),FALSE),"OK","BAD")</f>
        <v>#N/A</v>
      </c>
      <c r="BK19" s="95" t="e">
        <f>IF(X19=VLOOKUP($A19,Feature_List!$A$2:$AO$101,MATCH(BK$1,Feature_List!$A$1:$AO$1,0),FALSE),"OK","BAD")</f>
        <v>#N/A</v>
      </c>
      <c r="BL19" s="95" t="e">
        <f>IF(Y19=VLOOKUP($A19,Feature_List!$A$2:$AO$101,MATCH(BL$1,Feature_List!$A$1:$AO$1,0),FALSE),"OK","BAD")</f>
        <v>#N/A</v>
      </c>
      <c r="BM19" s="95" t="e">
        <f>IF(Z19=VLOOKUP($A19,Feature_List!$A$2:$AO$101,MATCH(BM$1,Feature_List!$A$1:$AO$1,0),FALSE),"OK","BAD")</f>
        <v>#N/A</v>
      </c>
      <c r="BN19" s="95" t="e">
        <f>IF(AA19=VLOOKUP($A19,Feature_List!$A$2:$AO$101,MATCH(BN$1,Feature_List!$A$1:$AO$1,0),FALSE),"OK","BAD")</f>
        <v>#N/A</v>
      </c>
      <c r="BO19" s="95" t="e">
        <f>IF(AB19=VLOOKUP($A19,Feature_List!$A$2:$AO$101,MATCH(BO$1,Feature_List!$A$1:$AO$1,0),FALSE),"OK","BAD")</f>
        <v>#N/A</v>
      </c>
      <c r="BP19" s="95" t="e">
        <f>IF(AC19=VLOOKUP($A19,Feature_List!$A$2:$AO$101,MATCH(BP$1,Feature_List!$A$1:$AO$1,0),FALSE),"OK","BAD")</f>
        <v>#N/A</v>
      </c>
      <c r="BQ19" s="95" t="e">
        <f>IF(AD19=VLOOKUP($A19,Feature_List!$A$2:$AO$101,MATCH(BQ$1,Feature_List!$A$1:$AO$1,0),FALSE),"OK","BAD")</f>
        <v>#N/A</v>
      </c>
      <c r="BR19" s="95" t="e">
        <f>IF(AE19=VLOOKUP($A19,Feature_List!$A$2:$AO$101,MATCH(BR$1,Feature_List!$A$1:$AO$1,0),FALSE),"OK","BAD")</f>
        <v>#N/A</v>
      </c>
      <c r="BS19" s="95" t="e">
        <f>IF(AF19=VLOOKUP($A19,Feature_List!$A$2:$AO$101,MATCH(BS$1,Feature_List!$A$1:$AO$1,0),FALSE),"OK","BAD")</f>
        <v>#N/A</v>
      </c>
      <c r="BT19" s="95" t="e">
        <f>IF(AG19=VLOOKUP($A19,Feature_List!$A$2:$AO$101,MATCH(BT$1,Feature_List!$A$1:$AO$1,0),FALSE),"OK","BAD")</f>
        <v>#N/A</v>
      </c>
      <c r="BU19" s="95" t="e">
        <f>IF(AH19=VLOOKUP($A19,Feature_List!$A$2:$AO$101,MATCH(BU$1,Feature_List!$A$1:$AO$1,0),FALSE),"OK","BAD")</f>
        <v>#N/A</v>
      </c>
      <c r="BV19" s="95" t="e">
        <f>IF(AI19=VLOOKUP($A19,Feature_List!$A$2:$AO$101,MATCH(BV$1,Feature_List!$A$1:$AO$1,0),FALSE),"OK","BAD")</f>
        <v>#N/A</v>
      </c>
      <c r="BW19" s="95" t="e">
        <f>IF(AJ19=VLOOKUP($A19,Feature_List!$A$2:$AO$101,MATCH(BW$1,Feature_List!$A$1:$AO$1,0),FALSE),"OK","BAD")</f>
        <v>#N/A</v>
      </c>
      <c r="BX19" s="95" t="e">
        <f>IF(AK19=VLOOKUP($A19,Feature_List!$A$2:$AO$101,MATCH(BX$1,Feature_List!$A$1:$AO$1,0),FALSE),"OK","BAD")</f>
        <v>#N/A</v>
      </c>
      <c r="BY19" s="95" t="e">
        <f>IF(AL19=VLOOKUP($A19,Feature_List!$A$2:$AO$101,MATCH(BY$1,Feature_List!$A$1:$AO$1,0),FALSE),"OK","BAD")</f>
        <v>#N/A</v>
      </c>
      <c r="BZ19" s="95" t="e">
        <f>IF(AM19=VLOOKUP($A19,Feature_List!$A$2:$AO$101,MATCH(BZ$1,Feature_List!$A$1:$AO$1,0),FALSE),"OK","BAD")</f>
        <v>#N/A</v>
      </c>
      <c r="CA19" s="95" t="e">
        <f>IF(AN19=VLOOKUP($A19,Feature_List!$A$2:$AO$101,MATCH(CA$1,Feature_List!$A$1:$AO$1,0),FALSE),"OK","BAD")</f>
        <v>#N/A</v>
      </c>
    </row>
    <row r="20" spans="1:79" ht="14.4" customHeight="1" x14ac:dyDescent="0.3">
      <c r="A20" s="70">
        <v>396819</v>
      </c>
      <c r="B20" s="65" t="s">
        <v>1156</v>
      </c>
      <c r="C20" s="98" t="s">
        <v>1145</v>
      </c>
      <c r="D20" s="65" t="s">
        <v>28</v>
      </c>
      <c r="E20" s="64">
        <v>221</v>
      </c>
      <c r="F20" s="64" t="s">
        <v>41</v>
      </c>
      <c r="G20" s="64" t="s">
        <v>1163</v>
      </c>
      <c r="H20" s="64" t="s">
        <v>975</v>
      </c>
      <c r="I20" s="99" t="s">
        <v>38</v>
      </c>
      <c r="J20" s="64" t="s">
        <v>1412</v>
      </c>
      <c r="K20" s="64">
        <v>0</v>
      </c>
      <c r="L20" s="62" t="s">
        <v>949</v>
      </c>
      <c r="M20" s="67" t="s">
        <v>42</v>
      </c>
      <c r="N20" s="67" t="s">
        <v>43</v>
      </c>
      <c r="O20" s="67">
        <v>0</v>
      </c>
      <c r="P20" s="66" t="s">
        <v>131</v>
      </c>
      <c r="Q20" s="63">
        <v>5</v>
      </c>
      <c r="R20" s="63">
        <v>0</v>
      </c>
      <c r="S20" s="63">
        <v>3</v>
      </c>
      <c r="T20" s="63">
        <v>0</v>
      </c>
      <c r="U20" s="63">
        <v>0</v>
      </c>
      <c r="V20" s="63">
        <v>189</v>
      </c>
      <c r="W20" s="63">
        <v>0</v>
      </c>
      <c r="X20" s="63">
        <v>0</v>
      </c>
      <c r="Y20" s="63">
        <v>0</v>
      </c>
      <c r="Z20" s="63">
        <v>0</v>
      </c>
      <c r="AA20" s="63">
        <v>0</v>
      </c>
      <c r="AB20" s="63">
        <v>0</v>
      </c>
      <c r="AC20" s="63">
        <v>5</v>
      </c>
      <c r="AD20" s="63">
        <v>15</v>
      </c>
      <c r="AE20" s="63">
        <v>0</v>
      </c>
      <c r="AF20" s="63">
        <v>0</v>
      </c>
      <c r="AG20" s="63">
        <v>9</v>
      </c>
      <c r="AH20" s="63">
        <v>0</v>
      </c>
      <c r="AI20" s="63">
        <v>0</v>
      </c>
      <c r="AJ20" s="63">
        <v>221</v>
      </c>
      <c r="AK20" s="63">
        <v>0</v>
      </c>
      <c r="AL20" s="63" t="s">
        <v>35</v>
      </c>
      <c r="AM20" s="63" t="s">
        <v>36</v>
      </c>
      <c r="AN20" s="220" t="s">
        <v>40</v>
      </c>
      <c r="AO20" s="224"/>
      <c r="AP20" s="95" t="e">
        <f>IF(C20=VLOOKUP($A20,Feature_List!$A$2:$AO$101,MATCH(AP$1,Feature_List!$A$1:$AO$1,0),FALSE),"OK","BAD")</f>
        <v>#N/A</v>
      </c>
      <c r="AQ20" s="95" t="e">
        <f>IF(D20=VLOOKUP($A20,Feature_List!$A$2:$AO$101,MATCH(AQ$1,Feature_List!$A$1:$AO$1,0),FALSE),"OK","BAD")</f>
        <v>#N/A</v>
      </c>
      <c r="AR20" s="95" t="e">
        <f>IF(E20=VLOOKUP($A20,Feature_List!$A$2:$AO$101,MATCH(AR$1,Feature_List!$A$1:$AO$1,0),FALSE),"OK","BAD")</f>
        <v>#N/A</v>
      </c>
      <c r="AS20" s="95" t="e">
        <f>IF(F20=VLOOKUP($A20,Feature_List!$A$2:$AO$101,MATCH(AS$1,Feature_List!$A$1:$AO$1,0),FALSE),"OK","BAD")</f>
        <v>#N/A</v>
      </c>
      <c r="AT20" s="95" t="s">
        <v>985</v>
      </c>
      <c r="AU20" s="95" t="s">
        <v>985</v>
      </c>
      <c r="AV20" s="95" t="e">
        <f>IF(I20=VLOOKUP($A20,Feature_List!$A$2:$AO$101,MATCH(AV$1,Feature_List!$A$1:$AO$1,0),FALSE),"OK","BAD")</f>
        <v>#N/A</v>
      </c>
      <c r="AW20" s="95" t="e">
        <f>IF(J20=VLOOKUP($A20,Feature_List!$A$2:$AO$101,MATCH(AW$1,Feature_List!$A$1:$AO$1,0),FALSE),"OK","BAD")</f>
        <v>#N/A</v>
      </c>
      <c r="AX20" s="95" t="e">
        <f>IF(K20=VLOOKUP($A20,Feature_List!$A$2:$AO$101,MATCH(AX$1,Feature_List!$A$1:$AO$1,0),FALSE),"OK","BAD")</f>
        <v>#N/A</v>
      </c>
      <c r="AY20" s="95" t="e">
        <f>IF(L20=VLOOKUP($A20,Feature_List!$A$2:$AO$101,MATCH(AY$1,Feature_List!$A$1:$AO$1,0),FALSE),"OK","BAD")</f>
        <v>#N/A</v>
      </c>
      <c r="AZ20" s="95" t="e">
        <f>IF(M20=VLOOKUP($A20,Feature_List!$A$2:$AO$101,MATCH(AZ$1,Feature_List!$A$1:$AO$1,0),FALSE),"OK","BAD")</f>
        <v>#N/A</v>
      </c>
      <c r="BA20" s="95" t="e">
        <f>IF(N20=VLOOKUP($A20,Feature_List!$A$2:$AO$101,MATCH(BA$1,Feature_List!$A$1:$AO$1,0),FALSE),"OK","BAD")</f>
        <v>#N/A</v>
      </c>
      <c r="BB20" s="95" t="e">
        <f>IF(O20=VLOOKUP($A20,Feature_List!$A$2:$AO$101,MATCH(BB$1,Feature_List!$A$1:$AO$1,0),FALSE),"OK","BAD")</f>
        <v>#N/A</v>
      </c>
      <c r="BC20" s="95" t="e">
        <f>IF(P20=VLOOKUP($A20,Feature_List!$A$2:$AO$101,MATCH(BC$1,Feature_List!$A$1:$AO$1,0),FALSE),"OK","BAD")</f>
        <v>#N/A</v>
      </c>
      <c r="BD20" s="95" t="e">
        <f>IF(Q20=VLOOKUP($A20,Feature_List!$A$2:$AO$101,MATCH(BD$1,Feature_List!$A$1:$AO$1,0),FALSE),"OK","BAD")</f>
        <v>#N/A</v>
      </c>
      <c r="BE20" s="95" t="e">
        <f>IF(R20=VLOOKUP($A20,Feature_List!$A$2:$AO$101,MATCH(BE$1,Feature_List!$A$1:$AO$1,0),FALSE),"OK","BAD")</f>
        <v>#N/A</v>
      </c>
      <c r="BF20" s="95" t="e">
        <f>IF(S20=VLOOKUP($A20,Feature_List!$A$2:$AO$101,MATCH(BF$1,Feature_List!$A$1:$AO$1,0),FALSE),"OK","BAD")</f>
        <v>#N/A</v>
      </c>
      <c r="BG20" s="95" t="e">
        <f>IF(T20=VLOOKUP($A20,Feature_List!$A$2:$AO$101,MATCH(BG$1,Feature_List!$A$1:$AO$1,0),FALSE),"OK","BAD")</f>
        <v>#N/A</v>
      </c>
      <c r="BH20" s="95" t="e">
        <f>IF(U20=VLOOKUP($A20,Feature_List!$A$2:$AO$101,MATCH(BH$1,Feature_List!$A$1:$AO$1,0),FALSE),"OK","BAD")</f>
        <v>#N/A</v>
      </c>
      <c r="BI20" s="95" t="e">
        <f>IF(V20=VLOOKUP($A20,Feature_List!$A$2:$AO$101,MATCH(BI$1,Feature_List!$A$1:$AO$1,0),FALSE),"OK","BAD")</f>
        <v>#N/A</v>
      </c>
      <c r="BJ20" s="95" t="e">
        <f>IF(W20=VLOOKUP($A20,Feature_List!$A$2:$AO$101,MATCH(BJ$1,Feature_List!$A$1:$AO$1,0),FALSE),"OK","BAD")</f>
        <v>#N/A</v>
      </c>
      <c r="BK20" s="95" t="e">
        <f>IF(X20=VLOOKUP($A20,Feature_List!$A$2:$AO$101,MATCH(BK$1,Feature_List!$A$1:$AO$1,0),FALSE),"OK","BAD")</f>
        <v>#N/A</v>
      </c>
      <c r="BL20" s="95" t="e">
        <f>IF(Y20=VLOOKUP($A20,Feature_List!$A$2:$AO$101,MATCH(BL$1,Feature_List!$A$1:$AO$1,0),FALSE),"OK","BAD")</f>
        <v>#N/A</v>
      </c>
      <c r="BM20" s="95" t="e">
        <f>IF(Z20=VLOOKUP($A20,Feature_List!$A$2:$AO$101,MATCH(BM$1,Feature_List!$A$1:$AO$1,0),FALSE),"OK","BAD")</f>
        <v>#N/A</v>
      </c>
      <c r="BN20" s="95" t="e">
        <f>IF(AA20=VLOOKUP($A20,Feature_List!$A$2:$AO$101,MATCH(BN$1,Feature_List!$A$1:$AO$1,0),FALSE),"OK","BAD")</f>
        <v>#N/A</v>
      </c>
      <c r="BO20" s="95" t="e">
        <f>IF(AB20=VLOOKUP($A20,Feature_List!$A$2:$AO$101,MATCH(BO$1,Feature_List!$A$1:$AO$1,0),FALSE),"OK","BAD")</f>
        <v>#N/A</v>
      </c>
      <c r="BP20" s="95" t="e">
        <f>IF(AC20=VLOOKUP($A20,Feature_List!$A$2:$AO$101,MATCH(BP$1,Feature_List!$A$1:$AO$1,0),FALSE),"OK","BAD")</f>
        <v>#N/A</v>
      </c>
      <c r="BQ20" s="95" t="e">
        <f>IF(AD20=VLOOKUP($A20,Feature_List!$A$2:$AO$101,MATCH(BQ$1,Feature_List!$A$1:$AO$1,0),FALSE),"OK","BAD")</f>
        <v>#N/A</v>
      </c>
      <c r="BR20" s="95" t="e">
        <f>IF(AE20=VLOOKUP($A20,Feature_List!$A$2:$AO$101,MATCH(BR$1,Feature_List!$A$1:$AO$1,0),FALSE),"OK","BAD")</f>
        <v>#N/A</v>
      </c>
      <c r="BS20" s="95" t="e">
        <f>IF(AF20=VLOOKUP($A20,Feature_List!$A$2:$AO$101,MATCH(BS$1,Feature_List!$A$1:$AO$1,0),FALSE),"OK","BAD")</f>
        <v>#N/A</v>
      </c>
      <c r="BT20" s="95" t="e">
        <f>IF(AG20=VLOOKUP($A20,Feature_List!$A$2:$AO$101,MATCH(BT$1,Feature_List!$A$1:$AO$1,0),FALSE),"OK","BAD")</f>
        <v>#N/A</v>
      </c>
      <c r="BU20" s="95" t="e">
        <f>IF(AH20=VLOOKUP($A20,Feature_List!$A$2:$AO$101,MATCH(BU$1,Feature_List!$A$1:$AO$1,0),FALSE),"OK","BAD")</f>
        <v>#N/A</v>
      </c>
      <c r="BV20" s="95" t="e">
        <f>IF(AI20=VLOOKUP($A20,Feature_List!$A$2:$AO$101,MATCH(BV$1,Feature_List!$A$1:$AO$1,0),FALSE),"OK","BAD")</f>
        <v>#N/A</v>
      </c>
      <c r="BW20" s="95" t="e">
        <f>IF(AJ20=VLOOKUP($A20,Feature_List!$A$2:$AO$101,MATCH(BW$1,Feature_List!$A$1:$AO$1,0),FALSE),"OK","BAD")</f>
        <v>#N/A</v>
      </c>
      <c r="BX20" s="95" t="e">
        <f>IF(AK20=VLOOKUP($A20,Feature_List!$A$2:$AO$101,MATCH(BX$1,Feature_List!$A$1:$AO$1,0),FALSE),"OK","BAD")</f>
        <v>#N/A</v>
      </c>
      <c r="BY20" s="95" t="e">
        <f>IF(AL20=VLOOKUP($A20,Feature_List!$A$2:$AO$101,MATCH(BY$1,Feature_List!$A$1:$AO$1,0),FALSE),"OK","BAD")</f>
        <v>#N/A</v>
      </c>
      <c r="BZ20" s="95" t="e">
        <f>IF(AM20=VLOOKUP($A20,Feature_List!$A$2:$AO$101,MATCH(BZ$1,Feature_List!$A$1:$AO$1,0),FALSE),"OK","BAD")</f>
        <v>#N/A</v>
      </c>
      <c r="CA20" s="95" t="e">
        <f>IF(AN20=VLOOKUP($A20,Feature_List!$A$2:$AO$101,MATCH(CA$1,Feature_List!$A$1:$AO$1,0),FALSE),"OK","BAD")</f>
        <v>#N/A</v>
      </c>
    </row>
    <row r="21" spans="1:79" ht="14.4" customHeight="1" x14ac:dyDescent="0.3">
      <c r="A21" s="70">
        <v>396770</v>
      </c>
      <c r="B21" s="65" t="s">
        <v>1155</v>
      </c>
      <c r="C21" s="98" t="s">
        <v>1012</v>
      </c>
      <c r="D21" s="65" t="s">
        <v>106</v>
      </c>
      <c r="E21" s="64">
        <v>15</v>
      </c>
      <c r="F21" s="64" t="s">
        <v>879</v>
      </c>
      <c r="G21" s="64" t="s">
        <v>1596</v>
      </c>
      <c r="H21" s="64" t="s">
        <v>110</v>
      </c>
      <c r="I21" s="99" t="s">
        <v>38</v>
      </c>
      <c r="J21" s="64" t="s">
        <v>1412</v>
      </c>
      <c r="K21" s="64">
        <v>0</v>
      </c>
      <c r="L21" s="62" t="s">
        <v>946</v>
      </c>
      <c r="M21" s="67" t="s">
        <v>42</v>
      </c>
      <c r="N21" s="67" t="s">
        <v>44</v>
      </c>
      <c r="O21" s="67">
        <v>0</v>
      </c>
      <c r="P21" s="66" t="s">
        <v>1552</v>
      </c>
      <c r="Q21" s="63">
        <v>1</v>
      </c>
      <c r="R21" s="63">
        <v>14</v>
      </c>
      <c r="S21" s="63">
        <v>0</v>
      </c>
      <c r="T21" s="63">
        <v>0</v>
      </c>
      <c r="U21" s="63">
        <v>0</v>
      </c>
      <c r="V21" s="63">
        <v>0</v>
      </c>
      <c r="W21" s="63">
        <v>0</v>
      </c>
      <c r="X21" s="63">
        <v>0</v>
      </c>
      <c r="Y21" s="63">
        <v>1</v>
      </c>
      <c r="Z21" s="63">
        <v>0</v>
      </c>
      <c r="AA21" s="63">
        <v>0</v>
      </c>
      <c r="AB21" s="63">
        <v>0</v>
      </c>
      <c r="AC21" s="63">
        <v>0</v>
      </c>
      <c r="AD21" s="63">
        <v>0</v>
      </c>
      <c r="AE21" s="63">
        <v>0</v>
      </c>
      <c r="AF21" s="63">
        <v>0</v>
      </c>
      <c r="AG21" s="63">
        <v>0</v>
      </c>
      <c r="AH21" s="63">
        <v>0</v>
      </c>
      <c r="AI21" s="63">
        <v>0</v>
      </c>
      <c r="AJ21" s="63">
        <v>1</v>
      </c>
      <c r="AK21" s="63">
        <v>0</v>
      </c>
      <c r="AL21" s="63" t="s">
        <v>35</v>
      </c>
      <c r="AM21" s="63" t="s">
        <v>36</v>
      </c>
      <c r="AN21" s="220" t="s">
        <v>33</v>
      </c>
      <c r="AO21" s="224"/>
      <c r="AP21" s="95" t="e">
        <f>IF(C21=VLOOKUP($A21,Feature_List!$A$2:$AO$101,MATCH(AP$1,Feature_List!$A$1:$AO$1,0),FALSE),"OK","BAD")</f>
        <v>#N/A</v>
      </c>
      <c r="AQ21" s="95" t="e">
        <f>IF(D21=VLOOKUP($A21,Feature_List!$A$2:$AO$101,MATCH(AQ$1,Feature_List!$A$1:$AO$1,0),FALSE),"OK","BAD")</f>
        <v>#N/A</v>
      </c>
      <c r="AR21" s="95" t="e">
        <f>IF(E21=VLOOKUP($A21,Feature_List!$A$2:$AO$101,MATCH(AR$1,Feature_List!$A$1:$AO$1,0),FALSE),"OK","BAD")</f>
        <v>#N/A</v>
      </c>
      <c r="AS21" s="95" t="e">
        <f>IF(F21=VLOOKUP($A21,Feature_List!$A$2:$AO$101,MATCH(AS$1,Feature_List!$A$1:$AO$1,0),FALSE),"OK","BAD")</f>
        <v>#N/A</v>
      </c>
      <c r="AT21" s="95" t="s">
        <v>985</v>
      </c>
      <c r="AU21" s="95" t="s">
        <v>985</v>
      </c>
      <c r="AV21" s="95" t="e">
        <f>IF(I21=VLOOKUP($A21,Feature_List!$A$2:$AO$101,MATCH(AV$1,Feature_List!$A$1:$AO$1,0),FALSE),"OK","BAD")</f>
        <v>#N/A</v>
      </c>
      <c r="AW21" s="95" t="e">
        <f>IF(J21=VLOOKUP($A21,Feature_List!$A$2:$AO$101,MATCH(AW$1,Feature_List!$A$1:$AO$1,0),FALSE),"OK","BAD")</f>
        <v>#N/A</v>
      </c>
      <c r="AX21" s="95" t="e">
        <f>IF(K21=VLOOKUP($A21,Feature_List!$A$2:$AO$101,MATCH(AX$1,Feature_List!$A$1:$AO$1,0),FALSE),"OK","BAD")</f>
        <v>#N/A</v>
      </c>
      <c r="AY21" s="95" t="e">
        <f>IF(L21=VLOOKUP($A21,Feature_List!$A$2:$AO$101,MATCH(AY$1,Feature_List!$A$1:$AO$1,0),FALSE),"OK","BAD")</f>
        <v>#N/A</v>
      </c>
      <c r="AZ21" s="95" t="e">
        <f>IF(M21=VLOOKUP($A21,Feature_List!$A$2:$AO$101,MATCH(AZ$1,Feature_List!$A$1:$AO$1,0),FALSE),"OK","BAD")</f>
        <v>#N/A</v>
      </c>
      <c r="BA21" s="95" t="e">
        <f>IF(N21=VLOOKUP($A21,Feature_List!$A$2:$AO$101,MATCH(BA$1,Feature_List!$A$1:$AO$1,0),FALSE),"OK","BAD")</f>
        <v>#N/A</v>
      </c>
      <c r="BB21" s="95" t="e">
        <f>IF(O21=VLOOKUP($A21,Feature_List!$A$2:$AO$101,MATCH(BB$1,Feature_List!$A$1:$AO$1,0),FALSE),"OK","BAD")</f>
        <v>#N/A</v>
      </c>
      <c r="BC21" s="95" t="e">
        <f>IF(P21=VLOOKUP($A21,Feature_List!$A$2:$AO$101,MATCH(BC$1,Feature_List!$A$1:$AO$1,0),FALSE),"OK","BAD")</f>
        <v>#N/A</v>
      </c>
      <c r="BD21" s="95" t="e">
        <f>IF(Q21=VLOOKUP($A21,Feature_List!$A$2:$AO$101,MATCH(BD$1,Feature_List!$A$1:$AO$1,0),FALSE),"OK","BAD")</f>
        <v>#N/A</v>
      </c>
      <c r="BE21" s="95" t="e">
        <f>IF(R21=VLOOKUP($A21,Feature_List!$A$2:$AO$101,MATCH(BE$1,Feature_List!$A$1:$AO$1,0),FALSE),"OK","BAD")</f>
        <v>#N/A</v>
      </c>
      <c r="BF21" s="95" t="e">
        <f>IF(S21=VLOOKUP($A21,Feature_List!$A$2:$AO$101,MATCH(BF$1,Feature_List!$A$1:$AO$1,0),FALSE),"OK","BAD")</f>
        <v>#N/A</v>
      </c>
      <c r="BG21" s="95" t="e">
        <f>IF(T21=VLOOKUP($A21,Feature_List!$A$2:$AO$101,MATCH(BG$1,Feature_List!$A$1:$AO$1,0),FALSE),"OK","BAD")</f>
        <v>#N/A</v>
      </c>
      <c r="BH21" s="95" t="e">
        <f>IF(U21=VLOOKUP($A21,Feature_List!$A$2:$AO$101,MATCH(BH$1,Feature_List!$A$1:$AO$1,0),FALSE),"OK","BAD")</f>
        <v>#N/A</v>
      </c>
      <c r="BI21" s="95" t="e">
        <f>IF(V21=VLOOKUP($A21,Feature_List!$A$2:$AO$101,MATCH(BI$1,Feature_List!$A$1:$AO$1,0),FALSE),"OK","BAD")</f>
        <v>#N/A</v>
      </c>
      <c r="BJ21" s="95" t="e">
        <f>IF(W21=VLOOKUP($A21,Feature_List!$A$2:$AO$101,MATCH(BJ$1,Feature_List!$A$1:$AO$1,0),FALSE),"OK","BAD")</f>
        <v>#N/A</v>
      </c>
      <c r="BK21" s="95" t="e">
        <f>IF(X21=VLOOKUP($A21,Feature_List!$A$2:$AO$101,MATCH(BK$1,Feature_List!$A$1:$AO$1,0),FALSE),"OK","BAD")</f>
        <v>#N/A</v>
      </c>
      <c r="BL21" s="95" t="e">
        <f>IF(Y21=VLOOKUP($A21,Feature_List!$A$2:$AO$101,MATCH(BL$1,Feature_List!$A$1:$AO$1,0),FALSE),"OK","BAD")</f>
        <v>#N/A</v>
      </c>
      <c r="BM21" s="95" t="e">
        <f>IF(Z21=VLOOKUP($A21,Feature_List!$A$2:$AO$101,MATCH(BM$1,Feature_List!$A$1:$AO$1,0),FALSE),"OK","BAD")</f>
        <v>#N/A</v>
      </c>
      <c r="BN21" s="95" t="e">
        <f>IF(AA21=VLOOKUP($A21,Feature_List!$A$2:$AO$101,MATCH(BN$1,Feature_List!$A$1:$AO$1,0),FALSE),"OK","BAD")</f>
        <v>#N/A</v>
      </c>
      <c r="BO21" s="95" t="e">
        <f>IF(AB21=VLOOKUP($A21,Feature_List!$A$2:$AO$101,MATCH(BO$1,Feature_List!$A$1:$AO$1,0),FALSE),"OK","BAD")</f>
        <v>#N/A</v>
      </c>
      <c r="BP21" s="95" t="e">
        <f>IF(AC21=VLOOKUP($A21,Feature_List!$A$2:$AO$101,MATCH(BP$1,Feature_List!$A$1:$AO$1,0),FALSE),"OK","BAD")</f>
        <v>#N/A</v>
      </c>
      <c r="BQ21" s="95" t="e">
        <f>IF(AD21=VLOOKUP($A21,Feature_List!$A$2:$AO$101,MATCH(BQ$1,Feature_List!$A$1:$AO$1,0),FALSE),"OK","BAD")</f>
        <v>#N/A</v>
      </c>
      <c r="BR21" s="95" t="e">
        <f>IF(AE21=VLOOKUP($A21,Feature_List!$A$2:$AO$101,MATCH(BR$1,Feature_List!$A$1:$AO$1,0),FALSE),"OK","BAD")</f>
        <v>#N/A</v>
      </c>
      <c r="BS21" s="95" t="e">
        <f>IF(AF21=VLOOKUP($A21,Feature_List!$A$2:$AO$101,MATCH(BS$1,Feature_List!$A$1:$AO$1,0),FALSE),"OK","BAD")</f>
        <v>#N/A</v>
      </c>
      <c r="BT21" s="95" t="e">
        <f>IF(AG21=VLOOKUP($A21,Feature_List!$A$2:$AO$101,MATCH(BT$1,Feature_List!$A$1:$AO$1,0),FALSE),"OK","BAD")</f>
        <v>#N/A</v>
      </c>
      <c r="BU21" s="95" t="e">
        <f>IF(AH21=VLOOKUP($A21,Feature_List!$A$2:$AO$101,MATCH(BU$1,Feature_List!$A$1:$AO$1,0),FALSE),"OK","BAD")</f>
        <v>#N/A</v>
      </c>
      <c r="BV21" s="95" t="e">
        <f>IF(AI21=VLOOKUP($A21,Feature_List!$A$2:$AO$101,MATCH(BV$1,Feature_List!$A$1:$AO$1,0),FALSE),"OK","BAD")</f>
        <v>#N/A</v>
      </c>
      <c r="BW21" s="95" t="e">
        <f>IF(AJ21=VLOOKUP($A21,Feature_List!$A$2:$AO$101,MATCH(BW$1,Feature_List!$A$1:$AO$1,0),FALSE),"OK","BAD")</f>
        <v>#N/A</v>
      </c>
      <c r="BX21" s="95" t="e">
        <f>IF(AK21=VLOOKUP($A21,Feature_List!$A$2:$AO$101,MATCH(BX$1,Feature_List!$A$1:$AO$1,0),FALSE),"OK","BAD")</f>
        <v>#N/A</v>
      </c>
      <c r="BY21" s="95" t="e">
        <f>IF(AL21=VLOOKUP($A21,Feature_List!$A$2:$AO$101,MATCH(BY$1,Feature_List!$A$1:$AO$1,0),FALSE),"OK","BAD")</f>
        <v>#N/A</v>
      </c>
      <c r="BZ21" s="95" t="e">
        <f>IF(AM21=VLOOKUP($A21,Feature_List!$A$2:$AO$101,MATCH(BZ$1,Feature_List!$A$1:$AO$1,0),FALSE),"OK","BAD")</f>
        <v>#N/A</v>
      </c>
      <c r="CA21" s="95" t="e">
        <f>IF(AN21=VLOOKUP($A21,Feature_List!$A$2:$AO$101,MATCH(CA$1,Feature_List!$A$1:$AO$1,0),FALSE),"OK","BAD")</f>
        <v>#N/A</v>
      </c>
    </row>
    <row r="22" spans="1:79" ht="14.4" customHeight="1" x14ac:dyDescent="0.3">
      <c r="A22" s="70">
        <v>396663</v>
      </c>
      <c r="B22" s="65" t="s">
        <v>1150</v>
      </c>
      <c r="C22" s="98" t="s">
        <v>1145</v>
      </c>
      <c r="D22" s="65" t="s">
        <v>28</v>
      </c>
      <c r="E22" s="64">
        <v>6</v>
      </c>
      <c r="F22" s="64" t="s">
        <v>41</v>
      </c>
      <c r="G22" s="64" t="s">
        <v>1554</v>
      </c>
      <c r="H22" s="64" t="s">
        <v>548</v>
      </c>
      <c r="I22" s="99" t="s">
        <v>38</v>
      </c>
      <c r="J22" s="64" t="s">
        <v>1414</v>
      </c>
      <c r="K22" s="64">
        <v>0</v>
      </c>
      <c r="L22" s="62" t="s">
        <v>945</v>
      </c>
      <c r="M22" s="67" t="s">
        <v>42</v>
      </c>
      <c r="N22" s="67" t="s">
        <v>44</v>
      </c>
      <c r="O22" s="67">
        <v>0</v>
      </c>
      <c r="P22" s="66" t="s">
        <v>1552</v>
      </c>
      <c r="Q22" s="63">
        <v>1</v>
      </c>
      <c r="R22" s="63">
        <v>0</v>
      </c>
      <c r="S22" s="63">
        <v>0</v>
      </c>
      <c r="T22" s="63">
        <v>0</v>
      </c>
      <c r="U22" s="63">
        <v>6</v>
      </c>
      <c r="V22" s="63">
        <v>0</v>
      </c>
      <c r="W22" s="63">
        <v>0</v>
      </c>
      <c r="X22" s="63">
        <v>0</v>
      </c>
      <c r="Y22" s="63">
        <v>0</v>
      </c>
      <c r="Z22" s="63">
        <v>0</v>
      </c>
      <c r="AA22" s="63">
        <v>0</v>
      </c>
      <c r="AB22" s="63">
        <v>0</v>
      </c>
      <c r="AC22" s="63">
        <v>0</v>
      </c>
      <c r="AD22" s="63">
        <v>0</v>
      </c>
      <c r="AE22" s="63">
        <v>0</v>
      </c>
      <c r="AF22" s="63">
        <v>0</v>
      </c>
      <c r="AG22" s="63">
        <v>0</v>
      </c>
      <c r="AH22" s="63">
        <v>0</v>
      </c>
      <c r="AI22" s="63">
        <v>0</v>
      </c>
      <c r="AJ22" s="63">
        <v>6</v>
      </c>
      <c r="AK22" s="63">
        <v>0</v>
      </c>
      <c r="AL22" s="63" t="s">
        <v>35</v>
      </c>
      <c r="AM22" s="63" t="s">
        <v>36</v>
      </c>
      <c r="AN22" s="220" t="s">
        <v>40</v>
      </c>
      <c r="AO22" s="224"/>
      <c r="AP22" s="95" t="e">
        <f>IF(C22=VLOOKUP($A22,Feature_List!$A$2:$AO$101,MATCH(AP$1,Feature_List!$A$1:$AO$1,0),FALSE),"OK","BAD")</f>
        <v>#N/A</v>
      </c>
      <c r="AQ22" s="95" t="e">
        <f>IF(D22=VLOOKUP($A22,Feature_List!$A$2:$AO$101,MATCH(AQ$1,Feature_List!$A$1:$AO$1,0),FALSE),"OK","BAD")</f>
        <v>#N/A</v>
      </c>
      <c r="AR22" s="95" t="e">
        <f>IF(E22=VLOOKUP($A22,Feature_List!$A$2:$AO$101,MATCH(AR$1,Feature_List!$A$1:$AO$1,0),FALSE),"OK","BAD")</f>
        <v>#N/A</v>
      </c>
      <c r="AS22" s="95" t="e">
        <f>IF(F22=VLOOKUP($A22,Feature_List!$A$2:$AO$101,MATCH(AS$1,Feature_List!$A$1:$AO$1,0),FALSE),"OK","BAD")</f>
        <v>#N/A</v>
      </c>
      <c r="AT22" s="95" t="s">
        <v>985</v>
      </c>
      <c r="AU22" s="95" t="s">
        <v>985</v>
      </c>
      <c r="AV22" s="95" t="e">
        <f>IF(I22=VLOOKUP($A22,Feature_List!$A$2:$AO$101,MATCH(AV$1,Feature_List!$A$1:$AO$1,0),FALSE),"OK","BAD")</f>
        <v>#N/A</v>
      </c>
      <c r="AW22" s="95" t="e">
        <f>IF(J22=VLOOKUP($A22,Feature_List!$A$2:$AO$101,MATCH(AW$1,Feature_List!$A$1:$AO$1,0),FALSE),"OK","BAD")</f>
        <v>#N/A</v>
      </c>
      <c r="AX22" s="95" t="e">
        <f>IF(K22=VLOOKUP($A22,Feature_List!$A$2:$AO$101,MATCH(AX$1,Feature_List!$A$1:$AO$1,0),FALSE),"OK","BAD")</f>
        <v>#N/A</v>
      </c>
      <c r="AY22" s="95" t="e">
        <f>IF(L22=VLOOKUP($A22,Feature_List!$A$2:$AO$101,MATCH(AY$1,Feature_List!$A$1:$AO$1,0),FALSE),"OK","BAD")</f>
        <v>#N/A</v>
      </c>
      <c r="AZ22" s="95" t="e">
        <f>IF(M22=VLOOKUP($A22,Feature_List!$A$2:$AO$101,MATCH(AZ$1,Feature_List!$A$1:$AO$1,0),FALSE),"OK","BAD")</f>
        <v>#N/A</v>
      </c>
      <c r="BA22" s="95" t="e">
        <f>IF(N22=VLOOKUP($A22,Feature_List!$A$2:$AO$101,MATCH(BA$1,Feature_List!$A$1:$AO$1,0),FALSE),"OK","BAD")</f>
        <v>#N/A</v>
      </c>
      <c r="BB22" s="95" t="e">
        <f>IF(O22=VLOOKUP($A22,Feature_List!$A$2:$AO$101,MATCH(BB$1,Feature_List!$A$1:$AO$1,0),FALSE),"OK","BAD")</f>
        <v>#N/A</v>
      </c>
      <c r="BC22" s="95" t="e">
        <f>IF(P22=VLOOKUP($A22,Feature_List!$A$2:$AO$101,MATCH(BC$1,Feature_List!$A$1:$AO$1,0),FALSE),"OK","BAD")</f>
        <v>#N/A</v>
      </c>
      <c r="BD22" s="95" t="e">
        <f>IF(Q22=VLOOKUP($A22,Feature_List!$A$2:$AO$101,MATCH(BD$1,Feature_List!$A$1:$AO$1,0),FALSE),"OK","BAD")</f>
        <v>#N/A</v>
      </c>
      <c r="BE22" s="95" t="e">
        <f>IF(R22=VLOOKUP($A22,Feature_List!$A$2:$AO$101,MATCH(BE$1,Feature_List!$A$1:$AO$1,0),FALSE),"OK","BAD")</f>
        <v>#N/A</v>
      </c>
      <c r="BF22" s="95" t="e">
        <f>IF(S22=VLOOKUP($A22,Feature_List!$A$2:$AO$101,MATCH(BF$1,Feature_List!$A$1:$AO$1,0),FALSE),"OK","BAD")</f>
        <v>#N/A</v>
      </c>
      <c r="BG22" s="95" t="e">
        <f>IF(T22=VLOOKUP($A22,Feature_List!$A$2:$AO$101,MATCH(BG$1,Feature_List!$A$1:$AO$1,0),FALSE),"OK","BAD")</f>
        <v>#N/A</v>
      </c>
      <c r="BH22" s="95" t="e">
        <f>IF(U22=VLOOKUP($A22,Feature_List!$A$2:$AO$101,MATCH(BH$1,Feature_List!$A$1:$AO$1,0),FALSE),"OK","BAD")</f>
        <v>#N/A</v>
      </c>
      <c r="BI22" s="95" t="e">
        <f>IF(V22=VLOOKUP($A22,Feature_List!$A$2:$AO$101,MATCH(BI$1,Feature_List!$A$1:$AO$1,0),FALSE),"OK","BAD")</f>
        <v>#N/A</v>
      </c>
      <c r="BJ22" s="95" t="e">
        <f>IF(W22=VLOOKUP($A22,Feature_List!$A$2:$AO$101,MATCH(BJ$1,Feature_List!$A$1:$AO$1,0),FALSE),"OK","BAD")</f>
        <v>#N/A</v>
      </c>
      <c r="BK22" s="95" t="e">
        <f>IF(X22=VLOOKUP($A22,Feature_List!$A$2:$AO$101,MATCH(BK$1,Feature_List!$A$1:$AO$1,0),FALSE),"OK","BAD")</f>
        <v>#N/A</v>
      </c>
      <c r="BL22" s="95" t="e">
        <f>IF(Y22=VLOOKUP($A22,Feature_List!$A$2:$AO$101,MATCH(BL$1,Feature_List!$A$1:$AO$1,0),FALSE),"OK","BAD")</f>
        <v>#N/A</v>
      </c>
      <c r="BM22" s="95" t="e">
        <f>IF(Z22=VLOOKUP($A22,Feature_List!$A$2:$AO$101,MATCH(BM$1,Feature_List!$A$1:$AO$1,0),FALSE),"OK","BAD")</f>
        <v>#N/A</v>
      </c>
      <c r="BN22" s="95" t="e">
        <f>IF(AA22=VLOOKUP($A22,Feature_List!$A$2:$AO$101,MATCH(BN$1,Feature_List!$A$1:$AO$1,0),FALSE),"OK","BAD")</f>
        <v>#N/A</v>
      </c>
      <c r="BO22" s="95" t="e">
        <f>IF(AB22=VLOOKUP($A22,Feature_List!$A$2:$AO$101,MATCH(BO$1,Feature_List!$A$1:$AO$1,0),FALSE),"OK","BAD")</f>
        <v>#N/A</v>
      </c>
      <c r="BP22" s="95" t="e">
        <f>IF(AC22=VLOOKUP($A22,Feature_List!$A$2:$AO$101,MATCH(BP$1,Feature_List!$A$1:$AO$1,0),FALSE),"OK","BAD")</f>
        <v>#N/A</v>
      </c>
      <c r="BQ22" s="95" t="e">
        <f>IF(AD22=VLOOKUP($A22,Feature_List!$A$2:$AO$101,MATCH(BQ$1,Feature_List!$A$1:$AO$1,0),FALSE),"OK","BAD")</f>
        <v>#N/A</v>
      </c>
      <c r="BR22" s="95" t="e">
        <f>IF(AE22=VLOOKUP($A22,Feature_List!$A$2:$AO$101,MATCH(BR$1,Feature_List!$A$1:$AO$1,0),FALSE),"OK","BAD")</f>
        <v>#N/A</v>
      </c>
      <c r="BS22" s="95" t="e">
        <f>IF(AF22=VLOOKUP($A22,Feature_List!$A$2:$AO$101,MATCH(BS$1,Feature_List!$A$1:$AO$1,0),FALSE),"OK","BAD")</f>
        <v>#N/A</v>
      </c>
      <c r="BT22" s="95" t="e">
        <f>IF(AG22=VLOOKUP($A22,Feature_List!$A$2:$AO$101,MATCH(BT$1,Feature_List!$A$1:$AO$1,0),FALSE),"OK","BAD")</f>
        <v>#N/A</v>
      </c>
      <c r="BU22" s="95" t="e">
        <f>IF(AH22=VLOOKUP($A22,Feature_List!$A$2:$AO$101,MATCH(BU$1,Feature_List!$A$1:$AO$1,0),FALSE),"OK","BAD")</f>
        <v>#N/A</v>
      </c>
      <c r="BV22" s="95" t="e">
        <f>IF(AI22=VLOOKUP($A22,Feature_List!$A$2:$AO$101,MATCH(BV$1,Feature_List!$A$1:$AO$1,0),FALSE),"OK","BAD")</f>
        <v>#N/A</v>
      </c>
      <c r="BW22" s="95" t="e">
        <f>IF(AJ22=VLOOKUP($A22,Feature_List!$A$2:$AO$101,MATCH(BW$1,Feature_List!$A$1:$AO$1,0),FALSE),"OK","BAD")</f>
        <v>#N/A</v>
      </c>
      <c r="BX22" s="95" t="e">
        <f>IF(AK22=VLOOKUP($A22,Feature_List!$A$2:$AO$101,MATCH(BX$1,Feature_List!$A$1:$AO$1,0),FALSE),"OK","BAD")</f>
        <v>#N/A</v>
      </c>
      <c r="BY22" s="95" t="e">
        <f>IF(AL22=VLOOKUP($A22,Feature_List!$A$2:$AO$101,MATCH(BY$1,Feature_List!$A$1:$AO$1,0),FALSE),"OK","BAD")</f>
        <v>#N/A</v>
      </c>
      <c r="BZ22" s="95" t="e">
        <f>IF(AM22=VLOOKUP($A22,Feature_List!$A$2:$AO$101,MATCH(BZ$1,Feature_List!$A$1:$AO$1,0),FALSE),"OK","BAD")</f>
        <v>#N/A</v>
      </c>
      <c r="CA22" s="95" t="e">
        <f>IF(AN22=VLOOKUP($A22,Feature_List!$A$2:$AO$101,MATCH(CA$1,Feature_List!$A$1:$AO$1,0),FALSE),"OK","BAD")</f>
        <v>#N/A</v>
      </c>
    </row>
    <row r="23" spans="1:79" ht="14.4" customHeight="1" x14ac:dyDescent="0.3">
      <c r="A23" s="70">
        <v>396508</v>
      </c>
      <c r="B23" s="65" t="s">
        <v>1149</v>
      </c>
      <c r="C23" s="98" t="s">
        <v>972</v>
      </c>
      <c r="D23" s="65" t="s">
        <v>28</v>
      </c>
      <c r="E23" s="64">
        <v>9</v>
      </c>
      <c r="F23" s="64" t="s">
        <v>879</v>
      </c>
      <c r="G23" s="64" t="s">
        <v>1555</v>
      </c>
      <c r="H23" s="64" t="s">
        <v>548</v>
      </c>
      <c r="I23" s="99" t="s">
        <v>38</v>
      </c>
      <c r="J23" s="64" t="s">
        <v>1414</v>
      </c>
      <c r="K23" s="64">
        <v>0</v>
      </c>
      <c r="L23" s="62" t="s">
        <v>945</v>
      </c>
      <c r="M23" s="67" t="s">
        <v>42</v>
      </c>
      <c r="N23" s="67" t="s">
        <v>44</v>
      </c>
      <c r="O23" s="67">
        <v>0</v>
      </c>
      <c r="P23" s="66" t="s">
        <v>1552</v>
      </c>
      <c r="Q23" s="63">
        <v>1</v>
      </c>
      <c r="R23" s="63">
        <v>0</v>
      </c>
      <c r="S23" s="63">
        <v>0</v>
      </c>
      <c r="T23" s="63">
        <v>0</v>
      </c>
      <c r="U23" s="63">
        <v>5</v>
      </c>
      <c r="V23" s="63">
        <v>0</v>
      </c>
      <c r="W23" s="63">
        <v>0</v>
      </c>
      <c r="X23" s="63">
        <v>0</v>
      </c>
      <c r="Y23" s="63">
        <v>0</v>
      </c>
      <c r="Z23" s="63">
        <v>0</v>
      </c>
      <c r="AA23" s="63">
        <v>0</v>
      </c>
      <c r="AB23" s="63">
        <v>0</v>
      </c>
      <c r="AC23" s="63">
        <v>0</v>
      </c>
      <c r="AD23" s="63">
        <v>0</v>
      </c>
      <c r="AE23" s="63">
        <v>0</v>
      </c>
      <c r="AF23" s="63">
        <v>0</v>
      </c>
      <c r="AG23" s="63">
        <v>0</v>
      </c>
      <c r="AH23" s="63">
        <v>0</v>
      </c>
      <c r="AI23" s="63">
        <v>0</v>
      </c>
      <c r="AJ23" s="63">
        <v>5</v>
      </c>
      <c r="AK23" s="63">
        <v>4</v>
      </c>
      <c r="AL23" s="63" t="s">
        <v>35</v>
      </c>
      <c r="AM23" s="63" t="s">
        <v>36</v>
      </c>
      <c r="AN23" s="220" t="s">
        <v>33</v>
      </c>
      <c r="AO23" s="224"/>
      <c r="AP23" s="95" t="str">
        <f>IF(C23=VLOOKUP($A23,Feature_List!$A$2:$AO$101,MATCH(AP$1,Feature_List!$A$1:$AO$1,0),FALSE),"OK","BAD")</f>
        <v>BAD</v>
      </c>
      <c r="AQ23" s="95" t="str">
        <f>IF(D23=VLOOKUP($A23,Feature_List!$A$2:$AO$101,MATCH(AQ$1,Feature_List!$A$1:$AO$1,0),FALSE),"OK","BAD")</f>
        <v>BAD</v>
      </c>
      <c r="AR23" s="95" t="str">
        <f>IF(E23=VLOOKUP($A23,Feature_List!$A$2:$AO$101,MATCH(AR$1,Feature_List!$A$1:$AO$1,0),FALSE),"OK","BAD")</f>
        <v>OK</v>
      </c>
      <c r="AS23" s="95" t="str">
        <f>IF(F23=VLOOKUP($A23,Feature_List!$A$2:$AO$101,MATCH(AS$1,Feature_List!$A$1:$AO$1,0),FALSE),"OK","BAD")</f>
        <v>OK</v>
      </c>
      <c r="AT23" s="95" t="s">
        <v>985</v>
      </c>
      <c r="AU23" s="95" t="s">
        <v>985</v>
      </c>
      <c r="AV23" s="95" t="str">
        <f>IF(I23=VLOOKUP($A23,Feature_List!$A$2:$AO$101,MATCH(AV$1,Feature_List!$A$1:$AO$1,0),FALSE),"OK","BAD")</f>
        <v>OK</v>
      </c>
      <c r="AW23" s="95" t="str">
        <f>IF(J23=VLOOKUP($A23,Feature_List!$A$2:$AO$101,MATCH(AW$1,Feature_List!$A$1:$AO$1,0),FALSE),"OK","BAD")</f>
        <v>OK</v>
      </c>
      <c r="AX23" s="95" t="str">
        <f>IF(K23=VLOOKUP($A23,Feature_List!$A$2:$AO$101,MATCH(AX$1,Feature_List!$A$1:$AO$1,0),FALSE),"OK","BAD")</f>
        <v>OK</v>
      </c>
      <c r="AY23" s="95" t="str">
        <f>IF(L23=VLOOKUP($A23,Feature_List!$A$2:$AO$101,MATCH(AY$1,Feature_List!$A$1:$AO$1,0),FALSE),"OK","BAD")</f>
        <v>OK</v>
      </c>
      <c r="AZ23" s="95" t="str">
        <f>IF(M23=VLOOKUP($A23,Feature_List!$A$2:$AO$101,MATCH(AZ$1,Feature_List!$A$1:$AO$1,0),FALSE),"OK","BAD")</f>
        <v>OK</v>
      </c>
      <c r="BA23" s="95" t="str">
        <f>IF(N23=VLOOKUP($A23,Feature_List!$A$2:$AO$101,MATCH(BA$1,Feature_List!$A$1:$AO$1,0),FALSE),"OK","BAD")</f>
        <v>OK</v>
      </c>
      <c r="BB23" s="95" t="str">
        <f>IF(O23=VLOOKUP($A23,Feature_List!$A$2:$AO$101,MATCH(BB$1,Feature_List!$A$1:$AO$1,0),FALSE),"OK","BAD")</f>
        <v>OK</v>
      </c>
      <c r="BC23" s="95" t="e">
        <f>IF(P23=VLOOKUP($A23,Feature_List!$A$2:$AO$101,MATCH(BC$1,Feature_List!$A$1:$AO$1,0),FALSE),"OK","BAD")</f>
        <v>#N/A</v>
      </c>
      <c r="BD23" s="95" t="str">
        <f>IF(Q23=VLOOKUP($A23,Feature_List!$A$2:$AO$101,MATCH(BD$1,Feature_List!$A$1:$AO$1,0),FALSE),"OK","BAD")</f>
        <v>OK</v>
      </c>
      <c r="BE23" s="95" t="str">
        <f>IF(R23=VLOOKUP($A23,Feature_List!$A$2:$AO$101,MATCH(BE$1,Feature_List!$A$1:$AO$1,0),FALSE),"OK","BAD")</f>
        <v>BAD</v>
      </c>
      <c r="BF23" s="95" t="str">
        <f>IF(S23=VLOOKUP($A23,Feature_List!$A$2:$AO$101,MATCH(BF$1,Feature_List!$A$1:$AO$1,0),FALSE),"OK","BAD")</f>
        <v>OK</v>
      </c>
      <c r="BG23" s="95" t="str">
        <f>IF(T23=VLOOKUP($A23,Feature_List!$A$2:$AO$101,MATCH(BG$1,Feature_List!$A$1:$AO$1,0),FALSE),"OK","BAD")</f>
        <v>OK</v>
      </c>
      <c r="BH23" s="95" t="str">
        <f>IF(U23=VLOOKUP($A23,Feature_List!$A$2:$AO$101,MATCH(BH$1,Feature_List!$A$1:$AO$1,0),FALSE),"OK","BAD")</f>
        <v>BAD</v>
      </c>
      <c r="BI23" s="95" t="str">
        <f>IF(V23=VLOOKUP($A23,Feature_List!$A$2:$AO$101,MATCH(BI$1,Feature_List!$A$1:$AO$1,0),FALSE),"OK","BAD")</f>
        <v>OK</v>
      </c>
      <c r="BJ23" s="95" t="e">
        <f>IF(W23=VLOOKUP($A23,Feature_List!$A$2:$AO$101,MATCH(BJ$1,Feature_List!$A$1:$AO$1,0),FALSE),"OK","BAD")</f>
        <v>#N/A</v>
      </c>
      <c r="BK23" s="95" t="str">
        <f>IF(X23=VLOOKUP($A23,Feature_List!$A$2:$AO$101,MATCH(BK$1,Feature_List!$A$1:$AO$1,0),FALSE),"OK","BAD")</f>
        <v>OK</v>
      </c>
      <c r="BL23" s="95" t="str">
        <f>IF(Y23=VLOOKUP($A23,Feature_List!$A$2:$AO$101,MATCH(BL$1,Feature_List!$A$1:$AO$1,0),FALSE),"OK","BAD")</f>
        <v>OK</v>
      </c>
      <c r="BM23" s="95" t="str">
        <f>IF(Z23=VLOOKUP($A23,Feature_List!$A$2:$AO$101,MATCH(BM$1,Feature_List!$A$1:$AO$1,0),FALSE),"OK","BAD")</f>
        <v>OK</v>
      </c>
      <c r="BN23" s="95" t="str">
        <f>IF(AA23=VLOOKUP($A23,Feature_List!$A$2:$AO$101,MATCH(BN$1,Feature_List!$A$1:$AO$1,0),FALSE),"OK","BAD")</f>
        <v>OK</v>
      </c>
      <c r="BO23" s="95" t="str">
        <f>IF(AB23=VLOOKUP($A23,Feature_List!$A$2:$AO$101,MATCH(BO$1,Feature_List!$A$1:$AO$1,0),FALSE),"OK","BAD")</f>
        <v>OK</v>
      </c>
      <c r="BP23" s="95" t="str">
        <f>IF(AC23=VLOOKUP($A23,Feature_List!$A$2:$AO$101,MATCH(BP$1,Feature_List!$A$1:$AO$1,0),FALSE),"OK","BAD")</f>
        <v>OK</v>
      </c>
      <c r="BQ23" s="95" t="str">
        <f>IF(AD23=VLOOKUP($A23,Feature_List!$A$2:$AO$101,MATCH(BQ$1,Feature_List!$A$1:$AO$1,0),FALSE),"OK","BAD")</f>
        <v>OK</v>
      </c>
      <c r="BR23" s="95" t="str">
        <f>IF(AE23=VLOOKUP($A23,Feature_List!$A$2:$AO$101,MATCH(BR$1,Feature_List!$A$1:$AO$1,0),FALSE),"OK","BAD")</f>
        <v>OK</v>
      </c>
      <c r="BS23" s="95" t="str">
        <f>IF(AF23=VLOOKUP($A23,Feature_List!$A$2:$AO$101,MATCH(BS$1,Feature_List!$A$1:$AO$1,0),FALSE),"OK","BAD")</f>
        <v>OK</v>
      </c>
      <c r="BT23" s="95" t="str">
        <f>IF(AG23=VLOOKUP($A23,Feature_List!$A$2:$AO$101,MATCH(BT$1,Feature_List!$A$1:$AO$1,0),FALSE),"OK","BAD")</f>
        <v>OK</v>
      </c>
      <c r="BU23" s="95" t="str">
        <f>IF(AH23=VLOOKUP($A23,Feature_List!$A$2:$AO$101,MATCH(BU$1,Feature_List!$A$1:$AO$1,0),FALSE),"OK","BAD")</f>
        <v>OK</v>
      </c>
      <c r="BV23" s="95" t="e">
        <f>IF(AI23=VLOOKUP($A23,Feature_List!$A$2:$AO$101,MATCH(BV$1,Feature_List!$A$1:$AO$1,0),FALSE),"OK","BAD")</f>
        <v>#N/A</v>
      </c>
      <c r="BW23" s="95" t="e">
        <f>IF(AJ23=VLOOKUP($A23,Feature_List!$A$2:$AO$101,MATCH(BW$1,Feature_List!$A$1:$AO$1,0),FALSE),"OK","BAD")</f>
        <v>#N/A</v>
      </c>
      <c r="BX23" s="95" t="e">
        <f>IF(AK23=VLOOKUP($A23,Feature_List!$A$2:$AO$101,MATCH(BX$1,Feature_List!$A$1:$AO$1,0),FALSE),"OK","BAD")</f>
        <v>#N/A</v>
      </c>
      <c r="BY23" s="95" t="str">
        <f>IF(AL23=VLOOKUP($A23,Feature_List!$A$2:$AO$101,MATCH(BY$1,Feature_List!$A$1:$AO$1,0),FALSE),"OK","BAD")</f>
        <v>OK</v>
      </c>
      <c r="BZ23" s="95" t="str">
        <f>IF(AM23=VLOOKUP($A23,Feature_List!$A$2:$AO$101,MATCH(BZ$1,Feature_List!$A$1:$AO$1,0),FALSE),"OK","BAD")</f>
        <v>OK</v>
      </c>
      <c r="CA23" s="95" t="str">
        <f>IF(AN23=VLOOKUP($A23,Feature_List!$A$2:$AO$101,MATCH(CA$1,Feature_List!$A$1:$AO$1,0),FALSE),"OK","BAD")</f>
        <v>OK</v>
      </c>
    </row>
    <row r="24" spans="1:79" ht="14.4" customHeight="1" x14ac:dyDescent="0.3">
      <c r="A24" s="34">
        <v>396492</v>
      </c>
      <c r="B24" s="34" t="s">
        <v>1168</v>
      </c>
      <c r="C24" s="34" t="s">
        <v>1012</v>
      </c>
      <c r="D24" s="34" t="s">
        <v>106</v>
      </c>
      <c r="E24" s="54">
        <v>31</v>
      </c>
      <c r="F24" s="34" t="s">
        <v>880</v>
      </c>
      <c r="G24" s="34" t="s">
        <v>1526</v>
      </c>
      <c r="H24" s="34" t="s">
        <v>164</v>
      </c>
      <c r="I24" s="34" t="s">
        <v>560</v>
      </c>
      <c r="J24" s="34" t="s">
        <v>1412</v>
      </c>
      <c r="K24" s="34">
        <v>395610</v>
      </c>
      <c r="L24" s="96" t="s">
        <v>17</v>
      </c>
      <c r="M24" s="34" t="s">
        <v>555</v>
      </c>
      <c r="N24" s="34" t="s">
        <v>559</v>
      </c>
      <c r="O24" s="34">
        <v>1</v>
      </c>
      <c r="P24" s="34" t="s">
        <v>131</v>
      </c>
      <c r="Q24" s="54">
        <v>1</v>
      </c>
      <c r="R24" s="34">
        <v>26</v>
      </c>
      <c r="S24" s="54">
        <v>0</v>
      </c>
      <c r="T24" s="54">
        <v>0</v>
      </c>
      <c r="U24" s="54">
        <v>0</v>
      </c>
      <c r="V24" s="54">
        <v>0</v>
      </c>
      <c r="W24" s="54">
        <v>0</v>
      </c>
      <c r="X24" s="54">
        <v>0</v>
      </c>
      <c r="Y24" s="54">
        <v>0</v>
      </c>
      <c r="Z24" s="54">
        <v>0</v>
      </c>
      <c r="AA24" s="54">
        <v>0</v>
      </c>
      <c r="AB24" s="54">
        <v>0</v>
      </c>
      <c r="AC24" s="54">
        <v>0</v>
      </c>
      <c r="AD24" s="54">
        <v>5</v>
      </c>
      <c r="AE24" s="54">
        <v>0</v>
      </c>
      <c r="AF24" s="54">
        <v>0</v>
      </c>
      <c r="AG24" s="54">
        <v>0</v>
      </c>
      <c r="AH24" s="54">
        <v>0</v>
      </c>
      <c r="AI24" s="54">
        <v>0</v>
      </c>
      <c r="AJ24" s="54">
        <v>5</v>
      </c>
      <c r="AK24" s="54">
        <v>0</v>
      </c>
      <c r="AL24" s="54" t="s">
        <v>35</v>
      </c>
      <c r="AM24" s="54" t="s">
        <v>854</v>
      </c>
      <c r="AN24" s="221" t="s">
        <v>33</v>
      </c>
      <c r="AO24" s="224"/>
      <c r="AP24" s="95" t="e">
        <f>IF(C24=VLOOKUP($A24,Feature_List!$A$2:$AO$101,MATCH(AP$1,Feature_List!$A$1:$AO$1,0),FALSE),"OK","BAD")</f>
        <v>#N/A</v>
      </c>
      <c r="AQ24" s="95" t="e">
        <f>IF(D24=VLOOKUP($A24,Feature_List!$A$2:$AO$101,MATCH(AQ$1,Feature_List!$A$1:$AO$1,0),FALSE),"OK","BAD")</f>
        <v>#N/A</v>
      </c>
      <c r="AR24" s="95" t="e">
        <f>IF(E24=VLOOKUP($A24,Feature_List!$A$2:$AO$101,MATCH(AR$1,Feature_List!$A$1:$AO$1,0),FALSE),"OK","BAD")</f>
        <v>#N/A</v>
      </c>
      <c r="AS24" s="95" t="e">
        <f>IF(F24=VLOOKUP($A24,Feature_List!$A$2:$AO$101,MATCH(AS$1,Feature_List!$A$1:$AO$1,0),FALSE),"OK","BAD")</f>
        <v>#N/A</v>
      </c>
      <c r="AT24" s="95" t="s">
        <v>985</v>
      </c>
      <c r="AU24" s="95" t="s">
        <v>985</v>
      </c>
      <c r="AV24" s="95" t="e">
        <f>IF(I24=VLOOKUP($A24,Feature_List!$A$2:$AO$101,MATCH(AV$1,Feature_List!$A$1:$AO$1,0),FALSE),"OK","BAD")</f>
        <v>#N/A</v>
      </c>
      <c r="AW24" s="95" t="e">
        <f>IF(J24=VLOOKUP($A24,Feature_List!$A$2:$AO$101,MATCH(AW$1,Feature_List!$A$1:$AO$1,0),FALSE),"OK","BAD")</f>
        <v>#N/A</v>
      </c>
      <c r="AX24" s="95" t="e">
        <f>IF(K24=VLOOKUP($A24,Feature_List!$A$2:$AO$101,MATCH(AX$1,Feature_List!$A$1:$AO$1,0),FALSE),"OK","BAD")</f>
        <v>#N/A</v>
      </c>
      <c r="AY24" s="95" t="e">
        <f>IF(L24=VLOOKUP($A24,Feature_List!$A$2:$AO$101,MATCH(AY$1,Feature_List!$A$1:$AO$1,0),FALSE),"OK","BAD")</f>
        <v>#N/A</v>
      </c>
      <c r="AZ24" s="95" t="e">
        <f>IF(M24=VLOOKUP($A24,Feature_List!$A$2:$AO$101,MATCH(AZ$1,Feature_List!$A$1:$AO$1,0),FALSE),"OK","BAD")</f>
        <v>#N/A</v>
      </c>
      <c r="BA24" s="95" t="e">
        <f>IF(N24=VLOOKUP($A24,Feature_List!$A$2:$AO$101,MATCH(BA$1,Feature_List!$A$1:$AO$1,0),FALSE),"OK","BAD")</f>
        <v>#N/A</v>
      </c>
      <c r="BB24" s="95" t="e">
        <f>IF(O24=VLOOKUP($A24,Feature_List!$A$2:$AO$101,MATCH(BB$1,Feature_List!$A$1:$AO$1,0),FALSE),"OK","BAD")</f>
        <v>#N/A</v>
      </c>
      <c r="BC24" s="95" t="e">
        <f>IF(P24=VLOOKUP($A24,Feature_List!$A$2:$AO$101,MATCH(BC$1,Feature_List!$A$1:$AO$1,0),FALSE),"OK","BAD")</f>
        <v>#N/A</v>
      </c>
      <c r="BD24" s="95" t="e">
        <f>IF(Q24=VLOOKUP($A24,Feature_List!$A$2:$AO$101,MATCH(BD$1,Feature_List!$A$1:$AO$1,0),FALSE),"OK","BAD")</f>
        <v>#N/A</v>
      </c>
      <c r="BE24" s="95" t="e">
        <f>IF(R24=VLOOKUP($A24,Feature_List!$A$2:$AO$101,MATCH(BE$1,Feature_List!$A$1:$AO$1,0),FALSE),"OK","BAD")</f>
        <v>#N/A</v>
      </c>
      <c r="BF24" s="95" t="e">
        <f>IF(S24=VLOOKUP($A24,Feature_List!$A$2:$AO$101,MATCH(BF$1,Feature_List!$A$1:$AO$1,0),FALSE),"OK","BAD")</f>
        <v>#N/A</v>
      </c>
      <c r="BG24" s="95" t="e">
        <f>IF(T24=VLOOKUP($A24,Feature_List!$A$2:$AO$101,MATCH(BG$1,Feature_List!$A$1:$AO$1,0),FALSE),"OK","BAD")</f>
        <v>#N/A</v>
      </c>
      <c r="BH24" s="95" t="e">
        <f>IF(U24=VLOOKUP($A24,Feature_List!$A$2:$AO$101,MATCH(BH$1,Feature_List!$A$1:$AO$1,0),FALSE),"OK","BAD")</f>
        <v>#N/A</v>
      </c>
      <c r="BI24" s="95" t="e">
        <f>IF(V24=VLOOKUP($A24,Feature_List!$A$2:$AO$101,MATCH(BI$1,Feature_List!$A$1:$AO$1,0),FALSE),"OK","BAD")</f>
        <v>#N/A</v>
      </c>
      <c r="BJ24" s="95" t="e">
        <f>IF(W24=VLOOKUP($A24,Feature_List!$A$2:$AO$101,MATCH(BJ$1,Feature_List!$A$1:$AO$1,0),FALSE),"OK","BAD")</f>
        <v>#N/A</v>
      </c>
      <c r="BK24" s="95" t="e">
        <f>IF(X24=VLOOKUP($A24,Feature_List!$A$2:$AO$101,MATCH(BK$1,Feature_List!$A$1:$AO$1,0),FALSE),"OK","BAD")</f>
        <v>#N/A</v>
      </c>
      <c r="BL24" s="95" t="e">
        <f>IF(Y24=VLOOKUP($A24,Feature_List!$A$2:$AO$101,MATCH(BL$1,Feature_List!$A$1:$AO$1,0),FALSE),"OK","BAD")</f>
        <v>#N/A</v>
      </c>
      <c r="BM24" s="95" t="e">
        <f>IF(Z24=VLOOKUP($A24,Feature_List!$A$2:$AO$101,MATCH(BM$1,Feature_List!$A$1:$AO$1,0),FALSE),"OK","BAD")</f>
        <v>#N/A</v>
      </c>
      <c r="BN24" s="95" t="e">
        <f>IF(AA24=VLOOKUP($A24,Feature_List!$A$2:$AO$101,MATCH(BN$1,Feature_List!$A$1:$AO$1,0),FALSE),"OK","BAD")</f>
        <v>#N/A</v>
      </c>
      <c r="BO24" s="95" t="e">
        <f>IF(AB24=VLOOKUP($A24,Feature_List!$A$2:$AO$101,MATCH(BO$1,Feature_List!$A$1:$AO$1,0),FALSE),"OK","BAD")</f>
        <v>#N/A</v>
      </c>
      <c r="BP24" s="95" t="e">
        <f>IF(AC24=VLOOKUP($A24,Feature_List!$A$2:$AO$101,MATCH(BP$1,Feature_List!$A$1:$AO$1,0),FALSE),"OK","BAD")</f>
        <v>#N/A</v>
      </c>
      <c r="BQ24" s="95" t="e">
        <f>IF(AD24=VLOOKUP($A24,Feature_List!$A$2:$AO$101,MATCH(BQ$1,Feature_List!$A$1:$AO$1,0),FALSE),"OK","BAD")</f>
        <v>#N/A</v>
      </c>
      <c r="BR24" s="95" t="e">
        <f>IF(AE24=VLOOKUP($A24,Feature_List!$A$2:$AO$101,MATCH(BR$1,Feature_List!$A$1:$AO$1,0),FALSE),"OK","BAD")</f>
        <v>#N/A</v>
      </c>
      <c r="BS24" s="95" t="e">
        <f>IF(AF24=VLOOKUP($A24,Feature_List!$A$2:$AO$101,MATCH(BS$1,Feature_List!$A$1:$AO$1,0),FALSE),"OK","BAD")</f>
        <v>#N/A</v>
      </c>
      <c r="BT24" s="95" t="e">
        <f>IF(AG24=VLOOKUP($A24,Feature_List!$A$2:$AO$101,MATCH(BT$1,Feature_List!$A$1:$AO$1,0),FALSE),"OK","BAD")</f>
        <v>#N/A</v>
      </c>
      <c r="BU24" s="95" t="e">
        <f>IF(AH24=VLOOKUP($A24,Feature_List!$A$2:$AO$101,MATCH(BU$1,Feature_List!$A$1:$AO$1,0),FALSE),"OK","BAD")</f>
        <v>#N/A</v>
      </c>
      <c r="BV24" s="95" t="e">
        <f>IF(AI24=VLOOKUP($A24,Feature_List!$A$2:$AO$101,MATCH(BV$1,Feature_List!$A$1:$AO$1,0),FALSE),"OK","BAD")</f>
        <v>#N/A</v>
      </c>
      <c r="BW24" s="95" t="e">
        <f>IF(AJ24=VLOOKUP($A24,Feature_List!$A$2:$AO$101,MATCH(BW$1,Feature_List!$A$1:$AO$1,0),FALSE),"OK","BAD")</f>
        <v>#N/A</v>
      </c>
      <c r="BX24" s="95" t="e">
        <f>IF(AK24=VLOOKUP($A24,Feature_List!$A$2:$AO$101,MATCH(BX$1,Feature_List!$A$1:$AO$1,0),FALSE),"OK","BAD")</f>
        <v>#N/A</v>
      </c>
      <c r="BY24" s="95" t="e">
        <f>IF(AL24=VLOOKUP($A24,Feature_List!$A$2:$AO$101,MATCH(BY$1,Feature_List!$A$1:$AO$1,0),FALSE),"OK","BAD")</f>
        <v>#N/A</v>
      </c>
      <c r="BZ24" s="95" t="e">
        <f>IF(AM24=VLOOKUP($A24,Feature_List!$A$2:$AO$101,MATCH(BZ$1,Feature_List!$A$1:$AO$1,0),FALSE),"OK","BAD")</f>
        <v>#N/A</v>
      </c>
      <c r="CA24" s="95" t="e">
        <f>IF(AN24=VLOOKUP($A24,Feature_List!$A$2:$AO$101,MATCH(CA$1,Feature_List!$A$1:$AO$1,0),FALSE),"OK","BAD")</f>
        <v>#N/A</v>
      </c>
    </row>
    <row r="25" spans="1:79" ht="14.4" customHeight="1" x14ac:dyDescent="0.3">
      <c r="A25" s="70">
        <v>396437</v>
      </c>
      <c r="B25" s="65" t="s">
        <v>1134</v>
      </c>
      <c r="C25" s="98" t="s">
        <v>1145</v>
      </c>
      <c r="D25" s="65" t="s">
        <v>106</v>
      </c>
      <c r="E25" s="64">
        <v>30</v>
      </c>
      <c r="F25" s="64" t="s">
        <v>41</v>
      </c>
      <c r="G25" s="64" t="s">
        <v>1162</v>
      </c>
      <c r="H25" s="64" t="s">
        <v>981</v>
      </c>
      <c r="I25" s="99" t="s">
        <v>38</v>
      </c>
      <c r="J25" s="64" t="s">
        <v>1414</v>
      </c>
      <c r="K25" s="64">
        <v>0</v>
      </c>
      <c r="L25" s="62" t="s">
        <v>18</v>
      </c>
      <c r="M25" s="67" t="s">
        <v>42</v>
      </c>
      <c r="N25" s="67" t="s">
        <v>46</v>
      </c>
      <c r="O25" s="67">
        <v>0</v>
      </c>
      <c r="P25" s="66" t="s">
        <v>131</v>
      </c>
      <c r="Q25" s="63">
        <v>1</v>
      </c>
      <c r="R25" s="63">
        <v>0</v>
      </c>
      <c r="S25" s="63">
        <v>0</v>
      </c>
      <c r="T25" s="63">
        <v>0</v>
      </c>
      <c r="U25" s="63">
        <v>0</v>
      </c>
      <c r="V25" s="63">
        <v>0</v>
      </c>
      <c r="W25" s="63">
        <v>0</v>
      </c>
      <c r="X25" s="63">
        <v>0</v>
      </c>
      <c r="Y25" s="63">
        <v>0</v>
      </c>
      <c r="Z25" s="63">
        <v>0</v>
      </c>
      <c r="AA25" s="63">
        <v>0</v>
      </c>
      <c r="AB25" s="63">
        <v>0</v>
      </c>
      <c r="AC25" s="63">
        <v>0</v>
      </c>
      <c r="AD25" s="63">
        <v>0</v>
      </c>
      <c r="AE25" s="63">
        <v>30</v>
      </c>
      <c r="AF25" s="63">
        <v>0</v>
      </c>
      <c r="AG25" s="63">
        <v>0</v>
      </c>
      <c r="AH25" s="63">
        <v>0</v>
      </c>
      <c r="AI25" s="63">
        <v>0</v>
      </c>
      <c r="AJ25" s="63">
        <v>30</v>
      </c>
      <c r="AK25" s="63">
        <v>0</v>
      </c>
      <c r="AL25" s="63" t="s">
        <v>35</v>
      </c>
      <c r="AM25" s="63" t="s">
        <v>36</v>
      </c>
      <c r="AN25" s="220" t="s">
        <v>40</v>
      </c>
      <c r="AO25" s="224"/>
      <c r="AP25" s="95" t="e">
        <f>IF(C25=VLOOKUP($A25,Feature_List!$A$2:$AO$101,MATCH(AP$1,Feature_List!$A$1:$AO$1,0),FALSE),"OK","BAD")</f>
        <v>#N/A</v>
      </c>
      <c r="AQ25" s="95" t="e">
        <f>IF(D25=VLOOKUP($A25,Feature_List!$A$2:$AO$101,MATCH(AQ$1,Feature_List!$A$1:$AO$1,0),FALSE),"OK","BAD")</f>
        <v>#N/A</v>
      </c>
      <c r="AR25" s="95" t="e">
        <f>IF(E25=VLOOKUP($A25,Feature_List!$A$2:$AO$101,MATCH(AR$1,Feature_List!$A$1:$AO$1,0),FALSE),"OK","BAD")</f>
        <v>#N/A</v>
      </c>
      <c r="AS25" s="95" t="e">
        <f>IF(F25=VLOOKUP($A25,Feature_List!$A$2:$AO$101,MATCH(AS$1,Feature_List!$A$1:$AO$1,0),FALSE),"OK","BAD")</f>
        <v>#N/A</v>
      </c>
      <c r="AT25" s="95" t="s">
        <v>985</v>
      </c>
      <c r="AU25" s="95" t="s">
        <v>985</v>
      </c>
      <c r="AV25" s="95" t="e">
        <f>IF(I25=VLOOKUP($A25,Feature_List!$A$2:$AO$101,MATCH(AV$1,Feature_List!$A$1:$AO$1,0),FALSE),"OK","BAD")</f>
        <v>#N/A</v>
      </c>
      <c r="AW25" s="95" t="e">
        <f>IF(J25=VLOOKUP($A25,Feature_List!$A$2:$AO$101,MATCH(AW$1,Feature_List!$A$1:$AO$1,0),FALSE),"OK","BAD")</f>
        <v>#N/A</v>
      </c>
      <c r="AX25" s="95" t="e">
        <f>IF(K25=VLOOKUP($A25,Feature_List!$A$2:$AO$101,MATCH(AX$1,Feature_List!$A$1:$AO$1,0),FALSE),"OK","BAD")</f>
        <v>#N/A</v>
      </c>
      <c r="AY25" s="95" t="e">
        <f>IF(L25=VLOOKUP($A25,Feature_List!$A$2:$AO$101,MATCH(AY$1,Feature_List!$A$1:$AO$1,0),FALSE),"OK","BAD")</f>
        <v>#N/A</v>
      </c>
      <c r="AZ25" s="95" t="e">
        <f>IF(M25=VLOOKUP($A25,Feature_List!$A$2:$AO$101,MATCH(AZ$1,Feature_List!$A$1:$AO$1,0),FALSE),"OK","BAD")</f>
        <v>#N/A</v>
      </c>
      <c r="BA25" s="95" t="e">
        <f>IF(N25=VLOOKUP($A25,Feature_List!$A$2:$AO$101,MATCH(BA$1,Feature_List!$A$1:$AO$1,0),FALSE),"OK","BAD")</f>
        <v>#N/A</v>
      </c>
      <c r="BB25" s="95" t="e">
        <f>IF(O25=VLOOKUP($A25,Feature_List!$A$2:$AO$101,MATCH(BB$1,Feature_List!$A$1:$AO$1,0),FALSE),"OK","BAD")</f>
        <v>#N/A</v>
      </c>
      <c r="BC25" s="95" t="e">
        <f>IF(P25=VLOOKUP($A25,Feature_List!$A$2:$AO$101,MATCH(BC$1,Feature_List!$A$1:$AO$1,0),FALSE),"OK","BAD")</f>
        <v>#N/A</v>
      </c>
      <c r="BD25" s="95" t="e">
        <f>IF(Q25=VLOOKUP($A25,Feature_List!$A$2:$AO$101,MATCH(BD$1,Feature_List!$A$1:$AO$1,0),FALSE),"OK","BAD")</f>
        <v>#N/A</v>
      </c>
      <c r="BE25" s="95" t="e">
        <f>IF(R25=VLOOKUP($A25,Feature_List!$A$2:$AO$101,MATCH(BE$1,Feature_List!$A$1:$AO$1,0),FALSE),"OK","BAD")</f>
        <v>#N/A</v>
      </c>
      <c r="BF25" s="95" t="e">
        <f>IF(S25=VLOOKUP($A25,Feature_List!$A$2:$AO$101,MATCH(BF$1,Feature_List!$A$1:$AO$1,0),FALSE),"OK","BAD")</f>
        <v>#N/A</v>
      </c>
      <c r="BG25" s="95" t="e">
        <f>IF(T25=VLOOKUP($A25,Feature_List!$A$2:$AO$101,MATCH(BG$1,Feature_List!$A$1:$AO$1,0),FALSE),"OK","BAD")</f>
        <v>#N/A</v>
      </c>
      <c r="BH25" s="95" t="e">
        <f>IF(U25=VLOOKUP($A25,Feature_List!$A$2:$AO$101,MATCH(BH$1,Feature_List!$A$1:$AO$1,0),FALSE),"OK","BAD")</f>
        <v>#N/A</v>
      </c>
      <c r="BI25" s="95" t="e">
        <f>IF(V25=VLOOKUP($A25,Feature_List!$A$2:$AO$101,MATCH(BI$1,Feature_List!$A$1:$AO$1,0),FALSE),"OK","BAD")</f>
        <v>#N/A</v>
      </c>
      <c r="BJ25" s="95" t="e">
        <f>IF(W25=VLOOKUP($A25,Feature_List!$A$2:$AO$101,MATCH(BJ$1,Feature_List!$A$1:$AO$1,0),FALSE),"OK","BAD")</f>
        <v>#N/A</v>
      </c>
      <c r="BK25" s="95" t="e">
        <f>IF(X25=VLOOKUP($A25,Feature_List!$A$2:$AO$101,MATCH(BK$1,Feature_List!$A$1:$AO$1,0),FALSE),"OK","BAD")</f>
        <v>#N/A</v>
      </c>
      <c r="BL25" s="95" t="e">
        <f>IF(Y25=VLOOKUP($A25,Feature_List!$A$2:$AO$101,MATCH(BL$1,Feature_List!$A$1:$AO$1,0),FALSE),"OK","BAD")</f>
        <v>#N/A</v>
      </c>
      <c r="BM25" s="95" t="e">
        <f>IF(Z25=VLOOKUP($A25,Feature_List!$A$2:$AO$101,MATCH(BM$1,Feature_List!$A$1:$AO$1,0),FALSE),"OK","BAD")</f>
        <v>#N/A</v>
      </c>
      <c r="BN25" s="95" t="e">
        <f>IF(AA25=VLOOKUP($A25,Feature_List!$A$2:$AO$101,MATCH(BN$1,Feature_List!$A$1:$AO$1,0),FALSE),"OK","BAD")</f>
        <v>#N/A</v>
      </c>
      <c r="BO25" s="95" t="e">
        <f>IF(AB25=VLOOKUP($A25,Feature_List!$A$2:$AO$101,MATCH(BO$1,Feature_List!$A$1:$AO$1,0),FALSE),"OK","BAD")</f>
        <v>#N/A</v>
      </c>
      <c r="BP25" s="95" t="e">
        <f>IF(AC25=VLOOKUP($A25,Feature_List!$A$2:$AO$101,MATCH(BP$1,Feature_List!$A$1:$AO$1,0),FALSE),"OK","BAD")</f>
        <v>#N/A</v>
      </c>
      <c r="BQ25" s="95" t="e">
        <f>IF(AD25=VLOOKUP($A25,Feature_List!$A$2:$AO$101,MATCH(BQ$1,Feature_List!$A$1:$AO$1,0),FALSE),"OK","BAD")</f>
        <v>#N/A</v>
      </c>
      <c r="BR25" s="95" t="e">
        <f>IF(AE25=VLOOKUP($A25,Feature_List!$A$2:$AO$101,MATCH(BR$1,Feature_List!$A$1:$AO$1,0),FALSE),"OK","BAD")</f>
        <v>#N/A</v>
      </c>
      <c r="BS25" s="95" t="e">
        <f>IF(AF25=VLOOKUP($A25,Feature_List!$A$2:$AO$101,MATCH(BS$1,Feature_List!$A$1:$AO$1,0),FALSE),"OK","BAD")</f>
        <v>#N/A</v>
      </c>
      <c r="BT25" s="95" t="e">
        <f>IF(AG25=VLOOKUP($A25,Feature_List!$A$2:$AO$101,MATCH(BT$1,Feature_List!$A$1:$AO$1,0),FALSE),"OK","BAD")</f>
        <v>#N/A</v>
      </c>
      <c r="BU25" s="95" t="e">
        <f>IF(AH25=VLOOKUP($A25,Feature_List!$A$2:$AO$101,MATCH(BU$1,Feature_List!$A$1:$AO$1,0),FALSE),"OK","BAD")</f>
        <v>#N/A</v>
      </c>
      <c r="BV25" s="95" t="e">
        <f>IF(AI25=VLOOKUP($A25,Feature_List!$A$2:$AO$101,MATCH(BV$1,Feature_List!$A$1:$AO$1,0),FALSE),"OK","BAD")</f>
        <v>#N/A</v>
      </c>
      <c r="BW25" s="95" t="e">
        <f>IF(AJ25=VLOOKUP($A25,Feature_List!$A$2:$AO$101,MATCH(BW$1,Feature_List!$A$1:$AO$1,0),FALSE),"OK","BAD")</f>
        <v>#N/A</v>
      </c>
      <c r="BX25" s="95" t="e">
        <f>IF(AK25=VLOOKUP($A25,Feature_List!$A$2:$AO$101,MATCH(BX$1,Feature_List!$A$1:$AO$1,0),FALSE),"OK","BAD")</f>
        <v>#N/A</v>
      </c>
      <c r="BY25" s="95" t="e">
        <f>IF(AL25=VLOOKUP($A25,Feature_List!$A$2:$AO$101,MATCH(BY$1,Feature_List!$A$1:$AO$1,0),FALSE),"OK","BAD")</f>
        <v>#N/A</v>
      </c>
      <c r="BZ25" s="95" t="e">
        <f>IF(AM25=VLOOKUP($A25,Feature_List!$A$2:$AO$101,MATCH(BZ$1,Feature_List!$A$1:$AO$1,0),FALSE),"OK","BAD")</f>
        <v>#N/A</v>
      </c>
      <c r="CA25" s="95" t="e">
        <f>IF(AN25=VLOOKUP($A25,Feature_List!$A$2:$AO$101,MATCH(CA$1,Feature_List!$A$1:$AO$1,0),FALSE),"OK","BAD")</f>
        <v>#N/A</v>
      </c>
    </row>
    <row r="26" spans="1:79" ht="14.4" customHeight="1" x14ac:dyDescent="0.3">
      <c r="A26" s="70">
        <v>396415</v>
      </c>
      <c r="B26" s="65" t="s">
        <v>1133</v>
      </c>
      <c r="C26" s="98" t="s">
        <v>1145</v>
      </c>
      <c r="D26" s="65" t="s">
        <v>28</v>
      </c>
      <c r="E26" s="64">
        <v>54</v>
      </c>
      <c r="F26" s="64" t="s">
        <v>41</v>
      </c>
      <c r="G26" s="64" t="s">
        <v>1162</v>
      </c>
      <c r="H26" s="64" t="s">
        <v>981</v>
      </c>
      <c r="I26" s="99" t="s">
        <v>38</v>
      </c>
      <c r="J26" s="64" t="s">
        <v>1414</v>
      </c>
      <c r="K26" s="64">
        <v>0</v>
      </c>
      <c r="L26" s="62" t="s">
        <v>18</v>
      </c>
      <c r="M26" s="67" t="s">
        <v>42</v>
      </c>
      <c r="N26" s="67" t="s">
        <v>46</v>
      </c>
      <c r="O26" s="67">
        <v>0</v>
      </c>
      <c r="P26" s="66" t="s">
        <v>131</v>
      </c>
      <c r="Q26" s="63">
        <v>1</v>
      </c>
      <c r="R26" s="63">
        <v>0</v>
      </c>
      <c r="S26" s="63">
        <v>0</v>
      </c>
      <c r="T26" s="63">
        <v>0</v>
      </c>
      <c r="U26" s="63">
        <v>0</v>
      </c>
      <c r="V26" s="63">
        <v>0</v>
      </c>
      <c r="W26" s="63">
        <v>0</v>
      </c>
      <c r="X26" s="63">
        <v>0</v>
      </c>
      <c r="Y26" s="63">
        <v>0</v>
      </c>
      <c r="Z26" s="63">
        <v>0</v>
      </c>
      <c r="AA26" s="63">
        <v>0</v>
      </c>
      <c r="AB26" s="63">
        <v>0</v>
      </c>
      <c r="AC26" s="63">
        <v>0</v>
      </c>
      <c r="AD26" s="63">
        <v>0</v>
      </c>
      <c r="AE26" s="63">
        <v>54</v>
      </c>
      <c r="AF26" s="63">
        <v>0</v>
      </c>
      <c r="AG26" s="63">
        <v>0</v>
      </c>
      <c r="AH26" s="63">
        <v>0</v>
      </c>
      <c r="AI26" s="63">
        <v>0</v>
      </c>
      <c r="AJ26" s="63">
        <v>54</v>
      </c>
      <c r="AK26" s="63">
        <v>0</v>
      </c>
      <c r="AL26" s="63" t="s">
        <v>35</v>
      </c>
      <c r="AM26" s="63" t="s">
        <v>36</v>
      </c>
      <c r="AN26" s="220" t="s">
        <v>40</v>
      </c>
      <c r="AO26" s="224"/>
      <c r="AP26" s="95" t="e">
        <f>IF(C26=VLOOKUP($A26,Feature_List!$A$2:$AO$101,MATCH(AP$1,Feature_List!$A$1:$AO$1,0),FALSE),"OK","BAD")</f>
        <v>#N/A</v>
      </c>
      <c r="AQ26" s="95" t="e">
        <f>IF(D26=VLOOKUP($A26,Feature_List!$A$2:$AO$101,MATCH(AQ$1,Feature_List!$A$1:$AO$1,0),FALSE),"OK","BAD")</f>
        <v>#N/A</v>
      </c>
      <c r="AR26" s="95" t="e">
        <f>IF(E26=VLOOKUP($A26,Feature_List!$A$2:$AO$101,MATCH(AR$1,Feature_List!$A$1:$AO$1,0),FALSE),"OK","BAD")</f>
        <v>#N/A</v>
      </c>
      <c r="AS26" s="95" t="e">
        <f>IF(F26=VLOOKUP($A26,Feature_List!$A$2:$AO$101,MATCH(AS$1,Feature_List!$A$1:$AO$1,0),FALSE),"OK","BAD")</f>
        <v>#N/A</v>
      </c>
      <c r="AT26" s="95" t="s">
        <v>985</v>
      </c>
      <c r="AU26" s="95" t="s">
        <v>985</v>
      </c>
      <c r="AV26" s="95" t="e">
        <f>IF(I26=VLOOKUP($A26,Feature_List!$A$2:$AO$101,MATCH(AV$1,Feature_List!$A$1:$AO$1,0),FALSE),"OK","BAD")</f>
        <v>#N/A</v>
      </c>
      <c r="AW26" s="95" t="e">
        <f>IF(J26=VLOOKUP($A26,Feature_List!$A$2:$AO$101,MATCH(AW$1,Feature_List!$A$1:$AO$1,0),FALSE),"OK","BAD")</f>
        <v>#N/A</v>
      </c>
      <c r="AX26" s="95" t="e">
        <f>IF(K26=VLOOKUP($A26,Feature_List!$A$2:$AO$101,MATCH(AX$1,Feature_List!$A$1:$AO$1,0),FALSE),"OK","BAD")</f>
        <v>#N/A</v>
      </c>
      <c r="AY26" s="95" t="e">
        <f>IF(L26=VLOOKUP($A26,Feature_List!$A$2:$AO$101,MATCH(AY$1,Feature_List!$A$1:$AO$1,0),FALSE),"OK","BAD")</f>
        <v>#N/A</v>
      </c>
      <c r="AZ26" s="95" t="e">
        <f>IF(M26=VLOOKUP($A26,Feature_List!$A$2:$AO$101,MATCH(AZ$1,Feature_List!$A$1:$AO$1,0),FALSE),"OK","BAD")</f>
        <v>#N/A</v>
      </c>
      <c r="BA26" s="95" t="e">
        <f>IF(N26=VLOOKUP($A26,Feature_List!$A$2:$AO$101,MATCH(BA$1,Feature_List!$A$1:$AO$1,0),FALSE),"OK","BAD")</f>
        <v>#N/A</v>
      </c>
      <c r="BB26" s="95" t="e">
        <f>IF(O26=VLOOKUP($A26,Feature_List!$A$2:$AO$101,MATCH(BB$1,Feature_List!$A$1:$AO$1,0),FALSE),"OK","BAD")</f>
        <v>#N/A</v>
      </c>
      <c r="BC26" s="95" t="e">
        <f>IF(P26=VLOOKUP($A26,Feature_List!$A$2:$AO$101,MATCH(BC$1,Feature_List!$A$1:$AO$1,0),FALSE),"OK","BAD")</f>
        <v>#N/A</v>
      </c>
      <c r="BD26" s="95" t="e">
        <f>IF(Q26=VLOOKUP($A26,Feature_List!$A$2:$AO$101,MATCH(BD$1,Feature_List!$A$1:$AO$1,0),FALSE),"OK","BAD")</f>
        <v>#N/A</v>
      </c>
      <c r="BE26" s="95" t="e">
        <f>IF(R26=VLOOKUP($A26,Feature_List!$A$2:$AO$101,MATCH(BE$1,Feature_List!$A$1:$AO$1,0),FALSE),"OK","BAD")</f>
        <v>#N/A</v>
      </c>
      <c r="BF26" s="95" t="e">
        <f>IF(S26=VLOOKUP($A26,Feature_List!$A$2:$AO$101,MATCH(BF$1,Feature_List!$A$1:$AO$1,0),FALSE),"OK","BAD")</f>
        <v>#N/A</v>
      </c>
      <c r="BG26" s="95" t="e">
        <f>IF(T26=VLOOKUP($A26,Feature_List!$A$2:$AO$101,MATCH(BG$1,Feature_List!$A$1:$AO$1,0),FALSE),"OK","BAD")</f>
        <v>#N/A</v>
      </c>
      <c r="BH26" s="95" t="e">
        <f>IF(U26=VLOOKUP($A26,Feature_List!$A$2:$AO$101,MATCH(BH$1,Feature_List!$A$1:$AO$1,0),FALSE),"OK","BAD")</f>
        <v>#N/A</v>
      </c>
      <c r="BI26" s="95" t="e">
        <f>IF(V26=VLOOKUP($A26,Feature_List!$A$2:$AO$101,MATCH(BI$1,Feature_List!$A$1:$AO$1,0),FALSE),"OK","BAD")</f>
        <v>#N/A</v>
      </c>
      <c r="BJ26" s="95" t="e">
        <f>IF(W26=VLOOKUP($A26,Feature_List!$A$2:$AO$101,MATCH(BJ$1,Feature_List!$A$1:$AO$1,0),FALSE),"OK","BAD")</f>
        <v>#N/A</v>
      </c>
      <c r="BK26" s="95" t="e">
        <f>IF(X26=VLOOKUP($A26,Feature_List!$A$2:$AO$101,MATCH(BK$1,Feature_List!$A$1:$AO$1,0),FALSE),"OK","BAD")</f>
        <v>#N/A</v>
      </c>
      <c r="BL26" s="95" t="e">
        <f>IF(Y26=VLOOKUP($A26,Feature_List!$A$2:$AO$101,MATCH(BL$1,Feature_List!$A$1:$AO$1,0),FALSE),"OK","BAD")</f>
        <v>#N/A</v>
      </c>
      <c r="BM26" s="95" t="e">
        <f>IF(Z26=VLOOKUP($A26,Feature_List!$A$2:$AO$101,MATCH(BM$1,Feature_List!$A$1:$AO$1,0),FALSE),"OK","BAD")</f>
        <v>#N/A</v>
      </c>
      <c r="BN26" s="95" t="e">
        <f>IF(AA26=VLOOKUP($A26,Feature_List!$A$2:$AO$101,MATCH(BN$1,Feature_List!$A$1:$AO$1,0),FALSE),"OK","BAD")</f>
        <v>#N/A</v>
      </c>
      <c r="BO26" s="95" t="e">
        <f>IF(AB26=VLOOKUP($A26,Feature_List!$A$2:$AO$101,MATCH(BO$1,Feature_List!$A$1:$AO$1,0),FALSE),"OK","BAD")</f>
        <v>#N/A</v>
      </c>
      <c r="BP26" s="95" t="e">
        <f>IF(AC26=VLOOKUP($A26,Feature_List!$A$2:$AO$101,MATCH(BP$1,Feature_List!$A$1:$AO$1,0),FALSE),"OK","BAD")</f>
        <v>#N/A</v>
      </c>
      <c r="BQ26" s="95" t="e">
        <f>IF(AD26=VLOOKUP($A26,Feature_List!$A$2:$AO$101,MATCH(BQ$1,Feature_List!$A$1:$AO$1,0),FALSE),"OK","BAD")</f>
        <v>#N/A</v>
      </c>
      <c r="BR26" s="95" t="e">
        <f>IF(AE26=VLOOKUP($A26,Feature_List!$A$2:$AO$101,MATCH(BR$1,Feature_List!$A$1:$AO$1,0),FALSE),"OK","BAD")</f>
        <v>#N/A</v>
      </c>
      <c r="BS26" s="95" t="e">
        <f>IF(AF26=VLOOKUP($A26,Feature_List!$A$2:$AO$101,MATCH(BS$1,Feature_List!$A$1:$AO$1,0),FALSE),"OK","BAD")</f>
        <v>#N/A</v>
      </c>
      <c r="BT26" s="95" t="e">
        <f>IF(AG26=VLOOKUP($A26,Feature_List!$A$2:$AO$101,MATCH(BT$1,Feature_List!$A$1:$AO$1,0),FALSE),"OK","BAD")</f>
        <v>#N/A</v>
      </c>
      <c r="BU26" s="95" t="e">
        <f>IF(AH26=VLOOKUP($A26,Feature_List!$A$2:$AO$101,MATCH(BU$1,Feature_List!$A$1:$AO$1,0),FALSE),"OK","BAD")</f>
        <v>#N/A</v>
      </c>
      <c r="BV26" s="95" t="e">
        <f>IF(AI26=VLOOKUP($A26,Feature_List!$A$2:$AO$101,MATCH(BV$1,Feature_List!$A$1:$AO$1,0),FALSE),"OK","BAD")</f>
        <v>#N/A</v>
      </c>
      <c r="BW26" s="95" t="e">
        <f>IF(AJ26=VLOOKUP($A26,Feature_List!$A$2:$AO$101,MATCH(BW$1,Feature_List!$A$1:$AO$1,0),FALSE),"OK","BAD")</f>
        <v>#N/A</v>
      </c>
      <c r="BX26" s="95" t="e">
        <f>IF(AK26=VLOOKUP($A26,Feature_List!$A$2:$AO$101,MATCH(BX$1,Feature_List!$A$1:$AO$1,0),FALSE),"OK","BAD")</f>
        <v>#N/A</v>
      </c>
      <c r="BY26" s="95" t="e">
        <f>IF(AL26=VLOOKUP($A26,Feature_List!$A$2:$AO$101,MATCH(BY$1,Feature_List!$A$1:$AO$1,0),FALSE),"OK","BAD")</f>
        <v>#N/A</v>
      </c>
      <c r="BZ26" s="95" t="e">
        <f>IF(AM26=VLOOKUP($A26,Feature_List!$A$2:$AO$101,MATCH(BZ$1,Feature_List!$A$1:$AO$1,0),FALSE),"OK","BAD")</f>
        <v>#N/A</v>
      </c>
      <c r="CA26" s="95" t="e">
        <f>IF(AN26=VLOOKUP($A26,Feature_List!$A$2:$AO$101,MATCH(CA$1,Feature_List!$A$1:$AO$1,0),FALSE),"OK","BAD")</f>
        <v>#N/A</v>
      </c>
    </row>
    <row r="27" spans="1:79" ht="14.4" customHeight="1" x14ac:dyDescent="0.3">
      <c r="A27" s="70">
        <v>396308</v>
      </c>
      <c r="B27" s="65" t="s">
        <v>1131</v>
      </c>
      <c r="C27" s="98" t="s">
        <v>1145</v>
      </c>
      <c r="D27" s="65" t="s">
        <v>28</v>
      </c>
      <c r="E27" s="64">
        <v>68</v>
      </c>
      <c r="F27" s="64" t="s">
        <v>41</v>
      </c>
      <c r="G27" s="64" t="s">
        <v>1154</v>
      </c>
      <c r="H27" s="64" t="s">
        <v>1132</v>
      </c>
      <c r="I27" s="99" t="s">
        <v>38</v>
      </c>
      <c r="J27" s="64" t="s">
        <v>1414</v>
      </c>
      <c r="K27" s="64">
        <v>0</v>
      </c>
      <c r="L27" s="62" t="s">
        <v>17</v>
      </c>
      <c r="M27" s="67" t="s">
        <v>31</v>
      </c>
      <c r="N27" s="67" t="s">
        <v>36</v>
      </c>
      <c r="O27" s="67">
        <v>0</v>
      </c>
      <c r="P27" s="66" t="s">
        <v>131</v>
      </c>
      <c r="Q27" s="63">
        <v>10</v>
      </c>
      <c r="R27" s="63">
        <v>0</v>
      </c>
      <c r="S27" s="63">
        <v>3</v>
      </c>
      <c r="T27" s="63">
        <v>10</v>
      </c>
      <c r="U27" s="63">
        <v>5</v>
      </c>
      <c r="V27" s="63">
        <v>0</v>
      </c>
      <c r="W27" s="63">
        <v>0</v>
      </c>
      <c r="X27" s="63">
        <v>10</v>
      </c>
      <c r="Y27" s="63">
        <v>5</v>
      </c>
      <c r="Z27" s="63">
        <v>4</v>
      </c>
      <c r="AA27" s="63">
        <v>0</v>
      </c>
      <c r="AB27" s="63">
        <v>4</v>
      </c>
      <c r="AC27" s="63">
        <v>10</v>
      </c>
      <c r="AD27" s="63">
        <v>5</v>
      </c>
      <c r="AE27" s="63">
        <v>0</v>
      </c>
      <c r="AF27" s="63">
        <v>0</v>
      </c>
      <c r="AG27" s="63">
        <v>12</v>
      </c>
      <c r="AH27" s="63">
        <v>0</v>
      </c>
      <c r="AI27" s="63">
        <v>0</v>
      </c>
      <c r="AJ27" s="63">
        <v>68</v>
      </c>
      <c r="AK27" s="63">
        <v>0</v>
      </c>
      <c r="AL27" s="63" t="s">
        <v>35</v>
      </c>
      <c r="AM27" s="63" t="s">
        <v>36</v>
      </c>
      <c r="AN27" s="220" t="s">
        <v>40</v>
      </c>
      <c r="AO27" s="224"/>
      <c r="AP27" s="95" t="e">
        <f>IF(C27=VLOOKUP($A27,Feature_List!$A$2:$AO$101,MATCH(AP$1,Feature_List!$A$1:$AO$1,0),FALSE),"OK","BAD")</f>
        <v>#N/A</v>
      </c>
      <c r="AQ27" s="95" t="e">
        <f>IF(D27=VLOOKUP($A27,Feature_List!$A$2:$AO$101,MATCH(AQ$1,Feature_List!$A$1:$AO$1,0),FALSE),"OK","BAD")</f>
        <v>#N/A</v>
      </c>
      <c r="AR27" s="95" t="e">
        <f>IF(E27=VLOOKUP($A27,Feature_List!$A$2:$AO$101,MATCH(AR$1,Feature_List!$A$1:$AO$1,0),FALSE),"OK","BAD")</f>
        <v>#N/A</v>
      </c>
      <c r="AS27" s="95" t="e">
        <f>IF(F27=VLOOKUP($A27,Feature_List!$A$2:$AO$101,MATCH(AS$1,Feature_List!$A$1:$AO$1,0),FALSE),"OK","BAD")</f>
        <v>#N/A</v>
      </c>
      <c r="AT27" s="95" t="s">
        <v>985</v>
      </c>
      <c r="AU27" s="95" t="s">
        <v>985</v>
      </c>
      <c r="AV27" s="95" t="e">
        <f>IF(I27=VLOOKUP($A27,Feature_List!$A$2:$AO$101,MATCH(AV$1,Feature_List!$A$1:$AO$1,0),FALSE),"OK","BAD")</f>
        <v>#N/A</v>
      </c>
      <c r="AW27" s="95" t="e">
        <f>IF(J27=VLOOKUP($A27,Feature_List!$A$2:$AO$101,MATCH(AW$1,Feature_List!$A$1:$AO$1,0),FALSE),"OK","BAD")</f>
        <v>#N/A</v>
      </c>
      <c r="AX27" s="95" t="e">
        <f>IF(K27=VLOOKUP($A27,Feature_List!$A$2:$AO$101,MATCH(AX$1,Feature_List!$A$1:$AO$1,0),FALSE),"OK","BAD")</f>
        <v>#N/A</v>
      </c>
      <c r="AY27" s="95" t="e">
        <f>IF(L27=VLOOKUP($A27,Feature_List!$A$2:$AO$101,MATCH(AY$1,Feature_List!$A$1:$AO$1,0),FALSE),"OK","BAD")</f>
        <v>#N/A</v>
      </c>
      <c r="AZ27" s="95" t="e">
        <f>IF(M27=VLOOKUP($A27,Feature_List!$A$2:$AO$101,MATCH(AZ$1,Feature_List!$A$1:$AO$1,0),FALSE),"OK","BAD")</f>
        <v>#N/A</v>
      </c>
      <c r="BA27" s="95" t="e">
        <f>IF(N27=VLOOKUP($A27,Feature_List!$A$2:$AO$101,MATCH(BA$1,Feature_List!$A$1:$AO$1,0),FALSE),"OK","BAD")</f>
        <v>#N/A</v>
      </c>
      <c r="BB27" s="95" t="e">
        <f>IF(O27=VLOOKUP($A27,Feature_List!$A$2:$AO$101,MATCH(BB$1,Feature_List!$A$1:$AO$1,0),FALSE),"OK","BAD")</f>
        <v>#N/A</v>
      </c>
      <c r="BC27" s="95" t="e">
        <f>IF(P27=VLOOKUP($A27,Feature_List!$A$2:$AO$101,MATCH(BC$1,Feature_List!$A$1:$AO$1,0),FALSE),"OK","BAD")</f>
        <v>#N/A</v>
      </c>
      <c r="BD27" s="95" t="e">
        <f>IF(Q27=VLOOKUP($A27,Feature_List!$A$2:$AO$101,MATCH(BD$1,Feature_List!$A$1:$AO$1,0),FALSE),"OK","BAD")</f>
        <v>#N/A</v>
      </c>
      <c r="BE27" s="95" t="e">
        <f>IF(R27=VLOOKUP($A27,Feature_List!$A$2:$AO$101,MATCH(BE$1,Feature_List!$A$1:$AO$1,0),FALSE),"OK","BAD")</f>
        <v>#N/A</v>
      </c>
      <c r="BF27" s="95" t="e">
        <f>IF(S27=VLOOKUP($A27,Feature_List!$A$2:$AO$101,MATCH(BF$1,Feature_List!$A$1:$AO$1,0),FALSE),"OK","BAD")</f>
        <v>#N/A</v>
      </c>
      <c r="BG27" s="95" t="e">
        <f>IF(T27=VLOOKUP($A27,Feature_List!$A$2:$AO$101,MATCH(BG$1,Feature_List!$A$1:$AO$1,0),FALSE),"OK","BAD")</f>
        <v>#N/A</v>
      </c>
      <c r="BH27" s="95" t="e">
        <f>IF(U27=VLOOKUP($A27,Feature_List!$A$2:$AO$101,MATCH(BH$1,Feature_List!$A$1:$AO$1,0),FALSE),"OK","BAD")</f>
        <v>#N/A</v>
      </c>
      <c r="BI27" s="95" t="e">
        <f>IF(V27=VLOOKUP($A27,Feature_List!$A$2:$AO$101,MATCH(BI$1,Feature_List!$A$1:$AO$1,0),FALSE),"OK","BAD")</f>
        <v>#N/A</v>
      </c>
      <c r="BJ27" s="95" t="e">
        <f>IF(W27=VLOOKUP($A27,Feature_List!$A$2:$AO$101,MATCH(BJ$1,Feature_List!$A$1:$AO$1,0),FALSE),"OK","BAD")</f>
        <v>#N/A</v>
      </c>
      <c r="BK27" s="95" t="e">
        <f>IF(X27=VLOOKUP($A27,Feature_List!$A$2:$AO$101,MATCH(BK$1,Feature_List!$A$1:$AO$1,0),FALSE),"OK","BAD")</f>
        <v>#N/A</v>
      </c>
      <c r="BL27" s="95" t="e">
        <f>IF(Y27=VLOOKUP($A27,Feature_List!$A$2:$AO$101,MATCH(BL$1,Feature_List!$A$1:$AO$1,0),FALSE),"OK","BAD")</f>
        <v>#N/A</v>
      </c>
      <c r="BM27" s="95" t="e">
        <f>IF(Z27=VLOOKUP($A27,Feature_List!$A$2:$AO$101,MATCH(BM$1,Feature_List!$A$1:$AO$1,0),FALSE),"OK","BAD")</f>
        <v>#N/A</v>
      </c>
      <c r="BN27" s="95" t="e">
        <f>IF(AA27=VLOOKUP($A27,Feature_List!$A$2:$AO$101,MATCH(BN$1,Feature_List!$A$1:$AO$1,0),FALSE),"OK","BAD")</f>
        <v>#N/A</v>
      </c>
      <c r="BO27" s="95" t="e">
        <f>IF(AB27=VLOOKUP($A27,Feature_List!$A$2:$AO$101,MATCH(BO$1,Feature_List!$A$1:$AO$1,0),FALSE),"OK","BAD")</f>
        <v>#N/A</v>
      </c>
      <c r="BP27" s="95" t="e">
        <f>IF(AC27=VLOOKUP($A27,Feature_List!$A$2:$AO$101,MATCH(BP$1,Feature_List!$A$1:$AO$1,0),FALSE),"OK","BAD")</f>
        <v>#N/A</v>
      </c>
      <c r="BQ27" s="95" t="e">
        <f>IF(AD27=VLOOKUP($A27,Feature_List!$A$2:$AO$101,MATCH(BQ$1,Feature_List!$A$1:$AO$1,0),FALSE),"OK","BAD")</f>
        <v>#N/A</v>
      </c>
      <c r="BR27" s="95" t="e">
        <f>IF(AE27=VLOOKUP($A27,Feature_List!$A$2:$AO$101,MATCH(BR$1,Feature_List!$A$1:$AO$1,0),FALSE),"OK","BAD")</f>
        <v>#N/A</v>
      </c>
      <c r="BS27" s="95" t="e">
        <f>IF(AF27=VLOOKUP($A27,Feature_List!$A$2:$AO$101,MATCH(BS$1,Feature_List!$A$1:$AO$1,0),FALSE),"OK","BAD")</f>
        <v>#N/A</v>
      </c>
      <c r="BT27" s="95" t="e">
        <f>IF(AG27=VLOOKUP($A27,Feature_List!$A$2:$AO$101,MATCH(BT$1,Feature_List!$A$1:$AO$1,0),FALSE),"OK","BAD")</f>
        <v>#N/A</v>
      </c>
      <c r="BU27" s="95" t="e">
        <f>IF(AH27=VLOOKUP($A27,Feature_List!$A$2:$AO$101,MATCH(BU$1,Feature_List!$A$1:$AO$1,0),FALSE),"OK","BAD")</f>
        <v>#N/A</v>
      </c>
      <c r="BV27" s="95" t="e">
        <f>IF(AI27=VLOOKUP($A27,Feature_List!$A$2:$AO$101,MATCH(BV$1,Feature_List!$A$1:$AO$1,0),FALSE),"OK","BAD")</f>
        <v>#N/A</v>
      </c>
      <c r="BW27" s="95" t="e">
        <f>IF(AJ27=VLOOKUP($A27,Feature_List!$A$2:$AO$101,MATCH(BW$1,Feature_List!$A$1:$AO$1,0),FALSE),"OK","BAD")</f>
        <v>#N/A</v>
      </c>
      <c r="BX27" s="95" t="e">
        <f>IF(AK27=VLOOKUP($A27,Feature_List!$A$2:$AO$101,MATCH(BX$1,Feature_List!$A$1:$AO$1,0),FALSE),"OK","BAD")</f>
        <v>#N/A</v>
      </c>
      <c r="BY27" s="95" t="e">
        <f>IF(AL27=VLOOKUP($A27,Feature_List!$A$2:$AO$101,MATCH(BY$1,Feature_List!$A$1:$AO$1,0),FALSE),"OK","BAD")</f>
        <v>#N/A</v>
      </c>
      <c r="BZ27" s="95" t="e">
        <f>IF(AM27=VLOOKUP($A27,Feature_List!$A$2:$AO$101,MATCH(BZ$1,Feature_List!$A$1:$AO$1,0),FALSE),"OK","BAD")</f>
        <v>#N/A</v>
      </c>
      <c r="CA27" s="95" t="e">
        <f>IF(AN27=VLOOKUP($A27,Feature_List!$A$2:$AO$101,MATCH(CA$1,Feature_List!$A$1:$AO$1,0),FALSE),"OK","BAD")</f>
        <v>#N/A</v>
      </c>
    </row>
    <row r="28" spans="1:79" ht="14.4" customHeight="1" x14ac:dyDescent="0.3">
      <c r="A28" s="70">
        <v>396272</v>
      </c>
      <c r="B28" s="65" t="s">
        <v>1130</v>
      </c>
      <c r="C28" s="98" t="s">
        <v>1145</v>
      </c>
      <c r="D28" s="65" t="s">
        <v>28</v>
      </c>
      <c r="E28" s="64">
        <v>13</v>
      </c>
      <c r="F28" s="64" t="s">
        <v>41</v>
      </c>
      <c r="G28" s="64" t="s">
        <v>1153</v>
      </c>
      <c r="H28" s="64" t="s">
        <v>745</v>
      </c>
      <c r="I28" s="99" t="s">
        <v>38</v>
      </c>
      <c r="J28" s="64" t="s">
        <v>1414</v>
      </c>
      <c r="K28" s="64">
        <v>0</v>
      </c>
      <c r="L28" s="62" t="s">
        <v>17</v>
      </c>
      <c r="M28" s="67" t="s">
        <v>31</v>
      </c>
      <c r="N28" s="67" t="s">
        <v>48</v>
      </c>
      <c r="O28" s="67">
        <v>0</v>
      </c>
      <c r="P28" s="66" t="s">
        <v>131</v>
      </c>
      <c r="Q28" s="63">
        <v>2</v>
      </c>
      <c r="R28" s="63">
        <v>0</v>
      </c>
      <c r="S28" s="63">
        <v>0</v>
      </c>
      <c r="T28" s="63">
        <v>0</v>
      </c>
      <c r="U28" s="63">
        <v>0</v>
      </c>
      <c r="V28" s="63">
        <v>0</v>
      </c>
      <c r="W28" s="63">
        <v>0</v>
      </c>
      <c r="X28" s="63">
        <v>0</v>
      </c>
      <c r="Y28" s="63">
        <v>0</v>
      </c>
      <c r="Z28" s="63">
        <v>0</v>
      </c>
      <c r="AA28" s="63">
        <v>0</v>
      </c>
      <c r="AB28" s="63">
        <v>0</v>
      </c>
      <c r="AC28" s="63">
        <v>0</v>
      </c>
      <c r="AD28" s="63">
        <v>8</v>
      </c>
      <c r="AE28" s="63">
        <v>0</v>
      </c>
      <c r="AF28" s="63">
        <v>0</v>
      </c>
      <c r="AG28" s="63">
        <v>5</v>
      </c>
      <c r="AH28" s="63">
        <v>0</v>
      </c>
      <c r="AI28" s="63">
        <v>0</v>
      </c>
      <c r="AJ28" s="63">
        <v>13</v>
      </c>
      <c r="AK28" s="63">
        <v>0</v>
      </c>
      <c r="AL28" s="63" t="s">
        <v>35</v>
      </c>
      <c r="AM28" s="63" t="s">
        <v>36</v>
      </c>
      <c r="AN28" s="220" t="s">
        <v>40</v>
      </c>
      <c r="AO28" s="224"/>
      <c r="AP28" s="95" t="e">
        <f>IF(C28=VLOOKUP($A28,Feature_List!$A$2:$AO$101,MATCH(AP$1,Feature_List!$A$1:$AO$1,0),FALSE),"OK","BAD")</f>
        <v>#N/A</v>
      </c>
      <c r="AQ28" s="95" t="e">
        <f>IF(D28=VLOOKUP($A28,Feature_List!$A$2:$AO$101,MATCH(AQ$1,Feature_List!$A$1:$AO$1,0),FALSE),"OK","BAD")</f>
        <v>#N/A</v>
      </c>
      <c r="AR28" s="95" t="e">
        <f>IF(E28=VLOOKUP($A28,Feature_List!$A$2:$AO$101,MATCH(AR$1,Feature_List!$A$1:$AO$1,0),FALSE),"OK","BAD")</f>
        <v>#N/A</v>
      </c>
      <c r="AS28" s="95" t="e">
        <f>IF(F28=VLOOKUP($A28,Feature_List!$A$2:$AO$101,MATCH(AS$1,Feature_List!$A$1:$AO$1,0),FALSE),"OK","BAD")</f>
        <v>#N/A</v>
      </c>
      <c r="AT28" s="95" t="s">
        <v>985</v>
      </c>
      <c r="AU28" s="95" t="s">
        <v>985</v>
      </c>
      <c r="AV28" s="95" t="e">
        <f>IF(I28=VLOOKUP($A28,Feature_List!$A$2:$AO$101,MATCH(AV$1,Feature_List!$A$1:$AO$1,0),FALSE),"OK","BAD")</f>
        <v>#N/A</v>
      </c>
      <c r="AW28" s="95" t="e">
        <f>IF(J28=VLOOKUP($A28,Feature_List!$A$2:$AO$101,MATCH(AW$1,Feature_List!$A$1:$AO$1,0),FALSE),"OK","BAD")</f>
        <v>#N/A</v>
      </c>
      <c r="AX28" s="95" t="e">
        <f>IF(K28=VLOOKUP($A28,Feature_List!$A$2:$AO$101,MATCH(AX$1,Feature_List!$A$1:$AO$1,0),FALSE),"OK","BAD")</f>
        <v>#N/A</v>
      </c>
      <c r="AY28" s="95" t="e">
        <f>IF(L28=VLOOKUP($A28,Feature_List!$A$2:$AO$101,MATCH(AY$1,Feature_List!$A$1:$AO$1,0),FALSE),"OK","BAD")</f>
        <v>#N/A</v>
      </c>
      <c r="AZ28" s="95" t="e">
        <f>IF(M28=VLOOKUP($A28,Feature_List!$A$2:$AO$101,MATCH(AZ$1,Feature_List!$A$1:$AO$1,0),FALSE),"OK","BAD")</f>
        <v>#N/A</v>
      </c>
      <c r="BA28" s="95" t="e">
        <f>IF(N28=VLOOKUP($A28,Feature_List!$A$2:$AO$101,MATCH(BA$1,Feature_List!$A$1:$AO$1,0),FALSE),"OK","BAD")</f>
        <v>#N/A</v>
      </c>
      <c r="BB28" s="95" t="e">
        <f>IF(O28=VLOOKUP($A28,Feature_List!$A$2:$AO$101,MATCH(BB$1,Feature_List!$A$1:$AO$1,0),FALSE),"OK","BAD")</f>
        <v>#N/A</v>
      </c>
      <c r="BC28" s="95" t="e">
        <f>IF(P28=VLOOKUP($A28,Feature_List!$A$2:$AO$101,MATCH(BC$1,Feature_List!$A$1:$AO$1,0),FALSE),"OK","BAD")</f>
        <v>#N/A</v>
      </c>
      <c r="BD28" s="95" t="e">
        <f>IF(Q28=VLOOKUP($A28,Feature_List!$A$2:$AO$101,MATCH(BD$1,Feature_List!$A$1:$AO$1,0),FALSE),"OK","BAD")</f>
        <v>#N/A</v>
      </c>
      <c r="BE28" s="95" t="e">
        <f>IF(R28=VLOOKUP($A28,Feature_List!$A$2:$AO$101,MATCH(BE$1,Feature_List!$A$1:$AO$1,0),FALSE),"OK","BAD")</f>
        <v>#N/A</v>
      </c>
      <c r="BF28" s="95" t="e">
        <f>IF(S28=VLOOKUP($A28,Feature_List!$A$2:$AO$101,MATCH(BF$1,Feature_List!$A$1:$AO$1,0),FALSE),"OK","BAD")</f>
        <v>#N/A</v>
      </c>
      <c r="BG28" s="95" t="e">
        <f>IF(T28=VLOOKUP($A28,Feature_List!$A$2:$AO$101,MATCH(BG$1,Feature_List!$A$1:$AO$1,0),FALSE),"OK","BAD")</f>
        <v>#N/A</v>
      </c>
      <c r="BH28" s="95" t="e">
        <f>IF(U28=VLOOKUP($A28,Feature_List!$A$2:$AO$101,MATCH(BH$1,Feature_List!$A$1:$AO$1,0),FALSE),"OK","BAD")</f>
        <v>#N/A</v>
      </c>
      <c r="BI28" s="95" t="e">
        <f>IF(V28=VLOOKUP($A28,Feature_List!$A$2:$AO$101,MATCH(BI$1,Feature_List!$A$1:$AO$1,0),FALSE),"OK","BAD")</f>
        <v>#N/A</v>
      </c>
      <c r="BJ28" s="95" t="e">
        <f>IF(W28=VLOOKUP($A28,Feature_List!$A$2:$AO$101,MATCH(BJ$1,Feature_List!$A$1:$AO$1,0),FALSE),"OK","BAD")</f>
        <v>#N/A</v>
      </c>
      <c r="BK28" s="95" t="e">
        <f>IF(X28=VLOOKUP($A28,Feature_List!$A$2:$AO$101,MATCH(BK$1,Feature_List!$A$1:$AO$1,0),FALSE),"OK","BAD")</f>
        <v>#N/A</v>
      </c>
      <c r="BL28" s="95" t="e">
        <f>IF(Y28=VLOOKUP($A28,Feature_List!$A$2:$AO$101,MATCH(BL$1,Feature_List!$A$1:$AO$1,0),FALSE),"OK","BAD")</f>
        <v>#N/A</v>
      </c>
      <c r="BM28" s="95" t="e">
        <f>IF(Z28=VLOOKUP($A28,Feature_List!$A$2:$AO$101,MATCH(BM$1,Feature_List!$A$1:$AO$1,0),FALSE),"OK","BAD")</f>
        <v>#N/A</v>
      </c>
      <c r="BN28" s="95" t="e">
        <f>IF(AA28=VLOOKUP($A28,Feature_List!$A$2:$AO$101,MATCH(BN$1,Feature_List!$A$1:$AO$1,0),FALSE),"OK","BAD")</f>
        <v>#N/A</v>
      </c>
      <c r="BO28" s="95" t="e">
        <f>IF(AB28=VLOOKUP($A28,Feature_List!$A$2:$AO$101,MATCH(BO$1,Feature_List!$A$1:$AO$1,0),FALSE),"OK","BAD")</f>
        <v>#N/A</v>
      </c>
      <c r="BP28" s="95" t="e">
        <f>IF(AC28=VLOOKUP($A28,Feature_List!$A$2:$AO$101,MATCH(BP$1,Feature_List!$A$1:$AO$1,0),FALSE),"OK","BAD")</f>
        <v>#N/A</v>
      </c>
      <c r="BQ28" s="95" t="e">
        <f>IF(AD28=VLOOKUP($A28,Feature_List!$A$2:$AO$101,MATCH(BQ$1,Feature_List!$A$1:$AO$1,0),FALSE),"OK","BAD")</f>
        <v>#N/A</v>
      </c>
      <c r="BR28" s="95" t="e">
        <f>IF(AE28=VLOOKUP($A28,Feature_List!$A$2:$AO$101,MATCH(BR$1,Feature_List!$A$1:$AO$1,0),FALSE),"OK","BAD")</f>
        <v>#N/A</v>
      </c>
      <c r="BS28" s="95" t="e">
        <f>IF(AF28=VLOOKUP($A28,Feature_List!$A$2:$AO$101,MATCH(BS$1,Feature_List!$A$1:$AO$1,0),FALSE),"OK","BAD")</f>
        <v>#N/A</v>
      </c>
      <c r="BT28" s="95" t="e">
        <f>IF(AG28=VLOOKUP($A28,Feature_List!$A$2:$AO$101,MATCH(BT$1,Feature_List!$A$1:$AO$1,0),FALSE),"OK","BAD")</f>
        <v>#N/A</v>
      </c>
      <c r="BU28" s="95" t="e">
        <f>IF(AH28=VLOOKUP($A28,Feature_List!$A$2:$AO$101,MATCH(BU$1,Feature_List!$A$1:$AO$1,0),FALSE),"OK","BAD")</f>
        <v>#N/A</v>
      </c>
      <c r="BV28" s="95" t="e">
        <f>IF(AI28=VLOOKUP($A28,Feature_List!$A$2:$AO$101,MATCH(BV$1,Feature_List!$A$1:$AO$1,0),FALSE),"OK","BAD")</f>
        <v>#N/A</v>
      </c>
      <c r="BW28" s="95" t="e">
        <f>IF(AJ28=VLOOKUP($A28,Feature_List!$A$2:$AO$101,MATCH(BW$1,Feature_List!$A$1:$AO$1,0),FALSE),"OK","BAD")</f>
        <v>#N/A</v>
      </c>
      <c r="BX28" s="95" t="e">
        <f>IF(AK28=VLOOKUP($A28,Feature_List!$A$2:$AO$101,MATCH(BX$1,Feature_List!$A$1:$AO$1,0),FALSE),"OK","BAD")</f>
        <v>#N/A</v>
      </c>
      <c r="BY28" s="95" t="e">
        <f>IF(AL28=VLOOKUP($A28,Feature_List!$A$2:$AO$101,MATCH(BY$1,Feature_List!$A$1:$AO$1,0),FALSE),"OK","BAD")</f>
        <v>#N/A</v>
      </c>
      <c r="BZ28" s="95" t="e">
        <f>IF(AM28=VLOOKUP($A28,Feature_List!$A$2:$AO$101,MATCH(BZ$1,Feature_List!$A$1:$AO$1,0),FALSE),"OK","BAD")</f>
        <v>#N/A</v>
      </c>
      <c r="CA28" s="95" t="e">
        <f>IF(AN28=VLOOKUP($A28,Feature_List!$A$2:$AO$101,MATCH(CA$1,Feature_List!$A$1:$AO$1,0),FALSE),"OK","BAD")</f>
        <v>#N/A</v>
      </c>
    </row>
    <row r="29" spans="1:79" ht="14.4" customHeight="1" x14ac:dyDescent="0.3">
      <c r="A29" s="34">
        <v>396248</v>
      </c>
      <c r="B29" s="34" t="s">
        <v>1147</v>
      </c>
      <c r="C29" s="34" t="s">
        <v>1145</v>
      </c>
      <c r="D29" s="34" t="s">
        <v>28</v>
      </c>
      <c r="E29" s="54">
        <v>10</v>
      </c>
      <c r="F29" s="34" t="s">
        <v>41</v>
      </c>
      <c r="G29" s="34" t="s">
        <v>1556</v>
      </c>
      <c r="H29" s="34" t="s">
        <v>110</v>
      </c>
      <c r="I29" s="34" t="s">
        <v>38</v>
      </c>
      <c r="J29" s="34" t="s">
        <v>1414</v>
      </c>
      <c r="K29" s="34">
        <v>0</v>
      </c>
      <c r="L29" s="96" t="s">
        <v>946</v>
      </c>
      <c r="M29" s="34" t="s">
        <v>42</v>
      </c>
      <c r="N29" s="34" t="s">
        <v>44</v>
      </c>
      <c r="O29" s="34">
        <v>0</v>
      </c>
      <c r="P29" s="34" t="s">
        <v>1552</v>
      </c>
      <c r="Q29" s="54">
        <v>1</v>
      </c>
      <c r="R29" s="34">
        <v>0</v>
      </c>
      <c r="S29" s="54">
        <v>0</v>
      </c>
      <c r="T29" s="54">
        <v>0</v>
      </c>
      <c r="U29" s="54">
        <v>0</v>
      </c>
      <c r="V29" s="54">
        <v>0</v>
      </c>
      <c r="W29" s="54">
        <v>0</v>
      </c>
      <c r="X29" s="54">
        <v>0</v>
      </c>
      <c r="Y29" s="54">
        <v>10</v>
      </c>
      <c r="Z29" s="54">
        <v>0</v>
      </c>
      <c r="AA29" s="54">
        <v>0</v>
      </c>
      <c r="AB29" s="54">
        <v>0</v>
      </c>
      <c r="AC29" s="54">
        <v>0</v>
      </c>
      <c r="AD29" s="54">
        <v>0</v>
      </c>
      <c r="AE29" s="54">
        <v>0</v>
      </c>
      <c r="AF29" s="54">
        <v>0</v>
      </c>
      <c r="AG29" s="54">
        <v>0</v>
      </c>
      <c r="AH29" s="54">
        <v>0</v>
      </c>
      <c r="AI29" s="54">
        <v>0</v>
      </c>
      <c r="AJ29" s="54">
        <v>10</v>
      </c>
      <c r="AK29" s="54">
        <v>0</v>
      </c>
      <c r="AL29" s="54" t="s">
        <v>35</v>
      </c>
      <c r="AM29" s="54" t="s">
        <v>36</v>
      </c>
      <c r="AN29" s="221" t="s">
        <v>40</v>
      </c>
      <c r="AO29" s="224"/>
      <c r="AP29" s="95" t="e">
        <f>IF(C29=VLOOKUP($A29,Feature_List!$A$2:$AO$101,MATCH(AP$1,Feature_List!$A$1:$AO$1,0),FALSE),"OK","BAD")</f>
        <v>#N/A</v>
      </c>
      <c r="AQ29" s="95" t="e">
        <f>IF(D29=VLOOKUP($A29,Feature_List!$A$2:$AO$101,MATCH(AQ$1,Feature_List!$A$1:$AO$1,0),FALSE),"OK","BAD")</f>
        <v>#N/A</v>
      </c>
      <c r="AR29" s="95" t="e">
        <f>IF(E29=VLOOKUP($A29,Feature_List!$A$2:$AO$101,MATCH(AR$1,Feature_List!$A$1:$AO$1,0),FALSE),"OK","BAD")</f>
        <v>#N/A</v>
      </c>
      <c r="AS29" s="95" t="e">
        <f>IF(F29=VLOOKUP($A29,Feature_List!$A$2:$AO$101,MATCH(AS$1,Feature_List!$A$1:$AO$1,0),FALSE),"OK","BAD")</f>
        <v>#N/A</v>
      </c>
      <c r="AT29" s="95" t="s">
        <v>985</v>
      </c>
      <c r="AU29" s="95" t="s">
        <v>985</v>
      </c>
      <c r="AV29" s="95" t="e">
        <f>IF(I29=VLOOKUP($A29,Feature_List!$A$2:$AO$101,MATCH(AV$1,Feature_List!$A$1:$AO$1,0),FALSE),"OK","BAD")</f>
        <v>#N/A</v>
      </c>
      <c r="AW29" s="95" t="e">
        <f>IF(J29=VLOOKUP($A29,Feature_List!$A$2:$AO$101,MATCH(AW$1,Feature_List!$A$1:$AO$1,0),FALSE),"OK","BAD")</f>
        <v>#N/A</v>
      </c>
      <c r="AX29" s="95" t="e">
        <f>IF(K29=VLOOKUP($A29,Feature_List!$A$2:$AO$101,MATCH(AX$1,Feature_List!$A$1:$AO$1,0),FALSE),"OK","BAD")</f>
        <v>#N/A</v>
      </c>
      <c r="AY29" s="95" t="e">
        <f>IF(L29=VLOOKUP($A29,Feature_List!$A$2:$AO$101,MATCH(AY$1,Feature_List!$A$1:$AO$1,0),FALSE),"OK","BAD")</f>
        <v>#N/A</v>
      </c>
      <c r="AZ29" s="95" t="e">
        <f>IF(M29=VLOOKUP($A29,Feature_List!$A$2:$AO$101,MATCH(AZ$1,Feature_List!$A$1:$AO$1,0),FALSE),"OK","BAD")</f>
        <v>#N/A</v>
      </c>
      <c r="BA29" s="95" t="e">
        <f>IF(N29=VLOOKUP($A29,Feature_List!$A$2:$AO$101,MATCH(BA$1,Feature_List!$A$1:$AO$1,0),FALSE),"OK","BAD")</f>
        <v>#N/A</v>
      </c>
      <c r="BB29" s="95" t="e">
        <f>IF(O29=VLOOKUP($A29,Feature_List!$A$2:$AO$101,MATCH(BB$1,Feature_List!$A$1:$AO$1,0),FALSE),"OK","BAD")</f>
        <v>#N/A</v>
      </c>
      <c r="BC29" s="95" t="e">
        <f>IF(P29=VLOOKUP($A29,Feature_List!$A$2:$AO$101,MATCH(BC$1,Feature_List!$A$1:$AO$1,0),FALSE),"OK","BAD")</f>
        <v>#N/A</v>
      </c>
      <c r="BD29" s="95" t="e">
        <f>IF(Q29=VLOOKUP($A29,Feature_List!$A$2:$AO$101,MATCH(BD$1,Feature_List!$A$1:$AO$1,0),FALSE),"OK","BAD")</f>
        <v>#N/A</v>
      </c>
      <c r="BE29" s="95" t="e">
        <f>IF(R29=VLOOKUP($A29,Feature_List!$A$2:$AO$101,MATCH(BE$1,Feature_List!$A$1:$AO$1,0),FALSE),"OK","BAD")</f>
        <v>#N/A</v>
      </c>
      <c r="BF29" s="95" t="e">
        <f>IF(S29=VLOOKUP($A29,Feature_List!$A$2:$AO$101,MATCH(BF$1,Feature_List!$A$1:$AO$1,0),FALSE),"OK","BAD")</f>
        <v>#N/A</v>
      </c>
      <c r="BG29" s="95" t="e">
        <f>IF(T29=VLOOKUP($A29,Feature_List!$A$2:$AO$101,MATCH(BG$1,Feature_List!$A$1:$AO$1,0),FALSE),"OK","BAD")</f>
        <v>#N/A</v>
      </c>
      <c r="BH29" s="95" t="e">
        <f>IF(U29=VLOOKUP($A29,Feature_List!$A$2:$AO$101,MATCH(BH$1,Feature_List!$A$1:$AO$1,0),FALSE),"OK","BAD")</f>
        <v>#N/A</v>
      </c>
      <c r="BI29" s="95" t="e">
        <f>IF(V29=VLOOKUP($A29,Feature_List!$A$2:$AO$101,MATCH(BI$1,Feature_List!$A$1:$AO$1,0),FALSE),"OK","BAD")</f>
        <v>#N/A</v>
      </c>
      <c r="BJ29" s="95" t="e">
        <f>IF(W29=VLOOKUP($A29,Feature_List!$A$2:$AO$101,MATCH(BJ$1,Feature_List!$A$1:$AO$1,0),FALSE),"OK","BAD")</f>
        <v>#N/A</v>
      </c>
      <c r="BK29" s="95" t="e">
        <f>IF(X29=VLOOKUP($A29,Feature_List!$A$2:$AO$101,MATCH(BK$1,Feature_List!$A$1:$AO$1,0),FALSE),"OK","BAD")</f>
        <v>#N/A</v>
      </c>
      <c r="BL29" s="95" t="e">
        <f>IF(Y29=VLOOKUP($A29,Feature_List!$A$2:$AO$101,MATCH(BL$1,Feature_List!$A$1:$AO$1,0),FALSE),"OK","BAD")</f>
        <v>#N/A</v>
      </c>
      <c r="BM29" s="95" t="e">
        <f>IF(Z29=VLOOKUP($A29,Feature_List!$A$2:$AO$101,MATCH(BM$1,Feature_List!$A$1:$AO$1,0),FALSE),"OK","BAD")</f>
        <v>#N/A</v>
      </c>
      <c r="BN29" s="95" t="e">
        <f>IF(AA29=VLOOKUP($A29,Feature_List!$A$2:$AO$101,MATCH(BN$1,Feature_List!$A$1:$AO$1,0),FALSE),"OK","BAD")</f>
        <v>#N/A</v>
      </c>
      <c r="BO29" s="95" t="e">
        <f>IF(AB29=VLOOKUP($A29,Feature_List!$A$2:$AO$101,MATCH(BO$1,Feature_List!$A$1:$AO$1,0),FALSE),"OK","BAD")</f>
        <v>#N/A</v>
      </c>
      <c r="BP29" s="95" t="e">
        <f>IF(AC29=VLOOKUP($A29,Feature_List!$A$2:$AO$101,MATCH(BP$1,Feature_List!$A$1:$AO$1,0),FALSE),"OK","BAD")</f>
        <v>#N/A</v>
      </c>
      <c r="BQ29" s="95" t="e">
        <f>IF(AD29=VLOOKUP($A29,Feature_List!$A$2:$AO$101,MATCH(BQ$1,Feature_List!$A$1:$AO$1,0),FALSE),"OK","BAD")</f>
        <v>#N/A</v>
      </c>
      <c r="BR29" s="95" t="e">
        <f>IF(AE29=VLOOKUP($A29,Feature_List!$A$2:$AO$101,MATCH(BR$1,Feature_List!$A$1:$AO$1,0),FALSE),"OK","BAD")</f>
        <v>#N/A</v>
      </c>
      <c r="BS29" s="95" t="e">
        <f>IF(AF29=VLOOKUP($A29,Feature_List!$A$2:$AO$101,MATCH(BS$1,Feature_List!$A$1:$AO$1,0),FALSE),"OK","BAD")</f>
        <v>#N/A</v>
      </c>
      <c r="BT29" s="95" t="e">
        <f>IF(AG29=VLOOKUP($A29,Feature_List!$A$2:$AO$101,MATCH(BT$1,Feature_List!$A$1:$AO$1,0),FALSE),"OK","BAD")</f>
        <v>#N/A</v>
      </c>
      <c r="BU29" s="95" t="e">
        <f>IF(AH29=VLOOKUP($A29,Feature_List!$A$2:$AO$101,MATCH(BU$1,Feature_List!$A$1:$AO$1,0),FALSE),"OK","BAD")</f>
        <v>#N/A</v>
      </c>
      <c r="BV29" s="95" t="e">
        <f>IF(AI29=VLOOKUP($A29,Feature_List!$A$2:$AO$101,MATCH(BV$1,Feature_List!$A$1:$AO$1,0),FALSE),"OK","BAD")</f>
        <v>#N/A</v>
      </c>
      <c r="BW29" s="95" t="e">
        <f>IF(AJ29=VLOOKUP($A29,Feature_List!$A$2:$AO$101,MATCH(BW$1,Feature_List!$A$1:$AO$1,0),FALSE),"OK","BAD")</f>
        <v>#N/A</v>
      </c>
      <c r="BX29" s="95" t="e">
        <f>IF(AK29=VLOOKUP($A29,Feature_List!$A$2:$AO$101,MATCH(BX$1,Feature_List!$A$1:$AO$1,0),FALSE),"OK","BAD")</f>
        <v>#N/A</v>
      </c>
      <c r="BY29" s="95" t="e">
        <f>IF(AL29=VLOOKUP($A29,Feature_List!$A$2:$AO$101,MATCH(BY$1,Feature_List!$A$1:$AO$1,0),FALSE),"OK","BAD")</f>
        <v>#N/A</v>
      </c>
      <c r="BZ29" s="95" t="e">
        <f>IF(AM29=VLOOKUP($A29,Feature_List!$A$2:$AO$101,MATCH(BZ$1,Feature_List!$A$1:$AO$1,0),FALSE),"OK","BAD")</f>
        <v>#N/A</v>
      </c>
      <c r="CA29" s="95" t="e">
        <f>IF(AN29=VLOOKUP($A29,Feature_List!$A$2:$AO$101,MATCH(CA$1,Feature_List!$A$1:$AO$1,0),FALSE),"OK","BAD")</f>
        <v>#N/A</v>
      </c>
    </row>
    <row r="30" spans="1:79" ht="14.4" customHeight="1" x14ac:dyDescent="0.3">
      <c r="A30" s="70">
        <v>396002</v>
      </c>
      <c r="B30" s="65" t="s">
        <v>1135</v>
      </c>
      <c r="C30" s="98" t="s">
        <v>1145</v>
      </c>
      <c r="D30" s="65" t="s">
        <v>28</v>
      </c>
      <c r="E30" s="64">
        <v>20</v>
      </c>
      <c r="F30" s="64" t="s">
        <v>41</v>
      </c>
      <c r="G30" s="64" t="s">
        <v>1167</v>
      </c>
      <c r="H30" s="64" t="s">
        <v>616</v>
      </c>
      <c r="I30" s="99" t="s">
        <v>38</v>
      </c>
      <c r="J30" s="64" t="s">
        <v>1414</v>
      </c>
      <c r="K30" s="64">
        <v>0</v>
      </c>
      <c r="L30" s="62" t="s">
        <v>943</v>
      </c>
      <c r="M30" s="67" t="s">
        <v>31</v>
      </c>
      <c r="N30" s="67" t="s">
        <v>36</v>
      </c>
      <c r="O30" s="67">
        <v>0</v>
      </c>
      <c r="P30" s="66" t="s">
        <v>131</v>
      </c>
      <c r="Q30" s="63">
        <v>4</v>
      </c>
      <c r="R30" s="63">
        <v>0</v>
      </c>
      <c r="S30" s="63">
        <v>0</v>
      </c>
      <c r="T30" s="63">
        <v>0</v>
      </c>
      <c r="U30" s="63">
        <v>0</v>
      </c>
      <c r="V30" s="63">
        <v>0</v>
      </c>
      <c r="W30" s="63">
        <v>0</v>
      </c>
      <c r="X30" s="63">
        <v>6</v>
      </c>
      <c r="Y30" s="63">
        <v>0</v>
      </c>
      <c r="Z30" s="63">
        <v>0</v>
      </c>
      <c r="AA30" s="63">
        <v>0</v>
      </c>
      <c r="AB30" s="63">
        <v>0</v>
      </c>
      <c r="AC30" s="63">
        <v>5</v>
      </c>
      <c r="AD30" s="63">
        <v>5</v>
      </c>
      <c r="AE30" s="63">
        <v>0</v>
      </c>
      <c r="AF30" s="63">
        <v>0</v>
      </c>
      <c r="AG30" s="63">
        <v>4</v>
      </c>
      <c r="AH30" s="63">
        <v>0</v>
      </c>
      <c r="AI30" s="63">
        <v>0</v>
      </c>
      <c r="AJ30" s="63">
        <v>20</v>
      </c>
      <c r="AK30" s="63">
        <v>0</v>
      </c>
      <c r="AL30" s="63" t="s">
        <v>35</v>
      </c>
      <c r="AM30" s="63" t="s">
        <v>36</v>
      </c>
      <c r="AN30" s="220" t="s">
        <v>40</v>
      </c>
      <c r="AO30" s="224"/>
      <c r="AP30" s="95" t="e">
        <f>IF(C30=VLOOKUP($A30,Feature_List!$A$2:$AO$101,MATCH(AP$1,Feature_List!$A$1:$AO$1,0),FALSE),"OK","BAD")</f>
        <v>#N/A</v>
      </c>
      <c r="AQ30" s="95" t="e">
        <f>IF(D30=VLOOKUP($A30,Feature_List!$A$2:$AO$101,MATCH(AQ$1,Feature_List!$A$1:$AO$1,0),FALSE),"OK","BAD")</f>
        <v>#N/A</v>
      </c>
      <c r="AR30" s="95" t="e">
        <f>IF(E30=VLOOKUP($A30,Feature_List!$A$2:$AO$101,MATCH(AR$1,Feature_List!$A$1:$AO$1,0),FALSE),"OK","BAD")</f>
        <v>#N/A</v>
      </c>
      <c r="AS30" s="95" t="e">
        <f>IF(F30=VLOOKUP($A30,Feature_List!$A$2:$AO$101,MATCH(AS$1,Feature_List!$A$1:$AO$1,0),FALSE),"OK","BAD")</f>
        <v>#N/A</v>
      </c>
      <c r="AT30" s="95" t="s">
        <v>985</v>
      </c>
      <c r="AU30" s="95" t="s">
        <v>985</v>
      </c>
      <c r="AV30" s="95" t="e">
        <f>IF(I30=VLOOKUP($A30,Feature_List!$A$2:$AO$101,MATCH(AV$1,Feature_List!$A$1:$AO$1,0),FALSE),"OK","BAD")</f>
        <v>#N/A</v>
      </c>
      <c r="AW30" s="95" t="e">
        <f>IF(J30=VLOOKUP($A30,Feature_List!$A$2:$AO$101,MATCH(AW$1,Feature_List!$A$1:$AO$1,0),FALSE),"OK","BAD")</f>
        <v>#N/A</v>
      </c>
      <c r="AX30" s="95" t="e">
        <f>IF(K30=VLOOKUP($A30,Feature_List!$A$2:$AO$101,MATCH(AX$1,Feature_List!$A$1:$AO$1,0),FALSE),"OK","BAD")</f>
        <v>#N/A</v>
      </c>
      <c r="AY30" s="95" t="e">
        <f>IF(L30=VLOOKUP($A30,Feature_List!$A$2:$AO$101,MATCH(AY$1,Feature_List!$A$1:$AO$1,0),FALSE),"OK","BAD")</f>
        <v>#N/A</v>
      </c>
      <c r="AZ30" s="95" t="e">
        <f>IF(M30=VLOOKUP($A30,Feature_List!$A$2:$AO$101,MATCH(AZ$1,Feature_List!$A$1:$AO$1,0),FALSE),"OK","BAD")</f>
        <v>#N/A</v>
      </c>
      <c r="BA30" s="95" t="e">
        <f>IF(N30=VLOOKUP($A30,Feature_List!$A$2:$AO$101,MATCH(BA$1,Feature_List!$A$1:$AO$1,0),FALSE),"OK","BAD")</f>
        <v>#N/A</v>
      </c>
      <c r="BB30" s="95" t="e">
        <f>IF(O30=VLOOKUP($A30,Feature_List!$A$2:$AO$101,MATCH(BB$1,Feature_List!$A$1:$AO$1,0),FALSE),"OK","BAD")</f>
        <v>#N/A</v>
      </c>
      <c r="BC30" s="95" t="e">
        <f>IF(P30=VLOOKUP($A30,Feature_List!$A$2:$AO$101,MATCH(BC$1,Feature_List!$A$1:$AO$1,0),FALSE),"OK","BAD")</f>
        <v>#N/A</v>
      </c>
      <c r="BD30" s="95" t="e">
        <f>IF(Q30=VLOOKUP($A30,Feature_List!$A$2:$AO$101,MATCH(BD$1,Feature_List!$A$1:$AO$1,0),FALSE),"OK","BAD")</f>
        <v>#N/A</v>
      </c>
      <c r="BE30" s="95" t="e">
        <f>IF(R30=VLOOKUP($A30,Feature_List!$A$2:$AO$101,MATCH(BE$1,Feature_List!$A$1:$AO$1,0),FALSE),"OK","BAD")</f>
        <v>#N/A</v>
      </c>
      <c r="BF30" s="95" t="e">
        <f>IF(S30=VLOOKUP($A30,Feature_List!$A$2:$AO$101,MATCH(BF$1,Feature_List!$A$1:$AO$1,0),FALSE),"OK","BAD")</f>
        <v>#N/A</v>
      </c>
      <c r="BG30" s="95" t="e">
        <f>IF(T30=VLOOKUP($A30,Feature_List!$A$2:$AO$101,MATCH(BG$1,Feature_List!$A$1:$AO$1,0),FALSE),"OK","BAD")</f>
        <v>#N/A</v>
      </c>
      <c r="BH30" s="95" t="e">
        <f>IF(U30=VLOOKUP($A30,Feature_List!$A$2:$AO$101,MATCH(BH$1,Feature_List!$A$1:$AO$1,0),FALSE),"OK","BAD")</f>
        <v>#N/A</v>
      </c>
      <c r="BI30" s="95" t="e">
        <f>IF(V30=VLOOKUP($A30,Feature_List!$A$2:$AO$101,MATCH(BI$1,Feature_List!$A$1:$AO$1,0),FALSE),"OK","BAD")</f>
        <v>#N/A</v>
      </c>
      <c r="BJ30" s="95" t="e">
        <f>IF(W30=VLOOKUP($A30,Feature_List!$A$2:$AO$101,MATCH(BJ$1,Feature_List!$A$1:$AO$1,0),FALSE),"OK","BAD")</f>
        <v>#N/A</v>
      </c>
      <c r="BK30" s="95" t="e">
        <f>IF(X30=VLOOKUP($A30,Feature_List!$A$2:$AO$101,MATCH(BK$1,Feature_List!$A$1:$AO$1,0),FALSE),"OK","BAD")</f>
        <v>#N/A</v>
      </c>
      <c r="BL30" s="95" t="e">
        <f>IF(Y30=VLOOKUP($A30,Feature_List!$A$2:$AO$101,MATCH(BL$1,Feature_List!$A$1:$AO$1,0),FALSE),"OK","BAD")</f>
        <v>#N/A</v>
      </c>
      <c r="BM30" s="95" t="e">
        <f>IF(Z30=VLOOKUP($A30,Feature_List!$A$2:$AO$101,MATCH(BM$1,Feature_List!$A$1:$AO$1,0),FALSE),"OK","BAD")</f>
        <v>#N/A</v>
      </c>
      <c r="BN30" s="95" t="e">
        <f>IF(AA30=VLOOKUP($A30,Feature_List!$A$2:$AO$101,MATCH(BN$1,Feature_List!$A$1:$AO$1,0),FALSE),"OK","BAD")</f>
        <v>#N/A</v>
      </c>
      <c r="BO30" s="95" t="e">
        <f>IF(AB30=VLOOKUP($A30,Feature_List!$A$2:$AO$101,MATCH(BO$1,Feature_List!$A$1:$AO$1,0),FALSE),"OK","BAD")</f>
        <v>#N/A</v>
      </c>
      <c r="BP30" s="95" t="e">
        <f>IF(AC30=VLOOKUP($A30,Feature_List!$A$2:$AO$101,MATCH(BP$1,Feature_List!$A$1:$AO$1,0),FALSE),"OK","BAD")</f>
        <v>#N/A</v>
      </c>
      <c r="BQ30" s="95" t="e">
        <f>IF(AD30=VLOOKUP($A30,Feature_List!$A$2:$AO$101,MATCH(BQ$1,Feature_List!$A$1:$AO$1,0),FALSE),"OK","BAD")</f>
        <v>#N/A</v>
      </c>
      <c r="BR30" s="95" t="e">
        <f>IF(AE30=VLOOKUP($A30,Feature_List!$A$2:$AO$101,MATCH(BR$1,Feature_List!$A$1:$AO$1,0),FALSE),"OK","BAD")</f>
        <v>#N/A</v>
      </c>
      <c r="BS30" s="95" t="e">
        <f>IF(AF30=VLOOKUP($A30,Feature_List!$A$2:$AO$101,MATCH(BS$1,Feature_List!$A$1:$AO$1,0),FALSE),"OK","BAD")</f>
        <v>#N/A</v>
      </c>
      <c r="BT30" s="95" t="e">
        <f>IF(AG30=VLOOKUP($A30,Feature_List!$A$2:$AO$101,MATCH(BT$1,Feature_List!$A$1:$AO$1,0),FALSE),"OK","BAD")</f>
        <v>#N/A</v>
      </c>
      <c r="BU30" s="95" t="e">
        <f>IF(AH30=VLOOKUP($A30,Feature_List!$A$2:$AO$101,MATCH(BU$1,Feature_List!$A$1:$AO$1,0),FALSE),"OK","BAD")</f>
        <v>#N/A</v>
      </c>
      <c r="BV30" s="95" t="e">
        <f>IF(AI30=VLOOKUP($A30,Feature_List!$A$2:$AO$101,MATCH(BV$1,Feature_List!$A$1:$AO$1,0),FALSE),"OK","BAD")</f>
        <v>#N/A</v>
      </c>
      <c r="BW30" s="95" t="e">
        <f>IF(AJ30=VLOOKUP($A30,Feature_List!$A$2:$AO$101,MATCH(BW$1,Feature_List!$A$1:$AO$1,0),FALSE),"OK","BAD")</f>
        <v>#N/A</v>
      </c>
      <c r="BX30" s="95" t="e">
        <f>IF(AK30=VLOOKUP($A30,Feature_List!$A$2:$AO$101,MATCH(BX$1,Feature_List!$A$1:$AO$1,0),FALSE),"OK","BAD")</f>
        <v>#N/A</v>
      </c>
      <c r="BY30" s="95" t="e">
        <f>IF(AL30=VLOOKUP($A30,Feature_List!$A$2:$AO$101,MATCH(BY$1,Feature_List!$A$1:$AO$1,0),FALSE),"OK","BAD")</f>
        <v>#N/A</v>
      </c>
      <c r="BZ30" s="95" t="e">
        <f>IF(AM30=VLOOKUP($A30,Feature_List!$A$2:$AO$101,MATCH(BZ$1,Feature_List!$A$1:$AO$1,0),FALSE),"OK","BAD")</f>
        <v>#N/A</v>
      </c>
      <c r="CA30" s="95" t="e">
        <f>IF(AN30=VLOOKUP($A30,Feature_List!$A$2:$AO$101,MATCH(CA$1,Feature_List!$A$1:$AO$1,0),FALSE),"OK","BAD")</f>
        <v>#N/A</v>
      </c>
    </row>
    <row r="31" spans="1:79" ht="14.4" customHeight="1" x14ac:dyDescent="0.3">
      <c r="A31" s="70">
        <v>395871</v>
      </c>
      <c r="B31" s="65" t="s">
        <v>1166</v>
      </c>
      <c r="C31" s="98" t="s">
        <v>1145</v>
      </c>
      <c r="D31" s="65" t="s">
        <v>28</v>
      </c>
      <c r="E31" s="64">
        <v>126</v>
      </c>
      <c r="F31" s="64" t="s">
        <v>41</v>
      </c>
      <c r="G31" s="64" t="s">
        <v>1153</v>
      </c>
      <c r="H31" s="64" t="s">
        <v>850</v>
      </c>
      <c r="I31" s="99" t="s">
        <v>38</v>
      </c>
      <c r="J31" s="64" t="s">
        <v>1414</v>
      </c>
      <c r="K31" s="64">
        <v>0</v>
      </c>
      <c r="L31" s="62" t="s">
        <v>17</v>
      </c>
      <c r="M31" s="67" t="s">
        <v>31</v>
      </c>
      <c r="N31" s="67" t="s">
        <v>48</v>
      </c>
      <c r="O31" s="67">
        <v>1</v>
      </c>
      <c r="P31" s="66" t="s">
        <v>131</v>
      </c>
      <c r="Q31" s="63">
        <v>7</v>
      </c>
      <c r="R31" s="63">
        <v>0</v>
      </c>
      <c r="S31" s="63">
        <v>3</v>
      </c>
      <c r="T31" s="63">
        <v>0</v>
      </c>
      <c r="U31" s="63">
        <v>0</v>
      </c>
      <c r="V31" s="63">
        <v>4</v>
      </c>
      <c r="W31" s="63">
        <v>0</v>
      </c>
      <c r="X31" s="63">
        <v>10</v>
      </c>
      <c r="Y31" s="63">
        <v>0</v>
      </c>
      <c r="Z31" s="63">
        <v>9</v>
      </c>
      <c r="AA31" s="63">
        <v>0</v>
      </c>
      <c r="AB31" s="63">
        <v>0</v>
      </c>
      <c r="AC31" s="63">
        <v>16</v>
      </c>
      <c r="AD31" s="63">
        <v>66</v>
      </c>
      <c r="AE31" s="63">
        <v>0</v>
      </c>
      <c r="AF31" s="63">
        <v>0</v>
      </c>
      <c r="AG31" s="63">
        <v>18</v>
      </c>
      <c r="AH31" s="63">
        <v>0</v>
      </c>
      <c r="AI31" s="63">
        <v>0</v>
      </c>
      <c r="AJ31" s="63">
        <v>126</v>
      </c>
      <c r="AK31" s="63">
        <v>0</v>
      </c>
      <c r="AL31" s="63" t="s">
        <v>35</v>
      </c>
      <c r="AM31" s="63" t="s">
        <v>36</v>
      </c>
      <c r="AN31" s="220" t="s">
        <v>40</v>
      </c>
      <c r="AO31" s="224"/>
      <c r="AP31" s="95" t="e">
        <f>IF(C31=VLOOKUP($A31,Feature_List!$A$2:$AO$101,MATCH(AP$1,Feature_List!$A$1:$AO$1,0),FALSE),"OK","BAD")</f>
        <v>#N/A</v>
      </c>
      <c r="AQ31" s="95" t="e">
        <f>IF(D31=VLOOKUP($A31,Feature_List!$A$2:$AO$101,MATCH(AQ$1,Feature_List!$A$1:$AO$1,0),FALSE),"OK","BAD")</f>
        <v>#N/A</v>
      </c>
      <c r="AR31" s="95" t="e">
        <f>IF(E31=VLOOKUP($A31,Feature_List!$A$2:$AO$101,MATCH(AR$1,Feature_List!$A$1:$AO$1,0),FALSE),"OK","BAD")</f>
        <v>#N/A</v>
      </c>
      <c r="AS31" s="95" t="e">
        <f>IF(F31=VLOOKUP($A31,Feature_List!$A$2:$AO$101,MATCH(AS$1,Feature_List!$A$1:$AO$1,0),FALSE),"OK","BAD")</f>
        <v>#N/A</v>
      </c>
      <c r="AT31" s="95" t="s">
        <v>985</v>
      </c>
      <c r="AU31" s="95" t="s">
        <v>985</v>
      </c>
      <c r="AV31" s="95" t="e">
        <f>IF(I31=VLOOKUP($A31,Feature_List!$A$2:$AO$101,MATCH(AV$1,Feature_List!$A$1:$AO$1,0),FALSE),"OK","BAD")</f>
        <v>#N/A</v>
      </c>
      <c r="AW31" s="95" t="e">
        <f>IF(J31=VLOOKUP($A31,Feature_List!$A$2:$AO$101,MATCH(AW$1,Feature_List!$A$1:$AO$1,0),FALSE),"OK","BAD")</f>
        <v>#N/A</v>
      </c>
      <c r="AX31" s="95" t="e">
        <f>IF(K31=VLOOKUP($A31,Feature_List!$A$2:$AO$101,MATCH(AX$1,Feature_List!$A$1:$AO$1,0),FALSE),"OK","BAD")</f>
        <v>#N/A</v>
      </c>
      <c r="AY31" s="95" t="e">
        <f>IF(L31=VLOOKUP($A31,Feature_List!$A$2:$AO$101,MATCH(AY$1,Feature_List!$A$1:$AO$1,0),FALSE),"OK","BAD")</f>
        <v>#N/A</v>
      </c>
      <c r="AZ31" s="95" t="e">
        <f>IF(M31=VLOOKUP($A31,Feature_List!$A$2:$AO$101,MATCH(AZ$1,Feature_List!$A$1:$AO$1,0),FALSE),"OK","BAD")</f>
        <v>#N/A</v>
      </c>
      <c r="BA31" s="95" t="e">
        <f>IF(N31=VLOOKUP($A31,Feature_List!$A$2:$AO$101,MATCH(BA$1,Feature_List!$A$1:$AO$1,0),FALSE),"OK","BAD")</f>
        <v>#N/A</v>
      </c>
      <c r="BB31" s="95" t="e">
        <f>IF(O31=VLOOKUP($A31,Feature_List!$A$2:$AO$101,MATCH(BB$1,Feature_List!$A$1:$AO$1,0),FALSE),"OK","BAD")</f>
        <v>#N/A</v>
      </c>
      <c r="BC31" s="95" t="e">
        <f>IF(P31=VLOOKUP($A31,Feature_List!$A$2:$AO$101,MATCH(BC$1,Feature_List!$A$1:$AO$1,0),FALSE),"OK","BAD")</f>
        <v>#N/A</v>
      </c>
      <c r="BD31" s="95" t="e">
        <f>IF(Q31=VLOOKUP($A31,Feature_List!$A$2:$AO$101,MATCH(BD$1,Feature_List!$A$1:$AO$1,0),FALSE),"OK","BAD")</f>
        <v>#N/A</v>
      </c>
      <c r="BE31" s="95" t="e">
        <f>IF(R31=VLOOKUP($A31,Feature_List!$A$2:$AO$101,MATCH(BE$1,Feature_List!$A$1:$AO$1,0),FALSE),"OK","BAD")</f>
        <v>#N/A</v>
      </c>
      <c r="BF31" s="95" t="e">
        <f>IF(S31=VLOOKUP($A31,Feature_List!$A$2:$AO$101,MATCH(BF$1,Feature_List!$A$1:$AO$1,0),FALSE),"OK","BAD")</f>
        <v>#N/A</v>
      </c>
      <c r="BG31" s="95" t="e">
        <f>IF(T31=VLOOKUP($A31,Feature_List!$A$2:$AO$101,MATCH(BG$1,Feature_List!$A$1:$AO$1,0),FALSE),"OK","BAD")</f>
        <v>#N/A</v>
      </c>
      <c r="BH31" s="95" t="e">
        <f>IF(U31=VLOOKUP($A31,Feature_List!$A$2:$AO$101,MATCH(BH$1,Feature_List!$A$1:$AO$1,0),FALSE),"OK","BAD")</f>
        <v>#N/A</v>
      </c>
      <c r="BI31" s="95" t="e">
        <f>IF(V31=VLOOKUP($A31,Feature_List!$A$2:$AO$101,MATCH(BI$1,Feature_List!$A$1:$AO$1,0),FALSE),"OK","BAD")</f>
        <v>#N/A</v>
      </c>
      <c r="BJ31" s="95" t="e">
        <f>IF(W31=VLOOKUP($A31,Feature_List!$A$2:$AO$101,MATCH(BJ$1,Feature_List!$A$1:$AO$1,0),FALSE),"OK","BAD")</f>
        <v>#N/A</v>
      </c>
      <c r="BK31" s="95" t="e">
        <f>IF(X31=VLOOKUP($A31,Feature_List!$A$2:$AO$101,MATCH(BK$1,Feature_List!$A$1:$AO$1,0),FALSE),"OK","BAD")</f>
        <v>#N/A</v>
      </c>
      <c r="BL31" s="95" t="e">
        <f>IF(Y31=VLOOKUP($A31,Feature_List!$A$2:$AO$101,MATCH(BL$1,Feature_List!$A$1:$AO$1,0),FALSE),"OK","BAD")</f>
        <v>#N/A</v>
      </c>
      <c r="BM31" s="95" t="e">
        <f>IF(Z31=VLOOKUP($A31,Feature_List!$A$2:$AO$101,MATCH(BM$1,Feature_List!$A$1:$AO$1,0),FALSE),"OK","BAD")</f>
        <v>#N/A</v>
      </c>
      <c r="BN31" s="95" t="e">
        <f>IF(AA31=VLOOKUP($A31,Feature_List!$A$2:$AO$101,MATCH(BN$1,Feature_List!$A$1:$AO$1,0),FALSE),"OK","BAD")</f>
        <v>#N/A</v>
      </c>
      <c r="BO31" s="95" t="e">
        <f>IF(AB31=VLOOKUP($A31,Feature_List!$A$2:$AO$101,MATCH(BO$1,Feature_List!$A$1:$AO$1,0),FALSE),"OK","BAD")</f>
        <v>#N/A</v>
      </c>
      <c r="BP31" s="95" t="e">
        <f>IF(AC31=VLOOKUP($A31,Feature_List!$A$2:$AO$101,MATCH(BP$1,Feature_List!$A$1:$AO$1,0),FALSE),"OK","BAD")</f>
        <v>#N/A</v>
      </c>
      <c r="BQ31" s="95" t="e">
        <f>IF(AD31=VLOOKUP($A31,Feature_List!$A$2:$AO$101,MATCH(BQ$1,Feature_List!$A$1:$AO$1,0),FALSE),"OK","BAD")</f>
        <v>#N/A</v>
      </c>
      <c r="BR31" s="95" t="e">
        <f>IF(AE31=VLOOKUP($A31,Feature_List!$A$2:$AO$101,MATCH(BR$1,Feature_List!$A$1:$AO$1,0),FALSE),"OK","BAD")</f>
        <v>#N/A</v>
      </c>
      <c r="BS31" s="95" t="e">
        <f>IF(AF31=VLOOKUP($A31,Feature_List!$A$2:$AO$101,MATCH(BS$1,Feature_List!$A$1:$AO$1,0),FALSE),"OK","BAD")</f>
        <v>#N/A</v>
      </c>
      <c r="BT31" s="95" t="e">
        <f>IF(AG31=VLOOKUP($A31,Feature_List!$A$2:$AO$101,MATCH(BT$1,Feature_List!$A$1:$AO$1,0),FALSE),"OK","BAD")</f>
        <v>#N/A</v>
      </c>
      <c r="BU31" s="95" t="e">
        <f>IF(AH31=VLOOKUP($A31,Feature_List!$A$2:$AO$101,MATCH(BU$1,Feature_List!$A$1:$AO$1,0),FALSE),"OK","BAD")</f>
        <v>#N/A</v>
      </c>
      <c r="BV31" s="95" t="e">
        <f>IF(AI31=VLOOKUP($A31,Feature_List!$A$2:$AO$101,MATCH(BV$1,Feature_List!$A$1:$AO$1,0),FALSE),"OK","BAD")</f>
        <v>#N/A</v>
      </c>
      <c r="BW31" s="95" t="e">
        <f>IF(AJ31=VLOOKUP($A31,Feature_List!$A$2:$AO$101,MATCH(BW$1,Feature_List!$A$1:$AO$1,0),FALSE),"OK","BAD")</f>
        <v>#N/A</v>
      </c>
      <c r="BX31" s="95" t="e">
        <f>IF(AK31=VLOOKUP($A31,Feature_List!$A$2:$AO$101,MATCH(BX$1,Feature_List!$A$1:$AO$1,0),FALSE),"OK","BAD")</f>
        <v>#N/A</v>
      </c>
      <c r="BY31" s="95" t="e">
        <f>IF(AL31=VLOOKUP($A31,Feature_List!$A$2:$AO$101,MATCH(BY$1,Feature_List!$A$1:$AO$1,0),FALSE),"OK","BAD")</f>
        <v>#N/A</v>
      </c>
      <c r="BZ31" s="95" t="e">
        <f>IF(AM31=VLOOKUP($A31,Feature_List!$A$2:$AO$101,MATCH(BZ$1,Feature_List!$A$1:$AO$1,0),FALSE),"OK","BAD")</f>
        <v>#N/A</v>
      </c>
      <c r="CA31" s="95" t="e">
        <f>IF(AN31=VLOOKUP($A31,Feature_List!$A$2:$AO$101,MATCH(CA$1,Feature_List!$A$1:$AO$1,0),FALSE),"OK","BAD")</f>
        <v>#N/A</v>
      </c>
    </row>
    <row r="32" spans="1:79" ht="14.4" customHeight="1" x14ac:dyDescent="0.3">
      <c r="A32" s="70">
        <v>395855</v>
      </c>
      <c r="B32" s="65" t="s">
        <v>1148</v>
      </c>
      <c r="C32" s="98" t="s">
        <v>1145</v>
      </c>
      <c r="D32" s="65" t="s">
        <v>28</v>
      </c>
      <c r="E32" s="64">
        <v>10</v>
      </c>
      <c r="F32" s="64" t="s">
        <v>879</v>
      </c>
      <c r="G32" s="64" t="s">
        <v>1557</v>
      </c>
      <c r="H32" s="64" t="s">
        <v>110</v>
      </c>
      <c r="I32" s="99" t="s">
        <v>851</v>
      </c>
      <c r="J32" s="64" t="s">
        <v>1414</v>
      </c>
      <c r="K32" s="64">
        <v>0</v>
      </c>
      <c r="L32" s="62" t="s">
        <v>946</v>
      </c>
      <c r="M32" s="67" t="s">
        <v>42</v>
      </c>
      <c r="N32" s="67" t="s">
        <v>44</v>
      </c>
      <c r="O32" s="67">
        <v>2</v>
      </c>
      <c r="P32" s="66" t="s">
        <v>1552</v>
      </c>
      <c r="Q32" s="63">
        <v>1</v>
      </c>
      <c r="R32" s="63">
        <v>0</v>
      </c>
      <c r="S32" s="63">
        <v>0</v>
      </c>
      <c r="T32" s="63">
        <v>0</v>
      </c>
      <c r="U32" s="63">
        <v>0</v>
      </c>
      <c r="V32" s="63">
        <v>0</v>
      </c>
      <c r="W32" s="63">
        <v>0</v>
      </c>
      <c r="X32" s="63">
        <v>0</v>
      </c>
      <c r="Y32" s="63">
        <v>10</v>
      </c>
      <c r="Z32" s="63">
        <v>0</v>
      </c>
      <c r="AA32" s="63">
        <v>0</v>
      </c>
      <c r="AB32" s="63">
        <v>0</v>
      </c>
      <c r="AC32" s="63">
        <v>0</v>
      </c>
      <c r="AD32" s="63">
        <v>0</v>
      </c>
      <c r="AE32" s="63">
        <v>0</v>
      </c>
      <c r="AF32" s="63">
        <v>0</v>
      </c>
      <c r="AG32" s="63">
        <v>0</v>
      </c>
      <c r="AH32" s="63">
        <v>0</v>
      </c>
      <c r="AI32" s="63">
        <v>0</v>
      </c>
      <c r="AJ32" s="63">
        <v>10</v>
      </c>
      <c r="AK32" s="63">
        <v>0</v>
      </c>
      <c r="AL32" s="63" t="s">
        <v>35</v>
      </c>
      <c r="AM32" s="63" t="s">
        <v>36</v>
      </c>
      <c r="AN32" s="220" t="s">
        <v>40</v>
      </c>
      <c r="AO32" s="224"/>
      <c r="AP32" s="95" t="str">
        <f>IF(C32=VLOOKUP($A32,Feature_List!$A$2:$AO$101,MATCH(AP$1,Feature_List!$A$1:$AO$1,0),FALSE),"OK","BAD")</f>
        <v>BAD</v>
      </c>
      <c r="AQ32" s="95" t="str">
        <f>IF(D32=VLOOKUP($A32,Feature_List!$A$2:$AO$101,MATCH(AQ$1,Feature_List!$A$1:$AO$1,0),FALSE),"OK","BAD")</f>
        <v>BAD</v>
      </c>
      <c r="AR32" s="95" t="str">
        <f>IF(E32=VLOOKUP($A32,Feature_List!$A$2:$AO$101,MATCH(AR$1,Feature_List!$A$1:$AO$1,0),FALSE),"OK","BAD")</f>
        <v>OK</v>
      </c>
      <c r="AS32" s="95" t="str">
        <f>IF(F32=VLOOKUP($A32,Feature_List!$A$2:$AO$101,MATCH(AS$1,Feature_List!$A$1:$AO$1,0),FALSE),"OK","BAD")</f>
        <v>OK</v>
      </c>
      <c r="AT32" s="95" t="s">
        <v>985</v>
      </c>
      <c r="AU32" s="95" t="s">
        <v>985</v>
      </c>
      <c r="AV32" s="95" t="str">
        <f>IF(I32=VLOOKUP($A32,Feature_List!$A$2:$AO$101,MATCH(AV$1,Feature_List!$A$1:$AO$1,0),FALSE),"OK","BAD")</f>
        <v>OK</v>
      </c>
      <c r="AW32" s="95" t="str">
        <f>IF(J32=VLOOKUP($A32,Feature_List!$A$2:$AO$101,MATCH(AW$1,Feature_List!$A$1:$AO$1,0),FALSE),"OK","BAD")</f>
        <v>OK</v>
      </c>
      <c r="AX32" s="95" t="str">
        <f>IF(K32=VLOOKUP($A32,Feature_List!$A$2:$AO$101,MATCH(AX$1,Feature_List!$A$1:$AO$1,0),FALSE),"OK","BAD")</f>
        <v>OK</v>
      </c>
      <c r="AY32" s="95" t="str">
        <f>IF(L32=VLOOKUP($A32,Feature_List!$A$2:$AO$101,MATCH(AY$1,Feature_List!$A$1:$AO$1,0),FALSE),"OK","BAD")</f>
        <v>OK</v>
      </c>
      <c r="AZ32" s="95" t="str">
        <f>IF(M32=VLOOKUP($A32,Feature_List!$A$2:$AO$101,MATCH(AZ$1,Feature_List!$A$1:$AO$1,0),FALSE),"OK","BAD")</f>
        <v>OK</v>
      </c>
      <c r="BA32" s="95" t="str">
        <f>IF(N32=VLOOKUP($A32,Feature_List!$A$2:$AO$101,MATCH(BA$1,Feature_List!$A$1:$AO$1,0),FALSE),"OK","BAD")</f>
        <v>OK</v>
      </c>
      <c r="BB32" s="95" t="str">
        <f>IF(O32=VLOOKUP($A32,Feature_List!$A$2:$AO$101,MATCH(BB$1,Feature_List!$A$1:$AO$1,0),FALSE),"OK","BAD")</f>
        <v>BAD</v>
      </c>
      <c r="BC32" s="95" t="e">
        <f>IF(P32=VLOOKUP($A32,Feature_List!$A$2:$AO$101,MATCH(BC$1,Feature_List!$A$1:$AO$1,0),FALSE),"OK","BAD")</f>
        <v>#N/A</v>
      </c>
      <c r="BD32" s="95" t="str">
        <f>IF(Q32=VLOOKUP($A32,Feature_List!$A$2:$AO$101,MATCH(BD$1,Feature_List!$A$1:$AO$1,0),FALSE),"OK","BAD")</f>
        <v>OK</v>
      </c>
      <c r="BE32" s="95" t="str">
        <f>IF(R32=VLOOKUP($A32,Feature_List!$A$2:$AO$101,MATCH(BE$1,Feature_List!$A$1:$AO$1,0),FALSE),"OK","BAD")</f>
        <v>BAD</v>
      </c>
      <c r="BF32" s="95" t="str">
        <f>IF(S32=VLOOKUP($A32,Feature_List!$A$2:$AO$101,MATCH(BF$1,Feature_List!$A$1:$AO$1,0),FALSE),"OK","BAD")</f>
        <v>OK</v>
      </c>
      <c r="BG32" s="95" t="str">
        <f>IF(T32=VLOOKUP($A32,Feature_List!$A$2:$AO$101,MATCH(BG$1,Feature_List!$A$1:$AO$1,0),FALSE),"OK","BAD")</f>
        <v>OK</v>
      </c>
      <c r="BH32" s="95" t="str">
        <f>IF(U32=VLOOKUP($A32,Feature_List!$A$2:$AO$101,MATCH(BH$1,Feature_List!$A$1:$AO$1,0),FALSE),"OK","BAD")</f>
        <v>OK</v>
      </c>
      <c r="BI32" s="95" t="str">
        <f>IF(V32=VLOOKUP($A32,Feature_List!$A$2:$AO$101,MATCH(BI$1,Feature_List!$A$1:$AO$1,0),FALSE),"OK","BAD")</f>
        <v>OK</v>
      </c>
      <c r="BJ32" s="95" t="e">
        <f>IF(W32=VLOOKUP($A32,Feature_List!$A$2:$AO$101,MATCH(BJ$1,Feature_List!$A$1:$AO$1,0),FALSE),"OK","BAD")</f>
        <v>#N/A</v>
      </c>
      <c r="BK32" s="95" t="str">
        <f>IF(X32=VLOOKUP($A32,Feature_List!$A$2:$AO$101,MATCH(BK$1,Feature_List!$A$1:$AO$1,0),FALSE),"OK","BAD")</f>
        <v>OK</v>
      </c>
      <c r="BL32" s="95" t="str">
        <f>IF(Y32=VLOOKUP($A32,Feature_List!$A$2:$AO$101,MATCH(BL$1,Feature_List!$A$1:$AO$1,0),FALSE),"OK","BAD")</f>
        <v>BAD</v>
      </c>
      <c r="BM32" s="95" t="str">
        <f>IF(Z32=VLOOKUP($A32,Feature_List!$A$2:$AO$101,MATCH(BM$1,Feature_List!$A$1:$AO$1,0),FALSE),"OK","BAD")</f>
        <v>OK</v>
      </c>
      <c r="BN32" s="95" t="str">
        <f>IF(AA32=VLOOKUP($A32,Feature_List!$A$2:$AO$101,MATCH(BN$1,Feature_List!$A$1:$AO$1,0),FALSE),"OK","BAD")</f>
        <v>OK</v>
      </c>
      <c r="BO32" s="95" t="str">
        <f>IF(AB32=VLOOKUP($A32,Feature_List!$A$2:$AO$101,MATCH(BO$1,Feature_List!$A$1:$AO$1,0),FALSE),"OK","BAD")</f>
        <v>OK</v>
      </c>
      <c r="BP32" s="95" t="str">
        <f>IF(AC32=VLOOKUP($A32,Feature_List!$A$2:$AO$101,MATCH(BP$1,Feature_List!$A$1:$AO$1,0),FALSE),"OK","BAD")</f>
        <v>OK</v>
      </c>
      <c r="BQ32" s="95" t="str">
        <f>IF(AD32=VLOOKUP($A32,Feature_List!$A$2:$AO$101,MATCH(BQ$1,Feature_List!$A$1:$AO$1,0),FALSE),"OK","BAD")</f>
        <v>OK</v>
      </c>
      <c r="BR32" s="95" t="str">
        <f>IF(AE32=VLOOKUP($A32,Feature_List!$A$2:$AO$101,MATCH(BR$1,Feature_List!$A$1:$AO$1,0),FALSE),"OK","BAD")</f>
        <v>OK</v>
      </c>
      <c r="BS32" s="95" t="str">
        <f>IF(AF32=VLOOKUP($A32,Feature_List!$A$2:$AO$101,MATCH(BS$1,Feature_List!$A$1:$AO$1,0),FALSE),"OK","BAD")</f>
        <v>OK</v>
      </c>
      <c r="BT32" s="95" t="str">
        <f>IF(AG32=VLOOKUP($A32,Feature_List!$A$2:$AO$101,MATCH(BT$1,Feature_List!$A$1:$AO$1,0),FALSE),"OK","BAD")</f>
        <v>OK</v>
      </c>
      <c r="BU32" s="95" t="str">
        <f>IF(AH32=VLOOKUP($A32,Feature_List!$A$2:$AO$101,MATCH(BU$1,Feature_List!$A$1:$AO$1,0),FALSE),"OK","BAD")</f>
        <v>OK</v>
      </c>
      <c r="BV32" s="95" t="e">
        <f>IF(AI32=VLOOKUP($A32,Feature_List!$A$2:$AO$101,MATCH(BV$1,Feature_List!$A$1:$AO$1,0),FALSE),"OK","BAD")</f>
        <v>#N/A</v>
      </c>
      <c r="BW32" s="95" t="e">
        <f>IF(AJ32=VLOOKUP($A32,Feature_List!$A$2:$AO$101,MATCH(BW$1,Feature_List!$A$1:$AO$1,0),FALSE),"OK","BAD")</f>
        <v>#N/A</v>
      </c>
      <c r="BX32" s="95" t="e">
        <f>IF(AK32=VLOOKUP($A32,Feature_List!$A$2:$AO$101,MATCH(BX$1,Feature_List!$A$1:$AO$1,0),FALSE),"OK","BAD")</f>
        <v>#N/A</v>
      </c>
      <c r="BY32" s="95" t="str">
        <f>IF(AL32=VLOOKUP($A32,Feature_List!$A$2:$AO$101,MATCH(BY$1,Feature_List!$A$1:$AO$1,0),FALSE),"OK","BAD")</f>
        <v>OK</v>
      </c>
      <c r="BZ32" s="95" t="str">
        <f>IF(AM32=VLOOKUP($A32,Feature_List!$A$2:$AO$101,MATCH(BZ$1,Feature_List!$A$1:$AO$1,0),FALSE),"OK","BAD")</f>
        <v>OK</v>
      </c>
      <c r="CA32" s="95" t="str">
        <f>IF(AN32=VLOOKUP($A32,Feature_List!$A$2:$AO$101,MATCH(CA$1,Feature_List!$A$1:$AO$1,0),FALSE),"OK","BAD")</f>
        <v>BAD</v>
      </c>
    </row>
    <row r="33" spans="1:79" ht="14.4" customHeight="1" x14ac:dyDescent="0.3">
      <c r="A33" s="70">
        <v>395835</v>
      </c>
      <c r="B33" s="65" t="s">
        <v>1139</v>
      </c>
      <c r="C33" s="98" t="s">
        <v>1145</v>
      </c>
      <c r="D33" s="65" t="s">
        <v>28</v>
      </c>
      <c r="E33" s="64">
        <v>7</v>
      </c>
      <c r="F33" s="64" t="s">
        <v>879</v>
      </c>
      <c r="G33" s="64" t="s">
        <v>1468</v>
      </c>
      <c r="H33" s="64" t="s">
        <v>630</v>
      </c>
      <c r="I33" s="99" t="s">
        <v>38</v>
      </c>
      <c r="J33" s="64" t="s">
        <v>1414</v>
      </c>
      <c r="K33" s="64">
        <v>0</v>
      </c>
      <c r="L33" s="62" t="s">
        <v>944</v>
      </c>
      <c r="M33" s="67" t="s">
        <v>49</v>
      </c>
      <c r="N33" s="67" t="s">
        <v>50</v>
      </c>
      <c r="O33" s="67">
        <v>0</v>
      </c>
      <c r="P33" s="66" t="s">
        <v>991</v>
      </c>
      <c r="Q33" s="63">
        <v>1</v>
      </c>
      <c r="R33" s="63">
        <v>0</v>
      </c>
      <c r="S33" s="63">
        <v>0</v>
      </c>
      <c r="T33" s="63">
        <v>7</v>
      </c>
      <c r="U33" s="63">
        <v>0</v>
      </c>
      <c r="V33" s="63">
        <v>0</v>
      </c>
      <c r="W33" s="63">
        <v>0</v>
      </c>
      <c r="X33" s="63">
        <v>0</v>
      </c>
      <c r="Y33" s="63">
        <v>0</v>
      </c>
      <c r="Z33" s="63">
        <v>0</v>
      </c>
      <c r="AA33" s="63">
        <v>0</v>
      </c>
      <c r="AB33" s="63">
        <v>0</v>
      </c>
      <c r="AC33" s="63">
        <v>0</v>
      </c>
      <c r="AD33" s="63">
        <v>0</v>
      </c>
      <c r="AE33" s="63">
        <v>0</v>
      </c>
      <c r="AF33" s="63">
        <v>0</v>
      </c>
      <c r="AG33" s="63">
        <v>0</v>
      </c>
      <c r="AH33" s="63">
        <v>0</v>
      </c>
      <c r="AI33" s="63">
        <v>0</v>
      </c>
      <c r="AJ33" s="63">
        <v>7</v>
      </c>
      <c r="AK33" s="63">
        <v>0</v>
      </c>
      <c r="AL33" s="63" t="s">
        <v>35</v>
      </c>
      <c r="AM33" s="63" t="s">
        <v>36</v>
      </c>
      <c r="AN33" s="220" t="s">
        <v>40</v>
      </c>
      <c r="AO33" s="224"/>
      <c r="AP33" s="95" t="e">
        <f>IF(C33=VLOOKUP($A33,Feature_List!$A$2:$AO$101,MATCH(AP$1,Feature_List!$A$1:$AO$1,0),FALSE),"OK","BAD")</f>
        <v>#N/A</v>
      </c>
      <c r="AQ33" s="95" t="e">
        <f>IF(D33=VLOOKUP($A33,Feature_List!$A$2:$AO$101,MATCH(AQ$1,Feature_List!$A$1:$AO$1,0),FALSE),"OK","BAD")</f>
        <v>#N/A</v>
      </c>
      <c r="AR33" s="95" t="e">
        <f>IF(E33=VLOOKUP($A33,Feature_List!$A$2:$AO$101,MATCH(AR$1,Feature_List!$A$1:$AO$1,0),FALSE),"OK","BAD")</f>
        <v>#N/A</v>
      </c>
      <c r="AS33" s="95" t="e">
        <f>IF(F33=VLOOKUP($A33,Feature_List!$A$2:$AO$101,MATCH(AS$1,Feature_List!$A$1:$AO$1,0),FALSE),"OK","BAD")</f>
        <v>#N/A</v>
      </c>
      <c r="AT33" s="95" t="s">
        <v>985</v>
      </c>
      <c r="AU33" s="95" t="s">
        <v>985</v>
      </c>
      <c r="AV33" s="95" t="e">
        <f>IF(I33=VLOOKUP($A33,Feature_List!$A$2:$AO$101,MATCH(AV$1,Feature_List!$A$1:$AO$1,0),FALSE),"OK","BAD")</f>
        <v>#N/A</v>
      </c>
      <c r="AW33" s="95" t="e">
        <f>IF(J33=VLOOKUP($A33,Feature_List!$A$2:$AO$101,MATCH(AW$1,Feature_List!$A$1:$AO$1,0),FALSE),"OK","BAD")</f>
        <v>#N/A</v>
      </c>
      <c r="AX33" s="95" t="e">
        <f>IF(K33=VLOOKUP($A33,Feature_List!$A$2:$AO$101,MATCH(AX$1,Feature_List!$A$1:$AO$1,0),FALSE),"OK","BAD")</f>
        <v>#N/A</v>
      </c>
      <c r="AY33" s="95" t="e">
        <f>IF(L33=VLOOKUP($A33,Feature_List!$A$2:$AO$101,MATCH(AY$1,Feature_List!$A$1:$AO$1,0),FALSE),"OK","BAD")</f>
        <v>#N/A</v>
      </c>
      <c r="AZ33" s="95" t="e">
        <f>IF(M33=VLOOKUP($A33,Feature_List!$A$2:$AO$101,MATCH(AZ$1,Feature_List!$A$1:$AO$1,0),FALSE),"OK","BAD")</f>
        <v>#N/A</v>
      </c>
      <c r="BA33" s="95" t="e">
        <f>IF(N33=VLOOKUP($A33,Feature_List!$A$2:$AO$101,MATCH(BA$1,Feature_List!$A$1:$AO$1,0),FALSE),"OK","BAD")</f>
        <v>#N/A</v>
      </c>
      <c r="BB33" s="95" t="e">
        <f>IF(O33=VLOOKUP($A33,Feature_List!$A$2:$AO$101,MATCH(BB$1,Feature_List!$A$1:$AO$1,0),FALSE),"OK","BAD")</f>
        <v>#N/A</v>
      </c>
      <c r="BC33" s="95" t="e">
        <f>IF(P33=VLOOKUP($A33,Feature_List!$A$2:$AO$101,MATCH(BC$1,Feature_List!$A$1:$AO$1,0),FALSE),"OK","BAD")</f>
        <v>#N/A</v>
      </c>
      <c r="BD33" s="95" t="e">
        <f>IF(Q33=VLOOKUP($A33,Feature_List!$A$2:$AO$101,MATCH(BD$1,Feature_List!$A$1:$AO$1,0),FALSE),"OK","BAD")</f>
        <v>#N/A</v>
      </c>
      <c r="BE33" s="95" t="e">
        <f>IF(R33=VLOOKUP($A33,Feature_List!$A$2:$AO$101,MATCH(BE$1,Feature_List!$A$1:$AO$1,0),FALSE),"OK","BAD")</f>
        <v>#N/A</v>
      </c>
      <c r="BF33" s="95" t="e">
        <f>IF(S33=VLOOKUP($A33,Feature_List!$A$2:$AO$101,MATCH(BF$1,Feature_List!$A$1:$AO$1,0),FALSE),"OK","BAD")</f>
        <v>#N/A</v>
      </c>
      <c r="BG33" s="95" t="e">
        <f>IF(T33=VLOOKUP($A33,Feature_List!$A$2:$AO$101,MATCH(BG$1,Feature_List!$A$1:$AO$1,0),FALSE),"OK","BAD")</f>
        <v>#N/A</v>
      </c>
      <c r="BH33" s="95" t="e">
        <f>IF(U33=VLOOKUP($A33,Feature_List!$A$2:$AO$101,MATCH(BH$1,Feature_List!$A$1:$AO$1,0),FALSE),"OK","BAD")</f>
        <v>#N/A</v>
      </c>
      <c r="BI33" s="95" t="e">
        <f>IF(V33=VLOOKUP($A33,Feature_List!$A$2:$AO$101,MATCH(BI$1,Feature_List!$A$1:$AO$1,0),FALSE),"OK","BAD")</f>
        <v>#N/A</v>
      </c>
      <c r="BJ33" s="95" t="e">
        <f>IF(W33=VLOOKUP($A33,Feature_List!$A$2:$AO$101,MATCH(BJ$1,Feature_List!$A$1:$AO$1,0),FALSE),"OK","BAD")</f>
        <v>#N/A</v>
      </c>
      <c r="BK33" s="95" t="e">
        <f>IF(X33=VLOOKUP($A33,Feature_List!$A$2:$AO$101,MATCH(BK$1,Feature_List!$A$1:$AO$1,0),FALSE),"OK","BAD")</f>
        <v>#N/A</v>
      </c>
      <c r="BL33" s="95" t="e">
        <f>IF(Y33=VLOOKUP($A33,Feature_List!$A$2:$AO$101,MATCH(BL$1,Feature_List!$A$1:$AO$1,0),FALSE),"OK","BAD")</f>
        <v>#N/A</v>
      </c>
      <c r="BM33" s="95" t="e">
        <f>IF(Z33=VLOOKUP($A33,Feature_List!$A$2:$AO$101,MATCH(BM$1,Feature_List!$A$1:$AO$1,0),FALSE),"OK","BAD")</f>
        <v>#N/A</v>
      </c>
      <c r="BN33" s="95" t="e">
        <f>IF(AA33=VLOOKUP($A33,Feature_List!$A$2:$AO$101,MATCH(BN$1,Feature_List!$A$1:$AO$1,0),FALSE),"OK","BAD")</f>
        <v>#N/A</v>
      </c>
      <c r="BO33" s="95" t="e">
        <f>IF(AB33=VLOOKUP($A33,Feature_List!$A$2:$AO$101,MATCH(BO$1,Feature_List!$A$1:$AO$1,0),FALSE),"OK","BAD")</f>
        <v>#N/A</v>
      </c>
      <c r="BP33" s="95" t="e">
        <f>IF(AC33=VLOOKUP($A33,Feature_List!$A$2:$AO$101,MATCH(BP$1,Feature_List!$A$1:$AO$1,0),FALSE),"OK","BAD")</f>
        <v>#N/A</v>
      </c>
      <c r="BQ33" s="95" t="e">
        <f>IF(AD33=VLOOKUP($A33,Feature_List!$A$2:$AO$101,MATCH(BQ$1,Feature_List!$A$1:$AO$1,0),FALSE),"OK","BAD")</f>
        <v>#N/A</v>
      </c>
      <c r="BR33" s="95" t="e">
        <f>IF(AE33=VLOOKUP($A33,Feature_List!$A$2:$AO$101,MATCH(BR$1,Feature_List!$A$1:$AO$1,0),FALSE),"OK","BAD")</f>
        <v>#N/A</v>
      </c>
      <c r="BS33" s="95" t="e">
        <f>IF(AF33=VLOOKUP($A33,Feature_List!$A$2:$AO$101,MATCH(BS$1,Feature_List!$A$1:$AO$1,0),FALSE),"OK","BAD")</f>
        <v>#N/A</v>
      </c>
      <c r="BT33" s="95" t="e">
        <f>IF(AG33=VLOOKUP($A33,Feature_List!$A$2:$AO$101,MATCH(BT$1,Feature_List!$A$1:$AO$1,0),FALSE),"OK","BAD")</f>
        <v>#N/A</v>
      </c>
      <c r="BU33" s="95" t="e">
        <f>IF(AH33=VLOOKUP($A33,Feature_List!$A$2:$AO$101,MATCH(BU$1,Feature_List!$A$1:$AO$1,0),FALSE),"OK","BAD")</f>
        <v>#N/A</v>
      </c>
      <c r="BV33" s="95" t="e">
        <f>IF(AI33=VLOOKUP($A33,Feature_List!$A$2:$AO$101,MATCH(BV$1,Feature_List!$A$1:$AO$1,0),FALSE),"OK","BAD")</f>
        <v>#N/A</v>
      </c>
      <c r="BW33" s="95" t="e">
        <f>IF(AJ33=VLOOKUP($A33,Feature_List!$A$2:$AO$101,MATCH(BW$1,Feature_List!$A$1:$AO$1,0),FALSE),"OK","BAD")</f>
        <v>#N/A</v>
      </c>
      <c r="BX33" s="95" t="e">
        <f>IF(AK33=VLOOKUP($A33,Feature_List!$A$2:$AO$101,MATCH(BX$1,Feature_List!$A$1:$AO$1,0),FALSE),"OK","BAD")</f>
        <v>#N/A</v>
      </c>
      <c r="BY33" s="95" t="e">
        <f>IF(AL33=VLOOKUP($A33,Feature_List!$A$2:$AO$101,MATCH(BY$1,Feature_List!$A$1:$AO$1,0),FALSE),"OK","BAD")</f>
        <v>#N/A</v>
      </c>
      <c r="BZ33" s="95" t="e">
        <f>IF(AM33=VLOOKUP($A33,Feature_List!$A$2:$AO$101,MATCH(BZ$1,Feature_List!$A$1:$AO$1,0),FALSE),"OK","BAD")</f>
        <v>#N/A</v>
      </c>
      <c r="CA33" s="95" t="e">
        <f>IF(AN33=VLOOKUP($A33,Feature_List!$A$2:$AO$101,MATCH(CA$1,Feature_List!$A$1:$AO$1,0),FALSE),"OK","BAD")</f>
        <v>#N/A</v>
      </c>
    </row>
    <row r="34" spans="1:79" ht="14.4" customHeight="1" x14ac:dyDescent="0.3">
      <c r="A34" s="70">
        <v>395373</v>
      </c>
      <c r="B34" s="65" t="s">
        <v>1138</v>
      </c>
      <c r="C34" s="98" t="s">
        <v>1145</v>
      </c>
      <c r="D34" s="65" t="s">
        <v>106</v>
      </c>
      <c r="E34" s="64">
        <v>63</v>
      </c>
      <c r="F34" s="64" t="s">
        <v>41</v>
      </c>
      <c r="G34" s="64" t="s">
        <v>1469</v>
      </c>
      <c r="H34" s="64" t="s">
        <v>1578</v>
      </c>
      <c r="I34" s="99" t="s">
        <v>38</v>
      </c>
      <c r="J34" s="64" t="s">
        <v>1414</v>
      </c>
      <c r="K34" s="64">
        <v>0</v>
      </c>
      <c r="L34" s="62" t="s">
        <v>944</v>
      </c>
      <c r="M34" s="67" t="s">
        <v>49</v>
      </c>
      <c r="N34" s="67" t="s">
        <v>50</v>
      </c>
      <c r="O34" s="67">
        <v>0</v>
      </c>
      <c r="P34" s="66" t="s">
        <v>991</v>
      </c>
      <c r="Q34" s="63">
        <v>2</v>
      </c>
      <c r="R34" s="63">
        <v>0</v>
      </c>
      <c r="S34" s="63">
        <v>0</v>
      </c>
      <c r="T34" s="63">
        <v>60</v>
      </c>
      <c r="U34" s="63">
        <v>0</v>
      </c>
      <c r="V34" s="63">
        <v>0</v>
      </c>
      <c r="W34" s="63">
        <v>0</v>
      </c>
      <c r="X34" s="63">
        <v>0</v>
      </c>
      <c r="Y34" s="63">
        <v>0</v>
      </c>
      <c r="Z34" s="63">
        <v>0</v>
      </c>
      <c r="AA34" s="63">
        <v>0</v>
      </c>
      <c r="AB34" s="63">
        <v>0</v>
      </c>
      <c r="AC34" s="63">
        <v>3</v>
      </c>
      <c r="AD34" s="63">
        <v>0</v>
      </c>
      <c r="AE34" s="63">
        <v>0</v>
      </c>
      <c r="AF34" s="63">
        <v>0</v>
      </c>
      <c r="AG34" s="63">
        <v>0</v>
      </c>
      <c r="AH34" s="63">
        <v>0</v>
      </c>
      <c r="AI34" s="63">
        <v>0</v>
      </c>
      <c r="AJ34" s="63">
        <v>63</v>
      </c>
      <c r="AK34" s="63">
        <v>0</v>
      </c>
      <c r="AL34" s="63" t="s">
        <v>35</v>
      </c>
      <c r="AM34" s="63" t="s">
        <v>36</v>
      </c>
      <c r="AN34" s="220" t="s">
        <v>40</v>
      </c>
      <c r="AO34" s="224"/>
      <c r="AP34" s="95" t="e">
        <f>IF(C34=VLOOKUP($A34,Feature_List!$A$2:$AO$101,MATCH(AP$1,Feature_List!$A$1:$AO$1,0),FALSE),"OK","BAD")</f>
        <v>#N/A</v>
      </c>
      <c r="AQ34" s="95" t="e">
        <f>IF(D34=VLOOKUP($A34,Feature_List!$A$2:$AO$101,MATCH(AQ$1,Feature_List!$A$1:$AO$1,0),FALSE),"OK","BAD")</f>
        <v>#N/A</v>
      </c>
      <c r="AR34" s="95" t="e">
        <f>IF(E34=VLOOKUP($A34,Feature_List!$A$2:$AO$101,MATCH(AR$1,Feature_List!$A$1:$AO$1,0),FALSE),"OK","BAD")</f>
        <v>#N/A</v>
      </c>
      <c r="AS34" s="95" t="e">
        <f>IF(F34=VLOOKUP($A34,Feature_List!$A$2:$AO$101,MATCH(AS$1,Feature_List!$A$1:$AO$1,0),FALSE),"OK","BAD")</f>
        <v>#N/A</v>
      </c>
      <c r="AT34" s="95" t="s">
        <v>985</v>
      </c>
      <c r="AU34" s="95" t="s">
        <v>985</v>
      </c>
      <c r="AV34" s="95" t="e">
        <f>IF(I34=VLOOKUP($A34,Feature_List!$A$2:$AO$101,MATCH(AV$1,Feature_List!$A$1:$AO$1,0),FALSE),"OK","BAD")</f>
        <v>#N/A</v>
      </c>
      <c r="AW34" s="95" t="e">
        <f>IF(J34=VLOOKUP($A34,Feature_List!$A$2:$AO$101,MATCH(AW$1,Feature_List!$A$1:$AO$1,0),FALSE),"OK","BAD")</f>
        <v>#N/A</v>
      </c>
      <c r="AX34" s="95" t="e">
        <f>IF(K34=VLOOKUP($A34,Feature_List!$A$2:$AO$101,MATCH(AX$1,Feature_List!$A$1:$AO$1,0),FALSE),"OK","BAD")</f>
        <v>#N/A</v>
      </c>
      <c r="AY34" s="95" t="e">
        <f>IF(L34=VLOOKUP($A34,Feature_List!$A$2:$AO$101,MATCH(AY$1,Feature_List!$A$1:$AO$1,0),FALSE),"OK","BAD")</f>
        <v>#N/A</v>
      </c>
      <c r="AZ34" s="95" t="e">
        <f>IF(M34=VLOOKUP($A34,Feature_List!$A$2:$AO$101,MATCH(AZ$1,Feature_List!$A$1:$AO$1,0),FALSE),"OK","BAD")</f>
        <v>#N/A</v>
      </c>
      <c r="BA34" s="95" t="e">
        <f>IF(N34=VLOOKUP($A34,Feature_List!$A$2:$AO$101,MATCH(BA$1,Feature_List!$A$1:$AO$1,0),FALSE),"OK","BAD")</f>
        <v>#N/A</v>
      </c>
      <c r="BB34" s="95" t="e">
        <f>IF(O34=VLOOKUP($A34,Feature_List!$A$2:$AO$101,MATCH(BB$1,Feature_List!$A$1:$AO$1,0),FALSE),"OK","BAD")</f>
        <v>#N/A</v>
      </c>
      <c r="BC34" s="95" t="e">
        <f>IF(P34=VLOOKUP($A34,Feature_List!$A$2:$AO$101,MATCH(BC$1,Feature_List!$A$1:$AO$1,0),FALSE),"OK","BAD")</f>
        <v>#N/A</v>
      </c>
      <c r="BD34" s="95" t="e">
        <f>IF(Q34=VLOOKUP($A34,Feature_List!$A$2:$AO$101,MATCH(BD$1,Feature_List!$A$1:$AO$1,0),FALSE),"OK","BAD")</f>
        <v>#N/A</v>
      </c>
      <c r="BE34" s="95" t="e">
        <f>IF(R34=VLOOKUP($A34,Feature_List!$A$2:$AO$101,MATCH(BE$1,Feature_List!$A$1:$AO$1,0),FALSE),"OK","BAD")</f>
        <v>#N/A</v>
      </c>
      <c r="BF34" s="95" t="e">
        <f>IF(S34=VLOOKUP($A34,Feature_List!$A$2:$AO$101,MATCH(BF$1,Feature_List!$A$1:$AO$1,0),FALSE),"OK","BAD")</f>
        <v>#N/A</v>
      </c>
      <c r="BG34" s="95" t="e">
        <f>IF(T34=VLOOKUP($A34,Feature_List!$A$2:$AO$101,MATCH(BG$1,Feature_List!$A$1:$AO$1,0),FALSE),"OK","BAD")</f>
        <v>#N/A</v>
      </c>
      <c r="BH34" s="95" t="e">
        <f>IF(U34=VLOOKUP($A34,Feature_List!$A$2:$AO$101,MATCH(BH$1,Feature_List!$A$1:$AO$1,0),FALSE),"OK","BAD")</f>
        <v>#N/A</v>
      </c>
      <c r="BI34" s="95" t="e">
        <f>IF(V34=VLOOKUP($A34,Feature_List!$A$2:$AO$101,MATCH(BI$1,Feature_List!$A$1:$AO$1,0),FALSE),"OK","BAD")</f>
        <v>#N/A</v>
      </c>
      <c r="BJ34" s="95" t="e">
        <f>IF(W34=VLOOKUP($A34,Feature_List!$A$2:$AO$101,MATCH(BJ$1,Feature_List!$A$1:$AO$1,0),FALSE),"OK","BAD")</f>
        <v>#N/A</v>
      </c>
      <c r="BK34" s="95" t="e">
        <f>IF(X34=VLOOKUP($A34,Feature_List!$A$2:$AO$101,MATCH(BK$1,Feature_List!$A$1:$AO$1,0),FALSE),"OK","BAD")</f>
        <v>#N/A</v>
      </c>
      <c r="BL34" s="95" t="e">
        <f>IF(Y34=VLOOKUP($A34,Feature_List!$A$2:$AO$101,MATCH(BL$1,Feature_List!$A$1:$AO$1,0),FALSE),"OK","BAD")</f>
        <v>#N/A</v>
      </c>
      <c r="BM34" s="95" t="e">
        <f>IF(Z34=VLOOKUP($A34,Feature_List!$A$2:$AO$101,MATCH(BM$1,Feature_List!$A$1:$AO$1,0),FALSE),"OK","BAD")</f>
        <v>#N/A</v>
      </c>
      <c r="BN34" s="95" t="e">
        <f>IF(AA34=VLOOKUP($A34,Feature_List!$A$2:$AO$101,MATCH(BN$1,Feature_List!$A$1:$AO$1,0),FALSE),"OK","BAD")</f>
        <v>#N/A</v>
      </c>
      <c r="BO34" s="95" t="e">
        <f>IF(AB34=VLOOKUP($A34,Feature_List!$A$2:$AO$101,MATCH(BO$1,Feature_List!$A$1:$AO$1,0),FALSE),"OK","BAD")</f>
        <v>#N/A</v>
      </c>
      <c r="BP34" s="95" t="e">
        <f>IF(AC34=VLOOKUP($A34,Feature_List!$A$2:$AO$101,MATCH(BP$1,Feature_List!$A$1:$AO$1,0),FALSE),"OK","BAD")</f>
        <v>#N/A</v>
      </c>
      <c r="BQ34" s="95" t="e">
        <f>IF(AD34=VLOOKUP($A34,Feature_List!$A$2:$AO$101,MATCH(BQ$1,Feature_List!$A$1:$AO$1,0),FALSE),"OK","BAD")</f>
        <v>#N/A</v>
      </c>
      <c r="BR34" s="95" t="e">
        <f>IF(AE34=VLOOKUP($A34,Feature_List!$A$2:$AO$101,MATCH(BR$1,Feature_List!$A$1:$AO$1,0),FALSE),"OK","BAD")</f>
        <v>#N/A</v>
      </c>
      <c r="BS34" s="95" t="e">
        <f>IF(AF34=VLOOKUP($A34,Feature_List!$A$2:$AO$101,MATCH(BS$1,Feature_List!$A$1:$AO$1,0),FALSE),"OK","BAD")</f>
        <v>#N/A</v>
      </c>
      <c r="BT34" s="95" t="e">
        <f>IF(AG34=VLOOKUP($A34,Feature_List!$A$2:$AO$101,MATCH(BT$1,Feature_List!$A$1:$AO$1,0),FALSE),"OK","BAD")</f>
        <v>#N/A</v>
      </c>
      <c r="BU34" s="95" t="e">
        <f>IF(AH34=VLOOKUP($A34,Feature_List!$A$2:$AO$101,MATCH(BU$1,Feature_List!$A$1:$AO$1,0),FALSE),"OK","BAD")</f>
        <v>#N/A</v>
      </c>
      <c r="BV34" s="95" t="e">
        <f>IF(AI34=VLOOKUP($A34,Feature_List!$A$2:$AO$101,MATCH(BV$1,Feature_List!$A$1:$AO$1,0),FALSE),"OK","BAD")</f>
        <v>#N/A</v>
      </c>
      <c r="BW34" s="95" t="e">
        <f>IF(AJ34=VLOOKUP($A34,Feature_List!$A$2:$AO$101,MATCH(BW$1,Feature_List!$A$1:$AO$1,0),FALSE),"OK","BAD")</f>
        <v>#N/A</v>
      </c>
      <c r="BX34" s="95" t="e">
        <f>IF(AK34=VLOOKUP($A34,Feature_List!$A$2:$AO$101,MATCH(BX$1,Feature_List!$A$1:$AO$1,0),FALSE),"OK","BAD")</f>
        <v>#N/A</v>
      </c>
      <c r="BY34" s="95" t="e">
        <f>IF(AL34=VLOOKUP($A34,Feature_List!$A$2:$AO$101,MATCH(BY$1,Feature_List!$A$1:$AO$1,0),FALSE),"OK","BAD")</f>
        <v>#N/A</v>
      </c>
      <c r="BZ34" s="95" t="e">
        <f>IF(AM34=VLOOKUP($A34,Feature_List!$A$2:$AO$101,MATCH(BZ$1,Feature_List!$A$1:$AO$1,0),FALSE),"OK","BAD")</f>
        <v>#N/A</v>
      </c>
      <c r="CA34" s="95" t="e">
        <f>IF(AN34=VLOOKUP($A34,Feature_List!$A$2:$AO$101,MATCH(CA$1,Feature_List!$A$1:$AO$1,0),FALSE),"OK","BAD")</f>
        <v>#N/A</v>
      </c>
    </row>
    <row r="35" spans="1:79" ht="14.4" customHeight="1" x14ac:dyDescent="0.3">
      <c r="A35" s="70">
        <v>395174</v>
      </c>
      <c r="B35" s="65" t="s">
        <v>1129</v>
      </c>
      <c r="C35" s="98" t="s">
        <v>1145</v>
      </c>
      <c r="D35" s="65" t="s">
        <v>28</v>
      </c>
      <c r="E35" s="64">
        <v>58</v>
      </c>
      <c r="F35" s="64" t="s">
        <v>41</v>
      </c>
      <c r="G35" s="64" t="s">
        <v>1558</v>
      </c>
      <c r="H35" s="64" t="s">
        <v>110</v>
      </c>
      <c r="I35" s="99" t="s">
        <v>38</v>
      </c>
      <c r="J35" s="64" t="s">
        <v>1414</v>
      </c>
      <c r="K35" s="64">
        <v>0</v>
      </c>
      <c r="L35" s="62" t="s">
        <v>946</v>
      </c>
      <c r="M35" s="67" t="s">
        <v>42</v>
      </c>
      <c r="N35" s="67" t="s">
        <v>44</v>
      </c>
      <c r="O35" s="67">
        <v>0</v>
      </c>
      <c r="P35" s="66" t="s">
        <v>1552</v>
      </c>
      <c r="Q35" s="63">
        <v>4</v>
      </c>
      <c r="R35" s="63">
        <v>0</v>
      </c>
      <c r="S35" s="63">
        <v>0</v>
      </c>
      <c r="T35" s="63">
        <v>2</v>
      </c>
      <c r="U35" s="63">
        <v>0</v>
      </c>
      <c r="V35" s="63">
        <v>21</v>
      </c>
      <c r="W35" s="63">
        <v>0</v>
      </c>
      <c r="X35" s="63">
        <v>0</v>
      </c>
      <c r="Y35" s="63">
        <v>28</v>
      </c>
      <c r="Z35" s="63">
        <v>0</v>
      </c>
      <c r="AA35" s="63">
        <v>0</v>
      </c>
      <c r="AB35" s="63">
        <v>0</v>
      </c>
      <c r="AC35" s="63">
        <v>0</v>
      </c>
      <c r="AD35" s="63">
        <v>7</v>
      </c>
      <c r="AE35" s="63">
        <v>0</v>
      </c>
      <c r="AF35" s="63">
        <v>0</v>
      </c>
      <c r="AG35" s="63">
        <v>0</v>
      </c>
      <c r="AH35" s="63">
        <v>0</v>
      </c>
      <c r="AI35" s="63">
        <v>0</v>
      </c>
      <c r="AJ35" s="63">
        <v>58</v>
      </c>
      <c r="AK35" s="63">
        <v>0</v>
      </c>
      <c r="AL35" s="63" t="s">
        <v>35</v>
      </c>
      <c r="AM35" s="63" t="s">
        <v>36</v>
      </c>
      <c r="AN35" s="220" t="s">
        <v>40</v>
      </c>
      <c r="AO35" s="224"/>
      <c r="AP35" s="95" t="e">
        <f>IF(C35=VLOOKUP($A35,Feature_List!$A$2:$AO$101,MATCH(AP$1,Feature_List!$A$1:$AO$1,0),FALSE),"OK","BAD")</f>
        <v>#N/A</v>
      </c>
      <c r="AQ35" s="95" t="e">
        <f>IF(D35=VLOOKUP($A35,Feature_List!$A$2:$AO$101,MATCH(AQ$1,Feature_List!$A$1:$AO$1,0),FALSE),"OK","BAD")</f>
        <v>#N/A</v>
      </c>
      <c r="AR35" s="95" t="e">
        <f>IF(E35=VLOOKUP($A35,Feature_List!$A$2:$AO$101,MATCH(AR$1,Feature_List!$A$1:$AO$1,0),FALSE),"OK","BAD")</f>
        <v>#N/A</v>
      </c>
      <c r="AS35" s="95" t="e">
        <f>IF(F35=VLOOKUP($A35,Feature_List!$A$2:$AO$101,MATCH(AS$1,Feature_List!$A$1:$AO$1,0),FALSE),"OK","BAD")</f>
        <v>#N/A</v>
      </c>
      <c r="AT35" s="95" t="s">
        <v>985</v>
      </c>
      <c r="AU35" s="95" t="s">
        <v>985</v>
      </c>
      <c r="AV35" s="95" t="e">
        <f>IF(I35=VLOOKUP($A35,Feature_List!$A$2:$AO$101,MATCH(AV$1,Feature_List!$A$1:$AO$1,0),FALSE),"OK","BAD")</f>
        <v>#N/A</v>
      </c>
      <c r="AW35" s="95" t="e">
        <f>IF(J35=VLOOKUP($A35,Feature_List!$A$2:$AO$101,MATCH(AW$1,Feature_List!$A$1:$AO$1,0),FALSE),"OK","BAD")</f>
        <v>#N/A</v>
      </c>
      <c r="AX35" s="95" t="e">
        <f>IF(K35=VLOOKUP($A35,Feature_List!$A$2:$AO$101,MATCH(AX$1,Feature_List!$A$1:$AO$1,0),FALSE),"OK","BAD")</f>
        <v>#N/A</v>
      </c>
      <c r="AY35" s="95" t="e">
        <f>IF(L35=VLOOKUP($A35,Feature_List!$A$2:$AO$101,MATCH(AY$1,Feature_List!$A$1:$AO$1,0),FALSE),"OK","BAD")</f>
        <v>#N/A</v>
      </c>
      <c r="AZ35" s="95" t="e">
        <f>IF(M35=VLOOKUP($A35,Feature_List!$A$2:$AO$101,MATCH(AZ$1,Feature_List!$A$1:$AO$1,0),FALSE),"OK","BAD")</f>
        <v>#N/A</v>
      </c>
      <c r="BA35" s="95" t="e">
        <f>IF(N35=VLOOKUP($A35,Feature_List!$A$2:$AO$101,MATCH(BA$1,Feature_List!$A$1:$AO$1,0),FALSE),"OK","BAD")</f>
        <v>#N/A</v>
      </c>
      <c r="BB35" s="95" t="e">
        <f>IF(O35=VLOOKUP($A35,Feature_List!$A$2:$AO$101,MATCH(BB$1,Feature_List!$A$1:$AO$1,0),FALSE),"OK","BAD")</f>
        <v>#N/A</v>
      </c>
      <c r="BC35" s="95" t="e">
        <f>IF(P35=VLOOKUP($A35,Feature_List!$A$2:$AO$101,MATCH(BC$1,Feature_List!$A$1:$AO$1,0),FALSE),"OK","BAD")</f>
        <v>#N/A</v>
      </c>
      <c r="BD35" s="95" t="e">
        <f>IF(Q35=VLOOKUP($A35,Feature_List!$A$2:$AO$101,MATCH(BD$1,Feature_List!$A$1:$AO$1,0),FALSE),"OK","BAD")</f>
        <v>#N/A</v>
      </c>
      <c r="BE35" s="95" t="e">
        <f>IF(R35=VLOOKUP($A35,Feature_List!$A$2:$AO$101,MATCH(BE$1,Feature_List!$A$1:$AO$1,0),FALSE),"OK","BAD")</f>
        <v>#N/A</v>
      </c>
      <c r="BF35" s="95" t="e">
        <f>IF(S35=VLOOKUP($A35,Feature_List!$A$2:$AO$101,MATCH(BF$1,Feature_List!$A$1:$AO$1,0),FALSE),"OK","BAD")</f>
        <v>#N/A</v>
      </c>
      <c r="BG35" s="95" t="e">
        <f>IF(T35=VLOOKUP($A35,Feature_List!$A$2:$AO$101,MATCH(BG$1,Feature_List!$A$1:$AO$1,0),FALSE),"OK","BAD")</f>
        <v>#N/A</v>
      </c>
      <c r="BH35" s="95" t="e">
        <f>IF(U35=VLOOKUP($A35,Feature_List!$A$2:$AO$101,MATCH(BH$1,Feature_List!$A$1:$AO$1,0),FALSE),"OK","BAD")</f>
        <v>#N/A</v>
      </c>
      <c r="BI35" s="95" t="e">
        <f>IF(V35=VLOOKUP($A35,Feature_List!$A$2:$AO$101,MATCH(BI$1,Feature_List!$A$1:$AO$1,0),FALSE),"OK","BAD")</f>
        <v>#N/A</v>
      </c>
      <c r="BJ35" s="95" t="e">
        <f>IF(W35=VLOOKUP($A35,Feature_List!$A$2:$AO$101,MATCH(BJ$1,Feature_List!$A$1:$AO$1,0),FALSE),"OK","BAD")</f>
        <v>#N/A</v>
      </c>
      <c r="BK35" s="95" t="e">
        <f>IF(X35=VLOOKUP($A35,Feature_List!$A$2:$AO$101,MATCH(BK$1,Feature_List!$A$1:$AO$1,0),FALSE),"OK","BAD")</f>
        <v>#N/A</v>
      </c>
      <c r="BL35" s="95" t="e">
        <f>IF(Y35=VLOOKUP($A35,Feature_List!$A$2:$AO$101,MATCH(BL$1,Feature_List!$A$1:$AO$1,0),FALSE),"OK","BAD")</f>
        <v>#N/A</v>
      </c>
      <c r="BM35" s="95" t="e">
        <f>IF(Z35=VLOOKUP($A35,Feature_List!$A$2:$AO$101,MATCH(BM$1,Feature_List!$A$1:$AO$1,0),FALSE),"OK","BAD")</f>
        <v>#N/A</v>
      </c>
      <c r="BN35" s="95" t="e">
        <f>IF(AA35=VLOOKUP($A35,Feature_List!$A$2:$AO$101,MATCH(BN$1,Feature_List!$A$1:$AO$1,0),FALSE),"OK","BAD")</f>
        <v>#N/A</v>
      </c>
      <c r="BO35" s="95" t="e">
        <f>IF(AB35=VLOOKUP($A35,Feature_List!$A$2:$AO$101,MATCH(BO$1,Feature_List!$A$1:$AO$1,0),FALSE),"OK","BAD")</f>
        <v>#N/A</v>
      </c>
      <c r="BP35" s="95" t="e">
        <f>IF(AC35=VLOOKUP($A35,Feature_List!$A$2:$AO$101,MATCH(BP$1,Feature_List!$A$1:$AO$1,0),FALSE),"OK","BAD")</f>
        <v>#N/A</v>
      </c>
      <c r="BQ35" s="95" t="e">
        <f>IF(AD35=VLOOKUP($A35,Feature_List!$A$2:$AO$101,MATCH(BQ$1,Feature_List!$A$1:$AO$1,0),FALSE),"OK","BAD")</f>
        <v>#N/A</v>
      </c>
      <c r="BR35" s="95" t="e">
        <f>IF(AE35=VLOOKUP($A35,Feature_List!$A$2:$AO$101,MATCH(BR$1,Feature_List!$A$1:$AO$1,0),FALSE),"OK","BAD")</f>
        <v>#N/A</v>
      </c>
      <c r="BS35" s="95" t="e">
        <f>IF(AF35=VLOOKUP($A35,Feature_List!$A$2:$AO$101,MATCH(BS$1,Feature_List!$A$1:$AO$1,0),FALSE),"OK","BAD")</f>
        <v>#N/A</v>
      </c>
      <c r="BT35" s="95" t="e">
        <f>IF(AG35=VLOOKUP($A35,Feature_List!$A$2:$AO$101,MATCH(BT$1,Feature_List!$A$1:$AO$1,0),FALSE),"OK","BAD")</f>
        <v>#N/A</v>
      </c>
      <c r="BU35" s="95" t="e">
        <f>IF(AH35=VLOOKUP($A35,Feature_List!$A$2:$AO$101,MATCH(BU$1,Feature_List!$A$1:$AO$1,0),FALSE),"OK","BAD")</f>
        <v>#N/A</v>
      </c>
      <c r="BV35" s="95" t="e">
        <f>IF(AI35=VLOOKUP($A35,Feature_List!$A$2:$AO$101,MATCH(BV$1,Feature_List!$A$1:$AO$1,0),FALSE),"OK","BAD")</f>
        <v>#N/A</v>
      </c>
      <c r="BW35" s="95" t="e">
        <f>IF(AJ35=VLOOKUP($A35,Feature_List!$A$2:$AO$101,MATCH(BW$1,Feature_List!$A$1:$AO$1,0),FALSE),"OK","BAD")</f>
        <v>#N/A</v>
      </c>
      <c r="BX35" s="95" t="e">
        <f>IF(AK35=VLOOKUP($A35,Feature_List!$A$2:$AO$101,MATCH(BX$1,Feature_List!$A$1:$AO$1,0),FALSE),"OK","BAD")</f>
        <v>#N/A</v>
      </c>
      <c r="BY35" s="95" t="e">
        <f>IF(AL35=VLOOKUP($A35,Feature_List!$A$2:$AO$101,MATCH(BY$1,Feature_List!$A$1:$AO$1,0),FALSE),"OK","BAD")</f>
        <v>#N/A</v>
      </c>
      <c r="BZ35" s="95" t="e">
        <f>IF(AM35=VLOOKUP($A35,Feature_List!$A$2:$AO$101,MATCH(BZ$1,Feature_List!$A$1:$AO$1,0),FALSE),"OK","BAD")</f>
        <v>#N/A</v>
      </c>
      <c r="CA35" s="95" t="e">
        <f>IF(AN35=VLOOKUP($A35,Feature_List!$A$2:$AO$101,MATCH(CA$1,Feature_List!$A$1:$AO$1,0),FALSE),"OK","BAD")</f>
        <v>#N/A</v>
      </c>
    </row>
    <row r="36" spans="1:79" ht="14.4" customHeight="1" x14ac:dyDescent="0.3">
      <c r="A36" s="70">
        <v>393793</v>
      </c>
      <c r="B36" s="65" t="s">
        <v>1161</v>
      </c>
      <c r="C36" s="98" t="s">
        <v>1531</v>
      </c>
      <c r="D36" s="65" t="s">
        <v>106</v>
      </c>
      <c r="E36" s="64">
        <v>6</v>
      </c>
      <c r="F36" s="64" t="s">
        <v>41</v>
      </c>
      <c r="G36" s="64" t="s">
        <v>1464</v>
      </c>
      <c r="H36" s="64" t="s">
        <v>164</v>
      </c>
      <c r="I36" s="99" t="s">
        <v>38</v>
      </c>
      <c r="J36" s="64" t="s">
        <v>1412</v>
      </c>
      <c r="K36" s="64">
        <v>389645</v>
      </c>
      <c r="L36" s="62" t="s">
        <v>17</v>
      </c>
      <c r="M36" s="67" t="s">
        <v>34</v>
      </c>
      <c r="N36" s="67" t="s">
        <v>1445</v>
      </c>
      <c r="O36" s="67">
        <v>0</v>
      </c>
      <c r="P36" s="66" t="s">
        <v>131</v>
      </c>
      <c r="Q36" s="63">
        <v>1</v>
      </c>
      <c r="R36" s="63">
        <v>2</v>
      </c>
      <c r="S36" s="63">
        <v>0</v>
      </c>
      <c r="T36" s="63">
        <v>0</v>
      </c>
      <c r="U36" s="63">
        <v>0</v>
      </c>
      <c r="V36" s="63">
        <v>0</v>
      </c>
      <c r="W36" s="63">
        <v>0</v>
      </c>
      <c r="X36" s="63">
        <v>0</v>
      </c>
      <c r="Y36" s="63">
        <v>0</v>
      </c>
      <c r="Z36" s="63">
        <v>0</v>
      </c>
      <c r="AA36" s="63">
        <v>0</v>
      </c>
      <c r="AB36" s="63">
        <v>0</v>
      </c>
      <c r="AC36" s="63">
        <v>0</v>
      </c>
      <c r="AD36" s="63">
        <v>4</v>
      </c>
      <c r="AE36" s="63">
        <v>0</v>
      </c>
      <c r="AF36" s="63">
        <v>0</v>
      </c>
      <c r="AG36" s="63">
        <v>0</v>
      </c>
      <c r="AH36" s="63">
        <v>0</v>
      </c>
      <c r="AI36" s="63">
        <v>0</v>
      </c>
      <c r="AJ36" s="63">
        <v>4</v>
      </c>
      <c r="AK36" s="63">
        <v>0</v>
      </c>
      <c r="AL36" s="63" t="s">
        <v>35</v>
      </c>
      <c r="AM36" s="63" t="s">
        <v>854</v>
      </c>
      <c r="AN36" s="220" t="s">
        <v>33</v>
      </c>
      <c r="AO36" s="224"/>
      <c r="AP36" s="95" t="e">
        <f>IF(C36=VLOOKUP($A36,Feature_List!$A$2:$AO$101,MATCH(AP$1,Feature_List!$A$1:$AO$1,0),FALSE),"OK","BAD")</f>
        <v>#N/A</v>
      </c>
      <c r="AQ36" s="95" t="e">
        <f>IF(D36=VLOOKUP($A36,Feature_List!$A$2:$AO$101,MATCH(AQ$1,Feature_List!$A$1:$AO$1,0),FALSE),"OK","BAD")</f>
        <v>#N/A</v>
      </c>
      <c r="AR36" s="95" t="e">
        <f>IF(E36=VLOOKUP($A36,Feature_List!$A$2:$AO$101,MATCH(AR$1,Feature_List!$A$1:$AO$1,0),FALSE),"OK","BAD")</f>
        <v>#N/A</v>
      </c>
      <c r="AS36" s="95" t="e">
        <f>IF(F36=VLOOKUP($A36,Feature_List!$A$2:$AO$101,MATCH(AS$1,Feature_List!$A$1:$AO$1,0),FALSE),"OK","BAD")</f>
        <v>#N/A</v>
      </c>
      <c r="AT36" s="95" t="s">
        <v>985</v>
      </c>
      <c r="AU36" s="95" t="s">
        <v>985</v>
      </c>
      <c r="AV36" s="95" t="e">
        <f>IF(I36=VLOOKUP($A36,Feature_List!$A$2:$AO$101,MATCH(AV$1,Feature_List!$A$1:$AO$1,0),FALSE),"OK","BAD")</f>
        <v>#N/A</v>
      </c>
      <c r="AW36" s="95" t="e">
        <f>IF(J36=VLOOKUP($A36,Feature_List!$A$2:$AO$101,MATCH(AW$1,Feature_List!$A$1:$AO$1,0),FALSE),"OK","BAD")</f>
        <v>#N/A</v>
      </c>
      <c r="AX36" s="95" t="e">
        <f>IF(K36=VLOOKUP($A36,Feature_List!$A$2:$AO$101,MATCH(AX$1,Feature_List!$A$1:$AO$1,0),FALSE),"OK","BAD")</f>
        <v>#N/A</v>
      </c>
      <c r="AY36" s="95" t="e">
        <f>IF(L36=VLOOKUP($A36,Feature_List!$A$2:$AO$101,MATCH(AY$1,Feature_List!$A$1:$AO$1,0),FALSE),"OK","BAD")</f>
        <v>#N/A</v>
      </c>
      <c r="AZ36" s="95" t="e">
        <f>IF(M36=VLOOKUP($A36,Feature_List!$A$2:$AO$101,MATCH(AZ$1,Feature_List!$A$1:$AO$1,0),FALSE),"OK","BAD")</f>
        <v>#N/A</v>
      </c>
      <c r="BA36" s="95" t="e">
        <f>IF(N36=VLOOKUP($A36,Feature_List!$A$2:$AO$101,MATCH(BA$1,Feature_List!$A$1:$AO$1,0),FALSE),"OK","BAD")</f>
        <v>#N/A</v>
      </c>
      <c r="BB36" s="95" t="e">
        <f>IF(O36=VLOOKUP($A36,Feature_List!$A$2:$AO$101,MATCH(BB$1,Feature_List!$A$1:$AO$1,0),FALSE),"OK","BAD")</f>
        <v>#N/A</v>
      </c>
      <c r="BC36" s="95" t="e">
        <f>IF(P36=VLOOKUP($A36,Feature_List!$A$2:$AO$101,MATCH(BC$1,Feature_List!$A$1:$AO$1,0),FALSE),"OK","BAD")</f>
        <v>#N/A</v>
      </c>
      <c r="BD36" s="95" t="e">
        <f>IF(Q36=VLOOKUP($A36,Feature_List!$A$2:$AO$101,MATCH(BD$1,Feature_List!$A$1:$AO$1,0),FALSE),"OK","BAD")</f>
        <v>#N/A</v>
      </c>
      <c r="BE36" s="95" t="e">
        <f>IF(R36=VLOOKUP($A36,Feature_List!$A$2:$AO$101,MATCH(BE$1,Feature_List!$A$1:$AO$1,0),FALSE),"OK","BAD")</f>
        <v>#N/A</v>
      </c>
      <c r="BF36" s="95" t="e">
        <f>IF(S36=VLOOKUP($A36,Feature_List!$A$2:$AO$101,MATCH(BF$1,Feature_List!$A$1:$AO$1,0),FALSE),"OK","BAD")</f>
        <v>#N/A</v>
      </c>
      <c r="BG36" s="95" t="e">
        <f>IF(T36=VLOOKUP($A36,Feature_List!$A$2:$AO$101,MATCH(BG$1,Feature_List!$A$1:$AO$1,0),FALSE),"OK","BAD")</f>
        <v>#N/A</v>
      </c>
      <c r="BH36" s="95" t="e">
        <f>IF(U36=VLOOKUP($A36,Feature_List!$A$2:$AO$101,MATCH(BH$1,Feature_List!$A$1:$AO$1,0),FALSE),"OK","BAD")</f>
        <v>#N/A</v>
      </c>
      <c r="BI36" s="95" t="e">
        <f>IF(V36=VLOOKUP($A36,Feature_List!$A$2:$AO$101,MATCH(BI$1,Feature_List!$A$1:$AO$1,0),FALSE),"OK","BAD")</f>
        <v>#N/A</v>
      </c>
      <c r="BJ36" s="95" t="e">
        <f>IF(W36=VLOOKUP($A36,Feature_List!$A$2:$AO$101,MATCH(BJ$1,Feature_List!$A$1:$AO$1,0),FALSE),"OK","BAD")</f>
        <v>#N/A</v>
      </c>
      <c r="BK36" s="95" t="e">
        <f>IF(X36=VLOOKUP($A36,Feature_List!$A$2:$AO$101,MATCH(BK$1,Feature_List!$A$1:$AO$1,0),FALSE),"OK","BAD")</f>
        <v>#N/A</v>
      </c>
      <c r="BL36" s="95" t="e">
        <f>IF(Y36=VLOOKUP($A36,Feature_List!$A$2:$AO$101,MATCH(BL$1,Feature_List!$A$1:$AO$1,0),FALSE),"OK","BAD")</f>
        <v>#N/A</v>
      </c>
      <c r="BM36" s="95" t="e">
        <f>IF(Z36=VLOOKUP($A36,Feature_List!$A$2:$AO$101,MATCH(BM$1,Feature_List!$A$1:$AO$1,0),FALSE),"OK","BAD")</f>
        <v>#N/A</v>
      </c>
      <c r="BN36" s="95" t="e">
        <f>IF(AA36=VLOOKUP($A36,Feature_List!$A$2:$AO$101,MATCH(BN$1,Feature_List!$A$1:$AO$1,0),FALSE),"OK","BAD")</f>
        <v>#N/A</v>
      </c>
      <c r="BO36" s="95" t="e">
        <f>IF(AB36=VLOOKUP($A36,Feature_List!$A$2:$AO$101,MATCH(BO$1,Feature_List!$A$1:$AO$1,0),FALSE),"OK","BAD")</f>
        <v>#N/A</v>
      </c>
      <c r="BP36" s="95" t="e">
        <f>IF(AC36=VLOOKUP($A36,Feature_List!$A$2:$AO$101,MATCH(BP$1,Feature_List!$A$1:$AO$1,0),FALSE),"OK","BAD")</f>
        <v>#N/A</v>
      </c>
      <c r="BQ36" s="95" t="e">
        <f>IF(AD36=VLOOKUP($A36,Feature_List!$A$2:$AO$101,MATCH(BQ$1,Feature_List!$A$1:$AO$1,0),FALSE),"OK","BAD")</f>
        <v>#N/A</v>
      </c>
      <c r="BR36" s="95" t="e">
        <f>IF(AE36=VLOOKUP($A36,Feature_List!$A$2:$AO$101,MATCH(BR$1,Feature_List!$A$1:$AO$1,0),FALSE),"OK","BAD")</f>
        <v>#N/A</v>
      </c>
      <c r="BS36" s="95" t="e">
        <f>IF(AF36=VLOOKUP($A36,Feature_List!$A$2:$AO$101,MATCH(BS$1,Feature_List!$A$1:$AO$1,0),FALSE),"OK","BAD")</f>
        <v>#N/A</v>
      </c>
      <c r="BT36" s="95" t="e">
        <f>IF(AG36=VLOOKUP($A36,Feature_List!$A$2:$AO$101,MATCH(BT$1,Feature_List!$A$1:$AO$1,0),FALSE),"OK","BAD")</f>
        <v>#N/A</v>
      </c>
      <c r="BU36" s="95" t="e">
        <f>IF(AH36=VLOOKUP($A36,Feature_List!$A$2:$AO$101,MATCH(BU$1,Feature_List!$A$1:$AO$1,0),FALSE),"OK","BAD")</f>
        <v>#N/A</v>
      </c>
      <c r="BV36" s="95" t="e">
        <f>IF(AI36=VLOOKUP($A36,Feature_List!$A$2:$AO$101,MATCH(BV$1,Feature_List!$A$1:$AO$1,0),FALSE),"OK","BAD")</f>
        <v>#N/A</v>
      </c>
      <c r="BW36" s="95" t="e">
        <f>IF(AJ36=VLOOKUP($A36,Feature_List!$A$2:$AO$101,MATCH(BW$1,Feature_List!$A$1:$AO$1,0),FALSE),"OK","BAD")</f>
        <v>#N/A</v>
      </c>
      <c r="BX36" s="95" t="e">
        <f>IF(AK36=VLOOKUP($A36,Feature_List!$A$2:$AO$101,MATCH(BX$1,Feature_List!$A$1:$AO$1,0),FALSE),"OK","BAD")</f>
        <v>#N/A</v>
      </c>
      <c r="BY36" s="95" t="e">
        <f>IF(AL36=VLOOKUP($A36,Feature_List!$A$2:$AO$101,MATCH(BY$1,Feature_List!$A$1:$AO$1,0),FALSE),"OK","BAD")</f>
        <v>#N/A</v>
      </c>
      <c r="BZ36" s="95" t="e">
        <f>IF(AM36=VLOOKUP($A36,Feature_List!$A$2:$AO$101,MATCH(BZ$1,Feature_List!$A$1:$AO$1,0),FALSE),"OK","BAD")</f>
        <v>#N/A</v>
      </c>
      <c r="CA36" s="95" t="e">
        <f>IF(AN36=VLOOKUP($A36,Feature_List!$A$2:$AO$101,MATCH(CA$1,Feature_List!$A$1:$AO$1,0),FALSE),"OK","BAD")</f>
        <v>#N/A</v>
      </c>
    </row>
    <row r="37" spans="1:79" ht="14.4" customHeight="1" x14ac:dyDescent="0.3">
      <c r="A37" s="70">
        <v>392743</v>
      </c>
      <c r="B37" s="65" t="s">
        <v>1128</v>
      </c>
      <c r="C37" s="98" t="s">
        <v>1143</v>
      </c>
      <c r="D37" s="65" t="s">
        <v>106</v>
      </c>
      <c r="E37" s="64">
        <v>30</v>
      </c>
      <c r="F37" s="64" t="s">
        <v>880</v>
      </c>
      <c r="G37" s="64" t="s">
        <v>1002</v>
      </c>
      <c r="H37" s="64" t="s">
        <v>1003</v>
      </c>
      <c r="I37" s="99" t="s">
        <v>851</v>
      </c>
      <c r="J37" s="64" t="s">
        <v>1412</v>
      </c>
      <c r="K37" s="64">
        <v>0</v>
      </c>
      <c r="L37" s="62" t="s">
        <v>947</v>
      </c>
      <c r="M37" s="67" t="s">
        <v>49</v>
      </c>
      <c r="N37" s="67" t="s">
        <v>51</v>
      </c>
      <c r="O37" s="67">
        <v>1</v>
      </c>
      <c r="P37" s="66" t="s">
        <v>131</v>
      </c>
      <c r="Q37" s="63">
        <v>1</v>
      </c>
      <c r="R37" s="63">
        <v>6</v>
      </c>
      <c r="S37" s="63">
        <v>0</v>
      </c>
      <c r="T37" s="63">
        <v>0</v>
      </c>
      <c r="U37" s="63">
        <v>0</v>
      </c>
      <c r="V37" s="63">
        <v>0</v>
      </c>
      <c r="W37" s="63">
        <v>0</v>
      </c>
      <c r="X37" s="63">
        <v>0</v>
      </c>
      <c r="Y37" s="63">
        <v>0</v>
      </c>
      <c r="Z37" s="63">
        <v>0</v>
      </c>
      <c r="AA37" s="63">
        <v>0</v>
      </c>
      <c r="AB37" s="63">
        <v>0</v>
      </c>
      <c r="AC37" s="63">
        <v>24</v>
      </c>
      <c r="AD37" s="63">
        <v>0</v>
      </c>
      <c r="AE37" s="63">
        <v>0</v>
      </c>
      <c r="AF37" s="63">
        <v>0</v>
      </c>
      <c r="AG37" s="63">
        <v>0</v>
      </c>
      <c r="AH37" s="63">
        <v>0</v>
      </c>
      <c r="AI37" s="63">
        <v>0</v>
      </c>
      <c r="AJ37" s="63">
        <v>24</v>
      </c>
      <c r="AK37" s="63">
        <v>0</v>
      </c>
      <c r="AL37" s="63" t="s">
        <v>35</v>
      </c>
      <c r="AM37" s="63" t="s">
        <v>36</v>
      </c>
      <c r="AN37" s="220" t="s">
        <v>33</v>
      </c>
      <c r="AO37" s="224"/>
      <c r="AP37" s="95" t="e">
        <f>IF(C37=VLOOKUP($A37,Feature_List!$A$2:$AO$101,MATCH(AP$1,Feature_List!$A$1:$AO$1,0),FALSE),"OK","BAD")</f>
        <v>#N/A</v>
      </c>
      <c r="AQ37" s="95" t="e">
        <f>IF(D37=VLOOKUP($A37,Feature_List!$A$2:$AO$101,MATCH(AQ$1,Feature_List!$A$1:$AO$1,0),FALSE),"OK","BAD")</f>
        <v>#N/A</v>
      </c>
      <c r="AR37" s="95" t="e">
        <f>IF(E37=VLOOKUP($A37,Feature_List!$A$2:$AO$101,MATCH(AR$1,Feature_List!$A$1:$AO$1,0),FALSE),"OK","BAD")</f>
        <v>#N/A</v>
      </c>
      <c r="AS37" s="95" t="e">
        <f>IF(F37=VLOOKUP($A37,Feature_List!$A$2:$AO$101,MATCH(AS$1,Feature_List!$A$1:$AO$1,0),FALSE),"OK","BAD")</f>
        <v>#N/A</v>
      </c>
      <c r="AT37" s="95" t="s">
        <v>985</v>
      </c>
      <c r="AU37" s="95" t="s">
        <v>985</v>
      </c>
      <c r="AV37" s="95" t="e">
        <f>IF(I37=VLOOKUP($A37,Feature_List!$A$2:$AO$101,MATCH(AV$1,Feature_List!$A$1:$AO$1,0),FALSE),"OK","BAD")</f>
        <v>#N/A</v>
      </c>
      <c r="AW37" s="95" t="e">
        <f>IF(J37=VLOOKUP($A37,Feature_List!$A$2:$AO$101,MATCH(AW$1,Feature_List!$A$1:$AO$1,0),FALSE),"OK","BAD")</f>
        <v>#N/A</v>
      </c>
      <c r="AX37" s="95" t="e">
        <f>IF(K37=VLOOKUP($A37,Feature_List!$A$2:$AO$101,MATCH(AX$1,Feature_List!$A$1:$AO$1,0),FALSE),"OK","BAD")</f>
        <v>#N/A</v>
      </c>
      <c r="AY37" s="95" t="e">
        <f>IF(L37=VLOOKUP($A37,Feature_List!$A$2:$AO$101,MATCH(AY$1,Feature_List!$A$1:$AO$1,0),FALSE),"OK","BAD")</f>
        <v>#N/A</v>
      </c>
      <c r="AZ37" s="95" t="e">
        <f>IF(M37=VLOOKUP($A37,Feature_List!$A$2:$AO$101,MATCH(AZ$1,Feature_List!$A$1:$AO$1,0),FALSE),"OK","BAD")</f>
        <v>#N/A</v>
      </c>
      <c r="BA37" s="95" t="e">
        <f>IF(N37=VLOOKUP($A37,Feature_List!$A$2:$AO$101,MATCH(BA$1,Feature_List!$A$1:$AO$1,0),FALSE),"OK","BAD")</f>
        <v>#N/A</v>
      </c>
      <c r="BB37" s="95" t="e">
        <f>IF(O37=VLOOKUP($A37,Feature_List!$A$2:$AO$101,MATCH(BB$1,Feature_List!$A$1:$AO$1,0),FALSE),"OK","BAD")</f>
        <v>#N/A</v>
      </c>
      <c r="BC37" s="95" t="e">
        <f>IF(P37=VLOOKUP($A37,Feature_List!$A$2:$AO$101,MATCH(BC$1,Feature_List!$A$1:$AO$1,0),FALSE),"OK","BAD")</f>
        <v>#N/A</v>
      </c>
      <c r="BD37" s="95" t="e">
        <f>IF(Q37=VLOOKUP($A37,Feature_List!$A$2:$AO$101,MATCH(BD$1,Feature_List!$A$1:$AO$1,0),FALSE),"OK","BAD")</f>
        <v>#N/A</v>
      </c>
      <c r="BE37" s="95" t="e">
        <f>IF(R37=VLOOKUP($A37,Feature_List!$A$2:$AO$101,MATCH(BE$1,Feature_List!$A$1:$AO$1,0),FALSE),"OK","BAD")</f>
        <v>#N/A</v>
      </c>
      <c r="BF37" s="95" t="e">
        <f>IF(S37=VLOOKUP($A37,Feature_List!$A$2:$AO$101,MATCH(BF$1,Feature_List!$A$1:$AO$1,0),FALSE),"OK","BAD")</f>
        <v>#N/A</v>
      </c>
      <c r="BG37" s="95" t="e">
        <f>IF(T37=VLOOKUP($A37,Feature_List!$A$2:$AO$101,MATCH(BG$1,Feature_List!$A$1:$AO$1,0),FALSE),"OK","BAD")</f>
        <v>#N/A</v>
      </c>
      <c r="BH37" s="95" t="e">
        <f>IF(U37=VLOOKUP($A37,Feature_List!$A$2:$AO$101,MATCH(BH$1,Feature_List!$A$1:$AO$1,0),FALSE),"OK","BAD")</f>
        <v>#N/A</v>
      </c>
      <c r="BI37" s="95" t="e">
        <f>IF(V37=VLOOKUP($A37,Feature_List!$A$2:$AO$101,MATCH(BI$1,Feature_List!$A$1:$AO$1,0),FALSE),"OK","BAD")</f>
        <v>#N/A</v>
      </c>
      <c r="BJ37" s="95" t="e">
        <f>IF(W37=VLOOKUP($A37,Feature_List!$A$2:$AO$101,MATCH(BJ$1,Feature_List!$A$1:$AO$1,0),FALSE),"OK","BAD")</f>
        <v>#N/A</v>
      </c>
      <c r="BK37" s="95" t="e">
        <f>IF(X37=VLOOKUP($A37,Feature_List!$A$2:$AO$101,MATCH(BK$1,Feature_List!$A$1:$AO$1,0),FALSE),"OK","BAD")</f>
        <v>#N/A</v>
      </c>
      <c r="BL37" s="95" t="e">
        <f>IF(Y37=VLOOKUP($A37,Feature_List!$A$2:$AO$101,MATCH(BL$1,Feature_List!$A$1:$AO$1,0),FALSE),"OK","BAD")</f>
        <v>#N/A</v>
      </c>
      <c r="BM37" s="95" t="e">
        <f>IF(Z37=VLOOKUP($A37,Feature_List!$A$2:$AO$101,MATCH(BM$1,Feature_List!$A$1:$AO$1,0),FALSE),"OK","BAD")</f>
        <v>#N/A</v>
      </c>
      <c r="BN37" s="95" t="e">
        <f>IF(AA37=VLOOKUP($A37,Feature_List!$A$2:$AO$101,MATCH(BN$1,Feature_List!$A$1:$AO$1,0),FALSE),"OK","BAD")</f>
        <v>#N/A</v>
      </c>
      <c r="BO37" s="95" t="e">
        <f>IF(AB37=VLOOKUP($A37,Feature_List!$A$2:$AO$101,MATCH(BO$1,Feature_List!$A$1:$AO$1,0),FALSE),"OK","BAD")</f>
        <v>#N/A</v>
      </c>
      <c r="BP37" s="95" t="e">
        <f>IF(AC37=VLOOKUP($A37,Feature_List!$A$2:$AO$101,MATCH(BP$1,Feature_List!$A$1:$AO$1,0),FALSE),"OK","BAD")</f>
        <v>#N/A</v>
      </c>
      <c r="BQ37" s="95" t="e">
        <f>IF(AD37=VLOOKUP($A37,Feature_List!$A$2:$AO$101,MATCH(BQ$1,Feature_List!$A$1:$AO$1,0),FALSE),"OK","BAD")</f>
        <v>#N/A</v>
      </c>
      <c r="BR37" s="95" t="e">
        <f>IF(AE37=VLOOKUP($A37,Feature_List!$A$2:$AO$101,MATCH(BR$1,Feature_List!$A$1:$AO$1,0),FALSE),"OK","BAD")</f>
        <v>#N/A</v>
      </c>
      <c r="BS37" s="95" t="e">
        <f>IF(AF37=VLOOKUP($A37,Feature_List!$A$2:$AO$101,MATCH(BS$1,Feature_List!$A$1:$AO$1,0),FALSE),"OK","BAD")</f>
        <v>#N/A</v>
      </c>
      <c r="BT37" s="95" t="e">
        <f>IF(AG37=VLOOKUP($A37,Feature_List!$A$2:$AO$101,MATCH(BT$1,Feature_List!$A$1:$AO$1,0),FALSE),"OK","BAD")</f>
        <v>#N/A</v>
      </c>
      <c r="BU37" s="95" t="e">
        <f>IF(AH37=VLOOKUP($A37,Feature_List!$A$2:$AO$101,MATCH(BU$1,Feature_List!$A$1:$AO$1,0),FALSE),"OK","BAD")</f>
        <v>#N/A</v>
      </c>
      <c r="BV37" s="95" t="e">
        <f>IF(AI37=VLOOKUP($A37,Feature_List!$A$2:$AO$101,MATCH(BV$1,Feature_List!$A$1:$AO$1,0),FALSE),"OK","BAD")</f>
        <v>#N/A</v>
      </c>
      <c r="BW37" s="95" t="e">
        <f>IF(AJ37=VLOOKUP($A37,Feature_List!$A$2:$AO$101,MATCH(BW$1,Feature_List!$A$1:$AO$1,0),FALSE),"OK","BAD")</f>
        <v>#N/A</v>
      </c>
      <c r="BX37" s="95" t="e">
        <f>IF(AK37=VLOOKUP($A37,Feature_List!$A$2:$AO$101,MATCH(BX$1,Feature_List!$A$1:$AO$1,0),FALSE),"OK","BAD")</f>
        <v>#N/A</v>
      </c>
      <c r="BY37" s="95" t="e">
        <f>IF(AL37=VLOOKUP($A37,Feature_List!$A$2:$AO$101,MATCH(BY$1,Feature_List!$A$1:$AO$1,0),FALSE),"OK","BAD")</f>
        <v>#N/A</v>
      </c>
      <c r="BZ37" s="95" t="e">
        <f>IF(AM37=VLOOKUP($A37,Feature_List!$A$2:$AO$101,MATCH(BZ$1,Feature_List!$A$1:$AO$1,0),FALSE),"OK","BAD")</f>
        <v>#N/A</v>
      </c>
      <c r="CA37" s="95" t="e">
        <f>IF(AN37=VLOOKUP($A37,Feature_List!$A$2:$AO$101,MATCH(CA$1,Feature_List!$A$1:$AO$1,0),FALSE),"OK","BAD")</f>
        <v>#N/A</v>
      </c>
    </row>
    <row r="38" spans="1:79" ht="14.4" customHeight="1" x14ac:dyDescent="0.3">
      <c r="A38" s="70">
        <v>392530</v>
      </c>
      <c r="B38" s="65" t="s">
        <v>1137</v>
      </c>
      <c r="C38" s="98" t="s">
        <v>1145</v>
      </c>
      <c r="D38" s="65" t="s">
        <v>28</v>
      </c>
      <c r="E38" s="64">
        <v>42</v>
      </c>
      <c r="F38" s="64" t="s">
        <v>880</v>
      </c>
      <c r="G38" s="64" t="s">
        <v>1548</v>
      </c>
      <c r="H38" s="64" t="s">
        <v>1327</v>
      </c>
      <c r="I38" s="99" t="s">
        <v>851</v>
      </c>
      <c r="J38" s="64" t="s">
        <v>1412</v>
      </c>
      <c r="K38" s="64">
        <v>0</v>
      </c>
      <c r="L38" s="62" t="s">
        <v>944</v>
      </c>
      <c r="M38" s="67" t="s">
        <v>49</v>
      </c>
      <c r="N38" s="67" t="s">
        <v>50</v>
      </c>
      <c r="O38" s="67">
        <v>0</v>
      </c>
      <c r="P38" s="66" t="s">
        <v>1549</v>
      </c>
      <c r="Q38" s="63">
        <v>1</v>
      </c>
      <c r="R38" s="63">
        <v>0</v>
      </c>
      <c r="S38" s="63">
        <v>0</v>
      </c>
      <c r="T38" s="63">
        <v>42</v>
      </c>
      <c r="U38" s="63">
        <v>0</v>
      </c>
      <c r="V38" s="63">
        <v>0</v>
      </c>
      <c r="W38" s="63">
        <v>0</v>
      </c>
      <c r="X38" s="63">
        <v>0</v>
      </c>
      <c r="Y38" s="63">
        <v>0</v>
      </c>
      <c r="Z38" s="63">
        <v>0</v>
      </c>
      <c r="AA38" s="63">
        <v>0</v>
      </c>
      <c r="AB38" s="63">
        <v>0</v>
      </c>
      <c r="AC38" s="63">
        <v>0</v>
      </c>
      <c r="AD38" s="63">
        <v>0</v>
      </c>
      <c r="AE38" s="63">
        <v>0</v>
      </c>
      <c r="AF38" s="63">
        <v>0</v>
      </c>
      <c r="AG38" s="63">
        <v>0</v>
      </c>
      <c r="AH38" s="63">
        <v>0</v>
      </c>
      <c r="AI38" s="63">
        <v>0</v>
      </c>
      <c r="AJ38" s="63">
        <v>42</v>
      </c>
      <c r="AK38" s="63">
        <v>0</v>
      </c>
      <c r="AL38" s="63" t="s">
        <v>35</v>
      </c>
      <c r="AM38" s="63" t="s">
        <v>36</v>
      </c>
      <c r="AN38" s="220" t="s">
        <v>40</v>
      </c>
      <c r="AO38" s="224"/>
      <c r="AP38" s="95" t="e">
        <f>IF(C38=VLOOKUP($A38,Feature_List!$A$2:$AO$101,MATCH(AP$1,Feature_List!$A$1:$AO$1,0),FALSE),"OK","BAD")</f>
        <v>#N/A</v>
      </c>
      <c r="AQ38" s="95" t="e">
        <f>IF(D38=VLOOKUP($A38,Feature_List!$A$2:$AO$101,MATCH(AQ$1,Feature_List!$A$1:$AO$1,0),FALSE),"OK","BAD")</f>
        <v>#N/A</v>
      </c>
      <c r="AR38" s="95" t="e">
        <f>IF(E38=VLOOKUP($A38,Feature_List!$A$2:$AO$101,MATCH(AR$1,Feature_List!$A$1:$AO$1,0),FALSE),"OK","BAD")</f>
        <v>#N/A</v>
      </c>
      <c r="AS38" s="95" t="e">
        <f>IF(F38=VLOOKUP($A38,Feature_List!$A$2:$AO$101,MATCH(AS$1,Feature_List!$A$1:$AO$1,0),FALSE),"OK","BAD")</f>
        <v>#N/A</v>
      </c>
      <c r="AT38" s="95" t="s">
        <v>985</v>
      </c>
      <c r="AU38" s="95" t="s">
        <v>985</v>
      </c>
      <c r="AV38" s="95" t="e">
        <f>IF(I38=VLOOKUP($A38,Feature_List!$A$2:$AO$101,MATCH(AV$1,Feature_List!$A$1:$AO$1,0),FALSE),"OK","BAD")</f>
        <v>#N/A</v>
      </c>
      <c r="AW38" s="95" t="e">
        <f>IF(J38=VLOOKUP($A38,Feature_List!$A$2:$AO$101,MATCH(AW$1,Feature_List!$A$1:$AO$1,0),FALSE),"OK","BAD")</f>
        <v>#N/A</v>
      </c>
      <c r="AX38" s="95" t="e">
        <f>IF(K38=VLOOKUP($A38,Feature_List!$A$2:$AO$101,MATCH(AX$1,Feature_List!$A$1:$AO$1,0),FALSE),"OK","BAD")</f>
        <v>#N/A</v>
      </c>
      <c r="AY38" s="95" t="e">
        <f>IF(L38=VLOOKUP($A38,Feature_List!$A$2:$AO$101,MATCH(AY$1,Feature_List!$A$1:$AO$1,0),FALSE),"OK","BAD")</f>
        <v>#N/A</v>
      </c>
      <c r="AZ38" s="95" t="e">
        <f>IF(M38=VLOOKUP($A38,Feature_List!$A$2:$AO$101,MATCH(AZ$1,Feature_List!$A$1:$AO$1,0),FALSE),"OK","BAD")</f>
        <v>#N/A</v>
      </c>
      <c r="BA38" s="95" t="e">
        <f>IF(N38=VLOOKUP($A38,Feature_List!$A$2:$AO$101,MATCH(BA$1,Feature_List!$A$1:$AO$1,0),FALSE),"OK","BAD")</f>
        <v>#N/A</v>
      </c>
      <c r="BB38" s="95" t="e">
        <f>IF(O38=VLOOKUP($A38,Feature_List!$A$2:$AO$101,MATCH(BB$1,Feature_List!$A$1:$AO$1,0),FALSE),"OK","BAD")</f>
        <v>#N/A</v>
      </c>
      <c r="BC38" s="95" t="e">
        <f>IF(P38=VLOOKUP($A38,Feature_List!$A$2:$AO$101,MATCH(BC$1,Feature_List!$A$1:$AO$1,0),FALSE),"OK","BAD")</f>
        <v>#N/A</v>
      </c>
      <c r="BD38" s="95" t="e">
        <f>IF(Q38=VLOOKUP($A38,Feature_List!$A$2:$AO$101,MATCH(BD$1,Feature_List!$A$1:$AO$1,0),FALSE),"OK","BAD")</f>
        <v>#N/A</v>
      </c>
      <c r="BE38" s="95" t="e">
        <f>IF(R38=VLOOKUP($A38,Feature_List!$A$2:$AO$101,MATCH(BE$1,Feature_List!$A$1:$AO$1,0),FALSE),"OK","BAD")</f>
        <v>#N/A</v>
      </c>
      <c r="BF38" s="95" t="e">
        <f>IF(S38=VLOOKUP($A38,Feature_List!$A$2:$AO$101,MATCH(BF$1,Feature_List!$A$1:$AO$1,0),FALSE),"OK","BAD")</f>
        <v>#N/A</v>
      </c>
      <c r="BG38" s="95" t="e">
        <f>IF(T38=VLOOKUP($A38,Feature_List!$A$2:$AO$101,MATCH(BG$1,Feature_List!$A$1:$AO$1,0),FALSE),"OK","BAD")</f>
        <v>#N/A</v>
      </c>
      <c r="BH38" s="95" t="e">
        <f>IF(U38=VLOOKUP($A38,Feature_List!$A$2:$AO$101,MATCH(BH$1,Feature_List!$A$1:$AO$1,0),FALSE),"OK","BAD")</f>
        <v>#N/A</v>
      </c>
      <c r="BI38" s="95" t="e">
        <f>IF(V38=VLOOKUP($A38,Feature_List!$A$2:$AO$101,MATCH(BI$1,Feature_List!$A$1:$AO$1,0),FALSE),"OK","BAD")</f>
        <v>#N/A</v>
      </c>
      <c r="BJ38" s="95" t="e">
        <f>IF(W38=VLOOKUP($A38,Feature_List!$A$2:$AO$101,MATCH(BJ$1,Feature_List!$A$1:$AO$1,0),FALSE),"OK","BAD")</f>
        <v>#N/A</v>
      </c>
      <c r="BK38" s="95" t="e">
        <f>IF(X38=VLOOKUP($A38,Feature_List!$A$2:$AO$101,MATCH(BK$1,Feature_List!$A$1:$AO$1,0),FALSE),"OK","BAD")</f>
        <v>#N/A</v>
      </c>
      <c r="BL38" s="95" t="e">
        <f>IF(Y38=VLOOKUP($A38,Feature_List!$A$2:$AO$101,MATCH(BL$1,Feature_List!$A$1:$AO$1,0),FALSE),"OK","BAD")</f>
        <v>#N/A</v>
      </c>
      <c r="BM38" s="95" t="e">
        <f>IF(Z38=VLOOKUP($A38,Feature_List!$A$2:$AO$101,MATCH(BM$1,Feature_List!$A$1:$AO$1,0),FALSE),"OK","BAD")</f>
        <v>#N/A</v>
      </c>
      <c r="BN38" s="95" t="e">
        <f>IF(AA38=VLOOKUP($A38,Feature_List!$A$2:$AO$101,MATCH(BN$1,Feature_List!$A$1:$AO$1,0),FALSE),"OK","BAD")</f>
        <v>#N/A</v>
      </c>
      <c r="BO38" s="95" t="e">
        <f>IF(AB38=VLOOKUP($A38,Feature_List!$A$2:$AO$101,MATCH(BO$1,Feature_List!$A$1:$AO$1,0),FALSE),"OK","BAD")</f>
        <v>#N/A</v>
      </c>
      <c r="BP38" s="95" t="e">
        <f>IF(AC38=VLOOKUP($A38,Feature_List!$A$2:$AO$101,MATCH(BP$1,Feature_List!$A$1:$AO$1,0),FALSE),"OK","BAD")</f>
        <v>#N/A</v>
      </c>
      <c r="BQ38" s="95" t="e">
        <f>IF(AD38=VLOOKUP($A38,Feature_List!$A$2:$AO$101,MATCH(BQ$1,Feature_List!$A$1:$AO$1,0),FALSE),"OK","BAD")</f>
        <v>#N/A</v>
      </c>
      <c r="BR38" s="95" t="e">
        <f>IF(AE38=VLOOKUP($A38,Feature_List!$A$2:$AO$101,MATCH(BR$1,Feature_List!$A$1:$AO$1,0),FALSE),"OK","BAD")</f>
        <v>#N/A</v>
      </c>
      <c r="BS38" s="95" t="e">
        <f>IF(AF38=VLOOKUP($A38,Feature_List!$A$2:$AO$101,MATCH(BS$1,Feature_List!$A$1:$AO$1,0),FALSE),"OK","BAD")</f>
        <v>#N/A</v>
      </c>
      <c r="BT38" s="95" t="e">
        <f>IF(AG38=VLOOKUP($A38,Feature_List!$A$2:$AO$101,MATCH(BT$1,Feature_List!$A$1:$AO$1,0),FALSE),"OK","BAD")</f>
        <v>#N/A</v>
      </c>
      <c r="BU38" s="95" t="e">
        <f>IF(AH38=VLOOKUP($A38,Feature_List!$A$2:$AO$101,MATCH(BU$1,Feature_List!$A$1:$AO$1,0),FALSE),"OK","BAD")</f>
        <v>#N/A</v>
      </c>
      <c r="BV38" s="95" t="e">
        <f>IF(AI38=VLOOKUP($A38,Feature_List!$A$2:$AO$101,MATCH(BV$1,Feature_List!$A$1:$AO$1,0),FALSE),"OK","BAD")</f>
        <v>#N/A</v>
      </c>
      <c r="BW38" s="95" t="e">
        <f>IF(AJ38=VLOOKUP($A38,Feature_List!$A$2:$AO$101,MATCH(BW$1,Feature_List!$A$1:$AO$1,0),FALSE),"OK","BAD")</f>
        <v>#N/A</v>
      </c>
      <c r="BX38" s="95" t="e">
        <f>IF(AK38=VLOOKUP($A38,Feature_List!$A$2:$AO$101,MATCH(BX$1,Feature_List!$A$1:$AO$1,0),FALSE),"OK","BAD")</f>
        <v>#N/A</v>
      </c>
      <c r="BY38" s="95" t="e">
        <f>IF(AL38=VLOOKUP($A38,Feature_List!$A$2:$AO$101,MATCH(BY$1,Feature_List!$A$1:$AO$1,0),FALSE),"OK","BAD")</f>
        <v>#N/A</v>
      </c>
      <c r="BZ38" s="95" t="e">
        <f>IF(AM38=VLOOKUP($A38,Feature_List!$A$2:$AO$101,MATCH(BZ$1,Feature_List!$A$1:$AO$1,0),FALSE),"OK","BAD")</f>
        <v>#N/A</v>
      </c>
      <c r="CA38" s="95" t="e">
        <f>IF(AN38=VLOOKUP($A38,Feature_List!$A$2:$AO$101,MATCH(CA$1,Feature_List!$A$1:$AO$1,0),FALSE),"OK","BAD")</f>
        <v>#N/A</v>
      </c>
    </row>
    <row r="39" spans="1:79" ht="14.4" customHeight="1" x14ac:dyDescent="0.3">
      <c r="A39" s="70">
        <v>390441</v>
      </c>
      <c r="B39" s="65" t="s">
        <v>1000</v>
      </c>
      <c r="C39" s="98" t="s">
        <v>972</v>
      </c>
      <c r="D39" s="65" t="s">
        <v>28</v>
      </c>
      <c r="E39" s="64">
        <v>29</v>
      </c>
      <c r="F39" s="64" t="s">
        <v>41</v>
      </c>
      <c r="G39" s="64" t="s">
        <v>1001</v>
      </c>
      <c r="H39" s="64" t="s">
        <v>981</v>
      </c>
      <c r="I39" s="99" t="s">
        <v>38</v>
      </c>
      <c r="J39" s="64" t="s">
        <v>1414</v>
      </c>
      <c r="K39" s="64">
        <v>0</v>
      </c>
      <c r="L39" s="62" t="s">
        <v>18</v>
      </c>
      <c r="M39" s="67" t="s">
        <v>42</v>
      </c>
      <c r="N39" s="67" t="s">
        <v>46</v>
      </c>
      <c r="O39" s="67">
        <v>0</v>
      </c>
      <c r="P39" s="66" t="s">
        <v>131</v>
      </c>
      <c r="Q39" s="63">
        <v>1</v>
      </c>
      <c r="R39" s="63">
        <v>0</v>
      </c>
      <c r="S39" s="63">
        <v>0</v>
      </c>
      <c r="T39" s="63">
        <v>0</v>
      </c>
      <c r="U39" s="63">
        <v>0</v>
      </c>
      <c r="V39" s="63">
        <v>0</v>
      </c>
      <c r="W39" s="63">
        <v>0</v>
      </c>
      <c r="X39" s="63">
        <v>0</v>
      </c>
      <c r="Y39" s="63">
        <v>0</v>
      </c>
      <c r="Z39" s="63">
        <v>0</v>
      </c>
      <c r="AA39" s="63">
        <v>0</v>
      </c>
      <c r="AB39" s="63">
        <v>0</v>
      </c>
      <c r="AC39" s="63">
        <v>0</v>
      </c>
      <c r="AD39" s="63">
        <v>0</v>
      </c>
      <c r="AE39" s="63">
        <v>10</v>
      </c>
      <c r="AF39" s="63">
        <v>0</v>
      </c>
      <c r="AG39" s="63">
        <v>0</v>
      </c>
      <c r="AH39" s="63">
        <v>0</v>
      </c>
      <c r="AI39" s="63">
        <v>0</v>
      </c>
      <c r="AJ39" s="63">
        <v>10</v>
      </c>
      <c r="AK39" s="63">
        <v>19</v>
      </c>
      <c r="AL39" s="63" t="s">
        <v>35</v>
      </c>
      <c r="AM39" s="63" t="s">
        <v>36</v>
      </c>
      <c r="AN39" s="220" t="s">
        <v>33</v>
      </c>
      <c r="AO39" s="224"/>
      <c r="AP39" s="95" t="str">
        <f>IF(C39=VLOOKUP($A39,Feature_List!$A$2:$AO$101,MATCH(AP$1,Feature_List!$A$1:$AO$1,0),FALSE),"OK","BAD")</f>
        <v>OK</v>
      </c>
      <c r="AQ39" s="95" t="str">
        <f>IF(D39=VLOOKUP($A39,Feature_List!$A$2:$AO$101,MATCH(AQ$1,Feature_List!$A$1:$AO$1,0),FALSE),"OK","BAD")</f>
        <v>BAD</v>
      </c>
      <c r="AR39" s="95" t="str">
        <f>IF(E39=VLOOKUP($A39,Feature_List!$A$2:$AO$101,MATCH(AR$1,Feature_List!$A$1:$AO$1,0),FALSE),"OK","BAD")</f>
        <v>BAD</v>
      </c>
      <c r="AS39" s="95" t="str">
        <f>IF(F39=VLOOKUP($A39,Feature_List!$A$2:$AO$101,MATCH(AS$1,Feature_List!$A$1:$AO$1,0),FALSE),"OK","BAD")</f>
        <v>OK</v>
      </c>
      <c r="AT39" s="95" t="s">
        <v>985</v>
      </c>
      <c r="AU39" s="95" t="s">
        <v>985</v>
      </c>
      <c r="AV39" s="95" t="str">
        <f>IF(I39=VLOOKUP($A39,Feature_List!$A$2:$AO$101,MATCH(AV$1,Feature_List!$A$1:$AO$1,0),FALSE),"OK","BAD")</f>
        <v>OK</v>
      </c>
      <c r="AW39" s="95" t="str">
        <f>IF(J39=VLOOKUP($A39,Feature_List!$A$2:$AO$101,MATCH(AW$1,Feature_List!$A$1:$AO$1,0),FALSE),"OK","BAD")</f>
        <v>OK</v>
      </c>
      <c r="AX39" s="95" t="str">
        <f>IF(K39=VLOOKUP($A39,Feature_List!$A$2:$AO$101,MATCH(AX$1,Feature_List!$A$1:$AO$1,0),FALSE),"OK","BAD")</f>
        <v>OK</v>
      </c>
      <c r="AY39" s="95" t="str">
        <f>IF(L39=VLOOKUP($A39,Feature_List!$A$2:$AO$101,MATCH(AY$1,Feature_List!$A$1:$AO$1,0),FALSE),"OK","BAD")</f>
        <v>OK</v>
      </c>
      <c r="AZ39" s="95" t="str">
        <f>IF(M39=VLOOKUP($A39,Feature_List!$A$2:$AO$101,MATCH(AZ$1,Feature_List!$A$1:$AO$1,0),FALSE),"OK","BAD")</f>
        <v>OK</v>
      </c>
      <c r="BA39" s="95" t="str">
        <f>IF(N39=VLOOKUP($A39,Feature_List!$A$2:$AO$101,MATCH(BA$1,Feature_List!$A$1:$AO$1,0),FALSE),"OK","BAD")</f>
        <v>OK</v>
      </c>
      <c r="BB39" s="95" t="str">
        <f>IF(O39=VLOOKUP($A39,Feature_List!$A$2:$AO$101,MATCH(BB$1,Feature_List!$A$1:$AO$1,0),FALSE),"OK","BAD")</f>
        <v>OK</v>
      </c>
      <c r="BC39" s="95" t="e">
        <f>IF(P39=VLOOKUP($A39,Feature_List!$A$2:$AO$101,MATCH(BC$1,Feature_List!$A$1:$AO$1,0),FALSE),"OK","BAD")</f>
        <v>#N/A</v>
      </c>
      <c r="BD39" s="95" t="str">
        <f>IF(Q39=VLOOKUP($A39,Feature_List!$A$2:$AO$101,MATCH(BD$1,Feature_List!$A$1:$AO$1,0),FALSE),"OK","BAD")</f>
        <v>OK</v>
      </c>
      <c r="BE39" s="95" t="str">
        <f>IF(R39=VLOOKUP($A39,Feature_List!$A$2:$AO$101,MATCH(BE$1,Feature_List!$A$1:$AO$1,0),FALSE),"OK","BAD")</f>
        <v>OK</v>
      </c>
      <c r="BF39" s="95" t="str">
        <f>IF(S39=VLOOKUP($A39,Feature_List!$A$2:$AO$101,MATCH(BF$1,Feature_List!$A$1:$AO$1,0),FALSE),"OK","BAD")</f>
        <v>OK</v>
      </c>
      <c r="BG39" s="95" t="str">
        <f>IF(T39=VLOOKUP($A39,Feature_List!$A$2:$AO$101,MATCH(BG$1,Feature_List!$A$1:$AO$1,0),FALSE),"OK","BAD")</f>
        <v>OK</v>
      </c>
      <c r="BH39" s="95" t="str">
        <f>IF(U39=VLOOKUP($A39,Feature_List!$A$2:$AO$101,MATCH(BH$1,Feature_List!$A$1:$AO$1,0),FALSE),"OK","BAD")</f>
        <v>OK</v>
      </c>
      <c r="BI39" s="95" t="str">
        <f>IF(V39=VLOOKUP($A39,Feature_List!$A$2:$AO$101,MATCH(BI$1,Feature_List!$A$1:$AO$1,0),FALSE),"OK","BAD")</f>
        <v>OK</v>
      </c>
      <c r="BJ39" s="95" t="e">
        <f>IF(W39=VLOOKUP($A39,Feature_List!$A$2:$AO$101,MATCH(BJ$1,Feature_List!$A$1:$AO$1,0),FALSE),"OK","BAD")</f>
        <v>#N/A</v>
      </c>
      <c r="BK39" s="95" t="str">
        <f>IF(X39=VLOOKUP($A39,Feature_List!$A$2:$AO$101,MATCH(BK$1,Feature_List!$A$1:$AO$1,0),FALSE),"OK","BAD")</f>
        <v>OK</v>
      </c>
      <c r="BL39" s="95" t="str">
        <f>IF(Y39=VLOOKUP($A39,Feature_List!$A$2:$AO$101,MATCH(BL$1,Feature_List!$A$1:$AO$1,0),FALSE),"OK","BAD")</f>
        <v>OK</v>
      </c>
      <c r="BM39" s="95" t="str">
        <f>IF(Z39=VLOOKUP($A39,Feature_List!$A$2:$AO$101,MATCH(BM$1,Feature_List!$A$1:$AO$1,0),FALSE),"OK","BAD")</f>
        <v>OK</v>
      </c>
      <c r="BN39" s="95" t="str">
        <f>IF(AA39=VLOOKUP($A39,Feature_List!$A$2:$AO$101,MATCH(BN$1,Feature_List!$A$1:$AO$1,0),FALSE),"OK","BAD")</f>
        <v>OK</v>
      </c>
      <c r="BO39" s="95" t="str">
        <f>IF(AB39=VLOOKUP($A39,Feature_List!$A$2:$AO$101,MATCH(BO$1,Feature_List!$A$1:$AO$1,0),FALSE),"OK","BAD")</f>
        <v>OK</v>
      </c>
      <c r="BP39" s="95" t="str">
        <f>IF(AC39=VLOOKUP($A39,Feature_List!$A$2:$AO$101,MATCH(BP$1,Feature_List!$A$1:$AO$1,0),FALSE),"OK","BAD")</f>
        <v>OK</v>
      </c>
      <c r="BQ39" s="95" t="str">
        <f>IF(AD39=VLOOKUP($A39,Feature_List!$A$2:$AO$101,MATCH(BQ$1,Feature_List!$A$1:$AO$1,0),FALSE),"OK","BAD")</f>
        <v>OK</v>
      </c>
      <c r="BR39" s="95" t="str">
        <f>IF(AE39=VLOOKUP($A39,Feature_List!$A$2:$AO$101,MATCH(BR$1,Feature_List!$A$1:$AO$1,0),FALSE),"OK","BAD")</f>
        <v>BAD</v>
      </c>
      <c r="BS39" s="95" t="str">
        <f>IF(AF39=VLOOKUP($A39,Feature_List!$A$2:$AO$101,MATCH(BS$1,Feature_List!$A$1:$AO$1,0),FALSE),"OK","BAD")</f>
        <v>OK</v>
      </c>
      <c r="BT39" s="95" t="str">
        <f>IF(AG39=VLOOKUP($A39,Feature_List!$A$2:$AO$101,MATCH(BT$1,Feature_List!$A$1:$AO$1,0),FALSE),"OK","BAD")</f>
        <v>OK</v>
      </c>
      <c r="BU39" s="95" t="str">
        <f>IF(AH39=VLOOKUP($A39,Feature_List!$A$2:$AO$101,MATCH(BU$1,Feature_List!$A$1:$AO$1,0),FALSE),"OK","BAD")</f>
        <v>OK</v>
      </c>
      <c r="BV39" s="95" t="e">
        <f>IF(AI39=VLOOKUP($A39,Feature_List!$A$2:$AO$101,MATCH(BV$1,Feature_List!$A$1:$AO$1,0),FALSE),"OK","BAD")</f>
        <v>#N/A</v>
      </c>
      <c r="BW39" s="95" t="e">
        <f>IF(AJ39=VLOOKUP($A39,Feature_List!$A$2:$AO$101,MATCH(BW$1,Feature_List!$A$1:$AO$1,0),FALSE),"OK","BAD")</f>
        <v>#N/A</v>
      </c>
      <c r="BX39" s="95" t="e">
        <f>IF(AK39=VLOOKUP($A39,Feature_List!$A$2:$AO$101,MATCH(BX$1,Feature_List!$A$1:$AO$1,0),FALSE),"OK","BAD")</f>
        <v>#N/A</v>
      </c>
      <c r="BY39" s="95" t="str">
        <f>IF(AL39=VLOOKUP($A39,Feature_List!$A$2:$AO$101,MATCH(BY$1,Feature_List!$A$1:$AO$1,0),FALSE),"OK","BAD")</f>
        <v>OK</v>
      </c>
      <c r="BZ39" s="95" t="str">
        <f>IF(AM39=VLOOKUP($A39,Feature_List!$A$2:$AO$101,MATCH(BZ$1,Feature_List!$A$1:$AO$1,0),FALSE),"OK","BAD")</f>
        <v>OK</v>
      </c>
      <c r="CA39" s="95" t="str">
        <f>IF(AN39=VLOOKUP($A39,Feature_List!$A$2:$AO$101,MATCH(CA$1,Feature_List!$A$1:$AO$1,0),FALSE),"OK","BAD")</f>
        <v>OK</v>
      </c>
    </row>
    <row r="40" spans="1:79" ht="14.4" customHeight="1" x14ac:dyDescent="0.3">
      <c r="A40" s="70">
        <v>390286</v>
      </c>
      <c r="B40" s="65" t="s">
        <v>1579</v>
      </c>
      <c r="C40" s="98" t="s">
        <v>1012</v>
      </c>
      <c r="D40" s="65" t="s">
        <v>106</v>
      </c>
      <c r="E40" s="64">
        <v>45</v>
      </c>
      <c r="F40" s="64" t="s">
        <v>880</v>
      </c>
      <c r="G40" s="64" t="s">
        <v>1580</v>
      </c>
      <c r="H40" s="64" t="s">
        <v>172</v>
      </c>
      <c r="I40" s="99" t="s">
        <v>851</v>
      </c>
      <c r="J40" s="64" t="s">
        <v>1412</v>
      </c>
      <c r="K40" s="64">
        <v>0</v>
      </c>
      <c r="L40" s="62" t="s">
        <v>944</v>
      </c>
      <c r="M40" s="67" t="s">
        <v>49</v>
      </c>
      <c r="N40" s="67" t="s">
        <v>51</v>
      </c>
      <c r="O40" s="67">
        <v>0</v>
      </c>
      <c r="P40" s="66" t="s">
        <v>131</v>
      </c>
      <c r="Q40" s="63">
        <v>2</v>
      </c>
      <c r="R40" s="63">
        <v>38</v>
      </c>
      <c r="S40" s="63">
        <v>0</v>
      </c>
      <c r="T40" s="63">
        <v>6</v>
      </c>
      <c r="U40" s="63">
        <v>0</v>
      </c>
      <c r="V40" s="63">
        <v>0</v>
      </c>
      <c r="W40" s="63">
        <v>0</v>
      </c>
      <c r="X40" s="63">
        <v>0</v>
      </c>
      <c r="Y40" s="63">
        <v>0</v>
      </c>
      <c r="Z40" s="63">
        <v>0</v>
      </c>
      <c r="AA40" s="63">
        <v>0</v>
      </c>
      <c r="AB40" s="63">
        <v>0</v>
      </c>
      <c r="AC40" s="63">
        <v>0</v>
      </c>
      <c r="AD40" s="63">
        <v>1</v>
      </c>
      <c r="AE40" s="63">
        <v>0</v>
      </c>
      <c r="AF40" s="63">
        <v>0</v>
      </c>
      <c r="AG40" s="63">
        <v>0</v>
      </c>
      <c r="AH40" s="63">
        <v>0</v>
      </c>
      <c r="AI40" s="63">
        <v>0</v>
      </c>
      <c r="AJ40" s="63">
        <v>7</v>
      </c>
      <c r="AK40" s="63">
        <v>0</v>
      </c>
      <c r="AL40" s="63" t="s">
        <v>35</v>
      </c>
      <c r="AM40" s="63" t="s">
        <v>36</v>
      </c>
      <c r="AN40" s="220" t="s">
        <v>33</v>
      </c>
      <c r="AO40" s="224"/>
      <c r="AP40" s="95" t="e">
        <f>IF(C40=VLOOKUP($A40,Feature_List!$A$2:$AO$101,MATCH(AP$1,Feature_List!$A$1:$AO$1,0),FALSE),"OK","BAD")</f>
        <v>#N/A</v>
      </c>
      <c r="AQ40" s="95" t="e">
        <f>IF(D40=VLOOKUP($A40,Feature_List!$A$2:$AO$101,MATCH(AQ$1,Feature_List!$A$1:$AO$1,0),FALSE),"OK","BAD")</f>
        <v>#N/A</v>
      </c>
      <c r="AR40" s="95" t="e">
        <f>IF(E40=VLOOKUP($A40,Feature_List!$A$2:$AO$101,MATCH(AR$1,Feature_List!$A$1:$AO$1,0),FALSE),"OK","BAD")</f>
        <v>#N/A</v>
      </c>
      <c r="AS40" s="95" t="e">
        <f>IF(F40=VLOOKUP($A40,Feature_List!$A$2:$AO$101,MATCH(AS$1,Feature_List!$A$1:$AO$1,0),FALSE),"OK","BAD")</f>
        <v>#N/A</v>
      </c>
      <c r="AT40" s="95" t="s">
        <v>985</v>
      </c>
      <c r="AU40" s="95" t="s">
        <v>985</v>
      </c>
      <c r="AV40" s="95" t="e">
        <f>IF(I40=VLOOKUP($A40,Feature_List!$A$2:$AO$101,MATCH(AV$1,Feature_List!$A$1:$AO$1,0),FALSE),"OK","BAD")</f>
        <v>#N/A</v>
      </c>
      <c r="AW40" s="95" t="e">
        <f>IF(J40=VLOOKUP($A40,Feature_List!$A$2:$AO$101,MATCH(AW$1,Feature_List!$A$1:$AO$1,0),FALSE),"OK","BAD")</f>
        <v>#N/A</v>
      </c>
      <c r="AX40" s="95" t="e">
        <f>IF(K40=VLOOKUP($A40,Feature_List!$A$2:$AO$101,MATCH(AX$1,Feature_List!$A$1:$AO$1,0),FALSE),"OK","BAD")</f>
        <v>#N/A</v>
      </c>
      <c r="AY40" s="95" t="e">
        <f>IF(L40=VLOOKUP($A40,Feature_List!$A$2:$AO$101,MATCH(AY$1,Feature_List!$A$1:$AO$1,0),FALSE),"OK","BAD")</f>
        <v>#N/A</v>
      </c>
      <c r="AZ40" s="95" t="e">
        <f>IF(M40=VLOOKUP($A40,Feature_List!$A$2:$AO$101,MATCH(AZ$1,Feature_List!$A$1:$AO$1,0),FALSE),"OK","BAD")</f>
        <v>#N/A</v>
      </c>
      <c r="BA40" s="95" t="e">
        <f>IF(N40=VLOOKUP($A40,Feature_List!$A$2:$AO$101,MATCH(BA$1,Feature_List!$A$1:$AO$1,0),FALSE),"OK","BAD")</f>
        <v>#N/A</v>
      </c>
      <c r="BB40" s="95" t="e">
        <f>IF(O40=VLOOKUP($A40,Feature_List!$A$2:$AO$101,MATCH(BB$1,Feature_List!$A$1:$AO$1,0),FALSE),"OK","BAD")</f>
        <v>#N/A</v>
      </c>
      <c r="BC40" s="95" t="e">
        <f>IF(P40=VLOOKUP($A40,Feature_List!$A$2:$AO$101,MATCH(BC$1,Feature_List!$A$1:$AO$1,0),FALSE),"OK","BAD")</f>
        <v>#N/A</v>
      </c>
      <c r="BD40" s="95" t="e">
        <f>IF(Q40=VLOOKUP($A40,Feature_List!$A$2:$AO$101,MATCH(BD$1,Feature_List!$A$1:$AO$1,0),FALSE),"OK","BAD")</f>
        <v>#N/A</v>
      </c>
      <c r="BE40" s="95" t="e">
        <f>IF(R40=VLOOKUP($A40,Feature_List!$A$2:$AO$101,MATCH(BE$1,Feature_List!$A$1:$AO$1,0),FALSE),"OK","BAD")</f>
        <v>#N/A</v>
      </c>
      <c r="BF40" s="95" t="e">
        <f>IF(S40=VLOOKUP($A40,Feature_List!$A$2:$AO$101,MATCH(BF$1,Feature_List!$A$1:$AO$1,0),FALSE),"OK","BAD")</f>
        <v>#N/A</v>
      </c>
      <c r="BG40" s="95" t="e">
        <f>IF(T40=VLOOKUP($A40,Feature_List!$A$2:$AO$101,MATCH(BG$1,Feature_List!$A$1:$AO$1,0),FALSE),"OK","BAD")</f>
        <v>#N/A</v>
      </c>
      <c r="BH40" s="95" t="e">
        <f>IF(U40=VLOOKUP($A40,Feature_List!$A$2:$AO$101,MATCH(BH$1,Feature_List!$A$1:$AO$1,0),FALSE),"OK","BAD")</f>
        <v>#N/A</v>
      </c>
      <c r="BI40" s="95" t="e">
        <f>IF(V40=VLOOKUP($A40,Feature_List!$A$2:$AO$101,MATCH(BI$1,Feature_List!$A$1:$AO$1,0),FALSE),"OK","BAD")</f>
        <v>#N/A</v>
      </c>
      <c r="BJ40" s="95" t="e">
        <f>IF(W40=VLOOKUP($A40,Feature_List!$A$2:$AO$101,MATCH(BJ$1,Feature_List!$A$1:$AO$1,0),FALSE),"OK","BAD")</f>
        <v>#N/A</v>
      </c>
      <c r="BK40" s="95" t="e">
        <f>IF(X40=VLOOKUP($A40,Feature_List!$A$2:$AO$101,MATCH(BK$1,Feature_List!$A$1:$AO$1,0),FALSE),"OK","BAD")</f>
        <v>#N/A</v>
      </c>
      <c r="BL40" s="95" t="e">
        <f>IF(Y40=VLOOKUP($A40,Feature_List!$A$2:$AO$101,MATCH(BL$1,Feature_List!$A$1:$AO$1,0),FALSE),"OK","BAD")</f>
        <v>#N/A</v>
      </c>
      <c r="BM40" s="95" t="e">
        <f>IF(Z40=VLOOKUP($A40,Feature_List!$A$2:$AO$101,MATCH(BM$1,Feature_List!$A$1:$AO$1,0),FALSE),"OK","BAD")</f>
        <v>#N/A</v>
      </c>
      <c r="BN40" s="95" t="e">
        <f>IF(AA40=VLOOKUP($A40,Feature_List!$A$2:$AO$101,MATCH(BN$1,Feature_List!$A$1:$AO$1,0),FALSE),"OK","BAD")</f>
        <v>#N/A</v>
      </c>
      <c r="BO40" s="95" t="e">
        <f>IF(AB40=VLOOKUP($A40,Feature_List!$A$2:$AO$101,MATCH(BO$1,Feature_List!$A$1:$AO$1,0),FALSE),"OK","BAD")</f>
        <v>#N/A</v>
      </c>
      <c r="BP40" s="95" t="e">
        <f>IF(AC40=VLOOKUP($A40,Feature_List!$A$2:$AO$101,MATCH(BP$1,Feature_List!$A$1:$AO$1,0),FALSE),"OK","BAD")</f>
        <v>#N/A</v>
      </c>
      <c r="BQ40" s="95" t="e">
        <f>IF(AD40=VLOOKUP($A40,Feature_List!$A$2:$AO$101,MATCH(BQ$1,Feature_List!$A$1:$AO$1,0),FALSE),"OK","BAD")</f>
        <v>#N/A</v>
      </c>
      <c r="BR40" s="95" t="e">
        <f>IF(AE40=VLOOKUP($A40,Feature_List!$A$2:$AO$101,MATCH(BR$1,Feature_List!$A$1:$AO$1,0),FALSE),"OK","BAD")</f>
        <v>#N/A</v>
      </c>
      <c r="BS40" s="95" t="e">
        <f>IF(AF40=VLOOKUP($A40,Feature_List!$A$2:$AO$101,MATCH(BS$1,Feature_List!$A$1:$AO$1,0),FALSE),"OK","BAD")</f>
        <v>#N/A</v>
      </c>
      <c r="BT40" s="95" t="e">
        <f>IF(AG40=VLOOKUP($A40,Feature_List!$A$2:$AO$101,MATCH(BT$1,Feature_List!$A$1:$AO$1,0),FALSE),"OK","BAD")</f>
        <v>#N/A</v>
      </c>
      <c r="BU40" s="95" t="e">
        <f>IF(AH40=VLOOKUP($A40,Feature_List!$A$2:$AO$101,MATCH(BU$1,Feature_List!$A$1:$AO$1,0),FALSE),"OK","BAD")</f>
        <v>#N/A</v>
      </c>
      <c r="BV40" s="95" t="e">
        <f>IF(AI40=VLOOKUP($A40,Feature_List!$A$2:$AO$101,MATCH(BV$1,Feature_List!$A$1:$AO$1,0),FALSE),"OK","BAD")</f>
        <v>#N/A</v>
      </c>
      <c r="BW40" s="95" t="e">
        <f>IF(AJ40=VLOOKUP($A40,Feature_List!$A$2:$AO$101,MATCH(BW$1,Feature_List!$A$1:$AO$1,0),FALSE),"OK","BAD")</f>
        <v>#N/A</v>
      </c>
      <c r="BX40" s="95" t="e">
        <f>IF(AK40=VLOOKUP($A40,Feature_List!$A$2:$AO$101,MATCH(BX$1,Feature_List!$A$1:$AO$1,0),FALSE),"OK","BAD")</f>
        <v>#N/A</v>
      </c>
      <c r="BY40" s="95" t="e">
        <f>IF(AL40=VLOOKUP($A40,Feature_List!$A$2:$AO$101,MATCH(BY$1,Feature_List!$A$1:$AO$1,0),FALSE),"OK","BAD")</f>
        <v>#N/A</v>
      </c>
      <c r="BZ40" s="95" t="e">
        <f>IF(AM40=VLOOKUP($A40,Feature_List!$A$2:$AO$101,MATCH(BZ$1,Feature_List!$A$1:$AO$1,0),FALSE),"OK","BAD")</f>
        <v>#N/A</v>
      </c>
      <c r="CA40" s="95" t="e">
        <f>IF(AN40=VLOOKUP($A40,Feature_List!$A$2:$AO$101,MATCH(CA$1,Feature_List!$A$1:$AO$1,0),FALSE),"OK","BAD")</f>
        <v>#N/A</v>
      </c>
    </row>
    <row r="41" spans="1:79" ht="14.4" customHeight="1" x14ac:dyDescent="0.3">
      <c r="A41" s="70">
        <v>389549</v>
      </c>
      <c r="B41" s="65" t="s">
        <v>938</v>
      </c>
      <c r="C41" s="98" t="s">
        <v>1012</v>
      </c>
      <c r="D41" s="65" t="s">
        <v>106</v>
      </c>
      <c r="E41" s="64">
        <v>43</v>
      </c>
      <c r="F41" s="64" t="s">
        <v>41</v>
      </c>
      <c r="G41" s="64" t="s">
        <v>963</v>
      </c>
      <c r="H41" s="64" t="s">
        <v>547</v>
      </c>
      <c r="I41" s="99" t="s">
        <v>38</v>
      </c>
      <c r="J41" s="64" t="s">
        <v>1412</v>
      </c>
      <c r="K41" s="64">
        <v>388154</v>
      </c>
      <c r="L41" s="62" t="s">
        <v>15</v>
      </c>
      <c r="M41" s="67" t="s">
        <v>37</v>
      </c>
      <c r="N41" s="67" t="s">
        <v>39</v>
      </c>
      <c r="O41" s="67">
        <v>0</v>
      </c>
      <c r="P41" s="66" t="s">
        <v>131</v>
      </c>
      <c r="Q41" s="63">
        <v>1</v>
      </c>
      <c r="R41" s="63">
        <v>40</v>
      </c>
      <c r="S41" s="63">
        <v>0</v>
      </c>
      <c r="T41" s="63">
        <v>0</v>
      </c>
      <c r="U41" s="63">
        <v>0</v>
      </c>
      <c r="V41" s="63">
        <v>0</v>
      </c>
      <c r="W41" s="63">
        <v>0</v>
      </c>
      <c r="X41" s="63">
        <v>0</v>
      </c>
      <c r="Y41" s="63">
        <v>0</v>
      </c>
      <c r="Z41" s="63">
        <v>0</v>
      </c>
      <c r="AA41" s="63">
        <v>0</v>
      </c>
      <c r="AB41" s="63">
        <v>3</v>
      </c>
      <c r="AC41" s="63">
        <v>0</v>
      </c>
      <c r="AD41" s="63">
        <v>0</v>
      </c>
      <c r="AE41" s="63">
        <v>0</v>
      </c>
      <c r="AF41" s="63">
        <v>0</v>
      </c>
      <c r="AG41" s="63">
        <v>0</v>
      </c>
      <c r="AH41" s="63">
        <v>0</v>
      </c>
      <c r="AI41" s="63">
        <v>0</v>
      </c>
      <c r="AJ41" s="63">
        <v>3</v>
      </c>
      <c r="AK41" s="63">
        <v>0</v>
      </c>
      <c r="AL41" s="63" t="s">
        <v>35</v>
      </c>
      <c r="AM41" s="63" t="s">
        <v>854</v>
      </c>
      <c r="AN41" s="220" t="s">
        <v>33</v>
      </c>
      <c r="AO41" s="224"/>
      <c r="AP41" s="95" t="e">
        <f>IF(C41=VLOOKUP($A41,Feature_List!$A$2:$AO$101,MATCH(AP$1,Feature_List!$A$1:$AO$1,0),FALSE),"OK","BAD")</f>
        <v>#N/A</v>
      </c>
      <c r="AQ41" s="95" t="e">
        <f>IF(D41=VLOOKUP($A41,Feature_List!$A$2:$AO$101,MATCH(AQ$1,Feature_List!$A$1:$AO$1,0),FALSE),"OK","BAD")</f>
        <v>#N/A</v>
      </c>
      <c r="AR41" s="95" t="e">
        <f>IF(E41=VLOOKUP($A41,Feature_List!$A$2:$AO$101,MATCH(AR$1,Feature_List!$A$1:$AO$1,0),FALSE),"OK","BAD")</f>
        <v>#N/A</v>
      </c>
      <c r="AS41" s="95" t="e">
        <f>IF(F41=VLOOKUP($A41,Feature_List!$A$2:$AO$101,MATCH(AS$1,Feature_List!$A$1:$AO$1,0),FALSE),"OK","BAD")</f>
        <v>#N/A</v>
      </c>
      <c r="AT41" s="95" t="s">
        <v>985</v>
      </c>
      <c r="AU41" s="95" t="s">
        <v>985</v>
      </c>
      <c r="AV41" s="95" t="e">
        <f>IF(I41=VLOOKUP($A41,Feature_List!$A$2:$AO$101,MATCH(AV$1,Feature_List!$A$1:$AO$1,0),FALSE),"OK","BAD")</f>
        <v>#N/A</v>
      </c>
      <c r="AW41" s="95" t="e">
        <f>IF(J41=VLOOKUP($A41,Feature_List!$A$2:$AO$101,MATCH(AW$1,Feature_List!$A$1:$AO$1,0),FALSE),"OK","BAD")</f>
        <v>#N/A</v>
      </c>
      <c r="AX41" s="95" t="e">
        <f>IF(K41=VLOOKUP($A41,Feature_List!$A$2:$AO$101,MATCH(AX$1,Feature_List!$A$1:$AO$1,0),FALSE),"OK","BAD")</f>
        <v>#N/A</v>
      </c>
      <c r="AY41" s="95" t="e">
        <f>IF(L41=VLOOKUP($A41,Feature_List!$A$2:$AO$101,MATCH(AY$1,Feature_List!$A$1:$AO$1,0),FALSE),"OK","BAD")</f>
        <v>#N/A</v>
      </c>
      <c r="AZ41" s="95" t="e">
        <f>IF(M41=VLOOKUP($A41,Feature_List!$A$2:$AO$101,MATCH(AZ$1,Feature_List!$A$1:$AO$1,0),FALSE),"OK","BAD")</f>
        <v>#N/A</v>
      </c>
      <c r="BA41" s="95" t="e">
        <f>IF(N41=VLOOKUP($A41,Feature_List!$A$2:$AO$101,MATCH(BA$1,Feature_List!$A$1:$AO$1,0),FALSE),"OK","BAD")</f>
        <v>#N/A</v>
      </c>
      <c r="BB41" s="95" t="e">
        <f>IF(O41=VLOOKUP($A41,Feature_List!$A$2:$AO$101,MATCH(BB$1,Feature_List!$A$1:$AO$1,0),FALSE),"OK","BAD")</f>
        <v>#N/A</v>
      </c>
      <c r="BC41" s="95" t="e">
        <f>IF(P41=VLOOKUP($A41,Feature_List!$A$2:$AO$101,MATCH(BC$1,Feature_List!$A$1:$AO$1,0),FALSE),"OK","BAD")</f>
        <v>#N/A</v>
      </c>
      <c r="BD41" s="95" t="e">
        <f>IF(Q41=VLOOKUP($A41,Feature_List!$A$2:$AO$101,MATCH(BD$1,Feature_List!$A$1:$AO$1,0),FALSE),"OK","BAD")</f>
        <v>#N/A</v>
      </c>
      <c r="BE41" s="95" t="e">
        <f>IF(R41=VLOOKUP($A41,Feature_List!$A$2:$AO$101,MATCH(BE$1,Feature_List!$A$1:$AO$1,0),FALSE),"OK","BAD")</f>
        <v>#N/A</v>
      </c>
      <c r="BF41" s="95" t="e">
        <f>IF(S41=VLOOKUP($A41,Feature_List!$A$2:$AO$101,MATCH(BF$1,Feature_List!$A$1:$AO$1,0),FALSE),"OK","BAD")</f>
        <v>#N/A</v>
      </c>
      <c r="BG41" s="95" t="e">
        <f>IF(T41=VLOOKUP($A41,Feature_List!$A$2:$AO$101,MATCH(BG$1,Feature_List!$A$1:$AO$1,0),FALSE),"OK","BAD")</f>
        <v>#N/A</v>
      </c>
      <c r="BH41" s="95" t="e">
        <f>IF(U41=VLOOKUP($A41,Feature_List!$A$2:$AO$101,MATCH(BH$1,Feature_List!$A$1:$AO$1,0),FALSE),"OK","BAD")</f>
        <v>#N/A</v>
      </c>
      <c r="BI41" s="95" t="e">
        <f>IF(V41=VLOOKUP($A41,Feature_List!$A$2:$AO$101,MATCH(BI$1,Feature_List!$A$1:$AO$1,0),FALSE),"OK","BAD")</f>
        <v>#N/A</v>
      </c>
      <c r="BJ41" s="95" t="e">
        <f>IF(W41=VLOOKUP($A41,Feature_List!$A$2:$AO$101,MATCH(BJ$1,Feature_List!$A$1:$AO$1,0),FALSE),"OK","BAD")</f>
        <v>#N/A</v>
      </c>
      <c r="BK41" s="95" t="e">
        <f>IF(X41=VLOOKUP($A41,Feature_List!$A$2:$AO$101,MATCH(BK$1,Feature_List!$A$1:$AO$1,0),FALSE),"OK","BAD")</f>
        <v>#N/A</v>
      </c>
      <c r="BL41" s="95" t="e">
        <f>IF(Y41=VLOOKUP($A41,Feature_List!$A$2:$AO$101,MATCH(BL$1,Feature_List!$A$1:$AO$1,0),FALSE),"OK","BAD")</f>
        <v>#N/A</v>
      </c>
      <c r="BM41" s="95" t="e">
        <f>IF(Z41=VLOOKUP($A41,Feature_List!$A$2:$AO$101,MATCH(BM$1,Feature_List!$A$1:$AO$1,0),FALSE),"OK","BAD")</f>
        <v>#N/A</v>
      </c>
      <c r="BN41" s="95" t="e">
        <f>IF(AA41=VLOOKUP($A41,Feature_List!$A$2:$AO$101,MATCH(BN$1,Feature_List!$A$1:$AO$1,0),FALSE),"OK","BAD")</f>
        <v>#N/A</v>
      </c>
      <c r="BO41" s="95" t="e">
        <f>IF(AB41=VLOOKUP($A41,Feature_List!$A$2:$AO$101,MATCH(BO$1,Feature_List!$A$1:$AO$1,0),FALSE),"OK","BAD")</f>
        <v>#N/A</v>
      </c>
      <c r="BP41" s="95" t="e">
        <f>IF(AC41=VLOOKUP($A41,Feature_List!$A$2:$AO$101,MATCH(BP$1,Feature_List!$A$1:$AO$1,0),FALSE),"OK","BAD")</f>
        <v>#N/A</v>
      </c>
      <c r="BQ41" s="95" t="e">
        <f>IF(AD41=VLOOKUP($A41,Feature_List!$A$2:$AO$101,MATCH(BQ$1,Feature_List!$A$1:$AO$1,0),FALSE),"OK","BAD")</f>
        <v>#N/A</v>
      </c>
      <c r="BR41" s="95" t="e">
        <f>IF(AE41=VLOOKUP($A41,Feature_List!$A$2:$AO$101,MATCH(BR$1,Feature_List!$A$1:$AO$1,0),FALSE),"OK","BAD")</f>
        <v>#N/A</v>
      </c>
      <c r="BS41" s="95" t="e">
        <f>IF(AF41=VLOOKUP($A41,Feature_List!$A$2:$AO$101,MATCH(BS$1,Feature_List!$A$1:$AO$1,0),FALSE),"OK","BAD")</f>
        <v>#N/A</v>
      </c>
      <c r="BT41" s="95" t="e">
        <f>IF(AG41=VLOOKUP($A41,Feature_List!$A$2:$AO$101,MATCH(BT$1,Feature_List!$A$1:$AO$1,0),FALSE),"OK","BAD")</f>
        <v>#N/A</v>
      </c>
      <c r="BU41" s="95" t="e">
        <f>IF(AH41=VLOOKUP($A41,Feature_List!$A$2:$AO$101,MATCH(BU$1,Feature_List!$A$1:$AO$1,0),FALSE),"OK","BAD")</f>
        <v>#N/A</v>
      </c>
      <c r="BV41" s="95" t="e">
        <f>IF(AI41=VLOOKUP($A41,Feature_List!$A$2:$AO$101,MATCH(BV$1,Feature_List!$A$1:$AO$1,0),FALSE),"OK","BAD")</f>
        <v>#N/A</v>
      </c>
      <c r="BW41" s="95" t="e">
        <f>IF(AJ41=VLOOKUP($A41,Feature_List!$A$2:$AO$101,MATCH(BW$1,Feature_List!$A$1:$AO$1,0),FALSE),"OK","BAD")</f>
        <v>#N/A</v>
      </c>
      <c r="BX41" s="95" t="e">
        <f>IF(AK41=VLOOKUP($A41,Feature_List!$A$2:$AO$101,MATCH(BX$1,Feature_List!$A$1:$AO$1,0),FALSE),"OK","BAD")</f>
        <v>#N/A</v>
      </c>
      <c r="BY41" s="95" t="e">
        <f>IF(AL41=VLOOKUP($A41,Feature_List!$A$2:$AO$101,MATCH(BY$1,Feature_List!$A$1:$AO$1,0),FALSE),"OK","BAD")</f>
        <v>#N/A</v>
      </c>
      <c r="BZ41" s="95" t="e">
        <f>IF(AM41=VLOOKUP($A41,Feature_List!$A$2:$AO$101,MATCH(BZ$1,Feature_List!$A$1:$AO$1,0),FALSE),"OK","BAD")</f>
        <v>#N/A</v>
      </c>
      <c r="CA41" s="95" t="e">
        <f>IF(AN41=VLOOKUP($A41,Feature_List!$A$2:$AO$101,MATCH(CA$1,Feature_List!$A$1:$AO$1,0),FALSE),"OK","BAD")</f>
        <v>#N/A</v>
      </c>
    </row>
    <row r="42" spans="1:79" ht="14.4" customHeight="1" x14ac:dyDescent="0.3">
      <c r="A42" s="70">
        <v>388549</v>
      </c>
      <c r="B42" s="65" t="s">
        <v>1141</v>
      </c>
      <c r="C42" s="98" t="s">
        <v>1145</v>
      </c>
      <c r="D42" s="65" t="s">
        <v>106</v>
      </c>
      <c r="E42" s="64">
        <v>256</v>
      </c>
      <c r="F42" s="64" t="s">
        <v>879</v>
      </c>
      <c r="G42" s="64" t="s">
        <v>1568</v>
      </c>
      <c r="H42" s="64" t="s">
        <v>195</v>
      </c>
      <c r="I42" s="99" t="s">
        <v>38</v>
      </c>
      <c r="J42" s="64" t="s">
        <v>1412</v>
      </c>
      <c r="K42" s="64">
        <v>370101</v>
      </c>
      <c r="L42" s="62" t="s">
        <v>951</v>
      </c>
      <c r="M42" s="67" t="s">
        <v>644</v>
      </c>
      <c r="N42" s="67" t="s">
        <v>36</v>
      </c>
      <c r="O42" s="67">
        <v>0</v>
      </c>
      <c r="P42" s="66" t="s">
        <v>645</v>
      </c>
      <c r="Q42" s="63">
        <v>4</v>
      </c>
      <c r="R42" s="63">
        <v>24</v>
      </c>
      <c r="S42" s="63">
        <v>190</v>
      </c>
      <c r="T42" s="63">
        <v>20</v>
      </c>
      <c r="U42" s="63">
        <v>0</v>
      </c>
      <c r="V42" s="63">
        <v>8</v>
      </c>
      <c r="W42" s="63">
        <v>0</v>
      </c>
      <c r="X42" s="63">
        <v>0</v>
      </c>
      <c r="Y42" s="63">
        <v>14</v>
      </c>
      <c r="Z42" s="63">
        <v>0</v>
      </c>
      <c r="AA42" s="63">
        <v>0</v>
      </c>
      <c r="AB42" s="63">
        <v>0</v>
      </c>
      <c r="AC42" s="63">
        <v>0</v>
      </c>
      <c r="AD42" s="63">
        <v>0</v>
      </c>
      <c r="AE42" s="63">
        <v>0</v>
      </c>
      <c r="AF42" s="63">
        <v>0</v>
      </c>
      <c r="AG42" s="63">
        <v>0</v>
      </c>
      <c r="AH42" s="63">
        <v>0</v>
      </c>
      <c r="AI42" s="63">
        <v>0</v>
      </c>
      <c r="AJ42" s="63">
        <v>232</v>
      </c>
      <c r="AK42" s="63">
        <v>0</v>
      </c>
      <c r="AL42" s="63" t="s">
        <v>35</v>
      </c>
      <c r="AM42" s="63" t="s">
        <v>854</v>
      </c>
      <c r="AN42" s="220" t="s">
        <v>33</v>
      </c>
      <c r="AO42" s="224"/>
      <c r="AP42" s="95" t="e">
        <f>IF(C42=VLOOKUP($A42,Feature_List!$A$2:$AO$101,MATCH(AP$1,Feature_List!$A$1:$AO$1,0),FALSE),"OK","BAD")</f>
        <v>#N/A</v>
      </c>
      <c r="AQ42" s="95" t="e">
        <f>IF(D42=VLOOKUP($A42,Feature_List!$A$2:$AO$101,MATCH(AQ$1,Feature_List!$A$1:$AO$1,0),FALSE),"OK","BAD")</f>
        <v>#N/A</v>
      </c>
      <c r="AR42" s="95" t="e">
        <f>IF(E42=VLOOKUP($A42,Feature_List!$A$2:$AO$101,MATCH(AR$1,Feature_List!$A$1:$AO$1,0),FALSE),"OK","BAD")</f>
        <v>#N/A</v>
      </c>
      <c r="AS42" s="95" t="e">
        <f>IF(F42=VLOOKUP($A42,Feature_List!$A$2:$AO$101,MATCH(AS$1,Feature_List!$A$1:$AO$1,0),FALSE),"OK","BAD")</f>
        <v>#N/A</v>
      </c>
      <c r="AT42" s="95" t="s">
        <v>985</v>
      </c>
      <c r="AU42" s="95" t="s">
        <v>985</v>
      </c>
      <c r="AV42" s="95" t="e">
        <f>IF(I42=VLOOKUP($A42,Feature_List!$A$2:$AO$101,MATCH(AV$1,Feature_List!$A$1:$AO$1,0),FALSE),"OK","BAD")</f>
        <v>#N/A</v>
      </c>
      <c r="AW42" s="95" t="e">
        <f>IF(J42=VLOOKUP($A42,Feature_List!$A$2:$AO$101,MATCH(AW$1,Feature_List!$A$1:$AO$1,0),FALSE),"OK","BAD")</f>
        <v>#N/A</v>
      </c>
      <c r="AX42" s="95" t="e">
        <f>IF(K42=VLOOKUP($A42,Feature_List!$A$2:$AO$101,MATCH(AX$1,Feature_List!$A$1:$AO$1,0),FALSE),"OK","BAD")</f>
        <v>#N/A</v>
      </c>
      <c r="AY42" s="95" t="e">
        <f>IF(L42=VLOOKUP($A42,Feature_List!$A$2:$AO$101,MATCH(AY$1,Feature_List!$A$1:$AO$1,0),FALSE),"OK","BAD")</f>
        <v>#N/A</v>
      </c>
      <c r="AZ42" s="95" t="e">
        <f>IF(M42=VLOOKUP($A42,Feature_List!$A$2:$AO$101,MATCH(AZ$1,Feature_List!$A$1:$AO$1,0),FALSE),"OK","BAD")</f>
        <v>#N/A</v>
      </c>
      <c r="BA42" s="95" t="e">
        <f>IF(N42=VLOOKUP($A42,Feature_List!$A$2:$AO$101,MATCH(BA$1,Feature_List!$A$1:$AO$1,0),FALSE),"OK","BAD")</f>
        <v>#N/A</v>
      </c>
      <c r="BB42" s="95" t="e">
        <f>IF(O42=VLOOKUP($A42,Feature_List!$A$2:$AO$101,MATCH(BB$1,Feature_List!$A$1:$AO$1,0),FALSE),"OK","BAD")</f>
        <v>#N/A</v>
      </c>
      <c r="BC42" s="95" t="e">
        <f>IF(P42=VLOOKUP($A42,Feature_List!$A$2:$AO$101,MATCH(BC$1,Feature_List!$A$1:$AO$1,0),FALSE),"OK","BAD")</f>
        <v>#N/A</v>
      </c>
      <c r="BD42" s="95" t="e">
        <f>IF(Q42=VLOOKUP($A42,Feature_List!$A$2:$AO$101,MATCH(BD$1,Feature_List!$A$1:$AO$1,0),FALSE),"OK","BAD")</f>
        <v>#N/A</v>
      </c>
      <c r="BE42" s="95" t="e">
        <f>IF(R42=VLOOKUP($A42,Feature_List!$A$2:$AO$101,MATCH(BE$1,Feature_List!$A$1:$AO$1,0),FALSE),"OK","BAD")</f>
        <v>#N/A</v>
      </c>
      <c r="BF42" s="95" t="e">
        <f>IF(S42=VLOOKUP($A42,Feature_List!$A$2:$AO$101,MATCH(BF$1,Feature_List!$A$1:$AO$1,0),FALSE),"OK","BAD")</f>
        <v>#N/A</v>
      </c>
      <c r="BG42" s="95" t="e">
        <f>IF(T42=VLOOKUP($A42,Feature_List!$A$2:$AO$101,MATCH(BG$1,Feature_List!$A$1:$AO$1,0),FALSE),"OK","BAD")</f>
        <v>#N/A</v>
      </c>
      <c r="BH42" s="95" t="e">
        <f>IF(U42=VLOOKUP($A42,Feature_List!$A$2:$AO$101,MATCH(BH$1,Feature_List!$A$1:$AO$1,0),FALSE),"OK","BAD")</f>
        <v>#N/A</v>
      </c>
      <c r="BI42" s="95" t="e">
        <f>IF(V42=VLOOKUP($A42,Feature_List!$A$2:$AO$101,MATCH(BI$1,Feature_List!$A$1:$AO$1,0),FALSE),"OK","BAD")</f>
        <v>#N/A</v>
      </c>
      <c r="BJ42" s="95" t="e">
        <f>IF(W42=VLOOKUP($A42,Feature_List!$A$2:$AO$101,MATCH(BJ$1,Feature_List!$A$1:$AO$1,0),FALSE),"OK","BAD")</f>
        <v>#N/A</v>
      </c>
      <c r="BK42" s="95" t="e">
        <f>IF(X42=VLOOKUP($A42,Feature_List!$A$2:$AO$101,MATCH(BK$1,Feature_List!$A$1:$AO$1,0),FALSE),"OK","BAD")</f>
        <v>#N/A</v>
      </c>
      <c r="BL42" s="95" t="e">
        <f>IF(Y42=VLOOKUP($A42,Feature_List!$A$2:$AO$101,MATCH(BL$1,Feature_List!$A$1:$AO$1,0),FALSE),"OK","BAD")</f>
        <v>#N/A</v>
      </c>
      <c r="BM42" s="95" t="e">
        <f>IF(Z42=VLOOKUP($A42,Feature_List!$A$2:$AO$101,MATCH(BM$1,Feature_List!$A$1:$AO$1,0),FALSE),"OK","BAD")</f>
        <v>#N/A</v>
      </c>
      <c r="BN42" s="95" t="e">
        <f>IF(AA42=VLOOKUP($A42,Feature_List!$A$2:$AO$101,MATCH(BN$1,Feature_List!$A$1:$AO$1,0),FALSE),"OK","BAD")</f>
        <v>#N/A</v>
      </c>
      <c r="BO42" s="95" t="e">
        <f>IF(AB42=VLOOKUP($A42,Feature_List!$A$2:$AO$101,MATCH(BO$1,Feature_List!$A$1:$AO$1,0),FALSE),"OK","BAD")</f>
        <v>#N/A</v>
      </c>
      <c r="BP42" s="95" t="e">
        <f>IF(AC42=VLOOKUP($A42,Feature_List!$A$2:$AO$101,MATCH(BP$1,Feature_List!$A$1:$AO$1,0),FALSE),"OK","BAD")</f>
        <v>#N/A</v>
      </c>
      <c r="BQ42" s="95" t="e">
        <f>IF(AD42=VLOOKUP($A42,Feature_List!$A$2:$AO$101,MATCH(BQ$1,Feature_List!$A$1:$AO$1,0),FALSE),"OK","BAD")</f>
        <v>#N/A</v>
      </c>
      <c r="BR42" s="95" t="e">
        <f>IF(AE42=VLOOKUP($A42,Feature_List!$A$2:$AO$101,MATCH(BR$1,Feature_List!$A$1:$AO$1,0),FALSE),"OK","BAD")</f>
        <v>#N/A</v>
      </c>
      <c r="BS42" s="95" t="e">
        <f>IF(AF42=VLOOKUP($A42,Feature_List!$A$2:$AO$101,MATCH(BS$1,Feature_List!$A$1:$AO$1,0),FALSE),"OK","BAD")</f>
        <v>#N/A</v>
      </c>
      <c r="BT42" s="95" t="e">
        <f>IF(AG42=VLOOKUP($A42,Feature_List!$A$2:$AO$101,MATCH(BT$1,Feature_List!$A$1:$AO$1,0),FALSE),"OK","BAD")</f>
        <v>#N/A</v>
      </c>
      <c r="BU42" s="95" t="e">
        <f>IF(AH42=VLOOKUP($A42,Feature_List!$A$2:$AO$101,MATCH(BU$1,Feature_List!$A$1:$AO$1,0),FALSE),"OK","BAD")</f>
        <v>#N/A</v>
      </c>
      <c r="BV42" s="95" t="e">
        <f>IF(AI42=VLOOKUP($A42,Feature_List!$A$2:$AO$101,MATCH(BV$1,Feature_List!$A$1:$AO$1,0),FALSE),"OK","BAD")</f>
        <v>#N/A</v>
      </c>
      <c r="BW42" s="95" t="e">
        <f>IF(AJ42=VLOOKUP($A42,Feature_List!$A$2:$AO$101,MATCH(BW$1,Feature_List!$A$1:$AO$1,0),FALSE),"OK","BAD")</f>
        <v>#N/A</v>
      </c>
      <c r="BX42" s="95" t="e">
        <f>IF(AK42=VLOOKUP($A42,Feature_List!$A$2:$AO$101,MATCH(BX$1,Feature_List!$A$1:$AO$1,0),FALSE),"OK","BAD")</f>
        <v>#N/A</v>
      </c>
      <c r="BY42" s="95" t="e">
        <f>IF(AL42=VLOOKUP($A42,Feature_List!$A$2:$AO$101,MATCH(BY$1,Feature_List!$A$1:$AO$1,0),FALSE),"OK","BAD")</f>
        <v>#N/A</v>
      </c>
      <c r="BZ42" s="95" t="e">
        <f>IF(AM42=VLOOKUP($A42,Feature_List!$A$2:$AO$101,MATCH(BZ$1,Feature_List!$A$1:$AO$1,0),FALSE),"OK","BAD")</f>
        <v>#N/A</v>
      </c>
      <c r="CA42" s="95" t="e">
        <f>IF(AN42=VLOOKUP($A42,Feature_List!$A$2:$AO$101,MATCH(CA$1,Feature_List!$A$1:$AO$1,0),FALSE),"OK","BAD")</f>
        <v>#N/A</v>
      </c>
    </row>
    <row r="43" spans="1:79" ht="14.4" customHeight="1" x14ac:dyDescent="0.3">
      <c r="A43" s="70">
        <v>388076</v>
      </c>
      <c r="B43" s="65" t="s">
        <v>888</v>
      </c>
      <c r="C43" s="98" t="s">
        <v>1531</v>
      </c>
      <c r="D43" s="65" t="s">
        <v>106</v>
      </c>
      <c r="E43" s="64">
        <v>41</v>
      </c>
      <c r="F43" s="64" t="s">
        <v>879</v>
      </c>
      <c r="G43" s="64" t="s">
        <v>1470</v>
      </c>
      <c r="H43" s="64" t="s">
        <v>1009</v>
      </c>
      <c r="I43" s="99" t="s">
        <v>979</v>
      </c>
      <c r="J43" s="64" t="s">
        <v>1412</v>
      </c>
      <c r="K43" s="64">
        <v>0</v>
      </c>
      <c r="L43" s="62" t="s">
        <v>554</v>
      </c>
      <c r="M43" s="67" t="s">
        <v>34</v>
      </c>
      <c r="N43" s="67" t="s">
        <v>55</v>
      </c>
      <c r="O43" s="67">
        <v>7</v>
      </c>
      <c r="P43" s="66" t="s">
        <v>131</v>
      </c>
      <c r="Q43" s="63">
        <v>1</v>
      </c>
      <c r="R43" s="63">
        <v>27</v>
      </c>
      <c r="S43" s="63">
        <v>0</v>
      </c>
      <c r="T43" s="63">
        <v>0</v>
      </c>
      <c r="U43" s="63">
        <v>0</v>
      </c>
      <c r="V43" s="63">
        <v>0</v>
      </c>
      <c r="W43" s="63">
        <v>0</v>
      </c>
      <c r="X43" s="63">
        <v>0</v>
      </c>
      <c r="Y43" s="63">
        <v>0</v>
      </c>
      <c r="Z43" s="63">
        <v>0</v>
      </c>
      <c r="AA43" s="63">
        <v>0</v>
      </c>
      <c r="AB43" s="63">
        <v>0</v>
      </c>
      <c r="AC43" s="63">
        <v>0</v>
      </c>
      <c r="AD43" s="63">
        <v>0</v>
      </c>
      <c r="AE43" s="63">
        <v>0</v>
      </c>
      <c r="AF43" s="63">
        <v>0</v>
      </c>
      <c r="AG43" s="63">
        <v>14</v>
      </c>
      <c r="AH43" s="63">
        <v>0</v>
      </c>
      <c r="AI43" s="63">
        <v>0</v>
      </c>
      <c r="AJ43" s="63">
        <v>14</v>
      </c>
      <c r="AK43" s="63">
        <v>0</v>
      </c>
      <c r="AL43" s="63" t="s">
        <v>35</v>
      </c>
      <c r="AM43" s="63" t="s">
        <v>36</v>
      </c>
      <c r="AN43" s="220" t="s">
        <v>33</v>
      </c>
      <c r="AO43" s="224"/>
      <c r="AP43" s="95" t="e">
        <f>IF(C43=VLOOKUP($A43,Feature_List!$A$2:$AO$101,MATCH(AP$1,Feature_List!$A$1:$AO$1,0),FALSE),"OK","BAD")</f>
        <v>#N/A</v>
      </c>
      <c r="AQ43" s="95" t="e">
        <f>IF(D43=VLOOKUP($A43,Feature_List!$A$2:$AO$101,MATCH(AQ$1,Feature_List!$A$1:$AO$1,0),FALSE),"OK","BAD")</f>
        <v>#N/A</v>
      </c>
      <c r="AR43" s="95" t="e">
        <f>IF(E43=VLOOKUP($A43,Feature_List!$A$2:$AO$101,MATCH(AR$1,Feature_List!$A$1:$AO$1,0),FALSE),"OK","BAD")</f>
        <v>#N/A</v>
      </c>
      <c r="AS43" s="95" t="e">
        <f>IF(F43=VLOOKUP($A43,Feature_List!$A$2:$AO$101,MATCH(AS$1,Feature_List!$A$1:$AO$1,0),FALSE),"OK","BAD")</f>
        <v>#N/A</v>
      </c>
      <c r="AT43" s="95" t="s">
        <v>985</v>
      </c>
      <c r="AU43" s="95" t="s">
        <v>985</v>
      </c>
      <c r="AV43" s="95" t="e">
        <f>IF(I43=VLOOKUP($A43,Feature_List!$A$2:$AO$101,MATCH(AV$1,Feature_List!$A$1:$AO$1,0),FALSE),"OK","BAD")</f>
        <v>#N/A</v>
      </c>
      <c r="AW43" s="95" t="e">
        <f>IF(J43=VLOOKUP($A43,Feature_List!$A$2:$AO$101,MATCH(AW$1,Feature_List!$A$1:$AO$1,0),FALSE),"OK","BAD")</f>
        <v>#N/A</v>
      </c>
      <c r="AX43" s="95" t="e">
        <f>IF(K43=VLOOKUP($A43,Feature_List!$A$2:$AO$101,MATCH(AX$1,Feature_List!$A$1:$AO$1,0),FALSE),"OK","BAD")</f>
        <v>#N/A</v>
      </c>
      <c r="AY43" s="95" t="e">
        <f>IF(L43=VLOOKUP($A43,Feature_List!$A$2:$AO$101,MATCH(AY$1,Feature_List!$A$1:$AO$1,0),FALSE),"OK","BAD")</f>
        <v>#N/A</v>
      </c>
      <c r="AZ43" s="95" t="e">
        <f>IF(M43=VLOOKUP($A43,Feature_List!$A$2:$AO$101,MATCH(AZ$1,Feature_List!$A$1:$AO$1,0),FALSE),"OK","BAD")</f>
        <v>#N/A</v>
      </c>
      <c r="BA43" s="95" t="e">
        <f>IF(N43=VLOOKUP($A43,Feature_List!$A$2:$AO$101,MATCH(BA$1,Feature_List!$A$1:$AO$1,0),FALSE),"OK","BAD")</f>
        <v>#N/A</v>
      </c>
      <c r="BB43" s="95" t="e">
        <f>IF(O43=VLOOKUP($A43,Feature_List!$A$2:$AO$101,MATCH(BB$1,Feature_List!$A$1:$AO$1,0),FALSE),"OK","BAD")</f>
        <v>#N/A</v>
      </c>
      <c r="BC43" s="95" t="e">
        <f>IF(P43=VLOOKUP($A43,Feature_List!$A$2:$AO$101,MATCH(BC$1,Feature_List!$A$1:$AO$1,0),FALSE),"OK","BAD")</f>
        <v>#N/A</v>
      </c>
      <c r="BD43" s="95" t="e">
        <f>IF(Q43=VLOOKUP($A43,Feature_List!$A$2:$AO$101,MATCH(BD$1,Feature_List!$A$1:$AO$1,0),FALSE),"OK","BAD")</f>
        <v>#N/A</v>
      </c>
      <c r="BE43" s="95" t="e">
        <f>IF(R43=VLOOKUP($A43,Feature_List!$A$2:$AO$101,MATCH(BE$1,Feature_List!$A$1:$AO$1,0),FALSE),"OK","BAD")</f>
        <v>#N/A</v>
      </c>
      <c r="BF43" s="95" t="e">
        <f>IF(S43=VLOOKUP($A43,Feature_List!$A$2:$AO$101,MATCH(BF$1,Feature_List!$A$1:$AO$1,0),FALSE),"OK","BAD")</f>
        <v>#N/A</v>
      </c>
      <c r="BG43" s="95" t="e">
        <f>IF(T43=VLOOKUP($A43,Feature_List!$A$2:$AO$101,MATCH(BG$1,Feature_List!$A$1:$AO$1,0),FALSE),"OK","BAD")</f>
        <v>#N/A</v>
      </c>
      <c r="BH43" s="95" t="e">
        <f>IF(U43=VLOOKUP($A43,Feature_List!$A$2:$AO$101,MATCH(BH$1,Feature_List!$A$1:$AO$1,0),FALSE),"OK","BAD")</f>
        <v>#N/A</v>
      </c>
      <c r="BI43" s="95" t="e">
        <f>IF(V43=VLOOKUP($A43,Feature_List!$A$2:$AO$101,MATCH(BI$1,Feature_List!$A$1:$AO$1,0),FALSE),"OK","BAD")</f>
        <v>#N/A</v>
      </c>
      <c r="BJ43" s="95" t="e">
        <f>IF(W43=VLOOKUP($A43,Feature_List!$A$2:$AO$101,MATCH(BJ$1,Feature_List!$A$1:$AO$1,0),FALSE),"OK","BAD")</f>
        <v>#N/A</v>
      </c>
      <c r="BK43" s="95" t="e">
        <f>IF(X43=VLOOKUP($A43,Feature_List!$A$2:$AO$101,MATCH(BK$1,Feature_List!$A$1:$AO$1,0),FALSE),"OK","BAD")</f>
        <v>#N/A</v>
      </c>
      <c r="BL43" s="95" t="e">
        <f>IF(Y43=VLOOKUP($A43,Feature_List!$A$2:$AO$101,MATCH(BL$1,Feature_List!$A$1:$AO$1,0),FALSE),"OK","BAD")</f>
        <v>#N/A</v>
      </c>
      <c r="BM43" s="95" t="e">
        <f>IF(Z43=VLOOKUP($A43,Feature_List!$A$2:$AO$101,MATCH(BM$1,Feature_List!$A$1:$AO$1,0),FALSE),"OK","BAD")</f>
        <v>#N/A</v>
      </c>
      <c r="BN43" s="95" t="e">
        <f>IF(AA43=VLOOKUP($A43,Feature_List!$A$2:$AO$101,MATCH(BN$1,Feature_List!$A$1:$AO$1,0),FALSE),"OK","BAD")</f>
        <v>#N/A</v>
      </c>
      <c r="BO43" s="95" t="e">
        <f>IF(AB43=VLOOKUP($A43,Feature_List!$A$2:$AO$101,MATCH(BO$1,Feature_List!$A$1:$AO$1,0),FALSE),"OK","BAD")</f>
        <v>#N/A</v>
      </c>
      <c r="BP43" s="95" t="e">
        <f>IF(AC43=VLOOKUP($A43,Feature_List!$A$2:$AO$101,MATCH(BP$1,Feature_List!$A$1:$AO$1,0),FALSE),"OK","BAD")</f>
        <v>#N/A</v>
      </c>
      <c r="BQ43" s="95" t="e">
        <f>IF(AD43=VLOOKUP($A43,Feature_List!$A$2:$AO$101,MATCH(BQ$1,Feature_List!$A$1:$AO$1,0),FALSE),"OK","BAD")</f>
        <v>#N/A</v>
      </c>
      <c r="BR43" s="95" t="e">
        <f>IF(AE43=VLOOKUP($A43,Feature_List!$A$2:$AO$101,MATCH(BR$1,Feature_List!$A$1:$AO$1,0),FALSE),"OK","BAD")</f>
        <v>#N/A</v>
      </c>
      <c r="BS43" s="95" t="e">
        <f>IF(AF43=VLOOKUP($A43,Feature_List!$A$2:$AO$101,MATCH(BS$1,Feature_List!$A$1:$AO$1,0),FALSE),"OK","BAD")</f>
        <v>#N/A</v>
      </c>
      <c r="BT43" s="95" t="e">
        <f>IF(AG43=VLOOKUP($A43,Feature_List!$A$2:$AO$101,MATCH(BT$1,Feature_List!$A$1:$AO$1,0),FALSE),"OK","BAD")</f>
        <v>#N/A</v>
      </c>
      <c r="BU43" s="95" t="e">
        <f>IF(AH43=VLOOKUP($A43,Feature_List!$A$2:$AO$101,MATCH(BU$1,Feature_List!$A$1:$AO$1,0),FALSE),"OK","BAD")</f>
        <v>#N/A</v>
      </c>
      <c r="BV43" s="95" t="e">
        <f>IF(AI43=VLOOKUP($A43,Feature_List!$A$2:$AO$101,MATCH(BV$1,Feature_List!$A$1:$AO$1,0),FALSE),"OK","BAD")</f>
        <v>#N/A</v>
      </c>
      <c r="BW43" s="95" t="e">
        <f>IF(AJ43=VLOOKUP($A43,Feature_List!$A$2:$AO$101,MATCH(BW$1,Feature_List!$A$1:$AO$1,0),FALSE),"OK","BAD")</f>
        <v>#N/A</v>
      </c>
      <c r="BX43" s="95" t="e">
        <f>IF(AK43=VLOOKUP($A43,Feature_List!$A$2:$AO$101,MATCH(BX$1,Feature_List!$A$1:$AO$1,0),FALSE),"OK","BAD")</f>
        <v>#N/A</v>
      </c>
      <c r="BY43" s="95" t="e">
        <f>IF(AL43=VLOOKUP($A43,Feature_List!$A$2:$AO$101,MATCH(BY$1,Feature_List!$A$1:$AO$1,0),FALSE),"OK","BAD")</f>
        <v>#N/A</v>
      </c>
      <c r="BZ43" s="95" t="e">
        <f>IF(AM43=VLOOKUP($A43,Feature_List!$A$2:$AO$101,MATCH(BZ$1,Feature_List!$A$1:$AO$1,0),FALSE),"OK","BAD")</f>
        <v>#N/A</v>
      </c>
      <c r="CA43" s="95" t="e">
        <f>IF(AN43=VLOOKUP($A43,Feature_List!$A$2:$AO$101,MATCH(CA$1,Feature_List!$A$1:$AO$1,0),FALSE),"OK","BAD")</f>
        <v>#N/A</v>
      </c>
    </row>
    <row r="44" spans="1:79" ht="14.4" customHeight="1" x14ac:dyDescent="0.3">
      <c r="A44" s="70">
        <v>388053</v>
      </c>
      <c r="B44" s="65" t="s">
        <v>887</v>
      </c>
      <c r="C44" s="98" t="s">
        <v>1145</v>
      </c>
      <c r="D44" s="65" t="s">
        <v>28</v>
      </c>
      <c r="E44" s="64">
        <v>79</v>
      </c>
      <c r="F44" s="64" t="s">
        <v>41</v>
      </c>
      <c r="G44" s="64" t="s">
        <v>1471</v>
      </c>
      <c r="H44" s="64" t="s">
        <v>1575</v>
      </c>
      <c r="I44" s="99" t="s">
        <v>38</v>
      </c>
      <c r="J44" s="64" t="s">
        <v>1412</v>
      </c>
      <c r="K44" s="64">
        <v>388154</v>
      </c>
      <c r="L44" s="62" t="s">
        <v>15</v>
      </c>
      <c r="M44" s="67" t="s">
        <v>37</v>
      </c>
      <c r="N44" s="67" t="s">
        <v>39</v>
      </c>
      <c r="O44" s="67">
        <v>0</v>
      </c>
      <c r="P44" s="66" t="s">
        <v>131</v>
      </c>
      <c r="Q44" s="63">
        <v>3</v>
      </c>
      <c r="R44" s="63">
        <v>0</v>
      </c>
      <c r="S44" s="63">
        <v>0</v>
      </c>
      <c r="T44" s="63">
        <v>5</v>
      </c>
      <c r="U44" s="63">
        <v>0</v>
      </c>
      <c r="V44" s="63">
        <v>0</v>
      </c>
      <c r="W44" s="63">
        <v>0</v>
      </c>
      <c r="X44" s="63">
        <v>0</v>
      </c>
      <c r="Y44" s="63">
        <v>0</v>
      </c>
      <c r="Z44" s="63">
        <v>0</v>
      </c>
      <c r="AA44" s="63">
        <v>0</v>
      </c>
      <c r="AB44" s="63">
        <v>30</v>
      </c>
      <c r="AC44" s="63">
        <v>44</v>
      </c>
      <c r="AD44" s="63">
        <v>0</v>
      </c>
      <c r="AE44" s="63">
        <v>0</v>
      </c>
      <c r="AF44" s="63">
        <v>0</v>
      </c>
      <c r="AG44" s="63">
        <v>0</v>
      </c>
      <c r="AH44" s="63">
        <v>0</v>
      </c>
      <c r="AI44" s="63">
        <v>0</v>
      </c>
      <c r="AJ44" s="63">
        <v>79</v>
      </c>
      <c r="AK44" s="63">
        <v>0</v>
      </c>
      <c r="AL44" s="63" t="s">
        <v>35</v>
      </c>
      <c r="AM44" s="63" t="s">
        <v>854</v>
      </c>
      <c r="AN44" s="220" t="s">
        <v>40</v>
      </c>
      <c r="AO44" s="224"/>
      <c r="AP44" s="95" t="str">
        <f>IF(C44=VLOOKUP($A44,Feature_List!$A$2:$AO$101,MATCH(AP$1,Feature_List!$A$1:$AO$1,0),FALSE),"OK","BAD")</f>
        <v>BAD</v>
      </c>
      <c r="AQ44" s="95" t="str">
        <f>IF(D44=VLOOKUP($A44,Feature_List!$A$2:$AO$101,MATCH(AQ$1,Feature_List!$A$1:$AO$1,0),FALSE),"OK","BAD")</f>
        <v>BAD</v>
      </c>
      <c r="AR44" s="95" t="str">
        <f>IF(E44=VLOOKUP($A44,Feature_List!$A$2:$AO$101,MATCH(AR$1,Feature_List!$A$1:$AO$1,0),FALSE),"OK","BAD")</f>
        <v>BAD</v>
      </c>
      <c r="AS44" s="95" t="str">
        <f>IF(F44=VLOOKUP($A44,Feature_List!$A$2:$AO$101,MATCH(AS$1,Feature_List!$A$1:$AO$1,0),FALSE),"OK","BAD")</f>
        <v>OK</v>
      </c>
      <c r="AT44" s="95" t="s">
        <v>985</v>
      </c>
      <c r="AU44" s="95" t="s">
        <v>985</v>
      </c>
      <c r="AV44" s="95" t="str">
        <f>IF(I44=VLOOKUP($A44,Feature_List!$A$2:$AO$101,MATCH(AV$1,Feature_List!$A$1:$AO$1,0),FALSE),"OK","BAD")</f>
        <v>OK</v>
      </c>
      <c r="AW44" s="95" t="str">
        <f>IF(J44=VLOOKUP($A44,Feature_List!$A$2:$AO$101,MATCH(AW$1,Feature_List!$A$1:$AO$1,0),FALSE),"OK","BAD")</f>
        <v>OK</v>
      </c>
      <c r="AX44" s="95" t="str">
        <f>IF(K44=VLOOKUP($A44,Feature_List!$A$2:$AO$101,MATCH(AX$1,Feature_List!$A$1:$AO$1,0),FALSE),"OK","BAD")</f>
        <v>OK</v>
      </c>
      <c r="AY44" s="95" t="str">
        <f>IF(L44=VLOOKUP($A44,Feature_List!$A$2:$AO$101,MATCH(AY$1,Feature_List!$A$1:$AO$1,0),FALSE),"OK","BAD")</f>
        <v>OK</v>
      </c>
      <c r="AZ44" s="95" t="str">
        <f>IF(M44=VLOOKUP($A44,Feature_List!$A$2:$AO$101,MATCH(AZ$1,Feature_List!$A$1:$AO$1,0),FALSE),"OK","BAD")</f>
        <v>OK</v>
      </c>
      <c r="BA44" s="95" t="str">
        <f>IF(N44=VLOOKUP($A44,Feature_List!$A$2:$AO$101,MATCH(BA$1,Feature_List!$A$1:$AO$1,0),FALSE),"OK","BAD")</f>
        <v>OK</v>
      </c>
      <c r="BB44" s="95" t="str">
        <f>IF(O44=VLOOKUP($A44,Feature_List!$A$2:$AO$101,MATCH(BB$1,Feature_List!$A$1:$AO$1,0),FALSE),"OK","BAD")</f>
        <v>OK</v>
      </c>
      <c r="BC44" s="95" t="e">
        <f>IF(P44=VLOOKUP($A44,Feature_List!$A$2:$AO$101,MATCH(BC$1,Feature_List!$A$1:$AO$1,0),FALSE),"OK","BAD")</f>
        <v>#N/A</v>
      </c>
      <c r="BD44" s="95" t="str">
        <f>IF(Q44=VLOOKUP($A44,Feature_List!$A$2:$AO$101,MATCH(BD$1,Feature_List!$A$1:$AO$1,0),FALSE),"OK","BAD")</f>
        <v>BAD</v>
      </c>
      <c r="BE44" s="95" t="str">
        <f>IF(R44=VLOOKUP($A44,Feature_List!$A$2:$AO$101,MATCH(BE$1,Feature_List!$A$1:$AO$1,0),FALSE),"OK","BAD")</f>
        <v>BAD</v>
      </c>
      <c r="BF44" s="95" t="str">
        <f>IF(S44=VLOOKUP($A44,Feature_List!$A$2:$AO$101,MATCH(BF$1,Feature_List!$A$1:$AO$1,0),FALSE),"OK","BAD")</f>
        <v>OK</v>
      </c>
      <c r="BG44" s="95" t="str">
        <f>IF(T44=VLOOKUP($A44,Feature_List!$A$2:$AO$101,MATCH(BG$1,Feature_List!$A$1:$AO$1,0),FALSE),"OK","BAD")</f>
        <v>BAD</v>
      </c>
      <c r="BH44" s="95" t="str">
        <f>IF(U44=VLOOKUP($A44,Feature_List!$A$2:$AO$101,MATCH(BH$1,Feature_List!$A$1:$AO$1,0),FALSE),"OK","BAD")</f>
        <v>OK</v>
      </c>
      <c r="BI44" s="95" t="str">
        <f>IF(V44=VLOOKUP($A44,Feature_List!$A$2:$AO$101,MATCH(BI$1,Feature_List!$A$1:$AO$1,0),FALSE),"OK","BAD")</f>
        <v>OK</v>
      </c>
      <c r="BJ44" s="95" t="e">
        <f>IF(W44=VLOOKUP($A44,Feature_List!$A$2:$AO$101,MATCH(BJ$1,Feature_List!$A$1:$AO$1,0),FALSE),"OK","BAD")</f>
        <v>#N/A</v>
      </c>
      <c r="BK44" s="95" t="str">
        <f>IF(X44=VLOOKUP($A44,Feature_List!$A$2:$AO$101,MATCH(BK$1,Feature_List!$A$1:$AO$1,0),FALSE),"OK","BAD")</f>
        <v>OK</v>
      </c>
      <c r="BL44" s="95" t="str">
        <f>IF(Y44=VLOOKUP($A44,Feature_List!$A$2:$AO$101,MATCH(BL$1,Feature_List!$A$1:$AO$1,0),FALSE),"OK","BAD")</f>
        <v>OK</v>
      </c>
      <c r="BM44" s="95" t="str">
        <f>IF(Z44=VLOOKUP($A44,Feature_List!$A$2:$AO$101,MATCH(BM$1,Feature_List!$A$1:$AO$1,0),FALSE),"OK","BAD")</f>
        <v>OK</v>
      </c>
      <c r="BN44" s="95" t="str">
        <f>IF(AA44=VLOOKUP($A44,Feature_List!$A$2:$AO$101,MATCH(BN$1,Feature_List!$A$1:$AO$1,0),FALSE),"OK","BAD")</f>
        <v>OK</v>
      </c>
      <c r="BO44" s="95" t="str">
        <f>IF(AB44=VLOOKUP($A44,Feature_List!$A$2:$AO$101,MATCH(BO$1,Feature_List!$A$1:$AO$1,0),FALSE),"OK","BAD")</f>
        <v>BAD</v>
      </c>
      <c r="BP44" s="95" t="str">
        <f>IF(AC44=VLOOKUP($A44,Feature_List!$A$2:$AO$101,MATCH(BP$1,Feature_List!$A$1:$AO$1,0),FALSE),"OK","BAD")</f>
        <v>BAD</v>
      </c>
      <c r="BQ44" s="95" t="str">
        <f>IF(AD44=VLOOKUP($A44,Feature_List!$A$2:$AO$101,MATCH(BQ$1,Feature_List!$A$1:$AO$1,0),FALSE),"OK","BAD")</f>
        <v>OK</v>
      </c>
      <c r="BR44" s="95" t="str">
        <f>IF(AE44=VLOOKUP($A44,Feature_List!$A$2:$AO$101,MATCH(BR$1,Feature_List!$A$1:$AO$1,0),FALSE),"OK","BAD")</f>
        <v>OK</v>
      </c>
      <c r="BS44" s="95" t="str">
        <f>IF(AF44=VLOOKUP($A44,Feature_List!$A$2:$AO$101,MATCH(BS$1,Feature_List!$A$1:$AO$1,0),FALSE),"OK","BAD")</f>
        <v>OK</v>
      </c>
      <c r="BT44" s="95" t="str">
        <f>IF(AG44=VLOOKUP($A44,Feature_List!$A$2:$AO$101,MATCH(BT$1,Feature_List!$A$1:$AO$1,0),FALSE),"OK","BAD")</f>
        <v>OK</v>
      </c>
      <c r="BU44" s="95" t="str">
        <f>IF(AH44=VLOOKUP($A44,Feature_List!$A$2:$AO$101,MATCH(BU$1,Feature_List!$A$1:$AO$1,0),FALSE),"OK","BAD")</f>
        <v>OK</v>
      </c>
      <c r="BV44" s="95" t="e">
        <f>IF(AI44=VLOOKUP($A44,Feature_List!$A$2:$AO$101,MATCH(BV$1,Feature_List!$A$1:$AO$1,0),FALSE),"OK","BAD")</f>
        <v>#N/A</v>
      </c>
      <c r="BW44" s="95" t="e">
        <f>IF(AJ44=VLOOKUP($A44,Feature_List!$A$2:$AO$101,MATCH(BW$1,Feature_List!$A$1:$AO$1,0),FALSE),"OK","BAD")</f>
        <v>#N/A</v>
      </c>
      <c r="BX44" s="95" t="e">
        <f>IF(AK44=VLOOKUP($A44,Feature_List!$A$2:$AO$101,MATCH(BX$1,Feature_List!$A$1:$AO$1,0),FALSE),"OK","BAD")</f>
        <v>#N/A</v>
      </c>
      <c r="BY44" s="95" t="str">
        <f>IF(AL44=VLOOKUP($A44,Feature_List!$A$2:$AO$101,MATCH(BY$1,Feature_List!$A$1:$AO$1,0),FALSE),"OK","BAD")</f>
        <v>OK</v>
      </c>
      <c r="BZ44" s="95" t="str">
        <f>IF(AM44=VLOOKUP($A44,Feature_List!$A$2:$AO$101,MATCH(BZ$1,Feature_List!$A$1:$AO$1,0),FALSE),"OK","BAD")</f>
        <v>OK</v>
      </c>
      <c r="CA44" s="95" t="str">
        <f>IF(AN44=VLOOKUP($A44,Feature_List!$A$2:$AO$101,MATCH(CA$1,Feature_List!$A$1:$AO$1,0),FALSE),"OK","BAD")</f>
        <v>BAD</v>
      </c>
    </row>
    <row r="45" spans="1:79" ht="14.4" customHeight="1" x14ac:dyDescent="0.3">
      <c r="A45" s="53">
        <v>388004</v>
      </c>
      <c r="B45" s="102" t="s">
        <v>941</v>
      </c>
      <c r="C45" s="31" t="s">
        <v>1143</v>
      </c>
      <c r="D45" s="31" t="s">
        <v>106</v>
      </c>
      <c r="E45" s="31">
        <v>104</v>
      </c>
      <c r="F45" s="30" t="s">
        <v>879</v>
      </c>
      <c r="G45" s="30" t="s">
        <v>958</v>
      </c>
      <c r="H45" s="30" t="s">
        <v>935</v>
      </c>
      <c r="I45" s="65" t="s">
        <v>38</v>
      </c>
      <c r="J45" s="65" t="s">
        <v>1412</v>
      </c>
      <c r="K45" s="65">
        <v>249368</v>
      </c>
      <c r="L45" s="62" t="s">
        <v>15</v>
      </c>
      <c r="M45" s="32" t="s">
        <v>644</v>
      </c>
      <c r="N45" s="34" t="s">
        <v>36</v>
      </c>
      <c r="O45" s="34">
        <v>0</v>
      </c>
      <c r="P45" s="34" t="s">
        <v>940</v>
      </c>
      <c r="Q45" s="54">
        <v>4</v>
      </c>
      <c r="R45" s="34">
        <v>75</v>
      </c>
      <c r="S45" s="54">
        <v>0</v>
      </c>
      <c r="T45" s="54">
        <v>0</v>
      </c>
      <c r="U45" s="54">
        <v>0</v>
      </c>
      <c r="V45" s="54">
        <v>0</v>
      </c>
      <c r="W45" s="54">
        <v>0</v>
      </c>
      <c r="X45" s="54">
        <v>1</v>
      </c>
      <c r="Y45" s="54">
        <v>0</v>
      </c>
      <c r="Z45" s="54">
        <v>1</v>
      </c>
      <c r="AA45" s="54">
        <v>0</v>
      </c>
      <c r="AB45" s="54">
        <v>21</v>
      </c>
      <c r="AC45" s="54">
        <v>0</v>
      </c>
      <c r="AD45" s="54">
        <v>0</v>
      </c>
      <c r="AE45" s="54">
        <v>0</v>
      </c>
      <c r="AF45" s="54">
        <v>0</v>
      </c>
      <c r="AG45" s="54">
        <v>6</v>
      </c>
      <c r="AH45" s="54">
        <v>0</v>
      </c>
      <c r="AI45" s="54">
        <v>0</v>
      </c>
      <c r="AJ45" s="54">
        <v>29</v>
      </c>
      <c r="AK45" s="54">
        <v>0</v>
      </c>
      <c r="AL45" s="54" t="s">
        <v>35</v>
      </c>
      <c r="AM45" s="54" t="s">
        <v>854</v>
      </c>
      <c r="AN45" s="221" t="s">
        <v>33</v>
      </c>
      <c r="AO45" s="224"/>
      <c r="AP45" s="95" t="e">
        <f>IF(C45=VLOOKUP($A45,Feature_List!$A$2:$AO$101,MATCH(AP$1,Feature_List!$A$1:$AO$1,0),FALSE),"OK","BAD")</f>
        <v>#N/A</v>
      </c>
      <c r="AQ45" s="95" t="e">
        <f>IF(D45=VLOOKUP($A45,Feature_List!$A$2:$AO$101,MATCH(AQ$1,Feature_List!$A$1:$AO$1,0),FALSE),"OK","BAD")</f>
        <v>#N/A</v>
      </c>
      <c r="AR45" s="95" t="e">
        <f>IF(E45=VLOOKUP($A45,Feature_List!$A$2:$AO$101,MATCH(AR$1,Feature_List!$A$1:$AO$1,0),FALSE),"OK","BAD")</f>
        <v>#N/A</v>
      </c>
      <c r="AS45" s="95" t="e">
        <f>IF(F45=VLOOKUP($A45,Feature_List!$A$2:$AO$101,MATCH(AS$1,Feature_List!$A$1:$AO$1,0),FALSE),"OK","BAD")</f>
        <v>#N/A</v>
      </c>
      <c r="AT45" s="95" t="s">
        <v>985</v>
      </c>
      <c r="AU45" s="95" t="s">
        <v>985</v>
      </c>
      <c r="AV45" s="95" t="e">
        <f>IF(I45=VLOOKUP($A45,Feature_List!$A$2:$AO$101,MATCH(AV$1,Feature_List!$A$1:$AO$1,0),FALSE),"OK","BAD")</f>
        <v>#N/A</v>
      </c>
      <c r="AW45" s="95" t="e">
        <f>IF(J45=VLOOKUP($A45,Feature_List!$A$2:$AO$101,MATCH(AW$1,Feature_List!$A$1:$AO$1,0),FALSE),"OK","BAD")</f>
        <v>#N/A</v>
      </c>
      <c r="AX45" s="95" t="e">
        <f>IF(K45=VLOOKUP($A45,Feature_List!$A$2:$AO$101,MATCH(AX$1,Feature_List!$A$1:$AO$1,0),FALSE),"OK","BAD")</f>
        <v>#N/A</v>
      </c>
      <c r="AY45" s="95" t="e">
        <f>IF(L45=VLOOKUP($A45,Feature_List!$A$2:$AO$101,MATCH(AY$1,Feature_List!$A$1:$AO$1,0),FALSE),"OK","BAD")</f>
        <v>#N/A</v>
      </c>
      <c r="AZ45" s="95" t="e">
        <f>IF(M45=VLOOKUP($A45,Feature_List!$A$2:$AO$101,MATCH(AZ$1,Feature_List!$A$1:$AO$1,0),FALSE),"OK","BAD")</f>
        <v>#N/A</v>
      </c>
      <c r="BA45" s="95" t="e">
        <f>IF(N45=VLOOKUP($A45,Feature_List!$A$2:$AO$101,MATCH(BA$1,Feature_List!$A$1:$AO$1,0),FALSE),"OK","BAD")</f>
        <v>#N/A</v>
      </c>
      <c r="BB45" s="95" t="e">
        <f>IF(O45=VLOOKUP($A45,Feature_List!$A$2:$AO$101,MATCH(BB$1,Feature_List!$A$1:$AO$1,0),FALSE),"OK","BAD")</f>
        <v>#N/A</v>
      </c>
      <c r="BC45" s="95" t="e">
        <f>IF(P45=VLOOKUP($A45,Feature_List!$A$2:$AO$101,MATCH(BC$1,Feature_List!$A$1:$AO$1,0),FALSE),"OK","BAD")</f>
        <v>#N/A</v>
      </c>
      <c r="BD45" s="95" t="e">
        <f>IF(Q45=VLOOKUP($A45,Feature_List!$A$2:$AO$101,MATCH(BD$1,Feature_List!$A$1:$AO$1,0),FALSE),"OK","BAD")</f>
        <v>#N/A</v>
      </c>
      <c r="BE45" s="95" t="e">
        <f>IF(R45=VLOOKUP($A45,Feature_List!$A$2:$AO$101,MATCH(BE$1,Feature_List!$A$1:$AO$1,0),FALSE),"OK","BAD")</f>
        <v>#N/A</v>
      </c>
      <c r="BF45" s="95" t="e">
        <f>IF(S45=VLOOKUP($A45,Feature_List!$A$2:$AO$101,MATCH(BF$1,Feature_List!$A$1:$AO$1,0),FALSE),"OK","BAD")</f>
        <v>#N/A</v>
      </c>
      <c r="BG45" s="95" t="e">
        <f>IF(T45=VLOOKUP($A45,Feature_List!$A$2:$AO$101,MATCH(BG$1,Feature_List!$A$1:$AO$1,0),FALSE),"OK","BAD")</f>
        <v>#N/A</v>
      </c>
      <c r="BH45" s="95" t="e">
        <f>IF(U45=VLOOKUP($A45,Feature_List!$A$2:$AO$101,MATCH(BH$1,Feature_List!$A$1:$AO$1,0),FALSE),"OK","BAD")</f>
        <v>#N/A</v>
      </c>
      <c r="BI45" s="95" t="e">
        <f>IF(V45=VLOOKUP($A45,Feature_List!$A$2:$AO$101,MATCH(BI$1,Feature_List!$A$1:$AO$1,0),FALSE),"OK","BAD")</f>
        <v>#N/A</v>
      </c>
      <c r="BJ45" s="95" t="e">
        <f>IF(W45=VLOOKUP($A45,Feature_List!$A$2:$AO$101,MATCH(BJ$1,Feature_List!$A$1:$AO$1,0),FALSE),"OK","BAD")</f>
        <v>#N/A</v>
      </c>
      <c r="BK45" s="95" t="e">
        <f>IF(X45=VLOOKUP($A45,Feature_List!$A$2:$AO$101,MATCH(BK$1,Feature_List!$A$1:$AO$1,0),FALSE),"OK","BAD")</f>
        <v>#N/A</v>
      </c>
      <c r="BL45" s="95" t="e">
        <f>IF(Y45=VLOOKUP($A45,Feature_List!$A$2:$AO$101,MATCH(BL$1,Feature_List!$A$1:$AO$1,0),FALSE),"OK","BAD")</f>
        <v>#N/A</v>
      </c>
      <c r="BM45" s="95" t="e">
        <f>IF(Z45=VLOOKUP($A45,Feature_List!$A$2:$AO$101,MATCH(BM$1,Feature_List!$A$1:$AO$1,0),FALSE),"OK","BAD")</f>
        <v>#N/A</v>
      </c>
      <c r="BN45" s="95" t="e">
        <f>IF(AA45=VLOOKUP($A45,Feature_List!$A$2:$AO$101,MATCH(BN$1,Feature_List!$A$1:$AO$1,0),FALSE),"OK","BAD")</f>
        <v>#N/A</v>
      </c>
      <c r="BO45" s="95" t="e">
        <f>IF(AB45=VLOOKUP($A45,Feature_List!$A$2:$AO$101,MATCH(BO$1,Feature_List!$A$1:$AO$1,0),FALSE),"OK","BAD")</f>
        <v>#N/A</v>
      </c>
      <c r="BP45" s="95" t="e">
        <f>IF(AC45=VLOOKUP($A45,Feature_List!$A$2:$AO$101,MATCH(BP$1,Feature_List!$A$1:$AO$1,0),FALSE),"OK","BAD")</f>
        <v>#N/A</v>
      </c>
      <c r="BQ45" s="95" t="e">
        <f>IF(AD45=VLOOKUP($A45,Feature_List!$A$2:$AO$101,MATCH(BQ$1,Feature_List!$A$1:$AO$1,0),FALSE),"OK","BAD")</f>
        <v>#N/A</v>
      </c>
      <c r="BR45" s="95" t="e">
        <f>IF(AE45=VLOOKUP($A45,Feature_List!$A$2:$AO$101,MATCH(BR$1,Feature_List!$A$1:$AO$1,0),FALSE),"OK","BAD")</f>
        <v>#N/A</v>
      </c>
      <c r="BS45" s="95" t="e">
        <f>IF(AF45=VLOOKUP($A45,Feature_List!$A$2:$AO$101,MATCH(BS$1,Feature_List!$A$1:$AO$1,0),FALSE),"OK","BAD")</f>
        <v>#N/A</v>
      </c>
      <c r="BT45" s="95" t="e">
        <f>IF(AG45=VLOOKUP($A45,Feature_List!$A$2:$AO$101,MATCH(BT$1,Feature_List!$A$1:$AO$1,0),FALSE),"OK","BAD")</f>
        <v>#N/A</v>
      </c>
      <c r="BU45" s="95" t="e">
        <f>IF(AH45=VLOOKUP($A45,Feature_List!$A$2:$AO$101,MATCH(BU$1,Feature_List!$A$1:$AO$1,0),FALSE),"OK","BAD")</f>
        <v>#N/A</v>
      </c>
      <c r="BV45" s="95" t="e">
        <f>IF(AI45=VLOOKUP($A45,Feature_List!$A$2:$AO$101,MATCH(BV$1,Feature_List!$A$1:$AO$1,0),FALSE),"OK","BAD")</f>
        <v>#N/A</v>
      </c>
      <c r="BW45" s="95" t="e">
        <f>IF(AJ45=VLOOKUP($A45,Feature_List!$A$2:$AO$101,MATCH(BW$1,Feature_List!$A$1:$AO$1,0),FALSE),"OK","BAD")</f>
        <v>#N/A</v>
      </c>
      <c r="BX45" s="95" t="e">
        <f>IF(AK45=VLOOKUP($A45,Feature_List!$A$2:$AO$101,MATCH(BX$1,Feature_List!$A$1:$AO$1,0),FALSE),"OK","BAD")</f>
        <v>#N/A</v>
      </c>
      <c r="BY45" s="95" t="e">
        <f>IF(AL45=VLOOKUP($A45,Feature_List!$A$2:$AO$101,MATCH(BY$1,Feature_List!$A$1:$AO$1,0),FALSE),"OK","BAD")</f>
        <v>#N/A</v>
      </c>
      <c r="BZ45" s="95" t="e">
        <f>IF(AM45=VLOOKUP($A45,Feature_List!$A$2:$AO$101,MATCH(BZ$1,Feature_List!$A$1:$AO$1,0),FALSE),"OK","BAD")</f>
        <v>#N/A</v>
      </c>
      <c r="CA45" s="95" t="e">
        <f>IF(AN45=VLOOKUP($A45,Feature_List!$A$2:$AO$101,MATCH(CA$1,Feature_List!$A$1:$AO$1,0),FALSE),"OK","BAD")</f>
        <v>#N/A</v>
      </c>
    </row>
    <row r="46" spans="1:79" ht="14.4" customHeight="1" x14ac:dyDescent="0.3">
      <c r="A46" s="70">
        <v>387448</v>
      </c>
      <c r="B46" s="65" t="s">
        <v>1521</v>
      </c>
      <c r="C46" s="98" t="s">
        <v>1143</v>
      </c>
      <c r="D46" s="65" t="s">
        <v>28</v>
      </c>
      <c r="E46" s="64">
        <v>19</v>
      </c>
      <c r="F46" s="64" t="s">
        <v>879</v>
      </c>
      <c r="G46" s="64" t="s">
        <v>1602</v>
      </c>
      <c r="H46" s="64" t="s">
        <v>1597</v>
      </c>
      <c r="I46" s="99" t="s">
        <v>38</v>
      </c>
      <c r="J46" s="64" t="s">
        <v>1412</v>
      </c>
      <c r="K46" s="64">
        <v>381997</v>
      </c>
      <c r="L46" s="62" t="s">
        <v>15</v>
      </c>
      <c r="M46" s="67" t="s">
        <v>42</v>
      </c>
      <c r="N46" s="67" t="s">
        <v>882</v>
      </c>
      <c r="O46" s="67">
        <v>0</v>
      </c>
      <c r="P46" s="66" t="s">
        <v>131</v>
      </c>
      <c r="Q46" s="63">
        <v>2</v>
      </c>
      <c r="R46" s="63">
        <v>0</v>
      </c>
      <c r="S46" s="63">
        <v>0</v>
      </c>
      <c r="T46" s="63">
        <v>0</v>
      </c>
      <c r="U46" s="63">
        <v>0</v>
      </c>
      <c r="V46" s="63">
        <v>0</v>
      </c>
      <c r="W46" s="63">
        <v>0</v>
      </c>
      <c r="X46" s="63">
        <v>0</v>
      </c>
      <c r="Y46" s="63">
        <v>0</v>
      </c>
      <c r="Z46" s="63">
        <v>0</v>
      </c>
      <c r="AA46" s="63">
        <v>0</v>
      </c>
      <c r="AB46" s="63">
        <v>17</v>
      </c>
      <c r="AC46" s="63">
        <v>0</v>
      </c>
      <c r="AD46" s="63">
        <v>2</v>
      </c>
      <c r="AE46" s="63">
        <v>0</v>
      </c>
      <c r="AF46" s="63">
        <v>0</v>
      </c>
      <c r="AG46" s="63">
        <v>0</v>
      </c>
      <c r="AH46" s="63">
        <v>0</v>
      </c>
      <c r="AI46" s="63">
        <v>0</v>
      </c>
      <c r="AJ46" s="63">
        <v>19</v>
      </c>
      <c r="AK46" s="63">
        <v>0</v>
      </c>
      <c r="AL46" s="63" t="s">
        <v>35</v>
      </c>
      <c r="AM46" s="63" t="s">
        <v>854</v>
      </c>
      <c r="AN46" s="220" t="s">
        <v>40</v>
      </c>
      <c r="AO46" s="224"/>
      <c r="AP46" s="95" t="str">
        <f>IF(C46=VLOOKUP($A46,Feature_List!$A$2:$AO$101,MATCH(AP$1,Feature_List!$A$1:$AO$1,0),FALSE),"OK","BAD")</f>
        <v>BAD</v>
      </c>
      <c r="AQ46" s="95" t="str">
        <f>IF(D46=VLOOKUP($A46,Feature_List!$A$2:$AO$101,MATCH(AQ$1,Feature_List!$A$1:$AO$1,0),FALSE),"OK","BAD")</f>
        <v>BAD</v>
      </c>
      <c r="AR46" s="95" t="str">
        <f>IF(E46=VLOOKUP($A46,Feature_List!$A$2:$AO$101,MATCH(AR$1,Feature_List!$A$1:$AO$1,0),FALSE),"OK","BAD")</f>
        <v>OK</v>
      </c>
      <c r="AS46" s="95" t="str">
        <f>IF(F46=VLOOKUP($A46,Feature_List!$A$2:$AO$101,MATCH(AS$1,Feature_List!$A$1:$AO$1,0),FALSE),"OK","BAD")</f>
        <v>OK</v>
      </c>
      <c r="AT46" s="95" t="s">
        <v>985</v>
      </c>
      <c r="AU46" s="95" t="s">
        <v>985</v>
      </c>
      <c r="AV46" s="95" t="str">
        <f>IF(I46=VLOOKUP($A46,Feature_List!$A$2:$AO$101,MATCH(AV$1,Feature_List!$A$1:$AO$1,0),FALSE),"OK","BAD")</f>
        <v>OK</v>
      </c>
      <c r="AW46" s="95" t="str">
        <f>IF(J46=VLOOKUP($A46,Feature_List!$A$2:$AO$101,MATCH(AW$1,Feature_List!$A$1:$AO$1,0),FALSE),"OK","BAD")</f>
        <v>OK</v>
      </c>
      <c r="AX46" s="95" t="str">
        <f>IF(K46=VLOOKUP($A46,Feature_List!$A$2:$AO$101,MATCH(AX$1,Feature_List!$A$1:$AO$1,0),FALSE),"OK","BAD")</f>
        <v>OK</v>
      </c>
      <c r="AY46" s="95" t="str">
        <f>IF(L46=VLOOKUP($A46,Feature_List!$A$2:$AO$101,MATCH(AY$1,Feature_List!$A$1:$AO$1,0),FALSE),"OK","BAD")</f>
        <v>OK</v>
      </c>
      <c r="AZ46" s="95" t="str">
        <f>IF(M46=VLOOKUP($A46,Feature_List!$A$2:$AO$101,MATCH(AZ$1,Feature_List!$A$1:$AO$1,0),FALSE),"OK","BAD")</f>
        <v>OK</v>
      </c>
      <c r="BA46" s="95" t="str">
        <f>IF(N46=VLOOKUP($A46,Feature_List!$A$2:$AO$101,MATCH(BA$1,Feature_List!$A$1:$AO$1,0),FALSE),"OK","BAD")</f>
        <v>OK</v>
      </c>
      <c r="BB46" s="95" t="str">
        <f>IF(O46=VLOOKUP($A46,Feature_List!$A$2:$AO$101,MATCH(BB$1,Feature_List!$A$1:$AO$1,0),FALSE),"OK","BAD")</f>
        <v>OK</v>
      </c>
      <c r="BC46" s="95" t="e">
        <f>IF(P46=VLOOKUP($A46,Feature_List!$A$2:$AO$101,MATCH(BC$1,Feature_List!$A$1:$AO$1,0),FALSE),"OK","BAD")</f>
        <v>#N/A</v>
      </c>
      <c r="BD46" s="95" t="str">
        <f>IF(Q46=VLOOKUP($A46,Feature_List!$A$2:$AO$101,MATCH(BD$1,Feature_List!$A$1:$AO$1,0),FALSE),"OK","BAD")</f>
        <v>OK</v>
      </c>
      <c r="BE46" s="95" t="str">
        <f>IF(R46=VLOOKUP($A46,Feature_List!$A$2:$AO$101,MATCH(BE$1,Feature_List!$A$1:$AO$1,0),FALSE),"OK","BAD")</f>
        <v>BAD</v>
      </c>
      <c r="BF46" s="95" t="str">
        <f>IF(S46=VLOOKUP($A46,Feature_List!$A$2:$AO$101,MATCH(BF$1,Feature_List!$A$1:$AO$1,0),FALSE),"OK","BAD")</f>
        <v>OK</v>
      </c>
      <c r="BG46" s="95" t="str">
        <f>IF(T46=VLOOKUP($A46,Feature_List!$A$2:$AO$101,MATCH(BG$1,Feature_List!$A$1:$AO$1,0),FALSE),"OK","BAD")</f>
        <v>OK</v>
      </c>
      <c r="BH46" s="95" t="str">
        <f>IF(U46=VLOOKUP($A46,Feature_List!$A$2:$AO$101,MATCH(BH$1,Feature_List!$A$1:$AO$1,0),FALSE),"OK","BAD")</f>
        <v>OK</v>
      </c>
      <c r="BI46" s="95" t="str">
        <f>IF(V46=VLOOKUP($A46,Feature_List!$A$2:$AO$101,MATCH(BI$1,Feature_List!$A$1:$AO$1,0),FALSE),"OK","BAD")</f>
        <v>OK</v>
      </c>
      <c r="BJ46" s="95" t="e">
        <f>IF(W46=VLOOKUP($A46,Feature_List!$A$2:$AO$101,MATCH(BJ$1,Feature_List!$A$1:$AO$1,0),FALSE),"OK","BAD")</f>
        <v>#N/A</v>
      </c>
      <c r="BK46" s="95" t="str">
        <f>IF(X46=VLOOKUP($A46,Feature_List!$A$2:$AO$101,MATCH(BK$1,Feature_List!$A$1:$AO$1,0),FALSE),"OK","BAD")</f>
        <v>OK</v>
      </c>
      <c r="BL46" s="95" t="str">
        <f>IF(Y46=VLOOKUP($A46,Feature_List!$A$2:$AO$101,MATCH(BL$1,Feature_List!$A$1:$AO$1,0),FALSE),"OK","BAD")</f>
        <v>OK</v>
      </c>
      <c r="BM46" s="95" t="str">
        <f>IF(Z46=VLOOKUP($A46,Feature_List!$A$2:$AO$101,MATCH(BM$1,Feature_List!$A$1:$AO$1,0),FALSE),"OK","BAD")</f>
        <v>OK</v>
      </c>
      <c r="BN46" s="95" t="str">
        <f>IF(AA46=VLOOKUP($A46,Feature_List!$A$2:$AO$101,MATCH(BN$1,Feature_List!$A$1:$AO$1,0),FALSE),"OK","BAD")</f>
        <v>OK</v>
      </c>
      <c r="BO46" s="95" t="str">
        <f>IF(AB46=VLOOKUP($A46,Feature_List!$A$2:$AO$101,MATCH(BO$1,Feature_List!$A$1:$AO$1,0),FALSE),"OK","BAD")</f>
        <v>BAD</v>
      </c>
      <c r="BP46" s="95" t="str">
        <f>IF(AC46=VLOOKUP($A46,Feature_List!$A$2:$AO$101,MATCH(BP$1,Feature_List!$A$1:$AO$1,0),FALSE),"OK","BAD")</f>
        <v>OK</v>
      </c>
      <c r="BQ46" s="95" t="str">
        <f>IF(AD46=VLOOKUP($A46,Feature_List!$A$2:$AO$101,MATCH(BQ$1,Feature_List!$A$1:$AO$1,0),FALSE),"OK","BAD")</f>
        <v>BAD</v>
      </c>
      <c r="BR46" s="95" t="str">
        <f>IF(AE46=VLOOKUP($A46,Feature_List!$A$2:$AO$101,MATCH(BR$1,Feature_List!$A$1:$AO$1,0),FALSE),"OK","BAD")</f>
        <v>OK</v>
      </c>
      <c r="BS46" s="95" t="str">
        <f>IF(AF46=VLOOKUP($A46,Feature_List!$A$2:$AO$101,MATCH(BS$1,Feature_List!$A$1:$AO$1,0),FALSE),"OK","BAD")</f>
        <v>OK</v>
      </c>
      <c r="BT46" s="95" t="str">
        <f>IF(AG46=VLOOKUP($A46,Feature_List!$A$2:$AO$101,MATCH(BT$1,Feature_List!$A$1:$AO$1,0),FALSE),"OK","BAD")</f>
        <v>BAD</v>
      </c>
      <c r="BU46" s="95" t="str">
        <f>IF(AH46=VLOOKUP($A46,Feature_List!$A$2:$AO$101,MATCH(BU$1,Feature_List!$A$1:$AO$1,0),FALSE),"OK","BAD")</f>
        <v>OK</v>
      </c>
      <c r="BV46" s="95" t="e">
        <f>IF(AI46=VLOOKUP($A46,Feature_List!$A$2:$AO$101,MATCH(BV$1,Feature_List!$A$1:$AO$1,0),FALSE),"OK","BAD")</f>
        <v>#N/A</v>
      </c>
      <c r="BW46" s="95" t="e">
        <f>IF(AJ46=VLOOKUP($A46,Feature_List!$A$2:$AO$101,MATCH(BW$1,Feature_List!$A$1:$AO$1,0),FALSE),"OK","BAD")</f>
        <v>#N/A</v>
      </c>
      <c r="BX46" s="95" t="e">
        <f>IF(AK46=VLOOKUP($A46,Feature_List!$A$2:$AO$101,MATCH(BX$1,Feature_List!$A$1:$AO$1,0),FALSE),"OK","BAD")</f>
        <v>#N/A</v>
      </c>
      <c r="BY46" s="95" t="str">
        <f>IF(AL46=VLOOKUP($A46,Feature_List!$A$2:$AO$101,MATCH(BY$1,Feature_List!$A$1:$AO$1,0),FALSE),"OK","BAD")</f>
        <v>OK</v>
      </c>
      <c r="BZ46" s="95" t="str">
        <f>IF(AM46=VLOOKUP($A46,Feature_List!$A$2:$AO$101,MATCH(BZ$1,Feature_List!$A$1:$AO$1,0),FALSE),"OK","BAD")</f>
        <v>OK</v>
      </c>
      <c r="CA46" s="95" t="str">
        <f>IF(AN46=VLOOKUP($A46,Feature_List!$A$2:$AO$101,MATCH(CA$1,Feature_List!$A$1:$AO$1,0),FALSE),"OK","BAD")</f>
        <v>BAD</v>
      </c>
    </row>
    <row r="47" spans="1:79" ht="14.4" customHeight="1" x14ac:dyDescent="0.3">
      <c r="A47" s="70">
        <v>387276</v>
      </c>
      <c r="B47" s="65" t="s">
        <v>1527</v>
      </c>
      <c r="C47" s="98" t="s">
        <v>1145</v>
      </c>
      <c r="D47" s="65" t="s">
        <v>106</v>
      </c>
      <c r="E47" s="64">
        <v>102</v>
      </c>
      <c r="F47" s="64" t="s">
        <v>879</v>
      </c>
      <c r="G47" s="64" t="s">
        <v>1140</v>
      </c>
      <c r="H47" s="64" t="s">
        <v>195</v>
      </c>
      <c r="I47" s="99" t="s">
        <v>38</v>
      </c>
      <c r="J47" s="64" t="s">
        <v>1412</v>
      </c>
      <c r="K47" s="64">
        <v>370101</v>
      </c>
      <c r="L47" s="62" t="s">
        <v>951</v>
      </c>
      <c r="M47" s="67" t="s">
        <v>644</v>
      </c>
      <c r="N47" s="67" t="s">
        <v>36</v>
      </c>
      <c r="O47" s="67">
        <v>0</v>
      </c>
      <c r="P47" s="66" t="s">
        <v>645</v>
      </c>
      <c r="Q47" s="63">
        <v>2</v>
      </c>
      <c r="R47" s="63">
        <v>20</v>
      </c>
      <c r="S47" s="63">
        <v>72</v>
      </c>
      <c r="T47" s="63">
        <v>0</v>
      </c>
      <c r="U47" s="63">
        <v>0</v>
      </c>
      <c r="V47" s="63">
        <v>0</v>
      </c>
      <c r="W47" s="63">
        <v>0</v>
      </c>
      <c r="X47" s="63">
        <v>0</v>
      </c>
      <c r="Y47" s="63">
        <v>0</v>
      </c>
      <c r="Z47" s="63">
        <v>0</v>
      </c>
      <c r="AA47" s="63">
        <v>0</v>
      </c>
      <c r="AB47" s="63">
        <v>10</v>
      </c>
      <c r="AC47" s="63">
        <v>0</v>
      </c>
      <c r="AD47" s="63">
        <v>0</v>
      </c>
      <c r="AE47" s="63">
        <v>0</v>
      </c>
      <c r="AF47" s="63">
        <v>0</v>
      </c>
      <c r="AG47" s="63">
        <v>0</v>
      </c>
      <c r="AH47" s="63">
        <v>0</v>
      </c>
      <c r="AI47" s="63">
        <v>0</v>
      </c>
      <c r="AJ47" s="63">
        <v>82</v>
      </c>
      <c r="AK47" s="63">
        <v>0</v>
      </c>
      <c r="AL47" s="63" t="s">
        <v>35</v>
      </c>
      <c r="AM47" s="63" t="s">
        <v>854</v>
      </c>
      <c r="AN47" s="220" t="s">
        <v>33</v>
      </c>
      <c r="AO47" s="224"/>
      <c r="AP47" s="95" t="e">
        <f>IF(C47=VLOOKUP($A47,Feature_List!$A$2:$AO$101,MATCH(AP$1,Feature_List!$A$1:$AO$1,0),FALSE),"OK","BAD")</f>
        <v>#N/A</v>
      </c>
      <c r="AQ47" s="95" t="e">
        <f>IF(D47=VLOOKUP($A47,Feature_List!$A$2:$AO$101,MATCH(AQ$1,Feature_List!$A$1:$AO$1,0),FALSE),"OK","BAD")</f>
        <v>#N/A</v>
      </c>
      <c r="AR47" s="95" t="e">
        <f>IF(E47=VLOOKUP($A47,Feature_List!$A$2:$AO$101,MATCH(AR$1,Feature_List!$A$1:$AO$1,0),FALSE),"OK","BAD")</f>
        <v>#N/A</v>
      </c>
      <c r="AS47" s="95" t="e">
        <f>IF(F47=VLOOKUP($A47,Feature_List!$A$2:$AO$101,MATCH(AS$1,Feature_List!$A$1:$AO$1,0),FALSE),"OK","BAD")</f>
        <v>#N/A</v>
      </c>
      <c r="AT47" s="95" t="s">
        <v>985</v>
      </c>
      <c r="AU47" s="95" t="s">
        <v>985</v>
      </c>
      <c r="AV47" s="95" t="e">
        <f>IF(I47=VLOOKUP($A47,Feature_List!$A$2:$AO$101,MATCH(AV$1,Feature_List!$A$1:$AO$1,0),FALSE),"OK","BAD")</f>
        <v>#N/A</v>
      </c>
      <c r="AW47" s="95" t="e">
        <f>IF(J47=VLOOKUP($A47,Feature_List!$A$2:$AO$101,MATCH(AW$1,Feature_List!$A$1:$AO$1,0),FALSE),"OK","BAD")</f>
        <v>#N/A</v>
      </c>
      <c r="AX47" s="95" t="e">
        <f>IF(K47=VLOOKUP($A47,Feature_List!$A$2:$AO$101,MATCH(AX$1,Feature_List!$A$1:$AO$1,0),FALSE),"OK","BAD")</f>
        <v>#N/A</v>
      </c>
      <c r="AY47" s="95" t="e">
        <f>IF(L47=VLOOKUP($A47,Feature_List!$A$2:$AO$101,MATCH(AY$1,Feature_List!$A$1:$AO$1,0),FALSE),"OK","BAD")</f>
        <v>#N/A</v>
      </c>
      <c r="AZ47" s="95" t="e">
        <f>IF(M47=VLOOKUP($A47,Feature_List!$A$2:$AO$101,MATCH(AZ$1,Feature_List!$A$1:$AO$1,0),FALSE),"OK","BAD")</f>
        <v>#N/A</v>
      </c>
      <c r="BA47" s="95" t="e">
        <f>IF(N47=VLOOKUP($A47,Feature_List!$A$2:$AO$101,MATCH(BA$1,Feature_List!$A$1:$AO$1,0),FALSE),"OK","BAD")</f>
        <v>#N/A</v>
      </c>
      <c r="BB47" s="95" t="e">
        <f>IF(O47=VLOOKUP($A47,Feature_List!$A$2:$AO$101,MATCH(BB$1,Feature_List!$A$1:$AO$1,0),FALSE),"OK","BAD")</f>
        <v>#N/A</v>
      </c>
      <c r="BC47" s="95" t="e">
        <f>IF(P47=VLOOKUP($A47,Feature_List!$A$2:$AO$101,MATCH(BC$1,Feature_List!$A$1:$AO$1,0),FALSE),"OK","BAD")</f>
        <v>#N/A</v>
      </c>
      <c r="BD47" s="95" t="e">
        <f>IF(Q47=VLOOKUP($A47,Feature_List!$A$2:$AO$101,MATCH(BD$1,Feature_List!$A$1:$AO$1,0),FALSE),"OK","BAD")</f>
        <v>#N/A</v>
      </c>
      <c r="BE47" s="95" t="e">
        <f>IF(R47=VLOOKUP($A47,Feature_List!$A$2:$AO$101,MATCH(BE$1,Feature_List!$A$1:$AO$1,0),FALSE),"OK","BAD")</f>
        <v>#N/A</v>
      </c>
      <c r="BF47" s="95" t="e">
        <f>IF(S47=VLOOKUP($A47,Feature_List!$A$2:$AO$101,MATCH(BF$1,Feature_List!$A$1:$AO$1,0),FALSE),"OK","BAD")</f>
        <v>#N/A</v>
      </c>
      <c r="BG47" s="95" t="e">
        <f>IF(T47=VLOOKUP($A47,Feature_List!$A$2:$AO$101,MATCH(BG$1,Feature_List!$A$1:$AO$1,0),FALSE),"OK","BAD")</f>
        <v>#N/A</v>
      </c>
      <c r="BH47" s="95" t="e">
        <f>IF(U47=VLOOKUP($A47,Feature_List!$A$2:$AO$101,MATCH(BH$1,Feature_List!$A$1:$AO$1,0),FALSE),"OK","BAD")</f>
        <v>#N/A</v>
      </c>
      <c r="BI47" s="95" t="e">
        <f>IF(V47=VLOOKUP($A47,Feature_List!$A$2:$AO$101,MATCH(BI$1,Feature_List!$A$1:$AO$1,0),FALSE),"OK","BAD")</f>
        <v>#N/A</v>
      </c>
      <c r="BJ47" s="95" t="e">
        <f>IF(W47=VLOOKUP($A47,Feature_List!$A$2:$AO$101,MATCH(BJ$1,Feature_List!$A$1:$AO$1,0),FALSE),"OK","BAD")</f>
        <v>#N/A</v>
      </c>
      <c r="BK47" s="95" t="e">
        <f>IF(X47=VLOOKUP($A47,Feature_List!$A$2:$AO$101,MATCH(BK$1,Feature_List!$A$1:$AO$1,0),FALSE),"OK","BAD")</f>
        <v>#N/A</v>
      </c>
      <c r="BL47" s="95" t="e">
        <f>IF(Y47=VLOOKUP($A47,Feature_List!$A$2:$AO$101,MATCH(BL$1,Feature_List!$A$1:$AO$1,0),FALSE),"OK","BAD")</f>
        <v>#N/A</v>
      </c>
      <c r="BM47" s="95" t="e">
        <f>IF(Z47=VLOOKUP($A47,Feature_List!$A$2:$AO$101,MATCH(BM$1,Feature_List!$A$1:$AO$1,0),FALSE),"OK","BAD")</f>
        <v>#N/A</v>
      </c>
      <c r="BN47" s="95" t="e">
        <f>IF(AA47=VLOOKUP($A47,Feature_List!$A$2:$AO$101,MATCH(BN$1,Feature_List!$A$1:$AO$1,0),FALSE),"OK","BAD")</f>
        <v>#N/A</v>
      </c>
      <c r="BO47" s="95" t="e">
        <f>IF(AB47=VLOOKUP($A47,Feature_List!$A$2:$AO$101,MATCH(BO$1,Feature_List!$A$1:$AO$1,0),FALSE),"OK","BAD")</f>
        <v>#N/A</v>
      </c>
      <c r="BP47" s="95" t="e">
        <f>IF(AC47=VLOOKUP($A47,Feature_List!$A$2:$AO$101,MATCH(BP$1,Feature_List!$A$1:$AO$1,0),FALSE),"OK","BAD")</f>
        <v>#N/A</v>
      </c>
      <c r="BQ47" s="95" t="e">
        <f>IF(AD47=VLOOKUP($A47,Feature_List!$A$2:$AO$101,MATCH(BQ$1,Feature_List!$A$1:$AO$1,0),FALSE),"OK","BAD")</f>
        <v>#N/A</v>
      </c>
      <c r="BR47" s="95" t="e">
        <f>IF(AE47=VLOOKUP($A47,Feature_List!$A$2:$AO$101,MATCH(BR$1,Feature_List!$A$1:$AO$1,0),FALSE),"OK","BAD")</f>
        <v>#N/A</v>
      </c>
      <c r="BS47" s="95" t="e">
        <f>IF(AF47=VLOOKUP($A47,Feature_List!$A$2:$AO$101,MATCH(BS$1,Feature_List!$A$1:$AO$1,0),FALSE),"OK","BAD")</f>
        <v>#N/A</v>
      </c>
      <c r="BT47" s="95" t="e">
        <f>IF(AG47=VLOOKUP($A47,Feature_List!$A$2:$AO$101,MATCH(BT$1,Feature_List!$A$1:$AO$1,0),FALSE),"OK","BAD")</f>
        <v>#N/A</v>
      </c>
      <c r="BU47" s="95" t="e">
        <f>IF(AH47=VLOOKUP($A47,Feature_List!$A$2:$AO$101,MATCH(BU$1,Feature_List!$A$1:$AO$1,0),FALSE),"OK","BAD")</f>
        <v>#N/A</v>
      </c>
      <c r="BV47" s="95" t="e">
        <f>IF(AI47=VLOOKUP($A47,Feature_List!$A$2:$AO$101,MATCH(BV$1,Feature_List!$A$1:$AO$1,0),FALSE),"OK","BAD")</f>
        <v>#N/A</v>
      </c>
      <c r="BW47" s="95" t="e">
        <f>IF(AJ47=VLOOKUP($A47,Feature_List!$A$2:$AO$101,MATCH(BW$1,Feature_List!$A$1:$AO$1,0),FALSE),"OK","BAD")</f>
        <v>#N/A</v>
      </c>
      <c r="BX47" s="95" t="e">
        <f>IF(AK47=VLOOKUP($A47,Feature_List!$A$2:$AO$101,MATCH(BX$1,Feature_List!$A$1:$AO$1,0),FALSE),"OK","BAD")</f>
        <v>#N/A</v>
      </c>
      <c r="BY47" s="95" t="e">
        <f>IF(AL47=VLOOKUP($A47,Feature_List!$A$2:$AO$101,MATCH(BY$1,Feature_List!$A$1:$AO$1,0),FALSE),"OK","BAD")</f>
        <v>#N/A</v>
      </c>
      <c r="BZ47" s="95" t="e">
        <f>IF(AM47=VLOOKUP($A47,Feature_List!$A$2:$AO$101,MATCH(BZ$1,Feature_List!$A$1:$AO$1,0),FALSE),"OK","BAD")</f>
        <v>#N/A</v>
      </c>
      <c r="CA47" s="95" t="e">
        <f>IF(AN47=VLOOKUP($A47,Feature_List!$A$2:$AO$101,MATCH(CA$1,Feature_List!$A$1:$AO$1,0),FALSE),"OK","BAD")</f>
        <v>#N/A</v>
      </c>
    </row>
    <row r="48" spans="1:79" ht="14.4" customHeight="1" x14ac:dyDescent="0.3">
      <c r="A48" s="70">
        <v>386935</v>
      </c>
      <c r="B48" s="65" t="s">
        <v>978</v>
      </c>
      <c r="C48" s="98" t="s">
        <v>1143</v>
      </c>
      <c r="D48" s="65" t="s">
        <v>106</v>
      </c>
      <c r="E48" s="64">
        <v>64</v>
      </c>
      <c r="F48" s="64" t="s">
        <v>880</v>
      </c>
      <c r="G48" s="64" t="s">
        <v>980</v>
      </c>
      <c r="H48" s="64" t="s">
        <v>582</v>
      </c>
      <c r="I48" s="99" t="s">
        <v>851</v>
      </c>
      <c r="J48" s="64" t="s">
        <v>1412</v>
      </c>
      <c r="K48" s="64">
        <v>338100</v>
      </c>
      <c r="L48" s="62" t="s">
        <v>943</v>
      </c>
      <c r="M48" s="67" t="s">
        <v>31</v>
      </c>
      <c r="N48" s="67" t="s">
        <v>45</v>
      </c>
      <c r="O48" s="67">
        <v>2</v>
      </c>
      <c r="P48" s="66" t="s">
        <v>131</v>
      </c>
      <c r="Q48" s="63">
        <v>3</v>
      </c>
      <c r="R48" s="63">
        <v>25</v>
      </c>
      <c r="S48" s="63">
        <v>0</v>
      </c>
      <c r="T48" s="63">
        <v>2</v>
      </c>
      <c r="U48" s="63">
        <v>2</v>
      </c>
      <c r="V48" s="63">
        <v>0</v>
      </c>
      <c r="W48" s="63">
        <v>0</v>
      </c>
      <c r="X48" s="63">
        <v>35</v>
      </c>
      <c r="Y48" s="63">
        <v>0</v>
      </c>
      <c r="Z48" s="63">
        <v>0</v>
      </c>
      <c r="AA48" s="63">
        <v>0</v>
      </c>
      <c r="AB48" s="63">
        <v>0</v>
      </c>
      <c r="AC48" s="63">
        <v>0</v>
      </c>
      <c r="AD48" s="63">
        <v>0</v>
      </c>
      <c r="AE48" s="63">
        <v>0</v>
      </c>
      <c r="AF48" s="63">
        <v>0</v>
      </c>
      <c r="AG48" s="63">
        <v>0</v>
      </c>
      <c r="AH48" s="63">
        <v>0</v>
      </c>
      <c r="AI48" s="63">
        <v>0</v>
      </c>
      <c r="AJ48" s="63">
        <v>39</v>
      </c>
      <c r="AK48" s="63">
        <v>0</v>
      </c>
      <c r="AL48" s="63" t="s">
        <v>35</v>
      </c>
      <c r="AM48" s="63" t="s">
        <v>854</v>
      </c>
      <c r="AN48" s="220" t="s">
        <v>33</v>
      </c>
      <c r="AO48" s="224"/>
      <c r="AP48" s="95" t="e">
        <f>IF(C48=VLOOKUP($A48,Feature_List!$A$2:$AO$101,MATCH(AP$1,Feature_List!$A$1:$AO$1,0),FALSE),"OK","BAD")</f>
        <v>#N/A</v>
      </c>
      <c r="AQ48" s="95" t="e">
        <f>IF(D48=VLOOKUP($A48,Feature_List!$A$2:$AO$101,MATCH(AQ$1,Feature_List!$A$1:$AO$1,0),FALSE),"OK","BAD")</f>
        <v>#N/A</v>
      </c>
      <c r="AR48" s="95" t="e">
        <f>IF(E48=VLOOKUP($A48,Feature_List!$A$2:$AO$101,MATCH(AR$1,Feature_List!$A$1:$AO$1,0),FALSE),"OK","BAD")</f>
        <v>#N/A</v>
      </c>
      <c r="AS48" s="95" t="e">
        <f>IF(F48=VLOOKUP($A48,Feature_List!$A$2:$AO$101,MATCH(AS$1,Feature_List!$A$1:$AO$1,0),FALSE),"OK","BAD")</f>
        <v>#N/A</v>
      </c>
      <c r="AT48" s="95" t="s">
        <v>985</v>
      </c>
      <c r="AU48" s="95" t="s">
        <v>985</v>
      </c>
      <c r="AV48" s="95" t="e">
        <f>IF(I48=VLOOKUP($A48,Feature_List!$A$2:$AO$101,MATCH(AV$1,Feature_List!$A$1:$AO$1,0),FALSE),"OK","BAD")</f>
        <v>#N/A</v>
      </c>
      <c r="AW48" s="95" t="e">
        <f>IF(J48=VLOOKUP($A48,Feature_List!$A$2:$AO$101,MATCH(AW$1,Feature_List!$A$1:$AO$1,0),FALSE),"OK","BAD")</f>
        <v>#N/A</v>
      </c>
      <c r="AX48" s="95" t="e">
        <f>IF(K48=VLOOKUP($A48,Feature_List!$A$2:$AO$101,MATCH(AX$1,Feature_List!$A$1:$AO$1,0),FALSE),"OK","BAD")</f>
        <v>#N/A</v>
      </c>
      <c r="AY48" s="95" t="e">
        <f>IF(L48=VLOOKUP($A48,Feature_List!$A$2:$AO$101,MATCH(AY$1,Feature_List!$A$1:$AO$1,0),FALSE),"OK","BAD")</f>
        <v>#N/A</v>
      </c>
      <c r="AZ48" s="95" t="e">
        <f>IF(M48=VLOOKUP($A48,Feature_List!$A$2:$AO$101,MATCH(AZ$1,Feature_List!$A$1:$AO$1,0),FALSE),"OK","BAD")</f>
        <v>#N/A</v>
      </c>
      <c r="BA48" s="95" t="e">
        <f>IF(N48=VLOOKUP($A48,Feature_List!$A$2:$AO$101,MATCH(BA$1,Feature_List!$A$1:$AO$1,0),FALSE),"OK","BAD")</f>
        <v>#N/A</v>
      </c>
      <c r="BB48" s="95" t="e">
        <f>IF(O48=VLOOKUP($A48,Feature_List!$A$2:$AO$101,MATCH(BB$1,Feature_List!$A$1:$AO$1,0),FALSE),"OK","BAD")</f>
        <v>#N/A</v>
      </c>
      <c r="BC48" s="95" t="e">
        <f>IF(P48=VLOOKUP($A48,Feature_List!$A$2:$AO$101,MATCH(BC$1,Feature_List!$A$1:$AO$1,0),FALSE),"OK","BAD")</f>
        <v>#N/A</v>
      </c>
      <c r="BD48" s="95" t="e">
        <f>IF(Q48=VLOOKUP($A48,Feature_List!$A$2:$AO$101,MATCH(BD$1,Feature_List!$A$1:$AO$1,0),FALSE),"OK","BAD")</f>
        <v>#N/A</v>
      </c>
      <c r="BE48" s="95" t="e">
        <f>IF(R48=VLOOKUP($A48,Feature_List!$A$2:$AO$101,MATCH(BE$1,Feature_List!$A$1:$AO$1,0),FALSE),"OK","BAD")</f>
        <v>#N/A</v>
      </c>
      <c r="BF48" s="95" t="e">
        <f>IF(S48=VLOOKUP($A48,Feature_List!$A$2:$AO$101,MATCH(BF$1,Feature_List!$A$1:$AO$1,0),FALSE),"OK","BAD")</f>
        <v>#N/A</v>
      </c>
      <c r="BG48" s="95" t="e">
        <f>IF(T48=VLOOKUP($A48,Feature_List!$A$2:$AO$101,MATCH(BG$1,Feature_List!$A$1:$AO$1,0),FALSE),"OK","BAD")</f>
        <v>#N/A</v>
      </c>
      <c r="BH48" s="95" t="e">
        <f>IF(U48=VLOOKUP($A48,Feature_List!$A$2:$AO$101,MATCH(BH$1,Feature_List!$A$1:$AO$1,0),FALSE),"OK","BAD")</f>
        <v>#N/A</v>
      </c>
      <c r="BI48" s="95" t="e">
        <f>IF(V48=VLOOKUP($A48,Feature_List!$A$2:$AO$101,MATCH(BI$1,Feature_List!$A$1:$AO$1,0),FALSE),"OK","BAD")</f>
        <v>#N/A</v>
      </c>
      <c r="BJ48" s="95" t="e">
        <f>IF(W48=VLOOKUP($A48,Feature_List!$A$2:$AO$101,MATCH(BJ$1,Feature_List!$A$1:$AO$1,0),FALSE),"OK","BAD")</f>
        <v>#N/A</v>
      </c>
      <c r="BK48" s="95" t="e">
        <f>IF(X48=VLOOKUP($A48,Feature_List!$A$2:$AO$101,MATCH(BK$1,Feature_List!$A$1:$AO$1,0),FALSE),"OK","BAD")</f>
        <v>#N/A</v>
      </c>
      <c r="BL48" s="95" t="e">
        <f>IF(Y48=VLOOKUP($A48,Feature_List!$A$2:$AO$101,MATCH(BL$1,Feature_List!$A$1:$AO$1,0),FALSE),"OK","BAD")</f>
        <v>#N/A</v>
      </c>
      <c r="BM48" s="95" t="e">
        <f>IF(Z48=VLOOKUP($A48,Feature_List!$A$2:$AO$101,MATCH(BM$1,Feature_List!$A$1:$AO$1,0),FALSE),"OK","BAD")</f>
        <v>#N/A</v>
      </c>
      <c r="BN48" s="95" t="e">
        <f>IF(AA48=VLOOKUP($A48,Feature_List!$A$2:$AO$101,MATCH(BN$1,Feature_List!$A$1:$AO$1,0),FALSE),"OK","BAD")</f>
        <v>#N/A</v>
      </c>
      <c r="BO48" s="95" t="e">
        <f>IF(AB48=VLOOKUP($A48,Feature_List!$A$2:$AO$101,MATCH(BO$1,Feature_List!$A$1:$AO$1,0),FALSE),"OK","BAD")</f>
        <v>#N/A</v>
      </c>
      <c r="BP48" s="95" t="e">
        <f>IF(AC48=VLOOKUP($A48,Feature_List!$A$2:$AO$101,MATCH(BP$1,Feature_List!$A$1:$AO$1,0),FALSE),"OK","BAD")</f>
        <v>#N/A</v>
      </c>
      <c r="BQ48" s="95" t="e">
        <f>IF(AD48=VLOOKUP($A48,Feature_List!$A$2:$AO$101,MATCH(BQ$1,Feature_List!$A$1:$AO$1,0),FALSE),"OK","BAD")</f>
        <v>#N/A</v>
      </c>
      <c r="BR48" s="95" t="e">
        <f>IF(AE48=VLOOKUP($A48,Feature_List!$A$2:$AO$101,MATCH(BR$1,Feature_List!$A$1:$AO$1,0),FALSE),"OK","BAD")</f>
        <v>#N/A</v>
      </c>
      <c r="BS48" s="95" t="e">
        <f>IF(AF48=VLOOKUP($A48,Feature_List!$A$2:$AO$101,MATCH(BS$1,Feature_List!$A$1:$AO$1,0),FALSE),"OK","BAD")</f>
        <v>#N/A</v>
      </c>
      <c r="BT48" s="95" t="e">
        <f>IF(AG48=VLOOKUP($A48,Feature_List!$A$2:$AO$101,MATCH(BT$1,Feature_List!$A$1:$AO$1,0),FALSE),"OK","BAD")</f>
        <v>#N/A</v>
      </c>
      <c r="BU48" s="95" t="e">
        <f>IF(AH48=VLOOKUP($A48,Feature_List!$A$2:$AO$101,MATCH(BU$1,Feature_List!$A$1:$AO$1,0),FALSE),"OK","BAD")</f>
        <v>#N/A</v>
      </c>
      <c r="BV48" s="95" t="e">
        <f>IF(AI48=VLOOKUP($A48,Feature_List!$A$2:$AO$101,MATCH(BV$1,Feature_List!$A$1:$AO$1,0),FALSE),"OK","BAD")</f>
        <v>#N/A</v>
      </c>
      <c r="BW48" s="95" t="e">
        <f>IF(AJ48=VLOOKUP($A48,Feature_List!$A$2:$AO$101,MATCH(BW$1,Feature_List!$A$1:$AO$1,0),FALSE),"OK","BAD")</f>
        <v>#N/A</v>
      </c>
      <c r="BX48" s="95" t="e">
        <f>IF(AK48=VLOOKUP($A48,Feature_List!$A$2:$AO$101,MATCH(BX$1,Feature_List!$A$1:$AO$1,0),FALSE),"OK","BAD")</f>
        <v>#N/A</v>
      </c>
      <c r="BY48" s="95" t="e">
        <f>IF(AL48=VLOOKUP($A48,Feature_List!$A$2:$AO$101,MATCH(BY$1,Feature_List!$A$1:$AO$1,0),FALSE),"OK","BAD")</f>
        <v>#N/A</v>
      </c>
      <c r="BZ48" s="95" t="e">
        <f>IF(AM48=VLOOKUP($A48,Feature_List!$A$2:$AO$101,MATCH(BZ$1,Feature_List!$A$1:$AO$1,0),FALSE),"OK","BAD")</f>
        <v>#N/A</v>
      </c>
      <c r="CA48" s="95" t="e">
        <f>IF(AN48=VLOOKUP($A48,Feature_List!$A$2:$AO$101,MATCH(CA$1,Feature_List!$A$1:$AO$1,0),FALSE),"OK","BAD")</f>
        <v>#N/A</v>
      </c>
    </row>
    <row r="49" spans="1:79" ht="14.4" customHeight="1" x14ac:dyDescent="0.3">
      <c r="A49" s="70">
        <v>385856</v>
      </c>
      <c r="B49" s="65" t="s">
        <v>1136</v>
      </c>
      <c r="C49" s="98" t="s">
        <v>1143</v>
      </c>
      <c r="D49" s="65" t="s">
        <v>106</v>
      </c>
      <c r="E49" s="64">
        <v>200</v>
      </c>
      <c r="F49" s="64" t="s">
        <v>879</v>
      </c>
      <c r="G49" s="64" t="s">
        <v>1566</v>
      </c>
      <c r="H49" s="64" t="s">
        <v>359</v>
      </c>
      <c r="I49" s="99" t="s">
        <v>38</v>
      </c>
      <c r="J49" s="64" t="s">
        <v>1412</v>
      </c>
      <c r="K49" s="64">
        <v>367849</v>
      </c>
      <c r="L49" s="62" t="s">
        <v>943</v>
      </c>
      <c r="M49" s="67" t="s">
        <v>49</v>
      </c>
      <c r="N49" s="67" t="s">
        <v>52</v>
      </c>
      <c r="O49" s="67">
        <v>0</v>
      </c>
      <c r="P49" s="66" t="s">
        <v>936</v>
      </c>
      <c r="Q49" s="63">
        <v>6</v>
      </c>
      <c r="R49" s="63">
        <v>105</v>
      </c>
      <c r="S49" s="63">
        <v>0</v>
      </c>
      <c r="T49" s="63">
        <v>3</v>
      </c>
      <c r="U49" s="63">
        <v>1</v>
      </c>
      <c r="V49" s="63">
        <v>0</v>
      </c>
      <c r="W49" s="63">
        <v>0</v>
      </c>
      <c r="X49" s="63">
        <v>35</v>
      </c>
      <c r="Y49" s="63">
        <v>3</v>
      </c>
      <c r="Z49" s="63">
        <v>0</v>
      </c>
      <c r="AA49" s="63">
        <v>0</v>
      </c>
      <c r="AB49" s="63">
        <v>14</v>
      </c>
      <c r="AC49" s="63">
        <v>0</v>
      </c>
      <c r="AD49" s="63">
        <v>0</v>
      </c>
      <c r="AE49" s="63">
        <v>0</v>
      </c>
      <c r="AF49" s="63">
        <v>0</v>
      </c>
      <c r="AG49" s="63">
        <v>39</v>
      </c>
      <c r="AH49" s="63">
        <v>0</v>
      </c>
      <c r="AI49" s="63">
        <v>0</v>
      </c>
      <c r="AJ49" s="63">
        <v>95</v>
      </c>
      <c r="AK49" s="63">
        <v>0</v>
      </c>
      <c r="AL49" s="63" t="s">
        <v>35</v>
      </c>
      <c r="AM49" s="63" t="s">
        <v>854</v>
      </c>
      <c r="AN49" s="220" t="s">
        <v>33</v>
      </c>
      <c r="AO49" s="224"/>
      <c r="AP49" s="95" t="e">
        <f>IF(C49=VLOOKUP($A49,Feature_List!$A$2:$AO$101,MATCH(AP$1,Feature_List!$A$1:$AO$1,0),FALSE),"OK","BAD")</f>
        <v>#N/A</v>
      </c>
      <c r="AQ49" s="95" t="e">
        <f>IF(D49=VLOOKUP($A49,Feature_List!$A$2:$AO$101,MATCH(AQ$1,Feature_List!$A$1:$AO$1,0),FALSE),"OK","BAD")</f>
        <v>#N/A</v>
      </c>
      <c r="AR49" s="95" t="e">
        <f>IF(E49=VLOOKUP($A49,Feature_List!$A$2:$AO$101,MATCH(AR$1,Feature_List!$A$1:$AO$1,0),FALSE),"OK","BAD")</f>
        <v>#N/A</v>
      </c>
      <c r="AS49" s="95" t="e">
        <f>IF(F49=VLOOKUP($A49,Feature_List!$A$2:$AO$101,MATCH(AS$1,Feature_List!$A$1:$AO$1,0),FALSE),"OK","BAD")</f>
        <v>#N/A</v>
      </c>
      <c r="AT49" s="95" t="s">
        <v>985</v>
      </c>
      <c r="AU49" s="95" t="s">
        <v>985</v>
      </c>
      <c r="AV49" s="95" t="e">
        <f>IF(I49=VLOOKUP($A49,Feature_List!$A$2:$AO$101,MATCH(AV$1,Feature_List!$A$1:$AO$1,0),FALSE),"OK","BAD")</f>
        <v>#N/A</v>
      </c>
      <c r="AW49" s="95" t="e">
        <f>IF(J49=VLOOKUP($A49,Feature_List!$A$2:$AO$101,MATCH(AW$1,Feature_List!$A$1:$AO$1,0),FALSE),"OK","BAD")</f>
        <v>#N/A</v>
      </c>
      <c r="AX49" s="95" t="e">
        <f>IF(K49=VLOOKUP($A49,Feature_List!$A$2:$AO$101,MATCH(AX$1,Feature_List!$A$1:$AO$1,0),FALSE),"OK","BAD")</f>
        <v>#N/A</v>
      </c>
      <c r="AY49" s="95" t="e">
        <f>IF(L49=VLOOKUP($A49,Feature_List!$A$2:$AO$101,MATCH(AY$1,Feature_List!$A$1:$AO$1,0),FALSE),"OK","BAD")</f>
        <v>#N/A</v>
      </c>
      <c r="AZ49" s="95" t="e">
        <f>IF(M49=VLOOKUP($A49,Feature_List!$A$2:$AO$101,MATCH(AZ$1,Feature_List!$A$1:$AO$1,0),FALSE),"OK","BAD")</f>
        <v>#N/A</v>
      </c>
      <c r="BA49" s="95" t="e">
        <f>IF(N49=VLOOKUP($A49,Feature_List!$A$2:$AO$101,MATCH(BA$1,Feature_List!$A$1:$AO$1,0),FALSE),"OK","BAD")</f>
        <v>#N/A</v>
      </c>
      <c r="BB49" s="95" t="e">
        <f>IF(O49=VLOOKUP($A49,Feature_List!$A$2:$AO$101,MATCH(BB$1,Feature_List!$A$1:$AO$1,0),FALSE),"OK","BAD")</f>
        <v>#N/A</v>
      </c>
      <c r="BC49" s="95" t="e">
        <f>IF(P49=VLOOKUP($A49,Feature_List!$A$2:$AO$101,MATCH(BC$1,Feature_List!$A$1:$AO$1,0),FALSE),"OK","BAD")</f>
        <v>#N/A</v>
      </c>
      <c r="BD49" s="95" t="e">
        <f>IF(Q49=VLOOKUP($A49,Feature_List!$A$2:$AO$101,MATCH(BD$1,Feature_List!$A$1:$AO$1,0),FALSE),"OK","BAD")</f>
        <v>#N/A</v>
      </c>
      <c r="BE49" s="95" t="e">
        <f>IF(R49=VLOOKUP($A49,Feature_List!$A$2:$AO$101,MATCH(BE$1,Feature_List!$A$1:$AO$1,0),FALSE),"OK","BAD")</f>
        <v>#N/A</v>
      </c>
      <c r="BF49" s="95" t="e">
        <f>IF(S49=VLOOKUP($A49,Feature_List!$A$2:$AO$101,MATCH(BF$1,Feature_List!$A$1:$AO$1,0),FALSE),"OK","BAD")</f>
        <v>#N/A</v>
      </c>
      <c r="BG49" s="95" t="e">
        <f>IF(T49=VLOOKUP($A49,Feature_List!$A$2:$AO$101,MATCH(BG$1,Feature_List!$A$1:$AO$1,0),FALSE),"OK","BAD")</f>
        <v>#N/A</v>
      </c>
      <c r="BH49" s="95" t="e">
        <f>IF(U49=VLOOKUP($A49,Feature_List!$A$2:$AO$101,MATCH(BH$1,Feature_List!$A$1:$AO$1,0),FALSE),"OK","BAD")</f>
        <v>#N/A</v>
      </c>
      <c r="BI49" s="95" t="e">
        <f>IF(V49=VLOOKUP($A49,Feature_List!$A$2:$AO$101,MATCH(BI$1,Feature_List!$A$1:$AO$1,0),FALSE),"OK","BAD")</f>
        <v>#N/A</v>
      </c>
      <c r="BJ49" s="95" t="e">
        <f>IF(W49=VLOOKUP($A49,Feature_List!$A$2:$AO$101,MATCH(BJ$1,Feature_List!$A$1:$AO$1,0),FALSE),"OK","BAD")</f>
        <v>#N/A</v>
      </c>
      <c r="BK49" s="95" t="e">
        <f>IF(X49=VLOOKUP($A49,Feature_List!$A$2:$AO$101,MATCH(BK$1,Feature_List!$A$1:$AO$1,0),FALSE),"OK","BAD")</f>
        <v>#N/A</v>
      </c>
      <c r="BL49" s="95" t="e">
        <f>IF(Y49=VLOOKUP($A49,Feature_List!$A$2:$AO$101,MATCH(BL$1,Feature_List!$A$1:$AO$1,0),FALSE),"OK","BAD")</f>
        <v>#N/A</v>
      </c>
      <c r="BM49" s="95" t="e">
        <f>IF(Z49=VLOOKUP($A49,Feature_List!$A$2:$AO$101,MATCH(BM$1,Feature_List!$A$1:$AO$1,0),FALSE),"OK","BAD")</f>
        <v>#N/A</v>
      </c>
      <c r="BN49" s="95" t="e">
        <f>IF(AA49=VLOOKUP($A49,Feature_List!$A$2:$AO$101,MATCH(BN$1,Feature_List!$A$1:$AO$1,0),FALSE),"OK","BAD")</f>
        <v>#N/A</v>
      </c>
      <c r="BO49" s="95" t="e">
        <f>IF(AB49=VLOOKUP($A49,Feature_List!$A$2:$AO$101,MATCH(BO$1,Feature_List!$A$1:$AO$1,0),FALSE),"OK","BAD")</f>
        <v>#N/A</v>
      </c>
      <c r="BP49" s="95" t="e">
        <f>IF(AC49=VLOOKUP($A49,Feature_List!$A$2:$AO$101,MATCH(BP$1,Feature_List!$A$1:$AO$1,0),FALSE),"OK","BAD")</f>
        <v>#N/A</v>
      </c>
      <c r="BQ49" s="95" t="e">
        <f>IF(AD49=VLOOKUP($A49,Feature_List!$A$2:$AO$101,MATCH(BQ$1,Feature_List!$A$1:$AO$1,0),FALSE),"OK","BAD")</f>
        <v>#N/A</v>
      </c>
      <c r="BR49" s="95" t="e">
        <f>IF(AE49=VLOOKUP($A49,Feature_List!$A$2:$AO$101,MATCH(BR$1,Feature_List!$A$1:$AO$1,0),FALSE),"OK","BAD")</f>
        <v>#N/A</v>
      </c>
      <c r="BS49" s="95" t="e">
        <f>IF(AF49=VLOOKUP($A49,Feature_List!$A$2:$AO$101,MATCH(BS$1,Feature_List!$A$1:$AO$1,0),FALSE),"OK","BAD")</f>
        <v>#N/A</v>
      </c>
      <c r="BT49" s="95" t="e">
        <f>IF(AG49=VLOOKUP($A49,Feature_List!$A$2:$AO$101,MATCH(BT$1,Feature_List!$A$1:$AO$1,0),FALSE),"OK","BAD")</f>
        <v>#N/A</v>
      </c>
      <c r="BU49" s="95" t="e">
        <f>IF(AH49=VLOOKUP($A49,Feature_List!$A$2:$AO$101,MATCH(BU$1,Feature_List!$A$1:$AO$1,0),FALSE),"OK","BAD")</f>
        <v>#N/A</v>
      </c>
      <c r="BV49" s="95" t="e">
        <f>IF(AI49=VLOOKUP($A49,Feature_List!$A$2:$AO$101,MATCH(BV$1,Feature_List!$A$1:$AO$1,0),FALSE),"OK","BAD")</f>
        <v>#N/A</v>
      </c>
      <c r="BW49" s="95" t="e">
        <f>IF(AJ49=VLOOKUP($A49,Feature_List!$A$2:$AO$101,MATCH(BW$1,Feature_List!$A$1:$AO$1,0),FALSE),"OK","BAD")</f>
        <v>#N/A</v>
      </c>
      <c r="BX49" s="95" t="e">
        <f>IF(AK49=VLOOKUP($A49,Feature_List!$A$2:$AO$101,MATCH(BX$1,Feature_List!$A$1:$AO$1,0),FALSE),"OK","BAD")</f>
        <v>#N/A</v>
      </c>
      <c r="BY49" s="95" t="e">
        <f>IF(AL49=VLOOKUP($A49,Feature_List!$A$2:$AO$101,MATCH(BY$1,Feature_List!$A$1:$AO$1,0),FALSE),"OK","BAD")</f>
        <v>#N/A</v>
      </c>
      <c r="BZ49" s="95" t="e">
        <f>IF(AM49=VLOOKUP($A49,Feature_List!$A$2:$AO$101,MATCH(BZ$1,Feature_List!$A$1:$AO$1,0),FALSE),"OK","BAD")</f>
        <v>#N/A</v>
      </c>
      <c r="CA49" s="95" t="e">
        <f>IF(AN49=VLOOKUP($A49,Feature_List!$A$2:$AO$101,MATCH(CA$1,Feature_List!$A$1:$AO$1,0),FALSE),"OK","BAD")</f>
        <v>#N/A</v>
      </c>
    </row>
    <row r="50" spans="1:79" ht="14.4" customHeight="1" x14ac:dyDescent="0.3">
      <c r="A50" s="70">
        <v>385442</v>
      </c>
      <c r="B50" s="65" t="s">
        <v>983</v>
      </c>
      <c r="C50" s="98" t="s">
        <v>972</v>
      </c>
      <c r="D50" s="65" t="s">
        <v>106</v>
      </c>
      <c r="E50" s="64">
        <v>105</v>
      </c>
      <c r="F50" s="64" t="s">
        <v>879</v>
      </c>
      <c r="G50" s="64" t="s">
        <v>954</v>
      </c>
      <c r="H50" s="64" t="s">
        <v>1584</v>
      </c>
      <c r="I50" s="99" t="s">
        <v>38</v>
      </c>
      <c r="J50" s="64" t="s">
        <v>1412</v>
      </c>
      <c r="K50" s="64">
        <v>385438</v>
      </c>
      <c r="L50" s="62" t="s">
        <v>950</v>
      </c>
      <c r="M50" s="67" t="s">
        <v>36</v>
      </c>
      <c r="N50" s="67" t="s">
        <v>36</v>
      </c>
      <c r="O50" s="67">
        <v>0</v>
      </c>
      <c r="P50" s="66" t="s">
        <v>131</v>
      </c>
      <c r="Q50" s="63">
        <v>1</v>
      </c>
      <c r="R50" s="63">
        <v>42</v>
      </c>
      <c r="S50" s="63">
        <v>0</v>
      </c>
      <c r="T50" s="63">
        <v>0</v>
      </c>
      <c r="U50" s="63">
        <v>0</v>
      </c>
      <c r="V50" s="63">
        <v>0</v>
      </c>
      <c r="W50" s="63">
        <v>0</v>
      </c>
      <c r="X50" s="63">
        <v>0</v>
      </c>
      <c r="Y50" s="63">
        <v>0</v>
      </c>
      <c r="Z50" s="63">
        <v>45</v>
      </c>
      <c r="AA50" s="63">
        <v>0</v>
      </c>
      <c r="AB50" s="63">
        <v>0</v>
      </c>
      <c r="AC50" s="63">
        <v>0</v>
      </c>
      <c r="AD50" s="63">
        <v>0</v>
      </c>
      <c r="AE50" s="63">
        <v>0</v>
      </c>
      <c r="AF50" s="63">
        <v>0</v>
      </c>
      <c r="AG50" s="63">
        <v>0</v>
      </c>
      <c r="AH50" s="63">
        <v>0</v>
      </c>
      <c r="AI50" s="63">
        <v>0</v>
      </c>
      <c r="AJ50" s="63">
        <v>45</v>
      </c>
      <c r="AK50" s="63">
        <v>18</v>
      </c>
      <c r="AL50" s="63" t="s">
        <v>35</v>
      </c>
      <c r="AM50" s="63" t="s">
        <v>854</v>
      </c>
      <c r="AN50" s="220" t="s">
        <v>33</v>
      </c>
      <c r="AO50" s="224"/>
      <c r="AP50" s="95" t="str">
        <f>IF(C50=VLOOKUP($A50,Feature_List!$A$2:$AO$101,MATCH(AP$1,Feature_List!$A$1:$AO$1,0),FALSE),"OK","BAD")</f>
        <v>OK</v>
      </c>
      <c r="AQ50" s="95" t="str">
        <f>IF(D50=VLOOKUP($A50,Feature_List!$A$2:$AO$101,MATCH(AQ$1,Feature_List!$A$1:$AO$1,0),FALSE),"OK","BAD")</f>
        <v>OK</v>
      </c>
      <c r="AR50" s="95" t="str">
        <f>IF(E50=VLOOKUP($A50,Feature_List!$A$2:$AO$101,MATCH(AR$1,Feature_List!$A$1:$AO$1,0),FALSE),"OK","BAD")</f>
        <v>BAD</v>
      </c>
      <c r="AS50" s="95" t="str">
        <f>IF(F50=VLOOKUP($A50,Feature_List!$A$2:$AO$101,MATCH(AS$1,Feature_List!$A$1:$AO$1,0),FALSE),"OK","BAD")</f>
        <v>OK</v>
      </c>
      <c r="AT50" s="95" t="s">
        <v>985</v>
      </c>
      <c r="AU50" s="95" t="s">
        <v>985</v>
      </c>
      <c r="AV50" s="95" t="str">
        <f>IF(I50=VLOOKUP($A50,Feature_List!$A$2:$AO$101,MATCH(AV$1,Feature_List!$A$1:$AO$1,0),FALSE),"OK","BAD")</f>
        <v>OK</v>
      </c>
      <c r="AW50" s="95" t="str">
        <f>IF(J50=VLOOKUP($A50,Feature_List!$A$2:$AO$101,MATCH(AW$1,Feature_List!$A$1:$AO$1,0),FALSE),"OK","BAD")</f>
        <v>OK</v>
      </c>
      <c r="AX50" s="95" t="str">
        <f>IF(K50=VLOOKUP($A50,Feature_List!$A$2:$AO$101,MATCH(AX$1,Feature_List!$A$1:$AO$1,0),FALSE),"OK","BAD")</f>
        <v>OK</v>
      </c>
      <c r="AY50" s="95" t="str">
        <f>IF(L50=VLOOKUP($A50,Feature_List!$A$2:$AO$101,MATCH(AY$1,Feature_List!$A$1:$AO$1,0),FALSE),"OK","BAD")</f>
        <v>OK</v>
      </c>
      <c r="AZ50" s="95" t="str">
        <f>IF(M50=VLOOKUP($A50,Feature_List!$A$2:$AO$101,MATCH(AZ$1,Feature_List!$A$1:$AO$1,0),FALSE),"OK","BAD")</f>
        <v>OK</v>
      </c>
      <c r="BA50" s="95" t="str">
        <f>IF(N50=VLOOKUP($A50,Feature_List!$A$2:$AO$101,MATCH(BA$1,Feature_List!$A$1:$AO$1,0),FALSE),"OK","BAD")</f>
        <v>OK</v>
      </c>
      <c r="BB50" s="95" t="str">
        <f>IF(O50=VLOOKUP($A50,Feature_List!$A$2:$AO$101,MATCH(BB$1,Feature_List!$A$1:$AO$1,0),FALSE),"OK","BAD")</f>
        <v>OK</v>
      </c>
      <c r="BC50" s="95" t="e">
        <f>IF(P50=VLOOKUP($A50,Feature_List!$A$2:$AO$101,MATCH(BC$1,Feature_List!$A$1:$AO$1,0),FALSE),"OK","BAD")</f>
        <v>#N/A</v>
      </c>
      <c r="BD50" s="95" t="str">
        <f>IF(Q50=VLOOKUP($A50,Feature_List!$A$2:$AO$101,MATCH(BD$1,Feature_List!$A$1:$AO$1,0),FALSE),"OK","BAD")</f>
        <v>BAD</v>
      </c>
      <c r="BE50" s="95" t="str">
        <f>IF(R50=VLOOKUP($A50,Feature_List!$A$2:$AO$101,MATCH(BE$1,Feature_List!$A$1:$AO$1,0),FALSE),"OK","BAD")</f>
        <v>BAD</v>
      </c>
      <c r="BF50" s="95" t="str">
        <f>IF(S50=VLOOKUP($A50,Feature_List!$A$2:$AO$101,MATCH(BF$1,Feature_List!$A$1:$AO$1,0),FALSE),"OK","BAD")</f>
        <v>OK</v>
      </c>
      <c r="BG50" s="95" t="str">
        <f>IF(T50=VLOOKUP($A50,Feature_List!$A$2:$AO$101,MATCH(BG$1,Feature_List!$A$1:$AO$1,0),FALSE),"OK","BAD")</f>
        <v>OK</v>
      </c>
      <c r="BH50" s="95" t="str">
        <f>IF(U50=VLOOKUP($A50,Feature_List!$A$2:$AO$101,MATCH(BH$1,Feature_List!$A$1:$AO$1,0),FALSE),"OK","BAD")</f>
        <v>OK</v>
      </c>
      <c r="BI50" s="95" t="str">
        <f>IF(V50=VLOOKUP($A50,Feature_List!$A$2:$AO$101,MATCH(BI$1,Feature_List!$A$1:$AO$1,0),FALSE),"OK","BAD")</f>
        <v>OK</v>
      </c>
      <c r="BJ50" s="95" t="e">
        <f>IF(W50=VLOOKUP($A50,Feature_List!$A$2:$AO$101,MATCH(BJ$1,Feature_List!$A$1:$AO$1,0),FALSE),"OK","BAD")</f>
        <v>#N/A</v>
      </c>
      <c r="BK50" s="95" t="str">
        <f>IF(X50=VLOOKUP($A50,Feature_List!$A$2:$AO$101,MATCH(BK$1,Feature_List!$A$1:$AO$1,0),FALSE),"OK","BAD")</f>
        <v>OK</v>
      </c>
      <c r="BL50" s="95" t="str">
        <f>IF(Y50=VLOOKUP($A50,Feature_List!$A$2:$AO$101,MATCH(BL$1,Feature_List!$A$1:$AO$1,0),FALSE),"OK","BAD")</f>
        <v>BAD</v>
      </c>
      <c r="BM50" s="95" t="str">
        <f>IF(Z50=VLOOKUP($A50,Feature_List!$A$2:$AO$101,MATCH(BM$1,Feature_List!$A$1:$AO$1,0),FALSE),"OK","BAD")</f>
        <v>BAD</v>
      </c>
      <c r="BN50" s="95" t="str">
        <f>IF(AA50=VLOOKUP($A50,Feature_List!$A$2:$AO$101,MATCH(BN$1,Feature_List!$A$1:$AO$1,0),FALSE),"OK","BAD")</f>
        <v>OK</v>
      </c>
      <c r="BO50" s="95" t="str">
        <f>IF(AB50=VLOOKUP($A50,Feature_List!$A$2:$AO$101,MATCH(BO$1,Feature_List!$A$1:$AO$1,0),FALSE),"OK","BAD")</f>
        <v>OK</v>
      </c>
      <c r="BP50" s="95" t="str">
        <f>IF(AC50=VLOOKUP($A50,Feature_List!$A$2:$AO$101,MATCH(BP$1,Feature_List!$A$1:$AO$1,0),FALSE),"OK","BAD")</f>
        <v>OK</v>
      </c>
      <c r="BQ50" s="95" t="str">
        <f>IF(AD50=VLOOKUP($A50,Feature_List!$A$2:$AO$101,MATCH(BQ$1,Feature_List!$A$1:$AO$1,0),FALSE),"OK","BAD")</f>
        <v>OK</v>
      </c>
      <c r="BR50" s="95" t="str">
        <f>IF(AE50=VLOOKUP($A50,Feature_List!$A$2:$AO$101,MATCH(BR$1,Feature_List!$A$1:$AO$1,0),FALSE),"OK","BAD")</f>
        <v>OK</v>
      </c>
      <c r="BS50" s="95" t="str">
        <f>IF(AF50=VLOOKUP($A50,Feature_List!$A$2:$AO$101,MATCH(BS$1,Feature_List!$A$1:$AO$1,0),FALSE),"OK","BAD")</f>
        <v>OK</v>
      </c>
      <c r="BT50" s="95" t="str">
        <f>IF(AG50=VLOOKUP($A50,Feature_List!$A$2:$AO$101,MATCH(BT$1,Feature_List!$A$1:$AO$1,0),FALSE),"OK","BAD")</f>
        <v>OK</v>
      </c>
      <c r="BU50" s="95" t="str">
        <f>IF(AH50=VLOOKUP($A50,Feature_List!$A$2:$AO$101,MATCH(BU$1,Feature_List!$A$1:$AO$1,0),FALSE),"OK","BAD")</f>
        <v>OK</v>
      </c>
      <c r="BV50" s="95" t="e">
        <f>IF(AI50=VLOOKUP($A50,Feature_List!$A$2:$AO$101,MATCH(BV$1,Feature_List!$A$1:$AO$1,0),FALSE),"OK","BAD")</f>
        <v>#N/A</v>
      </c>
      <c r="BW50" s="95" t="e">
        <f>IF(AJ50=VLOOKUP($A50,Feature_List!$A$2:$AO$101,MATCH(BW$1,Feature_List!$A$1:$AO$1,0),FALSE),"OK","BAD")</f>
        <v>#N/A</v>
      </c>
      <c r="BX50" s="95" t="e">
        <f>IF(AK50=VLOOKUP($A50,Feature_List!$A$2:$AO$101,MATCH(BX$1,Feature_List!$A$1:$AO$1,0),FALSE),"OK","BAD")</f>
        <v>#N/A</v>
      </c>
      <c r="BY50" s="95" t="str">
        <f>IF(AL50=VLOOKUP($A50,Feature_List!$A$2:$AO$101,MATCH(BY$1,Feature_List!$A$1:$AO$1,0),FALSE),"OK","BAD")</f>
        <v>OK</v>
      </c>
      <c r="BZ50" s="95" t="str">
        <f>IF(AM50=VLOOKUP($A50,Feature_List!$A$2:$AO$101,MATCH(BZ$1,Feature_List!$A$1:$AO$1,0),FALSE),"OK","BAD")</f>
        <v>OK</v>
      </c>
      <c r="CA50" s="95" t="str">
        <f>IF(AN50=VLOOKUP($A50,Feature_List!$A$2:$AO$101,MATCH(CA$1,Feature_List!$A$1:$AO$1,0),FALSE),"OK","BAD")</f>
        <v>OK</v>
      </c>
    </row>
    <row r="51" spans="1:79" ht="14.4" customHeight="1" x14ac:dyDescent="0.3">
      <c r="A51" s="70">
        <v>384136</v>
      </c>
      <c r="B51" s="65" t="s">
        <v>891</v>
      </c>
      <c r="C51" s="98" t="s">
        <v>1145</v>
      </c>
      <c r="D51" s="65" t="s">
        <v>106</v>
      </c>
      <c r="E51" s="64">
        <v>256</v>
      </c>
      <c r="F51" s="64" t="s">
        <v>879</v>
      </c>
      <c r="G51" s="64" t="s">
        <v>1598</v>
      </c>
      <c r="H51" s="64" t="s">
        <v>550</v>
      </c>
      <c r="I51" s="99" t="s">
        <v>38</v>
      </c>
      <c r="J51" s="64" t="s">
        <v>1412</v>
      </c>
      <c r="K51" s="64">
        <v>384135</v>
      </c>
      <c r="L51" s="62" t="s">
        <v>950</v>
      </c>
      <c r="M51" s="67" t="s">
        <v>37</v>
      </c>
      <c r="N51" s="67" t="s">
        <v>39</v>
      </c>
      <c r="O51" s="67">
        <v>4</v>
      </c>
      <c r="P51" s="66" t="s">
        <v>131</v>
      </c>
      <c r="Q51" s="63">
        <v>5</v>
      </c>
      <c r="R51" s="63">
        <v>99</v>
      </c>
      <c r="S51" s="63">
        <v>0</v>
      </c>
      <c r="T51" s="63">
        <v>14</v>
      </c>
      <c r="U51" s="63">
        <v>25</v>
      </c>
      <c r="V51" s="63">
        <v>3</v>
      </c>
      <c r="W51" s="63">
        <v>0</v>
      </c>
      <c r="X51" s="63">
        <v>0</v>
      </c>
      <c r="Y51" s="63">
        <v>0</v>
      </c>
      <c r="Z51" s="63">
        <v>83</v>
      </c>
      <c r="AA51" s="63">
        <v>0</v>
      </c>
      <c r="AB51" s="63">
        <v>0</v>
      </c>
      <c r="AC51" s="63">
        <v>0</v>
      </c>
      <c r="AD51" s="63">
        <v>32</v>
      </c>
      <c r="AE51" s="63">
        <v>0</v>
      </c>
      <c r="AF51" s="63">
        <v>0</v>
      </c>
      <c r="AG51" s="63">
        <v>0</v>
      </c>
      <c r="AH51" s="63">
        <v>0</v>
      </c>
      <c r="AI51" s="63">
        <v>0</v>
      </c>
      <c r="AJ51" s="63">
        <v>157</v>
      </c>
      <c r="AK51" s="63">
        <v>0</v>
      </c>
      <c r="AL51" s="63" t="s">
        <v>35</v>
      </c>
      <c r="AM51" s="63" t="s">
        <v>854</v>
      </c>
      <c r="AN51" s="220" t="s">
        <v>33</v>
      </c>
      <c r="AO51" s="224"/>
      <c r="AP51" s="95" t="e">
        <f>IF(C51=VLOOKUP($A51,Feature_List!$A$2:$AO$101,MATCH(AP$1,Feature_List!$A$1:$AO$1,0),FALSE),"OK","BAD")</f>
        <v>#N/A</v>
      </c>
      <c r="AQ51" s="95" t="e">
        <f>IF(D51=VLOOKUP($A51,Feature_List!$A$2:$AO$101,MATCH(AQ$1,Feature_List!$A$1:$AO$1,0),FALSE),"OK","BAD")</f>
        <v>#N/A</v>
      </c>
      <c r="AR51" s="95" t="e">
        <f>IF(E51=VLOOKUP($A51,Feature_List!$A$2:$AO$101,MATCH(AR$1,Feature_List!$A$1:$AO$1,0),FALSE),"OK","BAD")</f>
        <v>#N/A</v>
      </c>
      <c r="AS51" s="95" t="e">
        <f>IF(F51=VLOOKUP($A51,Feature_List!$A$2:$AO$101,MATCH(AS$1,Feature_List!$A$1:$AO$1,0),FALSE),"OK","BAD")</f>
        <v>#N/A</v>
      </c>
      <c r="AT51" s="95" t="s">
        <v>985</v>
      </c>
      <c r="AU51" s="95" t="s">
        <v>985</v>
      </c>
      <c r="AV51" s="95" t="e">
        <f>IF(I51=VLOOKUP($A51,Feature_List!$A$2:$AO$101,MATCH(AV$1,Feature_List!$A$1:$AO$1,0),FALSE),"OK","BAD")</f>
        <v>#N/A</v>
      </c>
      <c r="AW51" s="95" t="e">
        <f>IF(J51=VLOOKUP($A51,Feature_List!$A$2:$AO$101,MATCH(AW$1,Feature_List!$A$1:$AO$1,0),FALSE),"OK","BAD")</f>
        <v>#N/A</v>
      </c>
      <c r="AX51" s="95" t="e">
        <f>IF(K51=VLOOKUP($A51,Feature_List!$A$2:$AO$101,MATCH(AX$1,Feature_List!$A$1:$AO$1,0),FALSE),"OK","BAD")</f>
        <v>#N/A</v>
      </c>
      <c r="AY51" s="95" t="e">
        <f>IF(L51=VLOOKUP($A51,Feature_List!$A$2:$AO$101,MATCH(AY$1,Feature_List!$A$1:$AO$1,0),FALSE),"OK","BAD")</f>
        <v>#N/A</v>
      </c>
      <c r="AZ51" s="95" t="e">
        <f>IF(M51=VLOOKUP($A51,Feature_List!$A$2:$AO$101,MATCH(AZ$1,Feature_List!$A$1:$AO$1,0),FALSE),"OK","BAD")</f>
        <v>#N/A</v>
      </c>
      <c r="BA51" s="95" t="e">
        <f>IF(N51=VLOOKUP($A51,Feature_List!$A$2:$AO$101,MATCH(BA$1,Feature_List!$A$1:$AO$1,0),FALSE),"OK","BAD")</f>
        <v>#N/A</v>
      </c>
      <c r="BB51" s="95" t="e">
        <f>IF(O51=VLOOKUP($A51,Feature_List!$A$2:$AO$101,MATCH(BB$1,Feature_List!$A$1:$AO$1,0),FALSE),"OK","BAD")</f>
        <v>#N/A</v>
      </c>
      <c r="BC51" s="95" t="e">
        <f>IF(P51=VLOOKUP($A51,Feature_List!$A$2:$AO$101,MATCH(BC$1,Feature_List!$A$1:$AO$1,0),FALSE),"OK","BAD")</f>
        <v>#N/A</v>
      </c>
      <c r="BD51" s="95" t="e">
        <f>IF(Q51=VLOOKUP($A51,Feature_List!$A$2:$AO$101,MATCH(BD$1,Feature_List!$A$1:$AO$1,0),FALSE),"OK","BAD")</f>
        <v>#N/A</v>
      </c>
      <c r="BE51" s="95" t="e">
        <f>IF(R51=VLOOKUP($A51,Feature_List!$A$2:$AO$101,MATCH(BE$1,Feature_List!$A$1:$AO$1,0),FALSE),"OK","BAD")</f>
        <v>#N/A</v>
      </c>
      <c r="BF51" s="95" t="e">
        <f>IF(S51=VLOOKUP($A51,Feature_List!$A$2:$AO$101,MATCH(BF$1,Feature_List!$A$1:$AO$1,0),FALSE),"OK","BAD")</f>
        <v>#N/A</v>
      </c>
      <c r="BG51" s="95" t="e">
        <f>IF(T51=VLOOKUP($A51,Feature_List!$A$2:$AO$101,MATCH(BG$1,Feature_List!$A$1:$AO$1,0),FALSE),"OK","BAD")</f>
        <v>#N/A</v>
      </c>
      <c r="BH51" s="95" t="e">
        <f>IF(U51=VLOOKUP($A51,Feature_List!$A$2:$AO$101,MATCH(BH$1,Feature_List!$A$1:$AO$1,0),FALSE),"OK","BAD")</f>
        <v>#N/A</v>
      </c>
      <c r="BI51" s="95" t="e">
        <f>IF(V51=VLOOKUP($A51,Feature_List!$A$2:$AO$101,MATCH(BI$1,Feature_List!$A$1:$AO$1,0),FALSE),"OK","BAD")</f>
        <v>#N/A</v>
      </c>
      <c r="BJ51" s="95" t="e">
        <f>IF(W51=VLOOKUP($A51,Feature_List!$A$2:$AO$101,MATCH(BJ$1,Feature_List!$A$1:$AO$1,0),FALSE),"OK","BAD")</f>
        <v>#N/A</v>
      </c>
      <c r="BK51" s="95" t="e">
        <f>IF(X51=VLOOKUP($A51,Feature_List!$A$2:$AO$101,MATCH(BK$1,Feature_List!$A$1:$AO$1,0),FALSE),"OK","BAD")</f>
        <v>#N/A</v>
      </c>
      <c r="BL51" s="95" t="e">
        <f>IF(Y51=VLOOKUP($A51,Feature_List!$A$2:$AO$101,MATCH(BL$1,Feature_List!$A$1:$AO$1,0),FALSE),"OK","BAD")</f>
        <v>#N/A</v>
      </c>
      <c r="BM51" s="95" t="e">
        <f>IF(Z51=VLOOKUP($A51,Feature_List!$A$2:$AO$101,MATCH(BM$1,Feature_List!$A$1:$AO$1,0),FALSE),"OK","BAD")</f>
        <v>#N/A</v>
      </c>
      <c r="BN51" s="95" t="e">
        <f>IF(AA51=VLOOKUP($A51,Feature_List!$A$2:$AO$101,MATCH(BN$1,Feature_List!$A$1:$AO$1,0),FALSE),"OK","BAD")</f>
        <v>#N/A</v>
      </c>
      <c r="BO51" s="95" t="e">
        <f>IF(AB51=VLOOKUP($A51,Feature_List!$A$2:$AO$101,MATCH(BO$1,Feature_List!$A$1:$AO$1,0),FALSE),"OK","BAD")</f>
        <v>#N/A</v>
      </c>
      <c r="BP51" s="95" t="e">
        <f>IF(AC51=VLOOKUP($A51,Feature_List!$A$2:$AO$101,MATCH(BP$1,Feature_List!$A$1:$AO$1,0),FALSE),"OK","BAD")</f>
        <v>#N/A</v>
      </c>
      <c r="BQ51" s="95" t="e">
        <f>IF(AD51=VLOOKUP($A51,Feature_List!$A$2:$AO$101,MATCH(BQ$1,Feature_List!$A$1:$AO$1,0),FALSE),"OK","BAD")</f>
        <v>#N/A</v>
      </c>
      <c r="BR51" s="95" t="e">
        <f>IF(AE51=VLOOKUP($A51,Feature_List!$A$2:$AO$101,MATCH(BR$1,Feature_List!$A$1:$AO$1,0),FALSE),"OK","BAD")</f>
        <v>#N/A</v>
      </c>
      <c r="BS51" s="95" t="e">
        <f>IF(AF51=VLOOKUP($A51,Feature_List!$A$2:$AO$101,MATCH(BS$1,Feature_List!$A$1:$AO$1,0),FALSE),"OK","BAD")</f>
        <v>#N/A</v>
      </c>
      <c r="BT51" s="95" t="e">
        <f>IF(AG51=VLOOKUP($A51,Feature_List!$A$2:$AO$101,MATCH(BT$1,Feature_List!$A$1:$AO$1,0),FALSE),"OK","BAD")</f>
        <v>#N/A</v>
      </c>
      <c r="BU51" s="95" t="e">
        <f>IF(AH51=VLOOKUP($A51,Feature_List!$A$2:$AO$101,MATCH(BU$1,Feature_List!$A$1:$AO$1,0),FALSE),"OK","BAD")</f>
        <v>#N/A</v>
      </c>
      <c r="BV51" s="95" t="e">
        <f>IF(AI51=VLOOKUP($A51,Feature_List!$A$2:$AO$101,MATCH(BV$1,Feature_List!$A$1:$AO$1,0),FALSE),"OK","BAD")</f>
        <v>#N/A</v>
      </c>
      <c r="BW51" s="95" t="e">
        <f>IF(AJ51=VLOOKUP($A51,Feature_List!$A$2:$AO$101,MATCH(BW$1,Feature_List!$A$1:$AO$1,0),FALSE),"OK","BAD")</f>
        <v>#N/A</v>
      </c>
      <c r="BX51" s="95" t="e">
        <f>IF(AK51=VLOOKUP($A51,Feature_List!$A$2:$AO$101,MATCH(BX$1,Feature_List!$A$1:$AO$1,0),FALSE),"OK","BAD")</f>
        <v>#N/A</v>
      </c>
      <c r="BY51" s="95" t="e">
        <f>IF(AL51=VLOOKUP($A51,Feature_List!$A$2:$AO$101,MATCH(BY$1,Feature_List!$A$1:$AO$1,0),FALSE),"OK","BAD")</f>
        <v>#N/A</v>
      </c>
      <c r="BZ51" s="95" t="e">
        <f>IF(AM51=VLOOKUP($A51,Feature_List!$A$2:$AO$101,MATCH(BZ$1,Feature_List!$A$1:$AO$1,0),FALSE),"OK","BAD")</f>
        <v>#N/A</v>
      </c>
      <c r="CA51" s="95" t="e">
        <f>IF(AN51=VLOOKUP($A51,Feature_List!$A$2:$AO$101,MATCH(CA$1,Feature_List!$A$1:$AO$1,0),FALSE),"OK","BAD")</f>
        <v>#N/A</v>
      </c>
    </row>
    <row r="52" spans="1:79" ht="14.4" customHeight="1" x14ac:dyDescent="0.3">
      <c r="A52" s="70">
        <v>384084</v>
      </c>
      <c r="B52" s="65" t="s">
        <v>890</v>
      </c>
      <c r="C52" s="98" t="s">
        <v>1143</v>
      </c>
      <c r="D52" s="65" t="s">
        <v>106</v>
      </c>
      <c r="E52" s="64">
        <v>46</v>
      </c>
      <c r="F52" s="64" t="s">
        <v>880</v>
      </c>
      <c r="G52" s="64" t="s">
        <v>962</v>
      </c>
      <c r="H52" s="64" t="s">
        <v>999</v>
      </c>
      <c r="I52" s="99" t="s">
        <v>939</v>
      </c>
      <c r="J52" s="64" t="s">
        <v>1412</v>
      </c>
      <c r="K52" s="64">
        <v>383110</v>
      </c>
      <c r="L52" s="62" t="s">
        <v>947</v>
      </c>
      <c r="M52" s="67" t="s">
        <v>37</v>
      </c>
      <c r="N52" s="67" t="s">
        <v>39</v>
      </c>
      <c r="O52" s="67">
        <v>0</v>
      </c>
      <c r="P52" s="66" t="s">
        <v>131</v>
      </c>
      <c r="Q52" s="63">
        <v>3</v>
      </c>
      <c r="R52" s="63">
        <v>9</v>
      </c>
      <c r="S52" s="63">
        <v>0</v>
      </c>
      <c r="T52" s="63">
        <v>0</v>
      </c>
      <c r="U52" s="63">
        <v>0</v>
      </c>
      <c r="V52" s="63">
        <v>0</v>
      </c>
      <c r="W52" s="63">
        <v>0</v>
      </c>
      <c r="X52" s="63">
        <v>0</v>
      </c>
      <c r="Y52" s="63">
        <v>0</v>
      </c>
      <c r="Z52" s="63">
        <v>5</v>
      </c>
      <c r="AA52" s="63">
        <v>0</v>
      </c>
      <c r="AB52" s="63">
        <v>0</v>
      </c>
      <c r="AC52" s="63">
        <v>24</v>
      </c>
      <c r="AD52" s="63">
        <v>8</v>
      </c>
      <c r="AE52" s="63">
        <v>0</v>
      </c>
      <c r="AF52" s="63">
        <v>0</v>
      </c>
      <c r="AG52" s="63">
        <v>0</v>
      </c>
      <c r="AH52" s="63">
        <v>0</v>
      </c>
      <c r="AI52" s="63">
        <v>0</v>
      </c>
      <c r="AJ52" s="63">
        <v>37</v>
      </c>
      <c r="AK52" s="63">
        <v>0</v>
      </c>
      <c r="AL52" s="63" t="s">
        <v>35</v>
      </c>
      <c r="AM52" s="63" t="s">
        <v>854</v>
      </c>
      <c r="AN52" s="220" t="s">
        <v>33</v>
      </c>
      <c r="AO52" s="224"/>
      <c r="AP52" s="95" t="str">
        <f>IF(C52=VLOOKUP($A52,Feature_List!$A$2:$AO$101,MATCH(AP$1,Feature_List!$A$1:$AO$1,0),FALSE),"OK","BAD")</f>
        <v>BAD</v>
      </c>
      <c r="AQ52" s="95" t="str">
        <f>IF(D52=VLOOKUP($A52,Feature_List!$A$2:$AO$101,MATCH(AQ$1,Feature_List!$A$1:$AO$1,0),FALSE),"OK","BAD")</f>
        <v>OK</v>
      </c>
      <c r="AR52" s="95" t="str">
        <f>IF(E52=VLOOKUP($A52,Feature_List!$A$2:$AO$101,MATCH(AR$1,Feature_List!$A$1:$AO$1,0),FALSE),"OK","BAD")</f>
        <v>OK</v>
      </c>
      <c r="AS52" s="95" t="str">
        <f>IF(F52=VLOOKUP($A52,Feature_List!$A$2:$AO$101,MATCH(AS$1,Feature_List!$A$1:$AO$1,0),FALSE),"OK","BAD")</f>
        <v>OK</v>
      </c>
      <c r="AT52" s="95" t="s">
        <v>985</v>
      </c>
      <c r="AU52" s="95" t="s">
        <v>985</v>
      </c>
      <c r="AV52" s="95" t="str">
        <f>IF(I52=VLOOKUP($A52,Feature_List!$A$2:$AO$101,MATCH(AV$1,Feature_List!$A$1:$AO$1,0),FALSE),"OK","BAD")</f>
        <v>BAD</v>
      </c>
      <c r="AW52" s="95" t="str">
        <f>IF(J52=VLOOKUP($A52,Feature_List!$A$2:$AO$101,MATCH(AW$1,Feature_List!$A$1:$AO$1,0),FALSE),"OK","BAD")</f>
        <v>OK</v>
      </c>
      <c r="AX52" s="95" t="str">
        <f>IF(K52=VLOOKUP($A52,Feature_List!$A$2:$AO$101,MATCH(AX$1,Feature_List!$A$1:$AO$1,0),FALSE),"OK","BAD")</f>
        <v>BAD</v>
      </c>
      <c r="AY52" s="95" t="str">
        <f>IF(L52=VLOOKUP($A52,Feature_List!$A$2:$AO$101,MATCH(AY$1,Feature_List!$A$1:$AO$1,0),FALSE),"OK","BAD")</f>
        <v>OK</v>
      </c>
      <c r="AZ52" s="95" t="str">
        <f>IF(M52=VLOOKUP($A52,Feature_List!$A$2:$AO$101,MATCH(AZ$1,Feature_List!$A$1:$AO$1,0),FALSE),"OK","BAD")</f>
        <v>OK</v>
      </c>
      <c r="BA52" s="95" t="str">
        <f>IF(N52=VLOOKUP($A52,Feature_List!$A$2:$AO$101,MATCH(BA$1,Feature_List!$A$1:$AO$1,0),FALSE),"OK","BAD")</f>
        <v>OK</v>
      </c>
      <c r="BB52" s="95" t="str">
        <f>IF(O52=VLOOKUP($A52,Feature_List!$A$2:$AO$101,MATCH(BB$1,Feature_List!$A$1:$AO$1,0),FALSE),"OK","BAD")</f>
        <v>OK</v>
      </c>
      <c r="BC52" s="95" t="e">
        <f>IF(P52=VLOOKUP($A52,Feature_List!$A$2:$AO$101,MATCH(BC$1,Feature_List!$A$1:$AO$1,0),FALSE),"OK","BAD")</f>
        <v>#N/A</v>
      </c>
      <c r="BD52" s="95" t="str">
        <f>IF(Q52=VLOOKUP($A52,Feature_List!$A$2:$AO$101,MATCH(BD$1,Feature_List!$A$1:$AO$1,0),FALSE),"OK","BAD")</f>
        <v>OK</v>
      </c>
      <c r="BE52" s="95" t="str">
        <f>IF(R52=VLOOKUP($A52,Feature_List!$A$2:$AO$101,MATCH(BE$1,Feature_List!$A$1:$AO$1,0),FALSE),"OK","BAD")</f>
        <v>BAD</v>
      </c>
      <c r="BF52" s="95" t="str">
        <f>IF(S52=VLOOKUP($A52,Feature_List!$A$2:$AO$101,MATCH(BF$1,Feature_List!$A$1:$AO$1,0),FALSE),"OK","BAD")</f>
        <v>OK</v>
      </c>
      <c r="BG52" s="95" t="str">
        <f>IF(T52=VLOOKUP($A52,Feature_List!$A$2:$AO$101,MATCH(BG$1,Feature_List!$A$1:$AO$1,0),FALSE),"OK","BAD")</f>
        <v>OK</v>
      </c>
      <c r="BH52" s="95" t="str">
        <f>IF(U52=VLOOKUP($A52,Feature_List!$A$2:$AO$101,MATCH(BH$1,Feature_List!$A$1:$AO$1,0),FALSE),"OK","BAD")</f>
        <v>OK</v>
      </c>
      <c r="BI52" s="95" t="str">
        <f>IF(V52=VLOOKUP($A52,Feature_List!$A$2:$AO$101,MATCH(BI$1,Feature_List!$A$1:$AO$1,0),FALSE),"OK","BAD")</f>
        <v>OK</v>
      </c>
      <c r="BJ52" s="95" t="e">
        <f>IF(W52=VLOOKUP($A52,Feature_List!$A$2:$AO$101,MATCH(BJ$1,Feature_List!$A$1:$AO$1,0),FALSE),"OK","BAD")</f>
        <v>#N/A</v>
      </c>
      <c r="BK52" s="95" t="str">
        <f>IF(X52=VLOOKUP($A52,Feature_List!$A$2:$AO$101,MATCH(BK$1,Feature_List!$A$1:$AO$1,0),FALSE),"OK","BAD")</f>
        <v>OK</v>
      </c>
      <c r="BL52" s="95" t="str">
        <f>IF(Y52=VLOOKUP($A52,Feature_List!$A$2:$AO$101,MATCH(BL$1,Feature_List!$A$1:$AO$1,0),FALSE),"OK","BAD")</f>
        <v>OK</v>
      </c>
      <c r="BM52" s="95" t="str">
        <f>IF(Z52=VLOOKUP($A52,Feature_List!$A$2:$AO$101,MATCH(BM$1,Feature_List!$A$1:$AO$1,0),FALSE),"OK","BAD")</f>
        <v>BAD</v>
      </c>
      <c r="BN52" s="95" t="str">
        <f>IF(AA52=VLOOKUP($A52,Feature_List!$A$2:$AO$101,MATCH(BN$1,Feature_List!$A$1:$AO$1,0),FALSE),"OK","BAD")</f>
        <v>OK</v>
      </c>
      <c r="BO52" s="95" t="str">
        <f>IF(AB52=VLOOKUP($A52,Feature_List!$A$2:$AO$101,MATCH(BO$1,Feature_List!$A$1:$AO$1,0),FALSE),"OK","BAD")</f>
        <v>OK</v>
      </c>
      <c r="BP52" s="95" t="str">
        <f>IF(AC52=VLOOKUP($A52,Feature_List!$A$2:$AO$101,MATCH(BP$1,Feature_List!$A$1:$AO$1,0),FALSE),"OK","BAD")</f>
        <v>BAD</v>
      </c>
      <c r="BQ52" s="95" t="str">
        <f>IF(AD52=VLOOKUP($A52,Feature_List!$A$2:$AO$101,MATCH(BQ$1,Feature_List!$A$1:$AO$1,0),FALSE),"OK","BAD")</f>
        <v>BAD</v>
      </c>
      <c r="BR52" s="95" t="str">
        <f>IF(AE52=VLOOKUP($A52,Feature_List!$A$2:$AO$101,MATCH(BR$1,Feature_List!$A$1:$AO$1,0),FALSE),"OK","BAD")</f>
        <v>OK</v>
      </c>
      <c r="BS52" s="95" t="str">
        <f>IF(AF52=VLOOKUP($A52,Feature_List!$A$2:$AO$101,MATCH(BS$1,Feature_List!$A$1:$AO$1,0),FALSE),"OK","BAD")</f>
        <v>OK</v>
      </c>
      <c r="BT52" s="95" t="str">
        <f>IF(AG52=VLOOKUP($A52,Feature_List!$A$2:$AO$101,MATCH(BT$1,Feature_List!$A$1:$AO$1,0),FALSE),"OK","BAD")</f>
        <v>OK</v>
      </c>
      <c r="BU52" s="95" t="str">
        <f>IF(AH52=VLOOKUP($A52,Feature_List!$A$2:$AO$101,MATCH(BU$1,Feature_List!$A$1:$AO$1,0),FALSE),"OK","BAD")</f>
        <v>OK</v>
      </c>
      <c r="BV52" s="95" t="e">
        <f>IF(AI52=VLOOKUP($A52,Feature_List!$A$2:$AO$101,MATCH(BV$1,Feature_List!$A$1:$AO$1,0),FALSE),"OK","BAD")</f>
        <v>#N/A</v>
      </c>
      <c r="BW52" s="95" t="e">
        <f>IF(AJ52=VLOOKUP($A52,Feature_List!$A$2:$AO$101,MATCH(BW$1,Feature_List!$A$1:$AO$1,0),FALSE),"OK","BAD")</f>
        <v>#N/A</v>
      </c>
      <c r="BX52" s="95" t="e">
        <f>IF(AK52=VLOOKUP($A52,Feature_List!$A$2:$AO$101,MATCH(BX$1,Feature_List!$A$1:$AO$1,0),FALSE),"OK","BAD")</f>
        <v>#N/A</v>
      </c>
      <c r="BY52" s="95" t="str">
        <f>IF(AL52=VLOOKUP($A52,Feature_List!$A$2:$AO$101,MATCH(BY$1,Feature_List!$A$1:$AO$1,0),FALSE),"OK","BAD")</f>
        <v>OK</v>
      </c>
      <c r="BZ52" s="95" t="str">
        <f>IF(AM52=VLOOKUP($A52,Feature_List!$A$2:$AO$101,MATCH(BZ$1,Feature_List!$A$1:$AO$1,0),FALSE),"OK","BAD")</f>
        <v>OK</v>
      </c>
      <c r="CA52" s="95" t="str">
        <f>IF(AN52=VLOOKUP($A52,Feature_List!$A$2:$AO$101,MATCH(CA$1,Feature_List!$A$1:$AO$1,0),FALSE),"OK","BAD")</f>
        <v>OK</v>
      </c>
    </row>
    <row r="53" spans="1:79" ht="14.4" customHeight="1" x14ac:dyDescent="0.3">
      <c r="A53" s="70">
        <v>384036</v>
      </c>
      <c r="B53" s="65" t="s">
        <v>889</v>
      </c>
      <c r="C53" s="98" t="s">
        <v>1145</v>
      </c>
      <c r="D53" s="65" t="s">
        <v>106</v>
      </c>
      <c r="E53" s="64">
        <v>333</v>
      </c>
      <c r="F53" s="64" t="s">
        <v>879</v>
      </c>
      <c r="G53" s="64" t="s">
        <v>984</v>
      </c>
      <c r="H53" s="64" t="s">
        <v>1585</v>
      </c>
      <c r="I53" s="99" t="s">
        <v>38</v>
      </c>
      <c r="J53" s="64" t="s">
        <v>1412</v>
      </c>
      <c r="K53" s="64">
        <v>383110</v>
      </c>
      <c r="L53" s="62" t="s">
        <v>950</v>
      </c>
      <c r="M53" s="67" t="s">
        <v>37</v>
      </c>
      <c r="N53" s="67" t="s">
        <v>39</v>
      </c>
      <c r="O53" s="67">
        <v>0</v>
      </c>
      <c r="P53" s="66" t="s">
        <v>131</v>
      </c>
      <c r="Q53" s="63">
        <v>3</v>
      </c>
      <c r="R53" s="63">
        <v>167</v>
      </c>
      <c r="S53" s="63">
        <v>0</v>
      </c>
      <c r="T53" s="63">
        <v>0</v>
      </c>
      <c r="U53" s="63">
        <v>0</v>
      </c>
      <c r="V53" s="63">
        <v>10</v>
      </c>
      <c r="W53" s="63">
        <v>0</v>
      </c>
      <c r="X53" s="63">
        <v>0</v>
      </c>
      <c r="Y53" s="63">
        <v>0</v>
      </c>
      <c r="Z53" s="63">
        <v>151</v>
      </c>
      <c r="AA53" s="63">
        <v>0</v>
      </c>
      <c r="AB53" s="63">
        <v>0</v>
      </c>
      <c r="AC53" s="63">
        <v>0</v>
      </c>
      <c r="AD53" s="63">
        <v>5</v>
      </c>
      <c r="AE53" s="63">
        <v>0</v>
      </c>
      <c r="AF53" s="63">
        <v>0</v>
      </c>
      <c r="AG53" s="63">
        <v>0</v>
      </c>
      <c r="AH53" s="63">
        <v>0</v>
      </c>
      <c r="AI53" s="63">
        <v>0</v>
      </c>
      <c r="AJ53" s="63">
        <v>166</v>
      </c>
      <c r="AK53" s="63">
        <v>0</v>
      </c>
      <c r="AL53" s="63" t="s">
        <v>35</v>
      </c>
      <c r="AM53" s="63" t="s">
        <v>854</v>
      </c>
      <c r="AN53" s="220" t="s">
        <v>33</v>
      </c>
      <c r="AO53" s="224"/>
      <c r="AP53" s="95" t="e">
        <f>IF(C53=VLOOKUP($A53,Feature_List!$A$2:$AO$101,MATCH(AP$1,Feature_List!$A$1:$AO$1,0),FALSE),"OK","BAD")</f>
        <v>#N/A</v>
      </c>
      <c r="AQ53" s="95" t="e">
        <f>IF(D53=VLOOKUP($A53,Feature_List!$A$2:$AO$101,MATCH(AQ$1,Feature_List!$A$1:$AO$1,0),FALSE),"OK","BAD")</f>
        <v>#N/A</v>
      </c>
      <c r="AR53" s="95" t="e">
        <f>IF(E53=VLOOKUP($A53,Feature_List!$A$2:$AO$101,MATCH(AR$1,Feature_List!$A$1:$AO$1,0),FALSE),"OK","BAD")</f>
        <v>#N/A</v>
      </c>
      <c r="AS53" s="95" t="e">
        <f>IF(F53=VLOOKUP($A53,Feature_List!$A$2:$AO$101,MATCH(AS$1,Feature_List!$A$1:$AO$1,0),FALSE),"OK","BAD")</f>
        <v>#N/A</v>
      </c>
      <c r="AT53" s="95" t="s">
        <v>985</v>
      </c>
      <c r="AU53" s="95" t="s">
        <v>985</v>
      </c>
      <c r="AV53" s="95" t="e">
        <f>IF(I53=VLOOKUP($A53,Feature_List!$A$2:$AO$101,MATCH(AV$1,Feature_List!$A$1:$AO$1,0),FALSE),"OK","BAD")</f>
        <v>#N/A</v>
      </c>
      <c r="AW53" s="95" t="e">
        <f>IF(J53=VLOOKUP($A53,Feature_List!$A$2:$AO$101,MATCH(AW$1,Feature_List!$A$1:$AO$1,0),FALSE),"OK","BAD")</f>
        <v>#N/A</v>
      </c>
      <c r="AX53" s="95" t="e">
        <f>IF(K53=VLOOKUP($A53,Feature_List!$A$2:$AO$101,MATCH(AX$1,Feature_List!$A$1:$AO$1,0),FALSE),"OK","BAD")</f>
        <v>#N/A</v>
      </c>
      <c r="AY53" s="95" t="e">
        <f>IF(L53=VLOOKUP($A53,Feature_List!$A$2:$AO$101,MATCH(AY$1,Feature_List!$A$1:$AO$1,0),FALSE),"OK","BAD")</f>
        <v>#N/A</v>
      </c>
      <c r="AZ53" s="95" t="e">
        <f>IF(M53=VLOOKUP($A53,Feature_List!$A$2:$AO$101,MATCH(AZ$1,Feature_List!$A$1:$AO$1,0),FALSE),"OK","BAD")</f>
        <v>#N/A</v>
      </c>
      <c r="BA53" s="95" t="e">
        <f>IF(N53=VLOOKUP($A53,Feature_List!$A$2:$AO$101,MATCH(BA$1,Feature_List!$A$1:$AO$1,0),FALSE),"OK","BAD")</f>
        <v>#N/A</v>
      </c>
      <c r="BB53" s="95" t="e">
        <f>IF(O53=VLOOKUP($A53,Feature_List!$A$2:$AO$101,MATCH(BB$1,Feature_List!$A$1:$AO$1,0),FALSE),"OK","BAD")</f>
        <v>#N/A</v>
      </c>
      <c r="BC53" s="95" t="e">
        <f>IF(P53=VLOOKUP($A53,Feature_List!$A$2:$AO$101,MATCH(BC$1,Feature_List!$A$1:$AO$1,0),FALSE),"OK","BAD")</f>
        <v>#N/A</v>
      </c>
      <c r="BD53" s="95" t="e">
        <f>IF(Q53=VLOOKUP($A53,Feature_List!$A$2:$AO$101,MATCH(BD$1,Feature_List!$A$1:$AO$1,0),FALSE),"OK","BAD")</f>
        <v>#N/A</v>
      </c>
      <c r="BE53" s="95" t="e">
        <f>IF(R53=VLOOKUP($A53,Feature_List!$A$2:$AO$101,MATCH(BE$1,Feature_List!$A$1:$AO$1,0),FALSE),"OK","BAD")</f>
        <v>#N/A</v>
      </c>
      <c r="BF53" s="95" t="e">
        <f>IF(S53=VLOOKUP($A53,Feature_List!$A$2:$AO$101,MATCH(BF$1,Feature_List!$A$1:$AO$1,0),FALSE),"OK","BAD")</f>
        <v>#N/A</v>
      </c>
      <c r="BG53" s="95" t="e">
        <f>IF(T53=VLOOKUP($A53,Feature_List!$A$2:$AO$101,MATCH(BG$1,Feature_List!$A$1:$AO$1,0),FALSE),"OK","BAD")</f>
        <v>#N/A</v>
      </c>
      <c r="BH53" s="95" t="e">
        <f>IF(U53=VLOOKUP($A53,Feature_List!$A$2:$AO$101,MATCH(BH$1,Feature_List!$A$1:$AO$1,0),FALSE),"OK","BAD")</f>
        <v>#N/A</v>
      </c>
      <c r="BI53" s="95" t="e">
        <f>IF(V53=VLOOKUP($A53,Feature_List!$A$2:$AO$101,MATCH(BI$1,Feature_List!$A$1:$AO$1,0),FALSE),"OK","BAD")</f>
        <v>#N/A</v>
      </c>
      <c r="BJ53" s="95" t="e">
        <f>IF(W53=VLOOKUP($A53,Feature_List!$A$2:$AO$101,MATCH(BJ$1,Feature_List!$A$1:$AO$1,0),FALSE),"OK","BAD")</f>
        <v>#N/A</v>
      </c>
      <c r="BK53" s="95" t="e">
        <f>IF(X53=VLOOKUP($A53,Feature_List!$A$2:$AO$101,MATCH(BK$1,Feature_List!$A$1:$AO$1,0),FALSE),"OK","BAD")</f>
        <v>#N/A</v>
      </c>
      <c r="BL53" s="95" t="e">
        <f>IF(Y53=VLOOKUP($A53,Feature_List!$A$2:$AO$101,MATCH(BL$1,Feature_List!$A$1:$AO$1,0),FALSE),"OK","BAD")</f>
        <v>#N/A</v>
      </c>
      <c r="BM53" s="95" t="e">
        <f>IF(Z53=VLOOKUP($A53,Feature_List!$A$2:$AO$101,MATCH(BM$1,Feature_List!$A$1:$AO$1,0),FALSE),"OK","BAD")</f>
        <v>#N/A</v>
      </c>
      <c r="BN53" s="95" t="e">
        <f>IF(AA53=VLOOKUP($A53,Feature_List!$A$2:$AO$101,MATCH(BN$1,Feature_List!$A$1:$AO$1,0),FALSE),"OK","BAD")</f>
        <v>#N/A</v>
      </c>
      <c r="BO53" s="95" t="e">
        <f>IF(AB53=VLOOKUP($A53,Feature_List!$A$2:$AO$101,MATCH(BO$1,Feature_List!$A$1:$AO$1,0),FALSE),"OK","BAD")</f>
        <v>#N/A</v>
      </c>
      <c r="BP53" s="95" t="e">
        <f>IF(AC53=VLOOKUP($A53,Feature_List!$A$2:$AO$101,MATCH(BP$1,Feature_List!$A$1:$AO$1,0),FALSE),"OK","BAD")</f>
        <v>#N/A</v>
      </c>
      <c r="BQ53" s="95" t="e">
        <f>IF(AD53=VLOOKUP($A53,Feature_List!$A$2:$AO$101,MATCH(BQ$1,Feature_List!$A$1:$AO$1,0),FALSE),"OK","BAD")</f>
        <v>#N/A</v>
      </c>
      <c r="BR53" s="95" t="e">
        <f>IF(AE53=VLOOKUP($A53,Feature_List!$A$2:$AO$101,MATCH(BR$1,Feature_List!$A$1:$AO$1,0),FALSE),"OK","BAD")</f>
        <v>#N/A</v>
      </c>
      <c r="BS53" s="95" t="e">
        <f>IF(AF53=VLOOKUP($A53,Feature_List!$A$2:$AO$101,MATCH(BS$1,Feature_List!$A$1:$AO$1,0),FALSE),"OK","BAD")</f>
        <v>#N/A</v>
      </c>
      <c r="BT53" s="95" t="e">
        <f>IF(AG53=VLOOKUP($A53,Feature_List!$A$2:$AO$101,MATCH(BT$1,Feature_List!$A$1:$AO$1,0),FALSE),"OK","BAD")</f>
        <v>#N/A</v>
      </c>
      <c r="BU53" s="95" t="e">
        <f>IF(AH53=VLOOKUP($A53,Feature_List!$A$2:$AO$101,MATCH(BU$1,Feature_List!$A$1:$AO$1,0),FALSE),"OK","BAD")</f>
        <v>#N/A</v>
      </c>
      <c r="BV53" s="95" t="e">
        <f>IF(AI53=VLOOKUP($A53,Feature_List!$A$2:$AO$101,MATCH(BV$1,Feature_List!$A$1:$AO$1,0),FALSE),"OK","BAD")</f>
        <v>#N/A</v>
      </c>
      <c r="BW53" s="95" t="e">
        <f>IF(AJ53=VLOOKUP($A53,Feature_List!$A$2:$AO$101,MATCH(BW$1,Feature_List!$A$1:$AO$1,0),FALSE),"OK","BAD")</f>
        <v>#N/A</v>
      </c>
      <c r="BX53" s="95" t="e">
        <f>IF(AK53=VLOOKUP($A53,Feature_List!$A$2:$AO$101,MATCH(BX$1,Feature_List!$A$1:$AO$1,0),FALSE),"OK","BAD")</f>
        <v>#N/A</v>
      </c>
      <c r="BY53" s="95" t="e">
        <f>IF(AL53=VLOOKUP($A53,Feature_List!$A$2:$AO$101,MATCH(BY$1,Feature_List!$A$1:$AO$1,0),FALSE),"OK","BAD")</f>
        <v>#N/A</v>
      </c>
      <c r="BZ53" s="95" t="e">
        <f>IF(AM53=VLOOKUP($A53,Feature_List!$A$2:$AO$101,MATCH(BZ$1,Feature_List!$A$1:$AO$1,0),FALSE),"OK","BAD")</f>
        <v>#N/A</v>
      </c>
      <c r="CA53" s="95" t="e">
        <f>IF(AN53=VLOOKUP($A53,Feature_List!$A$2:$AO$101,MATCH(CA$1,Feature_List!$A$1:$AO$1,0),FALSE),"OK","BAD")</f>
        <v>#N/A</v>
      </c>
    </row>
    <row r="54" spans="1:79" ht="14.4" customHeight="1" x14ac:dyDescent="0.3">
      <c r="A54" s="70">
        <v>383958</v>
      </c>
      <c r="B54" s="65" t="s">
        <v>869</v>
      </c>
      <c r="C54" s="98" t="s">
        <v>972</v>
      </c>
      <c r="D54" s="65" t="s">
        <v>106</v>
      </c>
      <c r="E54" s="64">
        <v>103</v>
      </c>
      <c r="F54" s="64" t="s">
        <v>880</v>
      </c>
      <c r="G54" s="64" t="s">
        <v>1559</v>
      </c>
      <c r="H54" s="64" t="s">
        <v>998</v>
      </c>
      <c r="I54" s="99" t="s">
        <v>939</v>
      </c>
      <c r="J54" s="64" t="s">
        <v>1412</v>
      </c>
      <c r="K54" s="64">
        <v>385201</v>
      </c>
      <c r="L54" s="62" t="s">
        <v>947</v>
      </c>
      <c r="M54" s="67" t="s">
        <v>555</v>
      </c>
      <c r="N54" s="67" t="s">
        <v>556</v>
      </c>
      <c r="O54" s="67">
        <v>0</v>
      </c>
      <c r="P54" s="66" t="s">
        <v>131</v>
      </c>
      <c r="Q54" s="63">
        <v>1</v>
      </c>
      <c r="R54" s="63">
        <v>30</v>
      </c>
      <c r="S54" s="63">
        <v>0</v>
      </c>
      <c r="T54" s="63">
        <v>0</v>
      </c>
      <c r="U54" s="63">
        <v>0</v>
      </c>
      <c r="V54" s="63">
        <v>0</v>
      </c>
      <c r="W54" s="63">
        <v>0</v>
      </c>
      <c r="X54" s="63">
        <v>0</v>
      </c>
      <c r="Y54" s="63">
        <v>0</v>
      </c>
      <c r="Z54" s="63">
        <v>0</v>
      </c>
      <c r="AA54" s="63">
        <v>0</v>
      </c>
      <c r="AB54" s="63">
        <v>0</v>
      </c>
      <c r="AC54" s="63">
        <v>10</v>
      </c>
      <c r="AD54" s="63">
        <v>0</v>
      </c>
      <c r="AE54" s="63">
        <v>0</v>
      </c>
      <c r="AF54" s="63">
        <v>0</v>
      </c>
      <c r="AG54" s="63">
        <v>0</v>
      </c>
      <c r="AH54" s="63">
        <v>0</v>
      </c>
      <c r="AI54" s="63">
        <v>0</v>
      </c>
      <c r="AJ54" s="63">
        <v>10</v>
      </c>
      <c r="AK54" s="63">
        <v>63</v>
      </c>
      <c r="AL54" s="63" t="s">
        <v>35</v>
      </c>
      <c r="AM54" s="63" t="s">
        <v>854</v>
      </c>
      <c r="AN54" s="220" t="s">
        <v>33</v>
      </c>
      <c r="AO54" s="224"/>
      <c r="AP54" s="95" t="str">
        <f>IF(C54=VLOOKUP($A54,Feature_List!$A$2:$AO$101,MATCH(AP$1,Feature_List!$A$1:$AO$1,0),FALSE),"OK","BAD")</f>
        <v>OK</v>
      </c>
      <c r="AQ54" s="95" t="str">
        <f>IF(D54=VLOOKUP($A54,Feature_List!$A$2:$AO$101,MATCH(AQ$1,Feature_List!$A$1:$AO$1,0),FALSE),"OK","BAD")</f>
        <v>OK</v>
      </c>
      <c r="AR54" s="95" t="str">
        <f>IF(E54=VLOOKUP($A54,Feature_List!$A$2:$AO$101,MATCH(AR$1,Feature_List!$A$1:$AO$1,0),FALSE),"OK","BAD")</f>
        <v>OK</v>
      </c>
      <c r="AS54" s="95" t="str">
        <f>IF(F54=VLOOKUP($A54,Feature_List!$A$2:$AO$101,MATCH(AS$1,Feature_List!$A$1:$AO$1,0),FALSE),"OK","BAD")</f>
        <v>OK</v>
      </c>
      <c r="AT54" s="95" t="s">
        <v>985</v>
      </c>
      <c r="AU54" s="95" t="s">
        <v>985</v>
      </c>
      <c r="AV54" s="95" t="str">
        <f>IF(I54=VLOOKUP($A54,Feature_List!$A$2:$AO$101,MATCH(AV$1,Feature_List!$A$1:$AO$1,0),FALSE),"OK","BAD")</f>
        <v>OK</v>
      </c>
      <c r="AW54" s="95" t="str">
        <f>IF(J54=VLOOKUP($A54,Feature_List!$A$2:$AO$101,MATCH(AW$1,Feature_List!$A$1:$AO$1,0),FALSE),"OK","BAD")</f>
        <v>OK</v>
      </c>
      <c r="AX54" s="95" t="str">
        <f>IF(K54=VLOOKUP($A54,Feature_List!$A$2:$AO$101,MATCH(AX$1,Feature_List!$A$1:$AO$1,0),FALSE),"OK","BAD")</f>
        <v>OK</v>
      </c>
      <c r="AY54" s="95" t="str">
        <f>IF(L54=VLOOKUP($A54,Feature_List!$A$2:$AO$101,MATCH(AY$1,Feature_List!$A$1:$AO$1,0),FALSE),"OK","BAD")</f>
        <v>OK</v>
      </c>
      <c r="AZ54" s="95" t="str">
        <f>IF(M54=VLOOKUP($A54,Feature_List!$A$2:$AO$101,MATCH(AZ$1,Feature_List!$A$1:$AO$1,0),FALSE),"OK","BAD")</f>
        <v>OK</v>
      </c>
      <c r="BA54" s="95" t="str">
        <f>IF(N54=VLOOKUP($A54,Feature_List!$A$2:$AO$101,MATCH(BA$1,Feature_List!$A$1:$AO$1,0),FALSE),"OK","BAD")</f>
        <v>OK</v>
      </c>
      <c r="BB54" s="95" t="str">
        <f>IF(O54=VLOOKUP($A54,Feature_List!$A$2:$AO$101,MATCH(BB$1,Feature_List!$A$1:$AO$1,0),FALSE),"OK","BAD")</f>
        <v>OK</v>
      </c>
      <c r="BC54" s="95" t="e">
        <f>IF(P54=VLOOKUP($A54,Feature_List!$A$2:$AO$101,MATCH(BC$1,Feature_List!$A$1:$AO$1,0),FALSE),"OK","BAD")</f>
        <v>#N/A</v>
      </c>
      <c r="BD54" s="95" t="str">
        <f>IF(Q54=VLOOKUP($A54,Feature_List!$A$2:$AO$101,MATCH(BD$1,Feature_List!$A$1:$AO$1,0),FALSE),"OK","BAD")</f>
        <v>BAD</v>
      </c>
      <c r="BE54" s="95" t="str">
        <f>IF(R54=VLOOKUP($A54,Feature_List!$A$2:$AO$101,MATCH(BE$1,Feature_List!$A$1:$AO$1,0),FALSE),"OK","BAD")</f>
        <v>BAD</v>
      </c>
      <c r="BF54" s="95" t="str">
        <f>IF(S54=VLOOKUP($A54,Feature_List!$A$2:$AO$101,MATCH(BF$1,Feature_List!$A$1:$AO$1,0),FALSE),"OK","BAD")</f>
        <v>OK</v>
      </c>
      <c r="BG54" s="95" t="str">
        <f>IF(T54=VLOOKUP($A54,Feature_List!$A$2:$AO$101,MATCH(BG$1,Feature_List!$A$1:$AO$1,0),FALSE),"OK","BAD")</f>
        <v>OK</v>
      </c>
      <c r="BH54" s="95" t="str">
        <f>IF(U54=VLOOKUP($A54,Feature_List!$A$2:$AO$101,MATCH(BH$1,Feature_List!$A$1:$AO$1,0),FALSE),"OK","BAD")</f>
        <v>BAD</v>
      </c>
      <c r="BI54" s="95" t="str">
        <f>IF(V54=VLOOKUP($A54,Feature_List!$A$2:$AO$101,MATCH(BI$1,Feature_List!$A$1:$AO$1,0),FALSE),"OK","BAD")</f>
        <v>OK</v>
      </c>
      <c r="BJ54" s="95" t="e">
        <f>IF(W54=VLOOKUP($A54,Feature_List!$A$2:$AO$101,MATCH(BJ$1,Feature_List!$A$1:$AO$1,0),FALSE),"OK","BAD")</f>
        <v>#N/A</v>
      </c>
      <c r="BK54" s="95" t="str">
        <f>IF(X54=VLOOKUP($A54,Feature_List!$A$2:$AO$101,MATCH(BK$1,Feature_List!$A$1:$AO$1,0),FALSE),"OK","BAD")</f>
        <v>OK</v>
      </c>
      <c r="BL54" s="95" t="str">
        <f>IF(Y54=VLOOKUP($A54,Feature_List!$A$2:$AO$101,MATCH(BL$1,Feature_List!$A$1:$AO$1,0),FALSE),"OK","BAD")</f>
        <v>OK</v>
      </c>
      <c r="BM54" s="95" t="str">
        <f>IF(Z54=VLOOKUP($A54,Feature_List!$A$2:$AO$101,MATCH(BM$1,Feature_List!$A$1:$AO$1,0),FALSE),"OK","BAD")</f>
        <v>OK</v>
      </c>
      <c r="BN54" s="95" t="str">
        <f>IF(AA54=VLOOKUP($A54,Feature_List!$A$2:$AO$101,MATCH(BN$1,Feature_List!$A$1:$AO$1,0),FALSE),"OK","BAD")</f>
        <v>OK</v>
      </c>
      <c r="BO54" s="95" t="str">
        <f>IF(AB54=VLOOKUP($A54,Feature_List!$A$2:$AO$101,MATCH(BO$1,Feature_List!$A$1:$AO$1,0),FALSE),"OK","BAD")</f>
        <v>OK</v>
      </c>
      <c r="BP54" s="95" t="str">
        <f>IF(AC54=VLOOKUP($A54,Feature_List!$A$2:$AO$101,MATCH(BP$1,Feature_List!$A$1:$AO$1,0),FALSE),"OK","BAD")</f>
        <v>BAD</v>
      </c>
      <c r="BQ54" s="95" t="str">
        <f>IF(AD54=VLOOKUP($A54,Feature_List!$A$2:$AO$101,MATCH(BQ$1,Feature_List!$A$1:$AO$1,0),FALSE),"OK","BAD")</f>
        <v>OK</v>
      </c>
      <c r="BR54" s="95" t="str">
        <f>IF(AE54=VLOOKUP($A54,Feature_List!$A$2:$AO$101,MATCH(BR$1,Feature_List!$A$1:$AO$1,0),FALSE),"OK","BAD")</f>
        <v>OK</v>
      </c>
      <c r="BS54" s="95" t="str">
        <f>IF(AF54=VLOOKUP($A54,Feature_List!$A$2:$AO$101,MATCH(BS$1,Feature_List!$A$1:$AO$1,0),FALSE),"OK","BAD")</f>
        <v>OK</v>
      </c>
      <c r="BT54" s="95" t="str">
        <f>IF(AG54=VLOOKUP($A54,Feature_List!$A$2:$AO$101,MATCH(BT$1,Feature_List!$A$1:$AO$1,0),FALSE),"OK","BAD")</f>
        <v>OK</v>
      </c>
      <c r="BU54" s="95" t="str">
        <f>IF(AH54=VLOOKUP($A54,Feature_List!$A$2:$AO$101,MATCH(BU$1,Feature_List!$A$1:$AO$1,0),FALSE),"OK","BAD")</f>
        <v>OK</v>
      </c>
      <c r="BV54" s="95" t="e">
        <f>IF(AI54=VLOOKUP($A54,Feature_List!$A$2:$AO$101,MATCH(BV$1,Feature_List!$A$1:$AO$1,0),FALSE),"OK","BAD")</f>
        <v>#N/A</v>
      </c>
      <c r="BW54" s="95" t="e">
        <f>IF(AJ54=VLOOKUP($A54,Feature_List!$A$2:$AO$101,MATCH(BW$1,Feature_List!$A$1:$AO$1,0),FALSE),"OK","BAD")</f>
        <v>#N/A</v>
      </c>
      <c r="BX54" s="95" t="e">
        <f>IF(AK54=VLOOKUP($A54,Feature_List!$A$2:$AO$101,MATCH(BX$1,Feature_List!$A$1:$AO$1,0),FALSE),"OK","BAD")</f>
        <v>#N/A</v>
      </c>
      <c r="BY54" s="95" t="str">
        <f>IF(AL54=VLOOKUP($A54,Feature_List!$A$2:$AO$101,MATCH(BY$1,Feature_List!$A$1:$AO$1,0),FALSE),"OK","BAD")</f>
        <v>OK</v>
      </c>
      <c r="BZ54" s="95" t="str">
        <f>IF(AM54=VLOOKUP($A54,Feature_List!$A$2:$AO$101,MATCH(BZ$1,Feature_List!$A$1:$AO$1,0),FALSE),"OK","BAD")</f>
        <v>OK</v>
      </c>
      <c r="CA54" s="95" t="str">
        <f>IF(AN54=VLOOKUP($A54,Feature_List!$A$2:$AO$101,MATCH(CA$1,Feature_List!$A$1:$AO$1,0),FALSE),"OK","BAD")</f>
        <v>OK</v>
      </c>
    </row>
    <row r="55" spans="1:79" ht="14.4" customHeight="1" x14ac:dyDescent="0.3">
      <c r="A55" s="70">
        <v>383168</v>
      </c>
      <c r="B55" s="65" t="s">
        <v>1581</v>
      </c>
      <c r="C55" s="98" t="s">
        <v>1145</v>
      </c>
      <c r="D55" s="65" t="s">
        <v>106</v>
      </c>
      <c r="E55" s="64">
        <v>26</v>
      </c>
      <c r="F55" s="64" t="s">
        <v>879</v>
      </c>
      <c r="G55" s="64" t="s">
        <v>1582</v>
      </c>
      <c r="H55" s="64" t="s">
        <v>1585</v>
      </c>
      <c r="I55" s="99" t="s">
        <v>38</v>
      </c>
      <c r="J55" s="64" t="s">
        <v>1414</v>
      </c>
      <c r="K55" s="64">
        <v>383110</v>
      </c>
      <c r="L55" s="62" t="s">
        <v>950</v>
      </c>
      <c r="M55" s="67" t="s">
        <v>37</v>
      </c>
      <c r="N55" s="67" t="s">
        <v>39</v>
      </c>
      <c r="O55" s="67">
        <v>0</v>
      </c>
      <c r="P55" s="66" t="s">
        <v>131</v>
      </c>
      <c r="Q55" s="63">
        <v>2</v>
      </c>
      <c r="R55" s="63">
        <v>10</v>
      </c>
      <c r="S55" s="63">
        <v>0</v>
      </c>
      <c r="T55" s="63">
        <v>0</v>
      </c>
      <c r="U55" s="63">
        <v>0</v>
      </c>
      <c r="V55" s="63">
        <v>0</v>
      </c>
      <c r="W55" s="63">
        <v>0</v>
      </c>
      <c r="X55" s="63">
        <v>0</v>
      </c>
      <c r="Y55" s="63">
        <v>1</v>
      </c>
      <c r="Z55" s="63">
        <v>12</v>
      </c>
      <c r="AA55" s="63">
        <v>0</v>
      </c>
      <c r="AB55" s="63">
        <v>0</v>
      </c>
      <c r="AC55" s="63">
        <v>0</v>
      </c>
      <c r="AD55" s="63">
        <v>0</v>
      </c>
      <c r="AE55" s="63">
        <v>0</v>
      </c>
      <c r="AF55" s="63">
        <v>0</v>
      </c>
      <c r="AG55" s="63">
        <v>0</v>
      </c>
      <c r="AH55" s="63">
        <v>0</v>
      </c>
      <c r="AI55" s="63">
        <v>0</v>
      </c>
      <c r="AJ55" s="63">
        <v>13</v>
      </c>
      <c r="AK55" s="63">
        <v>0</v>
      </c>
      <c r="AL55" s="63" t="s">
        <v>35</v>
      </c>
      <c r="AM55" s="63" t="s">
        <v>854</v>
      </c>
      <c r="AN55" s="220" t="s">
        <v>33</v>
      </c>
      <c r="AO55" s="224"/>
      <c r="AP55" s="95" t="e">
        <f>IF(C55=VLOOKUP($A55,Feature_List!$A$2:$AO$101,MATCH(AP$1,Feature_List!$A$1:$AO$1,0),FALSE),"OK","BAD")</f>
        <v>#N/A</v>
      </c>
      <c r="AQ55" s="95" t="e">
        <f>IF(D55=VLOOKUP($A55,Feature_List!$A$2:$AO$101,MATCH(AQ$1,Feature_List!$A$1:$AO$1,0),FALSE),"OK","BAD")</f>
        <v>#N/A</v>
      </c>
      <c r="AR55" s="95" t="e">
        <f>IF(E55=VLOOKUP($A55,Feature_List!$A$2:$AO$101,MATCH(AR$1,Feature_List!$A$1:$AO$1,0),FALSE),"OK","BAD")</f>
        <v>#N/A</v>
      </c>
      <c r="AS55" s="95" t="e">
        <f>IF(F55=VLOOKUP($A55,Feature_List!$A$2:$AO$101,MATCH(AS$1,Feature_List!$A$1:$AO$1,0),FALSE),"OK","BAD")</f>
        <v>#N/A</v>
      </c>
      <c r="AT55" s="95" t="s">
        <v>985</v>
      </c>
      <c r="AU55" s="95" t="s">
        <v>985</v>
      </c>
      <c r="AV55" s="95" t="e">
        <f>IF(I55=VLOOKUP($A55,Feature_List!$A$2:$AO$101,MATCH(AV$1,Feature_List!$A$1:$AO$1,0),FALSE),"OK","BAD")</f>
        <v>#N/A</v>
      </c>
      <c r="AW55" s="95" t="e">
        <f>IF(J55=VLOOKUP($A55,Feature_List!$A$2:$AO$101,MATCH(AW$1,Feature_List!$A$1:$AO$1,0),FALSE),"OK","BAD")</f>
        <v>#N/A</v>
      </c>
      <c r="AX55" s="95" t="e">
        <f>IF(K55=VLOOKUP($A55,Feature_List!$A$2:$AO$101,MATCH(AX$1,Feature_List!$A$1:$AO$1,0),FALSE),"OK","BAD")</f>
        <v>#N/A</v>
      </c>
      <c r="AY55" s="95" t="e">
        <f>IF(L55=VLOOKUP($A55,Feature_List!$A$2:$AO$101,MATCH(AY$1,Feature_List!$A$1:$AO$1,0),FALSE),"OK","BAD")</f>
        <v>#N/A</v>
      </c>
      <c r="AZ55" s="95" t="e">
        <f>IF(M55=VLOOKUP($A55,Feature_List!$A$2:$AO$101,MATCH(AZ$1,Feature_List!$A$1:$AO$1,0),FALSE),"OK","BAD")</f>
        <v>#N/A</v>
      </c>
      <c r="BA55" s="95" t="e">
        <f>IF(N55=VLOOKUP($A55,Feature_List!$A$2:$AO$101,MATCH(BA$1,Feature_List!$A$1:$AO$1,0),FALSE),"OK","BAD")</f>
        <v>#N/A</v>
      </c>
      <c r="BB55" s="95" t="e">
        <f>IF(O55=VLOOKUP($A55,Feature_List!$A$2:$AO$101,MATCH(BB$1,Feature_List!$A$1:$AO$1,0),FALSE),"OK","BAD")</f>
        <v>#N/A</v>
      </c>
      <c r="BC55" s="95" t="e">
        <f>IF(P55=VLOOKUP($A55,Feature_List!$A$2:$AO$101,MATCH(BC$1,Feature_List!$A$1:$AO$1,0),FALSE),"OK","BAD")</f>
        <v>#N/A</v>
      </c>
      <c r="BD55" s="95" t="e">
        <f>IF(Q55=VLOOKUP($A55,Feature_List!$A$2:$AO$101,MATCH(BD$1,Feature_List!$A$1:$AO$1,0),FALSE),"OK","BAD")</f>
        <v>#N/A</v>
      </c>
      <c r="BE55" s="95" t="e">
        <f>IF(R55=VLOOKUP($A55,Feature_List!$A$2:$AO$101,MATCH(BE$1,Feature_List!$A$1:$AO$1,0),FALSE),"OK","BAD")</f>
        <v>#N/A</v>
      </c>
      <c r="BF55" s="95" t="e">
        <f>IF(S55=VLOOKUP($A55,Feature_List!$A$2:$AO$101,MATCH(BF$1,Feature_List!$A$1:$AO$1,0),FALSE),"OK","BAD")</f>
        <v>#N/A</v>
      </c>
      <c r="BG55" s="95" t="e">
        <f>IF(T55=VLOOKUP($A55,Feature_List!$A$2:$AO$101,MATCH(BG$1,Feature_List!$A$1:$AO$1,0),FALSE),"OK","BAD")</f>
        <v>#N/A</v>
      </c>
      <c r="BH55" s="95" t="e">
        <f>IF(U55=VLOOKUP($A55,Feature_List!$A$2:$AO$101,MATCH(BH$1,Feature_List!$A$1:$AO$1,0),FALSE),"OK","BAD")</f>
        <v>#N/A</v>
      </c>
      <c r="BI55" s="95" t="e">
        <f>IF(V55=VLOOKUP($A55,Feature_List!$A$2:$AO$101,MATCH(BI$1,Feature_List!$A$1:$AO$1,0),FALSE),"OK","BAD")</f>
        <v>#N/A</v>
      </c>
      <c r="BJ55" s="95" t="e">
        <f>IF(W55=VLOOKUP($A55,Feature_List!$A$2:$AO$101,MATCH(BJ$1,Feature_List!$A$1:$AO$1,0),FALSE),"OK","BAD")</f>
        <v>#N/A</v>
      </c>
      <c r="BK55" s="95" t="e">
        <f>IF(X55=VLOOKUP($A55,Feature_List!$A$2:$AO$101,MATCH(BK$1,Feature_List!$A$1:$AO$1,0),FALSE),"OK","BAD")</f>
        <v>#N/A</v>
      </c>
      <c r="BL55" s="95" t="e">
        <f>IF(Y55=VLOOKUP($A55,Feature_List!$A$2:$AO$101,MATCH(BL$1,Feature_List!$A$1:$AO$1,0),FALSE),"OK","BAD")</f>
        <v>#N/A</v>
      </c>
      <c r="BM55" s="95" t="e">
        <f>IF(Z55=VLOOKUP($A55,Feature_List!$A$2:$AO$101,MATCH(BM$1,Feature_List!$A$1:$AO$1,0),FALSE),"OK","BAD")</f>
        <v>#N/A</v>
      </c>
      <c r="BN55" s="95" t="e">
        <f>IF(AA55=VLOOKUP($A55,Feature_List!$A$2:$AO$101,MATCH(BN$1,Feature_List!$A$1:$AO$1,0),FALSE),"OK","BAD")</f>
        <v>#N/A</v>
      </c>
      <c r="BO55" s="95" t="e">
        <f>IF(AB55=VLOOKUP($A55,Feature_List!$A$2:$AO$101,MATCH(BO$1,Feature_List!$A$1:$AO$1,0),FALSE),"OK","BAD")</f>
        <v>#N/A</v>
      </c>
      <c r="BP55" s="95" t="e">
        <f>IF(AC55=VLOOKUP($A55,Feature_List!$A$2:$AO$101,MATCH(BP$1,Feature_List!$A$1:$AO$1,0),FALSE),"OK","BAD")</f>
        <v>#N/A</v>
      </c>
      <c r="BQ55" s="95" t="e">
        <f>IF(AD55=VLOOKUP($A55,Feature_List!$A$2:$AO$101,MATCH(BQ$1,Feature_List!$A$1:$AO$1,0),FALSE),"OK","BAD")</f>
        <v>#N/A</v>
      </c>
      <c r="BR55" s="95" t="e">
        <f>IF(AE55=VLOOKUP($A55,Feature_List!$A$2:$AO$101,MATCH(BR$1,Feature_List!$A$1:$AO$1,0),FALSE),"OK","BAD")</f>
        <v>#N/A</v>
      </c>
      <c r="BS55" s="95" t="e">
        <f>IF(AF55=VLOOKUP($A55,Feature_List!$A$2:$AO$101,MATCH(BS$1,Feature_List!$A$1:$AO$1,0),FALSE),"OK","BAD")</f>
        <v>#N/A</v>
      </c>
      <c r="BT55" s="95" t="e">
        <f>IF(AG55=VLOOKUP($A55,Feature_List!$A$2:$AO$101,MATCH(BT$1,Feature_List!$A$1:$AO$1,0),FALSE),"OK","BAD")</f>
        <v>#N/A</v>
      </c>
      <c r="BU55" s="95" t="e">
        <f>IF(AH55=VLOOKUP($A55,Feature_List!$A$2:$AO$101,MATCH(BU$1,Feature_List!$A$1:$AO$1,0),FALSE),"OK","BAD")</f>
        <v>#N/A</v>
      </c>
      <c r="BV55" s="95" t="e">
        <f>IF(AI55=VLOOKUP($A55,Feature_List!$A$2:$AO$101,MATCH(BV$1,Feature_List!$A$1:$AO$1,0),FALSE),"OK","BAD")</f>
        <v>#N/A</v>
      </c>
      <c r="BW55" s="95" t="e">
        <f>IF(AJ55=VLOOKUP($A55,Feature_List!$A$2:$AO$101,MATCH(BW$1,Feature_List!$A$1:$AO$1,0),FALSE),"OK","BAD")</f>
        <v>#N/A</v>
      </c>
      <c r="BX55" s="95" t="e">
        <f>IF(AK55=VLOOKUP($A55,Feature_List!$A$2:$AO$101,MATCH(BX$1,Feature_List!$A$1:$AO$1,0),FALSE),"OK","BAD")</f>
        <v>#N/A</v>
      </c>
      <c r="BY55" s="95" t="e">
        <f>IF(AL55=VLOOKUP($A55,Feature_List!$A$2:$AO$101,MATCH(BY$1,Feature_List!$A$1:$AO$1,0),FALSE),"OK","BAD")</f>
        <v>#N/A</v>
      </c>
      <c r="BZ55" s="95" t="e">
        <f>IF(AM55=VLOOKUP($A55,Feature_List!$A$2:$AO$101,MATCH(BZ$1,Feature_List!$A$1:$AO$1,0),FALSE),"OK","BAD")</f>
        <v>#N/A</v>
      </c>
      <c r="CA55" s="95" t="e">
        <f>IF(AN55=VLOOKUP($A55,Feature_List!$A$2:$AO$101,MATCH(CA$1,Feature_List!$A$1:$AO$1,0),FALSE),"OK","BAD")</f>
        <v>#N/A</v>
      </c>
    </row>
    <row r="56" spans="1:79" ht="14.4" customHeight="1" x14ac:dyDescent="0.3">
      <c r="A56" s="70">
        <v>383165</v>
      </c>
      <c r="B56" s="65" t="s">
        <v>942</v>
      </c>
      <c r="C56" s="98" t="s">
        <v>972</v>
      </c>
      <c r="D56" s="65" t="s">
        <v>106</v>
      </c>
      <c r="E56" s="64">
        <v>102</v>
      </c>
      <c r="F56" s="64" t="s">
        <v>879</v>
      </c>
      <c r="G56" s="64" t="s">
        <v>1127</v>
      </c>
      <c r="H56" s="64" t="s">
        <v>1585</v>
      </c>
      <c r="I56" s="99" t="s">
        <v>38</v>
      </c>
      <c r="J56" s="64" t="s">
        <v>1412</v>
      </c>
      <c r="K56" s="64">
        <v>383110</v>
      </c>
      <c r="L56" s="62" t="s">
        <v>950</v>
      </c>
      <c r="M56" s="67" t="s">
        <v>37</v>
      </c>
      <c r="N56" s="67" t="s">
        <v>39</v>
      </c>
      <c r="O56" s="67">
        <v>0</v>
      </c>
      <c r="P56" s="66" t="s">
        <v>131</v>
      </c>
      <c r="Q56" s="63">
        <v>3</v>
      </c>
      <c r="R56" s="63">
        <v>59</v>
      </c>
      <c r="S56" s="63">
        <v>0</v>
      </c>
      <c r="T56" s="63">
        <v>0</v>
      </c>
      <c r="U56" s="63">
        <v>0</v>
      </c>
      <c r="V56" s="63">
        <v>0</v>
      </c>
      <c r="W56" s="63">
        <v>0</v>
      </c>
      <c r="X56" s="63">
        <v>0</v>
      </c>
      <c r="Y56" s="63">
        <v>12</v>
      </c>
      <c r="Z56" s="63">
        <v>10</v>
      </c>
      <c r="AA56" s="63">
        <v>0</v>
      </c>
      <c r="AB56" s="63">
        <v>0</v>
      </c>
      <c r="AC56" s="63">
        <v>0</v>
      </c>
      <c r="AD56" s="63">
        <v>0</v>
      </c>
      <c r="AE56" s="63">
        <v>0</v>
      </c>
      <c r="AF56" s="63">
        <v>0</v>
      </c>
      <c r="AG56" s="63">
        <v>0</v>
      </c>
      <c r="AH56" s="63">
        <v>0</v>
      </c>
      <c r="AI56" s="63">
        <v>0</v>
      </c>
      <c r="AJ56" s="63">
        <v>27</v>
      </c>
      <c r="AK56" s="63">
        <v>16</v>
      </c>
      <c r="AL56" s="63" t="s">
        <v>35</v>
      </c>
      <c r="AM56" s="63" t="s">
        <v>854</v>
      </c>
      <c r="AN56" s="220" t="s">
        <v>33</v>
      </c>
      <c r="AO56" s="224"/>
      <c r="AP56" s="95" t="str">
        <f>IF(C56=VLOOKUP($A56,Feature_List!$A$2:$AO$101,MATCH(AP$1,Feature_List!$A$1:$AO$1,0),FALSE),"OK","BAD")</f>
        <v>BAD</v>
      </c>
      <c r="AQ56" s="95" t="str">
        <f>IF(D56=VLOOKUP($A56,Feature_List!$A$2:$AO$101,MATCH(AQ$1,Feature_List!$A$1:$AO$1,0),FALSE),"OK","BAD")</f>
        <v>OK</v>
      </c>
      <c r="AR56" s="95" t="str">
        <f>IF(E56=VLOOKUP($A56,Feature_List!$A$2:$AO$101,MATCH(AR$1,Feature_List!$A$1:$AO$1,0),FALSE),"OK","BAD")</f>
        <v>OK</v>
      </c>
      <c r="AS56" s="95" t="str">
        <f>IF(F56=VLOOKUP($A56,Feature_List!$A$2:$AO$101,MATCH(AS$1,Feature_List!$A$1:$AO$1,0),FALSE),"OK","BAD")</f>
        <v>OK</v>
      </c>
      <c r="AT56" s="95" t="s">
        <v>985</v>
      </c>
      <c r="AU56" s="95" t="s">
        <v>985</v>
      </c>
      <c r="AV56" s="95" t="str">
        <f>IF(I56=VLOOKUP($A56,Feature_List!$A$2:$AO$101,MATCH(AV$1,Feature_List!$A$1:$AO$1,0),FALSE),"OK","BAD")</f>
        <v>OK</v>
      </c>
      <c r="AW56" s="95" t="str">
        <f>IF(J56=VLOOKUP($A56,Feature_List!$A$2:$AO$101,MATCH(AW$1,Feature_List!$A$1:$AO$1,0),FALSE),"OK","BAD")</f>
        <v>OK</v>
      </c>
      <c r="AX56" s="95" t="str">
        <f>IF(K56=VLOOKUP($A56,Feature_List!$A$2:$AO$101,MATCH(AX$1,Feature_List!$A$1:$AO$1,0),FALSE),"OK","BAD")</f>
        <v>BAD</v>
      </c>
      <c r="AY56" s="95" t="str">
        <f>IF(L56=VLOOKUP($A56,Feature_List!$A$2:$AO$101,MATCH(AY$1,Feature_List!$A$1:$AO$1,0),FALSE),"OK","BAD")</f>
        <v>OK</v>
      </c>
      <c r="AZ56" s="95" t="str">
        <f>IF(M56=VLOOKUP($A56,Feature_List!$A$2:$AO$101,MATCH(AZ$1,Feature_List!$A$1:$AO$1,0),FALSE),"OK","BAD")</f>
        <v>OK</v>
      </c>
      <c r="BA56" s="95" t="str">
        <f>IF(N56=VLOOKUP($A56,Feature_List!$A$2:$AO$101,MATCH(BA$1,Feature_List!$A$1:$AO$1,0),FALSE),"OK","BAD")</f>
        <v>OK</v>
      </c>
      <c r="BB56" s="95" t="str">
        <f>IF(O56=VLOOKUP($A56,Feature_List!$A$2:$AO$101,MATCH(BB$1,Feature_List!$A$1:$AO$1,0),FALSE),"OK","BAD")</f>
        <v>OK</v>
      </c>
      <c r="BC56" s="95" t="e">
        <f>IF(P56=VLOOKUP($A56,Feature_List!$A$2:$AO$101,MATCH(BC$1,Feature_List!$A$1:$AO$1,0),FALSE),"OK","BAD")</f>
        <v>#N/A</v>
      </c>
      <c r="BD56" s="95" t="str">
        <f>IF(Q56=VLOOKUP($A56,Feature_List!$A$2:$AO$101,MATCH(BD$1,Feature_List!$A$1:$AO$1,0),FALSE),"OK","BAD")</f>
        <v>BAD</v>
      </c>
      <c r="BE56" s="95" t="str">
        <f>IF(R56=VLOOKUP($A56,Feature_List!$A$2:$AO$101,MATCH(BE$1,Feature_List!$A$1:$AO$1,0),FALSE),"OK","BAD")</f>
        <v>BAD</v>
      </c>
      <c r="BF56" s="95" t="str">
        <f>IF(S56=VLOOKUP($A56,Feature_List!$A$2:$AO$101,MATCH(BF$1,Feature_List!$A$1:$AO$1,0),FALSE),"OK","BAD")</f>
        <v>OK</v>
      </c>
      <c r="BG56" s="95" t="str">
        <f>IF(T56=VLOOKUP($A56,Feature_List!$A$2:$AO$101,MATCH(BG$1,Feature_List!$A$1:$AO$1,0),FALSE),"OK","BAD")</f>
        <v>OK</v>
      </c>
      <c r="BH56" s="95" t="str">
        <f>IF(U56=VLOOKUP($A56,Feature_List!$A$2:$AO$101,MATCH(BH$1,Feature_List!$A$1:$AO$1,0),FALSE),"OK","BAD")</f>
        <v>OK</v>
      </c>
      <c r="BI56" s="95" t="str">
        <f>IF(V56=VLOOKUP($A56,Feature_List!$A$2:$AO$101,MATCH(BI$1,Feature_List!$A$1:$AO$1,0),FALSE),"OK","BAD")</f>
        <v>OK</v>
      </c>
      <c r="BJ56" s="95" t="e">
        <f>IF(W56=VLOOKUP($A56,Feature_List!$A$2:$AO$101,MATCH(BJ$1,Feature_List!$A$1:$AO$1,0),FALSE),"OK","BAD")</f>
        <v>#N/A</v>
      </c>
      <c r="BK56" s="95" t="str">
        <f>IF(X56=VLOOKUP($A56,Feature_List!$A$2:$AO$101,MATCH(BK$1,Feature_List!$A$1:$AO$1,0),FALSE),"OK","BAD")</f>
        <v>OK</v>
      </c>
      <c r="BL56" s="95" t="str">
        <f>IF(Y56=VLOOKUP($A56,Feature_List!$A$2:$AO$101,MATCH(BL$1,Feature_List!$A$1:$AO$1,0),FALSE),"OK","BAD")</f>
        <v>BAD</v>
      </c>
      <c r="BM56" s="95" t="str">
        <f>IF(Z56=VLOOKUP($A56,Feature_List!$A$2:$AO$101,MATCH(BM$1,Feature_List!$A$1:$AO$1,0),FALSE),"OK","BAD")</f>
        <v>BAD</v>
      </c>
      <c r="BN56" s="95" t="str">
        <f>IF(AA56=VLOOKUP($A56,Feature_List!$A$2:$AO$101,MATCH(BN$1,Feature_List!$A$1:$AO$1,0),FALSE),"OK","BAD")</f>
        <v>OK</v>
      </c>
      <c r="BO56" s="95" t="str">
        <f>IF(AB56=VLOOKUP($A56,Feature_List!$A$2:$AO$101,MATCH(BO$1,Feature_List!$A$1:$AO$1,0),FALSE),"OK","BAD")</f>
        <v>OK</v>
      </c>
      <c r="BP56" s="95" t="str">
        <f>IF(AC56=VLOOKUP($A56,Feature_List!$A$2:$AO$101,MATCH(BP$1,Feature_List!$A$1:$AO$1,0),FALSE),"OK","BAD")</f>
        <v>OK</v>
      </c>
      <c r="BQ56" s="95" t="str">
        <f>IF(AD56=VLOOKUP($A56,Feature_List!$A$2:$AO$101,MATCH(BQ$1,Feature_List!$A$1:$AO$1,0),FALSE),"OK","BAD")</f>
        <v>OK</v>
      </c>
      <c r="BR56" s="95" t="str">
        <f>IF(AE56=VLOOKUP($A56,Feature_List!$A$2:$AO$101,MATCH(BR$1,Feature_List!$A$1:$AO$1,0),FALSE),"OK","BAD")</f>
        <v>OK</v>
      </c>
      <c r="BS56" s="95" t="str">
        <f>IF(AF56=VLOOKUP($A56,Feature_List!$A$2:$AO$101,MATCH(BS$1,Feature_List!$A$1:$AO$1,0),FALSE),"OK","BAD")</f>
        <v>OK</v>
      </c>
      <c r="BT56" s="95" t="str">
        <f>IF(AG56=VLOOKUP($A56,Feature_List!$A$2:$AO$101,MATCH(BT$1,Feature_List!$A$1:$AO$1,0),FALSE),"OK","BAD")</f>
        <v>OK</v>
      </c>
      <c r="BU56" s="95" t="str">
        <f>IF(AH56=VLOOKUP($A56,Feature_List!$A$2:$AO$101,MATCH(BU$1,Feature_List!$A$1:$AO$1,0),FALSE),"OK","BAD")</f>
        <v>OK</v>
      </c>
      <c r="BV56" s="95" t="e">
        <f>IF(AI56=VLOOKUP($A56,Feature_List!$A$2:$AO$101,MATCH(BV$1,Feature_List!$A$1:$AO$1,0),FALSE),"OK","BAD")</f>
        <v>#N/A</v>
      </c>
      <c r="BW56" s="95" t="e">
        <f>IF(AJ56=VLOOKUP($A56,Feature_List!$A$2:$AO$101,MATCH(BW$1,Feature_List!$A$1:$AO$1,0),FALSE),"OK","BAD")</f>
        <v>#N/A</v>
      </c>
      <c r="BX56" s="95" t="e">
        <f>IF(AK56=VLOOKUP($A56,Feature_List!$A$2:$AO$101,MATCH(BX$1,Feature_List!$A$1:$AO$1,0),FALSE),"OK","BAD")</f>
        <v>#N/A</v>
      </c>
      <c r="BY56" s="95" t="str">
        <f>IF(AL56=VLOOKUP($A56,Feature_List!$A$2:$AO$101,MATCH(BY$1,Feature_List!$A$1:$AO$1,0),FALSE),"OK","BAD")</f>
        <v>OK</v>
      </c>
      <c r="BZ56" s="95" t="str">
        <f>IF(AM56=VLOOKUP($A56,Feature_List!$A$2:$AO$101,MATCH(BZ$1,Feature_List!$A$1:$AO$1,0),FALSE),"OK","BAD")</f>
        <v>OK</v>
      </c>
      <c r="CA56" s="95" t="str">
        <f>IF(AN56=VLOOKUP($A56,Feature_List!$A$2:$AO$101,MATCH(CA$1,Feature_List!$A$1:$AO$1,0),FALSE),"OK","BAD")</f>
        <v>OK</v>
      </c>
    </row>
    <row r="57" spans="1:79" ht="14.4" customHeight="1" x14ac:dyDescent="0.3">
      <c r="A57" s="70">
        <v>382895</v>
      </c>
      <c r="B57" s="65" t="s">
        <v>881</v>
      </c>
      <c r="C57" s="98" t="s">
        <v>1143</v>
      </c>
      <c r="D57" s="65" t="s">
        <v>106</v>
      </c>
      <c r="E57" s="64">
        <v>37</v>
      </c>
      <c r="F57" s="64" t="s">
        <v>41</v>
      </c>
      <c r="G57" s="64" t="s">
        <v>965</v>
      </c>
      <c r="H57" s="64" t="s">
        <v>270</v>
      </c>
      <c r="I57" s="99" t="s">
        <v>38</v>
      </c>
      <c r="J57" s="64" t="s">
        <v>1412</v>
      </c>
      <c r="K57" s="64">
        <v>278830</v>
      </c>
      <c r="L57" s="62" t="s">
        <v>949</v>
      </c>
      <c r="M57" s="67" t="s">
        <v>42</v>
      </c>
      <c r="N57" s="67" t="s">
        <v>36</v>
      </c>
      <c r="O57" s="67">
        <v>0</v>
      </c>
      <c r="P57" s="66" t="s">
        <v>133</v>
      </c>
      <c r="Q57" s="63">
        <v>1</v>
      </c>
      <c r="R57" s="63">
        <v>26</v>
      </c>
      <c r="S57" s="63">
        <v>0</v>
      </c>
      <c r="T57" s="63">
        <v>0</v>
      </c>
      <c r="U57" s="63">
        <v>0</v>
      </c>
      <c r="V57" s="63">
        <v>11</v>
      </c>
      <c r="W57" s="63">
        <v>0</v>
      </c>
      <c r="X57" s="63">
        <v>0</v>
      </c>
      <c r="Y57" s="63">
        <v>0</v>
      </c>
      <c r="Z57" s="63">
        <v>0</v>
      </c>
      <c r="AA57" s="63">
        <v>0</v>
      </c>
      <c r="AB57" s="63">
        <v>0</v>
      </c>
      <c r="AC57" s="63">
        <v>0</v>
      </c>
      <c r="AD57" s="63">
        <v>0</v>
      </c>
      <c r="AE57" s="63">
        <v>0</v>
      </c>
      <c r="AF57" s="63">
        <v>0</v>
      </c>
      <c r="AG57" s="63">
        <v>0</v>
      </c>
      <c r="AH57" s="63">
        <v>0</v>
      </c>
      <c r="AI57" s="63">
        <v>0</v>
      </c>
      <c r="AJ57" s="63">
        <v>11</v>
      </c>
      <c r="AK57" s="63">
        <v>0</v>
      </c>
      <c r="AL57" s="63" t="s">
        <v>35</v>
      </c>
      <c r="AM57" s="63" t="s">
        <v>854</v>
      </c>
      <c r="AN57" s="220" t="s">
        <v>33</v>
      </c>
      <c r="AO57" s="224"/>
      <c r="AP57" s="95" t="e">
        <f>IF(C57=VLOOKUP($A57,Feature_List!$A$2:$AO$101,MATCH(AP$1,Feature_List!$A$1:$AO$1,0),FALSE),"OK","BAD")</f>
        <v>#N/A</v>
      </c>
      <c r="AQ57" s="95" t="e">
        <f>IF(D57=VLOOKUP($A57,Feature_List!$A$2:$AO$101,MATCH(AQ$1,Feature_List!$A$1:$AO$1,0),FALSE),"OK","BAD")</f>
        <v>#N/A</v>
      </c>
      <c r="AR57" s="95" t="e">
        <f>IF(E57=VLOOKUP($A57,Feature_List!$A$2:$AO$101,MATCH(AR$1,Feature_List!$A$1:$AO$1,0),FALSE),"OK","BAD")</f>
        <v>#N/A</v>
      </c>
      <c r="AS57" s="95" t="e">
        <f>IF(F57=VLOOKUP($A57,Feature_List!$A$2:$AO$101,MATCH(AS$1,Feature_List!$A$1:$AO$1,0),FALSE),"OK","BAD")</f>
        <v>#N/A</v>
      </c>
      <c r="AT57" s="95" t="s">
        <v>985</v>
      </c>
      <c r="AU57" s="95" t="s">
        <v>985</v>
      </c>
      <c r="AV57" s="95" t="e">
        <f>IF(I57=VLOOKUP($A57,Feature_List!$A$2:$AO$101,MATCH(AV$1,Feature_List!$A$1:$AO$1,0),FALSE),"OK","BAD")</f>
        <v>#N/A</v>
      </c>
      <c r="AW57" s="95" t="e">
        <f>IF(J57=VLOOKUP($A57,Feature_List!$A$2:$AO$101,MATCH(AW$1,Feature_List!$A$1:$AO$1,0),FALSE),"OK","BAD")</f>
        <v>#N/A</v>
      </c>
      <c r="AX57" s="95" t="e">
        <f>IF(K57=VLOOKUP($A57,Feature_List!$A$2:$AO$101,MATCH(AX$1,Feature_List!$A$1:$AO$1,0),FALSE),"OK","BAD")</f>
        <v>#N/A</v>
      </c>
      <c r="AY57" s="95" t="e">
        <f>IF(L57=VLOOKUP($A57,Feature_List!$A$2:$AO$101,MATCH(AY$1,Feature_List!$A$1:$AO$1,0),FALSE),"OK","BAD")</f>
        <v>#N/A</v>
      </c>
      <c r="AZ57" s="95" t="e">
        <f>IF(M57=VLOOKUP($A57,Feature_List!$A$2:$AO$101,MATCH(AZ$1,Feature_List!$A$1:$AO$1,0),FALSE),"OK","BAD")</f>
        <v>#N/A</v>
      </c>
      <c r="BA57" s="95" t="e">
        <f>IF(N57=VLOOKUP($A57,Feature_List!$A$2:$AO$101,MATCH(BA$1,Feature_List!$A$1:$AO$1,0),FALSE),"OK","BAD")</f>
        <v>#N/A</v>
      </c>
      <c r="BB57" s="95" t="e">
        <f>IF(O57=VLOOKUP($A57,Feature_List!$A$2:$AO$101,MATCH(BB$1,Feature_List!$A$1:$AO$1,0),FALSE),"OK","BAD")</f>
        <v>#N/A</v>
      </c>
      <c r="BC57" s="95" t="e">
        <f>IF(P57=VLOOKUP($A57,Feature_List!$A$2:$AO$101,MATCH(BC$1,Feature_List!$A$1:$AO$1,0),FALSE),"OK","BAD")</f>
        <v>#N/A</v>
      </c>
      <c r="BD57" s="95" t="e">
        <f>IF(Q57=VLOOKUP($A57,Feature_List!$A$2:$AO$101,MATCH(BD$1,Feature_List!$A$1:$AO$1,0),FALSE),"OK","BAD")</f>
        <v>#N/A</v>
      </c>
      <c r="BE57" s="95" t="e">
        <f>IF(R57=VLOOKUP($A57,Feature_List!$A$2:$AO$101,MATCH(BE$1,Feature_List!$A$1:$AO$1,0),FALSE),"OK","BAD")</f>
        <v>#N/A</v>
      </c>
      <c r="BF57" s="95" t="e">
        <f>IF(S57=VLOOKUP($A57,Feature_List!$A$2:$AO$101,MATCH(BF$1,Feature_List!$A$1:$AO$1,0),FALSE),"OK","BAD")</f>
        <v>#N/A</v>
      </c>
      <c r="BG57" s="95" t="e">
        <f>IF(T57=VLOOKUP($A57,Feature_List!$A$2:$AO$101,MATCH(BG$1,Feature_List!$A$1:$AO$1,0),FALSE),"OK","BAD")</f>
        <v>#N/A</v>
      </c>
      <c r="BH57" s="95" t="e">
        <f>IF(U57=VLOOKUP($A57,Feature_List!$A$2:$AO$101,MATCH(BH$1,Feature_List!$A$1:$AO$1,0),FALSE),"OK","BAD")</f>
        <v>#N/A</v>
      </c>
      <c r="BI57" s="95" t="e">
        <f>IF(V57=VLOOKUP($A57,Feature_List!$A$2:$AO$101,MATCH(BI$1,Feature_List!$A$1:$AO$1,0),FALSE),"OK","BAD")</f>
        <v>#N/A</v>
      </c>
      <c r="BJ57" s="95" t="e">
        <f>IF(W57=VLOOKUP($A57,Feature_List!$A$2:$AO$101,MATCH(BJ$1,Feature_List!$A$1:$AO$1,0),FALSE),"OK","BAD")</f>
        <v>#N/A</v>
      </c>
      <c r="BK57" s="95" t="e">
        <f>IF(X57=VLOOKUP($A57,Feature_List!$A$2:$AO$101,MATCH(BK$1,Feature_List!$A$1:$AO$1,0),FALSE),"OK","BAD")</f>
        <v>#N/A</v>
      </c>
      <c r="BL57" s="95" t="e">
        <f>IF(Y57=VLOOKUP($A57,Feature_List!$A$2:$AO$101,MATCH(BL$1,Feature_List!$A$1:$AO$1,0),FALSE),"OK","BAD")</f>
        <v>#N/A</v>
      </c>
      <c r="BM57" s="95" t="e">
        <f>IF(Z57=VLOOKUP($A57,Feature_List!$A$2:$AO$101,MATCH(BM$1,Feature_List!$A$1:$AO$1,0),FALSE),"OK","BAD")</f>
        <v>#N/A</v>
      </c>
      <c r="BN57" s="95" t="e">
        <f>IF(AA57=VLOOKUP($A57,Feature_List!$A$2:$AO$101,MATCH(BN$1,Feature_List!$A$1:$AO$1,0),FALSE),"OK","BAD")</f>
        <v>#N/A</v>
      </c>
      <c r="BO57" s="95" t="e">
        <f>IF(AB57=VLOOKUP($A57,Feature_List!$A$2:$AO$101,MATCH(BO$1,Feature_List!$A$1:$AO$1,0),FALSE),"OK","BAD")</f>
        <v>#N/A</v>
      </c>
      <c r="BP57" s="95" t="e">
        <f>IF(AC57=VLOOKUP($A57,Feature_List!$A$2:$AO$101,MATCH(BP$1,Feature_List!$A$1:$AO$1,0),FALSE),"OK","BAD")</f>
        <v>#N/A</v>
      </c>
      <c r="BQ57" s="95" t="e">
        <f>IF(AD57=VLOOKUP($A57,Feature_List!$A$2:$AO$101,MATCH(BQ$1,Feature_List!$A$1:$AO$1,0),FALSE),"OK","BAD")</f>
        <v>#N/A</v>
      </c>
      <c r="BR57" s="95" t="e">
        <f>IF(AE57=VLOOKUP($A57,Feature_List!$A$2:$AO$101,MATCH(BR$1,Feature_List!$A$1:$AO$1,0),FALSE),"OK","BAD")</f>
        <v>#N/A</v>
      </c>
      <c r="BS57" s="95" t="e">
        <f>IF(AF57=VLOOKUP($A57,Feature_List!$A$2:$AO$101,MATCH(BS$1,Feature_List!$A$1:$AO$1,0),FALSE),"OK","BAD")</f>
        <v>#N/A</v>
      </c>
      <c r="BT57" s="95" t="e">
        <f>IF(AG57=VLOOKUP($A57,Feature_List!$A$2:$AO$101,MATCH(BT$1,Feature_List!$A$1:$AO$1,0),FALSE),"OK","BAD")</f>
        <v>#N/A</v>
      </c>
      <c r="BU57" s="95" t="e">
        <f>IF(AH57=VLOOKUP($A57,Feature_List!$A$2:$AO$101,MATCH(BU$1,Feature_List!$A$1:$AO$1,0),FALSE),"OK","BAD")</f>
        <v>#N/A</v>
      </c>
      <c r="BV57" s="95" t="e">
        <f>IF(AI57=VLOOKUP($A57,Feature_List!$A$2:$AO$101,MATCH(BV$1,Feature_List!$A$1:$AO$1,0),FALSE),"OK","BAD")</f>
        <v>#N/A</v>
      </c>
      <c r="BW57" s="95" t="e">
        <f>IF(AJ57=VLOOKUP($A57,Feature_List!$A$2:$AO$101,MATCH(BW$1,Feature_List!$A$1:$AO$1,0),FALSE),"OK","BAD")</f>
        <v>#N/A</v>
      </c>
      <c r="BX57" s="95" t="e">
        <f>IF(AK57=VLOOKUP($A57,Feature_List!$A$2:$AO$101,MATCH(BX$1,Feature_List!$A$1:$AO$1,0),FALSE),"OK","BAD")</f>
        <v>#N/A</v>
      </c>
      <c r="BY57" s="95" t="e">
        <f>IF(AL57=VLOOKUP($A57,Feature_List!$A$2:$AO$101,MATCH(BY$1,Feature_List!$A$1:$AO$1,0),FALSE),"OK","BAD")</f>
        <v>#N/A</v>
      </c>
      <c r="BZ57" s="95" t="e">
        <f>IF(AM57=VLOOKUP($A57,Feature_List!$A$2:$AO$101,MATCH(BZ$1,Feature_List!$A$1:$AO$1,0),FALSE),"OK","BAD")</f>
        <v>#N/A</v>
      </c>
      <c r="CA57" s="95" t="e">
        <f>IF(AN57=VLOOKUP($A57,Feature_List!$A$2:$AO$101,MATCH(CA$1,Feature_List!$A$1:$AO$1,0),FALSE),"OK","BAD")</f>
        <v>#N/A</v>
      </c>
    </row>
    <row r="58" spans="1:79" ht="14.4" customHeight="1" x14ac:dyDescent="0.3">
      <c r="A58" s="70">
        <v>381608</v>
      </c>
      <c r="B58" s="65" t="s">
        <v>1475</v>
      </c>
      <c r="C58" s="98" t="s">
        <v>1012</v>
      </c>
      <c r="D58" s="65" t="s">
        <v>106</v>
      </c>
      <c r="E58" s="64">
        <v>91</v>
      </c>
      <c r="F58" s="64" t="s">
        <v>880</v>
      </c>
      <c r="G58" s="64" t="s">
        <v>1126</v>
      </c>
      <c r="H58" s="64" t="s">
        <v>595</v>
      </c>
      <c r="I58" s="99" t="s">
        <v>560</v>
      </c>
      <c r="J58" s="64" t="s">
        <v>1412</v>
      </c>
      <c r="K58" s="64">
        <v>381600</v>
      </c>
      <c r="L58" s="62" t="s">
        <v>554</v>
      </c>
      <c r="M58" s="67" t="s">
        <v>34</v>
      </c>
      <c r="N58" s="67" t="s">
        <v>558</v>
      </c>
      <c r="O58" s="67">
        <v>0</v>
      </c>
      <c r="P58" s="66" t="s">
        <v>131</v>
      </c>
      <c r="Q58" s="63">
        <v>1</v>
      </c>
      <c r="R58" s="63">
        <v>83</v>
      </c>
      <c r="S58" s="63">
        <v>0</v>
      </c>
      <c r="T58" s="63">
        <v>0</v>
      </c>
      <c r="U58" s="63">
        <v>0</v>
      </c>
      <c r="V58" s="63">
        <v>0</v>
      </c>
      <c r="W58" s="63">
        <v>0</v>
      </c>
      <c r="X58" s="63">
        <v>0</v>
      </c>
      <c r="Y58" s="63">
        <v>0</v>
      </c>
      <c r="Z58" s="63">
        <v>0</v>
      </c>
      <c r="AA58" s="63">
        <v>0</v>
      </c>
      <c r="AB58" s="63">
        <v>0</v>
      </c>
      <c r="AC58" s="63">
        <v>0</v>
      </c>
      <c r="AD58" s="63">
        <v>0</v>
      </c>
      <c r="AE58" s="63">
        <v>0</v>
      </c>
      <c r="AF58" s="63">
        <v>0</v>
      </c>
      <c r="AG58" s="63">
        <v>8</v>
      </c>
      <c r="AH58" s="63">
        <v>0</v>
      </c>
      <c r="AI58" s="63">
        <v>0</v>
      </c>
      <c r="AJ58" s="63">
        <v>8</v>
      </c>
      <c r="AK58" s="63">
        <v>0</v>
      </c>
      <c r="AL58" s="63" t="s">
        <v>35</v>
      </c>
      <c r="AM58" s="63" t="s">
        <v>854</v>
      </c>
      <c r="AN58" s="220" t="s">
        <v>33</v>
      </c>
      <c r="AO58" s="224"/>
      <c r="AP58" s="95" t="e">
        <f>IF(C58=VLOOKUP($A58,Feature_List!$A$2:$AO$101,MATCH(AP$1,Feature_List!$A$1:$AO$1,0),FALSE),"OK","BAD")</f>
        <v>#N/A</v>
      </c>
      <c r="AQ58" s="95" t="e">
        <f>IF(D58=VLOOKUP($A58,Feature_List!$A$2:$AO$101,MATCH(AQ$1,Feature_List!$A$1:$AO$1,0),FALSE),"OK","BAD")</f>
        <v>#N/A</v>
      </c>
      <c r="AR58" s="95" t="e">
        <f>IF(E58=VLOOKUP($A58,Feature_List!$A$2:$AO$101,MATCH(AR$1,Feature_List!$A$1:$AO$1,0),FALSE),"OK","BAD")</f>
        <v>#N/A</v>
      </c>
      <c r="AS58" s="95" t="e">
        <f>IF(F58=VLOOKUP($A58,Feature_List!$A$2:$AO$101,MATCH(AS$1,Feature_List!$A$1:$AO$1,0),FALSE),"OK","BAD")</f>
        <v>#N/A</v>
      </c>
      <c r="AT58" s="95" t="s">
        <v>985</v>
      </c>
      <c r="AU58" s="95" t="s">
        <v>985</v>
      </c>
      <c r="AV58" s="95" t="e">
        <f>IF(I58=VLOOKUP($A58,Feature_List!$A$2:$AO$101,MATCH(AV$1,Feature_List!$A$1:$AO$1,0),FALSE),"OK","BAD")</f>
        <v>#N/A</v>
      </c>
      <c r="AW58" s="95" t="e">
        <f>IF(J58=VLOOKUP($A58,Feature_List!$A$2:$AO$101,MATCH(AW$1,Feature_List!$A$1:$AO$1,0),FALSE),"OK","BAD")</f>
        <v>#N/A</v>
      </c>
      <c r="AX58" s="95" t="e">
        <f>IF(K58=VLOOKUP($A58,Feature_List!$A$2:$AO$101,MATCH(AX$1,Feature_List!$A$1:$AO$1,0),FALSE),"OK","BAD")</f>
        <v>#N/A</v>
      </c>
      <c r="AY58" s="95" t="e">
        <f>IF(L58=VLOOKUP($A58,Feature_List!$A$2:$AO$101,MATCH(AY$1,Feature_List!$A$1:$AO$1,0),FALSE),"OK","BAD")</f>
        <v>#N/A</v>
      </c>
      <c r="AZ58" s="95" t="e">
        <f>IF(M58=VLOOKUP($A58,Feature_List!$A$2:$AO$101,MATCH(AZ$1,Feature_List!$A$1:$AO$1,0),FALSE),"OK","BAD")</f>
        <v>#N/A</v>
      </c>
      <c r="BA58" s="95" t="e">
        <f>IF(N58=VLOOKUP($A58,Feature_List!$A$2:$AO$101,MATCH(BA$1,Feature_List!$A$1:$AO$1,0),FALSE),"OK","BAD")</f>
        <v>#N/A</v>
      </c>
      <c r="BB58" s="95" t="e">
        <f>IF(O58=VLOOKUP($A58,Feature_List!$A$2:$AO$101,MATCH(BB$1,Feature_List!$A$1:$AO$1,0),FALSE),"OK","BAD")</f>
        <v>#N/A</v>
      </c>
      <c r="BC58" s="95" t="e">
        <f>IF(P58=VLOOKUP($A58,Feature_List!$A$2:$AO$101,MATCH(BC$1,Feature_List!$A$1:$AO$1,0),FALSE),"OK","BAD")</f>
        <v>#N/A</v>
      </c>
      <c r="BD58" s="95" t="e">
        <f>IF(Q58=VLOOKUP($A58,Feature_List!$A$2:$AO$101,MATCH(BD$1,Feature_List!$A$1:$AO$1,0),FALSE),"OK","BAD")</f>
        <v>#N/A</v>
      </c>
      <c r="BE58" s="95" t="e">
        <f>IF(R58=VLOOKUP($A58,Feature_List!$A$2:$AO$101,MATCH(BE$1,Feature_List!$A$1:$AO$1,0),FALSE),"OK","BAD")</f>
        <v>#N/A</v>
      </c>
      <c r="BF58" s="95" t="e">
        <f>IF(S58=VLOOKUP($A58,Feature_List!$A$2:$AO$101,MATCH(BF$1,Feature_List!$A$1:$AO$1,0),FALSE),"OK","BAD")</f>
        <v>#N/A</v>
      </c>
      <c r="BG58" s="95" t="e">
        <f>IF(T58=VLOOKUP($A58,Feature_List!$A$2:$AO$101,MATCH(BG$1,Feature_List!$A$1:$AO$1,0),FALSE),"OK","BAD")</f>
        <v>#N/A</v>
      </c>
      <c r="BH58" s="95" t="e">
        <f>IF(U58=VLOOKUP($A58,Feature_List!$A$2:$AO$101,MATCH(BH$1,Feature_List!$A$1:$AO$1,0),FALSE),"OK","BAD")</f>
        <v>#N/A</v>
      </c>
      <c r="BI58" s="95" t="e">
        <f>IF(V58=VLOOKUP($A58,Feature_List!$A$2:$AO$101,MATCH(BI$1,Feature_List!$A$1:$AO$1,0),FALSE),"OK","BAD")</f>
        <v>#N/A</v>
      </c>
      <c r="BJ58" s="95" t="e">
        <f>IF(W58=VLOOKUP($A58,Feature_List!$A$2:$AO$101,MATCH(BJ$1,Feature_List!$A$1:$AO$1,0),FALSE),"OK","BAD")</f>
        <v>#N/A</v>
      </c>
      <c r="BK58" s="95" t="e">
        <f>IF(X58=VLOOKUP($A58,Feature_List!$A$2:$AO$101,MATCH(BK$1,Feature_List!$A$1:$AO$1,0),FALSE),"OK","BAD")</f>
        <v>#N/A</v>
      </c>
      <c r="BL58" s="95" t="e">
        <f>IF(Y58=VLOOKUP($A58,Feature_List!$A$2:$AO$101,MATCH(BL$1,Feature_List!$A$1:$AO$1,0),FALSE),"OK","BAD")</f>
        <v>#N/A</v>
      </c>
      <c r="BM58" s="95" t="e">
        <f>IF(Z58=VLOOKUP($A58,Feature_List!$A$2:$AO$101,MATCH(BM$1,Feature_List!$A$1:$AO$1,0),FALSE),"OK","BAD")</f>
        <v>#N/A</v>
      </c>
      <c r="BN58" s="95" t="e">
        <f>IF(AA58=VLOOKUP($A58,Feature_List!$A$2:$AO$101,MATCH(BN$1,Feature_List!$A$1:$AO$1,0),FALSE),"OK","BAD")</f>
        <v>#N/A</v>
      </c>
      <c r="BO58" s="95" t="e">
        <f>IF(AB58=VLOOKUP($A58,Feature_List!$A$2:$AO$101,MATCH(BO$1,Feature_List!$A$1:$AO$1,0),FALSE),"OK","BAD")</f>
        <v>#N/A</v>
      </c>
      <c r="BP58" s="95" t="e">
        <f>IF(AC58=VLOOKUP($A58,Feature_List!$A$2:$AO$101,MATCH(BP$1,Feature_List!$A$1:$AO$1,0),FALSE),"OK","BAD")</f>
        <v>#N/A</v>
      </c>
      <c r="BQ58" s="95" t="e">
        <f>IF(AD58=VLOOKUP($A58,Feature_List!$A$2:$AO$101,MATCH(BQ$1,Feature_List!$A$1:$AO$1,0),FALSE),"OK","BAD")</f>
        <v>#N/A</v>
      </c>
      <c r="BR58" s="95" t="e">
        <f>IF(AE58=VLOOKUP($A58,Feature_List!$A$2:$AO$101,MATCH(BR$1,Feature_List!$A$1:$AO$1,0),FALSE),"OK","BAD")</f>
        <v>#N/A</v>
      </c>
      <c r="BS58" s="95" t="e">
        <f>IF(AF58=VLOOKUP($A58,Feature_List!$A$2:$AO$101,MATCH(BS$1,Feature_List!$A$1:$AO$1,0),FALSE),"OK","BAD")</f>
        <v>#N/A</v>
      </c>
      <c r="BT58" s="95" t="e">
        <f>IF(AG58=VLOOKUP($A58,Feature_List!$A$2:$AO$101,MATCH(BT$1,Feature_List!$A$1:$AO$1,0),FALSE),"OK","BAD")</f>
        <v>#N/A</v>
      </c>
      <c r="BU58" s="95" t="e">
        <f>IF(AH58=VLOOKUP($A58,Feature_List!$A$2:$AO$101,MATCH(BU$1,Feature_List!$A$1:$AO$1,0),FALSE),"OK","BAD")</f>
        <v>#N/A</v>
      </c>
      <c r="BV58" s="95" t="e">
        <f>IF(AI58=VLOOKUP($A58,Feature_List!$A$2:$AO$101,MATCH(BV$1,Feature_List!$A$1:$AO$1,0),FALSE),"OK","BAD")</f>
        <v>#N/A</v>
      </c>
      <c r="BW58" s="95" t="e">
        <f>IF(AJ58=VLOOKUP($A58,Feature_List!$A$2:$AO$101,MATCH(BW$1,Feature_List!$A$1:$AO$1,0),FALSE),"OK","BAD")</f>
        <v>#N/A</v>
      </c>
      <c r="BX58" s="95" t="e">
        <f>IF(AK58=VLOOKUP($A58,Feature_List!$A$2:$AO$101,MATCH(BX$1,Feature_List!$A$1:$AO$1,0),FALSE),"OK","BAD")</f>
        <v>#N/A</v>
      </c>
      <c r="BY58" s="95" t="e">
        <f>IF(AL58=VLOOKUP($A58,Feature_List!$A$2:$AO$101,MATCH(BY$1,Feature_List!$A$1:$AO$1,0),FALSE),"OK","BAD")</f>
        <v>#N/A</v>
      </c>
      <c r="BZ58" s="95" t="e">
        <f>IF(AM58=VLOOKUP($A58,Feature_List!$A$2:$AO$101,MATCH(BZ$1,Feature_List!$A$1:$AO$1,0),FALSE),"OK","BAD")</f>
        <v>#N/A</v>
      </c>
      <c r="CA58" s="95" t="e">
        <f>IF(AN58=VLOOKUP($A58,Feature_List!$A$2:$AO$101,MATCH(CA$1,Feature_List!$A$1:$AO$1,0),FALSE),"OK","BAD")</f>
        <v>#N/A</v>
      </c>
    </row>
    <row r="59" spans="1:79" ht="14.4" customHeight="1" x14ac:dyDescent="0.3">
      <c r="A59" s="70">
        <v>381524</v>
      </c>
      <c r="B59" s="65" t="s">
        <v>973</v>
      </c>
      <c r="C59" s="98" t="s">
        <v>972</v>
      </c>
      <c r="D59" s="65" t="s">
        <v>28</v>
      </c>
      <c r="E59" s="64">
        <v>51</v>
      </c>
      <c r="F59" s="64" t="s">
        <v>880</v>
      </c>
      <c r="G59" s="64" t="s">
        <v>1522</v>
      </c>
      <c r="H59" s="64" t="s">
        <v>1003</v>
      </c>
      <c r="I59" s="99" t="s">
        <v>939</v>
      </c>
      <c r="J59" s="64" t="s">
        <v>1412</v>
      </c>
      <c r="K59" s="64">
        <v>395610</v>
      </c>
      <c r="L59" s="62" t="s">
        <v>947</v>
      </c>
      <c r="M59" s="67" t="s">
        <v>555</v>
      </c>
      <c r="N59" s="67" t="s">
        <v>559</v>
      </c>
      <c r="O59" s="67">
        <v>1</v>
      </c>
      <c r="P59" s="66" t="s">
        <v>131</v>
      </c>
      <c r="Q59" s="63">
        <v>1</v>
      </c>
      <c r="R59" s="63">
        <v>0</v>
      </c>
      <c r="S59" s="63">
        <v>0</v>
      </c>
      <c r="T59" s="63">
        <v>0</v>
      </c>
      <c r="U59" s="63">
        <v>0</v>
      </c>
      <c r="V59" s="63">
        <v>0</v>
      </c>
      <c r="W59" s="63">
        <v>0</v>
      </c>
      <c r="X59" s="63">
        <v>0</v>
      </c>
      <c r="Y59" s="63">
        <v>0</v>
      </c>
      <c r="Z59" s="63">
        <v>0</v>
      </c>
      <c r="AA59" s="63">
        <v>0</v>
      </c>
      <c r="AB59" s="63">
        <v>0</v>
      </c>
      <c r="AC59" s="63">
        <v>19</v>
      </c>
      <c r="AD59" s="63">
        <v>0</v>
      </c>
      <c r="AE59" s="63">
        <v>0</v>
      </c>
      <c r="AF59" s="63">
        <v>0</v>
      </c>
      <c r="AG59" s="63">
        <v>0</v>
      </c>
      <c r="AH59" s="63">
        <v>0</v>
      </c>
      <c r="AI59" s="63">
        <v>0</v>
      </c>
      <c r="AJ59" s="63">
        <v>19</v>
      </c>
      <c r="AK59" s="63">
        <v>32</v>
      </c>
      <c r="AL59" s="63" t="s">
        <v>35</v>
      </c>
      <c r="AM59" s="63" t="s">
        <v>854</v>
      </c>
      <c r="AN59" s="220" t="s">
        <v>33</v>
      </c>
      <c r="AO59" s="224"/>
      <c r="AP59" s="95" t="str">
        <f>IF(C59=VLOOKUP($A59,Feature_List!$A$2:$AO$101,MATCH(AP$1,Feature_List!$A$1:$AO$1,0),FALSE),"OK","BAD")</f>
        <v>OK</v>
      </c>
      <c r="AQ59" s="95" t="str">
        <f>IF(D59=VLOOKUP($A59,Feature_List!$A$2:$AO$101,MATCH(AQ$1,Feature_List!$A$1:$AO$1,0),FALSE),"OK","BAD")</f>
        <v>BAD</v>
      </c>
      <c r="AR59" s="95" t="str">
        <f>IF(E59=VLOOKUP($A59,Feature_List!$A$2:$AO$101,MATCH(AR$1,Feature_List!$A$1:$AO$1,0),FALSE),"OK","BAD")</f>
        <v>OK</v>
      </c>
      <c r="AS59" s="95" t="str">
        <f>IF(F59=VLOOKUP($A59,Feature_List!$A$2:$AO$101,MATCH(AS$1,Feature_List!$A$1:$AO$1,0),FALSE),"OK","BAD")</f>
        <v>OK</v>
      </c>
      <c r="AT59" s="95" t="s">
        <v>985</v>
      </c>
      <c r="AU59" s="95" t="s">
        <v>985</v>
      </c>
      <c r="AV59" s="95" t="str">
        <f>IF(I59=VLOOKUP($A59,Feature_List!$A$2:$AO$101,MATCH(AV$1,Feature_List!$A$1:$AO$1,0),FALSE),"OK","BAD")</f>
        <v>OK</v>
      </c>
      <c r="AW59" s="95" t="str">
        <f>IF(J59=VLOOKUP($A59,Feature_List!$A$2:$AO$101,MATCH(AW$1,Feature_List!$A$1:$AO$1,0),FALSE),"OK","BAD")</f>
        <v>OK</v>
      </c>
      <c r="AX59" s="95" t="str">
        <f>IF(K59=VLOOKUP($A59,Feature_List!$A$2:$AO$101,MATCH(AX$1,Feature_List!$A$1:$AO$1,0),FALSE),"OK","BAD")</f>
        <v>OK</v>
      </c>
      <c r="AY59" s="95" t="str">
        <f>IF(L59=VLOOKUP($A59,Feature_List!$A$2:$AO$101,MATCH(AY$1,Feature_List!$A$1:$AO$1,0),FALSE),"OK","BAD")</f>
        <v>OK</v>
      </c>
      <c r="AZ59" s="95" t="str">
        <f>IF(M59=VLOOKUP($A59,Feature_List!$A$2:$AO$101,MATCH(AZ$1,Feature_List!$A$1:$AO$1,0),FALSE),"OK","BAD")</f>
        <v>OK</v>
      </c>
      <c r="BA59" s="95" t="str">
        <f>IF(N59=VLOOKUP($A59,Feature_List!$A$2:$AO$101,MATCH(BA$1,Feature_List!$A$1:$AO$1,0),FALSE),"OK","BAD")</f>
        <v>OK</v>
      </c>
      <c r="BB59" s="95" t="str">
        <f>IF(O59=VLOOKUP($A59,Feature_List!$A$2:$AO$101,MATCH(BB$1,Feature_List!$A$1:$AO$1,0),FALSE),"OK","BAD")</f>
        <v>BAD</v>
      </c>
      <c r="BC59" s="95" t="e">
        <f>IF(P59=VLOOKUP($A59,Feature_List!$A$2:$AO$101,MATCH(BC$1,Feature_List!$A$1:$AO$1,0),FALSE),"OK","BAD")</f>
        <v>#N/A</v>
      </c>
      <c r="BD59" s="95" t="str">
        <f>IF(Q59=VLOOKUP($A59,Feature_List!$A$2:$AO$101,MATCH(BD$1,Feature_List!$A$1:$AO$1,0),FALSE),"OK","BAD")</f>
        <v>BAD</v>
      </c>
      <c r="BE59" s="95" t="str">
        <f>IF(R59=VLOOKUP($A59,Feature_List!$A$2:$AO$101,MATCH(BE$1,Feature_List!$A$1:$AO$1,0),FALSE),"OK","BAD")</f>
        <v>BAD</v>
      </c>
      <c r="BF59" s="95" t="str">
        <f>IF(S59=VLOOKUP($A59,Feature_List!$A$2:$AO$101,MATCH(BF$1,Feature_List!$A$1:$AO$1,0),FALSE),"OK","BAD")</f>
        <v>OK</v>
      </c>
      <c r="BG59" s="95" t="str">
        <f>IF(T59=VLOOKUP($A59,Feature_List!$A$2:$AO$101,MATCH(BG$1,Feature_List!$A$1:$AO$1,0),FALSE),"OK","BAD")</f>
        <v>OK</v>
      </c>
      <c r="BH59" s="95" t="str">
        <f>IF(U59=VLOOKUP($A59,Feature_List!$A$2:$AO$101,MATCH(BH$1,Feature_List!$A$1:$AO$1,0),FALSE),"OK","BAD")</f>
        <v>BAD</v>
      </c>
      <c r="BI59" s="95" t="str">
        <f>IF(V59=VLOOKUP($A59,Feature_List!$A$2:$AO$101,MATCH(BI$1,Feature_List!$A$1:$AO$1,0),FALSE),"OK","BAD")</f>
        <v>OK</v>
      </c>
      <c r="BJ59" s="95" t="e">
        <f>IF(W59=VLOOKUP($A59,Feature_List!$A$2:$AO$101,MATCH(BJ$1,Feature_List!$A$1:$AO$1,0),FALSE),"OK","BAD")</f>
        <v>#N/A</v>
      </c>
      <c r="BK59" s="95" t="str">
        <f>IF(X59=VLOOKUP($A59,Feature_List!$A$2:$AO$101,MATCH(BK$1,Feature_List!$A$1:$AO$1,0),FALSE),"OK","BAD")</f>
        <v>OK</v>
      </c>
      <c r="BL59" s="95" t="str">
        <f>IF(Y59=VLOOKUP($A59,Feature_List!$A$2:$AO$101,MATCH(BL$1,Feature_List!$A$1:$AO$1,0),FALSE),"OK","BAD")</f>
        <v>OK</v>
      </c>
      <c r="BM59" s="95" t="str">
        <f>IF(Z59=VLOOKUP($A59,Feature_List!$A$2:$AO$101,MATCH(BM$1,Feature_List!$A$1:$AO$1,0),FALSE),"OK","BAD")</f>
        <v>OK</v>
      </c>
      <c r="BN59" s="95" t="str">
        <f>IF(AA59=VLOOKUP($A59,Feature_List!$A$2:$AO$101,MATCH(BN$1,Feature_List!$A$1:$AO$1,0),FALSE),"OK","BAD")</f>
        <v>OK</v>
      </c>
      <c r="BO59" s="95" t="str">
        <f>IF(AB59=VLOOKUP($A59,Feature_List!$A$2:$AO$101,MATCH(BO$1,Feature_List!$A$1:$AO$1,0),FALSE),"OK","BAD")</f>
        <v>OK</v>
      </c>
      <c r="BP59" s="95" t="str">
        <f>IF(AC59=VLOOKUP($A59,Feature_List!$A$2:$AO$101,MATCH(BP$1,Feature_List!$A$1:$AO$1,0),FALSE),"OK","BAD")</f>
        <v>BAD</v>
      </c>
      <c r="BQ59" s="95" t="str">
        <f>IF(AD59=VLOOKUP($A59,Feature_List!$A$2:$AO$101,MATCH(BQ$1,Feature_List!$A$1:$AO$1,0),FALSE),"OK","BAD")</f>
        <v>OK</v>
      </c>
      <c r="BR59" s="95" t="str">
        <f>IF(AE59=VLOOKUP($A59,Feature_List!$A$2:$AO$101,MATCH(BR$1,Feature_List!$A$1:$AO$1,0),FALSE),"OK","BAD")</f>
        <v>OK</v>
      </c>
      <c r="BS59" s="95" t="str">
        <f>IF(AF59=VLOOKUP($A59,Feature_List!$A$2:$AO$101,MATCH(BS$1,Feature_List!$A$1:$AO$1,0),FALSE),"OK","BAD")</f>
        <v>OK</v>
      </c>
      <c r="BT59" s="95" t="str">
        <f>IF(AG59=VLOOKUP($A59,Feature_List!$A$2:$AO$101,MATCH(BT$1,Feature_List!$A$1:$AO$1,0),FALSE),"OK","BAD")</f>
        <v>OK</v>
      </c>
      <c r="BU59" s="95" t="str">
        <f>IF(AH59=VLOOKUP($A59,Feature_List!$A$2:$AO$101,MATCH(BU$1,Feature_List!$A$1:$AO$1,0),FALSE),"OK","BAD")</f>
        <v>OK</v>
      </c>
      <c r="BV59" s="95" t="e">
        <f>IF(AI59=VLOOKUP($A59,Feature_List!$A$2:$AO$101,MATCH(BV$1,Feature_List!$A$1:$AO$1,0),FALSE),"OK","BAD")</f>
        <v>#N/A</v>
      </c>
      <c r="BW59" s="95" t="e">
        <f>IF(AJ59=VLOOKUP($A59,Feature_List!$A$2:$AO$101,MATCH(BW$1,Feature_List!$A$1:$AO$1,0),FALSE),"OK","BAD")</f>
        <v>#N/A</v>
      </c>
      <c r="BX59" s="95" t="e">
        <f>IF(AK59=VLOOKUP($A59,Feature_List!$A$2:$AO$101,MATCH(BX$1,Feature_List!$A$1:$AO$1,0),FALSE),"OK","BAD")</f>
        <v>#N/A</v>
      </c>
      <c r="BY59" s="95" t="str">
        <f>IF(AL59=VLOOKUP($A59,Feature_List!$A$2:$AO$101,MATCH(BY$1,Feature_List!$A$1:$AO$1,0),FALSE),"OK","BAD")</f>
        <v>OK</v>
      </c>
      <c r="BZ59" s="95" t="str">
        <f>IF(AM59=VLOOKUP($A59,Feature_List!$A$2:$AO$101,MATCH(BZ$1,Feature_List!$A$1:$AO$1,0),FALSE),"OK","BAD")</f>
        <v>OK</v>
      </c>
      <c r="CA59" s="95" t="str">
        <f>IF(AN59=VLOOKUP($A59,Feature_List!$A$2:$AO$101,MATCH(CA$1,Feature_List!$A$1:$AO$1,0),FALSE),"OK","BAD")</f>
        <v>OK</v>
      </c>
    </row>
    <row r="60" spans="1:79" ht="14.4" customHeight="1" x14ac:dyDescent="0.3">
      <c r="A60" s="70">
        <v>379761</v>
      </c>
      <c r="B60" s="65" t="s">
        <v>970</v>
      </c>
      <c r="C60" s="98" t="s">
        <v>1143</v>
      </c>
      <c r="D60" s="65" t="s">
        <v>28</v>
      </c>
      <c r="E60" s="64">
        <v>13</v>
      </c>
      <c r="F60" s="64" t="s">
        <v>880</v>
      </c>
      <c r="G60" s="64" t="s">
        <v>997</v>
      </c>
      <c r="H60" s="64" t="s">
        <v>847</v>
      </c>
      <c r="I60" s="99" t="s">
        <v>1603</v>
      </c>
      <c r="J60" s="64" t="s">
        <v>1412</v>
      </c>
      <c r="K60" s="64">
        <v>216351</v>
      </c>
      <c r="L60" s="62" t="s">
        <v>947</v>
      </c>
      <c r="M60" s="67" t="s">
        <v>31</v>
      </c>
      <c r="N60" s="67" t="s">
        <v>53</v>
      </c>
      <c r="O60" s="67">
        <v>2</v>
      </c>
      <c r="P60" s="66" t="s">
        <v>131</v>
      </c>
      <c r="Q60" s="63">
        <v>2</v>
      </c>
      <c r="R60" s="63">
        <v>0</v>
      </c>
      <c r="S60" s="63">
        <v>0</v>
      </c>
      <c r="T60" s="63">
        <v>0</v>
      </c>
      <c r="U60" s="63">
        <v>0</v>
      </c>
      <c r="V60" s="63">
        <v>0</v>
      </c>
      <c r="W60" s="63">
        <v>0</v>
      </c>
      <c r="X60" s="63">
        <v>0</v>
      </c>
      <c r="Y60" s="63">
        <v>0</v>
      </c>
      <c r="Z60" s="63">
        <v>0</v>
      </c>
      <c r="AA60" s="63">
        <v>0</v>
      </c>
      <c r="AB60" s="63">
        <v>3</v>
      </c>
      <c r="AC60" s="63">
        <v>10</v>
      </c>
      <c r="AD60" s="63">
        <v>0</v>
      </c>
      <c r="AE60" s="63">
        <v>0</v>
      </c>
      <c r="AF60" s="63">
        <v>0</v>
      </c>
      <c r="AG60" s="63">
        <v>0</v>
      </c>
      <c r="AH60" s="63">
        <v>0</v>
      </c>
      <c r="AI60" s="63">
        <v>0</v>
      </c>
      <c r="AJ60" s="63">
        <v>13</v>
      </c>
      <c r="AK60" s="63">
        <v>0</v>
      </c>
      <c r="AL60" s="63" t="s">
        <v>35</v>
      </c>
      <c r="AM60" s="63" t="s">
        <v>854</v>
      </c>
      <c r="AN60" s="220" t="s">
        <v>40</v>
      </c>
      <c r="AO60" s="224"/>
      <c r="AP60" s="95" t="e">
        <f>IF(C60=VLOOKUP($A60,Feature_List!$A$2:$AO$101,MATCH(AP$1,Feature_List!$A$1:$AO$1,0),FALSE),"OK","BAD")</f>
        <v>#N/A</v>
      </c>
      <c r="AQ60" s="95" t="e">
        <f>IF(D60=VLOOKUP($A60,Feature_List!$A$2:$AO$101,MATCH(AQ$1,Feature_List!$A$1:$AO$1,0),FALSE),"OK","BAD")</f>
        <v>#N/A</v>
      </c>
      <c r="AR60" s="95" t="e">
        <f>IF(E60=VLOOKUP($A60,Feature_List!$A$2:$AO$101,MATCH(AR$1,Feature_List!$A$1:$AO$1,0),FALSE),"OK","BAD")</f>
        <v>#N/A</v>
      </c>
      <c r="AS60" s="95" t="e">
        <f>IF(F60=VLOOKUP($A60,Feature_List!$A$2:$AO$101,MATCH(AS$1,Feature_List!$A$1:$AO$1,0),FALSE),"OK","BAD")</f>
        <v>#N/A</v>
      </c>
      <c r="AT60" s="95" t="s">
        <v>985</v>
      </c>
      <c r="AU60" s="95" t="s">
        <v>985</v>
      </c>
      <c r="AV60" s="95" t="e">
        <f>IF(I60=VLOOKUP($A60,Feature_List!$A$2:$AO$101,MATCH(AV$1,Feature_List!$A$1:$AO$1,0),FALSE),"OK","BAD")</f>
        <v>#N/A</v>
      </c>
      <c r="AW60" s="95" t="e">
        <f>IF(J60=VLOOKUP($A60,Feature_List!$A$2:$AO$101,MATCH(AW$1,Feature_List!$A$1:$AO$1,0),FALSE),"OK","BAD")</f>
        <v>#N/A</v>
      </c>
      <c r="AX60" s="95" t="e">
        <f>IF(K60=VLOOKUP($A60,Feature_List!$A$2:$AO$101,MATCH(AX$1,Feature_List!$A$1:$AO$1,0),FALSE),"OK","BAD")</f>
        <v>#N/A</v>
      </c>
      <c r="AY60" s="95" t="e">
        <f>IF(L60=VLOOKUP($A60,Feature_List!$A$2:$AO$101,MATCH(AY$1,Feature_List!$A$1:$AO$1,0),FALSE),"OK","BAD")</f>
        <v>#N/A</v>
      </c>
      <c r="AZ60" s="95" t="e">
        <f>IF(M60=VLOOKUP($A60,Feature_List!$A$2:$AO$101,MATCH(AZ$1,Feature_List!$A$1:$AO$1,0),FALSE),"OK","BAD")</f>
        <v>#N/A</v>
      </c>
      <c r="BA60" s="95" t="e">
        <f>IF(N60=VLOOKUP($A60,Feature_List!$A$2:$AO$101,MATCH(BA$1,Feature_List!$A$1:$AO$1,0),FALSE),"OK","BAD")</f>
        <v>#N/A</v>
      </c>
      <c r="BB60" s="95" t="e">
        <f>IF(O60=VLOOKUP($A60,Feature_List!$A$2:$AO$101,MATCH(BB$1,Feature_List!$A$1:$AO$1,0),FALSE),"OK","BAD")</f>
        <v>#N/A</v>
      </c>
      <c r="BC60" s="95" t="e">
        <f>IF(P60=VLOOKUP($A60,Feature_List!$A$2:$AO$101,MATCH(BC$1,Feature_List!$A$1:$AO$1,0),FALSE),"OK","BAD")</f>
        <v>#N/A</v>
      </c>
      <c r="BD60" s="95" t="e">
        <f>IF(Q60=VLOOKUP($A60,Feature_List!$A$2:$AO$101,MATCH(BD$1,Feature_List!$A$1:$AO$1,0),FALSE),"OK","BAD")</f>
        <v>#N/A</v>
      </c>
      <c r="BE60" s="95" t="e">
        <f>IF(R60=VLOOKUP($A60,Feature_List!$A$2:$AO$101,MATCH(BE$1,Feature_List!$A$1:$AO$1,0),FALSE),"OK","BAD")</f>
        <v>#N/A</v>
      </c>
      <c r="BF60" s="95" t="e">
        <f>IF(S60=VLOOKUP($A60,Feature_List!$A$2:$AO$101,MATCH(BF$1,Feature_List!$A$1:$AO$1,0),FALSE),"OK","BAD")</f>
        <v>#N/A</v>
      </c>
      <c r="BG60" s="95" t="e">
        <f>IF(T60=VLOOKUP($A60,Feature_List!$A$2:$AO$101,MATCH(BG$1,Feature_List!$A$1:$AO$1,0),FALSE),"OK","BAD")</f>
        <v>#N/A</v>
      </c>
      <c r="BH60" s="95" t="e">
        <f>IF(U60=VLOOKUP($A60,Feature_List!$A$2:$AO$101,MATCH(BH$1,Feature_List!$A$1:$AO$1,0),FALSE),"OK","BAD")</f>
        <v>#N/A</v>
      </c>
      <c r="BI60" s="95" t="e">
        <f>IF(V60=VLOOKUP($A60,Feature_List!$A$2:$AO$101,MATCH(BI$1,Feature_List!$A$1:$AO$1,0),FALSE),"OK","BAD")</f>
        <v>#N/A</v>
      </c>
      <c r="BJ60" s="95" t="e">
        <f>IF(W60=VLOOKUP($A60,Feature_List!$A$2:$AO$101,MATCH(BJ$1,Feature_List!$A$1:$AO$1,0),FALSE),"OK","BAD")</f>
        <v>#N/A</v>
      </c>
      <c r="BK60" s="95" t="e">
        <f>IF(X60=VLOOKUP($A60,Feature_List!$A$2:$AO$101,MATCH(BK$1,Feature_List!$A$1:$AO$1,0),FALSE),"OK","BAD")</f>
        <v>#N/A</v>
      </c>
      <c r="BL60" s="95" t="e">
        <f>IF(Y60=VLOOKUP($A60,Feature_List!$A$2:$AO$101,MATCH(BL$1,Feature_List!$A$1:$AO$1,0),FALSE),"OK","BAD")</f>
        <v>#N/A</v>
      </c>
      <c r="BM60" s="95" t="e">
        <f>IF(Z60=VLOOKUP($A60,Feature_List!$A$2:$AO$101,MATCH(BM$1,Feature_List!$A$1:$AO$1,0),FALSE),"OK","BAD")</f>
        <v>#N/A</v>
      </c>
      <c r="BN60" s="95" t="e">
        <f>IF(AA60=VLOOKUP($A60,Feature_List!$A$2:$AO$101,MATCH(BN$1,Feature_List!$A$1:$AO$1,0),FALSE),"OK","BAD")</f>
        <v>#N/A</v>
      </c>
      <c r="BO60" s="95" t="e">
        <f>IF(AB60=VLOOKUP($A60,Feature_List!$A$2:$AO$101,MATCH(BO$1,Feature_List!$A$1:$AO$1,0),FALSE),"OK","BAD")</f>
        <v>#N/A</v>
      </c>
      <c r="BP60" s="95" t="e">
        <f>IF(AC60=VLOOKUP($A60,Feature_List!$A$2:$AO$101,MATCH(BP$1,Feature_List!$A$1:$AO$1,0),FALSE),"OK","BAD")</f>
        <v>#N/A</v>
      </c>
      <c r="BQ60" s="95" t="e">
        <f>IF(AD60=VLOOKUP($A60,Feature_List!$A$2:$AO$101,MATCH(BQ$1,Feature_List!$A$1:$AO$1,0),FALSE),"OK","BAD")</f>
        <v>#N/A</v>
      </c>
      <c r="BR60" s="95" t="e">
        <f>IF(AE60=VLOOKUP($A60,Feature_List!$A$2:$AO$101,MATCH(BR$1,Feature_List!$A$1:$AO$1,0),FALSE),"OK","BAD")</f>
        <v>#N/A</v>
      </c>
      <c r="BS60" s="95" t="e">
        <f>IF(AF60=VLOOKUP($A60,Feature_List!$A$2:$AO$101,MATCH(BS$1,Feature_List!$A$1:$AO$1,0),FALSE),"OK","BAD")</f>
        <v>#N/A</v>
      </c>
      <c r="BT60" s="95" t="e">
        <f>IF(AG60=VLOOKUP($A60,Feature_List!$A$2:$AO$101,MATCH(BT$1,Feature_List!$A$1:$AO$1,0),FALSE),"OK","BAD")</f>
        <v>#N/A</v>
      </c>
      <c r="BU60" s="95" t="e">
        <f>IF(AH60=VLOOKUP($A60,Feature_List!$A$2:$AO$101,MATCH(BU$1,Feature_List!$A$1:$AO$1,0),FALSE),"OK","BAD")</f>
        <v>#N/A</v>
      </c>
      <c r="BV60" s="95" t="e">
        <f>IF(AI60=VLOOKUP($A60,Feature_List!$A$2:$AO$101,MATCH(BV$1,Feature_List!$A$1:$AO$1,0),FALSE),"OK","BAD")</f>
        <v>#N/A</v>
      </c>
      <c r="BW60" s="95" t="e">
        <f>IF(AJ60=VLOOKUP($A60,Feature_List!$A$2:$AO$101,MATCH(BW$1,Feature_List!$A$1:$AO$1,0),FALSE),"OK","BAD")</f>
        <v>#N/A</v>
      </c>
      <c r="BX60" s="95" t="e">
        <f>IF(AK60=VLOOKUP($A60,Feature_List!$A$2:$AO$101,MATCH(BX$1,Feature_List!$A$1:$AO$1,0),FALSE),"OK","BAD")</f>
        <v>#N/A</v>
      </c>
      <c r="BY60" s="95" t="e">
        <f>IF(AL60=VLOOKUP($A60,Feature_List!$A$2:$AO$101,MATCH(BY$1,Feature_List!$A$1:$AO$1,0),FALSE),"OK","BAD")</f>
        <v>#N/A</v>
      </c>
      <c r="BZ60" s="95" t="e">
        <f>IF(AM60=VLOOKUP($A60,Feature_List!$A$2:$AO$101,MATCH(BZ$1,Feature_List!$A$1:$AO$1,0),FALSE),"OK","BAD")</f>
        <v>#N/A</v>
      </c>
      <c r="CA60" s="95" t="e">
        <f>IF(AN60=VLOOKUP($A60,Feature_List!$A$2:$AO$101,MATCH(CA$1,Feature_List!$A$1:$AO$1,0),FALSE),"OK","BAD")</f>
        <v>#N/A</v>
      </c>
    </row>
    <row r="61" spans="1:79" ht="14.4" customHeight="1" x14ac:dyDescent="0.3">
      <c r="A61" s="70">
        <v>379221</v>
      </c>
      <c r="B61" s="65" t="s">
        <v>1599</v>
      </c>
      <c r="C61" s="98" t="s">
        <v>1145</v>
      </c>
      <c r="D61" s="65" t="s">
        <v>28</v>
      </c>
      <c r="E61" s="64">
        <v>31</v>
      </c>
      <c r="F61" s="64" t="s">
        <v>879</v>
      </c>
      <c r="G61" s="64" t="s">
        <v>964</v>
      </c>
      <c r="H61" s="64" t="s">
        <v>975</v>
      </c>
      <c r="I61" s="99" t="s">
        <v>38</v>
      </c>
      <c r="J61" s="64" t="s">
        <v>1412</v>
      </c>
      <c r="K61" s="64">
        <v>0</v>
      </c>
      <c r="L61" s="62" t="s">
        <v>949</v>
      </c>
      <c r="M61" s="67" t="s">
        <v>42</v>
      </c>
      <c r="N61" s="67" t="s">
        <v>43</v>
      </c>
      <c r="O61" s="67">
        <v>0</v>
      </c>
      <c r="P61" s="66" t="s">
        <v>174</v>
      </c>
      <c r="Q61" s="63">
        <v>1</v>
      </c>
      <c r="R61" s="63">
        <v>0</v>
      </c>
      <c r="S61" s="63">
        <v>0</v>
      </c>
      <c r="T61" s="63">
        <v>0</v>
      </c>
      <c r="U61" s="63">
        <v>0</v>
      </c>
      <c r="V61" s="63">
        <v>31</v>
      </c>
      <c r="W61" s="63">
        <v>0</v>
      </c>
      <c r="X61" s="63">
        <v>0</v>
      </c>
      <c r="Y61" s="63">
        <v>0</v>
      </c>
      <c r="Z61" s="63">
        <v>0</v>
      </c>
      <c r="AA61" s="63">
        <v>0</v>
      </c>
      <c r="AB61" s="63">
        <v>0</v>
      </c>
      <c r="AC61" s="63">
        <v>0</v>
      </c>
      <c r="AD61" s="63">
        <v>0</v>
      </c>
      <c r="AE61" s="63">
        <v>0</v>
      </c>
      <c r="AF61" s="63">
        <v>0</v>
      </c>
      <c r="AG61" s="63">
        <v>0</v>
      </c>
      <c r="AH61" s="63">
        <v>0</v>
      </c>
      <c r="AI61" s="63">
        <v>0</v>
      </c>
      <c r="AJ61" s="63">
        <v>31</v>
      </c>
      <c r="AK61" s="63">
        <v>0</v>
      </c>
      <c r="AL61" s="63" t="s">
        <v>35</v>
      </c>
      <c r="AM61" s="63" t="s">
        <v>36</v>
      </c>
      <c r="AN61" s="220" t="s">
        <v>40</v>
      </c>
      <c r="AO61" s="224"/>
      <c r="AP61" s="95" t="e">
        <f>IF(C61=VLOOKUP($A61,Feature_List!$A$2:$AO$101,MATCH(AP$1,Feature_List!$A$1:$AO$1,0),FALSE),"OK","BAD")</f>
        <v>#N/A</v>
      </c>
      <c r="AQ61" s="95" t="e">
        <f>IF(D61=VLOOKUP($A61,Feature_List!$A$2:$AO$101,MATCH(AQ$1,Feature_List!$A$1:$AO$1,0),FALSE),"OK","BAD")</f>
        <v>#N/A</v>
      </c>
      <c r="AR61" s="95" t="e">
        <f>IF(E61=VLOOKUP($A61,Feature_List!$A$2:$AO$101,MATCH(AR$1,Feature_List!$A$1:$AO$1,0),FALSE),"OK","BAD")</f>
        <v>#N/A</v>
      </c>
      <c r="AS61" s="95" t="e">
        <f>IF(F61=VLOOKUP($A61,Feature_List!$A$2:$AO$101,MATCH(AS$1,Feature_List!$A$1:$AO$1,0),FALSE),"OK","BAD")</f>
        <v>#N/A</v>
      </c>
      <c r="AT61" s="95" t="s">
        <v>985</v>
      </c>
      <c r="AU61" s="95" t="s">
        <v>985</v>
      </c>
      <c r="AV61" s="95" t="e">
        <f>IF(I61=VLOOKUP($A61,Feature_List!$A$2:$AO$101,MATCH(AV$1,Feature_List!$A$1:$AO$1,0),FALSE),"OK","BAD")</f>
        <v>#N/A</v>
      </c>
      <c r="AW61" s="95" t="e">
        <f>IF(J61=VLOOKUP($A61,Feature_List!$A$2:$AO$101,MATCH(AW$1,Feature_List!$A$1:$AO$1,0),FALSE),"OK","BAD")</f>
        <v>#N/A</v>
      </c>
      <c r="AX61" s="95" t="e">
        <f>IF(K61=VLOOKUP($A61,Feature_List!$A$2:$AO$101,MATCH(AX$1,Feature_List!$A$1:$AO$1,0),FALSE),"OK","BAD")</f>
        <v>#N/A</v>
      </c>
      <c r="AY61" s="95" t="e">
        <f>IF(L61=VLOOKUP($A61,Feature_List!$A$2:$AO$101,MATCH(AY$1,Feature_List!$A$1:$AO$1,0),FALSE),"OK","BAD")</f>
        <v>#N/A</v>
      </c>
      <c r="AZ61" s="95" t="e">
        <f>IF(M61=VLOOKUP($A61,Feature_List!$A$2:$AO$101,MATCH(AZ$1,Feature_List!$A$1:$AO$1,0),FALSE),"OK","BAD")</f>
        <v>#N/A</v>
      </c>
      <c r="BA61" s="95" t="e">
        <f>IF(N61=VLOOKUP($A61,Feature_List!$A$2:$AO$101,MATCH(BA$1,Feature_List!$A$1:$AO$1,0),FALSE),"OK","BAD")</f>
        <v>#N/A</v>
      </c>
      <c r="BB61" s="95" t="e">
        <f>IF(O61=VLOOKUP($A61,Feature_List!$A$2:$AO$101,MATCH(BB$1,Feature_List!$A$1:$AO$1,0),FALSE),"OK","BAD")</f>
        <v>#N/A</v>
      </c>
      <c r="BC61" s="95" t="e">
        <f>IF(P61=VLOOKUP($A61,Feature_List!$A$2:$AO$101,MATCH(BC$1,Feature_List!$A$1:$AO$1,0),FALSE),"OK","BAD")</f>
        <v>#N/A</v>
      </c>
      <c r="BD61" s="95" t="e">
        <f>IF(Q61=VLOOKUP($A61,Feature_List!$A$2:$AO$101,MATCH(BD$1,Feature_List!$A$1:$AO$1,0),FALSE),"OK","BAD")</f>
        <v>#N/A</v>
      </c>
      <c r="BE61" s="95" t="e">
        <f>IF(R61=VLOOKUP($A61,Feature_List!$A$2:$AO$101,MATCH(BE$1,Feature_List!$A$1:$AO$1,0),FALSE),"OK","BAD")</f>
        <v>#N/A</v>
      </c>
      <c r="BF61" s="95" t="e">
        <f>IF(S61=VLOOKUP($A61,Feature_List!$A$2:$AO$101,MATCH(BF$1,Feature_List!$A$1:$AO$1,0),FALSE),"OK","BAD")</f>
        <v>#N/A</v>
      </c>
      <c r="BG61" s="95" t="e">
        <f>IF(T61=VLOOKUP($A61,Feature_List!$A$2:$AO$101,MATCH(BG$1,Feature_List!$A$1:$AO$1,0),FALSE),"OK","BAD")</f>
        <v>#N/A</v>
      </c>
      <c r="BH61" s="95" t="e">
        <f>IF(U61=VLOOKUP($A61,Feature_List!$A$2:$AO$101,MATCH(BH$1,Feature_List!$A$1:$AO$1,0),FALSE),"OK","BAD")</f>
        <v>#N/A</v>
      </c>
      <c r="BI61" s="95" t="e">
        <f>IF(V61=VLOOKUP($A61,Feature_List!$A$2:$AO$101,MATCH(BI$1,Feature_List!$A$1:$AO$1,0),FALSE),"OK","BAD")</f>
        <v>#N/A</v>
      </c>
      <c r="BJ61" s="95" t="e">
        <f>IF(W61=VLOOKUP($A61,Feature_List!$A$2:$AO$101,MATCH(BJ$1,Feature_List!$A$1:$AO$1,0),FALSE),"OK","BAD")</f>
        <v>#N/A</v>
      </c>
      <c r="BK61" s="95" t="e">
        <f>IF(X61=VLOOKUP($A61,Feature_List!$A$2:$AO$101,MATCH(BK$1,Feature_List!$A$1:$AO$1,0),FALSE),"OK","BAD")</f>
        <v>#N/A</v>
      </c>
      <c r="BL61" s="95" t="e">
        <f>IF(Y61=VLOOKUP($A61,Feature_List!$A$2:$AO$101,MATCH(BL$1,Feature_List!$A$1:$AO$1,0),FALSE),"OK","BAD")</f>
        <v>#N/A</v>
      </c>
      <c r="BM61" s="95" t="e">
        <f>IF(Z61=VLOOKUP($A61,Feature_List!$A$2:$AO$101,MATCH(BM$1,Feature_List!$A$1:$AO$1,0),FALSE),"OK","BAD")</f>
        <v>#N/A</v>
      </c>
      <c r="BN61" s="95" t="e">
        <f>IF(AA61=VLOOKUP($A61,Feature_List!$A$2:$AO$101,MATCH(BN$1,Feature_List!$A$1:$AO$1,0),FALSE),"OK","BAD")</f>
        <v>#N/A</v>
      </c>
      <c r="BO61" s="95" t="e">
        <f>IF(AB61=VLOOKUP($A61,Feature_List!$A$2:$AO$101,MATCH(BO$1,Feature_List!$A$1:$AO$1,0),FALSE),"OK","BAD")</f>
        <v>#N/A</v>
      </c>
      <c r="BP61" s="95" t="e">
        <f>IF(AC61=VLOOKUP($A61,Feature_List!$A$2:$AO$101,MATCH(BP$1,Feature_List!$A$1:$AO$1,0),FALSE),"OK","BAD")</f>
        <v>#N/A</v>
      </c>
      <c r="BQ61" s="95" t="e">
        <f>IF(AD61=VLOOKUP($A61,Feature_List!$A$2:$AO$101,MATCH(BQ$1,Feature_List!$A$1:$AO$1,0),FALSE),"OK","BAD")</f>
        <v>#N/A</v>
      </c>
      <c r="BR61" s="95" t="e">
        <f>IF(AE61=VLOOKUP($A61,Feature_List!$A$2:$AO$101,MATCH(BR$1,Feature_List!$A$1:$AO$1,0),FALSE),"OK","BAD")</f>
        <v>#N/A</v>
      </c>
      <c r="BS61" s="95" t="e">
        <f>IF(AF61=VLOOKUP($A61,Feature_List!$A$2:$AO$101,MATCH(BS$1,Feature_List!$A$1:$AO$1,0),FALSE),"OK","BAD")</f>
        <v>#N/A</v>
      </c>
      <c r="BT61" s="95" t="e">
        <f>IF(AG61=VLOOKUP($A61,Feature_List!$A$2:$AO$101,MATCH(BT$1,Feature_List!$A$1:$AO$1,0),FALSE),"OK","BAD")</f>
        <v>#N/A</v>
      </c>
      <c r="BU61" s="95" t="e">
        <f>IF(AH61=VLOOKUP($A61,Feature_List!$A$2:$AO$101,MATCH(BU$1,Feature_List!$A$1:$AO$1,0),FALSE),"OK","BAD")</f>
        <v>#N/A</v>
      </c>
      <c r="BV61" s="95" t="e">
        <f>IF(AI61=VLOOKUP($A61,Feature_List!$A$2:$AO$101,MATCH(BV$1,Feature_List!$A$1:$AO$1,0),FALSE),"OK","BAD")</f>
        <v>#N/A</v>
      </c>
      <c r="BW61" s="95" t="e">
        <f>IF(AJ61=VLOOKUP($A61,Feature_List!$A$2:$AO$101,MATCH(BW$1,Feature_List!$A$1:$AO$1,0),FALSE),"OK","BAD")</f>
        <v>#N/A</v>
      </c>
      <c r="BX61" s="95" t="e">
        <f>IF(AK61=VLOOKUP($A61,Feature_List!$A$2:$AO$101,MATCH(BX$1,Feature_List!$A$1:$AO$1,0),FALSE),"OK","BAD")</f>
        <v>#N/A</v>
      </c>
      <c r="BY61" s="95" t="e">
        <f>IF(AL61=VLOOKUP($A61,Feature_List!$A$2:$AO$101,MATCH(BY$1,Feature_List!$A$1:$AO$1,0),FALSE),"OK","BAD")</f>
        <v>#N/A</v>
      </c>
      <c r="BZ61" s="95" t="e">
        <f>IF(AM61=VLOOKUP($A61,Feature_List!$A$2:$AO$101,MATCH(BZ$1,Feature_List!$A$1:$AO$1,0),FALSE),"OK","BAD")</f>
        <v>#N/A</v>
      </c>
      <c r="CA61" s="95" t="e">
        <f>IF(AN61=VLOOKUP($A61,Feature_List!$A$2:$AO$101,MATCH(CA$1,Feature_List!$A$1:$AO$1,0),FALSE),"OK","BAD")</f>
        <v>#N/A</v>
      </c>
    </row>
    <row r="62" spans="1:79" ht="14.4" customHeight="1" x14ac:dyDescent="0.3">
      <c r="A62" s="70">
        <v>378000</v>
      </c>
      <c r="B62" s="65" t="s">
        <v>1528</v>
      </c>
      <c r="C62" s="98" t="s">
        <v>1012</v>
      </c>
      <c r="D62" s="65" t="s">
        <v>106</v>
      </c>
      <c r="E62" s="64">
        <v>209</v>
      </c>
      <c r="F62" s="64" t="s">
        <v>880</v>
      </c>
      <c r="G62" s="64" t="s">
        <v>1529</v>
      </c>
      <c r="H62" s="64" t="s">
        <v>170</v>
      </c>
      <c r="I62" s="64" t="s">
        <v>560</v>
      </c>
      <c r="J62" s="64" t="s">
        <v>1412</v>
      </c>
      <c r="K62" s="64">
        <v>244386</v>
      </c>
      <c r="L62" s="62" t="s">
        <v>943</v>
      </c>
      <c r="M62" s="67" t="s">
        <v>31</v>
      </c>
      <c r="N62" s="67" t="s">
        <v>32</v>
      </c>
      <c r="O62" s="67">
        <v>23</v>
      </c>
      <c r="P62" s="66" t="s">
        <v>133</v>
      </c>
      <c r="Q62" s="63">
        <v>5</v>
      </c>
      <c r="R62" s="63">
        <v>169</v>
      </c>
      <c r="S62" s="63">
        <v>0</v>
      </c>
      <c r="T62" s="63">
        <v>0</v>
      </c>
      <c r="U62" s="63">
        <v>13</v>
      </c>
      <c r="V62" s="63">
        <v>0</v>
      </c>
      <c r="W62" s="63">
        <v>0</v>
      </c>
      <c r="X62" s="63">
        <v>21</v>
      </c>
      <c r="Y62" s="63">
        <v>0</v>
      </c>
      <c r="Z62" s="63">
        <v>0</v>
      </c>
      <c r="AA62" s="63">
        <v>2</v>
      </c>
      <c r="AB62" s="63">
        <v>0</v>
      </c>
      <c r="AC62" s="63">
        <v>2</v>
      </c>
      <c r="AD62" s="63">
        <v>0</v>
      </c>
      <c r="AE62" s="63">
        <v>0</v>
      </c>
      <c r="AF62" s="63">
        <v>0</v>
      </c>
      <c r="AG62" s="63">
        <v>2</v>
      </c>
      <c r="AH62" s="63">
        <v>0</v>
      </c>
      <c r="AI62" s="63">
        <v>0</v>
      </c>
      <c r="AJ62" s="63">
        <v>40</v>
      </c>
      <c r="AK62" s="63">
        <v>0</v>
      </c>
      <c r="AL62" s="63" t="s">
        <v>35</v>
      </c>
      <c r="AM62" s="63" t="s">
        <v>854</v>
      </c>
      <c r="AN62" s="220" t="s">
        <v>33</v>
      </c>
      <c r="AO62" s="224"/>
      <c r="AP62" s="95" t="e">
        <f>IF(C62=VLOOKUP($A62,Feature_List!$A$2:$AO$101,MATCH(AP$1,Feature_List!$A$1:$AO$1,0),FALSE),"OK","BAD")</f>
        <v>#N/A</v>
      </c>
      <c r="AQ62" s="95" t="e">
        <f>IF(D62=VLOOKUP($A62,Feature_List!$A$2:$AO$101,MATCH(AQ$1,Feature_List!$A$1:$AO$1,0),FALSE),"OK","BAD")</f>
        <v>#N/A</v>
      </c>
      <c r="AR62" s="95" t="e">
        <f>IF(E62=VLOOKUP($A62,Feature_List!$A$2:$AO$101,MATCH(AR$1,Feature_List!$A$1:$AO$1,0),FALSE),"OK","BAD")</f>
        <v>#N/A</v>
      </c>
      <c r="AS62" s="95" t="e">
        <f>IF(F62=VLOOKUP($A62,Feature_List!$A$2:$AO$101,MATCH(AS$1,Feature_List!$A$1:$AO$1,0),FALSE),"OK","BAD")</f>
        <v>#N/A</v>
      </c>
      <c r="AT62" s="95" t="s">
        <v>985</v>
      </c>
      <c r="AU62" s="95" t="s">
        <v>985</v>
      </c>
      <c r="AV62" s="95" t="e">
        <f>IF(I62=VLOOKUP($A62,Feature_List!$A$2:$AO$101,MATCH(AV$1,Feature_List!$A$1:$AO$1,0),FALSE),"OK","BAD")</f>
        <v>#N/A</v>
      </c>
      <c r="AW62" s="95" t="e">
        <f>IF(J62=VLOOKUP($A62,Feature_List!$A$2:$AO$101,MATCH(AW$1,Feature_List!$A$1:$AO$1,0),FALSE),"OK","BAD")</f>
        <v>#N/A</v>
      </c>
      <c r="AX62" s="95" t="e">
        <f>IF(K62=VLOOKUP($A62,Feature_List!$A$2:$AO$101,MATCH(AX$1,Feature_List!$A$1:$AO$1,0),FALSE),"OK","BAD")</f>
        <v>#N/A</v>
      </c>
      <c r="AY62" s="95" t="e">
        <f>IF(L62=VLOOKUP($A62,Feature_List!$A$2:$AO$101,MATCH(AY$1,Feature_List!$A$1:$AO$1,0),FALSE),"OK","BAD")</f>
        <v>#N/A</v>
      </c>
      <c r="AZ62" s="95" t="e">
        <f>IF(M62=VLOOKUP($A62,Feature_List!$A$2:$AO$101,MATCH(AZ$1,Feature_List!$A$1:$AO$1,0),FALSE),"OK","BAD")</f>
        <v>#N/A</v>
      </c>
      <c r="BA62" s="95" t="e">
        <f>IF(N62=VLOOKUP($A62,Feature_List!$A$2:$AO$101,MATCH(BA$1,Feature_List!$A$1:$AO$1,0),FALSE),"OK","BAD")</f>
        <v>#N/A</v>
      </c>
      <c r="BB62" s="95" t="e">
        <f>IF(O62=VLOOKUP($A62,Feature_List!$A$2:$AO$101,MATCH(BB$1,Feature_List!$A$1:$AO$1,0),FALSE),"OK","BAD")</f>
        <v>#N/A</v>
      </c>
      <c r="BC62" s="95" t="e">
        <f>IF(P62=VLOOKUP($A62,Feature_List!$A$2:$AO$101,MATCH(BC$1,Feature_List!$A$1:$AO$1,0),FALSE),"OK","BAD")</f>
        <v>#N/A</v>
      </c>
      <c r="BD62" s="95" t="e">
        <f>IF(Q62=VLOOKUP($A62,Feature_List!$A$2:$AO$101,MATCH(BD$1,Feature_List!$A$1:$AO$1,0),FALSE),"OK","BAD")</f>
        <v>#N/A</v>
      </c>
      <c r="BE62" s="95" t="e">
        <f>IF(R62=VLOOKUP($A62,Feature_List!$A$2:$AO$101,MATCH(BE$1,Feature_List!$A$1:$AO$1,0),FALSE),"OK","BAD")</f>
        <v>#N/A</v>
      </c>
      <c r="BF62" s="95" t="e">
        <f>IF(S62=VLOOKUP($A62,Feature_List!$A$2:$AO$101,MATCH(BF$1,Feature_List!$A$1:$AO$1,0),FALSE),"OK","BAD")</f>
        <v>#N/A</v>
      </c>
      <c r="BG62" s="95" t="e">
        <f>IF(T62=VLOOKUP($A62,Feature_List!$A$2:$AO$101,MATCH(BG$1,Feature_List!$A$1:$AO$1,0),FALSE),"OK","BAD")</f>
        <v>#N/A</v>
      </c>
      <c r="BH62" s="95" t="e">
        <f>IF(U62=VLOOKUP($A62,Feature_List!$A$2:$AO$101,MATCH(BH$1,Feature_List!$A$1:$AO$1,0),FALSE),"OK","BAD")</f>
        <v>#N/A</v>
      </c>
      <c r="BI62" s="95" t="e">
        <f>IF(V62=VLOOKUP($A62,Feature_List!$A$2:$AO$101,MATCH(BI$1,Feature_List!$A$1:$AO$1,0),FALSE),"OK","BAD")</f>
        <v>#N/A</v>
      </c>
      <c r="BJ62" s="95" t="e">
        <f>IF(W62=VLOOKUP($A62,Feature_List!$A$2:$AO$101,MATCH(BJ$1,Feature_List!$A$1:$AO$1,0),FALSE),"OK","BAD")</f>
        <v>#N/A</v>
      </c>
      <c r="BK62" s="95" t="e">
        <f>IF(X62=VLOOKUP($A62,Feature_List!$A$2:$AO$101,MATCH(BK$1,Feature_List!$A$1:$AO$1,0),FALSE),"OK","BAD")</f>
        <v>#N/A</v>
      </c>
      <c r="BL62" s="95" t="e">
        <f>IF(Y62=VLOOKUP($A62,Feature_List!$A$2:$AO$101,MATCH(BL$1,Feature_List!$A$1:$AO$1,0),FALSE),"OK","BAD")</f>
        <v>#N/A</v>
      </c>
      <c r="BM62" s="95" t="e">
        <f>IF(Z62=VLOOKUP($A62,Feature_List!$A$2:$AO$101,MATCH(BM$1,Feature_List!$A$1:$AO$1,0),FALSE),"OK","BAD")</f>
        <v>#N/A</v>
      </c>
      <c r="BN62" s="95" t="e">
        <f>IF(AA62=VLOOKUP($A62,Feature_List!$A$2:$AO$101,MATCH(BN$1,Feature_List!$A$1:$AO$1,0),FALSE),"OK","BAD")</f>
        <v>#N/A</v>
      </c>
      <c r="BO62" s="95" t="e">
        <f>IF(AB62=VLOOKUP($A62,Feature_List!$A$2:$AO$101,MATCH(BO$1,Feature_List!$A$1:$AO$1,0),FALSE),"OK","BAD")</f>
        <v>#N/A</v>
      </c>
      <c r="BP62" s="95" t="e">
        <f>IF(AC62=VLOOKUP($A62,Feature_List!$A$2:$AO$101,MATCH(BP$1,Feature_List!$A$1:$AO$1,0),FALSE),"OK","BAD")</f>
        <v>#N/A</v>
      </c>
      <c r="BQ62" s="95" t="e">
        <f>IF(AD62=VLOOKUP($A62,Feature_List!$A$2:$AO$101,MATCH(BQ$1,Feature_List!$A$1:$AO$1,0),FALSE),"OK","BAD")</f>
        <v>#N/A</v>
      </c>
      <c r="BR62" s="95" t="e">
        <f>IF(AE62=VLOOKUP($A62,Feature_List!$A$2:$AO$101,MATCH(BR$1,Feature_List!$A$1:$AO$1,0),FALSE),"OK","BAD")</f>
        <v>#N/A</v>
      </c>
      <c r="BS62" s="95" t="e">
        <f>IF(AF62=VLOOKUP($A62,Feature_List!$A$2:$AO$101,MATCH(BS$1,Feature_List!$A$1:$AO$1,0),FALSE),"OK","BAD")</f>
        <v>#N/A</v>
      </c>
      <c r="BT62" s="95" t="e">
        <f>IF(AG62=VLOOKUP($A62,Feature_List!$A$2:$AO$101,MATCH(BT$1,Feature_List!$A$1:$AO$1,0),FALSE),"OK","BAD")</f>
        <v>#N/A</v>
      </c>
      <c r="BU62" s="95" t="e">
        <f>IF(AH62=VLOOKUP($A62,Feature_List!$A$2:$AO$101,MATCH(BU$1,Feature_List!$A$1:$AO$1,0),FALSE),"OK","BAD")</f>
        <v>#N/A</v>
      </c>
      <c r="BV62" s="95" t="e">
        <f>IF(AI62=VLOOKUP($A62,Feature_List!$A$2:$AO$101,MATCH(BV$1,Feature_List!$A$1:$AO$1,0),FALSE),"OK","BAD")</f>
        <v>#N/A</v>
      </c>
      <c r="BW62" s="95" t="e">
        <f>IF(AJ62=VLOOKUP($A62,Feature_List!$A$2:$AO$101,MATCH(BW$1,Feature_List!$A$1:$AO$1,0),FALSE),"OK","BAD")</f>
        <v>#N/A</v>
      </c>
      <c r="BX62" s="95" t="e">
        <f>IF(AK62=VLOOKUP($A62,Feature_List!$A$2:$AO$101,MATCH(BX$1,Feature_List!$A$1:$AO$1,0),FALSE),"OK","BAD")</f>
        <v>#N/A</v>
      </c>
      <c r="BY62" s="95" t="e">
        <f>IF(AL62=VLOOKUP($A62,Feature_List!$A$2:$AO$101,MATCH(BY$1,Feature_List!$A$1:$AO$1,0),FALSE),"OK","BAD")</f>
        <v>#N/A</v>
      </c>
      <c r="BZ62" s="95" t="e">
        <f>IF(AM62=VLOOKUP($A62,Feature_List!$A$2:$AO$101,MATCH(BZ$1,Feature_List!$A$1:$AO$1,0),FALSE),"OK","BAD")</f>
        <v>#N/A</v>
      </c>
      <c r="CA62" s="95" t="e">
        <f>IF(AN62=VLOOKUP($A62,Feature_List!$A$2:$AO$101,MATCH(CA$1,Feature_List!$A$1:$AO$1,0),FALSE),"OK","BAD")</f>
        <v>#N/A</v>
      </c>
    </row>
    <row r="63" spans="1:79" ht="14.4" customHeight="1" x14ac:dyDescent="0.3">
      <c r="A63" s="70">
        <v>377437</v>
      </c>
      <c r="B63" s="65" t="s">
        <v>1476</v>
      </c>
      <c r="C63" s="98" t="s">
        <v>972</v>
      </c>
      <c r="D63" s="65" t="s">
        <v>28</v>
      </c>
      <c r="E63" s="64">
        <v>71</v>
      </c>
      <c r="F63" s="64" t="s">
        <v>880</v>
      </c>
      <c r="G63" s="64" t="s">
        <v>1600</v>
      </c>
      <c r="H63" s="64" t="s">
        <v>184</v>
      </c>
      <c r="I63" s="99" t="s">
        <v>1594</v>
      </c>
      <c r="J63" s="64" t="s">
        <v>1412</v>
      </c>
      <c r="K63" s="64">
        <v>251622</v>
      </c>
      <c r="L63" s="62" t="s">
        <v>950</v>
      </c>
      <c r="M63" s="67" t="s">
        <v>37</v>
      </c>
      <c r="N63" s="67" t="s">
        <v>39</v>
      </c>
      <c r="O63" s="67">
        <v>1</v>
      </c>
      <c r="P63" s="66" t="s">
        <v>988</v>
      </c>
      <c r="Q63" s="63">
        <v>3</v>
      </c>
      <c r="R63" s="63">
        <v>0</v>
      </c>
      <c r="S63" s="63">
        <v>0</v>
      </c>
      <c r="T63" s="63">
        <v>5</v>
      </c>
      <c r="U63" s="63">
        <v>0</v>
      </c>
      <c r="V63" s="63">
        <v>0</v>
      </c>
      <c r="W63" s="63">
        <v>0</v>
      </c>
      <c r="X63" s="63">
        <v>0</v>
      </c>
      <c r="Y63" s="63">
        <v>0</v>
      </c>
      <c r="Z63" s="63">
        <v>40</v>
      </c>
      <c r="AA63" s="63">
        <v>0</v>
      </c>
      <c r="AB63" s="63">
        <v>0</v>
      </c>
      <c r="AC63" s="63">
        <v>0</v>
      </c>
      <c r="AD63" s="63">
        <v>0</v>
      </c>
      <c r="AE63" s="63">
        <v>3</v>
      </c>
      <c r="AF63" s="63">
        <v>0</v>
      </c>
      <c r="AG63" s="63">
        <v>0</v>
      </c>
      <c r="AH63" s="63">
        <v>0</v>
      </c>
      <c r="AI63" s="63">
        <v>0</v>
      </c>
      <c r="AJ63" s="63">
        <v>48</v>
      </c>
      <c r="AK63" s="63">
        <v>23</v>
      </c>
      <c r="AL63" s="63" t="s">
        <v>35</v>
      </c>
      <c r="AM63" s="63" t="s">
        <v>854</v>
      </c>
      <c r="AN63" s="220" t="s">
        <v>33</v>
      </c>
      <c r="AO63" s="224"/>
      <c r="AP63" s="95" t="str">
        <f>IF(C63=VLOOKUP($A63,Feature_List!$A$2:$AO$101,MATCH(AP$1,Feature_List!$A$1:$AO$1,0),FALSE),"OK","BAD")</f>
        <v>OK</v>
      </c>
      <c r="AQ63" s="95" t="str">
        <f>IF(D63=VLOOKUP($A63,Feature_List!$A$2:$AO$101,MATCH(AQ$1,Feature_List!$A$1:$AO$1,0),FALSE),"OK","BAD")</f>
        <v>BAD</v>
      </c>
      <c r="AR63" s="95" t="str">
        <f>IF(E63=VLOOKUP($A63,Feature_List!$A$2:$AO$101,MATCH(AR$1,Feature_List!$A$1:$AO$1,0),FALSE),"OK","BAD")</f>
        <v>OK</v>
      </c>
      <c r="AS63" s="95" t="str">
        <f>IF(F63=VLOOKUP($A63,Feature_List!$A$2:$AO$101,MATCH(AS$1,Feature_List!$A$1:$AO$1,0),FALSE),"OK","BAD")</f>
        <v>OK</v>
      </c>
      <c r="AT63" s="95" t="s">
        <v>985</v>
      </c>
      <c r="AU63" s="95" t="s">
        <v>985</v>
      </c>
      <c r="AV63" s="95" t="str">
        <f>IF(I63=VLOOKUP($A63,Feature_List!$A$2:$AO$101,MATCH(AV$1,Feature_List!$A$1:$AO$1,0),FALSE),"OK","BAD")</f>
        <v>BAD</v>
      </c>
      <c r="AW63" s="95" t="str">
        <f>IF(J63=VLOOKUP($A63,Feature_List!$A$2:$AO$101,MATCH(AW$1,Feature_List!$A$1:$AO$1,0),FALSE),"OK","BAD")</f>
        <v>OK</v>
      </c>
      <c r="AX63" s="95" t="str">
        <f>IF(K63=VLOOKUP($A63,Feature_List!$A$2:$AO$101,MATCH(AX$1,Feature_List!$A$1:$AO$1,0),FALSE),"OK","BAD")</f>
        <v>OK</v>
      </c>
      <c r="AY63" s="95" t="str">
        <f>IF(L63=VLOOKUP($A63,Feature_List!$A$2:$AO$101,MATCH(AY$1,Feature_List!$A$1:$AO$1,0),FALSE),"OK","BAD")</f>
        <v>OK</v>
      </c>
      <c r="AZ63" s="95" t="str">
        <f>IF(M63=VLOOKUP($A63,Feature_List!$A$2:$AO$101,MATCH(AZ$1,Feature_List!$A$1:$AO$1,0),FALSE),"OK","BAD")</f>
        <v>OK</v>
      </c>
      <c r="BA63" s="95" t="str">
        <f>IF(N63=VLOOKUP($A63,Feature_List!$A$2:$AO$101,MATCH(BA$1,Feature_List!$A$1:$AO$1,0),FALSE),"OK","BAD")</f>
        <v>OK</v>
      </c>
      <c r="BB63" s="95" t="str">
        <f>IF(O63=VLOOKUP($A63,Feature_List!$A$2:$AO$101,MATCH(BB$1,Feature_List!$A$1:$AO$1,0),FALSE),"OK","BAD")</f>
        <v>OK</v>
      </c>
      <c r="BC63" s="95" t="e">
        <f>IF(P63=VLOOKUP($A63,Feature_List!$A$2:$AO$101,MATCH(BC$1,Feature_List!$A$1:$AO$1,0),FALSE),"OK","BAD")</f>
        <v>#N/A</v>
      </c>
      <c r="BD63" s="95" t="str">
        <f>IF(Q63=VLOOKUP($A63,Feature_List!$A$2:$AO$101,MATCH(BD$1,Feature_List!$A$1:$AO$1,0),FALSE),"OK","BAD")</f>
        <v>OK</v>
      </c>
      <c r="BE63" s="95" t="str">
        <f>IF(R63=VLOOKUP($A63,Feature_List!$A$2:$AO$101,MATCH(BE$1,Feature_List!$A$1:$AO$1,0),FALSE),"OK","BAD")</f>
        <v>BAD</v>
      </c>
      <c r="BF63" s="95" t="str">
        <f>IF(S63=VLOOKUP($A63,Feature_List!$A$2:$AO$101,MATCH(BF$1,Feature_List!$A$1:$AO$1,0),FALSE),"OK","BAD")</f>
        <v>OK</v>
      </c>
      <c r="BG63" s="95" t="str">
        <f>IF(T63=VLOOKUP($A63,Feature_List!$A$2:$AO$101,MATCH(BG$1,Feature_List!$A$1:$AO$1,0),FALSE),"OK","BAD")</f>
        <v>OK</v>
      </c>
      <c r="BH63" s="95" t="str">
        <f>IF(U63=VLOOKUP($A63,Feature_List!$A$2:$AO$101,MATCH(BH$1,Feature_List!$A$1:$AO$1,0),FALSE),"OK","BAD")</f>
        <v>BAD</v>
      </c>
      <c r="BI63" s="95" t="str">
        <f>IF(V63=VLOOKUP($A63,Feature_List!$A$2:$AO$101,MATCH(BI$1,Feature_List!$A$1:$AO$1,0),FALSE),"OK","BAD")</f>
        <v>OK</v>
      </c>
      <c r="BJ63" s="95" t="e">
        <f>IF(W63=VLOOKUP($A63,Feature_List!$A$2:$AO$101,MATCH(BJ$1,Feature_List!$A$1:$AO$1,0),FALSE),"OK","BAD")</f>
        <v>#N/A</v>
      </c>
      <c r="BK63" s="95" t="str">
        <f>IF(X63=VLOOKUP($A63,Feature_List!$A$2:$AO$101,MATCH(BK$1,Feature_List!$A$1:$AO$1,0),FALSE),"OK","BAD")</f>
        <v>OK</v>
      </c>
      <c r="BL63" s="95" t="str">
        <f>IF(Y63=VLOOKUP($A63,Feature_List!$A$2:$AO$101,MATCH(BL$1,Feature_List!$A$1:$AO$1,0),FALSE),"OK","BAD")</f>
        <v>OK</v>
      </c>
      <c r="BM63" s="95" t="str">
        <f>IF(Z63=VLOOKUP($A63,Feature_List!$A$2:$AO$101,MATCH(BM$1,Feature_List!$A$1:$AO$1,0),FALSE),"OK","BAD")</f>
        <v>BAD</v>
      </c>
      <c r="BN63" s="95" t="str">
        <f>IF(AA63=VLOOKUP($A63,Feature_List!$A$2:$AO$101,MATCH(BN$1,Feature_List!$A$1:$AO$1,0),FALSE),"OK","BAD")</f>
        <v>OK</v>
      </c>
      <c r="BO63" s="95" t="str">
        <f>IF(AB63=VLOOKUP($A63,Feature_List!$A$2:$AO$101,MATCH(BO$1,Feature_List!$A$1:$AO$1,0),FALSE),"OK","BAD")</f>
        <v>OK</v>
      </c>
      <c r="BP63" s="95" t="str">
        <f>IF(AC63=VLOOKUP($A63,Feature_List!$A$2:$AO$101,MATCH(BP$1,Feature_List!$A$1:$AO$1,0),FALSE),"OK","BAD")</f>
        <v>OK</v>
      </c>
      <c r="BQ63" s="95" t="str">
        <f>IF(AD63=VLOOKUP($A63,Feature_List!$A$2:$AO$101,MATCH(BQ$1,Feature_List!$A$1:$AO$1,0),FALSE),"OK","BAD")</f>
        <v>OK</v>
      </c>
      <c r="BR63" s="95" t="str">
        <f>IF(AE63=VLOOKUP($A63,Feature_List!$A$2:$AO$101,MATCH(BR$1,Feature_List!$A$1:$AO$1,0),FALSE),"OK","BAD")</f>
        <v>BAD</v>
      </c>
      <c r="BS63" s="95" t="str">
        <f>IF(AF63=VLOOKUP($A63,Feature_List!$A$2:$AO$101,MATCH(BS$1,Feature_List!$A$1:$AO$1,0),FALSE),"OK","BAD")</f>
        <v>OK</v>
      </c>
      <c r="BT63" s="95" t="str">
        <f>IF(AG63=VLOOKUP($A63,Feature_List!$A$2:$AO$101,MATCH(BT$1,Feature_List!$A$1:$AO$1,0),FALSE),"OK","BAD")</f>
        <v>OK</v>
      </c>
      <c r="BU63" s="95" t="str">
        <f>IF(AH63=VLOOKUP($A63,Feature_List!$A$2:$AO$101,MATCH(BU$1,Feature_List!$A$1:$AO$1,0),FALSE),"OK","BAD")</f>
        <v>OK</v>
      </c>
      <c r="BV63" s="95" t="e">
        <f>IF(AI63=VLOOKUP($A63,Feature_List!$A$2:$AO$101,MATCH(BV$1,Feature_List!$A$1:$AO$1,0),FALSE),"OK","BAD")</f>
        <v>#N/A</v>
      </c>
      <c r="BW63" s="95" t="e">
        <f>IF(AJ63=VLOOKUP($A63,Feature_List!$A$2:$AO$101,MATCH(BW$1,Feature_List!$A$1:$AO$1,0),FALSE),"OK","BAD")</f>
        <v>#N/A</v>
      </c>
      <c r="BX63" s="95" t="e">
        <f>IF(AK63=VLOOKUP($A63,Feature_List!$A$2:$AO$101,MATCH(BX$1,Feature_List!$A$1:$AO$1,0),FALSE),"OK","BAD")</f>
        <v>#N/A</v>
      </c>
      <c r="BY63" s="95" t="str">
        <f>IF(AL63=VLOOKUP($A63,Feature_List!$A$2:$AO$101,MATCH(BY$1,Feature_List!$A$1:$AO$1,0),FALSE),"OK","BAD")</f>
        <v>OK</v>
      </c>
      <c r="BZ63" s="95" t="str">
        <f>IF(AM63=VLOOKUP($A63,Feature_List!$A$2:$AO$101,MATCH(BZ$1,Feature_List!$A$1:$AO$1,0),FALSE),"OK","BAD")</f>
        <v>OK</v>
      </c>
      <c r="CA63" s="95" t="str">
        <f>IF(AN63=VLOOKUP($A63,Feature_List!$A$2:$AO$101,MATCH(CA$1,Feature_List!$A$1:$AO$1,0),FALSE),"OK","BAD")</f>
        <v>OK</v>
      </c>
    </row>
    <row r="64" spans="1:79" ht="14.4" customHeight="1" x14ac:dyDescent="0.3">
      <c r="A64" s="70">
        <v>377408</v>
      </c>
      <c r="B64" s="65" t="s">
        <v>976</v>
      </c>
      <c r="C64" s="98" t="s">
        <v>1143</v>
      </c>
      <c r="D64" s="65" t="s">
        <v>28</v>
      </c>
      <c r="E64" s="64">
        <v>16</v>
      </c>
      <c r="F64" s="64" t="s">
        <v>880</v>
      </c>
      <c r="G64" s="64" t="s">
        <v>1560</v>
      </c>
      <c r="H64" s="64" t="s">
        <v>548</v>
      </c>
      <c r="I64" s="99" t="s">
        <v>851</v>
      </c>
      <c r="J64" s="64" t="s">
        <v>1412</v>
      </c>
      <c r="K64" s="64">
        <v>0</v>
      </c>
      <c r="L64" s="62" t="s">
        <v>945</v>
      </c>
      <c r="M64" s="67" t="s">
        <v>42</v>
      </c>
      <c r="N64" s="67" t="s">
        <v>44</v>
      </c>
      <c r="O64" s="67">
        <v>2</v>
      </c>
      <c r="P64" s="66" t="s">
        <v>1552</v>
      </c>
      <c r="Q64" s="63">
        <v>2</v>
      </c>
      <c r="R64" s="63">
        <v>0</v>
      </c>
      <c r="S64" s="63">
        <v>0</v>
      </c>
      <c r="T64" s="63">
        <v>0</v>
      </c>
      <c r="U64" s="63">
        <v>11</v>
      </c>
      <c r="V64" s="63">
        <v>0</v>
      </c>
      <c r="W64" s="63">
        <v>0</v>
      </c>
      <c r="X64" s="63">
        <v>0</v>
      </c>
      <c r="Y64" s="63">
        <v>0</v>
      </c>
      <c r="Z64" s="63">
        <v>5</v>
      </c>
      <c r="AA64" s="63">
        <v>0</v>
      </c>
      <c r="AB64" s="63">
        <v>0</v>
      </c>
      <c r="AC64" s="63">
        <v>0</v>
      </c>
      <c r="AD64" s="63">
        <v>0</v>
      </c>
      <c r="AE64" s="63">
        <v>0</v>
      </c>
      <c r="AF64" s="63">
        <v>0</v>
      </c>
      <c r="AG64" s="63">
        <v>0</v>
      </c>
      <c r="AH64" s="63">
        <v>0</v>
      </c>
      <c r="AI64" s="63">
        <v>0</v>
      </c>
      <c r="AJ64" s="63">
        <v>16</v>
      </c>
      <c r="AK64" s="63">
        <v>0</v>
      </c>
      <c r="AL64" s="63" t="s">
        <v>35</v>
      </c>
      <c r="AM64" s="63" t="s">
        <v>36</v>
      </c>
      <c r="AN64" s="220" t="s">
        <v>40</v>
      </c>
      <c r="AO64" s="224"/>
      <c r="AP64" s="95" t="e">
        <f>IF(C64=VLOOKUP($A64,Feature_List!$A$2:$AO$101,MATCH(AP$1,Feature_List!$A$1:$AO$1,0),FALSE),"OK","BAD")</f>
        <v>#N/A</v>
      </c>
      <c r="AQ64" s="95" t="e">
        <f>IF(D64=VLOOKUP($A64,Feature_List!$A$2:$AO$101,MATCH(AQ$1,Feature_List!$A$1:$AO$1,0),FALSE),"OK","BAD")</f>
        <v>#N/A</v>
      </c>
      <c r="AR64" s="95" t="e">
        <f>IF(E64=VLOOKUP($A64,Feature_List!$A$2:$AO$101,MATCH(AR$1,Feature_List!$A$1:$AO$1,0),FALSE),"OK","BAD")</f>
        <v>#N/A</v>
      </c>
      <c r="AS64" s="95" t="e">
        <f>IF(F64=VLOOKUP($A64,Feature_List!$A$2:$AO$101,MATCH(AS$1,Feature_List!$A$1:$AO$1,0),FALSE),"OK","BAD")</f>
        <v>#N/A</v>
      </c>
      <c r="AT64" s="95" t="s">
        <v>985</v>
      </c>
      <c r="AU64" s="95" t="s">
        <v>985</v>
      </c>
      <c r="AV64" s="95" t="e">
        <f>IF(I64=VLOOKUP($A64,Feature_List!$A$2:$AO$101,MATCH(AV$1,Feature_List!$A$1:$AO$1,0),FALSE),"OK","BAD")</f>
        <v>#N/A</v>
      </c>
      <c r="AW64" s="95" t="e">
        <f>IF(J64=VLOOKUP($A64,Feature_List!$A$2:$AO$101,MATCH(AW$1,Feature_List!$A$1:$AO$1,0),FALSE),"OK","BAD")</f>
        <v>#N/A</v>
      </c>
      <c r="AX64" s="95" t="e">
        <f>IF(K64=VLOOKUP($A64,Feature_List!$A$2:$AO$101,MATCH(AX$1,Feature_List!$A$1:$AO$1,0),FALSE),"OK","BAD")</f>
        <v>#N/A</v>
      </c>
      <c r="AY64" s="95" t="e">
        <f>IF(L64=VLOOKUP($A64,Feature_List!$A$2:$AO$101,MATCH(AY$1,Feature_List!$A$1:$AO$1,0),FALSE),"OK","BAD")</f>
        <v>#N/A</v>
      </c>
      <c r="AZ64" s="95" t="e">
        <f>IF(M64=VLOOKUP($A64,Feature_List!$A$2:$AO$101,MATCH(AZ$1,Feature_List!$A$1:$AO$1,0),FALSE),"OK","BAD")</f>
        <v>#N/A</v>
      </c>
      <c r="BA64" s="95" t="e">
        <f>IF(N64=VLOOKUP($A64,Feature_List!$A$2:$AO$101,MATCH(BA$1,Feature_List!$A$1:$AO$1,0),FALSE),"OK","BAD")</f>
        <v>#N/A</v>
      </c>
      <c r="BB64" s="95" t="e">
        <f>IF(O64=VLOOKUP($A64,Feature_List!$A$2:$AO$101,MATCH(BB$1,Feature_List!$A$1:$AO$1,0),FALSE),"OK","BAD")</f>
        <v>#N/A</v>
      </c>
      <c r="BC64" s="95" t="e">
        <f>IF(P64=VLOOKUP($A64,Feature_List!$A$2:$AO$101,MATCH(BC$1,Feature_List!$A$1:$AO$1,0),FALSE),"OK","BAD")</f>
        <v>#N/A</v>
      </c>
      <c r="BD64" s="95" t="e">
        <f>IF(Q64=VLOOKUP($A64,Feature_List!$A$2:$AO$101,MATCH(BD$1,Feature_List!$A$1:$AO$1,0),FALSE),"OK","BAD")</f>
        <v>#N/A</v>
      </c>
      <c r="BE64" s="95" t="e">
        <f>IF(R64=VLOOKUP($A64,Feature_List!$A$2:$AO$101,MATCH(BE$1,Feature_List!$A$1:$AO$1,0),FALSE),"OK","BAD")</f>
        <v>#N/A</v>
      </c>
      <c r="BF64" s="95" t="e">
        <f>IF(S64=VLOOKUP($A64,Feature_List!$A$2:$AO$101,MATCH(BF$1,Feature_List!$A$1:$AO$1,0),FALSE),"OK","BAD")</f>
        <v>#N/A</v>
      </c>
      <c r="BG64" s="95" t="e">
        <f>IF(T64=VLOOKUP($A64,Feature_List!$A$2:$AO$101,MATCH(BG$1,Feature_List!$A$1:$AO$1,0),FALSE),"OK","BAD")</f>
        <v>#N/A</v>
      </c>
      <c r="BH64" s="95" t="e">
        <f>IF(U64=VLOOKUP($A64,Feature_List!$A$2:$AO$101,MATCH(BH$1,Feature_List!$A$1:$AO$1,0),FALSE),"OK","BAD")</f>
        <v>#N/A</v>
      </c>
      <c r="BI64" s="95" t="e">
        <f>IF(V64=VLOOKUP($A64,Feature_List!$A$2:$AO$101,MATCH(BI$1,Feature_List!$A$1:$AO$1,0),FALSE),"OK","BAD")</f>
        <v>#N/A</v>
      </c>
      <c r="BJ64" s="95" t="e">
        <f>IF(W64=VLOOKUP($A64,Feature_List!$A$2:$AO$101,MATCH(BJ$1,Feature_List!$A$1:$AO$1,0),FALSE),"OK","BAD")</f>
        <v>#N/A</v>
      </c>
      <c r="BK64" s="95" t="e">
        <f>IF(X64=VLOOKUP($A64,Feature_List!$A$2:$AO$101,MATCH(BK$1,Feature_List!$A$1:$AO$1,0),FALSE),"OK","BAD")</f>
        <v>#N/A</v>
      </c>
      <c r="BL64" s="95" t="e">
        <f>IF(Y64=VLOOKUP($A64,Feature_List!$A$2:$AO$101,MATCH(BL$1,Feature_List!$A$1:$AO$1,0),FALSE),"OK","BAD")</f>
        <v>#N/A</v>
      </c>
      <c r="BM64" s="95" t="e">
        <f>IF(Z64=VLOOKUP($A64,Feature_List!$A$2:$AO$101,MATCH(BM$1,Feature_List!$A$1:$AO$1,0),FALSE),"OK","BAD")</f>
        <v>#N/A</v>
      </c>
      <c r="BN64" s="95" t="e">
        <f>IF(AA64=VLOOKUP($A64,Feature_List!$A$2:$AO$101,MATCH(BN$1,Feature_List!$A$1:$AO$1,0),FALSE),"OK","BAD")</f>
        <v>#N/A</v>
      </c>
      <c r="BO64" s="95" t="e">
        <f>IF(AB64=VLOOKUP($A64,Feature_List!$A$2:$AO$101,MATCH(BO$1,Feature_List!$A$1:$AO$1,0),FALSE),"OK","BAD")</f>
        <v>#N/A</v>
      </c>
      <c r="BP64" s="95" t="e">
        <f>IF(AC64=VLOOKUP($A64,Feature_List!$A$2:$AO$101,MATCH(BP$1,Feature_List!$A$1:$AO$1,0),FALSE),"OK","BAD")</f>
        <v>#N/A</v>
      </c>
      <c r="BQ64" s="95" t="e">
        <f>IF(AD64=VLOOKUP($A64,Feature_List!$A$2:$AO$101,MATCH(BQ$1,Feature_List!$A$1:$AO$1,0),FALSE),"OK","BAD")</f>
        <v>#N/A</v>
      </c>
      <c r="BR64" s="95" t="e">
        <f>IF(AE64=VLOOKUP($A64,Feature_List!$A$2:$AO$101,MATCH(BR$1,Feature_List!$A$1:$AO$1,0),FALSE),"OK","BAD")</f>
        <v>#N/A</v>
      </c>
      <c r="BS64" s="95" t="e">
        <f>IF(AF64=VLOOKUP($A64,Feature_List!$A$2:$AO$101,MATCH(BS$1,Feature_List!$A$1:$AO$1,0),FALSE),"OK","BAD")</f>
        <v>#N/A</v>
      </c>
      <c r="BT64" s="95" t="e">
        <f>IF(AG64=VLOOKUP($A64,Feature_List!$A$2:$AO$101,MATCH(BT$1,Feature_List!$A$1:$AO$1,0),FALSE),"OK","BAD")</f>
        <v>#N/A</v>
      </c>
      <c r="BU64" s="95" t="e">
        <f>IF(AH64=VLOOKUP($A64,Feature_List!$A$2:$AO$101,MATCH(BU$1,Feature_List!$A$1:$AO$1,0),FALSE),"OK","BAD")</f>
        <v>#N/A</v>
      </c>
      <c r="BV64" s="95" t="e">
        <f>IF(AI64=VLOOKUP($A64,Feature_List!$A$2:$AO$101,MATCH(BV$1,Feature_List!$A$1:$AO$1,0),FALSE),"OK","BAD")</f>
        <v>#N/A</v>
      </c>
      <c r="BW64" s="95" t="e">
        <f>IF(AJ64=VLOOKUP($A64,Feature_List!$A$2:$AO$101,MATCH(BW$1,Feature_List!$A$1:$AO$1,0),FALSE),"OK","BAD")</f>
        <v>#N/A</v>
      </c>
      <c r="BX64" s="95" t="e">
        <f>IF(AK64=VLOOKUP($A64,Feature_List!$A$2:$AO$101,MATCH(BX$1,Feature_List!$A$1:$AO$1,0),FALSE),"OK","BAD")</f>
        <v>#N/A</v>
      </c>
      <c r="BY64" s="95" t="e">
        <f>IF(AL64=VLOOKUP($A64,Feature_List!$A$2:$AO$101,MATCH(BY$1,Feature_List!$A$1:$AO$1,0),FALSE),"OK","BAD")</f>
        <v>#N/A</v>
      </c>
      <c r="BZ64" s="95" t="e">
        <f>IF(AM64=VLOOKUP($A64,Feature_List!$A$2:$AO$101,MATCH(BZ$1,Feature_List!$A$1:$AO$1,0),FALSE),"OK","BAD")</f>
        <v>#N/A</v>
      </c>
      <c r="CA64" s="95" t="e">
        <f>IF(AN64=VLOOKUP($A64,Feature_List!$A$2:$AO$101,MATCH(CA$1,Feature_List!$A$1:$AO$1,0),FALSE),"OK","BAD")</f>
        <v>#N/A</v>
      </c>
    </row>
    <row r="65" spans="1:79" ht="14.4" customHeight="1" x14ac:dyDescent="0.3">
      <c r="A65" s="70">
        <v>376446</v>
      </c>
      <c r="B65" s="65" t="s">
        <v>995</v>
      </c>
      <c r="C65" s="98" t="s">
        <v>972</v>
      </c>
      <c r="D65" s="65" t="s">
        <v>28</v>
      </c>
      <c r="E65" s="64">
        <v>63</v>
      </c>
      <c r="F65" s="64" t="s">
        <v>879</v>
      </c>
      <c r="G65" s="64" t="s">
        <v>996</v>
      </c>
      <c r="H65" s="64" t="s">
        <v>535</v>
      </c>
      <c r="I65" s="99" t="s">
        <v>38</v>
      </c>
      <c r="J65" s="64" t="s">
        <v>1412</v>
      </c>
      <c r="K65" s="64">
        <v>0</v>
      </c>
      <c r="L65" s="62" t="s">
        <v>943</v>
      </c>
      <c r="M65" s="67" t="s">
        <v>34</v>
      </c>
      <c r="N65" s="67" t="s">
        <v>36</v>
      </c>
      <c r="O65" s="67">
        <v>0</v>
      </c>
      <c r="P65" s="66" t="s">
        <v>131</v>
      </c>
      <c r="Q65" s="63">
        <v>2</v>
      </c>
      <c r="R65" s="63">
        <v>0</v>
      </c>
      <c r="S65" s="63">
        <v>0</v>
      </c>
      <c r="T65" s="63">
        <v>8</v>
      </c>
      <c r="U65" s="63">
        <v>0</v>
      </c>
      <c r="V65" s="63">
        <v>0</v>
      </c>
      <c r="W65" s="63">
        <v>0</v>
      </c>
      <c r="X65" s="63">
        <v>13</v>
      </c>
      <c r="Y65" s="63">
        <v>0</v>
      </c>
      <c r="Z65" s="63">
        <v>0</v>
      </c>
      <c r="AA65" s="63">
        <v>0</v>
      </c>
      <c r="AB65" s="63">
        <v>0</v>
      </c>
      <c r="AC65" s="63">
        <v>0</v>
      </c>
      <c r="AD65" s="63">
        <v>0</v>
      </c>
      <c r="AE65" s="63">
        <v>0</v>
      </c>
      <c r="AF65" s="63">
        <v>0</v>
      </c>
      <c r="AG65" s="63">
        <v>0</v>
      </c>
      <c r="AH65" s="63">
        <v>0</v>
      </c>
      <c r="AI65" s="63">
        <v>0</v>
      </c>
      <c r="AJ65" s="63">
        <v>21</v>
      </c>
      <c r="AK65" s="63">
        <v>42</v>
      </c>
      <c r="AL65" s="63" t="s">
        <v>35</v>
      </c>
      <c r="AM65" s="63" t="s">
        <v>36</v>
      </c>
      <c r="AN65" s="220" t="s">
        <v>33</v>
      </c>
      <c r="AO65" s="224"/>
      <c r="AP65" s="95" t="str">
        <f>IF(C65=VLOOKUP($A65,Feature_List!$A$2:$AO$101,MATCH(AP$1,Feature_List!$A$1:$AO$1,0),FALSE),"OK","BAD")</f>
        <v>BAD</v>
      </c>
      <c r="AQ65" s="95" t="str">
        <f>IF(D65=VLOOKUP($A65,Feature_List!$A$2:$AO$101,MATCH(AQ$1,Feature_List!$A$1:$AO$1,0),FALSE),"OK","BAD")</f>
        <v>BAD</v>
      </c>
      <c r="AR65" s="95" t="str">
        <f>IF(E65=VLOOKUP($A65,Feature_List!$A$2:$AO$101,MATCH(AR$1,Feature_List!$A$1:$AO$1,0),FALSE),"OK","BAD")</f>
        <v>OK</v>
      </c>
      <c r="AS65" s="95" t="str">
        <f>IF(F65=VLOOKUP($A65,Feature_List!$A$2:$AO$101,MATCH(AS$1,Feature_List!$A$1:$AO$1,0),FALSE),"OK","BAD")</f>
        <v>OK</v>
      </c>
      <c r="AT65" s="95" t="s">
        <v>985</v>
      </c>
      <c r="AU65" s="95" t="s">
        <v>985</v>
      </c>
      <c r="AV65" s="95" t="str">
        <f>IF(I65=VLOOKUP($A65,Feature_List!$A$2:$AO$101,MATCH(AV$1,Feature_List!$A$1:$AO$1,0),FALSE),"OK","BAD")</f>
        <v>OK</v>
      </c>
      <c r="AW65" s="95" t="str">
        <f>IF(J65=VLOOKUP($A65,Feature_List!$A$2:$AO$101,MATCH(AW$1,Feature_List!$A$1:$AO$1,0),FALSE),"OK","BAD")</f>
        <v>OK</v>
      </c>
      <c r="AX65" s="95" t="str">
        <f>IF(K65=VLOOKUP($A65,Feature_List!$A$2:$AO$101,MATCH(AX$1,Feature_List!$A$1:$AO$1,0),FALSE),"OK","BAD")</f>
        <v>OK</v>
      </c>
      <c r="AY65" s="95" t="str">
        <f>IF(L65=VLOOKUP($A65,Feature_List!$A$2:$AO$101,MATCH(AY$1,Feature_List!$A$1:$AO$1,0),FALSE),"OK","BAD")</f>
        <v>OK</v>
      </c>
      <c r="AZ65" s="95" t="str">
        <f>IF(M65=VLOOKUP($A65,Feature_List!$A$2:$AO$101,MATCH(AZ$1,Feature_List!$A$1:$AO$1,0),FALSE),"OK","BAD")</f>
        <v>OK</v>
      </c>
      <c r="BA65" s="95" t="str">
        <f>IF(N65=VLOOKUP($A65,Feature_List!$A$2:$AO$101,MATCH(BA$1,Feature_List!$A$1:$AO$1,0),FALSE),"OK","BAD")</f>
        <v>OK</v>
      </c>
      <c r="BB65" s="95" t="str">
        <f>IF(O65=VLOOKUP($A65,Feature_List!$A$2:$AO$101,MATCH(BB$1,Feature_List!$A$1:$AO$1,0),FALSE),"OK","BAD")</f>
        <v>OK</v>
      </c>
      <c r="BC65" s="95" t="e">
        <f>IF(P65=VLOOKUP($A65,Feature_List!$A$2:$AO$101,MATCH(BC$1,Feature_List!$A$1:$AO$1,0),FALSE),"OK","BAD")</f>
        <v>#N/A</v>
      </c>
      <c r="BD65" s="95" t="str">
        <f>IF(Q65=VLOOKUP($A65,Feature_List!$A$2:$AO$101,MATCH(BD$1,Feature_List!$A$1:$AO$1,0),FALSE),"OK","BAD")</f>
        <v>BAD</v>
      </c>
      <c r="BE65" s="95" t="str">
        <f>IF(R65=VLOOKUP($A65,Feature_List!$A$2:$AO$101,MATCH(BE$1,Feature_List!$A$1:$AO$1,0),FALSE),"OK","BAD")</f>
        <v>BAD</v>
      </c>
      <c r="BF65" s="95" t="str">
        <f>IF(S65=VLOOKUP($A65,Feature_List!$A$2:$AO$101,MATCH(BF$1,Feature_List!$A$1:$AO$1,0),FALSE),"OK","BAD")</f>
        <v>OK</v>
      </c>
      <c r="BG65" s="95" t="str">
        <f>IF(T65=VLOOKUP($A65,Feature_List!$A$2:$AO$101,MATCH(BG$1,Feature_List!$A$1:$AO$1,0),FALSE),"OK","BAD")</f>
        <v>BAD</v>
      </c>
      <c r="BH65" s="95" t="str">
        <f>IF(U65=VLOOKUP($A65,Feature_List!$A$2:$AO$101,MATCH(BH$1,Feature_List!$A$1:$AO$1,0),FALSE),"OK","BAD")</f>
        <v>OK</v>
      </c>
      <c r="BI65" s="95" t="str">
        <f>IF(V65=VLOOKUP($A65,Feature_List!$A$2:$AO$101,MATCH(BI$1,Feature_List!$A$1:$AO$1,0),FALSE),"OK","BAD")</f>
        <v>BAD</v>
      </c>
      <c r="BJ65" s="95" t="e">
        <f>IF(W65=VLOOKUP($A65,Feature_List!$A$2:$AO$101,MATCH(BJ$1,Feature_List!$A$1:$AO$1,0),FALSE),"OK","BAD")</f>
        <v>#N/A</v>
      </c>
      <c r="BK65" s="95" t="str">
        <f>IF(X65=VLOOKUP($A65,Feature_List!$A$2:$AO$101,MATCH(BK$1,Feature_List!$A$1:$AO$1,0),FALSE),"OK","BAD")</f>
        <v>BAD</v>
      </c>
      <c r="BL65" s="95" t="str">
        <f>IF(Y65=VLOOKUP($A65,Feature_List!$A$2:$AO$101,MATCH(BL$1,Feature_List!$A$1:$AO$1,0),FALSE),"OK","BAD")</f>
        <v>OK</v>
      </c>
      <c r="BM65" s="95" t="str">
        <f>IF(Z65=VLOOKUP($A65,Feature_List!$A$2:$AO$101,MATCH(BM$1,Feature_List!$A$1:$AO$1,0),FALSE),"OK","BAD")</f>
        <v>BAD</v>
      </c>
      <c r="BN65" s="95" t="str">
        <f>IF(AA65=VLOOKUP($A65,Feature_List!$A$2:$AO$101,MATCH(BN$1,Feature_List!$A$1:$AO$1,0),FALSE),"OK","BAD")</f>
        <v>OK</v>
      </c>
      <c r="BO65" s="95" t="str">
        <f>IF(AB65=VLOOKUP($A65,Feature_List!$A$2:$AO$101,MATCH(BO$1,Feature_List!$A$1:$AO$1,0),FALSE),"OK","BAD")</f>
        <v>OK</v>
      </c>
      <c r="BP65" s="95" t="str">
        <f>IF(AC65=VLOOKUP($A65,Feature_List!$A$2:$AO$101,MATCH(BP$1,Feature_List!$A$1:$AO$1,0),FALSE),"OK","BAD")</f>
        <v>OK</v>
      </c>
      <c r="BQ65" s="95" t="str">
        <f>IF(AD65=VLOOKUP($A65,Feature_List!$A$2:$AO$101,MATCH(BQ$1,Feature_List!$A$1:$AO$1,0),FALSE),"OK","BAD")</f>
        <v>OK</v>
      </c>
      <c r="BR65" s="95" t="str">
        <f>IF(AE65=VLOOKUP($A65,Feature_List!$A$2:$AO$101,MATCH(BR$1,Feature_List!$A$1:$AO$1,0),FALSE),"OK","BAD")</f>
        <v>OK</v>
      </c>
      <c r="BS65" s="95" t="str">
        <f>IF(AF65=VLOOKUP($A65,Feature_List!$A$2:$AO$101,MATCH(BS$1,Feature_List!$A$1:$AO$1,0),FALSE),"OK","BAD")</f>
        <v>OK</v>
      </c>
      <c r="BT65" s="95" t="str">
        <f>IF(AG65=VLOOKUP($A65,Feature_List!$A$2:$AO$101,MATCH(BT$1,Feature_List!$A$1:$AO$1,0),FALSE),"OK","BAD")</f>
        <v>OK</v>
      </c>
      <c r="BU65" s="95" t="str">
        <f>IF(AH65=VLOOKUP($A65,Feature_List!$A$2:$AO$101,MATCH(BU$1,Feature_List!$A$1:$AO$1,0),FALSE),"OK","BAD")</f>
        <v>OK</v>
      </c>
      <c r="BV65" s="95" t="e">
        <f>IF(AI65=VLOOKUP($A65,Feature_List!$A$2:$AO$101,MATCH(BV$1,Feature_List!$A$1:$AO$1,0),FALSE),"OK","BAD")</f>
        <v>#N/A</v>
      </c>
      <c r="BW65" s="95" t="e">
        <f>IF(AJ65=VLOOKUP($A65,Feature_List!$A$2:$AO$101,MATCH(BW$1,Feature_List!$A$1:$AO$1,0),FALSE),"OK","BAD")</f>
        <v>#N/A</v>
      </c>
      <c r="BX65" s="95" t="e">
        <f>IF(AK65=VLOOKUP($A65,Feature_List!$A$2:$AO$101,MATCH(BX$1,Feature_List!$A$1:$AO$1,0),FALSE),"OK","BAD")</f>
        <v>#N/A</v>
      </c>
      <c r="BY65" s="95" t="str">
        <f>IF(AL65=VLOOKUP($A65,Feature_List!$A$2:$AO$101,MATCH(BY$1,Feature_List!$A$1:$AO$1,0),FALSE),"OK","BAD")</f>
        <v>OK</v>
      </c>
      <c r="BZ65" s="95" t="str">
        <f>IF(AM65=VLOOKUP($A65,Feature_List!$A$2:$AO$101,MATCH(BZ$1,Feature_List!$A$1:$AO$1,0),FALSE),"OK","BAD")</f>
        <v>OK</v>
      </c>
      <c r="CA65" s="95" t="str">
        <f>IF(AN65=VLOOKUP($A65,Feature_List!$A$2:$AO$101,MATCH(CA$1,Feature_List!$A$1:$AO$1,0),FALSE),"OK","BAD")</f>
        <v>OK</v>
      </c>
    </row>
    <row r="66" spans="1:79" s="5" customFormat="1" ht="14.4" customHeight="1" x14ac:dyDescent="0.3">
      <c r="A66" s="70">
        <v>373090</v>
      </c>
      <c r="B66" s="65" t="s">
        <v>649</v>
      </c>
      <c r="C66" s="98" t="s">
        <v>1143</v>
      </c>
      <c r="D66" s="65" t="s">
        <v>106</v>
      </c>
      <c r="E66" s="64">
        <v>22</v>
      </c>
      <c r="F66" s="64" t="s">
        <v>41</v>
      </c>
      <c r="G66" s="64" t="s">
        <v>956</v>
      </c>
      <c r="H66" s="64" t="s">
        <v>54</v>
      </c>
      <c r="I66" s="99" t="s">
        <v>38</v>
      </c>
      <c r="J66" s="64" t="s">
        <v>1412</v>
      </c>
      <c r="K66" s="64">
        <v>267568</v>
      </c>
      <c r="L66" s="62" t="s">
        <v>15</v>
      </c>
      <c r="M66" s="67" t="s">
        <v>31</v>
      </c>
      <c r="N66" s="67" t="s">
        <v>48</v>
      </c>
      <c r="O66" s="67">
        <v>0</v>
      </c>
      <c r="P66" s="66" t="s">
        <v>131</v>
      </c>
      <c r="Q66" s="63">
        <v>2</v>
      </c>
      <c r="R66" s="63">
        <v>14</v>
      </c>
      <c r="S66" s="63">
        <v>0</v>
      </c>
      <c r="T66" s="63">
        <v>0</v>
      </c>
      <c r="U66" s="63">
        <v>0</v>
      </c>
      <c r="V66" s="63">
        <v>0</v>
      </c>
      <c r="W66" s="63">
        <v>0</v>
      </c>
      <c r="X66" s="63">
        <v>0</v>
      </c>
      <c r="Y66" s="63">
        <v>0</v>
      </c>
      <c r="Z66" s="63">
        <v>0</v>
      </c>
      <c r="AA66" s="63">
        <v>0</v>
      </c>
      <c r="AB66" s="63">
        <v>4</v>
      </c>
      <c r="AC66" s="63">
        <v>4</v>
      </c>
      <c r="AD66" s="63">
        <v>0</v>
      </c>
      <c r="AE66" s="63">
        <v>0</v>
      </c>
      <c r="AF66" s="63">
        <v>0</v>
      </c>
      <c r="AG66" s="63">
        <v>0</v>
      </c>
      <c r="AH66" s="63">
        <v>0</v>
      </c>
      <c r="AI66" s="63">
        <v>0</v>
      </c>
      <c r="AJ66" s="63">
        <v>8</v>
      </c>
      <c r="AK66" s="63">
        <v>0</v>
      </c>
      <c r="AL66" s="63" t="s">
        <v>35</v>
      </c>
      <c r="AM66" s="63" t="s">
        <v>854</v>
      </c>
      <c r="AN66" s="220" t="s">
        <v>33</v>
      </c>
      <c r="AO66" s="224"/>
      <c r="AP66" s="95" t="e">
        <f>IF(C66=VLOOKUP($A66,Feature_List!$A$2:$AO$101,MATCH(AP$1,Feature_List!$A$1:$AO$1,0),FALSE),"OK","BAD")</f>
        <v>#N/A</v>
      </c>
      <c r="AQ66" s="95" t="e">
        <f>IF(D66=VLOOKUP($A66,Feature_List!$A$2:$AO$101,MATCH(AQ$1,Feature_List!$A$1:$AO$1,0),FALSE),"OK","BAD")</f>
        <v>#N/A</v>
      </c>
      <c r="AR66" s="95" t="e">
        <f>IF(E66=VLOOKUP($A66,Feature_List!$A$2:$AO$101,MATCH(AR$1,Feature_List!$A$1:$AO$1,0),FALSE),"OK","BAD")</f>
        <v>#N/A</v>
      </c>
      <c r="AS66" s="95" t="e">
        <f>IF(F66=VLOOKUP($A66,Feature_List!$A$2:$AO$101,MATCH(AS$1,Feature_List!$A$1:$AO$1,0),FALSE),"OK","BAD")</f>
        <v>#N/A</v>
      </c>
      <c r="AT66" s="95" t="s">
        <v>985</v>
      </c>
      <c r="AU66" s="95" t="s">
        <v>985</v>
      </c>
      <c r="AV66" s="95" t="e">
        <f>IF(I66=VLOOKUP($A66,Feature_List!$A$2:$AO$101,MATCH(AV$1,Feature_List!$A$1:$AO$1,0),FALSE),"OK","BAD")</f>
        <v>#N/A</v>
      </c>
      <c r="AW66" s="95" t="e">
        <f>IF(J66=VLOOKUP($A66,Feature_List!$A$2:$AO$101,MATCH(AW$1,Feature_List!$A$1:$AO$1,0),FALSE),"OK","BAD")</f>
        <v>#N/A</v>
      </c>
      <c r="AX66" s="95" t="e">
        <f>IF(K66=VLOOKUP($A66,Feature_List!$A$2:$AO$101,MATCH(AX$1,Feature_List!$A$1:$AO$1,0),FALSE),"OK","BAD")</f>
        <v>#N/A</v>
      </c>
      <c r="AY66" s="95" t="e">
        <f>IF(L66=VLOOKUP($A66,Feature_List!$A$2:$AO$101,MATCH(AY$1,Feature_List!$A$1:$AO$1,0),FALSE),"OK","BAD")</f>
        <v>#N/A</v>
      </c>
      <c r="AZ66" s="95" t="e">
        <f>IF(M66=VLOOKUP($A66,Feature_List!$A$2:$AO$101,MATCH(AZ$1,Feature_List!$A$1:$AO$1,0),FALSE),"OK","BAD")</f>
        <v>#N/A</v>
      </c>
      <c r="BA66" s="95" t="e">
        <f>IF(N66=VLOOKUP($A66,Feature_List!$A$2:$AO$101,MATCH(BA$1,Feature_List!$A$1:$AO$1,0),FALSE),"OK","BAD")</f>
        <v>#N/A</v>
      </c>
      <c r="BB66" s="95" t="e">
        <f>IF(O66=VLOOKUP($A66,Feature_List!$A$2:$AO$101,MATCH(BB$1,Feature_List!$A$1:$AO$1,0),FALSE),"OK","BAD")</f>
        <v>#N/A</v>
      </c>
      <c r="BC66" s="95" t="e">
        <f>IF(P66=VLOOKUP($A66,Feature_List!$A$2:$AO$101,MATCH(BC$1,Feature_List!$A$1:$AO$1,0),FALSE),"OK","BAD")</f>
        <v>#N/A</v>
      </c>
      <c r="BD66" s="95" t="e">
        <f>IF(Q66=VLOOKUP($A66,Feature_List!$A$2:$AO$101,MATCH(BD$1,Feature_List!$A$1:$AO$1,0),FALSE),"OK","BAD")</f>
        <v>#N/A</v>
      </c>
      <c r="BE66" s="95" t="e">
        <f>IF(R66=VLOOKUP($A66,Feature_List!$A$2:$AO$101,MATCH(BE$1,Feature_List!$A$1:$AO$1,0),FALSE),"OK","BAD")</f>
        <v>#N/A</v>
      </c>
      <c r="BF66" s="95" t="e">
        <f>IF(S66=VLOOKUP($A66,Feature_List!$A$2:$AO$101,MATCH(BF$1,Feature_List!$A$1:$AO$1,0),FALSE),"OK","BAD")</f>
        <v>#N/A</v>
      </c>
      <c r="BG66" s="95" t="e">
        <f>IF(T66=VLOOKUP($A66,Feature_List!$A$2:$AO$101,MATCH(BG$1,Feature_List!$A$1:$AO$1,0),FALSE),"OK","BAD")</f>
        <v>#N/A</v>
      </c>
      <c r="BH66" s="95" t="e">
        <f>IF(U66=VLOOKUP($A66,Feature_List!$A$2:$AO$101,MATCH(BH$1,Feature_List!$A$1:$AO$1,0),FALSE),"OK","BAD")</f>
        <v>#N/A</v>
      </c>
      <c r="BI66" s="95" t="e">
        <f>IF(V66=VLOOKUP($A66,Feature_List!$A$2:$AO$101,MATCH(BI$1,Feature_List!$A$1:$AO$1,0),FALSE),"OK","BAD")</f>
        <v>#N/A</v>
      </c>
      <c r="BJ66" s="95" t="e">
        <f>IF(W66=VLOOKUP($A66,Feature_List!$A$2:$AO$101,MATCH(BJ$1,Feature_List!$A$1:$AO$1,0),FALSE),"OK","BAD")</f>
        <v>#N/A</v>
      </c>
      <c r="BK66" s="95" t="e">
        <f>IF(X66=VLOOKUP($A66,Feature_List!$A$2:$AO$101,MATCH(BK$1,Feature_List!$A$1:$AO$1,0),FALSE),"OK","BAD")</f>
        <v>#N/A</v>
      </c>
      <c r="BL66" s="95" t="e">
        <f>IF(Y66=VLOOKUP($A66,Feature_List!$A$2:$AO$101,MATCH(BL$1,Feature_List!$A$1:$AO$1,0),FALSE),"OK","BAD")</f>
        <v>#N/A</v>
      </c>
      <c r="BM66" s="95" t="e">
        <f>IF(Z66=VLOOKUP($A66,Feature_List!$A$2:$AO$101,MATCH(BM$1,Feature_List!$A$1:$AO$1,0),FALSE),"OK","BAD")</f>
        <v>#N/A</v>
      </c>
      <c r="BN66" s="95" t="e">
        <f>IF(AA66=VLOOKUP($A66,Feature_List!$A$2:$AO$101,MATCH(BN$1,Feature_List!$A$1:$AO$1,0),FALSE),"OK","BAD")</f>
        <v>#N/A</v>
      </c>
      <c r="BO66" s="95" t="e">
        <f>IF(AB66=VLOOKUP($A66,Feature_List!$A$2:$AO$101,MATCH(BO$1,Feature_List!$A$1:$AO$1,0),FALSE),"OK","BAD")</f>
        <v>#N/A</v>
      </c>
      <c r="BP66" s="95" t="e">
        <f>IF(AC66=VLOOKUP($A66,Feature_List!$A$2:$AO$101,MATCH(BP$1,Feature_List!$A$1:$AO$1,0),FALSE),"OK","BAD")</f>
        <v>#N/A</v>
      </c>
      <c r="BQ66" s="95" t="e">
        <f>IF(AD66=VLOOKUP($A66,Feature_List!$A$2:$AO$101,MATCH(BQ$1,Feature_List!$A$1:$AO$1,0),FALSE),"OK","BAD")</f>
        <v>#N/A</v>
      </c>
      <c r="BR66" s="95" t="e">
        <f>IF(AE66=VLOOKUP($A66,Feature_List!$A$2:$AO$101,MATCH(BR$1,Feature_List!$A$1:$AO$1,0),FALSE),"OK","BAD")</f>
        <v>#N/A</v>
      </c>
      <c r="BS66" s="95" t="e">
        <f>IF(AF66=VLOOKUP($A66,Feature_List!$A$2:$AO$101,MATCH(BS$1,Feature_List!$A$1:$AO$1,0),FALSE),"OK","BAD")</f>
        <v>#N/A</v>
      </c>
      <c r="BT66" s="95" t="e">
        <f>IF(AG66=VLOOKUP($A66,Feature_List!$A$2:$AO$101,MATCH(BT$1,Feature_List!$A$1:$AO$1,0),FALSE),"OK","BAD")</f>
        <v>#N/A</v>
      </c>
      <c r="BU66" s="95" t="e">
        <f>IF(AH66=VLOOKUP($A66,Feature_List!$A$2:$AO$101,MATCH(BU$1,Feature_List!$A$1:$AO$1,0),FALSE),"OK","BAD")</f>
        <v>#N/A</v>
      </c>
      <c r="BV66" s="95" t="e">
        <f>IF(AI66=VLOOKUP($A66,Feature_List!$A$2:$AO$101,MATCH(BV$1,Feature_List!$A$1:$AO$1,0),FALSE),"OK","BAD")</f>
        <v>#N/A</v>
      </c>
      <c r="BW66" s="95" t="e">
        <f>IF(AJ66=VLOOKUP($A66,Feature_List!$A$2:$AO$101,MATCH(BW$1,Feature_List!$A$1:$AO$1,0),FALSE),"OK","BAD")</f>
        <v>#N/A</v>
      </c>
      <c r="BX66" s="95" t="e">
        <f>IF(AK66=VLOOKUP($A66,Feature_List!$A$2:$AO$101,MATCH(BX$1,Feature_List!$A$1:$AO$1,0),FALSE),"OK","BAD")</f>
        <v>#N/A</v>
      </c>
      <c r="BY66" s="95" t="e">
        <f>IF(AL66=VLOOKUP($A66,Feature_List!$A$2:$AO$101,MATCH(BY$1,Feature_List!$A$1:$AO$1,0),FALSE),"OK","BAD")</f>
        <v>#N/A</v>
      </c>
      <c r="BZ66" s="95" t="e">
        <f>IF(AM66=VLOOKUP($A66,Feature_List!$A$2:$AO$101,MATCH(BZ$1,Feature_List!$A$1:$AO$1,0),FALSE),"OK","BAD")</f>
        <v>#N/A</v>
      </c>
      <c r="CA66" s="95" t="e">
        <f>IF(AN66=VLOOKUP($A66,Feature_List!$A$2:$AO$101,MATCH(CA$1,Feature_List!$A$1:$AO$1,0),FALSE),"OK","BAD")</f>
        <v>#N/A</v>
      </c>
    </row>
    <row r="67" spans="1:79" ht="14.4" customHeight="1" x14ac:dyDescent="0.3">
      <c r="A67" s="70">
        <v>372921</v>
      </c>
      <c r="B67" s="65" t="s">
        <v>974</v>
      </c>
      <c r="C67" s="98" t="s">
        <v>972</v>
      </c>
      <c r="D67" s="65" t="s">
        <v>106</v>
      </c>
      <c r="E67" s="64">
        <v>52</v>
      </c>
      <c r="F67" s="64" t="s">
        <v>879</v>
      </c>
      <c r="G67" s="64" t="s">
        <v>994</v>
      </c>
      <c r="H67" s="64" t="s">
        <v>172</v>
      </c>
      <c r="I67" s="99" t="s">
        <v>38</v>
      </c>
      <c r="J67" s="64" t="s">
        <v>1414</v>
      </c>
      <c r="K67" s="64">
        <v>0</v>
      </c>
      <c r="L67" s="62" t="s">
        <v>944</v>
      </c>
      <c r="M67" s="67" t="s">
        <v>49</v>
      </c>
      <c r="N67" s="67" t="s">
        <v>51</v>
      </c>
      <c r="O67" s="67">
        <v>0</v>
      </c>
      <c r="P67" s="66" t="s">
        <v>131</v>
      </c>
      <c r="Q67" s="63">
        <v>2</v>
      </c>
      <c r="R67" s="63">
        <v>18</v>
      </c>
      <c r="S67" s="63">
        <v>0</v>
      </c>
      <c r="T67" s="63">
        <v>12</v>
      </c>
      <c r="U67" s="63">
        <v>0</v>
      </c>
      <c r="V67" s="63">
        <v>0</v>
      </c>
      <c r="W67" s="63">
        <v>0</v>
      </c>
      <c r="X67" s="63">
        <v>0</v>
      </c>
      <c r="Y67" s="63">
        <v>0</v>
      </c>
      <c r="Z67" s="63">
        <v>0</v>
      </c>
      <c r="AA67" s="63">
        <v>0</v>
      </c>
      <c r="AB67" s="63">
        <v>5</v>
      </c>
      <c r="AC67" s="63">
        <v>0</v>
      </c>
      <c r="AD67" s="63">
        <v>0</v>
      </c>
      <c r="AE67" s="63">
        <v>0</v>
      </c>
      <c r="AF67" s="63">
        <v>0</v>
      </c>
      <c r="AG67" s="63">
        <v>0</v>
      </c>
      <c r="AH67" s="63">
        <v>0</v>
      </c>
      <c r="AI67" s="63">
        <v>0</v>
      </c>
      <c r="AJ67" s="63">
        <v>17</v>
      </c>
      <c r="AK67" s="63">
        <v>17</v>
      </c>
      <c r="AL67" s="63" t="s">
        <v>35</v>
      </c>
      <c r="AM67" s="63" t="s">
        <v>36</v>
      </c>
      <c r="AN67" s="220" t="s">
        <v>33</v>
      </c>
      <c r="AO67" s="224"/>
      <c r="AP67" s="95" t="str">
        <f>IF(C67=VLOOKUP($A67,Feature_List!$A$2:$AO$101,MATCH(AP$1,Feature_List!$A$1:$AO$1,0),FALSE),"OK","BAD")</f>
        <v>OK</v>
      </c>
      <c r="AQ67" s="95" t="str">
        <f>IF(D67=VLOOKUP($A67,Feature_List!$A$2:$AO$101,MATCH(AQ$1,Feature_List!$A$1:$AO$1,0),FALSE),"OK","BAD")</f>
        <v>OK</v>
      </c>
      <c r="AR67" s="95" t="str">
        <f>IF(E67=VLOOKUP($A67,Feature_List!$A$2:$AO$101,MATCH(AR$1,Feature_List!$A$1:$AO$1,0),FALSE),"OK","BAD")</f>
        <v>BAD</v>
      </c>
      <c r="AS67" s="95" t="str">
        <f>IF(F67=VLOOKUP($A67,Feature_List!$A$2:$AO$101,MATCH(AS$1,Feature_List!$A$1:$AO$1,0),FALSE),"OK","BAD")</f>
        <v>OK</v>
      </c>
      <c r="AT67" s="95" t="s">
        <v>985</v>
      </c>
      <c r="AU67" s="95" t="s">
        <v>985</v>
      </c>
      <c r="AV67" s="95" t="str">
        <f>IF(I67=VLOOKUP($A67,Feature_List!$A$2:$AO$101,MATCH(AV$1,Feature_List!$A$1:$AO$1,0),FALSE),"OK","BAD")</f>
        <v>OK</v>
      </c>
      <c r="AW67" s="95" t="str">
        <f>IF(J67=VLOOKUP($A67,Feature_List!$A$2:$AO$101,MATCH(AW$1,Feature_List!$A$1:$AO$1,0),FALSE),"OK","BAD")</f>
        <v>OK</v>
      </c>
      <c r="AX67" s="95" t="str">
        <f>IF(K67=VLOOKUP($A67,Feature_List!$A$2:$AO$101,MATCH(AX$1,Feature_List!$A$1:$AO$1,0),FALSE),"OK","BAD")</f>
        <v>OK</v>
      </c>
      <c r="AY67" s="95" t="str">
        <f>IF(L67=VLOOKUP($A67,Feature_List!$A$2:$AO$101,MATCH(AY$1,Feature_List!$A$1:$AO$1,0),FALSE),"OK","BAD")</f>
        <v>OK</v>
      </c>
      <c r="AZ67" s="95" t="str">
        <f>IF(M67=VLOOKUP($A67,Feature_List!$A$2:$AO$101,MATCH(AZ$1,Feature_List!$A$1:$AO$1,0),FALSE),"OK","BAD")</f>
        <v>OK</v>
      </c>
      <c r="BA67" s="95" t="str">
        <f>IF(N67=VLOOKUP($A67,Feature_List!$A$2:$AO$101,MATCH(BA$1,Feature_List!$A$1:$AO$1,0),FALSE),"OK","BAD")</f>
        <v>OK</v>
      </c>
      <c r="BB67" s="95" t="str">
        <f>IF(O67=VLOOKUP($A67,Feature_List!$A$2:$AO$101,MATCH(BB$1,Feature_List!$A$1:$AO$1,0),FALSE),"OK","BAD")</f>
        <v>OK</v>
      </c>
      <c r="BC67" s="95" t="e">
        <f>IF(P67=VLOOKUP($A67,Feature_List!$A$2:$AO$101,MATCH(BC$1,Feature_List!$A$1:$AO$1,0),FALSE),"OK","BAD")</f>
        <v>#N/A</v>
      </c>
      <c r="BD67" s="95" t="str">
        <f>IF(Q67=VLOOKUP($A67,Feature_List!$A$2:$AO$101,MATCH(BD$1,Feature_List!$A$1:$AO$1,0),FALSE),"OK","BAD")</f>
        <v>OK</v>
      </c>
      <c r="BE67" s="95" t="str">
        <f>IF(R67=VLOOKUP($A67,Feature_List!$A$2:$AO$101,MATCH(BE$1,Feature_List!$A$1:$AO$1,0),FALSE),"OK","BAD")</f>
        <v>BAD</v>
      </c>
      <c r="BF67" s="95" t="str">
        <f>IF(S67=VLOOKUP($A67,Feature_List!$A$2:$AO$101,MATCH(BF$1,Feature_List!$A$1:$AO$1,0),FALSE),"OK","BAD")</f>
        <v>OK</v>
      </c>
      <c r="BG67" s="95" t="str">
        <f>IF(T67=VLOOKUP($A67,Feature_List!$A$2:$AO$101,MATCH(BG$1,Feature_List!$A$1:$AO$1,0),FALSE),"OK","BAD")</f>
        <v>BAD</v>
      </c>
      <c r="BH67" s="95" t="str">
        <f>IF(U67=VLOOKUP($A67,Feature_List!$A$2:$AO$101,MATCH(BH$1,Feature_List!$A$1:$AO$1,0),FALSE),"OK","BAD")</f>
        <v>OK</v>
      </c>
      <c r="BI67" s="95" t="str">
        <f>IF(V67=VLOOKUP($A67,Feature_List!$A$2:$AO$101,MATCH(BI$1,Feature_List!$A$1:$AO$1,0),FALSE),"OK","BAD")</f>
        <v>OK</v>
      </c>
      <c r="BJ67" s="95" t="e">
        <f>IF(W67=VLOOKUP($A67,Feature_List!$A$2:$AO$101,MATCH(BJ$1,Feature_List!$A$1:$AO$1,0),FALSE),"OK","BAD")</f>
        <v>#N/A</v>
      </c>
      <c r="BK67" s="95" t="str">
        <f>IF(X67=VLOOKUP($A67,Feature_List!$A$2:$AO$101,MATCH(BK$1,Feature_List!$A$1:$AO$1,0),FALSE),"OK","BAD")</f>
        <v>OK</v>
      </c>
      <c r="BL67" s="95" t="str">
        <f>IF(Y67=VLOOKUP($A67,Feature_List!$A$2:$AO$101,MATCH(BL$1,Feature_List!$A$1:$AO$1,0),FALSE),"OK","BAD")</f>
        <v>OK</v>
      </c>
      <c r="BM67" s="95" t="str">
        <f>IF(Z67=VLOOKUP($A67,Feature_List!$A$2:$AO$101,MATCH(BM$1,Feature_List!$A$1:$AO$1,0),FALSE),"OK","BAD")</f>
        <v>OK</v>
      </c>
      <c r="BN67" s="95" t="str">
        <f>IF(AA67=VLOOKUP($A67,Feature_List!$A$2:$AO$101,MATCH(BN$1,Feature_List!$A$1:$AO$1,0),FALSE),"OK","BAD")</f>
        <v>OK</v>
      </c>
      <c r="BO67" s="95" t="str">
        <f>IF(AB67=VLOOKUP($A67,Feature_List!$A$2:$AO$101,MATCH(BO$1,Feature_List!$A$1:$AO$1,0),FALSE),"OK","BAD")</f>
        <v>OK</v>
      </c>
      <c r="BP67" s="95" t="str">
        <f>IF(AC67=VLOOKUP($A67,Feature_List!$A$2:$AO$101,MATCH(BP$1,Feature_List!$A$1:$AO$1,0),FALSE),"OK","BAD")</f>
        <v>OK</v>
      </c>
      <c r="BQ67" s="95" t="str">
        <f>IF(AD67=VLOOKUP($A67,Feature_List!$A$2:$AO$101,MATCH(BQ$1,Feature_List!$A$1:$AO$1,0),FALSE),"OK","BAD")</f>
        <v>OK</v>
      </c>
      <c r="BR67" s="95" t="str">
        <f>IF(AE67=VLOOKUP($A67,Feature_List!$A$2:$AO$101,MATCH(BR$1,Feature_List!$A$1:$AO$1,0),FALSE),"OK","BAD")</f>
        <v>OK</v>
      </c>
      <c r="BS67" s="95" t="str">
        <f>IF(AF67=VLOOKUP($A67,Feature_List!$A$2:$AO$101,MATCH(BS$1,Feature_List!$A$1:$AO$1,0),FALSE),"OK","BAD")</f>
        <v>OK</v>
      </c>
      <c r="BT67" s="95" t="str">
        <f>IF(AG67=VLOOKUP($A67,Feature_List!$A$2:$AO$101,MATCH(BT$1,Feature_List!$A$1:$AO$1,0),FALSE),"OK","BAD")</f>
        <v>OK</v>
      </c>
      <c r="BU67" s="95" t="str">
        <f>IF(AH67=VLOOKUP($A67,Feature_List!$A$2:$AO$101,MATCH(BU$1,Feature_List!$A$1:$AO$1,0),FALSE),"OK","BAD")</f>
        <v>OK</v>
      </c>
      <c r="BV67" s="95" t="e">
        <f>IF(AI67=VLOOKUP($A67,Feature_List!$A$2:$AO$101,MATCH(BV$1,Feature_List!$A$1:$AO$1,0),FALSE),"OK","BAD")</f>
        <v>#N/A</v>
      </c>
      <c r="BW67" s="95" t="e">
        <f>IF(AJ67=VLOOKUP($A67,Feature_List!$A$2:$AO$101,MATCH(BW$1,Feature_List!$A$1:$AO$1,0),FALSE),"OK","BAD")</f>
        <v>#N/A</v>
      </c>
      <c r="BX67" s="95" t="e">
        <f>IF(AK67=VLOOKUP($A67,Feature_List!$A$2:$AO$101,MATCH(BX$1,Feature_List!$A$1:$AO$1,0),FALSE),"OK","BAD")</f>
        <v>#N/A</v>
      </c>
      <c r="BY67" s="95" t="str">
        <f>IF(AL67=VLOOKUP($A67,Feature_List!$A$2:$AO$101,MATCH(BY$1,Feature_List!$A$1:$AO$1,0),FALSE),"OK","BAD")</f>
        <v>OK</v>
      </c>
      <c r="BZ67" s="95" t="str">
        <f>IF(AM67=VLOOKUP($A67,Feature_List!$A$2:$AO$101,MATCH(BZ$1,Feature_List!$A$1:$AO$1,0),FALSE),"OK","BAD")</f>
        <v>OK</v>
      </c>
      <c r="CA67" s="95" t="str">
        <f>IF(AN67=VLOOKUP($A67,Feature_List!$A$2:$AO$101,MATCH(CA$1,Feature_List!$A$1:$AO$1,0),FALSE),"OK","BAD")</f>
        <v>OK</v>
      </c>
    </row>
    <row r="68" spans="1:79" ht="14.4" customHeight="1" x14ac:dyDescent="0.3">
      <c r="A68" s="70">
        <v>368860</v>
      </c>
      <c r="B68" s="65" t="s">
        <v>605</v>
      </c>
      <c r="C68" s="98" t="s">
        <v>1145</v>
      </c>
      <c r="D68" s="65" t="s">
        <v>106</v>
      </c>
      <c r="E68" s="64">
        <v>295</v>
      </c>
      <c r="F68" s="64" t="s">
        <v>879</v>
      </c>
      <c r="G68" s="64" t="s">
        <v>968</v>
      </c>
      <c r="H68" s="64" t="s">
        <v>105</v>
      </c>
      <c r="I68" s="99" t="s">
        <v>38</v>
      </c>
      <c r="J68" s="64" t="s">
        <v>1412</v>
      </c>
      <c r="K68" s="64">
        <v>0</v>
      </c>
      <c r="L68" s="62" t="s">
        <v>15</v>
      </c>
      <c r="M68" s="67" t="s">
        <v>606</v>
      </c>
      <c r="N68" s="67" t="s">
        <v>607</v>
      </c>
      <c r="O68" s="67">
        <v>0</v>
      </c>
      <c r="P68" s="66" t="s">
        <v>937</v>
      </c>
      <c r="Q68" s="63">
        <v>8</v>
      </c>
      <c r="R68" s="63">
        <v>142</v>
      </c>
      <c r="S68" s="63">
        <v>0</v>
      </c>
      <c r="T68" s="63">
        <v>13</v>
      </c>
      <c r="U68" s="63">
        <v>2</v>
      </c>
      <c r="V68" s="63">
        <v>0</v>
      </c>
      <c r="W68" s="63">
        <v>0</v>
      </c>
      <c r="X68" s="63">
        <v>11</v>
      </c>
      <c r="Y68" s="63">
        <v>9</v>
      </c>
      <c r="Z68" s="63">
        <v>2</v>
      </c>
      <c r="AA68" s="63">
        <v>0</v>
      </c>
      <c r="AB68" s="63">
        <v>105</v>
      </c>
      <c r="AC68" s="63">
        <v>8</v>
      </c>
      <c r="AD68" s="63">
        <v>0</v>
      </c>
      <c r="AE68" s="63">
        <v>0</v>
      </c>
      <c r="AF68" s="63">
        <v>0</v>
      </c>
      <c r="AG68" s="63">
        <v>3</v>
      </c>
      <c r="AH68" s="63">
        <v>0</v>
      </c>
      <c r="AI68" s="63">
        <v>0</v>
      </c>
      <c r="AJ68" s="63">
        <v>153</v>
      </c>
      <c r="AK68" s="63">
        <v>0</v>
      </c>
      <c r="AL68" s="63" t="s">
        <v>35</v>
      </c>
      <c r="AM68" s="63" t="s">
        <v>36</v>
      </c>
      <c r="AN68" s="220" t="s">
        <v>33</v>
      </c>
      <c r="AO68" s="224"/>
      <c r="AP68" s="95" t="e">
        <f>IF(C68=VLOOKUP($A68,Feature_List!$A$2:$AO$101,MATCH(AP$1,Feature_List!$A$1:$AO$1,0),FALSE),"OK","BAD")</f>
        <v>#N/A</v>
      </c>
      <c r="AQ68" s="95" t="e">
        <f>IF(D68=VLOOKUP($A68,Feature_List!$A$2:$AO$101,MATCH(AQ$1,Feature_List!$A$1:$AO$1,0),FALSE),"OK","BAD")</f>
        <v>#N/A</v>
      </c>
      <c r="AR68" s="95" t="e">
        <f>IF(E68=VLOOKUP($A68,Feature_List!$A$2:$AO$101,MATCH(AR$1,Feature_List!$A$1:$AO$1,0),FALSE),"OK","BAD")</f>
        <v>#N/A</v>
      </c>
      <c r="AS68" s="95" t="e">
        <f>IF(F68=VLOOKUP($A68,Feature_List!$A$2:$AO$101,MATCH(AS$1,Feature_List!$A$1:$AO$1,0),FALSE),"OK","BAD")</f>
        <v>#N/A</v>
      </c>
      <c r="AT68" s="95" t="s">
        <v>985</v>
      </c>
      <c r="AU68" s="95" t="s">
        <v>985</v>
      </c>
      <c r="AV68" s="95" t="e">
        <f>IF(I68=VLOOKUP($A68,Feature_List!$A$2:$AO$101,MATCH(AV$1,Feature_List!$A$1:$AO$1,0),FALSE),"OK","BAD")</f>
        <v>#N/A</v>
      </c>
      <c r="AW68" s="95" t="e">
        <f>IF(J68=VLOOKUP($A68,Feature_List!$A$2:$AO$101,MATCH(AW$1,Feature_List!$A$1:$AO$1,0),FALSE),"OK","BAD")</f>
        <v>#N/A</v>
      </c>
      <c r="AX68" s="95" t="e">
        <f>IF(K68=VLOOKUP($A68,Feature_List!$A$2:$AO$101,MATCH(AX$1,Feature_List!$A$1:$AO$1,0),FALSE),"OK","BAD")</f>
        <v>#N/A</v>
      </c>
      <c r="AY68" s="95" t="e">
        <f>IF(L68=VLOOKUP($A68,Feature_List!$A$2:$AO$101,MATCH(AY$1,Feature_List!$A$1:$AO$1,0),FALSE),"OK","BAD")</f>
        <v>#N/A</v>
      </c>
      <c r="AZ68" s="95" t="e">
        <f>IF(M68=VLOOKUP($A68,Feature_List!$A$2:$AO$101,MATCH(AZ$1,Feature_List!$A$1:$AO$1,0),FALSE),"OK","BAD")</f>
        <v>#N/A</v>
      </c>
      <c r="BA68" s="95" t="e">
        <f>IF(N68=VLOOKUP($A68,Feature_List!$A$2:$AO$101,MATCH(BA$1,Feature_List!$A$1:$AO$1,0),FALSE),"OK","BAD")</f>
        <v>#N/A</v>
      </c>
      <c r="BB68" s="95" t="e">
        <f>IF(O68=VLOOKUP($A68,Feature_List!$A$2:$AO$101,MATCH(BB$1,Feature_List!$A$1:$AO$1,0),FALSE),"OK","BAD")</f>
        <v>#N/A</v>
      </c>
      <c r="BC68" s="95" t="e">
        <f>IF(P68=VLOOKUP($A68,Feature_List!$A$2:$AO$101,MATCH(BC$1,Feature_List!$A$1:$AO$1,0),FALSE),"OK","BAD")</f>
        <v>#N/A</v>
      </c>
      <c r="BD68" s="95" t="e">
        <f>IF(Q68=VLOOKUP($A68,Feature_List!$A$2:$AO$101,MATCH(BD$1,Feature_List!$A$1:$AO$1,0),FALSE),"OK","BAD")</f>
        <v>#N/A</v>
      </c>
      <c r="BE68" s="95" t="e">
        <f>IF(R68=VLOOKUP($A68,Feature_List!$A$2:$AO$101,MATCH(BE$1,Feature_List!$A$1:$AO$1,0),FALSE),"OK","BAD")</f>
        <v>#N/A</v>
      </c>
      <c r="BF68" s="95" t="e">
        <f>IF(S68=VLOOKUP($A68,Feature_List!$A$2:$AO$101,MATCH(BF$1,Feature_List!$A$1:$AO$1,0),FALSE),"OK","BAD")</f>
        <v>#N/A</v>
      </c>
      <c r="BG68" s="95" t="e">
        <f>IF(T68=VLOOKUP($A68,Feature_List!$A$2:$AO$101,MATCH(BG$1,Feature_List!$A$1:$AO$1,0),FALSE),"OK","BAD")</f>
        <v>#N/A</v>
      </c>
      <c r="BH68" s="95" t="e">
        <f>IF(U68=VLOOKUP($A68,Feature_List!$A$2:$AO$101,MATCH(BH$1,Feature_List!$A$1:$AO$1,0),FALSE),"OK","BAD")</f>
        <v>#N/A</v>
      </c>
      <c r="BI68" s="95" t="e">
        <f>IF(V68=VLOOKUP($A68,Feature_List!$A$2:$AO$101,MATCH(BI$1,Feature_List!$A$1:$AO$1,0),FALSE),"OK","BAD")</f>
        <v>#N/A</v>
      </c>
      <c r="BJ68" s="95" t="e">
        <f>IF(W68=VLOOKUP($A68,Feature_List!$A$2:$AO$101,MATCH(BJ$1,Feature_List!$A$1:$AO$1,0),FALSE),"OK","BAD")</f>
        <v>#N/A</v>
      </c>
      <c r="BK68" s="95" t="e">
        <f>IF(X68=VLOOKUP($A68,Feature_List!$A$2:$AO$101,MATCH(BK$1,Feature_List!$A$1:$AO$1,0),FALSE),"OK","BAD")</f>
        <v>#N/A</v>
      </c>
      <c r="BL68" s="95" t="e">
        <f>IF(Y68=VLOOKUP($A68,Feature_List!$A$2:$AO$101,MATCH(BL$1,Feature_List!$A$1:$AO$1,0),FALSE),"OK","BAD")</f>
        <v>#N/A</v>
      </c>
      <c r="BM68" s="95" t="e">
        <f>IF(Z68=VLOOKUP($A68,Feature_List!$A$2:$AO$101,MATCH(BM$1,Feature_List!$A$1:$AO$1,0),FALSE),"OK","BAD")</f>
        <v>#N/A</v>
      </c>
      <c r="BN68" s="95" t="e">
        <f>IF(AA68=VLOOKUP($A68,Feature_List!$A$2:$AO$101,MATCH(BN$1,Feature_List!$A$1:$AO$1,0),FALSE),"OK","BAD")</f>
        <v>#N/A</v>
      </c>
      <c r="BO68" s="95" t="e">
        <f>IF(AB68=VLOOKUP($A68,Feature_List!$A$2:$AO$101,MATCH(BO$1,Feature_List!$A$1:$AO$1,0),FALSE),"OK","BAD")</f>
        <v>#N/A</v>
      </c>
      <c r="BP68" s="95" t="e">
        <f>IF(AC68=VLOOKUP($A68,Feature_List!$A$2:$AO$101,MATCH(BP$1,Feature_List!$A$1:$AO$1,0),FALSE),"OK","BAD")</f>
        <v>#N/A</v>
      </c>
      <c r="BQ68" s="95" t="e">
        <f>IF(AD68=VLOOKUP($A68,Feature_List!$A$2:$AO$101,MATCH(BQ$1,Feature_List!$A$1:$AO$1,0),FALSE),"OK","BAD")</f>
        <v>#N/A</v>
      </c>
      <c r="BR68" s="95" t="e">
        <f>IF(AE68=VLOOKUP($A68,Feature_List!$A$2:$AO$101,MATCH(BR$1,Feature_List!$A$1:$AO$1,0),FALSE),"OK","BAD")</f>
        <v>#N/A</v>
      </c>
      <c r="BS68" s="95" t="e">
        <f>IF(AF68=VLOOKUP($A68,Feature_List!$A$2:$AO$101,MATCH(BS$1,Feature_List!$A$1:$AO$1,0),FALSE),"OK","BAD")</f>
        <v>#N/A</v>
      </c>
      <c r="BT68" s="95" t="e">
        <f>IF(AG68=VLOOKUP($A68,Feature_List!$A$2:$AO$101,MATCH(BT$1,Feature_List!$A$1:$AO$1,0),FALSE),"OK","BAD")</f>
        <v>#N/A</v>
      </c>
      <c r="BU68" s="95" t="e">
        <f>IF(AH68=VLOOKUP($A68,Feature_List!$A$2:$AO$101,MATCH(BU$1,Feature_List!$A$1:$AO$1,0),FALSE),"OK","BAD")</f>
        <v>#N/A</v>
      </c>
      <c r="BV68" s="95" t="e">
        <f>IF(AI68=VLOOKUP($A68,Feature_List!$A$2:$AO$101,MATCH(BV$1,Feature_List!$A$1:$AO$1,0),FALSE),"OK","BAD")</f>
        <v>#N/A</v>
      </c>
      <c r="BW68" s="95" t="e">
        <f>IF(AJ68=VLOOKUP($A68,Feature_List!$A$2:$AO$101,MATCH(BW$1,Feature_List!$A$1:$AO$1,0),FALSE),"OK","BAD")</f>
        <v>#N/A</v>
      </c>
      <c r="BX68" s="95" t="e">
        <f>IF(AK68=VLOOKUP($A68,Feature_List!$A$2:$AO$101,MATCH(BX$1,Feature_List!$A$1:$AO$1,0),FALSE),"OK","BAD")</f>
        <v>#N/A</v>
      </c>
      <c r="BY68" s="95" t="e">
        <f>IF(AL68=VLOOKUP($A68,Feature_List!$A$2:$AO$101,MATCH(BY$1,Feature_List!$A$1:$AO$1,0),FALSE),"OK","BAD")</f>
        <v>#N/A</v>
      </c>
      <c r="BZ68" s="95" t="e">
        <f>IF(AM68=VLOOKUP($A68,Feature_List!$A$2:$AO$101,MATCH(BZ$1,Feature_List!$A$1:$AO$1,0),FALSE),"OK","BAD")</f>
        <v>#N/A</v>
      </c>
      <c r="CA68" s="95" t="e">
        <f>IF(AN68=VLOOKUP($A68,Feature_List!$A$2:$AO$101,MATCH(CA$1,Feature_List!$A$1:$AO$1,0),FALSE),"OK","BAD")</f>
        <v>#N/A</v>
      </c>
    </row>
    <row r="69" spans="1:79" ht="14.4" customHeight="1" x14ac:dyDescent="0.3">
      <c r="A69" s="70">
        <v>355229</v>
      </c>
      <c r="B69" s="65" t="s">
        <v>1174</v>
      </c>
      <c r="C69" s="98" t="s">
        <v>1145</v>
      </c>
      <c r="D69" s="65" t="s">
        <v>106</v>
      </c>
      <c r="E69" s="64">
        <v>26</v>
      </c>
      <c r="F69" s="64" t="s">
        <v>879</v>
      </c>
      <c r="G69" s="64" t="s">
        <v>967</v>
      </c>
      <c r="H69" s="64" t="s">
        <v>601</v>
      </c>
      <c r="I69" s="99" t="s">
        <v>38</v>
      </c>
      <c r="J69" s="64" t="s">
        <v>1412</v>
      </c>
      <c r="K69" s="64">
        <v>330151</v>
      </c>
      <c r="L69" s="62" t="s">
        <v>949</v>
      </c>
      <c r="M69" s="67" t="s">
        <v>42</v>
      </c>
      <c r="N69" s="67" t="s">
        <v>36</v>
      </c>
      <c r="O69" s="67">
        <v>0</v>
      </c>
      <c r="P69" s="66" t="s">
        <v>137</v>
      </c>
      <c r="Q69" s="63">
        <v>1</v>
      </c>
      <c r="R69" s="63">
        <v>7</v>
      </c>
      <c r="S69" s="63">
        <v>0</v>
      </c>
      <c r="T69" s="63">
        <v>0</v>
      </c>
      <c r="U69" s="63">
        <v>0</v>
      </c>
      <c r="V69" s="63">
        <v>19</v>
      </c>
      <c r="W69" s="63">
        <v>0</v>
      </c>
      <c r="X69" s="63">
        <v>0</v>
      </c>
      <c r="Y69" s="63">
        <v>0</v>
      </c>
      <c r="Z69" s="63">
        <v>0</v>
      </c>
      <c r="AA69" s="63">
        <v>0</v>
      </c>
      <c r="AB69" s="63">
        <v>0</v>
      </c>
      <c r="AC69" s="63">
        <v>0</v>
      </c>
      <c r="AD69" s="63">
        <v>0</v>
      </c>
      <c r="AE69" s="63">
        <v>0</v>
      </c>
      <c r="AF69" s="63">
        <v>0</v>
      </c>
      <c r="AG69" s="63">
        <v>0</v>
      </c>
      <c r="AH69" s="63">
        <v>0</v>
      </c>
      <c r="AI69" s="63">
        <v>0</v>
      </c>
      <c r="AJ69" s="63">
        <v>19</v>
      </c>
      <c r="AK69" s="63">
        <v>0</v>
      </c>
      <c r="AL69" s="63" t="s">
        <v>35</v>
      </c>
      <c r="AM69" s="63" t="s">
        <v>854</v>
      </c>
      <c r="AN69" s="220" t="s">
        <v>33</v>
      </c>
      <c r="AO69" s="224"/>
      <c r="AP69" s="95" t="e">
        <f>IF(C69=VLOOKUP($A69,Feature_List!$A$2:$AO$101,MATCH(AP$1,Feature_List!$A$1:$AO$1,0),FALSE),"OK","BAD")</f>
        <v>#N/A</v>
      </c>
      <c r="AQ69" s="95" t="e">
        <f>IF(D69=VLOOKUP($A69,Feature_List!$A$2:$AO$101,MATCH(AQ$1,Feature_List!$A$1:$AO$1,0),FALSE),"OK","BAD")</f>
        <v>#N/A</v>
      </c>
      <c r="AR69" s="95" t="e">
        <f>IF(E69=VLOOKUP($A69,Feature_List!$A$2:$AO$101,MATCH(AR$1,Feature_List!$A$1:$AO$1,0),FALSE),"OK","BAD")</f>
        <v>#N/A</v>
      </c>
      <c r="AS69" s="95" t="e">
        <f>IF(F69=VLOOKUP($A69,Feature_List!$A$2:$AO$101,MATCH(AS$1,Feature_List!$A$1:$AO$1,0),FALSE),"OK","BAD")</f>
        <v>#N/A</v>
      </c>
      <c r="AT69" s="95" t="s">
        <v>985</v>
      </c>
      <c r="AU69" s="95" t="s">
        <v>985</v>
      </c>
      <c r="AV69" s="95" t="e">
        <f>IF(I69=VLOOKUP($A69,Feature_List!$A$2:$AO$101,MATCH(AV$1,Feature_List!$A$1:$AO$1,0),FALSE),"OK","BAD")</f>
        <v>#N/A</v>
      </c>
      <c r="AW69" s="95" t="e">
        <f>IF(J69=VLOOKUP($A69,Feature_List!$A$2:$AO$101,MATCH(AW$1,Feature_List!$A$1:$AO$1,0),FALSE),"OK","BAD")</f>
        <v>#N/A</v>
      </c>
      <c r="AX69" s="95" t="e">
        <f>IF(K69=VLOOKUP($A69,Feature_List!$A$2:$AO$101,MATCH(AX$1,Feature_List!$A$1:$AO$1,0),FALSE),"OK","BAD")</f>
        <v>#N/A</v>
      </c>
      <c r="AY69" s="95" t="e">
        <f>IF(L69=VLOOKUP($A69,Feature_List!$A$2:$AO$101,MATCH(AY$1,Feature_List!$A$1:$AO$1,0),FALSE),"OK","BAD")</f>
        <v>#N/A</v>
      </c>
      <c r="AZ69" s="95" t="e">
        <f>IF(M69=VLOOKUP($A69,Feature_List!$A$2:$AO$101,MATCH(AZ$1,Feature_List!$A$1:$AO$1,0),FALSE),"OK","BAD")</f>
        <v>#N/A</v>
      </c>
      <c r="BA69" s="95" t="e">
        <f>IF(N69=VLOOKUP($A69,Feature_List!$A$2:$AO$101,MATCH(BA$1,Feature_List!$A$1:$AO$1,0),FALSE),"OK","BAD")</f>
        <v>#N/A</v>
      </c>
      <c r="BB69" s="95" t="e">
        <f>IF(O69=VLOOKUP($A69,Feature_List!$A$2:$AO$101,MATCH(BB$1,Feature_List!$A$1:$AO$1,0),FALSE),"OK","BAD")</f>
        <v>#N/A</v>
      </c>
      <c r="BC69" s="95" t="e">
        <f>IF(P69=VLOOKUP($A69,Feature_List!$A$2:$AO$101,MATCH(BC$1,Feature_List!$A$1:$AO$1,0),FALSE),"OK","BAD")</f>
        <v>#N/A</v>
      </c>
      <c r="BD69" s="95" t="e">
        <f>IF(Q69=VLOOKUP($A69,Feature_List!$A$2:$AO$101,MATCH(BD$1,Feature_List!$A$1:$AO$1,0),FALSE),"OK","BAD")</f>
        <v>#N/A</v>
      </c>
      <c r="BE69" s="95" t="e">
        <f>IF(R69=VLOOKUP($A69,Feature_List!$A$2:$AO$101,MATCH(BE$1,Feature_List!$A$1:$AO$1,0),FALSE),"OK","BAD")</f>
        <v>#N/A</v>
      </c>
      <c r="BF69" s="95" t="e">
        <f>IF(S69=VLOOKUP($A69,Feature_List!$A$2:$AO$101,MATCH(BF$1,Feature_List!$A$1:$AO$1,0),FALSE),"OK","BAD")</f>
        <v>#N/A</v>
      </c>
      <c r="BG69" s="95" t="e">
        <f>IF(T69=VLOOKUP($A69,Feature_List!$A$2:$AO$101,MATCH(BG$1,Feature_List!$A$1:$AO$1,0),FALSE),"OK","BAD")</f>
        <v>#N/A</v>
      </c>
      <c r="BH69" s="95" t="e">
        <f>IF(U69=VLOOKUP($A69,Feature_List!$A$2:$AO$101,MATCH(BH$1,Feature_List!$A$1:$AO$1,0),FALSE),"OK","BAD")</f>
        <v>#N/A</v>
      </c>
      <c r="BI69" s="95" t="e">
        <f>IF(V69=VLOOKUP($A69,Feature_List!$A$2:$AO$101,MATCH(BI$1,Feature_List!$A$1:$AO$1,0),FALSE),"OK","BAD")</f>
        <v>#N/A</v>
      </c>
      <c r="BJ69" s="95" t="e">
        <f>IF(W69=VLOOKUP($A69,Feature_List!$A$2:$AO$101,MATCH(BJ$1,Feature_List!$A$1:$AO$1,0),FALSE),"OK","BAD")</f>
        <v>#N/A</v>
      </c>
      <c r="BK69" s="95" t="e">
        <f>IF(X69=VLOOKUP($A69,Feature_List!$A$2:$AO$101,MATCH(BK$1,Feature_List!$A$1:$AO$1,0),FALSE),"OK","BAD")</f>
        <v>#N/A</v>
      </c>
      <c r="BL69" s="95" t="e">
        <f>IF(Y69=VLOOKUP($A69,Feature_List!$A$2:$AO$101,MATCH(BL$1,Feature_List!$A$1:$AO$1,0),FALSE),"OK","BAD")</f>
        <v>#N/A</v>
      </c>
      <c r="BM69" s="95" t="e">
        <f>IF(Z69=VLOOKUP($A69,Feature_List!$A$2:$AO$101,MATCH(BM$1,Feature_List!$A$1:$AO$1,0),FALSE),"OK","BAD")</f>
        <v>#N/A</v>
      </c>
      <c r="BN69" s="95" t="e">
        <f>IF(AA69=VLOOKUP($A69,Feature_List!$A$2:$AO$101,MATCH(BN$1,Feature_List!$A$1:$AO$1,0),FALSE),"OK","BAD")</f>
        <v>#N/A</v>
      </c>
      <c r="BO69" s="95" t="e">
        <f>IF(AB69=VLOOKUP($A69,Feature_List!$A$2:$AO$101,MATCH(BO$1,Feature_List!$A$1:$AO$1,0),FALSE),"OK","BAD")</f>
        <v>#N/A</v>
      </c>
      <c r="BP69" s="95" t="e">
        <f>IF(AC69=VLOOKUP($A69,Feature_List!$A$2:$AO$101,MATCH(BP$1,Feature_List!$A$1:$AO$1,0),FALSE),"OK","BAD")</f>
        <v>#N/A</v>
      </c>
      <c r="BQ69" s="95" t="e">
        <f>IF(AD69=VLOOKUP($A69,Feature_List!$A$2:$AO$101,MATCH(BQ$1,Feature_List!$A$1:$AO$1,0),FALSE),"OK","BAD")</f>
        <v>#N/A</v>
      </c>
      <c r="BR69" s="95" t="e">
        <f>IF(AE69=VLOOKUP($A69,Feature_List!$A$2:$AO$101,MATCH(BR$1,Feature_List!$A$1:$AO$1,0),FALSE),"OK","BAD")</f>
        <v>#N/A</v>
      </c>
      <c r="BS69" s="95" t="e">
        <f>IF(AF69=VLOOKUP($A69,Feature_List!$A$2:$AO$101,MATCH(BS$1,Feature_List!$A$1:$AO$1,0),FALSE),"OK","BAD")</f>
        <v>#N/A</v>
      </c>
      <c r="BT69" s="95" t="e">
        <f>IF(AG69=VLOOKUP($A69,Feature_List!$A$2:$AO$101,MATCH(BT$1,Feature_List!$A$1:$AO$1,0),FALSE),"OK","BAD")</f>
        <v>#N/A</v>
      </c>
      <c r="BU69" s="95" t="e">
        <f>IF(AH69=VLOOKUP($A69,Feature_List!$A$2:$AO$101,MATCH(BU$1,Feature_List!$A$1:$AO$1,0),FALSE),"OK","BAD")</f>
        <v>#N/A</v>
      </c>
      <c r="BV69" s="95" t="e">
        <f>IF(AI69=VLOOKUP($A69,Feature_List!$A$2:$AO$101,MATCH(BV$1,Feature_List!$A$1:$AO$1,0),FALSE),"OK","BAD")</f>
        <v>#N/A</v>
      </c>
      <c r="BW69" s="95" t="e">
        <f>IF(AJ69=VLOOKUP($A69,Feature_List!$A$2:$AO$101,MATCH(BW$1,Feature_List!$A$1:$AO$1,0),FALSE),"OK","BAD")</f>
        <v>#N/A</v>
      </c>
      <c r="BX69" s="95" t="e">
        <f>IF(AK69=VLOOKUP($A69,Feature_List!$A$2:$AO$101,MATCH(BX$1,Feature_List!$A$1:$AO$1,0),FALSE),"OK","BAD")</f>
        <v>#N/A</v>
      </c>
      <c r="BY69" s="95" t="e">
        <f>IF(AL69=VLOOKUP($A69,Feature_List!$A$2:$AO$101,MATCH(BY$1,Feature_List!$A$1:$AO$1,0),FALSE),"OK","BAD")</f>
        <v>#N/A</v>
      </c>
      <c r="BZ69" s="95" t="e">
        <f>IF(AM69=VLOOKUP($A69,Feature_List!$A$2:$AO$101,MATCH(BZ$1,Feature_List!$A$1:$AO$1,0),FALSE),"OK","BAD")</f>
        <v>#N/A</v>
      </c>
      <c r="CA69" s="95" t="e">
        <f>IF(AN69=VLOOKUP($A69,Feature_List!$A$2:$AO$101,MATCH(CA$1,Feature_List!$A$1:$AO$1,0),FALSE),"OK","BAD")</f>
        <v>#N/A</v>
      </c>
    </row>
    <row r="70" spans="1:79" ht="14.4" customHeight="1" x14ac:dyDescent="0.3">
      <c r="A70" s="70">
        <v>355228</v>
      </c>
      <c r="B70" s="65" t="s">
        <v>747</v>
      </c>
      <c r="C70" s="98" t="s">
        <v>1145</v>
      </c>
      <c r="D70" s="65" t="s">
        <v>106</v>
      </c>
      <c r="E70" s="64">
        <v>45</v>
      </c>
      <c r="F70" s="64" t="s">
        <v>879</v>
      </c>
      <c r="G70" s="64" t="s">
        <v>966</v>
      </c>
      <c r="H70" s="64" t="s">
        <v>583</v>
      </c>
      <c r="I70" s="99" t="s">
        <v>38</v>
      </c>
      <c r="J70" s="64" t="s">
        <v>1412</v>
      </c>
      <c r="K70" s="64">
        <v>330151</v>
      </c>
      <c r="L70" s="62" t="s">
        <v>951</v>
      </c>
      <c r="M70" s="67" t="s">
        <v>42</v>
      </c>
      <c r="N70" s="67" t="s">
        <v>36</v>
      </c>
      <c r="O70" s="67">
        <v>0</v>
      </c>
      <c r="P70" s="66" t="s">
        <v>137</v>
      </c>
      <c r="Q70" s="63">
        <v>1</v>
      </c>
      <c r="R70" s="63">
        <v>11</v>
      </c>
      <c r="S70" s="63">
        <v>34</v>
      </c>
      <c r="T70" s="63">
        <v>0</v>
      </c>
      <c r="U70" s="63">
        <v>0</v>
      </c>
      <c r="V70" s="63">
        <v>0</v>
      </c>
      <c r="W70" s="63">
        <v>0</v>
      </c>
      <c r="X70" s="63">
        <v>0</v>
      </c>
      <c r="Y70" s="63">
        <v>0</v>
      </c>
      <c r="Z70" s="63">
        <v>0</v>
      </c>
      <c r="AA70" s="63">
        <v>0</v>
      </c>
      <c r="AB70" s="63">
        <v>0</v>
      </c>
      <c r="AC70" s="63">
        <v>0</v>
      </c>
      <c r="AD70" s="63">
        <v>0</v>
      </c>
      <c r="AE70" s="63">
        <v>0</v>
      </c>
      <c r="AF70" s="63">
        <v>0</v>
      </c>
      <c r="AG70" s="63">
        <v>0</v>
      </c>
      <c r="AH70" s="63">
        <v>0</v>
      </c>
      <c r="AI70" s="63">
        <v>0</v>
      </c>
      <c r="AJ70" s="63">
        <v>34</v>
      </c>
      <c r="AK70" s="63">
        <v>0</v>
      </c>
      <c r="AL70" s="63" t="s">
        <v>35</v>
      </c>
      <c r="AM70" s="63" t="s">
        <v>854</v>
      </c>
      <c r="AN70" s="220" t="s">
        <v>33</v>
      </c>
      <c r="AO70" s="224"/>
      <c r="AP70" s="95" t="e">
        <f>IF(C70=VLOOKUP($A70,Feature_List!$A$2:$AO$101,MATCH(AP$1,Feature_List!$A$1:$AO$1,0),FALSE),"OK","BAD")</f>
        <v>#N/A</v>
      </c>
      <c r="AQ70" s="95" t="e">
        <f>IF(D70=VLOOKUP($A70,Feature_List!$A$2:$AO$101,MATCH(AQ$1,Feature_List!$A$1:$AO$1,0),FALSE),"OK","BAD")</f>
        <v>#N/A</v>
      </c>
      <c r="AR70" s="95" t="e">
        <f>IF(E70=VLOOKUP($A70,Feature_List!$A$2:$AO$101,MATCH(AR$1,Feature_List!$A$1:$AO$1,0),FALSE),"OK","BAD")</f>
        <v>#N/A</v>
      </c>
      <c r="AS70" s="95" t="e">
        <f>IF(F70=VLOOKUP($A70,Feature_List!$A$2:$AO$101,MATCH(AS$1,Feature_List!$A$1:$AO$1,0),FALSE),"OK","BAD")</f>
        <v>#N/A</v>
      </c>
      <c r="AT70" s="95" t="s">
        <v>985</v>
      </c>
      <c r="AU70" s="95" t="s">
        <v>985</v>
      </c>
      <c r="AV70" s="95" t="e">
        <f>IF(I70=VLOOKUP($A70,Feature_List!$A$2:$AO$101,MATCH(AV$1,Feature_List!$A$1:$AO$1,0),FALSE),"OK","BAD")</f>
        <v>#N/A</v>
      </c>
      <c r="AW70" s="95" t="e">
        <f>IF(J70=VLOOKUP($A70,Feature_List!$A$2:$AO$101,MATCH(AW$1,Feature_List!$A$1:$AO$1,0),FALSE),"OK","BAD")</f>
        <v>#N/A</v>
      </c>
      <c r="AX70" s="95" t="e">
        <f>IF(K70=VLOOKUP($A70,Feature_List!$A$2:$AO$101,MATCH(AX$1,Feature_List!$A$1:$AO$1,0),FALSE),"OK","BAD")</f>
        <v>#N/A</v>
      </c>
      <c r="AY70" s="95" t="e">
        <f>IF(L70=VLOOKUP($A70,Feature_List!$A$2:$AO$101,MATCH(AY$1,Feature_List!$A$1:$AO$1,0),FALSE),"OK","BAD")</f>
        <v>#N/A</v>
      </c>
      <c r="AZ70" s="95" t="e">
        <f>IF(M70=VLOOKUP($A70,Feature_List!$A$2:$AO$101,MATCH(AZ$1,Feature_List!$A$1:$AO$1,0),FALSE),"OK","BAD")</f>
        <v>#N/A</v>
      </c>
      <c r="BA70" s="95" t="e">
        <f>IF(N70=VLOOKUP($A70,Feature_List!$A$2:$AO$101,MATCH(BA$1,Feature_List!$A$1:$AO$1,0),FALSE),"OK","BAD")</f>
        <v>#N/A</v>
      </c>
      <c r="BB70" s="95" t="e">
        <f>IF(O70=VLOOKUP($A70,Feature_List!$A$2:$AO$101,MATCH(BB$1,Feature_List!$A$1:$AO$1,0),FALSE),"OK","BAD")</f>
        <v>#N/A</v>
      </c>
      <c r="BC70" s="95" t="e">
        <f>IF(P70=VLOOKUP($A70,Feature_List!$A$2:$AO$101,MATCH(BC$1,Feature_List!$A$1:$AO$1,0),FALSE),"OK","BAD")</f>
        <v>#N/A</v>
      </c>
      <c r="BD70" s="95" t="e">
        <f>IF(Q70=VLOOKUP($A70,Feature_List!$A$2:$AO$101,MATCH(BD$1,Feature_List!$A$1:$AO$1,0),FALSE),"OK","BAD")</f>
        <v>#N/A</v>
      </c>
      <c r="BE70" s="95" t="e">
        <f>IF(R70=VLOOKUP($A70,Feature_List!$A$2:$AO$101,MATCH(BE$1,Feature_List!$A$1:$AO$1,0),FALSE),"OK","BAD")</f>
        <v>#N/A</v>
      </c>
      <c r="BF70" s="95" t="e">
        <f>IF(S70=VLOOKUP($A70,Feature_List!$A$2:$AO$101,MATCH(BF$1,Feature_List!$A$1:$AO$1,0),FALSE),"OK","BAD")</f>
        <v>#N/A</v>
      </c>
      <c r="BG70" s="95" t="e">
        <f>IF(T70=VLOOKUP($A70,Feature_List!$A$2:$AO$101,MATCH(BG$1,Feature_List!$A$1:$AO$1,0),FALSE),"OK","BAD")</f>
        <v>#N/A</v>
      </c>
      <c r="BH70" s="95" t="e">
        <f>IF(U70=VLOOKUP($A70,Feature_List!$A$2:$AO$101,MATCH(BH$1,Feature_List!$A$1:$AO$1,0),FALSE),"OK","BAD")</f>
        <v>#N/A</v>
      </c>
      <c r="BI70" s="95" t="e">
        <f>IF(V70=VLOOKUP($A70,Feature_List!$A$2:$AO$101,MATCH(BI$1,Feature_List!$A$1:$AO$1,0),FALSE),"OK","BAD")</f>
        <v>#N/A</v>
      </c>
      <c r="BJ70" s="95" t="e">
        <f>IF(W70=VLOOKUP($A70,Feature_List!$A$2:$AO$101,MATCH(BJ$1,Feature_List!$A$1:$AO$1,0),FALSE),"OK","BAD")</f>
        <v>#N/A</v>
      </c>
      <c r="BK70" s="95" t="e">
        <f>IF(X70=VLOOKUP($A70,Feature_List!$A$2:$AO$101,MATCH(BK$1,Feature_List!$A$1:$AO$1,0),FALSE),"OK","BAD")</f>
        <v>#N/A</v>
      </c>
      <c r="BL70" s="95" t="e">
        <f>IF(Y70=VLOOKUP($A70,Feature_List!$A$2:$AO$101,MATCH(BL$1,Feature_List!$A$1:$AO$1,0),FALSE),"OK","BAD")</f>
        <v>#N/A</v>
      </c>
      <c r="BM70" s="95" t="e">
        <f>IF(Z70=VLOOKUP($A70,Feature_List!$A$2:$AO$101,MATCH(BM$1,Feature_List!$A$1:$AO$1,0),FALSE),"OK","BAD")</f>
        <v>#N/A</v>
      </c>
      <c r="BN70" s="95" t="e">
        <f>IF(AA70=VLOOKUP($A70,Feature_List!$A$2:$AO$101,MATCH(BN$1,Feature_List!$A$1:$AO$1,0),FALSE),"OK","BAD")</f>
        <v>#N/A</v>
      </c>
      <c r="BO70" s="95" t="e">
        <f>IF(AB70=VLOOKUP($A70,Feature_List!$A$2:$AO$101,MATCH(BO$1,Feature_List!$A$1:$AO$1,0),FALSE),"OK","BAD")</f>
        <v>#N/A</v>
      </c>
      <c r="BP70" s="95" t="e">
        <f>IF(AC70=VLOOKUP($A70,Feature_List!$A$2:$AO$101,MATCH(BP$1,Feature_List!$A$1:$AO$1,0),FALSE),"OK","BAD")</f>
        <v>#N/A</v>
      </c>
      <c r="BQ70" s="95" t="e">
        <f>IF(AD70=VLOOKUP($A70,Feature_List!$A$2:$AO$101,MATCH(BQ$1,Feature_List!$A$1:$AO$1,0),FALSE),"OK","BAD")</f>
        <v>#N/A</v>
      </c>
      <c r="BR70" s="95" t="e">
        <f>IF(AE70=VLOOKUP($A70,Feature_List!$A$2:$AO$101,MATCH(BR$1,Feature_List!$A$1:$AO$1,0),FALSE),"OK","BAD")</f>
        <v>#N/A</v>
      </c>
      <c r="BS70" s="95" t="e">
        <f>IF(AF70=VLOOKUP($A70,Feature_List!$A$2:$AO$101,MATCH(BS$1,Feature_List!$A$1:$AO$1,0),FALSE),"OK","BAD")</f>
        <v>#N/A</v>
      </c>
      <c r="BT70" s="95" t="e">
        <f>IF(AG70=VLOOKUP($A70,Feature_List!$A$2:$AO$101,MATCH(BT$1,Feature_List!$A$1:$AO$1,0),FALSE),"OK","BAD")</f>
        <v>#N/A</v>
      </c>
      <c r="BU70" s="95" t="e">
        <f>IF(AH70=VLOOKUP($A70,Feature_List!$A$2:$AO$101,MATCH(BU$1,Feature_List!$A$1:$AO$1,0),FALSE),"OK","BAD")</f>
        <v>#N/A</v>
      </c>
      <c r="BV70" s="95" t="e">
        <f>IF(AI70=VLOOKUP($A70,Feature_List!$A$2:$AO$101,MATCH(BV$1,Feature_List!$A$1:$AO$1,0),FALSE),"OK","BAD")</f>
        <v>#N/A</v>
      </c>
      <c r="BW70" s="95" t="e">
        <f>IF(AJ70=VLOOKUP($A70,Feature_List!$A$2:$AO$101,MATCH(BW$1,Feature_List!$A$1:$AO$1,0),FALSE),"OK","BAD")</f>
        <v>#N/A</v>
      </c>
      <c r="BX70" s="95" t="e">
        <f>IF(AK70=VLOOKUP($A70,Feature_List!$A$2:$AO$101,MATCH(BX$1,Feature_List!$A$1:$AO$1,0),FALSE),"OK","BAD")</f>
        <v>#N/A</v>
      </c>
      <c r="BY70" s="95" t="e">
        <f>IF(AL70=VLOOKUP($A70,Feature_List!$A$2:$AO$101,MATCH(BY$1,Feature_List!$A$1:$AO$1,0),FALSE),"OK","BAD")</f>
        <v>#N/A</v>
      </c>
      <c r="BZ70" s="95" t="e">
        <f>IF(AM70=VLOOKUP($A70,Feature_List!$A$2:$AO$101,MATCH(BZ$1,Feature_List!$A$1:$AO$1,0),FALSE),"OK","BAD")</f>
        <v>#N/A</v>
      </c>
      <c r="CA70" s="95" t="e">
        <f>IF(AN70=VLOOKUP($A70,Feature_List!$A$2:$AO$101,MATCH(CA$1,Feature_List!$A$1:$AO$1,0),FALSE),"OK","BAD")</f>
        <v>#N/A</v>
      </c>
    </row>
    <row r="71" spans="1:79" ht="14.4" customHeight="1" x14ac:dyDescent="0.3">
      <c r="A71" s="70">
        <v>354871</v>
      </c>
      <c r="B71" s="65" t="s">
        <v>647</v>
      </c>
      <c r="C71" s="98" t="s">
        <v>972</v>
      </c>
      <c r="D71" s="65" t="s">
        <v>106</v>
      </c>
      <c r="E71" s="64">
        <v>177</v>
      </c>
      <c r="F71" s="64" t="s">
        <v>880</v>
      </c>
      <c r="G71" s="64" t="s">
        <v>959</v>
      </c>
      <c r="H71" s="64" t="s">
        <v>549</v>
      </c>
      <c r="I71" s="99" t="s">
        <v>939</v>
      </c>
      <c r="J71" s="64" t="s">
        <v>1412</v>
      </c>
      <c r="K71" s="64">
        <v>241501</v>
      </c>
      <c r="L71" s="62" t="s">
        <v>17</v>
      </c>
      <c r="M71" s="67" t="s">
        <v>37</v>
      </c>
      <c r="N71" s="67" t="s">
        <v>39</v>
      </c>
      <c r="O71" s="67">
        <v>3</v>
      </c>
      <c r="P71" s="66" t="s">
        <v>131</v>
      </c>
      <c r="Q71" s="63">
        <v>2</v>
      </c>
      <c r="R71" s="63">
        <v>114</v>
      </c>
      <c r="S71" s="63">
        <v>0</v>
      </c>
      <c r="T71" s="63">
        <v>0</v>
      </c>
      <c r="U71" s="63">
        <v>1</v>
      </c>
      <c r="V71" s="63">
        <v>0</v>
      </c>
      <c r="W71" s="63">
        <v>0</v>
      </c>
      <c r="X71" s="63">
        <v>0</v>
      </c>
      <c r="Y71" s="63">
        <v>0</v>
      </c>
      <c r="Z71" s="63">
        <v>0</v>
      </c>
      <c r="AA71" s="63">
        <v>0</v>
      </c>
      <c r="AB71" s="63">
        <v>0</v>
      </c>
      <c r="AC71" s="63">
        <v>0</v>
      </c>
      <c r="AD71" s="63">
        <v>17</v>
      </c>
      <c r="AE71" s="63">
        <v>0</v>
      </c>
      <c r="AF71" s="63">
        <v>0</v>
      </c>
      <c r="AG71" s="63">
        <v>0</v>
      </c>
      <c r="AH71" s="63">
        <v>0</v>
      </c>
      <c r="AI71" s="63">
        <v>0</v>
      </c>
      <c r="AJ71" s="63">
        <v>18</v>
      </c>
      <c r="AK71" s="63">
        <v>45</v>
      </c>
      <c r="AL71" s="63" t="s">
        <v>35</v>
      </c>
      <c r="AM71" s="63" t="s">
        <v>854</v>
      </c>
      <c r="AN71" s="220" t="s">
        <v>33</v>
      </c>
      <c r="AO71" s="224"/>
      <c r="AP71" s="95" t="str">
        <f>IF(C71=VLOOKUP($A71,Feature_List!$A$2:$AO$101,MATCH(AP$1,Feature_List!$A$1:$AO$1,0),FALSE),"OK","BAD")</f>
        <v>BAD</v>
      </c>
      <c r="AQ71" s="95" t="str">
        <f>IF(D71=VLOOKUP($A71,Feature_List!$A$2:$AO$101,MATCH(AQ$1,Feature_List!$A$1:$AO$1,0),FALSE),"OK","BAD")</f>
        <v>OK</v>
      </c>
      <c r="AR71" s="95" t="str">
        <f>IF(E71=VLOOKUP($A71,Feature_List!$A$2:$AO$101,MATCH(AR$1,Feature_List!$A$1:$AO$1,0),FALSE),"OK","BAD")</f>
        <v>BAD</v>
      </c>
      <c r="AS71" s="95" t="str">
        <f>IF(F71=VLOOKUP($A71,Feature_List!$A$2:$AO$101,MATCH(AS$1,Feature_List!$A$1:$AO$1,0),FALSE),"OK","BAD")</f>
        <v>OK</v>
      </c>
      <c r="AT71" s="95" t="s">
        <v>985</v>
      </c>
      <c r="AU71" s="95" t="s">
        <v>985</v>
      </c>
      <c r="AV71" s="95" t="str">
        <f>IF(I71=VLOOKUP($A71,Feature_List!$A$2:$AO$101,MATCH(AV$1,Feature_List!$A$1:$AO$1,0),FALSE),"OK","BAD")</f>
        <v>BAD</v>
      </c>
      <c r="AW71" s="95" t="str">
        <f>IF(J71=VLOOKUP($A71,Feature_List!$A$2:$AO$101,MATCH(AW$1,Feature_List!$A$1:$AO$1,0),FALSE),"OK","BAD")</f>
        <v>OK</v>
      </c>
      <c r="AX71" s="95" t="str">
        <f>IF(K71=VLOOKUP($A71,Feature_List!$A$2:$AO$101,MATCH(AX$1,Feature_List!$A$1:$AO$1,0),FALSE),"OK","BAD")</f>
        <v>OK</v>
      </c>
      <c r="AY71" s="95" t="str">
        <f>IF(L71=VLOOKUP($A71,Feature_List!$A$2:$AO$101,MATCH(AY$1,Feature_List!$A$1:$AO$1,0),FALSE),"OK","BAD")</f>
        <v>OK</v>
      </c>
      <c r="AZ71" s="95" t="str">
        <f>IF(M71=VLOOKUP($A71,Feature_List!$A$2:$AO$101,MATCH(AZ$1,Feature_List!$A$1:$AO$1,0),FALSE),"OK","BAD")</f>
        <v>OK</v>
      </c>
      <c r="BA71" s="95" t="str">
        <f>IF(N71=VLOOKUP($A71,Feature_List!$A$2:$AO$101,MATCH(BA$1,Feature_List!$A$1:$AO$1,0),FALSE),"OK","BAD")</f>
        <v>OK</v>
      </c>
      <c r="BB71" s="95" t="str">
        <f>IF(O71=VLOOKUP($A71,Feature_List!$A$2:$AO$101,MATCH(BB$1,Feature_List!$A$1:$AO$1,0),FALSE),"OK","BAD")</f>
        <v>OK</v>
      </c>
      <c r="BC71" s="95" t="e">
        <f>IF(P71=VLOOKUP($A71,Feature_List!$A$2:$AO$101,MATCH(BC$1,Feature_List!$A$1:$AO$1,0),FALSE),"OK","BAD")</f>
        <v>#N/A</v>
      </c>
      <c r="BD71" s="95" t="str">
        <f>IF(Q71=VLOOKUP($A71,Feature_List!$A$2:$AO$101,MATCH(BD$1,Feature_List!$A$1:$AO$1,0),FALSE),"OK","BAD")</f>
        <v>BAD</v>
      </c>
      <c r="BE71" s="95" t="str">
        <f>IF(R71=VLOOKUP($A71,Feature_List!$A$2:$AO$101,MATCH(BE$1,Feature_List!$A$1:$AO$1,0),FALSE),"OK","BAD")</f>
        <v>BAD</v>
      </c>
      <c r="BF71" s="95" t="str">
        <f>IF(S71=VLOOKUP($A71,Feature_List!$A$2:$AO$101,MATCH(BF$1,Feature_List!$A$1:$AO$1,0),FALSE),"OK","BAD")</f>
        <v>OK</v>
      </c>
      <c r="BG71" s="95" t="str">
        <f>IF(T71=VLOOKUP($A71,Feature_List!$A$2:$AO$101,MATCH(BG$1,Feature_List!$A$1:$AO$1,0),FALSE),"OK","BAD")</f>
        <v>OK</v>
      </c>
      <c r="BH71" s="95" t="str">
        <f>IF(U71=VLOOKUP($A71,Feature_List!$A$2:$AO$101,MATCH(BH$1,Feature_List!$A$1:$AO$1,0),FALSE),"OK","BAD")</f>
        <v>BAD</v>
      </c>
      <c r="BI71" s="95" t="str">
        <f>IF(V71=VLOOKUP($A71,Feature_List!$A$2:$AO$101,MATCH(BI$1,Feature_List!$A$1:$AO$1,0),FALSE),"OK","BAD")</f>
        <v>OK</v>
      </c>
      <c r="BJ71" s="95" t="e">
        <f>IF(W71=VLOOKUP($A71,Feature_List!$A$2:$AO$101,MATCH(BJ$1,Feature_List!$A$1:$AO$1,0),FALSE),"OK","BAD")</f>
        <v>#N/A</v>
      </c>
      <c r="BK71" s="95" t="str">
        <f>IF(X71=VLOOKUP($A71,Feature_List!$A$2:$AO$101,MATCH(BK$1,Feature_List!$A$1:$AO$1,0),FALSE),"OK","BAD")</f>
        <v>OK</v>
      </c>
      <c r="BL71" s="95" t="str">
        <f>IF(Y71=VLOOKUP($A71,Feature_List!$A$2:$AO$101,MATCH(BL$1,Feature_List!$A$1:$AO$1,0),FALSE),"OK","BAD")</f>
        <v>OK</v>
      </c>
      <c r="BM71" s="95" t="str">
        <f>IF(Z71=VLOOKUP($A71,Feature_List!$A$2:$AO$101,MATCH(BM$1,Feature_List!$A$1:$AO$1,0),FALSE),"OK","BAD")</f>
        <v>BAD</v>
      </c>
      <c r="BN71" s="95" t="str">
        <f>IF(AA71=VLOOKUP($A71,Feature_List!$A$2:$AO$101,MATCH(BN$1,Feature_List!$A$1:$AO$1,0),FALSE),"OK","BAD")</f>
        <v>OK</v>
      </c>
      <c r="BO71" s="95" t="str">
        <f>IF(AB71=VLOOKUP($A71,Feature_List!$A$2:$AO$101,MATCH(BO$1,Feature_List!$A$1:$AO$1,0),FALSE),"OK","BAD")</f>
        <v>OK</v>
      </c>
      <c r="BP71" s="95" t="str">
        <f>IF(AC71=VLOOKUP($A71,Feature_List!$A$2:$AO$101,MATCH(BP$1,Feature_List!$A$1:$AO$1,0),FALSE),"OK","BAD")</f>
        <v>OK</v>
      </c>
      <c r="BQ71" s="95" t="str">
        <f>IF(AD71=VLOOKUP($A71,Feature_List!$A$2:$AO$101,MATCH(BQ$1,Feature_List!$A$1:$AO$1,0),FALSE),"OK","BAD")</f>
        <v>BAD</v>
      </c>
      <c r="BR71" s="95" t="str">
        <f>IF(AE71=VLOOKUP($A71,Feature_List!$A$2:$AO$101,MATCH(BR$1,Feature_List!$A$1:$AO$1,0),FALSE),"OK","BAD")</f>
        <v>OK</v>
      </c>
      <c r="BS71" s="95" t="str">
        <f>IF(AF71=VLOOKUP($A71,Feature_List!$A$2:$AO$101,MATCH(BS$1,Feature_List!$A$1:$AO$1,0),FALSE),"OK","BAD")</f>
        <v>OK</v>
      </c>
      <c r="BT71" s="95" t="str">
        <f>IF(AG71=VLOOKUP($A71,Feature_List!$A$2:$AO$101,MATCH(BT$1,Feature_List!$A$1:$AO$1,0),FALSE),"OK","BAD")</f>
        <v>OK</v>
      </c>
      <c r="BU71" s="95" t="str">
        <f>IF(AH71=VLOOKUP($A71,Feature_List!$A$2:$AO$101,MATCH(BU$1,Feature_List!$A$1:$AO$1,0),FALSE),"OK","BAD")</f>
        <v>OK</v>
      </c>
      <c r="BV71" s="95" t="e">
        <f>IF(AI71=VLOOKUP($A71,Feature_List!$A$2:$AO$101,MATCH(BV$1,Feature_List!$A$1:$AO$1,0),FALSE),"OK","BAD")</f>
        <v>#N/A</v>
      </c>
      <c r="BW71" s="95" t="e">
        <f>IF(AJ71=VLOOKUP($A71,Feature_List!$A$2:$AO$101,MATCH(BW$1,Feature_List!$A$1:$AO$1,0),FALSE),"OK","BAD")</f>
        <v>#N/A</v>
      </c>
      <c r="BX71" s="95" t="e">
        <f>IF(AK71=VLOOKUP($A71,Feature_List!$A$2:$AO$101,MATCH(BX$1,Feature_List!$A$1:$AO$1,0),FALSE),"OK","BAD")</f>
        <v>#N/A</v>
      </c>
      <c r="BY71" s="95" t="str">
        <f>IF(AL71=VLOOKUP($A71,Feature_List!$A$2:$AO$101,MATCH(BY$1,Feature_List!$A$1:$AO$1,0),FALSE),"OK","BAD")</f>
        <v>OK</v>
      </c>
      <c r="BZ71" s="95" t="str">
        <f>IF(AM71=VLOOKUP($A71,Feature_List!$A$2:$AO$101,MATCH(BZ$1,Feature_List!$A$1:$AO$1,0),FALSE),"OK","BAD")</f>
        <v>OK</v>
      </c>
      <c r="CA71" s="95" t="str">
        <f>IF(AN71=VLOOKUP($A71,Feature_List!$A$2:$AO$101,MATCH(CA$1,Feature_List!$A$1:$AO$1,0),FALSE),"OK","BAD")</f>
        <v>OK</v>
      </c>
    </row>
    <row r="72" spans="1:79" ht="14.4" customHeight="1" x14ac:dyDescent="0.3">
      <c r="A72" s="70">
        <v>354680</v>
      </c>
      <c r="B72" s="65" t="s">
        <v>856</v>
      </c>
      <c r="C72" s="98" t="s">
        <v>1145</v>
      </c>
      <c r="D72" s="65" t="s">
        <v>106</v>
      </c>
      <c r="E72" s="64">
        <v>155</v>
      </c>
      <c r="F72" s="64" t="s">
        <v>880</v>
      </c>
      <c r="G72" s="64" t="s">
        <v>1417</v>
      </c>
      <c r="H72" s="64" t="s">
        <v>577</v>
      </c>
      <c r="I72" s="99" t="s">
        <v>939</v>
      </c>
      <c r="J72" s="64" t="s">
        <v>1412</v>
      </c>
      <c r="K72" s="64">
        <v>351909</v>
      </c>
      <c r="L72" s="62" t="s">
        <v>947</v>
      </c>
      <c r="M72" s="67" t="s">
        <v>31</v>
      </c>
      <c r="N72" s="67" t="s">
        <v>136</v>
      </c>
      <c r="O72" s="67">
        <v>1</v>
      </c>
      <c r="P72" s="66" t="s">
        <v>133</v>
      </c>
      <c r="Q72" s="63">
        <v>4</v>
      </c>
      <c r="R72" s="63">
        <v>17</v>
      </c>
      <c r="S72" s="63">
        <v>0</v>
      </c>
      <c r="T72" s="63">
        <v>0</v>
      </c>
      <c r="U72" s="63">
        <v>0</v>
      </c>
      <c r="V72" s="63">
        <v>0</v>
      </c>
      <c r="W72" s="63">
        <v>0</v>
      </c>
      <c r="X72" s="63">
        <v>0</v>
      </c>
      <c r="Y72" s="63">
        <v>1</v>
      </c>
      <c r="Z72" s="63">
        <v>7</v>
      </c>
      <c r="AA72" s="63">
        <v>0</v>
      </c>
      <c r="AB72" s="63">
        <v>0</v>
      </c>
      <c r="AC72" s="63">
        <v>125</v>
      </c>
      <c r="AD72" s="63">
        <v>5</v>
      </c>
      <c r="AE72" s="63">
        <v>0</v>
      </c>
      <c r="AF72" s="63">
        <v>0</v>
      </c>
      <c r="AG72" s="63">
        <v>0</v>
      </c>
      <c r="AH72" s="63">
        <v>0</v>
      </c>
      <c r="AI72" s="63">
        <v>0</v>
      </c>
      <c r="AJ72" s="63">
        <v>138</v>
      </c>
      <c r="AK72" s="63">
        <v>0</v>
      </c>
      <c r="AL72" s="63" t="s">
        <v>35</v>
      </c>
      <c r="AM72" s="63" t="s">
        <v>854</v>
      </c>
      <c r="AN72" s="220" t="s">
        <v>33</v>
      </c>
      <c r="AO72" s="224"/>
      <c r="AP72" s="95" t="e">
        <f>IF(C72=VLOOKUP($A72,Feature_List!$A$2:$AO$101,MATCH(AP$1,Feature_List!$A$1:$AO$1,0),FALSE),"OK","BAD")</f>
        <v>#N/A</v>
      </c>
      <c r="AQ72" s="95" t="e">
        <f>IF(D72=VLOOKUP($A72,Feature_List!$A$2:$AO$101,MATCH(AQ$1,Feature_List!$A$1:$AO$1,0),FALSE),"OK","BAD")</f>
        <v>#N/A</v>
      </c>
      <c r="AR72" s="95" t="e">
        <f>IF(E72=VLOOKUP($A72,Feature_List!$A$2:$AO$101,MATCH(AR$1,Feature_List!$A$1:$AO$1,0),FALSE),"OK","BAD")</f>
        <v>#N/A</v>
      </c>
      <c r="AS72" s="95" t="e">
        <f>IF(F72=VLOOKUP($A72,Feature_List!$A$2:$AO$101,MATCH(AS$1,Feature_List!$A$1:$AO$1,0),FALSE),"OK","BAD")</f>
        <v>#N/A</v>
      </c>
      <c r="AT72" s="95" t="s">
        <v>985</v>
      </c>
      <c r="AU72" s="95" t="s">
        <v>985</v>
      </c>
      <c r="AV72" s="95" t="e">
        <f>IF(I72=VLOOKUP($A72,Feature_List!$A$2:$AO$101,MATCH(AV$1,Feature_List!$A$1:$AO$1,0),FALSE),"OK","BAD")</f>
        <v>#N/A</v>
      </c>
      <c r="AW72" s="95" t="e">
        <f>IF(J72=VLOOKUP($A72,Feature_List!$A$2:$AO$101,MATCH(AW$1,Feature_List!$A$1:$AO$1,0),FALSE),"OK","BAD")</f>
        <v>#N/A</v>
      </c>
      <c r="AX72" s="95" t="e">
        <f>IF(K72=VLOOKUP($A72,Feature_List!$A$2:$AO$101,MATCH(AX$1,Feature_List!$A$1:$AO$1,0),FALSE),"OK","BAD")</f>
        <v>#N/A</v>
      </c>
      <c r="AY72" s="95" t="e">
        <f>IF(L72=VLOOKUP($A72,Feature_List!$A$2:$AO$101,MATCH(AY$1,Feature_List!$A$1:$AO$1,0),FALSE),"OK","BAD")</f>
        <v>#N/A</v>
      </c>
      <c r="AZ72" s="95" t="e">
        <f>IF(M72=VLOOKUP($A72,Feature_List!$A$2:$AO$101,MATCH(AZ$1,Feature_List!$A$1:$AO$1,0),FALSE),"OK","BAD")</f>
        <v>#N/A</v>
      </c>
      <c r="BA72" s="95" t="e">
        <f>IF(N72=VLOOKUP($A72,Feature_List!$A$2:$AO$101,MATCH(BA$1,Feature_List!$A$1:$AO$1,0),FALSE),"OK","BAD")</f>
        <v>#N/A</v>
      </c>
      <c r="BB72" s="95" t="e">
        <f>IF(O72=VLOOKUP($A72,Feature_List!$A$2:$AO$101,MATCH(BB$1,Feature_List!$A$1:$AO$1,0),FALSE),"OK","BAD")</f>
        <v>#N/A</v>
      </c>
      <c r="BC72" s="95" t="e">
        <f>IF(P72=VLOOKUP($A72,Feature_List!$A$2:$AO$101,MATCH(BC$1,Feature_List!$A$1:$AO$1,0),FALSE),"OK","BAD")</f>
        <v>#N/A</v>
      </c>
      <c r="BD72" s="95" t="e">
        <f>IF(Q72=VLOOKUP($A72,Feature_List!$A$2:$AO$101,MATCH(BD$1,Feature_List!$A$1:$AO$1,0),FALSE),"OK","BAD")</f>
        <v>#N/A</v>
      </c>
      <c r="BE72" s="95" t="e">
        <f>IF(R72=VLOOKUP($A72,Feature_List!$A$2:$AO$101,MATCH(BE$1,Feature_List!$A$1:$AO$1,0),FALSE),"OK","BAD")</f>
        <v>#N/A</v>
      </c>
      <c r="BF72" s="95" t="e">
        <f>IF(S72=VLOOKUP($A72,Feature_List!$A$2:$AO$101,MATCH(BF$1,Feature_List!$A$1:$AO$1,0),FALSE),"OK","BAD")</f>
        <v>#N/A</v>
      </c>
      <c r="BG72" s="95" t="e">
        <f>IF(T72=VLOOKUP($A72,Feature_List!$A$2:$AO$101,MATCH(BG$1,Feature_List!$A$1:$AO$1,0),FALSE),"OK","BAD")</f>
        <v>#N/A</v>
      </c>
      <c r="BH72" s="95" t="e">
        <f>IF(U72=VLOOKUP($A72,Feature_List!$A$2:$AO$101,MATCH(BH$1,Feature_List!$A$1:$AO$1,0),FALSE),"OK","BAD")</f>
        <v>#N/A</v>
      </c>
      <c r="BI72" s="95" t="e">
        <f>IF(V72=VLOOKUP($A72,Feature_List!$A$2:$AO$101,MATCH(BI$1,Feature_List!$A$1:$AO$1,0),FALSE),"OK","BAD")</f>
        <v>#N/A</v>
      </c>
      <c r="BJ72" s="95" t="e">
        <f>IF(W72=VLOOKUP($A72,Feature_List!$A$2:$AO$101,MATCH(BJ$1,Feature_List!$A$1:$AO$1,0),FALSE),"OK","BAD")</f>
        <v>#N/A</v>
      </c>
      <c r="BK72" s="95" t="e">
        <f>IF(X72=VLOOKUP($A72,Feature_List!$A$2:$AO$101,MATCH(BK$1,Feature_List!$A$1:$AO$1,0),FALSE),"OK","BAD")</f>
        <v>#N/A</v>
      </c>
      <c r="BL72" s="95" t="e">
        <f>IF(Y72=VLOOKUP($A72,Feature_List!$A$2:$AO$101,MATCH(BL$1,Feature_List!$A$1:$AO$1,0),FALSE),"OK","BAD")</f>
        <v>#N/A</v>
      </c>
      <c r="BM72" s="95" t="e">
        <f>IF(Z72=VLOOKUP($A72,Feature_List!$A$2:$AO$101,MATCH(BM$1,Feature_List!$A$1:$AO$1,0),FALSE),"OK","BAD")</f>
        <v>#N/A</v>
      </c>
      <c r="BN72" s="95" t="e">
        <f>IF(AA72=VLOOKUP($A72,Feature_List!$A$2:$AO$101,MATCH(BN$1,Feature_List!$A$1:$AO$1,0),FALSE),"OK","BAD")</f>
        <v>#N/A</v>
      </c>
      <c r="BO72" s="95" t="e">
        <f>IF(AB72=VLOOKUP($A72,Feature_List!$A$2:$AO$101,MATCH(BO$1,Feature_List!$A$1:$AO$1,0),FALSE),"OK","BAD")</f>
        <v>#N/A</v>
      </c>
      <c r="BP72" s="95" t="e">
        <f>IF(AC72=VLOOKUP($A72,Feature_List!$A$2:$AO$101,MATCH(BP$1,Feature_List!$A$1:$AO$1,0),FALSE),"OK","BAD")</f>
        <v>#N/A</v>
      </c>
      <c r="BQ72" s="95" t="e">
        <f>IF(AD72=VLOOKUP($A72,Feature_List!$A$2:$AO$101,MATCH(BQ$1,Feature_List!$A$1:$AO$1,0),FALSE),"OK","BAD")</f>
        <v>#N/A</v>
      </c>
      <c r="BR72" s="95" t="e">
        <f>IF(AE72=VLOOKUP($A72,Feature_List!$A$2:$AO$101,MATCH(BR$1,Feature_List!$A$1:$AO$1,0),FALSE),"OK","BAD")</f>
        <v>#N/A</v>
      </c>
      <c r="BS72" s="95" t="e">
        <f>IF(AF72=VLOOKUP($A72,Feature_List!$A$2:$AO$101,MATCH(BS$1,Feature_List!$A$1:$AO$1,0),FALSE),"OK","BAD")</f>
        <v>#N/A</v>
      </c>
      <c r="BT72" s="95" t="e">
        <f>IF(AG72=VLOOKUP($A72,Feature_List!$A$2:$AO$101,MATCH(BT$1,Feature_List!$A$1:$AO$1,0),FALSE),"OK","BAD")</f>
        <v>#N/A</v>
      </c>
      <c r="BU72" s="95" t="e">
        <f>IF(AH72=VLOOKUP($A72,Feature_List!$A$2:$AO$101,MATCH(BU$1,Feature_List!$A$1:$AO$1,0),FALSE),"OK","BAD")</f>
        <v>#N/A</v>
      </c>
      <c r="BV72" s="95" t="e">
        <f>IF(AI72=VLOOKUP($A72,Feature_List!$A$2:$AO$101,MATCH(BV$1,Feature_List!$A$1:$AO$1,0),FALSE),"OK","BAD")</f>
        <v>#N/A</v>
      </c>
      <c r="BW72" s="95" t="e">
        <f>IF(AJ72=VLOOKUP($A72,Feature_List!$A$2:$AO$101,MATCH(BW$1,Feature_List!$A$1:$AO$1,0),FALSE),"OK","BAD")</f>
        <v>#N/A</v>
      </c>
      <c r="BX72" s="95" t="e">
        <f>IF(AK72=VLOOKUP($A72,Feature_List!$A$2:$AO$101,MATCH(BX$1,Feature_List!$A$1:$AO$1,0),FALSE),"OK","BAD")</f>
        <v>#N/A</v>
      </c>
      <c r="BY72" s="95" t="e">
        <f>IF(AL72=VLOOKUP($A72,Feature_List!$A$2:$AO$101,MATCH(BY$1,Feature_List!$A$1:$AO$1,0),FALSE),"OK","BAD")</f>
        <v>#N/A</v>
      </c>
      <c r="BZ72" s="95" t="e">
        <f>IF(AM72=VLOOKUP($A72,Feature_List!$A$2:$AO$101,MATCH(BZ$1,Feature_List!$A$1:$AO$1,0),FALSE),"OK","BAD")</f>
        <v>#N/A</v>
      </c>
      <c r="CA72" s="95" t="e">
        <f>IF(AN72=VLOOKUP($A72,Feature_List!$A$2:$AO$101,MATCH(CA$1,Feature_List!$A$1:$AO$1,0),FALSE),"OK","BAD")</f>
        <v>#N/A</v>
      </c>
    </row>
    <row r="73" spans="1:79" ht="14.4" customHeight="1" x14ac:dyDescent="0.3">
      <c r="A73" s="70">
        <v>354646</v>
      </c>
      <c r="B73" s="65" t="s">
        <v>872</v>
      </c>
      <c r="C73" s="98" t="s">
        <v>806</v>
      </c>
      <c r="D73" s="65" t="s">
        <v>106</v>
      </c>
      <c r="E73" s="64">
        <v>38</v>
      </c>
      <c r="F73" s="64" t="s">
        <v>879</v>
      </c>
      <c r="G73" s="64" t="s">
        <v>1452</v>
      </c>
      <c r="H73" s="64" t="s">
        <v>547</v>
      </c>
      <c r="I73" s="99" t="s">
        <v>38</v>
      </c>
      <c r="J73" s="64" t="s">
        <v>1412</v>
      </c>
      <c r="K73" s="64">
        <v>241501</v>
      </c>
      <c r="L73" s="62" t="s">
        <v>15</v>
      </c>
      <c r="M73" s="67" t="s">
        <v>37</v>
      </c>
      <c r="N73" s="67" t="s">
        <v>39</v>
      </c>
      <c r="O73" s="67">
        <v>0</v>
      </c>
      <c r="P73" s="66" t="s">
        <v>131</v>
      </c>
      <c r="Q73" s="63">
        <v>2</v>
      </c>
      <c r="R73" s="63">
        <v>26</v>
      </c>
      <c r="S73" s="63">
        <v>0</v>
      </c>
      <c r="T73" s="63">
        <v>2</v>
      </c>
      <c r="U73" s="63">
        <v>0</v>
      </c>
      <c r="V73" s="63">
        <v>0</v>
      </c>
      <c r="W73" s="63">
        <v>0</v>
      </c>
      <c r="X73" s="63">
        <v>0</v>
      </c>
      <c r="Y73" s="63">
        <v>0</v>
      </c>
      <c r="Z73" s="63">
        <v>0</v>
      </c>
      <c r="AA73" s="63">
        <v>0</v>
      </c>
      <c r="AB73" s="63">
        <v>10</v>
      </c>
      <c r="AC73" s="63">
        <v>0</v>
      </c>
      <c r="AD73" s="63">
        <v>0</v>
      </c>
      <c r="AE73" s="63">
        <v>0</v>
      </c>
      <c r="AF73" s="63">
        <v>0</v>
      </c>
      <c r="AG73" s="63">
        <v>0</v>
      </c>
      <c r="AH73" s="63">
        <v>0</v>
      </c>
      <c r="AI73" s="63">
        <v>0</v>
      </c>
      <c r="AJ73" s="63">
        <v>12</v>
      </c>
      <c r="AK73" s="63">
        <v>0</v>
      </c>
      <c r="AL73" s="63" t="s">
        <v>35</v>
      </c>
      <c r="AM73" s="63" t="s">
        <v>854</v>
      </c>
      <c r="AN73" s="220" t="s">
        <v>33</v>
      </c>
      <c r="AO73" s="224"/>
      <c r="AP73" s="95" t="e">
        <f>IF(C73=VLOOKUP($A73,Feature_List!$A$2:$AO$101,MATCH(AP$1,Feature_List!$A$1:$AO$1,0),FALSE),"OK","BAD")</f>
        <v>#N/A</v>
      </c>
      <c r="AQ73" s="95" t="e">
        <f>IF(D73=VLOOKUP($A73,Feature_List!$A$2:$AO$101,MATCH(AQ$1,Feature_List!$A$1:$AO$1,0),FALSE),"OK","BAD")</f>
        <v>#N/A</v>
      </c>
      <c r="AR73" s="95" t="e">
        <f>IF(E73=VLOOKUP($A73,Feature_List!$A$2:$AO$101,MATCH(AR$1,Feature_List!$A$1:$AO$1,0),FALSE),"OK","BAD")</f>
        <v>#N/A</v>
      </c>
      <c r="AS73" s="95" t="e">
        <f>IF(F73=VLOOKUP($A73,Feature_List!$A$2:$AO$101,MATCH(AS$1,Feature_List!$A$1:$AO$1,0),FALSE),"OK","BAD")</f>
        <v>#N/A</v>
      </c>
      <c r="AT73" s="95" t="s">
        <v>985</v>
      </c>
      <c r="AU73" s="95" t="s">
        <v>985</v>
      </c>
      <c r="AV73" s="95" t="e">
        <f>IF(I73=VLOOKUP($A73,Feature_List!$A$2:$AO$101,MATCH(AV$1,Feature_List!$A$1:$AO$1,0),FALSE),"OK","BAD")</f>
        <v>#N/A</v>
      </c>
      <c r="AW73" s="95" t="e">
        <f>IF(J73=VLOOKUP($A73,Feature_List!$A$2:$AO$101,MATCH(AW$1,Feature_List!$A$1:$AO$1,0),FALSE),"OK","BAD")</f>
        <v>#N/A</v>
      </c>
      <c r="AX73" s="95" t="e">
        <f>IF(K73=VLOOKUP($A73,Feature_List!$A$2:$AO$101,MATCH(AX$1,Feature_List!$A$1:$AO$1,0),FALSE),"OK","BAD")</f>
        <v>#N/A</v>
      </c>
      <c r="AY73" s="95" t="e">
        <f>IF(L73=VLOOKUP($A73,Feature_List!$A$2:$AO$101,MATCH(AY$1,Feature_List!$A$1:$AO$1,0),FALSE),"OK","BAD")</f>
        <v>#N/A</v>
      </c>
      <c r="AZ73" s="95" t="e">
        <f>IF(M73=VLOOKUP($A73,Feature_List!$A$2:$AO$101,MATCH(AZ$1,Feature_List!$A$1:$AO$1,0),FALSE),"OK","BAD")</f>
        <v>#N/A</v>
      </c>
      <c r="BA73" s="95" t="e">
        <f>IF(N73=VLOOKUP($A73,Feature_List!$A$2:$AO$101,MATCH(BA$1,Feature_List!$A$1:$AO$1,0),FALSE),"OK","BAD")</f>
        <v>#N/A</v>
      </c>
      <c r="BB73" s="95" t="e">
        <f>IF(O73=VLOOKUP($A73,Feature_List!$A$2:$AO$101,MATCH(BB$1,Feature_List!$A$1:$AO$1,0),FALSE),"OK","BAD")</f>
        <v>#N/A</v>
      </c>
      <c r="BC73" s="95" t="e">
        <f>IF(P73=VLOOKUP($A73,Feature_List!$A$2:$AO$101,MATCH(BC$1,Feature_List!$A$1:$AO$1,0),FALSE),"OK","BAD")</f>
        <v>#N/A</v>
      </c>
      <c r="BD73" s="95" t="e">
        <f>IF(Q73=VLOOKUP($A73,Feature_List!$A$2:$AO$101,MATCH(BD$1,Feature_List!$A$1:$AO$1,0),FALSE),"OK","BAD")</f>
        <v>#N/A</v>
      </c>
      <c r="BE73" s="95" t="e">
        <f>IF(R73=VLOOKUP($A73,Feature_List!$A$2:$AO$101,MATCH(BE$1,Feature_List!$A$1:$AO$1,0),FALSE),"OK","BAD")</f>
        <v>#N/A</v>
      </c>
      <c r="BF73" s="95" t="e">
        <f>IF(S73=VLOOKUP($A73,Feature_List!$A$2:$AO$101,MATCH(BF$1,Feature_List!$A$1:$AO$1,0),FALSE),"OK","BAD")</f>
        <v>#N/A</v>
      </c>
      <c r="BG73" s="95" t="e">
        <f>IF(T73=VLOOKUP($A73,Feature_List!$A$2:$AO$101,MATCH(BG$1,Feature_List!$A$1:$AO$1,0),FALSE),"OK","BAD")</f>
        <v>#N/A</v>
      </c>
      <c r="BH73" s="95" t="e">
        <f>IF(U73=VLOOKUP($A73,Feature_List!$A$2:$AO$101,MATCH(BH$1,Feature_List!$A$1:$AO$1,0),FALSE),"OK","BAD")</f>
        <v>#N/A</v>
      </c>
      <c r="BI73" s="95" t="e">
        <f>IF(V73=VLOOKUP($A73,Feature_List!$A$2:$AO$101,MATCH(BI$1,Feature_List!$A$1:$AO$1,0),FALSE),"OK","BAD")</f>
        <v>#N/A</v>
      </c>
      <c r="BJ73" s="95" t="e">
        <f>IF(W73=VLOOKUP($A73,Feature_List!$A$2:$AO$101,MATCH(BJ$1,Feature_List!$A$1:$AO$1,0),FALSE),"OK","BAD")</f>
        <v>#N/A</v>
      </c>
      <c r="BK73" s="95" t="e">
        <f>IF(X73=VLOOKUP($A73,Feature_List!$A$2:$AO$101,MATCH(BK$1,Feature_List!$A$1:$AO$1,0),FALSE),"OK","BAD")</f>
        <v>#N/A</v>
      </c>
      <c r="BL73" s="95" t="e">
        <f>IF(Y73=VLOOKUP($A73,Feature_List!$A$2:$AO$101,MATCH(BL$1,Feature_List!$A$1:$AO$1,0),FALSE),"OK","BAD")</f>
        <v>#N/A</v>
      </c>
      <c r="BM73" s="95" t="e">
        <f>IF(Z73=VLOOKUP($A73,Feature_List!$A$2:$AO$101,MATCH(BM$1,Feature_List!$A$1:$AO$1,0),FALSE),"OK","BAD")</f>
        <v>#N/A</v>
      </c>
      <c r="BN73" s="95" t="e">
        <f>IF(AA73=VLOOKUP($A73,Feature_List!$A$2:$AO$101,MATCH(BN$1,Feature_List!$A$1:$AO$1,0),FALSE),"OK","BAD")</f>
        <v>#N/A</v>
      </c>
      <c r="BO73" s="95" t="e">
        <f>IF(AB73=VLOOKUP($A73,Feature_List!$A$2:$AO$101,MATCH(BO$1,Feature_List!$A$1:$AO$1,0),FALSE),"OK","BAD")</f>
        <v>#N/A</v>
      </c>
      <c r="BP73" s="95" t="e">
        <f>IF(AC73=VLOOKUP($A73,Feature_List!$A$2:$AO$101,MATCH(BP$1,Feature_List!$A$1:$AO$1,0),FALSE),"OK","BAD")</f>
        <v>#N/A</v>
      </c>
      <c r="BQ73" s="95" t="e">
        <f>IF(AD73=VLOOKUP($A73,Feature_List!$A$2:$AO$101,MATCH(BQ$1,Feature_List!$A$1:$AO$1,0),FALSE),"OK","BAD")</f>
        <v>#N/A</v>
      </c>
      <c r="BR73" s="95" t="e">
        <f>IF(AE73=VLOOKUP($A73,Feature_List!$A$2:$AO$101,MATCH(BR$1,Feature_List!$A$1:$AO$1,0),FALSE),"OK","BAD")</f>
        <v>#N/A</v>
      </c>
      <c r="BS73" s="95" t="e">
        <f>IF(AF73=VLOOKUP($A73,Feature_List!$A$2:$AO$101,MATCH(BS$1,Feature_List!$A$1:$AO$1,0),FALSE),"OK","BAD")</f>
        <v>#N/A</v>
      </c>
      <c r="BT73" s="95" t="e">
        <f>IF(AG73=VLOOKUP($A73,Feature_List!$A$2:$AO$101,MATCH(BT$1,Feature_List!$A$1:$AO$1,0),FALSE),"OK","BAD")</f>
        <v>#N/A</v>
      </c>
      <c r="BU73" s="95" t="e">
        <f>IF(AH73=VLOOKUP($A73,Feature_List!$A$2:$AO$101,MATCH(BU$1,Feature_List!$A$1:$AO$1,0),FALSE),"OK","BAD")</f>
        <v>#N/A</v>
      </c>
      <c r="BV73" s="95" t="e">
        <f>IF(AI73=VLOOKUP($A73,Feature_List!$A$2:$AO$101,MATCH(BV$1,Feature_List!$A$1:$AO$1,0),FALSE),"OK","BAD")</f>
        <v>#N/A</v>
      </c>
      <c r="BW73" s="95" t="e">
        <f>IF(AJ73=VLOOKUP($A73,Feature_List!$A$2:$AO$101,MATCH(BW$1,Feature_List!$A$1:$AO$1,0),FALSE),"OK","BAD")</f>
        <v>#N/A</v>
      </c>
      <c r="BX73" s="95" t="e">
        <f>IF(AK73=VLOOKUP($A73,Feature_List!$A$2:$AO$101,MATCH(BX$1,Feature_List!$A$1:$AO$1,0),FALSE),"OK","BAD")</f>
        <v>#N/A</v>
      </c>
      <c r="BY73" s="95" t="e">
        <f>IF(AL73=VLOOKUP($A73,Feature_List!$A$2:$AO$101,MATCH(BY$1,Feature_List!$A$1:$AO$1,0),FALSE),"OK","BAD")</f>
        <v>#N/A</v>
      </c>
      <c r="BZ73" s="95" t="e">
        <f>IF(AM73=VLOOKUP($A73,Feature_List!$A$2:$AO$101,MATCH(BZ$1,Feature_List!$A$1:$AO$1,0),FALSE),"OK","BAD")</f>
        <v>#N/A</v>
      </c>
      <c r="CA73" s="95" t="e">
        <f>IF(AN73=VLOOKUP($A73,Feature_List!$A$2:$AO$101,MATCH(CA$1,Feature_List!$A$1:$AO$1,0),FALSE),"OK","BAD")</f>
        <v>#N/A</v>
      </c>
    </row>
    <row r="74" spans="1:79" ht="14.4" customHeight="1" x14ac:dyDescent="0.3">
      <c r="A74" s="70">
        <v>354372</v>
      </c>
      <c r="B74" s="65" t="s">
        <v>523</v>
      </c>
      <c r="C74" s="98" t="s">
        <v>1143</v>
      </c>
      <c r="D74" s="65" t="s">
        <v>106</v>
      </c>
      <c r="E74" s="64">
        <v>10</v>
      </c>
      <c r="F74" s="64" t="s">
        <v>879</v>
      </c>
      <c r="G74" s="64" t="s">
        <v>964</v>
      </c>
      <c r="H74" s="64" t="s">
        <v>975</v>
      </c>
      <c r="I74" s="99" t="s">
        <v>38</v>
      </c>
      <c r="J74" s="64" t="s">
        <v>1412</v>
      </c>
      <c r="K74" s="64">
        <v>0</v>
      </c>
      <c r="L74" s="62" t="s">
        <v>949</v>
      </c>
      <c r="M74" s="67" t="s">
        <v>42</v>
      </c>
      <c r="N74" s="67" t="s">
        <v>43</v>
      </c>
      <c r="O74" s="67">
        <v>0</v>
      </c>
      <c r="P74" s="66" t="s">
        <v>174</v>
      </c>
      <c r="Q74" s="63">
        <v>1</v>
      </c>
      <c r="R74" s="63">
        <v>5</v>
      </c>
      <c r="S74" s="63">
        <v>0</v>
      </c>
      <c r="T74" s="63">
        <v>0</v>
      </c>
      <c r="U74" s="63">
        <v>0</v>
      </c>
      <c r="V74" s="63">
        <v>5</v>
      </c>
      <c r="W74" s="63">
        <v>0</v>
      </c>
      <c r="X74" s="63">
        <v>0</v>
      </c>
      <c r="Y74" s="63">
        <v>0</v>
      </c>
      <c r="Z74" s="63">
        <v>0</v>
      </c>
      <c r="AA74" s="63">
        <v>0</v>
      </c>
      <c r="AB74" s="63">
        <v>0</v>
      </c>
      <c r="AC74" s="63">
        <v>0</v>
      </c>
      <c r="AD74" s="63">
        <v>0</v>
      </c>
      <c r="AE74" s="63">
        <v>0</v>
      </c>
      <c r="AF74" s="63">
        <v>0</v>
      </c>
      <c r="AG74" s="63">
        <v>0</v>
      </c>
      <c r="AH74" s="63">
        <v>0</v>
      </c>
      <c r="AI74" s="63">
        <v>0</v>
      </c>
      <c r="AJ74" s="63">
        <v>5</v>
      </c>
      <c r="AK74" s="63">
        <v>0</v>
      </c>
      <c r="AL74" s="63" t="s">
        <v>35</v>
      </c>
      <c r="AM74" s="63" t="s">
        <v>36</v>
      </c>
      <c r="AN74" s="220" t="s">
        <v>33</v>
      </c>
      <c r="AO74" s="224"/>
      <c r="AP74" s="95" t="e">
        <f>IF(C74=VLOOKUP($A74,Feature_List!$A$2:$AO$101,MATCH(AP$1,Feature_List!$A$1:$AO$1,0),FALSE),"OK","BAD")</f>
        <v>#N/A</v>
      </c>
      <c r="AQ74" s="95" t="e">
        <f>IF(D74=VLOOKUP($A74,Feature_List!$A$2:$AO$101,MATCH(AQ$1,Feature_List!$A$1:$AO$1,0),FALSE),"OK","BAD")</f>
        <v>#N/A</v>
      </c>
      <c r="AR74" s="95" t="e">
        <f>IF(E74=VLOOKUP($A74,Feature_List!$A$2:$AO$101,MATCH(AR$1,Feature_List!$A$1:$AO$1,0),FALSE),"OK","BAD")</f>
        <v>#N/A</v>
      </c>
      <c r="AS74" s="95" t="e">
        <f>IF(F74=VLOOKUP($A74,Feature_List!$A$2:$AO$101,MATCH(AS$1,Feature_List!$A$1:$AO$1,0),FALSE),"OK","BAD")</f>
        <v>#N/A</v>
      </c>
      <c r="AT74" s="95" t="s">
        <v>985</v>
      </c>
      <c r="AU74" s="95" t="s">
        <v>985</v>
      </c>
      <c r="AV74" s="95" t="e">
        <f>IF(I74=VLOOKUP($A74,Feature_List!$A$2:$AO$101,MATCH(AV$1,Feature_List!$A$1:$AO$1,0),FALSE),"OK","BAD")</f>
        <v>#N/A</v>
      </c>
      <c r="AW74" s="95" t="e">
        <f>IF(J74=VLOOKUP($A74,Feature_List!$A$2:$AO$101,MATCH(AW$1,Feature_List!$A$1:$AO$1,0),FALSE),"OK","BAD")</f>
        <v>#N/A</v>
      </c>
      <c r="AX74" s="95" t="e">
        <f>IF(K74=VLOOKUP($A74,Feature_List!$A$2:$AO$101,MATCH(AX$1,Feature_List!$A$1:$AO$1,0),FALSE),"OK","BAD")</f>
        <v>#N/A</v>
      </c>
      <c r="AY74" s="95" t="e">
        <f>IF(L74=VLOOKUP($A74,Feature_List!$A$2:$AO$101,MATCH(AY$1,Feature_List!$A$1:$AO$1,0),FALSE),"OK","BAD")</f>
        <v>#N/A</v>
      </c>
      <c r="AZ74" s="95" t="e">
        <f>IF(M74=VLOOKUP($A74,Feature_List!$A$2:$AO$101,MATCH(AZ$1,Feature_List!$A$1:$AO$1,0),FALSE),"OK","BAD")</f>
        <v>#N/A</v>
      </c>
      <c r="BA74" s="95" t="e">
        <f>IF(N74=VLOOKUP($A74,Feature_List!$A$2:$AO$101,MATCH(BA$1,Feature_List!$A$1:$AO$1,0),FALSE),"OK","BAD")</f>
        <v>#N/A</v>
      </c>
      <c r="BB74" s="95" t="e">
        <f>IF(O74=VLOOKUP($A74,Feature_List!$A$2:$AO$101,MATCH(BB$1,Feature_List!$A$1:$AO$1,0),FALSE),"OK","BAD")</f>
        <v>#N/A</v>
      </c>
      <c r="BC74" s="95" t="e">
        <f>IF(P74=VLOOKUP($A74,Feature_List!$A$2:$AO$101,MATCH(BC$1,Feature_List!$A$1:$AO$1,0),FALSE),"OK","BAD")</f>
        <v>#N/A</v>
      </c>
      <c r="BD74" s="95" t="e">
        <f>IF(Q74=VLOOKUP($A74,Feature_List!$A$2:$AO$101,MATCH(BD$1,Feature_List!$A$1:$AO$1,0),FALSE),"OK","BAD")</f>
        <v>#N/A</v>
      </c>
      <c r="BE74" s="95" t="e">
        <f>IF(R74=VLOOKUP($A74,Feature_List!$A$2:$AO$101,MATCH(BE$1,Feature_List!$A$1:$AO$1,0),FALSE),"OK","BAD")</f>
        <v>#N/A</v>
      </c>
      <c r="BF74" s="95" t="e">
        <f>IF(S74=VLOOKUP($A74,Feature_List!$A$2:$AO$101,MATCH(BF$1,Feature_List!$A$1:$AO$1,0),FALSE),"OK","BAD")</f>
        <v>#N/A</v>
      </c>
      <c r="BG74" s="95" t="e">
        <f>IF(T74=VLOOKUP($A74,Feature_List!$A$2:$AO$101,MATCH(BG$1,Feature_List!$A$1:$AO$1,0),FALSE),"OK","BAD")</f>
        <v>#N/A</v>
      </c>
      <c r="BH74" s="95" t="e">
        <f>IF(U74=VLOOKUP($A74,Feature_List!$A$2:$AO$101,MATCH(BH$1,Feature_List!$A$1:$AO$1,0),FALSE),"OK","BAD")</f>
        <v>#N/A</v>
      </c>
      <c r="BI74" s="95" t="e">
        <f>IF(V74=VLOOKUP($A74,Feature_List!$A$2:$AO$101,MATCH(BI$1,Feature_List!$A$1:$AO$1,0),FALSE),"OK","BAD")</f>
        <v>#N/A</v>
      </c>
      <c r="BJ74" s="95" t="e">
        <f>IF(W74=VLOOKUP($A74,Feature_List!$A$2:$AO$101,MATCH(BJ$1,Feature_List!$A$1:$AO$1,0),FALSE),"OK","BAD")</f>
        <v>#N/A</v>
      </c>
      <c r="BK74" s="95" t="e">
        <f>IF(X74=VLOOKUP($A74,Feature_List!$A$2:$AO$101,MATCH(BK$1,Feature_List!$A$1:$AO$1,0),FALSE),"OK","BAD")</f>
        <v>#N/A</v>
      </c>
      <c r="BL74" s="95" t="e">
        <f>IF(Y74=VLOOKUP($A74,Feature_List!$A$2:$AO$101,MATCH(BL$1,Feature_List!$A$1:$AO$1,0),FALSE),"OK","BAD")</f>
        <v>#N/A</v>
      </c>
      <c r="BM74" s="95" t="e">
        <f>IF(Z74=VLOOKUP($A74,Feature_List!$A$2:$AO$101,MATCH(BM$1,Feature_List!$A$1:$AO$1,0),FALSE),"OK","BAD")</f>
        <v>#N/A</v>
      </c>
      <c r="BN74" s="95" t="e">
        <f>IF(AA74=VLOOKUP($A74,Feature_List!$A$2:$AO$101,MATCH(BN$1,Feature_List!$A$1:$AO$1,0),FALSE),"OK","BAD")</f>
        <v>#N/A</v>
      </c>
      <c r="BO74" s="95" t="e">
        <f>IF(AB74=VLOOKUP($A74,Feature_List!$A$2:$AO$101,MATCH(BO$1,Feature_List!$A$1:$AO$1,0),FALSE),"OK","BAD")</f>
        <v>#N/A</v>
      </c>
      <c r="BP74" s="95" t="e">
        <f>IF(AC74=VLOOKUP($A74,Feature_List!$A$2:$AO$101,MATCH(BP$1,Feature_List!$A$1:$AO$1,0),FALSE),"OK","BAD")</f>
        <v>#N/A</v>
      </c>
      <c r="BQ74" s="95" t="e">
        <f>IF(AD74=VLOOKUP($A74,Feature_List!$A$2:$AO$101,MATCH(BQ$1,Feature_List!$A$1:$AO$1,0),FALSE),"OK","BAD")</f>
        <v>#N/A</v>
      </c>
      <c r="BR74" s="95" t="e">
        <f>IF(AE74=VLOOKUP($A74,Feature_List!$A$2:$AO$101,MATCH(BR$1,Feature_List!$A$1:$AO$1,0),FALSE),"OK","BAD")</f>
        <v>#N/A</v>
      </c>
      <c r="BS74" s="95" t="e">
        <f>IF(AF74=VLOOKUP($A74,Feature_List!$A$2:$AO$101,MATCH(BS$1,Feature_List!$A$1:$AO$1,0),FALSE),"OK","BAD")</f>
        <v>#N/A</v>
      </c>
      <c r="BT74" s="95" t="e">
        <f>IF(AG74=VLOOKUP($A74,Feature_List!$A$2:$AO$101,MATCH(BT$1,Feature_List!$A$1:$AO$1,0),FALSE),"OK","BAD")</f>
        <v>#N/A</v>
      </c>
      <c r="BU74" s="95" t="e">
        <f>IF(AH74=VLOOKUP($A74,Feature_List!$A$2:$AO$101,MATCH(BU$1,Feature_List!$A$1:$AO$1,0),FALSE),"OK","BAD")</f>
        <v>#N/A</v>
      </c>
      <c r="BV74" s="95" t="e">
        <f>IF(AI74=VLOOKUP($A74,Feature_List!$A$2:$AO$101,MATCH(BV$1,Feature_List!$A$1:$AO$1,0),FALSE),"OK","BAD")</f>
        <v>#N/A</v>
      </c>
      <c r="BW74" s="95" t="e">
        <f>IF(AJ74=VLOOKUP($A74,Feature_List!$A$2:$AO$101,MATCH(BW$1,Feature_List!$A$1:$AO$1,0),FALSE),"OK","BAD")</f>
        <v>#N/A</v>
      </c>
      <c r="BX74" s="95" t="e">
        <f>IF(AK74=VLOOKUP($A74,Feature_List!$A$2:$AO$101,MATCH(BX$1,Feature_List!$A$1:$AO$1,0),FALSE),"OK","BAD")</f>
        <v>#N/A</v>
      </c>
      <c r="BY74" s="95" t="e">
        <f>IF(AL74=VLOOKUP($A74,Feature_List!$A$2:$AO$101,MATCH(BY$1,Feature_List!$A$1:$AO$1,0),FALSE),"OK","BAD")</f>
        <v>#N/A</v>
      </c>
      <c r="BZ74" s="95" t="e">
        <f>IF(AM74=VLOOKUP($A74,Feature_List!$A$2:$AO$101,MATCH(BZ$1,Feature_List!$A$1:$AO$1,0),FALSE),"OK","BAD")</f>
        <v>#N/A</v>
      </c>
      <c r="CA74" s="95" t="e">
        <f>IF(AN74=VLOOKUP($A74,Feature_List!$A$2:$AO$101,MATCH(CA$1,Feature_List!$A$1:$AO$1,0),FALSE),"OK","BAD")</f>
        <v>#N/A</v>
      </c>
    </row>
    <row r="75" spans="1:79" ht="14.4" customHeight="1" x14ac:dyDescent="0.3">
      <c r="A75" s="70">
        <v>354174</v>
      </c>
      <c r="B75" s="65" t="s">
        <v>1576</v>
      </c>
      <c r="C75" s="98" t="s">
        <v>1143</v>
      </c>
      <c r="D75" s="65" t="s">
        <v>106</v>
      </c>
      <c r="E75" s="64">
        <v>46</v>
      </c>
      <c r="F75" s="64" t="s">
        <v>880</v>
      </c>
      <c r="G75" s="64" t="s">
        <v>957</v>
      </c>
      <c r="H75" s="64" t="s">
        <v>993</v>
      </c>
      <c r="I75" s="99" t="s">
        <v>939</v>
      </c>
      <c r="J75" s="64" t="s">
        <v>1412</v>
      </c>
      <c r="K75" s="64">
        <v>351909</v>
      </c>
      <c r="L75" s="62" t="s">
        <v>947</v>
      </c>
      <c r="M75" s="67" t="s">
        <v>31</v>
      </c>
      <c r="N75" s="67" t="s">
        <v>136</v>
      </c>
      <c r="O75" s="67">
        <v>1</v>
      </c>
      <c r="P75" s="66" t="s">
        <v>133</v>
      </c>
      <c r="Q75" s="63">
        <v>2</v>
      </c>
      <c r="R75" s="63">
        <v>12</v>
      </c>
      <c r="S75" s="63">
        <v>0</v>
      </c>
      <c r="T75" s="63">
        <v>0</v>
      </c>
      <c r="U75" s="63">
        <v>8</v>
      </c>
      <c r="V75" s="63">
        <v>0</v>
      </c>
      <c r="W75" s="63">
        <v>0</v>
      </c>
      <c r="X75" s="63">
        <v>0</v>
      </c>
      <c r="Y75" s="63">
        <v>0</v>
      </c>
      <c r="Z75" s="63">
        <v>0</v>
      </c>
      <c r="AA75" s="63">
        <v>0</v>
      </c>
      <c r="AB75" s="63">
        <v>0</v>
      </c>
      <c r="AC75" s="63">
        <v>26</v>
      </c>
      <c r="AD75" s="63">
        <v>0</v>
      </c>
      <c r="AE75" s="63">
        <v>0</v>
      </c>
      <c r="AF75" s="63">
        <v>0</v>
      </c>
      <c r="AG75" s="63">
        <v>0</v>
      </c>
      <c r="AH75" s="63">
        <v>0</v>
      </c>
      <c r="AI75" s="63">
        <v>0</v>
      </c>
      <c r="AJ75" s="63">
        <v>34</v>
      </c>
      <c r="AK75" s="63">
        <v>0</v>
      </c>
      <c r="AL75" s="63" t="s">
        <v>35</v>
      </c>
      <c r="AM75" s="63" t="s">
        <v>854</v>
      </c>
      <c r="AN75" s="220" t="s">
        <v>33</v>
      </c>
      <c r="AO75" s="224"/>
      <c r="AP75" s="95" t="e">
        <f>IF(C75=VLOOKUP($A75,Feature_List!$A$2:$AO$101,MATCH(AP$1,Feature_List!$A$1:$AO$1,0),FALSE),"OK","BAD")</f>
        <v>#N/A</v>
      </c>
      <c r="AQ75" s="95" t="e">
        <f>IF(D75=VLOOKUP($A75,Feature_List!$A$2:$AO$101,MATCH(AQ$1,Feature_List!$A$1:$AO$1,0),FALSE),"OK","BAD")</f>
        <v>#N/A</v>
      </c>
      <c r="AR75" s="95" t="e">
        <f>IF(E75=VLOOKUP($A75,Feature_List!$A$2:$AO$101,MATCH(AR$1,Feature_List!$A$1:$AO$1,0),FALSE),"OK","BAD")</f>
        <v>#N/A</v>
      </c>
      <c r="AS75" s="95" t="e">
        <f>IF(F75=VLOOKUP($A75,Feature_List!$A$2:$AO$101,MATCH(AS$1,Feature_List!$A$1:$AO$1,0),FALSE),"OK","BAD")</f>
        <v>#N/A</v>
      </c>
      <c r="AT75" s="95" t="s">
        <v>985</v>
      </c>
      <c r="AU75" s="95" t="s">
        <v>985</v>
      </c>
      <c r="AV75" s="95" t="e">
        <f>IF(I75=VLOOKUP($A75,Feature_List!$A$2:$AO$101,MATCH(AV$1,Feature_List!$A$1:$AO$1,0),FALSE),"OK","BAD")</f>
        <v>#N/A</v>
      </c>
      <c r="AW75" s="95" t="e">
        <f>IF(J75=VLOOKUP($A75,Feature_List!$A$2:$AO$101,MATCH(AW$1,Feature_List!$A$1:$AO$1,0),FALSE),"OK","BAD")</f>
        <v>#N/A</v>
      </c>
      <c r="AX75" s="95" t="e">
        <f>IF(K75=VLOOKUP($A75,Feature_List!$A$2:$AO$101,MATCH(AX$1,Feature_List!$A$1:$AO$1,0),FALSE),"OK","BAD")</f>
        <v>#N/A</v>
      </c>
      <c r="AY75" s="95" t="e">
        <f>IF(L75=VLOOKUP($A75,Feature_List!$A$2:$AO$101,MATCH(AY$1,Feature_List!$A$1:$AO$1,0),FALSE),"OK","BAD")</f>
        <v>#N/A</v>
      </c>
      <c r="AZ75" s="95" t="e">
        <f>IF(M75=VLOOKUP($A75,Feature_List!$A$2:$AO$101,MATCH(AZ$1,Feature_List!$A$1:$AO$1,0),FALSE),"OK","BAD")</f>
        <v>#N/A</v>
      </c>
      <c r="BA75" s="95" t="e">
        <f>IF(N75=VLOOKUP($A75,Feature_List!$A$2:$AO$101,MATCH(BA$1,Feature_List!$A$1:$AO$1,0),FALSE),"OK","BAD")</f>
        <v>#N/A</v>
      </c>
      <c r="BB75" s="95" t="e">
        <f>IF(O75=VLOOKUP($A75,Feature_List!$A$2:$AO$101,MATCH(BB$1,Feature_List!$A$1:$AO$1,0),FALSE),"OK","BAD")</f>
        <v>#N/A</v>
      </c>
      <c r="BC75" s="95" t="e">
        <f>IF(P75=VLOOKUP($A75,Feature_List!$A$2:$AO$101,MATCH(BC$1,Feature_List!$A$1:$AO$1,0),FALSE),"OK","BAD")</f>
        <v>#N/A</v>
      </c>
      <c r="BD75" s="95" t="e">
        <f>IF(Q75=VLOOKUP($A75,Feature_List!$A$2:$AO$101,MATCH(BD$1,Feature_List!$A$1:$AO$1,0),FALSE),"OK","BAD")</f>
        <v>#N/A</v>
      </c>
      <c r="BE75" s="95" t="e">
        <f>IF(R75=VLOOKUP($A75,Feature_List!$A$2:$AO$101,MATCH(BE$1,Feature_List!$A$1:$AO$1,0),FALSE),"OK","BAD")</f>
        <v>#N/A</v>
      </c>
      <c r="BF75" s="95" t="e">
        <f>IF(S75=VLOOKUP($A75,Feature_List!$A$2:$AO$101,MATCH(BF$1,Feature_List!$A$1:$AO$1,0),FALSE),"OK","BAD")</f>
        <v>#N/A</v>
      </c>
      <c r="BG75" s="95" t="e">
        <f>IF(T75=VLOOKUP($A75,Feature_List!$A$2:$AO$101,MATCH(BG$1,Feature_List!$A$1:$AO$1,0),FALSE),"OK","BAD")</f>
        <v>#N/A</v>
      </c>
      <c r="BH75" s="95" t="e">
        <f>IF(U75=VLOOKUP($A75,Feature_List!$A$2:$AO$101,MATCH(BH$1,Feature_List!$A$1:$AO$1,0),FALSE),"OK","BAD")</f>
        <v>#N/A</v>
      </c>
      <c r="BI75" s="95" t="e">
        <f>IF(V75=VLOOKUP($A75,Feature_List!$A$2:$AO$101,MATCH(BI$1,Feature_List!$A$1:$AO$1,0),FALSE),"OK","BAD")</f>
        <v>#N/A</v>
      </c>
      <c r="BJ75" s="95" t="e">
        <f>IF(W75=VLOOKUP($A75,Feature_List!$A$2:$AO$101,MATCH(BJ$1,Feature_List!$A$1:$AO$1,0),FALSE),"OK","BAD")</f>
        <v>#N/A</v>
      </c>
      <c r="BK75" s="95" t="e">
        <f>IF(X75=VLOOKUP($A75,Feature_List!$A$2:$AO$101,MATCH(BK$1,Feature_List!$A$1:$AO$1,0),FALSE),"OK","BAD")</f>
        <v>#N/A</v>
      </c>
      <c r="BL75" s="95" t="e">
        <f>IF(Y75=VLOOKUP($A75,Feature_List!$A$2:$AO$101,MATCH(BL$1,Feature_List!$A$1:$AO$1,0),FALSE),"OK","BAD")</f>
        <v>#N/A</v>
      </c>
      <c r="BM75" s="95" t="e">
        <f>IF(Z75=VLOOKUP($A75,Feature_List!$A$2:$AO$101,MATCH(BM$1,Feature_List!$A$1:$AO$1,0),FALSE),"OK","BAD")</f>
        <v>#N/A</v>
      </c>
      <c r="BN75" s="95" t="e">
        <f>IF(AA75=VLOOKUP($A75,Feature_List!$A$2:$AO$101,MATCH(BN$1,Feature_List!$A$1:$AO$1,0),FALSE),"OK","BAD")</f>
        <v>#N/A</v>
      </c>
      <c r="BO75" s="95" t="e">
        <f>IF(AB75=VLOOKUP($A75,Feature_List!$A$2:$AO$101,MATCH(BO$1,Feature_List!$A$1:$AO$1,0),FALSE),"OK","BAD")</f>
        <v>#N/A</v>
      </c>
      <c r="BP75" s="95" t="e">
        <f>IF(AC75=VLOOKUP($A75,Feature_List!$A$2:$AO$101,MATCH(BP$1,Feature_List!$A$1:$AO$1,0),FALSE),"OK","BAD")</f>
        <v>#N/A</v>
      </c>
      <c r="BQ75" s="95" t="e">
        <f>IF(AD75=VLOOKUP($A75,Feature_List!$A$2:$AO$101,MATCH(BQ$1,Feature_List!$A$1:$AO$1,0),FALSE),"OK","BAD")</f>
        <v>#N/A</v>
      </c>
      <c r="BR75" s="95" t="e">
        <f>IF(AE75=VLOOKUP($A75,Feature_List!$A$2:$AO$101,MATCH(BR$1,Feature_List!$A$1:$AO$1,0),FALSE),"OK","BAD")</f>
        <v>#N/A</v>
      </c>
      <c r="BS75" s="95" t="e">
        <f>IF(AF75=VLOOKUP($A75,Feature_List!$A$2:$AO$101,MATCH(BS$1,Feature_List!$A$1:$AO$1,0),FALSE),"OK","BAD")</f>
        <v>#N/A</v>
      </c>
      <c r="BT75" s="95" t="e">
        <f>IF(AG75=VLOOKUP($A75,Feature_List!$A$2:$AO$101,MATCH(BT$1,Feature_List!$A$1:$AO$1,0),FALSE),"OK","BAD")</f>
        <v>#N/A</v>
      </c>
      <c r="BU75" s="95" t="e">
        <f>IF(AH75=VLOOKUP($A75,Feature_List!$A$2:$AO$101,MATCH(BU$1,Feature_List!$A$1:$AO$1,0),FALSE),"OK","BAD")</f>
        <v>#N/A</v>
      </c>
      <c r="BV75" s="95" t="e">
        <f>IF(AI75=VLOOKUP($A75,Feature_List!$A$2:$AO$101,MATCH(BV$1,Feature_List!$A$1:$AO$1,0),FALSE),"OK","BAD")</f>
        <v>#N/A</v>
      </c>
      <c r="BW75" s="95" t="e">
        <f>IF(AJ75=VLOOKUP($A75,Feature_List!$A$2:$AO$101,MATCH(BW$1,Feature_List!$A$1:$AO$1,0),FALSE),"OK","BAD")</f>
        <v>#N/A</v>
      </c>
      <c r="BX75" s="95" t="e">
        <f>IF(AK75=VLOOKUP($A75,Feature_List!$A$2:$AO$101,MATCH(BX$1,Feature_List!$A$1:$AO$1,0),FALSE),"OK","BAD")</f>
        <v>#N/A</v>
      </c>
      <c r="BY75" s="95" t="e">
        <f>IF(AL75=VLOOKUP($A75,Feature_List!$A$2:$AO$101,MATCH(BY$1,Feature_List!$A$1:$AO$1,0),FALSE),"OK","BAD")</f>
        <v>#N/A</v>
      </c>
      <c r="BZ75" s="95" t="e">
        <f>IF(AM75=VLOOKUP($A75,Feature_List!$A$2:$AO$101,MATCH(BZ$1,Feature_List!$A$1:$AO$1,0),FALSE),"OK","BAD")</f>
        <v>#N/A</v>
      </c>
      <c r="CA75" s="95" t="e">
        <f>IF(AN75=VLOOKUP($A75,Feature_List!$A$2:$AO$101,MATCH(CA$1,Feature_List!$A$1:$AO$1,0),FALSE),"OK","BAD")</f>
        <v>#N/A</v>
      </c>
    </row>
    <row r="76" spans="1:79" ht="14.4" customHeight="1" x14ac:dyDescent="0.3">
      <c r="A76" s="70">
        <v>353345</v>
      </c>
      <c r="B76" s="65" t="s">
        <v>1146</v>
      </c>
      <c r="C76" s="98" t="s">
        <v>806</v>
      </c>
      <c r="D76" s="65" t="s">
        <v>28</v>
      </c>
      <c r="E76" s="64">
        <v>13</v>
      </c>
      <c r="F76" s="64" t="s">
        <v>879</v>
      </c>
      <c r="G76" s="64" t="s">
        <v>1561</v>
      </c>
      <c r="H76" s="64" t="s">
        <v>548</v>
      </c>
      <c r="I76" s="99" t="s">
        <v>38</v>
      </c>
      <c r="J76" s="64" t="s">
        <v>1412</v>
      </c>
      <c r="K76" s="64">
        <v>0</v>
      </c>
      <c r="L76" s="62" t="s">
        <v>945</v>
      </c>
      <c r="M76" s="67" t="s">
        <v>42</v>
      </c>
      <c r="N76" s="67" t="s">
        <v>44</v>
      </c>
      <c r="O76" s="67">
        <v>0</v>
      </c>
      <c r="P76" s="66" t="s">
        <v>1172</v>
      </c>
      <c r="Q76" s="63">
        <v>1</v>
      </c>
      <c r="R76" s="63">
        <v>0</v>
      </c>
      <c r="S76" s="63">
        <v>0</v>
      </c>
      <c r="T76" s="63">
        <v>0</v>
      </c>
      <c r="U76" s="63">
        <v>13</v>
      </c>
      <c r="V76" s="63">
        <v>0</v>
      </c>
      <c r="W76" s="63">
        <v>0</v>
      </c>
      <c r="X76" s="63">
        <v>0</v>
      </c>
      <c r="Y76" s="63">
        <v>0</v>
      </c>
      <c r="Z76" s="63">
        <v>0</v>
      </c>
      <c r="AA76" s="63">
        <v>0</v>
      </c>
      <c r="AB76" s="63">
        <v>0</v>
      </c>
      <c r="AC76" s="63">
        <v>0</v>
      </c>
      <c r="AD76" s="63">
        <v>0</v>
      </c>
      <c r="AE76" s="63">
        <v>0</v>
      </c>
      <c r="AF76" s="63">
        <v>0</v>
      </c>
      <c r="AG76" s="63">
        <v>0</v>
      </c>
      <c r="AH76" s="63">
        <v>0</v>
      </c>
      <c r="AI76" s="63">
        <v>0</v>
      </c>
      <c r="AJ76" s="63">
        <v>13</v>
      </c>
      <c r="AK76" s="63">
        <v>0</v>
      </c>
      <c r="AL76" s="63" t="s">
        <v>35</v>
      </c>
      <c r="AM76" s="63" t="s">
        <v>36</v>
      </c>
      <c r="AN76" s="220" t="s">
        <v>40</v>
      </c>
      <c r="AO76" s="224"/>
      <c r="AP76" s="95" t="e">
        <f>IF(C76=VLOOKUP($A76,Feature_List!$A$2:$AO$101,MATCH(AP$1,Feature_List!$A$1:$AO$1,0),FALSE),"OK","BAD")</f>
        <v>#N/A</v>
      </c>
      <c r="AQ76" s="95" t="e">
        <f>IF(D76=VLOOKUP($A76,Feature_List!$A$2:$AO$101,MATCH(AQ$1,Feature_List!$A$1:$AO$1,0),FALSE),"OK","BAD")</f>
        <v>#N/A</v>
      </c>
      <c r="AR76" s="95" t="e">
        <f>IF(E76=VLOOKUP($A76,Feature_List!$A$2:$AO$101,MATCH(AR$1,Feature_List!$A$1:$AO$1,0),FALSE),"OK","BAD")</f>
        <v>#N/A</v>
      </c>
      <c r="AS76" s="95" t="e">
        <f>IF(F76=VLOOKUP($A76,Feature_List!$A$2:$AO$101,MATCH(AS$1,Feature_List!$A$1:$AO$1,0),FALSE),"OK","BAD")</f>
        <v>#N/A</v>
      </c>
      <c r="AT76" s="95" t="s">
        <v>985</v>
      </c>
      <c r="AU76" s="95" t="s">
        <v>985</v>
      </c>
      <c r="AV76" s="95" t="e">
        <f>IF(I76=VLOOKUP($A76,Feature_List!$A$2:$AO$101,MATCH(AV$1,Feature_List!$A$1:$AO$1,0),FALSE),"OK","BAD")</f>
        <v>#N/A</v>
      </c>
      <c r="AW76" s="95" t="e">
        <f>IF(J76=VLOOKUP($A76,Feature_List!$A$2:$AO$101,MATCH(AW$1,Feature_List!$A$1:$AO$1,0),FALSE),"OK","BAD")</f>
        <v>#N/A</v>
      </c>
      <c r="AX76" s="95" t="e">
        <f>IF(K76=VLOOKUP($A76,Feature_List!$A$2:$AO$101,MATCH(AX$1,Feature_List!$A$1:$AO$1,0),FALSE),"OK","BAD")</f>
        <v>#N/A</v>
      </c>
      <c r="AY76" s="95" t="e">
        <f>IF(L76=VLOOKUP($A76,Feature_List!$A$2:$AO$101,MATCH(AY$1,Feature_List!$A$1:$AO$1,0),FALSE),"OK","BAD")</f>
        <v>#N/A</v>
      </c>
      <c r="AZ76" s="95" t="e">
        <f>IF(M76=VLOOKUP($A76,Feature_List!$A$2:$AO$101,MATCH(AZ$1,Feature_List!$A$1:$AO$1,0),FALSE),"OK","BAD")</f>
        <v>#N/A</v>
      </c>
      <c r="BA76" s="95" t="e">
        <f>IF(N76=VLOOKUP($A76,Feature_List!$A$2:$AO$101,MATCH(BA$1,Feature_List!$A$1:$AO$1,0),FALSE),"OK","BAD")</f>
        <v>#N/A</v>
      </c>
      <c r="BB76" s="95" t="e">
        <f>IF(O76=VLOOKUP($A76,Feature_List!$A$2:$AO$101,MATCH(BB$1,Feature_List!$A$1:$AO$1,0),FALSE),"OK","BAD")</f>
        <v>#N/A</v>
      </c>
      <c r="BC76" s="95" t="e">
        <f>IF(P76=VLOOKUP($A76,Feature_List!$A$2:$AO$101,MATCH(BC$1,Feature_List!$A$1:$AO$1,0),FALSE),"OK","BAD")</f>
        <v>#N/A</v>
      </c>
      <c r="BD76" s="95" t="e">
        <f>IF(Q76=VLOOKUP($A76,Feature_List!$A$2:$AO$101,MATCH(BD$1,Feature_List!$A$1:$AO$1,0),FALSE),"OK","BAD")</f>
        <v>#N/A</v>
      </c>
      <c r="BE76" s="95" t="e">
        <f>IF(R76=VLOOKUP($A76,Feature_List!$A$2:$AO$101,MATCH(BE$1,Feature_List!$A$1:$AO$1,0),FALSE),"OK","BAD")</f>
        <v>#N/A</v>
      </c>
      <c r="BF76" s="95" t="e">
        <f>IF(S76=VLOOKUP($A76,Feature_List!$A$2:$AO$101,MATCH(BF$1,Feature_List!$A$1:$AO$1,0),FALSE),"OK","BAD")</f>
        <v>#N/A</v>
      </c>
      <c r="BG76" s="95" t="e">
        <f>IF(T76=VLOOKUP($A76,Feature_List!$A$2:$AO$101,MATCH(BG$1,Feature_List!$A$1:$AO$1,0),FALSE),"OK","BAD")</f>
        <v>#N/A</v>
      </c>
      <c r="BH76" s="95" t="e">
        <f>IF(U76=VLOOKUP($A76,Feature_List!$A$2:$AO$101,MATCH(BH$1,Feature_List!$A$1:$AO$1,0),FALSE),"OK","BAD")</f>
        <v>#N/A</v>
      </c>
      <c r="BI76" s="95" t="e">
        <f>IF(V76=VLOOKUP($A76,Feature_List!$A$2:$AO$101,MATCH(BI$1,Feature_List!$A$1:$AO$1,0),FALSE),"OK","BAD")</f>
        <v>#N/A</v>
      </c>
      <c r="BJ76" s="95" t="e">
        <f>IF(W76=VLOOKUP($A76,Feature_List!$A$2:$AO$101,MATCH(BJ$1,Feature_List!$A$1:$AO$1,0),FALSE),"OK","BAD")</f>
        <v>#N/A</v>
      </c>
      <c r="BK76" s="95" t="e">
        <f>IF(X76=VLOOKUP($A76,Feature_List!$A$2:$AO$101,MATCH(BK$1,Feature_List!$A$1:$AO$1,0),FALSE),"OK","BAD")</f>
        <v>#N/A</v>
      </c>
      <c r="BL76" s="95" t="e">
        <f>IF(Y76=VLOOKUP($A76,Feature_List!$A$2:$AO$101,MATCH(BL$1,Feature_List!$A$1:$AO$1,0),FALSE),"OK","BAD")</f>
        <v>#N/A</v>
      </c>
      <c r="BM76" s="95" t="e">
        <f>IF(Z76=VLOOKUP($A76,Feature_List!$A$2:$AO$101,MATCH(BM$1,Feature_List!$A$1:$AO$1,0),FALSE),"OK","BAD")</f>
        <v>#N/A</v>
      </c>
      <c r="BN76" s="95" t="e">
        <f>IF(AA76=VLOOKUP($A76,Feature_List!$A$2:$AO$101,MATCH(BN$1,Feature_List!$A$1:$AO$1,0),FALSE),"OK","BAD")</f>
        <v>#N/A</v>
      </c>
      <c r="BO76" s="95" t="e">
        <f>IF(AB76=VLOOKUP($A76,Feature_List!$A$2:$AO$101,MATCH(BO$1,Feature_List!$A$1:$AO$1,0),FALSE),"OK","BAD")</f>
        <v>#N/A</v>
      </c>
      <c r="BP76" s="95" t="e">
        <f>IF(AC76=VLOOKUP($A76,Feature_List!$A$2:$AO$101,MATCH(BP$1,Feature_List!$A$1:$AO$1,0),FALSE),"OK","BAD")</f>
        <v>#N/A</v>
      </c>
      <c r="BQ76" s="95" t="e">
        <f>IF(AD76=VLOOKUP($A76,Feature_List!$A$2:$AO$101,MATCH(BQ$1,Feature_List!$A$1:$AO$1,0),FALSE),"OK","BAD")</f>
        <v>#N/A</v>
      </c>
      <c r="BR76" s="95" t="e">
        <f>IF(AE76=VLOOKUP($A76,Feature_List!$A$2:$AO$101,MATCH(BR$1,Feature_List!$A$1:$AO$1,0),FALSE),"OK","BAD")</f>
        <v>#N/A</v>
      </c>
      <c r="BS76" s="95" t="e">
        <f>IF(AF76=VLOOKUP($A76,Feature_List!$A$2:$AO$101,MATCH(BS$1,Feature_List!$A$1:$AO$1,0),FALSE),"OK","BAD")</f>
        <v>#N/A</v>
      </c>
      <c r="BT76" s="95" t="e">
        <f>IF(AG76=VLOOKUP($A76,Feature_List!$A$2:$AO$101,MATCH(BT$1,Feature_List!$A$1:$AO$1,0),FALSE),"OK","BAD")</f>
        <v>#N/A</v>
      </c>
      <c r="BU76" s="95" t="e">
        <f>IF(AH76=VLOOKUP($A76,Feature_List!$A$2:$AO$101,MATCH(BU$1,Feature_List!$A$1:$AO$1,0),FALSE),"OK","BAD")</f>
        <v>#N/A</v>
      </c>
      <c r="BV76" s="95" t="e">
        <f>IF(AI76=VLOOKUP($A76,Feature_List!$A$2:$AO$101,MATCH(BV$1,Feature_List!$A$1:$AO$1,0),FALSE),"OK","BAD")</f>
        <v>#N/A</v>
      </c>
      <c r="BW76" s="95" t="e">
        <f>IF(AJ76=VLOOKUP($A76,Feature_List!$A$2:$AO$101,MATCH(BW$1,Feature_List!$A$1:$AO$1,0),FALSE),"OK","BAD")</f>
        <v>#N/A</v>
      </c>
      <c r="BX76" s="95" t="e">
        <f>IF(AK76=VLOOKUP($A76,Feature_List!$A$2:$AO$101,MATCH(BX$1,Feature_List!$A$1:$AO$1,0),FALSE),"OK","BAD")</f>
        <v>#N/A</v>
      </c>
      <c r="BY76" s="95" t="e">
        <f>IF(AL76=VLOOKUP($A76,Feature_List!$A$2:$AO$101,MATCH(BY$1,Feature_List!$A$1:$AO$1,0),FALSE),"OK","BAD")</f>
        <v>#N/A</v>
      </c>
      <c r="BZ76" s="95" t="e">
        <f>IF(AM76=VLOOKUP($A76,Feature_List!$A$2:$AO$101,MATCH(BZ$1,Feature_List!$A$1:$AO$1,0),FALSE),"OK","BAD")</f>
        <v>#N/A</v>
      </c>
      <c r="CA76" s="95" t="e">
        <f>IF(AN76=VLOOKUP($A76,Feature_List!$A$2:$AO$101,MATCH(CA$1,Feature_List!$A$1:$AO$1,0),FALSE),"OK","BAD")</f>
        <v>#N/A</v>
      </c>
    </row>
    <row r="77" spans="1:79" ht="14.4" customHeight="1" x14ac:dyDescent="0.3">
      <c r="A77" s="70">
        <v>353256</v>
      </c>
      <c r="B77" s="65" t="s">
        <v>1144</v>
      </c>
      <c r="C77" s="98" t="s">
        <v>1145</v>
      </c>
      <c r="D77" s="65" t="s">
        <v>28</v>
      </c>
      <c r="E77" s="64">
        <v>21</v>
      </c>
      <c r="F77" s="64" t="s">
        <v>879</v>
      </c>
      <c r="G77" s="64" t="s">
        <v>1562</v>
      </c>
      <c r="H77" s="64" t="s">
        <v>548</v>
      </c>
      <c r="I77" s="99" t="s">
        <v>38</v>
      </c>
      <c r="J77" s="64" t="s">
        <v>1412</v>
      </c>
      <c r="K77" s="64">
        <v>0</v>
      </c>
      <c r="L77" s="62" t="s">
        <v>945</v>
      </c>
      <c r="M77" s="67" t="s">
        <v>42</v>
      </c>
      <c r="N77" s="67" t="s">
        <v>44</v>
      </c>
      <c r="O77" s="67">
        <v>0</v>
      </c>
      <c r="P77" s="66" t="s">
        <v>1172</v>
      </c>
      <c r="Q77" s="63">
        <v>1</v>
      </c>
      <c r="R77" s="63">
        <v>0</v>
      </c>
      <c r="S77" s="63">
        <v>0</v>
      </c>
      <c r="T77" s="63">
        <v>0</v>
      </c>
      <c r="U77" s="63">
        <v>21</v>
      </c>
      <c r="V77" s="63">
        <v>0</v>
      </c>
      <c r="W77" s="63">
        <v>0</v>
      </c>
      <c r="X77" s="63">
        <v>0</v>
      </c>
      <c r="Y77" s="63">
        <v>0</v>
      </c>
      <c r="Z77" s="63">
        <v>0</v>
      </c>
      <c r="AA77" s="63">
        <v>0</v>
      </c>
      <c r="AB77" s="63">
        <v>0</v>
      </c>
      <c r="AC77" s="63">
        <v>0</v>
      </c>
      <c r="AD77" s="63">
        <v>0</v>
      </c>
      <c r="AE77" s="63">
        <v>0</v>
      </c>
      <c r="AF77" s="63">
        <v>0</v>
      </c>
      <c r="AG77" s="63">
        <v>0</v>
      </c>
      <c r="AH77" s="63">
        <v>0</v>
      </c>
      <c r="AI77" s="63">
        <v>0</v>
      </c>
      <c r="AJ77" s="63">
        <v>21</v>
      </c>
      <c r="AK77" s="63">
        <v>0</v>
      </c>
      <c r="AL77" s="63" t="s">
        <v>35</v>
      </c>
      <c r="AM77" s="63" t="s">
        <v>36</v>
      </c>
      <c r="AN77" s="220" t="s">
        <v>40</v>
      </c>
      <c r="AO77" s="224"/>
      <c r="AP77" s="95" t="e">
        <f>IF(C77=VLOOKUP($A77,Feature_List!$A$2:$AO$101,MATCH(AP$1,Feature_List!$A$1:$AO$1,0),FALSE),"OK","BAD")</f>
        <v>#N/A</v>
      </c>
      <c r="AQ77" s="95" t="e">
        <f>IF(D77=VLOOKUP($A77,Feature_List!$A$2:$AO$101,MATCH(AQ$1,Feature_List!$A$1:$AO$1,0),FALSE),"OK","BAD")</f>
        <v>#N/A</v>
      </c>
      <c r="AR77" s="95" t="e">
        <f>IF(E77=VLOOKUP($A77,Feature_List!$A$2:$AO$101,MATCH(AR$1,Feature_List!$A$1:$AO$1,0),FALSE),"OK","BAD")</f>
        <v>#N/A</v>
      </c>
      <c r="AS77" s="95" t="e">
        <f>IF(F77=VLOOKUP($A77,Feature_List!$A$2:$AO$101,MATCH(AS$1,Feature_List!$A$1:$AO$1,0),FALSE),"OK","BAD")</f>
        <v>#N/A</v>
      </c>
      <c r="AT77" s="95" t="s">
        <v>985</v>
      </c>
      <c r="AU77" s="95" t="s">
        <v>985</v>
      </c>
      <c r="AV77" s="95" t="e">
        <f>IF(I77=VLOOKUP($A77,Feature_List!$A$2:$AO$101,MATCH(AV$1,Feature_List!$A$1:$AO$1,0),FALSE),"OK","BAD")</f>
        <v>#N/A</v>
      </c>
      <c r="AW77" s="95" t="e">
        <f>IF(J77=VLOOKUP($A77,Feature_List!$A$2:$AO$101,MATCH(AW$1,Feature_List!$A$1:$AO$1,0),FALSE),"OK","BAD")</f>
        <v>#N/A</v>
      </c>
      <c r="AX77" s="95" t="e">
        <f>IF(K77=VLOOKUP($A77,Feature_List!$A$2:$AO$101,MATCH(AX$1,Feature_List!$A$1:$AO$1,0),FALSE),"OK","BAD")</f>
        <v>#N/A</v>
      </c>
      <c r="AY77" s="95" t="e">
        <f>IF(L77=VLOOKUP($A77,Feature_List!$A$2:$AO$101,MATCH(AY$1,Feature_List!$A$1:$AO$1,0),FALSE),"OK","BAD")</f>
        <v>#N/A</v>
      </c>
      <c r="AZ77" s="95" t="e">
        <f>IF(M77=VLOOKUP($A77,Feature_List!$A$2:$AO$101,MATCH(AZ$1,Feature_List!$A$1:$AO$1,0),FALSE),"OK","BAD")</f>
        <v>#N/A</v>
      </c>
      <c r="BA77" s="95" t="e">
        <f>IF(N77=VLOOKUP($A77,Feature_List!$A$2:$AO$101,MATCH(BA$1,Feature_List!$A$1:$AO$1,0),FALSE),"OK","BAD")</f>
        <v>#N/A</v>
      </c>
      <c r="BB77" s="95" t="e">
        <f>IF(O77=VLOOKUP($A77,Feature_List!$A$2:$AO$101,MATCH(BB$1,Feature_List!$A$1:$AO$1,0),FALSE),"OK","BAD")</f>
        <v>#N/A</v>
      </c>
      <c r="BC77" s="95" t="e">
        <f>IF(P77=VLOOKUP($A77,Feature_List!$A$2:$AO$101,MATCH(BC$1,Feature_List!$A$1:$AO$1,0),FALSE),"OK","BAD")</f>
        <v>#N/A</v>
      </c>
      <c r="BD77" s="95" t="e">
        <f>IF(Q77=VLOOKUP($A77,Feature_List!$A$2:$AO$101,MATCH(BD$1,Feature_List!$A$1:$AO$1,0),FALSE),"OK","BAD")</f>
        <v>#N/A</v>
      </c>
      <c r="BE77" s="95" t="e">
        <f>IF(R77=VLOOKUP($A77,Feature_List!$A$2:$AO$101,MATCH(BE$1,Feature_List!$A$1:$AO$1,0),FALSE),"OK","BAD")</f>
        <v>#N/A</v>
      </c>
      <c r="BF77" s="95" t="e">
        <f>IF(S77=VLOOKUP($A77,Feature_List!$A$2:$AO$101,MATCH(BF$1,Feature_List!$A$1:$AO$1,0),FALSE),"OK","BAD")</f>
        <v>#N/A</v>
      </c>
      <c r="BG77" s="95" t="e">
        <f>IF(T77=VLOOKUP($A77,Feature_List!$A$2:$AO$101,MATCH(BG$1,Feature_List!$A$1:$AO$1,0),FALSE),"OK","BAD")</f>
        <v>#N/A</v>
      </c>
      <c r="BH77" s="95" t="e">
        <f>IF(U77=VLOOKUP($A77,Feature_List!$A$2:$AO$101,MATCH(BH$1,Feature_List!$A$1:$AO$1,0),FALSE),"OK","BAD")</f>
        <v>#N/A</v>
      </c>
      <c r="BI77" s="95" t="e">
        <f>IF(V77=VLOOKUP($A77,Feature_List!$A$2:$AO$101,MATCH(BI$1,Feature_List!$A$1:$AO$1,0),FALSE),"OK","BAD")</f>
        <v>#N/A</v>
      </c>
      <c r="BJ77" s="95" t="e">
        <f>IF(W77=VLOOKUP($A77,Feature_List!$A$2:$AO$101,MATCH(BJ$1,Feature_List!$A$1:$AO$1,0),FALSE),"OK","BAD")</f>
        <v>#N/A</v>
      </c>
      <c r="BK77" s="95" t="e">
        <f>IF(X77=VLOOKUP($A77,Feature_List!$A$2:$AO$101,MATCH(BK$1,Feature_List!$A$1:$AO$1,0),FALSE),"OK","BAD")</f>
        <v>#N/A</v>
      </c>
      <c r="BL77" s="95" t="e">
        <f>IF(Y77=VLOOKUP($A77,Feature_List!$A$2:$AO$101,MATCH(BL$1,Feature_List!$A$1:$AO$1,0),FALSE),"OK","BAD")</f>
        <v>#N/A</v>
      </c>
      <c r="BM77" s="95" t="e">
        <f>IF(Z77=VLOOKUP($A77,Feature_List!$A$2:$AO$101,MATCH(BM$1,Feature_List!$A$1:$AO$1,0),FALSE),"OK","BAD")</f>
        <v>#N/A</v>
      </c>
      <c r="BN77" s="95" t="e">
        <f>IF(AA77=VLOOKUP($A77,Feature_List!$A$2:$AO$101,MATCH(BN$1,Feature_List!$A$1:$AO$1,0),FALSE),"OK","BAD")</f>
        <v>#N/A</v>
      </c>
      <c r="BO77" s="95" t="e">
        <f>IF(AB77=VLOOKUP($A77,Feature_List!$A$2:$AO$101,MATCH(BO$1,Feature_List!$A$1:$AO$1,0),FALSE),"OK","BAD")</f>
        <v>#N/A</v>
      </c>
      <c r="BP77" s="95" t="e">
        <f>IF(AC77=VLOOKUP($A77,Feature_List!$A$2:$AO$101,MATCH(BP$1,Feature_List!$A$1:$AO$1,0),FALSE),"OK","BAD")</f>
        <v>#N/A</v>
      </c>
      <c r="BQ77" s="95" t="e">
        <f>IF(AD77=VLOOKUP($A77,Feature_List!$A$2:$AO$101,MATCH(BQ$1,Feature_List!$A$1:$AO$1,0),FALSE),"OK","BAD")</f>
        <v>#N/A</v>
      </c>
      <c r="BR77" s="95" t="e">
        <f>IF(AE77=VLOOKUP($A77,Feature_List!$A$2:$AO$101,MATCH(BR$1,Feature_List!$A$1:$AO$1,0),FALSE),"OK","BAD")</f>
        <v>#N/A</v>
      </c>
      <c r="BS77" s="95" t="e">
        <f>IF(AF77=VLOOKUP($A77,Feature_List!$A$2:$AO$101,MATCH(BS$1,Feature_List!$A$1:$AO$1,0),FALSE),"OK","BAD")</f>
        <v>#N/A</v>
      </c>
      <c r="BT77" s="95" t="e">
        <f>IF(AG77=VLOOKUP($A77,Feature_List!$A$2:$AO$101,MATCH(BT$1,Feature_List!$A$1:$AO$1,0),FALSE),"OK","BAD")</f>
        <v>#N/A</v>
      </c>
      <c r="BU77" s="95" t="e">
        <f>IF(AH77=VLOOKUP($A77,Feature_List!$A$2:$AO$101,MATCH(BU$1,Feature_List!$A$1:$AO$1,0),FALSE),"OK","BAD")</f>
        <v>#N/A</v>
      </c>
      <c r="BV77" s="95" t="e">
        <f>IF(AI77=VLOOKUP($A77,Feature_List!$A$2:$AO$101,MATCH(BV$1,Feature_List!$A$1:$AO$1,0),FALSE),"OK","BAD")</f>
        <v>#N/A</v>
      </c>
      <c r="BW77" s="95" t="e">
        <f>IF(AJ77=VLOOKUP($A77,Feature_List!$A$2:$AO$101,MATCH(BW$1,Feature_List!$A$1:$AO$1,0),FALSE),"OK","BAD")</f>
        <v>#N/A</v>
      </c>
      <c r="BX77" s="95" t="e">
        <f>IF(AK77=VLOOKUP($A77,Feature_List!$A$2:$AO$101,MATCH(BX$1,Feature_List!$A$1:$AO$1,0),FALSE),"OK","BAD")</f>
        <v>#N/A</v>
      </c>
      <c r="BY77" s="95" t="e">
        <f>IF(AL77=VLOOKUP($A77,Feature_List!$A$2:$AO$101,MATCH(BY$1,Feature_List!$A$1:$AO$1,0),FALSE),"OK","BAD")</f>
        <v>#N/A</v>
      </c>
      <c r="BZ77" s="95" t="e">
        <f>IF(AM77=VLOOKUP($A77,Feature_List!$A$2:$AO$101,MATCH(BZ$1,Feature_List!$A$1:$AO$1,0),FALSE),"OK","BAD")</f>
        <v>#N/A</v>
      </c>
      <c r="CA77" s="95" t="e">
        <f>IF(AN77=VLOOKUP($A77,Feature_List!$A$2:$AO$101,MATCH(CA$1,Feature_List!$A$1:$AO$1,0),FALSE),"OK","BAD")</f>
        <v>#N/A</v>
      </c>
    </row>
    <row r="78" spans="1:79" ht="14.4" customHeight="1" x14ac:dyDescent="0.3">
      <c r="A78" s="70">
        <v>353134</v>
      </c>
      <c r="B78" s="65" t="s">
        <v>1142</v>
      </c>
      <c r="C78" s="98" t="s">
        <v>1143</v>
      </c>
      <c r="D78" s="65" t="s">
        <v>106</v>
      </c>
      <c r="E78" s="64">
        <v>27</v>
      </c>
      <c r="F78" s="64" t="s">
        <v>879</v>
      </c>
      <c r="G78" s="64" t="s">
        <v>1563</v>
      </c>
      <c r="H78" s="64" t="s">
        <v>548</v>
      </c>
      <c r="I78" s="99" t="s">
        <v>38</v>
      </c>
      <c r="J78" s="64" t="s">
        <v>1412</v>
      </c>
      <c r="K78" s="64">
        <v>0</v>
      </c>
      <c r="L78" s="62" t="s">
        <v>945</v>
      </c>
      <c r="M78" s="67" t="s">
        <v>42</v>
      </c>
      <c r="N78" s="67" t="s">
        <v>44</v>
      </c>
      <c r="O78" s="67">
        <v>0</v>
      </c>
      <c r="P78" s="66" t="s">
        <v>1172</v>
      </c>
      <c r="Q78" s="63">
        <v>1</v>
      </c>
      <c r="R78" s="63">
        <v>3</v>
      </c>
      <c r="S78" s="63">
        <v>0</v>
      </c>
      <c r="T78" s="63">
        <v>0</v>
      </c>
      <c r="U78" s="63">
        <v>24</v>
      </c>
      <c r="V78" s="63">
        <v>0</v>
      </c>
      <c r="W78" s="63">
        <v>0</v>
      </c>
      <c r="X78" s="63">
        <v>0</v>
      </c>
      <c r="Y78" s="63">
        <v>0</v>
      </c>
      <c r="Z78" s="63">
        <v>0</v>
      </c>
      <c r="AA78" s="63">
        <v>0</v>
      </c>
      <c r="AB78" s="63">
        <v>0</v>
      </c>
      <c r="AC78" s="63">
        <v>0</v>
      </c>
      <c r="AD78" s="63">
        <v>0</v>
      </c>
      <c r="AE78" s="63">
        <v>0</v>
      </c>
      <c r="AF78" s="63">
        <v>0</v>
      </c>
      <c r="AG78" s="63">
        <v>0</v>
      </c>
      <c r="AH78" s="63">
        <v>0</v>
      </c>
      <c r="AI78" s="63">
        <v>0</v>
      </c>
      <c r="AJ78" s="63">
        <v>24</v>
      </c>
      <c r="AK78" s="63">
        <v>0</v>
      </c>
      <c r="AL78" s="63" t="s">
        <v>35</v>
      </c>
      <c r="AM78" s="63" t="s">
        <v>36</v>
      </c>
      <c r="AN78" s="220" t="s">
        <v>33</v>
      </c>
      <c r="AO78" s="224"/>
      <c r="AP78" s="95" t="str">
        <f>IF(C78=VLOOKUP($A78,Feature_List!$A$2:$AO$101,MATCH(AP$1,Feature_List!$A$1:$AO$1,0),FALSE),"OK","BAD")</f>
        <v>BAD</v>
      </c>
      <c r="AQ78" s="95" t="str">
        <f>IF(D78=VLOOKUP($A78,Feature_List!$A$2:$AO$101,MATCH(AQ$1,Feature_List!$A$1:$AO$1,0),FALSE),"OK","BAD")</f>
        <v>OK</v>
      </c>
      <c r="AR78" s="95" t="str">
        <f>IF(E78=VLOOKUP($A78,Feature_List!$A$2:$AO$101,MATCH(AR$1,Feature_List!$A$1:$AO$1,0),FALSE),"OK","BAD")</f>
        <v>OK</v>
      </c>
      <c r="AS78" s="95" t="str">
        <f>IF(F78=VLOOKUP($A78,Feature_List!$A$2:$AO$101,MATCH(AS$1,Feature_List!$A$1:$AO$1,0),FALSE),"OK","BAD")</f>
        <v>OK</v>
      </c>
      <c r="AT78" s="95" t="s">
        <v>985</v>
      </c>
      <c r="AU78" s="95" t="s">
        <v>985</v>
      </c>
      <c r="AV78" s="95" t="str">
        <f>IF(I78=VLOOKUP($A78,Feature_List!$A$2:$AO$101,MATCH(AV$1,Feature_List!$A$1:$AO$1,0),FALSE),"OK","BAD")</f>
        <v>OK</v>
      </c>
      <c r="AW78" s="95" t="str">
        <f>IF(J78=VLOOKUP($A78,Feature_List!$A$2:$AO$101,MATCH(AW$1,Feature_List!$A$1:$AO$1,0),FALSE),"OK","BAD")</f>
        <v>OK</v>
      </c>
      <c r="AX78" s="95" t="str">
        <f>IF(K78=VLOOKUP($A78,Feature_List!$A$2:$AO$101,MATCH(AX$1,Feature_List!$A$1:$AO$1,0),FALSE),"OK","BAD")</f>
        <v>OK</v>
      </c>
      <c r="AY78" s="95" t="str">
        <f>IF(L78=VLOOKUP($A78,Feature_List!$A$2:$AO$101,MATCH(AY$1,Feature_List!$A$1:$AO$1,0),FALSE),"OK","BAD")</f>
        <v>OK</v>
      </c>
      <c r="AZ78" s="95" t="str">
        <f>IF(M78=VLOOKUP($A78,Feature_List!$A$2:$AO$101,MATCH(AZ$1,Feature_List!$A$1:$AO$1,0),FALSE),"OK","BAD")</f>
        <v>OK</v>
      </c>
      <c r="BA78" s="95" t="str">
        <f>IF(N78=VLOOKUP($A78,Feature_List!$A$2:$AO$101,MATCH(BA$1,Feature_List!$A$1:$AO$1,0),FALSE),"OK","BAD")</f>
        <v>OK</v>
      </c>
      <c r="BB78" s="95" t="str">
        <f>IF(O78=VLOOKUP($A78,Feature_List!$A$2:$AO$101,MATCH(BB$1,Feature_List!$A$1:$AO$1,0),FALSE),"OK","BAD")</f>
        <v>OK</v>
      </c>
      <c r="BC78" s="95" t="e">
        <f>IF(P78=VLOOKUP($A78,Feature_List!$A$2:$AO$101,MATCH(BC$1,Feature_List!$A$1:$AO$1,0),FALSE),"OK","BAD")</f>
        <v>#N/A</v>
      </c>
      <c r="BD78" s="95" t="str">
        <f>IF(Q78=VLOOKUP($A78,Feature_List!$A$2:$AO$101,MATCH(BD$1,Feature_List!$A$1:$AO$1,0),FALSE),"OK","BAD")</f>
        <v>OK</v>
      </c>
      <c r="BE78" s="95" t="str">
        <f>IF(R78=VLOOKUP($A78,Feature_List!$A$2:$AO$101,MATCH(BE$1,Feature_List!$A$1:$AO$1,0),FALSE),"OK","BAD")</f>
        <v>BAD</v>
      </c>
      <c r="BF78" s="95" t="str">
        <f>IF(S78=VLOOKUP($A78,Feature_List!$A$2:$AO$101,MATCH(BF$1,Feature_List!$A$1:$AO$1,0),FALSE),"OK","BAD")</f>
        <v>OK</v>
      </c>
      <c r="BG78" s="95" t="str">
        <f>IF(T78=VLOOKUP($A78,Feature_List!$A$2:$AO$101,MATCH(BG$1,Feature_List!$A$1:$AO$1,0),FALSE),"OK","BAD")</f>
        <v>OK</v>
      </c>
      <c r="BH78" s="95" t="str">
        <f>IF(U78=VLOOKUP($A78,Feature_List!$A$2:$AO$101,MATCH(BH$1,Feature_List!$A$1:$AO$1,0),FALSE),"OK","BAD")</f>
        <v>BAD</v>
      </c>
      <c r="BI78" s="95" t="str">
        <f>IF(V78=VLOOKUP($A78,Feature_List!$A$2:$AO$101,MATCH(BI$1,Feature_List!$A$1:$AO$1,0),FALSE),"OK","BAD")</f>
        <v>OK</v>
      </c>
      <c r="BJ78" s="95" t="e">
        <f>IF(W78=VLOOKUP($A78,Feature_List!$A$2:$AO$101,MATCH(BJ$1,Feature_List!$A$1:$AO$1,0),FALSE),"OK","BAD")</f>
        <v>#N/A</v>
      </c>
      <c r="BK78" s="95" t="str">
        <f>IF(X78=VLOOKUP($A78,Feature_List!$A$2:$AO$101,MATCH(BK$1,Feature_List!$A$1:$AO$1,0),FALSE),"OK","BAD")</f>
        <v>OK</v>
      </c>
      <c r="BL78" s="95" t="str">
        <f>IF(Y78=VLOOKUP($A78,Feature_List!$A$2:$AO$101,MATCH(BL$1,Feature_List!$A$1:$AO$1,0),FALSE),"OK","BAD")</f>
        <v>OK</v>
      </c>
      <c r="BM78" s="95" t="str">
        <f>IF(Z78=VLOOKUP($A78,Feature_List!$A$2:$AO$101,MATCH(BM$1,Feature_List!$A$1:$AO$1,0),FALSE),"OK","BAD")</f>
        <v>OK</v>
      </c>
      <c r="BN78" s="95" t="str">
        <f>IF(AA78=VLOOKUP($A78,Feature_List!$A$2:$AO$101,MATCH(BN$1,Feature_List!$A$1:$AO$1,0),FALSE),"OK","BAD")</f>
        <v>OK</v>
      </c>
      <c r="BO78" s="95" t="str">
        <f>IF(AB78=VLOOKUP($A78,Feature_List!$A$2:$AO$101,MATCH(BO$1,Feature_List!$A$1:$AO$1,0),FALSE),"OK","BAD")</f>
        <v>OK</v>
      </c>
      <c r="BP78" s="95" t="str">
        <f>IF(AC78=VLOOKUP($A78,Feature_List!$A$2:$AO$101,MATCH(BP$1,Feature_List!$A$1:$AO$1,0),FALSE),"OK","BAD")</f>
        <v>OK</v>
      </c>
      <c r="BQ78" s="95" t="str">
        <f>IF(AD78=VLOOKUP($A78,Feature_List!$A$2:$AO$101,MATCH(BQ$1,Feature_List!$A$1:$AO$1,0),FALSE),"OK","BAD")</f>
        <v>OK</v>
      </c>
      <c r="BR78" s="95" t="str">
        <f>IF(AE78=VLOOKUP($A78,Feature_List!$A$2:$AO$101,MATCH(BR$1,Feature_List!$A$1:$AO$1,0),FALSE),"OK","BAD")</f>
        <v>OK</v>
      </c>
      <c r="BS78" s="95" t="str">
        <f>IF(AF78=VLOOKUP($A78,Feature_List!$A$2:$AO$101,MATCH(BS$1,Feature_List!$A$1:$AO$1,0),FALSE),"OK","BAD")</f>
        <v>OK</v>
      </c>
      <c r="BT78" s="95" t="str">
        <f>IF(AG78=VLOOKUP($A78,Feature_List!$A$2:$AO$101,MATCH(BT$1,Feature_List!$A$1:$AO$1,0),FALSE),"OK","BAD")</f>
        <v>OK</v>
      </c>
      <c r="BU78" s="95" t="str">
        <f>IF(AH78=VLOOKUP($A78,Feature_List!$A$2:$AO$101,MATCH(BU$1,Feature_List!$A$1:$AO$1,0),FALSE),"OK","BAD")</f>
        <v>OK</v>
      </c>
      <c r="BV78" s="95" t="e">
        <f>IF(AI78=VLOOKUP($A78,Feature_List!$A$2:$AO$101,MATCH(BV$1,Feature_List!$A$1:$AO$1,0),FALSE),"OK","BAD")</f>
        <v>#N/A</v>
      </c>
      <c r="BW78" s="95" t="e">
        <f>IF(AJ78=VLOOKUP($A78,Feature_List!$A$2:$AO$101,MATCH(BW$1,Feature_List!$A$1:$AO$1,0),FALSE),"OK","BAD")</f>
        <v>#N/A</v>
      </c>
      <c r="BX78" s="95" t="e">
        <f>IF(AK78=VLOOKUP($A78,Feature_List!$A$2:$AO$101,MATCH(BX$1,Feature_List!$A$1:$AO$1,0),FALSE),"OK","BAD")</f>
        <v>#N/A</v>
      </c>
      <c r="BY78" s="95" t="str">
        <f>IF(AL78=VLOOKUP($A78,Feature_List!$A$2:$AO$101,MATCH(BY$1,Feature_List!$A$1:$AO$1,0),FALSE),"OK","BAD")</f>
        <v>OK</v>
      </c>
      <c r="BZ78" s="95" t="str">
        <f>IF(AM78=VLOOKUP($A78,Feature_List!$A$2:$AO$101,MATCH(BZ$1,Feature_List!$A$1:$AO$1,0),FALSE),"OK","BAD")</f>
        <v>OK</v>
      </c>
      <c r="CA78" s="95" t="str">
        <f>IF(AN78=VLOOKUP($A78,Feature_List!$A$2:$AO$101,MATCH(CA$1,Feature_List!$A$1:$AO$1,0),FALSE),"OK","BAD")</f>
        <v>OK</v>
      </c>
    </row>
    <row r="79" spans="1:79" ht="14.4" customHeight="1" x14ac:dyDescent="0.3">
      <c r="A79" s="70">
        <v>352931</v>
      </c>
      <c r="B79" s="65" t="s">
        <v>971</v>
      </c>
      <c r="C79" s="98" t="s">
        <v>1145</v>
      </c>
      <c r="D79" s="65" t="s">
        <v>28</v>
      </c>
      <c r="E79" s="64">
        <v>16</v>
      </c>
      <c r="F79" s="64" t="s">
        <v>41</v>
      </c>
      <c r="G79" s="64" t="s">
        <v>1418</v>
      </c>
      <c r="H79" s="64" t="s">
        <v>29</v>
      </c>
      <c r="I79" s="99" t="s">
        <v>38</v>
      </c>
      <c r="J79" s="64" t="s">
        <v>1412</v>
      </c>
      <c r="K79" s="64">
        <v>351909</v>
      </c>
      <c r="L79" s="62" t="s">
        <v>947</v>
      </c>
      <c r="M79" s="67" t="s">
        <v>31</v>
      </c>
      <c r="N79" s="67" t="s">
        <v>136</v>
      </c>
      <c r="O79" s="67">
        <v>0</v>
      </c>
      <c r="P79" s="66" t="s">
        <v>133</v>
      </c>
      <c r="Q79" s="63">
        <v>2</v>
      </c>
      <c r="R79" s="63">
        <v>0</v>
      </c>
      <c r="S79" s="63">
        <v>0</v>
      </c>
      <c r="T79" s="63">
        <v>0</v>
      </c>
      <c r="U79" s="63">
        <v>0</v>
      </c>
      <c r="V79" s="63">
        <v>0</v>
      </c>
      <c r="W79" s="63">
        <v>0</v>
      </c>
      <c r="X79" s="63">
        <v>0</v>
      </c>
      <c r="Y79" s="63">
        <v>0</v>
      </c>
      <c r="Z79" s="63">
        <v>0</v>
      </c>
      <c r="AA79" s="63">
        <v>0</v>
      </c>
      <c r="AB79" s="63">
        <v>2</v>
      </c>
      <c r="AC79" s="63">
        <v>14</v>
      </c>
      <c r="AD79" s="63">
        <v>0</v>
      </c>
      <c r="AE79" s="63">
        <v>0</v>
      </c>
      <c r="AF79" s="63">
        <v>0</v>
      </c>
      <c r="AG79" s="63">
        <v>0</v>
      </c>
      <c r="AH79" s="63">
        <v>0</v>
      </c>
      <c r="AI79" s="63">
        <v>0</v>
      </c>
      <c r="AJ79" s="63">
        <v>16</v>
      </c>
      <c r="AK79" s="63">
        <v>0</v>
      </c>
      <c r="AL79" s="63" t="s">
        <v>35</v>
      </c>
      <c r="AM79" s="63" t="s">
        <v>854</v>
      </c>
      <c r="AN79" s="220" t="s">
        <v>40</v>
      </c>
      <c r="AO79" s="224"/>
      <c r="AP79" s="95" t="e">
        <f>IF(C79=VLOOKUP($A79,Feature_List!$A$2:$AO$101,MATCH(AP$1,Feature_List!$A$1:$AO$1,0),FALSE),"OK","BAD")</f>
        <v>#N/A</v>
      </c>
      <c r="AQ79" s="95" t="e">
        <f>IF(D79=VLOOKUP($A79,Feature_List!$A$2:$AO$101,MATCH(AQ$1,Feature_List!$A$1:$AO$1,0),FALSE),"OK","BAD")</f>
        <v>#N/A</v>
      </c>
      <c r="AR79" s="95" t="e">
        <f>IF(E79=VLOOKUP($A79,Feature_List!$A$2:$AO$101,MATCH(AR$1,Feature_List!$A$1:$AO$1,0),FALSE),"OK","BAD")</f>
        <v>#N/A</v>
      </c>
      <c r="AS79" s="95" t="e">
        <f>IF(F79=VLOOKUP($A79,Feature_List!$A$2:$AO$101,MATCH(AS$1,Feature_List!$A$1:$AO$1,0),FALSE),"OK","BAD")</f>
        <v>#N/A</v>
      </c>
      <c r="AT79" s="95" t="s">
        <v>985</v>
      </c>
      <c r="AU79" s="95" t="s">
        <v>985</v>
      </c>
      <c r="AV79" s="95" t="e">
        <f>IF(I79=VLOOKUP($A79,Feature_List!$A$2:$AO$101,MATCH(AV$1,Feature_List!$A$1:$AO$1,0),FALSE),"OK","BAD")</f>
        <v>#N/A</v>
      </c>
      <c r="AW79" s="95" t="e">
        <f>IF(J79=VLOOKUP($A79,Feature_List!$A$2:$AO$101,MATCH(AW$1,Feature_List!$A$1:$AO$1,0),FALSE),"OK","BAD")</f>
        <v>#N/A</v>
      </c>
      <c r="AX79" s="95" t="e">
        <f>IF(K79=VLOOKUP($A79,Feature_List!$A$2:$AO$101,MATCH(AX$1,Feature_List!$A$1:$AO$1,0),FALSE),"OK","BAD")</f>
        <v>#N/A</v>
      </c>
      <c r="AY79" s="95" t="e">
        <f>IF(L79=VLOOKUP($A79,Feature_List!$A$2:$AO$101,MATCH(AY$1,Feature_List!$A$1:$AO$1,0),FALSE),"OK","BAD")</f>
        <v>#N/A</v>
      </c>
      <c r="AZ79" s="95" t="e">
        <f>IF(M79=VLOOKUP($A79,Feature_List!$A$2:$AO$101,MATCH(AZ$1,Feature_List!$A$1:$AO$1,0),FALSE),"OK","BAD")</f>
        <v>#N/A</v>
      </c>
      <c r="BA79" s="95" t="e">
        <f>IF(N79=VLOOKUP($A79,Feature_List!$A$2:$AO$101,MATCH(BA$1,Feature_List!$A$1:$AO$1,0),FALSE),"OK","BAD")</f>
        <v>#N/A</v>
      </c>
      <c r="BB79" s="95" t="e">
        <f>IF(O79=VLOOKUP($A79,Feature_List!$A$2:$AO$101,MATCH(BB$1,Feature_List!$A$1:$AO$1,0),FALSE),"OK","BAD")</f>
        <v>#N/A</v>
      </c>
      <c r="BC79" s="95" t="e">
        <f>IF(P79=VLOOKUP($A79,Feature_List!$A$2:$AO$101,MATCH(BC$1,Feature_List!$A$1:$AO$1,0),FALSE),"OK","BAD")</f>
        <v>#N/A</v>
      </c>
      <c r="BD79" s="95" t="e">
        <f>IF(Q79=VLOOKUP($A79,Feature_List!$A$2:$AO$101,MATCH(BD$1,Feature_List!$A$1:$AO$1,0),FALSE),"OK","BAD")</f>
        <v>#N/A</v>
      </c>
      <c r="BE79" s="95" t="e">
        <f>IF(R79=VLOOKUP($A79,Feature_List!$A$2:$AO$101,MATCH(BE$1,Feature_List!$A$1:$AO$1,0),FALSE),"OK","BAD")</f>
        <v>#N/A</v>
      </c>
      <c r="BF79" s="95" t="e">
        <f>IF(S79=VLOOKUP($A79,Feature_List!$A$2:$AO$101,MATCH(BF$1,Feature_List!$A$1:$AO$1,0),FALSE),"OK","BAD")</f>
        <v>#N/A</v>
      </c>
      <c r="BG79" s="95" t="e">
        <f>IF(T79=VLOOKUP($A79,Feature_List!$A$2:$AO$101,MATCH(BG$1,Feature_List!$A$1:$AO$1,0),FALSE),"OK","BAD")</f>
        <v>#N/A</v>
      </c>
      <c r="BH79" s="95" t="e">
        <f>IF(U79=VLOOKUP($A79,Feature_List!$A$2:$AO$101,MATCH(BH$1,Feature_List!$A$1:$AO$1,0),FALSE),"OK","BAD")</f>
        <v>#N/A</v>
      </c>
      <c r="BI79" s="95" t="e">
        <f>IF(V79=VLOOKUP($A79,Feature_List!$A$2:$AO$101,MATCH(BI$1,Feature_List!$A$1:$AO$1,0),FALSE),"OK","BAD")</f>
        <v>#N/A</v>
      </c>
      <c r="BJ79" s="95" t="e">
        <f>IF(W79=VLOOKUP($A79,Feature_List!$A$2:$AO$101,MATCH(BJ$1,Feature_List!$A$1:$AO$1,0),FALSE),"OK","BAD")</f>
        <v>#N/A</v>
      </c>
      <c r="BK79" s="95" t="e">
        <f>IF(X79=VLOOKUP($A79,Feature_List!$A$2:$AO$101,MATCH(BK$1,Feature_List!$A$1:$AO$1,0),FALSE),"OK","BAD")</f>
        <v>#N/A</v>
      </c>
      <c r="BL79" s="95" t="e">
        <f>IF(Y79=VLOOKUP($A79,Feature_List!$A$2:$AO$101,MATCH(BL$1,Feature_List!$A$1:$AO$1,0),FALSE),"OK","BAD")</f>
        <v>#N/A</v>
      </c>
      <c r="BM79" s="95" t="e">
        <f>IF(Z79=VLOOKUP($A79,Feature_List!$A$2:$AO$101,MATCH(BM$1,Feature_List!$A$1:$AO$1,0),FALSE),"OK","BAD")</f>
        <v>#N/A</v>
      </c>
      <c r="BN79" s="95" t="e">
        <f>IF(AA79=VLOOKUP($A79,Feature_List!$A$2:$AO$101,MATCH(BN$1,Feature_List!$A$1:$AO$1,0),FALSE),"OK","BAD")</f>
        <v>#N/A</v>
      </c>
      <c r="BO79" s="95" t="e">
        <f>IF(AB79=VLOOKUP($A79,Feature_List!$A$2:$AO$101,MATCH(BO$1,Feature_List!$A$1:$AO$1,0),FALSE),"OK","BAD")</f>
        <v>#N/A</v>
      </c>
      <c r="BP79" s="95" t="e">
        <f>IF(AC79=VLOOKUP($A79,Feature_List!$A$2:$AO$101,MATCH(BP$1,Feature_List!$A$1:$AO$1,0),FALSE),"OK","BAD")</f>
        <v>#N/A</v>
      </c>
      <c r="BQ79" s="95" t="e">
        <f>IF(AD79=VLOOKUP($A79,Feature_List!$A$2:$AO$101,MATCH(BQ$1,Feature_List!$A$1:$AO$1,0),FALSE),"OK","BAD")</f>
        <v>#N/A</v>
      </c>
      <c r="BR79" s="95" t="e">
        <f>IF(AE79=VLOOKUP($A79,Feature_List!$A$2:$AO$101,MATCH(BR$1,Feature_List!$A$1:$AO$1,0),FALSE),"OK","BAD")</f>
        <v>#N/A</v>
      </c>
      <c r="BS79" s="95" t="e">
        <f>IF(AF79=VLOOKUP($A79,Feature_List!$A$2:$AO$101,MATCH(BS$1,Feature_List!$A$1:$AO$1,0),FALSE),"OK","BAD")</f>
        <v>#N/A</v>
      </c>
      <c r="BT79" s="95" t="e">
        <f>IF(AG79=VLOOKUP($A79,Feature_List!$A$2:$AO$101,MATCH(BT$1,Feature_List!$A$1:$AO$1,0),FALSE),"OK","BAD")</f>
        <v>#N/A</v>
      </c>
      <c r="BU79" s="95" t="e">
        <f>IF(AH79=VLOOKUP($A79,Feature_List!$A$2:$AO$101,MATCH(BU$1,Feature_List!$A$1:$AO$1,0),FALSE),"OK","BAD")</f>
        <v>#N/A</v>
      </c>
      <c r="BV79" s="95" t="e">
        <f>IF(AI79=VLOOKUP($A79,Feature_List!$A$2:$AO$101,MATCH(BV$1,Feature_List!$A$1:$AO$1,0),FALSE),"OK","BAD")</f>
        <v>#N/A</v>
      </c>
      <c r="BW79" s="95" t="e">
        <f>IF(AJ79=VLOOKUP($A79,Feature_List!$A$2:$AO$101,MATCH(BW$1,Feature_List!$A$1:$AO$1,0),FALSE),"OK","BAD")</f>
        <v>#N/A</v>
      </c>
      <c r="BX79" s="95" t="e">
        <f>IF(AK79=VLOOKUP($A79,Feature_List!$A$2:$AO$101,MATCH(BX$1,Feature_List!$A$1:$AO$1,0),FALSE),"OK","BAD")</f>
        <v>#N/A</v>
      </c>
      <c r="BY79" s="95" t="e">
        <f>IF(AL79=VLOOKUP($A79,Feature_List!$A$2:$AO$101,MATCH(BY$1,Feature_List!$A$1:$AO$1,0),FALSE),"OK","BAD")</f>
        <v>#N/A</v>
      </c>
      <c r="BZ79" s="95" t="e">
        <f>IF(AM79=VLOOKUP($A79,Feature_List!$A$2:$AO$101,MATCH(BZ$1,Feature_List!$A$1:$AO$1,0),FALSE),"OK","BAD")</f>
        <v>#N/A</v>
      </c>
      <c r="CA79" s="95" t="e">
        <f>IF(AN79=VLOOKUP($A79,Feature_List!$A$2:$AO$101,MATCH(CA$1,Feature_List!$A$1:$AO$1,0),FALSE),"OK","BAD")</f>
        <v>#N/A</v>
      </c>
    </row>
    <row r="80" spans="1:79" ht="14.4" customHeight="1" x14ac:dyDescent="0.3">
      <c r="A80" s="70">
        <v>342054</v>
      </c>
      <c r="B80" s="65" t="s">
        <v>1152</v>
      </c>
      <c r="C80" s="98" t="s">
        <v>972</v>
      </c>
      <c r="D80" s="65" t="s">
        <v>28</v>
      </c>
      <c r="E80" s="64">
        <v>93</v>
      </c>
      <c r="F80" s="64" t="s">
        <v>879</v>
      </c>
      <c r="G80" s="64" t="s">
        <v>1472</v>
      </c>
      <c r="H80" s="64" t="s">
        <v>170</v>
      </c>
      <c r="I80" s="99" t="s">
        <v>38</v>
      </c>
      <c r="J80" s="64" t="s">
        <v>1412</v>
      </c>
      <c r="K80" s="64">
        <v>347074</v>
      </c>
      <c r="L80" s="62" t="s">
        <v>943</v>
      </c>
      <c r="M80" s="67" t="s">
        <v>31</v>
      </c>
      <c r="N80" s="67" t="s">
        <v>32</v>
      </c>
      <c r="O80" s="67">
        <v>0</v>
      </c>
      <c r="P80" s="66" t="s">
        <v>133</v>
      </c>
      <c r="Q80" s="63">
        <v>2</v>
      </c>
      <c r="R80" s="63">
        <v>0</v>
      </c>
      <c r="S80" s="63">
        <v>0</v>
      </c>
      <c r="T80" s="63">
        <v>0</v>
      </c>
      <c r="U80" s="63">
        <v>0</v>
      </c>
      <c r="V80" s="63">
        <v>36</v>
      </c>
      <c r="W80" s="63">
        <v>0</v>
      </c>
      <c r="X80" s="63">
        <v>24</v>
      </c>
      <c r="Y80" s="63">
        <v>0</v>
      </c>
      <c r="Z80" s="63">
        <v>0</v>
      </c>
      <c r="AA80" s="63">
        <v>0</v>
      </c>
      <c r="AB80" s="63">
        <v>0</v>
      </c>
      <c r="AC80" s="63">
        <v>0</v>
      </c>
      <c r="AD80" s="63">
        <v>0</v>
      </c>
      <c r="AE80" s="63">
        <v>0</v>
      </c>
      <c r="AF80" s="63">
        <v>0</v>
      </c>
      <c r="AG80" s="63">
        <v>0</v>
      </c>
      <c r="AH80" s="63">
        <v>0</v>
      </c>
      <c r="AI80" s="63">
        <v>0</v>
      </c>
      <c r="AJ80" s="63">
        <v>60</v>
      </c>
      <c r="AK80" s="63">
        <v>33</v>
      </c>
      <c r="AL80" s="63" t="s">
        <v>35</v>
      </c>
      <c r="AM80" s="63" t="s">
        <v>854</v>
      </c>
      <c r="AN80" s="220" t="s">
        <v>33</v>
      </c>
      <c r="AO80" s="224"/>
      <c r="AP80" s="95" t="str">
        <f>IF(C80=VLOOKUP($A80,Feature_List!$A$2:$AO$101,MATCH(AP$1,Feature_List!$A$1:$AO$1,0),FALSE),"OK","BAD")</f>
        <v>BAD</v>
      </c>
      <c r="AQ80" s="95" t="str">
        <f>IF(D80=VLOOKUP($A80,Feature_List!$A$2:$AO$101,MATCH(AQ$1,Feature_List!$A$1:$AO$1,0),FALSE),"OK","BAD")</f>
        <v>BAD</v>
      </c>
      <c r="AR80" s="95" t="str">
        <f>IF(E80=VLOOKUP($A80,Feature_List!$A$2:$AO$101,MATCH(AR$1,Feature_List!$A$1:$AO$1,0),FALSE),"OK","BAD")</f>
        <v>OK</v>
      </c>
      <c r="AS80" s="95" t="str">
        <f>IF(F80=VLOOKUP($A80,Feature_List!$A$2:$AO$101,MATCH(AS$1,Feature_List!$A$1:$AO$1,0),FALSE),"OK","BAD")</f>
        <v>BAD</v>
      </c>
      <c r="AT80" s="95" t="s">
        <v>985</v>
      </c>
      <c r="AU80" s="95" t="s">
        <v>985</v>
      </c>
      <c r="AV80" s="95" t="str">
        <f>IF(I80=VLOOKUP($A80,Feature_List!$A$2:$AO$101,MATCH(AV$1,Feature_List!$A$1:$AO$1,0),FALSE),"OK","BAD")</f>
        <v>BAD</v>
      </c>
      <c r="AW80" s="95" t="str">
        <f>IF(J80=VLOOKUP($A80,Feature_List!$A$2:$AO$101,MATCH(AW$1,Feature_List!$A$1:$AO$1,0),FALSE),"OK","BAD")</f>
        <v>OK</v>
      </c>
      <c r="AX80" s="95" t="str">
        <f>IF(K80=VLOOKUP($A80,Feature_List!$A$2:$AO$101,MATCH(AX$1,Feature_List!$A$1:$AO$1,0),FALSE),"OK","BAD")</f>
        <v>OK</v>
      </c>
      <c r="AY80" s="95" t="str">
        <f>IF(L80=VLOOKUP($A80,Feature_List!$A$2:$AO$101,MATCH(AY$1,Feature_List!$A$1:$AO$1,0),FALSE),"OK","BAD")</f>
        <v>OK</v>
      </c>
      <c r="AZ80" s="95" t="str">
        <f>IF(M80=VLOOKUP($A80,Feature_List!$A$2:$AO$101,MATCH(AZ$1,Feature_List!$A$1:$AO$1,0),FALSE),"OK","BAD")</f>
        <v>OK</v>
      </c>
      <c r="BA80" s="95" t="str">
        <f>IF(N80=VLOOKUP($A80,Feature_List!$A$2:$AO$101,MATCH(BA$1,Feature_List!$A$1:$AO$1,0),FALSE),"OK","BAD")</f>
        <v>OK</v>
      </c>
      <c r="BB80" s="95" t="str">
        <f>IF(O80=VLOOKUP($A80,Feature_List!$A$2:$AO$101,MATCH(BB$1,Feature_List!$A$1:$AO$1,0),FALSE),"OK","BAD")</f>
        <v>BAD</v>
      </c>
      <c r="BC80" s="95" t="e">
        <f>IF(P80=VLOOKUP($A80,Feature_List!$A$2:$AO$101,MATCH(BC$1,Feature_List!$A$1:$AO$1,0),FALSE),"OK","BAD")</f>
        <v>#N/A</v>
      </c>
      <c r="BD80" s="95" t="str">
        <f>IF(Q80=VLOOKUP($A80,Feature_List!$A$2:$AO$101,MATCH(BD$1,Feature_List!$A$1:$AO$1,0),FALSE),"OK","BAD")</f>
        <v>BAD</v>
      </c>
      <c r="BE80" s="95" t="str">
        <f>IF(R80=VLOOKUP($A80,Feature_List!$A$2:$AO$101,MATCH(BE$1,Feature_List!$A$1:$AO$1,0),FALSE),"OK","BAD")</f>
        <v>BAD</v>
      </c>
      <c r="BF80" s="95" t="str">
        <f>IF(S80=VLOOKUP($A80,Feature_List!$A$2:$AO$101,MATCH(BF$1,Feature_List!$A$1:$AO$1,0),FALSE),"OK","BAD")</f>
        <v>OK</v>
      </c>
      <c r="BG80" s="95" t="str">
        <f>IF(T80=VLOOKUP($A80,Feature_List!$A$2:$AO$101,MATCH(BG$1,Feature_List!$A$1:$AO$1,0),FALSE),"OK","BAD")</f>
        <v>OK</v>
      </c>
      <c r="BH80" s="95" t="str">
        <f>IF(U80=VLOOKUP($A80,Feature_List!$A$2:$AO$101,MATCH(BH$1,Feature_List!$A$1:$AO$1,0),FALSE),"OK","BAD")</f>
        <v>BAD</v>
      </c>
      <c r="BI80" s="95" t="str">
        <f>IF(V80=VLOOKUP($A80,Feature_List!$A$2:$AO$101,MATCH(BI$1,Feature_List!$A$1:$AO$1,0),FALSE),"OK","BAD")</f>
        <v>BAD</v>
      </c>
      <c r="BJ80" s="95" t="e">
        <f>IF(W80=VLOOKUP($A80,Feature_List!$A$2:$AO$101,MATCH(BJ$1,Feature_List!$A$1:$AO$1,0),FALSE),"OK","BAD")</f>
        <v>#N/A</v>
      </c>
      <c r="BK80" s="95" t="str">
        <f>IF(X80=VLOOKUP($A80,Feature_List!$A$2:$AO$101,MATCH(BK$1,Feature_List!$A$1:$AO$1,0),FALSE),"OK","BAD")</f>
        <v>BAD</v>
      </c>
      <c r="BL80" s="95" t="str">
        <f>IF(Y80=VLOOKUP($A80,Feature_List!$A$2:$AO$101,MATCH(BL$1,Feature_List!$A$1:$AO$1,0),FALSE),"OK","BAD")</f>
        <v>OK</v>
      </c>
      <c r="BM80" s="95" t="str">
        <f>IF(Z80=VLOOKUP($A80,Feature_List!$A$2:$AO$101,MATCH(BM$1,Feature_List!$A$1:$AO$1,0),FALSE),"OK","BAD")</f>
        <v>OK</v>
      </c>
      <c r="BN80" s="95" t="str">
        <f>IF(AA80=VLOOKUP($A80,Feature_List!$A$2:$AO$101,MATCH(BN$1,Feature_List!$A$1:$AO$1,0),FALSE),"OK","BAD")</f>
        <v>OK</v>
      </c>
      <c r="BO80" s="95" t="str">
        <f>IF(AB80=VLOOKUP($A80,Feature_List!$A$2:$AO$101,MATCH(BO$1,Feature_List!$A$1:$AO$1,0),FALSE),"OK","BAD")</f>
        <v>OK</v>
      </c>
      <c r="BP80" s="95" t="str">
        <f>IF(AC80=VLOOKUP($A80,Feature_List!$A$2:$AO$101,MATCH(BP$1,Feature_List!$A$1:$AO$1,0),FALSE),"OK","BAD")</f>
        <v>OK</v>
      </c>
      <c r="BQ80" s="95" t="str">
        <f>IF(AD80=VLOOKUP($A80,Feature_List!$A$2:$AO$101,MATCH(BQ$1,Feature_List!$A$1:$AO$1,0),FALSE),"OK","BAD")</f>
        <v>OK</v>
      </c>
      <c r="BR80" s="95" t="str">
        <f>IF(AE80=VLOOKUP($A80,Feature_List!$A$2:$AO$101,MATCH(BR$1,Feature_List!$A$1:$AO$1,0),FALSE),"OK","BAD")</f>
        <v>OK</v>
      </c>
      <c r="BS80" s="95" t="str">
        <f>IF(AF80=VLOOKUP($A80,Feature_List!$A$2:$AO$101,MATCH(BS$1,Feature_List!$A$1:$AO$1,0),FALSE),"OK","BAD")</f>
        <v>OK</v>
      </c>
      <c r="BT80" s="95" t="str">
        <f>IF(AG80=VLOOKUP($A80,Feature_List!$A$2:$AO$101,MATCH(BT$1,Feature_List!$A$1:$AO$1,0),FALSE),"OK","BAD")</f>
        <v>OK</v>
      </c>
      <c r="BU80" s="95" t="str">
        <f>IF(AH80=VLOOKUP($A80,Feature_List!$A$2:$AO$101,MATCH(BU$1,Feature_List!$A$1:$AO$1,0),FALSE),"OK","BAD")</f>
        <v>OK</v>
      </c>
      <c r="BV80" s="95" t="e">
        <f>IF(AI80=VLOOKUP($A80,Feature_List!$A$2:$AO$101,MATCH(BV$1,Feature_List!$A$1:$AO$1,0),FALSE),"OK","BAD")</f>
        <v>#N/A</v>
      </c>
      <c r="BW80" s="95" t="e">
        <f>IF(AJ80=VLOOKUP($A80,Feature_List!$A$2:$AO$101,MATCH(BW$1,Feature_List!$A$1:$AO$1,0),FALSE),"OK","BAD")</f>
        <v>#N/A</v>
      </c>
      <c r="BX80" s="95" t="e">
        <f>IF(AK80=VLOOKUP($A80,Feature_List!$A$2:$AO$101,MATCH(BX$1,Feature_List!$A$1:$AO$1,0),FALSE),"OK","BAD")</f>
        <v>#N/A</v>
      </c>
      <c r="BY80" s="95" t="str">
        <f>IF(AL80=VLOOKUP($A80,Feature_List!$A$2:$AO$101,MATCH(BY$1,Feature_List!$A$1:$AO$1,0),FALSE),"OK","BAD")</f>
        <v>OK</v>
      </c>
      <c r="BZ80" s="95" t="str">
        <f>IF(AM80=VLOOKUP($A80,Feature_List!$A$2:$AO$101,MATCH(BZ$1,Feature_List!$A$1:$AO$1,0),FALSE),"OK","BAD")</f>
        <v>OK</v>
      </c>
      <c r="CA80" s="95" t="str">
        <f>IF(AN80=VLOOKUP($A80,Feature_List!$A$2:$AO$101,MATCH(CA$1,Feature_List!$A$1:$AO$1,0),FALSE),"OK","BAD")</f>
        <v>OK</v>
      </c>
    </row>
    <row r="81" spans="1:79" ht="14.4" customHeight="1" x14ac:dyDescent="0.3">
      <c r="A81" s="70">
        <v>342018</v>
      </c>
      <c r="B81" s="65" t="s">
        <v>557</v>
      </c>
      <c r="C81" s="98" t="s">
        <v>1012</v>
      </c>
      <c r="D81" s="65" t="s">
        <v>106</v>
      </c>
      <c r="E81" s="64">
        <v>24</v>
      </c>
      <c r="F81" s="64" t="s">
        <v>879</v>
      </c>
      <c r="G81" s="64" t="s">
        <v>1453</v>
      </c>
      <c r="H81" s="64" t="s">
        <v>170</v>
      </c>
      <c r="I81" s="99" t="s">
        <v>38</v>
      </c>
      <c r="J81" s="64" t="s">
        <v>1412</v>
      </c>
      <c r="K81" s="64">
        <v>347074</v>
      </c>
      <c r="L81" s="62" t="s">
        <v>943</v>
      </c>
      <c r="M81" s="67" t="s">
        <v>31</v>
      </c>
      <c r="N81" s="67" t="s">
        <v>32</v>
      </c>
      <c r="O81" s="67">
        <v>0</v>
      </c>
      <c r="P81" s="66" t="s">
        <v>133</v>
      </c>
      <c r="Q81" s="63">
        <v>1</v>
      </c>
      <c r="R81" s="63">
        <v>15</v>
      </c>
      <c r="S81" s="63">
        <v>0</v>
      </c>
      <c r="T81" s="63">
        <v>0</v>
      </c>
      <c r="U81" s="63">
        <v>0</v>
      </c>
      <c r="V81" s="63">
        <v>0</v>
      </c>
      <c r="W81" s="63">
        <v>0</v>
      </c>
      <c r="X81" s="63">
        <v>2</v>
      </c>
      <c r="Y81" s="63">
        <v>0</v>
      </c>
      <c r="Z81" s="63">
        <v>0</v>
      </c>
      <c r="AA81" s="63">
        <v>0</v>
      </c>
      <c r="AB81" s="63">
        <v>0</v>
      </c>
      <c r="AC81" s="63">
        <v>0</v>
      </c>
      <c r="AD81" s="63">
        <v>0</v>
      </c>
      <c r="AE81" s="63">
        <v>0</v>
      </c>
      <c r="AF81" s="63">
        <v>0</v>
      </c>
      <c r="AG81" s="63">
        <v>0</v>
      </c>
      <c r="AH81" s="63">
        <v>0</v>
      </c>
      <c r="AI81" s="63">
        <v>0</v>
      </c>
      <c r="AJ81" s="63">
        <v>2</v>
      </c>
      <c r="AK81" s="63">
        <v>0</v>
      </c>
      <c r="AL81" s="63" t="s">
        <v>35</v>
      </c>
      <c r="AM81" s="63" t="s">
        <v>854</v>
      </c>
      <c r="AN81" s="220" t="s">
        <v>33</v>
      </c>
      <c r="AO81" s="224"/>
      <c r="AP81" s="95" t="e">
        <f>IF(C81=VLOOKUP($A81,Feature_List!$A$2:$AO$101,MATCH(AP$1,Feature_List!$A$1:$AO$1,0),FALSE),"OK","BAD")</f>
        <v>#N/A</v>
      </c>
      <c r="AQ81" s="95" t="e">
        <f>IF(D81=VLOOKUP($A81,Feature_List!$A$2:$AO$101,MATCH(AQ$1,Feature_List!$A$1:$AO$1,0),FALSE),"OK","BAD")</f>
        <v>#N/A</v>
      </c>
      <c r="AR81" s="95" t="e">
        <f>IF(E81=VLOOKUP($A81,Feature_List!$A$2:$AO$101,MATCH(AR$1,Feature_List!$A$1:$AO$1,0),FALSE),"OK","BAD")</f>
        <v>#N/A</v>
      </c>
      <c r="AS81" s="95" t="e">
        <f>IF(F81=VLOOKUP($A81,Feature_List!$A$2:$AO$101,MATCH(AS$1,Feature_List!$A$1:$AO$1,0),FALSE),"OK","BAD")</f>
        <v>#N/A</v>
      </c>
      <c r="AT81" s="95" t="s">
        <v>985</v>
      </c>
      <c r="AU81" s="95" t="s">
        <v>985</v>
      </c>
      <c r="AV81" s="95" t="e">
        <f>IF(I81=VLOOKUP($A81,Feature_List!$A$2:$AO$101,MATCH(AV$1,Feature_List!$A$1:$AO$1,0),FALSE),"OK","BAD")</f>
        <v>#N/A</v>
      </c>
      <c r="AW81" s="95" t="e">
        <f>IF(J81=VLOOKUP($A81,Feature_List!$A$2:$AO$101,MATCH(AW$1,Feature_List!$A$1:$AO$1,0),FALSE),"OK","BAD")</f>
        <v>#N/A</v>
      </c>
      <c r="AX81" s="95" t="e">
        <f>IF(K81=VLOOKUP($A81,Feature_List!$A$2:$AO$101,MATCH(AX$1,Feature_List!$A$1:$AO$1,0),FALSE),"OK","BAD")</f>
        <v>#N/A</v>
      </c>
      <c r="AY81" s="95" t="e">
        <f>IF(L81=VLOOKUP($A81,Feature_List!$A$2:$AO$101,MATCH(AY$1,Feature_List!$A$1:$AO$1,0),FALSE),"OK","BAD")</f>
        <v>#N/A</v>
      </c>
      <c r="AZ81" s="95" t="e">
        <f>IF(M81=VLOOKUP($A81,Feature_List!$A$2:$AO$101,MATCH(AZ$1,Feature_List!$A$1:$AO$1,0),FALSE),"OK","BAD")</f>
        <v>#N/A</v>
      </c>
      <c r="BA81" s="95" t="e">
        <f>IF(N81=VLOOKUP($A81,Feature_List!$A$2:$AO$101,MATCH(BA$1,Feature_List!$A$1:$AO$1,0),FALSE),"OK","BAD")</f>
        <v>#N/A</v>
      </c>
      <c r="BB81" s="95" t="e">
        <f>IF(O81=VLOOKUP($A81,Feature_List!$A$2:$AO$101,MATCH(BB$1,Feature_List!$A$1:$AO$1,0),FALSE),"OK","BAD")</f>
        <v>#N/A</v>
      </c>
      <c r="BC81" s="95" t="e">
        <f>IF(P81=VLOOKUP($A81,Feature_List!$A$2:$AO$101,MATCH(BC$1,Feature_List!$A$1:$AO$1,0),FALSE),"OK","BAD")</f>
        <v>#N/A</v>
      </c>
      <c r="BD81" s="95" t="e">
        <f>IF(Q81=VLOOKUP($A81,Feature_List!$A$2:$AO$101,MATCH(BD$1,Feature_List!$A$1:$AO$1,0),FALSE),"OK","BAD")</f>
        <v>#N/A</v>
      </c>
      <c r="BE81" s="95" t="e">
        <f>IF(R81=VLOOKUP($A81,Feature_List!$A$2:$AO$101,MATCH(BE$1,Feature_List!$A$1:$AO$1,0),FALSE),"OK","BAD")</f>
        <v>#N/A</v>
      </c>
      <c r="BF81" s="95" t="e">
        <f>IF(S81=VLOOKUP($A81,Feature_List!$A$2:$AO$101,MATCH(BF$1,Feature_List!$A$1:$AO$1,0),FALSE),"OK","BAD")</f>
        <v>#N/A</v>
      </c>
      <c r="BG81" s="95" t="e">
        <f>IF(T81=VLOOKUP($A81,Feature_List!$A$2:$AO$101,MATCH(BG$1,Feature_List!$A$1:$AO$1,0),FALSE),"OK","BAD")</f>
        <v>#N/A</v>
      </c>
      <c r="BH81" s="95" t="e">
        <f>IF(U81=VLOOKUP($A81,Feature_List!$A$2:$AO$101,MATCH(BH$1,Feature_List!$A$1:$AO$1,0),FALSE),"OK","BAD")</f>
        <v>#N/A</v>
      </c>
      <c r="BI81" s="95" t="e">
        <f>IF(V81=VLOOKUP($A81,Feature_List!$A$2:$AO$101,MATCH(BI$1,Feature_List!$A$1:$AO$1,0),FALSE),"OK","BAD")</f>
        <v>#N/A</v>
      </c>
      <c r="BJ81" s="95" t="e">
        <f>IF(W81=VLOOKUP($A81,Feature_List!$A$2:$AO$101,MATCH(BJ$1,Feature_List!$A$1:$AO$1,0),FALSE),"OK","BAD")</f>
        <v>#N/A</v>
      </c>
      <c r="BK81" s="95" t="e">
        <f>IF(X81=VLOOKUP($A81,Feature_List!$A$2:$AO$101,MATCH(BK$1,Feature_List!$A$1:$AO$1,0),FALSE),"OK","BAD")</f>
        <v>#N/A</v>
      </c>
      <c r="BL81" s="95" t="e">
        <f>IF(Y81=VLOOKUP($A81,Feature_List!$A$2:$AO$101,MATCH(BL$1,Feature_List!$A$1:$AO$1,0),FALSE),"OK","BAD")</f>
        <v>#N/A</v>
      </c>
      <c r="BM81" s="95" t="e">
        <f>IF(Z81=VLOOKUP($A81,Feature_List!$A$2:$AO$101,MATCH(BM$1,Feature_List!$A$1:$AO$1,0),FALSE),"OK","BAD")</f>
        <v>#N/A</v>
      </c>
      <c r="BN81" s="95" t="e">
        <f>IF(AA81=VLOOKUP($A81,Feature_List!$A$2:$AO$101,MATCH(BN$1,Feature_List!$A$1:$AO$1,0),FALSE),"OK","BAD")</f>
        <v>#N/A</v>
      </c>
      <c r="BO81" s="95" t="e">
        <f>IF(AB81=VLOOKUP($A81,Feature_List!$A$2:$AO$101,MATCH(BO$1,Feature_List!$A$1:$AO$1,0),FALSE),"OK","BAD")</f>
        <v>#N/A</v>
      </c>
      <c r="BP81" s="95" t="e">
        <f>IF(AC81=VLOOKUP($A81,Feature_List!$A$2:$AO$101,MATCH(BP$1,Feature_List!$A$1:$AO$1,0),FALSE),"OK","BAD")</f>
        <v>#N/A</v>
      </c>
      <c r="BQ81" s="95" t="e">
        <f>IF(AD81=VLOOKUP($A81,Feature_List!$A$2:$AO$101,MATCH(BQ$1,Feature_List!$A$1:$AO$1,0),FALSE),"OK","BAD")</f>
        <v>#N/A</v>
      </c>
      <c r="BR81" s="95" t="e">
        <f>IF(AE81=VLOOKUP($A81,Feature_List!$A$2:$AO$101,MATCH(BR$1,Feature_List!$A$1:$AO$1,0),FALSE),"OK","BAD")</f>
        <v>#N/A</v>
      </c>
      <c r="BS81" s="95" t="e">
        <f>IF(AF81=VLOOKUP($A81,Feature_List!$A$2:$AO$101,MATCH(BS$1,Feature_List!$A$1:$AO$1,0),FALSE),"OK","BAD")</f>
        <v>#N/A</v>
      </c>
      <c r="BT81" s="95" t="e">
        <f>IF(AG81=VLOOKUP($A81,Feature_List!$A$2:$AO$101,MATCH(BT$1,Feature_List!$A$1:$AO$1,0),FALSE),"OK","BAD")</f>
        <v>#N/A</v>
      </c>
      <c r="BU81" s="95" t="e">
        <f>IF(AH81=VLOOKUP($A81,Feature_List!$A$2:$AO$101,MATCH(BU$1,Feature_List!$A$1:$AO$1,0),FALSE),"OK","BAD")</f>
        <v>#N/A</v>
      </c>
      <c r="BV81" s="95" t="e">
        <f>IF(AI81=VLOOKUP($A81,Feature_List!$A$2:$AO$101,MATCH(BV$1,Feature_List!$A$1:$AO$1,0),FALSE),"OK","BAD")</f>
        <v>#N/A</v>
      </c>
      <c r="BW81" s="95" t="e">
        <f>IF(AJ81=VLOOKUP($A81,Feature_List!$A$2:$AO$101,MATCH(BW$1,Feature_List!$A$1:$AO$1,0),FALSE),"OK","BAD")</f>
        <v>#N/A</v>
      </c>
      <c r="BX81" s="95" t="e">
        <f>IF(AK81=VLOOKUP($A81,Feature_List!$A$2:$AO$101,MATCH(BX$1,Feature_List!$A$1:$AO$1,0),FALSE),"OK","BAD")</f>
        <v>#N/A</v>
      </c>
      <c r="BY81" s="95" t="e">
        <f>IF(AL81=VLOOKUP($A81,Feature_List!$A$2:$AO$101,MATCH(BY$1,Feature_List!$A$1:$AO$1,0),FALSE),"OK","BAD")</f>
        <v>#N/A</v>
      </c>
      <c r="BZ81" s="95" t="e">
        <f>IF(AM81=VLOOKUP($A81,Feature_List!$A$2:$AO$101,MATCH(BZ$1,Feature_List!$A$1:$AO$1,0),FALSE),"OK","BAD")</f>
        <v>#N/A</v>
      </c>
      <c r="CA81" s="95" t="e">
        <f>IF(AN81=VLOOKUP($A81,Feature_List!$A$2:$AO$101,MATCH(CA$1,Feature_List!$A$1:$AO$1,0),FALSE),"OK","BAD")</f>
        <v>#N/A</v>
      </c>
    </row>
    <row r="82" spans="1:79" ht="14.4" customHeight="1" x14ac:dyDescent="0.3">
      <c r="A82" s="70">
        <v>341999</v>
      </c>
      <c r="B82" s="65" t="s">
        <v>1173</v>
      </c>
      <c r="C82" s="98" t="s">
        <v>1143</v>
      </c>
      <c r="D82" s="65" t="s">
        <v>28</v>
      </c>
      <c r="E82" s="64">
        <v>4</v>
      </c>
      <c r="F82" s="64" t="s">
        <v>879</v>
      </c>
      <c r="G82" s="64" t="s">
        <v>1564</v>
      </c>
      <c r="H82" s="64" t="s">
        <v>548</v>
      </c>
      <c r="I82" s="99" t="s">
        <v>38</v>
      </c>
      <c r="J82" s="64" t="s">
        <v>1412</v>
      </c>
      <c r="K82" s="64">
        <v>347074</v>
      </c>
      <c r="L82" s="62" t="s">
        <v>945</v>
      </c>
      <c r="M82" s="67" t="s">
        <v>31</v>
      </c>
      <c r="N82" s="67" t="s">
        <v>32</v>
      </c>
      <c r="O82" s="67">
        <v>0</v>
      </c>
      <c r="P82" s="66" t="s">
        <v>133</v>
      </c>
      <c r="Q82" s="63">
        <v>1</v>
      </c>
      <c r="R82" s="63">
        <v>0</v>
      </c>
      <c r="S82" s="63">
        <v>0</v>
      </c>
      <c r="T82" s="63">
        <v>0</v>
      </c>
      <c r="U82" s="63">
        <v>4</v>
      </c>
      <c r="V82" s="63">
        <v>0</v>
      </c>
      <c r="W82" s="63">
        <v>0</v>
      </c>
      <c r="X82" s="63">
        <v>0</v>
      </c>
      <c r="Y82" s="63">
        <v>0</v>
      </c>
      <c r="Z82" s="63">
        <v>0</v>
      </c>
      <c r="AA82" s="63">
        <v>0</v>
      </c>
      <c r="AB82" s="63">
        <v>0</v>
      </c>
      <c r="AC82" s="63">
        <v>0</v>
      </c>
      <c r="AD82" s="63">
        <v>0</v>
      </c>
      <c r="AE82" s="63">
        <v>0</v>
      </c>
      <c r="AF82" s="63">
        <v>0</v>
      </c>
      <c r="AG82" s="63">
        <v>0</v>
      </c>
      <c r="AH82" s="63">
        <v>0</v>
      </c>
      <c r="AI82" s="63">
        <v>0</v>
      </c>
      <c r="AJ82" s="63">
        <v>4</v>
      </c>
      <c r="AK82" s="63">
        <v>0</v>
      </c>
      <c r="AL82" s="63" t="s">
        <v>35</v>
      </c>
      <c r="AM82" s="63" t="s">
        <v>854</v>
      </c>
      <c r="AN82" s="220" t="s">
        <v>40</v>
      </c>
      <c r="AO82" s="224"/>
      <c r="AP82" s="95" t="e">
        <f>IF(C82=VLOOKUP($A82,Feature_List!$A$2:$AO$101,MATCH(AP$1,Feature_List!$A$1:$AO$1,0),FALSE),"OK","BAD")</f>
        <v>#N/A</v>
      </c>
      <c r="AQ82" s="95" t="e">
        <f>IF(D82=VLOOKUP($A82,Feature_List!$A$2:$AO$101,MATCH(AQ$1,Feature_List!$A$1:$AO$1,0),FALSE),"OK","BAD")</f>
        <v>#N/A</v>
      </c>
      <c r="AR82" s="95" t="e">
        <f>IF(E82=VLOOKUP($A82,Feature_List!$A$2:$AO$101,MATCH(AR$1,Feature_List!$A$1:$AO$1,0),FALSE),"OK","BAD")</f>
        <v>#N/A</v>
      </c>
      <c r="AS82" s="95" t="e">
        <f>IF(F82=VLOOKUP($A82,Feature_List!$A$2:$AO$101,MATCH(AS$1,Feature_List!$A$1:$AO$1,0),FALSE),"OK","BAD")</f>
        <v>#N/A</v>
      </c>
      <c r="AT82" s="95" t="s">
        <v>985</v>
      </c>
      <c r="AU82" s="95" t="s">
        <v>985</v>
      </c>
      <c r="AV82" s="95" t="e">
        <f>IF(I82=VLOOKUP($A82,Feature_List!$A$2:$AO$101,MATCH(AV$1,Feature_List!$A$1:$AO$1,0),FALSE),"OK","BAD")</f>
        <v>#N/A</v>
      </c>
      <c r="AW82" s="95" t="e">
        <f>IF(J82=VLOOKUP($A82,Feature_List!$A$2:$AO$101,MATCH(AW$1,Feature_List!$A$1:$AO$1,0),FALSE),"OK","BAD")</f>
        <v>#N/A</v>
      </c>
      <c r="AX82" s="95" t="e">
        <f>IF(K82=VLOOKUP($A82,Feature_List!$A$2:$AO$101,MATCH(AX$1,Feature_List!$A$1:$AO$1,0),FALSE),"OK","BAD")</f>
        <v>#N/A</v>
      </c>
      <c r="AY82" s="95" t="e">
        <f>IF(L82=VLOOKUP($A82,Feature_List!$A$2:$AO$101,MATCH(AY$1,Feature_List!$A$1:$AO$1,0),FALSE),"OK","BAD")</f>
        <v>#N/A</v>
      </c>
      <c r="AZ82" s="95" t="e">
        <f>IF(M82=VLOOKUP($A82,Feature_List!$A$2:$AO$101,MATCH(AZ$1,Feature_List!$A$1:$AO$1,0),FALSE),"OK","BAD")</f>
        <v>#N/A</v>
      </c>
      <c r="BA82" s="95" t="e">
        <f>IF(N82=VLOOKUP($A82,Feature_List!$A$2:$AO$101,MATCH(BA$1,Feature_List!$A$1:$AO$1,0),FALSE),"OK","BAD")</f>
        <v>#N/A</v>
      </c>
      <c r="BB82" s="95" t="e">
        <f>IF(O82=VLOOKUP($A82,Feature_List!$A$2:$AO$101,MATCH(BB$1,Feature_List!$A$1:$AO$1,0),FALSE),"OK","BAD")</f>
        <v>#N/A</v>
      </c>
      <c r="BC82" s="95" t="e">
        <f>IF(P82=VLOOKUP($A82,Feature_List!$A$2:$AO$101,MATCH(BC$1,Feature_List!$A$1:$AO$1,0),FALSE),"OK","BAD")</f>
        <v>#N/A</v>
      </c>
      <c r="BD82" s="95" t="e">
        <f>IF(Q82=VLOOKUP($A82,Feature_List!$A$2:$AO$101,MATCH(BD$1,Feature_List!$A$1:$AO$1,0),FALSE),"OK","BAD")</f>
        <v>#N/A</v>
      </c>
      <c r="BE82" s="95" t="e">
        <f>IF(R82=VLOOKUP($A82,Feature_List!$A$2:$AO$101,MATCH(BE$1,Feature_List!$A$1:$AO$1,0),FALSE),"OK","BAD")</f>
        <v>#N/A</v>
      </c>
      <c r="BF82" s="95" t="e">
        <f>IF(S82=VLOOKUP($A82,Feature_List!$A$2:$AO$101,MATCH(BF$1,Feature_List!$A$1:$AO$1,0),FALSE),"OK","BAD")</f>
        <v>#N/A</v>
      </c>
      <c r="BG82" s="95" t="e">
        <f>IF(T82=VLOOKUP($A82,Feature_List!$A$2:$AO$101,MATCH(BG$1,Feature_List!$A$1:$AO$1,0),FALSE),"OK","BAD")</f>
        <v>#N/A</v>
      </c>
      <c r="BH82" s="95" t="e">
        <f>IF(U82=VLOOKUP($A82,Feature_List!$A$2:$AO$101,MATCH(BH$1,Feature_List!$A$1:$AO$1,0),FALSE),"OK","BAD")</f>
        <v>#N/A</v>
      </c>
      <c r="BI82" s="95" t="e">
        <f>IF(V82=VLOOKUP($A82,Feature_List!$A$2:$AO$101,MATCH(BI$1,Feature_List!$A$1:$AO$1,0),FALSE),"OK","BAD")</f>
        <v>#N/A</v>
      </c>
      <c r="BJ82" s="95" t="e">
        <f>IF(W82=VLOOKUP($A82,Feature_List!$A$2:$AO$101,MATCH(BJ$1,Feature_List!$A$1:$AO$1,0),FALSE),"OK","BAD")</f>
        <v>#N/A</v>
      </c>
      <c r="BK82" s="95" t="e">
        <f>IF(X82=VLOOKUP($A82,Feature_List!$A$2:$AO$101,MATCH(BK$1,Feature_List!$A$1:$AO$1,0),FALSE),"OK","BAD")</f>
        <v>#N/A</v>
      </c>
      <c r="BL82" s="95" t="e">
        <f>IF(Y82=VLOOKUP($A82,Feature_List!$A$2:$AO$101,MATCH(BL$1,Feature_List!$A$1:$AO$1,0),FALSE),"OK","BAD")</f>
        <v>#N/A</v>
      </c>
      <c r="BM82" s="95" t="e">
        <f>IF(Z82=VLOOKUP($A82,Feature_List!$A$2:$AO$101,MATCH(BM$1,Feature_List!$A$1:$AO$1,0),FALSE),"OK","BAD")</f>
        <v>#N/A</v>
      </c>
      <c r="BN82" s="95" t="e">
        <f>IF(AA82=VLOOKUP($A82,Feature_List!$A$2:$AO$101,MATCH(BN$1,Feature_List!$A$1:$AO$1,0),FALSE),"OK","BAD")</f>
        <v>#N/A</v>
      </c>
      <c r="BO82" s="95" t="e">
        <f>IF(AB82=VLOOKUP($A82,Feature_List!$A$2:$AO$101,MATCH(BO$1,Feature_List!$A$1:$AO$1,0),FALSE),"OK","BAD")</f>
        <v>#N/A</v>
      </c>
      <c r="BP82" s="95" t="e">
        <f>IF(AC82=VLOOKUP($A82,Feature_List!$A$2:$AO$101,MATCH(BP$1,Feature_List!$A$1:$AO$1,0),FALSE),"OK","BAD")</f>
        <v>#N/A</v>
      </c>
      <c r="BQ82" s="95" t="e">
        <f>IF(AD82=VLOOKUP($A82,Feature_List!$A$2:$AO$101,MATCH(BQ$1,Feature_List!$A$1:$AO$1,0),FALSE),"OK","BAD")</f>
        <v>#N/A</v>
      </c>
      <c r="BR82" s="95" t="e">
        <f>IF(AE82=VLOOKUP($A82,Feature_List!$A$2:$AO$101,MATCH(BR$1,Feature_List!$A$1:$AO$1,0),FALSE),"OK","BAD")</f>
        <v>#N/A</v>
      </c>
      <c r="BS82" s="95" t="e">
        <f>IF(AF82=VLOOKUP($A82,Feature_List!$A$2:$AO$101,MATCH(BS$1,Feature_List!$A$1:$AO$1,0),FALSE),"OK","BAD")</f>
        <v>#N/A</v>
      </c>
      <c r="BT82" s="95" t="e">
        <f>IF(AG82=VLOOKUP($A82,Feature_List!$A$2:$AO$101,MATCH(BT$1,Feature_List!$A$1:$AO$1,0),FALSE),"OK","BAD")</f>
        <v>#N/A</v>
      </c>
      <c r="BU82" s="95" t="e">
        <f>IF(AH82=VLOOKUP($A82,Feature_List!$A$2:$AO$101,MATCH(BU$1,Feature_List!$A$1:$AO$1,0),FALSE),"OK","BAD")</f>
        <v>#N/A</v>
      </c>
      <c r="BV82" s="95" t="e">
        <f>IF(AI82=VLOOKUP($A82,Feature_List!$A$2:$AO$101,MATCH(BV$1,Feature_List!$A$1:$AO$1,0),FALSE),"OK","BAD")</f>
        <v>#N/A</v>
      </c>
      <c r="BW82" s="95" t="e">
        <f>IF(AJ82=VLOOKUP($A82,Feature_List!$A$2:$AO$101,MATCH(BW$1,Feature_List!$A$1:$AO$1,0),FALSE),"OK","BAD")</f>
        <v>#N/A</v>
      </c>
      <c r="BX82" s="95" t="e">
        <f>IF(AK82=VLOOKUP($A82,Feature_List!$A$2:$AO$101,MATCH(BX$1,Feature_List!$A$1:$AO$1,0),FALSE),"OK","BAD")</f>
        <v>#N/A</v>
      </c>
      <c r="BY82" s="95" t="e">
        <f>IF(AL82=VLOOKUP($A82,Feature_List!$A$2:$AO$101,MATCH(BY$1,Feature_List!$A$1:$AO$1,0),FALSE),"OK","BAD")</f>
        <v>#N/A</v>
      </c>
      <c r="BZ82" s="95" t="e">
        <f>IF(AM82=VLOOKUP($A82,Feature_List!$A$2:$AO$101,MATCH(BZ$1,Feature_List!$A$1:$AO$1,0),FALSE),"OK","BAD")</f>
        <v>#N/A</v>
      </c>
      <c r="CA82" s="95" t="e">
        <f>IF(AN82=VLOOKUP($A82,Feature_List!$A$2:$AO$101,MATCH(CA$1,Feature_List!$A$1:$AO$1,0),FALSE),"OK","BAD")</f>
        <v>#N/A</v>
      </c>
    </row>
    <row r="83" spans="1:79" ht="14.4" customHeight="1" x14ac:dyDescent="0.3">
      <c r="A83" s="70">
        <v>318430</v>
      </c>
      <c r="B83" s="65" t="s">
        <v>139</v>
      </c>
      <c r="C83" s="98" t="s">
        <v>806</v>
      </c>
      <c r="D83" s="65" t="s">
        <v>106</v>
      </c>
      <c r="E83" s="64">
        <v>309</v>
      </c>
      <c r="F83" s="64" t="s">
        <v>880</v>
      </c>
      <c r="G83" s="64" t="s">
        <v>961</v>
      </c>
      <c r="H83" s="64" t="s">
        <v>138</v>
      </c>
      <c r="I83" s="99" t="s">
        <v>560</v>
      </c>
      <c r="J83" s="64" t="s">
        <v>1412</v>
      </c>
      <c r="K83" s="64">
        <v>251622</v>
      </c>
      <c r="L83" s="62" t="s">
        <v>950</v>
      </c>
      <c r="M83" s="67" t="s">
        <v>37</v>
      </c>
      <c r="N83" s="67" t="s">
        <v>39</v>
      </c>
      <c r="O83" s="67">
        <v>4</v>
      </c>
      <c r="P83" s="66" t="s">
        <v>131</v>
      </c>
      <c r="Q83" s="63">
        <v>3</v>
      </c>
      <c r="R83" s="63">
        <v>286</v>
      </c>
      <c r="S83" s="63">
        <v>0</v>
      </c>
      <c r="T83" s="63">
        <v>0</v>
      </c>
      <c r="U83" s="63">
        <v>0</v>
      </c>
      <c r="V83" s="63">
        <v>2</v>
      </c>
      <c r="W83" s="63">
        <v>0</v>
      </c>
      <c r="X83" s="63">
        <v>0</v>
      </c>
      <c r="Y83" s="63">
        <v>2</v>
      </c>
      <c r="Z83" s="63">
        <v>16</v>
      </c>
      <c r="AA83" s="63">
        <v>0</v>
      </c>
      <c r="AB83" s="63">
        <v>0</v>
      </c>
      <c r="AC83" s="63">
        <v>0</v>
      </c>
      <c r="AD83" s="63">
        <v>0</v>
      </c>
      <c r="AE83" s="63">
        <v>0</v>
      </c>
      <c r="AF83" s="63">
        <v>0</v>
      </c>
      <c r="AG83" s="63">
        <v>0</v>
      </c>
      <c r="AH83" s="63">
        <v>0</v>
      </c>
      <c r="AI83" s="63">
        <v>0</v>
      </c>
      <c r="AJ83" s="63">
        <v>20</v>
      </c>
      <c r="AK83" s="63">
        <v>0</v>
      </c>
      <c r="AL83" s="63" t="s">
        <v>35</v>
      </c>
      <c r="AM83" s="63" t="s">
        <v>854</v>
      </c>
      <c r="AN83" s="220" t="s">
        <v>33</v>
      </c>
      <c r="AO83" s="224"/>
      <c r="AP83" s="95" t="e">
        <f>IF(C83=VLOOKUP($A83,Feature_List!$A$2:$AO$101,MATCH(AP$1,Feature_List!$A$1:$AO$1,0),FALSE),"OK","BAD")</f>
        <v>#N/A</v>
      </c>
      <c r="AQ83" s="95" t="e">
        <f>IF(D83=VLOOKUP($A83,Feature_List!$A$2:$AO$101,MATCH(AQ$1,Feature_List!$A$1:$AO$1,0),FALSE),"OK","BAD")</f>
        <v>#N/A</v>
      </c>
      <c r="AR83" s="95" t="e">
        <f>IF(E83=VLOOKUP($A83,Feature_List!$A$2:$AO$101,MATCH(AR$1,Feature_List!$A$1:$AO$1,0),FALSE),"OK","BAD")</f>
        <v>#N/A</v>
      </c>
      <c r="AS83" s="95" t="e">
        <f>IF(F83=VLOOKUP($A83,Feature_List!$A$2:$AO$101,MATCH(AS$1,Feature_List!$A$1:$AO$1,0),FALSE),"OK","BAD")</f>
        <v>#N/A</v>
      </c>
      <c r="AT83" s="95" t="s">
        <v>985</v>
      </c>
      <c r="AU83" s="95" t="s">
        <v>985</v>
      </c>
      <c r="AV83" s="95" t="e">
        <f>IF(I83=VLOOKUP($A83,Feature_List!$A$2:$AO$101,MATCH(AV$1,Feature_List!$A$1:$AO$1,0),FALSE),"OK","BAD")</f>
        <v>#N/A</v>
      </c>
      <c r="AW83" s="95" t="e">
        <f>IF(J83=VLOOKUP($A83,Feature_List!$A$2:$AO$101,MATCH(AW$1,Feature_List!$A$1:$AO$1,0),FALSE),"OK","BAD")</f>
        <v>#N/A</v>
      </c>
      <c r="AX83" s="95" t="e">
        <f>IF(K83=VLOOKUP($A83,Feature_List!$A$2:$AO$101,MATCH(AX$1,Feature_List!$A$1:$AO$1,0),FALSE),"OK","BAD")</f>
        <v>#N/A</v>
      </c>
      <c r="AY83" s="95" t="e">
        <f>IF(L83=VLOOKUP($A83,Feature_List!$A$2:$AO$101,MATCH(AY$1,Feature_List!$A$1:$AO$1,0),FALSE),"OK","BAD")</f>
        <v>#N/A</v>
      </c>
      <c r="AZ83" s="95" t="e">
        <f>IF(M83=VLOOKUP($A83,Feature_List!$A$2:$AO$101,MATCH(AZ$1,Feature_List!$A$1:$AO$1,0),FALSE),"OK","BAD")</f>
        <v>#N/A</v>
      </c>
      <c r="BA83" s="95" t="e">
        <f>IF(N83=VLOOKUP($A83,Feature_List!$A$2:$AO$101,MATCH(BA$1,Feature_List!$A$1:$AO$1,0),FALSE),"OK","BAD")</f>
        <v>#N/A</v>
      </c>
      <c r="BB83" s="95" t="e">
        <f>IF(O83=VLOOKUP($A83,Feature_List!$A$2:$AO$101,MATCH(BB$1,Feature_List!$A$1:$AO$1,0),FALSE),"OK","BAD")</f>
        <v>#N/A</v>
      </c>
      <c r="BC83" s="95" t="e">
        <f>IF(P83=VLOOKUP($A83,Feature_List!$A$2:$AO$101,MATCH(BC$1,Feature_List!$A$1:$AO$1,0),FALSE),"OK","BAD")</f>
        <v>#N/A</v>
      </c>
      <c r="BD83" s="95" t="e">
        <f>IF(Q83=VLOOKUP($A83,Feature_List!$A$2:$AO$101,MATCH(BD$1,Feature_List!$A$1:$AO$1,0),FALSE),"OK","BAD")</f>
        <v>#N/A</v>
      </c>
      <c r="BE83" s="95" t="e">
        <f>IF(R83=VLOOKUP($A83,Feature_List!$A$2:$AO$101,MATCH(BE$1,Feature_List!$A$1:$AO$1,0),FALSE),"OK","BAD")</f>
        <v>#N/A</v>
      </c>
      <c r="BF83" s="95" t="e">
        <f>IF(S83=VLOOKUP($A83,Feature_List!$A$2:$AO$101,MATCH(BF$1,Feature_List!$A$1:$AO$1,0),FALSE),"OK","BAD")</f>
        <v>#N/A</v>
      </c>
      <c r="BG83" s="95" t="e">
        <f>IF(T83=VLOOKUP($A83,Feature_List!$A$2:$AO$101,MATCH(BG$1,Feature_List!$A$1:$AO$1,0),FALSE),"OK","BAD")</f>
        <v>#N/A</v>
      </c>
      <c r="BH83" s="95" t="e">
        <f>IF(U83=VLOOKUP($A83,Feature_List!$A$2:$AO$101,MATCH(BH$1,Feature_List!$A$1:$AO$1,0),FALSE),"OK","BAD")</f>
        <v>#N/A</v>
      </c>
      <c r="BI83" s="95" t="e">
        <f>IF(V83=VLOOKUP($A83,Feature_List!$A$2:$AO$101,MATCH(BI$1,Feature_List!$A$1:$AO$1,0),FALSE),"OK","BAD")</f>
        <v>#N/A</v>
      </c>
      <c r="BJ83" s="95" t="e">
        <f>IF(W83=VLOOKUP($A83,Feature_List!$A$2:$AO$101,MATCH(BJ$1,Feature_List!$A$1:$AO$1,0),FALSE),"OK","BAD")</f>
        <v>#N/A</v>
      </c>
      <c r="BK83" s="95" t="e">
        <f>IF(X83=VLOOKUP($A83,Feature_List!$A$2:$AO$101,MATCH(BK$1,Feature_List!$A$1:$AO$1,0),FALSE),"OK","BAD")</f>
        <v>#N/A</v>
      </c>
      <c r="BL83" s="95" t="e">
        <f>IF(Y83=VLOOKUP($A83,Feature_List!$A$2:$AO$101,MATCH(BL$1,Feature_List!$A$1:$AO$1,0),FALSE),"OK","BAD")</f>
        <v>#N/A</v>
      </c>
      <c r="BM83" s="95" t="e">
        <f>IF(Z83=VLOOKUP($A83,Feature_List!$A$2:$AO$101,MATCH(BM$1,Feature_List!$A$1:$AO$1,0),FALSE),"OK","BAD")</f>
        <v>#N/A</v>
      </c>
      <c r="BN83" s="95" t="e">
        <f>IF(AA83=VLOOKUP($A83,Feature_List!$A$2:$AO$101,MATCH(BN$1,Feature_List!$A$1:$AO$1,0),FALSE),"OK","BAD")</f>
        <v>#N/A</v>
      </c>
      <c r="BO83" s="95" t="e">
        <f>IF(AB83=VLOOKUP($A83,Feature_List!$A$2:$AO$101,MATCH(BO$1,Feature_List!$A$1:$AO$1,0),FALSE),"OK","BAD")</f>
        <v>#N/A</v>
      </c>
      <c r="BP83" s="95" t="e">
        <f>IF(AC83=VLOOKUP($A83,Feature_List!$A$2:$AO$101,MATCH(BP$1,Feature_List!$A$1:$AO$1,0),FALSE),"OK","BAD")</f>
        <v>#N/A</v>
      </c>
      <c r="BQ83" s="95" t="e">
        <f>IF(AD83=VLOOKUP($A83,Feature_List!$A$2:$AO$101,MATCH(BQ$1,Feature_List!$A$1:$AO$1,0),FALSE),"OK","BAD")</f>
        <v>#N/A</v>
      </c>
      <c r="BR83" s="95" t="e">
        <f>IF(AE83=VLOOKUP($A83,Feature_List!$A$2:$AO$101,MATCH(BR$1,Feature_List!$A$1:$AO$1,0),FALSE),"OK","BAD")</f>
        <v>#N/A</v>
      </c>
      <c r="BS83" s="95" t="e">
        <f>IF(AF83=VLOOKUP($A83,Feature_List!$A$2:$AO$101,MATCH(BS$1,Feature_List!$A$1:$AO$1,0),FALSE),"OK","BAD")</f>
        <v>#N/A</v>
      </c>
      <c r="BT83" s="95" t="e">
        <f>IF(AG83=VLOOKUP($A83,Feature_List!$A$2:$AO$101,MATCH(BT$1,Feature_List!$A$1:$AO$1,0),FALSE),"OK","BAD")</f>
        <v>#N/A</v>
      </c>
      <c r="BU83" s="95" t="e">
        <f>IF(AH83=VLOOKUP($A83,Feature_List!$A$2:$AO$101,MATCH(BU$1,Feature_List!$A$1:$AO$1,0),FALSE),"OK","BAD")</f>
        <v>#N/A</v>
      </c>
      <c r="BV83" s="95" t="e">
        <f>IF(AI83=VLOOKUP($A83,Feature_List!$A$2:$AO$101,MATCH(BV$1,Feature_List!$A$1:$AO$1,0),FALSE),"OK","BAD")</f>
        <v>#N/A</v>
      </c>
      <c r="BW83" s="95" t="e">
        <f>IF(AJ83=VLOOKUP($A83,Feature_List!$A$2:$AO$101,MATCH(BW$1,Feature_List!$A$1:$AO$1,0),FALSE),"OK","BAD")</f>
        <v>#N/A</v>
      </c>
      <c r="BX83" s="95" t="e">
        <f>IF(AK83=VLOOKUP($A83,Feature_List!$A$2:$AO$101,MATCH(BX$1,Feature_List!$A$1:$AO$1,0),FALSE),"OK","BAD")</f>
        <v>#N/A</v>
      </c>
      <c r="BY83" s="95" t="e">
        <f>IF(AL83=VLOOKUP($A83,Feature_List!$A$2:$AO$101,MATCH(BY$1,Feature_List!$A$1:$AO$1,0),FALSE),"OK","BAD")</f>
        <v>#N/A</v>
      </c>
      <c r="BZ83" s="95" t="e">
        <f>IF(AM83=VLOOKUP($A83,Feature_List!$A$2:$AO$101,MATCH(BZ$1,Feature_List!$A$1:$AO$1,0),FALSE),"OK","BAD")</f>
        <v>#N/A</v>
      </c>
      <c r="CA83" s="95" t="e">
        <f>IF(AN83=VLOOKUP($A83,Feature_List!$A$2:$AO$101,MATCH(CA$1,Feature_List!$A$1:$AO$1,0),FALSE),"OK","BAD")</f>
        <v>#N/A</v>
      </c>
    </row>
    <row r="84" spans="1:79" ht="14.4" customHeight="1" x14ac:dyDescent="0.3">
      <c r="A84" s="70">
        <v>318380</v>
      </c>
      <c r="B84" s="65" t="s">
        <v>140</v>
      </c>
      <c r="C84" s="98" t="s">
        <v>1012</v>
      </c>
      <c r="D84" s="65" t="s">
        <v>106</v>
      </c>
      <c r="E84" s="64">
        <v>134</v>
      </c>
      <c r="F84" s="64" t="s">
        <v>880</v>
      </c>
      <c r="G84" s="64" t="s">
        <v>960</v>
      </c>
      <c r="H84" s="64" t="s">
        <v>362</v>
      </c>
      <c r="I84" s="99" t="s">
        <v>560</v>
      </c>
      <c r="J84" s="64" t="s">
        <v>1412</v>
      </c>
      <c r="K84" s="64">
        <v>251622</v>
      </c>
      <c r="L84" s="62" t="s">
        <v>950</v>
      </c>
      <c r="M84" s="67" t="s">
        <v>37</v>
      </c>
      <c r="N84" s="67" t="s">
        <v>39</v>
      </c>
      <c r="O84" s="67">
        <v>0</v>
      </c>
      <c r="P84" s="66" t="s">
        <v>131</v>
      </c>
      <c r="Q84" s="63">
        <v>2</v>
      </c>
      <c r="R84" s="63">
        <v>129</v>
      </c>
      <c r="S84" s="63">
        <v>0</v>
      </c>
      <c r="T84" s="63">
        <v>0</v>
      </c>
      <c r="U84" s="63">
        <v>0</v>
      </c>
      <c r="V84" s="63">
        <v>0</v>
      </c>
      <c r="W84" s="63">
        <v>0</v>
      </c>
      <c r="X84" s="63">
        <v>0</v>
      </c>
      <c r="Y84" s="63">
        <v>4</v>
      </c>
      <c r="Z84" s="63">
        <v>1</v>
      </c>
      <c r="AA84" s="63">
        <v>0</v>
      </c>
      <c r="AB84" s="63">
        <v>0</v>
      </c>
      <c r="AC84" s="63">
        <v>0</v>
      </c>
      <c r="AD84" s="63">
        <v>0</v>
      </c>
      <c r="AE84" s="63">
        <v>0</v>
      </c>
      <c r="AF84" s="63">
        <v>0</v>
      </c>
      <c r="AG84" s="63">
        <v>0</v>
      </c>
      <c r="AH84" s="63">
        <v>0</v>
      </c>
      <c r="AI84" s="63">
        <v>0</v>
      </c>
      <c r="AJ84" s="63">
        <v>5</v>
      </c>
      <c r="AK84" s="63">
        <v>0</v>
      </c>
      <c r="AL84" s="63" t="s">
        <v>35</v>
      </c>
      <c r="AM84" s="63" t="s">
        <v>854</v>
      </c>
      <c r="AN84" s="220" t="s">
        <v>33</v>
      </c>
      <c r="AO84" s="224"/>
      <c r="AP84" s="95" t="e">
        <f>IF(C84=VLOOKUP($A84,Feature_List!$A$2:$AO$101,MATCH(AP$1,Feature_List!$A$1:$AO$1,0),FALSE),"OK","BAD")</f>
        <v>#N/A</v>
      </c>
      <c r="AQ84" s="95" t="e">
        <f>IF(D84=VLOOKUP($A84,Feature_List!$A$2:$AO$101,MATCH(AQ$1,Feature_List!$A$1:$AO$1,0),FALSE),"OK","BAD")</f>
        <v>#N/A</v>
      </c>
      <c r="AR84" s="95" t="e">
        <f>IF(E84=VLOOKUP($A84,Feature_List!$A$2:$AO$101,MATCH(AR$1,Feature_List!$A$1:$AO$1,0),FALSE),"OK","BAD")</f>
        <v>#N/A</v>
      </c>
      <c r="AS84" s="95" t="e">
        <f>IF(F84=VLOOKUP($A84,Feature_List!$A$2:$AO$101,MATCH(AS$1,Feature_List!$A$1:$AO$1,0),FALSE),"OK","BAD")</f>
        <v>#N/A</v>
      </c>
      <c r="AT84" s="95" t="s">
        <v>985</v>
      </c>
      <c r="AU84" s="95" t="s">
        <v>985</v>
      </c>
      <c r="AV84" s="95" t="e">
        <f>IF(I84=VLOOKUP($A84,Feature_List!$A$2:$AO$101,MATCH(AV$1,Feature_List!$A$1:$AO$1,0),FALSE),"OK","BAD")</f>
        <v>#N/A</v>
      </c>
      <c r="AW84" s="95" t="e">
        <f>IF(J84=VLOOKUP($A84,Feature_List!$A$2:$AO$101,MATCH(AW$1,Feature_List!$A$1:$AO$1,0),FALSE),"OK","BAD")</f>
        <v>#N/A</v>
      </c>
      <c r="AX84" s="95" t="e">
        <f>IF(K84=VLOOKUP($A84,Feature_List!$A$2:$AO$101,MATCH(AX$1,Feature_List!$A$1:$AO$1,0),FALSE),"OK","BAD")</f>
        <v>#N/A</v>
      </c>
      <c r="AY84" s="95" t="e">
        <f>IF(L84=VLOOKUP($A84,Feature_List!$A$2:$AO$101,MATCH(AY$1,Feature_List!$A$1:$AO$1,0),FALSE),"OK","BAD")</f>
        <v>#N/A</v>
      </c>
      <c r="AZ84" s="95" t="e">
        <f>IF(M84=VLOOKUP($A84,Feature_List!$A$2:$AO$101,MATCH(AZ$1,Feature_List!$A$1:$AO$1,0),FALSE),"OK","BAD")</f>
        <v>#N/A</v>
      </c>
      <c r="BA84" s="95" t="e">
        <f>IF(N84=VLOOKUP($A84,Feature_List!$A$2:$AO$101,MATCH(BA$1,Feature_List!$A$1:$AO$1,0),FALSE),"OK","BAD")</f>
        <v>#N/A</v>
      </c>
      <c r="BB84" s="95" t="e">
        <f>IF(O84=VLOOKUP($A84,Feature_List!$A$2:$AO$101,MATCH(BB$1,Feature_List!$A$1:$AO$1,0),FALSE),"OK","BAD")</f>
        <v>#N/A</v>
      </c>
      <c r="BC84" s="95" t="e">
        <f>IF(P84=VLOOKUP($A84,Feature_List!$A$2:$AO$101,MATCH(BC$1,Feature_List!$A$1:$AO$1,0),FALSE),"OK","BAD")</f>
        <v>#N/A</v>
      </c>
      <c r="BD84" s="95" t="e">
        <f>IF(Q84=VLOOKUP($A84,Feature_List!$A$2:$AO$101,MATCH(BD$1,Feature_List!$A$1:$AO$1,0),FALSE),"OK","BAD")</f>
        <v>#N/A</v>
      </c>
      <c r="BE84" s="95" t="e">
        <f>IF(R84=VLOOKUP($A84,Feature_List!$A$2:$AO$101,MATCH(BE$1,Feature_List!$A$1:$AO$1,0),FALSE),"OK","BAD")</f>
        <v>#N/A</v>
      </c>
      <c r="BF84" s="95" t="e">
        <f>IF(S84=VLOOKUP($A84,Feature_List!$A$2:$AO$101,MATCH(BF$1,Feature_List!$A$1:$AO$1,0),FALSE),"OK","BAD")</f>
        <v>#N/A</v>
      </c>
      <c r="BG84" s="95" t="e">
        <f>IF(T84=VLOOKUP($A84,Feature_List!$A$2:$AO$101,MATCH(BG$1,Feature_List!$A$1:$AO$1,0),FALSE),"OK","BAD")</f>
        <v>#N/A</v>
      </c>
      <c r="BH84" s="95" t="e">
        <f>IF(U84=VLOOKUP($A84,Feature_List!$A$2:$AO$101,MATCH(BH$1,Feature_List!$A$1:$AO$1,0),FALSE),"OK","BAD")</f>
        <v>#N/A</v>
      </c>
      <c r="BI84" s="95" t="e">
        <f>IF(V84=VLOOKUP($A84,Feature_List!$A$2:$AO$101,MATCH(BI$1,Feature_List!$A$1:$AO$1,0),FALSE),"OK","BAD")</f>
        <v>#N/A</v>
      </c>
      <c r="BJ84" s="95" t="e">
        <f>IF(W84=VLOOKUP($A84,Feature_List!$A$2:$AO$101,MATCH(BJ$1,Feature_List!$A$1:$AO$1,0),FALSE),"OK","BAD")</f>
        <v>#N/A</v>
      </c>
      <c r="BK84" s="95" t="e">
        <f>IF(X84=VLOOKUP($A84,Feature_List!$A$2:$AO$101,MATCH(BK$1,Feature_List!$A$1:$AO$1,0),FALSE),"OK","BAD")</f>
        <v>#N/A</v>
      </c>
      <c r="BL84" s="95" t="e">
        <f>IF(Y84=VLOOKUP($A84,Feature_List!$A$2:$AO$101,MATCH(BL$1,Feature_List!$A$1:$AO$1,0),FALSE),"OK","BAD")</f>
        <v>#N/A</v>
      </c>
      <c r="BM84" s="95" t="e">
        <f>IF(Z84=VLOOKUP($A84,Feature_List!$A$2:$AO$101,MATCH(BM$1,Feature_List!$A$1:$AO$1,0),FALSE),"OK","BAD")</f>
        <v>#N/A</v>
      </c>
      <c r="BN84" s="95" t="e">
        <f>IF(AA84=VLOOKUP($A84,Feature_List!$A$2:$AO$101,MATCH(BN$1,Feature_List!$A$1:$AO$1,0),FALSE),"OK","BAD")</f>
        <v>#N/A</v>
      </c>
      <c r="BO84" s="95" t="e">
        <f>IF(AB84=VLOOKUP($A84,Feature_List!$A$2:$AO$101,MATCH(BO$1,Feature_List!$A$1:$AO$1,0),FALSE),"OK","BAD")</f>
        <v>#N/A</v>
      </c>
      <c r="BP84" s="95" t="e">
        <f>IF(AC84=VLOOKUP($A84,Feature_List!$A$2:$AO$101,MATCH(BP$1,Feature_List!$A$1:$AO$1,0),FALSE),"OK","BAD")</f>
        <v>#N/A</v>
      </c>
      <c r="BQ84" s="95" t="e">
        <f>IF(AD84=VLOOKUP($A84,Feature_List!$A$2:$AO$101,MATCH(BQ$1,Feature_List!$A$1:$AO$1,0),FALSE),"OK","BAD")</f>
        <v>#N/A</v>
      </c>
      <c r="BR84" s="95" t="e">
        <f>IF(AE84=VLOOKUP($A84,Feature_List!$A$2:$AO$101,MATCH(BR$1,Feature_List!$A$1:$AO$1,0),FALSE),"OK","BAD")</f>
        <v>#N/A</v>
      </c>
      <c r="BS84" s="95" t="e">
        <f>IF(AF84=VLOOKUP($A84,Feature_List!$A$2:$AO$101,MATCH(BS$1,Feature_List!$A$1:$AO$1,0),FALSE),"OK","BAD")</f>
        <v>#N/A</v>
      </c>
      <c r="BT84" s="95" t="e">
        <f>IF(AG84=VLOOKUP($A84,Feature_List!$A$2:$AO$101,MATCH(BT$1,Feature_List!$A$1:$AO$1,0),FALSE),"OK","BAD")</f>
        <v>#N/A</v>
      </c>
      <c r="BU84" s="95" t="e">
        <f>IF(AH84=VLOOKUP($A84,Feature_List!$A$2:$AO$101,MATCH(BU$1,Feature_List!$A$1:$AO$1,0),FALSE),"OK","BAD")</f>
        <v>#N/A</v>
      </c>
      <c r="BV84" s="95" t="e">
        <f>IF(AI84=VLOOKUP($A84,Feature_List!$A$2:$AO$101,MATCH(BV$1,Feature_List!$A$1:$AO$1,0),FALSE),"OK","BAD")</f>
        <v>#N/A</v>
      </c>
      <c r="BW84" s="95" t="e">
        <f>IF(AJ84=VLOOKUP($A84,Feature_List!$A$2:$AO$101,MATCH(BW$1,Feature_List!$A$1:$AO$1,0),FALSE),"OK","BAD")</f>
        <v>#N/A</v>
      </c>
      <c r="BX84" s="95" t="e">
        <f>IF(AK84=VLOOKUP($A84,Feature_List!$A$2:$AO$101,MATCH(BX$1,Feature_List!$A$1:$AO$1,0),FALSE),"OK","BAD")</f>
        <v>#N/A</v>
      </c>
      <c r="BY84" s="95" t="e">
        <f>IF(AL84=VLOOKUP($A84,Feature_List!$A$2:$AO$101,MATCH(BY$1,Feature_List!$A$1:$AO$1,0),FALSE),"OK","BAD")</f>
        <v>#N/A</v>
      </c>
      <c r="BZ84" s="95" t="e">
        <f>IF(AM84=VLOOKUP($A84,Feature_List!$A$2:$AO$101,MATCH(BZ$1,Feature_List!$A$1:$AO$1,0),FALSE),"OK","BAD")</f>
        <v>#N/A</v>
      </c>
      <c r="CA84" s="95" t="e">
        <f>IF(AN84=VLOOKUP($A84,Feature_List!$A$2:$AO$101,MATCH(CA$1,Feature_List!$A$1:$AO$1,0),FALSE),"OK","BAD")</f>
        <v>#N/A</v>
      </c>
    </row>
    <row r="85" spans="1:79" ht="14.4" customHeight="1" x14ac:dyDescent="0.3">
      <c r="A85" s="70">
        <v>297335</v>
      </c>
      <c r="B85" s="65" t="s">
        <v>1151</v>
      </c>
      <c r="C85" s="98" t="s">
        <v>1145</v>
      </c>
      <c r="D85" s="65" t="s">
        <v>28</v>
      </c>
      <c r="E85" s="64">
        <v>76</v>
      </c>
      <c r="F85" s="64" t="s">
        <v>41</v>
      </c>
      <c r="G85" s="64" t="s">
        <v>1477</v>
      </c>
      <c r="H85" s="64" t="s">
        <v>981</v>
      </c>
      <c r="I85" s="99" t="s">
        <v>38</v>
      </c>
      <c r="J85" s="64" t="s">
        <v>1412</v>
      </c>
      <c r="K85" s="64">
        <v>0</v>
      </c>
      <c r="L85" s="62" t="s">
        <v>18</v>
      </c>
      <c r="M85" s="67" t="s">
        <v>42</v>
      </c>
      <c r="N85" s="67" t="s">
        <v>46</v>
      </c>
      <c r="O85" s="67">
        <v>0</v>
      </c>
      <c r="P85" s="66" t="s">
        <v>131</v>
      </c>
      <c r="Q85" s="63">
        <v>2</v>
      </c>
      <c r="R85" s="63">
        <v>0</v>
      </c>
      <c r="S85" s="63">
        <v>0</v>
      </c>
      <c r="T85" s="63">
        <v>0</v>
      </c>
      <c r="U85" s="63">
        <v>0</v>
      </c>
      <c r="V85" s="63">
        <v>0</v>
      </c>
      <c r="W85" s="63">
        <v>0</v>
      </c>
      <c r="X85" s="63">
        <v>0</v>
      </c>
      <c r="Y85" s="63">
        <v>0</v>
      </c>
      <c r="Z85" s="63">
        <v>0</v>
      </c>
      <c r="AA85" s="63">
        <v>0</v>
      </c>
      <c r="AB85" s="63">
        <v>0</v>
      </c>
      <c r="AC85" s="63">
        <v>0</v>
      </c>
      <c r="AD85" s="63">
        <v>0</v>
      </c>
      <c r="AE85" s="63">
        <v>68</v>
      </c>
      <c r="AF85" s="63">
        <v>0</v>
      </c>
      <c r="AG85" s="63">
        <v>8</v>
      </c>
      <c r="AH85" s="63">
        <v>0</v>
      </c>
      <c r="AI85" s="63">
        <v>0</v>
      </c>
      <c r="AJ85" s="63">
        <v>76</v>
      </c>
      <c r="AK85" s="63">
        <v>0</v>
      </c>
      <c r="AL85" s="63" t="s">
        <v>35</v>
      </c>
      <c r="AM85" s="63" t="s">
        <v>36</v>
      </c>
      <c r="AN85" s="220" t="s">
        <v>40</v>
      </c>
      <c r="AO85" s="224"/>
      <c r="AP85" s="95" t="str">
        <f>IF(C85=VLOOKUP($A85,Feature_List!$A$2:$AO$101,MATCH(AP$1,Feature_List!$A$1:$AO$1,0),FALSE),"OK","BAD")</f>
        <v>BAD</v>
      </c>
      <c r="AQ85" s="95" t="str">
        <f>IF(D85=VLOOKUP($A85,Feature_List!$A$2:$AO$101,MATCH(AQ$1,Feature_List!$A$1:$AO$1,0),FALSE),"OK","BAD")</f>
        <v>BAD</v>
      </c>
      <c r="AR85" s="95" t="str">
        <f>IF(E85=VLOOKUP($A85,Feature_List!$A$2:$AO$101,MATCH(AR$1,Feature_List!$A$1:$AO$1,0),FALSE),"OK","BAD")</f>
        <v>BAD</v>
      </c>
      <c r="AS85" s="95" t="str">
        <f>IF(F85=VLOOKUP($A85,Feature_List!$A$2:$AO$101,MATCH(AS$1,Feature_List!$A$1:$AO$1,0),FALSE),"OK","BAD")</f>
        <v>OK</v>
      </c>
      <c r="AT85" s="95" t="s">
        <v>985</v>
      </c>
      <c r="AU85" s="95" t="s">
        <v>985</v>
      </c>
      <c r="AV85" s="95" t="str">
        <f>IF(I85=VLOOKUP($A85,Feature_List!$A$2:$AO$101,MATCH(AV$1,Feature_List!$A$1:$AO$1,0),FALSE),"OK","BAD")</f>
        <v>OK</v>
      </c>
      <c r="AW85" s="95" t="str">
        <f>IF(J85=VLOOKUP($A85,Feature_List!$A$2:$AO$101,MATCH(AW$1,Feature_List!$A$1:$AO$1,0),FALSE),"OK","BAD")</f>
        <v>OK</v>
      </c>
      <c r="AX85" s="95" t="str">
        <f>IF(K85=VLOOKUP($A85,Feature_List!$A$2:$AO$101,MATCH(AX$1,Feature_List!$A$1:$AO$1,0),FALSE),"OK","BAD")</f>
        <v>OK</v>
      </c>
      <c r="AY85" s="95" t="str">
        <f>IF(L85=VLOOKUP($A85,Feature_List!$A$2:$AO$101,MATCH(AY$1,Feature_List!$A$1:$AO$1,0),FALSE),"OK","BAD")</f>
        <v>OK</v>
      </c>
      <c r="AZ85" s="95" t="str">
        <f>IF(M85=VLOOKUP($A85,Feature_List!$A$2:$AO$101,MATCH(AZ$1,Feature_List!$A$1:$AO$1,0),FALSE),"OK","BAD")</f>
        <v>OK</v>
      </c>
      <c r="BA85" s="95" t="str">
        <f>IF(N85=VLOOKUP($A85,Feature_List!$A$2:$AO$101,MATCH(BA$1,Feature_List!$A$1:$AO$1,0),FALSE),"OK","BAD")</f>
        <v>OK</v>
      </c>
      <c r="BB85" s="95" t="str">
        <f>IF(O85=VLOOKUP($A85,Feature_List!$A$2:$AO$101,MATCH(BB$1,Feature_List!$A$1:$AO$1,0),FALSE),"OK","BAD")</f>
        <v>OK</v>
      </c>
      <c r="BC85" s="95" t="e">
        <f>IF(P85=VLOOKUP($A85,Feature_List!$A$2:$AO$101,MATCH(BC$1,Feature_List!$A$1:$AO$1,0),FALSE),"OK","BAD")</f>
        <v>#N/A</v>
      </c>
      <c r="BD85" s="95" t="str">
        <f>IF(Q85=VLOOKUP($A85,Feature_List!$A$2:$AO$101,MATCH(BD$1,Feature_List!$A$1:$AO$1,0),FALSE),"OK","BAD")</f>
        <v>OK</v>
      </c>
      <c r="BE85" s="95" t="str">
        <f>IF(R85=VLOOKUP($A85,Feature_List!$A$2:$AO$101,MATCH(BE$1,Feature_List!$A$1:$AO$1,0),FALSE),"OK","BAD")</f>
        <v>BAD</v>
      </c>
      <c r="BF85" s="95" t="str">
        <f>IF(S85=VLOOKUP($A85,Feature_List!$A$2:$AO$101,MATCH(BF$1,Feature_List!$A$1:$AO$1,0),FALSE),"OK","BAD")</f>
        <v>OK</v>
      </c>
      <c r="BG85" s="95" t="str">
        <f>IF(T85=VLOOKUP($A85,Feature_List!$A$2:$AO$101,MATCH(BG$1,Feature_List!$A$1:$AO$1,0),FALSE),"OK","BAD")</f>
        <v>OK</v>
      </c>
      <c r="BH85" s="95" t="str">
        <f>IF(U85=VLOOKUP($A85,Feature_List!$A$2:$AO$101,MATCH(BH$1,Feature_List!$A$1:$AO$1,0),FALSE),"OK","BAD")</f>
        <v>OK</v>
      </c>
      <c r="BI85" s="95" t="str">
        <f>IF(V85=VLOOKUP($A85,Feature_List!$A$2:$AO$101,MATCH(BI$1,Feature_List!$A$1:$AO$1,0),FALSE),"OK","BAD")</f>
        <v>OK</v>
      </c>
      <c r="BJ85" s="95" t="e">
        <f>IF(W85=VLOOKUP($A85,Feature_List!$A$2:$AO$101,MATCH(BJ$1,Feature_List!$A$1:$AO$1,0),FALSE),"OK","BAD")</f>
        <v>#N/A</v>
      </c>
      <c r="BK85" s="95" t="str">
        <f>IF(X85=VLOOKUP($A85,Feature_List!$A$2:$AO$101,MATCH(BK$1,Feature_List!$A$1:$AO$1,0),FALSE),"OK","BAD")</f>
        <v>OK</v>
      </c>
      <c r="BL85" s="95" t="str">
        <f>IF(Y85=VLOOKUP($A85,Feature_List!$A$2:$AO$101,MATCH(BL$1,Feature_List!$A$1:$AO$1,0),FALSE),"OK","BAD")</f>
        <v>OK</v>
      </c>
      <c r="BM85" s="95" t="str">
        <f>IF(Z85=VLOOKUP($A85,Feature_List!$A$2:$AO$101,MATCH(BM$1,Feature_List!$A$1:$AO$1,0),FALSE),"OK","BAD")</f>
        <v>OK</v>
      </c>
      <c r="BN85" s="95" t="str">
        <f>IF(AA85=VLOOKUP($A85,Feature_List!$A$2:$AO$101,MATCH(BN$1,Feature_List!$A$1:$AO$1,0),FALSE),"OK","BAD")</f>
        <v>OK</v>
      </c>
      <c r="BO85" s="95" t="str">
        <f>IF(AB85=VLOOKUP($A85,Feature_List!$A$2:$AO$101,MATCH(BO$1,Feature_List!$A$1:$AO$1,0),FALSE),"OK","BAD")</f>
        <v>OK</v>
      </c>
      <c r="BP85" s="95" t="str">
        <f>IF(AC85=VLOOKUP($A85,Feature_List!$A$2:$AO$101,MATCH(BP$1,Feature_List!$A$1:$AO$1,0),FALSE),"OK","BAD")</f>
        <v>OK</v>
      </c>
      <c r="BQ85" s="95" t="str">
        <f>IF(AD85=VLOOKUP($A85,Feature_List!$A$2:$AO$101,MATCH(BQ$1,Feature_List!$A$1:$AO$1,0),FALSE),"OK","BAD")</f>
        <v>OK</v>
      </c>
      <c r="BR85" s="95" t="str">
        <f>IF(AE85=VLOOKUP($A85,Feature_List!$A$2:$AO$101,MATCH(BR$1,Feature_List!$A$1:$AO$1,0),FALSE),"OK","BAD")</f>
        <v>BAD</v>
      </c>
      <c r="BS85" s="95" t="str">
        <f>IF(AF85=VLOOKUP($A85,Feature_List!$A$2:$AO$101,MATCH(BS$1,Feature_List!$A$1:$AO$1,0),FALSE),"OK","BAD")</f>
        <v>OK</v>
      </c>
      <c r="BT85" s="95" t="str">
        <f>IF(AG85=VLOOKUP($A85,Feature_List!$A$2:$AO$101,MATCH(BT$1,Feature_List!$A$1:$AO$1,0),FALSE),"OK","BAD")</f>
        <v>BAD</v>
      </c>
      <c r="BU85" s="95" t="str">
        <f>IF(AH85=VLOOKUP($A85,Feature_List!$A$2:$AO$101,MATCH(BU$1,Feature_List!$A$1:$AO$1,0),FALSE),"OK","BAD")</f>
        <v>OK</v>
      </c>
      <c r="BV85" s="95" t="e">
        <f>IF(AI85=VLOOKUP($A85,Feature_List!$A$2:$AO$101,MATCH(BV$1,Feature_List!$A$1:$AO$1,0),FALSE),"OK","BAD")</f>
        <v>#N/A</v>
      </c>
      <c r="BW85" s="95" t="e">
        <f>IF(AJ85=VLOOKUP($A85,Feature_List!$A$2:$AO$101,MATCH(BW$1,Feature_List!$A$1:$AO$1,0),FALSE),"OK","BAD")</f>
        <v>#N/A</v>
      </c>
      <c r="BX85" s="95" t="e">
        <f>IF(AK85=VLOOKUP($A85,Feature_List!$A$2:$AO$101,MATCH(BX$1,Feature_List!$A$1:$AO$1,0),FALSE),"OK","BAD")</f>
        <v>#N/A</v>
      </c>
      <c r="BY85" s="95" t="str">
        <f>IF(AL85=VLOOKUP($A85,Feature_List!$A$2:$AO$101,MATCH(BY$1,Feature_List!$A$1:$AO$1,0),FALSE),"OK","BAD")</f>
        <v>OK</v>
      </c>
      <c r="BZ85" s="95" t="str">
        <f>IF(AM85=VLOOKUP($A85,Feature_List!$A$2:$AO$101,MATCH(BZ$1,Feature_List!$A$1:$AO$1,0),FALSE),"OK","BAD")</f>
        <v>OK</v>
      </c>
      <c r="CA85" s="95" t="str">
        <f>IF(AN85=VLOOKUP($A85,Feature_List!$A$2:$AO$101,MATCH(CA$1,Feature_List!$A$1:$AO$1,0),FALSE),"OK","BAD")</f>
        <v>BAD</v>
      </c>
    </row>
    <row r="86" spans="1:79" s="5" customFormat="1" ht="14.4" customHeight="1" x14ac:dyDescent="0.3">
      <c r="A86" s="70">
        <v>293338</v>
      </c>
      <c r="B86" s="65" t="s">
        <v>1473</v>
      </c>
      <c r="C86" s="98" t="s">
        <v>1143</v>
      </c>
      <c r="D86" s="65" t="s">
        <v>106</v>
      </c>
      <c r="E86" s="64">
        <v>51</v>
      </c>
      <c r="F86" s="64" t="s">
        <v>41</v>
      </c>
      <c r="G86" s="64" t="s">
        <v>1160</v>
      </c>
      <c r="H86" s="64" t="s">
        <v>981</v>
      </c>
      <c r="I86" s="99" t="s">
        <v>38</v>
      </c>
      <c r="J86" s="64" t="s">
        <v>1414</v>
      </c>
      <c r="K86" s="64">
        <v>0</v>
      </c>
      <c r="L86" s="62" t="s">
        <v>18</v>
      </c>
      <c r="M86" s="67" t="s">
        <v>42</v>
      </c>
      <c r="N86" s="67" t="s">
        <v>46</v>
      </c>
      <c r="O86" s="67">
        <v>0</v>
      </c>
      <c r="P86" s="66" t="s">
        <v>131</v>
      </c>
      <c r="Q86" s="63">
        <v>2</v>
      </c>
      <c r="R86" s="63">
        <v>18</v>
      </c>
      <c r="S86" s="63">
        <v>0</v>
      </c>
      <c r="T86" s="63">
        <v>0</v>
      </c>
      <c r="U86" s="63">
        <v>0</v>
      </c>
      <c r="V86" s="63">
        <v>0</v>
      </c>
      <c r="W86" s="63">
        <v>0</v>
      </c>
      <c r="X86" s="63">
        <v>0</v>
      </c>
      <c r="Y86" s="63">
        <v>0</v>
      </c>
      <c r="Z86" s="63">
        <v>0</v>
      </c>
      <c r="AA86" s="63">
        <v>0</v>
      </c>
      <c r="AB86" s="63">
        <v>0</v>
      </c>
      <c r="AC86" s="63">
        <v>7</v>
      </c>
      <c r="AD86" s="63">
        <v>0</v>
      </c>
      <c r="AE86" s="63">
        <v>26</v>
      </c>
      <c r="AF86" s="63">
        <v>0</v>
      </c>
      <c r="AG86" s="63">
        <v>0</v>
      </c>
      <c r="AH86" s="63">
        <v>0</v>
      </c>
      <c r="AI86" s="63">
        <v>0</v>
      </c>
      <c r="AJ86" s="63">
        <v>33</v>
      </c>
      <c r="AK86" s="63">
        <v>0</v>
      </c>
      <c r="AL86" s="63" t="s">
        <v>35</v>
      </c>
      <c r="AM86" s="63" t="s">
        <v>36</v>
      </c>
      <c r="AN86" s="220" t="s">
        <v>33</v>
      </c>
      <c r="AO86" s="224"/>
      <c r="AP86" s="95" t="e">
        <f>IF(C86=VLOOKUP($A86,Feature_List!$A$2:$AO$101,MATCH(AP$1,Feature_List!$A$1:$AO$1,0),FALSE),"OK","BAD")</f>
        <v>#N/A</v>
      </c>
      <c r="AQ86" s="95" t="e">
        <f>IF(D86=VLOOKUP($A86,Feature_List!$A$2:$AO$101,MATCH(AQ$1,Feature_List!$A$1:$AO$1,0),FALSE),"OK","BAD")</f>
        <v>#N/A</v>
      </c>
      <c r="AR86" s="95" t="e">
        <f>IF(E86=VLOOKUP($A86,Feature_List!$A$2:$AO$101,MATCH(AR$1,Feature_List!$A$1:$AO$1,0),FALSE),"OK","BAD")</f>
        <v>#N/A</v>
      </c>
      <c r="AS86" s="95" t="e">
        <f>IF(F86=VLOOKUP($A86,Feature_List!$A$2:$AO$101,MATCH(AS$1,Feature_List!$A$1:$AO$1,0),FALSE),"OK","BAD")</f>
        <v>#N/A</v>
      </c>
      <c r="AT86" s="95" t="s">
        <v>985</v>
      </c>
      <c r="AU86" s="95" t="s">
        <v>985</v>
      </c>
      <c r="AV86" s="95" t="e">
        <f>IF(I86=VLOOKUP($A86,Feature_List!$A$2:$AO$101,MATCH(AV$1,Feature_List!$A$1:$AO$1,0),FALSE),"OK","BAD")</f>
        <v>#N/A</v>
      </c>
      <c r="AW86" s="95" t="e">
        <f>IF(J86=VLOOKUP($A86,Feature_List!$A$2:$AO$101,MATCH(AW$1,Feature_List!$A$1:$AO$1,0),FALSE),"OK","BAD")</f>
        <v>#N/A</v>
      </c>
      <c r="AX86" s="95" t="e">
        <f>IF(K86=VLOOKUP($A86,Feature_List!$A$2:$AO$101,MATCH(AX$1,Feature_List!$A$1:$AO$1,0),FALSE),"OK","BAD")</f>
        <v>#N/A</v>
      </c>
      <c r="AY86" s="95" t="e">
        <f>IF(L86=VLOOKUP($A86,Feature_List!$A$2:$AO$101,MATCH(AY$1,Feature_List!$A$1:$AO$1,0),FALSE),"OK","BAD")</f>
        <v>#N/A</v>
      </c>
      <c r="AZ86" s="95" t="e">
        <f>IF(M86=VLOOKUP($A86,Feature_List!$A$2:$AO$101,MATCH(AZ$1,Feature_List!$A$1:$AO$1,0),FALSE),"OK","BAD")</f>
        <v>#N/A</v>
      </c>
      <c r="BA86" s="95" t="e">
        <f>IF(N86=VLOOKUP($A86,Feature_List!$A$2:$AO$101,MATCH(BA$1,Feature_List!$A$1:$AO$1,0),FALSE),"OK","BAD")</f>
        <v>#N/A</v>
      </c>
      <c r="BB86" s="95" t="e">
        <f>IF(O86=VLOOKUP($A86,Feature_List!$A$2:$AO$101,MATCH(BB$1,Feature_List!$A$1:$AO$1,0),FALSE),"OK","BAD")</f>
        <v>#N/A</v>
      </c>
      <c r="BC86" s="95" t="e">
        <f>IF(P86=VLOOKUP($A86,Feature_List!$A$2:$AO$101,MATCH(BC$1,Feature_List!$A$1:$AO$1,0),FALSE),"OK","BAD")</f>
        <v>#N/A</v>
      </c>
      <c r="BD86" s="95" t="e">
        <f>IF(Q86=VLOOKUP($A86,Feature_List!$A$2:$AO$101,MATCH(BD$1,Feature_List!$A$1:$AO$1,0),FALSE),"OK","BAD")</f>
        <v>#N/A</v>
      </c>
      <c r="BE86" s="95" t="e">
        <f>IF(R86=VLOOKUP($A86,Feature_List!$A$2:$AO$101,MATCH(BE$1,Feature_List!$A$1:$AO$1,0),FALSE),"OK","BAD")</f>
        <v>#N/A</v>
      </c>
      <c r="BF86" s="95" t="e">
        <f>IF(S86=VLOOKUP($A86,Feature_List!$A$2:$AO$101,MATCH(BF$1,Feature_List!$A$1:$AO$1,0),FALSE),"OK","BAD")</f>
        <v>#N/A</v>
      </c>
      <c r="BG86" s="95" t="e">
        <f>IF(T86=VLOOKUP($A86,Feature_List!$A$2:$AO$101,MATCH(BG$1,Feature_List!$A$1:$AO$1,0),FALSE),"OK","BAD")</f>
        <v>#N/A</v>
      </c>
      <c r="BH86" s="95" t="e">
        <f>IF(U86=VLOOKUP($A86,Feature_List!$A$2:$AO$101,MATCH(BH$1,Feature_List!$A$1:$AO$1,0),FALSE),"OK","BAD")</f>
        <v>#N/A</v>
      </c>
      <c r="BI86" s="95" t="e">
        <f>IF(V86=VLOOKUP($A86,Feature_List!$A$2:$AO$101,MATCH(BI$1,Feature_List!$A$1:$AO$1,0),FALSE),"OK","BAD")</f>
        <v>#N/A</v>
      </c>
      <c r="BJ86" s="95" t="e">
        <f>IF(W86=VLOOKUP($A86,Feature_List!$A$2:$AO$101,MATCH(BJ$1,Feature_List!$A$1:$AO$1,0),FALSE),"OK","BAD")</f>
        <v>#N/A</v>
      </c>
      <c r="BK86" s="95" t="e">
        <f>IF(X86=VLOOKUP($A86,Feature_List!$A$2:$AO$101,MATCH(BK$1,Feature_List!$A$1:$AO$1,0),FALSE),"OK","BAD")</f>
        <v>#N/A</v>
      </c>
      <c r="BL86" s="95" t="e">
        <f>IF(Y86=VLOOKUP($A86,Feature_List!$A$2:$AO$101,MATCH(BL$1,Feature_List!$A$1:$AO$1,0),FALSE),"OK","BAD")</f>
        <v>#N/A</v>
      </c>
      <c r="BM86" s="95" t="e">
        <f>IF(Z86=VLOOKUP($A86,Feature_List!$A$2:$AO$101,MATCH(BM$1,Feature_List!$A$1:$AO$1,0),FALSE),"OK","BAD")</f>
        <v>#N/A</v>
      </c>
      <c r="BN86" s="95" t="e">
        <f>IF(AA86=VLOOKUP($A86,Feature_List!$A$2:$AO$101,MATCH(BN$1,Feature_List!$A$1:$AO$1,0),FALSE),"OK","BAD")</f>
        <v>#N/A</v>
      </c>
      <c r="BO86" s="95" t="e">
        <f>IF(AB86=VLOOKUP($A86,Feature_List!$A$2:$AO$101,MATCH(BO$1,Feature_List!$A$1:$AO$1,0),FALSE),"OK","BAD")</f>
        <v>#N/A</v>
      </c>
      <c r="BP86" s="95" t="e">
        <f>IF(AC86=VLOOKUP($A86,Feature_List!$A$2:$AO$101,MATCH(BP$1,Feature_List!$A$1:$AO$1,0),FALSE),"OK","BAD")</f>
        <v>#N/A</v>
      </c>
      <c r="BQ86" s="95" t="e">
        <f>IF(AD86=VLOOKUP($A86,Feature_List!$A$2:$AO$101,MATCH(BQ$1,Feature_List!$A$1:$AO$1,0),FALSE),"OK","BAD")</f>
        <v>#N/A</v>
      </c>
      <c r="BR86" s="95" t="e">
        <f>IF(AE86=VLOOKUP($A86,Feature_List!$A$2:$AO$101,MATCH(BR$1,Feature_List!$A$1:$AO$1,0),FALSE),"OK","BAD")</f>
        <v>#N/A</v>
      </c>
      <c r="BS86" s="95" t="e">
        <f>IF(AF86=VLOOKUP($A86,Feature_List!$A$2:$AO$101,MATCH(BS$1,Feature_List!$A$1:$AO$1,0),FALSE),"OK","BAD")</f>
        <v>#N/A</v>
      </c>
      <c r="BT86" s="95" t="e">
        <f>IF(AG86=VLOOKUP($A86,Feature_List!$A$2:$AO$101,MATCH(BT$1,Feature_List!$A$1:$AO$1,0),FALSE),"OK","BAD")</f>
        <v>#N/A</v>
      </c>
      <c r="BU86" s="95" t="e">
        <f>IF(AH86=VLOOKUP($A86,Feature_List!$A$2:$AO$101,MATCH(BU$1,Feature_List!$A$1:$AO$1,0),FALSE),"OK","BAD")</f>
        <v>#N/A</v>
      </c>
      <c r="BV86" s="95" t="e">
        <f>IF(AI86=VLOOKUP($A86,Feature_List!$A$2:$AO$101,MATCH(BV$1,Feature_List!$A$1:$AO$1,0),FALSE),"OK","BAD")</f>
        <v>#N/A</v>
      </c>
      <c r="BW86" s="95" t="e">
        <f>IF(AJ86=VLOOKUP($A86,Feature_List!$A$2:$AO$101,MATCH(BW$1,Feature_List!$A$1:$AO$1,0),FALSE),"OK","BAD")</f>
        <v>#N/A</v>
      </c>
      <c r="BX86" s="95" t="e">
        <f>IF(AK86=VLOOKUP($A86,Feature_List!$A$2:$AO$101,MATCH(BX$1,Feature_List!$A$1:$AO$1,0),FALSE),"OK","BAD")</f>
        <v>#N/A</v>
      </c>
      <c r="BY86" s="95" t="e">
        <f>IF(AL86=VLOOKUP($A86,Feature_List!$A$2:$AO$101,MATCH(BY$1,Feature_List!$A$1:$AO$1,0),FALSE),"OK","BAD")</f>
        <v>#N/A</v>
      </c>
      <c r="BZ86" s="95" t="e">
        <f>IF(AM86=VLOOKUP($A86,Feature_List!$A$2:$AO$101,MATCH(BZ$1,Feature_List!$A$1:$AO$1,0),FALSE),"OK","BAD")</f>
        <v>#N/A</v>
      </c>
      <c r="CA86" s="95" t="e">
        <f>IF(AN86=VLOOKUP($A86,Feature_List!$A$2:$AO$101,MATCH(CA$1,Feature_List!$A$1:$AO$1,0),FALSE),"OK","BAD")</f>
        <v>#N/A</v>
      </c>
    </row>
    <row r="87" spans="1:79" ht="14.4" customHeight="1" x14ac:dyDescent="0.3">
      <c r="A87" s="70">
        <v>290711</v>
      </c>
      <c r="B87" s="65" t="s">
        <v>1485</v>
      </c>
      <c r="C87" s="98" t="s">
        <v>1012</v>
      </c>
      <c r="D87" s="65" t="s">
        <v>1601</v>
      </c>
      <c r="E87" s="64">
        <v>9</v>
      </c>
      <c r="F87" s="64" t="s">
        <v>879</v>
      </c>
      <c r="G87" s="64" t="s">
        <v>1486</v>
      </c>
      <c r="H87" s="64" t="s">
        <v>170</v>
      </c>
      <c r="I87" s="99" t="s">
        <v>38</v>
      </c>
      <c r="J87" s="64" t="s">
        <v>1412</v>
      </c>
      <c r="K87" s="64">
        <v>347073</v>
      </c>
      <c r="L87" s="62" t="s">
        <v>943</v>
      </c>
      <c r="M87" s="67" t="s">
        <v>31</v>
      </c>
      <c r="N87" s="67" t="s">
        <v>32</v>
      </c>
      <c r="O87" s="67">
        <v>4</v>
      </c>
      <c r="P87" s="66" t="s">
        <v>133</v>
      </c>
      <c r="Q87" s="63">
        <v>1</v>
      </c>
      <c r="R87" s="63">
        <v>8</v>
      </c>
      <c r="S87" s="63">
        <v>0</v>
      </c>
      <c r="T87" s="63">
        <v>0</v>
      </c>
      <c r="U87" s="63">
        <v>0</v>
      </c>
      <c r="V87" s="63">
        <v>0</v>
      </c>
      <c r="W87" s="63">
        <v>0</v>
      </c>
      <c r="X87" s="63">
        <v>1</v>
      </c>
      <c r="Y87" s="63">
        <v>0</v>
      </c>
      <c r="Z87" s="63">
        <v>0</v>
      </c>
      <c r="AA87" s="63">
        <v>0</v>
      </c>
      <c r="AB87" s="63">
        <v>0</v>
      </c>
      <c r="AC87" s="63">
        <v>0</v>
      </c>
      <c r="AD87" s="63">
        <v>0</v>
      </c>
      <c r="AE87" s="63">
        <v>0</v>
      </c>
      <c r="AF87" s="63">
        <v>0</v>
      </c>
      <c r="AG87" s="63">
        <v>0</v>
      </c>
      <c r="AH87" s="63">
        <v>0</v>
      </c>
      <c r="AI87" s="63">
        <v>0</v>
      </c>
      <c r="AJ87" s="63">
        <v>1</v>
      </c>
      <c r="AK87" s="63">
        <v>0</v>
      </c>
      <c r="AL87" s="63" t="s">
        <v>35</v>
      </c>
      <c r="AM87" s="63" t="s">
        <v>854</v>
      </c>
      <c r="AN87" s="220" t="s">
        <v>33</v>
      </c>
      <c r="AO87" s="224"/>
      <c r="AP87" s="95" t="e">
        <f>IF(C87=VLOOKUP($A87,Feature_List!$A$2:$AO$101,MATCH(AP$1,Feature_List!$A$1:$AO$1,0),FALSE),"OK","BAD")</f>
        <v>#N/A</v>
      </c>
      <c r="AQ87" s="95" t="e">
        <f>IF(D87=VLOOKUP($A87,Feature_List!$A$2:$AO$101,MATCH(AQ$1,Feature_List!$A$1:$AO$1,0),FALSE),"OK","BAD")</f>
        <v>#N/A</v>
      </c>
      <c r="AR87" s="95" t="e">
        <f>IF(E87=VLOOKUP($A87,Feature_List!$A$2:$AO$101,MATCH(AR$1,Feature_List!$A$1:$AO$1,0),FALSE),"OK","BAD")</f>
        <v>#N/A</v>
      </c>
      <c r="AS87" s="95" t="e">
        <f>IF(F87=VLOOKUP($A87,Feature_List!$A$2:$AO$101,MATCH(AS$1,Feature_List!$A$1:$AO$1,0),FALSE),"OK","BAD")</f>
        <v>#N/A</v>
      </c>
      <c r="AT87" s="95" t="s">
        <v>985</v>
      </c>
      <c r="AU87" s="95" t="s">
        <v>985</v>
      </c>
      <c r="AV87" s="95" t="e">
        <f>IF(I87=VLOOKUP($A87,Feature_List!$A$2:$AO$101,MATCH(AV$1,Feature_List!$A$1:$AO$1,0),FALSE),"OK","BAD")</f>
        <v>#N/A</v>
      </c>
      <c r="AW87" s="95" t="e">
        <f>IF(J87=VLOOKUP($A87,Feature_List!$A$2:$AO$101,MATCH(AW$1,Feature_List!$A$1:$AO$1,0),FALSE),"OK","BAD")</f>
        <v>#N/A</v>
      </c>
      <c r="AX87" s="95" t="e">
        <f>IF(K87=VLOOKUP($A87,Feature_List!$A$2:$AO$101,MATCH(AX$1,Feature_List!$A$1:$AO$1,0),FALSE),"OK","BAD")</f>
        <v>#N/A</v>
      </c>
      <c r="AY87" s="95" t="e">
        <f>IF(L87=VLOOKUP($A87,Feature_List!$A$2:$AO$101,MATCH(AY$1,Feature_List!$A$1:$AO$1,0),FALSE),"OK","BAD")</f>
        <v>#N/A</v>
      </c>
      <c r="AZ87" s="95" t="e">
        <f>IF(M87=VLOOKUP($A87,Feature_List!$A$2:$AO$101,MATCH(AZ$1,Feature_List!$A$1:$AO$1,0),FALSE),"OK","BAD")</f>
        <v>#N/A</v>
      </c>
      <c r="BA87" s="95" t="e">
        <f>IF(N87=VLOOKUP($A87,Feature_List!$A$2:$AO$101,MATCH(BA$1,Feature_List!$A$1:$AO$1,0),FALSE),"OK","BAD")</f>
        <v>#N/A</v>
      </c>
      <c r="BB87" s="95" t="e">
        <f>IF(O87=VLOOKUP($A87,Feature_List!$A$2:$AO$101,MATCH(BB$1,Feature_List!$A$1:$AO$1,0),FALSE),"OK","BAD")</f>
        <v>#N/A</v>
      </c>
      <c r="BC87" s="95" t="e">
        <f>IF(P87=VLOOKUP($A87,Feature_List!$A$2:$AO$101,MATCH(BC$1,Feature_List!$A$1:$AO$1,0),FALSE),"OK","BAD")</f>
        <v>#N/A</v>
      </c>
      <c r="BD87" s="95" t="e">
        <f>IF(Q87=VLOOKUP($A87,Feature_List!$A$2:$AO$101,MATCH(BD$1,Feature_List!$A$1:$AO$1,0),FALSE),"OK","BAD")</f>
        <v>#N/A</v>
      </c>
      <c r="BE87" s="95" t="e">
        <f>IF(R87=VLOOKUP($A87,Feature_List!$A$2:$AO$101,MATCH(BE$1,Feature_List!$A$1:$AO$1,0),FALSE),"OK","BAD")</f>
        <v>#N/A</v>
      </c>
      <c r="BF87" s="95" t="e">
        <f>IF(S87=VLOOKUP($A87,Feature_List!$A$2:$AO$101,MATCH(BF$1,Feature_List!$A$1:$AO$1,0),FALSE),"OK","BAD")</f>
        <v>#N/A</v>
      </c>
      <c r="BG87" s="95" t="e">
        <f>IF(T87=VLOOKUP($A87,Feature_List!$A$2:$AO$101,MATCH(BG$1,Feature_List!$A$1:$AO$1,0),FALSE),"OK","BAD")</f>
        <v>#N/A</v>
      </c>
      <c r="BH87" s="95" t="e">
        <f>IF(U87=VLOOKUP($A87,Feature_List!$A$2:$AO$101,MATCH(BH$1,Feature_List!$A$1:$AO$1,0),FALSE),"OK","BAD")</f>
        <v>#N/A</v>
      </c>
      <c r="BI87" s="95" t="e">
        <f>IF(V87=VLOOKUP($A87,Feature_List!$A$2:$AO$101,MATCH(BI$1,Feature_List!$A$1:$AO$1,0),FALSE),"OK","BAD")</f>
        <v>#N/A</v>
      </c>
      <c r="BJ87" s="95" t="e">
        <f>IF(W87=VLOOKUP($A87,Feature_List!$A$2:$AO$101,MATCH(BJ$1,Feature_List!$A$1:$AO$1,0),FALSE),"OK","BAD")</f>
        <v>#N/A</v>
      </c>
      <c r="BK87" s="95" t="e">
        <f>IF(X87=VLOOKUP($A87,Feature_List!$A$2:$AO$101,MATCH(BK$1,Feature_List!$A$1:$AO$1,0),FALSE),"OK","BAD")</f>
        <v>#N/A</v>
      </c>
      <c r="BL87" s="95" t="e">
        <f>IF(Y87=VLOOKUP($A87,Feature_List!$A$2:$AO$101,MATCH(BL$1,Feature_List!$A$1:$AO$1,0),FALSE),"OK","BAD")</f>
        <v>#N/A</v>
      </c>
      <c r="BM87" s="95" t="e">
        <f>IF(Z87=VLOOKUP($A87,Feature_List!$A$2:$AO$101,MATCH(BM$1,Feature_List!$A$1:$AO$1,0),FALSE),"OK","BAD")</f>
        <v>#N/A</v>
      </c>
      <c r="BN87" s="95" t="e">
        <f>IF(AA87=VLOOKUP($A87,Feature_List!$A$2:$AO$101,MATCH(BN$1,Feature_List!$A$1:$AO$1,0),FALSE),"OK","BAD")</f>
        <v>#N/A</v>
      </c>
      <c r="BO87" s="95" t="e">
        <f>IF(AB87=VLOOKUP($A87,Feature_List!$A$2:$AO$101,MATCH(BO$1,Feature_List!$A$1:$AO$1,0),FALSE),"OK","BAD")</f>
        <v>#N/A</v>
      </c>
      <c r="BP87" s="95" t="e">
        <f>IF(AC87=VLOOKUP($A87,Feature_List!$A$2:$AO$101,MATCH(BP$1,Feature_List!$A$1:$AO$1,0),FALSE),"OK","BAD")</f>
        <v>#N/A</v>
      </c>
      <c r="BQ87" s="95" t="e">
        <f>IF(AD87=VLOOKUP($A87,Feature_List!$A$2:$AO$101,MATCH(BQ$1,Feature_List!$A$1:$AO$1,0),FALSE),"OK","BAD")</f>
        <v>#N/A</v>
      </c>
      <c r="BR87" s="95" t="e">
        <f>IF(AE87=VLOOKUP($A87,Feature_List!$A$2:$AO$101,MATCH(BR$1,Feature_List!$A$1:$AO$1,0),FALSE),"OK","BAD")</f>
        <v>#N/A</v>
      </c>
      <c r="BS87" s="95" t="e">
        <f>IF(AF87=VLOOKUP($A87,Feature_List!$A$2:$AO$101,MATCH(BS$1,Feature_List!$A$1:$AO$1,0),FALSE),"OK","BAD")</f>
        <v>#N/A</v>
      </c>
      <c r="BT87" s="95" t="e">
        <f>IF(AG87=VLOOKUP($A87,Feature_List!$A$2:$AO$101,MATCH(BT$1,Feature_List!$A$1:$AO$1,0),FALSE),"OK","BAD")</f>
        <v>#N/A</v>
      </c>
      <c r="BU87" s="95" t="e">
        <f>IF(AH87=VLOOKUP($A87,Feature_List!$A$2:$AO$101,MATCH(BU$1,Feature_List!$A$1:$AO$1,0),FALSE),"OK","BAD")</f>
        <v>#N/A</v>
      </c>
      <c r="BV87" s="95" t="e">
        <f>IF(AI87=VLOOKUP($A87,Feature_List!$A$2:$AO$101,MATCH(BV$1,Feature_List!$A$1:$AO$1,0),FALSE),"OK","BAD")</f>
        <v>#N/A</v>
      </c>
      <c r="BW87" s="95" t="e">
        <f>IF(AJ87=VLOOKUP($A87,Feature_List!$A$2:$AO$101,MATCH(BW$1,Feature_List!$A$1:$AO$1,0),FALSE),"OK","BAD")</f>
        <v>#N/A</v>
      </c>
      <c r="BX87" s="95" t="e">
        <f>IF(AK87=VLOOKUP($A87,Feature_List!$A$2:$AO$101,MATCH(BX$1,Feature_List!$A$1:$AO$1,0),FALSE),"OK","BAD")</f>
        <v>#N/A</v>
      </c>
      <c r="BY87" s="95" t="e">
        <f>IF(AL87=VLOOKUP($A87,Feature_List!$A$2:$AO$101,MATCH(BY$1,Feature_List!$A$1:$AO$1,0),FALSE),"OK","BAD")</f>
        <v>#N/A</v>
      </c>
      <c r="BZ87" s="95" t="e">
        <f>IF(AM87=VLOOKUP($A87,Feature_List!$A$2:$AO$101,MATCH(BZ$1,Feature_List!$A$1:$AO$1,0),FALSE),"OK","BAD")</f>
        <v>#N/A</v>
      </c>
      <c r="CA87" s="95" t="e">
        <f>IF(AN87=VLOOKUP($A87,Feature_List!$A$2:$AO$101,MATCH(CA$1,Feature_List!$A$1:$AO$1,0),FALSE),"OK","BAD")</f>
        <v>#N/A</v>
      </c>
    </row>
    <row r="88" spans="1:79" ht="14.4" customHeight="1" x14ac:dyDescent="0.3">
      <c r="A88" s="70">
        <v>279283</v>
      </c>
      <c r="B88" s="65" t="s">
        <v>989</v>
      </c>
      <c r="C88" s="98" t="s">
        <v>1145</v>
      </c>
      <c r="D88" s="65" t="s">
        <v>106</v>
      </c>
      <c r="E88" s="64">
        <v>61</v>
      </c>
      <c r="F88" s="64" t="s">
        <v>879</v>
      </c>
      <c r="G88" s="64" t="s">
        <v>990</v>
      </c>
      <c r="H88" s="64" t="s">
        <v>1458</v>
      </c>
      <c r="I88" s="99" t="s">
        <v>38</v>
      </c>
      <c r="J88" s="64" t="s">
        <v>1412</v>
      </c>
      <c r="K88" s="64">
        <v>248400</v>
      </c>
      <c r="L88" s="62" t="s">
        <v>949</v>
      </c>
      <c r="M88" s="67" t="s">
        <v>42</v>
      </c>
      <c r="N88" s="67" t="s">
        <v>44</v>
      </c>
      <c r="O88" s="67">
        <v>0</v>
      </c>
      <c r="P88" s="66" t="s">
        <v>174</v>
      </c>
      <c r="Q88" s="63">
        <v>1</v>
      </c>
      <c r="R88" s="63">
        <v>11</v>
      </c>
      <c r="S88" s="63">
        <v>0</v>
      </c>
      <c r="T88" s="63">
        <v>0</v>
      </c>
      <c r="U88" s="63">
        <v>0</v>
      </c>
      <c r="V88" s="63">
        <v>50</v>
      </c>
      <c r="W88" s="63">
        <v>0</v>
      </c>
      <c r="X88" s="63">
        <v>0</v>
      </c>
      <c r="Y88" s="63">
        <v>0</v>
      </c>
      <c r="Z88" s="63">
        <v>0</v>
      </c>
      <c r="AA88" s="63">
        <v>0</v>
      </c>
      <c r="AB88" s="63">
        <v>0</v>
      </c>
      <c r="AC88" s="63">
        <v>0</v>
      </c>
      <c r="AD88" s="63">
        <v>0</v>
      </c>
      <c r="AE88" s="63">
        <v>0</v>
      </c>
      <c r="AF88" s="63">
        <v>0</v>
      </c>
      <c r="AG88" s="63">
        <v>0</v>
      </c>
      <c r="AH88" s="63">
        <v>0</v>
      </c>
      <c r="AI88" s="63">
        <v>0</v>
      </c>
      <c r="AJ88" s="63">
        <v>50</v>
      </c>
      <c r="AK88" s="63">
        <v>0</v>
      </c>
      <c r="AL88" s="63" t="s">
        <v>35</v>
      </c>
      <c r="AM88" s="63" t="s">
        <v>854</v>
      </c>
      <c r="AN88" s="220" t="s">
        <v>33</v>
      </c>
      <c r="AO88" s="224"/>
      <c r="AP88" s="95" t="e">
        <f>IF(C88=VLOOKUP($A88,Feature_List!$A$2:$AO$101,MATCH(AP$1,Feature_List!$A$1:$AO$1,0),FALSE),"OK","BAD")</f>
        <v>#N/A</v>
      </c>
      <c r="AQ88" s="95" t="e">
        <f>IF(D88=VLOOKUP($A88,Feature_List!$A$2:$AO$101,MATCH(AQ$1,Feature_List!$A$1:$AO$1,0),FALSE),"OK","BAD")</f>
        <v>#N/A</v>
      </c>
      <c r="AR88" s="95" t="e">
        <f>IF(E88=VLOOKUP($A88,Feature_List!$A$2:$AO$101,MATCH(AR$1,Feature_List!$A$1:$AO$1,0),FALSE),"OK","BAD")</f>
        <v>#N/A</v>
      </c>
      <c r="AS88" s="95" t="e">
        <f>IF(F88=VLOOKUP($A88,Feature_List!$A$2:$AO$101,MATCH(AS$1,Feature_List!$A$1:$AO$1,0),FALSE),"OK","BAD")</f>
        <v>#N/A</v>
      </c>
      <c r="AT88" s="95" t="s">
        <v>985</v>
      </c>
      <c r="AU88" s="95" t="s">
        <v>985</v>
      </c>
      <c r="AV88" s="95" t="e">
        <f>IF(I88=VLOOKUP($A88,Feature_List!$A$2:$AO$101,MATCH(AV$1,Feature_List!$A$1:$AO$1,0),FALSE),"OK","BAD")</f>
        <v>#N/A</v>
      </c>
      <c r="AW88" s="95" t="e">
        <f>IF(J88=VLOOKUP($A88,Feature_List!$A$2:$AO$101,MATCH(AW$1,Feature_List!$A$1:$AO$1,0),FALSE),"OK","BAD")</f>
        <v>#N/A</v>
      </c>
      <c r="AX88" s="95" t="e">
        <f>IF(K88=VLOOKUP($A88,Feature_List!$A$2:$AO$101,MATCH(AX$1,Feature_List!$A$1:$AO$1,0),FALSE),"OK","BAD")</f>
        <v>#N/A</v>
      </c>
      <c r="AY88" s="95" t="e">
        <f>IF(L88=VLOOKUP($A88,Feature_List!$A$2:$AO$101,MATCH(AY$1,Feature_List!$A$1:$AO$1,0),FALSE),"OK","BAD")</f>
        <v>#N/A</v>
      </c>
      <c r="AZ88" s="95" t="e">
        <f>IF(M88=VLOOKUP($A88,Feature_List!$A$2:$AO$101,MATCH(AZ$1,Feature_List!$A$1:$AO$1,0),FALSE),"OK","BAD")</f>
        <v>#N/A</v>
      </c>
      <c r="BA88" s="95" t="e">
        <f>IF(N88=VLOOKUP($A88,Feature_List!$A$2:$AO$101,MATCH(BA$1,Feature_List!$A$1:$AO$1,0),FALSE),"OK","BAD")</f>
        <v>#N/A</v>
      </c>
      <c r="BB88" s="95" t="e">
        <f>IF(O88=VLOOKUP($A88,Feature_List!$A$2:$AO$101,MATCH(BB$1,Feature_List!$A$1:$AO$1,0),FALSE),"OK","BAD")</f>
        <v>#N/A</v>
      </c>
      <c r="BC88" s="95" t="e">
        <f>IF(P88=VLOOKUP($A88,Feature_List!$A$2:$AO$101,MATCH(BC$1,Feature_List!$A$1:$AO$1,0),FALSE),"OK","BAD")</f>
        <v>#N/A</v>
      </c>
      <c r="BD88" s="95" t="e">
        <f>IF(Q88=VLOOKUP($A88,Feature_List!$A$2:$AO$101,MATCH(BD$1,Feature_List!$A$1:$AO$1,0),FALSE),"OK","BAD")</f>
        <v>#N/A</v>
      </c>
      <c r="BE88" s="95" t="e">
        <f>IF(R88=VLOOKUP($A88,Feature_List!$A$2:$AO$101,MATCH(BE$1,Feature_List!$A$1:$AO$1,0),FALSE),"OK","BAD")</f>
        <v>#N/A</v>
      </c>
      <c r="BF88" s="95" t="e">
        <f>IF(S88=VLOOKUP($A88,Feature_List!$A$2:$AO$101,MATCH(BF$1,Feature_List!$A$1:$AO$1,0),FALSE),"OK","BAD")</f>
        <v>#N/A</v>
      </c>
      <c r="BG88" s="95" t="e">
        <f>IF(T88=VLOOKUP($A88,Feature_List!$A$2:$AO$101,MATCH(BG$1,Feature_List!$A$1:$AO$1,0),FALSE),"OK","BAD")</f>
        <v>#N/A</v>
      </c>
      <c r="BH88" s="95" t="e">
        <f>IF(U88=VLOOKUP($A88,Feature_List!$A$2:$AO$101,MATCH(BH$1,Feature_List!$A$1:$AO$1,0),FALSE),"OK","BAD")</f>
        <v>#N/A</v>
      </c>
      <c r="BI88" s="95" t="e">
        <f>IF(V88=VLOOKUP($A88,Feature_List!$A$2:$AO$101,MATCH(BI$1,Feature_List!$A$1:$AO$1,0),FALSE),"OK","BAD")</f>
        <v>#N/A</v>
      </c>
      <c r="BJ88" s="95" t="e">
        <f>IF(W88=VLOOKUP($A88,Feature_List!$A$2:$AO$101,MATCH(BJ$1,Feature_List!$A$1:$AO$1,0),FALSE),"OK","BAD")</f>
        <v>#N/A</v>
      </c>
      <c r="BK88" s="95" t="e">
        <f>IF(X88=VLOOKUP($A88,Feature_List!$A$2:$AO$101,MATCH(BK$1,Feature_List!$A$1:$AO$1,0),FALSE),"OK","BAD")</f>
        <v>#N/A</v>
      </c>
      <c r="BL88" s="95" t="e">
        <f>IF(Y88=VLOOKUP($A88,Feature_List!$A$2:$AO$101,MATCH(BL$1,Feature_List!$A$1:$AO$1,0),FALSE),"OK","BAD")</f>
        <v>#N/A</v>
      </c>
      <c r="BM88" s="95" t="e">
        <f>IF(Z88=VLOOKUP($A88,Feature_List!$A$2:$AO$101,MATCH(BM$1,Feature_List!$A$1:$AO$1,0),FALSE),"OK","BAD")</f>
        <v>#N/A</v>
      </c>
      <c r="BN88" s="95" t="e">
        <f>IF(AA88=VLOOKUP($A88,Feature_List!$A$2:$AO$101,MATCH(BN$1,Feature_List!$A$1:$AO$1,0),FALSE),"OK","BAD")</f>
        <v>#N/A</v>
      </c>
      <c r="BO88" s="95" t="e">
        <f>IF(AB88=VLOOKUP($A88,Feature_List!$A$2:$AO$101,MATCH(BO$1,Feature_List!$A$1:$AO$1,0),FALSE),"OK","BAD")</f>
        <v>#N/A</v>
      </c>
      <c r="BP88" s="95" t="e">
        <f>IF(AC88=VLOOKUP($A88,Feature_List!$A$2:$AO$101,MATCH(BP$1,Feature_List!$A$1:$AO$1,0),FALSE),"OK","BAD")</f>
        <v>#N/A</v>
      </c>
      <c r="BQ88" s="95" t="e">
        <f>IF(AD88=VLOOKUP($A88,Feature_List!$A$2:$AO$101,MATCH(BQ$1,Feature_List!$A$1:$AO$1,0),FALSE),"OK","BAD")</f>
        <v>#N/A</v>
      </c>
      <c r="BR88" s="95" t="e">
        <f>IF(AE88=VLOOKUP($A88,Feature_List!$A$2:$AO$101,MATCH(BR$1,Feature_List!$A$1:$AO$1,0),FALSE),"OK","BAD")</f>
        <v>#N/A</v>
      </c>
      <c r="BS88" s="95" t="e">
        <f>IF(AF88=VLOOKUP($A88,Feature_List!$A$2:$AO$101,MATCH(BS$1,Feature_List!$A$1:$AO$1,0),FALSE),"OK","BAD")</f>
        <v>#N/A</v>
      </c>
      <c r="BT88" s="95" t="e">
        <f>IF(AG88=VLOOKUP($A88,Feature_List!$A$2:$AO$101,MATCH(BT$1,Feature_List!$A$1:$AO$1,0),FALSE),"OK","BAD")</f>
        <v>#N/A</v>
      </c>
      <c r="BU88" s="95" t="e">
        <f>IF(AH88=VLOOKUP($A88,Feature_List!$A$2:$AO$101,MATCH(BU$1,Feature_List!$A$1:$AO$1,0),FALSE),"OK","BAD")</f>
        <v>#N/A</v>
      </c>
      <c r="BV88" s="95" t="e">
        <f>IF(AI88=VLOOKUP($A88,Feature_List!$A$2:$AO$101,MATCH(BV$1,Feature_List!$A$1:$AO$1,0),FALSE),"OK","BAD")</f>
        <v>#N/A</v>
      </c>
      <c r="BW88" s="95" t="e">
        <f>IF(AJ88=VLOOKUP($A88,Feature_List!$A$2:$AO$101,MATCH(BW$1,Feature_List!$A$1:$AO$1,0),FALSE),"OK","BAD")</f>
        <v>#N/A</v>
      </c>
      <c r="BX88" s="95" t="e">
        <f>IF(AK88=VLOOKUP($A88,Feature_List!$A$2:$AO$101,MATCH(BX$1,Feature_List!$A$1:$AO$1,0),FALSE),"OK","BAD")</f>
        <v>#N/A</v>
      </c>
      <c r="BY88" s="95" t="e">
        <f>IF(AL88=VLOOKUP($A88,Feature_List!$A$2:$AO$101,MATCH(BY$1,Feature_List!$A$1:$AO$1,0),FALSE),"OK","BAD")</f>
        <v>#N/A</v>
      </c>
      <c r="BZ88" s="95" t="e">
        <f>IF(AM88=VLOOKUP($A88,Feature_List!$A$2:$AO$101,MATCH(BZ$1,Feature_List!$A$1:$AO$1,0),FALSE),"OK","BAD")</f>
        <v>#N/A</v>
      </c>
      <c r="CA88" s="95" t="e">
        <f>IF(AN88=VLOOKUP($A88,Feature_List!$A$2:$AO$101,MATCH(CA$1,Feature_List!$A$1:$AO$1,0),FALSE),"OK","BAD")</f>
        <v>#N/A</v>
      </c>
    </row>
    <row r="89" spans="1:79" ht="14.4" customHeight="1" x14ac:dyDescent="0.3">
      <c r="A89" s="70">
        <v>257560</v>
      </c>
      <c r="B89" s="65" t="s">
        <v>876</v>
      </c>
      <c r="C89" s="98" t="s">
        <v>1143</v>
      </c>
      <c r="D89" s="65" t="s">
        <v>28</v>
      </c>
      <c r="E89" s="64">
        <v>26</v>
      </c>
      <c r="F89" s="64" t="s">
        <v>879</v>
      </c>
      <c r="G89" s="64" t="s">
        <v>955</v>
      </c>
      <c r="H89" s="64" t="s">
        <v>545</v>
      </c>
      <c r="I89" s="99" t="s">
        <v>38</v>
      </c>
      <c r="J89" s="64" t="s">
        <v>1412</v>
      </c>
      <c r="K89" s="64">
        <v>242141</v>
      </c>
      <c r="L89" s="62" t="s">
        <v>943</v>
      </c>
      <c r="M89" s="67" t="s">
        <v>31</v>
      </c>
      <c r="N89" s="67" t="s">
        <v>32</v>
      </c>
      <c r="O89" s="67">
        <v>0</v>
      </c>
      <c r="P89" s="66" t="s">
        <v>133</v>
      </c>
      <c r="Q89" s="63">
        <v>2</v>
      </c>
      <c r="R89" s="63">
        <v>0</v>
      </c>
      <c r="S89" s="63">
        <v>0</v>
      </c>
      <c r="T89" s="63">
        <v>0</v>
      </c>
      <c r="U89" s="63">
        <v>0</v>
      </c>
      <c r="V89" s="63">
        <v>0</v>
      </c>
      <c r="W89" s="63">
        <v>0</v>
      </c>
      <c r="X89" s="63">
        <v>18</v>
      </c>
      <c r="Y89" s="63">
        <v>0</v>
      </c>
      <c r="Z89" s="63">
        <v>0</v>
      </c>
      <c r="AA89" s="63">
        <v>0</v>
      </c>
      <c r="AB89" s="63">
        <v>8</v>
      </c>
      <c r="AC89" s="63">
        <v>0</v>
      </c>
      <c r="AD89" s="63">
        <v>0</v>
      </c>
      <c r="AE89" s="63">
        <v>0</v>
      </c>
      <c r="AF89" s="63">
        <v>0</v>
      </c>
      <c r="AG89" s="63">
        <v>0</v>
      </c>
      <c r="AH89" s="63">
        <v>0</v>
      </c>
      <c r="AI89" s="63">
        <v>0</v>
      </c>
      <c r="AJ89" s="63">
        <v>26</v>
      </c>
      <c r="AK89" s="63">
        <v>0</v>
      </c>
      <c r="AL89" s="63" t="s">
        <v>35</v>
      </c>
      <c r="AM89" s="63" t="s">
        <v>854</v>
      </c>
      <c r="AN89" s="220" t="s">
        <v>40</v>
      </c>
      <c r="AO89" s="224"/>
      <c r="AP89" s="95" t="e">
        <f>IF(C89=VLOOKUP($A89,Feature_List!$A$2:$AO$101,MATCH(AP$1,Feature_List!$A$1:$AO$1,0),FALSE),"OK","BAD")</f>
        <v>#N/A</v>
      </c>
      <c r="AQ89" s="95" t="e">
        <f>IF(D89=VLOOKUP($A89,Feature_List!$A$2:$AO$101,MATCH(AQ$1,Feature_List!$A$1:$AO$1,0),FALSE),"OK","BAD")</f>
        <v>#N/A</v>
      </c>
      <c r="AR89" s="95" t="e">
        <f>IF(E89=VLOOKUP($A89,Feature_List!$A$2:$AO$101,MATCH(AR$1,Feature_List!$A$1:$AO$1,0),FALSE),"OK","BAD")</f>
        <v>#N/A</v>
      </c>
      <c r="AS89" s="95" t="e">
        <f>IF(F89=VLOOKUP($A89,Feature_List!$A$2:$AO$101,MATCH(AS$1,Feature_List!$A$1:$AO$1,0),FALSE),"OK","BAD")</f>
        <v>#N/A</v>
      </c>
      <c r="AT89" s="95" t="s">
        <v>985</v>
      </c>
      <c r="AU89" s="95" t="s">
        <v>985</v>
      </c>
      <c r="AV89" s="95" t="e">
        <f>IF(I89=VLOOKUP($A89,Feature_List!$A$2:$AO$101,MATCH(AV$1,Feature_List!$A$1:$AO$1,0),FALSE),"OK","BAD")</f>
        <v>#N/A</v>
      </c>
      <c r="AW89" s="95" t="e">
        <f>IF(J89=VLOOKUP($A89,Feature_List!$A$2:$AO$101,MATCH(AW$1,Feature_List!$A$1:$AO$1,0),FALSE),"OK","BAD")</f>
        <v>#N/A</v>
      </c>
      <c r="AX89" s="95" t="e">
        <f>IF(K89=VLOOKUP($A89,Feature_List!$A$2:$AO$101,MATCH(AX$1,Feature_List!$A$1:$AO$1,0),FALSE),"OK","BAD")</f>
        <v>#N/A</v>
      </c>
      <c r="AY89" s="95" t="e">
        <f>IF(L89=VLOOKUP($A89,Feature_List!$A$2:$AO$101,MATCH(AY$1,Feature_List!$A$1:$AO$1,0),FALSE),"OK","BAD")</f>
        <v>#N/A</v>
      </c>
      <c r="AZ89" s="95" t="e">
        <f>IF(M89=VLOOKUP($A89,Feature_List!$A$2:$AO$101,MATCH(AZ$1,Feature_List!$A$1:$AO$1,0),FALSE),"OK","BAD")</f>
        <v>#N/A</v>
      </c>
      <c r="BA89" s="95" t="e">
        <f>IF(N89=VLOOKUP($A89,Feature_List!$A$2:$AO$101,MATCH(BA$1,Feature_List!$A$1:$AO$1,0),FALSE),"OK","BAD")</f>
        <v>#N/A</v>
      </c>
      <c r="BB89" s="95" t="e">
        <f>IF(O89=VLOOKUP($A89,Feature_List!$A$2:$AO$101,MATCH(BB$1,Feature_List!$A$1:$AO$1,0),FALSE),"OK","BAD")</f>
        <v>#N/A</v>
      </c>
      <c r="BC89" s="95" t="e">
        <f>IF(P89=VLOOKUP($A89,Feature_List!$A$2:$AO$101,MATCH(BC$1,Feature_List!$A$1:$AO$1,0),FALSE),"OK","BAD")</f>
        <v>#N/A</v>
      </c>
      <c r="BD89" s="95" t="e">
        <f>IF(Q89=VLOOKUP($A89,Feature_List!$A$2:$AO$101,MATCH(BD$1,Feature_List!$A$1:$AO$1,0),FALSE),"OK","BAD")</f>
        <v>#N/A</v>
      </c>
      <c r="BE89" s="95" t="e">
        <f>IF(R89=VLOOKUP($A89,Feature_List!$A$2:$AO$101,MATCH(BE$1,Feature_List!$A$1:$AO$1,0),FALSE),"OK","BAD")</f>
        <v>#N/A</v>
      </c>
      <c r="BF89" s="95" t="e">
        <f>IF(S89=VLOOKUP($A89,Feature_List!$A$2:$AO$101,MATCH(BF$1,Feature_List!$A$1:$AO$1,0),FALSE),"OK","BAD")</f>
        <v>#N/A</v>
      </c>
      <c r="BG89" s="95" t="e">
        <f>IF(T89=VLOOKUP($A89,Feature_List!$A$2:$AO$101,MATCH(BG$1,Feature_List!$A$1:$AO$1,0),FALSE),"OK","BAD")</f>
        <v>#N/A</v>
      </c>
      <c r="BH89" s="95" t="e">
        <f>IF(U89=VLOOKUP($A89,Feature_List!$A$2:$AO$101,MATCH(BH$1,Feature_List!$A$1:$AO$1,0),FALSE),"OK","BAD")</f>
        <v>#N/A</v>
      </c>
      <c r="BI89" s="95" t="e">
        <f>IF(V89=VLOOKUP($A89,Feature_List!$A$2:$AO$101,MATCH(BI$1,Feature_List!$A$1:$AO$1,0),FALSE),"OK","BAD")</f>
        <v>#N/A</v>
      </c>
      <c r="BJ89" s="95" t="e">
        <f>IF(W89=VLOOKUP($A89,Feature_List!$A$2:$AO$101,MATCH(BJ$1,Feature_List!$A$1:$AO$1,0),FALSE),"OK","BAD")</f>
        <v>#N/A</v>
      </c>
      <c r="BK89" s="95" t="e">
        <f>IF(X89=VLOOKUP($A89,Feature_List!$A$2:$AO$101,MATCH(BK$1,Feature_List!$A$1:$AO$1,0),FALSE),"OK","BAD")</f>
        <v>#N/A</v>
      </c>
      <c r="BL89" s="95" t="e">
        <f>IF(Y89=VLOOKUP($A89,Feature_List!$A$2:$AO$101,MATCH(BL$1,Feature_List!$A$1:$AO$1,0),FALSE),"OK","BAD")</f>
        <v>#N/A</v>
      </c>
      <c r="BM89" s="95" t="e">
        <f>IF(Z89=VLOOKUP($A89,Feature_List!$A$2:$AO$101,MATCH(BM$1,Feature_List!$A$1:$AO$1,0),FALSE),"OK","BAD")</f>
        <v>#N/A</v>
      </c>
      <c r="BN89" s="95" t="e">
        <f>IF(AA89=VLOOKUP($A89,Feature_List!$A$2:$AO$101,MATCH(BN$1,Feature_List!$A$1:$AO$1,0),FALSE),"OK","BAD")</f>
        <v>#N/A</v>
      </c>
      <c r="BO89" s="95" t="e">
        <f>IF(AB89=VLOOKUP($A89,Feature_List!$A$2:$AO$101,MATCH(BO$1,Feature_List!$A$1:$AO$1,0),FALSE),"OK","BAD")</f>
        <v>#N/A</v>
      </c>
      <c r="BP89" s="95" t="e">
        <f>IF(AC89=VLOOKUP($A89,Feature_List!$A$2:$AO$101,MATCH(BP$1,Feature_List!$A$1:$AO$1,0),FALSE),"OK","BAD")</f>
        <v>#N/A</v>
      </c>
      <c r="BQ89" s="95" t="e">
        <f>IF(AD89=VLOOKUP($A89,Feature_List!$A$2:$AO$101,MATCH(BQ$1,Feature_List!$A$1:$AO$1,0),FALSE),"OK","BAD")</f>
        <v>#N/A</v>
      </c>
      <c r="BR89" s="95" t="e">
        <f>IF(AE89=VLOOKUP($A89,Feature_List!$A$2:$AO$101,MATCH(BR$1,Feature_List!$A$1:$AO$1,0),FALSE),"OK","BAD")</f>
        <v>#N/A</v>
      </c>
      <c r="BS89" s="95" t="e">
        <f>IF(AF89=VLOOKUP($A89,Feature_List!$A$2:$AO$101,MATCH(BS$1,Feature_List!$A$1:$AO$1,0),FALSE),"OK","BAD")</f>
        <v>#N/A</v>
      </c>
      <c r="BT89" s="95" t="e">
        <f>IF(AG89=VLOOKUP($A89,Feature_List!$A$2:$AO$101,MATCH(BT$1,Feature_List!$A$1:$AO$1,0),FALSE),"OK","BAD")</f>
        <v>#N/A</v>
      </c>
      <c r="BU89" s="95" t="e">
        <f>IF(AH89=VLOOKUP($A89,Feature_List!$A$2:$AO$101,MATCH(BU$1,Feature_List!$A$1:$AO$1,0),FALSE),"OK","BAD")</f>
        <v>#N/A</v>
      </c>
      <c r="BV89" s="95" t="e">
        <f>IF(AI89=VLOOKUP($A89,Feature_List!$A$2:$AO$101,MATCH(BV$1,Feature_List!$A$1:$AO$1,0),FALSE),"OK","BAD")</f>
        <v>#N/A</v>
      </c>
      <c r="BW89" s="95" t="e">
        <f>IF(AJ89=VLOOKUP($A89,Feature_List!$A$2:$AO$101,MATCH(BW$1,Feature_List!$A$1:$AO$1,0),FALSE),"OK","BAD")</f>
        <v>#N/A</v>
      </c>
      <c r="BX89" s="95" t="e">
        <f>IF(AK89=VLOOKUP($A89,Feature_List!$A$2:$AO$101,MATCH(BX$1,Feature_List!$A$1:$AO$1,0),FALSE),"OK","BAD")</f>
        <v>#N/A</v>
      </c>
      <c r="BY89" s="95" t="e">
        <f>IF(AL89=VLOOKUP($A89,Feature_List!$A$2:$AO$101,MATCH(BY$1,Feature_List!$A$1:$AO$1,0),FALSE),"OK","BAD")</f>
        <v>#N/A</v>
      </c>
      <c r="BZ89" s="95" t="e">
        <f>IF(AM89=VLOOKUP($A89,Feature_List!$A$2:$AO$101,MATCH(BZ$1,Feature_List!$A$1:$AO$1,0),FALSE),"OK","BAD")</f>
        <v>#N/A</v>
      </c>
      <c r="CA89" s="95" t="e">
        <f>IF(AN89=VLOOKUP($A89,Feature_List!$A$2:$AO$101,MATCH(CA$1,Feature_List!$A$1:$AO$1,0),FALSE),"OK","BAD")</f>
        <v>#N/A</v>
      </c>
    </row>
    <row r="90" spans="1:79" ht="14.4" customHeight="1" x14ac:dyDescent="0.3">
      <c r="A90" s="70"/>
      <c r="B90" s="65"/>
      <c r="C90" s="98"/>
      <c r="D90" s="65"/>
      <c r="E90" s="64"/>
      <c r="F90" s="64"/>
      <c r="G90" s="64"/>
      <c r="H90" s="64"/>
      <c r="I90" s="99"/>
      <c r="J90" s="64"/>
      <c r="K90" s="64"/>
      <c r="L90" s="62"/>
      <c r="M90" s="67"/>
      <c r="N90" s="67"/>
      <c r="O90" s="67"/>
      <c r="P90" s="66"/>
      <c r="Q90" s="63"/>
      <c r="R90" s="63"/>
      <c r="S90" s="63"/>
      <c r="T90" s="63"/>
      <c r="U90" s="63"/>
      <c r="V90" s="63"/>
      <c r="W90" s="63"/>
      <c r="X90" s="63"/>
      <c r="Y90" s="63"/>
      <c r="Z90" s="63"/>
      <c r="AA90" s="63"/>
      <c r="AB90" s="63"/>
      <c r="AC90" s="63"/>
      <c r="AD90" s="63"/>
      <c r="AE90" s="63"/>
      <c r="AF90" s="63"/>
      <c r="AG90" s="63"/>
      <c r="AH90" s="63"/>
      <c r="AI90" s="63"/>
      <c r="AJ90" s="63"/>
      <c r="AK90" s="63"/>
      <c r="AL90" s="63"/>
      <c r="AM90" s="63"/>
      <c r="AN90" s="220"/>
      <c r="AO90" s="224"/>
      <c r="AP90" s="95" t="e">
        <f>IF(C90=VLOOKUP($A90,Feature_List!$A$2:$AO$101,MATCH(AP$1,Feature_List!$A$1:$AO$1,0),FALSE),"OK","BAD")</f>
        <v>#N/A</v>
      </c>
      <c r="AQ90" s="95" t="e">
        <f>IF(D90=VLOOKUP($A90,Feature_List!$A$2:$AO$101,MATCH(AQ$1,Feature_List!$A$1:$AO$1,0),FALSE),"OK","BAD")</f>
        <v>#N/A</v>
      </c>
      <c r="AR90" s="95" t="e">
        <f>IF(E90=VLOOKUP($A90,Feature_List!$A$2:$AO$101,MATCH(AR$1,Feature_List!$A$1:$AO$1,0),FALSE),"OK","BAD")</f>
        <v>#N/A</v>
      </c>
      <c r="AS90" s="95" t="e">
        <f>IF(F90=VLOOKUP($A90,Feature_List!$A$2:$AO$101,MATCH(AS$1,Feature_List!$A$1:$AO$1,0),FALSE),"OK","BAD")</f>
        <v>#N/A</v>
      </c>
      <c r="AT90" s="95" t="s">
        <v>985</v>
      </c>
      <c r="AU90" s="95" t="s">
        <v>985</v>
      </c>
      <c r="AV90" s="95" t="e">
        <f>IF(I90=VLOOKUP($A90,Feature_List!$A$2:$AO$101,MATCH(AV$1,Feature_List!$A$1:$AO$1,0),FALSE),"OK","BAD")</f>
        <v>#N/A</v>
      </c>
      <c r="AW90" s="95" t="e">
        <f>IF(J90=VLOOKUP($A90,Feature_List!$A$2:$AO$101,MATCH(AW$1,Feature_List!$A$1:$AO$1,0),FALSE),"OK","BAD")</f>
        <v>#N/A</v>
      </c>
      <c r="AX90" s="95" t="e">
        <f>IF(K90=VLOOKUP($A90,Feature_List!$A$2:$AO$101,MATCH(AX$1,Feature_List!$A$1:$AO$1,0),FALSE),"OK","BAD")</f>
        <v>#N/A</v>
      </c>
      <c r="AY90" s="95" t="e">
        <f>IF(L90=VLOOKUP($A90,Feature_List!$A$2:$AO$101,MATCH(AY$1,Feature_List!$A$1:$AO$1,0),FALSE),"OK","BAD")</f>
        <v>#N/A</v>
      </c>
      <c r="AZ90" s="95" t="e">
        <f>IF(M90=VLOOKUP($A90,Feature_List!$A$2:$AO$101,MATCH(AZ$1,Feature_List!$A$1:$AO$1,0),FALSE),"OK","BAD")</f>
        <v>#N/A</v>
      </c>
      <c r="BA90" s="95" t="e">
        <f>IF(N90=VLOOKUP($A90,Feature_List!$A$2:$AO$101,MATCH(BA$1,Feature_List!$A$1:$AO$1,0),FALSE),"OK","BAD")</f>
        <v>#N/A</v>
      </c>
      <c r="BB90" s="95" t="e">
        <f>IF(O90=VLOOKUP($A90,Feature_List!$A$2:$AO$101,MATCH(BB$1,Feature_List!$A$1:$AO$1,0),FALSE),"OK","BAD")</f>
        <v>#N/A</v>
      </c>
      <c r="BC90" s="95" t="e">
        <f>IF(P90=VLOOKUP($A90,Feature_List!$A$2:$AO$101,MATCH(BC$1,Feature_List!$A$1:$AO$1,0),FALSE),"OK","BAD")</f>
        <v>#N/A</v>
      </c>
      <c r="BD90" s="95" t="e">
        <f>IF(Q90=VLOOKUP($A90,Feature_List!$A$2:$AO$101,MATCH(BD$1,Feature_List!$A$1:$AO$1,0),FALSE),"OK","BAD")</f>
        <v>#N/A</v>
      </c>
      <c r="BE90" s="95" t="e">
        <f>IF(R90=VLOOKUP($A90,Feature_List!$A$2:$AO$101,MATCH(BE$1,Feature_List!$A$1:$AO$1,0),FALSE),"OK","BAD")</f>
        <v>#N/A</v>
      </c>
      <c r="BF90" s="95" t="e">
        <f>IF(S90=VLOOKUP($A90,Feature_List!$A$2:$AO$101,MATCH(BF$1,Feature_List!$A$1:$AO$1,0),FALSE),"OK","BAD")</f>
        <v>#N/A</v>
      </c>
      <c r="BG90" s="95" t="e">
        <f>IF(T90=VLOOKUP($A90,Feature_List!$A$2:$AO$101,MATCH(BG$1,Feature_List!$A$1:$AO$1,0),FALSE),"OK","BAD")</f>
        <v>#N/A</v>
      </c>
      <c r="BH90" s="95" t="e">
        <f>IF(U90=VLOOKUP($A90,Feature_List!$A$2:$AO$101,MATCH(BH$1,Feature_List!$A$1:$AO$1,0),FALSE),"OK","BAD")</f>
        <v>#N/A</v>
      </c>
      <c r="BI90" s="95" t="e">
        <f>IF(V90=VLOOKUP($A90,Feature_List!$A$2:$AO$101,MATCH(BI$1,Feature_List!$A$1:$AO$1,0),FALSE),"OK","BAD")</f>
        <v>#N/A</v>
      </c>
      <c r="BJ90" s="95" t="e">
        <f>IF(W90=VLOOKUP($A90,Feature_List!$A$2:$AO$101,MATCH(BJ$1,Feature_List!$A$1:$AO$1,0),FALSE),"OK","BAD")</f>
        <v>#N/A</v>
      </c>
      <c r="BK90" s="95" t="e">
        <f>IF(X90=VLOOKUP($A90,Feature_List!$A$2:$AO$101,MATCH(BK$1,Feature_List!$A$1:$AO$1,0),FALSE),"OK","BAD")</f>
        <v>#N/A</v>
      </c>
      <c r="BL90" s="95" t="e">
        <f>IF(Y90=VLOOKUP($A90,Feature_List!$A$2:$AO$101,MATCH(BL$1,Feature_List!$A$1:$AO$1,0),FALSE),"OK","BAD")</f>
        <v>#N/A</v>
      </c>
      <c r="BM90" s="95" t="e">
        <f>IF(Z90=VLOOKUP($A90,Feature_List!$A$2:$AO$101,MATCH(BM$1,Feature_List!$A$1:$AO$1,0),FALSE),"OK","BAD")</f>
        <v>#N/A</v>
      </c>
      <c r="BN90" s="95" t="e">
        <f>IF(AA90=VLOOKUP($A90,Feature_List!$A$2:$AO$101,MATCH(BN$1,Feature_List!$A$1:$AO$1,0),FALSE),"OK","BAD")</f>
        <v>#N/A</v>
      </c>
      <c r="BO90" s="95" t="e">
        <f>IF(AB90=VLOOKUP($A90,Feature_List!$A$2:$AO$101,MATCH(BO$1,Feature_List!$A$1:$AO$1,0),FALSE),"OK","BAD")</f>
        <v>#N/A</v>
      </c>
      <c r="BP90" s="95" t="e">
        <f>IF(AC90=VLOOKUP($A90,Feature_List!$A$2:$AO$101,MATCH(BP$1,Feature_List!$A$1:$AO$1,0),FALSE),"OK","BAD")</f>
        <v>#N/A</v>
      </c>
      <c r="BQ90" s="95" t="e">
        <f>IF(AD90=VLOOKUP($A90,Feature_List!$A$2:$AO$101,MATCH(BQ$1,Feature_List!$A$1:$AO$1,0),FALSE),"OK","BAD")</f>
        <v>#N/A</v>
      </c>
      <c r="BR90" s="95" t="e">
        <f>IF(AE90=VLOOKUP($A90,Feature_List!$A$2:$AO$101,MATCH(BR$1,Feature_List!$A$1:$AO$1,0),FALSE),"OK","BAD")</f>
        <v>#N/A</v>
      </c>
      <c r="BS90" s="95" t="e">
        <f>IF(AF90=VLOOKUP($A90,Feature_List!$A$2:$AO$101,MATCH(BS$1,Feature_List!$A$1:$AO$1,0),FALSE),"OK","BAD")</f>
        <v>#N/A</v>
      </c>
      <c r="BT90" s="95" t="e">
        <f>IF(AG90=VLOOKUP($A90,Feature_List!$A$2:$AO$101,MATCH(BT$1,Feature_List!$A$1:$AO$1,0),FALSE),"OK","BAD")</f>
        <v>#N/A</v>
      </c>
      <c r="BU90" s="95" t="e">
        <f>IF(AH90=VLOOKUP($A90,Feature_List!$A$2:$AO$101,MATCH(BU$1,Feature_List!$A$1:$AO$1,0),FALSE),"OK","BAD")</f>
        <v>#N/A</v>
      </c>
      <c r="BV90" s="95" t="e">
        <f>IF(AI90=VLOOKUP($A90,Feature_List!$A$2:$AO$101,MATCH(BV$1,Feature_List!$A$1:$AO$1,0),FALSE),"OK","BAD")</f>
        <v>#N/A</v>
      </c>
      <c r="BW90" s="95" t="e">
        <f>IF(AJ90=VLOOKUP($A90,Feature_List!$A$2:$AO$101,MATCH(BW$1,Feature_List!$A$1:$AO$1,0),FALSE),"OK","BAD")</f>
        <v>#N/A</v>
      </c>
      <c r="BX90" s="95" t="e">
        <f>IF(AK90=VLOOKUP($A90,Feature_List!$A$2:$AO$101,MATCH(BX$1,Feature_List!$A$1:$AO$1,0),FALSE),"OK","BAD")</f>
        <v>#N/A</v>
      </c>
      <c r="BY90" s="95" t="e">
        <f>IF(AL90=VLOOKUP($A90,Feature_List!$A$2:$AO$101,MATCH(BY$1,Feature_List!$A$1:$AO$1,0),FALSE),"OK","BAD")</f>
        <v>#N/A</v>
      </c>
      <c r="BZ90" s="95" t="e">
        <f>IF(AM90=VLOOKUP($A90,Feature_List!$A$2:$AO$101,MATCH(BZ$1,Feature_List!$A$1:$AO$1,0),FALSE),"OK","BAD")</f>
        <v>#N/A</v>
      </c>
      <c r="CA90" s="95" t="e">
        <f>IF(AN90=VLOOKUP($A90,Feature_List!$A$2:$AO$101,MATCH(CA$1,Feature_List!$A$1:$AO$1,0),FALSE),"OK","BAD")</f>
        <v>#N/A</v>
      </c>
    </row>
    <row r="91" spans="1:79" ht="14.4" customHeight="1" x14ac:dyDescent="0.3">
      <c r="A91" s="70"/>
      <c r="B91" s="65"/>
      <c r="C91" s="98"/>
      <c r="D91" s="65"/>
      <c r="E91" s="64"/>
      <c r="F91" s="64"/>
      <c r="G91" s="64"/>
      <c r="H91" s="64"/>
      <c r="I91" s="99"/>
      <c r="J91" s="64"/>
      <c r="K91" s="64"/>
      <c r="L91" s="62"/>
      <c r="M91" s="67"/>
      <c r="N91" s="67"/>
      <c r="O91" s="67"/>
      <c r="P91" s="66"/>
      <c r="Q91" s="63"/>
      <c r="R91" s="63"/>
      <c r="S91" s="63"/>
      <c r="T91" s="63"/>
      <c r="U91" s="63"/>
      <c r="V91" s="63"/>
      <c r="W91" s="63"/>
      <c r="X91" s="63"/>
      <c r="Y91" s="63"/>
      <c r="Z91" s="63"/>
      <c r="AA91" s="63"/>
      <c r="AB91" s="63"/>
      <c r="AC91" s="63"/>
      <c r="AD91" s="63"/>
      <c r="AE91" s="63"/>
      <c r="AF91" s="63"/>
      <c r="AG91" s="63"/>
      <c r="AH91" s="63"/>
      <c r="AI91" s="63"/>
      <c r="AJ91" s="63"/>
      <c r="AK91" s="63"/>
      <c r="AL91" s="63"/>
      <c r="AM91" s="63"/>
      <c r="AN91" s="220"/>
      <c r="AO91" s="224"/>
      <c r="AP91" s="95" t="e">
        <f>IF(C91=VLOOKUP($A91,Feature_List!$A$2:$AO$101,MATCH(AP$1,Feature_List!$A$1:$AO$1,0),FALSE),"OK","BAD")</f>
        <v>#N/A</v>
      </c>
      <c r="AQ91" s="95" t="e">
        <f>IF(D91=VLOOKUP($A91,Feature_List!$A$2:$AO$101,MATCH(AQ$1,Feature_List!$A$1:$AO$1,0),FALSE),"OK","BAD")</f>
        <v>#N/A</v>
      </c>
      <c r="AR91" s="95" t="e">
        <f>IF(E91=VLOOKUP($A91,Feature_List!$A$2:$AO$101,MATCH(AR$1,Feature_List!$A$1:$AO$1,0),FALSE),"OK","BAD")</f>
        <v>#N/A</v>
      </c>
      <c r="AS91" s="95" t="e">
        <f>IF(F91=VLOOKUP($A91,Feature_List!$A$2:$AO$101,MATCH(AS$1,Feature_List!$A$1:$AO$1,0),FALSE),"OK","BAD")</f>
        <v>#N/A</v>
      </c>
      <c r="AT91" s="95" t="s">
        <v>985</v>
      </c>
      <c r="AU91" s="95" t="s">
        <v>985</v>
      </c>
      <c r="AV91" s="95" t="e">
        <f>IF(I91=VLOOKUP($A91,Feature_List!$A$2:$AO$101,MATCH(AV$1,Feature_List!$A$1:$AO$1,0),FALSE),"OK","BAD")</f>
        <v>#N/A</v>
      </c>
      <c r="AW91" s="95" t="e">
        <f>IF(J91=VLOOKUP($A91,Feature_List!$A$2:$AO$101,MATCH(AW$1,Feature_List!$A$1:$AO$1,0),FALSE),"OK","BAD")</f>
        <v>#N/A</v>
      </c>
      <c r="AX91" s="95" t="e">
        <f>IF(K91=VLOOKUP($A91,Feature_List!$A$2:$AO$101,MATCH(AX$1,Feature_List!$A$1:$AO$1,0),FALSE),"OK","BAD")</f>
        <v>#N/A</v>
      </c>
      <c r="AY91" s="95" t="e">
        <f>IF(L91=VLOOKUP($A91,Feature_List!$A$2:$AO$101,MATCH(AY$1,Feature_List!$A$1:$AO$1,0),FALSE),"OK","BAD")</f>
        <v>#N/A</v>
      </c>
      <c r="AZ91" s="95" t="e">
        <f>IF(M91=VLOOKUP($A91,Feature_List!$A$2:$AO$101,MATCH(AZ$1,Feature_List!$A$1:$AO$1,0),FALSE),"OK","BAD")</f>
        <v>#N/A</v>
      </c>
      <c r="BA91" s="95" t="e">
        <f>IF(N91=VLOOKUP($A91,Feature_List!$A$2:$AO$101,MATCH(BA$1,Feature_List!$A$1:$AO$1,0),FALSE),"OK","BAD")</f>
        <v>#N/A</v>
      </c>
      <c r="BB91" s="95" t="e">
        <f>IF(O91=VLOOKUP($A91,Feature_List!$A$2:$AO$101,MATCH(BB$1,Feature_List!$A$1:$AO$1,0),FALSE),"OK","BAD")</f>
        <v>#N/A</v>
      </c>
      <c r="BC91" s="95" t="e">
        <f>IF(P91=VLOOKUP($A91,Feature_List!$A$2:$AO$101,MATCH(BC$1,Feature_List!$A$1:$AO$1,0),FALSE),"OK","BAD")</f>
        <v>#N/A</v>
      </c>
      <c r="BD91" s="95" t="e">
        <f>IF(Q91=VLOOKUP($A91,Feature_List!$A$2:$AO$101,MATCH(BD$1,Feature_List!$A$1:$AO$1,0),FALSE),"OK","BAD")</f>
        <v>#N/A</v>
      </c>
      <c r="BE91" s="95" t="e">
        <f>IF(R91=VLOOKUP($A91,Feature_List!$A$2:$AO$101,MATCH(BE$1,Feature_List!$A$1:$AO$1,0),FALSE),"OK","BAD")</f>
        <v>#N/A</v>
      </c>
      <c r="BF91" s="95" t="e">
        <f>IF(S91=VLOOKUP($A91,Feature_List!$A$2:$AO$101,MATCH(BF$1,Feature_List!$A$1:$AO$1,0),FALSE),"OK","BAD")</f>
        <v>#N/A</v>
      </c>
      <c r="BG91" s="95" t="e">
        <f>IF(T91=VLOOKUP($A91,Feature_List!$A$2:$AO$101,MATCH(BG$1,Feature_List!$A$1:$AO$1,0),FALSE),"OK","BAD")</f>
        <v>#N/A</v>
      </c>
      <c r="BH91" s="95" t="e">
        <f>IF(U91=VLOOKUP($A91,Feature_List!$A$2:$AO$101,MATCH(BH$1,Feature_List!$A$1:$AO$1,0),FALSE),"OK","BAD")</f>
        <v>#N/A</v>
      </c>
      <c r="BI91" s="95" t="e">
        <f>IF(V91=VLOOKUP($A91,Feature_List!$A$2:$AO$101,MATCH(BI$1,Feature_List!$A$1:$AO$1,0),FALSE),"OK","BAD")</f>
        <v>#N/A</v>
      </c>
      <c r="BJ91" s="95" t="e">
        <f>IF(W91=VLOOKUP($A91,Feature_List!$A$2:$AO$101,MATCH(BJ$1,Feature_List!$A$1:$AO$1,0),FALSE),"OK","BAD")</f>
        <v>#N/A</v>
      </c>
      <c r="BK91" s="95" t="e">
        <f>IF(X91=VLOOKUP($A91,Feature_List!$A$2:$AO$101,MATCH(BK$1,Feature_List!$A$1:$AO$1,0),FALSE),"OK","BAD")</f>
        <v>#N/A</v>
      </c>
      <c r="BL91" s="95" t="e">
        <f>IF(Y91=VLOOKUP($A91,Feature_List!$A$2:$AO$101,MATCH(BL$1,Feature_List!$A$1:$AO$1,0),FALSE),"OK","BAD")</f>
        <v>#N/A</v>
      </c>
      <c r="BM91" s="95" t="e">
        <f>IF(Z91=VLOOKUP($A91,Feature_List!$A$2:$AO$101,MATCH(BM$1,Feature_List!$A$1:$AO$1,0),FALSE),"OK","BAD")</f>
        <v>#N/A</v>
      </c>
      <c r="BN91" s="95" t="e">
        <f>IF(AA91=VLOOKUP($A91,Feature_List!$A$2:$AO$101,MATCH(BN$1,Feature_List!$A$1:$AO$1,0),FALSE),"OK","BAD")</f>
        <v>#N/A</v>
      </c>
      <c r="BO91" s="95" t="e">
        <f>IF(AB91=VLOOKUP($A91,Feature_List!$A$2:$AO$101,MATCH(BO$1,Feature_List!$A$1:$AO$1,0),FALSE),"OK","BAD")</f>
        <v>#N/A</v>
      </c>
      <c r="BP91" s="95" t="e">
        <f>IF(AC91=VLOOKUP($A91,Feature_List!$A$2:$AO$101,MATCH(BP$1,Feature_List!$A$1:$AO$1,0),FALSE),"OK","BAD")</f>
        <v>#N/A</v>
      </c>
      <c r="BQ91" s="95" t="e">
        <f>IF(AD91=VLOOKUP($A91,Feature_List!$A$2:$AO$101,MATCH(BQ$1,Feature_List!$A$1:$AO$1,0),FALSE),"OK","BAD")</f>
        <v>#N/A</v>
      </c>
      <c r="BR91" s="95" t="e">
        <f>IF(AE91=VLOOKUP($A91,Feature_List!$A$2:$AO$101,MATCH(BR$1,Feature_List!$A$1:$AO$1,0),FALSE),"OK","BAD")</f>
        <v>#N/A</v>
      </c>
      <c r="BS91" s="95" t="e">
        <f>IF(AF91=VLOOKUP($A91,Feature_List!$A$2:$AO$101,MATCH(BS$1,Feature_List!$A$1:$AO$1,0),FALSE),"OK","BAD")</f>
        <v>#N/A</v>
      </c>
      <c r="BT91" s="95" t="e">
        <f>IF(AG91=VLOOKUP($A91,Feature_List!$A$2:$AO$101,MATCH(BT$1,Feature_List!$A$1:$AO$1,0),FALSE),"OK","BAD")</f>
        <v>#N/A</v>
      </c>
      <c r="BU91" s="95" t="e">
        <f>IF(AH91=VLOOKUP($A91,Feature_List!$A$2:$AO$101,MATCH(BU$1,Feature_List!$A$1:$AO$1,0),FALSE),"OK","BAD")</f>
        <v>#N/A</v>
      </c>
      <c r="BV91" s="95" t="e">
        <f>IF(AI91=VLOOKUP($A91,Feature_List!$A$2:$AO$101,MATCH(BV$1,Feature_List!$A$1:$AO$1,0),FALSE),"OK","BAD")</f>
        <v>#N/A</v>
      </c>
      <c r="BW91" s="95" t="e">
        <f>IF(AJ91=VLOOKUP($A91,Feature_List!$A$2:$AO$101,MATCH(BW$1,Feature_List!$A$1:$AO$1,0),FALSE),"OK","BAD")</f>
        <v>#N/A</v>
      </c>
      <c r="BX91" s="95" t="e">
        <f>IF(AK91=VLOOKUP($A91,Feature_List!$A$2:$AO$101,MATCH(BX$1,Feature_List!$A$1:$AO$1,0),FALSE),"OK","BAD")</f>
        <v>#N/A</v>
      </c>
      <c r="BY91" s="95" t="e">
        <f>IF(AL91=VLOOKUP($A91,Feature_List!$A$2:$AO$101,MATCH(BY$1,Feature_List!$A$1:$AO$1,0),FALSE),"OK","BAD")</f>
        <v>#N/A</v>
      </c>
      <c r="BZ91" s="95" t="e">
        <f>IF(AM91=VLOOKUP($A91,Feature_List!$A$2:$AO$101,MATCH(BZ$1,Feature_List!$A$1:$AO$1,0),FALSE),"OK","BAD")</f>
        <v>#N/A</v>
      </c>
      <c r="CA91" s="95" t="e">
        <f>IF(AN91=VLOOKUP($A91,Feature_List!$A$2:$AO$101,MATCH(CA$1,Feature_List!$A$1:$AO$1,0),FALSE),"OK","BAD")</f>
        <v>#N/A</v>
      </c>
    </row>
    <row r="92" spans="1:79" ht="14.4" customHeight="1" x14ac:dyDescent="0.3">
      <c r="A92" s="70"/>
      <c r="B92" s="65"/>
      <c r="C92" s="98"/>
      <c r="D92" s="65"/>
      <c r="E92" s="64"/>
      <c r="F92" s="64"/>
      <c r="G92" s="64"/>
      <c r="H92" s="64"/>
      <c r="I92" s="99"/>
      <c r="J92" s="64"/>
      <c r="K92" s="64"/>
      <c r="L92" s="62"/>
      <c r="M92" s="67"/>
      <c r="N92" s="67"/>
      <c r="O92" s="67"/>
      <c r="P92" s="66"/>
      <c r="Q92" s="63"/>
      <c r="R92" s="63"/>
      <c r="S92" s="63"/>
      <c r="T92" s="63"/>
      <c r="U92" s="63"/>
      <c r="V92" s="63"/>
      <c r="W92" s="63"/>
      <c r="X92" s="63"/>
      <c r="Y92" s="63"/>
      <c r="Z92" s="63"/>
      <c r="AA92" s="63"/>
      <c r="AB92" s="63"/>
      <c r="AC92" s="63"/>
      <c r="AD92" s="63"/>
      <c r="AE92" s="63"/>
      <c r="AF92" s="63"/>
      <c r="AG92" s="63"/>
      <c r="AH92" s="63"/>
      <c r="AI92" s="63"/>
      <c r="AJ92" s="63"/>
      <c r="AK92" s="63"/>
      <c r="AL92" s="63"/>
      <c r="AM92" s="63"/>
      <c r="AN92" s="220"/>
      <c r="AO92" s="224"/>
      <c r="AP92" s="95" t="e">
        <f>IF(C92=VLOOKUP($A92,Feature_List!$A$2:$AO$101,MATCH(AP$1,Feature_List!$A$1:$AO$1,0),FALSE),"OK","BAD")</f>
        <v>#N/A</v>
      </c>
      <c r="AQ92" s="95" t="e">
        <f>IF(D92=VLOOKUP($A92,Feature_List!$A$2:$AO$101,MATCH(AQ$1,Feature_List!$A$1:$AO$1,0),FALSE),"OK","BAD")</f>
        <v>#N/A</v>
      </c>
      <c r="AR92" s="95" t="e">
        <f>IF(E92=VLOOKUP($A92,Feature_List!$A$2:$AO$101,MATCH(AR$1,Feature_List!$A$1:$AO$1,0),FALSE),"OK","BAD")</f>
        <v>#N/A</v>
      </c>
      <c r="AS92" s="95" t="e">
        <f>IF(F92=VLOOKUP($A92,Feature_List!$A$2:$AO$101,MATCH(AS$1,Feature_List!$A$1:$AO$1,0),FALSE),"OK","BAD")</f>
        <v>#N/A</v>
      </c>
      <c r="AT92" s="95" t="s">
        <v>985</v>
      </c>
      <c r="AU92" s="95" t="s">
        <v>985</v>
      </c>
      <c r="AV92" s="95" t="e">
        <f>IF(I92=VLOOKUP($A92,Feature_List!$A$2:$AO$101,MATCH(AV$1,Feature_List!$A$1:$AO$1,0),FALSE),"OK","BAD")</f>
        <v>#N/A</v>
      </c>
      <c r="AW92" s="95" t="e">
        <f>IF(J92=VLOOKUP($A92,Feature_List!$A$2:$AO$101,MATCH(AW$1,Feature_List!$A$1:$AO$1,0),FALSE),"OK","BAD")</f>
        <v>#N/A</v>
      </c>
      <c r="AX92" s="95" t="e">
        <f>IF(K92=VLOOKUP($A92,Feature_List!$A$2:$AO$101,MATCH(AX$1,Feature_List!$A$1:$AO$1,0),FALSE),"OK","BAD")</f>
        <v>#N/A</v>
      </c>
      <c r="AY92" s="95" t="e">
        <f>IF(L92=VLOOKUP($A92,Feature_List!$A$2:$AO$101,MATCH(AY$1,Feature_List!$A$1:$AO$1,0),FALSE),"OK","BAD")</f>
        <v>#N/A</v>
      </c>
      <c r="AZ92" s="95" t="e">
        <f>IF(M92=VLOOKUP($A92,Feature_List!$A$2:$AO$101,MATCH(AZ$1,Feature_List!$A$1:$AO$1,0),FALSE),"OK","BAD")</f>
        <v>#N/A</v>
      </c>
      <c r="BA92" s="95" t="e">
        <f>IF(N92=VLOOKUP($A92,Feature_List!$A$2:$AO$101,MATCH(BA$1,Feature_List!$A$1:$AO$1,0),FALSE),"OK","BAD")</f>
        <v>#N/A</v>
      </c>
      <c r="BB92" s="95" t="e">
        <f>IF(O92=VLOOKUP($A92,Feature_List!$A$2:$AO$101,MATCH(BB$1,Feature_List!$A$1:$AO$1,0),FALSE),"OK","BAD")</f>
        <v>#N/A</v>
      </c>
      <c r="BC92" s="95" t="e">
        <f>IF(P92=VLOOKUP($A92,Feature_List!$A$2:$AO$101,MATCH(BC$1,Feature_List!$A$1:$AO$1,0),FALSE),"OK","BAD")</f>
        <v>#N/A</v>
      </c>
      <c r="BD92" s="95" t="e">
        <f>IF(Q92=VLOOKUP($A92,Feature_List!$A$2:$AO$101,MATCH(BD$1,Feature_List!$A$1:$AO$1,0),FALSE),"OK","BAD")</f>
        <v>#N/A</v>
      </c>
      <c r="BE92" s="95" t="e">
        <f>IF(R92=VLOOKUP($A92,Feature_List!$A$2:$AO$101,MATCH(BE$1,Feature_List!$A$1:$AO$1,0),FALSE),"OK","BAD")</f>
        <v>#N/A</v>
      </c>
      <c r="BF92" s="95" t="e">
        <f>IF(S92=VLOOKUP($A92,Feature_List!$A$2:$AO$101,MATCH(BF$1,Feature_List!$A$1:$AO$1,0),FALSE),"OK","BAD")</f>
        <v>#N/A</v>
      </c>
      <c r="BG92" s="95" t="e">
        <f>IF(T92=VLOOKUP($A92,Feature_List!$A$2:$AO$101,MATCH(BG$1,Feature_List!$A$1:$AO$1,0),FALSE),"OK","BAD")</f>
        <v>#N/A</v>
      </c>
      <c r="BH92" s="95" t="e">
        <f>IF(U92=VLOOKUP($A92,Feature_List!$A$2:$AO$101,MATCH(BH$1,Feature_List!$A$1:$AO$1,0),FALSE),"OK","BAD")</f>
        <v>#N/A</v>
      </c>
      <c r="BI92" s="95" t="e">
        <f>IF(V92=VLOOKUP($A92,Feature_List!$A$2:$AO$101,MATCH(BI$1,Feature_List!$A$1:$AO$1,0),FALSE),"OK","BAD")</f>
        <v>#N/A</v>
      </c>
      <c r="BJ92" s="95" t="e">
        <f>IF(W92=VLOOKUP($A92,Feature_List!$A$2:$AO$101,MATCH(BJ$1,Feature_List!$A$1:$AO$1,0),FALSE),"OK","BAD")</f>
        <v>#N/A</v>
      </c>
      <c r="BK92" s="95" t="e">
        <f>IF(X92=VLOOKUP($A92,Feature_List!$A$2:$AO$101,MATCH(BK$1,Feature_List!$A$1:$AO$1,0),FALSE),"OK","BAD")</f>
        <v>#N/A</v>
      </c>
      <c r="BL92" s="95" t="e">
        <f>IF(Y92=VLOOKUP($A92,Feature_List!$A$2:$AO$101,MATCH(BL$1,Feature_List!$A$1:$AO$1,0),FALSE),"OK","BAD")</f>
        <v>#N/A</v>
      </c>
      <c r="BM92" s="95" t="e">
        <f>IF(Z92=VLOOKUP($A92,Feature_List!$A$2:$AO$101,MATCH(BM$1,Feature_List!$A$1:$AO$1,0),FALSE),"OK","BAD")</f>
        <v>#N/A</v>
      </c>
      <c r="BN92" s="95" t="e">
        <f>IF(AA92=VLOOKUP($A92,Feature_List!$A$2:$AO$101,MATCH(BN$1,Feature_List!$A$1:$AO$1,0),FALSE),"OK","BAD")</f>
        <v>#N/A</v>
      </c>
      <c r="BO92" s="95" t="e">
        <f>IF(AB92=VLOOKUP($A92,Feature_List!$A$2:$AO$101,MATCH(BO$1,Feature_List!$A$1:$AO$1,0),FALSE),"OK","BAD")</f>
        <v>#N/A</v>
      </c>
      <c r="BP92" s="95" t="e">
        <f>IF(AC92=VLOOKUP($A92,Feature_List!$A$2:$AO$101,MATCH(BP$1,Feature_List!$A$1:$AO$1,0),FALSE),"OK","BAD")</f>
        <v>#N/A</v>
      </c>
      <c r="BQ92" s="95" t="e">
        <f>IF(AD92=VLOOKUP($A92,Feature_List!$A$2:$AO$101,MATCH(BQ$1,Feature_List!$A$1:$AO$1,0),FALSE),"OK","BAD")</f>
        <v>#N/A</v>
      </c>
      <c r="BR92" s="95" t="e">
        <f>IF(AE92=VLOOKUP($A92,Feature_List!$A$2:$AO$101,MATCH(BR$1,Feature_List!$A$1:$AO$1,0),FALSE),"OK","BAD")</f>
        <v>#N/A</v>
      </c>
      <c r="BS92" s="95" t="e">
        <f>IF(AF92=VLOOKUP($A92,Feature_List!$A$2:$AO$101,MATCH(BS$1,Feature_List!$A$1:$AO$1,0),FALSE),"OK","BAD")</f>
        <v>#N/A</v>
      </c>
      <c r="BT92" s="95" t="e">
        <f>IF(AG92=VLOOKUP($A92,Feature_List!$A$2:$AO$101,MATCH(BT$1,Feature_List!$A$1:$AO$1,0),FALSE),"OK","BAD")</f>
        <v>#N/A</v>
      </c>
      <c r="BU92" s="95" t="e">
        <f>IF(AH92=VLOOKUP($A92,Feature_List!$A$2:$AO$101,MATCH(BU$1,Feature_List!$A$1:$AO$1,0),FALSE),"OK","BAD")</f>
        <v>#N/A</v>
      </c>
      <c r="BV92" s="95" t="e">
        <f>IF(AI92=VLOOKUP($A92,Feature_List!$A$2:$AO$101,MATCH(BV$1,Feature_List!$A$1:$AO$1,0),FALSE),"OK","BAD")</f>
        <v>#N/A</v>
      </c>
      <c r="BW92" s="95" t="e">
        <f>IF(AJ92=VLOOKUP($A92,Feature_List!$A$2:$AO$101,MATCH(BW$1,Feature_List!$A$1:$AO$1,0),FALSE),"OK","BAD")</f>
        <v>#N/A</v>
      </c>
      <c r="BX92" s="95" t="e">
        <f>IF(AK92=VLOOKUP($A92,Feature_List!$A$2:$AO$101,MATCH(BX$1,Feature_List!$A$1:$AO$1,0),FALSE),"OK","BAD")</f>
        <v>#N/A</v>
      </c>
      <c r="BY92" s="95" t="e">
        <f>IF(AL92=VLOOKUP($A92,Feature_List!$A$2:$AO$101,MATCH(BY$1,Feature_List!$A$1:$AO$1,0),FALSE),"OK","BAD")</f>
        <v>#N/A</v>
      </c>
      <c r="BZ92" s="95" t="e">
        <f>IF(AM92=VLOOKUP($A92,Feature_List!$A$2:$AO$101,MATCH(BZ$1,Feature_List!$A$1:$AO$1,0),FALSE),"OK","BAD")</f>
        <v>#N/A</v>
      </c>
      <c r="CA92" s="95" t="e">
        <f>IF(AN92=VLOOKUP($A92,Feature_List!$A$2:$AO$101,MATCH(CA$1,Feature_List!$A$1:$AO$1,0),FALSE),"OK","BAD")</f>
        <v>#N/A</v>
      </c>
    </row>
    <row r="93" spans="1:79" ht="14.4" customHeight="1" x14ac:dyDescent="0.3">
      <c r="A93" s="70"/>
      <c r="B93" s="65"/>
      <c r="C93" s="98"/>
      <c r="D93" s="65"/>
      <c r="E93" s="64"/>
      <c r="F93" s="64"/>
      <c r="G93" s="64"/>
      <c r="H93" s="64"/>
      <c r="I93" s="99"/>
      <c r="J93" s="64"/>
      <c r="K93" s="64"/>
      <c r="L93" s="62"/>
      <c r="M93" s="67"/>
      <c r="N93" s="67"/>
      <c r="O93" s="67"/>
      <c r="P93" s="66"/>
      <c r="Q93" s="63"/>
      <c r="R93" s="63"/>
      <c r="S93" s="63"/>
      <c r="T93" s="63"/>
      <c r="U93" s="63"/>
      <c r="V93" s="63"/>
      <c r="W93" s="63"/>
      <c r="X93" s="63"/>
      <c r="Y93" s="63"/>
      <c r="Z93" s="63"/>
      <c r="AA93" s="63"/>
      <c r="AB93" s="63"/>
      <c r="AC93" s="63"/>
      <c r="AD93" s="63"/>
      <c r="AE93" s="63"/>
      <c r="AF93" s="63"/>
      <c r="AG93" s="63"/>
      <c r="AH93" s="63"/>
      <c r="AI93" s="63"/>
      <c r="AJ93" s="63"/>
      <c r="AK93" s="63"/>
      <c r="AL93" s="63"/>
      <c r="AM93" s="63"/>
      <c r="AN93" s="220"/>
      <c r="AO93" s="224"/>
      <c r="AP93" s="95" t="e">
        <f>IF(C93=VLOOKUP($A93,Feature_List!$A$2:$AO$101,MATCH(AP$1,Feature_List!$A$1:$AO$1,0),FALSE),"OK","BAD")</f>
        <v>#N/A</v>
      </c>
      <c r="AQ93" s="95" t="e">
        <f>IF(D93=VLOOKUP($A93,Feature_List!$A$2:$AO$101,MATCH(AQ$1,Feature_List!$A$1:$AO$1,0),FALSE),"OK","BAD")</f>
        <v>#N/A</v>
      </c>
      <c r="AR93" s="95" t="e">
        <f>IF(E93=VLOOKUP($A93,Feature_List!$A$2:$AO$101,MATCH(AR$1,Feature_List!$A$1:$AO$1,0),FALSE),"OK","BAD")</f>
        <v>#N/A</v>
      </c>
      <c r="AS93" s="95" t="e">
        <f>IF(F93=VLOOKUP($A93,Feature_List!$A$2:$AO$101,MATCH(AS$1,Feature_List!$A$1:$AO$1,0),FALSE),"OK","BAD")</f>
        <v>#N/A</v>
      </c>
      <c r="AT93" s="95" t="s">
        <v>985</v>
      </c>
      <c r="AU93" s="95" t="s">
        <v>985</v>
      </c>
      <c r="AV93" s="95" t="e">
        <f>IF(I93=VLOOKUP($A93,Feature_List!$A$2:$AO$101,MATCH(AV$1,Feature_List!$A$1:$AO$1,0),FALSE),"OK","BAD")</f>
        <v>#N/A</v>
      </c>
      <c r="AW93" s="95" t="e">
        <f>IF(J93=VLOOKUP($A93,Feature_List!$A$2:$AO$101,MATCH(AW$1,Feature_List!$A$1:$AO$1,0),FALSE),"OK","BAD")</f>
        <v>#N/A</v>
      </c>
      <c r="AX93" s="95" t="e">
        <f>IF(K93=VLOOKUP($A93,Feature_List!$A$2:$AO$101,MATCH(AX$1,Feature_List!$A$1:$AO$1,0),FALSE),"OK","BAD")</f>
        <v>#N/A</v>
      </c>
      <c r="AY93" s="95" t="e">
        <f>IF(L93=VLOOKUP($A93,Feature_List!$A$2:$AO$101,MATCH(AY$1,Feature_List!$A$1:$AO$1,0),FALSE),"OK","BAD")</f>
        <v>#N/A</v>
      </c>
      <c r="AZ93" s="95" t="e">
        <f>IF(M93=VLOOKUP($A93,Feature_List!$A$2:$AO$101,MATCH(AZ$1,Feature_List!$A$1:$AO$1,0),FALSE),"OK","BAD")</f>
        <v>#N/A</v>
      </c>
      <c r="BA93" s="95" t="e">
        <f>IF(N93=VLOOKUP($A93,Feature_List!$A$2:$AO$101,MATCH(BA$1,Feature_List!$A$1:$AO$1,0),FALSE),"OK","BAD")</f>
        <v>#N/A</v>
      </c>
      <c r="BB93" s="95" t="e">
        <f>IF(O93=VLOOKUP($A93,Feature_List!$A$2:$AO$101,MATCH(BB$1,Feature_List!$A$1:$AO$1,0),FALSE),"OK","BAD")</f>
        <v>#N/A</v>
      </c>
      <c r="BC93" s="95" t="e">
        <f>IF(P93=VLOOKUP($A93,Feature_List!$A$2:$AO$101,MATCH(BC$1,Feature_List!$A$1:$AO$1,0),FALSE),"OK","BAD")</f>
        <v>#N/A</v>
      </c>
      <c r="BD93" s="95" t="e">
        <f>IF(Q93=VLOOKUP($A93,Feature_List!$A$2:$AO$101,MATCH(BD$1,Feature_List!$A$1:$AO$1,0),FALSE),"OK","BAD")</f>
        <v>#N/A</v>
      </c>
      <c r="BE93" s="95" t="e">
        <f>IF(R93=VLOOKUP($A93,Feature_List!$A$2:$AO$101,MATCH(BE$1,Feature_List!$A$1:$AO$1,0),FALSE),"OK","BAD")</f>
        <v>#N/A</v>
      </c>
      <c r="BF93" s="95" t="e">
        <f>IF(S93=VLOOKUP($A93,Feature_List!$A$2:$AO$101,MATCH(BF$1,Feature_List!$A$1:$AO$1,0),FALSE),"OK","BAD")</f>
        <v>#N/A</v>
      </c>
      <c r="BG93" s="95" t="e">
        <f>IF(T93=VLOOKUP($A93,Feature_List!$A$2:$AO$101,MATCH(BG$1,Feature_List!$A$1:$AO$1,0),FALSE),"OK","BAD")</f>
        <v>#N/A</v>
      </c>
      <c r="BH93" s="95" t="e">
        <f>IF(U93=VLOOKUP($A93,Feature_List!$A$2:$AO$101,MATCH(BH$1,Feature_List!$A$1:$AO$1,0),FALSE),"OK","BAD")</f>
        <v>#N/A</v>
      </c>
      <c r="BI93" s="95" t="e">
        <f>IF(V93=VLOOKUP($A93,Feature_List!$A$2:$AO$101,MATCH(BI$1,Feature_List!$A$1:$AO$1,0),FALSE),"OK","BAD")</f>
        <v>#N/A</v>
      </c>
      <c r="BJ93" s="95" t="e">
        <f>IF(W93=VLOOKUP($A93,Feature_List!$A$2:$AO$101,MATCH(BJ$1,Feature_List!$A$1:$AO$1,0),FALSE),"OK","BAD")</f>
        <v>#N/A</v>
      </c>
      <c r="BK93" s="95" t="e">
        <f>IF(X93=VLOOKUP($A93,Feature_List!$A$2:$AO$101,MATCH(BK$1,Feature_List!$A$1:$AO$1,0),FALSE),"OK","BAD")</f>
        <v>#N/A</v>
      </c>
      <c r="BL93" s="95" t="e">
        <f>IF(Y93=VLOOKUP($A93,Feature_List!$A$2:$AO$101,MATCH(BL$1,Feature_List!$A$1:$AO$1,0),FALSE),"OK","BAD")</f>
        <v>#N/A</v>
      </c>
      <c r="BM93" s="95" t="e">
        <f>IF(Z93=VLOOKUP($A93,Feature_List!$A$2:$AO$101,MATCH(BM$1,Feature_List!$A$1:$AO$1,0),FALSE),"OK","BAD")</f>
        <v>#N/A</v>
      </c>
      <c r="BN93" s="95" t="e">
        <f>IF(AA93=VLOOKUP($A93,Feature_List!$A$2:$AO$101,MATCH(BN$1,Feature_List!$A$1:$AO$1,0),FALSE),"OK","BAD")</f>
        <v>#N/A</v>
      </c>
      <c r="BO93" s="95" t="e">
        <f>IF(AB93=VLOOKUP($A93,Feature_List!$A$2:$AO$101,MATCH(BO$1,Feature_List!$A$1:$AO$1,0),FALSE),"OK","BAD")</f>
        <v>#N/A</v>
      </c>
      <c r="BP93" s="95" t="e">
        <f>IF(AC93=VLOOKUP($A93,Feature_List!$A$2:$AO$101,MATCH(BP$1,Feature_List!$A$1:$AO$1,0),FALSE),"OK","BAD")</f>
        <v>#N/A</v>
      </c>
      <c r="BQ93" s="95" t="e">
        <f>IF(AD93=VLOOKUP($A93,Feature_List!$A$2:$AO$101,MATCH(BQ$1,Feature_List!$A$1:$AO$1,0),FALSE),"OK","BAD")</f>
        <v>#N/A</v>
      </c>
      <c r="BR93" s="95" t="e">
        <f>IF(AE93=VLOOKUP($A93,Feature_List!$A$2:$AO$101,MATCH(BR$1,Feature_List!$A$1:$AO$1,0),FALSE),"OK","BAD")</f>
        <v>#N/A</v>
      </c>
      <c r="BS93" s="95" t="e">
        <f>IF(AF93=VLOOKUP($A93,Feature_List!$A$2:$AO$101,MATCH(BS$1,Feature_List!$A$1:$AO$1,0),FALSE),"OK","BAD")</f>
        <v>#N/A</v>
      </c>
      <c r="BT93" s="95" t="e">
        <f>IF(AG93=VLOOKUP($A93,Feature_List!$A$2:$AO$101,MATCH(BT$1,Feature_List!$A$1:$AO$1,0),FALSE),"OK","BAD")</f>
        <v>#N/A</v>
      </c>
      <c r="BU93" s="95" t="e">
        <f>IF(AH93=VLOOKUP($A93,Feature_List!$A$2:$AO$101,MATCH(BU$1,Feature_List!$A$1:$AO$1,0),FALSE),"OK","BAD")</f>
        <v>#N/A</v>
      </c>
      <c r="BV93" s="95" t="e">
        <f>IF(AI93=VLOOKUP($A93,Feature_List!$A$2:$AO$101,MATCH(BV$1,Feature_List!$A$1:$AO$1,0),FALSE),"OK","BAD")</f>
        <v>#N/A</v>
      </c>
      <c r="BW93" s="95" t="e">
        <f>IF(AJ93=VLOOKUP($A93,Feature_List!$A$2:$AO$101,MATCH(BW$1,Feature_List!$A$1:$AO$1,0),FALSE),"OK","BAD")</f>
        <v>#N/A</v>
      </c>
      <c r="BX93" s="95" t="e">
        <f>IF(AK93=VLOOKUP($A93,Feature_List!$A$2:$AO$101,MATCH(BX$1,Feature_List!$A$1:$AO$1,0),FALSE),"OK","BAD")</f>
        <v>#N/A</v>
      </c>
      <c r="BY93" s="95" t="e">
        <f>IF(AL93=VLOOKUP($A93,Feature_List!$A$2:$AO$101,MATCH(BY$1,Feature_List!$A$1:$AO$1,0),FALSE),"OK","BAD")</f>
        <v>#N/A</v>
      </c>
      <c r="BZ93" s="95" t="e">
        <f>IF(AM93=VLOOKUP($A93,Feature_List!$A$2:$AO$101,MATCH(BZ$1,Feature_List!$A$1:$AO$1,0),FALSE),"OK","BAD")</f>
        <v>#N/A</v>
      </c>
      <c r="CA93" s="95" t="e">
        <f>IF(AN93=VLOOKUP($A93,Feature_List!$A$2:$AO$101,MATCH(CA$1,Feature_List!$A$1:$AO$1,0),FALSE),"OK","BAD")</f>
        <v>#N/A</v>
      </c>
    </row>
    <row r="94" spans="1:79" ht="14.4" customHeight="1" x14ac:dyDescent="0.3">
      <c r="A94" s="34"/>
      <c r="B94" s="34"/>
      <c r="C94" s="34"/>
      <c r="D94" s="34"/>
      <c r="E94" s="54"/>
      <c r="F94" s="34"/>
      <c r="G94" s="34"/>
      <c r="H94" s="34"/>
      <c r="I94" s="34"/>
      <c r="J94" s="34"/>
      <c r="K94" s="34"/>
      <c r="L94" s="96"/>
      <c r="M94" s="34"/>
      <c r="N94" s="34"/>
      <c r="O94" s="34"/>
      <c r="P94" s="34"/>
      <c r="Q94" s="54"/>
      <c r="R94" s="34"/>
      <c r="S94" s="54"/>
      <c r="T94" s="54"/>
      <c r="U94" s="54"/>
      <c r="V94" s="54"/>
      <c r="W94" s="54"/>
      <c r="X94" s="54"/>
      <c r="Y94" s="54"/>
      <c r="Z94" s="54"/>
      <c r="AA94" s="54"/>
      <c r="AB94" s="54"/>
      <c r="AC94" s="54"/>
      <c r="AD94" s="54"/>
      <c r="AE94" s="54"/>
      <c r="AF94" s="54"/>
      <c r="AG94" s="54"/>
      <c r="AH94" s="54"/>
      <c r="AI94" s="54"/>
      <c r="AJ94" s="54"/>
      <c r="AK94" s="54"/>
      <c r="AL94" s="54"/>
      <c r="AM94" s="54"/>
      <c r="AN94" s="221"/>
      <c r="AO94" s="224"/>
      <c r="AP94" s="95" t="e">
        <f>IF(C94=VLOOKUP($A94,Feature_List!$A$2:$AO$101,MATCH(AP$1,Feature_List!$A$1:$AO$1,0),FALSE),"OK","BAD")</f>
        <v>#N/A</v>
      </c>
      <c r="AQ94" s="95" t="e">
        <f>IF(D94=VLOOKUP($A94,Feature_List!$A$2:$AO$101,MATCH(AQ$1,Feature_List!$A$1:$AO$1,0),FALSE),"OK","BAD")</f>
        <v>#N/A</v>
      </c>
      <c r="AR94" s="95" t="e">
        <f>IF(E94=VLOOKUP($A94,Feature_List!$A$2:$AO$101,MATCH(AR$1,Feature_List!$A$1:$AO$1,0),FALSE),"OK","BAD")</f>
        <v>#N/A</v>
      </c>
      <c r="AS94" s="95" t="e">
        <f>IF(F94=VLOOKUP($A94,Feature_List!$A$2:$AO$101,MATCH(AS$1,Feature_List!$A$1:$AO$1,0),FALSE),"OK","BAD")</f>
        <v>#N/A</v>
      </c>
      <c r="AT94" s="95" t="s">
        <v>985</v>
      </c>
      <c r="AU94" s="95" t="s">
        <v>985</v>
      </c>
      <c r="AV94" s="95" t="e">
        <f>IF(I94=VLOOKUP($A94,Feature_List!$A$2:$AO$101,MATCH(AV$1,Feature_List!$A$1:$AO$1,0),FALSE),"OK","BAD")</f>
        <v>#N/A</v>
      </c>
      <c r="AW94" s="95" t="e">
        <f>IF(J94=VLOOKUP($A94,Feature_List!$A$2:$AO$101,MATCH(AW$1,Feature_List!$A$1:$AO$1,0),FALSE),"OK","BAD")</f>
        <v>#N/A</v>
      </c>
      <c r="AX94" s="95" t="e">
        <f>IF(K94=VLOOKUP($A94,Feature_List!$A$2:$AO$101,MATCH(AX$1,Feature_List!$A$1:$AO$1,0),FALSE),"OK","BAD")</f>
        <v>#N/A</v>
      </c>
      <c r="AY94" s="95" t="e">
        <f>IF(L94=VLOOKUP($A94,Feature_List!$A$2:$AO$101,MATCH(AY$1,Feature_List!$A$1:$AO$1,0),FALSE),"OK","BAD")</f>
        <v>#N/A</v>
      </c>
      <c r="AZ94" s="95" t="e">
        <f>IF(M94=VLOOKUP($A94,Feature_List!$A$2:$AO$101,MATCH(AZ$1,Feature_List!$A$1:$AO$1,0),FALSE),"OK","BAD")</f>
        <v>#N/A</v>
      </c>
      <c r="BA94" s="95" t="e">
        <f>IF(N94=VLOOKUP($A94,Feature_List!$A$2:$AO$101,MATCH(BA$1,Feature_List!$A$1:$AO$1,0),FALSE),"OK","BAD")</f>
        <v>#N/A</v>
      </c>
      <c r="BB94" s="95" t="e">
        <f>IF(O94=VLOOKUP($A94,Feature_List!$A$2:$AO$101,MATCH(BB$1,Feature_List!$A$1:$AO$1,0),FALSE),"OK","BAD")</f>
        <v>#N/A</v>
      </c>
      <c r="BC94" s="95" t="e">
        <f>IF(P94=VLOOKUP($A94,Feature_List!$A$2:$AO$101,MATCH(BC$1,Feature_List!$A$1:$AO$1,0),FALSE),"OK","BAD")</f>
        <v>#N/A</v>
      </c>
      <c r="BD94" s="95" t="e">
        <f>IF(Q94=VLOOKUP($A94,Feature_List!$A$2:$AO$101,MATCH(BD$1,Feature_List!$A$1:$AO$1,0),FALSE),"OK","BAD")</f>
        <v>#N/A</v>
      </c>
      <c r="BE94" s="95" t="e">
        <f>IF(R94=VLOOKUP($A94,Feature_List!$A$2:$AO$101,MATCH(BE$1,Feature_List!$A$1:$AO$1,0),FALSE),"OK","BAD")</f>
        <v>#N/A</v>
      </c>
      <c r="BF94" s="95" t="e">
        <f>IF(S94=VLOOKUP($A94,Feature_List!$A$2:$AO$101,MATCH(BF$1,Feature_List!$A$1:$AO$1,0),FALSE),"OK","BAD")</f>
        <v>#N/A</v>
      </c>
      <c r="BG94" s="95" t="e">
        <f>IF(T94=VLOOKUP($A94,Feature_List!$A$2:$AO$101,MATCH(BG$1,Feature_List!$A$1:$AO$1,0),FALSE),"OK","BAD")</f>
        <v>#N/A</v>
      </c>
      <c r="BH94" s="95" t="e">
        <f>IF(U94=VLOOKUP($A94,Feature_List!$A$2:$AO$101,MATCH(BH$1,Feature_List!$A$1:$AO$1,0),FALSE),"OK","BAD")</f>
        <v>#N/A</v>
      </c>
      <c r="BI94" s="95" t="e">
        <f>IF(V94=VLOOKUP($A94,Feature_List!$A$2:$AO$101,MATCH(BI$1,Feature_List!$A$1:$AO$1,0),FALSE),"OK","BAD")</f>
        <v>#N/A</v>
      </c>
      <c r="BJ94" s="95" t="e">
        <f>IF(W94=VLOOKUP($A94,Feature_List!$A$2:$AO$101,MATCH(BJ$1,Feature_List!$A$1:$AO$1,0),FALSE),"OK","BAD")</f>
        <v>#N/A</v>
      </c>
      <c r="BK94" s="95" t="e">
        <f>IF(X94=VLOOKUP($A94,Feature_List!$A$2:$AO$101,MATCH(BK$1,Feature_List!$A$1:$AO$1,0),FALSE),"OK","BAD")</f>
        <v>#N/A</v>
      </c>
      <c r="BL94" s="95" t="e">
        <f>IF(Y94=VLOOKUP($A94,Feature_List!$A$2:$AO$101,MATCH(BL$1,Feature_List!$A$1:$AO$1,0),FALSE),"OK","BAD")</f>
        <v>#N/A</v>
      </c>
      <c r="BM94" s="95" t="e">
        <f>IF(Z94=VLOOKUP($A94,Feature_List!$A$2:$AO$101,MATCH(BM$1,Feature_List!$A$1:$AO$1,0),FALSE),"OK","BAD")</f>
        <v>#N/A</v>
      </c>
      <c r="BN94" s="95" t="e">
        <f>IF(AA94=VLOOKUP($A94,Feature_List!$A$2:$AO$101,MATCH(BN$1,Feature_List!$A$1:$AO$1,0),FALSE),"OK","BAD")</f>
        <v>#N/A</v>
      </c>
      <c r="BO94" s="95" t="e">
        <f>IF(AB94=VLOOKUP($A94,Feature_List!$A$2:$AO$101,MATCH(BO$1,Feature_List!$A$1:$AO$1,0),FALSE),"OK","BAD")</f>
        <v>#N/A</v>
      </c>
      <c r="BP94" s="95" t="e">
        <f>IF(AC94=VLOOKUP($A94,Feature_List!$A$2:$AO$101,MATCH(BP$1,Feature_List!$A$1:$AO$1,0),FALSE),"OK","BAD")</f>
        <v>#N/A</v>
      </c>
      <c r="BQ94" s="95" t="e">
        <f>IF(AD94=VLOOKUP($A94,Feature_List!$A$2:$AO$101,MATCH(BQ$1,Feature_List!$A$1:$AO$1,0),FALSE),"OK","BAD")</f>
        <v>#N/A</v>
      </c>
      <c r="BR94" s="95" t="e">
        <f>IF(AE94=VLOOKUP($A94,Feature_List!$A$2:$AO$101,MATCH(BR$1,Feature_List!$A$1:$AO$1,0),FALSE),"OK","BAD")</f>
        <v>#N/A</v>
      </c>
      <c r="BS94" s="95" t="e">
        <f>IF(AF94=VLOOKUP($A94,Feature_List!$A$2:$AO$101,MATCH(BS$1,Feature_List!$A$1:$AO$1,0),FALSE),"OK","BAD")</f>
        <v>#N/A</v>
      </c>
      <c r="BT94" s="95" t="e">
        <f>IF(AG94=VLOOKUP($A94,Feature_List!$A$2:$AO$101,MATCH(BT$1,Feature_List!$A$1:$AO$1,0),FALSE),"OK","BAD")</f>
        <v>#N/A</v>
      </c>
      <c r="BU94" s="95" t="e">
        <f>IF(AH94=VLOOKUP($A94,Feature_List!$A$2:$AO$101,MATCH(BU$1,Feature_List!$A$1:$AO$1,0),FALSE),"OK","BAD")</f>
        <v>#N/A</v>
      </c>
      <c r="BV94" s="95" t="e">
        <f>IF(AI94=VLOOKUP($A94,Feature_List!$A$2:$AO$101,MATCH(BV$1,Feature_List!$A$1:$AO$1,0),FALSE),"OK","BAD")</f>
        <v>#N/A</v>
      </c>
      <c r="BW94" s="95" t="e">
        <f>IF(AJ94=VLOOKUP($A94,Feature_List!$A$2:$AO$101,MATCH(BW$1,Feature_List!$A$1:$AO$1,0),FALSE),"OK","BAD")</f>
        <v>#N/A</v>
      </c>
      <c r="BX94" s="95" t="e">
        <f>IF(AK94=VLOOKUP($A94,Feature_List!$A$2:$AO$101,MATCH(BX$1,Feature_List!$A$1:$AO$1,0),FALSE),"OK","BAD")</f>
        <v>#N/A</v>
      </c>
      <c r="BY94" s="95" t="e">
        <f>IF(AL94=VLOOKUP($A94,Feature_List!$A$2:$AO$101,MATCH(BY$1,Feature_List!$A$1:$AO$1,0),FALSE),"OK","BAD")</f>
        <v>#N/A</v>
      </c>
      <c r="BZ94" s="95" t="e">
        <f>IF(AM94=VLOOKUP($A94,Feature_List!$A$2:$AO$101,MATCH(BZ$1,Feature_List!$A$1:$AO$1,0),FALSE),"OK","BAD")</f>
        <v>#N/A</v>
      </c>
      <c r="CA94" s="95" t="e">
        <f>IF(AN94=VLOOKUP($A94,Feature_List!$A$2:$AO$101,MATCH(CA$1,Feature_List!$A$1:$AO$1,0),FALSE),"OK","BAD")</f>
        <v>#N/A</v>
      </c>
    </row>
    <row r="95" spans="1:79" ht="14.4" customHeight="1" x14ac:dyDescent="0.3">
      <c r="A95" s="70"/>
      <c r="B95" s="65"/>
      <c r="C95" s="98"/>
      <c r="D95" s="65"/>
      <c r="E95" s="64"/>
      <c r="F95" s="64"/>
      <c r="G95" s="64"/>
      <c r="H95" s="64"/>
      <c r="I95" s="99"/>
      <c r="J95" s="64"/>
      <c r="K95" s="64"/>
      <c r="L95" s="62"/>
      <c r="M95" s="67"/>
      <c r="N95" s="67"/>
      <c r="O95" s="67"/>
      <c r="P95" s="66"/>
      <c r="Q95" s="63"/>
      <c r="R95" s="63"/>
      <c r="S95" s="63"/>
      <c r="T95" s="63"/>
      <c r="U95" s="63"/>
      <c r="V95" s="63"/>
      <c r="W95" s="63"/>
      <c r="X95" s="63"/>
      <c r="Y95" s="63"/>
      <c r="Z95" s="63"/>
      <c r="AA95" s="63"/>
      <c r="AB95" s="63"/>
      <c r="AC95" s="63"/>
      <c r="AD95" s="63"/>
      <c r="AE95" s="63"/>
      <c r="AF95" s="63"/>
      <c r="AG95" s="63"/>
      <c r="AH95" s="63"/>
      <c r="AI95" s="63"/>
      <c r="AJ95" s="63"/>
      <c r="AK95" s="63"/>
      <c r="AL95" s="63"/>
      <c r="AM95" s="63"/>
      <c r="AN95" s="220"/>
      <c r="AO95" s="224"/>
      <c r="AP95" s="95" t="e">
        <f>IF(C95=VLOOKUP($A95,Feature_List!$A$2:$AO$101,MATCH(AP$1,Feature_List!$A$1:$AO$1,0),FALSE),"OK","BAD")</f>
        <v>#N/A</v>
      </c>
      <c r="AQ95" s="95" t="e">
        <f>IF(D95=VLOOKUP($A95,Feature_List!$A$2:$AO$101,MATCH(AQ$1,Feature_List!$A$1:$AO$1,0),FALSE),"OK","BAD")</f>
        <v>#N/A</v>
      </c>
      <c r="AR95" s="95" t="e">
        <f>IF(E95=VLOOKUP($A95,Feature_List!$A$2:$AO$101,MATCH(AR$1,Feature_List!$A$1:$AO$1,0),FALSE),"OK","BAD")</f>
        <v>#N/A</v>
      </c>
      <c r="AS95" s="95" t="e">
        <f>IF(F95=VLOOKUP($A95,Feature_List!$A$2:$AO$101,MATCH(AS$1,Feature_List!$A$1:$AO$1,0),FALSE),"OK","BAD")</f>
        <v>#N/A</v>
      </c>
      <c r="AT95" s="95" t="s">
        <v>985</v>
      </c>
      <c r="AU95" s="95" t="s">
        <v>985</v>
      </c>
      <c r="AV95" s="95" t="e">
        <f>IF(I95=VLOOKUP($A95,Feature_List!$A$2:$AO$101,MATCH(AV$1,Feature_List!$A$1:$AO$1,0),FALSE),"OK","BAD")</f>
        <v>#N/A</v>
      </c>
      <c r="AW95" s="95" t="e">
        <f>IF(J95=VLOOKUP($A95,Feature_List!$A$2:$AO$101,MATCH(AW$1,Feature_List!$A$1:$AO$1,0),FALSE),"OK","BAD")</f>
        <v>#N/A</v>
      </c>
      <c r="AX95" s="95" t="e">
        <f>IF(K95=VLOOKUP($A95,Feature_List!$A$2:$AO$101,MATCH(AX$1,Feature_List!$A$1:$AO$1,0),FALSE),"OK","BAD")</f>
        <v>#N/A</v>
      </c>
      <c r="AY95" s="95" t="e">
        <f>IF(L95=VLOOKUP($A95,Feature_List!$A$2:$AO$101,MATCH(AY$1,Feature_List!$A$1:$AO$1,0),FALSE),"OK","BAD")</f>
        <v>#N/A</v>
      </c>
      <c r="AZ95" s="95" t="e">
        <f>IF(M95=VLOOKUP($A95,Feature_List!$A$2:$AO$101,MATCH(AZ$1,Feature_List!$A$1:$AO$1,0),FALSE),"OK","BAD")</f>
        <v>#N/A</v>
      </c>
      <c r="BA95" s="95" t="e">
        <f>IF(N95=VLOOKUP($A95,Feature_List!$A$2:$AO$101,MATCH(BA$1,Feature_List!$A$1:$AO$1,0),FALSE),"OK","BAD")</f>
        <v>#N/A</v>
      </c>
      <c r="BB95" s="95" t="e">
        <f>IF(O95=VLOOKUP($A95,Feature_List!$A$2:$AO$101,MATCH(BB$1,Feature_List!$A$1:$AO$1,0),FALSE),"OK","BAD")</f>
        <v>#N/A</v>
      </c>
      <c r="BC95" s="95" t="e">
        <f>IF(P95=VLOOKUP($A95,Feature_List!$A$2:$AO$101,MATCH(BC$1,Feature_List!$A$1:$AO$1,0),FALSE),"OK","BAD")</f>
        <v>#N/A</v>
      </c>
      <c r="BD95" s="95" t="e">
        <f>IF(Q95=VLOOKUP($A95,Feature_List!$A$2:$AO$101,MATCH(BD$1,Feature_List!$A$1:$AO$1,0),FALSE),"OK","BAD")</f>
        <v>#N/A</v>
      </c>
      <c r="BE95" s="95" t="e">
        <f>IF(R95=VLOOKUP($A95,Feature_List!$A$2:$AO$101,MATCH(BE$1,Feature_List!$A$1:$AO$1,0),FALSE),"OK","BAD")</f>
        <v>#N/A</v>
      </c>
      <c r="BF95" s="95" t="e">
        <f>IF(S95=VLOOKUP($A95,Feature_List!$A$2:$AO$101,MATCH(BF$1,Feature_List!$A$1:$AO$1,0),FALSE),"OK","BAD")</f>
        <v>#N/A</v>
      </c>
      <c r="BG95" s="95" t="e">
        <f>IF(T95=VLOOKUP($A95,Feature_List!$A$2:$AO$101,MATCH(BG$1,Feature_List!$A$1:$AO$1,0),FALSE),"OK","BAD")</f>
        <v>#N/A</v>
      </c>
      <c r="BH95" s="95" t="e">
        <f>IF(U95=VLOOKUP($A95,Feature_List!$A$2:$AO$101,MATCH(BH$1,Feature_List!$A$1:$AO$1,0),FALSE),"OK","BAD")</f>
        <v>#N/A</v>
      </c>
      <c r="BI95" s="95" t="e">
        <f>IF(V95=VLOOKUP($A95,Feature_List!$A$2:$AO$101,MATCH(BI$1,Feature_List!$A$1:$AO$1,0),FALSE),"OK","BAD")</f>
        <v>#N/A</v>
      </c>
      <c r="BJ95" s="95" t="e">
        <f>IF(W95=VLOOKUP($A95,Feature_List!$A$2:$AO$101,MATCH(BJ$1,Feature_List!$A$1:$AO$1,0),FALSE),"OK","BAD")</f>
        <v>#N/A</v>
      </c>
      <c r="BK95" s="95" t="e">
        <f>IF(X95=VLOOKUP($A95,Feature_List!$A$2:$AO$101,MATCH(BK$1,Feature_List!$A$1:$AO$1,0),FALSE),"OK","BAD")</f>
        <v>#N/A</v>
      </c>
      <c r="BL95" s="95" t="e">
        <f>IF(Y95=VLOOKUP($A95,Feature_List!$A$2:$AO$101,MATCH(BL$1,Feature_List!$A$1:$AO$1,0),FALSE),"OK","BAD")</f>
        <v>#N/A</v>
      </c>
      <c r="BM95" s="95" t="e">
        <f>IF(Z95=VLOOKUP($A95,Feature_List!$A$2:$AO$101,MATCH(BM$1,Feature_List!$A$1:$AO$1,0),FALSE),"OK","BAD")</f>
        <v>#N/A</v>
      </c>
      <c r="BN95" s="95" t="e">
        <f>IF(AA95=VLOOKUP($A95,Feature_List!$A$2:$AO$101,MATCH(BN$1,Feature_List!$A$1:$AO$1,0),FALSE),"OK","BAD")</f>
        <v>#N/A</v>
      </c>
      <c r="BO95" s="95" t="e">
        <f>IF(AB95=VLOOKUP($A95,Feature_List!$A$2:$AO$101,MATCH(BO$1,Feature_List!$A$1:$AO$1,0),FALSE),"OK","BAD")</f>
        <v>#N/A</v>
      </c>
      <c r="BP95" s="95" t="e">
        <f>IF(AC95=VLOOKUP($A95,Feature_List!$A$2:$AO$101,MATCH(BP$1,Feature_List!$A$1:$AO$1,0),FALSE),"OK","BAD")</f>
        <v>#N/A</v>
      </c>
      <c r="BQ95" s="95" t="e">
        <f>IF(AD95=VLOOKUP($A95,Feature_List!$A$2:$AO$101,MATCH(BQ$1,Feature_List!$A$1:$AO$1,0),FALSE),"OK","BAD")</f>
        <v>#N/A</v>
      </c>
      <c r="BR95" s="95" t="e">
        <f>IF(AE95=VLOOKUP($A95,Feature_List!$A$2:$AO$101,MATCH(BR$1,Feature_List!$A$1:$AO$1,0),FALSE),"OK","BAD")</f>
        <v>#N/A</v>
      </c>
      <c r="BS95" s="95" t="e">
        <f>IF(AF95=VLOOKUP($A95,Feature_List!$A$2:$AO$101,MATCH(BS$1,Feature_List!$A$1:$AO$1,0),FALSE),"OK","BAD")</f>
        <v>#N/A</v>
      </c>
      <c r="BT95" s="95" t="e">
        <f>IF(AG95=VLOOKUP($A95,Feature_List!$A$2:$AO$101,MATCH(BT$1,Feature_List!$A$1:$AO$1,0),FALSE),"OK","BAD")</f>
        <v>#N/A</v>
      </c>
      <c r="BU95" s="95" t="e">
        <f>IF(AH95=VLOOKUP($A95,Feature_List!$A$2:$AO$101,MATCH(BU$1,Feature_List!$A$1:$AO$1,0),FALSE),"OK","BAD")</f>
        <v>#N/A</v>
      </c>
      <c r="BV95" s="95" t="e">
        <f>IF(AI95=VLOOKUP($A95,Feature_List!$A$2:$AO$101,MATCH(BV$1,Feature_List!$A$1:$AO$1,0),FALSE),"OK","BAD")</f>
        <v>#N/A</v>
      </c>
      <c r="BW95" s="95" t="e">
        <f>IF(AJ95=VLOOKUP($A95,Feature_List!$A$2:$AO$101,MATCH(BW$1,Feature_List!$A$1:$AO$1,0),FALSE),"OK","BAD")</f>
        <v>#N/A</v>
      </c>
      <c r="BX95" s="95" t="e">
        <f>IF(AK95=VLOOKUP($A95,Feature_List!$A$2:$AO$101,MATCH(BX$1,Feature_List!$A$1:$AO$1,0),FALSE),"OK","BAD")</f>
        <v>#N/A</v>
      </c>
      <c r="BY95" s="95" t="e">
        <f>IF(AL95=VLOOKUP($A95,Feature_List!$A$2:$AO$101,MATCH(BY$1,Feature_List!$A$1:$AO$1,0),FALSE),"OK","BAD")</f>
        <v>#N/A</v>
      </c>
      <c r="BZ95" s="95" t="e">
        <f>IF(AM95=VLOOKUP($A95,Feature_List!$A$2:$AO$101,MATCH(BZ$1,Feature_List!$A$1:$AO$1,0),FALSE),"OK","BAD")</f>
        <v>#N/A</v>
      </c>
      <c r="CA95" s="95" t="e">
        <f>IF(AN95=VLOOKUP($A95,Feature_List!$A$2:$AO$101,MATCH(CA$1,Feature_List!$A$1:$AO$1,0),FALSE),"OK","BAD")</f>
        <v>#N/A</v>
      </c>
    </row>
    <row r="96" spans="1:79" ht="14.4" customHeight="1" x14ac:dyDescent="0.3">
      <c r="A96" s="70"/>
      <c r="B96" s="65"/>
      <c r="C96" s="98"/>
      <c r="D96" s="65"/>
      <c r="E96" s="64"/>
      <c r="F96" s="64"/>
      <c r="G96" s="64"/>
      <c r="H96" s="64"/>
      <c r="I96" s="99"/>
      <c r="J96" s="64"/>
      <c r="K96" s="64"/>
      <c r="L96" s="62"/>
      <c r="M96" s="67"/>
      <c r="N96" s="67"/>
      <c r="O96" s="67"/>
      <c r="P96" s="66"/>
      <c r="Q96" s="63"/>
      <c r="R96" s="63"/>
      <c r="S96" s="63"/>
      <c r="T96" s="63"/>
      <c r="U96" s="63"/>
      <c r="V96" s="63"/>
      <c r="W96" s="63"/>
      <c r="X96" s="63"/>
      <c r="Y96" s="63"/>
      <c r="Z96" s="63"/>
      <c r="AA96" s="63"/>
      <c r="AB96" s="63"/>
      <c r="AC96" s="63"/>
      <c r="AD96" s="63"/>
      <c r="AE96" s="63"/>
      <c r="AF96" s="63"/>
      <c r="AG96" s="63"/>
      <c r="AH96" s="63"/>
      <c r="AI96" s="63"/>
      <c r="AJ96" s="63"/>
      <c r="AK96" s="63"/>
      <c r="AL96" s="63"/>
      <c r="AM96" s="63"/>
      <c r="AN96" s="220"/>
      <c r="AO96" s="224"/>
      <c r="AP96" s="95" t="e">
        <f>IF(C96=VLOOKUP($A96,Feature_List!$A$2:$AO$101,MATCH(AP$1,Feature_List!$A$1:$AO$1,0),FALSE),"OK","BAD")</f>
        <v>#N/A</v>
      </c>
      <c r="AQ96" s="95" t="e">
        <f>IF(D96=VLOOKUP($A96,Feature_List!$A$2:$AO$101,MATCH(AQ$1,Feature_List!$A$1:$AO$1,0),FALSE),"OK","BAD")</f>
        <v>#N/A</v>
      </c>
      <c r="AR96" s="95" t="e">
        <f>IF(E96=VLOOKUP($A96,Feature_List!$A$2:$AO$101,MATCH(AR$1,Feature_List!$A$1:$AO$1,0),FALSE),"OK","BAD")</f>
        <v>#N/A</v>
      </c>
      <c r="AS96" s="95" t="e">
        <f>IF(F96=VLOOKUP($A96,Feature_List!$A$2:$AO$101,MATCH(AS$1,Feature_List!$A$1:$AO$1,0),FALSE),"OK","BAD")</f>
        <v>#N/A</v>
      </c>
      <c r="AT96" s="95" t="s">
        <v>985</v>
      </c>
      <c r="AU96" s="95" t="s">
        <v>985</v>
      </c>
      <c r="AV96" s="95" t="e">
        <f>IF(I96=VLOOKUP($A96,Feature_List!$A$2:$AO$101,MATCH(AV$1,Feature_List!$A$1:$AO$1,0),FALSE),"OK","BAD")</f>
        <v>#N/A</v>
      </c>
      <c r="AW96" s="95" t="e">
        <f>IF(J96=VLOOKUP($A96,Feature_List!$A$2:$AO$101,MATCH(AW$1,Feature_List!$A$1:$AO$1,0),FALSE),"OK","BAD")</f>
        <v>#N/A</v>
      </c>
      <c r="AX96" s="95" t="e">
        <f>IF(K96=VLOOKUP($A96,Feature_List!$A$2:$AO$101,MATCH(AX$1,Feature_List!$A$1:$AO$1,0),FALSE),"OK","BAD")</f>
        <v>#N/A</v>
      </c>
      <c r="AY96" s="95" t="e">
        <f>IF(L96=VLOOKUP($A96,Feature_List!$A$2:$AO$101,MATCH(AY$1,Feature_List!$A$1:$AO$1,0),FALSE),"OK","BAD")</f>
        <v>#N/A</v>
      </c>
      <c r="AZ96" s="95" t="e">
        <f>IF(M96=VLOOKUP($A96,Feature_List!$A$2:$AO$101,MATCH(AZ$1,Feature_List!$A$1:$AO$1,0),FALSE),"OK","BAD")</f>
        <v>#N/A</v>
      </c>
      <c r="BA96" s="95" t="e">
        <f>IF(N96=VLOOKUP($A96,Feature_List!$A$2:$AO$101,MATCH(BA$1,Feature_List!$A$1:$AO$1,0),FALSE),"OK","BAD")</f>
        <v>#N/A</v>
      </c>
      <c r="BB96" s="95" t="e">
        <f>IF(O96=VLOOKUP($A96,Feature_List!$A$2:$AO$101,MATCH(BB$1,Feature_List!$A$1:$AO$1,0),FALSE),"OK","BAD")</f>
        <v>#N/A</v>
      </c>
      <c r="BC96" s="95" t="e">
        <f>IF(P96=VLOOKUP($A96,Feature_List!$A$2:$AO$101,MATCH(BC$1,Feature_List!$A$1:$AO$1,0),FALSE),"OK","BAD")</f>
        <v>#N/A</v>
      </c>
      <c r="BD96" s="95" t="e">
        <f>IF(Q96=VLOOKUP($A96,Feature_List!$A$2:$AO$101,MATCH(BD$1,Feature_List!$A$1:$AO$1,0),FALSE),"OK","BAD")</f>
        <v>#N/A</v>
      </c>
      <c r="BE96" s="95" t="e">
        <f>IF(R96=VLOOKUP($A96,Feature_List!$A$2:$AO$101,MATCH(BE$1,Feature_List!$A$1:$AO$1,0),FALSE),"OK","BAD")</f>
        <v>#N/A</v>
      </c>
      <c r="BF96" s="95" t="e">
        <f>IF(S96=VLOOKUP($A96,Feature_List!$A$2:$AO$101,MATCH(BF$1,Feature_List!$A$1:$AO$1,0),FALSE),"OK","BAD")</f>
        <v>#N/A</v>
      </c>
      <c r="BG96" s="95" t="e">
        <f>IF(T96=VLOOKUP($A96,Feature_List!$A$2:$AO$101,MATCH(BG$1,Feature_List!$A$1:$AO$1,0),FALSE),"OK","BAD")</f>
        <v>#N/A</v>
      </c>
      <c r="BH96" s="95" t="e">
        <f>IF(U96=VLOOKUP($A96,Feature_List!$A$2:$AO$101,MATCH(BH$1,Feature_List!$A$1:$AO$1,0),FALSE),"OK","BAD")</f>
        <v>#N/A</v>
      </c>
      <c r="BI96" s="95" t="e">
        <f>IF(V96=VLOOKUP($A96,Feature_List!$A$2:$AO$101,MATCH(BI$1,Feature_List!$A$1:$AO$1,0),FALSE),"OK","BAD")</f>
        <v>#N/A</v>
      </c>
      <c r="BJ96" s="95" t="e">
        <f>IF(W96=VLOOKUP($A96,Feature_List!$A$2:$AO$101,MATCH(BJ$1,Feature_List!$A$1:$AO$1,0),FALSE),"OK","BAD")</f>
        <v>#N/A</v>
      </c>
      <c r="BK96" s="95" t="e">
        <f>IF(X96=VLOOKUP($A96,Feature_List!$A$2:$AO$101,MATCH(BK$1,Feature_List!$A$1:$AO$1,0),FALSE),"OK","BAD")</f>
        <v>#N/A</v>
      </c>
      <c r="BL96" s="95" t="e">
        <f>IF(Y96=VLOOKUP($A96,Feature_List!$A$2:$AO$101,MATCH(BL$1,Feature_List!$A$1:$AO$1,0),FALSE),"OK","BAD")</f>
        <v>#N/A</v>
      </c>
      <c r="BM96" s="95" t="e">
        <f>IF(Z96=VLOOKUP($A96,Feature_List!$A$2:$AO$101,MATCH(BM$1,Feature_List!$A$1:$AO$1,0),FALSE),"OK","BAD")</f>
        <v>#N/A</v>
      </c>
      <c r="BN96" s="95" t="e">
        <f>IF(AA96=VLOOKUP($A96,Feature_List!$A$2:$AO$101,MATCH(BN$1,Feature_List!$A$1:$AO$1,0),FALSE),"OK","BAD")</f>
        <v>#N/A</v>
      </c>
      <c r="BO96" s="95" t="e">
        <f>IF(AB96=VLOOKUP($A96,Feature_List!$A$2:$AO$101,MATCH(BO$1,Feature_List!$A$1:$AO$1,0),FALSE),"OK","BAD")</f>
        <v>#N/A</v>
      </c>
      <c r="BP96" s="95" t="e">
        <f>IF(AC96=VLOOKUP($A96,Feature_List!$A$2:$AO$101,MATCH(BP$1,Feature_List!$A$1:$AO$1,0),FALSE),"OK","BAD")</f>
        <v>#N/A</v>
      </c>
      <c r="BQ96" s="95" t="e">
        <f>IF(AD96=VLOOKUP($A96,Feature_List!$A$2:$AO$101,MATCH(BQ$1,Feature_List!$A$1:$AO$1,0),FALSE),"OK","BAD")</f>
        <v>#N/A</v>
      </c>
      <c r="BR96" s="95" t="e">
        <f>IF(AE96=VLOOKUP($A96,Feature_List!$A$2:$AO$101,MATCH(BR$1,Feature_List!$A$1:$AO$1,0),FALSE),"OK","BAD")</f>
        <v>#N/A</v>
      </c>
      <c r="BS96" s="95" t="e">
        <f>IF(AF96=VLOOKUP($A96,Feature_List!$A$2:$AO$101,MATCH(BS$1,Feature_List!$A$1:$AO$1,0),FALSE),"OK","BAD")</f>
        <v>#N/A</v>
      </c>
      <c r="BT96" s="95" t="e">
        <f>IF(AG96=VLOOKUP($A96,Feature_List!$A$2:$AO$101,MATCH(BT$1,Feature_List!$A$1:$AO$1,0),FALSE),"OK","BAD")</f>
        <v>#N/A</v>
      </c>
      <c r="BU96" s="95" t="e">
        <f>IF(AH96=VLOOKUP($A96,Feature_List!$A$2:$AO$101,MATCH(BU$1,Feature_List!$A$1:$AO$1,0),FALSE),"OK","BAD")</f>
        <v>#N/A</v>
      </c>
      <c r="BV96" s="95" t="e">
        <f>IF(AI96=VLOOKUP($A96,Feature_List!$A$2:$AO$101,MATCH(BV$1,Feature_List!$A$1:$AO$1,0),FALSE),"OK","BAD")</f>
        <v>#N/A</v>
      </c>
      <c r="BW96" s="95" t="e">
        <f>IF(AJ96=VLOOKUP($A96,Feature_List!$A$2:$AO$101,MATCH(BW$1,Feature_List!$A$1:$AO$1,0),FALSE),"OK","BAD")</f>
        <v>#N/A</v>
      </c>
      <c r="BX96" s="95" t="e">
        <f>IF(AK96=VLOOKUP($A96,Feature_List!$A$2:$AO$101,MATCH(BX$1,Feature_List!$A$1:$AO$1,0),FALSE),"OK","BAD")</f>
        <v>#N/A</v>
      </c>
      <c r="BY96" s="95" t="e">
        <f>IF(AL96=VLOOKUP($A96,Feature_List!$A$2:$AO$101,MATCH(BY$1,Feature_List!$A$1:$AO$1,0),FALSE),"OK","BAD")</f>
        <v>#N/A</v>
      </c>
      <c r="BZ96" s="95" t="e">
        <f>IF(AM96=VLOOKUP($A96,Feature_List!$A$2:$AO$101,MATCH(BZ$1,Feature_List!$A$1:$AO$1,0),FALSE),"OK","BAD")</f>
        <v>#N/A</v>
      </c>
      <c r="CA96" s="95" t="e">
        <f>IF(AN96=VLOOKUP($A96,Feature_List!$A$2:$AO$101,MATCH(CA$1,Feature_List!$A$1:$AO$1,0),FALSE),"OK","BAD")</f>
        <v>#N/A</v>
      </c>
    </row>
    <row r="97" spans="1:79" ht="14.4" customHeight="1" x14ac:dyDescent="0.3">
      <c r="A97" s="70"/>
      <c r="B97" s="65"/>
      <c r="C97" s="98"/>
      <c r="D97" s="65"/>
      <c r="E97" s="64"/>
      <c r="F97" s="64"/>
      <c r="G97" s="64"/>
      <c r="H97" s="64"/>
      <c r="I97" s="99"/>
      <c r="J97" s="64"/>
      <c r="K97" s="64"/>
      <c r="L97" s="62"/>
      <c r="M97" s="67"/>
      <c r="N97" s="67"/>
      <c r="O97" s="67"/>
      <c r="P97" s="66"/>
      <c r="Q97" s="63"/>
      <c r="R97" s="63"/>
      <c r="S97" s="63"/>
      <c r="T97" s="63"/>
      <c r="U97" s="63"/>
      <c r="V97" s="63"/>
      <c r="W97" s="63"/>
      <c r="X97" s="63"/>
      <c r="Y97" s="63"/>
      <c r="Z97" s="63"/>
      <c r="AA97" s="63"/>
      <c r="AB97" s="63"/>
      <c r="AC97" s="63"/>
      <c r="AD97" s="63"/>
      <c r="AE97" s="63"/>
      <c r="AF97" s="63"/>
      <c r="AG97" s="63"/>
      <c r="AH97" s="63"/>
      <c r="AI97" s="63"/>
      <c r="AJ97" s="63"/>
      <c r="AK97" s="63"/>
      <c r="AL97" s="63"/>
      <c r="AM97" s="63"/>
      <c r="AN97" s="220"/>
      <c r="AO97" s="224"/>
      <c r="AP97" s="95" t="e">
        <f>IF(C97=VLOOKUP($A97,Feature_List!$A$2:$AO$101,MATCH(AP$1,Feature_List!$A$1:$AO$1,0),FALSE),"OK","BAD")</f>
        <v>#N/A</v>
      </c>
      <c r="AQ97" s="95" t="e">
        <f>IF(D97=VLOOKUP($A97,Feature_List!$A$2:$AO$101,MATCH(AQ$1,Feature_List!$A$1:$AO$1,0),FALSE),"OK","BAD")</f>
        <v>#N/A</v>
      </c>
      <c r="AR97" s="95" t="e">
        <f>IF(E97=VLOOKUP($A97,Feature_List!$A$2:$AO$101,MATCH(AR$1,Feature_List!$A$1:$AO$1,0),FALSE),"OK","BAD")</f>
        <v>#N/A</v>
      </c>
      <c r="AS97" s="95" t="e">
        <f>IF(F97=VLOOKUP($A97,Feature_List!$A$2:$AO$101,MATCH(AS$1,Feature_List!$A$1:$AO$1,0),FALSE),"OK","BAD")</f>
        <v>#N/A</v>
      </c>
      <c r="AT97" s="95" t="s">
        <v>985</v>
      </c>
      <c r="AU97" s="95" t="s">
        <v>985</v>
      </c>
      <c r="AV97" s="95" t="e">
        <f>IF(I97=VLOOKUP($A97,Feature_List!$A$2:$AO$101,MATCH(AV$1,Feature_List!$A$1:$AO$1,0),FALSE),"OK","BAD")</f>
        <v>#N/A</v>
      </c>
      <c r="AW97" s="95" t="e">
        <f>IF(J97=VLOOKUP($A97,Feature_List!$A$2:$AO$101,MATCH(AW$1,Feature_List!$A$1:$AO$1,0),FALSE),"OK","BAD")</f>
        <v>#N/A</v>
      </c>
      <c r="AX97" s="95" t="e">
        <f>IF(K97=VLOOKUP($A97,Feature_List!$A$2:$AO$101,MATCH(AX$1,Feature_List!$A$1:$AO$1,0),FALSE),"OK","BAD")</f>
        <v>#N/A</v>
      </c>
      <c r="AY97" s="95" t="e">
        <f>IF(L97=VLOOKUP($A97,Feature_List!$A$2:$AO$101,MATCH(AY$1,Feature_List!$A$1:$AO$1,0),FALSE),"OK","BAD")</f>
        <v>#N/A</v>
      </c>
      <c r="AZ97" s="95" t="e">
        <f>IF(M97=VLOOKUP($A97,Feature_List!$A$2:$AO$101,MATCH(AZ$1,Feature_List!$A$1:$AO$1,0),FALSE),"OK","BAD")</f>
        <v>#N/A</v>
      </c>
      <c r="BA97" s="95" t="e">
        <f>IF(N97=VLOOKUP($A97,Feature_List!$A$2:$AO$101,MATCH(BA$1,Feature_List!$A$1:$AO$1,0),FALSE),"OK","BAD")</f>
        <v>#N/A</v>
      </c>
      <c r="BB97" s="95" t="e">
        <f>IF(O97=VLOOKUP($A97,Feature_List!$A$2:$AO$101,MATCH(BB$1,Feature_List!$A$1:$AO$1,0),FALSE),"OK","BAD")</f>
        <v>#N/A</v>
      </c>
      <c r="BC97" s="95" t="e">
        <f>IF(P97=VLOOKUP($A97,Feature_List!$A$2:$AO$101,MATCH(BC$1,Feature_List!$A$1:$AO$1,0),FALSE),"OK","BAD")</f>
        <v>#N/A</v>
      </c>
      <c r="BD97" s="95" t="e">
        <f>IF(Q97=VLOOKUP($A97,Feature_List!$A$2:$AO$101,MATCH(BD$1,Feature_List!$A$1:$AO$1,0),FALSE),"OK","BAD")</f>
        <v>#N/A</v>
      </c>
      <c r="BE97" s="95" t="e">
        <f>IF(R97=VLOOKUP($A97,Feature_List!$A$2:$AO$101,MATCH(BE$1,Feature_List!$A$1:$AO$1,0),FALSE),"OK","BAD")</f>
        <v>#N/A</v>
      </c>
      <c r="BF97" s="95" t="e">
        <f>IF(S97=VLOOKUP($A97,Feature_List!$A$2:$AO$101,MATCH(BF$1,Feature_List!$A$1:$AO$1,0),FALSE),"OK","BAD")</f>
        <v>#N/A</v>
      </c>
      <c r="BG97" s="95" t="e">
        <f>IF(T97=VLOOKUP($A97,Feature_List!$A$2:$AO$101,MATCH(BG$1,Feature_List!$A$1:$AO$1,0),FALSE),"OK","BAD")</f>
        <v>#N/A</v>
      </c>
      <c r="BH97" s="95" t="e">
        <f>IF(U97=VLOOKUP($A97,Feature_List!$A$2:$AO$101,MATCH(BH$1,Feature_List!$A$1:$AO$1,0),FALSE),"OK","BAD")</f>
        <v>#N/A</v>
      </c>
      <c r="BI97" s="95" t="e">
        <f>IF(V97=VLOOKUP($A97,Feature_List!$A$2:$AO$101,MATCH(BI$1,Feature_List!$A$1:$AO$1,0),FALSE),"OK","BAD")</f>
        <v>#N/A</v>
      </c>
      <c r="BJ97" s="95" t="e">
        <f>IF(W97=VLOOKUP($A97,Feature_List!$A$2:$AO$101,MATCH(BJ$1,Feature_List!$A$1:$AO$1,0),FALSE),"OK","BAD")</f>
        <v>#N/A</v>
      </c>
      <c r="BK97" s="95" t="e">
        <f>IF(X97=VLOOKUP($A97,Feature_List!$A$2:$AO$101,MATCH(BK$1,Feature_List!$A$1:$AO$1,0),FALSE),"OK","BAD")</f>
        <v>#N/A</v>
      </c>
      <c r="BL97" s="95" t="e">
        <f>IF(Y97=VLOOKUP($A97,Feature_List!$A$2:$AO$101,MATCH(BL$1,Feature_List!$A$1:$AO$1,0),FALSE),"OK","BAD")</f>
        <v>#N/A</v>
      </c>
      <c r="BM97" s="95" t="e">
        <f>IF(Z97=VLOOKUP($A97,Feature_List!$A$2:$AO$101,MATCH(BM$1,Feature_List!$A$1:$AO$1,0),FALSE),"OK","BAD")</f>
        <v>#N/A</v>
      </c>
      <c r="BN97" s="95" t="e">
        <f>IF(AA97=VLOOKUP($A97,Feature_List!$A$2:$AO$101,MATCH(BN$1,Feature_List!$A$1:$AO$1,0),FALSE),"OK","BAD")</f>
        <v>#N/A</v>
      </c>
      <c r="BO97" s="95" t="e">
        <f>IF(AB97=VLOOKUP($A97,Feature_List!$A$2:$AO$101,MATCH(BO$1,Feature_List!$A$1:$AO$1,0),FALSE),"OK","BAD")</f>
        <v>#N/A</v>
      </c>
      <c r="BP97" s="95" t="e">
        <f>IF(AC97=VLOOKUP($A97,Feature_List!$A$2:$AO$101,MATCH(BP$1,Feature_List!$A$1:$AO$1,0),FALSE),"OK","BAD")</f>
        <v>#N/A</v>
      </c>
      <c r="BQ97" s="95" t="e">
        <f>IF(AD97=VLOOKUP($A97,Feature_List!$A$2:$AO$101,MATCH(BQ$1,Feature_List!$A$1:$AO$1,0),FALSE),"OK","BAD")</f>
        <v>#N/A</v>
      </c>
      <c r="BR97" s="95" t="e">
        <f>IF(AE97=VLOOKUP($A97,Feature_List!$A$2:$AO$101,MATCH(BR$1,Feature_List!$A$1:$AO$1,0),FALSE),"OK","BAD")</f>
        <v>#N/A</v>
      </c>
      <c r="BS97" s="95" t="e">
        <f>IF(AF97=VLOOKUP($A97,Feature_List!$A$2:$AO$101,MATCH(BS$1,Feature_List!$A$1:$AO$1,0),FALSE),"OK","BAD")</f>
        <v>#N/A</v>
      </c>
      <c r="BT97" s="95" t="e">
        <f>IF(AG97=VLOOKUP($A97,Feature_List!$A$2:$AO$101,MATCH(BT$1,Feature_List!$A$1:$AO$1,0),FALSE),"OK","BAD")</f>
        <v>#N/A</v>
      </c>
      <c r="BU97" s="95" t="e">
        <f>IF(AH97=VLOOKUP($A97,Feature_List!$A$2:$AO$101,MATCH(BU$1,Feature_List!$A$1:$AO$1,0),FALSE),"OK","BAD")</f>
        <v>#N/A</v>
      </c>
      <c r="BV97" s="95" t="e">
        <f>IF(AI97=VLOOKUP($A97,Feature_List!$A$2:$AO$101,MATCH(BV$1,Feature_List!$A$1:$AO$1,0),FALSE),"OK","BAD")</f>
        <v>#N/A</v>
      </c>
      <c r="BW97" s="95" t="e">
        <f>IF(AJ97=VLOOKUP($A97,Feature_List!$A$2:$AO$101,MATCH(BW$1,Feature_List!$A$1:$AO$1,0),FALSE),"OK","BAD")</f>
        <v>#N/A</v>
      </c>
      <c r="BX97" s="95" t="e">
        <f>IF(AK97=VLOOKUP($A97,Feature_List!$A$2:$AO$101,MATCH(BX$1,Feature_List!$A$1:$AO$1,0),FALSE),"OK","BAD")</f>
        <v>#N/A</v>
      </c>
      <c r="BY97" s="95" t="e">
        <f>IF(AL97=VLOOKUP($A97,Feature_List!$A$2:$AO$101,MATCH(BY$1,Feature_List!$A$1:$AO$1,0),FALSE),"OK","BAD")</f>
        <v>#N/A</v>
      </c>
      <c r="BZ97" s="95" t="e">
        <f>IF(AM97=VLOOKUP($A97,Feature_List!$A$2:$AO$101,MATCH(BZ$1,Feature_List!$A$1:$AO$1,0),FALSE),"OK","BAD")</f>
        <v>#N/A</v>
      </c>
      <c r="CA97" s="95" t="e">
        <f>IF(AN97=VLOOKUP($A97,Feature_List!$A$2:$AO$101,MATCH(CA$1,Feature_List!$A$1:$AO$1,0),FALSE),"OK","BAD")</f>
        <v>#N/A</v>
      </c>
    </row>
    <row r="98" spans="1:79" ht="14.4" customHeight="1" x14ac:dyDescent="0.3">
      <c r="A98" s="70"/>
      <c r="B98" s="65"/>
      <c r="C98" s="98"/>
      <c r="D98" s="65"/>
      <c r="E98" s="64"/>
      <c r="F98" s="64"/>
      <c r="G98" s="64"/>
      <c r="H98" s="64"/>
      <c r="I98" s="99"/>
      <c r="J98" s="64"/>
      <c r="K98" s="64"/>
      <c r="L98" s="62"/>
      <c r="M98" s="67"/>
      <c r="N98" s="67"/>
      <c r="O98" s="67"/>
      <c r="P98" s="66"/>
      <c r="Q98" s="63"/>
      <c r="R98" s="63"/>
      <c r="S98" s="63"/>
      <c r="T98" s="63"/>
      <c r="U98" s="63"/>
      <c r="V98" s="63"/>
      <c r="W98" s="63"/>
      <c r="X98" s="63"/>
      <c r="Y98" s="63"/>
      <c r="Z98" s="63"/>
      <c r="AA98" s="63"/>
      <c r="AB98" s="63"/>
      <c r="AC98" s="63"/>
      <c r="AD98" s="63"/>
      <c r="AE98" s="63"/>
      <c r="AF98" s="63"/>
      <c r="AG98" s="63"/>
      <c r="AH98" s="63"/>
      <c r="AI98" s="63"/>
      <c r="AJ98" s="63"/>
      <c r="AK98" s="63"/>
      <c r="AL98" s="63"/>
      <c r="AM98" s="63"/>
      <c r="AN98" s="220"/>
      <c r="AO98" s="224"/>
      <c r="AP98" s="95" t="e">
        <f>IF(C98=VLOOKUP($A98,Feature_List!$A$2:$AO$101,MATCH(AP$1,Feature_List!$A$1:$AO$1,0),FALSE),"OK","BAD")</f>
        <v>#N/A</v>
      </c>
      <c r="AQ98" s="95" t="e">
        <f>IF(D98=VLOOKUP($A98,Feature_List!$A$2:$AO$101,MATCH(AQ$1,Feature_List!$A$1:$AO$1,0),FALSE),"OK","BAD")</f>
        <v>#N/A</v>
      </c>
      <c r="AR98" s="95" t="e">
        <f>IF(E98=VLOOKUP($A98,Feature_List!$A$2:$AO$101,MATCH(AR$1,Feature_List!$A$1:$AO$1,0),FALSE),"OK","BAD")</f>
        <v>#N/A</v>
      </c>
      <c r="AS98" s="95" t="e">
        <f>IF(F98=VLOOKUP($A98,Feature_List!$A$2:$AO$101,MATCH(AS$1,Feature_List!$A$1:$AO$1,0),FALSE),"OK","BAD")</f>
        <v>#N/A</v>
      </c>
      <c r="AT98" s="95" t="s">
        <v>985</v>
      </c>
      <c r="AU98" s="95" t="s">
        <v>985</v>
      </c>
      <c r="AV98" s="95" t="e">
        <f>IF(I98=VLOOKUP($A98,Feature_List!$A$2:$AO$101,MATCH(AV$1,Feature_List!$A$1:$AO$1,0),FALSE),"OK","BAD")</f>
        <v>#N/A</v>
      </c>
      <c r="AW98" s="95" t="e">
        <f>IF(J98=VLOOKUP($A98,Feature_List!$A$2:$AO$101,MATCH(AW$1,Feature_List!$A$1:$AO$1,0),FALSE),"OK","BAD")</f>
        <v>#N/A</v>
      </c>
      <c r="AX98" s="95" t="e">
        <f>IF(K98=VLOOKUP($A98,Feature_List!$A$2:$AO$101,MATCH(AX$1,Feature_List!$A$1:$AO$1,0),FALSE),"OK","BAD")</f>
        <v>#N/A</v>
      </c>
      <c r="AY98" s="95" t="e">
        <f>IF(L98=VLOOKUP($A98,Feature_List!$A$2:$AO$101,MATCH(AY$1,Feature_List!$A$1:$AO$1,0),FALSE),"OK","BAD")</f>
        <v>#N/A</v>
      </c>
      <c r="AZ98" s="95" t="e">
        <f>IF(M98=VLOOKUP($A98,Feature_List!$A$2:$AO$101,MATCH(AZ$1,Feature_List!$A$1:$AO$1,0),FALSE),"OK","BAD")</f>
        <v>#N/A</v>
      </c>
      <c r="BA98" s="95" t="e">
        <f>IF(N98=VLOOKUP($A98,Feature_List!$A$2:$AO$101,MATCH(BA$1,Feature_List!$A$1:$AO$1,0),FALSE),"OK","BAD")</f>
        <v>#N/A</v>
      </c>
      <c r="BB98" s="95" t="e">
        <f>IF(O98=VLOOKUP($A98,Feature_List!$A$2:$AO$101,MATCH(BB$1,Feature_List!$A$1:$AO$1,0),FALSE),"OK","BAD")</f>
        <v>#N/A</v>
      </c>
      <c r="BC98" s="95" t="e">
        <f>IF(P98=VLOOKUP($A98,Feature_List!$A$2:$AO$101,MATCH(BC$1,Feature_List!$A$1:$AO$1,0),FALSE),"OK","BAD")</f>
        <v>#N/A</v>
      </c>
      <c r="BD98" s="95" t="e">
        <f>IF(Q98=VLOOKUP($A98,Feature_List!$A$2:$AO$101,MATCH(BD$1,Feature_List!$A$1:$AO$1,0),FALSE),"OK","BAD")</f>
        <v>#N/A</v>
      </c>
      <c r="BE98" s="95" t="e">
        <f>IF(R98=VLOOKUP($A98,Feature_List!$A$2:$AO$101,MATCH(BE$1,Feature_List!$A$1:$AO$1,0),FALSE),"OK","BAD")</f>
        <v>#N/A</v>
      </c>
      <c r="BF98" s="95" t="e">
        <f>IF(S98=VLOOKUP($A98,Feature_List!$A$2:$AO$101,MATCH(BF$1,Feature_List!$A$1:$AO$1,0),FALSE),"OK","BAD")</f>
        <v>#N/A</v>
      </c>
      <c r="BG98" s="95" t="e">
        <f>IF(T98=VLOOKUP($A98,Feature_List!$A$2:$AO$101,MATCH(BG$1,Feature_List!$A$1:$AO$1,0),FALSE),"OK","BAD")</f>
        <v>#N/A</v>
      </c>
      <c r="BH98" s="95" t="e">
        <f>IF(U98=VLOOKUP($A98,Feature_List!$A$2:$AO$101,MATCH(BH$1,Feature_List!$A$1:$AO$1,0),FALSE),"OK","BAD")</f>
        <v>#N/A</v>
      </c>
      <c r="BI98" s="95" t="e">
        <f>IF(V98=VLOOKUP($A98,Feature_List!$A$2:$AO$101,MATCH(BI$1,Feature_List!$A$1:$AO$1,0),FALSE),"OK","BAD")</f>
        <v>#N/A</v>
      </c>
      <c r="BJ98" s="95" t="e">
        <f>IF(W98=VLOOKUP($A98,Feature_List!$A$2:$AO$101,MATCH(BJ$1,Feature_List!$A$1:$AO$1,0),FALSE),"OK","BAD")</f>
        <v>#N/A</v>
      </c>
      <c r="BK98" s="95" t="e">
        <f>IF(X98=VLOOKUP($A98,Feature_List!$A$2:$AO$101,MATCH(BK$1,Feature_List!$A$1:$AO$1,0),FALSE),"OK","BAD")</f>
        <v>#N/A</v>
      </c>
      <c r="BL98" s="95" t="e">
        <f>IF(Y98=VLOOKUP($A98,Feature_List!$A$2:$AO$101,MATCH(BL$1,Feature_List!$A$1:$AO$1,0),FALSE),"OK","BAD")</f>
        <v>#N/A</v>
      </c>
      <c r="BM98" s="95" t="e">
        <f>IF(Z98=VLOOKUP($A98,Feature_List!$A$2:$AO$101,MATCH(BM$1,Feature_List!$A$1:$AO$1,0),FALSE),"OK","BAD")</f>
        <v>#N/A</v>
      </c>
      <c r="BN98" s="95" t="e">
        <f>IF(AA98=VLOOKUP($A98,Feature_List!$A$2:$AO$101,MATCH(BN$1,Feature_List!$A$1:$AO$1,0),FALSE),"OK","BAD")</f>
        <v>#N/A</v>
      </c>
      <c r="BO98" s="95" t="e">
        <f>IF(AB98=VLOOKUP($A98,Feature_List!$A$2:$AO$101,MATCH(BO$1,Feature_List!$A$1:$AO$1,0),FALSE),"OK","BAD")</f>
        <v>#N/A</v>
      </c>
      <c r="BP98" s="95" t="e">
        <f>IF(AC98=VLOOKUP($A98,Feature_List!$A$2:$AO$101,MATCH(BP$1,Feature_List!$A$1:$AO$1,0),FALSE),"OK","BAD")</f>
        <v>#N/A</v>
      </c>
      <c r="BQ98" s="95" t="e">
        <f>IF(AD98=VLOOKUP($A98,Feature_List!$A$2:$AO$101,MATCH(BQ$1,Feature_List!$A$1:$AO$1,0),FALSE),"OK","BAD")</f>
        <v>#N/A</v>
      </c>
      <c r="BR98" s="95" t="e">
        <f>IF(AE98=VLOOKUP($A98,Feature_List!$A$2:$AO$101,MATCH(BR$1,Feature_List!$A$1:$AO$1,0),FALSE),"OK","BAD")</f>
        <v>#N/A</v>
      </c>
      <c r="BS98" s="95" t="e">
        <f>IF(AF98=VLOOKUP($A98,Feature_List!$A$2:$AO$101,MATCH(BS$1,Feature_List!$A$1:$AO$1,0),FALSE),"OK","BAD")</f>
        <v>#N/A</v>
      </c>
      <c r="BT98" s="95" t="e">
        <f>IF(AG98=VLOOKUP($A98,Feature_List!$A$2:$AO$101,MATCH(BT$1,Feature_List!$A$1:$AO$1,0),FALSE),"OK","BAD")</f>
        <v>#N/A</v>
      </c>
      <c r="BU98" s="95" t="e">
        <f>IF(AH98=VLOOKUP($A98,Feature_List!$A$2:$AO$101,MATCH(BU$1,Feature_List!$A$1:$AO$1,0),FALSE),"OK","BAD")</f>
        <v>#N/A</v>
      </c>
      <c r="BV98" s="95" t="e">
        <f>IF(AI98=VLOOKUP($A98,Feature_List!$A$2:$AO$101,MATCH(BV$1,Feature_List!$A$1:$AO$1,0),FALSE),"OK","BAD")</f>
        <v>#N/A</v>
      </c>
      <c r="BW98" s="95" t="e">
        <f>IF(AJ98=VLOOKUP($A98,Feature_List!$A$2:$AO$101,MATCH(BW$1,Feature_List!$A$1:$AO$1,0),FALSE),"OK","BAD")</f>
        <v>#N/A</v>
      </c>
      <c r="BX98" s="95" t="e">
        <f>IF(AK98=VLOOKUP($A98,Feature_List!$A$2:$AO$101,MATCH(BX$1,Feature_List!$A$1:$AO$1,0),FALSE),"OK","BAD")</f>
        <v>#N/A</v>
      </c>
      <c r="BY98" s="95" t="e">
        <f>IF(AL98=VLOOKUP($A98,Feature_List!$A$2:$AO$101,MATCH(BY$1,Feature_List!$A$1:$AO$1,0),FALSE),"OK","BAD")</f>
        <v>#N/A</v>
      </c>
      <c r="BZ98" s="95" t="e">
        <f>IF(AM98=VLOOKUP($A98,Feature_List!$A$2:$AO$101,MATCH(BZ$1,Feature_List!$A$1:$AO$1,0),FALSE),"OK","BAD")</f>
        <v>#N/A</v>
      </c>
      <c r="CA98" s="95" t="e">
        <f>IF(AN98=VLOOKUP($A98,Feature_List!$A$2:$AO$101,MATCH(CA$1,Feature_List!$A$1:$AO$1,0),FALSE),"OK","BAD")</f>
        <v>#N/A</v>
      </c>
    </row>
    <row r="99" spans="1:79" ht="14.4" customHeight="1" x14ac:dyDescent="0.3">
      <c r="A99" s="70"/>
      <c r="B99" s="65"/>
      <c r="C99" s="98"/>
      <c r="D99" s="65"/>
      <c r="E99" s="64"/>
      <c r="F99" s="64"/>
      <c r="G99" s="64"/>
      <c r="H99" s="64"/>
      <c r="I99" s="99"/>
      <c r="J99" s="64"/>
      <c r="K99" s="64"/>
      <c r="L99" s="62"/>
      <c r="M99" s="67"/>
      <c r="N99" s="67"/>
      <c r="O99" s="67"/>
      <c r="P99" s="66"/>
      <c r="Q99" s="63"/>
      <c r="R99" s="63"/>
      <c r="S99" s="63"/>
      <c r="T99" s="63"/>
      <c r="U99" s="63"/>
      <c r="V99" s="63"/>
      <c r="W99" s="63"/>
      <c r="X99" s="63"/>
      <c r="Y99" s="63"/>
      <c r="Z99" s="63"/>
      <c r="AA99" s="63"/>
      <c r="AB99" s="63"/>
      <c r="AC99" s="63"/>
      <c r="AD99" s="63"/>
      <c r="AE99" s="63"/>
      <c r="AF99" s="63"/>
      <c r="AG99" s="63"/>
      <c r="AH99" s="63"/>
      <c r="AI99" s="63"/>
      <c r="AJ99" s="63"/>
      <c r="AK99" s="63"/>
      <c r="AL99" s="63"/>
      <c r="AM99" s="63"/>
      <c r="AN99" s="220"/>
      <c r="AO99" s="224"/>
      <c r="AP99" s="95" t="e">
        <f>IF(C99=VLOOKUP($A99,Feature_List!$A$2:$AO$101,MATCH(AP$1,Feature_List!$A$1:$AO$1,0),FALSE),"OK","BAD")</f>
        <v>#N/A</v>
      </c>
      <c r="AQ99" s="95" t="e">
        <f>IF(D99=VLOOKUP($A99,Feature_List!$A$2:$AO$101,MATCH(AQ$1,Feature_List!$A$1:$AO$1,0),FALSE),"OK","BAD")</f>
        <v>#N/A</v>
      </c>
      <c r="AR99" s="95" t="e">
        <f>IF(E99=VLOOKUP($A99,Feature_List!$A$2:$AO$101,MATCH(AR$1,Feature_List!$A$1:$AO$1,0),FALSE),"OK","BAD")</f>
        <v>#N/A</v>
      </c>
      <c r="AS99" s="95" t="e">
        <f>IF(F99=VLOOKUP($A99,Feature_List!$A$2:$AO$101,MATCH(AS$1,Feature_List!$A$1:$AO$1,0),FALSE),"OK","BAD")</f>
        <v>#N/A</v>
      </c>
      <c r="AT99" s="95" t="s">
        <v>985</v>
      </c>
      <c r="AU99" s="95" t="s">
        <v>985</v>
      </c>
      <c r="AV99" s="95" t="e">
        <f>IF(I99=VLOOKUP($A99,Feature_List!$A$2:$AO$101,MATCH(AV$1,Feature_List!$A$1:$AO$1,0),FALSE),"OK","BAD")</f>
        <v>#N/A</v>
      </c>
      <c r="AW99" s="95" t="e">
        <f>IF(J99=VLOOKUP($A99,Feature_List!$A$2:$AO$101,MATCH(AW$1,Feature_List!$A$1:$AO$1,0),FALSE),"OK","BAD")</f>
        <v>#N/A</v>
      </c>
      <c r="AX99" s="95" t="e">
        <f>IF(K99=VLOOKUP($A99,Feature_List!$A$2:$AO$101,MATCH(AX$1,Feature_List!$A$1:$AO$1,0),FALSE),"OK","BAD")</f>
        <v>#N/A</v>
      </c>
      <c r="AY99" s="95" t="e">
        <f>IF(L99=VLOOKUP($A99,Feature_List!$A$2:$AO$101,MATCH(AY$1,Feature_List!$A$1:$AO$1,0),FALSE),"OK","BAD")</f>
        <v>#N/A</v>
      </c>
      <c r="AZ99" s="95" t="e">
        <f>IF(M99=VLOOKUP($A99,Feature_List!$A$2:$AO$101,MATCH(AZ$1,Feature_List!$A$1:$AO$1,0),FALSE),"OK","BAD")</f>
        <v>#N/A</v>
      </c>
      <c r="BA99" s="95" t="e">
        <f>IF(N99=VLOOKUP($A99,Feature_List!$A$2:$AO$101,MATCH(BA$1,Feature_List!$A$1:$AO$1,0),FALSE),"OK","BAD")</f>
        <v>#N/A</v>
      </c>
      <c r="BB99" s="95" t="e">
        <f>IF(O99=VLOOKUP($A99,Feature_List!$A$2:$AO$101,MATCH(BB$1,Feature_List!$A$1:$AO$1,0),FALSE),"OK","BAD")</f>
        <v>#N/A</v>
      </c>
      <c r="BC99" s="95" t="e">
        <f>IF(P99=VLOOKUP($A99,Feature_List!$A$2:$AO$101,MATCH(BC$1,Feature_List!$A$1:$AO$1,0),FALSE),"OK","BAD")</f>
        <v>#N/A</v>
      </c>
      <c r="BD99" s="95" t="e">
        <f>IF(Q99=VLOOKUP($A99,Feature_List!$A$2:$AO$101,MATCH(BD$1,Feature_List!$A$1:$AO$1,0),FALSE),"OK","BAD")</f>
        <v>#N/A</v>
      </c>
      <c r="BE99" s="95" t="e">
        <f>IF(R99=VLOOKUP($A99,Feature_List!$A$2:$AO$101,MATCH(BE$1,Feature_List!$A$1:$AO$1,0),FALSE),"OK","BAD")</f>
        <v>#N/A</v>
      </c>
      <c r="BF99" s="95" t="e">
        <f>IF(S99=VLOOKUP($A99,Feature_List!$A$2:$AO$101,MATCH(BF$1,Feature_List!$A$1:$AO$1,0),FALSE),"OK","BAD")</f>
        <v>#N/A</v>
      </c>
      <c r="BG99" s="95" t="e">
        <f>IF(T99=VLOOKUP($A99,Feature_List!$A$2:$AO$101,MATCH(BG$1,Feature_List!$A$1:$AO$1,0),FALSE),"OK","BAD")</f>
        <v>#N/A</v>
      </c>
      <c r="BH99" s="95" t="e">
        <f>IF(U99=VLOOKUP($A99,Feature_List!$A$2:$AO$101,MATCH(BH$1,Feature_List!$A$1:$AO$1,0),FALSE),"OK","BAD")</f>
        <v>#N/A</v>
      </c>
      <c r="BI99" s="95" t="e">
        <f>IF(V99=VLOOKUP($A99,Feature_List!$A$2:$AO$101,MATCH(BI$1,Feature_List!$A$1:$AO$1,0),FALSE),"OK","BAD")</f>
        <v>#N/A</v>
      </c>
      <c r="BJ99" s="95" t="e">
        <f>IF(W99=VLOOKUP($A99,Feature_List!$A$2:$AO$101,MATCH(BJ$1,Feature_List!$A$1:$AO$1,0),FALSE),"OK","BAD")</f>
        <v>#N/A</v>
      </c>
      <c r="BK99" s="95" t="e">
        <f>IF(X99=VLOOKUP($A99,Feature_List!$A$2:$AO$101,MATCH(BK$1,Feature_List!$A$1:$AO$1,0),FALSE),"OK","BAD")</f>
        <v>#N/A</v>
      </c>
      <c r="BL99" s="95" t="e">
        <f>IF(Y99=VLOOKUP($A99,Feature_List!$A$2:$AO$101,MATCH(BL$1,Feature_List!$A$1:$AO$1,0),FALSE),"OK","BAD")</f>
        <v>#N/A</v>
      </c>
      <c r="BM99" s="95" t="e">
        <f>IF(Z99=VLOOKUP($A99,Feature_List!$A$2:$AO$101,MATCH(BM$1,Feature_List!$A$1:$AO$1,0),FALSE),"OK","BAD")</f>
        <v>#N/A</v>
      </c>
      <c r="BN99" s="95" t="e">
        <f>IF(AA99=VLOOKUP($A99,Feature_List!$A$2:$AO$101,MATCH(BN$1,Feature_List!$A$1:$AO$1,0),FALSE),"OK","BAD")</f>
        <v>#N/A</v>
      </c>
      <c r="BO99" s="95" t="e">
        <f>IF(AB99=VLOOKUP($A99,Feature_List!$A$2:$AO$101,MATCH(BO$1,Feature_List!$A$1:$AO$1,0),FALSE),"OK","BAD")</f>
        <v>#N/A</v>
      </c>
      <c r="BP99" s="95" t="e">
        <f>IF(AC99=VLOOKUP($A99,Feature_List!$A$2:$AO$101,MATCH(BP$1,Feature_List!$A$1:$AO$1,0),FALSE),"OK","BAD")</f>
        <v>#N/A</v>
      </c>
      <c r="BQ99" s="95" t="e">
        <f>IF(AD99=VLOOKUP($A99,Feature_List!$A$2:$AO$101,MATCH(BQ$1,Feature_List!$A$1:$AO$1,0),FALSE),"OK","BAD")</f>
        <v>#N/A</v>
      </c>
      <c r="BR99" s="95" t="e">
        <f>IF(AE99=VLOOKUP($A99,Feature_List!$A$2:$AO$101,MATCH(BR$1,Feature_List!$A$1:$AO$1,0),FALSE),"OK","BAD")</f>
        <v>#N/A</v>
      </c>
      <c r="BS99" s="95" t="e">
        <f>IF(AF99=VLOOKUP($A99,Feature_List!$A$2:$AO$101,MATCH(BS$1,Feature_List!$A$1:$AO$1,0),FALSE),"OK","BAD")</f>
        <v>#N/A</v>
      </c>
      <c r="BT99" s="95" t="e">
        <f>IF(AG99=VLOOKUP($A99,Feature_List!$A$2:$AO$101,MATCH(BT$1,Feature_List!$A$1:$AO$1,0),FALSE),"OK","BAD")</f>
        <v>#N/A</v>
      </c>
      <c r="BU99" s="95" t="e">
        <f>IF(AH99=VLOOKUP($A99,Feature_List!$A$2:$AO$101,MATCH(BU$1,Feature_List!$A$1:$AO$1,0),FALSE),"OK","BAD")</f>
        <v>#N/A</v>
      </c>
      <c r="BV99" s="95" t="e">
        <f>IF(AI99=VLOOKUP($A99,Feature_List!$A$2:$AO$101,MATCH(BV$1,Feature_List!$A$1:$AO$1,0),FALSE),"OK","BAD")</f>
        <v>#N/A</v>
      </c>
      <c r="BW99" s="95" t="e">
        <f>IF(AJ99=VLOOKUP($A99,Feature_List!$A$2:$AO$101,MATCH(BW$1,Feature_List!$A$1:$AO$1,0),FALSE),"OK","BAD")</f>
        <v>#N/A</v>
      </c>
      <c r="BX99" s="95" t="e">
        <f>IF(AK99=VLOOKUP($A99,Feature_List!$A$2:$AO$101,MATCH(BX$1,Feature_List!$A$1:$AO$1,0),FALSE),"OK","BAD")</f>
        <v>#N/A</v>
      </c>
      <c r="BY99" s="95" t="e">
        <f>IF(AL99=VLOOKUP($A99,Feature_List!$A$2:$AO$101,MATCH(BY$1,Feature_List!$A$1:$AO$1,0),FALSE),"OK","BAD")</f>
        <v>#N/A</v>
      </c>
      <c r="BZ99" s="95" t="e">
        <f>IF(AM99=VLOOKUP($A99,Feature_List!$A$2:$AO$101,MATCH(BZ$1,Feature_List!$A$1:$AO$1,0),FALSE),"OK","BAD")</f>
        <v>#N/A</v>
      </c>
      <c r="CA99" s="95" t="e">
        <f>IF(AN99=VLOOKUP($A99,Feature_List!$A$2:$AO$101,MATCH(CA$1,Feature_List!$A$1:$AO$1,0),FALSE),"OK","BAD")</f>
        <v>#N/A</v>
      </c>
    </row>
    <row r="100" spans="1:79" ht="14.4" customHeight="1" x14ac:dyDescent="0.3">
      <c r="A100" s="70"/>
      <c r="B100" s="65"/>
      <c r="C100" s="98"/>
      <c r="D100" s="65"/>
      <c r="E100" s="64"/>
      <c r="F100" s="64"/>
      <c r="G100" s="64"/>
      <c r="H100" s="64"/>
      <c r="I100" s="64"/>
      <c r="J100" s="64"/>
      <c r="K100" s="64"/>
      <c r="L100" s="62"/>
      <c r="M100" s="67"/>
      <c r="N100" s="67"/>
      <c r="O100" s="67"/>
      <c r="P100" s="66"/>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220"/>
      <c r="AO100" s="224"/>
      <c r="AP100" s="95" t="e">
        <f>IF(C100=VLOOKUP($A100,Feature_List!$A$2:$AO$101,MATCH(AP$1,Feature_List!$A$1:$AO$1,0),FALSE),"OK","BAD")</f>
        <v>#N/A</v>
      </c>
      <c r="AQ100" s="95" t="e">
        <f>IF(D100=VLOOKUP($A100,Feature_List!$A$2:$AO$101,MATCH(AQ$1,Feature_List!$A$1:$AO$1,0),FALSE),"OK","BAD")</f>
        <v>#N/A</v>
      </c>
      <c r="AR100" s="95" t="e">
        <f>IF(E100=VLOOKUP($A100,Feature_List!$A$2:$AO$101,MATCH(AR$1,Feature_List!$A$1:$AO$1,0),FALSE),"OK","BAD")</f>
        <v>#N/A</v>
      </c>
      <c r="AS100" s="95" t="e">
        <f>IF(F100=VLOOKUP($A100,Feature_List!$A$2:$AO$101,MATCH(AS$1,Feature_List!$A$1:$AO$1,0),FALSE),"OK","BAD")</f>
        <v>#N/A</v>
      </c>
      <c r="AT100" s="95" t="s">
        <v>985</v>
      </c>
      <c r="AU100" s="95" t="s">
        <v>985</v>
      </c>
      <c r="AV100" s="95" t="e">
        <f>IF(I100=VLOOKUP($A100,Feature_List!$A$2:$AO$101,MATCH(AV$1,Feature_List!$A$1:$AO$1,0),FALSE),"OK","BAD")</f>
        <v>#N/A</v>
      </c>
      <c r="AW100" s="95" t="e">
        <f>IF(J100=VLOOKUP($A100,Feature_List!$A$2:$AO$101,MATCH(AW$1,Feature_List!$A$1:$AO$1,0),FALSE),"OK","BAD")</f>
        <v>#N/A</v>
      </c>
      <c r="AX100" s="95" t="e">
        <f>IF(K100=VLOOKUP($A100,Feature_List!$A$2:$AO$101,MATCH(AX$1,Feature_List!$A$1:$AO$1,0),FALSE),"OK","BAD")</f>
        <v>#N/A</v>
      </c>
      <c r="AY100" s="95" t="e">
        <f>IF(L100=VLOOKUP($A100,Feature_List!$A$2:$AO$101,MATCH(AY$1,Feature_List!$A$1:$AO$1,0),FALSE),"OK","BAD")</f>
        <v>#N/A</v>
      </c>
      <c r="AZ100" s="95" t="e">
        <f>IF(M100=VLOOKUP($A100,Feature_List!$A$2:$AO$101,MATCH(AZ$1,Feature_List!$A$1:$AO$1,0),FALSE),"OK","BAD")</f>
        <v>#N/A</v>
      </c>
      <c r="BA100" s="95" t="e">
        <f>IF(N100=VLOOKUP($A100,Feature_List!$A$2:$AO$101,MATCH(BA$1,Feature_List!$A$1:$AO$1,0),FALSE),"OK","BAD")</f>
        <v>#N/A</v>
      </c>
      <c r="BB100" s="95" t="e">
        <f>IF(O100=VLOOKUP($A100,Feature_List!$A$2:$AO$101,MATCH(BB$1,Feature_List!$A$1:$AO$1,0),FALSE),"OK","BAD")</f>
        <v>#N/A</v>
      </c>
      <c r="BC100" s="95" t="e">
        <f>IF(P100=VLOOKUP($A100,Feature_List!$A$2:$AO$101,MATCH(BC$1,Feature_List!$A$1:$AO$1,0),FALSE),"OK","BAD")</f>
        <v>#N/A</v>
      </c>
      <c r="BD100" s="95" t="e">
        <f>IF(Q100=VLOOKUP($A100,Feature_List!$A$2:$AO$101,MATCH(BD$1,Feature_List!$A$1:$AO$1,0),FALSE),"OK","BAD")</f>
        <v>#N/A</v>
      </c>
      <c r="BE100" s="95" t="e">
        <f>IF(R100=VLOOKUP($A100,Feature_List!$A$2:$AO$101,MATCH(BE$1,Feature_List!$A$1:$AO$1,0),FALSE),"OK","BAD")</f>
        <v>#N/A</v>
      </c>
      <c r="BF100" s="95" t="e">
        <f>IF(S100=VLOOKUP($A100,Feature_List!$A$2:$AO$101,MATCH(BF$1,Feature_List!$A$1:$AO$1,0),FALSE),"OK","BAD")</f>
        <v>#N/A</v>
      </c>
      <c r="BG100" s="95" t="e">
        <f>IF(T100=VLOOKUP($A100,Feature_List!$A$2:$AO$101,MATCH(BG$1,Feature_List!$A$1:$AO$1,0),FALSE),"OK","BAD")</f>
        <v>#N/A</v>
      </c>
      <c r="BH100" s="95" t="e">
        <f>IF(U100=VLOOKUP($A100,Feature_List!$A$2:$AO$101,MATCH(BH$1,Feature_List!$A$1:$AO$1,0),FALSE),"OK","BAD")</f>
        <v>#N/A</v>
      </c>
      <c r="BI100" s="95" t="e">
        <f>IF(V100=VLOOKUP($A100,Feature_List!$A$2:$AO$101,MATCH(BI$1,Feature_List!$A$1:$AO$1,0),FALSE),"OK","BAD")</f>
        <v>#N/A</v>
      </c>
      <c r="BJ100" s="95" t="e">
        <f>IF(W100=VLOOKUP($A100,Feature_List!$A$2:$AO$101,MATCH(BJ$1,Feature_List!$A$1:$AO$1,0),FALSE),"OK","BAD")</f>
        <v>#N/A</v>
      </c>
      <c r="BK100" s="95" t="e">
        <f>IF(X100=VLOOKUP($A100,Feature_List!$A$2:$AO$101,MATCH(BK$1,Feature_List!$A$1:$AO$1,0),FALSE),"OK","BAD")</f>
        <v>#N/A</v>
      </c>
      <c r="BL100" s="95" t="e">
        <f>IF(Y100=VLOOKUP($A100,Feature_List!$A$2:$AO$101,MATCH(BL$1,Feature_List!$A$1:$AO$1,0),FALSE),"OK","BAD")</f>
        <v>#N/A</v>
      </c>
      <c r="BM100" s="95" t="e">
        <f>IF(Z100=VLOOKUP($A100,Feature_List!$A$2:$AO$101,MATCH(BM$1,Feature_List!$A$1:$AO$1,0),FALSE),"OK","BAD")</f>
        <v>#N/A</v>
      </c>
      <c r="BN100" s="95" t="e">
        <f>IF(AA100=VLOOKUP($A100,Feature_List!$A$2:$AO$101,MATCH(BN$1,Feature_List!$A$1:$AO$1,0),FALSE),"OK","BAD")</f>
        <v>#N/A</v>
      </c>
      <c r="BO100" s="95" t="e">
        <f>IF(AB100=VLOOKUP($A100,Feature_List!$A$2:$AO$101,MATCH(BO$1,Feature_List!$A$1:$AO$1,0),FALSE),"OK","BAD")</f>
        <v>#N/A</v>
      </c>
      <c r="BP100" s="95" t="e">
        <f>IF(AC100=VLOOKUP($A100,Feature_List!$A$2:$AO$101,MATCH(BP$1,Feature_List!$A$1:$AO$1,0),FALSE),"OK","BAD")</f>
        <v>#N/A</v>
      </c>
      <c r="BQ100" s="95" t="e">
        <f>IF(AD100=VLOOKUP($A100,Feature_List!$A$2:$AO$101,MATCH(BQ$1,Feature_List!$A$1:$AO$1,0),FALSE),"OK","BAD")</f>
        <v>#N/A</v>
      </c>
      <c r="BR100" s="95" t="e">
        <f>IF(AE100=VLOOKUP($A100,Feature_List!$A$2:$AO$101,MATCH(BR$1,Feature_List!$A$1:$AO$1,0),FALSE),"OK","BAD")</f>
        <v>#N/A</v>
      </c>
      <c r="BS100" s="95" t="e">
        <f>IF(AF100=VLOOKUP($A100,Feature_List!$A$2:$AO$101,MATCH(BS$1,Feature_List!$A$1:$AO$1,0),FALSE),"OK","BAD")</f>
        <v>#N/A</v>
      </c>
      <c r="BT100" s="95" t="e">
        <f>IF(AG100=VLOOKUP($A100,Feature_List!$A$2:$AO$101,MATCH(BT$1,Feature_List!$A$1:$AO$1,0),FALSE),"OK","BAD")</f>
        <v>#N/A</v>
      </c>
      <c r="BU100" s="95" t="e">
        <f>IF(AH100=VLOOKUP($A100,Feature_List!$A$2:$AO$101,MATCH(BU$1,Feature_List!$A$1:$AO$1,0),FALSE),"OK","BAD")</f>
        <v>#N/A</v>
      </c>
      <c r="BV100" s="95" t="e">
        <f>IF(AI100=VLOOKUP($A100,Feature_List!$A$2:$AO$101,MATCH(BV$1,Feature_List!$A$1:$AO$1,0),FALSE),"OK","BAD")</f>
        <v>#N/A</v>
      </c>
      <c r="BW100" s="95" t="e">
        <f>IF(AJ100=VLOOKUP($A100,Feature_List!$A$2:$AO$101,MATCH(BW$1,Feature_List!$A$1:$AO$1,0),FALSE),"OK","BAD")</f>
        <v>#N/A</v>
      </c>
      <c r="BX100" s="95" t="e">
        <f>IF(AK100=VLOOKUP($A100,Feature_List!$A$2:$AO$101,MATCH(BX$1,Feature_List!$A$1:$AO$1,0),FALSE),"OK","BAD")</f>
        <v>#N/A</v>
      </c>
      <c r="BY100" s="95" t="e">
        <f>IF(AL100=VLOOKUP($A100,Feature_List!$A$2:$AO$101,MATCH(BY$1,Feature_List!$A$1:$AO$1,0),FALSE),"OK","BAD")</f>
        <v>#N/A</v>
      </c>
      <c r="BZ100" s="95" t="e">
        <f>IF(AM100=VLOOKUP($A100,Feature_List!$A$2:$AO$101,MATCH(BZ$1,Feature_List!$A$1:$AO$1,0),FALSE),"OK","BAD")</f>
        <v>#N/A</v>
      </c>
      <c r="CA100" s="95" t="e">
        <f>IF(AN100=VLOOKUP($A100,Feature_List!$A$2:$AO$101,MATCH(CA$1,Feature_List!$A$1:$AO$1,0),FALSE),"OK","BAD")</f>
        <v>#N/A</v>
      </c>
    </row>
    <row r="101" spans="1:79" ht="14.4" customHeight="1" x14ac:dyDescent="0.3">
      <c r="A101" s="70"/>
      <c r="B101" s="65"/>
      <c r="C101" s="98"/>
      <c r="D101" s="65"/>
      <c r="E101" s="64"/>
      <c r="F101" s="64"/>
      <c r="G101" s="64"/>
      <c r="H101" s="64"/>
      <c r="I101" s="99"/>
      <c r="J101" s="64"/>
      <c r="K101" s="64"/>
      <c r="L101" s="62"/>
      <c r="M101" s="67"/>
      <c r="N101" s="67"/>
      <c r="O101" s="67"/>
      <c r="P101" s="66"/>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220"/>
      <c r="AO101" s="224"/>
      <c r="AP101" s="95" t="e">
        <f>IF(C101=VLOOKUP($A101,Feature_List!$A$2:$AO$101,MATCH(AP$1,Feature_List!$A$1:$AO$1,0),FALSE),"OK","BAD")</f>
        <v>#N/A</v>
      </c>
      <c r="AQ101" s="95" t="e">
        <f>IF(D101=VLOOKUP($A101,Feature_List!$A$2:$AO$101,MATCH(AQ$1,Feature_List!$A$1:$AO$1,0),FALSE),"OK","BAD")</f>
        <v>#N/A</v>
      </c>
      <c r="AR101" s="95" t="e">
        <f>IF(E101=VLOOKUP($A101,Feature_List!$A$2:$AO$101,MATCH(AR$1,Feature_List!$A$1:$AO$1,0),FALSE),"OK","BAD")</f>
        <v>#N/A</v>
      </c>
      <c r="AS101" s="95" t="e">
        <f>IF(F101=VLOOKUP($A101,Feature_List!$A$2:$AO$101,MATCH(AS$1,Feature_List!$A$1:$AO$1,0),FALSE),"OK","BAD")</f>
        <v>#N/A</v>
      </c>
      <c r="AT101" s="95" t="s">
        <v>985</v>
      </c>
      <c r="AU101" s="95" t="s">
        <v>985</v>
      </c>
      <c r="AV101" s="95" t="e">
        <f>IF(I101=VLOOKUP($A101,Feature_List!$A$2:$AO$101,MATCH(AV$1,Feature_List!$A$1:$AO$1,0),FALSE),"OK","BAD")</f>
        <v>#N/A</v>
      </c>
      <c r="AW101" s="95" t="e">
        <f>IF(J101=VLOOKUP($A101,Feature_List!$A$2:$AO$101,MATCH(AW$1,Feature_List!$A$1:$AO$1,0),FALSE),"OK","BAD")</f>
        <v>#N/A</v>
      </c>
      <c r="AX101" s="95" t="e">
        <f>IF(K101=VLOOKUP($A101,Feature_List!$A$2:$AO$101,MATCH(AX$1,Feature_List!$A$1:$AO$1,0),FALSE),"OK","BAD")</f>
        <v>#N/A</v>
      </c>
      <c r="AY101" s="95" t="e">
        <f>IF(L101=VLOOKUP($A101,Feature_List!$A$2:$AO$101,MATCH(AY$1,Feature_List!$A$1:$AO$1,0),FALSE),"OK","BAD")</f>
        <v>#N/A</v>
      </c>
      <c r="AZ101" s="95" t="e">
        <f>IF(M101=VLOOKUP($A101,Feature_List!$A$2:$AO$101,MATCH(AZ$1,Feature_List!$A$1:$AO$1,0),FALSE),"OK","BAD")</f>
        <v>#N/A</v>
      </c>
      <c r="BA101" s="95" t="e">
        <f>IF(N101=VLOOKUP($A101,Feature_List!$A$2:$AO$101,MATCH(BA$1,Feature_List!$A$1:$AO$1,0),FALSE),"OK","BAD")</f>
        <v>#N/A</v>
      </c>
      <c r="BB101" s="95" t="e">
        <f>IF(O101=VLOOKUP($A101,Feature_List!$A$2:$AO$101,MATCH(BB$1,Feature_List!$A$1:$AO$1,0),FALSE),"OK","BAD")</f>
        <v>#N/A</v>
      </c>
      <c r="BC101" s="95" t="e">
        <f>IF(P101=VLOOKUP($A101,Feature_List!$A$2:$AO$101,MATCH(BC$1,Feature_List!$A$1:$AO$1,0),FALSE),"OK","BAD")</f>
        <v>#N/A</v>
      </c>
      <c r="BD101" s="95" t="e">
        <f>IF(Q101=VLOOKUP($A101,Feature_List!$A$2:$AO$101,MATCH(BD$1,Feature_List!$A$1:$AO$1,0),FALSE),"OK","BAD")</f>
        <v>#N/A</v>
      </c>
      <c r="BE101" s="95" t="e">
        <f>IF(R101=VLOOKUP($A101,Feature_List!$A$2:$AO$101,MATCH(BE$1,Feature_List!$A$1:$AO$1,0),FALSE),"OK","BAD")</f>
        <v>#N/A</v>
      </c>
      <c r="BF101" s="95" t="e">
        <f>IF(S101=VLOOKUP($A101,Feature_List!$A$2:$AO$101,MATCH(BF$1,Feature_List!$A$1:$AO$1,0),FALSE),"OK","BAD")</f>
        <v>#N/A</v>
      </c>
      <c r="BG101" s="95" t="e">
        <f>IF(T101=VLOOKUP($A101,Feature_List!$A$2:$AO$101,MATCH(BG$1,Feature_List!$A$1:$AO$1,0),FALSE),"OK","BAD")</f>
        <v>#N/A</v>
      </c>
      <c r="BH101" s="95" t="e">
        <f>IF(U101=VLOOKUP($A101,Feature_List!$A$2:$AO$101,MATCH(BH$1,Feature_List!$A$1:$AO$1,0),FALSE),"OK","BAD")</f>
        <v>#N/A</v>
      </c>
      <c r="BI101" s="95" t="e">
        <f>IF(V101=VLOOKUP($A101,Feature_List!$A$2:$AO$101,MATCH(BI$1,Feature_List!$A$1:$AO$1,0),FALSE),"OK","BAD")</f>
        <v>#N/A</v>
      </c>
      <c r="BJ101" s="95" t="e">
        <f>IF(W101=VLOOKUP($A101,Feature_List!$A$2:$AO$101,MATCH(BJ$1,Feature_List!$A$1:$AO$1,0),FALSE),"OK","BAD")</f>
        <v>#N/A</v>
      </c>
      <c r="BK101" s="95" t="e">
        <f>IF(X101=VLOOKUP($A101,Feature_List!$A$2:$AO$101,MATCH(BK$1,Feature_List!$A$1:$AO$1,0),FALSE),"OK","BAD")</f>
        <v>#N/A</v>
      </c>
      <c r="BL101" s="95" t="e">
        <f>IF(Y101=VLOOKUP($A101,Feature_List!$A$2:$AO$101,MATCH(BL$1,Feature_List!$A$1:$AO$1,0),FALSE),"OK","BAD")</f>
        <v>#N/A</v>
      </c>
      <c r="BM101" s="95" t="e">
        <f>IF(Z101=VLOOKUP($A101,Feature_List!$A$2:$AO$101,MATCH(BM$1,Feature_List!$A$1:$AO$1,0),FALSE),"OK","BAD")</f>
        <v>#N/A</v>
      </c>
      <c r="BN101" s="95" t="e">
        <f>IF(AA101=VLOOKUP($A101,Feature_List!$A$2:$AO$101,MATCH(BN$1,Feature_List!$A$1:$AO$1,0),FALSE),"OK","BAD")</f>
        <v>#N/A</v>
      </c>
      <c r="BO101" s="95" t="e">
        <f>IF(AB101=VLOOKUP($A101,Feature_List!$A$2:$AO$101,MATCH(BO$1,Feature_List!$A$1:$AO$1,0),FALSE),"OK","BAD")</f>
        <v>#N/A</v>
      </c>
      <c r="BP101" s="95" t="e">
        <f>IF(AC101=VLOOKUP($A101,Feature_List!$A$2:$AO$101,MATCH(BP$1,Feature_List!$A$1:$AO$1,0),FALSE),"OK","BAD")</f>
        <v>#N/A</v>
      </c>
      <c r="BQ101" s="95" t="e">
        <f>IF(AD101=VLOOKUP($A101,Feature_List!$A$2:$AO$101,MATCH(BQ$1,Feature_List!$A$1:$AO$1,0),FALSE),"OK","BAD")</f>
        <v>#N/A</v>
      </c>
      <c r="BR101" s="95" t="e">
        <f>IF(AE101=VLOOKUP($A101,Feature_List!$A$2:$AO$101,MATCH(BR$1,Feature_List!$A$1:$AO$1,0),FALSE),"OK","BAD")</f>
        <v>#N/A</v>
      </c>
      <c r="BS101" s="95" t="e">
        <f>IF(AF101=VLOOKUP($A101,Feature_List!$A$2:$AO$101,MATCH(BS$1,Feature_List!$A$1:$AO$1,0),FALSE),"OK","BAD")</f>
        <v>#N/A</v>
      </c>
      <c r="BT101" s="95" t="e">
        <f>IF(AG101=VLOOKUP($A101,Feature_List!$A$2:$AO$101,MATCH(BT$1,Feature_List!$A$1:$AO$1,0),FALSE),"OK","BAD")</f>
        <v>#N/A</v>
      </c>
      <c r="BU101" s="95" t="e">
        <f>IF(AH101=VLOOKUP($A101,Feature_List!$A$2:$AO$101,MATCH(BU$1,Feature_List!$A$1:$AO$1,0),FALSE),"OK","BAD")</f>
        <v>#N/A</v>
      </c>
      <c r="BV101" s="95" t="e">
        <f>IF(AI101=VLOOKUP($A101,Feature_List!$A$2:$AO$101,MATCH(BV$1,Feature_List!$A$1:$AO$1,0),FALSE),"OK","BAD")</f>
        <v>#N/A</v>
      </c>
      <c r="BW101" s="95" t="e">
        <f>IF(AJ101=VLOOKUP($A101,Feature_List!$A$2:$AO$101,MATCH(BW$1,Feature_List!$A$1:$AO$1,0),FALSE),"OK","BAD")</f>
        <v>#N/A</v>
      </c>
      <c r="BX101" s="95" t="e">
        <f>IF(AK101=VLOOKUP($A101,Feature_List!$A$2:$AO$101,MATCH(BX$1,Feature_List!$A$1:$AO$1,0),FALSE),"OK","BAD")</f>
        <v>#N/A</v>
      </c>
      <c r="BY101" s="95" t="e">
        <f>IF(AL101=VLOOKUP($A101,Feature_List!$A$2:$AO$101,MATCH(BY$1,Feature_List!$A$1:$AO$1,0),FALSE),"OK","BAD")</f>
        <v>#N/A</v>
      </c>
      <c r="BZ101" s="95" t="e">
        <f>IF(AM101=VLOOKUP($A101,Feature_List!$A$2:$AO$101,MATCH(BZ$1,Feature_List!$A$1:$AO$1,0),FALSE),"OK","BAD")</f>
        <v>#N/A</v>
      </c>
      <c r="CA101" s="95" t="e">
        <f>IF(AN101=VLOOKUP($A101,Feature_List!$A$2:$AO$101,MATCH(CA$1,Feature_List!$A$1:$AO$1,0),FALSE),"OK","BAD")</f>
        <v>#N/A</v>
      </c>
    </row>
    <row r="102" spans="1:79" ht="14.4" customHeight="1" x14ac:dyDescent="0.3">
      <c r="A102" s="70"/>
      <c r="B102" s="65"/>
      <c r="C102" s="98"/>
      <c r="D102" s="65"/>
      <c r="E102" s="64"/>
      <c r="F102" s="64"/>
      <c r="G102" s="64"/>
      <c r="H102" s="64"/>
      <c r="I102" s="99"/>
      <c r="J102" s="64"/>
      <c r="K102" s="64"/>
      <c r="L102" s="62"/>
      <c r="M102" s="67"/>
      <c r="N102" s="67"/>
      <c r="O102" s="67"/>
      <c r="P102" s="66"/>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220"/>
      <c r="AO102" s="224"/>
      <c r="AP102" s="95" t="e">
        <f>IF(C102=VLOOKUP($A102,Feature_List!$A$2:$AO$101,MATCH(AP$1,Feature_List!$A$1:$AO$1,0),FALSE),"OK","BAD")</f>
        <v>#N/A</v>
      </c>
      <c r="AQ102" s="95" t="e">
        <f>IF(D102=VLOOKUP($A102,Feature_List!$A$2:$AO$101,MATCH(AQ$1,Feature_List!$A$1:$AO$1,0),FALSE),"OK","BAD")</f>
        <v>#N/A</v>
      </c>
      <c r="AR102" s="95" t="e">
        <f>IF(E102=VLOOKUP($A102,Feature_List!$A$2:$AO$101,MATCH(AR$1,Feature_List!$A$1:$AO$1,0),FALSE),"OK","BAD")</f>
        <v>#N/A</v>
      </c>
      <c r="AS102" s="95" t="e">
        <f>IF(F102=VLOOKUP($A102,Feature_List!$A$2:$AO$101,MATCH(AS$1,Feature_List!$A$1:$AO$1,0),FALSE),"OK","BAD")</f>
        <v>#N/A</v>
      </c>
      <c r="AT102" s="95" t="s">
        <v>985</v>
      </c>
      <c r="AU102" s="95" t="s">
        <v>985</v>
      </c>
      <c r="AV102" s="95" t="e">
        <f>IF(I102=VLOOKUP($A102,Feature_List!$A$2:$AO$101,MATCH(AV$1,Feature_List!$A$1:$AO$1,0),FALSE),"OK","BAD")</f>
        <v>#N/A</v>
      </c>
      <c r="AW102" s="95" t="e">
        <f>IF(J102=VLOOKUP($A102,Feature_List!$A$2:$AO$101,MATCH(AW$1,Feature_List!$A$1:$AO$1,0),FALSE),"OK","BAD")</f>
        <v>#N/A</v>
      </c>
      <c r="AX102" s="95" t="e">
        <f>IF(K102=VLOOKUP($A102,Feature_List!$A$2:$AO$101,MATCH(AX$1,Feature_List!$A$1:$AO$1,0),FALSE),"OK","BAD")</f>
        <v>#N/A</v>
      </c>
      <c r="AY102" s="95" t="e">
        <f>IF(L102=VLOOKUP($A102,Feature_List!$A$2:$AO$101,MATCH(AY$1,Feature_List!$A$1:$AO$1,0),FALSE),"OK","BAD")</f>
        <v>#N/A</v>
      </c>
      <c r="AZ102" s="95" t="e">
        <f>IF(M102=VLOOKUP($A102,Feature_List!$A$2:$AO$101,MATCH(AZ$1,Feature_List!$A$1:$AO$1,0),FALSE),"OK","BAD")</f>
        <v>#N/A</v>
      </c>
      <c r="BA102" s="95" t="e">
        <f>IF(N102=VLOOKUP($A102,Feature_List!$A$2:$AO$101,MATCH(BA$1,Feature_List!$A$1:$AO$1,0),FALSE),"OK","BAD")</f>
        <v>#N/A</v>
      </c>
      <c r="BB102" s="95" t="e">
        <f>IF(O102=VLOOKUP($A102,Feature_List!$A$2:$AO$101,MATCH(BB$1,Feature_List!$A$1:$AO$1,0),FALSE),"OK","BAD")</f>
        <v>#N/A</v>
      </c>
      <c r="BC102" s="95" t="e">
        <f>IF(P102=VLOOKUP($A102,Feature_List!$A$2:$AO$101,MATCH(BC$1,Feature_List!$A$1:$AO$1,0),FALSE),"OK","BAD")</f>
        <v>#N/A</v>
      </c>
      <c r="BD102" s="95" t="e">
        <f>IF(Q102=VLOOKUP($A102,Feature_List!$A$2:$AO$101,MATCH(BD$1,Feature_List!$A$1:$AO$1,0),FALSE),"OK","BAD")</f>
        <v>#N/A</v>
      </c>
      <c r="BE102" s="95" t="e">
        <f>IF(R102=VLOOKUP($A102,Feature_List!$A$2:$AO$101,MATCH(BE$1,Feature_List!$A$1:$AO$1,0),FALSE),"OK","BAD")</f>
        <v>#N/A</v>
      </c>
      <c r="BF102" s="95" t="e">
        <f>IF(S102=VLOOKUP($A102,Feature_List!$A$2:$AO$101,MATCH(BF$1,Feature_List!$A$1:$AO$1,0),FALSE),"OK","BAD")</f>
        <v>#N/A</v>
      </c>
      <c r="BG102" s="95" t="e">
        <f>IF(T102=VLOOKUP($A102,Feature_List!$A$2:$AO$101,MATCH(BG$1,Feature_List!$A$1:$AO$1,0),FALSE),"OK","BAD")</f>
        <v>#N/A</v>
      </c>
      <c r="BH102" s="95" t="e">
        <f>IF(U102=VLOOKUP($A102,Feature_List!$A$2:$AO$101,MATCH(BH$1,Feature_List!$A$1:$AO$1,0),FALSE),"OK","BAD")</f>
        <v>#N/A</v>
      </c>
      <c r="BI102" s="95" t="e">
        <f>IF(V102=VLOOKUP($A102,Feature_List!$A$2:$AO$101,MATCH(BI$1,Feature_List!$A$1:$AO$1,0),FALSE),"OK","BAD")</f>
        <v>#N/A</v>
      </c>
      <c r="BJ102" s="95" t="e">
        <f>IF(W102=VLOOKUP($A102,Feature_List!$A$2:$AO$101,MATCH(BJ$1,Feature_List!$A$1:$AO$1,0),FALSE),"OK","BAD")</f>
        <v>#N/A</v>
      </c>
      <c r="BK102" s="95" t="e">
        <f>IF(X102=VLOOKUP($A102,Feature_List!$A$2:$AO$101,MATCH(BK$1,Feature_List!$A$1:$AO$1,0),FALSE),"OK","BAD")</f>
        <v>#N/A</v>
      </c>
      <c r="BL102" s="95" t="e">
        <f>IF(Y102=VLOOKUP($A102,Feature_List!$A$2:$AO$101,MATCH(BL$1,Feature_List!$A$1:$AO$1,0),FALSE),"OK","BAD")</f>
        <v>#N/A</v>
      </c>
      <c r="BM102" s="95" t="e">
        <f>IF(Z102=VLOOKUP($A102,Feature_List!$A$2:$AO$101,MATCH(BM$1,Feature_List!$A$1:$AO$1,0),FALSE),"OK","BAD")</f>
        <v>#N/A</v>
      </c>
      <c r="BN102" s="95" t="e">
        <f>IF(AA102=VLOOKUP($A102,Feature_List!$A$2:$AO$101,MATCH(BN$1,Feature_List!$A$1:$AO$1,0),FALSE),"OK","BAD")</f>
        <v>#N/A</v>
      </c>
      <c r="BO102" s="95" t="e">
        <f>IF(AB102=VLOOKUP($A102,Feature_List!$A$2:$AO$101,MATCH(BO$1,Feature_List!$A$1:$AO$1,0),FALSE),"OK","BAD")</f>
        <v>#N/A</v>
      </c>
      <c r="BP102" s="95" t="e">
        <f>IF(AC102=VLOOKUP($A102,Feature_List!$A$2:$AO$101,MATCH(BP$1,Feature_List!$A$1:$AO$1,0),FALSE),"OK","BAD")</f>
        <v>#N/A</v>
      </c>
      <c r="BQ102" s="95" t="e">
        <f>IF(AD102=VLOOKUP($A102,Feature_List!$A$2:$AO$101,MATCH(BQ$1,Feature_List!$A$1:$AO$1,0),FALSE),"OK","BAD")</f>
        <v>#N/A</v>
      </c>
      <c r="BR102" s="95" t="e">
        <f>IF(AE102=VLOOKUP($A102,Feature_List!$A$2:$AO$101,MATCH(BR$1,Feature_List!$A$1:$AO$1,0),FALSE),"OK","BAD")</f>
        <v>#N/A</v>
      </c>
      <c r="BS102" s="95" t="e">
        <f>IF(AF102=VLOOKUP($A102,Feature_List!$A$2:$AO$101,MATCH(BS$1,Feature_List!$A$1:$AO$1,0),FALSE),"OK","BAD")</f>
        <v>#N/A</v>
      </c>
      <c r="BT102" s="95" t="e">
        <f>IF(AG102=VLOOKUP($A102,Feature_List!$A$2:$AO$101,MATCH(BT$1,Feature_List!$A$1:$AO$1,0),FALSE),"OK","BAD")</f>
        <v>#N/A</v>
      </c>
      <c r="BU102" s="95" t="e">
        <f>IF(AH102=VLOOKUP($A102,Feature_List!$A$2:$AO$101,MATCH(BU$1,Feature_List!$A$1:$AO$1,0),FALSE),"OK","BAD")</f>
        <v>#N/A</v>
      </c>
      <c r="BV102" s="95" t="e">
        <f>IF(AI102=VLOOKUP($A102,Feature_List!$A$2:$AO$101,MATCH(BV$1,Feature_List!$A$1:$AO$1,0),FALSE),"OK","BAD")</f>
        <v>#N/A</v>
      </c>
      <c r="BW102" s="95" t="e">
        <f>IF(AJ102=VLOOKUP($A102,Feature_List!$A$2:$AO$101,MATCH(BW$1,Feature_List!$A$1:$AO$1,0),FALSE),"OK","BAD")</f>
        <v>#N/A</v>
      </c>
      <c r="BX102" s="95" t="e">
        <f>IF(AK102=VLOOKUP($A102,Feature_List!$A$2:$AO$101,MATCH(BX$1,Feature_List!$A$1:$AO$1,0),FALSE),"OK","BAD")</f>
        <v>#N/A</v>
      </c>
      <c r="BY102" s="95" t="e">
        <f>IF(AL102=VLOOKUP($A102,Feature_List!$A$2:$AO$101,MATCH(BY$1,Feature_List!$A$1:$AO$1,0),FALSE),"OK","BAD")</f>
        <v>#N/A</v>
      </c>
      <c r="BZ102" s="95" t="e">
        <f>IF(AM102=VLOOKUP($A102,Feature_List!$A$2:$AO$101,MATCH(BZ$1,Feature_List!$A$1:$AO$1,0),FALSE),"OK","BAD")</f>
        <v>#N/A</v>
      </c>
      <c r="CA102" s="95" t="e">
        <f>IF(AN102=VLOOKUP($A102,Feature_List!$A$2:$AO$101,MATCH(CA$1,Feature_List!$A$1:$AO$1,0),FALSE),"OK","BAD")</f>
        <v>#N/A</v>
      </c>
    </row>
    <row r="103" spans="1:79" ht="14.4" customHeight="1" x14ac:dyDescent="0.3">
      <c r="A103" s="70"/>
      <c r="B103" s="65"/>
      <c r="C103" s="98"/>
      <c r="D103" s="65"/>
      <c r="E103" s="64"/>
      <c r="F103" s="64"/>
      <c r="G103" s="64"/>
      <c r="H103" s="64"/>
      <c r="I103" s="99"/>
      <c r="J103" s="64"/>
      <c r="K103" s="64"/>
      <c r="L103" s="62"/>
      <c r="M103" s="67"/>
      <c r="N103" s="67"/>
      <c r="O103" s="67"/>
      <c r="P103" s="66"/>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220"/>
      <c r="AO103" s="224"/>
      <c r="AP103" s="95" t="e">
        <f>IF(C103=VLOOKUP($A103,Feature_List!$A$2:$AO$101,MATCH(AP$1,Feature_List!$A$1:$AO$1,0),FALSE),"OK","BAD")</f>
        <v>#N/A</v>
      </c>
      <c r="AQ103" s="95" t="e">
        <f>IF(D103=VLOOKUP($A103,Feature_List!$A$2:$AO$101,MATCH(AQ$1,Feature_List!$A$1:$AO$1,0),FALSE),"OK","BAD")</f>
        <v>#N/A</v>
      </c>
      <c r="AR103" s="95" t="e">
        <f>IF(E103=VLOOKUP($A103,Feature_List!$A$2:$AO$101,MATCH(AR$1,Feature_List!$A$1:$AO$1,0),FALSE),"OK","BAD")</f>
        <v>#N/A</v>
      </c>
      <c r="AS103" s="95" t="e">
        <f>IF(F103=VLOOKUP($A103,Feature_List!$A$2:$AO$101,MATCH(AS$1,Feature_List!$A$1:$AO$1,0),FALSE),"OK","BAD")</f>
        <v>#N/A</v>
      </c>
      <c r="AT103" s="95" t="s">
        <v>985</v>
      </c>
      <c r="AU103" s="95" t="s">
        <v>985</v>
      </c>
      <c r="AV103" s="95" t="e">
        <f>IF(I103=VLOOKUP($A103,Feature_List!$A$2:$AO$101,MATCH(AV$1,Feature_List!$A$1:$AO$1,0),FALSE),"OK","BAD")</f>
        <v>#N/A</v>
      </c>
      <c r="AW103" s="95" t="e">
        <f>IF(J103=VLOOKUP($A103,Feature_List!$A$2:$AO$101,MATCH(AW$1,Feature_List!$A$1:$AO$1,0),FALSE),"OK","BAD")</f>
        <v>#N/A</v>
      </c>
      <c r="AX103" s="95" t="e">
        <f>IF(K103=VLOOKUP($A103,Feature_List!$A$2:$AO$101,MATCH(AX$1,Feature_List!$A$1:$AO$1,0),FALSE),"OK","BAD")</f>
        <v>#N/A</v>
      </c>
      <c r="AY103" s="95" t="e">
        <f>IF(L103=VLOOKUP($A103,Feature_List!$A$2:$AO$101,MATCH(AY$1,Feature_List!$A$1:$AO$1,0),FALSE),"OK","BAD")</f>
        <v>#N/A</v>
      </c>
      <c r="AZ103" s="95" t="e">
        <f>IF(M103=VLOOKUP($A103,Feature_List!$A$2:$AO$101,MATCH(AZ$1,Feature_List!$A$1:$AO$1,0),FALSE),"OK","BAD")</f>
        <v>#N/A</v>
      </c>
      <c r="BA103" s="95" t="e">
        <f>IF(N103=VLOOKUP($A103,Feature_List!$A$2:$AO$101,MATCH(BA$1,Feature_List!$A$1:$AO$1,0),FALSE),"OK","BAD")</f>
        <v>#N/A</v>
      </c>
      <c r="BB103" s="95" t="e">
        <f>IF(O103=VLOOKUP($A103,Feature_List!$A$2:$AO$101,MATCH(BB$1,Feature_List!$A$1:$AO$1,0),FALSE),"OK","BAD")</f>
        <v>#N/A</v>
      </c>
      <c r="BC103" s="95" t="e">
        <f>IF(P103=VLOOKUP($A103,Feature_List!$A$2:$AO$101,MATCH(BC$1,Feature_List!$A$1:$AO$1,0),FALSE),"OK","BAD")</f>
        <v>#N/A</v>
      </c>
      <c r="BD103" s="95" t="e">
        <f>IF(Q103=VLOOKUP($A103,Feature_List!$A$2:$AO$101,MATCH(BD$1,Feature_List!$A$1:$AO$1,0),FALSE),"OK","BAD")</f>
        <v>#N/A</v>
      </c>
      <c r="BE103" s="95" t="e">
        <f>IF(R103=VLOOKUP($A103,Feature_List!$A$2:$AO$101,MATCH(BE$1,Feature_List!$A$1:$AO$1,0),FALSE),"OK","BAD")</f>
        <v>#N/A</v>
      </c>
      <c r="BF103" s="95" t="e">
        <f>IF(S103=VLOOKUP($A103,Feature_List!$A$2:$AO$101,MATCH(BF$1,Feature_List!$A$1:$AO$1,0),FALSE),"OK","BAD")</f>
        <v>#N/A</v>
      </c>
      <c r="BG103" s="95" t="e">
        <f>IF(T103=VLOOKUP($A103,Feature_List!$A$2:$AO$101,MATCH(BG$1,Feature_List!$A$1:$AO$1,0),FALSE),"OK","BAD")</f>
        <v>#N/A</v>
      </c>
      <c r="BH103" s="95" t="e">
        <f>IF(U103=VLOOKUP($A103,Feature_List!$A$2:$AO$101,MATCH(BH$1,Feature_List!$A$1:$AO$1,0),FALSE),"OK","BAD")</f>
        <v>#N/A</v>
      </c>
      <c r="BI103" s="95" t="e">
        <f>IF(V103=VLOOKUP($A103,Feature_List!$A$2:$AO$101,MATCH(BI$1,Feature_List!$A$1:$AO$1,0),FALSE),"OK","BAD")</f>
        <v>#N/A</v>
      </c>
      <c r="BJ103" s="95" t="e">
        <f>IF(W103=VLOOKUP($A103,Feature_List!$A$2:$AO$101,MATCH(BJ$1,Feature_List!$A$1:$AO$1,0),FALSE),"OK","BAD")</f>
        <v>#N/A</v>
      </c>
      <c r="BK103" s="95" t="e">
        <f>IF(X103=VLOOKUP($A103,Feature_List!$A$2:$AO$101,MATCH(BK$1,Feature_List!$A$1:$AO$1,0),FALSE),"OK","BAD")</f>
        <v>#N/A</v>
      </c>
      <c r="BL103" s="95" t="e">
        <f>IF(Y103=VLOOKUP($A103,Feature_List!$A$2:$AO$101,MATCH(BL$1,Feature_List!$A$1:$AO$1,0),FALSE),"OK","BAD")</f>
        <v>#N/A</v>
      </c>
      <c r="BM103" s="95" t="e">
        <f>IF(Z103=VLOOKUP($A103,Feature_List!$A$2:$AO$101,MATCH(BM$1,Feature_List!$A$1:$AO$1,0),FALSE),"OK","BAD")</f>
        <v>#N/A</v>
      </c>
      <c r="BN103" s="95" t="e">
        <f>IF(AA103=VLOOKUP($A103,Feature_List!$A$2:$AO$101,MATCH(BN$1,Feature_List!$A$1:$AO$1,0),FALSE),"OK","BAD")</f>
        <v>#N/A</v>
      </c>
      <c r="BO103" s="95" t="e">
        <f>IF(AB103=VLOOKUP($A103,Feature_List!$A$2:$AO$101,MATCH(BO$1,Feature_List!$A$1:$AO$1,0),FALSE),"OK","BAD")</f>
        <v>#N/A</v>
      </c>
      <c r="BP103" s="95" t="e">
        <f>IF(AC103=VLOOKUP($A103,Feature_List!$A$2:$AO$101,MATCH(BP$1,Feature_List!$A$1:$AO$1,0),FALSE),"OK","BAD")</f>
        <v>#N/A</v>
      </c>
      <c r="BQ103" s="95" t="e">
        <f>IF(AD103=VLOOKUP($A103,Feature_List!$A$2:$AO$101,MATCH(BQ$1,Feature_List!$A$1:$AO$1,0),FALSE),"OK","BAD")</f>
        <v>#N/A</v>
      </c>
      <c r="BR103" s="95" t="e">
        <f>IF(AE103=VLOOKUP($A103,Feature_List!$A$2:$AO$101,MATCH(BR$1,Feature_List!$A$1:$AO$1,0),FALSE),"OK","BAD")</f>
        <v>#N/A</v>
      </c>
      <c r="BS103" s="95" t="e">
        <f>IF(AF103=VLOOKUP($A103,Feature_List!$A$2:$AO$101,MATCH(BS$1,Feature_List!$A$1:$AO$1,0),FALSE),"OK","BAD")</f>
        <v>#N/A</v>
      </c>
      <c r="BT103" s="95" t="e">
        <f>IF(AG103=VLOOKUP($A103,Feature_List!$A$2:$AO$101,MATCH(BT$1,Feature_List!$A$1:$AO$1,0),FALSE),"OK","BAD")</f>
        <v>#N/A</v>
      </c>
      <c r="BU103" s="95" t="e">
        <f>IF(AH103=VLOOKUP($A103,Feature_List!$A$2:$AO$101,MATCH(BU$1,Feature_List!$A$1:$AO$1,0),FALSE),"OK","BAD")</f>
        <v>#N/A</v>
      </c>
      <c r="BV103" s="95" t="e">
        <f>IF(AI103=VLOOKUP($A103,Feature_List!$A$2:$AO$101,MATCH(BV$1,Feature_List!$A$1:$AO$1,0),FALSE),"OK","BAD")</f>
        <v>#N/A</v>
      </c>
      <c r="BW103" s="95" t="e">
        <f>IF(AJ103=VLOOKUP($A103,Feature_List!$A$2:$AO$101,MATCH(BW$1,Feature_List!$A$1:$AO$1,0),FALSE),"OK","BAD")</f>
        <v>#N/A</v>
      </c>
      <c r="BX103" s="95" t="e">
        <f>IF(AK103=VLOOKUP($A103,Feature_List!$A$2:$AO$101,MATCH(BX$1,Feature_List!$A$1:$AO$1,0),FALSE),"OK","BAD")</f>
        <v>#N/A</v>
      </c>
      <c r="BY103" s="95" t="e">
        <f>IF(AL103=VLOOKUP($A103,Feature_List!$A$2:$AO$101,MATCH(BY$1,Feature_List!$A$1:$AO$1,0),FALSE),"OK","BAD")</f>
        <v>#N/A</v>
      </c>
      <c r="BZ103" s="95" t="e">
        <f>IF(AM103=VLOOKUP($A103,Feature_List!$A$2:$AO$101,MATCH(BZ$1,Feature_List!$A$1:$AO$1,0),FALSE),"OK","BAD")</f>
        <v>#N/A</v>
      </c>
      <c r="CA103" s="95" t="e">
        <f>IF(AN103=VLOOKUP($A103,Feature_List!$A$2:$AO$101,MATCH(CA$1,Feature_List!$A$1:$AO$1,0),FALSE),"OK","BAD")</f>
        <v>#N/A</v>
      </c>
    </row>
    <row r="104" spans="1:79" ht="14.4" customHeight="1" x14ac:dyDescent="0.3">
      <c r="A104" s="70"/>
      <c r="B104" s="65"/>
      <c r="C104" s="98"/>
      <c r="D104" s="65"/>
      <c r="E104" s="64"/>
      <c r="F104" s="64"/>
      <c r="G104" s="64"/>
      <c r="H104" s="64"/>
      <c r="I104" s="99"/>
      <c r="J104" s="64"/>
      <c r="K104" s="64"/>
      <c r="L104" s="62"/>
      <c r="M104" s="67"/>
      <c r="N104" s="67"/>
      <c r="O104" s="67"/>
      <c r="P104" s="66"/>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220"/>
      <c r="AO104" s="224"/>
      <c r="AP104" s="95" t="e">
        <f>IF(C104=VLOOKUP($A104,Feature_List!$A$2:$AO$101,MATCH(AP$1,Feature_List!$A$1:$AO$1,0),FALSE),"OK","BAD")</f>
        <v>#N/A</v>
      </c>
      <c r="AQ104" s="95" t="e">
        <f>IF(D104=VLOOKUP($A104,Feature_List!$A$2:$AO$101,MATCH(AQ$1,Feature_List!$A$1:$AO$1,0),FALSE),"OK","BAD")</f>
        <v>#N/A</v>
      </c>
      <c r="AR104" s="95" t="e">
        <f>IF(E104=VLOOKUP($A104,Feature_List!$A$2:$AO$101,MATCH(AR$1,Feature_List!$A$1:$AO$1,0),FALSE),"OK","BAD")</f>
        <v>#N/A</v>
      </c>
      <c r="AS104" s="95" t="e">
        <f>IF(F104=VLOOKUP($A104,Feature_List!$A$2:$AO$101,MATCH(AS$1,Feature_List!$A$1:$AO$1,0),FALSE),"OK","BAD")</f>
        <v>#N/A</v>
      </c>
      <c r="AT104" s="95" t="s">
        <v>985</v>
      </c>
      <c r="AU104" s="95" t="s">
        <v>985</v>
      </c>
      <c r="AV104" s="95" t="e">
        <f>IF(I104=VLOOKUP($A104,Feature_List!$A$2:$AO$101,MATCH(AV$1,Feature_List!$A$1:$AO$1,0),FALSE),"OK","BAD")</f>
        <v>#N/A</v>
      </c>
      <c r="AW104" s="95" t="e">
        <f>IF(J104=VLOOKUP($A104,Feature_List!$A$2:$AO$101,MATCH(AW$1,Feature_List!$A$1:$AO$1,0),FALSE),"OK","BAD")</f>
        <v>#N/A</v>
      </c>
      <c r="AX104" s="95" t="e">
        <f>IF(K104=VLOOKUP($A104,Feature_List!$A$2:$AO$101,MATCH(AX$1,Feature_List!$A$1:$AO$1,0),FALSE),"OK","BAD")</f>
        <v>#N/A</v>
      </c>
      <c r="AY104" s="95" t="e">
        <f>IF(L104=VLOOKUP($A104,Feature_List!$A$2:$AO$101,MATCH(AY$1,Feature_List!$A$1:$AO$1,0),FALSE),"OK","BAD")</f>
        <v>#N/A</v>
      </c>
      <c r="AZ104" s="95" t="e">
        <f>IF(M104=VLOOKUP($A104,Feature_List!$A$2:$AO$101,MATCH(AZ$1,Feature_List!$A$1:$AO$1,0),FALSE),"OK","BAD")</f>
        <v>#N/A</v>
      </c>
      <c r="BA104" s="95" t="e">
        <f>IF(N104=VLOOKUP($A104,Feature_List!$A$2:$AO$101,MATCH(BA$1,Feature_List!$A$1:$AO$1,0),FALSE),"OK","BAD")</f>
        <v>#N/A</v>
      </c>
      <c r="BB104" s="95" t="e">
        <f>IF(O104=VLOOKUP($A104,Feature_List!$A$2:$AO$101,MATCH(BB$1,Feature_List!$A$1:$AO$1,0),FALSE),"OK","BAD")</f>
        <v>#N/A</v>
      </c>
      <c r="BC104" s="95" t="e">
        <f>IF(P104=VLOOKUP($A104,Feature_List!$A$2:$AO$101,MATCH(BC$1,Feature_List!$A$1:$AO$1,0),FALSE),"OK","BAD")</f>
        <v>#N/A</v>
      </c>
      <c r="BD104" s="95" t="e">
        <f>IF(Q104=VLOOKUP($A104,Feature_List!$A$2:$AO$101,MATCH(BD$1,Feature_List!$A$1:$AO$1,0),FALSE),"OK","BAD")</f>
        <v>#N/A</v>
      </c>
      <c r="BE104" s="95" t="e">
        <f>IF(R104=VLOOKUP($A104,Feature_List!$A$2:$AO$101,MATCH(BE$1,Feature_List!$A$1:$AO$1,0),FALSE),"OK","BAD")</f>
        <v>#N/A</v>
      </c>
      <c r="BF104" s="95" t="e">
        <f>IF(S104=VLOOKUP($A104,Feature_List!$A$2:$AO$101,MATCH(BF$1,Feature_List!$A$1:$AO$1,0),FALSE),"OK","BAD")</f>
        <v>#N/A</v>
      </c>
      <c r="BG104" s="95" t="e">
        <f>IF(T104=VLOOKUP($A104,Feature_List!$A$2:$AO$101,MATCH(BG$1,Feature_List!$A$1:$AO$1,0),FALSE),"OK","BAD")</f>
        <v>#N/A</v>
      </c>
      <c r="BH104" s="95" t="e">
        <f>IF(U104=VLOOKUP($A104,Feature_List!$A$2:$AO$101,MATCH(BH$1,Feature_List!$A$1:$AO$1,0),FALSE),"OK","BAD")</f>
        <v>#N/A</v>
      </c>
      <c r="BI104" s="95" t="e">
        <f>IF(V104=VLOOKUP($A104,Feature_List!$A$2:$AO$101,MATCH(BI$1,Feature_List!$A$1:$AO$1,0),FALSE),"OK","BAD")</f>
        <v>#N/A</v>
      </c>
      <c r="BJ104" s="95" t="e">
        <f>IF(W104=VLOOKUP($A104,Feature_List!$A$2:$AO$101,MATCH(BJ$1,Feature_List!$A$1:$AO$1,0),FALSE),"OK","BAD")</f>
        <v>#N/A</v>
      </c>
      <c r="BK104" s="95" t="e">
        <f>IF(X104=VLOOKUP($A104,Feature_List!$A$2:$AO$101,MATCH(BK$1,Feature_List!$A$1:$AO$1,0),FALSE),"OK","BAD")</f>
        <v>#N/A</v>
      </c>
      <c r="BL104" s="95" t="e">
        <f>IF(Y104=VLOOKUP($A104,Feature_List!$A$2:$AO$101,MATCH(BL$1,Feature_List!$A$1:$AO$1,0),FALSE),"OK","BAD")</f>
        <v>#N/A</v>
      </c>
      <c r="BM104" s="95" t="e">
        <f>IF(Z104=VLOOKUP($A104,Feature_List!$A$2:$AO$101,MATCH(BM$1,Feature_List!$A$1:$AO$1,0),FALSE),"OK","BAD")</f>
        <v>#N/A</v>
      </c>
      <c r="BN104" s="95" t="e">
        <f>IF(AA104=VLOOKUP($A104,Feature_List!$A$2:$AO$101,MATCH(BN$1,Feature_List!$A$1:$AO$1,0),FALSE),"OK","BAD")</f>
        <v>#N/A</v>
      </c>
      <c r="BO104" s="95" t="e">
        <f>IF(AB104=VLOOKUP($A104,Feature_List!$A$2:$AO$101,MATCH(BO$1,Feature_List!$A$1:$AO$1,0),FALSE),"OK","BAD")</f>
        <v>#N/A</v>
      </c>
      <c r="BP104" s="95" t="e">
        <f>IF(AC104=VLOOKUP($A104,Feature_List!$A$2:$AO$101,MATCH(BP$1,Feature_List!$A$1:$AO$1,0),FALSE),"OK","BAD")</f>
        <v>#N/A</v>
      </c>
      <c r="BQ104" s="95" t="e">
        <f>IF(AD104=VLOOKUP($A104,Feature_List!$A$2:$AO$101,MATCH(BQ$1,Feature_List!$A$1:$AO$1,0),FALSE),"OK","BAD")</f>
        <v>#N/A</v>
      </c>
      <c r="BR104" s="95" t="e">
        <f>IF(AE104=VLOOKUP($A104,Feature_List!$A$2:$AO$101,MATCH(BR$1,Feature_List!$A$1:$AO$1,0),FALSE),"OK","BAD")</f>
        <v>#N/A</v>
      </c>
      <c r="BS104" s="95" t="e">
        <f>IF(AF104=VLOOKUP($A104,Feature_List!$A$2:$AO$101,MATCH(BS$1,Feature_List!$A$1:$AO$1,0),FALSE),"OK","BAD")</f>
        <v>#N/A</v>
      </c>
      <c r="BT104" s="95" t="e">
        <f>IF(AG104=VLOOKUP($A104,Feature_List!$A$2:$AO$101,MATCH(BT$1,Feature_List!$A$1:$AO$1,0),FALSE),"OK","BAD")</f>
        <v>#N/A</v>
      </c>
      <c r="BU104" s="95" t="e">
        <f>IF(AH104=VLOOKUP($A104,Feature_List!$A$2:$AO$101,MATCH(BU$1,Feature_List!$A$1:$AO$1,0),FALSE),"OK","BAD")</f>
        <v>#N/A</v>
      </c>
      <c r="BV104" s="95" t="e">
        <f>IF(AI104=VLOOKUP($A104,Feature_List!$A$2:$AO$101,MATCH(BV$1,Feature_List!$A$1:$AO$1,0),FALSE),"OK","BAD")</f>
        <v>#N/A</v>
      </c>
      <c r="BW104" s="95" t="e">
        <f>IF(AJ104=VLOOKUP($A104,Feature_List!$A$2:$AO$101,MATCH(BW$1,Feature_List!$A$1:$AO$1,0),FALSE),"OK","BAD")</f>
        <v>#N/A</v>
      </c>
      <c r="BX104" s="95" t="e">
        <f>IF(AK104=VLOOKUP($A104,Feature_List!$A$2:$AO$101,MATCH(BX$1,Feature_List!$A$1:$AO$1,0),FALSE),"OK","BAD")</f>
        <v>#N/A</v>
      </c>
      <c r="BY104" s="95" t="e">
        <f>IF(AL104=VLOOKUP($A104,Feature_List!$A$2:$AO$101,MATCH(BY$1,Feature_List!$A$1:$AO$1,0),FALSE),"OK","BAD")</f>
        <v>#N/A</v>
      </c>
      <c r="BZ104" s="95" t="e">
        <f>IF(AM104=VLOOKUP($A104,Feature_List!$A$2:$AO$101,MATCH(BZ$1,Feature_List!$A$1:$AO$1,0),FALSE),"OK","BAD")</f>
        <v>#N/A</v>
      </c>
      <c r="CA104" s="95" t="e">
        <f>IF(AN104=VLOOKUP($A104,Feature_List!$A$2:$AO$101,MATCH(CA$1,Feature_List!$A$1:$AO$1,0),FALSE),"OK","BAD")</f>
        <v>#N/A</v>
      </c>
    </row>
    <row r="105" spans="1:79" ht="14.4" customHeight="1" x14ac:dyDescent="0.3">
      <c r="A105" s="70"/>
      <c r="B105" s="65"/>
      <c r="C105" s="98"/>
      <c r="D105" s="65"/>
      <c r="E105" s="64"/>
      <c r="F105" s="64"/>
      <c r="G105" s="64"/>
      <c r="H105" s="64"/>
      <c r="I105" s="99"/>
      <c r="J105" s="64"/>
      <c r="K105" s="64"/>
      <c r="L105" s="62"/>
      <c r="M105" s="67"/>
      <c r="N105" s="67"/>
      <c r="O105" s="67"/>
      <c r="P105" s="66"/>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220"/>
      <c r="AO105" s="224"/>
      <c r="AP105" s="95" t="e">
        <f>IF(C105=VLOOKUP($A105,Feature_List!$A$2:$AO$101,MATCH(AP$1,Feature_List!$A$1:$AO$1,0),FALSE),"OK","BAD")</f>
        <v>#N/A</v>
      </c>
      <c r="AQ105" s="95" t="e">
        <f>IF(D105=VLOOKUP($A105,Feature_List!$A$2:$AO$101,MATCH(AQ$1,Feature_List!$A$1:$AO$1,0),FALSE),"OK","BAD")</f>
        <v>#N/A</v>
      </c>
      <c r="AR105" s="95" t="e">
        <f>IF(E105=VLOOKUP($A105,Feature_List!$A$2:$AO$101,MATCH(AR$1,Feature_List!$A$1:$AO$1,0),FALSE),"OK","BAD")</f>
        <v>#N/A</v>
      </c>
      <c r="AS105" s="95" t="e">
        <f>IF(F105=VLOOKUP($A105,Feature_List!$A$2:$AO$101,MATCH(AS$1,Feature_List!$A$1:$AO$1,0),FALSE),"OK","BAD")</f>
        <v>#N/A</v>
      </c>
      <c r="AT105" s="95" t="s">
        <v>985</v>
      </c>
      <c r="AU105" s="95" t="s">
        <v>985</v>
      </c>
      <c r="AV105" s="95" t="e">
        <f>IF(I105=VLOOKUP($A105,Feature_List!$A$2:$AO$101,MATCH(AV$1,Feature_List!$A$1:$AO$1,0),FALSE),"OK","BAD")</f>
        <v>#N/A</v>
      </c>
      <c r="AW105" s="95" t="e">
        <f>IF(J105=VLOOKUP($A105,Feature_List!$A$2:$AO$101,MATCH(AW$1,Feature_List!$A$1:$AO$1,0),FALSE),"OK","BAD")</f>
        <v>#N/A</v>
      </c>
      <c r="AX105" s="95" t="e">
        <f>IF(K105=VLOOKUP($A105,Feature_List!$A$2:$AO$101,MATCH(AX$1,Feature_List!$A$1:$AO$1,0),FALSE),"OK","BAD")</f>
        <v>#N/A</v>
      </c>
      <c r="AY105" s="95" t="e">
        <f>IF(L105=VLOOKUP($A105,Feature_List!$A$2:$AO$101,MATCH(AY$1,Feature_List!$A$1:$AO$1,0),FALSE),"OK","BAD")</f>
        <v>#N/A</v>
      </c>
      <c r="AZ105" s="95" t="e">
        <f>IF(M105=VLOOKUP($A105,Feature_List!$A$2:$AO$101,MATCH(AZ$1,Feature_List!$A$1:$AO$1,0),FALSE),"OK","BAD")</f>
        <v>#N/A</v>
      </c>
      <c r="BA105" s="95" t="e">
        <f>IF(N105=VLOOKUP($A105,Feature_List!$A$2:$AO$101,MATCH(BA$1,Feature_List!$A$1:$AO$1,0),FALSE),"OK","BAD")</f>
        <v>#N/A</v>
      </c>
      <c r="BB105" s="95" t="e">
        <f>IF(O105=VLOOKUP($A105,Feature_List!$A$2:$AO$101,MATCH(BB$1,Feature_List!$A$1:$AO$1,0),FALSE),"OK","BAD")</f>
        <v>#N/A</v>
      </c>
      <c r="BC105" s="95" t="e">
        <f>IF(P105=VLOOKUP($A105,Feature_List!$A$2:$AO$101,MATCH(BC$1,Feature_List!$A$1:$AO$1,0),FALSE),"OK","BAD")</f>
        <v>#N/A</v>
      </c>
      <c r="BD105" s="95" t="e">
        <f>IF(Q105=VLOOKUP($A105,Feature_List!$A$2:$AO$101,MATCH(BD$1,Feature_List!$A$1:$AO$1,0),FALSE),"OK","BAD")</f>
        <v>#N/A</v>
      </c>
      <c r="BE105" s="95" t="e">
        <f>IF(R105=VLOOKUP($A105,Feature_List!$A$2:$AO$101,MATCH(BE$1,Feature_List!$A$1:$AO$1,0),FALSE),"OK","BAD")</f>
        <v>#N/A</v>
      </c>
      <c r="BF105" s="95" t="e">
        <f>IF(S105=VLOOKUP($A105,Feature_List!$A$2:$AO$101,MATCH(BF$1,Feature_List!$A$1:$AO$1,0),FALSE),"OK","BAD")</f>
        <v>#N/A</v>
      </c>
      <c r="BG105" s="95" t="e">
        <f>IF(T105=VLOOKUP($A105,Feature_List!$A$2:$AO$101,MATCH(BG$1,Feature_List!$A$1:$AO$1,0),FALSE),"OK","BAD")</f>
        <v>#N/A</v>
      </c>
      <c r="BH105" s="95" t="e">
        <f>IF(U105=VLOOKUP($A105,Feature_List!$A$2:$AO$101,MATCH(BH$1,Feature_List!$A$1:$AO$1,0),FALSE),"OK","BAD")</f>
        <v>#N/A</v>
      </c>
      <c r="BI105" s="95" t="e">
        <f>IF(V105=VLOOKUP($A105,Feature_List!$A$2:$AO$101,MATCH(BI$1,Feature_List!$A$1:$AO$1,0),FALSE),"OK","BAD")</f>
        <v>#N/A</v>
      </c>
      <c r="BJ105" s="95" t="e">
        <f>IF(W105=VLOOKUP($A105,Feature_List!$A$2:$AO$101,MATCH(BJ$1,Feature_List!$A$1:$AO$1,0),FALSE),"OK","BAD")</f>
        <v>#N/A</v>
      </c>
      <c r="BK105" s="95" t="e">
        <f>IF(X105=VLOOKUP($A105,Feature_List!$A$2:$AO$101,MATCH(BK$1,Feature_List!$A$1:$AO$1,0),FALSE),"OK","BAD")</f>
        <v>#N/A</v>
      </c>
      <c r="BL105" s="95" t="e">
        <f>IF(Y105=VLOOKUP($A105,Feature_List!$A$2:$AO$101,MATCH(BL$1,Feature_List!$A$1:$AO$1,0),FALSE),"OK","BAD")</f>
        <v>#N/A</v>
      </c>
      <c r="BM105" s="95" t="e">
        <f>IF(Z105=VLOOKUP($A105,Feature_List!$A$2:$AO$101,MATCH(BM$1,Feature_List!$A$1:$AO$1,0),FALSE),"OK","BAD")</f>
        <v>#N/A</v>
      </c>
      <c r="BN105" s="95" t="e">
        <f>IF(AA105=VLOOKUP($A105,Feature_List!$A$2:$AO$101,MATCH(BN$1,Feature_List!$A$1:$AO$1,0),FALSE),"OK","BAD")</f>
        <v>#N/A</v>
      </c>
      <c r="BO105" s="95" t="e">
        <f>IF(AB105=VLOOKUP($A105,Feature_List!$A$2:$AO$101,MATCH(BO$1,Feature_List!$A$1:$AO$1,0),FALSE),"OK","BAD")</f>
        <v>#N/A</v>
      </c>
      <c r="BP105" s="95" t="e">
        <f>IF(AC105=VLOOKUP($A105,Feature_List!$A$2:$AO$101,MATCH(BP$1,Feature_List!$A$1:$AO$1,0),FALSE),"OK","BAD")</f>
        <v>#N/A</v>
      </c>
      <c r="BQ105" s="95" t="e">
        <f>IF(AD105=VLOOKUP($A105,Feature_List!$A$2:$AO$101,MATCH(BQ$1,Feature_List!$A$1:$AO$1,0),FALSE),"OK","BAD")</f>
        <v>#N/A</v>
      </c>
      <c r="BR105" s="95" t="e">
        <f>IF(AE105=VLOOKUP($A105,Feature_List!$A$2:$AO$101,MATCH(BR$1,Feature_List!$A$1:$AO$1,0),FALSE),"OK","BAD")</f>
        <v>#N/A</v>
      </c>
      <c r="BS105" s="95" t="e">
        <f>IF(AF105=VLOOKUP($A105,Feature_List!$A$2:$AO$101,MATCH(BS$1,Feature_List!$A$1:$AO$1,0),FALSE),"OK","BAD")</f>
        <v>#N/A</v>
      </c>
      <c r="BT105" s="95" t="e">
        <f>IF(AG105=VLOOKUP($A105,Feature_List!$A$2:$AO$101,MATCH(BT$1,Feature_List!$A$1:$AO$1,0),FALSE),"OK","BAD")</f>
        <v>#N/A</v>
      </c>
      <c r="BU105" s="95" t="e">
        <f>IF(AH105=VLOOKUP($A105,Feature_List!$A$2:$AO$101,MATCH(BU$1,Feature_List!$A$1:$AO$1,0),FALSE),"OK","BAD")</f>
        <v>#N/A</v>
      </c>
      <c r="BV105" s="95" t="e">
        <f>IF(AI105=VLOOKUP($A105,Feature_List!$A$2:$AO$101,MATCH(BV$1,Feature_List!$A$1:$AO$1,0),FALSE),"OK","BAD")</f>
        <v>#N/A</v>
      </c>
      <c r="BW105" s="95" t="e">
        <f>IF(AJ105=VLOOKUP($A105,Feature_List!$A$2:$AO$101,MATCH(BW$1,Feature_List!$A$1:$AO$1,0),FALSE),"OK","BAD")</f>
        <v>#N/A</v>
      </c>
      <c r="BX105" s="95" t="e">
        <f>IF(AK105=VLOOKUP($A105,Feature_List!$A$2:$AO$101,MATCH(BX$1,Feature_List!$A$1:$AO$1,0),FALSE),"OK","BAD")</f>
        <v>#N/A</v>
      </c>
      <c r="BY105" s="95" t="e">
        <f>IF(AL105=VLOOKUP($A105,Feature_List!$A$2:$AO$101,MATCH(BY$1,Feature_List!$A$1:$AO$1,0),FALSE),"OK","BAD")</f>
        <v>#N/A</v>
      </c>
      <c r="BZ105" s="95" t="e">
        <f>IF(AM105=VLOOKUP($A105,Feature_List!$A$2:$AO$101,MATCH(BZ$1,Feature_List!$A$1:$AO$1,0),FALSE),"OK","BAD")</f>
        <v>#N/A</v>
      </c>
      <c r="CA105" s="95" t="e">
        <f>IF(AN105=VLOOKUP($A105,Feature_List!$A$2:$AO$101,MATCH(CA$1,Feature_List!$A$1:$AO$1,0),FALSE),"OK","BAD")</f>
        <v>#N/A</v>
      </c>
    </row>
    <row r="106" spans="1:79" ht="14.4" customHeight="1" x14ac:dyDescent="0.3">
      <c r="A106" s="70"/>
      <c r="B106" s="65"/>
      <c r="C106" s="98"/>
      <c r="D106" s="65"/>
      <c r="E106" s="64"/>
      <c r="F106" s="64"/>
      <c r="G106" s="64"/>
      <c r="H106" s="64"/>
      <c r="I106" s="99"/>
      <c r="J106" s="64"/>
      <c r="K106" s="64"/>
      <c r="L106" s="62"/>
      <c r="M106" s="67"/>
      <c r="N106" s="67"/>
      <c r="O106" s="67"/>
      <c r="P106" s="66"/>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s="63"/>
      <c r="AN106" s="220"/>
      <c r="AO106" s="224"/>
      <c r="AP106" s="95" t="e">
        <f>IF(C106=VLOOKUP($A106,Feature_List!$A$2:$AO$101,MATCH(AP$1,Feature_List!$A$1:$AO$1,0),FALSE),"OK","BAD")</f>
        <v>#N/A</v>
      </c>
      <c r="AQ106" s="95" t="e">
        <f>IF(D106=VLOOKUP($A106,Feature_List!$A$2:$AO$101,MATCH(AQ$1,Feature_List!$A$1:$AO$1,0),FALSE),"OK","BAD")</f>
        <v>#N/A</v>
      </c>
      <c r="AR106" s="95" t="e">
        <f>IF(E106=VLOOKUP($A106,Feature_List!$A$2:$AO$101,MATCH(AR$1,Feature_List!$A$1:$AO$1,0),FALSE),"OK","BAD")</f>
        <v>#N/A</v>
      </c>
      <c r="AS106" s="95" t="e">
        <f>IF(F106=VLOOKUP($A106,Feature_List!$A$2:$AO$101,MATCH(AS$1,Feature_List!$A$1:$AO$1,0),FALSE),"OK","BAD")</f>
        <v>#N/A</v>
      </c>
      <c r="AT106" s="95" t="s">
        <v>985</v>
      </c>
      <c r="AU106" s="95" t="s">
        <v>985</v>
      </c>
      <c r="AV106" s="95" t="e">
        <f>IF(I106=VLOOKUP($A106,Feature_List!$A$2:$AO$101,MATCH(AV$1,Feature_List!$A$1:$AO$1,0),FALSE),"OK","BAD")</f>
        <v>#N/A</v>
      </c>
      <c r="AW106" s="95" t="e">
        <f>IF(J106=VLOOKUP($A106,Feature_List!$A$2:$AO$101,MATCH(AW$1,Feature_List!$A$1:$AO$1,0),FALSE),"OK","BAD")</f>
        <v>#N/A</v>
      </c>
      <c r="AX106" s="95" t="e">
        <f>IF(K106=VLOOKUP($A106,Feature_List!$A$2:$AO$101,MATCH(AX$1,Feature_List!$A$1:$AO$1,0),FALSE),"OK","BAD")</f>
        <v>#N/A</v>
      </c>
      <c r="AY106" s="95" t="e">
        <f>IF(L106=VLOOKUP($A106,Feature_List!$A$2:$AO$101,MATCH(AY$1,Feature_List!$A$1:$AO$1,0),FALSE),"OK","BAD")</f>
        <v>#N/A</v>
      </c>
      <c r="AZ106" s="95" t="e">
        <f>IF(M106=VLOOKUP($A106,Feature_List!$A$2:$AO$101,MATCH(AZ$1,Feature_List!$A$1:$AO$1,0),FALSE),"OK","BAD")</f>
        <v>#N/A</v>
      </c>
      <c r="BA106" s="95" t="e">
        <f>IF(N106=VLOOKUP($A106,Feature_List!$A$2:$AO$101,MATCH(BA$1,Feature_List!$A$1:$AO$1,0),FALSE),"OK","BAD")</f>
        <v>#N/A</v>
      </c>
      <c r="BB106" s="95" t="e">
        <f>IF(O106=VLOOKUP($A106,Feature_List!$A$2:$AO$101,MATCH(BB$1,Feature_List!$A$1:$AO$1,0),FALSE),"OK","BAD")</f>
        <v>#N/A</v>
      </c>
      <c r="BC106" s="95" t="e">
        <f>IF(P106=VLOOKUP($A106,Feature_List!$A$2:$AO$101,MATCH(BC$1,Feature_List!$A$1:$AO$1,0),FALSE),"OK","BAD")</f>
        <v>#N/A</v>
      </c>
      <c r="BD106" s="95" t="e">
        <f>IF(Q106=VLOOKUP($A106,Feature_List!$A$2:$AO$101,MATCH(BD$1,Feature_List!$A$1:$AO$1,0),FALSE),"OK","BAD")</f>
        <v>#N/A</v>
      </c>
      <c r="BE106" s="95" t="e">
        <f>IF(R106=VLOOKUP($A106,Feature_List!$A$2:$AO$101,MATCH(BE$1,Feature_List!$A$1:$AO$1,0),FALSE),"OK","BAD")</f>
        <v>#N/A</v>
      </c>
      <c r="BF106" s="95" t="e">
        <f>IF(S106=VLOOKUP($A106,Feature_List!$A$2:$AO$101,MATCH(BF$1,Feature_List!$A$1:$AO$1,0),FALSE),"OK","BAD")</f>
        <v>#N/A</v>
      </c>
      <c r="BG106" s="95" t="e">
        <f>IF(T106=VLOOKUP($A106,Feature_List!$A$2:$AO$101,MATCH(BG$1,Feature_List!$A$1:$AO$1,0),FALSE),"OK","BAD")</f>
        <v>#N/A</v>
      </c>
      <c r="BH106" s="95" t="e">
        <f>IF(U106=VLOOKUP($A106,Feature_List!$A$2:$AO$101,MATCH(BH$1,Feature_List!$A$1:$AO$1,0),FALSE),"OK","BAD")</f>
        <v>#N/A</v>
      </c>
      <c r="BI106" s="95" t="e">
        <f>IF(V106=VLOOKUP($A106,Feature_List!$A$2:$AO$101,MATCH(BI$1,Feature_List!$A$1:$AO$1,0),FALSE),"OK","BAD")</f>
        <v>#N/A</v>
      </c>
      <c r="BJ106" s="95" t="e">
        <f>IF(W106=VLOOKUP($A106,Feature_List!$A$2:$AO$101,MATCH(BJ$1,Feature_List!$A$1:$AO$1,0),FALSE),"OK","BAD")</f>
        <v>#N/A</v>
      </c>
      <c r="BK106" s="95" t="e">
        <f>IF(X106=VLOOKUP($A106,Feature_List!$A$2:$AO$101,MATCH(BK$1,Feature_List!$A$1:$AO$1,0),FALSE),"OK","BAD")</f>
        <v>#N/A</v>
      </c>
      <c r="BL106" s="95" t="e">
        <f>IF(Y106=VLOOKUP($A106,Feature_List!$A$2:$AO$101,MATCH(BL$1,Feature_List!$A$1:$AO$1,0),FALSE),"OK","BAD")</f>
        <v>#N/A</v>
      </c>
      <c r="BM106" s="95" t="e">
        <f>IF(Z106=VLOOKUP($A106,Feature_List!$A$2:$AO$101,MATCH(BM$1,Feature_List!$A$1:$AO$1,0),FALSE),"OK","BAD")</f>
        <v>#N/A</v>
      </c>
      <c r="BN106" s="95" t="e">
        <f>IF(AA106=VLOOKUP($A106,Feature_List!$A$2:$AO$101,MATCH(BN$1,Feature_List!$A$1:$AO$1,0),FALSE),"OK","BAD")</f>
        <v>#N/A</v>
      </c>
      <c r="BO106" s="95" t="e">
        <f>IF(AB106=VLOOKUP($A106,Feature_List!$A$2:$AO$101,MATCH(BO$1,Feature_List!$A$1:$AO$1,0),FALSE),"OK","BAD")</f>
        <v>#N/A</v>
      </c>
      <c r="BP106" s="95" t="e">
        <f>IF(AC106=VLOOKUP($A106,Feature_List!$A$2:$AO$101,MATCH(BP$1,Feature_List!$A$1:$AO$1,0),FALSE),"OK","BAD")</f>
        <v>#N/A</v>
      </c>
      <c r="BQ106" s="95" t="e">
        <f>IF(AD106=VLOOKUP($A106,Feature_List!$A$2:$AO$101,MATCH(BQ$1,Feature_List!$A$1:$AO$1,0),FALSE),"OK","BAD")</f>
        <v>#N/A</v>
      </c>
      <c r="BR106" s="95" t="e">
        <f>IF(AE106=VLOOKUP($A106,Feature_List!$A$2:$AO$101,MATCH(BR$1,Feature_List!$A$1:$AO$1,0),FALSE),"OK","BAD")</f>
        <v>#N/A</v>
      </c>
      <c r="BS106" s="95" t="e">
        <f>IF(AF106=VLOOKUP($A106,Feature_List!$A$2:$AO$101,MATCH(BS$1,Feature_List!$A$1:$AO$1,0),FALSE),"OK","BAD")</f>
        <v>#N/A</v>
      </c>
      <c r="BT106" s="95" t="e">
        <f>IF(AG106=VLOOKUP($A106,Feature_List!$A$2:$AO$101,MATCH(BT$1,Feature_List!$A$1:$AO$1,0),FALSE),"OK","BAD")</f>
        <v>#N/A</v>
      </c>
      <c r="BU106" s="95" t="e">
        <f>IF(AH106=VLOOKUP($A106,Feature_List!$A$2:$AO$101,MATCH(BU$1,Feature_List!$A$1:$AO$1,0),FALSE),"OK","BAD")</f>
        <v>#N/A</v>
      </c>
      <c r="BV106" s="95" t="e">
        <f>IF(AI106=VLOOKUP($A106,Feature_List!$A$2:$AO$101,MATCH(BV$1,Feature_List!$A$1:$AO$1,0),FALSE),"OK","BAD")</f>
        <v>#N/A</v>
      </c>
      <c r="BW106" s="95" t="e">
        <f>IF(AJ106=VLOOKUP($A106,Feature_List!$A$2:$AO$101,MATCH(BW$1,Feature_List!$A$1:$AO$1,0),FALSE),"OK","BAD")</f>
        <v>#N/A</v>
      </c>
      <c r="BX106" s="95" t="e">
        <f>IF(AK106=VLOOKUP($A106,Feature_List!$A$2:$AO$101,MATCH(BX$1,Feature_List!$A$1:$AO$1,0),FALSE),"OK","BAD")</f>
        <v>#N/A</v>
      </c>
      <c r="BY106" s="95" t="e">
        <f>IF(AL106=VLOOKUP($A106,Feature_List!$A$2:$AO$101,MATCH(BY$1,Feature_List!$A$1:$AO$1,0),FALSE),"OK","BAD")</f>
        <v>#N/A</v>
      </c>
      <c r="BZ106" s="95" t="e">
        <f>IF(AM106=VLOOKUP($A106,Feature_List!$A$2:$AO$101,MATCH(BZ$1,Feature_List!$A$1:$AO$1,0),FALSE),"OK","BAD")</f>
        <v>#N/A</v>
      </c>
      <c r="CA106" s="95" t="e">
        <f>IF(AN106=VLOOKUP($A106,Feature_List!$A$2:$AO$101,MATCH(CA$1,Feature_List!$A$1:$AO$1,0),FALSE),"OK","BAD")</f>
        <v>#N/A</v>
      </c>
    </row>
    <row r="107" spans="1:79" ht="14.4" customHeight="1" x14ac:dyDescent="0.3">
      <c r="A107" s="34"/>
      <c r="B107" s="34"/>
      <c r="C107" s="34"/>
      <c r="D107" s="34"/>
      <c r="E107" s="54"/>
      <c r="F107" s="34"/>
      <c r="G107" s="34"/>
      <c r="H107" s="34"/>
      <c r="I107" s="34"/>
      <c r="J107" s="34"/>
      <c r="K107" s="34"/>
      <c r="L107" s="96"/>
      <c r="M107" s="34"/>
      <c r="N107" s="34"/>
      <c r="O107" s="34"/>
      <c r="P107" s="34"/>
      <c r="Q107" s="54"/>
      <c r="R107" s="34"/>
      <c r="S107" s="54"/>
      <c r="T107" s="54"/>
      <c r="U107" s="54"/>
      <c r="V107" s="54"/>
      <c r="W107" s="54"/>
      <c r="X107" s="54"/>
      <c r="Y107" s="54"/>
      <c r="Z107" s="54"/>
      <c r="AA107" s="54"/>
      <c r="AB107" s="54"/>
      <c r="AC107" s="54"/>
      <c r="AD107" s="54"/>
      <c r="AE107" s="54"/>
      <c r="AF107" s="54"/>
      <c r="AG107" s="54"/>
      <c r="AH107" s="54"/>
      <c r="AI107" s="54"/>
      <c r="AJ107" s="54"/>
      <c r="AK107" s="54"/>
      <c r="AL107" s="54"/>
      <c r="AM107" s="54"/>
      <c r="AN107" s="221"/>
      <c r="AO107" s="224"/>
      <c r="AP107" s="95" t="e">
        <f>IF(C107=VLOOKUP($A107,Feature_List!$A$2:$AO$101,MATCH(AP$1,Feature_List!$A$1:$AO$1,0),FALSE),"OK","BAD")</f>
        <v>#N/A</v>
      </c>
      <c r="AQ107" s="95" t="e">
        <f>IF(D107=VLOOKUP($A107,Feature_List!$A$2:$AO$101,MATCH(AQ$1,Feature_List!$A$1:$AO$1,0),FALSE),"OK","BAD")</f>
        <v>#N/A</v>
      </c>
      <c r="AR107" s="95" t="e">
        <f>IF(E107=VLOOKUP($A107,Feature_List!$A$2:$AO$101,MATCH(AR$1,Feature_List!$A$1:$AO$1,0),FALSE),"OK","BAD")</f>
        <v>#N/A</v>
      </c>
      <c r="AS107" s="95" t="e">
        <f>IF(F107=VLOOKUP($A107,Feature_List!$A$2:$AO$101,MATCH(AS$1,Feature_List!$A$1:$AO$1,0),FALSE),"OK","BAD")</f>
        <v>#N/A</v>
      </c>
      <c r="AT107" s="95" t="s">
        <v>985</v>
      </c>
      <c r="AU107" s="95" t="s">
        <v>985</v>
      </c>
      <c r="AV107" s="95" t="e">
        <f>IF(I107=VLOOKUP($A107,Feature_List!$A$2:$AO$101,MATCH(AV$1,Feature_List!$A$1:$AO$1,0),FALSE),"OK","BAD")</f>
        <v>#N/A</v>
      </c>
      <c r="AW107" s="95" t="e">
        <f>IF(J107=VLOOKUP($A107,Feature_List!$A$2:$AO$101,MATCH(AW$1,Feature_List!$A$1:$AO$1,0),FALSE),"OK","BAD")</f>
        <v>#N/A</v>
      </c>
      <c r="AX107" s="95" t="e">
        <f>IF(K107=VLOOKUP($A107,Feature_List!$A$2:$AO$101,MATCH(AX$1,Feature_List!$A$1:$AO$1,0),FALSE),"OK","BAD")</f>
        <v>#N/A</v>
      </c>
      <c r="AY107" s="95" t="e">
        <f>IF(L107=VLOOKUP($A107,Feature_List!$A$2:$AO$101,MATCH(AY$1,Feature_List!$A$1:$AO$1,0),FALSE),"OK","BAD")</f>
        <v>#N/A</v>
      </c>
      <c r="AZ107" s="95" t="e">
        <f>IF(M107=VLOOKUP($A107,Feature_List!$A$2:$AO$101,MATCH(AZ$1,Feature_List!$A$1:$AO$1,0),FALSE),"OK","BAD")</f>
        <v>#N/A</v>
      </c>
      <c r="BA107" s="95" t="e">
        <f>IF(N107=VLOOKUP($A107,Feature_List!$A$2:$AO$101,MATCH(BA$1,Feature_List!$A$1:$AO$1,0),FALSE),"OK","BAD")</f>
        <v>#N/A</v>
      </c>
      <c r="BB107" s="95" t="e">
        <f>IF(O107=VLOOKUP($A107,Feature_List!$A$2:$AO$101,MATCH(BB$1,Feature_List!$A$1:$AO$1,0),FALSE),"OK","BAD")</f>
        <v>#N/A</v>
      </c>
      <c r="BC107" s="95" t="e">
        <f>IF(P107=VLOOKUP($A107,Feature_List!$A$2:$AO$101,MATCH(BC$1,Feature_List!$A$1:$AO$1,0),FALSE),"OK","BAD")</f>
        <v>#N/A</v>
      </c>
      <c r="BD107" s="95" t="e">
        <f>IF(Q107=VLOOKUP($A107,Feature_List!$A$2:$AO$101,MATCH(BD$1,Feature_List!$A$1:$AO$1,0),FALSE),"OK","BAD")</f>
        <v>#N/A</v>
      </c>
      <c r="BE107" s="95" t="e">
        <f>IF(R107=VLOOKUP($A107,Feature_List!$A$2:$AO$101,MATCH(BE$1,Feature_List!$A$1:$AO$1,0),FALSE),"OK","BAD")</f>
        <v>#N/A</v>
      </c>
      <c r="BF107" s="95" t="e">
        <f>IF(S107=VLOOKUP($A107,Feature_List!$A$2:$AO$101,MATCH(BF$1,Feature_List!$A$1:$AO$1,0),FALSE),"OK","BAD")</f>
        <v>#N/A</v>
      </c>
      <c r="BG107" s="95" t="e">
        <f>IF(T107=VLOOKUP($A107,Feature_List!$A$2:$AO$101,MATCH(BG$1,Feature_List!$A$1:$AO$1,0),FALSE),"OK","BAD")</f>
        <v>#N/A</v>
      </c>
      <c r="BH107" s="95" t="e">
        <f>IF(U107=VLOOKUP($A107,Feature_List!$A$2:$AO$101,MATCH(BH$1,Feature_List!$A$1:$AO$1,0),FALSE),"OK","BAD")</f>
        <v>#N/A</v>
      </c>
      <c r="BI107" s="95" t="e">
        <f>IF(V107=VLOOKUP($A107,Feature_List!$A$2:$AO$101,MATCH(BI$1,Feature_List!$A$1:$AO$1,0),FALSE),"OK","BAD")</f>
        <v>#N/A</v>
      </c>
      <c r="BJ107" s="95" t="e">
        <f>IF(W107=VLOOKUP($A107,Feature_List!$A$2:$AO$101,MATCH(BJ$1,Feature_List!$A$1:$AO$1,0),FALSE),"OK","BAD")</f>
        <v>#N/A</v>
      </c>
      <c r="BK107" s="95" t="e">
        <f>IF(X107=VLOOKUP($A107,Feature_List!$A$2:$AO$101,MATCH(BK$1,Feature_List!$A$1:$AO$1,0),FALSE),"OK","BAD")</f>
        <v>#N/A</v>
      </c>
      <c r="BL107" s="95" t="e">
        <f>IF(Y107=VLOOKUP($A107,Feature_List!$A$2:$AO$101,MATCH(BL$1,Feature_List!$A$1:$AO$1,0),FALSE),"OK","BAD")</f>
        <v>#N/A</v>
      </c>
      <c r="BM107" s="95" t="e">
        <f>IF(Z107=VLOOKUP($A107,Feature_List!$A$2:$AO$101,MATCH(BM$1,Feature_List!$A$1:$AO$1,0),FALSE),"OK","BAD")</f>
        <v>#N/A</v>
      </c>
      <c r="BN107" s="95" t="e">
        <f>IF(AA107=VLOOKUP($A107,Feature_List!$A$2:$AO$101,MATCH(BN$1,Feature_List!$A$1:$AO$1,0),FALSE),"OK","BAD")</f>
        <v>#N/A</v>
      </c>
      <c r="BO107" s="95" t="e">
        <f>IF(AB107=VLOOKUP($A107,Feature_List!$A$2:$AO$101,MATCH(BO$1,Feature_List!$A$1:$AO$1,0),FALSE),"OK","BAD")</f>
        <v>#N/A</v>
      </c>
      <c r="BP107" s="95" t="e">
        <f>IF(AC107=VLOOKUP($A107,Feature_List!$A$2:$AO$101,MATCH(BP$1,Feature_List!$A$1:$AO$1,0),FALSE),"OK","BAD")</f>
        <v>#N/A</v>
      </c>
      <c r="BQ107" s="95" t="e">
        <f>IF(AD107=VLOOKUP($A107,Feature_List!$A$2:$AO$101,MATCH(BQ$1,Feature_List!$A$1:$AO$1,0),FALSE),"OK","BAD")</f>
        <v>#N/A</v>
      </c>
      <c r="BR107" s="95" t="e">
        <f>IF(AE107=VLOOKUP($A107,Feature_List!$A$2:$AO$101,MATCH(BR$1,Feature_List!$A$1:$AO$1,0),FALSE),"OK","BAD")</f>
        <v>#N/A</v>
      </c>
      <c r="BS107" s="95" t="e">
        <f>IF(AF107=VLOOKUP($A107,Feature_List!$A$2:$AO$101,MATCH(BS$1,Feature_List!$A$1:$AO$1,0),FALSE),"OK","BAD")</f>
        <v>#N/A</v>
      </c>
      <c r="BT107" s="95" t="e">
        <f>IF(AG107=VLOOKUP($A107,Feature_List!$A$2:$AO$101,MATCH(BT$1,Feature_List!$A$1:$AO$1,0),FALSE),"OK","BAD")</f>
        <v>#N/A</v>
      </c>
      <c r="BU107" s="95" t="e">
        <f>IF(AH107=VLOOKUP($A107,Feature_List!$A$2:$AO$101,MATCH(BU$1,Feature_List!$A$1:$AO$1,0),FALSE),"OK","BAD")</f>
        <v>#N/A</v>
      </c>
      <c r="BV107" s="95" t="e">
        <f>IF(AI107=VLOOKUP($A107,Feature_List!$A$2:$AO$101,MATCH(BV$1,Feature_List!$A$1:$AO$1,0),FALSE),"OK","BAD")</f>
        <v>#N/A</v>
      </c>
      <c r="BW107" s="95" t="e">
        <f>IF(AJ107=VLOOKUP($A107,Feature_List!$A$2:$AO$101,MATCH(BW$1,Feature_List!$A$1:$AO$1,0),FALSE),"OK","BAD")</f>
        <v>#N/A</v>
      </c>
      <c r="BX107" s="95" t="e">
        <f>IF(AK107=VLOOKUP($A107,Feature_List!$A$2:$AO$101,MATCH(BX$1,Feature_List!$A$1:$AO$1,0),FALSE),"OK","BAD")</f>
        <v>#N/A</v>
      </c>
      <c r="BY107" s="95" t="e">
        <f>IF(AL107=VLOOKUP($A107,Feature_List!$A$2:$AO$101,MATCH(BY$1,Feature_List!$A$1:$AO$1,0),FALSE),"OK","BAD")</f>
        <v>#N/A</v>
      </c>
      <c r="BZ107" s="95" t="e">
        <f>IF(AM107=VLOOKUP($A107,Feature_List!$A$2:$AO$101,MATCH(BZ$1,Feature_List!$A$1:$AO$1,0),FALSE),"OK","BAD")</f>
        <v>#N/A</v>
      </c>
      <c r="CA107" s="95" t="e">
        <f>IF(AN107=VLOOKUP($A107,Feature_List!$A$2:$AO$101,MATCH(CA$1,Feature_List!$A$1:$AO$1,0),FALSE),"OK","BAD")</f>
        <v>#N/A</v>
      </c>
    </row>
    <row r="108" spans="1:79" ht="14.4" customHeight="1" x14ac:dyDescent="0.3">
      <c r="A108" s="70"/>
      <c r="B108" s="65"/>
      <c r="C108" s="98"/>
      <c r="D108" s="65"/>
      <c r="E108" s="64"/>
      <c r="F108" s="64"/>
      <c r="G108" s="64"/>
      <c r="H108" s="64"/>
      <c r="I108" s="99"/>
      <c r="J108" s="64"/>
      <c r="K108" s="64"/>
      <c r="L108" s="62"/>
      <c r="M108" s="67"/>
      <c r="N108" s="67"/>
      <c r="O108" s="67"/>
      <c r="P108" s="66"/>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220"/>
      <c r="AO108" s="224"/>
      <c r="AP108" s="95" t="e">
        <f>IF(C108=VLOOKUP($A108,Feature_List!$A$2:$AO$101,MATCH(AP$1,Feature_List!$A$1:$AO$1,0),FALSE),"OK","BAD")</f>
        <v>#N/A</v>
      </c>
      <c r="AQ108" s="95" t="e">
        <f>IF(D108=VLOOKUP($A108,Feature_List!$A$2:$AO$101,MATCH(AQ$1,Feature_List!$A$1:$AO$1,0),FALSE),"OK","BAD")</f>
        <v>#N/A</v>
      </c>
      <c r="AR108" s="95" t="e">
        <f>IF(E108=VLOOKUP($A108,Feature_List!$A$2:$AO$101,MATCH(AR$1,Feature_List!$A$1:$AO$1,0),FALSE),"OK","BAD")</f>
        <v>#N/A</v>
      </c>
      <c r="AS108" s="95" t="e">
        <f>IF(F108=VLOOKUP($A108,Feature_List!$A$2:$AO$101,MATCH(AS$1,Feature_List!$A$1:$AO$1,0),FALSE),"OK","BAD")</f>
        <v>#N/A</v>
      </c>
      <c r="AT108" s="95" t="s">
        <v>985</v>
      </c>
      <c r="AU108" s="95" t="s">
        <v>985</v>
      </c>
      <c r="AV108" s="95" t="e">
        <f>IF(I108=VLOOKUP($A108,Feature_List!$A$2:$AO$101,MATCH(AV$1,Feature_List!$A$1:$AO$1,0),FALSE),"OK","BAD")</f>
        <v>#N/A</v>
      </c>
      <c r="AW108" s="95" t="e">
        <f>IF(J108=VLOOKUP($A108,Feature_List!$A$2:$AO$101,MATCH(AW$1,Feature_List!$A$1:$AO$1,0),FALSE),"OK","BAD")</f>
        <v>#N/A</v>
      </c>
      <c r="AX108" s="95" t="e">
        <f>IF(K108=VLOOKUP($A108,Feature_List!$A$2:$AO$101,MATCH(AX$1,Feature_List!$A$1:$AO$1,0),FALSE),"OK","BAD")</f>
        <v>#N/A</v>
      </c>
      <c r="AY108" s="95" t="e">
        <f>IF(L108=VLOOKUP($A108,Feature_List!$A$2:$AO$101,MATCH(AY$1,Feature_List!$A$1:$AO$1,0),FALSE),"OK","BAD")</f>
        <v>#N/A</v>
      </c>
      <c r="AZ108" s="95" t="e">
        <f>IF(M108=VLOOKUP($A108,Feature_List!$A$2:$AO$101,MATCH(AZ$1,Feature_List!$A$1:$AO$1,0),FALSE),"OK","BAD")</f>
        <v>#N/A</v>
      </c>
      <c r="BA108" s="95" t="e">
        <f>IF(N108=VLOOKUP($A108,Feature_List!$A$2:$AO$101,MATCH(BA$1,Feature_List!$A$1:$AO$1,0),FALSE),"OK","BAD")</f>
        <v>#N/A</v>
      </c>
      <c r="BB108" s="95" t="e">
        <f>IF(O108=VLOOKUP($A108,Feature_List!$A$2:$AO$101,MATCH(BB$1,Feature_List!$A$1:$AO$1,0),FALSE),"OK","BAD")</f>
        <v>#N/A</v>
      </c>
      <c r="BC108" s="95" t="e">
        <f>IF(P108=VLOOKUP($A108,Feature_List!$A$2:$AO$101,MATCH(BC$1,Feature_List!$A$1:$AO$1,0),FALSE),"OK","BAD")</f>
        <v>#N/A</v>
      </c>
      <c r="BD108" s="95" t="e">
        <f>IF(Q108=VLOOKUP($A108,Feature_List!$A$2:$AO$101,MATCH(BD$1,Feature_List!$A$1:$AO$1,0),FALSE),"OK","BAD")</f>
        <v>#N/A</v>
      </c>
      <c r="BE108" s="95" t="e">
        <f>IF(R108=VLOOKUP($A108,Feature_List!$A$2:$AO$101,MATCH(BE$1,Feature_List!$A$1:$AO$1,0),FALSE),"OK","BAD")</f>
        <v>#N/A</v>
      </c>
      <c r="BF108" s="95" t="e">
        <f>IF(S108=VLOOKUP($A108,Feature_List!$A$2:$AO$101,MATCH(BF$1,Feature_List!$A$1:$AO$1,0),FALSE),"OK","BAD")</f>
        <v>#N/A</v>
      </c>
      <c r="BG108" s="95" t="e">
        <f>IF(T108=VLOOKUP($A108,Feature_List!$A$2:$AO$101,MATCH(BG$1,Feature_List!$A$1:$AO$1,0),FALSE),"OK","BAD")</f>
        <v>#N/A</v>
      </c>
      <c r="BH108" s="95" t="e">
        <f>IF(U108=VLOOKUP($A108,Feature_List!$A$2:$AO$101,MATCH(BH$1,Feature_List!$A$1:$AO$1,0),FALSE),"OK","BAD")</f>
        <v>#N/A</v>
      </c>
      <c r="BI108" s="95" t="e">
        <f>IF(V108=VLOOKUP($A108,Feature_List!$A$2:$AO$101,MATCH(BI$1,Feature_List!$A$1:$AO$1,0),FALSE),"OK","BAD")</f>
        <v>#N/A</v>
      </c>
      <c r="BJ108" s="95" t="e">
        <f>IF(W108=VLOOKUP($A108,Feature_List!$A$2:$AO$101,MATCH(BJ$1,Feature_List!$A$1:$AO$1,0),FALSE),"OK","BAD")</f>
        <v>#N/A</v>
      </c>
      <c r="BK108" s="95" t="e">
        <f>IF(X108=VLOOKUP($A108,Feature_List!$A$2:$AO$101,MATCH(BK$1,Feature_List!$A$1:$AO$1,0),FALSE),"OK","BAD")</f>
        <v>#N/A</v>
      </c>
      <c r="BL108" s="95" t="e">
        <f>IF(Y108=VLOOKUP($A108,Feature_List!$A$2:$AO$101,MATCH(BL$1,Feature_List!$A$1:$AO$1,0),FALSE),"OK","BAD")</f>
        <v>#N/A</v>
      </c>
      <c r="BM108" s="95" t="e">
        <f>IF(Z108=VLOOKUP($A108,Feature_List!$A$2:$AO$101,MATCH(BM$1,Feature_List!$A$1:$AO$1,0),FALSE),"OK","BAD")</f>
        <v>#N/A</v>
      </c>
      <c r="BN108" s="95" t="e">
        <f>IF(AA108=VLOOKUP($A108,Feature_List!$A$2:$AO$101,MATCH(BN$1,Feature_List!$A$1:$AO$1,0),FALSE),"OK","BAD")</f>
        <v>#N/A</v>
      </c>
      <c r="BO108" s="95" t="e">
        <f>IF(AB108=VLOOKUP($A108,Feature_List!$A$2:$AO$101,MATCH(BO$1,Feature_List!$A$1:$AO$1,0),FALSE),"OK","BAD")</f>
        <v>#N/A</v>
      </c>
      <c r="BP108" s="95" t="e">
        <f>IF(AC108=VLOOKUP($A108,Feature_List!$A$2:$AO$101,MATCH(BP$1,Feature_List!$A$1:$AO$1,0),FALSE),"OK","BAD")</f>
        <v>#N/A</v>
      </c>
      <c r="BQ108" s="95" t="e">
        <f>IF(AD108=VLOOKUP($A108,Feature_List!$A$2:$AO$101,MATCH(BQ$1,Feature_List!$A$1:$AO$1,0),FALSE),"OK","BAD")</f>
        <v>#N/A</v>
      </c>
      <c r="BR108" s="95" t="e">
        <f>IF(AE108=VLOOKUP($A108,Feature_List!$A$2:$AO$101,MATCH(BR$1,Feature_List!$A$1:$AO$1,0),FALSE),"OK","BAD")</f>
        <v>#N/A</v>
      </c>
      <c r="BS108" s="95" t="e">
        <f>IF(AF108=VLOOKUP($A108,Feature_List!$A$2:$AO$101,MATCH(BS$1,Feature_List!$A$1:$AO$1,0),FALSE),"OK","BAD")</f>
        <v>#N/A</v>
      </c>
      <c r="BT108" s="95" t="e">
        <f>IF(AG108=VLOOKUP($A108,Feature_List!$A$2:$AO$101,MATCH(BT$1,Feature_List!$A$1:$AO$1,0),FALSE),"OK","BAD")</f>
        <v>#N/A</v>
      </c>
      <c r="BU108" s="95" t="e">
        <f>IF(AH108=VLOOKUP($A108,Feature_List!$A$2:$AO$101,MATCH(BU$1,Feature_List!$A$1:$AO$1,0),FALSE),"OK","BAD")</f>
        <v>#N/A</v>
      </c>
      <c r="BV108" s="95" t="e">
        <f>IF(AI108=VLOOKUP($A108,Feature_List!$A$2:$AO$101,MATCH(BV$1,Feature_List!$A$1:$AO$1,0),FALSE),"OK","BAD")</f>
        <v>#N/A</v>
      </c>
      <c r="BW108" s="95" t="e">
        <f>IF(AJ108=VLOOKUP($A108,Feature_List!$A$2:$AO$101,MATCH(BW$1,Feature_List!$A$1:$AO$1,0),FALSE),"OK","BAD")</f>
        <v>#N/A</v>
      </c>
      <c r="BX108" s="95" t="e">
        <f>IF(AK108=VLOOKUP($A108,Feature_List!$A$2:$AO$101,MATCH(BX$1,Feature_List!$A$1:$AO$1,0),FALSE),"OK","BAD")</f>
        <v>#N/A</v>
      </c>
      <c r="BY108" s="95" t="e">
        <f>IF(AL108=VLOOKUP($A108,Feature_List!$A$2:$AO$101,MATCH(BY$1,Feature_List!$A$1:$AO$1,0),FALSE),"OK","BAD")</f>
        <v>#N/A</v>
      </c>
      <c r="BZ108" s="95" t="e">
        <f>IF(AM108=VLOOKUP($A108,Feature_List!$A$2:$AO$101,MATCH(BZ$1,Feature_List!$A$1:$AO$1,0),FALSE),"OK","BAD")</f>
        <v>#N/A</v>
      </c>
      <c r="CA108" s="95" t="e">
        <f>IF(AN108=VLOOKUP($A108,Feature_List!$A$2:$AO$101,MATCH(CA$1,Feature_List!$A$1:$AO$1,0),FALSE),"OK","BAD")</f>
        <v>#N/A</v>
      </c>
    </row>
    <row r="109" spans="1:79" ht="14.4" customHeight="1" x14ac:dyDescent="0.3">
      <c r="A109" s="70"/>
      <c r="B109" s="65"/>
      <c r="C109" s="98"/>
      <c r="D109" s="65"/>
      <c r="E109" s="64"/>
      <c r="F109" s="64"/>
      <c r="G109" s="64"/>
      <c r="H109" s="64"/>
      <c r="I109" s="99"/>
      <c r="J109" s="64"/>
      <c r="K109" s="64"/>
      <c r="L109" s="62"/>
      <c r="M109" s="67"/>
      <c r="N109" s="67"/>
      <c r="O109" s="67"/>
      <c r="P109" s="66"/>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s="63"/>
      <c r="AN109" s="220"/>
      <c r="AO109" s="224"/>
      <c r="AP109" s="95" t="e">
        <f>IF(C109=VLOOKUP($A109,Feature_List!$A$2:$AO$101,MATCH(AP$1,Feature_List!$A$1:$AO$1,0),FALSE),"OK","BAD")</f>
        <v>#N/A</v>
      </c>
      <c r="AQ109" s="95" t="e">
        <f>IF(D109=VLOOKUP($A109,Feature_List!$A$2:$AO$101,MATCH(AQ$1,Feature_List!$A$1:$AO$1,0),FALSE),"OK","BAD")</f>
        <v>#N/A</v>
      </c>
      <c r="AR109" s="95" t="e">
        <f>IF(E109=VLOOKUP($A109,Feature_List!$A$2:$AO$101,MATCH(AR$1,Feature_List!$A$1:$AO$1,0),FALSE),"OK","BAD")</f>
        <v>#N/A</v>
      </c>
      <c r="AS109" s="95" t="e">
        <f>IF(F109=VLOOKUP($A109,Feature_List!$A$2:$AO$101,MATCH(AS$1,Feature_List!$A$1:$AO$1,0),FALSE),"OK","BAD")</f>
        <v>#N/A</v>
      </c>
      <c r="AT109" s="95" t="s">
        <v>985</v>
      </c>
      <c r="AU109" s="95" t="s">
        <v>985</v>
      </c>
      <c r="AV109" s="95" t="e">
        <f>IF(I109=VLOOKUP($A109,Feature_List!$A$2:$AO$101,MATCH(AV$1,Feature_List!$A$1:$AO$1,0),FALSE),"OK","BAD")</f>
        <v>#N/A</v>
      </c>
      <c r="AW109" s="95" t="e">
        <f>IF(J109=VLOOKUP($A109,Feature_List!$A$2:$AO$101,MATCH(AW$1,Feature_List!$A$1:$AO$1,0),FALSE),"OK","BAD")</f>
        <v>#N/A</v>
      </c>
      <c r="AX109" s="95" t="e">
        <f>IF(K109=VLOOKUP($A109,Feature_List!$A$2:$AO$101,MATCH(AX$1,Feature_List!$A$1:$AO$1,0),FALSE),"OK","BAD")</f>
        <v>#N/A</v>
      </c>
      <c r="AY109" s="95" t="e">
        <f>IF(L109=VLOOKUP($A109,Feature_List!$A$2:$AO$101,MATCH(AY$1,Feature_List!$A$1:$AO$1,0),FALSE),"OK","BAD")</f>
        <v>#N/A</v>
      </c>
      <c r="AZ109" s="95" t="e">
        <f>IF(M109=VLOOKUP($A109,Feature_List!$A$2:$AO$101,MATCH(AZ$1,Feature_List!$A$1:$AO$1,0),FALSE),"OK","BAD")</f>
        <v>#N/A</v>
      </c>
      <c r="BA109" s="95" t="e">
        <f>IF(N109=VLOOKUP($A109,Feature_List!$A$2:$AO$101,MATCH(BA$1,Feature_List!$A$1:$AO$1,0),FALSE),"OK","BAD")</f>
        <v>#N/A</v>
      </c>
      <c r="BB109" s="95" t="e">
        <f>IF(O109=VLOOKUP($A109,Feature_List!$A$2:$AO$101,MATCH(BB$1,Feature_List!$A$1:$AO$1,0),FALSE),"OK","BAD")</f>
        <v>#N/A</v>
      </c>
      <c r="BC109" s="95" t="e">
        <f>IF(P109=VLOOKUP($A109,Feature_List!$A$2:$AO$101,MATCH(BC$1,Feature_List!$A$1:$AO$1,0),FALSE),"OK","BAD")</f>
        <v>#N/A</v>
      </c>
      <c r="BD109" s="95" t="e">
        <f>IF(Q109=VLOOKUP($A109,Feature_List!$A$2:$AO$101,MATCH(BD$1,Feature_List!$A$1:$AO$1,0),FALSE),"OK","BAD")</f>
        <v>#N/A</v>
      </c>
      <c r="BE109" s="95" t="e">
        <f>IF(R109=VLOOKUP($A109,Feature_List!$A$2:$AO$101,MATCH(BE$1,Feature_List!$A$1:$AO$1,0),FALSE),"OK","BAD")</f>
        <v>#N/A</v>
      </c>
      <c r="BF109" s="95" t="e">
        <f>IF(S109=VLOOKUP($A109,Feature_List!$A$2:$AO$101,MATCH(BF$1,Feature_List!$A$1:$AO$1,0),FALSE),"OK","BAD")</f>
        <v>#N/A</v>
      </c>
      <c r="BG109" s="95" t="e">
        <f>IF(T109=VLOOKUP($A109,Feature_List!$A$2:$AO$101,MATCH(BG$1,Feature_List!$A$1:$AO$1,0),FALSE),"OK","BAD")</f>
        <v>#N/A</v>
      </c>
      <c r="BH109" s="95" t="e">
        <f>IF(U109=VLOOKUP($A109,Feature_List!$A$2:$AO$101,MATCH(BH$1,Feature_List!$A$1:$AO$1,0),FALSE),"OK","BAD")</f>
        <v>#N/A</v>
      </c>
      <c r="BI109" s="95" t="e">
        <f>IF(V109=VLOOKUP($A109,Feature_List!$A$2:$AO$101,MATCH(BI$1,Feature_List!$A$1:$AO$1,0),FALSE),"OK","BAD")</f>
        <v>#N/A</v>
      </c>
      <c r="BJ109" s="95" t="e">
        <f>IF(W109=VLOOKUP($A109,Feature_List!$A$2:$AO$101,MATCH(BJ$1,Feature_List!$A$1:$AO$1,0),FALSE),"OK","BAD")</f>
        <v>#N/A</v>
      </c>
      <c r="BK109" s="95" t="e">
        <f>IF(X109=VLOOKUP($A109,Feature_List!$A$2:$AO$101,MATCH(BK$1,Feature_List!$A$1:$AO$1,0),FALSE),"OK","BAD")</f>
        <v>#N/A</v>
      </c>
      <c r="BL109" s="95" t="e">
        <f>IF(Y109=VLOOKUP($A109,Feature_List!$A$2:$AO$101,MATCH(BL$1,Feature_List!$A$1:$AO$1,0),FALSE),"OK","BAD")</f>
        <v>#N/A</v>
      </c>
      <c r="BM109" s="95" t="e">
        <f>IF(Z109=VLOOKUP($A109,Feature_List!$A$2:$AO$101,MATCH(BM$1,Feature_List!$A$1:$AO$1,0),FALSE),"OK","BAD")</f>
        <v>#N/A</v>
      </c>
      <c r="BN109" s="95" t="e">
        <f>IF(AA109=VLOOKUP($A109,Feature_List!$A$2:$AO$101,MATCH(BN$1,Feature_List!$A$1:$AO$1,0),FALSE),"OK","BAD")</f>
        <v>#N/A</v>
      </c>
      <c r="BO109" s="95" t="e">
        <f>IF(AB109=VLOOKUP($A109,Feature_List!$A$2:$AO$101,MATCH(BO$1,Feature_List!$A$1:$AO$1,0),FALSE),"OK","BAD")</f>
        <v>#N/A</v>
      </c>
      <c r="BP109" s="95" t="e">
        <f>IF(AC109=VLOOKUP($A109,Feature_List!$A$2:$AO$101,MATCH(BP$1,Feature_List!$A$1:$AO$1,0),FALSE),"OK","BAD")</f>
        <v>#N/A</v>
      </c>
      <c r="BQ109" s="95" t="e">
        <f>IF(AD109=VLOOKUP($A109,Feature_List!$A$2:$AO$101,MATCH(BQ$1,Feature_List!$A$1:$AO$1,0),FALSE),"OK","BAD")</f>
        <v>#N/A</v>
      </c>
      <c r="BR109" s="95" t="e">
        <f>IF(AE109=VLOOKUP($A109,Feature_List!$A$2:$AO$101,MATCH(BR$1,Feature_List!$A$1:$AO$1,0),FALSE),"OK","BAD")</f>
        <v>#N/A</v>
      </c>
      <c r="BS109" s="95" t="e">
        <f>IF(AF109=VLOOKUP($A109,Feature_List!$A$2:$AO$101,MATCH(BS$1,Feature_List!$A$1:$AO$1,0),FALSE),"OK","BAD")</f>
        <v>#N/A</v>
      </c>
      <c r="BT109" s="95" t="e">
        <f>IF(AG109=VLOOKUP($A109,Feature_List!$A$2:$AO$101,MATCH(BT$1,Feature_List!$A$1:$AO$1,0),FALSE),"OK","BAD")</f>
        <v>#N/A</v>
      </c>
      <c r="BU109" s="95" t="e">
        <f>IF(AH109=VLOOKUP($A109,Feature_List!$A$2:$AO$101,MATCH(BU$1,Feature_List!$A$1:$AO$1,0),FALSE),"OK","BAD")</f>
        <v>#N/A</v>
      </c>
      <c r="BV109" s="95" t="e">
        <f>IF(AI109=VLOOKUP($A109,Feature_List!$A$2:$AO$101,MATCH(BV$1,Feature_List!$A$1:$AO$1,0),FALSE),"OK","BAD")</f>
        <v>#N/A</v>
      </c>
      <c r="BW109" s="95" t="e">
        <f>IF(AJ109=VLOOKUP($A109,Feature_List!$A$2:$AO$101,MATCH(BW$1,Feature_List!$A$1:$AO$1,0),FALSE),"OK","BAD")</f>
        <v>#N/A</v>
      </c>
      <c r="BX109" s="95" t="e">
        <f>IF(AK109=VLOOKUP($A109,Feature_List!$A$2:$AO$101,MATCH(BX$1,Feature_List!$A$1:$AO$1,0),FALSE),"OK","BAD")</f>
        <v>#N/A</v>
      </c>
      <c r="BY109" s="95" t="e">
        <f>IF(AL109=VLOOKUP($A109,Feature_List!$A$2:$AO$101,MATCH(BY$1,Feature_List!$A$1:$AO$1,0),FALSE),"OK","BAD")</f>
        <v>#N/A</v>
      </c>
      <c r="BZ109" s="95" t="e">
        <f>IF(AM109=VLOOKUP($A109,Feature_List!$A$2:$AO$101,MATCH(BZ$1,Feature_List!$A$1:$AO$1,0),FALSE),"OK","BAD")</f>
        <v>#N/A</v>
      </c>
      <c r="CA109" s="95" t="e">
        <f>IF(AN109=VLOOKUP($A109,Feature_List!$A$2:$AO$101,MATCH(CA$1,Feature_List!$A$1:$AO$1,0),FALSE),"OK","BAD")</f>
        <v>#N/A</v>
      </c>
    </row>
    <row r="110" spans="1:79" ht="14.4" customHeight="1" x14ac:dyDescent="0.3">
      <c r="A110" s="70"/>
      <c r="B110" s="65"/>
      <c r="C110" s="98"/>
      <c r="D110" s="65"/>
      <c r="E110" s="64"/>
      <c r="F110" s="64"/>
      <c r="G110" s="64"/>
      <c r="H110" s="64"/>
      <c r="I110" s="99"/>
      <c r="J110" s="64"/>
      <c r="K110" s="64"/>
      <c r="L110" s="62"/>
      <c r="M110" s="67"/>
      <c r="N110" s="67"/>
      <c r="O110" s="67"/>
      <c r="P110" s="66"/>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s="63"/>
      <c r="AN110" s="220"/>
      <c r="AO110" s="224"/>
      <c r="AP110" s="95" t="e">
        <f>IF(C110=VLOOKUP($A110,Feature_List!$A$2:$AO$101,MATCH(AP$1,Feature_List!$A$1:$AO$1,0),FALSE),"OK","BAD")</f>
        <v>#N/A</v>
      </c>
      <c r="AQ110" s="95" t="e">
        <f>IF(D110=VLOOKUP($A110,Feature_List!$A$2:$AO$101,MATCH(AQ$1,Feature_List!$A$1:$AO$1,0),FALSE),"OK","BAD")</f>
        <v>#N/A</v>
      </c>
      <c r="AR110" s="95" t="e">
        <f>IF(E110=VLOOKUP($A110,Feature_List!$A$2:$AO$101,MATCH(AR$1,Feature_List!$A$1:$AO$1,0),FALSE),"OK","BAD")</f>
        <v>#N/A</v>
      </c>
      <c r="AS110" s="95" t="e">
        <f>IF(F110=VLOOKUP($A110,Feature_List!$A$2:$AO$101,MATCH(AS$1,Feature_List!$A$1:$AO$1,0),FALSE),"OK","BAD")</f>
        <v>#N/A</v>
      </c>
      <c r="AT110" s="95" t="s">
        <v>985</v>
      </c>
      <c r="AU110" s="95" t="s">
        <v>985</v>
      </c>
      <c r="AV110" s="95" t="e">
        <f>IF(I110=VLOOKUP($A110,Feature_List!$A$2:$AO$101,MATCH(AV$1,Feature_List!$A$1:$AO$1,0),FALSE),"OK","BAD")</f>
        <v>#N/A</v>
      </c>
      <c r="AW110" s="95" t="e">
        <f>IF(J110=VLOOKUP($A110,Feature_List!$A$2:$AO$101,MATCH(AW$1,Feature_List!$A$1:$AO$1,0),FALSE),"OK","BAD")</f>
        <v>#N/A</v>
      </c>
      <c r="AX110" s="95" t="e">
        <f>IF(K110=VLOOKUP($A110,Feature_List!$A$2:$AO$101,MATCH(AX$1,Feature_List!$A$1:$AO$1,0),FALSE),"OK","BAD")</f>
        <v>#N/A</v>
      </c>
      <c r="AY110" s="95" t="e">
        <f>IF(L110=VLOOKUP($A110,Feature_List!$A$2:$AO$101,MATCH(AY$1,Feature_List!$A$1:$AO$1,0),FALSE),"OK","BAD")</f>
        <v>#N/A</v>
      </c>
      <c r="AZ110" s="95" t="e">
        <f>IF(M110=VLOOKUP($A110,Feature_List!$A$2:$AO$101,MATCH(AZ$1,Feature_List!$A$1:$AO$1,0),FALSE),"OK","BAD")</f>
        <v>#N/A</v>
      </c>
      <c r="BA110" s="95" t="e">
        <f>IF(N110=VLOOKUP($A110,Feature_List!$A$2:$AO$101,MATCH(BA$1,Feature_List!$A$1:$AO$1,0),FALSE),"OK","BAD")</f>
        <v>#N/A</v>
      </c>
      <c r="BB110" s="95" t="e">
        <f>IF(O110=VLOOKUP($A110,Feature_List!$A$2:$AO$101,MATCH(BB$1,Feature_List!$A$1:$AO$1,0),FALSE),"OK","BAD")</f>
        <v>#N/A</v>
      </c>
      <c r="BC110" s="95" t="e">
        <f>IF(P110=VLOOKUP($A110,Feature_List!$A$2:$AO$101,MATCH(BC$1,Feature_List!$A$1:$AO$1,0),FALSE),"OK","BAD")</f>
        <v>#N/A</v>
      </c>
      <c r="BD110" s="95" t="e">
        <f>IF(Q110=VLOOKUP($A110,Feature_List!$A$2:$AO$101,MATCH(BD$1,Feature_List!$A$1:$AO$1,0),FALSE),"OK","BAD")</f>
        <v>#N/A</v>
      </c>
      <c r="BE110" s="95" t="e">
        <f>IF(R110=VLOOKUP($A110,Feature_List!$A$2:$AO$101,MATCH(BE$1,Feature_List!$A$1:$AO$1,0),FALSE),"OK","BAD")</f>
        <v>#N/A</v>
      </c>
      <c r="BF110" s="95" t="e">
        <f>IF(S110=VLOOKUP($A110,Feature_List!$A$2:$AO$101,MATCH(BF$1,Feature_List!$A$1:$AO$1,0),FALSE),"OK","BAD")</f>
        <v>#N/A</v>
      </c>
      <c r="BG110" s="95" t="e">
        <f>IF(T110=VLOOKUP($A110,Feature_List!$A$2:$AO$101,MATCH(BG$1,Feature_List!$A$1:$AO$1,0),FALSE),"OK","BAD")</f>
        <v>#N/A</v>
      </c>
      <c r="BH110" s="95" t="e">
        <f>IF(U110=VLOOKUP($A110,Feature_List!$A$2:$AO$101,MATCH(BH$1,Feature_List!$A$1:$AO$1,0),FALSE),"OK","BAD")</f>
        <v>#N/A</v>
      </c>
      <c r="BI110" s="95" t="e">
        <f>IF(V110=VLOOKUP($A110,Feature_List!$A$2:$AO$101,MATCH(BI$1,Feature_List!$A$1:$AO$1,0),FALSE),"OK","BAD")</f>
        <v>#N/A</v>
      </c>
      <c r="BJ110" s="95" t="e">
        <f>IF(W110=VLOOKUP($A110,Feature_List!$A$2:$AO$101,MATCH(BJ$1,Feature_List!$A$1:$AO$1,0),FALSE),"OK","BAD")</f>
        <v>#N/A</v>
      </c>
      <c r="BK110" s="95" t="e">
        <f>IF(X110=VLOOKUP($A110,Feature_List!$A$2:$AO$101,MATCH(BK$1,Feature_List!$A$1:$AO$1,0),FALSE),"OK","BAD")</f>
        <v>#N/A</v>
      </c>
      <c r="BL110" s="95" t="e">
        <f>IF(Y110=VLOOKUP($A110,Feature_List!$A$2:$AO$101,MATCH(BL$1,Feature_List!$A$1:$AO$1,0),FALSE),"OK","BAD")</f>
        <v>#N/A</v>
      </c>
      <c r="BM110" s="95" t="e">
        <f>IF(Z110=VLOOKUP($A110,Feature_List!$A$2:$AO$101,MATCH(BM$1,Feature_List!$A$1:$AO$1,0),FALSE),"OK","BAD")</f>
        <v>#N/A</v>
      </c>
      <c r="BN110" s="95" t="e">
        <f>IF(AA110=VLOOKUP($A110,Feature_List!$A$2:$AO$101,MATCH(BN$1,Feature_List!$A$1:$AO$1,0),FALSE),"OK","BAD")</f>
        <v>#N/A</v>
      </c>
      <c r="BO110" s="95" t="e">
        <f>IF(AB110=VLOOKUP($A110,Feature_List!$A$2:$AO$101,MATCH(BO$1,Feature_List!$A$1:$AO$1,0),FALSE),"OK","BAD")</f>
        <v>#N/A</v>
      </c>
      <c r="BP110" s="95" t="e">
        <f>IF(AC110=VLOOKUP($A110,Feature_List!$A$2:$AO$101,MATCH(BP$1,Feature_List!$A$1:$AO$1,0),FALSE),"OK","BAD")</f>
        <v>#N/A</v>
      </c>
      <c r="BQ110" s="95" t="e">
        <f>IF(AD110=VLOOKUP($A110,Feature_List!$A$2:$AO$101,MATCH(BQ$1,Feature_List!$A$1:$AO$1,0),FALSE),"OK","BAD")</f>
        <v>#N/A</v>
      </c>
      <c r="BR110" s="95" t="e">
        <f>IF(AE110=VLOOKUP($A110,Feature_List!$A$2:$AO$101,MATCH(BR$1,Feature_List!$A$1:$AO$1,0),FALSE),"OK","BAD")</f>
        <v>#N/A</v>
      </c>
      <c r="BS110" s="95" t="e">
        <f>IF(AF110=VLOOKUP($A110,Feature_List!$A$2:$AO$101,MATCH(BS$1,Feature_List!$A$1:$AO$1,0),FALSE),"OK","BAD")</f>
        <v>#N/A</v>
      </c>
      <c r="BT110" s="95" t="e">
        <f>IF(AG110=VLOOKUP($A110,Feature_List!$A$2:$AO$101,MATCH(BT$1,Feature_List!$A$1:$AO$1,0),FALSE),"OK","BAD")</f>
        <v>#N/A</v>
      </c>
      <c r="BU110" s="95" t="e">
        <f>IF(AH110=VLOOKUP($A110,Feature_List!$A$2:$AO$101,MATCH(BU$1,Feature_List!$A$1:$AO$1,0),FALSE),"OK","BAD")</f>
        <v>#N/A</v>
      </c>
      <c r="BV110" s="95" t="e">
        <f>IF(AI110=VLOOKUP($A110,Feature_List!$A$2:$AO$101,MATCH(BV$1,Feature_List!$A$1:$AO$1,0),FALSE),"OK","BAD")</f>
        <v>#N/A</v>
      </c>
      <c r="BW110" s="95" t="e">
        <f>IF(AJ110=VLOOKUP($A110,Feature_List!$A$2:$AO$101,MATCH(BW$1,Feature_List!$A$1:$AO$1,0),FALSE),"OK","BAD")</f>
        <v>#N/A</v>
      </c>
      <c r="BX110" s="95" t="e">
        <f>IF(AK110=VLOOKUP($A110,Feature_List!$A$2:$AO$101,MATCH(BX$1,Feature_List!$A$1:$AO$1,0),FALSE),"OK","BAD")</f>
        <v>#N/A</v>
      </c>
      <c r="BY110" s="95" t="e">
        <f>IF(AL110=VLOOKUP($A110,Feature_List!$A$2:$AO$101,MATCH(BY$1,Feature_List!$A$1:$AO$1,0),FALSE),"OK","BAD")</f>
        <v>#N/A</v>
      </c>
      <c r="BZ110" s="95" t="e">
        <f>IF(AM110=VLOOKUP($A110,Feature_List!$A$2:$AO$101,MATCH(BZ$1,Feature_List!$A$1:$AO$1,0),FALSE),"OK","BAD")</f>
        <v>#N/A</v>
      </c>
      <c r="CA110" s="95" t="e">
        <f>IF(AN110=VLOOKUP($A110,Feature_List!$A$2:$AO$101,MATCH(CA$1,Feature_List!$A$1:$AO$1,0),FALSE),"OK","BAD")</f>
        <v>#N/A</v>
      </c>
    </row>
    <row r="111" spans="1:79" ht="14.4" customHeight="1" x14ac:dyDescent="0.3">
      <c r="A111" s="70"/>
      <c r="B111" s="65"/>
      <c r="C111" s="98"/>
      <c r="D111" s="65"/>
      <c r="E111" s="64"/>
      <c r="F111" s="64"/>
      <c r="G111" s="64"/>
      <c r="H111" s="64"/>
      <c r="I111" s="99"/>
      <c r="J111" s="64"/>
      <c r="K111" s="64"/>
      <c r="L111" s="62"/>
      <c r="M111" s="67"/>
      <c r="N111" s="67"/>
      <c r="O111" s="67"/>
      <c r="P111" s="66"/>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220"/>
      <c r="AO111" s="224"/>
      <c r="AP111" s="95" t="e">
        <f>IF(C111=VLOOKUP($A111,Feature_List!$A$2:$AO$101,MATCH(AP$1,Feature_List!$A$1:$AO$1,0),FALSE),"OK","BAD")</f>
        <v>#N/A</v>
      </c>
      <c r="AQ111" s="95" t="e">
        <f>IF(D111=VLOOKUP($A111,Feature_List!$A$2:$AO$101,MATCH(AQ$1,Feature_List!$A$1:$AO$1,0),FALSE),"OK","BAD")</f>
        <v>#N/A</v>
      </c>
      <c r="AR111" s="95" t="e">
        <f>IF(E111=VLOOKUP($A111,Feature_List!$A$2:$AO$101,MATCH(AR$1,Feature_List!$A$1:$AO$1,0),FALSE),"OK","BAD")</f>
        <v>#N/A</v>
      </c>
      <c r="AS111" s="95" t="e">
        <f>IF(F111=VLOOKUP($A111,Feature_List!$A$2:$AO$101,MATCH(AS$1,Feature_List!$A$1:$AO$1,0),FALSE),"OK","BAD")</f>
        <v>#N/A</v>
      </c>
      <c r="AT111" s="95" t="s">
        <v>985</v>
      </c>
      <c r="AU111" s="95" t="s">
        <v>985</v>
      </c>
      <c r="AV111" s="95" t="e">
        <f>IF(I111=VLOOKUP($A111,Feature_List!$A$2:$AO$101,MATCH(AV$1,Feature_List!$A$1:$AO$1,0),FALSE),"OK","BAD")</f>
        <v>#N/A</v>
      </c>
      <c r="AW111" s="95" t="e">
        <f>IF(J111=VLOOKUP($A111,Feature_List!$A$2:$AO$101,MATCH(AW$1,Feature_List!$A$1:$AO$1,0),FALSE),"OK","BAD")</f>
        <v>#N/A</v>
      </c>
      <c r="AX111" s="95" t="e">
        <f>IF(K111=VLOOKUP($A111,Feature_List!$A$2:$AO$101,MATCH(AX$1,Feature_List!$A$1:$AO$1,0),FALSE),"OK","BAD")</f>
        <v>#N/A</v>
      </c>
      <c r="AY111" s="95" t="e">
        <f>IF(L111=VLOOKUP($A111,Feature_List!$A$2:$AO$101,MATCH(AY$1,Feature_List!$A$1:$AO$1,0),FALSE),"OK","BAD")</f>
        <v>#N/A</v>
      </c>
      <c r="AZ111" s="95" t="e">
        <f>IF(M111=VLOOKUP($A111,Feature_List!$A$2:$AO$101,MATCH(AZ$1,Feature_List!$A$1:$AO$1,0),FALSE),"OK","BAD")</f>
        <v>#N/A</v>
      </c>
      <c r="BA111" s="95" t="e">
        <f>IF(N111=VLOOKUP($A111,Feature_List!$A$2:$AO$101,MATCH(BA$1,Feature_List!$A$1:$AO$1,0),FALSE),"OK","BAD")</f>
        <v>#N/A</v>
      </c>
      <c r="BB111" s="95" t="e">
        <f>IF(O111=VLOOKUP($A111,Feature_List!$A$2:$AO$101,MATCH(BB$1,Feature_List!$A$1:$AO$1,0),FALSE),"OK","BAD")</f>
        <v>#N/A</v>
      </c>
      <c r="BC111" s="95" t="e">
        <f>IF(P111=VLOOKUP($A111,Feature_List!$A$2:$AO$101,MATCH(BC$1,Feature_List!$A$1:$AO$1,0),FALSE),"OK","BAD")</f>
        <v>#N/A</v>
      </c>
      <c r="BD111" s="95" t="e">
        <f>IF(Q111=VLOOKUP($A111,Feature_List!$A$2:$AO$101,MATCH(BD$1,Feature_List!$A$1:$AO$1,0),FALSE),"OK","BAD")</f>
        <v>#N/A</v>
      </c>
      <c r="BE111" s="95" t="e">
        <f>IF(R111=VLOOKUP($A111,Feature_List!$A$2:$AO$101,MATCH(BE$1,Feature_List!$A$1:$AO$1,0),FALSE),"OK","BAD")</f>
        <v>#N/A</v>
      </c>
      <c r="BF111" s="95" t="e">
        <f>IF(S111=VLOOKUP($A111,Feature_List!$A$2:$AO$101,MATCH(BF$1,Feature_List!$A$1:$AO$1,0),FALSE),"OK","BAD")</f>
        <v>#N/A</v>
      </c>
      <c r="BG111" s="95" t="e">
        <f>IF(T111=VLOOKUP($A111,Feature_List!$A$2:$AO$101,MATCH(BG$1,Feature_List!$A$1:$AO$1,0),FALSE),"OK","BAD")</f>
        <v>#N/A</v>
      </c>
      <c r="BH111" s="95" t="e">
        <f>IF(U111=VLOOKUP($A111,Feature_List!$A$2:$AO$101,MATCH(BH$1,Feature_List!$A$1:$AO$1,0),FALSE),"OK","BAD")</f>
        <v>#N/A</v>
      </c>
      <c r="BI111" s="95" t="e">
        <f>IF(V111=VLOOKUP($A111,Feature_List!$A$2:$AO$101,MATCH(BI$1,Feature_List!$A$1:$AO$1,0),FALSE),"OK","BAD")</f>
        <v>#N/A</v>
      </c>
      <c r="BJ111" s="95" t="e">
        <f>IF(W111=VLOOKUP($A111,Feature_List!$A$2:$AO$101,MATCH(BJ$1,Feature_List!$A$1:$AO$1,0),FALSE),"OK","BAD")</f>
        <v>#N/A</v>
      </c>
      <c r="BK111" s="95" t="e">
        <f>IF(X111=VLOOKUP($A111,Feature_List!$A$2:$AO$101,MATCH(BK$1,Feature_List!$A$1:$AO$1,0),FALSE),"OK","BAD")</f>
        <v>#N/A</v>
      </c>
      <c r="BL111" s="95" t="e">
        <f>IF(Y111=VLOOKUP($A111,Feature_List!$A$2:$AO$101,MATCH(BL$1,Feature_List!$A$1:$AO$1,0),FALSE),"OK","BAD")</f>
        <v>#N/A</v>
      </c>
      <c r="BM111" s="95" t="e">
        <f>IF(Z111=VLOOKUP($A111,Feature_List!$A$2:$AO$101,MATCH(BM$1,Feature_List!$A$1:$AO$1,0),FALSE),"OK","BAD")</f>
        <v>#N/A</v>
      </c>
      <c r="BN111" s="95" t="e">
        <f>IF(AA111=VLOOKUP($A111,Feature_List!$A$2:$AO$101,MATCH(BN$1,Feature_List!$A$1:$AO$1,0),FALSE),"OK","BAD")</f>
        <v>#N/A</v>
      </c>
      <c r="BO111" s="95" t="e">
        <f>IF(AB111=VLOOKUP($A111,Feature_List!$A$2:$AO$101,MATCH(BO$1,Feature_List!$A$1:$AO$1,0),FALSE),"OK","BAD")</f>
        <v>#N/A</v>
      </c>
      <c r="BP111" s="95" t="e">
        <f>IF(AC111=VLOOKUP($A111,Feature_List!$A$2:$AO$101,MATCH(BP$1,Feature_List!$A$1:$AO$1,0),FALSE),"OK","BAD")</f>
        <v>#N/A</v>
      </c>
      <c r="BQ111" s="95" t="e">
        <f>IF(AD111=VLOOKUP($A111,Feature_List!$A$2:$AO$101,MATCH(BQ$1,Feature_List!$A$1:$AO$1,0),FALSE),"OK","BAD")</f>
        <v>#N/A</v>
      </c>
      <c r="BR111" s="95" t="e">
        <f>IF(AE111=VLOOKUP($A111,Feature_List!$A$2:$AO$101,MATCH(BR$1,Feature_List!$A$1:$AO$1,0),FALSE),"OK","BAD")</f>
        <v>#N/A</v>
      </c>
      <c r="BS111" s="95" t="e">
        <f>IF(AF111=VLOOKUP($A111,Feature_List!$A$2:$AO$101,MATCH(BS$1,Feature_List!$A$1:$AO$1,0),FALSE),"OK","BAD")</f>
        <v>#N/A</v>
      </c>
      <c r="BT111" s="95" t="e">
        <f>IF(AG111=VLOOKUP($A111,Feature_List!$A$2:$AO$101,MATCH(BT$1,Feature_List!$A$1:$AO$1,0),FALSE),"OK","BAD")</f>
        <v>#N/A</v>
      </c>
      <c r="BU111" s="95" t="e">
        <f>IF(AH111=VLOOKUP($A111,Feature_List!$A$2:$AO$101,MATCH(BU$1,Feature_List!$A$1:$AO$1,0),FALSE),"OK","BAD")</f>
        <v>#N/A</v>
      </c>
      <c r="BV111" s="95" t="e">
        <f>IF(AI111=VLOOKUP($A111,Feature_List!$A$2:$AO$101,MATCH(BV$1,Feature_List!$A$1:$AO$1,0),FALSE),"OK","BAD")</f>
        <v>#N/A</v>
      </c>
      <c r="BW111" s="95" t="e">
        <f>IF(AJ111=VLOOKUP($A111,Feature_List!$A$2:$AO$101,MATCH(BW$1,Feature_List!$A$1:$AO$1,0),FALSE),"OK","BAD")</f>
        <v>#N/A</v>
      </c>
      <c r="BX111" s="95" t="e">
        <f>IF(AK111=VLOOKUP($A111,Feature_List!$A$2:$AO$101,MATCH(BX$1,Feature_List!$A$1:$AO$1,0),FALSE),"OK","BAD")</f>
        <v>#N/A</v>
      </c>
      <c r="BY111" s="95" t="e">
        <f>IF(AL111=VLOOKUP($A111,Feature_List!$A$2:$AO$101,MATCH(BY$1,Feature_List!$A$1:$AO$1,0),FALSE),"OK","BAD")</f>
        <v>#N/A</v>
      </c>
      <c r="BZ111" s="95" t="e">
        <f>IF(AM111=VLOOKUP($A111,Feature_List!$A$2:$AO$101,MATCH(BZ$1,Feature_List!$A$1:$AO$1,0),FALSE),"OK","BAD")</f>
        <v>#N/A</v>
      </c>
      <c r="CA111" s="95" t="e">
        <f>IF(AN111=VLOOKUP($A111,Feature_List!$A$2:$AO$101,MATCH(CA$1,Feature_List!$A$1:$AO$1,0),FALSE),"OK","BAD")</f>
        <v>#N/A</v>
      </c>
    </row>
    <row r="112" spans="1:79" ht="14.4" customHeight="1" x14ac:dyDescent="0.3">
      <c r="A112" s="70"/>
      <c r="B112" s="65"/>
      <c r="C112" s="98"/>
      <c r="D112" s="65"/>
      <c r="E112" s="64"/>
      <c r="F112" s="64"/>
      <c r="G112" s="64"/>
      <c r="H112" s="64"/>
      <c r="I112" s="99"/>
      <c r="J112" s="64"/>
      <c r="K112" s="64"/>
      <c r="L112" s="62"/>
      <c r="M112" s="67"/>
      <c r="N112" s="67"/>
      <c r="O112" s="67"/>
      <c r="P112" s="66"/>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220"/>
      <c r="AO112" s="224"/>
      <c r="AP112" s="95" t="e">
        <f>IF(C112=VLOOKUP($A112,Feature_List!$A$2:$AO$101,MATCH(AP$1,Feature_List!$A$1:$AO$1,0),FALSE),"OK","BAD")</f>
        <v>#N/A</v>
      </c>
      <c r="AQ112" s="95" t="e">
        <f>IF(D112=VLOOKUP($A112,Feature_List!$A$2:$AO$101,MATCH(AQ$1,Feature_List!$A$1:$AO$1,0),FALSE),"OK","BAD")</f>
        <v>#N/A</v>
      </c>
      <c r="AR112" s="95" t="e">
        <f>IF(E112=VLOOKUP($A112,Feature_List!$A$2:$AO$101,MATCH(AR$1,Feature_List!$A$1:$AO$1,0),FALSE),"OK","BAD")</f>
        <v>#N/A</v>
      </c>
      <c r="AS112" s="95" t="e">
        <f>IF(F112=VLOOKUP($A112,Feature_List!$A$2:$AO$101,MATCH(AS$1,Feature_List!$A$1:$AO$1,0),FALSE),"OK","BAD")</f>
        <v>#N/A</v>
      </c>
      <c r="AT112" s="95" t="s">
        <v>985</v>
      </c>
      <c r="AU112" s="95" t="s">
        <v>985</v>
      </c>
      <c r="AV112" s="95" t="e">
        <f>IF(I112=VLOOKUP($A112,Feature_List!$A$2:$AO$101,MATCH(AV$1,Feature_List!$A$1:$AO$1,0),FALSE),"OK","BAD")</f>
        <v>#N/A</v>
      </c>
      <c r="AW112" s="95" t="e">
        <f>IF(J112=VLOOKUP($A112,Feature_List!$A$2:$AO$101,MATCH(AW$1,Feature_List!$A$1:$AO$1,0),FALSE),"OK","BAD")</f>
        <v>#N/A</v>
      </c>
      <c r="AX112" s="95" t="e">
        <f>IF(K112=VLOOKUP($A112,Feature_List!$A$2:$AO$101,MATCH(AX$1,Feature_List!$A$1:$AO$1,0),FALSE),"OK","BAD")</f>
        <v>#N/A</v>
      </c>
      <c r="AY112" s="95" t="e">
        <f>IF(L112=VLOOKUP($A112,Feature_List!$A$2:$AO$101,MATCH(AY$1,Feature_List!$A$1:$AO$1,0),FALSE),"OK","BAD")</f>
        <v>#N/A</v>
      </c>
      <c r="AZ112" s="95" t="e">
        <f>IF(M112=VLOOKUP($A112,Feature_List!$A$2:$AO$101,MATCH(AZ$1,Feature_List!$A$1:$AO$1,0),FALSE),"OK","BAD")</f>
        <v>#N/A</v>
      </c>
      <c r="BA112" s="95" t="e">
        <f>IF(N112=VLOOKUP($A112,Feature_List!$A$2:$AO$101,MATCH(BA$1,Feature_List!$A$1:$AO$1,0),FALSE),"OK","BAD")</f>
        <v>#N/A</v>
      </c>
      <c r="BB112" s="95" t="e">
        <f>IF(O112=VLOOKUP($A112,Feature_List!$A$2:$AO$101,MATCH(BB$1,Feature_List!$A$1:$AO$1,0),FALSE),"OK","BAD")</f>
        <v>#N/A</v>
      </c>
      <c r="BC112" s="95" t="e">
        <f>IF(P112=VLOOKUP($A112,Feature_List!$A$2:$AO$101,MATCH(BC$1,Feature_List!$A$1:$AO$1,0),FALSE),"OK","BAD")</f>
        <v>#N/A</v>
      </c>
      <c r="BD112" s="95" t="e">
        <f>IF(Q112=VLOOKUP($A112,Feature_List!$A$2:$AO$101,MATCH(BD$1,Feature_List!$A$1:$AO$1,0),FALSE),"OK","BAD")</f>
        <v>#N/A</v>
      </c>
      <c r="BE112" s="95" t="e">
        <f>IF(R112=VLOOKUP($A112,Feature_List!$A$2:$AO$101,MATCH(BE$1,Feature_List!$A$1:$AO$1,0),FALSE),"OK","BAD")</f>
        <v>#N/A</v>
      </c>
      <c r="BF112" s="95" t="e">
        <f>IF(S112=VLOOKUP($A112,Feature_List!$A$2:$AO$101,MATCH(BF$1,Feature_List!$A$1:$AO$1,0),FALSE),"OK","BAD")</f>
        <v>#N/A</v>
      </c>
      <c r="BG112" s="95" t="e">
        <f>IF(T112=VLOOKUP($A112,Feature_List!$A$2:$AO$101,MATCH(BG$1,Feature_List!$A$1:$AO$1,0),FALSE),"OK","BAD")</f>
        <v>#N/A</v>
      </c>
      <c r="BH112" s="95" t="e">
        <f>IF(U112=VLOOKUP($A112,Feature_List!$A$2:$AO$101,MATCH(BH$1,Feature_List!$A$1:$AO$1,0),FALSE),"OK","BAD")</f>
        <v>#N/A</v>
      </c>
      <c r="BI112" s="95" t="e">
        <f>IF(V112=VLOOKUP($A112,Feature_List!$A$2:$AO$101,MATCH(BI$1,Feature_List!$A$1:$AO$1,0),FALSE),"OK","BAD")</f>
        <v>#N/A</v>
      </c>
      <c r="BJ112" s="95" t="e">
        <f>IF(W112=VLOOKUP($A112,Feature_List!$A$2:$AO$101,MATCH(BJ$1,Feature_List!$A$1:$AO$1,0),FALSE),"OK","BAD")</f>
        <v>#N/A</v>
      </c>
      <c r="BK112" s="95" t="e">
        <f>IF(X112=VLOOKUP($A112,Feature_List!$A$2:$AO$101,MATCH(BK$1,Feature_List!$A$1:$AO$1,0),FALSE),"OK","BAD")</f>
        <v>#N/A</v>
      </c>
      <c r="BL112" s="95" t="e">
        <f>IF(Y112=VLOOKUP($A112,Feature_List!$A$2:$AO$101,MATCH(BL$1,Feature_List!$A$1:$AO$1,0),FALSE),"OK","BAD")</f>
        <v>#N/A</v>
      </c>
      <c r="BM112" s="95" t="e">
        <f>IF(Z112=VLOOKUP($A112,Feature_List!$A$2:$AO$101,MATCH(BM$1,Feature_List!$A$1:$AO$1,0),FALSE),"OK","BAD")</f>
        <v>#N/A</v>
      </c>
      <c r="BN112" s="95" t="e">
        <f>IF(AA112=VLOOKUP($A112,Feature_List!$A$2:$AO$101,MATCH(BN$1,Feature_List!$A$1:$AO$1,0),FALSE),"OK","BAD")</f>
        <v>#N/A</v>
      </c>
      <c r="BO112" s="95" t="e">
        <f>IF(AB112=VLOOKUP($A112,Feature_List!$A$2:$AO$101,MATCH(BO$1,Feature_List!$A$1:$AO$1,0),FALSE),"OK","BAD")</f>
        <v>#N/A</v>
      </c>
      <c r="BP112" s="95" t="e">
        <f>IF(AC112=VLOOKUP($A112,Feature_List!$A$2:$AO$101,MATCH(BP$1,Feature_List!$A$1:$AO$1,0),FALSE),"OK","BAD")</f>
        <v>#N/A</v>
      </c>
      <c r="BQ112" s="95" t="e">
        <f>IF(AD112=VLOOKUP($A112,Feature_List!$A$2:$AO$101,MATCH(BQ$1,Feature_List!$A$1:$AO$1,0),FALSE),"OK","BAD")</f>
        <v>#N/A</v>
      </c>
      <c r="BR112" s="95" t="e">
        <f>IF(AE112=VLOOKUP($A112,Feature_List!$A$2:$AO$101,MATCH(BR$1,Feature_List!$A$1:$AO$1,0),FALSE),"OK","BAD")</f>
        <v>#N/A</v>
      </c>
      <c r="BS112" s="95" t="e">
        <f>IF(AF112=VLOOKUP($A112,Feature_List!$A$2:$AO$101,MATCH(BS$1,Feature_List!$A$1:$AO$1,0),FALSE),"OK","BAD")</f>
        <v>#N/A</v>
      </c>
      <c r="BT112" s="95" t="e">
        <f>IF(AG112=VLOOKUP($A112,Feature_List!$A$2:$AO$101,MATCH(BT$1,Feature_List!$A$1:$AO$1,0),FALSE),"OK","BAD")</f>
        <v>#N/A</v>
      </c>
      <c r="BU112" s="95" t="e">
        <f>IF(AH112=VLOOKUP($A112,Feature_List!$A$2:$AO$101,MATCH(BU$1,Feature_List!$A$1:$AO$1,0),FALSE),"OK","BAD")</f>
        <v>#N/A</v>
      </c>
      <c r="BV112" s="95" t="e">
        <f>IF(AI112=VLOOKUP($A112,Feature_List!$A$2:$AO$101,MATCH(BV$1,Feature_List!$A$1:$AO$1,0),FALSE),"OK","BAD")</f>
        <v>#N/A</v>
      </c>
      <c r="BW112" s="95" t="e">
        <f>IF(AJ112=VLOOKUP($A112,Feature_List!$A$2:$AO$101,MATCH(BW$1,Feature_List!$A$1:$AO$1,0),FALSE),"OK","BAD")</f>
        <v>#N/A</v>
      </c>
      <c r="BX112" s="95" t="e">
        <f>IF(AK112=VLOOKUP($A112,Feature_List!$A$2:$AO$101,MATCH(BX$1,Feature_List!$A$1:$AO$1,0),FALSE),"OK","BAD")</f>
        <v>#N/A</v>
      </c>
      <c r="BY112" s="95" t="e">
        <f>IF(AL112=VLOOKUP($A112,Feature_List!$A$2:$AO$101,MATCH(BY$1,Feature_List!$A$1:$AO$1,0),FALSE),"OK","BAD")</f>
        <v>#N/A</v>
      </c>
      <c r="BZ112" s="95" t="e">
        <f>IF(AM112=VLOOKUP($A112,Feature_List!$A$2:$AO$101,MATCH(BZ$1,Feature_List!$A$1:$AO$1,0),FALSE),"OK","BAD")</f>
        <v>#N/A</v>
      </c>
      <c r="CA112" s="95" t="e">
        <f>IF(AN112=VLOOKUP($A112,Feature_List!$A$2:$AO$101,MATCH(CA$1,Feature_List!$A$1:$AO$1,0),FALSE),"OK","BAD")</f>
        <v>#N/A</v>
      </c>
    </row>
    <row r="113" spans="1:79" ht="14.4" customHeight="1" x14ac:dyDescent="0.3">
      <c r="A113" s="70"/>
      <c r="B113" s="65"/>
      <c r="C113" s="98"/>
      <c r="D113" s="65"/>
      <c r="E113" s="64"/>
      <c r="F113" s="64"/>
      <c r="G113" s="64"/>
      <c r="H113" s="64"/>
      <c r="I113" s="64"/>
      <c r="J113" s="64"/>
      <c r="K113" s="64"/>
      <c r="L113" s="62"/>
      <c r="M113" s="67"/>
      <c r="N113" s="67"/>
      <c r="O113" s="67"/>
      <c r="P113" s="66"/>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220"/>
      <c r="AO113" s="224"/>
      <c r="AP113" s="95" t="e">
        <f>IF(C113=VLOOKUP($A113,Feature_List!$A$2:$AO$101,MATCH(AP$1,Feature_List!$A$1:$AO$1,0),FALSE),"OK","BAD")</f>
        <v>#N/A</v>
      </c>
      <c r="AQ113" s="95" t="e">
        <f>IF(D113=VLOOKUP($A113,Feature_List!$A$2:$AO$101,MATCH(AQ$1,Feature_List!$A$1:$AO$1,0),FALSE),"OK","BAD")</f>
        <v>#N/A</v>
      </c>
      <c r="AR113" s="95" t="e">
        <f>IF(E113=VLOOKUP($A113,Feature_List!$A$2:$AO$101,MATCH(AR$1,Feature_List!$A$1:$AO$1,0),FALSE),"OK","BAD")</f>
        <v>#N/A</v>
      </c>
      <c r="AS113" s="95" t="e">
        <f>IF(F113=VLOOKUP($A113,Feature_List!$A$2:$AO$101,MATCH(AS$1,Feature_List!$A$1:$AO$1,0),FALSE),"OK","BAD")</f>
        <v>#N/A</v>
      </c>
      <c r="AT113" s="95" t="s">
        <v>985</v>
      </c>
      <c r="AU113" s="95" t="s">
        <v>985</v>
      </c>
      <c r="AV113" s="95" t="e">
        <f>IF(I113=VLOOKUP($A113,Feature_List!$A$2:$AO$101,MATCH(AV$1,Feature_List!$A$1:$AO$1,0),FALSE),"OK","BAD")</f>
        <v>#N/A</v>
      </c>
      <c r="AW113" s="95" t="e">
        <f>IF(J113=VLOOKUP($A113,Feature_List!$A$2:$AO$101,MATCH(AW$1,Feature_List!$A$1:$AO$1,0),FALSE),"OK","BAD")</f>
        <v>#N/A</v>
      </c>
      <c r="AX113" s="95" t="e">
        <f>IF(K113=VLOOKUP($A113,Feature_List!$A$2:$AO$101,MATCH(AX$1,Feature_List!$A$1:$AO$1,0),FALSE),"OK","BAD")</f>
        <v>#N/A</v>
      </c>
      <c r="AY113" s="95" t="e">
        <f>IF(L113=VLOOKUP($A113,Feature_List!$A$2:$AO$101,MATCH(AY$1,Feature_List!$A$1:$AO$1,0),FALSE),"OK","BAD")</f>
        <v>#N/A</v>
      </c>
      <c r="AZ113" s="95" t="e">
        <f>IF(M113=VLOOKUP($A113,Feature_List!$A$2:$AO$101,MATCH(AZ$1,Feature_List!$A$1:$AO$1,0),FALSE),"OK","BAD")</f>
        <v>#N/A</v>
      </c>
      <c r="BA113" s="95" t="e">
        <f>IF(N113=VLOOKUP($A113,Feature_List!$A$2:$AO$101,MATCH(BA$1,Feature_List!$A$1:$AO$1,0),FALSE),"OK","BAD")</f>
        <v>#N/A</v>
      </c>
      <c r="BB113" s="95" t="e">
        <f>IF(O113=VLOOKUP($A113,Feature_List!$A$2:$AO$101,MATCH(BB$1,Feature_List!$A$1:$AO$1,0),FALSE),"OK","BAD")</f>
        <v>#N/A</v>
      </c>
      <c r="BC113" s="95" t="e">
        <f>IF(P113=VLOOKUP($A113,Feature_List!$A$2:$AO$101,MATCH(BC$1,Feature_List!$A$1:$AO$1,0),FALSE),"OK","BAD")</f>
        <v>#N/A</v>
      </c>
      <c r="BD113" s="95" t="e">
        <f>IF(Q113=VLOOKUP($A113,Feature_List!$A$2:$AO$101,MATCH(BD$1,Feature_List!$A$1:$AO$1,0),FALSE),"OK","BAD")</f>
        <v>#N/A</v>
      </c>
      <c r="BE113" s="95" t="e">
        <f>IF(R113=VLOOKUP($A113,Feature_List!$A$2:$AO$101,MATCH(BE$1,Feature_List!$A$1:$AO$1,0),FALSE),"OK","BAD")</f>
        <v>#N/A</v>
      </c>
      <c r="BF113" s="95" t="e">
        <f>IF(S113=VLOOKUP($A113,Feature_List!$A$2:$AO$101,MATCH(BF$1,Feature_List!$A$1:$AO$1,0),FALSE),"OK","BAD")</f>
        <v>#N/A</v>
      </c>
      <c r="BG113" s="95" t="e">
        <f>IF(T113=VLOOKUP($A113,Feature_List!$A$2:$AO$101,MATCH(BG$1,Feature_List!$A$1:$AO$1,0),FALSE),"OK","BAD")</f>
        <v>#N/A</v>
      </c>
      <c r="BH113" s="95" t="e">
        <f>IF(U113=VLOOKUP($A113,Feature_List!$A$2:$AO$101,MATCH(BH$1,Feature_List!$A$1:$AO$1,0),FALSE),"OK","BAD")</f>
        <v>#N/A</v>
      </c>
      <c r="BI113" s="95" t="e">
        <f>IF(V113=VLOOKUP($A113,Feature_List!$A$2:$AO$101,MATCH(BI$1,Feature_List!$A$1:$AO$1,0),FALSE),"OK","BAD")</f>
        <v>#N/A</v>
      </c>
      <c r="BJ113" s="95" t="e">
        <f>IF(W113=VLOOKUP($A113,Feature_List!$A$2:$AO$101,MATCH(BJ$1,Feature_List!$A$1:$AO$1,0),FALSE),"OK","BAD")</f>
        <v>#N/A</v>
      </c>
      <c r="BK113" s="95" t="e">
        <f>IF(X113=VLOOKUP($A113,Feature_List!$A$2:$AO$101,MATCH(BK$1,Feature_List!$A$1:$AO$1,0),FALSE),"OK","BAD")</f>
        <v>#N/A</v>
      </c>
      <c r="BL113" s="95" t="e">
        <f>IF(Y113=VLOOKUP($A113,Feature_List!$A$2:$AO$101,MATCH(BL$1,Feature_List!$A$1:$AO$1,0),FALSE),"OK","BAD")</f>
        <v>#N/A</v>
      </c>
      <c r="BM113" s="95" t="e">
        <f>IF(Z113=VLOOKUP($A113,Feature_List!$A$2:$AO$101,MATCH(BM$1,Feature_List!$A$1:$AO$1,0),FALSE),"OK","BAD")</f>
        <v>#N/A</v>
      </c>
      <c r="BN113" s="95" t="e">
        <f>IF(AA113=VLOOKUP($A113,Feature_List!$A$2:$AO$101,MATCH(BN$1,Feature_List!$A$1:$AO$1,0),FALSE),"OK","BAD")</f>
        <v>#N/A</v>
      </c>
      <c r="BO113" s="95" t="e">
        <f>IF(AB113=VLOOKUP($A113,Feature_List!$A$2:$AO$101,MATCH(BO$1,Feature_List!$A$1:$AO$1,0),FALSE),"OK","BAD")</f>
        <v>#N/A</v>
      </c>
      <c r="BP113" s="95" t="e">
        <f>IF(AC113=VLOOKUP($A113,Feature_List!$A$2:$AO$101,MATCH(BP$1,Feature_List!$A$1:$AO$1,0),FALSE),"OK","BAD")</f>
        <v>#N/A</v>
      </c>
      <c r="BQ113" s="95" t="e">
        <f>IF(AD113=VLOOKUP($A113,Feature_List!$A$2:$AO$101,MATCH(BQ$1,Feature_List!$A$1:$AO$1,0),FALSE),"OK","BAD")</f>
        <v>#N/A</v>
      </c>
      <c r="BR113" s="95" t="e">
        <f>IF(AE113=VLOOKUP($A113,Feature_List!$A$2:$AO$101,MATCH(BR$1,Feature_List!$A$1:$AO$1,0),FALSE),"OK","BAD")</f>
        <v>#N/A</v>
      </c>
      <c r="BS113" s="95" t="e">
        <f>IF(AF113=VLOOKUP($A113,Feature_List!$A$2:$AO$101,MATCH(BS$1,Feature_List!$A$1:$AO$1,0),FALSE),"OK","BAD")</f>
        <v>#N/A</v>
      </c>
      <c r="BT113" s="95" t="e">
        <f>IF(AG113=VLOOKUP($A113,Feature_List!$A$2:$AO$101,MATCH(BT$1,Feature_List!$A$1:$AO$1,0),FALSE),"OK","BAD")</f>
        <v>#N/A</v>
      </c>
      <c r="BU113" s="95" t="e">
        <f>IF(AH113=VLOOKUP($A113,Feature_List!$A$2:$AO$101,MATCH(BU$1,Feature_List!$A$1:$AO$1,0),FALSE),"OK","BAD")</f>
        <v>#N/A</v>
      </c>
      <c r="BV113" s="95" t="e">
        <f>IF(AI113=VLOOKUP($A113,Feature_List!$A$2:$AO$101,MATCH(BV$1,Feature_List!$A$1:$AO$1,0),FALSE),"OK","BAD")</f>
        <v>#N/A</v>
      </c>
      <c r="BW113" s="95" t="e">
        <f>IF(AJ113=VLOOKUP($A113,Feature_List!$A$2:$AO$101,MATCH(BW$1,Feature_List!$A$1:$AO$1,0),FALSE),"OK","BAD")</f>
        <v>#N/A</v>
      </c>
      <c r="BX113" s="95" t="e">
        <f>IF(AK113=VLOOKUP($A113,Feature_List!$A$2:$AO$101,MATCH(BX$1,Feature_List!$A$1:$AO$1,0),FALSE),"OK","BAD")</f>
        <v>#N/A</v>
      </c>
      <c r="BY113" s="95" t="e">
        <f>IF(AL113=VLOOKUP($A113,Feature_List!$A$2:$AO$101,MATCH(BY$1,Feature_List!$A$1:$AO$1,0),FALSE),"OK","BAD")</f>
        <v>#N/A</v>
      </c>
      <c r="BZ113" s="95" t="e">
        <f>IF(AM113=VLOOKUP($A113,Feature_List!$A$2:$AO$101,MATCH(BZ$1,Feature_List!$A$1:$AO$1,0),FALSE),"OK","BAD")</f>
        <v>#N/A</v>
      </c>
      <c r="CA113" s="95" t="e">
        <f>IF(AN113=VLOOKUP($A113,Feature_List!$A$2:$AO$101,MATCH(CA$1,Feature_List!$A$1:$AO$1,0),FALSE),"OK","BAD")</f>
        <v>#N/A</v>
      </c>
    </row>
    <row r="114" spans="1:79" ht="14.4" customHeight="1" x14ac:dyDescent="0.3">
      <c r="A114" s="70"/>
      <c r="B114" s="65"/>
      <c r="C114" s="98"/>
      <c r="D114" s="65"/>
      <c r="E114" s="64"/>
      <c r="F114" s="64"/>
      <c r="G114" s="64"/>
      <c r="H114" s="64"/>
      <c r="I114" s="99"/>
      <c r="J114" s="64"/>
      <c r="K114" s="64"/>
      <c r="L114" s="62"/>
      <c r="M114" s="67"/>
      <c r="N114" s="67"/>
      <c r="O114" s="67"/>
      <c r="P114" s="66"/>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s="63"/>
      <c r="AN114" s="220"/>
      <c r="AO114" s="224"/>
      <c r="AP114" s="95" t="e">
        <f>IF(C114=VLOOKUP($A114,Feature_List!$A$2:$AO$101,MATCH(AP$1,Feature_List!$A$1:$AO$1,0),FALSE),"OK","BAD")</f>
        <v>#N/A</v>
      </c>
      <c r="AQ114" s="95" t="e">
        <f>IF(D114=VLOOKUP($A114,Feature_List!$A$2:$AO$101,MATCH(AQ$1,Feature_List!$A$1:$AO$1,0),FALSE),"OK","BAD")</f>
        <v>#N/A</v>
      </c>
      <c r="AR114" s="95" t="e">
        <f>IF(E114=VLOOKUP($A114,Feature_List!$A$2:$AO$101,MATCH(AR$1,Feature_List!$A$1:$AO$1,0),FALSE),"OK","BAD")</f>
        <v>#N/A</v>
      </c>
      <c r="AS114" s="95" t="e">
        <f>IF(F114=VLOOKUP($A114,Feature_List!$A$2:$AO$101,MATCH(AS$1,Feature_List!$A$1:$AO$1,0),FALSE),"OK","BAD")</f>
        <v>#N/A</v>
      </c>
      <c r="AT114" s="95" t="s">
        <v>985</v>
      </c>
      <c r="AU114" s="95" t="s">
        <v>985</v>
      </c>
      <c r="AV114" s="95" t="e">
        <f>IF(I114=VLOOKUP($A114,Feature_List!$A$2:$AO$101,MATCH(AV$1,Feature_List!$A$1:$AO$1,0),FALSE),"OK","BAD")</f>
        <v>#N/A</v>
      </c>
      <c r="AW114" s="95" t="e">
        <f>IF(J114=VLOOKUP($A114,Feature_List!$A$2:$AO$101,MATCH(AW$1,Feature_List!$A$1:$AO$1,0),FALSE),"OK","BAD")</f>
        <v>#N/A</v>
      </c>
      <c r="AX114" s="95" t="e">
        <f>IF(K114=VLOOKUP($A114,Feature_List!$A$2:$AO$101,MATCH(AX$1,Feature_List!$A$1:$AO$1,0),FALSE),"OK","BAD")</f>
        <v>#N/A</v>
      </c>
      <c r="AY114" s="95" t="e">
        <f>IF(L114=VLOOKUP($A114,Feature_List!$A$2:$AO$101,MATCH(AY$1,Feature_List!$A$1:$AO$1,0),FALSE),"OK","BAD")</f>
        <v>#N/A</v>
      </c>
      <c r="AZ114" s="95" t="e">
        <f>IF(M114=VLOOKUP($A114,Feature_List!$A$2:$AO$101,MATCH(AZ$1,Feature_List!$A$1:$AO$1,0),FALSE),"OK","BAD")</f>
        <v>#N/A</v>
      </c>
      <c r="BA114" s="95" t="e">
        <f>IF(N114=VLOOKUP($A114,Feature_List!$A$2:$AO$101,MATCH(BA$1,Feature_List!$A$1:$AO$1,0),FALSE),"OK","BAD")</f>
        <v>#N/A</v>
      </c>
      <c r="BB114" s="95" t="e">
        <f>IF(O114=VLOOKUP($A114,Feature_List!$A$2:$AO$101,MATCH(BB$1,Feature_List!$A$1:$AO$1,0),FALSE),"OK","BAD")</f>
        <v>#N/A</v>
      </c>
      <c r="BC114" s="95" t="e">
        <f>IF(P114=VLOOKUP($A114,Feature_List!$A$2:$AO$101,MATCH(BC$1,Feature_List!$A$1:$AO$1,0),FALSE),"OK","BAD")</f>
        <v>#N/A</v>
      </c>
      <c r="BD114" s="95" t="e">
        <f>IF(Q114=VLOOKUP($A114,Feature_List!$A$2:$AO$101,MATCH(BD$1,Feature_List!$A$1:$AO$1,0),FALSE),"OK","BAD")</f>
        <v>#N/A</v>
      </c>
      <c r="BE114" s="95" t="e">
        <f>IF(R114=VLOOKUP($A114,Feature_List!$A$2:$AO$101,MATCH(BE$1,Feature_List!$A$1:$AO$1,0),FALSE),"OK","BAD")</f>
        <v>#N/A</v>
      </c>
      <c r="BF114" s="95" t="e">
        <f>IF(S114=VLOOKUP($A114,Feature_List!$A$2:$AO$101,MATCH(BF$1,Feature_List!$A$1:$AO$1,0),FALSE),"OK","BAD")</f>
        <v>#N/A</v>
      </c>
      <c r="BG114" s="95" t="e">
        <f>IF(T114=VLOOKUP($A114,Feature_List!$A$2:$AO$101,MATCH(BG$1,Feature_List!$A$1:$AO$1,0),FALSE),"OK","BAD")</f>
        <v>#N/A</v>
      </c>
      <c r="BH114" s="95" t="e">
        <f>IF(U114=VLOOKUP($A114,Feature_List!$A$2:$AO$101,MATCH(BH$1,Feature_List!$A$1:$AO$1,0),FALSE),"OK","BAD")</f>
        <v>#N/A</v>
      </c>
      <c r="BI114" s="95" t="e">
        <f>IF(V114=VLOOKUP($A114,Feature_List!$A$2:$AO$101,MATCH(BI$1,Feature_List!$A$1:$AO$1,0),FALSE),"OK","BAD")</f>
        <v>#N/A</v>
      </c>
      <c r="BJ114" s="95" t="e">
        <f>IF(W114=VLOOKUP($A114,Feature_List!$A$2:$AO$101,MATCH(BJ$1,Feature_List!$A$1:$AO$1,0),FALSE),"OK","BAD")</f>
        <v>#N/A</v>
      </c>
      <c r="BK114" s="95" t="e">
        <f>IF(X114=VLOOKUP($A114,Feature_List!$A$2:$AO$101,MATCH(BK$1,Feature_List!$A$1:$AO$1,0),FALSE),"OK","BAD")</f>
        <v>#N/A</v>
      </c>
      <c r="BL114" s="95" t="e">
        <f>IF(Y114=VLOOKUP($A114,Feature_List!$A$2:$AO$101,MATCH(BL$1,Feature_List!$A$1:$AO$1,0),FALSE),"OK","BAD")</f>
        <v>#N/A</v>
      </c>
      <c r="BM114" s="95" t="e">
        <f>IF(Z114=VLOOKUP($A114,Feature_List!$A$2:$AO$101,MATCH(BM$1,Feature_List!$A$1:$AO$1,0),FALSE),"OK","BAD")</f>
        <v>#N/A</v>
      </c>
      <c r="BN114" s="95" t="e">
        <f>IF(AA114=VLOOKUP($A114,Feature_List!$A$2:$AO$101,MATCH(BN$1,Feature_List!$A$1:$AO$1,0),FALSE),"OK","BAD")</f>
        <v>#N/A</v>
      </c>
      <c r="BO114" s="95" t="e">
        <f>IF(AB114=VLOOKUP($A114,Feature_List!$A$2:$AO$101,MATCH(BO$1,Feature_List!$A$1:$AO$1,0),FALSE),"OK","BAD")</f>
        <v>#N/A</v>
      </c>
      <c r="BP114" s="95" t="e">
        <f>IF(AC114=VLOOKUP($A114,Feature_List!$A$2:$AO$101,MATCH(BP$1,Feature_List!$A$1:$AO$1,0),FALSE),"OK","BAD")</f>
        <v>#N/A</v>
      </c>
      <c r="BQ114" s="95" t="e">
        <f>IF(AD114=VLOOKUP($A114,Feature_List!$A$2:$AO$101,MATCH(BQ$1,Feature_List!$A$1:$AO$1,0),FALSE),"OK","BAD")</f>
        <v>#N/A</v>
      </c>
      <c r="BR114" s="95" t="e">
        <f>IF(AE114=VLOOKUP($A114,Feature_List!$A$2:$AO$101,MATCH(BR$1,Feature_List!$A$1:$AO$1,0),FALSE),"OK","BAD")</f>
        <v>#N/A</v>
      </c>
      <c r="BS114" s="95" t="e">
        <f>IF(AF114=VLOOKUP($A114,Feature_List!$A$2:$AO$101,MATCH(BS$1,Feature_List!$A$1:$AO$1,0),FALSE),"OK","BAD")</f>
        <v>#N/A</v>
      </c>
      <c r="BT114" s="95" t="e">
        <f>IF(AG114=VLOOKUP($A114,Feature_List!$A$2:$AO$101,MATCH(BT$1,Feature_List!$A$1:$AO$1,0),FALSE),"OK","BAD")</f>
        <v>#N/A</v>
      </c>
      <c r="BU114" s="95" t="e">
        <f>IF(AH114=VLOOKUP($A114,Feature_List!$A$2:$AO$101,MATCH(BU$1,Feature_List!$A$1:$AO$1,0),FALSE),"OK","BAD")</f>
        <v>#N/A</v>
      </c>
      <c r="BV114" s="95" t="e">
        <f>IF(AI114=VLOOKUP($A114,Feature_List!$A$2:$AO$101,MATCH(BV$1,Feature_List!$A$1:$AO$1,0),FALSE),"OK","BAD")</f>
        <v>#N/A</v>
      </c>
      <c r="BW114" s="95" t="e">
        <f>IF(AJ114=VLOOKUP($A114,Feature_List!$A$2:$AO$101,MATCH(BW$1,Feature_List!$A$1:$AO$1,0),FALSE),"OK","BAD")</f>
        <v>#N/A</v>
      </c>
      <c r="BX114" s="95" t="e">
        <f>IF(AK114=VLOOKUP($A114,Feature_List!$A$2:$AO$101,MATCH(BX$1,Feature_List!$A$1:$AO$1,0),FALSE),"OK","BAD")</f>
        <v>#N/A</v>
      </c>
      <c r="BY114" s="95" t="e">
        <f>IF(AL114=VLOOKUP($A114,Feature_List!$A$2:$AO$101,MATCH(BY$1,Feature_List!$A$1:$AO$1,0),FALSE),"OK","BAD")</f>
        <v>#N/A</v>
      </c>
      <c r="BZ114" s="95" t="e">
        <f>IF(AM114=VLOOKUP($A114,Feature_List!$A$2:$AO$101,MATCH(BZ$1,Feature_List!$A$1:$AO$1,0),FALSE),"OK","BAD")</f>
        <v>#N/A</v>
      </c>
      <c r="CA114" s="95" t="e">
        <f>IF(AN114=VLOOKUP($A114,Feature_List!$A$2:$AO$101,MATCH(CA$1,Feature_List!$A$1:$AO$1,0),FALSE),"OK","BAD")</f>
        <v>#N/A</v>
      </c>
    </row>
    <row r="115" spans="1:79" ht="14.4" customHeight="1" x14ac:dyDescent="0.3">
      <c r="A115" s="70"/>
      <c r="B115" s="65"/>
      <c r="C115" s="98"/>
      <c r="D115" s="65"/>
      <c r="E115" s="64"/>
      <c r="F115" s="64"/>
      <c r="G115" s="64"/>
      <c r="H115" s="64"/>
      <c r="I115" s="99"/>
      <c r="J115" s="64"/>
      <c r="K115" s="64"/>
      <c r="L115" s="62"/>
      <c r="M115" s="67"/>
      <c r="N115" s="67"/>
      <c r="O115" s="67"/>
      <c r="P115" s="66"/>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220"/>
      <c r="AO115" s="224"/>
      <c r="AP115" s="95" t="e">
        <f>IF(C115=VLOOKUP($A115,Feature_List!$A$2:$AO$101,MATCH(AP$1,Feature_List!$A$1:$AO$1,0),FALSE),"OK","BAD")</f>
        <v>#N/A</v>
      </c>
      <c r="AQ115" s="95" t="e">
        <f>IF(D115=VLOOKUP($A115,Feature_List!$A$2:$AO$101,MATCH(AQ$1,Feature_List!$A$1:$AO$1,0),FALSE),"OK","BAD")</f>
        <v>#N/A</v>
      </c>
      <c r="AR115" s="95" t="e">
        <f>IF(E115=VLOOKUP($A115,Feature_List!$A$2:$AO$101,MATCH(AR$1,Feature_List!$A$1:$AO$1,0),FALSE),"OK","BAD")</f>
        <v>#N/A</v>
      </c>
      <c r="AS115" s="95" t="e">
        <f>IF(F115=VLOOKUP($A115,Feature_List!$A$2:$AO$101,MATCH(AS$1,Feature_List!$A$1:$AO$1,0),FALSE),"OK","BAD")</f>
        <v>#N/A</v>
      </c>
      <c r="AT115" s="95" t="s">
        <v>985</v>
      </c>
      <c r="AU115" s="95" t="s">
        <v>985</v>
      </c>
      <c r="AV115" s="95" t="e">
        <f>IF(I115=VLOOKUP($A115,Feature_List!$A$2:$AO$101,MATCH(AV$1,Feature_List!$A$1:$AO$1,0),FALSE),"OK","BAD")</f>
        <v>#N/A</v>
      </c>
      <c r="AW115" s="95" t="e">
        <f>IF(J115=VLOOKUP($A115,Feature_List!$A$2:$AO$101,MATCH(AW$1,Feature_List!$A$1:$AO$1,0),FALSE),"OK","BAD")</f>
        <v>#N/A</v>
      </c>
      <c r="AX115" s="95" t="e">
        <f>IF(K115=VLOOKUP($A115,Feature_List!$A$2:$AO$101,MATCH(AX$1,Feature_List!$A$1:$AO$1,0),FALSE),"OK","BAD")</f>
        <v>#N/A</v>
      </c>
      <c r="AY115" s="95" t="e">
        <f>IF(L115=VLOOKUP($A115,Feature_List!$A$2:$AO$101,MATCH(AY$1,Feature_List!$A$1:$AO$1,0),FALSE),"OK","BAD")</f>
        <v>#N/A</v>
      </c>
      <c r="AZ115" s="95" t="e">
        <f>IF(M115=VLOOKUP($A115,Feature_List!$A$2:$AO$101,MATCH(AZ$1,Feature_List!$A$1:$AO$1,0),FALSE),"OK","BAD")</f>
        <v>#N/A</v>
      </c>
      <c r="BA115" s="95" t="e">
        <f>IF(N115=VLOOKUP($A115,Feature_List!$A$2:$AO$101,MATCH(BA$1,Feature_List!$A$1:$AO$1,0),FALSE),"OK","BAD")</f>
        <v>#N/A</v>
      </c>
      <c r="BB115" s="95" t="e">
        <f>IF(O115=VLOOKUP($A115,Feature_List!$A$2:$AO$101,MATCH(BB$1,Feature_List!$A$1:$AO$1,0),FALSE),"OK","BAD")</f>
        <v>#N/A</v>
      </c>
      <c r="BC115" s="95" t="e">
        <f>IF(P115=VLOOKUP($A115,Feature_List!$A$2:$AO$101,MATCH(BC$1,Feature_List!$A$1:$AO$1,0),FALSE),"OK","BAD")</f>
        <v>#N/A</v>
      </c>
      <c r="BD115" s="95" t="e">
        <f>IF(Q115=VLOOKUP($A115,Feature_List!$A$2:$AO$101,MATCH(BD$1,Feature_List!$A$1:$AO$1,0),FALSE),"OK","BAD")</f>
        <v>#N/A</v>
      </c>
      <c r="BE115" s="95" t="e">
        <f>IF(R115=VLOOKUP($A115,Feature_List!$A$2:$AO$101,MATCH(BE$1,Feature_List!$A$1:$AO$1,0),FALSE),"OK","BAD")</f>
        <v>#N/A</v>
      </c>
      <c r="BF115" s="95" t="e">
        <f>IF(S115=VLOOKUP($A115,Feature_List!$A$2:$AO$101,MATCH(BF$1,Feature_List!$A$1:$AO$1,0),FALSE),"OK","BAD")</f>
        <v>#N/A</v>
      </c>
      <c r="BG115" s="95" t="e">
        <f>IF(T115=VLOOKUP($A115,Feature_List!$A$2:$AO$101,MATCH(BG$1,Feature_List!$A$1:$AO$1,0),FALSE),"OK","BAD")</f>
        <v>#N/A</v>
      </c>
      <c r="BH115" s="95" t="e">
        <f>IF(U115=VLOOKUP($A115,Feature_List!$A$2:$AO$101,MATCH(BH$1,Feature_List!$A$1:$AO$1,0),FALSE),"OK","BAD")</f>
        <v>#N/A</v>
      </c>
      <c r="BI115" s="95" t="e">
        <f>IF(V115=VLOOKUP($A115,Feature_List!$A$2:$AO$101,MATCH(BI$1,Feature_List!$A$1:$AO$1,0),FALSE),"OK","BAD")</f>
        <v>#N/A</v>
      </c>
      <c r="BJ115" s="95" t="e">
        <f>IF(W115=VLOOKUP($A115,Feature_List!$A$2:$AO$101,MATCH(BJ$1,Feature_List!$A$1:$AO$1,0),FALSE),"OK","BAD")</f>
        <v>#N/A</v>
      </c>
      <c r="BK115" s="95" t="e">
        <f>IF(X115=VLOOKUP($A115,Feature_List!$A$2:$AO$101,MATCH(BK$1,Feature_List!$A$1:$AO$1,0),FALSE),"OK","BAD")</f>
        <v>#N/A</v>
      </c>
      <c r="BL115" s="95" t="e">
        <f>IF(Y115=VLOOKUP($A115,Feature_List!$A$2:$AO$101,MATCH(BL$1,Feature_List!$A$1:$AO$1,0),FALSE),"OK","BAD")</f>
        <v>#N/A</v>
      </c>
      <c r="BM115" s="95" t="e">
        <f>IF(Z115=VLOOKUP($A115,Feature_List!$A$2:$AO$101,MATCH(BM$1,Feature_List!$A$1:$AO$1,0),FALSE),"OK","BAD")</f>
        <v>#N/A</v>
      </c>
      <c r="BN115" s="95" t="e">
        <f>IF(AA115=VLOOKUP($A115,Feature_List!$A$2:$AO$101,MATCH(BN$1,Feature_List!$A$1:$AO$1,0),FALSE),"OK","BAD")</f>
        <v>#N/A</v>
      </c>
      <c r="BO115" s="95" t="e">
        <f>IF(AB115=VLOOKUP($A115,Feature_List!$A$2:$AO$101,MATCH(BO$1,Feature_List!$A$1:$AO$1,0),FALSE),"OK","BAD")</f>
        <v>#N/A</v>
      </c>
      <c r="BP115" s="95" t="e">
        <f>IF(AC115=VLOOKUP($A115,Feature_List!$A$2:$AO$101,MATCH(BP$1,Feature_List!$A$1:$AO$1,0),FALSE),"OK","BAD")</f>
        <v>#N/A</v>
      </c>
      <c r="BQ115" s="95" t="e">
        <f>IF(AD115=VLOOKUP($A115,Feature_List!$A$2:$AO$101,MATCH(BQ$1,Feature_List!$A$1:$AO$1,0),FALSE),"OK","BAD")</f>
        <v>#N/A</v>
      </c>
      <c r="BR115" s="95" t="e">
        <f>IF(AE115=VLOOKUP($A115,Feature_List!$A$2:$AO$101,MATCH(BR$1,Feature_List!$A$1:$AO$1,0),FALSE),"OK","BAD")</f>
        <v>#N/A</v>
      </c>
      <c r="BS115" s="95" t="e">
        <f>IF(AF115=VLOOKUP($A115,Feature_List!$A$2:$AO$101,MATCH(BS$1,Feature_List!$A$1:$AO$1,0),FALSE),"OK","BAD")</f>
        <v>#N/A</v>
      </c>
      <c r="BT115" s="95" t="e">
        <f>IF(AG115=VLOOKUP($A115,Feature_List!$A$2:$AO$101,MATCH(BT$1,Feature_List!$A$1:$AO$1,0),FALSE),"OK","BAD")</f>
        <v>#N/A</v>
      </c>
      <c r="BU115" s="95" t="e">
        <f>IF(AH115=VLOOKUP($A115,Feature_List!$A$2:$AO$101,MATCH(BU$1,Feature_List!$A$1:$AO$1,0),FALSE),"OK","BAD")</f>
        <v>#N/A</v>
      </c>
      <c r="BV115" s="95" t="e">
        <f>IF(AI115=VLOOKUP($A115,Feature_List!$A$2:$AO$101,MATCH(BV$1,Feature_List!$A$1:$AO$1,0),FALSE),"OK","BAD")</f>
        <v>#N/A</v>
      </c>
      <c r="BW115" s="95" t="e">
        <f>IF(AJ115=VLOOKUP($A115,Feature_List!$A$2:$AO$101,MATCH(BW$1,Feature_List!$A$1:$AO$1,0),FALSE),"OK","BAD")</f>
        <v>#N/A</v>
      </c>
      <c r="BX115" s="95" t="e">
        <f>IF(AK115=VLOOKUP($A115,Feature_List!$A$2:$AO$101,MATCH(BX$1,Feature_List!$A$1:$AO$1,0),FALSE),"OK","BAD")</f>
        <v>#N/A</v>
      </c>
      <c r="BY115" s="95" t="e">
        <f>IF(AL115=VLOOKUP($A115,Feature_List!$A$2:$AO$101,MATCH(BY$1,Feature_List!$A$1:$AO$1,0),FALSE),"OK","BAD")</f>
        <v>#N/A</v>
      </c>
      <c r="BZ115" s="95" t="e">
        <f>IF(AM115=VLOOKUP($A115,Feature_List!$A$2:$AO$101,MATCH(BZ$1,Feature_List!$A$1:$AO$1,0),FALSE),"OK","BAD")</f>
        <v>#N/A</v>
      </c>
      <c r="CA115" s="95" t="e">
        <f>IF(AN115=VLOOKUP($A115,Feature_List!$A$2:$AO$101,MATCH(CA$1,Feature_List!$A$1:$AO$1,0),FALSE),"OK","BAD")</f>
        <v>#N/A</v>
      </c>
    </row>
    <row r="116" spans="1:79" ht="14.4" customHeight="1" x14ac:dyDescent="0.3">
      <c r="A116" s="70"/>
      <c r="B116" s="65"/>
      <c r="C116" s="98"/>
      <c r="D116" s="65"/>
      <c r="E116" s="64"/>
      <c r="F116" s="64"/>
      <c r="G116" s="64"/>
      <c r="H116" s="64"/>
      <c r="I116" s="99"/>
      <c r="J116" s="64"/>
      <c r="K116" s="64"/>
      <c r="L116" s="62"/>
      <c r="M116" s="67"/>
      <c r="N116" s="67"/>
      <c r="O116" s="67"/>
      <c r="P116" s="66"/>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220"/>
      <c r="AO116" s="224"/>
      <c r="AP116" s="95" t="e">
        <f>IF(C116=VLOOKUP($A116,Feature_List!$A$2:$AO$101,MATCH(AP$1,Feature_List!$A$1:$AO$1,0),FALSE),"OK","BAD")</f>
        <v>#N/A</v>
      </c>
      <c r="AQ116" s="95" t="e">
        <f>IF(D116=VLOOKUP($A116,Feature_List!$A$2:$AO$101,MATCH(AQ$1,Feature_List!$A$1:$AO$1,0),FALSE),"OK","BAD")</f>
        <v>#N/A</v>
      </c>
      <c r="AR116" s="95" t="e">
        <f>IF(E116=VLOOKUP($A116,Feature_List!$A$2:$AO$101,MATCH(AR$1,Feature_List!$A$1:$AO$1,0),FALSE),"OK","BAD")</f>
        <v>#N/A</v>
      </c>
      <c r="AS116" s="95" t="e">
        <f>IF(F116=VLOOKUP($A116,Feature_List!$A$2:$AO$101,MATCH(AS$1,Feature_List!$A$1:$AO$1,0),FALSE),"OK","BAD")</f>
        <v>#N/A</v>
      </c>
      <c r="AT116" s="95" t="s">
        <v>985</v>
      </c>
      <c r="AU116" s="95" t="s">
        <v>985</v>
      </c>
      <c r="AV116" s="95" t="e">
        <f>IF(I116=VLOOKUP($A116,Feature_List!$A$2:$AO$101,MATCH(AV$1,Feature_List!$A$1:$AO$1,0),FALSE),"OK","BAD")</f>
        <v>#N/A</v>
      </c>
      <c r="AW116" s="95" t="e">
        <f>IF(J116=VLOOKUP($A116,Feature_List!$A$2:$AO$101,MATCH(AW$1,Feature_List!$A$1:$AO$1,0),FALSE),"OK","BAD")</f>
        <v>#N/A</v>
      </c>
      <c r="AX116" s="95" t="e">
        <f>IF(K116=VLOOKUP($A116,Feature_List!$A$2:$AO$101,MATCH(AX$1,Feature_List!$A$1:$AO$1,0),FALSE),"OK","BAD")</f>
        <v>#N/A</v>
      </c>
      <c r="AY116" s="95" t="e">
        <f>IF(L116=VLOOKUP($A116,Feature_List!$A$2:$AO$101,MATCH(AY$1,Feature_List!$A$1:$AO$1,0),FALSE),"OK","BAD")</f>
        <v>#N/A</v>
      </c>
      <c r="AZ116" s="95" t="e">
        <f>IF(M116=VLOOKUP($A116,Feature_List!$A$2:$AO$101,MATCH(AZ$1,Feature_List!$A$1:$AO$1,0),FALSE),"OK","BAD")</f>
        <v>#N/A</v>
      </c>
      <c r="BA116" s="95" t="e">
        <f>IF(N116=VLOOKUP($A116,Feature_List!$A$2:$AO$101,MATCH(BA$1,Feature_List!$A$1:$AO$1,0),FALSE),"OK","BAD")</f>
        <v>#N/A</v>
      </c>
      <c r="BB116" s="95" t="e">
        <f>IF(O116=VLOOKUP($A116,Feature_List!$A$2:$AO$101,MATCH(BB$1,Feature_List!$A$1:$AO$1,0),FALSE),"OK","BAD")</f>
        <v>#N/A</v>
      </c>
      <c r="BC116" s="95" t="e">
        <f>IF(P116=VLOOKUP($A116,Feature_List!$A$2:$AO$101,MATCH(BC$1,Feature_List!$A$1:$AO$1,0),FALSE),"OK","BAD")</f>
        <v>#N/A</v>
      </c>
      <c r="BD116" s="95" t="e">
        <f>IF(Q116=VLOOKUP($A116,Feature_List!$A$2:$AO$101,MATCH(BD$1,Feature_List!$A$1:$AO$1,0),FALSE),"OK","BAD")</f>
        <v>#N/A</v>
      </c>
      <c r="BE116" s="95" t="e">
        <f>IF(R116=VLOOKUP($A116,Feature_List!$A$2:$AO$101,MATCH(BE$1,Feature_List!$A$1:$AO$1,0),FALSE),"OK","BAD")</f>
        <v>#N/A</v>
      </c>
      <c r="BF116" s="95" t="e">
        <f>IF(S116=VLOOKUP($A116,Feature_List!$A$2:$AO$101,MATCH(BF$1,Feature_List!$A$1:$AO$1,0),FALSE),"OK","BAD")</f>
        <v>#N/A</v>
      </c>
      <c r="BG116" s="95" t="e">
        <f>IF(T116=VLOOKUP($A116,Feature_List!$A$2:$AO$101,MATCH(BG$1,Feature_List!$A$1:$AO$1,0),FALSE),"OK","BAD")</f>
        <v>#N/A</v>
      </c>
      <c r="BH116" s="95" t="e">
        <f>IF(U116=VLOOKUP($A116,Feature_List!$A$2:$AO$101,MATCH(BH$1,Feature_List!$A$1:$AO$1,0),FALSE),"OK","BAD")</f>
        <v>#N/A</v>
      </c>
      <c r="BI116" s="95" t="e">
        <f>IF(V116=VLOOKUP($A116,Feature_List!$A$2:$AO$101,MATCH(BI$1,Feature_List!$A$1:$AO$1,0),FALSE),"OK","BAD")</f>
        <v>#N/A</v>
      </c>
      <c r="BJ116" s="95" t="e">
        <f>IF(W116=VLOOKUP($A116,Feature_List!$A$2:$AO$101,MATCH(BJ$1,Feature_List!$A$1:$AO$1,0),FALSE),"OK","BAD")</f>
        <v>#N/A</v>
      </c>
      <c r="BK116" s="95" t="e">
        <f>IF(X116=VLOOKUP($A116,Feature_List!$A$2:$AO$101,MATCH(BK$1,Feature_List!$A$1:$AO$1,0),FALSE),"OK","BAD")</f>
        <v>#N/A</v>
      </c>
      <c r="BL116" s="95" t="e">
        <f>IF(Y116=VLOOKUP($A116,Feature_List!$A$2:$AO$101,MATCH(BL$1,Feature_List!$A$1:$AO$1,0),FALSE),"OK","BAD")</f>
        <v>#N/A</v>
      </c>
      <c r="BM116" s="95" t="e">
        <f>IF(Z116=VLOOKUP($A116,Feature_List!$A$2:$AO$101,MATCH(BM$1,Feature_List!$A$1:$AO$1,0),FALSE),"OK","BAD")</f>
        <v>#N/A</v>
      </c>
      <c r="BN116" s="95" t="e">
        <f>IF(AA116=VLOOKUP($A116,Feature_List!$A$2:$AO$101,MATCH(BN$1,Feature_List!$A$1:$AO$1,0),FALSE),"OK","BAD")</f>
        <v>#N/A</v>
      </c>
      <c r="BO116" s="95" t="e">
        <f>IF(AB116=VLOOKUP($A116,Feature_List!$A$2:$AO$101,MATCH(BO$1,Feature_List!$A$1:$AO$1,0),FALSE),"OK","BAD")</f>
        <v>#N/A</v>
      </c>
      <c r="BP116" s="95" t="e">
        <f>IF(AC116=VLOOKUP($A116,Feature_List!$A$2:$AO$101,MATCH(BP$1,Feature_List!$A$1:$AO$1,0),FALSE),"OK","BAD")</f>
        <v>#N/A</v>
      </c>
      <c r="BQ116" s="95" t="e">
        <f>IF(AD116=VLOOKUP($A116,Feature_List!$A$2:$AO$101,MATCH(BQ$1,Feature_List!$A$1:$AO$1,0),FALSE),"OK","BAD")</f>
        <v>#N/A</v>
      </c>
      <c r="BR116" s="95" t="e">
        <f>IF(AE116=VLOOKUP($A116,Feature_List!$A$2:$AO$101,MATCH(BR$1,Feature_List!$A$1:$AO$1,0),FALSE),"OK","BAD")</f>
        <v>#N/A</v>
      </c>
      <c r="BS116" s="95" t="e">
        <f>IF(AF116=VLOOKUP($A116,Feature_List!$A$2:$AO$101,MATCH(BS$1,Feature_List!$A$1:$AO$1,0),FALSE),"OK","BAD")</f>
        <v>#N/A</v>
      </c>
      <c r="BT116" s="95" t="e">
        <f>IF(AG116=VLOOKUP($A116,Feature_List!$A$2:$AO$101,MATCH(BT$1,Feature_List!$A$1:$AO$1,0),FALSE),"OK","BAD")</f>
        <v>#N/A</v>
      </c>
      <c r="BU116" s="95" t="e">
        <f>IF(AH116=VLOOKUP($A116,Feature_List!$A$2:$AO$101,MATCH(BU$1,Feature_List!$A$1:$AO$1,0),FALSE),"OK","BAD")</f>
        <v>#N/A</v>
      </c>
      <c r="BV116" s="95" t="e">
        <f>IF(AI116=VLOOKUP($A116,Feature_List!$A$2:$AO$101,MATCH(BV$1,Feature_List!$A$1:$AO$1,0),FALSE),"OK","BAD")</f>
        <v>#N/A</v>
      </c>
      <c r="BW116" s="95" t="e">
        <f>IF(AJ116=VLOOKUP($A116,Feature_List!$A$2:$AO$101,MATCH(BW$1,Feature_List!$A$1:$AO$1,0),FALSE),"OK","BAD")</f>
        <v>#N/A</v>
      </c>
      <c r="BX116" s="95" t="e">
        <f>IF(AK116=VLOOKUP($A116,Feature_List!$A$2:$AO$101,MATCH(BX$1,Feature_List!$A$1:$AO$1,0),FALSE),"OK","BAD")</f>
        <v>#N/A</v>
      </c>
      <c r="BY116" s="95" t="e">
        <f>IF(AL116=VLOOKUP($A116,Feature_List!$A$2:$AO$101,MATCH(BY$1,Feature_List!$A$1:$AO$1,0),FALSE),"OK","BAD")</f>
        <v>#N/A</v>
      </c>
      <c r="BZ116" s="95" t="e">
        <f>IF(AM116=VLOOKUP($A116,Feature_List!$A$2:$AO$101,MATCH(BZ$1,Feature_List!$A$1:$AO$1,0),FALSE),"OK","BAD")</f>
        <v>#N/A</v>
      </c>
      <c r="CA116" s="95" t="e">
        <f>IF(AN116=VLOOKUP($A116,Feature_List!$A$2:$AO$101,MATCH(CA$1,Feature_List!$A$1:$AO$1,0),FALSE),"OK","BAD")</f>
        <v>#N/A</v>
      </c>
    </row>
    <row r="117" spans="1:79" ht="14.4" customHeight="1" x14ac:dyDescent="0.3">
      <c r="A117" s="70"/>
      <c r="B117" s="65"/>
      <c r="C117" s="98"/>
      <c r="D117" s="65"/>
      <c r="E117" s="64"/>
      <c r="F117" s="64"/>
      <c r="G117" s="64"/>
      <c r="H117" s="64"/>
      <c r="I117" s="99"/>
      <c r="J117" s="64"/>
      <c r="K117" s="64"/>
      <c r="L117" s="62"/>
      <c r="M117" s="67"/>
      <c r="N117" s="67"/>
      <c r="O117" s="67"/>
      <c r="P117" s="66"/>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220"/>
      <c r="AO117" s="224"/>
      <c r="AP117" s="95" t="e">
        <f>IF(C117=VLOOKUP($A117,Feature_List!$A$2:$AO$101,MATCH(AP$1,Feature_List!$A$1:$AO$1,0),FALSE),"OK","BAD")</f>
        <v>#N/A</v>
      </c>
      <c r="AQ117" s="95" t="e">
        <f>IF(D117=VLOOKUP($A117,Feature_List!$A$2:$AO$101,MATCH(AQ$1,Feature_List!$A$1:$AO$1,0),FALSE),"OK","BAD")</f>
        <v>#N/A</v>
      </c>
      <c r="AR117" s="95" t="e">
        <f>IF(E117=VLOOKUP($A117,Feature_List!$A$2:$AO$101,MATCH(AR$1,Feature_List!$A$1:$AO$1,0),FALSE),"OK","BAD")</f>
        <v>#N/A</v>
      </c>
      <c r="AS117" s="95" t="e">
        <f>IF(F117=VLOOKUP($A117,Feature_List!$A$2:$AO$101,MATCH(AS$1,Feature_List!$A$1:$AO$1,0),FALSE),"OK","BAD")</f>
        <v>#N/A</v>
      </c>
      <c r="AT117" s="95" t="s">
        <v>985</v>
      </c>
      <c r="AU117" s="95" t="s">
        <v>985</v>
      </c>
      <c r="AV117" s="95" t="e">
        <f>IF(I117=VLOOKUP($A117,Feature_List!$A$2:$AO$101,MATCH(AV$1,Feature_List!$A$1:$AO$1,0),FALSE),"OK","BAD")</f>
        <v>#N/A</v>
      </c>
      <c r="AW117" s="95" t="e">
        <f>IF(J117=VLOOKUP($A117,Feature_List!$A$2:$AO$101,MATCH(AW$1,Feature_List!$A$1:$AO$1,0),FALSE),"OK","BAD")</f>
        <v>#N/A</v>
      </c>
      <c r="AX117" s="95" t="e">
        <f>IF(K117=VLOOKUP($A117,Feature_List!$A$2:$AO$101,MATCH(AX$1,Feature_List!$A$1:$AO$1,0),FALSE),"OK","BAD")</f>
        <v>#N/A</v>
      </c>
      <c r="AY117" s="95" t="e">
        <f>IF(L117=VLOOKUP($A117,Feature_List!$A$2:$AO$101,MATCH(AY$1,Feature_List!$A$1:$AO$1,0),FALSE),"OK","BAD")</f>
        <v>#N/A</v>
      </c>
      <c r="AZ117" s="95" t="e">
        <f>IF(M117=VLOOKUP($A117,Feature_List!$A$2:$AO$101,MATCH(AZ$1,Feature_List!$A$1:$AO$1,0),FALSE),"OK","BAD")</f>
        <v>#N/A</v>
      </c>
      <c r="BA117" s="95" t="e">
        <f>IF(N117=VLOOKUP($A117,Feature_List!$A$2:$AO$101,MATCH(BA$1,Feature_List!$A$1:$AO$1,0),FALSE),"OK","BAD")</f>
        <v>#N/A</v>
      </c>
      <c r="BB117" s="95" t="e">
        <f>IF(O117=VLOOKUP($A117,Feature_List!$A$2:$AO$101,MATCH(BB$1,Feature_List!$A$1:$AO$1,0),FALSE),"OK","BAD")</f>
        <v>#N/A</v>
      </c>
      <c r="BC117" s="95" t="e">
        <f>IF(P117=VLOOKUP($A117,Feature_List!$A$2:$AO$101,MATCH(BC$1,Feature_List!$A$1:$AO$1,0),FALSE),"OK","BAD")</f>
        <v>#N/A</v>
      </c>
      <c r="BD117" s="95" t="e">
        <f>IF(Q117=VLOOKUP($A117,Feature_List!$A$2:$AO$101,MATCH(BD$1,Feature_List!$A$1:$AO$1,0),FALSE),"OK","BAD")</f>
        <v>#N/A</v>
      </c>
      <c r="BE117" s="95" t="e">
        <f>IF(R117=VLOOKUP($A117,Feature_List!$A$2:$AO$101,MATCH(BE$1,Feature_List!$A$1:$AO$1,0),FALSE),"OK","BAD")</f>
        <v>#N/A</v>
      </c>
      <c r="BF117" s="95" t="e">
        <f>IF(S117=VLOOKUP($A117,Feature_List!$A$2:$AO$101,MATCH(BF$1,Feature_List!$A$1:$AO$1,0),FALSE),"OK","BAD")</f>
        <v>#N/A</v>
      </c>
      <c r="BG117" s="95" t="e">
        <f>IF(T117=VLOOKUP($A117,Feature_List!$A$2:$AO$101,MATCH(BG$1,Feature_List!$A$1:$AO$1,0),FALSE),"OK","BAD")</f>
        <v>#N/A</v>
      </c>
      <c r="BH117" s="95" t="e">
        <f>IF(U117=VLOOKUP($A117,Feature_List!$A$2:$AO$101,MATCH(BH$1,Feature_List!$A$1:$AO$1,0),FALSE),"OK","BAD")</f>
        <v>#N/A</v>
      </c>
      <c r="BI117" s="95" t="e">
        <f>IF(V117=VLOOKUP($A117,Feature_List!$A$2:$AO$101,MATCH(BI$1,Feature_List!$A$1:$AO$1,0),FALSE),"OK","BAD")</f>
        <v>#N/A</v>
      </c>
      <c r="BJ117" s="95" t="e">
        <f>IF(W117=VLOOKUP($A117,Feature_List!$A$2:$AO$101,MATCH(BJ$1,Feature_List!$A$1:$AO$1,0),FALSE),"OK","BAD")</f>
        <v>#N/A</v>
      </c>
      <c r="BK117" s="95" t="e">
        <f>IF(X117=VLOOKUP($A117,Feature_List!$A$2:$AO$101,MATCH(BK$1,Feature_List!$A$1:$AO$1,0),FALSE),"OK","BAD")</f>
        <v>#N/A</v>
      </c>
      <c r="BL117" s="95" t="e">
        <f>IF(Y117=VLOOKUP($A117,Feature_List!$A$2:$AO$101,MATCH(BL$1,Feature_List!$A$1:$AO$1,0),FALSE),"OK","BAD")</f>
        <v>#N/A</v>
      </c>
      <c r="BM117" s="95" t="e">
        <f>IF(Z117=VLOOKUP($A117,Feature_List!$A$2:$AO$101,MATCH(BM$1,Feature_List!$A$1:$AO$1,0),FALSE),"OK","BAD")</f>
        <v>#N/A</v>
      </c>
      <c r="BN117" s="95" t="e">
        <f>IF(AA117=VLOOKUP($A117,Feature_List!$A$2:$AO$101,MATCH(BN$1,Feature_List!$A$1:$AO$1,0),FALSE),"OK","BAD")</f>
        <v>#N/A</v>
      </c>
      <c r="BO117" s="95" t="e">
        <f>IF(AB117=VLOOKUP($A117,Feature_List!$A$2:$AO$101,MATCH(BO$1,Feature_List!$A$1:$AO$1,0),FALSE),"OK","BAD")</f>
        <v>#N/A</v>
      </c>
      <c r="BP117" s="95" t="e">
        <f>IF(AC117=VLOOKUP($A117,Feature_List!$A$2:$AO$101,MATCH(BP$1,Feature_List!$A$1:$AO$1,0),FALSE),"OK","BAD")</f>
        <v>#N/A</v>
      </c>
      <c r="BQ117" s="95" t="e">
        <f>IF(AD117=VLOOKUP($A117,Feature_List!$A$2:$AO$101,MATCH(BQ$1,Feature_List!$A$1:$AO$1,0),FALSE),"OK","BAD")</f>
        <v>#N/A</v>
      </c>
      <c r="BR117" s="95" t="e">
        <f>IF(AE117=VLOOKUP($A117,Feature_List!$A$2:$AO$101,MATCH(BR$1,Feature_List!$A$1:$AO$1,0),FALSE),"OK","BAD")</f>
        <v>#N/A</v>
      </c>
      <c r="BS117" s="95" t="e">
        <f>IF(AF117=VLOOKUP($A117,Feature_List!$A$2:$AO$101,MATCH(BS$1,Feature_List!$A$1:$AO$1,0),FALSE),"OK","BAD")</f>
        <v>#N/A</v>
      </c>
      <c r="BT117" s="95" t="e">
        <f>IF(AG117=VLOOKUP($A117,Feature_List!$A$2:$AO$101,MATCH(BT$1,Feature_List!$A$1:$AO$1,0),FALSE),"OK","BAD")</f>
        <v>#N/A</v>
      </c>
      <c r="BU117" s="95" t="e">
        <f>IF(AH117=VLOOKUP($A117,Feature_List!$A$2:$AO$101,MATCH(BU$1,Feature_List!$A$1:$AO$1,0),FALSE),"OK","BAD")</f>
        <v>#N/A</v>
      </c>
      <c r="BV117" s="95" t="e">
        <f>IF(AI117=VLOOKUP($A117,Feature_List!$A$2:$AO$101,MATCH(BV$1,Feature_List!$A$1:$AO$1,0),FALSE),"OK","BAD")</f>
        <v>#N/A</v>
      </c>
      <c r="BW117" s="95" t="e">
        <f>IF(AJ117=VLOOKUP($A117,Feature_List!$A$2:$AO$101,MATCH(BW$1,Feature_List!$A$1:$AO$1,0),FALSE),"OK","BAD")</f>
        <v>#N/A</v>
      </c>
      <c r="BX117" s="95" t="e">
        <f>IF(AK117=VLOOKUP($A117,Feature_List!$A$2:$AO$101,MATCH(BX$1,Feature_List!$A$1:$AO$1,0),FALSE),"OK","BAD")</f>
        <v>#N/A</v>
      </c>
      <c r="BY117" s="95" t="e">
        <f>IF(AL117=VLOOKUP($A117,Feature_List!$A$2:$AO$101,MATCH(BY$1,Feature_List!$A$1:$AO$1,0),FALSE),"OK","BAD")</f>
        <v>#N/A</v>
      </c>
      <c r="BZ117" s="95" t="e">
        <f>IF(AM117=VLOOKUP($A117,Feature_List!$A$2:$AO$101,MATCH(BZ$1,Feature_List!$A$1:$AO$1,0),FALSE),"OK","BAD")</f>
        <v>#N/A</v>
      </c>
      <c r="CA117" s="95" t="e">
        <f>IF(AN117=VLOOKUP($A117,Feature_List!$A$2:$AO$101,MATCH(CA$1,Feature_List!$A$1:$AO$1,0),FALSE),"OK","BAD")</f>
        <v>#N/A</v>
      </c>
    </row>
    <row r="118" spans="1:79" ht="14.4" customHeight="1" x14ac:dyDescent="0.3">
      <c r="A118" s="70"/>
      <c r="B118" s="65"/>
      <c r="C118" s="98"/>
      <c r="D118" s="65"/>
      <c r="E118" s="64"/>
      <c r="F118" s="64"/>
      <c r="G118" s="64"/>
      <c r="H118" s="64"/>
      <c r="I118" s="99"/>
      <c r="J118" s="64"/>
      <c r="K118" s="64"/>
      <c r="L118" s="62"/>
      <c r="M118" s="67"/>
      <c r="N118" s="67"/>
      <c r="O118" s="67"/>
      <c r="P118" s="66"/>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220"/>
      <c r="AO118" s="224"/>
      <c r="AP118" s="95" t="e">
        <f>IF(C118=VLOOKUP($A118,Feature_List!$A$2:$AO$101,MATCH(AP$1,Feature_List!$A$1:$AO$1,0),FALSE),"OK","BAD")</f>
        <v>#N/A</v>
      </c>
      <c r="AQ118" s="95" t="e">
        <f>IF(D118=VLOOKUP($A118,Feature_List!$A$2:$AO$101,MATCH(AQ$1,Feature_List!$A$1:$AO$1,0),FALSE),"OK","BAD")</f>
        <v>#N/A</v>
      </c>
      <c r="AR118" s="95" t="e">
        <f>IF(E118=VLOOKUP($A118,Feature_List!$A$2:$AO$101,MATCH(AR$1,Feature_List!$A$1:$AO$1,0),FALSE),"OK","BAD")</f>
        <v>#N/A</v>
      </c>
      <c r="AS118" s="95" t="e">
        <f>IF(F118=VLOOKUP($A118,Feature_List!$A$2:$AO$101,MATCH(AS$1,Feature_List!$A$1:$AO$1,0),FALSE),"OK","BAD")</f>
        <v>#N/A</v>
      </c>
      <c r="AT118" s="95" t="s">
        <v>985</v>
      </c>
      <c r="AU118" s="95" t="s">
        <v>985</v>
      </c>
      <c r="AV118" s="95" t="e">
        <f>IF(I118=VLOOKUP($A118,Feature_List!$A$2:$AO$101,MATCH(AV$1,Feature_List!$A$1:$AO$1,0),FALSE),"OK","BAD")</f>
        <v>#N/A</v>
      </c>
      <c r="AW118" s="95" t="e">
        <f>IF(J118=VLOOKUP($A118,Feature_List!$A$2:$AO$101,MATCH(AW$1,Feature_List!$A$1:$AO$1,0),FALSE),"OK","BAD")</f>
        <v>#N/A</v>
      </c>
      <c r="AX118" s="95" t="e">
        <f>IF(K118=VLOOKUP($A118,Feature_List!$A$2:$AO$101,MATCH(AX$1,Feature_List!$A$1:$AO$1,0),FALSE),"OK","BAD")</f>
        <v>#N/A</v>
      </c>
      <c r="AY118" s="95" t="e">
        <f>IF(L118=VLOOKUP($A118,Feature_List!$A$2:$AO$101,MATCH(AY$1,Feature_List!$A$1:$AO$1,0),FALSE),"OK","BAD")</f>
        <v>#N/A</v>
      </c>
      <c r="AZ118" s="95" t="e">
        <f>IF(M118=VLOOKUP($A118,Feature_List!$A$2:$AO$101,MATCH(AZ$1,Feature_List!$A$1:$AO$1,0),FALSE),"OK","BAD")</f>
        <v>#N/A</v>
      </c>
      <c r="BA118" s="95" t="e">
        <f>IF(N118=VLOOKUP($A118,Feature_List!$A$2:$AO$101,MATCH(BA$1,Feature_List!$A$1:$AO$1,0),FALSE),"OK","BAD")</f>
        <v>#N/A</v>
      </c>
      <c r="BB118" s="95" t="e">
        <f>IF(O118=VLOOKUP($A118,Feature_List!$A$2:$AO$101,MATCH(BB$1,Feature_List!$A$1:$AO$1,0),FALSE),"OK","BAD")</f>
        <v>#N/A</v>
      </c>
      <c r="BC118" s="95" t="e">
        <f>IF(P118=VLOOKUP($A118,Feature_List!$A$2:$AO$101,MATCH(BC$1,Feature_List!$A$1:$AO$1,0),FALSE),"OK","BAD")</f>
        <v>#N/A</v>
      </c>
      <c r="BD118" s="95" t="e">
        <f>IF(Q118=VLOOKUP($A118,Feature_List!$A$2:$AO$101,MATCH(BD$1,Feature_List!$A$1:$AO$1,0),FALSE),"OK","BAD")</f>
        <v>#N/A</v>
      </c>
      <c r="BE118" s="95" t="e">
        <f>IF(R118=VLOOKUP($A118,Feature_List!$A$2:$AO$101,MATCH(BE$1,Feature_List!$A$1:$AO$1,0),FALSE),"OK","BAD")</f>
        <v>#N/A</v>
      </c>
      <c r="BF118" s="95" t="e">
        <f>IF(S118=VLOOKUP($A118,Feature_List!$A$2:$AO$101,MATCH(BF$1,Feature_List!$A$1:$AO$1,0),FALSE),"OK","BAD")</f>
        <v>#N/A</v>
      </c>
      <c r="BG118" s="95" t="e">
        <f>IF(T118=VLOOKUP($A118,Feature_List!$A$2:$AO$101,MATCH(BG$1,Feature_List!$A$1:$AO$1,0),FALSE),"OK","BAD")</f>
        <v>#N/A</v>
      </c>
      <c r="BH118" s="95" t="e">
        <f>IF(U118=VLOOKUP($A118,Feature_List!$A$2:$AO$101,MATCH(BH$1,Feature_List!$A$1:$AO$1,0),FALSE),"OK","BAD")</f>
        <v>#N/A</v>
      </c>
      <c r="BI118" s="95" t="e">
        <f>IF(V118=VLOOKUP($A118,Feature_List!$A$2:$AO$101,MATCH(BI$1,Feature_List!$A$1:$AO$1,0),FALSE),"OK","BAD")</f>
        <v>#N/A</v>
      </c>
      <c r="BJ118" s="95" t="e">
        <f>IF(W118=VLOOKUP($A118,Feature_List!$A$2:$AO$101,MATCH(BJ$1,Feature_List!$A$1:$AO$1,0),FALSE),"OK","BAD")</f>
        <v>#N/A</v>
      </c>
      <c r="BK118" s="95" t="e">
        <f>IF(X118=VLOOKUP($A118,Feature_List!$A$2:$AO$101,MATCH(BK$1,Feature_List!$A$1:$AO$1,0),FALSE),"OK","BAD")</f>
        <v>#N/A</v>
      </c>
      <c r="BL118" s="95" t="e">
        <f>IF(Y118=VLOOKUP($A118,Feature_List!$A$2:$AO$101,MATCH(BL$1,Feature_List!$A$1:$AO$1,0),FALSE),"OK","BAD")</f>
        <v>#N/A</v>
      </c>
      <c r="BM118" s="95" t="e">
        <f>IF(Z118=VLOOKUP($A118,Feature_List!$A$2:$AO$101,MATCH(BM$1,Feature_List!$A$1:$AO$1,0),FALSE),"OK","BAD")</f>
        <v>#N/A</v>
      </c>
      <c r="BN118" s="95" t="e">
        <f>IF(AA118=VLOOKUP($A118,Feature_List!$A$2:$AO$101,MATCH(BN$1,Feature_List!$A$1:$AO$1,0),FALSE),"OK","BAD")</f>
        <v>#N/A</v>
      </c>
      <c r="BO118" s="95" t="e">
        <f>IF(AB118=VLOOKUP($A118,Feature_List!$A$2:$AO$101,MATCH(BO$1,Feature_List!$A$1:$AO$1,0),FALSE),"OK","BAD")</f>
        <v>#N/A</v>
      </c>
      <c r="BP118" s="95" t="e">
        <f>IF(AC118=VLOOKUP($A118,Feature_List!$A$2:$AO$101,MATCH(BP$1,Feature_List!$A$1:$AO$1,0),FALSE),"OK","BAD")</f>
        <v>#N/A</v>
      </c>
      <c r="BQ118" s="95" t="e">
        <f>IF(AD118=VLOOKUP($A118,Feature_List!$A$2:$AO$101,MATCH(BQ$1,Feature_List!$A$1:$AO$1,0),FALSE),"OK","BAD")</f>
        <v>#N/A</v>
      </c>
      <c r="BR118" s="95" t="e">
        <f>IF(AE118=VLOOKUP($A118,Feature_List!$A$2:$AO$101,MATCH(BR$1,Feature_List!$A$1:$AO$1,0),FALSE),"OK","BAD")</f>
        <v>#N/A</v>
      </c>
      <c r="BS118" s="95" t="e">
        <f>IF(AF118=VLOOKUP($A118,Feature_List!$A$2:$AO$101,MATCH(BS$1,Feature_List!$A$1:$AO$1,0),FALSE),"OK","BAD")</f>
        <v>#N/A</v>
      </c>
      <c r="BT118" s="95" t="e">
        <f>IF(AG118=VLOOKUP($A118,Feature_List!$A$2:$AO$101,MATCH(BT$1,Feature_List!$A$1:$AO$1,0),FALSE),"OK","BAD")</f>
        <v>#N/A</v>
      </c>
      <c r="BU118" s="95" t="e">
        <f>IF(AH118=VLOOKUP($A118,Feature_List!$A$2:$AO$101,MATCH(BU$1,Feature_List!$A$1:$AO$1,0),FALSE),"OK","BAD")</f>
        <v>#N/A</v>
      </c>
      <c r="BV118" s="95" t="e">
        <f>IF(AI118=VLOOKUP($A118,Feature_List!$A$2:$AO$101,MATCH(BV$1,Feature_List!$A$1:$AO$1,0),FALSE),"OK","BAD")</f>
        <v>#N/A</v>
      </c>
      <c r="BW118" s="95" t="e">
        <f>IF(AJ118=VLOOKUP($A118,Feature_List!$A$2:$AO$101,MATCH(BW$1,Feature_List!$A$1:$AO$1,0),FALSE),"OK","BAD")</f>
        <v>#N/A</v>
      </c>
      <c r="BX118" s="95" t="e">
        <f>IF(AK118=VLOOKUP($A118,Feature_List!$A$2:$AO$101,MATCH(BX$1,Feature_List!$A$1:$AO$1,0),FALSE),"OK","BAD")</f>
        <v>#N/A</v>
      </c>
      <c r="BY118" s="95" t="e">
        <f>IF(AL118=VLOOKUP($A118,Feature_List!$A$2:$AO$101,MATCH(BY$1,Feature_List!$A$1:$AO$1,0),FALSE),"OK","BAD")</f>
        <v>#N/A</v>
      </c>
      <c r="BZ118" s="95" t="e">
        <f>IF(AM118=VLOOKUP($A118,Feature_List!$A$2:$AO$101,MATCH(BZ$1,Feature_List!$A$1:$AO$1,0),FALSE),"OK","BAD")</f>
        <v>#N/A</v>
      </c>
      <c r="CA118" s="95" t="e">
        <f>IF(AN118=VLOOKUP($A118,Feature_List!$A$2:$AO$101,MATCH(CA$1,Feature_List!$A$1:$AO$1,0),FALSE),"OK","BAD")</f>
        <v>#N/A</v>
      </c>
    </row>
    <row r="119" spans="1:79" ht="14.4" customHeight="1" x14ac:dyDescent="0.3">
      <c r="A119" s="70"/>
      <c r="B119" s="65"/>
      <c r="C119" s="98"/>
      <c r="D119" s="65"/>
      <c r="E119" s="64"/>
      <c r="F119" s="64"/>
      <c r="G119" s="64"/>
      <c r="H119" s="64"/>
      <c r="I119" s="99"/>
      <c r="J119" s="64"/>
      <c r="K119" s="64"/>
      <c r="L119" s="62"/>
      <c r="M119" s="67"/>
      <c r="N119" s="67"/>
      <c r="O119" s="67"/>
      <c r="P119" s="66"/>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220"/>
      <c r="AO119" s="224"/>
      <c r="AP119" s="95" t="e">
        <f>IF(C119=VLOOKUP($A119,Feature_List!$A$2:$AO$101,MATCH(AP$1,Feature_List!$A$1:$AO$1,0),FALSE),"OK","BAD")</f>
        <v>#N/A</v>
      </c>
      <c r="AQ119" s="95" t="e">
        <f>IF(D119=VLOOKUP($A119,Feature_List!$A$2:$AO$101,MATCH(AQ$1,Feature_List!$A$1:$AO$1,0),FALSE),"OK","BAD")</f>
        <v>#N/A</v>
      </c>
      <c r="AR119" s="95" t="e">
        <f>IF(E119=VLOOKUP($A119,Feature_List!$A$2:$AO$101,MATCH(AR$1,Feature_List!$A$1:$AO$1,0),FALSE),"OK","BAD")</f>
        <v>#N/A</v>
      </c>
      <c r="AS119" s="95" t="e">
        <f>IF(F119=VLOOKUP($A119,Feature_List!$A$2:$AO$101,MATCH(AS$1,Feature_List!$A$1:$AO$1,0),FALSE),"OK","BAD")</f>
        <v>#N/A</v>
      </c>
      <c r="AT119" s="95" t="s">
        <v>985</v>
      </c>
      <c r="AU119" s="95" t="s">
        <v>985</v>
      </c>
      <c r="AV119" s="95" t="e">
        <f>IF(I119=VLOOKUP($A119,Feature_List!$A$2:$AO$101,MATCH(AV$1,Feature_List!$A$1:$AO$1,0),FALSE),"OK","BAD")</f>
        <v>#N/A</v>
      </c>
      <c r="AW119" s="95" t="e">
        <f>IF(J119=VLOOKUP($A119,Feature_List!$A$2:$AO$101,MATCH(AW$1,Feature_List!$A$1:$AO$1,0),FALSE),"OK","BAD")</f>
        <v>#N/A</v>
      </c>
      <c r="AX119" s="95" t="e">
        <f>IF(K119=VLOOKUP($A119,Feature_List!$A$2:$AO$101,MATCH(AX$1,Feature_List!$A$1:$AO$1,0),FALSE),"OK","BAD")</f>
        <v>#N/A</v>
      </c>
      <c r="AY119" s="95" t="e">
        <f>IF(L119=VLOOKUP($A119,Feature_List!$A$2:$AO$101,MATCH(AY$1,Feature_List!$A$1:$AO$1,0),FALSE),"OK","BAD")</f>
        <v>#N/A</v>
      </c>
      <c r="AZ119" s="95" t="e">
        <f>IF(M119=VLOOKUP($A119,Feature_List!$A$2:$AO$101,MATCH(AZ$1,Feature_List!$A$1:$AO$1,0),FALSE),"OK","BAD")</f>
        <v>#N/A</v>
      </c>
      <c r="BA119" s="95" t="e">
        <f>IF(N119=VLOOKUP($A119,Feature_List!$A$2:$AO$101,MATCH(BA$1,Feature_List!$A$1:$AO$1,0),FALSE),"OK","BAD")</f>
        <v>#N/A</v>
      </c>
      <c r="BB119" s="95" t="e">
        <f>IF(O119=VLOOKUP($A119,Feature_List!$A$2:$AO$101,MATCH(BB$1,Feature_List!$A$1:$AO$1,0),FALSE),"OK","BAD")</f>
        <v>#N/A</v>
      </c>
      <c r="BC119" s="95" t="e">
        <f>IF(P119=VLOOKUP($A119,Feature_List!$A$2:$AO$101,MATCH(BC$1,Feature_List!$A$1:$AO$1,0),FALSE),"OK","BAD")</f>
        <v>#N/A</v>
      </c>
      <c r="BD119" s="95" t="e">
        <f>IF(Q119=VLOOKUP($A119,Feature_List!$A$2:$AO$101,MATCH(BD$1,Feature_List!$A$1:$AO$1,0),FALSE),"OK","BAD")</f>
        <v>#N/A</v>
      </c>
      <c r="BE119" s="95" t="e">
        <f>IF(R119=VLOOKUP($A119,Feature_List!$A$2:$AO$101,MATCH(BE$1,Feature_List!$A$1:$AO$1,0),FALSE),"OK","BAD")</f>
        <v>#N/A</v>
      </c>
      <c r="BF119" s="95" t="e">
        <f>IF(S119=VLOOKUP($A119,Feature_List!$A$2:$AO$101,MATCH(BF$1,Feature_List!$A$1:$AO$1,0),FALSE),"OK","BAD")</f>
        <v>#N/A</v>
      </c>
      <c r="BG119" s="95" t="e">
        <f>IF(T119=VLOOKUP($A119,Feature_List!$A$2:$AO$101,MATCH(BG$1,Feature_List!$A$1:$AO$1,0),FALSE),"OK","BAD")</f>
        <v>#N/A</v>
      </c>
      <c r="BH119" s="95" t="e">
        <f>IF(U119=VLOOKUP($A119,Feature_List!$A$2:$AO$101,MATCH(BH$1,Feature_List!$A$1:$AO$1,0),FALSE),"OK","BAD")</f>
        <v>#N/A</v>
      </c>
      <c r="BI119" s="95" t="e">
        <f>IF(V119=VLOOKUP($A119,Feature_List!$A$2:$AO$101,MATCH(BI$1,Feature_List!$A$1:$AO$1,0),FALSE),"OK","BAD")</f>
        <v>#N/A</v>
      </c>
      <c r="BJ119" s="95" t="e">
        <f>IF(W119=VLOOKUP($A119,Feature_List!$A$2:$AO$101,MATCH(BJ$1,Feature_List!$A$1:$AO$1,0),FALSE),"OK","BAD")</f>
        <v>#N/A</v>
      </c>
      <c r="BK119" s="95" t="e">
        <f>IF(X119=VLOOKUP($A119,Feature_List!$A$2:$AO$101,MATCH(BK$1,Feature_List!$A$1:$AO$1,0),FALSE),"OK","BAD")</f>
        <v>#N/A</v>
      </c>
      <c r="BL119" s="95" t="e">
        <f>IF(Y119=VLOOKUP($A119,Feature_List!$A$2:$AO$101,MATCH(BL$1,Feature_List!$A$1:$AO$1,0),FALSE),"OK","BAD")</f>
        <v>#N/A</v>
      </c>
      <c r="BM119" s="95" t="e">
        <f>IF(Z119=VLOOKUP($A119,Feature_List!$A$2:$AO$101,MATCH(BM$1,Feature_List!$A$1:$AO$1,0),FALSE),"OK","BAD")</f>
        <v>#N/A</v>
      </c>
      <c r="BN119" s="95" t="e">
        <f>IF(AA119=VLOOKUP($A119,Feature_List!$A$2:$AO$101,MATCH(BN$1,Feature_List!$A$1:$AO$1,0),FALSE),"OK","BAD")</f>
        <v>#N/A</v>
      </c>
      <c r="BO119" s="95" t="e">
        <f>IF(AB119=VLOOKUP($A119,Feature_List!$A$2:$AO$101,MATCH(BO$1,Feature_List!$A$1:$AO$1,0),FALSE),"OK","BAD")</f>
        <v>#N/A</v>
      </c>
      <c r="BP119" s="95" t="e">
        <f>IF(AC119=VLOOKUP($A119,Feature_List!$A$2:$AO$101,MATCH(BP$1,Feature_List!$A$1:$AO$1,0),FALSE),"OK","BAD")</f>
        <v>#N/A</v>
      </c>
      <c r="BQ119" s="95" t="e">
        <f>IF(AD119=VLOOKUP($A119,Feature_List!$A$2:$AO$101,MATCH(BQ$1,Feature_List!$A$1:$AO$1,0),FALSE),"OK","BAD")</f>
        <v>#N/A</v>
      </c>
      <c r="BR119" s="95" t="e">
        <f>IF(AE119=VLOOKUP($A119,Feature_List!$A$2:$AO$101,MATCH(BR$1,Feature_List!$A$1:$AO$1,0),FALSE),"OK","BAD")</f>
        <v>#N/A</v>
      </c>
      <c r="BS119" s="95" t="e">
        <f>IF(AF119=VLOOKUP($A119,Feature_List!$A$2:$AO$101,MATCH(BS$1,Feature_List!$A$1:$AO$1,0),FALSE),"OK","BAD")</f>
        <v>#N/A</v>
      </c>
      <c r="BT119" s="95" t="e">
        <f>IF(AG119=VLOOKUP($A119,Feature_List!$A$2:$AO$101,MATCH(BT$1,Feature_List!$A$1:$AO$1,0),FALSE),"OK","BAD")</f>
        <v>#N/A</v>
      </c>
      <c r="BU119" s="95" t="e">
        <f>IF(AH119=VLOOKUP($A119,Feature_List!$A$2:$AO$101,MATCH(BU$1,Feature_List!$A$1:$AO$1,0),FALSE),"OK","BAD")</f>
        <v>#N/A</v>
      </c>
      <c r="BV119" s="95" t="e">
        <f>IF(AI119=VLOOKUP($A119,Feature_List!$A$2:$AO$101,MATCH(BV$1,Feature_List!$A$1:$AO$1,0),FALSE),"OK","BAD")</f>
        <v>#N/A</v>
      </c>
      <c r="BW119" s="95" t="e">
        <f>IF(AJ119=VLOOKUP($A119,Feature_List!$A$2:$AO$101,MATCH(BW$1,Feature_List!$A$1:$AO$1,0),FALSE),"OK","BAD")</f>
        <v>#N/A</v>
      </c>
      <c r="BX119" s="95" t="e">
        <f>IF(AK119=VLOOKUP($A119,Feature_List!$A$2:$AO$101,MATCH(BX$1,Feature_List!$A$1:$AO$1,0),FALSE),"OK","BAD")</f>
        <v>#N/A</v>
      </c>
      <c r="BY119" s="95" t="e">
        <f>IF(AL119=VLOOKUP($A119,Feature_List!$A$2:$AO$101,MATCH(BY$1,Feature_List!$A$1:$AO$1,0),FALSE),"OK","BAD")</f>
        <v>#N/A</v>
      </c>
      <c r="BZ119" s="95" t="e">
        <f>IF(AM119=VLOOKUP($A119,Feature_List!$A$2:$AO$101,MATCH(BZ$1,Feature_List!$A$1:$AO$1,0),FALSE),"OK","BAD")</f>
        <v>#N/A</v>
      </c>
      <c r="CA119" s="95" t="e">
        <f>IF(AN119=VLOOKUP($A119,Feature_List!$A$2:$AO$101,MATCH(CA$1,Feature_List!$A$1:$AO$1,0),FALSE),"OK","BAD")</f>
        <v>#N/A</v>
      </c>
    </row>
    <row r="120" spans="1:79" ht="14.4" customHeight="1" x14ac:dyDescent="0.3">
      <c r="A120" s="70"/>
      <c r="B120" s="65"/>
      <c r="C120" s="98"/>
      <c r="D120" s="65"/>
      <c r="E120" s="64"/>
      <c r="F120" s="64"/>
      <c r="G120" s="64"/>
      <c r="H120" s="64"/>
      <c r="I120" s="99"/>
      <c r="J120" s="64"/>
      <c r="K120" s="64"/>
      <c r="L120" s="62"/>
      <c r="M120" s="67"/>
      <c r="N120" s="67"/>
      <c r="O120" s="67"/>
      <c r="P120" s="66"/>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220"/>
      <c r="AO120" s="224"/>
      <c r="AP120" s="95" t="e">
        <f>IF(C120=VLOOKUP($A120,Feature_List!$A$2:$AO$101,MATCH(AP$1,Feature_List!$A$1:$AO$1,0),FALSE),"OK","BAD")</f>
        <v>#N/A</v>
      </c>
      <c r="AQ120" s="95" t="e">
        <f>IF(D120=VLOOKUP($A120,Feature_List!$A$2:$AO$101,MATCH(AQ$1,Feature_List!$A$1:$AO$1,0),FALSE),"OK","BAD")</f>
        <v>#N/A</v>
      </c>
      <c r="AR120" s="95" t="e">
        <f>IF(E120=VLOOKUP($A120,Feature_List!$A$2:$AO$101,MATCH(AR$1,Feature_List!$A$1:$AO$1,0),FALSE),"OK","BAD")</f>
        <v>#N/A</v>
      </c>
      <c r="AS120" s="95" t="e">
        <f>IF(F120=VLOOKUP($A120,Feature_List!$A$2:$AO$101,MATCH(AS$1,Feature_List!$A$1:$AO$1,0),FALSE),"OK","BAD")</f>
        <v>#N/A</v>
      </c>
      <c r="AT120" s="95" t="s">
        <v>985</v>
      </c>
      <c r="AU120" s="95" t="s">
        <v>985</v>
      </c>
      <c r="AV120" s="95" t="e">
        <f>IF(I120=VLOOKUP($A120,Feature_List!$A$2:$AO$101,MATCH(AV$1,Feature_List!$A$1:$AO$1,0),FALSE),"OK","BAD")</f>
        <v>#N/A</v>
      </c>
      <c r="AW120" s="95" t="e">
        <f>IF(J120=VLOOKUP($A120,Feature_List!$A$2:$AO$101,MATCH(AW$1,Feature_List!$A$1:$AO$1,0),FALSE),"OK","BAD")</f>
        <v>#N/A</v>
      </c>
      <c r="AX120" s="95" t="e">
        <f>IF(K120=VLOOKUP($A120,Feature_List!$A$2:$AO$101,MATCH(AX$1,Feature_List!$A$1:$AO$1,0),FALSE),"OK","BAD")</f>
        <v>#N/A</v>
      </c>
      <c r="AY120" s="95" t="e">
        <f>IF(L120=VLOOKUP($A120,Feature_List!$A$2:$AO$101,MATCH(AY$1,Feature_List!$A$1:$AO$1,0),FALSE),"OK","BAD")</f>
        <v>#N/A</v>
      </c>
      <c r="AZ120" s="95" t="e">
        <f>IF(M120=VLOOKUP($A120,Feature_List!$A$2:$AO$101,MATCH(AZ$1,Feature_List!$A$1:$AO$1,0),FALSE),"OK","BAD")</f>
        <v>#N/A</v>
      </c>
      <c r="BA120" s="95" t="e">
        <f>IF(N120=VLOOKUP($A120,Feature_List!$A$2:$AO$101,MATCH(BA$1,Feature_List!$A$1:$AO$1,0),FALSE),"OK","BAD")</f>
        <v>#N/A</v>
      </c>
      <c r="BB120" s="95" t="e">
        <f>IF(O120=VLOOKUP($A120,Feature_List!$A$2:$AO$101,MATCH(BB$1,Feature_List!$A$1:$AO$1,0),FALSE),"OK","BAD")</f>
        <v>#N/A</v>
      </c>
      <c r="BC120" s="95" t="e">
        <f>IF(P120=VLOOKUP($A120,Feature_List!$A$2:$AO$101,MATCH(BC$1,Feature_List!$A$1:$AO$1,0),FALSE),"OK","BAD")</f>
        <v>#N/A</v>
      </c>
      <c r="BD120" s="95" t="e">
        <f>IF(Q120=VLOOKUP($A120,Feature_List!$A$2:$AO$101,MATCH(BD$1,Feature_List!$A$1:$AO$1,0),FALSE),"OK","BAD")</f>
        <v>#N/A</v>
      </c>
      <c r="BE120" s="95" t="e">
        <f>IF(R120=VLOOKUP($A120,Feature_List!$A$2:$AO$101,MATCH(BE$1,Feature_List!$A$1:$AO$1,0),FALSE),"OK","BAD")</f>
        <v>#N/A</v>
      </c>
      <c r="BF120" s="95" t="e">
        <f>IF(S120=VLOOKUP($A120,Feature_List!$A$2:$AO$101,MATCH(BF$1,Feature_List!$A$1:$AO$1,0),FALSE),"OK","BAD")</f>
        <v>#N/A</v>
      </c>
      <c r="BG120" s="95" t="e">
        <f>IF(T120=VLOOKUP($A120,Feature_List!$A$2:$AO$101,MATCH(BG$1,Feature_List!$A$1:$AO$1,0),FALSE),"OK","BAD")</f>
        <v>#N/A</v>
      </c>
      <c r="BH120" s="95" t="e">
        <f>IF(U120=VLOOKUP($A120,Feature_List!$A$2:$AO$101,MATCH(BH$1,Feature_List!$A$1:$AO$1,0),FALSE),"OK","BAD")</f>
        <v>#N/A</v>
      </c>
      <c r="BI120" s="95" t="e">
        <f>IF(V120=VLOOKUP($A120,Feature_List!$A$2:$AO$101,MATCH(BI$1,Feature_List!$A$1:$AO$1,0),FALSE),"OK","BAD")</f>
        <v>#N/A</v>
      </c>
      <c r="BJ120" s="95" t="e">
        <f>IF(W120=VLOOKUP($A120,Feature_List!$A$2:$AO$101,MATCH(BJ$1,Feature_List!$A$1:$AO$1,0),FALSE),"OK","BAD")</f>
        <v>#N/A</v>
      </c>
      <c r="BK120" s="95" t="e">
        <f>IF(X120=VLOOKUP($A120,Feature_List!$A$2:$AO$101,MATCH(BK$1,Feature_List!$A$1:$AO$1,0),FALSE),"OK","BAD")</f>
        <v>#N/A</v>
      </c>
      <c r="BL120" s="95" t="e">
        <f>IF(Y120=VLOOKUP($A120,Feature_List!$A$2:$AO$101,MATCH(BL$1,Feature_List!$A$1:$AO$1,0),FALSE),"OK","BAD")</f>
        <v>#N/A</v>
      </c>
      <c r="BM120" s="95" t="e">
        <f>IF(Z120=VLOOKUP($A120,Feature_List!$A$2:$AO$101,MATCH(BM$1,Feature_List!$A$1:$AO$1,0),FALSE),"OK","BAD")</f>
        <v>#N/A</v>
      </c>
      <c r="BN120" s="95" t="e">
        <f>IF(AA120=VLOOKUP($A120,Feature_List!$A$2:$AO$101,MATCH(BN$1,Feature_List!$A$1:$AO$1,0),FALSE),"OK","BAD")</f>
        <v>#N/A</v>
      </c>
      <c r="BO120" s="95" t="e">
        <f>IF(AB120=VLOOKUP($A120,Feature_List!$A$2:$AO$101,MATCH(BO$1,Feature_List!$A$1:$AO$1,0),FALSE),"OK","BAD")</f>
        <v>#N/A</v>
      </c>
      <c r="BP120" s="95" t="e">
        <f>IF(AC120=VLOOKUP($A120,Feature_List!$A$2:$AO$101,MATCH(BP$1,Feature_List!$A$1:$AO$1,0),FALSE),"OK","BAD")</f>
        <v>#N/A</v>
      </c>
      <c r="BQ120" s="95" t="e">
        <f>IF(AD120=VLOOKUP($A120,Feature_List!$A$2:$AO$101,MATCH(BQ$1,Feature_List!$A$1:$AO$1,0),FALSE),"OK","BAD")</f>
        <v>#N/A</v>
      </c>
      <c r="BR120" s="95" t="e">
        <f>IF(AE120=VLOOKUP($A120,Feature_List!$A$2:$AO$101,MATCH(BR$1,Feature_List!$A$1:$AO$1,0),FALSE),"OK","BAD")</f>
        <v>#N/A</v>
      </c>
      <c r="BS120" s="95" t="e">
        <f>IF(AF120=VLOOKUP($A120,Feature_List!$A$2:$AO$101,MATCH(BS$1,Feature_List!$A$1:$AO$1,0),FALSE),"OK","BAD")</f>
        <v>#N/A</v>
      </c>
      <c r="BT120" s="95" t="e">
        <f>IF(AG120=VLOOKUP($A120,Feature_List!$A$2:$AO$101,MATCH(BT$1,Feature_List!$A$1:$AO$1,0),FALSE),"OK","BAD")</f>
        <v>#N/A</v>
      </c>
      <c r="BU120" s="95" t="e">
        <f>IF(AH120=VLOOKUP($A120,Feature_List!$A$2:$AO$101,MATCH(BU$1,Feature_List!$A$1:$AO$1,0),FALSE),"OK","BAD")</f>
        <v>#N/A</v>
      </c>
      <c r="BV120" s="95" t="e">
        <f>IF(AI120=VLOOKUP($A120,Feature_List!$A$2:$AO$101,MATCH(BV$1,Feature_List!$A$1:$AO$1,0),FALSE),"OK","BAD")</f>
        <v>#N/A</v>
      </c>
      <c r="BW120" s="95" t="e">
        <f>IF(AJ120=VLOOKUP($A120,Feature_List!$A$2:$AO$101,MATCH(BW$1,Feature_List!$A$1:$AO$1,0),FALSE),"OK","BAD")</f>
        <v>#N/A</v>
      </c>
      <c r="BX120" s="95" t="e">
        <f>IF(AK120=VLOOKUP($A120,Feature_List!$A$2:$AO$101,MATCH(BX$1,Feature_List!$A$1:$AO$1,0),FALSE),"OK","BAD")</f>
        <v>#N/A</v>
      </c>
      <c r="BY120" s="95" t="e">
        <f>IF(AL120=VLOOKUP($A120,Feature_List!$A$2:$AO$101,MATCH(BY$1,Feature_List!$A$1:$AO$1,0),FALSE),"OK","BAD")</f>
        <v>#N/A</v>
      </c>
      <c r="BZ120" s="95" t="e">
        <f>IF(AM120=VLOOKUP($A120,Feature_List!$A$2:$AO$101,MATCH(BZ$1,Feature_List!$A$1:$AO$1,0),FALSE),"OK","BAD")</f>
        <v>#N/A</v>
      </c>
      <c r="CA120" s="95" t="e">
        <f>IF(AN120=VLOOKUP($A120,Feature_List!$A$2:$AO$101,MATCH(CA$1,Feature_List!$A$1:$AO$1,0),FALSE),"OK","BAD")</f>
        <v>#N/A</v>
      </c>
    </row>
    <row r="121" spans="1:79" ht="14.4" customHeight="1" x14ac:dyDescent="0.3">
      <c r="A121" s="70"/>
      <c r="B121" s="65"/>
      <c r="C121" s="98"/>
      <c r="D121" s="65"/>
      <c r="E121" s="64"/>
      <c r="F121" s="64"/>
      <c r="G121" s="64"/>
      <c r="H121" s="64"/>
      <c r="I121" s="99"/>
      <c r="J121" s="64"/>
      <c r="K121" s="64"/>
      <c r="L121" s="62"/>
      <c r="M121" s="67"/>
      <c r="N121" s="67"/>
      <c r="O121" s="67"/>
      <c r="P121" s="66"/>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220"/>
      <c r="AO121" s="224"/>
      <c r="AP121" s="95" t="e">
        <f>IF(C121=VLOOKUP($A121,Feature_List!$A$2:$AO$101,MATCH(AP$1,Feature_List!$A$1:$AO$1,0),FALSE),"OK","BAD")</f>
        <v>#N/A</v>
      </c>
      <c r="AQ121" s="95" t="e">
        <f>IF(D121=VLOOKUP($A121,Feature_List!$A$2:$AO$101,MATCH(AQ$1,Feature_List!$A$1:$AO$1,0),FALSE),"OK","BAD")</f>
        <v>#N/A</v>
      </c>
      <c r="AR121" s="95" t="e">
        <f>IF(E121=VLOOKUP($A121,Feature_List!$A$2:$AO$101,MATCH(AR$1,Feature_List!$A$1:$AO$1,0),FALSE),"OK","BAD")</f>
        <v>#N/A</v>
      </c>
      <c r="AS121" s="95" t="e">
        <f>IF(F121=VLOOKUP($A121,Feature_List!$A$2:$AO$101,MATCH(AS$1,Feature_List!$A$1:$AO$1,0),FALSE),"OK","BAD")</f>
        <v>#N/A</v>
      </c>
      <c r="AT121" s="95" t="s">
        <v>985</v>
      </c>
      <c r="AU121" s="95" t="s">
        <v>985</v>
      </c>
      <c r="AV121" s="95" t="e">
        <f>IF(I121=VLOOKUP($A121,Feature_List!$A$2:$AO$101,MATCH(AV$1,Feature_List!$A$1:$AO$1,0),FALSE),"OK","BAD")</f>
        <v>#N/A</v>
      </c>
      <c r="AW121" s="95" t="e">
        <f>IF(J121=VLOOKUP($A121,Feature_List!$A$2:$AO$101,MATCH(AW$1,Feature_List!$A$1:$AO$1,0),FALSE),"OK","BAD")</f>
        <v>#N/A</v>
      </c>
      <c r="AX121" s="95" t="e">
        <f>IF(K121=VLOOKUP($A121,Feature_List!$A$2:$AO$101,MATCH(AX$1,Feature_List!$A$1:$AO$1,0),FALSE),"OK","BAD")</f>
        <v>#N/A</v>
      </c>
      <c r="AY121" s="95" t="e">
        <f>IF(L121=VLOOKUP($A121,Feature_List!$A$2:$AO$101,MATCH(AY$1,Feature_List!$A$1:$AO$1,0),FALSE),"OK","BAD")</f>
        <v>#N/A</v>
      </c>
      <c r="AZ121" s="95" t="e">
        <f>IF(M121=VLOOKUP($A121,Feature_List!$A$2:$AO$101,MATCH(AZ$1,Feature_List!$A$1:$AO$1,0),FALSE),"OK","BAD")</f>
        <v>#N/A</v>
      </c>
      <c r="BA121" s="95" t="e">
        <f>IF(N121=VLOOKUP($A121,Feature_List!$A$2:$AO$101,MATCH(BA$1,Feature_List!$A$1:$AO$1,0),FALSE),"OK","BAD")</f>
        <v>#N/A</v>
      </c>
      <c r="BB121" s="95" t="e">
        <f>IF(O121=VLOOKUP($A121,Feature_List!$A$2:$AO$101,MATCH(BB$1,Feature_List!$A$1:$AO$1,0),FALSE),"OK","BAD")</f>
        <v>#N/A</v>
      </c>
      <c r="BC121" s="95" t="e">
        <f>IF(P121=VLOOKUP($A121,Feature_List!$A$2:$AO$101,MATCH(BC$1,Feature_List!$A$1:$AO$1,0),FALSE),"OK","BAD")</f>
        <v>#N/A</v>
      </c>
      <c r="BD121" s="95" t="e">
        <f>IF(Q121=VLOOKUP($A121,Feature_List!$A$2:$AO$101,MATCH(BD$1,Feature_List!$A$1:$AO$1,0),FALSE),"OK","BAD")</f>
        <v>#N/A</v>
      </c>
      <c r="BE121" s="95" t="e">
        <f>IF(R121=VLOOKUP($A121,Feature_List!$A$2:$AO$101,MATCH(BE$1,Feature_List!$A$1:$AO$1,0),FALSE),"OK","BAD")</f>
        <v>#N/A</v>
      </c>
      <c r="BF121" s="95" t="e">
        <f>IF(S121=VLOOKUP($A121,Feature_List!$A$2:$AO$101,MATCH(BF$1,Feature_List!$A$1:$AO$1,0),FALSE),"OK","BAD")</f>
        <v>#N/A</v>
      </c>
      <c r="BG121" s="95" t="e">
        <f>IF(T121=VLOOKUP($A121,Feature_List!$A$2:$AO$101,MATCH(BG$1,Feature_List!$A$1:$AO$1,0),FALSE),"OK","BAD")</f>
        <v>#N/A</v>
      </c>
      <c r="BH121" s="95" t="e">
        <f>IF(U121=VLOOKUP($A121,Feature_List!$A$2:$AO$101,MATCH(BH$1,Feature_List!$A$1:$AO$1,0),FALSE),"OK","BAD")</f>
        <v>#N/A</v>
      </c>
      <c r="BI121" s="95" t="e">
        <f>IF(V121=VLOOKUP($A121,Feature_List!$A$2:$AO$101,MATCH(BI$1,Feature_List!$A$1:$AO$1,0),FALSE),"OK","BAD")</f>
        <v>#N/A</v>
      </c>
      <c r="BJ121" s="95" t="e">
        <f>IF(W121=VLOOKUP($A121,Feature_List!$A$2:$AO$101,MATCH(BJ$1,Feature_List!$A$1:$AO$1,0),FALSE),"OK","BAD")</f>
        <v>#N/A</v>
      </c>
      <c r="BK121" s="95" t="e">
        <f>IF(X121=VLOOKUP($A121,Feature_List!$A$2:$AO$101,MATCH(BK$1,Feature_List!$A$1:$AO$1,0),FALSE),"OK","BAD")</f>
        <v>#N/A</v>
      </c>
      <c r="BL121" s="95" t="e">
        <f>IF(Y121=VLOOKUP($A121,Feature_List!$A$2:$AO$101,MATCH(BL$1,Feature_List!$A$1:$AO$1,0),FALSE),"OK","BAD")</f>
        <v>#N/A</v>
      </c>
      <c r="BM121" s="95" t="e">
        <f>IF(Z121=VLOOKUP($A121,Feature_List!$A$2:$AO$101,MATCH(BM$1,Feature_List!$A$1:$AO$1,0),FALSE),"OK","BAD")</f>
        <v>#N/A</v>
      </c>
      <c r="BN121" s="95" t="e">
        <f>IF(AA121=VLOOKUP($A121,Feature_List!$A$2:$AO$101,MATCH(BN$1,Feature_List!$A$1:$AO$1,0),FALSE),"OK","BAD")</f>
        <v>#N/A</v>
      </c>
      <c r="BO121" s="95" t="e">
        <f>IF(AB121=VLOOKUP($A121,Feature_List!$A$2:$AO$101,MATCH(BO$1,Feature_List!$A$1:$AO$1,0),FALSE),"OK","BAD")</f>
        <v>#N/A</v>
      </c>
      <c r="BP121" s="95" t="e">
        <f>IF(AC121=VLOOKUP($A121,Feature_List!$A$2:$AO$101,MATCH(BP$1,Feature_List!$A$1:$AO$1,0),FALSE),"OK","BAD")</f>
        <v>#N/A</v>
      </c>
      <c r="BQ121" s="95" t="e">
        <f>IF(AD121=VLOOKUP($A121,Feature_List!$A$2:$AO$101,MATCH(BQ$1,Feature_List!$A$1:$AO$1,0),FALSE),"OK","BAD")</f>
        <v>#N/A</v>
      </c>
      <c r="BR121" s="95" t="e">
        <f>IF(AE121=VLOOKUP($A121,Feature_List!$A$2:$AO$101,MATCH(BR$1,Feature_List!$A$1:$AO$1,0),FALSE),"OK","BAD")</f>
        <v>#N/A</v>
      </c>
      <c r="BS121" s="95" t="e">
        <f>IF(AF121=VLOOKUP($A121,Feature_List!$A$2:$AO$101,MATCH(BS$1,Feature_List!$A$1:$AO$1,0),FALSE),"OK","BAD")</f>
        <v>#N/A</v>
      </c>
      <c r="BT121" s="95" t="e">
        <f>IF(AG121=VLOOKUP($A121,Feature_List!$A$2:$AO$101,MATCH(BT$1,Feature_List!$A$1:$AO$1,0),FALSE),"OK","BAD")</f>
        <v>#N/A</v>
      </c>
      <c r="BU121" s="95" t="e">
        <f>IF(AH121=VLOOKUP($A121,Feature_List!$A$2:$AO$101,MATCH(BU$1,Feature_List!$A$1:$AO$1,0),FALSE),"OK","BAD")</f>
        <v>#N/A</v>
      </c>
      <c r="BV121" s="95" t="e">
        <f>IF(AI121=VLOOKUP($A121,Feature_List!$A$2:$AO$101,MATCH(BV$1,Feature_List!$A$1:$AO$1,0),FALSE),"OK","BAD")</f>
        <v>#N/A</v>
      </c>
      <c r="BW121" s="95" t="e">
        <f>IF(AJ121=VLOOKUP($A121,Feature_List!$A$2:$AO$101,MATCH(BW$1,Feature_List!$A$1:$AO$1,0),FALSE),"OK","BAD")</f>
        <v>#N/A</v>
      </c>
      <c r="BX121" s="95" t="e">
        <f>IF(AK121=VLOOKUP($A121,Feature_List!$A$2:$AO$101,MATCH(BX$1,Feature_List!$A$1:$AO$1,0),FALSE),"OK","BAD")</f>
        <v>#N/A</v>
      </c>
      <c r="BY121" s="95" t="e">
        <f>IF(AL121=VLOOKUP($A121,Feature_List!$A$2:$AO$101,MATCH(BY$1,Feature_List!$A$1:$AO$1,0),FALSE),"OK","BAD")</f>
        <v>#N/A</v>
      </c>
      <c r="BZ121" s="95" t="e">
        <f>IF(AM121=VLOOKUP($A121,Feature_List!$A$2:$AO$101,MATCH(BZ$1,Feature_List!$A$1:$AO$1,0),FALSE),"OK","BAD")</f>
        <v>#N/A</v>
      </c>
      <c r="CA121" s="95" t="e">
        <f>IF(AN121=VLOOKUP($A121,Feature_List!$A$2:$AO$101,MATCH(CA$1,Feature_List!$A$1:$AO$1,0),FALSE),"OK","BAD")</f>
        <v>#N/A</v>
      </c>
    </row>
    <row r="122" spans="1:79" ht="14.4" customHeight="1" x14ac:dyDescent="0.3">
      <c r="A122" s="34"/>
      <c r="B122" s="65"/>
      <c r="C122" s="98"/>
      <c r="D122" s="65"/>
      <c r="E122" s="64"/>
      <c r="F122" s="64"/>
      <c r="G122" s="64"/>
      <c r="H122" s="64"/>
      <c r="I122" s="99"/>
      <c r="J122" s="64"/>
      <c r="K122" s="64"/>
      <c r="L122" s="62"/>
      <c r="M122" s="67"/>
      <c r="N122" s="67"/>
      <c r="O122" s="67"/>
      <c r="P122" s="66"/>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220"/>
      <c r="AO122" s="224"/>
      <c r="AP122" s="95" t="e">
        <f>IF(C122=VLOOKUP($A122,Feature_List!$A$2:$AO$101,MATCH(AP$1,Feature_List!$A$1:$AO$1,0),FALSE),"OK","BAD")</f>
        <v>#N/A</v>
      </c>
      <c r="AQ122" s="95" t="e">
        <f>IF(D122=VLOOKUP($A122,Feature_List!$A$2:$AO$101,MATCH(AQ$1,Feature_List!$A$1:$AO$1,0),FALSE),"OK","BAD")</f>
        <v>#N/A</v>
      </c>
      <c r="AR122" s="95" t="e">
        <f>IF(E122=VLOOKUP($A122,Feature_List!$A$2:$AO$101,MATCH(AR$1,Feature_List!$A$1:$AO$1,0),FALSE),"OK","BAD")</f>
        <v>#N/A</v>
      </c>
      <c r="AS122" s="95" t="e">
        <f>IF(F122=VLOOKUP($A122,Feature_List!$A$2:$AO$101,MATCH(AS$1,Feature_List!$A$1:$AO$1,0),FALSE),"OK","BAD")</f>
        <v>#N/A</v>
      </c>
      <c r="AT122" s="95" t="s">
        <v>985</v>
      </c>
      <c r="AU122" s="95" t="s">
        <v>985</v>
      </c>
      <c r="AV122" s="95" t="e">
        <f>IF(I122=VLOOKUP($A122,Feature_List!$A$2:$AO$101,MATCH(AV$1,Feature_List!$A$1:$AO$1,0),FALSE),"OK","BAD")</f>
        <v>#N/A</v>
      </c>
      <c r="AW122" s="95" t="e">
        <f>IF(J122=VLOOKUP($A122,Feature_List!$A$2:$AO$101,MATCH(AW$1,Feature_List!$A$1:$AO$1,0),FALSE),"OK","BAD")</f>
        <v>#N/A</v>
      </c>
      <c r="AX122" s="95" t="e">
        <f>IF(K122=VLOOKUP($A122,Feature_List!$A$2:$AO$101,MATCH(AX$1,Feature_List!$A$1:$AO$1,0),FALSE),"OK","BAD")</f>
        <v>#N/A</v>
      </c>
      <c r="AY122" s="95" t="e">
        <f>IF(L122=VLOOKUP($A122,Feature_List!$A$2:$AO$101,MATCH(AY$1,Feature_List!$A$1:$AO$1,0),FALSE),"OK","BAD")</f>
        <v>#N/A</v>
      </c>
      <c r="AZ122" s="95" t="e">
        <f>IF(M122=VLOOKUP($A122,Feature_List!$A$2:$AO$101,MATCH(AZ$1,Feature_List!$A$1:$AO$1,0),FALSE),"OK","BAD")</f>
        <v>#N/A</v>
      </c>
      <c r="BA122" s="95" t="e">
        <f>IF(N122=VLOOKUP($A122,Feature_List!$A$2:$AO$101,MATCH(BA$1,Feature_List!$A$1:$AO$1,0),FALSE),"OK","BAD")</f>
        <v>#N/A</v>
      </c>
      <c r="BB122" s="95" t="e">
        <f>IF(O122=VLOOKUP($A122,Feature_List!$A$2:$AO$101,MATCH(BB$1,Feature_List!$A$1:$AO$1,0),FALSE),"OK","BAD")</f>
        <v>#N/A</v>
      </c>
      <c r="BC122" s="95" t="e">
        <f>IF(P122=VLOOKUP($A122,Feature_List!$A$2:$AO$101,MATCH(BC$1,Feature_List!$A$1:$AO$1,0),FALSE),"OK","BAD")</f>
        <v>#N/A</v>
      </c>
      <c r="BD122" s="95" t="e">
        <f>IF(Q122=VLOOKUP($A122,Feature_List!$A$2:$AO$101,MATCH(BD$1,Feature_List!$A$1:$AO$1,0),FALSE),"OK","BAD")</f>
        <v>#N/A</v>
      </c>
      <c r="BE122" s="95" t="e">
        <f>IF(R122=VLOOKUP($A122,Feature_List!$A$2:$AO$101,MATCH(BE$1,Feature_List!$A$1:$AO$1,0),FALSE),"OK","BAD")</f>
        <v>#N/A</v>
      </c>
      <c r="BF122" s="95" t="e">
        <f>IF(S122=VLOOKUP($A122,Feature_List!$A$2:$AO$101,MATCH(BF$1,Feature_List!$A$1:$AO$1,0),FALSE),"OK","BAD")</f>
        <v>#N/A</v>
      </c>
      <c r="BG122" s="95" t="e">
        <f>IF(T122=VLOOKUP($A122,Feature_List!$A$2:$AO$101,MATCH(BG$1,Feature_List!$A$1:$AO$1,0),FALSE),"OK","BAD")</f>
        <v>#N/A</v>
      </c>
      <c r="BH122" s="95" t="e">
        <f>IF(U122=VLOOKUP($A122,Feature_List!$A$2:$AO$101,MATCH(BH$1,Feature_List!$A$1:$AO$1,0),FALSE),"OK","BAD")</f>
        <v>#N/A</v>
      </c>
      <c r="BI122" s="95" t="e">
        <f>IF(V122=VLOOKUP($A122,Feature_List!$A$2:$AO$101,MATCH(BI$1,Feature_List!$A$1:$AO$1,0),FALSE),"OK","BAD")</f>
        <v>#N/A</v>
      </c>
      <c r="BJ122" s="95" t="e">
        <f>IF(W122=VLOOKUP($A122,Feature_List!$A$2:$AO$101,MATCH(BJ$1,Feature_List!$A$1:$AO$1,0),FALSE),"OK","BAD")</f>
        <v>#N/A</v>
      </c>
      <c r="BK122" s="95" t="e">
        <f>IF(X122=VLOOKUP($A122,Feature_List!$A$2:$AO$101,MATCH(BK$1,Feature_List!$A$1:$AO$1,0),FALSE),"OK","BAD")</f>
        <v>#N/A</v>
      </c>
      <c r="BL122" s="95" t="e">
        <f>IF(Y122=VLOOKUP($A122,Feature_List!$A$2:$AO$101,MATCH(BL$1,Feature_List!$A$1:$AO$1,0),FALSE),"OK","BAD")</f>
        <v>#N/A</v>
      </c>
      <c r="BM122" s="95" t="e">
        <f>IF(Z122=VLOOKUP($A122,Feature_List!$A$2:$AO$101,MATCH(BM$1,Feature_List!$A$1:$AO$1,0),FALSE),"OK","BAD")</f>
        <v>#N/A</v>
      </c>
      <c r="BN122" s="95" t="e">
        <f>IF(AA122=VLOOKUP($A122,Feature_List!$A$2:$AO$101,MATCH(BN$1,Feature_List!$A$1:$AO$1,0),FALSE),"OK","BAD")</f>
        <v>#N/A</v>
      </c>
      <c r="BO122" s="95" t="e">
        <f>IF(AB122=VLOOKUP($A122,Feature_List!$A$2:$AO$101,MATCH(BO$1,Feature_List!$A$1:$AO$1,0),FALSE),"OK","BAD")</f>
        <v>#N/A</v>
      </c>
      <c r="BP122" s="95" t="e">
        <f>IF(AC122=VLOOKUP($A122,Feature_List!$A$2:$AO$101,MATCH(BP$1,Feature_List!$A$1:$AO$1,0),FALSE),"OK","BAD")</f>
        <v>#N/A</v>
      </c>
      <c r="BQ122" s="95" t="e">
        <f>IF(AD122=VLOOKUP($A122,Feature_List!$A$2:$AO$101,MATCH(BQ$1,Feature_List!$A$1:$AO$1,0),FALSE),"OK","BAD")</f>
        <v>#N/A</v>
      </c>
      <c r="BR122" s="95" t="e">
        <f>IF(AE122=VLOOKUP($A122,Feature_List!$A$2:$AO$101,MATCH(BR$1,Feature_List!$A$1:$AO$1,0),FALSE),"OK","BAD")</f>
        <v>#N/A</v>
      </c>
      <c r="BS122" s="95" t="e">
        <f>IF(AF122=VLOOKUP($A122,Feature_List!$A$2:$AO$101,MATCH(BS$1,Feature_List!$A$1:$AO$1,0),FALSE),"OK","BAD")</f>
        <v>#N/A</v>
      </c>
      <c r="BT122" s="95" t="e">
        <f>IF(AG122=VLOOKUP($A122,Feature_List!$A$2:$AO$101,MATCH(BT$1,Feature_List!$A$1:$AO$1,0),FALSE),"OK","BAD")</f>
        <v>#N/A</v>
      </c>
      <c r="BU122" s="95" t="e">
        <f>IF(AH122=VLOOKUP($A122,Feature_List!$A$2:$AO$101,MATCH(BU$1,Feature_List!$A$1:$AO$1,0),FALSE),"OK","BAD")</f>
        <v>#N/A</v>
      </c>
      <c r="BV122" s="95" t="e">
        <f>IF(AI122=VLOOKUP($A122,Feature_List!$A$2:$AO$101,MATCH(BV$1,Feature_List!$A$1:$AO$1,0),FALSE),"OK","BAD")</f>
        <v>#N/A</v>
      </c>
      <c r="BW122" s="95" t="e">
        <f>IF(AJ122=VLOOKUP($A122,Feature_List!$A$2:$AO$101,MATCH(BW$1,Feature_List!$A$1:$AO$1,0),FALSE),"OK","BAD")</f>
        <v>#N/A</v>
      </c>
      <c r="BX122" s="95" t="e">
        <f>IF(AK122=VLOOKUP($A122,Feature_List!$A$2:$AO$101,MATCH(BX$1,Feature_List!$A$1:$AO$1,0),FALSE),"OK","BAD")</f>
        <v>#N/A</v>
      </c>
      <c r="BY122" s="95" t="e">
        <f>IF(AL122=VLOOKUP($A122,Feature_List!$A$2:$AO$101,MATCH(BY$1,Feature_List!$A$1:$AO$1,0),FALSE),"OK","BAD")</f>
        <v>#N/A</v>
      </c>
      <c r="BZ122" s="95" t="e">
        <f>IF(AM122=VLOOKUP($A122,Feature_List!$A$2:$AO$101,MATCH(BZ$1,Feature_List!$A$1:$AO$1,0),FALSE),"OK","BAD")</f>
        <v>#N/A</v>
      </c>
      <c r="CA122" s="95" t="e">
        <f>IF(AN122=VLOOKUP($A122,Feature_List!$A$2:$AO$101,MATCH(CA$1,Feature_List!$A$1:$AO$1,0),FALSE),"OK","BAD")</f>
        <v>#N/A</v>
      </c>
    </row>
    <row r="123" spans="1:79" ht="14.4" customHeight="1" x14ac:dyDescent="0.3">
      <c r="A123" s="34"/>
      <c r="B123" s="65"/>
      <c r="C123" s="98"/>
      <c r="D123" s="65"/>
      <c r="E123" s="64"/>
      <c r="F123" s="64"/>
      <c r="G123" s="64"/>
      <c r="H123" s="64"/>
      <c r="I123" s="99"/>
      <c r="J123" s="64"/>
      <c r="K123" s="64"/>
      <c r="L123" s="62"/>
      <c r="M123" s="67"/>
      <c r="N123" s="67"/>
      <c r="O123" s="67"/>
      <c r="P123" s="66"/>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220"/>
      <c r="AO123" s="224"/>
      <c r="AP123" s="95" t="e">
        <f>IF(C123=VLOOKUP($A123,Feature_List!$A$2:$AO$101,MATCH(AP$1,Feature_List!$A$1:$AO$1,0),FALSE),"OK","BAD")</f>
        <v>#N/A</v>
      </c>
      <c r="AQ123" s="95" t="e">
        <f>IF(D123=VLOOKUP($A123,Feature_List!$A$2:$AO$101,MATCH(AQ$1,Feature_List!$A$1:$AO$1,0),FALSE),"OK","BAD")</f>
        <v>#N/A</v>
      </c>
      <c r="AR123" s="95" t="e">
        <f>IF(E123=VLOOKUP($A123,Feature_List!$A$2:$AO$101,MATCH(AR$1,Feature_List!$A$1:$AO$1,0),FALSE),"OK","BAD")</f>
        <v>#N/A</v>
      </c>
      <c r="AS123" s="95" t="e">
        <f>IF(F123=VLOOKUP($A123,Feature_List!$A$2:$AO$101,MATCH(AS$1,Feature_List!$A$1:$AO$1,0),FALSE),"OK","BAD")</f>
        <v>#N/A</v>
      </c>
      <c r="AT123" s="95" t="s">
        <v>985</v>
      </c>
      <c r="AU123" s="95" t="s">
        <v>985</v>
      </c>
      <c r="AV123" s="95" t="e">
        <f>IF(I123=VLOOKUP($A123,Feature_List!$A$2:$AO$101,MATCH(AV$1,Feature_List!$A$1:$AO$1,0),FALSE),"OK","BAD")</f>
        <v>#N/A</v>
      </c>
      <c r="AW123" s="95" t="e">
        <f>IF(J123=VLOOKUP($A123,Feature_List!$A$2:$AO$101,MATCH(AW$1,Feature_List!$A$1:$AO$1,0),FALSE),"OK","BAD")</f>
        <v>#N/A</v>
      </c>
      <c r="AX123" s="95" t="e">
        <f>IF(K123=VLOOKUP($A123,Feature_List!$A$2:$AO$101,MATCH(AX$1,Feature_List!$A$1:$AO$1,0),FALSE),"OK","BAD")</f>
        <v>#N/A</v>
      </c>
      <c r="AY123" s="95" t="e">
        <f>IF(L123=VLOOKUP($A123,Feature_List!$A$2:$AO$101,MATCH(AY$1,Feature_List!$A$1:$AO$1,0),FALSE),"OK","BAD")</f>
        <v>#N/A</v>
      </c>
      <c r="AZ123" s="95" t="e">
        <f>IF(M123=VLOOKUP($A123,Feature_List!$A$2:$AO$101,MATCH(AZ$1,Feature_List!$A$1:$AO$1,0),FALSE),"OK","BAD")</f>
        <v>#N/A</v>
      </c>
      <c r="BA123" s="95" t="e">
        <f>IF(N123=VLOOKUP($A123,Feature_List!$A$2:$AO$101,MATCH(BA$1,Feature_List!$A$1:$AO$1,0),FALSE),"OK","BAD")</f>
        <v>#N/A</v>
      </c>
      <c r="BB123" s="95" t="e">
        <f>IF(O123=VLOOKUP($A123,Feature_List!$A$2:$AO$101,MATCH(BB$1,Feature_List!$A$1:$AO$1,0),FALSE),"OK","BAD")</f>
        <v>#N/A</v>
      </c>
      <c r="BC123" s="95" t="e">
        <f>IF(P123=VLOOKUP($A123,Feature_List!$A$2:$AO$101,MATCH(BC$1,Feature_List!$A$1:$AO$1,0),FALSE),"OK","BAD")</f>
        <v>#N/A</v>
      </c>
      <c r="BD123" s="95" t="e">
        <f>IF(Q123=VLOOKUP($A123,Feature_List!$A$2:$AO$101,MATCH(BD$1,Feature_List!$A$1:$AO$1,0),FALSE),"OK","BAD")</f>
        <v>#N/A</v>
      </c>
      <c r="BE123" s="95" t="e">
        <f>IF(R123=VLOOKUP($A123,Feature_List!$A$2:$AO$101,MATCH(BE$1,Feature_List!$A$1:$AO$1,0),FALSE),"OK","BAD")</f>
        <v>#N/A</v>
      </c>
      <c r="BF123" s="95" t="e">
        <f>IF(S123=VLOOKUP($A123,Feature_List!$A$2:$AO$101,MATCH(BF$1,Feature_List!$A$1:$AO$1,0),FALSE),"OK","BAD")</f>
        <v>#N/A</v>
      </c>
      <c r="BG123" s="95" t="e">
        <f>IF(T123=VLOOKUP($A123,Feature_List!$A$2:$AO$101,MATCH(BG$1,Feature_List!$A$1:$AO$1,0),FALSE),"OK","BAD")</f>
        <v>#N/A</v>
      </c>
      <c r="BH123" s="95" t="e">
        <f>IF(U123=VLOOKUP($A123,Feature_List!$A$2:$AO$101,MATCH(BH$1,Feature_List!$A$1:$AO$1,0),FALSE),"OK","BAD")</f>
        <v>#N/A</v>
      </c>
      <c r="BI123" s="95" t="e">
        <f>IF(V123=VLOOKUP($A123,Feature_List!$A$2:$AO$101,MATCH(BI$1,Feature_List!$A$1:$AO$1,0),FALSE),"OK","BAD")</f>
        <v>#N/A</v>
      </c>
      <c r="BJ123" s="95" t="e">
        <f>IF(W123=VLOOKUP($A123,Feature_List!$A$2:$AO$101,MATCH(BJ$1,Feature_List!$A$1:$AO$1,0),FALSE),"OK","BAD")</f>
        <v>#N/A</v>
      </c>
      <c r="BK123" s="95" t="e">
        <f>IF(X123=VLOOKUP($A123,Feature_List!$A$2:$AO$101,MATCH(BK$1,Feature_List!$A$1:$AO$1,0),FALSE),"OK","BAD")</f>
        <v>#N/A</v>
      </c>
      <c r="BL123" s="95" t="e">
        <f>IF(Y123=VLOOKUP($A123,Feature_List!$A$2:$AO$101,MATCH(BL$1,Feature_List!$A$1:$AO$1,0),FALSE),"OK","BAD")</f>
        <v>#N/A</v>
      </c>
      <c r="BM123" s="95" t="e">
        <f>IF(Z123=VLOOKUP($A123,Feature_List!$A$2:$AO$101,MATCH(BM$1,Feature_List!$A$1:$AO$1,0),FALSE),"OK","BAD")</f>
        <v>#N/A</v>
      </c>
      <c r="BN123" s="95" t="e">
        <f>IF(AA123=VLOOKUP($A123,Feature_List!$A$2:$AO$101,MATCH(BN$1,Feature_List!$A$1:$AO$1,0),FALSE),"OK","BAD")</f>
        <v>#N/A</v>
      </c>
      <c r="BO123" s="95" t="e">
        <f>IF(AB123=VLOOKUP($A123,Feature_List!$A$2:$AO$101,MATCH(BO$1,Feature_List!$A$1:$AO$1,0),FALSE),"OK","BAD")</f>
        <v>#N/A</v>
      </c>
      <c r="BP123" s="95" t="e">
        <f>IF(AC123=VLOOKUP($A123,Feature_List!$A$2:$AO$101,MATCH(BP$1,Feature_List!$A$1:$AO$1,0),FALSE),"OK","BAD")</f>
        <v>#N/A</v>
      </c>
      <c r="BQ123" s="95" t="e">
        <f>IF(AD123=VLOOKUP($A123,Feature_List!$A$2:$AO$101,MATCH(BQ$1,Feature_List!$A$1:$AO$1,0),FALSE),"OK","BAD")</f>
        <v>#N/A</v>
      </c>
      <c r="BR123" s="95" t="e">
        <f>IF(AE123=VLOOKUP($A123,Feature_List!$A$2:$AO$101,MATCH(BR$1,Feature_List!$A$1:$AO$1,0),FALSE),"OK","BAD")</f>
        <v>#N/A</v>
      </c>
      <c r="BS123" s="95" t="e">
        <f>IF(AF123=VLOOKUP($A123,Feature_List!$A$2:$AO$101,MATCH(BS$1,Feature_List!$A$1:$AO$1,0),FALSE),"OK","BAD")</f>
        <v>#N/A</v>
      </c>
      <c r="BT123" s="95" t="e">
        <f>IF(AG123=VLOOKUP($A123,Feature_List!$A$2:$AO$101,MATCH(BT$1,Feature_List!$A$1:$AO$1,0),FALSE),"OK","BAD")</f>
        <v>#N/A</v>
      </c>
      <c r="BU123" s="95" t="e">
        <f>IF(AH123=VLOOKUP($A123,Feature_List!$A$2:$AO$101,MATCH(BU$1,Feature_List!$A$1:$AO$1,0),FALSE),"OK","BAD")</f>
        <v>#N/A</v>
      </c>
      <c r="BV123" s="95" t="e">
        <f>IF(AI123=VLOOKUP($A123,Feature_List!$A$2:$AO$101,MATCH(BV$1,Feature_List!$A$1:$AO$1,0),FALSE),"OK","BAD")</f>
        <v>#N/A</v>
      </c>
      <c r="BW123" s="95" t="e">
        <f>IF(AJ123=VLOOKUP($A123,Feature_List!$A$2:$AO$101,MATCH(BW$1,Feature_List!$A$1:$AO$1,0),FALSE),"OK","BAD")</f>
        <v>#N/A</v>
      </c>
      <c r="BX123" s="95" t="e">
        <f>IF(AK123=VLOOKUP($A123,Feature_List!$A$2:$AO$101,MATCH(BX$1,Feature_List!$A$1:$AO$1,0),FALSE),"OK","BAD")</f>
        <v>#N/A</v>
      </c>
      <c r="BY123" s="95" t="e">
        <f>IF(AL123=VLOOKUP($A123,Feature_List!$A$2:$AO$101,MATCH(BY$1,Feature_List!$A$1:$AO$1,0),FALSE),"OK","BAD")</f>
        <v>#N/A</v>
      </c>
      <c r="BZ123" s="95" t="e">
        <f>IF(AM123=VLOOKUP($A123,Feature_List!$A$2:$AO$101,MATCH(BZ$1,Feature_List!$A$1:$AO$1,0),FALSE),"OK","BAD")</f>
        <v>#N/A</v>
      </c>
      <c r="CA123" s="95" t="e">
        <f>IF(AN123=VLOOKUP($A123,Feature_List!$A$2:$AO$101,MATCH(CA$1,Feature_List!$A$1:$AO$1,0),FALSE),"OK","BAD")</f>
        <v>#N/A</v>
      </c>
    </row>
    <row r="124" spans="1:79" ht="14.4" customHeight="1" x14ac:dyDescent="0.3">
      <c r="A124" s="34"/>
      <c r="B124" s="73"/>
      <c r="C124" s="98"/>
      <c r="D124" s="64"/>
      <c r="E124" s="22"/>
      <c r="F124" s="22"/>
      <c r="G124" s="22"/>
      <c r="H124" s="64"/>
      <c r="I124" s="22"/>
      <c r="J124" s="64"/>
      <c r="K124" s="64"/>
      <c r="L124" s="62"/>
      <c r="M124" s="17"/>
      <c r="N124" s="17"/>
      <c r="O124" s="17"/>
      <c r="P124" s="63"/>
      <c r="Q124" s="55"/>
      <c r="R124" s="55"/>
      <c r="S124" s="55"/>
      <c r="T124" s="55"/>
      <c r="U124" s="55"/>
      <c r="V124" s="55"/>
      <c r="W124" s="55"/>
      <c r="X124" s="55"/>
      <c r="Y124" s="55"/>
      <c r="Z124" s="55"/>
      <c r="AA124" s="55"/>
      <c r="AB124" s="55"/>
      <c r="AC124" s="55"/>
      <c r="AD124" s="55"/>
      <c r="AE124" s="55"/>
      <c r="AF124" s="55"/>
      <c r="AG124" s="55"/>
      <c r="AH124" s="55"/>
      <c r="AI124" s="55"/>
      <c r="AJ124" s="55"/>
      <c r="AK124" s="55"/>
      <c r="AL124" s="55"/>
      <c r="AM124" s="55"/>
      <c r="AN124" s="222"/>
      <c r="AO124" s="224"/>
      <c r="AP124" s="95" t="e">
        <f>IF(C124=VLOOKUP($A124,Feature_List!$A$2:$AO$101,MATCH(AP$1,Feature_List!$A$1:$AO$1,0),FALSE),"OK","BAD")</f>
        <v>#N/A</v>
      </c>
      <c r="AQ124" s="95" t="e">
        <f>IF(D124=VLOOKUP($A124,Feature_List!$A$2:$AO$101,MATCH(AQ$1,Feature_List!$A$1:$AO$1,0),FALSE),"OK","BAD")</f>
        <v>#N/A</v>
      </c>
      <c r="AR124" s="95" t="e">
        <f>IF(E124=VLOOKUP($A124,Feature_List!$A$2:$AO$101,MATCH(AR$1,Feature_List!$A$1:$AO$1,0),FALSE),"OK","BAD")</f>
        <v>#N/A</v>
      </c>
      <c r="AS124" s="95" t="e">
        <f>IF(F124=VLOOKUP($A124,Feature_List!$A$2:$AO$101,MATCH(AS$1,Feature_List!$A$1:$AO$1,0),FALSE),"OK","BAD")</f>
        <v>#N/A</v>
      </c>
      <c r="AT124" s="95" t="s">
        <v>985</v>
      </c>
      <c r="AU124" s="95" t="s">
        <v>985</v>
      </c>
      <c r="AV124" s="95" t="e">
        <f>IF(I124=VLOOKUP($A124,Feature_List!$A$2:$AO$101,MATCH(AV$1,Feature_List!$A$1:$AO$1,0),FALSE),"OK","BAD")</f>
        <v>#N/A</v>
      </c>
      <c r="AW124" s="95" t="e">
        <f>IF(J124=VLOOKUP($A124,Feature_List!$A$2:$AO$101,MATCH(AW$1,Feature_List!$A$1:$AO$1,0),FALSE),"OK","BAD")</f>
        <v>#N/A</v>
      </c>
      <c r="AX124" s="95" t="e">
        <f>IF(K124=VLOOKUP($A124,Feature_List!$A$2:$AO$101,MATCH(AX$1,Feature_List!$A$1:$AO$1,0),FALSE),"OK","BAD")</f>
        <v>#N/A</v>
      </c>
      <c r="AY124" s="95" t="e">
        <f>IF(L124=VLOOKUP($A124,Feature_List!$A$2:$AO$101,MATCH(AY$1,Feature_List!$A$1:$AO$1,0),FALSE),"OK","BAD")</f>
        <v>#N/A</v>
      </c>
      <c r="AZ124" s="95" t="e">
        <f>IF(M124=VLOOKUP($A124,Feature_List!$A$2:$AO$101,MATCH(AZ$1,Feature_List!$A$1:$AO$1,0),FALSE),"OK","BAD")</f>
        <v>#N/A</v>
      </c>
      <c r="BA124" s="95" t="e">
        <f>IF(N124=VLOOKUP($A124,Feature_List!$A$2:$AO$101,MATCH(BA$1,Feature_List!$A$1:$AO$1,0),FALSE),"OK","BAD")</f>
        <v>#N/A</v>
      </c>
      <c r="BB124" s="95" t="e">
        <f>IF(O124=VLOOKUP($A124,Feature_List!$A$2:$AO$101,MATCH(BB$1,Feature_List!$A$1:$AO$1,0),FALSE),"OK","BAD")</f>
        <v>#N/A</v>
      </c>
      <c r="BC124" s="95" t="e">
        <f>IF(P124=VLOOKUP($A124,Feature_List!$A$2:$AO$101,MATCH(BC$1,Feature_List!$A$1:$AO$1,0),FALSE),"OK","BAD")</f>
        <v>#N/A</v>
      </c>
      <c r="BD124" s="95" t="e">
        <f>IF(Q124=VLOOKUP($A124,Feature_List!$A$2:$AO$101,MATCH(BD$1,Feature_List!$A$1:$AO$1,0),FALSE),"OK","BAD")</f>
        <v>#N/A</v>
      </c>
      <c r="BE124" s="95" t="e">
        <f>IF(R124=VLOOKUP($A124,Feature_List!$A$2:$AO$101,MATCH(BE$1,Feature_List!$A$1:$AO$1,0),FALSE),"OK","BAD")</f>
        <v>#N/A</v>
      </c>
      <c r="BF124" s="95" t="e">
        <f>IF(S124=VLOOKUP($A124,Feature_List!$A$2:$AO$101,MATCH(BF$1,Feature_List!$A$1:$AO$1,0),FALSE),"OK","BAD")</f>
        <v>#N/A</v>
      </c>
      <c r="BG124" s="95" t="e">
        <f>IF(T124=VLOOKUP($A124,Feature_List!$A$2:$AO$101,MATCH(BG$1,Feature_List!$A$1:$AO$1,0),FALSE),"OK","BAD")</f>
        <v>#N/A</v>
      </c>
      <c r="BH124" s="95" t="e">
        <f>IF(U124=VLOOKUP($A124,Feature_List!$A$2:$AO$101,MATCH(BH$1,Feature_List!$A$1:$AO$1,0),FALSE),"OK","BAD")</f>
        <v>#N/A</v>
      </c>
      <c r="BI124" s="95" t="e">
        <f>IF(V124=VLOOKUP($A124,Feature_List!$A$2:$AO$101,MATCH(BI$1,Feature_List!$A$1:$AO$1,0),FALSE),"OK","BAD")</f>
        <v>#N/A</v>
      </c>
      <c r="BJ124" s="95" t="e">
        <f>IF(W124=VLOOKUP($A124,Feature_List!$A$2:$AO$101,MATCH(BJ$1,Feature_List!$A$1:$AO$1,0),FALSE),"OK","BAD")</f>
        <v>#N/A</v>
      </c>
      <c r="BK124" s="95" t="e">
        <f>IF(X124=VLOOKUP($A124,Feature_List!$A$2:$AO$101,MATCH(BK$1,Feature_List!$A$1:$AO$1,0),FALSE),"OK","BAD")</f>
        <v>#N/A</v>
      </c>
      <c r="BL124" s="95" t="e">
        <f>IF(Y124=VLOOKUP($A124,Feature_List!$A$2:$AO$101,MATCH(BL$1,Feature_List!$A$1:$AO$1,0),FALSE),"OK","BAD")</f>
        <v>#N/A</v>
      </c>
      <c r="BM124" s="95" t="e">
        <f>IF(Z124=VLOOKUP($A124,Feature_List!$A$2:$AO$101,MATCH(BM$1,Feature_List!$A$1:$AO$1,0),FALSE),"OK","BAD")</f>
        <v>#N/A</v>
      </c>
      <c r="BN124" s="95" t="e">
        <f>IF(AA124=VLOOKUP($A124,Feature_List!$A$2:$AO$101,MATCH(BN$1,Feature_List!$A$1:$AO$1,0),FALSE),"OK","BAD")</f>
        <v>#N/A</v>
      </c>
      <c r="BO124" s="95" t="e">
        <f>IF(AB124=VLOOKUP($A124,Feature_List!$A$2:$AO$101,MATCH(BO$1,Feature_List!$A$1:$AO$1,0),FALSE),"OK","BAD")</f>
        <v>#N/A</v>
      </c>
      <c r="BP124" s="95" t="e">
        <f>IF(AC124=VLOOKUP($A124,Feature_List!$A$2:$AO$101,MATCH(BP$1,Feature_List!$A$1:$AO$1,0),FALSE),"OK","BAD")</f>
        <v>#N/A</v>
      </c>
      <c r="BQ124" s="95" t="e">
        <f>IF(AD124=VLOOKUP($A124,Feature_List!$A$2:$AO$101,MATCH(BQ$1,Feature_List!$A$1:$AO$1,0),FALSE),"OK","BAD")</f>
        <v>#N/A</v>
      </c>
      <c r="BR124" s="95" t="e">
        <f>IF(AE124=VLOOKUP($A124,Feature_List!$A$2:$AO$101,MATCH(BR$1,Feature_List!$A$1:$AO$1,0),FALSE),"OK","BAD")</f>
        <v>#N/A</v>
      </c>
      <c r="BS124" s="95" t="e">
        <f>IF(AF124=VLOOKUP($A124,Feature_List!$A$2:$AO$101,MATCH(BS$1,Feature_List!$A$1:$AO$1,0),FALSE),"OK","BAD")</f>
        <v>#N/A</v>
      </c>
      <c r="BT124" s="95" t="e">
        <f>IF(AG124=VLOOKUP($A124,Feature_List!$A$2:$AO$101,MATCH(BT$1,Feature_List!$A$1:$AO$1,0),FALSE),"OK","BAD")</f>
        <v>#N/A</v>
      </c>
      <c r="BU124" s="95" t="e">
        <f>IF(AH124=VLOOKUP($A124,Feature_List!$A$2:$AO$101,MATCH(BU$1,Feature_List!$A$1:$AO$1,0),FALSE),"OK","BAD")</f>
        <v>#N/A</v>
      </c>
      <c r="BV124" s="95" t="e">
        <f>IF(AI124=VLOOKUP($A124,Feature_List!$A$2:$AO$101,MATCH(BV$1,Feature_List!$A$1:$AO$1,0),FALSE),"OK","BAD")</f>
        <v>#N/A</v>
      </c>
      <c r="BW124" s="95" t="e">
        <f>IF(AJ124=VLOOKUP($A124,Feature_List!$A$2:$AO$101,MATCH(BW$1,Feature_List!$A$1:$AO$1,0),FALSE),"OK","BAD")</f>
        <v>#N/A</v>
      </c>
      <c r="BX124" s="95" t="e">
        <f>IF(AK124=VLOOKUP($A124,Feature_List!$A$2:$AO$101,MATCH(BX$1,Feature_List!$A$1:$AO$1,0),FALSE),"OK","BAD")</f>
        <v>#N/A</v>
      </c>
      <c r="BY124" s="95" t="e">
        <f>IF(AL124=VLOOKUP($A124,Feature_List!$A$2:$AO$101,MATCH(BY$1,Feature_List!$A$1:$AO$1,0),FALSE),"OK","BAD")</f>
        <v>#N/A</v>
      </c>
      <c r="BZ124" s="95" t="e">
        <f>IF(AM124=VLOOKUP($A124,Feature_List!$A$2:$AO$101,MATCH(BZ$1,Feature_List!$A$1:$AO$1,0),FALSE),"OK","BAD")</f>
        <v>#N/A</v>
      </c>
      <c r="CA124" s="95" t="e">
        <f>IF(AN124=VLOOKUP($A124,Feature_List!$A$2:$AO$101,MATCH(CA$1,Feature_List!$A$1:$AO$1,0),FALSE),"OK","BAD")</f>
        <v>#N/A</v>
      </c>
    </row>
    <row r="125" spans="1:79" ht="14.4" customHeight="1" x14ac:dyDescent="0.3">
      <c r="A125" s="70"/>
      <c r="B125" s="65"/>
      <c r="C125" s="98"/>
      <c r="D125" s="65"/>
      <c r="E125" s="64"/>
      <c r="F125" s="64"/>
      <c r="G125" s="64"/>
      <c r="H125" s="64"/>
      <c r="I125" s="99"/>
      <c r="J125" s="64"/>
      <c r="K125" s="64"/>
      <c r="L125" s="62"/>
      <c r="M125" s="67"/>
      <c r="N125" s="67"/>
      <c r="O125" s="67"/>
      <c r="P125" s="66"/>
      <c r="Q125" s="63"/>
      <c r="R125" s="63"/>
      <c r="S125" s="63"/>
      <c r="T125" s="63"/>
      <c r="U125" s="63"/>
      <c r="V125" s="63"/>
      <c r="W125" s="63"/>
      <c r="X125" s="63"/>
      <c r="Y125" s="63"/>
      <c r="Z125" s="63"/>
      <c r="AA125" s="63"/>
      <c r="AB125" s="63"/>
      <c r="AC125" s="63"/>
      <c r="AD125" s="63"/>
      <c r="AE125" s="63"/>
      <c r="AF125" s="63"/>
      <c r="AG125" s="63"/>
      <c r="AH125" s="63"/>
      <c r="AI125" s="63"/>
      <c r="AJ125" s="63"/>
      <c r="AK125" s="63"/>
      <c r="AL125" s="63"/>
      <c r="AM125" s="63"/>
      <c r="AN125" s="220"/>
      <c r="AO125" s="224"/>
      <c r="AP125" s="95" t="e">
        <f>IF(C125=VLOOKUP($A125,Feature_List!$A$2:$AO$101,MATCH(AP$1,Feature_List!$A$1:$AO$1,0),FALSE),"OK","BAD")</f>
        <v>#N/A</v>
      </c>
      <c r="AQ125" s="95" t="e">
        <f>IF(D125=VLOOKUP($A125,Feature_List!$A$2:$AO$101,MATCH(AQ$1,Feature_List!$A$1:$AO$1,0),FALSE),"OK","BAD")</f>
        <v>#N/A</v>
      </c>
      <c r="AR125" s="95" t="e">
        <f>IF(E125=VLOOKUP($A125,Feature_List!$A$2:$AO$101,MATCH(AR$1,Feature_List!$A$1:$AO$1,0),FALSE),"OK","BAD")</f>
        <v>#N/A</v>
      </c>
      <c r="AS125" s="95" t="e">
        <f>IF(F125=VLOOKUP($A125,Feature_List!$A$2:$AO$101,MATCH(AS$1,Feature_List!$A$1:$AO$1,0),FALSE),"OK","BAD")</f>
        <v>#N/A</v>
      </c>
      <c r="AT125" s="95" t="s">
        <v>985</v>
      </c>
      <c r="AU125" s="95" t="s">
        <v>985</v>
      </c>
      <c r="AV125" s="95" t="e">
        <f>IF(I125=VLOOKUP($A125,Feature_List!$A$2:$AO$101,MATCH(AV$1,Feature_List!$A$1:$AO$1,0),FALSE),"OK","BAD")</f>
        <v>#N/A</v>
      </c>
      <c r="AW125" s="95" t="e">
        <f>IF(J125=VLOOKUP($A125,Feature_List!$A$2:$AO$101,MATCH(AW$1,Feature_List!$A$1:$AO$1,0),FALSE),"OK","BAD")</f>
        <v>#N/A</v>
      </c>
      <c r="AX125" s="95" t="e">
        <f>IF(K125=VLOOKUP($A125,Feature_List!$A$2:$AO$101,MATCH(AX$1,Feature_List!$A$1:$AO$1,0),FALSE),"OK","BAD")</f>
        <v>#N/A</v>
      </c>
      <c r="AY125" s="95" t="e">
        <f>IF(L125=VLOOKUP($A125,Feature_List!$A$2:$AO$101,MATCH(AY$1,Feature_List!$A$1:$AO$1,0),FALSE),"OK","BAD")</f>
        <v>#N/A</v>
      </c>
      <c r="AZ125" s="95" t="e">
        <f>IF(M125=VLOOKUP($A125,Feature_List!$A$2:$AO$101,MATCH(AZ$1,Feature_List!$A$1:$AO$1,0),FALSE),"OK","BAD")</f>
        <v>#N/A</v>
      </c>
      <c r="BA125" s="95" t="e">
        <f>IF(N125=VLOOKUP($A125,Feature_List!$A$2:$AO$101,MATCH(BA$1,Feature_List!$A$1:$AO$1,0),FALSE),"OK","BAD")</f>
        <v>#N/A</v>
      </c>
      <c r="BB125" s="95" t="e">
        <f>IF(O125=VLOOKUP($A125,Feature_List!$A$2:$AO$101,MATCH(BB$1,Feature_List!$A$1:$AO$1,0),FALSE),"OK","BAD")</f>
        <v>#N/A</v>
      </c>
      <c r="BC125" s="95" t="e">
        <f>IF(P125=VLOOKUP($A125,Feature_List!$A$2:$AO$101,MATCH(BC$1,Feature_List!$A$1:$AO$1,0),FALSE),"OK","BAD")</f>
        <v>#N/A</v>
      </c>
      <c r="BD125" s="95" t="e">
        <f>IF(Q125=VLOOKUP($A125,Feature_List!$A$2:$AO$101,MATCH(BD$1,Feature_List!$A$1:$AO$1,0),FALSE),"OK","BAD")</f>
        <v>#N/A</v>
      </c>
      <c r="BE125" s="95" t="e">
        <f>IF(R125=VLOOKUP($A125,Feature_List!$A$2:$AO$101,MATCH(BE$1,Feature_List!$A$1:$AO$1,0),FALSE),"OK","BAD")</f>
        <v>#N/A</v>
      </c>
      <c r="BF125" s="95" t="e">
        <f>IF(S125=VLOOKUP($A125,Feature_List!$A$2:$AO$101,MATCH(BF$1,Feature_List!$A$1:$AO$1,0),FALSE),"OK","BAD")</f>
        <v>#N/A</v>
      </c>
      <c r="BG125" s="95" t="e">
        <f>IF(T125=VLOOKUP($A125,Feature_List!$A$2:$AO$101,MATCH(BG$1,Feature_List!$A$1:$AO$1,0),FALSE),"OK","BAD")</f>
        <v>#N/A</v>
      </c>
      <c r="BH125" s="95" t="e">
        <f>IF(U125=VLOOKUP($A125,Feature_List!$A$2:$AO$101,MATCH(BH$1,Feature_List!$A$1:$AO$1,0),FALSE),"OK","BAD")</f>
        <v>#N/A</v>
      </c>
      <c r="BI125" s="95" t="e">
        <f>IF(V125=VLOOKUP($A125,Feature_List!$A$2:$AO$101,MATCH(BI$1,Feature_List!$A$1:$AO$1,0),FALSE),"OK","BAD")</f>
        <v>#N/A</v>
      </c>
      <c r="BJ125" s="95" t="e">
        <f>IF(W125=VLOOKUP($A125,Feature_List!$A$2:$AO$101,MATCH(BJ$1,Feature_List!$A$1:$AO$1,0),FALSE),"OK","BAD")</f>
        <v>#N/A</v>
      </c>
      <c r="BK125" s="95" t="e">
        <f>IF(X125=VLOOKUP($A125,Feature_List!$A$2:$AO$101,MATCH(BK$1,Feature_List!$A$1:$AO$1,0),FALSE),"OK","BAD")</f>
        <v>#N/A</v>
      </c>
      <c r="BL125" s="95" t="e">
        <f>IF(Y125=VLOOKUP($A125,Feature_List!$A$2:$AO$101,MATCH(BL$1,Feature_List!$A$1:$AO$1,0),FALSE),"OK","BAD")</f>
        <v>#N/A</v>
      </c>
      <c r="BM125" s="95" t="e">
        <f>IF(Z125=VLOOKUP($A125,Feature_List!$A$2:$AO$101,MATCH(BM$1,Feature_List!$A$1:$AO$1,0),FALSE),"OK","BAD")</f>
        <v>#N/A</v>
      </c>
      <c r="BN125" s="95" t="e">
        <f>IF(AA125=VLOOKUP($A125,Feature_List!$A$2:$AO$101,MATCH(BN$1,Feature_List!$A$1:$AO$1,0),FALSE),"OK","BAD")</f>
        <v>#N/A</v>
      </c>
      <c r="BO125" s="95" t="e">
        <f>IF(AB125=VLOOKUP($A125,Feature_List!$A$2:$AO$101,MATCH(BO$1,Feature_List!$A$1:$AO$1,0),FALSE),"OK","BAD")</f>
        <v>#N/A</v>
      </c>
      <c r="BP125" s="95" t="e">
        <f>IF(AC125=VLOOKUP($A125,Feature_List!$A$2:$AO$101,MATCH(BP$1,Feature_List!$A$1:$AO$1,0),FALSE),"OK","BAD")</f>
        <v>#N/A</v>
      </c>
      <c r="BQ125" s="95" t="e">
        <f>IF(AD125=VLOOKUP($A125,Feature_List!$A$2:$AO$101,MATCH(BQ$1,Feature_List!$A$1:$AO$1,0),FALSE),"OK","BAD")</f>
        <v>#N/A</v>
      </c>
      <c r="BR125" s="95" t="e">
        <f>IF(AE125=VLOOKUP($A125,Feature_List!$A$2:$AO$101,MATCH(BR$1,Feature_List!$A$1:$AO$1,0),FALSE),"OK","BAD")</f>
        <v>#N/A</v>
      </c>
      <c r="BS125" s="95" t="e">
        <f>IF(AF125=VLOOKUP($A125,Feature_List!$A$2:$AO$101,MATCH(BS$1,Feature_List!$A$1:$AO$1,0),FALSE),"OK","BAD")</f>
        <v>#N/A</v>
      </c>
      <c r="BT125" s="95" t="e">
        <f>IF(AG125=VLOOKUP($A125,Feature_List!$A$2:$AO$101,MATCH(BT$1,Feature_List!$A$1:$AO$1,0),FALSE),"OK","BAD")</f>
        <v>#N/A</v>
      </c>
      <c r="BU125" s="95" t="e">
        <f>IF(AH125=VLOOKUP($A125,Feature_List!$A$2:$AO$101,MATCH(BU$1,Feature_List!$A$1:$AO$1,0),FALSE),"OK","BAD")</f>
        <v>#N/A</v>
      </c>
      <c r="BV125" s="95" t="e">
        <f>IF(AI125=VLOOKUP($A125,Feature_List!$A$2:$AO$101,MATCH(BV$1,Feature_List!$A$1:$AO$1,0),FALSE),"OK","BAD")</f>
        <v>#N/A</v>
      </c>
      <c r="BW125" s="95" t="e">
        <f>IF(AJ125=VLOOKUP($A125,Feature_List!$A$2:$AO$101,MATCH(BW$1,Feature_List!$A$1:$AO$1,0),FALSE),"OK","BAD")</f>
        <v>#N/A</v>
      </c>
      <c r="BX125" s="95" t="e">
        <f>IF(AK125=VLOOKUP($A125,Feature_List!$A$2:$AO$101,MATCH(BX$1,Feature_List!$A$1:$AO$1,0),FALSE),"OK","BAD")</f>
        <v>#N/A</v>
      </c>
      <c r="BY125" s="95" t="e">
        <f>IF(AL125=VLOOKUP($A125,Feature_List!$A$2:$AO$101,MATCH(BY$1,Feature_List!$A$1:$AO$1,0),FALSE),"OK","BAD")</f>
        <v>#N/A</v>
      </c>
      <c r="BZ125" s="95" t="e">
        <f>IF(AM125=VLOOKUP($A125,Feature_List!$A$2:$AO$101,MATCH(BZ$1,Feature_List!$A$1:$AO$1,0),FALSE),"OK","BAD")</f>
        <v>#N/A</v>
      </c>
      <c r="CA125" s="95" t="e">
        <f>IF(AN125=VLOOKUP($A125,Feature_List!$A$2:$AO$101,MATCH(CA$1,Feature_List!$A$1:$AO$1,0),FALSE),"OK","BAD")</f>
        <v>#N/A</v>
      </c>
    </row>
    <row r="126" spans="1:79" ht="14.4" customHeight="1" x14ac:dyDescent="0.3">
      <c r="A126" s="70"/>
      <c r="B126" s="65"/>
      <c r="C126" s="98"/>
      <c r="D126" s="65"/>
      <c r="E126" s="64"/>
      <c r="F126" s="64"/>
      <c r="G126" s="64"/>
      <c r="H126" s="64"/>
      <c r="I126" s="99"/>
      <c r="J126" s="64"/>
      <c r="K126" s="64"/>
      <c r="L126" s="62"/>
      <c r="M126" s="67"/>
      <c r="N126" s="67"/>
      <c r="O126" s="67"/>
      <c r="P126" s="66"/>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220"/>
      <c r="AO126" s="224"/>
      <c r="AP126" s="95" t="e">
        <f>IF(C126=VLOOKUP($A126,Feature_List!$A$2:$AO$101,MATCH(AP$1,Feature_List!$A$1:$AO$1,0),FALSE),"OK","BAD")</f>
        <v>#N/A</v>
      </c>
      <c r="AQ126" s="95" t="e">
        <f>IF(D126=VLOOKUP($A126,Feature_List!$A$2:$AO$101,MATCH(AQ$1,Feature_List!$A$1:$AO$1,0),FALSE),"OK","BAD")</f>
        <v>#N/A</v>
      </c>
      <c r="AR126" s="95" t="e">
        <f>IF(E126=VLOOKUP($A126,Feature_List!$A$2:$AO$101,MATCH(AR$1,Feature_List!$A$1:$AO$1,0),FALSE),"OK","BAD")</f>
        <v>#N/A</v>
      </c>
      <c r="AS126" s="95" t="e">
        <f>IF(F126=VLOOKUP($A126,Feature_List!$A$2:$AO$101,MATCH(AS$1,Feature_List!$A$1:$AO$1,0),FALSE),"OK","BAD")</f>
        <v>#N/A</v>
      </c>
      <c r="AT126" s="95" t="s">
        <v>985</v>
      </c>
      <c r="AU126" s="95" t="s">
        <v>985</v>
      </c>
      <c r="AV126" s="95" t="e">
        <f>IF(I126=VLOOKUP($A126,Feature_List!$A$2:$AO$101,MATCH(AV$1,Feature_List!$A$1:$AO$1,0),FALSE),"OK","BAD")</f>
        <v>#N/A</v>
      </c>
      <c r="AW126" s="95" t="e">
        <f>IF(J126=VLOOKUP($A126,Feature_List!$A$2:$AO$101,MATCH(AW$1,Feature_List!$A$1:$AO$1,0),FALSE),"OK","BAD")</f>
        <v>#N/A</v>
      </c>
      <c r="AX126" s="95" t="e">
        <f>IF(K126=VLOOKUP($A126,Feature_List!$A$2:$AO$101,MATCH(AX$1,Feature_List!$A$1:$AO$1,0),FALSE),"OK","BAD")</f>
        <v>#N/A</v>
      </c>
      <c r="AY126" s="95" t="e">
        <f>IF(L126=VLOOKUP($A126,Feature_List!$A$2:$AO$101,MATCH(AY$1,Feature_List!$A$1:$AO$1,0),FALSE),"OK","BAD")</f>
        <v>#N/A</v>
      </c>
      <c r="AZ126" s="95" t="e">
        <f>IF(M126=VLOOKUP($A126,Feature_List!$A$2:$AO$101,MATCH(AZ$1,Feature_List!$A$1:$AO$1,0),FALSE),"OK","BAD")</f>
        <v>#N/A</v>
      </c>
      <c r="BA126" s="95" t="e">
        <f>IF(N126=VLOOKUP($A126,Feature_List!$A$2:$AO$101,MATCH(BA$1,Feature_List!$A$1:$AO$1,0),FALSE),"OK","BAD")</f>
        <v>#N/A</v>
      </c>
      <c r="BB126" s="95" t="e">
        <f>IF(O126=VLOOKUP($A126,Feature_List!$A$2:$AO$101,MATCH(BB$1,Feature_List!$A$1:$AO$1,0),FALSE),"OK","BAD")</f>
        <v>#N/A</v>
      </c>
      <c r="BC126" s="95" t="e">
        <f>IF(P126=VLOOKUP($A126,Feature_List!$A$2:$AO$101,MATCH(BC$1,Feature_List!$A$1:$AO$1,0),FALSE),"OK","BAD")</f>
        <v>#N/A</v>
      </c>
      <c r="BD126" s="95" t="e">
        <f>IF(Q126=VLOOKUP($A126,Feature_List!$A$2:$AO$101,MATCH(BD$1,Feature_List!$A$1:$AO$1,0),FALSE),"OK","BAD")</f>
        <v>#N/A</v>
      </c>
      <c r="BE126" s="95" t="e">
        <f>IF(R126=VLOOKUP($A126,Feature_List!$A$2:$AO$101,MATCH(BE$1,Feature_List!$A$1:$AO$1,0),FALSE),"OK","BAD")</f>
        <v>#N/A</v>
      </c>
      <c r="BF126" s="95" t="e">
        <f>IF(S126=VLOOKUP($A126,Feature_List!$A$2:$AO$101,MATCH(BF$1,Feature_List!$A$1:$AO$1,0),FALSE),"OK","BAD")</f>
        <v>#N/A</v>
      </c>
      <c r="BG126" s="95" t="e">
        <f>IF(T126=VLOOKUP($A126,Feature_List!$A$2:$AO$101,MATCH(BG$1,Feature_List!$A$1:$AO$1,0),FALSE),"OK","BAD")</f>
        <v>#N/A</v>
      </c>
      <c r="BH126" s="95" t="e">
        <f>IF(U126=VLOOKUP($A126,Feature_List!$A$2:$AO$101,MATCH(BH$1,Feature_List!$A$1:$AO$1,0),FALSE),"OK","BAD")</f>
        <v>#N/A</v>
      </c>
      <c r="BI126" s="95" t="e">
        <f>IF(V126=VLOOKUP($A126,Feature_List!$A$2:$AO$101,MATCH(BI$1,Feature_List!$A$1:$AO$1,0),FALSE),"OK","BAD")</f>
        <v>#N/A</v>
      </c>
      <c r="BJ126" s="95" t="e">
        <f>IF(W126=VLOOKUP($A126,Feature_List!$A$2:$AO$101,MATCH(BJ$1,Feature_List!$A$1:$AO$1,0),FALSE),"OK","BAD")</f>
        <v>#N/A</v>
      </c>
      <c r="BK126" s="95" t="e">
        <f>IF(X126=VLOOKUP($A126,Feature_List!$A$2:$AO$101,MATCH(BK$1,Feature_List!$A$1:$AO$1,0),FALSE),"OK","BAD")</f>
        <v>#N/A</v>
      </c>
      <c r="BL126" s="95" t="e">
        <f>IF(Y126=VLOOKUP($A126,Feature_List!$A$2:$AO$101,MATCH(BL$1,Feature_List!$A$1:$AO$1,0),FALSE),"OK","BAD")</f>
        <v>#N/A</v>
      </c>
      <c r="BM126" s="95" t="e">
        <f>IF(Z126=VLOOKUP($A126,Feature_List!$A$2:$AO$101,MATCH(BM$1,Feature_List!$A$1:$AO$1,0),FALSE),"OK","BAD")</f>
        <v>#N/A</v>
      </c>
      <c r="BN126" s="95" t="e">
        <f>IF(AA126=VLOOKUP($A126,Feature_List!$A$2:$AO$101,MATCH(BN$1,Feature_List!$A$1:$AO$1,0),FALSE),"OK","BAD")</f>
        <v>#N/A</v>
      </c>
      <c r="BO126" s="95" t="e">
        <f>IF(AB126=VLOOKUP($A126,Feature_List!$A$2:$AO$101,MATCH(BO$1,Feature_List!$A$1:$AO$1,0),FALSE),"OK","BAD")</f>
        <v>#N/A</v>
      </c>
      <c r="BP126" s="95" t="e">
        <f>IF(AC126=VLOOKUP($A126,Feature_List!$A$2:$AO$101,MATCH(BP$1,Feature_List!$A$1:$AO$1,0),FALSE),"OK","BAD")</f>
        <v>#N/A</v>
      </c>
      <c r="BQ126" s="95" t="e">
        <f>IF(AD126=VLOOKUP($A126,Feature_List!$A$2:$AO$101,MATCH(BQ$1,Feature_List!$A$1:$AO$1,0),FALSE),"OK","BAD")</f>
        <v>#N/A</v>
      </c>
      <c r="BR126" s="95" t="e">
        <f>IF(AE126=VLOOKUP($A126,Feature_List!$A$2:$AO$101,MATCH(BR$1,Feature_List!$A$1:$AO$1,0),FALSE),"OK","BAD")</f>
        <v>#N/A</v>
      </c>
      <c r="BS126" s="95" t="e">
        <f>IF(AF126=VLOOKUP($A126,Feature_List!$A$2:$AO$101,MATCH(BS$1,Feature_List!$A$1:$AO$1,0),FALSE),"OK","BAD")</f>
        <v>#N/A</v>
      </c>
      <c r="BT126" s="95" t="e">
        <f>IF(AG126=VLOOKUP($A126,Feature_List!$A$2:$AO$101,MATCH(BT$1,Feature_List!$A$1:$AO$1,0),FALSE),"OK","BAD")</f>
        <v>#N/A</v>
      </c>
      <c r="BU126" s="95" t="e">
        <f>IF(AH126=VLOOKUP($A126,Feature_List!$A$2:$AO$101,MATCH(BU$1,Feature_List!$A$1:$AO$1,0),FALSE),"OK","BAD")</f>
        <v>#N/A</v>
      </c>
      <c r="BV126" s="95" t="e">
        <f>IF(AI126=VLOOKUP($A126,Feature_List!$A$2:$AO$101,MATCH(BV$1,Feature_List!$A$1:$AO$1,0),FALSE),"OK","BAD")</f>
        <v>#N/A</v>
      </c>
      <c r="BW126" s="95" t="e">
        <f>IF(AJ126=VLOOKUP($A126,Feature_List!$A$2:$AO$101,MATCH(BW$1,Feature_List!$A$1:$AO$1,0),FALSE),"OK","BAD")</f>
        <v>#N/A</v>
      </c>
      <c r="BX126" s="95" t="e">
        <f>IF(AK126=VLOOKUP($A126,Feature_List!$A$2:$AO$101,MATCH(BX$1,Feature_List!$A$1:$AO$1,0),FALSE),"OK","BAD")</f>
        <v>#N/A</v>
      </c>
      <c r="BY126" s="95" t="e">
        <f>IF(AL126=VLOOKUP($A126,Feature_List!$A$2:$AO$101,MATCH(BY$1,Feature_List!$A$1:$AO$1,0),FALSE),"OK","BAD")</f>
        <v>#N/A</v>
      </c>
      <c r="BZ126" s="95" t="e">
        <f>IF(AM126=VLOOKUP($A126,Feature_List!$A$2:$AO$101,MATCH(BZ$1,Feature_List!$A$1:$AO$1,0),FALSE),"OK","BAD")</f>
        <v>#N/A</v>
      </c>
      <c r="CA126" s="95" t="e">
        <f>IF(AN126=VLOOKUP($A126,Feature_List!$A$2:$AO$101,MATCH(CA$1,Feature_List!$A$1:$AO$1,0),FALSE),"OK","BAD")</f>
        <v>#N/A</v>
      </c>
    </row>
    <row r="127" spans="1:79" ht="14.4" customHeight="1" x14ac:dyDescent="0.3">
      <c r="A127" s="70"/>
      <c r="B127" s="65"/>
      <c r="C127" s="98"/>
      <c r="D127" s="65"/>
      <c r="E127" s="64"/>
      <c r="F127" s="64"/>
      <c r="G127" s="64"/>
      <c r="H127" s="64"/>
      <c r="I127" s="99"/>
      <c r="J127" s="64"/>
      <c r="K127" s="64"/>
      <c r="L127" s="62"/>
      <c r="M127" s="67"/>
      <c r="N127" s="67"/>
      <c r="O127" s="67"/>
      <c r="P127" s="66"/>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220"/>
      <c r="AO127" s="224"/>
      <c r="AP127" s="95" t="e">
        <f>IF(C127=VLOOKUP($A127,Feature_List!$A$2:$AO$101,MATCH(AP$1,Feature_List!$A$1:$AO$1,0),FALSE),"OK","BAD")</f>
        <v>#N/A</v>
      </c>
      <c r="AQ127" s="95" t="e">
        <f>IF(D127=VLOOKUP($A127,Feature_List!$A$2:$AO$101,MATCH(AQ$1,Feature_List!$A$1:$AO$1,0),FALSE),"OK","BAD")</f>
        <v>#N/A</v>
      </c>
      <c r="AR127" s="95" t="e">
        <f>IF(E127=VLOOKUP($A127,Feature_List!$A$2:$AO$101,MATCH(AR$1,Feature_List!$A$1:$AO$1,0),FALSE),"OK","BAD")</f>
        <v>#N/A</v>
      </c>
      <c r="AS127" s="95" t="e">
        <f>IF(F127=VLOOKUP($A127,Feature_List!$A$2:$AO$101,MATCH(AS$1,Feature_List!$A$1:$AO$1,0),FALSE),"OK","BAD")</f>
        <v>#N/A</v>
      </c>
      <c r="AT127" s="95" t="s">
        <v>985</v>
      </c>
      <c r="AU127" s="95" t="s">
        <v>985</v>
      </c>
      <c r="AV127" s="95" t="e">
        <f>IF(I127=VLOOKUP($A127,Feature_List!$A$2:$AO$101,MATCH(AV$1,Feature_List!$A$1:$AO$1,0),FALSE),"OK","BAD")</f>
        <v>#N/A</v>
      </c>
      <c r="AW127" s="95" t="e">
        <f>IF(J127=VLOOKUP($A127,Feature_List!$A$2:$AO$101,MATCH(AW$1,Feature_List!$A$1:$AO$1,0),FALSE),"OK","BAD")</f>
        <v>#N/A</v>
      </c>
      <c r="AX127" s="95" t="e">
        <f>IF(K127=VLOOKUP($A127,Feature_List!$A$2:$AO$101,MATCH(AX$1,Feature_List!$A$1:$AO$1,0),FALSE),"OK","BAD")</f>
        <v>#N/A</v>
      </c>
      <c r="AY127" s="95" t="e">
        <f>IF(L127=VLOOKUP($A127,Feature_List!$A$2:$AO$101,MATCH(AY$1,Feature_List!$A$1:$AO$1,0),FALSE),"OK","BAD")</f>
        <v>#N/A</v>
      </c>
      <c r="AZ127" s="95" t="e">
        <f>IF(M127=VLOOKUP($A127,Feature_List!$A$2:$AO$101,MATCH(AZ$1,Feature_List!$A$1:$AO$1,0),FALSE),"OK","BAD")</f>
        <v>#N/A</v>
      </c>
      <c r="BA127" s="95" t="e">
        <f>IF(N127=VLOOKUP($A127,Feature_List!$A$2:$AO$101,MATCH(BA$1,Feature_List!$A$1:$AO$1,0),FALSE),"OK","BAD")</f>
        <v>#N/A</v>
      </c>
      <c r="BB127" s="95" t="e">
        <f>IF(O127=VLOOKUP($A127,Feature_List!$A$2:$AO$101,MATCH(BB$1,Feature_List!$A$1:$AO$1,0),FALSE),"OK","BAD")</f>
        <v>#N/A</v>
      </c>
      <c r="BC127" s="95" t="e">
        <f>IF(P127=VLOOKUP($A127,Feature_List!$A$2:$AO$101,MATCH(BC$1,Feature_List!$A$1:$AO$1,0),FALSE),"OK","BAD")</f>
        <v>#N/A</v>
      </c>
      <c r="BD127" s="95" t="e">
        <f>IF(Q127=VLOOKUP($A127,Feature_List!$A$2:$AO$101,MATCH(BD$1,Feature_List!$A$1:$AO$1,0),FALSE),"OK","BAD")</f>
        <v>#N/A</v>
      </c>
      <c r="BE127" s="95" t="e">
        <f>IF(R127=VLOOKUP($A127,Feature_List!$A$2:$AO$101,MATCH(BE$1,Feature_List!$A$1:$AO$1,0),FALSE),"OK","BAD")</f>
        <v>#N/A</v>
      </c>
      <c r="BF127" s="95" t="e">
        <f>IF(S127=VLOOKUP($A127,Feature_List!$A$2:$AO$101,MATCH(BF$1,Feature_List!$A$1:$AO$1,0),FALSE),"OK","BAD")</f>
        <v>#N/A</v>
      </c>
      <c r="BG127" s="95" t="e">
        <f>IF(T127=VLOOKUP($A127,Feature_List!$A$2:$AO$101,MATCH(BG$1,Feature_List!$A$1:$AO$1,0),FALSE),"OK","BAD")</f>
        <v>#N/A</v>
      </c>
      <c r="BH127" s="95" t="e">
        <f>IF(U127=VLOOKUP($A127,Feature_List!$A$2:$AO$101,MATCH(BH$1,Feature_List!$A$1:$AO$1,0),FALSE),"OK","BAD")</f>
        <v>#N/A</v>
      </c>
      <c r="BI127" s="95" t="e">
        <f>IF(V127=VLOOKUP($A127,Feature_List!$A$2:$AO$101,MATCH(BI$1,Feature_List!$A$1:$AO$1,0),FALSE),"OK","BAD")</f>
        <v>#N/A</v>
      </c>
      <c r="BJ127" s="95" t="e">
        <f>IF(W127=VLOOKUP($A127,Feature_List!$A$2:$AO$101,MATCH(BJ$1,Feature_List!$A$1:$AO$1,0),FALSE),"OK","BAD")</f>
        <v>#N/A</v>
      </c>
      <c r="BK127" s="95" t="e">
        <f>IF(X127=VLOOKUP($A127,Feature_List!$A$2:$AO$101,MATCH(BK$1,Feature_List!$A$1:$AO$1,0),FALSE),"OK","BAD")</f>
        <v>#N/A</v>
      </c>
      <c r="BL127" s="95" t="e">
        <f>IF(Y127=VLOOKUP($A127,Feature_List!$A$2:$AO$101,MATCH(BL$1,Feature_List!$A$1:$AO$1,0),FALSE),"OK","BAD")</f>
        <v>#N/A</v>
      </c>
      <c r="BM127" s="95" t="e">
        <f>IF(Z127=VLOOKUP($A127,Feature_List!$A$2:$AO$101,MATCH(BM$1,Feature_List!$A$1:$AO$1,0),FALSE),"OK","BAD")</f>
        <v>#N/A</v>
      </c>
      <c r="BN127" s="95" t="e">
        <f>IF(AA127=VLOOKUP($A127,Feature_List!$A$2:$AO$101,MATCH(BN$1,Feature_List!$A$1:$AO$1,0),FALSE),"OK","BAD")</f>
        <v>#N/A</v>
      </c>
      <c r="BO127" s="95" t="e">
        <f>IF(AB127=VLOOKUP($A127,Feature_List!$A$2:$AO$101,MATCH(BO$1,Feature_List!$A$1:$AO$1,0),FALSE),"OK","BAD")</f>
        <v>#N/A</v>
      </c>
      <c r="BP127" s="95" t="e">
        <f>IF(AC127=VLOOKUP($A127,Feature_List!$A$2:$AO$101,MATCH(BP$1,Feature_List!$A$1:$AO$1,0),FALSE),"OK","BAD")</f>
        <v>#N/A</v>
      </c>
      <c r="BQ127" s="95" t="e">
        <f>IF(AD127=VLOOKUP($A127,Feature_List!$A$2:$AO$101,MATCH(BQ$1,Feature_List!$A$1:$AO$1,0),FALSE),"OK","BAD")</f>
        <v>#N/A</v>
      </c>
      <c r="BR127" s="95" t="e">
        <f>IF(AE127=VLOOKUP($A127,Feature_List!$A$2:$AO$101,MATCH(BR$1,Feature_List!$A$1:$AO$1,0),FALSE),"OK","BAD")</f>
        <v>#N/A</v>
      </c>
      <c r="BS127" s="95" t="e">
        <f>IF(AF127=VLOOKUP($A127,Feature_List!$A$2:$AO$101,MATCH(BS$1,Feature_List!$A$1:$AO$1,0),FALSE),"OK","BAD")</f>
        <v>#N/A</v>
      </c>
      <c r="BT127" s="95" t="e">
        <f>IF(AG127=VLOOKUP($A127,Feature_List!$A$2:$AO$101,MATCH(BT$1,Feature_List!$A$1:$AO$1,0),FALSE),"OK","BAD")</f>
        <v>#N/A</v>
      </c>
      <c r="BU127" s="95" t="e">
        <f>IF(AH127=VLOOKUP($A127,Feature_List!$A$2:$AO$101,MATCH(BU$1,Feature_List!$A$1:$AO$1,0),FALSE),"OK","BAD")</f>
        <v>#N/A</v>
      </c>
      <c r="BV127" s="95" t="e">
        <f>IF(AI127=VLOOKUP($A127,Feature_List!$A$2:$AO$101,MATCH(BV$1,Feature_List!$A$1:$AO$1,0),FALSE),"OK","BAD")</f>
        <v>#N/A</v>
      </c>
      <c r="BW127" s="95" t="e">
        <f>IF(AJ127=VLOOKUP($A127,Feature_List!$A$2:$AO$101,MATCH(BW$1,Feature_List!$A$1:$AO$1,0),FALSE),"OK","BAD")</f>
        <v>#N/A</v>
      </c>
      <c r="BX127" s="95" t="e">
        <f>IF(AK127=VLOOKUP($A127,Feature_List!$A$2:$AO$101,MATCH(BX$1,Feature_List!$A$1:$AO$1,0),FALSE),"OK","BAD")</f>
        <v>#N/A</v>
      </c>
      <c r="BY127" s="95" t="e">
        <f>IF(AL127=VLOOKUP($A127,Feature_List!$A$2:$AO$101,MATCH(BY$1,Feature_List!$A$1:$AO$1,0),FALSE),"OK","BAD")</f>
        <v>#N/A</v>
      </c>
      <c r="BZ127" s="95" t="e">
        <f>IF(AM127=VLOOKUP($A127,Feature_List!$A$2:$AO$101,MATCH(BZ$1,Feature_List!$A$1:$AO$1,0),FALSE),"OK","BAD")</f>
        <v>#N/A</v>
      </c>
      <c r="CA127" s="95" t="e">
        <f>IF(AN127=VLOOKUP($A127,Feature_List!$A$2:$AO$101,MATCH(CA$1,Feature_List!$A$1:$AO$1,0),FALSE),"OK","BAD")</f>
        <v>#N/A</v>
      </c>
    </row>
    <row r="128" spans="1:79" ht="14.4" customHeight="1" x14ac:dyDescent="0.3">
      <c r="A128" s="70"/>
      <c r="B128" s="65"/>
      <c r="C128" s="98"/>
      <c r="D128" s="65"/>
      <c r="E128" s="64"/>
      <c r="F128" s="64"/>
      <c r="G128" s="64"/>
      <c r="H128" s="64"/>
      <c r="I128" s="99"/>
      <c r="J128" s="64"/>
      <c r="K128" s="64"/>
      <c r="L128" s="62"/>
      <c r="M128" s="67"/>
      <c r="N128" s="67"/>
      <c r="O128" s="67"/>
      <c r="P128" s="66"/>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220"/>
      <c r="AO128" s="224"/>
      <c r="AP128" s="95" t="e">
        <f>IF(C128=VLOOKUP($A128,Feature_List!$A$2:$AO$101,MATCH(AP$1,Feature_List!$A$1:$AO$1,0),FALSE),"OK","BAD")</f>
        <v>#N/A</v>
      </c>
      <c r="AQ128" s="95" t="e">
        <f>IF(D128=VLOOKUP($A128,Feature_List!$A$2:$AO$101,MATCH(AQ$1,Feature_List!$A$1:$AO$1,0),FALSE),"OK","BAD")</f>
        <v>#N/A</v>
      </c>
      <c r="AR128" s="95" t="e">
        <f>IF(E128=VLOOKUP($A128,Feature_List!$A$2:$AO$101,MATCH(AR$1,Feature_List!$A$1:$AO$1,0),FALSE),"OK","BAD")</f>
        <v>#N/A</v>
      </c>
      <c r="AS128" s="95" t="e">
        <f>IF(F128=VLOOKUP($A128,Feature_List!$A$2:$AO$101,MATCH(AS$1,Feature_List!$A$1:$AO$1,0),FALSE),"OK","BAD")</f>
        <v>#N/A</v>
      </c>
      <c r="AT128" s="95" t="s">
        <v>985</v>
      </c>
      <c r="AU128" s="95" t="s">
        <v>985</v>
      </c>
      <c r="AV128" s="95" t="e">
        <f>IF(I128=VLOOKUP($A128,Feature_List!$A$2:$AO$101,MATCH(AV$1,Feature_List!$A$1:$AO$1,0),FALSE),"OK","BAD")</f>
        <v>#N/A</v>
      </c>
      <c r="AW128" s="95" t="e">
        <f>IF(J128=VLOOKUP($A128,Feature_List!$A$2:$AO$101,MATCH(AW$1,Feature_List!$A$1:$AO$1,0),FALSE),"OK","BAD")</f>
        <v>#N/A</v>
      </c>
      <c r="AX128" s="95" t="e">
        <f>IF(K128=VLOOKUP($A128,Feature_List!$A$2:$AO$101,MATCH(AX$1,Feature_List!$A$1:$AO$1,0),FALSE),"OK","BAD")</f>
        <v>#N/A</v>
      </c>
      <c r="AY128" s="95" t="e">
        <f>IF(L128=VLOOKUP($A128,Feature_List!$A$2:$AO$101,MATCH(AY$1,Feature_List!$A$1:$AO$1,0),FALSE),"OK","BAD")</f>
        <v>#N/A</v>
      </c>
      <c r="AZ128" s="95" t="e">
        <f>IF(M128=VLOOKUP($A128,Feature_List!$A$2:$AO$101,MATCH(AZ$1,Feature_List!$A$1:$AO$1,0),FALSE),"OK","BAD")</f>
        <v>#N/A</v>
      </c>
      <c r="BA128" s="95" t="e">
        <f>IF(N128=VLOOKUP($A128,Feature_List!$A$2:$AO$101,MATCH(BA$1,Feature_List!$A$1:$AO$1,0),FALSE),"OK","BAD")</f>
        <v>#N/A</v>
      </c>
      <c r="BB128" s="95" t="e">
        <f>IF(O128=VLOOKUP($A128,Feature_List!$A$2:$AO$101,MATCH(BB$1,Feature_List!$A$1:$AO$1,0),FALSE),"OK","BAD")</f>
        <v>#N/A</v>
      </c>
      <c r="BC128" s="95" t="e">
        <f>IF(P128=VLOOKUP($A128,Feature_List!$A$2:$AO$101,MATCH(BC$1,Feature_List!$A$1:$AO$1,0),FALSE),"OK","BAD")</f>
        <v>#N/A</v>
      </c>
      <c r="BD128" s="95" t="e">
        <f>IF(Q128=VLOOKUP($A128,Feature_List!$A$2:$AO$101,MATCH(BD$1,Feature_List!$A$1:$AO$1,0),FALSE),"OK","BAD")</f>
        <v>#N/A</v>
      </c>
      <c r="BE128" s="95" t="e">
        <f>IF(R128=VLOOKUP($A128,Feature_List!$A$2:$AO$101,MATCH(BE$1,Feature_List!$A$1:$AO$1,0),FALSE),"OK","BAD")</f>
        <v>#N/A</v>
      </c>
      <c r="BF128" s="95" t="e">
        <f>IF(S128=VLOOKUP($A128,Feature_List!$A$2:$AO$101,MATCH(BF$1,Feature_List!$A$1:$AO$1,0),FALSE),"OK","BAD")</f>
        <v>#N/A</v>
      </c>
      <c r="BG128" s="95" t="e">
        <f>IF(T128=VLOOKUP($A128,Feature_List!$A$2:$AO$101,MATCH(BG$1,Feature_List!$A$1:$AO$1,0),FALSE),"OK","BAD")</f>
        <v>#N/A</v>
      </c>
      <c r="BH128" s="95" t="e">
        <f>IF(U128=VLOOKUP($A128,Feature_List!$A$2:$AO$101,MATCH(BH$1,Feature_List!$A$1:$AO$1,0),FALSE),"OK","BAD")</f>
        <v>#N/A</v>
      </c>
      <c r="BI128" s="95" t="e">
        <f>IF(V128=VLOOKUP($A128,Feature_List!$A$2:$AO$101,MATCH(BI$1,Feature_List!$A$1:$AO$1,0),FALSE),"OK","BAD")</f>
        <v>#N/A</v>
      </c>
      <c r="BJ128" s="95" t="e">
        <f>IF(W128=VLOOKUP($A128,Feature_List!$A$2:$AO$101,MATCH(BJ$1,Feature_List!$A$1:$AO$1,0),FALSE),"OK","BAD")</f>
        <v>#N/A</v>
      </c>
      <c r="BK128" s="95" t="e">
        <f>IF(X128=VLOOKUP($A128,Feature_List!$A$2:$AO$101,MATCH(BK$1,Feature_List!$A$1:$AO$1,0),FALSE),"OK","BAD")</f>
        <v>#N/A</v>
      </c>
      <c r="BL128" s="95" t="e">
        <f>IF(Y128=VLOOKUP($A128,Feature_List!$A$2:$AO$101,MATCH(BL$1,Feature_List!$A$1:$AO$1,0),FALSE),"OK","BAD")</f>
        <v>#N/A</v>
      </c>
      <c r="BM128" s="95" t="e">
        <f>IF(Z128=VLOOKUP($A128,Feature_List!$A$2:$AO$101,MATCH(BM$1,Feature_List!$A$1:$AO$1,0),FALSE),"OK","BAD")</f>
        <v>#N/A</v>
      </c>
      <c r="BN128" s="95" t="e">
        <f>IF(AA128=VLOOKUP($A128,Feature_List!$A$2:$AO$101,MATCH(BN$1,Feature_List!$A$1:$AO$1,0),FALSE),"OK","BAD")</f>
        <v>#N/A</v>
      </c>
      <c r="BO128" s="95" t="e">
        <f>IF(AB128=VLOOKUP($A128,Feature_List!$A$2:$AO$101,MATCH(BO$1,Feature_List!$A$1:$AO$1,0),FALSE),"OK","BAD")</f>
        <v>#N/A</v>
      </c>
      <c r="BP128" s="95" t="e">
        <f>IF(AC128=VLOOKUP($A128,Feature_List!$A$2:$AO$101,MATCH(BP$1,Feature_List!$A$1:$AO$1,0),FALSE),"OK","BAD")</f>
        <v>#N/A</v>
      </c>
      <c r="BQ128" s="95" t="e">
        <f>IF(AD128=VLOOKUP($A128,Feature_List!$A$2:$AO$101,MATCH(BQ$1,Feature_List!$A$1:$AO$1,0),FALSE),"OK","BAD")</f>
        <v>#N/A</v>
      </c>
      <c r="BR128" s="95" t="e">
        <f>IF(AE128=VLOOKUP($A128,Feature_List!$A$2:$AO$101,MATCH(BR$1,Feature_List!$A$1:$AO$1,0),FALSE),"OK","BAD")</f>
        <v>#N/A</v>
      </c>
      <c r="BS128" s="95" t="e">
        <f>IF(AF128=VLOOKUP($A128,Feature_List!$A$2:$AO$101,MATCH(BS$1,Feature_List!$A$1:$AO$1,0),FALSE),"OK","BAD")</f>
        <v>#N/A</v>
      </c>
      <c r="BT128" s="95" t="e">
        <f>IF(AG128=VLOOKUP($A128,Feature_List!$A$2:$AO$101,MATCH(BT$1,Feature_List!$A$1:$AO$1,0),FALSE),"OK","BAD")</f>
        <v>#N/A</v>
      </c>
      <c r="BU128" s="95" t="e">
        <f>IF(AH128=VLOOKUP($A128,Feature_List!$A$2:$AO$101,MATCH(BU$1,Feature_List!$A$1:$AO$1,0),FALSE),"OK","BAD")</f>
        <v>#N/A</v>
      </c>
      <c r="BV128" s="95" t="e">
        <f>IF(AI128=VLOOKUP($A128,Feature_List!$A$2:$AO$101,MATCH(BV$1,Feature_List!$A$1:$AO$1,0),FALSE),"OK","BAD")</f>
        <v>#N/A</v>
      </c>
      <c r="BW128" s="95" t="e">
        <f>IF(AJ128=VLOOKUP($A128,Feature_List!$A$2:$AO$101,MATCH(BW$1,Feature_List!$A$1:$AO$1,0),FALSE),"OK","BAD")</f>
        <v>#N/A</v>
      </c>
      <c r="BX128" s="95" t="e">
        <f>IF(AK128=VLOOKUP($A128,Feature_List!$A$2:$AO$101,MATCH(BX$1,Feature_List!$A$1:$AO$1,0),FALSE),"OK","BAD")</f>
        <v>#N/A</v>
      </c>
      <c r="BY128" s="95" t="e">
        <f>IF(AL128=VLOOKUP($A128,Feature_List!$A$2:$AO$101,MATCH(BY$1,Feature_List!$A$1:$AO$1,0),FALSE),"OK","BAD")</f>
        <v>#N/A</v>
      </c>
      <c r="BZ128" s="95" t="e">
        <f>IF(AM128=VLOOKUP($A128,Feature_List!$A$2:$AO$101,MATCH(BZ$1,Feature_List!$A$1:$AO$1,0),FALSE),"OK","BAD")</f>
        <v>#N/A</v>
      </c>
      <c r="CA128" s="95" t="e">
        <f>IF(AN128=VLOOKUP($A128,Feature_List!$A$2:$AO$101,MATCH(CA$1,Feature_List!$A$1:$AO$1,0),FALSE),"OK","BAD")</f>
        <v>#N/A</v>
      </c>
    </row>
    <row r="129" spans="1:79" ht="14.4" customHeight="1" x14ac:dyDescent="0.3">
      <c r="A129" s="70"/>
      <c r="B129" s="65"/>
      <c r="C129" s="98"/>
      <c r="D129" s="65"/>
      <c r="E129" s="64"/>
      <c r="F129" s="64"/>
      <c r="G129" s="64"/>
      <c r="H129" s="64"/>
      <c r="I129" s="99"/>
      <c r="J129" s="64"/>
      <c r="K129" s="64"/>
      <c r="L129" s="62"/>
      <c r="M129" s="67"/>
      <c r="N129" s="67"/>
      <c r="O129" s="67"/>
      <c r="P129" s="66"/>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220"/>
      <c r="AO129" s="224"/>
      <c r="AP129" s="95" t="e">
        <f>IF(C129=VLOOKUP($A129,Feature_List!$A$2:$AO$101,MATCH(AP$1,Feature_List!$A$1:$AO$1,0),FALSE),"OK","BAD")</f>
        <v>#N/A</v>
      </c>
      <c r="AQ129" s="95" t="e">
        <f>IF(D129=VLOOKUP($A129,Feature_List!$A$2:$AO$101,MATCH(AQ$1,Feature_List!$A$1:$AO$1,0),FALSE),"OK","BAD")</f>
        <v>#N/A</v>
      </c>
      <c r="AR129" s="95" t="e">
        <f>IF(E129=VLOOKUP($A129,Feature_List!$A$2:$AO$101,MATCH(AR$1,Feature_List!$A$1:$AO$1,0),FALSE),"OK","BAD")</f>
        <v>#N/A</v>
      </c>
      <c r="AS129" s="95" t="e">
        <f>IF(F129=VLOOKUP($A129,Feature_List!$A$2:$AO$101,MATCH(AS$1,Feature_List!$A$1:$AO$1,0),FALSE),"OK","BAD")</f>
        <v>#N/A</v>
      </c>
      <c r="AT129" s="95" t="s">
        <v>985</v>
      </c>
      <c r="AU129" s="95" t="s">
        <v>985</v>
      </c>
      <c r="AV129" s="95" t="e">
        <f>IF(I129=VLOOKUP($A129,Feature_List!$A$2:$AO$101,MATCH(AV$1,Feature_List!$A$1:$AO$1,0),FALSE),"OK","BAD")</f>
        <v>#N/A</v>
      </c>
      <c r="AW129" s="95" t="e">
        <f>IF(J129=VLOOKUP($A129,Feature_List!$A$2:$AO$101,MATCH(AW$1,Feature_List!$A$1:$AO$1,0),FALSE),"OK","BAD")</f>
        <v>#N/A</v>
      </c>
      <c r="AX129" s="95" t="e">
        <f>IF(K129=VLOOKUP($A129,Feature_List!$A$2:$AO$101,MATCH(AX$1,Feature_List!$A$1:$AO$1,0),FALSE),"OK","BAD")</f>
        <v>#N/A</v>
      </c>
      <c r="AY129" s="95" t="e">
        <f>IF(L129=VLOOKUP($A129,Feature_List!$A$2:$AO$101,MATCH(AY$1,Feature_List!$A$1:$AO$1,0),FALSE),"OK","BAD")</f>
        <v>#N/A</v>
      </c>
      <c r="AZ129" s="95" t="e">
        <f>IF(M129=VLOOKUP($A129,Feature_List!$A$2:$AO$101,MATCH(AZ$1,Feature_List!$A$1:$AO$1,0),FALSE),"OK","BAD")</f>
        <v>#N/A</v>
      </c>
      <c r="BA129" s="95" t="e">
        <f>IF(N129=VLOOKUP($A129,Feature_List!$A$2:$AO$101,MATCH(BA$1,Feature_List!$A$1:$AO$1,0),FALSE),"OK","BAD")</f>
        <v>#N/A</v>
      </c>
      <c r="BB129" s="95" t="e">
        <f>IF(O129=VLOOKUP($A129,Feature_List!$A$2:$AO$101,MATCH(BB$1,Feature_List!$A$1:$AO$1,0),FALSE),"OK","BAD")</f>
        <v>#N/A</v>
      </c>
      <c r="BC129" s="95" t="e">
        <f>IF(P129=VLOOKUP($A129,Feature_List!$A$2:$AO$101,MATCH(BC$1,Feature_List!$A$1:$AO$1,0),FALSE),"OK","BAD")</f>
        <v>#N/A</v>
      </c>
      <c r="BD129" s="95" t="e">
        <f>IF(Q129=VLOOKUP($A129,Feature_List!$A$2:$AO$101,MATCH(BD$1,Feature_List!$A$1:$AO$1,0),FALSE),"OK","BAD")</f>
        <v>#N/A</v>
      </c>
      <c r="BE129" s="95" t="e">
        <f>IF(R129=VLOOKUP($A129,Feature_List!$A$2:$AO$101,MATCH(BE$1,Feature_List!$A$1:$AO$1,0),FALSE),"OK","BAD")</f>
        <v>#N/A</v>
      </c>
      <c r="BF129" s="95" t="e">
        <f>IF(S129=VLOOKUP($A129,Feature_List!$A$2:$AO$101,MATCH(BF$1,Feature_List!$A$1:$AO$1,0),FALSE),"OK","BAD")</f>
        <v>#N/A</v>
      </c>
      <c r="BG129" s="95" t="e">
        <f>IF(T129=VLOOKUP($A129,Feature_List!$A$2:$AO$101,MATCH(BG$1,Feature_List!$A$1:$AO$1,0),FALSE),"OK","BAD")</f>
        <v>#N/A</v>
      </c>
      <c r="BH129" s="95" t="e">
        <f>IF(U129=VLOOKUP($A129,Feature_List!$A$2:$AO$101,MATCH(BH$1,Feature_List!$A$1:$AO$1,0),FALSE),"OK","BAD")</f>
        <v>#N/A</v>
      </c>
      <c r="BI129" s="95" t="e">
        <f>IF(V129=VLOOKUP($A129,Feature_List!$A$2:$AO$101,MATCH(BI$1,Feature_List!$A$1:$AO$1,0),FALSE),"OK","BAD")</f>
        <v>#N/A</v>
      </c>
      <c r="BJ129" s="95" t="e">
        <f>IF(W129=VLOOKUP($A129,Feature_List!$A$2:$AO$101,MATCH(BJ$1,Feature_List!$A$1:$AO$1,0),FALSE),"OK","BAD")</f>
        <v>#N/A</v>
      </c>
      <c r="BK129" s="95" t="e">
        <f>IF(X129=VLOOKUP($A129,Feature_List!$A$2:$AO$101,MATCH(BK$1,Feature_List!$A$1:$AO$1,0),FALSE),"OK","BAD")</f>
        <v>#N/A</v>
      </c>
      <c r="BL129" s="95" t="e">
        <f>IF(Y129=VLOOKUP($A129,Feature_List!$A$2:$AO$101,MATCH(BL$1,Feature_List!$A$1:$AO$1,0),FALSE),"OK","BAD")</f>
        <v>#N/A</v>
      </c>
      <c r="BM129" s="95" t="e">
        <f>IF(Z129=VLOOKUP($A129,Feature_List!$A$2:$AO$101,MATCH(BM$1,Feature_List!$A$1:$AO$1,0),FALSE),"OK","BAD")</f>
        <v>#N/A</v>
      </c>
      <c r="BN129" s="95" t="e">
        <f>IF(AA129=VLOOKUP($A129,Feature_List!$A$2:$AO$101,MATCH(BN$1,Feature_List!$A$1:$AO$1,0),FALSE),"OK","BAD")</f>
        <v>#N/A</v>
      </c>
      <c r="BO129" s="95" t="e">
        <f>IF(AB129=VLOOKUP($A129,Feature_List!$A$2:$AO$101,MATCH(BO$1,Feature_List!$A$1:$AO$1,0),FALSE),"OK","BAD")</f>
        <v>#N/A</v>
      </c>
      <c r="BP129" s="95" t="e">
        <f>IF(AC129=VLOOKUP($A129,Feature_List!$A$2:$AO$101,MATCH(BP$1,Feature_List!$A$1:$AO$1,0),FALSE),"OK","BAD")</f>
        <v>#N/A</v>
      </c>
      <c r="BQ129" s="95" t="e">
        <f>IF(AD129=VLOOKUP($A129,Feature_List!$A$2:$AO$101,MATCH(BQ$1,Feature_List!$A$1:$AO$1,0),FALSE),"OK","BAD")</f>
        <v>#N/A</v>
      </c>
      <c r="BR129" s="95" t="e">
        <f>IF(AE129=VLOOKUP($A129,Feature_List!$A$2:$AO$101,MATCH(BR$1,Feature_List!$A$1:$AO$1,0),FALSE),"OK","BAD")</f>
        <v>#N/A</v>
      </c>
      <c r="BS129" s="95" t="e">
        <f>IF(AF129=VLOOKUP($A129,Feature_List!$A$2:$AO$101,MATCH(BS$1,Feature_List!$A$1:$AO$1,0),FALSE),"OK","BAD")</f>
        <v>#N/A</v>
      </c>
      <c r="BT129" s="95" t="e">
        <f>IF(AG129=VLOOKUP($A129,Feature_List!$A$2:$AO$101,MATCH(BT$1,Feature_List!$A$1:$AO$1,0),FALSE),"OK","BAD")</f>
        <v>#N/A</v>
      </c>
      <c r="BU129" s="95" t="e">
        <f>IF(AH129=VLOOKUP($A129,Feature_List!$A$2:$AO$101,MATCH(BU$1,Feature_List!$A$1:$AO$1,0),FALSE),"OK","BAD")</f>
        <v>#N/A</v>
      </c>
      <c r="BV129" s="95" t="e">
        <f>IF(AI129=VLOOKUP($A129,Feature_List!$A$2:$AO$101,MATCH(BV$1,Feature_List!$A$1:$AO$1,0),FALSE),"OK","BAD")</f>
        <v>#N/A</v>
      </c>
      <c r="BW129" s="95" t="e">
        <f>IF(AJ129=VLOOKUP($A129,Feature_List!$A$2:$AO$101,MATCH(BW$1,Feature_List!$A$1:$AO$1,0),FALSE),"OK","BAD")</f>
        <v>#N/A</v>
      </c>
      <c r="BX129" s="95" t="e">
        <f>IF(AK129=VLOOKUP($A129,Feature_List!$A$2:$AO$101,MATCH(BX$1,Feature_List!$A$1:$AO$1,0),FALSE),"OK","BAD")</f>
        <v>#N/A</v>
      </c>
      <c r="BY129" s="95" t="e">
        <f>IF(AL129=VLOOKUP($A129,Feature_List!$A$2:$AO$101,MATCH(BY$1,Feature_List!$A$1:$AO$1,0),FALSE),"OK","BAD")</f>
        <v>#N/A</v>
      </c>
      <c r="BZ129" s="95" t="e">
        <f>IF(AM129=VLOOKUP($A129,Feature_List!$A$2:$AO$101,MATCH(BZ$1,Feature_List!$A$1:$AO$1,0),FALSE),"OK","BAD")</f>
        <v>#N/A</v>
      </c>
      <c r="CA129" s="95" t="e">
        <f>IF(AN129=VLOOKUP($A129,Feature_List!$A$2:$AO$101,MATCH(CA$1,Feature_List!$A$1:$AO$1,0),FALSE),"OK","BAD")</f>
        <v>#N/A</v>
      </c>
    </row>
    <row r="130" spans="1:79" ht="14.4" customHeight="1" x14ac:dyDescent="0.3">
      <c r="A130" s="70"/>
      <c r="B130" s="65"/>
      <c r="C130" s="98"/>
      <c r="D130" s="65"/>
      <c r="E130" s="64"/>
      <c r="F130" s="64"/>
      <c r="G130" s="64"/>
      <c r="H130" s="64"/>
      <c r="I130" s="99"/>
      <c r="J130" s="64"/>
      <c r="K130" s="64"/>
      <c r="L130" s="62"/>
      <c r="M130" s="67"/>
      <c r="N130" s="67"/>
      <c r="O130" s="67"/>
      <c r="P130" s="66"/>
      <c r="Q130" s="63"/>
      <c r="R130" s="63"/>
      <c r="S130" s="63"/>
      <c r="T130" s="63"/>
      <c r="U130" s="63"/>
      <c r="V130" s="63"/>
      <c r="W130" s="63"/>
      <c r="X130" s="63"/>
      <c r="Y130" s="63"/>
      <c r="Z130" s="63"/>
      <c r="AA130" s="63"/>
      <c r="AB130" s="63"/>
      <c r="AC130" s="63"/>
      <c r="AD130" s="63"/>
      <c r="AE130" s="63"/>
      <c r="AF130" s="63"/>
      <c r="AG130" s="63"/>
      <c r="AH130" s="63"/>
      <c r="AI130" s="63"/>
      <c r="AJ130" s="63"/>
      <c r="AK130" s="63"/>
      <c r="AL130" s="63"/>
      <c r="AM130" s="63"/>
      <c r="AN130" s="220"/>
      <c r="AO130" s="224"/>
      <c r="AP130" s="95" t="e">
        <f>IF(C130=VLOOKUP($A130,Feature_List!$A$2:$AO$101,MATCH(AP$1,Feature_List!$A$1:$AO$1,0),FALSE),"OK","BAD")</f>
        <v>#N/A</v>
      </c>
      <c r="AQ130" s="95" t="e">
        <f>IF(D130=VLOOKUP($A130,Feature_List!$A$2:$AO$101,MATCH(AQ$1,Feature_List!$A$1:$AO$1,0),FALSE),"OK","BAD")</f>
        <v>#N/A</v>
      </c>
      <c r="AR130" s="95" t="e">
        <f>IF(E130=VLOOKUP($A130,Feature_List!$A$2:$AO$101,MATCH(AR$1,Feature_List!$A$1:$AO$1,0),FALSE),"OK","BAD")</f>
        <v>#N/A</v>
      </c>
      <c r="AS130" s="95" t="e">
        <f>IF(F130=VLOOKUP($A130,Feature_List!$A$2:$AO$101,MATCH(AS$1,Feature_List!$A$1:$AO$1,0),FALSE),"OK","BAD")</f>
        <v>#N/A</v>
      </c>
      <c r="AT130" s="95" t="s">
        <v>985</v>
      </c>
      <c r="AU130" s="95" t="s">
        <v>985</v>
      </c>
      <c r="AV130" s="95" t="e">
        <f>IF(I130=VLOOKUP($A130,Feature_List!$A$2:$AO$101,MATCH(AV$1,Feature_List!$A$1:$AO$1,0),FALSE),"OK","BAD")</f>
        <v>#N/A</v>
      </c>
      <c r="AW130" s="95" t="e">
        <f>IF(J130=VLOOKUP($A130,Feature_List!$A$2:$AO$101,MATCH(AW$1,Feature_List!$A$1:$AO$1,0),FALSE),"OK","BAD")</f>
        <v>#N/A</v>
      </c>
      <c r="AX130" s="95" t="e">
        <f>IF(K130=VLOOKUP($A130,Feature_List!$A$2:$AO$101,MATCH(AX$1,Feature_List!$A$1:$AO$1,0),FALSE),"OK","BAD")</f>
        <v>#N/A</v>
      </c>
      <c r="AY130" s="95" t="e">
        <f>IF(L130=VLOOKUP($A130,Feature_List!$A$2:$AO$101,MATCH(AY$1,Feature_List!$A$1:$AO$1,0),FALSE),"OK","BAD")</f>
        <v>#N/A</v>
      </c>
      <c r="AZ130" s="95" t="e">
        <f>IF(M130=VLOOKUP($A130,Feature_List!$A$2:$AO$101,MATCH(AZ$1,Feature_List!$A$1:$AO$1,0),FALSE),"OK","BAD")</f>
        <v>#N/A</v>
      </c>
      <c r="BA130" s="95" t="e">
        <f>IF(N130=VLOOKUP($A130,Feature_List!$A$2:$AO$101,MATCH(BA$1,Feature_List!$A$1:$AO$1,0),FALSE),"OK","BAD")</f>
        <v>#N/A</v>
      </c>
      <c r="BB130" s="95" t="e">
        <f>IF(O130=VLOOKUP($A130,Feature_List!$A$2:$AO$101,MATCH(BB$1,Feature_List!$A$1:$AO$1,0),FALSE),"OK","BAD")</f>
        <v>#N/A</v>
      </c>
      <c r="BC130" s="95" t="e">
        <f>IF(P130=VLOOKUP($A130,Feature_List!$A$2:$AO$101,MATCH(BC$1,Feature_List!$A$1:$AO$1,0),FALSE),"OK","BAD")</f>
        <v>#N/A</v>
      </c>
      <c r="BD130" s="95" t="e">
        <f>IF(Q130=VLOOKUP($A130,Feature_List!$A$2:$AO$101,MATCH(BD$1,Feature_List!$A$1:$AO$1,0),FALSE),"OK","BAD")</f>
        <v>#N/A</v>
      </c>
      <c r="BE130" s="95" t="e">
        <f>IF(R130=VLOOKUP($A130,Feature_List!$A$2:$AO$101,MATCH(BE$1,Feature_List!$A$1:$AO$1,0),FALSE),"OK","BAD")</f>
        <v>#N/A</v>
      </c>
      <c r="BF130" s="95" t="e">
        <f>IF(S130=VLOOKUP($A130,Feature_List!$A$2:$AO$101,MATCH(BF$1,Feature_List!$A$1:$AO$1,0),FALSE),"OK","BAD")</f>
        <v>#N/A</v>
      </c>
      <c r="BG130" s="95" t="e">
        <f>IF(T130=VLOOKUP($A130,Feature_List!$A$2:$AO$101,MATCH(BG$1,Feature_List!$A$1:$AO$1,0),FALSE),"OK","BAD")</f>
        <v>#N/A</v>
      </c>
      <c r="BH130" s="95" t="e">
        <f>IF(U130=VLOOKUP($A130,Feature_List!$A$2:$AO$101,MATCH(BH$1,Feature_List!$A$1:$AO$1,0),FALSE),"OK","BAD")</f>
        <v>#N/A</v>
      </c>
      <c r="BI130" s="95" t="e">
        <f>IF(V130=VLOOKUP($A130,Feature_List!$A$2:$AO$101,MATCH(BI$1,Feature_List!$A$1:$AO$1,0),FALSE),"OK","BAD")</f>
        <v>#N/A</v>
      </c>
      <c r="BJ130" s="95" t="e">
        <f>IF(W130=VLOOKUP($A130,Feature_List!$A$2:$AO$101,MATCH(BJ$1,Feature_List!$A$1:$AO$1,0),FALSE),"OK","BAD")</f>
        <v>#N/A</v>
      </c>
      <c r="BK130" s="95" t="e">
        <f>IF(X130=VLOOKUP($A130,Feature_List!$A$2:$AO$101,MATCH(BK$1,Feature_List!$A$1:$AO$1,0),FALSE),"OK","BAD")</f>
        <v>#N/A</v>
      </c>
      <c r="BL130" s="95" t="e">
        <f>IF(Y130=VLOOKUP($A130,Feature_List!$A$2:$AO$101,MATCH(BL$1,Feature_List!$A$1:$AO$1,0),FALSE),"OK","BAD")</f>
        <v>#N/A</v>
      </c>
      <c r="BM130" s="95" t="e">
        <f>IF(Z130=VLOOKUP($A130,Feature_List!$A$2:$AO$101,MATCH(BM$1,Feature_List!$A$1:$AO$1,0),FALSE),"OK","BAD")</f>
        <v>#N/A</v>
      </c>
      <c r="BN130" s="95" t="e">
        <f>IF(AA130=VLOOKUP($A130,Feature_List!$A$2:$AO$101,MATCH(BN$1,Feature_List!$A$1:$AO$1,0),FALSE),"OK","BAD")</f>
        <v>#N/A</v>
      </c>
      <c r="BO130" s="95" t="e">
        <f>IF(AB130=VLOOKUP($A130,Feature_List!$A$2:$AO$101,MATCH(BO$1,Feature_List!$A$1:$AO$1,0),FALSE),"OK","BAD")</f>
        <v>#N/A</v>
      </c>
      <c r="BP130" s="95" t="e">
        <f>IF(AC130=VLOOKUP($A130,Feature_List!$A$2:$AO$101,MATCH(BP$1,Feature_List!$A$1:$AO$1,0),FALSE),"OK","BAD")</f>
        <v>#N/A</v>
      </c>
      <c r="BQ130" s="95" t="e">
        <f>IF(AD130=VLOOKUP($A130,Feature_List!$A$2:$AO$101,MATCH(BQ$1,Feature_List!$A$1:$AO$1,0),FALSE),"OK","BAD")</f>
        <v>#N/A</v>
      </c>
      <c r="BR130" s="95" t="e">
        <f>IF(AE130=VLOOKUP($A130,Feature_List!$A$2:$AO$101,MATCH(BR$1,Feature_List!$A$1:$AO$1,0),FALSE),"OK","BAD")</f>
        <v>#N/A</v>
      </c>
      <c r="BS130" s="95" t="e">
        <f>IF(AF130=VLOOKUP($A130,Feature_List!$A$2:$AO$101,MATCH(BS$1,Feature_List!$A$1:$AO$1,0),FALSE),"OK","BAD")</f>
        <v>#N/A</v>
      </c>
      <c r="BT130" s="95" t="e">
        <f>IF(AG130=VLOOKUP($A130,Feature_List!$A$2:$AO$101,MATCH(BT$1,Feature_List!$A$1:$AO$1,0),FALSE),"OK","BAD")</f>
        <v>#N/A</v>
      </c>
      <c r="BU130" s="95" t="e">
        <f>IF(AH130=VLOOKUP($A130,Feature_List!$A$2:$AO$101,MATCH(BU$1,Feature_List!$A$1:$AO$1,0),FALSE),"OK","BAD")</f>
        <v>#N/A</v>
      </c>
      <c r="BV130" s="95" t="e">
        <f>IF(AI130=VLOOKUP($A130,Feature_List!$A$2:$AO$101,MATCH(BV$1,Feature_List!$A$1:$AO$1,0),FALSE),"OK","BAD")</f>
        <v>#N/A</v>
      </c>
      <c r="BW130" s="95" t="e">
        <f>IF(AJ130=VLOOKUP($A130,Feature_List!$A$2:$AO$101,MATCH(BW$1,Feature_List!$A$1:$AO$1,0),FALSE),"OK","BAD")</f>
        <v>#N/A</v>
      </c>
      <c r="BX130" s="95" t="e">
        <f>IF(AK130=VLOOKUP($A130,Feature_List!$A$2:$AO$101,MATCH(BX$1,Feature_List!$A$1:$AO$1,0),FALSE),"OK","BAD")</f>
        <v>#N/A</v>
      </c>
      <c r="BY130" s="95" t="e">
        <f>IF(AL130=VLOOKUP($A130,Feature_List!$A$2:$AO$101,MATCH(BY$1,Feature_List!$A$1:$AO$1,0),FALSE),"OK","BAD")</f>
        <v>#N/A</v>
      </c>
      <c r="BZ130" s="95" t="e">
        <f>IF(AM130=VLOOKUP($A130,Feature_List!$A$2:$AO$101,MATCH(BZ$1,Feature_List!$A$1:$AO$1,0),FALSE),"OK","BAD")</f>
        <v>#N/A</v>
      </c>
      <c r="CA130" s="95" t="e">
        <f>IF(AN130=VLOOKUP($A130,Feature_List!$A$2:$AO$101,MATCH(CA$1,Feature_List!$A$1:$AO$1,0),FALSE),"OK","BAD")</f>
        <v>#N/A</v>
      </c>
    </row>
    <row r="131" spans="1:79" ht="14.4" customHeight="1" x14ac:dyDescent="0.3">
      <c r="A131" s="70"/>
      <c r="B131" s="65"/>
      <c r="C131" s="98"/>
      <c r="D131" s="65"/>
      <c r="E131" s="64"/>
      <c r="F131" s="64"/>
      <c r="G131" s="64"/>
      <c r="H131" s="64"/>
      <c r="I131" s="99"/>
      <c r="J131" s="64"/>
      <c r="K131" s="64"/>
      <c r="L131" s="62"/>
      <c r="M131" s="67"/>
      <c r="N131" s="67"/>
      <c r="O131" s="67"/>
      <c r="P131" s="66"/>
      <c r="Q131" s="63"/>
      <c r="R131" s="63"/>
      <c r="S131" s="63"/>
      <c r="T131" s="63"/>
      <c r="U131" s="63"/>
      <c r="V131" s="63"/>
      <c r="W131" s="63"/>
      <c r="X131" s="63"/>
      <c r="Y131" s="63"/>
      <c r="Z131" s="63"/>
      <c r="AA131" s="63"/>
      <c r="AB131" s="63"/>
      <c r="AC131" s="63"/>
      <c r="AD131" s="63"/>
      <c r="AE131" s="63"/>
      <c r="AF131" s="63"/>
      <c r="AG131" s="63"/>
      <c r="AH131" s="63"/>
      <c r="AI131" s="63"/>
      <c r="AJ131" s="63"/>
      <c r="AK131" s="63"/>
      <c r="AL131" s="63"/>
      <c r="AM131" s="63"/>
      <c r="AN131" s="220"/>
      <c r="AO131" s="224"/>
      <c r="AP131" s="95" t="e">
        <f>IF(C131=VLOOKUP($A131,Feature_List!$A$2:$AO$101,MATCH(AP$1,Feature_List!$A$1:$AO$1,0),FALSE),"OK","BAD")</f>
        <v>#N/A</v>
      </c>
      <c r="AQ131" s="95" t="e">
        <f>IF(D131=VLOOKUP($A131,Feature_List!$A$2:$AO$101,MATCH(AQ$1,Feature_List!$A$1:$AO$1,0),FALSE),"OK","BAD")</f>
        <v>#N/A</v>
      </c>
      <c r="AR131" s="95" t="e">
        <f>IF(E131=VLOOKUP($A131,Feature_List!$A$2:$AO$101,MATCH(AR$1,Feature_List!$A$1:$AO$1,0),FALSE),"OK","BAD")</f>
        <v>#N/A</v>
      </c>
      <c r="AS131" s="95" t="e">
        <f>IF(F131=VLOOKUP($A131,Feature_List!$A$2:$AO$101,MATCH(AS$1,Feature_List!$A$1:$AO$1,0),FALSE),"OK","BAD")</f>
        <v>#N/A</v>
      </c>
      <c r="AT131" s="95" t="s">
        <v>985</v>
      </c>
      <c r="AU131" s="95" t="s">
        <v>985</v>
      </c>
      <c r="AV131" s="95" t="e">
        <f>IF(I131=VLOOKUP($A131,Feature_List!$A$2:$AO$101,MATCH(AV$1,Feature_List!$A$1:$AO$1,0),FALSE),"OK","BAD")</f>
        <v>#N/A</v>
      </c>
      <c r="AW131" s="95" t="e">
        <f>IF(J131=VLOOKUP($A131,Feature_List!$A$2:$AO$101,MATCH(AW$1,Feature_List!$A$1:$AO$1,0),FALSE),"OK","BAD")</f>
        <v>#N/A</v>
      </c>
      <c r="AX131" s="95" t="e">
        <f>IF(K131=VLOOKUP($A131,Feature_List!$A$2:$AO$101,MATCH(AX$1,Feature_List!$A$1:$AO$1,0),FALSE),"OK","BAD")</f>
        <v>#N/A</v>
      </c>
      <c r="AY131" s="95" t="e">
        <f>IF(L131=VLOOKUP($A131,Feature_List!$A$2:$AO$101,MATCH(AY$1,Feature_List!$A$1:$AO$1,0),FALSE),"OK","BAD")</f>
        <v>#N/A</v>
      </c>
      <c r="AZ131" s="95" t="e">
        <f>IF(M131=VLOOKUP($A131,Feature_List!$A$2:$AO$101,MATCH(AZ$1,Feature_List!$A$1:$AO$1,0),FALSE),"OK","BAD")</f>
        <v>#N/A</v>
      </c>
      <c r="BA131" s="95" t="e">
        <f>IF(N131=VLOOKUP($A131,Feature_List!$A$2:$AO$101,MATCH(BA$1,Feature_List!$A$1:$AO$1,0),FALSE),"OK","BAD")</f>
        <v>#N/A</v>
      </c>
      <c r="BB131" s="95" t="e">
        <f>IF(O131=VLOOKUP($A131,Feature_List!$A$2:$AO$101,MATCH(BB$1,Feature_List!$A$1:$AO$1,0),FALSE),"OK","BAD")</f>
        <v>#N/A</v>
      </c>
      <c r="BC131" s="95" t="e">
        <f>IF(P131=VLOOKUP($A131,Feature_List!$A$2:$AO$101,MATCH(BC$1,Feature_List!$A$1:$AO$1,0),FALSE),"OK","BAD")</f>
        <v>#N/A</v>
      </c>
      <c r="BD131" s="95" t="e">
        <f>IF(Q131=VLOOKUP($A131,Feature_List!$A$2:$AO$101,MATCH(BD$1,Feature_List!$A$1:$AO$1,0),FALSE),"OK","BAD")</f>
        <v>#N/A</v>
      </c>
      <c r="BE131" s="95" t="e">
        <f>IF(R131=VLOOKUP($A131,Feature_List!$A$2:$AO$101,MATCH(BE$1,Feature_List!$A$1:$AO$1,0),FALSE),"OK","BAD")</f>
        <v>#N/A</v>
      </c>
      <c r="BF131" s="95" t="e">
        <f>IF(S131=VLOOKUP($A131,Feature_List!$A$2:$AO$101,MATCH(BF$1,Feature_List!$A$1:$AO$1,0),FALSE),"OK","BAD")</f>
        <v>#N/A</v>
      </c>
      <c r="BG131" s="95" t="e">
        <f>IF(T131=VLOOKUP($A131,Feature_List!$A$2:$AO$101,MATCH(BG$1,Feature_List!$A$1:$AO$1,0),FALSE),"OK","BAD")</f>
        <v>#N/A</v>
      </c>
      <c r="BH131" s="95" t="e">
        <f>IF(U131=VLOOKUP($A131,Feature_List!$A$2:$AO$101,MATCH(BH$1,Feature_List!$A$1:$AO$1,0),FALSE),"OK","BAD")</f>
        <v>#N/A</v>
      </c>
      <c r="BI131" s="95" t="e">
        <f>IF(V131=VLOOKUP($A131,Feature_List!$A$2:$AO$101,MATCH(BI$1,Feature_List!$A$1:$AO$1,0),FALSE),"OK","BAD")</f>
        <v>#N/A</v>
      </c>
      <c r="BJ131" s="95" t="e">
        <f>IF(W131=VLOOKUP($A131,Feature_List!$A$2:$AO$101,MATCH(BJ$1,Feature_List!$A$1:$AO$1,0),FALSE),"OK","BAD")</f>
        <v>#N/A</v>
      </c>
      <c r="BK131" s="95" t="e">
        <f>IF(X131=VLOOKUP($A131,Feature_List!$A$2:$AO$101,MATCH(BK$1,Feature_List!$A$1:$AO$1,0),FALSE),"OK","BAD")</f>
        <v>#N/A</v>
      </c>
      <c r="BL131" s="95" t="e">
        <f>IF(Y131=VLOOKUP($A131,Feature_List!$A$2:$AO$101,MATCH(BL$1,Feature_List!$A$1:$AO$1,0),FALSE),"OK","BAD")</f>
        <v>#N/A</v>
      </c>
      <c r="BM131" s="95" t="e">
        <f>IF(Z131=VLOOKUP($A131,Feature_List!$A$2:$AO$101,MATCH(BM$1,Feature_List!$A$1:$AO$1,0),FALSE),"OK","BAD")</f>
        <v>#N/A</v>
      </c>
      <c r="BN131" s="95" t="e">
        <f>IF(AA131=VLOOKUP($A131,Feature_List!$A$2:$AO$101,MATCH(BN$1,Feature_List!$A$1:$AO$1,0),FALSE),"OK","BAD")</f>
        <v>#N/A</v>
      </c>
      <c r="BO131" s="95" t="e">
        <f>IF(AB131=VLOOKUP($A131,Feature_List!$A$2:$AO$101,MATCH(BO$1,Feature_List!$A$1:$AO$1,0),FALSE),"OK","BAD")</f>
        <v>#N/A</v>
      </c>
      <c r="BP131" s="95" t="e">
        <f>IF(AC131=VLOOKUP($A131,Feature_List!$A$2:$AO$101,MATCH(BP$1,Feature_List!$A$1:$AO$1,0),FALSE),"OK","BAD")</f>
        <v>#N/A</v>
      </c>
      <c r="BQ131" s="95" t="e">
        <f>IF(AD131=VLOOKUP($A131,Feature_List!$A$2:$AO$101,MATCH(BQ$1,Feature_List!$A$1:$AO$1,0),FALSE),"OK","BAD")</f>
        <v>#N/A</v>
      </c>
      <c r="BR131" s="95" t="e">
        <f>IF(AE131=VLOOKUP($A131,Feature_List!$A$2:$AO$101,MATCH(BR$1,Feature_List!$A$1:$AO$1,0),FALSE),"OK","BAD")</f>
        <v>#N/A</v>
      </c>
      <c r="BS131" s="95" t="e">
        <f>IF(AF131=VLOOKUP($A131,Feature_List!$A$2:$AO$101,MATCH(BS$1,Feature_List!$A$1:$AO$1,0),FALSE),"OK","BAD")</f>
        <v>#N/A</v>
      </c>
      <c r="BT131" s="95" t="e">
        <f>IF(AG131=VLOOKUP($A131,Feature_List!$A$2:$AO$101,MATCH(BT$1,Feature_List!$A$1:$AO$1,0),FALSE),"OK","BAD")</f>
        <v>#N/A</v>
      </c>
      <c r="BU131" s="95" t="e">
        <f>IF(AH131=VLOOKUP($A131,Feature_List!$A$2:$AO$101,MATCH(BU$1,Feature_List!$A$1:$AO$1,0),FALSE),"OK","BAD")</f>
        <v>#N/A</v>
      </c>
      <c r="BV131" s="95" t="e">
        <f>IF(AI131=VLOOKUP($A131,Feature_List!$A$2:$AO$101,MATCH(BV$1,Feature_List!$A$1:$AO$1,0),FALSE),"OK","BAD")</f>
        <v>#N/A</v>
      </c>
      <c r="BW131" s="95" t="e">
        <f>IF(AJ131=VLOOKUP($A131,Feature_List!$A$2:$AO$101,MATCH(BW$1,Feature_List!$A$1:$AO$1,0),FALSE),"OK","BAD")</f>
        <v>#N/A</v>
      </c>
      <c r="BX131" s="95" t="e">
        <f>IF(AK131=VLOOKUP($A131,Feature_List!$A$2:$AO$101,MATCH(BX$1,Feature_List!$A$1:$AO$1,0),FALSE),"OK","BAD")</f>
        <v>#N/A</v>
      </c>
      <c r="BY131" s="95" t="e">
        <f>IF(AL131=VLOOKUP($A131,Feature_List!$A$2:$AO$101,MATCH(BY$1,Feature_List!$A$1:$AO$1,0),FALSE),"OK","BAD")</f>
        <v>#N/A</v>
      </c>
      <c r="BZ131" s="95" t="e">
        <f>IF(AM131=VLOOKUP($A131,Feature_List!$A$2:$AO$101,MATCH(BZ$1,Feature_List!$A$1:$AO$1,0),FALSE),"OK","BAD")</f>
        <v>#N/A</v>
      </c>
      <c r="CA131" s="95" t="e">
        <f>IF(AN131=VLOOKUP($A131,Feature_List!$A$2:$AO$101,MATCH(CA$1,Feature_List!$A$1:$AO$1,0),FALSE),"OK","BAD")</f>
        <v>#N/A</v>
      </c>
    </row>
    <row r="132" spans="1:79" ht="14.4" customHeight="1" x14ac:dyDescent="0.3">
      <c r="A132" s="70"/>
      <c r="B132" s="65"/>
      <c r="C132" s="98"/>
      <c r="D132" s="65"/>
      <c r="E132" s="64"/>
      <c r="F132" s="64"/>
      <c r="G132" s="64"/>
      <c r="H132" s="64"/>
      <c r="I132" s="99"/>
      <c r="J132" s="64"/>
      <c r="K132" s="64"/>
      <c r="L132" s="62"/>
      <c r="M132" s="67"/>
      <c r="N132" s="67"/>
      <c r="O132" s="67"/>
      <c r="P132" s="66"/>
      <c r="Q132" s="63"/>
      <c r="R132" s="63"/>
      <c r="S132" s="63"/>
      <c r="T132" s="63"/>
      <c r="U132" s="63"/>
      <c r="V132" s="63"/>
      <c r="W132" s="63"/>
      <c r="X132" s="63"/>
      <c r="Y132" s="63"/>
      <c r="Z132" s="63"/>
      <c r="AA132" s="63"/>
      <c r="AB132" s="63"/>
      <c r="AC132" s="63"/>
      <c r="AD132" s="63"/>
      <c r="AE132" s="63"/>
      <c r="AF132" s="63"/>
      <c r="AG132" s="63"/>
      <c r="AH132" s="63"/>
      <c r="AI132" s="63"/>
      <c r="AJ132" s="63"/>
      <c r="AK132" s="63"/>
      <c r="AL132" s="63"/>
      <c r="AM132" s="63"/>
      <c r="AN132" s="220"/>
      <c r="AO132" s="224"/>
      <c r="AP132" s="95" t="e">
        <f>IF(C132=VLOOKUP($A132,Feature_List!$A$2:$AO$101,MATCH(AP$1,Feature_List!$A$1:$AO$1,0),FALSE),"OK","BAD")</f>
        <v>#N/A</v>
      </c>
      <c r="AQ132" s="95" t="e">
        <f>IF(D132=VLOOKUP($A132,Feature_List!$A$2:$AO$101,MATCH(AQ$1,Feature_List!$A$1:$AO$1,0),FALSE),"OK","BAD")</f>
        <v>#N/A</v>
      </c>
      <c r="AR132" s="95" t="e">
        <f>IF(E132=VLOOKUP($A132,Feature_List!$A$2:$AO$101,MATCH(AR$1,Feature_List!$A$1:$AO$1,0),FALSE),"OK","BAD")</f>
        <v>#N/A</v>
      </c>
      <c r="AS132" s="95" t="e">
        <f>IF(F132=VLOOKUP($A132,Feature_List!$A$2:$AO$101,MATCH(AS$1,Feature_List!$A$1:$AO$1,0),FALSE),"OK","BAD")</f>
        <v>#N/A</v>
      </c>
      <c r="AT132" s="95" t="s">
        <v>985</v>
      </c>
      <c r="AU132" s="95" t="s">
        <v>985</v>
      </c>
      <c r="AV132" s="95" t="e">
        <f>IF(I132=VLOOKUP($A132,Feature_List!$A$2:$AO$101,MATCH(AV$1,Feature_List!$A$1:$AO$1,0),FALSE),"OK","BAD")</f>
        <v>#N/A</v>
      </c>
      <c r="AW132" s="95" t="e">
        <f>IF(J132=VLOOKUP($A132,Feature_List!$A$2:$AO$101,MATCH(AW$1,Feature_List!$A$1:$AO$1,0),FALSE),"OK","BAD")</f>
        <v>#N/A</v>
      </c>
      <c r="AX132" s="95" t="e">
        <f>IF(K132=VLOOKUP($A132,Feature_List!$A$2:$AO$101,MATCH(AX$1,Feature_List!$A$1:$AO$1,0),FALSE),"OK","BAD")</f>
        <v>#N/A</v>
      </c>
      <c r="AY132" s="95" t="e">
        <f>IF(L132=VLOOKUP($A132,Feature_List!$A$2:$AO$101,MATCH(AY$1,Feature_List!$A$1:$AO$1,0),FALSE),"OK","BAD")</f>
        <v>#N/A</v>
      </c>
      <c r="AZ132" s="95" t="e">
        <f>IF(M132=VLOOKUP($A132,Feature_List!$A$2:$AO$101,MATCH(AZ$1,Feature_List!$A$1:$AO$1,0),FALSE),"OK","BAD")</f>
        <v>#N/A</v>
      </c>
      <c r="BA132" s="95" t="e">
        <f>IF(N132=VLOOKUP($A132,Feature_List!$A$2:$AO$101,MATCH(BA$1,Feature_List!$A$1:$AO$1,0),FALSE),"OK","BAD")</f>
        <v>#N/A</v>
      </c>
      <c r="BB132" s="95" t="e">
        <f>IF(O132=VLOOKUP($A132,Feature_List!$A$2:$AO$101,MATCH(BB$1,Feature_List!$A$1:$AO$1,0),FALSE),"OK","BAD")</f>
        <v>#N/A</v>
      </c>
      <c r="BC132" s="95" t="e">
        <f>IF(P132=VLOOKUP($A132,Feature_List!$A$2:$AO$101,MATCH(BC$1,Feature_List!$A$1:$AO$1,0),FALSE),"OK","BAD")</f>
        <v>#N/A</v>
      </c>
      <c r="BD132" s="95" t="e">
        <f>IF(Q132=VLOOKUP($A132,Feature_List!$A$2:$AO$101,MATCH(BD$1,Feature_List!$A$1:$AO$1,0),FALSE),"OK","BAD")</f>
        <v>#N/A</v>
      </c>
      <c r="BE132" s="95" t="e">
        <f>IF(R132=VLOOKUP($A132,Feature_List!$A$2:$AO$101,MATCH(BE$1,Feature_List!$A$1:$AO$1,0),FALSE),"OK","BAD")</f>
        <v>#N/A</v>
      </c>
      <c r="BF132" s="95" t="e">
        <f>IF(S132=VLOOKUP($A132,Feature_List!$A$2:$AO$101,MATCH(BF$1,Feature_List!$A$1:$AO$1,0),FALSE),"OK","BAD")</f>
        <v>#N/A</v>
      </c>
      <c r="BG132" s="95" t="e">
        <f>IF(T132=VLOOKUP($A132,Feature_List!$A$2:$AO$101,MATCH(BG$1,Feature_List!$A$1:$AO$1,0),FALSE),"OK","BAD")</f>
        <v>#N/A</v>
      </c>
      <c r="BH132" s="95" t="e">
        <f>IF(U132=VLOOKUP($A132,Feature_List!$A$2:$AO$101,MATCH(BH$1,Feature_List!$A$1:$AO$1,0),FALSE),"OK","BAD")</f>
        <v>#N/A</v>
      </c>
      <c r="BI132" s="95" t="e">
        <f>IF(V132=VLOOKUP($A132,Feature_List!$A$2:$AO$101,MATCH(BI$1,Feature_List!$A$1:$AO$1,0),FALSE),"OK","BAD")</f>
        <v>#N/A</v>
      </c>
      <c r="BJ132" s="95" t="e">
        <f>IF(W132=VLOOKUP($A132,Feature_List!$A$2:$AO$101,MATCH(BJ$1,Feature_List!$A$1:$AO$1,0),FALSE),"OK","BAD")</f>
        <v>#N/A</v>
      </c>
      <c r="BK132" s="95" t="e">
        <f>IF(X132=VLOOKUP($A132,Feature_List!$A$2:$AO$101,MATCH(BK$1,Feature_List!$A$1:$AO$1,0),FALSE),"OK","BAD")</f>
        <v>#N/A</v>
      </c>
      <c r="BL132" s="95" t="e">
        <f>IF(Y132=VLOOKUP($A132,Feature_List!$A$2:$AO$101,MATCH(BL$1,Feature_List!$A$1:$AO$1,0),FALSE),"OK","BAD")</f>
        <v>#N/A</v>
      </c>
      <c r="BM132" s="95" t="e">
        <f>IF(Z132=VLOOKUP($A132,Feature_List!$A$2:$AO$101,MATCH(BM$1,Feature_List!$A$1:$AO$1,0),FALSE),"OK","BAD")</f>
        <v>#N/A</v>
      </c>
      <c r="BN132" s="95" t="e">
        <f>IF(AA132=VLOOKUP($A132,Feature_List!$A$2:$AO$101,MATCH(BN$1,Feature_List!$A$1:$AO$1,0),FALSE),"OK","BAD")</f>
        <v>#N/A</v>
      </c>
      <c r="BO132" s="95" t="e">
        <f>IF(AB132=VLOOKUP($A132,Feature_List!$A$2:$AO$101,MATCH(BO$1,Feature_List!$A$1:$AO$1,0),FALSE),"OK","BAD")</f>
        <v>#N/A</v>
      </c>
      <c r="BP132" s="95" t="e">
        <f>IF(AC132=VLOOKUP($A132,Feature_List!$A$2:$AO$101,MATCH(BP$1,Feature_List!$A$1:$AO$1,0),FALSE),"OK","BAD")</f>
        <v>#N/A</v>
      </c>
      <c r="BQ132" s="95" t="e">
        <f>IF(AD132=VLOOKUP($A132,Feature_List!$A$2:$AO$101,MATCH(BQ$1,Feature_List!$A$1:$AO$1,0),FALSE),"OK","BAD")</f>
        <v>#N/A</v>
      </c>
      <c r="BR132" s="95" t="e">
        <f>IF(AE132=VLOOKUP($A132,Feature_List!$A$2:$AO$101,MATCH(BR$1,Feature_List!$A$1:$AO$1,0),FALSE),"OK","BAD")</f>
        <v>#N/A</v>
      </c>
      <c r="BS132" s="95" t="e">
        <f>IF(AF132=VLOOKUP($A132,Feature_List!$A$2:$AO$101,MATCH(BS$1,Feature_List!$A$1:$AO$1,0),FALSE),"OK","BAD")</f>
        <v>#N/A</v>
      </c>
      <c r="BT132" s="95" t="e">
        <f>IF(AG132=VLOOKUP($A132,Feature_List!$A$2:$AO$101,MATCH(BT$1,Feature_List!$A$1:$AO$1,0),FALSE),"OK","BAD")</f>
        <v>#N/A</v>
      </c>
      <c r="BU132" s="95" t="e">
        <f>IF(AH132=VLOOKUP($A132,Feature_List!$A$2:$AO$101,MATCH(BU$1,Feature_List!$A$1:$AO$1,0),FALSE),"OK","BAD")</f>
        <v>#N/A</v>
      </c>
      <c r="BV132" s="95" t="e">
        <f>IF(AI132=VLOOKUP($A132,Feature_List!$A$2:$AO$101,MATCH(BV$1,Feature_List!$A$1:$AO$1,0),FALSE),"OK","BAD")</f>
        <v>#N/A</v>
      </c>
      <c r="BW132" s="95" t="e">
        <f>IF(AJ132=VLOOKUP($A132,Feature_List!$A$2:$AO$101,MATCH(BW$1,Feature_List!$A$1:$AO$1,0),FALSE),"OK","BAD")</f>
        <v>#N/A</v>
      </c>
      <c r="BX132" s="95" t="e">
        <f>IF(AK132=VLOOKUP($A132,Feature_List!$A$2:$AO$101,MATCH(BX$1,Feature_List!$A$1:$AO$1,0),FALSE),"OK","BAD")</f>
        <v>#N/A</v>
      </c>
      <c r="BY132" s="95" t="e">
        <f>IF(AL132=VLOOKUP($A132,Feature_List!$A$2:$AO$101,MATCH(BY$1,Feature_List!$A$1:$AO$1,0),FALSE),"OK","BAD")</f>
        <v>#N/A</v>
      </c>
      <c r="BZ132" s="95" t="e">
        <f>IF(AM132=VLOOKUP($A132,Feature_List!$A$2:$AO$101,MATCH(BZ$1,Feature_List!$A$1:$AO$1,0),FALSE),"OK","BAD")</f>
        <v>#N/A</v>
      </c>
      <c r="CA132" s="95" t="e">
        <f>IF(AN132=VLOOKUP($A132,Feature_List!$A$2:$AO$101,MATCH(CA$1,Feature_List!$A$1:$AO$1,0),FALSE),"OK","BAD")</f>
        <v>#N/A</v>
      </c>
    </row>
    <row r="133" spans="1:79" ht="14.4" customHeight="1" x14ac:dyDescent="0.3">
      <c r="A133" s="34"/>
      <c r="B133" s="65"/>
      <c r="C133" s="98"/>
      <c r="D133" s="65"/>
      <c r="E133" s="64"/>
      <c r="F133" s="64"/>
      <c r="G133" s="64"/>
      <c r="H133" s="64"/>
      <c r="I133" s="99"/>
      <c r="J133" s="64"/>
      <c r="K133" s="64"/>
      <c r="L133" s="62"/>
      <c r="M133" s="67"/>
      <c r="N133" s="67"/>
      <c r="O133" s="67"/>
      <c r="P133" s="66"/>
      <c r="Q133" s="63"/>
      <c r="R133" s="63"/>
      <c r="S133" s="63"/>
      <c r="T133" s="63"/>
      <c r="U133" s="63"/>
      <c r="V133" s="63"/>
      <c r="W133" s="63"/>
      <c r="X133" s="63"/>
      <c r="Y133" s="63"/>
      <c r="Z133" s="63"/>
      <c r="AA133" s="63"/>
      <c r="AB133" s="63"/>
      <c r="AC133" s="63"/>
      <c r="AD133" s="63"/>
      <c r="AE133" s="63"/>
      <c r="AF133" s="63"/>
      <c r="AG133" s="63"/>
      <c r="AH133" s="63"/>
      <c r="AI133" s="63"/>
      <c r="AJ133" s="63"/>
      <c r="AK133" s="63"/>
      <c r="AL133" s="63"/>
      <c r="AM133" s="63"/>
      <c r="AN133" s="220"/>
      <c r="AO133" s="224"/>
      <c r="AP133" s="95" t="e">
        <f>IF(C133=VLOOKUP($A133,Feature_List!$A$2:$AO$101,MATCH(AP$1,Feature_List!$A$1:$AO$1,0),FALSE),"OK","BAD")</f>
        <v>#N/A</v>
      </c>
      <c r="AQ133" s="95" t="e">
        <f>IF(D133=VLOOKUP($A133,Feature_List!$A$2:$AO$101,MATCH(AQ$1,Feature_List!$A$1:$AO$1,0),FALSE),"OK","BAD")</f>
        <v>#N/A</v>
      </c>
      <c r="AR133" s="95" t="e">
        <f>IF(E133=VLOOKUP($A133,Feature_List!$A$2:$AO$101,MATCH(AR$1,Feature_List!$A$1:$AO$1,0),FALSE),"OK","BAD")</f>
        <v>#N/A</v>
      </c>
      <c r="AS133" s="95" t="e">
        <f>IF(F133=VLOOKUP($A133,Feature_List!$A$2:$AO$101,MATCH(AS$1,Feature_List!$A$1:$AO$1,0),FALSE),"OK","BAD")</f>
        <v>#N/A</v>
      </c>
      <c r="AT133" s="95" t="s">
        <v>985</v>
      </c>
      <c r="AU133" s="95" t="s">
        <v>985</v>
      </c>
      <c r="AV133" s="95" t="e">
        <f>IF(I133=VLOOKUP($A133,Feature_List!$A$2:$AO$101,MATCH(AV$1,Feature_List!$A$1:$AO$1,0),FALSE),"OK","BAD")</f>
        <v>#N/A</v>
      </c>
      <c r="AW133" s="95" t="e">
        <f>IF(J133=VLOOKUP($A133,Feature_List!$A$2:$AO$101,MATCH(AW$1,Feature_List!$A$1:$AO$1,0),FALSE),"OK","BAD")</f>
        <v>#N/A</v>
      </c>
      <c r="AX133" s="95" t="e">
        <f>IF(K133=VLOOKUP($A133,Feature_List!$A$2:$AO$101,MATCH(AX$1,Feature_List!$A$1:$AO$1,0),FALSE),"OK","BAD")</f>
        <v>#N/A</v>
      </c>
      <c r="AY133" s="95" t="e">
        <f>IF(L133=VLOOKUP($A133,Feature_List!$A$2:$AO$101,MATCH(AY$1,Feature_List!$A$1:$AO$1,0),FALSE),"OK","BAD")</f>
        <v>#N/A</v>
      </c>
      <c r="AZ133" s="95" t="e">
        <f>IF(M133=VLOOKUP($A133,Feature_List!$A$2:$AO$101,MATCH(AZ$1,Feature_List!$A$1:$AO$1,0),FALSE),"OK","BAD")</f>
        <v>#N/A</v>
      </c>
      <c r="BA133" s="95" t="e">
        <f>IF(N133=VLOOKUP($A133,Feature_List!$A$2:$AO$101,MATCH(BA$1,Feature_List!$A$1:$AO$1,0),FALSE),"OK","BAD")</f>
        <v>#N/A</v>
      </c>
      <c r="BB133" s="95" t="e">
        <f>IF(O133=VLOOKUP($A133,Feature_List!$A$2:$AO$101,MATCH(BB$1,Feature_List!$A$1:$AO$1,0),FALSE),"OK","BAD")</f>
        <v>#N/A</v>
      </c>
      <c r="BC133" s="95" t="e">
        <f>IF(P133=VLOOKUP($A133,Feature_List!$A$2:$AO$101,MATCH(BC$1,Feature_List!$A$1:$AO$1,0),FALSE),"OK","BAD")</f>
        <v>#N/A</v>
      </c>
      <c r="BD133" s="95" t="e">
        <f>IF(Q133=VLOOKUP($A133,Feature_List!$A$2:$AO$101,MATCH(BD$1,Feature_List!$A$1:$AO$1,0),FALSE),"OK","BAD")</f>
        <v>#N/A</v>
      </c>
      <c r="BE133" s="95" t="e">
        <f>IF(R133=VLOOKUP($A133,Feature_List!$A$2:$AO$101,MATCH(BE$1,Feature_List!$A$1:$AO$1,0),FALSE),"OK","BAD")</f>
        <v>#N/A</v>
      </c>
      <c r="BF133" s="95" t="e">
        <f>IF(S133=VLOOKUP($A133,Feature_List!$A$2:$AO$101,MATCH(BF$1,Feature_List!$A$1:$AO$1,0),FALSE),"OK","BAD")</f>
        <v>#N/A</v>
      </c>
      <c r="BG133" s="95" t="e">
        <f>IF(T133=VLOOKUP($A133,Feature_List!$A$2:$AO$101,MATCH(BG$1,Feature_List!$A$1:$AO$1,0),FALSE),"OK","BAD")</f>
        <v>#N/A</v>
      </c>
      <c r="BH133" s="95" t="e">
        <f>IF(U133=VLOOKUP($A133,Feature_List!$A$2:$AO$101,MATCH(BH$1,Feature_List!$A$1:$AO$1,0),FALSE),"OK","BAD")</f>
        <v>#N/A</v>
      </c>
      <c r="BI133" s="95" t="e">
        <f>IF(V133=VLOOKUP($A133,Feature_List!$A$2:$AO$101,MATCH(BI$1,Feature_List!$A$1:$AO$1,0),FALSE),"OK","BAD")</f>
        <v>#N/A</v>
      </c>
      <c r="BJ133" s="95" t="e">
        <f>IF(W133=VLOOKUP($A133,Feature_List!$A$2:$AO$101,MATCH(BJ$1,Feature_List!$A$1:$AO$1,0),FALSE),"OK","BAD")</f>
        <v>#N/A</v>
      </c>
      <c r="BK133" s="95" t="e">
        <f>IF(X133=VLOOKUP($A133,Feature_List!$A$2:$AO$101,MATCH(BK$1,Feature_List!$A$1:$AO$1,0),FALSE),"OK","BAD")</f>
        <v>#N/A</v>
      </c>
      <c r="BL133" s="95" t="e">
        <f>IF(Y133=VLOOKUP($A133,Feature_List!$A$2:$AO$101,MATCH(BL$1,Feature_List!$A$1:$AO$1,0),FALSE),"OK","BAD")</f>
        <v>#N/A</v>
      </c>
      <c r="BM133" s="95" t="e">
        <f>IF(Z133=VLOOKUP($A133,Feature_List!$A$2:$AO$101,MATCH(BM$1,Feature_List!$A$1:$AO$1,0),FALSE),"OK","BAD")</f>
        <v>#N/A</v>
      </c>
      <c r="BN133" s="95" t="e">
        <f>IF(AA133=VLOOKUP($A133,Feature_List!$A$2:$AO$101,MATCH(BN$1,Feature_List!$A$1:$AO$1,0),FALSE),"OK","BAD")</f>
        <v>#N/A</v>
      </c>
      <c r="BO133" s="95" t="e">
        <f>IF(AB133=VLOOKUP($A133,Feature_List!$A$2:$AO$101,MATCH(BO$1,Feature_List!$A$1:$AO$1,0),FALSE),"OK","BAD")</f>
        <v>#N/A</v>
      </c>
      <c r="BP133" s="95" t="e">
        <f>IF(AC133=VLOOKUP($A133,Feature_List!$A$2:$AO$101,MATCH(BP$1,Feature_List!$A$1:$AO$1,0),FALSE),"OK","BAD")</f>
        <v>#N/A</v>
      </c>
      <c r="BQ133" s="95" t="e">
        <f>IF(AD133=VLOOKUP($A133,Feature_List!$A$2:$AO$101,MATCH(BQ$1,Feature_List!$A$1:$AO$1,0),FALSE),"OK","BAD")</f>
        <v>#N/A</v>
      </c>
      <c r="BR133" s="95" t="e">
        <f>IF(AE133=VLOOKUP($A133,Feature_List!$A$2:$AO$101,MATCH(BR$1,Feature_List!$A$1:$AO$1,0),FALSE),"OK","BAD")</f>
        <v>#N/A</v>
      </c>
      <c r="BS133" s="95" t="e">
        <f>IF(AF133=VLOOKUP($A133,Feature_List!$A$2:$AO$101,MATCH(BS$1,Feature_List!$A$1:$AO$1,0),FALSE),"OK","BAD")</f>
        <v>#N/A</v>
      </c>
      <c r="BT133" s="95" t="e">
        <f>IF(AG133=VLOOKUP($A133,Feature_List!$A$2:$AO$101,MATCH(BT$1,Feature_List!$A$1:$AO$1,0),FALSE),"OK","BAD")</f>
        <v>#N/A</v>
      </c>
      <c r="BU133" s="95" t="e">
        <f>IF(AH133=VLOOKUP($A133,Feature_List!$A$2:$AO$101,MATCH(BU$1,Feature_List!$A$1:$AO$1,0),FALSE),"OK","BAD")</f>
        <v>#N/A</v>
      </c>
      <c r="BV133" s="95" t="e">
        <f>IF(AI133=VLOOKUP($A133,Feature_List!$A$2:$AO$101,MATCH(BV$1,Feature_List!$A$1:$AO$1,0),FALSE),"OK","BAD")</f>
        <v>#N/A</v>
      </c>
      <c r="BW133" s="95" t="e">
        <f>IF(AJ133=VLOOKUP($A133,Feature_List!$A$2:$AO$101,MATCH(BW$1,Feature_List!$A$1:$AO$1,0),FALSE),"OK","BAD")</f>
        <v>#N/A</v>
      </c>
      <c r="BX133" s="95" t="e">
        <f>IF(AK133=VLOOKUP($A133,Feature_List!$A$2:$AO$101,MATCH(BX$1,Feature_List!$A$1:$AO$1,0),FALSE),"OK","BAD")</f>
        <v>#N/A</v>
      </c>
      <c r="BY133" s="95" t="e">
        <f>IF(AL133=VLOOKUP($A133,Feature_List!$A$2:$AO$101,MATCH(BY$1,Feature_List!$A$1:$AO$1,0),FALSE),"OK","BAD")</f>
        <v>#N/A</v>
      </c>
      <c r="BZ133" s="95" t="e">
        <f>IF(AM133=VLOOKUP($A133,Feature_List!$A$2:$AO$101,MATCH(BZ$1,Feature_List!$A$1:$AO$1,0),FALSE),"OK","BAD")</f>
        <v>#N/A</v>
      </c>
      <c r="CA133" s="95" t="e">
        <f>IF(AN133=VLOOKUP($A133,Feature_List!$A$2:$AO$101,MATCH(CA$1,Feature_List!$A$1:$AO$1,0),FALSE),"OK","BAD")</f>
        <v>#N/A</v>
      </c>
    </row>
    <row r="134" spans="1:79" ht="14.4" customHeight="1" x14ac:dyDescent="0.3">
      <c r="A134" s="34"/>
      <c r="B134" s="65"/>
      <c r="C134" s="98"/>
      <c r="D134" s="65"/>
      <c r="E134" s="64"/>
      <c r="F134" s="64"/>
      <c r="G134" s="64"/>
      <c r="H134" s="64"/>
      <c r="I134" s="99"/>
      <c r="J134" s="64"/>
      <c r="K134" s="64"/>
      <c r="L134" s="62"/>
      <c r="M134" s="67"/>
      <c r="N134" s="67"/>
      <c r="O134" s="67"/>
      <c r="P134" s="66"/>
      <c r="Q134" s="63"/>
      <c r="R134" s="63"/>
      <c r="S134" s="63"/>
      <c r="T134" s="63"/>
      <c r="U134" s="63"/>
      <c r="V134" s="63"/>
      <c r="W134" s="63"/>
      <c r="X134" s="63"/>
      <c r="Y134" s="63"/>
      <c r="Z134" s="63"/>
      <c r="AA134" s="63"/>
      <c r="AB134" s="63"/>
      <c r="AC134" s="63"/>
      <c r="AD134" s="63"/>
      <c r="AE134" s="63"/>
      <c r="AF134" s="63"/>
      <c r="AG134" s="63"/>
      <c r="AH134" s="63"/>
      <c r="AI134" s="63"/>
      <c r="AJ134" s="63"/>
      <c r="AK134" s="63"/>
      <c r="AL134" s="63"/>
      <c r="AM134" s="63"/>
      <c r="AN134" s="220"/>
      <c r="AO134" s="224"/>
      <c r="AP134" s="95" t="e">
        <f>IF(C134=VLOOKUP($A134,Feature_List!$A$2:$AO$101,MATCH(AP$1,Feature_List!$A$1:$AO$1,0),FALSE),"OK","BAD")</f>
        <v>#N/A</v>
      </c>
      <c r="AQ134" s="95" t="e">
        <f>IF(D134=VLOOKUP($A134,Feature_List!$A$2:$AO$101,MATCH(AQ$1,Feature_List!$A$1:$AO$1,0),FALSE),"OK","BAD")</f>
        <v>#N/A</v>
      </c>
      <c r="AR134" s="95" t="e">
        <f>IF(E134=VLOOKUP($A134,Feature_List!$A$2:$AO$101,MATCH(AR$1,Feature_List!$A$1:$AO$1,0),FALSE),"OK","BAD")</f>
        <v>#N/A</v>
      </c>
      <c r="AS134" s="95" t="e">
        <f>IF(F134=VLOOKUP($A134,Feature_List!$A$2:$AO$101,MATCH(AS$1,Feature_List!$A$1:$AO$1,0),FALSE),"OK","BAD")</f>
        <v>#N/A</v>
      </c>
      <c r="AT134" s="95" t="s">
        <v>985</v>
      </c>
      <c r="AU134" s="95" t="s">
        <v>985</v>
      </c>
      <c r="AV134" s="95" t="e">
        <f>IF(I134=VLOOKUP($A134,Feature_List!$A$2:$AO$101,MATCH(AV$1,Feature_List!$A$1:$AO$1,0),FALSE),"OK","BAD")</f>
        <v>#N/A</v>
      </c>
      <c r="AW134" s="95" t="e">
        <f>IF(J134=VLOOKUP($A134,Feature_List!$A$2:$AO$101,MATCH(AW$1,Feature_List!$A$1:$AO$1,0),FALSE),"OK","BAD")</f>
        <v>#N/A</v>
      </c>
      <c r="AX134" s="95" t="e">
        <f>IF(K134=VLOOKUP($A134,Feature_List!$A$2:$AO$101,MATCH(AX$1,Feature_List!$A$1:$AO$1,0),FALSE),"OK","BAD")</f>
        <v>#N/A</v>
      </c>
      <c r="AY134" s="95" t="e">
        <f>IF(L134=VLOOKUP($A134,Feature_List!$A$2:$AO$101,MATCH(AY$1,Feature_List!$A$1:$AO$1,0),FALSE),"OK","BAD")</f>
        <v>#N/A</v>
      </c>
      <c r="AZ134" s="95" t="e">
        <f>IF(M134=VLOOKUP($A134,Feature_List!$A$2:$AO$101,MATCH(AZ$1,Feature_List!$A$1:$AO$1,0),FALSE),"OK","BAD")</f>
        <v>#N/A</v>
      </c>
      <c r="BA134" s="95" t="e">
        <f>IF(N134=VLOOKUP($A134,Feature_List!$A$2:$AO$101,MATCH(BA$1,Feature_List!$A$1:$AO$1,0),FALSE),"OK","BAD")</f>
        <v>#N/A</v>
      </c>
      <c r="BB134" s="95" t="e">
        <f>IF(O134=VLOOKUP($A134,Feature_List!$A$2:$AO$101,MATCH(BB$1,Feature_List!$A$1:$AO$1,0),FALSE),"OK","BAD")</f>
        <v>#N/A</v>
      </c>
      <c r="BC134" s="95" t="e">
        <f>IF(P134=VLOOKUP($A134,Feature_List!$A$2:$AO$101,MATCH(BC$1,Feature_List!$A$1:$AO$1,0),FALSE),"OK","BAD")</f>
        <v>#N/A</v>
      </c>
      <c r="BD134" s="95" t="e">
        <f>IF(Q134=VLOOKUP($A134,Feature_List!$A$2:$AO$101,MATCH(BD$1,Feature_List!$A$1:$AO$1,0),FALSE),"OK","BAD")</f>
        <v>#N/A</v>
      </c>
      <c r="BE134" s="95" t="e">
        <f>IF(R134=VLOOKUP($A134,Feature_List!$A$2:$AO$101,MATCH(BE$1,Feature_List!$A$1:$AO$1,0),FALSE),"OK","BAD")</f>
        <v>#N/A</v>
      </c>
      <c r="BF134" s="95" t="e">
        <f>IF(S134=VLOOKUP($A134,Feature_List!$A$2:$AO$101,MATCH(BF$1,Feature_List!$A$1:$AO$1,0),FALSE),"OK","BAD")</f>
        <v>#N/A</v>
      </c>
      <c r="BG134" s="95" t="e">
        <f>IF(T134=VLOOKUP($A134,Feature_List!$A$2:$AO$101,MATCH(BG$1,Feature_List!$A$1:$AO$1,0),FALSE),"OK","BAD")</f>
        <v>#N/A</v>
      </c>
      <c r="BH134" s="95" t="e">
        <f>IF(U134=VLOOKUP($A134,Feature_List!$A$2:$AO$101,MATCH(BH$1,Feature_List!$A$1:$AO$1,0),FALSE),"OK","BAD")</f>
        <v>#N/A</v>
      </c>
      <c r="BI134" s="95" t="e">
        <f>IF(V134=VLOOKUP($A134,Feature_List!$A$2:$AO$101,MATCH(BI$1,Feature_List!$A$1:$AO$1,0),FALSE),"OK","BAD")</f>
        <v>#N/A</v>
      </c>
      <c r="BJ134" s="95" t="e">
        <f>IF(W134=VLOOKUP($A134,Feature_List!$A$2:$AO$101,MATCH(BJ$1,Feature_List!$A$1:$AO$1,0),FALSE),"OK","BAD")</f>
        <v>#N/A</v>
      </c>
      <c r="BK134" s="95" t="e">
        <f>IF(X134=VLOOKUP($A134,Feature_List!$A$2:$AO$101,MATCH(BK$1,Feature_List!$A$1:$AO$1,0),FALSE),"OK","BAD")</f>
        <v>#N/A</v>
      </c>
      <c r="BL134" s="95" t="e">
        <f>IF(Y134=VLOOKUP($A134,Feature_List!$A$2:$AO$101,MATCH(BL$1,Feature_List!$A$1:$AO$1,0),FALSE),"OK","BAD")</f>
        <v>#N/A</v>
      </c>
      <c r="BM134" s="95" t="e">
        <f>IF(Z134=VLOOKUP($A134,Feature_List!$A$2:$AO$101,MATCH(BM$1,Feature_List!$A$1:$AO$1,0),FALSE),"OK","BAD")</f>
        <v>#N/A</v>
      </c>
      <c r="BN134" s="95" t="e">
        <f>IF(AA134=VLOOKUP($A134,Feature_List!$A$2:$AO$101,MATCH(BN$1,Feature_List!$A$1:$AO$1,0),FALSE),"OK","BAD")</f>
        <v>#N/A</v>
      </c>
      <c r="BO134" s="95" t="e">
        <f>IF(AB134=VLOOKUP($A134,Feature_List!$A$2:$AO$101,MATCH(BO$1,Feature_List!$A$1:$AO$1,0),FALSE),"OK","BAD")</f>
        <v>#N/A</v>
      </c>
      <c r="BP134" s="95" t="e">
        <f>IF(AC134=VLOOKUP($A134,Feature_List!$A$2:$AO$101,MATCH(BP$1,Feature_List!$A$1:$AO$1,0),FALSE),"OK","BAD")</f>
        <v>#N/A</v>
      </c>
      <c r="BQ134" s="95" t="e">
        <f>IF(AD134=VLOOKUP($A134,Feature_List!$A$2:$AO$101,MATCH(BQ$1,Feature_List!$A$1:$AO$1,0),FALSE),"OK","BAD")</f>
        <v>#N/A</v>
      </c>
      <c r="BR134" s="95" t="e">
        <f>IF(AE134=VLOOKUP($A134,Feature_List!$A$2:$AO$101,MATCH(BR$1,Feature_List!$A$1:$AO$1,0),FALSE),"OK","BAD")</f>
        <v>#N/A</v>
      </c>
      <c r="BS134" s="95" t="e">
        <f>IF(AF134=VLOOKUP($A134,Feature_List!$A$2:$AO$101,MATCH(BS$1,Feature_List!$A$1:$AO$1,0),FALSE),"OK","BAD")</f>
        <v>#N/A</v>
      </c>
      <c r="BT134" s="95" t="e">
        <f>IF(AG134=VLOOKUP($A134,Feature_List!$A$2:$AO$101,MATCH(BT$1,Feature_List!$A$1:$AO$1,0),FALSE),"OK","BAD")</f>
        <v>#N/A</v>
      </c>
      <c r="BU134" s="95" t="e">
        <f>IF(AH134=VLOOKUP($A134,Feature_List!$A$2:$AO$101,MATCH(BU$1,Feature_List!$A$1:$AO$1,0),FALSE),"OK","BAD")</f>
        <v>#N/A</v>
      </c>
      <c r="BV134" s="95" t="e">
        <f>IF(AI134=VLOOKUP($A134,Feature_List!$A$2:$AO$101,MATCH(BV$1,Feature_List!$A$1:$AO$1,0),FALSE),"OK","BAD")</f>
        <v>#N/A</v>
      </c>
      <c r="BW134" s="95" t="e">
        <f>IF(AJ134=VLOOKUP($A134,Feature_List!$A$2:$AO$101,MATCH(BW$1,Feature_List!$A$1:$AO$1,0),FALSE),"OK","BAD")</f>
        <v>#N/A</v>
      </c>
      <c r="BX134" s="95" t="e">
        <f>IF(AK134=VLOOKUP($A134,Feature_List!$A$2:$AO$101,MATCH(BX$1,Feature_List!$A$1:$AO$1,0),FALSE),"OK","BAD")</f>
        <v>#N/A</v>
      </c>
      <c r="BY134" s="95" t="e">
        <f>IF(AL134=VLOOKUP($A134,Feature_List!$A$2:$AO$101,MATCH(BY$1,Feature_List!$A$1:$AO$1,0),FALSE),"OK","BAD")</f>
        <v>#N/A</v>
      </c>
      <c r="BZ134" s="95" t="e">
        <f>IF(AM134=VLOOKUP($A134,Feature_List!$A$2:$AO$101,MATCH(BZ$1,Feature_List!$A$1:$AO$1,0),FALSE),"OK","BAD")</f>
        <v>#N/A</v>
      </c>
      <c r="CA134" s="95" t="e">
        <f>IF(AN134=VLOOKUP($A134,Feature_List!$A$2:$AO$101,MATCH(CA$1,Feature_List!$A$1:$AO$1,0),FALSE),"OK","BAD")</f>
        <v>#N/A</v>
      </c>
    </row>
    <row r="135" spans="1:79" ht="14.4" customHeight="1" x14ac:dyDescent="0.3">
      <c r="A135" s="34"/>
      <c r="B135" s="73"/>
      <c r="C135" s="98"/>
      <c r="D135" s="64"/>
      <c r="E135" s="22"/>
      <c r="F135" s="22"/>
      <c r="G135" s="22"/>
      <c r="H135" s="64"/>
      <c r="I135" s="22"/>
      <c r="J135" s="64"/>
      <c r="K135" s="64"/>
      <c r="L135" s="62"/>
      <c r="M135" s="17"/>
      <c r="N135" s="17"/>
      <c r="O135" s="17"/>
      <c r="P135" s="63"/>
      <c r="Q135" s="55"/>
      <c r="R135" s="55"/>
      <c r="S135" s="55"/>
      <c r="T135" s="55"/>
      <c r="U135" s="55"/>
      <c r="V135" s="55"/>
      <c r="W135" s="55"/>
      <c r="X135" s="55"/>
      <c r="Y135" s="55"/>
      <c r="Z135" s="55"/>
      <c r="AA135" s="55"/>
      <c r="AB135" s="55"/>
      <c r="AC135" s="55"/>
      <c r="AD135" s="55"/>
      <c r="AE135" s="55"/>
      <c r="AF135" s="55"/>
      <c r="AG135" s="55"/>
      <c r="AH135" s="55"/>
      <c r="AI135" s="55"/>
      <c r="AJ135" s="55"/>
      <c r="AK135" s="55"/>
      <c r="AL135" s="55"/>
      <c r="AM135" s="55"/>
      <c r="AN135" s="222"/>
      <c r="AO135" s="224"/>
      <c r="AP135" s="95" t="e">
        <f>IF(C135=VLOOKUP($A135,Feature_List!$A$2:$AO$101,MATCH(AP$1,Feature_List!$A$1:$AO$1,0),FALSE),"OK","BAD")</f>
        <v>#N/A</v>
      </c>
      <c r="AQ135" s="95" t="e">
        <f>IF(D135=VLOOKUP($A135,Feature_List!$A$2:$AO$101,MATCH(AQ$1,Feature_List!$A$1:$AO$1,0),FALSE),"OK","BAD")</f>
        <v>#N/A</v>
      </c>
      <c r="AR135" s="95" t="e">
        <f>IF(E135=VLOOKUP($A135,Feature_List!$A$2:$AO$101,MATCH(AR$1,Feature_List!$A$1:$AO$1,0),FALSE),"OK","BAD")</f>
        <v>#N/A</v>
      </c>
      <c r="AS135" s="95" t="e">
        <f>IF(F135=VLOOKUP($A135,Feature_List!$A$2:$AO$101,MATCH(AS$1,Feature_List!$A$1:$AO$1,0),FALSE),"OK","BAD")</f>
        <v>#N/A</v>
      </c>
      <c r="AT135" s="95" t="s">
        <v>985</v>
      </c>
      <c r="AU135" s="95" t="s">
        <v>985</v>
      </c>
      <c r="AV135" s="95" t="e">
        <f>IF(I135=VLOOKUP($A135,Feature_List!$A$2:$AO$101,MATCH(AV$1,Feature_List!$A$1:$AO$1,0),FALSE),"OK","BAD")</f>
        <v>#N/A</v>
      </c>
      <c r="AW135" s="95" t="e">
        <f>IF(J135=VLOOKUP($A135,Feature_List!$A$2:$AO$101,MATCH(AW$1,Feature_List!$A$1:$AO$1,0),FALSE),"OK","BAD")</f>
        <v>#N/A</v>
      </c>
      <c r="AX135" s="95" t="e">
        <f>IF(K135=VLOOKUP($A135,Feature_List!$A$2:$AO$101,MATCH(AX$1,Feature_List!$A$1:$AO$1,0),FALSE),"OK","BAD")</f>
        <v>#N/A</v>
      </c>
      <c r="AY135" s="95" t="e">
        <f>IF(L135=VLOOKUP($A135,Feature_List!$A$2:$AO$101,MATCH(AY$1,Feature_List!$A$1:$AO$1,0),FALSE),"OK","BAD")</f>
        <v>#N/A</v>
      </c>
      <c r="AZ135" s="95" t="e">
        <f>IF(M135=VLOOKUP($A135,Feature_List!$A$2:$AO$101,MATCH(AZ$1,Feature_List!$A$1:$AO$1,0),FALSE),"OK","BAD")</f>
        <v>#N/A</v>
      </c>
      <c r="BA135" s="95" t="e">
        <f>IF(N135=VLOOKUP($A135,Feature_List!$A$2:$AO$101,MATCH(BA$1,Feature_List!$A$1:$AO$1,0),FALSE),"OK","BAD")</f>
        <v>#N/A</v>
      </c>
      <c r="BB135" s="95" t="e">
        <f>IF(O135=VLOOKUP($A135,Feature_List!$A$2:$AO$101,MATCH(BB$1,Feature_List!$A$1:$AO$1,0),FALSE),"OK","BAD")</f>
        <v>#N/A</v>
      </c>
      <c r="BC135" s="95" t="e">
        <f>IF(P135=VLOOKUP($A135,Feature_List!$A$2:$AO$101,MATCH(BC$1,Feature_List!$A$1:$AO$1,0),FALSE),"OK","BAD")</f>
        <v>#N/A</v>
      </c>
      <c r="BD135" s="95" t="e">
        <f>IF(Q135=VLOOKUP($A135,Feature_List!$A$2:$AO$101,MATCH(BD$1,Feature_List!$A$1:$AO$1,0),FALSE),"OK","BAD")</f>
        <v>#N/A</v>
      </c>
      <c r="BE135" s="95" t="e">
        <f>IF(R135=VLOOKUP($A135,Feature_List!$A$2:$AO$101,MATCH(BE$1,Feature_List!$A$1:$AO$1,0),FALSE),"OK","BAD")</f>
        <v>#N/A</v>
      </c>
      <c r="BF135" s="95" t="e">
        <f>IF(S135=VLOOKUP($A135,Feature_List!$A$2:$AO$101,MATCH(BF$1,Feature_List!$A$1:$AO$1,0),FALSE),"OK","BAD")</f>
        <v>#N/A</v>
      </c>
      <c r="BG135" s="95" t="e">
        <f>IF(T135=VLOOKUP($A135,Feature_List!$A$2:$AO$101,MATCH(BG$1,Feature_List!$A$1:$AO$1,0),FALSE),"OK","BAD")</f>
        <v>#N/A</v>
      </c>
      <c r="BH135" s="95" t="e">
        <f>IF(U135=VLOOKUP($A135,Feature_List!$A$2:$AO$101,MATCH(BH$1,Feature_List!$A$1:$AO$1,0),FALSE),"OK","BAD")</f>
        <v>#N/A</v>
      </c>
      <c r="BI135" s="95" t="e">
        <f>IF(V135=VLOOKUP($A135,Feature_List!$A$2:$AO$101,MATCH(BI$1,Feature_List!$A$1:$AO$1,0),FALSE),"OK","BAD")</f>
        <v>#N/A</v>
      </c>
      <c r="BJ135" s="95" t="e">
        <f>IF(W135=VLOOKUP($A135,Feature_List!$A$2:$AO$101,MATCH(BJ$1,Feature_List!$A$1:$AO$1,0),FALSE),"OK","BAD")</f>
        <v>#N/A</v>
      </c>
      <c r="BK135" s="95" t="e">
        <f>IF(X135=VLOOKUP($A135,Feature_List!$A$2:$AO$101,MATCH(BK$1,Feature_List!$A$1:$AO$1,0),FALSE),"OK","BAD")</f>
        <v>#N/A</v>
      </c>
      <c r="BL135" s="95" t="e">
        <f>IF(Y135=VLOOKUP($A135,Feature_List!$A$2:$AO$101,MATCH(BL$1,Feature_List!$A$1:$AO$1,0),FALSE),"OK","BAD")</f>
        <v>#N/A</v>
      </c>
      <c r="BM135" s="95" t="e">
        <f>IF(Z135=VLOOKUP($A135,Feature_List!$A$2:$AO$101,MATCH(BM$1,Feature_List!$A$1:$AO$1,0),FALSE),"OK","BAD")</f>
        <v>#N/A</v>
      </c>
      <c r="BN135" s="95" t="e">
        <f>IF(AA135=VLOOKUP($A135,Feature_List!$A$2:$AO$101,MATCH(BN$1,Feature_List!$A$1:$AO$1,0),FALSE),"OK","BAD")</f>
        <v>#N/A</v>
      </c>
      <c r="BO135" s="95" t="e">
        <f>IF(AB135=VLOOKUP($A135,Feature_List!$A$2:$AO$101,MATCH(BO$1,Feature_List!$A$1:$AO$1,0),FALSE),"OK","BAD")</f>
        <v>#N/A</v>
      </c>
      <c r="BP135" s="95" t="e">
        <f>IF(AC135=VLOOKUP($A135,Feature_List!$A$2:$AO$101,MATCH(BP$1,Feature_List!$A$1:$AO$1,0),FALSE),"OK","BAD")</f>
        <v>#N/A</v>
      </c>
      <c r="BQ135" s="95" t="e">
        <f>IF(AD135=VLOOKUP($A135,Feature_List!$A$2:$AO$101,MATCH(BQ$1,Feature_List!$A$1:$AO$1,0),FALSE),"OK","BAD")</f>
        <v>#N/A</v>
      </c>
      <c r="BR135" s="95" t="e">
        <f>IF(AE135=VLOOKUP($A135,Feature_List!$A$2:$AO$101,MATCH(BR$1,Feature_List!$A$1:$AO$1,0),FALSE),"OK","BAD")</f>
        <v>#N/A</v>
      </c>
      <c r="BS135" s="95" t="e">
        <f>IF(AF135=VLOOKUP($A135,Feature_List!$A$2:$AO$101,MATCH(BS$1,Feature_List!$A$1:$AO$1,0),FALSE),"OK","BAD")</f>
        <v>#N/A</v>
      </c>
      <c r="BT135" s="95" t="e">
        <f>IF(AG135=VLOOKUP($A135,Feature_List!$A$2:$AO$101,MATCH(BT$1,Feature_List!$A$1:$AO$1,0),FALSE),"OK","BAD")</f>
        <v>#N/A</v>
      </c>
      <c r="BU135" s="95" t="e">
        <f>IF(AH135=VLOOKUP($A135,Feature_List!$A$2:$AO$101,MATCH(BU$1,Feature_List!$A$1:$AO$1,0),FALSE),"OK","BAD")</f>
        <v>#N/A</v>
      </c>
      <c r="BV135" s="95" t="e">
        <f>IF(AI135=VLOOKUP($A135,Feature_List!$A$2:$AO$101,MATCH(BV$1,Feature_List!$A$1:$AO$1,0),FALSE),"OK","BAD")</f>
        <v>#N/A</v>
      </c>
      <c r="BW135" s="95" t="e">
        <f>IF(AJ135=VLOOKUP($A135,Feature_List!$A$2:$AO$101,MATCH(BW$1,Feature_List!$A$1:$AO$1,0),FALSE),"OK","BAD")</f>
        <v>#N/A</v>
      </c>
      <c r="BX135" s="95" t="e">
        <f>IF(AK135=VLOOKUP($A135,Feature_List!$A$2:$AO$101,MATCH(BX$1,Feature_List!$A$1:$AO$1,0),FALSE),"OK","BAD")</f>
        <v>#N/A</v>
      </c>
      <c r="BY135" s="95" t="e">
        <f>IF(AL135=VLOOKUP($A135,Feature_List!$A$2:$AO$101,MATCH(BY$1,Feature_List!$A$1:$AO$1,0),FALSE),"OK","BAD")</f>
        <v>#N/A</v>
      </c>
      <c r="BZ135" s="95" t="e">
        <f>IF(AM135=VLOOKUP($A135,Feature_List!$A$2:$AO$101,MATCH(BZ$1,Feature_List!$A$1:$AO$1,0),FALSE),"OK","BAD")</f>
        <v>#N/A</v>
      </c>
      <c r="CA135" s="95" t="e">
        <f>IF(AN135=VLOOKUP($A135,Feature_List!$A$2:$AO$101,MATCH(CA$1,Feature_List!$A$1:$AO$1,0),FALSE),"OK","BAD")</f>
        <v>#N/A</v>
      </c>
    </row>
    <row r="136" spans="1:79" ht="14.4" customHeight="1" x14ac:dyDescent="0.3">
      <c r="A136" s="34"/>
      <c r="B136" s="34"/>
      <c r="C136" s="34"/>
      <c r="D136" s="34"/>
      <c r="E136" s="54"/>
      <c r="F136" s="34"/>
      <c r="G136" s="34"/>
      <c r="H136" s="34"/>
      <c r="I136" s="34"/>
      <c r="J136" s="34"/>
      <c r="K136" s="34"/>
      <c r="L136" s="96"/>
      <c r="M136" s="34"/>
      <c r="N136" s="34"/>
      <c r="O136" s="34"/>
      <c r="P136" s="34"/>
      <c r="Q136" s="54"/>
      <c r="R136" s="34"/>
      <c r="S136" s="54"/>
      <c r="T136" s="54"/>
      <c r="U136" s="54"/>
      <c r="V136" s="54"/>
      <c r="W136" s="54"/>
      <c r="X136" s="54"/>
      <c r="Y136" s="54"/>
      <c r="Z136" s="54"/>
      <c r="AA136" s="54"/>
      <c r="AB136" s="54"/>
      <c r="AC136" s="54"/>
      <c r="AD136" s="54"/>
      <c r="AE136" s="54"/>
      <c r="AF136" s="54"/>
      <c r="AG136" s="54"/>
      <c r="AH136" s="54"/>
      <c r="AI136" s="54"/>
      <c r="AJ136" s="54"/>
      <c r="AK136" s="54"/>
      <c r="AL136" s="54"/>
      <c r="AM136" s="54"/>
      <c r="AN136" s="221"/>
      <c r="AO136" s="224"/>
      <c r="AP136" s="95" t="e">
        <f>IF(C136=VLOOKUP($A136,Feature_List!$A$2:$AO$101,MATCH(AP$1,Feature_List!$A$1:$AO$1,0),FALSE),"OK","BAD")</f>
        <v>#N/A</v>
      </c>
      <c r="AQ136" s="95" t="e">
        <f>IF(D136=VLOOKUP($A136,Feature_List!$A$2:$AO$101,MATCH(AQ$1,Feature_List!$A$1:$AO$1,0),FALSE),"OK","BAD")</f>
        <v>#N/A</v>
      </c>
      <c r="AR136" s="95" t="e">
        <f>IF(E136=VLOOKUP($A136,Feature_List!$A$2:$AO$101,MATCH(AR$1,Feature_List!$A$1:$AO$1,0),FALSE),"OK","BAD")</f>
        <v>#N/A</v>
      </c>
      <c r="AS136" s="95" t="e">
        <f>IF(F136=VLOOKUP($A136,Feature_List!$A$2:$AO$101,MATCH(AS$1,Feature_List!$A$1:$AO$1,0),FALSE),"OK","BAD")</f>
        <v>#N/A</v>
      </c>
      <c r="AT136" s="95" t="s">
        <v>985</v>
      </c>
      <c r="AU136" s="95" t="s">
        <v>985</v>
      </c>
      <c r="AV136" s="95" t="e">
        <f>IF(I136=VLOOKUP($A136,Feature_List!$A$2:$AO$101,MATCH(AV$1,Feature_List!$A$1:$AO$1,0),FALSE),"OK","BAD")</f>
        <v>#N/A</v>
      </c>
      <c r="AW136" s="95" t="e">
        <f>IF(J136=VLOOKUP($A136,Feature_List!$A$2:$AO$101,MATCH(AW$1,Feature_List!$A$1:$AO$1,0),FALSE),"OK","BAD")</f>
        <v>#N/A</v>
      </c>
      <c r="AX136" s="95" t="e">
        <f>IF(K136=VLOOKUP($A136,Feature_List!$A$2:$AO$101,MATCH(AX$1,Feature_List!$A$1:$AO$1,0),FALSE),"OK","BAD")</f>
        <v>#N/A</v>
      </c>
      <c r="AY136" s="95" t="e">
        <f>IF(L136=VLOOKUP($A136,Feature_List!$A$2:$AO$101,MATCH(AY$1,Feature_List!$A$1:$AO$1,0),FALSE),"OK","BAD")</f>
        <v>#N/A</v>
      </c>
      <c r="AZ136" s="95" t="e">
        <f>IF(M136=VLOOKUP($A136,Feature_List!$A$2:$AO$101,MATCH(AZ$1,Feature_List!$A$1:$AO$1,0),FALSE),"OK","BAD")</f>
        <v>#N/A</v>
      </c>
      <c r="BA136" s="95" t="e">
        <f>IF(N136=VLOOKUP($A136,Feature_List!$A$2:$AO$101,MATCH(BA$1,Feature_List!$A$1:$AO$1,0),FALSE),"OK","BAD")</f>
        <v>#N/A</v>
      </c>
      <c r="BB136" s="95" t="e">
        <f>IF(O136=VLOOKUP($A136,Feature_List!$A$2:$AO$101,MATCH(BB$1,Feature_List!$A$1:$AO$1,0),FALSE),"OK","BAD")</f>
        <v>#N/A</v>
      </c>
      <c r="BC136" s="95" t="e">
        <f>IF(P136=VLOOKUP($A136,Feature_List!$A$2:$AO$101,MATCH(BC$1,Feature_List!$A$1:$AO$1,0),FALSE),"OK","BAD")</f>
        <v>#N/A</v>
      </c>
      <c r="BD136" s="95" t="e">
        <f>IF(Q136=VLOOKUP($A136,Feature_List!$A$2:$AO$101,MATCH(BD$1,Feature_List!$A$1:$AO$1,0),FALSE),"OK","BAD")</f>
        <v>#N/A</v>
      </c>
      <c r="BE136" s="95" t="e">
        <f>IF(R136=VLOOKUP($A136,Feature_List!$A$2:$AO$101,MATCH(BE$1,Feature_List!$A$1:$AO$1,0),FALSE),"OK","BAD")</f>
        <v>#N/A</v>
      </c>
      <c r="BF136" s="95" t="e">
        <f>IF(S136=VLOOKUP($A136,Feature_List!$A$2:$AO$101,MATCH(BF$1,Feature_List!$A$1:$AO$1,0),FALSE),"OK","BAD")</f>
        <v>#N/A</v>
      </c>
      <c r="BG136" s="95" t="e">
        <f>IF(T136=VLOOKUP($A136,Feature_List!$A$2:$AO$101,MATCH(BG$1,Feature_List!$A$1:$AO$1,0),FALSE),"OK","BAD")</f>
        <v>#N/A</v>
      </c>
      <c r="BH136" s="95" t="e">
        <f>IF(U136=VLOOKUP($A136,Feature_List!$A$2:$AO$101,MATCH(BH$1,Feature_List!$A$1:$AO$1,0),FALSE),"OK","BAD")</f>
        <v>#N/A</v>
      </c>
      <c r="BI136" s="95" t="e">
        <f>IF(V136=VLOOKUP($A136,Feature_List!$A$2:$AO$101,MATCH(BI$1,Feature_List!$A$1:$AO$1,0),FALSE),"OK","BAD")</f>
        <v>#N/A</v>
      </c>
      <c r="BJ136" s="95" t="e">
        <f>IF(W136=VLOOKUP($A136,Feature_List!$A$2:$AO$101,MATCH(BJ$1,Feature_List!$A$1:$AO$1,0),FALSE),"OK","BAD")</f>
        <v>#N/A</v>
      </c>
      <c r="BK136" s="95" t="e">
        <f>IF(X136=VLOOKUP($A136,Feature_List!$A$2:$AO$101,MATCH(BK$1,Feature_List!$A$1:$AO$1,0),FALSE),"OK","BAD")</f>
        <v>#N/A</v>
      </c>
      <c r="BL136" s="95" t="e">
        <f>IF(Y136=VLOOKUP($A136,Feature_List!$A$2:$AO$101,MATCH(BL$1,Feature_List!$A$1:$AO$1,0),FALSE),"OK","BAD")</f>
        <v>#N/A</v>
      </c>
      <c r="BM136" s="95" t="e">
        <f>IF(Z136=VLOOKUP($A136,Feature_List!$A$2:$AO$101,MATCH(BM$1,Feature_List!$A$1:$AO$1,0),FALSE),"OK","BAD")</f>
        <v>#N/A</v>
      </c>
      <c r="BN136" s="95" t="e">
        <f>IF(AA136=VLOOKUP($A136,Feature_List!$A$2:$AO$101,MATCH(BN$1,Feature_List!$A$1:$AO$1,0),FALSE),"OK","BAD")</f>
        <v>#N/A</v>
      </c>
      <c r="BO136" s="95" t="e">
        <f>IF(AB136=VLOOKUP($A136,Feature_List!$A$2:$AO$101,MATCH(BO$1,Feature_List!$A$1:$AO$1,0),FALSE),"OK","BAD")</f>
        <v>#N/A</v>
      </c>
      <c r="BP136" s="95" t="e">
        <f>IF(AC136=VLOOKUP($A136,Feature_List!$A$2:$AO$101,MATCH(BP$1,Feature_List!$A$1:$AO$1,0),FALSE),"OK","BAD")</f>
        <v>#N/A</v>
      </c>
      <c r="BQ136" s="95" t="e">
        <f>IF(AD136=VLOOKUP($A136,Feature_List!$A$2:$AO$101,MATCH(BQ$1,Feature_List!$A$1:$AO$1,0),FALSE),"OK","BAD")</f>
        <v>#N/A</v>
      </c>
      <c r="BR136" s="95" t="e">
        <f>IF(AE136=VLOOKUP($A136,Feature_List!$A$2:$AO$101,MATCH(BR$1,Feature_List!$A$1:$AO$1,0),FALSE),"OK","BAD")</f>
        <v>#N/A</v>
      </c>
      <c r="BS136" s="95" t="e">
        <f>IF(AF136=VLOOKUP($A136,Feature_List!$A$2:$AO$101,MATCH(BS$1,Feature_List!$A$1:$AO$1,0),FALSE),"OK","BAD")</f>
        <v>#N/A</v>
      </c>
      <c r="BT136" s="95" t="e">
        <f>IF(AG136=VLOOKUP($A136,Feature_List!$A$2:$AO$101,MATCH(BT$1,Feature_List!$A$1:$AO$1,0),FALSE),"OK","BAD")</f>
        <v>#N/A</v>
      </c>
      <c r="BU136" s="95" t="e">
        <f>IF(AH136=VLOOKUP($A136,Feature_List!$A$2:$AO$101,MATCH(BU$1,Feature_List!$A$1:$AO$1,0),FALSE),"OK","BAD")</f>
        <v>#N/A</v>
      </c>
      <c r="BV136" s="95" t="e">
        <f>IF(AI136=VLOOKUP($A136,Feature_List!$A$2:$AO$101,MATCH(BV$1,Feature_List!$A$1:$AO$1,0),FALSE),"OK","BAD")</f>
        <v>#N/A</v>
      </c>
      <c r="BW136" s="95" t="e">
        <f>IF(AJ136=VLOOKUP($A136,Feature_List!$A$2:$AO$101,MATCH(BW$1,Feature_List!$A$1:$AO$1,0),FALSE),"OK","BAD")</f>
        <v>#N/A</v>
      </c>
      <c r="BX136" s="95" t="e">
        <f>IF(AK136=VLOOKUP($A136,Feature_List!$A$2:$AO$101,MATCH(BX$1,Feature_List!$A$1:$AO$1,0),FALSE),"OK","BAD")</f>
        <v>#N/A</v>
      </c>
      <c r="BY136" s="95" t="e">
        <f>IF(AL136=VLOOKUP($A136,Feature_List!$A$2:$AO$101,MATCH(BY$1,Feature_List!$A$1:$AO$1,0),FALSE),"OK","BAD")</f>
        <v>#N/A</v>
      </c>
      <c r="BZ136" s="95" t="e">
        <f>IF(AM136=VLOOKUP($A136,Feature_List!$A$2:$AO$101,MATCH(BZ$1,Feature_List!$A$1:$AO$1,0),FALSE),"OK","BAD")</f>
        <v>#N/A</v>
      </c>
      <c r="CA136" s="95" t="e">
        <f>IF(AN136=VLOOKUP($A136,Feature_List!$A$2:$AO$101,MATCH(CA$1,Feature_List!$A$1:$AO$1,0),FALSE),"OK","BAD")</f>
        <v>#N/A</v>
      </c>
    </row>
    <row r="137" spans="1:79" ht="14.4" customHeight="1" x14ac:dyDescent="0.3">
      <c r="A137" s="34"/>
      <c r="B137" s="34"/>
      <c r="C137" s="34"/>
      <c r="D137" s="34"/>
      <c r="E137" s="54"/>
      <c r="F137" s="34"/>
      <c r="G137" s="34"/>
      <c r="H137" s="34"/>
      <c r="I137" s="34"/>
      <c r="J137" s="34"/>
      <c r="K137" s="34"/>
      <c r="L137" s="96"/>
      <c r="M137" s="34"/>
      <c r="N137" s="34"/>
      <c r="O137" s="34"/>
      <c r="P137" s="34"/>
      <c r="Q137" s="54"/>
      <c r="R137" s="34"/>
      <c r="S137" s="54"/>
      <c r="T137" s="54"/>
      <c r="U137" s="54"/>
      <c r="V137" s="54"/>
      <c r="W137" s="54"/>
      <c r="X137" s="54"/>
      <c r="Y137" s="54"/>
      <c r="Z137" s="54"/>
      <c r="AA137" s="54"/>
      <c r="AB137" s="54"/>
      <c r="AC137" s="54"/>
      <c r="AD137" s="54"/>
      <c r="AE137" s="54"/>
      <c r="AF137" s="54"/>
      <c r="AG137" s="54"/>
      <c r="AH137" s="54"/>
      <c r="AI137" s="54"/>
      <c r="AJ137" s="54"/>
      <c r="AK137" s="54"/>
      <c r="AL137" s="54"/>
      <c r="AM137" s="54"/>
      <c r="AN137" s="54"/>
      <c r="AO137" s="224"/>
      <c r="AP137" s="95" t="e">
        <f>IF(C137=VLOOKUP($A137,Feature_List!$A$2:$AO$101,MATCH(AP$1,Feature_List!$A$1:$AO$1,0),FALSE),"OK","BAD")</f>
        <v>#N/A</v>
      </c>
      <c r="AQ137" s="95" t="e">
        <f>IF(D137=VLOOKUP($A137,Feature_List!$A$2:$AO$101,MATCH(AQ$1,Feature_List!$A$1:$AO$1,0),FALSE),"OK","BAD")</f>
        <v>#N/A</v>
      </c>
      <c r="AR137" s="95" t="e">
        <f>IF(E137=VLOOKUP($A137,Feature_List!$A$2:$AO$101,MATCH(AR$1,Feature_List!$A$1:$AO$1,0),FALSE),"OK","BAD")</f>
        <v>#N/A</v>
      </c>
      <c r="AS137" s="95" t="e">
        <f>IF(F137=VLOOKUP($A137,Feature_List!$A$2:$AO$101,MATCH(AS$1,Feature_List!$A$1:$AO$1,0),FALSE),"OK","BAD")</f>
        <v>#N/A</v>
      </c>
      <c r="AT137" s="95" t="s">
        <v>985</v>
      </c>
      <c r="AU137" s="95" t="s">
        <v>985</v>
      </c>
      <c r="AV137" s="95" t="e">
        <f>IF(I137=VLOOKUP($A137,Feature_List!$A$2:$AO$101,MATCH(AV$1,Feature_List!$A$1:$AO$1,0),FALSE),"OK","BAD")</f>
        <v>#N/A</v>
      </c>
      <c r="AW137" s="95" t="e">
        <f>IF(J137=VLOOKUP($A137,Feature_List!$A$2:$AO$101,MATCH(AW$1,Feature_List!$A$1:$AO$1,0),FALSE),"OK","BAD")</f>
        <v>#N/A</v>
      </c>
      <c r="AX137" s="95" t="e">
        <f>IF(K137=VLOOKUP($A137,Feature_List!$A$2:$AO$101,MATCH(AX$1,Feature_List!$A$1:$AO$1,0),FALSE),"OK","BAD")</f>
        <v>#N/A</v>
      </c>
      <c r="AY137" s="95" t="e">
        <f>IF(L137=VLOOKUP($A137,Feature_List!$A$2:$AO$101,MATCH(AY$1,Feature_List!$A$1:$AO$1,0),FALSE),"OK","BAD")</f>
        <v>#N/A</v>
      </c>
      <c r="AZ137" s="95" t="e">
        <f>IF(M137=VLOOKUP($A137,Feature_List!$A$2:$AO$101,MATCH(AZ$1,Feature_List!$A$1:$AO$1,0),FALSE),"OK","BAD")</f>
        <v>#N/A</v>
      </c>
      <c r="BA137" s="95" t="e">
        <f>IF(N137=VLOOKUP($A137,Feature_List!$A$2:$AO$101,MATCH(BA$1,Feature_List!$A$1:$AO$1,0),FALSE),"OK","BAD")</f>
        <v>#N/A</v>
      </c>
      <c r="BB137" s="95" t="e">
        <f>IF(O137=VLOOKUP($A137,Feature_List!$A$2:$AO$101,MATCH(BB$1,Feature_List!$A$1:$AO$1,0),FALSE),"OK","BAD")</f>
        <v>#N/A</v>
      </c>
      <c r="BC137" s="95" t="e">
        <f>IF(P137=VLOOKUP($A137,Feature_List!$A$2:$AO$101,MATCH(BC$1,Feature_List!$A$1:$AO$1,0),FALSE),"OK","BAD")</f>
        <v>#N/A</v>
      </c>
      <c r="BD137" s="95" t="e">
        <f>IF(Q137=VLOOKUP($A137,Feature_List!$A$2:$AO$101,MATCH(BD$1,Feature_List!$A$1:$AO$1,0),FALSE),"OK","BAD")</f>
        <v>#N/A</v>
      </c>
      <c r="BE137" s="95" t="e">
        <f>IF(R137=VLOOKUP($A137,Feature_List!$A$2:$AO$101,MATCH(BE$1,Feature_List!$A$1:$AO$1,0),FALSE),"OK","BAD")</f>
        <v>#N/A</v>
      </c>
      <c r="BF137" s="95" t="e">
        <f>IF(S137=VLOOKUP($A137,Feature_List!$A$2:$AO$101,MATCH(BF$1,Feature_List!$A$1:$AO$1,0),FALSE),"OK","BAD")</f>
        <v>#N/A</v>
      </c>
      <c r="BG137" s="95" t="e">
        <f>IF(T137=VLOOKUP($A137,Feature_List!$A$2:$AO$101,MATCH(BG$1,Feature_List!$A$1:$AO$1,0),FALSE),"OK","BAD")</f>
        <v>#N/A</v>
      </c>
      <c r="BH137" s="95" t="e">
        <f>IF(U137=VLOOKUP($A137,Feature_List!$A$2:$AO$101,MATCH(BH$1,Feature_List!$A$1:$AO$1,0),FALSE),"OK","BAD")</f>
        <v>#N/A</v>
      </c>
      <c r="BI137" s="95" t="e">
        <f>IF(V137=VLOOKUP($A137,Feature_List!$A$2:$AO$101,MATCH(BI$1,Feature_List!$A$1:$AO$1,0),FALSE),"OK","BAD")</f>
        <v>#N/A</v>
      </c>
      <c r="BJ137" s="95" t="e">
        <f>IF(W137=VLOOKUP($A137,Feature_List!$A$2:$AO$101,MATCH(BJ$1,Feature_List!$A$1:$AO$1,0),FALSE),"OK","BAD")</f>
        <v>#N/A</v>
      </c>
      <c r="BK137" s="95" t="e">
        <f>IF(X137=VLOOKUP($A137,Feature_List!$A$2:$AO$101,MATCH(BK$1,Feature_List!$A$1:$AO$1,0),FALSE),"OK","BAD")</f>
        <v>#N/A</v>
      </c>
      <c r="BL137" s="95" t="e">
        <f>IF(Y137=VLOOKUP($A137,Feature_List!$A$2:$AO$101,MATCH(BL$1,Feature_List!$A$1:$AO$1,0),FALSE),"OK","BAD")</f>
        <v>#N/A</v>
      </c>
      <c r="BM137" s="95" t="e">
        <f>IF(Z137=VLOOKUP($A137,Feature_List!$A$2:$AO$101,MATCH(BM$1,Feature_List!$A$1:$AO$1,0),FALSE),"OK","BAD")</f>
        <v>#N/A</v>
      </c>
      <c r="BN137" s="95" t="e">
        <f>IF(AA137=VLOOKUP($A137,Feature_List!$A$2:$AO$101,MATCH(BN$1,Feature_List!$A$1:$AO$1,0),FALSE),"OK","BAD")</f>
        <v>#N/A</v>
      </c>
      <c r="BO137" s="95" t="e">
        <f>IF(AB137=VLOOKUP($A137,Feature_List!$A$2:$AO$101,MATCH(BO$1,Feature_List!$A$1:$AO$1,0),FALSE),"OK","BAD")</f>
        <v>#N/A</v>
      </c>
      <c r="BP137" s="95" t="e">
        <f>IF(AC137=VLOOKUP($A137,Feature_List!$A$2:$AO$101,MATCH(BP$1,Feature_List!$A$1:$AO$1,0),FALSE),"OK","BAD")</f>
        <v>#N/A</v>
      </c>
      <c r="BQ137" s="95" t="e">
        <f>IF(AD137=VLOOKUP($A137,Feature_List!$A$2:$AO$101,MATCH(BQ$1,Feature_List!$A$1:$AO$1,0),FALSE),"OK","BAD")</f>
        <v>#N/A</v>
      </c>
      <c r="BR137" s="95" t="e">
        <f>IF(AE137=VLOOKUP($A137,Feature_List!$A$2:$AO$101,MATCH(BR$1,Feature_List!$A$1:$AO$1,0),FALSE),"OK","BAD")</f>
        <v>#N/A</v>
      </c>
      <c r="BS137" s="95" t="e">
        <f>IF(AF137=VLOOKUP($A137,Feature_List!$A$2:$AO$101,MATCH(BS$1,Feature_List!$A$1:$AO$1,0),FALSE),"OK","BAD")</f>
        <v>#N/A</v>
      </c>
      <c r="BT137" s="95" t="e">
        <f>IF(AG137=VLOOKUP($A137,Feature_List!$A$2:$AO$101,MATCH(BT$1,Feature_List!$A$1:$AO$1,0),FALSE),"OK","BAD")</f>
        <v>#N/A</v>
      </c>
      <c r="BU137" s="95" t="e">
        <f>IF(AH137=VLOOKUP($A137,Feature_List!$A$2:$AO$101,MATCH(BU$1,Feature_List!$A$1:$AO$1,0),FALSE),"OK","BAD")</f>
        <v>#N/A</v>
      </c>
      <c r="BV137" s="95" t="e">
        <f>IF(AI137=VLOOKUP($A137,Feature_List!$A$2:$AO$101,MATCH(BV$1,Feature_List!$A$1:$AO$1,0),FALSE),"OK","BAD")</f>
        <v>#N/A</v>
      </c>
      <c r="BW137" s="95" t="e">
        <f>IF(AJ137=VLOOKUP($A137,Feature_List!$A$2:$AO$101,MATCH(BW$1,Feature_List!$A$1:$AO$1,0),FALSE),"OK","BAD")</f>
        <v>#N/A</v>
      </c>
      <c r="BX137" s="95" t="e">
        <f>IF(AK137=VLOOKUP($A137,Feature_List!$A$2:$AO$101,MATCH(BX$1,Feature_List!$A$1:$AO$1,0),FALSE),"OK","BAD")</f>
        <v>#N/A</v>
      </c>
      <c r="BY137" s="95" t="e">
        <f>IF(AL137=VLOOKUP($A137,Feature_List!$A$2:$AO$101,MATCH(BY$1,Feature_List!$A$1:$AO$1,0),FALSE),"OK","BAD")</f>
        <v>#N/A</v>
      </c>
      <c r="BZ137" s="95" t="e">
        <f>IF(AM137=VLOOKUP($A137,Feature_List!$A$2:$AO$101,MATCH(BZ$1,Feature_List!$A$1:$AO$1,0),FALSE),"OK","BAD")</f>
        <v>#N/A</v>
      </c>
      <c r="CA137" s="95" t="e">
        <f>IF(AN137=VLOOKUP($A137,Feature_List!$A$2:$AO$101,MATCH(CA$1,Feature_List!$A$1:$AO$1,0),FALSE),"OK","BAD")</f>
        <v>#N/A</v>
      </c>
    </row>
    <row r="138" spans="1:79" ht="14.4" customHeight="1" x14ac:dyDescent="0.3">
      <c r="A138" s="34"/>
      <c r="B138" s="34"/>
      <c r="C138" s="34"/>
      <c r="D138" s="34"/>
      <c r="E138" s="54"/>
      <c r="F138" s="34"/>
      <c r="G138" s="34"/>
      <c r="H138" s="34"/>
      <c r="I138" s="34"/>
      <c r="J138" s="34"/>
      <c r="K138" s="34"/>
      <c r="L138" s="96"/>
      <c r="M138" s="34"/>
      <c r="N138" s="34"/>
      <c r="O138" s="34"/>
      <c r="P138" s="34"/>
      <c r="Q138" s="54"/>
      <c r="R138" s="34"/>
      <c r="S138" s="54"/>
      <c r="T138" s="54"/>
      <c r="U138" s="54"/>
      <c r="V138" s="54"/>
      <c r="W138" s="54"/>
      <c r="X138" s="54"/>
      <c r="Y138" s="54"/>
      <c r="Z138" s="54"/>
      <c r="AA138" s="54"/>
      <c r="AB138" s="54"/>
      <c r="AC138" s="54"/>
      <c r="AD138" s="54"/>
      <c r="AE138" s="54"/>
      <c r="AF138" s="54"/>
      <c r="AG138" s="54"/>
      <c r="AH138" s="54"/>
      <c r="AI138" s="54"/>
      <c r="AJ138" s="54"/>
      <c r="AK138" s="54"/>
      <c r="AL138" s="54"/>
      <c r="AM138" s="54"/>
      <c r="AN138" s="54"/>
      <c r="AO138" s="224"/>
      <c r="AP138" s="95" t="e">
        <f>IF(C138=VLOOKUP($A138,Feature_List!$A$2:$AO$101,MATCH(AP$1,Feature_List!$A$1:$AO$1,0),FALSE),"OK","BAD")</f>
        <v>#N/A</v>
      </c>
      <c r="AQ138" s="95" t="e">
        <f>IF(D138=VLOOKUP($A138,Feature_List!$A$2:$AO$101,MATCH(AQ$1,Feature_List!$A$1:$AO$1,0),FALSE),"OK","BAD")</f>
        <v>#N/A</v>
      </c>
      <c r="AR138" s="95" t="e">
        <f>IF(E138=VLOOKUP($A138,Feature_List!$A$2:$AO$101,MATCH(AR$1,Feature_List!$A$1:$AO$1,0),FALSE),"OK","BAD")</f>
        <v>#N/A</v>
      </c>
      <c r="AS138" s="95" t="e">
        <f>IF(F138=VLOOKUP($A138,Feature_List!$A$2:$AO$101,MATCH(AS$1,Feature_List!$A$1:$AO$1,0),FALSE),"OK","BAD")</f>
        <v>#N/A</v>
      </c>
      <c r="AT138" s="95" t="s">
        <v>985</v>
      </c>
      <c r="AU138" s="95" t="s">
        <v>985</v>
      </c>
      <c r="AV138" s="95" t="e">
        <f>IF(I138=VLOOKUP($A138,Feature_List!$A$2:$AO$101,MATCH(AV$1,Feature_List!$A$1:$AO$1,0),FALSE),"OK","BAD")</f>
        <v>#N/A</v>
      </c>
      <c r="AW138" s="95" t="e">
        <f>IF(J138=VLOOKUP($A138,Feature_List!$A$2:$AO$101,MATCH(AW$1,Feature_List!$A$1:$AO$1,0),FALSE),"OK","BAD")</f>
        <v>#N/A</v>
      </c>
      <c r="AX138" s="95" t="e">
        <f>IF(K138=VLOOKUP($A138,Feature_List!$A$2:$AO$101,MATCH(AX$1,Feature_List!$A$1:$AO$1,0),FALSE),"OK","BAD")</f>
        <v>#N/A</v>
      </c>
      <c r="AY138" s="95" t="e">
        <f>IF(L138=VLOOKUP($A138,Feature_List!$A$2:$AO$101,MATCH(AY$1,Feature_List!$A$1:$AO$1,0),FALSE),"OK","BAD")</f>
        <v>#N/A</v>
      </c>
      <c r="AZ138" s="95" t="e">
        <f>IF(M138=VLOOKUP($A138,Feature_List!$A$2:$AO$101,MATCH(AZ$1,Feature_List!$A$1:$AO$1,0),FALSE),"OK","BAD")</f>
        <v>#N/A</v>
      </c>
      <c r="BA138" s="95" t="e">
        <f>IF(N138=VLOOKUP($A138,Feature_List!$A$2:$AO$101,MATCH(BA$1,Feature_List!$A$1:$AO$1,0),FALSE),"OK","BAD")</f>
        <v>#N/A</v>
      </c>
      <c r="BB138" s="95" t="e">
        <f>IF(O138=VLOOKUP($A138,Feature_List!$A$2:$AO$101,MATCH(BB$1,Feature_List!$A$1:$AO$1,0),FALSE),"OK","BAD")</f>
        <v>#N/A</v>
      </c>
      <c r="BC138" s="95" t="e">
        <f>IF(P138=VLOOKUP($A138,Feature_List!$A$2:$AO$101,MATCH(BC$1,Feature_List!$A$1:$AO$1,0),FALSE),"OK","BAD")</f>
        <v>#N/A</v>
      </c>
      <c r="BD138" s="95" t="e">
        <f>IF(Q138=VLOOKUP($A138,Feature_List!$A$2:$AO$101,MATCH(BD$1,Feature_List!$A$1:$AO$1,0),FALSE),"OK","BAD")</f>
        <v>#N/A</v>
      </c>
      <c r="BE138" s="95" t="e">
        <f>IF(R138=VLOOKUP($A138,Feature_List!$A$2:$AO$101,MATCH(BE$1,Feature_List!$A$1:$AO$1,0),FALSE),"OK","BAD")</f>
        <v>#N/A</v>
      </c>
      <c r="BF138" s="95" t="e">
        <f>IF(S138=VLOOKUP($A138,Feature_List!$A$2:$AO$101,MATCH(BF$1,Feature_List!$A$1:$AO$1,0),FALSE),"OK","BAD")</f>
        <v>#N/A</v>
      </c>
      <c r="BG138" s="95" t="e">
        <f>IF(T138=VLOOKUP($A138,Feature_List!$A$2:$AO$101,MATCH(BG$1,Feature_List!$A$1:$AO$1,0),FALSE),"OK","BAD")</f>
        <v>#N/A</v>
      </c>
      <c r="BH138" s="95" t="e">
        <f>IF(U138=VLOOKUP($A138,Feature_List!$A$2:$AO$101,MATCH(BH$1,Feature_List!$A$1:$AO$1,0),FALSE),"OK","BAD")</f>
        <v>#N/A</v>
      </c>
      <c r="BI138" s="95" t="e">
        <f>IF(V138=VLOOKUP($A138,Feature_List!$A$2:$AO$101,MATCH(BI$1,Feature_List!$A$1:$AO$1,0),FALSE),"OK","BAD")</f>
        <v>#N/A</v>
      </c>
      <c r="BJ138" s="95" t="e">
        <f>IF(W138=VLOOKUP($A138,Feature_List!$A$2:$AO$101,MATCH(BJ$1,Feature_List!$A$1:$AO$1,0),FALSE),"OK","BAD")</f>
        <v>#N/A</v>
      </c>
      <c r="BK138" s="95" t="e">
        <f>IF(X138=VLOOKUP($A138,Feature_List!$A$2:$AO$101,MATCH(BK$1,Feature_List!$A$1:$AO$1,0),FALSE),"OK","BAD")</f>
        <v>#N/A</v>
      </c>
      <c r="BL138" s="95" t="e">
        <f>IF(Y138=VLOOKUP($A138,Feature_List!$A$2:$AO$101,MATCH(BL$1,Feature_List!$A$1:$AO$1,0),FALSE),"OK","BAD")</f>
        <v>#N/A</v>
      </c>
      <c r="BM138" s="95" t="e">
        <f>IF(Z138=VLOOKUP($A138,Feature_List!$A$2:$AO$101,MATCH(BM$1,Feature_List!$A$1:$AO$1,0),FALSE),"OK","BAD")</f>
        <v>#N/A</v>
      </c>
      <c r="BN138" s="95" t="e">
        <f>IF(AA138=VLOOKUP($A138,Feature_List!$A$2:$AO$101,MATCH(BN$1,Feature_List!$A$1:$AO$1,0),FALSE),"OK","BAD")</f>
        <v>#N/A</v>
      </c>
      <c r="BO138" s="95" t="e">
        <f>IF(AB138=VLOOKUP($A138,Feature_List!$A$2:$AO$101,MATCH(BO$1,Feature_List!$A$1:$AO$1,0),FALSE),"OK","BAD")</f>
        <v>#N/A</v>
      </c>
      <c r="BP138" s="95" t="e">
        <f>IF(AC138=VLOOKUP($A138,Feature_List!$A$2:$AO$101,MATCH(BP$1,Feature_List!$A$1:$AO$1,0),FALSE),"OK","BAD")</f>
        <v>#N/A</v>
      </c>
      <c r="BQ138" s="95" t="e">
        <f>IF(AD138=VLOOKUP($A138,Feature_List!$A$2:$AO$101,MATCH(BQ$1,Feature_List!$A$1:$AO$1,0),FALSE),"OK","BAD")</f>
        <v>#N/A</v>
      </c>
      <c r="BR138" s="95" t="e">
        <f>IF(AE138=VLOOKUP($A138,Feature_List!$A$2:$AO$101,MATCH(BR$1,Feature_List!$A$1:$AO$1,0),FALSE),"OK","BAD")</f>
        <v>#N/A</v>
      </c>
      <c r="BS138" s="95" t="e">
        <f>IF(AF138=VLOOKUP($A138,Feature_List!$A$2:$AO$101,MATCH(BS$1,Feature_List!$A$1:$AO$1,0),FALSE),"OK","BAD")</f>
        <v>#N/A</v>
      </c>
      <c r="BT138" s="95" t="e">
        <f>IF(AG138=VLOOKUP($A138,Feature_List!$A$2:$AO$101,MATCH(BT$1,Feature_List!$A$1:$AO$1,0),FALSE),"OK","BAD")</f>
        <v>#N/A</v>
      </c>
      <c r="BU138" s="95" t="e">
        <f>IF(AH138=VLOOKUP($A138,Feature_List!$A$2:$AO$101,MATCH(BU$1,Feature_List!$A$1:$AO$1,0),FALSE),"OK","BAD")</f>
        <v>#N/A</v>
      </c>
      <c r="BV138" s="95" t="e">
        <f>IF(AI138=VLOOKUP($A138,Feature_List!$A$2:$AO$101,MATCH(BV$1,Feature_List!$A$1:$AO$1,0),FALSE),"OK","BAD")</f>
        <v>#N/A</v>
      </c>
      <c r="BW138" s="95" t="e">
        <f>IF(AJ138=VLOOKUP($A138,Feature_List!$A$2:$AO$101,MATCH(BW$1,Feature_List!$A$1:$AO$1,0),FALSE),"OK","BAD")</f>
        <v>#N/A</v>
      </c>
      <c r="BX138" s="95" t="e">
        <f>IF(AK138=VLOOKUP($A138,Feature_List!$A$2:$AO$101,MATCH(BX$1,Feature_List!$A$1:$AO$1,0),FALSE),"OK","BAD")</f>
        <v>#N/A</v>
      </c>
      <c r="BY138" s="95" t="e">
        <f>IF(AL138=VLOOKUP($A138,Feature_List!$A$2:$AO$101,MATCH(BY$1,Feature_List!$A$1:$AO$1,0),FALSE),"OK","BAD")</f>
        <v>#N/A</v>
      </c>
      <c r="BZ138" s="95" t="e">
        <f>IF(AM138=VLOOKUP($A138,Feature_List!$A$2:$AO$101,MATCH(BZ$1,Feature_List!$A$1:$AO$1,0),FALSE),"OK","BAD")</f>
        <v>#N/A</v>
      </c>
      <c r="CA138" s="95" t="e">
        <f>IF(AN138=VLOOKUP($A138,Feature_List!$A$2:$AO$101,MATCH(CA$1,Feature_List!$A$1:$AO$1,0),FALSE),"OK","BAD")</f>
        <v>#N/A</v>
      </c>
    </row>
    <row r="139" spans="1:79" ht="14.4" customHeight="1" x14ac:dyDescent="0.3">
      <c r="A139" s="34"/>
      <c r="B139" s="34"/>
      <c r="C139" s="34"/>
      <c r="D139" s="34"/>
      <c r="E139" s="54"/>
      <c r="F139" s="34"/>
      <c r="G139" s="34"/>
      <c r="H139" s="34"/>
      <c r="I139" s="34"/>
      <c r="J139" s="34"/>
      <c r="K139" s="34"/>
      <c r="L139" s="96"/>
      <c r="M139" s="34"/>
      <c r="N139" s="34"/>
      <c r="O139" s="34"/>
      <c r="P139" s="34"/>
      <c r="Q139" s="54"/>
      <c r="R139" s="34"/>
      <c r="S139" s="54"/>
      <c r="T139" s="54"/>
      <c r="U139" s="54"/>
      <c r="V139" s="54"/>
      <c r="W139" s="54"/>
      <c r="X139" s="54"/>
      <c r="Y139" s="54"/>
      <c r="Z139" s="54"/>
      <c r="AA139" s="54"/>
      <c r="AB139" s="54"/>
      <c r="AC139" s="54"/>
      <c r="AD139" s="54"/>
      <c r="AE139" s="54"/>
      <c r="AF139" s="54"/>
      <c r="AG139" s="54"/>
      <c r="AH139" s="54"/>
      <c r="AI139" s="54"/>
      <c r="AJ139" s="54"/>
      <c r="AK139" s="54"/>
      <c r="AL139" s="54"/>
      <c r="AM139" s="54"/>
      <c r="AN139" s="54"/>
      <c r="AO139" s="224"/>
      <c r="AP139" s="95" t="e">
        <f>IF(C139=VLOOKUP($A139,Feature_List!$A$2:$AO$101,MATCH(AP$1,Feature_List!$A$1:$AO$1,0),FALSE),"OK","BAD")</f>
        <v>#N/A</v>
      </c>
      <c r="AQ139" s="95" t="e">
        <f>IF(D139=VLOOKUP($A139,Feature_List!$A$2:$AO$101,MATCH(AQ$1,Feature_List!$A$1:$AO$1,0),FALSE),"OK","BAD")</f>
        <v>#N/A</v>
      </c>
      <c r="AR139" s="95" t="e">
        <f>IF(E139=VLOOKUP($A139,Feature_List!$A$2:$AO$101,MATCH(AR$1,Feature_List!$A$1:$AO$1,0),FALSE),"OK","BAD")</f>
        <v>#N/A</v>
      </c>
      <c r="AS139" s="95" t="e">
        <f>IF(F139=VLOOKUP($A139,Feature_List!$A$2:$AO$101,MATCH(AS$1,Feature_List!$A$1:$AO$1,0),FALSE),"OK","BAD")</f>
        <v>#N/A</v>
      </c>
      <c r="AT139" s="95" t="s">
        <v>985</v>
      </c>
      <c r="AU139" s="95" t="s">
        <v>985</v>
      </c>
      <c r="AV139" s="95" t="e">
        <f>IF(I139=VLOOKUP($A139,Feature_List!$A$2:$AO$101,MATCH(AV$1,Feature_List!$A$1:$AO$1,0),FALSE),"OK","BAD")</f>
        <v>#N/A</v>
      </c>
      <c r="AW139" s="95" t="e">
        <f>IF(J139=VLOOKUP($A139,Feature_List!$A$2:$AO$101,MATCH(AW$1,Feature_List!$A$1:$AO$1,0),FALSE),"OK","BAD")</f>
        <v>#N/A</v>
      </c>
      <c r="AX139" s="95" t="e">
        <f>IF(K139=VLOOKUP($A139,Feature_List!$A$2:$AO$101,MATCH(AX$1,Feature_List!$A$1:$AO$1,0),FALSE),"OK","BAD")</f>
        <v>#N/A</v>
      </c>
      <c r="AY139" s="95" t="e">
        <f>IF(L139=VLOOKUP($A139,Feature_List!$A$2:$AO$101,MATCH(AY$1,Feature_List!$A$1:$AO$1,0),FALSE),"OK","BAD")</f>
        <v>#N/A</v>
      </c>
      <c r="AZ139" s="95" t="e">
        <f>IF(M139=VLOOKUP($A139,Feature_List!$A$2:$AO$101,MATCH(AZ$1,Feature_List!$A$1:$AO$1,0),FALSE),"OK","BAD")</f>
        <v>#N/A</v>
      </c>
      <c r="BA139" s="95" t="e">
        <f>IF(N139=VLOOKUP($A139,Feature_List!$A$2:$AO$101,MATCH(BA$1,Feature_List!$A$1:$AO$1,0),FALSE),"OK","BAD")</f>
        <v>#N/A</v>
      </c>
      <c r="BB139" s="95" t="e">
        <f>IF(O139=VLOOKUP($A139,Feature_List!$A$2:$AO$101,MATCH(BB$1,Feature_List!$A$1:$AO$1,0),FALSE),"OK","BAD")</f>
        <v>#N/A</v>
      </c>
      <c r="BC139" s="95" t="e">
        <f>IF(P139=VLOOKUP($A139,Feature_List!$A$2:$AO$101,MATCH(BC$1,Feature_List!$A$1:$AO$1,0),FALSE),"OK","BAD")</f>
        <v>#N/A</v>
      </c>
      <c r="BD139" s="95" t="e">
        <f>IF(Q139=VLOOKUP($A139,Feature_List!$A$2:$AO$101,MATCH(BD$1,Feature_List!$A$1:$AO$1,0),FALSE),"OK","BAD")</f>
        <v>#N/A</v>
      </c>
      <c r="BE139" s="95" t="e">
        <f>IF(R139=VLOOKUP($A139,Feature_List!$A$2:$AO$101,MATCH(BE$1,Feature_List!$A$1:$AO$1,0),FALSE),"OK","BAD")</f>
        <v>#N/A</v>
      </c>
      <c r="BF139" s="95" t="e">
        <f>IF(S139=VLOOKUP($A139,Feature_List!$A$2:$AO$101,MATCH(BF$1,Feature_List!$A$1:$AO$1,0),FALSE),"OK","BAD")</f>
        <v>#N/A</v>
      </c>
      <c r="BG139" s="95" t="e">
        <f>IF(T139=VLOOKUP($A139,Feature_List!$A$2:$AO$101,MATCH(BG$1,Feature_List!$A$1:$AO$1,0),FALSE),"OK","BAD")</f>
        <v>#N/A</v>
      </c>
      <c r="BH139" s="95" t="e">
        <f>IF(U139=VLOOKUP($A139,Feature_List!$A$2:$AO$101,MATCH(BH$1,Feature_List!$A$1:$AO$1,0),FALSE),"OK","BAD")</f>
        <v>#N/A</v>
      </c>
      <c r="BI139" s="95" t="e">
        <f>IF(V139=VLOOKUP($A139,Feature_List!$A$2:$AO$101,MATCH(BI$1,Feature_List!$A$1:$AO$1,0),FALSE),"OK","BAD")</f>
        <v>#N/A</v>
      </c>
      <c r="BJ139" s="95" t="e">
        <f>IF(W139=VLOOKUP($A139,Feature_List!$A$2:$AO$101,MATCH(BJ$1,Feature_List!$A$1:$AO$1,0),FALSE),"OK","BAD")</f>
        <v>#N/A</v>
      </c>
      <c r="BK139" s="95" t="e">
        <f>IF(X139=VLOOKUP($A139,Feature_List!$A$2:$AO$101,MATCH(BK$1,Feature_List!$A$1:$AO$1,0),FALSE),"OK","BAD")</f>
        <v>#N/A</v>
      </c>
      <c r="BL139" s="95" t="e">
        <f>IF(Y139=VLOOKUP($A139,Feature_List!$A$2:$AO$101,MATCH(BL$1,Feature_List!$A$1:$AO$1,0),FALSE),"OK","BAD")</f>
        <v>#N/A</v>
      </c>
      <c r="BM139" s="95" t="e">
        <f>IF(Z139=VLOOKUP($A139,Feature_List!$A$2:$AO$101,MATCH(BM$1,Feature_List!$A$1:$AO$1,0),FALSE),"OK","BAD")</f>
        <v>#N/A</v>
      </c>
      <c r="BN139" s="95" t="e">
        <f>IF(AA139=VLOOKUP($A139,Feature_List!$A$2:$AO$101,MATCH(BN$1,Feature_List!$A$1:$AO$1,0),FALSE),"OK","BAD")</f>
        <v>#N/A</v>
      </c>
      <c r="BO139" s="95" t="e">
        <f>IF(AB139=VLOOKUP($A139,Feature_List!$A$2:$AO$101,MATCH(BO$1,Feature_List!$A$1:$AO$1,0),FALSE),"OK","BAD")</f>
        <v>#N/A</v>
      </c>
      <c r="BP139" s="95" t="e">
        <f>IF(AC139=VLOOKUP($A139,Feature_List!$A$2:$AO$101,MATCH(BP$1,Feature_List!$A$1:$AO$1,0),FALSE),"OK","BAD")</f>
        <v>#N/A</v>
      </c>
      <c r="BQ139" s="95" t="e">
        <f>IF(AD139=VLOOKUP($A139,Feature_List!$A$2:$AO$101,MATCH(BQ$1,Feature_List!$A$1:$AO$1,0),FALSE),"OK","BAD")</f>
        <v>#N/A</v>
      </c>
      <c r="BR139" s="95" t="e">
        <f>IF(AE139=VLOOKUP($A139,Feature_List!$A$2:$AO$101,MATCH(BR$1,Feature_List!$A$1:$AO$1,0),FALSE),"OK","BAD")</f>
        <v>#N/A</v>
      </c>
      <c r="BS139" s="95" t="e">
        <f>IF(AF139=VLOOKUP($A139,Feature_List!$A$2:$AO$101,MATCH(BS$1,Feature_List!$A$1:$AO$1,0),FALSE),"OK","BAD")</f>
        <v>#N/A</v>
      </c>
      <c r="BT139" s="95" t="e">
        <f>IF(AG139=VLOOKUP($A139,Feature_List!$A$2:$AO$101,MATCH(BT$1,Feature_List!$A$1:$AO$1,0),FALSE),"OK","BAD")</f>
        <v>#N/A</v>
      </c>
      <c r="BU139" s="95" t="e">
        <f>IF(AH139=VLOOKUP($A139,Feature_List!$A$2:$AO$101,MATCH(BU$1,Feature_List!$A$1:$AO$1,0),FALSE),"OK","BAD")</f>
        <v>#N/A</v>
      </c>
      <c r="BV139" s="95" t="e">
        <f>IF(AI139=VLOOKUP($A139,Feature_List!$A$2:$AO$101,MATCH(BV$1,Feature_List!$A$1:$AO$1,0),FALSE),"OK","BAD")</f>
        <v>#N/A</v>
      </c>
      <c r="BW139" s="95" t="e">
        <f>IF(AJ139=VLOOKUP($A139,Feature_List!$A$2:$AO$101,MATCH(BW$1,Feature_List!$A$1:$AO$1,0),FALSE),"OK","BAD")</f>
        <v>#N/A</v>
      </c>
      <c r="BX139" s="95" t="e">
        <f>IF(AK139=VLOOKUP($A139,Feature_List!$A$2:$AO$101,MATCH(BX$1,Feature_List!$A$1:$AO$1,0),FALSE),"OK","BAD")</f>
        <v>#N/A</v>
      </c>
      <c r="BY139" s="95" t="e">
        <f>IF(AL139=VLOOKUP($A139,Feature_List!$A$2:$AO$101,MATCH(BY$1,Feature_List!$A$1:$AO$1,0),FALSE),"OK","BAD")</f>
        <v>#N/A</v>
      </c>
      <c r="BZ139" s="95" t="e">
        <f>IF(AM139=VLOOKUP($A139,Feature_List!$A$2:$AO$101,MATCH(BZ$1,Feature_List!$A$1:$AO$1,0),FALSE),"OK","BAD")</f>
        <v>#N/A</v>
      </c>
      <c r="CA139" s="95" t="e">
        <f>IF(AN139=VLOOKUP($A139,Feature_List!$A$2:$AO$101,MATCH(CA$1,Feature_List!$A$1:$AO$1,0),FALSE),"OK","BAD")</f>
        <v>#N/A</v>
      </c>
    </row>
    <row r="140" spans="1:79" ht="14.4" customHeight="1" x14ac:dyDescent="0.3">
      <c r="J140" s="103"/>
      <c r="K140" s="103"/>
      <c r="L140" s="95"/>
      <c r="R140" s="42"/>
      <c r="AN140" s="95"/>
    </row>
    <row r="141" spans="1:79" ht="14.4" customHeight="1" x14ac:dyDescent="0.3">
      <c r="J141" s="103"/>
      <c r="K141" s="103"/>
      <c r="L141" s="95"/>
      <c r="R141" s="42"/>
      <c r="AN141" s="95"/>
    </row>
    <row r="142" spans="1:79" ht="14.4" customHeight="1" x14ac:dyDescent="0.3">
      <c r="J142" s="103"/>
      <c r="K142" s="103"/>
      <c r="L142" s="95"/>
      <c r="R142" s="42"/>
      <c r="AN142" s="95"/>
    </row>
    <row r="143" spans="1:79" ht="14.4" customHeight="1" x14ac:dyDescent="0.3"/>
    <row r="144" spans="1:79" ht="14.4" customHeight="1" x14ac:dyDescent="0.3"/>
    <row r="145" ht="14.4" customHeight="1" x14ac:dyDescent="0.3"/>
    <row r="146" ht="14.4" customHeight="1" x14ac:dyDescent="0.3"/>
    <row r="147" ht="14.4" customHeight="1" x14ac:dyDescent="0.3"/>
    <row r="148" ht="14.4" customHeight="1" x14ac:dyDescent="0.3"/>
    <row r="149" ht="14.4" customHeight="1" x14ac:dyDescent="0.3"/>
    <row r="150" ht="14.4" customHeight="1" x14ac:dyDescent="0.3"/>
    <row r="151" ht="14.4" customHeight="1" x14ac:dyDescent="0.3"/>
    <row r="152" ht="14.4" customHeight="1" x14ac:dyDescent="0.3"/>
    <row r="153" ht="14.4" customHeight="1" x14ac:dyDescent="0.3"/>
    <row r="154" ht="14.4" customHeight="1" x14ac:dyDescent="0.3"/>
    <row r="155" ht="14.4" customHeight="1" x14ac:dyDescent="0.3"/>
    <row r="156" ht="14.4" customHeight="1" x14ac:dyDescent="0.3"/>
    <row r="157" ht="14.4" customHeight="1" x14ac:dyDescent="0.3"/>
    <row r="158" ht="14.4" customHeight="1" x14ac:dyDescent="0.3"/>
    <row r="159" ht="14.4" customHeight="1" x14ac:dyDescent="0.3"/>
    <row r="160" ht="14.4" customHeight="1" x14ac:dyDescent="0.3"/>
    <row r="161" ht="14.4" customHeight="1" x14ac:dyDescent="0.3"/>
    <row r="162" ht="14.4" customHeight="1" x14ac:dyDescent="0.3"/>
    <row r="163" ht="14.4" customHeight="1" x14ac:dyDescent="0.3"/>
    <row r="164" ht="14.4" customHeight="1" x14ac:dyDescent="0.3"/>
    <row r="165" ht="14.4" customHeight="1" x14ac:dyDescent="0.3"/>
    <row r="166" ht="14.4" customHeight="1" x14ac:dyDescent="0.3"/>
    <row r="167" ht="14.4" customHeight="1" x14ac:dyDescent="0.3"/>
    <row r="168" ht="14.4" customHeight="1" x14ac:dyDescent="0.3"/>
    <row r="169" ht="14.4" customHeight="1" x14ac:dyDescent="0.3"/>
    <row r="170" ht="14.4" customHeight="1" x14ac:dyDescent="0.3"/>
    <row r="171" ht="14.4" customHeight="1" x14ac:dyDescent="0.3"/>
    <row r="172" ht="14.4" customHeight="1" x14ac:dyDescent="0.3"/>
    <row r="173" ht="14.4" customHeight="1" x14ac:dyDescent="0.3"/>
    <row r="174" ht="14.4" customHeight="1" x14ac:dyDescent="0.3"/>
    <row r="175" ht="14.4" customHeight="1" x14ac:dyDescent="0.3"/>
    <row r="176" ht="14.4" customHeight="1" x14ac:dyDescent="0.3"/>
    <row r="177" ht="14.4" customHeight="1" x14ac:dyDescent="0.3"/>
    <row r="178" ht="14.4" customHeight="1" x14ac:dyDescent="0.3"/>
    <row r="179" ht="14.4" customHeight="1" x14ac:dyDescent="0.3"/>
    <row r="180" ht="14.4" customHeight="1" x14ac:dyDescent="0.3"/>
    <row r="181" ht="14.4" customHeight="1" x14ac:dyDescent="0.3"/>
    <row r="182" ht="14.4" customHeight="1" x14ac:dyDescent="0.3"/>
    <row r="183" ht="14.4" customHeight="1" x14ac:dyDescent="0.3"/>
    <row r="184" ht="14.4" customHeight="1" x14ac:dyDescent="0.3"/>
    <row r="185" ht="14.4" customHeight="1" x14ac:dyDescent="0.3"/>
    <row r="186" ht="14.4" customHeight="1" x14ac:dyDescent="0.3"/>
    <row r="187" ht="14.4" customHeight="1" x14ac:dyDescent="0.3"/>
    <row r="188" ht="14.4" customHeight="1" x14ac:dyDescent="0.3"/>
    <row r="189" ht="14.4" customHeight="1" x14ac:dyDescent="0.3"/>
    <row r="190" ht="14.4" customHeight="1" x14ac:dyDescent="0.3"/>
    <row r="191" ht="14.4" customHeight="1" x14ac:dyDescent="0.3"/>
    <row r="192" ht="14.4" customHeight="1" x14ac:dyDescent="0.3"/>
    <row r="193" ht="14.4" customHeight="1" x14ac:dyDescent="0.3"/>
    <row r="194" ht="14.4" customHeight="1" x14ac:dyDescent="0.3"/>
    <row r="195" ht="14.4" customHeight="1" x14ac:dyDescent="0.3"/>
    <row r="196" ht="14.4" customHeight="1" x14ac:dyDescent="0.3"/>
    <row r="197" ht="14.4" customHeight="1" x14ac:dyDescent="0.3"/>
    <row r="198" ht="14.4" customHeight="1" x14ac:dyDescent="0.3"/>
    <row r="199" ht="14.4" customHeight="1" x14ac:dyDescent="0.3"/>
    <row r="200" ht="14.4" customHeight="1" x14ac:dyDescent="0.3"/>
    <row r="201" ht="14.4" customHeight="1" x14ac:dyDescent="0.3"/>
    <row r="202" ht="14.4" customHeight="1" x14ac:dyDescent="0.3"/>
    <row r="203" ht="14.4" customHeight="1" x14ac:dyDescent="0.3"/>
    <row r="204" ht="14.4" customHeight="1" x14ac:dyDescent="0.3"/>
    <row r="205" ht="14.4" customHeight="1" x14ac:dyDescent="0.3"/>
    <row r="206" ht="14.4" customHeight="1" x14ac:dyDescent="0.3"/>
    <row r="207" ht="14.4" customHeight="1" x14ac:dyDescent="0.3"/>
    <row r="208" ht="14.4" customHeight="1" x14ac:dyDescent="0.3"/>
    <row r="209" ht="14.4" customHeight="1" x14ac:dyDescent="0.3"/>
    <row r="210" ht="14.4" customHeight="1" x14ac:dyDescent="0.3"/>
    <row r="211" ht="14.4" customHeight="1" x14ac:dyDescent="0.3"/>
    <row r="212" ht="14.4" customHeight="1" x14ac:dyDescent="0.3"/>
    <row r="213" ht="14.4" customHeight="1" x14ac:dyDescent="0.3"/>
    <row r="214" ht="14.4" customHeight="1" x14ac:dyDescent="0.3"/>
    <row r="215" ht="14.4" customHeight="1" x14ac:dyDescent="0.3"/>
    <row r="216" ht="14.4" customHeight="1" x14ac:dyDescent="0.3"/>
    <row r="217" ht="14.4" customHeight="1" x14ac:dyDescent="0.3"/>
    <row r="218" ht="14.4" customHeight="1" x14ac:dyDescent="0.3"/>
    <row r="219" ht="14.4" customHeight="1" x14ac:dyDescent="0.3"/>
    <row r="220" ht="14.4" customHeight="1" x14ac:dyDescent="0.3"/>
    <row r="221" ht="14.4" customHeight="1" x14ac:dyDescent="0.3"/>
    <row r="222" ht="14.4" customHeight="1" x14ac:dyDescent="0.3"/>
    <row r="223" ht="14.4" customHeight="1" x14ac:dyDescent="0.3"/>
    <row r="224" ht="14.4" customHeight="1" x14ac:dyDescent="0.3"/>
    <row r="225" ht="14.4" customHeight="1" x14ac:dyDescent="0.3"/>
    <row r="226" ht="14.4" customHeight="1" x14ac:dyDescent="0.3"/>
    <row r="227" ht="14.4" customHeight="1" x14ac:dyDescent="0.3"/>
    <row r="228" ht="14.4" customHeight="1" x14ac:dyDescent="0.3"/>
    <row r="229" ht="14.4" customHeight="1" x14ac:dyDescent="0.3"/>
    <row r="230" ht="14.4" customHeight="1" x14ac:dyDescent="0.3"/>
    <row r="231" ht="14.4" customHeight="1" x14ac:dyDescent="0.3"/>
    <row r="232" ht="14.4" customHeight="1" x14ac:dyDescent="0.3"/>
    <row r="233" ht="14.4" customHeight="1" x14ac:dyDescent="0.3"/>
    <row r="234" ht="14.4" customHeight="1" x14ac:dyDescent="0.3"/>
    <row r="235" ht="14.4" customHeight="1" x14ac:dyDescent="0.3"/>
    <row r="236" ht="14.4" customHeight="1" x14ac:dyDescent="0.3"/>
    <row r="237" ht="14.4" customHeight="1" x14ac:dyDescent="0.3"/>
    <row r="238" ht="14.4" customHeight="1" x14ac:dyDescent="0.3"/>
    <row r="239" ht="14.4" customHeight="1" x14ac:dyDescent="0.3"/>
    <row r="240" ht="14.4" customHeight="1" x14ac:dyDescent="0.3"/>
    <row r="241" ht="14.4" customHeight="1" x14ac:dyDescent="0.3"/>
    <row r="242" ht="14.4" customHeight="1" x14ac:dyDescent="0.3"/>
    <row r="243" ht="14.4" customHeight="1" x14ac:dyDescent="0.3"/>
    <row r="244" ht="14.4" customHeight="1" x14ac:dyDescent="0.3"/>
    <row r="245" ht="14.4" customHeight="1" x14ac:dyDescent="0.3"/>
    <row r="246" ht="14.4" customHeight="1" x14ac:dyDescent="0.3"/>
    <row r="247" ht="14.4" customHeight="1" x14ac:dyDescent="0.3"/>
    <row r="248" ht="14.4" customHeight="1" x14ac:dyDescent="0.3"/>
    <row r="249" ht="14.4" customHeight="1" x14ac:dyDescent="0.3"/>
    <row r="250" ht="14.4" customHeight="1" x14ac:dyDescent="0.3"/>
    <row r="251" ht="14.4" customHeight="1" x14ac:dyDescent="0.3"/>
    <row r="252" ht="14.4" customHeight="1" x14ac:dyDescent="0.3"/>
    <row r="253" ht="14.4" customHeight="1" x14ac:dyDescent="0.3"/>
    <row r="254" ht="14.4" customHeight="1" x14ac:dyDescent="0.3"/>
    <row r="255" ht="14.4" customHeight="1" x14ac:dyDescent="0.3"/>
    <row r="256" ht="14.4" customHeight="1" x14ac:dyDescent="0.3"/>
    <row r="257" ht="14.4" customHeight="1" x14ac:dyDescent="0.3"/>
    <row r="258" ht="14.4" customHeight="1" x14ac:dyDescent="0.3"/>
    <row r="259" ht="14.4" customHeight="1" x14ac:dyDescent="0.3"/>
    <row r="260" ht="14.4" customHeight="1" x14ac:dyDescent="0.3"/>
    <row r="261" ht="14.4" customHeight="1" x14ac:dyDescent="0.3"/>
    <row r="262" ht="14.4" customHeight="1" x14ac:dyDescent="0.3"/>
    <row r="263" ht="14.4" customHeight="1" x14ac:dyDescent="0.3"/>
    <row r="264" ht="14.4" customHeight="1" x14ac:dyDescent="0.3"/>
    <row r="265" ht="14.4" customHeight="1" x14ac:dyDescent="0.3"/>
    <row r="266" ht="14.4" customHeight="1" x14ac:dyDescent="0.3"/>
    <row r="267" ht="14.4" customHeight="1" x14ac:dyDescent="0.3"/>
    <row r="268" ht="14.4" customHeight="1" x14ac:dyDescent="0.3"/>
    <row r="269" ht="14.4" customHeight="1" x14ac:dyDescent="0.3"/>
    <row r="270" ht="14.4" customHeight="1" x14ac:dyDescent="0.3"/>
    <row r="271" ht="14.4" customHeight="1" x14ac:dyDescent="0.3"/>
    <row r="272" ht="14.4" customHeight="1" x14ac:dyDescent="0.3"/>
    <row r="273" ht="14.4" customHeight="1" x14ac:dyDescent="0.3"/>
    <row r="274" ht="14.4" customHeight="1" x14ac:dyDescent="0.3"/>
    <row r="275" ht="14.4" customHeight="1" x14ac:dyDescent="0.3"/>
    <row r="276" ht="14.4" customHeight="1" x14ac:dyDescent="0.3"/>
    <row r="277" ht="14.4" customHeight="1" x14ac:dyDescent="0.3"/>
    <row r="278" ht="14.4" customHeight="1" x14ac:dyDescent="0.3"/>
    <row r="279" ht="14.4" customHeight="1" x14ac:dyDescent="0.3"/>
    <row r="280" ht="14.4" customHeight="1" x14ac:dyDescent="0.3"/>
    <row r="281" ht="14.4" customHeight="1" x14ac:dyDescent="0.3"/>
    <row r="282" ht="14.4" customHeight="1" x14ac:dyDescent="0.3"/>
    <row r="283" ht="14.4" customHeight="1" x14ac:dyDescent="0.3"/>
    <row r="284" ht="14.4" customHeight="1" x14ac:dyDescent="0.3"/>
    <row r="285" ht="14.4" customHeight="1" x14ac:dyDescent="0.3"/>
    <row r="286" ht="14.4" customHeight="1" x14ac:dyDescent="0.3"/>
    <row r="287" ht="14.4" customHeight="1" x14ac:dyDescent="0.3"/>
    <row r="288" ht="14.4" customHeight="1" x14ac:dyDescent="0.3"/>
    <row r="289" ht="14.4" customHeight="1" x14ac:dyDescent="0.3"/>
    <row r="290" ht="14.4" customHeight="1" x14ac:dyDescent="0.3"/>
    <row r="291" ht="14.4" customHeight="1" x14ac:dyDescent="0.3"/>
    <row r="292" ht="14.4" customHeight="1" x14ac:dyDescent="0.3"/>
    <row r="293" ht="14.4" customHeight="1" x14ac:dyDescent="0.3"/>
    <row r="294" ht="14.4" customHeight="1" x14ac:dyDescent="0.3"/>
    <row r="295" ht="14.4" customHeight="1" x14ac:dyDescent="0.3"/>
    <row r="296" ht="14.4" customHeight="1" x14ac:dyDescent="0.3"/>
    <row r="297" ht="14.4" customHeight="1" x14ac:dyDescent="0.3"/>
    <row r="298" ht="14.4" customHeight="1" x14ac:dyDescent="0.3"/>
    <row r="299" ht="14.4" customHeight="1" x14ac:dyDescent="0.3"/>
    <row r="300" ht="14.4" customHeight="1" x14ac:dyDescent="0.3"/>
    <row r="301" ht="14.4" customHeight="1" x14ac:dyDescent="0.3"/>
    <row r="302" ht="14.4" customHeight="1" x14ac:dyDescent="0.3"/>
    <row r="303" ht="14.4" customHeight="1" x14ac:dyDescent="0.3"/>
    <row r="304" ht="14.4" customHeight="1" x14ac:dyDescent="0.3"/>
    <row r="305" ht="14.4" customHeight="1" x14ac:dyDescent="0.3"/>
    <row r="306" ht="14.4" customHeight="1" x14ac:dyDescent="0.3"/>
    <row r="307" ht="14.4" customHeight="1" x14ac:dyDescent="0.3"/>
    <row r="308" ht="14.4" customHeight="1" x14ac:dyDescent="0.3"/>
    <row r="309" ht="14.4" customHeight="1" x14ac:dyDescent="0.3"/>
    <row r="310" ht="14.4" customHeight="1" x14ac:dyDescent="0.3"/>
    <row r="311" ht="14.4" customHeight="1" x14ac:dyDescent="0.3"/>
    <row r="312" ht="14.4" customHeight="1" x14ac:dyDescent="0.3"/>
    <row r="313" ht="14.4" customHeight="1" x14ac:dyDescent="0.3"/>
    <row r="314" ht="14.4" customHeight="1" x14ac:dyDescent="0.3"/>
    <row r="315" ht="14.4" customHeight="1" x14ac:dyDescent="0.3"/>
    <row r="316" ht="14.4" customHeight="1" x14ac:dyDescent="0.3"/>
    <row r="317" ht="14.4" customHeight="1" x14ac:dyDescent="0.3"/>
    <row r="318" ht="14.4" customHeight="1" x14ac:dyDescent="0.3"/>
    <row r="319" ht="14.4" customHeight="1" x14ac:dyDescent="0.3"/>
    <row r="320" ht="14.4" customHeight="1" x14ac:dyDescent="0.3"/>
    <row r="321" ht="14.4" customHeight="1" x14ac:dyDescent="0.3"/>
    <row r="322" ht="14.4" customHeight="1" x14ac:dyDescent="0.3"/>
    <row r="323" ht="14.4" customHeight="1" x14ac:dyDescent="0.3"/>
    <row r="324" ht="14.4" customHeight="1" x14ac:dyDescent="0.3"/>
    <row r="325" ht="14.4" customHeight="1" x14ac:dyDescent="0.3"/>
    <row r="326" ht="14.4" customHeight="1" x14ac:dyDescent="0.3"/>
    <row r="327" ht="14.4" customHeight="1" x14ac:dyDescent="0.3"/>
    <row r="328" ht="14.4" customHeight="1" x14ac:dyDescent="0.3"/>
    <row r="329" ht="14.4" customHeight="1" x14ac:dyDescent="0.3"/>
    <row r="330" ht="14.4" customHeight="1" x14ac:dyDescent="0.3"/>
    <row r="331" ht="14.4" customHeight="1" x14ac:dyDescent="0.3"/>
    <row r="332" ht="14.4" customHeight="1" x14ac:dyDescent="0.3"/>
    <row r="333" ht="14.4" customHeight="1" x14ac:dyDescent="0.3"/>
    <row r="334" ht="14.4" customHeight="1" x14ac:dyDescent="0.3"/>
    <row r="335" ht="14.4" customHeight="1" x14ac:dyDescent="0.3"/>
    <row r="336" ht="14.4" customHeight="1" x14ac:dyDescent="0.3"/>
    <row r="337" ht="14.4" customHeight="1" x14ac:dyDescent="0.3"/>
    <row r="338" ht="14.4" customHeight="1" x14ac:dyDescent="0.3"/>
    <row r="339" ht="14.4" customHeight="1" x14ac:dyDescent="0.3"/>
    <row r="340" ht="14.4" customHeight="1" x14ac:dyDescent="0.3"/>
    <row r="341" ht="14.4" customHeight="1" x14ac:dyDescent="0.3"/>
    <row r="342" ht="14.4" customHeight="1" x14ac:dyDescent="0.3"/>
    <row r="343" ht="14.4" customHeight="1" x14ac:dyDescent="0.3"/>
    <row r="344" ht="14.4" customHeight="1" x14ac:dyDescent="0.3"/>
    <row r="345" ht="14.4" customHeight="1" x14ac:dyDescent="0.3"/>
    <row r="346" ht="14.4" customHeight="1" x14ac:dyDescent="0.3"/>
    <row r="347" ht="14.4" customHeight="1" x14ac:dyDescent="0.3"/>
    <row r="348" ht="14.4" customHeight="1" x14ac:dyDescent="0.3"/>
    <row r="349" ht="14.4" customHeight="1" x14ac:dyDescent="0.3"/>
    <row r="350" ht="14.4" customHeight="1" x14ac:dyDescent="0.3"/>
    <row r="351" ht="14.4" customHeight="1" x14ac:dyDescent="0.3"/>
    <row r="352" ht="14.4" customHeight="1" x14ac:dyDescent="0.3"/>
    <row r="353" ht="14.4" customHeight="1" x14ac:dyDescent="0.3"/>
    <row r="354" ht="14.4" customHeight="1" x14ac:dyDescent="0.3"/>
    <row r="355" ht="14.4" customHeight="1" x14ac:dyDescent="0.3"/>
    <row r="356" ht="14.4" customHeight="1" x14ac:dyDescent="0.3"/>
    <row r="357" ht="14.4" customHeight="1" x14ac:dyDescent="0.3"/>
    <row r="358" ht="14.4" customHeight="1" x14ac:dyDescent="0.3"/>
    <row r="359" ht="14.4" customHeight="1" x14ac:dyDescent="0.3"/>
    <row r="360" ht="14.4" customHeight="1" x14ac:dyDescent="0.3"/>
    <row r="361" ht="14.4" customHeight="1" x14ac:dyDescent="0.3"/>
    <row r="362" ht="14.4" customHeight="1" x14ac:dyDescent="0.3"/>
    <row r="363" ht="14.4" customHeight="1" x14ac:dyDescent="0.3"/>
    <row r="364" ht="14.4" customHeight="1" x14ac:dyDescent="0.3"/>
    <row r="365" ht="14.4" customHeight="1" x14ac:dyDescent="0.3"/>
    <row r="366" ht="14.4" customHeight="1" x14ac:dyDescent="0.3"/>
    <row r="367" ht="14.4" customHeight="1" x14ac:dyDescent="0.3"/>
    <row r="368" ht="14.4" customHeight="1" x14ac:dyDescent="0.3"/>
    <row r="369" ht="14.4" customHeight="1" x14ac:dyDescent="0.3"/>
    <row r="370" ht="14.4" customHeight="1" x14ac:dyDescent="0.3"/>
    <row r="371" ht="14.4" customHeight="1" x14ac:dyDescent="0.3"/>
    <row r="372" ht="14.4" customHeight="1" x14ac:dyDescent="0.3"/>
    <row r="373" ht="14.4" customHeight="1" x14ac:dyDescent="0.3"/>
    <row r="374" ht="14.4" customHeight="1" x14ac:dyDescent="0.3"/>
    <row r="375" ht="14.4" customHeight="1" x14ac:dyDescent="0.3"/>
    <row r="376" ht="14.4" customHeight="1" x14ac:dyDescent="0.3"/>
    <row r="377" ht="14.4" customHeight="1" x14ac:dyDescent="0.3"/>
    <row r="378" ht="14.4" customHeight="1" x14ac:dyDescent="0.3"/>
    <row r="379" ht="14.4" customHeight="1" x14ac:dyDescent="0.3"/>
    <row r="380" ht="14.4" customHeight="1" x14ac:dyDescent="0.3"/>
    <row r="381" ht="14.4" customHeight="1" x14ac:dyDescent="0.3"/>
    <row r="382" ht="14.4" customHeight="1" x14ac:dyDescent="0.3"/>
    <row r="383" ht="14.4" customHeight="1" x14ac:dyDescent="0.3"/>
    <row r="384" ht="14.4" customHeight="1" x14ac:dyDescent="0.3"/>
    <row r="385" ht="14.4" customHeight="1" x14ac:dyDescent="0.3"/>
    <row r="386" ht="14.4" customHeight="1" x14ac:dyDescent="0.3"/>
    <row r="387" ht="14.4" customHeight="1" x14ac:dyDescent="0.3"/>
    <row r="388" ht="14.4" customHeight="1" x14ac:dyDescent="0.3"/>
    <row r="389" ht="14.4" customHeight="1" x14ac:dyDescent="0.3"/>
    <row r="390" ht="14.4" customHeight="1" x14ac:dyDescent="0.3"/>
    <row r="391" ht="14.4" customHeight="1" x14ac:dyDescent="0.3"/>
    <row r="392" ht="14.4" customHeight="1" x14ac:dyDescent="0.3"/>
    <row r="393" ht="14.4" customHeight="1" x14ac:dyDescent="0.3"/>
    <row r="394" ht="14.4" customHeight="1" x14ac:dyDescent="0.3"/>
    <row r="395" ht="14.4" customHeight="1" x14ac:dyDescent="0.3"/>
    <row r="396" ht="14.4" customHeight="1" x14ac:dyDescent="0.3"/>
    <row r="397" ht="14.4" customHeight="1" x14ac:dyDescent="0.3"/>
    <row r="398" ht="14.4" customHeight="1" x14ac:dyDescent="0.3"/>
    <row r="399" ht="14.4" customHeight="1" x14ac:dyDescent="0.3"/>
    <row r="400" ht="14.4" customHeight="1" x14ac:dyDescent="0.3"/>
    <row r="401" ht="14.4" customHeight="1" x14ac:dyDescent="0.3"/>
    <row r="402" ht="14.4" customHeight="1" x14ac:dyDescent="0.3"/>
    <row r="403" ht="14.4" customHeight="1" x14ac:dyDescent="0.3"/>
    <row r="404" ht="14.4" customHeight="1" x14ac:dyDescent="0.3"/>
    <row r="405" ht="14.4" customHeight="1" x14ac:dyDescent="0.3"/>
    <row r="406" ht="14.4" customHeight="1" x14ac:dyDescent="0.3"/>
    <row r="407" ht="14.4" customHeight="1" x14ac:dyDescent="0.3"/>
    <row r="408" ht="14.4" customHeight="1" x14ac:dyDescent="0.3"/>
    <row r="409" ht="14.4" customHeight="1" x14ac:dyDescent="0.3"/>
    <row r="410" ht="14.4" customHeight="1" x14ac:dyDescent="0.3"/>
    <row r="411" ht="14.4" customHeight="1" x14ac:dyDescent="0.3"/>
    <row r="412" ht="14.4" customHeight="1" x14ac:dyDescent="0.3"/>
    <row r="413" ht="14.4" customHeight="1" x14ac:dyDescent="0.3"/>
    <row r="414" ht="14.4" customHeight="1" x14ac:dyDescent="0.3"/>
    <row r="415" ht="14.4" customHeight="1" x14ac:dyDescent="0.3"/>
    <row r="416" ht="14.4" customHeight="1" x14ac:dyDescent="0.3"/>
    <row r="417" ht="14.4" customHeight="1" x14ac:dyDescent="0.3"/>
    <row r="418" ht="14.4" customHeight="1" x14ac:dyDescent="0.3"/>
    <row r="419" ht="14.4" customHeight="1" x14ac:dyDescent="0.3"/>
    <row r="420" ht="14.4" customHeight="1" x14ac:dyDescent="0.3"/>
    <row r="421" ht="14.4" customHeight="1" x14ac:dyDescent="0.3"/>
    <row r="422" ht="14.4" customHeight="1" x14ac:dyDescent="0.3"/>
    <row r="423" ht="14.4" customHeight="1" x14ac:dyDescent="0.3"/>
    <row r="424" ht="14.4" customHeight="1" x14ac:dyDescent="0.3"/>
    <row r="425" ht="14.4" customHeight="1" x14ac:dyDescent="0.3"/>
    <row r="426" ht="14.4" customHeight="1" x14ac:dyDescent="0.3"/>
    <row r="427" ht="14.4" customHeight="1" x14ac:dyDescent="0.3"/>
    <row r="428" ht="14.4" customHeight="1" x14ac:dyDescent="0.3"/>
    <row r="429" ht="14.4" customHeight="1" x14ac:dyDescent="0.3"/>
    <row r="430" ht="14.4" customHeight="1" x14ac:dyDescent="0.3"/>
    <row r="431" ht="14.4" customHeight="1" x14ac:dyDescent="0.3"/>
    <row r="432" ht="14.4" customHeight="1" x14ac:dyDescent="0.3"/>
    <row r="433" ht="14.4" customHeight="1" x14ac:dyDescent="0.3"/>
    <row r="434" ht="14.4" customHeight="1" x14ac:dyDescent="0.3"/>
    <row r="435" ht="14.4" customHeight="1" x14ac:dyDescent="0.3"/>
    <row r="436" ht="14.4" customHeight="1" x14ac:dyDescent="0.3"/>
    <row r="437" ht="14.4" customHeight="1" x14ac:dyDescent="0.3"/>
    <row r="438" ht="14.4" customHeight="1" x14ac:dyDescent="0.3"/>
    <row r="439" ht="14.4" customHeight="1" x14ac:dyDescent="0.3"/>
    <row r="440" ht="14.4" customHeight="1" x14ac:dyDescent="0.3"/>
    <row r="441" ht="14.4" customHeight="1" x14ac:dyDescent="0.3"/>
    <row r="442" ht="14.4" customHeight="1" x14ac:dyDescent="0.3"/>
    <row r="443" ht="14.4" customHeight="1" x14ac:dyDescent="0.3"/>
    <row r="444" ht="14.4" customHeight="1" x14ac:dyDescent="0.3"/>
    <row r="445" ht="14.4" customHeight="1" x14ac:dyDescent="0.3"/>
    <row r="446" ht="14.4" customHeight="1" x14ac:dyDescent="0.3"/>
    <row r="447" ht="14.4" customHeight="1" x14ac:dyDescent="0.3"/>
    <row r="448" ht="14.4" customHeight="1" x14ac:dyDescent="0.3"/>
    <row r="449" ht="14.4" customHeight="1" x14ac:dyDescent="0.3"/>
    <row r="450" ht="14.4" customHeight="1" x14ac:dyDescent="0.3"/>
    <row r="451" ht="14.4" customHeight="1" x14ac:dyDescent="0.3"/>
    <row r="452" ht="14.4" customHeight="1" x14ac:dyDescent="0.3"/>
    <row r="453" ht="14.4" customHeight="1" x14ac:dyDescent="0.3"/>
    <row r="454" ht="14.4" customHeight="1" x14ac:dyDescent="0.3"/>
    <row r="455" ht="14.4" customHeight="1" x14ac:dyDescent="0.3"/>
    <row r="456" ht="14.4" customHeight="1" x14ac:dyDescent="0.3"/>
    <row r="457" ht="14.4" customHeight="1" x14ac:dyDescent="0.3"/>
    <row r="458" ht="14.4" customHeight="1" x14ac:dyDescent="0.3"/>
    <row r="459" ht="14.4" customHeight="1" x14ac:dyDescent="0.3"/>
    <row r="460" ht="14.4" customHeight="1" x14ac:dyDescent="0.3"/>
    <row r="461" ht="14.4" customHeight="1" x14ac:dyDescent="0.3"/>
    <row r="462" ht="14.4" customHeight="1" x14ac:dyDescent="0.3"/>
    <row r="463" ht="14.4" customHeight="1" x14ac:dyDescent="0.3"/>
    <row r="464" ht="14.4" customHeight="1" x14ac:dyDescent="0.3"/>
    <row r="465" ht="14.4" customHeight="1" x14ac:dyDescent="0.3"/>
    <row r="466" ht="14.4" customHeight="1" x14ac:dyDescent="0.3"/>
    <row r="467" ht="14.4" customHeight="1" x14ac:dyDescent="0.3"/>
    <row r="468" ht="14.4" customHeight="1" x14ac:dyDescent="0.3"/>
    <row r="469" ht="14.4" customHeight="1" x14ac:dyDescent="0.3"/>
    <row r="470" ht="14.4" customHeight="1" x14ac:dyDescent="0.3"/>
    <row r="471" ht="14.4" customHeight="1" x14ac:dyDescent="0.3"/>
    <row r="472" ht="14.4" customHeight="1" x14ac:dyDescent="0.3"/>
    <row r="473" ht="14.4" customHeight="1" x14ac:dyDescent="0.3"/>
    <row r="474" ht="14.4" customHeight="1" x14ac:dyDescent="0.3"/>
    <row r="475" ht="14.4" customHeight="1" x14ac:dyDescent="0.3"/>
    <row r="476" ht="14.4" customHeight="1" x14ac:dyDescent="0.3"/>
    <row r="477" ht="14.4" customHeight="1" x14ac:dyDescent="0.3"/>
    <row r="478" ht="14.4" customHeight="1" x14ac:dyDescent="0.3"/>
    <row r="479" ht="14.4" customHeight="1" x14ac:dyDescent="0.3"/>
    <row r="480" ht="14.4" customHeight="1" x14ac:dyDescent="0.3"/>
    <row r="481" ht="14.4" customHeight="1" x14ac:dyDescent="0.3"/>
    <row r="482" ht="14.4" customHeight="1" x14ac:dyDescent="0.3"/>
    <row r="483" ht="14.4" customHeight="1" x14ac:dyDescent="0.3"/>
    <row r="484" ht="14.4" customHeight="1" x14ac:dyDescent="0.3"/>
    <row r="485" ht="14.4" customHeight="1" x14ac:dyDescent="0.3"/>
    <row r="486" ht="14.4" customHeight="1" x14ac:dyDescent="0.3"/>
    <row r="487" ht="14.4" customHeight="1" x14ac:dyDescent="0.3"/>
    <row r="488" ht="14.4" customHeight="1" x14ac:dyDescent="0.3"/>
    <row r="489" ht="14.4" customHeight="1" x14ac:dyDescent="0.3"/>
    <row r="490" ht="14.4" customHeight="1" x14ac:dyDescent="0.3"/>
    <row r="491" ht="14.4" customHeight="1" x14ac:dyDescent="0.3"/>
    <row r="492" ht="14.4" customHeight="1" x14ac:dyDescent="0.3"/>
    <row r="493" ht="14.4" customHeight="1" x14ac:dyDescent="0.3"/>
    <row r="494" ht="14.4" customHeight="1" x14ac:dyDescent="0.3"/>
    <row r="495" ht="14.4" customHeight="1" x14ac:dyDescent="0.3"/>
    <row r="496" ht="14.4" customHeight="1" x14ac:dyDescent="0.3"/>
    <row r="497" ht="14.4" customHeight="1" x14ac:dyDescent="0.3"/>
    <row r="498" ht="14.4" customHeight="1" x14ac:dyDescent="0.3"/>
    <row r="499" ht="14.4" customHeight="1" x14ac:dyDescent="0.3"/>
    <row r="500" ht="14.4" customHeight="1" x14ac:dyDescent="0.3"/>
    <row r="501" ht="14.4" customHeight="1" x14ac:dyDescent="0.3"/>
    <row r="502" ht="14.4" customHeight="1" x14ac:dyDescent="0.3"/>
    <row r="503" ht="14.4" customHeight="1" x14ac:dyDescent="0.3"/>
    <row r="504" ht="14.4" customHeight="1" x14ac:dyDescent="0.3"/>
    <row r="505" ht="14.4" customHeight="1" x14ac:dyDescent="0.3"/>
    <row r="506" ht="14.4" customHeight="1" x14ac:dyDescent="0.3"/>
    <row r="507" ht="14.4" customHeight="1" x14ac:dyDescent="0.3"/>
    <row r="508" ht="14.4" customHeight="1" x14ac:dyDescent="0.3"/>
    <row r="509" ht="14.4" customHeight="1" x14ac:dyDescent="0.3"/>
    <row r="510" ht="14.4" customHeight="1" x14ac:dyDescent="0.3"/>
    <row r="511" ht="14.4" customHeight="1" x14ac:dyDescent="0.3"/>
    <row r="512" ht="14.4" customHeight="1" x14ac:dyDescent="0.3"/>
    <row r="513" ht="14.4" customHeight="1" x14ac:dyDescent="0.3"/>
    <row r="514" ht="14.4" customHeight="1" x14ac:dyDescent="0.3"/>
    <row r="515" ht="14.4" customHeight="1" x14ac:dyDescent="0.3"/>
    <row r="516" ht="14.4" customHeight="1" x14ac:dyDescent="0.3"/>
    <row r="517" ht="14.4" customHeight="1" x14ac:dyDescent="0.3"/>
    <row r="518" ht="14.4" customHeight="1" x14ac:dyDescent="0.3"/>
    <row r="519" ht="14.4" customHeight="1" x14ac:dyDescent="0.3"/>
    <row r="520" ht="14.4" customHeight="1" x14ac:dyDescent="0.3"/>
  </sheetData>
  <autoFilter ref="A1:CA131"/>
  <sortState ref="A3:BU121">
    <sortCondition ref="AP3"/>
  </sortState>
  <conditionalFormatting sqref="C2:AN139">
    <cfRule type="expression" dxfId="6" priority="324">
      <formula>AP2="OK"</formula>
    </cfRule>
    <cfRule type="expression" dxfId="5" priority="325">
      <formula>AP2="BAD"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AuditView">
                <anchor moveWithCells="1" sizeWithCells="1">
                  <from>
                    <xdr:col>1</xdr:col>
                    <xdr:colOff>137160</xdr:colOff>
                    <xdr:row>0</xdr:row>
                    <xdr:rowOff>68580</xdr:rowOff>
                  </from>
                  <to>
                    <xdr:col>1</xdr:col>
                    <xdr:colOff>1363980</xdr:colOff>
                    <xdr:row>0</xdr:row>
                    <xdr:rowOff>327660</xdr:rowOff>
                  </to>
                </anchor>
              </controlPr>
            </control>
          </mc:Choice>
        </mc:AlternateContent>
        <mc:AlternateContent xmlns:mc="http://schemas.openxmlformats.org/markup-compatibility/2006">
          <mc:Choice Requires="x14">
            <control shapeId="6146" r:id="rId5" name="Button 2">
              <controlPr defaultSize="0" print="0" autoFill="0" autoPict="0" macro="[0]!Show_all">
                <anchor moveWithCells="1" sizeWithCells="1">
                  <from>
                    <xdr:col>1</xdr:col>
                    <xdr:colOff>121920</xdr:colOff>
                    <xdr:row>0</xdr:row>
                    <xdr:rowOff>457200</xdr:rowOff>
                  </from>
                  <to>
                    <xdr:col>1</xdr:col>
                    <xdr:colOff>1363980</xdr:colOff>
                    <xdr:row>0</xdr:row>
                    <xdr:rowOff>670560</xdr:rowOff>
                  </to>
                </anchor>
              </controlPr>
            </control>
          </mc:Choice>
        </mc:AlternateContent>
        <mc:AlternateContent xmlns:mc="http://schemas.openxmlformats.org/markup-compatibility/2006">
          <mc:Choice Requires="x14">
            <control shapeId="6147" r:id="rId6" name="Button 3">
              <controlPr defaultSize="0" print="0" autoFill="0" autoPict="0" macro="[0]!Return_To_List">
                <anchor moveWithCells="1" sizeWithCells="1">
                  <from>
                    <xdr:col>1</xdr:col>
                    <xdr:colOff>160020</xdr:colOff>
                    <xdr:row>0</xdr:row>
                    <xdr:rowOff>876300</xdr:rowOff>
                  </from>
                  <to>
                    <xdr:col>1</xdr:col>
                    <xdr:colOff>1371600</xdr:colOff>
                    <xdr:row>0</xdr:row>
                    <xdr:rowOff>1173480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T46"/>
  <sheetViews>
    <sheetView zoomScaleNormal="100" workbookViewId="0">
      <selection activeCell="B6" sqref="B6"/>
    </sheetView>
  </sheetViews>
  <sheetFormatPr defaultRowHeight="14.4" x14ac:dyDescent="0.3"/>
  <cols>
    <col min="1" max="1" width="24.33203125" customWidth="1"/>
    <col min="2" max="2" width="13.88671875" bestFit="1" customWidth="1"/>
    <col min="5" max="5" width="10.5546875" customWidth="1"/>
    <col min="9" max="9" width="17.88671875" customWidth="1"/>
    <col min="10" max="10" width="13.6640625" bestFit="1" customWidth="1"/>
    <col min="11" max="12" width="4.44140625" bestFit="1" customWidth="1"/>
    <col min="13" max="13" width="5.88671875" bestFit="1" customWidth="1"/>
    <col min="14" max="14" width="6.5546875" bestFit="1" customWidth="1"/>
    <col min="15" max="15" width="5.33203125" customWidth="1"/>
    <col min="16" max="16" width="7.33203125" bestFit="1" customWidth="1"/>
    <col min="17" max="17" width="11.5546875" bestFit="1" customWidth="1"/>
  </cols>
  <sheetData>
    <row r="2" spans="1:20" ht="15.6" customHeight="1" x14ac:dyDescent="0.3">
      <c r="A2" s="263" t="s">
        <v>80</v>
      </c>
      <c r="B2" s="263"/>
      <c r="C2" s="263"/>
      <c r="D2" s="263"/>
      <c r="E2" s="263"/>
      <c r="F2" s="263"/>
      <c r="G2" s="263"/>
      <c r="H2" s="263"/>
      <c r="I2" s="85"/>
      <c r="J2" s="85"/>
      <c r="K2" s="85"/>
      <c r="L2" s="85"/>
      <c r="M2" s="85"/>
      <c r="N2" s="85"/>
    </row>
    <row r="3" spans="1:20" ht="15" customHeight="1" x14ac:dyDescent="0.3">
      <c r="A3" s="43" t="s">
        <v>8</v>
      </c>
      <c r="B3" s="50">
        <v>15.1</v>
      </c>
      <c r="C3" s="50">
        <v>15.2</v>
      </c>
      <c r="D3" s="50">
        <v>15.3</v>
      </c>
      <c r="E3" s="50">
        <v>15.4</v>
      </c>
      <c r="F3" s="44" t="s">
        <v>81</v>
      </c>
      <c r="G3" s="51">
        <v>15.5</v>
      </c>
      <c r="H3" s="50" t="s">
        <v>82</v>
      </c>
      <c r="I3" s="57" t="s">
        <v>83</v>
      </c>
      <c r="J3" s="85"/>
      <c r="K3" s="85"/>
      <c r="L3" s="95"/>
      <c r="M3" s="95"/>
      <c r="N3" s="95"/>
      <c r="O3" s="95"/>
    </row>
    <row r="4" spans="1:20" ht="15" customHeight="1" x14ac:dyDescent="0.3">
      <c r="A4" s="43"/>
      <c r="B4" s="57" t="s">
        <v>749</v>
      </c>
      <c r="C4" s="57" t="s">
        <v>84</v>
      </c>
      <c r="D4" s="57" t="s">
        <v>84</v>
      </c>
      <c r="E4" s="57" t="s">
        <v>84</v>
      </c>
      <c r="F4" s="57" t="s">
        <v>84</v>
      </c>
      <c r="G4" s="57" t="s">
        <v>84</v>
      </c>
      <c r="H4" s="74" t="s">
        <v>84</v>
      </c>
      <c r="I4" s="34"/>
      <c r="J4" s="95"/>
      <c r="L4" s="95"/>
      <c r="M4" s="95"/>
      <c r="N4" s="95"/>
      <c r="O4" s="95"/>
    </row>
    <row r="5" spans="1:20" ht="15" customHeight="1" x14ac:dyDescent="0.3">
      <c r="A5" s="34" t="s">
        <v>951</v>
      </c>
      <c r="B5" s="72">
        <v>80</v>
      </c>
      <c r="C5" s="72">
        <v>80</v>
      </c>
      <c r="D5" s="72">
        <v>80</v>
      </c>
      <c r="E5" s="72">
        <v>80</v>
      </c>
      <c r="F5" s="45">
        <f t="shared" ref="F5:F18" si="0">SUM(B5:E5)</f>
        <v>320</v>
      </c>
      <c r="G5" s="72">
        <v>0</v>
      </c>
      <c r="H5" s="51">
        <f>SUM(F5,G5)</f>
        <v>320</v>
      </c>
      <c r="I5" s="105">
        <v>43923</v>
      </c>
      <c r="J5" s="95"/>
      <c r="L5" s="95"/>
      <c r="M5" s="95"/>
      <c r="N5" s="95"/>
      <c r="O5" s="95"/>
    </row>
    <row r="6" spans="1:20" ht="15" customHeight="1" x14ac:dyDescent="0.3">
      <c r="A6" s="34" t="s">
        <v>944</v>
      </c>
      <c r="B6" s="72">
        <v>52</v>
      </c>
      <c r="C6" s="72">
        <v>44</v>
      </c>
      <c r="D6" s="72">
        <v>50</v>
      </c>
      <c r="E6" s="72">
        <v>42</v>
      </c>
      <c r="F6" s="45">
        <f t="shared" si="0"/>
        <v>188</v>
      </c>
      <c r="G6" s="72">
        <v>20</v>
      </c>
      <c r="H6" s="51">
        <f>SUM(F6,G6)</f>
        <v>208</v>
      </c>
      <c r="I6" s="105">
        <v>43902</v>
      </c>
      <c r="J6" s="95"/>
      <c r="K6" s="85"/>
      <c r="L6" s="95"/>
      <c r="M6" s="95"/>
      <c r="N6" s="95"/>
      <c r="O6" s="95"/>
    </row>
    <row r="7" spans="1:20" ht="15" customHeight="1" x14ac:dyDescent="0.3">
      <c r="A7" s="33" t="s">
        <v>945</v>
      </c>
      <c r="B7" s="72">
        <v>39</v>
      </c>
      <c r="C7" s="72">
        <v>35</v>
      </c>
      <c r="D7" s="72">
        <v>40</v>
      </c>
      <c r="E7" s="72">
        <v>31</v>
      </c>
      <c r="F7" s="45">
        <f t="shared" si="0"/>
        <v>145</v>
      </c>
      <c r="G7" s="72">
        <v>12</v>
      </c>
      <c r="H7" s="51">
        <f t="shared" ref="H7:H18" si="1">SUM(F7,G7)</f>
        <v>157</v>
      </c>
      <c r="I7" s="105">
        <v>43922</v>
      </c>
      <c r="J7" s="95"/>
      <c r="L7" s="95"/>
      <c r="M7" s="95"/>
      <c r="N7" s="95"/>
      <c r="O7" s="95"/>
    </row>
    <row r="8" spans="1:20" ht="15" customHeight="1" x14ac:dyDescent="0.3">
      <c r="A8" s="34" t="s">
        <v>949</v>
      </c>
      <c r="B8" s="63">
        <v>99</v>
      </c>
      <c r="C8" s="63">
        <v>99</v>
      </c>
      <c r="D8" s="63">
        <v>99</v>
      </c>
      <c r="E8" s="63">
        <v>99</v>
      </c>
      <c r="F8" s="45">
        <f t="shared" si="0"/>
        <v>396</v>
      </c>
      <c r="G8" s="72">
        <v>1</v>
      </c>
      <c r="H8" s="51">
        <f t="shared" si="1"/>
        <v>397</v>
      </c>
      <c r="I8" s="105">
        <v>43914</v>
      </c>
      <c r="J8" s="95"/>
      <c r="K8" s="85"/>
      <c r="L8" s="95"/>
      <c r="M8" s="95"/>
      <c r="N8" s="95"/>
      <c r="O8" s="95"/>
    </row>
    <row r="9" spans="1:20" s="52" customFormat="1" ht="15" customHeight="1" x14ac:dyDescent="0.3">
      <c r="A9" s="230" t="s">
        <v>553</v>
      </c>
      <c r="B9" s="63">
        <v>55</v>
      </c>
      <c r="C9" s="63">
        <v>52</v>
      </c>
      <c r="D9" s="63">
        <v>56</v>
      </c>
      <c r="E9" s="63">
        <v>46</v>
      </c>
      <c r="F9" s="45">
        <f t="shared" si="0"/>
        <v>209</v>
      </c>
      <c r="G9" s="72">
        <v>14</v>
      </c>
      <c r="H9" s="51">
        <f t="shared" si="1"/>
        <v>223</v>
      </c>
      <c r="I9" s="105">
        <v>43923</v>
      </c>
      <c r="K9" s="85"/>
      <c r="L9" s="95"/>
      <c r="M9" s="95"/>
      <c r="N9" s="95"/>
      <c r="O9" s="95"/>
    </row>
    <row r="10" spans="1:20" s="95" customFormat="1" ht="15" customHeight="1" x14ac:dyDescent="0.3">
      <c r="A10" s="32" t="s">
        <v>946</v>
      </c>
      <c r="B10" s="63">
        <v>45</v>
      </c>
      <c r="C10" s="63">
        <v>38</v>
      </c>
      <c r="D10" s="63">
        <v>40</v>
      </c>
      <c r="E10" s="63">
        <v>41</v>
      </c>
      <c r="F10" s="45">
        <f t="shared" si="0"/>
        <v>164</v>
      </c>
      <c r="G10" s="72">
        <v>26</v>
      </c>
      <c r="H10" s="51">
        <f t="shared" si="1"/>
        <v>190</v>
      </c>
      <c r="I10" s="105">
        <v>43922</v>
      </c>
      <c r="K10" s="85"/>
    </row>
    <row r="11" spans="1:20" s="95" customFormat="1" ht="15" customHeight="1" x14ac:dyDescent="0.3">
      <c r="A11" s="32" t="s">
        <v>950</v>
      </c>
      <c r="B11" s="63">
        <v>129</v>
      </c>
      <c r="C11" s="63">
        <v>117</v>
      </c>
      <c r="D11" s="63">
        <v>117</v>
      </c>
      <c r="E11" s="63">
        <v>96</v>
      </c>
      <c r="F11" s="45">
        <f t="shared" si="0"/>
        <v>459</v>
      </c>
      <c r="G11" s="63">
        <v>0</v>
      </c>
      <c r="H11" s="51">
        <f t="shared" si="1"/>
        <v>459</v>
      </c>
      <c r="I11" s="105">
        <v>43920</v>
      </c>
      <c r="K11"/>
    </row>
    <row r="12" spans="1:20" ht="15" customHeight="1" x14ac:dyDescent="0.3">
      <c r="A12" s="32" t="s">
        <v>948</v>
      </c>
      <c r="B12" s="63">
        <v>20</v>
      </c>
      <c r="C12" s="63">
        <v>23</v>
      </c>
      <c r="D12" s="63">
        <v>21</v>
      </c>
      <c r="E12" s="63">
        <v>15</v>
      </c>
      <c r="F12" s="45">
        <f t="shared" si="0"/>
        <v>79</v>
      </c>
      <c r="G12" s="72">
        <v>9</v>
      </c>
      <c r="H12" s="51">
        <f t="shared" si="1"/>
        <v>88</v>
      </c>
      <c r="I12" s="105">
        <v>43894</v>
      </c>
      <c r="J12" s="95"/>
      <c r="K12" s="95"/>
      <c r="L12" s="95"/>
      <c r="M12" s="95"/>
      <c r="N12" s="95"/>
      <c r="O12" s="95"/>
    </row>
    <row r="13" spans="1:20" ht="15" customHeight="1" x14ac:dyDescent="0.3">
      <c r="A13" s="59" t="s">
        <v>15</v>
      </c>
      <c r="B13" s="63">
        <v>63</v>
      </c>
      <c r="C13" s="63">
        <v>63</v>
      </c>
      <c r="D13" s="63">
        <v>63</v>
      </c>
      <c r="E13" s="63">
        <v>63</v>
      </c>
      <c r="F13" s="45">
        <f t="shared" si="0"/>
        <v>252</v>
      </c>
      <c r="G13" s="63">
        <v>0</v>
      </c>
      <c r="H13" s="51">
        <f t="shared" si="1"/>
        <v>252</v>
      </c>
      <c r="I13" s="105">
        <v>43923</v>
      </c>
      <c r="J13" s="95"/>
      <c r="K13" s="95"/>
      <c r="L13" s="95"/>
      <c r="M13" s="95"/>
      <c r="N13" s="95"/>
      <c r="O13" s="95"/>
    </row>
    <row r="14" spans="1:20" ht="15" customHeight="1" x14ac:dyDescent="0.3">
      <c r="A14" s="230" t="s">
        <v>947</v>
      </c>
      <c r="B14" s="63">
        <v>110</v>
      </c>
      <c r="C14" s="63">
        <v>116</v>
      </c>
      <c r="D14" s="63">
        <v>109</v>
      </c>
      <c r="E14" s="63">
        <v>106</v>
      </c>
      <c r="F14" s="45">
        <f t="shared" si="0"/>
        <v>441</v>
      </c>
      <c r="G14" s="63">
        <v>1</v>
      </c>
      <c r="H14" s="51">
        <f t="shared" si="1"/>
        <v>442</v>
      </c>
      <c r="I14" s="105">
        <v>43923</v>
      </c>
      <c r="L14" s="95"/>
      <c r="M14" s="95"/>
      <c r="N14" s="95"/>
      <c r="O14" s="95"/>
    </row>
    <row r="15" spans="1:20" ht="15" customHeight="1" x14ac:dyDescent="0.3">
      <c r="A15" s="32" t="s">
        <v>17</v>
      </c>
      <c r="B15" s="63">
        <v>43</v>
      </c>
      <c r="C15" s="63">
        <v>51</v>
      </c>
      <c r="D15" s="63">
        <v>43</v>
      </c>
      <c r="E15" s="63">
        <v>36</v>
      </c>
      <c r="F15" s="45">
        <f t="shared" si="0"/>
        <v>173</v>
      </c>
      <c r="G15" s="63">
        <v>28</v>
      </c>
      <c r="H15" s="51">
        <f t="shared" si="1"/>
        <v>201</v>
      </c>
      <c r="I15" s="105">
        <v>43913</v>
      </c>
      <c r="J15" s="95"/>
      <c r="K15" s="95"/>
      <c r="L15" s="95"/>
      <c r="M15" s="95"/>
      <c r="N15" s="95"/>
      <c r="O15" s="95"/>
      <c r="P15" s="95"/>
      <c r="Q15" s="95"/>
      <c r="R15" s="95"/>
      <c r="S15" s="95"/>
      <c r="T15" s="95"/>
    </row>
    <row r="16" spans="1:20" s="52" customFormat="1" ht="15" customHeight="1" x14ac:dyDescent="0.3">
      <c r="A16" s="230" t="s">
        <v>18</v>
      </c>
      <c r="B16" s="63">
        <v>42</v>
      </c>
      <c r="C16" s="63">
        <v>42</v>
      </c>
      <c r="D16" s="63">
        <v>42</v>
      </c>
      <c r="E16" s="63">
        <v>42</v>
      </c>
      <c r="F16" s="45">
        <f t="shared" si="0"/>
        <v>168</v>
      </c>
      <c r="G16" s="63">
        <v>1</v>
      </c>
      <c r="H16" s="51">
        <f t="shared" si="1"/>
        <v>169</v>
      </c>
      <c r="I16" s="105">
        <v>43899</v>
      </c>
      <c r="K16" s="95"/>
      <c r="L16" s="95"/>
      <c r="M16" s="95"/>
      <c r="N16" s="95"/>
      <c r="O16" s="95"/>
      <c r="P16" s="95"/>
      <c r="Q16" s="95"/>
      <c r="R16" s="95"/>
      <c r="S16" s="95"/>
    </row>
    <row r="17" spans="1:20" s="5" customFormat="1" ht="15" customHeight="1" x14ac:dyDescent="0.3">
      <c r="A17" s="59" t="s">
        <v>19</v>
      </c>
      <c r="B17" s="63">
        <v>0</v>
      </c>
      <c r="C17" s="63">
        <v>0</v>
      </c>
      <c r="D17" s="63">
        <v>0</v>
      </c>
      <c r="E17" s="63">
        <v>0</v>
      </c>
      <c r="F17" s="45">
        <f t="shared" si="0"/>
        <v>0</v>
      </c>
      <c r="G17" s="63">
        <v>0</v>
      </c>
      <c r="H17" s="51">
        <f t="shared" si="1"/>
        <v>0</v>
      </c>
      <c r="I17" s="105">
        <v>43913</v>
      </c>
      <c r="J17" s="95"/>
      <c r="K17" s="95"/>
      <c r="L17" s="95"/>
      <c r="M17" s="95"/>
      <c r="N17" s="95"/>
      <c r="O17" s="95"/>
    </row>
    <row r="18" spans="1:20" ht="15" customHeight="1" x14ac:dyDescent="0.3">
      <c r="A18" s="59" t="s">
        <v>554</v>
      </c>
      <c r="B18" s="63">
        <v>95</v>
      </c>
      <c r="C18" s="63">
        <v>98</v>
      </c>
      <c r="D18" s="63">
        <v>83</v>
      </c>
      <c r="E18" s="63">
        <v>70</v>
      </c>
      <c r="F18" s="45">
        <f t="shared" si="0"/>
        <v>346</v>
      </c>
      <c r="G18" s="63">
        <v>9</v>
      </c>
      <c r="H18" s="51">
        <f t="shared" si="1"/>
        <v>355</v>
      </c>
      <c r="I18" s="105">
        <v>43923</v>
      </c>
      <c r="J18" s="95"/>
      <c r="K18" s="95"/>
      <c r="L18" s="95"/>
      <c r="M18" s="95"/>
      <c r="N18" s="95"/>
      <c r="O18" s="95"/>
      <c r="P18" s="95"/>
      <c r="Q18" s="95"/>
      <c r="R18" s="95"/>
      <c r="S18" s="95"/>
      <c r="T18" s="95"/>
    </row>
    <row r="19" spans="1:20" ht="15" customHeight="1" x14ac:dyDescent="0.3">
      <c r="A19" s="231" t="s">
        <v>119</v>
      </c>
      <c r="B19" s="166" t="s">
        <v>2172</v>
      </c>
      <c r="C19" s="166">
        <v>0</v>
      </c>
      <c r="D19" s="166">
        <v>0</v>
      </c>
      <c r="E19" s="166">
        <v>0</v>
      </c>
      <c r="F19" s="45">
        <f t="shared" ref="F19:F21" si="2">SUM(B19:E19)</f>
        <v>0</v>
      </c>
      <c r="G19" s="166">
        <v>0</v>
      </c>
      <c r="H19" s="167">
        <f t="shared" ref="H19:H21" si="3">SUM(F19,G19)</f>
        <v>0</v>
      </c>
      <c r="I19" s="168"/>
      <c r="J19" s="95"/>
      <c r="L19" s="95"/>
      <c r="M19" s="95"/>
      <c r="N19" s="95"/>
      <c r="O19" s="95"/>
    </row>
    <row r="20" spans="1:20" ht="15" customHeight="1" x14ac:dyDescent="0.3">
      <c r="A20" s="231" t="s">
        <v>120</v>
      </c>
      <c r="B20" s="166">
        <v>0</v>
      </c>
      <c r="C20" s="166">
        <v>0</v>
      </c>
      <c r="D20" s="166">
        <v>0</v>
      </c>
      <c r="E20" s="166">
        <v>0</v>
      </c>
      <c r="F20" s="45">
        <f t="shared" si="2"/>
        <v>0</v>
      </c>
      <c r="G20" s="166">
        <v>0</v>
      </c>
      <c r="H20" s="167">
        <f t="shared" si="3"/>
        <v>0</v>
      </c>
      <c r="I20" s="168"/>
      <c r="L20" s="95"/>
      <c r="M20" s="95"/>
      <c r="N20" s="95"/>
      <c r="O20" s="95"/>
      <c r="P20" s="95"/>
      <c r="Q20" s="95"/>
      <c r="R20" s="95"/>
      <c r="S20" s="95"/>
      <c r="T20" s="95"/>
    </row>
    <row r="21" spans="1:20" ht="15" customHeight="1" x14ac:dyDescent="0.3">
      <c r="A21" s="231" t="s">
        <v>986</v>
      </c>
      <c r="B21" s="166">
        <v>0</v>
      </c>
      <c r="C21" s="166">
        <v>0</v>
      </c>
      <c r="D21" s="166">
        <v>0</v>
      </c>
      <c r="E21" s="166">
        <v>0</v>
      </c>
      <c r="F21" s="45">
        <f t="shared" si="2"/>
        <v>0</v>
      </c>
      <c r="G21" s="166">
        <v>0</v>
      </c>
      <c r="H21" s="167">
        <f t="shared" si="3"/>
        <v>0</v>
      </c>
      <c r="I21" s="168"/>
      <c r="K21" s="52"/>
      <c r="L21" s="95"/>
      <c r="M21" s="95"/>
      <c r="N21" s="95"/>
      <c r="O21" s="95"/>
      <c r="P21" s="95"/>
      <c r="Q21" s="95"/>
      <c r="R21" s="95"/>
      <c r="S21" s="95"/>
      <c r="T21" s="95"/>
    </row>
    <row r="22" spans="1:20" ht="15" customHeight="1" x14ac:dyDescent="0.3">
      <c r="A22" s="49" t="s">
        <v>85</v>
      </c>
      <c r="B22" s="60">
        <f>SUM(B5:B18)</f>
        <v>872</v>
      </c>
      <c r="C22" s="60">
        <f t="shared" ref="C22:H22" si="4">SUM(C5:C18)</f>
        <v>858</v>
      </c>
      <c r="D22" s="60">
        <f t="shared" si="4"/>
        <v>843</v>
      </c>
      <c r="E22" s="60">
        <f t="shared" si="4"/>
        <v>767</v>
      </c>
      <c r="F22" s="45">
        <f t="shared" si="4"/>
        <v>3340</v>
      </c>
      <c r="G22" s="60">
        <f t="shared" si="4"/>
        <v>121</v>
      </c>
      <c r="H22" s="51">
        <f t="shared" si="4"/>
        <v>3461</v>
      </c>
      <c r="I22" s="105"/>
      <c r="J22" s="95"/>
      <c r="K22" s="95"/>
      <c r="L22" s="95"/>
      <c r="M22" s="95"/>
      <c r="N22" s="95"/>
      <c r="O22" s="95"/>
      <c r="P22" s="95"/>
      <c r="Q22" s="95"/>
      <c r="R22" s="95"/>
      <c r="S22" s="95"/>
      <c r="T22" s="95"/>
    </row>
    <row r="23" spans="1:20" x14ac:dyDescent="0.3">
      <c r="A23" s="46"/>
      <c r="B23" s="47"/>
      <c r="C23" s="47"/>
      <c r="D23" s="47"/>
      <c r="E23" s="47"/>
      <c r="F23" s="47"/>
      <c r="G23" s="47"/>
      <c r="H23" s="48"/>
      <c r="I23" s="85"/>
      <c r="K23" s="95"/>
      <c r="L23" s="95"/>
      <c r="M23" s="95"/>
      <c r="N23" s="95"/>
      <c r="O23" s="95"/>
      <c r="P23" s="95"/>
      <c r="Q23" s="95"/>
      <c r="R23" s="95"/>
      <c r="S23" s="95"/>
      <c r="T23" s="95"/>
    </row>
    <row r="24" spans="1:20" x14ac:dyDescent="0.3">
      <c r="A24" s="85"/>
      <c r="B24" s="85"/>
      <c r="C24" s="85"/>
      <c r="D24" s="85"/>
      <c r="E24" s="85"/>
      <c r="F24" s="85"/>
      <c r="G24" s="85"/>
      <c r="H24" s="85"/>
      <c r="I24" s="85"/>
      <c r="K24" s="95"/>
      <c r="L24" s="95"/>
      <c r="M24" s="95"/>
      <c r="N24" s="95"/>
      <c r="O24" s="95"/>
      <c r="P24" s="95"/>
      <c r="Q24" s="95"/>
      <c r="R24" s="95"/>
      <c r="S24" s="95"/>
      <c r="T24" s="95"/>
    </row>
    <row r="25" spans="1:20" x14ac:dyDescent="0.3">
      <c r="A25" s="234" t="s">
        <v>8</v>
      </c>
      <c r="B25" s="235" t="s">
        <v>951</v>
      </c>
      <c r="C25" s="235" t="s">
        <v>944</v>
      </c>
      <c r="D25" s="235" t="s">
        <v>945</v>
      </c>
      <c r="E25" s="235" t="s">
        <v>949</v>
      </c>
      <c r="F25" s="213" t="s">
        <v>553</v>
      </c>
      <c r="G25" s="235" t="s">
        <v>946</v>
      </c>
      <c r="H25" s="235" t="s">
        <v>950</v>
      </c>
      <c r="I25" s="235" t="s">
        <v>948</v>
      </c>
      <c r="J25" s="235" t="s">
        <v>15</v>
      </c>
      <c r="K25" s="235" t="s">
        <v>947</v>
      </c>
      <c r="L25" s="235" t="s">
        <v>17</v>
      </c>
      <c r="M25" s="235" t="s">
        <v>18</v>
      </c>
      <c r="N25" s="235" t="s">
        <v>19</v>
      </c>
      <c r="O25" s="235" t="s">
        <v>554</v>
      </c>
      <c r="P25" s="234" t="s">
        <v>82</v>
      </c>
      <c r="Q25" s="234" t="s">
        <v>82</v>
      </c>
      <c r="R25" s="95"/>
      <c r="S25" s="95"/>
      <c r="T25" s="95"/>
    </row>
    <row r="26" spans="1:20" x14ac:dyDescent="0.3">
      <c r="A26" s="236" t="s">
        <v>86</v>
      </c>
      <c r="B26" s="61">
        <f>$H5</f>
        <v>320</v>
      </c>
      <c r="C26" s="61">
        <f>$H6</f>
        <v>208</v>
      </c>
      <c r="D26" s="61">
        <f>$H7</f>
        <v>157</v>
      </c>
      <c r="E26" s="61">
        <f>$H8</f>
        <v>397</v>
      </c>
      <c r="F26" s="61">
        <f>$H9</f>
        <v>223</v>
      </c>
      <c r="G26" s="61">
        <f>$H10</f>
        <v>190</v>
      </c>
      <c r="H26" s="61">
        <f>$H11</f>
        <v>459</v>
      </c>
      <c r="I26" s="61">
        <f>$H12</f>
        <v>88</v>
      </c>
      <c r="J26" s="61">
        <f>$H13</f>
        <v>252</v>
      </c>
      <c r="K26" s="61">
        <f>$H14</f>
        <v>442</v>
      </c>
      <c r="L26" s="61">
        <f>$H15</f>
        <v>201</v>
      </c>
      <c r="M26" s="61">
        <f>$H16</f>
        <v>169</v>
      </c>
      <c r="N26" s="61">
        <f>$H17</f>
        <v>0</v>
      </c>
      <c r="O26" s="61">
        <f>$H18</f>
        <v>355</v>
      </c>
      <c r="P26" s="237">
        <f>SUM(A26:O26)</f>
        <v>3461</v>
      </c>
      <c r="Q26" s="237">
        <f>SUM(B26:P26)</f>
        <v>6922</v>
      </c>
      <c r="R26" s="95"/>
    </row>
    <row r="27" spans="1:20" x14ac:dyDescent="0.3">
      <c r="A27" s="230"/>
      <c r="B27" s="95"/>
      <c r="C27" s="95"/>
      <c r="F27" s="95"/>
      <c r="G27" s="95"/>
      <c r="H27" s="95"/>
      <c r="I27" s="95"/>
      <c r="J27" s="95"/>
      <c r="K27" s="95"/>
      <c r="L27" s="95"/>
      <c r="M27" s="95"/>
      <c r="N27" s="95"/>
      <c r="O27" s="95"/>
      <c r="P27" s="95"/>
    </row>
    <row r="28" spans="1:20" x14ac:dyDescent="0.3">
      <c r="A28" s="230"/>
      <c r="B28" s="33"/>
      <c r="C28" s="33"/>
      <c r="D28" s="33"/>
      <c r="E28" s="33"/>
      <c r="F28" s="33"/>
      <c r="G28" s="33"/>
      <c r="K28" s="95"/>
      <c r="S28" s="95"/>
      <c r="T28" s="95"/>
    </row>
    <row r="29" spans="1:20" x14ac:dyDescent="0.3">
      <c r="A29" s="230"/>
      <c r="B29" s="33"/>
      <c r="C29" s="33"/>
      <c r="D29" s="232"/>
      <c r="E29" s="33"/>
      <c r="F29" s="33"/>
      <c r="G29" s="33"/>
      <c r="K29" s="95"/>
      <c r="L29" s="95"/>
      <c r="M29" s="95"/>
      <c r="N29" s="95"/>
      <c r="O29" s="95"/>
      <c r="P29" s="95"/>
      <c r="Q29" s="95"/>
      <c r="R29" s="95"/>
      <c r="S29" s="95"/>
      <c r="T29" s="95"/>
    </row>
    <row r="30" spans="1:20" x14ac:dyDescent="0.3">
      <c r="A30" s="33"/>
      <c r="B30" s="33"/>
      <c r="C30" s="33"/>
      <c r="D30" s="232"/>
      <c r="E30" s="33"/>
      <c r="F30" s="33"/>
      <c r="G30" s="33"/>
      <c r="K30" s="95"/>
      <c r="L30" s="95"/>
      <c r="M30" s="95"/>
      <c r="N30" s="95"/>
      <c r="O30" s="95"/>
      <c r="P30" s="95"/>
      <c r="Q30" s="95"/>
      <c r="R30" s="95"/>
      <c r="S30" s="95"/>
      <c r="T30" s="95"/>
    </row>
    <row r="31" spans="1:20" s="52" customFormat="1" x14ac:dyDescent="0.3">
      <c r="A31" s="33"/>
      <c r="B31" s="33"/>
      <c r="C31" s="33"/>
      <c r="D31" s="232"/>
      <c r="E31" s="33"/>
      <c r="F31" s="33"/>
      <c r="G31" s="33"/>
      <c r="K31" s="95"/>
      <c r="L31" s="5"/>
      <c r="M31" s="5"/>
      <c r="N31" s="5"/>
      <c r="O31" s="5"/>
      <c r="P31" s="5"/>
      <c r="Q31" s="5"/>
      <c r="R31" s="5"/>
      <c r="S31" s="5"/>
      <c r="T31" s="5"/>
    </row>
    <row r="32" spans="1:20" x14ac:dyDescent="0.3">
      <c r="A32" s="230"/>
      <c r="B32" s="33"/>
      <c r="C32" s="33"/>
      <c r="D32" s="232"/>
      <c r="E32" s="33"/>
      <c r="F32" s="33"/>
      <c r="G32" s="33"/>
      <c r="K32" s="95"/>
      <c r="L32" s="95"/>
      <c r="M32" s="95"/>
      <c r="N32" s="95"/>
      <c r="O32" s="95"/>
      <c r="P32" s="95"/>
      <c r="Q32" s="95"/>
      <c r="R32" s="95"/>
      <c r="S32" s="95"/>
      <c r="T32" s="95"/>
    </row>
    <row r="33" spans="1:20" x14ac:dyDescent="0.3">
      <c r="A33" s="230"/>
      <c r="B33" s="33"/>
      <c r="C33" s="33"/>
      <c r="D33" s="232"/>
      <c r="E33" s="33"/>
      <c r="F33" s="33"/>
      <c r="G33" s="33"/>
      <c r="L33" s="95"/>
      <c r="M33" s="95"/>
      <c r="N33" s="95"/>
      <c r="O33" s="95"/>
      <c r="P33" s="95"/>
      <c r="Q33" s="95"/>
      <c r="R33" s="95"/>
      <c r="S33" s="95"/>
      <c r="T33" s="95"/>
    </row>
    <row r="34" spans="1:20" x14ac:dyDescent="0.3">
      <c r="A34" s="230"/>
      <c r="B34" s="33"/>
      <c r="C34" s="33"/>
      <c r="D34" s="232"/>
      <c r="E34" s="33"/>
      <c r="F34" s="33"/>
      <c r="G34" s="33"/>
      <c r="L34" s="95"/>
      <c r="M34" s="95"/>
      <c r="N34" s="95"/>
      <c r="O34" s="95"/>
      <c r="P34" s="95"/>
      <c r="Q34" s="95"/>
      <c r="R34" s="95"/>
      <c r="S34" s="95"/>
      <c r="T34" s="95"/>
    </row>
    <row r="35" spans="1:20" x14ac:dyDescent="0.3">
      <c r="A35" s="230"/>
      <c r="B35" s="33"/>
      <c r="C35" s="33"/>
      <c r="D35" s="232"/>
      <c r="E35" s="33"/>
      <c r="F35" s="33"/>
      <c r="G35" s="33"/>
      <c r="L35" s="95"/>
      <c r="M35" s="95"/>
      <c r="N35" s="95"/>
      <c r="O35" s="95"/>
      <c r="P35" s="95"/>
      <c r="Q35" s="95"/>
      <c r="R35" s="95"/>
      <c r="S35" s="95"/>
      <c r="T35" s="95"/>
    </row>
    <row r="36" spans="1:20" x14ac:dyDescent="0.3">
      <c r="A36" s="230"/>
      <c r="B36" s="33"/>
      <c r="C36" s="33"/>
      <c r="D36" s="232"/>
      <c r="E36" s="33"/>
      <c r="F36" s="33"/>
      <c r="G36" s="33"/>
      <c r="L36" s="95"/>
      <c r="M36" s="95"/>
      <c r="N36" s="95"/>
      <c r="O36" s="95"/>
      <c r="P36" s="95"/>
      <c r="Q36" s="95"/>
      <c r="R36" s="95"/>
      <c r="S36" s="95"/>
      <c r="T36" s="95"/>
    </row>
    <row r="37" spans="1:20" x14ac:dyDescent="0.3">
      <c r="A37" s="230"/>
      <c r="B37" s="33"/>
      <c r="C37" s="33"/>
      <c r="D37" s="232"/>
      <c r="E37" s="33"/>
      <c r="F37" s="33"/>
      <c r="G37" s="33"/>
    </row>
    <row r="38" spans="1:20" x14ac:dyDescent="0.3">
      <c r="A38" s="230"/>
      <c r="B38" s="33"/>
      <c r="C38" s="33"/>
      <c r="D38" s="232"/>
      <c r="E38" s="33"/>
      <c r="F38" s="33"/>
      <c r="G38" s="33"/>
    </row>
    <row r="39" spans="1:20" s="52" customFormat="1" x14ac:dyDescent="0.3">
      <c r="A39" s="230"/>
      <c r="B39" s="33"/>
      <c r="C39" s="33"/>
      <c r="D39" s="232"/>
      <c r="E39" s="33"/>
      <c r="F39" s="33"/>
      <c r="G39" s="33"/>
    </row>
    <row r="40" spans="1:20" x14ac:dyDescent="0.3">
      <c r="A40" s="230"/>
      <c r="B40" s="33"/>
      <c r="C40" s="33"/>
      <c r="D40" s="232"/>
      <c r="E40" s="33"/>
      <c r="F40" s="33"/>
      <c r="G40" s="33"/>
      <c r="H40" s="85"/>
    </row>
    <row r="41" spans="1:20" x14ac:dyDescent="0.3">
      <c r="A41" s="230"/>
      <c r="B41" s="33"/>
      <c r="C41" s="33"/>
      <c r="D41" s="232"/>
      <c r="E41" s="33"/>
      <c r="F41" s="33"/>
      <c r="G41" s="33"/>
      <c r="H41" s="85"/>
    </row>
    <row r="42" spans="1:20" x14ac:dyDescent="0.3">
      <c r="A42" s="33"/>
      <c r="B42" s="33"/>
      <c r="C42" s="33"/>
      <c r="D42" s="33"/>
      <c r="E42" s="33"/>
      <c r="F42" s="33"/>
      <c r="G42" s="33"/>
      <c r="H42" s="85"/>
    </row>
    <row r="43" spans="1:20" x14ac:dyDescent="0.3">
      <c r="A43" s="233"/>
      <c r="B43" s="33"/>
      <c r="C43" s="33"/>
      <c r="D43" s="33"/>
      <c r="E43" s="33"/>
      <c r="F43" s="33"/>
      <c r="G43" s="33"/>
      <c r="H43" s="85"/>
      <c r="J43" s="85"/>
    </row>
    <row r="44" spans="1:20" x14ac:dyDescent="0.3">
      <c r="A44" s="233"/>
      <c r="B44" s="33"/>
      <c r="C44" s="33"/>
      <c r="D44" s="33"/>
      <c r="E44" s="33"/>
      <c r="F44" s="33"/>
      <c r="G44" s="33"/>
      <c r="H44" s="95"/>
      <c r="I44" s="95"/>
      <c r="J44" s="95"/>
      <c r="K44" s="95"/>
      <c r="L44" s="95"/>
      <c r="M44" s="95"/>
      <c r="N44" s="95"/>
      <c r="O44" s="95"/>
      <c r="P44" s="95"/>
      <c r="Q44" s="95"/>
      <c r="R44" s="95"/>
      <c r="S44" s="95"/>
      <c r="T44" s="95"/>
    </row>
    <row r="45" spans="1:20" x14ac:dyDescent="0.3">
      <c r="A45" s="233"/>
      <c r="B45" s="33"/>
      <c r="C45" s="33"/>
      <c r="D45" s="33"/>
      <c r="E45" s="33"/>
      <c r="F45" s="33"/>
      <c r="G45" s="33"/>
      <c r="H45" s="95"/>
      <c r="I45" s="95"/>
      <c r="J45" s="95"/>
      <c r="K45" s="95"/>
      <c r="L45" s="95"/>
      <c r="M45" s="95"/>
      <c r="N45" s="95"/>
      <c r="O45" s="95"/>
      <c r="P45" s="95"/>
      <c r="Q45" s="95"/>
      <c r="R45" s="95"/>
      <c r="S45" s="95"/>
      <c r="T45" s="95"/>
    </row>
    <row r="46" spans="1:20" x14ac:dyDescent="0.3">
      <c r="A46" s="5"/>
      <c r="B46" s="95"/>
      <c r="C46" s="95"/>
      <c r="D46" s="95"/>
      <c r="E46" s="95"/>
      <c r="F46" s="95"/>
      <c r="G46" s="95"/>
      <c r="H46" s="95"/>
      <c r="I46" s="95"/>
      <c r="J46" s="95"/>
      <c r="K46" s="95"/>
      <c r="L46" s="95"/>
      <c r="M46" s="95"/>
      <c r="N46" s="95"/>
      <c r="O46" s="95"/>
      <c r="P46" s="95"/>
      <c r="Q46" s="95"/>
      <c r="R46" s="95"/>
      <c r="S46" s="95"/>
      <c r="T46" s="95"/>
    </row>
  </sheetData>
  <sortState ref="A5:I22">
    <sortCondition ref="A5:A22"/>
  </sortState>
  <mergeCells count="1">
    <mergeCell ref="A2:H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L535"/>
  <sheetViews>
    <sheetView showZeros="0" zoomScale="80" zoomScaleNormal="80" workbookViewId="0">
      <pane ySplit="1" topLeftCell="A2" activePane="bottomLeft" state="frozen"/>
      <selection pane="bottomLeft"/>
    </sheetView>
  </sheetViews>
  <sheetFormatPr defaultRowHeight="14.4" x14ac:dyDescent="0.3"/>
  <cols>
    <col min="1" max="1" width="8.6640625" bestFit="1" customWidth="1"/>
    <col min="2" max="2" width="10" bestFit="1" customWidth="1"/>
    <col min="3" max="3" width="4.5546875" style="95" customWidth="1"/>
    <col min="4" max="4" width="43.109375" customWidth="1"/>
    <col min="5" max="5" width="9.44140625" customWidth="1"/>
    <col min="6" max="6" width="7.5546875" customWidth="1"/>
    <col min="7" max="7" width="6.33203125" bestFit="1" customWidth="1"/>
    <col min="8" max="9" width="6.33203125" style="95" customWidth="1"/>
    <col min="10" max="10" width="7.44140625" customWidth="1"/>
    <col min="11" max="12" width="7.6640625" customWidth="1"/>
    <col min="13" max="13" width="8.6640625" bestFit="1" customWidth="1"/>
    <col min="14" max="14" width="7.109375" customWidth="1"/>
    <col min="15" max="15" width="6.88671875" customWidth="1"/>
    <col min="16" max="16" width="7.88671875" customWidth="1"/>
    <col min="17" max="17" width="5.44140625" bestFit="1" customWidth="1"/>
    <col min="18" max="18" width="5.44140625" style="95" customWidth="1"/>
    <col min="19" max="28" width="5.44140625" bestFit="1" customWidth="1"/>
    <col min="29" max="29" width="5.44140625" style="95" customWidth="1"/>
    <col min="30" max="38" width="5.44140625" bestFit="1" customWidth="1"/>
  </cols>
  <sheetData>
    <row r="1" spans="1:38" ht="108" x14ac:dyDescent="0.3">
      <c r="A1" s="201" t="s">
        <v>0</v>
      </c>
      <c r="B1" s="201" t="s">
        <v>116</v>
      </c>
      <c r="C1" s="201" t="s">
        <v>142</v>
      </c>
      <c r="D1" s="201" t="s">
        <v>1</v>
      </c>
      <c r="E1" s="201" t="s">
        <v>3</v>
      </c>
      <c r="F1" s="201" t="s">
        <v>4</v>
      </c>
      <c r="G1" s="201" t="s">
        <v>5</v>
      </c>
      <c r="H1" s="201" t="s">
        <v>877</v>
      </c>
      <c r="I1" s="201" t="s">
        <v>178</v>
      </c>
      <c r="J1" s="201" t="s">
        <v>6</v>
      </c>
      <c r="K1" s="201" t="s">
        <v>7</v>
      </c>
      <c r="L1" s="201" t="s">
        <v>66</v>
      </c>
      <c r="M1" s="201" t="s">
        <v>837</v>
      </c>
      <c r="N1" s="201" t="s">
        <v>8</v>
      </c>
      <c r="O1" s="201" t="s">
        <v>9</v>
      </c>
      <c r="P1" s="201" t="s">
        <v>10</v>
      </c>
      <c r="Q1" s="201" t="s">
        <v>111</v>
      </c>
      <c r="R1" s="201" t="s">
        <v>1743</v>
      </c>
      <c r="S1" s="201" t="s">
        <v>11</v>
      </c>
      <c r="T1" s="201" t="s">
        <v>12</v>
      </c>
      <c r="U1" s="201" t="s">
        <v>951</v>
      </c>
      <c r="V1" s="201" t="s">
        <v>944</v>
      </c>
      <c r="W1" s="201" t="s">
        <v>945</v>
      </c>
      <c r="X1" s="201" t="s">
        <v>949</v>
      </c>
      <c r="Y1" s="201" t="s">
        <v>943</v>
      </c>
      <c r="Z1" s="201" t="s">
        <v>946</v>
      </c>
      <c r="AA1" s="201" t="s">
        <v>950</v>
      </c>
      <c r="AB1" s="201" t="s">
        <v>948</v>
      </c>
      <c r="AC1" s="201" t="s">
        <v>15</v>
      </c>
      <c r="AD1" s="201" t="s">
        <v>947</v>
      </c>
      <c r="AE1" s="201" t="s">
        <v>17</v>
      </c>
      <c r="AF1" s="201" t="s">
        <v>18</v>
      </c>
      <c r="AG1" s="201" t="s">
        <v>19</v>
      </c>
      <c r="AH1" s="201" t="s">
        <v>554</v>
      </c>
      <c r="AI1" s="201" t="s">
        <v>21</v>
      </c>
      <c r="AJ1" s="201" t="s">
        <v>596</v>
      </c>
      <c r="AK1" s="201" t="s">
        <v>987</v>
      </c>
      <c r="AL1" s="201" t="s">
        <v>857</v>
      </c>
    </row>
    <row r="2" spans="1:38" ht="14.4" customHeight="1" x14ac:dyDescent="0.3">
      <c r="A2" s="203"/>
      <c r="B2" s="34"/>
      <c r="C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202"/>
      <c r="AL2" s="34"/>
    </row>
    <row r="3" spans="1:38" ht="14.4" customHeight="1" x14ac:dyDescent="0.3">
      <c r="A3" s="203">
        <v>1016405</v>
      </c>
      <c r="B3" s="34" t="s">
        <v>36</v>
      </c>
      <c r="C3" s="34" t="s">
        <v>1121</v>
      </c>
      <c r="D3" s="34" t="s">
        <v>2316</v>
      </c>
      <c r="E3" s="34" t="s">
        <v>857</v>
      </c>
      <c r="F3" s="34" t="s">
        <v>1993</v>
      </c>
      <c r="G3" s="34">
        <v>80</v>
      </c>
      <c r="H3" s="34" t="s">
        <v>36</v>
      </c>
      <c r="I3" s="34" t="s">
        <v>1450</v>
      </c>
      <c r="J3" s="34" t="s">
        <v>104</v>
      </c>
      <c r="K3" s="34" t="s">
        <v>36</v>
      </c>
      <c r="L3" s="34" t="s">
        <v>30</v>
      </c>
      <c r="M3" s="34">
        <v>1016405</v>
      </c>
      <c r="N3" s="34" t="s">
        <v>554</v>
      </c>
      <c r="O3" s="34" t="s">
        <v>36</v>
      </c>
      <c r="P3" s="34" t="s">
        <v>36</v>
      </c>
      <c r="Q3" s="34" t="s">
        <v>36</v>
      </c>
      <c r="R3" s="34" t="s">
        <v>36</v>
      </c>
      <c r="S3" s="34">
        <v>0</v>
      </c>
      <c r="T3" s="34" t="s">
        <v>36</v>
      </c>
      <c r="U3" s="34" t="s">
        <v>36</v>
      </c>
      <c r="V3" s="34" t="s">
        <v>36</v>
      </c>
      <c r="W3" s="34" t="s">
        <v>36</v>
      </c>
      <c r="X3" s="34" t="s">
        <v>36</v>
      </c>
      <c r="Y3" s="34" t="s">
        <v>36</v>
      </c>
      <c r="Z3" s="34" t="s">
        <v>36</v>
      </c>
      <c r="AA3" s="34" t="s">
        <v>36</v>
      </c>
      <c r="AB3" s="34" t="s">
        <v>36</v>
      </c>
      <c r="AC3" s="34" t="s">
        <v>36</v>
      </c>
      <c r="AD3" s="34" t="s">
        <v>36</v>
      </c>
      <c r="AE3" s="34" t="s">
        <v>36</v>
      </c>
      <c r="AF3" s="34" t="s">
        <v>36</v>
      </c>
      <c r="AG3" s="34" t="s">
        <v>36</v>
      </c>
      <c r="AH3" s="34" t="s">
        <v>36</v>
      </c>
      <c r="AI3" s="34" t="s">
        <v>36</v>
      </c>
      <c r="AJ3" s="34" t="s">
        <v>36</v>
      </c>
      <c r="AK3" s="202" t="s">
        <v>36</v>
      </c>
      <c r="AL3" s="34" t="s">
        <v>36</v>
      </c>
    </row>
    <row r="4" spans="1:38" ht="14.4" customHeight="1" x14ac:dyDescent="0.3">
      <c r="A4" s="203">
        <v>1016383</v>
      </c>
      <c r="B4" s="34">
        <v>216351</v>
      </c>
      <c r="C4" s="34" t="s">
        <v>117</v>
      </c>
      <c r="D4" s="34" t="s">
        <v>2312</v>
      </c>
      <c r="E4" s="34" t="s">
        <v>886</v>
      </c>
      <c r="F4" s="34" t="s">
        <v>132</v>
      </c>
      <c r="G4" s="34">
        <v>18</v>
      </c>
      <c r="H4" s="34" t="s">
        <v>880</v>
      </c>
      <c r="I4" s="34" t="s">
        <v>2313</v>
      </c>
      <c r="J4" s="34" t="s">
        <v>847</v>
      </c>
      <c r="K4" s="34" t="s">
        <v>1869</v>
      </c>
      <c r="L4" s="34" t="s">
        <v>36</v>
      </c>
      <c r="M4" s="34">
        <v>216351</v>
      </c>
      <c r="N4" s="34" t="s">
        <v>947</v>
      </c>
      <c r="O4" s="34" t="s">
        <v>31</v>
      </c>
      <c r="P4" s="34" t="s">
        <v>53</v>
      </c>
      <c r="Q4" s="34">
        <v>1</v>
      </c>
      <c r="R4" s="34" t="s">
        <v>1760</v>
      </c>
      <c r="S4" s="34">
        <v>0</v>
      </c>
      <c r="T4" s="34">
        <v>0</v>
      </c>
      <c r="U4" s="34">
        <v>0</v>
      </c>
      <c r="V4" s="34">
        <v>0</v>
      </c>
      <c r="W4" s="34">
        <v>0</v>
      </c>
      <c r="X4" s="34">
        <v>0</v>
      </c>
      <c r="Y4" s="34">
        <v>0</v>
      </c>
      <c r="Z4" s="34">
        <v>0</v>
      </c>
      <c r="AA4" s="34">
        <v>0</v>
      </c>
      <c r="AB4" s="34">
        <v>0</v>
      </c>
      <c r="AC4" s="34">
        <v>0</v>
      </c>
      <c r="AD4" s="34">
        <v>0</v>
      </c>
      <c r="AE4" s="34">
        <v>0</v>
      </c>
      <c r="AF4" s="34">
        <v>0</v>
      </c>
      <c r="AG4" s="34">
        <v>0</v>
      </c>
      <c r="AH4" s="34">
        <v>0</v>
      </c>
      <c r="AI4" s="34">
        <v>0</v>
      </c>
      <c r="AJ4" s="34">
        <v>0</v>
      </c>
      <c r="AK4" s="202">
        <v>0</v>
      </c>
      <c r="AL4" s="34">
        <v>6</v>
      </c>
    </row>
    <row r="5" spans="1:38" ht="14.4" customHeight="1" x14ac:dyDescent="0.3">
      <c r="A5" s="203">
        <v>1015911</v>
      </c>
      <c r="B5" s="34">
        <v>1016405</v>
      </c>
      <c r="C5" s="34" t="s">
        <v>117</v>
      </c>
      <c r="D5" s="34" t="s">
        <v>2303</v>
      </c>
      <c r="E5" s="34" t="s">
        <v>1321</v>
      </c>
      <c r="F5" s="34" t="s">
        <v>28</v>
      </c>
      <c r="G5" s="34">
        <v>42</v>
      </c>
      <c r="H5" s="34" t="s">
        <v>880</v>
      </c>
      <c r="I5" s="34" t="s">
        <v>2347</v>
      </c>
      <c r="J5" s="34" t="s">
        <v>595</v>
      </c>
      <c r="K5" s="34" t="s">
        <v>939</v>
      </c>
      <c r="L5" s="34" t="s">
        <v>36</v>
      </c>
      <c r="M5" s="34">
        <v>1016405</v>
      </c>
      <c r="N5" s="34" t="s">
        <v>554</v>
      </c>
      <c r="O5" s="34" t="s">
        <v>36</v>
      </c>
      <c r="P5" s="34" t="s">
        <v>36</v>
      </c>
      <c r="Q5" s="34">
        <v>0</v>
      </c>
      <c r="R5" s="34" t="s">
        <v>1761</v>
      </c>
      <c r="S5" s="34">
        <v>1</v>
      </c>
      <c r="T5" s="34">
        <v>0</v>
      </c>
      <c r="U5" s="34">
        <v>0</v>
      </c>
      <c r="V5" s="34">
        <v>0</v>
      </c>
      <c r="W5" s="34">
        <v>0</v>
      </c>
      <c r="X5" s="34">
        <v>0</v>
      </c>
      <c r="Y5" s="34">
        <v>0</v>
      </c>
      <c r="Z5" s="34">
        <v>0</v>
      </c>
      <c r="AA5" s="34">
        <v>0</v>
      </c>
      <c r="AB5" s="34">
        <v>0</v>
      </c>
      <c r="AC5" s="34">
        <v>0</v>
      </c>
      <c r="AD5" s="34">
        <v>0</v>
      </c>
      <c r="AE5" s="34">
        <v>0</v>
      </c>
      <c r="AF5" s="34">
        <v>0</v>
      </c>
      <c r="AG5" s="34">
        <v>0</v>
      </c>
      <c r="AH5" s="34">
        <v>42</v>
      </c>
      <c r="AI5" s="34">
        <v>0</v>
      </c>
      <c r="AJ5" s="34">
        <v>0</v>
      </c>
      <c r="AK5" s="202">
        <v>42</v>
      </c>
      <c r="AL5" s="34">
        <v>0</v>
      </c>
    </row>
    <row r="6" spans="1:38" ht="14.4" customHeight="1" x14ac:dyDescent="0.3">
      <c r="A6" s="203">
        <v>1015827</v>
      </c>
      <c r="B6" s="34">
        <v>216364</v>
      </c>
      <c r="C6" s="34" t="s">
        <v>117</v>
      </c>
      <c r="D6" s="34" t="s">
        <v>2297</v>
      </c>
      <c r="E6" s="34" t="s">
        <v>36</v>
      </c>
      <c r="F6" s="34" t="s">
        <v>132</v>
      </c>
      <c r="G6" s="34">
        <v>0</v>
      </c>
      <c r="H6" s="34" t="s">
        <v>880</v>
      </c>
      <c r="I6" s="34" t="s">
        <v>2285</v>
      </c>
      <c r="J6" s="34" t="s">
        <v>547</v>
      </c>
      <c r="K6" s="34" t="s">
        <v>36</v>
      </c>
      <c r="L6" s="34" t="s">
        <v>36</v>
      </c>
      <c r="M6" s="34">
        <v>216364</v>
      </c>
      <c r="N6" s="34" t="s">
        <v>951</v>
      </c>
      <c r="O6" s="34" t="s">
        <v>31</v>
      </c>
      <c r="P6" s="34" t="s">
        <v>53</v>
      </c>
      <c r="Q6" s="34">
        <v>3</v>
      </c>
      <c r="R6" s="34" t="s">
        <v>1761</v>
      </c>
      <c r="S6" s="34">
        <v>0</v>
      </c>
      <c r="T6" s="34">
        <v>0</v>
      </c>
      <c r="U6" s="34" t="s">
        <v>36</v>
      </c>
      <c r="V6" s="34" t="s">
        <v>36</v>
      </c>
      <c r="W6" s="34" t="s">
        <v>36</v>
      </c>
      <c r="X6" s="34" t="s">
        <v>36</v>
      </c>
      <c r="Y6" s="34" t="s">
        <v>36</v>
      </c>
      <c r="Z6" s="34" t="s">
        <v>36</v>
      </c>
      <c r="AA6" s="34" t="s">
        <v>36</v>
      </c>
      <c r="AB6" s="34" t="s">
        <v>36</v>
      </c>
      <c r="AC6" s="34" t="s">
        <v>36</v>
      </c>
      <c r="AD6" s="34" t="s">
        <v>36</v>
      </c>
      <c r="AE6" s="34" t="s">
        <v>36</v>
      </c>
      <c r="AF6" s="34" t="s">
        <v>36</v>
      </c>
      <c r="AG6" s="34" t="s">
        <v>36</v>
      </c>
      <c r="AH6" s="34" t="s">
        <v>36</v>
      </c>
      <c r="AI6" s="34">
        <v>0</v>
      </c>
      <c r="AJ6" s="34">
        <v>0</v>
      </c>
      <c r="AK6" s="202">
        <v>0</v>
      </c>
      <c r="AL6" s="34">
        <v>2</v>
      </c>
    </row>
    <row r="7" spans="1:38" ht="14.4" customHeight="1" x14ac:dyDescent="0.3">
      <c r="A7" s="203">
        <v>1015603</v>
      </c>
      <c r="B7" s="34">
        <v>216364</v>
      </c>
      <c r="C7" s="34" t="s">
        <v>117</v>
      </c>
      <c r="D7" s="34" t="s">
        <v>2269</v>
      </c>
      <c r="E7" s="34" t="s">
        <v>36</v>
      </c>
      <c r="F7" s="34" t="s">
        <v>132</v>
      </c>
      <c r="G7" s="34">
        <v>60</v>
      </c>
      <c r="H7" s="34" t="s">
        <v>880</v>
      </c>
      <c r="I7" s="34" t="s">
        <v>2305</v>
      </c>
      <c r="J7" s="34" t="s">
        <v>173</v>
      </c>
      <c r="K7" s="34" t="s">
        <v>36</v>
      </c>
      <c r="L7" s="34" t="s">
        <v>36</v>
      </c>
      <c r="M7" s="34">
        <v>216364</v>
      </c>
      <c r="N7" s="34" t="s">
        <v>554</v>
      </c>
      <c r="O7" s="34" t="s">
        <v>31</v>
      </c>
      <c r="P7" s="34" t="s">
        <v>53</v>
      </c>
      <c r="Q7" s="34">
        <v>1</v>
      </c>
      <c r="R7" s="34" t="s">
        <v>1761</v>
      </c>
      <c r="S7" s="34">
        <v>0</v>
      </c>
      <c r="T7" s="34">
        <v>0</v>
      </c>
      <c r="U7" s="34" t="s">
        <v>36</v>
      </c>
      <c r="V7" s="34" t="s">
        <v>36</v>
      </c>
      <c r="W7" s="34" t="s">
        <v>36</v>
      </c>
      <c r="X7" s="34" t="s">
        <v>36</v>
      </c>
      <c r="Y7" s="34" t="s">
        <v>36</v>
      </c>
      <c r="Z7" s="34" t="s">
        <v>36</v>
      </c>
      <c r="AA7" s="34" t="s">
        <v>36</v>
      </c>
      <c r="AB7" s="34" t="s">
        <v>36</v>
      </c>
      <c r="AC7" s="34" t="s">
        <v>36</v>
      </c>
      <c r="AD7" s="34" t="s">
        <v>36</v>
      </c>
      <c r="AE7" s="34" t="s">
        <v>36</v>
      </c>
      <c r="AF7" s="34" t="s">
        <v>36</v>
      </c>
      <c r="AG7" s="34" t="s">
        <v>36</v>
      </c>
      <c r="AH7" s="34" t="s">
        <v>36</v>
      </c>
      <c r="AI7" s="34">
        <v>0</v>
      </c>
      <c r="AJ7" s="34">
        <v>0</v>
      </c>
      <c r="AK7" s="202">
        <v>0</v>
      </c>
      <c r="AL7" s="34">
        <v>0</v>
      </c>
    </row>
    <row r="8" spans="1:38" ht="14.4" customHeight="1" x14ac:dyDescent="0.3">
      <c r="A8" s="203">
        <v>1015565</v>
      </c>
      <c r="B8" s="34">
        <v>216364</v>
      </c>
      <c r="C8" s="34" t="s">
        <v>117</v>
      </c>
      <c r="D8" s="34" t="s">
        <v>2255</v>
      </c>
      <c r="E8" s="34" t="s">
        <v>36</v>
      </c>
      <c r="F8" s="34" t="s">
        <v>132</v>
      </c>
      <c r="G8" s="34">
        <v>21</v>
      </c>
      <c r="H8" s="34" t="s">
        <v>880</v>
      </c>
      <c r="I8" s="34" t="s">
        <v>2306</v>
      </c>
      <c r="J8" s="34" t="s">
        <v>1165</v>
      </c>
      <c r="K8" s="34" t="s">
        <v>104</v>
      </c>
      <c r="L8" s="34" t="s">
        <v>36</v>
      </c>
      <c r="M8" s="34">
        <v>216364</v>
      </c>
      <c r="N8" s="34" t="s">
        <v>554</v>
      </c>
      <c r="O8" s="34" t="s">
        <v>31</v>
      </c>
      <c r="P8" s="34" t="s">
        <v>53</v>
      </c>
      <c r="Q8" s="34">
        <v>1</v>
      </c>
      <c r="R8" s="34" t="s">
        <v>1761</v>
      </c>
      <c r="S8" s="34">
        <v>0</v>
      </c>
      <c r="T8" s="34">
        <v>0</v>
      </c>
      <c r="U8" s="34" t="s">
        <v>36</v>
      </c>
      <c r="V8" s="34" t="s">
        <v>36</v>
      </c>
      <c r="W8" s="34" t="s">
        <v>36</v>
      </c>
      <c r="X8" s="34" t="s">
        <v>36</v>
      </c>
      <c r="Y8" s="34" t="s">
        <v>36</v>
      </c>
      <c r="Z8" s="34" t="s">
        <v>36</v>
      </c>
      <c r="AA8" s="34" t="s">
        <v>36</v>
      </c>
      <c r="AB8" s="34" t="s">
        <v>36</v>
      </c>
      <c r="AC8" s="34" t="s">
        <v>36</v>
      </c>
      <c r="AD8" s="34" t="s">
        <v>36</v>
      </c>
      <c r="AE8" s="34" t="s">
        <v>36</v>
      </c>
      <c r="AF8" s="34" t="s">
        <v>36</v>
      </c>
      <c r="AG8" s="34" t="s">
        <v>36</v>
      </c>
      <c r="AH8" s="34" t="s">
        <v>36</v>
      </c>
      <c r="AI8" s="34">
        <v>0</v>
      </c>
      <c r="AJ8" s="34">
        <v>0</v>
      </c>
      <c r="AK8" s="202">
        <v>0</v>
      </c>
      <c r="AL8" s="34">
        <v>0</v>
      </c>
    </row>
    <row r="9" spans="1:38" ht="14.4" customHeight="1" x14ac:dyDescent="0.3">
      <c r="A9" s="203">
        <v>1015467</v>
      </c>
      <c r="B9" s="34">
        <v>255707</v>
      </c>
      <c r="C9" s="34" t="s">
        <v>1121</v>
      </c>
      <c r="D9" s="34" t="s">
        <v>2256</v>
      </c>
      <c r="E9" s="34" t="s">
        <v>857</v>
      </c>
      <c r="F9" s="34" t="s">
        <v>1993</v>
      </c>
      <c r="G9" s="34">
        <v>37</v>
      </c>
      <c r="H9" s="34" t="s">
        <v>36</v>
      </c>
      <c r="I9" s="34" t="s">
        <v>36</v>
      </c>
      <c r="J9" s="34" t="s">
        <v>171</v>
      </c>
      <c r="K9" s="34" t="s">
        <v>36</v>
      </c>
      <c r="L9" s="34" t="s">
        <v>30</v>
      </c>
      <c r="M9" s="34">
        <v>1015467</v>
      </c>
      <c r="N9" s="34" t="s">
        <v>15</v>
      </c>
      <c r="O9" s="34" t="s">
        <v>555</v>
      </c>
      <c r="P9" s="34" t="s">
        <v>559</v>
      </c>
      <c r="Q9" s="34" t="s">
        <v>36</v>
      </c>
      <c r="R9" s="34" t="s">
        <v>36</v>
      </c>
      <c r="S9" s="34">
        <v>0</v>
      </c>
      <c r="T9" s="34" t="s">
        <v>36</v>
      </c>
      <c r="U9" s="34" t="s">
        <v>36</v>
      </c>
      <c r="V9" s="34" t="s">
        <v>36</v>
      </c>
      <c r="W9" s="34" t="s">
        <v>36</v>
      </c>
      <c r="X9" s="34" t="s">
        <v>36</v>
      </c>
      <c r="Y9" s="34" t="s">
        <v>36</v>
      </c>
      <c r="Z9" s="34" t="s">
        <v>36</v>
      </c>
      <c r="AA9" s="34" t="s">
        <v>36</v>
      </c>
      <c r="AB9" s="34" t="s">
        <v>36</v>
      </c>
      <c r="AC9" s="34" t="s">
        <v>36</v>
      </c>
      <c r="AD9" s="34" t="s">
        <v>36</v>
      </c>
      <c r="AE9" s="34" t="s">
        <v>36</v>
      </c>
      <c r="AF9" s="34" t="s">
        <v>36</v>
      </c>
      <c r="AG9" s="34" t="s">
        <v>36</v>
      </c>
      <c r="AH9" s="34" t="s">
        <v>36</v>
      </c>
      <c r="AI9" s="34" t="s">
        <v>36</v>
      </c>
      <c r="AJ9" s="34" t="s">
        <v>36</v>
      </c>
      <c r="AK9" s="202" t="s">
        <v>36</v>
      </c>
      <c r="AL9" s="34" t="s">
        <v>36</v>
      </c>
    </row>
    <row r="10" spans="1:38" ht="14.4" customHeight="1" x14ac:dyDescent="0.3">
      <c r="A10" s="203">
        <v>1015458</v>
      </c>
      <c r="B10" s="34">
        <v>1015438</v>
      </c>
      <c r="C10" s="34" t="s">
        <v>117</v>
      </c>
      <c r="D10" s="34" t="s">
        <v>2240</v>
      </c>
      <c r="E10" s="34" t="s">
        <v>886</v>
      </c>
      <c r="F10" s="34" t="s">
        <v>132</v>
      </c>
      <c r="G10" s="34">
        <v>13</v>
      </c>
      <c r="H10" s="34" t="s">
        <v>41</v>
      </c>
      <c r="I10" s="34" t="s">
        <v>2242</v>
      </c>
      <c r="J10" s="34" t="s">
        <v>135</v>
      </c>
      <c r="K10" s="34" t="s">
        <v>38</v>
      </c>
      <c r="L10" s="34" t="s">
        <v>36</v>
      </c>
      <c r="M10" s="34">
        <v>1015438</v>
      </c>
      <c r="N10" s="34" t="s">
        <v>15</v>
      </c>
      <c r="O10" s="34" t="s">
        <v>31</v>
      </c>
      <c r="P10" s="34" t="s">
        <v>136</v>
      </c>
      <c r="Q10" s="34">
        <v>0</v>
      </c>
      <c r="R10" s="34" t="s">
        <v>36</v>
      </c>
      <c r="S10" s="34">
        <v>0</v>
      </c>
      <c r="T10" s="34">
        <v>0</v>
      </c>
      <c r="U10" s="34">
        <v>0</v>
      </c>
      <c r="V10" s="34">
        <v>0</v>
      </c>
      <c r="W10" s="34">
        <v>0</v>
      </c>
      <c r="X10" s="34">
        <v>0</v>
      </c>
      <c r="Y10" s="34">
        <v>0</v>
      </c>
      <c r="Z10" s="34">
        <v>0</v>
      </c>
      <c r="AA10" s="34">
        <v>0</v>
      </c>
      <c r="AB10" s="34">
        <v>0</v>
      </c>
      <c r="AC10" s="34">
        <v>0</v>
      </c>
      <c r="AD10" s="34">
        <v>0</v>
      </c>
      <c r="AE10" s="34">
        <v>0</v>
      </c>
      <c r="AF10" s="34">
        <v>0</v>
      </c>
      <c r="AG10" s="34">
        <v>0</v>
      </c>
      <c r="AH10" s="34">
        <v>0</v>
      </c>
      <c r="AI10" s="34">
        <v>0</v>
      </c>
      <c r="AJ10" s="34">
        <v>0</v>
      </c>
      <c r="AK10" s="202">
        <v>0</v>
      </c>
      <c r="AL10" s="34">
        <v>0</v>
      </c>
    </row>
    <row r="11" spans="1:38" ht="14.4" customHeight="1" x14ac:dyDescent="0.3">
      <c r="A11" s="203">
        <v>1015439</v>
      </c>
      <c r="B11" s="34">
        <v>1015438</v>
      </c>
      <c r="C11" s="34" t="s">
        <v>117</v>
      </c>
      <c r="D11" s="34" t="s">
        <v>2240</v>
      </c>
      <c r="E11" s="34" t="s">
        <v>1321</v>
      </c>
      <c r="F11" s="34" t="s">
        <v>28</v>
      </c>
      <c r="G11" s="34">
        <v>13</v>
      </c>
      <c r="H11" s="34" t="s">
        <v>41</v>
      </c>
      <c r="I11" s="34" t="s">
        <v>2320</v>
      </c>
      <c r="J11" s="34" t="s">
        <v>135</v>
      </c>
      <c r="K11" s="34" t="s">
        <v>38</v>
      </c>
      <c r="L11" s="34" t="s">
        <v>36</v>
      </c>
      <c r="M11" s="34">
        <v>1015438</v>
      </c>
      <c r="N11" s="34" t="s">
        <v>15</v>
      </c>
      <c r="O11" s="34" t="s">
        <v>31</v>
      </c>
      <c r="P11" s="34" t="s">
        <v>136</v>
      </c>
      <c r="Q11" s="34">
        <v>0</v>
      </c>
      <c r="R11" s="34" t="s">
        <v>36</v>
      </c>
      <c r="S11" s="34">
        <v>4</v>
      </c>
      <c r="T11" s="34">
        <v>0</v>
      </c>
      <c r="U11" s="34">
        <v>0</v>
      </c>
      <c r="V11" s="34">
        <v>0</v>
      </c>
      <c r="W11" s="34">
        <v>0</v>
      </c>
      <c r="X11" s="34">
        <v>0</v>
      </c>
      <c r="Y11" s="34">
        <v>0</v>
      </c>
      <c r="Z11" s="34">
        <v>0</v>
      </c>
      <c r="AA11" s="34">
        <v>0</v>
      </c>
      <c r="AB11" s="34">
        <v>0</v>
      </c>
      <c r="AC11" s="34">
        <v>7</v>
      </c>
      <c r="AD11" s="34">
        <v>2</v>
      </c>
      <c r="AE11" s="34">
        <v>2</v>
      </c>
      <c r="AF11" s="34">
        <v>0</v>
      </c>
      <c r="AG11" s="34">
        <v>0</v>
      </c>
      <c r="AH11" s="34">
        <v>2</v>
      </c>
      <c r="AI11" s="34">
        <v>0</v>
      </c>
      <c r="AJ11" s="34">
        <v>0</v>
      </c>
      <c r="AK11" s="202">
        <v>13</v>
      </c>
      <c r="AL11" s="34">
        <v>0</v>
      </c>
    </row>
    <row r="12" spans="1:38" ht="14.4" customHeight="1" x14ac:dyDescent="0.3">
      <c r="A12" s="203">
        <v>1015438</v>
      </c>
      <c r="B12" s="34">
        <v>245569</v>
      </c>
      <c r="C12" s="34" t="s">
        <v>1121</v>
      </c>
      <c r="D12" s="34" t="s">
        <v>2247</v>
      </c>
      <c r="E12" s="34" t="s">
        <v>857</v>
      </c>
      <c r="F12" s="34" t="s">
        <v>1993</v>
      </c>
      <c r="G12" s="34">
        <v>26</v>
      </c>
      <c r="H12" s="34" t="s">
        <v>36</v>
      </c>
      <c r="I12" s="34" t="s">
        <v>2248</v>
      </c>
      <c r="J12" s="34" t="s">
        <v>135</v>
      </c>
      <c r="K12" s="34" t="s">
        <v>36</v>
      </c>
      <c r="L12" s="34" t="s">
        <v>30</v>
      </c>
      <c r="M12" s="34">
        <v>1015438</v>
      </c>
      <c r="N12" s="34" t="s">
        <v>15</v>
      </c>
      <c r="O12" s="34" t="s">
        <v>31</v>
      </c>
      <c r="P12" s="34" t="s">
        <v>136</v>
      </c>
      <c r="Q12" s="34" t="s">
        <v>36</v>
      </c>
      <c r="R12" s="34" t="s">
        <v>36</v>
      </c>
      <c r="S12" s="34">
        <v>0</v>
      </c>
      <c r="T12" s="34" t="s">
        <v>36</v>
      </c>
      <c r="U12" s="34" t="s">
        <v>36</v>
      </c>
      <c r="V12" s="34" t="s">
        <v>36</v>
      </c>
      <c r="W12" s="34" t="s">
        <v>36</v>
      </c>
      <c r="X12" s="34" t="s">
        <v>36</v>
      </c>
      <c r="Y12" s="34" t="s">
        <v>36</v>
      </c>
      <c r="Z12" s="34" t="s">
        <v>36</v>
      </c>
      <c r="AA12" s="34" t="s">
        <v>36</v>
      </c>
      <c r="AB12" s="34" t="s">
        <v>36</v>
      </c>
      <c r="AC12" s="34" t="s">
        <v>36</v>
      </c>
      <c r="AD12" s="34" t="s">
        <v>36</v>
      </c>
      <c r="AE12" s="34" t="s">
        <v>36</v>
      </c>
      <c r="AF12" s="34" t="s">
        <v>36</v>
      </c>
      <c r="AG12" s="34" t="s">
        <v>36</v>
      </c>
      <c r="AH12" s="34" t="s">
        <v>36</v>
      </c>
      <c r="AI12" s="34" t="s">
        <v>36</v>
      </c>
      <c r="AJ12" s="34" t="s">
        <v>36</v>
      </c>
      <c r="AK12" s="202" t="s">
        <v>36</v>
      </c>
      <c r="AL12" s="34" t="s">
        <v>36</v>
      </c>
    </row>
    <row r="13" spans="1:38" ht="14.4" customHeight="1" x14ac:dyDescent="0.3">
      <c r="A13" s="203">
        <v>1015251</v>
      </c>
      <c r="B13" s="34">
        <v>245898</v>
      </c>
      <c r="C13" s="34" t="s">
        <v>1121</v>
      </c>
      <c r="D13" s="34" t="s">
        <v>2207</v>
      </c>
      <c r="E13" s="34" t="s">
        <v>857</v>
      </c>
      <c r="F13" s="34" t="s">
        <v>165</v>
      </c>
      <c r="G13" s="34">
        <v>320</v>
      </c>
      <c r="H13" s="34" t="s">
        <v>36</v>
      </c>
      <c r="I13" s="34" t="s">
        <v>36</v>
      </c>
      <c r="J13" s="34" t="s">
        <v>547</v>
      </c>
      <c r="K13" s="34" t="s">
        <v>36</v>
      </c>
      <c r="L13" s="34" t="s">
        <v>30</v>
      </c>
      <c r="M13" s="34">
        <v>1015251</v>
      </c>
      <c r="N13" s="34" t="s">
        <v>15</v>
      </c>
      <c r="O13" s="34" t="s">
        <v>37</v>
      </c>
      <c r="P13" s="34" t="s">
        <v>39</v>
      </c>
      <c r="Q13" s="34" t="s">
        <v>36</v>
      </c>
      <c r="R13" s="34" t="s">
        <v>36</v>
      </c>
      <c r="S13" s="34">
        <v>0</v>
      </c>
      <c r="T13" s="34" t="s">
        <v>36</v>
      </c>
      <c r="U13" s="34" t="s">
        <v>36</v>
      </c>
      <c r="V13" s="34" t="s">
        <v>36</v>
      </c>
      <c r="W13" s="34" t="s">
        <v>36</v>
      </c>
      <c r="X13" s="34" t="s">
        <v>36</v>
      </c>
      <c r="Y13" s="34" t="s">
        <v>36</v>
      </c>
      <c r="Z13" s="34" t="s">
        <v>36</v>
      </c>
      <c r="AA13" s="34" t="s">
        <v>36</v>
      </c>
      <c r="AB13" s="34" t="s">
        <v>36</v>
      </c>
      <c r="AC13" s="34" t="s">
        <v>36</v>
      </c>
      <c r="AD13" s="34" t="s">
        <v>36</v>
      </c>
      <c r="AE13" s="34" t="s">
        <v>36</v>
      </c>
      <c r="AF13" s="34" t="s">
        <v>36</v>
      </c>
      <c r="AG13" s="34" t="s">
        <v>36</v>
      </c>
      <c r="AH13" s="34" t="s">
        <v>36</v>
      </c>
      <c r="AI13" s="34" t="s">
        <v>36</v>
      </c>
      <c r="AJ13" s="34" t="s">
        <v>36</v>
      </c>
      <c r="AK13" s="202" t="s">
        <v>36</v>
      </c>
      <c r="AL13" s="34" t="s">
        <v>36</v>
      </c>
    </row>
    <row r="14" spans="1:38" ht="14.4" customHeight="1" x14ac:dyDescent="0.3">
      <c r="A14" s="203">
        <v>1015250</v>
      </c>
      <c r="B14" s="34">
        <v>245898</v>
      </c>
      <c r="C14" s="34" t="s">
        <v>1121</v>
      </c>
      <c r="D14" s="34" t="s">
        <v>2208</v>
      </c>
      <c r="E14" s="34" t="s">
        <v>857</v>
      </c>
      <c r="F14" s="34" t="s">
        <v>165</v>
      </c>
      <c r="G14" s="34">
        <v>630</v>
      </c>
      <c r="H14" s="34" t="s">
        <v>36</v>
      </c>
      <c r="I14" s="34" t="s">
        <v>36</v>
      </c>
      <c r="J14" s="34" t="s">
        <v>547</v>
      </c>
      <c r="K14" s="34" t="s">
        <v>36</v>
      </c>
      <c r="L14" s="34" t="s">
        <v>30</v>
      </c>
      <c r="M14" s="34">
        <v>1015250</v>
      </c>
      <c r="N14" s="34" t="s">
        <v>15</v>
      </c>
      <c r="O14" s="34" t="s">
        <v>37</v>
      </c>
      <c r="P14" s="34" t="s">
        <v>39</v>
      </c>
      <c r="Q14" s="34" t="s">
        <v>36</v>
      </c>
      <c r="R14" s="34" t="s">
        <v>36</v>
      </c>
      <c r="S14" s="34">
        <v>0</v>
      </c>
      <c r="T14" s="34" t="s">
        <v>36</v>
      </c>
      <c r="U14" s="34" t="s">
        <v>36</v>
      </c>
      <c r="V14" s="34" t="s">
        <v>36</v>
      </c>
      <c r="W14" s="34" t="s">
        <v>36</v>
      </c>
      <c r="X14" s="34" t="s">
        <v>36</v>
      </c>
      <c r="Y14" s="34" t="s">
        <v>36</v>
      </c>
      <c r="Z14" s="34" t="s">
        <v>36</v>
      </c>
      <c r="AA14" s="34" t="s">
        <v>36</v>
      </c>
      <c r="AB14" s="34" t="s">
        <v>36</v>
      </c>
      <c r="AC14" s="34" t="s">
        <v>36</v>
      </c>
      <c r="AD14" s="34" t="s">
        <v>36</v>
      </c>
      <c r="AE14" s="34" t="s">
        <v>36</v>
      </c>
      <c r="AF14" s="34" t="s">
        <v>36</v>
      </c>
      <c r="AG14" s="34" t="s">
        <v>36</v>
      </c>
      <c r="AH14" s="34" t="s">
        <v>36</v>
      </c>
      <c r="AI14" s="34" t="s">
        <v>36</v>
      </c>
      <c r="AJ14" s="34" t="s">
        <v>36</v>
      </c>
      <c r="AK14" s="202" t="s">
        <v>36</v>
      </c>
      <c r="AL14" s="34" t="s">
        <v>36</v>
      </c>
    </row>
    <row r="15" spans="1:38" ht="14.4" customHeight="1" x14ac:dyDescent="0.3">
      <c r="A15" s="203">
        <v>1015153</v>
      </c>
      <c r="B15" s="34">
        <v>251622</v>
      </c>
      <c r="C15" s="34" t="s">
        <v>117</v>
      </c>
      <c r="D15" s="34" t="s">
        <v>2344</v>
      </c>
      <c r="E15" s="34" t="s">
        <v>972</v>
      </c>
      <c r="F15" s="34" t="s">
        <v>106</v>
      </c>
      <c r="G15" s="34">
        <v>34</v>
      </c>
      <c r="H15" s="34" t="s">
        <v>880</v>
      </c>
      <c r="I15" s="34" t="s">
        <v>2329</v>
      </c>
      <c r="J15" s="34" t="s">
        <v>362</v>
      </c>
      <c r="K15" s="34" t="s">
        <v>1594</v>
      </c>
      <c r="L15" s="34" t="s">
        <v>36</v>
      </c>
      <c r="M15" s="34">
        <v>251622</v>
      </c>
      <c r="N15" s="34" t="s">
        <v>950</v>
      </c>
      <c r="O15" s="34" t="s">
        <v>37</v>
      </c>
      <c r="P15" s="34" t="s">
        <v>39</v>
      </c>
      <c r="Q15" s="34">
        <v>1</v>
      </c>
      <c r="R15" s="34" t="s">
        <v>1761</v>
      </c>
      <c r="S15" s="34">
        <v>3</v>
      </c>
      <c r="T15" s="34">
        <v>6</v>
      </c>
      <c r="U15" s="34">
        <v>0</v>
      </c>
      <c r="V15" s="34">
        <v>0</v>
      </c>
      <c r="W15" s="34">
        <v>2</v>
      </c>
      <c r="X15" s="34">
        <v>0</v>
      </c>
      <c r="Y15" s="34">
        <v>0</v>
      </c>
      <c r="Z15" s="34">
        <v>2</v>
      </c>
      <c r="AA15" s="34">
        <v>28</v>
      </c>
      <c r="AB15" s="34">
        <v>0</v>
      </c>
      <c r="AC15" s="34">
        <v>0</v>
      </c>
      <c r="AD15" s="34">
        <v>0</v>
      </c>
      <c r="AE15" s="34">
        <v>0</v>
      </c>
      <c r="AF15" s="34">
        <v>0</v>
      </c>
      <c r="AG15" s="34">
        <v>0</v>
      </c>
      <c r="AH15" s="34">
        <v>0</v>
      </c>
      <c r="AI15" s="34">
        <v>0</v>
      </c>
      <c r="AJ15" s="34">
        <v>0</v>
      </c>
      <c r="AK15" s="202">
        <v>32</v>
      </c>
      <c r="AL15" s="34">
        <v>0</v>
      </c>
    </row>
    <row r="16" spans="1:38" ht="14.4" customHeight="1" x14ac:dyDescent="0.3">
      <c r="A16" s="203">
        <v>1015005</v>
      </c>
      <c r="B16" s="34">
        <v>1015251</v>
      </c>
      <c r="C16" s="34" t="s">
        <v>117</v>
      </c>
      <c r="D16" s="34" t="s">
        <v>2345</v>
      </c>
      <c r="E16" s="34" t="s">
        <v>1866</v>
      </c>
      <c r="F16" s="34" t="s">
        <v>2020</v>
      </c>
      <c r="G16" s="34">
        <v>43</v>
      </c>
      <c r="H16" s="34" t="s">
        <v>879</v>
      </c>
      <c r="I16" s="34" t="s">
        <v>2178</v>
      </c>
      <c r="J16" s="34" t="s">
        <v>547</v>
      </c>
      <c r="K16" s="34" t="s">
        <v>38</v>
      </c>
      <c r="L16" s="34" t="s">
        <v>36</v>
      </c>
      <c r="M16" s="34">
        <v>1015251</v>
      </c>
      <c r="N16" s="34" t="s">
        <v>15</v>
      </c>
      <c r="O16" s="34" t="s">
        <v>37</v>
      </c>
      <c r="P16" s="34" t="s">
        <v>39</v>
      </c>
      <c r="Q16" s="34">
        <v>0</v>
      </c>
      <c r="R16" s="34" t="s">
        <v>36</v>
      </c>
      <c r="S16" s="34">
        <v>2</v>
      </c>
      <c r="T16" s="34">
        <v>0</v>
      </c>
      <c r="U16" s="34">
        <v>0</v>
      </c>
      <c r="V16" s="34">
        <v>3</v>
      </c>
      <c r="W16" s="34">
        <v>0</v>
      </c>
      <c r="X16" s="34">
        <v>0</v>
      </c>
      <c r="Y16" s="34">
        <v>0</v>
      </c>
      <c r="Z16" s="34">
        <v>0</v>
      </c>
      <c r="AA16" s="34">
        <v>0</v>
      </c>
      <c r="AB16" s="34">
        <v>0</v>
      </c>
      <c r="AC16" s="34">
        <v>19</v>
      </c>
      <c r="AD16" s="34">
        <v>0</v>
      </c>
      <c r="AE16" s="34">
        <v>0</v>
      </c>
      <c r="AF16" s="34">
        <v>0</v>
      </c>
      <c r="AG16" s="34">
        <v>0</v>
      </c>
      <c r="AH16" s="34">
        <v>0</v>
      </c>
      <c r="AI16" s="34">
        <v>0</v>
      </c>
      <c r="AJ16" s="34">
        <v>0</v>
      </c>
      <c r="AK16" s="202">
        <v>22</v>
      </c>
      <c r="AL16" s="34">
        <v>21</v>
      </c>
    </row>
    <row r="17" spans="1:38" ht="14.4" customHeight="1" x14ac:dyDescent="0.3">
      <c r="A17" s="203">
        <v>1015004</v>
      </c>
      <c r="B17" s="34">
        <v>1015250</v>
      </c>
      <c r="C17" s="34" t="s">
        <v>117</v>
      </c>
      <c r="D17" s="34" t="s">
        <v>2173</v>
      </c>
      <c r="E17" s="34" t="s">
        <v>886</v>
      </c>
      <c r="F17" s="34" t="s">
        <v>2020</v>
      </c>
      <c r="G17" s="34">
        <v>43</v>
      </c>
      <c r="H17" s="34" t="s">
        <v>879</v>
      </c>
      <c r="I17" s="34" t="s">
        <v>2178</v>
      </c>
      <c r="J17" s="34" t="s">
        <v>547</v>
      </c>
      <c r="K17" s="34" t="s">
        <v>38</v>
      </c>
      <c r="L17" s="34" t="s">
        <v>36</v>
      </c>
      <c r="M17" s="34">
        <v>1015250</v>
      </c>
      <c r="N17" s="34" t="s">
        <v>15</v>
      </c>
      <c r="O17" s="34" t="s">
        <v>37</v>
      </c>
      <c r="P17" s="34" t="s">
        <v>39</v>
      </c>
      <c r="Q17" s="34">
        <v>0</v>
      </c>
      <c r="R17" s="34" t="s">
        <v>36</v>
      </c>
      <c r="S17" s="34">
        <v>0</v>
      </c>
      <c r="T17" s="34">
        <v>0</v>
      </c>
      <c r="U17" s="34">
        <v>0</v>
      </c>
      <c r="V17" s="34">
        <v>0</v>
      </c>
      <c r="W17" s="34">
        <v>0</v>
      </c>
      <c r="X17" s="34">
        <v>0</v>
      </c>
      <c r="Y17" s="34">
        <v>0</v>
      </c>
      <c r="Z17" s="34">
        <v>0</v>
      </c>
      <c r="AA17" s="34">
        <v>0</v>
      </c>
      <c r="AB17" s="34">
        <v>0</v>
      </c>
      <c r="AC17" s="34">
        <v>0</v>
      </c>
      <c r="AD17" s="34">
        <v>0</v>
      </c>
      <c r="AE17" s="34">
        <v>0</v>
      </c>
      <c r="AF17" s="34">
        <v>0</v>
      </c>
      <c r="AG17" s="34">
        <v>0</v>
      </c>
      <c r="AH17" s="34">
        <v>0</v>
      </c>
      <c r="AI17" s="34">
        <v>0</v>
      </c>
      <c r="AJ17" s="34">
        <v>0</v>
      </c>
      <c r="AK17" s="202">
        <v>0</v>
      </c>
      <c r="AL17" s="34">
        <v>43</v>
      </c>
    </row>
    <row r="18" spans="1:38" ht="14.4" customHeight="1" x14ac:dyDescent="0.3">
      <c r="A18" s="203">
        <v>1014602</v>
      </c>
      <c r="B18" s="34">
        <v>370101</v>
      </c>
      <c r="C18" s="34" t="s">
        <v>117</v>
      </c>
      <c r="D18" s="34" t="s">
        <v>2106</v>
      </c>
      <c r="E18" s="34" t="s">
        <v>1321</v>
      </c>
      <c r="F18" s="34" t="s">
        <v>28</v>
      </c>
      <c r="G18" s="34">
        <v>40</v>
      </c>
      <c r="H18" s="34" t="s">
        <v>41</v>
      </c>
      <c r="I18" s="34" t="s">
        <v>2251</v>
      </c>
      <c r="J18" s="34" t="s">
        <v>547</v>
      </c>
      <c r="K18" s="34" t="s">
        <v>38</v>
      </c>
      <c r="L18" s="34" t="s">
        <v>36</v>
      </c>
      <c r="M18" s="34">
        <v>370101</v>
      </c>
      <c r="N18" s="34" t="s">
        <v>951</v>
      </c>
      <c r="O18" s="34" t="s">
        <v>644</v>
      </c>
      <c r="P18" s="34" t="s">
        <v>36</v>
      </c>
      <c r="Q18" s="34">
        <v>0</v>
      </c>
      <c r="R18" s="34" t="s">
        <v>36</v>
      </c>
      <c r="S18" s="34">
        <v>3</v>
      </c>
      <c r="T18" s="34">
        <v>0</v>
      </c>
      <c r="U18" s="34">
        <v>6</v>
      </c>
      <c r="V18" s="34">
        <v>3</v>
      </c>
      <c r="W18" s="34">
        <v>0</v>
      </c>
      <c r="X18" s="34">
        <v>31</v>
      </c>
      <c r="Y18" s="34">
        <v>0</v>
      </c>
      <c r="Z18" s="34">
        <v>0</v>
      </c>
      <c r="AA18" s="34">
        <v>0</v>
      </c>
      <c r="AB18" s="34">
        <v>0</v>
      </c>
      <c r="AC18" s="34">
        <v>0</v>
      </c>
      <c r="AD18" s="34">
        <v>0</v>
      </c>
      <c r="AE18" s="34">
        <v>0</v>
      </c>
      <c r="AF18" s="34">
        <v>0</v>
      </c>
      <c r="AG18" s="34">
        <v>0</v>
      </c>
      <c r="AH18" s="34">
        <v>0</v>
      </c>
      <c r="AI18" s="34">
        <v>0</v>
      </c>
      <c r="AJ18" s="34">
        <v>0</v>
      </c>
      <c r="AK18" s="202">
        <v>40</v>
      </c>
      <c r="AL18" s="34">
        <v>0</v>
      </c>
    </row>
    <row r="19" spans="1:38" ht="14.4" customHeight="1" x14ac:dyDescent="0.3">
      <c r="A19" s="203">
        <v>1014598</v>
      </c>
      <c r="B19" s="34">
        <v>370101</v>
      </c>
      <c r="C19" s="34" t="s">
        <v>117</v>
      </c>
      <c r="D19" s="34" t="s">
        <v>2096</v>
      </c>
      <c r="E19" s="34" t="s">
        <v>1321</v>
      </c>
      <c r="F19" s="34" t="s">
        <v>28</v>
      </c>
      <c r="G19" s="34">
        <v>25</v>
      </c>
      <c r="H19" s="34" t="s">
        <v>879</v>
      </c>
      <c r="I19" s="34" t="s">
        <v>2252</v>
      </c>
      <c r="J19" s="34" t="s">
        <v>547</v>
      </c>
      <c r="K19" s="34" t="s">
        <v>38</v>
      </c>
      <c r="L19" s="34" t="s">
        <v>36</v>
      </c>
      <c r="M19" s="34">
        <v>370101</v>
      </c>
      <c r="N19" s="34" t="s">
        <v>951</v>
      </c>
      <c r="O19" s="34" t="s">
        <v>644</v>
      </c>
      <c r="P19" s="34" t="s">
        <v>36</v>
      </c>
      <c r="Q19" s="34">
        <v>0</v>
      </c>
      <c r="R19" s="34" t="s">
        <v>36</v>
      </c>
      <c r="S19" s="34">
        <v>2</v>
      </c>
      <c r="T19" s="34">
        <v>0</v>
      </c>
      <c r="U19" s="34">
        <v>13</v>
      </c>
      <c r="V19" s="34">
        <v>0</v>
      </c>
      <c r="W19" s="34">
        <v>0</v>
      </c>
      <c r="X19" s="34">
        <v>0</v>
      </c>
      <c r="Y19" s="34">
        <v>0</v>
      </c>
      <c r="Z19" s="34">
        <v>0</v>
      </c>
      <c r="AA19" s="34">
        <v>0</v>
      </c>
      <c r="AB19" s="34">
        <v>0</v>
      </c>
      <c r="AC19" s="34">
        <v>0</v>
      </c>
      <c r="AD19" s="34">
        <v>0</v>
      </c>
      <c r="AE19" s="34">
        <v>0</v>
      </c>
      <c r="AF19" s="34">
        <v>12</v>
      </c>
      <c r="AG19" s="34">
        <v>0</v>
      </c>
      <c r="AH19" s="34">
        <v>0</v>
      </c>
      <c r="AI19" s="34">
        <v>0</v>
      </c>
      <c r="AJ19" s="34">
        <v>0</v>
      </c>
      <c r="AK19" s="202">
        <v>25</v>
      </c>
      <c r="AL19" s="34">
        <v>0</v>
      </c>
    </row>
    <row r="20" spans="1:38" ht="14.4" customHeight="1" x14ac:dyDescent="0.3">
      <c r="A20" s="203">
        <v>1014597</v>
      </c>
      <c r="B20" s="34">
        <v>370101</v>
      </c>
      <c r="C20" s="34" t="s">
        <v>117</v>
      </c>
      <c r="D20" s="34" t="s">
        <v>2097</v>
      </c>
      <c r="E20" s="34" t="s">
        <v>1321</v>
      </c>
      <c r="F20" s="34" t="s">
        <v>28</v>
      </c>
      <c r="G20" s="34">
        <v>70</v>
      </c>
      <c r="H20" s="34" t="s">
        <v>879</v>
      </c>
      <c r="I20" s="34" t="s">
        <v>2330</v>
      </c>
      <c r="J20" s="34" t="s">
        <v>547</v>
      </c>
      <c r="K20" s="34" t="s">
        <v>38</v>
      </c>
      <c r="L20" s="34" t="s">
        <v>36</v>
      </c>
      <c r="M20" s="34">
        <v>370101</v>
      </c>
      <c r="N20" s="34" t="s">
        <v>951</v>
      </c>
      <c r="O20" s="34" t="s">
        <v>644</v>
      </c>
      <c r="P20" s="34" t="s">
        <v>36</v>
      </c>
      <c r="Q20" s="34">
        <v>0</v>
      </c>
      <c r="R20" s="34" t="s">
        <v>36</v>
      </c>
      <c r="S20" s="34">
        <v>3</v>
      </c>
      <c r="T20" s="34">
        <v>0</v>
      </c>
      <c r="U20" s="34">
        <v>57</v>
      </c>
      <c r="V20" s="34">
        <v>5</v>
      </c>
      <c r="W20" s="34">
        <v>0</v>
      </c>
      <c r="X20" s="34">
        <v>0</v>
      </c>
      <c r="Y20" s="34">
        <v>0</v>
      </c>
      <c r="Z20" s="34">
        <v>0</v>
      </c>
      <c r="AA20" s="34">
        <v>0</v>
      </c>
      <c r="AB20" s="34">
        <v>0</v>
      </c>
      <c r="AC20" s="34">
        <v>0</v>
      </c>
      <c r="AD20" s="34">
        <v>8</v>
      </c>
      <c r="AE20" s="34">
        <v>0</v>
      </c>
      <c r="AF20" s="34">
        <v>0</v>
      </c>
      <c r="AG20" s="34">
        <v>0</v>
      </c>
      <c r="AH20" s="34">
        <v>0</v>
      </c>
      <c r="AI20" s="34">
        <v>0</v>
      </c>
      <c r="AJ20" s="34">
        <v>0</v>
      </c>
      <c r="AK20" s="202">
        <v>70</v>
      </c>
      <c r="AL20" s="34">
        <v>0</v>
      </c>
    </row>
    <row r="21" spans="1:38" ht="14.4" customHeight="1" x14ac:dyDescent="0.3">
      <c r="A21" s="203">
        <v>1014596</v>
      </c>
      <c r="B21" s="34">
        <v>370101</v>
      </c>
      <c r="C21" s="34" t="s">
        <v>117</v>
      </c>
      <c r="D21" s="34" t="s">
        <v>2098</v>
      </c>
      <c r="E21" s="34" t="s">
        <v>1321</v>
      </c>
      <c r="F21" s="34" t="s">
        <v>28</v>
      </c>
      <c r="G21" s="34">
        <v>93</v>
      </c>
      <c r="H21" s="34" t="s">
        <v>879</v>
      </c>
      <c r="I21" s="34" t="s">
        <v>2253</v>
      </c>
      <c r="J21" s="34" t="s">
        <v>547</v>
      </c>
      <c r="K21" s="34" t="s">
        <v>38</v>
      </c>
      <c r="L21" s="34" t="s">
        <v>36</v>
      </c>
      <c r="M21" s="34">
        <v>370101</v>
      </c>
      <c r="N21" s="34" t="s">
        <v>951</v>
      </c>
      <c r="O21" s="34" t="s">
        <v>644</v>
      </c>
      <c r="P21" s="34" t="s">
        <v>36</v>
      </c>
      <c r="Q21" s="34">
        <v>0</v>
      </c>
      <c r="R21" s="34" t="s">
        <v>36</v>
      </c>
      <c r="S21" s="34">
        <v>1</v>
      </c>
      <c r="T21" s="34">
        <v>0</v>
      </c>
      <c r="U21" s="34">
        <v>80</v>
      </c>
      <c r="V21" s="34">
        <v>0</v>
      </c>
      <c r="W21" s="34">
        <v>0</v>
      </c>
      <c r="X21" s="34">
        <v>0</v>
      </c>
      <c r="Y21" s="34">
        <v>0</v>
      </c>
      <c r="Z21" s="34">
        <v>0</v>
      </c>
      <c r="AA21" s="34">
        <v>0</v>
      </c>
      <c r="AB21" s="34">
        <v>0</v>
      </c>
      <c r="AC21" s="34">
        <v>0</v>
      </c>
      <c r="AD21" s="34">
        <v>0</v>
      </c>
      <c r="AE21" s="34">
        <v>0</v>
      </c>
      <c r="AF21" s="34">
        <v>0</v>
      </c>
      <c r="AG21" s="34">
        <v>0</v>
      </c>
      <c r="AH21" s="34">
        <v>0</v>
      </c>
      <c r="AI21" s="34">
        <v>0</v>
      </c>
      <c r="AJ21" s="34">
        <v>0</v>
      </c>
      <c r="AK21" s="202">
        <v>80</v>
      </c>
      <c r="AL21" s="34">
        <v>13</v>
      </c>
    </row>
    <row r="22" spans="1:38" ht="14.4" customHeight="1" x14ac:dyDescent="0.3">
      <c r="A22" s="203">
        <v>1014595</v>
      </c>
      <c r="B22" s="34">
        <v>370101</v>
      </c>
      <c r="C22" s="34" t="s">
        <v>117</v>
      </c>
      <c r="D22" s="34" t="s">
        <v>2099</v>
      </c>
      <c r="E22" s="34" t="s">
        <v>1321</v>
      </c>
      <c r="F22" s="34" t="s">
        <v>28</v>
      </c>
      <c r="G22" s="34">
        <v>97</v>
      </c>
      <c r="H22" s="34" t="s">
        <v>879</v>
      </c>
      <c r="I22" s="34" t="s">
        <v>2198</v>
      </c>
      <c r="J22" s="34" t="s">
        <v>547</v>
      </c>
      <c r="K22" s="34" t="s">
        <v>38</v>
      </c>
      <c r="L22" s="34" t="s">
        <v>36</v>
      </c>
      <c r="M22" s="34">
        <v>370101</v>
      </c>
      <c r="N22" s="34" t="s">
        <v>951</v>
      </c>
      <c r="O22" s="34" t="s">
        <v>644</v>
      </c>
      <c r="P22" s="34" t="s">
        <v>36</v>
      </c>
      <c r="Q22" s="34">
        <v>0</v>
      </c>
      <c r="R22" s="34" t="s">
        <v>36</v>
      </c>
      <c r="S22" s="34">
        <v>2</v>
      </c>
      <c r="T22" s="34">
        <v>0</v>
      </c>
      <c r="U22" s="34">
        <v>90</v>
      </c>
      <c r="V22" s="34">
        <v>7</v>
      </c>
      <c r="W22" s="34">
        <v>0</v>
      </c>
      <c r="X22" s="34">
        <v>0</v>
      </c>
      <c r="Y22" s="34">
        <v>0</v>
      </c>
      <c r="Z22" s="34">
        <v>0</v>
      </c>
      <c r="AA22" s="34">
        <v>0</v>
      </c>
      <c r="AB22" s="34">
        <v>0</v>
      </c>
      <c r="AC22" s="34">
        <v>0</v>
      </c>
      <c r="AD22" s="34">
        <v>0</v>
      </c>
      <c r="AE22" s="34">
        <v>0</v>
      </c>
      <c r="AF22" s="34">
        <v>0</v>
      </c>
      <c r="AG22" s="34">
        <v>0</v>
      </c>
      <c r="AH22" s="34">
        <v>0</v>
      </c>
      <c r="AI22" s="34">
        <v>0</v>
      </c>
      <c r="AJ22" s="34">
        <v>0</v>
      </c>
      <c r="AK22" s="202">
        <v>97</v>
      </c>
      <c r="AL22" s="34">
        <v>0</v>
      </c>
    </row>
    <row r="23" spans="1:38" ht="14.4" customHeight="1" x14ac:dyDescent="0.3">
      <c r="A23" s="203">
        <v>1014491</v>
      </c>
      <c r="B23" s="34">
        <v>1014021</v>
      </c>
      <c r="C23" s="34" t="s">
        <v>117</v>
      </c>
      <c r="D23" s="34" t="s">
        <v>2194</v>
      </c>
      <c r="E23" s="34" t="s">
        <v>2102</v>
      </c>
      <c r="F23" s="34" t="s">
        <v>28</v>
      </c>
      <c r="G23" s="34">
        <v>8</v>
      </c>
      <c r="H23" s="34" t="s">
        <v>879</v>
      </c>
      <c r="I23" s="34" t="s">
        <v>2103</v>
      </c>
      <c r="J23" s="34" t="s">
        <v>745</v>
      </c>
      <c r="K23" s="34" t="s">
        <v>38</v>
      </c>
      <c r="L23" s="34" t="s">
        <v>36</v>
      </c>
      <c r="M23" s="34">
        <v>1014021</v>
      </c>
      <c r="N23" s="34" t="s">
        <v>17</v>
      </c>
      <c r="O23" s="34" t="s">
        <v>31</v>
      </c>
      <c r="P23" s="34" t="s">
        <v>36</v>
      </c>
      <c r="Q23" s="34">
        <v>0</v>
      </c>
      <c r="R23" s="34" t="s">
        <v>36</v>
      </c>
      <c r="S23" s="34">
        <v>2</v>
      </c>
      <c r="T23" s="34">
        <v>0</v>
      </c>
      <c r="U23" s="34">
        <v>0</v>
      </c>
      <c r="V23" s="34">
        <v>0</v>
      </c>
      <c r="W23" s="34">
        <v>0</v>
      </c>
      <c r="X23" s="34">
        <v>0</v>
      </c>
      <c r="Y23" s="34">
        <v>0</v>
      </c>
      <c r="Z23" s="34">
        <v>0</v>
      </c>
      <c r="AA23" s="34">
        <v>0</v>
      </c>
      <c r="AB23" s="34">
        <v>0</v>
      </c>
      <c r="AC23" s="34">
        <v>5</v>
      </c>
      <c r="AD23" s="34">
        <v>3</v>
      </c>
      <c r="AE23" s="34">
        <v>0</v>
      </c>
      <c r="AF23" s="34">
        <v>0</v>
      </c>
      <c r="AG23" s="34">
        <v>0</v>
      </c>
      <c r="AH23" s="34">
        <v>0</v>
      </c>
      <c r="AI23" s="34">
        <v>0</v>
      </c>
      <c r="AJ23" s="34">
        <v>0</v>
      </c>
      <c r="AK23" s="202">
        <v>8</v>
      </c>
      <c r="AL23" s="34">
        <v>0</v>
      </c>
    </row>
    <row r="24" spans="1:38" ht="14.4" customHeight="1" x14ac:dyDescent="0.3">
      <c r="A24" s="203">
        <v>1014387</v>
      </c>
      <c r="B24" s="34">
        <v>278830</v>
      </c>
      <c r="C24" s="34" t="s">
        <v>117</v>
      </c>
      <c r="D24" s="34" t="s">
        <v>2100</v>
      </c>
      <c r="E24" s="34" t="s">
        <v>1321</v>
      </c>
      <c r="F24" s="34" t="s">
        <v>28</v>
      </c>
      <c r="G24" s="34">
        <v>31</v>
      </c>
      <c r="H24" s="34" t="s">
        <v>879</v>
      </c>
      <c r="I24" s="34" t="s">
        <v>2179</v>
      </c>
      <c r="J24" s="34" t="s">
        <v>270</v>
      </c>
      <c r="K24" s="34" t="s">
        <v>1793</v>
      </c>
      <c r="L24" s="34" t="s">
        <v>41</v>
      </c>
      <c r="M24" s="34">
        <v>278830</v>
      </c>
      <c r="N24" s="34" t="s">
        <v>949</v>
      </c>
      <c r="O24" s="34" t="s">
        <v>42</v>
      </c>
      <c r="P24" s="34" t="s">
        <v>36</v>
      </c>
      <c r="Q24" s="34">
        <v>0</v>
      </c>
      <c r="R24" s="34" t="s">
        <v>36</v>
      </c>
      <c r="S24" s="34">
        <v>4</v>
      </c>
      <c r="T24" s="34">
        <v>0</v>
      </c>
      <c r="U24" s="34">
        <v>6</v>
      </c>
      <c r="V24" s="34">
        <v>3</v>
      </c>
      <c r="W24" s="34">
        <v>0</v>
      </c>
      <c r="X24" s="34">
        <v>20</v>
      </c>
      <c r="Y24" s="34">
        <v>0</v>
      </c>
      <c r="Z24" s="34">
        <v>0</v>
      </c>
      <c r="AA24" s="34">
        <v>0</v>
      </c>
      <c r="AB24" s="34">
        <v>0</v>
      </c>
      <c r="AC24" s="34">
        <v>0</v>
      </c>
      <c r="AD24" s="34">
        <v>0</v>
      </c>
      <c r="AE24" s="34">
        <v>0</v>
      </c>
      <c r="AF24" s="34">
        <v>2</v>
      </c>
      <c r="AG24" s="34">
        <v>0</v>
      </c>
      <c r="AH24" s="34">
        <v>0</v>
      </c>
      <c r="AI24" s="34">
        <v>0</v>
      </c>
      <c r="AJ24" s="34">
        <v>0</v>
      </c>
      <c r="AK24" s="202">
        <v>31</v>
      </c>
      <c r="AL24" s="34">
        <v>0</v>
      </c>
    </row>
    <row r="25" spans="1:38" ht="14.4" customHeight="1" x14ac:dyDescent="0.3">
      <c r="A25" s="203">
        <v>1014252</v>
      </c>
      <c r="B25" s="34">
        <v>1015467</v>
      </c>
      <c r="C25" s="34" t="s">
        <v>117</v>
      </c>
      <c r="D25" s="34" t="s">
        <v>2174</v>
      </c>
      <c r="E25" s="34" t="s">
        <v>2102</v>
      </c>
      <c r="F25" s="34" t="s">
        <v>28</v>
      </c>
      <c r="G25" s="34">
        <v>22</v>
      </c>
      <c r="H25" s="34" t="s">
        <v>880</v>
      </c>
      <c r="I25" s="34" t="s">
        <v>2331</v>
      </c>
      <c r="J25" s="34" t="s">
        <v>254</v>
      </c>
      <c r="K25" s="34" t="s">
        <v>939</v>
      </c>
      <c r="L25" s="34" t="s">
        <v>36</v>
      </c>
      <c r="M25" s="34">
        <v>1015467</v>
      </c>
      <c r="N25" s="34" t="s">
        <v>947</v>
      </c>
      <c r="O25" s="34" t="s">
        <v>555</v>
      </c>
      <c r="P25" s="34" t="s">
        <v>559</v>
      </c>
      <c r="Q25" s="34">
        <v>0</v>
      </c>
      <c r="R25" s="34" t="s">
        <v>1760</v>
      </c>
      <c r="S25" s="34">
        <v>1</v>
      </c>
      <c r="T25" s="34">
        <v>0</v>
      </c>
      <c r="U25" s="34">
        <v>0</v>
      </c>
      <c r="V25" s="34">
        <v>0</v>
      </c>
      <c r="W25" s="34">
        <v>0</v>
      </c>
      <c r="X25" s="34">
        <v>0</v>
      </c>
      <c r="Y25" s="34">
        <v>0</v>
      </c>
      <c r="Z25" s="34">
        <v>0</v>
      </c>
      <c r="AA25" s="34">
        <v>0</v>
      </c>
      <c r="AB25" s="34">
        <v>0</v>
      </c>
      <c r="AC25" s="34">
        <v>0</v>
      </c>
      <c r="AD25" s="34">
        <v>22</v>
      </c>
      <c r="AE25" s="34">
        <v>0</v>
      </c>
      <c r="AF25" s="34">
        <v>0</v>
      </c>
      <c r="AG25" s="34">
        <v>0</v>
      </c>
      <c r="AH25" s="34">
        <v>0</v>
      </c>
      <c r="AI25" s="34">
        <v>0</v>
      </c>
      <c r="AJ25" s="34">
        <v>0</v>
      </c>
      <c r="AK25" s="202">
        <v>22</v>
      </c>
      <c r="AL25" s="34">
        <v>0</v>
      </c>
    </row>
    <row r="26" spans="1:38" ht="14.4" customHeight="1" x14ac:dyDescent="0.3">
      <c r="A26" s="203">
        <v>1014023</v>
      </c>
      <c r="B26" s="34">
        <v>1014021</v>
      </c>
      <c r="C26" s="34" t="s">
        <v>117</v>
      </c>
      <c r="D26" s="34" t="s">
        <v>2101</v>
      </c>
      <c r="E26" s="34" t="s">
        <v>2102</v>
      </c>
      <c r="F26" s="34" t="s">
        <v>28</v>
      </c>
      <c r="G26" s="34">
        <v>8</v>
      </c>
      <c r="H26" s="34" t="s">
        <v>879</v>
      </c>
      <c r="I26" s="34" t="s">
        <v>2103</v>
      </c>
      <c r="J26" s="34" t="s">
        <v>745</v>
      </c>
      <c r="K26" s="34" t="s">
        <v>38</v>
      </c>
      <c r="L26" s="34" t="s">
        <v>36</v>
      </c>
      <c r="M26" s="34">
        <v>1014021</v>
      </c>
      <c r="N26" s="34" t="s">
        <v>17</v>
      </c>
      <c r="O26" s="34" t="s">
        <v>31</v>
      </c>
      <c r="P26" s="34" t="s">
        <v>36</v>
      </c>
      <c r="Q26" s="34">
        <v>0</v>
      </c>
      <c r="R26" s="34" t="s">
        <v>36</v>
      </c>
      <c r="S26" s="34">
        <v>2</v>
      </c>
      <c r="T26" s="34">
        <v>0</v>
      </c>
      <c r="U26" s="34">
        <v>0</v>
      </c>
      <c r="V26" s="34">
        <v>0</v>
      </c>
      <c r="W26" s="34">
        <v>0</v>
      </c>
      <c r="X26" s="34">
        <v>0</v>
      </c>
      <c r="Y26" s="34">
        <v>0</v>
      </c>
      <c r="Z26" s="34">
        <v>0</v>
      </c>
      <c r="AA26" s="34">
        <v>0</v>
      </c>
      <c r="AB26" s="34">
        <v>0</v>
      </c>
      <c r="AC26" s="34">
        <v>0</v>
      </c>
      <c r="AD26" s="34">
        <v>3</v>
      </c>
      <c r="AE26" s="34">
        <v>5</v>
      </c>
      <c r="AF26" s="34">
        <v>0</v>
      </c>
      <c r="AG26" s="34">
        <v>0</v>
      </c>
      <c r="AH26" s="34">
        <v>0</v>
      </c>
      <c r="AI26" s="34">
        <v>0</v>
      </c>
      <c r="AJ26" s="34">
        <v>0</v>
      </c>
      <c r="AK26" s="202">
        <v>8</v>
      </c>
      <c r="AL26" s="34">
        <v>0</v>
      </c>
    </row>
    <row r="27" spans="1:38" ht="14.4" customHeight="1" x14ac:dyDescent="0.3">
      <c r="A27" s="203">
        <v>1014021</v>
      </c>
      <c r="B27" s="34">
        <v>243395</v>
      </c>
      <c r="C27" s="34" t="s">
        <v>1121</v>
      </c>
      <c r="D27" s="34" t="s">
        <v>2031</v>
      </c>
      <c r="E27" s="34" t="s">
        <v>857</v>
      </c>
      <c r="F27" s="34" t="s">
        <v>860</v>
      </c>
      <c r="G27" s="34">
        <v>30</v>
      </c>
      <c r="H27" s="34" t="s">
        <v>36</v>
      </c>
      <c r="I27" s="34" t="s">
        <v>2111</v>
      </c>
      <c r="J27" s="34" t="s">
        <v>135</v>
      </c>
      <c r="K27" s="34" t="s">
        <v>36</v>
      </c>
      <c r="L27" s="34" t="s">
        <v>30</v>
      </c>
      <c r="M27" s="34">
        <v>1014021</v>
      </c>
      <c r="N27" s="34" t="s">
        <v>15</v>
      </c>
      <c r="O27" s="34" t="s">
        <v>31</v>
      </c>
      <c r="P27" s="34" t="s">
        <v>36</v>
      </c>
      <c r="Q27" s="34" t="s">
        <v>36</v>
      </c>
      <c r="R27" s="34" t="s">
        <v>36</v>
      </c>
      <c r="S27" s="34">
        <v>0</v>
      </c>
      <c r="T27" s="34" t="s">
        <v>36</v>
      </c>
      <c r="U27" s="34" t="s">
        <v>36</v>
      </c>
      <c r="V27" s="34" t="s">
        <v>36</v>
      </c>
      <c r="W27" s="34" t="s">
        <v>36</v>
      </c>
      <c r="X27" s="34" t="s">
        <v>36</v>
      </c>
      <c r="Y27" s="34" t="s">
        <v>36</v>
      </c>
      <c r="Z27" s="34" t="s">
        <v>36</v>
      </c>
      <c r="AA27" s="34" t="s">
        <v>36</v>
      </c>
      <c r="AB27" s="34" t="s">
        <v>36</v>
      </c>
      <c r="AC27" s="34" t="s">
        <v>36</v>
      </c>
      <c r="AD27" s="34" t="s">
        <v>36</v>
      </c>
      <c r="AE27" s="34" t="s">
        <v>36</v>
      </c>
      <c r="AF27" s="34" t="s">
        <v>36</v>
      </c>
      <c r="AG27" s="34" t="s">
        <v>36</v>
      </c>
      <c r="AH27" s="34" t="s">
        <v>36</v>
      </c>
      <c r="AI27" s="34" t="s">
        <v>36</v>
      </c>
      <c r="AJ27" s="34" t="s">
        <v>36</v>
      </c>
      <c r="AK27" s="202" t="s">
        <v>36</v>
      </c>
      <c r="AL27" s="34" t="s">
        <v>36</v>
      </c>
    </row>
    <row r="28" spans="1:38" ht="14.4" customHeight="1" x14ac:dyDescent="0.3">
      <c r="A28" s="203">
        <v>1013750</v>
      </c>
      <c r="B28" s="34">
        <v>1012099</v>
      </c>
      <c r="C28" s="34" t="s">
        <v>117</v>
      </c>
      <c r="D28" s="34" t="s">
        <v>2127</v>
      </c>
      <c r="E28" s="34" t="s">
        <v>1842</v>
      </c>
      <c r="F28" s="34" t="s">
        <v>28</v>
      </c>
      <c r="G28" s="34">
        <v>29</v>
      </c>
      <c r="H28" s="34" t="s">
        <v>879</v>
      </c>
      <c r="I28" s="34" t="s">
        <v>2332</v>
      </c>
      <c r="J28" s="34" t="s">
        <v>47</v>
      </c>
      <c r="K28" s="34" t="s">
        <v>38</v>
      </c>
      <c r="L28" s="34" t="s">
        <v>36</v>
      </c>
      <c r="M28" s="34">
        <v>1012099</v>
      </c>
      <c r="N28" s="34" t="s">
        <v>949</v>
      </c>
      <c r="O28" s="34" t="s">
        <v>42</v>
      </c>
      <c r="P28" s="34" t="s">
        <v>43</v>
      </c>
      <c r="Q28" s="34">
        <v>0</v>
      </c>
      <c r="R28" s="34" t="s">
        <v>36</v>
      </c>
      <c r="S28" s="34">
        <v>4</v>
      </c>
      <c r="T28" s="34">
        <v>0</v>
      </c>
      <c r="U28" s="34">
        <v>0</v>
      </c>
      <c r="V28" s="34">
        <v>0</v>
      </c>
      <c r="W28" s="34">
        <v>0</v>
      </c>
      <c r="X28" s="34">
        <v>23</v>
      </c>
      <c r="Y28" s="34">
        <v>0</v>
      </c>
      <c r="Z28" s="34">
        <v>0</v>
      </c>
      <c r="AA28" s="34">
        <v>0</v>
      </c>
      <c r="AB28" s="34">
        <v>0</v>
      </c>
      <c r="AC28" s="34">
        <v>0</v>
      </c>
      <c r="AD28" s="34">
        <v>2</v>
      </c>
      <c r="AE28" s="34">
        <v>2</v>
      </c>
      <c r="AF28" s="34">
        <v>0</v>
      </c>
      <c r="AG28" s="34">
        <v>0</v>
      </c>
      <c r="AH28" s="34">
        <v>2</v>
      </c>
      <c r="AI28" s="34">
        <v>0</v>
      </c>
      <c r="AJ28" s="34">
        <v>0</v>
      </c>
      <c r="AK28" s="202">
        <v>29</v>
      </c>
      <c r="AL28" s="34">
        <v>0</v>
      </c>
    </row>
    <row r="29" spans="1:38" ht="14.4" customHeight="1" x14ac:dyDescent="0.3">
      <c r="A29" s="203">
        <v>1013452</v>
      </c>
      <c r="B29" s="34">
        <v>1006483</v>
      </c>
      <c r="C29" s="34" t="s">
        <v>117</v>
      </c>
      <c r="D29" s="34" t="s">
        <v>2328</v>
      </c>
      <c r="E29" s="34" t="s">
        <v>1866</v>
      </c>
      <c r="F29" s="34" t="s">
        <v>28</v>
      </c>
      <c r="G29" s="34">
        <v>90</v>
      </c>
      <c r="H29" s="34" t="s">
        <v>880</v>
      </c>
      <c r="I29" s="34" t="s">
        <v>2358</v>
      </c>
      <c r="J29" s="34" t="s">
        <v>582</v>
      </c>
      <c r="K29" s="34" t="s">
        <v>1869</v>
      </c>
      <c r="L29" s="34" t="s">
        <v>36</v>
      </c>
      <c r="M29" s="34">
        <v>1006483</v>
      </c>
      <c r="N29" s="34" t="s">
        <v>943</v>
      </c>
      <c r="O29" s="34" t="s">
        <v>31</v>
      </c>
      <c r="P29" s="34" t="s">
        <v>45</v>
      </c>
      <c r="Q29" s="34">
        <v>0</v>
      </c>
      <c r="R29" s="34" t="s">
        <v>1761</v>
      </c>
      <c r="S29" s="34">
        <v>3</v>
      </c>
      <c r="T29" s="34">
        <v>0</v>
      </c>
      <c r="U29" s="34">
        <v>0</v>
      </c>
      <c r="V29" s="34">
        <v>0</v>
      </c>
      <c r="W29" s="34">
        <v>1</v>
      </c>
      <c r="X29" s="34">
        <v>0</v>
      </c>
      <c r="Y29" s="34">
        <v>34</v>
      </c>
      <c r="Z29" s="34">
        <v>0</v>
      </c>
      <c r="AA29" s="34">
        <v>0</v>
      </c>
      <c r="AB29" s="34">
        <v>0</v>
      </c>
      <c r="AC29" s="34">
        <v>1</v>
      </c>
      <c r="AD29" s="34">
        <v>0</v>
      </c>
      <c r="AE29" s="34">
        <v>0</v>
      </c>
      <c r="AF29" s="34">
        <v>0</v>
      </c>
      <c r="AG29" s="34">
        <v>0</v>
      </c>
      <c r="AH29" s="34">
        <v>0</v>
      </c>
      <c r="AI29" s="34">
        <v>0</v>
      </c>
      <c r="AJ29" s="34">
        <v>0</v>
      </c>
      <c r="AK29" s="202">
        <v>36</v>
      </c>
      <c r="AL29" s="34">
        <v>56</v>
      </c>
    </row>
    <row r="30" spans="1:38" ht="14.4" customHeight="1" x14ac:dyDescent="0.3">
      <c r="A30" s="203">
        <v>1013280</v>
      </c>
      <c r="B30" s="34">
        <v>1013279</v>
      </c>
      <c r="C30" s="34" t="s">
        <v>117</v>
      </c>
      <c r="D30" s="34" t="s">
        <v>2195</v>
      </c>
      <c r="E30" s="34" t="s">
        <v>886</v>
      </c>
      <c r="F30" s="34" t="s">
        <v>650</v>
      </c>
      <c r="G30" s="34">
        <v>6</v>
      </c>
      <c r="H30" s="34" t="s">
        <v>104</v>
      </c>
      <c r="I30" s="34" t="s">
        <v>2039</v>
      </c>
      <c r="J30" s="34" t="s">
        <v>135</v>
      </c>
      <c r="K30" s="34" t="s">
        <v>36</v>
      </c>
      <c r="L30" s="34" t="s">
        <v>36</v>
      </c>
      <c r="M30" s="34">
        <v>1013279</v>
      </c>
      <c r="N30" s="34" t="s">
        <v>15</v>
      </c>
      <c r="O30" s="34" t="s">
        <v>31</v>
      </c>
      <c r="P30" s="34" t="s">
        <v>136</v>
      </c>
      <c r="Q30" s="34">
        <v>0</v>
      </c>
      <c r="R30" s="34" t="s">
        <v>36</v>
      </c>
      <c r="S30" s="34">
        <v>0</v>
      </c>
      <c r="T30" s="34">
        <v>0</v>
      </c>
      <c r="U30" s="34">
        <v>0</v>
      </c>
      <c r="V30" s="34">
        <v>0</v>
      </c>
      <c r="W30" s="34">
        <v>0</v>
      </c>
      <c r="X30" s="34">
        <v>0</v>
      </c>
      <c r="Y30" s="34">
        <v>0</v>
      </c>
      <c r="Z30" s="34">
        <v>0</v>
      </c>
      <c r="AA30" s="34">
        <v>0</v>
      </c>
      <c r="AB30" s="34">
        <v>0</v>
      </c>
      <c r="AC30" s="34">
        <v>0</v>
      </c>
      <c r="AD30" s="34">
        <v>0</v>
      </c>
      <c r="AE30" s="34">
        <v>0</v>
      </c>
      <c r="AF30" s="34">
        <v>0</v>
      </c>
      <c r="AG30" s="34">
        <v>0</v>
      </c>
      <c r="AH30" s="34">
        <v>0</v>
      </c>
      <c r="AI30" s="34">
        <v>0</v>
      </c>
      <c r="AJ30" s="34">
        <v>0</v>
      </c>
      <c r="AK30" s="202">
        <v>0</v>
      </c>
      <c r="AL30" s="34">
        <v>6</v>
      </c>
    </row>
    <row r="31" spans="1:38" ht="14.4" customHeight="1" x14ac:dyDescent="0.3">
      <c r="A31" s="203">
        <v>1013279</v>
      </c>
      <c r="B31" s="34">
        <v>245569</v>
      </c>
      <c r="C31" s="34" t="s">
        <v>1121</v>
      </c>
      <c r="D31" s="34" t="s">
        <v>2209</v>
      </c>
      <c r="E31" s="34" t="s">
        <v>857</v>
      </c>
      <c r="F31" s="34" t="s">
        <v>165</v>
      </c>
      <c r="G31" s="34">
        <v>185</v>
      </c>
      <c r="H31" s="34" t="s">
        <v>36</v>
      </c>
      <c r="I31" s="34" t="s">
        <v>1996</v>
      </c>
      <c r="J31" s="34" t="s">
        <v>104</v>
      </c>
      <c r="K31" s="34" t="s">
        <v>36</v>
      </c>
      <c r="L31" s="34" t="s">
        <v>30</v>
      </c>
      <c r="M31" s="34">
        <v>1013279</v>
      </c>
      <c r="N31" s="34" t="s">
        <v>15</v>
      </c>
      <c r="O31" s="34" t="s">
        <v>31</v>
      </c>
      <c r="P31" s="34" t="s">
        <v>136</v>
      </c>
      <c r="Q31" s="34" t="s">
        <v>36</v>
      </c>
      <c r="R31" s="34" t="s">
        <v>36</v>
      </c>
      <c r="S31" s="34">
        <v>0</v>
      </c>
      <c r="T31" s="34" t="s">
        <v>36</v>
      </c>
      <c r="U31" s="34" t="s">
        <v>36</v>
      </c>
      <c r="V31" s="34" t="s">
        <v>36</v>
      </c>
      <c r="W31" s="34" t="s">
        <v>36</v>
      </c>
      <c r="X31" s="34" t="s">
        <v>36</v>
      </c>
      <c r="Y31" s="34" t="s">
        <v>36</v>
      </c>
      <c r="Z31" s="34" t="s">
        <v>36</v>
      </c>
      <c r="AA31" s="34" t="s">
        <v>36</v>
      </c>
      <c r="AB31" s="34" t="s">
        <v>36</v>
      </c>
      <c r="AC31" s="34" t="s">
        <v>36</v>
      </c>
      <c r="AD31" s="34" t="s">
        <v>36</v>
      </c>
      <c r="AE31" s="34" t="s">
        <v>36</v>
      </c>
      <c r="AF31" s="34" t="s">
        <v>36</v>
      </c>
      <c r="AG31" s="34" t="s">
        <v>36</v>
      </c>
      <c r="AH31" s="34" t="s">
        <v>36</v>
      </c>
      <c r="AI31" s="34" t="s">
        <v>36</v>
      </c>
      <c r="AJ31" s="34" t="s">
        <v>36</v>
      </c>
      <c r="AK31" s="202" t="s">
        <v>36</v>
      </c>
      <c r="AL31" s="34" t="s">
        <v>36</v>
      </c>
    </row>
    <row r="32" spans="1:38" ht="14.4" customHeight="1" x14ac:dyDescent="0.3">
      <c r="A32" s="203">
        <v>1013234</v>
      </c>
      <c r="B32" s="34">
        <v>388154</v>
      </c>
      <c r="C32" s="34" t="s">
        <v>117</v>
      </c>
      <c r="D32" s="34" t="s">
        <v>2018</v>
      </c>
      <c r="E32" s="34" t="s">
        <v>1321</v>
      </c>
      <c r="F32" s="34" t="s">
        <v>2020</v>
      </c>
      <c r="G32" s="34">
        <v>56</v>
      </c>
      <c r="H32" s="34" t="s">
        <v>879</v>
      </c>
      <c r="I32" s="34" t="s">
        <v>2319</v>
      </c>
      <c r="J32" s="34" t="s">
        <v>1575</v>
      </c>
      <c r="K32" s="34" t="s">
        <v>38</v>
      </c>
      <c r="L32" s="34" t="s">
        <v>36</v>
      </c>
      <c r="M32" s="34">
        <v>388154</v>
      </c>
      <c r="N32" s="34" t="s">
        <v>15</v>
      </c>
      <c r="O32" s="34" t="s">
        <v>37</v>
      </c>
      <c r="P32" s="34" t="s">
        <v>39</v>
      </c>
      <c r="Q32" s="34">
        <v>0</v>
      </c>
      <c r="R32" s="34" t="s">
        <v>36</v>
      </c>
      <c r="S32" s="34">
        <v>2</v>
      </c>
      <c r="T32" s="34">
        <v>0</v>
      </c>
      <c r="U32" s="34">
        <v>0</v>
      </c>
      <c r="V32" s="34">
        <v>0</v>
      </c>
      <c r="W32" s="34">
        <v>0</v>
      </c>
      <c r="X32" s="34">
        <v>0</v>
      </c>
      <c r="Y32" s="34">
        <v>0</v>
      </c>
      <c r="Z32" s="34">
        <v>0</v>
      </c>
      <c r="AA32" s="34">
        <v>0</v>
      </c>
      <c r="AB32" s="34">
        <v>0</v>
      </c>
      <c r="AC32" s="34">
        <v>8</v>
      </c>
      <c r="AD32" s="34">
        <v>48</v>
      </c>
      <c r="AE32" s="34">
        <v>0</v>
      </c>
      <c r="AF32" s="34">
        <v>0</v>
      </c>
      <c r="AG32" s="34">
        <v>0</v>
      </c>
      <c r="AH32" s="34">
        <v>0</v>
      </c>
      <c r="AI32" s="34">
        <v>0</v>
      </c>
      <c r="AJ32" s="34">
        <v>0</v>
      </c>
      <c r="AK32" s="202">
        <v>56</v>
      </c>
      <c r="AL32" s="34">
        <v>0</v>
      </c>
    </row>
    <row r="33" spans="1:38" ht="14.4" customHeight="1" x14ac:dyDescent="0.3">
      <c r="A33" s="203">
        <v>1013233</v>
      </c>
      <c r="B33" s="34">
        <v>1013220</v>
      </c>
      <c r="C33" s="34" t="s">
        <v>117</v>
      </c>
      <c r="D33" s="34" t="s">
        <v>1970</v>
      </c>
      <c r="E33" s="34" t="s">
        <v>886</v>
      </c>
      <c r="F33" s="34" t="s">
        <v>28</v>
      </c>
      <c r="G33" s="34">
        <v>18</v>
      </c>
      <c r="H33" s="34" t="s">
        <v>879</v>
      </c>
      <c r="I33" s="34" t="s">
        <v>2264</v>
      </c>
      <c r="J33" s="34" t="s">
        <v>171</v>
      </c>
      <c r="K33" s="34" t="s">
        <v>38</v>
      </c>
      <c r="L33" s="34" t="s">
        <v>36</v>
      </c>
      <c r="M33" s="34">
        <v>1013220</v>
      </c>
      <c r="N33" s="34" t="s">
        <v>15</v>
      </c>
      <c r="O33" s="34" t="s">
        <v>555</v>
      </c>
      <c r="P33" s="34" t="s">
        <v>559</v>
      </c>
      <c r="Q33" s="34">
        <v>0</v>
      </c>
      <c r="R33" s="34" t="s">
        <v>36</v>
      </c>
      <c r="S33" s="34">
        <v>0</v>
      </c>
      <c r="T33" s="34">
        <v>0</v>
      </c>
      <c r="U33" s="34">
        <v>0</v>
      </c>
      <c r="V33" s="34">
        <v>0</v>
      </c>
      <c r="W33" s="34">
        <v>0</v>
      </c>
      <c r="X33" s="34">
        <v>0</v>
      </c>
      <c r="Y33" s="34">
        <v>0</v>
      </c>
      <c r="Z33" s="34">
        <v>0</v>
      </c>
      <c r="AA33" s="34">
        <v>0</v>
      </c>
      <c r="AB33" s="34">
        <v>0</v>
      </c>
      <c r="AC33" s="34">
        <v>0</v>
      </c>
      <c r="AD33" s="34">
        <v>0</v>
      </c>
      <c r="AE33" s="34">
        <v>0</v>
      </c>
      <c r="AF33" s="34">
        <v>0</v>
      </c>
      <c r="AG33" s="34">
        <v>0</v>
      </c>
      <c r="AH33" s="34">
        <v>0</v>
      </c>
      <c r="AI33" s="34">
        <v>0</v>
      </c>
      <c r="AJ33" s="34">
        <v>0</v>
      </c>
      <c r="AK33" s="202">
        <v>0</v>
      </c>
      <c r="AL33" s="34">
        <v>18</v>
      </c>
    </row>
    <row r="34" spans="1:38" ht="14.4" customHeight="1" x14ac:dyDescent="0.3">
      <c r="A34" s="203">
        <v>1013220</v>
      </c>
      <c r="B34" s="34">
        <v>255707</v>
      </c>
      <c r="C34" s="34" t="s">
        <v>1121</v>
      </c>
      <c r="D34" s="34" t="s">
        <v>1983</v>
      </c>
      <c r="E34" s="34" t="s">
        <v>857</v>
      </c>
      <c r="F34" s="34" t="s">
        <v>883</v>
      </c>
      <c r="G34" s="34">
        <v>54</v>
      </c>
      <c r="H34" s="34" t="s">
        <v>36</v>
      </c>
      <c r="I34" s="34" t="s">
        <v>36</v>
      </c>
      <c r="J34" s="34" t="s">
        <v>171</v>
      </c>
      <c r="K34" s="34" t="s">
        <v>36</v>
      </c>
      <c r="L34" s="34" t="s">
        <v>30</v>
      </c>
      <c r="M34" s="34">
        <v>1013220</v>
      </c>
      <c r="N34" s="34" t="s">
        <v>15</v>
      </c>
      <c r="O34" s="34" t="s">
        <v>555</v>
      </c>
      <c r="P34" s="34" t="s">
        <v>559</v>
      </c>
      <c r="Q34" s="34" t="s">
        <v>36</v>
      </c>
      <c r="R34" s="34" t="s">
        <v>36</v>
      </c>
      <c r="S34" s="34">
        <v>0</v>
      </c>
      <c r="T34" s="34" t="s">
        <v>36</v>
      </c>
      <c r="U34" s="34" t="s">
        <v>36</v>
      </c>
      <c r="V34" s="34" t="s">
        <v>36</v>
      </c>
      <c r="W34" s="34" t="s">
        <v>36</v>
      </c>
      <c r="X34" s="34" t="s">
        <v>36</v>
      </c>
      <c r="Y34" s="34" t="s">
        <v>36</v>
      </c>
      <c r="Z34" s="34" t="s">
        <v>36</v>
      </c>
      <c r="AA34" s="34" t="s">
        <v>36</v>
      </c>
      <c r="AB34" s="34" t="s">
        <v>36</v>
      </c>
      <c r="AC34" s="34" t="s">
        <v>36</v>
      </c>
      <c r="AD34" s="34" t="s">
        <v>36</v>
      </c>
      <c r="AE34" s="34" t="s">
        <v>36</v>
      </c>
      <c r="AF34" s="34" t="s">
        <v>36</v>
      </c>
      <c r="AG34" s="34" t="s">
        <v>36</v>
      </c>
      <c r="AH34" s="34" t="s">
        <v>36</v>
      </c>
      <c r="AI34" s="34" t="s">
        <v>36</v>
      </c>
      <c r="AJ34" s="34" t="s">
        <v>36</v>
      </c>
      <c r="AK34" s="202" t="s">
        <v>36</v>
      </c>
      <c r="AL34" s="34" t="s">
        <v>36</v>
      </c>
    </row>
    <row r="35" spans="1:38" ht="14.4" customHeight="1" x14ac:dyDescent="0.3">
      <c r="A35" s="203">
        <v>1013215</v>
      </c>
      <c r="B35" s="34">
        <v>385420</v>
      </c>
      <c r="C35" s="34" t="s">
        <v>1121</v>
      </c>
      <c r="D35" s="34" t="s">
        <v>1984</v>
      </c>
      <c r="E35" s="34" t="s">
        <v>857</v>
      </c>
      <c r="F35" s="34" t="s">
        <v>860</v>
      </c>
      <c r="G35" s="34">
        <v>200</v>
      </c>
      <c r="H35" s="34" t="s">
        <v>36</v>
      </c>
      <c r="I35" s="34" t="s">
        <v>36</v>
      </c>
      <c r="J35" s="34" t="s">
        <v>104</v>
      </c>
      <c r="K35" s="34" t="s">
        <v>36</v>
      </c>
      <c r="L35" s="34" t="s">
        <v>30</v>
      </c>
      <c r="M35" s="34">
        <v>1013215</v>
      </c>
      <c r="N35" s="34" t="s">
        <v>15</v>
      </c>
      <c r="O35" s="34" t="s">
        <v>36</v>
      </c>
      <c r="P35" s="34" t="s">
        <v>36</v>
      </c>
      <c r="Q35" s="34" t="s">
        <v>36</v>
      </c>
      <c r="R35" s="34" t="s">
        <v>36</v>
      </c>
      <c r="S35" s="34">
        <v>0</v>
      </c>
      <c r="T35" s="34" t="s">
        <v>36</v>
      </c>
      <c r="U35" s="34" t="s">
        <v>36</v>
      </c>
      <c r="V35" s="34" t="s">
        <v>36</v>
      </c>
      <c r="W35" s="34" t="s">
        <v>36</v>
      </c>
      <c r="X35" s="34" t="s">
        <v>36</v>
      </c>
      <c r="Y35" s="34" t="s">
        <v>36</v>
      </c>
      <c r="Z35" s="34" t="s">
        <v>36</v>
      </c>
      <c r="AA35" s="34" t="s">
        <v>36</v>
      </c>
      <c r="AB35" s="34" t="s">
        <v>36</v>
      </c>
      <c r="AC35" s="34" t="s">
        <v>36</v>
      </c>
      <c r="AD35" s="34" t="s">
        <v>36</v>
      </c>
      <c r="AE35" s="34" t="s">
        <v>36</v>
      </c>
      <c r="AF35" s="34" t="s">
        <v>36</v>
      </c>
      <c r="AG35" s="34" t="s">
        <v>36</v>
      </c>
      <c r="AH35" s="34" t="s">
        <v>36</v>
      </c>
      <c r="AI35" s="34" t="s">
        <v>36</v>
      </c>
      <c r="AJ35" s="34" t="s">
        <v>36</v>
      </c>
      <c r="AK35" s="202" t="s">
        <v>36</v>
      </c>
      <c r="AL35" s="34" t="s">
        <v>36</v>
      </c>
    </row>
    <row r="36" spans="1:38" ht="14.4" customHeight="1" x14ac:dyDescent="0.3">
      <c r="A36" s="203">
        <v>1013063</v>
      </c>
      <c r="B36" s="34">
        <v>204273</v>
      </c>
      <c r="C36" s="34" t="s">
        <v>117</v>
      </c>
      <c r="D36" s="34" t="s">
        <v>1963</v>
      </c>
      <c r="E36" s="34" t="s">
        <v>886</v>
      </c>
      <c r="F36" s="34" t="s">
        <v>28</v>
      </c>
      <c r="G36" s="34">
        <v>31</v>
      </c>
      <c r="H36" s="34" t="s">
        <v>880</v>
      </c>
      <c r="I36" s="34" t="s">
        <v>2262</v>
      </c>
      <c r="J36" s="34" t="s">
        <v>254</v>
      </c>
      <c r="K36" s="34" t="s">
        <v>1869</v>
      </c>
      <c r="L36" s="34" t="s">
        <v>36</v>
      </c>
      <c r="M36" s="34">
        <v>204273</v>
      </c>
      <c r="N36" s="34" t="s">
        <v>947</v>
      </c>
      <c r="O36" s="34" t="s">
        <v>555</v>
      </c>
      <c r="P36" s="34" t="s">
        <v>559</v>
      </c>
      <c r="Q36" s="34">
        <v>0</v>
      </c>
      <c r="R36" s="34" t="s">
        <v>1760</v>
      </c>
      <c r="S36" s="34">
        <v>0</v>
      </c>
      <c r="T36" s="34">
        <v>0</v>
      </c>
      <c r="U36" s="34">
        <v>0</v>
      </c>
      <c r="V36" s="34">
        <v>0</v>
      </c>
      <c r="W36" s="34">
        <v>0</v>
      </c>
      <c r="X36" s="34">
        <v>0</v>
      </c>
      <c r="Y36" s="34">
        <v>0</v>
      </c>
      <c r="Z36" s="34">
        <v>0</v>
      </c>
      <c r="AA36" s="34">
        <v>0</v>
      </c>
      <c r="AB36" s="34">
        <v>0</v>
      </c>
      <c r="AC36" s="34">
        <v>0</v>
      </c>
      <c r="AD36" s="34">
        <v>0</v>
      </c>
      <c r="AE36" s="34">
        <v>0</v>
      </c>
      <c r="AF36" s="34">
        <v>0</v>
      </c>
      <c r="AG36" s="34">
        <v>0</v>
      </c>
      <c r="AH36" s="34">
        <v>0</v>
      </c>
      <c r="AI36" s="34">
        <v>0</v>
      </c>
      <c r="AJ36" s="34">
        <v>0</v>
      </c>
      <c r="AK36" s="202">
        <v>0</v>
      </c>
      <c r="AL36" s="34">
        <v>31</v>
      </c>
    </row>
    <row r="37" spans="1:38" ht="14.4" customHeight="1" x14ac:dyDescent="0.3">
      <c r="A37" s="203">
        <v>1012748</v>
      </c>
      <c r="B37" s="34">
        <v>368857</v>
      </c>
      <c r="C37" s="34" t="s">
        <v>117</v>
      </c>
      <c r="D37" s="34" t="s">
        <v>2007</v>
      </c>
      <c r="E37" s="34" t="s">
        <v>1866</v>
      </c>
      <c r="F37" s="34" t="s">
        <v>28</v>
      </c>
      <c r="G37" s="34">
        <v>174</v>
      </c>
      <c r="H37" s="34" t="s">
        <v>879</v>
      </c>
      <c r="I37" s="34" t="s">
        <v>2321</v>
      </c>
      <c r="J37" s="34" t="s">
        <v>54</v>
      </c>
      <c r="K37" s="34" t="s">
        <v>38</v>
      </c>
      <c r="L37" s="34" t="s">
        <v>36</v>
      </c>
      <c r="M37" s="34">
        <v>368857</v>
      </c>
      <c r="N37" s="34" t="s">
        <v>15</v>
      </c>
      <c r="O37" s="34" t="s">
        <v>606</v>
      </c>
      <c r="P37" s="34" t="s">
        <v>607</v>
      </c>
      <c r="Q37" s="34">
        <v>0</v>
      </c>
      <c r="R37" s="34" t="s">
        <v>36</v>
      </c>
      <c r="S37" s="34">
        <v>6</v>
      </c>
      <c r="T37" s="34">
        <v>0</v>
      </c>
      <c r="U37" s="34">
        <v>0</v>
      </c>
      <c r="V37" s="34">
        <v>9</v>
      </c>
      <c r="W37" s="34">
        <v>0</v>
      </c>
      <c r="X37" s="34">
        <v>0</v>
      </c>
      <c r="Y37" s="34">
        <v>10</v>
      </c>
      <c r="Z37" s="34">
        <v>5</v>
      </c>
      <c r="AA37" s="34">
        <v>5</v>
      </c>
      <c r="AB37" s="34">
        <v>0</v>
      </c>
      <c r="AC37" s="34">
        <v>98</v>
      </c>
      <c r="AD37" s="34">
        <v>14</v>
      </c>
      <c r="AE37" s="34">
        <v>0</v>
      </c>
      <c r="AF37" s="34">
        <v>0</v>
      </c>
      <c r="AG37" s="34">
        <v>0</v>
      </c>
      <c r="AH37" s="34">
        <v>0</v>
      </c>
      <c r="AI37" s="34">
        <v>0</v>
      </c>
      <c r="AJ37" s="34">
        <v>0</v>
      </c>
      <c r="AK37" s="202">
        <v>141</v>
      </c>
      <c r="AL37" s="34">
        <v>19</v>
      </c>
    </row>
    <row r="38" spans="1:38" ht="14.4" customHeight="1" x14ac:dyDescent="0.3">
      <c r="A38" s="203">
        <v>1012099</v>
      </c>
      <c r="B38" s="34">
        <v>262134</v>
      </c>
      <c r="C38" s="34" t="s">
        <v>1121</v>
      </c>
      <c r="D38" s="34" t="s">
        <v>1934</v>
      </c>
      <c r="E38" s="34" t="s">
        <v>857</v>
      </c>
      <c r="F38" s="34" t="s">
        <v>883</v>
      </c>
      <c r="G38" s="34">
        <v>90</v>
      </c>
      <c r="H38" s="34" t="s">
        <v>36</v>
      </c>
      <c r="I38" s="34" t="s">
        <v>2043</v>
      </c>
      <c r="J38" s="34" t="s">
        <v>47</v>
      </c>
      <c r="K38" s="34" t="s">
        <v>36</v>
      </c>
      <c r="L38" s="34" t="s">
        <v>41</v>
      </c>
      <c r="M38" s="34">
        <v>1012099</v>
      </c>
      <c r="N38" s="34" t="s">
        <v>949</v>
      </c>
      <c r="O38" s="34" t="s">
        <v>42</v>
      </c>
      <c r="P38" s="34" t="s">
        <v>43</v>
      </c>
      <c r="Q38" s="34" t="s">
        <v>36</v>
      </c>
      <c r="R38" s="34" t="s">
        <v>36</v>
      </c>
      <c r="S38" s="34">
        <v>0</v>
      </c>
      <c r="T38" s="34" t="s">
        <v>36</v>
      </c>
      <c r="U38" s="34" t="s">
        <v>36</v>
      </c>
      <c r="V38" s="34" t="s">
        <v>36</v>
      </c>
      <c r="W38" s="34" t="s">
        <v>36</v>
      </c>
      <c r="X38" s="34" t="s">
        <v>36</v>
      </c>
      <c r="Y38" s="34" t="s">
        <v>36</v>
      </c>
      <c r="Z38" s="34" t="s">
        <v>36</v>
      </c>
      <c r="AA38" s="34" t="s">
        <v>36</v>
      </c>
      <c r="AB38" s="34" t="s">
        <v>36</v>
      </c>
      <c r="AC38" s="34" t="s">
        <v>36</v>
      </c>
      <c r="AD38" s="34" t="s">
        <v>36</v>
      </c>
      <c r="AE38" s="34" t="s">
        <v>36</v>
      </c>
      <c r="AF38" s="34" t="s">
        <v>36</v>
      </c>
      <c r="AG38" s="34" t="s">
        <v>36</v>
      </c>
      <c r="AH38" s="34" t="s">
        <v>36</v>
      </c>
      <c r="AI38" s="34" t="s">
        <v>36</v>
      </c>
      <c r="AJ38" s="34" t="s">
        <v>36</v>
      </c>
      <c r="AK38" s="202" t="s">
        <v>36</v>
      </c>
      <c r="AL38" s="34" t="s">
        <v>36</v>
      </c>
    </row>
    <row r="39" spans="1:38" ht="14.4" customHeight="1" x14ac:dyDescent="0.3">
      <c r="A39" s="203">
        <v>1012038</v>
      </c>
      <c r="B39" s="34">
        <v>383110</v>
      </c>
      <c r="C39" s="34" t="s">
        <v>117</v>
      </c>
      <c r="D39" s="34" t="s">
        <v>1935</v>
      </c>
      <c r="E39" s="34" t="s">
        <v>886</v>
      </c>
      <c r="F39" s="34" t="s">
        <v>132</v>
      </c>
      <c r="G39" s="34">
        <v>0</v>
      </c>
      <c r="H39" s="34" t="s">
        <v>880</v>
      </c>
      <c r="I39" s="34" t="s">
        <v>36</v>
      </c>
      <c r="J39" s="34" t="s">
        <v>104</v>
      </c>
      <c r="K39" s="34" t="s">
        <v>1869</v>
      </c>
      <c r="L39" s="34" t="s">
        <v>36</v>
      </c>
      <c r="M39" s="34">
        <v>354861</v>
      </c>
      <c r="N39" s="34" t="s">
        <v>950</v>
      </c>
      <c r="O39" s="34" t="s">
        <v>37</v>
      </c>
      <c r="P39" s="34" t="s">
        <v>39</v>
      </c>
      <c r="Q39" s="34">
        <v>0</v>
      </c>
      <c r="R39" s="34" t="s">
        <v>36</v>
      </c>
      <c r="S39" s="34">
        <v>0</v>
      </c>
      <c r="T39" s="34">
        <v>0</v>
      </c>
      <c r="U39" s="34">
        <v>0</v>
      </c>
      <c r="V39" s="34">
        <v>0</v>
      </c>
      <c r="W39" s="34">
        <v>0</v>
      </c>
      <c r="X39" s="34">
        <v>0</v>
      </c>
      <c r="Y39" s="34">
        <v>0</v>
      </c>
      <c r="Z39" s="34">
        <v>0</v>
      </c>
      <c r="AA39" s="34">
        <v>0</v>
      </c>
      <c r="AB39" s="34">
        <v>0</v>
      </c>
      <c r="AC39" s="34">
        <v>0</v>
      </c>
      <c r="AD39" s="34">
        <v>0</v>
      </c>
      <c r="AE39" s="34">
        <v>0</v>
      </c>
      <c r="AF39" s="34">
        <v>0</v>
      </c>
      <c r="AG39" s="34">
        <v>0</v>
      </c>
      <c r="AH39" s="34">
        <v>0</v>
      </c>
      <c r="AI39" s="34">
        <v>0</v>
      </c>
      <c r="AJ39" s="34">
        <v>0</v>
      </c>
      <c r="AK39" s="202">
        <v>0</v>
      </c>
      <c r="AL39" s="34">
        <v>0</v>
      </c>
    </row>
    <row r="40" spans="1:38" ht="14.4" customHeight="1" x14ac:dyDescent="0.3">
      <c r="A40" s="203">
        <v>1011279</v>
      </c>
      <c r="B40" s="34">
        <v>251622</v>
      </c>
      <c r="C40" s="34" t="s">
        <v>117</v>
      </c>
      <c r="D40" s="34" t="s">
        <v>1872</v>
      </c>
      <c r="E40" s="34" t="s">
        <v>1531</v>
      </c>
      <c r="F40" s="34" t="s">
        <v>1845</v>
      </c>
      <c r="G40" s="34">
        <v>5</v>
      </c>
      <c r="H40" s="34" t="s">
        <v>879</v>
      </c>
      <c r="I40" s="34" t="s">
        <v>1937</v>
      </c>
      <c r="J40" s="34" t="s">
        <v>110</v>
      </c>
      <c r="K40" s="34" t="s">
        <v>38</v>
      </c>
      <c r="L40" s="34" t="s">
        <v>36</v>
      </c>
      <c r="M40" s="34">
        <v>251622</v>
      </c>
      <c r="N40" s="34" t="s">
        <v>946</v>
      </c>
      <c r="O40" s="34" t="s">
        <v>37</v>
      </c>
      <c r="P40" s="34" t="s">
        <v>39</v>
      </c>
      <c r="Q40" s="34">
        <v>0</v>
      </c>
      <c r="R40" s="34" t="s">
        <v>36</v>
      </c>
      <c r="S40" s="34">
        <v>0</v>
      </c>
      <c r="T40" s="34">
        <v>5</v>
      </c>
      <c r="U40" s="34">
        <v>0</v>
      </c>
      <c r="V40" s="34">
        <v>0</v>
      </c>
      <c r="W40" s="34">
        <v>0</v>
      </c>
      <c r="X40" s="34">
        <v>0</v>
      </c>
      <c r="Y40" s="34">
        <v>0</v>
      </c>
      <c r="Z40" s="34">
        <v>0</v>
      </c>
      <c r="AA40" s="34">
        <v>0</v>
      </c>
      <c r="AB40" s="34">
        <v>0</v>
      </c>
      <c r="AC40" s="34">
        <v>0</v>
      </c>
      <c r="AD40" s="34">
        <v>0</v>
      </c>
      <c r="AE40" s="34">
        <v>0</v>
      </c>
      <c r="AF40" s="34">
        <v>0</v>
      </c>
      <c r="AG40" s="34">
        <v>0</v>
      </c>
      <c r="AH40" s="34">
        <v>0</v>
      </c>
      <c r="AI40" s="34">
        <v>0</v>
      </c>
      <c r="AJ40" s="34">
        <v>0</v>
      </c>
      <c r="AK40" s="202">
        <v>0</v>
      </c>
      <c r="AL40" s="34">
        <v>0</v>
      </c>
    </row>
    <row r="41" spans="1:38" ht="14.4" customHeight="1" x14ac:dyDescent="0.3">
      <c r="A41" s="203">
        <v>1009453</v>
      </c>
      <c r="B41" s="34">
        <v>1016405</v>
      </c>
      <c r="C41" s="34" t="s">
        <v>117</v>
      </c>
      <c r="D41" s="34" t="s">
        <v>2304</v>
      </c>
      <c r="E41" s="34" t="s">
        <v>857</v>
      </c>
      <c r="F41" s="34" t="s">
        <v>28</v>
      </c>
      <c r="G41" s="34">
        <v>20</v>
      </c>
      <c r="H41" s="34" t="s">
        <v>41</v>
      </c>
      <c r="I41" s="34" t="s">
        <v>2348</v>
      </c>
      <c r="J41" s="34" t="s">
        <v>595</v>
      </c>
      <c r="K41" s="34" t="s">
        <v>38</v>
      </c>
      <c r="L41" s="34" t="s">
        <v>36</v>
      </c>
      <c r="M41" s="34">
        <v>1016405</v>
      </c>
      <c r="N41" s="34" t="s">
        <v>554</v>
      </c>
      <c r="O41" s="34" t="s">
        <v>36</v>
      </c>
      <c r="P41" s="34" t="s">
        <v>36</v>
      </c>
      <c r="Q41" s="34">
        <v>0</v>
      </c>
      <c r="R41" s="34" t="s">
        <v>1761</v>
      </c>
      <c r="S41" s="34">
        <v>2</v>
      </c>
      <c r="T41" s="34">
        <v>0</v>
      </c>
      <c r="U41" s="34">
        <v>0</v>
      </c>
      <c r="V41" s="34">
        <v>0</v>
      </c>
      <c r="W41" s="34">
        <v>0</v>
      </c>
      <c r="X41" s="34">
        <v>2</v>
      </c>
      <c r="Y41" s="34">
        <v>0</v>
      </c>
      <c r="Z41" s="34">
        <v>0</v>
      </c>
      <c r="AA41" s="34">
        <v>0</v>
      </c>
      <c r="AB41" s="34">
        <v>0</v>
      </c>
      <c r="AC41" s="34">
        <v>0</v>
      </c>
      <c r="AD41" s="34">
        <v>0</v>
      </c>
      <c r="AE41" s="34">
        <v>0</v>
      </c>
      <c r="AF41" s="34">
        <v>0</v>
      </c>
      <c r="AG41" s="34">
        <v>0</v>
      </c>
      <c r="AH41" s="34">
        <v>18</v>
      </c>
      <c r="AI41" s="34">
        <v>0</v>
      </c>
      <c r="AJ41" s="34">
        <v>0</v>
      </c>
      <c r="AK41" s="202">
        <v>20</v>
      </c>
      <c r="AL41" s="34">
        <v>0</v>
      </c>
    </row>
    <row r="42" spans="1:38" ht="14.4" customHeight="1" x14ac:dyDescent="0.3">
      <c r="A42" s="203">
        <v>1008506</v>
      </c>
      <c r="B42" s="34">
        <v>383110</v>
      </c>
      <c r="C42" s="34" t="s">
        <v>117</v>
      </c>
      <c r="D42" s="34" t="s">
        <v>1626</v>
      </c>
      <c r="E42" s="34" t="s">
        <v>1866</v>
      </c>
      <c r="F42" s="34" t="s">
        <v>28</v>
      </c>
      <c r="G42" s="34">
        <v>105</v>
      </c>
      <c r="H42" s="34" t="s">
        <v>880</v>
      </c>
      <c r="I42" s="34" t="s">
        <v>2334</v>
      </c>
      <c r="J42" s="34" t="s">
        <v>166</v>
      </c>
      <c r="K42" s="34" t="s">
        <v>1869</v>
      </c>
      <c r="L42" s="34" t="s">
        <v>36</v>
      </c>
      <c r="M42" s="34">
        <v>354861</v>
      </c>
      <c r="N42" s="34" t="s">
        <v>947</v>
      </c>
      <c r="O42" s="34" t="s">
        <v>37</v>
      </c>
      <c r="P42" s="34" t="s">
        <v>39</v>
      </c>
      <c r="Q42" s="34">
        <v>5</v>
      </c>
      <c r="R42" s="34" t="s">
        <v>1761</v>
      </c>
      <c r="S42" s="34">
        <v>1</v>
      </c>
      <c r="T42" s="34">
        <v>0</v>
      </c>
      <c r="U42" s="34">
        <v>0</v>
      </c>
      <c r="V42" s="34">
        <v>0</v>
      </c>
      <c r="W42" s="34">
        <v>0</v>
      </c>
      <c r="X42" s="34">
        <v>0</v>
      </c>
      <c r="Y42" s="34">
        <v>0</v>
      </c>
      <c r="Z42" s="34">
        <v>0</v>
      </c>
      <c r="AA42" s="34">
        <v>0</v>
      </c>
      <c r="AB42" s="34">
        <v>0</v>
      </c>
      <c r="AC42" s="34">
        <v>0</v>
      </c>
      <c r="AD42" s="34">
        <v>89</v>
      </c>
      <c r="AE42" s="34">
        <v>0</v>
      </c>
      <c r="AF42" s="34">
        <v>0</v>
      </c>
      <c r="AG42" s="34">
        <v>0</v>
      </c>
      <c r="AH42" s="34">
        <v>0</v>
      </c>
      <c r="AI42" s="34">
        <v>0</v>
      </c>
      <c r="AJ42" s="34">
        <v>0</v>
      </c>
      <c r="AK42" s="202">
        <v>89</v>
      </c>
      <c r="AL42" s="34">
        <v>84</v>
      </c>
    </row>
    <row r="43" spans="1:38" ht="14.4" customHeight="1" x14ac:dyDescent="0.3">
      <c r="A43" s="203">
        <v>1007900</v>
      </c>
      <c r="B43" s="34">
        <v>384135</v>
      </c>
      <c r="C43" s="34" t="s">
        <v>117</v>
      </c>
      <c r="D43" s="34" t="s">
        <v>1586</v>
      </c>
      <c r="E43" s="34" t="s">
        <v>1866</v>
      </c>
      <c r="F43" s="34" t="s">
        <v>28</v>
      </c>
      <c r="G43" s="34">
        <v>132</v>
      </c>
      <c r="H43" s="34" t="s">
        <v>880</v>
      </c>
      <c r="I43" s="34" t="s">
        <v>2335</v>
      </c>
      <c r="J43" s="34" t="s">
        <v>138</v>
      </c>
      <c r="K43" s="34" t="s">
        <v>1869</v>
      </c>
      <c r="L43" s="34" t="s">
        <v>36</v>
      </c>
      <c r="M43" s="34">
        <v>354861</v>
      </c>
      <c r="N43" s="34" t="s">
        <v>950</v>
      </c>
      <c r="O43" s="34" t="s">
        <v>37</v>
      </c>
      <c r="P43" s="34" t="s">
        <v>39</v>
      </c>
      <c r="Q43" s="34">
        <v>4</v>
      </c>
      <c r="R43" s="34" t="s">
        <v>1761</v>
      </c>
      <c r="S43" s="34">
        <v>4</v>
      </c>
      <c r="T43" s="34">
        <v>0</v>
      </c>
      <c r="U43" s="34">
        <v>0</v>
      </c>
      <c r="V43" s="34">
        <v>0</v>
      </c>
      <c r="W43" s="34">
        <v>10</v>
      </c>
      <c r="X43" s="34">
        <v>0</v>
      </c>
      <c r="Y43" s="34">
        <v>0</v>
      </c>
      <c r="Z43" s="34">
        <v>0</v>
      </c>
      <c r="AA43" s="34">
        <v>84</v>
      </c>
      <c r="AB43" s="34">
        <v>0</v>
      </c>
      <c r="AC43" s="34">
        <v>0</v>
      </c>
      <c r="AD43" s="34">
        <v>3</v>
      </c>
      <c r="AE43" s="34">
        <v>8</v>
      </c>
      <c r="AF43" s="34">
        <v>0</v>
      </c>
      <c r="AG43" s="34">
        <v>0</v>
      </c>
      <c r="AH43" s="34">
        <v>0</v>
      </c>
      <c r="AI43" s="34">
        <v>0</v>
      </c>
      <c r="AJ43" s="34">
        <v>0</v>
      </c>
      <c r="AK43" s="202">
        <v>105</v>
      </c>
      <c r="AL43" s="34">
        <v>41</v>
      </c>
    </row>
    <row r="44" spans="1:38" ht="14.4" customHeight="1" x14ac:dyDescent="0.3">
      <c r="A44" s="203">
        <v>1007536</v>
      </c>
      <c r="B44" s="34">
        <v>1004098</v>
      </c>
      <c r="C44" s="34" t="s">
        <v>117</v>
      </c>
      <c r="D44" s="34" t="s">
        <v>1571</v>
      </c>
      <c r="E44" s="34" t="s">
        <v>972</v>
      </c>
      <c r="F44" s="34" t="s">
        <v>106</v>
      </c>
      <c r="G44" s="34">
        <v>82</v>
      </c>
      <c r="H44" s="34" t="s">
        <v>879</v>
      </c>
      <c r="I44" s="34" t="s">
        <v>2336</v>
      </c>
      <c r="J44" s="34" t="s">
        <v>362</v>
      </c>
      <c r="K44" s="34" t="s">
        <v>38</v>
      </c>
      <c r="L44" s="34" t="s">
        <v>36</v>
      </c>
      <c r="M44" s="34">
        <v>1004098</v>
      </c>
      <c r="N44" s="34" t="s">
        <v>950</v>
      </c>
      <c r="O44" s="34" t="s">
        <v>36</v>
      </c>
      <c r="P44" s="34" t="s">
        <v>36</v>
      </c>
      <c r="Q44" s="34">
        <v>0</v>
      </c>
      <c r="R44" s="34" t="s">
        <v>36</v>
      </c>
      <c r="S44" s="34">
        <v>3</v>
      </c>
      <c r="T44" s="34">
        <v>21</v>
      </c>
      <c r="U44" s="34">
        <v>0</v>
      </c>
      <c r="V44" s="34">
        <v>0</v>
      </c>
      <c r="W44" s="34">
        <v>0</v>
      </c>
      <c r="X44" s="34">
        <v>0</v>
      </c>
      <c r="Y44" s="34">
        <v>0</v>
      </c>
      <c r="Z44" s="34">
        <v>0</v>
      </c>
      <c r="AA44" s="34">
        <v>35</v>
      </c>
      <c r="AB44" s="34">
        <v>0</v>
      </c>
      <c r="AC44" s="34">
        <v>0</v>
      </c>
      <c r="AD44" s="34">
        <v>8</v>
      </c>
      <c r="AE44" s="34">
        <v>0</v>
      </c>
      <c r="AF44" s="34">
        <v>1</v>
      </c>
      <c r="AG44" s="34">
        <v>0</v>
      </c>
      <c r="AH44" s="34">
        <v>0</v>
      </c>
      <c r="AI44" s="34">
        <v>0</v>
      </c>
      <c r="AJ44" s="34">
        <v>5</v>
      </c>
      <c r="AK44" s="202">
        <v>44</v>
      </c>
      <c r="AL44" s="34">
        <v>38</v>
      </c>
    </row>
    <row r="45" spans="1:38" ht="14.4" customHeight="1" x14ac:dyDescent="0.3">
      <c r="A45" s="203">
        <v>1007167</v>
      </c>
      <c r="B45" s="34">
        <v>1013215</v>
      </c>
      <c r="C45" s="34" t="s">
        <v>117</v>
      </c>
      <c r="D45" s="34" t="s">
        <v>2008</v>
      </c>
      <c r="E45" s="34" t="s">
        <v>886</v>
      </c>
      <c r="F45" s="34" t="s">
        <v>28</v>
      </c>
      <c r="G45" s="34">
        <v>38</v>
      </c>
      <c r="H45" s="34" t="s">
        <v>879</v>
      </c>
      <c r="I45" s="34" t="s">
        <v>2130</v>
      </c>
      <c r="J45" s="34" t="s">
        <v>545</v>
      </c>
      <c r="K45" s="34" t="s">
        <v>38</v>
      </c>
      <c r="L45" s="34" t="s">
        <v>36</v>
      </c>
      <c r="M45" s="34">
        <v>1013215</v>
      </c>
      <c r="N45" s="34" t="s">
        <v>947</v>
      </c>
      <c r="O45" s="34" t="s">
        <v>36</v>
      </c>
      <c r="P45" s="34" t="s">
        <v>36</v>
      </c>
      <c r="Q45" s="34">
        <v>0</v>
      </c>
      <c r="R45" s="34" t="s">
        <v>36</v>
      </c>
      <c r="S45" s="34">
        <v>0</v>
      </c>
      <c r="T45" s="34">
        <v>0</v>
      </c>
      <c r="U45" s="34">
        <v>0</v>
      </c>
      <c r="V45" s="34">
        <v>0</v>
      </c>
      <c r="W45" s="34">
        <v>0</v>
      </c>
      <c r="X45" s="34">
        <v>0</v>
      </c>
      <c r="Y45" s="34">
        <v>0</v>
      </c>
      <c r="Z45" s="34">
        <v>0</v>
      </c>
      <c r="AA45" s="34">
        <v>0</v>
      </c>
      <c r="AB45" s="34">
        <v>0</v>
      </c>
      <c r="AC45" s="34">
        <v>0</v>
      </c>
      <c r="AD45" s="34">
        <v>0</v>
      </c>
      <c r="AE45" s="34">
        <v>0</v>
      </c>
      <c r="AF45" s="34">
        <v>0</v>
      </c>
      <c r="AG45" s="34">
        <v>0</v>
      </c>
      <c r="AH45" s="34">
        <v>0</v>
      </c>
      <c r="AI45" s="34">
        <v>0</v>
      </c>
      <c r="AJ45" s="34">
        <v>0</v>
      </c>
      <c r="AK45" s="202">
        <v>0</v>
      </c>
      <c r="AL45" s="34">
        <v>38</v>
      </c>
    </row>
    <row r="46" spans="1:38" ht="14.4" customHeight="1" x14ac:dyDescent="0.3">
      <c r="A46" s="203">
        <v>1006483</v>
      </c>
      <c r="B46" s="34">
        <v>245563</v>
      </c>
      <c r="C46" s="34" t="s">
        <v>1121</v>
      </c>
      <c r="D46" s="34" t="s">
        <v>1782</v>
      </c>
      <c r="E46" s="34" t="s">
        <v>167</v>
      </c>
      <c r="F46" s="34" t="s">
        <v>132</v>
      </c>
      <c r="G46" s="34">
        <v>60</v>
      </c>
      <c r="H46" s="34" t="s">
        <v>36</v>
      </c>
      <c r="I46" s="34" t="s">
        <v>36</v>
      </c>
      <c r="J46" s="34" t="s">
        <v>170</v>
      </c>
      <c r="K46" s="34" t="s">
        <v>36</v>
      </c>
      <c r="L46" s="34" t="s">
        <v>30</v>
      </c>
      <c r="M46" s="34">
        <v>1006483</v>
      </c>
      <c r="N46" s="34" t="s">
        <v>943</v>
      </c>
      <c r="O46" s="34" t="s">
        <v>31</v>
      </c>
      <c r="P46" s="34" t="s">
        <v>45</v>
      </c>
      <c r="Q46" s="34" t="s">
        <v>36</v>
      </c>
      <c r="R46" s="34" t="s">
        <v>36</v>
      </c>
      <c r="S46" s="34">
        <v>0</v>
      </c>
      <c r="T46" s="34" t="s">
        <v>36</v>
      </c>
      <c r="U46" s="34" t="s">
        <v>36</v>
      </c>
      <c r="V46" s="34" t="s">
        <v>36</v>
      </c>
      <c r="W46" s="34" t="s">
        <v>36</v>
      </c>
      <c r="X46" s="34" t="s">
        <v>36</v>
      </c>
      <c r="Y46" s="34" t="s">
        <v>36</v>
      </c>
      <c r="Z46" s="34" t="s">
        <v>36</v>
      </c>
      <c r="AA46" s="34" t="s">
        <v>36</v>
      </c>
      <c r="AB46" s="34" t="s">
        <v>36</v>
      </c>
      <c r="AC46" s="34" t="s">
        <v>36</v>
      </c>
      <c r="AD46" s="34" t="s">
        <v>36</v>
      </c>
      <c r="AE46" s="34" t="s">
        <v>36</v>
      </c>
      <c r="AF46" s="34" t="s">
        <v>36</v>
      </c>
      <c r="AG46" s="34" t="s">
        <v>36</v>
      </c>
      <c r="AH46" s="34" t="s">
        <v>36</v>
      </c>
      <c r="AI46" s="34" t="s">
        <v>36</v>
      </c>
      <c r="AJ46" s="34" t="s">
        <v>36</v>
      </c>
      <c r="AK46" s="202" t="s">
        <v>36</v>
      </c>
      <c r="AL46" s="34" t="s">
        <v>36</v>
      </c>
    </row>
    <row r="47" spans="1:38" ht="14.4" customHeight="1" x14ac:dyDescent="0.3">
      <c r="A47" s="203">
        <v>1006376</v>
      </c>
      <c r="B47" s="34">
        <v>340740</v>
      </c>
      <c r="C47" s="34" t="s">
        <v>117</v>
      </c>
      <c r="D47" s="34" t="s">
        <v>1530</v>
      </c>
      <c r="E47" s="34" t="s">
        <v>972</v>
      </c>
      <c r="F47" s="34" t="s">
        <v>106</v>
      </c>
      <c r="G47" s="34">
        <v>38</v>
      </c>
      <c r="H47" s="34" t="s">
        <v>880</v>
      </c>
      <c r="I47" s="34" t="s">
        <v>2349</v>
      </c>
      <c r="J47" s="34" t="s">
        <v>1514</v>
      </c>
      <c r="K47" s="34" t="s">
        <v>939</v>
      </c>
      <c r="L47" s="34" t="s">
        <v>36</v>
      </c>
      <c r="M47" s="34">
        <v>340740</v>
      </c>
      <c r="N47" s="34" t="s">
        <v>554</v>
      </c>
      <c r="O47" s="34" t="s">
        <v>34</v>
      </c>
      <c r="P47" s="34" t="s">
        <v>55</v>
      </c>
      <c r="Q47" s="34">
        <v>2</v>
      </c>
      <c r="R47" s="34" t="s">
        <v>1761</v>
      </c>
      <c r="S47" s="34">
        <v>1</v>
      </c>
      <c r="T47" s="34">
        <v>19</v>
      </c>
      <c r="U47" s="34">
        <v>0</v>
      </c>
      <c r="V47" s="34">
        <v>0</v>
      </c>
      <c r="W47" s="34">
        <v>0</v>
      </c>
      <c r="X47" s="34">
        <v>0</v>
      </c>
      <c r="Y47" s="34">
        <v>0</v>
      </c>
      <c r="Z47" s="34">
        <v>0</v>
      </c>
      <c r="AA47" s="34">
        <v>0</v>
      </c>
      <c r="AB47" s="34">
        <v>0</v>
      </c>
      <c r="AC47" s="34">
        <v>0</v>
      </c>
      <c r="AD47" s="34">
        <v>0</v>
      </c>
      <c r="AE47" s="34">
        <v>0</v>
      </c>
      <c r="AF47" s="34">
        <v>0</v>
      </c>
      <c r="AG47" s="34">
        <v>0</v>
      </c>
      <c r="AH47" s="34">
        <v>28</v>
      </c>
      <c r="AI47" s="34">
        <v>0</v>
      </c>
      <c r="AJ47" s="34">
        <v>0</v>
      </c>
      <c r="AK47" s="202">
        <v>28</v>
      </c>
      <c r="AL47" s="34">
        <v>0</v>
      </c>
    </row>
    <row r="48" spans="1:38" ht="14.4" customHeight="1" x14ac:dyDescent="0.3">
      <c r="A48" s="203">
        <v>1004171</v>
      </c>
      <c r="B48" s="34">
        <v>381600</v>
      </c>
      <c r="C48" s="34" t="s">
        <v>117</v>
      </c>
      <c r="D48" s="34" t="s">
        <v>1474</v>
      </c>
      <c r="E48" s="34" t="s">
        <v>972</v>
      </c>
      <c r="F48" s="34" t="s">
        <v>106</v>
      </c>
      <c r="G48" s="34">
        <v>59</v>
      </c>
      <c r="H48" s="34" t="s">
        <v>880</v>
      </c>
      <c r="I48" s="34" t="s">
        <v>2337</v>
      </c>
      <c r="J48" s="34" t="s">
        <v>595</v>
      </c>
      <c r="K48" s="34" t="s">
        <v>939</v>
      </c>
      <c r="L48" s="34" t="s">
        <v>36</v>
      </c>
      <c r="M48" s="34">
        <v>381600</v>
      </c>
      <c r="N48" s="34" t="s">
        <v>554</v>
      </c>
      <c r="O48" s="34" t="s">
        <v>34</v>
      </c>
      <c r="P48" s="34" t="s">
        <v>558</v>
      </c>
      <c r="Q48" s="34">
        <v>4</v>
      </c>
      <c r="R48" s="34" t="s">
        <v>1760</v>
      </c>
      <c r="S48" s="34">
        <v>2</v>
      </c>
      <c r="T48" s="34">
        <v>32</v>
      </c>
      <c r="U48" s="34">
        <v>0</v>
      </c>
      <c r="V48" s="34">
        <v>0</v>
      </c>
      <c r="W48" s="34">
        <v>0</v>
      </c>
      <c r="X48" s="34">
        <v>0</v>
      </c>
      <c r="Y48" s="34">
        <v>0</v>
      </c>
      <c r="Z48" s="34">
        <v>0</v>
      </c>
      <c r="AA48" s="34">
        <v>0</v>
      </c>
      <c r="AB48" s="34">
        <v>0</v>
      </c>
      <c r="AC48" s="34">
        <v>0</v>
      </c>
      <c r="AD48" s="34">
        <v>0</v>
      </c>
      <c r="AE48" s="34">
        <v>0</v>
      </c>
      <c r="AF48" s="34">
        <v>11</v>
      </c>
      <c r="AG48" s="34">
        <v>0</v>
      </c>
      <c r="AH48" s="34">
        <v>31</v>
      </c>
      <c r="AI48" s="34">
        <v>0</v>
      </c>
      <c r="AJ48" s="34">
        <v>0</v>
      </c>
      <c r="AK48" s="202">
        <v>42</v>
      </c>
      <c r="AL48" s="34">
        <v>0</v>
      </c>
    </row>
    <row r="49" spans="1:38" ht="14.4" customHeight="1" x14ac:dyDescent="0.3">
      <c r="A49" s="203">
        <v>1004098</v>
      </c>
      <c r="B49" s="34" t="s">
        <v>36</v>
      </c>
      <c r="C49" s="34" t="s">
        <v>1121</v>
      </c>
      <c r="D49" s="34" t="s">
        <v>1587</v>
      </c>
      <c r="E49" s="34" t="s">
        <v>36</v>
      </c>
      <c r="F49" s="34" t="s">
        <v>165</v>
      </c>
      <c r="G49" s="34">
        <v>0</v>
      </c>
      <c r="H49" s="34" t="s">
        <v>36</v>
      </c>
      <c r="I49" s="34" t="s">
        <v>36</v>
      </c>
      <c r="J49" s="34" t="s">
        <v>547</v>
      </c>
      <c r="K49" s="34" t="s">
        <v>36</v>
      </c>
      <c r="L49" s="34" t="s">
        <v>30</v>
      </c>
      <c r="M49" s="34">
        <v>1004098</v>
      </c>
      <c r="N49" s="34" t="s">
        <v>15</v>
      </c>
      <c r="O49" s="34" t="s">
        <v>36</v>
      </c>
      <c r="P49" s="34" t="s">
        <v>36</v>
      </c>
      <c r="Q49" s="34" t="s">
        <v>36</v>
      </c>
      <c r="R49" s="34" t="s">
        <v>36</v>
      </c>
      <c r="S49" s="34">
        <v>0</v>
      </c>
      <c r="T49" s="34" t="s">
        <v>36</v>
      </c>
      <c r="U49" s="34" t="s">
        <v>36</v>
      </c>
      <c r="V49" s="34" t="s">
        <v>36</v>
      </c>
      <c r="W49" s="34" t="s">
        <v>36</v>
      </c>
      <c r="X49" s="34" t="s">
        <v>36</v>
      </c>
      <c r="Y49" s="34" t="s">
        <v>36</v>
      </c>
      <c r="Z49" s="34" t="s">
        <v>36</v>
      </c>
      <c r="AA49" s="34" t="s">
        <v>36</v>
      </c>
      <c r="AB49" s="34" t="s">
        <v>36</v>
      </c>
      <c r="AC49" s="34" t="s">
        <v>36</v>
      </c>
      <c r="AD49" s="34" t="s">
        <v>36</v>
      </c>
      <c r="AE49" s="34" t="s">
        <v>36</v>
      </c>
      <c r="AF49" s="34" t="s">
        <v>36</v>
      </c>
      <c r="AG49" s="34" t="s">
        <v>36</v>
      </c>
      <c r="AH49" s="34" t="s">
        <v>36</v>
      </c>
      <c r="AI49" s="34" t="s">
        <v>36</v>
      </c>
      <c r="AJ49" s="34" t="s">
        <v>36</v>
      </c>
      <c r="AK49" s="202" t="s">
        <v>36</v>
      </c>
      <c r="AL49" s="34" t="s">
        <v>36</v>
      </c>
    </row>
    <row r="50" spans="1:38" ht="14.4" customHeight="1" x14ac:dyDescent="0.3">
      <c r="A50" s="203">
        <v>1004094</v>
      </c>
      <c r="B50" s="34">
        <v>1004098</v>
      </c>
      <c r="C50" s="34" t="s">
        <v>117</v>
      </c>
      <c r="D50" s="34" t="s">
        <v>1465</v>
      </c>
      <c r="E50" s="34" t="s">
        <v>885</v>
      </c>
      <c r="F50" s="34" t="s">
        <v>650</v>
      </c>
      <c r="G50" s="34">
        <v>42</v>
      </c>
      <c r="H50" s="34" t="s">
        <v>879</v>
      </c>
      <c r="I50" s="34" t="s">
        <v>1454</v>
      </c>
      <c r="J50" s="34" t="s">
        <v>138</v>
      </c>
      <c r="K50" s="34" t="s">
        <v>38</v>
      </c>
      <c r="L50" s="34" t="s">
        <v>36</v>
      </c>
      <c r="M50" s="34">
        <v>1004098</v>
      </c>
      <c r="N50" s="34" t="s">
        <v>950</v>
      </c>
      <c r="O50" s="34" t="s">
        <v>36</v>
      </c>
      <c r="P50" s="34" t="s">
        <v>36</v>
      </c>
      <c r="Q50" s="34">
        <v>0</v>
      </c>
      <c r="R50" s="34" t="s">
        <v>36</v>
      </c>
      <c r="S50" s="34">
        <v>0</v>
      </c>
      <c r="T50" s="34">
        <v>0</v>
      </c>
      <c r="U50" s="34">
        <v>0</v>
      </c>
      <c r="V50" s="34">
        <v>0</v>
      </c>
      <c r="W50" s="34">
        <v>0</v>
      </c>
      <c r="X50" s="34">
        <v>0</v>
      </c>
      <c r="Y50" s="34">
        <v>0</v>
      </c>
      <c r="Z50" s="34">
        <v>0</v>
      </c>
      <c r="AA50" s="34">
        <v>0</v>
      </c>
      <c r="AB50" s="34">
        <v>0</v>
      </c>
      <c r="AC50" s="34">
        <v>0</v>
      </c>
      <c r="AD50" s="34">
        <v>0</v>
      </c>
      <c r="AE50" s="34">
        <v>0</v>
      </c>
      <c r="AF50" s="34">
        <v>0</v>
      </c>
      <c r="AG50" s="34">
        <v>0</v>
      </c>
      <c r="AH50" s="34">
        <v>0</v>
      </c>
      <c r="AI50" s="34">
        <v>0</v>
      </c>
      <c r="AJ50" s="34">
        <v>0</v>
      </c>
      <c r="AK50" s="202">
        <v>0</v>
      </c>
      <c r="AL50" s="34">
        <v>0</v>
      </c>
    </row>
    <row r="51" spans="1:38" ht="14.4" customHeight="1" x14ac:dyDescent="0.3">
      <c r="A51" s="203">
        <v>1003863</v>
      </c>
      <c r="B51" s="34">
        <v>251622</v>
      </c>
      <c r="C51" s="34" t="s">
        <v>117</v>
      </c>
      <c r="D51" s="34" t="s">
        <v>1588</v>
      </c>
      <c r="E51" s="34" t="s">
        <v>167</v>
      </c>
      <c r="F51" s="34" t="s">
        <v>650</v>
      </c>
      <c r="G51" s="34">
        <v>39</v>
      </c>
      <c r="H51" s="34" t="s">
        <v>879</v>
      </c>
      <c r="I51" s="34" t="s">
        <v>1589</v>
      </c>
      <c r="J51" s="34" t="s">
        <v>138</v>
      </c>
      <c r="K51" s="34" t="s">
        <v>36</v>
      </c>
      <c r="L51" s="34" t="s">
        <v>36</v>
      </c>
      <c r="M51" s="34">
        <v>251622</v>
      </c>
      <c r="N51" s="34" t="s">
        <v>950</v>
      </c>
      <c r="O51" s="34" t="s">
        <v>37</v>
      </c>
      <c r="P51" s="34" t="s">
        <v>39</v>
      </c>
      <c r="Q51" s="34">
        <v>1</v>
      </c>
      <c r="R51" s="34" t="s">
        <v>36</v>
      </c>
      <c r="S51" s="34">
        <v>0</v>
      </c>
      <c r="T51" s="34">
        <v>0</v>
      </c>
      <c r="U51" s="34" t="s">
        <v>36</v>
      </c>
      <c r="V51" s="34" t="s">
        <v>36</v>
      </c>
      <c r="W51" s="34" t="s">
        <v>36</v>
      </c>
      <c r="X51" s="34" t="s">
        <v>36</v>
      </c>
      <c r="Y51" s="34" t="s">
        <v>36</v>
      </c>
      <c r="Z51" s="34" t="s">
        <v>36</v>
      </c>
      <c r="AA51" s="34" t="s">
        <v>36</v>
      </c>
      <c r="AB51" s="34" t="s">
        <v>36</v>
      </c>
      <c r="AC51" s="34" t="s">
        <v>36</v>
      </c>
      <c r="AD51" s="34" t="s">
        <v>36</v>
      </c>
      <c r="AE51" s="34" t="s">
        <v>36</v>
      </c>
      <c r="AF51" s="34" t="s">
        <v>36</v>
      </c>
      <c r="AG51" s="34" t="s">
        <v>36</v>
      </c>
      <c r="AH51" s="34" t="s">
        <v>36</v>
      </c>
      <c r="AI51" s="34">
        <v>0</v>
      </c>
      <c r="AJ51" s="34">
        <v>0</v>
      </c>
      <c r="AK51" s="202">
        <v>0</v>
      </c>
      <c r="AL51" s="34">
        <v>0</v>
      </c>
    </row>
    <row r="52" spans="1:38" ht="14.4" customHeight="1" x14ac:dyDescent="0.3">
      <c r="A52" s="203">
        <v>1002491</v>
      </c>
      <c r="B52" s="34">
        <v>1000707</v>
      </c>
      <c r="C52" s="34" t="s">
        <v>117</v>
      </c>
      <c r="D52" s="34" t="s">
        <v>1478</v>
      </c>
      <c r="E52" s="34" t="s">
        <v>886</v>
      </c>
      <c r="F52" s="34" t="s">
        <v>650</v>
      </c>
      <c r="G52" s="34">
        <v>15</v>
      </c>
      <c r="H52" s="34" t="s">
        <v>879</v>
      </c>
      <c r="I52" s="34" t="s">
        <v>1480</v>
      </c>
      <c r="J52" s="34" t="s">
        <v>104</v>
      </c>
      <c r="K52" s="34" t="s">
        <v>36</v>
      </c>
      <c r="L52" s="34" t="s">
        <v>36</v>
      </c>
      <c r="M52" s="34">
        <v>1000707</v>
      </c>
      <c r="N52" s="34" t="s">
        <v>943</v>
      </c>
      <c r="O52" s="34" t="s">
        <v>37</v>
      </c>
      <c r="P52" s="34" t="s">
        <v>36</v>
      </c>
      <c r="Q52" s="34">
        <v>0</v>
      </c>
      <c r="R52" s="34" t="s">
        <v>1760</v>
      </c>
      <c r="S52" s="34">
        <v>0</v>
      </c>
      <c r="T52" s="34">
        <v>0</v>
      </c>
      <c r="U52" s="34">
        <v>0</v>
      </c>
      <c r="V52" s="34">
        <v>0</v>
      </c>
      <c r="W52" s="34">
        <v>0</v>
      </c>
      <c r="X52" s="34">
        <v>0</v>
      </c>
      <c r="Y52" s="34">
        <v>0</v>
      </c>
      <c r="Z52" s="34">
        <v>0</v>
      </c>
      <c r="AA52" s="34">
        <v>0</v>
      </c>
      <c r="AB52" s="34">
        <v>0</v>
      </c>
      <c r="AC52" s="34">
        <v>0</v>
      </c>
      <c r="AD52" s="34">
        <v>0</v>
      </c>
      <c r="AE52" s="34">
        <v>0</v>
      </c>
      <c r="AF52" s="34">
        <v>0</v>
      </c>
      <c r="AG52" s="34">
        <v>0</v>
      </c>
      <c r="AH52" s="34">
        <v>0</v>
      </c>
      <c r="AI52" s="34">
        <v>0</v>
      </c>
      <c r="AJ52" s="34">
        <v>0</v>
      </c>
      <c r="AK52" s="202">
        <v>0</v>
      </c>
      <c r="AL52" s="34">
        <v>0</v>
      </c>
    </row>
    <row r="53" spans="1:38" ht="14.4" customHeight="1" x14ac:dyDescent="0.3">
      <c r="A53" s="203">
        <v>1002486</v>
      </c>
      <c r="B53" s="34">
        <v>1000707</v>
      </c>
      <c r="C53" s="34" t="s">
        <v>117</v>
      </c>
      <c r="D53" s="34" t="s">
        <v>1479</v>
      </c>
      <c r="E53" s="34" t="s">
        <v>886</v>
      </c>
      <c r="F53" s="34" t="s">
        <v>650</v>
      </c>
      <c r="G53" s="34">
        <v>15</v>
      </c>
      <c r="H53" s="34" t="s">
        <v>879</v>
      </c>
      <c r="I53" s="34" t="s">
        <v>1480</v>
      </c>
      <c r="J53" s="34" t="s">
        <v>104</v>
      </c>
      <c r="K53" s="34" t="s">
        <v>36</v>
      </c>
      <c r="L53" s="34" t="s">
        <v>36</v>
      </c>
      <c r="M53" s="34">
        <v>1000707</v>
      </c>
      <c r="N53" s="34" t="s">
        <v>943</v>
      </c>
      <c r="O53" s="34" t="s">
        <v>37</v>
      </c>
      <c r="P53" s="34" t="s">
        <v>36</v>
      </c>
      <c r="Q53" s="34">
        <v>0</v>
      </c>
      <c r="R53" s="34" t="s">
        <v>1760</v>
      </c>
      <c r="S53" s="34">
        <v>0</v>
      </c>
      <c r="T53" s="34">
        <v>0</v>
      </c>
      <c r="U53" s="34">
        <v>0</v>
      </c>
      <c r="V53" s="34">
        <v>0</v>
      </c>
      <c r="W53" s="34">
        <v>0</v>
      </c>
      <c r="X53" s="34">
        <v>0</v>
      </c>
      <c r="Y53" s="34">
        <v>0</v>
      </c>
      <c r="Z53" s="34">
        <v>0</v>
      </c>
      <c r="AA53" s="34">
        <v>0</v>
      </c>
      <c r="AB53" s="34">
        <v>0</v>
      </c>
      <c r="AC53" s="34">
        <v>0</v>
      </c>
      <c r="AD53" s="34">
        <v>0</v>
      </c>
      <c r="AE53" s="34">
        <v>0</v>
      </c>
      <c r="AF53" s="34">
        <v>0</v>
      </c>
      <c r="AG53" s="34">
        <v>0</v>
      </c>
      <c r="AH53" s="34">
        <v>0</v>
      </c>
      <c r="AI53" s="34">
        <v>0</v>
      </c>
      <c r="AJ53" s="34">
        <v>0</v>
      </c>
      <c r="AK53" s="202">
        <v>0</v>
      </c>
      <c r="AL53" s="34">
        <v>0</v>
      </c>
    </row>
    <row r="54" spans="1:38" ht="14.4" customHeight="1" x14ac:dyDescent="0.3">
      <c r="A54" s="203">
        <v>1002428</v>
      </c>
      <c r="B54" s="34">
        <v>1000707</v>
      </c>
      <c r="C54" s="34" t="s">
        <v>117</v>
      </c>
      <c r="D54" s="34" t="s">
        <v>1481</v>
      </c>
      <c r="E54" s="34" t="s">
        <v>886</v>
      </c>
      <c r="F54" s="34" t="s">
        <v>650</v>
      </c>
      <c r="G54" s="34">
        <v>15</v>
      </c>
      <c r="H54" s="34" t="s">
        <v>879</v>
      </c>
      <c r="I54" s="34" t="s">
        <v>2135</v>
      </c>
      <c r="J54" s="34" t="s">
        <v>170</v>
      </c>
      <c r="K54" s="34" t="s">
        <v>38</v>
      </c>
      <c r="L54" s="34" t="s">
        <v>36</v>
      </c>
      <c r="M54" s="34">
        <v>1000707</v>
      </c>
      <c r="N54" s="34" t="s">
        <v>943</v>
      </c>
      <c r="O54" s="34" t="s">
        <v>37</v>
      </c>
      <c r="P54" s="34" t="s">
        <v>36</v>
      </c>
      <c r="Q54" s="34">
        <v>0</v>
      </c>
      <c r="R54" s="34" t="s">
        <v>1761</v>
      </c>
      <c r="S54" s="34">
        <v>0</v>
      </c>
      <c r="T54" s="34">
        <v>0</v>
      </c>
      <c r="U54" s="34">
        <v>0</v>
      </c>
      <c r="V54" s="34">
        <v>0</v>
      </c>
      <c r="W54" s="34">
        <v>0</v>
      </c>
      <c r="X54" s="34">
        <v>0</v>
      </c>
      <c r="Y54" s="34">
        <v>0</v>
      </c>
      <c r="Z54" s="34">
        <v>0</v>
      </c>
      <c r="AA54" s="34">
        <v>0</v>
      </c>
      <c r="AB54" s="34">
        <v>0</v>
      </c>
      <c r="AC54" s="34">
        <v>0</v>
      </c>
      <c r="AD54" s="34">
        <v>0</v>
      </c>
      <c r="AE54" s="34">
        <v>0</v>
      </c>
      <c r="AF54" s="34">
        <v>0</v>
      </c>
      <c r="AG54" s="34">
        <v>0</v>
      </c>
      <c r="AH54" s="34">
        <v>0</v>
      </c>
      <c r="AI54" s="34">
        <v>0</v>
      </c>
      <c r="AJ54" s="34">
        <v>0</v>
      </c>
      <c r="AK54" s="202">
        <v>0</v>
      </c>
      <c r="AL54" s="34">
        <v>0</v>
      </c>
    </row>
    <row r="55" spans="1:38" ht="14.4" customHeight="1" x14ac:dyDescent="0.3">
      <c r="A55" s="203">
        <v>1002425</v>
      </c>
      <c r="B55" s="34">
        <v>1000707</v>
      </c>
      <c r="C55" s="34" t="s">
        <v>117</v>
      </c>
      <c r="D55" s="34" t="s">
        <v>1482</v>
      </c>
      <c r="E55" s="34" t="s">
        <v>886</v>
      </c>
      <c r="F55" s="34" t="s">
        <v>867</v>
      </c>
      <c r="G55" s="34">
        <v>15</v>
      </c>
      <c r="H55" s="34" t="s">
        <v>41</v>
      </c>
      <c r="I55" s="34" t="s">
        <v>1483</v>
      </c>
      <c r="J55" s="34" t="s">
        <v>170</v>
      </c>
      <c r="K55" s="34" t="s">
        <v>1869</v>
      </c>
      <c r="L55" s="34" t="s">
        <v>36</v>
      </c>
      <c r="M55" s="34">
        <v>1000707</v>
      </c>
      <c r="N55" s="34" t="s">
        <v>943</v>
      </c>
      <c r="O55" s="34" t="s">
        <v>37</v>
      </c>
      <c r="P55" s="34" t="s">
        <v>36</v>
      </c>
      <c r="Q55" s="34">
        <v>0</v>
      </c>
      <c r="R55" s="34" t="s">
        <v>1761</v>
      </c>
      <c r="S55" s="34">
        <v>0</v>
      </c>
      <c r="T55" s="34">
        <v>0</v>
      </c>
      <c r="U55" s="34">
        <v>0</v>
      </c>
      <c r="V55" s="34">
        <v>0</v>
      </c>
      <c r="W55" s="34">
        <v>0</v>
      </c>
      <c r="X55" s="34">
        <v>0</v>
      </c>
      <c r="Y55" s="34">
        <v>0</v>
      </c>
      <c r="Z55" s="34">
        <v>0</v>
      </c>
      <c r="AA55" s="34">
        <v>0</v>
      </c>
      <c r="AB55" s="34">
        <v>0</v>
      </c>
      <c r="AC55" s="34">
        <v>0</v>
      </c>
      <c r="AD55" s="34">
        <v>0</v>
      </c>
      <c r="AE55" s="34">
        <v>0</v>
      </c>
      <c r="AF55" s="34">
        <v>0</v>
      </c>
      <c r="AG55" s="34">
        <v>0</v>
      </c>
      <c r="AH55" s="34">
        <v>0</v>
      </c>
      <c r="AI55" s="34">
        <v>0</v>
      </c>
      <c r="AJ55" s="34">
        <v>0</v>
      </c>
      <c r="AK55" s="202">
        <v>0</v>
      </c>
      <c r="AL55" s="34">
        <v>0</v>
      </c>
    </row>
    <row r="56" spans="1:38" ht="14.4" customHeight="1" x14ac:dyDescent="0.3">
      <c r="A56" s="203">
        <v>1002381</v>
      </c>
      <c r="B56" s="34">
        <v>1000707</v>
      </c>
      <c r="C56" s="34" t="s">
        <v>117</v>
      </c>
      <c r="D56" s="34" t="s">
        <v>1175</v>
      </c>
      <c r="E56" s="34" t="s">
        <v>972</v>
      </c>
      <c r="F56" s="34" t="s">
        <v>106</v>
      </c>
      <c r="G56" s="34">
        <v>41</v>
      </c>
      <c r="H56" s="34" t="s">
        <v>879</v>
      </c>
      <c r="I56" s="34" t="s">
        <v>2322</v>
      </c>
      <c r="J56" s="34" t="s">
        <v>170</v>
      </c>
      <c r="K56" s="34" t="s">
        <v>38</v>
      </c>
      <c r="L56" s="34" t="s">
        <v>36</v>
      </c>
      <c r="M56" s="34">
        <v>1000707</v>
      </c>
      <c r="N56" s="34" t="s">
        <v>943</v>
      </c>
      <c r="O56" s="34" t="s">
        <v>37</v>
      </c>
      <c r="P56" s="34" t="s">
        <v>36</v>
      </c>
      <c r="Q56" s="34">
        <v>0</v>
      </c>
      <c r="R56" s="34" t="s">
        <v>1761</v>
      </c>
      <c r="S56" s="34">
        <v>2</v>
      </c>
      <c r="T56" s="34">
        <v>11</v>
      </c>
      <c r="U56" s="34">
        <v>0</v>
      </c>
      <c r="V56" s="34">
        <v>0</v>
      </c>
      <c r="W56" s="34">
        <v>0</v>
      </c>
      <c r="X56" s="34">
        <v>0</v>
      </c>
      <c r="Y56" s="34">
        <v>18</v>
      </c>
      <c r="Z56" s="34">
        <v>4</v>
      </c>
      <c r="AA56" s="34">
        <v>0</v>
      </c>
      <c r="AB56" s="34">
        <v>0</v>
      </c>
      <c r="AC56" s="34">
        <v>0</v>
      </c>
      <c r="AD56" s="34">
        <v>0</v>
      </c>
      <c r="AE56" s="34">
        <v>0</v>
      </c>
      <c r="AF56" s="34">
        <v>0</v>
      </c>
      <c r="AG56" s="34">
        <v>0</v>
      </c>
      <c r="AH56" s="34">
        <v>0</v>
      </c>
      <c r="AI56" s="34">
        <v>0</v>
      </c>
      <c r="AJ56" s="34">
        <v>7</v>
      </c>
      <c r="AK56" s="202">
        <v>22</v>
      </c>
      <c r="AL56" s="34">
        <v>3</v>
      </c>
    </row>
    <row r="57" spans="1:38" ht="14.4" customHeight="1" x14ac:dyDescent="0.3">
      <c r="A57" s="203">
        <v>1002345</v>
      </c>
      <c r="B57" s="34">
        <v>1000707</v>
      </c>
      <c r="C57" s="34" t="s">
        <v>117</v>
      </c>
      <c r="D57" s="34" t="s">
        <v>1574</v>
      </c>
      <c r="E57" s="34" t="s">
        <v>1866</v>
      </c>
      <c r="F57" s="34" t="s">
        <v>106</v>
      </c>
      <c r="G57" s="34">
        <v>67</v>
      </c>
      <c r="H57" s="34" t="s">
        <v>880</v>
      </c>
      <c r="I57" s="34" t="s">
        <v>2323</v>
      </c>
      <c r="J57" s="34" t="s">
        <v>170</v>
      </c>
      <c r="K57" s="34" t="s">
        <v>1869</v>
      </c>
      <c r="L57" s="34" t="s">
        <v>36</v>
      </c>
      <c r="M57" s="34">
        <v>1000707</v>
      </c>
      <c r="N57" s="34" t="s">
        <v>943</v>
      </c>
      <c r="O57" s="34" t="s">
        <v>37</v>
      </c>
      <c r="P57" s="34" t="s">
        <v>36</v>
      </c>
      <c r="Q57" s="34">
        <v>3</v>
      </c>
      <c r="R57" s="34" t="s">
        <v>1761</v>
      </c>
      <c r="S57" s="34">
        <v>2</v>
      </c>
      <c r="T57" s="34">
        <v>12</v>
      </c>
      <c r="U57" s="34">
        <v>0</v>
      </c>
      <c r="V57" s="34">
        <v>0</v>
      </c>
      <c r="W57" s="34">
        <v>3</v>
      </c>
      <c r="X57" s="34">
        <v>0</v>
      </c>
      <c r="Y57" s="34">
        <v>22</v>
      </c>
      <c r="Z57" s="34">
        <v>0</v>
      </c>
      <c r="AA57" s="34">
        <v>0</v>
      </c>
      <c r="AB57" s="34">
        <v>0</v>
      </c>
      <c r="AC57" s="34">
        <v>0</v>
      </c>
      <c r="AD57" s="34">
        <v>0</v>
      </c>
      <c r="AE57" s="34">
        <v>0</v>
      </c>
      <c r="AF57" s="34">
        <v>0</v>
      </c>
      <c r="AG57" s="34">
        <v>0</v>
      </c>
      <c r="AH57" s="34">
        <v>0</v>
      </c>
      <c r="AI57" s="34">
        <v>0</v>
      </c>
      <c r="AJ57" s="34">
        <v>0</v>
      </c>
      <c r="AK57" s="202">
        <v>25</v>
      </c>
      <c r="AL57" s="34">
        <v>31</v>
      </c>
    </row>
    <row r="58" spans="1:38" ht="14.4" customHeight="1" x14ac:dyDescent="0.3">
      <c r="A58" s="203">
        <v>1001248</v>
      </c>
      <c r="B58" s="34">
        <v>395610</v>
      </c>
      <c r="C58" s="34" t="s">
        <v>117</v>
      </c>
      <c r="D58" s="34" t="s">
        <v>919</v>
      </c>
      <c r="E58" s="34" t="s">
        <v>1145</v>
      </c>
      <c r="F58" s="34" t="s">
        <v>1601</v>
      </c>
      <c r="G58" s="34">
        <v>35</v>
      </c>
      <c r="H58" s="34" t="s">
        <v>880</v>
      </c>
      <c r="I58" s="34" t="s">
        <v>2294</v>
      </c>
      <c r="J58" s="34" t="s">
        <v>1116</v>
      </c>
      <c r="K58" s="34" t="s">
        <v>851</v>
      </c>
      <c r="L58" s="34" t="s">
        <v>36</v>
      </c>
      <c r="M58" s="34">
        <v>395610</v>
      </c>
      <c r="N58" s="34" t="s">
        <v>947</v>
      </c>
      <c r="O58" s="34" t="s">
        <v>555</v>
      </c>
      <c r="P58" s="34" t="s">
        <v>559</v>
      </c>
      <c r="Q58" s="34">
        <v>3</v>
      </c>
      <c r="R58" s="34" t="s">
        <v>1760</v>
      </c>
      <c r="S58" s="34">
        <v>0</v>
      </c>
      <c r="T58" s="34">
        <v>34</v>
      </c>
      <c r="U58" s="34">
        <v>0</v>
      </c>
      <c r="V58" s="34">
        <v>0</v>
      </c>
      <c r="W58" s="34">
        <v>0</v>
      </c>
      <c r="X58" s="34">
        <v>0</v>
      </c>
      <c r="Y58" s="34">
        <v>0</v>
      </c>
      <c r="Z58" s="34">
        <v>0</v>
      </c>
      <c r="AA58" s="34">
        <v>0</v>
      </c>
      <c r="AB58" s="34">
        <v>0</v>
      </c>
      <c r="AC58" s="34">
        <v>0</v>
      </c>
      <c r="AD58" s="34">
        <v>0</v>
      </c>
      <c r="AE58" s="34">
        <v>0</v>
      </c>
      <c r="AF58" s="34">
        <v>0</v>
      </c>
      <c r="AG58" s="34">
        <v>0</v>
      </c>
      <c r="AH58" s="34">
        <v>0</v>
      </c>
      <c r="AI58" s="34">
        <v>0</v>
      </c>
      <c r="AJ58" s="34">
        <v>2</v>
      </c>
      <c r="AK58" s="202">
        <v>0</v>
      </c>
      <c r="AL58" s="34">
        <v>0</v>
      </c>
    </row>
    <row r="59" spans="1:38" ht="14.4" customHeight="1" x14ac:dyDescent="0.3">
      <c r="A59" s="203">
        <v>1000707</v>
      </c>
      <c r="B59" s="34">
        <v>243427</v>
      </c>
      <c r="C59" s="34" t="s">
        <v>1121</v>
      </c>
      <c r="D59" s="34" t="s">
        <v>1484</v>
      </c>
      <c r="E59" s="34" t="s">
        <v>857</v>
      </c>
      <c r="F59" s="34" t="s">
        <v>165</v>
      </c>
      <c r="G59" s="34">
        <v>400</v>
      </c>
      <c r="H59" s="34" t="s">
        <v>36</v>
      </c>
      <c r="I59" s="34" t="s">
        <v>36</v>
      </c>
      <c r="J59" s="34" t="s">
        <v>547</v>
      </c>
      <c r="K59" s="34" t="s">
        <v>36</v>
      </c>
      <c r="L59" s="34" t="s">
        <v>30</v>
      </c>
      <c r="M59" s="34">
        <v>1000707</v>
      </c>
      <c r="N59" s="34" t="s">
        <v>15</v>
      </c>
      <c r="O59" s="34" t="s">
        <v>37</v>
      </c>
      <c r="P59" s="34" t="s">
        <v>36</v>
      </c>
      <c r="Q59" s="34" t="s">
        <v>36</v>
      </c>
      <c r="R59" s="34" t="s">
        <v>36</v>
      </c>
      <c r="S59" s="34">
        <v>0</v>
      </c>
      <c r="T59" s="34" t="s">
        <v>36</v>
      </c>
      <c r="U59" s="34" t="s">
        <v>36</v>
      </c>
      <c r="V59" s="34" t="s">
        <v>36</v>
      </c>
      <c r="W59" s="34" t="s">
        <v>36</v>
      </c>
      <c r="X59" s="34" t="s">
        <v>36</v>
      </c>
      <c r="Y59" s="34" t="s">
        <v>36</v>
      </c>
      <c r="Z59" s="34" t="s">
        <v>36</v>
      </c>
      <c r="AA59" s="34" t="s">
        <v>36</v>
      </c>
      <c r="AB59" s="34" t="s">
        <v>36</v>
      </c>
      <c r="AC59" s="34" t="s">
        <v>36</v>
      </c>
      <c r="AD59" s="34" t="s">
        <v>36</v>
      </c>
      <c r="AE59" s="34" t="s">
        <v>36</v>
      </c>
      <c r="AF59" s="34" t="s">
        <v>36</v>
      </c>
      <c r="AG59" s="34" t="s">
        <v>36</v>
      </c>
      <c r="AH59" s="34" t="s">
        <v>36</v>
      </c>
      <c r="AI59" s="34" t="s">
        <v>36</v>
      </c>
      <c r="AJ59" s="34" t="s">
        <v>36</v>
      </c>
      <c r="AK59" s="202" t="s">
        <v>36</v>
      </c>
      <c r="AL59" s="34" t="s">
        <v>36</v>
      </c>
    </row>
    <row r="60" spans="1:38" ht="14.4" customHeight="1" x14ac:dyDescent="0.3">
      <c r="A60" s="203">
        <v>396714</v>
      </c>
      <c r="B60" s="34">
        <v>216364</v>
      </c>
      <c r="C60" s="34" t="s">
        <v>117</v>
      </c>
      <c r="D60" s="34" t="s">
        <v>1788</v>
      </c>
      <c r="E60" s="34" t="s">
        <v>167</v>
      </c>
      <c r="F60" s="34" t="s">
        <v>132</v>
      </c>
      <c r="G60" s="34">
        <v>49</v>
      </c>
      <c r="H60" s="34" t="s">
        <v>104</v>
      </c>
      <c r="I60" s="34" t="s">
        <v>36</v>
      </c>
      <c r="J60" s="34" t="s">
        <v>1008</v>
      </c>
      <c r="K60" s="34" t="s">
        <v>36</v>
      </c>
      <c r="L60" s="34" t="s">
        <v>36</v>
      </c>
      <c r="M60" s="34">
        <v>216364</v>
      </c>
      <c r="N60" s="34" t="s">
        <v>947</v>
      </c>
      <c r="O60" s="34" t="s">
        <v>31</v>
      </c>
      <c r="P60" s="34" t="s">
        <v>53</v>
      </c>
      <c r="Q60" s="34">
        <v>0</v>
      </c>
      <c r="R60" s="34" t="s">
        <v>36</v>
      </c>
      <c r="S60" s="34">
        <v>0</v>
      </c>
      <c r="T60" s="34">
        <v>0</v>
      </c>
      <c r="U60" s="34" t="s">
        <v>36</v>
      </c>
      <c r="V60" s="34" t="s">
        <v>36</v>
      </c>
      <c r="W60" s="34" t="s">
        <v>36</v>
      </c>
      <c r="X60" s="34" t="s">
        <v>36</v>
      </c>
      <c r="Y60" s="34" t="s">
        <v>36</v>
      </c>
      <c r="Z60" s="34" t="s">
        <v>36</v>
      </c>
      <c r="AA60" s="34" t="s">
        <v>36</v>
      </c>
      <c r="AB60" s="34" t="s">
        <v>36</v>
      </c>
      <c r="AC60" s="34" t="s">
        <v>36</v>
      </c>
      <c r="AD60" s="34" t="s">
        <v>36</v>
      </c>
      <c r="AE60" s="34" t="s">
        <v>36</v>
      </c>
      <c r="AF60" s="34" t="s">
        <v>36</v>
      </c>
      <c r="AG60" s="34" t="s">
        <v>36</v>
      </c>
      <c r="AH60" s="34" t="s">
        <v>36</v>
      </c>
      <c r="AI60" s="34">
        <v>0</v>
      </c>
      <c r="AJ60" s="34">
        <v>0</v>
      </c>
      <c r="AK60" s="202">
        <v>0</v>
      </c>
      <c r="AL60" s="34">
        <v>0</v>
      </c>
    </row>
    <row r="61" spans="1:38" ht="14.4" customHeight="1" x14ac:dyDescent="0.3">
      <c r="A61" s="203">
        <v>396712</v>
      </c>
      <c r="B61" s="34">
        <v>216364</v>
      </c>
      <c r="C61" s="34" t="s">
        <v>117</v>
      </c>
      <c r="D61" s="34" t="s">
        <v>1787</v>
      </c>
      <c r="E61" s="34" t="s">
        <v>36</v>
      </c>
      <c r="F61" s="34" t="s">
        <v>132</v>
      </c>
      <c r="G61" s="34">
        <v>123</v>
      </c>
      <c r="H61" s="34" t="s">
        <v>104</v>
      </c>
      <c r="I61" s="34" t="s">
        <v>36</v>
      </c>
      <c r="J61" s="34" t="s">
        <v>104</v>
      </c>
      <c r="K61" s="34" t="s">
        <v>36</v>
      </c>
      <c r="L61" s="34" t="s">
        <v>36</v>
      </c>
      <c r="M61" s="34">
        <v>216364</v>
      </c>
      <c r="N61" s="34" t="s">
        <v>947</v>
      </c>
      <c r="O61" s="34" t="s">
        <v>31</v>
      </c>
      <c r="P61" s="34" t="s">
        <v>53</v>
      </c>
      <c r="Q61" s="34">
        <v>0</v>
      </c>
      <c r="R61" s="34" t="s">
        <v>36</v>
      </c>
      <c r="S61" s="34">
        <v>0</v>
      </c>
      <c r="T61" s="34">
        <v>0</v>
      </c>
      <c r="U61" s="34" t="s">
        <v>36</v>
      </c>
      <c r="V61" s="34" t="s">
        <v>36</v>
      </c>
      <c r="W61" s="34" t="s">
        <v>36</v>
      </c>
      <c r="X61" s="34" t="s">
        <v>36</v>
      </c>
      <c r="Y61" s="34" t="s">
        <v>36</v>
      </c>
      <c r="Z61" s="34" t="s">
        <v>36</v>
      </c>
      <c r="AA61" s="34" t="s">
        <v>36</v>
      </c>
      <c r="AB61" s="34" t="s">
        <v>36</v>
      </c>
      <c r="AC61" s="34" t="s">
        <v>36</v>
      </c>
      <c r="AD61" s="34" t="s">
        <v>36</v>
      </c>
      <c r="AE61" s="34" t="s">
        <v>36</v>
      </c>
      <c r="AF61" s="34" t="s">
        <v>36</v>
      </c>
      <c r="AG61" s="34" t="s">
        <v>36</v>
      </c>
      <c r="AH61" s="34" t="s">
        <v>36</v>
      </c>
      <c r="AI61" s="34">
        <v>0</v>
      </c>
      <c r="AJ61" s="34">
        <v>0</v>
      </c>
      <c r="AK61" s="202">
        <v>0</v>
      </c>
      <c r="AL61" s="34">
        <v>0</v>
      </c>
    </row>
    <row r="62" spans="1:38" ht="14.4" customHeight="1" x14ac:dyDescent="0.3">
      <c r="A62" s="203">
        <v>396710</v>
      </c>
      <c r="B62" s="34">
        <v>216364</v>
      </c>
      <c r="C62" s="34" t="s">
        <v>117</v>
      </c>
      <c r="D62" s="34" t="s">
        <v>2298</v>
      </c>
      <c r="E62" s="34" t="s">
        <v>36</v>
      </c>
      <c r="F62" s="34" t="s">
        <v>650</v>
      </c>
      <c r="G62" s="34">
        <v>89</v>
      </c>
      <c r="H62" s="34" t="s">
        <v>104</v>
      </c>
      <c r="I62" s="34" t="s">
        <v>36</v>
      </c>
      <c r="J62" s="34" t="s">
        <v>195</v>
      </c>
      <c r="K62" s="34" t="s">
        <v>36</v>
      </c>
      <c r="L62" s="34" t="s">
        <v>36</v>
      </c>
      <c r="M62" s="34">
        <v>216364</v>
      </c>
      <c r="N62" s="34" t="s">
        <v>951</v>
      </c>
      <c r="O62" s="34" t="s">
        <v>31</v>
      </c>
      <c r="P62" s="34" t="s">
        <v>53</v>
      </c>
      <c r="Q62" s="34">
        <v>0</v>
      </c>
      <c r="R62" s="34" t="s">
        <v>36</v>
      </c>
      <c r="S62" s="34">
        <v>0</v>
      </c>
      <c r="T62" s="34">
        <v>0</v>
      </c>
      <c r="U62" s="34" t="s">
        <v>36</v>
      </c>
      <c r="V62" s="34" t="s">
        <v>36</v>
      </c>
      <c r="W62" s="34" t="s">
        <v>36</v>
      </c>
      <c r="X62" s="34" t="s">
        <v>36</v>
      </c>
      <c r="Y62" s="34" t="s">
        <v>36</v>
      </c>
      <c r="Z62" s="34" t="s">
        <v>36</v>
      </c>
      <c r="AA62" s="34" t="s">
        <v>36</v>
      </c>
      <c r="AB62" s="34" t="s">
        <v>36</v>
      </c>
      <c r="AC62" s="34" t="s">
        <v>36</v>
      </c>
      <c r="AD62" s="34" t="s">
        <v>36</v>
      </c>
      <c r="AE62" s="34" t="s">
        <v>36</v>
      </c>
      <c r="AF62" s="34" t="s">
        <v>36</v>
      </c>
      <c r="AG62" s="34" t="s">
        <v>36</v>
      </c>
      <c r="AH62" s="34" t="s">
        <v>36</v>
      </c>
      <c r="AI62" s="34">
        <v>0</v>
      </c>
      <c r="AJ62" s="34">
        <v>0</v>
      </c>
      <c r="AK62" s="202">
        <v>0</v>
      </c>
      <c r="AL62" s="34">
        <v>0</v>
      </c>
    </row>
    <row r="63" spans="1:38" ht="14.4" customHeight="1" x14ac:dyDescent="0.3">
      <c r="A63" s="203">
        <v>396669</v>
      </c>
      <c r="B63" s="34">
        <v>216364</v>
      </c>
      <c r="C63" s="34" t="s">
        <v>117</v>
      </c>
      <c r="D63" s="34" t="s">
        <v>1748</v>
      </c>
      <c r="E63" s="34" t="s">
        <v>1321</v>
      </c>
      <c r="F63" s="34" t="s">
        <v>28</v>
      </c>
      <c r="G63" s="34">
        <v>25</v>
      </c>
      <c r="H63" s="34" t="s">
        <v>880</v>
      </c>
      <c r="I63" s="34" t="s">
        <v>2338</v>
      </c>
      <c r="J63" s="34" t="s">
        <v>173</v>
      </c>
      <c r="K63" s="34" t="s">
        <v>939</v>
      </c>
      <c r="L63" s="34" t="s">
        <v>36</v>
      </c>
      <c r="M63" s="34">
        <v>216364</v>
      </c>
      <c r="N63" s="34" t="s">
        <v>554</v>
      </c>
      <c r="O63" s="34" t="s">
        <v>31</v>
      </c>
      <c r="P63" s="34" t="s">
        <v>53</v>
      </c>
      <c r="Q63" s="34">
        <v>1</v>
      </c>
      <c r="R63" s="34" t="s">
        <v>1761</v>
      </c>
      <c r="S63" s="34">
        <v>2</v>
      </c>
      <c r="T63" s="34">
        <v>0</v>
      </c>
      <c r="U63" s="34">
        <v>0</v>
      </c>
      <c r="V63" s="34">
        <v>0</v>
      </c>
      <c r="W63" s="34">
        <v>4</v>
      </c>
      <c r="X63" s="34">
        <v>0</v>
      </c>
      <c r="Y63" s="34">
        <v>0</v>
      </c>
      <c r="Z63" s="34">
        <v>0</v>
      </c>
      <c r="AA63" s="34">
        <v>0</v>
      </c>
      <c r="AB63" s="34">
        <v>0</v>
      </c>
      <c r="AC63" s="34">
        <v>0</v>
      </c>
      <c r="AD63" s="34">
        <v>0</v>
      </c>
      <c r="AE63" s="34">
        <v>0</v>
      </c>
      <c r="AF63" s="34">
        <v>0</v>
      </c>
      <c r="AG63" s="34">
        <v>0</v>
      </c>
      <c r="AH63" s="34">
        <v>21</v>
      </c>
      <c r="AI63" s="34">
        <v>0</v>
      </c>
      <c r="AJ63" s="34">
        <v>0</v>
      </c>
      <c r="AK63" s="202">
        <v>25</v>
      </c>
      <c r="AL63" s="34">
        <v>0</v>
      </c>
    </row>
    <row r="64" spans="1:38" ht="14.4" customHeight="1" x14ac:dyDescent="0.3">
      <c r="A64" s="203">
        <v>396492</v>
      </c>
      <c r="B64" s="34">
        <v>395610</v>
      </c>
      <c r="C64" s="34" t="s">
        <v>117</v>
      </c>
      <c r="D64" s="34" t="s">
        <v>1168</v>
      </c>
      <c r="E64" s="34" t="s">
        <v>1012</v>
      </c>
      <c r="F64" s="34" t="s">
        <v>1845</v>
      </c>
      <c r="G64" s="34">
        <v>31</v>
      </c>
      <c r="H64" s="34" t="s">
        <v>880</v>
      </c>
      <c r="I64" s="34" t="s">
        <v>1526</v>
      </c>
      <c r="J64" s="34" t="s">
        <v>164</v>
      </c>
      <c r="K64" s="34" t="s">
        <v>560</v>
      </c>
      <c r="L64" s="34" t="s">
        <v>36</v>
      </c>
      <c r="M64" s="34">
        <v>395610</v>
      </c>
      <c r="N64" s="34" t="s">
        <v>17</v>
      </c>
      <c r="O64" s="34" t="s">
        <v>555</v>
      </c>
      <c r="P64" s="34" t="s">
        <v>559</v>
      </c>
      <c r="Q64" s="34">
        <v>1</v>
      </c>
      <c r="R64" s="34" t="s">
        <v>1760</v>
      </c>
      <c r="S64" s="34">
        <v>0</v>
      </c>
      <c r="T64" s="34">
        <v>5</v>
      </c>
      <c r="U64" s="34">
        <v>0</v>
      </c>
      <c r="V64" s="34">
        <v>0</v>
      </c>
      <c r="W64" s="34">
        <v>0</v>
      </c>
      <c r="X64" s="34">
        <v>0</v>
      </c>
      <c r="Y64" s="34">
        <v>0</v>
      </c>
      <c r="Z64" s="34">
        <v>0</v>
      </c>
      <c r="AA64" s="34">
        <v>0</v>
      </c>
      <c r="AB64" s="34">
        <v>0</v>
      </c>
      <c r="AC64" s="34">
        <v>0</v>
      </c>
      <c r="AD64" s="34">
        <v>0</v>
      </c>
      <c r="AE64" s="34">
        <v>0</v>
      </c>
      <c r="AF64" s="34">
        <v>0</v>
      </c>
      <c r="AG64" s="34">
        <v>0</v>
      </c>
      <c r="AH64" s="34">
        <v>0</v>
      </c>
      <c r="AI64" s="34">
        <v>0</v>
      </c>
      <c r="AJ64" s="34">
        <v>0</v>
      </c>
      <c r="AK64" s="202">
        <v>0</v>
      </c>
      <c r="AL64" s="34">
        <v>0</v>
      </c>
    </row>
    <row r="65" spans="1:38" ht="14.4" customHeight="1" x14ac:dyDescent="0.3">
      <c r="A65" s="203">
        <v>395610</v>
      </c>
      <c r="B65" s="34">
        <v>255707</v>
      </c>
      <c r="C65" s="34" t="s">
        <v>1121</v>
      </c>
      <c r="D65" s="34" t="s">
        <v>1446</v>
      </c>
      <c r="E65" s="34" t="s">
        <v>596</v>
      </c>
      <c r="F65" s="34" t="s">
        <v>860</v>
      </c>
      <c r="G65" s="34">
        <v>117</v>
      </c>
      <c r="H65" s="34" t="s">
        <v>36</v>
      </c>
      <c r="I65" s="34" t="s">
        <v>36</v>
      </c>
      <c r="J65" s="34" t="s">
        <v>171</v>
      </c>
      <c r="K65" s="34" t="s">
        <v>36</v>
      </c>
      <c r="L65" s="34" t="s">
        <v>30</v>
      </c>
      <c r="M65" s="34">
        <v>395610</v>
      </c>
      <c r="N65" s="34" t="s">
        <v>947</v>
      </c>
      <c r="O65" s="34" t="s">
        <v>555</v>
      </c>
      <c r="P65" s="34" t="s">
        <v>559</v>
      </c>
      <c r="Q65" s="34" t="s">
        <v>36</v>
      </c>
      <c r="R65" s="34" t="s">
        <v>36</v>
      </c>
      <c r="S65" s="34">
        <v>0</v>
      </c>
      <c r="T65" s="34" t="s">
        <v>36</v>
      </c>
      <c r="U65" s="34" t="s">
        <v>36</v>
      </c>
      <c r="V65" s="34" t="s">
        <v>36</v>
      </c>
      <c r="W65" s="34" t="s">
        <v>36</v>
      </c>
      <c r="X65" s="34" t="s">
        <v>36</v>
      </c>
      <c r="Y65" s="34" t="s">
        <v>36</v>
      </c>
      <c r="Z65" s="34" t="s">
        <v>36</v>
      </c>
      <c r="AA65" s="34" t="s">
        <v>36</v>
      </c>
      <c r="AB65" s="34" t="s">
        <v>36</v>
      </c>
      <c r="AC65" s="34" t="s">
        <v>36</v>
      </c>
      <c r="AD65" s="34" t="s">
        <v>36</v>
      </c>
      <c r="AE65" s="34" t="s">
        <v>36</v>
      </c>
      <c r="AF65" s="34" t="s">
        <v>36</v>
      </c>
      <c r="AG65" s="34" t="s">
        <v>36</v>
      </c>
      <c r="AH65" s="34" t="s">
        <v>36</v>
      </c>
      <c r="AI65" s="34" t="s">
        <v>36</v>
      </c>
      <c r="AJ65" s="34" t="s">
        <v>36</v>
      </c>
      <c r="AK65" s="202" t="s">
        <v>36</v>
      </c>
      <c r="AL65" s="34" t="s">
        <v>36</v>
      </c>
    </row>
    <row r="66" spans="1:38" ht="14.4" customHeight="1" x14ac:dyDescent="0.3">
      <c r="A66" s="203">
        <v>393263</v>
      </c>
      <c r="B66" s="34">
        <v>255707</v>
      </c>
      <c r="C66" s="34" t="s">
        <v>1121</v>
      </c>
      <c r="D66" s="34" t="s">
        <v>1789</v>
      </c>
      <c r="E66" s="34" t="s">
        <v>857</v>
      </c>
      <c r="F66" s="34" t="s">
        <v>132</v>
      </c>
      <c r="G66" s="34">
        <v>0</v>
      </c>
      <c r="H66" s="34" t="s">
        <v>36</v>
      </c>
      <c r="I66" s="34" t="s">
        <v>36</v>
      </c>
      <c r="J66" s="34" t="s">
        <v>171</v>
      </c>
      <c r="K66" s="34" t="s">
        <v>36</v>
      </c>
      <c r="L66" s="34" t="s">
        <v>30</v>
      </c>
      <c r="M66" s="34">
        <v>393263</v>
      </c>
      <c r="N66" s="34" t="s">
        <v>15</v>
      </c>
      <c r="O66" s="34" t="s">
        <v>555</v>
      </c>
      <c r="P66" s="34" t="s">
        <v>559</v>
      </c>
      <c r="Q66" s="34" t="s">
        <v>36</v>
      </c>
      <c r="R66" s="34" t="s">
        <v>36</v>
      </c>
      <c r="S66" s="34">
        <v>0</v>
      </c>
      <c r="T66" s="34" t="s">
        <v>36</v>
      </c>
      <c r="U66" s="34" t="s">
        <v>36</v>
      </c>
      <c r="V66" s="34" t="s">
        <v>36</v>
      </c>
      <c r="W66" s="34" t="s">
        <v>36</v>
      </c>
      <c r="X66" s="34" t="s">
        <v>36</v>
      </c>
      <c r="Y66" s="34" t="s">
        <v>36</v>
      </c>
      <c r="Z66" s="34" t="s">
        <v>36</v>
      </c>
      <c r="AA66" s="34" t="s">
        <v>36</v>
      </c>
      <c r="AB66" s="34" t="s">
        <v>36</v>
      </c>
      <c r="AC66" s="34" t="s">
        <v>36</v>
      </c>
      <c r="AD66" s="34" t="s">
        <v>36</v>
      </c>
      <c r="AE66" s="34" t="s">
        <v>36</v>
      </c>
      <c r="AF66" s="34" t="s">
        <v>36</v>
      </c>
      <c r="AG66" s="34" t="s">
        <v>36</v>
      </c>
      <c r="AH66" s="34" t="s">
        <v>36</v>
      </c>
      <c r="AI66" s="34" t="s">
        <v>36</v>
      </c>
      <c r="AJ66" s="34" t="s">
        <v>36</v>
      </c>
      <c r="AK66" s="202" t="s">
        <v>36</v>
      </c>
      <c r="AL66" s="34" t="s">
        <v>36</v>
      </c>
    </row>
    <row r="67" spans="1:38" ht="14.4" customHeight="1" x14ac:dyDescent="0.3">
      <c r="A67" s="203">
        <v>392058</v>
      </c>
      <c r="B67" s="34">
        <v>216364</v>
      </c>
      <c r="C67" s="34" t="s">
        <v>117</v>
      </c>
      <c r="D67" s="34" t="s">
        <v>2307</v>
      </c>
      <c r="E67" s="34" t="s">
        <v>1321</v>
      </c>
      <c r="F67" s="34" t="s">
        <v>28</v>
      </c>
      <c r="G67" s="34">
        <v>41</v>
      </c>
      <c r="H67" s="34" t="s">
        <v>880</v>
      </c>
      <c r="I67" s="34" t="s">
        <v>2285</v>
      </c>
      <c r="J67" s="34" t="s">
        <v>547</v>
      </c>
      <c r="K67" s="34" t="s">
        <v>939</v>
      </c>
      <c r="L67" s="34" t="s">
        <v>36</v>
      </c>
      <c r="M67" s="34">
        <v>216364</v>
      </c>
      <c r="N67" s="34" t="s">
        <v>951</v>
      </c>
      <c r="O67" s="34" t="s">
        <v>31</v>
      </c>
      <c r="P67" s="34" t="s">
        <v>53</v>
      </c>
      <c r="Q67" s="34">
        <v>2</v>
      </c>
      <c r="R67" s="34" t="s">
        <v>1761</v>
      </c>
      <c r="S67" s="34">
        <v>2</v>
      </c>
      <c r="T67" s="34">
        <v>0</v>
      </c>
      <c r="U67" s="34">
        <v>36</v>
      </c>
      <c r="V67" s="34">
        <v>0</v>
      </c>
      <c r="W67" s="34">
        <v>5</v>
      </c>
      <c r="X67" s="34">
        <v>0</v>
      </c>
      <c r="Y67" s="34">
        <v>0</v>
      </c>
      <c r="Z67" s="34">
        <v>0</v>
      </c>
      <c r="AA67" s="34">
        <v>0</v>
      </c>
      <c r="AB67" s="34">
        <v>0</v>
      </c>
      <c r="AC67" s="34">
        <v>0</v>
      </c>
      <c r="AD67" s="34">
        <v>0</v>
      </c>
      <c r="AE67" s="34">
        <v>0</v>
      </c>
      <c r="AF67" s="34">
        <v>0</v>
      </c>
      <c r="AG67" s="34">
        <v>0</v>
      </c>
      <c r="AH67" s="34">
        <v>0</v>
      </c>
      <c r="AI67" s="34">
        <v>0</v>
      </c>
      <c r="AJ67" s="34">
        <v>0</v>
      </c>
      <c r="AK67" s="202">
        <v>41</v>
      </c>
      <c r="AL67" s="34">
        <v>0</v>
      </c>
    </row>
    <row r="68" spans="1:38" ht="14.4" customHeight="1" x14ac:dyDescent="0.3">
      <c r="A68" s="203">
        <v>389549</v>
      </c>
      <c r="B68" s="34">
        <v>388154</v>
      </c>
      <c r="C68" s="34" t="s">
        <v>117</v>
      </c>
      <c r="D68" s="34" t="s">
        <v>938</v>
      </c>
      <c r="E68" s="34" t="s">
        <v>806</v>
      </c>
      <c r="F68" s="34" t="s">
        <v>1845</v>
      </c>
      <c r="G68" s="34">
        <v>43</v>
      </c>
      <c r="H68" s="34" t="s">
        <v>41</v>
      </c>
      <c r="I68" s="34" t="s">
        <v>963</v>
      </c>
      <c r="J68" s="34" t="s">
        <v>547</v>
      </c>
      <c r="K68" s="34" t="s">
        <v>38</v>
      </c>
      <c r="L68" s="34" t="s">
        <v>36</v>
      </c>
      <c r="M68" s="34">
        <v>388154</v>
      </c>
      <c r="N68" s="34" t="s">
        <v>15</v>
      </c>
      <c r="O68" s="34" t="s">
        <v>37</v>
      </c>
      <c r="P68" s="34" t="s">
        <v>39</v>
      </c>
      <c r="Q68" s="34">
        <v>0</v>
      </c>
      <c r="R68" s="34" t="s">
        <v>36</v>
      </c>
      <c r="S68" s="34">
        <v>0</v>
      </c>
      <c r="T68" s="34">
        <v>4</v>
      </c>
      <c r="U68" s="34">
        <v>0</v>
      </c>
      <c r="V68" s="34">
        <v>0</v>
      </c>
      <c r="W68" s="34">
        <v>0</v>
      </c>
      <c r="X68" s="34">
        <v>0</v>
      </c>
      <c r="Y68" s="34">
        <v>0</v>
      </c>
      <c r="Z68" s="34">
        <v>0</v>
      </c>
      <c r="AA68" s="34">
        <v>0</v>
      </c>
      <c r="AB68" s="34">
        <v>0</v>
      </c>
      <c r="AC68" s="34">
        <v>0</v>
      </c>
      <c r="AD68" s="34">
        <v>0</v>
      </c>
      <c r="AE68" s="34">
        <v>0</v>
      </c>
      <c r="AF68" s="34">
        <v>0</v>
      </c>
      <c r="AG68" s="34">
        <v>0</v>
      </c>
      <c r="AH68" s="34">
        <v>0</v>
      </c>
      <c r="AI68" s="34">
        <v>0</v>
      </c>
      <c r="AJ68" s="34">
        <v>0</v>
      </c>
      <c r="AK68" s="202">
        <v>0</v>
      </c>
      <c r="AL68" s="34">
        <v>0</v>
      </c>
    </row>
    <row r="69" spans="1:38" ht="14.4" customHeight="1" x14ac:dyDescent="0.3">
      <c r="A69" s="203">
        <v>388990</v>
      </c>
      <c r="B69" s="34">
        <v>384168</v>
      </c>
      <c r="C69" s="34" t="s">
        <v>117</v>
      </c>
      <c r="D69" s="34" t="s">
        <v>1781</v>
      </c>
      <c r="E69" s="34" t="s">
        <v>36</v>
      </c>
      <c r="F69" s="34" t="s">
        <v>650</v>
      </c>
      <c r="G69" s="34">
        <v>0</v>
      </c>
      <c r="H69" s="34" t="s">
        <v>41</v>
      </c>
      <c r="I69" s="34" t="s">
        <v>1357</v>
      </c>
      <c r="J69" s="34" t="s">
        <v>195</v>
      </c>
      <c r="K69" s="34" t="s">
        <v>36</v>
      </c>
      <c r="L69" s="34" t="s">
        <v>36</v>
      </c>
      <c r="M69" s="34">
        <v>354861</v>
      </c>
      <c r="N69" s="34" t="s">
        <v>951</v>
      </c>
      <c r="O69" s="34" t="s">
        <v>37</v>
      </c>
      <c r="P69" s="34" t="s">
        <v>39</v>
      </c>
      <c r="Q69" s="34">
        <v>0</v>
      </c>
      <c r="R69" s="34" t="s">
        <v>36</v>
      </c>
      <c r="S69" s="34">
        <v>0</v>
      </c>
      <c r="T69" s="34">
        <v>0</v>
      </c>
      <c r="U69" s="34" t="s">
        <v>36</v>
      </c>
      <c r="V69" s="34" t="s">
        <v>36</v>
      </c>
      <c r="W69" s="34" t="s">
        <v>36</v>
      </c>
      <c r="X69" s="34" t="s">
        <v>36</v>
      </c>
      <c r="Y69" s="34" t="s">
        <v>36</v>
      </c>
      <c r="Z69" s="34" t="s">
        <v>36</v>
      </c>
      <c r="AA69" s="34" t="s">
        <v>36</v>
      </c>
      <c r="AB69" s="34" t="s">
        <v>36</v>
      </c>
      <c r="AC69" s="34" t="s">
        <v>36</v>
      </c>
      <c r="AD69" s="34" t="s">
        <v>36</v>
      </c>
      <c r="AE69" s="34" t="s">
        <v>36</v>
      </c>
      <c r="AF69" s="34" t="s">
        <v>36</v>
      </c>
      <c r="AG69" s="34" t="s">
        <v>36</v>
      </c>
      <c r="AH69" s="34" t="s">
        <v>36</v>
      </c>
      <c r="AI69" s="34">
        <v>0</v>
      </c>
      <c r="AJ69" s="34">
        <v>0</v>
      </c>
      <c r="AK69" s="202">
        <v>0</v>
      </c>
      <c r="AL69" s="34">
        <v>0</v>
      </c>
    </row>
    <row r="70" spans="1:38" ht="14.4" customHeight="1" x14ac:dyDescent="0.3">
      <c r="A70" s="203">
        <v>388549</v>
      </c>
      <c r="B70" s="34">
        <v>370101</v>
      </c>
      <c r="C70" s="34" t="s">
        <v>117</v>
      </c>
      <c r="D70" s="34" t="s">
        <v>1141</v>
      </c>
      <c r="E70" s="34" t="s">
        <v>1145</v>
      </c>
      <c r="F70" s="34" t="s">
        <v>106</v>
      </c>
      <c r="G70" s="34">
        <v>256</v>
      </c>
      <c r="H70" s="34" t="s">
        <v>879</v>
      </c>
      <c r="I70" s="34" t="s">
        <v>1568</v>
      </c>
      <c r="J70" s="34" t="s">
        <v>195</v>
      </c>
      <c r="K70" s="34" t="s">
        <v>38</v>
      </c>
      <c r="L70" s="34" t="s">
        <v>36</v>
      </c>
      <c r="M70" s="34">
        <v>370101</v>
      </c>
      <c r="N70" s="34" t="s">
        <v>951</v>
      </c>
      <c r="O70" s="34" t="s">
        <v>644</v>
      </c>
      <c r="P70" s="34" t="s">
        <v>36</v>
      </c>
      <c r="Q70" s="34">
        <v>0</v>
      </c>
      <c r="R70" s="34" t="s">
        <v>36</v>
      </c>
      <c r="S70" s="34">
        <v>0</v>
      </c>
      <c r="T70" s="34">
        <v>244</v>
      </c>
      <c r="U70" s="34">
        <v>0</v>
      </c>
      <c r="V70" s="34">
        <v>0</v>
      </c>
      <c r="W70" s="34">
        <v>0</v>
      </c>
      <c r="X70" s="34">
        <v>0</v>
      </c>
      <c r="Y70" s="34">
        <v>0</v>
      </c>
      <c r="Z70" s="34">
        <v>0</v>
      </c>
      <c r="AA70" s="34">
        <v>0</v>
      </c>
      <c r="AB70" s="34">
        <v>0</v>
      </c>
      <c r="AC70" s="34">
        <v>0</v>
      </c>
      <c r="AD70" s="34">
        <v>0</v>
      </c>
      <c r="AE70" s="34">
        <v>0</v>
      </c>
      <c r="AF70" s="34">
        <v>0</v>
      </c>
      <c r="AG70" s="34">
        <v>0</v>
      </c>
      <c r="AH70" s="34">
        <v>0</v>
      </c>
      <c r="AI70" s="34">
        <v>0</v>
      </c>
      <c r="AJ70" s="34">
        <v>3</v>
      </c>
      <c r="AK70" s="202">
        <v>0</v>
      </c>
      <c r="AL70" s="34">
        <v>0</v>
      </c>
    </row>
    <row r="71" spans="1:38" ht="14.4" customHeight="1" x14ac:dyDescent="0.3">
      <c r="A71" s="203">
        <v>388154</v>
      </c>
      <c r="B71" s="34">
        <v>354861</v>
      </c>
      <c r="C71" s="34" t="s">
        <v>1121</v>
      </c>
      <c r="D71" s="34" t="s">
        <v>1985</v>
      </c>
      <c r="E71" s="34" t="s">
        <v>596</v>
      </c>
      <c r="F71" s="34" t="s">
        <v>165</v>
      </c>
      <c r="G71" s="34">
        <v>0</v>
      </c>
      <c r="H71" s="34" t="s">
        <v>36</v>
      </c>
      <c r="I71" s="34" t="s">
        <v>36</v>
      </c>
      <c r="J71" s="34" t="s">
        <v>547</v>
      </c>
      <c r="K71" s="34" t="s">
        <v>36</v>
      </c>
      <c r="L71" s="34" t="s">
        <v>30</v>
      </c>
      <c r="M71" s="34">
        <v>388154</v>
      </c>
      <c r="N71" s="34" t="s">
        <v>15</v>
      </c>
      <c r="O71" s="34" t="s">
        <v>37</v>
      </c>
      <c r="P71" s="34" t="s">
        <v>39</v>
      </c>
      <c r="Q71" s="34" t="s">
        <v>36</v>
      </c>
      <c r="R71" s="34" t="s">
        <v>36</v>
      </c>
      <c r="S71" s="34">
        <v>0</v>
      </c>
      <c r="T71" s="34" t="s">
        <v>36</v>
      </c>
      <c r="U71" s="34" t="s">
        <v>36</v>
      </c>
      <c r="V71" s="34" t="s">
        <v>36</v>
      </c>
      <c r="W71" s="34" t="s">
        <v>36</v>
      </c>
      <c r="X71" s="34" t="s">
        <v>36</v>
      </c>
      <c r="Y71" s="34" t="s">
        <v>36</v>
      </c>
      <c r="Z71" s="34" t="s">
        <v>36</v>
      </c>
      <c r="AA71" s="34" t="s">
        <v>36</v>
      </c>
      <c r="AB71" s="34" t="s">
        <v>36</v>
      </c>
      <c r="AC71" s="34" t="s">
        <v>36</v>
      </c>
      <c r="AD71" s="34" t="s">
        <v>36</v>
      </c>
      <c r="AE71" s="34" t="s">
        <v>36</v>
      </c>
      <c r="AF71" s="34" t="s">
        <v>36</v>
      </c>
      <c r="AG71" s="34" t="s">
        <v>36</v>
      </c>
      <c r="AH71" s="34" t="s">
        <v>36</v>
      </c>
      <c r="AI71" s="34" t="s">
        <v>36</v>
      </c>
      <c r="AJ71" s="34" t="s">
        <v>36</v>
      </c>
      <c r="AK71" s="202" t="s">
        <v>36</v>
      </c>
      <c r="AL71" s="34" t="s">
        <v>36</v>
      </c>
    </row>
    <row r="72" spans="1:38" ht="14.4" customHeight="1" x14ac:dyDescent="0.3">
      <c r="A72" s="203">
        <v>388053</v>
      </c>
      <c r="B72" s="34">
        <v>388154</v>
      </c>
      <c r="C72" s="34" t="s">
        <v>117</v>
      </c>
      <c r="D72" s="34" t="s">
        <v>887</v>
      </c>
      <c r="E72" s="34" t="s">
        <v>972</v>
      </c>
      <c r="F72" s="34" t="s">
        <v>106</v>
      </c>
      <c r="G72" s="34">
        <v>97</v>
      </c>
      <c r="H72" s="34" t="s">
        <v>41</v>
      </c>
      <c r="I72" s="34" t="s">
        <v>1471</v>
      </c>
      <c r="J72" s="34" t="s">
        <v>1575</v>
      </c>
      <c r="K72" s="34" t="s">
        <v>38</v>
      </c>
      <c r="L72" s="34" t="s">
        <v>36</v>
      </c>
      <c r="M72" s="34">
        <v>388154</v>
      </c>
      <c r="N72" s="34" t="s">
        <v>15</v>
      </c>
      <c r="O72" s="34" t="s">
        <v>37</v>
      </c>
      <c r="P72" s="34" t="s">
        <v>39</v>
      </c>
      <c r="Q72" s="34">
        <v>0</v>
      </c>
      <c r="R72" s="34" t="s">
        <v>36</v>
      </c>
      <c r="S72" s="34">
        <v>1</v>
      </c>
      <c r="T72" s="34">
        <v>75</v>
      </c>
      <c r="U72" s="34">
        <v>0</v>
      </c>
      <c r="V72" s="34">
        <v>0</v>
      </c>
      <c r="W72" s="34">
        <v>0</v>
      </c>
      <c r="X72" s="34">
        <v>0</v>
      </c>
      <c r="Y72" s="34">
        <v>0</v>
      </c>
      <c r="Z72" s="34">
        <v>0</v>
      </c>
      <c r="AA72" s="34">
        <v>0</v>
      </c>
      <c r="AB72" s="34">
        <v>0</v>
      </c>
      <c r="AC72" s="34">
        <v>21</v>
      </c>
      <c r="AD72" s="34">
        <v>0</v>
      </c>
      <c r="AE72" s="34">
        <v>0</v>
      </c>
      <c r="AF72" s="34">
        <v>0</v>
      </c>
      <c r="AG72" s="34">
        <v>0</v>
      </c>
      <c r="AH72" s="34">
        <v>0</v>
      </c>
      <c r="AI72" s="34">
        <v>0</v>
      </c>
      <c r="AJ72" s="34">
        <v>1</v>
      </c>
      <c r="AK72" s="202">
        <v>21</v>
      </c>
      <c r="AL72" s="34">
        <v>0</v>
      </c>
    </row>
    <row r="73" spans="1:38" ht="14.4" customHeight="1" x14ac:dyDescent="0.3">
      <c r="A73" s="203">
        <v>387452</v>
      </c>
      <c r="B73" s="34">
        <v>381997</v>
      </c>
      <c r="C73" s="34" t="s">
        <v>117</v>
      </c>
      <c r="D73" s="34" t="s">
        <v>2132</v>
      </c>
      <c r="E73" s="34" t="s">
        <v>886</v>
      </c>
      <c r="F73" s="34" t="s">
        <v>650</v>
      </c>
      <c r="G73" s="34">
        <v>50</v>
      </c>
      <c r="H73" s="34" t="s">
        <v>879</v>
      </c>
      <c r="I73" s="34" t="s">
        <v>2136</v>
      </c>
      <c r="J73" s="34" t="s">
        <v>545</v>
      </c>
      <c r="K73" s="34" t="s">
        <v>36</v>
      </c>
      <c r="L73" s="34" t="s">
        <v>36</v>
      </c>
      <c r="M73" s="34">
        <v>381997</v>
      </c>
      <c r="N73" s="34" t="s">
        <v>15</v>
      </c>
      <c r="O73" s="34" t="s">
        <v>42</v>
      </c>
      <c r="P73" s="34" t="s">
        <v>882</v>
      </c>
      <c r="Q73" s="34">
        <v>0</v>
      </c>
      <c r="R73" s="34" t="s">
        <v>36</v>
      </c>
      <c r="S73" s="34">
        <v>0</v>
      </c>
      <c r="T73" s="34">
        <v>0</v>
      </c>
      <c r="U73" s="34">
        <v>0</v>
      </c>
      <c r="V73" s="34">
        <v>0</v>
      </c>
      <c r="W73" s="34">
        <v>0</v>
      </c>
      <c r="X73" s="34">
        <v>0</v>
      </c>
      <c r="Y73" s="34">
        <v>0</v>
      </c>
      <c r="Z73" s="34">
        <v>0</v>
      </c>
      <c r="AA73" s="34">
        <v>0</v>
      </c>
      <c r="AB73" s="34">
        <v>0</v>
      </c>
      <c r="AC73" s="34">
        <v>0</v>
      </c>
      <c r="AD73" s="34">
        <v>0</v>
      </c>
      <c r="AE73" s="34">
        <v>0</v>
      </c>
      <c r="AF73" s="34">
        <v>0</v>
      </c>
      <c r="AG73" s="34">
        <v>0</v>
      </c>
      <c r="AH73" s="34">
        <v>0</v>
      </c>
      <c r="AI73" s="34">
        <v>0</v>
      </c>
      <c r="AJ73" s="34">
        <v>0</v>
      </c>
      <c r="AK73" s="202">
        <v>0</v>
      </c>
      <c r="AL73" s="34">
        <v>5</v>
      </c>
    </row>
    <row r="74" spans="1:38" ht="14.4" customHeight="1" x14ac:dyDescent="0.3">
      <c r="A74" s="203">
        <v>387448</v>
      </c>
      <c r="B74" s="34">
        <v>381997</v>
      </c>
      <c r="C74" s="34" t="s">
        <v>117</v>
      </c>
      <c r="D74" s="34" t="s">
        <v>2128</v>
      </c>
      <c r="E74" s="34" t="s">
        <v>972</v>
      </c>
      <c r="F74" s="34" t="s">
        <v>106</v>
      </c>
      <c r="G74" s="34">
        <v>19</v>
      </c>
      <c r="H74" s="34" t="s">
        <v>879</v>
      </c>
      <c r="I74" s="34" t="s">
        <v>1602</v>
      </c>
      <c r="J74" s="34" t="s">
        <v>1597</v>
      </c>
      <c r="K74" s="34" t="s">
        <v>38</v>
      </c>
      <c r="L74" s="34" t="s">
        <v>36</v>
      </c>
      <c r="M74" s="34">
        <v>381997</v>
      </c>
      <c r="N74" s="34" t="s">
        <v>15</v>
      </c>
      <c r="O74" s="34" t="s">
        <v>42</v>
      </c>
      <c r="P74" s="34" t="s">
        <v>882</v>
      </c>
      <c r="Q74" s="34">
        <v>0</v>
      </c>
      <c r="R74" s="34" t="s">
        <v>36</v>
      </c>
      <c r="S74" s="34">
        <v>2</v>
      </c>
      <c r="T74" s="34">
        <v>16</v>
      </c>
      <c r="U74" s="34">
        <v>0</v>
      </c>
      <c r="V74" s="34">
        <v>0</v>
      </c>
      <c r="W74" s="34">
        <v>0</v>
      </c>
      <c r="X74" s="34">
        <v>0</v>
      </c>
      <c r="Y74" s="34">
        <v>0</v>
      </c>
      <c r="Z74" s="34">
        <v>0</v>
      </c>
      <c r="AA74" s="34">
        <v>0</v>
      </c>
      <c r="AB74" s="34">
        <v>0</v>
      </c>
      <c r="AC74" s="34">
        <v>2</v>
      </c>
      <c r="AD74" s="34">
        <v>0</v>
      </c>
      <c r="AE74" s="34">
        <v>0</v>
      </c>
      <c r="AF74" s="34">
        <v>0</v>
      </c>
      <c r="AG74" s="34">
        <v>0</v>
      </c>
      <c r="AH74" s="34">
        <v>3</v>
      </c>
      <c r="AI74" s="34">
        <v>0</v>
      </c>
      <c r="AJ74" s="34">
        <v>5</v>
      </c>
      <c r="AK74" s="202">
        <v>5</v>
      </c>
      <c r="AL74" s="34">
        <v>0</v>
      </c>
    </row>
    <row r="75" spans="1:38" ht="14.4" customHeight="1" x14ac:dyDescent="0.3">
      <c r="A75" s="203">
        <v>387446</v>
      </c>
      <c r="B75" s="34">
        <v>381997</v>
      </c>
      <c r="C75" s="34" t="s">
        <v>117</v>
      </c>
      <c r="D75" s="34" t="s">
        <v>2129</v>
      </c>
      <c r="E75" s="34" t="s">
        <v>1321</v>
      </c>
      <c r="F75" s="34" t="s">
        <v>28</v>
      </c>
      <c r="G75" s="34">
        <v>25</v>
      </c>
      <c r="H75" s="34" t="s">
        <v>879</v>
      </c>
      <c r="I75" s="34" t="s">
        <v>2286</v>
      </c>
      <c r="J75" s="34" t="s">
        <v>1597</v>
      </c>
      <c r="K75" s="34" t="s">
        <v>38</v>
      </c>
      <c r="L75" s="34" t="s">
        <v>36</v>
      </c>
      <c r="M75" s="34">
        <v>381997</v>
      </c>
      <c r="N75" s="34" t="s">
        <v>15</v>
      </c>
      <c r="O75" s="34" t="s">
        <v>42</v>
      </c>
      <c r="P75" s="34" t="s">
        <v>882</v>
      </c>
      <c r="Q75" s="34">
        <v>0</v>
      </c>
      <c r="R75" s="34" t="s">
        <v>36</v>
      </c>
      <c r="S75" s="34">
        <v>3</v>
      </c>
      <c r="T75" s="34">
        <v>0</v>
      </c>
      <c r="U75" s="34">
        <v>0</v>
      </c>
      <c r="V75" s="34">
        <v>0</v>
      </c>
      <c r="W75" s="34">
        <v>0</v>
      </c>
      <c r="X75" s="34">
        <v>0</v>
      </c>
      <c r="Y75" s="34">
        <v>2</v>
      </c>
      <c r="Z75" s="34">
        <v>0</v>
      </c>
      <c r="AA75" s="34">
        <v>0</v>
      </c>
      <c r="AB75" s="34">
        <v>0</v>
      </c>
      <c r="AC75" s="34">
        <v>16</v>
      </c>
      <c r="AD75" s="34">
        <v>0</v>
      </c>
      <c r="AE75" s="34">
        <v>0</v>
      </c>
      <c r="AF75" s="34">
        <v>0</v>
      </c>
      <c r="AG75" s="34">
        <v>0</v>
      </c>
      <c r="AH75" s="34">
        <v>7</v>
      </c>
      <c r="AI75" s="34">
        <v>0</v>
      </c>
      <c r="AJ75" s="34">
        <v>0</v>
      </c>
      <c r="AK75" s="202">
        <v>25</v>
      </c>
      <c r="AL75" s="34">
        <v>0</v>
      </c>
    </row>
    <row r="76" spans="1:38" ht="14.4" customHeight="1" x14ac:dyDescent="0.3">
      <c r="A76" s="203">
        <v>387276</v>
      </c>
      <c r="B76" s="34">
        <v>370101</v>
      </c>
      <c r="C76" s="34" t="s">
        <v>117</v>
      </c>
      <c r="D76" s="34" t="s">
        <v>1527</v>
      </c>
      <c r="E76" s="34" t="s">
        <v>1145</v>
      </c>
      <c r="F76" s="34" t="s">
        <v>106</v>
      </c>
      <c r="G76" s="34">
        <v>102</v>
      </c>
      <c r="H76" s="34" t="s">
        <v>879</v>
      </c>
      <c r="I76" s="34" t="s">
        <v>1140</v>
      </c>
      <c r="J76" s="34" t="s">
        <v>2112</v>
      </c>
      <c r="K76" s="34" t="s">
        <v>38</v>
      </c>
      <c r="L76" s="34" t="s">
        <v>36</v>
      </c>
      <c r="M76" s="34">
        <v>370101</v>
      </c>
      <c r="N76" s="34" t="s">
        <v>951</v>
      </c>
      <c r="O76" s="34" t="s">
        <v>644</v>
      </c>
      <c r="P76" s="34" t="s">
        <v>36</v>
      </c>
      <c r="Q76" s="34">
        <v>0</v>
      </c>
      <c r="R76" s="34" t="s">
        <v>36</v>
      </c>
      <c r="S76" s="34">
        <v>0</v>
      </c>
      <c r="T76" s="34">
        <v>100</v>
      </c>
      <c r="U76" s="34">
        <v>0</v>
      </c>
      <c r="V76" s="34">
        <v>0</v>
      </c>
      <c r="W76" s="34">
        <v>0</v>
      </c>
      <c r="X76" s="34">
        <v>0</v>
      </c>
      <c r="Y76" s="34">
        <v>0</v>
      </c>
      <c r="Z76" s="34">
        <v>0</v>
      </c>
      <c r="AA76" s="34">
        <v>0</v>
      </c>
      <c r="AB76" s="34">
        <v>0</v>
      </c>
      <c r="AC76" s="34">
        <v>0</v>
      </c>
      <c r="AD76" s="34">
        <v>0</v>
      </c>
      <c r="AE76" s="34">
        <v>0</v>
      </c>
      <c r="AF76" s="34">
        <v>0</v>
      </c>
      <c r="AG76" s="34">
        <v>0</v>
      </c>
      <c r="AH76" s="34">
        <v>0</v>
      </c>
      <c r="AI76" s="34">
        <v>0</v>
      </c>
      <c r="AJ76" s="34">
        <v>2</v>
      </c>
      <c r="AK76" s="202">
        <v>0</v>
      </c>
      <c r="AL76" s="34">
        <v>0</v>
      </c>
    </row>
    <row r="77" spans="1:38" ht="14.4" customHeight="1" x14ac:dyDescent="0.3">
      <c r="A77" s="203">
        <v>387244</v>
      </c>
      <c r="B77" s="34">
        <v>384135</v>
      </c>
      <c r="C77" s="34" t="s">
        <v>117</v>
      </c>
      <c r="D77" s="34" t="s">
        <v>893</v>
      </c>
      <c r="E77" s="34" t="s">
        <v>167</v>
      </c>
      <c r="F77" s="34" t="s">
        <v>650</v>
      </c>
      <c r="G77" s="34">
        <v>75</v>
      </c>
      <c r="H77" s="34" t="s">
        <v>104</v>
      </c>
      <c r="I77" s="34" t="s">
        <v>1448</v>
      </c>
      <c r="J77" s="34" t="s">
        <v>547</v>
      </c>
      <c r="K77" s="34" t="s">
        <v>36</v>
      </c>
      <c r="L77" s="34" t="s">
        <v>36</v>
      </c>
      <c r="M77" s="34">
        <v>354861</v>
      </c>
      <c r="N77" s="34" t="s">
        <v>15</v>
      </c>
      <c r="O77" s="34" t="s">
        <v>37</v>
      </c>
      <c r="P77" s="34" t="s">
        <v>39</v>
      </c>
      <c r="Q77" s="34">
        <v>0</v>
      </c>
      <c r="R77" s="34" t="s">
        <v>36</v>
      </c>
      <c r="S77" s="34">
        <v>0</v>
      </c>
      <c r="T77" s="34">
        <v>0</v>
      </c>
      <c r="U77" s="34" t="s">
        <v>36</v>
      </c>
      <c r="V77" s="34" t="s">
        <v>36</v>
      </c>
      <c r="W77" s="34" t="s">
        <v>36</v>
      </c>
      <c r="X77" s="34" t="s">
        <v>36</v>
      </c>
      <c r="Y77" s="34" t="s">
        <v>36</v>
      </c>
      <c r="Z77" s="34" t="s">
        <v>36</v>
      </c>
      <c r="AA77" s="34" t="s">
        <v>36</v>
      </c>
      <c r="AB77" s="34" t="s">
        <v>36</v>
      </c>
      <c r="AC77" s="34" t="s">
        <v>36</v>
      </c>
      <c r="AD77" s="34" t="s">
        <v>36</v>
      </c>
      <c r="AE77" s="34" t="s">
        <v>36</v>
      </c>
      <c r="AF77" s="34" t="s">
        <v>36</v>
      </c>
      <c r="AG77" s="34" t="s">
        <v>36</v>
      </c>
      <c r="AH77" s="34" t="s">
        <v>36</v>
      </c>
      <c r="AI77" s="34">
        <v>0</v>
      </c>
      <c r="AJ77" s="34">
        <v>0</v>
      </c>
      <c r="AK77" s="202">
        <v>0</v>
      </c>
      <c r="AL77" s="34">
        <v>0</v>
      </c>
    </row>
    <row r="78" spans="1:38" ht="14.4" customHeight="1" x14ac:dyDescent="0.3">
      <c r="A78" s="203">
        <v>386846</v>
      </c>
      <c r="B78" s="34">
        <v>383110</v>
      </c>
      <c r="C78" s="34" t="s">
        <v>117</v>
      </c>
      <c r="D78" s="34" t="s">
        <v>884</v>
      </c>
      <c r="E78" s="34" t="s">
        <v>167</v>
      </c>
      <c r="F78" s="34" t="s">
        <v>132</v>
      </c>
      <c r="G78" s="34">
        <v>15</v>
      </c>
      <c r="H78" s="34" t="s">
        <v>104</v>
      </c>
      <c r="I78" s="34" t="s">
        <v>1938</v>
      </c>
      <c r="J78" s="34" t="s">
        <v>110</v>
      </c>
      <c r="K78" s="34" t="s">
        <v>36</v>
      </c>
      <c r="L78" s="34" t="s">
        <v>36</v>
      </c>
      <c r="M78" s="34">
        <v>354861</v>
      </c>
      <c r="N78" s="34" t="s">
        <v>946</v>
      </c>
      <c r="O78" s="34" t="s">
        <v>37</v>
      </c>
      <c r="P78" s="34" t="s">
        <v>39</v>
      </c>
      <c r="Q78" s="34">
        <v>0</v>
      </c>
      <c r="R78" s="34" t="s">
        <v>36</v>
      </c>
      <c r="S78" s="34">
        <v>0</v>
      </c>
      <c r="T78" s="34">
        <v>0</v>
      </c>
      <c r="U78" s="34" t="s">
        <v>36</v>
      </c>
      <c r="V78" s="34" t="s">
        <v>36</v>
      </c>
      <c r="W78" s="34" t="s">
        <v>36</v>
      </c>
      <c r="X78" s="34" t="s">
        <v>36</v>
      </c>
      <c r="Y78" s="34" t="s">
        <v>36</v>
      </c>
      <c r="Z78" s="34" t="s">
        <v>36</v>
      </c>
      <c r="AA78" s="34" t="s">
        <v>36</v>
      </c>
      <c r="AB78" s="34" t="s">
        <v>36</v>
      </c>
      <c r="AC78" s="34" t="s">
        <v>36</v>
      </c>
      <c r="AD78" s="34" t="s">
        <v>36</v>
      </c>
      <c r="AE78" s="34" t="s">
        <v>36</v>
      </c>
      <c r="AF78" s="34" t="s">
        <v>36</v>
      </c>
      <c r="AG78" s="34" t="s">
        <v>36</v>
      </c>
      <c r="AH78" s="34" t="s">
        <v>36</v>
      </c>
      <c r="AI78" s="34">
        <v>0</v>
      </c>
      <c r="AJ78" s="34">
        <v>0</v>
      </c>
      <c r="AK78" s="202">
        <v>0</v>
      </c>
      <c r="AL78" s="34">
        <v>0</v>
      </c>
    </row>
    <row r="79" spans="1:38" ht="14.4" customHeight="1" x14ac:dyDescent="0.3">
      <c r="A79" s="203">
        <v>385632</v>
      </c>
      <c r="B79" s="34">
        <v>216351</v>
      </c>
      <c r="C79" s="34" t="s">
        <v>117</v>
      </c>
      <c r="D79" s="34" t="s">
        <v>1444</v>
      </c>
      <c r="E79" s="34" t="s">
        <v>1321</v>
      </c>
      <c r="F79" s="34" t="s">
        <v>28</v>
      </c>
      <c r="G79" s="34">
        <v>5</v>
      </c>
      <c r="H79" s="34" t="s">
        <v>880</v>
      </c>
      <c r="I79" s="34" t="s">
        <v>2315</v>
      </c>
      <c r="J79" s="34" t="s">
        <v>847</v>
      </c>
      <c r="K79" s="34" t="s">
        <v>1793</v>
      </c>
      <c r="L79" s="34" t="s">
        <v>36</v>
      </c>
      <c r="M79" s="34">
        <v>216351</v>
      </c>
      <c r="N79" s="34" t="s">
        <v>947</v>
      </c>
      <c r="O79" s="34" t="s">
        <v>31</v>
      </c>
      <c r="P79" s="34" t="s">
        <v>53</v>
      </c>
      <c r="Q79" s="34">
        <v>0</v>
      </c>
      <c r="R79" s="34" t="s">
        <v>1760</v>
      </c>
      <c r="S79" s="34">
        <v>2</v>
      </c>
      <c r="T79" s="34">
        <v>0</v>
      </c>
      <c r="U79" s="34">
        <v>0</v>
      </c>
      <c r="V79" s="34">
        <v>0</v>
      </c>
      <c r="W79" s="34">
        <v>0</v>
      </c>
      <c r="X79" s="34">
        <v>0</v>
      </c>
      <c r="Y79" s="34">
        <v>0</v>
      </c>
      <c r="Z79" s="34">
        <v>0</v>
      </c>
      <c r="AA79" s="34">
        <v>0</v>
      </c>
      <c r="AB79" s="34">
        <v>0</v>
      </c>
      <c r="AC79" s="34">
        <v>1</v>
      </c>
      <c r="AD79" s="34">
        <v>4</v>
      </c>
      <c r="AE79" s="34">
        <v>0</v>
      </c>
      <c r="AF79" s="34">
        <v>0</v>
      </c>
      <c r="AG79" s="34">
        <v>0</v>
      </c>
      <c r="AH79" s="34">
        <v>0</v>
      </c>
      <c r="AI79" s="34">
        <v>0</v>
      </c>
      <c r="AJ79" s="34">
        <v>0</v>
      </c>
      <c r="AK79" s="202">
        <v>5</v>
      </c>
      <c r="AL79" s="34">
        <v>0</v>
      </c>
    </row>
    <row r="80" spans="1:38" ht="14.4" customHeight="1" x14ac:dyDescent="0.3">
      <c r="A80" s="203">
        <v>385442</v>
      </c>
      <c r="B80" s="34">
        <v>385438</v>
      </c>
      <c r="C80" s="34" t="s">
        <v>117</v>
      </c>
      <c r="D80" s="34" t="s">
        <v>983</v>
      </c>
      <c r="E80" s="34" t="s">
        <v>972</v>
      </c>
      <c r="F80" s="34" t="s">
        <v>106</v>
      </c>
      <c r="G80" s="34">
        <v>128</v>
      </c>
      <c r="H80" s="34" t="s">
        <v>879</v>
      </c>
      <c r="I80" s="34" t="s">
        <v>954</v>
      </c>
      <c r="J80" s="34" t="s">
        <v>1584</v>
      </c>
      <c r="K80" s="34" t="s">
        <v>38</v>
      </c>
      <c r="L80" s="34" t="s">
        <v>36</v>
      </c>
      <c r="M80" s="34">
        <v>385438</v>
      </c>
      <c r="N80" s="34" t="s">
        <v>950</v>
      </c>
      <c r="O80" s="34" t="s">
        <v>36</v>
      </c>
      <c r="P80" s="34" t="s">
        <v>36</v>
      </c>
      <c r="Q80" s="34">
        <v>0</v>
      </c>
      <c r="R80" s="34" t="s">
        <v>36</v>
      </c>
      <c r="S80" s="34">
        <v>2</v>
      </c>
      <c r="T80" s="34">
        <v>91</v>
      </c>
      <c r="U80" s="34">
        <v>0</v>
      </c>
      <c r="V80" s="34">
        <v>0</v>
      </c>
      <c r="W80" s="34">
        <v>0</v>
      </c>
      <c r="X80" s="34">
        <v>0</v>
      </c>
      <c r="Y80" s="34">
        <v>0</v>
      </c>
      <c r="Z80" s="34">
        <v>3</v>
      </c>
      <c r="AA80" s="34">
        <v>51</v>
      </c>
      <c r="AB80" s="34">
        <v>0</v>
      </c>
      <c r="AC80" s="34">
        <v>0</v>
      </c>
      <c r="AD80" s="34">
        <v>0</v>
      </c>
      <c r="AE80" s="34">
        <v>0</v>
      </c>
      <c r="AF80" s="34">
        <v>0</v>
      </c>
      <c r="AG80" s="34">
        <v>0</v>
      </c>
      <c r="AH80" s="34">
        <v>0</v>
      </c>
      <c r="AI80" s="34">
        <v>0</v>
      </c>
      <c r="AJ80" s="34">
        <v>0</v>
      </c>
      <c r="AK80" s="202">
        <v>54</v>
      </c>
      <c r="AL80" s="34">
        <v>0</v>
      </c>
    </row>
    <row r="81" spans="1:38" ht="14.4" customHeight="1" x14ac:dyDescent="0.3">
      <c r="A81" s="203">
        <v>385438</v>
      </c>
      <c r="B81" s="34">
        <v>385420</v>
      </c>
      <c r="C81" s="34" t="s">
        <v>1121</v>
      </c>
      <c r="D81" s="34" t="s">
        <v>874</v>
      </c>
      <c r="E81" s="34" t="s">
        <v>130</v>
      </c>
      <c r="F81" s="34" t="s">
        <v>165</v>
      </c>
      <c r="G81" s="34">
        <v>0</v>
      </c>
      <c r="H81" s="34" t="s">
        <v>36</v>
      </c>
      <c r="I81" s="34" t="s">
        <v>36</v>
      </c>
      <c r="J81" s="34" t="s">
        <v>547</v>
      </c>
      <c r="K81" s="34" t="s">
        <v>36</v>
      </c>
      <c r="L81" s="34" t="s">
        <v>30</v>
      </c>
      <c r="M81" s="34">
        <v>385438</v>
      </c>
      <c r="N81" s="34" t="s">
        <v>15</v>
      </c>
      <c r="O81" s="34" t="s">
        <v>36</v>
      </c>
      <c r="P81" s="34" t="s">
        <v>36</v>
      </c>
      <c r="Q81" s="34" t="s">
        <v>36</v>
      </c>
      <c r="R81" s="34" t="s">
        <v>36</v>
      </c>
      <c r="S81" s="34">
        <v>0</v>
      </c>
      <c r="T81" s="34" t="s">
        <v>36</v>
      </c>
      <c r="U81" s="34" t="s">
        <v>36</v>
      </c>
      <c r="V81" s="34" t="s">
        <v>36</v>
      </c>
      <c r="W81" s="34" t="s">
        <v>36</v>
      </c>
      <c r="X81" s="34" t="s">
        <v>36</v>
      </c>
      <c r="Y81" s="34" t="s">
        <v>36</v>
      </c>
      <c r="Z81" s="34" t="s">
        <v>36</v>
      </c>
      <c r="AA81" s="34" t="s">
        <v>36</v>
      </c>
      <c r="AB81" s="34" t="s">
        <v>36</v>
      </c>
      <c r="AC81" s="34" t="s">
        <v>36</v>
      </c>
      <c r="AD81" s="34" t="s">
        <v>36</v>
      </c>
      <c r="AE81" s="34" t="s">
        <v>36</v>
      </c>
      <c r="AF81" s="34" t="s">
        <v>36</v>
      </c>
      <c r="AG81" s="34" t="s">
        <v>36</v>
      </c>
      <c r="AH81" s="34" t="s">
        <v>36</v>
      </c>
      <c r="AI81" s="34" t="s">
        <v>36</v>
      </c>
      <c r="AJ81" s="34" t="s">
        <v>36</v>
      </c>
      <c r="AK81" s="202" t="s">
        <v>36</v>
      </c>
      <c r="AL81" s="34" t="s">
        <v>36</v>
      </c>
    </row>
    <row r="82" spans="1:38" ht="14.4" customHeight="1" x14ac:dyDescent="0.3">
      <c r="A82" s="203">
        <v>385208</v>
      </c>
      <c r="B82" s="34">
        <v>385206</v>
      </c>
      <c r="C82" s="34" t="s">
        <v>117</v>
      </c>
      <c r="D82" s="34" t="s">
        <v>2181</v>
      </c>
      <c r="E82" s="34" t="s">
        <v>1995</v>
      </c>
      <c r="F82" s="34" t="s">
        <v>132</v>
      </c>
      <c r="G82" s="34">
        <v>0</v>
      </c>
      <c r="H82" s="34" t="s">
        <v>879</v>
      </c>
      <c r="I82" s="34" t="s">
        <v>36</v>
      </c>
      <c r="J82" s="34" t="s">
        <v>171</v>
      </c>
      <c r="K82" s="34" t="s">
        <v>36</v>
      </c>
      <c r="L82" s="34" t="s">
        <v>36</v>
      </c>
      <c r="M82" s="34">
        <v>388154</v>
      </c>
      <c r="N82" s="34" t="s">
        <v>947</v>
      </c>
      <c r="O82" s="34" t="s">
        <v>37</v>
      </c>
      <c r="P82" s="34" t="s">
        <v>39</v>
      </c>
      <c r="Q82" s="34">
        <v>0</v>
      </c>
      <c r="R82" s="34" t="s">
        <v>36</v>
      </c>
      <c r="S82" s="34">
        <v>0</v>
      </c>
      <c r="T82" s="34">
        <v>0</v>
      </c>
      <c r="U82" s="34">
        <v>0</v>
      </c>
      <c r="V82" s="34">
        <v>0</v>
      </c>
      <c r="W82" s="34">
        <v>0</v>
      </c>
      <c r="X82" s="34">
        <v>0</v>
      </c>
      <c r="Y82" s="34">
        <v>0</v>
      </c>
      <c r="Z82" s="34">
        <v>0</v>
      </c>
      <c r="AA82" s="34">
        <v>0</v>
      </c>
      <c r="AB82" s="34">
        <v>0</v>
      </c>
      <c r="AC82" s="34">
        <v>0</v>
      </c>
      <c r="AD82" s="34">
        <v>0</v>
      </c>
      <c r="AE82" s="34">
        <v>0</v>
      </c>
      <c r="AF82" s="34">
        <v>0</v>
      </c>
      <c r="AG82" s="34">
        <v>0</v>
      </c>
      <c r="AH82" s="34">
        <v>0</v>
      </c>
      <c r="AI82" s="34">
        <v>0</v>
      </c>
      <c r="AJ82" s="34">
        <v>0</v>
      </c>
      <c r="AK82" s="202">
        <v>0</v>
      </c>
      <c r="AL82" s="34">
        <v>0</v>
      </c>
    </row>
    <row r="83" spans="1:38" ht="14.4" customHeight="1" x14ac:dyDescent="0.3">
      <c r="A83" s="203">
        <v>385206</v>
      </c>
      <c r="B83" s="34">
        <v>388154</v>
      </c>
      <c r="C83" s="34" t="s">
        <v>1121</v>
      </c>
      <c r="D83" s="34" t="s">
        <v>2182</v>
      </c>
      <c r="E83" s="34" t="s">
        <v>167</v>
      </c>
      <c r="F83" s="34" t="s">
        <v>132</v>
      </c>
      <c r="G83" s="34">
        <v>0</v>
      </c>
      <c r="H83" s="34" t="s">
        <v>36</v>
      </c>
      <c r="I83" s="34" t="s">
        <v>36</v>
      </c>
      <c r="J83" s="34" t="s">
        <v>171</v>
      </c>
      <c r="K83" s="34" t="s">
        <v>36</v>
      </c>
      <c r="L83" s="34" t="s">
        <v>30</v>
      </c>
      <c r="M83" s="34">
        <v>388154</v>
      </c>
      <c r="N83" s="34" t="s">
        <v>15</v>
      </c>
      <c r="O83" s="34" t="s">
        <v>37</v>
      </c>
      <c r="P83" s="34" t="s">
        <v>39</v>
      </c>
      <c r="Q83" s="34" t="s">
        <v>36</v>
      </c>
      <c r="R83" s="34" t="s">
        <v>36</v>
      </c>
      <c r="S83" s="34">
        <v>0</v>
      </c>
      <c r="T83" s="34" t="s">
        <v>36</v>
      </c>
      <c r="U83" s="34" t="s">
        <v>36</v>
      </c>
      <c r="V83" s="34" t="s">
        <v>36</v>
      </c>
      <c r="W83" s="34" t="s">
        <v>36</v>
      </c>
      <c r="X83" s="34" t="s">
        <v>36</v>
      </c>
      <c r="Y83" s="34" t="s">
        <v>36</v>
      </c>
      <c r="Z83" s="34" t="s">
        <v>36</v>
      </c>
      <c r="AA83" s="34" t="s">
        <v>36</v>
      </c>
      <c r="AB83" s="34" t="s">
        <v>36</v>
      </c>
      <c r="AC83" s="34" t="s">
        <v>36</v>
      </c>
      <c r="AD83" s="34" t="s">
        <v>36</v>
      </c>
      <c r="AE83" s="34" t="s">
        <v>36</v>
      </c>
      <c r="AF83" s="34" t="s">
        <v>36</v>
      </c>
      <c r="AG83" s="34" t="s">
        <v>36</v>
      </c>
      <c r="AH83" s="34" t="s">
        <v>36</v>
      </c>
      <c r="AI83" s="34" t="s">
        <v>36</v>
      </c>
      <c r="AJ83" s="34" t="s">
        <v>36</v>
      </c>
      <c r="AK83" s="202" t="s">
        <v>36</v>
      </c>
      <c r="AL83" s="34" t="s">
        <v>36</v>
      </c>
    </row>
    <row r="84" spans="1:38" ht="14.4" customHeight="1" x14ac:dyDescent="0.3">
      <c r="A84" s="203">
        <v>385201</v>
      </c>
      <c r="B84" s="34">
        <v>255693</v>
      </c>
      <c r="C84" s="34" t="s">
        <v>1121</v>
      </c>
      <c r="D84" s="34" t="s">
        <v>875</v>
      </c>
      <c r="E84" s="34" t="s">
        <v>130</v>
      </c>
      <c r="F84" s="34" t="s">
        <v>860</v>
      </c>
      <c r="G84" s="34">
        <v>0</v>
      </c>
      <c r="H84" s="34" t="s">
        <v>36</v>
      </c>
      <c r="I84" s="34" t="s">
        <v>36</v>
      </c>
      <c r="J84" s="34" t="s">
        <v>171</v>
      </c>
      <c r="K84" s="34" t="s">
        <v>36</v>
      </c>
      <c r="L84" s="34" t="s">
        <v>30</v>
      </c>
      <c r="M84" s="34">
        <v>385201</v>
      </c>
      <c r="N84" s="34" t="s">
        <v>15</v>
      </c>
      <c r="O84" s="34" t="s">
        <v>555</v>
      </c>
      <c r="P84" s="34" t="s">
        <v>556</v>
      </c>
      <c r="Q84" s="34" t="s">
        <v>36</v>
      </c>
      <c r="R84" s="34" t="s">
        <v>36</v>
      </c>
      <c r="S84" s="34">
        <v>0</v>
      </c>
      <c r="T84" s="34" t="s">
        <v>36</v>
      </c>
      <c r="U84" s="34" t="s">
        <v>36</v>
      </c>
      <c r="V84" s="34" t="s">
        <v>36</v>
      </c>
      <c r="W84" s="34" t="s">
        <v>36</v>
      </c>
      <c r="X84" s="34" t="s">
        <v>36</v>
      </c>
      <c r="Y84" s="34" t="s">
        <v>36</v>
      </c>
      <c r="Z84" s="34" t="s">
        <v>36</v>
      </c>
      <c r="AA84" s="34" t="s">
        <v>36</v>
      </c>
      <c r="AB84" s="34" t="s">
        <v>36</v>
      </c>
      <c r="AC84" s="34" t="s">
        <v>36</v>
      </c>
      <c r="AD84" s="34" t="s">
        <v>36</v>
      </c>
      <c r="AE84" s="34" t="s">
        <v>36</v>
      </c>
      <c r="AF84" s="34" t="s">
        <v>36</v>
      </c>
      <c r="AG84" s="34" t="s">
        <v>36</v>
      </c>
      <c r="AH84" s="34" t="s">
        <v>36</v>
      </c>
      <c r="AI84" s="34" t="s">
        <v>36</v>
      </c>
      <c r="AJ84" s="34" t="s">
        <v>36</v>
      </c>
      <c r="AK84" s="202" t="s">
        <v>36</v>
      </c>
      <c r="AL84" s="34" t="s">
        <v>36</v>
      </c>
    </row>
    <row r="85" spans="1:38" ht="14.4" customHeight="1" x14ac:dyDescent="0.3">
      <c r="A85" s="203">
        <v>384168</v>
      </c>
      <c r="B85" s="34">
        <v>384152</v>
      </c>
      <c r="C85" s="34" t="s">
        <v>117</v>
      </c>
      <c r="D85" s="34" t="s">
        <v>1752</v>
      </c>
      <c r="E85" s="34" t="s">
        <v>167</v>
      </c>
      <c r="F85" s="34" t="s">
        <v>650</v>
      </c>
      <c r="G85" s="34">
        <v>70</v>
      </c>
      <c r="H85" s="34" t="s">
        <v>104</v>
      </c>
      <c r="I85" s="34" t="s">
        <v>1930</v>
      </c>
      <c r="J85" s="34" t="s">
        <v>195</v>
      </c>
      <c r="K85" s="34" t="s">
        <v>36</v>
      </c>
      <c r="L85" s="34" t="s">
        <v>36</v>
      </c>
      <c r="M85" s="34">
        <v>354861</v>
      </c>
      <c r="N85" s="34" t="s">
        <v>951</v>
      </c>
      <c r="O85" s="34" t="s">
        <v>37</v>
      </c>
      <c r="P85" s="34" t="s">
        <v>39</v>
      </c>
      <c r="Q85" s="34">
        <v>6</v>
      </c>
      <c r="R85" s="34" t="s">
        <v>36</v>
      </c>
      <c r="S85" s="34">
        <v>0</v>
      </c>
      <c r="T85" s="34">
        <v>0</v>
      </c>
      <c r="U85" s="34" t="s">
        <v>36</v>
      </c>
      <c r="V85" s="34" t="s">
        <v>36</v>
      </c>
      <c r="W85" s="34" t="s">
        <v>36</v>
      </c>
      <c r="X85" s="34" t="s">
        <v>36</v>
      </c>
      <c r="Y85" s="34" t="s">
        <v>36</v>
      </c>
      <c r="Z85" s="34" t="s">
        <v>36</v>
      </c>
      <c r="AA85" s="34" t="s">
        <v>36</v>
      </c>
      <c r="AB85" s="34" t="s">
        <v>36</v>
      </c>
      <c r="AC85" s="34" t="s">
        <v>36</v>
      </c>
      <c r="AD85" s="34" t="s">
        <v>36</v>
      </c>
      <c r="AE85" s="34" t="s">
        <v>36</v>
      </c>
      <c r="AF85" s="34" t="s">
        <v>36</v>
      </c>
      <c r="AG85" s="34" t="s">
        <v>36</v>
      </c>
      <c r="AH85" s="34" t="s">
        <v>36</v>
      </c>
      <c r="AI85" s="34">
        <v>0</v>
      </c>
      <c r="AJ85" s="34">
        <v>0</v>
      </c>
      <c r="AK85" s="202">
        <v>0</v>
      </c>
      <c r="AL85" s="34">
        <v>0</v>
      </c>
    </row>
    <row r="86" spans="1:38" ht="14.4" customHeight="1" x14ac:dyDescent="0.3">
      <c r="A86" s="203">
        <v>384153</v>
      </c>
      <c r="B86" s="34">
        <v>384152</v>
      </c>
      <c r="C86" s="34" t="s">
        <v>117</v>
      </c>
      <c r="D86" s="34" t="s">
        <v>1751</v>
      </c>
      <c r="E86" s="34" t="s">
        <v>167</v>
      </c>
      <c r="F86" s="34" t="s">
        <v>28</v>
      </c>
      <c r="G86" s="34">
        <v>75</v>
      </c>
      <c r="H86" s="34" t="s">
        <v>879</v>
      </c>
      <c r="I86" s="34" t="s">
        <v>1843</v>
      </c>
      <c r="J86" s="34" t="s">
        <v>547</v>
      </c>
      <c r="K86" s="34" t="s">
        <v>38</v>
      </c>
      <c r="L86" s="34" t="s">
        <v>36</v>
      </c>
      <c r="M86" s="34">
        <v>354861</v>
      </c>
      <c r="N86" s="34" t="s">
        <v>951</v>
      </c>
      <c r="O86" s="34" t="s">
        <v>37</v>
      </c>
      <c r="P86" s="34" t="s">
        <v>39</v>
      </c>
      <c r="Q86" s="34">
        <v>2</v>
      </c>
      <c r="R86" s="34" t="s">
        <v>36</v>
      </c>
      <c r="S86" s="34">
        <v>0</v>
      </c>
      <c r="T86" s="34">
        <v>0</v>
      </c>
      <c r="U86" s="34" t="s">
        <v>36</v>
      </c>
      <c r="V86" s="34" t="s">
        <v>36</v>
      </c>
      <c r="W86" s="34" t="s">
        <v>36</v>
      </c>
      <c r="X86" s="34" t="s">
        <v>36</v>
      </c>
      <c r="Y86" s="34" t="s">
        <v>36</v>
      </c>
      <c r="Z86" s="34" t="s">
        <v>36</v>
      </c>
      <c r="AA86" s="34" t="s">
        <v>36</v>
      </c>
      <c r="AB86" s="34" t="s">
        <v>36</v>
      </c>
      <c r="AC86" s="34" t="s">
        <v>36</v>
      </c>
      <c r="AD86" s="34" t="s">
        <v>36</v>
      </c>
      <c r="AE86" s="34" t="s">
        <v>36</v>
      </c>
      <c r="AF86" s="34" t="s">
        <v>36</v>
      </c>
      <c r="AG86" s="34" t="s">
        <v>36</v>
      </c>
      <c r="AH86" s="34" t="s">
        <v>36</v>
      </c>
      <c r="AI86" s="34">
        <v>0</v>
      </c>
      <c r="AJ86" s="34">
        <v>0</v>
      </c>
      <c r="AK86" s="202">
        <v>0</v>
      </c>
      <c r="AL86" s="34">
        <v>0</v>
      </c>
    </row>
    <row r="87" spans="1:38" ht="14.4" customHeight="1" x14ac:dyDescent="0.3">
      <c r="A87" s="203">
        <v>384152</v>
      </c>
      <c r="B87" s="34">
        <v>354861</v>
      </c>
      <c r="C87" s="34" t="s">
        <v>1121</v>
      </c>
      <c r="D87" s="34" t="s">
        <v>1790</v>
      </c>
      <c r="E87" s="34" t="s">
        <v>130</v>
      </c>
      <c r="F87" s="34" t="s">
        <v>883</v>
      </c>
      <c r="G87" s="34">
        <v>156</v>
      </c>
      <c r="H87" s="34" t="s">
        <v>36</v>
      </c>
      <c r="I87" s="34" t="s">
        <v>1449</v>
      </c>
      <c r="J87" s="34" t="s">
        <v>547</v>
      </c>
      <c r="K87" s="34" t="s">
        <v>36</v>
      </c>
      <c r="L87" s="34" t="s">
        <v>30</v>
      </c>
      <c r="M87" s="34">
        <v>354861</v>
      </c>
      <c r="N87" s="34" t="s">
        <v>15</v>
      </c>
      <c r="O87" s="34" t="s">
        <v>37</v>
      </c>
      <c r="P87" s="34" t="s">
        <v>39</v>
      </c>
      <c r="Q87" s="34" t="s">
        <v>36</v>
      </c>
      <c r="R87" s="34" t="s">
        <v>36</v>
      </c>
      <c r="S87" s="34">
        <v>0</v>
      </c>
      <c r="T87" s="34" t="s">
        <v>36</v>
      </c>
      <c r="U87" s="34" t="s">
        <v>36</v>
      </c>
      <c r="V87" s="34" t="s">
        <v>36</v>
      </c>
      <c r="W87" s="34" t="s">
        <v>36</v>
      </c>
      <c r="X87" s="34" t="s">
        <v>36</v>
      </c>
      <c r="Y87" s="34" t="s">
        <v>36</v>
      </c>
      <c r="Z87" s="34" t="s">
        <v>36</v>
      </c>
      <c r="AA87" s="34" t="s">
        <v>36</v>
      </c>
      <c r="AB87" s="34" t="s">
        <v>36</v>
      </c>
      <c r="AC87" s="34" t="s">
        <v>36</v>
      </c>
      <c r="AD87" s="34" t="s">
        <v>36</v>
      </c>
      <c r="AE87" s="34" t="s">
        <v>36</v>
      </c>
      <c r="AF87" s="34" t="s">
        <v>36</v>
      </c>
      <c r="AG87" s="34" t="s">
        <v>36</v>
      </c>
      <c r="AH87" s="34" t="s">
        <v>36</v>
      </c>
      <c r="AI87" s="34" t="s">
        <v>36</v>
      </c>
      <c r="AJ87" s="34" t="s">
        <v>36</v>
      </c>
      <c r="AK87" s="202" t="s">
        <v>36</v>
      </c>
      <c r="AL87" s="34" t="s">
        <v>36</v>
      </c>
    </row>
    <row r="88" spans="1:38" ht="14.4" customHeight="1" x14ac:dyDescent="0.3">
      <c r="A88" s="203">
        <v>384136</v>
      </c>
      <c r="B88" s="34">
        <v>384135</v>
      </c>
      <c r="C88" s="34" t="s">
        <v>117</v>
      </c>
      <c r="D88" s="34" t="s">
        <v>891</v>
      </c>
      <c r="E88" s="34" t="s">
        <v>1145</v>
      </c>
      <c r="F88" s="34" t="s">
        <v>106</v>
      </c>
      <c r="G88" s="34">
        <v>256</v>
      </c>
      <c r="H88" s="34" t="s">
        <v>879</v>
      </c>
      <c r="I88" s="34" t="s">
        <v>1598</v>
      </c>
      <c r="J88" s="34" t="s">
        <v>550</v>
      </c>
      <c r="K88" s="34" t="s">
        <v>38</v>
      </c>
      <c r="L88" s="34" t="s">
        <v>36</v>
      </c>
      <c r="M88" s="34">
        <v>354861</v>
      </c>
      <c r="N88" s="34" t="s">
        <v>950</v>
      </c>
      <c r="O88" s="34" t="s">
        <v>37</v>
      </c>
      <c r="P88" s="34" t="s">
        <v>39</v>
      </c>
      <c r="Q88" s="34">
        <v>2</v>
      </c>
      <c r="R88" s="34" t="s">
        <v>36</v>
      </c>
      <c r="S88" s="34">
        <v>0</v>
      </c>
      <c r="T88" s="34">
        <v>274</v>
      </c>
      <c r="U88" s="34">
        <v>0</v>
      </c>
      <c r="V88" s="34">
        <v>0</v>
      </c>
      <c r="W88" s="34">
        <v>0</v>
      </c>
      <c r="X88" s="34">
        <v>0</v>
      </c>
      <c r="Y88" s="34">
        <v>0</v>
      </c>
      <c r="Z88" s="34">
        <v>0</v>
      </c>
      <c r="AA88" s="34">
        <v>0</v>
      </c>
      <c r="AB88" s="34">
        <v>0</v>
      </c>
      <c r="AC88" s="34">
        <v>0</v>
      </c>
      <c r="AD88" s="34">
        <v>0</v>
      </c>
      <c r="AE88" s="34">
        <v>0</v>
      </c>
      <c r="AF88" s="34">
        <v>0</v>
      </c>
      <c r="AG88" s="34">
        <v>0</v>
      </c>
      <c r="AH88" s="34">
        <v>0</v>
      </c>
      <c r="AI88" s="34">
        <v>0</v>
      </c>
      <c r="AJ88" s="34">
        <v>9</v>
      </c>
      <c r="AK88" s="202">
        <v>0</v>
      </c>
      <c r="AL88" s="34">
        <v>0</v>
      </c>
    </row>
    <row r="89" spans="1:38" ht="14.4" customHeight="1" x14ac:dyDescent="0.3">
      <c r="A89" s="203">
        <v>384135</v>
      </c>
      <c r="B89" s="34">
        <v>354861</v>
      </c>
      <c r="C89" s="34" t="s">
        <v>1121</v>
      </c>
      <c r="D89" s="34" t="s">
        <v>871</v>
      </c>
      <c r="E89" s="34" t="s">
        <v>130</v>
      </c>
      <c r="F89" s="34" t="s">
        <v>860</v>
      </c>
      <c r="G89" s="34">
        <v>292</v>
      </c>
      <c r="H89" s="34" t="s">
        <v>36</v>
      </c>
      <c r="I89" s="34" t="s">
        <v>1449</v>
      </c>
      <c r="J89" s="34" t="s">
        <v>547</v>
      </c>
      <c r="K89" s="34" t="s">
        <v>36</v>
      </c>
      <c r="L89" s="34" t="s">
        <v>30</v>
      </c>
      <c r="M89" s="34">
        <v>354861</v>
      </c>
      <c r="N89" s="34" t="s">
        <v>15</v>
      </c>
      <c r="O89" s="34" t="s">
        <v>37</v>
      </c>
      <c r="P89" s="34" t="s">
        <v>39</v>
      </c>
      <c r="Q89" s="34" t="s">
        <v>36</v>
      </c>
      <c r="R89" s="34" t="s">
        <v>36</v>
      </c>
      <c r="S89" s="34">
        <v>0</v>
      </c>
      <c r="T89" s="34" t="s">
        <v>36</v>
      </c>
      <c r="U89" s="34" t="s">
        <v>36</v>
      </c>
      <c r="V89" s="34" t="s">
        <v>36</v>
      </c>
      <c r="W89" s="34" t="s">
        <v>36</v>
      </c>
      <c r="X89" s="34" t="s">
        <v>36</v>
      </c>
      <c r="Y89" s="34" t="s">
        <v>36</v>
      </c>
      <c r="Z89" s="34" t="s">
        <v>36</v>
      </c>
      <c r="AA89" s="34" t="s">
        <v>36</v>
      </c>
      <c r="AB89" s="34" t="s">
        <v>36</v>
      </c>
      <c r="AC89" s="34" t="s">
        <v>36</v>
      </c>
      <c r="AD89" s="34" t="s">
        <v>36</v>
      </c>
      <c r="AE89" s="34" t="s">
        <v>36</v>
      </c>
      <c r="AF89" s="34" t="s">
        <v>36</v>
      </c>
      <c r="AG89" s="34" t="s">
        <v>36</v>
      </c>
      <c r="AH89" s="34" t="s">
        <v>36</v>
      </c>
      <c r="AI89" s="34" t="s">
        <v>36</v>
      </c>
      <c r="AJ89" s="34" t="s">
        <v>36</v>
      </c>
      <c r="AK89" s="202" t="s">
        <v>36</v>
      </c>
      <c r="AL89" s="34" t="s">
        <v>36</v>
      </c>
    </row>
    <row r="90" spans="1:38" ht="14.4" customHeight="1" x14ac:dyDescent="0.3">
      <c r="A90" s="203">
        <v>384103</v>
      </c>
      <c r="B90" s="34">
        <v>354861</v>
      </c>
      <c r="C90" s="34" t="s">
        <v>1121</v>
      </c>
      <c r="D90" s="34" t="s">
        <v>2183</v>
      </c>
      <c r="E90" s="34" t="s">
        <v>130</v>
      </c>
      <c r="F90" s="34" t="s">
        <v>165</v>
      </c>
      <c r="G90" s="34">
        <v>0</v>
      </c>
      <c r="H90" s="34" t="s">
        <v>36</v>
      </c>
      <c r="I90" s="34" t="s">
        <v>1449</v>
      </c>
      <c r="J90" s="34" t="s">
        <v>547</v>
      </c>
      <c r="K90" s="34" t="s">
        <v>36</v>
      </c>
      <c r="L90" s="34" t="s">
        <v>30</v>
      </c>
      <c r="M90" s="34">
        <v>354861</v>
      </c>
      <c r="N90" s="34" t="s">
        <v>15</v>
      </c>
      <c r="O90" s="34" t="s">
        <v>37</v>
      </c>
      <c r="P90" s="34" t="s">
        <v>39</v>
      </c>
      <c r="Q90" s="34" t="s">
        <v>36</v>
      </c>
      <c r="R90" s="34" t="s">
        <v>36</v>
      </c>
      <c r="S90" s="34">
        <v>0</v>
      </c>
      <c r="T90" s="34" t="s">
        <v>36</v>
      </c>
      <c r="U90" s="34" t="s">
        <v>36</v>
      </c>
      <c r="V90" s="34" t="s">
        <v>36</v>
      </c>
      <c r="W90" s="34" t="s">
        <v>36</v>
      </c>
      <c r="X90" s="34" t="s">
        <v>36</v>
      </c>
      <c r="Y90" s="34" t="s">
        <v>36</v>
      </c>
      <c r="Z90" s="34" t="s">
        <v>36</v>
      </c>
      <c r="AA90" s="34" t="s">
        <v>36</v>
      </c>
      <c r="AB90" s="34" t="s">
        <v>36</v>
      </c>
      <c r="AC90" s="34" t="s">
        <v>36</v>
      </c>
      <c r="AD90" s="34" t="s">
        <v>36</v>
      </c>
      <c r="AE90" s="34" t="s">
        <v>36</v>
      </c>
      <c r="AF90" s="34" t="s">
        <v>36</v>
      </c>
      <c r="AG90" s="34" t="s">
        <v>36</v>
      </c>
      <c r="AH90" s="34" t="s">
        <v>36</v>
      </c>
      <c r="AI90" s="34" t="s">
        <v>36</v>
      </c>
      <c r="AJ90" s="34" t="s">
        <v>36</v>
      </c>
      <c r="AK90" s="202" t="s">
        <v>36</v>
      </c>
      <c r="AL90" s="34" t="s">
        <v>36</v>
      </c>
    </row>
    <row r="91" spans="1:38" ht="14.4" customHeight="1" x14ac:dyDescent="0.3">
      <c r="A91" s="203">
        <v>384084</v>
      </c>
      <c r="B91" s="34">
        <v>383110</v>
      </c>
      <c r="C91" s="34" t="s">
        <v>117</v>
      </c>
      <c r="D91" s="34" t="s">
        <v>890</v>
      </c>
      <c r="E91" s="34" t="s">
        <v>1866</v>
      </c>
      <c r="F91" s="34" t="s">
        <v>106</v>
      </c>
      <c r="G91" s="34">
        <v>46</v>
      </c>
      <c r="H91" s="34" t="s">
        <v>880</v>
      </c>
      <c r="I91" s="34" t="s">
        <v>962</v>
      </c>
      <c r="J91" s="34" t="s">
        <v>999</v>
      </c>
      <c r="K91" s="34" t="s">
        <v>1869</v>
      </c>
      <c r="L91" s="34" t="s">
        <v>36</v>
      </c>
      <c r="M91" s="34">
        <v>354861</v>
      </c>
      <c r="N91" s="34" t="s">
        <v>947</v>
      </c>
      <c r="O91" s="34" t="s">
        <v>37</v>
      </c>
      <c r="P91" s="34" t="s">
        <v>39</v>
      </c>
      <c r="Q91" s="34">
        <v>0</v>
      </c>
      <c r="R91" s="34" t="s">
        <v>1761</v>
      </c>
      <c r="S91" s="34">
        <v>3</v>
      </c>
      <c r="T91" s="34">
        <v>42</v>
      </c>
      <c r="U91" s="34">
        <v>0</v>
      </c>
      <c r="V91" s="34">
        <v>0</v>
      </c>
      <c r="W91" s="34">
        <v>0</v>
      </c>
      <c r="X91" s="34">
        <v>0</v>
      </c>
      <c r="Y91" s="34">
        <v>0</v>
      </c>
      <c r="Z91" s="34">
        <v>0</v>
      </c>
      <c r="AA91" s="34">
        <v>11</v>
      </c>
      <c r="AB91" s="34">
        <v>0</v>
      </c>
      <c r="AC91" s="34">
        <v>0</v>
      </c>
      <c r="AD91" s="34">
        <v>23</v>
      </c>
      <c r="AE91" s="34">
        <v>3</v>
      </c>
      <c r="AF91" s="34">
        <v>0</v>
      </c>
      <c r="AG91" s="34">
        <v>0</v>
      </c>
      <c r="AH91" s="34">
        <v>0</v>
      </c>
      <c r="AI91" s="34">
        <v>0</v>
      </c>
      <c r="AJ91" s="34">
        <v>5</v>
      </c>
      <c r="AK91" s="202">
        <v>37</v>
      </c>
      <c r="AL91" s="34">
        <v>0</v>
      </c>
    </row>
    <row r="92" spans="1:38" ht="14.4" customHeight="1" x14ac:dyDescent="0.3">
      <c r="A92" s="203">
        <v>384036</v>
      </c>
      <c r="B92" s="34">
        <v>383110</v>
      </c>
      <c r="C92" s="34" t="s">
        <v>117</v>
      </c>
      <c r="D92" s="34" t="s">
        <v>889</v>
      </c>
      <c r="E92" s="34" t="s">
        <v>1145</v>
      </c>
      <c r="F92" s="34" t="s">
        <v>106</v>
      </c>
      <c r="G92" s="34">
        <v>333</v>
      </c>
      <c r="H92" s="34" t="s">
        <v>879</v>
      </c>
      <c r="I92" s="34" t="s">
        <v>984</v>
      </c>
      <c r="J92" s="34" t="s">
        <v>1585</v>
      </c>
      <c r="K92" s="34" t="s">
        <v>38</v>
      </c>
      <c r="L92" s="34" t="s">
        <v>30</v>
      </c>
      <c r="M92" s="34">
        <v>354861</v>
      </c>
      <c r="N92" s="34" t="s">
        <v>950</v>
      </c>
      <c r="O92" s="34" t="s">
        <v>37</v>
      </c>
      <c r="P92" s="34" t="s">
        <v>39</v>
      </c>
      <c r="Q92" s="34">
        <v>0</v>
      </c>
      <c r="R92" s="34" t="s">
        <v>36</v>
      </c>
      <c r="S92" s="34">
        <v>0</v>
      </c>
      <c r="T92" s="34">
        <v>372</v>
      </c>
      <c r="U92" s="34">
        <v>0</v>
      </c>
      <c r="V92" s="34">
        <v>0</v>
      </c>
      <c r="W92" s="34">
        <v>0</v>
      </c>
      <c r="X92" s="34">
        <v>0</v>
      </c>
      <c r="Y92" s="34">
        <v>0</v>
      </c>
      <c r="Z92" s="34">
        <v>0</v>
      </c>
      <c r="AA92" s="34">
        <v>0</v>
      </c>
      <c r="AB92" s="34">
        <v>0</v>
      </c>
      <c r="AC92" s="34">
        <v>0</v>
      </c>
      <c r="AD92" s="34">
        <v>0</v>
      </c>
      <c r="AE92" s="34">
        <v>0</v>
      </c>
      <c r="AF92" s="34">
        <v>0</v>
      </c>
      <c r="AG92" s="34">
        <v>0</v>
      </c>
      <c r="AH92" s="34">
        <v>0</v>
      </c>
      <c r="AI92" s="34">
        <v>0</v>
      </c>
      <c r="AJ92" s="34">
        <v>13</v>
      </c>
      <c r="AK92" s="202">
        <v>0</v>
      </c>
      <c r="AL92" s="34">
        <v>0</v>
      </c>
    </row>
    <row r="93" spans="1:38" ht="14.4" customHeight="1" x14ac:dyDescent="0.3">
      <c r="A93" s="203">
        <v>383958</v>
      </c>
      <c r="B93" s="34">
        <v>385201</v>
      </c>
      <c r="C93" s="34" t="s">
        <v>117</v>
      </c>
      <c r="D93" s="34" t="s">
        <v>869</v>
      </c>
      <c r="E93" s="34" t="s">
        <v>972</v>
      </c>
      <c r="F93" s="34" t="s">
        <v>106</v>
      </c>
      <c r="G93" s="34">
        <v>103</v>
      </c>
      <c r="H93" s="34" t="s">
        <v>880</v>
      </c>
      <c r="I93" s="34" t="s">
        <v>1559</v>
      </c>
      <c r="J93" s="34" t="s">
        <v>998</v>
      </c>
      <c r="K93" s="34" t="s">
        <v>939</v>
      </c>
      <c r="L93" s="34" t="s">
        <v>30</v>
      </c>
      <c r="M93" s="34">
        <v>385201</v>
      </c>
      <c r="N93" s="34" t="s">
        <v>947</v>
      </c>
      <c r="O93" s="34" t="s">
        <v>555</v>
      </c>
      <c r="P93" s="34" t="s">
        <v>556</v>
      </c>
      <c r="Q93" s="34">
        <v>0</v>
      </c>
      <c r="R93" s="34" t="s">
        <v>1761</v>
      </c>
      <c r="S93" s="34">
        <v>2</v>
      </c>
      <c r="T93" s="34">
        <v>38</v>
      </c>
      <c r="U93" s="34">
        <v>0</v>
      </c>
      <c r="V93" s="34">
        <v>0</v>
      </c>
      <c r="W93" s="34">
        <v>2</v>
      </c>
      <c r="X93" s="34">
        <v>0</v>
      </c>
      <c r="Y93" s="34">
        <v>0</v>
      </c>
      <c r="Z93" s="34">
        <v>0</v>
      </c>
      <c r="AA93" s="34">
        <v>0</v>
      </c>
      <c r="AB93" s="34">
        <v>0</v>
      </c>
      <c r="AC93" s="34">
        <v>0</v>
      </c>
      <c r="AD93" s="34">
        <v>50</v>
      </c>
      <c r="AE93" s="34">
        <v>0</v>
      </c>
      <c r="AF93" s="34">
        <v>0</v>
      </c>
      <c r="AG93" s="34">
        <v>0</v>
      </c>
      <c r="AH93" s="34">
        <v>0</v>
      </c>
      <c r="AI93" s="34">
        <v>0</v>
      </c>
      <c r="AJ93" s="34">
        <v>0</v>
      </c>
      <c r="AK93" s="202">
        <v>52</v>
      </c>
      <c r="AL93" s="34">
        <v>0</v>
      </c>
    </row>
    <row r="94" spans="1:38" ht="14.4" customHeight="1" x14ac:dyDescent="0.3">
      <c r="A94" s="203">
        <v>383168</v>
      </c>
      <c r="B94" s="34">
        <v>383110</v>
      </c>
      <c r="C94" s="34" t="s">
        <v>117</v>
      </c>
      <c r="D94" s="34" t="s">
        <v>1581</v>
      </c>
      <c r="E94" s="34" t="s">
        <v>1145</v>
      </c>
      <c r="F94" s="34" t="s">
        <v>1845</v>
      </c>
      <c r="G94" s="34">
        <v>26</v>
      </c>
      <c r="H94" s="34" t="s">
        <v>879</v>
      </c>
      <c r="I94" s="34" t="s">
        <v>1582</v>
      </c>
      <c r="J94" s="34" t="s">
        <v>1585</v>
      </c>
      <c r="K94" s="34" t="s">
        <v>38</v>
      </c>
      <c r="L94" s="34" t="s">
        <v>30</v>
      </c>
      <c r="M94" s="34">
        <v>354861</v>
      </c>
      <c r="N94" s="34" t="s">
        <v>950</v>
      </c>
      <c r="O94" s="34" t="s">
        <v>37</v>
      </c>
      <c r="P94" s="34" t="s">
        <v>39</v>
      </c>
      <c r="Q94" s="34">
        <v>0</v>
      </c>
      <c r="R94" s="34" t="s">
        <v>36</v>
      </c>
      <c r="S94" s="34">
        <v>0</v>
      </c>
      <c r="T94" s="34">
        <v>13</v>
      </c>
      <c r="U94" s="34">
        <v>0</v>
      </c>
      <c r="V94" s="34">
        <v>0</v>
      </c>
      <c r="W94" s="34">
        <v>0</v>
      </c>
      <c r="X94" s="34">
        <v>0</v>
      </c>
      <c r="Y94" s="34">
        <v>0</v>
      </c>
      <c r="Z94" s="34">
        <v>0</v>
      </c>
      <c r="AA94" s="34">
        <v>0</v>
      </c>
      <c r="AB94" s="34">
        <v>0</v>
      </c>
      <c r="AC94" s="34">
        <v>0</v>
      </c>
      <c r="AD94" s="34">
        <v>0</v>
      </c>
      <c r="AE94" s="34">
        <v>0</v>
      </c>
      <c r="AF94" s="34">
        <v>0</v>
      </c>
      <c r="AG94" s="34">
        <v>0</v>
      </c>
      <c r="AH94" s="34">
        <v>0</v>
      </c>
      <c r="AI94" s="34">
        <v>0</v>
      </c>
      <c r="AJ94" s="34">
        <v>0</v>
      </c>
      <c r="AK94" s="202">
        <v>0</v>
      </c>
      <c r="AL94" s="34">
        <v>0</v>
      </c>
    </row>
    <row r="95" spans="1:38" ht="14.4" customHeight="1" x14ac:dyDescent="0.3">
      <c r="A95" s="203">
        <v>383165</v>
      </c>
      <c r="B95" s="34">
        <v>383110</v>
      </c>
      <c r="C95" s="34" t="s">
        <v>117</v>
      </c>
      <c r="D95" s="34" t="s">
        <v>942</v>
      </c>
      <c r="E95" s="34" t="s">
        <v>1866</v>
      </c>
      <c r="F95" s="34" t="s">
        <v>106</v>
      </c>
      <c r="G95" s="34">
        <v>102</v>
      </c>
      <c r="H95" s="34" t="s">
        <v>879</v>
      </c>
      <c r="I95" s="34" t="s">
        <v>1127</v>
      </c>
      <c r="J95" s="34" t="s">
        <v>1585</v>
      </c>
      <c r="K95" s="34" t="s">
        <v>38</v>
      </c>
      <c r="L95" s="34" t="s">
        <v>30</v>
      </c>
      <c r="M95" s="34">
        <v>354861</v>
      </c>
      <c r="N95" s="34" t="s">
        <v>950</v>
      </c>
      <c r="O95" s="34" t="s">
        <v>37</v>
      </c>
      <c r="P95" s="34" t="s">
        <v>39</v>
      </c>
      <c r="Q95" s="34">
        <v>0</v>
      </c>
      <c r="R95" s="34" t="s">
        <v>1761</v>
      </c>
      <c r="S95" s="34">
        <v>2</v>
      </c>
      <c r="T95" s="34">
        <v>70</v>
      </c>
      <c r="U95" s="34">
        <v>0</v>
      </c>
      <c r="V95" s="34">
        <v>0</v>
      </c>
      <c r="W95" s="34">
        <v>0</v>
      </c>
      <c r="X95" s="34">
        <v>0</v>
      </c>
      <c r="Y95" s="34">
        <v>0</v>
      </c>
      <c r="Z95" s="34">
        <v>6</v>
      </c>
      <c r="AA95" s="34">
        <v>8</v>
      </c>
      <c r="AB95" s="34">
        <v>0</v>
      </c>
      <c r="AC95" s="34">
        <v>0</v>
      </c>
      <c r="AD95" s="34">
        <v>0</v>
      </c>
      <c r="AE95" s="34">
        <v>0</v>
      </c>
      <c r="AF95" s="34">
        <v>0</v>
      </c>
      <c r="AG95" s="34">
        <v>0</v>
      </c>
      <c r="AH95" s="34">
        <v>0</v>
      </c>
      <c r="AI95" s="34">
        <v>0</v>
      </c>
      <c r="AJ95" s="34">
        <v>2</v>
      </c>
      <c r="AK95" s="202">
        <v>14</v>
      </c>
      <c r="AL95" s="34">
        <v>0</v>
      </c>
    </row>
    <row r="96" spans="1:38" ht="14.4" customHeight="1" x14ac:dyDescent="0.3">
      <c r="A96" s="203">
        <v>383110</v>
      </c>
      <c r="B96" s="34">
        <v>354861</v>
      </c>
      <c r="C96" s="34" t="s">
        <v>1121</v>
      </c>
      <c r="D96" s="34" t="s">
        <v>892</v>
      </c>
      <c r="E96" s="34" t="s">
        <v>130</v>
      </c>
      <c r="F96" s="34" t="s">
        <v>860</v>
      </c>
      <c r="G96" s="34">
        <v>990</v>
      </c>
      <c r="H96" s="34" t="s">
        <v>36</v>
      </c>
      <c r="I96" s="34" t="s">
        <v>1449</v>
      </c>
      <c r="J96" s="34" t="s">
        <v>547</v>
      </c>
      <c r="K96" s="34" t="s">
        <v>36</v>
      </c>
      <c r="L96" s="34" t="s">
        <v>30</v>
      </c>
      <c r="M96" s="34">
        <v>354861</v>
      </c>
      <c r="N96" s="34" t="s">
        <v>15</v>
      </c>
      <c r="O96" s="34" t="s">
        <v>37</v>
      </c>
      <c r="P96" s="34" t="s">
        <v>39</v>
      </c>
      <c r="Q96" s="34" t="s">
        <v>36</v>
      </c>
      <c r="R96" s="34" t="s">
        <v>36</v>
      </c>
      <c r="S96" s="34">
        <v>0</v>
      </c>
      <c r="T96" s="34" t="s">
        <v>36</v>
      </c>
      <c r="U96" s="34" t="s">
        <v>36</v>
      </c>
      <c r="V96" s="34" t="s">
        <v>36</v>
      </c>
      <c r="W96" s="34" t="s">
        <v>36</v>
      </c>
      <c r="X96" s="34" t="s">
        <v>36</v>
      </c>
      <c r="Y96" s="34" t="s">
        <v>36</v>
      </c>
      <c r="Z96" s="34" t="s">
        <v>36</v>
      </c>
      <c r="AA96" s="34" t="s">
        <v>36</v>
      </c>
      <c r="AB96" s="34" t="s">
        <v>36</v>
      </c>
      <c r="AC96" s="34" t="s">
        <v>36</v>
      </c>
      <c r="AD96" s="34" t="s">
        <v>36</v>
      </c>
      <c r="AE96" s="34" t="s">
        <v>36</v>
      </c>
      <c r="AF96" s="34" t="s">
        <v>36</v>
      </c>
      <c r="AG96" s="34" t="s">
        <v>36</v>
      </c>
      <c r="AH96" s="34" t="s">
        <v>36</v>
      </c>
      <c r="AI96" s="34" t="s">
        <v>36</v>
      </c>
      <c r="AJ96" s="34" t="s">
        <v>36</v>
      </c>
      <c r="AK96" s="202" t="s">
        <v>36</v>
      </c>
      <c r="AL96" s="34" t="s">
        <v>36</v>
      </c>
    </row>
    <row r="97" spans="1:38" ht="14.4" customHeight="1" x14ac:dyDescent="0.3">
      <c r="A97" s="203">
        <v>382895</v>
      </c>
      <c r="B97" s="34">
        <v>278830</v>
      </c>
      <c r="C97" s="34" t="s">
        <v>117</v>
      </c>
      <c r="D97" s="34" t="s">
        <v>881</v>
      </c>
      <c r="E97" s="34" t="s">
        <v>1145</v>
      </c>
      <c r="F97" s="34" t="s">
        <v>1845</v>
      </c>
      <c r="G97" s="34">
        <v>37</v>
      </c>
      <c r="H97" s="34" t="s">
        <v>41</v>
      </c>
      <c r="I97" s="34" t="s">
        <v>965</v>
      </c>
      <c r="J97" s="34" t="s">
        <v>270</v>
      </c>
      <c r="K97" s="34" t="s">
        <v>38</v>
      </c>
      <c r="L97" s="34" t="s">
        <v>41</v>
      </c>
      <c r="M97" s="34">
        <v>278830</v>
      </c>
      <c r="N97" s="34" t="s">
        <v>949</v>
      </c>
      <c r="O97" s="34" t="s">
        <v>42</v>
      </c>
      <c r="P97" s="34" t="s">
        <v>36</v>
      </c>
      <c r="Q97" s="34">
        <v>0</v>
      </c>
      <c r="R97" s="34" t="s">
        <v>36</v>
      </c>
      <c r="S97" s="34">
        <v>0</v>
      </c>
      <c r="T97" s="34">
        <v>11</v>
      </c>
      <c r="U97" s="34">
        <v>0</v>
      </c>
      <c r="V97" s="34">
        <v>0</v>
      </c>
      <c r="W97" s="34">
        <v>0</v>
      </c>
      <c r="X97" s="34">
        <v>0</v>
      </c>
      <c r="Y97" s="34">
        <v>0</v>
      </c>
      <c r="Z97" s="34">
        <v>0</v>
      </c>
      <c r="AA97" s="34">
        <v>0</v>
      </c>
      <c r="AB97" s="34">
        <v>0</v>
      </c>
      <c r="AC97" s="34">
        <v>0</v>
      </c>
      <c r="AD97" s="34">
        <v>0</v>
      </c>
      <c r="AE97" s="34">
        <v>0</v>
      </c>
      <c r="AF97" s="34">
        <v>0</v>
      </c>
      <c r="AG97" s="34">
        <v>0</v>
      </c>
      <c r="AH97" s="34">
        <v>0</v>
      </c>
      <c r="AI97" s="34">
        <v>0</v>
      </c>
      <c r="AJ97" s="34">
        <v>0</v>
      </c>
      <c r="AK97" s="202">
        <v>0</v>
      </c>
      <c r="AL97" s="34">
        <v>0</v>
      </c>
    </row>
    <row r="98" spans="1:38" ht="14.4" customHeight="1" x14ac:dyDescent="0.3">
      <c r="A98" s="203">
        <v>382134</v>
      </c>
      <c r="B98" s="34">
        <v>381997</v>
      </c>
      <c r="C98" s="34" t="s">
        <v>117</v>
      </c>
      <c r="D98" s="34" t="s">
        <v>2133</v>
      </c>
      <c r="E98" s="34" t="s">
        <v>885</v>
      </c>
      <c r="F98" s="34" t="s">
        <v>650</v>
      </c>
      <c r="G98" s="34">
        <v>50</v>
      </c>
      <c r="H98" s="34" t="s">
        <v>879</v>
      </c>
      <c r="I98" s="34" t="s">
        <v>2136</v>
      </c>
      <c r="J98" s="34" t="s">
        <v>545</v>
      </c>
      <c r="K98" s="34" t="s">
        <v>36</v>
      </c>
      <c r="L98" s="34" t="s">
        <v>30</v>
      </c>
      <c r="M98" s="34">
        <v>381997</v>
      </c>
      <c r="N98" s="34" t="s">
        <v>15</v>
      </c>
      <c r="O98" s="34" t="s">
        <v>42</v>
      </c>
      <c r="P98" s="34" t="s">
        <v>882</v>
      </c>
      <c r="Q98" s="34">
        <v>0</v>
      </c>
      <c r="R98" s="34" t="s">
        <v>36</v>
      </c>
      <c r="S98" s="34">
        <v>0</v>
      </c>
      <c r="T98" s="34">
        <v>0</v>
      </c>
      <c r="U98" s="34">
        <v>0</v>
      </c>
      <c r="V98" s="34">
        <v>0</v>
      </c>
      <c r="W98" s="34">
        <v>0</v>
      </c>
      <c r="X98" s="34">
        <v>0</v>
      </c>
      <c r="Y98" s="34">
        <v>0</v>
      </c>
      <c r="Z98" s="34">
        <v>0</v>
      </c>
      <c r="AA98" s="34">
        <v>0</v>
      </c>
      <c r="AB98" s="34">
        <v>0</v>
      </c>
      <c r="AC98" s="34">
        <v>0</v>
      </c>
      <c r="AD98" s="34">
        <v>0</v>
      </c>
      <c r="AE98" s="34">
        <v>0</v>
      </c>
      <c r="AF98" s="34">
        <v>0</v>
      </c>
      <c r="AG98" s="34">
        <v>0</v>
      </c>
      <c r="AH98" s="34">
        <v>0</v>
      </c>
      <c r="AI98" s="34">
        <v>0</v>
      </c>
      <c r="AJ98" s="34">
        <v>0</v>
      </c>
      <c r="AK98" s="202">
        <v>0</v>
      </c>
      <c r="AL98" s="34">
        <v>0</v>
      </c>
    </row>
    <row r="99" spans="1:38" ht="14.4" customHeight="1" x14ac:dyDescent="0.3">
      <c r="A99" s="203">
        <v>381997</v>
      </c>
      <c r="B99" s="34">
        <v>243511</v>
      </c>
      <c r="C99" s="34" t="s">
        <v>1121</v>
      </c>
      <c r="D99" s="34" t="s">
        <v>2134</v>
      </c>
      <c r="E99" s="34" t="s">
        <v>596</v>
      </c>
      <c r="F99" s="34" t="s">
        <v>860</v>
      </c>
      <c r="G99" s="34">
        <v>238</v>
      </c>
      <c r="H99" s="34" t="s">
        <v>36</v>
      </c>
      <c r="I99" s="34" t="s">
        <v>36</v>
      </c>
      <c r="J99" s="34" t="s">
        <v>545</v>
      </c>
      <c r="K99" s="34" t="s">
        <v>36</v>
      </c>
      <c r="L99" s="34" t="s">
        <v>30</v>
      </c>
      <c r="M99" s="34">
        <v>381997</v>
      </c>
      <c r="N99" s="34" t="s">
        <v>15</v>
      </c>
      <c r="O99" s="34" t="s">
        <v>42</v>
      </c>
      <c r="P99" s="34" t="s">
        <v>882</v>
      </c>
      <c r="Q99" s="34" t="s">
        <v>36</v>
      </c>
      <c r="R99" s="34" t="s">
        <v>36</v>
      </c>
      <c r="S99" s="34">
        <v>0</v>
      </c>
      <c r="T99" s="34" t="s">
        <v>36</v>
      </c>
      <c r="U99" s="34" t="s">
        <v>36</v>
      </c>
      <c r="V99" s="34" t="s">
        <v>36</v>
      </c>
      <c r="W99" s="34" t="s">
        <v>36</v>
      </c>
      <c r="X99" s="34" t="s">
        <v>36</v>
      </c>
      <c r="Y99" s="34" t="s">
        <v>36</v>
      </c>
      <c r="Z99" s="34" t="s">
        <v>36</v>
      </c>
      <c r="AA99" s="34" t="s">
        <v>36</v>
      </c>
      <c r="AB99" s="34" t="s">
        <v>36</v>
      </c>
      <c r="AC99" s="34" t="s">
        <v>36</v>
      </c>
      <c r="AD99" s="34" t="s">
        <v>36</v>
      </c>
      <c r="AE99" s="34" t="s">
        <v>36</v>
      </c>
      <c r="AF99" s="34" t="s">
        <v>36</v>
      </c>
      <c r="AG99" s="34" t="s">
        <v>36</v>
      </c>
      <c r="AH99" s="34" t="s">
        <v>36</v>
      </c>
      <c r="AI99" s="34" t="s">
        <v>36</v>
      </c>
      <c r="AJ99" s="34" t="s">
        <v>36</v>
      </c>
      <c r="AK99" s="202" t="s">
        <v>36</v>
      </c>
      <c r="AL99" s="34" t="s">
        <v>36</v>
      </c>
    </row>
    <row r="100" spans="1:38" ht="14.4" customHeight="1" x14ac:dyDescent="0.3">
      <c r="A100" s="203">
        <v>381608</v>
      </c>
      <c r="B100" s="34">
        <v>381600</v>
      </c>
      <c r="C100" s="34" t="s">
        <v>117</v>
      </c>
      <c r="D100" s="34" t="s">
        <v>1475</v>
      </c>
      <c r="E100" s="34" t="s">
        <v>1012</v>
      </c>
      <c r="F100" s="34" t="s">
        <v>1845</v>
      </c>
      <c r="G100" s="34">
        <v>91</v>
      </c>
      <c r="H100" s="34" t="s">
        <v>880</v>
      </c>
      <c r="I100" s="34" t="s">
        <v>1126</v>
      </c>
      <c r="J100" s="34" t="s">
        <v>595</v>
      </c>
      <c r="K100" s="34" t="s">
        <v>560</v>
      </c>
      <c r="L100" s="34" t="s">
        <v>30</v>
      </c>
      <c r="M100" s="34">
        <v>381600</v>
      </c>
      <c r="N100" s="34" t="s">
        <v>554</v>
      </c>
      <c r="O100" s="34" t="s">
        <v>34</v>
      </c>
      <c r="P100" s="34" t="s">
        <v>558</v>
      </c>
      <c r="Q100" s="34">
        <v>0</v>
      </c>
      <c r="R100" s="34" t="s">
        <v>1760</v>
      </c>
      <c r="S100" s="34">
        <v>0</v>
      </c>
      <c r="T100" s="34">
        <v>8</v>
      </c>
      <c r="U100" s="34">
        <v>0</v>
      </c>
      <c r="V100" s="34">
        <v>0</v>
      </c>
      <c r="W100" s="34">
        <v>0</v>
      </c>
      <c r="X100" s="34">
        <v>0</v>
      </c>
      <c r="Y100" s="34">
        <v>0</v>
      </c>
      <c r="Z100" s="34">
        <v>0</v>
      </c>
      <c r="AA100" s="34">
        <v>0</v>
      </c>
      <c r="AB100" s="34">
        <v>0</v>
      </c>
      <c r="AC100" s="34">
        <v>0</v>
      </c>
      <c r="AD100" s="34">
        <v>0</v>
      </c>
      <c r="AE100" s="34">
        <v>0</v>
      </c>
      <c r="AF100" s="34">
        <v>0</v>
      </c>
      <c r="AG100" s="34">
        <v>0</v>
      </c>
      <c r="AH100" s="34">
        <v>0</v>
      </c>
      <c r="AI100" s="34">
        <v>0</v>
      </c>
      <c r="AJ100" s="34">
        <v>0</v>
      </c>
      <c r="AK100" s="202">
        <v>0</v>
      </c>
      <c r="AL100" s="34">
        <v>0</v>
      </c>
    </row>
    <row r="101" spans="1:38" ht="14.4" customHeight="1" x14ac:dyDescent="0.3">
      <c r="A101" s="203">
        <v>381600</v>
      </c>
      <c r="B101" s="34">
        <v>245570</v>
      </c>
      <c r="C101" s="34" t="s">
        <v>1121</v>
      </c>
      <c r="D101" s="34" t="s">
        <v>870</v>
      </c>
      <c r="E101" s="34" t="s">
        <v>130</v>
      </c>
      <c r="F101" s="34" t="s">
        <v>860</v>
      </c>
      <c r="G101" s="34">
        <v>134</v>
      </c>
      <c r="H101" s="34" t="s">
        <v>36</v>
      </c>
      <c r="I101" s="34" t="s">
        <v>1450</v>
      </c>
      <c r="J101" s="34" t="s">
        <v>545</v>
      </c>
      <c r="K101" s="34" t="s">
        <v>36</v>
      </c>
      <c r="L101" s="34" t="s">
        <v>30</v>
      </c>
      <c r="M101" s="34">
        <v>381600</v>
      </c>
      <c r="N101" s="34" t="s">
        <v>15</v>
      </c>
      <c r="O101" s="34" t="s">
        <v>34</v>
      </c>
      <c r="P101" s="34" t="s">
        <v>558</v>
      </c>
      <c r="Q101" s="34" t="s">
        <v>36</v>
      </c>
      <c r="R101" s="34" t="s">
        <v>36</v>
      </c>
      <c r="S101" s="34">
        <v>0</v>
      </c>
      <c r="T101" s="34" t="s">
        <v>36</v>
      </c>
      <c r="U101" s="34" t="s">
        <v>36</v>
      </c>
      <c r="V101" s="34" t="s">
        <v>36</v>
      </c>
      <c r="W101" s="34" t="s">
        <v>36</v>
      </c>
      <c r="X101" s="34" t="s">
        <v>36</v>
      </c>
      <c r="Y101" s="34" t="s">
        <v>36</v>
      </c>
      <c r="Z101" s="34" t="s">
        <v>36</v>
      </c>
      <c r="AA101" s="34" t="s">
        <v>36</v>
      </c>
      <c r="AB101" s="34" t="s">
        <v>36</v>
      </c>
      <c r="AC101" s="34" t="s">
        <v>36</v>
      </c>
      <c r="AD101" s="34" t="s">
        <v>36</v>
      </c>
      <c r="AE101" s="34" t="s">
        <v>36</v>
      </c>
      <c r="AF101" s="34" t="s">
        <v>36</v>
      </c>
      <c r="AG101" s="34" t="s">
        <v>36</v>
      </c>
      <c r="AH101" s="34" t="s">
        <v>36</v>
      </c>
      <c r="AI101" s="34" t="s">
        <v>36</v>
      </c>
      <c r="AJ101" s="34" t="s">
        <v>36</v>
      </c>
      <c r="AK101" s="202" t="s">
        <v>36</v>
      </c>
      <c r="AL101" s="34" t="s">
        <v>36</v>
      </c>
    </row>
    <row r="102" spans="1:38" ht="14.4" customHeight="1" x14ac:dyDescent="0.3">
      <c r="A102" s="203">
        <v>381524</v>
      </c>
      <c r="B102" s="34">
        <v>395610</v>
      </c>
      <c r="C102" s="34" t="s">
        <v>117</v>
      </c>
      <c r="D102" s="34" t="s">
        <v>973</v>
      </c>
      <c r="E102" s="34" t="s">
        <v>972</v>
      </c>
      <c r="F102" s="34" t="s">
        <v>106</v>
      </c>
      <c r="G102" s="34">
        <v>51</v>
      </c>
      <c r="H102" s="34" t="s">
        <v>880</v>
      </c>
      <c r="I102" s="34" t="s">
        <v>2287</v>
      </c>
      <c r="J102" s="34" t="s">
        <v>1003</v>
      </c>
      <c r="K102" s="34" t="s">
        <v>939</v>
      </c>
      <c r="L102" s="34" t="s">
        <v>30</v>
      </c>
      <c r="M102" s="34">
        <v>395610</v>
      </c>
      <c r="N102" s="34" t="s">
        <v>947</v>
      </c>
      <c r="O102" s="34" t="s">
        <v>555</v>
      </c>
      <c r="P102" s="34" t="s">
        <v>559</v>
      </c>
      <c r="Q102" s="34">
        <v>2</v>
      </c>
      <c r="R102" s="34" t="s">
        <v>1760</v>
      </c>
      <c r="S102" s="34">
        <v>2</v>
      </c>
      <c r="T102" s="34">
        <v>15</v>
      </c>
      <c r="U102" s="34">
        <v>0</v>
      </c>
      <c r="V102" s="34">
        <v>0</v>
      </c>
      <c r="W102" s="34">
        <v>2</v>
      </c>
      <c r="X102" s="34">
        <v>0</v>
      </c>
      <c r="Y102" s="34">
        <v>0</v>
      </c>
      <c r="Z102" s="34">
        <v>0</v>
      </c>
      <c r="AA102" s="34">
        <v>0</v>
      </c>
      <c r="AB102" s="34">
        <v>0</v>
      </c>
      <c r="AC102" s="34">
        <v>0</v>
      </c>
      <c r="AD102" s="34">
        <v>24</v>
      </c>
      <c r="AE102" s="34">
        <v>0</v>
      </c>
      <c r="AF102" s="34">
        <v>0</v>
      </c>
      <c r="AG102" s="34">
        <v>0</v>
      </c>
      <c r="AH102" s="34">
        <v>0</v>
      </c>
      <c r="AI102" s="34">
        <v>0</v>
      </c>
      <c r="AJ102" s="34">
        <v>0</v>
      </c>
      <c r="AK102" s="202">
        <v>26</v>
      </c>
      <c r="AL102" s="34">
        <v>0</v>
      </c>
    </row>
    <row r="103" spans="1:38" ht="14.4" customHeight="1" x14ac:dyDescent="0.3">
      <c r="A103" s="203">
        <v>380916</v>
      </c>
      <c r="B103" s="34">
        <v>216364</v>
      </c>
      <c r="C103" s="34" t="s">
        <v>117</v>
      </c>
      <c r="D103" s="34" t="s">
        <v>1786</v>
      </c>
      <c r="E103" s="34" t="s">
        <v>167</v>
      </c>
      <c r="F103" s="34" t="s">
        <v>132</v>
      </c>
      <c r="G103" s="34">
        <v>40</v>
      </c>
      <c r="H103" s="34" t="s">
        <v>104</v>
      </c>
      <c r="I103" s="34" t="s">
        <v>992</v>
      </c>
      <c r="J103" s="34" t="s">
        <v>164</v>
      </c>
      <c r="K103" s="34" t="s">
        <v>36</v>
      </c>
      <c r="L103" s="34" t="s">
        <v>30</v>
      </c>
      <c r="M103" s="34">
        <v>216364</v>
      </c>
      <c r="N103" s="34" t="s">
        <v>17</v>
      </c>
      <c r="O103" s="34" t="s">
        <v>31</v>
      </c>
      <c r="P103" s="34" t="s">
        <v>53</v>
      </c>
      <c r="Q103" s="34">
        <v>1</v>
      </c>
      <c r="R103" s="34" t="s">
        <v>36</v>
      </c>
      <c r="S103" s="34">
        <v>0</v>
      </c>
      <c r="T103" s="34">
        <v>0</v>
      </c>
      <c r="U103" s="34" t="s">
        <v>36</v>
      </c>
      <c r="V103" s="34" t="s">
        <v>36</v>
      </c>
      <c r="W103" s="34" t="s">
        <v>36</v>
      </c>
      <c r="X103" s="34" t="s">
        <v>36</v>
      </c>
      <c r="Y103" s="34" t="s">
        <v>36</v>
      </c>
      <c r="Z103" s="34" t="s">
        <v>36</v>
      </c>
      <c r="AA103" s="34" t="s">
        <v>36</v>
      </c>
      <c r="AB103" s="34" t="s">
        <v>36</v>
      </c>
      <c r="AC103" s="34" t="s">
        <v>36</v>
      </c>
      <c r="AD103" s="34" t="s">
        <v>36</v>
      </c>
      <c r="AE103" s="34" t="s">
        <v>36</v>
      </c>
      <c r="AF103" s="34" t="s">
        <v>36</v>
      </c>
      <c r="AG103" s="34" t="s">
        <v>36</v>
      </c>
      <c r="AH103" s="34" t="s">
        <v>36</v>
      </c>
      <c r="AI103" s="34">
        <v>0</v>
      </c>
      <c r="AJ103" s="34">
        <v>0</v>
      </c>
      <c r="AK103" s="202">
        <v>0</v>
      </c>
      <c r="AL103" s="34">
        <v>0</v>
      </c>
    </row>
    <row r="104" spans="1:38" ht="14.4" customHeight="1" x14ac:dyDescent="0.3">
      <c r="A104" s="203">
        <v>380808</v>
      </c>
      <c r="B104" s="34">
        <v>383110</v>
      </c>
      <c r="C104" s="34" t="s">
        <v>117</v>
      </c>
      <c r="D104" s="34" t="s">
        <v>2197</v>
      </c>
      <c r="E104" s="34" t="s">
        <v>1866</v>
      </c>
      <c r="F104" s="34" t="s">
        <v>28</v>
      </c>
      <c r="G104" s="34">
        <v>283</v>
      </c>
      <c r="H104" s="34" t="s">
        <v>880</v>
      </c>
      <c r="I104" s="34" t="s">
        <v>2244</v>
      </c>
      <c r="J104" s="34" t="s">
        <v>1585</v>
      </c>
      <c r="K104" s="34" t="s">
        <v>1869</v>
      </c>
      <c r="L104" s="34" t="s">
        <v>30</v>
      </c>
      <c r="M104" s="34">
        <v>354861</v>
      </c>
      <c r="N104" s="34" t="s">
        <v>950</v>
      </c>
      <c r="O104" s="34" t="s">
        <v>37</v>
      </c>
      <c r="P104" s="34" t="s">
        <v>39</v>
      </c>
      <c r="Q104" s="34">
        <v>1</v>
      </c>
      <c r="R104" s="34" t="s">
        <v>1761</v>
      </c>
      <c r="S104" s="34">
        <v>6</v>
      </c>
      <c r="T104" s="34">
        <v>0</v>
      </c>
      <c r="U104" s="34">
        <v>0</v>
      </c>
      <c r="V104" s="34">
        <v>0</v>
      </c>
      <c r="W104" s="34">
        <v>24</v>
      </c>
      <c r="X104" s="34">
        <v>10</v>
      </c>
      <c r="Y104" s="34">
        <v>21</v>
      </c>
      <c r="Z104" s="34">
        <v>6</v>
      </c>
      <c r="AA104" s="34">
        <v>92</v>
      </c>
      <c r="AB104" s="34">
        <v>0</v>
      </c>
      <c r="AC104" s="34">
        <v>0</v>
      </c>
      <c r="AD104" s="34">
        <v>22</v>
      </c>
      <c r="AE104" s="34">
        <v>0</v>
      </c>
      <c r="AF104" s="34">
        <v>0</v>
      </c>
      <c r="AG104" s="34">
        <v>0</v>
      </c>
      <c r="AH104" s="34">
        <v>0</v>
      </c>
      <c r="AI104" s="34">
        <v>0</v>
      </c>
      <c r="AJ104" s="34">
        <v>0</v>
      </c>
      <c r="AK104" s="202">
        <v>175</v>
      </c>
      <c r="AL104" s="34">
        <v>153</v>
      </c>
    </row>
    <row r="105" spans="1:38" ht="14.4" customHeight="1" x14ac:dyDescent="0.3">
      <c r="A105" s="203">
        <v>380598</v>
      </c>
      <c r="B105" s="34">
        <v>216364</v>
      </c>
      <c r="C105" s="34" t="s">
        <v>117</v>
      </c>
      <c r="D105" s="34" t="s">
        <v>2376</v>
      </c>
      <c r="E105" s="34" t="s">
        <v>167</v>
      </c>
      <c r="F105" s="34" t="s">
        <v>132</v>
      </c>
      <c r="G105" s="34">
        <v>43</v>
      </c>
      <c r="H105" s="34" t="s">
        <v>880</v>
      </c>
      <c r="I105" s="34" t="s">
        <v>2377</v>
      </c>
      <c r="J105" s="34" t="s">
        <v>745</v>
      </c>
      <c r="K105" s="34" t="s">
        <v>104</v>
      </c>
      <c r="L105" s="34" t="s">
        <v>30</v>
      </c>
      <c r="M105" s="34">
        <v>216364</v>
      </c>
      <c r="N105" s="34" t="s">
        <v>17</v>
      </c>
      <c r="O105" s="34" t="s">
        <v>31</v>
      </c>
      <c r="P105" s="34" t="s">
        <v>53</v>
      </c>
      <c r="Q105" s="34">
        <v>1</v>
      </c>
      <c r="R105" s="34" t="s">
        <v>36</v>
      </c>
      <c r="S105" s="34">
        <v>0</v>
      </c>
      <c r="T105" s="34">
        <v>0</v>
      </c>
      <c r="U105" s="34" t="s">
        <v>36</v>
      </c>
      <c r="V105" s="34" t="s">
        <v>36</v>
      </c>
      <c r="W105" s="34" t="s">
        <v>36</v>
      </c>
      <c r="X105" s="34" t="s">
        <v>36</v>
      </c>
      <c r="Y105" s="34" t="s">
        <v>36</v>
      </c>
      <c r="Z105" s="34" t="s">
        <v>36</v>
      </c>
      <c r="AA105" s="34" t="s">
        <v>36</v>
      </c>
      <c r="AB105" s="34" t="s">
        <v>36</v>
      </c>
      <c r="AC105" s="34" t="s">
        <v>36</v>
      </c>
      <c r="AD105" s="34" t="s">
        <v>36</v>
      </c>
      <c r="AE105" s="34" t="s">
        <v>36</v>
      </c>
      <c r="AF105" s="34" t="s">
        <v>36</v>
      </c>
      <c r="AG105" s="34" t="s">
        <v>36</v>
      </c>
      <c r="AH105" s="34" t="s">
        <v>36</v>
      </c>
      <c r="AI105" s="34">
        <v>0</v>
      </c>
      <c r="AJ105" s="34">
        <v>0</v>
      </c>
      <c r="AK105" s="202">
        <v>0</v>
      </c>
      <c r="AL105" s="34">
        <v>0</v>
      </c>
    </row>
    <row r="106" spans="1:38" ht="14.4" customHeight="1" x14ac:dyDescent="0.3">
      <c r="A106" s="203">
        <v>379761</v>
      </c>
      <c r="B106" s="34">
        <v>216351</v>
      </c>
      <c r="C106" s="34" t="s">
        <v>117</v>
      </c>
      <c r="D106" s="34" t="s">
        <v>970</v>
      </c>
      <c r="E106" s="34" t="s">
        <v>1143</v>
      </c>
      <c r="F106" s="34" t="s">
        <v>1845</v>
      </c>
      <c r="G106" s="34">
        <v>13</v>
      </c>
      <c r="H106" s="34" t="s">
        <v>880</v>
      </c>
      <c r="I106" s="34" t="s">
        <v>997</v>
      </c>
      <c r="J106" s="34" t="s">
        <v>847</v>
      </c>
      <c r="K106" s="34" t="s">
        <v>1793</v>
      </c>
      <c r="L106" s="34" t="s">
        <v>30</v>
      </c>
      <c r="M106" s="34">
        <v>216351</v>
      </c>
      <c r="N106" s="34" t="s">
        <v>947</v>
      </c>
      <c r="O106" s="34" t="s">
        <v>31</v>
      </c>
      <c r="P106" s="34" t="s">
        <v>53</v>
      </c>
      <c r="Q106" s="34">
        <v>2</v>
      </c>
      <c r="R106" s="34" t="s">
        <v>1760</v>
      </c>
      <c r="S106" s="34">
        <v>0</v>
      </c>
      <c r="T106" s="34">
        <v>13</v>
      </c>
      <c r="U106" s="34">
        <v>0</v>
      </c>
      <c r="V106" s="34">
        <v>0</v>
      </c>
      <c r="W106" s="34">
        <v>0</v>
      </c>
      <c r="X106" s="34">
        <v>0</v>
      </c>
      <c r="Y106" s="34">
        <v>0</v>
      </c>
      <c r="Z106" s="34">
        <v>0</v>
      </c>
      <c r="AA106" s="34">
        <v>0</v>
      </c>
      <c r="AB106" s="34">
        <v>0</v>
      </c>
      <c r="AC106" s="34">
        <v>0</v>
      </c>
      <c r="AD106" s="34">
        <v>0</v>
      </c>
      <c r="AE106" s="34">
        <v>0</v>
      </c>
      <c r="AF106" s="34">
        <v>0</v>
      </c>
      <c r="AG106" s="34">
        <v>0</v>
      </c>
      <c r="AH106" s="34">
        <v>0</v>
      </c>
      <c r="AI106" s="34">
        <v>0</v>
      </c>
      <c r="AJ106" s="34">
        <v>0</v>
      </c>
      <c r="AK106" s="202">
        <v>0</v>
      </c>
      <c r="AL106" s="34">
        <v>0</v>
      </c>
    </row>
    <row r="107" spans="1:38" ht="14.4" customHeight="1" x14ac:dyDescent="0.3">
      <c r="A107" s="203">
        <v>378000</v>
      </c>
      <c r="B107" s="34">
        <v>347074</v>
      </c>
      <c r="C107" s="34" t="s">
        <v>117</v>
      </c>
      <c r="D107" s="34" t="s">
        <v>1528</v>
      </c>
      <c r="E107" s="34" t="s">
        <v>1012</v>
      </c>
      <c r="F107" s="34" t="s">
        <v>1845</v>
      </c>
      <c r="G107" s="34">
        <v>209</v>
      </c>
      <c r="H107" s="34" t="s">
        <v>880</v>
      </c>
      <c r="I107" s="34" t="s">
        <v>2137</v>
      </c>
      <c r="J107" s="34" t="s">
        <v>170</v>
      </c>
      <c r="K107" s="34" t="s">
        <v>560</v>
      </c>
      <c r="L107" s="34" t="s">
        <v>30</v>
      </c>
      <c r="M107" s="34">
        <v>347074</v>
      </c>
      <c r="N107" s="34" t="s">
        <v>943</v>
      </c>
      <c r="O107" s="34" t="s">
        <v>31</v>
      </c>
      <c r="P107" s="34" t="s">
        <v>32</v>
      </c>
      <c r="Q107" s="34">
        <v>23</v>
      </c>
      <c r="R107" s="34" t="s">
        <v>1761</v>
      </c>
      <c r="S107" s="34">
        <v>0</v>
      </c>
      <c r="T107" s="34">
        <v>39</v>
      </c>
      <c r="U107" s="34">
        <v>0</v>
      </c>
      <c r="V107" s="34">
        <v>0</v>
      </c>
      <c r="W107" s="34">
        <v>0</v>
      </c>
      <c r="X107" s="34">
        <v>0</v>
      </c>
      <c r="Y107" s="34">
        <v>0</v>
      </c>
      <c r="Z107" s="34">
        <v>0</v>
      </c>
      <c r="AA107" s="34">
        <v>0</v>
      </c>
      <c r="AB107" s="34">
        <v>0</v>
      </c>
      <c r="AC107" s="34">
        <v>0</v>
      </c>
      <c r="AD107" s="34">
        <v>0</v>
      </c>
      <c r="AE107" s="34">
        <v>0</v>
      </c>
      <c r="AF107" s="34">
        <v>0</v>
      </c>
      <c r="AG107" s="34">
        <v>0</v>
      </c>
      <c r="AH107" s="34">
        <v>0</v>
      </c>
      <c r="AI107" s="34">
        <v>0</v>
      </c>
      <c r="AJ107" s="34">
        <v>0</v>
      </c>
      <c r="AK107" s="202">
        <v>0</v>
      </c>
      <c r="AL107" s="34">
        <v>0</v>
      </c>
    </row>
    <row r="108" spans="1:38" ht="14.4" customHeight="1" x14ac:dyDescent="0.3">
      <c r="A108" s="203">
        <v>377437</v>
      </c>
      <c r="B108" s="34">
        <v>251622</v>
      </c>
      <c r="C108" s="34" t="s">
        <v>117</v>
      </c>
      <c r="D108" s="34" t="s">
        <v>1476</v>
      </c>
      <c r="E108" s="34" t="s">
        <v>972</v>
      </c>
      <c r="F108" s="34" t="s">
        <v>106</v>
      </c>
      <c r="G108" s="34">
        <v>71</v>
      </c>
      <c r="H108" s="34" t="s">
        <v>880</v>
      </c>
      <c r="I108" s="34" t="s">
        <v>2288</v>
      </c>
      <c r="J108" s="34" t="s">
        <v>184</v>
      </c>
      <c r="K108" s="34" t="s">
        <v>939</v>
      </c>
      <c r="L108" s="34" t="s">
        <v>30</v>
      </c>
      <c r="M108" s="34">
        <v>251622</v>
      </c>
      <c r="N108" s="34" t="s">
        <v>950</v>
      </c>
      <c r="O108" s="34" t="s">
        <v>37</v>
      </c>
      <c r="P108" s="34" t="s">
        <v>39</v>
      </c>
      <c r="Q108" s="34">
        <v>1</v>
      </c>
      <c r="R108" s="34" t="s">
        <v>1760</v>
      </c>
      <c r="S108" s="34">
        <v>3</v>
      </c>
      <c r="T108" s="34">
        <v>45</v>
      </c>
      <c r="U108" s="34">
        <v>0</v>
      </c>
      <c r="V108" s="34">
        <v>5</v>
      </c>
      <c r="W108" s="34">
        <v>1</v>
      </c>
      <c r="X108" s="34">
        <v>0</v>
      </c>
      <c r="Y108" s="34">
        <v>0</v>
      </c>
      <c r="Z108" s="34">
        <v>0</v>
      </c>
      <c r="AA108" s="34">
        <v>33</v>
      </c>
      <c r="AB108" s="34">
        <v>0</v>
      </c>
      <c r="AC108" s="34">
        <v>0</v>
      </c>
      <c r="AD108" s="34">
        <v>0</v>
      </c>
      <c r="AE108" s="34">
        <v>0</v>
      </c>
      <c r="AF108" s="34">
        <v>0</v>
      </c>
      <c r="AG108" s="34">
        <v>0</v>
      </c>
      <c r="AH108" s="34">
        <v>0</v>
      </c>
      <c r="AI108" s="34">
        <v>0</v>
      </c>
      <c r="AJ108" s="34">
        <v>3</v>
      </c>
      <c r="AK108" s="202">
        <v>39</v>
      </c>
      <c r="AL108" s="34">
        <v>0</v>
      </c>
    </row>
    <row r="109" spans="1:38" ht="14.4" customHeight="1" x14ac:dyDescent="0.3">
      <c r="A109" s="203">
        <v>372270</v>
      </c>
      <c r="B109" s="34">
        <v>354861</v>
      </c>
      <c r="C109" s="34" t="s">
        <v>117</v>
      </c>
      <c r="D109" s="34" t="s">
        <v>2184</v>
      </c>
      <c r="E109" s="34" t="s">
        <v>167</v>
      </c>
      <c r="F109" s="34" t="s">
        <v>650</v>
      </c>
      <c r="G109" s="34">
        <v>8</v>
      </c>
      <c r="H109" s="34" t="s">
        <v>41</v>
      </c>
      <c r="I109" s="34" t="s">
        <v>2189</v>
      </c>
      <c r="J109" s="34" t="s">
        <v>547</v>
      </c>
      <c r="K109" s="34" t="s">
        <v>38</v>
      </c>
      <c r="L109" s="34" t="s">
        <v>41</v>
      </c>
      <c r="M109" s="34">
        <v>354861</v>
      </c>
      <c r="N109" s="34" t="s">
        <v>15</v>
      </c>
      <c r="O109" s="34" t="s">
        <v>37</v>
      </c>
      <c r="P109" s="34" t="s">
        <v>39</v>
      </c>
      <c r="Q109" s="34">
        <v>0</v>
      </c>
      <c r="R109" s="34" t="s">
        <v>36</v>
      </c>
      <c r="S109" s="34">
        <v>0</v>
      </c>
      <c r="T109" s="34">
        <v>0</v>
      </c>
      <c r="U109" s="34" t="s">
        <v>36</v>
      </c>
      <c r="V109" s="34" t="s">
        <v>36</v>
      </c>
      <c r="W109" s="34" t="s">
        <v>36</v>
      </c>
      <c r="X109" s="34" t="s">
        <v>36</v>
      </c>
      <c r="Y109" s="34" t="s">
        <v>36</v>
      </c>
      <c r="Z109" s="34" t="s">
        <v>36</v>
      </c>
      <c r="AA109" s="34" t="s">
        <v>36</v>
      </c>
      <c r="AB109" s="34" t="s">
        <v>36</v>
      </c>
      <c r="AC109" s="34" t="s">
        <v>36</v>
      </c>
      <c r="AD109" s="34" t="s">
        <v>36</v>
      </c>
      <c r="AE109" s="34" t="s">
        <v>36</v>
      </c>
      <c r="AF109" s="34" t="s">
        <v>36</v>
      </c>
      <c r="AG109" s="34" t="s">
        <v>36</v>
      </c>
      <c r="AH109" s="34" t="s">
        <v>36</v>
      </c>
      <c r="AI109" s="34">
        <v>0</v>
      </c>
      <c r="AJ109" s="34">
        <v>0</v>
      </c>
      <c r="AK109" s="202">
        <v>0</v>
      </c>
      <c r="AL109" s="34">
        <v>0</v>
      </c>
    </row>
    <row r="110" spans="1:38" ht="14.4" customHeight="1" x14ac:dyDescent="0.3">
      <c r="A110" s="203">
        <v>370101</v>
      </c>
      <c r="B110" s="34">
        <v>243422</v>
      </c>
      <c r="C110" s="34" t="s">
        <v>1121</v>
      </c>
      <c r="D110" s="34" t="s">
        <v>2107</v>
      </c>
      <c r="E110" s="34" t="s">
        <v>2109</v>
      </c>
      <c r="F110" s="34" t="s">
        <v>860</v>
      </c>
      <c r="G110" s="34">
        <v>2000</v>
      </c>
      <c r="H110" s="34" t="s">
        <v>36</v>
      </c>
      <c r="I110" s="34" t="s">
        <v>1449</v>
      </c>
      <c r="J110" s="34" t="s">
        <v>2113</v>
      </c>
      <c r="K110" s="34" t="s">
        <v>36</v>
      </c>
      <c r="L110" s="34" t="s">
        <v>30</v>
      </c>
      <c r="M110" s="34">
        <v>370101</v>
      </c>
      <c r="N110" s="34" t="s">
        <v>15</v>
      </c>
      <c r="O110" s="34" t="s">
        <v>644</v>
      </c>
      <c r="P110" s="34" t="s">
        <v>36</v>
      </c>
      <c r="Q110" s="34" t="s">
        <v>36</v>
      </c>
      <c r="R110" s="34" t="s">
        <v>36</v>
      </c>
      <c r="S110" s="34">
        <v>0</v>
      </c>
      <c r="T110" s="34" t="s">
        <v>36</v>
      </c>
      <c r="U110" s="34" t="s">
        <v>36</v>
      </c>
      <c r="V110" s="34" t="s">
        <v>36</v>
      </c>
      <c r="W110" s="34" t="s">
        <v>36</v>
      </c>
      <c r="X110" s="34" t="s">
        <v>36</v>
      </c>
      <c r="Y110" s="34" t="s">
        <v>36</v>
      </c>
      <c r="Z110" s="34" t="s">
        <v>36</v>
      </c>
      <c r="AA110" s="34" t="s">
        <v>36</v>
      </c>
      <c r="AB110" s="34" t="s">
        <v>36</v>
      </c>
      <c r="AC110" s="34" t="s">
        <v>36</v>
      </c>
      <c r="AD110" s="34" t="s">
        <v>36</v>
      </c>
      <c r="AE110" s="34" t="s">
        <v>36</v>
      </c>
      <c r="AF110" s="34" t="s">
        <v>36</v>
      </c>
      <c r="AG110" s="34" t="s">
        <v>36</v>
      </c>
      <c r="AH110" s="34" t="s">
        <v>36</v>
      </c>
      <c r="AI110" s="34" t="s">
        <v>36</v>
      </c>
      <c r="AJ110" s="34" t="s">
        <v>36</v>
      </c>
      <c r="AK110" s="202" t="s">
        <v>36</v>
      </c>
      <c r="AL110" s="34" t="s">
        <v>36</v>
      </c>
    </row>
    <row r="111" spans="1:38" ht="14.4" customHeight="1" x14ac:dyDescent="0.3">
      <c r="A111" s="203">
        <v>369754</v>
      </c>
      <c r="B111" s="34">
        <v>384152</v>
      </c>
      <c r="C111" s="34" t="s">
        <v>117</v>
      </c>
      <c r="D111" s="34" t="s">
        <v>1750</v>
      </c>
      <c r="E111" s="34" t="s">
        <v>886</v>
      </c>
      <c r="F111" s="34" t="s">
        <v>28</v>
      </c>
      <c r="G111" s="34">
        <v>17</v>
      </c>
      <c r="H111" s="34" t="s">
        <v>879</v>
      </c>
      <c r="I111" s="34" t="s">
        <v>1758</v>
      </c>
      <c r="J111" s="34" t="s">
        <v>138</v>
      </c>
      <c r="K111" s="34" t="s">
        <v>38</v>
      </c>
      <c r="L111" s="34" t="s">
        <v>30</v>
      </c>
      <c r="M111" s="34">
        <v>354861</v>
      </c>
      <c r="N111" s="34" t="s">
        <v>950</v>
      </c>
      <c r="O111" s="34" t="s">
        <v>37</v>
      </c>
      <c r="P111" s="34" t="s">
        <v>39</v>
      </c>
      <c r="Q111" s="34">
        <v>0</v>
      </c>
      <c r="R111" s="34" t="s">
        <v>36</v>
      </c>
      <c r="S111" s="34">
        <v>0</v>
      </c>
      <c r="T111" s="34">
        <v>0</v>
      </c>
      <c r="U111" s="34">
        <v>0</v>
      </c>
      <c r="V111" s="34">
        <v>0</v>
      </c>
      <c r="W111" s="34">
        <v>0</v>
      </c>
      <c r="X111" s="34">
        <v>0</v>
      </c>
      <c r="Y111" s="34">
        <v>0</v>
      </c>
      <c r="Z111" s="34">
        <v>0</v>
      </c>
      <c r="AA111" s="34">
        <v>0</v>
      </c>
      <c r="AB111" s="34">
        <v>0</v>
      </c>
      <c r="AC111" s="34">
        <v>0</v>
      </c>
      <c r="AD111" s="34">
        <v>0</v>
      </c>
      <c r="AE111" s="34">
        <v>0</v>
      </c>
      <c r="AF111" s="34">
        <v>0</v>
      </c>
      <c r="AG111" s="34">
        <v>0</v>
      </c>
      <c r="AH111" s="34">
        <v>0</v>
      </c>
      <c r="AI111" s="34">
        <v>0</v>
      </c>
      <c r="AJ111" s="34">
        <v>0</v>
      </c>
      <c r="AK111" s="202">
        <v>0</v>
      </c>
      <c r="AL111" s="34">
        <v>12</v>
      </c>
    </row>
    <row r="112" spans="1:38" ht="14.4" customHeight="1" x14ac:dyDescent="0.3">
      <c r="A112" s="203">
        <v>369618</v>
      </c>
      <c r="B112" s="34">
        <v>241501</v>
      </c>
      <c r="C112" s="34" t="s">
        <v>117</v>
      </c>
      <c r="D112" s="34" t="s">
        <v>746</v>
      </c>
      <c r="E112" s="34" t="s">
        <v>167</v>
      </c>
      <c r="F112" s="34" t="s">
        <v>650</v>
      </c>
      <c r="G112" s="34">
        <v>26</v>
      </c>
      <c r="H112" s="34" t="s">
        <v>879</v>
      </c>
      <c r="I112" s="34" t="s">
        <v>1451</v>
      </c>
      <c r="J112" s="34" t="s">
        <v>547</v>
      </c>
      <c r="K112" s="34" t="s">
        <v>38</v>
      </c>
      <c r="L112" s="34" t="s">
        <v>30</v>
      </c>
      <c r="M112" s="34">
        <v>241501</v>
      </c>
      <c r="N112" s="34" t="s">
        <v>15</v>
      </c>
      <c r="O112" s="34" t="s">
        <v>37</v>
      </c>
      <c r="P112" s="34" t="s">
        <v>39</v>
      </c>
      <c r="Q112" s="34">
        <v>0</v>
      </c>
      <c r="R112" s="34" t="s">
        <v>36</v>
      </c>
      <c r="S112" s="34">
        <v>0</v>
      </c>
      <c r="T112" s="34">
        <v>0</v>
      </c>
      <c r="U112" s="34" t="s">
        <v>36</v>
      </c>
      <c r="V112" s="34" t="s">
        <v>36</v>
      </c>
      <c r="W112" s="34" t="s">
        <v>36</v>
      </c>
      <c r="X112" s="34" t="s">
        <v>36</v>
      </c>
      <c r="Y112" s="34" t="s">
        <v>36</v>
      </c>
      <c r="Z112" s="34" t="s">
        <v>36</v>
      </c>
      <c r="AA112" s="34" t="s">
        <v>36</v>
      </c>
      <c r="AB112" s="34" t="s">
        <v>36</v>
      </c>
      <c r="AC112" s="34" t="s">
        <v>36</v>
      </c>
      <c r="AD112" s="34" t="s">
        <v>36</v>
      </c>
      <c r="AE112" s="34" t="s">
        <v>36</v>
      </c>
      <c r="AF112" s="34" t="s">
        <v>36</v>
      </c>
      <c r="AG112" s="34" t="s">
        <v>36</v>
      </c>
      <c r="AH112" s="34" t="s">
        <v>36</v>
      </c>
      <c r="AI112" s="34">
        <v>0</v>
      </c>
      <c r="AJ112" s="34">
        <v>0</v>
      </c>
      <c r="AK112" s="202">
        <v>0</v>
      </c>
      <c r="AL112" s="34">
        <v>0</v>
      </c>
    </row>
    <row r="113" spans="1:38" ht="14.4" customHeight="1" x14ac:dyDescent="0.3">
      <c r="A113" s="203">
        <v>368860</v>
      </c>
      <c r="B113" s="34">
        <v>368857</v>
      </c>
      <c r="C113" s="34" t="s">
        <v>117</v>
      </c>
      <c r="D113" s="34" t="s">
        <v>605</v>
      </c>
      <c r="E113" s="34" t="s">
        <v>1145</v>
      </c>
      <c r="F113" s="34" t="s">
        <v>1845</v>
      </c>
      <c r="G113" s="34">
        <v>295</v>
      </c>
      <c r="H113" s="34" t="s">
        <v>879</v>
      </c>
      <c r="I113" s="34" t="s">
        <v>968</v>
      </c>
      <c r="J113" s="34" t="s">
        <v>105</v>
      </c>
      <c r="K113" s="34" t="s">
        <v>38</v>
      </c>
      <c r="L113" s="34" t="s">
        <v>41</v>
      </c>
      <c r="M113" s="34">
        <v>368857</v>
      </c>
      <c r="N113" s="34" t="s">
        <v>15</v>
      </c>
      <c r="O113" s="34" t="s">
        <v>606</v>
      </c>
      <c r="P113" s="34" t="s">
        <v>607</v>
      </c>
      <c r="Q113" s="34">
        <v>0</v>
      </c>
      <c r="R113" s="34" t="s">
        <v>36</v>
      </c>
      <c r="S113" s="34">
        <v>0</v>
      </c>
      <c r="T113" s="34">
        <v>153</v>
      </c>
      <c r="U113" s="34">
        <v>0</v>
      </c>
      <c r="V113" s="34">
        <v>0</v>
      </c>
      <c r="W113" s="34">
        <v>0</v>
      </c>
      <c r="X113" s="34">
        <v>0</v>
      </c>
      <c r="Y113" s="34">
        <v>0</v>
      </c>
      <c r="Z113" s="34">
        <v>0</v>
      </c>
      <c r="AA113" s="34">
        <v>0</v>
      </c>
      <c r="AB113" s="34">
        <v>0</v>
      </c>
      <c r="AC113" s="34">
        <v>0</v>
      </c>
      <c r="AD113" s="34">
        <v>0</v>
      </c>
      <c r="AE113" s="34">
        <v>0</v>
      </c>
      <c r="AF113" s="34">
        <v>0</v>
      </c>
      <c r="AG113" s="34">
        <v>0</v>
      </c>
      <c r="AH113" s="34">
        <v>0</v>
      </c>
      <c r="AI113" s="34">
        <v>0</v>
      </c>
      <c r="AJ113" s="34">
        <v>0</v>
      </c>
      <c r="AK113" s="202">
        <v>0</v>
      </c>
      <c r="AL113" s="34">
        <v>0</v>
      </c>
    </row>
    <row r="114" spans="1:38" ht="14.4" customHeight="1" x14ac:dyDescent="0.3">
      <c r="A114" s="203">
        <v>368857</v>
      </c>
      <c r="B114" s="34">
        <v>368855</v>
      </c>
      <c r="C114" s="34" t="s">
        <v>1121</v>
      </c>
      <c r="D114" s="34" t="s">
        <v>2014</v>
      </c>
      <c r="E114" s="34" t="s">
        <v>596</v>
      </c>
      <c r="F114" s="34" t="s">
        <v>860</v>
      </c>
      <c r="G114" s="34">
        <v>0</v>
      </c>
      <c r="H114" s="34" t="s">
        <v>36</v>
      </c>
      <c r="I114" s="34" t="s">
        <v>36</v>
      </c>
      <c r="J114" s="34" t="s">
        <v>54</v>
      </c>
      <c r="K114" s="34" t="s">
        <v>36</v>
      </c>
      <c r="L114" s="34" t="s">
        <v>41</v>
      </c>
      <c r="M114" s="34">
        <v>368857</v>
      </c>
      <c r="N114" s="34" t="s">
        <v>15</v>
      </c>
      <c r="O114" s="34" t="s">
        <v>606</v>
      </c>
      <c r="P114" s="34" t="s">
        <v>607</v>
      </c>
      <c r="Q114" s="34" t="s">
        <v>36</v>
      </c>
      <c r="R114" s="34" t="s">
        <v>36</v>
      </c>
      <c r="S114" s="34">
        <v>0</v>
      </c>
      <c r="T114" s="34" t="s">
        <v>36</v>
      </c>
      <c r="U114" s="34" t="s">
        <v>36</v>
      </c>
      <c r="V114" s="34" t="s">
        <v>36</v>
      </c>
      <c r="W114" s="34" t="s">
        <v>36</v>
      </c>
      <c r="X114" s="34" t="s">
        <v>36</v>
      </c>
      <c r="Y114" s="34" t="s">
        <v>36</v>
      </c>
      <c r="Z114" s="34" t="s">
        <v>36</v>
      </c>
      <c r="AA114" s="34" t="s">
        <v>36</v>
      </c>
      <c r="AB114" s="34" t="s">
        <v>36</v>
      </c>
      <c r="AC114" s="34" t="s">
        <v>36</v>
      </c>
      <c r="AD114" s="34" t="s">
        <v>36</v>
      </c>
      <c r="AE114" s="34" t="s">
        <v>36</v>
      </c>
      <c r="AF114" s="34" t="s">
        <v>36</v>
      </c>
      <c r="AG114" s="34" t="s">
        <v>36</v>
      </c>
      <c r="AH114" s="34" t="s">
        <v>36</v>
      </c>
      <c r="AI114" s="34" t="s">
        <v>36</v>
      </c>
      <c r="AJ114" s="34" t="s">
        <v>36</v>
      </c>
      <c r="AK114" s="202" t="s">
        <v>36</v>
      </c>
      <c r="AL114" s="34" t="s">
        <v>36</v>
      </c>
    </row>
    <row r="115" spans="1:38" ht="14.4" customHeight="1" x14ac:dyDescent="0.3">
      <c r="A115" s="203">
        <v>365261</v>
      </c>
      <c r="B115" s="34">
        <v>388154</v>
      </c>
      <c r="C115" s="34" t="s">
        <v>117</v>
      </c>
      <c r="D115" s="34" t="s">
        <v>1986</v>
      </c>
      <c r="E115" s="34" t="s">
        <v>1994</v>
      </c>
      <c r="F115" s="34" t="s">
        <v>28</v>
      </c>
      <c r="G115" s="34">
        <v>16</v>
      </c>
      <c r="H115" s="34" t="s">
        <v>41</v>
      </c>
      <c r="I115" s="34" t="s">
        <v>1997</v>
      </c>
      <c r="J115" s="34" t="s">
        <v>171</v>
      </c>
      <c r="K115" s="34" t="s">
        <v>38</v>
      </c>
      <c r="L115" s="34" t="s">
        <v>41</v>
      </c>
      <c r="M115" s="34">
        <v>388154</v>
      </c>
      <c r="N115" s="34" t="s">
        <v>15</v>
      </c>
      <c r="O115" s="34" t="s">
        <v>37</v>
      </c>
      <c r="P115" s="34" t="s">
        <v>39</v>
      </c>
      <c r="Q115" s="34">
        <v>0</v>
      </c>
      <c r="R115" s="34" t="s">
        <v>36</v>
      </c>
      <c r="S115" s="34">
        <v>0</v>
      </c>
      <c r="T115" s="34">
        <v>0</v>
      </c>
      <c r="U115" s="34">
        <v>0</v>
      </c>
      <c r="V115" s="34">
        <v>0</v>
      </c>
      <c r="W115" s="34">
        <v>0</v>
      </c>
      <c r="X115" s="34">
        <v>0</v>
      </c>
      <c r="Y115" s="34">
        <v>0</v>
      </c>
      <c r="Z115" s="34">
        <v>0</v>
      </c>
      <c r="AA115" s="34">
        <v>0</v>
      </c>
      <c r="AB115" s="34">
        <v>0</v>
      </c>
      <c r="AC115" s="34">
        <v>0</v>
      </c>
      <c r="AD115" s="34">
        <v>0</v>
      </c>
      <c r="AE115" s="34">
        <v>0</v>
      </c>
      <c r="AF115" s="34">
        <v>0</v>
      </c>
      <c r="AG115" s="34">
        <v>0</v>
      </c>
      <c r="AH115" s="34">
        <v>0</v>
      </c>
      <c r="AI115" s="34">
        <v>0</v>
      </c>
      <c r="AJ115" s="34">
        <v>0</v>
      </c>
      <c r="AK115" s="202">
        <v>0</v>
      </c>
      <c r="AL115" s="34">
        <v>0</v>
      </c>
    </row>
    <row r="116" spans="1:38" ht="14.4" customHeight="1" x14ac:dyDescent="0.3">
      <c r="A116" s="203">
        <v>365245</v>
      </c>
      <c r="B116" s="34">
        <v>388154</v>
      </c>
      <c r="C116" s="34" t="s">
        <v>117</v>
      </c>
      <c r="D116" s="34" t="s">
        <v>1987</v>
      </c>
      <c r="E116" s="34" t="s">
        <v>1995</v>
      </c>
      <c r="F116" s="34" t="s">
        <v>28</v>
      </c>
      <c r="G116" s="34">
        <v>12</v>
      </c>
      <c r="H116" s="34" t="s">
        <v>41</v>
      </c>
      <c r="I116" s="34" t="s">
        <v>1998</v>
      </c>
      <c r="J116" s="34" t="s">
        <v>171</v>
      </c>
      <c r="K116" s="34" t="s">
        <v>36</v>
      </c>
      <c r="L116" s="34" t="s">
        <v>41</v>
      </c>
      <c r="M116" s="34">
        <v>388154</v>
      </c>
      <c r="N116" s="34" t="s">
        <v>15</v>
      </c>
      <c r="O116" s="34" t="s">
        <v>37</v>
      </c>
      <c r="P116" s="34" t="s">
        <v>39</v>
      </c>
      <c r="Q116" s="34">
        <v>0</v>
      </c>
      <c r="R116" s="34" t="s">
        <v>36</v>
      </c>
      <c r="S116" s="34">
        <v>0</v>
      </c>
      <c r="T116" s="34">
        <v>0</v>
      </c>
      <c r="U116" s="34">
        <v>0</v>
      </c>
      <c r="V116" s="34">
        <v>0</v>
      </c>
      <c r="W116" s="34">
        <v>0</v>
      </c>
      <c r="X116" s="34">
        <v>0</v>
      </c>
      <c r="Y116" s="34">
        <v>0</v>
      </c>
      <c r="Z116" s="34">
        <v>0</v>
      </c>
      <c r="AA116" s="34">
        <v>0</v>
      </c>
      <c r="AB116" s="34">
        <v>0</v>
      </c>
      <c r="AC116" s="34">
        <v>0</v>
      </c>
      <c r="AD116" s="34">
        <v>0</v>
      </c>
      <c r="AE116" s="34">
        <v>0</v>
      </c>
      <c r="AF116" s="34">
        <v>0</v>
      </c>
      <c r="AG116" s="34">
        <v>0</v>
      </c>
      <c r="AH116" s="34">
        <v>0</v>
      </c>
      <c r="AI116" s="34">
        <v>0</v>
      </c>
      <c r="AJ116" s="34">
        <v>0</v>
      </c>
      <c r="AK116" s="202">
        <v>0</v>
      </c>
      <c r="AL116" s="34">
        <v>0</v>
      </c>
    </row>
    <row r="117" spans="1:38" ht="14.4" customHeight="1" x14ac:dyDescent="0.3">
      <c r="A117" s="203">
        <v>363450</v>
      </c>
      <c r="B117" s="34">
        <v>388154</v>
      </c>
      <c r="C117" s="34" t="s">
        <v>117</v>
      </c>
      <c r="D117" s="34" t="s">
        <v>1988</v>
      </c>
      <c r="E117" s="34" t="s">
        <v>1995</v>
      </c>
      <c r="F117" s="34" t="s">
        <v>132</v>
      </c>
      <c r="G117" s="34">
        <v>40</v>
      </c>
      <c r="H117" s="34" t="s">
        <v>880</v>
      </c>
      <c r="I117" s="34" t="s">
        <v>992</v>
      </c>
      <c r="J117" s="34" t="s">
        <v>171</v>
      </c>
      <c r="K117" s="34" t="s">
        <v>36</v>
      </c>
      <c r="L117" s="34" t="s">
        <v>30</v>
      </c>
      <c r="M117" s="34">
        <v>388154</v>
      </c>
      <c r="N117" s="34" t="s">
        <v>947</v>
      </c>
      <c r="O117" s="34" t="s">
        <v>37</v>
      </c>
      <c r="P117" s="34" t="s">
        <v>39</v>
      </c>
      <c r="Q117" s="34">
        <v>0</v>
      </c>
      <c r="R117" s="34" t="s">
        <v>36</v>
      </c>
      <c r="S117" s="34">
        <v>0</v>
      </c>
      <c r="T117" s="34">
        <v>0</v>
      </c>
      <c r="U117" s="34">
        <v>0</v>
      </c>
      <c r="V117" s="34">
        <v>0</v>
      </c>
      <c r="W117" s="34">
        <v>0</v>
      </c>
      <c r="X117" s="34">
        <v>0</v>
      </c>
      <c r="Y117" s="34">
        <v>0</v>
      </c>
      <c r="Z117" s="34">
        <v>0</v>
      </c>
      <c r="AA117" s="34">
        <v>0</v>
      </c>
      <c r="AB117" s="34">
        <v>0</v>
      </c>
      <c r="AC117" s="34">
        <v>0</v>
      </c>
      <c r="AD117" s="34">
        <v>0</v>
      </c>
      <c r="AE117" s="34">
        <v>0</v>
      </c>
      <c r="AF117" s="34">
        <v>0</v>
      </c>
      <c r="AG117" s="34">
        <v>0</v>
      </c>
      <c r="AH117" s="34">
        <v>0</v>
      </c>
      <c r="AI117" s="34">
        <v>0</v>
      </c>
      <c r="AJ117" s="34">
        <v>0</v>
      </c>
      <c r="AK117" s="202">
        <v>0</v>
      </c>
      <c r="AL117" s="34">
        <v>43</v>
      </c>
    </row>
    <row r="118" spans="1:38" ht="14.4" customHeight="1" x14ac:dyDescent="0.3">
      <c r="A118" s="203">
        <v>358884</v>
      </c>
      <c r="B118" s="34">
        <v>216364</v>
      </c>
      <c r="C118" s="34" t="s">
        <v>117</v>
      </c>
      <c r="D118" s="34" t="s">
        <v>1785</v>
      </c>
      <c r="E118" s="34" t="s">
        <v>167</v>
      </c>
      <c r="F118" s="34" t="s">
        <v>132</v>
      </c>
      <c r="G118" s="34">
        <v>110</v>
      </c>
      <c r="H118" s="34" t="s">
        <v>104</v>
      </c>
      <c r="I118" s="34" t="s">
        <v>1764</v>
      </c>
      <c r="J118" s="34" t="s">
        <v>173</v>
      </c>
      <c r="K118" s="34" t="s">
        <v>36</v>
      </c>
      <c r="L118" s="34" t="s">
        <v>30</v>
      </c>
      <c r="M118" s="34">
        <v>216364</v>
      </c>
      <c r="N118" s="34" t="s">
        <v>554</v>
      </c>
      <c r="O118" s="34" t="s">
        <v>31</v>
      </c>
      <c r="P118" s="34" t="s">
        <v>53</v>
      </c>
      <c r="Q118" s="34">
        <v>0</v>
      </c>
      <c r="R118" s="34" t="s">
        <v>36</v>
      </c>
      <c r="S118" s="34">
        <v>0</v>
      </c>
      <c r="T118" s="34">
        <v>0</v>
      </c>
      <c r="U118" s="34" t="s">
        <v>36</v>
      </c>
      <c r="V118" s="34" t="s">
        <v>36</v>
      </c>
      <c r="W118" s="34" t="s">
        <v>36</v>
      </c>
      <c r="X118" s="34" t="s">
        <v>36</v>
      </c>
      <c r="Y118" s="34" t="s">
        <v>36</v>
      </c>
      <c r="Z118" s="34" t="s">
        <v>36</v>
      </c>
      <c r="AA118" s="34" t="s">
        <v>36</v>
      </c>
      <c r="AB118" s="34" t="s">
        <v>36</v>
      </c>
      <c r="AC118" s="34" t="s">
        <v>36</v>
      </c>
      <c r="AD118" s="34" t="s">
        <v>36</v>
      </c>
      <c r="AE118" s="34" t="s">
        <v>36</v>
      </c>
      <c r="AF118" s="34" t="s">
        <v>36</v>
      </c>
      <c r="AG118" s="34" t="s">
        <v>36</v>
      </c>
      <c r="AH118" s="34" t="s">
        <v>36</v>
      </c>
      <c r="AI118" s="34">
        <v>0</v>
      </c>
      <c r="AJ118" s="34">
        <v>0</v>
      </c>
      <c r="AK118" s="202">
        <v>0</v>
      </c>
      <c r="AL118" s="34">
        <v>0</v>
      </c>
    </row>
    <row r="119" spans="1:38" ht="14.4" customHeight="1" x14ac:dyDescent="0.3">
      <c r="A119" s="203">
        <v>358881</v>
      </c>
      <c r="B119" s="34">
        <v>216364</v>
      </c>
      <c r="C119" s="34" t="s">
        <v>117</v>
      </c>
      <c r="D119" s="34" t="s">
        <v>1747</v>
      </c>
      <c r="E119" s="34" t="s">
        <v>886</v>
      </c>
      <c r="F119" s="34" t="s">
        <v>650</v>
      </c>
      <c r="G119" s="34">
        <v>140</v>
      </c>
      <c r="H119" s="34" t="s">
        <v>880</v>
      </c>
      <c r="I119" s="34" t="s">
        <v>2342</v>
      </c>
      <c r="J119" s="34" t="s">
        <v>195</v>
      </c>
      <c r="K119" s="34" t="s">
        <v>36</v>
      </c>
      <c r="L119" s="34" t="s">
        <v>30</v>
      </c>
      <c r="M119" s="34">
        <v>216364</v>
      </c>
      <c r="N119" s="34" t="s">
        <v>951</v>
      </c>
      <c r="O119" s="34" t="s">
        <v>31</v>
      </c>
      <c r="P119" s="34" t="s">
        <v>53</v>
      </c>
      <c r="Q119" s="34">
        <v>0</v>
      </c>
      <c r="R119" s="34" t="s">
        <v>36</v>
      </c>
      <c r="S119" s="34">
        <v>0</v>
      </c>
      <c r="T119" s="34">
        <v>0</v>
      </c>
      <c r="U119" s="34">
        <v>0</v>
      </c>
      <c r="V119" s="34">
        <v>0</v>
      </c>
      <c r="W119" s="34">
        <v>0</v>
      </c>
      <c r="X119" s="34">
        <v>0</v>
      </c>
      <c r="Y119" s="34">
        <v>0</v>
      </c>
      <c r="Z119" s="34">
        <v>0</v>
      </c>
      <c r="AA119" s="34">
        <v>0</v>
      </c>
      <c r="AB119" s="34">
        <v>0</v>
      </c>
      <c r="AC119" s="34">
        <v>0</v>
      </c>
      <c r="AD119" s="34">
        <v>0</v>
      </c>
      <c r="AE119" s="34">
        <v>0</v>
      </c>
      <c r="AF119" s="34">
        <v>0</v>
      </c>
      <c r="AG119" s="34">
        <v>0</v>
      </c>
      <c r="AH119" s="34">
        <v>0</v>
      </c>
      <c r="AI119" s="34">
        <v>0</v>
      </c>
      <c r="AJ119" s="34">
        <v>0</v>
      </c>
      <c r="AK119" s="202">
        <v>0</v>
      </c>
      <c r="AL119" s="34">
        <v>0</v>
      </c>
    </row>
    <row r="120" spans="1:38" ht="14.4" customHeight="1" x14ac:dyDescent="0.3">
      <c r="A120" s="203">
        <v>358656</v>
      </c>
      <c r="B120" s="34">
        <v>216364</v>
      </c>
      <c r="C120" s="34" t="s">
        <v>117</v>
      </c>
      <c r="D120" s="34" t="s">
        <v>1746</v>
      </c>
      <c r="E120" s="34" t="s">
        <v>1321</v>
      </c>
      <c r="F120" s="34" t="s">
        <v>28</v>
      </c>
      <c r="G120" s="34">
        <v>35</v>
      </c>
      <c r="H120" s="34" t="s">
        <v>880</v>
      </c>
      <c r="I120" s="34" t="s">
        <v>2339</v>
      </c>
      <c r="J120" s="34" t="s">
        <v>547</v>
      </c>
      <c r="K120" s="34" t="s">
        <v>939</v>
      </c>
      <c r="L120" s="34" t="s">
        <v>30</v>
      </c>
      <c r="M120" s="34">
        <v>216364</v>
      </c>
      <c r="N120" s="34" t="s">
        <v>951</v>
      </c>
      <c r="O120" s="34" t="s">
        <v>31</v>
      </c>
      <c r="P120" s="34" t="s">
        <v>53</v>
      </c>
      <c r="Q120" s="34">
        <v>0</v>
      </c>
      <c r="R120" s="34" t="s">
        <v>1761</v>
      </c>
      <c r="S120" s="34">
        <v>2</v>
      </c>
      <c r="T120" s="34">
        <v>0</v>
      </c>
      <c r="U120" s="34">
        <v>33</v>
      </c>
      <c r="V120" s="34">
        <v>0</v>
      </c>
      <c r="W120" s="34">
        <v>2</v>
      </c>
      <c r="X120" s="34">
        <v>0</v>
      </c>
      <c r="Y120" s="34">
        <v>0</v>
      </c>
      <c r="Z120" s="34">
        <v>0</v>
      </c>
      <c r="AA120" s="34">
        <v>0</v>
      </c>
      <c r="AB120" s="34">
        <v>0</v>
      </c>
      <c r="AC120" s="34">
        <v>0</v>
      </c>
      <c r="AD120" s="34">
        <v>0</v>
      </c>
      <c r="AE120" s="34">
        <v>0</v>
      </c>
      <c r="AF120" s="34">
        <v>0</v>
      </c>
      <c r="AG120" s="34">
        <v>0</v>
      </c>
      <c r="AH120" s="34">
        <v>0</v>
      </c>
      <c r="AI120" s="34">
        <v>0</v>
      </c>
      <c r="AJ120" s="34">
        <v>0</v>
      </c>
      <c r="AK120" s="202">
        <v>35</v>
      </c>
      <c r="AL120" s="34">
        <v>0</v>
      </c>
    </row>
    <row r="121" spans="1:38" ht="14.4" customHeight="1" x14ac:dyDescent="0.3">
      <c r="A121" s="203">
        <v>356968</v>
      </c>
      <c r="B121" s="34">
        <v>354861</v>
      </c>
      <c r="C121" s="34" t="s">
        <v>117</v>
      </c>
      <c r="D121" s="34" t="s">
        <v>2185</v>
      </c>
      <c r="E121" s="34" t="s">
        <v>886</v>
      </c>
      <c r="F121" s="34" t="s">
        <v>650</v>
      </c>
      <c r="G121" s="34">
        <v>15</v>
      </c>
      <c r="H121" s="34" t="s">
        <v>879</v>
      </c>
      <c r="I121" s="34" t="s">
        <v>2190</v>
      </c>
      <c r="J121" s="34" t="s">
        <v>547</v>
      </c>
      <c r="K121" s="34" t="s">
        <v>38</v>
      </c>
      <c r="L121" s="34" t="s">
        <v>41</v>
      </c>
      <c r="M121" s="34">
        <v>354861</v>
      </c>
      <c r="N121" s="34" t="s">
        <v>15</v>
      </c>
      <c r="O121" s="34" t="s">
        <v>37</v>
      </c>
      <c r="P121" s="34" t="s">
        <v>39</v>
      </c>
      <c r="Q121" s="34">
        <v>0</v>
      </c>
      <c r="R121" s="34" t="s">
        <v>36</v>
      </c>
      <c r="S121" s="34">
        <v>0</v>
      </c>
      <c r="T121" s="34">
        <v>0</v>
      </c>
      <c r="U121" s="34">
        <v>0</v>
      </c>
      <c r="V121" s="34">
        <v>0</v>
      </c>
      <c r="W121" s="34">
        <v>0</v>
      </c>
      <c r="X121" s="34">
        <v>0</v>
      </c>
      <c r="Y121" s="34">
        <v>0</v>
      </c>
      <c r="Z121" s="34">
        <v>0</v>
      </c>
      <c r="AA121" s="34">
        <v>0</v>
      </c>
      <c r="AB121" s="34">
        <v>0</v>
      </c>
      <c r="AC121" s="34">
        <v>0</v>
      </c>
      <c r="AD121" s="34">
        <v>0</v>
      </c>
      <c r="AE121" s="34">
        <v>0</v>
      </c>
      <c r="AF121" s="34">
        <v>0</v>
      </c>
      <c r="AG121" s="34">
        <v>0</v>
      </c>
      <c r="AH121" s="34">
        <v>0</v>
      </c>
      <c r="AI121" s="34">
        <v>0</v>
      </c>
      <c r="AJ121" s="34">
        <v>0</v>
      </c>
      <c r="AK121" s="202">
        <v>0</v>
      </c>
      <c r="AL121" s="34">
        <v>15</v>
      </c>
    </row>
    <row r="122" spans="1:38" ht="14.4" customHeight="1" x14ac:dyDescent="0.3">
      <c r="A122" s="203">
        <v>354871</v>
      </c>
      <c r="B122" s="34">
        <v>241501</v>
      </c>
      <c r="C122" s="34" t="s">
        <v>117</v>
      </c>
      <c r="D122" s="34" t="s">
        <v>647</v>
      </c>
      <c r="E122" s="34" t="s">
        <v>1866</v>
      </c>
      <c r="F122" s="34" t="s">
        <v>106</v>
      </c>
      <c r="G122" s="34">
        <v>248</v>
      </c>
      <c r="H122" s="34" t="s">
        <v>880</v>
      </c>
      <c r="I122" s="34" t="s">
        <v>959</v>
      </c>
      <c r="J122" s="34" t="s">
        <v>549</v>
      </c>
      <c r="K122" s="34" t="s">
        <v>1869</v>
      </c>
      <c r="L122" s="34" t="s">
        <v>30</v>
      </c>
      <c r="M122" s="34">
        <v>241501</v>
      </c>
      <c r="N122" s="34" t="s">
        <v>17</v>
      </c>
      <c r="O122" s="34" t="s">
        <v>37</v>
      </c>
      <c r="P122" s="34" t="s">
        <v>39</v>
      </c>
      <c r="Q122" s="34">
        <v>3</v>
      </c>
      <c r="R122" s="34" t="s">
        <v>1761</v>
      </c>
      <c r="S122" s="34">
        <v>3</v>
      </c>
      <c r="T122" s="34">
        <v>129</v>
      </c>
      <c r="U122" s="34">
        <v>0</v>
      </c>
      <c r="V122" s="34">
        <v>0</v>
      </c>
      <c r="W122" s="34">
        <v>9</v>
      </c>
      <c r="X122" s="34">
        <v>0</v>
      </c>
      <c r="Y122" s="34">
        <v>0</v>
      </c>
      <c r="Z122" s="34">
        <v>0</v>
      </c>
      <c r="AA122" s="34">
        <v>3</v>
      </c>
      <c r="AB122" s="34">
        <v>0</v>
      </c>
      <c r="AC122" s="34">
        <v>0</v>
      </c>
      <c r="AD122" s="34">
        <v>0</v>
      </c>
      <c r="AE122" s="34">
        <v>45</v>
      </c>
      <c r="AF122" s="34">
        <v>0</v>
      </c>
      <c r="AG122" s="34">
        <v>0</v>
      </c>
      <c r="AH122" s="34">
        <v>0</v>
      </c>
      <c r="AI122" s="34">
        <v>0</v>
      </c>
      <c r="AJ122" s="34">
        <v>3</v>
      </c>
      <c r="AK122" s="202">
        <v>57</v>
      </c>
      <c r="AL122" s="34">
        <v>0</v>
      </c>
    </row>
    <row r="123" spans="1:38" ht="14.4" customHeight="1" x14ac:dyDescent="0.3">
      <c r="A123" s="203">
        <v>354861</v>
      </c>
      <c r="B123" s="34">
        <v>245898</v>
      </c>
      <c r="C123" s="34" t="s">
        <v>1121</v>
      </c>
      <c r="D123" s="34" t="s">
        <v>2186</v>
      </c>
      <c r="E123" s="34" t="s">
        <v>167</v>
      </c>
      <c r="F123" s="34" t="s">
        <v>860</v>
      </c>
      <c r="G123" s="34">
        <v>0</v>
      </c>
      <c r="H123" s="34" t="s">
        <v>36</v>
      </c>
      <c r="I123" s="34" t="s">
        <v>36</v>
      </c>
      <c r="J123" s="34" t="s">
        <v>547</v>
      </c>
      <c r="K123" s="34" t="s">
        <v>36</v>
      </c>
      <c r="L123" s="34" t="s">
        <v>30</v>
      </c>
      <c r="M123" s="34">
        <v>354861</v>
      </c>
      <c r="N123" s="34" t="s">
        <v>15</v>
      </c>
      <c r="O123" s="34" t="s">
        <v>37</v>
      </c>
      <c r="P123" s="34" t="s">
        <v>39</v>
      </c>
      <c r="Q123" s="34" t="s">
        <v>36</v>
      </c>
      <c r="R123" s="34" t="s">
        <v>36</v>
      </c>
      <c r="S123" s="34">
        <v>0</v>
      </c>
      <c r="T123" s="34" t="s">
        <v>36</v>
      </c>
      <c r="U123" s="34" t="s">
        <v>36</v>
      </c>
      <c r="V123" s="34" t="s">
        <v>36</v>
      </c>
      <c r="W123" s="34" t="s">
        <v>36</v>
      </c>
      <c r="X123" s="34" t="s">
        <v>36</v>
      </c>
      <c r="Y123" s="34" t="s">
        <v>36</v>
      </c>
      <c r="Z123" s="34" t="s">
        <v>36</v>
      </c>
      <c r="AA123" s="34" t="s">
        <v>36</v>
      </c>
      <c r="AB123" s="34" t="s">
        <v>36</v>
      </c>
      <c r="AC123" s="34" t="s">
        <v>36</v>
      </c>
      <c r="AD123" s="34" t="s">
        <v>36</v>
      </c>
      <c r="AE123" s="34" t="s">
        <v>36</v>
      </c>
      <c r="AF123" s="34" t="s">
        <v>36</v>
      </c>
      <c r="AG123" s="34" t="s">
        <v>36</v>
      </c>
      <c r="AH123" s="34" t="s">
        <v>36</v>
      </c>
      <c r="AI123" s="34" t="s">
        <v>36</v>
      </c>
      <c r="AJ123" s="34" t="s">
        <v>36</v>
      </c>
      <c r="AK123" s="202" t="s">
        <v>36</v>
      </c>
      <c r="AL123" s="34" t="s">
        <v>36</v>
      </c>
    </row>
    <row r="124" spans="1:38" ht="14.4" customHeight="1" x14ac:dyDescent="0.3">
      <c r="A124" s="203">
        <v>354646</v>
      </c>
      <c r="B124" s="34">
        <v>241501</v>
      </c>
      <c r="C124" s="34" t="s">
        <v>117</v>
      </c>
      <c r="D124" s="34" t="s">
        <v>872</v>
      </c>
      <c r="E124" s="34" t="s">
        <v>1145</v>
      </c>
      <c r="F124" s="34" t="s">
        <v>106</v>
      </c>
      <c r="G124" s="34">
        <v>38</v>
      </c>
      <c r="H124" s="34" t="s">
        <v>879</v>
      </c>
      <c r="I124" s="34" t="s">
        <v>1452</v>
      </c>
      <c r="J124" s="34" t="s">
        <v>547</v>
      </c>
      <c r="K124" s="34" t="s">
        <v>38</v>
      </c>
      <c r="L124" s="34" t="s">
        <v>30</v>
      </c>
      <c r="M124" s="34">
        <v>241501</v>
      </c>
      <c r="N124" s="34" t="s">
        <v>15</v>
      </c>
      <c r="O124" s="34" t="s">
        <v>37</v>
      </c>
      <c r="P124" s="34" t="s">
        <v>39</v>
      </c>
      <c r="Q124" s="34">
        <v>0</v>
      </c>
      <c r="R124" s="34" t="s">
        <v>36</v>
      </c>
      <c r="S124" s="34">
        <v>0</v>
      </c>
      <c r="T124" s="34">
        <v>40</v>
      </c>
      <c r="U124" s="34">
        <v>0</v>
      </c>
      <c r="V124" s="34">
        <v>0</v>
      </c>
      <c r="W124" s="34">
        <v>0</v>
      </c>
      <c r="X124" s="34">
        <v>0</v>
      </c>
      <c r="Y124" s="34">
        <v>0</v>
      </c>
      <c r="Z124" s="34">
        <v>0</v>
      </c>
      <c r="AA124" s="34">
        <v>0</v>
      </c>
      <c r="AB124" s="34">
        <v>0</v>
      </c>
      <c r="AC124" s="34">
        <v>0</v>
      </c>
      <c r="AD124" s="34">
        <v>0</v>
      </c>
      <c r="AE124" s="34">
        <v>0</v>
      </c>
      <c r="AF124" s="34">
        <v>0</v>
      </c>
      <c r="AG124" s="34">
        <v>0</v>
      </c>
      <c r="AH124" s="34">
        <v>0</v>
      </c>
      <c r="AI124" s="34">
        <v>0</v>
      </c>
      <c r="AJ124" s="34">
        <v>0</v>
      </c>
      <c r="AK124" s="202">
        <v>0</v>
      </c>
      <c r="AL124" s="34">
        <v>0</v>
      </c>
    </row>
    <row r="125" spans="1:38" ht="14.4" customHeight="1" x14ac:dyDescent="0.3">
      <c r="A125" s="203">
        <v>352946</v>
      </c>
      <c r="B125" s="34">
        <v>354861</v>
      </c>
      <c r="C125" s="34" t="s">
        <v>117</v>
      </c>
      <c r="D125" s="34" t="s">
        <v>2187</v>
      </c>
      <c r="E125" s="34" t="s">
        <v>886</v>
      </c>
      <c r="F125" s="34" t="s">
        <v>650</v>
      </c>
      <c r="G125" s="34">
        <v>31</v>
      </c>
      <c r="H125" s="34" t="s">
        <v>41</v>
      </c>
      <c r="I125" s="34" t="s">
        <v>2191</v>
      </c>
      <c r="J125" s="34" t="s">
        <v>547</v>
      </c>
      <c r="K125" s="34" t="s">
        <v>38</v>
      </c>
      <c r="L125" s="34" t="s">
        <v>41</v>
      </c>
      <c r="M125" s="34">
        <v>354861</v>
      </c>
      <c r="N125" s="34" t="s">
        <v>15</v>
      </c>
      <c r="O125" s="34" t="s">
        <v>37</v>
      </c>
      <c r="P125" s="34" t="s">
        <v>39</v>
      </c>
      <c r="Q125" s="34">
        <v>0</v>
      </c>
      <c r="R125" s="34" t="s">
        <v>36</v>
      </c>
      <c r="S125" s="34">
        <v>0</v>
      </c>
      <c r="T125" s="34">
        <v>0</v>
      </c>
      <c r="U125" s="34">
        <v>0</v>
      </c>
      <c r="V125" s="34">
        <v>0</v>
      </c>
      <c r="W125" s="34">
        <v>0</v>
      </c>
      <c r="X125" s="34">
        <v>0</v>
      </c>
      <c r="Y125" s="34">
        <v>0</v>
      </c>
      <c r="Z125" s="34">
        <v>0</v>
      </c>
      <c r="AA125" s="34">
        <v>0</v>
      </c>
      <c r="AB125" s="34">
        <v>0</v>
      </c>
      <c r="AC125" s="34">
        <v>0</v>
      </c>
      <c r="AD125" s="34">
        <v>0</v>
      </c>
      <c r="AE125" s="34">
        <v>0</v>
      </c>
      <c r="AF125" s="34">
        <v>0</v>
      </c>
      <c r="AG125" s="34">
        <v>0</v>
      </c>
      <c r="AH125" s="34">
        <v>0</v>
      </c>
      <c r="AI125" s="34">
        <v>0</v>
      </c>
      <c r="AJ125" s="34">
        <v>0</v>
      </c>
      <c r="AK125" s="202">
        <v>0</v>
      </c>
      <c r="AL125" s="34">
        <v>31</v>
      </c>
    </row>
    <row r="126" spans="1:38" ht="14.4" customHeight="1" x14ac:dyDescent="0.3">
      <c r="A126" s="203">
        <v>347074</v>
      </c>
      <c r="B126" s="34">
        <v>245564</v>
      </c>
      <c r="C126" s="34" t="s">
        <v>1121</v>
      </c>
      <c r="D126" s="34" t="s">
        <v>838</v>
      </c>
      <c r="E126" s="34" t="s">
        <v>36</v>
      </c>
      <c r="F126" s="34" t="s">
        <v>860</v>
      </c>
      <c r="G126" s="34">
        <v>0</v>
      </c>
      <c r="H126" s="34" t="s">
        <v>36</v>
      </c>
      <c r="I126" s="34" t="s">
        <v>36</v>
      </c>
      <c r="J126" s="34" t="s">
        <v>545</v>
      </c>
      <c r="K126" s="34" t="s">
        <v>36</v>
      </c>
      <c r="L126" s="34" t="s">
        <v>30</v>
      </c>
      <c r="M126" s="34">
        <v>347074</v>
      </c>
      <c r="N126" s="34" t="s">
        <v>943</v>
      </c>
      <c r="O126" s="34" t="s">
        <v>31</v>
      </c>
      <c r="P126" s="34" t="s">
        <v>32</v>
      </c>
      <c r="Q126" s="34" t="s">
        <v>36</v>
      </c>
      <c r="R126" s="34" t="s">
        <v>36</v>
      </c>
      <c r="S126" s="34">
        <v>0</v>
      </c>
      <c r="T126" s="34" t="s">
        <v>36</v>
      </c>
      <c r="U126" s="34" t="s">
        <v>36</v>
      </c>
      <c r="V126" s="34" t="s">
        <v>36</v>
      </c>
      <c r="W126" s="34" t="s">
        <v>36</v>
      </c>
      <c r="X126" s="34" t="s">
        <v>36</v>
      </c>
      <c r="Y126" s="34" t="s">
        <v>36</v>
      </c>
      <c r="Z126" s="34" t="s">
        <v>36</v>
      </c>
      <c r="AA126" s="34" t="s">
        <v>36</v>
      </c>
      <c r="AB126" s="34" t="s">
        <v>36</v>
      </c>
      <c r="AC126" s="34" t="s">
        <v>36</v>
      </c>
      <c r="AD126" s="34" t="s">
        <v>36</v>
      </c>
      <c r="AE126" s="34" t="s">
        <v>36</v>
      </c>
      <c r="AF126" s="34" t="s">
        <v>36</v>
      </c>
      <c r="AG126" s="34" t="s">
        <v>36</v>
      </c>
      <c r="AH126" s="34" t="s">
        <v>36</v>
      </c>
      <c r="AI126" s="34" t="s">
        <v>36</v>
      </c>
      <c r="AJ126" s="34" t="s">
        <v>36</v>
      </c>
      <c r="AK126" s="202" t="s">
        <v>36</v>
      </c>
      <c r="AL126" s="34" t="s">
        <v>36</v>
      </c>
    </row>
    <row r="127" spans="1:38" ht="14.4" customHeight="1" x14ac:dyDescent="0.3">
      <c r="A127" s="203">
        <v>342163</v>
      </c>
      <c r="B127" s="34">
        <v>245808</v>
      </c>
      <c r="C127" s="34" t="s">
        <v>117</v>
      </c>
      <c r="D127" s="34" t="s">
        <v>2357</v>
      </c>
      <c r="E127" s="34" t="s">
        <v>857</v>
      </c>
      <c r="F127" s="34" t="s">
        <v>106</v>
      </c>
      <c r="G127" s="34">
        <v>37</v>
      </c>
      <c r="H127" s="34" t="s">
        <v>880</v>
      </c>
      <c r="I127" s="34" t="s">
        <v>2359</v>
      </c>
      <c r="J127" s="34" t="s">
        <v>232</v>
      </c>
      <c r="K127" s="34" t="s">
        <v>939</v>
      </c>
      <c r="L127" s="34" t="s">
        <v>30</v>
      </c>
      <c r="M127" s="34">
        <v>245808</v>
      </c>
      <c r="N127" s="34" t="s">
        <v>943</v>
      </c>
      <c r="O127" s="34" t="s">
        <v>37</v>
      </c>
      <c r="P127" s="34" t="s">
        <v>2360</v>
      </c>
      <c r="Q127" s="34">
        <v>9</v>
      </c>
      <c r="R127" s="34" t="s">
        <v>1760</v>
      </c>
      <c r="S127" s="34">
        <v>3</v>
      </c>
      <c r="T127" s="34">
        <v>14</v>
      </c>
      <c r="U127" s="34">
        <v>0</v>
      </c>
      <c r="V127" s="34">
        <v>1</v>
      </c>
      <c r="W127" s="34">
        <v>3</v>
      </c>
      <c r="X127" s="34">
        <v>0</v>
      </c>
      <c r="Y127" s="34">
        <v>16</v>
      </c>
      <c r="Z127" s="34">
        <v>0</v>
      </c>
      <c r="AA127" s="34">
        <v>0</v>
      </c>
      <c r="AB127" s="34">
        <v>0</v>
      </c>
      <c r="AC127" s="34">
        <v>0</v>
      </c>
      <c r="AD127" s="34">
        <v>0</v>
      </c>
      <c r="AE127" s="34">
        <v>0</v>
      </c>
      <c r="AF127" s="34">
        <v>0</v>
      </c>
      <c r="AG127" s="34">
        <v>0</v>
      </c>
      <c r="AH127" s="34">
        <v>0</v>
      </c>
      <c r="AI127" s="34">
        <v>0</v>
      </c>
      <c r="AJ127" s="34">
        <v>0</v>
      </c>
      <c r="AK127" s="202">
        <v>20</v>
      </c>
      <c r="AL127" s="34">
        <v>0</v>
      </c>
    </row>
    <row r="128" spans="1:38" ht="14.4" customHeight="1" x14ac:dyDescent="0.3">
      <c r="A128" s="203">
        <v>342054</v>
      </c>
      <c r="B128" s="34">
        <v>347074</v>
      </c>
      <c r="C128" s="34" t="s">
        <v>117</v>
      </c>
      <c r="D128" s="34" t="s">
        <v>2009</v>
      </c>
      <c r="E128" s="34" t="s">
        <v>1866</v>
      </c>
      <c r="F128" s="34" t="s">
        <v>106</v>
      </c>
      <c r="G128" s="34">
        <v>93</v>
      </c>
      <c r="H128" s="34" t="s">
        <v>880</v>
      </c>
      <c r="I128" s="34" t="s">
        <v>2325</v>
      </c>
      <c r="J128" s="34" t="s">
        <v>1391</v>
      </c>
      <c r="K128" s="34" t="s">
        <v>1869</v>
      </c>
      <c r="L128" s="34" t="s">
        <v>30</v>
      </c>
      <c r="M128" s="34">
        <v>347074</v>
      </c>
      <c r="N128" s="34" t="s">
        <v>943</v>
      </c>
      <c r="O128" s="34" t="s">
        <v>31</v>
      </c>
      <c r="P128" s="34" t="s">
        <v>32</v>
      </c>
      <c r="Q128" s="34">
        <v>5</v>
      </c>
      <c r="R128" s="34" t="s">
        <v>1761</v>
      </c>
      <c r="S128" s="34">
        <v>3</v>
      </c>
      <c r="T128" s="34">
        <v>27</v>
      </c>
      <c r="U128" s="34">
        <v>0</v>
      </c>
      <c r="V128" s="34">
        <v>0</v>
      </c>
      <c r="W128" s="34">
        <v>3</v>
      </c>
      <c r="X128" s="34">
        <v>16</v>
      </c>
      <c r="Y128" s="34">
        <v>27</v>
      </c>
      <c r="Z128" s="34">
        <v>0</v>
      </c>
      <c r="AA128" s="34">
        <v>0</v>
      </c>
      <c r="AB128" s="34">
        <v>0</v>
      </c>
      <c r="AC128" s="34">
        <v>0</v>
      </c>
      <c r="AD128" s="34">
        <v>0</v>
      </c>
      <c r="AE128" s="34">
        <v>0</v>
      </c>
      <c r="AF128" s="34">
        <v>0</v>
      </c>
      <c r="AG128" s="34">
        <v>0</v>
      </c>
      <c r="AH128" s="34">
        <v>0</v>
      </c>
      <c r="AI128" s="34">
        <v>0</v>
      </c>
      <c r="AJ128" s="34">
        <v>0</v>
      </c>
      <c r="AK128" s="202">
        <v>46</v>
      </c>
      <c r="AL128" s="34">
        <v>39</v>
      </c>
    </row>
    <row r="129" spans="1:38" ht="14.4" customHeight="1" x14ac:dyDescent="0.3">
      <c r="A129" s="203">
        <v>342018</v>
      </c>
      <c r="B129" s="34">
        <v>347074</v>
      </c>
      <c r="C129" s="34" t="s">
        <v>117</v>
      </c>
      <c r="D129" s="34" t="s">
        <v>557</v>
      </c>
      <c r="E129" s="34" t="s">
        <v>1012</v>
      </c>
      <c r="F129" s="34" t="s">
        <v>1845</v>
      </c>
      <c r="G129" s="34">
        <v>24</v>
      </c>
      <c r="H129" s="34" t="s">
        <v>879</v>
      </c>
      <c r="I129" s="34" t="s">
        <v>1453</v>
      </c>
      <c r="J129" s="34" t="s">
        <v>170</v>
      </c>
      <c r="K129" s="34" t="s">
        <v>38</v>
      </c>
      <c r="L129" s="34" t="s">
        <v>30</v>
      </c>
      <c r="M129" s="34">
        <v>347074</v>
      </c>
      <c r="N129" s="34" t="s">
        <v>943</v>
      </c>
      <c r="O129" s="34" t="s">
        <v>31</v>
      </c>
      <c r="P129" s="34" t="s">
        <v>32</v>
      </c>
      <c r="Q129" s="34">
        <v>0</v>
      </c>
      <c r="R129" s="34" t="s">
        <v>36</v>
      </c>
      <c r="S129" s="34">
        <v>0</v>
      </c>
      <c r="T129" s="34">
        <v>1</v>
      </c>
      <c r="U129" s="34">
        <v>0</v>
      </c>
      <c r="V129" s="34">
        <v>0</v>
      </c>
      <c r="W129" s="34">
        <v>0</v>
      </c>
      <c r="X129" s="34">
        <v>0</v>
      </c>
      <c r="Y129" s="34">
        <v>0</v>
      </c>
      <c r="Z129" s="34">
        <v>0</v>
      </c>
      <c r="AA129" s="34">
        <v>0</v>
      </c>
      <c r="AB129" s="34">
        <v>0</v>
      </c>
      <c r="AC129" s="34">
        <v>0</v>
      </c>
      <c r="AD129" s="34">
        <v>0</v>
      </c>
      <c r="AE129" s="34">
        <v>0</v>
      </c>
      <c r="AF129" s="34">
        <v>0</v>
      </c>
      <c r="AG129" s="34">
        <v>0</v>
      </c>
      <c r="AH129" s="34">
        <v>0</v>
      </c>
      <c r="AI129" s="34">
        <v>0</v>
      </c>
      <c r="AJ129" s="34">
        <v>0</v>
      </c>
      <c r="AK129" s="202">
        <v>0</v>
      </c>
      <c r="AL129" s="34">
        <v>0</v>
      </c>
    </row>
    <row r="130" spans="1:38" ht="14.4" customHeight="1" x14ac:dyDescent="0.3">
      <c r="A130" s="203">
        <v>341999</v>
      </c>
      <c r="B130" s="34">
        <v>347074</v>
      </c>
      <c r="C130" s="34" t="s">
        <v>117</v>
      </c>
      <c r="D130" s="34" t="s">
        <v>2370</v>
      </c>
      <c r="E130" s="34" t="s">
        <v>886</v>
      </c>
      <c r="F130" s="34" t="s">
        <v>28</v>
      </c>
      <c r="G130" s="34">
        <v>4</v>
      </c>
      <c r="H130" s="34" t="s">
        <v>879</v>
      </c>
      <c r="I130" s="34" t="s">
        <v>1564</v>
      </c>
      <c r="J130" s="34" t="s">
        <v>548</v>
      </c>
      <c r="K130" s="34" t="s">
        <v>38</v>
      </c>
      <c r="L130" s="34" t="s">
        <v>30</v>
      </c>
      <c r="M130" s="34">
        <v>347074</v>
      </c>
      <c r="N130" s="34" t="s">
        <v>945</v>
      </c>
      <c r="O130" s="34" t="s">
        <v>31</v>
      </c>
      <c r="P130" s="34" t="s">
        <v>32</v>
      </c>
      <c r="Q130" s="34">
        <v>0</v>
      </c>
      <c r="R130" s="34" t="s">
        <v>36</v>
      </c>
      <c r="S130" s="34">
        <v>0</v>
      </c>
      <c r="T130" s="34">
        <v>0</v>
      </c>
      <c r="U130" s="34">
        <v>0</v>
      </c>
      <c r="V130" s="34">
        <v>0</v>
      </c>
      <c r="W130" s="34">
        <v>0</v>
      </c>
      <c r="X130" s="34">
        <v>0</v>
      </c>
      <c r="Y130" s="34">
        <v>0</v>
      </c>
      <c r="Z130" s="34">
        <v>0</v>
      </c>
      <c r="AA130" s="34">
        <v>0</v>
      </c>
      <c r="AB130" s="34">
        <v>0</v>
      </c>
      <c r="AC130" s="34">
        <v>0</v>
      </c>
      <c r="AD130" s="34">
        <v>0</v>
      </c>
      <c r="AE130" s="34">
        <v>0</v>
      </c>
      <c r="AF130" s="34">
        <v>0</v>
      </c>
      <c r="AG130" s="34">
        <v>0</v>
      </c>
      <c r="AH130" s="34">
        <v>0</v>
      </c>
      <c r="AI130" s="34">
        <v>0</v>
      </c>
      <c r="AJ130" s="34">
        <v>0</v>
      </c>
      <c r="AK130" s="202">
        <v>0</v>
      </c>
      <c r="AL130" s="34">
        <v>4</v>
      </c>
    </row>
    <row r="131" spans="1:38" ht="14.4" customHeight="1" x14ac:dyDescent="0.3">
      <c r="A131" s="203">
        <v>340740</v>
      </c>
      <c r="B131" s="34">
        <v>245573</v>
      </c>
      <c r="C131" s="34" t="s">
        <v>1121</v>
      </c>
      <c r="D131" s="34" t="s">
        <v>1590</v>
      </c>
      <c r="E131" s="34" t="s">
        <v>868</v>
      </c>
      <c r="F131" s="34" t="s">
        <v>165</v>
      </c>
      <c r="G131" s="34">
        <v>573</v>
      </c>
      <c r="H131" s="34" t="s">
        <v>36</v>
      </c>
      <c r="I131" s="34" t="s">
        <v>36</v>
      </c>
      <c r="J131" s="34" t="s">
        <v>545</v>
      </c>
      <c r="K131" s="34" t="s">
        <v>36</v>
      </c>
      <c r="L131" s="34" t="s">
        <v>30</v>
      </c>
      <c r="M131" s="34">
        <v>340740</v>
      </c>
      <c r="N131" s="34" t="s">
        <v>15</v>
      </c>
      <c r="O131" s="34" t="s">
        <v>34</v>
      </c>
      <c r="P131" s="34" t="s">
        <v>55</v>
      </c>
      <c r="Q131" s="34" t="s">
        <v>36</v>
      </c>
      <c r="R131" s="34" t="s">
        <v>36</v>
      </c>
      <c r="S131" s="34">
        <v>0</v>
      </c>
      <c r="T131" s="34" t="s">
        <v>36</v>
      </c>
      <c r="U131" s="34" t="s">
        <v>36</v>
      </c>
      <c r="V131" s="34" t="s">
        <v>36</v>
      </c>
      <c r="W131" s="34" t="s">
        <v>36</v>
      </c>
      <c r="X131" s="34" t="s">
        <v>36</v>
      </c>
      <c r="Y131" s="34" t="s">
        <v>36</v>
      </c>
      <c r="Z131" s="34" t="s">
        <v>36</v>
      </c>
      <c r="AA131" s="34" t="s">
        <v>36</v>
      </c>
      <c r="AB131" s="34" t="s">
        <v>36</v>
      </c>
      <c r="AC131" s="34" t="s">
        <v>36</v>
      </c>
      <c r="AD131" s="34" t="s">
        <v>36</v>
      </c>
      <c r="AE131" s="34" t="s">
        <v>36</v>
      </c>
      <c r="AF131" s="34" t="s">
        <v>36</v>
      </c>
      <c r="AG131" s="34" t="s">
        <v>36</v>
      </c>
      <c r="AH131" s="34" t="s">
        <v>36</v>
      </c>
      <c r="AI131" s="34" t="s">
        <v>36</v>
      </c>
      <c r="AJ131" s="34" t="s">
        <v>36</v>
      </c>
      <c r="AK131" s="202" t="s">
        <v>36</v>
      </c>
      <c r="AL131" s="34" t="s">
        <v>36</v>
      </c>
    </row>
    <row r="132" spans="1:38" ht="14.4" customHeight="1" x14ac:dyDescent="0.3">
      <c r="A132" s="203">
        <v>332951</v>
      </c>
      <c r="B132" s="34">
        <v>216364</v>
      </c>
      <c r="C132" s="34" t="s">
        <v>117</v>
      </c>
      <c r="D132" s="34" t="s">
        <v>2249</v>
      </c>
      <c r="E132" s="34" t="s">
        <v>1321</v>
      </c>
      <c r="F132" s="34" t="s">
        <v>28</v>
      </c>
      <c r="G132" s="34">
        <v>45</v>
      </c>
      <c r="H132" s="34" t="s">
        <v>880</v>
      </c>
      <c r="I132" s="34" t="s">
        <v>2289</v>
      </c>
      <c r="J132" s="34" t="s">
        <v>1165</v>
      </c>
      <c r="K132" s="34" t="s">
        <v>939</v>
      </c>
      <c r="L132" s="34" t="s">
        <v>30</v>
      </c>
      <c r="M132" s="34">
        <v>216364</v>
      </c>
      <c r="N132" s="34" t="s">
        <v>554</v>
      </c>
      <c r="O132" s="34" t="s">
        <v>31</v>
      </c>
      <c r="P132" s="34" t="s">
        <v>53</v>
      </c>
      <c r="Q132" s="34">
        <v>0</v>
      </c>
      <c r="R132" s="34" t="s">
        <v>1761</v>
      </c>
      <c r="S132" s="34">
        <v>3</v>
      </c>
      <c r="T132" s="34">
        <v>0</v>
      </c>
      <c r="U132" s="34">
        <v>0</v>
      </c>
      <c r="V132" s="34">
        <v>0</v>
      </c>
      <c r="W132" s="34">
        <v>10</v>
      </c>
      <c r="X132" s="34">
        <v>8</v>
      </c>
      <c r="Y132" s="34">
        <v>0</v>
      </c>
      <c r="Z132" s="34">
        <v>0</v>
      </c>
      <c r="AA132" s="34">
        <v>0</v>
      </c>
      <c r="AB132" s="34">
        <v>0</v>
      </c>
      <c r="AC132" s="34">
        <v>0</v>
      </c>
      <c r="AD132" s="34">
        <v>0</v>
      </c>
      <c r="AE132" s="34">
        <v>0</v>
      </c>
      <c r="AF132" s="34">
        <v>0</v>
      </c>
      <c r="AG132" s="34">
        <v>0</v>
      </c>
      <c r="AH132" s="34">
        <v>27</v>
      </c>
      <c r="AI132" s="34">
        <v>0</v>
      </c>
      <c r="AJ132" s="34">
        <v>0</v>
      </c>
      <c r="AK132" s="202">
        <v>45</v>
      </c>
      <c r="AL132" s="34">
        <v>0</v>
      </c>
    </row>
    <row r="133" spans="1:38" ht="14.4" customHeight="1" x14ac:dyDescent="0.3">
      <c r="A133" s="203">
        <v>318430</v>
      </c>
      <c r="B133" s="34">
        <v>251622</v>
      </c>
      <c r="C133" s="34" t="s">
        <v>117</v>
      </c>
      <c r="D133" s="34" t="s">
        <v>139</v>
      </c>
      <c r="E133" s="34" t="s">
        <v>806</v>
      </c>
      <c r="F133" s="34" t="s">
        <v>1845</v>
      </c>
      <c r="G133" s="34">
        <v>309</v>
      </c>
      <c r="H133" s="34" t="s">
        <v>880</v>
      </c>
      <c r="I133" s="34" t="s">
        <v>1792</v>
      </c>
      <c r="J133" s="34" t="s">
        <v>138</v>
      </c>
      <c r="K133" s="34" t="s">
        <v>560</v>
      </c>
      <c r="L133" s="34" t="s">
        <v>30</v>
      </c>
      <c r="M133" s="34">
        <v>251622</v>
      </c>
      <c r="N133" s="34" t="s">
        <v>950</v>
      </c>
      <c r="O133" s="34" t="s">
        <v>37</v>
      </c>
      <c r="P133" s="34" t="s">
        <v>39</v>
      </c>
      <c r="Q133" s="34">
        <v>0</v>
      </c>
      <c r="R133" s="34" t="s">
        <v>1761</v>
      </c>
      <c r="S133" s="34">
        <v>0</v>
      </c>
      <c r="T133" s="34">
        <v>20</v>
      </c>
      <c r="U133" s="34">
        <v>0</v>
      </c>
      <c r="V133" s="34">
        <v>0</v>
      </c>
      <c r="W133" s="34">
        <v>0</v>
      </c>
      <c r="X133" s="34">
        <v>0</v>
      </c>
      <c r="Y133" s="34">
        <v>0</v>
      </c>
      <c r="Z133" s="34">
        <v>0</v>
      </c>
      <c r="AA133" s="34">
        <v>0</v>
      </c>
      <c r="AB133" s="34">
        <v>0</v>
      </c>
      <c r="AC133" s="34">
        <v>0</v>
      </c>
      <c r="AD133" s="34">
        <v>0</v>
      </c>
      <c r="AE133" s="34">
        <v>0</v>
      </c>
      <c r="AF133" s="34">
        <v>0</v>
      </c>
      <c r="AG133" s="34">
        <v>0</v>
      </c>
      <c r="AH133" s="34">
        <v>0</v>
      </c>
      <c r="AI133" s="34">
        <v>0</v>
      </c>
      <c r="AJ133" s="34">
        <v>0</v>
      </c>
      <c r="AK133" s="202">
        <v>0</v>
      </c>
      <c r="AL133" s="34">
        <v>0</v>
      </c>
    </row>
    <row r="134" spans="1:38" ht="14.4" customHeight="1" x14ac:dyDescent="0.3">
      <c r="A134" s="203">
        <v>318380</v>
      </c>
      <c r="B134" s="34">
        <v>251622</v>
      </c>
      <c r="C134" s="34" t="s">
        <v>117</v>
      </c>
      <c r="D134" s="34" t="s">
        <v>140</v>
      </c>
      <c r="E134" s="34" t="s">
        <v>1012</v>
      </c>
      <c r="F134" s="34" t="s">
        <v>1845</v>
      </c>
      <c r="G134" s="34">
        <v>134</v>
      </c>
      <c r="H134" s="34" t="s">
        <v>880</v>
      </c>
      <c r="I134" s="34" t="s">
        <v>1791</v>
      </c>
      <c r="J134" s="34" t="s">
        <v>362</v>
      </c>
      <c r="K134" s="34" t="s">
        <v>560</v>
      </c>
      <c r="L134" s="34" t="s">
        <v>30</v>
      </c>
      <c r="M134" s="34">
        <v>251622</v>
      </c>
      <c r="N134" s="34" t="s">
        <v>950</v>
      </c>
      <c r="O134" s="34" t="s">
        <v>37</v>
      </c>
      <c r="P134" s="34" t="s">
        <v>39</v>
      </c>
      <c r="Q134" s="34">
        <v>0</v>
      </c>
      <c r="R134" s="34" t="s">
        <v>1761</v>
      </c>
      <c r="S134" s="34">
        <v>0</v>
      </c>
      <c r="T134" s="34">
        <v>5</v>
      </c>
      <c r="U134" s="34">
        <v>0</v>
      </c>
      <c r="V134" s="34">
        <v>0</v>
      </c>
      <c r="W134" s="34">
        <v>0</v>
      </c>
      <c r="X134" s="34">
        <v>0</v>
      </c>
      <c r="Y134" s="34">
        <v>0</v>
      </c>
      <c r="Z134" s="34">
        <v>0</v>
      </c>
      <c r="AA134" s="34">
        <v>0</v>
      </c>
      <c r="AB134" s="34">
        <v>0</v>
      </c>
      <c r="AC134" s="34">
        <v>0</v>
      </c>
      <c r="AD134" s="34">
        <v>0</v>
      </c>
      <c r="AE134" s="34">
        <v>0</v>
      </c>
      <c r="AF134" s="34">
        <v>0</v>
      </c>
      <c r="AG134" s="34">
        <v>0</v>
      </c>
      <c r="AH134" s="34">
        <v>0</v>
      </c>
      <c r="AI134" s="34">
        <v>0</v>
      </c>
      <c r="AJ134" s="34">
        <v>0</v>
      </c>
      <c r="AK134" s="202">
        <v>0</v>
      </c>
      <c r="AL134" s="34">
        <v>0</v>
      </c>
    </row>
    <row r="135" spans="1:38" ht="14.4" customHeight="1" x14ac:dyDescent="0.3">
      <c r="A135" s="203">
        <v>315485</v>
      </c>
      <c r="B135" s="34">
        <v>1013220</v>
      </c>
      <c r="C135" s="34" t="s">
        <v>117</v>
      </c>
      <c r="D135" s="34" t="s">
        <v>2028</v>
      </c>
      <c r="E135" s="34" t="s">
        <v>1995</v>
      </c>
      <c r="F135" s="34" t="s">
        <v>28</v>
      </c>
      <c r="G135" s="34">
        <v>39</v>
      </c>
      <c r="H135" s="34" t="s">
        <v>880</v>
      </c>
      <c r="I135" s="34" t="s">
        <v>1999</v>
      </c>
      <c r="J135" s="34" t="s">
        <v>254</v>
      </c>
      <c r="K135" s="34" t="s">
        <v>36</v>
      </c>
      <c r="L135" s="34" t="s">
        <v>30</v>
      </c>
      <c r="M135" s="34">
        <v>1013220</v>
      </c>
      <c r="N135" s="34" t="s">
        <v>947</v>
      </c>
      <c r="O135" s="34" t="s">
        <v>555</v>
      </c>
      <c r="P135" s="34" t="s">
        <v>559</v>
      </c>
      <c r="Q135" s="34">
        <v>0</v>
      </c>
      <c r="R135" s="34" t="s">
        <v>36</v>
      </c>
      <c r="S135" s="34">
        <v>0</v>
      </c>
      <c r="T135" s="34">
        <v>0</v>
      </c>
      <c r="U135" s="34">
        <v>0</v>
      </c>
      <c r="V135" s="34">
        <v>0</v>
      </c>
      <c r="W135" s="34">
        <v>0</v>
      </c>
      <c r="X135" s="34">
        <v>0</v>
      </c>
      <c r="Y135" s="34">
        <v>0</v>
      </c>
      <c r="Z135" s="34">
        <v>0</v>
      </c>
      <c r="AA135" s="34">
        <v>0</v>
      </c>
      <c r="AB135" s="34">
        <v>0</v>
      </c>
      <c r="AC135" s="34">
        <v>0</v>
      </c>
      <c r="AD135" s="34">
        <v>0</v>
      </c>
      <c r="AE135" s="34">
        <v>0</v>
      </c>
      <c r="AF135" s="34">
        <v>0</v>
      </c>
      <c r="AG135" s="34">
        <v>0</v>
      </c>
      <c r="AH135" s="34">
        <v>0</v>
      </c>
      <c r="AI135" s="34">
        <v>0</v>
      </c>
      <c r="AJ135" s="34">
        <v>0</v>
      </c>
      <c r="AK135" s="202">
        <v>0</v>
      </c>
      <c r="AL135" s="34">
        <v>39</v>
      </c>
    </row>
    <row r="136" spans="1:38" ht="14.4" customHeight="1" x14ac:dyDescent="0.3">
      <c r="A136" s="203">
        <v>294363</v>
      </c>
      <c r="B136" s="34">
        <v>216351</v>
      </c>
      <c r="C136" s="34" t="s">
        <v>117</v>
      </c>
      <c r="D136" s="34" t="s">
        <v>846</v>
      </c>
      <c r="E136" s="34" t="s">
        <v>36</v>
      </c>
      <c r="F136" s="34" t="s">
        <v>28</v>
      </c>
      <c r="G136" s="34">
        <v>34</v>
      </c>
      <c r="H136" s="34" t="s">
        <v>880</v>
      </c>
      <c r="I136" s="34" t="s">
        <v>1455</v>
      </c>
      <c r="J136" s="34" t="s">
        <v>1008</v>
      </c>
      <c r="K136" s="34" t="s">
        <v>36</v>
      </c>
      <c r="L136" s="34" t="s">
        <v>30</v>
      </c>
      <c r="M136" s="34">
        <v>216351</v>
      </c>
      <c r="N136" s="34" t="s">
        <v>947</v>
      </c>
      <c r="O136" s="34" t="s">
        <v>31</v>
      </c>
      <c r="P136" s="34" t="s">
        <v>53</v>
      </c>
      <c r="Q136" s="34">
        <v>0</v>
      </c>
      <c r="R136" s="34" t="s">
        <v>36</v>
      </c>
      <c r="S136" s="34">
        <v>0</v>
      </c>
      <c r="T136" s="34">
        <v>0</v>
      </c>
      <c r="U136" s="34" t="s">
        <v>36</v>
      </c>
      <c r="V136" s="34" t="s">
        <v>36</v>
      </c>
      <c r="W136" s="34" t="s">
        <v>36</v>
      </c>
      <c r="X136" s="34" t="s">
        <v>36</v>
      </c>
      <c r="Y136" s="34" t="s">
        <v>36</v>
      </c>
      <c r="Z136" s="34" t="s">
        <v>36</v>
      </c>
      <c r="AA136" s="34" t="s">
        <v>36</v>
      </c>
      <c r="AB136" s="34" t="s">
        <v>36</v>
      </c>
      <c r="AC136" s="34" t="s">
        <v>36</v>
      </c>
      <c r="AD136" s="34" t="s">
        <v>36</v>
      </c>
      <c r="AE136" s="34" t="s">
        <v>36</v>
      </c>
      <c r="AF136" s="34" t="s">
        <v>36</v>
      </c>
      <c r="AG136" s="34" t="s">
        <v>36</v>
      </c>
      <c r="AH136" s="34" t="s">
        <v>36</v>
      </c>
      <c r="AI136" s="34">
        <v>0</v>
      </c>
      <c r="AJ136" s="34">
        <v>0</v>
      </c>
      <c r="AK136" s="202">
        <v>0</v>
      </c>
      <c r="AL136" s="34">
        <v>0</v>
      </c>
    </row>
    <row r="137" spans="1:38" ht="14.4" customHeight="1" x14ac:dyDescent="0.3">
      <c r="A137" s="203">
        <v>293238</v>
      </c>
      <c r="B137" s="34">
        <v>216351</v>
      </c>
      <c r="C137" s="34" t="s">
        <v>117</v>
      </c>
      <c r="D137" s="34" t="s">
        <v>845</v>
      </c>
      <c r="E137" s="34" t="s">
        <v>167</v>
      </c>
      <c r="F137" s="34" t="s">
        <v>28</v>
      </c>
      <c r="G137" s="34">
        <v>83</v>
      </c>
      <c r="H137" s="34" t="s">
        <v>880</v>
      </c>
      <c r="I137" s="34" t="s">
        <v>1456</v>
      </c>
      <c r="J137" s="34" t="s">
        <v>1008</v>
      </c>
      <c r="K137" s="34" t="s">
        <v>36</v>
      </c>
      <c r="L137" s="34" t="s">
        <v>30</v>
      </c>
      <c r="M137" s="34">
        <v>216351</v>
      </c>
      <c r="N137" s="34" t="s">
        <v>947</v>
      </c>
      <c r="O137" s="34" t="s">
        <v>31</v>
      </c>
      <c r="P137" s="34" t="s">
        <v>53</v>
      </c>
      <c r="Q137" s="34">
        <v>0</v>
      </c>
      <c r="R137" s="34" t="s">
        <v>36</v>
      </c>
      <c r="S137" s="34">
        <v>0</v>
      </c>
      <c r="T137" s="34">
        <v>0</v>
      </c>
      <c r="U137" s="34" t="s">
        <v>36</v>
      </c>
      <c r="V137" s="34" t="s">
        <v>36</v>
      </c>
      <c r="W137" s="34" t="s">
        <v>36</v>
      </c>
      <c r="X137" s="34" t="s">
        <v>36</v>
      </c>
      <c r="Y137" s="34" t="s">
        <v>36</v>
      </c>
      <c r="Z137" s="34" t="s">
        <v>36</v>
      </c>
      <c r="AA137" s="34" t="s">
        <v>36</v>
      </c>
      <c r="AB137" s="34" t="s">
        <v>36</v>
      </c>
      <c r="AC137" s="34" t="s">
        <v>36</v>
      </c>
      <c r="AD137" s="34" t="s">
        <v>36</v>
      </c>
      <c r="AE137" s="34" t="s">
        <v>36</v>
      </c>
      <c r="AF137" s="34" t="s">
        <v>36</v>
      </c>
      <c r="AG137" s="34" t="s">
        <v>36</v>
      </c>
      <c r="AH137" s="34" t="s">
        <v>36</v>
      </c>
      <c r="AI137" s="34">
        <v>0</v>
      </c>
      <c r="AJ137" s="34">
        <v>0</v>
      </c>
      <c r="AK137" s="202">
        <v>0</v>
      </c>
      <c r="AL137" s="34">
        <v>0</v>
      </c>
    </row>
    <row r="138" spans="1:38" ht="14.4" customHeight="1" x14ac:dyDescent="0.3">
      <c r="A138" s="203">
        <v>288731</v>
      </c>
      <c r="B138" s="34">
        <v>216364</v>
      </c>
      <c r="C138" s="34" t="s">
        <v>117</v>
      </c>
      <c r="D138" s="34" t="s">
        <v>1784</v>
      </c>
      <c r="E138" s="34" t="s">
        <v>36</v>
      </c>
      <c r="F138" s="34" t="s">
        <v>132</v>
      </c>
      <c r="G138" s="34">
        <v>0</v>
      </c>
      <c r="H138" s="34" t="s">
        <v>41</v>
      </c>
      <c r="I138" s="34" t="s">
        <v>36</v>
      </c>
      <c r="J138" s="34" t="s">
        <v>545</v>
      </c>
      <c r="K138" s="34" t="s">
        <v>36</v>
      </c>
      <c r="L138" s="34" t="s">
        <v>41</v>
      </c>
      <c r="M138" s="34">
        <v>216364</v>
      </c>
      <c r="N138" s="34" t="s">
        <v>15</v>
      </c>
      <c r="O138" s="34" t="s">
        <v>31</v>
      </c>
      <c r="P138" s="34" t="s">
        <v>53</v>
      </c>
      <c r="Q138" s="34">
        <v>0</v>
      </c>
      <c r="R138" s="34" t="s">
        <v>36</v>
      </c>
      <c r="S138" s="34">
        <v>0</v>
      </c>
      <c r="T138" s="34">
        <v>0</v>
      </c>
      <c r="U138" s="34" t="s">
        <v>36</v>
      </c>
      <c r="V138" s="34" t="s">
        <v>36</v>
      </c>
      <c r="W138" s="34" t="s">
        <v>36</v>
      </c>
      <c r="X138" s="34" t="s">
        <v>36</v>
      </c>
      <c r="Y138" s="34" t="s">
        <v>36</v>
      </c>
      <c r="Z138" s="34" t="s">
        <v>36</v>
      </c>
      <c r="AA138" s="34" t="s">
        <v>36</v>
      </c>
      <c r="AB138" s="34" t="s">
        <v>36</v>
      </c>
      <c r="AC138" s="34" t="s">
        <v>36</v>
      </c>
      <c r="AD138" s="34" t="s">
        <v>36</v>
      </c>
      <c r="AE138" s="34" t="s">
        <v>36</v>
      </c>
      <c r="AF138" s="34" t="s">
        <v>36</v>
      </c>
      <c r="AG138" s="34" t="s">
        <v>36</v>
      </c>
      <c r="AH138" s="34" t="s">
        <v>36</v>
      </c>
      <c r="AI138" s="34">
        <v>0</v>
      </c>
      <c r="AJ138" s="34">
        <v>0</v>
      </c>
      <c r="AK138" s="202">
        <v>0</v>
      </c>
      <c r="AL138" s="34">
        <v>0</v>
      </c>
    </row>
    <row r="139" spans="1:38" ht="14.4" customHeight="1" x14ac:dyDescent="0.3">
      <c r="A139" s="203">
        <v>283611</v>
      </c>
      <c r="B139" s="34">
        <v>388154</v>
      </c>
      <c r="C139" s="34" t="s">
        <v>117</v>
      </c>
      <c r="D139" s="34" t="s">
        <v>1989</v>
      </c>
      <c r="E139" s="34" t="s">
        <v>1995</v>
      </c>
      <c r="F139" s="34" t="s">
        <v>650</v>
      </c>
      <c r="G139" s="34">
        <v>80</v>
      </c>
      <c r="H139" s="34" t="s">
        <v>104</v>
      </c>
      <c r="I139" s="34" t="s">
        <v>36</v>
      </c>
      <c r="J139" s="34" t="s">
        <v>105</v>
      </c>
      <c r="K139" s="34" t="s">
        <v>36</v>
      </c>
      <c r="L139" s="34" t="s">
        <v>30</v>
      </c>
      <c r="M139" s="34">
        <v>388154</v>
      </c>
      <c r="N139" s="34" t="s">
        <v>15</v>
      </c>
      <c r="O139" s="34" t="s">
        <v>37</v>
      </c>
      <c r="P139" s="34" t="s">
        <v>39</v>
      </c>
      <c r="Q139" s="34">
        <v>0</v>
      </c>
      <c r="R139" s="34" t="s">
        <v>36</v>
      </c>
      <c r="S139" s="34">
        <v>0</v>
      </c>
      <c r="T139" s="34">
        <v>0</v>
      </c>
      <c r="U139" s="34">
        <v>0</v>
      </c>
      <c r="V139" s="34">
        <v>0</v>
      </c>
      <c r="W139" s="34">
        <v>0</v>
      </c>
      <c r="X139" s="34">
        <v>0</v>
      </c>
      <c r="Y139" s="34">
        <v>0</v>
      </c>
      <c r="Z139" s="34">
        <v>0</v>
      </c>
      <c r="AA139" s="34">
        <v>0</v>
      </c>
      <c r="AB139" s="34">
        <v>0</v>
      </c>
      <c r="AC139" s="34">
        <v>0</v>
      </c>
      <c r="AD139" s="34">
        <v>0</v>
      </c>
      <c r="AE139" s="34">
        <v>0</v>
      </c>
      <c r="AF139" s="34">
        <v>0</v>
      </c>
      <c r="AG139" s="34">
        <v>0</v>
      </c>
      <c r="AH139" s="34">
        <v>0</v>
      </c>
      <c r="AI139" s="34">
        <v>0</v>
      </c>
      <c r="AJ139" s="34">
        <v>0</v>
      </c>
      <c r="AK139" s="202">
        <v>0</v>
      </c>
      <c r="AL139" s="34">
        <v>0</v>
      </c>
    </row>
    <row r="140" spans="1:38" ht="14.4" customHeight="1" x14ac:dyDescent="0.3">
      <c r="A140" s="203">
        <v>283333</v>
      </c>
      <c r="B140" s="34">
        <v>216351</v>
      </c>
      <c r="C140" s="34" t="s">
        <v>117</v>
      </c>
      <c r="D140" s="34" t="s">
        <v>844</v>
      </c>
      <c r="E140" s="34" t="s">
        <v>167</v>
      </c>
      <c r="F140" s="34" t="s">
        <v>28</v>
      </c>
      <c r="G140" s="34">
        <v>19</v>
      </c>
      <c r="H140" s="34" t="s">
        <v>41</v>
      </c>
      <c r="I140" s="34" t="s">
        <v>1457</v>
      </c>
      <c r="J140" s="34" t="s">
        <v>848</v>
      </c>
      <c r="K140" s="34" t="s">
        <v>38</v>
      </c>
      <c r="L140" s="34" t="s">
        <v>41</v>
      </c>
      <c r="M140" s="34">
        <v>216351</v>
      </c>
      <c r="N140" s="34" t="s">
        <v>947</v>
      </c>
      <c r="O140" s="34" t="s">
        <v>31</v>
      </c>
      <c r="P140" s="34" t="s">
        <v>53</v>
      </c>
      <c r="Q140" s="34">
        <v>0</v>
      </c>
      <c r="R140" s="34" t="s">
        <v>36</v>
      </c>
      <c r="S140" s="34">
        <v>0</v>
      </c>
      <c r="T140" s="34">
        <v>0</v>
      </c>
      <c r="U140" s="34" t="s">
        <v>36</v>
      </c>
      <c r="V140" s="34" t="s">
        <v>36</v>
      </c>
      <c r="W140" s="34" t="s">
        <v>36</v>
      </c>
      <c r="X140" s="34" t="s">
        <v>36</v>
      </c>
      <c r="Y140" s="34" t="s">
        <v>36</v>
      </c>
      <c r="Z140" s="34" t="s">
        <v>36</v>
      </c>
      <c r="AA140" s="34" t="s">
        <v>36</v>
      </c>
      <c r="AB140" s="34" t="s">
        <v>36</v>
      </c>
      <c r="AC140" s="34" t="s">
        <v>36</v>
      </c>
      <c r="AD140" s="34" t="s">
        <v>36</v>
      </c>
      <c r="AE140" s="34" t="s">
        <v>36</v>
      </c>
      <c r="AF140" s="34" t="s">
        <v>36</v>
      </c>
      <c r="AG140" s="34" t="s">
        <v>36</v>
      </c>
      <c r="AH140" s="34" t="s">
        <v>36</v>
      </c>
      <c r="AI140" s="34">
        <v>0</v>
      </c>
      <c r="AJ140" s="34">
        <v>0</v>
      </c>
      <c r="AK140" s="202">
        <v>0</v>
      </c>
      <c r="AL140" s="34">
        <v>0</v>
      </c>
    </row>
    <row r="141" spans="1:38" ht="14.4" customHeight="1" x14ac:dyDescent="0.3">
      <c r="A141" s="203">
        <v>282088</v>
      </c>
      <c r="B141" s="34">
        <v>216364</v>
      </c>
      <c r="C141" s="34" t="s">
        <v>117</v>
      </c>
      <c r="D141" s="34" t="s">
        <v>1783</v>
      </c>
      <c r="E141" s="34" t="s">
        <v>36</v>
      </c>
      <c r="F141" s="34" t="s">
        <v>132</v>
      </c>
      <c r="G141" s="34">
        <v>8</v>
      </c>
      <c r="H141" s="34" t="s">
        <v>104</v>
      </c>
      <c r="I141" s="34" t="s">
        <v>36</v>
      </c>
      <c r="J141" s="34" t="s">
        <v>104</v>
      </c>
      <c r="K141" s="34" t="s">
        <v>36</v>
      </c>
      <c r="L141" s="34" t="s">
        <v>30</v>
      </c>
      <c r="M141" s="34">
        <v>216364</v>
      </c>
      <c r="N141" s="34" t="s">
        <v>15</v>
      </c>
      <c r="O141" s="34" t="s">
        <v>31</v>
      </c>
      <c r="P141" s="34" t="s">
        <v>53</v>
      </c>
      <c r="Q141" s="34">
        <v>0</v>
      </c>
      <c r="R141" s="34" t="s">
        <v>36</v>
      </c>
      <c r="S141" s="34">
        <v>0</v>
      </c>
      <c r="T141" s="34">
        <v>0</v>
      </c>
      <c r="U141" s="34" t="s">
        <v>36</v>
      </c>
      <c r="V141" s="34" t="s">
        <v>36</v>
      </c>
      <c r="W141" s="34" t="s">
        <v>36</v>
      </c>
      <c r="X141" s="34" t="s">
        <v>36</v>
      </c>
      <c r="Y141" s="34" t="s">
        <v>36</v>
      </c>
      <c r="Z141" s="34" t="s">
        <v>36</v>
      </c>
      <c r="AA141" s="34" t="s">
        <v>36</v>
      </c>
      <c r="AB141" s="34" t="s">
        <v>36</v>
      </c>
      <c r="AC141" s="34" t="s">
        <v>36</v>
      </c>
      <c r="AD141" s="34" t="s">
        <v>36</v>
      </c>
      <c r="AE141" s="34" t="s">
        <v>36</v>
      </c>
      <c r="AF141" s="34" t="s">
        <v>36</v>
      </c>
      <c r="AG141" s="34" t="s">
        <v>36</v>
      </c>
      <c r="AH141" s="34" t="s">
        <v>36</v>
      </c>
      <c r="AI141" s="34">
        <v>0</v>
      </c>
      <c r="AJ141" s="34">
        <v>0</v>
      </c>
      <c r="AK141" s="202">
        <v>0</v>
      </c>
      <c r="AL141" s="34">
        <v>0</v>
      </c>
    </row>
    <row r="142" spans="1:38" ht="14.4" customHeight="1" x14ac:dyDescent="0.3">
      <c r="A142" s="203">
        <v>280549</v>
      </c>
      <c r="B142" s="34">
        <v>216364</v>
      </c>
      <c r="C142" s="34" t="s">
        <v>117</v>
      </c>
      <c r="D142" s="34" t="s">
        <v>1745</v>
      </c>
      <c r="E142" s="34" t="s">
        <v>886</v>
      </c>
      <c r="F142" s="34" t="s">
        <v>28</v>
      </c>
      <c r="G142" s="34">
        <v>52</v>
      </c>
      <c r="H142" s="34" t="s">
        <v>879</v>
      </c>
      <c r="I142" s="34" t="s">
        <v>1757</v>
      </c>
      <c r="J142" s="34" t="s">
        <v>1008</v>
      </c>
      <c r="K142" s="34" t="s">
        <v>38</v>
      </c>
      <c r="L142" s="34" t="s">
        <v>30</v>
      </c>
      <c r="M142" s="34">
        <v>216364</v>
      </c>
      <c r="N142" s="34" t="s">
        <v>943</v>
      </c>
      <c r="O142" s="34" t="s">
        <v>31</v>
      </c>
      <c r="P142" s="34" t="s">
        <v>53</v>
      </c>
      <c r="Q142" s="34">
        <v>0</v>
      </c>
      <c r="R142" s="34" t="s">
        <v>36</v>
      </c>
      <c r="S142" s="34">
        <v>0</v>
      </c>
      <c r="T142" s="34">
        <v>0</v>
      </c>
      <c r="U142" s="34">
        <v>0</v>
      </c>
      <c r="V142" s="34">
        <v>0</v>
      </c>
      <c r="W142" s="34">
        <v>0</v>
      </c>
      <c r="X142" s="34">
        <v>0</v>
      </c>
      <c r="Y142" s="34">
        <v>0</v>
      </c>
      <c r="Z142" s="34">
        <v>0</v>
      </c>
      <c r="AA142" s="34">
        <v>0</v>
      </c>
      <c r="AB142" s="34">
        <v>0</v>
      </c>
      <c r="AC142" s="34">
        <v>0</v>
      </c>
      <c r="AD142" s="34">
        <v>0</v>
      </c>
      <c r="AE142" s="34">
        <v>0</v>
      </c>
      <c r="AF142" s="34">
        <v>0</v>
      </c>
      <c r="AG142" s="34">
        <v>0</v>
      </c>
      <c r="AH142" s="34">
        <v>0</v>
      </c>
      <c r="AI142" s="34">
        <v>0</v>
      </c>
      <c r="AJ142" s="34">
        <v>0</v>
      </c>
      <c r="AK142" s="202">
        <v>0</v>
      </c>
      <c r="AL142" s="34">
        <v>0</v>
      </c>
    </row>
    <row r="143" spans="1:38" ht="14.4" customHeight="1" x14ac:dyDescent="0.3">
      <c r="A143" s="203">
        <v>279953</v>
      </c>
      <c r="B143" s="34">
        <v>385206</v>
      </c>
      <c r="C143" s="34" t="s">
        <v>117</v>
      </c>
      <c r="D143" s="34" t="s">
        <v>2188</v>
      </c>
      <c r="E143" s="34" t="s">
        <v>1995</v>
      </c>
      <c r="F143" s="34" t="s">
        <v>28</v>
      </c>
      <c r="G143" s="34">
        <v>11</v>
      </c>
      <c r="H143" s="34" t="s">
        <v>41</v>
      </c>
      <c r="I143" s="34" t="s">
        <v>2192</v>
      </c>
      <c r="J143" s="34" t="s">
        <v>171</v>
      </c>
      <c r="K143" s="34" t="s">
        <v>38</v>
      </c>
      <c r="L143" s="34" t="s">
        <v>41</v>
      </c>
      <c r="M143" s="34">
        <v>388154</v>
      </c>
      <c r="N143" s="34" t="s">
        <v>947</v>
      </c>
      <c r="O143" s="34" t="s">
        <v>37</v>
      </c>
      <c r="P143" s="34" t="s">
        <v>39</v>
      </c>
      <c r="Q143" s="34">
        <v>0</v>
      </c>
      <c r="R143" s="34" t="s">
        <v>36</v>
      </c>
      <c r="S143" s="34">
        <v>0</v>
      </c>
      <c r="T143" s="34">
        <v>0</v>
      </c>
      <c r="U143" s="34">
        <v>0</v>
      </c>
      <c r="V143" s="34">
        <v>0</v>
      </c>
      <c r="W143" s="34">
        <v>0</v>
      </c>
      <c r="X143" s="34">
        <v>0</v>
      </c>
      <c r="Y143" s="34">
        <v>0</v>
      </c>
      <c r="Z143" s="34">
        <v>0</v>
      </c>
      <c r="AA143" s="34">
        <v>0</v>
      </c>
      <c r="AB143" s="34">
        <v>0</v>
      </c>
      <c r="AC143" s="34">
        <v>0</v>
      </c>
      <c r="AD143" s="34">
        <v>0</v>
      </c>
      <c r="AE143" s="34">
        <v>0</v>
      </c>
      <c r="AF143" s="34">
        <v>0</v>
      </c>
      <c r="AG143" s="34">
        <v>0</v>
      </c>
      <c r="AH143" s="34">
        <v>0</v>
      </c>
      <c r="AI143" s="34">
        <v>0</v>
      </c>
      <c r="AJ143" s="34">
        <v>0</v>
      </c>
      <c r="AK143" s="202">
        <v>0</v>
      </c>
      <c r="AL143" s="34">
        <v>11</v>
      </c>
    </row>
    <row r="144" spans="1:38" ht="14.4" customHeight="1" x14ac:dyDescent="0.3">
      <c r="A144" s="203">
        <v>278830</v>
      </c>
      <c r="B144" s="34">
        <v>246787</v>
      </c>
      <c r="C144" s="34" t="s">
        <v>1121</v>
      </c>
      <c r="D144" s="34" t="s">
        <v>2108</v>
      </c>
      <c r="E144" s="34" t="s">
        <v>36</v>
      </c>
      <c r="F144" s="34" t="s">
        <v>2110</v>
      </c>
      <c r="G144" s="34">
        <v>123</v>
      </c>
      <c r="H144" s="34" t="s">
        <v>36</v>
      </c>
      <c r="I144" s="34" t="s">
        <v>36</v>
      </c>
      <c r="J144" s="34" t="s">
        <v>2113</v>
      </c>
      <c r="K144" s="34" t="s">
        <v>36</v>
      </c>
      <c r="L144" s="34" t="s">
        <v>30</v>
      </c>
      <c r="M144" s="34">
        <v>278830</v>
      </c>
      <c r="N144" s="34" t="s">
        <v>15</v>
      </c>
      <c r="O144" s="34" t="s">
        <v>42</v>
      </c>
      <c r="P144" s="34" t="s">
        <v>36</v>
      </c>
      <c r="Q144" s="34" t="s">
        <v>36</v>
      </c>
      <c r="R144" s="34" t="s">
        <v>36</v>
      </c>
      <c r="S144" s="34">
        <v>0</v>
      </c>
      <c r="T144" s="34" t="s">
        <v>36</v>
      </c>
      <c r="U144" s="34" t="s">
        <v>36</v>
      </c>
      <c r="V144" s="34" t="s">
        <v>36</v>
      </c>
      <c r="W144" s="34" t="s">
        <v>36</v>
      </c>
      <c r="X144" s="34" t="s">
        <v>36</v>
      </c>
      <c r="Y144" s="34" t="s">
        <v>36</v>
      </c>
      <c r="Z144" s="34" t="s">
        <v>36</v>
      </c>
      <c r="AA144" s="34" t="s">
        <v>36</v>
      </c>
      <c r="AB144" s="34" t="s">
        <v>36</v>
      </c>
      <c r="AC144" s="34" t="s">
        <v>36</v>
      </c>
      <c r="AD144" s="34" t="s">
        <v>36</v>
      </c>
      <c r="AE144" s="34" t="s">
        <v>36</v>
      </c>
      <c r="AF144" s="34" t="s">
        <v>36</v>
      </c>
      <c r="AG144" s="34" t="s">
        <v>36</v>
      </c>
      <c r="AH144" s="34" t="s">
        <v>36</v>
      </c>
      <c r="AI144" s="34" t="s">
        <v>36</v>
      </c>
      <c r="AJ144" s="34" t="s">
        <v>36</v>
      </c>
      <c r="AK144" s="202" t="s">
        <v>36</v>
      </c>
      <c r="AL144" s="34" t="s">
        <v>36</v>
      </c>
    </row>
    <row r="145" spans="1:38" ht="14.4" customHeight="1" x14ac:dyDescent="0.3">
      <c r="A145" s="203">
        <v>278392</v>
      </c>
      <c r="B145" s="34">
        <v>216351</v>
      </c>
      <c r="C145" s="34" t="s">
        <v>117</v>
      </c>
      <c r="D145" s="34" t="s">
        <v>843</v>
      </c>
      <c r="E145" s="34" t="s">
        <v>167</v>
      </c>
      <c r="F145" s="34" t="s">
        <v>132</v>
      </c>
      <c r="G145" s="34">
        <v>30</v>
      </c>
      <c r="H145" s="34" t="s">
        <v>41</v>
      </c>
      <c r="I145" s="34" t="s">
        <v>36</v>
      </c>
      <c r="J145" s="34" t="s">
        <v>545</v>
      </c>
      <c r="K145" s="34" t="s">
        <v>36</v>
      </c>
      <c r="L145" s="34" t="s">
        <v>41</v>
      </c>
      <c r="M145" s="34">
        <v>216351</v>
      </c>
      <c r="N145" s="34" t="s">
        <v>15</v>
      </c>
      <c r="O145" s="34" t="s">
        <v>31</v>
      </c>
      <c r="P145" s="34" t="s">
        <v>53</v>
      </c>
      <c r="Q145" s="34">
        <v>0</v>
      </c>
      <c r="R145" s="34" t="s">
        <v>36</v>
      </c>
      <c r="S145" s="34">
        <v>0</v>
      </c>
      <c r="T145" s="34">
        <v>0</v>
      </c>
      <c r="U145" s="34" t="s">
        <v>36</v>
      </c>
      <c r="V145" s="34" t="s">
        <v>36</v>
      </c>
      <c r="W145" s="34" t="s">
        <v>36</v>
      </c>
      <c r="X145" s="34" t="s">
        <v>36</v>
      </c>
      <c r="Y145" s="34" t="s">
        <v>36</v>
      </c>
      <c r="Z145" s="34" t="s">
        <v>36</v>
      </c>
      <c r="AA145" s="34" t="s">
        <v>36</v>
      </c>
      <c r="AB145" s="34" t="s">
        <v>36</v>
      </c>
      <c r="AC145" s="34" t="s">
        <v>36</v>
      </c>
      <c r="AD145" s="34" t="s">
        <v>36</v>
      </c>
      <c r="AE145" s="34" t="s">
        <v>36</v>
      </c>
      <c r="AF145" s="34" t="s">
        <v>36</v>
      </c>
      <c r="AG145" s="34" t="s">
        <v>36</v>
      </c>
      <c r="AH145" s="34" t="s">
        <v>36</v>
      </c>
      <c r="AI145" s="34">
        <v>0</v>
      </c>
      <c r="AJ145" s="34">
        <v>0</v>
      </c>
      <c r="AK145" s="202">
        <v>0</v>
      </c>
      <c r="AL145" s="34">
        <v>0</v>
      </c>
    </row>
    <row r="146" spans="1:38" ht="14.4" customHeight="1" x14ac:dyDescent="0.3">
      <c r="A146" s="203">
        <v>272509</v>
      </c>
      <c r="B146" s="34">
        <v>388154</v>
      </c>
      <c r="C146" s="34" t="s">
        <v>117</v>
      </c>
      <c r="D146" s="34" t="s">
        <v>1990</v>
      </c>
      <c r="E146" s="34" t="s">
        <v>1994</v>
      </c>
      <c r="F146" s="34" t="s">
        <v>28</v>
      </c>
      <c r="G146" s="34">
        <v>8</v>
      </c>
      <c r="H146" s="34" t="s">
        <v>41</v>
      </c>
      <c r="I146" s="34" t="s">
        <v>2000</v>
      </c>
      <c r="J146" s="34" t="s">
        <v>171</v>
      </c>
      <c r="K146" s="34" t="s">
        <v>36</v>
      </c>
      <c r="L146" s="34" t="s">
        <v>41</v>
      </c>
      <c r="M146" s="34">
        <v>388154</v>
      </c>
      <c r="N146" s="34" t="s">
        <v>15</v>
      </c>
      <c r="O146" s="34" t="s">
        <v>37</v>
      </c>
      <c r="P146" s="34" t="s">
        <v>39</v>
      </c>
      <c r="Q146" s="34">
        <v>0</v>
      </c>
      <c r="R146" s="34" t="s">
        <v>36</v>
      </c>
      <c r="S146" s="34">
        <v>0</v>
      </c>
      <c r="T146" s="34">
        <v>0</v>
      </c>
      <c r="U146" s="34">
        <v>0</v>
      </c>
      <c r="V146" s="34">
        <v>0</v>
      </c>
      <c r="W146" s="34">
        <v>0</v>
      </c>
      <c r="X146" s="34">
        <v>0</v>
      </c>
      <c r="Y146" s="34">
        <v>0</v>
      </c>
      <c r="Z146" s="34">
        <v>0</v>
      </c>
      <c r="AA146" s="34">
        <v>0</v>
      </c>
      <c r="AB146" s="34">
        <v>0</v>
      </c>
      <c r="AC146" s="34">
        <v>0</v>
      </c>
      <c r="AD146" s="34">
        <v>0</v>
      </c>
      <c r="AE146" s="34">
        <v>0</v>
      </c>
      <c r="AF146" s="34">
        <v>0</v>
      </c>
      <c r="AG146" s="34">
        <v>0</v>
      </c>
      <c r="AH146" s="34">
        <v>0</v>
      </c>
      <c r="AI146" s="34">
        <v>0</v>
      </c>
      <c r="AJ146" s="34">
        <v>0</v>
      </c>
      <c r="AK146" s="202">
        <v>0</v>
      </c>
      <c r="AL146" s="34">
        <v>3</v>
      </c>
    </row>
    <row r="147" spans="1:38" ht="14.4" customHeight="1" x14ac:dyDescent="0.3">
      <c r="A147" s="203">
        <v>272399</v>
      </c>
      <c r="B147" s="34">
        <v>388154</v>
      </c>
      <c r="C147" s="34" t="s">
        <v>117</v>
      </c>
      <c r="D147" s="34" t="s">
        <v>1991</v>
      </c>
      <c r="E147" s="34" t="s">
        <v>1994</v>
      </c>
      <c r="F147" s="34" t="s">
        <v>28</v>
      </c>
      <c r="G147" s="34">
        <v>96</v>
      </c>
      <c r="H147" s="34" t="s">
        <v>880</v>
      </c>
      <c r="I147" s="34" t="s">
        <v>2001</v>
      </c>
      <c r="J147" s="34" t="s">
        <v>104</v>
      </c>
      <c r="K147" s="34" t="s">
        <v>36</v>
      </c>
      <c r="L147" s="34" t="s">
        <v>30</v>
      </c>
      <c r="M147" s="34">
        <v>388154</v>
      </c>
      <c r="N147" s="34" t="s">
        <v>947</v>
      </c>
      <c r="O147" s="34" t="s">
        <v>37</v>
      </c>
      <c r="P147" s="34" t="s">
        <v>39</v>
      </c>
      <c r="Q147" s="34">
        <v>0</v>
      </c>
      <c r="R147" s="34" t="s">
        <v>36</v>
      </c>
      <c r="S147" s="34">
        <v>0</v>
      </c>
      <c r="T147" s="34">
        <v>0</v>
      </c>
      <c r="U147" s="34">
        <v>0</v>
      </c>
      <c r="V147" s="34">
        <v>0</v>
      </c>
      <c r="W147" s="34">
        <v>0</v>
      </c>
      <c r="X147" s="34">
        <v>0</v>
      </c>
      <c r="Y147" s="34">
        <v>0</v>
      </c>
      <c r="Z147" s="34">
        <v>0</v>
      </c>
      <c r="AA147" s="34">
        <v>0</v>
      </c>
      <c r="AB147" s="34">
        <v>0</v>
      </c>
      <c r="AC147" s="34">
        <v>0</v>
      </c>
      <c r="AD147" s="34">
        <v>0</v>
      </c>
      <c r="AE147" s="34">
        <v>0</v>
      </c>
      <c r="AF147" s="34">
        <v>0</v>
      </c>
      <c r="AG147" s="34">
        <v>0</v>
      </c>
      <c r="AH147" s="34">
        <v>0</v>
      </c>
      <c r="AI147" s="34">
        <v>0</v>
      </c>
      <c r="AJ147" s="34">
        <v>0</v>
      </c>
      <c r="AK147" s="202">
        <v>0</v>
      </c>
      <c r="AL147" s="34">
        <v>22</v>
      </c>
    </row>
    <row r="148" spans="1:38" ht="14.4" customHeight="1" x14ac:dyDescent="0.3">
      <c r="A148" s="203">
        <v>272133</v>
      </c>
      <c r="B148" s="34">
        <v>216364</v>
      </c>
      <c r="C148" s="34" t="s">
        <v>117</v>
      </c>
      <c r="D148" s="34" t="s">
        <v>1763</v>
      </c>
      <c r="E148" s="34" t="s">
        <v>886</v>
      </c>
      <c r="F148" s="34" t="s">
        <v>132</v>
      </c>
      <c r="G148" s="34">
        <v>137</v>
      </c>
      <c r="H148" s="34" t="s">
        <v>104</v>
      </c>
      <c r="I148" s="34" t="s">
        <v>1764</v>
      </c>
      <c r="J148" s="34" t="s">
        <v>848</v>
      </c>
      <c r="K148" s="34" t="s">
        <v>36</v>
      </c>
      <c r="L148" s="34" t="s">
        <v>30</v>
      </c>
      <c r="M148" s="34">
        <v>216364</v>
      </c>
      <c r="N148" s="34" t="s">
        <v>947</v>
      </c>
      <c r="O148" s="34" t="s">
        <v>31</v>
      </c>
      <c r="P148" s="34" t="s">
        <v>53</v>
      </c>
      <c r="Q148" s="34">
        <v>1</v>
      </c>
      <c r="R148" s="34" t="s">
        <v>36</v>
      </c>
      <c r="S148" s="34">
        <v>0</v>
      </c>
      <c r="T148" s="34">
        <v>0</v>
      </c>
      <c r="U148" s="34">
        <v>0</v>
      </c>
      <c r="V148" s="34">
        <v>0</v>
      </c>
      <c r="W148" s="34">
        <v>0</v>
      </c>
      <c r="X148" s="34">
        <v>0</v>
      </c>
      <c r="Y148" s="34">
        <v>0</v>
      </c>
      <c r="Z148" s="34">
        <v>0</v>
      </c>
      <c r="AA148" s="34">
        <v>0</v>
      </c>
      <c r="AB148" s="34">
        <v>0</v>
      </c>
      <c r="AC148" s="34">
        <v>0</v>
      </c>
      <c r="AD148" s="34">
        <v>0</v>
      </c>
      <c r="AE148" s="34">
        <v>0</v>
      </c>
      <c r="AF148" s="34">
        <v>0</v>
      </c>
      <c r="AG148" s="34">
        <v>0</v>
      </c>
      <c r="AH148" s="34">
        <v>0</v>
      </c>
      <c r="AI148" s="34">
        <v>0</v>
      </c>
      <c r="AJ148" s="34">
        <v>0</v>
      </c>
      <c r="AK148" s="202">
        <v>0</v>
      </c>
      <c r="AL148" s="34">
        <v>0</v>
      </c>
    </row>
    <row r="149" spans="1:38" ht="14.4" customHeight="1" x14ac:dyDescent="0.3">
      <c r="A149" s="203">
        <v>267777</v>
      </c>
      <c r="B149" s="34">
        <v>216351</v>
      </c>
      <c r="C149" s="34" t="s">
        <v>117</v>
      </c>
      <c r="D149" s="34" t="s">
        <v>842</v>
      </c>
      <c r="E149" s="34" t="s">
        <v>36</v>
      </c>
      <c r="F149" s="34" t="s">
        <v>28</v>
      </c>
      <c r="G149" s="34">
        <v>45</v>
      </c>
      <c r="H149" s="34" t="s">
        <v>880</v>
      </c>
      <c r="I149" s="34" t="s">
        <v>1459</v>
      </c>
      <c r="J149" s="34" t="s">
        <v>1008</v>
      </c>
      <c r="K149" s="34" t="s">
        <v>36</v>
      </c>
      <c r="L149" s="34" t="s">
        <v>30</v>
      </c>
      <c r="M149" s="34">
        <v>216351</v>
      </c>
      <c r="N149" s="34" t="s">
        <v>947</v>
      </c>
      <c r="O149" s="34" t="s">
        <v>31</v>
      </c>
      <c r="P149" s="34" t="s">
        <v>53</v>
      </c>
      <c r="Q149" s="34">
        <v>0</v>
      </c>
      <c r="R149" s="34" t="s">
        <v>36</v>
      </c>
      <c r="S149" s="34">
        <v>0</v>
      </c>
      <c r="T149" s="34">
        <v>0</v>
      </c>
      <c r="U149" s="34" t="s">
        <v>36</v>
      </c>
      <c r="V149" s="34" t="s">
        <v>36</v>
      </c>
      <c r="W149" s="34" t="s">
        <v>36</v>
      </c>
      <c r="X149" s="34" t="s">
        <v>36</v>
      </c>
      <c r="Y149" s="34" t="s">
        <v>36</v>
      </c>
      <c r="Z149" s="34" t="s">
        <v>36</v>
      </c>
      <c r="AA149" s="34" t="s">
        <v>36</v>
      </c>
      <c r="AB149" s="34" t="s">
        <v>36</v>
      </c>
      <c r="AC149" s="34" t="s">
        <v>36</v>
      </c>
      <c r="AD149" s="34" t="s">
        <v>36</v>
      </c>
      <c r="AE149" s="34" t="s">
        <v>36</v>
      </c>
      <c r="AF149" s="34" t="s">
        <v>36</v>
      </c>
      <c r="AG149" s="34" t="s">
        <v>36</v>
      </c>
      <c r="AH149" s="34" t="s">
        <v>36</v>
      </c>
      <c r="AI149" s="34">
        <v>0</v>
      </c>
      <c r="AJ149" s="34">
        <v>0</v>
      </c>
      <c r="AK149" s="202">
        <v>0</v>
      </c>
      <c r="AL149" s="34">
        <v>0</v>
      </c>
    </row>
    <row r="150" spans="1:38" ht="14.4" customHeight="1" x14ac:dyDescent="0.3">
      <c r="A150" s="203">
        <v>264575</v>
      </c>
      <c r="B150" s="34">
        <v>216364</v>
      </c>
      <c r="C150" s="34" t="s">
        <v>117</v>
      </c>
      <c r="D150" s="34" t="s">
        <v>1443</v>
      </c>
      <c r="E150" s="34" t="s">
        <v>36</v>
      </c>
      <c r="F150" s="34" t="s">
        <v>650</v>
      </c>
      <c r="G150" s="34">
        <v>161</v>
      </c>
      <c r="H150" s="34" t="s">
        <v>880</v>
      </c>
      <c r="I150" s="34" t="s">
        <v>36</v>
      </c>
      <c r="J150" s="34" t="s">
        <v>1008</v>
      </c>
      <c r="K150" s="34" t="s">
        <v>36</v>
      </c>
      <c r="L150" s="34" t="s">
        <v>30</v>
      </c>
      <c r="M150" s="34">
        <v>216364</v>
      </c>
      <c r="N150" s="34" t="s">
        <v>947</v>
      </c>
      <c r="O150" s="34" t="s">
        <v>31</v>
      </c>
      <c r="P150" s="34" t="s">
        <v>53</v>
      </c>
      <c r="Q150" s="34">
        <v>0</v>
      </c>
      <c r="R150" s="34" t="s">
        <v>36</v>
      </c>
      <c r="S150" s="34">
        <v>0</v>
      </c>
      <c r="T150" s="34">
        <v>0</v>
      </c>
      <c r="U150" s="34" t="s">
        <v>36</v>
      </c>
      <c r="V150" s="34" t="s">
        <v>36</v>
      </c>
      <c r="W150" s="34" t="s">
        <v>36</v>
      </c>
      <c r="X150" s="34" t="s">
        <v>36</v>
      </c>
      <c r="Y150" s="34" t="s">
        <v>36</v>
      </c>
      <c r="Z150" s="34" t="s">
        <v>36</v>
      </c>
      <c r="AA150" s="34" t="s">
        <v>36</v>
      </c>
      <c r="AB150" s="34" t="s">
        <v>36</v>
      </c>
      <c r="AC150" s="34" t="s">
        <v>36</v>
      </c>
      <c r="AD150" s="34" t="s">
        <v>36</v>
      </c>
      <c r="AE150" s="34" t="s">
        <v>36</v>
      </c>
      <c r="AF150" s="34" t="s">
        <v>36</v>
      </c>
      <c r="AG150" s="34" t="s">
        <v>36</v>
      </c>
      <c r="AH150" s="34" t="s">
        <v>36</v>
      </c>
      <c r="AI150" s="34">
        <v>0</v>
      </c>
      <c r="AJ150" s="34">
        <v>0</v>
      </c>
      <c r="AK150" s="202">
        <v>0</v>
      </c>
      <c r="AL150" s="34">
        <v>0</v>
      </c>
    </row>
    <row r="151" spans="1:38" ht="14.4" customHeight="1" x14ac:dyDescent="0.3">
      <c r="A151" s="203">
        <v>262895</v>
      </c>
      <c r="B151" s="34">
        <v>216351</v>
      </c>
      <c r="C151" s="34" t="s">
        <v>117</v>
      </c>
      <c r="D151" s="34" t="s">
        <v>841</v>
      </c>
      <c r="E151" s="34" t="s">
        <v>36</v>
      </c>
      <c r="F151" s="34" t="s">
        <v>28</v>
      </c>
      <c r="G151" s="34">
        <v>40</v>
      </c>
      <c r="H151" s="34" t="s">
        <v>880</v>
      </c>
      <c r="I151" s="34" t="s">
        <v>1460</v>
      </c>
      <c r="J151" s="34" t="s">
        <v>1008</v>
      </c>
      <c r="K151" s="34" t="s">
        <v>36</v>
      </c>
      <c r="L151" s="34" t="s">
        <v>30</v>
      </c>
      <c r="M151" s="34">
        <v>216351</v>
      </c>
      <c r="N151" s="34" t="s">
        <v>947</v>
      </c>
      <c r="O151" s="34" t="s">
        <v>31</v>
      </c>
      <c r="P151" s="34" t="s">
        <v>53</v>
      </c>
      <c r="Q151" s="34">
        <v>0</v>
      </c>
      <c r="R151" s="34" t="s">
        <v>36</v>
      </c>
      <c r="S151" s="34">
        <v>0</v>
      </c>
      <c r="T151" s="34">
        <v>0</v>
      </c>
      <c r="U151" s="34" t="s">
        <v>36</v>
      </c>
      <c r="V151" s="34" t="s">
        <v>36</v>
      </c>
      <c r="W151" s="34" t="s">
        <v>36</v>
      </c>
      <c r="X151" s="34" t="s">
        <v>36</v>
      </c>
      <c r="Y151" s="34" t="s">
        <v>36</v>
      </c>
      <c r="Z151" s="34" t="s">
        <v>36</v>
      </c>
      <c r="AA151" s="34" t="s">
        <v>36</v>
      </c>
      <c r="AB151" s="34" t="s">
        <v>36</v>
      </c>
      <c r="AC151" s="34" t="s">
        <v>36</v>
      </c>
      <c r="AD151" s="34" t="s">
        <v>36</v>
      </c>
      <c r="AE151" s="34" t="s">
        <v>36</v>
      </c>
      <c r="AF151" s="34" t="s">
        <v>36</v>
      </c>
      <c r="AG151" s="34" t="s">
        <v>36</v>
      </c>
      <c r="AH151" s="34" t="s">
        <v>36</v>
      </c>
      <c r="AI151" s="34">
        <v>0</v>
      </c>
      <c r="AJ151" s="34">
        <v>0</v>
      </c>
      <c r="AK151" s="202">
        <v>0</v>
      </c>
      <c r="AL151" s="34">
        <v>0</v>
      </c>
    </row>
    <row r="152" spans="1:38" ht="14.4" customHeight="1" x14ac:dyDescent="0.3">
      <c r="A152" s="203">
        <v>262766</v>
      </c>
      <c r="B152" s="34">
        <v>216364</v>
      </c>
      <c r="C152" s="34" t="s">
        <v>117</v>
      </c>
      <c r="D152" s="34" t="s">
        <v>1442</v>
      </c>
      <c r="E152" s="34" t="s">
        <v>36</v>
      </c>
      <c r="F152" s="34" t="s">
        <v>650</v>
      </c>
      <c r="G152" s="34">
        <v>161</v>
      </c>
      <c r="H152" s="34" t="s">
        <v>880</v>
      </c>
      <c r="I152" s="34" t="s">
        <v>36</v>
      </c>
      <c r="J152" s="34" t="s">
        <v>1008</v>
      </c>
      <c r="K152" s="34" t="s">
        <v>36</v>
      </c>
      <c r="L152" s="34" t="s">
        <v>30</v>
      </c>
      <c r="M152" s="34">
        <v>216364</v>
      </c>
      <c r="N152" s="34" t="s">
        <v>947</v>
      </c>
      <c r="O152" s="34" t="s">
        <v>31</v>
      </c>
      <c r="P152" s="34" t="s">
        <v>53</v>
      </c>
      <c r="Q152" s="34">
        <v>0</v>
      </c>
      <c r="R152" s="34" t="s">
        <v>36</v>
      </c>
      <c r="S152" s="34">
        <v>0</v>
      </c>
      <c r="T152" s="34">
        <v>0</v>
      </c>
      <c r="U152" s="34" t="s">
        <v>36</v>
      </c>
      <c r="V152" s="34" t="s">
        <v>36</v>
      </c>
      <c r="W152" s="34" t="s">
        <v>36</v>
      </c>
      <c r="X152" s="34" t="s">
        <v>36</v>
      </c>
      <c r="Y152" s="34" t="s">
        <v>36</v>
      </c>
      <c r="Z152" s="34" t="s">
        <v>36</v>
      </c>
      <c r="AA152" s="34" t="s">
        <v>36</v>
      </c>
      <c r="AB152" s="34" t="s">
        <v>36</v>
      </c>
      <c r="AC152" s="34" t="s">
        <v>36</v>
      </c>
      <c r="AD152" s="34" t="s">
        <v>36</v>
      </c>
      <c r="AE152" s="34" t="s">
        <v>36</v>
      </c>
      <c r="AF152" s="34" t="s">
        <v>36</v>
      </c>
      <c r="AG152" s="34" t="s">
        <v>36</v>
      </c>
      <c r="AH152" s="34" t="s">
        <v>36</v>
      </c>
      <c r="AI152" s="34">
        <v>0</v>
      </c>
      <c r="AJ152" s="34">
        <v>0</v>
      </c>
      <c r="AK152" s="202">
        <v>0</v>
      </c>
      <c r="AL152" s="34">
        <v>0</v>
      </c>
    </row>
    <row r="153" spans="1:38" ht="14.4" customHeight="1" x14ac:dyDescent="0.3">
      <c r="A153" s="203">
        <v>262755</v>
      </c>
      <c r="B153" s="34">
        <v>216364</v>
      </c>
      <c r="C153" s="34" t="s">
        <v>117</v>
      </c>
      <c r="D153" s="34" t="s">
        <v>1441</v>
      </c>
      <c r="E153" s="34" t="s">
        <v>36</v>
      </c>
      <c r="F153" s="34" t="s">
        <v>650</v>
      </c>
      <c r="G153" s="34">
        <v>161</v>
      </c>
      <c r="H153" s="34" t="s">
        <v>880</v>
      </c>
      <c r="I153" s="34" t="s">
        <v>36</v>
      </c>
      <c r="J153" s="34" t="s">
        <v>1008</v>
      </c>
      <c r="K153" s="34" t="s">
        <v>36</v>
      </c>
      <c r="L153" s="34" t="s">
        <v>30</v>
      </c>
      <c r="M153" s="34">
        <v>216364</v>
      </c>
      <c r="N153" s="34" t="s">
        <v>947</v>
      </c>
      <c r="O153" s="34" t="s">
        <v>31</v>
      </c>
      <c r="P153" s="34" t="s">
        <v>53</v>
      </c>
      <c r="Q153" s="34">
        <v>0</v>
      </c>
      <c r="R153" s="34" t="s">
        <v>36</v>
      </c>
      <c r="S153" s="34">
        <v>0</v>
      </c>
      <c r="T153" s="34">
        <v>0</v>
      </c>
      <c r="U153" s="34" t="s">
        <v>36</v>
      </c>
      <c r="V153" s="34" t="s">
        <v>36</v>
      </c>
      <c r="W153" s="34" t="s">
        <v>36</v>
      </c>
      <c r="X153" s="34" t="s">
        <v>36</v>
      </c>
      <c r="Y153" s="34" t="s">
        <v>36</v>
      </c>
      <c r="Z153" s="34" t="s">
        <v>36</v>
      </c>
      <c r="AA153" s="34" t="s">
        <v>36</v>
      </c>
      <c r="AB153" s="34" t="s">
        <v>36</v>
      </c>
      <c r="AC153" s="34" t="s">
        <v>36</v>
      </c>
      <c r="AD153" s="34" t="s">
        <v>36</v>
      </c>
      <c r="AE153" s="34" t="s">
        <v>36</v>
      </c>
      <c r="AF153" s="34" t="s">
        <v>36</v>
      </c>
      <c r="AG153" s="34" t="s">
        <v>36</v>
      </c>
      <c r="AH153" s="34" t="s">
        <v>36</v>
      </c>
      <c r="AI153" s="34">
        <v>0</v>
      </c>
      <c r="AJ153" s="34">
        <v>0</v>
      </c>
      <c r="AK153" s="202">
        <v>0</v>
      </c>
      <c r="AL153" s="34">
        <v>0</v>
      </c>
    </row>
    <row r="154" spans="1:38" ht="14.4" customHeight="1" x14ac:dyDescent="0.3">
      <c r="A154" s="203">
        <v>262745</v>
      </c>
      <c r="B154" s="34">
        <v>216364</v>
      </c>
      <c r="C154" s="34" t="s">
        <v>117</v>
      </c>
      <c r="D154" s="34" t="s">
        <v>1440</v>
      </c>
      <c r="E154" s="34" t="s">
        <v>167</v>
      </c>
      <c r="F154" s="34" t="s">
        <v>28</v>
      </c>
      <c r="G154" s="34">
        <v>161</v>
      </c>
      <c r="H154" s="34" t="s">
        <v>879</v>
      </c>
      <c r="I154" s="34" t="s">
        <v>1461</v>
      </c>
      <c r="J154" s="34" t="s">
        <v>1008</v>
      </c>
      <c r="K154" s="34" t="s">
        <v>36</v>
      </c>
      <c r="L154" s="34" t="s">
        <v>30</v>
      </c>
      <c r="M154" s="34">
        <v>216364</v>
      </c>
      <c r="N154" s="34" t="s">
        <v>947</v>
      </c>
      <c r="O154" s="34" t="s">
        <v>31</v>
      </c>
      <c r="P154" s="34" t="s">
        <v>53</v>
      </c>
      <c r="Q154" s="34">
        <v>1</v>
      </c>
      <c r="R154" s="34" t="s">
        <v>36</v>
      </c>
      <c r="S154" s="34">
        <v>0</v>
      </c>
      <c r="T154" s="34">
        <v>0</v>
      </c>
      <c r="U154" s="34" t="s">
        <v>36</v>
      </c>
      <c r="V154" s="34" t="s">
        <v>36</v>
      </c>
      <c r="W154" s="34" t="s">
        <v>36</v>
      </c>
      <c r="X154" s="34" t="s">
        <v>36</v>
      </c>
      <c r="Y154" s="34" t="s">
        <v>36</v>
      </c>
      <c r="Z154" s="34" t="s">
        <v>36</v>
      </c>
      <c r="AA154" s="34" t="s">
        <v>36</v>
      </c>
      <c r="AB154" s="34" t="s">
        <v>36</v>
      </c>
      <c r="AC154" s="34" t="s">
        <v>36</v>
      </c>
      <c r="AD154" s="34" t="s">
        <v>36</v>
      </c>
      <c r="AE154" s="34" t="s">
        <v>36</v>
      </c>
      <c r="AF154" s="34" t="s">
        <v>36</v>
      </c>
      <c r="AG154" s="34" t="s">
        <v>36</v>
      </c>
      <c r="AH154" s="34" t="s">
        <v>36</v>
      </c>
      <c r="AI154" s="34">
        <v>0</v>
      </c>
      <c r="AJ154" s="34">
        <v>0</v>
      </c>
      <c r="AK154" s="202">
        <v>0</v>
      </c>
      <c r="AL154" s="34">
        <v>0</v>
      </c>
    </row>
    <row r="155" spans="1:38" ht="14.4" customHeight="1" x14ac:dyDescent="0.3">
      <c r="A155" s="203">
        <v>251622</v>
      </c>
      <c r="B155" s="34">
        <v>245898</v>
      </c>
      <c r="C155" s="34" t="s">
        <v>1121</v>
      </c>
      <c r="D155" s="34" t="s">
        <v>853</v>
      </c>
      <c r="E155" s="34" t="s">
        <v>859</v>
      </c>
      <c r="F155" s="34" t="s">
        <v>858</v>
      </c>
      <c r="G155" s="34">
        <v>338</v>
      </c>
      <c r="H155" s="34" t="s">
        <v>36</v>
      </c>
      <c r="I155" s="34" t="s">
        <v>36</v>
      </c>
      <c r="J155" s="34" t="s">
        <v>138</v>
      </c>
      <c r="K155" s="34" t="s">
        <v>36</v>
      </c>
      <c r="L155" s="34" t="s">
        <v>30</v>
      </c>
      <c r="M155" s="34">
        <v>251622</v>
      </c>
      <c r="N155" s="34" t="s">
        <v>15</v>
      </c>
      <c r="O155" s="34" t="s">
        <v>37</v>
      </c>
      <c r="P155" s="34" t="s">
        <v>39</v>
      </c>
      <c r="Q155" s="34" t="s">
        <v>36</v>
      </c>
      <c r="R155" s="34" t="s">
        <v>36</v>
      </c>
      <c r="S155" s="34">
        <v>0</v>
      </c>
      <c r="T155" s="34" t="s">
        <v>36</v>
      </c>
      <c r="U155" s="34" t="s">
        <v>36</v>
      </c>
      <c r="V155" s="34" t="s">
        <v>36</v>
      </c>
      <c r="W155" s="34" t="s">
        <v>36</v>
      </c>
      <c r="X155" s="34" t="s">
        <v>36</v>
      </c>
      <c r="Y155" s="34" t="s">
        <v>36</v>
      </c>
      <c r="Z155" s="34" t="s">
        <v>36</v>
      </c>
      <c r="AA155" s="34" t="s">
        <v>36</v>
      </c>
      <c r="AB155" s="34" t="s">
        <v>36</v>
      </c>
      <c r="AC155" s="34" t="s">
        <v>36</v>
      </c>
      <c r="AD155" s="34" t="s">
        <v>36</v>
      </c>
      <c r="AE155" s="34" t="s">
        <v>36</v>
      </c>
      <c r="AF155" s="34" t="s">
        <v>36</v>
      </c>
      <c r="AG155" s="34" t="s">
        <v>36</v>
      </c>
      <c r="AH155" s="34" t="s">
        <v>36</v>
      </c>
      <c r="AI155" s="34" t="s">
        <v>36</v>
      </c>
      <c r="AJ155" s="34" t="s">
        <v>36</v>
      </c>
      <c r="AK155" s="202" t="s">
        <v>36</v>
      </c>
      <c r="AL155" s="34" t="s">
        <v>36</v>
      </c>
    </row>
    <row r="156" spans="1:38" ht="14.4" customHeight="1" x14ac:dyDescent="0.3">
      <c r="A156" s="203">
        <v>245808</v>
      </c>
      <c r="B156" s="34">
        <v>241304</v>
      </c>
      <c r="C156" s="34" t="s">
        <v>1121</v>
      </c>
      <c r="D156" s="34" t="s">
        <v>2371</v>
      </c>
      <c r="E156" s="34" t="s">
        <v>2372</v>
      </c>
      <c r="F156" s="34" t="s">
        <v>858</v>
      </c>
      <c r="G156" s="34">
        <v>271</v>
      </c>
      <c r="H156" s="34" t="s">
        <v>36</v>
      </c>
      <c r="I156" s="34" t="s">
        <v>36</v>
      </c>
      <c r="J156" s="34" t="s">
        <v>170</v>
      </c>
      <c r="K156" s="34" t="s">
        <v>36</v>
      </c>
      <c r="L156" s="34" t="s">
        <v>30</v>
      </c>
      <c r="M156" s="34">
        <v>245808</v>
      </c>
      <c r="N156" s="34" t="s">
        <v>15</v>
      </c>
      <c r="O156" s="34" t="s">
        <v>37</v>
      </c>
      <c r="P156" s="34" t="s">
        <v>2360</v>
      </c>
      <c r="Q156" s="34" t="s">
        <v>36</v>
      </c>
      <c r="R156" s="34" t="s">
        <v>36</v>
      </c>
      <c r="S156" s="34">
        <v>0</v>
      </c>
      <c r="T156" s="34" t="s">
        <v>36</v>
      </c>
      <c r="U156" s="34" t="s">
        <v>36</v>
      </c>
      <c r="V156" s="34" t="s">
        <v>36</v>
      </c>
      <c r="W156" s="34" t="s">
        <v>36</v>
      </c>
      <c r="X156" s="34" t="s">
        <v>36</v>
      </c>
      <c r="Y156" s="34" t="s">
        <v>36</v>
      </c>
      <c r="Z156" s="34" t="s">
        <v>36</v>
      </c>
      <c r="AA156" s="34" t="s">
        <v>36</v>
      </c>
      <c r="AB156" s="34" t="s">
        <v>36</v>
      </c>
      <c r="AC156" s="34" t="s">
        <v>36</v>
      </c>
      <c r="AD156" s="34" t="s">
        <v>36</v>
      </c>
      <c r="AE156" s="34" t="s">
        <v>36</v>
      </c>
      <c r="AF156" s="34" t="s">
        <v>36</v>
      </c>
      <c r="AG156" s="34" t="s">
        <v>36</v>
      </c>
      <c r="AH156" s="34" t="s">
        <v>36</v>
      </c>
      <c r="AI156" s="34" t="s">
        <v>36</v>
      </c>
      <c r="AJ156" s="34" t="s">
        <v>36</v>
      </c>
      <c r="AK156" s="202" t="s">
        <v>36</v>
      </c>
      <c r="AL156" s="34" t="s">
        <v>36</v>
      </c>
    </row>
    <row r="157" spans="1:38" ht="14.4" customHeight="1" x14ac:dyDescent="0.3">
      <c r="A157" s="203">
        <v>241501</v>
      </c>
      <c r="B157" s="34">
        <v>245898</v>
      </c>
      <c r="C157" s="34" t="s">
        <v>1121</v>
      </c>
      <c r="D157" s="34" t="s">
        <v>852</v>
      </c>
      <c r="E157" s="34" t="s">
        <v>1936</v>
      </c>
      <c r="F157" s="34" t="s">
        <v>858</v>
      </c>
      <c r="G157" s="34">
        <v>430</v>
      </c>
      <c r="H157" s="34" t="s">
        <v>36</v>
      </c>
      <c r="I157" s="34" t="s">
        <v>36</v>
      </c>
      <c r="J157" s="34" t="s">
        <v>138</v>
      </c>
      <c r="K157" s="34" t="s">
        <v>36</v>
      </c>
      <c r="L157" s="34" t="s">
        <v>41</v>
      </c>
      <c r="M157" s="34">
        <v>241501</v>
      </c>
      <c r="N157" s="34" t="s">
        <v>15</v>
      </c>
      <c r="O157" s="34" t="s">
        <v>37</v>
      </c>
      <c r="P157" s="34" t="s">
        <v>39</v>
      </c>
      <c r="Q157" s="34" t="s">
        <v>36</v>
      </c>
      <c r="R157" s="34" t="s">
        <v>36</v>
      </c>
      <c r="S157" s="34">
        <v>0</v>
      </c>
      <c r="T157" s="34" t="s">
        <v>36</v>
      </c>
      <c r="U157" s="34" t="s">
        <v>36</v>
      </c>
      <c r="V157" s="34" t="s">
        <v>36</v>
      </c>
      <c r="W157" s="34" t="s">
        <v>36</v>
      </c>
      <c r="X157" s="34" t="s">
        <v>36</v>
      </c>
      <c r="Y157" s="34" t="s">
        <v>36</v>
      </c>
      <c r="Z157" s="34" t="s">
        <v>36</v>
      </c>
      <c r="AA157" s="34" t="s">
        <v>36</v>
      </c>
      <c r="AB157" s="34" t="s">
        <v>36</v>
      </c>
      <c r="AC157" s="34" t="s">
        <v>36</v>
      </c>
      <c r="AD157" s="34" t="s">
        <v>36</v>
      </c>
      <c r="AE157" s="34" t="s">
        <v>36</v>
      </c>
      <c r="AF157" s="34" t="s">
        <v>36</v>
      </c>
      <c r="AG157" s="34" t="s">
        <v>36</v>
      </c>
      <c r="AH157" s="34" t="s">
        <v>36</v>
      </c>
      <c r="AI157" s="34" t="s">
        <v>36</v>
      </c>
      <c r="AJ157" s="34" t="s">
        <v>36</v>
      </c>
      <c r="AK157" s="202" t="s">
        <v>36</v>
      </c>
      <c r="AL157" s="34" t="s">
        <v>36</v>
      </c>
    </row>
    <row r="158" spans="1:38" ht="14.4" customHeight="1" x14ac:dyDescent="0.3">
      <c r="A158" s="203">
        <v>233847</v>
      </c>
      <c r="B158" s="34">
        <v>216351</v>
      </c>
      <c r="C158" s="34" t="s">
        <v>117</v>
      </c>
      <c r="D158" s="34" t="s">
        <v>840</v>
      </c>
      <c r="E158" s="34" t="s">
        <v>36</v>
      </c>
      <c r="F158" s="34" t="s">
        <v>132</v>
      </c>
      <c r="G158" s="34">
        <v>13</v>
      </c>
      <c r="H158" s="34" t="s">
        <v>41</v>
      </c>
      <c r="I158" s="34" t="s">
        <v>1462</v>
      </c>
      <c r="J158" s="34" t="s">
        <v>1008</v>
      </c>
      <c r="K158" s="34" t="s">
        <v>36</v>
      </c>
      <c r="L158" s="34" t="s">
        <v>41</v>
      </c>
      <c r="M158" s="34">
        <v>216351</v>
      </c>
      <c r="N158" s="34" t="s">
        <v>947</v>
      </c>
      <c r="O158" s="34" t="s">
        <v>31</v>
      </c>
      <c r="P158" s="34" t="s">
        <v>53</v>
      </c>
      <c r="Q158" s="34">
        <v>0</v>
      </c>
      <c r="R158" s="34" t="s">
        <v>36</v>
      </c>
      <c r="S158" s="34">
        <v>0</v>
      </c>
      <c r="T158" s="34">
        <v>0</v>
      </c>
      <c r="U158" s="34" t="s">
        <v>36</v>
      </c>
      <c r="V158" s="34" t="s">
        <v>36</v>
      </c>
      <c r="W158" s="34" t="s">
        <v>36</v>
      </c>
      <c r="X158" s="34" t="s">
        <v>36</v>
      </c>
      <c r="Y158" s="34" t="s">
        <v>36</v>
      </c>
      <c r="Z158" s="34" t="s">
        <v>36</v>
      </c>
      <c r="AA158" s="34" t="s">
        <v>36</v>
      </c>
      <c r="AB158" s="34" t="s">
        <v>36</v>
      </c>
      <c r="AC158" s="34" t="s">
        <v>36</v>
      </c>
      <c r="AD158" s="34" t="s">
        <v>36</v>
      </c>
      <c r="AE158" s="34" t="s">
        <v>36</v>
      </c>
      <c r="AF158" s="34" t="s">
        <v>36</v>
      </c>
      <c r="AG158" s="34" t="s">
        <v>36</v>
      </c>
      <c r="AH158" s="34" t="s">
        <v>36</v>
      </c>
      <c r="AI158" s="34">
        <v>0</v>
      </c>
      <c r="AJ158" s="34">
        <v>0</v>
      </c>
      <c r="AK158" s="202">
        <v>0</v>
      </c>
      <c r="AL158" s="34">
        <v>0</v>
      </c>
    </row>
    <row r="159" spans="1:38" ht="14.4" customHeight="1" x14ac:dyDescent="0.3">
      <c r="A159" s="203">
        <v>233338</v>
      </c>
      <c r="B159" s="34">
        <v>216351</v>
      </c>
      <c r="C159" s="34" t="s">
        <v>117</v>
      </c>
      <c r="D159" s="34" t="s">
        <v>1439</v>
      </c>
      <c r="E159" s="34" t="s">
        <v>167</v>
      </c>
      <c r="F159" s="34" t="s">
        <v>28</v>
      </c>
      <c r="G159" s="34">
        <v>15</v>
      </c>
      <c r="H159" s="34" t="s">
        <v>879</v>
      </c>
      <c r="I159" s="34" t="s">
        <v>36</v>
      </c>
      <c r="J159" s="34" t="s">
        <v>47</v>
      </c>
      <c r="K159" s="34" t="s">
        <v>38</v>
      </c>
      <c r="L159" s="34" t="s">
        <v>41</v>
      </c>
      <c r="M159" s="34">
        <v>216351</v>
      </c>
      <c r="N159" s="34" t="s">
        <v>15</v>
      </c>
      <c r="O159" s="34" t="s">
        <v>31</v>
      </c>
      <c r="P159" s="34" t="s">
        <v>53</v>
      </c>
      <c r="Q159" s="34">
        <v>0</v>
      </c>
      <c r="R159" s="34" t="s">
        <v>36</v>
      </c>
      <c r="S159" s="34">
        <v>0</v>
      </c>
      <c r="T159" s="34">
        <v>0</v>
      </c>
      <c r="U159" s="34" t="s">
        <v>36</v>
      </c>
      <c r="V159" s="34" t="s">
        <v>36</v>
      </c>
      <c r="W159" s="34" t="s">
        <v>36</v>
      </c>
      <c r="X159" s="34" t="s">
        <v>36</v>
      </c>
      <c r="Y159" s="34" t="s">
        <v>36</v>
      </c>
      <c r="Z159" s="34" t="s">
        <v>36</v>
      </c>
      <c r="AA159" s="34" t="s">
        <v>36</v>
      </c>
      <c r="AB159" s="34" t="s">
        <v>36</v>
      </c>
      <c r="AC159" s="34" t="s">
        <v>36</v>
      </c>
      <c r="AD159" s="34" t="s">
        <v>36</v>
      </c>
      <c r="AE159" s="34" t="s">
        <v>36</v>
      </c>
      <c r="AF159" s="34" t="s">
        <v>36</v>
      </c>
      <c r="AG159" s="34" t="s">
        <v>36</v>
      </c>
      <c r="AH159" s="34" t="s">
        <v>36</v>
      </c>
      <c r="AI159" s="34">
        <v>0</v>
      </c>
      <c r="AJ159" s="34">
        <v>0</v>
      </c>
      <c r="AK159" s="202">
        <v>0</v>
      </c>
      <c r="AL159" s="34">
        <v>0</v>
      </c>
    </row>
    <row r="160" spans="1:38" ht="14.4" customHeight="1" x14ac:dyDescent="0.3">
      <c r="A160" s="203">
        <v>216364</v>
      </c>
      <c r="B160" s="34">
        <v>245566</v>
      </c>
      <c r="C160" s="34" t="s">
        <v>1121</v>
      </c>
      <c r="D160" s="34" t="s">
        <v>849</v>
      </c>
      <c r="E160" s="34" t="s">
        <v>36</v>
      </c>
      <c r="F160" s="34" t="s">
        <v>860</v>
      </c>
      <c r="G160" s="34">
        <v>750</v>
      </c>
      <c r="H160" s="34" t="s">
        <v>36</v>
      </c>
      <c r="I160" s="34" t="s">
        <v>36</v>
      </c>
      <c r="J160" s="34" t="s">
        <v>113</v>
      </c>
      <c r="K160" s="34" t="s">
        <v>36</v>
      </c>
      <c r="L160" s="34" t="s">
        <v>30</v>
      </c>
      <c r="M160" s="34">
        <v>216364</v>
      </c>
      <c r="N160" s="34" t="s">
        <v>15</v>
      </c>
      <c r="O160" s="34" t="s">
        <v>31</v>
      </c>
      <c r="P160" s="34" t="s">
        <v>53</v>
      </c>
      <c r="Q160" s="34" t="s">
        <v>36</v>
      </c>
      <c r="R160" s="34" t="s">
        <v>36</v>
      </c>
      <c r="S160" s="34">
        <v>0</v>
      </c>
      <c r="T160" s="34" t="s">
        <v>36</v>
      </c>
      <c r="U160" s="34" t="s">
        <v>36</v>
      </c>
      <c r="V160" s="34" t="s">
        <v>36</v>
      </c>
      <c r="W160" s="34" t="s">
        <v>36</v>
      </c>
      <c r="X160" s="34" t="s">
        <v>36</v>
      </c>
      <c r="Y160" s="34" t="s">
        <v>36</v>
      </c>
      <c r="Z160" s="34" t="s">
        <v>36</v>
      </c>
      <c r="AA160" s="34" t="s">
        <v>36</v>
      </c>
      <c r="AB160" s="34" t="s">
        <v>36</v>
      </c>
      <c r="AC160" s="34" t="s">
        <v>36</v>
      </c>
      <c r="AD160" s="34" t="s">
        <v>36</v>
      </c>
      <c r="AE160" s="34" t="s">
        <v>36</v>
      </c>
      <c r="AF160" s="34" t="s">
        <v>36</v>
      </c>
      <c r="AG160" s="34" t="s">
        <v>36</v>
      </c>
      <c r="AH160" s="34" t="s">
        <v>36</v>
      </c>
      <c r="AI160" s="34" t="s">
        <v>36</v>
      </c>
      <c r="AJ160" s="34" t="s">
        <v>36</v>
      </c>
      <c r="AK160" s="202" t="s">
        <v>36</v>
      </c>
      <c r="AL160" s="34" t="s">
        <v>36</v>
      </c>
    </row>
    <row r="161" spans="1:38" ht="14.4" customHeight="1" x14ac:dyDescent="0.3">
      <c r="A161" s="203">
        <v>216351</v>
      </c>
      <c r="B161" s="34">
        <v>245566</v>
      </c>
      <c r="C161" s="34" t="s">
        <v>1121</v>
      </c>
      <c r="D161" s="34" t="s">
        <v>839</v>
      </c>
      <c r="E161" s="34" t="s">
        <v>36</v>
      </c>
      <c r="F161" s="34" t="s">
        <v>860</v>
      </c>
      <c r="G161" s="34">
        <v>100</v>
      </c>
      <c r="H161" s="34" t="s">
        <v>36</v>
      </c>
      <c r="I161" s="34" t="s">
        <v>36</v>
      </c>
      <c r="J161" s="34" t="s">
        <v>113</v>
      </c>
      <c r="K161" s="34" t="s">
        <v>36</v>
      </c>
      <c r="L161" s="34" t="s">
        <v>30</v>
      </c>
      <c r="M161" s="34">
        <v>216351</v>
      </c>
      <c r="N161" s="34" t="s">
        <v>15</v>
      </c>
      <c r="O161" s="34" t="s">
        <v>31</v>
      </c>
      <c r="P161" s="34" t="s">
        <v>53</v>
      </c>
      <c r="Q161" s="34" t="s">
        <v>36</v>
      </c>
      <c r="R161" s="34" t="s">
        <v>36</v>
      </c>
      <c r="S161" s="34">
        <v>0</v>
      </c>
      <c r="T161" s="34" t="s">
        <v>36</v>
      </c>
      <c r="U161" s="34" t="s">
        <v>36</v>
      </c>
      <c r="V161" s="34" t="s">
        <v>36</v>
      </c>
      <c r="W161" s="34" t="s">
        <v>36</v>
      </c>
      <c r="X161" s="34" t="s">
        <v>36</v>
      </c>
      <c r="Y161" s="34" t="s">
        <v>36</v>
      </c>
      <c r="Z161" s="34" t="s">
        <v>36</v>
      </c>
      <c r="AA161" s="34" t="s">
        <v>36</v>
      </c>
      <c r="AB161" s="34" t="s">
        <v>36</v>
      </c>
      <c r="AC161" s="34" t="s">
        <v>36</v>
      </c>
      <c r="AD161" s="34" t="s">
        <v>36</v>
      </c>
      <c r="AE161" s="34" t="s">
        <v>36</v>
      </c>
      <c r="AF161" s="34" t="s">
        <v>36</v>
      </c>
      <c r="AG161" s="34" t="s">
        <v>36</v>
      </c>
      <c r="AH161" s="34" t="s">
        <v>36</v>
      </c>
      <c r="AI161" s="34" t="s">
        <v>36</v>
      </c>
      <c r="AJ161" s="34" t="s">
        <v>36</v>
      </c>
      <c r="AK161" s="202" t="s">
        <v>36</v>
      </c>
      <c r="AL161" s="34" t="s">
        <v>36</v>
      </c>
    </row>
    <row r="162" spans="1:38" ht="14.4" customHeight="1" x14ac:dyDescent="0.3">
      <c r="A162" s="203">
        <v>213598</v>
      </c>
      <c r="B162" s="34">
        <v>388154</v>
      </c>
      <c r="C162" s="34" t="s">
        <v>117</v>
      </c>
      <c r="D162" s="34" t="s">
        <v>1992</v>
      </c>
      <c r="E162" s="34" t="s">
        <v>1995</v>
      </c>
      <c r="F162" s="34" t="s">
        <v>132</v>
      </c>
      <c r="G162" s="34">
        <v>20</v>
      </c>
      <c r="H162" s="34" t="s">
        <v>41</v>
      </c>
      <c r="I162" s="34" t="s">
        <v>36</v>
      </c>
      <c r="J162" s="34" t="s">
        <v>171</v>
      </c>
      <c r="K162" s="34" t="s">
        <v>36</v>
      </c>
      <c r="L162" s="34" t="s">
        <v>41</v>
      </c>
      <c r="M162" s="34">
        <v>388154</v>
      </c>
      <c r="N162" s="34" t="s">
        <v>15</v>
      </c>
      <c r="O162" s="34" t="s">
        <v>37</v>
      </c>
      <c r="P162" s="34" t="s">
        <v>39</v>
      </c>
      <c r="Q162" s="34">
        <v>0</v>
      </c>
      <c r="R162" s="34" t="s">
        <v>36</v>
      </c>
      <c r="S162" s="34">
        <v>0</v>
      </c>
      <c r="T162" s="34">
        <v>0</v>
      </c>
      <c r="U162" s="34">
        <v>0</v>
      </c>
      <c r="V162" s="34">
        <v>0</v>
      </c>
      <c r="W162" s="34">
        <v>0</v>
      </c>
      <c r="X162" s="34">
        <v>0</v>
      </c>
      <c r="Y162" s="34">
        <v>0</v>
      </c>
      <c r="Z162" s="34">
        <v>0</v>
      </c>
      <c r="AA162" s="34">
        <v>0</v>
      </c>
      <c r="AB162" s="34">
        <v>0</v>
      </c>
      <c r="AC162" s="34">
        <v>0</v>
      </c>
      <c r="AD162" s="34">
        <v>0</v>
      </c>
      <c r="AE162" s="34">
        <v>0</v>
      </c>
      <c r="AF162" s="34">
        <v>0</v>
      </c>
      <c r="AG162" s="34">
        <v>0</v>
      </c>
      <c r="AH162" s="34">
        <v>0</v>
      </c>
      <c r="AI162" s="34">
        <v>0</v>
      </c>
      <c r="AJ162" s="34">
        <v>0</v>
      </c>
      <c r="AK162" s="202">
        <v>0</v>
      </c>
      <c r="AL162" s="34">
        <v>0</v>
      </c>
    </row>
    <row r="163" spans="1:38" ht="14.4" customHeight="1" x14ac:dyDescent="0.3">
      <c r="A163" s="203">
        <v>204273</v>
      </c>
      <c r="B163" s="34">
        <v>255707</v>
      </c>
      <c r="C163" s="34" t="s">
        <v>1121</v>
      </c>
      <c r="D163" s="34" t="s">
        <v>1968</v>
      </c>
      <c r="E163" s="34" t="s">
        <v>857</v>
      </c>
      <c r="F163" s="34" t="s">
        <v>860</v>
      </c>
      <c r="G163" s="34">
        <v>30</v>
      </c>
      <c r="H163" s="34" t="s">
        <v>36</v>
      </c>
      <c r="I163" s="34" t="s">
        <v>36</v>
      </c>
      <c r="J163" s="34" t="s">
        <v>171</v>
      </c>
      <c r="K163" s="34" t="s">
        <v>36</v>
      </c>
      <c r="L163" s="34" t="s">
        <v>30</v>
      </c>
      <c r="M163" s="34">
        <v>204273</v>
      </c>
      <c r="N163" s="34" t="s">
        <v>15</v>
      </c>
      <c r="O163" s="34" t="s">
        <v>555</v>
      </c>
      <c r="P163" s="34" t="s">
        <v>559</v>
      </c>
      <c r="Q163" s="34" t="s">
        <v>36</v>
      </c>
      <c r="R163" s="34" t="s">
        <v>36</v>
      </c>
      <c r="S163" s="34">
        <v>0</v>
      </c>
      <c r="T163" s="34" t="s">
        <v>36</v>
      </c>
      <c r="U163" s="34" t="s">
        <v>36</v>
      </c>
      <c r="V163" s="34" t="s">
        <v>36</v>
      </c>
      <c r="W163" s="34" t="s">
        <v>36</v>
      </c>
      <c r="X163" s="34" t="s">
        <v>36</v>
      </c>
      <c r="Y163" s="34" t="s">
        <v>36</v>
      </c>
      <c r="Z163" s="34" t="s">
        <v>36</v>
      </c>
      <c r="AA163" s="34" t="s">
        <v>36</v>
      </c>
      <c r="AB163" s="34" t="s">
        <v>36</v>
      </c>
      <c r="AC163" s="34" t="s">
        <v>36</v>
      </c>
      <c r="AD163" s="34" t="s">
        <v>36</v>
      </c>
      <c r="AE163" s="34" t="s">
        <v>36</v>
      </c>
      <c r="AF163" s="34" t="s">
        <v>36</v>
      </c>
      <c r="AG163" s="34" t="s">
        <v>36</v>
      </c>
      <c r="AH163" s="34" t="s">
        <v>36</v>
      </c>
      <c r="AI163" s="34" t="s">
        <v>36</v>
      </c>
      <c r="AJ163" s="34" t="s">
        <v>36</v>
      </c>
      <c r="AK163" s="202" t="s">
        <v>36</v>
      </c>
      <c r="AL163" s="34" t="s">
        <v>36</v>
      </c>
    </row>
    <row r="164" spans="1:38" ht="14.4" customHeight="1" x14ac:dyDescent="0.3">
      <c r="A164" s="95"/>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202"/>
      <c r="AL164" s="34"/>
    </row>
    <row r="165" spans="1:38" ht="14.4" customHeight="1" x14ac:dyDescent="0.3">
      <c r="A165" s="95"/>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202"/>
      <c r="AL165" s="34"/>
    </row>
    <row r="166" spans="1:38" ht="14.4" customHeight="1" x14ac:dyDescent="0.3">
      <c r="A166" s="95"/>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202"/>
      <c r="AL166" s="34"/>
    </row>
    <row r="167" spans="1:38" ht="14.4" customHeight="1" x14ac:dyDescent="0.3">
      <c r="A167" s="95"/>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202"/>
      <c r="AL167" s="34"/>
    </row>
    <row r="168" spans="1:38" ht="14.4" customHeight="1" x14ac:dyDescent="0.3">
      <c r="A168" s="203"/>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202"/>
      <c r="AL168" s="34"/>
    </row>
    <row r="169" spans="1:38" ht="14.4" customHeight="1" x14ac:dyDescent="0.3">
      <c r="A169" s="203"/>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202"/>
      <c r="AL169" s="34"/>
    </row>
    <row r="170" spans="1:38" ht="14.4" customHeight="1" x14ac:dyDescent="0.3">
      <c r="A170" s="203"/>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202"/>
      <c r="AL170" s="34"/>
    </row>
    <row r="171" spans="1:38" ht="14.4" customHeight="1" x14ac:dyDescent="0.3">
      <c r="A171" s="203"/>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202"/>
      <c r="AL171" s="34"/>
    </row>
    <row r="172" spans="1:38" ht="14.4" customHeight="1" x14ac:dyDescent="0.3">
      <c r="A172" s="203"/>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202"/>
      <c r="AL172" s="34"/>
    </row>
    <row r="173" spans="1:38" ht="14.4" customHeight="1" x14ac:dyDescent="0.3">
      <c r="A173" s="203"/>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202"/>
      <c r="AL173" s="34"/>
    </row>
    <row r="174" spans="1:38" ht="14.4" customHeight="1" x14ac:dyDescent="0.3">
      <c r="A174" s="203"/>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202"/>
      <c r="AL174" s="34"/>
    </row>
    <row r="175" spans="1:38" ht="14.4" customHeight="1" x14ac:dyDescent="0.3">
      <c r="A175" s="203"/>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202"/>
      <c r="AL175" s="34"/>
    </row>
    <row r="176" spans="1:38" ht="14.4" customHeight="1" x14ac:dyDescent="0.3">
      <c r="A176" s="203"/>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202"/>
      <c r="AL176" s="34"/>
    </row>
    <row r="177" spans="1:38" ht="14.4" customHeight="1" x14ac:dyDescent="0.3">
      <c r="A177" s="203"/>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202"/>
      <c r="AL177" s="34"/>
    </row>
    <row r="178" spans="1:38" ht="14.4" customHeight="1" x14ac:dyDescent="0.3">
      <c r="A178" s="203"/>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202"/>
      <c r="AL178" s="34"/>
    </row>
    <row r="179" spans="1:38" ht="14.4" customHeight="1" x14ac:dyDescent="0.3">
      <c r="A179" s="203"/>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202"/>
      <c r="AL179" s="34"/>
    </row>
    <row r="180" spans="1:38" ht="14.4" customHeight="1" x14ac:dyDescent="0.3">
      <c r="A180" s="203"/>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202"/>
      <c r="AL180" s="34"/>
    </row>
    <row r="181" spans="1:38" ht="14.4" customHeight="1" x14ac:dyDescent="0.3">
      <c r="A181" s="203"/>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202"/>
      <c r="AL181" s="34"/>
    </row>
    <row r="182" spans="1:38" ht="14.4" customHeight="1" x14ac:dyDescent="0.3">
      <c r="A182" s="203"/>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202"/>
      <c r="AL182" s="34"/>
    </row>
    <row r="183" spans="1:38" ht="14.4" customHeight="1" x14ac:dyDescent="0.3">
      <c r="A183" s="203"/>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202"/>
      <c r="AL183" s="34"/>
    </row>
    <row r="184" spans="1:38" ht="14.4" customHeight="1" x14ac:dyDescent="0.3">
      <c r="A184" s="203"/>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202"/>
      <c r="AL184" s="34"/>
    </row>
    <row r="185" spans="1:38" ht="14.4" customHeight="1" x14ac:dyDescent="0.3">
      <c r="A185" s="203"/>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202"/>
      <c r="AL185" s="34"/>
    </row>
    <row r="186" spans="1:38" ht="14.4" customHeight="1" x14ac:dyDescent="0.3">
      <c r="A186" s="203"/>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202"/>
      <c r="AL186" s="34"/>
    </row>
    <row r="187" spans="1:38" ht="14.4" customHeight="1" x14ac:dyDescent="0.3">
      <c r="A187" s="203"/>
      <c r="B187" s="34"/>
      <c r="C187" s="34"/>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202"/>
      <c r="AL187" s="34"/>
    </row>
    <row r="188" spans="1:38" ht="14.4" customHeight="1" x14ac:dyDescent="0.3">
      <c r="A188" s="203"/>
      <c r="B188" s="34"/>
      <c r="C188" s="34"/>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202"/>
      <c r="AL188" s="34"/>
    </row>
    <row r="189" spans="1:38" ht="14.4" customHeight="1" x14ac:dyDescent="0.3">
      <c r="A189" s="203"/>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202"/>
      <c r="AL189" s="34"/>
    </row>
    <row r="190" spans="1:38" ht="14.4" customHeight="1" x14ac:dyDescent="0.3">
      <c r="A190" s="95"/>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202"/>
      <c r="AL190" s="34"/>
    </row>
    <row r="191" spans="1:38" ht="14.4" customHeight="1" x14ac:dyDescent="0.3">
      <c r="A191" s="95"/>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202"/>
      <c r="AL191" s="34"/>
    </row>
    <row r="192" spans="1:38" ht="14.4" customHeight="1" x14ac:dyDescent="0.3">
      <c r="A192" s="95"/>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202"/>
      <c r="AL192" s="34"/>
    </row>
    <row r="193" spans="1:38" ht="14.4" customHeight="1" x14ac:dyDescent="0.3">
      <c r="A193" s="95"/>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202"/>
      <c r="AL193" s="34"/>
    </row>
    <row r="194" spans="1:38" ht="14.4" customHeight="1" x14ac:dyDescent="0.3">
      <c r="A194" s="95"/>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202"/>
      <c r="AL194" s="34"/>
    </row>
    <row r="195" spans="1:38" ht="14.4" customHeight="1" x14ac:dyDescent="0.3">
      <c r="A195" s="95"/>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202"/>
      <c r="AL195" s="34"/>
    </row>
    <row r="196" spans="1:38" ht="14.4" customHeight="1" x14ac:dyDescent="0.3">
      <c r="A196" s="95"/>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202"/>
      <c r="AL196" s="34"/>
    </row>
    <row r="197" spans="1:38" ht="14.4" customHeight="1" x14ac:dyDescent="0.3">
      <c r="A197" s="95"/>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202"/>
      <c r="AL197" s="34"/>
    </row>
    <row r="198" spans="1:38" ht="14.4" customHeight="1" x14ac:dyDescent="0.3">
      <c r="A198" s="95"/>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202"/>
      <c r="AL198" s="34"/>
    </row>
    <row r="199" spans="1:38" ht="14.4" customHeight="1" x14ac:dyDescent="0.3">
      <c r="A199" s="95"/>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202"/>
      <c r="AL199" s="34"/>
    </row>
    <row r="200" spans="1:38" ht="14.4" customHeight="1" x14ac:dyDescent="0.3">
      <c r="A200" s="95"/>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202"/>
      <c r="AL200" s="34"/>
    </row>
    <row r="201" spans="1:38" ht="14.4" customHeight="1" x14ac:dyDescent="0.3">
      <c r="A201" s="95"/>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202"/>
      <c r="AL201" s="34"/>
    </row>
    <row r="202" spans="1:38" ht="14.4" customHeight="1" x14ac:dyDescent="0.3">
      <c r="A202" s="95"/>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202"/>
      <c r="AL202" s="34"/>
    </row>
    <row r="203" spans="1:38" ht="14.4" customHeight="1" x14ac:dyDescent="0.3">
      <c r="A203" s="95"/>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202"/>
      <c r="AL203" s="34"/>
    </row>
    <row r="204" spans="1:38" ht="14.4" customHeight="1" x14ac:dyDescent="0.3">
      <c r="A204" s="95"/>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202"/>
      <c r="AL204" s="34"/>
    </row>
    <row r="205" spans="1:38" ht="14.4" customHeight="1" x14ac:dyDescent="0.3">
      <c r="A205" s="95"/>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202"/>
      <c r="AL205" s="34"/>
    </row>
    <row r="206" spans="1:38" ht="14.4" customHeight="1" x14ac:dyDescent="0.3">
      <c r="A206" s="95"/>
      <c r="B206" s="34"/>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202"/>
      <c r="AL206" s="34"/>
    </row>
    <row r="207" spans="1:38" ht="14.4" customHeight="1" x14ac:dyDescent="0.3">
      <c r="A207" s="95"/>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202"/>
      <c r="AL207" s="34"/>
    </row>
    <row r="208" spans="1:38" ht="14.4" customHeight="1" x14ac:dyDescent="0.3">
      <c r="A208" s="95"/>
      <c r="B208" s="34"/>
      <c r="C208" s="34"/>
      <c r="D208" s="34"/>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202"/>
      <c r="AL208" s="34"/>
    </row>
    <row r="209" spans="1:38" ht="14.4" customHeight="1" x14ac:dyDescent="0.3">
      <c r="A209" s="95"/>
      <c r="B209" s="34"/>
      <c r="C209" s="34"/>
      <c r="D209" s="34"/>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202"/>
      <c r="AL209" s="34"/>
    </row>
    <row r="210" spans="1:38" ht="14.4" customHeight="1" x14ac:dyDescent="0.3">
      <c r="A210" s="95"/>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202"/>
      <c r="AL210" s="34"/>
    </row>
    <row r="211" spans="1:38" ht="14.4" customHeight="1" x14ac:dyDescent="0.3">
      <c r="A211" s="95"/>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202"/>
      <c r="AL211" s="34"/>
    </row>
    <row r="212" spans="1:38" ht="14.4" customHeight="1" x14ac:dyDescent="0.3">
      <c r="A212" s="95"/>
      <c r="B212" s="34"/>
      <c r="C212" s="34"/>
      <c r="D212" s="34"/>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202"/>
      <c r="AL212" s="34"/>
    </row>
    <row r="213" spans="1:38" ht="14.4" customHeight="1" x14ac:dyDescent="0.3">
      <c r="A213" s="95"/>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202"/>
      <c r="AL213" s="34"/>
    </row>
    <row r="214" spans="1:38" ht="14.4" customHeight="1" x14ac:dyDescent="0.3">
      <c r="A214" s="95"/>
      <c r="B214" s="34"/>
      <c r="C214" s="34"/>
      <c r="D214" s="34"/>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202"/>
      <c r="AL214" s="34"/>
    </row>
    <row r="215" spans="1:38" ht="14.4" customHeight="1" x14ac:dyDescent="0.3">
      <c r="A215" s="95"/>
      <c r="B215" s="34"/>
      <c r="C215" s="34"/>
      <c r="D215" s="34"/>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202"/>
      <c r="AL215" s="34"/>
    </row>
    <row r="216" spans="1:38" ht="14.4" customHeight="1" x14ac:dyDescent="0.3">
      <c r="A216" s="95"/>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202"/>
      <c r="AL216" s="34"/>
    </row>
    <row r="217" spans="1:38" ht="14.4" customHeight="1" x14ac:dyDescent="0.3">
      <c r="A217" s="95"/>
      <c r="B217" s="34"/>
      <c r="C217" s="34"/>
      <c r="D217" s="34"/>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202"/>
      <c r="AL217" s="34"/>
    </row>
    <row r="218" spans="1:38" ht="14.4" customHeight="1" x14ac:dyDescent="0.3">
      <c r="A218" s="95"/>
      <c r="B218" s="34"/>
      <c r="C218" s="34"/>
      <c r="D218" s="34"/>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202"/>
      <c r="AL218" s="34"/>
    </row>
    <row r="219" spans="1:38" ht="14.4" customHeight="1" x14ac:dyDescent="0.3">
      <c r="A219" s="95"/>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202"/>
      <c r="AL219" s="34"/>
    </row>
    <row r="220" spans="1:38" ht="14.4" customHeight="1" x14ac:dyDescent="0.3">
      <c r="A220" s="95"/>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202"/>
      <c r="AL220" s="34"/>
    </row>
    <row r="221" spans="1:38" ht="14.4" customHeight="1" x14ac:dyDescent="0.3">
      <c r="A221" s="95"/>
      <c r="B221" s="34"/>
      <c r="C221" s="34"/>
      <c r="D221" s="34"/>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202"/>
      <c r="AL221" s="34"/>
    </row>
    <row r="222" spans="1:38" ht="14.4" customHeight="1" x14ac:dyDescent="0.3">
      <c r="A222" s="95"/>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202"/>
      <c r="AL222" s="34"/>
    </row>
    <row r="223" spans="1:38" ht="14.4" customHeight="1" x14ac:dyDescent="0.3">
      <c r="A223" s="95"/>
      <c r="B223" s="34"/>
      <c r="C223" s="34"/>
      <c r="D223" s="34"/>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202"/>
      <c r="AL223" s="34"/>
    </row>
    <row r="224" spans="1:38" ht="14.4" customHeight="1" x14ac:dyDescent="0.3">
      <c r="A224" s="95"/>
      <c r="B224" s="34"/>
      <c r="C224" s="34"/>
      <c r="D224" s="34"/>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202"/>
      <c r="AL224" s="34"/>
    </row>
    <row r="225" spans="1:38" ht="14.4" customHeight="1" x14ac:dyDescent="0.3">
      <c r="A225" s="95"/>
      <c r="B225" s="34"/>
      <c r="C225" s="34"/>
      <c r="D225" s="34"/>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202"/>
      <c r="AL225" s="34"/>
    </row>
    <row r="226" spans="1:38" ht="14.4" customHeight="1" x14ac:dyDescent="0.3">
      <c r="A226" s="95"/>
      <c r="B226" s="34"/>
      <c r="C226" s="34"/>
      <c r="D226" s="34"/>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202"/>
      <c r="AL226" s="34"/>
    </row>
    <row r="227" spans="1:38" ht="14.4" customHeight="1" x14ac:dyDescent="0.3">
      <c r="A227" s="95"/>
      <c r="B227" s="34"/>
      <c r="C227" s="34"/>
      <c r="D227" s="34"/>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202"/>
      <c r="AL227" s="34"/>
    </row>
    <row r="228" spans="1:38" ht="14.4" customHeight="1" x14ac:dyDescent="0.3">
      <c r="A228" s="95"/>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202"/>
      <c r="AL228" s="34"/>
    </row>
    <row r="229" spans="1:38" ht="14.4" customHeight="1" x14ac:dyDescent="0.3">
      <c r="A229" s="95"/>
      <c r="B229" s="34"/>
      <c r="C229" s="34"/>
      <c r="D229" s="34"/>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202"/>
      <c r="AL229" s="34"/>
    </row>
    <row r="230" spans="1:38" ht="14.4" customHeight="1" x14ac:dyDescent="0.3">
      <c r="A230" s="95"/>
      <c r="B230" s="34"/>
      <c r="C230" s="34"/>
      <c r="D230" s="34"/>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202"/>
      <c r="AL230" s="34"/>
    </row>
    <row r="231" spans="1:38" ht="14.4" customHeight="1" x14ac:dyDescent="0.3">
      <c r="A231" s="95"/>
      <c r="B231" s="34"/>
      <c r="C231" s="34"/>
      <c r="D231" s="34"/>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202"/>
      <c r="AL231" s="34"/>
    </row>
    <row r="232" spans="1:38" ht="14.4" customHeight="1" x14ac:dyDescent="0.3">
      <c r="A232" s="95"/>
      <c r="B232" s="34"/>
      <c r="C232" s="34"/>
      <c r="D232" s="34"/>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202"/>
      <c r="AL232" s="34"/>
    </row>
    <row r="233" spans="1:38" ht="14.4" customHeight="1" x14ac:dyDescent="0.3">
      <c r="A233" s="95"/>
      <c r="B233" s="34"/>
      <c r="C233" s="34"/>
      <c r="D233" s="34"/>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202"/>
      <c r="AL233" s="34"/>
    </row>
    <row r="234" spans="1:38" ht="14.4" customHeight="1" x14ac:dyDescent="0.3">
      <c r="A234" s="95"/>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202"/>
      <c r="AL234" s="34"/>
    </row>
    <row r="235" spans="1:38" ht="14.4" customHeight="1" x14ac:dyDescent="0.3">
      <c r="A235" s="95"/>
      <c r="B235" s="34"/>
      <c r="C235" s="34"/>
      <c r="D235" s="34"/>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202"/>
      <c r="AL235" s="34"/>
    </row>
    <row r="236" spans="1:38" ht="14.4" customHeight="1" x14ac:dyDescent="0.3">
      <c r="A236" s="95"/>
      <c r="B236" s="34"/>
      <c r="C236" s="34"/>
      <c r="D236" s="34"/>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202"/>
      <c r="AL236" s="34"/>
    </row>
    <row r="237" spans="1:38" ht="14.4" customHeight="1" x14ac:dyDescent="0.3">
      <c r="A237" s="95"/>
      <c r="B237" s="34"/>
      <c r="C237" s="34"/>
      <c r="D237" s="34"/>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202"/>
      <c r="AL237" s="34"/>
    </row>
    <row r="238" spans="1:38" ht="14.4" customHeight="1" x14ac:dyDescent="0.3">
      <c r="A238" s="95"/>
      <c r="B238" s="34"/>
      <c r="C238" s="34"/>
      <c r="D238" s="34"/>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202"/>
      <c r="AL238" s="34"/>
    </row>
    <row r="239" spans="1:38" ht="14.4" customHeight="1" x14ac:dyDescent="0.3">
      <c r="A239" s="95"/>
      <c r="B239" s="34"/>
      <c r="C239" s="34"/>
      <c r="D239" s="34"/>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202"/>
      <c r="AL239" s="34"/>
    </row>
    <row r="240" spans="1:38" ht="14.4" customHeight="1" x14ac:dyDescent="0.3">
      <c r="A240" s="95"/>
      <c r="B240" s="34"/>
      <c r="C240" s="34"/>
      <c r="D240" s="34"/>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202"/>
      <c r="AL240" s="34"/>
    </row>
    <row r="241" spans="1:38" ht="14.4" customHeight="1" x14ac:dyDescent="0.3">
      <c r="A241" s="95"/>
      <c r="B241" s="34"/>
      <c r="C241" s="34"/>
      <c r="D241" s="34"/>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202"/>
      <c r="AL241" s="34"/>
    </row>
    <row r="242" spans="1:38" ht="14.4" customHeight="1" x14ac:dyDescent="0.3">
      <c r="A242" s="95"/>
      <c r="B242" s="34"/>
      <c r="C242" s="34"/>
      <c r="D242" s="34"/>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202"/>
      <c r="AL242" s="34"/>
    </row>
    <row r="243" spans="1:38" ht="14.4" customHeight="1" x14ac:dyDescent="0.3">
      <c r="A243" s="95"/>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202"/>
      <c r="AL243" s="34"/>
    </row>
    <row r="244" spans="1:38" ht="14.4" customHeight="1" x14ac:dyDescent="0.3">
      <c r="A244" s="95"/>
      <c r="B244" s="34"/>
      <c r="C244" s="34"/>
      <c r="D244" s="34"/>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202"/>
      <c r="AL244" s="34"/>
    </row>
    <row r="245" spans="1:38" ht="14.4" customHeight="1" x14ac:dyDescent="0.3">
      <c r="A245" s="95"/>
      <c r="B245" s="34"/>
      <c r="C245" s="34"/>
      <c r="D245" s="34"/>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202"/>
      <c r="AL245" s="34"/>
    </row>
    <row r="246" spans="1:38" ht="14.4" customHeight="1" x14ac:dyDescent="0.3">
      <c r="A246" s="95"/>
      <c r="B246" s="34"/>
      <c r="C246" s="34"/>
      <c r="D246" s="34"/>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202"/>
      <c r="AL246" s="34"/>
    </row>
    <row r="247" spans="1:38" ht="14.4" customHeight="1" x14ac:dyDescent="0.3">
      <c r="A247" s="95"/>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202"/>
      <c r="AL247" s="34"/>
    </row>
    <row r="248" spans="1:38" ht="14.4" customHeight="1" x14ac:dyDescent="0.3">
      <c r="A248" s="95"/>
      <c r="B248" s="34"/>
      <c r="C248" s="34"/>
      <c r="D248" s="34"/>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202"/>
      <c r="AL248" s="34"/>
    </row>
    <row r="249" spans="1:38" ht="14.4" customHeight="1" x14ac:dyDescent="0.3">
      <c r="A249" s="95"/>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202"/>
      <c r="AL249" s="34"/>
    </row>
    <row r="250" spans="1:38" ht="14.4" customHeight="1" x14ac:dyDescent="0.3">
      <c r="A250" s="95"/>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202"/>
      <c r="AL250" s="34"/>
    </row>
    <row r="251" spans="1:38" ht="14.4" customHeight="1" x14ac:dyDescent="0.3">
      <c r="A251" s="95"/>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202"/>
      <c r="AL251" s="34"/>
    </row>
    <row r="252" spans="1:38" ht="14.4" customHeight="1" x14ac:dyDescent="0.3">
      <c r="A252" s="95"/>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202"/>
      <c r="AL252" s="34"/>
    </row>
    <row r="253" spans="1:38" ht="14.4" customHeight="1" x14ac:dyDescent="0.3">
      <c r="A253" s="95"/>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202"/>
      <c r="AL253" s="34"/>
    </row>
    <row r="254" spans="1:38" ht="14.4" customHeight="1" x14ac:dyDescent="0.3">
      <c r="A254" s="95"/>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202"/>
      <c r="AL254" s="34"/>
    </row>
    <row r="255" spans="1:38" ht="14.4" customHeight="1" x14ac:dyDescent="0.3">
      <c r="A255" s="95"/>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202"/>
      <c r="AL255" s="34"/>
    </row>
    <row r="256" spans="1:38" ht="14.4" customHeight="1" x14ac:dyDescent="0.3">
      <c r="A256" s="95"/>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202"/>
      <c r="AL256" s="34"/>
    </row>
    <row r="257" spans="1:38" ht="14.4" customHeight="1" x14ac:dyDescent="0.3">
      <c r="A257" s="95"/>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202"/>
      <c r="AL257" s="34"/>
    </row>
    <row r="258" spans="1:38" ht="14.4" customHeight="1" x14ac:dyDescent="0.3">
      <c r="A258" s="95"/>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202"/>
      <c r="AL258" s="34"/>
    </row>
    <row r="259" spans="1:38" ht="14.4" customHeight="1" x14ac:dyDescent="0.3">
      <c r="A259" s="95"/>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202"/>
      <c r="AL259" s="34"/>
    </row>
    <row r="260" spans="1:38" ht="14.4" customHeight="1" x14ac:dyDescent="0.3">
      <c r="A260" s="95"/>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202"/>
      <c r="AL260" s="34"/>
    </row>
    <row r="261" spans="1:38" ht="14.4" customHeight="1" x14ac:dyDescent="0.3">
      <c r="A261" s="95"/>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202"/>
      <c r="AL261" s="34"/>
    </row>
    <row r="262" spans="1:38" ht="14.4" customHeight="1" x14ac:dyDescent="0.3">
      <c r="A262" s="95"/>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202"/>
      <c r="AL262" s="34"/>
    </row>
    <row r="263" spans="1:38" ht="14.4" customHeight="1" x14ac:dyDescent="0.3">
      <c r="A263" s="95"/>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202"/>
      <c r="AL263" s="34"/>
    </row>
    <row r="264" spans="1:38" ht="14.4" customHeight="1" x14ac:dyDescent="0.3">
      <c r="A264" s="95"/>
      <c r="B264" s="34"/>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202"/>
      <c r="AL264" s="34"/>
    </row>
    <row r="265" spans="1:38" ht="14.4" customHeight="1" x14ac:dyDescent="0.3">
      <c r="A265" s="95"/>
      <c r="B265" s="34"/>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202"/>
      <c r="AL265" s="34"/>
    </row>
    <row r="266" spans="1:38" ht="14.4" customHeight="1" x14ac:dyDescent="0.3">
      <c r="A266" s="95"/>
      <c r="B266" s="34"/>
      <c r="C266" s="34"/>
      <c r="D266" s="34"/>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202"/>
      <c r="AL266" s="34"/>
    </row>
    <row r="267" spans="1:38" ht="14.4" customHeight="1" x14ac:dyDescent="0.3">
      <c r="A267" s="95"/>
      <c r="B267" s="34"/>
      <c r="C267" s="34"/>
      <c r="D267" s="34"/>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202"/>
      <c r="AL267" s="34"/>
    </row>
    <row r="268" spans="1:38" ht="14.4" customHeight="1" x14ac:dyDescent="0.3">
      <c r="A268" s="95"/>
      <c r="B268" s="34"/>
      <c r="C268" s="34"/>
      <c r="D268" s="34"/>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202"/>
      <c r="AL268" s="34"/>
    </row>
    <row r="269" spans="1:38" ht="14.4" customHeight="1" x14ac:dyDescent="0.3">
      <c r="A269" s="95"/>
      <c r="B269" s="34"/>
      <c r="C269" s="34"/>
      <c r="D269" s="34"/>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202"/>
      <c r="AL269" s="34"/>
    </row>
    <row r="270" spans="1:38" ht="14.4" customHeight="1" x14ac:dyDescent="0.3">
      <c r="A270" s="95"/>
      <c r="B270" s="34"/>
      <c r="C270" s="34"/>
      <c r="D270" s="34"/>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202"/>
      <c r="AL270" s="34"/>
    </row>
    <row r="271" spans="1:38" ht="14.4" customHeight="1" x14ac:dyDescent="0.3">
      <c r="A271" s="95"/>
      <c r="B271" s="34"/>
      <c r="C271" s="34"/>
      <c r="D271" s="34"/>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202"/>
      <c r="AL271" s="34"/>
    </row>
    <row r="272" spans="1:38" ht="14.4" customHeight="1" x14ac:dyDescent="0.3">
      <c r="A272" s="95"/>
      <c r="B272" s="34"/>
      <c r="C272" s="34"/>
      <c r="D272" s="34"/>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202"/>
      <c r="AL272" s="34"/>
    </row>
    <row r="273" spans="1:38" ht="14.4" customHeight="1" x14ac:dyDescent="0.3">
      <c r="A273" s="95"/>
      <c r="B273" s="34"/>
      <c r="C273" s="34"/>
      <c r="D273" s="34"/>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202"/>
      <c r="AL273" s="34"/>
    </row>
    <row r="274" spans="1:38" ht="14.4" customHeight="1" x14ac:dyDescent="0.3">
      <c r="A274" s="95"/>
      <c r="B274" s="34"/>
      <c r="C274" s="34"/>
      <c r="D274" s="34"/>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202"/>
      <c r="AL274" s="34"/>
    </row>
    <row r="275" spans="1:38" ht="14.4" customHeight="1" x14ac:dyDescent="0.3">
      <c r="A275" s="95"/>
      <c r="B275" s="34"/>
      <c r="C275" s="34"/>
      <c r="D275" s="34"/>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202"/>
      <c r="AL275" s="34"/>
    </row>
    <row r="276" spans="1:38" ht="14.4" customHeight="1" x14ac:dyDescent="0.3">
      <c r="A276" s="95"/>
      <c r="B276" s="34"/>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202"/>
      <c r="AL276" s="34"/>
    </row>
    <row r="277" spans="1:38" ht="14.4" customHeight="1" x14ac:dyDescent="0.3">
      <c r="A277" s="95"/>
      <c r="B277" s="34"/>
      <c r="C277" s="34"/>
      <c r="D277" s="34"/>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202"/>
      <c r="AL277" s="34"/>
    </row>
    <row r="278" spans="1:38" ht="14.4" customHeight="1" x14ac:dyDescent="0.3">
      <c r="A278" s="95"/>
      <c r="B278" s="34"/>
      <c r="C278" s="34"/>
      <c r="D278" s="34"/>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202"/>
      <c r="AL278" s="34"/>
    </row>
    <row r="279" spans="1:38" ht="14.4" customHeight="1" x14ac:dyDescent="0.3">
      <c r="A279" s="95"/>
      <c r="B279" s="34"/>
      <c r="C279" s="34"/>
      <c r="D279" s="34"/>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202"/>
      <c r="AL279" s="34"/>
    </row>
    <row r="280" spans="1:38" ht="14.4" customHeight="1" x14ac:dyDescent="0.3">
      <c r="A280" s="95"/>
      <c r="B280" s="34"/>
      <c r="C280" s="34"/>
      <c r="D280" s="34"/>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202"/>
      <c r="AL280" s="34"/>
    </row>
    <row r="281" spans="1:38" ht="14.4" customHeight="1" x14ac:dyDescent="0.3"/>
    <row r="282" spans="1:38" ht="14.4" customHeight="1" x14ac:dyDescent="0.3"/>
    <row r="283" spans="1:38" ht="14.4" customHeight="1" x14ac:dyDescent="0.3"/>
    <row r="284" spans="1:38" ht="14.4" customHeight="1" x14ac:dyDescent="0.3"/>
    <row r="285" spans="1:38" ht="14.4" customHeight="1" x14ac:dyDescent="0.3"/>
    <row r="286" spans="1:38" ht="14.4" customHeight="1" x14ac:dyDescent="0.3"/>
    <row r="287" spans="1:38" ht="14.4" customHeight="1" x14ac:dyDescent="0.3"/>
    <row r="288" spans="1:38" ht="14.4" customHeight="1" x14ac:dyDescent="0.3"/>
    <row r="289" ht="14.4" customHeight="1" x14ac:dyDescent="0.3"/>
    <row r="290" ht="14.4" customHeight="1" x14ac:dyDescent="0.3"/>
    <row r="291" ht="14.4" customHeight="1" x14ac:dyDescent="0.3"/>
    <row r="292" ht="14.4" customHeight="1" x14ac:dyDescent="0.3"/>
    <row r="293" ht="14.4" customHeight="1" x14ac:dyDescent="0.3"/>
    <row r="294" ht="14.4" customHeight="1" x14ac:dyDescent="0.3"/>
    <row r="295" ht="14.4" customHeight="1" x14ac:dyDescent="0.3"/>
    <row r="296" ht="14.4" customHeight="1" x14ac:dyDescent="0.3"/>
    <row r="297" ht="14.4" customHeight="1" x14ac:dyDescent="0.3"/>
    <row r="298" ht="14.4" customHeight="1" x14ac:dyDescent="0.3"/>
    <row r="299" ht="14.4" customHeight="1" x14ac:dyDescent="0.3"/>
    <row r="300" ht="14.4" customHeight="1" x14ac:dyDescent="0.3"/>
    <row r="301" ht="14.4" customHeight="1" x14ac:dyDescent="0.3"/>
    <row r="302" ht="14.4" customHeight="1" x14ac:dyDescent="0.3"/>
    <row r="303" ht="14.4" customHeight="1" x14ac:dyDescent="0.3"/>
    <row r="304" ht="14.4" customHeight="1" x14ac:dyDescent="0.3"/>
    <row r="305" ht="14.4" customHeight="1" x14ac:dyDescent="0.3"/>
    <row r="306" ht="14.4" customHeight="1" x14ac:dyDescent="0.3"/>
    <row r="307" ht="14.4" customHeight="1" x14ac:dyDescent="0.3"/>
    <row r="308" ht="14.4" customHeight="1" x14ac:dyDescent="0.3"/>
    <row r="309" ht="14.4" customHeight="1" x14ac:dyDescent="0.3"/>
    <row r="310" ht="14.4" customHeight="1" x14ac:dyDescent="0.3"/>
    <row r="311" ht="14.4" customHeight="1" x14ac:dyDescent="0.3"/>
    <row r="312" ht="14.4" customHeight="1" x14ac:dyDescent="0.3"/>
    <row r="313" ht="14.4" customHeight="1" x14ac:dyDescent="0.3"/>
    <row r="314" ht="14.4" customHeight="1" x14ac:dyDescent="0.3"/>
    <row r="315" ht="14.4" customHeight="1" x14ac:dyDescent="0.3"/>
    <row r="316" ht="14.4" customHeight="1" x14ac:dyDescent="0.3"/>
    <row r="317" ht="14.4" customHeight="1" x14ac:dyDescent="0.3"/>
    <row r="318" ht="14.4" customHeight="1" x14ac:dyDescent="0.3"/>
    <row r="319" ht="14.4" customHeight="1" x14ac:dyDescent="0.3"/>
    <row r="320" ht="14.4" customHeight="1" x14ac:dyDescent="0.3"/>
    <row r="321" ht="14.4" customHeight="1" x14ac:dyDescent="0.3"/>
    <row r="322" ht="14.4" customHeight="1" x14ac:dyDescent="0.3"/>
    <row r="323" ht="14.4" customHeight="1" x14ac:dyDescent="0.3"/>
    <row r="324" ht="14.4" customHeight="1" x14ac:dyDescent="0.3"/>
    <row r="325" ht="14.4" customHeight="1" x14ac:dyDescent="0.3"/>
    <row r="326" ht="14.4" customHeight="1" x14ac:dyDescent="0.3"/>
    <row r="327" ht="14.4" customHeight="1" x14ac:dyDescent="0.3"/>
    <row r="328" ht="14.4" customHeight="1" x14ac:dyDescent="0.3"/>
    <row r="329" ht="14.4" customHeight="1" x14ac:dyDescent="0.3"/>
    <row r="330" ht="14.4" customHeight="1" x14ac:dyDescent="0.3"/>
    <row r="331" ht="14.4" customHeight="1" x14ac:dyDescent="0.3"/>
    <row r="332" ht="14.4" customHeight="1" x14ac:dyDescent="0.3"/>
    <row r="333" ht="14.4" customHeight="1" x14ac:dyDescent="0.3"/>
    <row r="334" ht="14.4" customHeight="1" x14ac:dyDescent="0.3"/>
    <row r="335" ht="14.4" customHeight="1" x14ac:dyDescent="0.3"/>
    <row r="336" ht="14.4" customHeight="1" x14ac:dyDescent="0.3"/>
    <row r="337" ht="14.4" customHeight="1" x14ac:dyDescent="0.3"/>
    <row r="338" ht="14.4" customHeight="1" x14ac:dyDescent="0.3"/>
    <row r="339" ht="14.4" customHeight="1" x14ac:dyDescent="0.3"/>
    <row r="340" ht="14.4" customHeight="1" x14ac:dyDescent="0.3"/>
    <row r="341" ht="14.4" customHeight="1" x14ac:dyDescent="0.3"/>
    <row r="342" ht="14.4" customHeight="1" x14ac:dyDescent="0.3"/>
    <row r="343" ht="14.4" customHeight="1" x14ac:dyDescent="0.3"/>
    <row r="344" ht="14.4" customHeight="1" x14ac:dyDescent="0.3"/>
    <row r="345" ht="14.4" customHeight="1" x14ac:dyDescent="0.3"/>
    <row r="346" ht="14.4" customHeight="1" x14ac:dyDescent="0.3"/>
    <row r="347" ht="14.4" customHeight="1" x14ac:dyDescent="0.3"/>
    <row r="348" ht="14.4" customHeight="1" x14ac:dyDescent="0.3"/>
    <row r="349" ht="14.4" customHeight="1" x14ac:dyDescent="0.3"/>
    <row r="350" ht="14.4" customHeight="1" x14ac:dyDescent="0.3"/>
    <row r="351" ht="14.4" customHeight="1" x14ac:dyDescent="0.3"/>
    <row r="352" ht="14.4" customHeight="1" x14ac:dyDescent="0.3"/>
    <row r="353" ht="14.4" customHeight="1" x14ac:dyDescent="0.3"/>
    <row r="354" ht="14.4" customHeight="1" x14ac:dyDescent="0.3"/>
    <row r="355" ht="14.4" customHeight="1" x14ac:dyDescent="0.3"/>
    <row r="356" ht="14.4" customHeight="1" x14ac:dyDescent="0.3"/>
    <row r="357" ht="14.4" customHeight="1" x14ac:dyDescent="0.3"/>
    <row r="358" ht="14.4" customHeight="1" x14ac:dyDescent="0.3"/>
    <row r="359" ht="14.4" customHeight="1" x14ac:dyDescent="0.3"/>
    <row r="360" ht="14.4" customHeight="1" x14ac:dyDescent="0.3"/>
    <row r="361" ht="14.4" customHeight="1" x14ac:dyDescent="0.3"/>
    <row r="362" ht="14.4" customHeight="1" x14ac:dyDescent="0.3"/>
    <row r="363" ht="14.4" customHeight="1" x14ac:dyDescent="0.3"/>
    <row r="364" ht="14.4" customHeight="1" x14ac:dyDescent="0.3"/>
    <row r="365" ht="14.4" customHeight="1" x14ac:dyDescent="0.3"/>
    <row r="366" ht="14.4" customHeight="1" x14ac:dyDescent="0.3"/>
    <row r="367" ht="14.4" customHeight="1" x14ac:dyDescent="0.3"/>
    <row r="368" ht="14.4" customHeight="1" x14ac:dyDescent="0.3"/>
    <row r="369" ht="14.4" customHeight="1" x14ac:dyDescent="0.3"/>
    <row r="370" ht="14.4" customHeight="1" x14ac:dyDescent="0.3"/>
    <row r="371" ht="14.4" customHeight="1" x14ac:dyDescent="0.3"/>
    <row r="372" ht="14.4" customHeight="1" x14ac:dyDescent="0.3"/>
    <row r="373" ht="14.4" customHeight="1" x14ac:dyDescent="0.3"/>
    <row r="374" ht="14.4" customHeight="1" x14ac:dyDescent="0.3"/>
    <row r="375" ht="14.4" customHeight="1" x14ac:dyDescent="0.3"/>
    <row r="376" ht="14.4" customHeight="1" x14ac:dyDescent="0.3"/>
    <row r="377" ht="14.4" customHeight="1" x14ac:dyDescent="0.3"/>
    <row r="378" ht="14.4" customHeight="1" x14ac:dyDescent="0.3"/>
    <row r="379" ht="14.4" customHeight="1" x14ac:dyDescent="0.3"/>
    <row r="380" ht="14.4" customHeight="1" x14ac:dyDescent="0.3"/>
    <row r="381" ht="14.4" customHeight="1" x14ac:dyDescent="0.3"/>
    <row r="382" ht="14.4" customHeight="1" x14ac:dyDescent="0.3"/>
    <row r="383" ht="14.4" customHeight="1" x14ac:dyDescent="0.3"/>
    <row r="384" ht="14.4" customHeight="1" x14ac:dyDescent="0.3"/>
    <row r="385" ht="14.4" customHeight="1" x14ac:dyDescent="0.3"/>
    <row r="386" ht="14.4" customHeight="1" x14ac:dyDescent="0.3"/>
    <row r="387" ht="14.4" customHeight="1" x14ac:dyDescent="0.3"/>
    <row r="388" ht="14.4" customHeight="1" x14ac:dyDescent="0.3"/>
    <row r="389" ht="14.4" customHeight="1" x14ac:dyDescent="0.3"/>
    <row r="390" ht="14.4" customHeight="1" x14ac:dyDescent="0.3"/>
    <row r="391" ht="14.4" customHeight="1" x14ac:dyDescent="0.3"/>
    <row r="392" ht="14.4" customHeight="1" x14ac:dyDescent="0.3"/>
    <row r="393" ht="14.4" customHeight="1" x14ac:dyDescent="0.3"/>
    <row r="394" ht="14.4" customHeight="1" x14ac:dyDescent="0.3"/>
    <row r="395" ht="14.4" customHeight="1" x14ac:dyDescent="0.3"/>
    <row r="396" ht="14.4" customHeight="1" x14ac:dyDescent="0.3"/>
    <row r="397" ht="14.4" customHeight="1" x14ac:dyDescent="0.3"/>
    <row r="398" ht="14.4" customHeight="1" x14ac:dyDescent="0.3"/>
    <row r="399" ht="14.4" customHeight="1" x14ac:dyDescent="0.3"/>
    <row r="400" ht="14.4" customHeight="1" x14ac:dyDescent="0.3"/>
    <row r="401" ht="14.4" customHeight="1" x14ac:dyDescent="0.3"/>
    <row r="402" ht="14.4" customHeight="1" x14ac:dyDescent="0.3"/>
    <row r="403" ht="14.4" customHeight="1" x14ac:dyDescent="0.3"/>
    <row r="404" ht="14.4" customHeight="1" x14ac:dyDescent="0.3"/>
    <row r="405" ht="14.4" customHeight="1" x14ac:dyDescent="0.3"/>
    <row r="406" ht="14.4" customHeight="1" x14ac:dyDescent="0.3"/>
    <row r="407" ht="14.4" customHeight="1" x14ac:dyDescent="0.3"/>
    <row r="408" ht="14.4" customHeight="1" x14ac:dyDescent="0.3"/>
    <row r="409" ht="14.4" customHeight="1" x14ac:dyDescent="0.3"/>
    <row r="410" ht="14.4" customHeight="1" x14ac:dyDescent="0.3"/>
    <row r="411" ht="14.4" customHeight="1" x14ac:dyDescent="0.3"/>
    <row r="412" ht="14.4" customHeight="1" x14ac:dyDescent="0.3"/>
    <row r="413" ht="14.4" customHeight="1" x14ac:dyDescent="0.3"/>
    <row r="414" ht="14.4" customHeight="1" x14ac:dyDescent="0.3"/>
    <row r="415" ht="14.4" customHeight="1" x14ac:dyDescent="0.3"/>
    <row r="416" ht="14.4" customHeight="1" x14ac:dyDescent="0.3"/>
    <row r="417" ht="14.4" customHeight="1" x14ac:dyDescent="0.3"/>
    <row r="418" ht="14.4" customHeight="1" x14ac:dyDescent="0.3"/>
    <row r="419" ht="14.4" customHeight="1" x14ac:dyDescent="0.3"/>
    <row r="420" ht="14.4" customHeight="1" x14ac:dyDescent="0.3"/>
    <row r="421" ht="14.4" customHeight="1" x14ac:dyDescent="0.3"/>
    <row r="422" ht="14.4" customHeight="1" x14ac:dyDescent="0.3"/>
    <row r="423" ht="14.4" customHeight="1" x14ac:dyDescent="0.3"/>
    <row r="424" ht="14.4" customHeight="1" x14ac:dyDescent="0.3"/>
    <row r="425" ht="14.4" customHeight="1" x14ac:dyDescent="0.3"/>
    <row r="426" ht="14.4" customHeight="1" x14ac:dyDescent="0.3"/>
    <row r="427" ht="14.4" customHeight="1" x14ac:dyDescent="0.3"/>
    <row r="428" ht="14.4" customHeight="1" x14ac:dyDescent="0.3"/>
    <row r="429" ht="14.4" customHeight="1" x14ac:dyDescent="0.3"/>
    <row r="430" ht="14.4" customHeight="1" x14ac:dyDescent="0.3"/>
    <row r="431" ht="14.4" customHeight="1" x14ac:dyDescent="0.3"/>
    <row r="432" ht="14.4" customHeight="1" x14ac:dyDescent="0.3"/>
    <row r="433" ht="14.4" customHeight="1" x14ac:dyDescent="0.3"/>
    <row r="434" ht="14.4" customHeight="1" x14ac:dyDescent="0.3"/>
    <row r="435" ht="14.4" customHeight="1" x14ac:dyDescent="0.3"/>
    <row r="436" ht="14.4" customHeight="1" x14ac:dyDescent="0.3"/>
    <row r="437" ht="14.4" customHeight="1" x14ac:dyDescent="0.3"/>
    <row r="438" ht="14.4" customHeight="1" x14ac:dyDescent="0.3"/>
    <row r="439" ht="14.4" customHeight="1" x14ac:dyDescent="0.3"/>
    <row r="440" ht="14.4" customHeight="1" x14ac:dyDescent="0.3"/>
    <row r="441" ht="14.4" customHeight="1" x14ac:dyDescent="0.3"/>
    <row r="442" ht="14.4" customHeight="1" x14ac:dyDescent="0.3"/>
    <row r="443" ht="14.4" customHeight="1" x14ac:dyDescent="0.3"/>
    <row r="444" ht="14.4" customHeight="1" x14ac:dyDescent="0.3"/>
    <row r="445" ht="14.4" customHeight="1" x14ac:dyDescent="0.3"/>
    <row r="446" ht="14.4" customHeight="1" x14ac:dyDescent="0.3"/>
    <row r="447" ht="14.4" customHeight="1" x14ac:dyDescent="0.3"/>
    <row r="448" ht="14.4" customHeight="1" x14ac:dyDescent="0.3"/>
    <row r="449" ht="14.4" customHeight="1" x14ac:dyDescent="0.3"/>
    <row r="450" ht="14.4" customHeight="1" x14ac:dyDescent="0.3"/>
    <row r="451" ht="14.4" customHeight="1" x14ac:dyDescent="0.3"/>
    <row r="452" ht="14.4" customHeight="1" x14ac:dyDescent="0.3"/>
    <row r="453" ht="14.4" customHeight="1" x14ac:dyDescent="0.3"/>
    <row r="454" ht="14.4" customHeight="1" x14ac:dyDescent="0.3"/>
    <row r="455" ht="14.4" customHeight="1" x14ac:dyDescent="0.3"/>
    <row r="456" ht="14.4" customHeight="1" x14ac:dyDescent="0.3"/>
    <row r="457" ht="14.4" customHeight="1" x14ac:dyDescent="0.3"/>
    <row r="458" ht="14.4" customHeight="1" x14ac:dyDescent="0.3"/>
    <row r="459" ht="14.4" customHeight="1" x14ac:dyDescent="0.3"/>
    <row r="460" ht="14.4" customHeight="1" x14ac:dyDescent="0.3"/>
    <row r="461" ht="14.4" customHeight="1" x14ac:dyDescent="0.3"/>
    <row r="462" ht="14.4" customHeight="1" x14ac:dyDescent="0.3"/>
    <row r="463" ht="14.4" customHeight="1" x14ac:dyDescent="0.3"/>
    <row r="464" ht="14.4" customHeight="1" x14ac:dyDescent="0.3"/>
    <row r="465" ht="14.4" customHeight="1" x14ac:dyDescent="0.3"/>
    <row r="466" ht="14.4" customHeight="1" x14ac:dyDescent="0.3"/>
    <row r="467" ht="14.4" customHeight="1" x14ac:dyDescent="0.3"/>
    <row r="468" ht="14.4" customHeight="1" x14ac:dyDescent="0.3"/>
    <row r="469" ht="14.4" customHeight="1" x14ac:dyDescent="0.3"/>
    <row r="470" ht="14.4" customHeight="1" x14ac:dyDescent="0.3"/>
    <row r="471" ht="14.4" customHeight="1" x14ac:dyDescent="0.3"/>
    <row r="472" ht="14.4" customHeight="1" x14ac:dyDescent="0.3"/>
    <row r="473" ht="14.4" customHeight="1" x14ac:dyDescent="0.3"/>
    <row r="474" ht="14.4" customHeight="1" x14ac:dyDescent="0.3"/>
    <row r="475" ht="14.4" customHeight="1" x14ac:dyDescent="0.3"/>
    <row r="476" ht="14.4" customHeight="1" x14ac:dyDescent="0.3"/>
    <row r="477" ht="14.4" customHeight="1" x14ac:dyDescent="0.3"/>
    <row r="478" ht="14.4" customHeight="1" x14ac:dyDescent="0.3"/>
    <row r="479" ht="14.4" customHeight="1" x14ac:dyDescent="0.3"/>
    <row r="480" ht="14.4" customHeight="1" x14ac:dyDescent="0.3"/>
    <row r="481" ht="14.4" customHeight="1" x14ac:dyDescent="0.3"/>
    <row r="482" ht="14.4" customHeight="1" x14ac:dyDescent="0.3"/>
    <row r="483" ht="14.4" customHeight="1" x14ac:dyDescent="0.3"/>
    <row r="484" ht="14.4" customHeight="1" x14ac:dyDescent="0.3"/>
    <row r="485" ht="14.4" customHeight="1" x14ac:dyDescent="0.3"/>
    <row r="486" ht="14.4" customHeight="1" x14ac:dyDescent="0.3"/>
    <row r="487" ht="14.4" customHeight="1" x14ac:dyDescent="0.3"/>
    <row r="488" ht="14.4" customHeight="1" x14ac:dyDescent="0.3"/>
    <row r="489" ht="14.4" customHeight="1" x14ac:dyDescent="0.3"/>
    <row r="490" ht="14.4" customHeight="1" x14ac:dyDescent="0.3"/>
    <row r="491" ht="14.4" customHeight="1" x14ac:dyDescent="0.3"/>
    <row r="492" ht="14.4" customHeight="1" x14ac:dyDescent="0.3"/>
    <row r="493" ht="14.4" customHeight="1" x14ac:dyDescent="0.3"/>
    <row r="494" ht="14.4" customHeight="1" x14ac:dyDescent="0.3"/>
    <row r="495" ht="14.4" customHeight="1" x14ac:dyDescent="0.3"/>
    <row r="496" ht="14.4" customHeight="1" x14ac:dyDescent="0.3"/>
    <row r="497" ht="14.4" customHeight="1" x14ac:dyDescent="0.3"/>
    <row r="498" ht="14.4" customHeight="1" x14ac:dyDescent="0.3"/>
    <row r="499" ht="14.4" customHeight="1" x14ac:dyDescent="0.3"/>
    <row r="500" ht="14.4" customHeight="1" x14ac:dyDescent="0.3"/>
    <row r="535" spans="2:38" x14ac:dyDescent="0.3">
      <c r="B535" s="95"/>
      <c r="D535" s="95"/>
      <c r="E535" s="95"/>
      <c r="F535" s="95"/>
      <c r="G535" s="95"/>
      <c r="J535" s="95"/>
      <c r="K535" s="95"/>
      <c r="L535" s="95"/>
      <c r="M535" s="95"/>
      <c r="N535" s="95"/>
      <c r="O535" s="95"/>
      <c r="P535" s="95"/>
      <c r="Q535" s="95"/>
      <c r="S535" s="95"/>
      <c r="T535" s="95"/>
      <c r="U535" s="95"/>
      <c r="V535" s="95"/>
      <c r="W535" s="95"/>
      <c r="X535" s="95"/>
      <c r="Y535" s="95"/>
      <c r="Z535" s="95"/>
      <c r="AA535" s="95"/>
      <c r="AB535" s="95"/>
      <c r="AD535" s="95"/>
      <c r="AE535" s="95"/>
      <c r="AF535" s="95"/>
      <c r="AG535" s="95"/>
      <c r="AH535" s="95"/>
      <c r="AI535" s="95"/>
      <c r="AJ535" s="95"/>
      <c r="AK535" s="95"/>
      <c r="AL535" s="95"/>
    </row>
  </sheetData>
  <autoFilter ref="A1:AL280"/>
  <conditionalFormatting sqref="A2:T600">
    <cfRule type="expression" dxfId="4" priority="1">
      <formula>$C2="Feature"</formula>
    </cfRule>
    <cfRule type="expression" dxfId="3" priority="2">
      <formula>$C2="Program Epic"</formula>
    </cfRule>
  </conditionalFormatting>
  <hyperlinks>
    <hyperlink ref="A3" r:id="rId1" location="action=com.ibm.team.workitem.viewWorkItem&amp;id=1016405" display="https://gdccm01.gddsi.com:9443/ccm/web/projects/MUOS SAFe 4.0 Project - action=com.ibm.team.workitem.viewWorkItem&amp;id=1016405"/>
    <hyperlink ref="A4" r:id="rId2" location="action=com.ibm.team.workitem.viewWorkItem&amp;id=1016383" display="https://gdccm01.gddsi.com:9443/ccm/web/projects/MUOS SAFe 4.0 Project - action=com.ibm.team.workitem.viewWorkItem&amp;id=1016383"/>
    <hyperlink ref="A5" r:id="rId3" location="action=com.ibm.team.workitem.viewWorkItem&amp;id=1015911" display="https://gdccm01.gddsi.com:9443/ccm/web/projects/MUOS SAFe 4.0 Project - action=com.ibm.team.workitem.viewWorkItem&amp;id=1015911"/>
    <hyperlink ref="A6" r:id="rId4" location="action=com.ibm.team.workitem.viewWorkItem&amp;id=1015827" display="https://gdccm01.gddsi.com:9443/ccm/web/projects/MUOS SAFe 4.0 Project - action=com.ibm.team.workitem.viewWorkItem&amp;id=1015827"/>
    <hyperlink ref="A7" r:id="rId5" location="action=com.ibm.team.workitem.viewWorkItem&amp;id=1015603" display="https://gdccm01.gddsi.com:9443/ccm/web/projects/MUOS SAFe 4.0 Project - action=com.ibm.team.workitem.viewWorkItem&amp;id=1015603"/>
    <hyperlink ref="A8" r:id="rId6" location="action=com.ibm.team.workitem.viewWorkItem&amp;id=1015565" display="https://gdccm01.gddsi.com:9443/ccm/web/projects/MUOS SAFe 4.0 Project - action=com.ibm.team.workitem.viewWorkItem&amp;id=1015565"/>
    <hyperlink ref="A9" r:id="rId7" location="action=com.ibm.team.workitem.viewWorkItem&amp;id=1015467" display="https://gdccm01.gddsi.com:9443/ccm/web/projects/MUOS SAFe 4.0 Project - action=com.ibm.team.workitem.viewWorkItem&amp;id=1015467"/>
    <hyperlink ref="A10" r:id="rId8" location="action=com.ibm.team.workitem.viewWorkItem&amp;id=1015458" display="https://gdccm01.gddsi.com:9443/ccm/web/projects/MUOS SAFe 4.0 Project - action=com.ibm.team.workitem.viewWorkItem&amp;id=1015458"/>
    <hyperlink ref="A11" r:id="rId9" location="action=com.ibm.team.workitem.viewWorkItem&amp;id=1015439" display="https://gdccm01.gddsi.com:9443/ccm/web/projects/MUOS SAFe 4.0 Project - action=com.ibm.team.workitem.viewWorkItem&amp;id=1015439"/>
    <hyperlink ref="A12" r:id="rId10" location="action=com.ibm.team.workitem.viewWorkItem&amp;id=1015438" display="https://gdccm01.gddsi.com:9443/ccm/web/projects/MUOS SAFe 4.0 Project - action=com.ibm.team.workitem.viewWorkItem&amp;id=1015438"/>
    <hyperlink ref="A13" r:id="rId11" location="action=com.ibm.team.workitem.viewWorkItem&amp;id=1015251" display="https://gdccm01.gddsi.com:9443/ccm/web/projects/MUOS SAFe 4.0 Project - action=com.ibm.team.workitem.viewWorkItem&amp;id=1015251"/>
    <hyperlink ref="A14" r:id="rId12" location="action=com.ibm.team.workitem.viewWorkItem&amp;id=1015250" display="https://gdccm01.gddsi.com:9443/ccm/web/projects/MUOS SAFe 4.0 Project - action=com.ibm.team.workitem.viewWorkItem&amp;id=1015250"/>
    <hyperlink ref="A15" r:id="rId13" location="action=com.ibm.team.workitem.viewWorkItem&amp;id=1015153" display="https://gdccm01.gddsi.com:9443/ccm/web/projects/MUOS SAFe 4.0 Project - action=com.ibm.team.workitem.viewWorkItem&amp;id=1015153"/>
    <hyperlink ref="A16" r:id="rId14" location="action=com.ibm.team.workitem.viewWorkItem&amp;id=1015005" display="https://gdccm01.gddsi.com:9443/ccm/web/projects/MUOS SAFe 4.0 Project - action=com.ibm.team.workitem.viewWorkItem&amp;id=1015005"/>
    <hyperlink ref="A17" r:id="rId15" location="action=com.ibm.team.workitem.viewWorkItem&amp;id=1015004" display="https://gdccm01.gddsi.com:9443/ccm/web/projects/MUOS SAFe 4.0 Project - action=com.ibm.team.workitem.viewWorkItem&amp;id=1015004"/>
    <hyperlink ref="A18" r:id="rId16" location="action=com.ibm.team.workitem.viewWorkItem&amp;id=1014602" display="https://gdccm01.gddsi.com:9443/ccm/web/projects/MUOS SAFe 4.0 Project - action=com.ibm.team.workitem.viewWorkItem&amp;id=1014602"/>
    <hyperlink ref="A19" r:id="rId17" location="action=com.ibm.team.workitem.viewWorkItem&amp;id=1014598" display="https://gdccm01.gddsi.com:9443/ccm/web/projects/MUOS SAFe 4.0 Project - action=com.ibm.team.workitem.viewWorkItem&amp;id=1014598"/>
    <hyperlink ref="A20" r:id="rId18" location="action=com.ibm.team.workitem.viewWorkItem&amp;id=1014597" display="https://gdccm01.gddsi.com:9443/ccm/web/projects/MUOS SAFe 4.0 Project - action=com.ibm.team.workitem.viewWorkItem&amp;id=1014597"/>
    <hyperlink ref="A21" r:id="rId19" location="action=com.ibm.team.workitem.viewWorkItem&amp;id=1014596" display="https://gdccm01.gddsi.com:9443/ccm/web/projects/MUOS SAFe 4.0 Project - action=com.ibm.team.workitem.viewWorkItem&amp;id=1014596"/>
    <hyperlink ref="A22" r:id="rId20" location="action=com.ibm.team.workitem.viewWorkItem&amp;id=1014595" display="https://gdccm01.gddsi.com:9443/ccm/web/projects/MUOS SAFe 4.0 Project - action=com.ibm.team.workitem.viewWorkItem&amp;id=1014595"/>
    <hyperlink ref="A23" r:id="rId21" location="action=com.ibm.team.workitem.viewWorkItem&amp;id=1014491" display="https://gdccm01.gddsi.com:9443/ccm/web/projects/MUOS SAFe 4.0 Project - action=com.ibm.team.workitem.viewWorkItem&amp;id=1014491"/>
    <hyperlink ref="A24" r:id="rId22" location="action=com.ibm.team.workitem.viewWorkItem&amp;id=1014387" display="https://gdccm01.gddsi.com:9443/ccm/web/projects/MUOS SAFe 4.0 Project - action=com.ibm.team.workitem.viewWorkItem&amp;id=1014387"/>
    <hyperlink ref="A25" r:id="rId23" location="action=com.ibm.team.workitem.viewWorkItem&amp;id=1014252" display="https://gdccm01.gddsi.com:9443/ccm/web/projects/MUOS SAFe 4.0 Project - action=com.ibm.team.workitem.viewWorkItem&amp;id=1014252"/>
    <hyperlink ref="A26" r:id="rId24" location="action=com.ibm.team.workitem.viewWorkItem&amp;id=1014023" display="https://gdccm01.gddsi.com:9443/ccm/web/projects/MUOS SAFe 4.0 Project - action=com.ibm.team.workitem.viewWorkItem&amp;id=1014023"/>
    <hyperlink ref="A27" r:id="rId25" location="action=com.ibm.team.workitem.viewWorkItem&amp;id=1014021" display="https://gdccm01.gddsi.com:9443/ccm/web/projects/MUOS SAFe 4.0 Project - action=com.ibm.team.workitem.viewWorkItem&amp;id=1014021"/>
    <hyperlink ref="A28" r:id="rId26" location="action=com.ibm.team.workitem.viewWorkItem&amp;id=1013750" display="https://gdccm01.gddsi.com:9443/ccm/web/projects/MUOS SAFe 4.0 Project - action=com.ibm.team.workitem.viewWorkItem&amp;id=1013750"/>
    <hyperlink ref="A29" r:id="rId27" location="action=com.ibm.team.workitem.viewWorkItem&amp;id=1013452" display="https://gdccm01.gddsi.com:9443/ccm/web/projects/MUOS SAFe 4.0 Project - action=com.ibm.team.workitem.viewWorkItem&amp;id=1013452"/>
    <hyperlink ref="A30" r:id="rId28" location="action=com.ibm.team.workitem.viewWorkItem&amp;id=1013280" display="https://gdccm01.gddsi.com:9443/ccm/web/projects/MUOS SAFe 4.0 Project - action=com.ibm.team.workitem.viewWorkItem&amp;id=1013280"/>
    <hyperlink ref="A31" r:id="rId29" location="action=com.ibm.team.workitem.viewWorkItem&amp;id=1013279" display="https://gdccm01.gddsi.com:9443/ccm/web/projects/MUOS SAFe 4.0 Project - action=com.ibm.team.workitem.viewWorkItem&amp;id=1013279"/>
    <hyperlink ref="A32" r:id="rId30" location="action=com.ibm.team.workitem.viewWorkItem&amp;id=1013234" display="https://gdccm01.gddsi.com:9443/ccm/web/projects/MUOS SAFe 4.0 Project - action=com.ibm.team.workitem.viewWorkItem&amp;id=1013234"/>
    <hyperlink ref="A33" r:id="rId31" location="action=com.ibm.team.workitem.viewWorkItem&amp;id=1013233" display="https://gdccm01.gddsi.com:9443/ccm/web/projects/MUOS SAFe 4.0 Project - action=com.ibm.team.workitem.viewWorkItem&amp;id=1013233"/>
    <hyperlink ref="A34" r:id="rId32" location="action=com.ibm.team.workitem.viewWorkItem&amp;id=1013220" display="https://gdccm01.gddsi.com:9443/ccm/web/projects/MUOS SAFe 4.0 Project - action=com.ibm.team.workitem.viewWorkItem&amp;id=1013220"/>
    <hyperlink ref="A35" r:id="rId33" location="action=com.ibm.team.workitem.viewWorkItem&amp;id=1013215" display="https://gdccm01.gddsi.com:9443/ccm/web/projects/MUOS SAFe 4.0 Project - action=com.ibm.team.workitem.viewWorkItem&amp;id=1013215"/>
    <hyperlink ref="A36" r:id="rId34" location="action=com.ibm.team.workitem.viewWorkItem&amp;id=1013063" display="https://gdccm01.gddsi.com:9443/ccm/web/projects/MUOS SAFe 4.0 Project - action=com.ibm.team.workitem.viewWorkItem&amp;id=1013063"/>
    <hyperlink ref="A37" r:id="rId35" location="action=com.ibm.team.workitem.viewWorkItem&amp;id=1012748" display="https://gdccm01.gddsi.com:9443/ccm/web/projects/MUOS SAFe 4.0 Project - action=com.ibm.team.workitem.viewWorkItem&amp;id=1012748"/>
    <hyperlink ref="A38" r:id="rId36" location="action=com.ibm.team.workitem.viewWorkItem&amp;id=1012099" display="https://gdccm01.gddsi.com:9443/ccm/web/projects/MUOS SAFe 4.0 Project - action=com.ibm.team.workitem.viewWorkItem&amp;id=1012099"/>
    <hyperlink ref="A39" r:id="rId37" location="action=com.ibm.team.workitem.viewWorkItem&amp;id=1012038" display="https://gdccm01.gddsi.com:9443/ccm/web/projects/MUOS SAFe 4.0 Project - action=com.ibm.team.workitem.viewWorkItem&amp;id=1012038"/>
    <hyperlink ref="A40" r:id="rId38" location="action=com.ibm.team.workitem.viewWorkItem&amp;id=1011279" display="https://gdccm01.gddsi.com:9443/ccm/web/projects/MUOS SAFe 4.0 Project - action=com.ibm.team.workitem.viewWorkItem&amp;id=1011279"/>
    <hyperlink ref="A41" r:id="rId39" location="action=com.ibm.team.workitem.viewWorkItem&amp;id=1009453" display="https://gdccm01.gddsi.com:9443/ccm/web/projects/MUOS SAFe 4.0 Project - action=com.ibm.team.workitem.viewWorkItem&amp;id=1009453"/>
    <hyperlink ref="A42" r:id="rId40" location="action=com.ibm.team.workitem.viewWorkItem&amp;id=1008506" display="https://gdccm01.gddsi.com:9443/ccm/web/projects/MUOS SAFe 4.0 Project - action=com.ibm.team.workitem.viewWorkItem&amp;id=1008506"/>
    <hyperlink ref="A43" r:id="rId41" location="action=com.ibm.team.workitem.viewWorkItem&amp;id=1007900" display="https://gdccm01.gddsi.com:9443/ccm/web/projects/MUOS SAFe 4.0 Project - action=com.ibm.team.workitem.viewWorkItem&amp;id=1007900"/>
    <hyperlink ref="A44" r:id="rId42" location="action=com.ibm.team.workitem.viewWorkItem&amp;id=1007536" display="https://gdccm01.gddsi.com:9443/ccm/web/projects/MUOS SAFe 4.0 Project - action=com.ibm.team.workitem.viewWorkItem&amp;id=1007536"/>
    <hyperlink ref="A45" r:id="rId43" location="action=com.ibm.team.workitem.viewWorkItem&amp;id=1007167" display="https://gdccm01.gddsi.com:9443/ccm/web/projects/MUOS SAFe 4.0 Project - action=com.ibm.team.workitem.viewWorkItem&amp;id=1007167"/>
    <hyperlink ref="A46" r:id="rId44" location="action=com.ibm.team.workitem.viewWorkItem&amp;id=1006483" display="https://gdccm01.gddsi.com:9443/ccm/web/projects/MUOS SAFe 4.0 Project - action=com.ibm.team.workitem.viewWorkItem&amp;id=1006483"/>
    <hyperlink ref="A47" r:id="rId45" location="action=com.ibm.team.workitem.viewWorkItem&amp;id=1006376" display="https://gdccm01.gddsi.com:9443/ccm/web/projects/MUOS SAFe 4.0 Project - action=com.ibm.team.workitem.viewWorkItem&amp;id=1006376"/>
    <hyperlink ref="A48" r:id="rId46" location="action=com.ibm.team.workitem.viewWorkItem&amp;id=1004171" display="https://gdccm01.gddsi.com:9443/ccm/web/projects/MUOS SAFe 4.0 Project - action=com.ibm.team.workitem.viewWorkItem&amp;id=1004171"/>
    <hyperlink ref="A49" r:id="rId47" location="action=com.ibm.team.workitem.viewWorkItem&amp;id=1004098" display="https://gdccm01.gddsi.com:9443/ccm/web/projects/MUOS SAFe 4.0 Project - action=com.ibm.team.workitem.viewWorkItem&amp;id=1004098"/>
    <hyperlink ref="A50" r:id="rId48" location="action=com.ibm.team.workitem.viewWorkItem&amp;id=1004094" display="https://gdccm01.gddsi.com:9443/ccm/web/projects/MUOS SAFe 4.0 Project - action=com.ibm.team.workitem.viewWorkItem&amp;id=1004094"/>
    <hyperlink ref="A51" r:id="rId49" location="action=com.ibm.team.workitem.viewWorkItem&amp;id=1003863" display="https://gdccm01.gddsi.com:9443/ccm/web/projects/MUOS SAFe 4.0 Project - action=com.ibm.team.workitem.viewWorkItem&amp;id=1003863"/>
    <hyperlink ref="A52" r:id="rId50" location="action=com.ibm.team.workitem.viewWorkItem&amp;id=1002491" display="https://gdccm01.gddsi.com:9443/ccm/web/projects/MUOS SAFe 4.0 Project - action=com.ibm.team.workitem.viewWorkItem&amp;id=1002491"/>
    <hyperlink ref="A53" r:id="rId51" location="action=com.ibm.team.workitem.viewWorkItem&amp;id=1002486" display="https://gdccm01.gddsi.com:9443/ccm/web/projects/MUOS SAFe 4.0 Project - action=com.ibm.team.workitem.viewWorkItem&amp;id=1002486"/>
    <hyperlink ref="A54" r:id="rId52" location="action=com.ibm.team.workitem.viewWorkItem&amp;id=1002428" display="https://gdccm01.gddsi.com:9443/ccm/web/projects/MUOS SAFe 4.0 Project - action=com.ibm.team.workitem.viewWorkItem&amp;id=1002428"/>
    <hyperlink ref="A55" r:id="rId53" location="action=com.ibm.team.workitem.viewWorkItem&amp;id=1002425" display="https://gdccm01.gddsi.com:9443/ccm/web/projects/MUOS SAFe 4.0 Project - action=com.ibm.team.workitem.viewWorkItem&amp;id=1002425"/>
    <hyperlink ref="A56" r:id="rId54" location="action=com.ibm.team.workitem.viewWorkItem&amp;id=1002381" display="https://gdccm01.gddsi.com:9443/ccm/web/projects/MUOS SAFe 4.0 Project - action=com.ibm.team.workitem.viewWorkItem&amp;id=1002381"/>
    <hyperlink ref="A57" r:id="rId55" location="action=com.ibm.team.workitem.viewWorkItem&amp;id=1002345" display="https://gdccm01.gddsi.com:9443/ccm/web/projects/MUOS SAFe 4.0 Project - action=com.ibm.team.workitem.viewWorkItem&amp;id=1002345"/>
    <hyperlink ref="A58" r:id="rId56" location="action=com.ibm.team.workitem.viewWorkItem&amp;id=1001248" display="https://gdccm01.gddsi.com:9443/ccm/web/projects/MUOS SAFe 4.0 Project - action=com.ibm.team.workitem.viewWorkItem&amp;id=1001248"/>
    <hyperlink ref="A59" r:id="rId57" location="action=com.ibm.team.workitem.viewWorkItem&amp;id=1000707" display="https://gdccm01.gddsi.com:9443/ccm/web/projects/MUOS SAFe 4.0 Project - action=com.ibm.team.workitem.viewWorkItem&amp;id=1000707"/>
    <hyperlink ref="A60" r:id="rId58" location="action=com.ibm.team.workitem.viewWorkItem&amp;id=396714" display="https://gdccm01.gddsi.com:9443/ccm/web/projects/MUOS SAFe 4.0 Project - action=com.ibm.team.workitem.viewWorkItem&amp;id=396714"/>
    <hyperlink ref="A61" r:id="rId59" location="action=com.ibm.team.workitem.viewWorkItem&amp;id=396712" display="https://gdccm01.gddsi.com:9443/ccm/web/projects/MUOS SAFe 4.0 Project - action=com.ibm.team.workitem.viewWorkItem&amp;id=396712"/>
    <hyperlink ref="A62" r:id="rId60" location="action=com.ibm.team.workitem.viewWorkItem&amp;id=396710" display="https://gdccm01.gddsi.com:9443/ccm/web/projects/MUOS SAFe 4.0 Project - action=com.ibm.team.workitem.viewWorkItem&amp;id=396710"/>
    <hyperlink ref="A63" r:id="rId61" location="action=com.ibm.team.workitem.viewWorkItem&amp;id=396669" display="https://gdccm01.gddsi.com:9443/ccm/web/projects/MUOS SAFe 4.0 Project - action=com.ibm.team.workitem.viewWorkItem&amp;id=396669"/>
    <hyperlink ref="A64" r:id="rId62" location="action=com.ibm.team.workitem.viewWorkItem&amp;id=396492" display="https://gdccm01.gddsi.com:9443/ccm/web/projects/MUOS SAFe 4.0 Project - action=com.ibm.team.workitem.viewWorkItem&amp;id=396492"/>
    <hyperlink ref="A65" r:id="rId63" location="action=com.ibm.team.workitem.viewWorkItem&amp;id=395610" display="https://gdccm01.gddsi.com:9443/ccm/web/projects/MUOS SAFe 4.0 Project - action=com.ibm.team.workitem.viewWorkItem&amp;id=395610"/>
    <hyperlink ref="A66" r:id="rId64" location="action=com.ibm.team.workitem.viewWorkItem&amp;id=393263" display="https://gdccm01.gddsi.com:9443/ccm/web/projects/MUOS SAFe 4.0 Project - action=com.ibm.team.workitem.viewWorkItem&amp;id=393263"/>
    <hyperlink ref="A67" r:id="rId65" location="action=com.ibm.team.workitem.viewWorkItem&amp;id=392058" display="https://gdccm01.gddsi.com:9443/ccm/web/projects/MUOS SAFe 4.0 Project - action=com.ibm.team.workitem.viewWorkItem&amp;id=392058"/>
    <hyperlink ref="A68" r:id="rId66" location="action=com.ibm.team.workitem.viewWorkItem&amp;id=389549" display="https://gdccm01.gddsi.com:9443/ccm/web/projects/MUOS SAFe 4.0 Project - action=com.ibm.team.workitem.viewWorkItem&amp;id=389549"/>
    <hyperlink ref="A69" r:id="rId67" location="action=com.ibm.team.workitem.viewWorkItem&amp;id=388990" display="https://gdccm01.gddsi.com:9443/ccm/web/projects/MUOS SAFe 4.0 Project - action=com.ibm.team.workitem.viewWorkItem&amp;id=388990"/>
    <hyperlink ref="A70" r:id="rId68" location="action=com.ibm.team.workitem.viewWorkItem&amp;id=388549" display="https://gdccm01.gddsi.com:9443/ccm/web/projects/MUOS SAFe 4.0 Project - action=com.ibm.team.workitem.viewWorkItem&amp;id=388549"/>
    <hyperlink ref="A71" r:id="rId69" location="action=com.ibm.team.workitem.viewWorkItem&amp;id=388154" display="https://gdccm01.gddsi.com:9443/ccm/web/projects/MUOS SAFe 4.0 Project - action=com.ibm.team.workitem.viewWorkItem&amp;id=388154"/>
    <hyperlink ref="A72" r:id="rId70" location="action=com.ibm.team.workitem.viewWorkItem&amp;id=388053" display="https://gdccm01.gddsi.com:9443/ccm/web/projects/MUOS SAFe 4.0 Project - action=com.ibm.team.workitem.viewWorkItem&amp;id=388053"/>
    <hyperlink ref="A73" r:id="rId71" location="action=com.ibm.team.workitem.viewWorkItem&amp;id=387452" display="https://gdccm01.gddsi.com:9443/ccm/web/projects/MUOS SAFe 4.0 Project - action=com.ibm.team.workitem.viewWorkItem&amp;id=387452"/>
    <hyperlink ref="A74" r:id="rId72" location="action=com.ibm.team.workitem.viewWorkItem&amp;id=387448" display="https://gdccm01.gddsi.com:9443/ccm/web/projects/MUOS SAFe 4.0 Project - action=com.ibm.team.workitem.viewWorkItem&amp;id=387448"/>
    <hyperlink ref="A75" r:id="rId73" location="action=com.ibm.team.workitem.viewWorkItem&amp;id=387446" display="https://gdccm01.gddsi.com:9443/ccm/web/projects/MUOS SAFe 4.0 Project - action=com.ibm.team.workitem.viewWorkItem&amp;id=387446"/>
    <hyperlink ref="A76" r:id="rId74" location="action=com.ibm.team.workitem.viewWorkItem&amp;id=387276" display="https://gdccm01.gddsi.com:9443/ccm/web/projects/MUOS SAFe 4.0 Project - action=com.ibm.team.workitem.viewWorkItem&amp;id=387276"/>
    <hyperlink ref="A77" r:id="rId75" location="action=com.ibm.team.workitem.viewWorkItem&amp;id=387244" display="https://gdccm01.gddsi.com:9443/ccm/web/projects/MUOS SAFe 4.0 Project - action=com.ibm.team.workitem.viewWorkItem&amp;id=387244"/>
    <hyperlink ref="A78" r:id="rId76" location="action=com.ibm.team.workitem.viewWorkItem&amp;id=386846" display="https://gdccm01.gddsi.com:9443/ccm/web/projects/MUOS SAFe 4.0 Project - action=com.ibm.team.workitem.viewWorkItem&amp;id=386846"/>
    <hyperlink ref="A79" r:id="rId77" location="action=com.ibm.team.workitem.viewWorkItem&amp;id=385632" display="https://gdccm01.gddsi.com:9443/ccm/web/projects/MUOS SAFe 4.0 Project - action=com.ibm.team.workitem.viewWorkItem&amp;id=385632"/>
    <hyperlink ref="A80" r:id="rId78" location="action=com.ibm.team.workitem.viewWorkItem&amp;id=385442" display="https://gdccm01.gddsi.com:9443/ccm/web/projects/MUOS SAFe 4.0 Project - action=com.ibm.team.workitem.viewWorkItem&amp;id=385442"/>
    <hyperlink ref="A81" r:id="rId79" location="action=com.ibm.team.workitem.viewWorkItem&amp;id=385438" display="https://gdccm01.gddsi.com:9443/ccm/web/projects/MUOS SAFe 4.0 Project - action=com.ibm.team.workitem.viewWorkItem&amp;id=385438"/>
    <hyperlink ref="A82" r:id="rId80" location="action=com.ibm.team.workitem.viewWorkItem&amp;id=385208" display="https://gdccm01.gddsi.com:9443/ccm/web/projects/MUOS SAFe 4.0 Project - action=com.ibm.team.workitem.viewWorkItem&amp;id=385208"/>
    <hyperlink ref="A83" r:id="rId81" location="action=com.ibm.team.workitem.viewWorkItem&amp;id=385206" display="https://gdccm01.gddsi.com:9443/ccm/web/projects/MUOS SAFe 4.0 Project - action=com.ibm.team.workitem.viewWorkItem&amp;id=385206"/>
    <hyperlink ref="A84" r:id="rId82" location="action=com.ibm.team.workitem.viewWorkItem&amp;id=385201" display="https://gdccm01.gddsi.com:9443/ccm/web/projects/MUOS SAFe 4.0 Project - action=com.ibm.team.workitem.viewWorkItem&amp;id=385201"/>
    <hyperlink ref="A85" r:id="rId83" location="action=com.ibm.team.workitem.viewWorkItem&amp;id=384168" display="https://gdccm01.gddsi.com:9443/ccm/web/projects/MUOS SAFe 4.0 Project - action=com.ibm.team.workitem.viewWorkItem&amp;id=384168"/>
    <hyperlink ref="A86" r:id="rId84" location="action=com.ibm.team.workitem.viewWorkItem&amp;id=384153" display="https://gdccm01.gddsi.com:9443/ccm/web/projects/MUOS SAFe 4.0 Project - action=com.ibm.team.workitem.viewWorkItem&amp;id=384153"/>
    <hyperlink ref="A87" r:id="rId85" location="action=com.ibm.team.workitem.viewWorkItem&amp;id=384152" display="https://gdccm01.gddsi.com:9443/ccm/web/projects/MUOS SAFe 4.0 Project - action=com.ibm.team.workitem.viewWorkItem&amp;id=384152"/>
    <hyperlink ref="A88" r:id="rId86" location="action=com.ibm.team.workitem.viewWorkItem&amp;id=384136" display="https://gdccm01.gddsi.com:9443/ccm/web/projects/MUOS SAFe 4.0 Project - action=com.ibm.team.workitem.viewWorkItem&amp;id=384136"/>
    <hyperlink ref="A89" r:id="rId87" location="action=com.ibm.team.workitem.viewWorkItem&amp;id=384135" display="https://gdccm01.gddsi.com:9443/ccm/web/projects/MUOS SAFe 4.0 Project - action=com.ibm.team.workitem.viewWorkItem&amp;id=384135"/>
    <hyperlink ref="A90" r:id="rId88" location="action=com.ibm.team.workitem.viewWorkItem&amp;id=384103" display="https://gdccm01.gddsi.com:9443/ccm/web/projects/MUOS SAFe 4.0 Project - action=com.ibm.team.workitem.viewWorkItem&amp;id=384103"/>
    <hyperlink ref="A91" r:id="rId89" location="action=com.ibm.team.workitem.viewWorkItem&amp;id=384084" display="https://gdccm01.gddsi.com:9443/ccm/web/projects/MUOS SAFe 4.0 Project - action=com.ibm.team.workitem.viewWorkItem&amp;id=384084"/>
    <hyperlink ref="A92" r:id="rId90" location="action=com.ibm.team.workitem.viewWorkItem&amp;id=384036" display="https://gdccm01.gddsi.com:9443/ccm/web/projects/MUOS SAFe 4.0 Project - action=com.ibm.team.workitem.viewWorkItem&amp;id=384036"/>
    <hyperlink ref="A93" r:id="rId91" location="action=com.ibm.team.workitem.viewWorkItem&amp;id=383958" display="https://gdccm01.gddsi.com:9443/ccm/web/projects/MUOS SAFe 4.0 Project - action=com.ibm.team.workitem.viewWorkItem&amp;id=383958"/>
    <hyperlink ref="A94" r:id="rId92" location="action=com.ibm.team.workitem.viewWorkItem&amp;id=383168" display="https://gdccm01.gddsi.com:9443/ccm/web/projects/MUOS SAFe 4.0 Project - action=com.ibm.team.workitem.viewWorkItem&amp;id=383168"/>
    <hyperlink ref="A95" r:id="rId93" location="action=com.ibm.team.workitem.viewWorkItem&amp;id=383165" display="https://gdccm01.gddsi.com:9443/ccm/web/projects/MUOS SAFe 4.0 Project - action=com.ibm.team.workitem.viewWorkItem&amp;id=383165"/>
    <hyperlink ref="A96" r:id="rId94" location="action=com.ibm.team.workitem.viewWorkItem&amp;id=383110" display="https://gdccm01.gddsi.com:9443/ccm/web/projects/MUOS SAFe 4.0 Project - action=com.ibm.team.workitem.viewWorkItem&amp;id=383110"/>
    <hyperlink ref="A97" r:id="rId95" location="action=com.ibm.team.workitem.viewWorkItem&amp;id=382895" display="https://gdccm01.gddsi.com:9443/ccm/web/projects/MUOS SAFe 4.0 Project - action=com.ibm.team.workitem.viewWorkItem&amp;id=382895"/>
    <hyperlink ref="A98" r:id="rId96" location="action=com.ibm.team.workitem.viewWorkItem&amp;id=382134" display="https://gdccm01.gddsi.com:9443/ccm/web/projects/MUOS SAFe 4.0 Project - action=com.ibm.team.workitem.viewWorkItem&amp;id=382134"/>
    <hyperlink ref="A99" r:id="rId97" location="action=com.ibm.team.workitem.viewWorkItem&amp;id=381997" display="https://gdccm01.gddsi.com:9443/ccm/web/projects/MUOS SAFe 4.0 Project - action=com.ibm.team.workitem.viewWorkItem&amp;id=381997"/>
    <hyperlink ref="A100" r:id="rId98" location="action=com.ibm.team.workitem.viewWorkItem&amp;id=381608" display="https://gdccm01.gddsi.com:9443/ccm/web/projects/MUOS SAFe 4.0 Project - action=com.ibm.team.workitem.viewWorkItem&amp;id=381608"/>
    <hyperlink ref="A101" r:id="rId99" location="action=com.ibm.team.workitem.viewWorkItem&amp;id=381600" display="https://gdccm01.gddsi.com:9443/ccm/web/projects/MUOS SAFe 4.0 Project - action=com.ibm.team.workitem.viewWorkItem&amp;id=381600"/>
    <hyperlink ref="A102" r:id="rId100" location="action=com.ibm.team.workitem.viewWorkItem&amp;id=381524" display="https://gdccm01.gddsi.com:9443/ccm/web/projects/MUOS SAFe 4.0 Project - action=com.ibm.team.workitem.viewWorkItem&amp;id=381524"/>
    <hyperlink ref="A103" r:id="rId101" location="action=com.ibm.team.workitem.viewWorkItem&amp;id=380916" display="https://gdccm01.gddsi.com:9443/ccm/web/projects/MUOS SAFe 4.0 Project - action=com.ibm.team.workitem.viewWorkItem&amp;id=380916"/>
    <hyperlink ref="A104" r:id="rId102" location="action=com.ibm.team.workitem.viewWorkItem&amp;id=380808" display="https://gdccm01.gddsi.com:9443/ccm/web/projects/MUOS SAFe 4.0 Project - action=com.ibm.team.workitem.viewWorkItem&amp;id=380808"/>
    <hyperlink ref="A105" r:id="rId103" location="action=com.ibm.team.workitem.viewWorkItem&amp;id=380598" display="https://gdccm01.gddsi.com:9443/ccm/web/projects/MUOS SAFe 4.0 Project - action=com.ibm.team.workitem.viewWorkItem&amp;id=380598"/>
    <hyperlink ref="A106" r:id="rId104" location="action=com.ibm.team.workitem.viewWorkItem&amp;id=379761" display="https://gdccm01.gddsi.com:9443/ccm/web/projects/MUOS SAFe 4.0 Project - action=com.ibm.team.workitem.viewWorkItem&amp;id=379761"/>
    <hyperlink ref="A107" r:id="rId105" location="action=com.ibm.team.workitem.viewWorkItem&amp;id=378000" display="https://gdccm01.gddsi.com:9443/ccm/web/projects/MUOS SAFe 4.0 Project - action=com.ibm.team.workitem.viewWorkItem&amp;id=378000"/>
    <hyperlink ref="A108" r:id="rId106" location="action=com.ibm.team.workitem.viewWorkItem&amp;id=377437" display="https://gdccm01.gddsi.com:9443/ccm/web/projects/MUOS SAFe 4.0 Project - action=com.ibm.team.workitem.viewWorkItem&amp;id=377437"/>
    <hyperlink ref="A109" r:id="rId107" location="action=com.ibm.team.workitem.viewWorkItem&amp;id=372270" display="https://gdccm01.gddsi.com:9443/ccm/web/projects/MUOS SAFe 4.0 Project - action=com.ibm.team.workitem.viewWorkItem&amp;id=372270"/>
    <hyperlink ref="A110" r:id="rId108" location="action=com.ibm.team.workitem.viewWorkItem&amp;id=370101" display="https://gdccm01.gddsi.com:9443/ccm/web/projects/MUOS SAFe 4.0 Project - action=com.ibm.team.workitem.viewWorkItem&amp;id=370101"/>
    <hyperlink ref="A111" r:id="rId109" location="action=com.ibm.team.workitem.viewWorkItem&amp;id=369754" display="https://gdccm01.gddsi.com:9443/ccm/web/projects/MUOS SAFe 4.0 Project - action=com.ibm.team.workitem.viewWorkItem&amp;id=369754"/>
    <hyperlink ref="A112" r:id="rId110" location="action=com.ibm.team.workitem.viewWorkItem&amp;id=369618" display="https://gdccm01.gddsi.com:9443/ccm/web/projects/MUOS SAFe 4.0 Project - action=com.ibm.team.workitem.viewWorkItem&amp;id=369618"/>
    <hyperlink ref="A113" r:id="rId111" location="action=com.ibm.team.workitem.viewWorkItem&amp;id=368860" display="https://gdccm01.gddsi.com:9443/ccm/web/projects/MUOS SAFe 4.0 Project - action=com.ibm.team.workitem.viewWorkItem&amp;id=368860"/>
    <hyperlink ref="A114" r:id="rId112" location="action=com.ibm.team.workitem.viewWorkItem&amp;id=368857" display="https://gdccm01.gddsi.com:9443/ccm/web/projects/MUOS SAFe 4.0 Project - action=com.ibm.team.workitem.viewWorkItem&amp;id=368857"/>
    <hyperlink ref="A115" r:id="rId113" location="action=com.ibm.team.workitem.viewWorkItem&amp;id=365261" display="https://gdccm01.gddsi.com:9443/ccm/web/projects/MUOS SAFe 4.0 Project - action=com.ibm.team.workitem.viewWorkItem&amp;id=365261"/>
    <hyperlink ref="A116" r:id="rId114" location="action=com.ibm.team.workitem.viewWorkItem&amp;id=365245" display="https://gdccm01.gddsi.com:9443/ccm/web/projects/MUOS SAFe 4.0 Project - action=com.ibm.team.workitem.viewWorkItem&amp;id=365245"/>
    <hyperlink ref="A117" r:id="rId115" location="action=com.ibm.team.workitem.viewWorkItem&amp;id=363450" display="https://gdccm01.gddsi.com:9443/ccm/web/projects/MUOS SAFe 4.0 Project - action=com.ibm.team.workitem.viewWorkItem&amp;id=363450"/>
    <hyperlink ref="A118" r:id="rId116" location="action=com.ibm.team.workitem.viewWorkItem&amp;id=358884" display="https://gdccm01.gddsi.com:9443/ccm/web/projects/MUOS SAFe 4.0 Project - action=com.ibm.team.workitem.viewWorkItem&amp;id=358884"/>
    <hyperlink ref="A119" r:id="rId117" location="action=com.ibm.team.workitem.viewWorkItem&amp;id=358881" display="https://gdccm01.gddsi.com:9443/ccm/web/projects/MUOS SAFe 4.0 Project - action=com.ibm.team.workitem.viewWorkItem&amp;id=358881"/>
    <hyperlink ref="A120" r:id="rId118" location="action=com.ibm.team.workitem.viewWorkItem&amp;id=358656" display="https://gdccm01.gddsi.com:9443/ccm/web/projects/MUOS SAFe 4.0 Project - action=com.ibm.team.workitem.viewWorkItem&amp;id=358656"/>
    <hyperlink ref="A121" r:id="rId119" location="action=com.ibm.team.workitem.viewWorkItem&amp;id=356968" display="https://gdccm01.gddsi.com:9443/ccm/web/projects/MUOS SAFe 4.0 Project - action=com.ibm.team.workitem.viewWorkItem&amp;id=356968"/>
    <hyperlink ref="A122" r:id="rId120" location="action=com.ibm.team.workitem.viewWorkItem&amp;id=354871" display="https://gdccm01.gddsi.com:9443/ccm/web/projects/MUOS SAFe 4.0 Project - action=com.ibm.team.workitem.viewWorkItem&amp;id=354871"/>
    <hyperlink ref="A123" r:id="rId121" location="action=com.ibm.team.workitem.viewWorkItem&amp;id=354861" display="https://gdccm01.gddsi.com:9443/ccm/web/projects/MUOS SAFe 4.0 Project - action=com.ibm.team.workitem.viewWorkItem&amp;id=354861"/>
    <hyperlink ref="A124" r:id="rId122" location="action=com.ibm.team.workitem.viewWorkItem&amp;id=354646" display="https://gdccm01.gddsi.com:9443/ccm/web/projects/MUOS SAFe 4.0 Project - action=com.ibm.team.workitem.viewWorkItem&amp;id=354646"/>
    <hyperlink ref="A125" r:id="rId123" location="action=com.ibm.team.workitem.viewWorkItem&amp;id=352946" display="https://gdccm01.gddsi.com:9443/ccm/web/projects/MUOS SAFe 4.0 Project - action=com.ibm.team.workitem.viewWorkItem&amp;id=352946"/>
    <hyperlink ref="A126" r:id="rId124" location="action=com.ibm.team.workitem.viewWorkItem&amp;id=347074" display="https://gdccm01.gddsi.com:9443/ccm/web/projects/MUOS SAFe 4.0 Project - action=com.ibm.team.workitem.viewWorkItem&amp;id=347074"/>
    <hyperlink ref="A127" r:id="rId125" location="action=com.ibm.team.workitem.viewWorkItem&amp;id=342163" display="https://gdccm01.gddsi.com:9443/ccm/web/projects/MUOS SAFe 4.0 Project - action=com.ibm.team.workitem.viewWorkItem&amp;id=342163"/>
    <hyperlink ref="A128" r:id="rId126" location="action=com.ibm.team.workitem.viewWorkItem&amp;id=342054" display="https://gdccm01.gddsi.com:9443/ccm/web/projects/MUOS SAFe 4.0 Project - action=com.ibm.team.workitem.viewWorkItem&amp;id=342054"/>
    <hyperlink ref="A129" r:id="rId127" location="action=com.ibm.team.workitem.viewWorkItem&amp;id=342018" display="https://gdccm01.gddsi.com:9443/ccm/web/projects/MUOS SAFe 4.0 Project - action=com.ibm.team.workitem.viewWorkItem&amp;id=342018"/>
    <hyperlink ref="A130" r:id="rId128" location="action=com.ibm.team.workitem.viewWorkItem&amp;id=341999" display="https://gdccm01.gddsi.com:9443/ccm/web/projects/MUOS SAFe 4.0 Project - action=com.ibm.team.workitem.viewWorkItem&amp;id=341999"/>
    <hyperlink ref="A131" r:id="rId129" location="action=com.ibm.team.workitem.viewWorkItem&amp;id=340740" display="https://gdccm01.gddsi.com:9443/ccm/web/projects/MUOS SAFe 4.0 Project - action=com.ibm.team.workitem.viewWorkItem&amp;id=340740"/>
    <hyperlink ref="A132" r:id="rId130" location="action=com.ibm.team.workitem.viewWorkItem&amp;id=332951" display="https://gdccm01.gddsi.com:9443/ccm/web/projects/MUOS SAFe 4.0 Project - action=com.ibm.team.workitem.viewWorkItem&amp;id=332951"/>
    <hyperlink ref="A133" r:id="rId131" location="action=com.ibm.team.workitem.viewWorkItem&amp;id=318430" display="https://gdccm01.gddsi.com:9443/ccm/web/projects/MUOS SAFe 4.0 Project - action=com.ibm.team.workitem.viewWorkItem&amp;id=318430"/>
    <hyperlink ref="A134" r:id="rId132" location="action=com.ibm.team.workitem.viewWorkItem&amp;id=318380" display="https://gdccm01.gddsi.com:9443/ccm/web/projects/MUOS SAFe 4.0 Project - action=com.ibm.team.workitem.viewWorkItem&amp;id=318380"/>
    <hyperlink ref="A135" r:id="rId133" location="action=com.ibm.team.workitem.viewWorkItem&amp;id=315485" display="https://gdccm01.gddsi.com:9443/ccm/web/projects/MUOS SAFe 4.0 Project - action=com.ibm.team.workitem.viewWorkItem&amp;id=315485"/>
    <hyperlink ref="A136" r:id="rId134" location="action=com.ibm.team.workitem.viewWorkItem&amp;id=294363" display="https://gdccm01.gddsi.com:9443/ccm/web/projects/MUOS SAFe 4.0 Project - action=com.ibm.team.workitem.viewWorkItem&amp;id=294363"/>
    <hyperlink ref="A137" r:id="rId135" location="action=com.ibm.team.workitem.viewWorkItem&amp;id=293238" display="https://gdccm01.gddsi.com:9443/ccm/web/projects/MUOS SAFe 4.0 Project - action=com.ibm.team.workitem.viewWorkItem&amp;id=293238"/>
    <hyperlink ref="A138" r:id="rId136" location="action=com.ibm.team.workitem.viewWorkItem&amp;id=288731" display="https://gdccm01.gddsi.com:9443/ccm/web/projects/MUOS SAFe 4.0 Project - action=com.ibm.team.workitem.viewWorkItem&amp;id=288731"/>
    <hyperlink ref="A139" r:id="rId137" location="action=com.ibm.team.workitem.viewWorkItem&amp;id=283611" display="https://gdccm01.gddsi.com:9443/ccm/web/projects/MUOS SAFe 4.0 Project - action=com.ibm.team.workitem.viewWorkItem&amp;id=283611"/>
    <hyperlink ref="A140" r:id="rId138" location="action=com.ibm.team.workitem.viewWorkItem&amp;id=283333" display="https://gdccm01.gddsi.com:9443/ccm/web/projects/MUOS SAFe 4.0 Project - action=com.ibm.team.workitem.viewWorkItem&amp;id=283333"/>
    <hyperlink ref="A141" r:id="rId139" location="action=com.ibm.team.workitem.viewWorkItem&amp;id=282088" display="https://gdccm01.gddsi.com:9443/ccm/web/projects/MUOS SAFe 4.0 Project - action=com.ibm.team.workitem.viewWorkItem&amp;id=282088"/>
    <hyperlink ref="A142" r:id="rId140" location="action=com.ibm.team.workitem.viewWorkItem&amp;id=280549" display="https://gdccm01.gddsi.com:9443/ccm/web/projects/MUOS SAFe 4.0 Project - action=com.ibm.team.workitem.viewWorkItem&amp;id=280549"/>
    <hyperlink ref="A143" r:id="rId141" location="action=com.ibm.team.workitem.viewWorkItem&amp;id=279953" display="https://gdccm01.gddsi.com:9443/ccm/web/projects/MUOS SAFe 4.0 Project - action=com.ibm.team.workitem.viewWorkItem&amp;id=279953"/>
    <hyperlink ref="A144" r:id="rId142" location="action=com.ibm.team.workitem.viewWorkItem&amp;id=278830" display="https://gdccm01.gddsi.com:9443/ccm/web/projects/MUOS SAFe 4.0 Project - action=com.ibm.team.workitem.viewWorkItem&amp;id=278830"/>
    <hyperlink ref="A145" r:id="rId143" location="action=com.ibm.team.workitem.viewWorkItem&amp;id=278392" display="https://gdccm01.gddsi.com:9443/ccm/web/projects/MUOS SAFe 4.0 Project - action=com.ibm.team.workitem.viewWorkItem&amp;id=278392"/>
    <hyperlink ref="A146" r:id="rId144" location="action=com.ibm.team.workitem.viewWorkItem&amp;id=272509" display="https://gdccm01.gddsi.com:9443/ccm/web/projects/MUOS SAFe 4.0 Project - action=com.ibm.team.workitem.viewWorkItem&amp;id=272509"/>
    <hyperlink ref="A147" r:id="rId145" location="action=com.ibm.team.workitem.viewWorkItem&amp;id=272399" display="https://gdccm01.gddsi.com:9443/ccm/web/projects/MUOS SAFe 4.0 Project - action=com.ibm.team.workitem.viewWorkItem&amp;id=272399"/>
    <hyperlink ref="A148" r:id="rId146" location="action=com.ibm.team.workitem.viewWorkItem&amp;id=272133" display="https://gdccm01.gddsi.com:9443/ccm/web/projects/MUOS SAFe 4.0 Project - action=com.ibm.team.workitem.viewWorkItem&amp;id=272133"/>
    <hyperlink ref="A149" r:id="rId147" location="action=com.ibm.team.workitem.viewWorkItem&amp;id=267777" display="https://gdccm01.gddsi.com:9443/ccm/web/projects/MUOS SAFe 4.0 Project - action=com.ibm.team.workitem.viewWorkItem&amp;id=267777"/>
    <hyperlink ref="A150" r:id="rId148" location="action=com.ibm.team.workitem.viewWorkItem&amp;id=264575" display="https://gdccm01.gddsi.com:9443/ccm/web/projects/MUOS SAFe 4.0 Project - action=com.ibm.team.workitem.viewWorkItem&amp;id=264575"/>
    <hyperlink ref="A151" r:id="rId149" location="action=com.ibm.team.workitem.viewWorkItem&amp;id=262895" display="https://gdccm01.gddsi.com:9443/ccm/web/projects/MUOS SAFe 4.0 Project - action=com.ibm.team.workitem.viewWorkItem&amp;id=262895"/>
    <hyperlink ref="A152" r:id="rId150" location="action=com.ibm.team.workitem.viewWorkItem&amp;id=262766" display="https://gdccm01.gddsi.com:9443/ccm/web/projects/MUOS SAFe 4.0 Project - action=com.ibm.team.workitem.viewWorkItem&amp;id=262766"/>
    <hyperlink ref="A153" r:id="rId151" location="action=com.ibm.team.workitem.viewWorkItem&amp;id=262755" display="https://gdccm01.gddsi.com:9443/ccm/web/projects/MUOS SAFe 4.0 Project - action=com.ibm.team.workitem.viewWorkItem&amp;id=262755"/>
    <hyperlink ref="A154" r:id="rId152" location="action=com.ibm.team.workitem.viewWorkItem&amp;id=262745" display="https://gdccm01.gddsi.com:9443/ccm/web/projects/MUOS SAFe 4.0 Project - action=com.ibm.team.workitem.viewWorkItem&amp;id=262745"/>
    <hyperlink ref="A155" r:id="rId153" location="action=com.ibm.team.workitem.viewWorkItem&amp;id=251622" display="https://gdccm01.gddsi.com:9443/ccm/web/projects/MUOS SAFe 4.0 Project - action=com.ibm.team.workitem.viewWorkItem&amp;id=251622"/>
    <hyperlink ref="A156" r:id="rId154" location="action=com.ibm.team.workitem.viewWorkItem&amp;id=245808" display="https://gdccm01.gddsi.com:9443/ccm/web/projects/MUOS SAFe 4.0 Project - action=com.ibm.team.workitem.viewWorkItem&amp;id=245808"/>
    <hyperlink ref="A157" r:id="rId155" location="action=com.ibm.team.workitem.viewWorkItem&amp;id=241501" display="https://gdccm01.gddsi.com:9443/ccm/web/projects/MUOS SAFe 4.0 Project - action=com.ibm.team.workitem.viewWorkItem&amp;id=241501"/>
    <hyperlink ref="A158" r:id="rId156" location="action=com.ibm.team.workitem.viewWorkItem&amp;id=233847" display="https://gdccm01.gddsi.com:9443/ccm/web/projects/MUOS SAFe 4.0 Project - action=com.ibm.team.workitem.viewWorkItem&amp;id=233847"/>
    <hyperlink ref="A159" r:id="rId157" location="action=com.ibm.team.workitem.viewWorkItem&amp;id=233338" display="https://gdccm01.gddsi.com:9443/ccm/web/projects/MUOS SAFe 4.0 Project - action=com.ibm.team.workitem.viewWorkItem&amp;id=233338"/>
    <hyperlink ref="A160" r:id="rId158" location="action=com.ibm.team.workitem.viewWorkItem&amp;id=216364" display="https://gdccm01.gddsi.com:9443/ccm/web/projects/MUOS SAFe 4.0 Project - action=com.ibm.team.workitem.viewWorkItem&amp;id=216364"/>
    <hyperlink ref="A161" r:id="rId159" location="action=com.ibm.team.workitem.viewWorkItem&amp;id=216351" display="https://gdccm01.gddsi.com:9443/ccm/web/projects/MUOS SAFe 4.0 Project - action=com.ibm.team.workitem.viewWorkItem&amp;id=216351"/>
    <hyperlink ref="A162" r:id="rId160" location="action=com.ibm.team.workitem.viewWorkItem&amp;id=213598" display="https://gdccm01.gddsi.com:9443/ccm/web/projects/MUOS SAFe 4.0 Project - action=com.ibm.team.workitem.viewWorkItem&amp;id=213598"/>
    <hyperlink ref="A163" r:id="rId161" location="action=com.ibm.team.workitem.viewWorkItem&amp;id=204273" display="https://gdccm01.gddsi.com:9443/ccm/web/projects/MUOS SAFe 4.0 Project - action=com.ibm.team.workitem.viewWorkItem&amp;id=204273"/>
  </hyperlinks>
  <pageMargins left="0.7" right="0.7" top="0.75" bottom="0.75" header="0.3" footer="0.3"/>
  <pageSetup orientation="portrait" verticalDpi="0" r:id="rId162"/>
  <drawing r:id="rId163"/>
  <legacyDrawing r:id="rId164"/>
  <mc:AlternateContent xmlns:mc="http://schemas.openxmlformats.org/markup-compatibility/2006">
    <mc:Choice Requires="x14">
      <controls>
        <mc:AlternateContent xmlns:mc="http://schemas.openxmlformats.org/markup-compatibility/2006">
          <mc:Choice Requires="x14">
            <control shapeId="25601" r:id="rId165" name="Button 1">
              <controlPr defaultSize="0" print="0" autoFill="0" autoPict="0" macro="[0]!Show_all">
                <anchor moveWithCells="1" sizeWithCells="1">
                  <from>
                    <xdr:col>3</xdr:col>
                    <xdr:colOff>76200</xdr:colOff>
                    <xdr:row>0</xdr:row>
                    <xdr:rowOff>99060</xdr:rowOff>
                  </from>
                  <to>
                    <xdr:col>3</xdr:col>
                    <xdr:colOff>1333500</xdr:colOff>
                    <xdr:row>0</xdr:row>
                    <xdr:rowOff>464820</xdr:rowOff>
                  </to>
                </anchor>
              </controlPr>
            </control>
          </mc:Choice>
        </mc:AlternateContent>
        <mc:AlternateContent xmlns:mc="http://schemas.openxmlformats.org/markup-compatibility/2006">
          <mc:Choice Requires="x14">
            <control shapeId="25602" r:id="rId166" name="Button 2">
              <controlPr defaultSize="0" print="0" autoFill="0" autoPict="0" macro="[0]!Return_To_List">
                <anchor moveWithCells="1" sizeWithCells="1">
                  <from>
                    <xdr:col>3</xdr:col>
                    <xdr:colOff>99060</xdr:colOff>
                    <xdr:row>0</xdr:row>
                    <xdr:rowOff>693420</xdr:rowOff>
                  </from>
                  <to>
                    <xdr:col>3</xdr:col>
                    <xdr:colOff>1562100</xdr:colOff>
                    <xdr:row>0</xdr:row>
                    <xdr:rowOff>1066800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512"/>
  <sheetViews>
    <sheetView zoomScaleNormal="100" workbookViewId="0"/>
  </sheetViews>
  <sheetFormatPr defaultRowHeight="14.4" x14ac:dyDescent="0.3"/>
  <cols>
    <col min="1" max="1" width="11.109375" customWidth="1"/>
    <col min="2" max="2" width="50.109375" customWidth="1"/>
    <col min="3" max="7" width="8.88671875" customWidth="1"/>
    <col min="8" max="8" width="8.88671875" style="95" customWidth="1"/>
    <col min="9" max="9" width="8.88671875" style="42" customWidth="1"/>
    <col min="10" max="10" width="6.6640625" style="42" customWidth="1"/>
    <col min="11" max="11" width="7.33203125" style="42" customWidth="1"/>
    <col min="12" max="12" width="8.88671875" customWidth="1"/>
    <col min="13" max="13" width="7.5546875" customWidth="1"/>
    <col min="17" max="17" width="8.5546875" customWidth="1"/>
    <col min="18" max="34" width="4.33203125" customWidth="1"/>
  </cols>
  <sheetData>
    <row r="1" spans="1:35" s="115" customFormat="1" ht="101.4" x14ac:dyDescent="0.3">
      <c r="A1" s="108" t="s">
        <v>0</v>
      </c>
      <c r="B1" s="109" t="s">
        <v>1</v>
      </c>
      <c r="C1" s="109" t="s">
        <v>2</v>
      </c>
      <c r="D1" s="109" t="s">
        <v>3</v>
      </c>
      <c r="E1" s="109" t="s">
        <v>4</v>
      </c>
      <c r="F1" s="110" t="s">
        <v>144</v>
      </c>
      <c r="G1" s="110" t="s">
        <v>6</v>
      </c>
      <c r="H1" s="110" t="s">
        <v>175</v>
      </c>
      <c r="I1" s="110" t="s">
        <v>878</v>
      </c>
      <c r="J1" s="110" t="s">
        <v>1427</v>
      </c>
      <c r="K1" s="110" t="s">
        <v>1428</v>
      </c>
      <c r="L1" s="110" t="s">
        <v>68</v>
      </c>
      <c r="M1" s="110" t="s">
        <v>8</v>
      </c>
      <c r="N1" s="111" t="s">
        <v>9</v>
      </c>
      <c r="O1" s="111" t="s">
        <v>10</v>
      </c>
      <c r="P1" s="111" t="s">
        <v>111</v>
      </c>
      <c r="Q1" s="111" t="s">
        <v>873</v>
      </c>
      <c r="R1" s="112" t="s">
        <v>11</v>
      </c>
      <c r="S1" s="112" t="s">
        <v>12</v>
      </c>
      <c r="T1" s="112" t="s">
        <v>951</v>
      </c>
      <c r="U1" s="112" t="s">
        <v>944</v>
      </c>
      <c r="V1" s="113" t="s">
        <v>945</v>
      </c>
      <c r="W1" s="113" t="s">
        <v>949</v>
      </c>
      <c r="X1" s="113" t="s">
        <v>943</v>
      </c>
      <c r="Y1" s="113" t="s">
        <v>946</v>
      </c>
      <c r="Z1" s="113" t="s">
        <v>950</v>
      </c>
      <c r="AA1" s="112" t="s">
        <v>948</v>
      </c>
      <c r="AB1" s="112" t="s">
        <v>15</v>
      </c>
      <c r="AC1" s="112" t="s">
        <v>947</v>
      </c>
      <c r="AD1" s="113" t="s">
        <v>17</v>
      </c>
      <c r="AE1" s="113" t="s">
        <v>18</v>
      </c>
      <c r="AF1" s="113" t="s">
        <v>19</v>
      </c>
      <c r="AG1" s="113" t="s">
        <v>554</v>
      </c>
      <c r="AH1" s="114" t="s">
        <v>69</v>
      </c>
    </row>
    <row r="2" spans="1:35" ht="14.4" customHeight="1" x14ac:dyDescent="0.3">
      <c r="A2" s="203">
        <v>1017273</v>
      </c>
      <c r="B2" s="34" t="s">
        <v>2341</v>
      </c>
      <c r="C2" s="34" t="s">
        <v>1870</v>
      </c>
      <c r="D2" s="34" t="s">
        <v>1870</v>
      </c>
      <c r="E2" s="34" t="s">
        <v>70</v>
      </c>
      <c r="F2" s="34">
        <v>3</v>
      </c>
      <c r="G2" s="34" t="s">
        <v>1165</v>
      </c>
      <c r="H2" s="34" t="s">
        <v>104</v>
      </c>
      <c r="I2" s="54" t="s">
        <v>36</v>
      </c>
      <c r="J2" s="54" t="s">
        <v>104</v>
      </c>
      <c r="K2" s="54" t="s">
        <v>1419</v>
      </c>
      <c r="L2" s="34" t="s">
        <v>71</v>
      </c>
      <c r="M2" s="34" t="s">
        <v>554</v>
      </c>
      <c r="N2" s="34" t="s">
        <v>36</v>
      </c>
      <c r="O2" s="34" t="s">
        <v>36</v>
      </c>
      <c r="P2" s="34" t="s">
        <v>36</v>
      </c>
      <c r="Q2" s="34" t="s">
        <v>36</v>
      </c>
      <c r="R2" s="54">
        <v>1</v>
      </c>
      <c r="S2" s="54" t="s">
        <v>36</v>
      </c>
      <c r="T2" s="54" t="s">
        <v>36</v>
      </c>
      <c r="U2" s="54" t="s">
        <v>36</v>
      </c>
      <c r="V2" s="54" t="s">
        <v>36</v>
      </c>
      <c r="W2" s="54" t="s">
        <v>36</v>
      </c>
      <c r="X2" s="54" t="s">
        <v>36</v>
      </c>
      <c r="Y2" s="54" t="s">
        <v>36</v>
      </c>
      <c r="Z2" s="54" t="s">
        <v>36</v>
      </c>
      <c r="AA2" s="54" t="s">
        <v>36</v>
      </c>
      <c r="AB2" s="54" t="s">
        <v>36</v>
      </c>
      <c r="AC2" s="54" t="s">
        <v>36</v>
      </c>
      <c r="AD2" s="54" t="s">
        <v>36</v>
      </c>
      <c r="AE2" s="54" t="s">
        <v>36</v>
      </c>
      <c r="AF2" s="54" t="s">
        <v>36</v>
      </c>
      <c r="AG2" s="54">
        <v>3</v>
      </c>
      <c r="AH2" s="54"/>
      <c r="AI2" t="s">
        <v>36</v>
      </c>
    </row>
    <row r="3" spans="1:35" ht="14.4" customHeight="1" x14ac:dyDescent="0.3">
      <c r="A3" s="203">
        <v>1016159</v>
      </c>
      <c r="B3" s="34" t="s">
        <v>2308</v>
      </c>
      <c r="C3" s="34" t="s">
        <v>857</v>
      </c>
      <c r="D3" s="34" t="s">
        <v>857</v>
      </c>
      <c r="E3" s="34" t="s">
        <v>70</v>
      </c>
      <c r="F3" s="34">
        <v>3</v>
      </c>
      <c r="G3" s="34" t="s">
        <v>104</v>
      </c>
      <c r="H3" s="34" t="s">
        <v>104</v>
      </c>
      <c r="I3" s="54" t="s">
        <v>36</v>
      </c>
      <c r="J3" s="54" t="s">
        <v>104</v>
      </c>
      <c r="K3" s="54" t="s">
        <v>1419</v>
      </c>
      <c r="L3" s="34" t="s">
        <v>71</v>
      </c>
      <c r="M3" s="34" t="s">
        <v>947</v>
      </c>
      <c r="N3" s="34" t="s">
        <v>36</v>
      </c>
      <c r="O3" s="34" t="s">
        <v>36</v>
      </c>
      <c r="P3" s="34" t="s">
        <v>36</v>
      </c>
      <c r="Q3" s="34" t="s">
        <v>36</v>
      </c>
      <c r="R3" s="54">
        <v>1</v>
      </c>
      <c r="S3" s="54" t="s">
        <v>36</v>
      </c>
      <c r="T3" s="54" t="s">
        <v>36</v>
      </c>
      <c r="U3" s="54" t="s">
        <v>36</v>
      </c>
      <c r="V3" s="54" t="s">
        <v>36</v>
      </c>
      <c r="W3" s="54" t="s">
        <v>36</v>
      </c>
      <c r="X3" s="54" t="s">
        <v>36</v>
      </c>
      <c r="Y3" s="54" t="s">
        <v>36</v>
      </c>
      <c r="Z3" s="54" t="s">
        <v>36</v>
      </c>
      <c r="AA3" s="54" t="s">
        <v>36</v>
      </c>
      <c r="AB3" s="54" t="s">
        <v>36</v>
      </c>
      <c r="AC3" s="54">
        <v>3</v>
      </c>
      <c r="AD3" s="54" t="s">
        <v>36</v>
      </c>
      <c r="AE3" s="54" t="s">
        <v>36</v>
      </c>
      <c r="AF3" s="54" t="s">
        <v>36</v>
      </c>
      <c r="AG3" s="54" t="s">
        <v>36</v>
      </c>
      <c r="AH3" s="54"/>
      <c r="AI3" t="s">
        <v>36</v>
      </c>
    </row>
    <row r="4" spans="1:35" ht="14.4" customHeight="1" x14ac:dyDescent="0.3">
      <c r="A4" s="203">
        <v>1006145</v>
      </c>
      <c r="B4" s="34" t="s">
        <v>1534</v>
      </c>
      <c r="C4" s="34" t="s">
        <v>36</v>
      </c>
      <c r="D4" s="34" t="s">
        <v>857</v>
      </c>
      <c r="E4" s="34" t="s">
        <v>2131</v>
      </c>
      <c r="F4" s="34" t="s">
        <v>36</v>
      </c>
      <c r="G4" s="34" t="s">
        <v>601</v>
      </c>
      <c r="H4" s="34" t="s">
        <v>282</v>
      </c>
      <c r="I4" s="54" t="s">
        <v>36</v>
      </c>
      <c r="J4" s="54" t="s">
        <v>1420</v>
      </c>
      <c r="K4" s="54" t="s">
        <v>1421</v>
      </c>
      <c r="L4" s="34" t="s">
        <v>72</v>
      </c>
      <c r="M4" s="34" t="s">
        <v>949</v>
      </c>
      <c r="N4" s="34" t="s">
        <v>36</v>
      </c>
      <c r="O4" s="34" t="s">
        <v>36</v>
      </c>
      <c r="P4" s="34" t="s">
        <v>36</v>
      </c>
      <c r="Q4" s="34" t="s">
        <v>36</v>
      </c>
      <c r="R4" s="54">
        <v>0</v>
      </c>
      <c r="S4" s="54" t="s">
        <v>36</v>
      </c>
      <c r="T4" s="54" t="s">
        <v>36</v>
      </c>
      <c r="U4" s="54" t="s">
        <v>36</v>
      </c>
      <c r="V4" s="54" t="s">
        <v>36</v>
      </c>
      <c r="W4" s="54">
        <v>0</v>
      </c>
      <c r="X4" s="54" t="s">
        <v>36</v>
      </c>
      <c r="Y4" s="54" t="s">
        <v>36</v>
      </c>
      <c r="Z4" s="54" t="s">
        <v>36</v>
      </c>
      <c r="AA4" s="54" t="s">
        <v>36</v>
      </c>
      <c r="AB4" s="54" t="s">
        <v>36</v>
      </c>
      <c r="AC4" s="54" t="s">
        <v>36</v>
      </c>
      <c r="AD4" s="54" t="s">
        <v>36</v>
      </c>
      <c r="AE4" s="54" t="s">
        <v>36</v>
      </c>
      <c r="AF4" s="54" t="s">
        <v>36</v>
      </c>
      <c r="AG4" s="54" t="s">
        <v>36</v>
      </c>
      <c r="AH4" s="54"/>
      <c r="AI4" t="s">
        <v>36</v>
      </c>
    </row>
    <row r="5" spans="1:35" ht="14.4" customHeight="1" x14ac:dyDescent="0.3">
      <c r="A5" s="203">
        <v>1004016</v>
      </c>
      <c r="B5" s="34" t="s">
        <v>1490</v>
      </c>
      <c r="C5" s="34" t="s">
        <v>36</v>
      </c>
      <c r="D5" s="34" t="s">
        <v>857</v>
      </c>
      <c r="E5" s="34" t="s">
        <v>28</v>
      </c>
      <c r="F5" s="34" t="s">
        <v>36</v>
      </c>
      <c r="G5" s="34" t="s">
        <v>549</v>
      </c>
      <c r="H5" s="34" t="s">
        <v>1177</v>
      </c>
      <c r="I5" s="54" t="s">
        <v>36</v>
      </c>
      <c r="J5" s="54" t="s">
        <v>1429</v>
      </c>
      <c r="K5" s="54" t="s">
        <v>1421</v>
      </c>
      <c r="L5" s="34" t="s">
        <v>72</v>
      </c>
      <c r="M5" s="34" t="s">
        <v>17</v>
      </c>
      <c r="N5" s="34" t="s">
        <v>36</v>
      </c>
      <c r="O5" s="34" t="s">
        <v>36</v>
      </c>
      <c r="P5" s="34" t="s">
        <v>36</v>
      </c>
      <c r="Q5" s="34" t="s">
        <v>1767</v>
      </c>
      <c r="R5" s="54">
        <v>0</v>
      </c>
      <c r="S5" s="54" t="s">
        <v>36</v>
      </c>
      <c r="T5" s="54" t="s">
        <v>36</v>
      </c>
      <c r="U5" s="54" t="s">
        <v>36</v>
      </c>
      <c r="V5" s="54" t="s">
        <v>36</v>
      </c>
      <c r="W5" s="54" t="s">
        <v>36</v>
      </c>
      <c r="X5" s="54" t="s">
        <v>36</v>
      </c>
      <c r="Y5" s="54" t="s">
        <v>36</v>
      </c>
      <c r="Z5" s="54" t="s">
        <v>36</v>
      </c>
      <c r="AA5" s="54" t="s">
        <v>36</v>
      </c>
      <c r="AB5" s="54" t="s">
        <v>36</v>
      </c>
      <c r="AC5" s="54" t="s">
        <v>36</v>
      </c>
      <c r="AD5" s="54">
        <v>0</v>
      </c>
      <c r="AE5" s="54" t="s">
        <v>36</v>
      </c>
      <c r="AF5" s="54" t="s">
        <v>36</v>
      </c>
      <c r="AG5" s="54" t="s">
        <v>36</v>
      </c>
      <c r="AH5" s="54"/>
      <c r="AI5" t="s">
        <v>36</v>
      </c>
    </row>
    <row r="6" spans="1:35" ht="14.4" customHeight="1" x14ac:dyDescent="0.3">
      <c r="A6" s="203">
        <v>1003719</v>
      </c>
      <c r="B6" s="34" t="s">
        <v>1496</v>
      </c>
      <c r="C6" s="34" t="s">
        <v>36</v>
      </c>
      <c r="D6" s="34" t="s">
        <v>857</v>
      </c>
      <c r="E6" s="34" t="s">
        <v>28</v>
      </c>
      <c r="F6" s="34" t="s">
        <v>36</v>
      </c>
      <c r="G6" s="34" t="s">
        <v>549</v>
      </c>
      <c r="H6" s="34" t="s">
        <v>635</v>
      </c>
      <c r="I6" s="54" t="s">
        <v>36</v>
      </c>
      <c r="J6" s="54" t="s">
        <v>1429</v>
      </c>
      <c r="K6" s="54" t="s">
        <v>1421</v>
      </c>
      <c r="L6" s="34" t="s">
        <v>72</v>
      </c>
      <c r="M6" s="34" t="s">
        <v>17</v>
      </c>
      <c r="N6" s="34" t="s">
        <v>36</v>
      </c>
      <c r="O6" s="34" t="s">
        <v>36</v>
      </c>
      <c r="P6" s="34" t="s">
        <v>36</v>
      </c>
      <c r="Q6" s="34" t="s">
        <v>1767</v>
      </c>
      <c r="R6" s="54">
        <v>0</v>
      </c>
      <c r="S6" s="54" t="s">
        <v>36</v>
      </c>
      <c r="T6" s="54" t="s">
        <v>36</v>
      </c>
      <c r="U6" s="54" t="s">
        <v>36</v>
      </c>
      <c r="V6" s="54" t="s">
        <v>36</v>
      </c>
      <c r="W6" s="54" t="s">
        <v>36</v>
      </c>
      <c r="X6" s="54" t="s">
        <v>36</v>
      </c>
      <c r="Y6" s="54" t="s">
        <v>36</v>
      </c>
      <c r="Z6" s="54" t="s">
        <v>36</v>
      </c>
      <c r="AA6" s="54" t="s">
        <v>36</v>
      </c>
      <c r="AB6" s="54" t="s">
        <v>36</v>
      </c>
      <c r="AC6" s="54" t="s">
        <v>36</v>
      </c>
      <c r="AD6" s="54">
        <v>0</v>
      </c>
      <c r="AE6" s="54" t="s">
        <v>36</v>
      </c>
      <c r="AF6" s="54" t="s">
        <v>36</v>
      </c>
      <c r="AG6" s="54" t="s">
        <v>36</v>
      </c>
      <c r="AH6" s="54"/>
      <c r="AI6" t="s">
        <v>36</v>
      </c>
    </row>
    <row r="7" spans="1:35" ht="14.4" customHeight="1" x14ac:dyDescent="0.3">
      <c r="A7" s="203">
        <v>371517</v>
      </c>
      <c r="B7" s="34" t="s">
        <v>1844</v>
      </c>
      <c r="C7" s="34" t="s">
        <v>1842</v>
      </c>
      <c r="D7" s="34" t="s">
        <v>1842</v>
      </c>
      <c r="E7" s="34" t="s">
        <v>70</v>
      </c>
      <c r="F7" s="34">
        <v>2</v>
      </c>
      <c r="G7" s="34" t="s">
        <v>164</v>
      </c>
      <c r="H7" s="34" t="s">
        <v>209</v>
      </c>
      <c r="I7" s="54" t="s">
        <v>36</v>
      </c>
      <c r="J7" s="54" t="s">
        <v>1429</v>
      </c>
      <c r="K7" s="54" t="s">
        <v>1421</v>
      </c>
      <c r="L7" s="34" t="s">
        <v>71</v>
      </c>
      <c r="M7" s="34" t="s">
        <v>17</v>
      </c>
      <c r="N7" s="34" t="s">
        <v>36</v>
      </c>
      <c r="O7" s="34" t="s">
        <v>36</v>
      </c>
      <c r="P7" s="34" t="s">
        <v>36</v>
      </c>
      <c r="Q7" s="34" t="s">
        <v>36</v>
      </c>
      <c r="R7" s="54">
        <v>1</v>
      </c>
      <c r="S7" s="54" t="s">
        <v>36</v>
      </c>
      <c r="T7" s="54" t="s">
        <v>36</v>
      </c>
      <c r="U7" s="54" t="s">
        <v>36</v>
      </c>
      <c r="V7" s="54" t="s">
        <v>36</v>
      </c>
      <c r="W7" s="54" t="s">
        <v>36</v>
      </c>
      <c r="X7" s="54" t="s">
        <v>36</v>
      </c>
      <c r="Y7" s="54" t="s">
        <v>36</v>
      </c>
      <c r="Z7" s="54" t="s">
        <v>36</v>
      </c>
      <c r="AA7" s="54" t="s">
        <v>36</v>
      </c>
      <c r="AB7" s="54" t="s">
        <v>36</v>
      </c>
      <c r="AC7" s="54" t="s">
        <v>36</v>
      </c>
      <c r="AD7" s="54">
        <v>2</v>
      </c>
      <c r="AE7" s="54" t="s">
        <v>36</v>
      </c>
      <c r="AF7" s="54" t="s">
        <v>36</v>
      </c>
      <c r="AG7" s="54" t="s">
        <v>36</v>
      </c>
      <c r="AH7" s="54"/>
      <c r="AI7" t="s">
        <v>36</v>
      </c>
    </row>
    <row r="8" spans="1:35" ht="14.4" customHeight="1" x14ac:dyDescent="0.3">
      <c r="A8" s="203">
        <v>348853</v>
      </c>
      <c r="B8" s="34" t="s">
        <v>1772</v>
      </c>
      <c r="C8" s="34" t="s">
        <v>36</v>
      </c>
      <c r="D8" s="34" t="s">
        <v>857</v>
      </c>
      <c r="E8" s="34" t="s">
        <v>28</v>
      </c>
      <c r="F8" s="34" t="s">
        <v>36</v>
      </c>
      <c r="G8" s="34" t="s">
        <v>582</v>
      </c>
      <c r="H8" s="34" t="s">
        <v>209</v>
      </c>
      <c r="I8" s="54" t="s">
        <v>36</v>
      </c>
      <c r="J8" s="54" t="s">
        <v>1420</v>
      </c>
      <c r="K8" s="54" t="s">
        <v>1421</v>
      </c>
      <c r="L8" s="34" t="s">
        <v>72</v>
      </c>
      <c r="M8" s="34" t="s">
        <v>943</v>
      </c>
      <c r="N8" s="34" t="s">
        <v>36</v>
      </c>
      <c r="O8" s="34" t="s">
        <v>36</v>
      </c>
      <c r="P8" s="34" t="s">
        <v>36</v>
      </c>
      <c r="Q8" s="34" t="s">
        <v>1767</v>
      </c>
      <c r="R8" s="54">
        <v>0</v>
      </c>
      <c r="S8" s="54" t="s">
        <v>36</v>
      </c>
      <c r="T8" s="54" t="s">
        <v>36</v>
      </c>
      <c r="U8" s="54" t="s">
        <v>36</v>
      </c>
      <c r="V8" s="54" t="s">
        <v>36</v>
      </c>
      <c r="W8" s="54" t="s">
        <v>36</v>
      </c>
      <c r="X8" s="54">
        <v>0</v>
      </c>
      <c r="Y8" s="54" t="s">
        <v>36</v>
      </c>
      <c r="Z8" s="54" t="s">
        <v>36</v>
      </c>
      <c r="AA8" s="54" t="s">
        <v>36</v>
      </c>
      <c r="AB8" s="54" t="s">
        <v>36</v>
      </c>
      <c r="AC8" s="54" t="s">
        <v>36</v>
      </c>
      <c r="AD8" s="54" t="s">
        <v>36</v>
      </c>
      <c r="AE8" s="54" t="s">
        <v>36</v>
      </c>
      <c r="AF8" s="54" t="s">
        <v>36</v>
      </c>
      <c r="AG8" s="54" t="s">
        <v>36</v>
      </c>
      <c r="AH8" s="54"/>
      <c r="AI8" t="s">
        <v>36</v>
      </c>
    </row>
    <row r="9" spans="1:35" s="95" customFormat="1" ht="14.4" customHeight="1" x14ac:dyDescent="0.3">
      <c r="A9" s="203">
        <v>333910</v>
      </c>
      <c r="B9" s="34" t="s">
        <v>1771</v>
      </c>
      <c r="C9" s="34" t="s">
        <v>36</v>
      </c>
      <c r="D9" s="34" t="s">
        <v>857</v>
      </c>
      <c r="E9" s="34" t="s">
        <v>28</v>
      </c>
      <c r="F9" s="34" t="s">
        <v>36</v>
      </c>
      <c r="G9" s="34" t="s">
        <v>582</v>
      </c>
      <c r="H9" s="34" t="s">
        <v>209</v>
      </c>
      <c r="I9" s="54" t="s">
        <v>36</v>
      </c>
      <c r="J9" s="54" t="s">
        <v>1429</v>
      </c>
      <c r="K9" s="54" t="s">
        <v>1421</v>
      </c>
      <c r="L9" s="34" t="s">
        <v>72</v>
      </c>
      <c r="M9" s="34" t="s">
        <v>943</v>
      </c>
      <c r="N9" s="34" t="s">
        <v>36</v>
      </c>
      <c r="O9" s="34" t="s">
        <v>36</v>
      </c>
      <c r="P9" s="34" t="s">
        <v>36</v>
      </c>
      <c r="Q9" s="34" t="s">
        <v>1767</v>
      </c>
      <c r="R9" s="54">
        <v>0</v>
      </c>
      <c r="S9" s="54" t="s">
        <v>36</v>
      </c>
      <c r="T9" s="54" t="s">
        <v>36</v>
      </c>
      <c r="U9" s="54" t="s">
        <v>36</v>
      </c>
      <c r="V9" s="54" t="s">
        <v>36</v>
      </c>
      <c r="W9" s="54" t="s">
        <v>36</v>
      </c>
      <c r="X9" s="54">
        <v>0</v>
      </c>
      <c r="Y9" s="54" t="s">
        <v>36</v>
      </c>
      <c r="Z9" s="54" t="s">
        <v>36</v>
      </c>
      <c r="AA9" s="54" t="s">
        <v>36</v>
      </c>
      <c r="AB9" s="54" t="s">
        <v>36</v>
      </c>
      <c r="AC9" s="54" t="s">
        <v>36</v>
      </c>
      <c r="AD9" s="54" t="s">
        <v>36</v>
      </c>
      <c r="AE9" s="54" t="s">
        <v>36</v>
      </c>
      <c r="AF9" s="54" t="s">
        <v>36</v>
      </c>
      <c r="AG9" s="54" t="s">
        <v>36</v>
      </c>
      <c r="AH9" s="54"/>
      <c r="AI9" s="95" t="s">
        <v>36</v>
      </c>
    </row>
    <row r="10" spans="1:35" s="95" customFormat="1" ht="14.4" customHeight="1" x14ac:dyDescent="0.3">
      <c r="A10" s="203">
        <v>320596</v>
      </c>
      <c r="B10" s="34" t="s">
        <v>1770</v>
      </c>
      <c r="C10" s="34" t="s">
        <v>36</v>
      </c>
      <c r="D10" s="34" t="s">
        <v>857</v>
      </c>
      <c r="E10" s="34" t="s">
        <v>28</v>
      </c>
      <c r="F10" s="34" t="s">
        <v>36</v>
      </c>
      <c r="G10" s="34" t="s">
        <v>582</v>
      </c>
      <c r="H10" s="34" t="s">
        <v>209</v>
      </c>
      <c r="I10" s="54" t="s">
        <v>36</v>
      </c>
      <c r="J10" s="54" t="s">
        <v>1420</v>
      </c>
      <c r="K10" s="54" t="s">
        <v>1421</v>
      </c>
      <c r="L10" s="34" t="s">
        <v>72</v>
      </c>
      <c r="M10" s="34" t="s">
        <v>943</v>
      </c>
      <c r="N10" s="34" t="s">
        <v>36</v>
      </c>
      <c r="O10" s="34" t="s">
        <v>36</v>
      </c>
      <c r="P10" s="34" t="s">
        <v>36</v>
      </c>
      <c r="Q10" s="34" t="s">
        <v>1767</v>
      </c>
      <c r="R10" s="54">
        <v>0</v>
      </c>
      <c r="S10" s="54" t="s">
        <v>36</v>
      </c>
      <c r="T10" s="54" t="s">
        <v>36</v>
      </c>
      <c r="U10" s="54" t="s">
        <v>36</v>
      </c>
      <c r="V10" s="54" t="s">
        <v>36</v>
      </c>
      <c r="W10" s="54" t="s">
        <v>36</v>
      </c>
      <c r="X10" s="54">
        <v>0</v>
      </c>
      <c r="Y10" s="54" t="s">
        <v>36</v>
      </c>
      <c r="Z10" s="54" t="s">
        <v>36</v>
      </c>
      <c r="AA10" s="54" t="s">
        <v>36</v>
      </c>
      <c r="AB10" s="54" t="s">
        <v>36</v>
      </c>
      <c r="AC10" s="54" t="s">
        <v>36</v>
      </c>
      <c r="AD10" s="54" t="s">
        <v>36</v>
      </c>
      <c r="AE10" s="54" t="s">
        <v>36</v>
      </c>
      <c r="AF10" s="54" t="s">
        <v>36</v>
      </c>
      <c r="AG10" s="54" t="s">
        <v>36</v>
      </c>
      <c r="AH10" s="54"/>
      <c r="AI10" s="95" t="s">
        <v>36</v>
      </c>
    </row>
    <row r="11" spans="1:35" s="95" customFormat="1" ht="14.4" customHeight="1" x14ac:dyDescent="0.3">
      <c r="A11" s="203">
        <v>302104</v>
      </c>
      <c r="B11" s="34" t="s">
        <v>1816</v>
      </c>
      <c r="C11" s="34" t="s">
        <v>36</v>
      </c>
      <c r="D11" s="34" t="s">
        <v>857</v>
      </c>
      <c r="E11" s="34" t="s">
        <v>28</v>
      </c>
      <c r="F11" s="34" t="s">
        <v>36</v>
      </c>
      <c r="G11" s="34" t="s">
        <v>549</v>
      </c>
      <c r="H11" s="34" t="s">
        <v>635</v>
      </c>
      <c r="I11" s="54" t="s">
        <v>36</v>
      </c>
      <c r="J11" s="54" t="s">
        <v>1429</v>
      </c>
      <c r="K11" s="54" t="s">
        <v>1421</v>
      </c>
      <c r="L11" s="34" t="s">
        <v>72</v>
      </c>
      <c r="M11" s="34" t="s">
        <v>17</v>
      </c>
      <c r="N11" s="34" t="s">
        <v>34</v>
      </c>
      <c r="O11" s="34" t="s">
        <v>55</v>
      </c>
      <c r="P11" s="34" t="s">
        <v>36</v>
      </c>
      <c r="Q11" s="34" t="s">
        <v>1767</v>
      </c>
      <c r="R11" s="54">
        <v>0</v>
      </c>
      <c r="S11" s="54" t="s">
        <v>36</v>
      </c>
      <c r="T11" s="54" t="s">
        <v>36</v>
      </c>
      <c r="U11" s="54" t="s">
        <v>36</v>
      </c>
      <c r="V11" s="54" t="s">
        <v>36</v>
      </c>
      <c r="W11" s="54" t="s">
        <v>36</v>
      </c>
      <c r="X11" s="54" t="s">
        <v>36</v>
      </c>
      <c r="Y11" s="54" t="s">
        <v>36</v>
      </c>
      <c r="Z11" s="54" t="s">
        <v>36</v>
      </c>
      <c r="AA11" s="54" t="s">
        <v>36</v>
      </c>
      <c r="AB11" s="54" t="s">
        <v>36</v>
      </c>
      <c r="AC11" s="54" t="s">
        <v>36</v>
      </c>
      <c r="AD11" s="54">
        <v>0</v>
      </c>
      <c r="AE11" s="54" t="s">
        <v>36</v>
      </c>
      <c r="AF11" s="54" t="s">
        <v>36</v>
      </c>
      <c r="AG11" s="54" t="s">
        <v>36</v>
      </c>
      <c r="AH11" s="54"/>
      <c r="AI11" s="95" t="s">
        <v>36</v>
      </c>
    </row>
    <row r="12" spans="1:35" s="95" customFormat="1" ht="14.4" customHeight="1" x14ac:dyDescent="0.3">
      <c r="B12" s="34"/>
      <c r="C12" s="34"/>
      <c r="D12" s="34"/>
      <c r="E12" s="34"/>
      <c r="F12" s="34"/>
      <c r="G12" s="34"/>
      <c r="H12" s="34"/>
      <c r="I12" s="54"/>
      <c r="J12" s="54"/>
      <c r="K12" s="54"/>
      <c r="L12" s="34"/>
      <c r="M12" s="34"/>
      <c r="N12" s="34"/>
      <c r="O12" s="34"/>
      <c r="P12" s="34"/>
      <c r="Q12" s="34"/>
      <c r="R12" s="54"/>
      <c r="S12" s="54"/>
      <c r="T12" s="54"/>
      <c r="U12" s="54"/>
      <c r="V12" s="54"/>
      <c r="W12" s="54"/>
      <c r="X12" s="54"/>
      <c r="Y12" s="54"/>
      <c r="Z12" s="54"/>
      <c r="AA12" s="54"/>
      <c r="AB12" s="54"/>
      <c r="AC12" s="54"/>
      <c r="AD12" s="54"/>
      <c r="AE12" s="54"/>
      <c r="AF12" s="54"/>
      <c r="AG12" s="54"/>
      <c r="AH12" s="54"/>
    </row>
    <row r="13" spans="1:35" s="95" customFormat="1" ht="14.4" customHeight="1" x14ac:dyDescent="0.3">
      <c r="B13" s="34"/>
      <c r="C13" s="34"/>
      <c r="D13" s="34"/>
      <c r="E13" s="34"/>
      <c r="F13" s="34"/>
      <c r="G13" s="34"/>
      <c r="H13" s="34"/>
      <c r="I13" s="54"/>
      <c r="J13" s="54"/>
      <c r="K13" s="54"/>
      <c r="L13" s="34"/>
      <c r="M13" s="34"/>
      <c r="N13" s="34"/>
      <c r="O13" s="34"/>
      <c r="P13" s="34"/>
      <c r="Q13" s="34"/>
      <c r="R13" s="54"/>
      <c r="S13" s="54"/>
      <c r="T13" s="54"/>
      <c r="U13" s="54"/>
      <c r="V13" s="54"/>
      <c r="W13" s="54"/>
      <c r="X13" s="54"/>
      <c r="Y13" s="54"/>
      <c r="Z13" s="54"/>
      <c r="AA13" s="54"/>
      <c r="AB13" s="54"/>
      <c r="AC13" s="54"/>
      <c r="AD13" s="54"/>
      <c r="AE13" s="54"/>
      <c r="AF13" s="54"/>
      <c r="AG13" s="54"/>
      <c r="AH13" s="54"/>
    </row>
    <row r="14" spans="1:35" s="95" customFormat="1" ht="14.4" customHeight="1" x14ac:dyDescent="0.3">
      <c r="B14" s="34"/>
      <c r="C14" s="34"/>
      <c r="D14" s="34"/>
      <c r="E14" s="34"/>
      <c r="F14" s="34"/>
      <c r="G14" s="34"/>
      <c r="H14" s="34"/>
      <c r="I14" s="54"/>
      <c r="J14" s="54"/>
      <c r="K14" s="54"/>
      <c r="L14" s="34"/>
      <c r="M14" s="34"/>
      <c r="N14" s="34"/>
      <c r="O14" s="34"/>
      <c r="P14" s="34"/>
      <c r="Q14" s="34"/>
      <c r="R14" s="54"/>
      <c r="S14" s="54"/>
      <c r="T14" s="54"/>
      <c r="U14" s="54"/>
      <c r="V14" s="54"/>
      <c r="W14" s="54"/>
      <c r="X14" s="54"/>
      <c r="Y14" s="54"/>
      <c r="Z14" s="54"/>
      <c r="AA14" s="54"/>
      <c r="AB14" s="54"/>
      <c r="AC14" s="54"/>
      <c r="AD14" s="54"/>
      <c r="AE14" s="54"/>
      <c r="AF14" s="54"/>
      <c r="AG14" s="54"/>
      <c r="AH14" s="54"/>
    </row>
    <row r="15" spans="1:35" s="95" customFormat="1" ht="14.4" customHeight="1" x14ac:dyDescent="0.3">
      <c r="B15" s="34"/>
      <c r="C15" s="34"/>
      <c r="D15" s="34"/>
      <c r="E15" s="34"/>
      <c r="F15" s="34"/>
      <c r="G15" s="34"/>
      <c r="H15" s="34"/>
      <c r="I15" s="54"/>
      <c r="J15" s="54"/>
      <c r="K15" s="54"/>
      <c r="L15" s="34"/>
      <c r="M15" s="34"/>
      <c r="N15" s="34"/>
      <c r="O15" s="34"/>
      <c r="P15" s="34"/>
      <c r="Q15" s="34"/>
      <c r="R15" s="54"/>
      <c r="S15" s="54"/>
      <c r="T15" s="54"/>
      <c r="U15" s="54"/>
      <c r="V15" s="54"/>
      <c r="W15" s="54"/>
      <c r="X15" s="54"/>
      <c r="Y15" s="54"/>
      <c r="Z15" s="54"/>
      <c r="AA15" s="54"/>
      <c r="AB15" s="54"/>
      <c r="AC15" s="54"/>
      <c r="AD15" s="54"/>
      <c r="AE15" s="54"/>
      <c r="AF15" s="54"/>
      <c r="AG15" s="54"/>
      <c r="AH15" s="54"/>
    </row>
    <row r="16" spans="1:35" ht="14.4" customHeight="1" x14ac:dyDescent="0.3">
      <c r="A16" s="95"/>
      <c r="B16" s="34"/>
      <c r="C16" s="34"/>
      <c r="D16" s="34"/>
      <c r="E16" s="34"/>
      <c r="F16" s="34"/>
      <c r="G16" s="34"/>
      <c r="H16" s="34"/>
      <c r="I16" s="54"/>
      <c r="J16" s="54"/>
      <c r="K16" s="54"/>
      <c r="L16" s="34"/>
      <c r="M16" s="34"/>
      <c r="N16" s="34"/>
      <c r="O16" s="34"/>
      <c r="P16" s="34"/>
      <c r="Q16" s="34"/>
      <c r="R16" s="54"/>
      <c r="S16" s="54"/>
      <c r="T16" s="54"/>
      <c r="U16" s="54"/>
      <c r="V16" s="54"/>
      <c r="W16" s="54"/>
      <c r="X16" s="54"/>
      <c r="Y16" s="54"/>
      <c r="Z16" s="54"/>
      <c r="AA16" s="54"/>
      <c r="AB16" s="54"/>
      <c r="AC16" s="54"/>
      <c r="AD16" s="54"/>
      <c r="AE16" s="54"/>
      <c r="AF16" s="54"/>
      <c r="AG16" s="54"/>
      <c r="AH16" s="54"/>
    </row>
    <row r="17" spans="1:34" ht="14.4" customHeight="1" x14ac:dyDescent="0.3">
      <c r="A17" s="95"/>
      <c r="B17" s="34"/>
      <c r="C17" s="34"/>
      <c r="D17" s="34"/>
      <c r="E17" s="34"/>
      <c r="F17" s="34"/>
      <c r="G17" s="34"/>
      <c r="H17" s="34"/>
      <c r="I17" s="54"/>
      <c r="J17" s="54"/>
      <c r="K17" s="54"/>
      <c r="L17" s="34"/>
      <c r="M17" s="34"/>
      <c r="N17" s="34"/>
      <c r="O17" s="34"/>
      <c r="P17" s="34"/>
      <c r="Q17" s="34"/>
      <c r="R17" s="54"/>
      <c r="S17" s="54"/>
      <c r="T17" s="54"/>
      <c r="U17" s="54"/>
      <c r="V17" s="54"/>
      <c r="W17" s="54"/>
      <c r="X17" s="54"/>
      <c r="Y17" s="54"/>
      <c r="Z17" s="54"/>
      <c r="AA17" s="54"/>
      <c r="AB17" s="54"/>
      <c r="AC17" s="54"/>
      <c r="AD17" s="54"/>
      <c r="AE17" s="54"/>
      <c r="AF17" s="54"/>
      <c r="AG17" s="54"/>
      <c r="AH17" s="54"/>
    </row>
    <row r="18" spans="1:34" ht="14.4" customHeight="1" x14ac:dyDescent="0.3">
      <c r="A18" s="95"/>
      <c r="B18" s="34"/>
      <c r="C18" s="34"/>
      <c r="D18" s="34"/>
      <c r="E18" s="34"/>
      <c r="F18" s="34"/>
      <c r="G18" s="34"/>
      <c r="H18" s="34"/>
      <c r="I18" s="54"/>
      <c r="J18" s="54"/>
      <c r="K18" s="54"/>
      <c r="L18" s="34"/>
      <c r="M18" s="34"/>
      <c r="N18" s="34"/>
      <c r="O18" s="34"/>
      <c r="P18" s="34"/>
      <c r="Q18" s="34"/>
      <c r="R18" s="54"/>
      <c r="S18" s="54"/>
      <c r="T18" s="54"/>
      <c r="U18" s="54"/>
      <c r="V18" s="54"/>
      <c r="W18" s="54"/>
      <c r="X18" s="54"/>
      <c r="Y18" s="54"/>
      <c r="Z18" s="54"/>
      <c r="AA18" s="54"/>
      <c r="AB18" s="54"/>
      <c r="AC18" s="54"/>
      <c r="AD18" s="54"/>
      <c r="AE18" s="54"/>
      <c r="AF18" s="54"/>
      <c r="AG18" s="54"/>
      <c r="AH18" s="54"/>
    </row>
    <row r="19" spans="1:34" ht="14.4" customHeight="1" x14ac:dyDescent="0.3">
      <c r="A19" s="95"/>
      <c r="B19" s="34"/>
      <c r="C19" s="34"/>
      <c r="D19" s="34"/>
      <c r="E19" s="34"/>
      <c r="F19" s="34"/>
      <c r="G19" s="34"/>
      <c r="H19" s="34"/>
      <c r="I19" s="54"/>
      <c r="J19" s="54"/>
      <c r="K19" s="54"/>
      <c r="L19" s="34"/>
      <c r="M19" s="34"/>
      <c r="N19" s="34"/>
      <c r="O19" s="34"/>
      <c r="P19" s="34"/>
      <c r="Q19" s="34"/>
      <c r="R19" s="54"/>
      <c r="S19" s="54"/>
      <c r="T19" s="54"/>
      <c r="U19" s="54"/>
      <c r="V19" s="54"/>
      <c r="W19" s="54"/>
      <c r="X19" s="54"/>
      <c r="Y19" s="54"/>
      <c r="Z19" s="54"/>
      <c r="AA19" s="54"/>
      <c r="AB19" s="54"/>
      <c r="AC19" s="54"/>
      <c r="AD19" s="54"/>
      <c r="AE19" s="54"/>
      <c r="AF19" s="54"/>
      <c r="AG19" s="54"/>
      <c r="AH19" s="54"/>
    </row>
    <row r="20" spans="1:34" ht="14.4" customHeight="1" x14ac:dyDescent="0.3">
      <c r="A20" s="95"/>
      <c r="B20" s="34"/>
      <c r="C20" s="34"/>
      <c r="D20" s="34"/>
      <c r="E20" s="34"/>
      <c r="F20" s="34"/>
      <c r="G20" s="34"/>
      <c r="H20" s="34"/>
      <c r="I20" s="54"/>
      <c r="J20" s="54"/>
      <c r="K20" s="54"/>
      <c r="L20" s="34"/>
      <c r="M20" s="34"/>
      <c r="N20" s="34"/>
      <c r="O20" s="34"/>
      <c r="P20" s="34"/>
      <c r="Q20" s="34"/>
      <c r="R20" s="54"/>
      <c r="S20" s="54"/>
      <c r="T20" s="54"/>
      <c r="U20" s="54"/>
      <c r="V20" s="54"/>
      <c r="W20" s="54"/>
      <c r="X20" s="54"/>
      <c r="Y20" s="54"/>
      <c r="Z20" s="54"/>
      <c r="AA20" s="54"/>
      <c r="AB20" s="54"/>
      <c r="AC20" s="54"/>
      <c r="AD20" s="54"/>
      <c r="AE20" s="54"/>
      <c r="AF20" s="54"/>
      <c r="AG20" s="54"/>
      <c r="AH20" s="54"/>
    </row>
    <row r="21" spans="1:34" ht="14.4" customHeight="1" x14ac:dyDescent="0.3">
      <c r="A21" s="95"/>
      <c r="B21" s="34"/>
      <c r="C21" s="34"/>
      <c r="D21" s="34"/>
      <c r="E21" s="34"/>
      <c r="F21" s="34"/>
      <c r="G21" s="34"/>
      <c r="H21" s="34"/>
      <c r="I21" s="54"/>
      <c r="J21" s="54"/>
      <c r="K21" s="54"/>
      <c r="L21" s="34"/>
      <c r="M21" s="34"/>
      <c r="N21" s="34"/>
      <c r="O21" s="34"/>
      <c r="P21" s="34"/>
      <c r="Q21" s="34"/>
      <c r="R21" s="54"/>
      <c r="S21" s="54"/>
      <c r="T21" s="54"/>
      <c r="U21" s="54"/>
      <c r="V21" s="54"/>
      <c r="W21" s="54"/>
      <c r="X21" s="54"/>
      <c r="Y21" s="54"/>
      <c r="Z21" s="54"/>
      <c r="AA21" s="54"/>
      <c r="AB21" s="54"/>
      <c r="AC21" s="54"/>
      <c r="AD21" s="54"/>
      <c r="AE21" s="54"/>
      <c r="AF21" s="54"/>
      <c r="AG21" s="54"/>
      <c r="AH21" s="54"/>
    </row>
    <row r="22" spans="1:34" s="95" customFormat="1" ht="14.4" customHeight="1" x14ac:dyDescent="0.3">
      <c r="B22" s="34"/>
      <c r="C22" s="34"/>
      <c r="D22" s="34"/>
      <c r="E22" s="34"/>
      <c r="F22" s="34"/>
      <c r="G22" s="34"/>
      <c r="H22" s="34"/>
      <c r="I22" s="54"/>
      <c r="J22" s="54"/>
      <c r="K22" s="54"/>
      <c r="L22" s="34"/>
      <c r="M22" s="34"/>
      <c r="N22" s="34"/>
      <c r="O22" s="34"/>
      <c r="P22" s="34"/>
      <c r="Q22" s="34"/>
      <c r="R22" s="54"/>
      <c r="S22" s="54"/>
      <c r="T22" s="54"/>
      <c r="U22" s="54"/>
      <c r="V22" s="54"/>
      <c r="W22" s="54"/>
      <c r="X22" s="54"/>
      <c r="Y22" s="54"/>
      <c r="Z22" s="54"/>
      <c r="AA22" s="54"/>
      <c r="AB22" s="54"/>
      <c r="AC22" s="54"/>
      <c r="AD22" s="54"/>
      <c r="AE22" s="54"/>
      <c r="AF22" s="54"/>
      <c r="AG22" s="54"/>
      <c r="AH22" s="54"/>
    </row>
    <row r="23" spans="1:34" s="95" customFormat="1" ht="14.4" customHeight="1" x14ac:dyDescent="0.3">
      <c r="B23" s="34"/>
      <c r="C23" s="34"/>
      <c r="D23" s="34"/>
      <c r="E23" s="34"/>
      <c r="F23" s="34"/>
      <c r="G23" s="34"/>
      <c r="H23" s="34"/>
      <c r="I23" s="54"/>
      <c r="J23" s="54"/>
      <c r="K23" s="54"/>
      <c r="L23" s="34"/>
      <c r="M23" s="34"/>
      <c r="N23" s="34"/>
      <c r="O23" s="34"/>
      <c r="P23" s="34"/>
      <c r="Q23" s="34"/>
      <c r="R23" s="54"/>
      <c r="S23" s="54"/>
      <c r="T23" s="54"/>
      <c r="U23" s="54"/>
      <c r="V23" s="54"/>
      <c r="W23" s="54"/>
      <c r="X23" s="54"/>
      <c r="Y23" s="54"/>
      <c r="Z23" s="54"/>
      <c r="AA23" s="54"/>
      <c r="AB23" s="54"/>
      <c r="AC23" s="54"/>
      <c r="AD23" s="54"/>
      <c r="AE23" s="54"/>
      <c r="AF23" s="54"/>
      <c r="AG23" s="54"/>
      <c r="AH23" s="54"/>
    </row>
    <row r="24" spans="1:34" s="95" customFormat="1" ht="14.4" customHeight="1" x14ac:dyDescent="0.3">
      <c r="B24" s="34"/>
      <c r="C24" s="34"/>
      <c r="D24" s="34"/>
      <c r="E24" s="34"/>
      <c r="F24" s="34"/>
      <c r="G24" s="34"/>
      <c r="H24" s="34"/>
      <c r="I24" s="54"/>
      <c r="J24" s="54"/>
      <c r="K24" s="54"/>
      <c r="L24" s="34"/>
      <c r="M24" s="34"/>
      <c r="N24" s="34"/>
      <c r="O24" s="34"/>
      <c r="P24" s="34"/>
      <c r="Q24" s="34"/>
      <c r="R24" s="54"/>
      <c r="S24" s="54"/>
      <c r="T24" s="54"/>
      <c r="U24" s="54"/>
      <c r="V24" s="54"/>
      <c r="W24" s="54"/>
      <c r="X24" s="54"/>
      <c r="Y24" s="54"/>
      <c r="Z24" s="54"/>
      <c r="AA24" s="54"/>
      <c r="AB24" s="54"/>
      <c r="AC24" s="54"/>
      <c r="AD24" s="54"/>
      <c r="AE24" s="54"/>
      <c r="AF24" s="54"/>
      <c r="AG24" s="54"/>
      <c r="AH24" s="54"/>
    </row>
    <row r="25" spans="1:34" s="95" customFormat="1" ht="14.4" customHeight="1" x14ac:dyDescent="0.3">
      <c r="B25" s="34"/>
      <c r="C25" s="34"/>
      <c r="D25" s="34"/>
      <c r="E25" s="34"/>
      <c r="F25" s="34"/>
      <c r="G25" s="34"/>
      <c r="H25" s="34"/>
      <c r="I25" s="54"/>
      <c r="J25" s="54"/>
      <c r="K25" s="54"/>
      <c r="L25" s="34"/>
      <c r="M25" s="34"/>
      <c r="N25" s="34"/>
      <c r="O25" s="34"/>
      <c r="P25" s="34"/>
      <c r="Q25" s="34"/>
      <c r="R25" s="54"/>
      <c r="S25" s="54"/>
      <c r="T25" s="54"/>
      <c r="U25" s="54"/>
      <c r="V25" s="54"/>
      <c r="W25" s="54"/>
      <c r="X25" s="54"/>
      <c r="Y25" s="54"/>
      <c r="Z25" s="54"/>
      <c r="AA25" s="54"/>
      <c r="AB25" s="54"/>
      <c r="AC25" s="54"/>
      <c r="AD25" s="54"/>
      <c r="AE25" s="54"/>
      <c r="AF25" s="54"/>
      <c r="AG25" s="54"/>
      <c r="AH25" s="54"/>
    </row>
    <row r="26" spans="1:34" s="95" customFormat="1" ht="14.4" customHeight="1" x14ac:dyDescent="0.3">
      <c r="B26" s="34"/>
      <c r="C26" s="34"/>
      <c r="D26" s="34"/>
      <c r="E26" s="34"/>
      <c r="F26" s="34"/>
      <c r="G26" s="34"/>
      <c r="H26" s="34"/>
      <c r="I26" s="54"/>
      <c r="J26" s="54"/>
      <c r="K26" s="54"/>
      <c r="L26" s="34"/>
      <c r="M26" s="34"/>
      <c r="N26" s="34"/>
      <c r="O26" s="34"/>
      <c r="P26" s="34"/>
      <c r="Q26" s="34"/>
      <c r="R26" s="54"/>
      <c r="S26" s="54"/>
      <c r="T26" s="54"/>
      <c r="U26" s="54"/>
      <c r="V26" s="54"/>
      <c r="W26" s="54"/>
      <c r="X26" s="54"/>
      <c r="Y26" s="54"/>
      <c r="Z26" s="54"/>
      <c r="AA26" s="54"/>
      <c r="AB26" s="54"/>
      <c r="AC26" s="54"/>
      <c r="AD26" s="54"/>
      <c r="AE26" s="54"/>
      <c r="AF26" s="54"/>
      <c r="AG26" s="54"/>
      <c r="AH26" s="54"/>
    </row>
    <row r="27" spans="1:34" s="95" customFormat="1" ht="14.4" customHeight="1" x14ac:dyDescent="0.3">
      <c r="B27" s="34"/>
      <c r="C27" s="34"/>
      <c r="D27" s="34"/>
      <c r="E27" s="34"/>
      <c r="F27" s="34"/>
      <c r="G27" s="34"/>
      <c r="H27" s="34"/>
      <c r="I27" s="54"/>
      <c r="J27" s="54"/>
      <c r="K27" s="54"/>
      <c r="L27" s="34"/>
      <c r="M27" s="34"/>
      <c r="N27" s="34"/>
      <c r="O27" s="34"/>
      <c r="P27" s="34"/>
      <c r="Q27" s="34"/>
      <c r="R27" s="54"/>
      <c r="S27" s="54"/>
      <c r="T27" s="54"/>
      <c r="U27" s="54"/>
      <c r="V27" s="54"/>
      <c r="W27" s="54"/>
      <c r="X27" s="54"/>
      <c r="Y27" s="54"/>
      <c r="Z27" s="54"/>
      <c r="AA27" s="54"/>
      <c r="AB27" s="54"/>
      <c r="AC27" s="54"/>
      <c r="AD27" s="54"/>
      <c r="AE27" s="54"/>
      <c r="AF27" s="54"/>
      <c r="AG27" s="54"/>
      <c r="AH27" s="54"/>
    </row>
    <row r="28" spans="1:34" s="95" customFormat="1" ht="14.4" customHeight="1" x14ac:dyDescent="0.3">
      <c r="B28" s="34"/>
      <c r="C28" s="34"/>
      <c r="D28" s="34"/>
      <c r="E28" s="34"/>
      <c r="F28" s="34"/>
      <c r="G28" s="34"/>
      <c r="H28" s="34"/>
      <c r="I28" s="54"/>
      <c r="J28" s="54"/>
      <c r="K28" s="54"/>
      <c r="L28" s="34"/>
      <c r="M28" s="34"/>
      <c r="N28" s="34"/>
      <c r="O28" s="34"/>
      <c r="P28" s="34"/>
      <c r="Q28" s="34"/>
      <c r="R28" s="54"/>
      <c r="S28" s="54"/>
      <c r="T28" s="54"/>
      <c r="U28" s="54"/>
      <c r="V28" s="54"/>
      <c r="W28" s="54"/>
      <c r="X28" s="54"/>
      <c r="Y28" s="54"/>
      <c r="Z28" s="54"/>
      <c r="AA28" s="54"/>
      <c r="AB28" s="54"/>
      <c r="AC28" s="54"/>
      <c r="AD28" s="54"/>
      <c r="AE28" s="54"/>
      <c r="AF28" s="54"/>
      <c r="AG28" s="54"/>
      <c r="AH28" s="54"/>
    </row>
    <row r="29" spans="1:34" s="95" customFormat="1" ht="14.4" customHeight="1" x14ac:dyDescent="0.3">
      <c r="B29" s="34"/>
      <c r="C29" s="34"/>
      <c r="D29" s="34"/>
      <c r="E29" s="34"/>
      <c r="F29" s="34"/>
      <c r="G29" s="34"/>
      <c r="H29" s="34"/>
      <c r="I29" s="54"/>
      <c r="J29" s="54"/>
      <c r="K29" s="54"/>
      <c r="L29" s="34"/>
      <c r="M29" s="34"/>
      <c r="N29" s="34"/>
      <c r="O29" s="34"/>
      <c r="P29" s="34"/>
      <c r="Q29" s="34"/>
      <c r="R29" s="54"/>
      <c r="S29" s="54"/>
      <c r="T29" s="54"/>
      <c r="U29" s="54"/>
      <c r="V29" s="54"/>
      <c r="W29" s="54"/>
      <c r="X29" s="54"/>
      <c r="Y29" s="54"/>
      <c r="Z29" s="54"/>
      <c r="AA29" s="54"/>
      <c r="AB29" s="54"/>
      <c r="AC29" s="54"/>
      <c r="AD29" s="54"/>
      <c r="AE29" s="54"/>
      <c r="AF29" s="54"/>
      <c r="AG29" s="54"/>
      <c r="AH29" s="54"/>
    </row>
    <row r="30" spans="1:34" s="95" customFormat="1" ht="14.4" customHeight="1" x14ac:dyDescent="0.3">
      <c r="B30" s="34"/>
      <c r="C30" s="34"/>
      <c r="D30" s="34"/>
      <c r="E30" s="34"/>
      <c r="F30" s="34"/>
      <c r="G30" s="34"/>
      <c r="H30" s="34"/>
      <c r="I30" s="54"/>
      <c r="J30" s="54"/>
      <c r="K30" s="54"/>
      <c r="L30" s="34"/>
      <c r="M30" s="34"/>
      <c r="N30" s="34"/>
      <c r="O30" s="34"/>
      <c r="P30" s="34"/>
      <c r="Q30" s="34"/>
      <c r="R30" s="54"/>
      <c r="S30" s="54"/>
      <c r="T30" s="54"/>
      <c r="U30" s="54"/>
      <c r="V30" s="54"/>
      <c r="W30" s="54"/>
      <c r="X30" s="54"/>
      <c r="Y30" s="54"/>
      <c r="Z30" s="54"/>
      <c r="AA30" s="54"/>
      <c r="AB30" s="54"/>
      <c r="AC30" s="54"/>
      <c r="AD30" s="54"/>
      <c r="AE30" s="54"/>
      <c r="AF30" s="54"/>
      <c r="AG30" s="54"/>
      <c r="AH30" s="54"/>
    </row>
    <row r="31" spans="1:34" s="95" customFormat="1" ht="14.4" customHeight="1" x14ac:dyDescent="0.3">
      <c r="B31" s="34"/>
      <c r="C31" s="34"/>
      <c r="D31" s="34"/>
      <c r="E31" s="34"/>
      <c r="F31" s="34"/>
      <c r="G31" s="34"/>
      <c r="H31" s="34"/>
      <c r="I31" s="54"/>
      <c r="J31" s="54"/>
      <c r="K31" s="54"/>
      <c r="L31" s="34"/>
      <c r="M31" s="34"/>
      <c r="N31" s="34"/>
      <c r="O31" s="34"/>
      <c r="P31" s="34"/>
      <c r="Q31" s="34"/>
      <c r="R31" s="54"/>
      <c r="S31" s="54"/>
      <c r="T31" s="54"/>
      <c r="U31" s="54"/>
      <c r="V31" s="54"/>
      <c r="W31" s="54"/>
      <c r="X31" s="54"/>
      <c r="Y31" s="54"/>
      <c r="Z31" s="54"/>
      <c r="AA31" s="54"/>
      <c r="AB31" s="54"/>
      <c r="AC31" s="54"/>
      <c r="AD31" s="54"/>
      <c r="AE31" s="54"/>
      <c r="AF31" s="54"/>
      <c r="AG31" s="54"/>
      <c r="AH31" s="54"/>
    </row>
    <row r="32" spans="1:34" s="95" customFormat="1" ht="14.4" customHeight="1" x14ac:dyDescent="0.3">
      <c r="B32" s="34"/>
      <c r="C32" s="34"/>
      <c r="D32" s="34"/>
      <c r="E32" s="34"/>
      <c r="F32" s="34"/>
      <c r="G32" s="34"/>
      <c r="H32" s="34"/>
      <c r="I32" s="54"/>
      <c r="J32" s="54"/>
      <c r="K32" s="54"/>
      <c r="L32" s="34"/>
      <c r="M32" s="34"/>
      <c r="N32" s="34"/>
      <c r="O32" s="34"/>
      <c r="P32" s="34"/>
      <c r="Q32" s="34"/>
      <c r="R32" s="54"/>
      <c r="S32" s="54"/>
      <c r="T32" s="54"/>
      <c r="U32" s="54"/>
      <c r="V32" s="54"/>
      <c r="W32" s="54"/>
      <c r="X32" s="54"/>
      <c r="Y32" s="54"/>
      <c r="Z32" s="54"/>
      <c r="AA32" s="54"/>
      <c r="AB32" s="54"/>
      <c r="AC32" s="54"/>
      <c r="AD32" s="54"/>
      <c r="AE32" s="54"/>
      <c r="AF32" s="54"/>
      <c r="AG32" s="54"/>
      <c r="AH32" s="54"/>
    </row>
    <row r="33" spans="1:34" s="95" customFormat="1" ht="14.4" customHeight="1" x14ac:dyDescent="0.3">
      <c r="B33" s="34"/>
      <c r="C33" s="34"/>
      <c r="D33" s="34"/>
      <c r="E33" s="34"/>
      <c r="F33" s="34"/>
      <c r="G33" s="34"/>
      <c r="H33" s="34"/>
      <c r="I33" s="54"/>
      <c r="J33" s="54"/>
      <c r="K33" s="54"/>
      <c r="L33" s="34"/>
      <c r="M33" s="34"/>
      <c r="N33" s="34"/>
      <c r="O33" s="34"/>
      <c r="P33" s="34"/>
      <c r="Q33" s="34"/>
      <c r="R33" s="54"/>
      <c r="S33" s="54"/>
      <c r="T33" s="54"/>
      <c r="U33" s="54"/>
      <c r="V33" s="54"/>
      <c r="W33" s="54"/>
      <c r="X33" s="54"/>
      <c r="Y33" s="54"/>
      <c r="Z33" s="54"/>
      <c r="AA33" s="54"/>
      <c r="AB33" s="54"/>
      <c r="AC33" s="54"/>
      <c r="AD33" s="54"/>
      <c r="AE33" s="54"/>
      <c r="AF33" s="54"/>
      <c r="AG33" s="54"/>
      <c r="AH33" s="54"/>
    </row>
    <row r="34" spans="1:34" ht="14.4" customHeight="1" x14ac:dyDescent="0.3">
      <c r="A34" s="95"/>
      <c r="B34" s="34"/>
      <c r="C34" s="34"/>
      <c r="D34" s="34"/>
      <c r="E34" s="34"/>
      <c r="F34" s="34"/>
      <c r="G34" s="34"/>
      <c r="H34" s="34"/>
      <c r="I34" s="54"/>
      <c r="J34" s="54"/>
      <c r="K34" s="54"/>
      <c r="L34" s="34"/>
      <c r="M34" s="34"/>
      <c r="N34" s="34"/>
      <c r="O34" s="34"/>
      <c r="P34" s="34"/>
      <c r="Q34" s="34"/>
      <c r="R34" s="54"/>
      <c r="S34" s="54"/>
      <c r="T34" s="54"/>
      <c r="U34" s="54"/>
      <c r="V34" s="54"/>
      <c r="W34" s="54"/>
      <c r="X34" s="54"/>
      <c r="Y34" s="54"/>
      <c r="Z34" s="54"/>
      <c r="AA34" s="54"/>
      <c r="AB34" s="54"/>
      <c r="AC34" s="54"/>
      <c r="AD34" s="54"/>
      <c r="AE34" s="54"/>
      <c r="AF34" s="54"/>
      <c r="AG34" s="54"/>
      <c r="AH34" s="54"/>
    </row>
    <row r="35" spans="1:34" ht="14.4" customHeight="1" x14ac:dyDescent="0.3">
      <c r="A35" s="95"/>
      <c r="B35" s="34"/>
      <c r="C35" s="34"/>
      <c r="D35" s="34"/>
      <c r="E35" s="34"/>
      <c r="F35" s="34"/>
      <c r="G35" s="34"/>
      <c r="H35" s="34"/>
      <c r="I35" s="54"/>
      <c r="J35" s="54"/>
      <c r="K35" s="54"/>
      <c r="L35" s="34"/>
      <c r="M35" s="34"/>
      <c r="N35" s="34"/>
      <c r="O35" s="34"/>
      <c r="P35" s="34"/>
      <c r="Q35" s="34"/>
      <c r="R35" s="54"/>
      <c r="S35" s="54"/>
      <c r="T35" s="54"/>
      <c r="U35" s="54"/>
      <c r="V35" s="54"/>
      <c r="W35" s="54"/>
      <c r="X35" s="54"/>
      <c r="Y35" s="54"/>
      <c r="Z35" s="54"/>
      <c r="AA35" s="54"/>
      <c r="AB35" s="54"/>
      <c r="AC35" s="54"/>
      <c r="AD35" s="54"/>
      <c r="AE35" s="54"/>
      <c r="AF35" s="54"/>
      <c r="AG35" s="54"/>
      <c r="AH35" s="54"/>
    </row>
    <row r="36" spans="1:34" ht="14.4" customHeight="1" x14ac:dyDescent="0.3">
      <c r="A36" s="95"/>
      <c r="B36" s="34"/>
      <c r="C36" s="34"/>
      <c r="D36" s="34"/>
      <c r="E36" s="34"/>
      <c r="F36" s="34"/>
      <c r="G36" s="34"/>
      <c r="H36" s="34"/>
      <c r="I36" s="54"/>
      <c r="J36" s="54"/>
      <c r="K36" s="54"/>
      <c r="L36" s="34"/>
      <c r="M36" s="34"/>
      <c r="N36" s="34"/>
      <c r="O36" s="34"/>
      <c r="P36" s="34"/>
      <c r="Q36" s="34"/>
      <c r="R36" s="54"/>
      <c r="S36" s="54"/>
      <c r="T36" s="54"/>
      <c r="U36" s="54"/>
      <c r="V36" s="54"/>
      <c r="W36" s="54"/>
      <c r="X36" s="54"/>
      <c r="Y36" s="54"/>
      <c r="Z36" s="54"/>
      <c r="AA36" s="54"/>
      <c r="AB36" s="54"/>
      <c r="AC36" s="54"/>
      <c r="AD36" s="54"/>
      <c r="AE36" s="54"/>
      <c r="AF36" s="54"/>
      <c r="AG36" s="54"/>
      <c r="AH36" s="54"/>
    </row>
    <row r="37" spans="1:34" ht="14.4" customHeight="1" x14ac:dyDescent="0.3">
      <c r="A37" s="95"/>
      <c r="B37" s="34"/>
      <c r="C37" s="34"/>
      <c r="D37" s="34"/>
      <c r="E37" s="34"/>
      <c r="F37" s="34"/>
      <c r="G37" s="34"/>
      <c r="H37" s="34"/>
      <c r="I37" s="54"/>
      <c r="J37" s="54"/>
      <c r="K37" s="54"/>
      <c r="L37" s="34"/>
      <c r="M37" s="34"/>
      <c r="N37" s="34"/>
      <c r="O37" s="34"/>
      <c r="P37" s="34"/>
      <c r="Q37" s="34"/>
      <c r="R37" s="54"/>
      <c r="S37" s="54"/>
      <c r="T37" s="54"/>
      <c r="U37" s="54"/>
      <c r="V37" s="54"/>
      <c r="W37" s="54"/>
      <c r="X37" s="54"/>
      <c r="Y37" s="54"/>
      <c r="Z37" s="54"/>
      <c r="AA37" s="54"/>
      <c r="AB37" s="54"/>
      <c r="AC37" s="54"/>
      <c r="AD37" s="54"/>
      <c r="AE37" s="54"/>
      <c r="AF37" s="54"/>
      <c r="AG37" s="54"/>
      <c r="AH37" s="54"/>
    </row>
    <row r="38" spans="1:34" ht="14.4" customHeight="1" x14ac:dyDescent="0.3">
      <c r="A38" s="95"/>
      <c r="B38" s="34"/>
      <c r="C38" s="34"/>
      <c r="D38" s="34"/>
      <c r="E38" s="34"/>
      <c r="F38" s="34"/>
      <c r="G38" s="34"/>
      <c r="H38" s="34"/>
      <c r="I38" s="54"/>
      <c r="J38" s="54"/>
      <c r="K38" s="54"/>
      <c r="L38" s="34"/>
      <c r="M38" s="34"/>
      <c r="N38" s="34"/>
      <c r="O38" s="34"/>
      <c r="P38" s="34"/>
      <c r="Q38" s="34"/>
      <c r="R38" s="54"/>
      <c r="S38" s="54"/>
      <c r="T38" s="54"/>
      <c r="U38" s="54"/>
      <c r="V38" s="54"/>
      <c r="W38" s="54"/>
      <c r="X38" s="54"/>
      <c r="Y38" s="54"/>
      <c r="Z38" s="54"/>
      <c r="AA38" s="54"/>
      <c r="AB38" s="54"/>
      <c r="AC38" s="54"/>
      <c r="AD38" s="54"/>
      <c r="AE38" s="54"/>
      <c r="AF38" s="54"/>
      <c r="AG38" s="54"/>
      <c r="AH38" s="54"/>
    </row>
    <row r="39" spans="1:34" ht="14.4" customHeight="1" x14ac:dyDescent="0.3">
      <c r="A39" s="95"/>
      <c r="B39" s="34"/>
      <c r="C39" s="34"/>
      <c r="D39" s="34"/>
      <c r="E39" s="34"/>
      <c r="F39" s="34"/>
      <c r="G39" s="34"/>
      <c r="H39" s="34"/>
      <c r="I39" s="54"/>
      <c r="J39" s="54"/>
      <c r="K39" s="54"/>
      <c r="L39" s="34"/>
      <c r="M39" s="34"/>
      <c r="N39" s="34"/>
      <c r="O39" s="34"/>
      <c r="P39" s="34"/>
      <c r="Q39" s="34"/>
      <c r="R39" s="54"/>
      <c r="S39" s="54"/>
      <c r="T39" s="54"/>
      <c r="U39" s="54"/>
      <c r="V39" s="54"/>
      <c r="W39" s="54"/>
      <c r="X39" s="54"/>
      <c r="Y39" s="54"/>
      <c r="Z39" s="54"/>
      <c r="AA39" s="54"/>
      <c r="AB39" s="54"/>
      <c r="AC39" s="54"/>
      <c r="AD39" s="54"/>
      <c r="AE39" s="54"/>
      <c r="AF39" s="54"/>
      <c r="AG39" s="54"/>
      <c r="AH39" s="54"/>
    </row>
    <row r="40" spans="1:34" ht="14.4" customHeight="1" x14ac:dyDescent="0.3">
      <c r="A40" s="95"/>
      <c r="B40" s="34"/>
      <c r="C40" s="34"/>
      <c r="D40" s="34"/>
      <c r="E40" s="34"/>
      <c r="F40" s="34"/>
      <c r="G40" s="34"/>
      <c r="H40" s="34"/>
      <c r="I40" s="54"/>
      <c r="J40" s="54"/>
      <c r="K40" s="54"/>
      <c r="L40" s="34"/>
      <c r="M40" s="34"/>
      <c r="N40" s="34"/>
      <c r="O40" s="34"/>
      <c r="P40" s="34"/>
      <c r="Q40" s="34"/>
      <c r="R40" s="54"/>
      <c r="S40" s="54"/>
      <c r="T40" s="54"/>
      <c r="U40" s="54"/>
      <c r="V40" s="54"/>
      <c r="W40" s="54"/>
      <c r="X40" s="54"/>
      <c r="Y40" s="54"/>
      <c r="Z40" s="54"/>
      <c r="AA40" s="54"/>
      <c r="AB40" s="54"/>
      <c r="AC40" s="54"/>
      <c r="AD40" s="54"/>
      <c r="AE40" s="54"/>
      <c r="AF40" s="54"/>
      <c r="AG40" s="54"/>
      <c r="AH40" s="54"/>
    </row>
    <row r="41" spans="1:34" ht="14.4" customHeight="1" x14ac:dyDescent="0.3">
      <c r="A41" s="95"/>
      <c r="B41" s="34"/>
      <c r="C41" s="34"/>
      <c r="D41" s="34"/>
      <c r="E41" s="34"/>
      <c r="F41" s="34"/>
      <c r="G41" s="34"/>
      <c r="H41" s="34"/>
      <c r="I41" s="54"/>
      <c r="J41" s="54"/>
      <c r="K41" s="54"/>
      <c r="L41" s="34"/>
      <c r="M41" s="34"/>
      <c r="N41" s="34"/>
      <c r="O41" s="34"/>
      <c r="P41" s="34"/>
      <c r="Q41" s="34"/>
      <c r="R41" s="54"/>
      <c r="S41" s="54"/>
      <c r="T41" s="54"/>
      <c r="U41" s="54"/>
      <c r="V41" s="54"/>
      <c r="W41" s="54"/>
      <c r="X41" s="54"/>
      <c r="Y41" s="54"/>
      <c r="Z41" s="54"/>
      <c r="AA41" s="54"/>
      <c r="AB41" s="54"/>
      <c r="AC41" s="54"/>
      <c r="AD41" s="54"/>
      <c r="AE41" s="54"/>
      <c r="AF41" s="54"/>
      <c r="AG41" s="54"/>
      <c r="AH41" s="54"/>
    </row>
    <row r="42" spans="1:34" ht="14.4" customHeight="1" x14ac:dyDescent="0.3">
      <c r="A42" s="95"/>
      <c r="B42" s="34"/>
      <c r="C42" s="34"/>
      <c r="D42" s="34"/>
      <c r="E42" s="34"/>
      <c r="F42" s="34"/>
      <c r="G42" s="34"/>
      <c r="H42" s="34"/>
      <c r="I42" s="54"/>
      <c r="J42" s="54"/>
      <c r="K42" s="54"/>
      <c r="L42" s="34"/>
      <c r="M42" s="34"/>
      <c r="N42" s="34"/>
      <c r="O42" s="34"/>
      <c r="P42" s="34"/>
      <c r="Q42" s="34"/>
      <c r="R42" s="54"/>
      <c r="S42" s="54"/>
      <c r="T42" s="54"/>
      <c r="U42" s="54"/>
      <c r="V42" s="54"/>
      <c r="W42" s="54"/>
      <c r="X42" s="54"/>
      <c r="Y42" s="54"/>
      <c r="Z42" s="54"/>
      <c r="AA42" s="54"/>
      <c r="AB42" s="54"/>
      <c r="AC42" s="54"/>
      <c r="AD42" s="54"/>
      <c r="AE42" s="54"/>
      <c r="AF42" s="54"/>
      <c r="AG42" s="54"/>
      <c r="AH42" s="54"/>
    </row>
    <row r="43" spans="1:34" ht="14.4" customHeight="1" x14ac:dyDescent="0.3">
      <c r="A43" s="95"/>
      <c r="B43" s="34"/>
      <c r="C43" s="34"/>
      <c r="D43" s="34"/>
      <c r="E43" s="34"/>
      <c r="F43" s="34"/>
      <c r="G43" s="34"/>
      <c r="H43" s="34"/>
      <c r="I43" s="54"/>
      <c r="J43" s="54"/>
      <c r="K43" s="54"/>
      <c r="L43" s="34"/>
      <c r="M43" s="34"/>
      <c r="N43" s="34"/>
      <c r="O43" s="34"/>
      <c r="P43" s="34"/>
      <c r="Q43" s="34"/>
      <c r="R43" s="54"/>
      <c r="S43" s="54"/>
      <c r="T43" s="54"/>
      <c r="U43" s="54"/>
      <c r="V43" s="54"/>
      <c r="W43" s="54"/>
      <c r="X43" s="54"/>
      <c r="Y43" s="54"/>
      <c r="Z43" s="54"/>
      <c r="AA43" s="54"/>
      <c r="AB43" s="54"/>
      <c r="AC43" s="54"/>
      <c r="AD43" s="54"/>
      <c r="AE43" s="54"/>
      <c r="AF43" s="54"/>
      <c r="AG43" s="54"/>
      <c r="AH43" s="54"/>
    </row>
    <row r="44" spans="1:34" ht="14.4" customHeight="1" x14ac:dyDescent="0.3">
      <c r="A44" s="95"/>
      <c r="B44" s="34"/>
      <c r="C44" s="34"/>
      <c r="D44" s="34"/>
      <c r="E44" s="34"/>
      <c r="F44" s="34"/>
      <c r="G44" s="34"/>
      <c r="H44" s="34"/>
      <c r="I44" s="54"/>
      <c r="J44" s="54"/>
      <c r="K44" s="54"/>
      <c r="L44" s="34"/>
      <c r="M44" s="34"/>
      <c r="N44" s="34"/>
      <c r="O44" s="34"/>
      <c r="P44" s="34"/>
      <c r="Q44" s="34"/>
      <c r="R44" s="54"/>
      <c r="S44" s="54"/>
      <c r="T44" s="54"/>
      <c r="U44" s="54"/>
      <c r="V44" s="54"/>
      <c r="W44" s="54"/>
      <c r="X44" s="54"/>
      <c r="Y44" s="54"/>
      <c r="Z44" s="54"/>
      <c r="AA44" s="54"/>
      <c r="AB44" s="54"/>
      <c r="AC44" s="54"/>
      <c r="AD44" s="54"/>
      <c r="AE44" s="54"/>
      <c r="AF44" s="54"/>
      <c r="AG44" s="54"/>
      <c r="AH44" s="54"/>
    </row>
    <row r="45" spans="1:34" ht="14.4" customHeight="1" x14ac:dyDescent="0.3">
      <c r="A45" s="95"/>
      <c r="B45" s="34"/>
      <c r="C45" s="34"/>
      <c r="D45" s="34"/>
      <c r="E45" s="34"/>
      <c r="F45" s="34"/>
      <c r="G45" s="34"/>
      <c r="H45" s="34"/>
      <c r="I45" s="54"/>
      <c r="J45" s="54"/>
      <c r="K45" s="54"/>
      <c r="L45" s="34"/>
      <c r="M45" s="34"/>
      <c r="N45" s="34"/>
      <c r="O45" s="34"/>
      <c r="P45" s="34"/>
      <c r="Q45" s="34"/>
      <c r="R45" s="54"/>
      <c r="S45" s="54"/>
      <c r="T45" s="54"/>
      <c r="U45" s="54"/>
      <c r="V45" s="54"/>
      <c r="W45" s="54"/>
      <c r="X45" s="54"/>
      <c r="Y45" s="54"/>
      <c r="Z45" s="54"/>
      <c r="AA45" s="54"/>
      <c r="AB45" s="54"/>
      <c r="AC45" s="54"/>
      <c r="AD45" s="54"/>
      <c r="AE45" s="54"/>
      <c r="AF45" s="54"/>
      <c r="AG45" s="54"/>
      <c r="AH45" s="54"/>
    </row>
    <row r="46" spans="1:34" ht="14.4" customHeight="1" x14ac:dyDescent="0.3">
      <c r="A46" s="95"/>
      <c r="B46" s="34"/>
      <c r="C46" s="34"/>
      <c r="D46" s="34"/>
      <c r="E46" s="34"/>
      <c r="F46" s="34"/>
      <c r="G46" s="34"/>
      <c r="H46" s="34"/>
      <c r="I46" s="54"/>
      <c r="J46" s="54"/>
      <c r="K46" s="54"/>
      <c r="L46" s="34"/>
      <c r="M46" s="34"/>
      <c r="N46" s="34"/>
      <c r="O46" s="34"/>
      <c r="P46" s="34"/>
      <c r="Q46" s="34"/>
      <c r="R46" s="54"/>
      <c r="S46" s="54"/>
      <c r="T46" s="54"/>
      <c r="U46" s="54"/>
      <c r="V46" s="54"/>
      <c r="W46" s="54"/>
      <c r="X46" s="54"/>
      <c r="Y46" s="54"/>
      <c r="Z46" s="54"/>
      <c r="AA46" s="54"/>
      <c r="AB46" s="54"/>
      <c r="AC46" s="54"/>
      <c r="AD46" s="54"/>
      <c r="AE46" s="54"/>
      <c r="AF46" s="54"/>
      <c r="AG46" s="54"/>
      <c r="AH46" s="54"/>
    </row>
    <row r="47" spans="1:34" ht="14.4" customHeight="1" x14ac:dyDescent="0.3">
      <c r="A47" s="95"/>
      <c r="B47" s="34"/>
      <c r="C47" s="34"/>
      <c r="D47" s="34"/>
      <c r="E47" s="34"/>
      <c r="F47" s="34"/>
      <c r="G47" s="34"/>
      <c r="H47" s="34"/>
      <c r="I47" s="54"/>
      <c r="J47" s="54"/>
      <c r="K47" s="54"/>
      <c r="L47" s="34"/>
      <c r="M47" s="34"/>
      <c r="N47" s="34"/>
      <c r="O47" s="34"/>
      <c r="P47" s="34"/>
      <c r="Q47" s="34"/>
      <c r="R47" s="54"/>
      <c r="S47" s="54"/>
      <c r="T47" s="54"/>
      <c r="U47" s="54"/>
      <c r="V47" s="54"/>
      <c r="W47" s="54"/>
      <c r="X47" s="54"/>
      <c r="Y47" s="54"/>
      <c r="Z47" s="54"/>
      <c r="AA47" s="54"/>
      <c r="AB47" s="54"/>
      <c r="AC47" s="54"/>
      <c r="AD47" s="54"/>
      <c r="AE47" s="54"/>
      <c r="AF47" s="54"/>
      <c r="AG47" s="54"/>
      <c r="AH47" s="54"/>
    </row>
    <row r="48" spans="1:34" ht="14.4" customHeight="1" x14ac:dyDescent="0.3">
      <c r="A48" s="95"/>
      <c r="B48" s="34"/>
      <c r="C48" s="34"/>
      <c r="D48" s="34"/>
      <c r="E48" s="34"/>
      <c r="F48" s="34"/>
      <c r="G48" s="34"/>
      <c r="H48" s="34"/>
      <c r="I48" s="54"/>
      <c r="J48" s="54"/>
      <c r="K48" s="54"/>
      <c r="L48" s="34"/>
      <c r="M48" s="34"/>
      <c r="N48" s="34"/>
      <c r="O48" s="34"/>
      <c r="P48" s="34"/>
      <c r="Q48" s="34"/>
      <c r="R48" s="54"/>
      <c r="S48" s="54"/>
      <c r="T48" s="54"/>
      <c r="U48" s="54"/>
      <c r="V48" s="54"/>
      <c r="W48" s="54"/>
      <c r="X48" s="54"/>
      <c r="Y48" s="54"/>
      <c r="Z48" s="54"/>
      <c r="AA48" s="54"/>
      <c r="AB48" s="54"/>
      <c r="AC48" s="54"/>
      <c r="AD48" s="54"/>
      <c r="AE48" s="54"/>
      <c r="AF48" s="54"/>
      <c r="AG48" s="54"/>
      <c r="AH48" s="54"/>
    </row>
    <row r="49" spans="1:40" ht="14.4" customHeight="1" x14ac:dyDescent="0.3">
      <c r="A49" s="95"/>
      <c r="B49" s="34"/>
      <c r="C49" s="34"/>
      <c r="D49" s="34"/>
      <c r="E49" s="34"/>
      <c r="F49" s="34"/>
      <c r="G49" s="34"/>
      <c r="H49" s="34"/>
      <c r="I49" s="54"/>
      <c r="J49" s="54"/>
      <c r="K49" s="54"/>
      <c r="L49" s="34"/>
      <c r="M49" s="34"/>
      <c r="N49" s="34"/>
      <c r="O49" s="34"/>
      <c r="P49" s="34"/>
      <c r="Q49" s="34"/>
      <c r="R49" s="54"/>
      <c r="S49" s="54"/>
      <c r="T49" s="54"/>
      <c r="U49" s="54"/>
      <c r="V49" s="54"/>
      <c r="W49" s="54"/>
      <c r="X49" s="54"/>
      <c r="Y49" s="54"/>
      <c r="Z49" s="54"/>
      <c r="AA49" s="54"/>
      <c r="AB49" s="54"/>
      <c r="AC49" s="54"/>
      <c r="AD49" s="54"/>
      <c r="AE49" s="54"/>
      <c r="AF49" s="54"/>
      <c r="AG49" s="54"/>
      <c r="AH49" s="54"/>
    </row>
    <row r="50" spans="1:40" ht="14.4" customHeight="1" x14ac:dyDescent="0.3">
      <c r="A50" s="95"/>
      <c r="B50" s="34"/>
      <c r="C50" s="34"/>
      <c r="D50" s="34"/>
      <c r="E50" s="34"/>
      <c r="F50" s="34"/>
      <c r="G50" s="34"/>
      <c r="H50" s="34"/>
      <c r="I50" s="54"/>
      <c r="J50" s="54"/>
      <c r="K50" s="54"/>
      <c r="L50" s="34"/>
      <c r="M50" s="34"/>
      <c r="N50" s="34"/>
      <c r="O50" s="34"/>
      <c r="P50" s="34"/>
      <c r="Q50" s="34"/>
      <c r="R50" s="54"/>
      <c r="S50" s="54"/>
      <c r="T50" s="54"/>
      <c r="U50" s="54"/>
      <c r="V50" s="54"/>
      <c r="W50" s="54"/>
      <c r="X50" s="54"/>
      <c r="Y50" s="54"/>
      <c r="Z50" s="54"/>
      <c r="AA50" s="54"/>
      <c r="AB50" s="54"/>
      <c r="AC50" s="54"/>
      <c r="AD50" s="54"/>
      <c r="AE50" s="54"/>
      <c r="AF50" s="54"/>
      <c r="AG50" s="54"/>
      <c r="AH50" s="54"/>
    </row>
    <row r="51" spans="1:40" ht="14.4" customHeight="1" x14ac:dyDescent="0.3"/>
    <row r="52" spans="1:40" ht="14.4" customHeight="1" x14ac:dyDescent="0.3">
      <c r="A52" s="95"/>
      <c r="B52" s="95"/>
      <c r="C52" s="95"/>
      <c r="D52" s="95"/>
      <c r="E52" s="95"/>
      <c r="F52" s="95"/>
      <c r="G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95"/>
      <c r="AL52" s="95"/>
      <c r="AM52" s="95"/>
      <c r="AN52" s="95"/>
    </row>
    <row r="53" spans="1:40" ht="14.4" customHeight="1" x14ac:dyDescent="0.3">
      <c r="A53" s="95"/>
      <c r="B53" s="95"/>
      <c r="C53" s="95"/>
      <c r="D53" s="95"/>
      <c r="E53" s="95"/>
      <c r="F53" s="95"/>
      <c r="G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95"/>
      <c r="AL53" s="95"/>
      <c r="AM53" s="95"/>
      <c r="AN53" s="95"/>
    </row>
    <row r="54" spans="1:40" ht="14.4" customHeight="1" x14ac:dyDescent="0.3">
      <c r="A54" s="95"/>
      <c r="B54" s="95"/>
      <c r="C54" s="95"/>
      <c r="D54" s="95"/>
      <c r="E54" s="95"/>
      <c r="F54" s="95"/>
      <c r="G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95"/>
      <c r="AL54" s="95"/>
      <c r="AM54" s="95"/>
      <c r="AN54" s="95"/>
    </row>
    <row r="55" spans="1:40" ht="14.4" customHeight="1" x14ac:dyDescent="0.3">
      <c r="A55" s="95"/>
      <c r="B55" s="95"/>
      <c r="C55" s="95"/>
      <c r="D55" s="95"/>
      <c r="E55" s="95"/>
      <c r="F55" s="95"/>
      <c r="G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5"/>
    </row>
    <row r="56" spans="1:40" ht="14.4" customHeight="1" x14ac:dyDescent="0.3">
      <c r="A56" s="95"/>
      <c r="B56" s="95"/>
      <c r="C56" s="95"/>
      <c r="D56" s="95"/>
      <c r="E56" s="95"/>
      <c r="F56" s="95"/>
      <c r="G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95"/>
      <c r="AL56" s="95"/>
      <c r="AM56" s="95"/>
      <c r="AN56" s="95"/>
    </row>
    <row r="57" spans="1:40" ht="14.4" customHeight="1" x14ac:dyDescent="0.3">
      <c r="A57" s="95"/>
      <c r="B57" s="95"/>
      <c r="C57" s="95"/>
      <c r="D57" s="95"/>
      <c r="E57" s="95"/>
      <c r="F57" s="95"/>
      <c r="G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95"/>
      <c r="AL57" s="95"/>
      <c r="AM57" s="95"/>
      <c r="AN57" s="95"/>
    </row>
    <row r="58" spans="1:40" ht="14.4" customHeight="1" x14ac:dyDescent="0.3">
      <c r="A58" s="95"/>
      <c r="B58" s="95"/>
      <c r="C58" s="95"/>
      <c r="D58" s="95"/>
      <c r="E58" s="95"/>
      <c r="F58" s="95"/>
      <c r="G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95"/>
      <c r="AL58" s="95"/>
      <c r="AM58" s="95"/>
      <c r="AN58" s="95"/>
    </row>
    <row r="59" spans="1:40" ht="14.4" customHeight="1" x14ac:dyDescent="0.3">
      <c r="A59" s="95"/>
      <c r="B59" s="95"/>
      <c r="C59" s="95"/>
      <c r="D59" s="95"/>
      <c r="E59" s="95"/>
      <c r="F59" s="95"/>
      <c r="G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95"/>
      <c r="AL59" s="95"/>
      <c r="AM59" s="95"/>
      <c r="AN59" s="95"/>
    </row>
    <row r="60" spans="1:40" ht="14.4" customHeight="1" x14ac:dyDescent="0.3">
      <c r="A60" s="95"/>
      <c r="B60" s="95"/>
      <c r="C60" s="95"/>
      <c r="D60" s="95"/>
      <c r="E60" s="95"/>
      <c r="F60" s="95"/>
      <c r="G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95"/>
      <c r="AL60" s="95"/>
      <c r="AM60" s="95"/>
      <c r="AN60" s="95"/>
    </row>
    <row r="61" spans="1:40" ht="14.4" customHeight="1" x14ac:dyDescent="0.3">
      <c r="A61" s="95"/>
      <c r="B61" s="95"/>
      <c r="C61" s="95"/>
      <c r="D61" s="95"/>
      <c r="E61" s="95"/>
      <c r="F61" s="95"/>
      <c r="G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95"/>
      <c r="AL61" s="95"/>
      <c r="AM61" s="95"/>
      <c r="AN61" s="95"/>
    </row>
    <row r="62" spans="1:40" ht="14.4" customHeight="1" x14ac:dyDescent="0.3">
      <c r="A62" s="95"/>
      <c r="B62" s="95"/>
      <c r="C62" s="95"/>
      <c r="D62" s="95"/>
      <c r="E62" s="95"/>
      <c r="F62" s="95"/>
      <c r="G62" s="95"/>
      <c r="L62" s="95"/>
      <c r="M62" s="95"/>
      <c r="N62" s="95"/>
      <c r="O62" s="95"/>
      <c r="P62" s="95"/>
      <c r="Q62" s="95"/>
      <c r="R62" s="95"/>
      <c r="S62" s="95"/>
      <c r="T62" s="95"/>
      <c r="U62" s="95"/>
      <c r="V62" s="95"/>
      <c r="W62" s="95"/>
      <c r="X62" s="95"/>
      <c r="Y62" s="95"/>
      <c r="Z62" s="95"/>
      <c r="AA62" s="95"/>
      <c r="AB62" s="95"/>
      <c r="AC62" s="95"/>
      <c r="AD62" s="95"/>
      <c r="AE62" s="95"/>
      <c r="AF62" s="95"/>
      <c r="AG62" s="95"/>
      <c r="AH62" s="95"/>
      <c r="AI62" s="95"/>
      <c r="AJ62" s="95"/>
      <c r="AK62" s="95"/>
      <c r="AL62" s="95"/>
      <c r="AM62" s="95"/>
      <c r="AN62" s="95"/>
    </row>
    <row r="63" spans="1:40" ht="14.4" customHeight="1" x14ac:dyDescent="0.3">
      <c r="A63" s="95"/>
      <c r="B63" s="95"/>
      <c r="C63" s="95"/>
      <c r="D63" s="95"/>
      <c r="E63" s="95"/>
      <c r="F63" s="95"/>
      <c r="G63" s="95"/>
      <c r="L63" s="95"/>
      <c r="M63" s="95"/>
      <c r="N63" s="95"/>
      <c r="O63" s="95"/>
      <c r="P63" s="95"/>
      <c r="Q63" s="95"/>
      <c r="R63" s="95"/>
      <c r="S63" s="95"/>
      <c r="T63" s="95"/>
      <c r="U63" s="95"/>
      <c r="V63" s="95"/>
      <c r="W63" s="95"/>
      <c r="X63" s="95"/>
      <c r="Y63" s="95"/>
      <c r="Z63" s="95"/>
      <c r="AA63" s="95"/>
      <c r="AB63" s="95"/>
      <c r="AC63" s="95"/>
      <c r="AD63" s="95"/>
      <c r="AE63" s="95"/>
      <c r="AF63" s="95"/>
      <c r="AG63" s="95"/>
      <c r="AH63" s="95"/>
      <c r="AI63" s="95"/>
      <c r="AJ63" s="95"/>
      <c r="AK63" s="95"/>
      <c r="AL63" s="95"/>
      <c r="AM63" s="95"/>
      <c r="AN63" s="95"/>
    </row>
    <row r="64" spans="1:40" ht="14.4" customHeight="1" x14ac:dyDescent="0.3">
      <c r="A64" s="95"/>
      <c r="B64" s="95"/>
      <c r="C64" s="95"/>
      <c r="D64" s="95"/>
      <c r="E64" s="95"/>
      <c r="F64" s="95"/>
      <c r="G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95"/>
      <c r="AL64" s="95"/>
      <c r="AM64" s="95"/>
      <c r="AN64" s="95"/>
    </row>
    <row r="65" spans="1:40" ht="14.4" customHeight="1" x14ac:dyDescent="0.3">
      <c r="A65" s="95"/>
      <c r="B65" s="95"/>
      <c r="C65" s="95"/>
      <c r="D65" s="95"/>
      <c r="E65" s="95"/>
      <c r="F65" s="95"/>
      <c r="G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95"/>
      <c r="AL65" s="95"/>
      <c r="AM65" s="95"/>
      <c r="AN65" s="95"/>
    </row>
    <row r="66" spans="1:40" ht="14.4" customHeight="1" x14ac:dyDescent="0.3">
      <c r="A66" s="95"/>
      <c r="B66" s="95"/>
      <c r="C66" s="95"/>
      <c r="D66" s="95"/>
      <c r="E66" s="95"/>
      <c r="F66" s="95"/>
      <c r="G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95"/>
      <c r="AL66" s="95"/>
      <c r="AM66" s="95"/>
      <c r="AN66" s="95"/>
    </row>
    <row r="67" spans="1:40" ht="14.4" customHeight="1" x14ac:dyDescent="0.3">
      <c r="A67" s="95"/>
      <c r="B67" s="95"/>
      <c r="C67" s="95"/>
      <c r="D67" s="95"/>
      <c r="E67" s="95"/>
      <c r="F67" s="95"/>
      <c r="G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95"/>
      <c r="AL67" s="95"/>
      <c r="AM67" s="95"/>
      <c r="AN67" s="95"/>
    </row>
    <row r="68" spans="1:40" ht="14.4" customHeight="1" x14ac:dyDescent="0.3">
      <c r="A68" s="95"/>
      <c r="B68" s="95"/>
      <c r="C68" s="95"/>
      <c r="D68" s="95"/>
      <c r="E68" s="95"/>
      <c r="F68" s="95"/>
      <c r="G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95"/>
      <c r="AL68" s="95"/>
      <c r="AM68" s="95"/>
      <c r="AN68" s="95"/>
    </row>
    <row r="69" spans="1:40" ht="14.4" customHeight="1" x14ac:dyDescent="0.3">
      <c r="A69" s="95"/>
      <c r="B69" s="95"/>
      <c r="C69" s="95"/>
      <c r="D69" s="95"/>
      <c r="E69" s="95"/>
      <c r="F69" s="95"/>
      <c r="G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95"/>
      <c r="AL69" s="95"/>
      <c r="AM69" s="95"/>
      <c r="AN69" s="95"/>
    </row>
    <row r="70" spans="1:40" ht="14.4" customHeight="1" x14ac:dyDescent="0.3">
      <c r="A70" s="95"/>
      <c r="B70" s="95"/>
      <c r="C70" s="95"/>
      <c r="D70" s="95"/>
      <c r="E70" s="95"/>
      <c r="F70" s="95"/>
      <c r="G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95"/>
      <c r="AL70" s="95"/>
      <c r="AM70" s="95"/>
      <c r="AN70" s="95"/>
    </row>
    <row r="71" spans="1:40" ht="14.4" customHeight="1" x14ac:dyDescent="0.3">
      <c r="A71" s="95"/>
      <c r="B71" s="95"/>
      <c r="C71" s="95"/>
      <c r="D71" s="95"/>
      <c r="E71" s="95"/>
      <c r="F71" s="95"/>
      <c r="G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95"/>
      <c r="AL71" s="95"/>
      <c r="AM71" s="95"/>
      <c r="AN71" s="95"/>
    </row>
    <row r="72" spans="1:40" ht="14.4" customHeight="1" x14ac:dyDescent="0.3">
      <c r="A72" s="95"/>
      <c r="B72" s="95"/>
      <c r="C72" s="95"/>
      <c r="D72" s="95"/>
      <c r="E72" s="95"/>
      <c r="F72" s="95"/>
      <c r="G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95"/>
      <c r="AL72" s="95"/>
      <c r="AM72" s="95"/>
      <c r="AN72" s="95"/>
    </row>
    <row r="73" spans="1:40" ht="14.4" customHeight="1" x14ac:dyDescent="0.3">
      <c r="A73" s="95"/>
      <c r="B73" s="95"/>
      <c r="C73" s="95"/>
      <c r="D73" s="95"/>
      <c r="E73" s="95"/>
      <c r="F73" s="95"/>
      <c r="G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95"/>
      <c r="AL73" s="95"/>
      <c r="AM73" s="95"/>
      <c r="AN73" s="95"/>
    </row>
    <row r="74" spans="1:40" ht="14.4" customHeight="1" x14ac:dyDescent="0.3">
      <c r="A74" s="95"/>
      <c r="B74" s="95"/>
      <c r="C74" s="95"/>
      <c r="D74" s="95"/>
      <c r="E74" s="95"/>
      <c r="F74" s="95"/>
      <c r="G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95"/>
      <c r="AL74" s="95"/>
      <c r="AM74" s="95"/>
      <c r="AN74" s="95"/>
    </row>
    <row r="75" spans="1:40" ht="14.4" customHeight="1" x14ac:dyDescent="0.3">
      <c r="A75" s="95"/>
      <c r="B75" s="95"/>
      <c r="C75" s="95"/>
      <c r="D75" s="95"/>
      <c r="E75" s="95"/>
      <c r="F75" s="95"/>
      <c r="G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95"/>
      <c r="AL75" s="95"/>
      <c r="AM75" s="95"/>
      <c r="AN75" s="95"/>
    </row>
    <row r="76" spans="1:40" ht="14.4" customHeight="1" x14ac:dyDescent="0.3">
      <c r="A76" s="95"/>
      <c r="B76" s="95"/>
      <c r="C76" s="95"/>
      <c r="D76" s="95"/>
      <c r="E76" s="95"/>
      <c r="F76" s="95"/>
      <c r="G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row>
    <row r="77" spans="1:40" ht="14.4" customHeight="1" x14ac:dyDescent="0.3">
      <c r="A77" s="95"/>
      <c r="B77" s="95"/>
      <c r="C77" s="95"/>
      <c r="D77" s="95"/>
      <c r="E77" s="95"/>
      <c r="F77" s="95"/>
      <c r="G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95"/>
      <c r="AL77" s="95"/>
      <c r="AM77" s="95"/>
      <c r="AN77" s="95"/>
    </row>
    <row r="78" spans="1:40" ht="14.4" customHeight="1" x14ac:dyDescent="0.3">
      <c r="A78" s="95"/>
      <c r="B78" s="95"/>
      <c r="C78" s="95"/>
      <c r="D78" s="95"/>
      <c r="E78" s="95"/>
      <c r="F78" s="95"/>
      <c r="G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c r="AK78" s="95"/>
      <c r="AL78" s="95"/>
      <c r="AM78" s="95"/>
      <c r="AN78" s="95"/>
    </row>
    <row r="79" spans="1:40" ht="14.4" customHeight="1" x14ac:dyDescent="0.3">
      <c r="A79" s="95"/>
      <c r="B79" s="95"/>
      <c r="C79" s="95"/>
      <c r="D79" s="95"/>
      <c r="E79" s="95"/>
      <c r="F79" s="95"/>
      <c r="G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c r="AK79" s="95"/>
      <c r="AL79" s="95"/>
      <c r="AM79" s="95"/>
      <c r="AN79" s="95"/>
    </row>
    <row r="80" spans="1:40" ht="14.4" customHeight="1" x14ac:dyDescent="0.3">
      <c r="A80" s="95"/>
      <c r="B80" s="95"/>
      <c r="C80" s="95"/>
      <c r="D80" s="95"/>
      <c r="E80" s="95"/>
      <c r="F80" s="95"/>
      <c r="G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c r="AK80" s="95"/>
      <c r="AL80" s="95"/>
      <c r="AM80" s="95"/>
      <c r="AN80" s="95"/>
    </row>
    <row r="81" spans="1:40" ht="14.4" customHeight="1" x14ac:dyDescent="0.3">
      <c r="A81" s="95"/>
      <c r="B81" s="95"/>
      <c r="C81" s="95"/>
      <c r="D81" s="95"/>
      <c r="E81" s="95"/>
      <c r="F81" s="95"/>
      <c r="G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c r="AK81" s="95"/>
      <c r="AL81" s="95"/>
      <c r="AM81" s="95"/>
      <c r="AN81" s="95"/>
    </row>
    <row r="82" spans="1:40" ht="14.4" customHeight="1" x14ac:dyDescent="0.3">
      <c r="A82" s="95"/>
      <c r="B82" s="95"/>
      <c r="C82" s="95"/>
      <c r="D82" s="95"/>
      <c r="E82" s="95"/>
      <c r="F82" s="95"/>
      <c r="G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c r="AK82" s="95"/>
      <c r="AL82" s="95"/>
      <c r="AM82" s="95"/>
      <c r="AN82" s="95"/>
    </row>
    <row r="83" spans="1:40" ht="14.4" customHeight="1" x14ac:dyDescent="0.3">
      <c r="A83" s="95"/>
      <c r="B83" s="95"/>
      <c r="C83" s="95"/>
      <c r="D83" s="95"/>
      <c r="E83" s="95"/>
      <c r="F83" s="95"/>
      <c r="G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c r="AK83" s="95"/>
      <c r="AL83" s="95"/>
      <c r="AM83" s="95"/>
      <c r="AN83" s="95"/>
    </row>
    <row r="84" spans="1:40" ht="14.4" customHeight="1" x14ac:dyDescent="0.3">
      <c r="A84" s="95"/>
      <c r="B84" s="95"/>
      <c r="C84" s="95"/>
      <c r="D84" s="95"/>
      <c r="E84" s="95"/>
      <c r="F84" s="95"/>
      <c r="G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c r="AK84" s="95"/>
      <c r="AL84" s="95"/>
      <c r="AM84" s="95"/>
      <c r="AN84" s="95"/>
    </row>
    <row r="85" spans="1:40" ht="14.4" customHeight="1" x14ac:dyDescent="0.3"/>
    <row r="86" spans="1:40" ht="14.4" customHeight="1" x14ac:dyDescent="0.3"/>
    <row r="87" spans="1:40" ht="14.4" customHeight="1" x14ac:dyDescent="0.3"/>
    <row r="88" spans="1:40" ht="14.4" customHeight="1" x14ac:dyDescent="0.3"/>
    <row r="89" spans="1:40" ht="14.4" customHeight="1" x14ac:dyDescent="0.3"/>
    <row r="90" spans="1:40" ht="14.4" customHeight="1" x14ac:dyDescent="0.3"/>
    <row r="91" spans="1:40" ht="14.4" customHeight="1" x14ac:dyDescent="0.3"/>
    <row r="92" spans="1:40" ht="14.4" customHeight="1" x14ac:dyDescent="0.3"/>
    <row r="93" spans="1:40" ht="14.4" customHeight="1" x14ac:dyDescent="0.3"/>
    <row r="94" spans="1:40" ht="14.4" customHeight="1" x14ac:dyDescent="0.3"/>
    <row r="95" spans="1:40" ht="14.4" customHeight="1" x14ac:dyDescent="0.3"/>
    <row r="96" spans="1:40" ht="14.4" customHeight="1" x14ac:dyDescent="0.3"/>
    <row r="97" ht="14.4" customHeight="1" x14ac:dyDescent="0.3"/>
    <row r="98" ht="14.4" customHeight="1" x14ac:dyDescent="0.3"/>
    <row r="99" ht="14.4" customHeight="1" x14ac:dyDescent="0.3"/>
    <row r="100" ht="14.4" customHeight="1" x14ac:dyDescent="0.3"/>
    <row r="101" ht="14.4" customHeight="1" x14ac:dyDescent="0.3"/>
    <row r="102" ht="14.4" customHeight="1" x14ac:dyDescent="0.3"/>
    <row r="103" ht="14.4" customHeight="1" x14ac:dyDescent="0.3"/>
    <row r="104" ht="14.4" customHeight="1" x14ac:dyDescent="0.3"/>
    <row r="105" ht="14.4" customHeight="1" x14ac:dyDescent="0.3"/>
    <row r="106" ht="14.4" customHeight="1" x14ac:dyDescent="0.3"/>
    <row r="107" ht="14.4" customHeight="1" x14ac:dyDescent="0.3"/>
    <row r="108" ht="14.4" customHeight="1" x14ac:dyDescent="0.3"/>
    <row r="109" ht="14.4" customHeight="1" x14ac:dyDescent="0.3"/>
    <row r="110" ht="14.4" customHeight="1" x14ac:dyDescent="0.3"/>
    <row r="111" ht="14.4" customHeight="1" x14ac:dyDescent="0.3"/>
    <row r="112" ht="14.4" customHeight="1" x14ac:dyDescent="0.3"/>
    <row r="113" ht="14.4" customHeight="1" x14ac:dyDescent="0.3"/>
    <row r="114" ht="14.4" customHeight="1" x14ac:dyDescent="0.3"/>
    <row r="115" ht="14.4" customHeight="1" x14ac:dyDescent="0.3"/>
    <row r="116" ht="14.4" customHeight="1" x14ac:dyDescent="0.3"/>
    <row r="117" ht="14.4" customHeight="1" x14ac:dyDescent="0.3"/>
    <row r="118" ht="14.4" customHeight="1" x14ac:dyDescent="0.3"/>
    <row r="119" ht="14.4" customHeight="1" x14ac:dyDescent="0.3"/>
    <row r="120" ht="14.4" customHeight="1" x14ac:dyDescent="0.3"/>
    <row r="121" ht="14.4" customHeight="1" x14ac:dyDescent="0.3"/>
    <row r="122" ht="14.4" customHeight="1" x14ac:dyDescent="0.3"/>
    <row r="123" ht="14.4" customHeight="1" x14ac:dyDescent="0.3"/>
    <row r="124" ht="14.4" customHeight="1" x14ac:dyDescent="0.3"/>
    <row r="125" ht="14.4" customHeight="1" x14ac:dyDescent="0.3"/>
    <row r="126" ht="14.4" customHeight="1" x14ac:dyDescent="0.3"/>
    <row r="127" ht="14.4" customHeight="1" x14ac:dyDescent="0.3"/>
    <row r="128" ht="14.4" customHeight="1" x14ac:dyDescent="0.3"/>
    <row r="129" ht="14.4" customHeight="1" x14ac:dyDescent="0.3"/>
    <row r="130" ht="14.4" customHeight="1" x14ac:dyDescent="0.3"/>
    <row r="131" ht="14.4" customHeight="1" x14ac:dyDescent="0.3"/>
    <row r="132" ht="14.4" customHeight="1" x14ac:dyDescent="0.3"/>
    <row r="133" ht="14.4" customHeight="1" x14ac:dyDescent="0.3"/>
    <row r="134" ht="14.4" customHeight="1" x14ac:dyDescent="0.3"/>
    <row r="135" ht="14.4" customHeight="1" x14ac:dyDescent="0.3"/>
    <row r="136" ht="14.4" customHeight="1" x14ac:dyDescent="0.3"/>
    <row r="137" ht="14.4" customHeight="1" x14ac:dyDescent="0.3"/>
    <row r="138" ht="14.4" customHeight="1" x14ac:dyDescent="0.3"/>
    <row r="139" ht="14.4" customHeight="1" x14ac:dyDescent="0.3"/>
    <row r="140" ht="14.4" customHeight="1" x14ac:dyDescent="0.3"/>
    <row r="141" ht="14.4" customHeight="1" x14ac:dyDescent="0.3"/>
    <row r="142" ht="14.4" customHeight="1" x14ac:dyDescent="0.3"/>
    <row r="143" ht="14.4" customHeight="1" x14ac:dyDescent="0.3"/>
    <row r="144" ht="14.4" customHeight="1" x14ac:dyDescent="0.3"/>
    <row r="145" ht="14.4" customHeight="1" x14ac:dyDescent="0.3"/>
    <row r="146" ht="14.4" customHeight="1" x14ac:dyDescent="0.3"/>
    <row r="147" ht="14.4" customHeight="1" x14ac:dyDescent="0.3"/>
    <row r="148" ht="14.4" customHeight="1" x14ac:dyDescent="0.3"/>
    <row r="149" ht="14.4" customHeight="1" x14ac:dyDescent="0.3"/>
    <row r="150" ht="14.4" customHeight="1" x14ac:dyDescent="0.3"/>
    <row r="151" ht="14.4" customHeight="1" x14ac:dyDescent="0.3"/>
    <row r="152" ht="14.4" customHeight="1" x14ac:dyDescent="0.3"/>
    <row r="153" ht="14.4" customHeight="1" x14ac:dyDescent="0.3"/>
    <row r="154" ht="14.4" customHeight="1" x14ac:dyDescent="0.3"/>
    <row r="155" ht="14.4" customHeight="1" x14ac:dyDescent="0.3"/>
    <row r="156" ht="14.4" customHeight="1" x14ac:dyDescent="0.3"/>
    <row r="157" ht="14.4" customHeight="1" x14ac:dyDescent="0.3"/>
    <row r="158" ht="14.4" customHeight="1" x14ac:dyDescent="0.3"/>
    <row r="159" ht="14.4" customHeight="1" x14ac:dyDescent="0.3"/>
    <row r="160" ht="14.4" customHeight="1" x14ac:dyDescent="0.3"/>
    <row r="161" ht="14.4" customHeight="1" x14ac:dyDescent="0.3"/>
    <row r="162" ht="14.4" customHeight="1" x14ac:dyDescent="0.3"/>
    <row r="163" ht="14.4" customHeight="1" x14ac:dyDescent="0.3"/>
    <row r="164" ht="14.4" customHeight="1" x14ac:dyDescent="0.3"/>
    <row r="165" ht="14.4" customHeight="1" x14ac:dyDescent="0.3"/>
    <row r="166" ht="14.4" customHeight="1" x14ac:dyDescent="0.3"/>
    <row r="167" ht="14.4" customHeight="1" x14ac:dyDescent="0.3"/>
    <row r="168" ht="14.4" customHeight="1" x14ac:dyDescent="0.3"/>
    <row r="169" ht="14.4" customHeight="1" x14ac:dyDescent="0.3"/>
    <row r="170" ht="14.4" customHeight="1" x14ac:dyDescent="0.3"/>
    <row r="171" ht="14.4" customHeight="1" x14ac:dyDescent="0.3"/>
    <row r="172" ht="14.4" customHeight="1" x14ac:dyDescent="0.3"/>
    <row r="173" ht="14.4" customHeight="1" x14ac:dyDescent="0.3"/>
    <row r="174" ht="14.4" customHeight="1" x14ac:dyDescent="0.3"/>
    <row r="175" ht="14.4" customHeight="1" x14ac:dyDescent="0.3"/>
    <row r="176" ht="14.4" customHeight="1" x14ac:dyDescent="0.3"/>
    <row r="177" ht="14.4" customHeight="1" x14ac:dyDescent="0.3"/>
    <row r="178" ht="14.4" customHeight="1" x14ac:dyDescent="0.3"/>
    <row r="179" ht="14.4" customHeight="1" x14ac:dyDescent="0.3"/>
    <row r="180" ht="14.4" customHeight="1" x14ac:dyDescent="0.3"/>
    <row r="181" ht="14.4" customHeight="1" x14ac:dyDescent="0.3"/>
    <row r="182" ht="14.4" customHeight="1" x14ac:dyDescent="0.3"/>
    <row r="183" ht="14.4" customHeight="1" x14ac:dyDescent="0.3"/>
    <row r="184" ht="14.4" customHeight="1" x14ac:dyDescent="0.3"/>
    <row r="185" ht="14.4" customHeight="1" x14ac:dyDescent="0.3"/>
    <row r="186" ht="14.4" customHeight="1" x14ac:dyDescent="0.3"/>
    <row r="187" ht="14.4" customHeight="1" x14ac:dyDescent="0.3"/>
    <row r="188" ht="14.4" customHeight="1" x14ac:dyDescent="0.3"/>
    <row r="189" ht="14.4" customHeight="1" x14ac:dyDescent="0.3"/>
    <row r="190" ht="14.4" customHeight="1" x14ac:dyDescent="0.3"/>
    <row r="191" ht="14.4" customHeight="1" x14ac:dyDescent="0.3"/>
    <row r="192" ht="14.4" customHeight="1" x14ac:dyDescent="0.3"/>
    <row r="193" ht="14.4" customHeight="1" x14ac:dyDescent="0.3"/>
    <row r="194" ht="14.4" customHeight="1" x14ac:dyDescent="0.3"/>
    <row r="195" ht="14.4" customHeight="1" x14ac:dyDescent="0.3"/>
    <row r="196" ht="14.4" customHeight="1" x14ac:dyDescent="0.3"/>
    <row r="197" ht="14.4" customHeight="1" x14ac:dyDescent="0.3"/>
    <row r="198" ht="14.4" customHeight="1" x14ac:dyDescent="0.3"/>
    <row r="199" ht="14.4" customHeight="1" x14ac:dyDescent="0.3"/>
    <row r="200" ht="14.4" customHeight="1" x14ac:dyDescent="0.3"/>
    <row r="201" ht="14.4" customHeight="1" x14ac:dyDescent="0.3"/>
    <row r="202" ht="14.4" customHeight="1" x14ac:dyDescent="0.3"/>
    <row r="203" ht="14.4" customHeight="1" x14ac:dyDescent="0.3"/>
    <row r="204" ht="14.4" customHeight="1" x14ac:dyDescent="0.3"/>
    <row r="205" ht="14.4" customHeight="1" x14ac:dyDescent="0.3"/>
    <row r="206" ht="14.4" customHeight="1" x14ac:dyDescent="0.3"/>
    <row r="207" ht="14.4" customHeight="1" x14ac:dyDescent="0.3"/>
    <row r="208" ht="14.4" customHeight="1" x14ac:dyDescent="0.3"/>
    <row r="209" ht="14.4" customHeight="1" x14ac:dyDescent="0.3"/>
    <row r="210" ht="14.4" customHeight="1" x14ac:dyDescent="0.3"/>
    <row r="211" ht="14.4" customHeight="1" x14ac:dyDescent="0.3"/>
    <row r="212" ht="14.4" customHeight="1" x14ac:dyDescent="0.3"/>
    <row r="213" ht="14.4" customHeight="1" x14ac:dyDescent="0.3"/>
    <row r="214" ht="14.4" customHeight="1" x14ac:dyDescent="0.3"/>
    <row r="215" ht="14.4" customHeight="1" x14ac:dyDescent="0.3"/>
    <row r="216" ht="14.4" customHeight="1" x14ac:dyDescent="0.3"/>
    <row r="217" ht="14.4" customHeight="1" x14ac:dyDescent="0.3"/>
    <row r="218" ht="14.4" customHeight="1" x14ac:dyDescent="0.3"/>
    <row r="219" ht="14.4" customHeight="1" x14ac:dyDescent="0.3"/>
    <row r="220" ht="14.4" customHeight="1" x14ac:dyDescent="0.3"/>
    <row r="221" ht="14.4" customHeight="1" x14ac:dyDescent="0.3"/>
    <row r="222" ht="14.4" customHeight="1" x14ac:dyDescent="0.3"/>
    <row r="223" ht="14.4" customHeight="1" x14ac:dyDescent="0.3"/>
    <row r="224" ht="14.4" customHeight="1" x14ac:dyDescent="0.3"/>
    <row r="225" ht="14.4" customHeight="1" x14ac:dyDescent="0.3"/>
    <row r="226" ht="14.4" customHeight="1" x14ac:dyDescent="0.3"/>
    <row r="227" ht="14.4" customHeight="1" x14ac:dyDescent="0.3"/>
    <row r="228" ht="14.4" customHeight="1" x14ac:dyDescent="0.3"/>
    <row r="229" ht="14.4" customHeight="1" x14ac:dyDescent="0.3"/>
    <row r="230" ht="14.4" customHeight="1" x14ac:dyDescent="0.3"/>
    <row r="231" ht="14.4" customHeight="1" x14ac:dyDescent="0.3"/>
    <row r="232" ht="14.4" customHeight="1" x14ac:dyDescent="0.3"/>
    <row r="233" ht="14.4" customHeight="1" x14ac:dyDescent="0.3"/>
    <row r="234" ht="14.4" customHeight="1" x14ac:dyDescent="0.3"/>
    <row r="235" ht="14.4" customHeight="1" x14ac:dyDescent="0.3"/>
    <row r="236" ht="14.4" customHeight="1" x14ac:dyDescent="0.3"/>
    <row r="237" ht="14.4" customHeight="1" x14ac:dyDescent="0.3"/>
    <row r="238" ht="14.4" customHeight="1" x14ac:dyDescent="0.3"/>
    <row r="239" ht="14.4" customHeight="1" x14ac:dyDescent="0.3"/>
    <row r="240" ht="14.4" customHeight="1" x14ac:dyDescent="0.3"/>
    <row r="241" ht="14.4" customHeight="1" x14ac:dyDescent="0.3"/>
    <row r="242" ht="14.4" customHeight="1" x14ac:dyDescent="0.3"/>
    <row r="243" ht="14.4" customHeight="1" x14ac:dyDescent="0.3"/>
    <row r="244" ht="14.4" customHeight="1" x14ac:dyDescent="0.3"/>
    <row r="245" ht="14.4" customHeight="1" x14ac:dyDescent="0.3"/>
    <row r="246" ht="14.4" customHeight="1" x14ac:dyDescent="0.3"/>
    <row r="247" ht="14.4" customHeight="1" x14ac:dyDescent="0.3"/>
    <row r="248" ht="14.4" customHeight="1" x14ac:dyDescent="0.3"/>
    <row r="249" ht="14.4" customHeight="1" x14ac:dyDescent="0.3"/>
    <row r="250" ht="14.4" customHeight="1" x14ac:dyDescent="0.3"/>
    <row r="251" ht="14.4" customHeight="1" x14ac:dyDescent="0.3"/>
    <row r="252" ht="14.4" customHeight="1" x14ac:dyDescent="0.3"/>
    <row r="253" ht="14.4" customHeight="1" x14ac:dyDescent="0.3"/>
    <row r="254" ht="14.4" customHeight="1" x14ac:dyDescent="0.3"/>
    <row r="255" ht="14.4" customHeight="1" x14ac:dyDescent="0.3"/>
    <row r="256" ht="14.4" customHeight="1" x14ac:dyDescent="0.3"/>
    <row r="257" ht="14.4" customHeight="1" x14ac:dyDescent="0.3"/>
    <row r="258" ht="14.4" customHeight="1" x14ac:dyDescent="0.3"/>
    <row r="259" ht="14.4" customHeight="1" x14ac:dyDescent="0.3"/>
    <row r="260" ht="14.4" customHeight="1" x14ac:dyDescent="0.3"/>
    <row r="261" ht="14.4" customHeight="1" x14ac:dyDescent="0.3"/>
    <row r="262" ht="14.4" customHeight="1" x14ac:dyDescent="0.3"/>
    <row r="263" ht="14.4" customHeight="1" x14ac:dyDescent="0.3"/>
    <row r="264" ht="14.4" customHeight="1" x14ac:dyDescent="0.3"/>
    <row r="265" ht="14.4" customHeight="1" x14ac:dyDescent="0.3"/>
    <row r="266" ht="14.4" customHeight="1" x14ac:dyDescent="0.3"/>
    <row r="267" ht="14.4" customHeight="1" x14ac:dyDescent="0.3"/>
    <row r="268" ht="14.4" customHeight="1" x14ac:dyDescent="0.3"/>
    <row r="269" ht="14.4" customHeight="1" x14ac:dyDescent="0.3"/>
    <row r="270" ht="14.4" customHeight="1" x14ac:dyDescent="0.3"/>
    <row r="271" ht="14.4" customHeight="1" x14ac:dyDescent="0.3"/>
    <row r="272" ht="14.4" customHeight="1" x14ac:dyDescent="0.3"/>
    <row r="273" ht="14.4" customHeight="1" x14ac:dyDescent="0.3"/>
    <row r="274" ht="14.4" customHeight="1" x14ac:dyDescent="0.3"/>
    <row r="275" ht="14.4" customHeight="1" x14ac:dyDescent="0.3"/>
    <row r="276" ht="14.4" customHeight="1" x14ac:dyDescent="0.3"/>
    <row r="277" ht="14.4" customHeight="1" x14ac:dyDescent="0.3"/>
    <row r="278" ht="14.4" customHeight="1" x14ac:dyDescent="0.3"/>
    <row r="279" ht="14.4" customHeight="1" x14ac:dyDescent="0.3"/>
    <row r="280" ht="14.4" customHeight="1" x14ac:dyDescent="0.3"/>
    <row r="281" ht="14.4" customHeight="1" x14ac:dyDescent="0.3"/>
    <row r="282" ht="14.4" customHeight="1" x14ac:dyDescent="0.3"/>
    <row r="283" ht="14.4" customHeight="1" x14ac:dyDescent="0.3"/>
    <row r="284" ht="14.4" customHeight="1" x14ac:dyDescent="0.3"/>
    <row r="285" ht="14.4" customHeight="1" x14ac:dyDescent="0.3"/>
    <row r="286" ht="14.4" customHeight="1" x14ac:dyDescent="0.3"/>
    <row r="287" ht="14.4" customHeight="1" x14ac:dyDescent="0.3"/>
    <row r="288" ht="14.4" customHeight="1" x14ac:dyDescent="0.3"/>
    <row r="289" ht="14.4" customHeight="1" x14ac:dyDescent="0.3"/>
    <row r="290" ht="14.4" customHeight="1" x14ac:dyDescent="0.3"/>
    <row r="291" ht="14.4" customHeight="1" x14ac:dyDescent="0.3"/>
    <row r="292" ht="14.4" customHeight="1" x14ac:dyDescent="0.3"/>
    <row r="293" ht="14.4" customHeight="1" x14ac:dyDescent="0.3"/>
    <row r="294" ht="14.4" customHeight="1" x14ac:dyDescent="0.3"/>
    <row r="295" ht="14.4" customHeight="1" x14ac:dyDescent="0.3"/>
    <row r="296" ht="14.4" customHeight="1" x14ac:dyDescent="0.3"/>
    <row r="297" ht="14.4" customHeight="1" x14ac:dyDescent="0.3"/>
    <row r="298" ht="14.4" customHeight="1" x14ac:dyDescent="0.3"/>
    <row r="299" ht="14.4" customHeight="1" x14ac:dyDescent="0.3"/>
    <row r="300" ht="14.4" customHeight="1" x14ac:dyDescent="0.3"/>
    <row r="301" ht="14.4" customHeight="1" x14ac:dyDescent="0.3"/>
    <row r="302" ht="14.4" customHeight="1" x14ac:dyDescent="0.3"/>
    <row r="303" ht="14.4" customHeight="1" x14ac:dyDescent="0.3"/>
    <row r="304" ht="14.4" customHeight="1" x14ac:dyDescent="0.3"/>
    <row r="305" ht="14.4" customHeight="1" x14ac:dyDescent="0.3"/>
    <row r="306" ht="14.4" customHeight="1" x14ac:dyDescent="0.3"/>
    <row r="307" ht="14.4" customHeight="1" x14ac:dyDescent="0.3"/>
    <row r="308" ht="14.4" customHeight="1" x14ac:dyDescent="0.3"/>
    <row r="309" ht="14.4" customHeight="1" x14ac:dyDescent="0.3"/>
    <row r="310" ht="14.4" customHeight="1" x14ac:dyDescent="0.3"/>
    <row r="311" ht="14.4" customHeight="1" x14ac:dyDescent="0.3"/>
    <row r="312" ht="14.4" customHeight="1" x14ac:dyDescent="0.3"/>
    <row r="313" ht="14.4" customHeight="1" x14ac:dyDescent="0.3"/>
    <row r="314" ht="14.4" customHeight="1" x14ac:dyDescent="0.3"/>
    <row r="315" ht="14.4" customHeight="1" x14ac:dyDescent="0.3"/>
    <row r="316" ht="14.4" customHeight="1" x14ac:dyDescent="0.3"/>
    <row r="317" ht="14.4" customHeight="1" x14ac:dyDescent="0.3"/>
    <row r="318" ht="14.4" customHeight="1" x14ac:dyDescent="0.3"/>
    <row r="319" ht="14.4" customHeight="1" x14ac:dyDescent="0.3"/>
    <row r="320" ht="14.4" customHeight="1" x14ac:dyDescent="0.3"/>
    <row r="321" ht="14.4" customHeight="1" x14ac:dyDescent="0.3"/>
    <row r="322" ht="14.4" customHeight="1" x14ac:dyDescent="0.3"/>
    <row r="323" ht="14.4" customHeight="1" x14ac:dyDescent="0.3"/>
    <row r="324" ht="14.4" customHeight="1" x14ac:dyDescent="0.3"/>
    <row r="325" ht="14.4" customHeight="1" x14ac:dyDescent="0.3"/>
    <row r="326" ht="14.4" customHeight="1" x14ac:dyDescent="0.3"/>
    <row r="327" ht="14.4" customHeight="1" x14ac:dyDescent="0.3"/>
    <row r="328" ht="14.4" customHeight="1" x14ac:dyDescent="0.3"/>
    <row r="329" ht="14.4" customHeight="1" x14ac:dyDescent="0.3"/>
    <row r="330" ht="14.4" customHeight="1" x14ac:dyDescent="0.3"/>
    <row r="331" ht="14.4" customHeight="1" x14ac:dyDescent="0.3"/>
    <row r="332" ht="14.4" customHeight="1" x14ac:dyDescent="0.3"/>
    <row r="333" ht="14.4" customHeight="1" x14ac:dyDescent="0.3"/>
    <row r="334" ht="14.4" customHeight="1" x14ac:dyDescent="0.3"/>
    <row r="335" ht="14.4" customHeight="1" x14ac:dyDescent="0.3"/>
    <row r="336" ht="14.4" customHeight="1" x14ac:dyDescent="0.3"/>
    <row r="337" ht="14.4" customHeight="1" x14ac:dyDescent="0.3"/>
    <row r="338" ht="14.4" customHeight="1" x14ac:dyDescent="0.3"/>
    <row r="339" ht="14.4" customHeight="1" x14ac:dyDescent="0.3"/>
    <row r="340" ht="14.4" customHeight="1" x14ac:dyDescent="0.3"/>
    <row r="341" ht="14.4" customHeight="1" x14ac:dyDescent="0.3"/>
    <row r="342" ht="14.4" customHeight="1" x14ac:dyDescent="0.3"/>
    <row r="343" ht="14.4" customHeight="1" x14ac:dyDescent="0.3"/>
    <row r="344" ht="14.4" customHeight="1" x14ac:dyDescent="0.3"/>
    <row r="345" ht="14.4" customHeight="1" x14ac:dyDescent="0.3"/>
    <row r="346" ht="14.4" customHeight="1" x14ac:dyDescent="0.3"/>
    <row r="347" ht="14.4" customHeight="1" x14ac:dyDescent="0.3"/>
    <row r="348" ht="14.4" customHeight="1" x14ac:dyDescent="0.3"/>
    <row r="349" ht="14.4" customHeight="1" x14ac:dyDescent="0.3"/>
    <row r="350" ht="14.4" customHeight="1" x14ac:dyDescent="0.3"/>
    <row r="351" ht="14.4" customHeight="1" x14ac:dyDescent="0.3"/>
    <row r="352" ht="14.4" customHeight="1" x14ac:dyDescent="0.3"/>
    <row r="353" ht="14.4" customHeight="1" x14ac:dyDescent="0.3"/>
    <row r="354" ht="14.4" customHeight="1" x14ac:dyDescent="0.3"/>
    <row r="355" ht="14.4" customHeight="1" x14ac:dyDescent="0.3"/>
    <row r="356" ht="14.4" customHeight="1" x14ac:dyDescent="0.3"/>
    <row r="357" ht="14.4" customHeight="1" x14ac:dyDescent="0.3"/>
    <row r="358" ht="14.4" customHeight="1" x14ac:dyDescent="0.3"/>
    <row r="359" ht="14.4" customHeight="1" x14ac:dyDescent="0.3"/>
    <row r="360" ht="14.4" customHeight="1" x14ac:dyDescent="0.3"/>
    <row r="361" ht="14.4" customHeight="1" x14ac:dyDescent="0.3"/>
    <row r="362" ht="14.4" customHeight="1" x14ac:dyDescent="0.3"/>
    <row r="363" ht="14.4" customHeight="1" x14ac:dyDescent="0.3"/>
    <row r="364" ht="14.4" customHeight="1" x14ac:dyDescent="0.3"/>
    <row r="365" ht="14.4" customHeight="1" x14ac:dyDescent="0.3"/>
    <row r="366" ht="14.4" customHeight="1" x14ac:dyDescent="0.3"/>
    <row r="367" ht="14.4" customHeight="1" x14ac:dyDescent="0.3"/>
    <row r="368" ht="14.4" customHeight="1" x14ac:dyDescent="0.3"/>
    <row r="369" ht="14.4" customHeight="1" x14ac:dyDescent="0.3"/>
    <row r="370" ht="14.4" customHeight="1" x14ac:dyDescent="0.3"/>
    <row r="371" ht="14.4" customHeight="1" x14ac:dyDescent="0.3"/>
    <row r="372" ht="14.4" customHeight="1" x14ac:dyDescent="0.3"/>
    <row r="373" ht="14.4" customHeight="1" x14ac:dyDescent="0.3"/>
    <row r="374" ht="14.4" customHeight="1" x14ac:dyDescent="0.3"/>
    <row r="375" ht="14.4" customHeight="1" x14ac:dyDescent="0.3"/>
    <row r="376" ht="14.4" customHeight="1" x14ac:dyDescent="0.3"/>
    <row r="377" ht="14.4" customHeight="1" x14ac:dyDescent="0.3"/>
    <row r="378" ht="14.4" customHeight="1" x14ac:dyDescent="0.3"/>
    <row r="379" ht="14.4" customHeight="1" x14ac:dyDescent="0.3"/>
    <row r="380" ht="14.4" customHeight="1" x14ac:dyDescent="0.3"/>
    <row r="381" ht="14.4" customHeight="1" x14ac:dyDescent="0.3"/>
    <row r="382" ht="14.4" customHeight="1" x14ac:dyDescent="0.3"/>
    <row r="383" ht="14.4" customHeight="1" x14ac:dyDescent="0.3"/>
    <row r="384" ht="14.4" customHeight="1" x14ac:dyDescent="0.3"/>
    <row r="385" ht="14.4" customHeight="1" x14ac:dyDescent="0.3"/>
    <row r="386" ht="14.4" customHeight="1" x14ac:dyDescent="0.3"/>
    <row r="387" ht="14.4" customHeight="1" x14ac:dyDescent="0.3"/>
    <row r="388" ht="14.4" customHeight="1" x14ac:dyDescent="0.3"/>
    <row r="389" ht="14.4" customHeight="1" x14ac:dyDescent="0.3"/>
    <row r="390" ht="14.4" customHeight="1" x14ac:dyDescent="0.3"/>
    <row r="391" ht="14.4" customHeight="1" x14ac:dyDescent="0.3"/>
    <row r="392" ht="14.4" customHeight="1" x14ac:dyDescent="0.3"/>
    <row r="393" ht="14.4" customHeight="1" x14ac:dyDescent="0.3"/>
    <row r="394" ht="14.4" customHeight="1" x14ac:dyDescent="0.3"/>
    <row r="395" ht="14.4" customHeight="1" x14ac:dyDescent="0.3"/>
    <row r="396" ht="14.4" customHeight="1" x14ac:dyDescent="0.3"/>
    <row r="397" ht="14.4" customHeight="1" x14ac:dyDescent="0.3"/>
    <row r="398" ht="14.4" customHeight="1" x14ac:dyDescent="0.3"/>
    <row r="399" ht="14.4" customHeight="1" x14ac:dyDescent="0.3"/>
    <row r="400" ht="14.4" customHeight="1" x14ac:dyDescent="0.3"/>
    <row r="401" ht="14.4" customHeight="1" x14ac:dyDescent="0.3"/>
    <row r="402" ht="14.4" customHeight="1" x14ac:dyDescent="0.3"/>
    <row r="403" ht="14.4" customHeight="1" x14ac:dyDescent="0.3"/>
    <row r="404" ht="14.4" customHeight="1" x14ac:dyDescent="0.3"/>
    <row r="405" ht="14.4" customHeight="1" x14ac:dyDescent="0.3"/>
    <row r="406" ht="14.4" customHeight="1" x14ac:dyDescent="0.3"/>
    <row r="407" ht="14.4" customHeight="1" x14ac:dyDescent="0.3"/>
    <row r="408" ht="14.4" customHeight="1" x14ac:dyDescent="0.3"/>
    <row r="409" ht="14.4" customHeight="1" x14ac:dyDescent="0.3"/>
    <row r="410" ht="14.4" customHeight="1" x14ac:dyDescent="0.3"/>
    <row r="411" ht="14.4" customHeight="1" x14ac:dyDescent="0.3"/>
    <row r="412" ht="14.4" customHeight="1" x14ac:dyDescent="0.3"/>
    <row r="413" ht="14.4" customHeight="1" x14ac:dyDescent="0.3"/>
    <row r="414" ht="14.4" customHeight="1" x14ac:dyDescent="0.3"/>
    <row r="415" ht="14.4" customHeight="1" x14ac:dyDescent="0.3"/>
    <row r="416" ht="14.4" customHeight="1" x14ac:dyDescent="0.3"/>
    <row r="417" ht="14.4" customHeight="1" x14ac:dyDescent="0.3"/>
    <row r="418" ht="14.4" customHeight="1" x14ac:dyDescent="0.3"/>
    <row r="419" ht="14.4" customHeight="1" x14ac:dyDescent="0.3"/>
    <row r="420" ht="14.4" customHeight="1" x14ac:dyDescent="0.3"/>
    <row r="421" ht="14.4" customHeight="1" x14ac:dyDescent="0.3"/>
    <row r="422" ht="14.4" customHeight="1" x14ac:dyDescent="0.3"/>
    <row r="423" ht="14.4" customHeight="1" x14ac:dyDescent="0.3"/>
    <row r="424" ht="14.4" customHeight="1" x14ac:dyDescent="0.3"/>
    <row r="425" ht="14.4" customHeight="1" x14ac:dyDescent="0.3"/>
    <row r="426" ht="14.4" customHeight="1" x14ac:dyDescent="0.3"/>
    <row r="427" ht="14.4" customHeight="1" x14ac:dyDescent="0.3"/>
    <row r="428" ht="14.4" customHeight="1" x14ac:dyDescent="0.3"/>
    <row r="429" ht="14.4" customHeight="1" x14ac:dyDescent="0.3"/>
    <row r="430" ht="14.4" customHeight="1" x14ac:dyDescent="0.3"/>
    <row r="431" ht="14.4" customHeight="1" x14ac:dyDescent="0.3"/>
    <row r="432" ht="14.4" customHeight="1" x14ac:dyDescent="0.3"/>
    <row r="433" ht="14.4" customHeight="1" x14ac:dyDescent="0.3"/>
    <row r="434" ht="14.4" customHeight="1" x14ac:dyDescent="0.3"/>
    <row r="435" ht="14.4" customHeight="1" x14ac:dyDescent="0.3"/>
    <row r="436" ht="14.4" customHeight="1" x14ac:dyDescent="0.3"/>
    <row r="437" ht="14.4" customHeight="1" x14ac:dyDescent="0.3"/>
    <row r="438" ht="14.4" customHeight="1" x14ac:dyDescent="0.3"/>
    <row r="439" ht="14.4" customHeight="1" x14ac:dyDescent="0.3"/>
    <row r="440" ht="14.4" customHeight="1" x14ac:dyDescent="0.3"/>
    <row r="441" ht="14.4" customHeight="1" x14ac:dyDescent="0.3"/>
    <row r="442" ht="14.4" customHeight="1" x14ac:dyDescent="0.3"/>
    <row r="443" ht="14.4" customHeight="1" x14ac:dyDescent="0.3"/>
    <row r="444" ht="14.4" customHeight="1" x14ac:dyDescent="0.3"/>
    <row r="445" ht="14.4" customHeight="1" x14ac:dyDescent="0.3"/>
    <row r="446" ht="14.4" customHeight="1" x14ac:dyDescent="0.3"/>
    <row r="447" ht="14.4" customHeight="1" x14ac:dyDescent="0.3"/>
    <row r="448" ht="14.4" customHeight="1" x14ac:dyDescent="0.3"/>
    <row r="449" ht="14.4" customHeight="1" x14ac:dyDescent="0.3"/>
    <row r="450" ht="14.4" customHeight="1" x14ac:dyDescent="0.3"/>
    <row r="451" ht="14.4" customHeight="1" x14ac:dyDescent="0.3"/>
    <row r="452" ht="14.4" customHeight="1" x14ac:dyDescent="0.3"/>
    <row r="453" ht="14.4" customHeight="1" x14ac:dyDescent="0.3"/>
    <row r="454" ht="14.4" customHeight="1" x14ac:dyDescent="0.3"/>
    <row r="455" ht="14.4" customHeight="1" x14ac:dyDescent="0.3"/>
    <row r="456" ht="14.4" customHeight="1" x14ac:dyDescent="0.3"/>
    <row r="457" ht="14.4" customHeight="1" x14ac:dyDescent="0.3"/>
    <row r="458" ht="14.4" customHeight="1" x14ac:dyDescent="0.3"/>
    <row r="459" ht="14.4" customHeight="1" x14ac:dyDescent="0.3"/>
    <row r="460" ht="14.4" customHeight="1" x14ac:dyDescent="0.3"/>
    <row r="461" ht="14.4" customHeight="1" x14ac:dyDescent="0.3"/>
    <row r="462" ht="14.4" customHeight="1" x14ac:dyDescent="0.3"/>
    <row r="463" ht="14.4" customHeight="1" x14ac:dyDescent="0.3"/>
    <row r="464" ht="14.4" customHeight="1" x14ac:dyDescent="0.3"/>
    <row r="465" ht="14.4" customHeight="1" x14ac:dyDescent="0.3"/>
    <row r="466" ht="14.4" customHeight="1" x14ac:dyDescent="0.3"/>
    <row r="467" ht="14.4" customHeight="1" x14ac:dyDescent="0.3"/>
    <row r="468" ht="14.4" customHeight="1" x14ac:dyDescent="0.3"/>
    <row r="469" ht="14.4" customHeight="1" x14ac:dyDescent="0.3"/>
    <row r="470" ht="14.4" customHeight="1" x14ac:dyDescent="0.3"/>
    <row r="471" ht="14.4" customHeight="1" x14ac:dyDescent="0.3"/>
    <row r="472" ht="14.4" customHeight="1" x14ac:dyDescent="0.3"/>
    <row r="473" ht="14.4" customHeight="1" x14ac:dyDescent="0.3"/>
    <row r="474" ht="14.4" customHeight="1" x14ac:dyDescent="0.3"/>
    <row r="475" ht="14.4" customHeight="1" x14ac:dyDescent="0.3"/>
    <row r="476" ht="14.4" customHeight="1" x14ac:dyDescent="0.3"/>
    <row r="477" ht="14.4" customHeight="1" x14ac:dyDescent="0.3"/>
    <row r="478" ht="14.4" customHeight="1" x14ac:dyDescent="0.3"/>
    <row r="479" ht="14.4" customHeight="1" x14ac:dyDescent="0.3"/>
    <row r="480" ht="14.4" customHeight="1" x14ac:dyDescent="0.3"/>
    <row r="481" ht="14.4" customHeight="1" x14ac:dyDescent="0.3"/>
    <row r="482" ht="14.4" customHeight="1" x14ac:dyDescent="0.3"/>
    <row r="483" ht="14.4" customHeight="1" x14ac:dyDescent="0.3"/>
    <row r="484" ht="14.4" customHeight="1" x14ac:dyDescent="0.3"/>
    <row r="485" ht="14.4" customHeight="1" x14ac:dyDescent="0.3"/>
    <row r="486" ht="14.4" customHeight="1" x14ac:dyDescent="0.3"/>
    <row r="487" ht="14.4" customHeight="1" x14ac:dyDescent="0.3"/>
    <row r="488" ht="14.4" customHeight="1" x14ac:dyDescent="0.3"/>
    <row r="489" ht="14.4" customHeight="1" x14ac:dyDescent="0.3"/>
    <row r="490" ht="14.4" customHeight="1" x14ac:dyDescent="0.3"/>
    <row r="491" ht="14.4" customHeight="1" x14ac:dyDescent="0.3"/>
    <row r="492" ht="14.4" customHeight="1" x14ac:dyDescent="0.3"/>
    <row r="493" ht="14.4" customHeight="1" x14ac:dyDescent="0.3"/>
    <row r="494" ht="14.4" customHeight="1" x14ac:dyDescent="0.3"/>
    <row r="495" ht="14.4" customHeight="1" x14ac:dyDescent="0.3"/>
    <row r="496" ht="14.4" customHeight="1" x14ac:dyDescent="0.3"/>
    <row r="497" ht="14.4" customHeight="1" x14ac:dyDescent="0.3"/>
    <row r="498" ht="14.4" customHeight="1" x14ac:dyDescent="0.3"/>
    <row r="499" ht="14.4" customHeight="1" x14ac:dyDescent="0.3"/>
    <row r="500" ht="14.4" customHeight="1" x14ac:dyDescent="0.3"/>
    <row r="501" ht="14.4" customHeight="1" x14ac:dyDescent="0.3"/>
    <row r="502" ht="14.4" customHeight="1" x14ac:dyDescent="0.3"/>
    <row r="503" ht="14.4" customHeight="1" x14ac:dyDescent="0.3"/>
    <row r="504" ht="14.4" customHeight="1" x14ac:dyDescent="0.3"/>
    <row r="505" ht="14.4" customHeight="1" x14ac:dyDescent="0.3"/>
    <row r="506" ht="14.4" customHeight="1" x14ac:dyDescent="0.3"/>
    <row r="507" ht="14.4" customHeight="1" x14ac:dyDescent="0.3"/>
    <row r="508" ht="14.4" customHeight="1" x14ac:dyDescent="0.3"/>
    <row r="509" ht="14.4" customHeight="1" x14ac:dyDescent="0.3"/>
    <row r="510" ht="14.4" customHeight="1" x14ac:dyDescent="0.3"/>
    <row r="511" ht="14.4" customHeight="1" x14ac:dyDescent="0.3"/>
    <row r="512" ht="14.4" customHeight="1" x14ac:dyDescent="0.3"/>
  </sheetData>
  <autoFilter ref="A1:AH19"/>
  <hyperlinks>
    <hyperlink ref="A2" r:id="rId1" location="action=com.ibm.team.workitem.viewWorkItem&amp;id=1017273" display="https://gdccm01.gddsi.com:9443/ccm/web/projects/MUOS SAFe 4.0 Project - action=com.ibm.team.workitem.viewWorkItem&amp;id=1017273"/>
    <hyperlink ref="A3" r:id="rId2" location="action=com.ibm.team.workitem.viewWorkItem&amp;id=1016159" display="https://gdccm01.gddsi.com:9443/ccm/web/projects/MUOS SAFe 4.0 Project - action=com.ibm.team.workitem.viewWorkItem&amp;id=1016159"/>
    <hyperlink ref="A4" r:id="rId3" location="action=com.ibm.team.workitem.viewWorkItem&amp;id=1006145" display="https://gdccm01.gddsi.com:9443/ccm/web/projects/MUOS SAFe 4.0 Project - action=com.ibm.team.workitem.viewWorkItem&amp;id=1006145"/>
    <hyperlink ref="A5" r:id="rId4" location="action=com.ibm.team.workitem.viewWorkItem&amp;id=1004016" display="https://gdccm01.gddsi.com:9443/ccm/web/projects/MUOS SAFe 4.0 Project - action=com.ibm.team.workitem.viewWorkItem&amp;id=1004016"/>
    <hyperlink ref="A6" r:id="rId5" location="action=com.ibm.team.workitem.viewWorkItem&amp;id=1003719" display="https://gdccm01.gddsi.com:9443/ccm/web/projects/MUOS SAFe 4.0 Project - action=com.ibm.team.workitem.viewWorkItem&amp;id=1003719"/>
    <hyperlink ref="A7" r:id="rId6" location="action=com.ibm.team.workitem.viewWorkItem&amp;id=371517" display="https://gdccm01.gddsi.com:9443/ccm/web/projects/MUOS SAFe 4.0 Project - action=com.ibm.team.workitem.viewWorkItem&amp;id=371517"/>
    <hyperlink ref="A8" r:id="rId7" location="action=com.ibm.team.workitem.viewWorkItem&amp;id=348853" display="https://gdccm01.gddsi.com:9443/ccm/web/projects/MUOS SAFe 4.0 Project - action=com.ibm.team.workitem.viewWorkItem&amp;id=348853"/>
    <hyperlink ref="A9" r:id="rId8" location="action=com.ibm.team.workitem.viewWorkItem&amp;id=333910" display="https://gdccm01.gddsi.com:9443/ccm/web/projects/MUOS SAFe 4.0 Project - action=com.ibm.team.workitem.viewWorkItem&amp;id=333910"/>
    <hyperlink ref="A10" r:id="rId9" location="action=com.ibm.team.workitem.viewWorkItem&amp;id=320596" display="https://gdccm01.gddsi.com:9443/ccm/web/projects/MUOS SAFe 4.0 Project - action=com.ibm.team.workitem.viewWorkItem&amp;id=320596"/>
    <hyperlink ref="A11" r:id="rId10" location="action=com.ibm.team.workitem.viewWorkItem&amp;id=302104" display="https://gdccm01.gddsi.com:9443/ccm/web/projects/MUOS SAFe 4.0 Project - action=com.ibm.team.workitem.viewWorkItem&amp;id=302104"/>
  </hyperlinks>
  <pageMargins left="0.7" right="0.7" top="0.75" bottom="0.75" header="0.3" footer="0.3"/>
  <drawing r:id="rId11"/>
  <legacyDrawing r:id="rId12"/>
  <mc:AlternateContent xmlns:mc="http://schemas.openxmlformats.org/markup-compatibility/2006">
    <mc:Choice Requires="x14">
      <controls>
        <mc:AlternateContent xmlns:mc="http://schemas.openxmlformats.org/markup-compatibility/2006">
          <mc:Choice Requires="x14">
            <control shapeId="32769" r:id="rId13" name="Button 1">
              <controlPr defaultSize="0" print="0" autoFill="0" autoPict="0" macro="[0]!Show_all">
                <anchor moveWithCells="1" sizeWithCells="1">
                  <from>
                    <xdr:col>1</xdr:col>
                    <xdr:colOff>190500</xdr:colOff>
                    <xdr:row>0</xdr:row>
                    <xdr:rowOff>251460</xdr:rowOff>
                  </from>
                  <to>
                    <xdr:col>1</xdr:col>
                    <xdr:colOff>1684020</xdr:colOff>
                    <xdr:row>0</xdr:row>
                    <xdr:rowOff>655320</xdr:rowOff>
                  </to>
                </anchor>
              </controlPr>
            </control>
          </mc:Choice>
        </mc:AlternateContent>
        <mc:AlternateContent xmlns:mc="http://schemas.openxmlformats.org/markup-compatibility/2006">
          <mc:Choice Requires="x14">
            <control shapeId="32770" r:id="rId14" name="Button 2">
              <controlPr defaultSize="0" print="0" autoFill="0" autoPict="0" macro="[0]!Return_To_List">
                <anchor moveWithCells="1" sizeWithCells="1">
                  <from>
                    <xdr:col>1</xdr:col>
                    <xdr:colOff>274320</xdr:colOff>
                    <xdr:row>0</xdr:row>
                    <xdr:rowOff>800100</xdr:rowOff>
                  </from>
                  <to>
                    <xdr:col>1</xdr:col>
                    <xdr:colOff>1744980</xdr:colOff>
                    <xdr:row>0</xdr:row>
                    <xdr:rowOff>1173480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M500"/>
  <sheetViews>
    <sheetView zoomScale="80" zoomScaleNormal="80" workbookViewId="0">
      <pane ySplit="1" topLeftCell="A2" activePane="bottomLeft" state="frozen"/>
      <selection pane="bottomLeft"/>
    </sheetView>
  </sheetViews>
  <sheetFormatPr defaultColWidth="9.109375" defaultRowHeight="14.4" x14ac:dyDescent="0.3"/>
  <cols>
    <col min="1" max="2" width="9.88671875" style="95" customWidth="1"/>
    <col min="3" max="3" width="45.109375" style="95" customWidth="1"/>
    <col min="4" max="4" width="16.5546875" style="95" customWidth="1"/>
    <col min="5" max="5" width="6.6640625" style="95" customWidth="1"/>
    <col min="6" max="6" width="3.6640625" style="95" customWidth="1"/>
    <col min="7" max="7" width="9.88671875" style="95" customWidth="1"/>
    <col min="8" max="8" width="16.109375" style="95" customWidth="1"/>
    <col min="9" max="10" width="9.88671875" style="95" customWidth="1"/>
    <col min="11" max="11" width="9.5546875" style="95" customWidth="1"/>
    <col min="12" max="12" width="9.88671875" style="95" customWidth="1"/>
    <col min="13" max="14" width="7.6640625" style="95" customWidth="1"/>
    <col min="15" max="18" width="9.88671875" style="95" customWidth="1"/>
    <col min="19" max="39" width="3.6640625" style="95" customWidth="1"/>
    <col min="40" max="16384" width="9.109375" style="95"/>
  </cols>
  <sheetData>
    <row r="1" spans="1:39" ht="104.4" x14ac:dyDescent="0.3">
      <c r="A1" s="104" t="s">
        <v>0</v>
      </c>
      <c r="B1" s="104" t="s">
        <v>116</v>
      </c>
      <c r="C1" s="104" t="s">
        <v>1</v>
      </c>
      <c r="D1" s="104" t="s">
        <v>3</v>
      </c>
      <c r="E1" s="104" t="s">
        <v>4</v>
      </c>
      <c r="F1" s="104" t="s">
        <v>5</v>
      </c>
      <c r="G1" s="104" t="s">
        <v>6</v>
      </c>
      <c r="H1" s="104" t="s">
        <v>1004</v>
      </c>
      <c r="I1" s="104" t="s">
        <v>7</v>
      </c>
      <c r="J1" s="104" t="s">
        <v>66</v>
      </c>
      <c r="K1" s="104" t="s">
        <v>878</v>
      </c>
      <c r="L1" s="104" t="s">
        <v>1427</v>
      </c>
      <c r="M1" s="104" t="s">
        <v>1428</v>
      </c>
      <c r="N1" s="104" t="s">
        <v>68</v>
      </c>
      <c r="O1" s="104" t="s">
        <v>117</v>
      </c>
      <c r="P1" s="104" t="s">
        <v>8</v>
      </c>
      <c r="Q1" s="104" t="s">
        <v>111</v>
      </c>
      <c r="R1" s="104" t="s">
        <v>11</v>
      </c>
      <c r="S1" s="104" t="s">
        <v>12</v>
      </c>
      <c r="T1" s="104" t="s">
        <v>943</v>
      </c>
      <c r="U1" s="104" t="s">
        <v>944</v>
      </c>
      <c r="V1" s="104" t="s">
        <v>551</v>
      </c>
      <c r="W1" s="104" t="s">
        <v>945</v>
      </c>
      <c r="X1" s="104" t="s">
        <v>946</v>
      </c>
      <c r="Y1" s="104" t="s">
        <v>947</v>
      </c>
      <c r="Z1" s="104" t="s">
        <v>15</v>
      </c>
      <c r="AA1" s="104" t="s">
        <v>948</v>
      </c>
      <c r="AB1" s="104" t="s">
        <v>949</v>
      </c>
      <c r="AC1" s="104" t="s">
        <v>950</v>
      </c>
      <c r="AD1" s="104" t="s">
        <v>17</v>
      </c>
      <c r="AE1" s="104" t="s">
        <v>18</v>
      </c>
      <c r="AF1" s="104" t="s">
        <v>951</v>
      </c>
      <c r="AG1" s="104" t="s">
        <v>19</v>
      </c>
      <c r="AH1" s="104" t="s">
        <v>554</v>
      </c>
      <c r="AI1" s="104" t="s">
        <v>21</v>
      </c>
      <c r="AJ1" s="104" t="s">
        <v>130</v>
      </c>
      <c r="AK1" s="104" t="s">
        <v>815</v>
      </c>
      <c r="AL1" s="104" t="s">
        <v>758</v>
      </c>
      <c r="AM1" s="104" t="s">
        <v>816</v>
      </c>
    </row>
    <row r="2" spans="1:39" ht="14.4" customHeight="1" x14ac:dyDescent="0.3">
      <c r="A2" s="203">
        <v>1017680</v>
      </c>
      <c r="B2" s="34">
        <v>262146</v>
      </c>
      <c r="C2" s="34" t="s">
        <v>2374</v>
      </c>
      <c r="D2" s="34" t="s">
        <v>2272</v>
      </c>
      <c r="E2" s="34" t="s">
        <v>867</v>
      </c>
      <c r="F2" s="34">
        <v>16</v>
      </c>
      <c r="G2" s="34" t="s">
        <v>104</v>
      </c>
      <c r="H2" s="34" t="s">
        <v>36</v>
      </c>
      <c r="I2" s="34" t="s">
        <v>36</v>
      </c>
      <c r="J2" s="34" t="s">
        <v>36</v>
      </c>
      <c r="K2" s="34" t="s">
        <v>1412</v>
      </c>
      <c r="L2" s="34" t="s">
        <v>104</v>
      </c>
      <c r="M2" s="34" t="s">
        <v>1419</v>
      </c>
      <c r="N2" s="34" t="s">
        <v>117</v>
      </c>
      <c r="O2" s="34">
        <v>1017680</v>
      </c>
      <c r="P2" s="34" t="s">
        <v>949</v>
      </c>
      <c r="Q2" s="34">
        <v>0</v>
      </c>
      <c r="R2" s="34">
        <v>3</v>
      </c>
      <c r="S2" s="34">
        <v>0</v>
      </c>
      <c r="T2" s="34">
        <v>0</v>
      </c>
      <c r="U2" s="34">
        <v>0</v>
      </c>
      <c r="V2" s="34">
        <v>1</v>
      </c>
      <c r="W2" s="34">
        <v>14</v>
      </c>
      <c r="X2" s="34">
        <v>0</v>
      </c>
      <c r="Y2" s="34">
        <v>0</v>
      </c>
      <c r="Z2" s="34">
        <v>0</v>
      </c>
      <c r="AA2" s="34">
        <v>0</v>
      </c>
      <c r="AB2" s="34">
        <v>0</v>
      </c>
      <c r="AC2" s="34">
        <v>0</v>
      </c>
      <c r="AD2" s="34">
        <v>0</v>
      </c>
      <c r="AE2" s="34">
        <v>0</v>
      </c>
      <c r="AF2" s="34">
        <v>1</v>
      </c>
      <c r="AG2" s="34">
        <v>0</v>
      </c>
      <c r="AH2" s="34">
        <v>0</v>
      </c>
      <c r="AI2" s="34">
        <v>0</v>
      </c>
      <c r="AJ2" s="34">
        <v>16</v>
      </c>
      <c r="AK2" s="34">
        <v>0</v>
      </c>
      <c r="AL2" s="34"/>
      <c r="AM2" s="34" t="s">
        <v>33</v>
      </c>
    </row>
    <row r="3" spans="1:39" ht="14.4" customHeight="1" x14ac:dyDescent="0.3">
      <c r="A3" s="203">
        <v>1015911</v>
      </c>
      <c r="B3" s="34">
        <v>1016405</v>
      </c>
      <c r="C3" s="34" t="s">
        <v>2303</v>
      </c>
      <c r="D3" s="34" t="s">
        <v>1321</v>
      </c>
      <c r="E3" s="34" t="s">
        <v>28</v>
      </c>
      <c r="F3" s="34">
        <v>42</v>
      </c>
      <c r="G3" s="34" t="s">
        <v>595</v>
      </c>
      <c r="H3" s="34" t="s">
        <v>36</v>
      </c>
      <c r="I3" s="34" t="s">
        <v>939</v>
      </c>
      <c r="J3" s="34" t="s">
        <v>36</v>
      </c>
      <c r="K3" s="34" t="s">
        <v>1412</v>
      </c>
      <c r="L3" s="34" t="s">
        <v>104</v>
      </c>
      <c r="M3" s="34" t="s">
        <v>1419</v>
      </c>
      <c r="N3" s="34" t="s">
        <v>117</v>
      </c>
      <c r="O3" s="34">
        <v>1015911</v>
      </c>
      <c r="P3" s="34" t="s">
        <v>554</v>
      </c>
      <c r="Q3" s="34">
        <v>0</v>
      </c>
      <c r="R3" s="34">
        <v>1</v>
      </c>
      <c r="S3" s="34">
        <v>0</v>
      </c>
      <c r="T3" s="34">
        <v>0</v>
      </c>
      <c r="U3" s="34">
        <v>0</v>
      </c>
      <c r="V3" s="34">
        <v>0</v>
      </c>
      <c r="W3" s="34">
        <v>0</v>
      </c>
      <c r="X3" s="34">
        <v>0</v>
      </c>
      <c r="Y3" s="34">
        <v>0</v>
      </c>
      <c r="Z3" s="34">
        <v>0</v>
      </c>
      <c r="AA3" s="34">
        <v>0</v>
      </c>
      <c r="AB3" s="34">
        <v>0</v>
      </c>
      <c r="AC3" s="34">
        <v>0</v>
      </c>
      <c r="AD3" s="34">
        <v>0</v>
      </c>
      <c r="AE3" s="34">
        <v>0</v>
      </c>
      <c r="AF3" s="34">
        <v>0</v>
      </c>
      <c r="AG3" s="34">
        <v>42</v>
      </c>
      <c r="AH3" s="34">
        <v>0</v>
      </c>
      <c r="AI3" s="34">
        <v>0</v>
      </c>
      <c r="AJ3" s="34">
        <v>42</v>
      </c>
      <c r="AK3" s="34">
        <v>0</v>
      </c>
      <c r="AL3" s="34"/>
      <c r="AM3" s="34" t="s">
        <v>40</v>
      </c>
    </row>
    <row r="4" spans="1:39" ht="14.4" customHeight="1" x14ac:dyDescent="0.3">
      <c r="A4" s="203">
        <v>1015858</v>
      </c>
      <c r="B4" s="34">
        <v>1002345</v>
      </c>
      <c r="C4" s="34" t="s">
        <v>2309</v>
      </c>
      <c r="D4" s="34" t="s">
        <v>886</v>
      </c>
      <c r="E4" s="34" t="s">
        <v>2254</v>
      </c>
      <c r="F4" s="34" t="s">
        <v>36</v>
      </c>
      <c r="G4" s="34" t="s">
        <v>170</v>
      </c>
      <c r="H4" s="34" t="s">
        <v>1177</v>
      </c>
      <c r="I4" s="34" t="s">
        <v>36</v>
      </c>
      <c r="J4" s="34" t="s">
        <v>36</v>
      </c>
      <c r="K4" s="34" t="s">
        <v>36</v>
      </c>
      <c r="L4" s="34" t="s">
        <v>1420</v>
      </c>
      <c r="M4" s="34" t="s">
        <v>1421</v>
      </c>
      <c r="N4" s="34" t="s">
        <v>72</v>
      </c>
      <c r="O4" s="34">
        <v>1002345</v>
      </c>
      <c r="P4" s="34" t="s">
        <v>943</v>
      </c>
      <c r="Q4" s="34" t="s">
        <v>36</v>
      </c>
      <c r="R4" s="34">
        <v>0</v>
      </c>
      <c r="S4" s="34" t="s">
        <v>36</v>
      </c>
      <c r="T4" s="34" t="s">
        <v>36</v>
      </c>
      <c r="U4" s="34" t="s">
        <v>36</v>
      </c>
      <c r="V4" s="34" t="s">
        <v>36</v>
      </c>
      <c r="W4" s="34" t="s">
        <v>36</v>
      </c>
      <c r="X4" s="34" t="s">
        <v>36</v>
      </c>
      <c r="Y4" s="34" t="s">
        <v>36</v>
      </c>
      <c r="Z4" s="34" t="s">
        <v>36</v>
      </c>
      <c r="AA4" s="34" t="s">
        <v>36</v>
      </c>
      <c r="AB4" s="34" t="s">
        <v>36</v>
      </c>
      <c r="AC4" s="34" t="s">
        <v>36</v>
      </c>
      <c r="AD4" s="34" t="s">
        <v>36</v>
      </c>
      <c r="AE4" s="34" t="s">
        <v>36</v>
      </c>
      <c r="AF4" s="34" t="s">
        <v>36</v>
      </c>
      <c r="AG4" s="34" t="s">
        <v>36</v>
      </c>
      <c r="AH4" s="34" t="s">
        <v>36</v>
      </c>
      <c r="AI4" s="34" t="s">
        <v>36</v>
      </c>
      <c r="AJ4" s="34" t="s">
        <v>36</v>
      </c>
      <c r="AK4" s="34" t="s">
        <v>36</v>
      </c>
      <c r="AL4" s="34"/>
      <c r="AM4" s="34" t="s">
        <v>36</v>
      </c>
    </row>
    <row r="5" spans="1:39" ht="14.4" customHeight="1" x14ac:dyDescent="0.3">
      <c r="A5" s="203">
        <v>1015439</v>
      </c>
      <c r="B5" s="34">
        <v>1015438</v>
      </c>
      <c r="C5" s="34" t="s">
        <v>2240</v>
      </c>
      <c r="D5" s="34" t="s">
        <v>1321</v>
      </c>
      <c r="E5" s="34" t="s">
        <v>28</v>
      </c>
      <c r="F5" s="34">
        <v>13</v>
      </c>
      <c r="G5" s="34" t="s">
        <v>135</v>
      </c>
      <c r="H5" s="34" t="s">
        <v>36</v>
      </c>
      <c r="I5" s="34" t="s">
        <v>38</v>
      </c>
      <c r="J5" s="34" t="s">
        <v>36</v>
      </c>
      <c r="K5" s="34" t="s">
        <v>1412</v>
      </c>
      <c r="L5" s="34" t="s">
        <v>104</v>
      </c>
      <c r="M5" s="34" t="s">
        <v>1419</v>
      </c>
      <c r="N5" s="34" t="s">
        <v>117</v>
      </c>
      <c r="O5" s="34">
        <v>1015439</v>
      </c>
      <c r="P5" s="34" t="s">
        <v>15</v>
      </c>
      <c r="Q5" s="34">
        <v>0</v>
      </c>
      <c r="R5" s="34">
        <v>4</v>
      </c>
      <c r="S5" s="34">
        <v>0</v>
      </c>
      <c r="T5" s="34">
        <v>0</v>
      </c>
      <c r="U5" s="34">
        <v>0</v>
      </c>
      <c r="V5" s="34">
        <v>0</v>
      </c>
      <c r="W5" s="34">
        <v>0</v>
      </c>
      <c r="X5" s="34">
        <v>0</v>
      </c>
      <c r="Y5" s="34">
        <v>0</v>
      </c>
      <c r="Z5" s="34">
        <v>0</v>
      </c>
      <c r="AA5" s="34">
        <v>0</v>
      </c>
      <c r="AB5" s="34">
        <v>7</v>
      </c>
      <c r="AC5" s="34">
        <v>2</v>
      </c>
      <c r="AD5" s="34">
        <v>2</v>
      </c>
      <c r="AE5" s="34">
        <v>0</v>
      </c>
      <c r="AF5" s="34">
        <v>0</v>
      </c>
      <c r="AG5" s="34">
        <v>2</v>
      </c>
      <c r="AH5" s="34">
        <v>0</v>
      </c>
      <c r="AI5" s="34">
        <v>0</v>
      </c>
      <c r="AJ5" s="34">
        <v>13</v>
      </c>
      <c r="AK5" s="34">
        <v>0</v>
      </c>
      <c r="AL5" s="34"/>
      <c r="AM5" s="34" t="s">
        <v>40</v>
      </c>
    </row>
    <row r="6" spans="1:39" ht="14.4" customHeight="1" x14ac:dyDescent="0.3">
      <c r="A6" s="203">
        <v>1015153</v>
      </c>
      <c r="B6" s="34">
        <v>251622</v>
      </c>
      <c r="C6" s="34" t="s">
        <v>2344</v>
      </c>
      <c r="D6" s="34" t="s">
        <v>972</v>
      </c>
      <c r="E6" s="34" t="s">
        <v>106</v>
      </c>
      <c r="F6" s="34">
        <v>34</v>
      </c>
      <c r="G6" s="34" t="s">
        <v>362</v>
      </c>
      <c r="H6" s="34" t="s">
        <v>36</v>
      </c>
      <c r="I6" s="34" t="s">
        <v>1594</v>
      </c>
      <c r="J6" s="34" t="s">
        <v>36</v>
      </c>
      <c r="K6" s="34" t="s">
        <v>1412</v>
      </c>
      <c r="L6" s="34" t="s">
        <v>104</v>
      </c>
      <c r="M6" s="34" t="s">
        <v>1419</v>
      </c>
      <c r="N6" s="34" t="s">
        <v>117</v>
      </c>
      <c r="O6" s="34">
        <v>1015153</v>
      </c>
      <c r="P6" s="34" t="s">
        <v>950</v>
      </c>
      <c r="Q6" s="34">
        <v>1</v>
      </c>
      <c r="R6" s="34">
        <v>3</v>
      </c>
      <c r="S6" s="34">
        <v>6</v>
      </c>
      <c r="T6" s="34">
        <v>0</v>
      </c>
      <c r="U6" s="34">
        <v>0</v>
      </c>
      <c r="V6" s="34">
        <v>2</v>
      </c>
      <c r="W6" s="34">
        <v>0</v>
      </c>
      <c r="X6" s="34">
        <v>0</v>
      </c>
      <c r="Y6" s="34">
        <v>2</v>
      </c>
      <c r="Z6" s="34">
        <v>28</v>
      </c>
      <c r="AA6" s="34">
        <v>0</v>
      </c>
      <c r="AB6" s="34">
        <v>0</v>
      </c>
      <c r="AC6" s="34">
        <v>0</v>
      </c>
      <c r="AD6" s="34">
        <v>0</v>
      </c>
      <c r="AE6" s="34">
        <v>0</v>
      </c>
      <c r="AF6" s="34">
        <v>0</v>
      </c>
      <c r="AG6" s="34">
        <v>0</v>
      </c>
      <c r="AH6" s="34">
        <v>0</v>
      </c>
      <c r="AI6" s="34">
        <v>0</v>
      </c>
      <c r="AJ6" s="34">
        <v>32</v>
      </c>
      <c r="AK6" s="34">
        <v>0</v>
      </c>
      <c r="AL6" s="34"/>
      <c r="AM6" s="34" t="s">
        <v>33</v>
      </c>
    </row>
    <row r="7" spans="1:39" ht="14.4" customHeight="1" x14ac:dyDescent="0.3">
      <c r="A7" s="203">
        <v>1015116</v>
      </c>
      <c r="B7" s="34">
        <v>395855</v>
      </c>
      <c r="C7" s="34" t="s">
        <v>2351</v>
      </c>
      <c r="D7" s="34" t="s">
        <v>1143</v>
      </c>
      <c r="E7" s="34" t="s">
        <v>2131</v>
      </c>
      <c r="F7" s="34" t="s">
        <v>36</v>
      </c>
      <c r="G7" s="34" t="s">
        <v>1437</v>
      </c>
      <c r="H7" s="34" t="s">
        <v>807</v>
      </c>
      <c r="I7" s="34" t="s">
        <v>851</v>
      </c>
      <c r="J7" s="34" t="s">
        <v>36</v>
      </c>
      <c r="K7" s="34" t="s">
        <v>36</v>
      </c>
      <c r="L7" s="34" t="s">
        <v>1429</v>
      </c>
      <c r="M7" s="34" t="s">
        <v>1421</v>
      </c>
      <c r="N7" s="34" t="s">
        <v>72</v>
      </c>
      <c r="O7" s="34">
        <v>395855</v>
      </c>
      <c r="P7" s="34" t="s">
        <v>946</v>
      </c>
      <c r="Q7" s="34" t="s">
        <v>36</v>
      </c>
      <c r="R7" s="34">
        <v>0</v>
      </c>
      <c r="S7" s="34" t="s">
        <v>36</v>
      </c>
      <c r="T7" s="34" t="s">
        <v>36</v>
      </c>
      <c r="U7" s="34" t="s">
        <v>36</v>
      </c>
      <c r="V7" s="34" t="s">
        <v>36</v>
      </c>
      <c r="W7" s="34" t="s">
        <v>36</v>
      </c>
      <c r="X7" s="34" t="s">
        <v>36</v>
      </c>
      <c r="Y7" s="34" t="s">
        <v>36</v>
      </c>
      <c r="Z7" s="34" t="s">
        <v>36</v>
      </c>
      <c r="AA7" s="34" t="s">
        <v>36</v>
      </c>
      <c r="AB7" s="34" t="s">
        <v>36</v>
      </c>
      <c r="AC7" s="34" t="s">
        <v>36</v>
      </c>
      <c r="AD7" s="34" t="s">
        <v>36</v>
      </c>
      <c r="AE7" s="34" t="s">
        <v>36</v>
      </c>
      <c r="AF7" s="34" t="s">
        <v>36</v>
      </c>
      <c r="AG7" s="34" t="s">
        <v>36</v>
      </c>
      <c r="AH7" s="34" t="s">
        <v>36</v>
      </c>
      <c r="AI7" s="34" t="s">
        <v>36</v>
      </c>
      <c r="AJ7" s="34" t="s">
        <v>36</v>
      </c>
      <c r="AK7" s="34" t="s">
        <v>36</v>
      </c>
      <c r="AL7" s="34"/>
      <c r="AM7" s="34" t="s">
        <v>36</v>
      </c>
    </row>
    <row r="8" spans="1:39" ht="14.4" customHeight="1" x14ac:dyDescent="0.3">
      <c r="A8" s="203">
        <v>1015005</v>
      </c>
      <c r="B8" s="34">
        <v>1015251</v>
      </c>
      <c r="C8" s="34" t="s">
        <v>2345</v>
      </c>
      <c r="D8" s="34" t="s">
        <v>1866</v>
      </c>
      <c r="E8" s="34" t="s">
        <v>2020</v>
      </c>
      <c r="F8" s="34">
        <v>43</v>
      </c>
      <c r="G8" s="34" t="s">
        <v>547</v>
      </c>
      <c r="H8" s="34" t="s">
        <v>36</v>
      </c>
      <c r="I8" s="34" t="s">
        <v>38</v>
      </c>
      <c r="J8" s="34" t="s">
        <v>36</v>
      </c>
      <c r="K8" s="34" t="s">
        <v>1412</v>
      </c>
      <c r="L8" s="34" t="s">
        <v>104</v>
      </c>
      <c r="M8" s="34" t="s">
        <v>1419</v>
      </c>
      <c r="N8" s="34" t="s">
        <v>117</v>
      </c>
      <c r="O8" s="34">
        <v>1015005</v>
      </c>
      <c r="P8" s="34" t="s">
        <v>15</v>
      </c>
      <c r="Q8" s="34">
        <v>0</v>
      </c>
      <c r="R8" s="34">
        <v>2</v>
      </c>
      <c r="S8" s="34">
        <v>0</v>
      </c>
      <c r="T8" s="34">
        <v>0</v>
      </c>
      <c r="U8" s="34">
        <v>3</v>
      </c>
      <c r="V8" s="34">
        <v>0</v>
      </c>
      <c r="W8" s="34">
        <v>0</v>
      </c>
      <c r="X8" s="34">
        <v>0</v>
      </c>
      <c r="Y8" s="34">
        <v>0</v>
      </c>
      <c r="Z8" s="34">
        <v>0</v>
      </c>
      <c r="AA8" s="34">
        <v>0</v>
      </c>
      <c r="AB8" s="34">
        <v>19</v>
      </c>
      <c r="AC8" s="34">
        <v>0</v>
      </c>
      <c r="AD8" s="34">
        <v>0</v>
      </c>
      <c r="AE8" s="34">
        <v>0</v>
      </c>
      <c r="AF8" s="34">
        <v>0</v>
      </c>
      <c r="AG8" s="34">
        <v>0</v>
      </c>
      <c r="AH8" s="34">
        <v>0</v>
      </c>
      <c r="AI8" s="34">
        <v>0</v>
      </c>
      <c r="AJ8" s="34">
        <v>22</v>
      </c>
      <c r="AK8" s="34">
        <v>21</v>
      </c>
      <c r="AL8" s="34"/>
      <c r="AM8" s="34" t="s">
        <v>33</v>
      </c>
    </row>
    <row r="9" spans="1:39" ht="14.4" customHeight="1" x14ac:dyDescent="0.3">
      <c r="A9" s="203">
        <v>1014602</v>
      </c>
      <c r="B9" s="34">
        <v>370101</v>
      </c>
      <c r="C9" s="34" t="s">
        <v>2106</v>
      </c>
      <c r="D9" s="34" t="s">
        <v>1321</v>
      </c>
      <c r="E9" s="34" t="s">
        <v>28</v>
      </c>
      <c r="F9" s="34">
        <v>40</v>
      </c>
      <c r="G9" s="34" t="s">
        <v>547</v>
      </c>
      <c r="H9" s="34" t="s">
        <v>36</v>
      </c>
      <c r="I9" s="34" t="s">
        <v>38</v>
      </c>
      <c r="J9" s="34" t="s">
        <v>36</v>
      </c>
      <c r="K9" s="34" t="s">
        <v>1412</v>
      </c>
      <c r="L9" s="34" t="s">
        <v>104</v>
      </c>
      <c r="M9" s="34" t="s">
        <v>1419</v>
      </c>
      <c r="N9" s="34" t="s">
        <v>117</v>
      </c>
      <c r="O9" s="34">
        <v>1014602</v>
      </c>
      <c r="P9" s="34" t="s">
        <v>951</v>
      </c>
      <c r="Q9" s="34">
        <v>0</v>
      </c>
      <c r="R9" s="34">
        <v>3</v>
      </c>
      <c r="S9" s="34">
        <v>0</v>
      </c>
      <c r="T9" s="34">
        <v>6</v>
      </c>
      <c r="U9" s="34">
        <v>3</v>
      </c>
      <c r="V9" s="34">
        <v>0</v>
      </c>
      <c r="W9" s="34">
        <v>31</v>
      </c>
      <c r="X9" s="34">
        <v>0</v>
      </c>
      <c r="Y9" s="34">
        <v>0</v>
      </c>
      <c r="Z9" s="34">
        <v>0</v>
      </c>
      <c r="AA9" s="34">
        <v>0</v>
      </c>
      <c r="AB9" s="34">
        <v>0</v>
      </c>
      <c r="AC9" s="34">
        <v>0</v>
      </c>
      <c r="AD9" s="34">
        <v>0</v>
      </c>
      <c r="AE9" s="34">
        <v>0</v>
      </c>
      <c r="AF9" s="34">
        <v>0</v>
      </c>
      <c r="AG9" s="34">
        <v>0</v>
      </c>
      <c r="AH9" s="34">
        <v>0</v>
      </c>
      <c r="AI9" s="34">
        <v>0</v>
      </c>
      <c r="AJ9" s="34">
        <v>40</v>
      </c>
      <c r="AK9" s="34">
        <v>0</v>
      </c>
      <c r="AL9" s="34"/>
      <c r="AM9" s="34" t="s">
        <v>40</v>
      </c>
    </row>
    <row r="10" spans="1:39" ht="14.4" customHeight="1" x14ac:dyDescent="0.3">
      <c r="A10" s="203">
        <v>1014598</v>
      </c>
      <c r="B10" s="34">
        <v>370101</v>
      </c>
      <c r="C10" s="34" t="s">
        <v>2096</v>
      </c>
      <c r="D10" s="34" t="s">
        <v>1321</v>
      </c>
      <c r="E10" s="34" t="s">
        <v>28</v>
      </c>
      <c r="F10" s="34">
        <v>25</v>
      </c>
      <c r="G10" s="34" t="s">
        <v>547</v>
      </c>
      <c r="H10" s="34" t="s">
        <v>36</v>
      </c>
      <c r="I10" s="34" t="s">
        <v>38</v>
      </c>
      <c r="J10" s="34" t="s">
        <v>36</v>
      </c>
      <c r="K10" s="34" t="s">
        <v>1412</v>
      </c>
      <c r="L10" s="34" t="s">
        <v>104</v>
      </c>
      <c r="M10" s="34" t="s">
        <v>1419</v>
      </c>
      <c r="N10" s="34" t="s">
        <v>117</v>
      </c>
      <c r="O10" s="34">
        <v>1014598</v>
      </c>
      <c r="P10" s="34" t="s">
        <v>951</v>
      </c>
      <c r="Q10" s="34">
        <v>0</v>
      </c>
      <c r="R10" s="34">
        <v>2</v>
      </c>
      <c r="S10" s="34">
        <v>0</v>
      </c>
      <c r="T10" s="34">
        <v>13</v>
      </c>
      <c r="U10" s="34">
        <v>0</v>
      </c>
      <c r="V10" s="34">
        <v>0</v>
      </c>
      <c r="W10" s="34">
        <v>0</v>
      </c>
      <c r="X10" s="34">
        <v>0</v>
      </c>
      <c r="Y10" s="34">
        <v>0</v>
      </c>
      <c r="Z10" s="34">
        <v>0</v>
      </c>
      <c r="AA10" s="34">
        <v>0</v>
      </c>
      <c r="AB10" s="34">
        <v>0</v>
      </c>
      <c r="AC10" s="34">
        <v>0</v>
      </c>
      <c r="AD10" s="34">
        <v>0</v>
      </c>
      <c r="AE10" s="34">
        <v>12</v>
      </c>
      <c r="AF10" s="34">
        <v>0</v>
      </c>
      <c r="AG10" s="34">
        <v>0</v>
      </c>
      <c r="AH10" s="34">
        <v>0</v>
      </c>
      <c r="AI10" s="34">
        <v>0</v>
      </c>
      <c r="AJ10" s="34">
        <v>25</v>
      </c>
      <c r="AK10" s="34">
        <v>0</v>
      </c>
      <c r="AL10" s="34"/>
      <c r="AM10" s="34" t="s">
        <v>40</v>
      </c>
    </row>
    <row r="11" spans="1:39" ht="14.4" customHeight="1" x14ac:dyDescent="0.3">
      <c r="A11" s="203">
        <v>1014597</v>
      </c>
      <c r="B11" s="34">
        <v>370101</v>
      </c>
      <c r="C11" s="34" t="s">
        <v>2097</v>
      </c>
      <c r="D11" s="34" t="s">
        <v>1321</v>
      </c>
      <c r="E11" s="34" t="s">
        <v>28</v>
      </c>
      <c r="F11" s="34">
        <v>70</v>
      </c>
      <c r="G11" s="34" t="s">
        <v>547</v>
      </c>
      <c r="H11" s="34" t="s">
        <v>36</v>
      </c>
      <c r="I11" s="34" t="s">
        <v>38</v>
      </c>
      <c r="J11" s="34" t="s">
        <v>36</v>
      </c>
      <c r="K11" s="34" t="s">
        <v>1412</v>
      </c>
      <c r="L11" s="34" t="s">
        <v>104</v>
      </c>
      <c r="M11" s="34" t="s">
        <v>1419</v>
      </c>
      <c r="N11" s="34" t="s">
        <v>117</v>
      </c>
      <c r="O11" s="34">
        <v>1014597</v>
      </c>
      <c r="P11" s="34" t="s">
        <v>951</v>
      </c>
      <c r="Q11" s="34">
        <v>0</v>
      </c>
      <c r="R11" s="34">
        <v>3</v>
      </c>
      <c r="S11" s="34">
        <v>0</v>
      </c>
      <c r="T11" s="34">
        <v>57</v>
      </c>
      <c r="U11" s="34">
        <v>5</v>
      </c>
      <c r="V11" s="34">
        <v>0</v>
      </c>
      <c r="W11" s="34">
        <v>0</v>
      </c>
      <c r="X11" s="34">
        <v>0</v>
      </c>
      <c r="Y11" s="34">
        <v>0</v>
      </c>
      <c r="Z11" s="34">
        <v>0</v>
      </c>
      <c r="AA11" s="34">
        <v>0</v>
      </c>
      <c r="AB11" s="34">
        <v>0</v>
      </c>
      <c r="AC11" s="34">
        <v>8</v>
      </c>
      <c r="AD11" s="34">
        <v>0</v>
      </c>
      <c r="AE11" s="34">
        <v>0</v>
      </c>
      <c r="AF11" s="34">
        <v>0</v>
      </c>
      <c r="AG11" s="34">
        <v>0</v>
      </c>
      <c r="AH11" s="34">
        <v>0</v>
      </c>
      <c r="AI11" s="34">
        <v>0</v>
      </c>
      <c r="AJ11" s="34">
        <v>70</v>
      </c>
      <c r="AK11" s="34">
        <v>0</v>
      </c>
      <c r="AL11" s="34"/>
      <c r="AM11" s="34" t="s">
        <v>40</v>
      </c>
    </row>
    <row r="12" spans="1:39" ht="14.4" customHeight="1" x14ac:dyDescent="0.3">
      <c r="A12" s="203">
        <v>1014596</v>
      </c>
      <c r="B12" s="34">
        <v>370101</v>
      </c>
      <c r="C12" s="34" t="s">
        <v>2098</v>
      </c>
      <c r="D12" s="34" t="s">
        <v>1321</v>
      </c>
      <c r="E12" s="34" t="s">
        <v>28</v>
      </c>
      <c r="F12" s="34">
        <v>93</v>
      </c>
      <c r="G12" s="34" t="s">
        <v>547</v>
      </c>
      <c r="H12" s="34" t="s">
        <v>36</v>
      </c>
      <c r="I12" s="34" t="s">
        <v>38</v>
      </c>
      <c r="J12" s="34" t="s">
        <v>36</v>
      </c>
      <c r="K12" s="34" t="s">
        <v>1412</v>
      </c>
      <c r="L12" s="34" t="s">
        <v>104</v>
      </c>
      <c r="M12" s="34" t="s">
        <v>1419</v>
      </c>
      <c r="N12" s="34" t="s">
        <v>117</v>
      </c>
      <c r="O12" s="34">
        <v>1014596</v>
      </c>
      <c r="P12" s="34" t="s">
        <v>951</v>
      </c>
      <c r="Q12" s="34">
        <v>0</v>
      </c>
      <c r="R12" s="34">
        <v>1</v>
      </c>
      <c r="S12" s="34">
        <v>0</v>
      </c>
      <c r="T12" s="34">
        <v>80</v>
      </c>
      <c r="U12" s="34">
        <v>0</v>
      </c>
      <c r="V12" s="34">
        <v>0</v>
      </c>
      <c r="W12" s="34">
        <v>0</v>
      </c>
      <c r="X12" s="34">
        <v>0</v>
      </c>
      <c r="Y12" s="34">
        <v>0</v>
      </c>
      <c r="Z12" s="34">
        <v>0</v>
      </c>
      <c r="AA12" s="34">
        <v>0</v>
      </c>
      <c r="AB12" s="34">
        <v>0</v>
      </c>
      <c r="AC12" s="34">
        <v>0</v>
      </c>
      <c r="AD12" s="34">
        <v>0</v>
      </c>
      <c r="AE12" s="34">
        <v>0</v>
      </c>
      <c r="AF12" s="34">
        <v>0</v>
      </c>
      <c r="AG12" s="34">
        <v>0</v>
      </c>
      <c r="AH12" s="34">
        <v>0</v>
      </c>
      <c r="AI12" s="34">
        <v>0</v>
      </c>
      <c r="AJ12" s="34">
        <v>80</v>
      </c>
      <c r="AK12" s="34">
        <v>13</v>
      </c>
      <c r="AL12" s="34"/>
      <c r="AM12" s="34" t="s">
        <v>40</v>
      </c>
    </row>
    <row r="13" spans="1:39" ht="14.4" customHeight="1" x14ac:dyDescent="0.3">
      <c r="A13" s="203">
        <v>1014595</v>
      </c>
      <c r="B13" s="34">
        <v>370101</v>
      </c>
      <c r="C13" s="34" t="s">
        <v>2099</v>
      </c>
      <c r="D13" s="34" t="s">
        <v>1321</v>
      </c>
      <c r="E13" s="34" t="s">
        <v>28</v>
      </c>
      <c r="F13" s="34">
        <v>97</v>
      </c>
      <c r="G13" s="34" t="s">
        <v>547</v>
      </c>
      <c r="H13" s="34" t="s">
        <v>36</v>
      </c>
      <c r="I13" s="34" t="s">
        <v>38</v>
      </c>
      <c r="J13" s="34" t="s">
        <v>36</v>
      </c>
      <c r="K13" s="34" t="s">
        <v>1412</v>
      </c>
      <c r="L13" s="34" t="s">
        <v>104</v>
      </c>
      <c r="M13" s="34" t="s">
        <v>1419</v>
      </c>
      <c r="N13" s="34" t="s">
        <v>117</v>
      </c>
      <c r="O13" s="34">
        <v>1014595</v>
      </c>
      <c r="P13" s="34" t="s">
        <v>951</v>
      </c>
      <c r="Q13" s="34">
        <v>0</v>
      </c>
      <c r="R13" s="34">
        <v>2</v>
      </c>
      <c r="S13" s="34">
        <v>0</v>
      </c>
      <c r="T13" s="34">
        <v>90</v>
      </c>
      <c r="U13" s="34">
        <v>7</v>
      </c>
      <c r="V13" s="34">
        <v>0</v>
      </c>
      <c r="W13" s="34">
        <v>0</v>
      </c>
      <c r="X13" s="34">
        <v>0</v>
      </c>
      <c r="Y13" s="34">
        <v>0</v>
      </c>
      <c r="Z13" s="34">
        <v>0</v>
      </c>
      <c r="AA13" s="34">
        <v>0</v>
      </c>
      <c r="AB13" s="34">
        <v>0</v>
      </c>
      <c r="AC13" s="34">
        <v>0</v>
      </c>
      <c r="AD13" s="34">
        <v>0</v>
      </c>
      <c r="AE13" s="34">
        <v>0</v>
      </c>
      <c r="AF13" s="34">
        <v>0</v>
      </c>
      <c r="AG13" s="34">
        <v>0</v>
      </c>
      <c r="AH13" s="34">
        <v>0</v>
      </c>
      <c r="AI13" s="34">
        <v>0</v>
      </c>
      <c r="AJ13" s="34">
        <v>97</v>
      </c>
      <c r="AK13" s="34">
        <v>0</v>
      </c>
      <c r="AL13" s="34"/>
      <c r="AM13" s="34" t="s">
        <v>40</v>
      </c>
    </row>
    <row r="14" spans="1:39" ht="14.4" customHeight="1" x14ac:dyDescent="0.3">
      <c r="A14" s="203">
        <v>1014491</v>
      </c>
      <c r="B14" s="34">
        <v>1014021</v>
      </c>
      <c r="C14" s="34" t="s">
        <v>2194</v>
      </c>
      <c r="D14" s="34" t="s">
        <v>2102</v>
      </c>
      <c r="E14" s="34" t="s">
        <v>28</v>
      </c>
      <c r="F14" s="34">
        <v>8</v>
      </c>
      <c r="G14" s="34" t="s">
        <v>745</v>
      </c>
      <c r="H14" s="34" t="s">
        <v>36</v>
      </c>
      <c r="I14" s="34" t="s">
        <v>38</v>
      </c>
      <c r="J14" s="34" t="s">
        <v>36</v>
      </c>
      <c r="K14" s="34" t="s">
        <v>1412</v>
      </c>
      <c r="L14" s="34" t="s">
        <v>104</v>
      </c>
      <c r="M14" s="34" t="s">
        <v>1419</v>
      </c>
      <c r="N14" s="34" t="s">
        <v>117</v>
      </c>
      <c r="O14" s="34">
        <v>1014491</v>
      </c>
      <c r="P14" s="34" t="s">
        <v>17</v>
      </c>
      <c r="Q14" s="34">
        <v>0</v>
      </c>
      <c r="R14" s="34">
        <v>2</v>
      </c>
      <c r="S14" s="34">
        <v>0</v>
      </c>
      <c r="T14" s="34">
        <v>0</v>
      </c>
      <c r="U14" s="34">
        <v>0</v>
      </c>
      <c r="V14" s="34">
        <v>0</v>
      </c>
      <c r="W14" s="34">
        <v>0</v>
      </c>
      <c r="X14" s="34">
        <v>0</v>
      </c>
      <c r="Y14" s="34">
        <v>0</v>
      </c>
      <c r="Z14" s="34">
        <v>0</v>
      </c>
      <c r="AA14" s="34">
        <v>0</v>
      </c>
      <c r="AB14" s="34">
        <v>5</v>
      </c>
      <c r="AC14" s="34">
        <v>3</v>
      </c>
      <c r="AD14" s="34">
        <v>0</v>
      </c>
      <c r="AE14" s="34">
        <v>0</v>
      </c>
      <c r="AF14" s="34">
        <v>0</v>
      </c>
      <c r="AG14" s="34">
        <v>0</v>
      </c>
      <c r="AH14" s="34">
        <v>0</v>
      </c>
      <c r="AI14" s="34">
        <v>0</v>
      </c>
      <c r="AJ14" s="34">
        <v>8</v>
      </c>
      <c r="AK14" s="34">
        <v>0</v>
      </c>
      <c r="AL14" s="34"/>
      <c r="AM14" s="34" t="s">
        <v>40</v>
      </c>
    </row>
    <row r="15" spans="1:39" ht="14.4" customHeight="1" x14ac:dyDescent="0.3">
      <c r="A15" s="203">
        <v>1014387</v>
      </c>
      <c r="B15" s="34">
        <v>278830</v>
      </c>
      <c r="C15" s="34" t="s">
        <v>2100</v>
      </c>
      <c r="D15" s="34" t="s">
        <v>1321</v>
      </c>
      <c r="E15" s="34" t="s">
        <v>28</v>
      </c>
      <c r="F15" s="34">
        <v>31</v>
      </c>
      <c r="G15" s="34" t="s">
        <v>270</v>
      </c>
      <c r="H15" s="34" t="s">
        <v>36</v>
      </c>
      <c r="I15" s="34" t="s">
        <v>1793</v>
      </c>
      <c r="J15" s="34" t="s">
        <v>41</v>
      </c>
      <c r="K15" s="34" t="s">
        <v>1412</v>
      </c>
      <c r="L15" s="34" t="s">
        <v>104</v>
      </c>
      <c r="M15" s="34" t="s">
        <v>1419</v>
      </c>
      <c r="N15" s="34" t="s">
        <v>117</v>
      </c>
      <c r="O15" s="34">
        <v>1014387</v>
      </c>
      <c r="P15" s="34" t="s">
        <v>949</v>
      </c>
      <c r="Q15" s="34">
        <v>0</v>
      </c>
      <c r="R15" s="34">
        <v>4</v>
      </c>
      <c r="S15" s="34">
        <v>0</v>
      </c>
      <c r="T15" s="34">
        <v>6</v>
      </c>
      <c r="U15" s="34">
        <v>3</v>
      </c>
      <c r="V15" s="34">
        <v>0</v>
      </c>
      <c r="W15" s="34">
        <v>20</v>
      </c>
      <c r="X15" s="34">
        <v>0</v>
      </c>
      <c r="Y15" s="34">
        <v>0</v>
      </c>
      <c r="Z15" s="34">
        <v>0</v>
      </c>
      <c r="AA15" s="34">
        <v>0</v>
      </c>
      <c r="AB15" s="34">
        <v>0</v>
      </c>
      <c r="AC15" s="34">
        <v>0</v>
      </c>
      <c r="AD15" s="34">
        <v>0</v>
      </c>
      <c r="AE15" s="34">
        <v>2</v>
      </c>
      <c r="AF15" s="34">
        <v>0</v>
      </c>
      <c r="AG15" s="34">
        <v>0</v>
      </c>
      <c r="AH15" s="34">
        <v>0</v>
      </c>
      <c r="AI15" s="34">
        <v>0</v>
      </c>
      <c r="AJ15" s="34">
        <v>31</v>
      </c>
      <c r="AK15" s="34">
        <v>0</v>
      </c>
      <c r="AL15" s="34"/>
      <c r="AM15" s="34" t="s">
        <v>40</v>
      </c>
    </row>
    <row r="16" spans="1:39" ht="14.4" customHeight="1" x14ac:dyDescent="0.3">
      <c r="A16" s="203">
        <v>1014360</v>
      </c>
      <c r="B16" s="34">
        <v>1013136</v>
      </c>
      <c r="C16" s="34" t="s">
        <v>2203</v>
      </c>
      <c r="D16" s="34" t="s">
        <v>857</v>
      </c>
      <c r="E16" s="34" t="s">
        <v>106</v>
      </c>
      <c r="F16" s="34" t="s">
        <v>36</v>
      </c>
      <c r="G16" s="34" t="s">
        <v>766</v>
      </c>
      <c r="H16" s="34" t="s">
        <v>1006</v>
      </c>
      <c r="I16" s="34" t="s">
        <v>36</v>
      </c>
      <c r="J16" s="34" t="s">
        <v>36</v>
      </c>
      <c r="K16" s="34" t="s">
        <v>36</v>
      </c>
      <c r="L16" s="34" t="s">
        <v>1420</v>
      </c>
      <c r="M16" s="34" t="s">
        <v>1436</v>
      </c>
      <c r="N16" s="34" t="s">
        <v>72</v>
      </c>
      <c r="O16" s="34">
        <v>1013136</v>
      </c>
      <c r="P16" s="34" t="s">
        <v>554</v>
      </c>
      <c r="Q16" s="34" t="s">
        <v>36</v>
      </c>
      <c r="R16" s="34">
        <v>0</v>
      </c>
      <c r="S16" s="34" t="s">
        <v>36</v>
      </c>
      <c r="T16" s="34" t="s">
        <v>36</v>
      </c>
      <c r="U16" s="34" t="s">
        <v>36</v>
      </c>
      <c r="V16" s="34" t="s">
        <v>36</v>
      </c>
      <c r="W16" s="34" t="s">
        <v>36</v>
      </c>
      <c r="X16" s="34" t="s">
        <v>36</v>
      </c>
      <c r="Y16" s="34" t="s">
        <v>36</v>
      </c>
      <c r="Z16" s="34" t="s">
        <v>36</v>
      </c>
      <c r="AA16" s="34" t="s">
        <v>36</v>
      </c>
      <c r="AB16" s="34" t="s">
        <v>36</v>
      </c>
      <c r="AC16" s="34" t="s">
        <v>36</v>
      </c>
      <c r="AD16" s="34" t="s">
        <v>36</v>
      </c>
      <c r="AE16" s="34" t="s">
        <v>36</v>
      </c>
      <c r="AF16" s="34" t="s">
        <v>36</v>
      </c>
      <c r="AG16" s="34" t="s">
        <v>36</v>
      </c>
      <c r="AH16" s="34" t="s">
        <v>36</v>
      </c>
      <c r="AI16" s="34" t="s">
        <v>36</v>
      </c>
      <c r="AJ16" s="34" t="s">
        <v>36</v>
      </c>
      <c r="AK16" s="34" t="s">
        <v>36</v>
      </c>
      <c r="AL16" s="34"/>
      <c r="AM16" s="34" t="s">
        <v>36</v>
      </c>
    </row>
    <row r="17" spans="1:39" ht="14.4" customHeight="1" x14ac:dyDescent="0.3">
      <c r="A17" s="203">
        <v>1014252</v>
      </c>
      <c r="B17" s="34">
        <v>1015467</v>
      </c>
      <c r="C17" s="34" t="s">
        <v>2174</v>
      </c>
      <c r="D17" s="34" t="s">
        <v>2102</v>
      </c>
      <c r="E17" s="34" t="s">
        <v>28</v>
      </c>
      <c r="F17" s="34">
        <v>22</v>
      </c>
      <c r="G17" s="34" t="s">
        <v>254</v>
      </c>
      <c r="H17" s="34" t="s">
        <v>36</v>
      </c>
      <c r="I17" s="34" t="s">
        <v>939</v>
      </c>
      <c r="J17" s="34" t="s">
        <v>36</v>
      </c>
      <c r="K17" s="34" t="s">
        <v>1412</v>
      </c>
      <c r="L17" s="34" t="s">
        <v>104</v>
      </c>
      <c r="M17" s="34" t="s">
        <v>1419</v>
      </c>
      <c r="N17" s="34" t="s">
        <v>117</v>
      </c>
      <c r="O17" s="34">
        <v>1014252</v>
      </c>
      <c r="P17" s="34" t="s">
        <v>947</v>
      </c>
      <c r="Q17" s="34">
        <v>0</v>
      </c>
      <c r="R17" s="34">
        <v>1</v>
      </c>
      <c r="S17" s="34">
        <v>0</v>
      </c>
      <c r="T17" s="34">
        <v>0</v>
      </c>
      <c r="U17" s="34">
        <v>0</v>
      </c>
      <c r="V17" s="34">
        <v>0</v>
      </c>
      <c r="W17" s="34">
        <v>0</v>
      </c>
      <c r="X17" s="34">
        <v>0</v>
      </c>
      <c r="Y17" s="34">
        <v>0</v>
      </c>
      <c r="Z17" s="34">
        <v>0</v>
      </c>
      <c r="AA17" s="34">
        <v>0</v>
      </c>
      <c r="AB17" s="34">
        <v>0</v>
      </c>
      <c r="AC17" s="34">
        <v>22</v>
      </c>
      <c r="AD17" s="34">
        <v>0</v>
      </c>
      <c r="AE17" s="34">
        <v>0</v>
      </c>
      <c r="AF17" s="34">
        <v>0</v>
      </c>
      <c r="AG17" s="34">
        <v>0</v>
      </c>
      <c r="AH17" s="34">
        <v>0</v>
      </c>
      <c r="AI17" s="34">
        <v>0</v>
      </c>
      <c r="AJ17" s="34">
        <v>22</v>
      </c>
      <c r="AK17" s="34">
        <v>0</v>
      </c>
      <c r="AL17" s="34"/>
      <c r="AM17" s="34" t="s">
        <v>40</v>
      </c>
    </row>
    <row r="18" spans="1:39" ht="14.4" customHeight="1" x14ac:dyDescent="0.3">
      <c r="A18" s="203">
        <v>1014023</v>
      </c>
      <c r="B18" s="34">
        <v>1014021</v>
      </c>
      <c r="C18" s="34" t="s">
        <v>2101</v>
      </c>
      <c r="D18" s="34" t="s">
        <v>2102</v>
      </c>
      <c r="E18" s="34" t="s">
        <v>28</v>
      </c>
      <c r="F18" s="34">
        <v>8</v>
      </c>
      <c r="G18" s="34" t="s">
        <v>745</v>
      </c>
      <c r="H18" s="34" t="s">
        <v>36</v>
      </c>
      <c r="I18" s="34" t="s">
        <v>38</v>
      </c>
      <c r="J18" s="34" t="s">
        <v>36</v>
      </c>
      <c r="K18" s="34" t="s">
        <v>1412</v>
      </c>
      <c r="L18" s="34" t="s">
        <v>104</v>
      </c>
      <c r="M18" s="34" t="s">
        <v>1419</v>
      </c>
      <c r="N18" s="34" t="s">
        <v>117</v>
      </c>
      <c r="O18" s="34">
        <v>1014023</v>
      </c>
      <c r="P18" s="34" t="s">
        <v>17</v>
      </c>
      <c r="Q18" s="34">
        <v>0</v>
      </c>
      <c r="R18" s="34">
        <v>2</v>
      </c>
      <c r="S18" s="34">
        <v>0</v>
      </c>
      <c r="T18" s="34">
        <v>0</v>
      </c>
      <c r="U18" s="34">
        <v>0</v>
      </c>
      <c r="V18" s="34">
        <v>0</v>
      </c>
      <c r="W18" s="34">
        <v>0</v>
      </c>
      <c r="X18" s="34">
        <v>0</v>
      </c>
      <c r="Y18" s="34">
        <v>0</v>
      </c>
      <c r="Z18" s="34">
        <v>0</v>
      </c>
      <c r="AA18" s="34">
        <v>0</v>
      </c>
      <c r="AB18" s="34">
        <v>0</v>
      </c>
      <c r="AC18" s="34">
        <v>3</v>
      </c>
      <c r="AD18" s="34">
        <v>5</v>
      </c>
      <c r="AE18" s="34">
        <v>0</v>
      </c>
      <c r="AF18" s="34">
        <v>0</v>
      </c>
      <c r="AG18" s="34">
        <v>0</v>
      </c>
      <c r="AH18" s="34">
        <v>0</v>
      </c>
      <c r="AI18" s="34">
        <v>0</v>
      </c>
      <c r="AJ18" s="34">
        <v>8</v>
      </c>
      <c r="AK18" s="34">
        <v>0</v>
      </c>
      <c r="AL18" s="34"/>
      <c r="AM18" s="34" t="s">
        <v>40</v>
      </c>
    </row>
    <row r="19" spans="1:39" ht="14.4" customHeight="1" x14ac:dyDescent="0.3">
      <c r="A19" s="203">
        <v>1013975</v>
      </c>
      <c r="B19" s="34">
        <v>393265</v>
      </c>
      <c r="C19" s="34" t="s">
        <v>2245</v>
      </c>
      <c r="D19" s="34" t="s">
        <v>857</v>
      </c>
      <c r="E19" s="34" t="s">
        <v>28</v>
      </c>
      <c r="F19" s="34" t="s">
        <v>36</v>
      </c>
      <c r="G19" s="34" t="s">
        <v>597</v>
      </c>
      <c r="H19" s="34" t="s">
        <v>807</v>
      </c>
      <c r="I19" s="34" t="s">
        <v>36</v>
      </c>
      <c r="J19" s="34" t="s">
        <v>36</v>
      </c>
      <c r="K19" s="34" t="s">
        <v>36</v>
      </c>
      <c r="L19" s="34" t="s">
        <v>1420</v>
      </c>
      <c r="M19" s="34" t="s">
        <v>1421</v>
      </c>
      <c r="N19" s="34" t="s">
        <v>72</v>
      </c>
      <c r="O19" s="34">
        <v>393265</v>
      </c>
      <c r="P19" s="34" t="s">
        <v>17</v>
      </c>
      <c r="Q19" s="34" t="s">
        <v>36</v>
      </c>
      <c r="R19" s="34">
        <v>0</v>
      </c>
      <c r="S19" s="34" t="s">
        <v>36</v>
      </c>
      <c r="T19" s="34" t="s">
        <v>36</v>
      </c>
      <c r="U19" s="34" t="s">
        <v>36</v>
      </c>
      <c r="V19" s="34" t="s">
        <v>36</v>
      </c>
      <c r="W19" s="34" t="s">
        <v>36</v>
      </c>
      <c r="X19" s="34" t="s">
        <v>36</v>
      </c>
      <c r="Y19" s="34" t="s">
        <v>36</v>
      </c>
      <c r="Z19" s="34" t="s">
        <v>36</v>
      </c>
      <c r="AA19" s="34" t="s">
        <v>36</v>
      </c>
      <c r="AB19" s="34" t="s">
        <v>36</v>
      </c>
      <c r="AC19" s="34" t="s">
        <v>36</v>
      </c>
      <c r="AD19" s="34" t="s">
        <v>36</v>
      </c>
      <c r="AE19" s="34" t="s">
        <v>36</v>
      </c>
      <c r="AF19" s="34" t="s">
        <v>36</v>
      </c>
      <c r="AG19" s="34" t="s">
        <v>36</v>
      </c>
      <c r="AH19" s="34" t="s">
        <v>36</v>
      </c>
      <c r="AI19" s="34" t="s">
        <v>36</v>
      </c>
      <c r="AJ19" s="34" t="s">
        <v>36</v>
      </c>
      <c r="AK19" s="34" t="s">
        <v>36</v>
      </c>
      <c r="AL19" s="34"/>
      <c r="AM19" s="34" t="s">
        <v>36</v>
      </c>
    </row>
    <row r="20" spans="1:39" ht="14.4" customHeight="1" x14ac:dyDescent="0.3">
      <c r="A20" s="203">
        <v>1013750</v>
      </c>
      <c r="B20" s="34">
        <v>1012099</v>
      </c>
      <c r="C20" s="34" t="s">
        <v>2127</v>
      </c>
      <c r="D20" s="34" t="s">
        <v>1842</v>
      </c>
      <c r="E20" s="34" t="s">
        <v>28</v>
      </c>
      <c r="F20" s="34">
        <v>29</v>
      </c>
      <c r="G20" s="34" t="s">
        <v>47</v>
      </c>
      <c r="H20" s="34" t="s">
        <v>36</v>
      </c>
      <c r="I20" s="34" t="s">
        <v>38</v>
      </c>
      <c r="J20" s="34" t="s">
        <v>36</v>
      </c>
      <c r="K20" s="34" t="s">
        <v>1412</v>
      </c>
      <c r="L20" s="34" t="s">
        <v>104</v>
      </c>
      <c r="M20" s="34" t="s">
        <v>1419</v>
      </c>
      <c r="N20" s="34" t="s">
        <v>117</v>
      </c>
      <c r="O20" s="34">
        <v>1013750</v>
      </c>
      <c r="P20" s="34" t="s">
        <v>949</v>
      </c>
      <c r="Q20" s="34">
        <v>0</v>
      </c>
      <c r="R20" s="34">
        <v>4</v>
      </c>
      <c r="S20" s="34">
        <v>0</v>
      </c>
      <c r="T20" s="34">
        <v>0</v>
      </c>
      <c r="U20" s="34">
        <v>0</v>
      </c>
      <c r="V20" s="34">
        <v>0</v>
      </c>
      <c r="W20" s="34">
        <v>23</v>
      </c>
      <c r="X20" s="34">
        <v>0</v>
      </c>
      <c r="Y20" s="34">
        <v>0</v>
      </c>
      <c r="Z20" s="34">
        <v>0</v>
      </c>
      <c r="AA20" s="34">
        <v>0</v>
      </c>
      <c r="AB20" s="34">
        <v>0</v>
      </c>
      <c r="AC20" s="34">
        <v>2</v>
      </c>
      <c r="AD20" s="34">
        <v>2</v>
      </c>
      <c r="AE20" s="34">
        <v>0</v>
      </c>
      <c r="AF20" s="34">
        <v>0</v>
      </c>
      <c r="AG20" s="34">
        <v>2</v>
      </c>
      <c r="AH20" s="34">
        <v>0</v>
      </c>
      <c r="AI20" s="34">
        <v>0</v>
      </c>
      <c r="AJ20" s="34">
        <v>29</v>
      </c>
      <c r="AK20" s="34">
        <v>0</v>
      </c>
      <c r="AL20" s="34"/>
      <c r="AM20" s="34" t="s">
        <v>40</v>
      </c>
    </row>
    <row r="21" spans="1:39" ht="14.4" customHeight="1" x14ac:dyDescent="0.3">
      <c r="A21" s="203">
        <v>1013657</v>
      </c>
      <c r="B21" s="34">
        <v>262134</v>
      </c>
      <c r="C21" s="34" t="s">
        <v>2029</v>
      </c>
      <c r="D21" s="34" t="s">
        <v>1842</v>
      </c>
      <c r="E21" s="34" t="s">
        <v>28</v>
      </c>
      <c r="F21" s="34">
        <v>85</v>
      </c>
      <c r="G21" s="34" t="s">
        <v>47</v>
      </c>
      <c r="H21" s="34" t="s">
        <v>36</v>
      </c>
      <c r="I21" s="34" t="s">
        <v>38</v>
      </c>
      <c r="J21" s="34" t="s">
        <v>36</v>
      </c>
      <c r="K21" s="34" t="s">
        <v>1412</v>
      </c>
      <c r="L21" s="34" t="s">
        <v>104</v>
      </c>
      <c r="M21" s="34" t="s">
        <v>1419</v>
      </c>
      <c r="N21" s="34" t="s">
        <v>117</v>
      </c>
      <c r="O21" s="34">
        <v>1013657</v>
      </c>
      <c r="P21" s="34" t="s">
        <v>948</v>
      </c>
      <c r="Q21" s="34">
        <v>0</v>
      </c>
      <c r="R21" s="34">
        <v>2</v>
      </c>
      <c r="S21" s="34">
        <v>0</v>
      </c>
      <c r="T21" s="34">
        <v>0</v>
      </c>
      <c r="U21" s="34">
        <v>0</v>
      </c>
      <c r="V21" s="34">
        <v>0</v>
      </c>
      <c r="W21" s="34">
        <v>5</v>
      </c>
      <c r="X21" s="34">
        <v>0</v>
      </c>
      <c r="Y21" s="34">
        <v>0</v>
      </c>
      <c r="Z21" s="34">
        <v>0</v>
      </c>
      <c r="AA21" s="34">
        <v>80</v>
      </c>
      <c r="AB21" s="34">
        <v>0</v>
      </c>
      <c r="AC21" s="34">
        <v>0</v>
      </c>
      <c r="AD21" s="34">
        <v>0</v>
      </c>
      <c r="AE21" s="34">
        <v>0</v>
      </c>
      <c r="AF21" s="34">
        <v>0</v>
      </c>
      <c r="AG21" s="34">
        <v>0</v>
      </c>
      <c r="AH21" s="34">
        <v>0</v>
      </c>
      <c r="AI21" s="34">
        <v>0</v>
      </c>
      <c r="AJ21" s="34">
        <v>85</v>
      </c>
      <c r="AK21" s="34">
        <v>0</v>
      </c>
      <c r="AL21" s="34"/>
      <c r="AM21" s="34" t="s">
        <v>40</v>
      </c>
    </row>
    <row r="22" spans="1:39" ht="14.4" customHeight="1" x14ac:dyDescent="0.3">
      <c r="A22" s="203">
        <v>1013534</v>
      </c>
      <c r="B22" s="34">
        <v>262134</v>
      </c>
      <c r="C22" s="34" t="s">
        <v>2017</v>
      </c>
      <c r="D22" s="34" t="s">
        <v>1842</v>
      </c>
      <c r="E22" s="34" t="s">
        <v>28</v>
      </c>
      <c r="F22" s="34">
        <v>239</v>
      </c>
      <c r="G22" s="34" t="s">
        <v>47</v>
      </c>
      <c r="H22" s="34" t="s">
        <v>36</v>
      </c>
      <c r="I22" s="34" t="s">
        <v>38</v>
      </c>
      <c r="J22" s="34" t="s">
        <v>41</v>
      </c>
      <c r="K22" s="34" t="s">
        <v>1412</v>
      </c>
      <c r="L22" s="34" t="s">
        <v>104</v>
      </c>
      <c r="M22" s="34" t="s">
        <v>1419</v>
      </c>
      <c r="N22" s="34" t="s">
        <v>117</v>
      </c>
      <c r="O22" s="34">
        <v>1013534</v>
      </c>
      <c r="P22" s="34" t="s">
        <v>949</v>
      </c>
      <c r="Q22" s="34">
        <v>0</v>
      </c>
      <c r="R22" s="34">
        <v>5</v>
      </c>
      <c r="S22" s="34">
        <v>0</v>
      </c>
      <c r="T22" s="34">
        <v>0</v>
      </c>
      <c r="U22" s="34">
        <v>0</v>
      </c>
      <c r="V22" s="34">
        <v>0</v>
      </c>
      <c r="W22" s="34">
        <v>211</v>
      </c>
      <c r="X22" s="34">
        <v>0</v>
      </c>
      <c r="Y22" s="34">
        <v>2</v>
      </c>
      <c r="Z22" s="34">
        <v>0</v>
      </c>
      <c r="AA22" s="34">
        <v>0</v>
      </c>
      <c r="AB22" s="34">
        <v>0</v>
      </c>
      <c r="AC22" s="34">
        <v>10</v>
      </c>
      <c r="AD22" s="34">
        <v>9</v>
      </c>
      <c r="AE22" s="34">
        <v>0</v>
      </c>
      <c r="AF22" s="34">
        <v>0</v>
      </c>
      <c r="AG22" s="34">
        <v>7</v>
      </c>
      <c r="AH22" s="34">
        <v>0</v>
      </c>
      <c r="AI22" s="34">
        <v>0</v>
      </c>
      <c r="AJ22" s="34">
        <v>239</v>
      </c>
      <c r="AK22" s="34">
        <v>0</v>
      </c>
      <c r="AL22" s="34"/>
      <c r="AM22" s="34" t="s">
        <v>1762</v>
      </c>
    </row>
    <row r="23" spans="1:39" ht="14.4" customHeight="1" x14ac:dyDescent="0.3">
      <c r="A23" s="203">
        <v>1013496</v>
      </c>
      <c r="B23" s="34">
        <v>243422</v>
      </c>
      <c r="C23" s="34" t="s">
        <v>2006</v>
      </c>
      <c r="D23" s="34" t="s">
        <v>1321</v>
      </c>
      <c r="E23" s="34" t="s">
        <v>28</v>
      </c>
      <c r="F23" s="34">
        <v>5</v>
      </c>
      <c r="G23" s="34" t="s">
        <v>105</v>
      </c>
      <c r="H23" s="34" t="s">
        <v>36</v>
      </c>
      <c r="I23" s="34" t="s">
        <v>38</v>
      </c>
      <c r="J23" s="34" t="s">
        <v>36</v>
      </c>
      <c r="K23" s="34" t="s">
        <v>1412</v>
      </c>
      <c r="L23" s="34" t="s">
        <v>104</v>
      </c>
      <c r="M23" s="34" t="s">
        <v>1419</v>
      </c>
      <c r="N23" s="34" t="s">
        <v>117</v>
      </c>
      <c r="O23" s="34">
        <v>1013496</v>
      </c>
      <c r="P23" s="34" t="s">
        <v>15</v>
      </c>
      <c r="Q23" s="34">
        <v>0</v>
      </c>
      <c r="R23" s="34">
        <v>1</v>
      </c>
      <c r="S23" s="34">
        <v>0</v>
      </c>
      <c r="T23" s="34">
        <v>0</v>
      </c>
      <c r="U23" s="34">
        <v>0</v>
      </c>
      <c r="V23" s="34">
        <v>0</v>
      </c>
      <c r="W23" s="34">
        <v>0</v>
      </c>
      <c r="X23" s="34">
        <v>0</v>
      </c>
      <c r="Y23" s="34">
        <v>0</v>
      </c>
      <c r="Z23" s="34">
        <v>0</v>
      </c>
      <c r="AA23" s="34">
        <v>0</v>
      </c>
      <c r="AB23" s="34">
        <v>5</v>
      </c>
      <c r="AC23" s="34">
        <v>0</v>
      </c>
      <c r="AD23" s="34">
        <v>0</v>
      </c>
      <c r="AE23" s="34">
        <v>0</v>
      </c>
      <c r="AF23" s="34">
        <v>0</v>
      </c>
      <c r="AG23" s="34">
        <v>0</v>
      </c>
      <c r="AH23" s="34">
        <v>0</v>
      </c>
      <c r="AI23" s="34">
        <v>0</v>
      </c>
      <c r="AJ23" s="34">
        <v>5</v>
      </c>
      <c r="AK23" s="34">
        <v>0</v>
      </c>
      <c r="AL23" s="34"/>
      <c r="AM23" s="34" t="s">
        <v>40</v>
      </c>
    </row>
    <row r="24" spans="1:39" ht="14.4" customHeight="1" x14ac:dyDescent="0.3">
      <c r="A24" s="203">
        <v>1013452</v>
      </c>
      <c r="B24" s="34">
        <v>1006483</v>
      </c>
      <c r="C24" s="34" t="s">
        <v>2328</v>
      </c>
      <c r="D24" s="34" t="s">
        <v>1866</v>
      </c>
      <c r="E24" s="34" t="s">
        <v>28</v>
      </c>
      <c r="F24" s="34">
        <v>90</v>
      </c>
      <c r="G24" s="34" t="s">
        <v>582</v>
      </c>
      <c r="H24" s="34" t="s">
        <v>36</v>
      </c>
      <c r="I24" s="34" t="s">
        <v>1869</v>
      </c>
      <c r="J24" s="34" t="s">
        <v>36</v>
      </c>
      <c r="K24" s="34" t="s">
        <v>1412</v>
      </c>
      <c r="L24" s="34" t="s">
        <v>104</v>
      </c>
      <c r="M24" s="34" t="s">
        <v>1419</v>
      </c>
      <c r="N24" s="34" t="s">
        <v>117</v>
      </c>
      <c r="O24" s="34">
        <v>1013452</v>
      </c>
      <c r="P24" s="34" t="s">
        <v>943</v>
      </c>
      <c r="Q24" s="34">
        <v>0</v>
      </c>
      <c r="R24" s="34">
        <v>3</v>
      </c>
      <c r="S24" s="34">
        <v>0</v>
      </c>
      <c r="T24" s="34">
        <v>0</v>
      </c>
      <c r="U24" s="34">
        <v>0</v>
      </c>
      <c r="V24" s="34">
        <v>1</v>
      </c>
      <c r="W24" s="34">
        <v>0</v>
      </c>
      <c r="X24" s="34">
        <v>34</v>
      </c>
      <c r="Y24" s="34">
        <v>0</v>
      </c>
      <c r="Z24" s="34">
        <v>0</v>
      </c>
      <c r="AA24" s="34">
        <v>0</v>
      </c>
      <c r="AB24" s="34">
        <v>1</v>
      </c>
      <c r="AC24" s="34">
        <v>0</v>
      </c>
      <c r="AD24" s="34">
        <v>0</v>
      </c>
      <c r="AE24" s="34">
        <v>0</v>
      </c>
      <c r="AF24" s="34">
        <v>0</v>
      </c>
      <c r="AG24" s="34">
        <v>0</v>
      </c>
      <c r="AH24" s="34">
        <v>0</v>
      </c>
      <c r="AI24" s="34">
        <v>0</v>
      </c>
      <c r="AJ24" s="34">
        <v>36</v>
      </c>
      <c r="AK24" s="34">
        <v>56</v>
      </c>
      <c r="AL24" s="34"/>
      <c r="AM24" s="34" t="s">
        <v>33</v>
      </c>
    </row>
    <row r="25" spans="1:39" ht="14.4" customHeight="1" x14ac:dyDescent="0.3">
      <c r="A25" s="203">
        <v>1013234</v>
      </c>
      <c r="B25" s="34">
        <v>388154</v>
      </c>
      <c r="C25" s="34" t="s">
        <v>2018</v>
      </c>
      <c r="D25" s="34" t="s">
        <v>1321</v>
      </c>
      <c r="E25" s="34" t="s">
        <v>2020</v>
      </c>
      <c r="F25" s="34">
        <v>56</v>
      </c>
      <c r="G25" s="34" t="s">
        <v>1575</v>
      </c>
      <c r="H25" s="34" t="s">
        <v>36</v>
      </c>
      <c r="I25" s="34" t="s">
        <v>38</v>
      </c>
      <c r="J25" s="34" t="s">
        <v>36</v>
      </c>
      <c r="K25" s="34" t="s">
        <v>1412</v>
      </c>
      <c r="L25" s="34" t="s">
        <v>104</v>
      </c>
      <c r="M25" s="34" t="s">
        <v>1419</v>
      </c>
      <c r="N25" s="34" t="s">
        <v>117</v>
      </c>
      <c r="O25" s="34">
        <v>1013234</v>
      </c>
      <c r="P25" s="34" t="s">
        <v>15</v>
      </c>
      <c r="Q25" s="34">
        <v>0</v>
      </c>
      <c r="R25" s="34">
        <v>2</v>
      </c>
      <c r="S25" s="34">
        <v>0</v>
      </c>
      <c r="T25" s="34">
        <v>0</v>
      </c>
      <c r="U25" s="34">
        <v>0</v>
      </c>
      <c r="V25" s="34">
        <v>0</v>
      </c>
      <c r="W25" s="34">
        <v>0</v>
      </c>
      <c r="X25" s="34">
        <v>0</v>
      </c>
      <c r="Y25" s="34">
        <v>0</v>
      </c>
      <c r="Z25" s="34">
        <v>0</v>
      </c>
      <c r="AA25" s="34">
        <v>0</v>
      </c>
      <c r="AB25" s="34">
        <v>8</v>
      </c>
      <c r="AC25" s="34">
        <v>48</v>
      </c>
      <c r="AD25" s="34">
        <v>0</v>
      </c>
      <c r="AE25" s="34">
        <v>0</v>
      </c>
      <c r="AF25" s="34">
        <v>0</v>
      </c>
      <c r="AG25" s="34">
        <v>0</v>
      </c>
      <c r="AH25" s="34">
        <v>0</v>
      </c>
      <c r="AI25" s="34">
        <v>0</v>
      </c>
      <c r="AJ25" s="34">
        <v>56</v>
      </c>
      <c r="AK25" s="34">
        <v>0</v>
      </c>
      <c r="AL25" s="34"/>
      <c r="AM25" s="34" t="s">
        <v>40</v>
      </c>
    </row>
    <row r="26" spans="1:39" ht="14.4" customHeight="1" x14ac:dyDescent="0.3">
      <c r="A26" s="203">
        <v>1013136</v>
      </c>
      <c r="B26" s="34">
        <v>245573</v>
      </c>
      <c r="C26" s="34" t="s">
        <v>2241</v>
      </c>
      <c r="D26" s="34" t="s">
        <v>1866</v>
      </c>
      <c r="E26" s="34" t="s">
        <v>28</v>
      </c>
      <c r="F26" s="34">
        <v>106</v>
      </c>
      <c r="G26" s="34" t="s">
        <v>1009</v>
      </c>
      <c r="H26" s="34" t="s">
        <v>36</v>
      </c>
      <c r="I26" s="34" t="s">
        <v>979</v>
      </c>
      <c r="J26" s="34" t="s">
        <v>36</v>
      </c>
      <c r="K26" s="34" t="s">
        <v>1412</v>
      </c>
      <c r="L26" s="34" t="s">
        <v>104</v>
      </c>
      <c r="M26" s="34" t="s">
        <v>1419</v>
      </c>
      <c r="N26" s="34" t="s">
        <v>117</v>
      </c>
      <c r="O26" s="34">
        <v>1013136</v>
      </c>
      <c r="P26" s="34" t="s">
        <v>554</v>
      </c>
      <c r="Q26" s="34">
        <v>6</v>
      </c>
      <c r="R26" s="34">
        <v>1</v>
      </c>
      <c r="S26" s="34">
        <v>0</v>
      </c>
      <c r="T26" s="34">
        <v>0</v>
      </c>
      <c r="U26" s="34">
        <v>0</v>
      </c>
      <c r="V26" s="34">
        <v>0</v>
      </c>
      <c r="W26" s="34">
        <v>0</v>
      </c>
      <c r="X26" s="34">
        <v>0</v>
      </c>
      <c r="Y26" s="34">
        <v>0</v>
      </c>
      <c r="Z26" s="34">
        <v>0</v>
      </c>
      <c r="AA26" s="34">
        <v>0</v>
      </c>
      <c r="AB26" s="34">
        <v>0</v>
      </c>
      <c r="AC26" s="34">
        <v>0</v>
      </c>
      <c r="AD26" s="34">
        <v>0</v>
      </c>
      <c r="AE26" s="34">
        <v>0</v>
      </c>
      <c r="AF26" s="34">
        <v>0</v>
      </c>
      <c r="AG26" s="34">
        <v>103</v>
      </c>
      <c r="AH26" s="34">
        <v>0</v>
      </c>
      <c r="AI26" s="34">
        <v>0</v>
      </c>
      <c r="AJ26" s="34">
        <v>103</v>
      </c>
      <c r="AK26" s="34">
        <v>5</v>
      </c>
      <c r="AL26" s="34"/>
      <c r="AM26" s="34" t="s">
        <v>33</v>
      </c>
    </row>
    <row r="27" spans="1:39" ht="14.4" customHeight="1" x14ac:dyDescent="0.3">
      <c r="A27" s="203">
        <v>1013114</v>
      </c>
      <c r="B27" s="34">
        <v>1002345</v>
      </c>
      <c r="C27" s="34" t="s">
        <v>1972</v>
      </c>
      <c r="D27" s="34" t="s">
        <v>886</v>
      </c>
      <c r="E27" s="34" t="s">
        <v>28</v>
      </c>
      <c r="F27" s="34" t="s">
        <v>36</v>
      </c>
      <c r="G27" s="34" t="s">
        <v>170</v>
      </c>
      <c r="H27" s="34" t="s">
        <v>635</v>
      </c>
      <c r="I27" s="34" t="s">
        <v>36</v>
      </c>
      <c r="J27" s="34" t="s">
        <v>36</v>
      </c>
      <c r="K27" s="34" t="s">
        <v>36</v>
      </c>
      <c r="L27" s="34" t="s">
        <v>1420</v>
      </c>
      <c r="M27" s="34" t="s">
        <v>1421</v>
      </c>
      <c r="N27" s="34" t="s">
        <v>72</v>
      </c>
      <c r="O27" s="34">
        <v>1002345</v>
      </c>
      <c r="P27" s="34" t="s">
        <v>943</v>
      </c>
      <c r="Q27" s="34" t="s">
        <v>36</v>
      </c>
      <c r="R27" s="34">
        <v>0</v>
      </c>
      <c r="S27" s="34" t="s">
        <v>36</v>
      </c>
      <c r="T27" s="34" t="s">
        <v>36</v>
      </c>
      <c r="U27" s="34" t="s">
        <v>36</v>
      </c>
      <c r="V27" s="34" t="s">
        <v>36</v>
      </c>
      <c r="W27" s="34" t="s">
        <v>36</v>
      </c>
      <c r="X27" s="34" t="s">
        <v>36</v>
      </c>
      <c r="Y27" s="34" t="s">
        <v>36</v>
      </c>
      <c r="Z27" s="34" t="s">
        <v>36</v>
      </c>
      <c r="AA27" s="34" t="s">
        <v>36</v>
      </c>
      <c r="AB27" s="34" t="s">
        <v>36</v>
      </c>
      <c r="AC27" s="34" t="s">
        <v>36</v>
      </c>
      <c r="AD27" s="34" t="s">
        <v>36</v>
      </c>
      <c r="AE27" s="34" t="s">
        <v>36</v>
      </c>
      <c r="AF27" s="34" t="s">
        <v>36</v>
      </c>
      <c r="AG27" s="34" t="s">
        <v>36</v>
      </c>
      <c r="AH27" s="34" t="s">
        <v>36</v>
      </c>
      <c r="AI27" s="34" t="s">
        <v>36</v>
      </c>
      <c r="AJ27" s="34" t="s">
        <v>36</v>
      </c>
      <c r="AK27" s="34" t="s">
        <v>36</v>
      </c>
      <c r="AL27" s="34"/>
      <c r="AM27" s="34" t="s">
        <v>36</v>
      </c>
    </row>
    <row r="28" spans="1:39" ht="14.4" customHeight="1" x14ac:dyDescent="0.3">
      <c r="A28" s="203">
        <v>1012996</v>
      </c>
      <c r="B28" s="34">
        <v>243505</v>
      </c>
      <c r="C28" s="34" t="s">
        <v>1964</v>
      </c>
      <c r="D28" s="34" t="s">
        <v>1321</v>
      </c>
      <c r="E28" s="34" t="s">
        <v>28</v>
      </c>
      <c r="F28" s="34">
        <v>28</v>
      </c>
      <c r="G28" s="34" t="s">
        <v>981</v>
      </c>
      <c r="H28" s="34" t="s">
        <v>36</v>
      </c>
      <c r="I28" s="34" t="s">
        <v>38</v>
      </c>
      <c r="J28" s="34" t="s">
        <v>36</v>
      </c>
      <c r="K28" s="34" t="s">
        <v>1414</v>
      </c>
      <c r="L28" s="34" t="s">
        <v>1431</v>
      </c>
      <c r="M28" s="34" t="s">
        <v>1419</v>
      </c>
      <c r="N28" s="34" t="s">
        <v>117</v>
      </c>
      <c r="O28" s="34">
        <v>1012996</v>
      </c>
      <c r="P28" s="34" t="s">
        <v>18</v>
      </c>
      <c r="Q28" s="34">
        <v>0</v>
      </c>
      <c r="R28" s="34">
        <v>1</v>
      </c>
      <c r="S28" s="34">
        <v>0</v>
      </c>
      <c r="T28" s="34">
        <v>0</v>
      </c>
      <c r="U28" s="34">
        <v>0</v>
      </c>
      <c r="V28" s="34">
        <v>0</v>
      </c>
      <c r="W28" s="34">
        <v>0</v>
      </c>
      <c r="X28" s="34">
        <v>0</v>
      </c>
      <c r="Y28" s="34">
        <v>0</v>
      </c>
      <c r="Z28" s="34">
        <v>0</v>
      </c>
      <c r="AA28" s="34">
        <v>0</v>
      </c>
      <c r="AB28" s="34">
        <v>0</v>
      </c>
      <c r="AC28" s="34">
        <v>0</v>
      </c>
      <c r="AD28" s="34">
        <v>0</v>
      </c>
      <c r="AE28" s="34">
        <v>28</v>
      </c>
      <c r="AF28" s="34">
        <v>0</v>
      </c>
      <c r="AG28" s="34">
        <v>0</v>
      </c>
      <c r="AH28" s="34">
        <v>0</v>
      </c>
      <c r="AI28" s="34">
        <v>0</v>
      </c>
      <c r="AJ28" s="34">
        <v>28</v>
      </c>
      <c r="AK28" s="34">
        <v>0</v>
      </c>
      <c r="AL28" s="34"/>
      <c r="AM28" s="34" t="s">
        <v>40</v>
      </c>
    </row>
    <row r="29" spans="1:39" ht="14.4" customHeight="1" x14ac:dyDescent="0.3">
      <c r="A29" s="203">
        <v>1012862</v>
      </c>
      <c r="B29" s="34">
        <v>342054</v>
      </c>
      <c r="C29" s="34" t="s">
        <v>1969</v>
      </c>
      <c r="D29" s="34" t="s">
        <v>857</v>
      </c>
      <c r="E29" s="34" t="s">
        <v>28</v>
      </c>
      <c r="F29" s="34" t="s">
        <v>36</v>
      </c>
      <c r="G29" s="34" t="s">
        <v>1391</v>
      </c>
      <c r="H29" s="34" t="s">
        <v>222</v>
      </c>
      <c r="I29" s="34" t="s">
        <v>36</v>
      </c>
      <c r="J29" s="34" t="s">
        <v>36</v>
      </c>
      <c r="K29" s="34" t="s">
        <v>36</v>
      </c>
      <c r="L29" s="34" t="s">
        <v>1420</v>
      </c>
      <c r="M29" s="34" t="s">
        <v>1421</v>
      </c>
      <c r="N29" s="34" t="s">
        <v>72</v>
      </c>
      <c r="O29" s="34">
        <v>342054</v>
      </c>
      <c r="P29" s="34" t="s">
        <v>943</v>
      </c>
      <c r="Q29" s="34" t="s">
        <v>36</v>
      </c>
      <c r="R29" s="34">
        <v>0</v>
      </c>
      <c r="S29" s="34" t="s">
        <v>36</v>
      </c>
      <c r="T29" s="34" t="s">
        <v>36</v>
      </c>
      <c r="U29" s="34" t="s">
        <v>36</v>
      </c>
      <c r="V29" s="34" t="s">
        <v>36</v>
      </c>
      <c r="W29" s="34" t="s">
        <v>36</v>
      </c>
      <c r="X29" s="34" t="s">
        <v>36</v>
      </c>
      <c r="Y29" s="34" t="s">
        <v>36</v>
      </c>
      <c r="Z29" s="34" t="s">
        <v>36</v>
      </c>
      <c r="AA29" s="34" t="s">
        <v>36</v>
      </c>
      <c r="AB29" s="34" t="s">
        <v>36</v>
      </c>
      <c r="AC29" s="34" t="s">
        <v>36</v>
      </c>
      <c r="AD29" s="34" t="s">
        <v>36</v>
      </c>
      <c r="AE29" s="34" t="s">
        <v>36</v>
      </c>
      <c r="AF29" s="34" t="s">
        <v>36</v>
      </c>
      <c r="AG29" s="34" t="s">
        <v>36</v>
      </c>
      <c r="AH29" s="34" t="s">
        <v>36</v>
      </c>
      <c r="AI29" s="34" t="s">
        <v>36</v>
      </c>
      <c r="AJ29" s="34" t="s">
        <v>36</v>
      </c>
      <c r="AK29" s="34" t="s">
        <v>36</v>
      </c>
      <c r="AL29" s="34"/>
      <c r="AM29" s="34" t="s">
        <v>36</v>
      </c>
    </row>
    <row r="30" spans="1:39" ht="14.4" customHeight="1" x14ac:dyDescent="0.3">
      <c r="A30" s="203">
        <v>1012748</v>
      </c>
      <c r="B30" s="34">
        <v>368857</v>
      </c>
      <c r="C30" s="34" t="s">
        <v>2007</v>
      </c>
      <c r="D30" s="34" t="s">
        <v>1866</v>
      </c>
      <c r="E30" s="34" t="s">
        <v>28</v>
      </c>
      <c r="F30" s="34">
        <v>174</v>
      </c>
      <c r="G30" s="34" t="s">
        <v>54</v>
      </c>
      <c r="H30" s="34" t="s">
        <v>36</v>
      </c>
      <c r="I30" s="34" t="s">
        <v>38</v>
      </c>
      <c r="J30" s="34" t="s">
        <v>36</v>
      </c>
      <c r="K30" s="34" t="s">
        <v>1412</v>
      </c>
      <c r="L30" s="34" t="s">
        <v>104</v>
      </c>
      <c r="M30" s="34" t="s">
        <v>1419</v>
      </c>
      <c r="N30" s="34" t="s">
        <v>117</v>
      </c>
      <c r="O30" s="34">
        <v>1012748</v>
      </c>
      <c r="P30" s="34" t="s">
        <v>15</v>
      </c>
      <c r="Q30" s="34">
        <v>0</v>
      </c>
      <c r="R30" s="34">
        <v>6</v>
      </c>
      <c r="S30" s="34">
        <v>0</v>
      </c>
      <c r="T30" s="34">
        <v>0</v>
      </c>
      <c r="U30" s="34">
        <v>9</v>
      </c>
      <c r="V30" s="34">
        <v>0</v>
      </c>
      <c r="W30" s="34">
        <v>0</v>
      </c>
      <c r="X30" s="34">
        <v>10</v>
      </c>
      <c r="Y30" s="34">
        <v>5</v>
      </c>
      <c r="Z30" s="34">
        <v>5</v>
      </c>
      <c r="AA30" s="34">
        <v>0</v>
      </c>
      <c r="AB30" s="34">
        <v>98</v>
      </c>
      <c r="AC30" s="34">
        <v>14</v>
      </c>
      <c r="AD30" s="34">
        <v>0</v>
      </c>
      <c r="AE30" s="34">
        <v>0</v>
      </c>
      <c r="AF30" s="34">
        <v>0</v>
      </c>
      <c r="AG30" s="34">
        <v>0</v>
      </c>
      <c r="AH30" s="34">
        <v>0</v>
      </c>
      <c r="AI30" s="34">
        <v>0</v>
      </c>
      <c r="AJ30" s="34">
        <v>141</v>
      </c>
      <c r="AK30" s="34">
        <v>19</v>
      </c>
      <c r="AL30" s="34"/>
      <c r="AM30" s="34" t="s">
        <v>33</v>
      </c>
    </row>
    <row r="31" spans="1:39" ht="14.4" customHeight="1" x14ac:dyDescent="0.3">
      <c r="A31" s="203">
        <v>1012588</v>
      </c>
      <c r="B31" s="34">
        <v>262146</v>
      </c>
      <c r="C31" s="34" t="s">
        <v>1956</v>
      </c>
      <c r="D31" s="34" t="s">
        <v>1866</v>
      </c>
      <c r="E31" s="34" t="s">
        <v>28</v>
      </c>
      <c r="F31" s="34">
        <v>10</v>
      </c>
      <c r="G31" s="34" t="s">
        <v>1959</v>
      </c>
      <c r="H31" s="34" t="s">
        <v>36</v>
      </c>
      <c r="I31" s="34" t="s">
        <v>38</v>
      </c>
      <c r="J31" s="34" t="s">
        <v>36</v>
      </c>
      <c r="K31" s="34" t="s">
        <v>1412</v>
      </c>
      <c r="L31" s="34" t="s">
        <v>104</v>
      </c>
      <c r="M31" s="34" t="s">
        <v>1419</v>
      </c>
      <c r="N31" s="34" t="s">
        <v>117</v>
      </c>
      <c r="O31" s="34">
        <v>1012588</v>
      </c>
      <c r="P31" s="34" t="s">
        <v>946</v>
      </c>
      <c r="Q31" s="34">
        <v>0</v>
      </c>
      <c r="R31" s="34">
        <v>1</v>
      </c>
      <c r="S31" s="34">
        <v>0</v>
      </c>
      <c r="T31" s="34">
        <v>0</v>
      </c>
      <c r="U31" s="34">
        <v>0</v>
      </c>
      <c r="V31" s="34">
        <v>0</v>
      </c>
      <c r="W31" s="34">
        <v>0</v>
      </c>
      <c r="X31" s="34">
        <v>0</v>
      </c>
      <c r="Y31" s="34">
        <v>1</v>
      </c>
      <c r="Z31" s="34">
        <v>0</v>
      </c>
      <c r="AA31" s="34">
        <v>0</v>
      </c>
      <c r="AB31" s="34">
        <v>0</v>
      </c>
      <c r="AC31" s="34">
        <v>0</v>
      </c>
      <c r="AD31" s="34">
        <v>0</v>
      </c>
      <c r="AE31" s="34">
        <v>0</v>
      </c>
      <c r="AF31" s="34">
        <v>0</v>
      </c>
      <c r="AG31" s="34">
        <v>0</v>
      </c>
      <c r="AH31" s="34">
        <v>0</v>
      </c>
      <c r="AI31" s="34">
        <v>0</v>
      </c>
      <c r="AJ31" s="34">
        <v>1</v>
      </c>
      <c r="AK31" s="34">
        <v>3</v>
      </c>
      <c r="AL31" s="34"/>
      <c r="AM31" s="34" t="s">
        <v>33</v>
      </c>
    </row>
    <row r="32" spans="1:39" ht="14.4" customHeight="1" x14ac:dyDescent="0.3">
      <c r="A32" s="203">
        <v>1012570</v>
      </c>
      <c r="B32" s="34">
        <v>262146</v>
      </c>
      <c r="C32" s="34" t="s">
        <v>1957</v>
      </c>
      <c r="D32" s="34" t="s">
        <v>1866</v>
      </c>
      <c r="E32" s="34" t="s">
        <v>28</v>
      </c>
      <c r="F32" s="34">
        <v>11</v>
      </c>
      <c r="G32" s="34" t="s">
        <v>1959</v>
      </c>
      <c r="H32" s="34" t="s">
        <v>36</v>
      </c>
      <c r="I32" s="34" t="s">
        <v>38</v>
      </c>
      <c r="J32" s="34" t="s">
        <v>36</v>
      </c>
      <c r="K32" s="34" t="s">
        <v>1412</v>
      </c>
      <c r="L32" s="34" t="s">
        <v>104</v>
      </c>
      <c r="M32" s="34" t="s">
        <v>1419</v>
      </c>
      <c r="N32" s="34" t="s">
        <v>117</v>
      </c>
      <c r="O32" s="34">
        <v>1012570</v>
      </c>
      <c r="P32" s="34" t="s">
        <v>946</v>
      </c>
      <c r="Q32" s="34">
        <v>0</v>
      </c>
      <c r="R32" s="34">
        <v>1</v>
      </c>
      <c r="S32" s="34">
        <v>0</v>
      </c>
      <c r="T32" s="34">
        <v>0</v>
      </c>
      <c r="U32" s="34">
        <v>0</v>
      </c>
      <c r="V32" s="34">
        <v>0</v>
      </c>
      <c r="W32" s="34">
        <v>0</v>
      </c>
      <c r="X32" s="34">
        <v>0</v>
      </c>
      <c r="Y32" s="34">
        <v>5</v>
      </c>
      <c r="Z32" s="34">
        <v>0</v>
      </c>
      <c r="AA32" s="34">
        <v>0</v>
      </c>
      <c r="AB32" s="34">
        <v>0</v>
      </c>
      <c r="AC32" s="34">
        <v>0</v>
      </c>
      <c r="AD32" s="34">
        <v>0</v>
      </c>
      <c r="AE32" s="34">
        <v>0</v>
      </c>
      <c r="AF32" s="34">
        <v>0</v>
      </c>
      <c r="AG32" s="34">
        <v>0</v>
      </c>
      <c r="AH32" s="34">
        <v>0</v>
      </c>
      <c r="AI32" s="34">
        <v>0</v>
      </c>
      <c r="AJ32" s="34">
        <v>5</v>
      </c>
      <c r="AK32" s="34">
        <v>0</v>
      </c>
      <c r="AL32" s="34"/>
      <c r="AM32" s="34" t="s">
        <v>33</v>
      </c>
    </row>
    <row r="33" spans="1:39" ht="14.4" customHeight="1" x14ac:dyDescent="0.3">
      <c r="A33" s="203">
        <v>1012540</v>
      </c>
      <c r="B33" s="34">
        <v>262146</v>
      </c>
      <c r="C33" s="34" t="s">
        <v>1958</v>
      </c>
      <c r="D33" s="34" t="s">
        <v>1866</v>
      </c>
      <c r="E33" s="34" t="s">
        <v>28</v>
      </c>
      <c r="F33" s="34">
        <v>21</v>
      </c>
      <c r="G33" s="34" t="s">
        <v>110</v>
      </c>
      <c r="H33" s="34" t="s">
        <v>36</v>
      </c>
      <c r="I33" s="34" t="s">
        <v>38</v>
      </c>
      <c r="J33" s="34" t="s">
        <v>36</v>
      </c>
      <c r="K33" s="34" t="s">
        <v>1412</v>
      </c>
      <c r="L33" s="34" t="s">
        <v>104</v>
      </c>
      <c r="M33" s="34" t="s">
        <v>1419</v>
      </c>
      <c r="N33" s="34" t="s">
        <v>117</v>
      </c>
      <c r="O33" s="34">
        <v>1012540</v>
      </c>
      <c r="P33" s="34" t="s">
        <v>946</v>
      </c>
      <c r="Q33" s="34">
        <v>0</v>
      </c>
      <c r="R33" s="34">
        <v>1</v>
      </c>
      <c r="S33" s="34">
        <v>0</v>
      </c>
      <c r="T33" s="34">
        <v>0</v>
      </c>
      <c r="U33" s="34">
        <v>0</v>
      </c>
      <c r="V33" s="34">
        <v>0</v>
      </c>
      <c r="W33" s="34">
        <v>0</v>
      </c>
      <c r="X33" s="34">
        <v>0</v>
      </c>
      <c r="Y33" s="34">
        <v>10</v>
      </c>
      <c r="Z33" s="34">
        <v>0</v>
      </c>
      <c r="AA33" s="34">
        <v>0</v>
      </c>
      <c r="AB33" s="34">
        <v>0</v>
      </c>
      <c r="AC33" s="34">
        <v>0</v>
      </c>
      <c r="AD33" s="34">
        <v>0</v>
      </c>
      <c r="AE33" s="34">
        <v>0</v>
      </c>
      <c r="AF33" s="34">
        <v>0</v>
      </c>
      <c r="AG33" s="34">
        <v>0</v>
      </c>
      <c r="AH33" s="34">
        <v>0</v>
      </c>
      <c r="AI33" s="34">
        <v>0</v>
      </c>
      <c r="AJ33" s="34">
        <v>10</v>
      </c>
      <c r="AK33" s="34">
        <v>11</v>
      </c>
      <c r="AL33" s="34"/>
      <c r="AM33" s="34" t="s">
        <v>33</v>
      </c>
    </row>
    <row r="34" spans="1:39" ht="14.4" customHeight="1" x14ac:dyDescent="0.3">
      <c r="A34" s="203">
        <v>1012485</v>
      </c>
      <c r="B34" s="34">
        <v>262146</v>
      </c>
      <c r="C34" s="34" t="s">
        <v>1924</v>
      </c>
      <c r="D34" s="34" t="s">
        <v>1866</v>
      </c>
      <c r="E34" s="34" t="s">
        <v>28</v>
      </c>
      <c r="F34" s="34">
        <v>22</v>
      </c>
      <c r="G34" s="34" t="s">
        <v>548</v>
      </c>
      <c r="H34" s="34" t="s">
        <v>36</v>
      </c>
      <c r="I34" s="34" t="s">
        <v>38</v>
      </c>
      <c r="J34" s="34" t="s">
        <v>36</v>
      </c>
      <c r="K34" s="34" t="s">
        <v>1414</v>
      </c>
      <c r="L34" s="34" t="s">
        <v>104</v>
      </c>
      <c r="M34" s="34" t="s">
        <v>1419</v>
      </c>
      <c r="N34" s="34" t="s">
        <v>117</v>
      </c>
      <c r="O34" s="34">
        <v>1012485</v>
      </c>
      <c r="P34" s="34" t="s">
        <v>945</v>
      </c>
      <c r="Q34" s="34">
        <v>0</v>
      </c>
      <c r="R34" s="34">
        <v>1</v>
      </c>
      <c r="S34" s="34">
        <v>0</v>
      </c>
      <c r="T34" s="34">
        <v>0</v>
      </c>
      <c r="U34" s="34">
        <v>0</v>
      </c>
      <c r="V34" s="34">
        <v>10</v>
      </c>
      <c r="W34" s="34">
        <v>0</v>
      </c>
      <c r="X34" s="34">
        <v>0</v>
      </c>
      <c r="Y34" s="34">
        <v>0</v>
      </c>
      <c r="Z34" s="34">
        <v>0</v>
      </c>
      <c r="AA34" s="34">
        <v>0</v>
      </c>
      <c r="AB34" s="34">
        <v>0</v>
      </c>
      <c r="AC34" s="34">
        <v>0</v>
      </c>
      <c r="AD34" s="34">
        <v>0</v>
      </c>
      <c r="AE34" s="34">
        <v>0</v>
      </c>
      <c r="AF34" s="34">
        <v>0</v>
      </c>
      <c r="AG34" s="34">
        <v>0</v>
      </c>
      <c r="AH34" s="34">
        <v>0</v>
      </c>
      <c r="AI34" s="34">
        <v>0</v>
      </c>
      <c r="AJ34" s="34">
        <v>10</v>
      </c>
      <c r="AK34" s="34">
        <v>0</v>
      </c>
      <c r="AL34" s="34"/>
      <c r="AM34" s="34" t="s">
        <v>33</v>
      </c>
    </row>
    <row r="35" spans="1:39" ht="14.4" customHeight="1" x14ac:dyDescent="0.3">
      <c r="A35" s="203">
        <v>1011441</v>
      </c>
      <c r="B35" s="34">
        <v>262146</v>
      </c>
      <c r="C35" s="34" t="s">
        <v>1965</v>
      </c>
      <c r="D35" s="34" t="s">
        <v>1866</v>
      </c>
      <c r="E35" s="34" t="s">
        <v>28</v>
      </c>
      <c r="F35" s="34">
        <v>11</v>
      </c>
      <c r="G35" s="34" t="s">
        <v>110</v>
      </c>
      <c r="H35" s="34" t="s">
        <v>36</v>
      </c>
      <c r="I35" s="34" t="s">
        <v>38</v>
      </c>
      <c r="J35" s="34" t="s">
        <v>36</v>
      </c>
      <c r="K35" s="34" t="s">
        <v>1412</v>
      </c>
      <c r="L35" s="34" t="s">
        <v>104</v>
      </c>
      <c r="M35" s="34" t="s">
        <v>1419</v>
      </c>
      <c r="N35" s="34" t="s">
        <v>117</v>
      </c>
      <c r="O35" s="34">
        <v>1011441</v>
      </c>
      <c r="P35" s="34" t="s">
        <v>946</v>
      </c>
      <c r="Q35" s="34">
        <v>0</v>
      </c>
      <c r="R35" s="34">
        <v>1</v>
      </c>
      <c r="S35" s="34">
        <v>0</v>
      </c>
      <c r="T35" s="34">
        <v>0</v>
      </c>
      <c r="U35" s="34">
        <v>0</v>
      </c>
      <c r="V35" s="34">
        <v>0</v>
      </c>
      <c r="W35" s="34">
        <v>0</v>
      </c>
      <c r="X35" s="34">
        <v>0</v>
      </c>
      <c r="Y35" s="34">
        <v>7</v>
      </c>
      <c r="Z35" s="34">
        <v>0</v>
      </c>
      <c r="AA35" s="34">
        <v>0</v>
      </c>
      <c r="AB35" s="34">
        <v>0</v>
      </c>
      <c r="AC35" s="34">
        <v>0</v>
      </c>
      <c r="AD35" s="34">
        <v>0</v>
      </c>
      <c r="AE35" s="34">
        <v>0</v>
      </c>
      <c r="AF35" s="34">
        <v>0</v>
      </c>
      <c r="AG35" s="34">
        <v>0</v>
      </c>
      <c r="AH35" s="34">
        <v>0</v>
      </c>
      <c r="AI35" s="34">
        <v>0</v>
      </c>
      <c r="AJ35" s="34">
        <v>7</v>
      </c>
      <c r="AK35" s="34">
        <v>0</v>
      </c>
      <c r="AL35" s="34"/>
      <c r="AM35" s="34" t="s">
        <v>33</v>
      </c>
    </row>
    <row r="36" spans="1:39" ht="14.4" customHeight="1" x14ac:dyDescent="0.3">
      <c r="A36" s="203">
        <v>1011419</v>
      </c>
      <c r="B36" s="34">
        <v>262146</v>
      </c>
      <c r="C36" s="34" t="s">
        <v>1863</v>
      </c>
      <c r="D36" s="34" t="s">
        <v>1842</v>
      </c>
      <c r="E36" s="34" t="s">
        <v>28</v>
      </c>
      <c r="F36" s="34">
        <v>10</v>
      </c>
      <c r="G36" s="34" t="s">
        <v>110</v>
      </c>
      <c r="H36" s="34" t="s">
        <v>36</v>
      </c>
      <c r="I36" s="34" t="s">
        <v>38</v>
      </c>
      <c r="J36" s="34" t="s">
        <v>41</v>
      </c>
      <c r="K36" s="34" t="s">
        <v>1414</v>
      </c>
      <c r="L36" s="34" t="s">
        <v>104</v>
      </c>
      <c r="M36" s="34" t="s">
        <v>1419</v>
      </c>
      <c r="N36" s="34" t="s">
        <v>117</v>
      </c>
      <c r="O36" s="34">
        <v>1011419</v>
      </c>
      <c r="P36" s="34" t="s">
        <v>946</v>
      </c>
      <c r="Q36" s="34">
        <v>0</v>
      </c>
      <c r="R36" s="34">
        <v>1</v>
      </c>
      <c r="S36" s="34">
        <v>0</v>
      </c>
      <c r="T36" s="34">
        <v>0</v>
      </c>
      <c r="U36" s="34">
        <v>0</v>
      </c>
      <c r="V36" s="34">
        <v>0</v>
      </c>
      <c r="W36" s="34">
        <v>0</v>
      </c>
      <c r="X36" s="34">
        <v>0</v>
      </c>
      <c r="Y36" s="34">
        <v>10</v>
      </c>
      <c r="Z36" s="34">
        <v>0</v>
      </c>
      <c r="AA36" s="34">
        <v>0</v>
      </c>
      <c r="AB36" s="34">
        <v>0</v>
      </c>
      <c r="AC36" s="34">
        <v>0</v>
      </c>
      <c r="AD36" s="34">
        <v>0</v>
      </c>
      <c r="AE36" s="34">
        <v>0</v>
      </c>
      <c r="AF36" s="34">
        <v>0</v>
      </c>
      <c r="AG36" s="34">
        <v>0</v>
      </c>
      <c r="AH36" s="34">
        <v>0</v>
      </c>
      <c r="AI36" s="34">
        <v>0</v>
      </c>
      <c r="AJ36" s="34">
        <v>10</v>
      </c>
      <c r="AK36" s="34">
        <v>0</v>
      </c>
      <c r="AL36" s="34"/>
      <c r="AM36" s="34" t="s">
        <v>40</v>
      </c>
    </row>
    <row r="37" spans="1:39" ht="14.4" customHeight="1" x14ac:dyDescent="0.3">
      <c r="A37" s="203">
        <v>1011394</v>
      </c>
      <c r="B37" s="34">
        <v>262146</v>
      </c>
      <c r="C37" s="34" t="s">
        <v>2346</v>
      </c>
      <c r="D37" s="34" t="s">
        <v>1842</v>
      </c>
      <c r="E37" s="34" t="s">
        <v>28</v>
      </c>
      <c r="F37" s="34">
        <v>10</v>
      </c>
      <c r="G37" s="34" t="s">
        <v>110</v>
      </c>
      <c r="H37" s="34" t="s">
        <v>36</v>
      </c>
      <c r="I37" s="34" t="s">
        <v>38</v>
      </c>
      <c r="J37" s="34" t="s">
        <v>36</v>
      </c>
      <c r="K37" s="34" t="s">
        <v>1414</v>
      </c>
      <c r="L37" s="34" t="s">
        <v>104</v>
      </c>
      <c r="M37" s="34" t="s">
        <v>1419</v>
      </c>
      <c r="N37" s="34" t="s">
        <v>117</v>
      </c>
      <c r="O37" s="34">
        <v>1011394</v>
      </c>
      <c r="P37" s="34" t="s">
        <v>946</v>
      </c>
      <c r="Q37" s="34">
        <v>0</v>
      </c>
      <c r="R37" s="34">
        <v>1</v>
      </c>
      <c r="S37" s="34">
        <v>0</v>
      </c>
      <c r="T37" s="34">
        <v>0</v>
      </c>
      <c r="U37" s="34">
        <v>0</v>
      </c>
      <c r="V37" s="34">
        <v>0</v>
      </c>
      <c r="W37" s="34">
        <v>0</v>
      </c>
      <c r="X37" s="34">
        <v>0</v>
      </c>
      <c r="Y37" s="34">
        <v>10</v>
      </c>
      <c r="Z37" s="34">
        <v>0</v>
      </c>
      <c r="AA37" s="34">
        <v>0</v>
      </c>
      <c r="AB37" s="34">
        <v>0</v>
      </c>
      <c r="AC37" s="34">
        <v>0</v>
      </c>
      <c r="AD37" s="34">
        <v>0</v>
      </c>
      <c r="AE37" s="34">
        <v>0</v>
      </c>
      <c r="AF37" s="34">
        <v>0</v>
      </c>
      <c r="AG37" s="34">
        <v>0</v>
      </c>
      <c r="AH37" s="34">
        <v>0</v>
      </c>
      <c r="AI37" s="34">
        <v>0</v>
      </c>
      <c r="AJ37" s="34">
        <v>10</v>
      </c>
      <c r="AK37" s="34">
        <v>0</v>
      </c>
      <c r="AL37" s="34"/>
      <c r="AM37" s="34" t="s">
        <v>40</v>
      </c>
    </row>
    <row r="38" spans="1:39" ht="14.4" customHeight="1" x14ac:dyDescent="0.3">
      <c r="A38" s="203">
        <v>1011372</v>
      </c>
      <c r="B38" s="34">
        <v>393265</v>
      </c>
      <c r="C38" s="34" t="s">
        <v>2204</v>
      </c>
      <c r="D38" s="34" t="s">
        <v>857</v>
      </c>
      <c r="E38" s="34" t="s">
        <v>28</v>
      </c>
      <c r="F38" s="34" t="s">
        <v>36</v>
      </c>
      <c r="G38" s="34" t="s">
        <v>582</v>
      </c>
      <c r="H38" s="34" t="s">
        <v>209</v>
      </c>
      <c r="I38" s="34" t="s">
        <v>851</v>
      </c>
      <c r="J38" s="34" t="s">
        <v>36</v>
      </c>
      <c r="K38" s="34" t="s">
        <v>36</v>
      </c>
      <c r="L38" s="34" t="s">
        <v>1429</v>
      </c>
      <c r="M38" s="34" t="s">
        <v>1421</v>
      </c>
      <c r="N38" s="34" t="s">
        <v>72</v>
      </c>
      <c r="O38" s="34">
        <v>393265</v>
      </c>
      <c r="P38" s="34" t="s">
        <v>943</v>
      </c>
      <c r="Q38" s="34" t="s">
        <v>36</v>
      </c>
      <c r="R38" s="34">
        <v>0</v>
      </c>
      <c r="S38" s="34" t="s">
        <v>36</v>
      </c>
      <c r="T38" s="34" t="s">
        <v>36</v>
      </c>
      <c r="U38" s="34" t="s">
        <v>36</v>
      </c>
      <c r="V38" s="34" t="s">
        <v>36</v>
      </c>
      <c r="W38" s="34" t="s">
        <v>36</v>
      </c>
      <c r="X38" s="34" t="s">
        <v>36</v>
      </c>
      <c r="Y38" s="34" t="s">
        <v>36</v>
      </c>
      <c r="Z38" s="34" t="s">
        <v>36</v>
      </c>
      <c r="AA38" s="34" t="s">
        <v>36</v>
      </c>
      <c r="AB38" s="34" t="s">
        <v>36</v>
      </c>
      <c r="AC38" s="34" t="s">
        <v>36</v>
      </c>
      <c r="AD38" s="34" t="s">
        <v>36</v>
      </c>
      <c r="AE38" s="34" t="s">
        <v>36</v>
      </c>
      <c r="AF38" s="34" t="s">
        <v>36</v>
      </c>
      <c r="AG38" s="34" t="s">
        <v>36</v>
      </c>
      <c r="AH38" s="34" t="s">
        <v>36</v>
      </c>
      <c r="AI38" s="34" t="s">
        <v>36</v>
      </c>
      <c r="AJ38" s="34" t="s">
        <v>36</v>
      </c>
      <c r="AK38" s="34" t="s">
        <v>36</v>
      </c>
      <c r="AL38" s="34"/>
      <c r="AM38" s="34" t="s">
        <v>36</v>
      </c>
    </row>
    <row r="39" spans="1:39" ht="14.4" customHeight="1" x14ac:dyDescent="0.3">
      <c r="A39" s="203">
        <v>1011368</v>
      </c>
      <c r="B39" s="34">
        <v>1015153</v>
      </c>
      <c r="C39" s="34" t="s">
        <v>2246</v>
      </c>
      <c r="D39" s="34" t="s">
        <v>972</v>
      </c>
      <c r="E39" s="34" t="s">
        <v>28</v>
      </c>
      <c r="F39" s="34" t="s">
        <v>36</v>
      </c>
      <c r="G39" s="34" t="s">
        <v>666</v>
      </c>
      <c r="H39" s="34" t="s">
        <v>810</v>
      </c>
      <c r="I39" s="34" t="s">
        <v>36</v>
      </c>
      <c r="J39" s="34" t="s">
        <v>36</v>
      </c>
      <c r="K39" s="34" t="s">
        <v>36</v>
      </c>
      <c r="L39" s="34" t="s">
        <v>1431</v>
      </c>
      <c r="M39" s="34" t="s">
        <v>1436</v>
      </c>
      <c r="N39" s="34" t="s">
        <v>72</v>
      </c>
      <c r="O39" s="34">
        <v>1015153</v>
      </c>
      <c r="P39" s="34" t="s">
        <v>950</v>
      </c>
      <c r="Q39" s="34" t="s">
        <v>36</v>
      </c>
      <c r="R39" s="34">
        <v>0</v>
      </c>
      <c r="S39" s="34" t="s">
        <v>36</v>
      </c>
      <c r="T39" s="34" t="s">
        <v>36</v>
      </c>
      <c r="U39" s="34" t="s">
        <v>36</v>
      </c>
      <c r="V39" s="34" t="s">
        <v>36</v>
      </c>
      <c r="W39" s="34" t="s">
        <v>36</v>
      </c>
      <c r="X39" s="34" t="s">
        <v>36</v>
      </c>
      <c r="Y39" s="34" t="s">
        <v>36</v>
      </c>
      <c r="Z39" s="34" t="s">
        <v>36</v>
      </c>
      <c r="AA39" s="34" t="s">
        <v>36</v>
      </c>
      <c r="AB39" s="34" t="s">
        <v>36</v>
      </c>
      <c r="AC39" s="34" t="s">
        <v>36</v>
      </c>
      <c r="AD39" s="34" t="s">
        <v>36</v>
      </c>
      <c r="AE39" s="34" t="s">
        <v>36</v>
      </c>
      <c r="AF39" s="34" t="s">
        <v>36</v>
      </c>
      <c r="AG39" s="34" t="s">
        <v>36</v>
      </c>
      <c r="AH39" s="34" t="s">
        <v>36</v>
      </c>
      <c r="AI39" s="34" t="s">
        <v>36</v>
      </c>
      <c r="AJ39" s="34" t="s">
        <v>36</v>
      </c>
      <c r="AK39" s="34" t="s">
        <v>36</v>
      </c>
      <c r="AL39" s="34"/>
      <c r="AM39" s="34" t="s">
        <v>36</v>
      </c>
    </row>
    <row r="40" spans="1:39" ht="14.4" customHeight="1" x14ac:dyDescent="0.3">
      <c r="A40" s="203">
        <v>1011295</v>
      </c>
      <c r="B40" s="34">
        <v>262146</v>
      </c>
      <c r="C40" s="34" t="s">
        <v>1864</v>
      </c>
      <c r="D40" s="34" t="s">
        <v>1842</v>
      </c>
      <c r="E40" s="34" t="s">
        <v>28</v>
      </c>
      <c r="F40" s="34">
        <v>16</v>
      </c>
      <c r="G40" s="34" t="s">
        <v>110</v>
      </c>
      <c r="H40" s="34" t="s">
        <v>36</v>
      </c>
      <c r="I40" s="34" t="s">
        <v>939</v>
      </c>
      <c r="J40" s="34" t="s">
        <v>36</v>
      </c>
      <c r="K40" s="34" t="s">
        <v>1414</v>
      </c>
      <c r="L40" s="34" t="s">
        <v>104</v>
      </c>
      <c r="M40" s="34" t="s">
        <v>1419</v>
      </c>
      <c r="N40" s="34" t="s">
        <v>117</v>
      </c>
      <c r="O40" s="34">
        <v>1011295</v>
      </c>
      <c r="P40" s="34" t="s">
        <v>946</v>
      </c>
      <c r="Q40" s="34">
        <v>1</v>
      </c>
      <c r="R40" s="34">
        <v>1</v>
      </c>
      <c r="S40" s="34">
        <v>0</v>
      </c>
      <c r="T40" s="34">
        <v>0</v>
      </c>
      <c r="U40" s="34">
        <v>0</v>
      </c>
      <c r="V40" s="34">
        <v>0</v>
      </c>
      <c r="W40" s="34">
        <v>0</v>
      </c>
      <c r="X40" s="34">
        <v>0</v>
      </c>
      <c r="Y40" s="34">
        <v>16</v>
      </c>
      <c r="Z40" s="34">
        <v>0</v>
      </c>
      <c r="AA40" s="34">
        <v>0</v>
      </c>
      <c r="AB40" s="34">
        <v>0</v>
      </c>
      <c r="AC40" s="34">
        <v>0</v>
      </c>
      <c r="AD40" s="34">
        <v>0</v>
      </c>
      <c r="AE40" s="34">
        <v>0</v>
      </c>
      <c r="AF40" s="34">
        <v>0</v>
      </c>
      <c r="AG40" s="34">
        <v>0</v>
      </c>
      <c r="AH40" s="34">
        <v>0</v>
      </c>
      <c r="AI40" s="34">
        <v>0</v>
      </c>
      <c r="AJ40" s="34">
        <v>16</v>
      </c>
      <c r="AK40" s="34">
        <v>0</v>
      </c>
      <c r="AL40" s="34"/>
      <c r="AM40" s="34" t="s">
        <v>40</v>
      </c>
    </row>
    <row r="41" spans="1:39" ht="14.4" customHeight="1" x14ac:dyDescent="0.3">
      <c r="A41" s="203">
        <v>1011150</v>
      </c>
      <c r="B41" s="34">
        <v>245568</v>
      </c>
      <c r="C41" s="34" t="s">
        <v>1839</v>
      </c>
      <c r="D41" s="34" t="s">
        <v>1842</v>
      </c>
      <c r="E41" s="34" t="s">
        <v>28</v>
      </c>
      <c r="F41" s="34">
        <v>115</v>
      </c>
      <c r="G41" s="34" t="s">
        <v>850</v>
      </c>
      <c r="H41" s="34" t="s">
        <v>36</v>
      </c>
      <c r="I41" s="34" t="s">
        <v>38</v>
      </c>
      <c r="J41" s="34" t="s">
        <v>36</v>
      </c>
      <c r="K41" s="34" t="s">
        <v>1414</v>
      </c>
      <c r="L41" s="34" t="s">
        <v>104</v>
      </c>
      <c r="M41" s="34" t="s">
        <v>1419</v>
      </c>
      <c r="N41" s="34" t="s">
        <v>117</v>
      </c>
      <c r="O41" s="34">
        <v>1011150</v>
      </c>
      <c r="P41" s="34" t="s">
        <v>17</v>
      </c>
      <c r="Q41" s="34">
        <v>0</v>
      </c>
      <c r="R41" s="34">
        <v>7</v>
      </c>
      <c r="S41" s="34">
        <v>0</v>
      </c>
      <c r="T41" s="34">
        <v>4</v>
      </c>
      <c r="U41" s="34">
        <v>0</v>
      </c>
      <c r="V41" s="34">
        <v>0</v>
      </c>
      <c r="W41" s="34">
        <v>4</v>
      </c>
      <c r="X41" s="34">
        <v>10</v>
      </c>
      <c r="Y41" s="34">
        <v>0</v>
      </c>
      <c r="Z41" s="34">
        <v>9</v>
      </c>
      <c r="AA41" s="34">
        <v>0</v>
      </c>
      <c r="AB41" s="34">
        <v>0</v>
      </c>
      <c r="AC41" s="34">
        <v>13</v>
      </c>
      <c r="AD41" s="34">
        <v>62</v>
      </c>
      <c r="AE41" s="34">
        <v>0</v>
      </c>
      <c r="AF41" s="34">
        <v>0</v>
      </c>
      <c r="AG41" s="34">
        <v>13</v>
      </c>
      <c r="AH41" s="34">
        <v>0</v>
      </c>
      <c r="AI41" s="34">
        <v>0</v>
      </c>
      <c r="AJ41" s="34">
        <v>115</v>
      </c>
      <c r="AK41" s="34">
        <v>0</v>
      </c>
      <c r="AL41" s="34"/>
      <c r="AM41" s="34" t="s">
        <v>40</v>
      </c>
    </row>
    <row r="42" spans="1:39" ht="14.4" customHeight="1" x14ac:dyDescent="0.3">
      <c r="A42" s="203">
        <v>1011129</v>
      </c>
      <c r="B42" s="34">
        <v>1013136</v>
      </c>
      <c r="C42" s="34" t="s">
        <v>2205</v>
      </c>
      <c r="D42" s="34" t="s">
        <v>857</v>
      </c>
      <c r="E42" s="34" t="s">
        <v>106</v>
      </c>
      <c r="F42" s="34" t="s">
        <v>36</v>
      </c>
      <c r="G42" s="34" t="s">
        <v>1933</v>
      </c>
      <c r="H42" s="34" t="s">
        <v>1006</v>
      </c>
      <c r="I42" s="34" t="s">
        <v>36</v>
      </c>
      <c r="J42" s="34" t="s">
        <v>36</v>
      </c>
      <c r="K42" s="34" t="s">
        <v>36</v>
      </c>
      <c r="L42" s="34" t="s">
        <v>1420</v>
      </c>
      <c r="M42" s="34" t="s">
        <v>1433</v>
      </c>
      <c r="N42" s="34" t="s">
        <v>72</v>
      </c>
      <c r="O42" s="34">
        <v>1013136</v>
      </c>
      <c r="P42" s="34" t="s">
        <v>554</v>
      </c>
      <c r="Q42" s="34" t="s">
        <v>36</v>
      </c>
      <c r="R42" s="34">
        <v>0</v>
      </c>
      <c r="S42" s="34" t="s">
        <v>36</v>
      </c>
      <c r="T42" s="34" t="s">
        <v>36</v>
      </c>
      <c r="U42" s="34" t="s">
        <v>36</v>
      </c>
      <c r="V42" s="34" t="s">
        <v>36</v>
      </c>
      <c r="W42" s="34" t="s">
        <v>36</v>
      </c>
      <c r="X42" s="34" t="s">
        <v>36</v>
      </c>
      <c r="Y42" s="34" t="s">
        <v>36</v>
      </c>
      <c r="Z42" s="34" t="s">
        <v>36</v>
      </c>
      <c r="AA42" s="34" t="s">
        <v>36</v>
      </c>
      <c r="AB42" s="34" t="s">
        <v>36</v>
      </c>
      <c r="AC42" s="34" t="s">
        <v>36</v>
      </c>
      <c r="AD42" s="34" t="s">
        <v>36</v>
      </c>
      <c r="AE42" s="34" t="s">
        <v>36</v>
      </c>
      <c r="AF42" s="34" t="s">
        <v>36</v>
      </c>
      <c r="AG42" s="34" t="s">
        <v>36</v>
      </c>
      <c r="AH42" s="34" t="s">
        <v>36</v>
      </c>
      <c r="AI42" s="34" t="s">
        <v>36</v>
      </c>
      <c r="AJ42" s="34" t="s">
        <v>36</v>
      </c>
      <c r="AK42" s="34" t="s">
        <v>36</v>
      </c>
      <c r="AL42" s="34"/>
      <c r="AM42" s="34" t="s">
        <v>36</v>
      </c>
    </row>
    <row r="43" spans="1:39" ht="14.4" customHeight="1" x14ac:dyDescent="0.3">
      <c r="A43" s="203">
        <v>1011070</v>
      </c>
      <c r="B43" s="34">
        <v>243395</v>
      </c>
      <c r="C43" s="34" t="s">
        <v>1840</v>
      </c>
      <c r="D43" s="34" t="s">
        <v>1842</v>
      </c>
      <c r="E43" s="34" t="s">
        <v>28</v>
      </c>
      <c r="F43" s="34">
        <v>62</v>
      </c>
      <c r="G43" s="34" t="s">
        <v>1132</v>
      </c>
      <c r="H43" s="34" t="s">
        <v>36</v>
      </c>
      <c r="I43" s="34" t="s">
        <v>38</v>
      </c>
      <c r="J43" s="34" t="s">
        <v>41</v>
      </c>
      <c r="K43" s="34" t="s">
        <v>1414</v>
      </c>
      <c r="L43" s="34" t="s">
        <v>104</v>
      </c>
      <c r="M43" s="34" t="s">
        <v>1419</v>
      </c>
      <c r="N43" s="34" t="s">
        <v>117</v>
      </c>
      <c r="O43" s="34">
        <v>1011070</v>
      </c>
      <c r="P43" s="34" t="s">
        <v>17</v>
      </c>
      <c r="Q43" s="34">
        <v>0</v>
      </c>
      <c r="R43" s="34">
        <v>10</v>
      </c>
      <c r="S43" s="34">
        <v>0</v>
      </c>
      <c r="T43" s="34">
        <v>4</v>
      </c>
      <c r="U43" s="34">
        <v>5</v>
      </c>
      <c r="V43" s="34">
        <v>5</v>
      </c>
      <c r="W43" s="34">
        <v>0</v>
      </c>
      <c r="X43" s="34">
        <v>10</v>
      </c>
      <c r="Y43" s="34">
        <v>5</v>
      </c>
      <c r="Z43" s="34">
        <v>4</v>
      </c>
      <c r="AA43" s="34">
        <v>0</v>
      </c>
      <c r="AB43" s="34">
        <v>4</v>
      </c>
      <c r="AC43" s="34">
        <v>10</v>
      </c>
      <c r="AD43" s="34">
        <v>5</v>
      </c>
      <c r="AE43" s="34">
        <v>0</v>
      </c>
      <c r="AF43" s="34">
        <v>0</v>
      </c>
      <c r="AG43" s="34">
        <v>10</v>
      </c>
      <c r="AH43" s="34">
        <v>0</v>
      </c>
      <c r="AI43" s="34">
        <v>0</v>
      </c>
      <c r="AJ43" s="34">
        <v>62</v>
      </c>
      <c r="AK43" s="34">
        <v>0</v>
      </c>
      <c r="AL43" s="34"/>
      <c r="AM43" s="34" t="s">
        <v>40</v>
      </c>
    </row>
    <row r="44" spans="1:39" ht="14.4" customHeight="1" x14ac:dyDescent="0.3">
      <c r="A44" s="203">
        <v>1011001</v>
      </c>
      <c r="B44" s="34">
        <v>245568</v>
      </c>
      <c r="C44" s="34" t="s">
        <v>2196</v>
      </c>
      <c r="D44" s="34" t="s">
        <v>1842</v>
      </c>
      <c r="E44" s="34" t="s">
        <v>28</v>
      </c>
      <c r="F44" s="34">
        <v>21</v>
      </c>
      <c r="G44" s="34" t="s">
        <v>745</v>
      </c>
      <c r="H44" s="34" t="s">
        <v>36</v>
      </c>
      <c r="I44" s="34" t="s">
        <v>38</v>
      </c>
      <c r="J44" s="34" t="s">
        <v>41</v>
      </c>
      <c r="K44" s="34" t="s">
        <v>1414</v>
      </c>
      <c r="L44" s="34" t="s">
        <v>104</v>
      </c>
      <c r="M44" s="34" t="s">
        <v>1419</v>
      </c>
      <c r="N44" s="34" t="s">
        <v>117</v>
      </c>
      <c r="O44" s="34">
        <v>1011001</v>
      </c>
      <c r="P44" s="34" t="s">
        <v>17</v>
      </c>
      <c r="Q44" s="34">
        <v>0</v>
      </c>
      <c r="R44" s="34">
        <v>1</v>
      </c>
      <c r="S44" s="34">
        <v>0</v>
      </c>
      <c r="T44" s="34">
        <v>0</v>
      </c>
      <c r="U44" s="34">
        <v>0</v>
      </c>
      <c r="V44" s="34">
        <v>0</v>
      </c>
      <c r="W44" s="34">
        <v>0</v>
      </c>
      <c r="X44" s="34">
        <v>0</v>
      </c>
      <c r="Y44" s="34">
        <v>0</v>
      </c>
      <c r="Z44" s="34">
        <v>0</v>
      </c>
      <c r="AA44" s="34">
        <v>0</v>
      </c>
      <c r="AB44" s="34">
        <v>0</v>
      </c>
      <c r="AC44" s="34">
        <v>0</v>
      </c>
      <c r="AD44" s="34">
        <v>21</v>
      </c>
      <c r="AE44" s="34">
        <v>0</v>
      </c>
      <c r="AF44" s="34">
        <v>0</v>
      </c>
      <c r="AG44" s="34">
        <v>0</v>
      </c>
      <c r="AH44" s="34">
        <v>0</v>
      </c>
      <c r="AI44" s="34">
        <v>0</v>
      </c>
      <c r="AJ44" s="34">
        <v>21</v>
      </c>
      <c r="AK44" s="34">
        <v>0</v>
      </c>
      <c r="AL44" s="34"/>
      <c r="AM44" s="34" t="s">
        <v>40</v>
      </c>
    </row>
    <row r="45" spans="1:39" ht="14.4" customHeight="1" x14ac:dyDescent="0.3">
      <c r="A45" s="203">
        <v>1010913</v>
      </c>
      <c r="B45" s="34">
        <v>1013136</v>
      </c>
      <c r="C45" s="34" t="s">
        <v>2206</v>
      </c>
      <c r="D45" s="34" t="s">
        <v>857</v>
      </c>
      <c r="E45" s="34" t="s">
        <v>106</v>
      </c>
      <c r="F45" s="34" t="s">
        <v>36</v>
      </c>
      <c r="G45" s="34" t="s">
        <v>768</v>
      </c>
      <c r="H45" s="34" t="s">
        <v>1006</v>
      </c>
      <c r="I45" s="34" t="s">
        <v>36</v>
      </c>
      <c r="J45" s="34" t="s">
        <v>36</v>
      </c>
      <c r="K45" s="34" t="s">
        <v>36</v>
      </c>
      <c r="L45" s="34" t="s">
        <v>1420</v>
      </c>
      <c r="M45" s="34" t="s">
        <v>1433</v>
      </c>
      <c r="N45" s="34" t="s">
        <v>72</v>
      </c>
      <c r="O45" s="34">
        <v>1013136</v>
      </c>
      <c r="P45" s="34" t="s">
        <v>554</v>
      </c>
      <c r="Q45" s="34" t="s">
        <v>36</v>
      </c>
      <c r="R45" s="34">
        <v>0</v>
      </c>
      <c r="S45" s="34" t="s">
        <v>36</v>
      </c>
      <c r="T45" s="34" t="s">
        <v>36</v>
      </c>
      <c r="U45" s="34" t="s">
        <v>36</v>
      </c>
      <c r="V45" s="34" t="s">
        <v>36</v>
      </c>
      <c r="W45" s="34" t="s">
        <v>36</v>
      </c>
      <c r="X45" s="34" t="s">
        <v>36</v>
      </c>
      <c r="Y45" s="34" t="s">
        <v>36</v>
      </c>
      <c r="Z45" s="34" t="s">
        <v>36</v>
      </c>
      <c r="AA45" s="34" t="s">
        <v>36</v>
      </c>
      <c r="AB45" s="34" t="s">
        <v>36</v>
      </c>
      <c r="AC45" s="34" t="s">
        <v>36</v>
      </c>
      <c r="AD45" s="34" t="s">
        <v>36</v>
      </c>
      <c r="AE45" s="34" t="s">
        <v>36</v>
      </c>
      <c r="AF45" s="34" t="s">
        <v>36</v>
      </c>
      <c r="AG45" s="34" t="s">
        <v>36</v>
      </c>
      <c r="AH45" s="34" t="s">
        <v>36</v>
      </c>
      <c r="AI45" s="34" t="s">
        <v>36</v>
      </c>
      <c r="AJ45" s="34" t="s">
        <v>36</v>
      </c>
      <c r="AK45" s="34" t="s">
        <v>36</v>
      </c>
      <c r="AL45" s="34"/>
      <c r="AM45" s="34" t="s">
        <v>36</v>
      </c>
    </row>
    <row r="46" spans="1:39" ht="14.4" customHeight="1" x14ac:dyDescent="0.3">
      <c r="A46" s="203">
        <v>1010907</v>
      </c>
      <c r="B46" s="34">
        <v>342054</v>
      </c>
      <c r="C46" s="34" t="s">
        <v>1846</v>
      </c>
      <c r="D46" s="34" t="s">
        <v>857</v>
      </c>
      <c r="E46" s="34" t="s">
        <v>28</v>
      </c>
      <c r="F46" s="34" t="s">
        <v>36</v>
      </c>
      <c r="G46" s="34" t="s">
        <v>170</v>
      </c>
      <c r="H46" s="34" t="s">
        <v>635</v>
      </c>
      <c r="I46" s="34" t="s">
        <v>36</v>
      </c>
      <c r="J46" s="34" t="s">
        <v>36</v>
      </c>
      <c r="K46" s="34" t="s">
        <v>36</v>
      </c>
      <c r="L46" s="34" t="s">
        <v>1420</v>
      </c>
      <c r="M46" s="34" t="s">
        <v>1421</v>
      </c>
      <c r="N46" s="34" t="s">
        <v>72</v>
      </c>
      <c r="O46" s="34">
        <v>342054</v>
      </c>
      <c r="P46" s="34" t="s">
        <v>943</v>
      </c>
      <c r="Q46" s="34" t="s">
        <v>36</v>
      </c>
      <c r="R46" s="34">
        <v>0</v>
      </c>
      <c r="S46" s="34" t="s">
        <v>36</v>
      </c>
      <c r="T46" s="34" t="s">
        <v>36</v>
      </c>
      <c r="U46" s="34" t="s">
        <v>36</v>
      </c>
      <c r="V46" s="34" t="s">
        <v>36</v>
      </c>
      <c r="W46" s="34" t="s">
        <v>36</v>
      </c>
      <c r="X46" s="34" t="s">
        <v>36</v>
      </c>
      <c r="Y46" s="34" t="s">
        <v>36</v>
      </c>
      <c r="Z46" s="34" t="s">
        <v>36</v>
      </c>
      <c r="AA46" s="34" t="s">
        <v>36</v>
      </c>
      <c r="AB46" s="34" t="s">
        <v>36</v>
      </c>
      <c r="AC46" s="34" t="s">
        <v>36</v>
      </c>
      <c r="AD46" s="34" t="s">
        <v>36</v>
      </c>
      <c r="AE46" s="34" t="s">
        <v>36</v>
      </c>
      <c r="AF46" s="34" t="s">
        <v>36</v>
      </c>
      <c r="AG46" s="34" t="s">
        <v>36</v>
      </c>
      <c r="AH46" s="34" t="s">
        <v>36</v>
      </c>
      <c r="AI46" s="34" t="s">
        <v>36</v>
      </c>
      <c r="AJ46" s="34" t="s">
        <v>36</v>
      </c>
      <c r="AK46" s="34" t="s">
        <v>36</v>
      </c>
      <c r="AL46" s="34"/>
      <c r="AM46" s="34" t="s">
        <v>36</v>
      </c>
    </row>
    <row r="47" spans="1:39" ht="14.4" customHeight="1" x14ac:dyDescent="0.3">
      <c r="A47" s="203">
        <v>1010770</v>
      </c>
      <c r="B47" s="34">
        <v>342054</v>
      </c>
      <c r="C47" s="34" t="s">
        <v>1850</v>
      </c>
      <c r="D47" s="34" t="s">
        <v>857</v>
      </c>
      <c r="E47" s="34" t="s">
        <v>28</v>
      </c>
      <c r="F47" s="34" t="s">
        <v>36</v>
      </c>
      <c r="G47" s="34" t="s">
        <v>1391</v>
      </c>
      <c r="H47" s="34" t="s">
        <v>222</v>
      </c>
      <c r="I47" s="34" t="s">
        <v>36</v>
      </c>
      <c r="J47" s="34" t="s">
        <v>36</v>
      </c>
      <c r="K47" s="34" t="s">
        <v>36</v>
      </c>
      <c r="L47" s="34" t="s">
        <v>1420</v>
      </c>
      <c r="M47" s="34" t="s">
        <v>1421</v>
      </c>
      <c r="N47" s="34" t="s">
        <v>72</v>
      </c>
      <c r="O47" s="34">
        <v>342054</v>
      </c>
      <c r="P47" s="34" t="s">
        <v>943</v>
      </c>
      <c r="Q47" s="34" t="s">
        <v>36</v>
      </c>
      <c r="R47" s="34">
        <v>0</v>
      </c>
      <c r="S47" s="34" t="s">
        <v>36</v>
      </c>
      <c r="T47" s="34" t="s">
        <v>36</v>
      </c>
      <c r="U47" s="34" t="s">
        <v>36</v>
      </c>
      <c r="V47" s="34" t="s">
        <v>36</v>
      </c>
      <c r="W47" s="34" t="s">
        <v>36</v>
      </c>
      <c r="X47" s="34" t="s">
        <v>36</v>
      </c>
      <c r="Y47" s="34" t="s">
        <v>36</v>
      </c>
      <c r="Z47" s="34" t="s">
        <v>36</v>
      </c>
      <c r="AA47" s="34" t="s">
        <v>36</v>
      </c>
      <c r="AB47" s="34" t="s">
        <v>36</v>
      </c>
      <c r="AC47" s="34" t="s">
        <v>36</v>
      </c>
      <c r="AD47" s="34" t="s">
        <v>36</v>
      </c>
      <c r="AE47" s="34" t="s">
        <v>36</v>
      </c>
      <c r="AF47" s="34" t="s">
        <v>36</v>
      </c>
      <c r="AG47" s="34" t="s">
        <v>36</v>
      </c>
      <c r="AH47" s="34" t="s">
        <v>36</v>
      </c>
      <c r="AI47" s="34" t="s">
        <v>36</v>
      </c>
      <c r="AJ47" s="34" t="s">
        <v>36</v>
      </c>
      <c r="AK47" s="34" t="s">
        <v>36</v>
      </c>
      <c r="AL47" s="34"/>
      <c r="AM47" s="34" t="s">
        <v>36</v>
      </c>
    </row>
    <row r="48" spans="1:39" ht="14.4" customHeight="1" x14ac:dyDescent="0.3">
      <c r="A48" s="203">
        <v>1010653</v>
      </c>
      <c r="B48" s="34">
        <v>262146</v>
      </c>
      <c r="C48" s="34" t="s">
        <v>1841</v>
      </c>
      <c r="D48" s="34" t="s">
        <v>1842</v>
      </c>
      <c r="E48" s="34" t="s">
        <v>28</v>
      </c>
      <c r="F48" s="34">
        <v>6</v>
      </c>
      <c r="G48" s="34" t="s">
        <v>548</v>
      </c>
      <c r="H48" s="34" t="s">
        <v>36</v>
      </c>
      <c r="I48" s="34" t="s">
        <v>38</v>
      </c>
      <c r="J48" s="34" t="s">
        <v>36</v>
      </c>
      <c r="K48" s="34" t="s">
        <v>1414</v>
      </c>
      <c r="L48" s="34" t="s">
        <v>104</v>
      </c>
      <c r="M48" s="34" t="s">
        <v>1419</v>
      </c>
      <c r="N48" s="34" t="s">
        <v>117</v>
      </c>
      <c r="O48" s="34">
        <v>1010653</v>
      </c>
      <c r="P48" s="34" t="s">
        <v>945</v>
      </c>
      <c r="Q48" s="34">
        <v>0</v>
      </c>
      <c r="R48" s="34">
        <v>1</v>
      </c>
      <c r="S48" s="34">
        <v>0</v>
      </c>
      <c r="T48" s="34">
        <v>0</v>
      </c>
      <c r="U48" s="34">
        <v>0</v>
      </c>
      <c r="V48" s="34">
        <v>6</v>
      </c>
      <c r="W48" s="34">
        <v>0</v>
      </c>
      <c r="X48" s="34">
        <v>0</v>
      </c>
      <c r="Y48" s="34">
        <v>0</v>
      </c>
      <c r="Z48" s="34">
        <v>0</v>
      </c>
      <c r="AA48" s="34">
        <v>0</v>
      </c>
      <c r="AB48" s="34">
        <v>0</v>
      </c>
      <c r="AC48" s="34">
        <v>0</v>
      </c>
      <c r="AD48" s="34">
        <v>0</v>
      </c>
      <c r="AE48" s="34">
        <v>0</v>
      </c>
      <c r="AF48" s="34">
        <v>0</v>
      </c>
      <c r="AG48" s="34">
        <v>0</v>
      </c>
      <c r="AH48" s="34">
        <v>0</v>
      </c>
      <c r="AI48" s="34">
        <v>0</v>
      </c>
      <c r="AJ48" s="34">
        <v>6</v>
      </c>
      <c r="AK48" s="34">
        <v>0</v>
      </c>
      <c r="AL48" s="34"/>
      <c r="AM48" s="34" t="s">
        <v>40</v>
      </c>
    </row>
    <row r="49" spans="1:39" ht="14.4" customHeight="1" x14ac:dyDescent="0.3">
      <c r="A49" s="203">
        <v>1010421</v>
      </c>
      <c r="B49" s="34">
        <v>262146</v>
      </c>
      <c r="C49" s="34" t="s">
        <v>1966</v>
      </c>
      <c r="D49" s="34" t="s">
        <v>1842</v>
      </c>
      <c r="E49" s="34" t="s">
        <v>28</v>
      </c>
      <c r="F49" s="34">
        <v>25</v>
      </c>
      <c r="G49" s="34" t="s">
        <v>110</v>
      </c>
      <c r="H49" s="34" t="s">
        <v>36</v>
      </c>
      <c r="I49" s="34" t="s">
        <v>38</v>
      </c>
      <c r="J49" s="34" t="s">
        <v>36</v>
      </c>
      <c r="K49" s="34" t="s">
        <v>1412</v>
      </c>
      <c r="L49" s="34" t="s">
        <v>104</v>
      </c>
      <c r="M49" s="34" t="s">
        <v>1419</v>
      </c>
      <c r="N49" s="34" t="s">
        <v>117</v>
      </c>
      <c r="O49" s="34">
        <v>1010421</v>
      </c>
      <c r="P49" s="34" t="s">
        <v>946</v>
      </c>
      <c r="Q49" s="34">
        <v>1</v>
      </c>
      <c r="R49" s="34">
        <v>1</v>
      </c>
      <c r="S49" s="34">
        <v>0</v>
      </c>
      <c r="T49" s="34">
        <v>0</v>
      </c>
      <c r="U49" s="34">
        <v>0</v>
      </c>
      <c r="V49" s="34">
        <v>0</v>
      </c>
      <c r="W49" s="34">
        <v>0</v>
      </c>
      <c r="X49" s="34">
        <v>0</v>
      </c>
      <c r="Y49" s="34">
        <v>25</v>
      </c>
      <c r="Z49" s="34">
        <v>0</v>
      </c>
      <c r="AA49" s="34">
        <v>0</v>
      </c>
      <c r="AB49" s="34">
        <v>0</v>
      </c>
      <c r="AC49" s="34">
        <v>0</v>
      </c>
      <c r="AD49" s="34">
        <v>0</v>
      </c>
      <c r="AE49" s="34">
        <v>0</v>
      </c>
      <c r="AF49" s="34">
        <v>0</v>
      </c>
      <c r="AG49" s="34">
        <v>0</v>
      </c>
      <c r="AH49" s="34">
        <v>0</v>
      </c>
      <c r="AI49" s="34">
        <v>0</v>
      </c>
      <c r="AJ49" s="34">
        <v>25</v>
      </c>
      <c r="AK49" s="34">
        <v>0</v>
      </c>
      <c r="AL49" s="34"/>
      <c r="AM49" s="34" t="s">
        <v>40</v>
      </c>
    </row>
    <row r="50" spans="1:39" ht="14.4" customHeight="1" x14ac:dyDescent="0.3">
      <c r="A50" s="203">
        <v>1010043</v>
      </c>
      <c r="B50" s="34">
        <v>1008506</v>
      </c>
      <c r="C50" s="34" t="s">
        <v>1838</v>
      </c>
      <c r="D50" s="34" t="s">
        <v>886</v>
      </c>
      <c r="E50" s="34" t="s">
        <v>165</v>
      </c>
      <c r="F50" s="34" t="s">
        <v>36</v>
      </c>
      <c r="G50" s="34" t="s">
        <v>1932</v>
      </c>
      <c r="H50" s="34" t="s">
        <v>807</v>
      </c>
      <c r="I50" s="34" t="s">
        <v>36</v>
      </c>
      <c r="J50" s="34" t="s">
        <v>36</v>
      </c>
      <c r="K50" s="34" t="s">
        <v>36</v>
      </c>
      <c r="L50" s="34" t="s">
        <v>1429</v>
      </c>
      <c r="M50" s="34" t="s">
        <v>1421</v>
      </c>
      <c r="N50" s="34" t="s">
        <v>72</v>
      </c>
      <c r="O50" s="34">
        <v>1008506</v>
      </c>
      <c r="P50" s="34" t="s">
        <v>947</v>
      </c>
      <c r="Q50" s="34" t="s">
        <v>36</v>
      </c>
      <c r="R50" s="34">
        <v>0</v>
      </c>
      <c r="S50" s="34" t="s">
        <v>36</v>
      </c>
      <c r="T50" s="34" t="s">
        <v>36</v>
      </c>
      <c r="U50" s="34" t="s">
        <v>36</v>
      </c>
      <c r="V50" s="34" t="s">
        <v>36</v>
      </c>
      <c r="W50" s="34" t="s">
        <v>36</v>
      </c>
      <c r="X50" s="34" t="s">
        <v>36</v>
      </c>
      <c r="Y50" s="34" t="s">
        <v>36</v>
      </c>
      <c r="Z50" s="34" t="s">
        <v>36</v>
      </c>
      <c r="AA50" s="34" t="s">
        <v>36</v>
      </c>
      <c r="AB50" s="34" t="s">
        <v>36</v>
      </c>
      <c r="AC50" s="34" t="s">
        <v>36</v>
      </c>
      <c r="AD50" s="34" t="s">
        <v>36</v>
      </c>
      <c r="AE50" s="34" t="s">
        <v>36</v>
      </c>
      <c r="AF50" s="34" t="s">
        <v>36</v>
      </c>
      <c r="AG50" s="34" t="s">
        <v>36</v>
      </c>
      <c r="AH50" s="34" t="s">
        <v>36</v>
      </c>
      <c r="AI50" s="34" t="s">
        <v>36</v>
      </c>
      <c r="AJ50" s="34" t="s">
        <v>36</v>
      </c>
      <c r="AK50" s="34" t="s">
        <v>36</v>
      </c>
      <c r="AL50" s="34"/>
      <c r="AM50" s="34" t="s">
        <v>36</v>
      </c>
    </row>
    <row r="51" spans="1:39" ht="14.4" customHeight="1" x14ac:dyDescent="0.3">
      <c r="A51" s="203">
        <v>1010039</v>
      </c>
      <c r="B51" s="34">
        <v>1008506</v>
      </c>
      <c r="C51" s="34" t="s">
        <v>1837</v>
      </c>
      <c r="D51" s="34" t="s">
        <v>886</v>
      </c>
      <c r="E51" s="34" t="s">
        <v>165</v>
      </c>
      <c r="F51" s="34" t="s">
        <v>36</v>
      </c>
      <c r="G51" s="34" t="s">
        <v>1932</v>
      </c>
      <c r="H51" s="34" t="s">
        <v>807</v>
      </c>
      <c r="I51" s="34" t="s">
        <v>36</v>
      </c>
      <c r="J51" s="34" t="s">
        <v>36</v>
      </c>
      <c r="K51" s="34" t="s">
        <v>36</v>
      </c>
      <c r="L51" s="34" t="s">
        <v>1429</v>
      </c>
      <c r="M51" s="34" t="s">
        <v>1421</v>
      </c>
      <c r="N51" s="34" t="s">
        <v>72</v>
      </c>
      <c r="O51" s="34">
        <v>1008506</v>
      </c>
      <c r="P51" s="34" t="s">
        <v>947</v>
      </c>
      <c r="Q51" s="34" t="s">
        <v>36</v>
      </c>
      <c r="R51" s="34">
        <v>0</v>
      </c>
      <c r="S51" s="34" t="s">
        <v>36</v>
      </c>
      <c r="T51" s="34" t="s">
        <v>36</v>
      </c>
      <c r="U51" s="34" t="s">
        <v>36</v>
      </c>
      <c r="V51" s="34" t="s">
        <v>36</v>
      </c>
      <c r="W51" s="34" t="s">
        <v>36</v>
      </c>
      <c r="X51" s="34" t="s">
        <v>36</v>
      </c>
      <c r="Y51" s="34" t="s">
        <v>36</v>
      </c>
      <c r="Z51" s="34" t="s">
        <v>36</v>
      </c>
      <c r="AA51" s="34" t="s">
        <v>36</v>
      </c>
      <c r="AB51" s="34" t="s">
        <v>36</v>
      </c>
      <c r="AC51" s="34" t="s">
        <v>36</v>
      </c>
      <c r="AD51" s="34" t="s">
        <v>36</v>
      </c>
      <c r="AE51" s="34" t="s">
        <v>36</v>
      </c>
      <c r="AF51" s="34" t="s">
        <v>36</v>
      </c>
      <c r="AG51" s="34" t="s">
        <v>36</v>
      </c>
      <c r="AH51" s="34" t="s">
        <v>36</v>
      </c>
      <c r="AI51" s="34" t="s">
        <v>36</v>
      </c>
      <c r="AJ51" s="34" t="s">
        <v>36</v>
      </c>
      <c r="AK51" s="34" t="s">
        <v>36</v>
      </c>
      <c r="AL51" s="34"/>
      <c r="AM51" s="34" t="s">
        <v>36</v>
      </c>
    </row>
    <row r="52" spans="1:39" ht="14.4" customHeight="1" x14ac:dyDescent="0.3">
      <c r="A52" s="203">
        <v>1009580</v>
      </c>
      <c r="B52" s="34">
        <v>342054</v>
      </c>
      <c r="C52" s="34" t="s">
        <v>1931</v>
      </c>
      <c r="D52" s="34" t="s">
        <v>857</v>
      </c>
      <c r="E52" s="34" t="s">
        <v>28</v>
      </c>
      <c r="F52" s="34" t="s">
        <v>36</v>
      </c>
      <c r="G52" s="34" t="s">
        <v>1391</v>
      </c>
      <c r="H52" s="34" t="s">
        <v>1006</v>
      </c>
      <c r="I52" s="34" t="s">
        <v>36</v>
      </c>
      <c r="J52" s="34" t="s">
        <v>36</v>
      </c>
      <c r="K52" s="34" t="s">
        <v>36</v>
      </c>
      <c r="L52" s="34" t="s">
        <v>1420</v>
      </c>
      <c r="M52" s="34" t="s">
        <v>1421</v>
      </c>
      <c r="N52" s="34" t="s">
        <v>72</v>
      </c>
      <c r="O52" s="34">
        <v>342054</v>
      </c>
      <c r="P52" s="34" t="s">
        <v>943</v>
      </c>
      <c r="Q52" s="34" t="s">
        <v>36</v>
      </c>
      <c r="R52" s="34">
        <v>0</v>
      </c>
      <c r="S52" s="34" t="s">
        <v>36</v>
      </c>
      <c r="T52" s="34" t="s">
        <v>36</v>
      </c>
      <c r="U52" s="34" t="s">
        <v>36</v>
      </c>
      <c r="V52" s="34" t="s">
        <v>36</v>
      </c>
      <c r="W52" s="34" t="s">
        <v>36</v>
      </c>
      <c r="X52" s="34" t="s">
        <v>36</v>
      </c>
      <c r="Y52" s="34" t="s">
        <v>36</v>
      </c>
      <c r="Z52" s="34" t="s">
        <v>36</v>
      </c>
      <c r="AA52" s="34" t="s">
        <v>36</v>
      </c>
      <c r="AB52" s="34" t="s">
        <v>36</v>
      </c>
      <c r="AC52" s="34" t="s">
        <v>36</v>
      </c>
      <c r="AD52" s="34" t="s">
        <v>36</v>
      </c>
      <c r="AE52" s="34" t="s">
        <v>36</v>
      </c>
      <c r="AF52" s="34" t="s">
        <v>36</v>
      </c>
      <c r="AG52" s="34" t="s">
        <v>36</v>
      </c>
      <c r="AH52" s="34" t="s">
        <v>36</v>
      </c>
      <c r="AI52" s="34" t="s">
        <v>36</v>
      </c>
      <c r="AJ52" s="34" t="s">
        <v>36</v>
      </c>
      <c r="AK52" s="34" t="s">
        <v>36</v>
      </c>
      <c r="AL52" s="34"/>
      <c r="AM52" s="34" t="s">
        <v>36</v>
      </c>
    </row>
    <row r="53" spans="1:39" ht="14.4" customHeight="1" x14ac:dyDescent="0.3">
      <c r="A53" s="203">
        <v>1009453</v>
      </c>
      <c r="B53" s="34">
        <v>1016405</v>
      </c>
      <c r="C53" s="34" t="s">
        <v>2304</v>
      </c>
      <c r="D53" s="34" t="s">
        <v>857</v>
      </c>
      <c r="E53" s="34" t="s">
        <v>28</v>
      </c>
      <c r="F53" s="34">
        <v>20</v>
      </c>
      <c r="G53" s="34" t="s">
        <v>595</v>
      </c>
      <c r="H53" s="34" t="s">
        <v>36</v>
      </c>
      <c r="I53" s="34" t="s">
        <v>38</v>
      </c>
      <c r="J53" s="34" t="s">
        <v>36</v>
      </c>
      <c r="K53" s="34" t="s">
        <v>1412</v>
      </c>
      <c r="L53" s="34" t="s">
        <v>104</v>
      </c>
      <c r="M53" s="34" t="s">
        <v>1419</v>
      </c>
      <c r="N53" s="34" t="s">
        <v>117</v>
      </c>
      <c r="O53" s="34">
        <v>1009453</v>
      </c>
      <c r="P53" s="34" t="s">
        <v>554</v>
      </c>
      <c r="Q53" s="34">
        <v>0</v>
      </c>
      <c r="R53" s="34">
        <v>2</v>
      </c>
      <c r="S53" s="34">
        <v>0</v>
      </c>
      <c r="T53" s="34">
        <v>0</v>
      </c>
      <c r="U53" s="34">
        <v>0</v>
      </c>
      <c r="V53" s="34">
        <v>0</v>
      </c>
      <c r="W53" s="34">
        <v>2</v>
      </c>
      <c r="X53" s="34">
        <v>0</v>
      </c>
      <c r="Y53" s="34">
        <v>0</v>
      </c>
      <c r="Z53" s="34">
        <v>0</v>
      </c>
      <c r="AA53" s="34">
        <v>0</v>
      </c>
      <c r="AB53" s="34">
        <v>0</v>
      </c>
      <c r="AC53" s="34">
        <v>0</v>
      </c>
      <c r="AD53" s="34">
        <v>0</v>
      </c>
      <c r="AE53" s="34">
        <v>0</v>
      </c>
      <c r="AF53" s="34">
        <v>0</v>
      </c>
      <c r="AG53" s="34">
        <v>18</v>
      </c>
      <c r="AH53" s="34">
        <v>0</v>
      </c>
      <c r="AI53" s="34">
        <v>0</v>
      </c>
      <c r="AJ53" s="34">
        <v>20</v>
      </c>
      <c r="AK53" s="34">
        <v>0</v>
      </c>
      <c r="AL53" s="34"/>
      <c r="AM53" s="34" t="s">
        <v>40</v>
      </c>
    </row>
    <row r="54" spans="1:39" ht="14.4" customHeight="1" x14ac:dyDescent="0.3">
      <c r="A54" s="203">
        <v>1008620</v>
      </c>
      <c r="B54" s="34">
        <v>262134</v>
      </c>
      <c r="C54" s="34" t="s">
        <v>2019</v>
      </c>
      <c r="D54" s="34" t="s">
        <v>1842</v>
      </c>
      <c r="E54" s="34" t="s">
        <v>28</v>
      </c>
      <c r="F54" s="34">
        <v>33</v>
      </c>
      <c r="G54" s="34" t="s">
        <v>47</v>
      </c>
      <c r="H54" s="34" t="s">
        <v>36</v>
      </c>
      <c r="I54" s="34" t="s">
        <v>38</v>
      </c>
      <c r="J54" s="34" t="s">
        <v>36</v>
      </c>
      <c r="K54" s="34" t="s">
        <v>1412</v>
      </c>
      <c r="L54" s="34" t="s">
        <v>104</v>
      </c>
      <c r="M54" s="34" t="s">
        <v>1419</v>
      </c>
      <c r="N54" s="34" t="s">
        <v>117</v>
      </c>
      <c r="O54" s="34">
        <v>1008620</v>
      </c>
      <c r="P54" s="34" t="s">
        <v>949</v>
      </c>
      <c r="Q54" s="34">
        <v>0</v>
      </c>
      <c r="R54" s="34">
        <v>1</v>
      </c>
      <c r="S54" s="34">
        <v>0</v>
      </c>
      <c r="T54" s="34">
        <v>0</v>
      </c>
      <c r="U54" s="34">
        <v>0</v>
      </c>
      <c r="V54" s="34">
        <v>0</v>
      </c>
      <c r="W54" s="34">
        <v>33</v>
      </c>
      <c r="X54" s="34">
        <v>0</v>
      </c>
      <c r="Y54" s="34">
        <v>0</v>
      </c>
      <c r="Z54" s="34">
        <v>0</v>
      </c>
      <c r="AA54" s="34">
        <v>0</v>
      </c>
      <c r="AB54" s="34">
        <v>0</v>
      </c>
      <c r="AC54" s="34">
        <v>0</v>
      </c>
      <c r="AD54" s="34">
        <v>0</v>
      </c>
      <c r="AE54" s="34">
        <v>0</v>
      </c>
      <c r="AF54" s="34">
        <v>0</v>
      </c>
      <c r="AG54" s="34">
        <v>0</v>
      </c>
      <c r="AH54" s="34">
        <v>0</v>
      </c>
      <c r="AI54" s="34">
        <v>0</v>
      </c>
      <c r="AJ54" s="34">
        <v>33</v>
      </c>
      <c r="AK54" s="34">
        <v>0</v>
      </c>
      <c r="AL54" s="34"/>
      <c r="AM54" s="34" t="s">
        <v>40</v>
      </c>
    </row>
    <row r="55" spans="1:39" ht="14.4" customHeight="1" x14ac:dyDescent="0.3">
      <c r="A55" s="203">
        <v>1008506</v>
      </c>
      <c r="B55" s="34">
        <v>383110</v>
      </c>
      <c r="C55" s="34" t="s">
        <v>1626</v>
      </c>
      <c r="D55" s="34" t="s">
        <v>1866</v>
      </c>
      <c r="E55" s="34" t="s">
        <v>28</v>
      </c>
      <c r="F55" s="34">
        <v>105</v>
      </c>
      <c r="G55" s="34" t="s">
        <v>166</v>
      </c>
      <c r="H55" s="34" t="s">
        <v>36</v>
      </c>
      <c r="I55" s="34" t="s">
        <v>1869</v>
      </c>
      <c r="J55" s="34" t="s">
        <v>36</v>
      </c>
      <c r="K55" s="34" t="s">
        <v>1412</v>
      </c>
      <c r="L55" s="34" t="s">
        <v>104</v>
      </c>
      <c r="M55" s="34" t="s">
        <v>1419</v>
      </c>
      <c r="N55" s="34" t="s">
        <v>117</v>
      </c>
      <c r="O55" s="34">
        <v>1008506</v>
      </c>
      <c r="P55" s="34" t="s">
        <v>947</v>
      </c>
      <c r="Q55" s="34">
        <v>5</v>
      </c>
      <c r="R55" s="34">
        <v>1</v>
      </c>
      <c r="S55" s="34">
        <v>0</v>
      </c>
      <c r="T55" s="34">
        <v>0</v>
      </c>
      <c r="U55" s="34">
        <v>0</v>
      </c>
      <c r="V55" s="34">
        <v>0</v>
      </c>
      <c r="W55" s="34">
        <v>0</v>
      </c>
      <c r="X55" s="34">
        <v>0</v>
      </c>
      <c r="Y55" s="34">
        <v>0</v>
      </c>
      <c r="Z55" s="34">
        <v>0</v>
      </c>
      <c r="AA55" s="34">
        <v>0</v>
      </c>
      <c r="AB55" s="34">
        <v>0</v>
      </c>
      <c r="AC55" s="34">
        <v>89</v>
      </c>
      <c r="AD55" s="34">
        <v>0</v>
      </c>
      <c r="AE55" s="34">
        <v>0</v>
      </c>
      <c r="AF55" s="34">
        <v>0</v>
      </c>
      <c r="AG55" s="34">
        <v>0</v>
      </c>
      <c r="AH55" s="34">
        <v>0</v>
      </c>
      <c r="AI55" s="34">
        <v>0</v>
      </c>
      <c r="AJ55" s="34">
        <v>89</v>
      </c>
      <c r="AK55" s="34">
        <v>84</v>
      </c>
      <c r="AL55" s="34"/>
      <c r="AM55" s="34" t="s">
        <v>33</v>
      </c>
    </row>
    <row r="56" spans="1:39" ht="14.4" customHeight="1" x14ac:dyDescent="0.3">
      <c r="A56" s="203">
        <v>1008274</v>
      </c>
      <c r="B56" s="34">
        <v>393265</v>
      </c>
      <c r="C56" s="34" t="s">
        <v>2296</v>
      </c>
      <c r="D56" s="34" t="s">
        <v>857</v>
      </c>
      <c r="E56" s="34" t="s">
        <v>28</v>
      </c>
      <c r="F56" s="34" t="s">
        <v>36</v>
      </c>
      <c r="G56" s="34" t="s">
        <v>164</v>
      </c>
      <c r="H56" s="34" t="s">
        <v>1538</v>
      </c>
      <c r="I56" s="34" t="s">
        <v>36</v>
      </c>
      <c r="J56" s="34" t="s">
        <v>36</v>
      </c>
      <c r="K56" s="34" t="s">
        <v>36</v>
      </c>
      <c r="L56" s="34" t="s">
        <v>1420</v>
      </c>
      <c r="M56" s="34" t="s">
        <v>1421</v>
      </c>
      <c r="N56" s="34" t="s">
        <v>72</v>
      </c>
      <c r="O56" s="34">
        <v>393265</v>
      </c>
      <c r="P56" s="34" t="s">
        <v>17</v>
      </c>
      <c r="Q56" s="34" t="s">
        <v>36</v>
      </c>
      <c r="R56" s="34">
        <v>0</v>
      </c>
      <c r="S56" s="34" t="s">
        <v>36</v>
      </c>
      <c r="T56" s="34" t="s">
        <v>36</v>
      </c>
      <c r="U56" s="34" t="s">
        <v>36</v>
      </c>
      <c r="V56" s="34" t="s">
        <v>36</v>
      </c>
      <c r="W56" s="34" t="s">
        <v>36</v>
      </c>
      <c r="X56" s="34" t="s">
        <v>36</v>
      </c>
      <c r="Y56" s="34" t="s">
        <v>36</v>
      </c>
      <c r="Z56" s="34" t="s">
        <v>36</v>
      </c>
      <c r="AA56" s="34" t="s">
        <v>36</v>
      </c>
      <c r="AB56" s="34" t="s">
        <v>36</v>
      </c>
      <c r="AC56" s="34" t="s">
        <v>36</v>
      </c>
      <c r="AD56" s="34" t="s">
        <v>36</v>
      </c>
      <c r="AE56" s="34" t="s">
        <v>36</v>
      </c>
      <c r="AF56" s="34" t="s">
        <v>36</v>
      </c>
      <c r="AG56" s="34" t="s">
        <v>36</v>
      </c>
      <c r="AH56" s="34" t="s">
        <v>36</v>
      </c>
      <c r="AI56" s="34" t="s">
        <v>36</v>
      </c>
      <c r="AJ56" s="34" t="s">
        <v>36</v>
      </c>
      <c r="AK56" s="34" t="s">
        <v>36</v>
      </c>
      <c r="AL56" s="34"/>
      <c r="AM56" s="34" t="s">
        <v>36</v>
      </c>
    </row>
    <row r="57" spans="1:39" ht="14.4" customHeight="1" x14ac:dyDescent="0.3">
      <c r="A57" s="203">
        <v>1007900</v>
      </c>
      <c r="B57" s="34">
        <v>384135</v>
      </c>
      <c r="C57" s="34" t="s">
        <v>1586</v>
      </c>
      <c r="D57" s="34" t="s">
        <v>1866</v>
      </c>
      <c r="E57" s="34" t="s">
        <v>28</v>
      </c>
      <c r="F57" s="34">
        <v>132</v>
      </c>
      <c r="G57" s="34" t="s">
        <v>138</v>
      </c>
      <c r="H57" s="34" t="s">
        <v>36</v>
      </c>
      <c r="I57" s="34" t="s">
        <v>1869</v>
      </c>
      <c r="J57" s="34" t="s">
        <v>36</v>
      </c>
      <c r="K57" s="34" t="s">
        <v>1412</v>
      </c>
      <c r="L57" s="34" t="s">
        <v>104</v>
      </c>
      <c r="M57" s="34" t="s">
        <v>1419</v>
      </c>
      <c r="N57" s="34" t="s">
        <v>117</v>
      </c>
      <c r="O57" s="34">
        <v>1007900</v>
      </c>
      <c r="P57" s="34" t="s">
        <v>950</v>
      </c>
      <c r="Q57" s="34">
        <v>4</v>
      </c>
      <c r="R57" s="34">
        <v>4</v>
      </c>
      <c r="S57" s="34">
        <v>0</v>
      </c>
      <c r="T57" s="34">
        <v>0</v>
      </c>
      <c r="U57" s="34">
        <v>0</v>
      </c>
      <c r="V57" s="34">
        <v>10</v>
      </c>
      <c r="W57" s="34">
        <v>0</v>
      </c>
      <c r="X57" s="34">
        <v>0</v>
      </c>
      <c r="Y57" s="34">
        <v>0</v>
      </c>
      <c r="Z57" s="34">
        <v>84</v>
      </c>
      <c r="AA57" s="34">
        <v>0</v>
      </c>
      <c r="AB57" s="34">
        <v>0</v>
      </c>
      <c r="AC57" s="34">
        <v>3</v>
      </c>
      <c r="AD57" s="34">
        <v>8</v>
      </c>
      <c r="AE57" s="34">
        <v>0</v>
      </c>
      <c r="AF57" s="34">
        <v>0</v>
      </c>
      <c r="AG57" s="34">
        <v>0</v>
      </c>
      <c r="AH57" s="34">
        <v>0</v>
      </c>
      <c r="AI57" s="34">
        <v>0</v>
      </c>
      <c r="AJ57" s="34">
        <v>105</v>
      </c>
      <c r="AK57" s="34">
        <v>41</v>
      </c>
      <c r="AL57" s="34"/>
      <c r="AM57" s="34" t="s">
        <v>33</v>
      </c>
    </row>
    <row r="58" spans="1:39" ht="14.4" customHeight="1" x14ac:dyDescent="0.3">
      <c r="A58" s="203">
        <v>1007541</v>
      </c>
      <c r="B58" s="34">
        <v>1001912</v>
      </c>
      <c r="C58" s="34" t="s">
        <v>2180</v>
      </c>
      <c r="D58" s="34" t="s">
        <v>2310</v>
      </c>
      <c r="E58" s="34" t="s">
        <v>141</v>
      </c>
      <c r="F58" s="34" t="s">
        <v>36</v>
      </c>
      <c r="G58" s="34" t="s">
        <v>1933</v>
      </c>
      <c r="H58" s="34" t="s">
        <v>1006</v>
      </c>
      <c r="I58" s="34" t="s">
        <v>36</v>
      </c>
      <c r="J58" s="34" t="s">
        <v>36</v>
      </c>
      <c r="K58" s="34" t="s">
        <v>36</v>
      </c>
      <c r="L58" s="34" t="s">
        <v>1420</v>
      </c>
      <c r="M58" s="34" t="s">
        <v>1421</v>
      </c>
      <c r="N58" s="34" t="s">
        <v>72</v>
      </c>
      <c r="O58" s="34">
        <v>1001912</v>
      </c>
      <c r="P58" s="34" t="s">
        <v>554</v>
      </c>
      <c r="Q58" s="34" t="s">
        <v>36</v>
      </c>
      <c r="R58" s="34">
        <v>0</v>
      </c>
      <c r="S58" s="34" t="s">
        <v>36</v>
      </c>
      <c r="T58" s="34" t="s">
        <v>36</v>
      </c>
      <c r="U58" s="34" t="s">
        <v>36</v>
      </c>
      <c r="V58" s="34" t="s">
        <v>36</v>
      </c>
      <c r="W58" s="34" t="s">
        <v>36</v>
      </c>
      <c r="X58" s="34" t="s">
        <v>36</v>
      </c>
      <c r="Y58" s="34" t="s">
        <v>36</v>
      </c>
      <c r="Z58" s="34" t="s">
        <v>36</v>
      </c>
      <c r="AA58" s="34" t="s">
        <v>36</v>
      </c>
      <c r="AB58" s="34" t="s">
        <v>36</v>
      </c>
      <c r="AC58" s="34" t="s">
        <v>36</v>
      </c>
      <c r="AD58" s="34" t="s">
        <v>36</v>
      </c>
      <c r="AE58" s="34" t="s">
        <v>36</v>
      </c>
      <c r="AF58" s="34" t="s">
        <v>36</v>
      </c>
      <c r="AG58" s="34" t="s">
        <v>36</v>
      </c>
      <c r="AH58" s="34" t="s">
        <v>36</v>
      </c>
      <c r="AI58" s="34" t="s">
        <v>36</v>
      </c>
      <c r="AJ58" s="34" t="s">
        <v>36</v>
      </c>
      <c r="AK58" s="34" t="s">
        <v>36</v>
      </c>
      <c r="AL58" s="34"/>
      <c r="AM58" s="34" t="s">
        <v>36</v>
      </c>
    </row>
    <row r="59" spans="1:39" ht="14.4" customHeight="1" x14ac:dyDescent="0.3">
      <c r="A59" s="203">
        <v>1007536</v>
      </c>
      <c r="B59" s="34">
        <v>1004098</v>
      </c>
      <c r="C59" s="34" t="s">
        <v>1571</v>
      </c>
      <c r="D59" s="34" t="s">
        <v>972</v>
      </c>
      <c r="E59" s="34" t="s">
        <v>106</v>
      </c>
      <c r="F59" s="34">
        <v>82</v>
      </c>
      <c r="G59" s="34" t="s">
        <v>362</v>
      </c>
      <c r="H59" s="34" t="s">
        <v>36</v>
      </c>
      <c r="I59" s="34" t="s">
        <v>38</v>
      </c>
      <c r="J59" s="34" t="s">
        <v>36</v>
      </c>
      <c r="K59" s="34" t="s">
        <v>1412</v>
      </c>
      <c r="L59" s="34" t="s">
        <v>1429</v>
      </c>
      <c r="M59" s="34" t="s">
        <v>1419</v>
      </c>
      <c r="N59" s="34" t="s">
        <v>117</v>
      </c>
      <c r="O59" s="34">
        <v>1007536</v>
      </c>
      <c r="P59" s="34" t="s">
        <v>950</v>
      </c>
      <c r="Q59" s="34">
        <v>0</v>
      </c>
      <c r="R59" s="34">
        <v>3</v>
      </c>
      <c r="S59" s="34">
        <v>21</v>
      </c>
      <c r="T59" s="34">
        <v>0</v>
      </c>
      <c r="U59" s="34">
        <v>0</v>
      </c>
      <c r="V59" s="34">
        <v>0</v>
      </c>
      <c r="W59" s="34">
        <v>0</v>
      </c>
      <c r="X59" s="34">
        <v>0</v>
      </c>
      <c r="Y59" s="34">
        <v>0</v>
      </c>
      <c r="Z59" s="34">
        <v>35</v>
      </c>
      <c r="AA59" s="34">
        <v>0</v>
      </c>
      <c r="AB59" s="34">
        <v>0</v>
      </c>
      <c r="AC59" s="34">
        <v>8</v>
      </c>
      <c r="AD59" s="34">
        <v>0</v>
      </c>
      <c r="AE59" s="34">
        <v>1</v>
      </c>
      <c r="AF59" s="34">
        <v>0</v>
      </c>
      <c r="AG59" s="34">
        <v>0</v>
      </c>
      <c r="AH59" s="34">
        <v>0</v>
      </c>
      <c r="AI59" s="34">
        <v>5</v>
      </c>
      <c r="AJ59" s="34">
        <v>44</v>
      </c>
      <c r="AK59" s="34">
        <v>38</v>
      </c>
      <c r="AL59" s="34"/>
      <c r="AM59" s="34" t="s">
        <v>33</v>
      </c>
    </row>
    <row r="60" spans="1:39" ht="14.4" customHeight="1" x14ac:dyDescent="0.3">
      <c r="A60" s="203">
        <v>1007246</v>
      </c>
      <c r="B60" s="34">
        <v>342054</v>
      </c>
      <c r="C60" s="34" t="s">
        <v>1802</v>
      </c>
      <c r="D60" s="34" t="s">
        <v>857</v>
      </c>
      <c r="E60" s="34" t="s">
        <v>28</v>
      </c>
      <c r="F60" s="34" t="s">
        <v>36</v>
      </c>
      <c r="G60" s="34" t="s">
        <v>535</v>
      </c>
      <c r="H60" s="34" t="s">
        <v>222</v>
      </c>
      <c r="I60" s="34" t="s">
        <v>36</v>
      </c>
      <c r="J60" s="34" t="s">
        <v>36</v>
      </c>
      <c r="K60" s="34" t="s">
        <v>36</v>
      </c>
      <c r="L60" s="34" t="s">
        <v>1420</v>
      </c>
      <c r="M60" s="34" t="s">
        <v>1421</v>
      </c>
      <c r="N60" s="34" t="s">
        <v>72</v>
      </c>
      <c r="O60" s="34">
        <v>342054</v>
      </c>
      <c r="P60" s="34" t="s">
        <v>943</v>
      </c>
      <c r="Q60" s="34" t="s">
        <v>36</v>
      </c>
      <c r="R60" s="34">
        <v>0</v>
      </c>
      <c r="S60" s="34" t="s">
        <v>36</v>
      </c>
      <c r="T60" s="34" t="s">
        <v>36</v>
      </c>
      <c r="U60" s="34" t="s">
        <v>36</v>
      </c>
      <c r="V60" s="34" t="s">
        <v>36</v>
      </c>
      <c r="W60" s="34" t="s">
        <v>36</v>
      </c>
      <c r="X60" s="34" t="s">
        <v>36</v>
      </c>
      <c r="Y60" s="34" t="s">
        <v>36</v>
      </c>
      <c r="Z60" s="34" t="s">
        <v>36</v>
      </c>
      <c r="AA60" s="34" t="s">
        <v>36</v>
      </c>
      <c r="AB60" s="34" t="s">
        <v>36</v>
      </c>
      <c r="AC60" s="34" t="s">
        <v>36</v>
      </c>
      <c r="AD60" s="34" t="s">
        <v>36</v>
      </c>
      <c r="AE60" s="34" t="s">
        <v>36</v>
      </c>
      <c r="AF60" s="34" t="s">
        <v>36</v>
      </c>
      <c r="AG60" s="34" t="s">
        <v>36</v>
      </c>
      <c r="AH60" s="34" t="s">
        <v>36</v>
      </c>
      <c r="AI60" s="34" t="s">
        <v>36</v>
      </c>
      <c r="AJ60" s="34" t="s">
        <v>36</v>
      </c>
      <c r="AK60" s="34" t="s">
        <v>36</v>
      </c>
      <c r="AL60" s="34"/>
      <c r="AM60" s="34" t="s">
        <v>36</v>
      </c>
    </row>
    <row r="61" spans="1:39" ht="14.4" customHeight="1" x14ac:dyDescent="0.3">
      <c r="A61" s="203">
        <v>1006461</v>
      </c>
      <c r="B61" s="34">
        <v>1001912</v>
      </c>
      <c r="C61" s="34" t="s">
        <v>1871</v>
      </c>
      <c r="D61" s="34" t="s">
        <v>2310</v>
      </c>
      <c r="E61" s="34" t="s">
        <v>141</v>
      </c>
      <c r="F61" s="34" t="s">
        <v>36</v>
      </c>
      <c r="G61" s="34" t="s">
        <v>790</v>
      </c>
      <c r="H61" s="34" t="s">
        <v>1006</v>
      </c>
      <c r="I61" s="34" t="s">
        <v>36</v>
      </c>
      <c r="J61" s="34" t="s">
        <v>36</v>
      </c>
      <c r="K61" s="34" t="s">
        <v>36</v>
      </c>
      <c r="L61" s="34" t="s">
        <v>1431</v>
      </c>
      <c r="M61" s="34" t="s">
        <v>1433</v>
      </c>
      <c r="N61" s="34" t="s">
        <v>72</v>
      </c>
      <c r="O61" s="34">
        <v>1001912</v>
      </c>
      <c r="P61" s="34" t="s">
        <v>554</v>
      </c>
      <c r="Q61" s="34" t="s">
        <v>36</v>
      </c>
      <c r="R61" s="34">
        <v>0</v>
      </c>
      <c r="S61" s="34" t="s">
        <v>36</v>
      </c>
      <c r="T61" s="34" t="s">
        <v>36</v>
      </c>
      <c r="U61" s="34" t="s">
        <v>36</v>
      </c>
      <c r="V61" s="34" t="s">
        <v>36</v>
      </c>
      <c r="W61" s="34" t="s">
        <v>36</v>
      </c>
      <c r="X61" s="34" t="s">
        <v>36</v>
      </c>
      <c r="Y61" s="34" t="s">
        <v>36</v>
      </c>
      <c r="Z61" s="34" t="s">
        <v>36</v>
      </c>
      <c r="AA61" s="34" t="s">
        <v>36</v>
      </c>
      <c r="AB61" s="34" t="s">
        <v>36</v>
      </c>
      <c r="AC61" s="34" t="s">
        <v>36</v>
      </c>
      <c r="AD61" s="34" t="s">
        <v>36</v>
      </c>
      <c r="AE61" s="34" t="s">
        <v>36</v>
      </c>
      <c r="AF61" s="34" t="s">
        <v>36</v>
      </c>
      <c r="AG61" s="34" t="s">
        <v>36</v>
      </c>
      <c r="AH61" s="34" t="s">
        <v>36</v>
      </c>
      <c r="AI61" s="34" t="s">
        <v>36</v>
      </c>
      <c r="AJ61" s="34" t="s">
        <v>36</v>
      </c>
      <c r="AK61" s="34" t="s">
        <v>36</v>
      </c>
      <c r="AL61" s="34"/>
      <c r="AM61" s="34" t="s">
        <v>36</v>
      </c>
    </row>
    <row r="62" spans="1:39" ht="14.4" customHeight="1" x14ac:dyDescent="0.3">
      <c r="A62" s="203">
        <v>1006376</v>
      </c>
      <c r="B62" s="34">
        <v>340740</v>
      </c>
      <c r="C62" s="34" t="s">
        <v>1530</v>
      </c>
      <c r="D62" s="34" t="s">
        <v>972</v>
      </c>
      <c r="E62" s="34" t="s">
        <v>106</v>
      </c>
      <c r="F62" s="34">
        <v>38</v>
      </c>
      <c r="G62" s="34" t="s">
        <v>1514</v>
      </c>
      <c r="H62" s="34" t="s">
        <v>36</v>
      </c>
      <c r="I62" s="34" t="s">
        <v>939</v>
      </c>
      <c r="J62" s="34" t="s">
        <v>36</v>
      </c>
      <c r="K62" s="34" t="s">
        <v>1412</v>
      </c>
      <c r="L62" s="34" t="s">
        <v>104</v>
      </c>
      <c r="M62" s="34" t="s">
        <v>1419</v>
      </c>
      <c r="N62" s="34" t="s">
        <v>117</v>
      </c>
      <c r="O62" s="34">
        <v>1006376</v>
      </c>
      <c r="P62" s="34" t="s">
        <v>554</v>
      </c>
      <c r="Q62" s="34">
        <v>2</v>
      </c>
      <c r="R62" s="34">
        <v>1</v>
      </c>
      <c r="S62" s="34">
        <v>19</v>
      </c>
      <c r="T62" s="34">
        <v>0</v>
      </c>
      <c r="U62" s="34">
        <v>0</v>
      </c>
      <c r="V62" s="34">
        <v>0</v>
      </c>
      <c r="W62" s="34">
        <v>0</v>
      </c>
      <c r="X62" s="34">
        <v>0</v>
      </c>
      <c r="Y62" s="34">
        <v>0</v>
      </c>
      <c r="Z62" s="34">
        <v>0</v>
      </c>
      <c r="AA62" s="34">
        <v>0</v>
      </c>
      <c r="AB62" s="34">
        <v>0</v>
      </c>
      <c r="AC62" s="34">
        <v>0</v>
      </c>
      <c r="AD62" s="34">
        <v>0</v>
      </c>
      <c r="AE62" s="34">
        <v>0</v>
      </c>
      <c r="AF62" s="34">
        <v>0</v>
      </c>
      <c r="AG62" s="34">
        <v>28</v>
      </c>
      <c r="AH62" s="34">
        <v>0</v>
      </c>
      <c r="AI62" s="34">
        <v>0</v>
      </c>
      <c r="AJ62" s="34">
        <v>28</v>
      </c>
      <c r="AK62" s="34">
        <v>0</v>
      </c>
      <c r="AL62" s="34"/>
      <c r="AM62" s="34" t="s">
        <v>33</v>
      </c>
    </row>
    <row r="63" spans="1:39" ht="14.4" customHeight="1" x14ac:dyDescent="0.3">
      <c r="A63" s="203">
        <v>1006191</v>
      </c>
      <c r="B63" s="34">
        <v>216662</v>
      </c>
      <c r="C63" s="34" t="s">
        <v>1749</v>
      </c>
      <c r="D63" s="34" t="s">
        <v>1866</v>
      </c>
      <c r="E63" s="34" t="s">
        <v>28</v>
      </c>
      <c r="F63" s="34">
        <v>105</v>
      </c>
      <c r="G63" s="34" t="s">
        <v>1523</v>
      </c>
      <c r="H63" s="34" t="s">
        <v>36</v>
      </c>
      <c r="I63" s="34" t="s">
        <v>38</v>
      </c>
      <c r="J63" s="34" t="s">
        <v>36</v>
      </c>
      <c r="K63" s="34" t="s">
        <v>1412</v>
      </c>
      <c r="L63" s="34" t="s">
        <v>104</v>
      </c>
      <c r="M63" s="34" t="s">
        <v>1419</v>
      </c>
      <c r="N63" s="34" t="s">
        <v>117</v>
      </c>
      <c r="O63" s="34">
        <v>1006191</v>
      </c>
      <c r="P63" s="34" t="s">
        <v>15</v>
      </c>
      <c r="Q63" s="34">
        <v>0</v>
      </c>
      <c r="R63" s="34">
        <v>5</v>
      </c>
      <c r="S63" s="34">
        <v>0</v>
      </c>
      <c r="T63" s="34">
        <v>0</v>
      </c>
      <c r="U63" s="34">
        <v>8</v>
      </c>
      <c r="V63" s="34">
        <v>0</v>
      </c>
      <c r="W63" s="34">
        <v>0</v>
      </c>
      <c r="X63" s="34">
        <v>8</v>
      </c>
      <c r="Y63" s="34">
        <v>0</v>
      </c>
      <c r="Z63" s="34">
        <v>16</v>
      </c>
      <c r="AA63" s="34">
        <v>0</v>
      </c>
      <c r="AB63" s="34">
        <v>44</v>
      </c>
      <c r="AC63" s="34">
        <v>0</v>
      </c>
      <c r="AD63" s="34">
        <v>0</v>
      </c>
      <c r="AE63" s="34">
        <v>0</v>
      </c>
      <c r="AF63" s="34">
        <v>0</v>
      </c>
      <c r="AG63" s="34">
        <v>3</v>
      </c>
      <c r="AH63" s="34">
        <v>0</v>
      </c>
      <c r="AI63" s="34">
        <v>0</v>
      </c>
      <c r="AJ63" s="34">
        <v>79</v>
      </c>
      <c r="AK63" s="34">
        <v>26</v>
      </c>
      <c r="AL63" s="34"/>
      <c r="AM63" s="34" t="s">
        <v>33</v>
      </c>
    </row>
    <row r="64" spans="1:39" ht="14.4" customHeight="1" x14ac:dyDescent="0.3">
      <c r="A64" s="203">
        <v>1006103</v>
      </c>
      <c r="B64" s="34">
        <v>1006376</v>
      </c>
      <c r="C64" s="34" t="s">
        <v>1532</v>
      </c>
      <c r="D64" s="34" t="s">
        <v>2102</v>
      </c>
      <c r="E64" s="34" t="s">
        <v>2292</v>
      </c>
      <c r="F64" s="34" t="s">
        <v>36</v>
      </c>
      <c r="G64" s="34" t="s">
        <v>1514</v>
      </c>
      <c r="H64" s="34" t="s">
        <v>206</v>
      </c>
      <c r="I64" s="34" t="s">
        <v>36</v>
      </c>
      <c r="J64" s="34" t="s">
        <v>36</v>
      </c>
      <c r="K64" s="34" t="s">
        <v>36</v>
      </c>
      <c r="L64" s="34" t="s">
        <v>1420</v>
      </c>
      <c r="M64" s="34" t="s">
        <v>1436</v>
      </c>
      <c r="N64" s="34" t="s">
        <v>72</v>
      </c>
      <c r="O64" s="34">
        <v>1006376</v>
      </c>
      <c r="P64" s="34" t="s">
        <v>554</v>
      </c>
      <c r="Q64" s="34" t="s">
        <v>36</v>
      </c>
      <c r="R64" s="34">
        <v>0</v>
      </c>
      <c r="S64" s="34" t="s">
        <v>36</v>
      </c>
      <c r="T64" s="34" t="s">
        <v>36</v>
      </c>
      <c r="U64" s="34" t="s">
        <v>36</v>
      </c>
      <c r="V64" s="34" t="s">
        <v>36</v>
      </c>
      <c r="W64" s="34" t="s">
        <v>36</v>
      </c>
      <c r="X64" s="34" t="s">
        <v>36</v>
      </c>
      <c r="Y64" s="34" t="s">
        <v>36</v>
      </c>
      <c r="Z64" s="34" t="s">
        <v>36</v>
      </c>
      <c r="AA64" s="34" t="s">
        <v>36</v>
      </c>
      <c r="AB64" s="34" t="s">
        <v>36</v>
      </c>
      <c r="AC64" s="34" t="s">
        <v>36</v>
      </c>
      <c r="AD64" s="34" t="s">
        <v>36</v>
      </c>
      <c r="AE64" s="34" t="s">
        <v>36</v>
      </c>
      <c r="AF64" s="34" t="s">
        <v>36</v>
      </c>
      <c r="AG64" s="34" t="s">
        <v>36</v>
      </c>
      <c r="AH64" s="34" t="s">
        <v>36</v>
      </c>
      <c r="AI64" s="34" t="s">
        <v>36</v>
      </c>
      <c r="AJ64" s="34" t="s">
        <v>36</v>
      </c>
      <c r="AK64" s="34" t="s">
        <v>36</v>
      </c>
      <c r="AL64" s="34"/>
      <c r="AM64" s="34" t="s">
        <v>36</v>
      </c>
    </row>
    <row r="65" spans="1:39" ht="14.4" customHeight="1" x14ac:dyDescent="0.3">
      <c r="A65" s="203">
        <v>1005849</v>
      </c>
      <c r="B65" s="34">
        <v>395855</v>
      </c>
      <c r="C65" s="34" t="s">
        <v>2352</v>
      </c>
      <c r="D65" s="34" t="s">
        <v>806</v>
      </c>
      <c r="E65" s="34" t="s">
        <v>2131</v>
      </c>
      <c r="F65" s="34" t="s">
        <v>36</v>
      </c>
      <c r="G65" s="34" t="s">
        <v>714</v>
      </c>
      <c r="H65" s="34" t="s">
        <v>2356</v>
      </c>
      <c r="I65" s="34" t="s">
        <v>36</v>
      </c>
      <c r="J65" s="34" t="s">
        <v>36</v>
      </c>
      <c r="K65" s="34" t="s">
        <v>36</v>
      </c>
      <c r="L65" s="34" t="s">
        <v>1429</v>
      </c>
      <c r="M65" s="34" t="s">
        <v>1421</v>
      </c>
      <c r="N65" s="34" t="s">
        <v>72</v>
      </c>
      <c r="O65" s="34">
        <v>395855</v>
      </c>
      <c r="P65" s="34" t="s">
        <v>946</v>
      </c>
      <c r="Q65" s="34" t="s">
        <v>36</v>
      </c>
      <c r="R65" s="34">
        <v>0</v>
      </c>
      <c r="S65" s="34" t="s">
        <v>36</v>
      </c>
      <c r="T65" s="34" t="s">
        <v>36</v>
      </c>
      <c r="U65" s="34" t="s">
        <v>36</v>
      </c>
      <c r="V65" s="34" t="s">
        <v>36</v>
      </c>
      <c r="W65" s="34" t="s">
        <v>36</v>
      </c>
      <c r="X65" s="34" t="s">
        <v>36</v>
      </c>
      <c r="Y65" s="34" t="s">
        <v>36</v>
      </c>
      <c r="Z65" s="34" t="s">
        <v>36</v>
      </c>
      <c r="AA65" s="34" t="s">
        <v>36</v>
      </c>
      <c r="AB65" s="34" t="s">
        <v>36</v>
      </c>
      <c r="AC65" s="34" t="s">
        <v>36</v>
      </c>
      <c r="AD65" s="34" t="s">
        <v>36</v>
      </c>
      <c r="AE65" s="34" t="s">
        <v>36</v>
      </c>
      <c r="AF65" s="34" t="s">
        <v>36</v>
      </c>
      <c r="AG65" s="34" t="s">
        <v>36</v>
      </c>
      <c r="AH65" s="34" t="s">
        <v>36</v>
      </c>
      <c r="AI65" s="34" t="s">
        <v>36</v>
      </c>
      <c r="AJ65" s="34" t="s">
        <v>36</v>
      </c>
      <c r="AK65" s="34" t="s">
        <v>36</v>
      </c>
      <c r="AL65" s="34"/>
      <c r="AM65" s="34" t="s">
        <v>36</v>
      </c>
    </row>
    <row r="66" spans="1:39" ht="14.4" customHeight="1" x14ac:dyDescent="0.3">
      <c r="A66" s="203">
        <v>1005649</v>
      </c>
      <c r="B66" s="34">
        <v>1004171</v>
      </c>
      <c r="C66" s="34" t="s">
        <v>1536</v>
      </c>
      <c r="D66" s="34" t="s">
        <v>857</v>
      </c>
      <c r="E66" s="34" t="s">
        <v>2292</v>
      </c>
      <c r="F66" s="34" t="s">
        <v>36</v>
      </c>
      <c r="G66" s="34" t="s">
        <v>595</v>
      </c>
      <c r="H66" s="34" t="s">
        <v>206</v>
      </c>
      <c r="I66" s="34" t="s">
        <v>36</v>
      </c>
      <c r="J66" s="34" t="s">
        <v>36</v>
      </c>
      <c r="K66" s="34" t="s">
        <v>36</v>
      </c>
      <c r="L66" s="34" t="s">
        <v>1420</v>
      </c>
      <c r="M66" s="34" t="s">
        <v>1433</v>
      </c>
      <c r="N66" s="34" t="s">
        <v>72</v>
      </c>
      <c r="O66" s="34">
        <v>1004171</v>
      </c>
      <c r="P66" s="34" t="s">
        <v>554</v>
      </c>
      <c r="Q66" s="34" t="s">
        <v>36</v>
      </c>
      <c r="R66" s="34">
        <v>0</v>
      </c>
      <c r="S66" s="34" t="s">
        <v>36</v>
      </c>
      <c r="T66" s="34" t="s">
        <v>36</v>
      </c>
      <c r="U66" s="34" t="s">
        <v>36</v>
      </c>
      <c r="V66" s="34" t="s">
        <v>36</v>
      </c>
      <c r="W66" s="34" t="s">
        <v>36</v>
      </c>
      <c r="X66" s="34" t="s">
        <v>36</v>
      </c>
      <c r="Y66" s="34" t="s">
        <v>36</v>
      </c>
      <c r="Z66" s="34" t="s">
        <v>36</v>
      </c>
      <c r="AA66" s="34" t="s">
        <v>36</v>
      </c>
      <c r="AB66" s="34" t="s">
        <v>36</v>
      </c>
      <c r="AC66" s="34" t="s">
        <v>36</v>
      </c>
      <c r="AD66" s="34" t="s">
        <v>36</v>
      </c>
      <c r="AE66" s="34" t="s">
        <v>36</v>
      </c>
      <c r="AF66" s="34" t="s">
        <v>36</v>
      </c>
      <c r="AG66" s="34" t="s">
        <v>36</v>
      </c>
      <c r="AH66" s="34" t="s">
        <v>36</v>
      </c>
      <c r="AI66" s="34" t="s">
        <v>36</v>
      </c>
      <c r="AJ66" s="34" t="s">
        <v>36</v>
      </c>
      <c r="AK66" s="34" t="s">
        <v>36</v>
      </c>
      <c r="AL66" s="34"/>
      <c r="AM66" s="34" t="s">
        <v>36</v>
      </c>
    </row>
    <row r="67" spans="1:39" ht="14.4" customHeight="1" x14ac:dyDescent="0.3">
      <c r="A67" s="203">
        <v>1005494</v>
      </c>
      <c r="B67" s="34">
        <v>1013136</v>
      </c>
      <c r="C67" s="34" t="s">
        <v>2041</v>
      </c>
      <c r="D67" s="34" t="s">
        <v>857</v>
      </c>
      <c r="E67" s="34" t="s">
        <v>106</v>
      </c>
      <c r="F67" s="34" t="s">
        <v>36</v>
      </c>
      <c r="G67" s="34" t="s">
        <v>1009</v>
      </c>
      <c r="H67" s="34" t="s">
        <v>1006</v>
      </c>
      <c r="I67" s="34" t="s">
        <v>36</v>
      </c>
      <c r="J67" s="34" t="s">
        <v>36</v>
      </c>
      <c r="K67" s="34" t="s">
        <v>36</v>
      </c>
      <c r="L67" s="34" t="s">
        <v>1420</v>
      </c>
      <c r="M67" s="34" t="s">
        <v>1433</v>
      </c>
      <c r="N67" s="34" t="s">
        <v>72</v>
      </c>
      <c r="O67" s="34">
        <v>1013136</v>
      </c>
      <c r="P67" s="34" t="s">
        <v>554</v>
      </c>
      <c r="Q67" s="34" t="s">
        <v>36</v>
      </c>
      <c r="R67" s="34">
        <v>0</v>
      </c>
      <c r="S67" s="34" t="s">
        <v>36</v>
      </c>
      <c r="T67" s="34" t="s">
        <v>36</v>
      </c>
      <c r="U67" s="34" t="s">
        <v>36</v>
      </c>
      <c r="V67" s="34" t="s">
        <v>36</v>
      </c>
      <c r="W67" s="34" t="s">
        <v>36</v>
      </c>
      <c r="X67" s="34" t="s">
        <v>36</v>
      </c>
      <c r="Y67" s="34" t="s">
        <v>36</v>
      </c>
      <c r="Z67" s="34" t="s">
        <v>36</v>
      </c>
      <c r="AA67" s="34" t="s">
        <v>36</v>
      </c>
      <c r="AB67" s="34" t="s">
        <v>36</v>
      </c>
      <c r="AC67" s="34" t="s">
        <v>36</v>
      </c>
      <c r="AD67" s="34" t="s">
        <v>36</v>
      </c>
      <c r="AE67" s="34" t="s">
        <v>36</v>
      </c>
      <c r="AF67" s="34" t="s">
        <v>36</v>
      </c>
      <c r="AG67" s="34" t="s">
        <v>36</v>
      </c>
      <c r="AH67" s="34" t="s">
        <v>36</v>
      </c>
      <c r="AI67" s="34" t="s">
        <v>36</v>
      </c>
      <c r="AJ67" s="34" t="s">
        <v>36</v>
      </c>
      <c r="AK67" s="34" t="s">
        <v>36</v>
      </c>
      <c r="AL67" s="34"/>
      <c r="AM67" s="34" t="s">
        <v>36</v>
      </c>
    </row>
    <row r="68" spans="1:39" ht="14.4" customHeight="1" x14ac:dyDescent="0.3">
      <c r="A68" s="203">
        <v>1005403</v>
      </c>
      <c r="B68" s="34">
        <v>262146</v>
      </c>
      <c r="C68" s="34" t="s">
        <v>1515</v>
      </c>
      <c r="D68" s="34" t="s">
        <v>972</v>
      </c>
      <c r="E68" s="34" t="s">
        <v>106</v>
      </c>
      <c r="F68" s="34">
        <v>16</v>
      </c>
      <c r="G68" s="34" t="s">
        <v>110</v>
      </c>
      <c r="H68" s="34" t="s">
        <v>36</v>
      </c>
      <c r="I68" s="34" t="s">
        <v>38</v>
      </c>
      <c r="J68" s="34" t="s">
        <v>36</v>
      </c>
      <c r="K68" s="34" t="s">
        <v>1412</v>
      </c>
      <c r="L68" s="34" t="s">
        <v>104</v>
      </c>
      <c r="M68" s="34" t="s">
        <v>1419</v>
      </c>
      <c r="N68" s="34" t="s">
        <v>117</v>
      </c>
      <c r="O68" s="34">
        <v>1005403</v>
      </c>
      <c r="P68" s="34" t="s">
        <v>946</v>
      </c>
      <c r="Q68" s="34">
        <v>0</v>
      </c>
      <c r="R68" s="34">
        <v>1</v>
      </c>
      <c r="S68" s="34">
        <v>6</v>
      </c>
      <c r="T68" s="34">
        <v>0</v>
      </c>
      <c r="U68" s="34">
        <v>0</v>
      </c>
      <c r="V68" s="34">
        <v>0</v>
      </c>
      <c r="W68" s="34">
        <v>0</v>
      </c>
      <c r="X68" s="34">
        <v>0</v>
      </c>
      <c r="Y68" s="34">
        <v>8</v>
      </c>
      <c r="Z68" s="34">
        <v>0</v>
      </c>
      <c r="AA68" s="34">
        <v>0</v>
      </c>
      <c r="AB68" s="34">
        <v>0</v>
      </c>
      <c r="AC68" s="34">
        <v>0</v>
      </c>
      <c r="AD68" s="34">
        <v>0</v>
      </c>
      <c r="AE68" s="34">
        <v>0</v>
      </c>
      <c r="AF68" s="34">
        <v>0</v>
      </c>
      <c r="AG68" s="34">
        <v>0</v>
      </c>
      <c r="AH68" s="34">
        <v>0</v>
      </c>
      <c r="AI68" s="34">
        <v>2</v>
      </c>
      <c r="AJ68" s="34">
        <v>8</v>
      </c>
      <c r="AK68" s="34">
        <v>0</v>
      </c>
      <c r="AL68" s="34"/>
      <c r="AM68" s="34" t="s">
        <v>33</v>
      </c>
    </row>
    <row r="69" spans="1:39" ht="14.4" customHeight="1" x14ac:dyDescent="0.3">
      <c r="A69" s="203">
        <v>1005321</v>
      </c>
      <c r="B69" s="34">
        <v>262146</v>
      </c>
      <c r="C69" s="34" t="s">
        <v>1518</v>
      </c>
      <c r="D69" s="34" t="s">
        <v>857</v>
      </c>
      <c r="E69" s="34" t="s">
        <v>106</v>
      </c>
      <c r="F69" s="34">
        <v>34</v>
      </c>
      <c r="G69" s="34" t="s">
        <v>1437</v>
      </c>
      <c r="H69" s="34" t="s">
        <v>36</v>
      </c>
      <c r="I69" s="34" t="s">
        <v>38</v>
      </c>
      <c r="J69" s="34" t="s">
        <v>36</v>
      </c>
      <c r="K69" s="34" t="s">
        <v>1414</v>
      </c>
      <c r="L69" s="34" t="s">
        <v>104</v>
      </c>
      <c r="M69" s="34" t="s">
        <v>1419</v>
      </c>
      <c r="N69" s="34" t="s">
        <v>117</v>
      </c>
      <c r="O69" s="34">
        <v>1005321</v>
      </c>
      <c r="P69" s="34" t="s">
        <v>946</v>
      </c>
      <c r="Q69" s="34">
        <v>0</v>
      </c>
      <c r="R69" s="34">
        <v>2</v>
      </c>
      <c r="S69" s="34">
        <v>0</v>
      </c>
      <c r="T69" s="34">
        <v>0</v>
      </c>
      <c r="U69" s="34">
        <v>6</v>
      </c>
      <c r="V69" s="34">
        <v>0</v>
      </c>
      <c r="W69" s="34">
        <v>0</v>
      </c>
      <c r="X69" s="34">
        <v>0</v>
      </c>
      <c r="Y69" s="34">
        <v>28</v>
      </c>
      <c r="Z69" s="34">
        <v>0</v>
      </c>
      <c r="AA69" s="34">
        <v>0</v>
      </c>
      <c r="AB69" s="34">
        <v>0</v>
      </c>
      <c r="AC69" s="34">
        <v>0</v>
      </c>
      <c r="AD69" s="34">
        <v>0</v>
      </c>
      <c r="AE69" s="34">
        <v>0</v>
      </c>
      <c r="AF69" s="34">
        <v>0</v>
      </c>
      <c r="AG69" s="34">
        <v>0</v>
      </c>
      <c r="AH69" s="34">
        <v>0</v>
      </c>
      <c r="AI69" s="34">
        <v>0</v>
      </c>
      <c r="AJ69" s="34">
        <v>34</v>
      </c>
      <c r="AK69" s="34">
        <v>0</v>
      </c>
      <c r="AL69" s="34"/>
      <c r="AM69" s="34" t="s">
        <v>40</v>
      </c>
    </row>
    <row r="70" spans="1:39" ht="14.4" customHeight="1" x14ac:dyDescent="0.3">
      <c r="A70" s="203">
        <v>1004171</v>
      </c>
      <c r="B70" s="34">
        <v>381600</v>
      </c>
      <c r="C70" s="34" t="s">
        <v>1474</v>
      </c>
      <c r="D70" s="34" t="s">
        <v>972</v>
      </c>
      <c r="E70" s="34" t="s">
        <v>106</v>
      </c>
      <c r="F70" s="34">
        <v>59</v>
      </c>
      <c r="G70" s="34" t="s">
        <v>595</v>
      </c>
      <c r="H70" s="34" t="s">
        <v>36</v>
      </c>
      <c r="I70" s="34" t="s">
        <v>939</v>
      </c>
      <c r="J70" s="34" t="s">
        <v>36</v>
      </c>
      <c r="K70" s="34" t="s">
        <v>1412</v>
      </c>
      <c r="L70" s="34" t="s">
        <v>104</v>
      </c>
      <c r="M70" s="34" t="s">
        <v>1419</v>
      </c>
      <c r="N70" s="34" t="s">
        <v>117</v>
      </c>
      <c r="O70" s="34">
        <v>1004171</v>
      </c>
      <c r="P70" s="34" t="s">
        <v>554</v>
      </c>
      <c r="Q70" s="34">
        <v>4</v>
      </c>
      <c r="R70" s="34">
        <v>2</v>
      </c>
      <c r="S70" s="34">
        <v>32</v>
      </c>
      <c r="T70" s="34">
        <v>0</v>
      </c>
      <c r="U70" s="34">
        <v>0</v>
      </c>
      <c r="V70" s="34">
        <v>0</v>
      </c>
      <c r="W70" s="34">
        <v>0</v>
      </c>
      <c r="X70" s="34">
        <v>0</v>
      </c>
      <c r="Y70" s="34">
        <v>0</v>
      </c>
      <c r="Z70" s="34">
        <v>0</v>
      </c>
      <c r="AA70" s="34">
        <v>0</v>
      </c>
      <c r="AB70" s="34">
        <v>0</v>
      </c>
      <c r="AC70" s="34">
        <v>0</v>
      </c>
      <c r="AD70" s="34">
        <v>0</v>
      </c>
      <c r="AE70" s="34">
        <v>11</v>
      </c>
      <c r="AF70" s="34">
        <v>0</v>
      </c>
      <c r="AG70" s="34">
        <v>31</v>
      </c>
      <c r="AH70" s="34">
        <v>0</v>
      </c>
      <c r="AI70" s="34">
        <v>0</v>
      </c>
      <c r="AJ70" s="34">
        <v>42</v>
      </c>
      <c r="AK70" s="34">
        <v>0</v>
      </c>
      <c r="AL70" s="34"/>
      <c r="AM70" s="34" t="s">
        <v>33</v>
      </c>
    </row>
    <row r="71" spans="1:39" ht="14.4" customHeight="1" x14ac:dyDescent="0.3">
      <c r="A71" s="203">
        <v>1003914</v>
      </c>
      <c r="B71" s="34">
        <v>392058</v>
      </c>
      <c r="C71" s="34" t="s">
        <v>1775</v>
      </c>
      <c r="D71" s="34" t="s">
        <v>857</v>
      </c>
      <c r="E71" s="34" t="s">
        <v>28</v>
      </c>
      <c r="F71" s="34" t="s">
        <v>36</v>
      </c>
      <c r="G71" s="34" t="s">
        <v>933</v>
      </c>
      <c r="H71" s="34" t="s">
        <v>1177</v>
      </c>
      <c r="I71" s="34" t="s">
        <v>36</v>
      </c>
      <c r="J71" s="34" t="s">
        <v>36</v>
      </c>
      <c r="K71" s="34" t="s">
        <v>36</v>
      </c>
      <c r="L71" s="34" t="s">
        <v>1420</v>
      </c>
      <c r="M71" s="34" t="s">
        <v>1421</v>
      </c>
      <c r="N71" s="34" t="s">
        <v>72</v>
      </c>
      <c r="O71" s="34">
        <v>392058</v>
      </c>
      <c r="P71" s="34" t="s">
        <v>951</v>
      </c>
      <c r="Q71" s="34" t="s">
        <v>36</v>
      </c>
      <c r="R71" s="34">
        <v>0</v>
      </c>
      <c r="S71" s="34" t="s">
        <v>36</v>
      </c>
      <c r="T71" s="34" t="s">
        <v>36</v>
      </c>
      <c r="U71" s="34" t="s">
        <v>36</v>
      </c>
      <c r="V71" s="34" t="s">
        <v>36</v>
      </c>
      <c r="W71" s="34" t="s">
        <v>36</v>
      </c>
      <c r="X71" s="34" t="s">
        <v>36</v>
      </c>
      <c r="Y71" s="34" t="s">
        <v>36</v>
      </c>
      <c r="Z71" s="34" t="s">
        <v>36</v>
      </c>
      <c r="AA71" s="34" t="s">
        <v>36</v>
      </c>
      <c r="AB71" s="34" t="s">
        <v>36</v>
      </c>
      <c r="AC71" s="34" t="s">
        <v>36</v>
      </c>
      <c r="AD71" s="34" t="s">
        <v>36</v>
      </c>
      <c r="AE71" s="34" t="s">
        <v>36</v>
      </c>
      <c r="AF71" s="34" t="s">
        <v>36</v>
      </c>
      <c r="AG71" s="34" t="s">
        <v>36</v>
      </c>
      <c r="AH71" s="34" t="s">
        <v>36</v>
      </c>
      <c r="AI71" s="34" t="s">
        <v>36</v>
      </c>
      <c r="AJ71" s="34" t="s">
        <v>36</v>
      </c>
      <c r="AK71" s="34" t="s">
        <v>36</v>
      </c>
      <c r="AL71" s="34"/>
      <c r="AM71" s="34" t="s">
        <v>36</v>
      </c>
    </row>
    <row r="72" spans="1:39" ht="14.4" customHeight="1" x14ac:dyDescent="0.3">
      <c r="A72" s="203">
        <v>1003393</v>
      </c>
      <c r="B72" s="34">
        <v>1006376</v>
      </c>
      <c r="C72" s="34" t="s">
        <v>1513</v>
      </c>
      <c r="D72" s="34" t="s">
        <v>2102</v>
      </c>
      <c r="E72" s="34" t="s">
        <v>2292</v>
      </c>
      <c r="F72" s="34" t="s">
        <v>36</v>
      </c>
      <c r="G72" s="34" t="s">
        <v>1514</v>
      </c>
      <c r="H72" s="34" t="s">
        <v>206</v>
      </c>
      <c r="I72" s="34" t="s">
        <v>36</v>
      </c>
      <c r="J72" s="34" t="s">
        <v>36</v>
      </c>
      <c r="K72" s="34" t="s">
        <v>36</v>
      </c>
      <c r="L72" s="34" t="s">
        <v>1420</v>
      </c>
      <c r="M72" s="34" t="s">
        <v>1421</v>
      </c>
      <c r="N72" s="34" t="s">
        <v>72</v>
      </c>
      <c r="O72" s="34">
        <v>1006376</v>
      </c>
      <c r="P72" s="34" t="s">
        <v>554</v>
      </c>
      <c r="Q72" s="34" t="s">
        <v>36</v>
      </c>
      <c r="R72" s="34">
        <v>0</v>
      </c>
      <c r="S72" s="34" t="s">
        <v>36</v>
      </c>
      <c r="T72" s="34" t="s">
        <v>36</v>
      </c>
      <c r="U72" s="34" t="s">
        <v>36</v>
      </c>
      <c r="V72" s="34" t="s">
        <v>36</v>
      </c>
      <c r="W72" s="34" t="s">
        <v>36</v>
      </c>
      <c r="X72" s="34" t="s">
        <v>36</v>
      </c>
      <c r="Y72" s="34" t="s">
        <v>36</v>
      </c>
      <c r="Z72" s="34" t="s">
        <v>36</v>
      </c>
      <c r="AA72" s="34" t="s">
        <v>36</v>
      </c>
      <c r="AB72" s="34" t="s">
        <v>36</v>
      </c>
      <c r="AC72" s="34" t="s">
        <v>36</v>
      </c>
      <c r="AD72" s="34" t="s">
        <v>36</v>
      </c>
      <c r="AE72" s="34" t="s">
        <v>36</v>
      </c>
      <c r="AF72" s="34" t="s">
        <v>36</v>
      </c>
      <c r="AG72" s="34" t="s">
        <v>36</v>
      </c>
      <c r="AH72" s="34" t="s">
        <v>36</v>
      </c>
      <c r="AI72" s="34" t="s">
        <v>36</v>
      </c>
      <c r="AJ72" s="34" t="s">
        <v>36</v>
      </c>
      <c r="AK72" s="34" t="s">
        <v>36</v>
      </c>
      <c r="AL72" s="34"/>
      <c r="AM72" s="34" t="s">
        <v>36</v>
      </c>
    </row>
    <row r="73" spans="1:39" ht="14.4" customHeight="1" x14ac:dyDescent="0.3">
      <c r="A73" s="203">
        <v>1002583</v>
      </c>
      <c r="B73" s="34">
        <v>243505</v>
      </c>
      <c r="C73" s="34" t="s">
        <v>1755</v>
      </c>
      <c r="D73" s="34" t="s">
        <v>1321</v>
      </c>
      <c r="E73" s="34" t="s">
        <v>28</v>
      </c>
      <c r="F73" s="34">
        <v>13</v>
      </c>
      <c r="G73" s="34" t="s">
        <v>981</v>
      </c>
      <c r="H73" s="34" t="s">
        <v>36</v>
      </c>
      <c r="I73" s="34" t="s">
        <v>38</v>
      </c>
      <c r="J73" s="34" t="s">
        <v>41</v>
      </c>
      <c r="K73" s="34" t="s">
        <v>1414</v>
      </c>
      <c r="L73" s="34" t="s">
        <v>1431</v>
      </c>
      <c r="M73" s="34" t="s">
        <v>1419</v>
      </c>
      <c r="N73" s="34" t="s">
        <v>117</v>
      </c>
      <c r="O73" s="34">
        <v>1002583</v>
      </c>
      <c r="P73" s="34" t="s">
        <v>18</v>
      </c>
      <c r="Q73" s="34">
        <v>0</v>
      </c>
      <c r="R73" s="34">
        <v>1</v>
      </c>
      <c r="S73" s="34">
        <v>0</v>
      </c>
      <c r="T73" s="34">
        <v>0</v>
      </c>
      <c r="U73" s="34">
        <v>0</v>
      </c>
      <c r="V73" s="34">
        <v>0</v>
      </c>
      <c r="W73" s="34">
        <v>0</v>
      </c>
      <c r="X73" s="34">
        <v>0</v>
      </c>
      <c r="Y73" s="34">
        <v>0</v>
      </c>
      <c r="Z73" s="34">
        <v>0</v>
      </c>
      <c r="AA73" s="34">
        <v>0</v>
      </c>
      <c r="AB73" s="34">
        <v>0</v>
      </c>
      <c r="AC73" s="34">
        <v>0</v>
      </c>
      <c r="AD73" s="34">
        <v>0</v>
      </c>
      <c r="AE73" s="34">
        <v>13</v>
      </c>
      <c r="AF73" s="34">
        <v>0</v>
      </c>
      <c r="AG73" s="34">
        <v>0</v>
      </c>
      <c r="AH73" s="34">
        <v>0</v>
      </c>
      <c r="AI73" s="34">
        <v>0</v>
      </c>
      <c r="AJ73" s="34">
        <v>13</v>
      </c>
      <c r="AK73" s="34">
        <v>0</v>
      </c>
      <c r="AL73" s="34"/>
      <c r="AM73" s="34" t="s">
        <v>40</v>
      </c>
    </row>
    <row r="74" spans="1:39" ht="14.4" customHeight="1" x14ac:dyDescent="0.3">
      <c r="A74" s="203">
        <v>1002477</v>
      </c>
      <c r="B74" s="34">
        <v>262146</v>
      </c>
      <c r="C74" s="34" t="s">
        <v>1413</v>
      </c>
      <c r="D74" s="34" t="s">
        <v>2250</v>
      </c>
      <c r="E74" s="34" t="s">
        <v>28</v>
      </c>
      <c r="F74" s="34">
        <v>14</v>
      </c>
      <c r="G74" s="34" t="s">
        <v>548</v>
      </c>
      <c r="H74" s="34" t="s">
        <v>36</v>
      </c>
      <c r="I74" s="34" t="s">
        <v>38</v>
      </c>
      <c r="J74" s="34" t="s">
        <v>36</v>
      </c>
      <c r="K74" s="34" t="s">
        <v>1414</v>
      </c>
      <c r="L74" s="34" t="s">
        <v>104</v>
      </c>
      <c r="M74" s="34" t="s">
        <v>1419</v>
      </c>
      <c r="N74" s="34" t="s">
        <v>117</v>
      </c>
      <c r="O74" s="34">
        <v>1002477</v>
      </c>
      <c r="P74" s="34" t="s">
        <v>945</v>
      </c>
      <c r="Q74" s="34">
        <v>0</v>
      </c>
      <c r="R74" s="34">
        <v>1</v>
      </c>
      <c r="S74" s="34">
        <v>0</v>
      </c>
      <c r="T74" s="34">
        <v>0</v>
      </c>
      <c r="U74" s="34">
        <v>0</v>
      </c>
      <c r="V74" s="34">
        <v>14</v>
      </c>
      <c r="W74" s="34">
        <v>0</v>
      </c>
      <c r="X74" s="34">
        <v>0</v>
      </c>
      <c r="Y74" s="34">
        <v>0</v>
      </c>
      <c r="Z74" s="34">
        <v>0</v>
      </c>
      <c r="AA74" s="34">
        <v>0</v>
      </c>
      <c r="AB74" s="34">
        <v>0</v>
      </c>
      <c r="AC74" s="34">
        <v>0</v>
      </c>
      <c r="AD74" s="34">
        <v>0</v>
      </c>
      <c r="AE74" s="34">
        <v>0</v>
      </c>
      <c r="AF74" s="34">
        <v>0</v>
      </c>
      <c r="AG74" s="34">
        <v>0</v>
      </c>
      <c r="AH74" s="34">
        <v>0</v>
      </c>
      <c r="AI74" s="34">
        <v>0</v>
      </c>
      <c r="AJ74" s="34">
        <v>14</v>
      </c>
      <c r="AK74" s="34">
        <v>0</v>
      </c>
      <c r="AL74" s="34"/>
      <c r="AM74" s="34" t="s">
        <v>40</v>
      </c>
    </row>
    <row r="75" spans="1:39" ht="14.4" customHeight="1" x14ac:dyDescent="0.3">
      <c r="A75" s="203">
        <v>1002381</v>
      </c>
      <c r="B75" s="34">
        <v>1000707</v>
      </c>
      <c r="C75" s="34" t="s">
        <v>1175</v>
      </c>
      <c r="D75" s="34" t="s">
        <v>972</v>
      </c>
      <c r="E75" s="34" t="s">
        <v>106</v>
      </c>
      <c r="F75" s="34">
        <v>41</v>
      </c>
      <c r="G75" s="34" t="s">
        <v>170</v>
      </c>
      <c r="H75" s="34" t="s">
        <v>36</v>
      </c>
      <c r="I75" s="34" t="s">
        <v>38</v>
      </c>
      <c r="J75" s="34" t="s">
        <v>36</v>
      </c>
      <c r="K75" s="34" t="s">
        <v>1412</v>
      </c>
      <c r="L75" s="34" t="s">
        <v>104</v>
      </c>
      <c r="M75" s="34" t="s">
        <v>1419</v>
      </c>
      <c r="N75" s="34" t="s">
        <v>117</v>
      </c>
      <c r="O75" s="34">
        <v>1002381</v>
      </c>
      <c r="P75" s="34" t="s">
        <v>943</v>
      </c>
      <c r="Q75" s="34">
        <v>0</v>
      </c>
      <c r="R75" s="34">
        <v>2</v>
      </c>
      <c r="S75" s="34">
        <v>11</v>
      </c>
      <c r="T75" s="34">
        <v>0</v>
      </c>
      <c r="U75" s="34">
        <v>0</v>
      </c>
      <c r="V75" s="34">
        <v>0</v>
      </c>
      <c r="W75" s="34">
        <v>0</v>
      </c>
      <c r="X75" s="34">
        <v>18</v>
      </c>
      <c r="Y75" s="34">
        <v>4</v>
      </c>
      <c r="Z75" s="34">
        <v>0</v>
      </c>
      <c r="AA75" s="34">
        <v>0</v>
      </c>
      <c r="AB75" s="34">
        <v>0</v>
      </c>
      <c r="AC75" s="34">
        <v>0</v>
      </c>
      <c r="AD75" s="34">
        <v>0</v>
      </c>
      <c r="AE75" s="34">
        <v>0</v>
      </c>
      <c r="AF75" s="34">
        <v>0</v>
      </c>
      <c r="AG75" s="34">
        <v>0</v>
      </c>
      <c r="AH75" s="34">
        <v>0</v>
      </c>
      <c r="AI75" s="34">
        <v>7</v>
      </c>
      <c r="AJ75" s="34">
        <v>22</v>
      </c>
      <c r="AK75" s="34">
        <v>3</v>
      </c>
      <c r="AL75" s="34"/>
      <c r="AM75" s="34" t="s">
        <v>33</v>
      </c>
    </row>
    <row r="76" spans="1:39" ht="14.4" customHeight="1" x14ac:dyDescent="0.3">
      <c r="A76" s="203">
        <v>1002345</v>
      </c>
      <c r="B76" s="34">
        <v>1000707</v>
      </c>
      <c r="C76" s="34" t="s">
        <v>1574</v>
      </c>
      <c r="D76" s="34" t="s">
        <v>1866</v>
      </c>
      <c r="E76" s="34" t="s">
        <v>106</v>
      </c>
      <c r="F76" s="34">
        <v>67</v>
      </c>
      <c r="G76" s="34" t="s">
        <v>170</v>
      </c>
      <c r="H76" s="34" t="s">
        <v>36</v>
      </c>
      <c r="I76" s="34" t="s">
        <v>1869</v>
      </c>
      <c r="J76" s="34" t="s">
        <v>36</v>
      </c>
      <c r="K76" s="34" t="s">
        <v>1412</v>
      </c>
      <c r="L76" s="34" t="s">
        <v>104</v>
      </c>
      <c r="M76" s="34" t="s">
        <v>1419</v>
      </c>
      <c r="N76" s="34" t="s">
        <v>117</v>
      </c>
      <c r="O76" s="34">
        <v>1002345</v>
      </c>
      <c r="P76" s="34" t="s">
        <v>943</v>
      </c>
      <c r="Q76" s="34">
        <v>3</v>
      </c>
      <c r="R76" s="34">
        <v>2</v>
      </c>
      <c r="S76" s="34">
        <v>12</v>
      </c>
      <c r="T76" s="34">
        <v>0</v>
      </c>
      <c r="U76" s="34">
        <v>0</v>
      </c>
      <c r="V76" s="34">
        <v>3</v>
      </c>
      <c r="W76" s="34">
        <v>0</v>
      </c>
      <c r="X76" s="34">
        <v>22</v>
      </c>
      <c r="Y76" s="34">
        <v>0</v>
      </c>
      <c r="Z76" s="34">
        <v>0</v>
      </c>
      <c r="AA76" s="34">
        <v>0</v>
      </c>
      <c r="AB76" s="34">
        <v>0</v>
      </c>
      <c r="AC76" s="34">
        <v>0</v>
      </c>
      <c r="AD76" s="34">
        <v>0</v>
      </c>
      <c r="AE76" s="34">
        <v>0</v>
      </c>
      <c r="AF76" s="34">
        <v>0</v>
      </c>
      <c r="AG76" s="34">
        <v>0</v>
      </c>
      <c r="AH76" s="34">
        <v>0</v>
      </c>
      <c r="AI76" s="34">
        <v>0</v>
      </c>
      <c r="AJ76" s="34">
        <v>25</v>
      </c>
      <c r="AK76" s="34">
        <v>31</v>
      </c>
      <c r="AL76" s="34"/>
      <c r="AM76" s="34" t="s">
        <v>33</v>
      </c>
    </row>
    <row r="77" spans="1:39" ht="14.4" customHeight="1" x14ac:dyDescent="0.3">
      <c r="A77" s="203">
        <v>1001912</v>
      </c>
      <c r="B77" s="34">
        <v>245573</v>
      </c>
      <c r="C77" s="34" t="s">
        <v>1170</v>
      </c>
      <c r="D77" s="34" t="s">
        <v>972</v>
      </c>
      <c r="E77" s="34" t="s">
        <v>106</v>
      </c>
      <c r="F77" s="34">
        <v>127</v>
      </c>
      <c r="G77" s="34" t="s">
        <v>1009</v>
      </c>
      <c r="H77" s="34" t="s">
        <v>36</v>
      </c>
      <c r="I77" s="34" t="s">
        <v>979</v>
      </c>
      <c r="J77" s="34" t="s">
        <v>36</v>
      </c>
      <c r="K77" s="34" t="s">
        <v>1412</v>
      </c>
      <c r="L77" s="34" t="s">
        <v>104</v>
      </c>
      <c r="M77" s="34" t="s">
        <v>1419</v>
      </c>
      <c r="N77" s="34" t="s">
        <v>117</v>
      </c>
      <c r="O77" s="34">
        <v>1001912</v>
      </c>
      <c r="P77" s="34" t="s">
        <v>554</v>
      </c>
      <c r="Q77" s="34">
        <v>15</v>
      </c>
      <c r="R77" s="34">
        <v>1</v>
      </c>
      <c r="S77" s="34">
        <v>131</v>
      </c>
      <c r="T77" s="34">
        <v>0</v>
      </c>
      <c r="U77" s="34">
        <v>0</v>
      </c>
      <c r="V77" s="34">
        <v>0</v>
      </c>
      <c r="W77" s="34">
        <v>0</v>
      </c>
      <c r="X77" s="34">
        <v>0</v>
      </c>
      <c r="Y77" s="34">
        <v>0</v>
      </c>
      <c r="Z77" s="34">
        <v>0</v>
      </c>
      <c r="AA77" s="34">
        <v>0</v>
      </c>
      <c r="AB77" s="34">
        <v>0</v>
      </c>
      <c r="AC77" s="34">
        <v>0</v>
      </c>
      <c r="AD77" s="34">
        <v>0</v>
      </c>
      <c r="AE77" s="34">
        <v>0</v>
      </c>
      <c r="AF77" s="34">
        <v>0</v>
      </c>
      <c r="AG77" s="34">
        <v>3</v>
      </c>
      <c r="AH77" s="34">
        <v>0</v>
      </c>
      <c r="AI77" s="34">
        <v>3</v>
      </c>
      <c r="AJ77" s="34">
        <v>3</v>
      </c>
      <c r="AK77" s="34">
        <v>0</v>
      </c>
      <c r="AL77" s="34"/>
      <c r="AM77" s="34" t="s">
        <v>33</v>
      </c>
    </row>
    <row r="78" spans="1:39" ht="14.4" customHeight="1" x14ac:dyDescent="0.3">
      <c r="A78" s="203">
        <v>1001826</v>
      </c>
      <c r="B78" s="34">
        <v>1007900</v>
      </c>
      <c r="C78" s="34" t="s">
        <v>2045</v>
      </c>
      <c r="D78" s="34" t="s">
        <v>886</v>
      </c>
      <c r="E78" s="34" t="s">
        <v>2254</v>
      </c>
      <c r="F78" s="34" t="s">
        <v>36</v>
      </c>
      <c r="G78" s="34" t="s">
        <v>550</v>
      </c>
      <c r="H78" s="34" t="s">
        <v>515</v>
      </c>
      <c r="I78" s="34" t="s">
        <v>1869</v>
      </c>
      <c r="J78" s="34" t="s">
        <v>36</v>
      </c>
      <c r="K78" s="34" t="s">
        <v>36</v>
      </c>
      <c r="L78" s="34" t="s">
        <v>1429</v>
      </c>
      <c r="M78" s="34" t="s">
        <v>1421</v>
      </c>
      <c r="N78" s="34" t="s">
        <v>72</v>
      </c>
      <c r="O78" s="34">
        <v>1007900</v>
      </c>
      <c r="P78" s="34" t="s">
        <v>950</v>
      </c>
      <c r="Q78" s="34" t="s">
        <v>36</v>
      </c>
      <c r="R78" s="34">
        <v>0</v>
      </c>
      <c r="S78" s="34" t="s">
        <v>36</v>
      </c>
      <c r="T78" s="34" t="s">
        <v>36</v>
      </c>
      <c r="U78" s="34" t="s">
        <v>36</v>
      </c>
      <c r="V78" s="34" t="s">
        <v>36</v>
      </c>
      <c r="W78" s="34" t="s">
        <v>36</v>
      </c>
      <c r="X78" s="34" t="s">
        <v>36</v>
      </c>
      <c r="Y78" s="34" t="s">
        <v>36</v>
      </c>
      <c r="Z78" s="34" t="s">
        <v>36</v>
      </c>
      <c r="AA78" s="34" t="s">
        <v>36</v>
      </c>
      <c r="AB78" s="34" t="s">
        <v>36</v>
      </c>
      <c r="AC78" s="34" t="s">
        <v>36</v>
      </c>
      <c r="AD78" s="34" t="s">
        <v>36</v>
      </c>
      <c r="AE78" s="34" t="s">
        <v>36</v>
      </c>
      <c r="AF78" s="34" t="s">
        <v>36</v>
      </c>
      <c r="AG78" s="34" t="s">
        <v>36</v>
      </c>
      <c r="AH78" s="34" t="s">
        <v>36</v>
      </c>
      <c r="AI78" s="34" t="s">
        <v>36</v>
      </c>
      <c r="AJ78" s="34" t="s">
        <v>36</v>
      </c>
      <c r="AK78" s="34" t="s">
        <v>36</v>
      </c>
      <c r="AL78" s="34"/>
      <c r="AM78" s="34" t="s">
        <v>36</v>
      </c>
    </row>
    <row r="79" spans="1:39" ht="14.4" customHeight="1" x14ac:dyDescent="0.3">
      <c r="A79" s="203">
        <v>1001062</v>
      </c>
      <c r="B79" s="34">
        <v>243505</v>
      </c>
      <c r="C79" s="34" t="s">
        <v>1754</v>
      </c>
      <c r="D79" s="34" t="s">
        <v>1321</v>
      </c>
      <c r="E79" s="34" t="s">
        <v>28</v>
      </c>
      <c r="F79" s="34">
        <v>27</v>
      </c>
      <c r="G79" s="34" t="s">
        <v>981</v>
      </c>
      <c r="H79" s="34" t="s">
        <v>36</v>
      </c>
      <c r="I79" s="34" t="s">
        <v>38</v>
      </c>
      <c r="J79" s="34" t="s">
        <v>36</v>
      </c>
      <c r="K79" s="34" t="s">
        <v>1412</v>
      </c>
      <c r="L79" s="34" t="s">
        <v>1430</v>
      </c>
      <c r="M79" s="34" t="s">
        <v>1419</v>
      </c>
      <c r="N79" s="34" t="s">
        <v>117</v>
      </c>
      <c r="O79" s="34">
        <v>1001062</v>
      </c>
      <c r="P79" s="34" t="s">
        <v>18</v>
      </c>
      <c r="Q79" s="34">
        <v>0</v>
      </c>
      <c r="R79" s="34">
        <v>1</v>
      </c>
      <c r="S79" s="34">
        <v>0</v>
      </c>
      <c r="T79" s="34">
        <v>0</v>
      </c>
      <c r="U79" s="34">
        <v>0</v>
      </c>
      <c r="V79" s="34">
        <v>0</v>
      </c>
      <c r="W79" s="34">
        <v>0</v>
      </c>
      <c r="X79" s="34">
        <v>0</v>
      </c>
      <c r="Y79" s="34">
        <v>0</v>
      </c>
      <c r="Z79" s="34">
        <v>0</v>
      </c>
      <c r="AA79" s="34">
        <v>0</v>
      </c>
      <c r="AB79" s="34">
        <v>0</v>
      </c>
      <c r="AC79" s="34">
        <v>0</v>
      </c>
      <c r="AD79" s="34">
        <v>0</v>
      </c>
      <c r="AE79" s="34">
        <v>27</v>
      </c>
      <c r="AF79" s="34">
        <v>0</v>
      </c>
      <c r="AG79" s="34">
        <v>0</v>
      </c>
      <c r="AH79" s="34">
        <v>0</v>
      </c>
      <c r="AI79" s="34">
        <v>0</v>
      </c>
      <c r="AJ79" s="34">
        <v>27</v>
      </c>
      <c r="AK79" s="34">
        <v>0</v>
      </c>
      <c r="AL79" s="34"/>
      <c r="AM79" s="34" t="s">
        <v>40</v>
      </c>
    </row>
    <row r="80" spans="1:39" ht="14.4" customHeight="1" x14ac:dyDescent="0.3">
      <c r="A80" s="203">
        <v>396669</v>
      </c>
      <c r="B80" s="34">
        <v>216364</v>
      </c>
      <c r="C80" s="34" t="s">
        <v>1748</v>
      </c>
      <c r="D80" s="34" t="s">
        <v>1321</v>
      </c>
      <c r="E80" s="34" t="s">
        <v>28</v>
      </c>
      <c r="F80" s="34">
        <v>25</v>
      </c>
      <c r="G80" s="34" t="s">
        <v>173</v>
      </c>
      <c r="H80" s="34" t="s">
        <v>36</v>
      </c>
      <c r="I80" s="34" t="s">
        <v>939</v>
      </c>
      <c r="J80" s="34" t="s">
        <v>36</v>
      </c>
      <c r="K80" s="34" t="s">
        <v>1412</v>
      </c>
      <c r="L80" s="34" t="s">
        <v>104</v>
      </c>
      <c r="M80" s="34" t="s">
        <v>1419</v>
      </c>
      <c r="N80" s="34" t="s">
        <v>117</v>
      </c>
      <c r="O80" s="34">
        <v>396669</v>
      </c>
      <c r="P80" s="34" t="s">
        <v>554</v>
      </c>
      <c r="Q80" s="34">
        <v>1</v>
      </c>
      <c r="R80" s="34">
        <v>2</v>
      </c>
      <c r="S80" s="34">
        <v>0</v>
      </c>
      <c r="T80" s="34">
        <v>0</v>
      </c>
      <c r="U80" s="34">
        <v>0</v>
      </c>
      <c r="V80" s="34">
        <v>4</v>
      </c>
      <c r="W80" s="34">
        <v>0</v>
      </c>
      <c r="X80" s="34">
        <v>0</v>
      </c>
      <c r="Y80" s="34">
        <v>0</v>
      </c>
      <c r="Z80" s="34">
        <v>0</v>
      </c>
      <c r="AA80" s="34">
        <v>0</v>
      </c>
      <c r="AB80" s="34">
        <v>0</v>
      </c>
      <c r="AC80" s="34">
        <v>0</v>
      </c>
      <c r="AD80" s="34">
        <v>0</v>
      </c>
      <c r="AE80" s="34">
        <v>0</v>
      </c>
      <c r="AF80" s="34">
        <v>0</v>
      </c>
      <c r="AG80" s="34">
        <v>21</v>
      </c>
      <c r="AH80" s="34">
        <v>0</v>
      </c>
      <c r="AI80" s="34">
        <v>0</v>
      </c>
      <c r="AJ80" s="34">
        <v>25</v>
      </c>
      <c r="AK80" s="34">
        <v>0</v>
      </c>
      <c r="AL80" s="34"/>
      <c r="AM80" s="34" t="s">
        <v>40</v>
      </c>
    </row>
    <row r="81" spans="1:39" ht="14.4" customHeight="1" x14ac:dyDescent="0.3">
      <c r="A81" s="203">
        <v>396508</v>
      </c>
      <c r="B81" s="34">
        <v>262146</v>
      </c>
      <c r="C81" s="34" t="s">
        <v>1149</v>
      </c>
      <c r="D81" s="34" t="s">
        <v>2102</v>
      </c>
      <c r="E81" s="34" t="s">
        <v>106</v>
      </c>
      <c r="F81" s="34">
        <v>9</v>
      </c>
      <c r="G81" s="34" t="s">
        <v>548</v>
      </c>
      <c r="H81" s="34" t="s">
        <v>36</v>
      </c>
      <c r="I81" s="34" t="s">
        <v>38</v>
      </c>
      <c r="J81" s="34" t="s">
        <v>36</v>
      </c>
      <c r="K81" s="34" t="s">
        <v>1414</v>
      </c>
      <c r="L81" s="34" t="s">
        <v>104</v>
      </c>
      <c r="M81" s="34" t="s">
        <v>1419</v>
      </c>
      <c r="N81" s="34" t="s">
        <v>117</v>
      </c>
      <c r="O81" s="34">
        <v>396508</v>
      </c>
      <c r="P81" s="34" t="s">
        <v>945</v>
      </c>
      <c r="Q81" s="34">
        <v>0</v>
      </c>
      <c r="R81" s="34">
        <v>1</v>
      </c>
      <c r="S81" s="34">
        <v>3</v>
      </c>
      <c r="T81" s="34">
        <v>0</v>
      </c>
      <c r="U81" s="34">
        <v>0</v>
      </c>
      <c r="V81" s="34">
        <v>7</v>
      </c>
      <c r="W81" s="34">
        <v>0</v>
      </c>
      <c r="X81" s="34">
        <v>0</v>
      </c>
      <c r="Y81" s="34">
        <v>0</v>
      </c>
      <c r="Z81" s="34">
        <v>0</v>
      </c>
      <c r="AA81" s="34">
        <v>0</v>
      </c>
      <c r="AB81" s="34">
        <v>0</v>
      </c>
      <c r="AC81" s="34">
        <v>0</v>
      </c>
      <c r="AD81" s="34">
        <v>0</v>
      </c>
      <c r="AE81" s="34">
        <v>0</v>
      </c>
      <c r="AF81" s="34">
        <v>0</v>
      </c>
      <c r="AG81" s="34">
        <v>0</v>
      </c>
      <c r="AH81" s="34">
        <v>0</v>
      </c>
      <c r="AI81" s="34">
        <v>0</v>
      </c>
      <c r="AJ81" s="34">
        <v>7</v>
      </c>
      <c r="AK81" s="34">
        <v>0</v>
      </c>
      <c r="AL81" s="34"/>
      <c r="AM81" s="34" t="s">
        <v>33</v>
      </c>
    </row>
    <row r="82" spans="1:39" ht="14.4" customHeight="1" x14ac:dyDescent="0.3">
      <c r="A82" s="203">
        <v>396001</v>
      </c>
      <c r="B82" s="34">
        <v>243395</v>
      </c>
      <c r="C82" s="34" t="s">
        <v>2030</v>
      </c>
      <c r="D82" s="34" t="s">
        <v>2250</v>
      </c>
      <c r="E82" s="34" t="s">
        <v>28</v>
      </c>
      <c r="F82" s="34">
        <v>10</v>
      </c>
      <c r="G82" s="34" t="s">
        <v>824</v>
      </c>
      <c r="H82" s="34" t="s">
        <v>36</v>
      </c>
      <c r="I82" s="34" t="s">
        <v>38</v>
      </c>
      <c r="J82" s="34" t="s">
        <v>36</v>
      </c>
      <c r="K82" s="34" t="s">
        <v>1414</v>
      </c>
      <c r="L82" s="34" t="s">
        <v>104</v>
      </c>
      <c r="M82" s="34" t="s">
        <v>1419</v>
      </c>
      <c r="N82" s="34" t="s">
        <v>117</v>
      </c>
      <c r="O82" s="34">
        <v>396001</v>
      </c>
      <c r="P82" s="34" t="s">
        <v>17</v>
      </c>
      <c r="Q82" s="34">
        <v>0</v>
      </c>
      <c r="R82" s="34">
        <v>1</v>
      </c>
      <c r="S82" s="34">
        <v>0</v>
      </c>
      <c r="T82" s="34">
        <v>0</v>
      </c>
      <c r="U82" s="34">
        <v>0</v>
      </c>
      <c r="V82" s="34">
        <v>0</v>
      </c>
      <c r="W82" s="34">
        <v>0</v>
      </c>
      <c r="X82" s="34">
        <v>0</v>
      </c>
      <c r="Y82" s="34">
        <v>0</v>
      </c>
      <c r="Z82" s="34">
        <v>0</v>
      </c>
      <c r="AA82" s="34">
        <v>0</v>
      </c>
      <c r="AB82" s="34">
        <v>0</v>
      </c>
      <c r="AC82" s="34">
        <v>0</v>
      </c>
      <c r="AD82" s="34">
        <v>10</v>
      </c>
      <c r="AE82" s="34">
        <v>0</v>
      </c>
      <c r="AF82" s="34">
        <v>0</v>
      </c>
      <c r="AG82" s="34">
        <v>0</v>
      </c>
      <c r="AH82" s="34">
        <v>0</v>
      </c>
      <c r="AI82" s="34">
        <v>0</v>
      </c>
      <c r="AJ82" s="34">
        <v>10</v>
      </c>
      <c r="AK82" s="34">
        <v>0</v>
      </c>
      <c r="AL82" s="34"/>
      <c r="AM82" s="34" t="s">
        <v>40</v>
      </c>
    </row>
    <row r="83" spans="1:39" ht="14.4" customHeight="1" x14ac:dyDescent="0.3">
      <c r="A83" s="203">
        <v>395897</v>
      </c>
      <c r="B83" s="34">
        <v>245560</v>
      </c>
      <c r="C83" s="34" t="s">
        <v>2175</v>
      </c>
      <c r="D83" s="34" t="s">
        <v>1321</v>
      </c>
      <c r="E83" s="34" t="s">
        <v>28</v>
      </c>
      <c r="F83" s="34">
        <v>22</v>
      </c>
      <c r="G83" s="34" t="s">
        <v>2340</v>
      </c>
      <c r="H83" s="34" t="s">
        <v>36</v>
      </c>
      <c r="I83" s="34" t="s">
        <v>38</v>
      </c>
      <c r="J83" s="34" t="s">
        <v>36</v>
      </c>
      <c r="K83" s="34" t="s">
        <v>1414</v>
      </c>
      <c r="L83" s="34" t="s">
        <v>104</v>
      </c>
      <c r="M83" s="34" t="s">
        <v>1419</v>
      </c>
      <c r="N83" s="34" t="s">
        <v>117</v>
      </c>
      <c r="O83" s="34">
        <v>395897</v>
      </c>
      <c r="P83" s="34" t="s">
        <v>944</v>
      </c>
      <c r="Q83" s="34">
        <v>0</v>
      </c>
      <c r="R83" s="34">
        <v>2</v>
      </c>
      <c r="S83" s="34">
        <v>0</v>
      </c>
      <c r="T83" s="34">
        <v>0</v>
      </c>
      <c r="U83" s="34">
        <v>16</v>
      </c>
      <c r="V83" s="34">
        <v>0</v>
      </c>
      <c r="W83" s="34">
        <v>0</v>
      </c>
      <c r="X83" s="34">
        <v>6</v>
      </c>
      <c r="Y83" s="34">
        <v>0</v>
      </c>
      <c r="Z83" s="34">
        <v>0</v>
      </c>
      <c r="AA83" s="34">
        <v>0</v>
      </c>
      <c r="AB83" s="34">
        <v>0</v>
      </c>
      <c r="AC83" s="34">
        <v>0</v>
      </c>
      <c r="AD83" s="34">
        <v>0</v>
      </c>
      <c r="AE83" s="34">
        <v>0</v>
      </c>
      <c r="AF83" s="34">
        <v>0</v>
      </c>
      <c r="AG83" s="34">
        <v>0</v>
      </c>
      <c r="AH83" s="34">
        <v>0</v>
      </c>
      <c r="AI83" s="34">
        <v>0</v>
      </c>
      <c r="AJ83" s="34">
        <v>22</v>
      </c>
      <c r="AK83" s="34">
        <v>0</v>
      </c>
      <c r="AL83" s="34"/>
      <c r="AM83" s="34" t="s">
        <v>40</v>
      </c>
    </row>
    <row r="84" spans="1:39" ht="14.4" customHeight="1" x14ac:dyDescent="0.3">
      <c r="A84" s="203">
        <v>395855</v>
      </c>
      <c r="B84" s="34">
        <v>262146</v>
      </c>
      <c r="C84" s="34" t="s">
        <v>1148</v>
      </c>
      <c r="D84" s="34" t="s">
        <v>2310</v>
      </c>
      <c r="E84" s="34" t="s">
        <v>106</v>
      </c>
      <c r="F84" s="34">
        <v>10</v>
      </c>
      <c r="G84" s="34" t="s">
        <v>110</v>
      </c>
      <c r="H84" s="34" t="s">
        <v>36</v>
      </c>
      <c r="I84" s="34" t="s">
        <v>851</v>
      </c>
      <c r="J84" s="34" t="s">
        <v>36</v>
      </c>
      <c r="K84" s="34" t="s">
        <v>1414</v>
      </c>
      <c r="L84" s="34" t="s">
        <v>104</v>
      </c>
      <c r="M84" s="34" t="s">
        <v>1419</v>
      </c>
      <c r="N84" s="34" t="s">
        <v>117</v>
      </c>
      <c r="O84" s="34">
        <v>395855</v>
      </c>
      <c r="P84" s="34" t="s">
        <v>946</v>
      </c>
      <c r="Q84" s="34">
        <v>3</v>
      </c>
      <c r="R84" s="34">
        <v>1</v>
      </c>
      <c r="S84" s="34">
        <v>8</v>
      </c>
      <c r="T84" s="34">
        <v>0</v>
      </c>
      <c r="U84" s="34">
        <v>0</v>
      </c>
      <c r="V84" s="34">
        <v>0</v>
      </c>
      <c r="W84" s="34">
        <v>0</v>
      </c>
      <c r="X84" s="34">
        <v>0</v>
      </c>
      <c r="Y84" s="34">
        <v>1</v>
      </c>
      <c r="Z84" s="34">
        <v>0</v>
      </c>
      <c r="AA84" s="34">
        <v>0</v>
      </c>
      <c r="AB84" s="34">
        <v>0</v>
      </c>
      <c r="AC84" s="34">
        <v>0</v>
      </c>
      <c r="AD84" s="34">
        <v>0</v>
      </c>
      <c r="AE84" s="34">
        <v>0</v>
      </c>
      <c r="AF84" s="34">
        <v>0</v>
      </c>
      <c r="AG84" s="34">
        <v>0</v>
      </c>
      <c r="AH84" s="34">
        <v>0</v>
      </c>
      <c r="AI84" s="34">
        <v>1</v>
      </c>
      <c r="AJ84" s="34">
        <v>1</v>
      </c>
      <c r="AK84" s="34">
        <v>0</v>
      </c>
      <c r="AL84" s="34"/>
      <c r="AM84" s="34" t="s">
        <v>33</v>
      </c>
    </row>
    <row r="85" spans="1:39" ht="14.4" customHeight="1" x14ac:dyDescent="0.3">
      <c r="A85" s="203">
        <v>395853</v>
      </c>
      <c r="B85" s="34">
        <v>245560</v>
      </c>
      <c r="C85" s="34" t="s">
        <v>2176</v>
      </c>
      <c r="D85" s="34" t="s">
        <v>1321</v>
      </c>
      <c r="E85" s="34" t="s">
        <v>28</v>
      </c>
      <c r="F85" s="34">
        <v>27</v>
      </c>
      <c r="G85" s="34" t="s">
        <v>630</v>
      </c>
      <c r="H85" s="34" t="s">
        <v>36</v>
      </c>
      <c r="I85" s="34" t="s">
        <v>38</v>
      </c>
      <c r="J85" s="34" t="s">
        <v>36</v>
      </c>
      <c r="K85" s="34" t="s">
        <v>1414</v>
      </c>
      <c r="L85" s="34" t="s">
        <v>104</v>
      </c>
      <c r="M85" s="34" t="s">
        <v>1419</v>
      </c>
      <c r="N85" s="34" t="s">
        <v>117</v>
      </c>
      <c r="O85" s="34">
        <v>395853</v>
      </c>
      <c r="P85" s="34" t="s">
        <v>944</v>
      </c>
      <c r="Q85" s="34">
        <v>0</v>
      </c>
      <c r="R85" s="34">
        <v>1</v>
      </c>
      <c r="S85" s="34">
        <v>0</v>
      </c>
      <c r="T85" s="34">
        <v>0</v>
      </c>
      <c r="U85" s="34">
        <v>27</v>
      </c>
      <c r="V85" s="34">
        <v>0</v>
      </c>
      <c r="W85" s="34">
        <v>0</v>
      </c>
      <c r="X85" s="34">
        <v>0</v>
      </c>
      <c r="Y85" s="34">
        <v>0</v>
      </c>
      <c r="Z85" s="34">
        <v>0</v>
      </c>
      <c r="AA85" s="34">
        <v>0</v>
      </c>
      <c r="AB85" s="34">
        <v>0</v>
      </c>
      <c r="AC85" s="34">
        <v>0</v>
      </c>
      <c r="AD85" s="34">
        <v>0</v>
      </c>
      <c r="AE85" s="34">
        <v>0</v>
      </c>
      <c r="AF85" s="34">
        <v>0</v>
      </c>
      <c r="AG85" s="34">
        <v>0</v>
      </c>
      <c r="AH85" s="34">
        <v>0</v>
      </c>
      <c r="AI85" s="34">
        <v>0</v>
      </c>
      <c r="AJ85" s="34">
        <v>27</v>
      </c>
      <c r="AK85" s="34">
        <v>0</v>
      </c>
      <c r="AL85" s="34"/>
      <c r="AM85" s="34" t="s">
        <v>40</v>
      </c>
    </row>
    <row r="86" spans="1:39" ht="14.4" customHeight="1" x14ac:dyDescent="0.3">
      <c r="A86" s="203">
        <v>395688</v>
      </c>
      <c r="B86" s="34">
        <v>245560</v>
      </c>
      <c r="C86" s="34" t="s">
        <v>2177</v>
      </c>
      <c r="D86" s="34" t="s">
        <v>1321</v>
      </c>
      <c r="E86" s="34" t="s">
        <v>28</v>
      </c>
      <c r="F86" s="34">
        <v>59</v>
      </c>
      <c r="G86" s="34" t="s">
        <v>2040</v>
      </c>
      <c r="H86" s="34" t="s">
        <v>36</v>
      </c>
      <c r="I86" s="34" t="s">
        <v>1793</v>
      </c>
      <c r="J86" s="34" t="s">
        <v>36</v>
      </c>
      <c r="K86" s="34" t="s">
        <v>1412</v>
      </c>
      <c r="L86" s="34" t="s">
        <v>104</v>
      </c>
      <c r="M86" s="34" t="s">
        <v>1419</v>
      </c>
      <c r="N86" s="34" t="s">
        <v>117</v>
      </c>
      <c r="O86" s="34">
        <v>395688</v>
      </c>
      <c r="P86" s="34" t="s">
        <v>944</v>
      </c>
      <c r="Q86" s="34">
        <v>0</v>
      </c>
      <c r="R86" s="34">
        <v>1</v>
      </c>
      <c r="S86" s="34">
        <v>0</v>
      </c>
      <c r="T86" s="34">
        <v>0</v>
      </c>
      <c r="U86" s="34">
        <v>59</v>
      </c>
      <c r="V86" s="34">
        <v>0</v>
      </c>
      <c r="W86" s="34">
        <v>0</v>
      </c>
      <c r="X86" s="34">
        <v>0</v>
      </c>
      <c r="Y86" s="34">
        <v>0</v>
      </c>
      <c r="Z86" s="34">
        <v>0</v>
      </c>
      <c r="AA86" s="34">
        <v>0</v>
      </c>
      <c r="AB86" s="34">
        <v>0</v>
      </c>
      <c r="AC86" s="34">
        <v>0</v>
      </c>
      <c r="AD86" s="34">
        <v>0</v>
      </c>
      <c r="AE86" s="34">
        <v>0</v>
      </c>
      <c r="AF86" s="34">
        <v>0</v>
      </c>
      <c r="AG86" s="34">
        <v>0</v>
      </c>
      <c r="AH86" s="34">
        <v>0</v>
      </c>
      <c r="AI86" s="34">
        <v>0</v>
      </c>
      <c r="AJ86" s="34">
        <v>59</v>
      </c>
      <c r="AK86" s="34">
        <v>0</v>
      </c>
      <c r="AL86" s="34"/>
      <c r="AM86" s="34" t="s">
        <v>40</v>
      </c>
    </row>
    <row r="87" spans="1:39" ht="14.4" customHeight="1" x14ac:dyDescent="0.3">
      <c r="A87" s="203">
        <v>395370</v>
      </c>
      <c r="B87" s="34">
        <v>1001912</v>
      </c>
      <c r="C87" s="34" t="s">
        <v>1766</v>
      </c>
      <c r="D87" s="34" t="s">
        <v>2310</v>
      </c>
      <c r="E87" s="34" t="s">
        <v>141</v>
      </c>
      <c r="F87" s="34" t="s">
        <v>36</v>
      </c>
      <c r="G87" s="34" t="s">
        <v>916</v>
      </c>
      <c r="H87" s="34" t="s">
        <v>1006</v>
      </c>
      <c r="I87" s="34" t="s">
        <v>36</v>
      </c>
      <c r="J87" s="34" t="s">
        <v>36</v>
      </c>
      <c r="K87" s="34" t="s">
        <v>36</v>
      </c>
      <c r="L87" s="34" t="s">
        <v>1420</v>
      </c>
      <c r="M87" s="34" t="s">
        <v>1433</v>
      </c>
      <c r="N87" s="34" t="s">
        <v>72</v>
      </c>
      <c r="O87" s="34">
        <v>1001912</v>
      </c>
      <c r="P87" s="34" t="s">
        <v>554</v>
      </c>
      <c r="Q87" s="34" t="s">
        <v>36</v>
      </c>
      <c r="R87" s="34">
        <v>0</v>
      </c>
      <c r="S87" s="34" t="s">
        <v>36</v>
      </c>
      <c r="T87" s="34" t="s">
        <v>36</v>
      </c>
      <c r="U87" s="34" t="s">
        <v>36</v>
      </c>
      <c r="V87" s="34" t="s">
        <v>36</v>
      </c>
      <c r="W87" s="34" t="s">
        <v>36</v>
      </c>
      <c r="X87" s="34" t="s">
        <v>36</v>
      </c>
      <c r="Y87" s="34" t="s">
        <v>36</v>
      </c>
      <c r="Z87" s="34" t="s">
        <v>36</v>
      </c>
      <c r="AA87" s="34" t="s">
        <v>36</v>
      </c>
      <c r="AB87" s="34" t="s">
        <v>36</v>
      </c>
      <c r="AC87" s="34" t="s">
        <v>36</v>
      </c>
      <c r="AD87" s="34" t="s">
        <v>36</v>
      </c>
      <c r="AE87" s="34" t="s">
        <v>36</v>
      </c>
      <c r="AF87" s="34" t="s">
        <v>36</v>
      </c>
      <c r="AG87" s="34" t="s">
        <v>36</v>
      </c>
      <c r="AH87" s="34" t="s">
        <v>36</v>
      </c>
      <c r="AI87" s="34" t="s">
        <v>36</v>
      </c>
      <c r="AJ87" s="34" t="s">
        <v>36</v>
      </c>
      <c r="AK87" s="34" t="s">
        <v>36</v>
      </c>
      <c r="AL87" s="34"/>
      <c r="AM87" s="34" t="s">
        <v>36</v>
      </c>
    </row>
    <row r="88" spans="1:39" ht="14.4" customHeight="1" x14ac:dyDescent="0.3">
      <c r="A88" s="203">
        <v>395114</v>
      </c>
      <c r="B88" s="34">
        <v>262146</v>
      </c>
      <c r="C88" s="34" t="s">
        <v>1865</v>
      </c>
      <c r="D88" s="34" t="s">
        <v>1842</v>
      </c>
      <c r="E88" s="34" t="s">
        <v>28</v>
      </c>
      <c r="F88" s="34">
        <v>41</v>
      </c>
      <c r="G88" s="34" t="s">
        <v>110</v>
      </c>
      <c r="H88" s="34" t="s">
        <v>36</v>
      </c>
      <c r="I88" s="34" t="s">
        <v>38</v>
      </c>
      <c r="J88" s="34" t="s">
        <v>41</v>
      </c>
      <c r="K88" s="34" t="s">
        <v>1412</v>
      </c>
      <c r="L88" s="34" t="s">
        <v>104</v>
      </c>
      <c r="M88" s="34" t="s">
        <v>1419</v>
      </c>
      <c r="N88" s="34" t="s">
        <v>117</v>
      </c>
      <c r="O88" s="34">
        <v>395114</v>
      </c>
      <c r="P88" s="34" t="s">
        <v>946</v>
      </c>
      <c r="Q88" s="34">
        <v>0</v>
      </c>
      <c r="R88" s="34">
        <v>2</v>
      </c>
      <c r="S88" s="34">
        <v>0</v>
      </c>
      <c r="T88" s="34">
        <v>0</v>
      </c>
      <c r="U88" s="34">
        <v>0</v>
      </c>
      <c r="V88" s="34">
        <v>0</v>
      </c>
      <c r="W88" s="34">
        <v>16</v>
      </c>
      <c r="X88" s="34">
        <v>0</v>
      </c>
      <c r="Y88" s="34">
        <v>24</v>
      </c>
      <c r="Z88" s="34">
        <v>0</v>
      </c>
      <c r="AA88" s="34">
        <v>0</v>
      </c>
      <c r="AB88" s="34">
        <v>0</v>
      </c>
      <c r="AC88" s="34">
        <v>0</v>
      </c>
      <c r="AD88" s="34">
        <v>0</v>
      </c>
      <c r="AE88" s="34">
        <v>0</v>
      </c>
      <c r="AF88" s="34">
        <v>0</v>
      </c>
      <c r="AG88" s="34">
        <v>0</v>
      </c>
      <c r="AH88" s="34">
        <v>0</v>
      </c>
      <c r="AI88" s="34">
        <v>0</v>
      </c>
      <c r="AJ88" s="34">
        <v>40</v>
      </c>
      <c r="AK88" s="34">
        <v>0</v>
      </c>
      <c r="AL88" s="34"/>
      <c r="AM88" s="34" t="s">
        <v>2290</v>
      </c>
    </row>
    <row r="89" spans="1:39" ht="14.4" customHeight="1" x14ac:dyDescent="0.3">
      <c r="A89" s="203">
        <v>393265</v>
      </c>
      <c r="B89" s="34">
        <v>262146</v>
      </c>
      <c r="C89" s="34" t="s">
        <v>1756</v>
      </c>
      <c r="D89" s="34" t="s">
        <v>2102</v>
      </c>
      <c r="E89" s="34" t="s">
        <v>28</v>
      </c>
      <c r="F89" s="34">
        <v>10</v>
      </c>
      <c r="G89" s="34" t="s">
        <v>548</v>
      </c>
      <c r="H89" s="34" t="s">
        <v>36</v>
      </c>
      <c r="I89" s="34" t="s">
        <v>939</v>
      </c>
      <c r="J89" s="34" t="s">
        <v>36</v>
      </c>
      <c r="K89" s="34" t="s">
        <v>1412</v>
      </c>
      <c r="L89" s="34" t="s">
        <v>104</v>
      </c>
      <c r="M89" s="34" t="s">
        <v>1419</v>
      </c>
      <c r="N89" s="34" t="s">
        <v>117</v>
      </c>
      <c r="O89" s="34">
        <v>393265</v>
      </c>
      <c r="P89" s="34" t="s">
        <v>945</v>
      </c>
      <c r="Q89" s="34">
        <v>4</v>
      </c>
      <c r="R89" s="34">
        <v>1</v>
      </c>
      <c r="S89" s="34">
        <v>0</v>
      </c>
      <c r="T89" s="34">
        <v>0</v>
      </c>
      <c r="U89" s="34">
        <v>0</v>
      </c>
      <c r="V89" s="34">
        <v>10</v>
      </c>
      <c r="W89" s="34">
        <v>0</v>
      </c>
      <c r="X89" s="34">
        <v>0</v>
      </c>
      <c r="Y89" s="34">
        <v>0</v>
      </c>
      <c r="Z89" s="34">
        <v>0</v>
      </c>
      <c r="AA89" s="34">
        <v>0</v>
      </c>
      <c r="AB89" s="34">
        <v>0</v>
      </c>
      <c r="AC89" s="34">
        <v>0</v>
      </c>
      <c r="AD89" s="34">
        <v>0</v>
      </c>
      <c r="AE89" s="34">
        <v>0</v>
      </c>
      <c r="AF89" s="34">
        <v>0</v>
      </c>
      <c r="AG89" s="34">
        <v>0</v>
      </c>
      <c r="AH89" s="34">
        <v>0</v>
      </c>
      <c r="AI89" s="34">
        <v>0</v>
      </c>
      <c r="AJ89" s="34">
        <v>10</v>
      </c>
      <c r="AK89" s="34">
        <v>0</v>
      </c>
      <c r="AL89" s="34"/>
      <c r="AM89" s="34" t="s">
        <v>40</v>
      </c>
    </row>
    <row r="90" spans="1:39" ht="14.4" customHeight="1" x14ac:dyDescent="0.3">
      <c r="A90" s="203">
        <v>392388</v>
      </c>
      <c r="B90" s="34">
        <v>1011295</v>
      </c>
      <c r="C90" s="34" t="s">
        <v>2104</v>
      </c>
      <c r="D90" s="34" t="s">
        <v>857</v>
      </c>
      <c r="E90" s="34" t="s">
        <v>28</v>
      </c>
      <c r="F90" s="34" t="s">
        <v>36</v>
      </c>
      <c r="G90" s="34" t="s">
        <v>714</v>
      </c>
      <c r="H90" s="34" t="s">
        <v>1829</v>
      </c>
      <c r="I90" s="34" t="s">
        <v>939</v>
      </c>
      <c r="J90" s="34" t="s">
        <v>36</v>
      </c>
      <c r="K90" s="34" t="s">
        <v>36</v>
      </c>
      <c r="L90" s="34" t="s">
        <v>1420</v>
      </c>
      <c r="M90" s="34" t="s">
        <v>1421</v>
      </c>
      <c r="N90" s="34" t="s">
        <v>72</v>
      </c>
      <c r="O90" s="34">
        <v>1011295</v>
      </c>
      <c r="P90" s="34" t="s">
        <v>946</v>
      </c>
      <c r="Q90" s="34" t="s">
        <v>36</v>
      </c>
      <c r="R90" s="34">
        <v>0</v>
      </c>
      <c r="S90" s="34" t="s">
        <v>36</v>
      </c>
      <c r="T90" s="34" t="s">
        <v>36</v>
      </c>
      <c r="U90" s="34" t="s">
        <v>36</v>
      </c>
      <c r="V90" s="34" t="s">
        <v>36</v>
      </c>
      <c r="W90" s="34" t="s">
        <v>36</v>
      </c>
      <c r="X90" s="34" t="s">
        <v>36</v>
      </c>
      <c r="Y90" s="34" t="s">
        <v>36</v>
      </c>
      <c r="Z90" s="34" t="s">
        <v>36</v>
      </c>
      <c r="AA90" s="34" t="s">
        <v>36</v>
      </c>
      <c r="AB90" s="34" t="s">
        <v>36</v>
      </c>
      <c r="AC90" s="34" t="s">
        <v>36</v>
      </c>
      <c r="AD90" s="34" t="s">
        <v>36</v>
      </c>
      <c r="AE90" s="34" t="s">
        <v>36</v>
      </c>
      <c r="AF90" s="34" t="s">
        <v>36</v>
      </c>
      <c r="AG90" s="34" t="s">
        <v>36</v>
      </c>
      <c r="AH90" s="34" t="s">
        <v>36</v>
      </c>
      <c r="AI90" s="34" t="s">
        <v>36</v>
      </c>
      <c r="AJ90" s="34" t="s">
        <v>36</v>
      </c>
      <c r="AK90" s="34" t="s">
        <v>36</v>
      </c>
      <c r="AL90" s="34"/>
      <c r="AM90" s="34" t="s">
        <v>36</v>
      </c>
    </row>
    <row r="91" spans="1:39" ht="14.4" customHeight="1" x14ac:dyDescent="0.3">
      <c r="A91" s="203">
        <v>392058</v>
      </c>
      <c r="B91" s="34">
        <v>216364</v>
      </c>
      <c r="C91" s="34" t="s">
        <v>2307</v>
      </c>
      <c r="D91" s="34" t="s">
        <v>1321</v>
      </c>
      <c r="E91" s="34" t="s">
        <v>28</v>
      </c>
      <c r="F91" s="34">
        <v>41</v>
      </c>
      <c r="G91" s="34" t="s">
        <v>547</v>
      </c>
      <c r="H91" s="34" t="s">
        <v>36</v>
      </c>
      <c r="I91" s="34" t="s">
        <v>939</v>
      </c>
      <c r="J91" s="34" t="s">
        <v>36</v>
      </c>
      <c r="K91" s="34" t="s">
        <v>1412</v>
      </c>
      <c r="L91" s="34" t="s">
        <v>104</v>
      </c>
      <c r="M91" s="34" t="s">
        <v>1419</v>
      </c>
      <c r="N91" s="34" t="s">
        <v>117</v>
      </c>
      <c r="O91" s="34">
        <v>392058</v>
      </c>
      <c r="P91" s="34" t="s">
        <v>951</v>
      </c>
      <c r="Q91" s="34">
        <v>2</v>
      </c>
      <c r="R91" s="34">
        <v>2</v>
      </c>
      <c r="S91" s="34">
        <v>0</v>
      </c>
      <c r="T91" s="34">
        <v>36</v>
      </c>
      <c r="U91" s="34">
        <v>0</v>
      </c>
      <c r="V91" s="34">
        <v>5</v>
      </c>
      <c r="W91" s="34">
        <v>0</v>
      </c>
      <c r="X91" s="34">
        <v>0</v>
      </c>
      <c r="Y91" s="34">
        <v>0</v>
      </c>
      <c r="Z91" s="34">
        <v>0</v>
      </c>
      <c r="AA91" s="34">
        <v>0</v>
      </c>
      <c r="AB91" s="34">
        <v>0</v>
      </c>
      <c r="AC91" s="34">
        <v>0</v>
      </c>
      <c r="AD91" s="34">
        <v>0</v>
      </c>
      <c r="AE91" s="34">
        <v>0</v>
      </c>
      <c r="AF91" s="34">
        <v>0</v>
      </c>
      <c r="AG91" s="34">
        <v>0</v>
      </c>
      <c r="AH91" s="34">
        <v>0</v>
      </c>
      <c r="AI91" s="34">
        <v>0</v>
      </c>
      <c r="AJ91" s="34">
        <v>41</v>
      </c>
      <c r="AK91" s="34">
        <v>0</v>
      </c>
      <c r="AL91" s="34"/>
      <c r="AM91" s="34" t="s">
        <v>40</v>
      </c>
    </row>
    <row r="92" spans="1:39" ht="14.4" customHeight="1" x14ac:dyDescent="0.3">
      <c r="A92" s="203">
        <v>390441</v>
      </c>
      <c r="B92" s="34">
        <v>243505</v>
      </c>
      <c r="C92" s="34" t="s">
        <v>1000</v>
      </c>
      <c r="D92" s="34" t="s">
        <v>972</v>
      </c>
      <c r="E92" s="34" t="s">
        <v>106</v>
      </c>
      <c r="F92" s="34">
        <v>24</v>
      </c>
      <c r="G92" s="34" t="s">
        <v>981</v>
      </c>
      <c r="H92" s="34" t="s">
        <v>36</v>
      </c>
      <c r="I92" s="34" t="s">
        <v>38</v>
      </c>
      <c r="J92" s="34" t="s">
        <v>41</v>
      </c>
      <c r="K92" s="34" t="s">
        <v>1414</v>
      </c>
      <c r="L92" s="34" t="s">
        <v>1420</v>
      </c>
      <c r="M92" s="34" t="s">
        <v>1419</v>
      </c>
      <c r="N92" s="34" t="s">
        <v>117</v>
      </c>
      <c r="O92" s="34">
        <v>390441</v>
      </c>
      <c r="P92" s="34" t="s">
        <v>18</v>
      </c>
      <c r="Q92" s="34">
        <v>0</v>
      </c>
      <c r="R92" s="34">
        <v>1</v>
      </c>
      <c r="S92" s="34">
        <v>0</v>
      </c>
      <c r="T92" s="34">
        <v>0</v>
      </c>
      <c r="U92" s="34">
        <v>0</v>
      </c>
      <c r="V92" s="34">
        <v>0</v>
      </c>
      <c r="W92" s="34">
        <v>0</v>
      </c>
      <c r="X92" s="34">
        <v>0</v>
      </c>
      <c r="Y92" s="34">
        <v>0</v>
      </c>
      <c r="Z92" s="34">
        <v>0</v>
      </c>
      <c r="AA92" s="34">
        <v>0</v>
      </c>
      <c r="AB92" s="34">
        <v>0</v>
      </c>
      <c r="AC92" s="34">
        <v>0</v>
      </c>
      <c r="AD92" s="34">
        <v>0</v>
      </c>
      <c r="AE92" s="34">
        <v>19</v>
      </c>
      <c r="AF92" s="34">
        <v>0</v>
      </c>
      <c r="AG92" s="34">
        <v>0</v>
      </c>
      <c r="AH92" s="34">
        <v>0</v>
      </c>
      <c r="AI92" s="34">
        <v>5</v>
      </c>
      <c r="AJ92" s="34">
        <v>19</v>
      </c>
      <c r="AK92" s="34">
        <v>0</v>
      </c>
      <c r="AL92" s="34"/>
      <c r="AM92" s="34" t="s">
        <v>33</v>
      </c>
    </row>
    <row r="93" spans="1:39" ht="14.4" customHeight="1" x14ac:dyDescent="0.3">
      <c r="A93" s="203">
        <v>389715</v>
      </c>
      <c r="B93" s="34">
        <v>1007900</v>
      </c>
      <c r="C93" s="34" t="s">
        <v>2353</v>
      </c>
      <c r="D93" s="34" t="s">
        <v>857</v>
      </c>
      <c r="E93" s="34" t="s">
        <v>28</v>
      </c>
      <c r="F93" s="34" t="s">
        <v>36</v>
      </c>
      <c r="G93" s="34" t="s">
        <v>550</v>
      </c>
      <c r="H93" s="34" t="s">
        <v>2293</v>
      </c>
      <c r="I93" s="34" t="s">
        <v>36</v>
      </c>
      <c r="J93" s="34" t="s">
        <v>36</v>
      </c>
      <c r="K93" s="34" t="s">
        <v>36</v>
      </c>
      <c r="L93" s="34" t="s">
        <v>1429</v>
      </c>
      <c r="M93" s="34" t="s">
        <v>1421</v>
      </c>
      <c r="N93" s="34" t="s">
        <v>72</v>
      </c>
      <c r="O93" s="34">
        <v>1007900</v>
      </c>
      <c r="P93" s="34" t="s">
        <v>950</v>
      </c>
      <c r="Q93" s="34" t="s">
        <v>36</v>
      </c>
      <c r="R93" s="34">
        <v>0</v>
      </c>
      <c r="S93" s="34" t="s">
        <v>36</v>
      </c>
      <c r="T93" s="34" t="s">
        <v>36</v>
      </c>
      <c r="U93" s="34" t="s">
        <v>36</v>
      </c>
      <c r="V93" s="34" t="s">
        <v>36</v>
      </c>
      <c r="W93" s="34" t="s">
        <v>36</v>
      </c>
      <c r="X93" s="34" t="s">
        <v>36</v>
      </c>
      <c r="Y93" s="34" t="s">
        <v>36</v>
      </c>
      <c r="Z93" s="34" t="s">
        <v>36</v>
      </c>
      <c r="AA93" s="34" t="s">
        <v>36</v>
      </c>
      <c r="AB93" s="34" t="s">
        <v>36</v>
      </c>
      <c r="AC93" s="34" t="s">
        <v>36</v>
      </c>
      <c r="AD93" s="34" t="s">
        <v>36</v>
      </c>
      <c r="AE93" s="34" t="s">
        <v>36</v>
      </c>
      <c r="AF93" s="34" t="s">
        <v>36</v>
      </c>
      <c r="AG93" s="34" t="s">
        <v>36</v>
      </c>
      <c r="AH93" s="34" t="s">
        <v>36</v>
      </c>
      <c r="AI93" s="34" t="s">
        <v>36</v>
      </c>
      <c r="AJ93" s="34" t="s">
        <v>36</v>
      </c>
      <c r="AK93" s="34" t="s">
        <v>36</v>
      </c>
      <c r="AL93" s="34"/>
      <c r="AM93" s="34" t="s">
        <v>36</v>
      </c>
    </row>
    <row r="94" spans="1:39" ht="14.4" customHeight="1" x14ac:dyDescent="0.3">
      <c r="A94" s="203">
        <v>389378</v>
      </c>
      <c r="B94" s="34">
        <v>377437</v>
      </c>
      <c r="C94" s="34" t="s">
        <v>969</v>
      </c>
      <c r="D94" s="34" t="s">
        <v>2310</v>
      </c>
      <c r="E94" s="34" t="s">
        <v>28</v>
      </c>
      <c r="F94" s="34" t="s">
        <v>36</v>
      </c>
      <c r="G94" s="34" t="s">
        <v>666</v>
      </c>
      <c r="H94" s="34" t="s">
        <v>807</v>
      </c>
      <c r="I94" s="34" t="s">
        <v>36</v>
      </c>
      <c r="J94" s="34" t="s">
        <v>36</v>
      </c>
      <c r="K94" s="34" t="s">
        <v>36</v>
      </c>
      <c r="L94" s="34" t="s">
        <v>1420</v>
      </c>
      <c r="M94" s="34" t="s">
        <v>1421</v>
      </c>
      <c r="N94" s="34" t="s">
        <v>72</v>
      </c>
      <c r="O94" s="34">
        <v>377437</v>
      </c>
      <c r="P94" s="34" t="s">
        <v>950</v>
      </c>
      <c r="Q94" s="34" t="s">
        <v>36</v>
      </c>
      <c r="R94" s="34">
        <v>0</v>
      </c>
      <c r="S94" s="34" t="s">
        <v>36</v>
      </c>
      <c r="T94" s="34" t="s">
        <v>36</v>
      </c>
      <c r="U94" s="34" t="s">
        <v>36</v>
      </c>
      <c r="V94" s="34" t="s">
        <v>36</v>
      </c>
      <c r="W94" s="34" t="s">
        <v>36</v>
      </c>
      <c r="X94" s="34" t="s">
        <v>36</v>
      </c>
      <c r="Y94" s="34" t="s">
        <v>36</v>
      </c>
      <c r="Z94" s="34" t="s">
        <v>36</v>
      </c>
      <c r="AA94" s="34" t="s">
        <v>36</v>
      </c>
      <c r="AB94" s="34" t="s">
        <v>36</v>
      </c>
      <c r="AC94" s="34" t="s">
        <v>36</v>
      </c>
      <c r="AD94" s="34" t="s">
        <v>36</v>
      </c>
      <c r="AE94" s="34" t="s">
        <v>36</v>
      </c>
      <c r="AF94" s="34" t="s">
        <v>36</v>
      </c>
      <c r="AG94" s="34" t="s">
        <v>36</v>
      </c>
      <c r="AH94" s="34" t="s">
        <v>36</v>
      </c>
      <c r="AI94" s="34" t="s">
        <v>36</v>
      </c>
      <c r="AJ94" s="34" t="s">
        <v>36</v>
      </c>
      <c r="AK94" s="34" t="s">
        <v>36</v>
      </c>
      <c r="AL94" s="34"/>
      <c r="AM94" s="34" t="s">
        <v>36</v>
      </c>
    </row>
    <row r="95" spans="1:39" ht="14.4" customHeight="1" x14ac:dyDescent="0.3">
      <c r="A95" s="203">
        <v>388053</v>
      </c>
      <c r="B95" s="34">
        <v>388154</v>
      </c>
      <c r="C95" s="34" t="s">
        <v>887</v>
      </c>
      <c r="D95" s="34" t="s">
        <v>972</v>
      </c>
      <c r="E95" s="34" t="s">
        <v>106</v>
      </c>
      <c r="F95" s="34">
        <v>97</v>
      </c>
      <c r="G95" s="34" t="s">
        <v>1575</v>
      </c>
      <c r="H95" s="34" t="s">
        <v>36</v>
      </c>
      <c r="I95" s="34" t="s">
        <v>38</v>
      </c>
      <c r="J95" s="34" t="s">
        <v>36</v>
      </c>
      <c r="K95" s="34" t="s">
        <v>1412</v>
      </c>
      <c r="L95" s="34" t="s">
        <v>104</v>
      </c>
      <c r="M95" s="34" t="s">
        <v>1419</v>
      </c>
      <c r="N95" s="34" t="s">
        <v>117</v>
      </c>
      <c r="O95" s="34">
        <v>388053</v>
      </c>
      <c r="P95" s="34" t="s">
        <v>15</v>
      </c>
      <c r="Q95" s="34">
        <v>0</v>
      </c>
      <c r="R95" s="34">
        <v>1</v>
      </c>
      <c r="S95" s="34">
        <v>75</v>
      </c>
      <c r="T95" s="34">
        <v>0</v>
      </c>
      <c r="U95" s="34">
        <v>0</v>
      </c>
      <c r="V95" s="34">
        <v>0</v>
      </c>
      <c r="W95" s="34">
        <v>0</v>
      </c>
      <c r="X95" s="34">
        <v>0</v>
      </c>
      <c r="Y95" s="34">
        <v>0</v>
      </c>
      <c r="Z95" s="34">
        <v>0</v>
      </c>
      <c r="AA95" s="34">
        <v>0</v>
      </c>
      <c r="AB95" s="34">
        <v>21</v>
      </c>
      <c r="AC95" s="34">
        <v>0</v>
      </c>
      <c r="AD95" s="34">
        <v>0</v>
      </c>
      <c r="AE95" s="34">
        <v>0</v>
      </c>
      <c r="AF95" s="34">
        <v>0</v>
      </c>
      <c r="AG95" s="34">
        <v>0</v>
      </c>
      <c r="AH95" s="34">
        <v>0</v>
      </c>
      <c r="AI95" s="34">
        <v>1</v>
      </c>
      <c r="AJ95" s="34">
        <v>21</v>
      </c>
      <c r="AK95" s="34">
        <v>0</v>
      </c>
      <c r="AL95" s="34"/>
      <c r="AM95" s="34" t="s">
        <v>33</v>
      </c>
    </row>
    <row r="96" spans="1:39" ht="14.4" customHeight="1" x14ac:dyDescent="0.3">
      <c r="A96" s="203">
        <v>387448</v>
      </c>
      <c r="B96" s="34">
        <v>381997</v>
      </c>
      <c r="C96" s="34" t="s">
        <v>2128</v>
      </c>
      <c r="D96" s="34" t="s">
        <v>972</v>
      </c>
      <c r="E96" s="34" t="s">
        <v>106</v>
      </c>
      <c r="F96" s="34">
        <v>19</v>
      </c>
      <c r="G96" s="34" t="s">
        <v>1597</v>
      </c>
      <c r="H96" s="34" t="s">
        <v>36</v>
      </c>
      <c r="I96" s="34" t="s">
        <v>38</v>
      </c>
      <c r="J96" s="34" t="s">
        <v>36</v>
      </c>
      <c r="K96" s="34" t="s">
        <v>1412</v>
      </c>
      <c r="L96" s="34" t="s">
        <v>104</v>
      </c>
      <c r="M96" s="34" t="s">
        <v>1419</v>
      </c>
      <c r="N96" s="34" t="s">
        <v>117</v>
      </c>
      <c r="O96" s="34">
        <v>387448</v>
      </c>
      <c r="P96" s="34" t="s">
        <v>15</v>
      </c>
      <c r="Q96" s="34">
        <v>0</v>
      </c>
      <c r="R96" s="34">
        <v>2</v>
      </c>
      <c r="S96" s="34">
        <v>16</v>
      </c>
      <c r="T96" s="34">
        <v>0</v>
      </c>
      <c r="U96" s="34">
        <v>0</v>
      </c>
      <c r="V96" s="34">
        <v>0</v>
      </c>
      <c r="W96" s="34">
        <v>0</v>
      </c>
      <c r="X96" s="34">
        <v>0</v>
      </c>
      <c r="Y96" s="34">
        <v>0</v>
      </c>
      <c r="Z96" s="34">
        <v>0</v>
      </c>
      <c r="AA96" s="34">
        <v>0</v>
      </c>
      <c r="AB96" s="34">
        <v>2</v>
      </c>
      <c r="AC96" s="34">
        <v>0</v>
      </c>
      <c r="AD96" s="34">
        <v>0</v>
      </c>
      <c r="AE96" s="34">
        <v>0</v>
      </c>
      <c r="AF96" s="34">
        <v>0</v>
      </c>
      <c r="AG96" s="34">
        <v>3</v>
      </c>
      <c r="AH96" s="34">
        <v>0</v>
      </c>
      <c r="AI96" s="34">
        <v>5</v>
      </c>
      <c r="AJ96" s="34">
        <v>5</v>
      </c>
      <c r="AK96" s="34">
        <v>0</v>
      </c>
      <c r="AL96" s="34"/>
      <c r="AM96" s="34" t="s">
        <v>33</v>
      </c>
    </row>
    <row r="97" spans="1:39" ht="14.4" customHeight="1" x14ac:dyDescent="0.3">
      <c r="A97" s="203">
        <v>387446</v>
      </c>
      <c r="B97" s="34">
        <v>381997</v>
      </c>
      <c r="C97" s="34" t="s">
        <v>2129</v>
      </c>
      <c r="D97" s="34" t="s">
        <v>1321</v>
      </c>
      <c r="E97" s="34" t="s">
        <v>28</v>
      </c>
      <c r="F97" s="34">
        <v>25</v>
      </c>
      <c r="G97" s="34" t="s">
        <v>1597</v>
      </c>
      <c r="H97" s="34" t="s">
        <v>36</v>
      </c>
      <c r="I97" s="34" t="s">
        <v>38</v>
      </c>
      <c r="J97" s="34" t="s">
        <v>36</v>
      </c>
      <c r="K97" s="34" t="s">
        <v>1412</v>
      </c>
      <c r="L97" s="34" t="s">
        <v>104</v>
      </c>
      <c r="M97" s="34" t="s">
        <v>1419</v>
      </c>
      <c r="N97" s="34" t="s">
        <v>117</v>
      </c>
      <c r="O97" s="34">
        <v>387446</v>
      </c>
      <c r="P97" s="34" t="s">
        <v>15</v>
      </c>
      <c r="Q97" s="34">
        <v>0</v>
      </c>
      <c r="R97" s="34">
        <v>3</v>
      </c>
      <c r="S97" s="34">
        <v>0</v>
      </c>
      <c r="T97" s="34">
        <v>0</v>
      </c>
      <c r="U97" s="34">
        <v>0</v>
      </c>
      <c r="V97" s="34">
        <v>0</v>
      </c>
      <c r="W97" s="34">
        <v>0</v>
      </c>
      <c r="X97" s="34">
        <v>2</v>
      </c>
      <c r="Y97" s="34">
        <v>0</v>
      </c>
      <c r="Z97" s="34">
        <v>0</v>
      </c>
      <c r="AA97" s="34">
        <v>0</v>
      </c>
      <c r="AB97" s="34">
        <v>16</v>
      </c>
      <c r="AC97" s="34">
        <v>0</v>
      </c>
      <c r="AD97" s="34">
        <v>0</v>
      </c>
      <c r="AE97" s="34">
        <v>0</v>
      </c>
      <c r="AF97" s="34">
        <v>0</v>
      </c>
      <c r="AG97" s="34">
        <v>7</v>
      </c>
      <c r="AH97" s="34">
        <v>0</v>
      </c>
      <c r="AI97" s="34">
        <v>0</v>
      </c>
      <c r="AJ97" s="34">
        <v>25</v>
      </c>
      <c r="AK97" s="34">
        <v>0</v>
      </c>
      <c r="AL97" s="34"/>
      <c r="AM97" s="34" t="s">
        <v>40</v>
      </c>
    </row>
    <row r="98" spans="1:39" ht="14.4" customHeight="1" x14ac:dyDescent="0.3">
      <c r="A98" s="203">
        <v>387434</v>
      </c>
      <c r="B98" s="34">
        <v>1008506</v>
      </c>
      <c r="C98" s="34" t="s">
        <v>1769</v>
      </c>
      <c r="D98" s="34" t="s">
        <v>857</v>
      </c>
      <c r="E98" s="34" t="s">
        <v>28</v>
      </c>
      <c r="F98" s="34" t="s">
        <v>36</v>
      </c>
      <c r="G98" s="34" t="s">
        <v>999</v>
      </c>
      <c r="H98" s="34" t="s">
        <v>1177</v>
      </c>
      <c r="I98" s="34" t="s">
        <v>36</v>
      </c>
      <c r="J98" s="34" t="s">
        <v>36</v>
      </c>
      <c r="K98" s="34" t="s">
        <v>36</v>
      </c>
      <c r="L98" s="34" t="s">
        <v>1420</v>
      </c>
      <c r="M98" s="34" t="s">
        <v>1421</v>
      </c>
      <c r="N98" s="34" t="s">
        <v>72</v>
      </c>
      <c r="O98" s="34">
        <v>1008506</v>
      </c>
      <c r="P98" s="34" t="s">
        <v>947</v>
      </c>
      <c r="Q98" s="34" t="s">
        <v>36</v>
      </c>
      <c r="R98" s="34">
        <v>0</v>
      </c>
      <c r="S98" s="34" t="s">
        <v>36</v>
      </c>
      <c r="T98" s="34" t="s">
        <v>36</v>
      </c>
      <c r="U98" s="34" t="s">
        <v>36</v>
      </c>
      <c r="V98" s="34" t="s">
        <v>36</v>
      </c>
      <c r="W98" s="34" t="s">
        <v>36</v>
      </c>
      <c r="X98" s="34" t="s">
        <v>36</v>
      </c>
      <c r="Y98" s="34" t="s">
        <v>36</v>
      </c>
      <c r="Z98" s="34" t="s">
        <v>36</v>
      </c>
      <c r="AA98" s="34" t="s">
        <v>36</v>
      </c>
      <c r="AB98" s="34" t="s">
        <v>36</v>
      </c>
      <c r="AC98" s="34" t="s">
        <v>36</v>
      </c>
      <c r="AD98" s="34" t="s">
        <v>36</v>
      </c>
      <c r="AE98" s="34" t="s">
        <v>36</v>
      </c>
      <c r="AF98" s="34" t="s">
        <v>36</v>
      </c>
      <c r="AG98" s="34" t="s">
        <v>36</v>
      </c>
      <c r="AH98" s="34" t="s">
        <v>36</v>
      </c>
      <c r="AI98" s="34" t="s">
        <v>36</v>
      </c>
      <c r="AJ98" s="34" t="s">
        <v>36</v>
      </c>
      <c r="AK98" s="34" t="s">
        <v>36</v>
      </c>
      <c r="AL98" s="34"/>
      <c r="AM98" s="34" t="s">
        <v>36</v>
      </c>
    </row>
    <row r="99" spans="1:39" ht="14.4" customHeight="1" x14ac:dyDescent="0.3">
      <c r="A99" s="203">
        <v>385632</v>
      </c>
      <c r="B99" s="34">
        <v>216351</v>
      </c>
      <c r="C99" s="34" t="s">
        <v>1444</v>
      </c>
      <c r="D99" s="34" t="s">
        <v>1321</v>
      </c>
      <c r="E99" s="34" t="s">
        <v>28</v>
      </c>
      <c r="F99" s="34">
        <v>5</v>
      </c>
      <c r="G99" s="34" t="s">
        <v>847</v>
      </c>
      <c r="H99" s="34" t="s">
        <v>36</v>
      </c>
      <c r="I99" s="34" t="s">
        <v>1793</v>
      </c>
      <c r="J99" s="34" t="s">
        <v>36</v>
      </c>
      <c r="K99" s="34" t="s">
        <v>1412</v>
      </c>
      <c r="L99" s="34" t="s">
        <v>104</v>
      </c>
      <c r="M99" s="34" t="s">
        <v>1419</v>
      </c>
      <c r="N99" s="34" t="s">
        <v>117</v>
      </c>
      <c r="O99" s="34">
        <v>385632</v>
      </c>
      <c r="P99" s="34" t="s">
        <v>947</v>
      </c>
      <c r="Q99" s="34">
        <v>0</v>
      </c>
      <c r="R99" s="34">
        <v>2</v>
      </c>
      <c r="S99" s="34">
        <v>0</v>
      </c>
      <c r="T99" s="34">
        <v>0</v>
      </c>
      <c r="U99" s="34">
        <v>0</v>
      </c>
      <c r="V99" s="34">
        <v>0</v>
      </c>
      <c r="W99" s="34">
        <v>0</v>
      </c>
      <c r="X99" s="34">
        <v>0</v>
      </c>
      <c r="Y99" s="34">
        <v>0</v>
      </c>
      <c r="Z99" s="34">
        <v>0</v>
      </c>
      <c r="AA99" s="34">
        <v>0</v>
      </c>
      <c r="AB99" s="34">
        <v>1</v>
      </c>
      <c r="AC99" s="34">
        <v>4</v>
      </c>
      <c r="AD99" s="34">
        <v>0</v>
      </c>
      <c r="AE99" s="34">
        <v>0</v>
      </c>
      <c r="AF99" s="34">
        <v>0</v>
      </c>
      <c r="AG99" s="34">
        <v>0</v>
      </c>
      <c r="AH99" s="34">
        <v>0</v>
      </c>
      <c r="AI99" s="34">
        <v>0</v>
      </c>
      <c r="AJ99" s="34">
        <v>5</v>
      </c>
      <c r="AK99" s="34">
        <v>0</v>
      </c>
      <c r="AL99" s="34"/>
      <c r="AM99" s="34" t="s">
        <v>40</v>
      </c>
    </row>
    <row r="100" spans="1:39" ht="14.4" customHeight="1" x14ac:dyDescent="0.3">
      <c r="A100" s="203">
        <v>385442</v>
      </c>
      <c r="B100" s="34">
        <v>385438</v>
      </c>
      <c r="C100" s="34" t="s">
        <v>983</v>
      </c>
      <c r="D100" s="34" t="s">
        <v>972</v>
      </c>
      <c r="E100" s="34" t="s">
        <v>106</v>
      </c>
      <c r="F100" s="34">
        <v>128</v>
      </c>
      <c r="G100" s="34" t="s">
        <v>1584</v>
      </c>
      <c r="H100" s="34" t="s">
        <v>36</v>
      </c>
      <c r="I100" s="34" t="s">
        <v>38</v>
      </c>
      <c r="J100" s="34" t="s">
        <v>36</v>
      </c>
      <c r="K100" s="34" t="s">
        <v>1412</v>
      </c>
      <c r="L100" s="34" t="s">
        <v>1429</v>
      </c>
      <c r="M100" s="34" t="s">
        <v>1419</v>
      </c>
      <c r="N100" s="34" t="s">
        <v>117</v>
      </c>
      <c r="O100" s="34">
        <v>385442</v>
      </c>
      <c r="P100" s="34" t="s">
        <v>950</v>
      </c>
      <c r="Q100" s="34">
        <v>0</v>
      </c>
      <c r="R100" s="34">
        <v>2</v>
      </c>
      <c r="S100" s="34">
        <v>91</v>
      </c>
      <c r="T100" s="34">
        <v>0</v>
      </c>
      <c r="U100" s="34">
        <v>0</v>
      </c>
      <c r="V100" s="34">
        <v>0</v>
      </c>
      <c r="W100" s="34">
        <v>0</v>
      </c>
      <c r="X100" s="34">
        <v>0</v>
      </c>
      <c r="Y100" s="34">
        <v>3</v>
      </c>
      <c r="Z100" s="34">
        <v>51</v>
      </c>
      <c r="AA100" s="34">
        <v>0</v>
      </c>
      <c r="AB100" s="34">
        <v>0</v>
      </c>
      <c r="AC100" s="34">
        <v>0</v>
      </c>
      <c r="AD100" s="34">
        <v>0</v>
      </c>
      <c r="AE100" s="34">
        <v>0</v>
      </c>
      <c r="AF100" s="34">
        <v>0</v>
      </c>
      <c r="AG100" s="34">
        <v>0</v>
      </c>
      <c r="AH100" s="34">
        <v>0</v>
      </c>
      <c r="AI100" s="34">
        <v>0</v>
      </c>
      <c r="AJ100" s="34">
        <v>54</v>
      </c>
      <c r="AK100" s="34">
        <v>0</v>
      </c>
      <c r="AL100" s="34"/>
      <c r="AM100" s="34" t="s">
        <v>33</v>
      </c>
    </row>
    <row r="101" spans="1:39" ht="14.4" customHeight="1" x14ac:dyDescent="0.3">
      <c r="A101" s="203">
        <v>384084</v>
      </c>
      <c r="B101" s="34">
        <v>383110</v>
      </c>
      <c r="C101" s="34" t="s">
        <v>890</v>
      </c>
      <c r="D101" s="34" t="s">
        <v>1866</v>
      </c>
      <c r="E101" s="34" t="s">
        <v>106</v>
      </c>
      <c r="F101" s="34">
        <v>46</v>
      </c>
      <c r="G101" s="34" t="s">
        <v>999</v>
      </c>
      <c r="H101" s="34" t="s">
        <v>36</v>
      </c>
      <c r="I101" s="34" t="s">
        <v>1869</v>
      </c>
      <c r="J101" s="34" t="s">
        <v>36</v>
      </c>
      <c r="K101" s="34" t="s">
        <v>1412</v>
      </c>
      <c r="L101" s="34" t="s">
        <v>104</v>
      </c>
      <c r="M101" s="34" t="s">
        <v>1419</v>
      </c>
      <c r="N101" s="34" t="s">
        <v>117</v>
      </c>
      <c r="O101" s="34">
        <v>384084</v>
      </c>
      <c r="P101" s="34" t="s">
        <v>947</v>
      </c>
      <c r="Q101" s="34">
        <v>0</v>
      </c>
      <c r="R101" s="34">
        <v>3</v>
      </c>
      <c r="S101" s="34">
        <v>42</v>
      </c>
      <c r="T101" s="34">
        <v>0</v>
      </c>
      <c r="U101" s="34">
        <v>0</v>
      </c>
      <c r="V101" s="34">
        <v>0</v>
      </c>
      <c r="W101" s="34">
        <v>0</v>
      </c>
      <c r="X101" s="34">
        <v>0</v>
      </c>
      <c r="Y101" s="34">
        <v>0</v>
      </c>
      <c r="Z101" s="34">
        <v>11</v>
      </c>
      <c r="AA101" s="34">
        <v>0</v>
      </c>
      <c r="AB101" s="34">
        <v>0</v>
      </c>
      <c r="AC101" s="34">
        <v>23</v>
      </c>
      <c r="AD101" s="34">
        <v>3</v>
      </c>
      <c r="AE101" s="34">
        <v>0</v>
      </c>
      <c r="AF101" s="34">
        <v>0</v>
      </c>
      <c r="AG101" s="34">
        <v>0</v>
      </c>
      <c r="AH101" s="34">
        <v>0</v>
      </c>
      <c r="AI101" s="34">
        <v>5</v>
      </c>
      <c r="AJ101" s="34">
        <v>37</v>
      </c>
      <c r="AK101" s="34">
        <v>0</v>
      </c>
      <c r="AL101" s="34"/>
      <c r="AM101" s="34" t="s">
        <v>33</v>
      </c>
    </row>
    <row r="102" spans="1:39" ht="14.4" customHeight="1" x14ac:dyDescent="0.3">
      <c r="A102" s="203">
        <v>383958</v>
      </c>
      <c r="B102" s="34">
        <v>385201</v>
      </c>
      <c r="C102" s="34" t="s">
        <v>869</v>
      </c>
      <c r="D102" s="34" t="s">
        <v>972</v>
      </c>
      <c r="E102" s="34" t="s">
        <v>106</v>
      </c>
      <c r="F102" s="34">
        <v>103</v>
      </c>
      <c r="G102" s="34" t="s">
        <v>998</v>
      </c>
      <c r="H102" s="34" t="s">
        <v>36</v>
      </c>
      <c r="I102" s="34" t="s">
        <v>939</v>
      </c>
      <c r="J102" s="34" t="s">
        <v>30</v>
      </c>
      <c r="K102" s="34" t="s">
        <v>1412</v>
      </c>
      <c r="L102" s="34" t="s">
        <v>104</v>
      </c>
      <c r="M102" s="34" t="s">
        <v>1419</v>
      </c>
      <c r="N102" s="34" t="s">
        <v>117</v>
      </c>
      <c r="O102" s="34">
        <v>383958</v>
      </c>
      <c r="P102" s="34" t="s">
        <v>947</v>
      </c>
      <c r="Q102" s="34">
        <v>0</v>
      </c>
      <c r="R102" s="34">
        <v>2</v>
      </c>
      <c r="S102" s="34">
        <v>38</v>
      </c>
      <c r="T102" s="34">
        <v>0</v>
      </c>
      <c r="U102" s="34">
        <v>0</v>
      </c>
      <c r="V102" s="34">
        <v>2</v>
      </c>
      <c r="W102" s="34">
        <v>0</v>
      </c>
      <c r="X102" s="34">
        <v>0</v>
      </c>
      <c r="Y102" s="34">
        <v>0</v>
      </c>
      <c r="Z102" s="34">
        <v>0</v>
      </c>
      <c r="AA102" s="34">
        <v>0</v>
      </c>
      <c r="AB102" s="34">
        <v>0</v>
      </c>
      <c r="AC102" s="34">
        <v>50</v>
      </c>
      <c r="AD102" s="34">
        <v>0</v>
      </c>
      <c r="AE102" s="34">
        <v>0</v>
      </c>
      <c r="AF102" s="34">
        <v>0</v>
      </c>
      <c r="AG102" s="34">
        <v>0</v>
      </c>
      <c r="AH102" s="34">
        <v>0</v>
      </c>
      <c r="AI102" s="34">
        <v>0</v>
      </c>
      <c r="AJ102" s="34">
        <v>52</v>
      </c>
      <c r="AK102" s="34">
        <v>0</v>
      </c>
      <c r="AL102" s="34"/>
      <c r="AM102" s="34" t="s">
        <v>33</v>
      </c>
    </row>
    <row r="103" spans="1:39" ht="14.4" customHeight="1" x14ac:dyDescent="0.3">
      <c r="A103" s="203">
        <v>383208</v>
      </c>
      <c r="B103" s="34">
        <v>1007900</v>
      </c>
      <c r="C103" s="34" t="s">
        <v>2354</v>
      </c>
      <c r="D103" s="34" t="s">
        <v>857</v>
      </c>
      <c r="E103" s="34" t="s">
        <v>28</v>
      </c>
      <c r="F103" s="34" t="s">
        <v>36</v>
      </c>
      <c r="G103" s="34" t="s">
        <v>550</v>
      </c>
      <c r="H103" s="34" t="s">
        <v>2293</v>
      </c>
      <c r="I103" s="34" t="s">
        <v>939</v>
      </c>
      <c r="J103" s="34" t="s">
        <v>36</v>
      </c>
      <c r="K103" s="34" t="s">
        <v>36</v>
      </c>
      <c r="L103" s="34" t="s">
        <v>1429</v>
      </c>
      <c r="M103" s="34" t="s">
        <v>1421</v>
      </c>
      <c r="N103" s="34" t="s">
        <v>72</v>
      </c>
      <c r="O103" s="34">
        <v>1007900</v>
      </c>
      <c r="P103" s="34" t="s">
        <v>950</v>
      </c>
      <c r="Q103" s="34" t="s">
        <v>36</v>
      </c>
      <c r="R103" s="34">
        <v>0</v>
      </c>
      <c r="S103" s="34" t="s">
        <v>36</v>
      </c>
      <c r="T103" s="34" t="s">
        <v>36</v>
      </c>
      <c r="U103" s="34" t="s">
        <v>36</v>
      </c>
      <c r="V103" s="34" t="s">
        <v>36</v>
      </c>
      <c r="W103" s="34" t="s">
        <v>36</v>
      </c>
      <c r="X103" s="34" t="s">
        <v>36</v>
      </c>
      <c r="Y103" s="34" t="s">
        <v>36</v>
      </c>
      <c r="Z103" s="34" t="s">
        <v>36</v>
      </c>
      <c r="AA103" s="34" t="s">
        <v>36</v>
      </c>
      <c r="AB103" s="34" t="s">
        <v>36</v>
      </c>
      <c r="AC103" s="34" t="s">
        <v>36</v>
      </c>
      <c r="AD103" s="34" t="s">
        <v>36</v>
      </c>
      <c r="AE103" s="34" t="s">
        <v>36</v>
      </c>
      <c r="AF103" s="34" t="s">
        <v>36</v>
      </c>
      <c r="AG103" s="34" t="s">
        <v>36</v>
      </c>
      <c r="AH103" s="34" t="s">
        <v>36</v>
      </c>
      <c r="AI103" s="34" t="s">
        <v>36</v>
      </c>
      <c r="AJ103" s="34" t="s">
        <v>36</v>
      </c>
      <c r="AK103" s="34" t="s">
        <v>36</v>
      </c>
      <c r="AL103" s="34"/>
      <c r="AM103" s="34" t="s">
        <v>36</v>
      </c>
    </row>
    <row r="104" spans="1:39" ht="14.4" customHeight="1" x14ac:dyDescent="0.3">
      <c r="A104" s="203">
        <v>383165</v>
      </c>
      <c r="B104" s="34">
        <v>383110</v>
      </c>
      <c r="C104" s="34" t="s">
        <v>942</v>
      </c>
      <c r="D104" s="34" t="s">
        <v>1866</v>
      </c>
      <c r="E104" s="34" t="s">
        <v>106</v>
      </c>
      <c r="F104" s="34">
        <v>102</v>
      </c>
      <c r="G104" s="34" t="s">
        <v>1585</v>
      </c>
      <c r="H104" s="34" t="s">
        <v>36</v>
      </c>
      <c r="I104" s="34" t="s">
        <v>38</v>
      </c>
      <c r="J104" s="34" t="s">
        <v>30</v>
      </c>
      <c r="K104" s="34" t="s">
        <v>1412</v>
      </c>
      <c r="L104" s="34" t="s">
        <v>1431</v>
      </c>
      <c r="M104" s="34" t="s">
        <v>1419</v>
      </c>
      <c r="N104" s="34" t="s">
        <v>117</v>
      </c>
      <c r="O104" s="34">
        <v>383165</v>
      </c>
      <c r="P104" s="34" t="s">
        <v>950</v>
      </c>
      <c r="Q104" s="34">
        <v>0</v>
      </c>
      <c r="R104" s="34">
        <v>2</v>
      </c>
      <c r="S104" s="34">
        <v>70</v>
      </c>
      <c r="T104" s="34">
        <v>0</v>
      </c>
      <c r="U104" s="34">
        <v>0</v>
      </c>
      <c r="V104" s="34">
        <v>0</v>
      </c>
      <c r="W104" s="34">
        <v>0</v>
      </c>
      <c r="X104" s="34">
        <v>0</v>
      </c>
      <c r="Y104" s="34">
        <v>6</v>
      </c>
      <c r="Z104" s="34">
        <v>8</v>
      </c>
      <c r="AA104" s="34">
        <v>0</v>
      </c>
      <c r="AB104" s="34">
        <v>0</v>
      </c>
      <c r="AC104" s="34">
        <v>0</v>
      </c>
      <c r="AD104" s="34">
        <v>0</v>
      </c>
      <c r="AE104" s="34">
        <v>0</v>
      </c>
      <c r="AF104" s="34">
        <v>0</v>
      </c>
      <c r="AG104" s="34">
        <v>0</v>
      </c>
      <c r="AH104" s="34">
        <v>0</v>
      </c>
      <c r="AI104" s="34">
        <v>2</v>
      </c>
      <c r="AJ104" s="34">
        <v>14</v>
      </c>
      <c r="AK104" s="34">
        <v>0</v>
      </c>
      <c r="AL104" s="34"/>
      <c r="AM104" s="34" t="s">
        <v>33</v>
      </c>
    </row>
    <row r="105" spans="1:39" ht="14.4" customHeight="1" x14ac:dyDescent="0.3">
      <c r="A105" s="203">
        <v>382251</v>
      </c>
      <c r="B105" s="34">
        <v>354871</v>
      </c>
      <c r="C105" s="34" t="s">
        <v>905</v>
      </c>
      <c r="D105" s="34" t="s">
        <v>857</v>
      </c>
      <c r="E105" s="34" t="s">
        <v>28</v>
      </c>
      <c r="F105" s="34" t="s">
        <v>36</v>
      </c>
      <c r="G105" s="34" t="s">
        <v>549</v>
      </c>
      <c r="H105" s="34" t="s">
        <v>297</v>
      </c>
      <c r="I105" s="34" t="s">
        <v>36</v>
      </c>
      <c r="J105" s="34" t="s">
        <v>36</v>
      </c>
      <c r="K105" s="34" t="s">
        <v>36</v>
      </c>
      <c r="L105" s="34" t="s">
        <v>1429</v>
      </c>
      <c r="M105" s="34" t="s">
        <v>1421</v>
      </c>
      <c r="N105" s="34" t="s">
        <v>72</v>
      </c>
      <c r="O105" s="34">
        <v>354871</v>
      </c>
      <c r="P105" s="34" t="s">
        <v>17</v>
      </c>
      <c r="Q105" s="34" t="s">
        <v>36</v>
      </c>
      <c r="R105" s="34">
        <v>0</v>
      </c>
      <c r="S105" s="34" t="s">
        <v>36</v>
      </c>
      <c r="T105" s="34" t="s">
        <v>36</v>
      </c>
      <c r="U105" s="34" t="s">
        <v>36</v>
      </c>
      <c r="V105" s="34" t="s">
        <v>36</v>
      </c>
      <c r="W105" s="34" t="s">
        <v>36</v>
      </c>
      <c r="X105" s="34" t="s">
        <v>36</v>
      </c>
      <c r="Y105" s="34" t="s">
        <v>36</v>
      </c>
      <c r="Z105" s="34" t="s">
        <v>36</v>
      </c>
      <c r="AA105" s="34" t="s">
        <v>36</v>
      </c>
      <c r="AB105" s="34" t="s">
        <v>36</v>
      </c>
      <c r="AC105" s="34" t="s">
        <v>36</v>
      </c>
      <c r="AD105" s="34" t="s">
        <v>36</v>
      </c>
      <c r="AE105" s="34" t="s">
        <v>36</v>
      </c>
      <c r="AF105" s="34" t="s">
        <v>36</v>
      </c>
      <c r="AG105" s="34" t="s">
        <v>36</v>
      </c>
      <c r="AH105" s="34" t="s">
        <v>36</v>
      </c>
      <c r="AI105" s="34" t="s">
        <v>36</v>
      </c>
      <c r="AJ105" s="34" t="s">
        <v>36</v>
      </c>
      <c r="AK105" s="34" t="s">
        <v>36</v>
      </c>
      <c r="AL105" s="34"/>
      <c r="AM105" s="34" t="s">
        <v>36</v>
      </c>
    </row>
    <row r="106" spans="1:39" ht="14.4" customHeight="1" x14ac:dyDescent="0.3">
      <c r="A106" s="203">
        <v>382250</v>
      </c>
      <c r="B106" s="34">
        <v>354871</v>
      </c>
      <c r="C106" s="34" t="s">
        <v>904</v>
      </c>
      <c r="D106" s="34" t="s">
        <v>857</v>
      </c>
      <c r="E106" s="34" t="s">
        <v>28</v>
      </c>
      <c r="F106" s="34" t="s">
        <v>36</v>
      </c>
      <c r="G106" s="34" t="s">
        <v>549</v>
      </c>
      <c r="H106" s="34" t="s">
        <v>297</v>
      </c>
      <c r="I106" s="34" t="s">
        <v>36</v>
      </c>
      <c r="J106" s="34" t="s">
        <v>36</v>
      </c>
      <c r="K106" s="34" t="s">
        <v>36</v>
      </c>
      <c r="L106" s="34" t="s">
        <v>1429</v>
      </c>
      <c r="M106" s="34" t="s">
        <v>1421</v>
      </c>
      <c r="N106" s="34" t="s">
        <v>72</v>
      </c>
      <c r="O106" s="34">
        <v>354871</v>
      </c>
      <c r="P106" s="34" t="s">
        <v>17</v>
      </c>
      <c r="Q106" s="34" t="s">
        <v>36</v>
      </c>
      <c r="R106" s="34">
        <v>0</v>
      </c>
      <c r="S106" s="34" t="s">
        <v>36</v>
      </c>
      <c r="T106" s="34" t="s">
        <v>36</v>
      </c>
      <c r="U106" s="34" t="s">
        <v>36</v>
      </c>
      <c r="V106" s="34" t="s">
        <v>36</v>
      </c>
      <c r="W106" s="34" t="s">
        <v>36</v>
      </c>
      <c r="X106" s="34" t="s">
        <v>36</v>
      </c>
      <c r="Y106" s="34" t="s">
        <v>36</v>
      </c>
      <c r="Z106" s="34" t="s">
        <v>36</v>
      </c>
      <c r="AA106" s="34" t="s">
        <v>36</v>
      </c>
      <c r="AB106" s="34" t="s">
        <v>36</v>
      </c>
      <c r="AC106" s="34" t="s">
        <v>36</v>
      </c>
      <c r="AD106" s="34" t="s">
        <v>36</v>
      </c>
      <c r="AE106" s="34" t="s">
        <v>36</v>
      </c>
      <c r="AF106" s="34" t="s">
        <v>36</v>
      </c>
      <c r="AG106" s="34" t="s">
        <v>36</v>
      </c>
      <c r="AH106" s="34" t="s">
        <v>36</v>
      </c>
      <c r="AI106" s="34" t="s">
        <v>36</v>
      </c>
      <c r="AJ106" s="34" t="s">
        <v>36</v>
      </c>
      <c r="AK106" s="34" t="s">
        <v>36</v>
      </c>
      <c r="AL106" s="34"/>
      <c r="AM106" s="34" t="s">
        <v>36</v>
      </c>
    </row>
    <row r="107" spans="1:39" ht="14.4" customHeight="1" x14ac:dyDescent="0.3">
      <c r="A107" s="203">
        <v>382248</v>
      </c>
      <c r="B107" s="34">
        <v>354871</v>
      </c>
      <c r="C107" s="34" t="s">
        <v>1591</v>
      </c>
      <c r="D107" s="34" t="s">
        <v>857</v>
      </c>
      <c r="E107" s="34" t="s">
        <v>28</v>
      </c>
      <c r="F107" s="34" t="s">
        <v>36</v>
      </c>
      <c r="G107" s="34" t="s">
        <v>549</v>
      </c>
      <c r="H107" s="34" t="s">
        <v>297</v>
      </c>
      <c r="I107" s="34" t="s">
        <v>36</v>
      </c>
      <c r="J107" s="34" t="s">
        <v>36</v>
      </c>
      <c r="K107" s="34" t="s">
        <v>36</v>
      </c>
      <c r="L107" s="34" t="s">
        <v>1429</v>
      </c>
      <c r="M107" s="34" t="s">
        <v>1421</v>
      </c>
      <c r="N107" s="34" t="s">
        <v>72</v>
      </c>
      <c r="O107" s="34">
        <v>354871</v>
      </c>
      <c r="P107" s="34" t="s">
        <v>17</v>
      </c>
      <c r="Q107" s="34" t="s">
        <v>36</v>
      </c>
      <c r="R107" s="34">
        <v>0</v>
      </c>
      <c r="S107" s="34" t="s">
        <v>36</v>
      </c>
      <c r="T107" s="34" t="s">
        <v>36</v>
      </c>
      <c r="U107" s="34" t="s">
        <v>36</v>
      </c>
      <c r="V107" s="34" t="s">
        <v>36</v>
      </c>
      <c r="W107" s="34" t="s">
        <v>36</v>
      </c>
      <c r="X107" s="34" t="s">
        <v>36</v>
      </c>
      <c r="Y107" s="34" t="s">
        <v>36</v>
      </c>
      <c r="Z107" s="34" t="s">
        <v>36</v>
      </c>
      <c r="AA107" s="34" t="s">
        <v>36</v>
      </c>
      <c r="AB107" s="34" t="s">
        <v>36</v>
      </c>
      <c r="AC107" s="34" t="s">
        <v>36</v>
      </c>
      <c r="AD107" s="34" t="s">
        <v>36</v>
      </c>
      <c r="AE107" s="34" t="s">
        <v>36</v>
      </c>
      <c r="AF107" s="34" t="s">
        <v>36</v>
      </c>
      <c r="AG107" s="34" t="s">
        <v>36</v>
      </c>
      <c r="AH107" s="34" t="s">
        <v>36</v>
      </c>
      <c r="AI107" s="34" t="s">
        <v>36</v>
      </c>
      <c r="AJ107" s="34" t="s">
        <v>36</v>
      </c>
      <c r="AK107" s="34" t="s">
        <v>36</v>
      </c>
      <c r="AL107" s="34"/>
      <c r="AM107" s="34" t="s">
        <v>36</v>
      </c>
    </row>
    <row r="108" spans="1:39" ht="14.4" customHeight="1" x14ac:dyDescent="0.3">
      <c r="A108" s="203">
        <v>381547</v>
      </c>
      <c r="B108" s="34">
        <v>381524</v>
      </c>
      <c r="C108" s="34" t="s">
        <v>1010</v>
      </c>
      <c r="D108" s="34" t="s">
        <v>2250</v>
      </c>
      <c r="E108" s="34" t="s">
        <v>28</v>
      </c>
      <c r="F108" s="34" t="s">
        <v>36</v>
      </c>
      <c r="G108" s="34" t="s">
        <v>1003</v>
      </c>
      <c r="H108" s="34" t="s">
        <v>952</v>
      </c>
      <c r="I108" s="34" t="s">
        <v>36</v>
      </c>
      <c r="J108" s="34" t="s">
        <v>36</v>
      </c>
      <c r="K108" s="34" t="s">
        <v>36</v>
      </c>
      <c r="L108" s="34" t="s">
        <v>1420</v>
      </c>
      <c r="M108" s="34" t="s">
        <v>1433</v>
      </c>
      <c r="N108" s="34" t="s">
        <v>72</v>
      </c>
      <c r="O108" s="34">
        <v>381524</v>
      </c>
      <c r="P108" s="34" t="s">
        <v>947</v>
      </c>
      <c r="Q108" s="34" t="s">
        <v>36</v>
      </c>
      <c r="R108" s="34">
        <v>0</v>
      </c>
      <c r="S108" s="34" t="s">
        <v>36</v>
      </c>
      <c r="T108" s="34" t="s">
        <v>36</v>
      </c>
      <c r="U108" s="34" t="s">
        <v>36</v>
      </c>
      <c r="V108" s="34" t="s">
        <v>36</v>
      </c>
      <c r="W108" s="34" t="s">
        <v>36</v>
      </c>
      <c r="X108" s="34" t="s">
        <v>36</v>
      </c>
      <c r="Y108" s="34" t="s">
        <v>36</v>
      </c>
      <c r="Z108" s="34" t="s">
        <v>36</v>
      </c>
      <c r="AA108" s="34" t="s">
        <v>36</v>
      </c>
      <c r="AB108" s="34" t="s">
        <v>36</v>
      </c>
      <c r="AC108" s="34" t="s">
        <v>36</v>
      </c>
      <c r="AD108" s="34" t="s">
        <v>36</v>
      </c>
      <c r="AE108" s="34" t="s">
        <v>36</v>
      </c>
      <c r="AF108" s="34" t="s">
        <v>36</v>
      </c>
      <c r="AG108" s="34" t="s">
        <v>36</v>
      </c>
      <c r="AH108" s="34" t="s">
        <v>36</v>
      </c>
      <c r="AI108" s="34" t="s">
        <v>36</v>
      </c>
      <c r="AJ108" s="34" t="s">
        <v>36</v>
      </c>
      <c r="AK108" s="34" t="s">
        <v>36</v>
      </c>
      <c r="AL108" s="34"/>
      <c r="AM108" s="34" t="s">
        <v>36</v>
      </c>
    </row>
    <row r="109" spans="1:39" ht="14.4" customHeight="1" x14ac:dyDescent="0.3">
      <c r="A109" s="203">
        <v>381524</v>
      </c>
      <c r="B109" s="34">
        <v>395610</v>
      </c>
      <c r="C109" s="34" t="s">
        <v>973</v>
      </c>
      <c r="D109" s="34" t="s">
        <v>972</v>
      </c>
      <c r="E109" s="34" t="s">
        <v>106</v>
      </c>
      <c r="F109" s="34">
        <v>51</v>
      </c>
      <c r="G109" s="34" t="s">
        <v>1003</v>
      </c>
      <c r="H109" s="34" t="s">
        <v>36</v>
      </c>
      <c r="I109" s="34" t="s">
        <v>939</v>
      </c>
      <c r="J109" s="34" t="s">
        <v>30</v>
      </c>
      <c r="K109" s="34" t="s">
        <v>1412</v>
      </c>
      <c r="L109" s="34" t="s">
        <v>104</v>
      </c>
      <c r="M109" s="34" t="s">
        <v>1419</v>
      </c>
      <c r="N109" s="34" t="s">
        <v>117</v>
      </c>
      <c r="O109" s="34">
        <v>381524</v>
      </c>
      <c r="P109" s="34" t="s">
        <v>947</v>
      </c>
      <c r="Q109" s="34">
        <v>2</v>
      </c>
      <c r="R109" s="34">
        <v>2</v>
      </c>
      <c r="S109" s="34">
        <v>15</v>
      </c>
      <c r="T109" s="34">
        <v>0</v>
      </c>
      <c r="U109" s="34">
        <v>0</v>
      </c>
      <c r="V109" s="34">
        <v>2</v>
      </c>
      <c r="W109" s="34">
        <v>0</v>
      </c>
      <c r="X109" s="34">
        <v>0</v>
      </c>
      <c r="Y109" s="34">
        <v>0</v>
      </c>
      <c r="Z109" s="34">
        <v>0</v>
      </c>
      <c r="AA109" s="34">
        <v>0</v>
      </c>
      <c r="AB109" s="34">
        <v>0</v>
      </c>
      <c r="AC109" s="34">
        <v>24</v>
      </c>
      <c r="AD109" s="34">
        <v>0</v>
      </c>
      <c r="AE109" s="34">
        <v>0</v>
      </c>
      <c r="AF109" s="34">
        <v>0</v>
      </c>
      <c r="AG109" s="34">
        <v>0</v>
      </c>
      <c r="AH109" s="34">
        <v>0</v>
      </c>
      <c r="AI109" s="34">
        <v>0</v>
      </c>
      <c r="AJ109" s="34">
        <v>26</v>
      </c>
      <c r="AK109" s="34">
        <v>0</v>
      </c>
      <c r="AL109" s="34"/>
      <c r="AM109" s="34" t="s">
        <v>33</v>
      </c>
    </row>
    <row r="110" spans="1:39" ht="14.4" customHeight="1" x14ac:dyDescent="0.3">
      <c r="A110" s="203">
        <v>380808</v>
      </c>
      <c r="B110" s="34">
        <v>383110</v>
      </c>
      <c r="C110" s="34" t="s">
        <v>2197</v>
      </c>
      <c r="D110" s="34" t="s">
        <v>1866</v>
      </c>
      <c r="E110" s="34" t="s">
        <v>28</v>
      </c>
      <c r="F110" s="34">
        <v>283</v>
      </c>
      <c r="G110" s="34" t="s">
        <v>1585</v>
      </c>
      <c r="H110" s="34" t="s">
        <v>36</v>
      </c>
      <c r="I110" s="34" t="s">
        <v>1869</v>
      </c>
      <c r="J110" s="34" t="s">
        <v>30</v>
      </c>
      <c r="K110" s="34" t="s">
        <v>1412</v>
      </c>
      <c r="L110" s="34" t="s">
        <v>1431</v>
      </c>
      <c r="M110" s="34" t="s">
        <v>1419</v>
      </c>
      <c r="N110" s="34" t="s">
        <v>117</v>
      </c>
      <c r="O110" s="34">
        <v>380808</v>
      </c>
      <c r="P110" s="34" t="s">
        <v>950</v>
      </c>
      <c r="Q110" s="34">
        <v>1</v>
      </c>
      <c r="R110" s="34">
        <v>6</v>
      </c>
      <c r="S110" s="34">
        <v>0</v>
      </c>
      <c r="T110" s="34">
        <v>0</v>
      </c>
      <c r="U110" s="34">
        <v>0</v>
      </c>
      <c r="V110" s="34">
        <v>24</v>
      </c>
      <c r="W110" s="34">
        <v>10</v>
      </c>
      <c r="X110" s="34">
        <v>21</v>
      </c>
      <c r="Y110" s="34">
        <v>6</v>
      </c>
      <c r="Z110" s="34">
        <v>92</v>
      </c>
      <c r="AA110" s="34">
        <v>0</v>
      </c>
      <c r="AB110" s="34">
        <v>0</v>
      </c>
      <c r="AC110" s="34">
        <v>22</v>
      </c>
      <c r="AD110" s="34">
        <v>0</v>
      </c>
      <c r="AE110" s="34">
        <v>0</v>
      </c>
      <c r="AF110" s="34">
        <v>0</v>
      </c>
      <c r="AG110" s="34">
        <v>0</v>
      </c>
      <c r="AH110" s="34">
        <v>0</v>
      </c>
      <c r="AI110" s="34">
        <v>0</v>
      </c>
      <c r="AJ110" s="34">
        <v>175</v>
      </c>
      <c r="AK110" s="34">
        <v>153</v>
      </c>
      <c r="AL110" s="34"/>
      <c r="AM110" s="34" t="s">
        <v>33</v>
      </c>
    </row>
    <row r="111" spans="1:39" ht="14.4" customHeight="1" x14ac:dyDescent="0.3">
      <c r="A111" s="203">
        <v>377437</v>
      </c>
      <c r="B111" s="34">
        <v>251622</v>
      </c>
      <c r="C111" s="34" t="s">
        <v>1476</v>
      </c>
      <c r="D111" s="34" t="s">
        <v>972</v>
      </c>
      <c r="E111" s="34" t="s">
        <v>106</v>
      </c>
      <c r="F111" s="34">
        <v>71</v>
      </c>
      <c r="G111" s="34" t="s">
        <v>184</v>
      </c>
      <c r="H111" s="34" t="s">
        <v>36</v>
      </c>
      <c r="I111" s="34" t="s">
        <v>939</v>
      </c>
      <c r="J111" s="34" t="s">
        <v>30</v>
      </c>
      <c r="K111" s="34" t="s">
        <v>1412</v>
      </c>
      <c r="L111" s="34" t="s">
        <v>1420</v>
      </c>
      <c r="M111" s="34" t="s">
        <v>1419</v>
      </c>
      <c r="N111" s="34" t="s">
        <v>117</v>
      </c>
      <c r="O111" s="34">
        <v>377437</v>
      </c>
      <c r="P111" s="34" t="s">
        <v>950</v>
      </c>
      <c r="Q111" s="34">
        <v>1</v>
      </c>
      <c r="R111" s="34">
        <v>3</v>
      </c>
      <c r="S111" s="34">
        <v>45</v>
      </c>
      <c r="T111" s="34">
        <v>0</v>
      </c>
      <c r="U111" s="34">
        <v>5</v>
      </c>
      <c r="V111" s="34">
        <v>1</v>
      </c>
      <c r="W111" s="34">
        <v>0</v>
      </c>
      <c r="X111" s="34">
        <v>0</v>
      </c>
      <c r="Y111" s="34">
        <v>0</v>
      </c>
      <c r="Z111" s="34">
        <v>33</v>
      </c>
      <c r="AA111" s="34">
        <v>0</v>
      </c>
      <c r="AB111" s="34">
        <v>0</v>
      </c>
      <c r="AC111" s="34">
        <v>0</v>
      </c>
      <c r="AD111" s="34">
        <v>0</v>
      </c>
      <c r="AE111" s="34">
        <v>0</v>
      </c>
      <c r="AF111" s="34">
        <v>0</v>
      </c>
      <c r="AG111" s="34">
        <v>0</v>
      </c>
      <c r="AH111" s="34">
        <v>0</v>
      </c>
      <c r="AI111" s="34">
        <v>3</v>
      </c>
      <c r="AJ111" s="34">
        <v>39</v>
      </c>
      <c r="AK111" s="34">
        <v>0</v>
      </c>
      <c r="AL111" s="34"/>
      <c r="AM111" s="34" t="s">
        <v>33</v>
      </c>
    </row>
    <row r="112" spans="1:39" ht="14.4" customHeight="1" x14ac:dyDescent="0.3">
      <c r="A112" s="203">
        <v>376446</v>
      </c>
      <c r="B112" s="34">
        <v>243410</v>
      </c>
      <c r="C112" s="34" t="s">
        <v>995</v>
      </c>
      <c r="D112" s="34" t="s">
        <v>2102</v>
      </c>
      <c r="E112" s="34" t="s">
        <v>106</v>
      </c>
      <c r="F112" s="34">
        <v>63</v>
      </c>
      <c r="G112" s="34" t="s">
        <v>535</v>
      </c>
      <c r="H112" s="34" t="s">
        <v>36</v>
      </c>
      <c r="I112" s="34" t="s">
        <v>38</v>
      </c>
      <c r="J112" s="34" t="s">
        <v>30</v>
      </c>
      <c r="K112" s="34" t="s">
        <v>1412</v>
      </c>
      <c r="L112" s="34" t="s">
        <v>104</v>
      </c>
      <c r="M112" s="34" t="s">
        <v>1419</v>
      </c>
      <c r="N112" s="34" t="s">
        <v>117</v>
      </c>
      <c r="O112" s="34">
        <v>376446</v>
      </c>
      <c r="P112" s="34" t="s">
        <v>943</v>
      </c>
      <c r="Q112" s="34">
        <v>0</v>
      </c>
      <c r="R112" s="34">
        <v>3</v>
      </c>
      <c r="S112" s="34">
        <v>36</v>
      </c>
      <c r="T112" s="34">
        <v>0</v>
      </c>
      <c r="U112" s="34">
        <v>0</v>
      </c>
      <c r="V112" s="34">
        <v>0</v>
      </c>
      <c r="W112" s="34">
        <v>3</v>
      </c>
      <c r="X112" s="34">
        <v>19</v>
      </c>
      <c r="Y112" s="34">
        <v>0</v>
      </c>
      <c r="Z112" s="34">
        <v>3</v>
      </c>
      <c r="AA112" s="34">
        <v>0</v>
      </c>
      <c r="AB112" s="34">
        <v>0</v>
      </c>
      <c r="AC112" s="34">
        <v>0</v>
      </c>
      <c r="AD112" s="34">
        <v>0</v>
      </c>
      <c r="AE112" s="34">
        <v>0</v>
      </c>
      <c r="AF112" s="34">
        <v>0</v>
      </c>
      <c r="AG112" s="34">
        <v>0</v>
      </c>
      <c r="AH112" s="34">
        <v>0</v>
      </c>
      <c r="AI112" s="34">
        <v>7</v>
      </c>
      <c r="AJ112" s="34">
        <v>25</v>
      </c>
      <c r="AK112" s="34">
        <v>0</v>
      </c>
      <c r="AL112" s="34"/>
      <c r="AM112" s="34" t="s">
        <v>33</v>
      </c>
    </row>
    <row r="113" spans="1:39" ht="14.4" customHeight="1" x14ac:dyDescent="0.3">
      <c r="A113" s="203">
        <v>375566</v>
      </c>
      <c r="B113" s="34">
        <v>1007900</v>
      </c>
      <c r="C113" s="34" t="s">
        <v>2291</v>
      </c>
      <c r="D113" s="34" t="s">
        <v>857</v>
      </c>
      <c r="E113" s="34" t="s">
        <v>2292</v>
      </c>
      <c r="F113" s="34" t="s">
        <v>36</v>
      </c>
      <c r="G113" s="34" t="s">
        <v>550</v>
      </c>
      <c r="H113" s="34" t="s">
        <v>2293</v>
      </c>
      <c r="I113" s="34" t="s">
        <v>939</v>
      </c>
      <c r="J113" s="34" t="s">
        <v>36</v>
      </c>
      <c r="K113" s="34" t="s">
        <v>36</v>
      </c>
      <c r="L113" s="34" t="s">
        <v>1420</v>
      </c>
      <c r="M113" s="34" t="s">
        <v>1421</v>
      </c>
      <c r="N113" s="34" t="s">
        <v>72</v>
      </c>
      <c r="O113" s="34">
        <v>1007900</v>
      </c>
      <c r="P113" s="34" t="s">
        <v>950</v>
      </c>
      <c r="Q113" s="34" t="s">
        <v>36</v>
      </c>
      <c r="R113" s="34">
        <v>0</v>
      </c>
      <c r="S113" s="34" t="s">
        <v>36</v>
      </c>
      <c r="T113" s="34" t="s">
        <v>36</v>
      </c>
      <c r="U113" s="34" t="s">
        <v>36</v>
      </c>
      <c r="V113" s="34" t="s">
        <v>36</v>
      </c>
      <c r="W113" s="34" t="s">
        <v>36</v>
      </c>
      <c r="X113" s="34" t="s">
        <v>36</v>
      </c>
      <c r="Y113" s="34" t="s">
        <v>36</v>
      </c>
      <c r="Z113" s="34" t="s">
        <v>36</v>
      </c>
      <c r="AA113" s="34" t="s">
        <v>36</v>
      </c>
      <c r="AB113" s="34" t="s">
        <v>36</v>
      </c>
      <c r="AC113" s="34" t="s">
        <v>36</v>
      </c>
      <c r="AD113" s="34" t="s">
        <v>36</v>
      </c>
      <c r="AE113" s="34" t="s">
        <v>36</v>
      </c>
      <c r="AF113" s="34" t="s">
        <v>36</v>
      </c>
      <c r="AG113" s="34" t="s">
        <v>36</v>
      </c>
      <c r="AH113" s="34" t="s">
        <v>36</v>
      </c>
      <c r="AI113" s="34" t="s">
        <v>36</v>
      </c>
      <c r="AJ113" s="34" t="s">
        <v>36</v>
      </c>
      <c r="AK113" s="34" t="s">
        <v>36</v>
      </c>
      <c r="AL113" s="34"/>
      <c r="AM113" s="34" t="s">
        <v>36</v>
      </c>
    </row>
    <row r="114" spans="1:39" ht="14.4" customHeight="1" x14ac:dyDescent="0.3">
      <c r="A114" s="203">
        <v>375419</v>
      </c>
      <c r="B114" s="34">
        <v>1002345</v>
      </c>
      <c r="C114" s="34" t="s">
        <v>1339</v>
      </c>
      <c r="D114" s="34" t="s">
        <v>857</v>
      </c>
      <c r="E114" s="34" t="s">
        <v>867</v>
      </c>
      <c r="F114" s="34" t="s">
        <v>36</v>
      </c>
      <c r="G114" s="34" t="s">
        <v>170</v>
      </c>
      <c r="H114" s="34" t="s">
        <v>1177</v>
      </c>
      <c r="I114" s="34" t="s">
        <v>36</v>
      </c>
      <c r="J114" s="34" t="s">
        <v>36</v>
      </c>
      <c r="K114" s="34" t="s">
        <v>36</v>
      </c>
      <c r="L114" s="34" t="s">
        <v>1429</v>
      </c>
      <c r="M114" s="34" t="s">
        <v>1421</v>
      </c>
      <c r="N114" s="34" t="s">
        <v>72</v>
      </c>
      <c r="O114" s="34">
        <v>1002345</v>
      </c>
      <c r="P114" s="34" t="s">
        <v>943</v>
      </c>
      <c r="Q114" s="34" t="s">
        <v>36</v>
      </c>
      <c r="R114" s="34">
        <v>0</v>
      </c>
      <c r="S114" s="34" t="s">
        <v>36</v>
      </c>
      <c r="T114" s="34" t="s">
        <v>36</v>
      </c>
      <c r="U114" s="34" t="s">
        <v>36</v>
      </c>
      <c r="V114" s="34" t="s">
        <v>36</v>
      </c>
      <c r="W114" s="34" t="s">
        <v>36</v>
      </c>
      <c r="X114" s="34" t="s">
        <v>36</v>
      </c>
      <c r="Y114" s="34" t="s">
        <v>36</v>
      </c>
      <c r="Z114" s="34" t="s">
        <v>36</v>
      </c>
      <c r="AA114" s="34" t="s">
        <v>36</v>
      </c>
      <c r="AB114" s="34" t="s">
        <v>36</v>
      </c>
      <c r="AC114" s="34" t="s">
        <v>36</v>
      </c>
      <c r="AD114" s="34" t="s">
        <v>36</v>
      </c>
      <c r="AE114" s="34" t="s">
        <v>36</v>
      </c>
      <c r="AF114" s="34" t="s">
        <v>36</v>
      </c>
      <c r="AG114" s="34" t="s">
        <v>36</v>
      </c>
      <c r="AH114" s="34" t="s">
        <v>36</v>
      </c>
      <c r="AI114" s="34" t="s">
        <v>36</v>
      </c>
      <c r="AJ114" s="34" t="s">
        <v>36</v>
      </c>
      <c r="AK114" s="34" t="s">
        <v>36</v>
      </c>
      <c r="AL114" s="34"/>
      <c r="AM114" s="34" t="s">
        <v>36</v>
      </c>
    </row>
    <row r="115" spans="1:39" ht="14.4" customHeight="1" x14ac:dyDescent="0.3">
      <c r="A115" s="203">
        <v>372921</v>
      </c>
      <c r="B115" s="34">
        <v>216552</v>
      </c>
      <c r="C115" s="34" t="s">
        <v>974</v>
      </c>
      <c r="D115" s="34" t="s">
        <v>972</v>
      </c>
      <c r="E115" s="34" t="s">
        <v>106</v>
      </c>
      <c r="F115" s="34">
        <v>63</v>
      </c>
      <c r="G115" s="34" t="s">
        <v>1578</v>
      </c>
      <c r="H115" s="34" t="s">
        <v>36</v>
      </c>
      <c r="I115" s="34" t="s">
        <v>38</v>
      </c>
      <c r="J115" s="34" t="s">
        <v>41</v>
      </c>
      <c r="K115" s="34" t="s">
        <v>1414</v>
      </c>
      <c r="L115" s="34" t="s">
        <v>104</v>
      </c>
      <c r="M115" s="34" t="s">
        <v>1419</v>
      </c>
      <c r="N115" s="34" t="s">
        <v>117</v>
      </c>
      <c r="O115" s="34">
        <v>372921</v>
      </c>
      <c r="P115" s="34" t="s">
        <v>944</v>
      </c>
      <c r="Q115" s="34">
        <v>0</v>
      </c>
      <c r="R115" s="34">
        <v>2</v>
      </c>
      <c r="S115" s="34">
        <v>41</v>
      </c>
      <c r="T115" s="34">
        <v>0</v>
      </c>
      <c r="U115" s="34">
        <v>25</v>
      </c>
      <c r="V115" s="34">
        <v>0</v>
      </c>
      <c r="W115" s="34">
        <v>0</v>
      </c>
      <c r="X115" s="34">
        <v>0</v>
      </c>
      <c r="Y115" s="34">
        <v>0</v>
      </c>
      <c r="Z115" s="34">
        <v>0</v>
      </c>
      <c r="AA115" s="34">
        <v>0</v>
      </c>
      <c r="AB115" s="34">
        <v>5</v>
      </c>
      <c r="AC115" s="34">
        <v>0</v>
      </c>
      <c r="AD115" s="34">
        <v>0</v>
      </c>
      <c r="AE115" s="34">
        <v>0</v>
      </c>
      <c r="AF115" s="34">
        <v>0</v>
      </c>
      <c r="AG115" s="34">
        <v>0</v>
      </c>
      <c r="AH115" s="34">
        <v>0</v>
      </c>
      <c r="AI115" s="34">
        <v>6</v>
      </c>
      <c r="AJ115" s="34">
        <v>30</v>
      </c>
      <c r="AK115" s="34">
        <v>0</v>
      </c>
      <c r="AL115" s="34"/>
      <c r="AM115" s="34" t="s">
        <v>33</v>
      </c>
    </row>
    <row r="116" spans="1:39" ht="14.4" customHeight="1" x14ac:dyDescent="0.3">
      <c r="A116" s="203">
        <v>364595</v>
      </c>
      <c r="B116" s="34">
        <v>342163</v>
      </c>
      <c r="C116" s="34" t="s">
        <v>2361</v>
      </c>
      <c r="D116" s="34" t="s">
        <v>857</v>
      </c>
      <c r="E116" s="34" t="s">
        <v>28</v>
      </c>
      <c r="F116" s="34" t="s">
        <v>36</v>
      </c>
      <c r="G116" s="34" t="s">
        <v>232</v>
      </c>
      <c r="H116" s="34" t="s">
        <v>643</v>
      </c>
      <c r="I116" s="34" t="s">
        <v>560</v>
      </c>
      <c r="J116" s="34" t="s">
        <v>36</v>
      </c>
      <c r="K116" s="34" t="s">
        <v>36</v>
      </c>
      <c r="L116" s="34" t="s">
        <v>1420</v>
      </c>
      <c r="M116" s="34" t="s">
        <v>1421</v>
      </c>
      <c r="N116" s="34" t="s">
        <v>72</v>
      </c>
      <c r="O116" s="34">
        <v>342163</v>
      </c>
      <c r="P116" s="34" t="s">
        <v>943</v>
      </c>
      <c r="Q116" s="34" t="s">
        <v>36</v>
      </c>
      <c r="R116" s="34">
        <v>0</v>
      </c>
      <c r="S116" s="34" t="s">
        <v>36</v>
      </c>
      <c r="T116" s="34" t="s">
        <v>36</v>
      </c>
      <c r="U116" s="34" t="s">
        <v>36</v>
      </c>
      <c r="V116" s="34" t="s">
        <v>36</v>
      </c>
      <c r="W116" s="34" t="s">
        <v>36</v>
      </c>
      <c r="X116" s="34" t="s">
        <v>36</v>
      </c>
      <c r="Y116" s="34" t="s">
        <v>36</v>
      </c>
      <c r="Z116" s="34" t="s">
        <v>36</v>
      </c>
      <c r="AA116" s="34" t="s">
        <v>36</v>
      </c>
      <c r="AB116" s="34" t="s">
        <v>36</v>
      </c>
      <c r="AC116" s="34" t="s">
        <v>36</v>
      </c>
      <c r="AD116" s="34" t="s">
        <v>36</v>
      </c>
      <c r="AE116" s="34" t="s">
        <v>36</v>
      </c>
      <c r="AF116" s="34" t="s">
        <v>36</v>
      </c>
      <c r="AG116" s="34" t="s">
        <v>36</v>
      </c>
      <c r="AH116" s="34" t="s">
        <v>36</v>
      </c>
      <c r="AI116" s="34" t="s">
        <v>36</v>
      </c>
      <c r="AJ116" s="34" t="s">
        <v>36</v>
      </c>
      <c r="AK116" s="34" t="s">
        <v>36</v>
      </c>
      <c r="AL116" s="34"/>
      <c r="AM116" s="34" t="s">
        <v>36</v>
      </c>
    </row>
    <row r="117" spans="1:39" ht="14.4" customHeight="1" x14ac:dyDescent="0.3">
      <c r="A117" s="203">
        <v>360294</v>
      </c>
      <c r="B117" s="34">
        <v>1001912</v>
      </c>
      <c r="C117" s="34" t="s">
        <v>1973</v>
      </c>
      <c r="D117" s="34" t="s">
        <v>1145</v>
      </c>
      <c r="E117" s="34" t="s">
        <v>2292</v>
      </c>
      <c r="F117" s="34" t="s">
        <v>36</v>
      </c>
      <c r="G117" s="34" t="s">
        <v>535</v>
      </c>
      <c r="H117" s="34" t="s">
        <v>1006</v>
      </c>
      <c r="I117" s="34" t="s">
        <v>36</v>
      </c>
      <c r="J117" s="34" t="s">
        <v>36</v>
      </c>
      <c r="K117" s="34" t="s">
        <v>36</v>
      </c>
      <c r="L117" s="34" t="s">
        <v>1429</v>
      </c>
      <c r="M117" s="34" t="s">
        <v>1421</v>
      </c>
      <c r="N117" s="34" t="s">
        <v>72</v>
      </c>
      <c r="O117" s="34">
        <v>1001912</v>
      </c>
      <c r="P117" s="34" t="s">
        <v>943</v>
      </c>
      <c r="Q117" s="34" t="s">
        <v>36</v>
      </c>
      <c r="R117" s="34">
        <v>0</v>
      </c>
      <c r="S117" s="34" t="s">
        <v>36</v>
      </c>
      <c r="T117" s="34" t="s">
        <v>36</v>
      </c>
      <c r="U117" s="34" t="s">
        <v>36</v>
      </c>
      <c r="V117" s="34" t="s">
        <v>36</v>
      </c>
      <c r="W117" s="34" t="s">
        <v>36</v>
      </c>
      <c r="X117" s="34" t="s">
        <v>36</v>
      </c>
      <c r="Y117" s="34" t="s">
        <v>36</v>
      </c>
      <c r="Z117" s="34" t="s">
        <v>36</v>
      </c>
      <c r="AA117" s="34" t="s">
        <v>36</v>
      </c>
      <c r="AB117" s="34" t="s">
        <v>36</v>
      </c>
      <c r="AC117" s="34" t="s">
        <v>36</v>
      </c>
      <c r="AD117" s="34" t="s">
        <v>36</v>
      </c>
      <c r="AE117" s="34" t="s">
        <v>36</v>
      </c>
      <c r="AF117" s="34" t="s">
        <v>36</v>
      </c>
      <c r="AG117" s="34" t="s">
        <v>36</v>
      </c>
      <c r="AH117" s="34" t="s">
        <v>36</v>
      </c>
      <c r="AI117" s="34" t="s">
        <v>36</v>
      </c>
      <c r="AJ117" s="34" t="s">
        <v>36</v>
      </c>
      <c r="AK117" s="34" t="s">
        <v>36</v>
      </c>
      <c r="AL117" s="34"/>
      <c r="AM117" s="34" t="s">
        <v>36</v>
      </c>
    </row>
    <row r="118" spans="1:39" ht="14.4" customHeight="1" x14ac:dyDescent="0.3">
      <c r="A118" s="203">
        <v>360293</v>
      </c>
      <c r="B118" s="34">
        <v>1001912</v>
      </c>
      <c r="C118" s="34" t="s">
        <v>1974</v>
      </c>
      <c r="D118" s="34" t="s">
        <v>1145</v>
      </c>
      <c r="E118" s="34" t="s">
        <v>2292</v>
      </c>
      <c r="F118" s="34" t="s">
        <v>36</v>
      </c>
      <c r="G118" s="34" t="s">
        <v>535</v>
      </c>
      <c r="H118" s="34" t="s">
        <v>1006</v>
      </c>
      <c r="I118" s="34" t="s">
        <v>36</v>
      </c>
      <c r="J118" s="34" t="s">
        <v>36</v>
      </c>
      <c r="K118" s="34" t="s">
        <v>36</v>
      </c>
      <c r="L118" s="34" t="s">
        <v>1429</v>
      </c>
      <c r="M118" s="34" t="s">
        <v>1434</v>
      </c>
      <c r="N118" s="34" t="s">
        <v>72</v>
      </c>
      <c r="O118" s="34">
        <v>1001912</v>
      </c>
      <c r="P118" s="34" t="s">
        <v>943</v>
      </c>
      <c r="Q118" s="34" t="s">
        <v>36</v>
      </c>
      <c r="R118" s="34">
        <v>0</v>
      </c>
      <c r="S118" s="34" t="s">
        <v>36</v>
      </c>
      <c r="T118" s="34" t="s">
        <v>36</v>
      </c>
      <c r="U118" s="34" t="s">
        <v>36</v>
      </c>
      <c r="V118" s="34" t="s">
        <v>36</v>
      </c>
      <c r="W118" s="34" t="s">
        <v>36</v>
      </c>
      <c r="X118" s="34" t="s">
        <v>36</v>
      </c>
      <c r="Y118" s="34" t="s">
        <v>36</v>
      </c>
      <c r="Z118" s="34" t="s">
        <v>36</v>
      </c>
      <c r="AA118" s="34" t="s">
        <v>36</v>
      </c>
      <c r="AB118" s="34" t="s">
        <v>36</v>
      </c>
      <c r="AC118" s="34" t="s">
        <v>36</v>
      </c>
      <c r="AD118" s="34" t="s">
        <v>36</v>
      </c>
      <c r="AE118" s="34" t="s">
        <v>36</v>
      </c>
      <c r="AF118" s="34" t="s">
        <v>36</v>
      </c>
      <c r="AG118" s="34" t="s">
        <v>36</v>
      </c>
      <c r="AH118" s="34" t="s">
        <v>36</v>
      </c>
      <c r="AI118" s="34" t="s">
        <v>36</v>
      </c>
      <c r="AJ118" s="34" t="s">
        <v>36</v>
      </c>
      <c r="AK118" s="34" t="s">
        <v>36</v>
      </c>
      <c r="AL118" s="34"/>
      <c r="AM118" s="34" t="s">
        <v>36</v>
      </c>
    </row>
    <row r="119" spans="1:39" ht="14.4" customHeight="1" x14ac:dyDescent="0.3">
      <c r="A119" s="203">
        <v>360292</v>
      </c>
      <c r="B119" s="34">
        <v>1001912</v>
      </c>
      <c r="C119" s="34" t="s">
        <v>1975</v>
      </c>
      <c r="D119" s="34" t="s">
        <v>1145</v>
      </c>
      <c r="E119" s="34" t="s">
        <v>2292</v>
      </c>
      <c r="F119" s="34" t="s">
        <v>36</v>
      </c>
      <c r="G119" s="34" t="s">
        <v>535</v>
      </c>
      <c r="H119" s="34" t="s">
        <v>1006</v>
      </c>
      <c r="I119" s="34" t="s">
        <v>36</v>
      </c>
      <c r="J119" s="34" t="s">
        <v>36</v>
      </c>
      <c r="K119" s="34" t="s">
        <v>36</v>
      </c>
      <c r="L119" s="34" t="s">
        <v>1429</v>
      </c>
      <c r="M119" s="34" t="s">
        <v>1434</v>
      </c>
      <c r="N119" s="34" t="s">
        <v>72</v>
      </c>
      <c r="O119" s="34">
        <v>1001912</v>
      </c>
      <c r="P119" s="34" t="s">
        <v>943</v>
      </c>
      <c r="Q119" s="34" t="s">
        <v>36</v>
      </c>
      <c r="R119" s="34">
        <v>0</v>
      </c>
      <c r="S119" s="34" t="s">
        <v>36</v>
      </c>
      <c r="T119" s="34" t="s">
        <v>36</v>
      </c>
      <c r="U119" s="34" t="s">
        <v>36</v>
      </c>
      <c r="V119" s="34" t="s">
        <v>36</v>
      </c>
      <c r="W119" s="34" t="s">
        <v>36</v>
      </c>
      <c r="X119" s="34" t="s">
        <v>36</v>
      </c>
      <c r="Y119" s="34" t="s">
        <v>36</v>
      </c>
      <c r="Z119" s="34" t="s">
        <v>36</v>
      </c>
      <c r="AA119" s="34" t="s">
        <v>36</v>
      </c>
      <c r="AB119" s="34" t="s">
        <v>36</v>
      </c>
      <c r="AC119" s="34" t="s">
        <v>36</v>
      </c>
      <c r="AD119" s="34" t="s">
        <v>36</v>
      </c>
      <c r="AE119" s="34" t="s">
        <v>36</v>
      </c>
      <c r="AF119" s="34" t="s">
        <v>36</v>
      </c>
      <c r="AG119" s="34" t="s">
        <v>36</v>
      </c>
      <c r="AH119" s="34" t="s">
        <v>36</v>
      </c>
      <c r="AI119" s="34" t="s">
        <v>36</v>
      </c>
      <c r="AJ119" s="34" t="s">
        <v>36</v>
      </c>
      <c r="AK119" s="34" t="s">
        <v>36</v>
      </c>
      <c r="AL119" s="34"/>
      <c r="AM119" s="34" t="s">
        <v>36</v>
      </c>
    </row>
    <row r="120" spans="1:39" ht="14.4" customHeight="1" x14ac:dyDescent="0.3">
      <c r="A120" s="203">
        <v>360286</v>
      </c>
      <c r="B120" s="34">
        <v>1001912</v>
      </c>
      <c r="C120" s="34" t="s">
        <v>1976</v>
      </c>
      <c r="D120" s="34" t="s">
        <v>1145</v>
      </c>
      <c r="E120" s="34" t="s">
        <v>2292</v>
      </c>
      <c r="F120" s="34" t="s">
        <v>36</v>
      </c>
      <c r="G120" s="34" t="s">
        <v>535</v>
      </c>
      <c r="H120" s="34" t="s">
        <v>1006</v>
      </c>
      <c r="I120" s="34" t="s">
        <v>36</v>
      </c>
      <c r="J120" s="34" t="s">
        <v>36</v>
      </c>
      <c r="K120" s="34" t="s">
        <v>36</v>
      </c>
      <c r="L120" s="34" t="s">
        <v>1429</v>
      </c>
      <c r="M120" s="34" t="s">
        <v>1421</v>
      </c>
      <c r="N120" s="34" t="s">
        <v>72</v>
      </c>
      <c r="O120" s="34">
        <v>1001912</v>
      </c>
      <c r="P120" s="34" t="s">
        <v>943</v>
      </c>
      <c r="Q120" s="34" t="s">
        <v>36</v>
      </c>
      <c r="R120" s="34">
        <v>0</v>
      </c>
      <c r="S120" s="34" t="s">
        <v>36</v>
      </c>
      <c r="T120" s="34" t="s">
        <v>36</v>
      </c>
      <c r="U120" s="34" t="s">
        <v>36</v>
      </c>
      <c r="V120" s="34" t="s">
        <v>36</v>
      </c>
      <c r="W120" s="34" t="s">
        <v>36</v>
      </c>
      <c r="X120" s="34" t="s">
        <v>36</v>
      </c>
      <c r="Y120" s="34" t="s">
        <v>36</v>
      </c>
      <c r="Z120" s="34" t="s">
        <v>36</v>
      </c>
      <c r="AA120" s="34" t="s">
        <v>36</v>
      </c>
      <c r="AB120" s="34" t="s">
        <v>36</v>
      </c>
      <c r="AC120" s="34" t="s">
        <v>36</v>
      </c>
      <c r="AD120" s="34" t="s">
        <v>36</v>
      </c>
      <c r="AE120" s="34" t="s">
        <v>36</v>
      </c>
      <c r="AF120" s="34" t="s">
        <v>36</v>
      </c>
      <c r="AG120" s="34" t="s">
        <v>36</v>
      </c>
      <c r="AH120" s="34" t="s">
        <v>36</v>
      </c>
      <c r="AI120" s="34" t="s">
        <v>36</v>
      </c>
      <c r="AJ120" s="34" t="s">
        <v>36</v>
      </c>
      <c r="AK120" s="34" t="s">
        <v>36</v>
      </c>
      <c r="AL120" s="34"/>
      <c r="AM120" s="34" t="s">
        <v>36</v>
      </c>
    </row>
    <row r="121" spans="1:39" ht="14.4" customHeight="1" x14ac:dyDescent="0.3">
      <c r="A121" s="203">
        <v>360283</v>
      </c>
      <c r="B121" s="34">
        <v>1001912</v>
      </c>
      <c r="C121" s="34" t="s">
        <v>1977</v>
      </c>
      <c r="D121" s="34" t="s">
        <v>1145</v>
      </c>
      <c r="E121" s="34" t="s">
        <v>2292</v>
      </c>
      <c r="F121" s="34" t="s">
        <v>36</v>
      </c>
      <c r="G121" s="34" t="s">
        <v>535</v>
      </c>
      <c r="H121" s="34" t="s">
        <v>1006</v>
      </c>
      <c r="I121" s="34" t="s">
        <v>36</v>
      </c>
      <c r="J121" s="34" t="s">
        <v>36</v>
      </c>
      <c r="K121" s="34" t="s">
        <v>36</v>
      </c>
      <c r="L121" s="34" t="s">
        <v>1429</v>
      </c>
      <c r="M121" s="34" t="s">
        <v>1434</v>
      </c>
      <c r="N121" s="34" t="s">
        <v>72</v>
      </c>
      <c r="O121" s="34">
        <v>1001912</v>
      </c>
      <c r="P121" s="34" t="s">
        <v>943</v>
      </c>
      <c r="Q121" s="34" t="s">
        <v>36</v>
      </c>
      <c r="R121" s="34">
        <v>0</v>
      </c>
      <c r="S121" s="34" t="s">
        <v>36</v>
      </c>
      <c r="T121" s="34" t="s">
        <v>36</v>
      </c>
      <c r="U121" s="34" t="s">
        <v>36</v>
      </c>
      <c r="V121" s="34" t="s">
        <v>36</v>
      </c>
      <c r="W121" s="34" t="s">
        <v>36</v>
      </c>
      <c r="X121" s="34" t="s">
        <v>36</v>
      </c>
      <c r="Y121" s="34" t="s">
        <v>36</v>
      </c>
      <c r="Z121" s="34" t="s">
        <v>36</v>
      </c>
      <c r="AA121" s="34" t="s">
        <v>36</v>
      </c>
      <c r="AB121" s="34" t="s">
        <v>36</v>
      </c>
      <c r="AC121" s="34" t="s">
        <v>36</v>
      </c>
      <c r="AD121" s="34" t="s">
        <v>36</v>
      </c>
      <c r="AE121" s="34" t="s">
        <v>36</v>
      </c>
      <c r="AF121" s="34" t="s">
        <v>36</v>
      </c>
      <c r="AG121" s="34" t="s">
        <v>36</v>
      </c>
      <c r="AH121" s="34" t="s">
        <v>36</v>
      </c>
      <c r="AI121" s="34" t="s">
        <v>36</v>
      </c>
      <c r="AJ121" s="34" t="s">
        <v>36</v>
      </c>
      <c r="AK121" s="34" t="s">
        <v>36</v>
      </c>
      <c r="AL121" s="34"/>
      <c r="AM121" s="34" t="s">
        <v>36</v>
      </c>
    </row>
    <row r="122" spans="1:39" ht="14.4" customHeight="1" x14ac:dyDescent="0.3">
      <c r="A122" s="203">
        <v>360281</v>
      </c>
      <c r="B122" s="34">
        <v>1001912</v>
      </c>
      <c r="C122" s="34" t="s">
        <v>1978</v>
      </c>
      <c r="D122" s="34" t="s">
        <v>1145</v>
      </c>
      <c r="E122" s="34" t="s">
        <v>2292</v>
      </c>
      <c r="F122" s="34" t="s">
        <v>36</v>
      </c>
      <c r="G122" s="34" t="s">
        <v>535</v>
      </c>
      <c r="H122" s="34" t="s">
        <v>1006</v>
      </c>
      <c r="I122" s="34" t="s">
        <v>36</v>
      </c>
      <c r="J122" s="34" t="s">
        <v>36</v>
      </c>
      <c r="K122" s="34" t="s">
        <v>36</v>
      </c>
      <c r="L122" s="34" t="s">
        <v>1429</v>
      </c>
      <c r="M122" s="34" t="s">
        <v>1421</v>
      </c>
      <c r="N122" s="34" t="s">
        <v>72</v>
      </c>
      <c r="O122" s="34">
        <v>1001912</v>
      </c>
      <c r="P122" s="34" t="s">
        <v>943</v>
      </c>
      <c r="Q122" s="34" t="s">
        <v>36</v>
      </c>
      <c r="R122" s="34">
        <v>0</v>
      </c>
      <c r="S122" s="34" t="s">
        <v>36</v>
      </c>
      <c r="T122" s="34" t="s">
        <v>36</v>
      </c>
      <c r="U122" s="34" t="s">
        <v>36</v>
      </c>
      <c r="V122" s="34" t="s">
        <v>36</v>
      </c>
      <c r="W122" s="34" t="s">
        <v>36</v>
      </c>
      <c r="X122" s="34" t="s">
        <v>36</v>
      </c>
      <c r="Y122" s="34" t="s">
        <v>36</v>
      </c>
      <c r="Z122" s="34" t="s">
        <v>36</v>
      </c>
      <c r="AA122" s="34" t="s">
        <v>36</v>
      </c>
      <c r="AB122" s="34" t="s">
        <v>36</v>
      </c>
      <c r="AC122" s="34" t="s">
        <v>36</v>
      </c>
      <c r="AD122" s="34" t="s">
        <v>36</v>
      </c>
      <c r="AE122" s="34" t="s">
        <v>36</v>
      </c>
      <c r="AF122" s="34" t="s">
        <v>36</v>
      </c>
      <c r="AG122" s="34" t="s">
        <v>36</v>
      </c>
      <c r="AH122" s="34" t="s">
        <v>36</v>
      </c>
      <c r="AI122" s="34" t="s">
        <v>36</v>
      </c>
      <c r="AJ122" s="34" t="s">
        <v>36</v>
      </c>
      <c r="AK122" s="34" t="s">
        <v>36</v>
      </c>
      <c r="AL122" s="34"/>
      <c r="AM122" s="34" t="s">
        <v>36</v>
      </c>
    </row>
    <row r="123" spans="1:39" ht="14.4" customHeight="1" x14ac:dyDescent="0.3">
      <c r="A123" s="203">
        <v>360275</v>
      </c>
      <c r="B123" s="34">
        <v>1001912</v>
      </c>
      <c r="C123" s="34" t="s">
        <v>1979</v>
      </c>
      <c r="D123" s="34" t="s">
        <v>1145</v>
      </c>
      <c r="E123" s="34" t="s">
        <v>2292</v>
      </c>
      <c r="F123" s="34" t="s">
        <v>36</v>
      </c>
      <c r="G123" s="34" t="s">
        <v>535</v>
      </c>
      <c r="H123" s="34" t="s">
        <v>1006</v>
      </c>
      <c r="I123" s="34" t="s">
        <v>36</v>
      </c>
      <c r="J123" s="34" t="s">
        <v>36</v>
      </c>
      <c r="K123" s="34" t="s">
        <v>36</v>
      </c>
      <c r="L123" s="34" t="s">
        <v>1429</v>
      </c>
      <c r="M123" s="34" t="s">
        <v>1434</v>
      </c>
      <c r="N123" s="34" t="s">
        <v>72</v>
      </c>
      <c r="O123" s="34">
        <v>1001912</v>
      </c>
      <c r="P123" s="34" t="s">
        <v>943</v>
      </c>
      <c r="Q123" s="34" t="s">
        <v>36</v>
      </c>
      <c r="R123" s="34">
        <v>0</v>
      </c>
      <c r="S123" s="34" t="s">
        <v>36</v>
      </c>
      <c r="T123" s="34" t="s">
        <v>36</v>
      </c>
      <c r="U123" s="34" t="s">
        <v>36</v>
      </c>
      <c r="V123" s="34" t="s">
        <v>36</v>
      </c>
      <c r="W123" s="34" t="s">
        <v>36</v>
      </c>
      <c r="X123" s="34" t="s">
        <v>36</v>
      </c>
      <c r="Y123" s="34" t="s">
        <v>36</v>
      </c>
      <c r="Z123" s="34" t="s">
        <v>36</v>
      </c>
      <c r="AA123" s="34" t="s">
        <v>36</v>
      </c>
      <c r="AB123" s="34" t="s">
        <v>36</v>
      </c>
      <c r="AC123" s="34" t="s">
        <v>36</v>
      </c>
      <c r="AD123" s="34" t="s">
        <v>36</v>
      </c>
      <c r="AE123" s="34" t="s">
        <v>36</v>
      </c>
      <c r="AF123" s="34" t="s">
        <v>36</v>
      </c>
      <c r="AG123" s="34" t="s">
        <v>36</v>
      </c>
      <c r="AH123" s="34" t="s">
        <v>36</v>
      </c>
      <c r="AI123" s="34" t="s">
        <v>36</v>
      </c>
      <c r="AJ123" s="34" t="s">
        <v>36</v>
      </c>
      <c r="AK123" s="34" t="s">
        <v>36</v>
      </c>
      <c r="AL123" s="34"/>
      <c r="AM123" s="34" t="s">
        <v>36</v>
      </c>
    </row>
    <row r="124" spans="1:39" ht="14.4" customHeight="1" x14ac:dyDescent="0.3">
      <c r="A124" s="203">
        <v>360271</v>
      </c>
      <c r="B124" s="34">
        <v>1001912</v>
      </c>
      <c r="C124" s="34" t="s">
        <v>1980</v>
      </c>
      <c r="D124" s="34" t="s">
        <v>1145</v>
      </c>
      <c r="E124" s="34" t="s">
        <v>2292</v>
      </c>
      <c r="F124" s="34" t="s">
        <v>36</v>
      </c>
      <c r="G124" s="34" t="s">
        <v>535</v>
      </c>
      <c r="H124" s="34" t="s">
        <v>1006</v>
      </c>
      <c r="I124" s="34" t="s">
        <v>36</v>
      </c>
      <c r="J124" s="34" t="s">
        <v>36</v>
      </c>
      <c r="K124" s="34" t="s">
        <v>36</v>
      </c>
      <c r="L124" s="34" t="s">
        <v>1429</v>
      </c>
      <c r="M124" s="34" t="s">
        <v>1421</v>
      </c>
      <c r="N124" s="34" t="s">
        <v>72</v>
      </c>
      <c r="O124" s="34">
        <v>1001912</v>
      </c>
      <c r="P124" s="34" t="s">
        <v>943</v>
      </c>
      <c r="Q124" s="34" t="s">
        <v>36</v>
      </c>
      <c r="R124" s="34">
        <v>0</v>
      </c>
      <c r="S124" s="34" t="s">
        <v>36</v>
      </c>
      <c r="T124" s="34" t="s">
        <v>36</v>
      </c>
      <c r="U124" s="34" t="s">
        <v>36</v>
      </c>
      <c r="V124" s="34" t="s">
        <v>36</v>
      </c>
      <c r="W124" s="34" t="s">
        <v>36</v>
      </c>
      <c r="X124" s="34" t="s">
        <v>36</v>
      </c>
      <c r="Y124" s="34" t="s">
        <v>36</v>
      </c>
      <c r="Z124" s="34" t="s">
        <v>36</v>
      </c>
      <c r="AA124" s="34" t="s">
        <v>36</v>
      </c>
      <c r="AB124" s="34" t="s">
        <v>36</v>
      </c>
      <c r="AC124" s="34" t="s">
        <v>36</v>
      </c>
      <c r="AD124" s="34" t="s">
        <v>36</v>
      </c>
      <c r="AE124" s="34" t="s">
        <v>36</v>
      </c>
      <c r="AF124" s="34" t="s">
        <v>36</v>
      </c>
      <c r="AG124" s="34" t="s">
        <v>36</v>
      </c>
      <c r="AH124" s="34" t="s">
        <v>36</v>
      </c>
      <c r="AI124" s="34" t="s">
        <v>36</v>
      </c>
      <c r="AJ124" s="34" t="s">
        <v>36</v>
      </c>
      <c r="AK124" s="34" t="s">
        <v>36</v>
      </c>
      <c r="AL124" s="34"/>
      <c r="AM124" s="34" t="s">
        <v>36</v>
      </c>
    </row>
    <row r="125" spans="1:39" ht="14.4" customHeight="1" x14ac:dyDescent="0.3">
      <c r="A125" s="203">
        <v>360268</v>
      </c>
      <c r="B125" s="34">
        <v>1001912</v>
      </c>
      <c r="C125" s="34" t="s">
        <v>1981</v>
      </c>
      <c r="D125" s="34" t="s">
        <v>1145</v>
      </c>
      <c r="E125" s="34" t="s">
        <v>2292</v>
      </c>
      <c r="F125" s="34" t="s">
        <v>36</v>
      </c>
      <c r="G125" s="34" t="s">
        <v>535</v>
      </c>
      <c r="H125" s="34" t="s">
        <v>1006</v>
      </c>
      <c r="I125" s="34" t="s">
        <v>36</v>
      </c>
      <c r="J125" s="34" t="s">
        <v>36</v>
      </c>
      <c r="K125" s="34" t="s">
        <v>36</v>
      </c>
      <c r="L125" s="34" t="s">
        <v>1429</v>
      </c>
      <c r="M125" s="34" t="s">
        <v>1421</v>
      </c>
      <c r="N125" s="34" t="s">
        <v>72</v>
      </c>
      <c r="O125" s="34">
        <v>1001912</v>
      </c>
      <c r="P125" s="34" t="s">
        <v>943</v>
      </c>
      <c r="Q125" s="34" t="s">
        <v>36</v>
      </c>
      <c r="R125" s="34">
        <v>0</v>
      </c>
      <c r="S125" s="34" t="s">
        <v>36</v>
      </c>
      <c r="T125" s="34" t="s">
        <v>36</v>
      </c>
      <c r="U125" s="34" t="s">
        <v>36</v>
      </c>
      <c r="V125" s="34" t="s">
        <v>36</v>
      </c>
      <c r="W125" s="34" t="s">
        <v>36</v>
      </c>
      <c r="X125" s="34" t="s">
        <v>36</v>
      </c>
      <c r="Y125" s="34" t="s">
        <v>36</v>
      </c>
      <c r="Z125" s="34" t="s">
        <v>36</v>
      </c>
      <c r="AA125" s="34" t="s">
        <v>36</v>
      </c>
      <c r="AB125" s="34" t="s">
        <v>36</v>
      </c>
      <c r="AC125" s="34" t="s">
        <v>36</v>
      </c>
      <c r="AD125" s="34" t="s">
        <v>36</v>
      </c>
      <c r="AE125" s="34" t="s">
        <v>36</v>
      </c>
      <c r="AF125" s="34" t="s">
        <v>36</v>
      </c>
      <c r="AG125" s="34" t="s">
        <v>36</v>
      </c>
      <c r="AH125" s="34" t="s">
        <v>36</v>
      </c>
      <c r="AI125" s="34" t="s">
        <v>36</v>
      </c>
      <c r="AJ125" s="34" t="s">
        <v>36</v>
      </c>
      <c r="AK125" s="34" t="s">
        <v>36</v>
      </c>
      <c r="AL125" s="34"/>
      <c r="AM125" s="34" t="s">
        <v>36</v>
      </c>
    </row>
    <row r="126" spans="1:39" ht="14.4" customHeight="1" x14ac:dyDescent="0.3">
      <c r="A126" s="203">
        <v>359338</v>
      </c>
      <c r="B126" s="34">
        <v>381524</v>
      </c>
      <c r="C126" s="34" t="s">
        <v>1322</v>
      </c>
      <c r="D126" s="34" t="s">
        <v>2250</v>
      </c>
      <c r="E126" s="34" t="s">
        <v>28</v>
      </c>
      <c r="F126" s="34" t="s">
        <v>36</v>
      </c>
      <c r="G126" s="34" t="s">
        <v>1003</v>
      </c>
      <c r="H126" s="34" t="s">
        <v>1177</v>
      </c>
      <c r="I126" s="34" t="s">
        <v>36</v>
      </c>
      <c r="J126" s="34" t="s">
        <v>36</v>
      </c>
      <c r="K126" s="34" t="s">
        <v>36</v>
      </c>
      <c r="L126" s="34" t="s">
        <v>1420</v>
      </c>
      <c r="M126" s="34" t="s">
        <v>1421</v>
      </c>
      <c r="N126" s="34" t="s">
        <v>72</v>
      </c>
      <c r="O126" s="34">
        <v>381524</v>
      </c>
      <c r="P126" s="34" t="s">
        <v>947</v>
      </c>
      <c r="Q126" s="34" t="s">
        <v>36</v>
      </c>
      <c r="R126" s="34">
        <v>0</v>
      </c>
      <c r="S126" s="34" t="s">
        <v>36</v>
      </c>
      <c r="T126" s="34" t="s">
        <v>36</v>
      </c>
      <c r="U126" s="34" t="s">
        <v>36</v>
      </c>
      <c r="V126" s="34" t="s">
        <v>36</v>
      </c>
      <c r="W126" s="34" t="s">
        <v>36</v>
      </c>
      <c r="X126" s="34" t="s">
        <v>36</v>
      </c>
      <c r="Y126" s="34" t="s">
        <v>36</v>
      </c>
      <c r="Z126" s="34" t="s">
        <v>36</v>
      </c>
      <c r="AA126" s="34" t="s">
        <v>36</v>
      </c>
      <c r="AB126" s="34" t="s">
        <v>36</v>
      </c>
      <c r="AC126" s="34" t="s">
        <v>36</v>
      </c>
      <c r="AD126" s="34" t="s">
        <v>36</v>
      </c>
      <c r="AE126" s="34" t="s">
        <v>36</v>
      </c>
      <c r="AF126" s="34" t="s">
        <v>36</v>
      </c>
      <c r="AG126" s="34" t="s">
        <v>36</v>
      </c>
      <c r="AH126" s="34" t="s">
        <v>36</v>
      </c>
      <c r="AI126" s="34" t="s">
        <v>36</v>
      </c>
      <c r="AJ126" s="34" t="s">
        <v>36</v>
      </c>
      <c r="AK126" s="34" t="s">
        <v>36</v>
      </c>
      <c r="AL126" s="34"/>
      <c r="AM126" s="34" t="s">
        <v>36</v>
      </c>
    </row>
    <row r="127" spans="1:39" ht="14.4" customHeight="1" x14ac:dyDescent="0.3">
      <c r="A127" s="203">
        <v>358656</v>
      </c>
      <c r="B127" s="34">
        <v>216364</v>
      </c>
      <c r="C127" s="34" t="s">
        <v>1746</v>
      </c>
      <c r="D127" s="34" t="s">
        <v>1321</v>
      </c>
      <c r="E127" s="34" t="s">
        <v>28</v>
      </c>
      <c r="F127" s="34">
        <v>35</v>
      </c>
      <c r="G127" s="34" t="s">
        <v>547</v>
      </c>
      <c r="H127" s="34" t="s">
        <v>36</v>
      </c>
      <c r="I127" s="34" t="s">
        <v>939</v>
      </c>
      <c r="J127" s="34" t="s">
        <v>30</v>
      </c>
      <c r="K127" s="34" t="s">
        <v>1412</v>
      </c>
      <c r="L127" s="34" t="s">
        <v>104</v>
      </c>
      <c r="M127" s="34" t="s">
        <v>1419</v>
      </c>
      <c r="N127" s="34" t="s">
        <v>117</v>
      </c>
      <c r="O127" s="34">
        <v>358656</v>
      </c>
      <c r="P127" s="34" t="s">
        <v>951</v>
      </c>
      <c r="Q127" s="34">
        <v>0</v>
      </c>
      <c r="R127" s="34">
        <v>2</v>
      </c>
      <c r="S127" s="34">
        <v>0</v>
      </c>
      <c r="T127" s="34">
        <v>33</v>
      </c>
      <c r="U127" s="34">
        <v>0</v>
      </c>
      <c r="V127" s="34">
        <v>2</v>
      </c>
      <c r="W127" s="34">
        <v>0</v>
      </c>
      <c r="X127" s="34">
        <v>0</v>
      </c>
      <c r="Y127" s="34">
        <v>0</v>
      </c>
      <c r="Z127" s="34">
        <v>0</v>
      </c>
      <c r="AA127" s="34">
        <v>0</v>
      </c>
      <c r="AB127" s="34">
        <v>0</v>
      </c>
      <c r="AC127" s="34">
        <v>0</v>
      </c>
      <c r="AD127" s="34">
        <v>0</v>
      </c>
      <c r="AE127" s="34">
        <v>0</v>
      </c>
      <c r="AF127" s="34">
        <v>0</v>
      </c>
      <c r="AG127" s="34">
        <v>0</v>
      </c>
      <c r="AH127" s="34">
        <v>0</v>
      </c>
      <c r="AI127" s="34">
        <v>0</v>
      </c>
      <c r="AJ127" s="34">
        <v>35</v>
      </c>
      <c r="AK127" s="34">
        <v>0</v>
      </c>
      <c r="AL127" s="34"/>
      <c r="AM127" s="34" t="s">
        <v>40</v>
      </c>
    </row>
    <row r="128" spans="1:39" ht="14.4" customHeight="1" x14ac:dyDescent="0.3">
      <c r="A128" s="203">
        <v>357946</v>
      </c>
      <c r="B128" s="34">
        <v>342163</v>
      </c>
      <c r="C128" s="34" t="s">
        <v>2362</v>
      </c>
      <c r="D128" s="34" t="s">
        <v>857</v>
      </c>
      <c r="E128" s="34" t="s">
        <v>141</v>
      </c>
      <c r="F128" s="34" t="s">
        <v>36</v>
      </c>
      <c r="G128" s="34" t="s">
        <v>232</v>
      </c>
      <c r="H128" s="34" t="s">
        <v>574</v>
      </c>
      <c r="I128" s="34" t="s">
        <v>560</v>
      </c>
      <c r="J128" s="34" t="s">
        <v>36</v>
      </c>
      <c r="K128" s="34" t="s">
        <v>36</v>
      </c>
      <c r="L128" s="34" t="s">
        <v>1430</v>
      </c>
      <c r="M128" s="34" t="s">
        <v>1421</v>
      </c>
      <c r="N128" s="34" t="s">
        <v>72</v>
      </c>
      <c r="O128" s="34">
        <v>342163</v>
      </c>
      <c r="P128" s="34" t="s">
        <v>943</v>
      </c>
      <c r="Q128" s="34" t="s">
        <v>36</v>
      </c>
      <c r="R128" s="34">
        <v>0</v>
      </c>
      <c r="S128" s="34" t="s">
        <v>36</v>
      </c>
      <c r="T128" s="34" t="s">
        <v>36</v>
      </c>
      <c r="U128" s="34" t="s">
        <v>36</v>
      </c>
      <c r="V128" s="34" t="s">
        <v>36</v>
      </c>
      <c r="W128" s="34" t="s">
        <v>36</v>
      </c>
      <c r="X128" s="34" t="s">
        <v>36</v>
      </c>
      <c r="Y128" s="34" t="s">
        <v>36</v>
      </c>
      <c r="Z128" s="34" t="s">
        <v>36</v>
      </c>
      <c r="AA128" s="34" t="s">
        <v>36</v>
      </c>
      <c r="AB128" s="34" t="s">
        <v>36</v>
      </c>
      <c r="AC128" s="34" t="s">
        <v>36</v>
      </c>
      <c r="AD128" s="34" t="s">
        <v>36</v>
      </c>
      <c r="AE128" s="34" t="s">
        <v>36</v>
      </c>
      <c r="AF128" s="34" t="s">
        <v>36</v>
      </c>
      <c r="AG128" s="34" t="s">
        <v>36</v>
      </c>
      <c r="AH128" s="34" t="s">
        <v>36</v>
      </c>
      <c r="AI128" s="34" t="s">
        <v>36</v>
      </c>
      <c r="AJ128" s="34" t="s">
        <v>36</v>
      </c>
      <c r="AK128" s="34" t="s">
        <v>36</v>
      </c>
      <c r="AL128" s="34"/>
      <c r="AM128" s="34" t="s">
        <v>36</v>
      </c>
    </row>
    <row r="129" spans="1:39" ht="14.4" customHeight="1" x14ac:dyDescent="0.3">
      <c r="A129" s="203">
        <v>354871</v>
      </c>
      <c r="B129" s="34">
        <v>241501</v>
      </c>
      <c r="C129" s="34" t="s">
        <v>647</v>
      </c>
      <c r="D129" s="34" t="s">
        <v>1866</v>
      </c>
      <c r="E129" s="34" t="s">
        <v>106</v>
      </c>
      <c r="F129" s="34">
        <v>248</v>
      </c>
      <c r="G129" s="34" t="s">
        <v>549</v>
      </c>
      <c r="H129" s="34" t="s">
        <v>36</v>
      </c>
      <c r="I129" s="34" t="s">
        <v>1869</v>
      </c>
      <c r="J129" s="34" t="s">
        <v>30</v>
      </c>
      <c r="K129" s="34" t="s">
        <v>1412</v>
      </c>
      <c r="L129" s="34" t="s">
        <v>104</v>
      </c>
      <c r="M129" s="34" t="s">
        <v>1419</v>
      </c>
      <c r="N129" s="34" t="s">
        <v>117</v>
      </c>
      <c r="O129" s="34">
        <v>354871</v>
      </c>
      <c r="P129" s="34" t="s">
        <v>17</v>
      </c>
      <c r="Q129" s="34">
        <v>3</v>
      </c>
      <c r="R129" s="34">
        <v>3</v>
      </c>
      <c r="S129" s="34">
        <v>129</v>
      </c>
      <c r="T129" s="34">
        <v>0</v>
      </c>
      <c r="U129" s="34">
        <v>0</v>
      </c>
      <c r="V129" s="34">
        <v>9</v>
      </c>
      <c r="W129" s="34">
        <v>0</v>
      </c>
      <c r="X129" s="34">
        <v>0</v>
      </c>
      <c r="Y129" s="34">
        <v>0</v>
      </c>
      <c r="Z129" s="34">
        <v>3</v>
      </c>
      <c r="AA129" s="34">
        <v>0</v>
      </c>
      <c r="AB129" s="34">
        <v>0</v>
      </c>
      <c r="AC129" s="34">
        <v>0</v>
      </c>
      <c r="AD129" s="34">
        <v>45</v>
      </c>
      <c r="AE129" s="34">
        <v>0</v>
      </c>
      <c r="AF129" s="34">
        <v>0</v>
      </c>
      <c r="AG129" s="34">
        <v>0</v>
      </c>
      <c r="AH129" s="34">
        <v>0</v>
      </c>
      <c r="AI129" s="34">
        <v>3</v>
      </c>
      <c r="AJ129" s="34">
        <v>57</v>
      </c>
      <c r="AK129" s="34">
        <v>0</v>
      </c>
      <c r="AL129" s="34"/>
      <c r="AM129" s="34" t="s">
        <v>33</v>
      </c>
    </row>
    <row r="130" spans="1:39" ht="14.4" customHeight="1" x14ac:dyDescent="0.3">
      <c r="A130" s="203">
        <v>353654</v>
      </c>
      <c r="B130" s="34">
        <v>342163</v>
      </c>
      <c r="C130" s="34" t="s">
        <v>2363</v>
      </c>
      <c r="D130" s="34" t="s">
        <v>857</v>
      </c>
      <c r="E130" s="34" t="s">
        <v>106</v>
      </c>
      <c r="F130" s="34" t="s">
        <v>36</v>
      </c>
      <c r="G130" s="34" t="s">
        <v>1008</v>
      </c>
      <c r="H130" s="34" t="s">
        <v>1177</v>
      </c>
      <c r="I130" s="34" t="s">
        <v>560</v>
      </c>
      <c r="J130" s="34" t="s">
        <v>36</v>
      </c>
      <c r="K130" s="34" t="s">
        <v>36</v>
      </c>
      <c r="L130" s="34" t="s">
        <v>1420</v>
      </c>
      <c r="M130" s="34" t="s">
        <v>1421</v>
      </c>
      <c r="N130" s="34" t="s">
        <v>72</v>
      </c>
      <c r="O130" s="34">
        <v>342163</v>
      </c>
      <c r="P130" s="34" t="s">
        <v>943</v>
      </c>
      <c r="Q130" s="34" t="s">
        <v>36</v>
      </c>
      <c r="R130" s="34">
        <v>0</v>
      </c>
      <c r="S130" s="34" t="s">
        <v>36</v>
      </c>
      <c r="T130" s="34" t="s">
        <v>36</v>
      </c>
      <c r="U130" s="34" t="s">
        <v>36</v>
      </c>
      <c r="V130" s="34" t="s">
        <v>36</v>
      </c>
      <c r="W130" s="34" t="s">
        <v>36</v>
      </c>
      <c r="X130" s="34" t="s">
        <v>36</v>
      </c>
      <c r="Y130" s="34" t="s">
        <v>36</v>
      </c>
      <c r="Z130" s="34" t="s">
        <v>36</v>
      </c>
      <c r="AA130" s="34" t="s">
        <v>36</v>
      </c>
      <c r="AB130" s="34" t="s">
        <v>36</v>
      </c>
      <c r="AC130" s="34" t="s">
        <v>36</v>
      </c>
      <c r="AD130" s="34" t="s">
        <v>36</v>
      </c>
      <c r="AE130" s="34" t="s">
        <v>36</v>
      </c>
      <c r="AF130" s="34" t="s">
        <v>36</v>
      </c>
      <c r="AG130" s="34" t="s">
        <v>36</v>
      </c>
      <c r="AH130" s="34" t="s">
        <v>36</v>
      </c>
      <c r="AI130" s="34" t="s">
        <v>36</v>
      </c>
      <c r="AJ130" s="34" t="s">
        <v>36</v>
      </c>
      <c r="AK130" s="34" t="s">
        <v>36</v>
      </c>
      <c r="AL130" s="34"/>
      <c r="AM130" s="34" t="s">
        <v>36</v>
      </c>
    </row>
    <row r="131" spans="1:39" ht="14.4" customHeight="1" x14ac:dyDescent="0.3">
      <c r="A131" s="203">
        <v>353134</v>
      </c>
      <c r="B131" s="34">
        <v>262146</v>
      </c>
      <c r="C131" s="34" t="s">
        <v>1142</v>
      </c>
      <c r="D131" s="34" t="s">
        <v>2102</v>
      </c>
      <c r="E131" s="34" t="s">
        <v>106</v>
      </c>
      <c r="F131" s="34">
        <v>27</v>
      </c>
      <c r="G131" s="34" t="s">
        <v>548</v>
      </c>
      <c r="H131" s="34" t="s">
        <v>36</v>
      </c>
      <c r="I131" s="34" t="s">
        <v>38</v>
      </c>
      <c r="J131" s="34" t="s">
        <v>30</v>
      </c>
      <c r="K131" s="34" t="s">
        <v>1412</v>
      </c>
      <c r="L131" s="34" t="s">
        <v>104</v>
      </c>
      <c r="M131" s="34" t="s">
        <v>1419</v>
      </c>
      <c r="N131" s="34" t="s">
        <v>117</v>
      </c>
      <c r="O131" s="34">
        <v>353134</v>
      </c>
      <c r="P131" s="34" t="s">
        <v>945</v>
      </c>
      <c r="Q131" s="34">
        <v>0</v>
      </c>
      <c r="R131" s="34">
        <v>1</v>
      </c>
      <c r="S131" s="34">
        <v>10</v>
      </c>
      <c r="T131" s="34">
        <v>0</v>
      </c>
      <c r="U131" s="34">
        <v>0</v>
      </c>
      <c r="V131" s="34">
        <v>19</v>
      </c>
      <c r="W131" s="34">
        <v>0</v>
      </c>
      <c r="X131" s="34">
        <v>0</v>
      </c>
      <c r="Y131" s="34">
        <v>0</v>
      </c>
      <c r="Z131" s="34">
        <v>0</v>
      </c>
      <c r="AA131" s="34">
        <v>0</v>
      </c>
      <c r="AB131" s="34">
        <v>0</v>
      </c>
      <c r="AC131" s="34">
        <v>0</v>
      </c>
      <c r="AD131" s="34">
        <v>0</v>
      </c>
      <c r="AE131" s="34">
        <v>0</v>
      </c>
      <c r="AF131" s="34">
        <v>0</v>
      </c>
      <c r="AG131" s="34">
        <v>0</v>
      </c>
      <c r="AH131" s="34">
        <v>0</v>
      </c>
      <c r="AI131" s="34">
        <v>0</v>
      </c>
      <c r="AJ131" s="34">
        <v>19</v>
      </c>
      <c r="AK131" s="34">
        <v>0</v>
      </c>
      <c r="AL131" s="34"/>
      <c r="AM131" s="34" t="s">
        <v>33</v>
      </c>
    </row>
    <row r="132" spans="1:39" ht="14.4" customHeight="1" x14ac:dyDescent="0.3">
      <c r="A132" s="203">
        <v>352636</v>
      </c>
      <c r="B132" s="34">
        <v>342163</v>
      </c>
      <c r="C132" s="34" t="s">
        <v>2364</v>
      </c>
      <c r="D132" s="34" t="s">
        <v>857</v>
      </c>
      <c r="E132" s="34" t="s">
        <v>106</v>
      </c>
      <c r="F132" s="34" t="s">
        <v>36</v>
      </c>
      <c r="G132" s="34" t="s">
        <v>1008</v>
      </c>
      <c r="H132" s="34" t="s">
        <v>1177</v>
      </c>
      <c r="I132" s="34" t="s">
        <v>560</v>
      </c>
      <c r="J132" s="34" t="s">
        <v>36</v>
      </c>
      <c r="K132" s="34" t="s">
        <v>36</v>
      </c>
      <c r="L132" s="34" t="s">
        <v>1420</v>
      </c>
      <c r="M132" s="34" t="s">
        <v>1421</v>
      </c>
      <c r="N132" s="34" t="s">
        <v>72</v>
      </c>
      <c r="O132" s="34">
        <v>342163</v>
      </c>
      <c r="P132" s="34" t="s">
        <v>943</v>
      </c>
      <c r="Q132" s="34" t="s">
        <v>36</v>
      </c>
      <c r="R132" s="34">
        <v>0</v>
      </c>
      <c r="S132" s="34" t="s">
        <v>36</v>
      </c>
      <c r="T132" s="34" t="s">
        <v>36</v>
      </c>
      <c r="U132" s="34" t="s">
        <v>36</v>
      </c>
      <c r="V132" s="34" t="s">
        <v>36</v>
      </c>
      <c r="W132" s="34" t="s">
        <v>36</v>
      </c>
      <c r="X132" s="34" t="s">
        <v>36</v>
      </c>
      <c r="Y132" s="34" t="s">
        <v>36</v>
      </c>
      <c r="Z132" s="34" t="s">
        <v>36</v>
      </c>
      <c r="AA132" s="34" t="s">
        <v>36</v>
      </c>
      <c r="AB132" s="34" t="s">
        <v>36</v>
      </c>
      <c r="AC132" s="34" t="s">
        <v>36</v>
      </c>
      <c r="AD132" s="34" t="s">
        <v>36</v>
      </c>
      <c r="AE132" s="34" t="s">
        <v>36</v>
      </c>
      <c r="AF132" s="34" t="s">
        <v>36</v>
      </c>
      <c r="AG132" s="34" t="s">
        <v>36</v>
      </c>
      <c r="AH132" s="34" t="s">
        <v>36</v>
      </c>
      <c r="AI132" s="34" t="s">
        <v>36</v>
      </c>
      <c r="AJ132" s="34" t="s">
        <v>36</v>
      </c>
      <c r="AK132" s="34" t="s">
        <v>36</v>
      </c>
      <c r="AL132" s="34"/>
      <c r="AM132" s="34" t="s">
        <v>36</v>
      </c>
    </row>
    <row r="133" spans="1:39" ht="14.4" customHeight="1" x14ac:dyDescent="0.3">
      <c r="A133" s="203">
        <v>352634</v>
      </c>
      <c r="B133" s="34">
        <v>342163</v>
      </c>
      <c r="C133" s="34" t="s">
        <v>2365</v>
      </c>
      <c r="D133" s="34" t="s">
        <v>857</v>
      </c>
      <c r="E133" s="34" t="s">
        <v>28</v>
      </c>
      <c r="F133" s="34" t="s">
        <v>36</v>
      </c>
      <c r="G133" s="34" t="s">
        <v>232</v>
      </c>
      <c r="H133" s="34" t="s">
        <v>1177</v>
      </c>
      <c r="I133" s="34" t="s">
        <v>560</v>
      </c>
      <c r="J133" s="34" t="s">
        <v>36</v>
      </c>
      <c r="K133" s="34" t="s">
        <v>36</v>
      </c>
      <c r="L133" s="34" t="s">
        <v>1420</v>
      </c>
      <c r="M133" s="34" t="s">
        <v>1421</v>
      </c>
      <c r="N133" s="34" t="s">
        <v>72</v>
      </c>
      <c r="O133" s="34">
        <v>342163</v>
      </c>
      <c r="P133" s="34" t="s">
        <v>943</v>
      </c>
      <c r="Q133" s="34" t="s">
        <v>36</v>
      </c>
      <c r="R133" s="34">
        <v>0</v>
      </c>
      <c r="S133" s="34" t="s">
        <v>36</v>
      </c>
      <c r="T133" s="34" t="s">
        <v>36</v>
      </c>
      <c r="U133" s="34" t="s">
        <v>36</v>
      </c>
      <c r="V133" s="34" t="s">
        <v>36</v>
      </c>
      <c r="W133" s="34" t="s">
        <v>36</v>
      </c>
      <c r="X133" s="34" t="s">
        <v>36</v>
      </c>
      <c r="Y133" s="34" t="s">
        <v>36</v>
      </c>
      <c r="Z133" s="34" t="s">
        <v>36</v>
      </c>
      <c r="AA133" s="34" t="s">
        <v>36</v>
      </c>
      <c r="AB133" s="34" t="s">
        <v>36</v>
      </c>
      <c r="AC133" s="34" t="s">
        <v>36</v>
      </c>
      <c r="AD133" s="34" t="s">
        <v>36</v>
      </c>
      <c r="AE133" s="34" t="s">
        <v>36</v>
      </c>
      <c r="AF133" s="34" t="s">
        <v>36</v>
      </c>
      <c r="AG133" s="34" t="s">
        <v>36</v>
      </c>
      <c r="AH133" s="34" t="s">
        <v>36</v>
      </c>
      <c r="AI133" s="34" t="s">
        <v>36</v>
      </c>
      <c r="AJ133" s="34" t="s">
        <v>36</v>
      </c>
      <c r="AK133" s="34" t="s">
        <v>36</v>
      </c>
      <c r="AL133" s="34"/>
      <c r="AM133" s="34" t="s">
        <v>36</v>
      </c>
    </row>
    <row r="134" spans="1:39" ht="14.4" customHeight="1" x14ac:dyDescent="0.3">
      <c r="A134" s="203">
        <v>352633</v>
      </c>
      <c r="B134" s="34">
        <v>342163</v>
      </c>
      <c r="C134" s="34" t="s">
        <v>2366</v>
      </c>
      <c r="D134" s="34" t="s">
        <v>857</v>
      </c>
      <c r="E134" s="34" t="s">
        <v>106</v>
      </c>
      <c r="F134" s="34" t="s">
        <v>36</v>
      </c>
      <c r="G134" s="34" t="s">
        <v>232</v>
      </c>
      <c r="H134" s="34" t="s">
        <v>1177</v>
      </c>
      <c r="I134" s="34" t="s">
        <v>560</v>
      </c>
      <c r="J134" s="34" t="s">
        <v>36</v>
      </c>
      <c r="K134" s="34" t="s">
        <v>36</v>
      </c>
      <c r="L134" s="34" t="s">
        <v>1420</v>
      </c>
      <c r="M134" s="34" t="s">
        <v>1421</v>
      </c>
      <c r="N134" s="34" t="s">
        <v>72</v>
      </c>
      <c r="O134" s="34">
        <v>342163</v>
      </c>
      <c r="P134" s="34" t="s">
        <v>943</v>
      </c>
      <c r="Q134" s="34" t="s">
        <v>36</v>
      </c>
      <c r="R134" s="34">
        <v>0</v>
      </c>
      <c r="S134" s="34" t="s">
        <v>36</v>
      </c>
      <c r="T134" s="34" t="s">
        <v>36</v>
      </c>
      <c r="U134" s="34" t="s">
        <v>36</v>
      </c>
      <c r="V134" s="34" t="s">
        <v>36</v>
      </c>
      <c r="W134" s="34" t="s">
        <v>36</v>
      </c>
      <c r="X134" s="34" t="s">
        <v>36</v>
      </c>
      <c r="Y134" s="34" t="s">
        <v>36</v>
      </c>
      <c r="Z134" s="34" t="s">
        <v>36</v>
      </c>
      <c r="AA134" s="34" t="s">
        <v>36</v>
      </c>
      <c r="AB134" s="34" t="s">
        <v>36</v>
      </c>
      <c r="AC134" s="34" t="s">
        <v>36</v>
      </c>
      <c r="AD134" s="34" t="s">
        <v>36</v>
      </c>
      <c r="AE134" s="34" t="s">
        <v>36</v>
      </c>
      <c r="AF134" s="34" t="s">
        <v>36</v>
      </c>
      <c r="AG134" s="34" t="s">
        <v>36</v>
      </c>
      <c r="AH134" s="34" t="s">
        <v>36</v>
      </c>
      <c r="AI134" s="34" t="s">
        <v>36</v>
      </c>
      <c r="AJ134" s="34" t="s">
        <v>36</v>
      </c>
      <c r="AK134" s="34" t="s">
        <v>36</v>
      </c>
      <c r="AL134" s="34"/>
      <c r="AM134" s="34" t="s">
        <v>36</v>
      </c>
    </row>
    <row r="135" spans="1:39" ht="14.4" customHeight="1" x14ac:dyDescent="0.3">
      <c r="A135" s="203">
        <v>352632</v>
      </c>
      <c r="B135" s="34">
        <v>342163</v>
      </c>
      <c r="C135" s="34" t="s">
        <v>2367</v>
      </c>
      <c r="D135" s="34" t="s">
        <v>857</v>
      </c>
      <c r="E135" s="34" t="s">
        <v>106</v>
      </c>
      <c r="F135" s="34" t="s">
        <v>36</v>
      </c>
      <c r="G135" s="34" t="s">
        <v>616</v>
      </c>
      <c r="H135" s="34" t="s">
        <v>1177</v>
      </c>
      <c r="I135" s="34" t="s">
        <v>560</v>
      </c>
      <c r="J135" s="34" t="s">
        <v>36</v>
      </c>
      <c r="K135" s="34" t="s">
        <v>36</v>
      </c>
      <c r="L135" s="34" t="s">
        <v>1420</v>
      </c>
      <c r="M135" s="34" t="s">
        <v>1421</v>
      </c>
      <c r="N135" s="34" t="s">
        <v>72</v>
      </c>
      <c r="O135" s="34">
        <v>342163</v>
      </c>
      <c r="P135" s="34" t="s">
        <v>943</v>
      </c>
      <c r="Q135" s="34" t="s">
        <v>36</v>
      </c>
      <c r="R135" s="34">
        <v>0</v>
      </c>
      <c r="S135" s="34" t="s">
        <v>36</v>
      </c>
      <c r="T135" s="34" t="s">
        <v>36</v>
      </c>
      <c r="U135" s="34" t="s">
        <v>36</v>
      </c>
      <c r="V135" s="34" t="s">
        <v>36</v>
      </c>
      <c r="W135" s="34" t="s">
        <v>36</v>
      </c>
      <c r="X135" s="34" t="s">
        <v>36</v>
      </c>
      <c r="Y135" s="34" t="s">
        <v>36</v>
      </c>
      <c r="Z135" s="34" t="s">
        <v>36</v>
      </c>
      <c r="AA135" s="34" t="s">
        <v>36</v>
      </c>
      <c r="AB135" s="34" t="s">
        <v>36</v>
      </c>
      <c r="AC135" s="34" t="s">
        <v>36</v>
      </c>
      <c r="AD135" s="34" t="s">
        <v>36</v>
      </c>
      <c r="AE135" s="34" t="s">
        <v>36</v>
      </c>
      <c r="AF135" s="34" t="s">
        <v>36</v>
      </c>
      <c r="AG135" s="34" t="s">
        <v>36</v>
      </c>
      <c r="AH135" s="34" t="s">
        <v>36</v>
      </c>
      <c r="AI135" s="34" t="s">
        <v>36</v>
      </c>
      <c r="AJ135" s="34" t="s">
        <v>36</v>
      </c>
      <c r="AK135" s="34" t="s">
        <v>36</v>
      </c>
      <c r="AL135" s="34"/>
      <c r="AM135" s="34" t="s">
        <v>36</v>
      </c>
    </row>
    <row r="136" spans="1:39" ht="14.4" customHeight="1" x14ac:dyDescent="0.3">
      <c r="A136" s="203">
        <v>352631</v>
      </c>
      <c r="B136" s="34">
        <v>342163</v>
      </c>
      <c r="C136" s="34" t="s">
        <v>2368</v>
      </c>
      <c r="D136" s="34" t="s">
        <v>857</v>
      </c>
      <c r="E136" s="34" t="s">
        <v>28</v>
      </c>
      <c r="F136" s="34" t="s">
        <v>36</v>
      </c>
      <c r="G136" s="34" t="s">
        <v>232</v>
      </c>
      <c r="H136" s="34" t="s">
        <v>1177</v>
      </c>
      <c r="I136" s="34" t="s">
        <v>560</v>
      </c>
      <c r="J136" s="34" t="s">
        <v>36</v>
      </c>
      <c r="K136" s="34" t="s">
        <v>36</v>
      </c>
      <c r="L136" s="34" t="s">
        <v>1420</v>
      </c>
      <c r="M136" s="34" t="s">
        <v>1421</v>
      </c>
      <c r="N136" s="34" t="s">
        <v>72</v>
      </c>
      <c r="O136" s="34">
        <v>342163</v>
      </c>
      <c r="P136" s="34" t="s">
        <v>943</v>
      </c>
      <c r="Q136" s="34" t="s">
        <v>36</v>
      </c>
      <c r="R136" s="34">
        <v>0</v>
      </c>
      <c r="S136" s="34" t="s">
        <v>36</v>
      </c>
      <c r="T136" s="34" t="s">
        <v>36</v>
      </c>
      <c r="U136" s="34" t="s">
        <v>36</v>
      </c>
      <c r="V136" s="34" t="s">
        <v>36</v>
      </c>
      <c r="W136" s="34" t="s">
        <v>36</v>
      </c>
      <c r="X136" s="34" t="s">
        <v>36</v>
      </c>
      <c r="Y136" s="34" t="s">
        <v>36</v>
      </c>
      <c r="Z136" s="34" t="s">
        <v>36</v>
      </c>
      <c r="AA136" s="34" t="s">
        <v>36</v>
      </c>
      <c r="AB136" s="34" t="s">
        <v>36</v>
      </c>
      <c r="AC136" s="34" t="s">
        <v>36</v>
      </c>
      <c r="AD136" s="34" t="s">
        <v>36</v>
      </c>
      <c r="AE136" s="34" t="s">
        <v>36</v>
      </c>
      <c r="AF136" s="34" t="s">
        <v>36</v>
      </c>
      <c r="AG136" s="34" t="s">
        <v>36</v>
      </c>
      <c r="AH136" s="34" t="s">
        <v>36</v>
      </c>
      <c r="AI136" s="34" t="s">
        <v>36</v>
      </c>
      <c r="AJ136" s="34" t="s">
        <v>36</v>
      </c>
      <c r="AK136" s="34" t="s">
        <v>36</v>
      </c>
      <c r="AL136" s="34"/>
      <c r="AM136" s="34" t="s">
        <v>36</v>
      </c>
    </row>
    <row r="137" spans="1:39" ht="14.4" customHeight="1" x14ac:dyDescent="0.3">
      <c r="A137" s="203">
        <v>352630</v>
      </c>
      <c r="B137" s="34">
        <v>342163</v>
      </c>
      <c r="C137" s="34" t="s">
        <v>2369</v>
      </c>
      <c r="D137" s="34" t="s">
        <v>857</v>
      </c>
      <c r="E137" s="34" t="s">
        <v>106</v>
      </c>
      <c r="F137" s="34" t="s">
        <v>36</v>
      </c>
      <c r="G137" s="34" t="s">
        <v>232</v>
      </c>
      <c r="H137" s="34" t="s">
        <v>1177</v>
      </c>
      <c r="I137" s="34" t="s">
        <v>560</v>
      </c>
      <c r="J137" s="34" t="s">
        <v>36</v>
      </c>
      <c r="K137" s="34" t="s">
        <v>36</v>
      </c>
      <c r="L137" s="34" t="s">
        <v>1420</v>
      </c>
      <c r="M137" s="34" t="s">
        <v>1421</v>
      </c>
      <c r="N137" s="34" t="s">
        <v>72</v>
      </c>
      <c r="O137" s="34">
        <v>342163</v>
      </c>
      <c r="P137" s="34" t="s">
        <v>943</v>
      </c>
      <c r="Q137" s="34" t="s">
        <v>36</v>
      </c>
      <c r="R137" s="34">
        <v>0</v>
      </c>
      <c r="S137" s="34" t="s">
        <v>36</v>
      </c>
      <c r="T137" s="34" t="s">
        <v>36</v>
      </c>
      <c r="U137" s="34" t="s">
        <v>36</v>
      </c>
      <c r="V137" s="34" t="s">
        <v>36</v>
      </c>
      <c r="W137" s="34" t="s">
        <v>36</v>
      </c>
      <c r="X137" s="34" t="s">
        <v>36</v>
      </c>
      <c r="Y137" s="34" t="s">
        <v>36</v>
      </c>
      <c r="Z137" s="34" t="s">
        <v>36</v>
      </c>
      <c r="AA137" s="34" t="s">
        <v>36</v>
      </c>
      <c r="AB137" s="34" t="s">
        <v>36</v>
      </c>
      <c r="AC137" s="34" t="s">
        <v>36</v>
      </c>
      <c r="AD137" s="34" t="s">
        <v>36</v>
      </c>
      <c r="AE137" s="34" t="s">
        <v>36</v>
      </c>
      <c r="AF137" s="34" t="s">
        <v>36</v>
      </c>
      <c r="AG137" s="34" t="s">
        <v>36</v>
      </c>
      <c r="AH137" s="34" t="s">
        <v>36</v>
      </c>
      <c r="AI137" s="34" t="s">
        <v>36</v>
      </c>
      <c r="AJ137" s="34" t="s">
        <v>36</v>
      </c>
      <c r="AK137" s="34" t="s">
        <v>36</v>
      </c>
      <c r="AL137" s="34"/>
      <c r="AM137" s="34" t="s">
        <v>36</v>
      </c>
    </row>
    <row r="138" spans="1:39" ht="14.4" customHeight="1" x14ac:dyDescent="0.3">
      <c r="A138" s="203">
        <v>351572</v>
      </c>
      <c r="B138" s="34">
        <v>380808</v>
      </c>
      <c r="C138" s="34" t="s">
        <v>532</v>
      </c>
      <c r="D138" s="34" t="s">
        <v>886</v>
      </c>
      <c r="E138" s="34" t="s">
        <v>28</v>
      </c>
      <c r="F138" s="34" t="s">
        <v>36</v>
      </c>
      <c r="G138" s="34" t="s">
        <v>993</v>
      </c>
      <c r="H138" s="34" t="s">
        <v>200</v>
      </c>
      <c r="I138" s="34" t="s">
        <v>36</v>
      </c>
      <c r="J138" s="34" t="s">
        <v>36</v>
      </c>
      <c r="K138" s="34" t="s">
        <v>36</v>
      </c>
      <c r="L138" s="34" t="s">
        <v>1420</v>
      </c>
      <c r="M138" s="34" t="s">
        <v>1421</v>
      </c>
      <c r="N138" s="34" t="s">
        <v>72</v>
      </c>
      <c r="O138" s="34">
        <v>380808</v>
      </c>
      <c r="P138" s="34" t="s">
        <v>947</v>
      </c>
      <c r="Q138" s="34" t="s">
        <v>36</v>
      </c>
      <c r="R138" s="34">
        <v>0</v>
      </c>
      <c r="S138" s="34" t="s">
        <v>36</v>
      </c>
      <c r="T138" s="34" t="s">
        <v>36</v>
      </c>
      <c r="U138" s="34" t="s">
        <v>36</v>
      </c>
      <c r="V138" s="34" t="s">
        <v>36</v>
      </c>
      <c r="W138" s="34" t="s">
        <v>36</v>
      </c>
      <c r="X138" s="34" t="s">
        <v>36</v>
      </c>
      <c r="Y138" s="34" t="s">
        <v>36</v>
      </c>
      <c r="Z138" s="34" t="s">
        <v>36</v>
      </c>
      <c r="AA138" s="34" t="s">
        <v>36</v>
      </c>
      <c r="AB138" s="34" t="s">
        <v>36</v>
      </c>
      <c r="AC138" s="34" t="s">
        <v>36</v>
      </c>
      <c r="AD138" s="34" t="s">
        <v>36</v>
      </c>
      <c r="AE138" s="34" t="s">
        <v>36</v>
      </c>
      <c r="AF138" s="34" t="s">
        <v>36</v>
      </c>
      <c r="AG138" s="34" t="s">
        <v>36</v>
      </c>
      <c r="AH138" s="34" t="s">
        <v>36</v>
      </c>
      <c r="AI138" s="34" t="s">
        <v>36</v>
      </c>
      <c r="AJ138" s="34" t="s">
        <v>36</v>
      </c>
      <c r="AK138" s="34" t="s">
        <v>36</v>
      </c>
      <c r="AL138" s="34"/>
      <c r="AM138" s="34" t="s">
        <v>36</v>
      </c>
    </row>
    <row r="139" spans="1:39" ht="14.4" customHeight="1" x14ac:dyDescent="0.3">
      <c r="A139" s="203">
        <v>345796</v>
      </c>
      <c r="B139" s="34">
        <v>1001912</v>
      </c>
      <c r="C139" s="34" t="s">
        <v>386</v>
      </c>
      <c r="D139" s="34" t="s">
        <v>2310</v>
      </c>
      <c r="E139" s="34" t="s">
        <v>141</v>
      </c>
      <c r="F139" s="34" t="s">
        <v>36</v>
      </c>
      <c r="G139" s="34" t="s">
        <v>762</v>
      </c>
      <c r="H139" s="34" t="s">
        <v>372</v>
      </c>
      <c r="I139" s="34" t="s">
        <v>36</v>
      </c>
      <c r="J139" s="34" t="s">
        <v>36</v>
      </c>
      <c r="K139" s="34" t="s">
        <v>36</v>
      </c>
      <c r="L139" s="34" t="s">
        <v>1429</v>
      </c>
      <c r="M139" s="34" t="s">
        <v>1421</v>
      </c>
      <c r="N139" s="34" t="s">
        <v>72</v>
      </c>
      <c r="O139" s="34">
        <v>1001912</v>
      </c>
      <c r="P139" s="34" t="s">
        <v>554</v>
      </c>
      <c r="Q139" s="34" t="s">
        <v>36</v>
      </c>
      <c r="R139" s="34">
        <v>0</v>
      </c>
      <c r="S139" s="34" t="s">
        <v>36</v>
      </c>
      <c r="T139" s="34" t="s">
        <v>36</v>
      </c>
      <c r="U139" s="34" t="s">
        <v>36</v>
      </c>
      <c r="V139" s="34" t="s">
        <v>36</v>
      </c>
      <c r="W139" s="34" t="s">
        <v>36</v>
      </c>
      <c r="X139" s="34" t="s">
        <v>36</v>
      </c>
      <c r="Y139" s="34" t="s">
        <v>36</v>
      </c>
      <c r="Z139" s="34" t="s">
        <v>36</v>
      </c>
      <c r="AA139" s="34" t="s">
        <v>36</v>
      </c>
      <c r="AB139" s="34" t="s">
        <v>36</v>
      </c>
      <c r="AC139" s="34" t="s">
        <v>36</v>
      </c>
      <c r="AD139" s="34" t="s">
        <v>36</v>
      </c>
      <c r="AE139" s="34" t="s">
        <v>36</v>
      </c>
      <c r="AF139" s="34" t="s">
        <v>36</v>
      </c>
      <c r="AG139" s="34" t="s">
        <v>36</v>
      </c>
      <c r="AH139" s="34" t="s">
        <v>36</v>
      </c>
      <c r="AI139" s="34" t="s">
        <v>36</v>
      </c>
      <c r="AJ139" s="34" t="s">
        <v>36</v>
      </c>
      <c r="AK139" s="34" t="s">
        <v>36</v>
      </c>
      <c r="AL139" s="34"/>
      <c r="AM139" s="34" t="s">
        <v>36</v>
      </c>
    </row>
    <row r="140" spans="1:39" ht="14.4" customHeight="1" x14ac:dyDescent="0.3">
      <c r="A140" s="203">
        <v>345779</v>
      </c>
      <c r="B140" s="34">
        <v>1001912</v>
      </c>
      <c r="C140" s="34" t="s">
        <v>397</v>
      </c>
      <c r="D140" s="34" t="s">
        <v>2310</v>
      </c>
      <c r="E140" s="34" t="s">
        <v>141</v>
      </c>
      <c r="F140" s="34" t="s">
        <v>36</v>
      </c>
      <c r="G140" s="34" t="s">
        <v>916</v>
      </c>
      <c r="H140" s="34" t="s">
        <v>372</v>
      </c>
      <c r="I140" s="34" t="s">
        <v>36</v>
      </c>
      <c r="J140" s="34" t="s">
        <v>36</v>
      </c>
      <c r="K140" s="34" t="s">
        <v>36</v>
      </c>
      <c r="L140" s="34" t="s">
        <v>1429</v>
      </c>
      <c r="M140" s="34" t="s">
        <v>1433</v>
      </c>
      <c r="N140" s="34" t="s">
        <v>72</v>
      </c>
      <c r="O140" s="34">
        <v>1001912</v>
      </c>
      <c r="P140" s="34" t="s">
        <v>554</v>
      </c>
      <c r="Q140" s="34" t="s">
        <v>36</v>
      </c>
      <c r="R140" s="34">
        <v>0</v>
      </c>
      <c r="S140" s="34" t="s">
        <v>36</v>
      </c>
      <c r="T140" s="34" t="s">
        <v>36</v>
      </c>
      <c r="U140" s="34" t="s">
        <v>36</v>
      </c>
      <c r="V140" s="34" t="s">
        <v>36</v>
      </c>
      <c r="W140" s="34" t="s">
        <v>36</v>
      </c>
      <c r="X140" s="34" t="s">
        <v>36</v>
      </c>
      <c r="Y140" s="34" t="s">
        <v>36</v>
      </c>
      <c r="Z140" s="34" t="s">
        <v>36</v>
      </c>
      <c r="AA140" s="34" t="s">
        <v>36</v>
      </c>
      <c r="AB140" s="34" t="s">
        <v>36</v>
      </c>
      <c r="AC140" s="34" t="s">
        <v>36</v>
      </c>
      <c r="AD140" s="34" t="s">
        <v>36</v>
      </c>
      <c r="AE140" s="34" t="s">
        <v>36</v>
      </c>
      <c r="AF140" s="34" t="s">
        <v>36</v>
      </c>
      <c r="AG140" s="34" t="s">
        <v>36</v>
      </c>
      <c r="AH140" s="34" t="s">
        <v>36</v>
      </c>
      <c r="AI140" s="34" t="s">
        <v>36</v>
      </c>
      <c r="AJ140" s="34" t="s">
        <v>36</v>
      </c>
      <c r="AK140" s="34" t="s">
        <v>36</v>
      </c>
      <c r="AL140" s="34"/>
      <c r="AM140" s="34" t="s">
        <v>36</v>
      </c>
    </row>
    <row r="141" spans="1:39" ht="14.4" customHeight="1" x14ac:dyDescent="0.3">
      <c r="A141" s="203">
        <v>345687</v>
      </c>
      <c r="B141" s="34">
        <v>1013136</v>
      </c>
      <c r="C141" s="34" t="s">
        <v>443</v>
      </c>
      <c r="D141" s="34" t="s">
        <v>857</v>
      </c>
      <c r="E141" s="34" t="s">
        <v>106</v>
      </c>
      <c r="F141" s="34" t="s">
        <v>36</v>
      </c>
      <c r="G141" s="34" t="s">
        <v>916</v>
      </c>
      <c r="H141" s="34" t="s">
        <v>372</v>
      </c>
      <c r="I141" s="34" t="s">
        <v>36</v>
      </c>
      <c r="J141" s="34" t="s">
        <v>36</v>
      </c>
      <c r="K141" s="34" t="s">
        <v>36</v>
      </c>
      <c r="L141" s="34" t="s">
        <v>1429</v>
      </c>
      <c r="M141" s="34" t="s">
        <v>1421</v>
      </c>
      <c r="N141" s="34" t="s">
        <v>72</v>
      </c>
      <c r="O141" s="34">
        <v>1013136</v>
      </c>
      <c r="P141" s="34" t="s">
        <v>554</v>
      </c>
      <c r="Q141" s="34" t="s">
        <v>36</v>
      </c>
      <c r="R141" s="34">
        <v>0</v>
      </c>
      <c r="S141" s="34" t="s">
        <v>36</v>
      </c>
      <c r="T141" s="34" t="s">
        <v>36</v>
      </c>
      <c r="U141" s="34" t="s">
        <v>36</v>
      </c>
      <c r="V141" s="34" t="s">
        <v>36</v>
      </c>
      <c r="W141" s="34" t="s">
        <v>36</v>
      </c>
      <c r="X141" s="34" t="s">
        <v>36</v>
      </c>
      <c r="Y141" s="34" t="s">
        <v>36</v>
      </c>
      <c r="Z141" s="34" t="s">
        <v>36</v>
      </c>
      <c r="AA141" s="34" t="s">
        <v>36</v>
      </c>
      <c r="AB141" s="34" t="s">
        <v>36</v>
      </c>
      <c r="AC141" s="34" t="s">
        <v>36</v>
      </c>
      <c r="AD141" s="34" t="s">
        <v>36</v>
      </c>
      <c r="AE141" s="34" t="s">
        <v>36</v>
      </c>
      <c r="AF141" s="34" t="s">
        <v>36</v>
      </c>
      <c r="AG141" s="34" t="s">
        <v>36</v>
      </c>
      <c r="AH141" s="34" t="s">
        <v>36</v>
      </c>
      <c r="AI141" s="34" t="s">
        <v>36</v>
      </c>
      <c r="AJ141" s="34" t="s">
        <v>36</v>
      </c>
      <c r="AK141" s="34" t="s">
        <v>36</v>
      </c>
      <c r="AL141" s="34"/>
      <c r="AM141" s="34" t="s">
        <v>36</v>
      </c>
    </row>
    <row r="142" spans="1:39" ht="14.4" customHeight="1" x14ac:dyDescent="0.3">
      <c r="A142" s="203">
        <v>345678</v>
      </c>
      <c r="B142" s="34">
        <v>1001912</v>
      </c>
      <c r="C142" s="34" t="s">
        <v>449</v>
      </c>
      <c r="D142" s="34" t="s">
        <v>1143</v>
      </c>
      <c r="E142" s="34" t="s">
        <v>2131</v>
      </c>
      <c r="F142" s="34" t="s">
        <v>36</v>
      </c>
      <c r="G142" s="34" t="s">
        <v>1009</v>
      </c>
      <c r="H142" s="34" t="s">
        <v>372</v>
      </c>
      <c r="I142" s="34" t="s">
        <v>36</v>
      </c>
      <c r="J142" s="34" t="s">
        <v>36</v>
      </c>
      <c r="K142" s="34" t="s">
        <v>36</v>
      </c>
      <c r="L142" s="34" t="s">
        <v>1429</v>
      </c>
      <c r="M142" s="34" t="s">
        <v>1421</v>
      </c>
      <c r="N142" s="34" t="s">
        <v>72</v>
      </c>
      <c r="O142" s="34">
        <v>1001912</v>
      </c>
      <c r="P142" s="34" t="s">
        <v>554</v>
      </c>
      <c r="Q142" s="34" t="s">
        <v>36</v>
      </c>
      <c r="R142" s="34">
        <v>0</v>
      </c>
      <c r="S142" s="34" t="s">
        <v>36</v>
      </c>
      <c r="T142" s="34" t="s">
        <v>36</v>
      </c>
      <c r="U142" s="34" t="s">
        <v>36</v>
      </c>
      <c r="V142" s="34" t="s">
        <v>36</v>
      </c>
      <c r="W142" s="34" t="s">
        <v>36</v>
      </c>
      <c r="X142" s="34" t="s">
        <v>36</v>
      </c>
      <c r="Y142" s="34" t="s">
        <v>36</v>
      </c>
      <c r="Z142" s="34" t="s">
        <v>36</v>
      </c>
      <c r="AA142" s="34" t="s">
        <v>36</v>
      </c>
      <c r="AB142" s="34" t="s">
        <v>36</v>
      </c>
      <c r="AC142" s="34" t="s">
        <v>36</v>
      </c>
      <c r="AD142" s="34" t="s">
        <v>36</v>
      </c>
      <c r="AE142" s="34" t="s">
        <v>36</v>
      </c>
      <c r="AF142" s="34" t="s">
        <v>36</v>
      </c>
      <c r="AG142" s="34" t="s">
        <v>36</v>
      </c>
      <c r="AH142" s="34" t="s">
        <v>36</v>
      </c>
      <c r="AI142" s="34" t="s">
        <v>36</v>
      </c>
      <c r="AJ142" s="34" t="s">
        <v>36</v>
      </c>
      <c r="AK142" s="34" t="s">
        <v>36</v>
      </c>
      <c r="AL142" s="34"/>
      <c r="AM142" s="34" t="s">
        <v>36</v>
      </c>
    </row>
    <row r="143" spans="1:39" ht="14.4" customHeight="1" x14ac:dyDescent="0.3">
      <c r="A143" s="203">
        <v>345641</v>
      </c>
      <c r="B143" s="34">
        <v>1013136</v>
      </c>
      <c r="C143" s="34" t="s">
        <v>473</v>
      </c>
      <c r="D143" s="34" t="s">
        <v>857</v>
      </c>
      <c r="E143" s="34" t="s">
        <v>106</v>
      </c>
      <c r="F143" s="34" t="s">
        <v>36</v>
      </c>
      <c r="G143" s="34" t="s">
        <v>2042</v>
      </c>
      <c r="H143" s="34" t="s">
        <v>372</v>
      </c>
      <c r="I143" s="34" t="s">
        <v>36</v>
      </c>
      <c r="J143" s="34" t="s">
        <v>36</v>
      </c>
      <c r="K143" s="34" t="s">
        <v>36</v>
      </c>
      <c r="L143" s="34" t="s">
        <v>1429</v>
      </c>
      <c r="M143" s="34" t="s">
        <v>1421</v>
      </c>
      <c r="N143" s="34" t="s">
        <v>72</v>
      </c>
      <c r="O143" s="34">
        <v>1013136</v>
      </c>
      <c r="P143" s="34" t="s">
        <v>554</v>
      </c>
      <c r="Q143" s="34" t="s">
        <v>36</v>
      </c>
      <c r="R143" s="34">
        <v>0</v>
      </c>
      <c r="S143" s="34" t="s">
        <v>36</v>
      </c>
      <c r="T143" s="34" t="s">
        <v>36</v>
      </c>
      <c r="U143" s="34" t="s">
        <v>36</v>
      </c>
      <c r="V143" s="34" t="s">
        <v>36</v>
      </c>
      <c r="W143" s="34" t="s">
        <v>36</v>
      </c>
      <c r="X143" s="34" t="s">
        <v>36</v>
      </c>
      <c r="Y143" s="34" t="s">
        <v>36</v>
      </c>
      <c r="Z143" s="34" t="s">
        <v>36</v>
      </c>
      <c r="AA143" s="34" t="s">
        <v>36</v>
      </c>
      <c r="AB143" s="34" t="s">
        <v>36</v>
      </c>
      <c r="AC143" s="34" t="s">
        <v>36</v>
      </c>
      <c r="AD143" s="34" t="s">
        <v>36</v>
      </c>
      <c r="AE143" s="34" t="s">
        <v>36</v>
      </c>
      <c r="AF143" s="34" t="s">
        <v>36</v>
      </c>
      <c r="AG143" s="34" t="s">
        <v>36</v>
      </c>
      <c r="AH143" s="34" t="s">
        <v>36</v>
      </c>
      <c r="AI143" s="34" t="s">
        <v>36</v>
      </c>
      <c r="AJ143" s="34" t="s">
        <v>36</v>
      </c>
      <c r="AK143" s="34" t="s">
        <v>36</v>
      </c>
      <c r="AL143" s="34"/>
      <c r="AM143" s="34" t="s">
        <v>36</v>
      </c>
    </row>
    <row r="144" spans="1:39" ht="14.4" customHeight="1" x14ac:dyDescent="0.3">
      <c r="A144" s="203">
        <v>342163</v>
      </c>
      <c r="B144" s="34">
        <v>245808</v>
      </c>
      <c r="C144" s="34" t="s">
        <v>2357</v>
      </c>
      <c r="D144" s="34" t="s">
        <v>857</v>
      </c>
      <c r="E144" s="34" t="s">
        <v>106</v>
      </c>
      <c r="F144" s="34">
        <v>37</v>
      </c>
      <c r="G144" s="34" t="s">
        <v>232</v>
      </c>
      <c r="H144" s="34" t="s">
        <v>36</v>
      </c>
      <c r="I144" s="34" t="s">
        <v>939</v>
      </c>
      <c r="J144" s="34" t="s">
        <v>30</v>
      </c>
      <c r="K144" s="34" t="s">
        <v>1412</v>
      </c>
      <c r="L144" s="34" t="s">
        <v>104</v>
      </c>
      <c r="M144" s="34" t="s">
        <v>1419</v>
      </c>
      <c r="N144" s="34" t="s">
        <v>117</v>
      </c>
      <c r="O144" s="34">
        <v>342163</v>
      </c>
      <c r="P144" s="34" t="s">
        <v>943</v>
      </c>
      <c r="Q144" s="34">
        <v>9</v>
      </c>
      <c r="R144" s="34">
        <v>3</v>
      </c>
      <c r="S144" s="34">
        <v>14</v>
      </c>
      <c r="T144" s="34">
        <v>0</v>
      </c>
      <c r="U144" s="34">
        <v>1</v>
      </c>
      <c r="V144" s="34">
        <v>3</v>
      </c>
      <c r="W144" s="34">
        <v>0</v>
      </c>
      <c r="X144" s="34">
        <v>16</v>
      </c>
      <c r="Y144" s="34">
        <v>0</v>
      </c>
      <c r="Z144" s="34">
        <v>0</v>
      </c>
      <c r="AA144" s="34">
        <v>0</v>
      </c>
      <c r="AB144" s="34">
        <v>0</v>
      </c>
      <c r="AC144" s="34">
        <v>0</v>
      </c>
      <c r="AD144" s="34">
        <v>0</v>
      </c>
      <c r="AE144" s="34">
        <v>0</v>
      </c>
      <c r="AF144" s="34">
        <v>0</v>
      </c>
      <c r="AG144" s="34">
        <v>0</v>
      </c>
      <c r="AH144" s="34">
        <v>0</v>
      </c>
      <c r="AI144" s="34">
        <v>0</v>
      </c>
      <c r="AJ144" s="34">
        <v>20</v>
      </c>
      <c r="AK144" s="34">
        <v>0</v>
      </c>
      <c r="AL144" s="34"/>
      <c r="AM144" s="34" t="s">
        <v>33</v>
      </c>
    </row>
    <row r="145" spans="1:39" ht="14.4" customHeight="1" x14ac:dyDescent="0.3">
      <c r="A145" s="203">
        <v>342054</v>
      </c>
      <c r="B145" s="34">
        <v>347074</v>
      </c>
      <c r="C145" s="34" t="s">
        <v>2009</v>
      </c>
      <c r="D145" s="34" t="s">
        <v>1866</v>
      </c>
      <c r="E145" s="34" t="s">
        <v>106</v>
      </c>
      <c r="F145" s="34">
        <v>93</v>
      </c>
      <c r="G145" s="34" t="s">
        <v>1391</v>
      </c>
      <c r="H145" s="34" t="s">
        <v>36</v>
      </c>
      <c r="I145" s="34" t="s">
        <v>1869</v>
      </c>
      <c r="J145" s="34" t="s">
        <v>30</v>
      </c>
      <c r="K145" s="34" t="s">
        <v>1412</v>
      </c>
      <c r="L145" s="34" t="s">
        <v>104</v>
      </c>
      <c r="M145" s="34" t="s">
        <v>1419</v>
      </c>
      <c r="N145" s="34" t="s">
        <v>117</v>
      </c>
      <c r="O145" s="34">
        <v>342054</v>
      </c>
      <c r="P145" s="34" t="s">
        <v>943</v>
      </c>
      <c r="Q145" s="34">
        <v>5</v>
      </c>
      <c r="R145" s="34">
        <v>3</v>
      </c>
      <c r="S145" s="34">
        <v>27</v>
      </c>
      <c r="T145" s="34">
        <v>0</v>
      </c>
      <c r="U145" s="34">
        <v>0</v>
      </c>
      <c r="V145" s="34">
        <v>3</v>
      </c>
      <c r="W145" s="34">
        <v>16</v>
      </c>
      <c r="X145" s="34">
        <v>27</v>
      </c>
      <c r="Y145" s="34">
        <v>0</v>
      </c>
      <c r="Z145" s="34">
        <v>0</v>
      </c>
      <c r="AA145" s="34">
        <v>0</v>
      </c>
      <c r="AB145" s="34">
        <v>0</v>
      </c>
      <c r="AC145" s="34">
        <v>0</v>
      </c>
      <c r="AD145" s="34">
        <v>0</v>
      </c>
      <c r="AE145" s="34">
        <v>0</v>
      </c>
      <c r="AF145" s="34">
        <v>0</v>
      </c>
      <c r="AG145" s="34">
        <v>0</v>
      </c>
      <c r="AH145" s="34">
        <v>0</v>
      </c>
      <c r="AI145" s="34">
        <v>0</v>
      </c>
      <c r="AJ145" s="34">
        <v>46</v>
      </c>
      <c r="AK145" s="34">
        <v>39</v>
      </c>
      <c r="AL145" s="34"/>
      <c r="AM145" s="34" t="s">
        <v>33</v>
      </c>
    </row>
    <row r="146" spans="1:39" ht="14.4" customHeight="1" x14ac:dyDescent="0.3">
      <c r="A146" s="203">
        <v>340486</v>
      </c>
      <c r="B146" s="34">
        <v>243505</v>
      </c>
      <c r="C146" s="34" t="s">
        <v>1753</v>
      </c>
      <c r="D146" s="34" t="s">
        <v>1321</v>
      </c>
      <c r="E146" s="34" t="s">
        <v>28</v>
      </c>
      <c r="F146" s="34">
        <v>27</v>
      </c>
      <c r="G146" s="34" t="s">
        <v>981</v>
      </c>
      <c r="H146" s="34" t="s">
        <v>36</v>
      </c>
      <c r="I146" s="34" t="s">
        <v>38</v>
      </c>
      <c r="J146" s="34" t="s">
        <v>41</v>
      </c>
      <c r="K146" s="34" t="s">
        <v>1414</v>
      </c>
      <c r="L146" s="34" t="s">
        <v>1429</v>
      </c>
      <c r="M146" s="34" t="s">
        <v>1419</v>
      </c>
      <c r="N146" s="34" t="s">
        <v>117</v>
      </c>
      <c r="O146" s="34">
        <v>340486</v>
      </c>
      <c r="P146" s="34" t="s">
        <v>18</v>
      </c>
      <c r="Q146" s="34">
        <v>0</v>
      </c>
      <c r="R146" s="34">
        <v>1</v>
      </c>
      <c r="S146" s="34">
        <v>0</v>
      </c>
      <c r="T146" s="34">
        <v>0</v>
      </c>
      <c r="U146" s="34">
        <v>0</v>
      </c>
      <c r="V146" s="34">
        <v>0</v>
      </c>
      <c r="W146" s="34">
        <v>0</v>
      </c>
      <c r="X146" s="34">
        <v>0</v>
      </c>
      <c r="Y146" s="34">
        <v>0</v>
      </c>
      <c r="Z146" s="34">
        <v>0</v>
      </c>
      <c r="AA146" s="34">
        <v>0</v>
      </c>
      <c r="AB146" s="34">
        <v>0</v>
      </c>
      <c r="AC146" s="34">
        <v>0</v>
      </c>
      <c r="AD146" s="34">
        <v>0</v>
      </c>
      <c r="AE146" s="34">
        <v>27</v>
      </c>
      <c r="AF146" s="34">
        <v>0</v>
      </c>
      <c r="AG146" s="34">
        <v>0</v>
      </c>
      <c r="AH146" s="34">
        <v>0</v>
      </c>
      <c r="AI146" s="34">
        <v>0</v>
      </c>
      <c r="AJ146" s="34">
        <v>27</v>
      </c>
      <c r="AK146" s="34">
        <v>0</v>
      </c>
      <c r="AL146" s="34"/>
      <c r="AM146" s="34" t="s">
        <v>40</v>
      </c>
    </row>
    <row r="147" spans="1:39" ht="14.4" customHeight="1" x14ac:dyDescent="0.3">
      <c r="A147" s="203">
        <v>339321</v>
      </c>
      <c r="B147" s="34">
        <v>1004171</v>
      </c>
      <c r="C147" s="34" t="s">
        <v>217</v>
      </c>
      <c r="D147" s="34" t="s">
        <v>857</v>
      </c>
      <c r="E147" s="34" t="s">
        <v>2292</v>
      </c>
      <c r="F147" s="34" t="s">
        <v>36</v>
      </c>
      <c r="G147" s="34" t="s">
        <v>595</v>
      </c>
      <c r="H147" s="34" t="s">
        <v>206</v>
      </c>
      <c r="I147" s="34" t="s">
        <v>36</v>
      </c>
      <c r="J147" s="34" t="s">
        <v>36</v>
      </c>
      <c r="K147" s="34" t="s">
        <v>36</v>
      </c>
      <c r="L147" s="34" t="s">
        <v>1429</v>
      </c>
      <c r="M147" s="34" t="s">
        <v>1436</v>
      </c>
      <c r="N147" s="34" t="s">
        <v>72</v>
      </c>
      <c r="O147" s="34">
        <v>1004171</v>
      </c>
      <c r="P147" s="34" t="s">
        <v>554</v>
      </c>
      <c r="Q147" s="34" t="s">
        <v>36</v>
      </c>
      <c r="R147" s="34">
        <v>0</v>
      </c>
      <c r="S147" s="34" t="s">
        <v>36</v>
      </c>
      <c r="T147" s="34" t="s">
        <v>36</v>
      </c>
      <c r="U147" s="34" t="s">
        <v>36</v>
      </c>
      <c r="V147" s="34" t="s">
        <v>36</v>
      </c>
      <c r="W147" s="34" t="s">
        <v>36</v>
      </c>
      <c r="X147" s="34" t="s">
        <v>36</v>
      </c>
      <c r="Y147" s="34" t="s">
        <v>36</v>
      </c>
      <c r="Z147" s="34" t="s">
        <v>36</v>
      </c>
      <c r="AA147" s="34" t="s">
        <v>36</v>
      </c>
      <c r="AB147" s="34" t="s">
        <v>36</v>
      </c>
      <c r="AC147" s="34" t="s">
        <v>36</v>
      </c>
      <c r="AD147" s="34" t="s">
        <v>36</v>
      </c>
      <c r="AE147" s="34" t="s">
        <v>36</v>
      </c>
      <c r="AF147" s="34" t="s">
        <v>36</v>
      </c>
      <c r="AG147" s="34" t="s">
        <v>36</v>
      </c>
      <c r="AH147" s="34" t="s">
        <v>36</v>
      </c>
      <c r="AI147" s="34" t="s">
        <v>36</v>
      </c>
      <c r="AJ147" s="34" t="s">
        <v>36</v>
      </c>
      <c r="AK147" s="34" t="s">
        <v>36</v>
      </c>
      <c r="AL147" s="34"/>
      <c r="AM147" s="34" t="s">
        <v>36</v>
      </c>
    </row>
    <row r="148" spans="1:39" ht="14.4" customHeight="1" x14ac:dyDescent="0.3">
      <c r="A148" s="203">
        <v>336239</v>
      </c>
      <c r="B148" s="34">
        <v>1004171</v>
      </c>
      <c r="C148" s="34" t="s">
        <v>1592</v>
      </c>
      <c r="D148" s="34" t="s">
        <v>857</v>
      </c>
      <c r="E148" s="34" t="s">
        <v>2292</v>
      </c>
      <c r="F148" s="34" t="s">
        <v>36</v>
      </c>
      <c r="G148" s="34" t="s">
        <v>595</v>
      </c>
      <c r="H148" s="34" t="s">
        <v>206</v>
      </c>
      <c r="I148" s="34" t="s">
        <v>36</v>
      </c>
      <c r="J148" s="34" t="s">
        <v>36</v>
      </c>
      <c r="K148" s="34" t="s">
        <v>36</v>
      </c>
      <c r="L148" s="34" t="s">
        <v>1420</v>
      </c>
      <c r="M148" s="34" t="s">
        <v>1433</v>
      </c>
      <c r="N148" s="34" t="s">
        <v>72</v>
      </c>
      <c r="O148" s="34">
        <v>1004171</v>
      </c>
      <c r="P148" s="34" t="s">
        <v>554</v>
      </c>
      <c r="Q148" s="34" t="s">
        <v>36</v>
      </c>
      <c r="R148" s="34">
        <v>0</v>
      </c>
      <c r="S148" s="34" t="s">
        <v>36</v>
      </c>
      <c r="T148" s="34" t="s">
        <v>36</v>
      </c>
      <c r="U148" s="34" t="s">
        <v>36</v>
      </c>
      <c r="V148" s="34" t="s">
        <v>36</v>
      </c>
      <c r="W148" s="34" t="s">
        <v>36</v>
      </c>
      <c r="X148" s="34" t="s">
        <v>36</v>
      </c>
      <c r="Y148" s="34" t="s">
        <v>36</v>
      </c>
      <c r="Z148" s="34" t="s">
        <v>36</v>
      </c>
      <c r="AA148" s="34" t="s">
        <v>36</v>
      </c>
      <c r="AB148" s="34" t="s">
        <v>36</v>
      </c>
      <c r="AC148" s="34" t="s">
        <v>36</v>
      </c>
      <c r="AD148" s="34" t="s">
        <v>36</v>
      </c>
      <c r="AE148" s="34" t="s">
        <v>36</v>
      </c>
      <c r="AF148" s="34" t="s">
        <v>36</v>
      </c>
      <c r="AG148" s="34" t="s">
        <v>36</v>
      </c>
      <c r="AH148" s="34" t="s">
        <v>36</v>
      </c>
      <c r="AI148" s="34" t="s">
        <v>36</v>
      </c>
      <c r="AJ148" s="34" t="s">
        <v>36</v>
      </c>
      <c r="AK148" s="34" t="s">
        <v>36</v>
      </c>
      <c r="AL148" s="34"/>
      <c r="AM148" s="34" t="s">
        <v>36</v>
      </c>
    </row>
    <row r="149" spans="1:39" ht="14.4" customHeight="1" x14ac:dyDescent="0.3">
      <c r="A149" s="203">
        <v>332951</v>
      </c>
      <c r="B149" s="34">
        <v>216364</v>
      </c>
      <c r="C149" s="34" t="s">
        <v>2249</v>
      </c>
      <c r="D149" s="34" t="s">
        <v>1321</v>
      </c>
      <c r="E149" s="34" t="s">
        <v>28</v>
      </c>
      <c r="F149" s="34">
        <v>45</v>
      </c>
      <c r="G149" s="34" t="s">
        <v>1165</v>
      </c>
      <c r="H149" s="34" t="s">
        <v>36</v>
      </c>
      <c r="I149" s="34" t="s">
        <v>939</v>
      </c>
      <c r="J149" s="34" t="s">
        <v>30</v>
      </c>
      <c r="K149" s="34" t="s">
        <v>1412</v>
      </c>
      <c r="L149" s="34" t="s">
        <v>104</v>
      </c>
      <c r="M149" s="34" t="s">
        <v>1419</v>
      </c>
      <c r="N149" s="34" t="s">
        <v>117</v>
      </c>
      <c r="O149" s="34">
        <v>332951</v>
      </c>
      <c r="P149" s="34" t="s">
        <v>554</v>
      </c>
      <c r="Q149" s="34">
        <v>0</v>
      </c>
      <c r="R149" s="34">
        <v>3</v>
      </c>
      <c r="S149" s="34">
        <v>0</v>
      </c>
      <c r="T149" s="34">
        <v>0</v>
      </c>
      <c r="U149" s="34">
        <v>0</v>
      </c>
      <c r="V149" s="34">
        <v>10</v>
      </c>
      <c r="W149" s="34">
        <v>8</v>
      </c>
      <c r="X149" s="34">
        <v>0</v>
      </c>
      <c r="Y149" s="34">
        <v>0</v>
      </c>
      <c r="Z149" s="34">
        <v>0</v>
      </c>
      <c r="AA149" s="34">
        <v>0</v>
      </c>
      <c r="AB149" s="34">
        <v>0</v>
      </c>
      <c r="AC149" s="34">
        <v>0</v>
      </c>
      <c r="AD149" s="34">
        <v>0</v>
      </c>
      <c r="AE149" s="34">
        <v>0</v>
      </c>
      <c r="AF149" s="34">
        <v>0</v>
      </c>
      <c r="AG149" s="34">
        <v>27</v>
      </c>
      <c r="AH149" s="34">
        <v>0</v>
      </c>
      <c r="AI149" s="34">
        <v>0</v>
      </c>
      <c r="AJ149" s="34">
        <v>45</v>
      </c>
      <c r="AK149" s="34">
        <v>0</v>
      </c>
      <c r="AL149" s="34"/>
      <c r="AM149" s="34" t="s">
        <v>1762</v>
      </c>
    </row>
    <row r="150" spans="1:39" ht="14.4" customHeight="1" x14ac:dyDescent="0.3">
      <c r="A150" s="203">
        <v>332281</v>
      </c>
      <c r="B150" s="34">
        <v>393265</v>
      </c>
      <c r="C150" s="34" t="s">
        <v>1298</v>
      </c>
      <c r="D150" s="34" t="s">
        <v>857</v>
      </c>
      <c r="E150" s="34" t="s">
        <v>28</v>
      </c>
      <c r="F150" s="34" t="s">
        <v>36</v>
      </c>
      <c r="G150" s="34" t="s">
        <v>164</v>
      </c>
      <c r="H150" s="34" t="s">
        <v>1177</v>
      </c>
      <c r="I150" s="34" t="s">
        <v>163</v>
      </c>
      <c r="J150" s="34" t="s">
        <v>36</v>
      </c>
      <c r="K150" s="34" t="s">
        <v>36</v>
      </c>
      <c r="L150" s="34" t="s">
        <v>1429</v>
      </c>
      <c r="M150" s="34" t="s">
        <v>1421</v>
      </c>
      <c r="N150" s="34" t="s">
        <v>72</v>
      </c>
      <c r="O150" s="34">
        <v>393265</v>
      </c>
      <c r="P150" s="34" t="s">
        <v>17</v>
      </c>
      <c r="Q150" s="34" t="s">
        <v>36</v>
      </c>
      <c r="R150" s="34">
        <v>0</v>
      </c>
      <c r="S150" s="34" t="s">
        <v>36</v>
      </c>
      <c r="T150" s="34" t="s">
        <v>36</v>
      </c>
      <c r="U150" s="34" t="s">
        <v>36</v>
      </c>
      <c r="V150" s="34" t="s">
        <v>36</v>
      </c>
      <c r="W150" s="34" t="s">
        <v>36</v>
      </c>
      <c r="X150" s="34" t="s">
        <v>36</v>
      </c>
      <c r="Y150" s="34" t="s">
        <v>36</v>
      </c>
      <c r="Z150" s="34" t="s">
        <v>36</v>
      </c>
      <c r="AA150" s="34" t="s">
        <v>36</v>
      </c>
      <c r="AB150" s="34" t="s">
        <v>36</v>
      </c>
      <c r="AC150" s="34" t="s">
        <v>36</v>
      </c>
      <c r="AD150" s="34" t="s">
        <v>36</v>
      </c>
      <c r="AE150" s="34" t="s">
        <v>36</v>
      </c>
      <c r="AF150" s="34" t="s">
        <v>36</v>
      </c>
      <c r="AG150" s="34" t="s">
        <v>36</v>
      </c>
      <c r="AH150" s="34" t="s">
        <v>36</v>
      </c>
      <c r="AI150" s="34" t="s">
        <v>36</v>
      </c>
      <c r="AJ150" s="34" t="s">
        <v>36</v>
      </c>
      <c r="AK150" s="34" t="s">
        <v>36</v>
      </c>
      <c r="AL150" s="34"/>
      <c r="AM150" s="34" t="s">
        <v>36</v>
      </c>
    </row>
    <row r="151" spans="1:39" ht="14.4" customHeight="1" x14ac:dyDescent="0.3">
      <c r="A151" s="203">
        <v>332002</v>
      </c>
      <c r="B151" s="34">
        <v>1008506</v>
      </c>
      <c r="C151" s="34" t="s">
        <v>864</v>
      </c>
      <c r="D151" s="34" t="s">
        <v>857</v>
      </c>
      <c r="E151" s="34" t="s">
        <v>28</v>
      </c>
      <c r="F151" s="34" t="s">
        <v>36</v>
      </c>
      <c r="G151" s="34" t="s">
        <v>1828</v>
      </c>
      <c r="H151" s="34" t="s">
        <v>515</v>
      </c>
      <c r="I151" s="34" t="s">
        <v>36</v>
      </c>
      <c r="J151" s="34" t="s">
        <v>36</v>
      </c>
      <c r="K151" s="34" t="s">
        <v>36</v>
      </c>
      <c r="L151" s="34" t="s">
        <v>1429</v>
      </c>
      <c r="M151" s="34" t="s">
        <v>1421</v>
      </c>
      <c r="N151" s="34" t="s">
        <v>72</v>
      </c>
      <c r="O151" s="34">
        <v>1008506</v>
      </c>
      <c r="P151" s="34" t="s">
        <v>947</v>
      </c>
      <c r="Q151" s="34" t="s">
        <v>36</v>
      </c>
      <c r="R151" s="34">
        <v>0</v>
      </c>
      <c r="S151" s="34" t="s">
        <v>36</v>
      </c>
      <c r="T151" s="34" t="s">
        <v>36</v>
      </c>
      <c r="U151" s="34" t="s">
        <v>36</v>
      </c>
      <c r="V151" s="34" t="s">
        <v>36</v>
      </c>
      <c r="W151" s="34" t="s">
        <v>36</v>
      </c>
      <c r="X151" s="34" t="s">
        <v>36</v>
      </c>
      <c r="Y151" s="34" t="s">
        <v>36</v>
      </c>
      <c r="Z151" s="34" t="s">
        <v>36</v>
      </c>
      <c r="AA151" s="34" t="s">
        <v>36</v>
      </c>
      <c r="AB151" s="34" t="s">
        <v>36</v>
      </c>
      <c r="AC151" s="34" t="s">
        <v>36</v>
      </c>
      <c r="AD151" s="34" t="s">
        <v>36</v>
      </c>
      <c r="AE151" s="34" t="s">
        <v>36</v>
      </c>
      <c r="AF151" s="34" t="s">
        <v>36</v>
      </c>
      <c r="AG151" s="34" t="s">
        <v>36</v>
      </c>
      <c r="AH151" s="34" t="s">
        <v>36</v>
      </c>
      <c r="AI151" s="34" t="s">
        <v>36</v>
      </c>
      <c r="AJ151" s="34" t="s">
        <v>36</v>
      </c>
      <c r="AK151" s="34" t="s">
        <v>36</v>
      </c>
      <c r="AL151" s="34"/>
      <c r="AM151" s="34" t="s">
        <v>36</v>
      </c>
    </row>
    <row r="152" spans="1:39" ht="14.4" customHeight="1" x14ac:dyDescent="0.3">
      <c r="A152" s="203">
        <v>329772</v>
      </c>
      <c r="B152" s="34">
        <v>1010421</v>
      </c>
      <c r="C152" s="34" t="s">
        <v>2022</v>
      </c>
      <c r="D152" s="34" t="s">
        <v>2310</v>
      </c>
      <c r="E152" s="34" t="s">
        <v>28</v>
      </c>
      <c r="F152" s="34" t="s">
        <v>36</v>
      </c>
      <c r="G152" s="34" t="s">
        <v>1959</v>
      </c>
      <c r="H152" s="34" t="s">
        <v>807</v>
      </c>
      <c r="I152" s="34" t="s">
        <v>38</v>
      </c>
      <c r="J152" s="34" t="s">
        <v>36</v>
      </c>
      <c r="K152" s="34" t="s">
        <v>36</v>
      </c>
      <c r="L152" s="34" t="s">
        <v>1429</v>
      </c>
      <c r="M152" s="34" t="s">
        <v>1434</v>
      </c>
      <c r="N152" s="34" t="s">
        <v>72</v>
      </c>
      <c r="O152" s="34">
        <v>1010421</v>
      </c>
      <c r="P152" s="34" t="s">
        <v>946</v>
      </c>
      <c r="Q152" s="34" t="s">
        <v>36</v>
      </c>
      <c r="R152" s="34">
        <v>0</v>
      </c>
      <c r="S152" s="34" t="s">
        <v>36</v>
      </c>
      <c r="T152" s="34" t="s">
        <v>36</v>
      </c>
      <c r="U152" s="34" t="s">
        <v>36</v>
      </c>
      <c r="V152" s="34" t="s">
        <v>36</v>
      </c>
      <c r="W152" s="34" t="s">
        <v>36</v>
      </c>
      <c r="X152" s="34" t="s">
        <v>36</v>
      </c>
      <c r="Y152" s="34" t="s">
        <v>36</v>
      </c>
      <c r="Z152" s="34" t="s">
        <v>36</v>
      </c>
      <c r="AA152" s="34" t="s">
        <v>36</v>
      </c>
      <c r="AB152" s="34" t="s">
        <v>36</v>
      </c>
      <c r="AC152" s="34" t="s">
        <v>36</v>
      </c>
      <c r="AD152" s="34" t="s">
        <v>36</v>
      </c>
      <c r="AE152" s="34" t="s">
        <v>36</v>
      </c>
      <c r="AF152" s="34" t="s">
        <v>36</v>
      </c>
      <c r="AG152" s="34" t="s">
        <v>36</v>
      </c>
      <c r="AH152" s="34" t="s">
        <v>36</v>
      </c>
      <c r="AI152" s="34" t="s">
        <v>36</v>
      </c>
      <c r="AJ152" s="34" t="s">
        <v>36</v>
      </c>
      <c r="AK152" s="34" t="s">
        <v>36</v>
      </c>
      <c r="AL152" s="34"/>
      <c r="AM152" s="34" t="s">
        <v>36</v>
      </c>
    </row>
    <row r="153" spans="1:39" ht="14.4" customHeight="1" x14ac:dyDescent="0.3">
      <c r="A153" s="203">
        <v>329686</v>
      </c>
      <c r="B153" s="34">
        <v>1004171</v>
      </c>
      <c r="C153" s="34" t="s">
        <v>1593</v>
      </c>
      <c r="D153" s="34" t="s">
        <v>857</v>
      </c>
      <c r="E153" s="34" t="s">
        <v>2292</v>
      </c>
      <c r="F153" s="34" t="s">
        <v>36</v>
      </c>
      <c r="G153" s="34" t="s">
        <v>595</v>
      </c>
      <c r="H153" s="34" t="s">
        <v>206</v>
      </c>
      <c r="I153" s="34" t="s">
        <v>36</v>
      </c>
      <c r="J153" s="34" t="s">
        <v>36</v>
      </c>
      <c r="K153" s="34" t="s">
        <v>36</v>
      </c>
      <c r="L153" s="34" t="s">
        <v>1429</v>
      </c>
      <c r="M153" s="34" t="s">
        <v>1421</v>
      </c>
      <c r="N153" s="34" t="s">
        <v>72</v>
      </c>
      <c r="O153" s="34">
        <v>1004171</v>
      </c>
      <c r="P153" s="34" t="s">
        <v>554</v>
      </c>
      <c r="Q153" s="34" t="s">
        <v>36</v>
      </c>
      <c r="R153" s="34">
        <v>0</v>
      </c>
      <c r="S153" s="34" t="s">
        <v>36</v>
      </c>
      <c r="T153" s="34" t="s">
        <v>36</v>
      </c>
      <c r="U153" s="34" t="s">
        <v>36</v>
      </c>
      <c r="V153" s="34" t="s">
        <v>36</v>
      </c>
      <c r="W153" s="34" t="s">
        <v>36</v>
      </c>
      <c r="X153" s="34" t="s">
        <v>36</v>
      </c>
      <c r="Y153" s="34" t="s">
        <v>36</v>
      </c>
      <c r="Z153" s="34" t="s">
        <v>36</v>
      </c>
      <c r="AA153" s="34" t="s">
        <v>36</v>
      </c>
      <c r="AB153" s="34" t="s">
        <v>36</v>
      </c>
      <c r="AC153" s="34" t="s">
        <v>36</v>
      </c>
      <c r="AD153" s="34" t="s">
        <v>36</v>
      </c>
      <c r="AE153" s="34" t="s">
        <v>36</v>
      </c>
      <c r="AF153" s="34" t="s">
        <v>36</v>
      </c>
      <c r="AG153" s="34" t="s">
        <v>36</v>
      </c>
      <c r="AH153" s="34" t="s">
        <v>36</v>
      </c>
      <c r="AI153" s="34" t="s">
        <v>36</v>
      </c>
      <c r="AJ153" s="34" t="s">
        <v>36</v>
      </c>
      <c r="AK153" s="34" t="s">
        <v>36</v>
      </c>
      <c r="AL153" s="34"/>
      <c r="AM153" s="34" t="s">
        <v>36</v>
      </c>
    </row>
    <row r="154" spans="1:39" ht="14.4" customHeight="1" x14ac:dyDescent="0.3">
      <c r="A154" s="203">
        <v>329683</v>
      </c>
      <c r="B154" s="34">
        <v>392058</v>
      </c>
      <c r="C154" s="34" t="s">
        <v>1510</v>
      </c>
      <c r="D154" s="34" t="s">
        <v>167</v>
      </c>
      <c r="E154" s="34" t="s">
        <v>165</v>
      </c>
      <c r="F154" s="34" t="s">
        <v>36</v>
      </c>
      <c r="G154" s="34" t="s">
        <v>195</v>
      </c>
      <c r="H154" s="34" t="s">
        <v>1177</v>
      </c>
      <c r="I154" s="34" t="s">
        <v>36</v>
      </c>
      <c r="J154" s="34" t="s">
        <v>36</v>
      </c>
      <c r="K154" s="34" t="s">
        <v>36</v>
      </c>
      <c r="L154" s="34" t="s">
        <v>1429</v>
      </c>
      <c r="M154" s="34" t="s">
        <v>1421</v>
      </c>
      <c r="N154" s="34" t="s">
        <v>72</v>
      </c>
      <c r="O154" s="34">
        <v>392058</v>
      </c>
      <c r="P154" s="34" t="s">
        <v>951</v>
      </c>
      <c r="Q154" s="34" t="s">
        <v>36</v>
      </c>
      <c r="R154" s="34">
        <v>0</v>
      </c>
      <c r="S154" s="34" t="s">
        <v>36</v>
      </c>
      <c r="T154" s="34" t="s">
        <v>36</v>
      </c>
      <c r="U154" s="34" t="s">
        <v>36</v>
      </c>
      <c r="V154" s="34" t="s">
        <v>36</v>
      </c>
      <c r="W154" s="34" t="s">
        <v>36</v>
      </c>
      <c r="X154" s="34" t="s">
        <v>36</v>
      </c>
      <c r="Y154" s="34" t="s">
        <v>36</v>
      </c>
      <c r="Z154" s="34" t="s">
        <v>36</v>
      </c>
      <c r="AA154" s="34" t="s">
        <v>36</v>
      </c>
      <c r="AB154" s="34" t="s">
        <v>36</v>
      </c>
      <c r="AC154" s="34" t="s">
        <v>36</v>
      </c>
      <c r="AD154" s="34" t="s">
        <v>36</v>
      </c>
      <c r="AE154" s="34" t="s">
        <v>36</v>
      </c>
      <c r="AF154" s="34" t="s">
        <v>36</v>
      </c>
      <c r="AG154" s="34" t="s">
        <v>36</v>
      </c>
      <c r="AH154" s="34" t="s">
        <v>36</v>
      </c>
      <c r="AI154" s="34" t="s">
        <v>36</v>
      </c>
      <c r="AJ154" s="34" t="s">
        <v>36</v>
      </c>
      <c r="AK154" s="34" t="s">
        <v>36</v>
      </c>
      <c r="AL154" s="34"/>
      <c r="AM154" s="34" t="s">
        <v>36</v>
      </c>
    </row>
    <row r="155" spans="1:39" ht="14.4" customHeight="1" x14ac:dyDescent="0.3">
      <c r="A155" s="203">
        <v>321745</v>
      </c>
      <c r="B155" s="34">
        <v>395855</v>
      </c>
      <c r="C155" s="34" t="s">
        <v>2355</v>
      </c>
      <c r="D155" s="34" t="s">
        <v>806</v>
      </c>
      <c r="E155" s="34" t="s">
        <v>2131</v>
      </c>
      <c r="F155" s="34" t="s">
        <v>36</v>
      </c>
      <c r="G155" s="34" t="s">
        <v>714</v>
      </c>
      <c r="H155" s="34" t="s">
        <v>1533</v>
      </c>
      <c r="I155" s="34" t="s">
        <v>36</v>
      </c>
      <c r="J155" s="34" t="s">
        <v>36</v>
      </c>
      <c r="K155" s="34" t="s">
        <v>36</v>
      </c>
      <c r="L155" s="34" t="s">
        <v>1429</v>
      </c>
      <c r="M155" s="34" t="s">
        <v>1421</v>
      </c>
      <c r="N155" s="34" t="s">
        <v>72</v>
      </c>
      <c r="O155" s="34">
        <v>395855</v>
      </c>
      <c r="P155" s="34" t="s">
        <v>946</v>
      </c>
      <c r="Q155" s="34" t="s">
        <v>36</v>
      </c>
      <c r="R155" s="34">
        <v>0</v>
      </c>
      <c r="S155" s="34" t="s">
        <v>36</v>
      </c>
      <c r="T155" s="34" t="s">
        <v>36</v>
      </c>
      <c r="U155" s="34" t="s">
        <v>36</v>
      </c>
      <c r="V155" s="34" t="s">
        <v>36</v>
      </c>
      <c r="W155" s="34" t="s">
        <v>36</v>
      </c>
      <c r="X155" s="34" t="s">
        <v>36</v>
      </c>
      <c r="Y155" s="34" t="s">
        <v>36</v>
      </c>
      <c r="Z155" s="34" t="s">
        <v>36</v>
      </c>
      <c r="AA155" s="34" t="s">
        <v>36</v>
      </c>
      <c r="AB155" s="34" t="s">
        <v>36</v>
      </c>
      <c r="AC155" s="34" t="s">
        <v>36</v>
      </c>
      <c r="AD155" s="34" t="s">
        <v>36</v>
      </c>
      <c r="AE155" s="34" t="s">
        <v>36</v>
      </c>
      <c r="AF155" s="34" t="s">
        <v>36</v>
      </c>
      <c r="AG155" s="34" t="s">
        <v>36</v>
      </c>
      <c r="AH155" s="34" t="s">
        <v>36</v>
      </c>
      <c r="AI155" s="34" t="s">
        <v>36</v>
      </c>
      <c r="AJ155" s="34" t="s">
        <v>36</v>
      </c>
      <c r="AK155" s="34" t="s">
        <v>36</v>
      </c>
      <c r="AL155" s="34"/>
      <c r="AM155" s="34" t="s">
        <v>36</v>
      </c>
    </row>
    <row r="156" spans="1:39" ht="14.4" customHeight="1" x14ac:dyDescent="0.3">
      <c r="A156" s="203">
        <v>321724</v>
      </c>
      <c r="B156" s="34">
        <v>1008506</v>
      </c>
      <c r="C156" s="34" t="s">
        <v>1180</v>
      </c>
      <c r="D156" s="34" t="s">
        <v>857</v>
      </c>
      <c r="E156" s="34" t="s">
        <v>28</v>
      </c>
      <c r="F156" s="34" t="s">
        <v>36</v>
      </c>
      <c r="G156" s="34" t="s">
        <v>597</v>
      </c>
      <c r="H156" s="34" t="s">
        <v>1177</v>
      </c>
      <c r="I156" s="34" t="s">
        <v>36</v>
      </c>
      <c r="J156" s="34" t="s">
        <v>36</v>
      </c>
      <c r="K156" s="34" t="s">
        <v>36</v>
      </c>
      <c r="L156" s="34" t="s">
        <v>1420</v>
      </c>
      <c r="M156" s="34" t="s">
        <v>1421</v>
      </c>
      <c r="N156" s="34" t="s">
        <v>72</v>
      </c>
      <c r="O156" s="34">
        <v>1008506</v>
      </c>
      <c r="P156" s="34" t="s">
        <v>17</v>
      </c>
      <c r="Q156" s="34" t="s">
        <v>36</v>
      </c>
      <c r="R156" s="34">
        <v>0</v>
      </c>
      <c r="S156" s="34" t="s">
        <v>36</v>
      </c>
      <c r="T156" s="34" t="s">
        <v>36</v>
      </c>
      <c r="U156" s="34" t="s">
        <v>36</v>
      </c>
      <c r="V156" s="34" t="s">
        <v>36</v>
      </c>
      <c r="W156" s="34" t="s">
        <v>36</v>
      </c>
      <c r="X156" s="34" t="s">
        <v>36</v>
      </c>
      <c r="Y156" s="34" t="s">
        <v>36</v>
      </c>
      <c r="Z156" s="34" t="s">
        <v>36</v>
      </c>
      <c r="AA156" s="34" t="s">
        <v>36</v>
      </c>
      <c r="AB156" s="34" t="s">
        <v>36</v>
      </c>
      <c r="AC156" s="34" t="s">
        <v>36</v>
      </c>
      <c r="AD156" s="34" t="s">
        <v>36</v>
      </c>
      <c r="AE156" s="34" t="s">
        <v>36</v>
      </c>
      <c r="AF156" s="34" t="s">
        <v>36</v>
      </c>
      <c r="AG156" s="34" t="s">
        <v>36</v>
      </c>
      <c r="AH156" s="34" t="s">
        <v>36</v>
      </c>
      <c r="AI156" s="34" t="s">
        <v>36</v>
      </c>
      <c r="AJ156" s="34" t="s">
        <v>36</v>
      </c>
      <c r="AK156" s="34" t="s">
        <v>36</v>
      </c>
      <c r="AL156" s="34"/>
      <c r="AM156" s="34" t="s">
        <v>36</v>
      </c>
    </row>
    <row r="157" spans="1:39" ht="14.4" customHeight="1" x14ac:dyDescent="0.3">
      <c r="A157" s="203">
        <v>304956</v>
      </c>
      <c r="B157" s="34">
        <v>396669</v>
      </c>
      <c r="C157" s="34" t="s">
        <v>1776</v>
      </c>
      <c r="D157" s="34" t="s">
        <v>857</v>
      </c>
      <c r="E157" s="34" t="s">
        <v>28</v>
      </c>
      <c r="F157" s="34" t="s">
        <v>36</v>
      </c>
      <c r="G157" s="34" t="s">
        <v>173</v>
      </c>
      <c r="H157" s="34" t="s">
        <v>241</v>
      </c>
      <c r="I157" s="34" t="s">
        <v>36</v>
      </c>
      <c r="J157" s="34" t="s">
        <v>36</v>
      </c>
      <c r="K157" s="34" t="s">
        <v>36</v>
      </c>
      <c r="L157" s="34" t="s">
        <v>1429</v>
      </c>
      <c r="M157" s="34" t="s">
        <v>1421</v>
      </c>
      <c r="N157" s="34" t="s">
        <v>72</v>
      </c>
      <c r="O157" s="34">
        <v>396669</v>
      </c>
      <c r="P157" s="34" t="s">
        <v>554</v>
      </c>
      <c r="Q157" s="34" t="s">
        <v>36</v>
      </c>
      <c r="R157" s="34">
        <v>0</v>
      </c>
      <c r="S157" s="34" t="s">
        <v>36</v>
      </c>
      <c r="T157" s="34" t="s">
        <v>36</v>
      </c>
      <c r="U157" s="34" t="s">
        <v>36</v>
      </c>
      <c r="V157" s="34" t="s">
        <v>36</v>
      </c>
      <c r="W157" s="34" t="s">
        <v>36</v>
      </c>
      <c r="X157" s="34" t="s">
        <v>36</v>
      </c>
      <c r="Y157" s="34" t="s">
        <v>36</v>
      </c>
      <c r="Z157" s="34" t="s">
        <v>36</v>
      </c>
      <c r="AA157" s="34" t="s">
        <v>36</v>
      </c>
      <c r="AB157" s="34" t="s">
        <v>36</v>
      </c>
      <c r="AC157" s="34" t="s">
        <v>36</v>
      </c>
      <c r="AD157" s="34" t="s">
        <v>36</v>
      </c>
      <c r="AE157" s="34" t="s">
        <v>36</v>
      </c>
      <c r="AF157" s="34" t="s">
        <v>36</v>
      </c>
      <c r="AG157" s="34" t="s">
        <v>36</v>
      </c>
      <c r="AH157" s="34" t="s">
        <v>36</v>
      </c>
      <c r="AI157" s="34" t="s">
        <v>36</v>
      </c>
      <c r="AJ157" s="34" t="s">
        <v>36</v>
      </c>
      <c r="AK157" s="34" t="s">
        <v>36</v>
      </c>
      <c r="AL157" s="34"/>
      <c r="AM157" s="34" t="s">
        <v>36</v>
      </c>
    </row>
    <row r="158" spans="1:39" ht="14.4" customHeight="1" x14ac:dyDescent="0.3">
      <c r="A158" s="203">
        <v>297335</v>
      </c>
      <c r="B158" s="34">
        <v>243505</v>
      </c>
      <c r="C158" s="34" t="s">
        <v>1151</v>
      </c>
      <c r="D158" s="34" t="s">
        <v>972</v>
      </c>
      <c r="E158" s="34" t="s">
        <v>106</v>
      </c>
      <c r="F158" s="34">
        <v>84</v>
      </c>
      <c r="G158" s="34" t="s">
        <v>981</v>
      </c>
      <c r="H158" s="34" t="s">
        <v>36</v>
      </c>
      <c r="I158" s="34" t="s">
        <v>38</v>
      </c>
      <c r="J158" s="34" t="s">
        <v>41</v>
      </c>
      <c r="K158" s="34" t="s">
        <v>1412</v>
      </c>
      <c r="L158" s="34" t="s">
        <v>1420</v>
      </c>
      <c r="M158" s="34" t="s">
        <v>1419</v>
      </c>
      <c r="N158" s="34" t="s">
        <v>117</v>
      </c>
      <c r="O158" s="34">
        <v>297335</v>
      </c>
      <c r="P158" s="34" t="s">
        <v>18</v>
      </c>
      <c r="Q158" s="34">
        <v>0</v>
      </c>
      <c r="R158" s="34">
        <v>2</v>
      </c>
      <c r="S158" s="34">
        <v>36</v>
      </c>
      <c r="T158" s="34">
        <v>0</v>
      </c>
      <c r="U158" s="34">
        <v>0</v>
      </c>
      <c r="V158" s="34">
        <v>0</v>
      </c>
      <c r="W158" s="34">
        <v>0</v>
      </c>
      <c r="X158" s="34">
        <v>0</v>
      </c>
      <c r="Y158" s="34">
        <v>0</v>
      </c>
      <c r="Z158" s="34">
        <v>0</v>
      </c>
      <c r="AA158" s="34">
        <v>0</v>
      </c>
      <c r="AB158" s="34">
        <v>0</v>
      </c>
      <c r="AC158" s="34">
        <v>0</v>
      </c>
      <c r="AD158" s="34">
        <v>0</v>
      </c>
      <c r="AE158" s="34">
        <v>17</v>
      </c>
      <c r="AF158" s="34">
        <v>0</v>
      </c>
      <c r="AG158" s="34">
        <v>1</v>
      </c>
      <c r="AH158" s="34">
        <v>0</v>
      </c>
      <c r="AI158" s="34">
        <v>30</v>
      </c>
      <c r="AJ158" s="34">
        <v>18</v>
      </c>
      <c r="AK158" s="34">
        <v>0</v>
      </c>
      <c r="AL158" s="34"/>
      <c r="AM158" s="34" t="s">
        <v>33</v>
      </c>
    </row>
    <row r="159" spans="1:39" ht="14.4" customHeight="1" x14ac:dyDescent="0.3">
      <c r="A159" s="203">
        <v>293371</v>
      </c>
      <c r="B159" s="34">
        <v>243505</v>
      </c>
      <c r="C159" s="34" t="s">
        <v>1967</v>
      </c>
      <c r="D159" s="34" t="s">
        <v>1321</v>
      </c>
      <c r="E159" s="34" t="s">
        <v>28</v>
      </c>
      <c r="F159" s="34">
        <v>10</v>
      </c>
      <c r="G159" s="34" t="s">
        <v>981</v>
      </c>
      <c r="H159" s="34" t="s">
        <v>36</v>
      </c>
      <c r="I159" s="34" t="s">
        <v>38</v>
      </c>
      <c r="J159" s="34" t="s">
        <v>41</v>
      </c>
      <c r="K159" s="34" t="s">
        <v>1412</v>
      </c>
      <c r="L159" s="34" t="s">
        <v>1431</v>
      </c>
      <c r="M159" s="34" t="s">
        <v>1419</v>
      </c>
      <c r="N159" s="34" t="s">
        <v>117</v>
      </c>
      <c r="O159" s="34">
        <v>293371</v>
      </c>
      <c r="P159" s="34" t="s">
        <v>18</v>
      </c>
      <c r="Q159" s="34">
        <v>0</v>
      </c>
      <c r="R159" s="34">
        <v>1</v>
      </c>
      <c r="S159" s="34">
        <v>0</v>
      </c>
      <c r="T159" s="34">
        <v>0</v>
      </c>
      <c r="U159" s="34">
        <v>0</v>
      </c>
      <c r="V159" s="34">
        <v>0</v>
      </c>
      <c r="W159" s="34">
        <v>0</v>
      </c>
      <c r="X159" s="34">
        <v>0</v>
      </c>
      <c r="Y159" s="34">
        <v>0</v>
      </c>
      <c r="Z159" s="34">
        <v>0</v>
      </c>
      <c r="AA159" s="34">
        <v>0</v>
      </c>
      <c r="AB159" s="34">
        <v>0</v>
      </c>
      <c r="AC159" s="34">
        <v>0</v>
      </c>
      <c r="AD159" s="34">
        <v>0</v>
      </c>
      <c r="AE159" s="34">
        <v>10</v>
      </c>
      <c r="AF159" s="34">
        <v>0</v>
      </c>
      <c r="AG159" s="34">
        <v>0</v>
      </c>
      <c r="AH159" s="34">
        <v>0</v>
      </c>
      <c r="AI159" s="34">
        <v>0</v>
      </c>
      <c r="AJ159" s="34">
        <v>10</v>
      </c>
      <c r="AK159" s="34">
        <v>0</v>
      </c>
      <c r="AL159" s="34"/>
      <c r="AM159" s="34" t="s">
        <v>40</v>
      </c>
    </row>
    <row r="160" spans="1:39" ht="14.4" customHeight="1" x14ac:dyDescent="0.3">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row>
    <row r="161" spans="2:39" ht="14.4" customHeight="1" x14ac:dyDescent="0.3">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row>
    <row r="162" spans="2:39" ht="14.4" customHeight="1" x14ac:dyDescent="0.3">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row>
    <row r="163" spans="2:39" ht="14.4" customHeight="1" x14ac:dyDescent="0.3">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row>
    <row r="164" spans="2:39" ht="14.4" customHeight="1" x14ac:dyDescent="0.3">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row>
    <row r="165" spans="2:39" ht="14.4" customHeight="1" x14ac:dyDescent="0.3">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row>
    <row r="166" spans="2:39" ht="14.4" customHeight="1" x14ac:dyDescent="0.3">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row>
    <row r="167" spans="2:39" ht="14.4" customHeight="1" x14ac:dyDescent="0.3">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row>
    <row r="168" spans="2:39" ht="14.4" customHeight="1" x14ac:dyDescent="0.3">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row>
    <row r="169" spans="2:39" ht="14.4" customHeight="1" x14ac:dyDescent="0.3">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row>
    <row r="170" spans="2:39" ht="14.4" customHeight="1" x14ac:dyDescent="0.3">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row>
    <row r="171" spans="2:39" ht="14.4" customHeight="1" x14ac:dyDescent="0.3">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row>
    <row r="172" spans="2:39" ht="14.4" customHeight="1" x14ac:dyDescent="0.3">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row>
    <row r="173" spans="2:39" ht="14.4" customHeight="1" x14ac:dyDescent="0.3">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row>
    <row r="174" spans="2:39" ht="14.4" customHeight="1" x14ac:dyDescent="0.3">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row>
    <row r="175" spans="2:39" ht="14.4" customHeight="1" x14ac:dyDescent="0.3">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row>
    <row r="176" spans="2:39" ht="14.4" customHeight="1" x14ac:dyDescent="0.3">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row>
    <row r="177" spans="1:39" ht="14.4" customHeight="1" x14ac:dyDescent="0.3">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row>
    <row r="178" spans="1:39" ht="14.4" customHeight="1" x14ac:dyDescent="0.3">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row>
    <row r="179" spans="1:39" ht="14.4" customHeight="1" x14ac:dyDescent="0.3">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row>
    <row r="180" spans="1:39" ht="14.4" customHeight="1" x14ac:dyDescent="0.3">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row>
    <row r="181" spans="1:39" ht="14.4" customHeight="1" x14ac:dyDescent="0.3">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row>
    <row r="182" spans="1:39" ht="14.4" customHeight="1" x14ac:dyDescent="0.3">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row>
    <row r="183" spans="1:39" ht="14.4" customHeight="1" x14ac:dyDescent="0.3">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row>
    <row r="184" spans="1:39" ht="14.4" customHeight="1" x14ac:dyDescent="0.3">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row>
    <row r="185" spans="1:39" ht="14.4" customHeight="1" x14ac:dyDescent="0.3">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row>
    <row r="186" spans="1:39" ht="14.4" customHeight="1" x14ac:dyDescent="0.3">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row>
    <row r="187" spans="1:39" ht="14.4" customHeight="1" x14ac:dyDescent="0.3">
      <c r="A187" s="203"/>
      <c r="B187" s="34"/>
      <c r="C187" s="34"/>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row>
    <row r="188" spans="1:39" ht="14.4" customHeight="1" x14ac:dyDescent="0.3">
      <c r="A188" s="203"/>
      <c r="B188" s="34"/>
      <c r="C188" s="34"/>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row>
    <row r="189" spans="1:39" ht="14.4" customHeight="1" x14ac:dyDescent="0.3">
      <c r="A189" s="203"/>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row>
    <row r="190" spans="1:39" ht="14.4" customHeight="1" x14ac:dyDescent="0.3">
      <c r="A190" s="203"/>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row>
    <row r="191" spans="1:39" ht="14.4" customHeight="1" x14ac:dyDescent="0.3">
      <c r="A191" s="203"/>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row>
    <row r="192" spans="1:39" ht="14.4" customHeight="1" x14ac:dyDescent="0.3">
      <c r="A192" s="203"/>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row>
    <row r="193" spans="1:39" ht="14.4" customHeight="1" x14ac:dyDescent="0.3">
      <c r="A193" s="203"/>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row>
    <row r="194" spans="1:39" ht="14.4" customHeight="1" x14ac:dyDescent="0.3">
      <c r="A194" s="203"/>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row>
    <row r="195" spans="1:39" ht="14.4" customHeight="1" x14ac:dyDescent="0.3">
      <c r="A195" s="203"/>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row>
    <row r="196" spans="1:39" ht="14.4" customHeight="1" x14ac:dyDescent="0.3">
      <c r="A196" s="203"/>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row>
    <row r="197" spans="1:39" ht="14.4" customHeight="1" x14ac:dyDescent="0.3">
      <c r="A197" s="203"/>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row>
    <row r="198" spans="1:39" ht="14.4" customHeight="1" x14ac:dyDescent="0.3">
      <c r="A198" s="203"/>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row>
    <row r="199" spans="1:39" ht="14.4" customHeight="1" x14ac:dyDescent="0.3">
      <c r="A199" s="203"/>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row>
    <row r="200" spans="1:39" ht="14.4" customHeight="1" x14ac:dyDescent="0.3">
      <c r="A200" s="203"/>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row>
    <row r="201" spans="1:39" ht="14.4" customHeight="1" x14ac:dyDescent="0.3">
      <c r="A201" s="203"/>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row>
    <row r="202" spans="1:39" ht="14.4" customHeight="1" x14ac:dyDescent="0.3">
      <c r="A202" s="203"/>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row>
    <row r="203" spans="1:39" ht="14.4" customHeight="1" x14ac:dyDescent="0.3">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row>
    <row r="204" spans="1:39" ht="14.4" customHeight="1" x14ac:dyDescent="0.3">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row>
    <row r="205" spans="1:39" ht="14.4" customHeight="1" x14ac:dyDescent="0.3">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row>
    <row r="206" spans="1:39" ht="14.4" customHeight="1" x14ac:dyDescent="0.3">
      <c r="A206" s="34"/>
      <c r="B206" s="34"/>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row>
    <row r="207" spans="1:39" ht="14.4" customHeight="1" x14ac:dyDescent="0.3">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row>
    <row r="208" spans="1:39" ht="14.4" customHeight="1" x14ac:dyDescent="0.3">
      <c r="A208" s="34"/>
      <c r="B208" s="34"/>
      <c r="C208" s="34"/>
      <c r="D208" s="34"/>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row>
    <row r="209" spans="1:39" ht="14.4" customHeight="1" x14ac:dyDescent="0.3">
      <c r="A209" s="34"/>
      <c r="B209" s="34"/>
      <c r="C209" s="34"/>
      <c r="D209" s="34"/>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row>
    <row r="210" spans="1:39" ht="14.4" customHeight="1" x14ac:dyDescent="0.3">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row>
    <row r="211" spans="1:39" ht="14.4" customHeight="1" x14ac:dyDescent="0.3">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row>
    <row r="212" spans="1:39" ht="14.4" customHeight="1" x14ac:dyDescent="0.3">
      <c r="A212" s="34"/>
      <c r="B212" s="34"/>
      <c r="C212" s="34"/>
      <c r="D212" s="34"/>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row>
    <row r="213" spans="1:39" ht="14.4" customHeight="1" x14ac:dyDescent="0.3">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row>
    <row r="214" spans="1:39" ht="14.4" customHeight="1" x14ac:dyDescent="0.3">
      <c r="A214" s="34"/>
      <c r="B214" s="34"/>
      <c r="C214" s="34"/>
      <c r="D214" s="34"/>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row>
    <row r="215" spans="1:39" ht="14.4" customHeight="1" x14ac:dyDescent="0.3">
      <c r="A215" s="34"/>
      <c r="B215" s="34"/>
      <c r="C215" s="34"/>
      <c r="D215" s="34"/>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row>
    <row r="216" spans="1:39" ht="14.4" customHeight="1" x14ac:dyDescent="0.3">
      <c r="A216" s="34"/>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row>
    <row r="217" spans="1:39" ht="14.4" customHeight="1" x14ac:dyDescent="0.3">
      <c r="A217" s="34"/>
      <c r="B217" s="34"/>
      <c r="C217" s="34"/>
      <c r="D217" s="34"/>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row>
    <row r="218" spans="1:39" ht="14.4" customHeight="1" x14ac:dyDescent="0.3">
      <c r="A218" s="34"/>
      <c r="B218" s="34"/>
      <c r="C218" s="34"/>
      <c r="D218" s="34"/>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row>
    <row r="219" spans="1:39" ht="14.4" customHeight="1" x14ac:dyDescent="0.3">
      <c r="A219" s="34"/>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row>
    <row r="220" spans="1:39" ht="14.4" customHeight="1" x14ac:dyDescent="0.3">
      <c r="A220" s="34"/>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row>
    <row r="221" spans="1:39" ht="14.4" customHeight="1" x14ac:dyDescent="0.3">
      <c r="A221" s="34"/>
      <c r="B221" s="34"/>
      <c r="C221" s="34"/>
      <c r="D221" s="34"/>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row>
    <row r="222" spans="1:39" ht="14.4" customHeight="1" x14ac:dyDescent="0.3">
      <c r="A222" s="34"/>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row>
    <row r="223" spans="1:39" ht="14.4" customHeight="1" x14ac:dyDescent="0.3">
      <c r="A223" s="34"/>
      <c r="B223" s="34"/>
      <c r="C223" s="34"/>
      <c r="D223" s="34"/>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row>
    <row r="224" spans="1:39" ht="14.4" customHeight="1" x14ac:dyDescent="0.3">
      <c r="A224" s="34"/>
      <c r="B224" s="34"/>
      <c r="C224" s="34"/>
      <c r="D224" s="34"/>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row>
    <row r="225" spans="1:39" ht="14.4" customHeight="1" x14ac:dyDescent="0.3">
      <c r="A225" s="34"/>
      <c r="B225" s="34"/>
      <c r="C225" s="34"/>
      <c r="D225" s="34"/>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row>
    <row r="226" spans="1:39" ht="14.4" customHeight="1" x14ac:dyDescent="0.3">
      <c r="A226" s="34"/>
      <c r="B226" s="34"/>
      <c r="C226" s="34"/>
      <c r="D226" s="34"/>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row>
    <row r="227" spans="1:39" ht="14.4" customHeight="1" x14ac:dyDescent="0.3">
      <c r="A227" s="34"/>
      <c r="B227" s="34"/>
      <c r="C227" s="34"/>
      <c r="D227" s="34"/>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row>
    <row r="228" spans="1:39" ht="14.4" customHeight="1" x14ac:dyDescent="0.3">
      <c r="A228" s="34"/>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row>
    <row r="229" spans="1:39" ht="14.4" customHeight="1" x14ac:dyDescent="0.3">
      <c r="A229" s="34"/>
      <c r="B229" s="34"/>
      <c r="C229" s="34"/>
      <c r="D229" s="34"/>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row>
    <row r="230" spans="1:39" ht="14.4" customHeight="1" x14ac:dyDescent="0.3">
      <c r="A230" s="34"/>
      <c r="B230" s="34"/>
      <c r="C230" s="34"/>
      <c r="D230" s="34"/>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row>
    <row r="231" spans="1:39" ht="14.4" customHeight="1" x14ac:dyDescent="0.3">
      <c r="A231" s="34"/>
      <c r="B231" s="34"/>
      <c r="C231" s="34"/>
      <c r="D231" s="34"/>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row>
    <row r="232" spans="1:39" ht="14.4" customHeight="1" x14ac:dyDescent="0.3">
      <c r="A232" s="34"/>
      <c r="B232" s="34"/>
      <c r="C232" s="34"/>
      <c r="D232" s="34"/>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row>
    <row r="233" spans="1:39" ht="14.4" customHeight="1" x14ac:dyDescent="0.3">
      <c r="A233" s="34"/>
      <c r="B233" s="34"/>
      <c r="C233" s="34"/>
      <c r="D233" s="34"/>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row>
    <row r="234" spans="1:39" ht="14.4" customHeight="1" x14ac:dyDescent="0.3">
      <c r="A234" s="34"/>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row>
    <row r="235" spans="1:39" ht="14.4" customHeight="1" x14ac:dyDescent="0.3">
      <c r="A235" s="34"/>
      <c r="B235" s="34"/>
      <c r="C235" s="34"/>
      <c r="D235" s="34"/>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row>
    <row r="236" spans="1:39" ht="14.4" customHeight="1" x14ac:dyDescent="0.3">
      <c r="A236" s="34"/>
      <c r="B236" s="34"/>
      <c r="C236" s="34"/>
      <c r="D236" s="34"/>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row>
    <row r="237" spans="1:39" ht="14.4" customHeight="1" x14ac:dyDescent="0.3">
      <c r="A237" s="34"/>
      <c r="B237" s="34"/>
      <c r="C237" s="34"/>
      <c r="D237" s="34"/>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row>
    <row r="238" spans="1:39" ht="14.4" customHeight="1" x14ac:dyDescent="0.3">
      <c r="A238" s="34"/>
      <c r="B238" s="34"/>
      <c r="C238" s="34"/>
      <c r="D238" s="34"/>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row>
    <row r="239" spans="1:39" ht="14.4" customHeight="1" x14ac:dyDescent="0.3">
      <c r="A239" s="34"/>
      <c r="B239" s="34"/>
      <c r="C239" s="34"/>
      <c r="D239" s="34"/>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row>
    <row r="240" spans="1:39" ht="14.4" customHeight="1" x14ac:dyDescent="0.3">
      <c r="A240" s="34"/>
      <c r="B240" s="34"/>
      <c r="C240" s="34"/>
      <c r="D240" s="34"/>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row>
    <row r="241" spans="1:39" ht="14.4" customHeight="1" x14ac:dyDescent="0.3">
      <c r="A241" s="34"/>
      <c r="B241" s="34"/>
      <c r="C241" s="34"/>
      <c r="D241" s="34"/>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row>
    <row r="242" spans="1:39" ht="14.4" customHeight="1" x14ac:dyDescent="0.3">
      <c r="A242" s="34"/>
      <c r="B242" s="34"/>
      <c r="C242" s="34"/>
      <c r="D242" s="34"/>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row>
    <row r="243" spans="1:39" ht="14.4" customHeight="1" x14ac:dyDescent="0.3">
      <c r="A243" s="34"/>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row>
    <row r="244" spans="1:39" ht="14.4" customHeight="1" x14ac:dyDescent="0.3">
      <c r="A244" s="34"/>
      <c r="B244" s="34"/>
      <c r="C244" s="34"/>
      <c r="D244" s="34"/>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row>
    <row r="245" spans="1:39" ht="14.4" customHeight="1" x14ac:dyDescent="0.3">
      <c r="A245" s="34"/>
      <c r="B245" s="34"/>
      <c r="C245" s="34"/>
      <c r="D245" s="34"/>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row>
    <row r="246" spans="1:39" ht="14.4" customHeight="1" x14ac:dyDescent="0.3">
      <c r="A246" s="34"/>
      <c r="B246" s="34"/>
      <c r="C246" s="34"/>
      <c r="D246" s="34"/>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row>
    <row r="247" spans="1:39" ht="14.4" customHeight="1" x14ac:dyDescent="0.3">
      <c r="A247" s="34"/>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row>
    <row r="248" spans="1:39" ht="14.4" customHeight="1" x14ac:dyDescent="0.3">
      <c r="A248" s="34"/>
      <c r="B248" s="34"/>
      <c r="C248" s="34"/>
      <c r="D248" s="34"/>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row>
    <row r="249" spans="1:39" ht="14.4" customHeight="1" x14ac:dyDescent="0.3">
      <c r="A249" s="34"/>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row>
    <row r="250" spans="1:39" ht="14.4" customHeight="1" x14ac:dyDescent="0.3">
      <c r="A250" s="34"/>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row>
    <row r="251" spans="1:39" ht="14.4" customHeight="1" x14ac:dyDescent="0.3">
      <c r="A251" s="34"/>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row>
    <row r="252" spans="1:39" ht="14.4" customHeight="1" x14ac:dyDescent="0.3">
      <c r="A252" s="34"/>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row>
    <row r="253" spans="1:39" ht="14.4" customHeight="1" x14ac:dyDescent="0.3">
      <c r="A253" s="34"/>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row>
    <row r="254" spans="1:39" ht="14.4" customHeight="1" x14ac:dyDescent="0.3">
      <c r="A254" s="34"/>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row>
    <row r="255" spans="1:39" ht="14.4" customHeight="1" x14ac:dyDescent="0.3">
      <c r="A255" s="34"/>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row>
    <row r="256" spans="1:39" ht="14.4" customHeight="1" x14ac:dyDescent="0.3">
      <c r="A256" s="34"/>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row>
    <row r="257" spans="1:39" ht="14.4" customHeight="1" x14ac:dyDescent="0.3">
      <c r="A257" s="34"/>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row>
    <row r="258" spans="1:39" ht="14.4" customHeight="1" x14ac:dyDescent="0.3">
      <c r="A258" s="34"/>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row>
    <row r="259" spans="1:39" ht="14.4" customHeight="1" x14ac:dyDescent="0.3">
      <c r="A259" s="34"/>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row>
    <row r="260" spans="1:39" ht="14.4" customHeight="1" x14ac:dyDescent="0.3">
      <c r="A260" s="34"/>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row>
    <row r="261" spans="1:39" ht="14.4" customHeight="1" x14ac:dyDescent="0.3">
      <c r="A261" s="34"/>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row>
    <row r="262" spans="1:39" ht="14.4" customHeight="1" x14ac:dyDescent="0.3">
      <c r="A262" s="34"/>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row>
    <row r="263" spans="1:39" ht="14.4" customHeight="1" x14ac:dyDescent="0.3">
      <c r="A263" s="34"/>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row>
    <row r="264" spans="1:39" ht="14.4" customHeight="1" x14ac:dyDescent="0.3"/>
    <row r="265" spans="1:39" ht="14.4" customHeight="1" x14ac:dyDescent="0.3"/>
    <row r="266" spans="1:39" ht="14.4" customHeight="1" x14ac:dyDescent="0.3"/>
    <row r="267" spans="1:39" ht="14.4" customHeight="1" x14ac:dyDescent="0.3"/>
    <row r="268" spans="1:39" ht="14.4" customHeight="1" x14ac:dyDescent="0.3"/>
    <row r="269" spans="1:39" ht="14.4" customHeight="1" x14ac:dyDescent="0.3"/>
    <row r="270" spans="1:39" ht="14.4" customHeight="1" x14ac:dyDescent="0.3"/>
    <row r="271" spans="1:39" ht="14.4" customHeight="1" x14ac:dyDescent="0.3"/>
    <row r="272" spans="1:39" ht="14.4" customHeight="1" x14ac:dyDescent="0.3"/>
    <row r="273" ht="14.4" customHeight="1" x14ac:dyDescent="0.3"/>
    <row r="274" ht="14.4" customHeight="1" x14ac:dyDescent="0.3"/>
    <row r="275" ht="14.4" customHeight="1" x14ac:dyDescent="0.3"/>
    <row r="276" ht="14.4" customHeight="1" x14ac:dyDescent="0.3"/>
    <row r="277" ht="14.4" customHeight="1" x14ac:dyDescent="0.3"/>
    <row r="278" ht="14.4" customHeight="1" x14ac:dyDescent="0.3"/>
    <row r="279" ht="14.4" customHeight="1" x14ac:dyDescent="0.3"/>
    <row r="280" ht="14.4" customHeight="1" x14ac:dyDescent="0.3"/>
    <row r="281" ht="14.4" customHeight="1" x14ac:dyDescent="0.3"/>
    <row r="282" ht="14.4" customHeight="1" x14ac:dyDescent="0.3"/>
    <row r="283" ht="14.4" customHeight="1" x14ac:dyDescent="0.3"/>
    <row r="284" ht="14.4" customHeight="1" x14ac:dyDescent="0.3"/>
    <row r="285" ht="14.4" customHeight="1" x14ac:dyDescent="0.3"/>
    <row r="286" ht="14.4" customHeight="1" x14ac:dyDescent="0.3"/>
    <row r="287" ht="14.4" customHeight="1" x14ac:dyDescent="0.3"/>
    <row r="288" ht="14.4" customHeight="1" x14ac:dyDescent="0.3"/>
    <row r="289" ht="14.4" customHeight="1" x14ac:dyDescent="0.3"/>
    <row r="290" ht="14.4" customHeight="1" x14ac:dyDescent="0.3"/>
    <row r="291" ht="14.4" customHeight="1" x14ac:dyDescent="0.3"/>
    <row r="292" ht="14.4" customHeight="1" x14ac:dyDescent="0.3"/>
    <row r="293" ht="14.4" customHeight="1" x14ac:dyDescent="0.3"/>
    <row r="294" ht="14.4" customHeight="1" x14ac:dyDescent="0.3"/>
    <row r="295" ht="14.4" customHeight="1" x14ac:dyDescent="0.3"/>
    <row r="296" ht="14.4" customHeight="1" x14ac:dyDescent="0.3"/>
    <row r="297" ht="14.4" customHeight="1" x14ac:dyDescent="0.3"/>
    <row r="298" ht="14.4" customHeight="1" x14ac:dyDescent="0.3"/>
    <row r="299" ht="14.4" customHeight="1" x14ac:dyDescent="0.3"/>
    <row r="300" ht="14.4" customHeight="1" x14ac:dyDescent="0.3"/>
    <row r="301" ht="14.4" customHeight="1" x14ac:dyDescent="0.3"/>
    <row r="302" ht="14.4" customHeight="1" x14ac:dyDescent="0.3"/>
    <row r="303" ht="14.4" customHeight="1" x14ac:dyDescent="0.3"/>
    <row r="304" ht="14.4" customHeight="1" x14ac:dyDescent="0.3"/>
    <row r="305" ht="14.4" customHeight="1" x14ac:dyDescent="0.3"/>
    <row r="306" ht="14.4" customHeight="1" x14ac:dyDescent="0.3"/>
    <row r="307" ht="14.4" customHeight="1" x14ac:dyDescent="0.3"/>
    <row r="308" ht="14.4" customHeight="1" x14ac:dyDescent="0.3"/>
    <row r="309" ht="14.4" customHeight="1" x14ac:dyDescent="0.3"/>
    <row r="310" ht="14.4" customHeight="1" x14ac:dyDescent="0.3"/>
    <row r="311" ht="14.4" customHeight="1" x14ac:dyDescent="0.3"/>
    <row r="312" ht="14.4" customHeight="1" x14ac:dyDescent="0.3"/>
    <row r="313" ht="14.4" customHeight="1" x14ac:dyDescent="0.3"/>
    <row r="314" ht="14.4" customHeight="1" x14ac:dyDescent="0.3"/>
    <row r="315" ht="14.4" customHeight="1" x14ac:dyDescent="0.3"/>
    <row r="316" ht="14.4" customHeight="1" x14ac:dyDescent="0.3"/>
    <row r="317" ht="14.4" customHeight="1" x14ac:dyDescent="0.3"/>
    <row r="318" ht="14.4" customHeight="1" x14ac:dyDescent="0.3"/>
    <row r="319" ht="14.4" customHeight="1" x14ac:dyDescent="0.3"/>
    <row r="320" ht="14.4" customHeight="1" x14ac:dyDescent="0.3"/>
    <row r="321" ht="14.4" customHeight="1" x14ac:dyDescent="0.3"/>
    <row r="322" ht="14.4" customHeight="1" x14ac:dyDescent="0.3"/>
    <row r="323" ht="14.4" customHeight="1" x14ac:dyDescent="0.3"/>
    <row r="324" ht="14.4" customHeight="1" x14ac:dyDescent="0.3"/>
    <row r="325" ht="14.4" customHeight="1" x14ac:dyDescent="0.3"/>
    <row r="326" ht="14.4" customHeight="1" x14ac:dyDescent="0.3"/>
    <row r="327" ht="14.4" customHeight="1" x14ac:dyDescent="0.3"/>
    <row r="328" ht="14.4" customHeight="1" x14ac:dyDescent="0.3"/>
    <row r="329" ht="14.4" customHeight="1" x14ac:dyDescent="0.3"/>
    <row r="330" ht="14.4" customHeight="1" x14ac:dyDescent="0.3"/>
    <row r="331" ht="14.4" customHeight="1" x14ac:dyDescent="0.3"/>
    <row r="332" ht="14.4" customHeight="1" x14ac:dyDescent="0.3"/>
    <row r="333" ht="14.4" customHeight="1" x14ac:dyDescent="0.3"/>
    <row r="334" ht="14.4" customHeight="1" x14ac:dyDescent="0.3"/>
    <row r="335" ht="14.4" customHeight="1" x14ac:dyDescent="0.3"/>
    <row r="336" ht="14.4" customHeight="1" x14ac:dyDescent="0.3"/>
    <row r="337" ht="14.4" customHeight="1" x14ac:dyDescent="0.3"/>
    <row r="338" ht="14.4" customHeight="1" x14ac:dyDescent="0.3"/>
    <row r="339" ht="14.4" customHeight="1" x14ac:dyDescent="0.3"/>
    <row r="340" ht="14.4" customHeight="1" x14ac:dyDescent="0.3"/>
    <row r="341" ht="14.4" customHeight="1" x14ac:dyDescent="0.3"/>
    <row r="342" ht="14.4" customHeight="1" x14ac:dyDescent="0.3"/>
    <row r="343" ht="14.4" customHeight="1" x14ac:dyDescent="0.3"/>
    <row r="344" ht="14.4" customHeight="1" x14ac:dyDescent="0.3"/>
    <row r="345" ht="14.4" customHeight="1" x14ac:dyDescent="0.3"/>
    <row r="346" ht="14.4" customHeight="1" x14ac:dyDescent="0.3"/>
    <row r="347" ht="14.4" customHeight="1" x14ac:dyDescent="0.3"/>
    <row r="348" ht="14.4" customHeight="1" x14ac:dyDescent="0.3"/>
    <row r="349" ht="14.4" customHeight="1" x14ac:dyDescent="0.3"/>
    <row r="350" ht="14.4" customHeight="1" x14ac:dyDescent="0.3"/>
    <row r="351" ht="14.4" customHeight="1" x14ac:dyDescent="0.3"/>
    <row r="352" ht="14.4" customHeight="1" x14ac:dyDescent="0.3"/>
    <row r="353" ht="14.4" customHeight="1" x14ac:dyDescent="0.3"/>
    <row r="354" ht="14.4" customHeight="1" x14ac:dyDescent="0.3"/>
    <row r="355" ht="14.4" customHeight="1" x14ac:dyDescent="0.3"/>
    <row r="356" ht="14.4" customHeight="1" x14ac:dyDescent="0.3"/>
    <row r="357" ht="14.4" customHeight="1" x14ac:dyDescent="0.3"/>
    <row r="358" ht="14.4" customHeight="1" x14ac:dyDescent="0.3"/>
    <row r="359" ht="14.4" customHeight="1" x14ac:dyDescent="0.3"/>
    <row r="360" ht="14.4" customHeight="1" x14ac:dyDescent="0.3"/>
    <row r="361" ht="14.4" customHeight="1" x14ac:dyDescent="0.3"/>
    <row r="362" ht="14.4" customHeight="1" x14ac:dyDescent="0.3"/>
    <row r="363" ht="14.4" customHeight="1" x14ac:dyDescent="0.3"/>
    <row r="364" ht="14.4" customHeight="1" x14ac:dyDescent="0.3"/>
    <row r="365" ht="14.4" customHeight="1" x14ac:dyDescent="0.3"/>
    <row r="366" ht="14.4" customHeight="1" x14ac:dyDescent="0.3"/>
    <row r="367" ht="14.4" customHeight="1" x14ac:dyDescent="0.3"/>
    <row r="368" ht="14.4" customHeight="1" x14ac:dyDescent="0.3"/>
    <row r="369" ht="14.4" customHeight="1" x14ac:dyDescent="0.3"/>
    <row r="370" ht="14.4" customHeight="1" x14ac:dyDescent="0.3"/>
    <row r="371" ht="14.4" customHeight="1" x14ac:dyDescent="0.3"/>
    <row r="372" ht="14.4" customHeight="1" x14ac:dyDescent="0.3"/>
    <row r="373" ht="14.4" customHeight="1" x14ac:dyDescent="0.3"/>
    <row r="374" ht="14.4" customHeight="1" x14ac:dyDescent="0.3"/>
    <row r="375" ht="14.4" customHeight="1" x14ac:dyDescent="0.3"/>
    <row r="376" ht="14.4" customHeight="1" x14ac:dyDescent="0.3"/>
    <row r="377" ht="14.4" customHeight="1" x14ac:dyDescent="0.3"/>
    <row r="378" ht="14.4" customHeight="1" x14ac:dyDescent="0.3"/>
    <row r="379" ht="14.4" customHeight="1" x14ac:dyDescent="0.3"/>
    <row r="380" ht="14.4" customHeight="1" x14ac:dyDescent="0.3"/>
    <row r="381" ht="14.4" customHeight="1" x14ac:dyDescent="0.3"/>
    <row r="382" ht="14.4" customHeight="1" x14ac:dyDescent="0.3"/>
    <row r="383" ht="14.4" customHeight="1" x14ac:dyDescent="0.3"/>
    <row r="384" ht="14.4" customHeight="1" x14ac:dyDescent="0.3"/>
    <row r="385" ht="14.4" customHeight="1" x14ac:dyDescent="0.3"/>
    <row r="386" ht="14.4" customHeight="1" x14ac:dyDescent="0.3"/>
    <row r="387" ht="14.4" customHeight="1" x14ac:dyDescent="0.3"/>
    <row r="388" ht="14.4" customHeight="1" x14ac:dyDescent="0.3"/>
    <row r="389" ht="14.4" customHeight="1" x14ac:dyDescent="0.3"/>
    <row r="390" ht="14.4" customHeight="1" x14ac:dyDescent="0.3"/>
    <row r="391" ht="14.4" customHeight="1" x14ac:dyDescent="0.3"/>
    <row r="392" ht="14.4" customHeight="1" x14ac:dyDescent="0.3"/>
    <row r="393" ht="14.4" customHeight="1" x14ac:dyDescent="0.3"/>
    <row r="394" ht="14.4" customHeight="1" x14ac:dyDescent="0.3"/>
    <row r="395" ht="14.4" customHeight="1" x14ac:dyDescent="0.3"/>
    <row r="396" ht="14.4" customHeight="1" x14ac:dyDescent="0.3"/>
    <row r="397" ht="14.4" customHeight="1" x14ac:dyDescent="0.3"/>
    <row r="398" ht="14.4" customHeight="1" x14ac:dyDescent="0.3"/>
    <row r="399" ht="14.4" customHeight="1" x14ac:dyDescent="0.3"/>
    <row r="400" ht="14.4" customHeight="1" x14ac:dyDescent="0.3"/>
    <row r="401" ht="14.4" customHeight="1" x14ac:dyDescent="0.3"/>
    <row r="402" ht="14.4" customHeight="1" x14ac:dyDescent="0.3"/>
    <row r="403" ht="14.4" customHeight="1" x14ac:dyDescent="0.3"/>
    <row r="404" ht="14.4" customHeight="1" x14ac:dyDescent="0.3"/>
    <row r="405" ht="14.4" customHeight="1" x14ac:dyDescent="0.3"/>
    <row r="406" ht="14.4" customHeight="1" x14ac:dyDescent="0.3"/>
    <row r="407" ht="14.4" customHeight="1" x14ac:dyDescent="0.3"/>
    <row r="408" ht="14.4" customHeight="1" x14ac:dyDescent="0.3"/>
    <row r="409" ht="14.4" customHeight="1" x14ac:dyDescent="0.3"/>
    <row r="410" ht="14.4" customHeight="1" x14ac:dyDescent="0.3"/>
    <row r="411" ht="14.4" customHeight="1" x14ac:dyDescent="0.3"/>
    <row r="412" ht="14.4" customHeight="1" x14ac:dyDescent="0.3"/>
    <row r="413" ht="14.4" customHeight="1" x14ac:dyDescent="0.3"/>
    <row r="414" ht="14.4" customHeight="1" x14ac:dyDescent="0.3"/>
    <row r="415" ht="14.4" customHeight="1" x14ac:dyDescent="0.3"/>
    <row r="416" ht="14.4" customHeight="1" x14ac:dyDescent="0.3"/>
    <row r="417" ht="14.4" customHeight="1" x14ac:dyDescent="0.3"/>
    <row r="418" ht="14.4" customHeight="1" x14ac:dyDescent="0.3"/>
    <row r="419" ht="14.4" customHeight="1" x14ac:dyDescent="0.3"/>
    <row r="420" ht="14.4" customHeight="1" x14ac:dyDescent="0.3"/>
    <row r="421" ht="14.4" customHeight="1" x14ac:dyDescent="0.3"/>
    <row r="422" ht="14.4" customHeight="1" x14ac:dyDescent="0.3"/>
    <row r="423" ht="14.4" customHeight="1" x14ac:dyDescent="0.3"/>
    <row r="424" ht="14.4" customHeight="1" x14ac:dyDescent="0.3"/>
    <row r="425" ht="14.4" customHeight="1" x14ac:dyDescent="0.3"/>
    <row r="426" ht="14.4" customHeight="1" x14ac:dyDescent="0.3"/>
    <row r="427" ht="14.4" customHeight="1" x14ac:dyDescent="0.3"/>
    <row r="428" ht="14.4" customHeight="1" x14ac:dyDescent="0.3"/>
    <row r="429" ht="14.4" customHeight="1" x14ac:dyDescent="0.3"/>
    <row r="430" ht="14.4" customHeight="1" x14ac:dyDescent="0.3"/>
    <row r="431" ht="14.4" customHeight="1" x14ac:dyDescent="0.3"/>
    <row r="432" ht="14.4" customHeight="1" x14ac:dyDescent="0.3"/>
    <row r="433" ht="14.4" customHeight="1" x14ac:dyDescent="0.3"/>
    <row r="434" ht="14.4" customHeight="1" x14ac:dyDescent="0.3"/>
    <row r="435" ht="14.4" customHeight="1" x14ac:dyDescent="0.3"/>
    <row r="436" ht="14.4" customHeight="1" x14ac:dyDescent="0.3"/>
    <row r="437" ht="14.4" customHeight="1" x14ac:dyDescent="0.3"/>
    <row r="438" ht="14.4" customHeight="1" x14ac:dyDescent="0.3"/>
    <row r="439" ht="14.4" customHeight="1" x14ac:dyDescent="0.3"/>
    <row r="440" ht="14.4" customHeight="1" x14ac:dyDescent="0.3"/>
    <row r="441" ht="14.4" customHeight="1" x14ac:dyDescent="0.3"/>
    <row r="442" ht="14.4" customHeight="1" x14ac:dyDescent="0.3"/>
    <row r="443" ht="14.4" customHeight="1" x14ac:dyDescent="0.3"/>
    <row r="444" ht="14.4" customHeight="1" x14ac:dyDescent="0.3"/>
    <row r="445" ht="14.4" customHeight="1" x14ac:dyDescent="0.3"/>
    <row r="446" ht="14.4" customHeight="1" x14ac:dyDescent="0.3"/>
    <row r="447" ht="14.4" customHeight="1" x14ac:dyDescent="0.3"/>
    <row r="448" ht="14.4" customHeight="1" x14ac:dyDescent="0.3"/>
    <row r="449" ht="14.4" customHeight="1" x14ac:dyDescent="0.3"/>
    <row r="450" ht="14.4" customHeight="1" x14ac:dyDescent="0.3"/>
    <row r="451" ht="14.4" customHeight="1" x14ac:dyDescent="0.3"/>
    <row r="452" ht="14.4" customHeight="1" x14ac:dyDescent="0.3"/>
    <row r="453" ht="14.4" customHeight="1" x14ac:dyDescent="0.3"/>
    <row r="454" ht="14.4" customHeight="1" x14ac:dyDescent="0.3"/>
    <row r="455" ht="14.4" customHeight="1" x14ac:dyDescent="0.3"/>
    <row r="456" ht="14.4" customHeight="1" x14ac:dyDescent="0.3"/>
    <row r="457" ht="14.4" customHeight="1" x14ac:dyDescent="0.3"/>
    <row r="458" ht="14.4" customHeight="1" x14ac:dyDescent="0.3"/>
    <row r="459" ht="14.4" customHeight="1" x14ac:dyDescent="0.3"/>
    <row r="460" ht="14.4" customHeight="1" x14ac:dyDescent="0.3"/>
    <row r="461" ht="14.4" customHeight="1" x14ac:dyDescent="0.3"/>
    <row r="462" ht="14.4" customHeight="1" x14ac:dyDescent="0.3"/>
    <row r="463" ht="14.4" customHeight="1" x14ac:dyDescent="0.3"/>
    <row r="464" ht="14.4" customHeight="1" x14ac:dyDescent="0.3"/>
    <row r="465" ht="14.4" customHeight="1" x14ac:dyDescent="0.3"/>
    <row r="466" ht="14.4" customHeight="1" x14ac:dyDescent="0.3"/>
    <row r="467" ht="14.4" customHeight="1" x14ac:dyDescent="0.3"/>
    <row r="468" ht="14.4" customHeight="1" x14ac:dyDescent="0.3"/>
    <row r="469" ht="14.4" customHeight="1" x14ac:dyDescent="0.3"/>
    <row r="470" ht="14.4" customHeight="1" x14ac:dyDescent="0.3"/>
    <row r="471" ht="14.4" customHeight="1" x14ac:dyDescent="0.3"/>
    <row r="472" ht="14.4" customHeight="1" x14ac:dyDescent="0.3"/>
    <row r="473" ht="14.4" customHeight="1" x14ac:dyDescent="0.3"/>
    <row r="474" ht="14.4" customHeight="1" x14ac:dyDescent="0.3"/>
    <row r="475" ht="14.4" customHeight="1" x14ac:dyDescent="0.3"/>
    <row r="476" ht="14.4" customHeight="1" x14ac:dyDescent="0.3"/>
    <row r="477" ht="14.4" customHeight="1" x14ac:dyDescent="0.3"/>
    <row r="478" ht="14.4" customHeight="1" x14ac:dyDescent="0.3"/>
    <row r="479" ht="14.4" customHeight="1" x14ac:dyDescent="0.3"/>
    <row r="480" ht="14.4" customHeight="1" x14ac:dyDescent="0.3"/>
    <row r="481" ht="14.4" customHeight="1" x14ac:dyDescent="0.3"/>
    <row r="482" ht="14.4" customHeight="1" x14ac:dyDescent="0.3"/>
    <row r="483" ht="14.4" customHeight="1" x14ac:dyDescent="0.3"/>
    <row r="484" ht="14.4" customHeight="1" x14ac:dyDescent="0.3"/>
    <row r="485" ht="14.4" customHeight="1" x14ac:dyDescent="0.3"/>
    <row r="486" ht="14.4" customHeight="1" x14ac:dyDescent="0.3"/>
    <row r="487" ht="14.4" customHeight="1" x14ac:dyDescent="0.3"/>
    <row r="488" ht="14.4" customHeight="1" x14ac:dyDescent="0.3"/>
    <row r="489" ht="14.4" customHeight="1" x14ac:dyDescent="0.3"/>
    <row r="490" ht="14.4" customHeight="1" x14ac:dyDescent="0.3"/>
    <row r="491" ht="14.4" customHeight="1" x14ac:dyDescent="0.3"/>
    <row r="492" ht="14.4" customHeight="1" x14ac:dyDescent="0.3"/>
    <row r="493" ht="14.4" customHeight="1" x14ac:dyDescent="0.3"/>
    <row r="494" ht="14.4" customHeight="1" x14ac:dyDescent="0.3"/>
    <row r="495" ht="14.4" customHeight="1" x14ac:dyDescent="0.3"/>
    <row r="496" ht="14.4" customHeight="1" x14ac:dyDescent="0.3"/>
    <row r="497" ht="14.4" customHeight="1" x14ac:dyDescent="0.3"/>
    <row r="498" ht="14.4" customHeight="1" x14ac:dyDescent="0.3"/>
    <row r="499" ht="14.4" customHeight="1" x14ac:dyDescent="0.3"/>
    <row r="500" ht="14.4" customHeight="1" x14ac:dyDescent="0.3"/>
  </sheetData>
  <autoFilter ref="A1:AM213"/>
  <conditionalFormatting sqref="A2:N263">
    <cfRule type="expression" dxfId="2" priority="2">
      <formula>$N2="Problem"</formula>
    </cfRule>
    <cfRule type="expression" dxfId="1" priority="3">
      <formula>$N2="Feature"</formula>
    </cfRule>
  </conditionalFormatting>
  <hyperlinks>
    <hyperlink ref="A2" r:id="rId1" location="action=com.ibm.team.workitem.viewWorkItem&amp;id=1017680" display="https://gdccm01.gddsi.com:9443/ccm/web/projects/MUOS SAFe 4.0 Project - action=com.ibm.team.workitem.viewWorkItem&amp;id=1017680"/>
    <hyperlink ref="A3" r:id="rId2" location="action=com.ibm.team.workitem.viewWorkItem&amp;id=1015911" display="https://gdccm01.gddsi.com:9443/ccm/web/projects/MUOS SAFe 4.0 Project - action=com.ibm.team.workitem.viewWorkItem&amp;id=1015911"/>
    <hyperlink ref="A4" r:id="rId3" location="action=com.ibm.team.workitem.viewWorkItem&amp;id=1015858" display="https://gdccm01.gddsi.com:9443/ccm/web/projects/MUOS SAFe 4.0 Project - action=com.ibm.team.workitem.viewWorkItem&amp;id=1015858"/>
    <hyperlink ref="A5" r:id="rId4" location="action=com.ibm.team.workitem.viewWorkItem&amp;id=1015439" display="https://gdccm01.gddsi.com:9443/ccm/web/projects/MUOS SAFe 4.0 Project - action=com.ibm.team.workitem.viewWorkItem&amp;id=1015439"/>
    <hyperlink ref="A6" r:id="rId5" location="action=com.ibm.team.workitem.viewWorkItem&amp;id=1015153" display="https://gdccm01.gddsi.com:9443/ccm/web/projects/MUOS SAFe 4.0 Project - action=com.ibm.team.workitem.viewWorkItem&amp;id=1015153"/>
    <hyperlink ref="A7" r:id="rId6" location="action=com.ibm.team.workitem.viewWorkItem&amp;id=1015116" display="https://gdccm01.gddsi.com:9443/ccm/web/projects/MUOS SAFe 4.0 Project - action=com.ibm.team.workitem.viewWorkItem&amp;id=1015116"/>
    <hyperlink ref="A8" r:id="rId7" location="action=com.ibm.team.workitem.viewWorkItem&amp;id=1015005" display="https://gdccm01.gddsi.com:9443/ccm/web/projects/MUOS SAFe 4.0 Project - action=com.ibm.team.workitem.viewWorkItem&amp;id=1015005"/>
    <hyperlink ref="A9" r:id="rId8" location="action=com.ibm.team.workitem.viewWorkItem&amp;id=1014602" display="https://gdccm01.gddsi.com:9443/ccm/web/projects/MUOS SAFe 4.0 Project - action=com.ibm.team.workitem.viewWorkItem&amp;id=1014602"/>
    <hyperlink ref="A10" r:id="rId9" location="action=com.ibm.team.workitem.viewWorkItem&amp;id=1014598" display="https://gdccm01.gddsi.com:9443/ccm/web/projects/MUOS SAFe 4.0 Project - action=com.ibm.team.workitem.viewWorkItem&amp;id=1014598"/>
    <hyperlink ref="A11" r:id="rId10" location="action=com.ibm.team.workitem.viewWorkItem&amp;id=1014597" display="https://gdccm01.gddsi.com:9443/ccm/web/projects/MUOS SAFe 4.0 Project - action=com.ibm.team.workitem.viewWorkItem&amp;id=1014597"/>
    <hyperlink ref="A12" r:id="rId11" location="action=com.ibm.team.workitem.viewWorkItem&amp;id=1014596" display="https://gdccm01.gddsi.com:9443/ccm/web/projects/MUOS SAFe 4.0 Project - action=com.ibm.team.workitem.viewWorkItem&amp;id=1014596"/>
    <hyperlink ref="A13" r:id="rId12" location="action=com.ibm.team.workitem.viewWorkItem&amp;id=1014595" display="https://gdccm01.gddsi.com:9443/ccm/web/projects/MUOS SAFe 4.0 Project - action=com.ibm.team.workitem.viewWorkItem&amp;id=1014595"/>
    <hyperlink ref="A14" r:id="rId13" location="action=com.ibm.team.workitem.viewWorkItem&amp;id=1014491" display="https://gdccm01.gddsi.com:9443/ccm/web/projects/MUOS SAFe 4.0 Project - action=com.ibm.team.workitem.viewWorkItem&amp;id=1014491"/>
    <hyperlink ref="A15" r:id="rId14" location="action=com.ibm.team.workitem.viewWorkItem&amp;id=1014387" display="https://gdccm01.gddsi.com:9443/ccm/web/projects/MUOS SAFe 4.0 Project - action=com.ibm.team.workitem.viewWorkItem&amp;id=1014387"/>
    <hyperlink ref="A16" r:id="rId15" location="action=com.ibm.team.workitem.viewWorkItem&amp;id=1014360" display="https://gdccm01.gddsi.com:9443/ccm/web/projects/MUOS SAFe 4.0 Project - action=com.ibm.team.workitem.viewWorkItem&amp;id=1014360"/>
    <hyperlink ref="A17" r:id="rId16" location="action=com.ibm.team.workitem.viewWorkItem&amp;id=1014252" display="https://gdccm01.gddsi.com:9443/ccm/web/projects/MUOS SAFe 4.0 Project - action=com.ibm.team.workitem.viewWorkItem&amp;id=1014252"/>
    <hyperlink ref="A18" r:id="rId17" location="action=com.ibm.team.workitem.viewWorkItem&amp;id=1014023" display="https://gdccm01.gddsi.com:9443/ccm/web/projects/MUOS SAFe 4.0 Project - action=com.ibm.team.workitem.viewWorkItem&amp;id=1014023"/>
    <hyperlink ref="A19" r:id="rId18" location="action=com.ibm.team.workitem.viewWorkItem&amp;id=1013975" display="https://gdccm01.gddsi.com:9443/ccm/web/projects/MUOS SAFe 4.0 Project - action=com.ibm.team.workitem.viewWorkItem&amp;id=1013975"/>
    <hyperlink ref="A20" r:id="rId19" location="action=com.ibm.team.workitem.viewWorkItem&amp;id=1013750" display="https://gdccm01.gddsi.com:9443/ccm/web/projects/MUOS SAFe 4.0 Project - action=com.ibm.team.workitem.viewWorkItem&amp;id=1013750"/>
    <hyperlink ref="A21" r:id="rId20" location="action=com.ibm.team.workitem.viewWorkItem&amp;id=1013657" display="https://gdccm01.gddsi.com:9443/ccm/web/projects/MUOS SAFe 4.0 Project - action=com.ibm.team.workitem.viewWorkItem&amp;id=1013657"/>
    <hyperlink ref="A22" r:id="rId21" location="action=com.ibm.team.workitem.viewWorkItem&amp;id=1013534" display="https://gdccm01.gddsi.com:9443/ccm/web/projects/MUOS SAFe 4.0 Project - action=com.ibm.team.workitem.viewWorkItem&amp;id=1013534"/>
    <hyperlink ref="A23" r:id="rId22" location="action=com.ibm.team.workitem.viewWorkItem&amp;id=1013496" display="https://gdccm01.gddsi.com:9443/ccm/web/projects/MUOS SAFe 4.0 Project - action=com.ibm.team.workitem.viewWorkItem&amp;id=1013496"/>
    <hyperlink ref="A24" r:id="rId23" location="action=com.ibm.team.workitem.viewWorkItem&amp;id=1013452" display="https://gdccm01.gddsi.com:9443/ccm/web/projects/MUOS SAFe 4.0 Project - action=com.ibm.team.workitem.viewWorkItem&amp;id=1013452"/>
    <hyperlink ref="A25" r:id="rId24" location="action=com.ibm.team.workitem.viewWorkItem&amp;id=1013234" display="https://gdccm01.gddsi.com:9443/ccm/web/projects/MUOS SAFe 4.0 Project - action=com.ibm.team.workitem.viewWorkItem&amp;id=1013234"/>
    <hyperlink ref="A26" r:id="rId25" location="action=com.ibm.team.workitem.viewWorkItem&amp;id=1013136" display="https://gdccm01.gddsi.com:9443/ccm/web/projects/MUOS SAFe 4.0 Project - action=com.ibm.team.workitem.viewWorkItem&amp;id=1013136"/>
    <hyperlink ref="A27" r:id="rId26" location="action=com.ibm.team.workitem.viewWorkItem&amp;id=1013114" display="https://gdccm01.gddsi.com:9443/ccm/web/projects/MUOS SAFe 4.0 Project - action=com.ibm.team.workitem.viewWorkItem&amp;id=1013114"/>
    <hyperlink ref="A28" r:id="rId27" location="action=com.ibm.team.workitem.viewWorkItem&amp;id=1012996" display="https://gdccm01.gddsi.com:9443/ccm/web/projects/MUOS SAFe 4.0 Project - action=com.ibm.team.workitem.viewWorkItem&amp;id=1012996"/>
    <hyperlink ref="A29" r:id="rId28" location="action=com.ibm.team.workitem.viewWorkItem&amp;id=1012862" display="https://gdccm01.gddsi.com:9443/ccm/web/projects/MUOS SAFe 4.0 Project - action=com.ibm.team.workitem.viewWorkItem&amp;id=1012862"/>
    <hyperlink ref="A30" r:id="rId29" location="action=com.ibm.team.workitem.viewWorkItem&amp;id=1012748" display="https://gdccm01.gddsi.com:9443/ccm/web/projects/MUOS SAFe 4.0 Project - action=com.ibm.team.workitem.viewWorkItem&amp;id=1012748"/>
    <hyperlink ref="A31" r:id="rId30" location="action=com.ibm.team.workitem.viewWorkItem&amp;id=1012588" display="https://gdccm01.gddsi.com:9443/ccm/web/projects/MUOS SAFe 4.0 Project - action=com.ibm.team.workitem.viewWorkItem&amp;id=1012588"/>
    <hyperlink ref="A32" r:id="rId31" location="action=com.ibm.team.workitem.viewWorkItem&amp;id=1012570" display="https://gdccm01.gddsi.com:9443/ccm/web/projects/MUOS SAFe 4.0 Project - action=com.ibm.team.workitem.viewWorkItem&amp;id=1012570"/>
    <hyperlink ref="A33" r:id="rId32" location="action=com.ibm.team.workitem.viewWorkItem&amp;id=1012540" display="https://gdccm01.gddsi.com:9443/ccm/web/projects/MUOS SAFe 4.0 Project - action=com.ibm.team.workitem.viewWorkItem&amp;id=1012540"/>
    <hyperlink ref="A34" r:id="rId33" location="action=com.ibm.team.workitem.viewWorkItem&amp;id=1012485" display="https://gdccm01.gddsi.com:9443/ccm/web/projects/MUOS SAFe 4.0 Project - action=com.ibm.team.workitem.viewWorkItem&amp;id=1012485"/>
    <hyperlink ref="A35" r:id="rId34" location="action=com.ibm.team.workitem.viewWorkItem&amp;id=1011441" display="https://gdccm01.gddsi.com:9443/ccm/web/projects/MUOS SAFe 4.0 Project - action=com.ibm.team.workitem.viewWorkItem&amp;id=1011441"/>
    <hyperlink ref="A36" r:id="rId35" location="action=com.ibm.team.workitem.viewWorkItem&amp;id=1011419" display="https://gdccm01.gddsi.com:9443/ccm/web/projects/MUOS SAFe 4.0 Project - action=com.ibm.team.workitem.viewWorkItem&amp;id=1011419"/>
    <hyperlink ref="A37" r:id="rId36" location="action=com.ibm.team.workitem.viewWorkItem&amp;id=1011394" display="https://gdccm01.gddsi.com:9443/ccm/web/projects/MUOS SAFe 4.0 Project - action=com.ibm.team.workitem.viewWorkItem&amp;id=1011394"/>
    <hyperlink ref="A38" r:id="rId37" location="action=com.ibm.team.workitem.viewWorkItem&amp;id=1011372" display="https://gdccm01.gddsi.com:9443/ccm/web/projects/MUOS SAFe 4.0 Project - action=com.ibm.team.workitem.viewWorkItem&amp;id=1011372"/>
    <hyperlink ref="A39" r:id="rId38" location="action=com.ibm.team.workitem.viewWorkItem&amp;id=1011368" display="https://gdccm01.gddsi.com:9443/ccm/web/projects/MUOS SAFe 4.0 Project - action=com.ibm.team.workitem.viewWorkItem&amp;id=1011368"/>
    <hyperlink ref="A40" r:id="rId39" location="action=com.ibm.team.workitem.viewWorkItem&amp;id=1011295" display="https://gdccm01.gddsi.com:9443/ccm/web/projects/MUOS SAFe 4.0 Project - action=com.ibm.team.workitem.viewWorkItem&amp;id=1011295"/>
    <hyperlink ref="A41" r:id="rId40" location="action=com.ibm.team.workitem.viewWorkItem&amp;id=1011150" display="https://gdccm01.gddsi.com:9443/ccm/web/projects/MUOS SAFe 4.0 Project - action=com.ibm.team.workitem.viewWorkItem&amp;id=1011150"/>
    <hyperlink ref="A42" r:id="rId41" location="action=com.ibm.team.workitem.viewWorkItem&amp;id=1011129" display="https://gdccm01.gddsi.com:9443/ccm/web/projects/MUOS SAFe 4.0 Project - action=com.ibm.team.workitem.viewWorkItem&amp;id=1011129"/>
    <hyperlink ref="A43" r:id="rId42" location="action=com.ibm.team.workitem.viewWorkItem&amp;id=1011070" display="https://gdccm01.gddsi.com:9443/ccm/web/projects/MUOS SAFe 4.0 Project - action=com.ibm.team.workitem.viewWorkItem&amp;id=1011070"/>
    <hyperlink ref="A44" r:id="rId43" location="action=com.ibm.team.workitem.viewWorkItem&amp;id=1011001" display="https://gdccm01.gddsi.com:9443/ccm/web/projects/MUOS SAFe 4.0 Project - action=com.ibm.team.workitem.viewWorkItem&amp;id=1011001"/>
    <hyperlink ref="A45" r:id="rId44" location="action=com.ibm.team.workitem.viewWorkItem&amp;id=1010913" display="https://gdccm01.gddsi.com:9443/ccm/web/projects/MUOS SAFe 4.0 Project - action=com.ibm.team.workitem.viewWorkItem&amp;id=1010913"/>
    <hyperlink ref="A46" r:id="rId45" location="action=com.ibm.team.workitem.viewWorkItem&amp;id=1010907" display="https://gdccm01.gddsi.com:9443/ccm/web/projects/MUOS SAFe 4.0 Project - action=com.ibm.team.workitem.viewWorkItem&amp;id=1010907"/>
    <hyperlink ref="A47" r:id="rId46" location="action=com.ibm.team.workitem.viewWorkItem&amp;id=1010770" display="https://gdccm01.gddsi.com:9443/ccm/web/projects/MUOS SAFe 4.0 Project - action=com.ibm.team.workitem.viewWorkItem&amp;id=1010770"/>
    <hyperlink ref="A48" r:id="rId47" location="action=com.ibm.team.workitem.viewWorkItem&amp;id=1010653" display="https://gdccm01.gddsi.com:9443/ccm/web/projects/MUOS SAFe 4.0 Project - action=com.ibm.team.workitem.viewWorkItem&amp;id=1010653"/>
    <hyperlink ref="A49" r:id="rId48" location="action=com.ibm.team.workitem.viewWorkItem&amp;id=1010421" display="https://gdccm01.gddsi.com:9443/ccm/web/projects/MUOS SAFe 4.0 Project - action=com.ibm.team.workitem.viewWorkItem&amp;id=1010421"/>
    <hyperlink ref="A50" r:id="rId49" location="action=com.ibm.team.workitem.viewWorkItem&amp;id=1010043" display="https://gdccm01.gddsi.com:9443/ccm/web/projects/MUOS SAFe 4.0 Project - action=com.ibm.team.workitem.viewWorkItem&amp;id=1010043"/>
    <hyperlink ref="A51" r:id="rId50" location="action=com.ibm.team.workitem.viewWorkItem&amp;id=1010039" display="https://gdccm01.gddsi.com:9443/ccm/web/projects/MUOS SAFe 4.0 Project - action=com.ibm.team.workitem.viewWorkItem&amp;id=1010039"/>
    <hyperlink ref="A52" r:id="rId51" location="action=com.ibm.team.workitem.viewWorkItem&amp;id=1009580" display="https://gdccm01.gddsi.com:9443/ccm/web/projects/MUOS SAFe 4.0 Project - action=com.ibm.team.workitem.viewWorkItem&amp;id=1009580"/>
    <hyperlink ref="A53" r:id="rId52" location="action=com.ibm.team.workitem.viewWorkItem&amp;id=1009453" display="https://gdccm01.gddsi.com:9443/ccm/web/projects/MUOS SAFe 4.0 Project - action=com.ibm.team.workitem.viewWorkItem&amp;id=1009453"/>
    <hyperlink ref="A54" r:id="rId53" location="action=com.ibm.team.workitem.viewWorkItem&amp;id=1008620" display="https://gdccm01.gddsi.com:9443/ccm/web/projects/MUOS SAFe 4.0 Project - action=com.ibm.team.workitem.viewWorkItem&amp;id=1008620"/>
    <hyperlink ref="A55" r:id="rId54" location="action=com.ibm.team.workitem.viewWorkItem&amp;id=1008506" display="https://gdccm01.gddsi.com:9443/ccm/web/projects/MUOS SAFe 4.0 Project - action=com.ibm.team.workitem.viewWorkItem&amp;id=1008506"/>
    <hyperlink ref="A56" r:id="rId55" location="action=com.ibm.team.workitem.viewWorkItem&amp;id=1008274" display="https://gdccm01.gddsi.com:9443/ccm/web/projects/MUOS SAFe 4.0 Project - action=com.ibm.team.workitem.viewWorkItem&amp;id=1008274"/>
    <hyperlink ref="A57" r:id="rId56" location="action=com.ibm.team.workitem.viewWorkItem&amp;id=1007900" display="https://gdccm01.gddsi.com:9443/ccm/web/projects/MUOS SAFe 4.0 Project - action=com.ibm.team.workitem.viewWorkItem&amp;id=1007900"/>
    <hyperlink ref="A58" r:id="rId57" location="action=com.ibm.team.workitem.viewWorkItem&amp;id=1007541" display="https://gdccm01.gddsi.com:9443/ccm/web/projects/MUOS SAFe 4.0 Project - action=com.ibm.team.workitem.viewWorkItem&amp;id=1007541"/>
    <hyperlink ref="A59" r:id="rId58" location="action=com.ibm.team.workitem.viewWorkItem&amp;id=1007536" display="https://gdccm01.gddsi.com:9443/ccm/web/projects/MUOS SAFe 4.0 Project - action=com.ibm.team.workitem.viewWorkItem&amp;id=1007536"/>
    <hyperlink ref="A60" r:id="rId59" location="action=com.ibm.team.workitem.viewWorkItem&amp;id=1007246" display="https://gdccm01.gddsi.com:9443/ccm/web/projects/MUOS SAFe 4.0 Project - action=com.ibm.team.workitem.viewWorkItem&amp;id=1007246"/>
    <hyperlink ref="A61" r:id="rId60" location="action=com.ibm.team.workitem.viewWorkItem&amp;id=1006461" display="https://gdccm01.gddsi.com:9443/ccm/web/projects/MUOS SAFe 4.0 Project - action=com.ibm.team.workitem.viewWorkItem&amp;id=1006461"/>
    <hyperlink ref="A62" r:id="rId61" location="action=com.ibm.team.workitem.viewWorkItem&amp;id=1006376" display="https://gdccm01.gddsi.com:9443/ccm/web/projects/MUOS SAFe 4.0 Project - action=com.ibm.team.workitem.viewWorkItem&amp;id=1006376"/>
    <hyperlink ref="A63" r:id="rId62" location="action=com.ibm.team.workitem.viewWorkItem&amp;id=1006191" display="https://gdccm01.gddsi.com:9443/ccm/web/projects/MUOS SAFe 4.0 Project - action=com.ibm.team.workitem.viewWorkItem&amp;id=1006191"/>
    <hyperlink ref="A64" r:id="rId63" location="action=com.ibm.team.workitem.viewWorkItem&amp;id=1006103" display="https://gdccm01.gddsi.com:9443/ccm/web/projects/MUOS SAFe 4.0 Project - action=com.ibm.team.workitem.viewWorkItem&amp;id=1006103"/>
    <hyperlink ref="A65" r:id="rId64" location="action=com.ibm.team.workitem.viewWorkItem&amp;id=1005849" display="https://gdccm01.gddsi.com:9443/ccm/web/projects/MUOS SAFe 4.0 Project - action=com.ibm.team.workitem.viewWorkItem&amp;id=1005849"/>
    <hyperlink ref="A66" r:id="rId65" location="action=com.ibm.team.workitem.viewWorkItem&amp;id=1005649" display="https://gdccm01.gddsi.com:9443/ccm/web/projects/MUOS SAFe 4.0 Project - action=com.ibm.team.workitem.viewWorkItem&amp;id=1005649"/>
    <hyperlink ref="A67" r:id="rId66" location="action=com.ibm.team.workitem.viewWorkItem&amp;id=1005494" display="https://gdccm01.gddsi.com:9443/ccm/web/projects/MUOS SAFe 4.0 Project - action=com.ibm.team.workitem.viewWorkItem&amp;id=1005494"/>
    <hyperlink ref="A68" r:id="rId67" location="action=com.ibm.team.workitem.viewWorkItem&amp;id=1005403" display="https://gdccm01.gddsi.com:9443/ccm/web/projects/MUOS SAFe 4.0 Project - action=com.ibm.team.workitem.viewWorkItem&amp;id=1005403"/>
    <hyperlink ref="A69" r:id="rId68" location="action=com.ibm.team.workitem.viewWorkItem&amp;id=1005321" display="https://gdccm01.gddsi.com:9443/ccm/web/projects/MUOS SAFe 4.0 Project - action=com.ibm.team.workitem.viewWorkItem&amp;id=1005321"/>
    <hyperlink ref="A70" r:id="rId69" location="action=com.ibm.team.workitem.viewWorkItem&amp;id=1004171" display="https://gdccm01.gddsi.com:9443/ccm/web/projects/MUOS SAFe 4.0 Project - action=com.ibm.team.workitem.viewWorkItem&amp;id=1004171"/>
    <hyperlink ref="A71" r:id="rId70" location="action=com.ibm.team.workitem.viewWorkItem&amp;id=1003914" display="https://gdccm01.gddsi.com:9443/ccm/web/projects/MUOS SAFe 4.0 Project - action=com.ibm.team.workitem.viewWorkItem&amp;id=1003914"/>
    <hyperlink ref="A72" r:id="rId71" location="action=com.ibm.team.workitem.viewWorkItem&amp;id=1003393" display="https://gdccm01.gddsi.com:9443/ccm/web/projects/MUOS SAFe 4.0 Project - action=com.ibm.team.workitem.viewWorkItem&amp;id=1003393"/>
    <hyperlink ref="A73" r:id="rId72" location="action=com.ibm.team.workitem.viewWorkItem&amp;id=1002583" display="https://gdccm01.gddsi.com:9443/ccm/web/projects/MUOS SAFe 4.0 Project - action=com.ibm.team.workitem.viewWorkItem&amp;id=1002583"/>
    <hyperlink ref="A74" r:id="rId73" location="action=com.ibm.team.workitem.viewWorkItem&amp;id=1002477" display="https://gdccm01.gddsi.com:9443/ccm/web/projects/MUOS SAFe 4.0 Project - action=com.ibm.team.workitem.viewWorkItem&amp;id=1002477"/>
    <hyperlink ref="A75" r:id="rId74" location="action=com.ibm.team.workitem.viewWorkItem&amp;id=1002381" display="https://gdccm01.gddsi.com:9443/ccm/web/projects/MUOS SAFe 4.0 Project - action=com.ibm.team.workitem.viewWorkItem&amp;id=1002381"/>
    <hyperlink ref="A76" r:id="rId75" location="action=com.ibm.team.workitem.viewWorkItem&amp;id=1002345" display="https://gdccm01.gddsi.com:9443/ccm/web/projects/MUOS SAFe 4.0 Project - action=com.ibm.team.workitem.viewWorkItem&amp;id=1002345"/>
    <hyperlink ref="A77" r:id="rId76" location="action=com.ibm.team.workitem.viewWorkItem&amp;id=1001912" display="https://gdccm01.gddsi.com:9443/ccm/web/projects/MUOS SAFe 4.0 Project - action=com.ibm.team.workitem.viewWorkItem&amp;id=1001912"/>
    <hyperlink ref="A78" r:id="rId77" location="action=com.ibm.team.workitem.viewWorkItem&amp;id=1001826" display="https://gdccm01.gddsi.com:9443/ccm/web/projects/MUOS SAFe 4.0 Project - action=com.ibm.team.workitem.viewWorkItem&amp;id=1001826"/>
    <hyperlink ref="A79" r:id="rId78" location="action=com.ibm.team.workitem.viewWorkItem&amp;id=1001062" display="https://gdccm01.gddsi.com:9443/ccm/web/projects/MUOS SAFe 4.0 Project - action=com.ibm.team.workitem.viewWorkItem&amp;id=1001062"/>
    <hyperlink ref="A80" r:id="rId79" location="action=com.ibm.team.workitem.viewWorkItem&amp;id=396669" display="https://gdccm01.gddsi.com:9443/ccm/web/projects/MUOS SAFe 4.0 Project - action=com.ibm.team.workitem.viewWorkItem&amp;id=396669"/>
    <hyperlink ref="A81" r:id="rId80" location="action=com.ibm.team.workitem.viewWorkItem&amp;id=396508" display="https://gdccm01.gddsi.com:9443/ccm/web/projects/MUOS SAFe 4.0 Project - action=com.ibm.team.workitem.viewWorkItem&amp;id=396508"/>
    <hyperlink ref="A82" r:id="rId81" location="action=com.ibm.team.workitem.viewWorkItem&amp;id=396001" display="https://gdccm01.gddsi.com:9443/ccm/web/projects/MUOS SAFe 4.0 Project - action=com.ibm.team.workitem.viewWorkItem&amp;id=396001"/>
    <hyperlink ref="A83" r:id="rId82" location="action=com.ibm.team.workitem.viewWorkItem&amp;id=395897" display="https://gdccm01.gddsi.com:9443/ccm/web/projects/MUOS SAFe 4.0 Project - action=com.ibm.team.workitem.viewWorkItem&amp;id=395897"/>
    <hyperlink ref="A84" r:id="rId83" location="action=com.ibm.team.workitem.viewWorkItem&amp;id=395855" display="https://gdccm01.gddsi.com:9443/ccm/web/projects/MUOS SAFe 4.0 Project - action=com.ibm.team.workitem.viewWorkItem&amp;id=395855"/>
    <hyperlink ref="A85" r:id="rId84" location="action=com.ibm.team.workitem.viewWorkItem&amp;id=395853" display="https://gdccm01.gddsi.com:9443/ccm/web/projects/MUOS SAFe 4.0 Project - action=com.ibm.team.workitem.viewWorkItem&amp;id=395853"/>
    <hyperlink ref="A86" r:id="rId85" location="action=com.ibm.team.workitem.viewWorkItem&amp;id=395688" display="https://gdccm01.gddsi.com:9443/ccm/web/projects/MUOS SAFe 4.0 Project - action=com.ibm.team.workitem.viewWorkItem&amp;id=395688"/>
    <hyperlink ref="A87" r:id="rId86" location="action=com.ibm.team.workitem.viewWorkItem&amp;id=395370" display="https://gdccm01.gddsi.com:9443/ccm/web/projects/MUOS SAFe 4.0 Project - action=com.ibm.team.workitem.viewWorkItem&amp;id=395370"/>
    <hyperlink ref="A88" r:id="rId87" location="action=com.ibm.team.workitem.viewWorkItem&amp;id=395114" display="https://gdccm01.gddsi.com:9443/ccm/web/projects/MUOS SAFe 4.0 Project - action=com.ibm.team.workitem.viewWorkItem&amp;id=395114"/>
    <hyperlink ref="A89" r:id="rId88" location="action=com.ibm.team.workitem.viewWorkItem&amp;id=393265" display="https://gdccm01.gddsi.com:9443/ccm/web/projects/MUOS SAFe 4.0 Project - action=com.ibm.team.workitem.viewWorkItem&amp;id=393265"/>
    <hyperlink ref="A90" r:id="rId89" location="action=com.ibm.team.workitem.viewWorkItem&amp;id=392388" display="https://gdccm01.gddsi.com:9443/ccm/web/projects/MUOS SAFe 4.0 Project - action=com.ibm.team.workitem.viewWorkItem&amp;id=392388"/>
    <hyperlink ref="A91" r:id="rId90" location="action=com.ibm.team.workitem.viewWorkItem&amp;id=392058" display="https://gdccm01.gddsi.com:9443/ccm/web/projects/MUOS SAFe 4.0 Project - action=com.ibm.team.workitem.viewWorkItem&amp;id=392058"/>
    <hyperlink ref="A92" r:id="rId91" location="action=com.ibm.team.workitem.viewWorkItem&amp;id=390441" display="https://gdccm01.gddsi.com:9443/ccm/web/projects/MUOS SAFe 4.0 Project - action=com.ibm.team.workitem.viewWorkItem&amp;id=390441"/>
    <hyperlink ref="A93" r:id="rId92" location="action=com.ibm.team.workitem.viewWorkItem&amp;id=389715" display="https://gdccm01.gddsi.com:9443/ccm/web/projects/MUOS SAFe 4.0 Project - action=com.ibm.team.workitem.viewWorkItem&amp;id=389715"/>
    <hyperlink ref="A94" r:id="rId93" location="action=com.ibm.team.workitem.viewWorkItem&amp;id=389378" display="https://gdccm01.gddsi.com:9443/ccm/web/projects/MUOS SAFe 4.0 Project - action=com.ibm.team.workitem.viewWorkItem&amp;id=389378"/>
    <hyperlink ref="A95" r:id="rId94" location="action=com.ibm.team.workitem.viewWorkItem&amp;id=388053" display="https://gdccm01.gddsi.com:9443/ccm/web/projects/MUOS SAFe 4.0 Project - action=com.ibm.team.workitem.viewWorkItem&amp;id=388053"/>
    <hyperlink ref="A96" r:id="rId95" location="action=com.ibm.team.workitem.viewWorkItem&amp;id=387448" display="https://gdccm01.gddsi.com:9443/ccm/web/projects/MUOS SAFe 4.0 Project - action=com.ibm.team.workitem.viewWorkItem&amp;id=387448"/>
    <hyperlink ref="A97" r:id="rId96" location="action=com.ibm.team.workitem.viewWorkItem&amp;id=387446" display="https://gdccm01.gddsi.com:9443/ccm/web/projects/MUOS SAFe 4.0 Project - action=com.ibm.team.workitem.viewWorkItem&amp;id=387446"/>
    <hyperlink ref="A98" r:id="rId97" location="action=com.ibm.team.workitem.viewWorkItem&amp;id=387434" display="https://gdccm01.gddsi.com:9443/ccm/web/projects/MUOS SAFe 4.0 Project - action=com.ibm.team.workitem.viewWorkItem&amp;id=387434"/>
    <hyperlink ref="A99" r:id="rId98" location="action=com.ibm.team.workitem.viewWorkItem&amp;id=385632" display="https://gdccm01.gddsi.com:9443/ccm/web/projects/MUOS SAFe 4.0 Project - action=com.ibm.team.workitem.viewWorkItem&amp;id=385632"/>
    <hyperlink ref="A100" r:id="rId99" location="action=com.ibm.team.workitem.viewWorkItem&amp;id=385442" display="https://gdccm01.gddsi.com:9443/ccm/web/projects/MUOS SAFe 4.0 Project - action=com.ibm.team.workitem.viewWorkItem&amp;id=385442"/>
    <hyperlink ref="A101" r:id="rId100" location="action=com.ibm.team.workitem.viewWorkItem&amp;id=384084" display="https://gdccm01.gddsi.com:9443/ccm/web/projects/MUOS SAFe 4.0 Project - action=com.ibm.team.workitem.viewWorkItem&amp;id=384084"/>
    <hyperlink ref="A102" r:id="rId101" location="action=com.ibm.team.workitem.viewWorkItem&amp;id=383958" display="https://gdccm01.gddsi.com:9443/ccm/web/projects/MUOS SAFe 4.0 Project - action=com.ibm.team.workitem.viewWorkItem&amp;id=383958"/>
    <hyperlink ref="A103" r:id="rId102" location="action=com.ibm.team.workitem.viewWorkItem&amp;id=383208" display="https://gdccm01.gddsi.com:9443/ccm/web/projects/MUOS SAFe 4.0 Project - action=com.ibm.team.workitem.viewWorkItem&amp;id=383208"/>
    <hyperlink ref="A104" r:id="rId103" location="action=com.ibm.team.workitem.viewWorkItem&amp;id=383165" display="https://gdccm01.gddsi.com:9443/ccm/web/projects/MUOS SAFe 4.0 Project - action=com.ibm.team.workitem.viewWorkItem&amp;id=383165"/>
    <hyperlink ref="A105" r:id="rId104" location="action=com.ibm.team.workitem.viewWorkItem&amp;id=382251" display="https://gdccm01.gddsi.com:9443/ccm/web/projects/MUOS SAFe 4.0 Project - action=com.ibm.team.workitem.viewWorkItem&amp;id=382251"/>
    <hyperlink ref="A106" r:id="rId105" location="action=com.ibm.team.workitem.viewWorkItem&amp;id=382250" display="https://gdccm01.gddsi.com:9443/ccm/web/projects/MUOS SAFe 4.0 Project - action=com.ibm.team.workitem.viewWorkItem&amp;id=382250"/>
    <hyperlink ref="A107" r:id="rId106" location="action=com.ibm.team.workitem.viewWorkItem&amp;id=382248" display="https://gdccm01.gddsi.com:9443/ccm/web/projects/MUOS SAFe 4.0 Project - action=com.ibm.team.workitem.viewWorkItem&amp;id=382248"/>
    <hyperlink ref="A108" r:id="rId107" location="action=com.ibm.team.workitem.viewWorkItem&amp;id=381547" display="https://gdccm01.gddsi.com:9443/ccm/web/projects/MUOS SAFe 4.0 Project - action=com.ibm.team.workitem.viewWorkItem&amp;id=381547"/>
    <hyperlink ref="A109" r:id="rId108" location="action=com.ibm.team.workitem.viewWorkItem&amp;id=381524" display="https://gdccm01.gddsi.com:9443/ccm/web/projects/MUOS SAFe 4.0 Project - action=com.ibm.team.workitem.viewWorkItem&amp;id=381524"/>
    <hyperlink ref="A110" r:id="rId109" location="action=com.ibm.team.workitem.viewWorkItem&amp;id=380808" display="https://gdccm01.gddsi.com:9443/ccm/web/projects/MUOS SAFe 4.0 Project - action=com.ibm.team.workitem.viewWorkItem&amp;id=380808"/>
    <hyperlink ref="A111" r:id="rId110" location="action=com.ibm.team.workitem.viewWorkItem&amp;id=377437" display="https://gdccm01.gddsi.com:9443/ccm/web/projects/MUOS SAFe 4.0 Project - action=com.ibm.team.workitem.viewWorkItem&amp;id=377437"/>
    <hyperlink ref="A112" r:id="rId111" location="action=com.ibm.team.workitem.viewWorkItem&amp;id=376446" display="https://gdccm01.gddsi.com:9443/ccm/web/projects/MUOS SAFe 4.0 Project - action=com.ibm.team.workitem.viewWorkItem&amp;id=376446"/>
    <hyperlink ref="A113" r:id="rId112" location="action=com.ibm.team.workitem.viewWorkItem&amp;id=375566" display="https://gdccm01.gddsi.com:9443/ccm/web/projects/MUOS SAFe 4.0 Project - action=com.ibm.team.workitem.viewWorkItem&amp;id=375566"/>
    <hyperlink ref="A114" r:id="rId113" location="action=com.ibm.team.workitem.viewWorkItem&amp;id=375419" display="https://gdccm01.gddsi.com:9443/ccm/web/projects/MUOS SAFe 4.0 Project - action=com.ibm.team.workitem.viewWorkItem&amp;id=375419"/>
    <hyperlink ref="A115" r:id="rId114" location="action=com.ibm.team.workitem.viewWorkItem&amp;id=372921" display="https://gdccm01.gddsi.com:9443/ccm/web/projects/MUOS SAFe 4.0 Project - action=com.ibm.team.workitem.viewWorkItem&amp;id=372921"/>
    <hyperlink ref="A116" r:id="rId115" location="action=com.ibm.team.workitem.viewWorkItem&amp;id=364595" display="https://gdccm01.gddsi.com:9443/ccm/web/projects/MUOS SAFe 4.0 Project - action=com.ibm.team.workitem.viewWorkItem&amp;id=364595"/>
    <hyperlink ref="A117" r:id="rId116" location="action=com.ibm.team.workitem.viewWorkItem&amp;id=360294" display="https://gdccm01.gddsi.com:9443/ccm/web/projects/MUOS SAFe 4.0 Project - action=com.ibm.team.workitem.viewWorkItem&amp;id=360294"/>
    <hyperlink ref="A118" r:id="rId117" location="action=com.ibm.team.workitem.viewWorkItem&amp;id=360293" display="https://gdccm01.gddsi.com:9443/ccm/web/projects/MUOS SAFe 4.0 Project - action=com.ibm.team.workitem.viewWorkItem&amp;id=360293"/>
    <hyperlink ref="A119" r:id="rId118" location="action=com.ibm.team.workitem.viewWorkItem&amp;id=360292" display="https://gdccm01.gddsi.com:9443/ccm/web/projects/MUOS SAFe 4.0 Project - action=com.ibm.team.workitem.viewWorkItem&amp;id=360292"/>
    <hyperlink ref="A120" r:id="rId119" location="action=com.ibm.team.workitem.viewWorkItem&amp;id=360286" display="https://gdccm01.gddsi.com:9443/ccm/web/projects/MUOS SAFe 4.0 Project - action=com.ibm.team.workitem.viewWorkItem&amp;id=360286"/>
    <hyperlink ref="A121" r:id="rId120" location="action=com.ibm.team.workitem.viewWorkItem&amp;id=360283" display="https://gdccm01.gddsi.com:9443/ccm/web/projects/MUOS SAFe 4.0 Project - action=com.ibm.team.workitem.viewWorkItem&amp;id=360283"/>
    <hyperlink ref="A122" r:id="rId121" location="action=com.ibm.team.workitem.viewWorkItem&amp;id=360281" display="https://gdccm01.gddsi.com:9443/ccm/web/projects/MUOS SAFe 4.0 Project - action=com.ibm.team.workitem.viewWorkItem&amp;id=360281"/>
    <hyperlink ref="A123" r:id="rId122" location="action=com.ibm.team.workitem.viewWorkItem&amp;id=360275" display="https://gdccm01.gddsi.com:9443/ccm/web/projects/MUOS SAFe 4.0 Project - action=com.ibm.team.workitem.viewWorkItem&amp;id=360275"/>
    <hyperlink ref="A124" r:id="rId123" location="action=com.ibm.team.workitem.viewWorkItem&amp;id=360271" display="https://gdccm01.gddsi.com:9443/ccm/web/projects/MUOS SAFe 4.0 Project - action=com.ibm.team.workitem.viewWorkItem&amp;id=360271"/>
    <hyperlink ref="A125" r:id="rId124" location="action=com.ibm.team.workitem.viewWorkItem&amp;id=360268" display="https://gdccm01.gddsi.com:9443/ccm/web/projects/MUOS SAFe 4.0 Project - action=com.ibm.team.workitem.viewWorkItem&amp;id=360268"/>
    <hyperlink ref="A126" r:id="rId125" location="action=com.ibm.team.workitem.viewWorkItem&amp;id=359338" display="https://gdccm01.gddsi.com:9443/ccm/web/projects/MUOS SAFe 4.0 Project - action=com.ibm.team.workitem.viewWorkItem&amp;id=359338"/>
    <hyperlink ref="A127" r:id="rId126" location="action=com.ibm.team.workitem.viewWorkItem&amp;id=358656" display="https://gdccm01.gddsi.com:9443/ccm/web/projects/MUOS SAFe 4.0 Project - action=com.ibm.team.workitem.viewWorkItem&amp;id=358656"/>
    <hyperlink ref="A128" r:id="rId127" location="action=com.ibm.team.workitem.viewWorkItem&amp;id=357946" display="https://gdccm01.gddsi.com:9443/ccm/web/projects/MUOS SAFe 4.0 Project - action=com.ibm.team.workitem.viewWorkItem&amp;id=357946"/>
    <hyperlink ref="A129" r:id="rId128" location="action=com.ibm.team.workitem.viewWorkItem&amp;id=354871" display="https://gdccm01.gddsi.com:9443/ccm/web/projects/MUOS SAFe 4.0 Project - action=com.ibm.team.workitem.viewWorkItem&amp;id=354871"/>
    <hyperlink ref="A130" r:id="rId129" location="action=com.ibm.team.workitem.viewWorkItem&amp;id=353654" display="https://gdccm01.gddsi.com:9443/ccm/web/projects/MUOS SAFe 4.0 Project - action=com.ibm.team.workitem.viewWorkItem&amp;id=353654"/>
    <hyperlink ref="A131" r:id="rId130" location="action=com.ibm.team.workitem.viewWorkItem&amp;id=353134" display="https://gdccm01.gddsi.com:9443/ccm/web/projects/MUOS SAFe 4.0 Project - action=com.ibm.team.workitem.viewWorkItem&amp;id=353134"/>
    <hyperlink ref="A132" r:id="rId131" location="action=com.ibm.team.workitem.viewWorkItem&amp;id=352636" display="https://gdccm01.gddsi.com:9443/ccm/web/projects/MUOS SAFe 4.0 Project - action=com.ibm.team.workitem.viewWorkItem&amp;id=352636"/>
    <hyperlink ref="A133" r:id="rId132" location="action=com.ibm.team.workitem.viewWorkItem&amp;id=352634" display="https://gdccm01.gddsi.com:9443/ccm/web/projects/MUOS SAFe 4.0 Project - action=com.ibm.team.workitem.viewWorkItem&amp;id=352634"/>
    <hyperlink ref="A134" r:id="rId133" location="action=com.ibm.team.workitem.viewWorkItem&amp;id=352633" display="https://gdccm01.gddsi.com:9443/ccm/web/projects/MUOS SAFe 4.0 Project - action=com.ibm.team.workitem.viewWorkItem&amp;id=352633"/>
    <hyperlink ref="A135" r:id="rId134" location="action=com.ibm.team.workitem.viewWorkItem&amp;id=352632" display="https://gdccm01.gddsi.com:9443/ccm/web/projects/MUOS SAFe 4.0 Project - action=com.ibm.team.workitem.viewWorkItem&amp;id=352632"/>
    <hyperlink ref="A136" r:id="rId135" location="action=com.ibm.team.workitem.viewWorkItem&amp;id=352631" display="https://gdccm01.gddsi.com:9443/ccm/web/projects/MUOS SAFe 4.0 Project - action=com.ibm.team.workitem.viewWorkItem&amp;id=352631"/>
    <hyperlink ref="A137" r:id="rId136" location="action=com.ibm.team.workitem.viewWorkItem&amp;id=352630" display="https://gdccm01.gddsi.com:9443/ccm/web/projects/MUOS SAFe 4.0 Project - action=com.ibm.team.workitem.viewWorkItem&amp;id=352630"/>
    <hyperlink ref="A138" r:id="rId137" location="action=com.ibm.team.workitem.viewWorkItem&amp;id=351572" display="https://gdccm01.gddsi.com:9443/ccm/web/projects/MUOS SAFe 4.0 Project - action=com.ibm.team.workitem.viewWorkItem&amp;id=351572"/>
    <hyperlink ref="A139" r:id="rId138" location="action=com.ibm.team.workitem.viewWorkItem&amp;id=345796" display="https://gdccm01.gddsi.com:9443/ccm/web/projects/MUOS SAFe 4.0 Project - action=com.ibm.team.workitem.viewWorkItem&amp;id=345796"/>
    <hyperlink ref="A140" r:id="rId139" location="action=com.ibm.team.workitem.viewWorkItem&amp;id=345779" display="https://gdccm01.gddsi.com:9443/ccm/web/projects/MUOS SAFe 4.0 Project - action=com.ibm.team.workitem.viewWorkItem&amp;id=345779"/>
    <hyperlink ref="A141" r:id="rId140" location="action=com.ibm.team.workitem.viewWorkItem&amp;id=345687" display="https://gdccm01.gddsi.com:9443/ccm/web/projects/MUOS SAFe 4.0 Project - action=com.ibm.team.workitem.viewWorkItem&amp;id=345687"/>
    <hyperlink ref="A142" r:id="rId141" location="action=com.ibm.team.workitem.viewWorkItem&amp;id=345678" display="https://gdccm01.gddsi.com:9443/ccm/web/projects/MUOS SAFe 4.0 Project - action=com.ibm.team.workitem.viewWorkItem&amp;id=345678"/>
    <hyperlink ref="A143" r:id="rId142" location="action=com.ibm.team.workitem.viewWorkItem&amp;id=345641" display="https://gdccm01.gddsi.com:9443/ccm/web/projects/MUOS SAFe 4.0 Project - action=com.ibm.team.workitem.viewWorkItem&amp;id=345641"/>
    <hyperlink ref="A144" r:id="rId143" location="action=com.ibm.team.workitem.viewWorkItem&amp;id=342163" display="https://gdccm01.gddsi.com:9443/ccm/web/projects/MUOS SAFe 4.0 Project - action=com.ibm.team.workitem.viewWorkItem&amp;id=342163"/>
    <hyperlink ref="A145" r:id="rId144" location="action=com.ibm.team.workitem.viewWorkItem&amp;id=342054" display="https://gdccm01.gddsi.com:9443/ccm/web/projects/MUOS SAFe 4.0 Project - action=com.ibm.team.workitem.viewWorkItem&amp;id=342054"/>
    <hyperlink ref="A146" r:id="rId145" location="action=com.ibm.team.workitem.viewWorkItem&amp;id=340486" display="https://gdccm01.gddsi.com:9443/ccm/web/projects/MUOS SAFe 4.0 Project - action=com.ibm.team.workitem.viewWorkItem&amp;id=340486"/>
    <hyperlink ref="A147" r:id="rId146" location="action=com.ibm.team.workitem.viewWorkItem&amp;id=339321" display="https://gdccm01.gddsi.com:9443/ccm/web/projects/MUOS SAFe 4.0 Project - action=com.ibm.team.workitem.viewWorkItem&amp;id=339321"/>
    <hyperlink ref="A148" r:id="rId147" location="action=com.ibm.team.workitem.viewWorkItem&amp;id=336239" display="https://gdccm01.gddsi.com:9443/ccm/web/projects/MUOS SAFe 4.0 Project - action=com.ibm.team.workitem.viewWorkItem&amp;id=336239"/>
    <hyperlink ref="A149" r:id="rId148" location="action=com.ibm.team.workitem.viewWorkItem&amp;id=332951" display="https://gdccm01.gddsi.com:9443/ccm/web/projects/MUOS SAFe 4.0 Project - action=com.ibm.team.workitem.viewWorkItem&amp;id=332951"/>
    <hyperlink ref="A150" r:id="rId149" location="action=com.ibm.team.workitem.viewWorkItem&amp;id=332281" display="https://gdccm01.gddsi.com:9443/ccm/web/projects/MUOS SAFe 4.0 Project - action=com.ibm.team.workitem.viewWorkItem&amp;id=332281"/>
    <hyperlink ref="A151" r:id="rId150" location="action=com.ibm.team.workitem.viewWorkItem&amp;id=332002" display="https://gdccm01.gddsi.com:9443/ccm/web/projects/MUOS SAFe 4.0 Project - action=com.ibm.team.workitem.viewWorkItem&amp;id=332002"/>
    <hyperlink ref="A152" r:id="rId151" location="action=com.ibm.team.workitem.viewWorkItem&amp;id=329772" display="https://gdccm01.gddsi.com:9443/ccm/web/projects/MUOS SAFe 4.0 Project - action=com.ibm.team.workitem.viewWorkItem&amp;id=329772"/>
    <hyperlink ref="A153" r:id="rId152" location="action=com.ibm.team.workitem.viewWorkItem&amp;id=329686" display="https://gdccm01.gddsi.com:9443/ccm/web/projects/MUOS SAFe 4.0 Project - action=com.ibm.team.workitem.viewWorkItem&amp;id=329686"/>
    <hyperlink ref="A154" r:id="rId153" location="action=com.ibm.team.workitem.viewWorkItem&amp;id=329683" display="https://gdccm01.gddsi.com:9443/ccm/web/projects/MUOS SAFe 4.0 Project - action=com.ibm.team.workitem.viewWorkItem&amp;id=329683"/>
    <hyperlink ref="A155" r:id="rId154" location="action=com.ibm.team.workitem.viewWorkItem&amp;id=321745" display="https://gdccm01.gddsi.com:9443/ccm/web/projects/MUOS SAFe 4.0 Project - action=com.ibm.team.workitem.viewWorkItem&amp;id=321745"/>
    <hyperlink ref="A156" r:id="rId155" location="action=com.ibm.team.workitem.viewWorkItem&amp;id=321724" display="https://gdccm01.gddsi.com:9443/ccm/web/projects/MUOS SAFe 4.0 Project - action=com.ibm.team.workitem.viewWorkItem&amp;id=321724"/>
    <hyperlink ref="A157" r:id="rId156" location="action=com.ibm.team.workitem.viewWorkItem&amp;id=304956" display="https://gdccm01.gddsi.com:9443/ccm/web/projects/MUOS SAFe 4.0 Project - action=com.ibm.team.workitem.viewWorkItem&amp;id=304956"/>
    <hyperlink ref="A158" r:id="rId157" location="action=com.ibm.team.workitem.viewWorkItem&amp;id=297335" display="https://gdccm01.gddsi.com:9443/ccm/web/projects/MUOS SAFe 4.0 Project - action=com.ibm.team.workitem.viewWorkItem&amp;id=297335"/>
    <hyperlink ref="A159" r:id="rId158" location="action=com.ibm.team.workitem.viewWorkItem&amp;id=293371" display="https://gdccm01.gddsi.com:9443/ccm/web/projects/MUOS SAFe 4.0 Project - action=com.ibm.team.workitem.viewWorkItem&amp;id=293371"/>
  </hyperlinks>
  <pageMargins left="0.7" right="0.7" top="0.75" bottom="0.75" header="0.3" footer="0.3"/>
  <drawing r:id="rId159"/>
  <legacyDrawing r:id="rId160"/>
  <mc:AlternateContent xmlns:mc="http://schemas.openxmlformats.org/markup-compatibility/2006">
    <mc:Choice Requires="x14">
      <controls>
        <mc:AlternateContent xmlns:mc="http://schemas.openxmlformats.org/markup-compatibility/2006">
          <mc:Choice Requires="x14">
            <control shapeId="10241" r:id="rId161" name="Button 1">
              <controlPr defaultSize="0" print="0" autoFill="0" autoPict="0" macro="[0]!ShowAll.Show_all">
                <anchor moveWithCells="1" sizeWithCells="1">
                  <from>
                    <xdr:col>0</xdr:col>
                    <xdr:colOff>60960</xdr:colOff>
                    <xdr:row>0</xdr:row>
                    <xdr:rowOff>350520</xdr:rowOff>
                  </from>
                  <to>
                    <xdr:col>0</xdr:col>
                    <xdr:colOff>640080</xdr:colOff>
                    <xdr:row>0</xdr:row>
                    <xdr:rowOff>990600</xdr:rowOff>
                  </to>
                </anchor>
              </controlPr>
            </control>
          </mc:Choice>
        </mc:AlternateContent>
        <mc:AlternateContent xmlns:mc="http://schemas.openxmlformats.org/markup-compatibility/2006">
          <mc:Choice Requires="x14">
            <control shapeId="10242" r:id="rId162" name="Button 2">
              <controlPr defaultSize="0" print="0" autoFill="0" autoPict="0" macro="[0]!Return_To_List">
                <anchor moveWithCells="1" sizeWithCells="1">
                  <from>
                    <xdr:col>2</xdr:col>
                    <xdr:colOff>198120</xdr:colOff>
                    <xdr:row>0</xdr:row>
                    <xdr:rowOff>350520</xdr:rowOff>
                  </from>
                  <to>
                    <xdr:col>2</xdr:col>
                    <xdr:colOff>1668780</xdr:colOff>
                    <xdr:row>0</xdr:row>
                    <xdr:rowOff>723900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O683"/>
  <sheetViews>
    <sheetView zoomScale="80" zoomScaleNormal="80" workbookViewId="0">
      <pane ySplit="2" topLeftCell="A3" activePane="bottomLeft" state="frozen"/>
      <selection pane="bottomLeft"/>
    </sheetView>
  </sheetViews>
  <sheetFormatPr defaultRowHeight="14.4" x14ac:dyDescent="0.3"/>
  <cols>
    <col min="1" max="1" width="11" style="95" customWidth="1"/>
    <col min="2" max="2" width="8" style="95" customWidth="1"/>
    <col min="3" max="3" width="8.88671875" style="95"/>
    <col min="4" max="4" width="22.109375" style="95" customWidth="1"/>
    <col min="5" max="5" width="23.6640625" style="95" customWidth="1"/>
    <col min="6" max="6" width="6" style="95" customWidth="1"/>
    <col min="7" max="7" width="9.44140625" style="95" customWidth="1"/>
    <col min="8" max="8" width="23.109375" style="95" customWidth="1"/>
    <col min="9" max="11" width="5.5546875" style="95" customWidth="1"/>
    <col min="12" max="12" width="12.33203125" style="95" customWidth="1"/>
    <col min="13" max="13" width="4.44140625" style="161" customWidth="1"/>
    <col min="14" max="14" width="8.88671875" customWidth="1"/>
    <col min="15" max="18" width="9.109375" customWidth="1"/>
  </cols>
  <sheetData>
    <row r="1" spans="1:15" s="197" customFormat="1" ht="39" customHeight="1" thickBot="1" x14ac:dyDescent="0.35">
      <c r="A1" s="193" t="s">
        <v>1447</v>
      </c>
      <c r="B1" s="194"/>
      <c r="C1" s="195"/>
      <c r="D1" s="195"/>
      <c r="E1" s="196"/>
      <c r="M1" s="198"/>
    </row>
    <row r="2" spans="1:15" ht="14.4" customHeight="1" x14ac:dyDescent="0.3">
      <c r="A2" s="169" t="s">
        <v>179</v>
      </c>
      <c r="B2" s="116" t="s">
        <v>0</v>
      </c>
      <c r="C2" s="116" t="s">
        <v>1</v>
      </c>
      <c r="D2" s="116" t="s">
        <v>3</v>
      </c>
      <c r="E2" s="116" t="s">
        <v>4</v>
      </c>
      <c r="F2" s="116" t="s">
        <v>178</v>
      </c>
      <c r="G2" s="116" t="s">
        <v>6</v>
      </c>
      <c r="H2" s="186" t="s">
        <v>175</v>
      </c>
      <c r="I2" s="116" t="s">
        <v>7</v>
      </c>
      <c r="J2" s="116" t="s">
        <v>1427</v>
      </c>
      <c r="K2" s="116" t="s">
        <v>1428</v>
      </c>
      <c r="L2" s="116" t="s">
        <v>8</v>
      </c>
    </row>
    <row r="3" spans="1:15" ht="14.4" customHeight="1" x14ac:dyDescent="0.3">
      <c r="A3" s="163" t="str">
        <f>IF(ISERROR(MATCH($H3,EAD_CIs!D:D,0)),"NO",
    IF(VLOOKUP($H3,EAD_CIs!D:N,MATCH("Status",EAD_CIs!D$2:N$2,0),0)="Done","No",VLOOKUP($H3,EAD_CIs!D:N,MATCH("Related",EAD_CIs!D$2:N$2,0),0) ))</f>
        <v>#1003390
#1014169</v>
      </c>
      <c r="B3" s="203">
        <v>1016898</v>
      </c>
      <c r="C3" s="34" t="s">
        <v>2326</v>
      </c>
      <c r="D3" s="34" t="s">
        <v>36</v>
      </c>
      <c r="E3" s="34" t="s">
        <v>168</v>
      </c>
      <c r="F3" s="34" t="s">
        <v>2318</v>
      </c>
      <c r="G3" s="34" t="s">
        <v>104</v>
      </c>
      <c r="H3" s="34" t="s">
        <v>206</v>
      </c>
      <c r="I3" s="34" t="s">
        <v>36</v>
      </c>
      <c r="J3" s="34" t="s">
        <v>1429</v>
      </c>
      <c r="K3" s="34" t="s">
        <v>1421</v>
      </c>
      <c r="L3" s="34" t="s">
        <v>554</v>
      </c>
      <c r="N3" s="95"/>
    </row>
    <row r="4" spans="1:15" ht="14.4" customHeight="1" x14ac:dyDescent="0.3">
      <c r="A4" s="163" t="str">
        <f>IF(ISERROR(MATCH($H4,EAD_CIs!D:D,0)),"NO",
    IF(VLOOKUP($H4,EAD_CIs!D:N,MATCH("Status",EAD_CIs!D$2:N$2,0),0)="Done","No",VLOOKUP($H4,EAD_CIs!D:N,MATCH("Related",EAD_CIs!D$2:N$2,0),0) ))</f>
        <v>#1003390
#1014169</v>
      </c>
      <c r="B4" s="203">
        <v>1016467</v>
      </c>
      <c r="C4" s="34" t="s">
        <v>2317</v>
      </c>
      <c r="D4" s="34" t="s">
        <v>36</v>
      </c>
      <c r="E4" s="34" t="s">
        <v>165</v>
      </c>
      <c r="F4" s="34" t="s">
        <v>2318</v>
      </c>
      <c r="G4" s="34" t="s">
        <v>595</v>
      </c>
      <c r="H4" s="34" t="s">
        <v>206</v>
      </c>
      <c r="I4" s="34" t="s">
        <v>36</v>
      </c>
      <c r="J4" s="34" t="s">
        <v>104</v>
      </c>
      <c r="K4" s="34" t="s">
        <v>1421</v>
      </c>
      <c r="L4" s="34" t="s">
        <v>554</v>
      </c>
      <c r="N4" s="95"/>
      <c r="O4" s="95"/>
    </row>
    <row r="5" spans="1:15" ht="14.4" customHeight="1" x14ac:dyDescent="0.3">
      <c r="A5" s="163" t="str">
        <f>IF(ISERROR(MATCH($H5,EAD_CIs!D:D,0)),"NO",
    IF(VLOOKUP($H5,EAD_CIs!D:N,MATCH("Status",EAD_CIs!D$2:N$2,0),0)="Done","No",VLOOKUP($H5,EAD_CIs!D:N,MATCH("Related",EAD_CIs!D$2:N$2,0),0) ))</f>
        <v>#393391</v>
      </c>
      <c r="B5" s="203">
        <v>1015621</v>
      </c>
      <c r="C5" s="34" t="s">
        <v>2270</v>
      </c>
      <c r="D5" s="34" t="s">
        <v>167</v>
      </c>
      <c r="E5" s="34" t="s">
        <v>2254</v>
      </c>
      <c r="F5" s="34" t="s">
        <v>242</v>
      </c>
      <c r="G5" s="34" t="s">
        <v>164</v>
      </c>
      <c r="H5" s="34" t="s">
        <v>571</v>
      </c>
      <c r="I5" s="34" t="s">
        <v>36</v>
      </c>
      <c r="J5" s="34" t="s">
        <v>1429</v>
      </c>
      <c r="K5" s="34" t="s">
        <v>1434</v>
      </c>
      <c r="L5" s="34" t="s">
        <v>17</v>
      </c>
      <c r="N5" s="95"/>
      <c r="O5" s="95"/>
    </row>
    <row r="6" spans="1:15" ht="14.4" customHeight="1" x14ac:dyDescent="0.3">
      <c r="A6" s="163" t="str">
        <f>IF(ISERROR(MATCH($H6,EAD_CIs!D:D,0)),"NO",
    IF(VLOOKUP($H6,EAD_CIs!D:N,MATCH("Status",EAD_CIs!D$2:N$2,0),0)="Done","No",VLOOKUP($H6,EAD_CIs!D:N,MATCH("Related",EAD_CIs!D$2:N$2,0),0) ))</f>
        <v>NO</v>
      </c>
      <c r="B6" s="203">
        <v>1015562</v>
      </c>
      <c r="C6" s="34" t="s">
        <v>2257</v>
      </c>
      <c r="D6" s="34" t="s">
        <v>36</v>
      </c>
      <c r="E6" s="34" t="s">
        <v>168</v>
      </c>
      <c r="F6" s="34" t="s">
        <v>2259</v>
      </c>
      <c r="G6" s="34" t="s">
        <v>104</v>
      </c>
      <c r="H6" s="34" t="s">
        <v>515</v>
      </c>
      <c r="I6" s="34" t="s">
        <v>36</v>
      </c>
      <c r="J6" s="34" t="s">
        <v>1429</v>
      </c>
      <c r="K6" s="34" t="s">
        <v>1421</v>
      </c>
      <c r="L6" s="34" t="s">
        <v>943</v>
      </c>
      <c r="N6" s="95"/>
      <c r="O6" s="95"/>
    </row>
    <row r="7" spans="1:15" ht="14.4" customHeight="1" x14ac:dyDescent="0.3">
      <c r="A7" s="163" t="str">
        <f>IF(ISERROR(MATCH($H7,EAD_CIs!D:D,0)),"NO",
    IF(VLOOKUP($H7,EAD_CIs!D:N,MATCH("Status",EAD_CIs!D$2:N$2,0),0)="Done","No",VLOOKUP($H7,EAD_CIs!D:N,MATCH("Related",EAD_CIs!D$2:N$2,0),0) ))</f>
        <v>NO</v>
      </c>
      <c r="B7" s="203">
        <v>1015556</v>
      </c>
      <c r="C7" s="34" t="s">
        <v>2258</v>
      </c>
      <c r="D7" s="34" t="s">
        <v>167</v>
      </c>
      <c r="E7" s="34" t="s">
        <v>165</v>
      </c>
      <c r="F7" s="34" t="s">
        <v>242</v>
      </c>
      <c r="G7" s="34" t="s">
        <v>547</v>
      </c>
      <c r="H7" s="34" t="s">
        <v>282</v>
      </c>
      <c r="I7" s="34" t="s">
        <v>36</v>
      </c>
      <c r="J7" s="34" t="s">
        <v>1429</v>
      </c>
      <c r="K7" s="34" t="s">
        <v>1421</v>
      </c>
      <c r="L7" s="34" t="s">
        <v>951</v>
      </c>
      <c r="N7" s="95"/>
      <c r="O7" s="95"/>
    </row>
    <row r="8" spans="1:15" ht="14.4" customHeight="1" x14ac:dyDescent="0.3">
      <c r="A8" s="163" t="str">
        <f>IF(ISERROR(MATCH($H8,EAD_CIs!D:D,0)),"NO",
    IF(VLOOKUP($H8,EAD_CIs!D:N,MATCH("Status",EAD_CIs!D$2:N$2,0),0)="Done","No",VLOOKUP($H8,EAD_CIs!D:N,MATCH("Related",EAD_CIs!D$2:N$2,0),0) ))</f>
        <v>#377437</v>
      </c>
      <c r="B8" s="203">
        <v>1015274</v>
      </c>
      <c r="C8" s="34" t="s">
        <v>2210</v>
      </c>
      <c r="D8" s="34" t="s">
        <v>167</v>
      </c>
      <c r="E8" s="34" t="s">
        <v>168</v>
      </c>
      <c r="F8" s="34" t="s">
        <v>36</v>
      </c>
      <c r="G8" s="34" t="s">
        <v>666</v>
      </c>
      <c r="H8" s="34" t="s">
        <v>810</v>
      </c>
      <c r="I8" s="34" t="s">
        <v>36</v>
      </c>
      <c r="J8" s="34" t="s">
        <v>1429</v>
      </c>
      <c r="K8" s="34" t="s">
        <v>1419</v>
      </c>
      <c r="L8" s="34" t="s">
        <v>950</v>
      </c>
      <c r="N8" s="95"/>
      <c r="O8" s="95"/>
    </row>
    <row r="9" spans="1:15" ht="14.4" customHeight="1" x14ac:dyDescent="0.3">
      <c r="A9" s="163" t="str">
        <f>IF(ISERROR(MATCH($H9,EAD_CIs!D:D,0)),"NO",
    IF(VLOOKUP($H9,EAD_CIs!D:N,MATCH("Status",EAD_CIs!D$2:N$2,0),0)="Done","No",VLOOKUP($H9,EAD_CIs!D:N,MATCH("Related",EAD_CIs!D$2:N$2,0),0) ))</f>
        <v>NO</v>
      </c>
      <c r="B9" s="203">
        <v>1015114</v>
      </c>
      <c r="C9" s="34" t="s">
        <v>2193</v>
      </c>
      <c r="D9" s="34" t="s">
        <v>167</v>
      </c>
      <c r="E9" s="34" t="s">
        <v>165</v>
      </c>
      <c r="F9" s="34" t="s">
        <v>36</v>
      </c>
      <c r="G9" s="34" t="s">
        <v>547</v>
      </c>
      <c r="H9" s="34" t="s">
        <v>194</v>
      </c>
      <c r="I9" s="34" t="s">
        <v>36</v>
      </c>
      <c r="J9" s="34" t="s">
        <v>1429</v>
      </c>
      <c r="K9" s="34" t="s">
        <v>1421</v>
      </c>
      <c r="L9" s="34" t="s">
        <v>951</v>
      </c>
      <c r="N9" s="95"/>
      <c r="O9" s="95"/>
    </row>
    <row r="10" spans="1:15" ht="14.4" customHeight="1" x14ac:dyDescent="0.3">
      <c r="A10" s="163" t="str">
        <f>IF(ISERROR(MATCH($H10,EAD_CIs!D:D,0)),"NO",
    IF(VLOOKUP($H10,EAD_CIs!D:N,MATCH("Status",EAD_CIs!D$2:N$2,0),0)="Done","No",VLOOKUP($H10,EAD_CIs!D:N,MATCH("Related",EAD_CIs!D$2:N$2,0),0) ))</f>
        <v>#1003390
#1014172</v>
      </c>
      <c r="B10" s="203">
        <v>1014824</v>
      </c>
      <c r="C10" s="34" t="s">
        <v>2138</v>
      </c>
      <c r="D10" s="34" t="s">
        <v>36</v>
      </c>
      <c r="E10" s="34" t="s">
        <v>168</v>
      </c>
      <c r="F10" s="34" t="s">
        <v>36</v>
      </c>
      <c r="G10" s="34" t="s">
        <v>2139</v>
      </c>
      <c r="H10" s="34" t="s">
        <v>2026</v>
      </c>
      <c r="I10" s="34" t="s">
        <v>36</v>
      </c>
      <c r="J10" s="34" t="s">
        <v>1420</v>
      </c>
      <c r="K10" s="34" t="s">
        <v>1436</v>
      </c>
      <c r="L10" s="34" t="s">
        <v>950</v>
      </c>
      <c r="N10" s="95"/>
      <c r="O10" s="95"/>
    </row>
    <row r="11" spans="1:15" ht="14.4" customHeight="1" x14ac:dyDescent="0.3">
      <c r="A11" s="163" t="str">
        <f>IF(ISERROR(MATCH($H11,EAD_CIs!D:D,0)),"NO",
    IF(VLOOKUP($H11,EAD_CIs!D:N,MATCH("Status",EAD_CIs!D$2:N$2,0),0)="Done","No",VLOOKUP($H11,EAD_CIs!D:N,MATCH("Related",EAD_CIs!D$2:N$2,0),0) ))</f>
        <v>#354871</v>
      </c>
      <c r="B11" s="203">
        <v>1014694</v>
      </c>
      <c r="C11" s="34" t="s">
        <v>2114</v>
      </c>
      <c r="D11" s="34" t="s">
        <v>36</v>
      </c>
      <c r="E11" s="34" t="s">
        <v>165</v>
      </c>
      <c r="F11" s="34" t="s">
        <v>1825</v>
      </c>
      <c r="G11" s="34" t="s">
        <v>549</v>
      </c>
      <c r="H11" s="34" t="s">
        <v>297</v>
      </c>
      <c r="I11" s="34" t="s">
        <v>36</v>
      </c>
      <c r="J11" s="34" t="s">
        <v>104</v>
      </c>
      <c r="K11" s="34" t="s">
        <v>1421</v>
      </c>
      <c r="L11" s="34" t="s">
        <v>17</v>
      </c>
      <c r="N11" s="95"/>
      <c r="O11" s="95"/>
    </row>
    <row r="12" spans="1:15" ht="14.4" customHeight="1" x14ac:dyDescent="0.3">
      <c r="A12" s="163" t="str">
        <f>IF(ISERROR(MATCH($H12,EAD_CIs!D:D,0)),"NO",
    IF(VLOOKUP($H12,EAD_CIs!D:N,MATCH("Status",EAD_CIs!D$2:N$2,0),0)="Done","No",VLOOKUP($H12,EAD_CIs!D:N,MATCH("Related",EAD_CIs!D$2:N$2,0),0) ))</f>
        <v>#377408
#1001248
#381643
#383958
#315485
#342163
#299984
#354174
#381524
#332951
#318380
#386935</v>
      </c>
      <c r="B12" s="203">
        <v>1014291</v>
      </c>
      <c r="C12" s="34" t="s">
        <v>2044</v>
      </c>
      <c r="D12" s="34" t="s">
        <v>167</v>
      </c>
      <c r="E12" s="34" t="s">
        <v>165</v>
      </c>
      <c r="F12" s="34" t="s">
        <v>36</v>
      </c>
      <c r="G12" s="34" t="s">
        <v>164</v>
      </c>
      <c r="H12" s="34" t="s">
        <v>1177</v>
      </c>
      <c r="I12" s="34" t="s">
        <v>36</v>
      </c>
      <c r="J12" s="34" t="s">
        <v>104</v>
      </c>
      <c r="K12" s="34" t="s">
        <v>1421</v>
      </c>
      <c r="L12" s="34" t="s">
        <v>945</v>
      </c>
      <c r="N12" s="95"/>
      <c r="O12" s="95"/>
    </row>
    <row r="13" spans="1:15" ht="14.4" customHeight="1" x14ac:dyDescent="0.3">
      <c r="A13" s="163" t="str">
        <f>IF(ISERROR(MATCH($H13,EAD_CIs!D:D,0)),"NO",
    IF(VLOOKUP($H13,EAD_CIs!D:N,MATCH("Status",EAD_CIs!D$2:N$2,0),0)="Done","No",VLOOKUP($H13,EAD_CIs!D:N,MATCH("Related",EAD_CIs!D$2:N$2,0),0) ))</f>
        <v>#377408
#1001248
#381643
#383958
#315485
#342163
#299984
#354174
#381524
#332951
#318380
#386935</v>
      </c>
      <c r="B13" s="203">
        <v>1013978</v>
      </c>
      <c r="C13" s="34" t="s">
        <v>2299</v>
      </c>
      <c r="D13" s="34" t="s">
        <v>167</v>
      </c>
      <c r="E13" s="34" t="s">
        <v>165</v>
      </c>
      <c r="F13" s="34" t="s">
        <v>36</v>
      </c>
      <c r="G13" s="34" t="s">
        <v>548</v>
      </c>
      <c r="H13" s="34" t="s">
        <v>1177</v>
      </c>
      <c r="I13" s="34" t="s">
        <v>36</v>
      </c>
      <c r="J13" s="34" t="s">
        <v>1429</v>
      </c>
      <c r="K13" s="34" t="s">
        <v>1421</v>
      </c>
      <c r="L13" s="34" t="s">
        <v>945</v>
      </c>
      <c r="N13" s="95"/>
      <c r="O13" s="95"/>
    </row>
    <row r="14" spans="1:15" ht="14.4" customHeight="1" x14ac:dyDescent="0.3">
      <c r="A14" s="163" t="str">
        <f>IF(ISERROR(MATCH($H14,EAD_CIs!D:D,0)),"NO",
    IF(VLOOKUP($H14,EAD_CIs!D:N,MATCH("Status",EAD_CIs!D$2:N$2,0),0)="Done","No",VLOOKUP($H14,EAD_CIs!D:N,MATCH("Related",EAD_CIs!D$2:N$2,0),0) ))</f>
        <v>#377408
#1001248
#381643
#383958
#315485
#342163
#299984
#354174
#381524
#332951
#318380
#386935</v>
      </c>
      <c r="B14" s="203">
        <v>1013829</v>
      </c>
      <c r="C14" s="34" t="s">
        <v>2300</v>
      </c>
      <c r="D14" s="34" t="s">
        <v>167</v>
      </c>
      <c r="E14" s="34" t="s">
        <v>165</v>
      </c>
      <c r="F14" s="34" t="s">
        <v>36</v>
      </c>
      <c r="G14" s="34" t="s">
        <v>548</v>
      </c>
      <c r="H14" s="34" t="s">
        <v>1177</v>
      </c>
      <c r="I14" s="34" t="s">
        <v>36</v>
      </c>
      <c r="J14" s="34" t="s">
        <v>1429</v>
      </c>
      <c r="K14" s="34" t="s">
        <v>1421</v>
      </c>
      <c r="L14" s="34" t="s">
        <v>945</v>
      </c>
      <c r="N14" s="95"/>
      <c r="O14" s="95"/>
    </row>
    <row r="15" spans="1:15" ht="14.4" customHeight="1" x14ac:dyDescent="0.3">
      <c r="A15" s="163" t="str">
        <f>IF(ISERROR(MATCH($H15,EAD_CIs!D:D,0)),"NO",
    IF(VLOOKUP($H15,EAD_CIs!D:N,MATCH("Status",EAD_CIs!D$2:N$2,0),0)="Done","No",VLOOKUP($H15,EAD_CIs!D:N,MATCH("Related",EAD_CIs!D$2:N$2,0),0) ))</f>
        <v>#377408
#1001248
#381643
#383958
#315485
#342163
#299984
#354174
#381524
#332951
#318380
#386935</v>
      </c>
      <c r="B15" s="203">
        <v>1013826</v>
      </c>
      <c r="C15" s="34" t="s">
        <v>2301</v>
      </c>
      <c r="D15" s="34" t="s">
        <v>167</v>
      </c>
      <c r="E15" s="34" t="s">
        <v>165</v>
      </c>
      <c r="F15" s="34" t="s">
        <v>36</v>
      </c>
      <c r="G15" s="34" t="s">
        <v>548</v>
      </c>
      <c r="H15" s="34" t="s">
        <v>1177</v>
      </c>
      <c r="I15" s="34" t="s">
        <v>36</v>
      </c>
      <c r="J15" s="34" t="s">
        <v>1429</v>
      </c>
      <c r="K15" s="34" t="s">
        <v>1421</v>
      </c>
      <c r="L15" s="34" t="s">
        <v>945</v>
      </c>
      <c r="N15" s="95"/>
      <c r="O15" s="95"/>
    </row>
    <row r="16" spans="1:15" ht="14.4" customHeight="1" x14ac:dyDescent="0.3">
      <c r="A16" s="163" t="str">
        <f>IF(ISERROR(MATCH($H16,EAD_CIs!D:D,0)),"NO",
    IF(VLOOKUP($H16,EAD_CIs!D:N,MATCH("Status",EAD_CIs!D$2:N$2,0),0)="Done","No",VLOOKUP($H16,EAD_CIs!D:N,MATCH("Related",EAD_CIs!D$2:N$2,0),0) ))</f>
        <v>NO</v>
      </c>
      <c r="B16" s="203">
        <v>1013331</v>
      </c>
      <c r="C16" s="34" t="s">
        <v>2002</v>
      </c>
      <c r="D16" s="34" t="s">
        <v>36</v>
      </c>
      <c r="E16" s="34" t="s">
        <v>168</v>
      </c>
      <c r="F16" s="34" t="s">
        <v>242</v>
      </c>
      <c r="G16" s="34" t="s">
        <v>104</v>
      </c>
      <c r="H16" s="34" t="s">
        <v>515</v>
      </c>
      <c r="I16" s="34" t="s">
        <v>36</v>
      </c>
      <c r="J16" s="34" t="s">
        <v>1429</v>
      </c>
      <c r="K16" s="34" t="s">
        <v>1421</v>
      </c>
      <c r="L16" s="34" t="s">
        <v>943</v>
      </c>
      <c r="N16" s="95"/>
      <c r="O16" s="95"/>
    </row>
    <row r="17" spans="1:15" ht="14.4" customHeight="1" x14ac:dyDescent="0.3">
      <c r="A17" s="163" t="str">
        <f>IF(ISERROR(MATCH($H17,EAD_CIs!D:D,0)),"NO",
    IF(VLOOKUP($H17,EAD_CIs!D:N,MATCH("Status",EAD_CIs!D$2:N$2,0),0)="Done","No",VLOOKUP($H17,EAD_CIs!D:N,MATCH("Related",EAD_CIs!D$2:N$2,0),0) ))</f>
        <v>NO</v>
      </c>
      <c r="B17" s="203">
        <v>1013151</v>
      </c>
      <c r="C17" s="34" t="s">
        <v>2023</v>
      </c>
      <c r="D17" s="34" t="s">
        <v>36</v>
      </c>
      <c r="E17" s="34" t="s">
        <v>165</v>
      </c>
      <c r="F17" s="34" t="s">
        <v>242</v>
      </c>
      <c r="G17" s="34" t="s">
        <v>549</v>
      </c>
      <c r="H17" s="34" t="s">
        <v>833</v>
      </c>
      <c r="I17" s="34" t="s">
        <v>36</v>
      </c>
      <c r="J17" s="34" t="s">
        <v>1429</v>
      </c>
      <c r="K17" s="34" t="s">
        <v>1421</v>
      </c>
      <c r="L17" s="34" t="s">
        <v>17</v>
      </c>
      <c r="N17" s="95"/>
      <c r="O17" s="95"/>
    </row>
    <row r="18" spans="1:15" ht="14.4" customHeight="1" x14ac:dyDescent="0.3">
      <c r="A18" s="163" t="str">
        <f>IF(ISERROR(MATCH($H18,EAD_CIs!D:D,0)),"NO",
    IF(VLOOKUP($H18,EAD_CIs!D:N,MATCH("Status",EAD_CIs!D$2:N$2,0),0)="Done","No",VLOOKUP($H18,EAD_CIs!D:N,MATCH("Related",EAD_CIs!D$2:N$2,0),0) ))</f>
        <v>NO</v>
      </c>
      <c r="B18" s="203">
        <v>1013107</v>
      </c>
      <c r="C18" s="34" t="s">
        <v>2003</v>
      </c>
      <c r="D18" s="34" t="s">
        <v>167</v>
      </c>
      <c r="E18" s="34" t="s">
        <v>165</v>
      </c>
      <c r="F18" s="34" t="s">
        <v>2005</v>
      </c>
      <c r="G18" s="34" t="s">
        <v>933</v>
      </c>
      <c r="H18" s="34" t="s">
        <v>194</v>
      </c>
      <c r="I18" s="34" t="s">
        <v>36</v>
      </c>
      <c r="J18" s="34" t="s">
        <v>1420</v>
      </c>
      <c r="K18" s="34" t="s">
        <v>1421</v>
      </c>
      <c r="L18" s="34" t="s">
        <v>951</v>
      </c>
      <c r="N18" s="95"/>
      <c r="O18" s="95"/>
    </row>
    <row r="19" spans="1:15" ht="14.4" customHeight="1" x14ac:dyDescent="0.3">
      <c r="A19" s="163" t="str">
        <f>IF(ISERROR(MATCH($H19,EAD_CIs!D:D,0)),"NO",
    IF(VLOOKUP($H19,EAD_CIs!D:N,MATCH("Status",EAD_CIs!D$2:N$2,0),0)="Done","No",VLOOKUP($H19,EAD_CIs!D:N,MATCH("Related",EAD_CIs!D$2:N$2,0),0) ))</f>
        <v>#1003390
#1014172</v>
      </c>
      <c r="B19" s="203">
        <v>1012013</v>
      </c>
      <c r="C19" s="34" t="s">
        <v>2024</v>
      </c>
      <c r="D19" s="34" t="s">
        <v>167</v>
      </c>
      <c r="E19" s="34" t="s">
        <v>165</v>
      </c>
      <c r="F19" s="34" t="s">
        <v>36</v>
      </c>
      <c r="G19" s="34" t="s">
        <v>582</v>
      </c>
      <c r="H19" s="34" t="s">
        <v>2026</v>
      </c>
      <c r="I19" s="34" t="s">
        <v>36</v>
      </c>
      <c r="J19" s="34" t="s">
        <v>1429</v>
      </c>
      <c r="K19" s="34" t="s">
        <v>1421</v>
      </c>
      <c r="L19" s="34" t="s">
        <v>943</v>
      </c>
      <c r="N19" s="95"/>
      <c r="O19" s="95"/>
    </row>
    <row r="20" spans="1:15" ht="14.4" customHeight="1" x14ac:dyDescent="0.3">
      <c r="A20" s="163" t="str">
        <f>IF(ISERROR(MATCH($H20,EAD_CIs!D:D,0)),"NO",
    IF(VLOOKUP($H20,EAD_CIs!D:N,MATCH("Status",EAD_CIs!D$2:N$2,0),0)="Done","No",VLOOKUP($H20,EAD_CIs!D:N,MATCH("Related",EAD_CIs!D$2:N$2,0),0) ))</f>
        <v>NO</v>
      </c>
      <c r="B20" s="203">
        <v>1011971</v>
      </c>
      <c r="C20" s="34" t="s">
        <v>2115</v>
      </c>
      <c r="D20" s="34" t="s">
        <v>167</v>
      </c>
      <c r="E20" s="34" t="s">
        <v>165</v>
      </c>
      <c r="F20" s="34" t="s">
        <v>36</v>
      </c>
      <c r="G20" s="34" t="s">
        <v>195</v>
      </c>
      <c r="H20" s="34" t="s">
        <v>246</v>
      </c>
      <c r="I20" s="34" t="s">
        <v>36</v>
      </c>
      <c r="J20" s="34" t="s">
        <v>1429</v>
      </c>
      <c r="K20" s="34" t="s">
        <v>1421</v>
      </c>
      <c r="L20" s="34" t="s">
        <v>951</v>
      </c>
      <c r="N20" s="95"/>
      <c r="O20" s="95"/>
    </row>
    <row r="21" spans="1:15" ht="14.4" customHeight="1" x14ac:dyDescent="0.3">
      <c r="A21" s="163" t="str">
        <f>IF(ISERROR(MATCH($H21,EAD_CIs!D:D,0)),"NO",
    IF(VLOOKUP($H21,EAD_CIs!D:N,MATCH("Status",EAD_CIs!D$2:N$2,0),0)="Done","No",VLOOKUP($H21,EAD_CIs!D:N,MATCH("Related",EAD_CIs!D$2:N$2,0),0) ))</f>
        <v>#377408
#1001248
#381643
#383958
#315485
#342163
#299984
#354174
#381524
#332951
#318380
#386935</v>
      </c>
      <c r="B21" s="203">
        <v>1011921</v>
      </c>
      <c r="C21" s="34" t="s">
        <v>2032</v>
      </c>
      <c r="D21" s="34" t="s">
        <v>36</v>
      </c>
      <c r="E21" s="34" t="s">
        <v>165</v>
      </c>
      <c r="F21" s="34" t="s">
        <v>242</v>
      </c>
      <c r="G21" s="34" t="s">
        <v>1008</v>
      </c>
      <c r="H21" s="34" t="s">
        <v>1177</v>
      </c>
      <c r="I21" s="34" t="s">
        <v>36</v>
      </c>
      <c r="J21" s="34" t="s">
        <v>1429</v>
      </c>
      <c r="K21" s="34" t="s">
        <v>1421</v>
      </c>
      <c r="L21" s="34" t="s">
        <v>947</v>
      </c>
      <c r="N21" s="95"/>
      <c r="O21" s="95"/>
    </row>
    <row r="22" spans="1:15" ht="14.4" customHeight="1" x14ac:dyDescent="0.3">
      <c r="A22" s="163" t="str">
        <f>IF(ISERROR(MATCH($H22,EAD_CIs!D:D,0)),"NO",
    IF(VLOOKUP($H22,EAD_CIs!D:N,MATCH("Status",EAD_CIs!D$2:N$2,0),0)="Done","No",VLOOKUP($H22,EAD_CIs!D:N,MATCH("Related",EAD_CIs!D$2:N$2,0),0) ))</f>
        <v>#354680
#1004701
#1004738
#380808</v>
      </c>
      <c r="B22" s="203">
        <v>1011920</v>
      </c>
      <c r="C22" s="34" t="s">
        <v>2116</v>
      </c>
      <c r="D22" s="34" t="s">
        <v>36</v>
      </c>
      <c r="E22" s="34" t="s">
        <v>165</v>
      </c>
      <c r="F22" s="34" t="s">
        <v>242</v>
      </c>
      <c r="G22" s="34" t="s">
        <v>577</v>
      </c>
      <c r="H22" s="34" t="s">
        <v>200</v>
      </c>
      <c r="I22" s="34" t="s">
        <v>36</v>
      </c>
      <c r="J22" s="34" t="s">
        <v>1429</v>
      </c>
      <c r="K22" s="34" t="s">
        <v>1421</v>
      </c>
      <c r="L22" s="34" t="s">
        <v>947</v>
      </c>
      <c r="N22" s="95"/>
      <c r="O22" s="95"/>
    </row>
    <row r="23" spans="1:15" ht="14.4" customHeight="1" x14ac:dyDescent="0.3">
      <c r="A23" s="163" t="str">
        <f>IF(ISERROR(MATCH($H23,EAD_CIs!D:D,0)),"NO",
    IF(VLOOKUP($H23,EAD_CIs!D:N,MATCH("Status",EAD_CIs!D$2:N$2,0),0)="Done","No",VLOOKUP($H23,EAD_CIs!D:N,MATCH("Related",EAD_CIs!D$2:N$2,0),0) ))</f>
        <v>#1007900</v>
      </c>
      <c r="B23" s="203">
        <v>1011452</v>
      </c>
      <c r="C23" s="34" t="s">
        <v>1873</v>
      </c>
      <c r="D23" s="34" t="s">
        <v>167</v>
      </c>
      <c r="E23" s="34" t="s">
        <v>165</v>
      </c>
      <c r="F23" s="34" t="s">
        <v>36</v>
      </c>
      <c r="G23" s="34" t="s">
        <v>597</v>
      </c>
      <c r="H23" s="34" t="s">
        <v>356</v>
      </c>
      <c r="I23" s="34" t="s">
        <v>36</v>
      </c>
      <c r="J23" s="34" t="s">
        <v>1429</v>
      </c>
      <c r="K23" s="34" t="s">
        <v>1432</v>
      </c>
      <c r="L23" s="34" t="s">
        <v>17</v>
      </c>
      <c r="N23" s="95"/>
      <c r="O23" s="95"/>
    </row>
    <row r="24" spans="1:15" ht="14.4" customHeight="1" x14ac:dyDescent="0.3">
      <c r="A24" s="163" t="str">
        <f>IF(ISERROR(MATCH($H24,EAD_CIs!D:D,0)),"NO",
    IF(VLOOKUP($H24,EAD_CIs!D:N,MATCH("Status",EAD_CIs!D$2:N$2,0),0)="Done","No",VLOOKUP($H24,EAD_CIs!D:N,MATCH("Related",EAD_CIs!D$2:N$2,0),0) ))</f>
        <v>NO</v>
      </c>
      <c r="B24" s="203">
        <v>1010848</v>
      </c>
      <c r="C24" s="34" t="s">
        <v>1847</v>
      </c>
      <c r="D24" s="34" t="s">
        <v>167</v>
      </c>
      <c r="E24" s="34" t="s">
        <v>165</v>
      </c>
      <c r="F24" s="34" t="s">
        <v>36</v>
      </c>
      <c r="G24" s="34" t="s">
        <v>164</v>
      </c>
      <c r="H24" s="34" t="s">
        <v>1853</v>
      </c>
      <c r="I24" s="34" t="s">
        <v>36</v>
      </c>
      <c r="J24" s="34" t="s">
        <v>1429</v>
      </c>
      <c r="K24" s="34" t="s">
        <v>1421</v>
      </c>
      <c r="L24" s="34" t="s">
        <v>17</v>
      </c>
      <c r="N24" s="95"/>
      <c r="O24" s="95"/>
    </row>
    <row r="25" spans="1:15" ht="14.4" customHeight="1" x14ac:dyDescent="0.3">
      <c r="A25" s="163" t="str">
        <f>IF(ISERROR(MATCH($H25,EAD_CIs!D:D,0)),"NO",
    IF(VLOOKUP($H25,EAD_CIs!D:N,MATCH("Status",EAD_CIs!D$2:N$2,0),0)="Done","No",VLOOKUP($H25,EAD_CIs!D:N,MATCH("Related",EAD_CIs!D$2:N$2,0),0) ))</f>
        <v>NO</v>
      </c>
      <c r="B25" s="203">
        <v>1010846</v>
      </c>
      <c r="C25" s="34" t="s">
        <v>1848</v>
      </c>
      <c r="D25" s="34" t="s">
        <v>167</v>
      </c>
      <c r="E25" s="34" t="s">
        <v>165</v>
      </c>
      <c r="F25" s="34" t="s">
        <v>36</v>
      </c>
      <c r="G25" s="34" t="s">
        <v>164</v>
      </c>
      <c r="H25" s="34" t="s">
        <v>1853</v>
      </c>
      <c r="I25" s="34" t="s">
        <v>36</v>
      </c>
      <c r="J25" s="34" t="s">
        <v>1429</v>
      </c>
      <c r="K25" s="34" t="s">
        <v>1421</v>
      </c>
      <c r="L25" s="34" t="s">
        <v>17</v>
      </c>
      <c r="N25" s="95"/>
      <c r="O25" s="95"/>
    </row>
    <row r="26" spans="1:15" ht="14.4" customHeight="1" x14ac:dyDescent="0.3">
      <c r="A26" s="163" t="str">
        <f>IF(ISERROR(MATCH($H26,EAD_CIs!D:D,0)),"NO",
    IF(VLOOKUP($H26,EAD_CIs!D:N,MATCH("Status",EAD_CIs!D$2:N$2,0),0)="Done","No",VLOOKUP($H26,EAD_CIs!D:N,MATCH("Related",EAD_CIs!D$2:N$2,0),0) ))</f>
        <v>#299984
#380808
#1007900
#1011909
#1003390
#1014202
#1013452</v>
      </c>
      <c r="B26" s="203">
        <v>1010845</v>
      </c>
      <c r="C26" s="34" t="s">
        <v>1849</v>
      </c>
      <c r="D26" s="34" t="s">
        <v>167</v>
      </c>
      <c r="E26" s="34" t="s">
        <v>165</v>
      </c>
      <c r="F26" s="34" t="s">
        <v>36</v>
      </c>
      <c r="G26" s="34" t="s">
        <v>582</v>
      </c>
      <c r="H26" s="34" t="s">
        <v>209</v>
      </c>
      <c r="I26" s="34" t="s">
        <v>36</v>
      </c>
      <c r="J26" s="34" t="s">
        <v>1429</v>
      </c>
      <c r="K26" s="34" t="s">
        <v>1421</v>
      </c>
      <c r="L26" s="34" t="s">
        <v>943</v>
      </c>
      <c r="N26" s="95"/>
      <c r="O26" s="95"/>
    </row>
    <row r="27" spans="1:15" ht="14.4" customHeight="1" x14ac:dyDescent="0.3">
      <c r="A27" s="163" t="str">
        <f>IF(ISERROR(MATCH($H27,EAD_CIs!D:D,0)),"NO",
    IF(VLOOKUP($H27,EAD_CIs!D:N,MATCH("Status",EAD_CIs!D$2:N$2,0),0)="Done","No",VLOOKUP($H27,EAD_CIs!D:N,MATCH("Related",EAD_CIs!D$2:N$2,0),0) ))</f>
        <v>NO</v>
      </c>
      <c r="B27" s="203">
        <v>1010201</v>
      </c>
      <c r="C27" s="34" t="s">
        <v>1818</v>
      </c>
      <c r="D27" s="34" t="s">
        <v>167</v>
      </c>
      <c r="E27" s="34" t="s">
        <v>168</v>
      </c>
      <c r="F27" s="34" t="s">
        <v>36</v>
      </c>
      <c r="G27" s="34" t="s">
        <v>362</v>
      </c>
      <c r="H27" s="34" t="s">
        <v>293</v>
      </c>
      <c r="I27" s="34" t="s">
        <v>36</v>
      </c>
      <c r="J27" s="34" t="s">
        <v>104</v>
      </c>
      <c r="K27" s="34" t="s">
        <v>1419</v>
      </c>
      <c r="L27" s="34" t="s">
        <v>950</v>
      </c>
      <c r="N27" s="95"/>
      <c r="O27" s="95"/>
    </row>
    <row r="28" spans="1:15" ht="14.4" customHeight="1" x14ac:dyDescent="0.3">
      <c r="A28" s="163" t="str">
        <f>IF(ISERROR(MATCH($H28,EAD_CIs!D:D,0)),"NO",
    IF(VLOOKUP($H28,EAD_CIs!D:N,MATCH("Status",EAD_CIs!D$2:N$2,0),0)="Done","No",VLOOKUP($H28,EAD_CIs!D:N,MATCH("Related",EAD_CIs!D$2:N$2,0),0) ))</f>
        <v>NO</v>
      </c>
      <c r="B28" s="203">
        <v>1010200</v>
      </c>
      <c r="C28" s="34" t="s">
        <v>1817</v>
      </c>
      <c r="D28" s="34" t="s">
        <v>167</v>
      </c>
      <c r="E28" s="34" t="s">
        <v>168</v>
      </c>
      <c r="F28" s="34" t="s">
        <v>36</v>
      </c>
      <c r="G28" s="34" t="s">
        <v>362</v>
      </c>
      <c r="H28" s="34" t="s">
        <v>294</v>
      </c>
      <c r="I28" s="34" t="s">
        <v>36</v>
      </c>
      <c r="J28" s="34" t="s">
        <v>104</v>
      </c>
      <c r="K28" s="34" t="s">
        <v>1419</v>
      </c>
      <c r="L28" s="34" t="s">
        <v>950</v>
      </c>
      <c r="N28" s="95"/>
      <c r="O28" s="95"/>
    </row>
    <row r="29" spans="1:15" ht="14.4" customHeight="1" x14ac:dyDescent="0.3">
      <c r="A29" s="163" t="str">
        <f>IF(ISERROR(MATCH($H29,EAD_CIs!D:D,0)),"NO",
    IF(VLOOKUP($H29,EAD_CIs!D:N,MATCH("Status",EAD_CIs!D$2:N$2,0),0)="Done","No",VLOOKUP($H29,EAD_CIs!D:N,MATCH("Related",EAD_CIs!D$2:N$2,0),0) ))</f>
        <v>NO</v>
      </c>
      <c r="B29" s="203">
        <v>1009591</v>
      </c>
      <c r="C29" s="34" t="s">
        <v>2117</v>
      </c>
      <c r="D29" s="34" t="s">
        <v>167</v>
      </c>
      <c r="E29" s="34" t="s">
        <v>165</v>
      </c>
      <c r="F29" s="34" t="s">
        <v>36</v>
      </c>
      <c r="G29" s="34" t="s">
        <v>195</v>
      </c>
      <c r="H29" s="34" t="s">
        <v>246</v>
      </c>
      <c r="I29" s="34" t="s">
        <v>36</v>
      </c>
      <c r="J29" s="34" t="s">
        <v>1429</v>
      </c>
      <c r="K29" s="34" t="s">
        <v>1421</v>
      </c>
      <c r="L29" s="34" t="s">
        <v>951</v>
      </c>
      <c r="N29" s="95"/>
      <c r="O29" s="95"/>
    </row>
    <row r="30" spans="1:15" ht="14.4" customHeight="1" x14ac:dyDescent="0.3">
      <c r="A30" s="163" t="str">
        <f>IF(ISERROR(MATCH($H30,EAD_CIs!D:D,0)),"NO",
    IF(VLOOKUP($H30,EAD_CIs!D:N,MATCH("Status",EAD_CIs!D$2:N$2,0),0)="Done","No",VLOOKUP($H30,EAD_CIs!D:N,MATCH("Related",EAD_CIs!D$2:N$2,0),0) ))</f>
        <v>#342054</v>
      </c>
      <c r="B30" s="203">
        <v>1009583</v>
      </c>
      <c r="C30" s="34" t="s">
        <v>1812</v>
      </c>
      <c r="D30" s="34" t="s">
        <v>36</v>
      </c>
      <c r="E30" s="34" t="s">
        <v>165</v>
      </c>
      <c r="F30" s="34" t="s">
        <v>36</v>
      </c>
      <c r="G30" s="34" t="s">
        <v>535</v>
      </c>
      <c r="H30" s="34" t="s">
        <v>222</v>
      </c>
      <c r="I30" s="34" t="s">
        <v>36</v>
      </c>
      <c r="J30" s="34" t="s">
        <v>1429</v>
      </c>
      <c r="K30" s="34" t="s">
        <v>1421</v>
      </c>
      <c r="L30" s="34" t="s">
        <v>943</v>
      </c>
      <c r="N30" s="95"/>
      <c r="O30" s="95"/>
    </row>
    <row r="31" spans="1:15" ht="14.4" customHeight="1" x14ac:dyDescent="0.3">
      <c r="A31" s="163" t="str">
        <f>IF(ISERROR(MATCH($H31,EAD_CIs!D:D,0)),"NO",
    IF(VLOOKUP($H31,EAD_CIs!D:N,MATCH("Status",EAD_CIs!D$2:N$2,0),0)="Done","No",VLOOKUP($H31,EAD_CIs!D:N,MATCH("Related",EAD_CIs!D$2:N$2,0),0) ))</f>
        <v>#377408
#1001248
#381643
#383958
#315485
#342163
#299984
#354174
#381524
#332951
#318380
#386935</v>
      </c>
      <c r="B31" s="203">
        <v>1009524</v>
      </c>
      <c r="C31" s="34" t="s">
        <v>1939</v>
      </c>
      <c r="D31" s="34" t="s">
        <v>167</v>
      </c>
      <c r="E31" s="34" t="s">
        <v>165</v>
      </c>
      <c r="F31" s="34" t="s">
        <v>36</v>
      </c>
      <c r="G31" s="34" t="s">
        <v>582</v>
      </c>
      <c r="H31" s="34" t="s">
        <v>1177</v>
      </c>
      <c r="I31" s="34" t="s">
        <v>36</v>
      </c>
      <c r="J31" s="34" t="s">
        <v>1429</v>
      </c>
      <c r="K31" s="34" t="s">
        <v>1421</v>
      </c>
      <c r="L31" s="34" t="s">
        <v>943</v>
      </c>
      <c r="N31" s="95"/>
      <c r="O31" s="95"/>
    </row>
    <row r="32" spans="1:15" ht="14.4" customHeight="1" x14ac:dyDescent="0.3">
      <c r="A32" s="163" t="str">
        <f>IF(ISERROR(MATCH($H32,EAD_CIs!D:D,0)),"NO",
    IF(VLOOKUP($H32,EAD_CIs!D:N,MATCH("Status",EAD_CIs!D$2:N$2,0),0)="Done","No",VLOOKUP($H32,EAD_CIs!D:N,MATCH("Related",EAD_CIs!D$2:N$2,0),0) ))</f>
        <v>#377437</v>
      </c>
      <c r="B32" s="203">
        <v>1008917</v>
      </c>
      <c r="C32" s="34" t="s">
        <v>1811</v>
      </c>
      <c r="D32" s="34" t="s">
        <v>167</v>
      </c>
      <c r="E32" s="34" t="s">
        <v>165</v>
      </c>
      <c r="F32" s="34" t="s">
        <v>1826</v>
      </c>
      <c r="G32" s="34" t="s">
        <v>933</v>
      </c>
      <c r="H32" s="34" t="s">
        <v>1831</v>
      </c>
      <c r="I32" s="34" t="s">
        <v>36</v>
      </c>
      <c r="J32" s="34" t="s">
        <v>1420</v>
      </c>
      <c r="K32" s="34" t="s">
        <v>1421</v>
      </c>
      <c r="L32" s="34" t="s">
        <v>951</v>
      </c>
      <c r="N32" s="95"/>
      <c r="O32" s="95"/>
    </row>
    <row r="33" spans="1:15" ht="14.4" customHeight="1" x14ac:dyDescent="0.3">
      <c r="A33" s="163" t="str">
        <f>IF(ISERROR(MATCH($H33,EAD_CIs!D:D,0)),"NO",
    IF(VLOOKUP($H33,EAD_CIs!D:N,MATCH("Status",EAD_CIs!D$2:N$2,0),0)="Done","No",VLOOKUP($H33,EAD_CIs!D:N,MATCH("Related",EAD_CIs!D$2:N$2,0),0) ))</f>
        <v>#354871</v>
      </c>
      <c r="B33" s="203">
        <v>1008473</v>
      </c>
      <c r="C33" s="34" t="s">
        <v>1810</v>
      </c>
      <c r="D33" s="34" t="s">
        <v>36</v>
      </c>
      <c r="E33" s="34" t="s">
        <v>165</v>
      </c>
      <c r="F33" s="34" t="s">
        <v>1825</v>
      </c>
      <c r="G33" s="34" t="s">
        <v>549</v>
      </c>
      <c r="H33" s="34" t="s">
        <v>297</v>
      </c>
      <c r="I33" s="34" t="s">
        <v>36</v>
      </c>
      <c r="J33" s="34" t="s">
        <v>104</v>
      </c>
      <c r="K33" s="34" t="s">
        <v>1421</v>
      </c>
      <c r="L33" s="34" t="s">
        <v>17</v>
      </c>
      <c r="N33" s="95"/>
      <c r="O33" s="95"/>
    </row>
    <row r="34" spans="1:15" ht="14.4" customHeight="1" x14ac:dyDescent="0.3">
      <c r="A34" s="163" t="str">
        <f>IF(ISERROR(MATCH($H34,EAD_CIs!D:D,0)),"NO",
    IF(VLOOKUP($H34,EAD_CIs!D:N,MATCH("Status",EAD_CIs!D$2:N$2,0),0)="Done","No",VLOOKUP($H34,EAD_CIs!D:N,MATCH("Related",EAD_CIs!D$2:N$2,0),0) ))</f>
        <v>#354871</v>
      </c>
      <c r="B34" s="203">
        <v>1008471</v>
      </c>
      <c r="C34" s="34" t="s">
        <v>1809</v>
      </c>
      <c r="D34" s="34" t="s">
        <v>36</v>
      </c>
      <c r="E34" s="34" t="s">
        <v>165</v>
      </c>
      <c r="F34" s="34" t="s">
        <v>1825</v>
      </c>
      <c r="G34" s="34" t="s">
        <v>549</v>
      </c>
      <c r="H34" s="34" t="s">
        <v>297</v>
      </c>
      <c r="I34" s="34" t="s">
        <v>36</v>
      </c>
      <c r="J34" s="34" t="s">
        <v>104</v>
      </c>
      <c r="K34" s="34" t="s">
        <v>1421</v>
      </c>
      <c r="L34" s="34" t="s">
        <v>17</v>
      </c>
      <c r="N34" s="95"/>
      <c r="O34" s="95"/>
    </row>
    <row r="35" spans="1:15" ht="14.4" customHeight="1" x14ac:dyDescent="0.3">
      <c r="A35" s="163" t="str">
        <f>IF(ISERROR(MATCH($H35,EAD_CIs!D:D,0)),"NO",
    IF(VLOOKUP($H35,EAD_CIs!D:N,MATCH("Status",EAD_CIs!D$2:N$2,0),0)="Done","No",VLOOKUP($H35,EAD_CIs!D:N,MATCH("Related",EAD_CIs!D$2:N$2,0),0) ))</f>
        <v>NO</v>
      </c>
      <c r="B35" s="203">
        <v>1008278</v>
      </c>
      <c r="C35" s="34" t="s">
        <v>1808</v>
      </c>
      <c r="D35" s="34" t="s">
        <v>36</v>
      </c>
      <c r="E35" s="34" t="s">
        <v>165</v>
      </c>
      <c r="F35" s="34" t="s">
        <v>36</v>
      </c>
      <c r="G35" s="34" t="s">
        <v>164</v>
      </c>
      <c r="H35" s="34" t="s">
        <v>189</v>
      </c>
      <c r="I35" s="34" t="s">
        <v>36</v>
      </c>
      <c r="J35" s="34" t="s">
        <v>1429</v>
      </c>
      <c r="K35" s="34" t="s">
        <v>1436</v>
      </c>
      <c r="L35" s="34" t="s">
        <v>17</v>
      </c>
      <c r="N35" s="95"/>
      <c r="O35" s="95"/>
    </row>
    <row r="36" spans="1:15" ht="14.4" customHeight="1" x14ac:dyDescent="0.3">
      <c r="A36" s="163" t="str">
        <f>IF(ISERROR(MATCH($H36,EAD_CIs!D:D,0)),"NO",
    IF(VLOOKUP($H36,EAD_CIs!D:N,MATCH("Status",EAD_CIs!D$2:N$2,0),0)="Done","No",VLOOKUP($H36,EAD_CIs!D:N,MATCH("Related",EAD_CIs!D$2:N$2,0),0) ))</f>
        <v>#377408
#1001248
#381643
#383958
#315485
#342163
#299984
#354174
#381524
#332951
#318380
#386935</v>
      </c>
      <c r="B36" s="203">
        <v>1008271</v>
      </c>
      <c r="C36" s="34" t="s">
        <v>1940</v>
      </c>
      <c r="D36" s="34" t="s">
        <v>167</v>
      </c>
      <c r="E36" s="34" t="s">
        <v>165</v>
      </c>
      <c r="F36" s="34" t="s">
        <v>36</v>
      </c>
      <c r="G36" s="34" t="s">
        <v>582</v>
      </c>
      <c r="H36" s="34" t="s">
        <v>1177</v>
      </c>
      <c r="I36" s="34" t="s">
        <v>36</v>
      </c>
      <c r="J36" s="34" t="s">
        <v>1429</v>
      </c>
      <c r="K36" s="34" t="s">
        <v>1421</v>
      </c>
      <c r="L36" s="34" t="s">
        <v>943</v>
      </c>
      <c r="N36" s="95"/>
      <c r="O36" s="95"/>
    </row>
    <row r="37" spans="1:15" ht="14.4" customHeight="1" x14ac:dyDescent="0.3">
      <c r="A37" s="163" t="str">
        <f>IF(ISERROR(MATCH($H37,EAD_CIs!D:D,0)),"NO",
    IF(VLOOKUP($H37,EAD_CIs!D:N,MATCH("Status",EAD_CIs!D$2:N$2,0),0)="Done","No",VLOOKUP($H37,EAD_CIs!D:N,MATCH("Related",EAD_CIs!D$2:N$2,0),0) ))</f>
        <v>#377408
#1001248
#381643
#383958
#315485
#342163
#299984
#354174
#381524
#332951
#318380
#386935</v>
      </c>
      <c r="B37" s="203">
        <v>1008269</v>
      </c>
      <c r="C37" s="34" t="s">
        <v>1807</v>
      </c>
      <c r="D37" s="34" t="s">
        <v>36</v>
      </c>
      <c r="E37" s="34" t="s">
        <v>165</v>
      </c>
      <c r="F37" s="34" t="s">
        <v>36</v>
      </c>
      <c r="G37" s="34" t="s">
        <v>582</v>
      </c>
      <c r="H37" s="34" t="s">
        <v>1177</v>
      </c>
      <c r="I37" s="34" t="s">
        <v>36</v>
      </c>
      <c r="J37" s="34" t="s">
        <v>1429</v>
      </c>
      <c r="K37" s="34" t="s">
        <v>1421</v>
      </c>
      <c r="L37" s="34" t="s">
        <v>943</v>
      </c>
      <c r="N37" s="95"/>
      <c r="O37" s="95"/>
    </row>
    <row r="38" spans="1:15" ht="14.4" customHeight="1" x14ac:dyDescent="0.3">
      <c r="A38" s="163" t="str">
        <f>IF(ISERROR(MATCH($H38,EAD_CIs!D:D,0)),"NO",
    IF(VLOOKUP($H38,EAD_CIs!D:N,MATCH("Status",EAD_CIs!D$2:N$2,0),0)="Done","No",VLOOKUP($H38,EAD_CIs!D:N,MATCH("Related",EAD_CIs!D$2:N$2,0),0) ))</f>
        <v>#1007900</v>
      </c>
      <c r="B38" s="203">
        <v>1007991</v>
      </c>
      <c r="C38" s="34" t="s">
        <v>1806</v>
      </c>
      <c r="D38" s="34" t="s">
        <v>36</v>
      </c>
      <c r="E38" s="34" t="s">
        <v>165</v>
      </c>
      <c r="F38" s="34" t="s">
        <v>36</v>
      </c>
      <c r="G38" s="34" t="s">
        <v>2027</v>
      </c>
      <c r="H38" s="34" t="s">
        <v>306</v>
      </c>
      <c r="I38" s="34" t="s">
        <v>36</v>
      </c>
      <c r="J38" s="34" t="s">
        <v>1429</v>
      </c>
      <c r="K38" s="34" t="s">
        <v>1421</v>
      </c>
      <c r="L38" s="34" t="s">
        <v>947</v>
      </c>
      <c r="N38" s="95"/>
      <c r="O38" s="95"/>
    </row>
    <row r="39" spans="1:15" ht="14.4" customHeight="1" x14ac:dyDescent="0.3">
      <c r="A39" s="163" t="str">
        <f>IF(ISERROR(MATCH($H39,EAD_CIs!D:D,0)),"NO",
    IF(VLOOKUP($H39,EAD_CIs!D:N,MATCH("Status",EAD_CIs!D$2:N$2,0),0)="Done","No",VLOOKUP($H39,EAD_CIs!D:N,MATCH("Related",EAD_CIs!D$2:N$2,0),0) ))</f>
        <v>#342054</v>
      </c>
      <c r="B39" s="203">
        <v>1007826</v>
      </c>
      <c r="C39" s="34" t="s">
        <v>1805</v>
      </c>
      <c r="D39" s="34" t="s">
        <v>36</v>
      </c>
      <c r="E39" s="34" t="s">
        <v>165</v>
      </c>
      <c r="F39" s="34" t="s">
        <v>36</v>
      </c>
      <c r="G39" s="34" t="s">
        <v>1118</v>
      </c>
      <c r="H39" s="34" t="s">
        <v>222</v>
      </c>
      <c r="I39" s="34" t="s">
        <v>36</v>
      </c>
      <c r="J39" s="34" t="s">
        <v>1429</v>
      </c>
      <c r="K39" s="34" t="s">
        <v>1436</v>
      </c>
      <c r="L39" s="34" t="s">
        <v>943</v>
      </c>
      <c r="N39" s="95"/>
      <c r="O39" s="95"/>
    </row>
    <row r="40" spans="1:15" ht="14.4" customHeight="1" x14ac:dyDescent="0.3">
      <c r="A40" s="163" t="str">
        <f>IF(ISERROR(MATCH($H40,EAD_CIs!D:D,0)),"NO",
    IF(VLOOKUP($H40,EAD_CIs!D:N,MATCH("Status",EAD_CIs!D$2:N$2,0),0)="Done","No",VLOOKUP($H40,EAD_CIs!D:N,MATCH("Related",EAD_CIs!D$2:N$2,0),0) ))</f>
        <v>NO</v>
      </c>
      <c r="B40" s="203">
        <v>1007773</v>
      </c>
      <c r="C40" s="34" t="s">
        <v>1804</v>
      </c>
      <c r="D40" s="34" t="s">
        <v>36</v>
      </c>
      <c r="E40" s="34" t="s">
        <v>165</v>
      </c>
      <c r="F40" s="34" t="s">
        <v>36</v>
      </c>
      <c r="G40" s="34" t="s">
        <v>1393</v>
      </c>
      <c r="H40" s="34" t="s">
        <v>1830</v>
      </c>
      <c r="I40" s="34" t="s">
        <v>36</v>
      </c>
      <c r="J40" s="34" t="s">
        <v>104</v>
      </c>
      <c r="K40" s="34" t="s">
        <v>1421</v>
      </c>
      <c r="L40" s="34" t="s">
        <v>947</v>
      </c>
      <c r="N40" s="95"/>
      <c r="O40" s="95"/>
    </row>
    <row r="41" spans="1:15" ht="14.4" customHeight="1" x14ac:dyDescent="0.3">
      <c r="A41" s="163" t="str">
        <f>IF(ISERROR(MATCH($H41,EAD_CIs!D:D,0)),"NO",
    IF(VLOOKUP($H41,EAD_CIs!D:N,MATCH("Status",EAD_CIs!D$2:N$2,0),0)="Done","No",VLOOKUP($H41,EAD_CIs!D:N,MATCH("Related",EAD_CIs!D$2:N$2,0),0) ))</f>
        <v>#299984
#380808
#1007900
#1011909
#1003390
#1014202
#1013452</v>
      </c>
      <c r="B41" s="203">
        <v>1007757</v>
      </c>
      <c r="C41" s="34" t="s">
        <v>1803</v>
      </c>
      <c r="D41" s="34" t="s">
        <v>36</v>
      </c>
      <c r="E41" s="34" t="s">
        <v>165</v>
      </c>
      <c r="F41" s="34" t="s">
        <v>36</v>
      </c>
      <c r="G41" s="34" t="s">
        <v>582</v>
      </c>
      <c r="H41" s="34" t="s">
        <v>209</v>
      </c>
      <c r="I41" s="34" t="s">
        <v>36</v>
      </c>
      <c r="J41" s="34" t="s">
        <v>1429</v>
      </c>
      <c r="K41" s="34" t="s">
        <v>1421</v>
      </c>
      <c r="L41" s="34" t="s">
        <v>943</v>
      </c>
      <c r="N41" s="95"/>
      <c r="O41" s="95"/>
    </row>
    <row r="42" spans="1:15" ht="14.4" customHeight="1" x14ac:dyDescent="0.3">
      <c r="A42" s="163" t="str">
        <f>IF(ISERROR(MATCH($H42,EAD_CIs!D:D,0)),"NO",
    IF(VLOOKUP($H42,EAD_CIs!D:N,MATCH("Status",EAD_CIs!D$2:N$2,0),0)="Done","No",VLOOKUP($H42,EAD_CIs!D:N,MATCH("Related",EAD_CIs!D$2:N$2,0),0) ))</f>
        <v>#377408
#1001248
#381643
#383958
#315485
#342163
#299984
#354174
#381524
#332951
#318380
#386935</v>
      </c>
      <c r="B42" s="203">
        <v>1007721</v>
      </c>
      <c r="C42" s="34" t="s">
        <v>1765</v>
      </c>
      <c r="D42" s="34" t="s">
        <v>167</v>
      </c>
      <c r="E42" s="34" t="s">
        <v>28</v>
      </c>
      <c r="F42" s="34" t="s">
        <v>36</v>
      </c>
      <c r="G42" s="34" t="s">
        <v>1008</v>
      </c>
      <c r="H42" s="34" t="s">
        <v>1177</v>
      </c>
      <c r="I42" s="34" t="s">
        <v>36</v>
      </c>
      <c r="J42" s="34" t="s">
        <v>1429</v>
      </c>
      <c r="K42" s="34" t="s">
        <v>1421</v>
      </c>
      <c r="L42" s="34" t="s">
        <v>947</v>
      </c>
      <c r="N42" s="95"/>
      <c r="O42" s="95"/>
    </row>
    <row r="43" spans="1:15" ht="14.4" customHeight="1" x14ac:dyDescent="0.3">
      <c r="A43" s="163" t="str">
        <f>IF(ISERROR(MATCH($H43,EAD_CIs!D:D,0)),"NO",
    IF(VLOOKUP($H43,EAD_CIs!D:N,MATCH("Status",EAD_CIs!D$2:N$2,0),0)="Done","No",VLOOKUP($H43,EAD_CIs!D:N,MATCH("Related",EAD_CIs!D$2:N$2,0),0) ))</f>
        <v>#354871</v>
      </c>
      <c r="B43" s="203">
        <v>1007245</v>
      </c>
      <c r="C43" s="34" t="s">
        <v>1801</v>
      </c>
      <c r="D43" s="34" t="s">
        <v>36</v>
      </c>
      <c r="E43" s="34" t="s">
        <v>165</v>
      </c>
      <c r="F43" s="34" t="s">
        <v>903</v>
      </c>
      <c r="G43" s="34" t="s">
        <v>549</v>
      </c>
      <c r="H43" s="34" t="s">
        <v>297</v>
      </c>
      <c r="I43" s="34" t="s">
        <v>36</v>
      </c>
      <c r="J43" s="34" t="s">
        <v>104</v>
      </c>
      <c r="K43" s="34" t="s">
        <v>1421</v>
      </c>
      <c r="L43" s="34" t="s">
        <v>17</v>
      </c>
      <c r="N43" s="95"/>
      <c r="O43" s="95"/>
    </row>
    <row r="44" spans="1:15" ht="14.4" customHeight="1" x14ac:dyDescent="0.3">
      <c r="A44" s="163" t="str">
        <f>IF(ISERROR(MATCH($H44,EAD_CIs!D:D,0)),"NO",
    IF(VLOOKUP($H44,EAD_CIs!D:N,MATCH("Status",EAD_CIs!D$2:N$2,0),0)="Done","No",VLOOKUP($H44,EAD_CIs!D:N,MATCH("Related",EAD_CIs!D$2:N$2,0),0) ))</f>
        <v>#354871</v>
      </c>
      <c r="B44" s="203">
        <v>1007243</v>
      </c>
      <c r="C44" s="34" t="s">
        <v>1800</v>
      </c>
      <c r="D44" s="34" t="s">
        <v>36</v>
      </c>
      <c r="E44" s="34" t="s">
        <v>165</v>
      </c>
      <c r="F44" s="34" t="s">
        <v>903</v>
      </c>
      <c r="G44" s="34" t="s">
        <v>549</v>
      </c>
      <c r="H44" s="34" t="s">
        <v>297</v>
      </c>
      <c r="I44" s="34" t="s">
        <v>36</v>
      </c>
      <c r="J44" s="34" t="s">
        <v>104</v>
      </c>
      <c r="K44" s="34" t="s">
        <v>1421</v>
      </c>
      <c r="L44" s="34" t="s">
        <v>17</v>
      </c>
      <c r="N44" s="95"/>
      <c r="O44" s="95"/>
    </row>
    <row r="45" spans="1:15" ht="14.4" customHeight="1" x14ac:dyDescent="0.3">
      <c r="A45" s="163" t="str">
        <f>IF(ISERROR(MATCH($H45,EAD_CIs!D:D,0)),"NO",
    IF(VLOOKUP($H45,EAD_CIs!D:N,MATCH("Status",EAD_CIs!D$2:N$2,0),0)="Done","No",VLOOKUP($H45,EAD_CIs!D:N,MATCH("Related",EAD_CIs!D$2:N$2,0),0) ))</f>
        <v>#354871</v>
      </c>
      <c r="B45" s="203">
        <v>1007242</v>
      </c>
      <c r="C45" s="34" t="s">
        <v>1799</v>
      </c>
      <c r="D45" s="34" t="s">
        <v>36</v>
      </c>
      <c r="E45" s="34" t="s">
        <v>165</v>
      </c>
      <c r="F45" s="34" t="s">
        <v>903</v>
      </c>
      <c r="G45" s="34" t="s">
        <v>549</v>
      </c>
      <c r="H45" s="34" t="s">
        <v>297</v>
      </c>
      <c r="I45" s="34" t="s">
        <v>36</v>
      </c>
      <c r="J45" s="34" t="s">
        <v>104</v>
      </c>
      <c r="K45" s="34" t="s">
        <v>1421</v>
      </c>
      <c r="L45" s="34" t="s">
        <v>17</v>
      </c>
      <c r="N45" s="95"/>
      <c r="O45" s="95"/>
    </row>
    <row r="46" spans="1:15" ht="14.4" customHeight="1" x14ac:dyDescent="0.3">
      <c r="A46" s="163" t="str">
        <f>IF(ISERROR(MATCH($H46,EAD_CIs!D:D,0)),"NO",
    IF(VLOOKUP($H46,EAD_CIs!D:N,MATCH("Status",EAD_CIs!D$2:N$2,0),0)="Done","No",VLOOKUP($H46,EAD_CIs!D:N,MATCH("Related",EAD_CIs!D$2:N$2,0),0) ))</f>
        <v>#354871</v>
      </c>
      <c r="B46" s="203">
        <v>1007234</v>
      </c>
      <c r="C46" s="34" t="s">
        <v>1798</v>
      </c>
      <c r="D46" s="34" t="s">
        <v>36</v>
      </c>
      <c r="E46" s="34" t="s">
        <v>165</v>
      </c>
      <c r="F46" s="34" t="s">
        <v>903</v>
      </c>
      <c r="G46" s="34" t="s">
        <v>549</v>
      </c>
      <c r="H46" s="34" t="s">
        <v>297</v>
      </c>
      <c r="I46" s="34" t="s">
        <v>36</v>
      </c>
      <c r="J46" s="34" t="s">
        <v>104</v>
      </c>
      <c r="K46" s="34" t="s">
        <v>1421</v>
      </c>
      <c r="L46" s="34" t="s">
        <v>17</v>
      </c>
      <c r="N46" s="95"/>
      <c r="O46" s="95"/>
    </row>
    <row r="47" spans="1:15" ht="14.4" customHeight="1" x14ac:dyDescent="0.3">
      <c r="A47" s="163" t="str">
        <f>IF(ISERROR(MATCH($H47,EAD_CIs!D:D,0)),"NO",
    IF(VLOOKUP($H47,EAD_CIs!D:N,MATCH("Status",EAD_CIs!D$2:N$2,0),0)="Done","No",VLOOKUP($H47,EAD_CIs!D:N,MATCH("Related",EAD_CIs!D$2:N$2,0),0) ))</f>
        <v>#342054</v>
      </c>
      <c r="B47" s="203">
        <v>1005843</v>
      </c>
      <c r="C47" s="34" t="s">
        <v>1535</v>
      </c>
      <c r="D47" s="34" t="s">
        <v>36</v>
      </c>
      <c r="E47" s="34" t="s">
        <v>165</v>
      </c>
      <c r="F47" s="34" t="s">
        <v>36</v>
      </c>
      <c r="G47" s="34" t="s">
        <v>535</v>
      </c>
      <c r="H47" s="34" t="s">
        <v>222</v>
      </c>
      <c r="I47" s="34" t="s">
        <v>36</v>
      </c>
      <c r="J47" s="34" t="s">
        <v>1429</v>
      </c>
      <c r="K47" s="34" t="s">
        <v>1421</v>
      </c>
      <c r="L47" s="34" t="s">
        <v>943</v>
      </c>
      <c r="N47" s="95"/>
      <c r="O47" s="95"/>
    </row>
    <row r="48" spans="1:15" ht="14.4" customHeight="1" x14ac:dyDescent="0.3">
      <c r="A48" s="163" t="str">
        <f>IF(ISERROR(MATCH($H48,EAD_CIs!D:D,0)),"NO",
    IF(VLOOKUP($H48,EAD_CIs!D:N,MATCH("Status",EAD_CIs!D$2:N$2,0),0)="Done","No",VLOOKUP($H48,EAD_CIs!D:N,MATCH("Related",EAD_CIs!D$2:N$2,0),0) ))</f>
        <v>NO</v>
      </c>
      <c r="B48" s="203">
        <v>1005643</v>
      </c>
      <c r="C48" s="34" t="s">
        <v>1537</v>
      </c>
      <c r="D48" s="34" t="s">
        <v>36</v>
      </c>
      <c r="E48" s="34" t="s">
        <v>165</v>
      </c>
      <c r="F48" s="34" t="s">
        <v>36</v>
      </c>
      <c r="G48" s="34" t="s">
        <v>228</v>
      </c>
      <c r="H48" s="34" t="s">
        <v>1538</v>
      </c>
      <c r="I48" s="34" t="s">
        <v>36</v>
      </c>
      <c r="J48" s="34" t="s">
        <v>1429</v>
      </c>
      <c r="K48" s="34" t="s">
        <v>1421</v>
      </c>
      <c r="L48" s="34" t="s">
        <v>950</v>
      </c>
      <c r="N48" s="95"/>
      <c r="O48" s="95"/>
    </row>
    <row r="49" spans="1:15" ht="14.4" customHeight="1" x14ac:dyDescent="0.3">
      <c r="A49" s="163" t="str">
        <f>IF(ISERROR(MATCH($H49,EAD_CIs!D:D,0)),"NO",
    IF(VLOOKUP($H49,EAD_CIs!D:N,MATCH("Status",EAD_CIs!D$2:N$2,0),0)="Done","No",VLOOKUP($H49,EAD_CIs!D:N,MATCH("Related",EAD_CIs!D$2:N$2,0),0) ))</f>
        <v>#377408
#1001248
#381643
#383958
#315485
#342163
#299984
#354174
#381524
#332951
#318380
#386935</v>
      </c>
      <c r="B49" s="203">
        <v>1005317</v>
      </c>
      <c r="C49" s="34" t="s">
        <v>2015</v>
      </c>
      <c r="D49" s="34" t="s">
        <v>167</v>
      </c>
      <c r="E49" s="34" t="s">
        <v>165</v>
      </c>
      <c r="F49" s="34" t="s">
        <v>36</v>
      </c>
      <c r="G49" s="34" t="s">
        <v>548</v>
      </c>
      <c r="H49" s="34" t="s">
        <v>1177</v>
      </c>
      <c r="I49" s="34" t="s">
        <v>36</v>
      </c>
      <c r="J49" s="34" t="s">
        <v>1429</v>
      </c>
      <c r="K49" s="34" t="s">
        <v>1421</v>
      </c>
      <c r="L49" s="34" t="s">
        <v>945</v>
      </c>
      <c r="N49" s="95"/>
      <c r="O49" s="95"/>
    </row>
    <row r="50" spans="1:15" ht="14.4" customHeight="1" x14ac:dyDescent="0.3">
      <c r="A50" s="163" t="str">
        <f>IF(ISERROR(MATCH($H50,EAD_CIs!D:D,0)),"NO",
    IF(VLOOKUP($H50,EAD_CIs!D:N,MATCH("Status",EAD_CIs!D$2:N$2,0),0)="Done","No",VLOOKUP($H50,EAD_CIs!D:N,MATCH("Related",EAD_CIs!D$2:N$2,0),0) ))</f>
        <v>NO</v>
      </c>
      <c r="B50" s="203">
        <v>1005300</v>
      </c>
      <c r="C50" s="34" t="s">
        <v>1539</v>
      </c>
      <c r="D50" s="34" t="s">
        <v>36</v>
      </c>
      <c r="E50" s="34" t="s">
        <v>165</v>
      </c>
      <c r="F50" s="34" t="s">
        <v>1013</v>
      </c>
      <c r="G50" s="34" t="s">
        <v>916</v>
      </c>
      <c r="H50" s="34" t="s">
        <v>1540</v>
      </c>
      <c r="I50" s="34" t="s">
        <v>36</v>
      </c>
      <c r="J50" s="34" t="s">
        <v>1429</v>
      </c>
      <c r="K50" s="34" t="s">
        <v>1421</v>
      </c>
      <c r="L50" s="34" t="s">
        <v>554</v>
      </c>
      <c r="N50" s="95"/>
      <c r="O50" s="95"/>
    </row>
    <row r="51" spans="1:15" ht="14.4" customHeight="1" x14ac:dyDescent="0.3">
      <c r="A51" s="163" t="str">
        <f>IF(ISERROR(MATCH($H51,EAD_CIs!D:D,0)),"NO",
    IF(VLOOKUP($H51,EAD_CIs!D:N,MATCH("Status",EAD_CIs!D$2:N$2,0),0)="Done","No",VLOOKUP($H51,EAD_CIs!D:N,MATCH("Related",EAD_CIs!D$2:N$2,0),0) ))</f>
        <v>NO</v>
      </c>
      <c r="B51" s="203">
        <v>1005277</v>
      </c>
      <c r="C51" s="34" t="s">
        <v>2118</v>
      </c>
      <c r="D51" s="34" t="s">
        <v>167</v>
      </c>
      <c r="E51" s="34" t="s">
        <v>165</v>
      </c>
      <c r="F51" s="34" t="s">
        <v>36</v>
      </c>
      <c r="G51" s="34" t="s">
        <v>195</v>
      </c>
      <c r="H51" s="34" t="s">
        <v>246</v>
      </c>
      <c r="I51" s="34" t="s">
        <v>36</v>
      </c>
      <c r="J51" s="34" t="s">
        <v>1429</v>
      </c>
      <c r="K51" s="34" t="s">
        <v>1421</v>
      </c>
      <c r="L51" s="34" t="s">
        <v>951</v>
      </c>
      <c r="N51" s="95"/>
      <c r="O51" s="95"/>
    </row>
    <row r="52" spans="1:15" ht="14.4" customHeight="1" x14ac:dyDescent="0.3">
      <c r="A52" s="163" t="str">
        <f>IF(ISERROR(MATCH($H52,EAD_CIs!D:D,0)),"NO",
    IF(VLOOKUP($H52,EAD_CIs!D:N,MATCH("Status",EAD_CIs!D$2:N$2,0),0)="Done","No",VLOOKUP($H52,EAD_CIs!D:N,MATCH("Related",EAD_CIs!D$2:N$2,0),0) ))</f>
        <v>#377408
#1001248
#381643
#383958
#315485
#342163
#299984
#354174
#381524
#332951
#318380
#386935</v>
      </c>
      <c r="B52" s="203">
        <v>1005271</v>
      </c>
      <c r="C52" s="34" t="s">
        <v>1797</v>
      </c>
      <c r="D52" s="34" t="s">
        <v>167</v>
      </c>
      <c r="E52" s="34" t="s">
        <v>165</v>
      </c>
      <c r="F52" s="34" t="s">
        <v>36</v>
      </c>
      <c r="G52" s="34" t="s">
        <v>582</v>
      </c>
      <c r="H52" s="34" t="s">
        <v>1177</v>
      </c>
      <c r="I52" s="34" t="s">
        <v>36</v>
      </c>
      <c r="J52" s="34" t="s">
        <v>1429</v>
      </c>
      <c r="K52" s="34" t="s">
        <v>1421</v>
      </c>
      <c r="L52" s="34" t="s">
        <v>943</v>
      </c>
      <c r="N52" s="95"/>
      <c r="O52" s="95"/>
    </row>
    <row r="53" spans="1:15" ht="14.4" customHeight="1" x14ac:dyDescent="0.3">
      <c r="A53" s="163" t="str">
        <f>IF(ISERROR(MATCH($H53,EAD_CIs!D:D,0)),"NO",
    IF(VLOOKUP($H53,EAD_CIs!D:N,MATCH("Status",EAD_CIs!D$2:N$2,0),0)="Done","No",VLOOKUP($H53,EAD_CIs!D:N,MATCH("Related",EAD_CIs!D$2:N$2,0),0) ))</f>
        <v>NO</v>
      </c>
      <c r="B53" s="203">
        <v>1005261</v>
      </c>
      <c r="C53" s="34" t="s">
        <v>2119</v>
      </c>
      <c r="D53" s="34" t="s">
        <v>167</v>
      </c>
      <c r="E53" s="34" t="s">
        <v>165</v>
      </c>
      <c r="F53" s="34" t="s">
        <v>36</v>
      </c>
      <c r="G53" s="34" t="s">
        <v>195</v>
      </c>
      <c r="H53" s="34" t="s">
        <v>246</v>
      </c>
      <c r="I53" s="34" t="s">
        <v>36</v>
      </c>
      <c r="J53" s="34" t="s">
        <v>1429</v>
      </c>
      <c r="K53" s="34" t="s">
        <v>1421</v>
      </c>
      <c r="L53" s="34" t="s">
        <v>951</v>
      </c>
      <c r="N53" s="95"/>
      <c r="O53" s="95"/>
    </row>
    <row r="54" spans="1:15" ht="14.4" customHeight="1" x14ac:dyDescent="0.3">
      <c r="A54" s="163" t="str">
        <f>IF(ISERROR(MATCH($H54,EAD_CIs!D:D,0)),"NO",
    IF(VLOOKUP($H54,EAD_CIs!D:N,MATCH("Status",EAD_CIs!D$2:N$2,0),0)="Done","No",VLOOKUP($H54,EAD_CIs!D:N,MATCH("Related",EAD_CIs!D$2:N$2,0),0) ))</f>
        <v>#377408
#1001248
#381643
#383958
#315485
#342163
#299984
#354174
#381524
#332951
#318380
#386935</v>
      </c>
      <c r="B54" s="203">
        <v>1005210</v>
      </c>
      <c r="C54" s="34" t="s">
        <v>2120</v>
      </c>
      <c r="D54" s="34" t="s">
        <v>36</v>
      </c>
      <c r="E54" s="34" t="s">
        <v>165</v>
      </c>
      <c r="F54" s="34" t="s">
        <v>242</v>
      </c>
      <c r="G54" s="34" t="s">
        <v>1828</v>
      </c>
      <c r="H54" s="34" t="s">
        <v>1177</v>
      </c>
      <c r="I54" s="34" t="s">
        <v>36</v>
      </c>
      <c r="J54" s="34" t="s">
        <v>1429</v>
      </c>
      <c r="K54" s="34" t="s">
        <v>1421</v>
      </c>
      <c r="L54" s="34" t="s">
        <v>947</v>
      </c>
      <c r="N54" s="95"/>
      <c r="O54" s="95"/>
    </row>
    <row r="55" spans="1:15" ht="14.4" customHeight="1" x14ac:dyDescent="0.3">
      <c r="A55" s="163" t="str">
        <f>IF(ISERROR(MATCH($H55,EAD_CIs!D:D,0)),"NO",
    IF(VLOOKUP($H55,EAD_CIs!D:N,MATCH("Status",EAD_CIs!D$2:N$2,0),0)="Done","No",VLOOKUP($H55,EAD_CIs!D:N,MATCH("Related",EAD_CIs!D$2:N$2,0),0) ))</f>
        <v>NO</v>
      </c>
      <c r="B55" s="203">
        <v>1004801</v>
      </c>
      <c r="C55" s="34" t="s">
        <v>1541</v>
      </c>
      <c r="D55" s="34" t="s">
        <v>36</v>
      </c>
      <c r="E55" s="34" t="s">
        <v>165</v>
      </c>
      <c r="F55" s="34" t="s">
        <v>242</v>
      </c>
      <c r="G55" s="34" t="s">
        <v>824</v>
      </c>
      <c r="H55" s="34" t="s">
        <v>324</v>
      </c>
      <c r="I55" s="34" t="s">
        <v>36</v>
      </c>
      <c r="J55" s="34" t="s">
        <v>1429</v>
      </c>
      <c r="K55" s="34" t="s">
        <v>1421</v>
      </c>
      <c r="L55" s="34" t="s">
        <v>17</v>
      </c>
      <c r="N55" s="95"/>
      <c r="O55" s="95"/>
    </row>
    <row r="56" spans="1:15" ht="14.4" customHeight="1" x14ac:dyDescent="0.3">
      <c r="A56" s="163" t="str">
        <f>IF(ISERROR(MATCH($H56,EAD_CIs!D:D,0)),"NO",
    IF(VLOOKUP($H56,EAD_CIs!D:N,MATCH("Status",EAD_CIs!D$2:N$2,0),0)="Done","No",VLOOKUP($H56,EAD_CIs!D:N,MATCH("Related",EAD_CIs!D$2:N$2,0),0) ))</f>
        <v>#377408
#1001248
#381643
#383958
#315485
#342163
#299984
#354174
#381524
#332951
#318380
#386935</v>
      </c>
      <c r="B56" s="203">
        <v>1004782</v>
      </c>
      <c r="C56" s="34" t="s">
        <v>1487</v>
      </c>
      <c r="D56" s="34" t="s">
        <v>36</v>
      </c>
      <c r="E56" s="34" t="s">
        <v>165</v>
      </c>
      <c r="F56" s="34" t="s">
        <v>242</v>
      </c>
      <c r="G56" s="34" t="s">
        <v>228</v>
      </c>
      <c r="H56" s="34" t="s">
        <v>1177</v>
      </c>
      <c r="I56" s="34" t="s">
        <v>36</v>
      </c>
      <c r="J56" s="34" t="s">
        <v>1429</v>
      </c>
      <c r="K56" s="34" t="s">
        <v>1421</v>
      </c>
      <c r="L56" s="34" t="s">
        <v>943</v>
      </c>
      <c r="N56" s="95"/>
      <c r="O56" s="95"/>
    </row>
    <row r="57" spans="1:15" ht="14.4" customHeight="1" x14ac:dyDescent="0.3">
      <c r="A57" s="163" t="str">
        <f>IF(ISERROR(MATCH($H57,EAD_CIs!D:D,0)),"NO",
    IF(VLOOKUP($H57,EAD_CIs!D:N,MATCH("Status",EAD_CIs!D$2:N$2,0),0)="Done","No",VLOOKUP($H57,EAD_CIs!D:N,MATCH("Related",EAD_CIs!D$2:N$2,0),0) ))</f>
        <v>NO</v>
      </c>
      <c r="B57" s="203">
        <v>1004759</v>
      </c>
      <c r="C57" s="34" t="s">
        <v>1488</v>
      </c>
      <c r="D57" s="34" t="s">
        <v>36</v>
      </c>
      <c r="E57" s="34" t="s">
        <v>165</v>
      </c>
      <c r="F57" s="34" t="s">
        <v>242</v>
      </c>
      <c r="G57" s="34" t="s">
        <v>1008</v>
      </c>
      <c r="H57" s="34" t="s">
        <v>339</v>
      </c>
      <c r="I57" s="34" t="s">
        <v>36</v>
      </c>
      <c r="J57" s="34" t="s">
        <v>1429</v>
      </c>
      <c r="K57" s="34" t="s">
        <v>1421</v>
      </c>
      <c r="L57" s="34" t="s">
        <v>947</v>
      </c>
      <c r="N57" s="95"/>
      <c r="O57" s="95"/>
    </row>
    <row r="58" spans="1:15" ht="14.4" customHeight="1" x14ac:dyDescent="0.3">
      <c r="A58" s="163" t="str">
        <f>IF(ISERROR(MATCH($H58,EAD_CIs!D:D,0)),"NO",
    IF(VLOOKUP($H58,EAD_CIs!D:N,MATCH("Status",EAD_CIs!D$2:N$2,0),0)="Done","No",VLOOKUP($H58,EAD_CIs!D:N,MATCH("Related",EAD_CIs!D$2:N$2,0),0) ))</f>
        <v>NO</v>
      </c>
      <c r="B58" s="203">
        <v>1004099</v>
      </c>
      <c r="C58" s="34" t="s">
        <v>1489</v>
      </c>
      <c r="D58" s="34" t="s">
        <v>167</v>
      </c>
      <c r="E58" s="34" t="s">
        <v>165</v>
      </c>
      <c r="F58" s="34" t="s">
        <v>36</v>
      </c>
      <c r="G58" s="34" t="s">
        <v>933</v>
      </c>
      <c r="H58" s="34" t="s">
        <v>194</v>
      </c>
      <c r="I58" s="34" t="s">
        <v>36</v>
      </c>
      <c r="J58" s="34" t="s">
        <v>1429</v>
      </c>
      <c r="K58" s="34" t="s">
        <v>1421</v>
      </c>
      <c r="L58" s="34" t="s">
        <v>951</v>
      </c>
      <c r="N58" s="95"/>
      <c r="O58" s="95"/>
    </row>
    <row r="59" spans="1:15" ht="14.4" customHeight="1" x14ac:dyDescent="0.3">
      <c r="A59" s="163" t="str">
        <f>IF(ISERROR(MATCH($H59,EAD_CIs!D:D,0)),"NO",
    IF(VLOOKUP($H59,EAD_CIs!D:N,MATCH("Status",EAD_CIs!D$2:N$2,0),0)="Done","No",VLOOKUP($H59,EAD_CIs!D:N,MATCH("Related",EAD_CIs!D$2:N$2,0),0) ))</f>
        <v>#377408
#1001248
#381643
#383958
#315485
#342163
#299984
#354174
#381524
#332951
#318380
#386935</v>
      </c>
      <c r="B59" s="203">
        <v>1004016</v>
      </c>
      <c r="C59" s="34" t="s">
        <v>1490</v>
      </c>
      <c r="D59" s="34" t="s">
        <v>857</v>
      </c>
      <c r="E59" s="34" t="s">
        <v>28</v>
      </c>
      <c r="F59" s="34" t="s">
        <v>1824</v>
      </c>
      <c r="G59" s="34" t="s">
        <v>549</v>
      </c>
      <c r="H59" s="34" t="s">
        <v>1177</v>
      </c>
      <c r="I59" s="34" t="s">
        <v>36</v>
      </c>
      <c r="J59" s="34" t="s">
        <v>1429</v>
      </c>
      <c r="K59" s="34" t="s">
        <v>1421</v>
      </c>
      <c r="L59" s="34" t="s">
        <v>17</v>
      </c>
      <c r="N59" s="95"/>
      <c r="O59" s="95"/>
    </row>
    <row r="60" spans="1:15" ht="14.4" customHeight="1" x14ac:dyDescent="0.3">
      <c r="A60" s="163" t="str">
        <f>IF(ISERROR(MATCH($H60,EAD_CIs!D:D,0)),"NO",
    IF(VLOOKUP($H60,EAD_CIs!D:N,MATCH("Status",EAD_CIs!D$2:N$2,0),0)="Done","No",VLOOKUP($H60,EAD_CIs!D:N,MATCH("Related",EAD_CIs!D$2:N$2,0),0) ))</f>
        <v>NO</v>
      </c>
      <c r="B60" s="203">
        <v>1003867</v>
      </c>
      <c r="C60" s="34" t="s">
        <v>1491</v>
      </c>
      <c r="D60" s="34" t="s">
        <v>167</v>
      </c>
      <c r="E60" s="34" t="s">
        <v>165</v>
      </c>
      <c r="F60" s="34" t="s">
        <v>36</v>
      </c>
      <c r="G60" s="34" t="s">
        <v>228</v>
      </c>
      <c r="H60" s="34" t="s">
        <v>296</v>
      </c>
      <c r="I60" s="34" t="s">
        <v>36</v>
      </c>
      <c r="J60" s="34" t="s">
        <v>1429</v>
      </c>
      <c r="K60" s="34" t="s">
        <v>1421</v>
      </c>
      <c r="L60" s="34" t="s">
        <v>943</v>
      </c>
      <c r="N60" s="95"/>
      <c r="O60" s="95"/>
    </row>
    <row r="61" spans="1:15" ht="14.4" customHeight="1" x14ac:dyDescent="0.3">
      <c r="A61" s="163" t="str">
        <f>IF(ISERROR(MATCH($H61,EAD_CIs!D:D,0)),"NO",
    IF(VLOOKUP($H61,EAD_CIs!D:N,MATCH("Status",EAD_CIs!D$2:N$2,0),0)="Done","No",VLOOKUP($H61,EAD_CIs!D:N,MATCH("Related",EAD_CIs!D$2:N$2,0),0) ))</f>
        <v>NO</v>
      </c>
      <c r="B61" s="203">
        <v>1003865</v>
      </c>
      <c r="C61" s="34" t="s">
        <v>1492</v>
      </c>
      <c r="D61" s="34" t="s">
        <v>167</v>
      </c>
      <c r="E61" s="34" t="s">
        <v>165</v>
      </c>
      <c r="F61" s="34" t="s">
        <v>1013</v>
      </c>
      <c r="G61" s="34" t="s">
        <v>1494</v>
      </c>
      <c r="H61" s="34" t="s">
        <v>1495</v>
      </c>
      <c r="I61" s="34" t="s">
        <v>36</v>
      </c>
      <c r="J61" s="34" t="s">
        <v>1420</v>
      </c>
      <c r="K61" s="34" t="s">
        <v>1421</v>
      </c>
      <c r="L61" s="34" t="s">
        <v>554</v>
      </c>
      <c r="N61" s="95"/>
      <c r="O61" s="95"/>
    </row>
    <row r="62" spans="1:15" ht="14.4" customHeight="1" x14ac:dyDescent="0.3">
      <c r="A62" s="163" t="str">
        <f>IF(ISERROR(MATCH($H62,EAD_CIs!D:D,0)),"NO",
    IF(VLOOKUP($H62,EAD_CIs!D:N,MATCH("Status",EAD_CIs!D$2:N$2,0),0)="Done","No",VLOOKUP($H62,EAD_CIs!D:N,MATCH("Related",EAD_CIs!D$2:N$2,0),0) ))</f>
        <v>NO</v>
      </c>
      <c r="B62" s="203">
        <v>1003864</v>
      </c>
      <c r="C62" s="34" t="s">
        <v>1493</v>
      </c>
      <c r="D62" s="34" t="s">
        <v>167</v>
      </c>
      <c r="E62" s="34" t="s">
        <v>165</v>
      </c>
      <c r="F62" s="34" t="s">
        <v>36</v>
      </c>
      <c r="G62" s="34" t="s">
        <v>195</v>
      </c>
      <c r="H62" s="34" t="s">
        <v>194</v>
      </c>
      <c r="I62" s="34" t="s">
        <v>36</v>
      </c>
      <c r="J62" s="34" t="s">
        <v>1429</v>
      </c>
      <c r="K62" s="34" t="s">
        <v>1421</v>
      </c>
      <c r="L62" s="34" t="s">
        <v>951</v>
      </c>
      <c r="N62" s="95"/>
      <c r="O62" s="95"/>
    </row>
    <row r="63" spans="1:15" ht="14.4" customHeight="1" x14ac:dyDescent="0.3">
      <c r="A63" s="163">
        <f>IF(ISERROR(MATCH($H63,EAD_CIs!D:D,0)),"NO",
    IF(VLOOKUP($H63,EAD_CIs!D:N,MATCH("Status",EAD_CIs!D$2:N$2,0),0)="Done","No",VLOOKUP($H63,EAD_CIs!D:N,MATCH("Related",EAD_CIs!D$2:N$2,0),0) ))</f>
        <v>0</v>
      </c>
      <c r="B63" s="203">
        <v>1003719</v>
      </c>
      <c r="C63" s="34" t="s">
        <v>1496</v>
      </c>
      <c r="D63" s="34" t="s">
        <v>857</v>
      </c>
      <c r="E63" s="34" t="s">
        <v>28</v>
      </c>
      <c r="F63" s="34" t="s">
        <v>1824</v>
      </c>
      <c r="G63" s="34" t="s">
        <v>549</v>
      </c>
      <c r="H63" s="34" t="s">
        <v>635</v>
      </c>
      <c r="I63" s="34" t="s">
        <v>36</v>
      </c>
      <c r="J63" s="34" t="s">
        <v>1429</v>
      </c>
      <c r="K63" s="34" t="s">
        <v>1421</v>
      </c>
      <c r="L63" s="34" t="s">
        <v>17</v>
      </c>
      <c r="N63" s="95"/>
      <c r="O63" s="95"/>
    </row>
    <row r="64" spans="1:15" ht="14.4" customHeight="1" x14ac:dyDescent="0.3">
      <c r="A64" s="163" t="str">
        <f>IF(ISERROR(MATCH($H64,EAD_CIs!D:D,0)),"NO",
    IF(VLOOKUP($H64,EAD_CIs!D:N,MATCH("Status",EAD_CIs!D$2:N$2,0),0)="Done","No",VLOOKUP($H64,EAD_CIs!D:N,MATCH("Related",EAD_CIs!D$2:N$2,0),0) ))</f>
        <v>#1003390
#1014169</v>
      </c>
      <c r="B64" s="203">
        <v>1003569</v>
      </c>
      <c r="C64" s="34" t="s">
        <v>1497</v>
      </c>
      <c r="D64" s="34" t="s">
        <v>36</v>
      </c>
      <c r="E64" s="34" t="s">
        <v>165</v>
      </c>
      <c r="F64" s="34" t="s">
        <v>1013</v>
      </c>
      <c r="G64" s="34" t="s">
        <v>595</v>
      </c>
      <c r="H64" s="34" t="s">
        <v>206</v>
      </c>
      <c r="I64" s="34" t="s">
        <v>36</v>
      </c>
      <c r="J64" s="34" t="s">
        <v>1429</v>
      </c>
      <c r="K64" s="34" t="s">
        <v>1421</v>
      </c>
      <c r="L64" s="34" t="s">
        <v>554</v>
      </c>
      <c r="N64" s="95"/>
      <c r="O64" s="95"/>
    </row>
    <row r="65" spans="1:15" ht="14.4" customHeight="1" x14ac:dyDescent="0.3">
      <c r="A65" s="163" t="str">
        <f>IF(ISERROR(MATCH($H65,EAD_CIs!D:D,0)),"NO",
    IF(VLOOKUP($H65,EAD_CIs!D:N,MATCH("Status",EAD_CIs!D$2:N$2,0),0)="Done","No",VLOOKUP($H65,EAD_CIs!D:N,MATCH("Related",EAD_CIs!D$2:N$2,0),0) ))</f>
        <v>#299984
#380808
#1007900
#1011909
#1003390
#1014202
#1013452</v>
      </c>
      <c r="B65" s="203">
        <v>1003351</v>
      </c>
      <c r="C65" s="34" t="s">
        <v>1498</v>
      </c>
      <c r="D65" s="34" t="s">
        <v>36</v>
      </c>
      <c r="E65" s="34" t="s">
        <v>165</v>
      </c>
      <c r="F65" s="34" t="s">
        <v>36</v>
      </c>
      <c r="G65" s="34" t="s">
        <v>582</v>
      </c>
      <c r="H65" s="34" t="s">
        <v>209</v>
      </c>
      <c r="I65" s="34" t="s">
        <v>36</v>
      </c>
      <c r="J65" s="34" t="s">
        <v>1429</v>
      </c>
      <c r="K65" s="34" t="s">
        <v>1421</v>
      </c>
      <c r="L65" s="34" t="s">
        <v>943</v>
      </c>
      <c r="N65" s="95"/>
      <c r="O65" s="95"/>
    </row>
    <row r="66" spans="1:15" ht="14.4" customHeight="1" x14ac:dyDescent="0.3">
      <c r="A66" s="163" t="str">
        <f>IF(ISERROR(MATCH($H66,EAD_CIs!D:D,0)),"NO",
    IF(VLOOKUP($H66,EAD_CIs!D:N,MATCH("Status",EAD_CIs!D$2:N$2,0),0)="Done","No",VLOOKUP($H66,EAD_CIs!D:N,MATCH("Related",EAD_CIs!D$2:N$2,0),0) ))</f>
        <v>NO</v>
      </c>
      <c r="B66" s="203">
        <v>1003195</v>
      </c>
      <c r="C66" s="34" t="s">
        <v>1499</v>
      </c>
      <c r="D66" s="34" t="s">
        <v>167</v>
      </c>
      <c r="E66" s="34" t="s">
        <v>165</v>
      </c>
      <c r="F66" s="34" t="s">
        <v>36</v>
      </c>
      <c r="G66" s="34" t="s">
        <v>1008</v>
      </c>
      <c r="H66" s="34" t="s">
        <v>515</v>
      </c>
      <c r="I66" s="34" t="s">
        <v>36</v>
      </c>
      <c r="J66" s="34" t="s">
        <v>1429</v>
      </c>
      <c r="K66" s="34" t="s">
        <v>1421</v>
      </c>
      <c r="L66" s="34" t="s">
        <v>947</v>
      </c>
      <c r="N66" s="95"/>
      <c r="O66" s="95"/>
    </row>
    <row r="67" spans="1:15" ht="14.4" customHeight="1" x14ac:dyDescent="0.3">
      <c r="A67" s="163" t="str">
        <f>IF(ISERROR(MATCH($H67,EAD_CIs!D:D,0)),"NO",
    IF(VLOOKUP($H67,EAD_CIs!D:N,MATCH("Status",EAD_CIs!D$2:N$2,0),0)="Done","No",VLOOKUP($H67,EAD_CIs!D:N,MATCH("Related",EAD_CIs!D$2:N$2,0),0) ))</f>
        <v>#377408
#1001248
#381643
#383958
#315485
#342163
#299984
#354174
#381524
#332951
#318380
#386935</v>
      </c>
      <c r="B67" s="203">
        <v>1002724</v>
      </c>
      <c r="C67" s="34" t="s">
        <v>1500</v>
      </c>
      <c r="D67" s="34" t="s">
        <v>36</v>
      </c>
      <c r="E67" s="34" t="s">
        <v>165</v>
      </c>
      <c r="F67" s="34" t="s">
        <v>242</v>
      </c>
      <c r="G67" s="34" t="s">
        <v>1008</v>
      </c>
      <c r="H67" s="34" t="s">
        <v>1177</v>
      </c>
      <c r="I67" s="34" t="s">
        <v>36</v>
      </c>
      <c r="J67" s="34" t="s">
        <v>1429</v>
      </c>
      <c r="K67" s="34" t="s">
        <v>1421</v>
      </c>
      <c r="L67" s="34" t="s">
        <v>947</v>
      </c>
      <c r="N67" s="95"/>
      <c r="O67" s="95"/>
    </row>
    <row r="68" spans="1:15" ht="14.4" customHeight="1" x14ac:dyDescent="0.3">
      <c r="A68" s="163" t="str">
        <f>IF(ISERROR(MATCH($H68,EAD_CIs!D:D,0)),"NO",
    IF(VLOOKUP($H68,EAD_CIs!D:N,MATCH("Status",EAD_CIs!D$2:N$2,0),0)="Done","No",VLOOKUP($H68,EAD_CIs!D:N,MATCH("Related",EAD_CIs!D$2:N$2,0),0) ))</f>
        <v>#377408
#1001248
#381643
#383958
#315485
#342163
#299984
#354174
#381524
#332951
#318380
#386935</v>
      </c>
      <c r="B68" s="203">
        <v>1001571</v>
      </c>
      <c r="C68" s="34" t="s">
        <v>2121</v>
      </c>
      <c r="D68" s="34" t="s">
        <v>36</v>
      </c>
      <c r="E68" s="34" t="s">
        <v>165</v>
      </c>
      <c r="F68" s="34" t="s">
        <v>242</v>
      </c>
      <c r="G68" s="34" t="s">
        <v>1116</v>
      </c>
      <c r="H68" s="34" t="s">
        <v>1177</v>
      </c>
      <c r="I68" s="34" t="s">
        <v>36</v>
      </c>
      <c r="J68" s="34" t="s">
        <v>1429</v>
      </c>
      <c r="K68" s="34" t="s">
        <v>1421</v>
      </c>
      <c r="L68" s="34" t="s">
        <v>947</v>
      </c>
      <c r="N68" s="95"/>
      <c r="O68" s="95"/>
    </row>
    <row r="69" spans="1:15" ht="14.4" customHeight="1" x14ac:dyDescent="0.3">
      <c r="A69" s="163" t="str">
        <f>IF(ISERROR(MATCH($H69,EAD_CIs!D:D,0)),"NO",
    IF(VLOOKUP($H69,EAD_CIs!D:N,MATCH("Status",EAD_CIs!D$2:N$2,0),0)="Done","No",VLOOKUP($H69,EAD_CIs!D:N,MATCH("Related",EAD_CIs!D$2:N$2,0),0) ))</f>
        <v>NO</v>
      </c>
      <c r="B69" s="203">
        <v>1001222</v>
      </c>
      <c r="C69" s="34" t="s">
        <v>1405</v>
      </c>
      <c r="D69" s="34" t="s">
        <v>167</v>
      </c>
      <c r="E69" s="34" t="s">
        <v>165</v>
      </c>
      <c r="F69" s="34" t="s">
        <v>1013</v>
      </c>
      <c r="G69" s="34" t="s">
        <v>1165</v>
      </c>
      <c r="H69" s="34" t="s">
        <v>210</v>
      </c>
      <c r="I69" s="34" t="s">
        <v>36</v>
      </c>
      <c r="J69" s="34" t="s">
        <v>1429</v>
      </c>
      <c r="K69" s="34" t="s">
        <v>1421</v>
      </c>
      <c r="L69" s="34" t="s">
        <v>554</v>
      </c>
      <c r="N69" s="95"/>
      <c r="O69" s="95"/>
    </row>
    <row r="70" spans="1:15" ht="14.4" customHeight="1" x14ac:dyDescent="0.3">
      <c r="A70" s="163" t="str">
        <f>IF(ISERROR(MATCH($H70,EAD_CIs!D:D,0)),"NO",
    IF(VLOOKUP($H70,EAD_CIs!D:N,MATCH("Status",EAD_CIs!D$2:N$2,0),0)="Done","No",VLOOKUP($H70,EAD_CIs!D:N,MATCH("Related",EAD_CIs!D$2:N$2,0),0) ))</f>
        <v>#377408
#1001248
#381643
#383958
#315485
#342163
#299984
#354174
#381524
#332951
#318380
#386935</v>
      </c>
      <c r="B70" s="203">
        <v>1000411</v>
      </c>
      <c r="C70" s="34" t="s">
        <v>1438</v>
      </c>
      <c r="D70" s="34" t="s">
        <v>167</v>
      </c>
      <c r="E70" s="34" t="s">
        <v>28</v>
      </c>
      <c r="F70" s="34" t="s">
        <v>1823</v>
      </c>
      <c r="G70" s="34" t="s">
        <v>601</v>
      </c>
      <c r="H70" s="34" t="s">
        <v>1177</v>
      </c>
      <c r="I70" s="34" t="s">
        <v>36</v>
      </c>
      <c r="J70" s="34" t="s">
        <v>1429</v>
      </c>
      <c r="K70" s="34" t="s">
        <v>1421</v>
      </c>
      <c r="L70" s="34" t="s">
        <v>951</v>
      </c>
      <c r="N70" s="95"/>
      <c r="O70" s="95"/>
    </row>
    <row r="71" spans="1:15" ht="14.4" customHeight="1" x14ac:dyDescent="0.3">
      <c r="A71" s="163" t="str">
        <f>IF(ISERROR(MATCH($H71,EAD_CIs!D:D,0)),"NO",
    IF(VLOOKUP($H71,EAD_CIs!D:N,MATCH("Status",EAD_CIs!D$2:N$2,0),0)="Done","No",VLOOKUP($H71,EAD_CIs!D:N,MATCH("Related",EAD_CIs!D$2:N$2,0),0) ))</f>
        <v>#377408
#1001248
#381643
#383958
#315485
#342163
#299984
#354174
#381524
#332951
#318380
#386935</v>
      </c>
      <c r="B71" s="203">
        <v>1000405</v>
      </c>
      <c r="C71" s="34" t="s">
        <v>1404</v>
      </c>
      <c r="D71" s="34" t="s">
        <v>886</v>
      </c>
      <c r="E71" s="34" t="s">
        <v>165</v>
      </c>
      <c r="F71" s="34" t="s">
        <v>903</v>
      </c>
      <c r="G71" s="34" t="s">
        <v>549</v>
      </c>
      <c r="H71" s="34" t="s">
        <v>1177</v>
      </c>
      <c r="I71" s="34" t="s">
        <v>36</v>
      </c>
      <c r="J71" s="34" t="s">
        <v>1429</v>
      </c>
      <c r="K71" s="34" t="s">
        <v>1421</v>
      </c>
      <c r="L71" s="34" t="s">
        <v>17</v>
      </c>
      <c r="N71" s="95"/>
      <c r="O71" s="95"/>
    </row>
    <row r="72" spans="1:15" ht="14.4" customHeight="1" x14ac:dyDescent="0.3">
      <c r="A72" s="163" t="str">
        <f>IF(ISERROR(MATCH($H72,EAD_CIs!D:D,0)),"NO",
    IF(VLOOKUP($H72,EAD_CIs!D:N,MATCH("Status",EAD_CIs!D$2:N$2,0),0)="Done","No",VLOOKUP($H72,EAD_CIs!D:N,MATCH("Related",EAD_CIs!D$2:N$2,0),0) ))</f>
        <v>#377408
#1001248
#381643
#383958
#315485
#342163
#299984
#354174
#381524
#332951
#318380
#386935</v>
      </c>
      <c r="B72" s="203">
        <v>1000404</v>
      </c>
      <c r="C72" s="34" t="s">
        <v>1403</v>
      </c>
      <c r="D72" s="34" t="s">
        <v>36</v>
      </c>
      <c r="E72" s="34" t="s">
        <v>165</v>
      </c>
      <c r="F72" s="34" t="s">
        <v>903</v>
      </c>
      <c r="G72" s="34" t="s">
        <v>549</v>
      </c>
      <c r="H72" s="34" t="s">
        <v>1177</v>
      </c>
      <c r="I72" s="34" t="s">
        <v>36</v>
      </c>
      <c r="J72" s="34" t="s">
        <v>1429</v>
      </c>
      <c r="K72" s="34" t="s">
        <v>1421</v>
      </c>
      <c r="L72" s="34" t="s">
        <v>17</v>
      </c>
      <c r="N72" s="95"/>
      <c r="O72" s="95"/>
    </row>
    <row r="73" spans="1:15" ht="14.4" customHeight="1" x14ac:dyDescent="0.3">
      <c r="A73" s="163" t="str">
        <f>IF(ISERROR(MATCH($H73,EAD_CIs!D:D,0)),"NO",
    IF(VLOOKUP($H73,EAD_CIs!D:N,MATCH("Status",EAD_CIs!D$2:N$2,0),0)="Done","No",VLOOKUP($H73,EAD_CIs!D:N,MATCH("Related",EAD_CIs!D$2:N$2,0),0) ))</f>
        <v>#377408
#1001248
#381643
#383958
#315485
#342163
#299984
#354174
#381524
#332951
#318380
#386935</v>
      </c>
      <c r="B73" s="203">
        <v>1000403</v>
      </c>
      <c r="C73" s="34" t="s">
        <v>1402</v>
      </c>
      <c r="D73" s="34" t="s">
        <v>36</v>
      </c>
      <c r="E73" s="34" t="s">
        <v>165</v>
      </c>
      <c r="F73" s="34" t="s">
        <v>903</v>
      </c>
      <c r="G73" s="34" t="s">
        <v>549</v>
      </c>
      <c r="H73" s="34" t="s">
        <v>1177</v>
      </c>
      <c r="I73" s="34" t="s">
        <v>36</v>
      </c>
      <c r="J73" s="34" t="s">
        <v>1429</v>
      </c>
      <c r="K73" s="34" t="s">
        <v>1421</v>
      </c>
      <c r="L73" s="34" t="s">
        <v>17</v>
      </c>
      <c r="N73" s="95"/>
      <c r="O73" s="95"/>
    </row>
    <row r="74" spans="1:15" ht="14.4" customHeight="1" x14ac:dyDescent="0.3">
      <c r="A74" s="163" t="str">
        <f>IF(ISERROR(MATCH($H74,EAD_CIs!D:D,0)),"NO",
    IF(VLOOKUP($H74,EAD_CIs!D:N,MATCH("Status",EAD_CIs!D$2:N$2,0),0)="Done","No",VLOOKUP($H74,EAD_CIs!D:N,MATCH("Related",EAD_CIs!D$2:N$2,0),0) ))</f>
        <v>#354871</v>
      </c>
      <c r="B74" s="203">
        <v>1000393</v>
      </c>
      <c r="C74" s="34" t="s">
        <v>1401</v>
      </c>
      <c r="D74" s="34" t="s">
        <v>886</v>
      </c>
      <c r="E74" s="34" t="s">
        <v>165</v>
      </c>
      <c r="F74" s="34" t="s">
        <v>903</v>
      </c>
      <c r="G74" s="34" t="s">
        <v>549</v>
      </c>
      <c r="H74" s="34" t="s">
        <v>297</v>
      </c>
      <c r="I74" s="34" t="s">
        <v>36</v>
      </c>
      <c r="J74" s="34" t="s">
        <v>1429</v>
      </c>
      <c r="K74" s="34" t="s">
        <v>1421</v>
      </c>
      <c r="L74" s="34" t="s">
        <v>17</v>
      </c>
      <c r="N74" s="95"/>
      <c r="O74" s="95"/>
    </row>
    <row r="75" spans="1:15" ht="14.4" customHeight="1" x14ac:dyDescent="0.3">
      <c r="A75" s="163" t="str">
        <f>IF(ISERROR(MATCH($H75,EAD_CIs!D:D,0)),"NO",
    IF(VLOOKUP($H75,EAD_CIs!D:N,MATCH("Status",EAD_CIs!D$2:N$2,0),0)="Done","No",VLOOKUP($H75,EAD_CIs!D:N,MATCH("Related",EAD_CIs!D$2:N$2,0),0) ))</f>
        <v>NO</v>
      </c>
      <c r="B75" s="203">
        <v>396968</v>
      </c>
      <c r="C75" s="34" t="s">
        <v>1400</v>
      </c>
      <c r="D75" s="34" t="s">
        <v>36</v>
      </c>
      <c r="E75" s="34" t="s">
        <v>165</v>
      </c>
      <c r="F75" s="34" t="s">
        <v>242</v>
      </c>
      <c r="G75" s="34" t="s">
        <v>254</v>
      </c>
      <c r="H75" s="34" t="s">
        <v>214</v>
      </c>
      <c r="I75" s="34" t="s">
        <v>36</v>
      </c>
      <c r="J75" s="34" t="s">
        <v>1420</v>
      </c>
      <c r="K75" s="34" t="s">
        <v>1421</v>
      </c>
      <c r="L75" s="34" t="s">
        <v>947</v>
      </c>
      <c r="N75" s="95"/>
      <c r="O75" s="95"/>
    </row>
    <row r="76" spans="1:15" ht="14.4" customHeight="1" x14ac:dyDescent="0.3">
      <c r="A76" s="163" t="str">
        <f>IF(ISERROR(MATCH($H76,EAD_CIs!D:D,0)),"NO",
    IF(VLOOKUP($H76,EAD_CIs!D:N,MATCH("Status",EAD_CIs!D$2:N$2,0),0)="Done","No",VLOOKUP($H76,EAD_CIs!D:N,MATCH("Related",EAD_CIs!D$2:N$2,0),0) ))</f>
        <v>#299984
#380808
#1007900
#1011909
#1003390
#1014202
#1013452</v>
      </c>
      <c r="B76" s="203">
        <v>396857</v>
      </c>
      <c r="C76" s="34" t="s">
        <v>1399</v>
      </c>
      <c r="D76" s="34" t="s">
        <v>36</v>
      </c>
      <c r="E76" s="34" t="s">
        <v>165</v>
      </c>
      <c r="F76" s="34" t="s">
        <v>36</v>
      </c>
      <c r="G76" s="34" t="s">
        <v>582</v>
      </c>
      <c r="H76" s="34" t="s">
        <v>209</v>
      </c>
      <c r="I76" s="34" t="s">
        <v>36</v>
      </c>
      <c r="J76" s="34" t="s">
        <v>1429</v>
      </c>
      <c r="K76" s="34" t="s">
        <v>1421</v>
      </c>
      <c r="L76" s="34" t="s">
        <v>943</v>
      </c>
      <c r="N76" s="95"/>
      <c r="O76" s="95"/>
    </row>
    <row r="77" spans="1:15" ht="14.4" customHeight="1" x14ac:dyDescent="0.3">
      <c r="A77" s="163">
        <f>IF(ISERROR(MATCH($H77,EAD_CIs!D:D,0)),"NO",
    IF(VLOOKUP($H77,EAD_CIs!D:N,MATCH("Status",EAD_CIs!D$2:N$2,0),0)="Done","No",VLOOKUP($H77,EAD_CIs!D:N,MATCH("Related",EAD_CIs!D$2:N$2,0),0) ))</f>
        <v>0</v>
      </c>
      <c r="B77" s="203">
        <v>396697</v>
      </c>
      <c r="C77" s="34" t="s">
        <v>1398</v>
      </c>
      <c r="D77" s="34" t="s">
        <v>36</v>
      </c>
      <c r="E77" s="34" t="s">
        <v>165</v>
      </c>
      <c r="F77" s="34" t="s">
        <v>36</v>
      </c>
      <c r="G77" s="34" t="s">
        <v>164</v>
      </c>
      <c r="H77" s="34" t="s">
        <v>635</v>
      </c>
      <c r="I77" s="34" t="s">
        <v>36</v>
      </c>
      <c r="J77" s="34" t="s">
        <v>1429</v>
      </c>
      <c r="K77" s="34" t="s">
        <v>1421</v>
      </c>
      <c r="L77" s="34" t="s">
        <v>17</v>
      </c>
      <c r="N77" s="95"/>
      <c r="O77" s="95"/>
    </row>
    <row r="78" spans="1:15" ht="14.4" customHeight="1" x14ac:dyDescent="0.3">
      <c r="A78" s="163" t="str">
        <f>IF(ISERROR(MATCH($H78,EAD_CIs!D:D,0)),"NO",
    IF(VLOOKUP($H78,EAD_CIs!D:N,MATCH("Status",EAD_CIs!D$2:N$2,0),0)="Done","No",VLOOKUP($H78,EAD_CIs!D:N,MATCH("Related",EAD_CIs!D$2:N$2,0),0) ))</f>
        <v>NO</v>
      </c>
      <c r="B78" s="203">
        <v>395962</v>
      </c>
      <c r="C78" s="34" t="s">
        <v>1397</v>
      </c>
      <c r="D78" s="34" t="s">
        <v>36</v>
      </c>
      <c r="E78" s="34" t="s">
        <v>165</v>
      </c>
      <c r="F78" s="34" t="s">
        <v>242</v>
      </c>
      <c r="G78" s="34" t="s">
        <v>824</v>
      </c>
      <c r="H78" s="34" t="s">
        <v>246</v>
      </c>
      <c r="I78" s="34" t="s">
        <v>36</v>
      </c>
      <c r="J78" s="34" t="s">
        <v>1429</v>
      </c>
      <c r="K78" s="34" t="s">
        <v>1421</v>
      </c>
      <c r="L78" s="34" t="s">
        <v>17</v>
      </c>
      <c r="N78" s="95"/>
      <c r="O78" s="95"/>
    </row>
    <row r="79" spans="1:15" ht="14.4" customHeight="1" x14ac:dyDescent="0.3">
      <c r="A79" s="163" t="str">
        <f>IF(ISERROR(MATCH($H79,EAD_CIs!D:D,0)),"NO",
    IF(VLOOKUP($H79,EAD_CIs!D:N,MATCH("Status",EAD_CIs!D$2:N$2,0),0)="Done","No",VLOOKUP($H79,EAD_CIs!D:N,MATCH("Related",EAD_CIs!D$2:N$2,0),0) ))</f>
        <v>NO</v>
      </c>
      <c r="B79" s="203">
        <v>395797</v>
      </c>
      <c r="C79" s="34" t="s">
        <v>1542</v>
      </c>
      <c r="D79" s="34" t="s">
        <v>167</v>
      </c>
      <c r="E79" s="34" t="s">
        <v>165</v>
      </c>
      <c r="F79" s="34" t="s">
        <v>36</v>
      </c>
      <c r="G79" s="34" t="s">
        <v>933</v>
      </c>
      <c r="H79" s="34" t="s">
        <v>194</v>
      </c>
      <c r="I79" s="34" t="s">
        <v>36</v>
      </c>
      <c r="J79" s="34" t="s">
        <v>1429</v>
      </c>
      <c r="K79" s="34" t="s">
        <v>1421</v>
      </c>
      <c r="L79" s="34" t="s">
        <v>951</v>
      </c>
      <c r="N79" s="95"/>
      <c r="O79" s="95"/>
    </row>
    <row r="80" spans="1:15" ht="14.4" customHeight="1" x14ac:dyDescent="0.3">
      <c r="A80" s="163" t="str">
        <f>IF(ISERROR(MATCH($H80,EAD_CIs!D:D,0)),"NO",
    IF(VLOOKUP($H80,EAD_CIs!D:N,MATCH("Status",EAD_CIs!D$2:N$2,0),0)="Done","No",VLOOKUP($H80,EAD_CIs!D:N,MATCH("Related",EAD_CIs!D$2:N$2,0),0) ))</f>
        <v>NO</v>
      </c>
      <c r="B80" s="203">
        <v>395639</v>
      </c>
      <c r="C80" s="34" t="s">
        <v>1396</v>
      </c>
      <c r="D80" s="34" t="s">
        <v>167</v>
      </c>
      <c r="E80" s="34" t="s">
        <v>165</v>
      </c>
      <c r="F80" s="34" t="s">
        <v>36</v>
      </c>
      <c r="G80" s="34" t="s">
        <v>933</v>
      </c>
      <c r="H80" s="34" t="s">
        <v>194</v>
      </c>
      <c r="I80" s="34" t="s">
        <v>36</v>
      </c>
      <c r="J80" s="34" t="s">
        <v>1429</v>
      </c>
      <c r="K80" s="34" t="s">
        <v>1421</v>
      </c>
      <c r="L80" s="34" t="s">
        <v>951</v>
      </c>
      <c r="N80" s="95"/>
      <c r="O80" s="95"/>
    </row>
    <row r="81" spans="1:15" ht="14.4" customHeight="1" x14ac:dyDescent="0.3">
      <c r="A81" s="163" t="str">
        <f>IF(ISERROR(MATCH($H81,EAD_CIs!D:D,0)),"NO",
    IF(VLOOKUP($H81,EAD_CIs!D:N,MATCH("Status",EAD_CIs!D$2:N$2,0),0)="Done","No",VLOOKUP($H81,EAD_CIs!D:N,MATCH("Related",EAD_CIs!D$2:N$2,0),0) ))</f>
        <v>NO</v>
      </c>
      <c r="B81" s="203">
        <v>395355</v>
      </c>
      <c r="C81" s="34" t="s">
        <v>1395</v>
      </c>
      <c r="D81" s="34" t="s">
        <v>36</v>
      </c>
      <c r="E81" s="34" t="s">
        <v>165</v>
      </c>
      <c r="F81" s="34" t="s">
        <v>1110</v>
      </c>
      <c r="G81" s="34" t="s">
        <v>173</v>
      </c>
      <c r="H81" s="34" t="s">
        <v>509</v>
      </c>
      <c r="I81" s="34" t="s">
        <v>36</v>
      </c>
      <c r="J81" s="34" t="s">
        <v>104</v>
      </c>
      <c r="K81" s="34" t="s">
        <v>1434</v>
      </c>
      <c r="L81" s="34" t="s">
        <v>554</v>
      </c>
      <c r="N81" s="95"/>
      <c r="O81" s="95"/>
    </row>
    <row r="82" spans="1:15" ht="14.4" customHeight="1" x14ac:dyDescent="0.3">
      <c r="A82" s="163" t="str">
        <f>IF(ISERROR(MATCH($H82,EAD_CIs!D:D,0)),"NO",
    IF(VLOOKUP($H82,EAD_CIs!D:N,MATCH("Status",EAD_CIs!D$2:N$2,0),0)="Done","No",VLOOKUP($H82,EAD_CIs!D:N,MATCH("Related",EAD_CIs!D$2:N$2,0),0) ))</f>
        <v>#354871</v>
      </c>
      <c r="B82" s="203">
        <v>395315</v>
      </c>
      <c r="C82" s="34" t="s">
        <v>1389</v>
      </c>
      <c r="D82" s="34" t="s">
        <v>886</v>
      </c>
      <c r="E82" s="34" t="s">
        <v>165</v>
      </c>
      <c r="F82" s="34" t="s">
        <v>903</v>
      </c>
      <c r="G82" s="34" t="s">
        <v>549</v>
      </c>
      <c r="H82" s="34" t="s">
        <v>297</v>
      </c>
      <c r="I82" s="34" t="s">
        <v>36</v>
      </c>
      <c r="J82" s="34" t="s">
        <v>1429</v>
      </c>
      <c r="K82" s="34" t="s">
        <v>1421</v>
      </c>
      <c r="L82" s="34" t="s">
        <v>17</v>
      </c>
      <c r="N82" s="95"/>
      <c r="O82" s="95"/>
    </row>
    <row r="83" spans="1:15" ht="14.4" customHeight="1" x14ac:dyDescent="0.3">
      <c r="A83" s="163" t="str">
        <f>IF(ISERROR(MATCH($H83,EAD_CIs!D:D,0)),"NO",
    IF(VLOOKUP($H83,EAD_CIs!D:N,MATCH("Status",EAD_CIs!D$2:N$2,0),0)="Done","No",VLOOKUP($H83,EAD_CIs!D:N,MATCH("Related",EAD_CIs!D$2:N$2,0),0) ))</f>
        <v>NO</v>
      </c>
      <c r="B83" s="203">
        <v>395264</v>
      </c>
      <c r="C83" s="34" t="s">
        <v>1388</v>
      </c>
      <c r="D83" s="34" t="s">
        <v>167</v>
      </c>
      <c r="E83" s="34" t="s">
        <v>165</v>
      </c>
      <c r="F83" s="34" t="s">
        <v>36</v>
      </c>
      <c r="G83" s="34" t="s">
        <v>1393</v>
      </c>
      <c r="H83" s="34" t="s">
        <v>1394</v>
      </c>
      <c r="I83" s="34" t="s">
        <v>36</v>
      </c>
      <c r="J83" s="34" t="s">
        <v>1429</v>
      </c>
      <c r="K83" s="34" t="s">
        <v>1421</v>
      </c>
      <c r="L83" s="34" t="s">
        <v>950</v>
      </c>
      <c r="N83" s="95"/>
      <c r="O83" s="95"/>
    </row>
    <row r="84" spans="1:15" ht="14.4" customHeight="1" x14ac:dyDescent="0.3">
      <c r="A84" s="163" t="str">
        <f>IF(ISERROR(MATCH($H84,EAD_CIs!D:D,0)),"NO",
    IF(VLOOKUP($H84,EAD_CIs!D:N,MATCH("Status",EAD_CIs!D$2:N$2,0),0)="Done","No",VLOOKUP($H84,EAD_CIs!D:N,MATCH("Related",EAD_CIs!D$2:N$2,0),0) ))</f>
        <v>#354680
#1004701</v>
      </c>
      <c r="B84" s="203">
        <v>395235</v>
      </c>
      <c r="C84" s="34" t="s">
        <v>1387</v>
      </c>
      <c r="D84" s="34" t="s">
        <v>167</v>
      </c>
      <c r="E84" s="34" t="s">
        <v>165</v>
      </c>
      <c r="F84" s="34" t="s">
        <v>36</v>
      </c>
      <c r="G84" s="34" t="s">
        <v>1008</v>
      </c>
      <c r="H84" s="34" t="s">
        <v>1392</v>
      </c>
      <c r="I84" s="34" t="s">
        <v>36</v>
      </c>
      <c r="J84" s="34" t="s">
        <v>1420</v>
      </c>
      <c r="K84" s="34" t="s">
        <v>1421</v>
      </c>
      <c r="L84" s="34" t="s">
        <v>943</v>
      </c>
      <c r="N84" s="95"/>
      <c r="O84" s="95"/>
    </row>
    <row r="85" spans="1:15" ht="14.4" customHeight="1" x14ac:dyDescent="0.3">
      <c r="A85" s="163" t="str">
        <f>IF(ISERROR(MATCH($H85,EAD_CIs!D:D,0)),"NO",
    IF(VLOOKUP($H85,EAD_CIs!D:N,MATCH("Status",EAD_CIs!D$2:N$2,0),0)="Done","No",VLOOKUP($H85,EAD_CIs!D:N,MATCH("Related",EAD_CIs!D$2:N$2,0),0) ))</f>
        <v>NO</v>
      </c>
      <c r="B85" s="203">
        <v>395002</v>
      </c>
      <c r="C85" s="34" t="s">
        <v>1386</v>
      </c>
      <c r="D85" s="34" t="s">
        <v>36</v>
      </c>
      <c r="E85" s="34" t="s">
        <v>165</v>
      </c>
      <c r="F85" s="34" t="s">
        <v>1390</v>
      </c>
      <c r="G85" s="34" t="s">
        <v>173</v>
      </c>
      <c r="H85" s="34" t="s">
        <v>907</v>
      </c>
      <c r="I85" s="34" t="s">
        <v>36</v>
      </c>
      <c r="J85" s="34" t="s">
        <v>1429</v>
      </c>
      <c r="K85" s="34" t="s">
        <v>1421</v>
      </c>
      <c r="L85" s="34" t="s">
        <v>554</v>
      </c>
      <c r="N85" s="95"/>
      <c r="O85" s="95"/>
    </row>
    <row r="86" spans="1:15" ht="14.4" customHeight="1" x14ac:dyDescent="0.3">
      <c r="A86" s="163" t="str">
        <f>IF(ISERROR(MATCH($H86,EAD_CIs!D:D,0)),"NO",
    IF(VLOOKUP($H86,EAD_CIs!D:N,MATCH("Status",EAD_CIs!D$2:N$2,0),0)="Done","No",VLOOKUP($H86,EAD_CIs!D:N,MATCH("Related",EAD_CIs!D$2:N$2,0),0) ))</f>
        <v>#342054</v>
      </c>
      <c r="B86" s="203">
        <v>394963</v>
      </c>
      <c r="C86" s="34" t="s">
        <v>1385</v>
      </c>
      <c r="D86" s="34" t="s">
        <v>36</v>
      </c>
      <c r="E86" s="34" t="s">
        <v>165</v>
      </c>
      <c r="F86" s="34" t="s">
        <v>36</v>
      </c>
      <c r="G86" s="34" t="s">
        <v>535</v>
      </c>
      <c r="H86" s="34" t="s">
        <v>222</v>
      </c>
      <c r="I86" s="34" t="s">
        <v>36</v>
      </c>
      <c r="J86" s="34" t="s">
        <v>1429</v>
      </c>
      <c r="K86" s="34" t="s">
        <v>1421</v>
      </c>
      <c r="L86" s="34" t="s">
        <v>943</v>
      </c>
      <c r="N86" s="95"/>
      <c r="O86" s="95"/>
    </row>
    <row r="87" spans="1:15" ht="14.4" customHeight="1" x14ac:dyDescent="0.3">
      <c r="A87" s="163" t="str">
        <f>IF(ISERROR(MATCH($H87,EAD_CIs!D:D,0)),"NO",
    IF(VLOOKUP($H87,EAD_CIs!D:N,MATCH("Status",EAD_CIs!D$2:N$2,0),0)="Done","No",VLOOKUP($H87,EAD_CIs!D:N,MATCH("Related",EAD_CIs!D$2:N$2,0),0) ))</f>
        <v>#342054</v>
      </c>
      <c r="B87" s="203">
        <v>394949</v>
      </c>
      <c r="C87" s="34" t="s">
        <v>1117</v>
      </c>
      <c r="D87" s="34" t="s">
        <v>36</v>
      </c>
      <c r="E87" s="34" t="s">
        <v>165</v>
      </c>
      <c r="F87" s="34" t="s">
        <v>36</v>
      </c>
      <c r="G87" s="34" t="s">
        <v>1118</v>
      </c>
      <c r="H87" s="34" t="s">
        <v>222</v>
      </c>
      <c r="I87" s="34" t="s">
        <v>36</v>
      </c>
      <c r="J87" s="34" t="s">
        <v>104</v>
      </c>
      <c r="K87" s="34" t="s">
        <v>1434</v>
      </c>
      <c r="L87" s="34" t="s">
        <v>943</v>
      </c>
      <c r="N87" s="95"/>
      <c r="O87" s="95"/>
    </row>
    <row r="88" spans="1:15" ht="14.4" customHeight="1" x14ac:dyDescent="0.3">
      <c r="A88" s="163" t="str">
        <f>IF(ISERROR(MATCH($H88,EAD_CIs!D:D,0)),"NO",
    IF(VLOOKUP($H88,EAD_CIs!D:N,MATCH("Status",EAD_CIs!D$2:N$2,0),0)="Done","No",VLOOKUP($H88,EAD_CIs!D:N,MATCH("Related",EAD_CIs!D$2:N$2,0),0) ))</f>
        <v>#1003390
#1014169</v>
      </c>
      <c r="B88" s="203">
        <v>394931</v>
      </c>
      <c r="C88" s="34" t="s">
        <v>1384</v>
      </c>
      <c r="D88" s="34" t="s">
        <v>36</v>
      </c>
      <c r="E88" s="34" t="s">
        <v>165</v>
      </c>
      <c r="F88" s="34" t="s">
        <v>1013</v>
      </c>
      <c r="G88" s="34" t="s">
        <v>173</v>
      </c>
      <c r="H88" s="34" t="s">
        <v>206</v>
      </c>
      <c r="I88" s="34" t="s">
        <v>36</v>
      </c>
      <c r="J88" s="34" t="s">
        <v>1429</v>
      </c>
      <c r="K88" s="34" t="s">
        <v>1434</v>
      </c>
      <c r="L88" s="34" t="s">
        <v>554</v>
      </c>
      <c r="N88" s="95"/>
      <c r="O88" s="95"/>
    </row>
    <row r="89" spans="1:15" ht="14.4" customHeight="1" x14ac:dyDescent="0.3">
      <c r="A89" s="163" t="str">
        <f>IF(ISERROR(MATCH($H89,EAD_CIs!D:D,0)),"NO",
    IF(VLOOKUP($H89,EAD_CIs!D:N,MATCH("Status",EAD_CIs!D$2:N$2,0),0)="Done","No",VLOOKUP($H89,EAD_CIs!D:N,MATCH("Related",EAD_CIs!D$2:N$2,0),0) ))</f>
        <v>#1003390
#1014169</v>
      </c>
      <c r="B89" s="203">
        <v>394069</v>
      </c>
      <c r="C89" s="34" t="s">
        <v>1383</v>
      </c>
      <c r="D89" s="34" t="s">
        <v>167</v>
      </c>
      <c r="E89" s="34" t="s">
        <v>165</v>
      </c>
      <c r="F89" s="34" t="s">
        <v>36</v>
      </c>
      <c r="G89" s="34" t="s">
        <v>171</v>
      </c>
      <c r="H89" s="34" t="s">
        <v>206</v>
      </c>
      <c r="I89" s="34" t="s">
        <v>36</v>
      </c>
      <c r="J89" s="34" t="s">
        <v>1429</v>
      </c>
      <c r="K89" s="34" t="s">
        <v>1421</v>
      </c>
      <c r="L89" s="34" t="s">
        <v>15</v>
      </c>
      <c r="N89" s="95"/>
      <c r="O89" s="95"/>
    </row>
    <row r="90" spans="1:15" ht="14.4" customHeight="1" x14ac:dyDescent="0.3">
      <c r="A90" s="163" t="str">
        <f>IF(ISERROR(MATCH($H90,EAD_CIs!D:D,0)),"NO",
    IF(VLOOKUP($H90,EAD_CIs!D:N,MATCH("Status",EAD_CIs!D$2:N$2,0),0)="Done","No",VLOOKUP($H90,EAD_CIs!D:N,MATCH("Related",EAD_CIs!D$2:N$2,0),0) ))</f>
        <v>#1003390
#1014169</v>
      </c>
      <c r="B90" s="203">
        <v>394068</v>
      </c>
      <c r="C90" s="34" t="s">
        <v>1115</v>
      </c>
      <c r="D90" s="34" t="s">
        <v>167</v>
      </c>
      <c r="E90" s="34" t="s">
        <v>165</v>
      </c>
      <c r="F90" s="34" t="s">
        <v>36</v>
      </c>
      <c r="G90" s="34" t="s">
        <v>173</v>
      </c>
      <c r="H90" s="34" t="s">
        <v>206</v>
      </c>
      <c r="I90" s="34" t="s">
        <v>36</v>
      </c>
      <c r="J90" s="34" t="s">
        <v>1429</v>
      </c>
      <c r="K90" s="34" t="s">
        <v>1421</v>
      </c>
      <c r="L90" s="34" t="s">
        <v>554</v>
      </c>
      <c r="N90" s="95"/>
      <c r="O90" s="95"/>
    </row>
    <row r="91" spans="1:15" ht="14.4" customHeight="1" x14ac:dyDescent="0.3">
      <c r="A91" s="163" t="str">
        <f>IF(ISERROR(MATCH($H91,EAD_CIs!D:D,0)),"NO",
    IF(VLOOKUP($H91,EAD_CIs!D:N,MATCH("Status",EAD_CIs!D$2:N$2,0),0)="Done","No",VLOOKUP($H91,EAD_CIs!D:N,MATCH("Related",EAD_CIs!D$2:N$2,0),0) ))</f>
        <v>#388195
#1004738
#342054</v>
      </c>
      <c r="B91" s="203">
        <v>394050</v>
      </c>
      <c r="C91" s="34" t="s">
        <v>1114</v>
      </c>
      <c r="D91" s="34" t="s">
        <v>36</v>
      </c>
      <c r="E91" s="34" t="s">
        <v>165</v>
      </c>
      <c r="F91" s="34" t="s">
        <v>36</v>
      </c>
      <c r="G91" s="34" t="s">
        <v>993</v>
      </c>
      <c r="H91" s="34" t="s">
        <v>211</v>
      </c>
      <c r="I91" s="34" t="s">
        <v>36</v>
      </c>
      <c r="J91" s="34" t="s">
        <v>1429</v>
      </c>
      <c r="K91" s="34" t="s">
        <v>1421</v>
      </c>
      <c r="L91" s="34" t="s">
        <v>947</v>
      </c>
      <c r="N91" s="95"/>
      <c r="O91" s="95"/>
    </row>
    <row r="92" spans="1:15" ht="14.4" customHeight="1" x14ac:dyDescent="0.3">
      <c r="A92" s="163" t="str">
        <f>IF(ISERROR(MATCH($H92,EAD_CIs!D:D,0)),"NO",
    IF(VLOOKUP($H92,EAD_CIs!D:N,MATCH("Status",EAD_CIs!D$2:N$2,0),0)="Done","No",VLOOKUP($H92,EAD_CIs!D:N,MATCH("Related",EAD_CIs!D$2:N$2,0),0) ))</f>
        <v>NO</v>
      </c>
      <c r="B92" s="203">
        <v>394045</v>
      </c>
      <c r="C92" s="34" t="s">
        <v>1113</v>
      </c>
      <c r="D92" s="34" t="s">
        <v>886</v>
      </c>
      <c r="E92" s="34" t="s">
        <v>28</v>
      </c>
      <c r="F92" s="34" t="s">
        <v>36</v>
      </c>
      <c r="G92" s="34" t="s">
        <v>1116</v>
      </c>
      <c r="H92" s="34" t="s">
        <v>189</v>
      </c>
      <c r="I92" s="34" t="s">
        <v>36</v>
      </c>
      <c r="J92" s="34" t="s">
        <v>1429</v>
      </c>
      <c r="K92" s="34" t="s">
        <v>1434</v>
      </c>
      <c r="L92" s="34" t="s">
        <v>15</v>
      </c>
      <c r="N92" s="95"/>
      <c r="O92" s="95"/>
    </row>
    <row r="93" spans="1:15" ht="14.4" customHeight="1" x14ac:dyDescent="0.3">
      <c r="A93" s="163" t="str">
        <f>IF(ISERROR(MATCH($H93,EAD_CIs!D:D,0)),"NO",
    IF(VLOOKUP($H93,EAD_CIs!D:N,MATCH("Status",EAD_CIs!D$2:N$2,0),0)="Done","No",VLOOKUP($H93,EAD_CIs!D:N,MATCH("Related",EAD_CIs!D$2:N$2,0),0) ))</f>
        <v>#299984
#380808
#1007900
#1011909
#1003390
#1014202
#1013452</v>
      </c>
      <c r="B93" s="203">
        <v>393833</v>
      </c>
      <c r="C93" s="34" t="s">
        <v>1382</v>
      </c>
      <c r="D93" s="34" t="s">
        <v>36</v>
      </c>
      <c r="E93" s="34" t="s">
        <v>165</v>
      </c>
      <c r="F93" s="34" t="s">
        <v>242</v>
      </c>
      <c r="G93" s="34" t="s">
        <v>582</v>
      </c>
      <c r="H93" s="34" t="s">
        <v>209</v>
      </c>
      <c r="I93" s="34" t="s">
        <v>36</v>
      </c>
      <c r="J93" s="34" t="s">
        <v>1429</v>
      </c>
      <c r="K93" s="34" t="s">
        <v>1421</v>
      </c>
      <c r="L93" s="34" t="s">
        <v>943</v>
      </c>
      <c r="N93" s="95"/>
      <c r="O93" s="95"/>
    </row>
    <row r="94" spans="1:15" ht="14.4" customHeight="1" x14ac:dyDescent="0.3">
      <c r="A94" s="163" t="str">
        <f>IF(ISERROR(MATCH($H94,EAD_CIs!D:D,0)),"NO",
    IF(VLOOKUP($H94,EAD_CIs!D:N,MATCH("Status",EAD_CIs!D$2:N$2,0),0)="Done","No",VLOOKUP($H94,EAD_CIs!D:N,MATCH("Related",EAD_CIs!D$2:N$2,0),0) ))</f>
        <v>#1007900</v>
      </c>
      <c r="B94" s="203">
        <v>393526</v>
      </c>
      <c r="C94" s="34" t="s">
        <v>1381</v>
      </c>
      <c r="D94" s="34" t="s">
        <v>167</v>
      </c>
      <c r="E94" s="34" t="s">
        <v>28</v>
      </c>
      <c r="F94" s="34" t="s">
        <v>36</v>
      </c>
      <c r="G94" s="34" t="s">
        <v>597</v>
      </c>
      <c r="H94" s="34" t="s">
        <v>356</v>
      </c>
      <c r="I94" s="34" t="s">
        <v>36</v>
      </c>
      <c r="J94" s="34" t="s">
        <v>1429</v>
      </c>
      <c r="K94" s="34" t="s">
        <v>1421</v>
      </c>
      <c r="L94" s="34" t="s">
        <v>17</v>
      </c>
      <c r="N94" s="95"/>
      <c r="O94" s="95"/>
    </row>
    <row r="95" spans="1:15" ht="14.4" customHeight="1" x14ac:dyDescent="0.3">
      <c r="A95" s="163" t="str">
        <f>IF(ISERROR(MATCH($H95,EAD_CIs!D:D,0)),"NO",
    IF(VLOOKUP($H95,EAD_CIs!D:N,MATCH("Status",EAD_CIs!D$2:N$2,0),0)="Done","No",VLOOKUP($H95,EAD_CIs!D:N,MATCH("Related",EAD_CIs!D$2:N$2,0),0) ))</f>
        <v>#1003390
#1014169</v>
      </c>
      <c r="B95" s="203">
        <v>393348</v>
      </c>
      <c r="C95" s="34" t="s">
        <v>1379</v>
      </c>
      <c r="D95" s="34" t="s">
        <v>36</v>
      </c>
      <c r="E95" s="34" t="s">
        <v>165</v>
      </c>
      <c r="F95" s="34" t="s">
        <v>242</v>
      </c>
      <c r="G95" s="34" t="s">
        <v>173</v>
      </c>
      <c r="H95" s="34" t="s">
        <v>206</v>
      </c>
      <c r="I95" s="34" t="s">
        <v>36</v>
      </c>
      <c r="J95" s="34" t="s">
        <v>1429</v>
      </c>
      <c r="K95" s="34" t="s">
        <v>1421</v>
      </c>
      <c r="L95" s="34" t="s">
        <v>554</v>
      </c>
      <c r="N95" s="95"/>
      <c r="O95" s="95"/>
    </row>
    <row r="96" spans="1:15" ht="14.4" customHeight="1" x14ac:dyDescent="0.3">
      <c r="A96" s="163" t="str">
        <f>IF(ISERROR(MATCH($H96,EAD_CIs!D:D,0)),"NO",
    IF(VLOOKUP($H96,EAD_CIs!D:N,MATCH("Status",EAD_CIs!D$2:N$2,0),0)="Done","No",VLOOKUP($H96,EAD_CIs!D:N,MATCH("Related",EAD_CIs!D$2:N$2,0),0) ))</f>
        <v>NO</v>
      </c>
      <c r="B96" s="203">
        <v>393346</v>
      </c>
      <c r="C96" s="34" t="s">
        <v>1378</v>
      </c>
      <c r="D96" s="34" t="s">
        <v>36</v>
      </c>
      <c r="E96" s="34" t="s">
        <v>165</v>
      </c>
      <c r="F96" s="34" t="s">
        <v>36</v>
      </c>
      <c r="G96" s="34" t="s">
        <v>1008</v>
      </c>
      <c r="H96" s="34" t="s">
        <v>1380</v>
      </c>
      <c r="I96" s="34" t="s">
        <v>36</v>
      </c>
      <c r="J96" s="34" t="s">
        <v>1429</v>
      </c>
      <c r="K96" s="34" t="s">
        <v>1421</v>
      </c>
      <c r="L96" s="34" t="s">
        <v>947</v>
      </c>
      <c r="N96" s="95"/>
      <c r="O96" s="95"/>
    </row>
    <row r="97" spans="1:15" ht="14.4" customHeight="1" x14ac:dyDescent="0.3">
      <c r="A97" s="163" t="str">
        <f>IF(ISERROR(MATCH($H97,EAD_CIs!D:D,0)),"NO",
    IF(VLOOKUP($H97,EAD_CIs!D:N,MATCH("Status",EAD_CIs!D$2:N$2,0),0)="Done","No",VLOOKUP($H97,EAD_CIs!D:N,MATCH("Related",EAD_CIs!D$2:N$2,0),0) ))</f>
        <v>#377408
#1001248
#381643
#383958
#315485
#342163
#299984
#354174
#381524
#332951
#318380
#386935</v>
      </c>
      <c r="B97" s="203">
        <v>393262</v>
      </c>
      <c r="C97" s="34" t="s">
        <v>1377</v>
      </c>
      <c r="D97" s="34" t="s">
        <v>36</v>
      </c>
      <c r="E97" s="34" t="s">
        <v>165</v>
      </c>
      <c r="F97" s="34" t="s">
        <v>242</v>
      </c>
      <c r="G97" s="34" t="s">
        <v>228</v>
      </c>
      <c r="H97" s="34" t="s">
        <v>1177</v>
      </c>
      <c r="I97" s="34" t="s">
        <v>36</v>
      </c>
      <c r="J97" s="34" t="s">
        <v>1429</v>
      </c>
      <c r="K97" s="34" t="s">
        <v>1421</v>
      </c>
      <c r="L97" s="34" t="s">
        <v>943</v>
      </c>
      <c r="N97" s="95"/>
      <c r="O97" s="95"/>
    </row>
    <row r="98" spans="1:15" ht="14.4" customHeight="1" x14ac:dyDescent="0.3">
      <c r="A98" s="163" t="str">
        <f>IF(ISERROR(MATCH($H98,EAD_CIs!D:D,0)),"NO",
    IF(VLOOKUP($H98,EAD_CIs!D:N,MATCH("Status",EAD_CIs!D$2:N$2,0),0)="Done","No",VLOOKUP($H98,EAD_CIs!D:N,MATCH("Related",EAD_CIs!D$2:N$2,0),0) ))</f>
        <v>#354871</v>
      </c>
      <c r="B98" s="203">
        <v>393252</v>
      </c>
      <c r="C98" s="34" t="s">
        <v>1376</v>
      </c>
      <c r="D98" s="34" t="s">
        <v>36</v>
      </c>
      <c r="E98" s="34" t="s">
        <v>165</v>
      </c>
      <c r="F98" s="34" t="s">
        <v>903</v>
      </c>
      <c r="G98" s="34" t="s">
        <v>549</v>
      </c>
      <c r="H98" s="34" t="s">
        <v>297</v>
      </c>
      <c r="I98" s="34" t="s">
        <v>36</v>
      </c>
      <c r="J98" s="34" t="s">
        <v>1429</v>
      </c>
      <c r="K98" s="34" t="s">
        <v>1421</v>
      </c>
      <c r="L98" s="34" t="s">
        <v>17</v>
      </c>
      <c r="N98" s="95"/>
      <c r="O98" s="95"/>
    </row>
    <row r="99" spans="1:15" ht="14.4" customHeight="1" x14ac:dyDescent="0.3">
      <c r="A99" s="163" t="str">
        <f>IF(ISERROR(MATCH($H99,EAD_CIs!D:D,0)),"NO",
    IF(VLOOKUP($H99,EAD_CIs!D:N,MATCH("Status",EAD_CIs!D$2:N$2,0),0)="Done","No",VLOOKUP($H99,EAD_CIs!D:N,MATCH("Related",EAD_CIs!D$2:N$2,0),0) ))</f>
        <v>#354871</v>
      </c>
      <c r="B99" s="203">
        <v>393251</v>
      </c>
      <c r="C99" s="34" t="s">
        <v>1375</v>
      </c>
      <c r="D99" s="34" t="s">
        <v>36</v>
      </c>
      <c r="E99" s="34" t="s">
        <v>165</v>
      </c>
      <c r="F99" s="34" t="s">
        <v>903</v>
      </c>
      <c r="G99" s="34" t="s">
        <v>549</v>
      </c>
      <c r="H99" s="34" t="s">
        <v>297</v>
      </c>
      <c r="I99" s="34" t="s">
        <v>36</v>
      </c>
      <c r="J99" s="34" t="s">
        <v>1429</v>
      </c>
      <c r="K99" s="34" t="s">
        <v>1421</v>
      </c>
      <c r="L99" s="34" t="s">
        <v>17</v>
      </c>
      <c r="N99" s="95"/>
      <c r="O99" s="95"/>
    </row>
    <row r="100" spans="1:15" ht="14.4" customHeight="1" x14ac:dyDescent="0.3">
      <c r="A100" s="163" t="str">
        <f>IF(ISERROR(MATCH($H100,EAD_CIs!D:D,0)),"NO",
    IF(VLOOKUP($H100,EAD_CIs!D:N,MATCH("Status",EAD_CIs!D$2:N$2,0),0)="Done","No",VLOOKUP($H100,EAD_CIs!D:N,MATCH("Related",EAD_CIs!D$2:N$2,0),0) ))</f>
        <v>#354871</v>
      </c>
      <c r="B100" s="203">
        <v>393249</v>
      </c>
      <c r="C100" s="34" t="s">
        <v>1374</v>
      </c>
      <c r="D100" s="34" t="s">
        <v>36</v>
      </c>
      <c r="E100" s="34" t="s">
        <v>165</v>
      </c>
      <c r="F100" s="34" t="s">
        <v>903</v>
      </c>
      <c r="G100" s="34" t="s">
        <v>549</v>
      </c>
      <c r="H100" s="34" t="s">
        <v>297</v>
      </c>
      <c r="I100" s="34" t="s">
        <v>36</v>
      </c>
      <c r="J100" s="34" t="s">
        <v>104</v>
      </c>
      <c r="K100" s="34" t="s">
        <v>1421</v>
      </c>
      <c r="L100" s="34" t="s">
        <v>17</v>
      </c>
      <c r="N100" s="95"/>
      <c r="O100" s="95"/>
    </row>
    <row r="101" spans="1:15" ht="14.4" customHeight="1" x14ac:dyDescent="0.3">
      <c r="A101" s="163" t="str">
        <f>IF(ISERROR(MATCH($H101,EAD_CIs!D:D,0)),"NO",
    IF(VLOOKUP($H101,EAD_CIs!D:N,MATCH("Status",EAD_CIs!D$2:N$2,0),0)="Done","No",VLOOKUP($H101,EAD_CIs!D:N,MATCH("Related",EAD_CIs!D$2:N$2,0),0) ))</f>
        <v>#342054
#1014201
#1003390</v>
      </c>
      <c r="B101" s="203">
        <v>393215</v>
      </c>
      <c r="C101" s="34" t="s">
        <v>1796</v>
      </c>
      <c r="D101" s="34" t="s">
        <v>167</v>
      </c>
      <c r="E101" s="34" t="s">
        <v>165</v>
      </c>
      <c r="F101" s="34" t="s">
        <v>36</v>
      </c>
      <c r="G101" s="34" t="s">
        <v>362</v>
      </c>
      <c r="H101" s="34" t="s">
        <v>193</v>
      </c>
      <c r="I101" s="34" t="s">
        <v>36</v>
      </c>
      <c r="J101" s="34" t="s">
        <v>1429</v>
      </c>
      <c r="K101" s="34" t="s">
        <v>1421</v>
      </c>
      <c r="L101" s="34" t="s">
        <v>950</v>
      </c>
      <c r="N101" s="95"/>
      <c r="O101" s="95"/>
    </row>
    <row r="102" spans="1:15" ht="14.4" customHeight="1" x14ac:dyDescent="0.3">
      <c r="A102" s="163" t="str">
        <f>IF(ISERROR(MATCH($H102,EAD_CIs!D:D,0)),"NO",
    IF(VLOOKUP($H102,EAD_CIs!D:N,MATCH("Status",EAD_CIs!D$2:N$2,0),0)="Done","No",VLOOKUP($H102,EAD_CIs!D:N,MATCH("Related",EAD_CIs!D$2:N$2,0),0) ))</f>
        <v>#377408
#1001248
#381643
#383958
#315485
#342163
#299984
#354174
#381524
#332951
#318380
#386935</v>
      </c>
      <c r="B102" s="203">
        <v>392688</v>
      </c>
      <c r="C102" s="34" t="s">
        <v>1373</v>
      </c>
      <c r="D102" s="34" t="s">
        <v>36</v>
      </c>
      <c r="E102" s="34" t="s">
        <v>165</v>
      </c>
      <c r="F102" s="34" t="s">
        <v>36</v>
      </c>
      <c r="G102" s="34" t="s">
        <v>549</v>
      </c>
      <c r="H102" s="34" t="s">
        <v>1177</v>
      </c>
      <c r="I102" s="34" t="s">
        <v>36</v>
      </c>
      <c r="J102" s="34" t="s">
        <v>104</v>
      </c>
      <c r="K102" s="34" t="s">
        <v>1421</v>
      </c>
      <c r="L102" s="34" t="s">
        <v>17</v>
      </c>
      <c r="N102" s="95"/>
      <c r="O102" s="95"/>
    </row>
    <row r="103" spans="1:15" ht="14.4" customHeight="1" x14ac:dyDescent="0.3">
      <c r="A103" s="163" t="str">
        <f>IF(ISERROR(MATCH($H103,EAD_CIs!D:D,0)),"NO",
    IF(VLOOKUP($H103,EAD_CIs!D:N,MATCH("Status",EAD_CIs!D$2:N$2,0),0)="Done","No",VLOOKUP($H103,EAD_CIs!D:N,MATCH("Related",EAD_CIs!D$2:N$2,0),0) ))</f>
        <v>#342054</v>
      </c>
      <c r="B103" s="203">
        <v>392258</v>
      </c>
      <c r="C103" s="34" t="s">
        <v>1112</v>
      </c>
      <c r="D103" s="34" t="s">
        <v>167</v>
      </c>
      <c r="E103" s="34" t="s">
        <v>165</v>
      </c>
      <c r="F103" s="34" t="s">
        <v>36</v>
      </c>
      <c r="G103" s="34" t="s">
        <v>535</v>
      </c>
      <c r="H103" s="34" t="s">
        <v>222</v>
      </c>
      <c r="I103" s="34" t="s">
        <v>36</v>
      </c>
      <c r="J103" s="34" t="s">
        <v>104</v>
      </c>
      <c r="K103" s="34" t="s">
        <v>1421</v>
      </c>
      <c r="L103" s="34" t="s">
        <v>943</v>
      </c>
      <c r="N103" s="95"/>
      <c r="O103" s="95"/>
    </row>
    <row r="104" spans="1:15" ht="14.4" customHeight="1" x14ac:dyDescent="0.3">
      <c r="A104" s="163" t="str">
        <f>IF(ISERROR(MATCH($H104,EAD_CIs!D:D,0)),"NO",
    IF(VLOOKUP($H104,EAD_CIs!D:N,MATCH("Status",EAD_CIs!D$2:N$2,0),0)="Done","No",VLOOKUP($H104,EAD_CIs!D:N,MATCH("Related",EAD_CIs!D$2:N$2,0),0) ))</f>
        <v>#377408
#1001248
#381643
#383958
#315485
#342163
#299984
#354174
#381524
#332951
#318380
#386935</v>
      </c>
      <c r="B104" s="203">
        <v>391189</v>
      </c>
      <c r="C104" s="34" t="s">
        <v>1372</v>
      </c>
      <c r="D104" s="34" t="s">
        <v>36</v>
      </c>
      <c r="E104" s="34" t="s">
        <v>165</v>
      </c>
      <c r="F104" s="34" t="s">
        <v>903</v>
      </c>
      <c r="G104" s="34" t="s">
        <v>549</v>
      </c>
      <c r="H104" s="34" t="s">
        <v>1177</v>
      </c>
      <c r="I104" s="34" t="s">
        <v>36</v>
      </c>
      <c r="J104" s="34" t="s">
        <v>1429</v>
      </c>
      <c r="K104" s="34" t="s">
        <v>1421</v>
      </c>
      <c r="L104" s="34" t="s">
        <v>17</v>
      </c>
      <c r="N104" s="95"/>
      <c r="O104" s="95"/>
    </row>
    <row r="105" spans="1:15" ht="14.4" customHeight="1" x14ac:dyDescent="0.3">
      <c r="A105" s="163" t="str">
        <f>IF(ISERROR(MATCH($H105,EAD_CIs!D:D,0)),"NO",
    IF(VLOOKUP($H105,EAD_CIs!D:N,MATCH("Status",EAD_CIs!D$2:N$2,0),0)="Done","No",VLOOKUP($H105,EAD_CIs!D:N,MATCH("Related",EAD_CIs!D$2:N$2,0),0) ))</f>
        <v>#377408
#1001248
#381643
#383958
#315485
#342163
#299984
#354174
#381524
#332951
#318380
#386935</v>
      </c>
      <c r="B105" s="203">
        <v>391187</v>
      </c>
      <c r="C105" s="34" t="s">
        <v>1371</v>
      </c>
      <c r="D105" s="34" t="s">
        <v>36</v>
      </c>
      <c r="E105" s="34" t="s">
        <v>165</v>
      </c>
      <c r="F105" s="34" t="s">
        <v>903</v>
      </c>
      <c r="G105" s="34" t="s">
        <v>549</v>
      </c>
      <c r="H105" s="34" t="s">
        <v>1177</v>
      </c>
      <c r="I105" s="34" t="s">
        <v>36</v>
      </c>
      <c r="J105" s="34" t="s">
        <v>1429</v>
      </c>
      <c r="K105" s="34" t="s">
        <v>1421</v>
      </c>
      <c r="L105" s="34" t="s">
        <v>17</v>
      </c>
      <c r="N105" s="95"/>
      <c r="O105" s="95"/>
    </row>
    <row r="106" spans="1:15" ht="14.4" customHeight="1" x14ac:dyDescent="0.3">
      <c r="A106" s="163" t="str">
        <f>IF(ISERROR(MATCH($H106,EAD_CIs!D:D,0)),"NO",
    IF(VLOOKUP($H106,EAD_CIs!D:N,MATCH("Status",EAD_CIs!D$2:N$2,0),0)="Done","No",VLOOKUP($H106,EAD_CIs!D:N,MATCH("Related",EAD_CIs!D$2:N$2,0),0) ))</f>
        <v>#354871</v>
      </c>
      <c r="B106" s="203">
        <v>391181</v>
      </c>
      <c r="C106" s="34" t="s">
        <v>1370</v>
      </c>
      <c r="D106" s="34" t="s">
        <v>36</v>
      </c>
      <c r="E106" s="34" t="s">
        <v>165</v>
      </c>
      <c r="F106" s="34" t="s">
        <v>903</v>
      </c>
      <c r="G106" s="34" t="s">
        <v>549</v>
      </c>
      <c r="H106" s="34" t="s">
        <v>297</v>
      </c>
      <c r="I106" s="34" t="s">
        <v>36</v>
      </c>
      <c r="J106" s="34" t="s">
        <v>1429</v>
      </c>
      <c r="K106" s="34" t="s">
        <v>1421</v>
      </c>
      <c r="L106" s="34" t="s">
        <v>17</v>
      </c>
      <c r="N106" s="95"/>
      <c r="O106" s="95"/>
    </row>
    <row r="107" spans="1:15" ht="14.4" customHeight="1" x14ac:dyDescent="0.3">
      <c r="A107" s="163" t="str">
        <f>IF(ISERROR(MATCH($H107,EAD_CIs!D:D,0)),"NO",
    IF(VLOOKUP($H107,EAD_CIs!D:N,MATCH("Status",EAD_CIs!D$2:N$2,0),0)="Done","No",VLOOKUP($H107,EAD_CIs!D:N,MATCH("Related",EAD_CIs!D$2:N$2,0),0) ))</f>
        <v>#354871</v>
      </c>
      <c r="B107" s="203">
        <v>391179</v>
      </c>
      <c r="C107" s="34" t="s">
        <v>1369</v>
      </c>
      <c r="D107" s="34" t="s">
        <v>36</v>
      </c>
      <c r="E107" s="34" t="s">
        <v>165</v>
      </c>
      <c r="F107" s="34" t="s">
        <v>903</v>
      </c>
      <c r="G107" s="34" t="s">
        <v>549</v>
      </c>
      <c r="H107" s="34" t="s">
        <v>297</v>
      </c>
      <c r="I107" s="34" t="s">
        <v>36</v>
      </c>
      <c r="J107" s="34" t="s">
        <v>1429</v>
      </c>
      <c r="K107" s="34" t="s">
        <v>1421</v>
      </c>
      <c r="L107" s="34" t="s">
        <v>17</v>
      </c>
      <c r="N107" s="95"/>
      <c r="O107" s="95"/>
    </row>
    <row r="108" spans="1:15" ht="14.4" customHeight="1" x14ac:dyDescent="0.3">
      <c r="A108" s="163" t="str">
        <f>IF(ISERROR(MATCH($H108,EAD_CIs!D:D,0)),"NO",
    IF(VLOOKUP($H108,EAD_CIs!D:N,MATCH("Status",EAD_CIs!D$2:N$2,0),0)="Done","No",VLOOKUP($H108,EAD_CIs!D:N,MATCH("Related",EAD_CIs!D$2:N$2,0),0) ))</f>
        <v>#377408
#1001248
#381643
#383958
#315485
#342163
#299984
#354174
#381524
#332951
#318380
#386935</v>
      </c>
      <c r="B108" s="203">
        <v>390942</v>
      </c>
      <c r="C108" s="34" t="s">
        <v>1367</v>
      </c>
      <c r="D108" s="34" t="s">
        <v>36</v>
      </c>
      <c r="E108" s="34" t="s">
        <v>165</v>
      </c>
      <c r="F108" s="34" t="s">
        <v>242</v>
      </c>
      <c r="G108" s="34" t="s">
        <v>549</v>
      </c>
      <c r="H108" s="34" t="s">
        <v>1177</v>
      </c>
      <c r="I108" s="34" t="s">
        <v>36</v>
      </c>
      <c r="J108" s="34" t="s">
        <v>1429</v>
      </c>
      <c r="K108" s="34" t="s">
        <v>1421</v>
      </c>
      <c r="L108" s="34" t="s">
        <v>17</v>
      </c>
      <c r="N108" s="95"/>
      <c r="O108" s="95"/>
    </row>
    <row r="109" spans="1:15" ht="14.4" customHeight="1" x14ac:dyDescent="0.3">
      <c r="A109" s="163" t="str">
        <f>IF(ISERROR(MATCH($H109,EAD_CIs!D:D,0)),"NO",
    IF(VLOOKUP($H109,EAD_CIs!D:N,MATCH("Status",EAD_CIs!D$2:N$2,0),0)="Done","No",VLOOKUP($H109,EAD_CIs!D:N,MATCH("Related",EAD_CIs!D$2:N$2,0),0) ))</f>
        <v>#1003390
#1014169</v>
      </c>
      <c r="B109" s="203">
        <v>390935</v>
      </c>
      <c r="C109" s="34" t="s">
        <v>1366</v>
      </c>
      <c r="D109" s="34" t="s">
        <v>167</v>
      </c>
      <c r="E109" s="34" t="s">
        <v>165</v>
      </c>
      <c r="F109" s="34" t="s">
        <v>1368</v>
      </c>
      <c r="G109" s="34" t="s">
        <v>916</v>
      </c>
      <c r="H109" s="34" t="s">
        <v>206</v>
      </c>
      <c r="I109" s="34" t="s">
        <v>36</v>
      </c>
      <c r="J109" s="34" t="s">
        <v>1429</v>
      </c>
      <c r="K109" s="34" t="s">
        <v>1421</v>
      </c>
      <c r="L109" s="34" t="s">
        <v>554</v>
      </c>
      <c r="N109" s="95"/>
      <c r="O109" s="95"/>
    </row>
    <row r="110" spans="1:15" ht="14.4" customHeight="1" x14ac:dyDescent="0.3">
      <c r="A110" s="163" t="str">
        <f>IF(ISERROR(MATCH($H110,EAD_CIs!D:D,0)),"NO",
    IF(VLOOKUP($H110,EAD_CIs!D:N,MATCH("Status",EAD_CIs!D$2:N$2,0),0)="Done","No",VLOOKUP($H110,EAD_CIs!D:N,MATCH("Related",EAD_CIs!D$2:N$2,0),0) ))</f>
        <v>#1003390
#1014169</v>
      </c>
      <c r="B110" s="203">
        <v>390922</v>
      </c>
      <c r="C110" s="34" t="s">
        <v>1365</v>
      </c>
      <c r="D110" s="34" t="s">
        <v>36</v>
      </c>
      <c r="E110" s="34" t="s">
        <v>165</v>
      </c>
      <c r="F110" s="34" t="s">
        <v>1109</v>
      </c>
      <c r="G110" s="34" t="s">
        <v>173</v>
      </c>
      <c r="H110" s="34" t="s">
        <v>206</v>
      </c>
      <c r="I110" s="34" t="s">
        <v>36</v>
      </c>
      <c r="J110" s="34" t="s">
        <v>1420</v>
      </c>
      <c r="K110" s="34" t="s">
        <v>1421</v>
      </c>
      <c r="L110" s="34" t="s">
        <v>554</v>
      </c>
      <c r="N110" s="95"/>
      <c r="O110" s="95"/>
    </row>
    <row r="111" spans="1:15" ht="14.4" customHeight="1" x14ac:dyDescent="0.3">
      <c r="A111" s="163" t="str">
        <f>IF(ISERROR(MATCH($H111,EAD_CIs!D:D,0)),"NO",
    IF(VLOOKUP($H111,EAD_CIs!D:N,MATCH("Status",EAD_CIs!D$2:N$2,0),0)="Done","No",VLOOKUP($H111,EAD_CIs!D:N,MATCH("Related",EAD_CIs!D$2:N$2,0),0) ))</f>
        <v>#380808
#1011908
#342054
#1014206
#1003390</v>
      </c>
      <c r="B111" s="203">
        <v>390758</v>
      </c>
      <c r="C111" s="34" t="s">
        <v>977</v>
      </c>
      <c r="D111" s="34" t="s">
        <v>36</v>
      </c>
      <c r="E111" s="34" t="s">
        <v>165</v>
      </c>
      <c r="F111" s="34" t="s">
        <v>36</v>
      </c>
      <c r="G111" s="34" t="s">
        <v>616</v>
      </c>
      <c r="H111" s="34" t="s">
        <v>332</v>
      </c>
      <c r="I111" s="34" t="s">
        <v>36</v>
      </c>
      <c r="J111" s="34" t="s">
        <v>1429</v>
      </c>
      <c r="K111" s="34" t="s">
        <v>1421</v>
      </c>
      <c r="L111" s="34" t="s">
        <v>943</v>
      </c>
      <c r="N111" s="95"/>
      <c r="O111" s="95"/>
    </row>
    <row r="112" spans="1:15" ht="14.4" customHeight="1" x14ac:dyDescent="0.3">
      <c r="A112" s="163" t="str">
        <f>IF(ISERROR(MATCH($H112,EAD_CIs!D:D,0)),"NO",
    IF(VLOOKUP($H112,EAD_CIs!D:N,MATCH("Status",EAD_CIs!D$2:N$2,0),0)="Done","No",VLOOKUP($H112,EAD_CIs!D:N,MATCH("Related",EAD_CIs!D$2:N$2,0),0) ))</f>
        <v>NO</v>
      </c>
      <c r="B112" s="203">
        <v>390661</v>
      </c>
      <c r="C112" s="34" t="s">
        <v>1361</v>
      </c>
      <c r="D112" s="34" t="s">
        <v>36</v>
      </c>
      <c r="E112" s="34" t="s">
        <v>165</v>
      </c>
      <c r="F112" s="34" t="s">
        <v>1364</v>
      </c>
      <c r="G112" s="34" t="s">
        <v>173</v>
      </c>
      <c r="H112" s="34" t="s">
        <v>907</v>
      </c>
      <c r="I112" s="34" t="s">
        <v>36</v>
      </c>
      <c r="J112" s="34" t="s">
        <v>1429</v>
      </c>
      <c r="K112" s="34" t="s">
        <v>1421</v>
      </c>
      <c r="L112" s="34" t="s">
        <v>554</v>
      </c>
      <c r="N112" s="95"/>
      <c r="O112" s="95"/>
    </row>
    <row r="113" spans="1:15" ht="14.4" customHeight="1" x14ac:dyDescent="0.3">
      <c r="A113" s="163" t="str">
        <f>IF(ISERROR(MATCH($H113,EAD_CIs!D:D,0)),"NO",
    IF(VLOOKUP($H113,EAD_CIs!D:N,MATCH("Status",EAD_CIs!D$2:N$2,0),0)="Done","No",VLOOKUP($H113,EAD_CIs!D:N,MATCH("Related",EAD_CIs!D$2:N$2,0),0) ))</f>
        <v>NO</v>
      </c>
      <c r="B113" s="203">
        <v>390656</v>
      </c>
      <c r="C113" s="34" t="s">
        <v>1360</v>
      </c>
      <c r="D113" s="34" t="s">
        <v>36</v>
      </c>
      <c r="E113" s="34" t="s">
        <v>165</v>
      </c>
      <c r="F113" s="34" t="s">
        <v>1363</v>
      </c>
      <c r="G113" s="34" t="s">
        <v>173</v>
      </c>
      <c r="H113" s="34" t="s">
        <v>907</v>
      </c>
      <c r="I113" s="34" t="s">
        <v>36</v>
      </c>
      <c r="J113" s="34" t="s">
        <v>1420</v>
      </c>
      <c r="K113" s="34" t="s">
        <v>1433</v>
      </c>
      <c r="L113" s="34" t="s">
        <v>554</v>
      </c>
      <c r="N113" s="95"/>
      <c r="O113" s="95"/>
    </row>
    <row r="114" spans="1:15" ht="14.4" customHeight="1" x14ac:dyDescent="0.3">
      <c r="A114" s="163" t="str">
        <f>IF(ISERROR(MATCH($H114,EAD_CIs!D:D,0)),"NO",
    IF(VLOOKUP($H114,EAD_CIs!D:N,MATCH("Status",EAD_CIs!D$2:N$2,0),0)="Done","No",VLOOKUP($H114,EAD_CIs!D:N,MATCH("Related",EAD_CIs!D$2:N$2,0),0) ))</f>
        <v>NO</v>
      </c>
      <c r="B114" s="203">
        <v>390645</v>
      </c>
      <c r="C114" s="34" t="s">
        <v>1359</v>
      </c>
      <c r="D114" s="34" t="s">
        <v>36</v>
      </c>
      <c r="E114" s="34" t="s">
        <v>165</v>
      </c>
      <c r="F114" s="34" t="s">
        <v>1362</v>
      </c>
      <c r="G114" s="34" t="s">
        <v>173</v>
      </c>
      <c r="H114" s="34" t="s">
        <v>907</v>
      </c>
      <c r="I114" s="34" t="s">
        <v>36</v>
      </c>
      <c r="J114" s="34" t="s">
        <v>1420</v>
      </c>
      <c r="K114" s="34" t="s">
        <v>1433</v>
      </c>
      <c r="L114" s="34" t="s">
        <v>554</v>
      </c>
      <c r="N114" s="95"/>
      <c r="O114" s="95"/>
    </row>
    <row r="115" spans="1:15" ht="14.4" customHeight="1" x14ac:dyDescent="0.3">
      <c r="A115" s="163" t="str">
        <f>IF(ISERROR(MATCH($H115,EAD_CIs!D:D,0)),"NO",
    IF(VLOOKUP($H115,EAD_CIs!D:N,MATCH("Status",EAD_CIs!D$2:N$2,0),0)="Done","No",VLOOKUP($H115,EAD_CIs!D:N,MATCH("Related",EAD_CIs!D$2:N$2,0),0) ))</f>
        <v>NO</v>
      </c>
      <c r="B115" s="203">
        <v>390418</v>
      </c>
      <c r="C115" s="34" t="s">
        <v>1111</v>
      </c>
      <c r="D115" s="34" t="s">
        <v>36</v>
      </c>
      <c r="E115" s="34" t="s">
        <v>165</v>
      </c>
      <c r="F115" s="34" t="s">
        <v>242</v>
      </c>
      <c r="G115" s="34" t="s">
        <v>1008</v>
      </c>
      <c r="H115" s="34" t="s">
        <v>914</v>
      </c>
      <c r="I115" s="34" t="s">
        <v>36</v>
      </c>
      <c r="J115" s="34" t="s">
        <v>1429</v>
      </c>
      <c r="K115" s="34" t="s">
        <v>1421</v>
      </c>
      <c r="L115" s="34" t="s">
        <v>947</v>
      </c>
      <c r="N115" s="95"/>
      <c r="O115" s="95"/>
    </row>
    <row r="116" spans="1:15" ht="14.4" customHeight="1" x14ac:dyDescent="0.3">
      <c r="A116" s="163" t="str">
        <f>IF(ISERROR(MATCH($H116,EAD_CIs!D:D,0)),"NO",
    IF(VLOOKUP($H116,EAD_CIs!D:N,MATCH("Status",EAD_CIs!D$2:N$2,0),0)="Done","No",VLOOKUP($H116,EAD_CIs!D:N,MATCH("Related",EAD_CIs!D$2:N$2,0),0) ))</f>
        <v>NO</v>
      </c>
      <c r="B116" s="203">
        <v>389459</v>
      </c>
      <c r="C116" s="34" t="s">
        <v>1501</v>
      </c>
      <c r="D116" s="34" t="s">
        <v>167</v>
      </c>
      <c r="E116" s="34" t="s">
        <v>165</v>
      </c>
      <c r="F116" s="34" t="s">
        <v>1357</v>
      </c>
      <c r="G116" s="34" t="s">
        <v>195</v>
      </c>
      <c r="H116" s="34" t="s">
        <v>194</v>
      </c>
      <c r="I116" s="34" t="s">
        <v>36</v>
      </c>
      <c r="J116" s="34" t="s">
        <v>1429</v>
      </c>
      <c r="K116" s="34" t="s">
        <v>1421</v>
      </c>
      <c r="L116" s="34" t="s">
        <v>951</v>
      </c>
      <c r="N116" s="95"/>
      <c r="O116" s="95"/>
    </row>
    <row r="117" spans="1:15" ht="14.4" customHeight="1" x14ac:dyDescent="0.3">
      <c r="A117" s="163" t="str">
        <f>IF(ISERROR(MATCH($H117,EAD_CIs!D:D,0)),"NO",
    IF(VLOOKUP($H117,EAD_CIs!D:N,MATCH("Status",EAD_CIs!D$2:N$2,0),0)="Done","No",VLOOKUP($H117,EAD_CIs!D:N,MATCH("Related",EAD_CIs!D$2:N$2,0),0) ))</f>
        <v>#299984
#380808
#1007900
#1011909
#1003390
#1014202
#1013452</v>
      </c>
      <c r="B117" s="203">
        <v>389429</v>
      </c>
      <c r="C117" s="34" t="s">
        <v>929</v>
      </c>
      <c r="D117" s="34" t="s">
        <v>36</v>
      </c>
      <c r="E117" s="34" t="s">
        <v>165</v>
      </c>
      <c r="F117" s="34" t="s">
        <v>36</v>
      </c>
      <c r="G117" s="34" t="s">
        <v>582</v>
      </c>
      <c r="H117" s="34" t="s">
        <v>209</v>
      </c>
      <c r="I117" s="34" t="s">
        <v>36</v>
      </c>
      <c r="J117" s="34" t="s">
        <v>1429</v>
      </c>
      <c r="K117" s="34" t="s">
        <v>1421</v>
      </c>
      <c r="L117" s="34" t="s">
        <v>943</v>
      </c>
      <c r="N117" s="95"/>
      <c r="O117" s="95"/>
    </row>
    <row r="118" spans="1:15" ht="14.4" customHeight="1" x14ac:dyDescent="0.3">
      <c r="A118" s="163" t="str">
        <f>IF(ISERROR(MATCH($H118,EAD_CIs!D:D,0)),"NO",
    IF(VLOOKUP($H118,EAD_CIs!D:N,MATCH("Status",EAD_CIs!D$2:N$2,0),0)="Done","No",VLOOKUP($H118,EAD_CIs!D:N,MATCH("Related",EAD_CIs!D$2:N$2,0),0) ))</f>
        <v>#377408
#1001248
#381643
#383958
#315485
#342163
#299984
#354174
#381524
#332951
#318380
#386935</v>
      </c>
      <c r="B118" s="203">
        <v>389202</v>
      </c>
      <c r="C118" s="34" t="s">
        <v>928</v>
      </c>
      <c r="D118" s="34" t="s">
        <v>36</v>
      </c>
      <c r="E118" s="34" t="s">
        <v>165</v>
      </c>
      <c r="F118" s="34" t="s">
        <v>36</v>
      </c>
      <c r="G118" s="34" t="s">
        <v>601</v>
      </c>
      <c r="H118" s="34" t="s">
        <v>1177</v>
      </c>
      <c r="I118" s="34" t="s">
        <v>36</v>
      </c>
      <c r="J118" s="34" t="s">
        <v>1429</v>
      </c>
      <c r="K118" s="34" t="s">
        <v>1434</v>
      </c>
      <c r="L118" s="34" t="s">
        <v>949</v>
      </c>
      <c r="N118" s="95"/>
      <c r="O118" s="95"/>
    </row>
    <row r="119" spans="1:15" ht="14.4" customHeight="1" x14ac:dyDescent="0.3">
      <c r="A119" s="163" t="str">
        <f>IF(ISERROR(MATCH($H119,EAD_CIs!D:D,0)),"NO",
    IF(VLOOKUP($H119,EAD_CIs!D:N,MATCH("Status",EAD_CIs!D$2:N$2,0),0)="Done","No",VLOOKUP($H119,EAD_CIs!D:N,MATCH("Related",EAD_CIs!D$2:N$2,0),0) ))</f>
        <v>#299984
#380808
#1007900
#1011909
#1003390
#1014202
#1013452</v>
      </c>
      <c r="B119" s="203">
        <v>389160</v>
      </c>
      <c r="C119" s="34" t="s">
        <v>927</v>
      </c>
      <c r="D119" s="34" t="s">
        <v>36</v>
      </c>
      <c r="E119" s="34" t="s">
        <v>165</v>
      </c>
      <c r="F119" s="34" t="s">
        <v>36</v>
      </c>
      <c r="G119" s="34" t="s">
        <v>582</v>
      </c>
      <c r="H119" s="34" t="s">
        <v>209</v>
      </c>
      <c r="I119" s="34" t="s">
        <v>36</v>
      </c>
      <c r="J119" s="34" t="s">
        <v>1429</v>
      </c>
      <c r="K119" s="34" t="s">
        <v>1421</v>
      </c>
      <c r="L119" s="34" t="s">
        <v>943</v>
      </c>
      <c r="N119" s="95"/>
      <c r="O119" s="95"/>
    </row>
    <row r="120" spans="1:15" ht="14.4" customHeight="1" x14ac:dyDescent="0.3">
      <c r="A120" s="163">
        <f>IF(ISERROR(MATCH($H120,EAD_CIs!D:D,0)),"NO",
    IF(VLOOKUP($H120,EAD_CIs!D:N,MATCH("Status",EAD_CIs!D$2:N$2,0),0)="Done","No",VLOOKUP($H120,EAD_CIs!D:N,MATCH("Related",EAD_CIs!D$2:N$2,0),0) ))</f>
        <v>0</v>
      </c>
      <c r="B120" s="203">
        <v>389148</v>
      </c>
      <c r="C120" s="34" t="s">
        <v>926</v>
      </c>
      <c r="D120" s="34" t="s">
        <v>167</v>
      </c>
      <c r="E120" s="34" t="s">
        <v>165</v>
      </c>
      <c r="F120" s="34" t="s">
        <v>36</v>
      </c>
      <c r="G120" s="34" t="s">
        <v>195</v>
      </c>
      <c r="H120" s="34" t="s">
        <v>635</v>
      </c>
      <c r="I120" s="34" t="s">
        <v>36</v>
      </c>
      <c r="J120" s="34" t="s">
        <v>1429</v>
      </c>
      <c r="K120" s="34" t="s">
        <v>1421</v>
      </c>
      <c r="L120" s="34" t="s">
        <v>951</v>
      </c>
      <c r="N120" s="95"/>
      <c r="O120" s="95"/>
    </row>
    <row r="121" spans="1:15" ht="14.4" customHeight="1" x14ac:dyDescent="0.3">
      <c r="A121" s="163" t="str">
        <f>IF(ISERROR(MATCH($H121,EAD_CIs!D:D,0)),"NO",
    IF(VLOOKUP($H121,EAD_CIs!D:N,MATCH("Status",EAD_CIs!D$2:N$2,0),0)="Done","No",VLOOKUP($H121,EAD_CIs!D:N,MATCH("Related",EAD_CIs!D$2:N$2,0),0) ))</f>
        <v>#377408
#1001248
#381643
#383958
#315485
#342163
#299984
#354174
#381524
#332951
#318380
#386935</v>
      </c>
      <c r="B121" s="203">
        <v>389110</v>
      </c>
      <c r="C121" s="34" t="s">
        <v>1358</v>
      </c>
      <c r="D121" s="34" t="s">
        <v>36</v>
      </c>
      <c r="E121" s="34" t="s">
        <v>165</v>
      </c>
      <c r="F121" s="34" t="s">
        <v>36</v>
      </c>
      <c r="G121" s="34" t="s">
        <v>1003</v>
      </c>
      <c r="H121" s="34" t="s">
        <v>1177</v>
      </c>
      <c r="I121" s="34" t="s">
        <v>36</v>
      </c>
      <c r="J121" s="34" t="s">
        <v>1420</v>
      </c>
      <c r="K121" s="34" t="s">
        <v>1421</v>
      </c>
      <c r="L121" s="34" t="s">
        <v>947</v>
      </c>
      <c r="N121" s="95"/>
      <c r="O121" s="95"/>
    </row>
    <row r="122" spans="1:15" ht="14.4" customHeight="1" x14ac:dyDescent="0.3">
      <c r="A122" s="163" t="str">
        <f>IF(ISERROR(MATCH($H122,EAD_CIs!D:D,0)),"NO",
    IF(VLOOKUP($H122,EAD_CIs!D:N,MATCH("Status",EAD_CIs!D$2:N$2,0),0)="Done","No",VLOOKUP($H122,EAD_CIs!D:N,MATCH("Related",EAD_CIs!D$2:N$2,0),0) ))</f>
        <v>NO</v>
      </c>
      <c r="B122" s="203">
        <v>388988</v>
      </c>
      <c r="C122" s="34" t="s">
        <v>1502</v>
      </c>
      <c r="D122" s="34" t="s">
        <v>167</v>
      </c>
      <c r="E122" s="34" t="s">
        <v>165</v>
      </c>
      <c r="F122" s="34" t="s">
        <v>1357</v>
      </c>
      <c r="G122" s="34" t="s">
        <v>195</v>
      </c>
      <c r="H122" s="34" t="s">
        <v>282</v>
      </c>
      <c r="I122" s="34" t="s">
        <v>36</v>
      </c>
      <c r="J122" s="34" t="s">
        <v>1429</v>
      </c>
      <c r="K122" s="34" t="s">
        <v>1421</v>
      </c>
      <c r="L122" s="34" t="s">
        <v>951</v>
      </c>
      <c r="N122" s="95"/>
      <c r="O122" s="95"/>
    </row>
    <row r="123" spans="1:15" ht="14.4" customHeight="1" x14ac:dyDescent="0.3">
      <c r="A123" s="163" t="str">
        <f>IF(ISERROR(MATCH($H123,EAD_CIs!D:D,0)),"NO",
    IF(VLOOKUP($H123,EAD_CIs!D:N,MATCH("Status",EAD_CIs!D$2:N$2,0),0)="Done","No",VLOOKUP($H123,EAD_CIs!D:N,MATCH("Related",EAD_CIs!D$2:N$2,0),0) ))</f>
        <v>NO</v>
      </c>
      <c r="B123" s="203">
        <v>388833</v>
      </c>
      <c r="C123" s="34" t="s">
        <v>925</v>
      </c>
      <c r="D123" s="34" t="s">
        <v>167</v>
      </c>
      <c r="E123" s="34" t="s">
        <v>165</v>
      </c>
      <c r="F123" s="34" t="s">
        <v>36</v>
      </c>
      <c r="G123" s="34" t="s">
        <v>195</v>
      </c>
      <c r="H123" s="34" t="s">
        <v>288</v>
      </c>
      <c r="I123" s="34" t="s">
        <v>36</v>
      </c>
      <c r="J123" s="34" t="s">
        <v>1429</v>
      </c>
      <c r="K123" s="34" t="s">
        <v>1421</v>
      </c>
      <c r="L123" s="34" t="s">
        <v>951</v>
      </c>
      <c r="N123" s="95"/>
      <c r="O123" s="95"/>
    </row>
    <row r="124" spans="1:15" ht="14.4" customHeight="1" x14ac:dyDescent="0.3">
      <c r="A124" s="163" t="str">
        <f>IF(ISERROR(MATCH($H124,EAD_CIs!D:D,0)),"NO",
    IF(VLOOKUP($H124,EAD_CIs!D:N,MATCH("Status",EAD_CIs!D$2:N$2,0),0)="Done","No",VLOOKUP($H124,EAD_CIs!D:N,MATCH("Related",EAD_CIs!D$2:N$2,0),0) ))</f>
        <v>#342054</v>
      </c>
      <c r="B124" s="203">
        <v>388793</v>
      </c>
      <c r="C124" s="34" t="s">
        <v>924</v>
      </c>
      <c r="D124" s="34" t="s">
        <v>36</v>
      </c>
      <c r="E124" s="34" t="s">
        <v>165</v>
      </c>
      <c r="F124" s="34" t="s">
        <v>36</v>
      </c>
      <c r="G124" s="34" t="s">
        <v>228</v>
      </c>
      <c r="H124" s="34" t="s">
        <v>618</v>
      </c>
      <c r="I124" s="34" t="s">
        <v>36</v>
      </c>
      <c r="J124" s="34" t="s">
        <v>1429</v>
      </c>
      <c r="K124" s="34" t="s">
        <v>1421</v>
      </c>
      <c r="L124" s="34" t="s">
        <v>943</v>
      </c>
      <c r="N124" s="95"/>
      <c r="O124" s="95"/>
    </row>
    <row r="125" spans="1:15" ht="14.4" customHeight="1" x14ac:dyDescent="0.3">
      <c r="A125" s="163" t="str">
        <f>IF(ISERROR(MATCH($H125,EAD_CIs!D:D,0)),"NO",
    IF(VLOOKUP($H125,EAD_CIs!D:N,MATCH("Status",EAD_CIs!D$2:N$2,0),0)="Done","No",VLOOKUP($H125,EAD_CIs!D:N,MATCH("Related",EAD_CIs!D$2:N$2,0),0) ))</f>
        <v>NO</v>
      </c>
      <c r="B125" s="203">
        <v>388760</v>
      </c>
      <c r="C125" s="34" t="s">
        <v>2122</v>
      </c>
      <c r="D125" s="34" t="s">
        <v>167</v>
      </c>
      <c r="E125" s="34" t="s">
        <v>165</v>
      </c>
      <c r="F125" s="34" t="s">
        <v>2343</v>
      </c>
      <c r="G125" s="34" t="s">
        <v>195</v>
      </c>
      <c r="H125" s="34" t="s">
        <v>246</v>
      </c>
      <c r="I125" s="34" t="s">
        <v>36</v>
      </c>
      <c r="J125" s="34" t="s">
        <v>1429</v>
      </c>
      <c r="K125" s="34" t="s">
        <v>1421</v>
      </c>
      <c r="L125" s="34" t="s">
        <v>951</v>
      </c>
      <c r="N125" s="95"/>
      <c r="O125" s="95"/>
    </row>
    <row r="126" spans="1:15" ht="14.4" customHeight="1" x14ac:dyDescent="0.3">
      <c r="A126" s="163" t="str">
        <f>IF(ISERROR(MATCH($H126,EAD_CIs!D:D,0)),"NO",
    IF(VLOOKUP($H126,EAD_CIs!D:N,MATCH("Status",EAD_CIs!D$2:N$2,0),0)="Done","No",VLOOKUP($H126,EAD_CIs!D:N,MATCH("Related",EAD_CIs!D$2:N$2,0),0) ))</f>
        <v>NO</v>
      </c>
      <c r="B126" s="203">
        <v>388543</v>
      </c>
      <c r="C126" s="34" t="s">
        <v>1503</v>
      </c>
      <c r="D126" s="34" t="s">
        <v>167</v>
      </c>
      <c r="E126" s="34" t="s">
        <v>165</v>
      </c>
      <c r="F126" s="34" t="s">
        <v>1357</v>
      </c>
      <c r="G126" s="34" t="s">
        <v>195</v>
      </c>
      <c r="H126" s="34" t="s">
        <v>282</v>
      </c>
      <c r="I126" s="34" t="s">
        <v>36</v>
      </c>
      <c r="J126" s="34" t="s">
        <v>1429</v>
      </c>
      <c r="K126" s="34" t="s">
        <v>1421</v>
      </c>
      <c r="L126" s="34" t="s">
        <v>951</v>
      </c>
      <c r="N126" s="95"/>
      <c r="O126" s="95"/>
    </row>
    <row r="127" spans="1:15" ht="14.4" customHeight="1" x14ac:dyDescent="0.3">
      <c r="A127" s="163" t="str">
        <f>IF(ISERROR(MATCH($H127,EAD_CIs!D:D,0)),"NO",
    IF(VLOOKUP($H127,EAD_CIs!D:N,MATCH("Status",EAD_CIs!D$2:N$2,0),0)="Done","No",VLOOKUP($H127,EAD_CIs!D:N,MATCH("Related",EAD_CIs!D$2:N$2,0),0) ))</f>
        <v>#377408
#1001248
#381643
#383958
#315485
#342163
#299984
#354174
#381524
#332951
#318380
#386935</v>
      </c>
      <c r="B127" s="203">
        <v>388540</v>
      </c>
      <c r="C127" s="34" t="s">
        <v>1504</v>
      </c>
      <c r="D127" s="34" t="s">
        <v>167</v>
      </c>
      <c r="E127" s="34" t="s">
        <v>165</v>
      </c>
      <c r="F127" s="34" t="s">
        <v>1357</v>
      </c>
      <c r="G127" s="34" t="s">
        <v>195</v>
      </c>
      <c r="H127" s="34" t="s">
        <v>1177</v>
      </c>
      <c r="I127" s="34" t="s">
        <v>36</v>
      </c>
      <c r="J127" s="34" t="s">
        <v>1429</v>
      </c>
      <c r="K127" s="34" t="s">
        <v>1421</v>
      </c>
      <c r="L127" s="34" t="s">
        <v>951</v>
      </c>
      <c r="N127" s="95"/>
      <c r="O127" s="95"/>
    </row>
    <row r="128" spans="1:15" ht="14.4" customHeight="1" x14ac:dyDescent="0.3">
      <c r="A128" s="163" t="str">
        <f>IF(ISERROR(MATCH($H128,EAD_CIs!D:D,0)),"NO",
    IF(VLOOKUP($H128,EAD_CIs!D:N,MATCH("Status",EAD_CIs!D$2:N$2,0),0)="Done","No",VLOOKUP($H128,EAD_CIs!D:N,MATCH("Related",EAD_CIs!D$2:N$2,0),0) ))</f>
        <v>#377408
#1001248
#381643
#383958
#315485
#342163
#299984
#354174
#381524
#332951
#318380
#386935</v>
      </c>
      <c r="B128" s="203">
        <v>388532</v>
      </c>
      <c r="C128" s="34" t="s">
        <v>1505</v>
      </c>
      <c r="D128" s="34" t="s">
        <v>167</v>
      </c>
      <c r="E128" s="34" t="s">
        <v>165</v>
      </c>
      <c r="F128" s="34" t="s">
        <v>1357</v>
      </c>
      <c r="G128" s="34" t="s">
        <v>195</v>
      </c>
      <c r="H128" s="34" t="s">
        <v>1177</v>
      </c>
      <c r="I128" s="34" t="s">
        <v>36</v>
      </c>
      <c r="J128" s="34" t="s">
        <v>1429</v>
      </c>
      <c r="K128" s="34" t="s">
        <v>1421</v>
      </c>
      <c r="L128" s="34" t="s">
        <v>951</v>
      </c>
      <c r="N128" s="95"/>
      <c r="O128" s="95"/>
    </row>
    <row r="129" spans="1:15" ht="14.4" customHeight="1" x14ac:dyDescent="0.3">
      <c r="A129" s="163" t="str">
        <f>IF(ISERROR(MATCH($H129,EAD_CIs!D:D,0)),"NO",
    IF(VLOOKUP($H129,EAD_CIs!D:N,MATCH("Status",EAD_CIs!D$2:N$2,0),0)="Done","No",VLOOKUP($H129,EAD_CIs!D:N,MATCH("Related",EAD_CIs!D$2:N$2,0),0) ))</f>
        <v>#377408
#1001248
#381643
#383958
#315485
#342163
#299984
#354174
#381524
#332951
#318380
#386935</v>
      </c>
      <c r="B129" s="203">
        <v>388530</v>
      </c>
      <c r="C129" s="34" t="s">
        <v>1356</v>
      </c>
      <c r="D129" s="34" t="s">
        <v>36</v>
      </c>
      <c r="E129" s="34" t="s">
        <v>165</v>
      </c>
      <c r="F129" s="34" t="s">
        <v>1357</v>
      </c>
      <c r="G129" s="34" t="s">
        <v>270</v>
      </c>
      <c r="H129" s="34" t="s">
        <v>1177</v>
      </c>
      <c r="I129" s="34" t="s">
        <v>36</v>
      </c>
      <c r="J129" s="34" t="s">
        <v>1429</v>
      </c>
      <c r="K129" s="34" t="s">
        <v>1421</v>
      </c>
      <c r="L129" s="34" t="s">
        <v>949</v>
      </c>
      <c r="N129" s="95"/>
      <c r="O129" s="95"/>
    </row>
    <row r="130" spans="1:15" ht="14.4" customHeight="1" x14ac:dyDescent="0.3">
      <c r="A130" s="163" t="str">
        <f>IF(ISERROR(MATCH($H130,EAD_CIs!D:D,0)),"NO",
    IF(VLOOKUP($H130,EAD_CIs!D:N,MATCH("Status",EAD_CIs!D$2:N$2,0),0)="Done","No",VLOOKUP($H130,EAD_CIs!D:N,MATCH("Related",EAD_CIs!D$2:N$2,0),0) ))</f>
        <v>#377408
#1001248
#381643
#383958
#315485
#342163
#299984
#354174
#381524
#332951
#318380
#386935</v>
      </c>
      <c r="B130" s="203">
        <v>388279</v>
      </c>
      <c r="C130" s="34" t="s">
        <v>1355</v>
      </c>
      <c r="D130" s="34" t="s">
        <v>36</v>
      </c>
      <c r="E130" s="34" t="s">
        <v>165</v>
      </c>
      <c r="F130" s="34" t="s">
        <v>242</v>
      </c>
      <c r="G130" s="34" t="s">
        <v>549</v>
      </c>
      <c r="H130" s="34" t="s">
        <v>1177</v>
      </c>
      <c r="I130" s="34" t="s">
        <v>36</v>
      </c>
      <c r="J130" s="34" t="s">
        <v>1429</v>
      </c>
      <c r="K130" s="34" t="s">
        <v>1421</v>
      </c>
      <c r="L130" s="34" t="s">
        <v>17</v>
      </c>
      <c r="N130" s="95"/>
      <c r="O130" s="95"/>
    </row>
    <row r="131" spans="1:15" ht="14.4" customHeight="1" x14ac:dyDescent="0.3">
      <c r="A131" s="163" t="str">
        <f>IF(ISERROR(MATCH($H131,EAD_CIs!D:D,0)),"NO",
    IF(VLOOKUP($H131,EAD_CIs!D:N,MATCH("Status",EAD_CIs!D$2:N$2,0),0)="Done","No",VLOOKUP($H131,EAD_CIs!D:N,MATCH("Related",EAD_CIs!D$2:N$2,0),0) ))</f>
        <v>#377408
#1001248
#381643
#383958
#315485
#342163
#299984
#354174
#381524
#332951
#318380
#386935</v>
      </c>
      <c r="B131" s="203">
        <v>388274</v>
      </c>
      <c r="C131" s="34" t="s">
        <v>1354</v>
      </c>
      <c r="D131" s="34" t="s">
        <v>36</v>
      </c>
      <c r="E131" s="34" t="s">
        <v>165</v>
      </c>
      <c r="F131" s="34" t="s">
        <v>903</v>
      </c>
      <c r="G131" s="34" t="s">
        <v>549</v>
      </c>
      <c r="H131" s="34" t="s">
        <v>1177</v>
      </c>
      <c r="I131" s="34" t="s">
        <v>36</v>
      </c>
      <c r="J131" s="34" t="s">
        <v>1429</v>
      </c>
      <c r="K131" s="34" t="s">
        <v>1421</v>
      </c>
      <c r="L131" s="34" t="s">
        <v>17</v>
      </c>
      <c r="N131" s="95"/>
      <c r="O131" s="95"/>
    </row>
    <row r="132" spans="1:15" ht="14.4" customHeight="1" x14ac:dyDescent="0.3">
      <c r="A132" s="163" t="str">
        <f>IF(ISERROR(MATCH($H132,EAD_CIs!D:D,0)),"NO",
    IF(VLOOKUP($H132,EAD_CIs!D:N,MATCH("Status",EAD_CIs!D$2:N$2,0),0)="Done","No",VLOOKUP($H132,EAD_CIs!D:N,MATCH("Related",EAD_CIs!D$2:N$2,0),0) ))</f>
        <v>#377408
#1001248
#381643
#383958
#315485
#342163
#299984
#354174
#381524
#332951
#318380
#386935</v>
      </c>
      <c r="B132" s="203">
        <v>388267</v>
      </c>
      <c r="C132" s="34" t="s">
        <v>1353</v>
      </c>
      <c r="D132" s="34" t="s">
        <v>36</v>
      </c>
      <c r="E132" s="34" t="s">
        <v>165</v>
      </c>
      <c r="F132" s="34" t="s">
        <v>903</v>
      </c>
      <c r="G132" s="34" t="s">
        <v>549</v>
      </c>
      <c r="H132" s="34" t="s">
        <v>1177</v>
      </c>
      <c r="I132" s="34" t="s">
        <v>36</v>
      </c>
      <c r="J132" s="34" t="s">
        <v>1429</v>
      </c>
      <c r="K132" s="34" t="s">
        <v>1421</v>
      </c>
      <c r="L132" s="34" t="s">
        <v>17</v>
      </c>
      <c r="N132" s="95"/>
      <c r="O132" s="95"/>
    </row>
    <row r="133" spans="1:15" ht="14.4" customHeight="1" x14ac:dyDescent="0.3">
      <c r="A133" s="163" t="str">
        <f>IF(ISERROR(MATCH($H133,EAD_CIs!D:D,0)),"NO",
    IF(VLOOKUP($H133,EAD_CIs!D:N,MATCH("Status",EAD_CIs!D$2:N$2,0),0)="Done","No",VLOOKUP($H133,EAD_CIs!D:N,MATCH("Related",EAD_CIs!D$2:N$2,0),0) ))</f>
        <v>#377408
#1001248
#381643
#383958
#315485
#342163
#299984
#354174
#381524
#332951
#318380
#386935</v>
      </c>
      <c r="B133" s="203">
        <v>388264</v>
      </c>
      <c r="C133" s="34" t="s">
        <v>1352</v>
      </c>
      <c r="D133" s="34" t="s">
        <v>36</v>
      </c>
      <c r="E133" s="34" t="s">
        <v>165</v>
      </c>
      <c r="F133" s="34" t="s">
        <v>903</v>
      </c>
      <c r="G133" s="34" t="s">
        <v>549</v>
      </c>
      <c r="H133" s="34" t="s">
        <v>1177</v>
      </c>
      <c r="I133" s="34" t="s">
        <v>36</v>
      </c>
      <c r="J133" s="34" t="s">
        <v>1429</v>
      </c>
      <c r="K133" s="34" t="s">
        <v>1421</v>
      </c>
      <c r="L133" s="34" t="s">
        <v>17</v>
      </c>
      <c r="N133" s="95"/>
      <c r="O133" s="95"/>
    </row>
    <row r="134" spans="1:15" ht="14.4" customHeight="1" x14ac:dyDescent="0.3">
      <c r="A134" s="163" t="str">
        <f>IF(ISERROR(MATCH($H134,EAD_CIs!D:D,0)),"NO",
    IF(VLOOKUP($H134,EAD_CIs!D:N,MATCH("Status",EAD_CIs!D$2:N$2,0),0)="Done","No",VLOOKUP($H134,EAD_CIs!D:N,MATCH("Related",EAD_CIs!D$2:N$2,0),0) ))</f>
        <v>#377408
#1001248
#381643
#383958
#315485
#342163
#299984
#354174
#381524
#332951
#318380
#386935</v>
      </c>
      <c r="B134" s="203">
        <v>388261</v>
      </c>
      <c r="C134" s="34" t="s">
        <v>1351</v>
      </c>
      <c r="D134" s="34" t="s">
        <v>36</v>
      </c>
      <c r="E134" s="34" t="s">
        <v>165</v>
      </c>
      <c r="F134" s="34" t="s">
        <v>903</v>
      </c>
      <c r="G134" s="34" t="s">
        <v>549</v>
      </c>
      <c r="H134" s="34" t="s">
        <v>1177</v>
      </c>
      <c r="I134" s="34" t="s">
        <v>36</v>
      </c>
      <c r="J134" s="34" t="s">
        <v>1429</v>
      </c>
      <c r="K134" s="34" t="s">
        <v>1421</v>
      </c>
      <c r="L134" s="34" t="s">
        <v>17</v>
      </c>
      <c r="N134" s="95"/>
      <c r="O134" s="95"/>
    </row>
    <row r="135" spans="1:15" ht="14.4" customHeight="1" x14ac:dyDescent="0.3">
      <c r="A135" s="163" t="str">
        <f>IF(ISERROR(MATCH($H135,EAD_CIs!D:D,0)),"NO",
    IF(VLOOKUP($H135,EAD_CIs!D:N,MATCH("Status",EAD_CIs!D$2:N$2,0),0)="Done","No",VLOOKUP($H135,EAD_CIs!D:N,MATCH("Related",EAD_CIs!D$2:N$2,0),0) ))</f>
        <v>#377408
#1001248
#381643
#383958
#315485
#342163
#299984
#354174
#381524
#332951
#318380
#386935</v>
      </c>
      <c r="B135" s="203">
        <v>388257</v>
      </c>
      <c r="C135" s="34" t="s">
        <v>1350</v>
      </c>
      <c r="D135" s="34" t="s">
        <v>36</v>
      </c>
      <c r="E135" s="34" t="s">
        <v>165</v>
      </c>
      <c r="F135" s="34" t="s">
        <v>903</v>
      </c>
      <c r="G135" s="34" t="s">
        <v>549</v>
      </c>
      <c r="H135" s="34" t="s">
        <v>1177</v>
      </c>
      <c r="I135" s="34" t="s">
        <v>36</v>
      </c>
      <c r="J135" s="34" t="s">
        <v>1429</v>
      </c>
      <c r="K135" s="34" t="s">
        <v>1421</v>
      </c>
      <c r="L135" s="34" t="s">
        <v>17</v>
      </c>
      <c r="N135" s="95"/>
      <c r="O135" s="95"/>
    </row>
    <row r="136" spans="1:15" ht="14.4" customHeight="1" x14ac:dyDescent="0.3">
      <c r="A136" s="163" t="str">
        <f>IF(ISERROR(MATCH($H136,EAD_CIs!D:D,0)),"NO",
    IF(VLOOKUP($H136,EAD_CIs!D:N,MATCH("Status",EAD_CIs!D$2:N$2,0),0)="Done","No",VLOOKUP($H136,EAD_CIs!D:N,MATCH("Related",EAD_CIs!D$2:N$2,0),0) ))</f>
        <v>#342054
#1014201
#1003390</v>
      </c>
      <c r="B136" s="203">
        <v>387697</v>
      </c>
      <c r="C136" s="34" t="s">
        <v>2046</v>
      </c>
      <c r="D136" s="34" t="s">
        <v>167</v>
      </c>
      <c r="E136" s="34" t="s">
        <v>168</v>
      </c>
      <c r="F136" s="34" t="s">
        <v>36</v>
      </c>
      <c r="G136" s="34" t="s">
        <v>1008</v>
      </c>
      <c r="H136" s="34" t="s">
        <v>193</v>
      </c>
      <c r="I136" s="34" t="s">
        <v>36</v>
      </c>
      <c r="J136" s="34" t="s">
        <v>1429</v>
      </c>
      <c r="K136" s="34" t="s">
        <v>1421</v>
      </c>
      <c r="L136" s="34" t="s">
        <v>950</v>
      </c>
      <c r="N136" s="95"/>
      <c r="O136" s="95"/>
    </row>
    <row r="137" spans="1:15" ht="14.4" customHeight="1" x14ac:dyDescent="0.3">
      <c r="A137" s="163" t="str">
        <f>IF(ISERROR(MATCH($H137,EAD_CIs!D:D,0)),"NO",
    IF(VLOOKUP($H137,EAD_CIs!D:N,MATCH("Status",EAD_CIs!D$2:N$2,0),0)="Done","No",VLOOKUP($H137,EAD_CIs!D:N,MATCH("Related",EAD_CIs!D$2:N$2,0),0) ))</f>
        <v>#395688</v>
      </c>
      <c r="B137" s="203">
        <v>387514</v>
      </c>
      <c r="C137" s="34" t="s">
        <v>921</v>
      </c>
      <c r="D137" s="34" t="s">
        <v>36</v>
      </c>
      <c r="E137" s="34" t="s">
        <v>168</v>
      </c>
      <c r="F137" s="34" t="s">
        <v>196</v>
      </c>
      <c r="G137" s="34" t="s">
        <v>546</v>
      </c>
      <c r="H137" s="34" t="s">
        <v>283</v>
      </c>
      <c r="I137" s="34" t="s">
        <v>36</v>
      </c>
      <c r="J137" s="34" t="s">
        <v>1420</v>
      </c>
      <c r="K137" s="34" t="s">
        <v>1421</v>
      </c>
      <c r="L137" s="34" t="s">
        <v>944</v>
      </c>
      <c r="N137" s="95"/>
      <c r="O137" s="95"/>
    </row>
    <row r="138" spans="1:15" ht="14.4" customHeight="1" x14ac:dyDescent="0.3">
      <c r="A138" s="163" t="str">
        <f>IF(ISERROR(MATCH($H138,EAD_CIs!D:D,0)),"NO",
    IF(VLOOKUP($H138,EAD_CIs!D:N,MATCH("Status",EAD_CIs!D$2:N$2,0),0)="Done","No",VLOOKUP($H138,EAD_CIs!D:N,MATCH("Related",EAD_CIs!D$2:N$2,0),0) ))</f>
        <v>NO</v>
      </c>
      <c r="B138" s="203">
        <v>387495</v>
      </c>
      <c r="C138" s="34" t="s">
        <v>920</v>
      </c>
      <c r="D138" s="34" t="s">
        <v>36</v>
      </c>
      <c r="E138" s="34" t="s">
        <v>168</v>
      </c>
      <c r="F138" s="34" t="s">
        <v>922</v>
      </c>
      <c r="G138" s="34" t="s">
        <v>104</v>
      </c>
      <c r="H138" s="34" t="s">
        <v>923</v>
      </c>
      <c r="I138" s="34" t="s">
        <v>36</v>
      </c>
      <c r="J138" s="34" t="s">
        <v>104</v>
      </c>
      <c r="K138" s="34" t="s">
        <v>1419</v>
      </c>
      <c r="L138" s="34" t="s">
        <v>123</v>
      </c>
      <c r="N138" s="95"/>
      <c r="O138" s="95"/>
    </row>
    <row r="139" spans="1:15" ht="14.4" customHeight="1" x14ac:dyDescent="0.3">
      <c r="A139" s="163" t="str">
        <f>IF(ISERROR(MATCH($H139,EAD_CIs!D:D,0)),"NO",
    IF(VLOOKUP($H139,EAD_CIs!D:N,MATCH("Status",EAD_CIs!D$2:N$2,0),0)="Done","No",VLOOKUP($H139,EAD_CIs!D:N,MATCH("Related",EAD_CIs!D$2:N$2,0),0) ))</f>
        <v>#377437</v>
      </c>
      <c r="B139" s="203">
        <v>386118</v>
      </c>
      <c r="C139" s="34" t="s">
        <v>918</v>
      </c>
      <c r="D139" s="34" t="s">
        <v>167</v>
      </c>
      <c r="E139" s="34" t="s">
        <v>165</v>
      </c>
      <c r="F139" s="34" t="s">
        <v>196</v>
      </c>
      <c r="G139" s="34" t="s">
        <v>362</v>
      </c>
      <c r="H139" s="34" t="s">
        <v>810</v>
      </c>
      <c r="I139" s="34" t="s">
        <v>36</v>
      </c>
      <c r="J139" s="34" t="s">
        <v>1429</v>
      </c>
      <c r="K139" s="34" t="s">
        <v>1421</v>
      </c>
      <c r="L139" s="34" t="s">
        <v>950</v>
      </c>
      <c r="N139" s="95"/>
      <c r="O139" s="95"/>
    </row>
    <row r="140" spans="1:15" ht="14.4" customHeight="1" x14ac:dyDescent="0.3">
      <c r="A140" s="163" t="str">
        <f>IF(ISERROR(MATCH($H140,EAD_CIs!D:D,0)),"NO",
    IF(VLOOKUP($H140,EAD_CIs!D:N,MATCH("Status",EAD_CIs!D$2:N$2,0),0)="Done","No",VLOOKUP($H140,EAD_CIs!D:N,MATCH("Related",EAD_CIs!D$2:N$2,0),0) ))</f>
        <v>#377437</v>
      </c>
      <c r="B140" s="203">
        <v>386116</v>
      </c>
      <c r="C140" s="34" t="s">
        <v>917</v>
      </c>
      <c r="D140" s="34" t="s">
        <v>167</v>
      </c>
      <c r="E140" s="34" t="s">
        <v>165</v>
      </c>
      <c r="F140" s="34" t="s">
        <v>196</v>
      </c>
      <c r="G140" s="34" t="s">
        <v>362</v>
      </c>
      <c r="H140" s="34" t="s">
        <v>810</v>
      </c>
      <c r="I140" s="34" t="s">
        <v>36</v>
      </c>
      <c r="J140" s="34" t="s">
        <v>1429</v>
      </c>
      <c r="K140" s="34" t="s">
        <v>1421</v>
      </c>
      <c r="L140" s="34" t="s">
        <v>950</v>
      </c>
      <c r="N140" s="95"/>
      <c r="O140" s="95"/>
    </row>
    <row r="141" spans="1:15" ht="14.4" customHeight="1" x14ac:dyDescent="0.3">
      <c r="A141" s="163">
        <f>IF(ISERROR(MATCH($H141,EAD_CIs!D:D,0)),"NO",
    IF(VLOOKUP($H141,EAD_CIs!D:N,MATCH("Status",EAD_CIs!D$2:N$2,0),0)="Done","No",VLOOKUP($H141,EAD_CIs!D:N,MATCH("Related",EAD_CIs!D$2:N$2,0),0) ))</f>
        <v>0</v>
      </c>
      <c r="B141" s="203">
        <v>385349</v>
      </c>
      <c r="C141" s="34" t="s">
        <v>1506</v>
      </c>
      <c r="D141" s="34" t="s">
        <v>167</v>
      </c>
      <c r="E141" s="34" t="s">
        <v>165</v>
      </c>
      <c r="F141" s="34" t="s">
        <v>36</v>
      </c>
      <c r="G141" s="34" t="s">
        <v>195</v>
      </c>
      <c r="H141" s="34" t="s">
        <v>635</v>
      </c>
      <c r="I141" s="34" t="s">
        <v>36</v>
      </c>
      <c r="J141" s="34" t="s">
        <v>1429</v>
      </c>
      <c r="K141" s="34" t="s">
        <v>1421</v>
      </c>
      <c r="L141" s="34" t="s">
        <v>951</v>
      </c>
      <c r="N141" s="95"/>
      <c r="O141" s="95"/>
    </row>
    <row r="142" spans="1:15" ht="14.4" customHeight="1" x14ac:dyDescent="0.3">
      <c r="A142" s="163" t="str">
        <f>IF(ISERROR(MATCH($H142,EAD_CIs!D:D,0)),"NO",
    IF(VLOOKUP($H142,EAD_CIs!D:N,MATCH("Status",EAD_CIs!D$2:N$2,0),0)="Done","No",VLOOKUP($H142,EAD_CIs!D:N,MATCH("Related",EAD_CIs!D$2:N$2,0),0) ))</f>
        <v>NO</v>
      </c>
      <c r="B142" s="203">
        <v>384578</v>
      </c>
      <c r="C142" s="34" t="s">
        <v>915</v>
      </c>
      <c r="D142" s="34" t="s">
        <v>167</v>
      </c>
      <c r="E142" s="34" t="s">
        <v>165</v>
      </c>
      <c r="F142" s="34" t="s">
        <v>1110</v>
      </c>
      <c r="G142" s="34" t="s">
        <v>173</v>
      </c>
      <c r="H142" s="34" t="s">
        <v>372</v>
      </c>
      <c r="I142" s="34" t="s">
        <v>36</v>
      </c>
      <c r="J142" s="34" t="s">
        <v>1420</v>
      </c>
      <c r="K142" s="34" t="s">
        <v>1421</v>
      </c>
      <c r="L142" s="34" t="s">
        <v>554</v>
      </c>
      <c r="N142" s="95"/>
      <c r="O142" s="95"/>
    </row>
    <row r="143" spans="1:15" ht="14.4" customHeight="1" x14ac:dyDescent="0.3">
      <c r="A143" s="163" t="str">
        <f>IF(ISERROR(MATCH($H143,EAD_CIs!D:D,0)),"NO",
    IF(VLOOKUP($H143,EAD_CIs!D:N,MATCH("Status",EAD_CIs!D$2:N$2,0),0)="Done","No",VLOOKUP($H143,EAD_CIs!D:N,MATCH("Related",EAD_CIs!D$2:N$2,0),0) ))</f>
        <v>#299984
#380808
#1007900
#1011909
#1003390
#1014202
#1013452</v>
      </c>
      <c r="B143" s="203">
        <v>384411</v>
      </c>
      <c r="C143" s="34" t="s">
        <v>1348</v>
      </c>
      <c r="D143" s="34" t="s">
        <v>36</v>
      </c>
      <c r="E143" s="34" t="s">
        <v>165</v>
      </c>
      <c r="F143" s="34" t="s">
        <v>36</v>
      </c>
      <c r="G143" s="34" t="s">
        <v>582</v>
      </c>
      <c r="H143" s="34" t="s">
        <v>209</v>
      </c>
      <c r="I143" s="34" t="s">
        <v>36</v>
      </c>
      <c r="J143" s="34" t="s">
        <v>1429</v>
      </c>
      <c r="K143" s="34" t="s">
        <v>1421</v>
      </c>
      <c r="L143" s="34" t="s">
        <v>943</v>
      </c>
      <c r="N143" s="95"/>
      <c r="O143" s="95"/>
    </row>
    <row r="144" spans="1:15" ht="14.4" customHeight="1" x14ac:dyDescent="0.3">
      <c r="A144" s="163" t="str">
        <f>IF(ISERROR(MATCH($H144,EAD_CIs!D:D,0)),"NO",
    IF(VLOOKUP($H144,EAD_CIs!D:N,MATCH("Status",EAD_CIs!D$2:N$2,0),0)="Done","No",VLOOKUP($H144,EAD_CIs!D:N,MATCH("Related",EAD_CIs!D$2:N$2,0),0) ))</f>
        <v>NO</v>
      </c>
      <c r="B144" s="203">
        <v>384270</v>
      </c>
      <c r="C144" s="34" t="s">
        <v>912</v>
      </c>
      <c r="D144" s="34" t="s">
        <v>167</v>
      </c>
      <c r="E144" s="34" t="s">
        <v>28</v>
      </c>
      <c r="F144" s="34" t="s">
        <v>1349</v>
      </c>
      <c r="G144" s="34" t="s">
        <v>993</v>
      </c>
      <c r="H144" s="34" t="s">
        <v>914</v>
      </c>
      <c r="I144" s="34" t="s">
        <v>36</v>
      </c>
      <c r="J144" s="34" t="s">
        <v>1429</v>
      </c>
      <c r="K144" s="34" t="s">
        <v>1421</v>
      </c>
      <c r="L144" s="34" t="s">
        <v>947</v>
      </c>
      <c r="N144" s="95"/>
      <c r="O144" s="95"/>
    </row>
    <row r="145" spans="1:15" ht="14.4" customHeight="1" x14ac:dyDescent="0.3">
      <c r="A145" s="163" t="str">
        <f>IF(ISERROR(MATCH($H145,EAD_CIs!D:D,0)),"NO",
    IF(VLOOKUP($H145,EAD_CIs!D:N,MATCH("Status",EAD_CIs!D$2:N$2,0),0)="Done","No",VLOOKUP($H145,EAD_CIs!D:N,MATCH("Related",EAD_CIs!D$2:N$2,0),0) ))</f>
        <v>NO</v>
      </c>
      <c r="B145" s="203">
        <v>383907</v>
      </c>
      <c r="C145" s="34" t="s">
        <v>911</v>
      </c>
      <c r="D145" s="34" t="s">
        <v>167</v>
      </c>
      <c r="E145" s="34" t="s">
        <v>28</v>
      </c>
      <c r="F145" s="34" t="s">
        <v>913</v>
      </c>
      <c r="G145" s="34" t="s">
        <v>601</v>
      </c>
      <c r="H145" s="34" t="s">
        <v>194</v>
      </c>
      <c r="I145" s="34" t="s">
        <v>36</v>
      </c>
      <c r="J145" s="34" t="s">
        <v>1429</v>
      </c>
      <c r="K145" s="34" t="s">
        <v>1421</v>
      </c>
      <c r="L145" s="34" t="s">
        <v>951</v>
      </c>
      <c r="N145" s="95"/>
      <c r="O145" s="95"/>
    </row>
    <row r="146" spans="1:15" ht="14.4" customHeight="1" x14ac:dyDescent="0.3">
      <c r="A146" s="163" t="str">
        <f>IF(ISERROR(MATCH($H146,EAD_CIs!D:D,0)),"NO",
    IF(VLOOKUP($H146,EAD_CIs!D:N,MATCH("Status",EAD_CIs!D$2:N$2,0),0)="Done","No",VLOOKUP($H146,EAD_CIs!D:N,MATCH("Related",EAD_CIs!D$2:N$2,0),0) ))</f>
        <v>NO</v>
      </c>
      <c r="B146" s="203">
        <v>383474</v>
      </c>
      <c r="C146" s="34" t="s">
        <v>909</v>
      </c>
      <c r="D146" s="34" t="s">
        <v>36</v>
      </c>
      <c r="E146" s="34" t="s">
        <v>165</v>
      </c>
      <c r="F146" s="34" t="s">
        <v>36</v>
      </c>
      <c r="G146" s="34" t="s">
        <v>549</v>
      </c>
      <c r="H146" s="34" t="s">
        <v>833</v>
      </c>
      <c r="I146" s="34" t="s">
        <v>36</v>
      </c>
      <c r="J146" s="34" t="s">
        <v>1429</v>
      </c>
      <c r="K146" s="34" t="s">
        <v>1421</v>
      </c>
      <c r="L146" s="34" t="s">
        <v>17</v>
      </c>
      <c r="N146" s="95"/>
      <c r="O146" s="95"/>
    </row>
    <row r="147" spans="1:15" ht="14.4" customHeight="1" x14ac:dyDescent="0.3">
      <c r="A147" s="163" t="str">
        <f>IF(ISERROR(MATCH($H147,EAD_CIs!D:D,0)),"NO",
    IF(VLOOKUP($H147,EAD_CIs!D:N,MATCH("Status",EAD_CIs!D$2:N$2,0),0)="Done","No",VLOOKUP($H147,EAD_CIs!D:N,MATCH("Related",EAD_CIs!D$2:N$2,0),0) ))</f>
        <v>NO</v>
      </c>
      <c r="B147" s="203">
        <v>383207</v>
      </c>
      <c r="C147" s="34" t="s">
        <v>908</v>
      </c>
      <c r="D147" s="34" t="s">
        <v>167</v>
      </c>
      <c r="E147" s="34" t="s">
        <v>165</v>
      </c>
      <c r="F147" s="34" t="s">
        <v>759</v>
      </c>
      <c r="G147" s="34" t="s">
        <v>170</v>
      </c>
      <c r="H147" s="34" t="s">
        <v>910</v>
      </c>
      <c r="I147" s="34" t="s">
        <v>36</v>
      </c>
      <c r="J147" s="34" t="s">
        <v>1429</v>
      </c>
      <c r="K147" s="34" t="s">
        <v>1421</v>
      </c>
      <c r="L147" s="34" t="s">
        <v>943</v>
      </c>
      <c r="N147" s="95"/>
      <c r="O147" s="95"/>
    </row>
    <row r="148" spans="1:15" ht="14.4" customHeight="1" x14ac:dyDescent="0.3">
      <c r="A148" s="163" t="str">
        <f>IF(ISERROR(MATCH($H148,EAD_CIs!D:D,0)),"NO",
    IF(VLOOKUP($H148,EAD_CIs!D:N,MATCH("Status",EAD_CIs!D$2:N$2,0),0)="Done","No",VLOOKUP($H148,EAD_CIs!D:N,MATCH("Related",EAD_CIs!D$2:N$2,0),0) ))</f>
        <v>NO</v>
      </c>
      <c r="B148" s="203">
        <v>382643</v>
      </c>
      <c r="C148" s="34" t="s">
        <v>906</v>
      </c>
      <c r="D148" s="34" t="s">
        <v>36</v>
      </c>
      <c r="E148" s="34" t="s">
        <v>165</v>
      </c>
      <c r="F148" s="34" t="s">
        <v>1110</v>
      </c>
      <c r="G148" s="34" t="s">
        <v>173</v>
      </c>
      <c r="H148" s="34" t="s">
        <v>907</v>
      </c>
      <c r="I148" s="34" t="s">
        <v>36</v>
      </c>
      <c r="J148" s="34" t="s">
        <v>104</v>
      </c>
      <c r="K148" s="34" t="s">
        <v>1434</v>
      </c>
      <c r="L148" s="34" t="s">
        <v>554</v>
      </c>
      <c r="N148" s="95"/>
      <c r="O148" s="95"/>
    </row>
    <row r="149" spans="1:15" ht="14.4" customHeight="1" x14ac:dyDescent="0.3">
      <c r="A149" s="163" t="str">
        <f>IF(ISERROR(MATCH($H149,EAD_CIs!D:D,0)),"NO",
    IF(VLOOKUP($H149,EAD_CIs!D:N,MATCH("Status",EAD_CIs!D$2:N$2,0),0)="Done","No",VLOOKUP($H149,EAD_CIs!D:N,MATCH("Related",EAD_CIs!D$2:N$2,0),0) ))</f>
        <v>#377408
#1001248
#381643
#383958
#315485
#342163
#299984
#354174
#381524
#332951
#318380
#386935</v>
      </c>
      <c r="B149" s="203">
        <v>382253</v>
      </c>
      <c r="C149" s="34" t="s">
        <v>1347</v>
      </c>
      <c r="D149" s="34" t="s">
        <v>36</v>
      </c>
      <c r="E149" s="34" t="s">
        <v>165</v>
      </c>
      <c r="F149" s="34" t="s">
        <v>242</v>
      </c>
      <c r="G149" s="34" t="s">
        <v>549</v>
      </c>
      <c r="H149" s="34" t="s">
        <v>1177</v>
      </c>
      <c r="I149" s="34" t="s">
        <v>36</v>
      </c>
      <c r="J149" s="34" t="s">
        <v>1429</v>
      </c>
      <c r="K149" s="34" t="s">
        <v>1421</v>
      </c>
      <c r="L149" s="34" t="s">
        <v>17</v>
      </c>
      <c r="N149" s="95"/>
      <c r="O149" s="95"/>
    </row>
    <row r="150" spans="1:15" ht="14.4" customHeight="1" x14ac:dyDescent="0.3">
      <c r="A150" s="163" t="str">
        <f>IF(ISERROR(MATCH($H150,EAD_CIs!D:D,0)),"NO",
    IF(VLOOKUP($H150,EAD_CIs!D:N,MATCH("Status",EAD_CIs!D$2:N$2,0),0)="Done","No",VLOOKUP($H150,EAD_CIs!D:N,MATCH("Related",EAD_CIs!D$2:N$2,0),0) ))</f>
        <v>#377408
#1001248
#381643
#383958
#315485
#342163
#299984
#354174
#381524
#332951
#318380
#386935</v>
      </c>
      <c r="B150" s="203">
        <v>381963</v>
      </c>
      <c r="C150" s="34" t="s">
        <v>1346</v>
      </c>
      <c r="D150" s="34" t="s">
        <v>36</v>
      </c>
      <c r="E150" s="34" t="s">
        <v>165</v>
      </c>
      <c r="F150" s="34" t="s">
        <v>242</v>
      </c>
      <c r="G150" s="34" t="s">
        <v>549</v>
      </c>
      <c r="H150" s="34" t="s">
        <v>1177</v>
      </c>
      <c r="I150" s="34" t="s">
        <v>36</v>
      </c>
      <c r="J150" s="34" t="s">
        <v>1429</v>
      </c>
      <c r="K150" s="34" t="s">
        <v>1421</v>
      </c>
      <c r="L150" s="34" t="s">
        <v>17</v>
      </c>
      <c r="N150" s="95"/>
      <c r="O150" s="95"/>
    </row>
    <row r="151" spans="1:15" ht="14.4" customHeight="1" x14ac:dyDescent="0.3">
      <c r="A151" s="163" t="str">
        <f>IF(ISERROR(MATCH($H151,EAD_CIs!D:D,0)),"NO",
    IF(VLOOKUP($H151,EAD_CIs!D:N,MATCH("Status",EAD_CIs!D$2:N$2,0),0)="Done","No",VLOOKUP($H151,EAD_CIs!D:N,MATCH("Related",EAD_CIs!D$2:N$2,0),0) ))</f>
        <v>#354871</v>
      </c>
      <c r="B151" s="203">
        <v>381955</v>
      </c>
      <c r="C151" s="34" t="s">
        <v>902</v>
      </c>
      <c r="D151" s="34" t="s">
        <v>36</v>
      </c>
      <c r="E151" s="34" t="s">
        <v>165</v>
      </c>
      <c r="F151" s="34" t="s">
        <v>903</v>
      </c>
      <c r="G151" s="34" t="s">
        <v>549</v>
      </c>
      <c r="H151" s="34" t="s">
        <v>297</v>
      </c>
      <c r="I151" s="34" t="s">
        <v>36</v>
      </c>
      <c r="J151" s="34" t="s">
        <v>1429</v>
      </c>
      <c r="K151" s="34" t="s">
        <v>1421</v>
      </c>
      <c r="L151" s="34" t="s">
        <v>17</v>
      </c>
      <c r="N151" s="95"/>
      <c r="O151" s="95"/>
    </row>
    <row r="152" spans="1:15" ht="14.4" customHeight="1" x14ac:dyDescent="0.3">
      <c r="A152" s="163" t="str">
        <f>IF(ISERROR(MATCH($H152,EAD_CIs!D:D,0)),"NO",
    IF(VLOOKUP($H152,EAD_CIs!D:N,MATCH("Status",EAD_CIs!D$2:N$2,0),0)="Done","No",VLOOKUP($H152,EAD_CIs!D:N,MATCH("Related",EAD_CIs!D$2:N$2,0),0) ))</f>
        <v>#377408
#1001248
#381643
#383958
#315485
#342163
#299984
#354174
#381524
#332951
#318380
#386935</v>
      </c>
      <c r="B152" s="203">
        <v>381688</v>
      </c>
      <c r="C152" s="34" t="s">
        <v>1345</v>
      </c>
      <c r="D152" s="34" t="s">
        <v>36</v>
      </c>
      <c r="E152" s="34" t="s">
        <v>165</v>
      </c>
      <c r="F152" s="34" t="s">
        <v>242</v>
      </c>
      <c r="G152" s="34" t="s">
        <v>1008</v>
      </c>
      <c r="H152" s="34" t="s">
        <v>1177</v>
      </c>
      <c r="I152" s="34" t="s">
        <v>36</v>
      </c>
      <c r="J152" s="34" t="s">
        <v>1429</v>
      </c>
      <c r="K152" s="34" t="s">
        <v>1434</v>
      </c>
      <c r="L152" s="34" t="s">
        <v>947</v>
      </c>
      <c r="N152" s="95"/>
      <c r="O152" s="95"/>
    </row>
    <row r="153" spans="1:15" ht="14.4" customHeight="1" x14ac:dyDescent="0.3">
      <c r="A153" s="163" t="str">
        <f>IF(ISERROR(MATCH($H153,EAD_CIs!D:D,0)),"NO",
    IF(VLOOKUP($H153,EAD_CIs!D:N,MATCH("Status",EAD_CIs!D$2:N$2,0),0)="Done","No",VLOOKUP($H153,EAD_CIs!D:N,MATCH("Related",EAD_CIs!D$2:N$2,0),0) ))</f>
        <v>#377408
#1001248
#381643
#383958
#315485
#342163
#299984
#354174
#381524
#332951
#318380
#386935</v>
      </c>
      <c r="B153" s="203">
        <v>381685</v>
      </c>
      <c r="C153" s="34" t="s">
        <v>1344</v>
      </c>
      <c r="D153" s="34" t="s">
        <v>36</v>
      </c>
      <c r="E153" s="34" t="s">
        <v>165</v>
      </c>
      <c r="F153" s="34" t="s">
        <v>242</v>
      </c>
      <c r="G153" s="34" t="s">
        <v>1008</v>
      </c>
      <c r="H153" s="34" t="s">
        <v>1177</v>
      </c>
      <c r="I153" s="34" t="s">
        <v>36</v>
      </c>
      <c r="J153" s="34" t="s">
        <v>1429</v>
      </c>
      <c r="K153" s="34" t="s">
        <v>1421</v>
      </c>
      <c r="L153" s="34" t="s">
        <v>947</v>
      </c>
      <c r="N153" s="95"/>
      <c r="O153" s="95"/>
    </row>
    <row r="154" spans="1:15" ht="14.4" customHeight="1" x14ac:dyDescent="0.3">
      <c r="A154" s="163" t="str">
        <f>IF(ISERROR(MATCH($H154,EAD_CIs!D:D,0)),"NO",
    IF(VLOOKUP($H154,EAD_CIs!D:N,MATCH("Status",EAD_CIs!D$2:N$2,0),0)="Done","No",VLOOKUP($H154,EAD_CIs!D:N,MATCH("Related",EAD_CIs!D$2:N$2,0),0) ))</f>
        <v>#1003390
#1014169</v>
      </c>
      <c r="B154" s="203">
        <v>381405</v>
      </c>
      <c r="C154" s="34" t="s">
        <v>901</v>
      </c>
      <c r="D154" s="34" t="s">
        <v>167</v>
      </c>
      <c r="E154" s="34" t="s">
        <v>165</v>
      </c>
      <c r="F154" s="34" t="s">
        <v>1013</v>
      </c>
      <c r="G154" s="34" t="s">
        <v>832</v>
      </c>
      <c r="H154" s="34" t="s">
        <v>206</v>
      </c>
      <c r="I154" s="34" t="s">
        <v>36</v>
      </c>
      <c r="J154" s="34" t="s">
        <v>1429</v>
      </c>
      <c r="K154" s="34" t="s">
        <v>1434</v>
      </c>
      <c r="L154" s="34" t="s">
        <v>554</v>
      </c>
      <c r="N154" s="95"/>
      <c r="O154" s="95"/>
    </row>
    <row r="155" spans="1:15" ht="14.4" customHeight="1" x14ac:dyDescent="0.3">
      <c r="A155" s="163" t="str">
        <f>IF(ISERROR(MATCH($H155,EAD_CIs!D:D,0)),"NO",
    IF(VLOOKUP($H155,EAD_CIs!D:N,MATCH("Status",EAD_CIs!D$2:N$2,0),0)="Done","No",VLOOKUP($H155,EAD_CIs!D:N,MATCH("Related",EAD_CIs!D$2:N$2,0),0) ))</f>
        <v>#1001248</v>
      </c>
      <c r="B155" s="203">
        <v>381307</v>
      </c>
      <c r="C155" s="34" t="s">
        <v>900</v>
      </c>
      <c r="D155" s="34" t="s">
        <v>167</v>
      </c>
      <c r="E155" s="34" t="s">
        <v>165</v>
      </c>
      <c r="F155" s="34" t="s">
        <v>36</v>
      </c>
      <c r="G155" s="34" t="s">
        <v>1008</v>
      </c>
      <c r="H155" s="34" t="s">
        <v>279</v>
      </c>
      <c r="I155" s="34" t="s">
        <v>36</v>
      </c>
      <c r="J155" s="34" t="s">
        <v>1429</v>
      </c>
      <c r="K155" s="34" t="s">
        <v>1421</v>
      </c>
      <c r="L155" s="34" t="s">
        <v>947</v>
      </c>
      <c r="N155" s="95"/>
      <c r="O155" s="95"/>
    </row>
    <row r="156" spans="1:15" ht="14.4" customHeight="1" x14ac:dyDescent="0.3">
      <c r="A156" s="163">
        <f>IF(ISERROR(MATCH($H156,EAD_CIs!D:D,0)),"NO",
    IF(VLOOKUP($H156,EAD_CIs!D:N,MATCH("Status",EAD_CIs!D$2:N$2,0),0)="Done","No",VLOOKUP($H156,EAD_CIs!D:N,MATCH("Related",EAD_CIs!D$2:N$2,0),0) ))</f>
        <v>0</v>
      </c>
      <c r="B156" s="203">
        <v>381246</v>
      </c>
      <c r="C156" s="34" t="s">
        <v>861</v>
      </c>
      <c r="D156" s="34" t="s">
        <v>167</v>
      </c>
      <c r="E156" s="34" t="s">
        <v>165</v>
      </c>
      <c r="F156" s="34" t="s">
        <v>36</v>
      </c>
      <c r="G156" s="34" t="s">
        <v>550</v>
      </c>
      <c r="H156" s="34" t="s">
        <v>635</v>
      </c>
      <c r="I156" s="34" t="s">
        <v>36</v>
      </c>
      <c r="J156" s="34" t="s">
        <v>1429</v>
      </c>
      <c r="K156" s="34" t="s">
        <v>1434</v>
      </c>
      <c r="L156" s="34" t="s">
        <v>951</v>
      </c>
      <c r="N156" s="95"/>
      <c r="O156" s="95"/>
    </row>
    <row r="157" spans="1:15" ht="14.4" customHeight="1" x14ac:dyDescent="0.3">
      <c r="A157" s="163" t="str">
        <f>IF(ISERROR(MATCH($H157,EAD_CIs!D:D,0)),"NO",
    IF(VLOOKUP($H157,EAD_CIs!D:N,MATCH("Status",EAD_CIs!D$2:N$2,0),0)="Done","No",VLOOKUP($H157,EAD_CIs!D:N,MATCH("Related",EAD_CIs!D$2:N$2,0),0) ))</f>
        <v>#342054</v>
      </c>
      <c r="B157" s="203">
        <v>380776</v>
      </c>
      <c r="C157" s="34" t="s">
        <v>899</v>
      </c>
      <c r="D157" s="34" t="s">
        <v>36</v>
      </c>
      <c r="E157" s="34" t="s">
        <v>165</v>
      </c>
      <c r="F157" s="34" t="s">
        <v>36</v>
      </c>
      <c r="G157" s="34" t="s">
        <v>1008</v>
      </c>
      <c r="H157" s="34" t="s">
        <v>243</v>
      </c>
      <c r="I157" s="34" t="s">
        <v>36</v>
      </c>
      <c r="J157" s="34" t="s">
        <v>1429</v>
      </c>
      <c r="K157" s="34" t="s">
        <v>1421</v>
      </c>
      <c r="L157" s="34" t="s">
        <v>947</v>
      </c>
      <c r="N157" s="95"/>
      <c r="O157" s="95"/>
    </row>
    <row r="158" spans="1:15" ht="14.4" customHeight="1" x14ac:dyDescent="0.3">
      <c r="A158" s="163" t="str">
        <f>IF(ISERROR(MATCH($H158,EAD_CIs!D:D,0)),"NO",
    IF(VLOOKUP($H158,EAD_CIs!D:N,MATCH("Status",EAD_CIs!D$2:N$2,0),0)="Done","No",VLOOKUP($H158,EAD_CIs!D:N,MATCH("Related",EAD_CIs!D$2:N$2,0),0) ))</f>
        <v>NO</v>
      </c>
      <c r="B158" s="203">
        <v>380232</v>
      </c>
      <c r="C158" s="34" t="s">
        <v>1343</v>
      </c>
      <c r="D158" s="34" t="s">
        <v>167</v>
      </c>
      <c r="E158" s="34" t="s">
        <v>165</v>
      </c>
      <c r="F158" s="34" t="s">
        <v>36</v>
      </c>
      <c r="G158" s="34" t="s">
        <v>1007</v>
      </c>
      <c r="H158" s="34" t="s">
        <v>339</v>
      </c>
      <c r="I158" s="34" t="s">
        <v>36</v>
      </c>
      <c r="J158" s="34" t="s">
        <v>1429</v>
      </c>
      <c r="K158" s="34" t="s">
        <v>1421</v>
      </c>
      <c r="L158" s="34" t="s">
        <v>951</v>
      </c>
      <c r="N158" s="95"/>
      <c r="O158" s="95"/>
    </row>
    <row r="159" spans="1:15" ht="14.4" customHeight="1" x14ac:dyDescent="0.3">
      <c r="A159" s="163" t="str">
        <f>IF(ISERROR(MATCH($H159,EAD_CIs!D:D,0)),"NO",
    IF(VLOOKUP($H159,EAD_CIs!D:N,MATCH("Status",EAD_CIs!D$2:N$2,0),0)="Done","No",VLOOKUP($H159,EAD_CIs!D:N,MATCH("Related",EAD_CIs!D$2:N$2,0),0) ))</f>
        <v>#1003390
#1014169</v>
      </c>
      <c r="B159" s="203">
        <v>379976</v>
      </c>
      <c r="C159" s="34" t="s">
        <v>898</v>
      </c>
      <c r="D159" s="34" t="s">
        <v>36</v>
      </c>
      <c r="E159" s="34" t="s">
        <v>165</v>
      </c>
      <c r="F159" s="34" t="s">
        <v>1013</v>
      </c>
      <c r="G159" s="34" t="s">
        <v>832</v>
      </c>
      <c r="H159" s="34" t="s">
        <v>206</v>
      </c>
      <c r="I159" s="34" t="s">
        <v>36</v>
      </c>
      <c r="J159" s="34" t="s">
        <v>1429</v>
      </c>
      <c r="K159" s="34" t="s">
        <v>1421</v>
      </c>
      <c r="L159" s="34" t="s">
        <v>554</v>
      </c>
      <c r="N159" s="95"/>
      <c r="O159" s="95"/>
    </row>
    <row r="160" spans="1:15" ht="14.4" customHeight="1" x14ac:dyDescent="0.3">
      <c r="A160" s="163" t="str">
        <f>IF(ISERROR(MATCH($H160,EAD_CIs!D:D,0)),"NO",
    IF(VLOOKUP($H160,EAD_CIs!D:N,MATCH("Status",EAD_CIs!D$2:N$2,0),0)="Done","No",VLOOKUP($H160,EAD_CIs!D:N,MATCH("Related",EAD_CIs!D$2:N$2,0),0) ))</f>
        <v>NO</v>
      </c>
      <c r="B160" s="203">
        <v>379231</v>
      </c>
      <c r="C160" s="34" t="s">
        <v>829</v>
      </c>
      <c r="D160" s="34" t="s">
        <v>36</v>
      </c>
      <c r="E160" s="34" t="s">
        <v>165</v>
      </c>
      <c r="F160" s="34" t="s">
        <v>36</v>
      </c>
      <c r="G160" s="34" t="s">
        <v>1008</v>
      </c>
      <c r="H160" s="34" t="s">
        <v>830</v>
      </c>
      <c r="I160" s="34" t="s">
        <v>36</v>
      </c>
      <c r="J160" s="34" t="s">
        <v>1429</v>
      </c>
      <c r="K160" s="34" t="s">
        <v>1421</v>
      </c>
      <c r="L160" s="34" t="s">
        <v>947</v>
      </c>
      <c r="N160" s="95"/>
      <c r="O160" s="95"/>
    </row>
    <row r="161" spans="1:15" ht="14.4" customHeight="1" x14ac:dyDescent="0.3">
      <c r="A161" s="163" t="str">
        <f>IF(ISERROR(MATCH($H161,EAD_CIs!D:D,0)),"NO",
    IF(VLOOKUP($H161,EAD_CIs!D:N,MATCH("Status",EAD_CIs!D$2:N$2,0),0)="Done","No",VLOOKUP($H161,EAD_CIs!D:N,MATCH("Related",EAD_CIs!D$2:N$2,0),0) ))</f>
        <v>#377437</v>
      </c>
      <c r="B161" s="203">
        <v>379011</v>
      </c>
      <c r="C161" s="34" t="s">
        <v>862</v>
      </c>
      <c r="D161" s="34" t="s">
        <v>167</v>
      </c>
      <c r="E161" s="34" t="s">
        <v>165</v>
      </c>
      <c r="F161" s="34" t="s">
        <v>36</v>
      </c>
      <c r="G161" s="34" t="s">
        <v>362</v>
      </c>
      <c r="H161" s="34" t="s">
        <v>810</v>
      </c>
      <c r="I161" s="34" t="s">
        <v>36</v>
      </c>
      <c r="J161" s="34" t="s">
        <v>1429</v>
      </c>
      <c r="K161" s="34" t="s">
        <v>1421</v>
      </c>
      <c r="L161" s="34" t="s">
        <v>950</v>
      </c>
      <c r="N161" s="95"/>
      <c r="O161" s="95"/>
    </row>
    <row r="162" spans="1:15" ht="14.4" customHeight="1" x14ac:dyDescent="0.3">
      <c r="A162" s="163" t="str">
        <f>IF(ISERROR(MATCH($H162,EAD_CIs!D:D,0)),"NO",
    IF(VLOOKUP($H162,EAD_CIs!D:N,MATCH("Status",EAD_CIs!D$2:N$2,0),0)="Done","No",VLOOKUP($H162,EAD_CIs!D:N,MATCH("Related",EAD_CIs!D$2:N$2,0),0) ))</f>
        <v>#354680
#1004701
#1004738
#380808</v>
      </c>
      <c r="B162" s="203">
        <v>378289</v>
      </c>
      <c r="C162" s="34" t="s">
        <v>831</v>
      </c>
      <c r="D162" s="34" t="s">
        <v>36</v>
      </c>
      <c r="E162" s="34" t="s">
        <v>165</v>
      </c>
      <c r="F162" s="34" t="s">
        <v>242</v>
      </c>
      <c r="G162" s="34" t="s">
        <v>577</v>
      </c>
      <c r="H162" s="34" t="s">
        <v>200</v>
      </c>
      <c r="I162" s="34" t="s">
        <v>36</v>
      </c>
      <c r="J162" s="34" t="s">
        <v>1420</v>
      </c>
      <c r="K162" s="34" t="s">
        <v>1436</v>
      </c>
      <c r="L162" s="34" t="s">
        <v>947</v>
      </c>
      <c r="N162" s="95"/>
      <c r="O162" s="95"/>
    </row>
    <row r="163" spans="1:15" ht="14.4" customHeight="1" x14ac:dyDescent="0.3">
      <c r="A163" s="163" t="str">
        <f>IF(ISERROR(MATCH($H163,EAD_CIs!D:D,0)),"NO",
    IF(VLOOKUP($H163,EAD_CIs!D:N,MATCH("Status",EAD_CIs!D$2:N$2,0),0)="Done","No",VLOOKUP($H163,EAD_CIs!D:N,MATCH("Related",EAD_CIs!D$2:N$2,0),0) ))</f>
        <v>#377408
#1001248
#381643
#383958
#315485
#342163
#299984
#354174
#381524
#332951
#318380
#386935</v>
      </c>
      <c r="B163" s="203">
        <v>378130</v>
      </c>
      <c r="C163" s="34" t="s">
        <v>1774</v>
      </c>
      <c r="D163" s="34" t="s">
        <v>167</v>
      </c>
      <c r="E163" s="34" t="s">
        <v>165</v>
      </c>
      <c r="F163" s="34" t="s">
        <v>2260</v>
      </c>
      <c r="G163" s="34" t="s">
        <v>1165</v>
      </c>
      <c r="H163" s="34" t="s">
        <v>1177</v>
      </c>
      <c r="I163" s="34" t="s">
        <v>36</v>
      </c>
      <c r="J163" s="34" t="s">
        <v>1420</v>
      </c>
      <c r="K163" s="34" t="s">
        <v>1421</v>
      </c>
      <c r="L163" s="34" t="s">
        <v>554</v>
      </c>
      <c r="N163" s="95"/>
      <c r="O163" s="95"/>
    </row>
    <row r="164" spans="1:15" ht="14.4" customHeight="1" x14ac:dyDescent="0.3">
      <c r="A164" s="163" t="str">
        <f>IF(ISERROR(MATCH($H164,EAD_CIs!D:D,0)),"NO",
    IF(VLOOKUP($H164,EAD_CIs!D:N,MATCH("Status",EAD_CIs!D$2:N$2,0),0)="Done","No",VLOOKUP($H164,EAD_CIs!D:N,MATCH("Related",EAD_CIs!D$2:N$2,0),0) ))</f>
        <v>NO</v>
      </c>
      <c r="B164" s="203">
        <v>377766</v>
      </c>
      <c r="C164" s="34" t="s">
        <v>750</v>
      </c>
      <c r="D164" s="34" t="s">
        <v>167</v>
      </c>
      <c r="E164" s="34" t="s">
        <v>165</v>
      </c>
      <c r="F164" s="34" t="s">
        <v>36</v>
      </c>
      <c r="G164" s="34" t="s">
        <v>824</v>
      </c>
      <c r="H164" s="34" t="s">
        <v>585</v>
      </c>
      <c r="I164" s="34" t="s">
        <v>36</v>
      </c>
      <c r="J164" s="34" t="s">
        <v>1429</v>
      </c>
      <c r="K164" s="34" t="s">
        <v>1421</v>
      </c>
      <c r="L164" s="34" t="s">
        <v>17</v>
      </c>
      <c r="N164" s="95"/>
      <c r="O164" s="95"/>
    </row>
    <row r="165" spans="1:15" ht="14.4" customHeight="1" x14ac:dyDescent="0.3">
      <c r="A165" s="163" t="str">
        <f>IF(ISERROR(MATCH($H165,EAD_CIs!D:D,0)),"NO",
    IF(VLOOKUP($H165,EAD_CIs!D:N,MATCH("Status",EAD_CIs!D$2:N$2,0),0)="Done","No",VLOOKUP($H165,EAD_CIs!D:N,MATCH("Related",EAD_CIs!D$2:N$2,0),0) ))</f>
        <v>NO</v>
      </c>
      <c r="B165" s="203">
        <v>377765</v>
      </c>
      <c r="C165" s="34" t="s">
        <v>751</v>
      </c>
      <c r="D165" s="34" t="s">
        <v>167</v>
      </c>
      <c r="E165" s="34" t="s">
        <v>165</v>
      </c>
      <c r="F165" s="34" t="s">
        <v>36</v>
      </c>
      <c r="G165" s="34" t="s">
        <v>824</v>
      </c>
      <c r="H165" s="34" t="s">
        <v>585</v>
      </c>
      <c r="I165" s="34" t="s">
        <v>36</v>
      </c>
      <c r="J165" s="34" t="s">
        <v>1429</v>
      </c>
      <c r="K165" s="34" t="s">
        <v>1421</v>
      </c>
      <c r="L165" s="34" t="s">
        <v>17</v>
      </c>
      <c r="N165" s="95"/>
      <c r="O165" s="95"/>
    </row>
    <row r="166" spans="1:15" ht="14.4" customHeight="1" x14ac:dyDescent="0.3">
      <c r="A166" s="163" t="str">
        <f>IF(ISERROR(MATCH($H166,EAD_CIs!D:D,0)),"NO",
    IF(VLOOKUP($H166,EAD_CIs!D:N,MATCH("Status",EAD_CIs!D$2:N$2,0),0)="Done","No",VLOOKUP($H166,EAD_CIs!D:N,MATCH("Related",EAD_CIs!D$2:N$2,0),0) ))</f>
        <v>NO</v>
      </c>
      <c r="B166" s="203">
        <v>377659</v>
      </c>
      <c r="C166" s="34" t="s">
        <v>752</v>
      </c>
      <c r="D166" s="34" t="s">
        <v>167</v>
      </c>
      <c r="E166" s="34" t="s">
        <v>28</v>
      </c>
      <c r="F166" s="34" t="s">
        <v>593</v>
      </c>
      <c r="G166" s="34" t="s">
        <v>547</v>
      </c>
      <c r="H166" s="34" t="s">
        <v>216</v>
      </c>
      <c r="I166" s="34" t="s">
        <v>36</v>
      </c>
      <c r="J166" s="34" t="s">
        <v>1429</v>
      </c>
      <c r="K166" s="34" t="s">
        <v>1421</v>
      </c>
      <c r="L166" s="34" t="s">
        <v>951</v>
      </c>
      <c r="N166" s="95"/>
      <c r="O166" s="95"/>
    </row>
    <row r="167" spans="1:15" ht="14.4" customHeight="1" x14ac:dyDescent="0.3">
      <c r="A167" s="163" t="str">
        <f>IF(ISERROR(MATCH($H167,EAD_CIs!D:D,0)),"NO",
    IF(VLOOKUP($H167,EAD_CIs!D:N,MATCH("Status",EAD_CIs!D$2:N$2,0),0)="Done","No",VLOOKUP($H167,EAD_CIs!D:N,MATCH("Related",EAD_CIs!D$2:N$2,0),0) ))</f>
        <v>NO</v>
      </c>
      <c r="B167" s="203">
        <v>377379</v>
      </c>
      <c r="C167" s="34" t="s">
        <v>753</v>
      </c>
      <c r="D167" s="34" t="s">
        <v>167</v>
      </c>
      <c r="E167" s="34" t="s">
        <v>165</v>
      </c>
      <c r="F167" s="34" t="s">
        <v>1110</v>
      </c>
      <c r="G167" s="34" t="s">
        <v>768</v>
      </c>
      <c r="H167" s="34" t="s">
        <v>372</v>
      </c>
      <c r="I167" s="34" t="s">
        <v>36</v>
      </c>
      <c r="J167" s="34" t="s">
        <v>1420</v>
      </c>
      <c r="K167" s="34" t="s">
        <v>1436</v>
      </c>
      <c r="L167" s="34" t="s">
        <v>554</v>
      </c>
      <c r="N167" s="95"/>
      <c r="O167" s="95"/>
    </row>
    <row r="168" spans="1:15" ht="14.4" customHeight="1" x14ac:dyDescent="0.3">
      <c r="A168" s="163" t="str">
        <f>IF(ISERROR(MATCH($H168,EAD_CIs!D:D,0)),"NO",
    IF(VLOOKUP($H168,EAD_CIs!D:N,MATCH("Status",EAD_CIs!D$2:N$2,0),0)="Done","No",VLOOKUP($H168,EAD_CIs!D:N,MATCH("Related",EAD_CIs!D$2:N$2,0),0) ))</f>
        <v>NO</v>
      </c>
      <c r="B168" s="203">
        <v>377306</v>
      </c>
      <c r="C168" s="34" t="s">
        <v>754</v>
      </c>
      <c r="D168" s="34" t="s">
        <v>167</v>
      </c>
      <c r="E168" s="34" t="s">
        <v>165</v>
      </c>
      <c r="F168" s="34" t="s">
        <v>1110</v>
      </c>
      <c r="G168" s="34" t="s">
        <v>173</v>
      </c>
      <c r="H168" s="34" t="s">
        <v>372</v>
      </c>
      <c r="I168" s="34" t="s">
        <v>36</v>
      </c>
      <c r="J168" s="34" t="s">
        <v>1420</v>
      </c>
      <c r="K168" s="34" t="s">
        <v>1421</v>
      </c>
      <c r="L168" s="34" t="s">
        <v>554</v>
      </c>
      <c r="N168" s="95"/>
      <c r="O168" s="95"/>
    </row>
    <row r="169" spans="1:15" ht="14.4" customHeight="1" x14ac:dyDescent="0.3">
      <c r="A169" s="163" t="str">
        <f>IF(ISERROR(MATCH($H169,EAD_CIs!D:D,0)),"NO",
    IF(VLOOKUP($H169,EAD_CIs!D:N,MATCH("Status",EAD_CIs!D$2:N$2,0),0)="Done","No",VLOOKUP($H169,EAD_CIs!D:N,MATCH("Related",EAD_CIs!D$2:N$2,0),0) ))</f>
        <v>#1003390
#1014169</v>
      </c>
      <c r="B169" s="203">
        <v>377264</v>
      </c>
      <c r="C169" s="34" t="s">
        <v>755</v>
      </c>
      <c r="D169" s="34" t="s">
        <v>167</v>
      </c>
      <c r="E169" s="34" t="s">
        <v>165</v>
      </c>
      <c r="F169" s="34" t="s">
        <v>1013</v>
      </c>
      <c r="G169" s="34" t="s">
        <v>832</v>
      </c>
      <c r="H169" s="34" t="s">
        <v>206</v>
      </c>
      <c r="I169" s="34" t="s">
        <v>36</v>
      </c>
      <c r="J169" s="34" t="s">
        <v>1429</v>
      </c>
      <c r="K169" s="34" t="s">
        <v>1436</v>
      </c>
      <c r="L169" s="34" t="s">
        <v>554</v>
      </c>
      <c r="N169" s="95"/>
      <c r="O169" s="95"/>
    </row>
    <row r="170" spans="1:15" ht="14.4" customHeight="1" x14ac:dyDescent="0.3">
      <c r="A170" s="163" t="str">
        <f>IF(ISERROR(MATCH($H170,EAD_CIs!D:D,0)),"NO",
    IF(VLOOKUP($H170,EAD_CIs!D:N,MATCH("Status",EAD_CIs!D$2:N$2,0),0)="Done","No",VLOOKUP($H170,EAD_CIs!D:N,MATCH("Related",EAD_CIs!D$2:N$2,0),0) ))</f>
        <v>NO</v>
      </c>
      <c r="B170" s="203">
        <v>377205</v>
      </c>
      <c r="C170" s="34" t="s">
        <v>756</v>
      </c>
      <c r="D170" s="34" t="s">
        <v>36</v>
      </c>
      <c r="E170" s="34" t="s">
        <v>165</v>
      </c>
      <c r="F170" s="34" t="s">
        <v>36</v>
      </c>
      <c r="G170" s="34" t="s">
        <v>1008</v>
      </c>
      <c r="H170" s="34" t="s">
        <v>585</v>
      </c>
      <c r="I170" s="34" t="s">
        <v>36</v>
      </c>
      <c r="J170" s="34" t="s">
        <v>1429</v>
      </c>
      <c r="K170" s="34" t="s">
        <v>1436</v>
      </c>
      <c r="L170" s="34" t="s">
        <v>947</v>
      </c>
      <c r="N170" s="95"/>
      <c r="O170" s="95"/>
    </row>
    <row r="171" spans="1:15" ht="14.4" customHeight="1" x14ac:dyDescent="0.3">
      <c r="A171" s="163" t="str">
        <f>IF(ISERROR(MATCH($H171,EAD_CIs!D:D,0)),"NO",
    IF(VLOOKUP($H171,EAD_CIs!D:N,MATCH("Status",EAD_CIs!D$2:N$2,0),0)="Done","No",VLOOKUP($H171,EAD_CIs!D:N,MATCH("Related",EAD_CIs!D$2:N$2,0),0) ))</f>
        <v>#377408
#1001248
#381643
#383958
#315485
#342163
#299984
#354174
#381524
#332951
#318380
#386935</v>
      </c>
      <c r="B171" s="203">
        <v>377138</v>
      </c>
      <c r="C171" s="34" t="s">
        <v>1342</v>
      </c>
      <c r="D171" s="34" t="s">
        <v>36</v>
      </c>
      <c r="E171" s="34" t="s">
        <v>165</v>
      </c>
      <c r="F171" s="34" t="s">
        <v>36</v>
      </c>
      <c r="G171" s="34" t="s">
        <v>232</v>
      </c>
      <c r="H171" s="34" t="s">
        <v>1177</v>
      </c>
      <c r="I171" s="34" t="s">
        <v>36</v>
      </c>
      <c r="J171" s="34" t="s">
        <v>1429</v>
      </c>
      <c r="K171" s="34" t="s">
        <v>1421</v>
      </c>
      <c r="L171" s="34" t="s">
        <v>943</v>
      </c>
      <c r="N171" s="95"/>
      <c r="O171" s="95"/>
    </row>
    <row r="172" spans="1:15" ht="14.4" customHeight="1" x14ac:dyDescent="0.3">
      <c r="A172" s="163" t="str">
        <f>IF(ISERROR(MATCH($H172,EAD_CIs!D:D,0)),"NO",
    IF(VLOOKUP($H172,EAD_CIs!D:N,MATCH("Status",EAD_CIs!D$2:N$2,0),0)="Done","No",VLOOKUP($H172,EAD_CIs!D:N,MATCH("Related",EAD_CIs!D$2:N$2,0),0) ))</f>
        <v>#354871</v>
      </c>
      <c r="B172" s="203">
        <v>376511</v>
      </c>
      <c r="C172" s="34" t="s">
        <v>757</v>
      </c>
      <c r="D172" s="34" t="s">
        <v>36</v>
      </c>
      <c r="E172" s="34" t="s">
        <v>165</v>
      </c>
      <c r="F172" s="34" t="s">
        <v>1341</v>
      </c>
      <c r="G172" s="34" t="s">
        <v>549</v>
      </c>
      <c r="H172" s="34" t="s">
        <v>297</v>
      </c>
      <c r="I172" s="34" t="s">
        <v>36</v>
      </c>
      <c r="J172" s="34" t="s">
        <v>1429</v>
      </c>
      <c r="K172" s="34" t="s">
        <v>1421</v>
      </c>
      <c r="L172" s="34" t="s">
        <v>17</v>
      </c>
      <c r="N172" s="95"/>
      <c r="O172" s="95"/>
    </row>
    <row r="173" spans="1:15" ht="14.4" customHeight="1" x14ac:dyDescent="0.3">
      <c r="A173" s="163" t="str">
        <f>IF(ISERROR(MATCH($H173,EAD_CIs!D:D,0)),"NO",
    IF(VLOOKUP($H173,EAD_CIs!D:N,MATCH("Status",EAD_CIs!D$2:N$2,0),0)="Done","No",VLOOKUP($H173,EAD_CIs!D:N,MATCH("Related",EAD_CIs!D$2:N$2,0),0) ))</f>
        <v>#377408
#1001248
#381643
#383958
#315485
#342163
#299984
#354174
#381524
#332951
#318380
#386935</v>
      </c>
      <c r="B173" s="203">
        <v>376443</v>
      </c>
      <c r="C173" s="34" t="s">
        <v>1340</v>
      </c>
      <c r="D173" s="34" t="s">
        <v>167</v>
      </c>
      <c r="E173" s="34" t="s">
        <v>165</v>
      </c>
      <c r="F173" s="34" t="s">
        <v>36</v>
      </c>
      <c r="G173" s="34" t="s">
        <v>616</v>
      </c>
      <c r="H173" s="34" t="s">
        <v>1177</v>
      </c>
      <c r="I173" s="34" t="s">
        <v>36</v>
      </c>
      <c r="J173" s="34" t="s">
        <v>1429</v>
      </c>
      <c r="K173" s="34" t="s">
        <v>1421</v>
      </c>
      <c r="L173" s="34" t="s">
        <v>947</v>
      </c>
      <c r="N173" s="95"/>
      <c r="O173" s="95"/>
    </row>
    <row r="174" spans="1:15" ht="14.4" customHeight="1" x14ac:dyDescent="0.3">
      <c r="A174" s="163" t="str">
        <f>IF(ISERROR(MATCH($H174,EAD_CIs!D:D,0)),"NO",
    IF(VLOOKUP($H174,EAD_CIs!D:N,MATCH("Status",EAD_CIs!D$2:N$2,0),0)="Done","No",VLOOKUP($H174,EAD_CIs!D:N,MATCH("Related",EAD_CIs!D$2:N$2,0),0) ))</f>
        <v>#380808
#1007900
#1011902
#342054
#1003390
#1014198</v>
      </c>
      <c r="B174" s="203">
        <v>375565</v>
      </c>
      <c r="C174" s="34" t="s">
        <v>760</v>
      </c>
      <c r="D174" s="34" t="s">
        <v>36</v>
      </c>
      <c r="E174" s="34" t="s">
        <v>165</v>
      </c>
      <c r="F174" s="34" t="s">
        <v>36</v>
      </c>
      <c r="G174" s="34" t="s">
        <v>1008</v>
      </c>
      <c r="H174" s="34" t="s">
        <v>248</v>
      </c>
      <c r="I174" s="34" t="s">
        <v>36</v>
      </c>
      <c r="J174" s="34" t="s">
        <v>1429</v>
      </c>
      <c r="K174" s="34" t="s">
        <v>1436</v>
      </c>
      <c r="L174" s="34" t="s">
        <v>947</v>
      </c>
      <c r="N174" s="95"/>
      <c r="O174" s="95"/>
    </row>
    <row r="175" spans="1:15" ht="14.4" customHeight="1" x14ac:dyDescent="0.3">
      <c r="A175" s="163" t="str">
        <f>IF(ISERROR(MATCH($H175,EAD_CIs!D:D,0)),"NO",
    IF(VLOOKUP($H175,EAD_CIs!D:N,MATCH("Status",EAD_CIs!D$2:N$2,0),0)="Done","No",VLOOKUP($H175,EAD_CIs!D:N,MATCH("Related",EAD_CIs!D$2:N$2,0),0) ))</f>
        <v>NO</v>
      </c>
      <c r="B175" s="203">
        <v>375501</v>
      </c>
      <c r="C175" s="34" t="s">
        <v>761</v>
      </c>
      <c r="D175" s="34" t="s">
        <v>167</v>
      </c>
      <c r="E175" s="34" t="s">
        <v>165</v>
      </c>
      <c r="F175" s="34" t="s">
        <v>1108</v>
      </c>
      <c r="G175" s="34" t="s">
        <v>762</v>
      </c>
      <c r="H175" s="34" t="s">
        <v>372</v>
      </c>
      <c r="I175" s="34" t="s">
        <v>36</v>
      </c>
      <c r="J175" s="34" t="s">
        <v>1420</v>
      </c>
      <c r="K175" s="34" t="s">
        <v>1421</v>
      </c>
      <c r="L175" s="34" t="s">
        <v>554</v>
      </c>
      <c r="N175" s="95"/>
      <c r="O175" s="95"/>
    </row>
    <row r="176" spans="1:15" ht="14.4" customHeight="1" x14ac:dyDescent="0.3">
      <c r="A176" s="163" t="str">
        <f>IF(ISERROR(MATCH($H176,EAD_CIs!D:D,0)),"NO",
    IF(VLOOKUP($H176,EAD_CIs!D:N,MATCH("Status",EAD_CIs!D$2:N$2,0),0)="Done","No",VLOOKUP($H176,EAD_CIs!D:N,MATCH("Related",EAD_CIs!D$2:N$2,0),0) ))</f>
        <v>#377408
#1001248
#381643
#383958
#315485
#342163
#299984
#354174
#381524
#332951
#318380
#386935</v>
      </c>
      <c r="B176" s="203">
        <v>375342</v>
      </c>
      <c r="C176" s="34" t="s">
        <v>1338</v>
      </c>
      <c r="D176" s="34" t="s">
        <v>36</v>
      </c>
      <c r="E176" s="34" t="s">
        <v>165</v>
      </c>
      <c r="F176" s="34" t="s">
        <v>242</v>
      </c>
      <c r="G176" s="34" t="s">
        <v>254</v>
      </c>
      <c r="H176" s="34" t="s">
        <v>1177</v>
      </c>
      <c r="I176" s="34" t="s">
        <v>36</v>
      </c>
      <c r="J176" s="34" t="s">
        <v>1429</v>
      </c>
      <c r="K176" s="34" t="s">
        <v>1421</v>
      </c>
      <c r="L176" s="34" t="s">
        <v>947</v>
      </c>
      <c r="N176" s="95"/>
      <c r="O176" s="95"/>
    </row>
    <row r="177" spans="1:15" ht="14.4" customHeight="1" x14ac:dyDescent="0.3">
      <c r="A177" s="163" t="str">
        <f>IF(ISERROR(MATCH($H177,EAD_CIs!D:D,0)),"NO",
    IF(VLOOKUP($H177,EAD_CIs!D:N,MATCH("Status",EAD_CIs!D$2:N$2,0),0)="Done","No",VLOOKUP($H177,EAD_CIs!D:N,MATCH("Related",EAD_CIs!D$2:N$2,0),0) ))</f>
        <v>NO</v>
      </c>
      <c r="B177" s="203">
        <v>375321</v>
      </c>
      <c r="C177" s="34" t="s">
        <v>748</v>
      </c>
      <c r="D177" s="34" t="s">
        <v>167</v>
      </c>
      <c r="E177" s="34" t="s">
        <v>28</v>
      </c>
      <c r="F177" s="34" t="s">
        <v>764</v>
      </c>
      <c r="G177" s="34" t="s">
        <v>54</v>
      </c>
      <c r="H177" s="34" t="s">
        <v>763</v>
      </c>
      <c r="I177" s="34" t="s">
        <v>36</v>
      </c>
      <c r="J177" s="34" t="s">
        <v>1420</v>
      </c>
      <c r="K177" s="34" t="s">
        <v>1421</v>
      </c>
      <c r="L177" s="34" t="s">
        <v>17</v>
      </c>
      <c r="N177" s="95"/>
      <c r="O177" s="95"/>
    </row>
    <row r="178" spans="1:15" ht="14.4" customHeight="1" x14ac:dyDescent="0.3">
      <c r="A178" s="163" t="str">
        <f>IF(ISERROR(MATCH($H178,EAD_CIs!D:D,0)),"NO",
    IF(VLOOKUP($H178,EAD_CIs!D:N,MATCH("Status",EAD_CIs!D$2:N$2,0),0)="Done","No",VLOOKUP($H178,EAD_CIs!D:N,MATCH("Related",EAD_CIs!D$2:N$2,0),0) ))</f>
        <v>NO</v>
      </c>
      <c r="B178" s="203">
        <v>375320</v>
      </c>
      <c r="C178" s="34" t="s">
        <v>765</v>
      </c>
      <c r="D178" s="34" t="s">
        <v>167</v>
      </c>
      <c r="E178" s="34" t="s">
        <v>165</v>
      </c>
      <c r="F178" s="34" t="s">
        <v>1108</v>
      </c>
      <c r="G178" s="34" t="s">
        <v>766</v>
      </c>
      <c r="H178" s="34" t="s">
        <v>372</v>
      </c>
      <c r="I178" s="34" t="s">
        <v>36</v>
      </c>
      <c r="J178" s="34" t="s">
        <v>1420</v>
      </c>
      <c r="K178" s="34" t="s">
        <v>1421</v>
      </c>
      <c r="L178" s="34" t="s">
        <v>554</v>
      </c>
      <c r="N178" s="95"/>
      <c r="O178" s="95"/>
    </row>
    <row r="179" spans="1:15" ht="14.4" customHeight="1" x14ac:dyDescent="0.3">
      <c r="A179" s="163" t="str">
        <f>IF(ISERROR(MATCH($H179,EAD_CIs!D:D,0)),"NO",
    IF(VLOOKUP($H179,EAD_CIs!D:N,MATCH("Status",EAD_CIs!D$2:N$2,0),0)="Done","No",VLOOKUP($H179,EAD_CIs!D:N,MATCH("Related",EAD_CIs!D$2:N$2,0),0) ))</f>
        <v>NO</v>
      </c>
      <c r="B179" s="203">
        <v>375298</v>
      </c>
      <c r="C179" s="34" t="s">
        <v>767</v>
      </c>
      <c r="D179" s="34" t="s">
        <v>167</v>
      </c>
      <c r="E179" s="34" t="s">
        <v>165</v>
      </c>
      <c r="F179" s="34" t="s">
        <v>1108</v>
      </c>
      <c r="G179" s="34" t="s">
        <v>768</v>
      </c>
      <c r="H179" s="34" t="s">
        <v>372</v>
      </c>
      <c r="I179" s="34" t="s">
        <v>36</v>
      </c>
      <c r="J179" s="34" t="s">
        <v>1420</v>
      </c>
      <c r="K179" s="34" t="s">
        <v>1421</v>
      </c>
      <c r="L179" s="34" t="s">
        <v>554</v>
      </c>
      <c r="N179" s="95"/>
      <c r="O179" s="95"/>
    </row>
    <row r="180" spans="1:15" ht="14.4" customHeight="1" x14ac:dyDescent="0.3">
      <c r="A180" s="163" t="str">
        <f>IF(ISERROR(MATCH($H180,EAD_CIs!D:D,0)),"NO",
    IF(VLOOKUP($H180,EAD_CIs!D:N,MATCH("Status",EAD_CIs!D$2:N$2,0),0)="Done","No",VLOOKUP($H180,EAD_CIs!D:N,MATCH("Related",EAD_CIs!D$2:N$2,0),0) ))</f>
        <v>NO</v>
      </c>
      <c r="B180" s="203">
        <v>375162</v>
      </c>
      <c r="C180" s="34" t="s">
        <v>769</v>
      </c>
      <c r="D180" s="34" t="s">
        <v>167</v>
      </c>
      <c r="E180" s="34" t="s">
        <v>165</v>
      </c>
      <c r="F180" s="34" t="s">
        <v>1108</v>
      </c>
      <c r="G180" s="34" t="s">
        <v>173</v>
      </c>
      <c r="H180" s="34" t="s">
        <v>372</v>
      </c>
      <c r="I180" s="34" t="s">
        <v>36</v>
      </c>
      <c r="J180" s="34" t="s">
        <v>104</v>
      </c>
      <c r="K180" s="34" t="s">
        <v>1421</v>
      </c>
      <c r="L180" s="34" t="s">
        <v>554</v>
      </c>
      <c r="N180" s="95"/>
      <c r="O180" s="95"/>
    </row>
    <row r="181" spans="1:15" ht="14.4" customHeight="1" x14ac:dyDescent="0.3">
      <c r="A181" s="163" t="str">
        <f>IF(ISERROR(MATCH($H181,EAD_CIs!D:D,0)),"NO",
    IF(VLOOKUP($H181,EAD_CIs!D:N,MATCH("Status",EAD_CIs!D$2:N$2,0),0)="Done","No",VLOOKUP($H181,EAD_CIs!D:N,MATCH("Related",EAD_CIs!D$2:N$2,0),0) ))</f>
        <v>#380808
#1011908
#342054
#1014206
#1003390</v>
      </c>
      <c r="B181" s="203">
        <v>373435</v>
      </c>
      <c r="C181" s="34" t="s">
        <v>770</v>
      </c>
      <c r="D181" s="34" t="s">
        <v>36</v>
      </c>
      <c r="E181" s="34" t="s">
        <v>165</v>
      </c>
      <c r="F181" s="34" t="s">
        <v>36</v>
      </c>
      <c r="G181" s="34" t="s">
        <v>184</v>
      </c>
      <c r="H181" s="34" t="s">
        <v>332</v>
      </c>
      <c r="I181" s="34" t="s">
        <v>36</v>
      </c>
      <c r="J181" s="34" t="s">
        <v>104</v>
      </c>
      <c r="K181" s="34" t="s">
        <v>1421</v>
      </c>
      <c r="L181" s="34" t="s">
        <v>950</v>
      </c>
      <c r="N181" s="95"/>
      <c r="O181" s="95"/>
    </row>
    <row r="182" spans="1:15" ht="14.4" customHeight="1" x14ac:dyDescent="0.3">
      <c r="A182" s="163" t="str">
        <f>IF(ISERROR(MATCH($H182,EAD_CIs!D:D,0)),"NO",
    IF(VLOOKUP($H182,EAD_CIs!D:N,MATCH("Status",EAD_CIs!D$2:N$2,0),0)="Done","No",VLOOKUP($H182,EAD_CIs!D:N,MATCH("Related",EAD_CIs!D$2:N$2,0),0) ))</f>
        <v>#380808
#1011907
#342054
#385632
#1014199
#1003390</v>
      </c>
      <c r="B182" s="203">
        <v>373410</v>
      </c>
      <c r="C182" s="34" t="s">
        <v>771</v>
      </c>
      <c r="D182" s="34" t="s">
        <v>36</v>
      </c>
      <c r="E182" s="34" t="s">
        <v>165</v>
      </c>
      <c r="F182" s="34" t="s">
        <v>36</v>
      </c>
      <c r="G182" s="34" t="s">
        <v>1008</v>
      </c>
      <c r="H182" s="34" t="s">
        <v>190</v>
      </c>
      <c r="I182" s="34" t="s">
        <v>36</v>
      </c>
      <c r="J182" s="34" t="s">
        <v>104</v>
      </c>
      <c r="K182" s="34" t="s">
        <v>1421</v>
      </c>
      <c r="L182" s="34" t="s">
        <v>947</v>
      </c>
      <c r="N182" s="95"/>
      <c r="O182" s="95"/>
    </row>
    <row r="183" spans="1:15" ht="14.4" customHeight="1" x14ac:dyDescent="0.3">
      <c r="A183" s="163" t="str">
        <f>IF(ISERROR(MATCH($H183,EAD_CIs!D:D,0)),"NO",
    IF(VLOOKUP($H183,EAD_CIs!D:N,MATCH("Status",EAD_CIs!D$2:N$2,0),0)="Done","No",VLOOKUP($H183,EAD_CIs!D:N,MATCH("Related",EAD_CIs!D$2:N$2,0),0) ))</f>
        <v>#377408
#1001248
#381643
#383958
#315485
#342163
#299984
#354174
#381524
#332951
#318380
#386935</v>
      </c>
      <c r="B183" s="203">
        <v>373366</v>
      </c>
      <c r="C183" s="34" t="s">
        <v>1337</v>
      </c>
      <c r="D183" s="34" t="s">
        <v>36</v>
      </c>
      <c r="E183" s="34" t="s">
        <v>165</v>
      </c>
      <c r="F183" s="34" t="s">
        <v>36</v>
      </c>
      <c r="G183" s="34" t="s">
        <v>164</v>
      </c>
      <c r="H183" s="34" t="s">
        <v>1177</v>
      </c>
      <c r="I183" s="34" t="s">
        <v>36</v>
      </c>
      <c r="J183" s="34" t="s">
        <v>1429</v>
      </c>
      <c r="K183" s="34" t="s">
        <v>1421</v>
      </c>
      <c r="L183" s="34" t="s">
        <v>17</v>
      </c>
      <c r="N183" s="95"/>
      <c r="O183" s="95"/>
    </row>
    <row r="184" spans="1:15" ht="14.4" customHeight="1" x14ac:dyDescent="0.3">
      <c r="A184" s="163" t="str">
        <f>IF(ISERROR(MATCH($H184,EAD_CIs!D:D,0)),"NO",
    IF(VLOOKUP($H184,EAD_CIs!D:N,MATCH("Status",EAD_CIs!D$2:N$2,0),0)="Done","No",VLOOKUP($H184,EAD_CIs!D:N,MATCH("Related",EAD_CIs!D$2:N$2,0),0) ))</f>
        <v>#393391</v>
      </c>
      <c r="B184" s="203">
        <v>372389</v>
      </c>
      <c r="C184" s="34" t="s">
        <v>772</v>
      </c>
      <c r="D184" s="34" t="s">
        <v>36</v>
      </c>
      <c r="E184" s="34" t="s">
        <v>165</v>
      </c>
      <c r="F184" s="34" t="s">
        <v>36</v>
      </c>
      <c r="G184" s="34" t="s">
        <v>164</v>
      </c>
      <c r="H184" s="34" t="s">
        <v>571</v>
      </c>
      <c r="I184" s="34" t="s">
        <v>36</v>
      </c>
      <c r="J184" s="34" t="s">
        <v>1429</v>
      </c>
      <c r="K184" s="34" t="s">
        <v>1421</v>
      </c>
      <c r="L184" s="34" t="s">
        <v>17</v>
      </c>
      <c r="N184" s="95"/>
      <c r="O184" s="95"/>
    </row>
    <row r="185" spans="1:15" ht="14.4" customHeight="1" x14ac:dyDescent="0.3">
      <c r="A185" s="163" t="str">
        <f>IF(ISERROR(MATCH($H185,EAD_CIs!D:D,0)),"NO",
    IF(VLOOKUP($H185,EAD_CIs!D:N,MATCH("Status",EAD_CIs!D$2:N$2,0),0)="Done","No",VLOOKUP($H185,EAD_CIs!D:N,MATCH("Related",EAD_CIs!D$2:N$2,0),0) ))</f>
        <v>#393391</v>
      </c>
      <c r="B185" s="203">
        <v>372388</v>
      </c>
      <c r="C185" s="34" t="s">
        <v>773</v>
      </c>
      <c r="D185" s="34" t="s">
        <v>36</v>
      </c>
      <c r="E185" s="34" t="s">
        <v>165</v>
      </c>
      <c r="F185" s="34" t="s">
        <v>36</v>
      </c>
      <c r="G185" s="34" t="s">
        <v>164</v>
      </c>
      <c r="H185" s="34" t="s">
        <v>236</v>
      </c>
      <c r="I185" s="34" t="s">
        <v>36</v>
      </c>
      <c r="J185" s="34" t="s">
        <v>1429</v>
      </c>
      <c r="K185" s="34" t="s">
        <v>1421</v>
      </c>
      <c r="L185" s="34" t="s">
        <v>17</v>
      </c>
      <c r="N185" s="95"/>
      <c r="O185" s="95"/>
    </row>
    <row r="186" spans="1:15" ht="14.4" customHeight="1" x14ac:dyDescent="0.3">
      <c r="A186" s="163" t="str">
        <f>IF(ISERROR(MATCH($H186,EAD_CIs!D:D,0)),"NO",
    IF(VLOOKUP($H186,EAD_CIs!D:N,MATCH("Status",EAD_CIs!D$2:N$2,0),0)="Done","No",VLOOKUP($H186,EAD_CIs!D:N,MATCH("Related",EAD_CIs!D$2:N$2,0),0) ))</f>
        <v>#377408
#1001248
#381643
#383958
#315485
#342163
#299984
#354174
#381524
#332951
#318380
#386935</v>
      </c>
      <c r="B186" s="203">
        <v>371118</v>
      </c>
      <c r="C186" s="34" t="s">
        <v>1336</v>
      </c>
      <c r="D186" s="34" t="s">
        <v>36</v>
      </c>
      <c r="E186" s="34" t="s">
        <v>165</v>
      </c>
      <c r="F186" s="34" t="s">
        <v>36</v>
      </c>
      <c r="G186" s="34" t="s">
        <v>616</v>
      </c>
      <c r="H186" s="34" t="s">
        <v>1177</v>
      </c>
      <c r="I186" s="34" t="s">
        <v>36</v>
      </c>
      <c r="J186" s="34" t="s">
        <v>1429</v>
      </c>
      <c r="K186" s="34" t="s">
        <v>1421</v>
      </c>
      <c r="L186" s="34" t="s">
        <v>947</v>
      </c>
      <c r="N186" s="95"/>
      <c r="O186" s="95"/>
    </row>
    <row r="187" spans="1:15" ht="14.4" customHeight="1" x14ac:dyDescent="0.3">
      <c r="A187" s="163" t="str">
        <f>IF(ISERROR(MATCH($H187,EAD_CIs!D:D,0)),"NO",
    IF(VLOOKUP($H187,EAD_CIs!D:N,MATCH("Status",EAD_CIs!D$2:N$2,0),0)="Done","No",VLOOKUP($H187,EAD_CIs!D:N,MATCH("Related",EAD_CIs!D$2:N$2,0),0) ))</f>
        <v>#377408
#1001248
#381643
#383958
#315485
#342163
#299984
#354174
#381524
#332951
#318380
#386935</v>
      </c>
      <c r="B187" s="203">
        <v>371111</v>
      </c>
      <c r="C187" s="34" t="s">
        <v>1335</v>
      </c>
      <c r="D187" s="34" t="s">
        <v>36</v>
      </c>
      <c r="E187" s="34" t="s">
        <v>165</v>
      </c>
      <c r="F187" s="34" t="s">
        <v>36</v>
      </c>
      <c r="G187" s="34" t="s">
        <v>164</v>
      </c>
      <c r="H187" s="34" t="s">
        <v>1177</v>
      </c>
      <c r="I187" s="34" t="s">
        <v>36</v>
      </c>
      <c r="J187" s="34" t="s">
        <v>1429</v>
      </c>
      <c r="K187" s="34" t="s">
        <v>1421</v>
      </c>
      <c r="L187" s="34" t="s">
        <v>17</v>
      </c>
      <c r="N187" s="95"/>
      <c r="O187" s="95"/>
    </row>
    <row r="188" spans="1:15" ht="14.4" customHeight="1" x14ac:dyDescent="0.3">
      <c r="A188" s="163" t="str">
        <f>IF(ISERROR(MATCH($H188,EAD_CIs!D:D,0)),"NO",
    IF(VLOOKUP($H188,EAD_CIs!D:N,MATCH("Status",EAD_CIs!D$2:N$2,0),0)="Done","No",VLOOKUP($H188,EAD_CIs!D:N,MATCH("Related",EAD_CIs!D$2:N$2,0),0) ))</f>
        <v>#377408
#1001248
#381643
#383958
#315485
#342163
#299984
#354174
#381524
#332951
#318380
#386935</v>
      </c>
      <c r="B188" s="203">
        <v>371110</v>
      </c>
      <c r="C188" s="34" t="s">
        <v>1334</v>
      </c>
      <c r="D188" s="34" t="s">
        <v>36</v>
      </c>
      <c r="E188" s="34" t="s">
        <v>165</v>
      </c>
      <c r="F188" s="34" t="s">
        <v>36</v>
      </c>
      <c r="G188" s="34" t="s">
        <v>164</v>
      </c>
      <c r="H188" s="34" t="s">
        <v>1177</v>
      </c>
      <c r="I188" s="34" t="s">
        <v>36</v>
      </c>
      <c r="J188" s="34" t="s">
        <v>1429</v>
      </c>
      <c r="K188" s="34" t="s">
        <v>1421</v>
      </c>
      <c r="L188" s="34" t="s">
        <v>17</v>
      </c>
      <c r="N188" s="95"/>
      <c r="O188" s="95"/>
    </row>
    <row r="189" spans="1:15" ht="14.4" customHeight="1" x14ac:dyDescent="0.3">
      <c r="A189" s="163" t="str">
        <f>IF(ISERROR(MATCH($H189,EAD_CIs!D:D,0)),"NO",
    IF(VLOOKUP($H189,EAD_CIs!D:N,MATCH("Status",EAD_CIs!D$2:N$2,0),0)="Done","No",VLOOKUP($H189,EAD_CIs!D:N,MATCH("Related",EAD_CIs!D$2:N$2,0),0) ))</f>
        <v>#377408
#1001248
#381643
#383958
#315485
#342163
#299984
#354174
#381524
#332951
#318380
#386935</v>
      </c>
      <c r="B189" s="203">
        <v>371109</v>
      </c>
      <c r="C189" s="34" t="s">
        <v>1333</v>
      </c>
      <c r="D189" s="34" t="s">
        <v>167</v>
      </c>
      <c r="E189" s="34" t="s">
        <v>165</v>
      </c>
      <c r="F189" s="34" t="s">
        <v>36</v>
      </c>
      <c r="G189" s="34" t="s">
        <v>548</v>
      </c>
      <c r="H189" s="34" t="s">
        <v>1177</v>
      </c>
      <c r="I189" s="34" t="s">
        <v>36</v>
      </c>
      <c r="J189" s="34" t="s">
        <v>1429</v>
      </c>
      <c r="K189" s="34" t="s">
        <v>1421</v>
      </c>
      <c r="L189" s="34" t="s">
        <v>945</v>
      </c>
      <c r="N189" s="95"/>
      <c r="O189" s="95"/>
    </row>
    <row r="190" spans="1:15" ht="14.4" customHeight="1" x14ac:dyDescent="0.3">
      <c r="A190" s="163" t="str">
        <f>IF(ISERROR(MATCH($H190,EAD_CIs!D:D,0)),"NO",
    IF(VLOOKUP($H190,EAD_CIs!D:N,MATCH("Status",EAD_CIs!D$2:N$2,0),0)="Done","No",VLOOKUP($H190,EAD_CIs!D:N,MATCH("Related",EAD_CIs!D$2:N$2,0),0) ))</f>
        <v>#377408
#1001248
#381643
#383958
#315485
#342163
#299984
#354174
#381524
#332951
#318380
#386935</v>
      </c>
      <c r="B190" s="203">
        <v>371105</v>
      </c>
      <c r="C190" s="34" t="s">
        <v>1332</v>
      </c>
      <c r="D190" s="34" t="s">
        <v>36</v>
      </c>
      <c r="E190" s="34" t="s">
        <v>165</v>
      </c>
      <c r="F190" s="34" t="s">
        <v>36</v>
      </c>
      <c r="G190" s="34" t="s">
        <v>616</v>
      </c>
      <c r="H190" s="34" t="s">
        <v>1177</v>
      </c>
      <c r="I190" s="34" t="s">
        <v>36</v>
      </c>
      <c r="J190" s="34" t="s">
        <v>104</v>
      </c>
      <c r="K190" s="34" t="s">
        <v>1421</v>
      </c>
      <c r="L190" s="34" t="s">
        <v>947</v>
      </c>
      <c r="N190" s="95"/>
      <c r="O190" s="95"/>
    </row>
    <row r="191" spans="1:15" ht="14.4" customHeight="1" x14ac:dyDescent="0.3">
      <c r="A191" s="163" t="str">
        <f>IF(ISERROR(MATCH($H191,EAD_CIs!D:D,0)),"NO",
    IF(VLOOKUP($H191,EAD_CIs!D:N,MATCH("Status",EAD_CIs!D$2:N$2,0),0)="Done","No",VLOOKUP($H191,EAD_CIs!D:N,MATCH("Related",EAD_CIs!D$2:N$2,0),0) ))</f>
        <v>#388195
#1004738
#342054</v>
      </c>
      <c r="B191" s="203">
        <v>370819</v>
      </c>
      <c r="C191" s="34" t="s">
        <v>774</v>
      </c>
      <c r="D191" s="34" t="s">
        <v>36</v>
      </c>
      <c r="E191" s="34" t="s">
        <v>165</v>
      </c>
      <c r="F191" s="34" t="s">
        <v>36</v>
      </c>
      <c r="G191" s="34" t="s">
        <v>616</v>
      </c>
      <c r="H191" s="34" t="s">
        <v>211</v>
      </c>
      <c r="I191" s="34" t="s">
        <v>36</v>
      </c>
      <c r="J191" s="34" t="s">
        <v>104</v>
      </c>
      <c r="K191" s="34" t="s">
        <v>1421</v>
      </c>
      <c r="L191" s="34" t="s">
        <v>947</v>
      </c>
      <c r="N191" s="95"/>
      <c r="O191" s="95"/>
    </row>
    <row r="192" spans="1:15" ht="14.4" customHeight="1" x14ac:dyDescent="0.3">
      <c r="A192" s="163" t="str">
        <f>IF(ISERROR(MATCH($H192,EAD_CIs!D:D,0)),"NO",
    IF(VLOOKUP($H192,EAD_CIs!D:N,MATCH("Status",EAD_CIs!D$2:N$2,0),0)="Done","No",VLOOKUP($H192,EAD_CIs!D:N,MATCH("Related",EAD_CIs!D$2:N$2,0),0) ))</f>
        <v>#388195
#1004738
#342054</v>
      </c>
      <c r="B192" s="203">
        <v>370658</v>
      </c>
      <c r="C192" s="34" t="s">
        <v>775</v>
      </c>
      <c r="D192" s="34" t="s">
        <v>36</v>
      </c>
      <c r="E192" s="34" t="s">
        <v>165</v>
      </c>
      <c r="F192" s="34" t="s">
        <v>36</v>
      </c>
      <c r="G192" s="34" t="s">
        <v>616</v>
      </c>
      <c r="H192" s="34" t="s">
        <v>211</v>
      </c>
      <c r="I192" s="34" t="s">
        <v>36</v>
      </c>
      <c r="J192" s="34" t="s">
        <v>104</v>
      </c>
      <c r="K192" s="34" t="s">
        <v>1421</v>
      </c>
      <c r="L192" s="34" t="s">
        <v>947</v>
      </c>
      <c r="N192" s="95"/>
      <c r="O192" s="95"/>
    </row>
    <row r="193" spans="1:15" ht="14.4" customHeight="1" x14ac:dyDescent="0.3">
      <c r="A193" s="163" t="str">
        <f>IF(ISERROR(MATCH($H193,EAD_CIs!D:D,0)),"NO",
    IF(VLOOKUP($H193,EAD_CIs!D:N,MATCH("Status",EAD_CIs!D$2:N$2,0),0)="Done","No",VLOOKUP($H193,EAD_CIs!D:N,MATCH("Related",EAD_CIs!D$2:N$2,0),0) ))</f>
        <v>#393391</v>
      </c>
      <c r="B193" s="203">
        <v>368417</v>
      </c>
      <c r="C193" s="34" t="s">
        <v>608</v>
      </c>
      <c r="D193" s="34" t="s">
        <v>167</v>
      </c>
      <c r="E193" s="34" t="s">
        <v>28</v>
      </c>
      <c r="F193" s="34" t="s">
        <v>36</v>
      </c>
      <c r="G193" s="34" t="s">
        <v>170</v>
      </c>
      <c r="H193" s="34" t="s">
        <v>571</v>
      </c>
      <c r="I193" s="34" t="s">
        <v>36</v>
      </c>
      <c r="J193" s="34" t="s">
        <v>1429</v>
      </c>
      <c r="K193" s="34" t="s">
        <v>1421</v>
      </c>
      <c r="L193" s="34" t="s">
        <v>943</v>
      </c>
      <c r="N193" s="95"/>
      <c r="O193" s="95"/>
    </row>
    <row r="194" spans="1:15" ht="14.4" customHeight="1" x14ac:dyDescent="0.3">
      <c r="A194" s="163" t="str">
        <f>IF(ISERROR(MATCH($H194,EAD_CIs!D:D,0)),"NO",
    IF(VLOOKUP($H194,EAD_CIs!D:N,MATCH("Status",EAD_CIs!D$2:N$2,0),0)="Done","No",VLOOKUP($H194,EAD_CIs!D:N,MATCH("Related",EAD_CIs!D$2:N$2,0),0) ))</f>
        <v>#352910</v>
      </c>
      <c r="B194" s="203">
        <v>368257</v>
      </c>
      <c r="C194" s="34" t="s">
        <v>609</v>
      </c>
      <c r="D194" s="34" t="s">
        <v>36</v>
      </c>
      <c r="E194" s="34" t="s">
        <v>168</v>
      </c>
      <c r="F194" s="34" t="s">
        <v>36</v>
      </c>
      <c r="G194" s="34" t="s">
        <v>104</v>
      </c>
      <c r="H194" s="34" t="s">
        <v>610</v>
      </c>
      <c r="I194" s="34" t="s">
        <v>36</v>
      </c>
      <c r="J194" s="34" t="s">
        <v>104</v>
      </c>
      <c r="K194" s="34" t="s">
        <v>1419</v>
      </c>
      <c r="L194" s="34" t="s">
        <v>123</v>
      </c>
      <c r="N194" s="95"/>
      <c r="O194" s="95"/>
    </row>
    <row r="195" spans="1:15" ht="14.4" customHeight="1" x14ac:dyDescent="0.3">
      <c r="A195" s="163" t="str">
        <f>IF(ISERROR(MATCH($H195,EAD_CIs!D:D,0)),"NO",
    IF(VLOOKUP($H195,EAD_CIs!D:N,MATCH("Status",EAD_CIs!D$2:N$2,0),0)="Done","No",VLOOKUP($H195,EAD_CIs!D:N,MATCH("Related",EAD_CIs!D$2:N$2,0),0) ))</f>
        <v>#380808
#1011907
#342054
#385632
#1014199
#1003390</v>
      </c>
      <c r="B195" s="203">
        <v>368245</v>
      </c>
      <c r="C195" s="34" t="s">
        <v>611</v>
      </c>
      <c r="D195" s="34" t="s">
        <v>36</v>
      </c>
      <c r="E195" s="34" t="s">
        <v>165</v>
      </c>
      <c r="F195" s="34" t="s">
        <v>36</v>
      </c>
      <c r="G195" s="34" t="s">
        <v>616</v>
      </c>
      <c r="H195" s="34" t="s">
        <v>190</v>
      </c>
      <c r="I195" s="34" t="s">
        <v>36</v>
      </c>
      <c r="J195" s="34" t="s">
        <v>1429</v>
      </c>
      <c r="K195" s="34" t="s">
        <v>1421</v>
      </c>
      <c r="L195" s="34" t="s">
        <v>947</v>
      </c>
      <c r="N195" s="95"/>
      <c r="O195" s="95"/>
    </row>
    <row r="196" spans="1:15" ht="14.4" customHeight="1" x14ac:dyDescent="0.3">
      <c r="A196" s="163" t="str">
        <f>IF(ISERROR(MATCH($H196,EAD_CIs!D:D,0)),"NO",
    IF(VLOOKUP($H196,EAD_CIs!D:N,MATCH("Status",EAD_CIs!D$2:N$2,0),0)="Done","No",VLOOKUP($H196,EAD_CIs!D:N,MATCH("Related",EAD_CIs!D$2:N$2,0),0) ))</f>
        <v>NO</v>
      </c>
      <c r="B196" s="203">
        <v>368137</v>
      </c>
      <c r="C196" s="34" t="s">
        <v>776</v>
      </c>
      <c r="D196" s="34" t="s">
        <v>36</v>
      </c>
      <c r="E196" s="34" t="s">
        <v>165</v>
      </c>
      <c r="F196" s="34" t="s">
        <v>1107</v>
      </c>
      <c r="G196" s="34" t="s">
        <v>173</v>
      </c>
      <c r="H196" s="34" t="s">
        <v>515</v>
      </c>
      <c r="I196" s="34" t="s">
        <v>36</v>
      </c>
      <c r="J196" s="34" t="s">
        <v>1420</v>
      </c>
      <c r="K196" s="34" t="s">
        <v>1421</v>
      </c>
      <c r="L196" s="34" t="s">
        <v>554</v>
      </c>
      <c r="N196" s="95"/>
      <c r="O196" s="95"/>
    </row>
    <row r="197" spans="1:15" ht="14.4" customHeight="1" x14ac:dyDescent="0.3">
      <c r="A197" s="163" t="str">
        <f>IF(ISERROR(MATCH($H197,EAD_CIs!D:D,0)),"NO",
    IF(VLOOKUP($H197,EAD_CIs!D:N,MATCH("Status",EAD_CIs!D$2:N$2,0),0)="Done","No",VLOOKUP($H197,EAD_CIs!D:N,MATCH("Related",EAD_CIs!D$2:N$2,0),0) ))</f>
        <v>NO</v>
      </c>
      <c r="B197" s="203">
        <v>368007</v>
      </c>
      <c r="C197" s="34" t="s">
        <v>1543</v>
      </c>
      <c r="D197" s="34" t="s">
        <v>167</v>
      </c>
      <c r="E197" s="34" t="s">
        <v>165</v>
      </c>
      <c r="F197" s="34" t="s">
        <v>242</v>
      </c>
      <c r="G197" s="34" t="s">
        <v>547</v>
      </c>
      <c r="H197" s="34" t="s">
        <v>194</v>
      </c>
      <c r="I197" s="34" t="s">
        <v>36</v>
      </c>
      <c r="J197" s="34" t="s">
        <v>1429</v>
      </c>
      <c r="K197" s="34" t="s">
        <v>1421</v>
      </c>
      <c r="L197" s="34" t="s">
        <v>951</v>
      </c>
      <c r="N197" s="95"/>
      <c r="O197" s="95"/>
    </row>
    <row r="198" spans="1:15" ht="14.4" customHeight="1" x14ac:dyDescent="0.3">
      <c r="A198" s="163" t="str">
        <f>IF(ISERROR(MATCH($H198,EAD_CIs!D:D,0)),"NO",
    IF(VLOOKUP($H198,EAD_CIs!D:N,MATCH("Status",EAD_CIs!D$2:N$2,0),0)="Done","No",VLOOKUP($H198,EAD_CIs!D:N,MATCH("Related",EAD_CIs!D$2:N$2,0),0) ))</f>
        <v>NO</v>
      </c>
      <c r="B198" s="203">
        <v>367766</v>
      </c>
      <c r="C198" s="34" t="s">
        <v>612</v>
      </c>
      <c r="D198" s="34" t="s">
        <v>167</v>
      </c>
      <c r="E198" s="34" t="s">
        <v>165</v>
      </c>
      <c r="F198" s="34" t="s">
        <v>36</v>
      </c>
      <c r="G198" s="34" t="s">
        <v>359</v>
      </c>
      <c r="H198" s="34" t="s">
        <v>504</v>
      </c>
      <c r="I198" s="34" t="s">
        <v>36</v>
      </c>
      <c r="J198" s="34" t="s">
        <v>1429</v>
      </c>
      <c r="K198" s="34" t="s">
        <v>1421</v>
      </c>
      <c r="L198" s="34" t="s">
        <v>943</v>
      </c>
      <c r="N198" s="95"/>
      <c r="O198" s="95"/>
    </row>
    <row r="199" spans="1:15" ht="14.4" customHeight="1" x14ac:dyDescent="0.3">
      <c r="A199" s="163" t="str">
        <f>IF(ISERROR(MATCH($H199,EAD_CIs!D:D,0)),"NO",
    IF(VLOOKUP($H199,EAD_CIs!D:N,MATCH("Status",EAD_CIs!D$2:N$2,0),0)="Done","No",VLOOKUP($H199,EAD_CIs!D:N,MATCH("Related",EAD_CIs!D$2:N$2,0),0) ))</f>
        <v>#377408
#1001248
#381643
#383958
#315485
#342163
#299984
#354174
#381524
#332951
#318380
#386935</v>
      </c>
      <c r="B199" s="203">
        <v>367720</v>
      </c>
      <c r="C199" s="34" t="s">
        <v>1331</v>
      </c>
      <c r="D199" s="34" t="s">
        <v>36</v>
      </c>
      <c r="E199" s="34" t="s">
        <v>165</v>
      </c>
      <c r="F199" s="34" t="s">
        <v>242</v>
      </c>
      <c r="G199" s="34" t="s">
        <v>1008</v>
      </c>
      <c r="H199" s="34" t="s">
        <v>1177</v>
      </c>
      <c r="I199" s="34" t="s">
        <v>36</v>
      </c>
      <c r="J199" s="34" t="s">
        <v>1429</v>
      </c>
      <c r="K199" s="34" t="s">
        <v>1421</v>
      </c>
      <c r="L199" s="34" t="s">
        <v>947</v>
      </c>
      <c r="N199" s="95"/>
      <c r="O199" s="95"/>
    </row>
    <row r="200" spans="1:15" ht="14.4" customHeight="1" x14ac:dyDescent="0.3">
      <c r="A200" s="163" t="str">
        <f>IF(ISERROR(MATCH($H200,EAD_CIs!D:D,0)),"NO",
    IF(VLOOKUP($H200,EAD_CIs!D:N,MATCH("Status",EAD_CIs!D$2:N$2,0),0)="Done","No",VLOOKUP($H200,EAD_CIs!D:N,MATCH("Related",EAD_CIs!D$2:N$2,0),0) ))</f>
        <v>#388195
#1004738
#342054</v>
      </c>
      <c r="B200" s="203">
        <v>367466</v>
      </c>
      <c r="C200" s="34" t="s">
        <v>777</v>
      </c>
      <c r="D200" s="34" t="s">
        <v>36</v>
      </c>
      <c r="E200" s="34" t="s">
        <v>165</v>
      </c>
      <c r="F200" s="34" t="s">
        <v>36</v>
      </c>
      <c r="G200" s="34" t="s">
        <v>1008</v>
      </c>
      <c r="H200" s="34" t="s">
        <v>211</v>
      </c>
      <c r="I200" s="34" t="s">
        <v>36</v>
      </c>
      <c r="J200" s="34" t="s">
        <v>1429</v>
      </c>
      <c r="K200" s="34" t="s">
        <v>1421</v>
      </c>
      <c r="L200" s="34" t="s">
        <v>947</v>
      </c>
      <c r="N200" s="95"/>
      <c r="O200" s="95"/>
    </row>
    <row r="201" spans="1:15" ht="14.4" customHeight="1" x14ac:dyDescent="0.3">
      <c r="A201" s="163" t="str">
        <f>IF(ISERROR(MATCH($H201,EAD_CIs!D:D,0)),"NO",
    IF(VLOOKUP($H201,EAD_CIs!D:N,MATCH("Status",EAD_CIs!D$2:N$2,0),0)="Done","No",VLOOKUP($H201,EAD_CIs!D:N,MATCH("Related",EAD_CIs!D$2:N$2,0),0) ))</f>
        <v>NO</v>
      </c>
      <c r="B201" s="203">
        <v>367440</v>
      </c>
      <c r="C201" s="34" t="s">
        <v>613</v>
      </c>
      <c r="D201" s="34" t="s">
        <v>36</v>
      </c>
      <c r="E201" s="34" t="s">
        <v>165</v>
      </c>
      <c r="F201" s="34" t="s">
        <v>36</v>
      </c>
      <c r="G201" s="34" t="s">
        <v>745</v>
      </c>
      <c r="H201" s="34" t="s">
        <v>246</v>
      </c>
      <c r="I201" s="34" t="s">
        <v>36</v>
      </c>
      <c r="J201" s="34" t="s">
        <v>1429</v>
      </c>
      <c r="K201" s="34" t="s">
        <v>1421</v>
      </c>
      <c r="L201" s="34" t="s">
        <v>17</v>
      </c>
      <c r="N201" s="95"/>
      <c r="O201" s="95"/>
    </row>
    <row r="202" spans="1:15" ht="14.4" customHeight="1" x14ac:dyDescent="0.3">
      <c r="A202" s="163" t="str">
        <f>IF(ISERROR(MATCH($H202,EAD_CIs!D:D,0)),"NO",
    IF(VLOOKUP($H202,EAD_CIs!D:N,MATCH("Status",EAD_CIs!D$2:N$2,0),0)="Done","No",VLOOKUP($H202,EAD_CIs!D:N,MATCH("Related",EAD_CIs!D$2:N$2,0),0) ))</f>
        <v>NO</v>
      </c>
      <c r="B202" s="203">
        <v>367438</v>
      </c>
      <c r="C202" s="34" t="s">
        <v>614</v>
      </c>
      <c r="D202" s="34" t="s">
        <v>36</v>
      </c>
      <c r="E202" s="34" t="s">
        <v>165</v>
      </c>
      <c r="F202" s="34" t="s">
        <v>36</v>
      </c>
      <c r="G202" s="34" t="s">
        <v>745</v>
      </c>
      <c r="H202" s="34" t="s">
        <v>246</v>
      </c>
      <c r="I202" s="34" t="s">
        <v>36</v>
      </c>
      <c r="J202" s="34" t="s">
        <v>1429</v>
      </c>
      <c r="K202" s="34" t="s">
        <v>1421</v>
      </c>
      <c r="L202" s="34" t="s">
        <v>17</v>
      </c>
      <c r="N202" s="95"/>
      <c r="O202" s="95"/>
    </row>
    <row r="203" spans="1:15" ht="14.4" customHeight="1" x14ac:dyDescent="0.3">
      <c r="A203" s="163" t="str">
        <f>IF(ISERROR(MATCH($H203,EAD_CIs!D:D,0)),"NO",
    IF(VLOOKUP($H203,EAD_CIs!D:N,MATCH("Status",EAD_CIs!D$2:N$2,0),0)="Done","No",VLOOKUP($H203,EAD_CIs!D:N,MATCH("Related",EAD_CIs!D$2:N$2,0),0) ))</f>
        <v>#377408
#1001248
#381643
#383958
#315485
#342163
#299984
#354174
#381524
#332951
#318380
#386935</v>
      </c>
      <c r="B203" s="203">
        <v>367315</v>
      </c>
      <c r="C203" s="34" t="s">
        <v>1330</v>
      </c>
      <c r="D203" s="34" t="s">
        <v>36</v>
      </c>
      <c r="E203" s="34" t="s">
        <v>165</v>
      </c>
      <c r="F203" s="34" t="s">
        <v>36</v>
      </c>
      <c r="G203" s="34" t="s">
        <v>616</v>
      </c>
      <c r="H203" s="34" t="s">
        <v>1177</v>
      </c>
      <c r="I203" s="34" t="s">
        <v>36</v>
      </c>
      <c r="J203" s="34" t="s">
        <v>1429</v>
      </c>
      <c r="K203" s="34" t="s">
        <v>1421</v>
      </c>
      <c r="L203" s="34" t="s">
        <v>947</v>
      </c>
      <c r="N203" s="95"/>
      <c r="O203" s="95"/>
    </row>
    <row r="204" spans="1:15" ht="14.4" customHeight="1" x14ac:dyDescent="0.3">
      <c r="A204" s="163" t="str">
        <f>IF(ISERROR(MATCH($H204,EAD_CIs!D:D,0)),"NO",
    IF(VLOOKUP($H204,EAD_CIs!D:N,MATCH("Status",EAD_CIs!D$2:N$2,0),0)="Done","No",VLOOKUP($H204,EAD_CIs!D:N,MATCH("Related",EAD_CIs!D$2:N$2,0),0) ))</f>
        <v>#377408
#1001248
#381643
#383958
#315485
#342163
#299984
#354174
#381524
#332951
#318380
#386935</v>
      </c>
      <c r="B204" s="203">
        <v>367309</v>
      </c>
      <c r="C204" s="34" t="s">
        <v>1329</v>
      </c>
      <c r="D204" s="34" t="s">
        <v>167</v>
      </c>
      <c r="E204" s="34" t="s">
        <v>165</v>
      </c>
      <c r="F204" s="34" t="s">
        <v>36</v>
      </c>
      <c r="G204" s="34" t="s">
        <v>164</v>
      </c>
      <c r="H204" s="34" t="s">
        <v>1177</v>
      </c>
      <c r="I204" s="34" t="s">
        <v>36</v>
      </c>
      <c r="J204" s="34" t="s">
        <v>1429</v>
      </c>
      <c r="K204" s="34" t="s">
        <v>1421</v>
      </c>
      <c r="L204" s="34" t="s">
        <v>17</v>
      </c>
      <c r="N204" s="95"/>
      <c r="O204" s="95"/>
    </row>
    <row r="205" spans="1:15" ht="14.4" customHeight="1" x14ac:dyDescent="0.3">
      <c r="A205" s="163" t="str">
        <f>IF(ISERROR(MATCH($H205,EAD_CIs!D:D,0)),"NO",
    IF(VLOOKUP($H205,EAD_CIs!D:N,MATCH("Status",EAD_CIs!D$2:N$2,0),0)="Done","No",VLOOKUP($H205,EAD_CIs!D:N,MATCH("Related",EAD_CIs!D$2:N$2,0),0) ))</f>
        <v>NO</v>
      </c>
      <c r="B205" s="203">
        <v>367120</v>
      </c>
      <c r="C205" s="34" t="s">
        <v>615</v>
      </c>
      <c r="D205" s="34" t="s">
        <v>167</v>
      </c>
      <c r="E205" s="34" t="s">
        <v>165</v>
      </c>
      <c r="F205" s="34" t="s">
        <v>778</v>
      </c>
      <c r="G205" s="34" t="s">
        <v>993</v>
      </c>
      <c r="H205" s="34" t="s">
        <v>585</v>
      </c>
      <c r="I205" s="34" t="s">
        <v>36</v>
      </c>
      <c r="J205" s="34" t="s">
        <v>1420</v>
      </c>
      <c r="K205" s="34" t="s">
        <v>1421</v>
      </c>
      <c r="L205" s="34" t="s">
        <v>947</v>
      </c>
      <c r="N205" s="95"/>
      <c r="O205" s="95"/>
    </row>
    <row r="206" spans="1:15" ht="14.4" customHeight="1" x14ac:dyDescent="0.3">
      <c r="A206" s="163" t="str">
        <f>IF(ISERROR(MATCH($H206,EAD_CIs!D:D,0)),"NO",
    IF(VLOOKUP($H206,EAD_CIs!D:N,MATCH("Status",EAD_CIs!D$2:N$2,0),0)="Done","No",VLOOKUP($H206,EAD_CIs!D:N,MATCH("Related",EAD_CIs!D$2:N$2,0),0) ))</f>
        <v>#342054</v>
      </c>
      <c r="B206" s="203">
        <v>366866</v>
      </c>
      <c r="C206" s="34" t="s">
        <v>617</v>
      </c>
      <c r="D206" s="34" t="s">
        <v>36</v>
      </c>
      <c r="E206" s="34" t="s">
        <v>165</v>
      </c>
      <c r="F206" s="34" t="s">
        <v>36</v>
      </c>
      <c r="G206" s="34" t="s">
        <v>228</v>
      </c>
      <c r="H206" s="34" t="s">
        <v>618</v>
      </c>
      <c r="I206" s="34" t="s">
        <v>36</v>
      </c>
      <c r="J206" s="34" t="s">
        <v>1429</v>
      </c>
      <c r="K206" s="34" t="s">
        <v>1421</v>
      </c>
      <c r="L206" s="34" t="s">
        <v>947</v>
      </c>
      <c r="N206" s="95"/>
      <c r="O206" s="95"/>
    </row>
    <row r="207" spans="1:15" ht="14.4" customHeight="1" x14ac:dyDescent="0.3">
      <c r="A207" s="163" t="str">
        <f>IF(ISERROR(MATCH($H207,EAD_CIs!D:D,0)),"NO",
    IF(VLOOKUP($H207,EAD_CIs!D:N,MATCH("Status",EAD_CIs!D$2:N$2,0),0)="Done","No",VLOOKUP($H207,EAD_CIs!D:N,MATCH("Related",EAD_CIs!D$2:N$2,0),0) ))</f>
        <v>#388195
#1004738
#342054</v>
      </c>
      <c r="B207" s="203">
        <v>366632</v>
      </c>
      <c r="C207" s="34" t="s">
        <v>619</v>
      </c>
      <c r="D207" s="34" t="s">
        <v>36</v>
      </c>
      <c r="E207" s="34" t="s">
        <v>165</v>
      </c>
      <c r="F207" s="34" t="s">
        <v>36</v>
      </c>
      <c r="G207" s="34" t="s">
        <v>616</v>
      </c>
      <c r="H207" s="34" t="s">
        <v>211</v>
      </c>
      <c r="I207" s="34" t="s">
        <v>36</v>
      </c>
      <c r="J207" s="34" t="s">
        <v>1429</v>
      </c>
      <c r="K207" s="34" t="s">
        <v>1434</v>
      </c>
      <c r="L207" s="34" t="s">
        <v>947</v>
      </c>
      <c r="N207" s="95"/>
      <c r="O207" s="95"/>
    </row>
    <row r="208" spans="1:15" ht="14.4" customHeight="1" x14ac:dyDescent="0.3">
      <c r="A208" s="163" t="str">
        <f>IF(ISERROR(MATCH($H208,EAD_CIs!D:D,0)),"NO",
    IF(VLOOKUP($H208,EAD_CIs!D:N,MATCH("Status",EAD_CIs!D$2:N$2,0),0)="Done","No",VLOOKUP($H208,EAD_CIs!D:N,MATCH("Related",EAD_CIs!D$2:N$2,0),0) ))</f>
        <v>#380808
#1011907
#342054
#385632
#1014199
#1003390</v>
      </c>
      <c r="B208" s="203">
        <v>366630</v>
      </c>
      <c r="C208" s="34" t="s">
        <v>620</v>
      </c>
      <c r="D208" s="34" t="s">
        <v>36</v>
      </c>
      <c r="E208" s="34" t="s">
        <v>165</v>
      </c>
      <c r="F208" s="34" t="s">
        <v>36</v>
      </c>
      <c r="G208" s="34" t="s">
        <v>228</v>
      </c>
      <c r="H208" s="34" t="s">
        <v>190</v>
      </c>
      <c r="I208" s="34" t="s">
        <v>36</v>
      </c>
      <c r="J208" s="34" t="s">
        <v>1429</v>
      </c>
      <c r="K208" s="34" t="s">
        <v>1421</v>
      </c>
      <c r="L208" s="34" t="s">
        <v>947</v>
      </c>
      <c r="N208" s="95"/>
      <c r="O208" s="95"/>
    </row>
    <row r="209" spans="1:15" ht="14.4" customHeight="1" x14ac:dyDescent="0.3">
      <c r="A209" s="163" t="str">
        <f>IF(ISERROR(MATCH($H209,EAD_CIs!D:D,0)),"NO",
    IF(VLOOKUP($H209,EAD_CIs!D:N,MATCH("Status",EAD_CIs!D$2:N$2,0),0)="Done","No",VLOOKUP($H209,EAD_CIs!D:N,MATCH("Related",EAD_CIs!D$2:N$2,0),0) ))</f>
        <v>#377408
#1001248
#381643
#383958
#315485
#342163
#299984
#354174
#381524
#332951
#318380
#386935</v>
      </c>
      <c r="B209" s="203">
        <v>366171</v>
      </c>
      <c r="C209" s="34" t="s">
        <v>1328</v>
      </c>
      <c r="D209" s="34" t="s">
        <v>36</v>
      </c>
      <c r="E209" s="34" t="s">
        <v>165</v>
      </c>
      <c r="F209" s="34" t="s">
        <v>242</v>
      </c>
      <c r="G209" s="34" t="s">
        <v>616</v>
      </c>
      <c r="H209" s="34" t="s">
        <v>1177</v>
      </c>
      <c r="I209" s="34" t="s">
        <v>36</v>
      </c>
      <c r="J209" s="34" t="s">
        <v>1429</v>
      </c>
      <c r="K209" s="34" t="s">
        <v>1421</v>
      </c>
      <c r="L209" s="34" t="s">
        <v>947</v>
      </c>
      <c r="N209" s="95"/>
      <c r="O209" s="95"/>
    </row>
    <row r="210" spans="1:15" ht="14.4" customHeight="1" x14ac:dyDescent="0.3">
      <c r="A210" s="163" t="str">
        <f>IF(ISERROR(MATCH($H210,EAD_CIs!D:D,0)),"NO",
    IF(VLOOKUP($H210,EAD_CIs!D:N,MATCH("Status",EAD_CIs!D$2:N$2,0),0)="Done","No",VLOOKUP($H210,EAD_CIs!D:N,MATCH("Related",EAD_CIs!D$2:N$2,0),0) ))</f>
        <v>#388195
#1004738
#342054</v>
      </c>
      <c r="B210" s="203">
        <v>365627</v>
      </c>
      <c r="C210" s="34" t="s">
        <v>779</v>
      </c>
      <c r="D210" s="34" t="s">
        <v>36</v>
      </c>
      <c r="E210" s="34" t="s">
        <v>165</v>
      </c>
      <c r="F210" s="34" t="s">
        <v>242</v>
      </c>
      <c r="G210" s="34" t="s">
        <v>577</v>
      </c>
      <c r="H210" s="34" t="s">
        <v>211</v>
      </c>
      <c r="I210" s="34" t="s">
        <v>36</v>
      </c>
      <c r="J210" s="34" t="s">
        <v>1429</v>
      </c>
      <c r="K210" s="34" t="s">
        <v>1421</v>
      </c>
      <c r="L210" s="34" t="s">
        <v>947</v>
      </c>
      <c r="N210" s="95"/>
      <c r="O210" s="95"/>
    </row>
    <row r="211" spans="1:15" ht="14.4" customHeight="1" x14ac:dyDescent="0.3">
      <c r="A211" s="163" t="str">
        <f>IF(ISERROR(MATCH($H211,EAD_CIs!D:D,0)),"NO",
    IF(VLOOKUP($H211,EAD_CIs!D:N,MATCH("Status",EAD_CIs!D$2:N$2,0),0)="Done","No",VLOOKUP($H211,EAD_CIs!D:N,MATCH("Related",EAD_CIs!D$2:N$2,0),0) ))</f>
        <v>#342054
#1014201
#1003390</v>
      </c>
      <c r="B211" s="203">
        <v>364651</v>
      </c>
      <c r="C211" s="34" t="s">
        <v>561</v>
      </c>
      <c r="D211" s="34" t="s">
        <v>167</v>
      </c>
      <c r="E211" s="34" t="s">
        <v>165</v>
      </c>
      <c r="F211" s="34" t="s">
        <v>36</v>
      </c>
      <c r="G211" s="34" t="s">
        <v>547</v>
      </c>
      <c r="H211" s="34" t="s">
        <v>193</v>
      </c>
      <c r="I211" s="34" t="s">
        <v>36</v>
      </c>
      <c r="J211" s="34" t="s">
        <v>1429</v>
      </c>
      <c r="K211" s="34" t="s">
        <v>1421</v>
      </c>
      <c r="L211" s="34" t="s">
        <v>554</v>
      </c>
      <c r="N211" s="95"/>
      <c r="O211" s="95"/>
    </row>
    <row r="212" spans="1:15" ht="14.4" customHeight="1" x14ac:dyDescent="0.3">
      <c r="A212" s="163" t="str">
        <f>IF(ISERROR(MATCH($H212,EAD_CIs!D:D,0)),"NO",
    IF(VLOOKUP($H212,EAD_CIs!D:N,MATCH("Status",EAD_CIs!D$2:N$2,0),0)="Done","No",VLOOKUP($H212,EAD_CIs!D:N,MATCH("Related",EAD_CIs!D$2:N$2,0),0) ))</f>
        <v>#299984
#380808
#1007900
#1011909
#1003390
#1014202
#1013452</v>
      </c>
      <c r="B212" s="203">
        <v>363895</v>
      </c>
      <c r="C212" s="34" t="s">
        <v>563</v>
      </c>
      <c r="D212" s="34" t="s">
        <v>36</v>
      </c>
      <c r="E212" s="34" t="s">
        <v>165</v>
      </c>
      <c r="F212" s="34" t="s">
        <v>36</v>
      </c>
      <c r="G212" s="34" t="s">
        <v>1008</v>
      </c>
      <c r="H212" s="34" t="s">
        <v>209</v>
      </c>
      <c r="I212" s="34" t="s">
        <v>36</v>
      </c>
      <c r="J212" s="34" t="s">
        <v>1429</v>
      </c>
      <c r="K212" s="34" t="s">
        <v>1434</v>
      </c>
      <c r="L212" s="34" t="s">
        <v>943</v>
      </c>
      <c r="N212" s="95"/>
      <c r="O212" s="95"/>
    </row>
    <row r="213" spans="1:15" ht="14.4" customHeight="1" x14ac:dyDescent="0.3">
      <c r="A213" s="163" t="str">
        <f>IF(ISERROR(MATCH($H213,EAD_CIs!D:D,0)),"NO",
    IF(VLOOKUP($H213,EAD_CIs!D:N,MATCH("Status",EAD_CIs!D$2:N$2,0),0)="Done","No",VLOOKUP($H213,EAD_CIs!D:N,MATCH("Related",EAD_CIs!D$2:N$2,0),0) ))</f>
        <v>#377408
#1001248
#381643
#383958
#315485
#342163
#299984
#354174
#381524
#332951
#318380
#386935</v>
      </c>
      <c r="B213" s="203">
        <v>363886</v>
      </c>
      <c r="C213" s="34" t="s">
        <v>1326</v>
      </c>
      <c r="D213" s="34" t="s">
        <v>36</v>
      </c>
      <c r="E213" s="34" t="s">
        <v>165</v>
      </c>
      <c r="F213" s="34" t="s">
        <v>242</v>
      </c>
      <c r="G213" s="34" t="s">
        <v>1008</v>
      </c>
      <c r="H213" s="34" t="s">
        <v>1177</v>
      </c>
      <c r="I213" s="34" t="s">
        <v>36</v>
      </c>
      <c r="J213" s="34" t="s">
        <v>104</v>
      </c>
      <c r="K213" s="34" t="s">
        <v>1421</v>
      </c>
      <c r="L213" s="34" t="s">
        <v>947</v>
      </c>
      <c r="N213" s="95"/>
      <c r="O213" s="95"/>
    </row>
    <row r="214" spans="1:15" ht="14.4" customHeight="1" x14ac:dyDescent="0.3">
      <c r="A214" s="163" t="str">
        <f>IF(ISERROR(MATCH($H214,EAD_CIs!D:D,0)),"NO",
    IF(VLOOKUP($H214,EAD_CIs!D:N,MATCH("Status",EAD_CIs!D$2:N$2,0),0)="Done","No",VLOOKUP($H214,EAD_CIs!D:N,MATCH("Related",EAD_CIs!D$2:N$2,0),0) ))</f>
        <v>NO</v>
      </c>
      <c r="B214" s="203">
        <v>363682</v>
      </c>
      <c r="C214" s="34" t="s">
        <v>564</v>
      </c>
      <c r="D214" s="34" t="s">
        <v>167</v>
      </c>
      <c r="E214" s="34" t="s">
        <v>28</v>
      </c>
      <c r="F214" s="34" t="s">
        <v>36</v>
      </c>
      <c r="G214" s="34" t="s">
        <v>1008</v>
      </c>
      <c r="H214" s="34" t="s">
        <v>565</v>
      </c>
      <c r="I214" s="34" t="s">
        <v>36</v>
      </c>
      <c r="J214" s="34" t="s">
        <v>1429</v>
      </c>
      <c r="K214" s="34" t="s">
        <v>1421</v>
      </c>
      <c r="L214" s="34" t="s">
        <v>947</v>
      </c>
      <c r="N214" s="95"/>
      <c r="O214" s="95"/>
    </row>
    <row r="215" spans="1:15" ht="14.4" customHeight="1" x14ac:dyDescent="0.3">
      <c r="A215" s="163" t="str">
        <f>IF(ISERROR(MATCH($H215,EAD_CIs!D:D,0)),"NO",
    IF(VLOOKUP($H215,EAD_CIs!D:N,MATCH("Status",EAD_CIs!D$2:N$2,0),0)="Done","No",VLOOKUP($H215,EAD_CIs!D:N,MATCH("Related",EAD_CIs!D$2:N$2,0),0) ))</f>
        <v>#342054</v>
      </c>
      <c r="B215" s="203">
        <v>363547</v>
      </c>
      <c r="C215" s="34" t="s">
        <v>566</v>
      </c>
      <c r="D215" s="34" t="s">
        <v>167</v>
      </c>
      <c r="E215" s="34" t="s">
        <v>165</v>
      </c>
      <c r="F215" s="34" t="s">
        <v>36</v>
      </c>
      <c r="G215" s="34" t="s">
        <v>535</v>
      </c>
      <c r="H215" s="34" t="s">
        <v>222</v>
      </c>
      <c r="I215" s="34" t="s">
        <v>36</v>
      </c>
      <c r="J215" s="34" t="s">
        <v>1429</v>
      </c>
      <c r="K215" s="34" t="s">
        <v>1434</v>
      </c>
      <c r="L215" s="34" t="s">
        <v>943</v>
      </c>
      <c r="N215" s="95"/>
      <c r="O215" s="95"/>
    </row>
    <row r="216" spans="1:15" ht="14.4" customHeight="1" x14ac:dyDescent="0.3">
      <c r="A216" s="163" t="str">
        <f>IF(ISERROR(MATCH($H216,EAD_CIs!D:D,0)),"NO",
    IF(VLOOKUP($H216,EAD_CIs!D:N,MATCH("Status",EAD_CIs!D$2:N$2,0),0)="Done","No",VLOOKUP($H216,EAD_CIs!D:N,MATCH("Related",EAD_CIs!D$2:N$2,0),0) ))</f>
        <v>#1003390
#1014169</v>
      </c>
      <c r="B216" s="203">
        <v>363483</v>
      </c>
      <c r="C216" s="34" t="s">
        <v>623</v>
      </c>
      <c r="D216" s="34" t="s">
        <v>167</v>
      </c>
      <c r="E216" s="34" t="s">
        <v>165</v>
      </c>
      <c r="F216" s="34" t="s">
        <v>1109</v>
      </c>
      <c r="G216" s="34" t="s">
        <v>173</v>
      </c>
      <c r="H216" s="34" t="s">
        <v>206</v>
      </c>
      <c r="I216" s="34" t="s">
        <v>36</v>
      </c>
      <c r="J216" s="34" t="s">
        <v>1420</v>
      </c>
      <c r="K216" s="34" t="s">
        <v>1421</v>
      </c>
      <c r="L216" s="34" t="s">
        <v>554</v>
      </c>
      <c r="N216" s="95"/>
      <c r="O216" s="95"/>
    </row>
    <row r="217" spans="1:15" ht="14.4" customHeight="1" x14ac:dyDescent="0.3">
      <c r="A217" s="163" t="str">
        <f>IF(ISERROR(MATCH($H217,EAD_CIs!D:D,0)),"NO",
    IF(VLOOKUP($H217,EAD_CIs!D:N,MATCH("Status",EAD_CIs!D$2:N$2,0),0)="Done","No",VLOOKUP($H217,EAD_CIs!D:N,MATCH("Related",EAD_CIs!D$2:N$2,0),0) ))</f>
        <v>#377408
#1001248
#381643
#383958
#315485
#342163
#299984
#354174
#381524
#332951
#318380
#386935</v>
      </c>
      <c r="B217" s="203">
        <v>363191</v>
      </c>
      <c r="C217" s="34" t="s">
        <v>1325</v>
      </c>
      <c r="D217" s="34" t="s">
        <v>167</v>
      </c>
      <c r="E217" s="34" t="s">
        <v>165</v>
      </c>
      <c r="F217" s="34" t="s">
        <v>36</v>
      </c>
      <c r="G217" s="34" t="s">
        <v>547</v>
      </c>
      <c r="H217" s="34" t="s">
        <v>1177</v>
      </c>
      <c r="I217" s="34" t="s">
        <v>36</v>
      </c>
      <c r="J217" s="34" t="s">
        <v>1429</v>
      </c>
      <c r="K217" s="34" t="s">
        <v>1421</v>
      </c>
      <c r="L217" s="34" t="s">
        <v>950</v>
      </c>
      <c r="N217" s="95"/>
      <c r="O217" s="95"/>
    </row>
    <row r="218" spans="1:15" ht="14.4" customHeight="1" x14ac:dyDescent="0.3">
      <c r="A218" s="163" t="str">
        <f>IF(ISERROR(MATCH($H218,EAD_CIs!D:D,0)),"NO",
    IF(VLOOKUP($H218,EAD_CIs!D:N,MATCH("Status",EAD_CIs!D$2:N$2,0),0)="Done","No",VLOOKUP($H218,EAD_CIs!D:N,MATCH("Related",EAD_CIs!D$2:N$2,0),0) ))</f>
        <v>NO</v>
      </c>
      <c r="B218" s="203">
        <v>362960</v>
      </c>
      <c r="C218" s="34" t="s">
        <v>624</v>
      </c>
      <c r="D218" s="34" t="s">
        <v>167</v>
      </c>
      <c r="E218" s="34" t="s">
        <v>165</v>
      </c>
      <c r="F218" s="34" t="s">
        <v>1013</v>
      </c>
      <c r="G218" s="34" t="s">
        <v>173</v>
      </c>
      <c r="H218" s="34" t="s">
        <v>625</v>
      </c>
      <c r="I218" s="34" t="s">
        <v>36</v>
      </c>
      <c r="J218" s="34" t="s">
        <v>1429</v>
      </c>
      <c r="K218" s="34" t="s">
        <v>1421</v>
      </c>
      <c r="L218" s="34" t="s">
        <v>554</v>
      </c>
      <c r="N218" s="95"/>
      <c r="O218" s="95"/>
    </row>
    <row r="219" spans="1:15" ht="14.4" customHeight="1" x14ac:dyDescent="0.3">
      <c r="A219" s="163" t="str">
        <f>IF(ISERROR(MATCH($H219,EAD_CIs!D:D,0)),"NO",
    IF(VLOOKUP($H219,EAD_CIs!D:N,MATCH("Status",EAD_CIs!D$2:N$2,0),0)="Done","No",VLOOKUP($H219,EAD_CIs!D:N,MATCH("Related",EAD_CIs!D$2:N$2,0),0) ))</f>
        <v>NO</v>
      </c>
      <c r="B219" s="203">
        <v>362939</v>
      </c>
      <c r="C219" s="34" t="s">
        <v>626</v>
      </c>
      <c r="D219" s="34" t="s">
        <v>167</v>
      </c>
      <c r="E219" s="34" t="s">
        <v>165</v>
      </c>
      <c r="F219" s="34" t="s">
        <v>1108</v>
      </c>
      <c r="G219" s="34" t="s">
        <v>173</v>
      </c>
      <c r="H219" s="34" t="s">
        <v>625</v>
      </c>
      <c r="I219" s="34" t="s">
        <v>36</v>
      </c>
      <c r="J219" s="34" t="s">
        <v>1429</v>
      </c>
      <c r="K219" s="34" t="s">
        <v>1421</v>
      </c>
      <c r="L219" s="34" t="s">
        <v>554</v>
      </c>
      <c r="N219" s="95"/>
      <c r="O219" s="95"/>
    </row>
    <row r="220" spans="1:15" ht="14.4" customHeight="1" x14ac:dyDescent="0.3">
      <c r="A220" s="163" t="str">
        <f>IF(ISERROR(MATCH($H220,EAD_CIs!D:D,0)),"NO",
    IF(VLOOKUP($H220,EAD_CIs!D:N,MATCH("Status",EAD_CIs!D$2:N$2,0),0)="Done","No",VLOOKUP($H220,EAD_CIs!D:N,MATCH("Related",EAD_CIs!D$2:N$2,0),0) ))</f>
        <v>#342054</v>
      </c>
      <c r="B220" s="203">
        <v>362885</v>
      </c>
      <c r="C220" s="34" t="s">
        <v>567</v>
      </c>
      <c r="D220" s="34" t="s">
        <v>36</v>
      </c>
      <c r="E220" s="34" t="s">
        <v>165</v>
      </c>
      <c r="F220" s="34" t="s">
        <v>242</v>
      </c>
      <c r="G220" s="34" t="s">
        <v>1008</v>
      </c>
      <c r="H220" s="34" t="s">
        <v>243</v>
      </c>
      <c r="I220" s="34" t="s">
        <v>36</v>
      </c>
      <c r="J220" s="34" t="s">
        <v>1429</v>
      </c>
      <c r="K220" s="34" t="s">
        <v>1421</v>
      </c>
      <c r="L220" s="34" t="s">
        <v>947</v>
      </c>
      <c r="N220" s="95"/>
      <c r="O220" s="95"/>
    </row>
    <row r="221" spans="1:15" ht="14.4" customHeight="1" x14ac:dyDescent="0.3">
      <c r="A221" s="163" t="str">
        <f>IF(ISERROR(MATCH($H221,EAD_CIs!D:D,0)),"NO",
    IF(VLOOKUP($H221,EAD_CIs!D:N,MATCH("Status",EAD_CIs!D$2:N$2,0),0)="Done","No",VLOOKUP($H221,EAD_CIs!D:N,MATCH("Related",EAD_CIs!D$2:N$2,0),0) ))</f>
        <v>#354680
#1004701
#1004738
#380808</v>
      </c>
      <c r="B221" s="203">
        <v>362882</v>
      </c>
      <c r="C221" s="34" t="s">
        <v>568</v>
      </c>
      <c r="D221" s="34" t="s">
        <v>36</v>
      </c>
      <c r="E221" s="34" t="s">
        <v>165</v>
      </c>
      <c r="F221" s="34" t="s">
        <v>242</v>
      </c>
      <c r="G221" s="34" t="s">
        <v>1008</v>
      </c>
      <c r="H221" s="34" t="s">
        <v>200</v>
      </c>
      <c r="I221" s="34" t="s">
        <v>36</v>
      </c>
      <c r="J221" s="34" t="s">
        <v>1429</v>
      </c>
      <c r="K221" s="34" t="s">
        <v>1421</v>
      </c>
      <c r="L221" s="34" t="s">
        <v>947</v>
      </c>
      <c r="N221" s="95"/>
      <c r="O221" s="95"/>
    </row>
    <row r="222" spans="1:15" ht="14.4" customHeight="1" x14ac:dyDescent="0.3">
      <c r="A222" s="163" t="str">
        <f>IF(ISERROR(MATCH($H222,EAD_CIs!D:D,0)),"NO",
    IF(VLOOKUP($H222,EAD_CIs!D:N,MATCH("Status",EAD_CIs!D$2:N$2,0),0)="Done","No",VLOOKUP($H222,EAD_CIs!D:N,MATCH("Related",EAD_CIs!D$2:N$2,0),0) ))</f>
        <v>#377408
#1001248
#381643
#383958
#315485
#342163
#299984
#354174
#381524
#332951
#318380
#386935</v>
      </c>
      <c r="B222" s="203">
        <v>362873</v>
      </c>
      <c r="C222" s="34" t="s">
        <v>1324</v>
      </c>
      <c r="D222" s="34" t="s">
        <v>36</v>
      </c>
      <c r="E222" s="34" t="s">
        <v>165</v>
      </c>
      <c r="F222" s="34" t="s">
        <v>36</v>
      </c>
      <c r="G222" s="34" t="s">
        <v>164</v>
      </c>
      <c r="H222" s="34" t="s">
        <v>1177</v>
      </c>
      <c r="I222" s="34" t="s">
        <v>36</v>
      </c>
      <c r="J222" s="34" t="s">
        <v>1429</v>
      </c>
      <c r="K222" s="34" t="s">
        <v>1421</v>
      </c>
      <c r="L222" s="34" t="s">
        <v>17</v>
      </c>
      <c r="N222" s="95"/>
      <c r="O222" s="95"/>
    </row>
    <row r="223" spans="1:15" ht="14.4" customHeight="1" x14ac:dyDescent="0.3">
      <c r="A223" s="163" t="str">
        <f>IF(ISERROR(MATCH($H223,EAD_CIs!D:D,0)),"NO",
    IF(VLOOKUP($H223,EAD_CIs!D:N,MATCH("Status",EAD_CIs!D$2:N$2,0),0)="Done","No",VLOOKUP($H223,EAD_CIs!D:N,MATCH("Related",EAD_CIs!D$2:N$2,0),0) ))</f>
        <v>NO</v>
      </c>
      <c r="B223" s="203">
        <v>362577</v>
      </c>
      <c r="C223" s="34" t="s">
        <v>569</v>
      </c>
      <c r="D223" s="34" t="s">
        <v>167</v>
      </c>
      <c r="E223" s="34" t="s">
        <v>165</v>
      </c>
      <c r="F223" s="34" t="s">
        <v>36</v>
      </c>
      <c r="G223" s="34" t="s">
        <v>549</v>
      </c>
      <c r="H223" s="34" t="s">
        <v>570</v>
      </c>
      <c r="I223" s="34" t="s">
        <v>36</v>
      </c>
      <c r="J223" s="34" t="s">
        <v>1429</v>
      </c>
      <c r="K223" s="34" t="s">
        <v>1434</v>
      </c>
      <c r="L223" s="34" t="s">
        <v>17</v>
      </c>
      <c r="N223" s="95"/>
      <c r="O223" s="95"/>
    </row>
    <row r="224" spans="1:15" ht="14.4" customHeight="1" x14ac:dyDescent="0.3">
      <c r="A224" s="163" t="str">
        <f>IF(ISERROR(MATCH($H224,EAD_CIs!D:D,0)),"NO",
    IF(VLOOKUP($H224,EAD_CIs!D:N,MATCH("Status",EAD_CIs!D$2:N$2,0),0)="Done","No",VLOOKUP($H224,EAD_CIs!D:N,MATCH("Related",EAD_CIs!D$2:N$2,0),0) ))</f>
        <v>#393391</v>
      </c>
      <c r="B224" s="203">
        <v>360782</v>
      </c>
      <c r="C224" s="34" t="s">
        <v>2302</v>
      </c>
      <c r="D224" s="34" t="s">
        <v>36</v>
      </c>
      <c r="E224" s="34" t="s">
        <v>165</v>
      </c>
      <c r="F224" s="34" t="s">
        <v>36</v>
      </c>
      <c r="G224" s="34" t="s">
        <v>572</v>
      </c>
      <c r="H224" s="34" t="s">
        <v>571</v>
      </c>
      <c r="I224" s="34" t="s">
        <v>36</v>
      </c>
      <c r="J224" s="34" t="s">
        <v>104</v>
      </c>
      <c r="K224" s="34" t="s">
        <v>1421</v>
      </c>
      <c r="L224" s="34" t="s">
        <v>944</v>
      </c>
      <c r="N224" s="95"/>
      <c r="O224" s="95"/>
    </row>
    <row r="225" spans="1:15" ht="14.4" customHeight="1" x14ac:dyDescent="0.3">
      <c r="A225" s="163" t="str">
        <f>IF(ISERROR(MATCH($H225,EAD_CIs!D:D,0)),"NO",
    IF(VLOOKUP($H225,EAD_CIs!D:N,MATCH("Status",EAD_CIs!D$2:N$2,0),0)="Done","No",VLOOKUP($H225,EAD_CIs!D:N,MATCH("Related",EAD_CIs!D$2:N$2,0),0) ))</f>
        <v>NO</v>
      </c>
      <c r="B225" s="203">
        <v>360546</v>
      </c>
      <c r="C225" s="34" t="s">
        <v>780</v>
      </c>
      <c r="D225" s="34" t="s">
        <v>36</v>
      </c>
      <c r="E225" s="34" t="s">
        <v>165</v>
      </c>
      <c r="F225" s="34" t="s">
        <v>781</v>
      </c>
      <c r="G225" s="34" t="s">
        <v>172</v>
      </c>
      <c r="H225" s="34" t="s">
        <v>570</v>
      </c>
      <c r="I225" s="34" t="s">
        <v>36</v>
      </c>
      <c r="J225" s="34" t="s">
        <v>1429</v>
      </c>
      <c r="K225" s="34" t="s">
        <v>1432</v>
      </c>
      <c r="L225" s="34" t="s">
        <v>944</v>
      </c>
      <c r="N225" s="95"/>
      <c r="O225" s="95"/>
    </row>
    <row r="226" spans="1:15" ht="14.4" customHeight="1" x14ac:dyDescent="0.3">
      <c r="A226" s="163" t="str">
        <f>IF(ISERROR(MATCH($H226,EAD_CIs!D:D,0)),"NO",
    IF(VLOOKUP($H226,EAD_CIs!D:N,MATCH("Status",EAD_CIs!D$2:N$2,0),0)="Done","No",VLOOKUP($H226,EAD_CIs!D:N,MATCH("Related",EAD_CIs!D$2:N$2,0),0) ))</f>
        <v>#342163</v>
      </c>
      <c r="B226" s="203">
        <v>360446</v>
      </c>
      <c r="C226" s="34" t="s">
        <v>573</v>
      </c>
      <c r="D226" s="34" t="s">
        <v>36</v>
      </c>
      <c r="E226" s="34" t="s">
        <v>165</v>
      </c>
      <c r="F226" s="34" t="s">
        <v>36</v>
      </c>
      <c r="G226" s="34" t="s">
        <v>232</v>
      </c>
      <c r="H226" s="34" t="s">
        <v>574</v>
      </c>
      <c r="I226" s="34" t="s">
        <v>36</v>
      </c>
      <c r="J226" s="34" t="s">
        <v>104</v>
      </c>
      <c r="K226" s="34" t="s">
        <v>1421</v>
      </c>
      <c r="L226" s="34" t="s">
        <v>943</v>
      </c>
      <c r="N226" s="95"/>
      <c r="O226" s="95"/>
    </row>
    <row r="227" spans="1:15" ht="14.4" customHeight="1" x14ac:dyDescent="0.3">
      <c r="A227" s="163" t="str">
        <f>IF(ISERROR(MATCH($H227,EAD_CIs!D:D,0)),"NO",
    IF(VLOOKUP($H227,EAD_CIs!D:N,MATCH("Status",EAD_CIs!D$2:N$2,0),0)="Done","No",VLOOKUP($H227,EAD_CIs!D:N,MATCH("Related",EAD_CIs!D$2:N$2,0),0) ))</f>
        <v>#342163</v>
      </c>
      <c r="B227" s="203">
        <v>360442</v>
      </c>
      <c r="C227" s="34" t="s">
        <v>2311</v>
      </c>
      <c r="D227" s="34" t="s">
        <v>36</v>
      </c>
      <c r="E227" s="34" t="s">
        <v>165</v>
      </c>
      <c r="F227" s="34" t="s">
        <v>36</v>
      </c>
      <c r="G227" s="34" t="s">
        <v>232</v>
      </c>
      <c r="H227" s="34" t="s">
        <v>278</v>
      </c>
      <c r="I227" s="34" t="s">
        <v>36</v>
      </c>
      <c r="J227" s="34" t="s">
        <v>1429</v>
      </c>
      <c r="K227" s="34" t="s">
        <v>1434</v>
      </c>
      <c r="L227" s="34" t="s">
        <v>943</v>
      </c>
      <c r="N227" s="95"/>
      <c r="O227" s="95"/>
    </row>
    <row r="228" spans="1:15" ht="14.4" customHeight="1" x14ac:dyDescent="0.3">
      <c r="A228" s="163" t="str">
        <f>IF(ISERROR(MATCH($H228,EAD_CIs!D:D,0)),"NO",
    IF(VLOOKUP($H228,EAD_CIs!D:N,MATCH("Status",EAD_CIs!D$2:N$2,0),0)="Done","No",VLOOKUP($H228,EAD_CIs!D:N,MATCH("Related",EAD_CIs!D$2:N$2,0),0) ))</f>
        <v>#393391</v>
      </c>
      <c r="B228" s="203">
        <v>360046</v>
      </c>
      <c r="C228" s="34" t="s">
        <v>575</v>
      </c>
      <c r="D228" s="34" t="s">
        <v>36</v>
      </c>
      <c r="E228" s="34" t="s">
        <v>165</v>
      </c>
      <c r="F228" s="34" t="s">
        <v>36</v>
      </c>
      <c r="G228" s="34" t="s">
        <v>572</v>
      </c>
      <c r="H228" s="34" t="s">
        <v>236</v>
      </c>
      <c r="I228" s="34" t="s">
        <v>36</v>
      </c>
      <c r="J228" s="34" t="s">
        <v>104</v>
      </c>
      <c r="K228" s="34" t="s">
        <v>1421</v>
      </c>
      <c r="L228" s="34" t="s">
        <v>944</v>
      </c>
      <c r="N228" s="95"/>
      <c r="O228" s="95"/>
    </row>
    <row r="229" spans="1:15" ht="14.4" customHeight="1" x14ac:dyDescent="0.3">
      <c r="A229" s="163" t="str">
        <f>IF(ISERROR(MATCH($H229,EAD_CIs!D:D,0)),"NO",
    IF(VLOOKUP($H229,EAD_CIs!D:N,MATCH("Status",EAD_CIs!D$2:N$2,0),0)="Done","No",VLOOKUP($H229,EAD_CIs!D:N,MATCH("Related",EAD_CIs!D$2:N$2,0),0) ))</f>
        <v>#354680
#1004701
#1004738
#380808</v>
      </c>
      <c r="B229" s="203">
        <v>359804</v>
      </c>
      <c r="C229" s="34" t="s">
        <v>576</v>
      </c>
      <c r="D229" s="34" t="s">
        <v>36</v>
      </c>
      <c r="E229" s="34" t="s">
        <v>165</v>
      </c>
      <c r="F229" s="34" t="s">
        <v>242</v>
      </c>
      <c r="G229" s="34" t="s">
        <v>577</v>
      </c>
      <c r="H229" s="34" t="s">
        <v>200</v>
      </c>
      <c r="I229" s="34" t="s">
        <v>36</v>
      </c>
      <c r="J229" s="34" t="s">
        <v>1429</v>
      </c>
      <c r="K229" s="34" t="s">
        <v>1421</v>
      </c>
      <c r="L229" s="34" t="s">
        <v>947</v>
      </c>
      <c r="N229" s="95"/>
      <c r="O229" s="95"/>
    </row>
    <row r="230" spans="1:15" ht="14.4" customHeight="1" x14ac:dyDescent="0.3">
      <c r="A230" s="163" t="str">
        <f>IF(ISERROR(MATCH($H230,EAD_CIs!D:D,0)),"NO",
    IF(VLOOKUP($H230,EAD_CIs!D:N,MATCH("Status",EAD_CIs!D$2:N$2,0),0)="Done","No",VLOOKUP($H230,EAD_CIs!D:N,MATCH("Related",EAD_CIs!D$2:N$2,0),0) ))</f>
        <v>#380808
#1011907
#342054
#385632
#1014199
#1003390</v>
      </c>
      <c r="B230" s="203">
        <v>359536</v>
      </c>
      <c r="C230" s="34" t="s">
        <v>578</v>
      </c>
      <c r="D230" s="34" t="s">
        <v>36</v>
      </c>
      <c r="E230" s="34" t="s">
        <v>165</v>
      </c>
      <c r="F230" s="34" t="s">
        <v>36</v>
      </c>
      <c r="G230" s="34" t="s">
        <v>1008</v>
      </c>
      <c r="H230" s="34" t="s">
        <v>190</v>
      </c>
      <c r="I230" s="34" t="s">
        <v>36</v>
      </c>
      <c r="J230" s="34" t="s">
        <v>1429</v>
      </c>
      <c r="K230" s="34" t="s">
        <v>1421</v>
      </c>
      <c r="L230" s="34" t="s">
        <v>947</v>
      </c>
      <c r="N230" s="95"/>
      <c r="O230" s="95"/>
    </row>
    <row r="231" spans="1:15" ht="14.4" customHeight="1" x14ac:dyDescent="0.3">
      <c r="A231" s="163" t="str">
        <f>IF(ISERROR(MATCH($H231,EAD_CIs!D:D,0)),"NO",
    IF(VLOOKUP($H231,EAD_CIs!D:N,MATCH("Status",EAD_CIs!D$2:N$2,0),0)="Done","No",VLOOKUP($H231,EAD_CIs!D:N,MATCH("Related",EAD_CIs!D$2:N$2,0),0) ))</f>
        <v>#377408
#1001248
#381643
#383958
#315485
#342163
#299984
#354174
#381524
#332951
#318380
#386935</v>
      </c>
      <c r="B231" s="203">
        <v>359342</v>
      </c>
      <c r="C231" s="34" t="s">
        <v>1323</v>
      </c>
      <c r="D231" s="34" t="s">
        <v>36</v>
      </c>
      <c r="E231" s="34" t="s">
        <v>165</v>
      </c>
      <c r="F231" s="34" t="s">
        <v>36</v>
      </c>
      <c r="G231" s="34" t="s">
        <v>1008</v>
      </c>
      <c r="H231" s="34" t="s">
        <v>1177</v>
      </c>
      <c r="I231" s="34" t="s">
        <v>36</v>
      </c>
      <c r="J231" s="34" t="s">
        <v>104</v>
      </c>
      <c r="K231" s="34" t="s">
        <v>1421</v>
      </c>
      <c r="L231" s="34" t="s">
        <v>947</v>
      </c>
      <c r="N231" s="95"/>
      <c r="O231" s="95"/>
    </row>
    <row r="232" spans="1:15" ht="14.4" customHeight="1" x14ac:dyDescent="0.3">
      <c r="A232" s="163" t="str">
        <f>IF(ISERROR(MATCH($H232,EAD_CIs!D:D,0)),"NO",
    IF(VLOOKUP($H232,EAD_CIs!D:N,MATCH("Status",EAD_CIs!D$2:N$2,0),0)="Done","No",VLOOKUP($H232,EAD_CIs!D:N,MATCH("Related",EAD_CIs!D$2:N$2,0),0) ))</f>
        <v>#392743</v>
      </c>
      <c r="B232" s="203">
        <v>359188</v>
      </c>
      <c r="C232" s="34" t="s">
        <v>1815</v>
      </c>
      <c r="D232" s="34" t="s">
        <v>167</v>
      </c>
      <c r="E232" s="34" t="s">
        <v>28</v>
      </c>
      <c r="F232" s="34" t="s">
        <v>896</v>
      </c>
      <c r="G232" s="34" t="s">
        <v>104</v>
      </c>
      <c r="H232" s="34" t="s">
        <v>783</v>
      </c>
      <c r="I232" s="34" t="s">
        <v>36</v>
      </c>
      <c r="J232" s="34" t="s">
        <v>1429</v>
      </c>
      <c r="K232" s="34" t="s">
        <v>1432</v>
      </c>
      <c r="L232" s="34" t="s">
        <v>947</v>
      </c>
      <c r="N232" s="95"/>
      <c r="O232" s="95"/>
    </row>
    <row r="233" spans="1:15" ht="14.4" customHeight="1" x14ac:dyDescent="0.3">
      <c r="A233" s="163" t="str">
        <f>IF(ISERROR(MATCH($H233,EAD_CIs!D:D,0)),"NO",
    IF(VLOOKUP($H233,EAD_CIs!D:N,MATCH("Status",EAD_CIs!D$2:N$2,0),0)="Done","No",VLOOKUP($H233,EAD_CIs!D:N,MATCH("Related",EAD_CIs!D$2:N$2,0),0) ))</f>
        <v>#392743</v>
      </c>
      <c r="B233" s="203">
        <v>359120</v>
      </c>
      <c r="C233" s="34" t="s">
        <v>1814</v>
      </c>
      <c r="D233" s="34" t="s">
        <v>167</v>
      </c>
      <c r="E233" s="34" t="s">
        <v>28</v>
      </c>
      <c r="F233" s="34" t="s">
        <v>896</v>
      </c>
      <c r="G233" s="34" t="s">
        <v>104</v>
      </c>
      <c r="H233" s="34" t="s">
        <v>783</v>
      </c>
      <c r="I233" s="34" t="s">
        <v>36</v>
      </c>
      <c r="J233" s="34" t="s">
        <v>1429</v>
      </c>
      <c r="K233" s="34" t="s">
        <v>1432</v>
      </c>
      <c r="L233" s="34" t="s">
        <v>947</v>
      </c>
      <c r="N233" s="95"/>
      <c r="O233" s="95"/>
    </row>
    <row r="234" spans="1:15" ht="14.4" customHeight="1" x14ac:dyDescent="0.3">
      <c r="A234" s="163" t="str">
        <f>IF(ISERROR(MATCH($H234,EAD_CIs!D:D,0)),"NO",
    IF(VLOOKUP($H234,EAD_CIs!D:N,MATCH("Status",EAD_CIs!D$2:N$2,0),0)="Done","No",VLOOKUP($H234,EAD_CIs!D:N,MATCH("Related",EAD_CIs!D$2:N$2,0),0) ))</f>
        <v>#392743</v>
      </c>
      <c r="B234" s="203">
        <v>358916</v>
      </c>
      <c r="C234" s="34" t="s">
        <v>1813</v>
      </c>
      <c r="D234" s="34" t="s">
        <v>167</v>
      </c>
      <c r="E234" s="34" t="s">
        <v>28</v>
      </c>
      <c r="F234" s="34" t="s">
        <v>896</v>
      </c>
      <c r="G234" s="34" t="s">
        <v>104</v>
      </c>
      <c r="H234" s="34" t="s">
        <v>783</v>
      </c>
      <c r="I234" s="34" t="s">
        <v>36</v>
      </c>
      <c r="J234" s="34" t="s">
        <v>1429</v>
      </c>
      <c r="K234" s="34" t="s">
        <v>1432</v>
      </c>
      <c r="L234" s="34" t="s">
        <v>947</v>
      </c>
      <c r="N234" s="95"/>
      <c r="O234" s="95"/>
    </row>
    <row r="235" spans="1:15" ht="14.4" customHeight="1" x14ac:dyDescent="0.3">
      <c r="A235" s="163" t="str">
        <f>IF(ISERROR(MATCH($H235,EAD_CIs!D:D,0)),"NO",
    IF(VLOOKUP($H235,EAD_CIs!D:N,MATCH("Status",EAD_CIs!D$2:N$2,0),0)="Done","No",VLOOKUP($H235,EAD_CIs!D:N,MATCH("Related",EAD_CIs!D$2:N$2,0),0) ))</f>
        <v>#380808
#1011906
#342054</v>
      </c>
      <c r="B235" s="203">
        <v>358866</v>
      </c>
      <c r="C235" s="34" t="s">
        <v>1544</v>
      </c>
      <c r="D235" s="34" t="s">
        <v>36</v>
      </c>
      <c r="E235" s="34" t="s">
        <v>165</v>
      </c>
      <c r="F235" s="34" t="s">
        <v>242</v>
      </c>
      <c r="G235" s="34" t="s">
        <v>1008</v>
      </c>
      <c r="H235" s="34" t="s">
        <v>352</v>
      </c>
      <c r="I235" s="34" t="s">
        <v>36</v>
      </c>
      <c r="J235" s="34" t="s">
        <v>1429</v>
      </c>
      <c r="K235" s="34" t="s">
        <v>1421</v>
      </c>
      <c r="L235" s="34" t="s">
        <v>943</v>
      </c>
      <c r="N235" s="95"/>
      <c r="O235" s="95"/>
    </row>
    <row r="236" spans="1:15" ht="14.4" customHeight="1" x14ac:dyDescent="0.3">
      <c r="A236" s="163">
        <f>IF(ISERROR(MATCH($H236,EAD_CIs!D:D,0)),"NO",
    IF(VLOOKUP($H236,EAD_CIs!D:N,MATCH("Status",EAD_CIs!D$2:N$2,0),0)="Done","No",VLOOKUP($H236,EAD_CIs!D:N,MATCH("Related",EAD_CIs!D$2:N$2,0),0) ))</f>
        <v>0</v>
      </c>
      <c r="B236" s="203">
        <v>358775</v>
      </c>
      <c r="C236" s="34" t="s">
        <v>579</v>
      </c>
      <c r="D236" s="34" t="s">
        <v>36</v>
      </c>
      <c r="E236" s="34" t="s">
        <v>165</v>
      </c>
      <c r="F236" s="34" t="s">
        <v>36</v>
      </c>
      <c r="G236" s="34" t="s">
        <v>1008</v>
      </c>
      <c r="H236" s="34" t="s">
        <v>627</v>
      </c>
      <c r="I236" s="34" t="s">
        <v>36</v>
      </c>
      <c r="J236" s="34" t="s">
        <v>1429</v>
      </c>
      <c r="K236" s="34" t="s">
        <v>1421</v>
      </c>
      <c r="L236" s="34" t="s">
        <v>947</v>
      </c>
      <c r="N236" s="95"/>
      <c r="O236" s="95"/>
    </row>
    <row r="237" spans="1:15" ht="14.4" customHeight="1" x14ac:dyDescent="0.3">
      <c r="A237" s="163" t="str">
        <f>IF(ISERROR(MATCH($H237,EAD_CIs!D:D,0)),"NO",
    IF(VLOOKUP($H237,EAD_CIs!D:N,MATCH("Status",EAD_CIs!D$2:N$2,0),0)="Done","No",VLOOKUP($H237,EAD_CIs!D:N,MATCH("Related",EAD_CIs!D$2:N$2,0),0) ))</f>
        <v>#1003390
#1014169</v>
      </c>
      <c r="B237" s="203">
        <v>358620</v>
      </c>
      <c r="C237" s="34" t="s">
        <v>580</v>
      </c>
      <c r="D237" s="34" t="s">
        <v>167</v>
      </c>
      <c r="E237" s="34" t="s">
        <v>165</v>
      </c>
      <c r="F237" s="34" t="s">
        <v>1013</v>
      </c>
      <c r="G237" s="34" t="s">
        <v>547</v>
      </c>
      <c r="H237" s="34" t="s">
        <v>206</v>
      </c>
      <c r="I237" s="34" t="s">
        <v>36</v>
      </c>
      <c r="J237" s="34" t="s">
        <v>1429</v>
      </c>
      <c r="K237" s="34" t="s">
        <v>1421</v>
      </c>
      <c r="L237" s="34" t="s">
        <v>554</v>
      </c>
      <c r="N237" s="95"/>
      <c r="O237" s="95"/>
    </row>
    <row r="238" spans="1:15" ht="14.4" customHeight="1" x14ac:dyDescent="0.3">
      <c r="A238" s="163" t="str">
        <f>IF(ISERROR(MATCH($H238,EAD_CIs!D:D,0)),"NO",
    IF(VLOOKUP($H238,EAD_CIs!D:N,MATCH("Status",EAD_CIs!D$2:N$2,0),0)="Done","No",VLOOKUP($H238,EAD_CIs!D:N,MATCH("Related",EAD_CIs!D$2:N$2,0),0) ))</f>
        <v>#299984
#380808
#1007900
#1011909
#1003390
#1014202
#1013452</v>
      </c>
      <c r="B238" s="203">
        <v>358182</v>
      </c>
      <c r="C238" s="34" t="s">
        <v>1773</v>
      </c>
      <c r="D238" s="34" t="s">
        <v>886</v>
      </c>
      <c r="E238" s="34" t="s">
        <v>28</v>
      </c>
      <c r="F238" s="34" t="s">
        <v>593</v>
      </c>
      <c r="G238" s="34" t="s">
        <v>582</v>
      </c>
      <c r="H238" s="34" t="s">
        <v>209</v>
      </c>
      <c r="I238" s="34" t="s">
        <v>36</v>
      </c>
      <c r="J238" s="34" t="s">
        <v>1420</v>
      </c>
      <c r="K238" s="34" t="s">
        <v>1421</v>
      </c>
      <c r="L238" s="34" t="s">
        <v>943</v>
      </c>
      <c r="N238" s="95"/>
      <c r="O238" s="95"/>
    </row>
    <row r="239" spans="1:15" ht="14.4" customHeight="1" x14ac:dyDescent="0.3">
      <c r="A239" s="163" t="str">
        <f>IF(ISERROR(MATCH($H239,EAD_CIs!D:D,0)),"NO",
    IF(VLOOKUP($H239,EAD_CIs!D:N,MATCH("Status",EAD_CIs!D$2:N$2,0),0)="Done","No",VLOOKUP($H239,EAD_CIs!D:N,MATCH("Related",EAD_CIs!D$2:N$2,0),0) ))</f>
        <v>#342054
#1014201
#1003390</v>
      </c>
      <c r="B239" s="203">
        <v>358178</v>
      </c>
      <c r="C239" s="34" t="s">
        <v>581</v>
      </c>
      <c r="D239" s="34" t="s">
        <v>167</v>
      </c>
      <c r="E239" s="34" t="s">
        <v>165</v>
      </c>
      <c r="F239" s="34" t="s">
        <v>36</v>
      </c>
      <c r="G239" s="34" t="s">
        <v>547</v>
      </c>
      <c r="H239" s="34" t="s">
        <v>193</v>
      </c>
      <c r="I239" s="34" t="s">
        <v>36</v>
      </c>
      <c r="J239" s="34" t="s">
        <v>1429</v>
      </c>
      <c r="K239" s="34" t="s">
        <v>1421</v>
      </c>
      <c r="L239" s="34" t="s">
        <v>17</v>
      </c>
      <c r="N239" s="95"/>
      <c r="O239" s="95"/>
    </row>
    <row r="240" spans="1:15" ht="14.4" customHeight="1" x14ac:dyDescent="0.3">
      <c r="A240" s="163" t="str">
        <f>IF(ISERROR(MATCH($H240,EAD_CIs!D:D,0)),"NO",
    IF(VLOOKUP($H240,EAD_CIs!D:N,MATCH("Status",EAD_CIs!D$2:N$2,0),0)="Done","No",VLOOKUP($H240,EAD_CIs!D:N,MATCH("Related",EAD_CIs!D$2:N$2,0),0) ))</f>
        <v>#299984
#380808
#1007900
#1011909
#1003390
#1014202
#1013452</v>
      </c>
      <c r="B240" s="203">
        <v>358167</v>
      </c>
      <c r="C240" s="34" t="s">
        <v>628</v>
      </c>
      <c r="D240" s="34" t="s">
        <v>167</v>
      </c>
      <c r="E240" s="34" t="s">
        <v>165</v>
      </c>
      <c r="F240" s="34" t="s">
        <v>36</v>
      </c>
      <c r="G240" s="34" t="s">
        <v>582</v>
      </c>
      <c r="H240" s="34" t="s">
        <v>209</v>
      </c>
      <c r="I240" s="34" t="s">
        <v>36</v>
      </c>
      <c r="J240" s="34" t="s">
        <v>1429</v>
      </c>
      <c r="K240" s="34" t="s">
        <v>1421</v>
      </c>
      <c r="L240" s="34" t="s">
        <v>943</v>
      </c>
      <c r="N240" s="95"/>
      <c r="O240" s="95"/>
    </row>
    <row r="241" spans="1:15" ht="14.4" customHeight="1" x14ac:dyDescent="0.3">
      <c r="A241" s="163" t="str">
        <f>IF(ISERROR(MATCH($H241,EAD_CIs!D:D,0)),"NO",
    IF(VLOOKUP($H241,EAD_CIs!D:N,MATCH("Status",EAD_CIs!D$2:N$2,0),0)="Done","No",VLOOKUP($H241,EAD_CIs!D:N,MATCH("Related",EAD_CIs!D$2:N$2,0),0) ))</f>
        <v>#299984
#380808
#1007900
#1011909
#1003390
#1014202
#1013452</v>
      </c>
      <c r="B241" s="203">
        <v>358154</v>
      </c>
      <c r="C241" s="34" t="s">
        <v>629</v>
      </c>
      <c r="D241" s="34" t="s">
        <v>36</v>
      </c>
      <c r="E241" s="34" t="s">
        <v>165</v>
      </c>
      <c r="F241" s="34" t="s">
        <v>36</v>
      </c>
      <c r="G241" s="34" t="s">
        <v>582</v>
      </c>
      <c r="H241" s="34" t="s">
        <v>209</v>
      </c>
      <c r="I241" s="34" t="s">
        <v>36</v>
      </c>
      <c r="J241" s="34" t="s">
        <v>1429</v>
      </c>
      <c r="K241" s="34" t="s">
        <v>1421</v>
      </c>
      <c r="L241" s="34" t="s">
        <v>943</v>
      </c>
      <c r="N241" s="95"/>
      <c r="O241" s="95"/>
    </row>
    <row r="242" spans="1:15" ht="14.4" customHeight="1" x14ac:dyDescent="0.3">
      <c r="A242" s="163" t="str">
        <f>IF(ISERROR(MATCH($H242,EAD_CIs!D:D,0)),"NO",
    IF(VLOOKUP($H242,EAD_CIs!D:N,MATCH("Status",EAD_CIs!D$2:N$2,0),0)="Done","No",VLOOKUP($H242,EAD_CIs!D:N,MATCH("Related",EAD_CIs!D$2:N$2,0),0) ))</f>
        <v>NO</v>
      </c>
      <c r="B242" s="203">
        <v>358079</v>
      </c>
      <c r="C242" s="34" t="s">
        <v>584</v>
      </c>
      <c r="D242" s="34" t="s">
        <v>167</v>
      </c>
      <c r="E242" s="34" t="s">
        <v>165</v>
      </c>
      <c r="F242" s="34" t="s">
        <v>36</v>
      </c>
      <c r="G242" s="34" t="s">
        <v>1116</v>
      </c>
      <c r="H242" s="34" t="s">
        <v>585</v>
      </c>
      <c r="I242" s="34" t="s">
        <v>36</v>
      </c>
      <c r="J242" s="34" t="s">
        <v>1429</v>
      </c>
      <c r="K242" s="34" t="s">
        <v>1421</v>
      </c>
      <c r="L242" s="34" t="s">
        <v>15</v>
      </c>
      <c r="N242" s="95"/>
      <c r="O242" s="95"/>
    </row>
    <row r="243" spans="1:15" ht="14.4" customHeight="1" x14ac:dyDescent="0.3">
      <c r="A243" s="163" t="str">
        <f>IF(ISERROR(MATCH($H243,EAD_CIs!D:D,0)),"NO",
    IF(VLOOKUP($H243,EAD_CIs!D:N,MATCH("Status",EAD_CIs!D$2:N$2,0),0)="Done","No",VLOOKUP($H243,EAD_CIs!D:N,MATCH("Related",EAD_CIs!D$2:N$2,0),0) ))</f>
        <v>NO</v>
      </c>
      <c r="B243" s="203">
        <v>356851</v>
      </c>
      <c r="C243" s="34" t="s">
        <v>586</v>
      </c>
      <c r="D243" s="34" t="s">
        <v>36</v>
      </c>
      <c r="E243" s="34" t="s">
        <v>165</v>
      </c>
      <c r="F243" s="34" t="s">
        <v>242</v>
      </c>
      <c r="G243" s="34" t="s">
        <v>1008</v>
      </c>
      <c r="H243" s="34" t="s">
        <v>251</v>
      </c>
      <c r="I243" s="34" t="s">
        <v>36</v>
      </c>
      <c r="J243" s="34" t="s">
        <v>1429</v>
      </c>
      <c r="K243" s="34" t="s">
        <v>1421</v>
      </c>
      <c r="L243" s="34" t="s">
        <v>947</v>
      </c>
      <c r="N243" s="95"/>
      <c r="O243" s="95"/>
    </row>
    <row r="244" spans="1:15" ht="14.4" customHeight="1" x14ac:dyDescent="0.3">
      <c r="A244" s="163" t="str">
        <f>IF(ISERROR(MATCH($H244,EAD_CIs!D:D,0)),"NO",
    IF(VLOOKUP($H244,EAD_CIs!D:N,MATCH("Status",EAD_CIs!D$2:N$2,0),0)="Done","No",VLOOKUP($H244,EAD_CIs!D:N,MATCH("Related",EAD_CIs!D$2:N$2,0),0) ))</f>
        <v>NO</v>
      </c>
      <c r="B244" s="203">
        <v>356243</v>
      </c>
      <c r="C244" s="34" t="s">
        <v>587</v>
      </c>
      <c r="D244" s="34" t="s">
        <v>167</v>
      </c>
      <c r="E244" s="34" t="s">
        <v>165</v>
      </c>
      <c r="F244" s="34" t="s">
        <v>242</v>
      </c>
      <c r="G244" s="34" t="s">
        <v>547</v>
      </c>
      <c r="H244" s="34" t="s">
        <v>339</v>
      </c>
      <c r="I244" s="34" t="s">
        <v>36</v>
      </c>
      <c r="J244" s="34" t="s">
        <v>1429</v>
      </c>
      <c r="K244" s="34" t="s">
        <v>1421</v>
      </c>
      <c r="L244" s="34" t="s">
        <v>951</v>
      </c>
      <c r="N244" s="95"/>
      <c r="O244" s="95"/>
    </row>
    <row r="245" spans="1:15" ht="14.4" customHeight="1" x14ac:dyDescent="0.3">
      <c r="A245" s="163" t="str">
        <f>IF(ISERROR(MATCH($H245,EAD_CIs!D:D,0)),"NO",
    IF(VLOOKUP($H245,EAD_CIs!D:N,MATCH("Status",EAD_CIs!D$2:N$2,0),0)="Done","No",VLOOKUP($H245,EAD_CIs!D:N,MATCH("Related",EAD_CIs!D$2:N$2,0),0) ))</f>
        <v>NO</v>
      </c>
      <c r="B245" s="203">
        <v>356242</v>
      </c>
      <c r="C245" s="34" t="s">
        <v>588</v>
      </c>
      <c r="D245" s="34" t="s">
        <v>36</v>
      </c>
      <c r="E245" s="34" t="s">
        <v>165</v>
      </c>
      <c r="F245" s="34" t="s">
        <v>242</v>
      </c>
      <c r="G245" s="34" t="s">
        <v>254</v>
      </c>
      <c r="H245" s="34" t="s">
        <v>347</v>
      </c>
      <c r="I245" s="34" t="s">
        <v>36</v>
      </c>
      <c r="J245" s="34" t="s">
        <v>1429</v>
      </c>
      <c r="K245" s="34" t="s">
        <v>1421</v>
      </c>
      <c r="L245" s="34" t="s">
        <v>947</v>
      </c>
      <c r="N245" s="95"/>
      <c r="O245" s="95"/>
    </row>
    <row r="246" spans="1:15" ht="14.4" customHeight="1" x14ac:dyDescent="0.3">
      <c r="A246" s="163" t="str">
        <f>IF(ISERROR(MATCH($H246,EAD_CIs!D:D,0)),"NO",
    IF(VLOOKUP($H246,EAD_CIs!D:N,MATCH("Status",EAD_CIs!D$2:N$2,0),0)="Done","No",VLOOKUP($H246,EAD_CIs!D:N,MATCH("Related",EAD_CIs!D$2:N$2,0),0) ))</f>
        <v>NO</v>
      </c>
      <c r="B246" s="203">
        <v>356235</v>
      </c>
      <c r="C246" s="34" t="s">
        <v>589</v>
      </c>
      <c r="D246" s="34" t="s">
        <v>36</v>
      </c>
      <c r="E246" s="34" t="s">
        <v>165</v>
      </c>
      <c r="F246" s="34" t="s">
        <v>36</v>
      </c>
      <c r="G246" s="34" t="s">
        <v>630</v>
      </c>
      <c r="H246" s="34" t="s">
        <v>274</v>
      </c>
      <c r="I246" s="34" t="s">
        <v>36</v>
      </c>
      <c r="J246" s="34" t="s">
        <v>1429</v>
      </c>
      <c r="K246" s="34" t="s">
        <v>1432</v>
      </c>
      <c r="L246" s="34" t="s">
        <v>17</v>
      </c>
      <c r="N246" s="95"/>
      <c r="O246" s="95"/>
    </row>
    <row r="247" spans="1:15" ht="14.4" customHeight="1" x14ac:dyDescent="0.3">
      <c r="A247" s="163" t="str">
        <f>IF(ISERROR(MATCH($H247,EAD_CIs!D:D,0)),"NO",
    IF(VLOOKUP($H247,EAD_CIs!D:N,MATCH("Status",EAD_CIs!D$2:N$2,0),0)="Done","No",VLOOKUP($H247,EAD_CIs!D:N,MATCH("Related",EAD_CIs!D$2:N$2,0),0) ))</f>
        <v>#1003390
#1014203</v>
      </c>
      <c r="B247" s="203">
        <v>356220</v>
      </c>
      <c r="C247" s="34" t="s">
        <v>590</v>
      </c>
      <c r="D247" s="34" t="s">
        <v>167</v>
      </c>
      <c r="E247" s="34" t="s">
        <v>165</v>
      </c>
      <c r="F247" s="34" t="s">
        <v>1107</v>
      </c>
      <c r="G247" s="34" t="s">
        <v>547</v>
      </c>
      <c r="H247" s="34" t="s">
        <v>268</v>
      </c>
      <c r="I247" s="34" t="s">
        <v>36</v>
      </c>
      <c r="J247" s="34" t="s">
        <v>1429</v>
      </c>
      <c r="K247" s="34" t="s">
        <v>1421</v>
      </c>
      <c r="L247" s="34" t="s">
        <v>554</v>
      </c>
      <c r="N247" s="95"/>
      <c r="O247" s="95"/>
    </row>
    <row r="248" spans="1:15" ht="14.4" customHeight="1" x14ac:dyDescent="0.3">
      <c r="A248" s="163" t="str">
        <f>IF(ISERROR(MATCH($H248,EAD_CIs!D:D,0)),"NO",
    IF(VLOOKUP($H248,EAD_CIs!D:N,MATCH("Status",EAD_CIs!D$2:N$2,0),0)="Done","No",VLOOKUP($H248,EAD_CIs!D:N,MATCH("Related",EAD_CIs!D$2:N$2,0),0) ))</f>
        <v>#1007900</v>
      </c>
      <c r="B248" s="203">
        <v>356200</v>
      </c>
      <c r="C248" s="34" t="s">
        <v>631</v>
      </c>
      <c r="D248" s="34" t="s">
        <v>36</v>
      </c>
      <c r="E248" s="34" t="s">
        <v>165</v>
      </c>
      <c r="F248" s="34" t="s">
        <v>36</v>
      </c>
      <c r="G248" s="34" t="s">
        <v>630</v>
      </c>
      <c r="H248" s="34" t="s">
        <v>591</v>
      </c>
      <c r="I248" s="34" t="s">
        <v>36</v>
      </c>
      <c r="J248" s="34" t="s">
        <v>1429</v>
      </c>
      <c r="K248" s="34" t="s">
        <v>1432</v>
      </c>
      <c r="L248" s="34" t="s">
        <v>17</v>
      </c>
      <c r="N248" s="95"/>
      <c r="O248" s="95"/>
    </row>
    <row r="249" spans="1:15" ht="14.4" customHeight="1" x14ac:dyDescent="0.3">
      <c r="A249" s="163" t="str">
        <f>IF(ISERROR(MATCH($H249,EAD_CIs!D:D,0)),"NO",
    IF(VLOOKUP($H249,EAD_CIs!D:N,MATCH("Status",EAD_CIs!D$2:N$2,0),0)="Done","No",VLOOKUP($H249,EAD_CIs!D:N,MATCH("Related",EAD_CIs!D$2:N$2,0),0) ))</f>
        <v>#354680
#1004701
#1004738
#380808</v>
      </c>
      <c r="B249" s="203">
        <v>356042</v>
      </c>
      <c r="C249" s="34" t="s">
        <v>592</v>
      </c>
      <c r="D249" s="34" t="s">
        <v>36</v>
      </c>
      <c r="E249" s="34" t="s">
        <v>165</v>
      </c>
      <c r="F249" s="34" t="s">
        <v>36</v>
      </c>
      <c r="G249" s="34" t="s">
        <v>1008</v>
      </c>
      <c r="H249" s="34" t="s">
        <v>200</v>
      </c>
      <c r="I249" s="34" t="s">
        <v>36</v>
      </c>
      <c r="J249" s="34" t="s">
        <v>1429</v>
      </c>
      <c r="K249" s="34" t="s">
        <v>1434</v>
      </c>
      <c r="L249" s="34" t="s">
        <v>947</v>
      </c>
      <c r="N249" s="95"/>
      <c r="O249" s="95"/>
    </row>
    <row r="250" spans="1:15" ht="14.4" customHeight="1" x14ac:dyDescent="0.3">
      <c r="A250" s="163" t="str">
        <f>IF(ISERROR(MATCH($H250,EAD_CIs!D:D,0)),"NO",
    IF(VLOOKUP($H250,EAD_CIs!D:N,MATCH("Status",EAD_CIs!D$2:N$2,0),0)="Done","No",VLOOKUP($H250,EAD_CIs!D:N,MATCH("Related",EAD_CIs!D$2:N$2,0),0) ))</f>
        <v>#380808
#1011907
#342054
#385632
#1014199
#1003390</v>
      </c>
      <c r="B250" s="203">
        <v>355599</v>
      </c>
      <c r="C250" s="34" t="s">
        <v>782</v>
      </c>
      <c r="D250" s="34" t="s">
        <v>886</v>
      </c>
      <c r="E250" s="34" t="s">
        <v>165</v>
      </c>
      <c r="F250" s="34" t="s">
        <v>36</v>
      </c>
      <c r="G250" s="34" t="s">
        <v>572</v>
      </c>
      <c r="H250" s="34" t="s">
        <v>190</v>
      </c>
      <c r="I250" s="34" t="s">
        <v>36</v>
      </c>
      <c r="J250" s="34" t="s">
        <v>1429</v>
      </c>
      <c r="K250" s="34" t="s">
        <v>1432</v>
      </c>
      <c r="L250" s="34" t="s">
        <v>944</v>
      </c>
      <c r="N250" s="95"/>
      <c r="O250" s="95"/>
    </row>
    <row r="251" spans="1:15" ht="14.4" customHeight="1" x14ac:dyDescent="0.3">
      <c r="A251" s="163" t="str">
        <f>IF(ISERROR(MATCH($H251,EAD_CIs!D:D,0)),"NO",
    IF(VLOOKUP($H251,EAD_CIs!D:N,MATCH("Status",EAD_CIs!D$2:N$2,0),0)="Done","No",VLOOKUP($H251,EAD_CIs!D:N,MATCH("Related",EAD_CIs!D$2:N$2,0),0) ))</f>
        <v>#1007900
#1013452</v>
      </c>
      <c r="B251" s="203">
        <v>355368</v>
      </c>
      <c r="C251" s="34" t="s">
        <v>2004</v>
      </c>
      <c r="D251" s="34" t="s">
        <v>36</v>
      </c>
      <c r="E251" s="34" t="s">
        <v>165</v>
      </c>
      <c r="F251" s="34" t="s">
        <v>36</v>
      </c>
      <c r="G251" s="34" t="s">
        <v>228</v>
      </c>
      <c r="H251" s="34" t="s">
        <v>795</v>
      </c>
      <c r="I251" s="34" t="s">
        <v>36</v>
      </c>
      <c r="J251" s="34" t="s">
        <v>1429</v>
      </c>
      <c r="K251" s="34" t="s">
        <v>1421</v>
      </c>
      <c r="L251" s="34" t="s">
        <v>950</v>
      </c>
      <c r="N251" s="95"/>
      <c r="O251" s="95"/>
    </row>
    <row r="252" spans="1:15" ht="14.4" customHeight="1" x14ac:dyDescent="0.3">
      <c r="A252" s="163" t="str">
        <f>IF(ISERROR(MATCH($H252,EAD_CIs!D:D,0)),"NO",
    IF(VLOOKUP($H252,EAD_CIs!D:N,MATCH("Status",EAD_CIs!D$2:N$2,0),0)="Done","No",VLOOKUP($H252,EAD_CIs!D:N,MATCH("Related",EAD_CIs!D$2:N$2,0),0) ))</f>
        <v>#388195
#1004738
#342054</v>
      </c>
      <c r="B252" s="203">
        <v>355347</v>
      </c>
      <c r="C252" s="34" t="s">
        <v>1821</v>
      </c>
      <c r="D252" s="34" t="s">
        <v>36</v>
      </c>
      <c r="E252" s="34" t="s">
        <v>28</v>
      </c>
      <c r="F252" s="34" t="s">
        <v>593</v>
      </c>
      <c r="G252" s="34" t="s">
        <v>999</v>
      </c>
      <c r="H252" s="34" t="s">
        <v>211</v>
      </c>
      <c r="I252" s="34" t="s">
        <v>36</v>
      </c>
      <c r="J252" s="34" t="s">
        <v>1420</v>
      </c>
      <c r="K252" s="34" t="s">
        <v>1421</v>
      </c>
      <c r="L252" s="34" t="s">
        <v>947</v>
      </c>
      <c r="N252" s="95"/>
      <c r="O252" s="95"/>
    </row>
    <row r="253" spans="1:15" ht="14.4" customHeight="1" x14ac:dyDescent="0.3">
      <c r="A253" s="163" t="str">
        <f>IF(ISERROR(MATCH($H253,EAD_CIs!D:D,0)),"NO",
    IF(VLOOKUP($H253,EAD_CIs!D:N,MATCH("Status",EAD_CIs!D$2:N$2,0),0)="Done","No",VLOOKUP($H253,EAD_CIs!D:N,MATCH("Related",EAD_CIs!D$2:N$2,0),0) ))</f>
        <v>NO</v>
      </c>
      <c r="B253" s="203">
        <v>355240</v>
      </c>
      <c r="C253" s="34" t="s">
        <v>524</v>
      </c>
      <c r="D253" s="34" t="s">
        <v>167</v>
      </c>
      <c r="E253" s="34" t="s">
        <v>28</v>
      </c>
      <c r="F253" s="34" t="s">
        <v>525</v>
      </c>
      <c r="G253" s="34" t="s">
        <v>184</v>
      </c>
      <c r="H253" s="34" t="s">
        <v>246</v>
      </c>
      <c r="I253" s="34" t="s">
        <v>36</v>
      </c>
      <c r="J253" s="34" t="s">
        <v>1429</v>
      </c>
      <c r="K253" s="34" t="s">
        <v>1434</v>
      </c>
      <c r="L253" s="34" t="s">
        <v>950</v>
      </c>
      <c r="N253" s="95"/>
      <c r="O253" s="95"/>
    </row>
    <row r="254" spans="1:15" ht="14.4" customHeight="1" x14ac:dyDescent="0.3">
      <c r="A254" s="163" t="str">
        <f>IF(ISERROR(MATCH($H254,EAD_CIs!D:D,0)),"NO",
    IF(VLOOKUP($H254,EAD_CIs!D:N,MATCH("Status",EAD_CIs!D$2:N$2,0),0)="Done","No",VLOOKUP($H254,EAD_CIs!D:N,MATCH("Related",EAD_CIs!D$2:N$2,0),0) ))</f>
        <v>#1007900
#1013452</v>
      </c>
      <c r="B254" s="203">
        <v>355108</v>
      </c>
      <c r="C254" s="34" t="s">
        <v>825</v>
      </c>
      <c r="D254" s="34" t="s">
        <v>36</v>
      </c>
      <c r="E254" s="34" t="s">
        <v>165</v>
      </c>
      <c r="F254" s="34" t="s">
        <v>896</v>
      </c>
      <c r="G254" s="34" t="s">
        <v>170</v>
      </c>
      <c r="H254" s="34" t="s">
        <v>897</v>
      </c>
      <c r="I254" s="34" t="s">
        <v>560</v>
      </c>
      <c r="J254" s="34" t="s">
        <v>1429</v>
      </c>
      <c r="K254" s="34" t="s">
        <v>1432</v>
      </c>
      <c r="L254" s="34" t="s">
        <v>943</v>
      </c>
      <c r="N254" s="95"/>
      <c r="O254" s="95"/>
    </row>
    <row r="255" spans="1:15" ht="14.4" customHeight="1" x14ac:dyDescent="0.3">
      <c r="A255" s="163" t="str">
        <f>IF(ISERROR(MATCH($H255,EAD_CIs!D:D,0)),"NO",
    IF(VLOOKUP($H255,EAD_CIs!D:N,MATCH("Status",EAD_CIs!D$2:N$2,0),0)="Done","No",VLOOKUP($H255,EAD_CIs!D:N,MATCH("Related",EAD_CIs!D$2:N$2,0),0) ))</f>
        <v>#354680
#1004701
#1004738
#380808</v>
      </c>
      <c r="B255" s="203">
        <v>355022</v>
      </c>
      <c r="C255" s="34" t="s">
        <v>1777</v>
      </c>
      <c r="D255" s="34" t="s">
        <v>886</v>
      </c>
      <c r="E255" s="34" t="s">
        <v>28</v>
      </c>
      <c r="F255" s="34" t="s">
        <v>1822</v>
      </c>
      <c r="G255" s="34" t="s">
        <v>104</v>
      </c>
      <c r="H255" s="34" t="s">
        <v>200</v>
      </c>
      <c r="I255" s="34" t="s">
        <v>104</v>
      </c>
      <c r="J255" s="34" t="s">
        <v>1431</v>
      </c>
      <c r="K255" s="34" t="s">
        <v>1432</v>
      </c>
      <c r="L255" s="34" t="s">
        <v>944</v>
      </c>
      <c r="N255" s="95"/>
      <c r="O255" s="95"/>
    </row>
    <row r="256" spans="1:15" ht="14.4" customHeight="1" x14ac:dyDescent="0.3">
      <c r="A256" s="163" t="str">
        <f>IF(ISERROR(MATCH($H256,EAD_CIs!D:D,0)),"NO",
    IF(VLOOKUP($H256,EAD_CIs!D:N,MATCH("Status",EAD_CIs!D$2:N$2,0),0)="Done","No",VLOOKUP($H256,EAD_CIs!D:N,MATCH("Related",EAD_CIs!D$2:N$2,0),0) ))</f>
        <v>NO</v>
      </c>
      <c r="B256" s="203">
        <v>354999</v>
      </c>
      <c r="C256" s="34" t="s">
        <v>526</v>
      </c>
      <c r="D256" s="34" t="s">
        <v>36</v>
      </c>
      <c r="E256" s="34" t="s">
        <v>165</v>
      </c>
      <c r="F256" s="34" t="s">
        <v>36</v>
      </c>
      <c r="G256" s="34" t="s">
        <v>1008</v>
      </c>
      <c r="H256" s="34" t="s">
        <v>246</v>
      </c>
      <c r="I256" s="34" t="s">
        <v>36</v>
      </c>
      <c r="J256" s="34" t="s">
        <v>1429</v>
      </c>
      <c r="K256" s="34" t="s">
        <v>1421</v>
      </c>
      <c r="L256" s="34" t="s">
        <v>943</v>
      </c>
      <c r="N256" s="95"/>
      <c r="O256" s="95"/>
    </row>
    <row r="257" spans="1:15" ht="14.4" customHeight="1" x14ac:dyDescent="0.3">
      <c r="A257" s="163" t="str">
        <f>IF(ISERROR(MATCH($H257,EAD_CIs!D:D,0)),"NO",
    IF(VLOOKUP($H257,EAD_CIs!D:N,MATCH("Status",EAD_CIs!D$2:N$2,0),0)="Done","No",VLOOKUP($H257,EAD_CIs!D:N,MATCH("Related",EAD_CIs!D$2:N$2,0),0) ))</f>
        <v>#392743</v>
      </c>
      <c r="B257" s="203">
        <v>354457</v>
      </c>
      <c r="C257" s="34" t="s">
        <v>1320</v>
      </c>
      <c r="D257" s="34" t="s">
        <v>36</v>
      </c>
      <c r="E257" s="34" t="s">
        <v>165</v>
      </c>
      <c r="F257" s="34" t="s">
        <v>36</v>
      </c>
      <c r="G257" s="34" t="s">
        <v>572</v>
      </c>
      <c r="H257" s="34" t="s">
        <v>783</v>
      </c>
      <c r="I257" s="34" t="s">
        <v>36</v>
      </c>
      <c r="J257" s="34" t="s">
        <v>1429</v>
      </c>
      <c r="K257" s="34" t="s">
        <v>1432</v>
      </c>
      <c r="L257" s="34" t="s">
        <v>944</v>
      </c>
      <c r="N257" s="95"/>
      <c r="O257" s="95"/>
    </row>
    <row r="258" spans="1:15" ht="14.4" customHeight="1" x14ac:dyDescent="0.3">
      <c r="A258" s="163" t="str">
        <f>IF(ISERROR(MATCH($H258,EAD_CIs!D:D,0)),"NO",
    IF(VLOOKUP($H258,EAD_CIs!D:N,MATCH("Status",EAD_CIs!D$2:N$2,0),0)="Done","No",VLOOKUP($H258,EAD_CIs!D:N,MATCH("Related",EAD_CIs!D$2:N$2,0),0) ))</f>
        <v>NO</v>
      </c>
      <c r="B258" s="203">
        <v>354442</v>
      </c>
      <c r="C258" s="34" t="s">
        <v>527</v>
      </c>
      <c r="D258" s="34" t="s">
        <v>167</v>
      </c>
      <c r="E258" s="34" t="s">
        <v>165</v>
      </c>
      <c r="F258" s="34" t="s">
        <v>36</v>
      </c>
      <c r="G258" s="34" t="s">
        <v>54</v>
      </c>
      <c r="H258" s="34" t="s">
        <v>309</v>
      </c>
      <c r="I258" s="34" t="s">
        <v>36</v>
      </c>
      <c r="J258" s="34" t="s">
        <v>1429</v>
      </c>
      <c r="K258" s="34" t="s">
        <v>1421</v>
      </c>
      <c r="L258" s="34" t="s">
        <v>950</v>
      </c>
      <c r="N258" s="95"/>
      <c r="O258" s="95"/>
    </row>
    <row r="259" spans="1:15" ht="14.4" customHeight="1" x14ac:dyDescent="0.3">
      <c r="A259" s="163" t="str">
        <f>IF(ISERROR(MATCH($H259,EAD_CIs!D:D,0)),"NO",
    IF(VLOOKUP($H259,EAD_CIs!D:N,MATCH("Status",EAD_CIs!D$2:N$2,0),0)="Done","No",VLOOKUP($H259,EAD_CIs!D:N,MATCH("Related",EAD_CIs!D$2:N$2,0),0) ))</f>
        <v>#392743</v>
      </c>
      <c r="B259" s="203">
        <v>354434</v>
      </c>
      <c r="C259" s="34" t="s">
        <v>1319</v>
      </c>
      <c r="D259" s="34" t="s">
        <v>36</v>
      </c>
      <c r="E259" s="34" t="s">
        <v>165</v>
      </c>
      <c r="F259" s="34" t="s">
        <v>36</v>
      </c>
      <c r="G259" s="34" t="s">
        <v>572</v>
      </c>
      <c r="H259" s="34" t="s">
        <v>783</v>
      </c>
      <c r="I259" s="34" t="s">
        <v>36</v>
      </c>
      <c r="J259" s="34" t="s">
        <v>1429</v>
      </c>
      <c r="K259" s="34" t="s">
        <v>1432</v>
      </c>
      <c r="L259" s="34" t="s">
        <v>944</v>
      </c>
      <c r="N259" s="95"/>
      <c r="O259" s="95"/>
    </row>
    <row r="260" spans="1:15" ht="14.4" customHeight="1" x14ac:dyDescent="0.3">
      <c r="A260" s="163" t="str">
        <f>IF(ISERROR(MATCH($H260,EAD_CIs!D:D,0)),"NO",
    IF(VLOOKUP($H260,EAD_CIs!D:N,MATCH("Status",EAD_CIs!D$2:N$2,0),0)="Done","No",VLOOKUP($H260,EAD_CIs!D:N,MATCH("Related",EAD_CIs!D$2:N$2,0),0) ))</f>
        <v>#392743</v>
      </c>
      <c r="B260" s="203">
        <v>354321</v>
      </c>
      <c r="C260" s="34" t="s">
        <v>1318</v>
      </c>
      <c r="D260" s="34" t="s">
        <v>36</v>
      </c>
      <c r="E260" s="34" t="s">
        <v>165</v>
      </c>
      <c r="F260" s="34" t="s">
        <v>36</v>
      </c>
      <c r="G260" s="34" t="s">
        <v>572</v>
      </c>
      <c r="H260" s="34" t="s">
        <v>783</v>
      </c>
      <c r="I260" s="34" t="s">
        <v>36</v>
      </c>
      <c r="J260" s="34" t="s">
        <v>1429</v>
      </c>
      <c r="K260" s="34" t="s">
        <v>1432</v>
      </c>
      <c r="L260" s="34" t="s">
        <v>944</v>
      </c>
      <c r="N260" s="95"/>
      <c r="O260" s="95"/>
    </row>
    <row r="261" spans="1:15" ht="14.4" customHeight="1" x14ac:dyDescent="0.3">
      <c r="A261" s="163" t="str">
        <f>IF(ISERROR(MATCH($H261,EAD_CIs!D:D,0)),"NO",
    IF(VLOOKUP($H261,EAD_CIs!D:N,MATCH("Status",EAD_CIs!D$2:N$2,0),0)="Done","No",VLOOKUP($H261,EAD_CIs!D:N,MATCH("Related",EAD_CIs!D$2:N$2,0),0) ))</f>
        <v>#388195
#1004738
#342054</v>
      </c>
      <c r="B261" s="203">
        <v>354080</v>
      </c>
      <c r="C261" s="34" t="s">
        <v>528</v>
      </c>
      <c r="D261" s="34" t="s">
        <v>167</v>
      </c>
      <c r="E261" s="34" t="s">
        <v>165</v>
      </c>
      <c r="F261" s="34" t="s">
        <v>36</v>
      </c>
      <c r="G261" s="34" t="s">
        <v>1008</v>
      </c>
      <c r="H261" s="34" t="s">
        <v>211</v>
      </c>
      <c r="I261" s="34" t="s">
        <v>36</v>
      </c>
      <c r="J261" s="34" t="s">
        <v>1429</v>
      </c>
      <c r="K261" s="34" t="s">
        <v>1421</v>
      </c>
      <c r="L261" s="34" t="s">
        <v>947</v>
      </c>
      <c r="N261" s="95"/>
      <c r="O261" s="95"/>
    </row>
    <row r="262" spans="1:15" ht="14.4" customHeight="1" x14ac:dyDescent="0.3">
      <c r="A262" s="163" t="str">
        <f>IF(ISERROR(MATCH($H262,EAD_CIs!D:D,0)),"NO",
    IF(VLOOKUP($H262,EAD_CIs!D:N,MATCH("Status",EAD_CIs!D$2:N$2,0),0)="Done","No",VLOOKUP($H262,EAD_CIs!D:N,MATCH("Related",EAD_CIs!D$2:N$2,0),0) ))</f>
        <v>#380808
#1011907
#342054
#385632
#1014199
#1003390</v>
      </c>
      <c r="B262" s="203">
        <v>353030</v>
      </c>
      <c r="C262" s="34" t="s">
        <v>529</v>
      </c>
      <c r="D262" s="34" t="s">
        <v>36</v>
      </c>
      <c r="E262" s="34" t="s">
        <v>165</v>
      </c>
      <c r="F262" s="34" t="s">
        <v>36</v>
      </c>
      <c r="G262" s="34" t="s">
        <v>1008</v>
      </c>
      <c r="H262" s="34" t="s">
        <v>190</v>
      </c>
      <c r="I262" s="34" t="s">
        <v>36</v>
      </c>
      <c r="J262" s="34" t="s">
        <v>1429</v>
      </c>
      <c r="K262" s="34" t="s">
        <v>1421</v>
      </c>
      <c r="L262" s="34" t="s">
        <v>947</v>
      </c>
      <c r="N262" s="95"/>
      <c r="O262" s="95"/>
    </row>
    <row r="263" spans="1:15" ht="14.4" customHeight="1" x14ac:dyDescent="0.3">
      <c r="A263" s="163" t="str">
        <f>IF(ISERROR(MATCH($H263,EAD_CIs!D:D,0)),"NO",
    IF(VLOOKUP($H263,EAD_CIs!D:N,MATCH("Status",EAD_CIs!D$2:N$2,0),0)="Done","No",VLOOKUP($H263,EAD_CIs!D:N,MATCH("Related",EAD_CIs!D$2:N$2,0),0) ))</f>
        <v>#377408
#1001248
#381643
#383958
#315485
#342163
#299984
#354174
#381524
#332951
#318380
#386935</v>
      </c>
      <c r="B263" s="203">
        <v>351767</v>
      </c>
      <c r="C263" s="34" t="s">
        <v>1317</v>
      </c>
      <c r="D263" s="34" t="s">
        <v>167</v>
      </c>
      <c r="E263" s="34" t="s">
        <v>165</v>
      </c>
      <c r="F263" s="34" t="s">
        <v>1023</v>
      </c>
      <c r="G263" s="34" t="s">
        <v>547</v>
      </c>
      <c r="H263" s="34" t="s">
        <v>1177</v>
      </c>
      <c r="I263" s="34" t="s">
        <v>36</v>
      </c>
      <c r="J263" s="34" t="s">
        <v>1429</v>
      </c>
      <c r="K263" s="34" t="s">
        <v>1421</v>
      </c>
      <c r="L263" s="34" t="s">
        <v>554</v>
      </c>
      <c r="N263" s="95"/>
      <c r="O263" s="95"/>
    </row>
    <row r="264" spans="1:15" ht="14.4" customHeight="1" x14ac:dyDescent="0.3">
      <c r="A264" s="163" t="str">
        <f>IF(ISERROR(MATCH($H264,EAD_CIs!D:D,0)),"NO",
    IF(VLOOKUP($H264,EAD_CIs!D:N,MATCH("Status",EAD_CIs!D$2:N$2,0),0)="Done","No",VLOOKUP($H264,EAD_CIs!D:N,MATCH("Related",EAD_CIs!D$2:N$2,0),0) ))</f>
        <v>NO</v>
      </c>
      <c r="B264" s="203">
        <v>351650</v>
      </c>
      <c r="C264" s="34" t="s">
        <v>530</v>
      </c>
      <c r="D264" s="34" t="s">
        <v>167</v>
      </c>
      <c r="E264" s="34" t="s">
        <v>165</v>
      </c>
      <c r="F264" s="34" t="s">
        <v>2211</v>
      </c>
      <c r="G264" s="34" t="s">
        <v>173</v>
      </c>
      <c r="H264" s="34" t="s">
        <v>372</v>
      </c>
      <c r="I264" s="34" t="s">
        <v>36</v>
      </c>
      <c r="J264" s="34" t="s">
        <v>1429</v>
      </c>
      <c r="K264" s="34" t="s">
        <v>1421</v>
      </c>
      <c r="L264" s="34" t="s">
        <v>554</v>
      </c>
      <c r="N264" s="95"/>
      <c r="O264" s="95"/>
    </row>
    <row r="265" spans="1:15" ht="14.4" customHeight="1" x14ac:dyDescent="0.3">
      <c r="A265" s="163" t="str">
        <f>IF(ISERROR(MATCH($H265,EAD_CIs!D:D,0)),"NO",
    IF(VLOOKUP($H265,EAD_CIs!D:N,MATCH("Status",EAD_CIs!D$2:N$2,0),0)="Done","No",VLOOKUP($H265,EAD_CIs!D:N,MATCH("Related",EAD_CIs!D$2:N$2,0),0) ))</f>
        <v>NO</v>
      </c>
      <c r="B265" s="203">
        <v>351640</v>
      </c>
      <c r="C265" s="34" t="s">
        <v>250</v>
      </c>
      <c r="D265" s="34" t="s">
        <v>36</v>
      </c>
      <c r="E265" s="34" t="s">
        <v>165</v>
      </c>
      <c r="F265" s="34" t="s">
        <v>36</v>
      </c>
      <c r="G265" s="34" t="s">
        <v>1008</v>
      </c>
      <c r="H265" s="34" t="s">
        <v>251</v>
      </c>
      <c r="I265" s="34" t="s">
        <v>36</v>
      </c>
      <c r="J265" s="34" t="s">
        <v>1429</v>
      </c>
      <c r="K265" s="34" t="s">
        <v>1421</v>
      </c>
      <c r="L265" s="34" t="s">
        <v>947</v>
      </c>
      <c r="N265" s="95"/>
      <c r="O265" s="95"/>
    </row>
    <row r="266" spans="1:15" ht="14.4" customHeight="1" x14ac:dyDescent="0.3">
      <c r="A266" s="163" t="str">
        <f>IF(ISERROR(MATCH($H266,EAD_CIs!D:D,0)),"NO",
    IF(VLOOKUP($H266,EAD_CIs!D:N,MATCH("Status",EAD_CIs!D$2:N$2,0),0)="Done","No",VLOOKUP($H266,EAD_CIs!D:N,MATCH("Related",EAD_CIs!D$2:N$2,0),0) ))</f>
        <v>#377408
#1001248
#381643
#383958
#315485
#342163
#299984
#354174
#381524
#332951
#318380
#386935</v>
      </c>
      <c r="B266" s="203">
        <v>351595</v>
      </c>
      <c r="C266" s="34" t="s">
        <v>1316</v>
      </c>
      <c r="D266" s="34" t="s">
        <v>167</v>
      </c>
      <c r="E266" s="34" t="s">
        <v>165</v>
      </c>
      <c r="F266" s="34" t="s">
        <v>778</v>
      </c>
      <c r="G266" s="34" t="s">
        <v>1008</v>
      </c>
      <c r="H266" s="34" t="s">
        <v>1177</v>
      </c>
      <c r="I266" s="34" t="s">
        <v>36</v>
      </c>
      <c r="J266" s="34" t="s">
        <v>1429</v>
      </c>
      <c r="K266" s="34" t="s">
        <v>1421</v>
      </c>
      <c r="L266" s="34" t="s">
        <v>947</v>
      </c>
      <c r="N266" s="95"/>
      <c r="O266" s="95"/>
    </row>
    <row r="267" spans="1:15" ht="14.4" customHeight="1" x14ac:dyDescent="0.3">
      <c r="A267" s="163" t="str">
        <f>IF(ISERROR(MATCH($H267,EAD_CIs!D:D,0)),"NO",
    IF(VLOOKUP($H267,EAD_CIs!D:N,MATCH("Status",EAD_CIs!D$2:N$2,0),0)="Done","No",VLOOKUP($H267,EAD_CIs!D:N,MATCH("Related",EAD_CIs!D$2:N$2,0),0) ))</f>
        <v>#1007900</v>
      </c>
      <c r="B267" s="203">
        <v>351593</v>
      </c>
      <c r="C267" s="34" t="s">
        <v>632</v>
      </c>
      <c r="D267" s="34" t="s">
        <v>167</v>
      </c>
      <c r="E267" s="34" t="s">
        <v>165</v>
      </c>
      <c r="F267" s="34" t="s">
        <v>36</v>
      </c>
      <c r="G267" s="34" t="s">
        <v>745</v>
      </c>
      <c r="H267" s="34" t="s">
        <v>356</v>
      </c>
      <c r="I267" s="34" t="s">
        <v>36</v>
      </c>
      <c r="J267" s="34" t="s">
        <v>1429</v>
      </c>
      <c r="K267" s="34" t="s">
        <v>1421</v>
      </c>
      <c r="L267" s="34" t="s">
        <v>17</v>
      </c>
      <c r="N267" s="95"/>
      <c r="O267" s="95"/>
    </row>
    <row r="268" spans="1:15" ht="14.4" customHeight="1" x14ac:dyDescent="0.3">
      <c r="A268" s="163" t="str">
        <f>IF(ISERROR(MATCH($H268,EAD_CIs!D:D,0)),"NO",
    IF(VLOOKUP($H268,EAD_CIs!D:N,MATCH("Status",EAD_CIs!D$2:N$2,0),0)="Done","No",VLOOKUP($H268,EAD_CIs!D:N,MATCH("Related",EAD_CIs!D$2:N$2,0),0) ))</f>
        <v>NO</v>
      </c>
      <c r="B268" s="203">
        <v>351591</v>
      </c>
      <c r="C268" s="34" t="s">
        <v>633</v>
      </c>
      <c r="D268" s="34" t="s">
        <v>167</v>
      </c>
      <c r="E268" s="34" t="s">
        <v>165</v>
      </c>
      <c r="F268" s="34" t="s">
        <v>36</v>
      </c>
      <c r="G268" s="34" t="s">
        <v>1116</v>
      </c>
      <c r="H268" s="34" t="s">
        <v>585</v>
      </c>
      <c r="I268" s="34" t="s">
        <v>36</v>
      </c>
      <c r="J268" s="34" t="s">
        <v>1429</v>
      </c>
      <c r="K268" s="34" t="s">
        <v>1421</v>
      </c>
      <c r="L268" s="34" t="s">
        <v>15</v>
      </c>
      <c r="N268" s="95"/>
      <c r="O268" s="95"/>
    </row>
    <row r="269" spans="1:15" ht="14.4" customHeight="1" x14ac:dyDescent="0.3">
      <c r="A269" s="163" t="str">
        <f>IF(ISERROR(MATCH($H269,EAD_CIs!D:D,0)),"NO",
    IF(VLOOKUP($H269,EAD_CIs!D:N,MATCH("Status",EAD_CIs!D$2:N$2,0),0)="Done","No",VLOOKUP($H269,EAD_CIs!D:N,MATCH("Related",EAD_CIs!D$2:N$2,0),0) ))</f>
        <v>NO</v>
      </c>
      <c r="B269" s="203">
        <v>351581</v>
      </c>
      <c r="C269" s="34" t="s">
        <v>531</v>
      </c>
      <c r="D269" s="34" t="s">
        <v>167</v>
      </c>
      <c r="E269" s="34" t="s">
        <v>165</v>
      </c>
      <c r="F269" s="34" t="s">
        <v>36</v>
      </c>
      <c r="G269" s="34" t="s">
        <v>547</v>
      </c>
      <c r="H269" s="34" t="s">
        <v>246</v>
      </c>
      <c r="I269" s="34" t="s">
        <v>36</v>
      </c>
      <c r="J269" s="34" t="s">
        <v>1429</v>
      </c>
      <c r="K269" s="34" t="s">
        <v>1421</v>
      </c>
      <c r="L269" s="34" t="s">
        <v>950</v>
      </c>
      <c r="N269" s="95"/>
      <c r="O269" s="95"/>
    </row>
    <row r="270" spans="1:15" ht="14.4" customHeight="1" x14ac:dyDescent="0.3">
      <c r="A270" s="163" t="str">
        <f>IF(ISERROR(MATCH($H270,EAD_CIs!D:D,0)),"NO",
    IF(VLOOKUP($H270,EAD_CIs!D:N,MATCH("Status",EAD_CIs!D$2:N$2,0),0)="Done","No",VLOOKUP($H270,EAD_CIs!D:N,MATCH("Related",EAD_CIs!D$2:N$2,0),0) ))</f>
        <v>NO</v>
      </c>
      <c r="B270" s="203">
        <v>351540</v>
      </c>
      <c r="C270" s="34" t="s">
        <v>594</v>
      </c>
      <c r="D270" s="34" t="s">
        <v>167</v>
      </c>
      <c r="E270" s="34" t="s">
        <v>165</v>
      </c>
      <c r="F270" s="34" t="s">
        <v>242</v>
      </c>
      <c r="G270" s="34" t="s">
        <v>195</v>
      </c>
      <c r="H270" s="34" t="s">
        <v>194</v>
      </c>
      <c r="I270" s="34" t="s">
        <v>36</v>
      </c>
      <c r="J270" s="34" t="s">
        <v>1429</v>
      </c>
      <c r="K270" s="34" t="s">
        <v>1421</v>
      </c>
      <c r="L270" s="34" t="s">
        <v>951</v>
      </c>
      <c r="N270" s="95"/>
      <c r="O270" s="95"/>
    </row>
    <row r="271" spans="1:15" ht="14.4" customHeight="1" x14ac:dyDescent="0.3">
      <c r="A271" s="163" t="str">
        <f>IF(ISERROR(MATCH($H271,EAD_CIs!D:D,0)),"NO",
    IF(VLOOKUP($H271,EAD_CIs!D:N,MATCH("Status",EAD_CIs!D$2:N$2,0),0)="Done","No",VLOOKUP($H271,EAD_CIs!D:N,MATCH("Related",EAD_CIs!D$2:N$2,0),0) ))</f>
        <v>NO</v>
      </c>
      <c r="B271" s="203">
        <v>350841</v>
      </c>
      <c r="C271" s="34" t="s">
        <v>533</v>
      </c>
      <c r="D271" s="34" t="s">
        <v>167</v>
      </c>
      <c r="E271" s="34" t="s">
        <v>165</v>
      </c>
      <c r="F271" s="34" t="s">
        <v>1107</v>
      </c>
      <c r="G271" s="34" t="s">
        <v>595</v>
      </c>
      <c r="H271" s="34" t="s">
        <v>515</v>
      </c>
      <c r="I271" s="34" t="s">
        <v>36</v>
      </c>
      <c r="J271" s="34" t="s">
        <v>1429</v>
      </c>
      <c r="K271" s="34" t="s">
        <v>1421</v>
      </c>
      <c r="L271" s="34" t="s">
        <v>554</v>
      </c>
      <c r="N271" s="95"/>
      <c r="O271" s="95"/>
    </row>
    <row r="272" spans="1:15" ht="14.4" customHeight="1" x14ac:dyDescent="0.3">
      <c r="A272" s="163" t="str">
        <f>IF(ISERROR(MATCH($H272,EAD_CIs!D:D,0)),"NO",
    IF(VLOOKUP($H272,EAD_CIs!D:N,MATCH("Status",EAD_CIs!D$2:N$2,0),0)="Done","No",VLOOKUP($H272,EAD_CIs!D:N,MATCH("Related",EAD_CIs!D$2:N$2,0),0) ))</f>
        <v>NO</v>
      </c>
      <c r="B272" s="203">
        <v>350353</v>
      </c>
      <c r="C272" s="34" t="s">
        <v>295</v>
      </c>
      <c r="D272" s="34" t="s">
        <v>167</v>
      </c>
      <c r="E272" s="34" t="s">
        <v>165</v>
      </c>
      <c r="F272" s="34" t="s">
        <v>778</v>
      </c>
      <c r="G272" s="34" t="s">
        <v>228</v>
      </c>
      <c r="H272" s="34" t="s">
        <v>296</v>
      </c>
      <c r="I272" s="34" t="s">
        <v>36</v>
      </c>
      <c r="J272" s="34" t="s">
        <v>1429</v>
      </c>
      <c r="K272" s="34" t="s">
        <v>1421</v>
      </c>
      <c r="L272" s="34" t="s">
        <v>943</v>
      </c>
      <c r="N272" s="95"/>
      <c r="O272" s="95"/>
    </row>
    <row r="273" spans="1:15" ht="14.4" customHeight="1" x14ac:dyDescent="0.3">
      <c r="A273" s="163" t="str">
        <f>IF(ISERROR(MATCH($H273,EAD_CIs!D:D,0)),"NO",
    IF(VLOOKUP($H273,EAD_CIs!D:N,MATCH("Status",EAD_CIs!D$2:N$2,0),0)="Done","No",VLOOKUP($H273,EAD_CIs!D:N,MATCH("Related",EAD_CIs!D$2:N$2,0),0) ))</f>
        <v>NO</v>
      </c>
      <c r="B273" s="203">
        <v>349765</v>
      </c>
      <c r="C273" s="34" t="s">
        <v>534</v>
      </c>
      <c r="D273" s="34" t="s">
        <v>36</v>
      </c>
      <c r="E273" s="34" t="s">
        <v>165</v>
      </c>
      <c r="F273" s="34" t="s">
        <v>242</v>
      </c>
      <c r="G273" s="34" t="s">
        <v>1008</v>
      </c>
      <c r="H273" s="34" t="s">
        <v>214</v>
      </c>
      <c r="I273" s="34" t="s">
        <v>36</v>
      </c>
      <c r="J273" s="34" t="s">
        <v>1429</v>
      </c>
      <c r="K273" s="34" t="s">
        <v>1421</v>
      </c>
      <c r="L273" s="34" t="s">
        <v>947</v>
      </c>
      <c r="N273" s="95"/>
      <c r="O273" s="95"/>
    </row>
    <row r="274" spans="1:15" ht="14.4" customHeight="1" x14ac:dyDescent="0.3">
      <c r="A274" s="163" t="str">
        <f>IF(ISERROR(MATCH($H274,EAD_CIs!D:D,0)),"NO",
    IF(VLOOKUP($H274,EAD_CIs!D:N,MATCH("Status",EAD_CIs!D$2:N$2,0),0)="Done","No",VLOOKUP($H274,EAD_CIs!D:N,MATCH("Related",EAD_CIs!D$2:N$2,0),0) ))</f>
        <v>#380808
#1011907
#342054
#385632
#1014199
#1003390</v>
      </c>
      <c r="B274" s="203">
        <v>349479</v>
      </c>
      <c r="C274" s="34" t="s">
        <v>2033</v>
      </c>
      <c r="D274" s="34" t="s">
        <v>167</v>
      </c>
      <c r="E274" s="34" t="s">
        <v>28</v>
      </c>
      <c r="F274" s="34" t="s">
        <v>2036</v>
      </c>
      <c r="G274" s="34" t="s">
        <v>166</v>
      </c>
      <c r="H274" s="34" t="s">
        <v>190</v>
      </c>
      <c r="I274" s="34" t="s">
        <v>560</v>
      </c>
      <c r="J274" s="34" t="s">
        <v>1429</v>
      </c>
      <c r="K274" s="34" t="s">
        <v>1421</v>
      </c>
      <c r="L274" s="34" t="s">
        <v>947</v>
      </c>
      <c r="N274" s="95"/>
      <c r="O274" s="95"/>
    </row>
    <row r="275" spans="1:15" ht="14.4" customHeight="1" x14ac:dyDescent="0.3">
      <c r="A275" s="163" t="str">
        <f>IF(ISERROR(MATCH($H275,EAD_CIs!D:D,0)),"NO",
    IF(VLOOKUP($H275,EAD_CIs!D:N,MATCH("Status",EAD_CIs!D$2:N$2,0),0)="Done","No",VLOOKUP($H275,EAD_CIs!D:N,MATCH("Related",EAD_CIs!D$2:N$2,0),0) ))</f>
        <v>#299984
#380808
#1007900
#1011909
#1003390
#1014202
#1013452</v>
      </c>
      <c r="B275" s="203">
        <v>348913</v>
      </c>
      <c r="C275" s="34" t="s">
        <v>784</v>
      </c>
      <c r="D275" s="34" t="s">
        <v>167</v>
      </c>
      <c r="E275" s="34" t="s">
        <v>165</v>
      </c>
      <c r="F275" s="34" t="s">
        <v>205</v>
      </c>
      <c r="G275" s="34" t="s">
        <v>582</v>
      </c>
      <c r="H275" s="34" t="s">
        <v>209</v>
      </c>
      <c r="I275" s="34" t="s">
        <v>36</v>
      </c>
      <c r="J275" s="34" t="s">
        <v>1429</v>
      </c>
      <c r="K275" s="34" t="s">
        <v>1421</v>
      </c>
      <c r="L275" s="34" t="s">
        <v>943</v>
      </c>
      <c r="N275" s="95"/>
      <c r="O275" s="95"/>
    </row>
    <row r="276" spans="1:15" ht="14.4" customHeight="1" x14ac:dyDescent="0.3">
      <c r="A276" s="163" t="str">
        <f>IF(ISERROR(MATCH($H276,EAD_CIs!D:D,0)),"NO",
    IF(VLOOKUP($H276,EAD_CIs!D:N,MATCH("Status",EAD_CIs!D$2:N$2,0),0)="Done","No",VLOOKUP($H276,EAD_CIs!D:N,MATCH("Related",EAD_CIs!D$2:N$2,0),0) ))</f>
        <v>#395688</v>
      </c>
      <c r="B276" s="203">
        <v>348877</v>
      </c>
      <c r="C276" s="34" t="s">
        <v>284</v>
      </c>
      <c r="D276" s="34" t="s">
        <v>167</v>
      </c>
      <c r="E276" s="34" t="s">
        <v>165</v>
      </c>
      <c r="F276" s="34" t="s">
        <v>205</v>
      </c>
      <c r="G276" s="34" t="s">
        <v>582</v>
      </c>
      <c r="H276" s="34" t="s">
        <v>283</v>
      </c>
      <c r="I276" s="34" t="s">
        <v>36</v>
      </c>
      <c r="J276" s="34" t="s">
        <v>1429</v>
      </c>
      <c r="K276" s="34" t="s">
        <v>1421</v>
      </c>
      <c r="L276" s="34" t="s">
        <v>943</v>
      </c>
      <c r="N276" s="95"/>
      <c r="O276" s="95"/>
    </row>
    <row r="277" spans="1:15" ht="14.4" customHeight="1" x14ac:dyDescent="0.3">
      <c r="A277" s="163" t="str">
        <f>IF(ISERROR(MATCH($H277,EAD_CIs!D:D,0)),"NO",
    IF(VLOOKUP($H277,EAD_CIs!D:N,MATCH("Status",EAD_CIs!D$2:N$2,0),0)="Done","No",VLOOKUP($H277,EAD_CIs!D:N,MATCH("Related",EAD_CIs!D$2:N$2,0),0) ))</f>
        <v>#299984
#380808
#1007900
#1011909
#1003390
#1014202
#1013452</v>
      </c>
      <c r="B277" s="203">
        <v>348853</v>
      </c>
      <c r="C277" s="34" t="s">
        <v>1772</v>
      </c>
      <c r="D277" s="34" t="s">
        <v>857</v>
      </c>
      <c r="E277" s="34" t="s">
        <v>28</v>
      </c>
      <c r="F277" s="34" t="s">
        <v>593</v>
      </c>
      <c r="G277" s="34" t="s">
        <v>582</v>
      </c>
      <c r="H277" s="34" t="s">
        <v>209</v>
      </c>
      <c r="I277" s="34" t="s">
        <v>36</v>
      </c>
      <c r="J277" s="34" t="s">
        <v>1420</v>
      </c>
      <c r="K277" s="34" t="s">
        <v>1421</v>
      </c>
      <c r="L277" s="34" t="s">
        <v>943</v>
      </c>
      <c r="N277" s="95"/>
      <c r="O277" s="95"/>
    </row>
    <row r="278" spans="1:15" ht="14.4" customHeight="1" x14ac:dyDescent="0.3">
      <c r="A278" s="163" t="str">
        <f>IF(ISERROR(MATCH($H278,EAD_CIs!D:D,0)),"NO",
    IF(VLOOKUP($H278,EAD_CIs!D:N,MATCH("Status",EAD_CIs!D$2:N$2,0),0)="Done","No",VLOOKUP($H278,EAD_CIs!D:N,MATCH("Related",EAD_CIs!D$2:N$2,0),0) ))</f>
        <v>#377408
#1001248
#381643
#383958
#315485
#342163
#299984
#354174
#381524
#332951
#318380
#386935</v>
      </c>
      <c r="B278" s="203">
        <v>348848</v>
      </c>
      <c r="C278" s="34" t="s">
        <v>1315</v>
      </c>
      <c r="D278" s="34" t="s">
        <v>36</v>
      </c>
      <c r="E278" s="34" t="s">
        <v>165</v>
      </c>
      <c r="F278" s="34" t="s">
        <v>242</v>
      </c>
      <c r="G278" s="34" t="s">
        <v>170</v>
      </c>
      <c r="H278" s="34" t="s">
        <v>1177</v>
      </c>
      <c r="I278" s="34" t="s">
        <v>36</v>
      </c>
      <c r="J278" s="34" t="s">
        <v>1429</v>
      </c>
      <c r="K278" s="34" t="s">
        <v>1421</v>
      </c>
      <c r="L278" s="34" t="s">
        <v>943</v>
      </c>
      <c r="N278" s="95"/>
      <c r="O278" s="95"/>
    </row>
    <row r="279" spans="1:15" ht="14.4" customHeight="1" x14ac:dyDescent="0.3">
      <c r="A279" s="163" t="str">
        <f>IF(ISERROR(MATCH($H279,EAD_CIs!D:D,0)),"NO",
    IF(VLOOKUP($H279,EAD_CIs!D:N,MATCH("Status",EAD_CIs!D$2:N$2,0),0)="Done","No",VLOOKUP($H279,EAD_CIs!D:N,MATCH("Related",EAD_CIs!D$2:N$2,0),0) ))</f>
        <v>#380808
#1011906
#342054</v>
      </c>
      <c r="B279" s="203">
        <v>348514</v>
      </c>
      <c r="C279" s="34" t="s">
        <v>2105</v>
      </c>
      <c r="D279" s="34" t="s">
        <v>167</v>
      </c>
      <c r="E279" s="34" t="s">
        <v>165</v>
      </c>
      <c r="F279" s="34" t="s">
        <v>2295</v>
      </c>
      <c r="G279" s="34" t="s">
        <v>582</v>
      </c>
      <c r="H279" s="34" t="s">
        <v>352</v>
      </c>
      <c r="I279" s="34" t="s">
        <v>36</v>
      </c>
      <c r="J279" s="34" t="s">
        <v>1429</v>
      </c>
      <c r="K279" s="34" t="s">
        <v>1421</v>
      </c>
      <c r="L279" s="34" t="s">
        <v>943</v>
      </c>
      <c r="N279" s="95"/>
      <c r="O279" s="95"/>
    </row>
    <row r="280" spans="1:15" ht="14.4" customHeight="1" x14ac:dyDescent="0.3">
      <c r="A280" s="163" t="str">
        <f>IF(ISERROR(MATCH($H280,EAD_CIs!D:D,0)),"NO",
    IF(VLOOKUP($H280,EAD_CIs!D:N,MATCH("Status",EAD_CIs!D$2:N$2,0),0)="Done","No",VLOOKUP($H280,EAD_CIs!D:N,MATCH("Related",EAD_CIs!D$2:N$2,0),0) ))</f>
        <v>NO</v>
      </c>
      <c r="B280" s="203">
        <v>347998</v>
      </c>
      <c r="C280" s="34" t="s">
        <v>371</v>
      </c>
      <c r="D280" s="34" t="s">
        <v>167</v>
      </c>
      <c r="E280" s="34" t="s">
        <v>165</v>
      </c>
      <c r="F280" s="34" t="s">
        <v>2212</v>
      </c>
      <c r="G280" s="34" t="s">
        <v>173</v>
      </c>
      <c r="H280" s="34" t="s">
        <v>372</v>
      </c>
      <c r="I280" s="34" t="s">
        <v>36</v>
      </c>
      <c r="J280" s="34" t="s">
        <v>1420</v>
      </c>
      <c r="K280" s="34" t="s">
        <v>1433</v>
      </c>
      <c r="L280" s="34" t="s">
        <v>554</v>
      </c>
      <c r="N280" s="95"/>
      <c r="O280" s="95"/>
    </row>
    <row r="281" spans="1:15" ht="14.4" customHeight="1" x14ac:dyDescent="0.3">
      <c r="A281" s="163" t="str">
        <f>IF(ISERROR(MATCH($H281,EAD_CIs!D:D,0)),"NO",
    IF(VLOOKUP($H281,EAD_CIs!D:N,MATCH("Status",EAD_CIs!D$2:N$2,0),0)="Done","No",VLOOKUP($H281,EAD_CIs!D:N,MATCH("Related",EAD_CIs!D$2:N$2,0),0) ))</f>
        <v>NO</v>
      </c>
      <c r="B281" s="203">
        <v>347997</v>
      </c>
      <c r="C281" s="34" t="s">
        <v>373</v>
      </c>
      <c r="D281" s="34" t="s">
        <v>167</v>
      </c>
      <c r="E281" s="34" t="s">
        <v>165</v>
      </c>
      <c r="F281" s="34" t="s">
        <v>2213</v>
      </c>
      <c r="G281" s="34" t="s">
        <v>173</v>
      </c>
      <c r="H281" s="34" t="s">
        <v>372</v>
      </c>
      <c r="I281" s="34" t="s">
        <v>36</v>
      </c>
      <c r="J281" s="34" t="s">
        <v>1420</v>
      </c>
      <c r="K281" s="34" t="s">
        <v>1421</v>
      </c>
      <c r="L281" s="34" t="s">
        <v>554</v>
      </c>
      <c r="N281" s="95"/>
      <c r="O281" s="95"/>
    </row>
    <row r="282" spans="1:15" ht="14.4" customHeight="1" x14ac:dyDescent="0.3">
      <c r="A282" s="163" t="str">
        <f>IF(ISERROR(MATCH($H282,EAD_CIs!D:D,0)),"NO",
    IF(VLOOKUP($H282,EAD_CIs!D:N,MATCH("Status",EAD_CIs!D$2:N$2,0),0)="Done","No",VLOOKUP($H282,EAD_CIs!D:N,MATCH("Related",EAD_CIs!D$2:N$2,0),0) ))</f>
        <v>NO</v>
      </c>
      <c r="B282" s="203">
        <v>347996</v>
      </c>
      <c r="C282" s="34" t="s">
        <v>374</v>
      </c>
      <c r="D282" s="34" t="s">
        <v>167</v>
      </c>
      <c r="E282" s="34" t="s">
        <v>165</v>
      </c>
      <c r="F282" s="34" t="s">
        <v>2214</v>
      </c>
      <c r="G282" s="34" t="s">
        <v>173</v>
      </c>
      <c r="H282" s="34" t="s">
        <v>372</v>
      </c>
      <c r="I282" s="34" t="s">
        <v>36</v>
      </c>
      <c r="J282" s="34" t="s">
        <v>1420</v>
      </c>
      <c r="K282" s="34" t="s">
        <v>1421</v>
      </c>
      <c r="L282" s="34" t="s">
        <v>554</v>
      </c>
      <c r="N282" s="95"/>
      <c r="O282" s="95"/>
    </row>
    <row r="283" spans="1:15" ht="14.4" customHeight="1" x14ac:dyDescent="0.3">
      <c r="A283" s="163" t="str">
        <f>IF(ISERROR(MATCH($H283,EAD_CIs!D:D,0)),"NO",
    IF(VLOOKUP($H283,EAD_CIs!D:N,MATCH("Status",EAD_CIs!D$2:N$2,0),0)="Done","No",VLOOKUP($H283,EAD_CIs!D:N,MATCH("Related",EAD_CIs!D$2:N$2,0),0) ))</f>
        <v>#377408
#1001248
#381643
#383958
#315485
#342163
#299984
#354174
#381524
#332951
#318380
#386935</v>
      </c>
      <c r="B283" s="203">
        <v>347964</v>
      </c>
      <c r="C283" s="34" t="s">
        <v>1314</v>
      </c>
      <c r="D283" s="34" t="s">
        <v>36</v>
      </c>
      <c r="E283" s="34" t="s">
        <v>165</v>
      </c>
      <c r="F283" s="34" t="s">
        <v>36</v>
      </c>
      <c r="G283" s="34" t="s">
        <v>359</v>
      </c>
      <c r="H283" s="34" t="s">
        <v>1177</v>
      </c>
      <c r="I283" s="34" t="s">
        <v>36</v>
      </c>
      <c r="J283" s="34" t="s">
        <v>1429</v>
      </c>
      <c r="K283" s="34" t="s">
        <v>1421</v>
      </c>
      <c r="L283" s="34" t="s">
        <v>943</v>
      </c>
      <c r="N283" s="95"/>
      <c r="O283" s="95"/>
    </row>
    <row r="284" spans="1:15" ht="14.4" customHeight="1" x14ac:dyDescent="0.3">
      <c r="A284" s="163" t="str">
        <f>IF(ISERROR(MATCH($H284,EAD_CIs!D:D,0)),"NO",
    IF(VLOOKUP($H284,EAD_CIs!D:N,MATCH("Status",EAD_CIs!D$2:N$2,0),0)="Done","No",VLOOKUP($H284,EAD_CIs!D:N,MATCH("Related",EAD_CIs!D$2:N$2,0),0) ))</f>
        <v>NO</v>
      </c>
      <c r="B284" s="203">
        <v>347938</v>
      </c>
      <c r="C284" s="34" t="s">
        <v>634</v>
      </c>
      <c r="D284" s="34" t="s">
        <v>167</v>
      </c>
      <c r="E284" s="34" t="s">
        <v>165</v>
      </c>
      <c r="F284" s="34" t="s">
        <v>205</v>
      </c>
      <c r="G284" s="34" t="s">
        <v>745</v>
      </c>
      <c r="H284" s="34" t="s">
        <v>585</v>
      </c>
      <c r="I284" s="34" t="s">
        <v>36</v>
      </c>
      <c r="J284" s="34" t="s">
        <v>1429</v>
      </c>
      <c r="K284" s="34" t="s">
        <v>1421</v>
      </c>
      <c r="L284" s="34" t="s">
        <v>17</v>
      </c>
      <c r="N284" s="95"/>
      <c r="O284" s="95"/>
    </row>
    <row r="285" spans="1:15" ht="14.4" customHeight="1" x14ac:dyDescent="0.3">
      <c r="A285" s="163" t="str">
        <f>IF(ISERROR(MATCH($H285,EAD_CIs!D:D,0)),"NO",
    IF(VLOOKUP($H285,EAD_CIs!D:N,MATCH("Status",EAD_CIs!D$2:N$2,0),0)="Done","No",VLOOKUP($H285,EAD_CIs!D:N,MATCH("Related",EAD_CIs!D$2:N$2,0),0) ))</f>
        <v>#388195
#1004738
#342054</v>
      </c>
      <c r="B285" s="203">
        <v>347386</v>
      </c>
      <c r="C285" s="34" t="s">
        <v>823</v>
      </c>
      <c r="D285" s="34" t="s">
        <v>167</v>
      </c>
      <c r="E285" s="34" t="s">
        <v>165</v>
      </c>
      <c r="F285" s="34" t="s">
        <v>183</v>
      </c>
      <c r="G285" s="34" t="s">
        <v>545</v>
      </c>
      <c r="H285" s="34" t="s">
        <v>211</v>
      </c>
      <c r="I285" s="34" t="s">
        <v>36</v>
      </c>
      <c r="J285" s="34" t="s">
        <v>1429</v>
      </c>
      <c r="K285" s="34" t="s">
        <v>1434</v>
      </c>
      <c r="L285" s="34" t="s">
        <v>15</v>
      </c>
      <c r="N285" s="95"/>
      <c r="O285" s="95"/>
    </row>
    <row r="286" spans="1:15" ht="14.4" customHeight="1" x14ac:dyDescent="0.3">
      <c r="A286" s="163" t="str">
        <f>IF(ISERROR(MATCH($H286,EAD_CIs!D:D,0)),"NO",
    IF(VLOOKUP($H286,EAD_CIs!D:N,MATCH("Status",EAD_CIs!D$2:N$2,0),0)="Done","No",VLOOKUP($H286,EAD_CIs!D:N,MATCH("Related",EAD_CIs!D$2:N$2,0),0) ))</f>
        <v>#388195
#1004738
#342054</v>
      </c>
      <c r="B286" s="203">
        <v>347384</v>
      </c>
      <c r="C286" s="34" t="s">
        <v>822</v>
      </c>
      <c r="D286" s="34" t="s">
        <v>167</v>
      </c>
      <c r="E286" s="34" t="s">
        <v>165</v>
      </c>
      <c r="F286" s="34" t="s">
        <v>183</v>
      </c>
      <c r="G286" s="34" t="s">
        <v>545</v>
      </c>
      <c r="H286" s="34" t="s">
        <v>211</v>
      </c>
      <c r="I286" s="34" t="s">
        <v>36</v>
      </c>
      <c r="J286" s="34" t="s">
        <v>1429</v>
      </c>
      <c r="K286" s="34" t="s">
        <v>1434</v>
      </c>
      <c r="L286" s="34" t="s">
        <v>15</v>
      </c>
      <c r="N286" s="95"/>
      <c r="O286" s="95"/>
    </row>
    <row r="287" spans="1:15" ht="14.4" customHeight="1" x14ac:dyDescent="0.3">
      <c r="A287" s="163" t="str">
        <f>IF(ISERROR(MATCH($H287,EAD_CIs!D:D,0)),"NO",
    IF(VLOOKUP($H287,EAD_CIs!D:N,MATCH("Status",EAD_CIs!D$2:N$2,0),0)="Done","No",VLOOKUP($H287,EAD_CIs!D:N,MATCH("Related",EAD_CIs!D$2:N$2,0),0) ))</f>
        <v>NO</v>
      </c>
      <c r="B287" s="203">
        <v>347182</v>
      </c>
      <c r="C287" s="34" t="s">
        <v>375</v>
      </c>
      <c r="D287" s="34" t="s">
        <v>167</v>
      </c>
      <c r="E287" s="34" t="s">
        <v>165</v>
      </c>
      <c r="F287" s="34" t="s">
        <v>1106</v>
      </c>
      <c r="G287" s="34" t="s">
        <v>173</v>
      </c>
      <c r="H287" s="34" t="s">
        <v>372</v>
      </c>
      <c r="I287" s="34" t="s">
        <v>36</v>
      </c>
      <c r="J287" s="34" t="s">
        <v>1429</v>
      </c>
      <c r="K287" s="34" t="s">
        <v>1421</v>
      </c>
      <c r="L287" s="34" t="s">
        <v>554</v>
      </c>
      <c r="N287" s="95"/>
      <c r="O287" s="95"/>
    </row>
    <row r="288" spans="1:15" ht="14.4" customHeight="1" x14ac:dyDescent="0.3">
      <c r="A288" s="163" t="str">
        <f>IF(ISERROR(MATCH($H288,EAD_CIs!D:D,0)),"NO",
    IF(VLOOKUP($H288,EAD_CIs!D:N,MATCH("Status",EAD_CIs!D$2:N$2,0),0)="Done","No",VLOOKUP($H288,EAD_CIs!D:N,MATCH("Related",EAD_CIs!D$2:N$2,0),0) ))</f>
        <v>NO</v>
      </c>
      <c r="B288" s="203">
        <v>347181</v>
      </c>
      <c r="C288" s="34" t="s">
        <v>376</v>
      </c>
      <c r="D288" s="34" t="s">
        <v>167</v>
      </c>
      <c r="E288" s="34" t="s">
        <v>28</v>
      </c>
      <c r="F288" s="34" t="s">
        <v>1022</v>
      </c>
      <c r="G288" s="34" t="s">
        <v>173</v>
      </c>
      <c r="H288" s="34" t="s">
        <v>372</v>
      </c>
      <c r="I288" s="34" t="s">
        <v>36</v>
      </c>
      <c r="J288" s="34" t="s">
        <v>1431</v>
      </c>
      <c r="K288" s="34" t="s">
        <v>1433</v>
      </c>
      <c r="L288" s="34" t="s">
        <v>554</v>
      </c>
      <c r="N288" s="95"/>
      <c r="O288" s="95"/>
    </row>
    <row r="289" spans="1:15" ht="14.4" customHeight="1" x14ac:dyDescent="0.3">
      <c r="A289" s="163" t="str">
        <f>IF(ISERROR(MATCH($H289,EAD_CIs!D:D,0)),"NO",
    IF(VLOOKUP($H289,EAD_CIs!D:N,MATCH("Status",EAD_CIs!D$2:N$2,0),0)="Done","No",VLOOKUP($H289,EAD_CIs!D:N,MATCH("Related",EAD_CIs!D$2:N$2,0),0) ))</f>
        <v>NO</v>
      </c>
      <c r="B289" s="203">
        <v>347179</v>
      </c>
      <c r="C289" s="34" t="s">
        <v>377</v>
      </c>
      <c r="D289" s="34" t="s">
        <v>167</v>
      </c>
      <c r="E289" s="34" t="s">
        <v>165</v>
      </c>
      <c r="F289" s="34" t="s">
        <v>1105</v>
      </c>
      <c r="G289" s="34" t="s">
        <v>173</v>
      </c>
      <c r="H289" s="34" t="s">
        <v>372</v>
      </c>
      <c r="I289" s="34" t="s">
        <v>36</v>
      </c>
      <c r="J289" s="34" t="s">
        <v>1420</v>
      </c>
      <c r="K289" s="34" t="s">
        <v>1433</v>
      </c>
      <c r="L289" s="34" t="s">
        <v>554</v>
      </c>
      <c r="N289" s="95"/>
      <c r="O289" s="95"/>
    </row>
    <row r="290" spans="1:15" ht="14.4" customHeight="1" x14ac:dyDescent="0.3">
      <c r="A290" s="163" t="str">
        <f>IF(ISERROR(MATCH($H290,EAD_CIs!D:D,0)),"NO",
    IF(VLOOKUP($H290,EAD_CIs!D:N,MATCH("Status",EAD_CIs!D$2:N$2,0),0)="Done","No",VLOOKUP($H290,EAD_CIs!D:N,MATCH("Related",EAD_CIs!D$2:N$2,0),0) ))</f>
        <v>NO</v>
      </c>
      <c r="B290" s="203">
        <v>347177</v>
      </c>
      <c r="C290" s="34" t="s">
        <v>378</v>
      </c>
      <c r="D290" s="34" t="s">
        <v>167</v>
      </c>
      <c r="E290" s="34" t="s">
        <v>165</v>
      </c>
      <c r="F290" s="34" t="s">
        <v>2215</v>
      </c>
      <c r="G290" s="34" t="s">
        <v>173</v>
      </c>
      <c r="H290" s="34" t="s">
        <v>372</v>
      </c>
      <c r="I290" s="34" t="s">
        <v>36</v>
      </c>
      <c r="J290" s="34" t="s">
        <v>1429</v>
      </c>
      <c r="K290" s="34" t="s">
        <v>1421</v>
      </c>
      <c r="L290" s="34" t="s">
        <v>943</v>
      </c>
      <c r="N290" s="95"/>
      <c r="O290" s="95"/>
    </row>
    <row r="291" spans="1:15" ht="14.4" customHeight="1" x14ac:dyDescent="0.3">
      <c r="A291" s="163" t="str">
        <f>IF(ISERROR(MATCH($H291,EAD_CIs!D:D,0)),"NO",
    IF(VLOOKUP($H291,EAD_CIs!D:N,MATCH("Status",EAD_CIs!D$2:N$2,0),0)="Done","No",VLOOKUP($H291,EAD_CIs!D:N,MATCH("Related",EAD_CIs!D$2:N$2,0),0) ))</f>
        <v>NO</v>
      </c>
      <c r="B291" s="203">
        <v>347175</v>
      </c>
      <c r="C291" s="34" t="s">
        <v>379</v>
      </c>
      <c r="D291" s="34" t="s">
        <v>167</v>
      </c>
      <c r="E291" s="34" t="s">
        <v>165</v>
      </c>
      <c r="F291" s="34" t="s">
        <v>1104</v>
      </c>
      <c r="G291" s="34" t="s">
        <v>173</v>
      </c>
      <c r="H291" s="34" t="s">
        <v>372</v>
      </c>
      <c r="I291" s="34" t="s">
        <v>36</v>
      </c>
      <c r="J291" s="34" t="s">
        <v>1429</v>
      </c>
      <c r="K291" s="34" t="s">
        <v>1434</v>
      </c>
      <c r="L291" s="34" t="s">
        <v>554</v>
      </c>
      <c r="N291" s="95"/>
      <c r="O291" s="95"/>
    </row>
    <row r="292" spans="1:15" ht="14.4" customHeight="1" x14ac:dyDescent="0.3">
      <c r="A292" s="163" t="str">
        <f>IF(ISERROR(MATCH($H292,EAD_CIs!D:D,0)),"NO",
    IF(VLOOKUP($H292,EAD_CIs!D:N,MATCH("Status",EAD_CIs!D$2:N$2,0),0)="Done","No",VLOOKUP($H292,EAD_CIs!D:N,MATCH("Related",EAD_CIs!D$2:N$2,0),0) ))</f>
        <v>NO</v>
      </c>
      <c r="B292" s="203">
        <v>347174</v>
      </c>
      <c r="C292" s="34" t="s">
        <v>380</v>
      </c>
      <c r="D292" s="34" t="s">
        <v>167</v>
      </c>
      <c r="E292" s="34" t="s">
        <v>165</v>
      </c>
      <c r="F292" s="34" t="s">
        <v>1103</v>
      </c>
      <c r="G292" s="34" t="s">
        <v>173</v>
      </c>
      <c r="H292" s="34" t="s">
        <v>372</v>
      </c>
      <c r="I292" s="34" t="s">
        <v>36</v>
      </c>
      <c r="J292" s="34" t="s">
        <v>1429</v>
      </c>
      <c r="K292" s="34" t="s">
        <v>1421</v>
      </c>
      <c r="L292" s="34" t="s">
        <v>554</v>
      </c>
      <c r="N292" s="95"/>
      <c r="O292" s="95"/>
    </row>
    <row r="293" spans="1:15" ht="14.4" customHeight="1" x14ac:dyDescent="0.3">
      <c r="A293" s="163" t="str">
        <f>IF(ISERROR(MATCH($H293,EAD_CIs!D:D,0)),"NO",
    IF(VLOOKUP($H293,EAD_CIs!D:N,MATCH("Status",EAD_CIs!D$2:N$2,0),0)="Done","No",VLOOKUP($H293,EAD_CIs!D:N,MATCH("Related",EAD_CIs!D$2:N$2,0),0) ))</f>
        <v>NO</v>
      </c>
      <c r="B293" s="203">
        <v>347173</v>
      </c>
      <c r="C293" s="34" t="s">
        <v>381</v>
      </c>
      <c r="D293" s="34" t="s">
        <v>167</v>
      </c>
      <c r="E293" s="34" t="s">
        <v>28</v>
      </c>
      <c r="F293" s="34" t="s">
        <v>1102</v>
      </c>
      <c r="G293" s="34" t="s">
        <v>1009</v>
      </c>
      <c r="H293" s="34" t="s">
        <v>372</v>
      </c>
      <c r="I293" s="34" t="s">
        <v>36</v>
      </c>
      <c r="J293" s="34" t="s">
        <v>1429</v>
      </c>
      <c r="K293" s="34" t="s">
        <v>1421</v>
      </c>
      <c r="L293" s="34" t="s">
        <v>554</v>
      </c>
      <c r="N293" s="95"/>
      <c r="O293" s="95"/>
    </row>
    <row r="294" spans="1:15" ht="14.4" customHeight="1" x14ac:dyDescent="0.3">
      <c r="A294" s="163" t="str">
        <f>IF(ISERROR(MATCH($H294,EAD_CIs!D:D,0)),"NO",
    IF(VLOOKUP($H294,EAD_CIs!D:N,MATCH("Status",EAD_CIs!D$2:N$2,0),0)="Done","No",VLOOKUP($H294,EAD_CIs!D:N,MATCH("Related",EAD_CIs!D$2:N$2,0),0) ))</f>
        <v>#388195
#1004738
#342054</v>
      </c>
      <c r="B294" s="203">
        <v>346932</v>
      </c>
      <c r="C294" s="34" t="s">
        <v>821</v>
      </c>
      <c r="D294" s="34" t="s">
        <v>36</v>
      </c>
      <c r="E294" s="34" t="s">
        <v>165</v>
      </c>
      <c r="F294" s="34" t="s">
        <v>36</v>
      </c>
      <c r="G294" s="34" t="s">
        <v>113</v>
      </c>
      <c r="H294" s="34" t="s">
        <v>211</v>
      </c>
      <c r="I294" s="34" t="s">
        <v>36</v>
      </c>
      <c r="J294" s="34" t="s">
        <v>1429</v>
      </c>
      <c r="K294" s="34" t="s">
        <v>1421</v>
      </c>
      <c r="L294" s="34" t="s">
        <v>947</v>
      </c>
      <c r="N294" s="95"/>
      <c r="O294" s="95"/>
    </row>
    <row r="295" spans="1:15" ht="14.4" customHeight="1" x14ac:dyDescent="0.3">
      <c r="A295" s="163" t="str">
        <f>IF(ISERROR(MATCH($H295,EAD_CIs!D:D,0)),"NO",
    IF(VLOOKUP($H295,EAD_CIs!D:N,MATCH("Status",EAD_CIs!D$2:N$2,0),0)="Done","No",VLOOKUP($H295,EAD_CIs!D:N,MATCH("Related",EAD_CIs!D$2:N$2,0),0) ))</f>
        <v>NO</v>
      </c>
      <c r="B295" s="203">
        <v>346843</v>
      </c>
      <c r="C295" s="34" t="s">
        <v>382</v>
      </c>
      <c r="D295" s="34" t="s">
        <v>167</v>
      </c>
      <c r="E295" s="34" t="s">
        <v>165</v>
      </c>
      <c r="F295" s="34" t="s">
        <v>1024</v>
      </c>
      <c r="G295" s="34" t="s">
        <v>173</v>
      </c>
      <c r="H295" s="34" t="s">
        <v>372</v>
      </c>
      <c r="I295" s="34" t="s">
        <v>36</v>
      </c>
      <c r="J295" s="34" t="s">
        <v>1429</v>
      </c>
      <c r="K295" s="34" t="s">
        <v>1421</v>
      </c>
      <c r="L295" s="34" t="s">
        <v>554</v>
      </c>
      <c r="N295" s="95"/>
      <c r="O295" s="95"/>
    </row>
    <row r="296" spans="1:15" ht="14.4" customHeight="1" x14ac:dyDescent="0.3">
      <c r="A296" s="163" t="str">
        <f>IF(ISERROR(MATCH($H296,EAD_CIs!D:D,0)),"NO",
    IF(VLOOKUP($H296,EAD_CIs!D:N,MATCH("Status",EAD_CIs!D$2:N$2,0),0)="Done","No",VLOOKUP($H296,EAD_CIs!D:N,MATCH("Related",EAD_CIs!D$2:N$2,0),0) ))</f>
        <v>#388195
#1004738
#342054</v>
      </c>
      <c r="B296" s="203">
        <v>346823</v>
      </c>
      <c r="C296" s="34" t="s">
        <v>354</v>
      </c>
      <c r="D296" s="34" t="s">
        <v>167</v>
      </c>
      <c r="E296" s="34" t="s">
        <v>165</v>
      </c>
      <c r="F296" s="34" t="s">
        <v>183</v>
      </c>
      <c r="G296" s="34" t="s">
        <v>545</v>
      </c>
      <c r="H296" s="34" t="s">
        <v>211</v>
      </c>
      <c r="I296" s="34" t="s">
        <v>36</v>
      </c>
      <c r="J296" s="34" t="s">
        <v>1429</v>
      </c>
      <c r="K296" s="34" t="s">
        <v>1434</v>
      </c>
      <c r="L296" s="34" t="s">
        <v>15</v>
      </c>
      <c r="N296" s="95"/>
      <c r="O296" s="95"/>
    </row>
    <row r="297" spans="1:15" ht="14.4" customHeight="1" x14ac:dyDescent="0.3">
      <c r="A297" s="163" t="str">
        <f>IF(ISERROR(MATCH($H297,EAD_CIs!D:D,0)),"NO",
    IF(VLOOKUP($H297,EAD_CIs!D:N,MATCH("Status",EAD_CIs!D$2:N$2,0),0)="Done","No",VLOOKUP($H297,EAD_CIs!D:N,MATCH("Related",EAD_CIs!D$2:N$2,0),0) ))</f>
        <v>#388195
#1004738
#342054</v>
      </c>
      <c r="B297" s="203">
        <v>346821</v>
      </c>
      <c r="C297" s="34" t="s">
        <v>820</v>
      </c>
      <c r="D297" s="34" t="s">
        <v>36</v>
      </c>
      <c r="E297" s="34" t="s">
        <v>165</v>
      </c>
      <c r="F297" s="34" t="s">
        <v>36</v>
      </c>
      <c r="G297" s="34" t="s">
        <v>1008</v>
      </c>
      <c r="H297" s="34" t="s">
        <v>211</v>
      </c>
      <c r="I297" s="34" t="s">
        <v>36</v>
      </c>
      <c r="J297" s="34" t="s">
        <v>1429</v>
      </c>
      <c r="K297" s="34" t="s">
        <v>1421</v>
      </c>
      <c r="L297" s="34" t="s">
        <v>947</v>
      </c>
      <c r="N297" s="95"/>
      <c r="O297" s="95"/>
    </row>
    <row r="298" spans="1:15" ht="14.4" customHeight="1" x14ac:dyDescent="0.3">
      <c r="A298" s="163" t="str">
        <f>IF(ISERROR(MATCH($H298,EAD_CIs!D:D,0)),"NO",
    IF(VLOOKUP($H298,EAD_CIs!D:N,MATCH("Status",EAD_CIs!D$2:N$2,0),0)="Done","No",VLOOKUP($H298,EAD_CIs!D:N,MATCH("Related",EAD_CIs!D$2:N$2,0),0) ))</f>
        <v>#378401
#367776</v>
      </c>
      <c r="B298" s="203">
        <v>346532</v>
      </c>
      <c r="C298" s="34" t="s">
        <v>244</v>
      </c>
      <c r="D298" s="34" t="s">
        <v>36</v>
      </c>
      <c r="E298" s="34" t="s">
        <v>165</v>
      </c>
      <c r="F298" s="34" t="s">
        <v>36</v>
      </c>
      <c r="G298" s="34" t="s">
        <v>582</v>
      </c>
      <c r="H298" s="34" t="s">
        <v>197</v>
      </c>
      <c r="I298" s="34" t="s">
        <v>36</v>
      </c>
      <c r="J298" s="34" t="s">
        <v>1429</v>
      </c>
      <c r="K298" s="34" t="s">
        <v>1421</v>
      </c>
      <c r="L298" s="34" t="s">
        <v>943</v>
      </c>
      <c r="N298" s="95"/>
      <c r="O298" s="95"/>
    </row>
    <row r="299" spans="1:15" ht="14.4" customHeight="1" x14ac:dyDescent="0.3">
      <c r="A299" s="163">
        <f>IF(ISERROR(MATCH($H299,EAD_CIs!D:D,0)),"NO",
    IF(VLOOKUP($H299,EAD_CIs!D:N,MATCH("Status",EAD_CIs!D$2:N$2,0),0)="Done","No",VLOOKUP($H299,EAD_CIs!D:N,MATCH("Related",EAD_CIs!D$2:N$2,0),0) ))</f>
        <v>0</v>
      </c>
      <c r="B299" s="203">
        <v>346524</v>
      </c>
      <c r="C299" s="34" t="s">
        <v>361</v>
      </c>
      <c r="D299" s="34" t="s">
        <v>36</v>
      </c>
      <c r="E299" s="34" t="s">
        <v>165</v>
      </c>
      <c r="F299" s="34" t="s">
        <v>36</v>
      </c>
      <c r="G299" s="34" t="s">
        <v>582</v>
      </c>
      <c r="H299" s="34" t="s">
        <v>627</v>
      </c>
      <c r="I299" s="34" t="s">
        <v>36</v>
      </c>
      <c r="J299" s="34" t="s">
        <v>1429</v>
      </c>
      <c r="K299" s="34" t="s">
        <v>1421</v>
      </c>
      <c r="L299" s="34" t="s">
        <v>943</v>
      </c>
      <c r="N299" s="95"/>
      <c r="O299" s="95"/>
    </row>
    <row r="300" spans="1:15" ht="14.4" customHeight="1" x14ac:dyDescent="0.3">
      <c r="A300" s="163" t="str">
        <f>IF(ISERROR(MATCH($H300,EAD_CIs!D:D,0)),"NO",
    IF(VLOOKUP($H300,EAD_CIs!D:N,MATCH("Status",EAD_CIs!D$2:N$2,0),0)="Done","No",VLOOKUP($H300,EAD_CIs!D:N,MATCH("Related",EAD_CIs!D$2:N$2,0),0) ))</f>
        <v>NO</v>
      </c>
      <c r="B300" s="203">
        <v>345810</v>
      </c>
      <c r="C300" s="34" t="s">
        <v>383</v>
      </c>
      <c r="D300" s="34" t="s">
        <v>167</v>
      </c>
      <c r="E300" s="34" t="s">
        <v>165</v>
      </c>
      <c r="F300" s="34" t="s">
        <v>1101</v>
      </c>
      <c r="G300" s="34" t="s">
        <v>173</v>
      </c>
      <c r="H300" s="34" t="s">
        <v>372</v>
      </c>
      <c r="I300" s="34" t="s">
        <v>36</v>
      </c>
      <c r="J300" s="34" t="s">
        <v>1429</v>
      </c>
      <c r="K300" s="34" t="s">
        <v>1421</v>
      </c>
      <c r="L300" s="34" t="s">
        <v>554</v>
      </c>
      <c r="N300" s="95"/>
      <c r="O300" s="95"/>
    </row>
    <row r="301" spans="1:15" ht="14.4" customHeight="1" x14ac:dyDescent="0.3">
      <c r="A301" s="163" t="str">
        <f>IF(ISERROR(MATCH($H301,EAD_CIs!D:D,0)),"NO",
    IF(VLOOKUP($H301,EAD_CIs!D:N,MATCH("Status",EAD_CIs!D$2:N$2,0),0)="Done","No",VLOOKUP($H301,EAD_CIs!D:N,MATCH("Related",EAD_CIs!D$2:N$2,0),0) ))</f>
        <v>NO</v>
      </c>
      <c r="B301" s="203">
        <v>345809</v>
      </c>
      <c r="C301" s="34" t="s">
        <v>384</v>
      </c>
      <c r="D301" s="34" t="s">
        <v>167</v>
      </c>
      <c r="E301" s="34" t="s">
        <v>165</v>
      </c>
      <c r="F301" s="34" t="s">
        <v>1100</v>
      </c>
      <c r="G301" s="34" t="s">
        <v>173</v>
      </c>
      <c r="H301" s="34" t="s">
        <v>372</v>
      </c>
      <c r="I301" s="34" t="s">
        <v>36</v>
      </c>
      <c r="J301" s="34" t="s">
        <v>1429</v>
      </c>
      <c r="K301" s="34" t="s">
        <v>1421</v>
      </c>
      <c r="L301" s="34" t="s">
        <v>554</v>
      </c>
      <c r="N301" s="95"/>
      <c r="O301" s="95"/>
    </row>
    <row r="302" spans="1:15" ht="14.4" customHeight="1" x14ac:dyDescent="0.3">
      <c r="A302" s="163" t="str">
        <f>IF(ISERROR(MATCH($H302,EAD_CIs!D:D,0)),"NO",
    IF(VLOOKUP($H302,EAD_CIs!D:N,MATCH("Status",EAD_CIs!D$2:N$2,0),0)="Done","No",VLOOKUP($H302,EAD_CIs!D:N,MATCH("Related",EAD_CIs!D$2:N$2,0),0) ))</f>
        <v>NO</v>
      </c>
      <c r="B302" s="203">
        <v>345805</v>
      </c>
      <c r="C302" s="34" t="s">
        <v>385</v>
      </c>
      <c r="D302" s="34" t="s">
        <v>167</v>
      </c>
      <c r="E302" s="34" t="s">
        <v>28</v>
      </c>
      <c r="F302" s="34" t="s">
        <v>1099</v>
      </c>
      <c r="G302" s="34" t="s">
        <v>173</v>
      </c>
      <c r="H302" s="34" t="s">
        <v>372</v>
      </c>
      <c r="I302" s="34" t="s">
        <v>36</v>
      </c>
      <c r="J302" s="34" t="s">
        <v>1429</v>
      </c>
      <c r="K302" s="34" t="s">
        <v>1433</v>
      </c>
      <c r="L302" s="34" t="s">
        <v>554</v>
      </c>
      <c r="N302" s="95"/>
      <c r="O302" s="95"/>
    </row>
    <row r="303" spans="1:15" ht="14.4" customHeight="1" x14ac:dyDescent="0.3">
      <c r="A303" s="163" t="str">
        <f>IF(ISERROR(MATCH($H303,EAD_CIs!D:D,0)),"NO",
    IF(VLOOKUP($H303,EAD_CIs!D:N,MATCH("Status",EAD_CIs!D$2:N$2,0),0)="Done","No",VLOOKUP($H303,EAD_CIs!D:N,MATCH("Related",EAD_CIs!D$2:N$2,0),0) ))</f>
        <v>NO</v>
      </c>
      <c r="B303" s="203">
        <v>345795</v>
      </c>
      <c r="C303" s="34" t="s">
        <v>387</v>
      </c>
      <c r="D303" s="34" t="s">
        <v>167</v>
      </c>
      <c r="E303" s="34" t="s">
        <v>165</v>
      </c>
      <c r="F303" s="34" t="s">
        <v>2216</v>
      </c>
      <c r="G303" s="34" t="s">
        <v>173</v>
      </c>
      <c r="H303" s="34" t="s">
        <v>372</v>
      </c>
      <c r="I303" s="34" t="s">
        <v>36</v>
      </c>
      <c r="J303" s="34" t="s">
        <v>1429</v>
      </c>
      <c r="K303" s="34" t="s">
        <v>1433</v>
      </c>
      <c r="L303" s="34" t="s">
        <v>554</v>
      </c>
      <c r="N303" s="95"/>
      <c r="O303" s="95"/>
    </row>
    <row r="304" spans="1:15" ht="14.4" customHeight="1" x14ac:dyDescent="0.3">
      <c r="A304" s="163" t="str">
        <f>IF(ISERROR(MATCH($H304,EAD_CIs!D:D,0)),"NO",
    IF(VLOOKUP($H304,EAD_CIs!D:N,MATCH("Status",EAD_CIs!D$2:N$2,0),0)="Done","No",VLOOKUP($H304,EAD_CIs!D:N,MATCH("Related",EAD_CIs!D$2:N$2,0),0) ))</f>
        <v>NO</v>
      </c>
      <c r="B304" s="203">
        <v>345794</v>
      </c>
      <c r="C304" s="34" t="s">
        <v>388</v>
      </c>
      <c r="D304" s="34" t="s">
        <v>167</v>
      </c>
      <c r="E304" s="34" t="s">
        <v>165</v>
      </c>
      <c r="F304" s="34" t="s">
        <v>1098</v>
      </c>
      <c r="G304" s="34" t="s">
        <v>173</v>
      </c>
      <c r="H304" s="34" t="s">
        <v>372</v>
      </c>
      <c r="I304" s="34" t="s">
        <v>36</v>
      </c>
      <c r="J304" s="34" t="s">
        <v>1429</v>
      </c>
      <c r="K304" s="34" t="s">
        <v>1421</v>
      </c>
      <c r="L304" s="34" t="s">
        <v>554</v>
      </c>
      <c r="N304" s="95"/>
      <c r="O304" s="95"/>
    </row>
    <row r="305" spans="1:15" ht="14.4" customHeight="1" x14ac:dyDescent="0.3">
      <c r="A305" s="163" t="str">
        <f>IF(ISERROR(MATCH($H305,EAD_CIs!D:D,0)),"NO",
    IF(VLOOKUP($H305,EAD_CIs!D:N,MATCH("Status",EAD_CIs!D$2:N$2,0),0)="Done","No",VLOOKUP($H305,EAD_CIs!D:N,MATCH("Related",EAD_CIs!D$2:N$2,0),0) ))</f>
        <v>NO</v>
      </c>
      <c r="B305" s="203">
        <v>345793</v>
      </c>
      <c r="C305" s="34" t="s">
        <v>389</v>
      </c>
      <c r="D305" s="34" t="s">
        <v>167</v>
      </c>
      <c r="E305" s="34" t="s">
        <v>165</v>
      </c>
      <c r="F305" s="34" t="s">
        <v>1097</v>
      </c>
      <c r="G305" s="34" t="s">
        <v>173</v>
      </c>
      <c r="H305" s="34" t="s">
        <v>372</v>
      </c>
      <c r="I305" s="34" t="s">
        <v>36</v>
      </c>
      <c r="J305" s="34" t="s">
        <v>1429</v>
      </c>
      <c r="K305" s="34" t="s">
        <v>1421</v>
      </c>
      <c r="L305" s="34" t="s">
        <v>554</v>
      </c>
      <c r="N305" s="95"/>
      <c r="O305" s="95"/>
    </row>
    <row r="306" spans="1:15" ht="14.4" customHeight="1" x14ac:dyDescent="0.3">
      <c r="A306" s="163" t="str">
        <f>IF(ISERROR(MATCH($H306,EAD_CIs!D:D,0)),"NO",
    IF(VLOOKUP($H306,EAD_CIs!D:N,MATCH("Status",EAD_CIs!D$2:N$2,0),0)="Done","No",VLOOKUP($H306,EAD_CIs!D:N,MATCH("Related",EAD_CIs!D$2:N$2,0),0) ))</f>
        <v>NO</v>
      </c>
      <c r="B306" s="203">
        <v>345791</v>
      </c>
      <c r="C306" s="34" t="s">
        <v>390</v>
      </c>
      <c r="D306" s="34" t="s">
        <v>167</v>
      </c>
      <c r="E306" s="34" t="s">
        <v>165</v>
      </c>
      <c r="F306" s="34" t="s">
        <v>2217</v>
      </c>
      <c r="G306" s="34" t="s">
        <v>173</v>
      </c>
      <c r="H306" s="34" t="s">
        <v>372</v>
      </c>
      <c r="I306" s="34" t="s">
        <v>36</v>
      </c>
      <c r="J306" s="34" t="s">
        <v>1420</v>
      </c>
      <c r="K306" s="34" t="s">
        <v>1421</v>
      </c>
      <c r="L306" s="34" t="s">
        <v>554</v>
      </c>
      <c r="N306" s="95"/>
      <c r="O306" s="95"/>
    </row>
    <row r="307" spans="1:15" ht="14.4" customHeight="1" x14ac:dyDescent="0.3">
      <c r="A307" s="163" t="str">
        <f>IF(ISERROR(MATCH($H307,EAD_CIs!D:D,0)),"NO",
    IF(VLOOKUP($H307,EAD_CIs!D:N,MATCH("Status",EAD_CIs!D$2:N$2,0),0)="Done","No",VLOOKUP($H307,EAD_CIs!D:N,MATCH("Related",EAD_CIs!D$2:N$2,0),0) ))</f>
        <v>NO</v>
      </c>
      <c r="B307" s="203">
        <v>345789</v>
      </c>
      <c r="C307" s="34" t="s">
        <v>391</v>
      </c>
      <c r="D307" s="34" t="s">
        <v>167</v>
      </c>
      <c r="E307" s="34" t="s">
        <v>165</v>
      </c>
      <c r="F307" s="34" t="s">
        <v>1096</v>
      </c>
      <c r="G307" s="34" t="s">
        <v>173</v>
      </c>
      <c r="H307" s="34" t="s">
        <v>372</v>
      </c>
      <c r="I307" s="34" t="s">
        <v>36</v>
      </c>
      <c r="J307" s="34" t="s">
        <v>1420</v>
      </c>
      <c r="K307" s="34" t="s">
        <v>1433</v>
      </c>
      <c r="L307" s="34" t="s">
        <v>554</v>
      </c>
      <c r="N307" s="95"/>
      <c r="O307" s="95"/>
    </row>
    <row r="308" spans="1:15" ht="14.4" customHeight="1" x14ac:dyDescent="0.3">
      <c r="A308" s="163" t="str">
        <f>IF(ISERROR(MATCH($H308,EAD_CIs!D:D,0)),"NO",
    IF(VLOOKUP($H308,EAD_CIs!D:N,MATCH("Status",EAD_CIs!D$2:N$2,0),0)="Done","No",VLOOKUP($H308,EAD_CIs!D:N,MATCH("Related",EAD_CIs!D$2:N$2,0),0) ))</f>
        <v>NO</v>
      </c>
      <c r="B308" s="203">
        <v>345788</v>
      </c>
      <c r="C308" s="34" t="s">
        <v>392</v>
      </c>
      <c r="D308" s="34" t="s">
        <v>167</v>
      </c>
      <c r="E308" s="34" t="s">
        <v>165</v>
      </c>
      <c r="F308" s="34" t="s">
        <v>2218</v>
      </c>
      <c r="G308" s="34" t="s">
        <v>173</v>
      </c>
      <c r="H308" s="34" t="s">
        <v>372</v>
      </c>
      <c r="I308" s="34" t="s">
        <v>36</v>
      </c>
      <c r="J308" s="34" t="s">
        <v>1429</v>
      </c>
      <c r="K308" s="34" t="s">
        <v>1433</v>
      </c>
      <c r="L308" s="34" t="s">
        <v>554</v>
      </c>
      <c r="N308" s="95"/>
      <c r="O308" s="95"/>
    </row>
    <row r="309" spans="1:15" ht="14.4" customHeight="1" x14ac:dyDescent="0.3">
      <c r="A309" s="163" t="str">
        <f>IF(ISERROR(MATCH($H309,EAD_CIs!D:D,0)),"NO",
    IF(VLOOKUP($H309,EAD_CIs!D:N,MATCH("Status",EAD_CIs!D$2:N$2,0),0)="Done","No",VLOOKUP($H309,EAD_CIs!D:N,MATCH("Related",EAD_CIs!D$2:N$2,0),0) ))</f>
        <v>NO</v>
      </c>
      <c r="B309" s="203">
        <v>345787</v>
      </c>
      <c r="C309" s="34" t="s">
        <v>393</v>
      </c>
      <c r="D309" s="34" t="s">
        <v>167</v>
      </c>
      <c r="E309" s="34" t="s">
        <v>165</v>
      </c>
      <c r="F309" s="34" t="s">
        <v>2219</v>
      </c>
      <c r="G309" s="34" t="s">
        <v>173</v>
      </c>
      <c r="H309" s="34" t="s">
        <v>372</v>
      </c>
      <c r="I309" s="34" t="s">
        <v>36</v>
      </c>
      <c r="J309" s="34" t="s">
        <v>1420</v>
      </c>
      <c r="K309" s="34" t="s">
        <v>1434</v>
      </c>
      <c r="L309" s="34" t="s">
        <v>554</v>
      </c>
      <c r="N309" s="95"/>
      <c r="O309" s="95"/>
    </row>
    <row r="310" spans="1:15" ht="14.4" customHeight="1" x14ac:dyDescent="0.3">
      <c r="A310" s="163" t="str">
        <f>IF(ISERROR(MATCH($H310,EAD_CIs!D:D,0)),"NO",
    IF(VLOOKUP($H310,EAD_CIs!D:N,MATCH("Status",EAD_CIs!D$2:N$2,0),0)="Done","No",VLOOKUP($H310,EAD_CIs!D:N,MATCH("Related",EAD_CIs!D$2:N$2,0),0) ))</f>
        <v>NO</v>
      </c>
      <c r="B310" s="203">
        <v>345786</v>
      </c>
      <c r="C310" s="34" t="s">
        <v>394</v>
      </c>
      <c r="D310" s="34" t="s">
        <v>167</v>
      </c>
      <c r="E310" s="34" t="s">
        <v>28</v>
      </c>
      <c r="F310" s="34" t="s">
        <v>1095</v>
      </c>
      <c r="G310" s="34" t="s">
        <v>1009</v>
      </c>
      <c r="H310" s="34" t="s">
        <v>372</v>
      </c>
      <c r="I310" s="34" t="s">
        <v>36</v>
      </c>
      <c r="J310" s="34" t="s">
        <v>1429</v>
      </c>
      <c r="K310" s="34" t="s">
        <v>1421</v>
      </c>
      <c r="L310" s="34" t="s">
        <v>554</v>
      </c>
      <c r="N310" s="95"/>
      <c r="O310" s="95"/>
    </row>
    <row r="311" spans="1:15" ht="14.4" customHeight="1" x14ac:dyDescent="0.3">
      <c r="A311" s="163" t="str">
        <f>IF(ISERROR(MATCH($H311,EAD_CIs!D:D,0)),"NO",
    IF(VLOOKUP($H311,EAD_CIs!D:N,MATCH("Status",EAD_CIs!D$2:N$2,0),0)="Done","No",VLOOKUP($H311,EAD_CIs!D:N,MATCH("Related",EAD_CIs!D$2:N$2,0),0) ))</f>
        <v>NO</v>
      </c>
      <c r="B311" s="203">
        <v>345785</v>
      </c>
      <c r="C311" s="34" t="s">
        <v>395</v>
      </c>
      <c r="D311" s="34" t="s">
        <v>167</v>
      </c>
      <c r="E311" s="34" t="s">
        <v>28</v>
      </c>
      <c r="F311" s="34" t="s">
        <v>1094</v>
      </c>
      <c r="G311" s="34" t="s">
        <v>1009</v>
      </c>
      <c r="H311" s="34" t="s">
        <v>372</v>
      </c>
      <c r="I311" s="34" t="s">
        <v>36</v>
      </c>
      <c r="J311" s="34" t="s">
        <v>1429</v>
      </c>
      <c r="K311" s="34" t="s">
        <v>1433</v>
      </c>
      <c r="L311" s="34" t="s">
        <v>554</v>
      </c>
      <c r="N311" s="95"/>
      <c r="O311" s="95"/>
    </row>
    <row r="312" spans="1:15" ht="14.4" customHeight="1" x14ac:dyDescent="0.3">
      <c r="A312" s="163" t="str">
        <f>IF(ISERROR(MATCH($H312,EAD_CIs!D:D,0)),"NO",
    IF(VLOOKUP($H312,EAD_CIs!D:N,MATCH("Status",EAD_CIs!D$2:N$2,0),0)="Done","No",VLOOKUP($H312,EAD_CIs!D:N,MATCH("Related",EAD_CIs!D$2:N$2,0),0) ))</f>
        <v>NO</v>
      </c>
      <c r="B312" s="203">
        <v>345782</v>
      </c>
      <c r="C312" s="34" t="s">
        <v>396</v>
      </c>
      <c r="D312" s="34" t="s">
        <v>167</v>
      </c>
      <c r="E312" s="34" t="s">
        <v>165</v>
      </c>
      <c r="F312" s="34" t="s">
        <v>1093</v>
      </c>
      <c r="G312" s="34" t="s">
        <v>173</v>
      </c>
      <c r="H312" s="34" t="s">
        <v>372</v>
      </c>
      <c r="I312" s="34" t="s">
        <v>36</v>
      </c>
      <c r="J312" s="34" t="s">
        <v>1420</v>
      </c>
      <c r="K312" s="34" t="s">
        <v>1433</v>
      </c>
      <c r="L312" s="34" t="s">
        <v>554</v>
      </c>
      <c r="N312" s="95"/>
      <c r="O312" s="95"/>
    </row>
    <row r="313" spans="1:15" ht="14.4" customHeight="1" x14ac:dyDescent="0.3">
      <c r="A313" s="163" t="str">
        <f>IF(ISERROR(MATCH($H313,EAD_CIs!D:D,0)),"NO",
    IF(VLOOKUP($H313,EAD_CIs!D:N,MATCH("Status",EAD_CIs!D$2:N$2,0),0)="Done","No",VLOOKUP($H313,EAD_CIs!D:N,MATCH("Related",EAD_CIs!D$2:N$2,0),0) ))</f>
        <v>NO</v>
      </c>
      <c r="B313" s="203">
        <v>345778</v>
      </c>
      <c r="C313" s="34" t="s">
        <v>398</v>
      </c>
      <c r="D313" s="34" t="s">
        <v>167</v>
      </c>
      <c r="E313" s="34" t="s">
        <v>165</v>
      </c>
      <c r="F313" s="34" t="s">
        <v>1313</v>
      </c>
      <c r="G313" s="34" t="s">
        <v>1009</v>
      </c>
      <c r="H313" s="34" t="s">
        <v>372</v>
      </c>
      <c r="I313" s="34" t="s">
        <v>36</v>
      </c>
      <c r="J313" s="34" t="s">
        <v>1429</v>
      </c>
      <c r="K313" s="34" t="s">
        <v>1421</v>
      </c>
      <c r="L313" s="34" t="s">
        <v>554</v>
      </c>
      <c r="N313" s="95"/>
      <c r="O313" s="95"/>
    </row>
    <row r="314" spans="1:15" ht="14.4" customHeight="1" x14ac:dyDescent="0.3">
      <c r="A314" s="163" t="str">
        <f>IF(ISERROR(MATCH($H314,EAD_CIs!D:D,0)),"NO",
    IF(VLOOKUP($H314,EAD_CIs!D:N,MATCH("Status",EAD_CIs!D$2:N$2,0),0)="Done","No",VLOOKUP($H314,EAD_CIs!D:N,MATCH("Related",EAD_CIs!D$2:N$2,0),0) ))</f>
        <v>NO</v>
      </c>
      <c r="B314" s="203">
        <v>345777</v>
      </c>
      <c r="C314" s="34" t="s">
        <v>399</v>
      </c>
      <c r="D314" s="34" t="s">
        <v>167</v>
      </c>
      <c r="E314" s="34" t="s">
        <v>165</v>
      </c>
      <c r="F314" s="34" t="s">
        <v>1092</v>
      </c>
      <c r="G314" s="34" t="s">
        <v>173</v>
      </c>
      <c r="H314" s="34" t="s">
        <v>372</v>
      </c>
      <c r="I314" s="34" t="s">
        <v>36</v>
      </c>
      <c r="J314" s="34" t="s">
        <v>1429</v>
      </c>
      <c r="K314" s="34" t="s">
        <v>1421</v>
      </c>
      <c r="L314" s="34" t="s">
        <v>554</v>
      </c>
      <c r="N314" s="95"/>
      <c r="O314" s="95"/>
    </row>
    <row r="315" spans="1:15" ht="14.4" customHeight="1" x14ac:dyDescent="0.3">
      <c r="A315" s="163" t="str">
        <f>IF(ISERROR(MATCH($H315,EAD_CIs!D:D,0)),"NO",
    IF(VLOOKUP($H315,EAD_CIs!D:N,MATCH("Status",EAD_CIs!D$2:N$2,0),0)="Done","No",VLOOKUP($H315,EAD_CIs!D:N,MATCH("Related",EAD_CIs!D$2:N$2,0),0) ))</f>
        <v>NO</v>
      </c>
      <c r="B315" s="203">
        <v>345776</v>
      </c>
      <c r="C315" s="34" t="s">
        <v>400</v>
      </c>
      <c r="D315" s="34" t="s">
        <v>167</v>
      </c>
      <c r="E315" s="34" t="s">
        <v>28</v>
      </c>
      <c r="F315" s="34" t="s">
        <v>1091</v>
      </c>
      <c r="G315" s="34" t="s">
        <v>1009</v>
      </c>
      <c r="H315" s="34" t="s">
        <v>372</v>
      </c>
      <c r="I315" s="34" t="s">
        <v>36</v>
      </c>
      <c r="J315" s="34" t="s">
        <v>1429</v>
      </c>
      <c r="K315" s="34" t="s">
        <v>1421</v>
      </c>
      <c r="L315" s="34" t="s">
        <v>554</v>
      </c>
      <c r="N315" s="95"/>
      <c r="O315" s="95"/>
    </row>
    <row r="316" spans="1:15" ht="14.4" customHeight="1" x14ac:dyDescent="0.3">
      <c r="A316" s="163" t="str">
        <f>IF(ISERROR(MATCH($H316,EAD_CIs!D:D,0)),"NO",
    IF(VLOOKUP($H316,EAD_CIs!D:N,MATCH("Status",EAD_CIs!D$2:N$2,0),0)="Done","No",VLOOKUP($H316,EAD_CIs!D:N,MATCH("Related",EAD_CIs!D$2:N$2,0),0) ))</f>
        <v>NO</v>
      </c>
      <c r="B316" s="203">
        <v>345775</v>
      </c>
      <c r="C316" s="34" t="s">
        <v>401</v>
      </c>
      <c r="D316" s="34" t="s">
        <v>167</v>
      </c>
      <c r="E316" s="34" t="s">
        <v>165</v>
      </c>
      <c r="F316" s="34" t="s">
        <v>1090</v>
      </c>
      <c r="G316" s="34" t="s">
        <v>173</v>
      </c>
      <c r="H316" s="34" t="s">
        <v>372</v>
      </c>
      <c r="I316" s="34" t="s">
        <v>36</v>
      </c>
      <c r="J316" s="34" t="s">
        <v>1429</v>
      </c>
      <c r="K316" s="34" t="s">
        <v>1421</v>
      </c>
      <c r="L316" s="34" t="s">
        <v>554</v>
      </c>
      <c r="N316" s="95"/>
      <c r="O316" s="95"/>
    </row>
    <row r="317" spans="1:15" ht="14.4" customHeight="1" x14ac:dyDescent="0.3">
      <c r="A317" s="163" t="str">
        <f>IF(ISERROR(MATCH($H317,EAD_CIs!D:D,0)),"NO",
    IF(VLOOKUP($H317,EAD_CIs!D:N,MATCH("Status",EAD_CIs!D$2:N$2,0),0)="Done","No",VLOOKUP($H317,EAD_CIs!D:N,MATCH("Related",EAD_CIs!D$2:N$2,0),0) ))</f>
        <v>NO</v>
      </c>
      <c r="B317" s="203">
        <v>345773</v>
      </c>
      <c r="C317" s="34" t="s">
        <v>402</v>
      </c>
      <c r="D317" s="34" t="s">
        <v>167</v>
      </c>
      <c r="E317" s="34" t="s">
        <v>165</v>
      </c>
      <c r="F317" s="34" t="s">
        <v>1089</v>
      </c>
      <c r="G317" s="34" t="s">
        <v>173</v>
      </c>
      <c r="H317" s="34" t="s">
        <v>372</v>
      </c>
      <c r="I317" s="34" t="s">
        <v>36</v>
      </c>
      <c r="J317" s="34" t="s">
        <v>1429</v>
      </c>
      <c r="K317" s="34" t="s">
        <v>1421</v>
      </c>
      <c r="L317" s="34" t="s">
        <v>554</v>
      </c>
      <c r="N317" s="95"/>
      <c r="O317" s="95"/>
    </row>
    <row r="318" spans="1:15" ht="14.4" customHeight="1" x14ac:dyDescent="0.3">
      <c r="A318" s="163" t="str">
        <f>IF(ISERROR(MATCH($H318,EAD_CIs!D:D,0)),"NO",
    IF(VLOOKUP($H318,EAD_CIs!D:N,MATCH("Status",EAD_CIs!D$2:N$2,0),0)="Done","No",VLOOKUP($H318,EAD_CIs!D:N,MATCH("Related",EAD_CIs!D$2:N$2,0),0) ))</f>
        <v>NO</v>
      </c>
      <c r="B318" s="203">
        <v>345772</v>
      </c>
      <c r="C318" s="34" t="s">
        <v>403</v>
      </c>
      <c r="D318" s="34" t="s">
        <v>167</v>
      </c>
      <c r="E318" s="34" t="s">
        <v>165</v>
      </c>
      <c r="F318" s="34" t="s">
        <v>2220</v>
      </c>
      <c r="G318" s="34" t="s">
        <v>173</v>
      </c>
      <c r="H318" s="34" t="s">
        <v>372</v>
      </c>
      <c r="I318" s="34" t="s">
        <v>36</v>
      </c>
      <c r="J318" s="34" t="s">
        <v>1429</v>
      </c>
      <c r="K318" s="34" t="s">
        <v>1434</v>
      </c>
      <c r="L318" s="34" t="s">
        <v>554</v>
      </c>
      <c r="N318" s="95"/>
      <c r="O318" s="95"/>
    </row>
    <row r="319" spans="1:15" ht="14.4" customHeight="1" x14ac:dyDescent="0.3">
      <c r="A319" s="163" t="str">
        <f>IF(ISERROR(MATCH($H319,EAD_CIs!D:D,0)),"NO",
    IF(VLOOKUP($H319,EAD_CIs!D:N,MATCH("Status",EAD_CIs!D$2:N$2,0),0)="Done","No",VLOOKUP($H319,EAD_CIs!D:N,MATCH("Related",EAD_CIs!D$2:N$2,0),0) ))</f>
        <v>NO</v>
      </c>
      <c r="B319" s="203">
        <v>345771</v>
      </c>
      <c r="C319" s="34" t="s">
        <v>404</v>
      </c>
      <c r="D319" s="34" t="s">
        <v>167</v>
      </c>
      <c r="E319" s="34" t="s">
        <v>165</v>
      </c>
      <c r="F319" s="34" t="s">
        <v>1088</v>
      </c>
      <c r="G319" s="34" t="s">
        <v>1009</v>
      </c>
      <c r="H319" s="34" t="s">
        <v>372</v>
      </c>
      <c r="I319" s="34" t="s">
        <v>36</v>
      </c>
      <c r="J319" s="34" t="s">
        <v>1429</v>
      </c>
      <c r="K319" s="34" t="s">
        <v>1421</v>
      </c>
      <c r="L319" s="34" t="s">
        <v>554</v>
      </c>
      <c r="N319" s="95"/>
      <c r="O319" s="95"/>
    </row>
    <row r="320" spans="1:15" ht="14.4" customHeight="1" x14ac:dyDescent="0.3">
      <c r="A320" s="163" t="str">
        <f>IF(ISERROR(MATCH($H320,EAD_CIs!D:D,0)),"NO",
    IF(VLOOKUP($H320,EAD_CIs!D:N,MATCH("Status",EAD_CIs!D$2:N$2,0),0)="Done","No",VLOOKUP($H320,EAD_CIs!D:N,MATCH("Related",EAD_CIs!D$2:N$2,0),0) ))</f>
        <v>NO</v>
      </c>
      <c r="B320" s="203">
        <v>345770</v>
      </c>
      <c r="C320" s="34" t="s">
        <v>405</v>
      </c>
      <c r="D320" s="34" t="s">
        <v>167</v>
      </c>
      <c r="E320" s="34" t="s">
        <v>165</v>
      </c>
      <c r="F320" s="34" t="s">
        <v>2221</v>
      </c>
      <c r="G320" s="34" t="s">
        <v>173</v>
      </c>
      <c r="H320" s="34" t="s">
        <v>372</v>
      </c>
      <c r="I320" s="34" t="s">
        <v>36</v>
      </c>
      <c r="J320" s="34" t="s">
        <v>1429</v>
      </c>
      <c r="K320" s="34" t="s">
        <v>1421</v>
      </c>
      <c r="L320" s="34" t="s">
        <v>554</v>
      </c>
      <c r="N320" s="95"/>
      <c r="O320" s="95"/>
    </row>
    <row r="321" spans="1:15" ht="14.4" customHeight="1" x14ac:dyDescent="0.3">
      <c r="A321" s="163" t="str">
        <f>IF(ISERROR(MATCH($H321,EAD_CIs!D:D,0)),"NO",
    IF(VLOOKUP($H321,EAD_CIs!D:N,MATCH("Status",EAD_CIs!D$2:N$2,0),0)="Done","No",VLOOKUP($H321,EAD_CIs!D:N,MATCH("Related",EAD_CIs!D$2:N$2,0),0) ))</f>
        <v>NO</v>
      </c>
      <c r="B321" s="203">
        <v>345769</v>
      </c>
      <c r="C321" s="34" t="s">
        <v>406</v>
      </c>
      <c r="D321" s="34" t="s">
        <v>167</v>
      </c>
      <c r="E321" s="34" t="s">
        <v>165</v>
      </c>
      <c r="F321" s="34" t="s">
        <v>1087</v>
      </c>
      <c r="G321" s="34" t="s">
        <v>173</v>
      </c>
      <c r="H321" s="34" t="s">
        <v>372</v>
      </c>
      <c r="I321" s="34" t="s">
        <v>36</v>
      </c>
      <c r="J321" s="34" t="s">
        <v>1429</v>
      </c>
      <c r="K321" s="34" t="s">
        <v>1434</v>
      </c>
      <c r="L321" s="34" t="s">
        <v>554</v>
      </c>
      <c r="N321" s="95"/>
      <c r="O321" s="95"/>
    </row>
    <row r="322" spans="1:15" ht="14.4" customHeight="1" x14ac:dyDescent="0.3">
      <c r="A322" s="163" t="str">
        <f>IF(ISERROR(MATCH($H322,EAD_CIs!D:D,0)),"NO",
    IF(VLOOKUP($H322,EAD_CIs!D:N,MATCH("Status",EAD_CIs!D$2:N$2,0),0)="Done","No",VLOOKUP($H322,EAD_CIs!D:N,MATCH("Related",EAD_CIs!D$2:N$2,0),0) ))</f>
        <v>NO</v>
      </c>
      <c r="B322" s="203">
        <v>345767</v>
      </c>
      <c r="C322" s="34" t="s">
        <v>407</v>
      </c>
      <c r="D322" s="34" t="s">
        <v>167</v>
      </c>
      <c r="E322" s="34" t="s">
        <v>165</v>
      </c>
      <c r="F322" s="34" t="s">
        <v>1086</v>
      </c>
      <c r="G322" s="34" t="s">
        <v>173</v>
      </c>
      <c r="H322" s="34" t="s">
        <v>372</v>
      </c>
      <c r="I322" s="34" t="s">
        <v>36</v>
      </c>
      <c r="J322" s="34" t="s">
        <v>1429</v>
      </c>
      <c r="K322" s="34" t="s">
        <v>1421</v>
      </c>
      <c r="L322" s="34" t="s">
        <v>554</v>
      </c>
      <c r="N322" s="95"/>
      <c r="O322" s="95"/>
    </row>
    <row r="323" spans="1:15" ht="14.4" customHeight="1" x14ac:dyDescent="0.3">
      <c r="A323" s="163" t="str">
        <f>IF(ISERROR(MATCH($H323,EAD_CIs!D:D,0)),"NO",
    IF(VLOOKUP($H323,EAD_CIs!D:N,MATCH("Status",EAD_CIs!D$2:N$2,0),0)="Done","No",VLOOKUP($H323,EAD_CIs!D:N,MATCH("Related",EAD_CIs!D$2:N$2,0),0) ))</f>
        <v>NO</v>
      </c>
      <c r="B323" s="203">
        <v>345763</v>
      </c>
      <c r="C323" s="34" t="s">
        <v>408</v>
      </c>
      <c r="D323" s="34" t="s">
        <v>167</v>
      </c>
      <c r="E323" s="34" t="s">
        <v>28</v>
      </c>
      <c r="F323" s="34" t="s">
        <v>1312</v>
      </c>
      <c r="G323" s="34" t="s">
        <v>1009</v>
      </c>
      <c r="H323" s="34" t="s">
        <v>372</v>
      </c>
      <c r="I323" s="34" t="s">
        <v>36</v>
      </c>
      <c r="J323" s="34" t="s">
        <v>1429</v>
      </c>
      <c r="K323" s="34" t="s">
        <v>1421</v>
      </c>
      <c r="L323" s="34" t="s">
        <v>554</v>
      </c>
      <c r="N323" s="95"/>
      <c r="O323" s="95"/>
    </row>
    <row r="324" spans="1:15" ht="14.4" customHeight="1" x14ac:dyDescent="0.3">
      <c r="A324" s="163" t="str">
        <f>IF(ISERROR(MATCH($H324,EAD_CIs!D:D,0)),"NO",
    IF(VLOOKUP($H324,EAD_CIs!D:N,MATCH("Status",EAD_CIs!D$2:N$2,0),0)="Done","No",VLOOKUP($H324,EAD_CIs!D:N,MATCH("Related",EAD_CIs!D$2:N$2,0),0) ))</f>
        <v>NO</v>
      </c>
      <c r="B324" s="203">
        <v>345762</v>
      </c>
      <c r="C324" s="34" t="s">
        <v>409</v>
      </c>
      <c r="D324" s="34" t="s">
        <v>167</v>
      </c>
      <c r="E324" s="34" t="s">
        <v>165</v>
      </c>
      <c r="F324" s="34" t="s">
        <v>1085</v>
      </c>
      <c r="G324" s="34" t="s">
        <v>173</v>
      </c>
      <c r="H324" s="34" t="s">
        <v>372</v>
      </c>
      <c r="I324" s="34" t="s">
        <v>36</v>
      </c>
      <c r="J324" s="34" t="s">
        <v>1429</v>
      </c>
      <c r="K324" s="34" t="s">
        <v>1434</v>
      </c>
      <c r="L324" s="34" t="s">
        <v>554</v>
      </c>
      <c r="N324" s="95"/>
      <c r="O324" s="95"/>
    </row>
    <row r="325" spans="1:15" ht="14.4" customHeight="1" x14ac:dyDescent="0.3">
      <c r="A325" s="163" t="str">
        <f>IF(ISERROR(MATCH($H325,EAD_CIs!D:D,0)),"NO",
    IF(VLOOKUP($H325,EAD_CIs!D:N,MATCH("Status",EAD_CIs!D$2:N$2,0),0)="Done","No",VLOOKUP($H325,EAD_CIs!D:N,MATCH("Related",EAD_CIs!D$2:N$2,0),0) ))</f>
        <v>NO</v>
      </c>
      <c r="B325" s="203">
        <v>345761</v>
      </c>
      <c r="C325" s="34" t="s">
        <v>410</v>
      </c>
      <c r="D325" s="34" t="s">
        <v>167</v>
      </c>
      <c r="E325" s="34" t="s">
        <v>165</v>
      </c>
      <c r="F325" s="34" t="s">
        <v>1084</v>
      </c>
      <c r="G325" s="34" t="s">
        <v>173</v>
      </c>
      <c r="H325" s="34" t="s">
        <v>372</v>
      </c>
      <c r="I325" s="34" t="s">
        <v>36</v>
      </c>
      <c r="J325" s="34" t="s">
        <v>1429</v>
      </c>
      <c r="K325" s="34" t="s">
        <v>1421</v>
      </c>
      <c r="L325" s="34" t="s">
        <v>554</v>
      </c>
      <c r="N325" s="95"/>
      <c r="O325" s="95"/>
    </row>
    <row r="326" spans="1:15" ht="14.4" customHeight="1" x14ac:dyDescent="0.3">
      <c r="A326" s="163" t="str">
        <f>IF(ISERROR(MATCH($H326,EAD_CIs!D:D,0)),"NO",
    IF(VLOOKUP($H326,EAD_CIs!D:N,MATCH("Status",EAD_CIs!D$2:N$2,0),0)="Done","No",VLOOKUP($H326,EAD_CIs!D:N,MATCH("Related",EAD_CIs!D$2:N$2,0),0) ))</f>
        <v>NO</v>
      </c>
      <c r="B326" s="203">
        <v>345758</v>
      </c>
      <c r="C326" s="34" t="s">
        <v>411</v>
      </c>
      <c r="D326" s="34" t="s">
        <v>167</v>
      </c>
      <c r="E326" s="34" t="s">
        <v>165</v>
      </c>
      <c r="F326" s="34" t="s">
        <v>1311</v>
      </c>
      <c r="G326" s="34" t="s">
        <v>1009</v>
      </c>
      <c r="H326" s="34" t="s">
        <v>372</v>
      </c>
      <c r="I326" s="34" t="s">
        <v>36</v>
      </c>
      <c r="J326" s="34" t="s">
        <v>1429</v>
      </c>
      <c r="K326" s="34" t="s">
        <v>1421</v>
      </c>
      <c r="L326" s="34" t="s">
        <v>554</v>
      </c>
      <c r="N326" s="95"/>
      <c r="O326" s="95"/>
    </row>
    <row r="327" spans="1:15" ht="14.4" customHeight="1" x14ac:dyDescent="0.3">
      <c r="A327" s="163" t="str">
        <f>IF(ISERROR(MATCH($H327,EAD_CIs!D:D,0)),"NO",
    IF(VLOOKUP($H327,EAD_CIs!D:N,MATCH("Status",EAD_CIs!D$2:N$2,0),0)="Done","No",VLOOKUP($H327,EAD_CIs!D:N,MATCH("Related",EAD_CIs!D$2:N$2,0),0) ))</f>
        <v>NO</v>
      </c>
      <c r="B327" s="203">
        <v>345757</v>
      </c>
      <c r="C327" s="34" t="s">
        <v>412</v>
      </c>
      <c r="D327" s="34" t="s">
        <v>167</v>
      </c>
      <c r="E327" s="34" t="s">
        <v>165</v>
      </c>
      <c r="F327" s="34" t="s">
        <v>1083</v>
      </c>
      <c r="G327" s="34" t="s">
        <v>173</v>
      </c>
      <c r="H327" s="34" t="s">
        <v>372</v>
      </c>
      <c r="I327" s="34" t="s">
        <v>36</v>
      </c>
      <c r="J327" s="34" t="s">
        <v>1429</v>
      </c>
      <c r="K327" s="34" t="s">
        <v>1421</v>
      </c>
      <c r="L327" s="34" t="s">
        <v>554</v>
      </c>
      <c r="N327" s="95"/>
      <c r="O327" s="95"/>
    </row>
    <row r="328" spans="1:15" ht="14.4" customHeight="1" x14ac:dyDescent="0.3">
      <c r="A328" s="163" t="str">
        <f>IF(ISERROR(MATCH($H328,EAD_CIs!D:D,0)),"NO",
    IF(VLOOKUP($H328,EAD_CIs!D:N,MATCH("Status",EAD_CIs!D$2:N$2,0),0)="Done","No",VLOOKUP($H328,EAD_CIs!D:N,MATCH("Related",EAD_CIs!D$2:N$2,0),0) ))</f>
        <v>NO</v>
      </c>
      <c r="B328" s="203">
        <v>345755</v>
      </c>
      <c r="C328" s="34" t="s">
        <v>413</v>
      </c>
      <c r="D328" s="34" t="s">
        <v>167</v>
      </c>
      <c r="E328" s="34" t="s">
        <v>165</v>
      </c>
      <c r="F328" s="34" t="s">
        <v>1082</v>
      </c>
      <c r="G328" s="34" t="s">
        <v>173</v>
      </c>
      <c r="H328" s="34" t="s">
        <v>372</v>
      </c>
      <c r="I328" s="34" t="s">
        <v>36</v>
      </c>
      <c r="J328" s="34" t="s">
        <v>1429</v>
      </c>
      <c r="K328" s="34" t="s">
        <v>1433</v>
      </c>
      <c r="L328" s="34" t="s">
        <v>554</v>
      </c>
      <c r="N328" s="95"/>
      <c r="O328" s="95"/>
    </row>
    <row r="329" spans="1:15" ht="14.4" customHeight="1" x14ac:dyDescent="0.3">
      <c r="A329" s="163" t="str">
        <f>IF(ISERROR(MATCH($H329,EAD_CIs!D:D,0)),"NO",
    IF(VLOOKUP($H329,EAD_CIs!D:N,MATCH("Status",EAD_CIs!D$2:N$2,0),0)="Done","No",VLOOKUP($H329,EAD_CIs!D:N,MATCH("Related",EAD_CIs!D$2:N$2,0),0) ))</f>
        <v>NO</v>
      </c>
      <c r="B329" s="203">
        <v>345754</v>
      </c>
      <c r="C329" s="34" t="s">
        <v>414</v>
      </c>
      <c r="D329" s="34" t="s">
        <v>167</v>
      </c>
      <c r="E329" s="34" t="s">
        <v>165</v>
      </c>
      <c r="F329" s="34" t="s">
        <v>1081</v>
      </c>
      <c r="G329" s="34" t="s">
        <v>173</v>
      </c>
      <c r="H329" s="34" t="s">
        <v>372</v>
      </c>
      <c r="I329" s="34" t="s">
        <v>36</v>
      </c>
      <c r="J329" s="34" t="s">
        <v>1429</v>
      </c>
      <c r="K329" s="34" t="s">
        <v>1421</v>
      </c>
      <c r="L329" s="34" t="s">
        <v>554</v>
      </c>
      <c r="N329" s="95"/>
      <c r="O329" s="95"/>
    </row>
    <row r="330" spans="1:15" ht="14.4" customHeight="1" x14ac:dyDescent="0.3">
      <c r="A330" s="163" t="str">
        <f>IF(ISERROR(MATCH($H330,EAD_CIs!D:D,0)),"NO",
    IF(VLOOKUP($H330,EAD_CIs!D:N,MATCH("Status",EAD_CIs!D$2:N$2,0),0)="Done","No",VLOOKUP($H330,EAD_CIs!D:N,MATCH("Related",EAD_CIs!D$2:N$2,0),0) ))</f>
        <v>NO</v>
      </c>
      <c r="B330" s="203">
        <v>345749</v>
      </c>
      <c r="C330" s="34" t="s">
        <v>415</v>
      </c>
      <c r="D330" s="34" t="s">
        <v>167</v>
      </c>
      <c r="E330" s="34" t="s">
        <v>165</v>
      </c>
      <c r="F330" s="34" t="s">
        <v>1080</v>
      </c>
      <c r="G330" s="34" t="s">
        <v>173</v>
      </c>
      <c r="H330" s="34" t="s">
        <v>372</v>
      </c>
      <c r="I330" s="34" t="s">
        <v>36</v>
      </c>
      <c r="J330" s="34" t="s">
        <v>1429</v>
      </c>
      <c r="K330" s="34" t="s">
        <v>1421</v>
      </c>
      <c r="L330" s="34" t="s">
        <v>554</v>
      </c>
      <c r="N330" s="95"/>
      <c r="O330" s="95"/>
    </row>
    <row r="331" spans="1:15" ht="14.4" customHeight="1" x14ac:dyDescent="0.3">
      <c r="A331" s="163" t="str">
        <f>IF(ISERROR(MATCH($H331,EAD_CIs!D:D,0)),"NO",
    IF(VLOOKUP($H331,EAD_CIs!D:N,MATCH("Status",EAD_CIs!D$2:N$2,0),0)="Done","No",VLOOKUP($H331,EAD_CIs!D:N,MATCH("Related",EAD_CIs!D$2:N$2,0),0) ))</f>
        <v>NO</v>
      </c>
      <c r="B331" s="203">
        <v>345747</v>
      </c>
      <c r="C331" s="34" t="s">
        <v>416</v>
      </c>
      <c r="D331" s="34" t="s">
        <v>167</v>
      </c>
      <c r="E331" s="34" t="s">
        <v>165</v>
      </c>
      <c r="F331" s="34" t="s">
        <v>1079</v>
      </c>
      <c r="G331" s="34" t="s">
        <v>173</v>
      </c>
      <c r="H331" s="34" t="s">
        <v>372</v>
      </c>
      <c r="I331" s="34" t="s">
        <v>36</v>
      </c>
      <c r="J331" s="34" t="s">
        <v>1429</v>
      </c>
      <c r="K331" s="34" t="s">
        <v>1421</v>
      </c>
      <c r="L331" s="34" t="s">
        <v>554</v>
      </c>
      <c r="N331" s="95"/>
      <c r="O331" s="95"/>
    </row>
    <row r="332" spans="1:15" ht="14.4" customHeight="1" x14ac:dyDescent="0.3">
      <c r="A332" s="163" t="str">
        <f>IF(ISERROR(MATCH($H332,EAD_CIs!D:D,0)),"NO",
    IF(VLOOKUP($H332,EAD_CIs!D:N,MATCH("Status",EAD_CIs!D$2:N$2,0),0)="Done","No",VLOOKUP($H332,EAD_CIs!D:N,MATCH("Related",EAD_CIs!D$2:N$2,0),0) ))</f>
        <v>NO</v>
      </c>
      <c r="B332" s="203">
        <v>345745</v>
      </c>
      <c r="C332" s="34" t="s">
        <v>417</v>
      </c>
      <c r="D332" s="34" t="s">
        <v>167</v>
      </c>
      <c r="E332" s="34" t="s">
        <v>165</v>
      </c>
      <c r="F332" s="34" t="s">
        <v>1078</v>
      </c>
      <c r="G332" s="34" t="s">
        <v>173</v>
      </c>
      <c r="H332" s="34" t="s">
        <v>372</v>
      </c>
      <c r="I332" s="34" t="s">
        <v>36</v>
      </c>
      <c r="J332" s="34" t="s">
        <v>1429</v>
      </c>
      <c r="K332" s="34" t="s">
        <v>1434</v>
      </c>
      <c r="L332" s="34" t="s">
        <v>554</v>
      </c>
      <c r="N332" s="95"/>
      <c r="O332" s="95"/>
    </row>
    <row r="333" spans="1:15" ht="14.4" customHeight="1" x14ac:dyDescent="0.3">
      <c r="A333" s="163" t="str">
        <f>IF(ISERROR(MATCH($H333,EAD_CIs!D:D,0)),"NO",
    IF(VLOOKUP($H333,EAD_CIs!D:N,MATCH("Status",EAD_CIs!D$2:N$2,0),0)="Done","No",VLOOKUP($H333,EAD_CIs!D:N,MATCH("Related",EAD_CIs!D$2:N$2,0),0) ))</f>
        <v>NO</v>
      </c>
      <c r="B333" s="203">
        <v>345744</v>
      </c>
      <c r="C333" s="34" t="s">
        <v>418</v>
      </c>
      <c r="D333" s="34" t="s">
        <v>167</v>
      </c>
      <c r="E333" s="34" t="s">
        <v>165</v>
      </c>
      <c r="F333" s="34" t="s">
        <v>1120</v>
      </c>
      <c r="G333" s="34" t="s">
        <v>173</v>
      </c>
      <c r="H333" s="34" t="s">
        <v>372</v>
      </c>
      <c r="I333" s="34" t="s">
        <v>36</v>
      </c>
      <c r="J333" s="34" t="s">
        <v>1429</v>
      </c>
      <c r="K333" s="34" t="s">
        <v>1421</v>
      </c>
      <c r="L333" s="34" t="s">
        <v>554</v>
      </c>
      <c r="N333" s="95"/>
      <c r="O333" s="95"/>
    </row>
    <row r="334" spans="1:15" ht="14.4" customHeight="1" x14ac:dyDescent="0.3">
      <c r="A334" s="163" t="str">
        <f>IF(ISERROR(MATCH($H334,EAD_CIs!D:D,0)),"NO",
    IF(VLOOKUP($H334,EAD_CIs!D:N,MATCH("Status",EAD_CIs!D$2:N$2,0),0)="Done","No",VLOOKUP($H334,EAD_CIs!D:N,MATCH("Related",EAD_CIs!D$2:N$2,0),0) ))</f>
        <v>NO</v>
      </c>
      <c r="B334" s="203">
        <v>345742</v>
      </c>
      <c r="C334" s="34" t="s">
        <v>419</v>
      </c>
      <c r="D334" s="34" t="s">
        <v>167</v>
      </c>
      <c r="E334" s="34" t="s">
        <v>165</v>
      </c>
      <c r="F334" s="34" t="s">
        <v>2222</v>
      </c>
      <c r="G334" s="34" t="s">
        <v>173</v>
      </c>
      <c r="H334" s="34" t="s">
        <v>372</v>
      </c>
      <c r="I334" s="34" t="s">
        <v>36</v>
      </c>
      <c r="J334" s="34" t="s">
        <v>1429</v>
      </c>
      <c r="K334" s="34" t="s">
        <v>1434</v>
      </c>
      <c r="L334" s="34" t="s">
        <v>554</v>
      </c>
      <c r="N334" s="95"/>
      <c r="O334" s="95"/>
    </row>
    <row r="335" spans="1:15" ht="14.4" customHeight="1" x14ac:dyDescent="0.3">
      <c r="A335" s="163" t="str">
        <f>IF(ISERROR(MATCH($H335,EAD_CIs!D:D,0)),"NO",
    IF(VLOOKUP($H335,EAD_CIs!D:N,MATCH("Status",EAD_CIs!D$2:N$2,0),0)="Done","No",VLOOKUP($H335,EAD_CIs!D:N,MATCH("Related",EAD_CIs!D$2:N$2,0),0) ))</f>
        <v>NO</v>
      </c>
      <c r="B335" s="203">
        <v>345739</v>
      </c>
      <c r="C335" s="34" t="s">
        <v>420</v>
      </c>
      <c r="D335" s="34" t="s">
        <v>167</v>
      </c>
      <c r="E335" s="34" t="s">
        <v>28</v>
      </c>
      <c r="F335" s="34" t="s">
        <v>1077</v>
      </c>
      <c r="G335" s="34" t="s">
        <v>1009</v>
      </c>
      <c r="H335" s="34" t="s">
        <v>372</v>
      </c>
      <c r="I335" s="34" t="s">
        <v>36</v>
      </c>
      <c r="J335" s="34" t="s">
        <v>1429</v>
      </c>
      <c r="K335" s="34" t="s">
        <v>1421</v>
      </c>
      <c r="L335" s="34" t="s">
        <v>554</v>
      </c>
      <c r="N335" s="95"/>
      <c r="O335" s="95"/>
    </row>
    <row r="336" spans="1:15" ht="14.4" customHeight="1" x14ac:dyDescent="0.3">
      <c r="A336" s="163" t="str">
        <f>IF(ISERROR(MATCH($H336,EAD_CIs!D:D,0)),"NO",
    IF(VLOOKUP($H336,EAD_CIs!D:N,MATCH("Status",EAD_CIs!D$2:N$2,0),0)="Done","No",VLOOKUP($H336,EAD_CIs!D:N,MATCH("Related",EAD_CIs!D$2:N$2,0),0) ))</f>
        <v>NO</v>
      </c>
      <c r="B336" s="203">
        <v>345738</v>
      </c>
      <c r="C336" s="34" t="s">
        <v>421</v>
      </c>
      <c r="D336" s="34" t="s">
        <v>167</v>
      </c>
      <c r="E336" s="34" t="s">
        <v>165</v>
      </c>
      <c r="F336" s="34" t="s">
        <v>1076</v>
      </c>
      <c r="G336" s="34" t="s">
        <v>173</v>
      </c>
      <c r="H336" s="34" t="s">
        <v>372</v>
      </c>
      <c r="I336" s="34" t="s">
        <v>36</v>
      </c>
      <c r="J336" s="34" t="s">
        <v>1429</v>
      </c>
      <c r="K336" s="34" t="s">
        <v>1421</v>
      </c>
      <c r="L336" s="34" t="s">
        <v>554</v>
      </c>
      <c r="N336" s="95"/>
      <c r="O336" s="95"/>
    </row>
    <row r="337" spans="1:15" ht="14.4" customHeight="1" x14ac:dyDescent="0.3">
      <c r="A337" s="163" t="str">
        <f>IF(ISERROR(MATCH($H337,EAD_CIs!D:D,0)),"NO",
    IF(VLOOKUP($H337,EAD_CIs!D:N,MATCH("Status",EAD_CIs!D$2:N$2,0),0)="Done","No",VLOOKUP($H337,EAD_CIs!D:N,MATCH("Related",EAD_CIs!D$2:N$2,0),0) ))</f>
        <v>NO</v>
      </c>
      <c r="B337" s="203">
        <v>345735</v>
      </c>
      <c r="C337" s="34" t="s">
        <v>422</v>
      </c>
      <c r="D337" s="34" t="s">
        <v>167</v>
      </c>
      <c r="E337" s="34" t="s">
        <v>165</v>
      </c>
      <c r="F337" s="34" t="s">
        <v>1075</v>
      </c>
      <c r="G337" s="34" t="s">
        <v>173</v>
      </c>
      <c r="H337" s="34" t="s">
        <v>372</v>
      </c>
      <c r="I337" s="34" t="s">
        <v>36</v>
      </c>
      <c r="J337" s="34" t="s">
        <v>1429</v>
      </c>
      <c r="K337" s="34" t="s">
        <v>1434</v>
      </c>
      <c r="L337" s="34" t="s">
        <v>554</v>
      </c>
      <c r="N337" s="95"/>
      <c r="O337" s="95"/>
    </row>
    <row r="338" spans="1:15" ht="14.4" customHeight="1" x14ac:dyDescent="0.3">
      <c r="A338" s="163" t="str">
        <f>IF(ISERROR(MATCH($H338,EAD_CIs!D:D,0)),"NO",
    IF(VLOOKUP($H338,EAD_CIs!D:N,MATCH("Status",EAD_CIs!D$2:N$2,0),0)="Done","No",VLOOKUP($H338,EAD_CIs!D:N,MATCH("Related",EAD_CIs!D$2:N$2,0),0) ))</f>
        <v>NO</v>
      </c>
      <c r="B338" s="203">
        <v>345734</v>
      </c>
      <c r="C338" s="34" t="s">
        <v>423</v>
      </c>
      <c r="D338" s="34" t="s">
        <v>167</v>
      </c>
      <c r="E338" s="34" t="s">
        <v>165</v>
      </c>
      <c r="F338" s="34" t="s">
        <v>1074</v>
      </c>
      <c r="G338" s="34" t="s">
        <v>173</v>
      </c>
      <c r="H338" s="34" t="s">
        <v>372</v>
      </c>
      <c r="I338" s="34" t="s">
        <v>36</v>
      </c>
      <c r="J338" s="34" t="s">
        <v>1429</v>
      </c>
      <c r="K338" s="34" t="s">
        <v>1421</v>
      </c>
      <c r="L338" s="34" t="s">
        <v>554</v>
      </c>
      <c r="N338" s="95"/>
      <c r="O338" s="95"/>
    </row>
    <row r="339" spans="1:15" ht="14.4" customHeight="1" x14ac:dyDescent="0.3">
      <c r="A339" s="163" t="str">
        <f>IF(ISERROR(MATCH($H339,EAD_CIs!D:D,0)),"NO",
    IF(VLOOKUP($H339,EAD_CIs!D:N,MATCH("Status",EAD_CIs!D$2:N$2,0),0)="Done","No",VLOOKUP($H339,EAD_CIs!D:N,MATCH("Related",EAD_CIs!D$2:N$2,0),0) ))</f>
        <v>NO</v>
      </c>
      <c r="B339" s="203">
        <v>345732</v>
      </c>
      <c r="C339" s="34" t="s">
        <v>424</v>
      </c>
      <c r="D339" s="34" t="s">
        <v>167</v>
      </c>
      <c r="E339" s="34" t="s">
        <v>165</v>
      </c>
      <c r="F339" s="34" t="s">
        <v>1073</v>
      </c>
      <c r="G339" s="34" t="s">
        <v>173</v>
      </c>
      <c r="H339" s="34" t="s">
        <v>372</v>
      </c>
      <c r="I339" s="34" t="s">
        <v>36</v>
      </c>
      <c r="J339" s="34" t="s">
        <v>1429</v>
      </c>
      <c r="K339" s="34" t="s">
        <v>1434</v>
      </c>
      <c r="L339" s="34" t="s">
        <v>554</v>
      </c>
      <c r="N339" s="95"/>
      <c r="O339" s="95"/>
    </row>
    <row r="340" spans="1:15" ht="14.4" customHeight="1" x14ac:dyDescent="0.3">
      <c r="A340" s="163" t="str">
        <f>IF(ISERROR(MATCH($H340,EAD_CIs!D:D,0)),"NO",
    IF(VLOOKUP($H340,EAD_CIs!D:N,MATCH("Status",EAD_CIs!D$2:N$2,0),0)="Done","No",VLOOKUP($H340,EAD_CIs!D:N,MATCH("Related",EAD_CIs!D$2:N$2,0),0) ))</f>
        <v>NO</v>
      </c>
      <c r="B340" s="203">
        <v>345731</v>
      </c>
      <c r="C340" s="34" t="s">
        <v>425</v>
      </c>
      <c r="D340" s="34" t="s">
        <v>167</v>
      </c>
      <c r="E340" s="34" t="s">
        <v>165</v>
      </c>
      <c r="F340" s="34" t="s">
        <v>1072</v>
      </c>
      <c r="G340" s="34" t="s">
        <v>173</v>
      </c>
      <c r="H340" s="34" t="s">
        <v>372</v>
      </c>
      <c r="I340" s="34" t="s">
        <v>36</v>
      </c>
      <c r="J340" s="34" t="s">
        <v>1429</v>
      </c>
      <c r="K340" s="34" t="s">
        <v>1434</v>
      </c>
      <c r="L340" s="34" t="s">
        <v>554</v>
      </c>
      <c r="N340" s="95"/>
      <c r="O340" s="95"/>
    </row>
    <row r="341" spans="1:15" ht="14.4" customHeight="1" x14ac:dyDescent="0.3">
      <c r="A341" s="163" t="str">
        <f>IF(ISERROR(MATCH($H341,EAD_CIs!D:D,0)),"NO",
    IF(VLOOKUP($H341,EAD_CIs!D:N,MATCH("Status",EAD_CIs!D$2:N$2,0),0)="Done","No",VLOOKUP($H341,EAD_CIs!D:N,MATCH("Related",EAD_CIs!D$2:N$2,0),0) ))</f>
        <v>NO</v>
      </c>
      <c r="B341" s="203">
        <v>345730</v>
      </c>
      <c r="C341" s="34" t="s">
        <v>426</v>
      </c>
      <c r="D341" s="34" t="s">
        <v>167</v>
      </c>
      <c r="E341" s="34" t="s">
        <v>165</v>
      </c>
      <c r="F341" s="34" t="s">
        <v>1071</v>
      </c>
      <c r="G341" s="34" t="s">
        <v>173</v>
      </c>
      <c r="H341" s="34" t="s">
        <v>372</v>
      </c>
      <c r="I341" s="34" t="s">
        <v>36</v>
      </c>
      <c r="J341" s="34" t="s">
        <v>1429</v>
      </c>
      <c r="K341" s="34" t="s">
        <v>1434</v>
      </c>
      <c r="L341" s="34" t="s">
        <v>554</v>
      </c>
      <c r="N341" s="95"/>
      <c r="O341" s="95"/>
    </row>
    <row r="342" spans="1:15" ht="14.4" customHeight="1" x14ac:dyDescent="0.3">
      <c r="A342" s="163" t="str">
        <f>IF(ISERROR(MATCH($H342,EAD_CIs!D:D,0)),"NO",
    IF(VLOOKUP($H342,EAD_CIs!D:N,MATCH("Status",EAD_CIs!D$2:N$2,0),0)="Done","No",VLOOKUP($H342,EAD_CIs!D:N,MATCH("Related",EAD_CIs!D$2:N$2,0),0) ))</f>
        <v>NO</v>
      </c>
      <c r="B342" s="203">
        <v>345729</v>
      </c>
      <c r="C342" s="34" t="s">
        <v>427</v>
      </c>
      <c r="D342" s="34" t="s">
        <v>167</v>
      </c>
      <c r="E342" s="34" t="s">
        <v>165</v>
      </c>
      <c r="F342" s="34" t="s">
        <v>1070</v>
      </c>
      <c r="G342" s="34" t="s">
        <v>173</v>
      </c>
      <c r="H342" s="34" t="s">
        <v>372</v>
      </c>
      <c r="I342" s="34" t="s">
        <v>36</v>
      </c>
      <c r="J342" s="34" t="s">
        <v>1429</v>
      </c>
      <c r="K342" s="34" t="s">
        <v>1434</v>
      </c>
      <c r="L342" s="34" t="s">
        <v>554</v>
      </c>
      <c r="N342" s="95"/>
      <c r="O342" s="95"/>
    </row>
    <row r="343" spans="1:15" ht="14.4" customHeight="1" x14ac:dyDescent="0.3">
      <c r="A343" s="163" t="str">
        <f>IF(ISERROR(MATCH($H343,EAD_CIs!D:D,0)),"NO",
    IF(VLOOKUP($H343,EAD_CIs!D:N,MATCH("Status",EAD_CIs!D$2:N$2,0),0)="Done","No",VLOOKUP($H343,EAD_CIs!D:N,MATCH("Related",EAD_CIs!D$2:N$2,0),0) ))</f>
        <v>NO</v>
      </c>
      <c r="B343" s="203">
        <v>345728</v>
      </c>
      <c r="C343" s="34" t="s">
        <v>428</v>
      </c>
      <c r="D343" s="34" t="s">
        <v>167</v>
      </c>
      <c r="E343" s="34" t="s">
        <v>165</v>
      </c>
      <c r="F343" s="34" t="s">
        <v>1069</v>
      </c>
      <c r="G343" s="34" t="s">
        <v>173</v>
      </c>
      <c r="H343" s="34" t="s">
        <v>372</v>
      </c>
      <c r="I343" s="34" t="s">
        <v>36</v>
      </c>
      <c r="J343" s="34" t="s">
        <v>1429</v>
      </c>
      <c r="K343" s="34" t="s">
        <v>1434</v>
      </c>
      <c r="L343" s="34" t="s">
        <v>554</v>
      </c>
      <c r="N343" s="95"/>
      <c r="O343" s="95"/>
    </row>
    <row r="344" spans="1:15" ht="14.4" customHeight="1" x14ac:dyDescent="0.3">
      <c r="A344" s="163" t="str">
        <f>IF(ISERROR(MATCH($H344,EAD_CIs!D:D,0)),"NO",
    IF(VLOOKUP($H344,EAD_CIs!D:N,MATCH("Status",EAD_CIs!D$2:N$2,0),0)="Done","No",VLOOKUP($H344,EAD_CIs!D:N,MATCH("Related",EAD_CIs!D$2:N$2,0),0) ))</f>
        <v>NO</v>
      </c>
      <c r="B344" s="203">
        <v>345726</v>
      </c>
      <c r="C344" s="34" t="s">
        <v>429</v>
      </c>
      <c r="D344" s="34" t="s">
        <v>167</v>
      </c>
      <c r="E344" s="34" t="s">
        <v>165</v>
      </c>
      <c r="F344" s="34" t="s">
        <v>2223</v>
      </c>
      <c r="G344" s="34" t="s">
        <v>173</v>
      </c>
      <c r="H344" s="34" t="s">
        <v>372</v>
      </c>
      <c r="I344" s="34" t="s">
        <v>36</v>
      </c>
      <c r="J344" s="34" t="s">
        <v>1429</v>
      </c>
      <c r="K344" s="34" t="s">
        <v>1434</v>
      </c>
      <c r="L344" s="34" t="s">
        <v>554</v>
      </c>
      <c r="N344" s="95"/>
      <c r="O344" s="95"/>
    </row>
    <row r="345" spans="1:15" ht="14.4" customHeight="1" x14ac:dyDescent="0.3">
      <c r="A345" s="163" t="str">
        <f>IF(ISERROR(MATCH($H345,EAD_CIs!D:D,0)),"NO",
    IF(VLOOKUP($H345,EAD_CIs!D:N,MATCH("Status",EAD_CIs!D$2:N$2,0),0)="Done","No",VLOOKUP($H345,EAD_CIs!D:N,MATCH("Related",EAD_CIs!D$2:N$2,0),0) ))</f>
        <v>NO</v>
      </c>
      <c r="B345" s="203">
        <v>345723</v>
      </c>
      <c r="C345" s="34" t="s">
        <v>381</v>
      </c>
      <c r="D345" s="34" t="s">
        <v>167</v>
      </c>
      <c r="E345" s="34" t="s">
        <v>165</v>
      </c>
      <c r="F345" s="34" t="s">
        <v>1068</v>
      </c>
      <c r="G345" s="34" t="s">
        <v>173</v>
      </c>
      <c r="H345" s="34" t="s">
        <v>372</v>
      </c>
      <c r="I345" s="34" t="s">
        <v>36</v>
      </c>
      <c r="J345" s="34" t="s">
        <v>1429</v>
      </c>
      <c r="K345" s="34" t="s">
        <v>1434</v>
      </c>
      <c r="L345" s="34" t="s">
        <v>554</v>
      </c>
      <c r="N345" s="95"/>
      <c r="O345" s="95"/>
    </row>
    <row r="346" spans="1:15" ht="14.4" customHeight="1" x14ac:dyDescent="0.3">
      <c r="A346" s="163" t="str">
        <f>IF(ISERROR(MATCH($H346,EAD_CIs!D:D,0)),"NO",
    IF(VLOOKUP($H346,EAD_CIs!D:N,MATCH("Status",EAD_CIs!D$2:N$2,0),0)="Done","No",VLOOKUP($H346,EAD_CIs!D:N,MATCH("Related",EAD_CIs!D$2:N$2,0),0) ))</f>
        <v>NO</v>
      </c>
      <c r="B346" s="203">
        <v>345716</v>
      </c>
      <c r="C346" s="34" t="s">
        <v>430</v>
      </c>
      <c r="D346" s="34" t="s">
        <v>167</v>
      </c>
      <c r="E346" s="34" t="s">
        <v>165</v>
      </c>
      <c r="F346" s="34" t="s">
        <v>1067</v>
      </c>
      <c r="G346" s="34" t="s">
        <v>173</v>
      </c>
      <c r="H346" s="34" t="s">
        <v>372</v>
      </c>
      <c r="I346" s="34" t="s">
        <v>36</v>
      </c>
      <c r="J346" s="34" t="s">
        <v>1429</v>
      </c>
      <c r="K346" s="34" t="s">
        <v>1434</v>
      </c>
      <c r="L346" s="34" t="s">
        <v>554</v>
      </c>
      <c r="N346" s="95"/>
      <c r="O346" s="95"/>
    </row>
    <row r="347" spans="1:15" ht="14.4" customHeight="1" x14ac:dyDescent="0.3">
      <c r="A347" s="163" t="str">
        <f>IF(ISERROR(MATCH($H347,EAD_CIs!D:D,0)),"NO",
    IF(VLOOKUP($H347,EAD_CIs!D:N,MATCH("Status",EAD_CIs!D$2:N$2,0),0)="Done","No",VLOOKUP($H347,EAD_CIs!D:N,MATCH("Related",EAD_CIs!D$2:N$2,0),0) ))</f>
        <v>NO</v>
      </c>
      <c r="B347" s="203">
        <v>345714</v>
      </c>
      <c r="C347" s="34" t="s">
        <v>431</v>
      </c>
      <c r="D347" s="34" t="s">
        <v>167</v>
      </c>
      <c r="E347" s="34" t="s">
        <v>165</v>
      </c>
      <c r="F347" s="34" t="s">
        <v>2224</v>
      </c>
      <c r="G347" s="34" t="s">
        <v>173</v>
      </c>
      <c r="H347" s="34" t="s">
        <v>372</v>
      </c>
      <c r="I347" s="34" t="s">
        <v>36</v>
      </c>
      <c r="J347" s="34" t="s">
        <v>1429</v>
      </c>
      <c r="K347" s="34" t="s">
        <v>1421</v>
      </c>
      <c r="L347" s="34" t="s">
        <v>554</v>
      </c>
      <c r="N347" s="95"/>
      <c r="O347" s="95"/>
    </row>
    <row r="348" spans="1:15" ht="14.4" customHeight="1" x14ac:dyDescent="0.3">
      <c r="A348" s="163" t="str">
        <f>IF(ISERROR(MATCH($H348,EAD_CIs!D:D,0)),"NO",
    IF(VLOOKUP($H348,EAD_CIs!D:N,MATCH("Status",EAD_CIs!D$2:N$2,0),0)="Done","No",VLOOKUP($H348,EAD_CIs!D:N,MATCH("Related",EAD_CIs!D$2:N$2,0),0) ))</f>
        <v>NO</v>
      </c>
      <c r="B348" s="203">
        <v>345713</v>
      </c>
      <c r="C348" s="34" t="s">
        <v>432</v>
      </c>
      <c r="D348" s="34" t="s">
        <v>167</v>
      </c>
      <c r="E348" s="34" t="s">
        <v>165</v>
      </c>
      <c r="F348" s="34" t="s">
        <v>2225</v>
      </c>
      <c r="G348" s="34" t="s">
        <v>173</v>
      </c>
      <c r="H348" s="34" t="s">
        <v>372</v>
      </c>
      <c r="I348" s="34" t="s">
        <v>36</v>
      </c>
      <c r="J348" s="34" t="s">
        <v>1429</v>
      </c>
      <c r="K348" s="34" t="s">
        <v>1434</v>
      </c>
      <c r="L348" s="34" t="s">
        <v>554</v>
      </c>
      <c r="N348" s="95"/>
      <c r="O348" s="95"/>
    </row>
    <row r="349" spans="1:15" ht="14.4" customHeight="1" x14ac:dyDescent="0.3">
      <c r="A349" s="163" t="str">
        <f>IF(ISERROR(MATCH($H349,EAD_CIs!D:D,0)),"NO",
    IF(VLOOKUP($H349,EAD_CIs!D:N,MATCH("Status",EAD_CIs!D$2:N$2,0),0)="Done","No",VLOOKUP($H349,EAD_CIs!D:N,MATCH("Related",EAD_CIs!D$2:N$2,0),0) ))</f>
        <v>NO</v>
      </c>
      <c r="B349" s="203">
        <v>345711</v>
      </c>
      <c r="C349" s="34" t="s">
        <v>433</v>
      </c>
      <c r="D349" s="34" t="s">
        <v>167</v>
      </c>
      <c r="E349" s="34" t="s">
        <v>165</v>
      </c>
      <c r="F349" s="34" t="s">
        <v>1066</v>
      </c>
      <c r="G349" s="34" t="s">
        <v>173</v>
      </c>
      <c r="H349" s="34" t="s">
        <v>372</v>
      </c>
      <c r="I349" s="34" t="s">
        <v>36</v>
      </c>
      <c r="J349" s="34" t="s">
        <v>1429</v>
      </c>
      <c r="K349" s="34" t="s">
        <v>1434</v>
      </c>
      <c r="L349" s="34" t="s">
        <v>554</v>
      </c>
      <c r="N349" s="95"/>
      <c r="O349" s="95"/>
    </row>
    <row r="350" spans="1:15" ht="14.4" customHeight="1" x14ac:dyDescent="0.3">
      <c r="A350" s="163" t="str">
        <f>IF(ISERROR(MATCH($H350,EAD_CIs!D:D,0)),"NO",
    IF(VLOOKUP($H350,EAD_CIs!D:N,MATCH("Status",EAD_CIs!D$2:N$2,0),0)="Done","No",VLOOKUP($H350,EAD_CIs!D:N,MATCH("Related",EAD_CIs!D$2:N$2,0),0) ))</f>
        <v>NO</v>
      </c>
      <c r="B350" s="203">
        <v>345701</v>
      </c>
      <c r="C350" s="34" t="s">
        <v>1851</v>
      </c>
      <c r="D350" s="34" t="s">
        <v>167</v>
      </c>
      <c r="E350" s="34" t="s">
        <v>165</v>
      </c>
      <c r="F350" s="34" t="s">
        <v>1852</v>
      </c>
      <c r="G350" s="34" t="s">
        <v>173</v>
      </c>
      <c r="H350" s="34" t="s">
        <v>372</v>
      </c>
      <c r="I350" s="34" t="s">
        <v>36</v>
      </c>
      <c r="J350" s="34" t="s">
        <v>1429</v>
      </c>
      <c r="K350" s="34" t="s">
        <v>1421</v>
      </c>
      <c r="L350" s="34" t="s">
        <v>554</v>
      </c>
      <c r="N350" s="95"/>
      <c r="O350" s="95"/>
    </row>
    <row r="351" spans="1:15" ht="14.4" customHeight="1" x14ac:dyDescent="0.3">
      <c r="A351" s="163" t="str">
        <f>IF(ISERROR(MATCH($H351,EAD_CIs!D:D,0)),"NO",
    IF(VLOOKUP($H351,EAD_CIs!D:N,MATCH("Status",EAD_CIs!D$2:N$2,0),0)="Done","No",VLOOKUP($H351,EAD_CIs!D:N,MATCH("Related",EAD_CIs!D$2:N$2,0),0) ))</f>
        <v>NO</v>
      </c>
      <c r="B351" s="203">
        <v>345699</v>
      </c>
      <c r="C351" s="34" t="s">
        <v>434</v>
      </c>
      <c r="D351" s="34" t="s">
        <v>167</v>
      </c>
      <c r="E351" s="34" t="s">
        <v>28</v>
      </c>
      <c r="F351" s="34" t="s">
        <v>1065</v>
      </c>
      <c r="G351" s="34" t="s">
        <v>1009</v>
      </c>
      <c r="H351" s="34" t="s">
        <v>372</v>
      </c>
      <c r="I351" s="34" t="s">
        <v>36</v>
      </c>
      <c r="J351" s="34" t="s">
        <v>1429</v>
      </c>
      <c r="K351" s="34" t="s">
        <v>1421</v>
      </c>
      <c r="L351" s="34" t="s">
        <v>554</v>
      </c>
      <c r="N351" s="95"/>
      <c r="O351" s="95"/>
    </row>
    <row r="352" spans="1:15" ht="14.4" customHeight="1" x14ac:dyDescent="0.3">
      <c r="A352" s="163" t="str">
        <f>IF(ISERROR(MATCH($H352,EAD_CIs!D:D,0)),"NO",
    IF(VLOOKUP($H352,EAD_CIs!D:N,MATCH("Status",EAD_CIs!D$2:N$2,0),0)="Done","No",VLOOKUP($H352,EAD_CIs!D:N,MATCH("Related",EAD_CIs!D$2:N$2,0),0) ))</f>
        <v>NO</v>
      </c>
      <c r="B352" s="203">
        <v>345698</v>
      </c>
      <c r="C352" s="34" t="s">
        <v>435</v>
      </c>
      <c r="D352" s="34" t="s">
        <v>167</v>
      </c>
      <c r="E352" s="34" t="s">
        <v>28</v>
      </c>
      <c r="F352" s="34" t="s">
        <v>1064</v>
      </c>
      <c r="G352" s="34" t="s">
        <v>1009</v>
      </c>
      <c r="H352" s="34" t="s">
        <v>372</v>
      </c>
      <c r="I352" s="34" t="s">
        <v>36</v>
      </c>
      <c r="J352" s="34" t="s">
        <v>1429</v>
      </c>
      <c r="K352" s="34" t="s">
        <v>1421</v>
      </c>
      <c r="L352" s="34" t="s">
        <v>554</v>
      </c>
      <c r="N352" s="95"/>
      <c r="O352" s="95"/>
    </row>
    <row r="353" spans="1:15" ht="14.4" customHeight="1" x14ac:dyDescent="0.3">
      <c r="A353" s="163" t="str">
        <f>IF(ISERROR(MATCH($H353,EAD_CIs!D:D,0)),"NO",
    IF(VLOOKUP($H353,EAD_CIs!D:N,MATCH("Status",EAD_CIs!D$2:N$2,0),0)="Done","No",VLOOKUP($H353,EAD_CIs!D:N,MATCH("Related",EAD_CIs!D$2:N$2,0),0) ))</f>
        <v>NO</v>
      </c>
      <c r="B353" s="203">
        <v>345697</v>
      </c>
      <c r="C353" s="34" t="s">
        <v>436</v>
      </c>
      <c r="D353" s="34" t="s">
        <v>167</v>
      </c>
      <c r="E353" s="34" t="s">
        <v>165</v>
      </c>
      <c r="F353" s="34" t="s">
        <v>1063</v>
      </c>
      <c r="G353" s="34" t="s">
        <v>1009</v>
      </c>
      <c r="H353" s="34" t="s">
        <v>372</v>
      </c>
      <c r="I353" s="34" t="s">
        <v>36</v>
      </c>
      <c r="J353" s="34" t="s">
        <v>1429</v>
      </c>
      <c r="K353" s="34" t="s">
        <v>1421</v>
      </c>
      <c r="L353" s="34" t="s">
        <v>554</v>
      </c>
      <c r="N353" s="95"/>
      <c r="O353" s="95"/>
    </row>
    <row r="354" spans="1:15" ht="14.4" customHeight="1" x14ac:dyDescent="0.3">
      <c r="A354" s="163" t="str">
        <f>IF(ISERROR(MATCH($H354,EAD_CIs!D:D,0)),"NO",
    IF(VLOOKUP($H354,EAD_CIs!D:N,MATCH("Status",EAD_CIs!D$2:N$2,0),0)="Done","No",VLOOKUP($H354,EAD_CIs!D:N,MATCH("Related",EAD_CIs!D$2:N$2,0),0) ))</f>
        <v>NO</v>
      </c>
      <c r="B354" s="203">
        <v>345696</v>
      </c>
      <c r="C354" s="34" t="s">
        <v>437</v>
      </c>
      <c r="D354" s="34" t="s">
        <v>167</v>
      </c>
      <c r="E354" s="34" t="s">
        <v>165</v>
      </c>
      <c r="F354" s="34" t="s">
        <v>1062</v>
      </c>
      <c r="G354" s="34" t="s">
        <v>173</v>
      </c>
      <c r="H354" s="34" t="s">
        <v>372</v>
      </c>
      <c r="I354" s="34" t="s">
        <v>36</v>
      </c>
      <c r="J354" s="34" t="s">
        <v>1429</v>
      </c>
      <c r="K354" s="34" t="s">
        <v>1421</v>
      </c>
      <c r="L354" s="34" t="s">
        <v>554</v>
      </c>
      <c r="N354" s="95"/>
      <c r="O354" s="95"/>
    </row>
    <row r="355" spans="1:15" ht="14.4" customHeight="1" x14ac:dyDescent="0.3">
      <c r="A355" s="163" t="str">
        <f>IF(ISERROR(MATCH($H355,EAD_CIs!D:D,0)),"NO",
    IF(VLOOKUP($H355,EAD_CIs!D:N,MATCH("Status",EAD_CIs!D$2:N$2,0),0)="Done","No",VLOOKUP($H355,EAD_CIs!D:N,MATCH("Related",EAD_CIs!D$2:N$2,0),0) ))</f>
        <v>NO</v>
      </c>
      <c r="B355" s="203">
        <v>345695</v>
      </c>
      <c r="C355" s="34" t="s">
        <v>438</v>
      </c>
      <c r="D355" s="34" t="s">
        <v>167</v>
      </c>
      <c r="E355" s="34" t="s">
        <v>165</v>
      </c>
      <c r="F355" s="34" t="s">
        <v>2226</v>
      </c>
      <c r="G355" s="34" t="s">
        <v>173</v>
      </c>
      <c r="H355" s="34" t="s">
        <v>372</v>
      </c>
      <c r="I355" s="34" t="s">
        <v>36</v>
      </c>
      <c r="J355" s="34" t="s">
        <v>1429</v>
      </c>
      <c r="K355" s="34" t="s">
        <v>1421</v>
      </c>
      <c r="L355" s="34" t="s">
        <v>554</v>
      </c>
      <c r="N355" s="95"/>
      <c r="O355" s="95"/>
    </row>
    <row r="356" spans="1:15" ht="14.4" customHeight="1" x14ac:dyDescent="0.3">
      <c r="A356" s="163" t="str">
        <f>IF(ISERROR(MATCH($H356,EAD_CIs!D:D,0)),"NO",
    IF(VLOOKUP($H356,EAD_CIs!D:N,MATCH("Status",EAD_CIs!D$2:N$2,0),0)="Done","No",VLOOKUP($H356,EAD_CIs!D:N,MATCH("Related",EAD_CIs!D$2:N$2,0),0) ))</f>
        <v>#1003390
#1014169</v>
      </c>
      <c r="B356" s="203">
        <v>345694</v>
      </c>
      <c r="C356" s="34" t="s">
        <v>439</v>
      </c>
      <c r="D356" s="34" t="s">
        <v>167</v>
      </c>
      <c r="E356" s="34" t="s">
        <v>165</v>
      </c>
      <c r="F356" s="34" t="s">
        <v>1310</v>
      </c>
      <c r="G356" s="34" t="s">
        <v>595</v>
      </c>
      <c r="H356" s="34" t="s">
        <v>206</v>
      </c>
      <c r="I356" s="34" t="s">
        <v>36</v>
      </c>
      <c r="J356" s="34" t="s">
        <v>1429</v>
      </c>
      <c r="K356" s="34" t="s">
        <v>1421</v>
      </c>
      <c r="L356" s="34" t="s">
        <v>554</v>
      </c>
      <c r="N356" s="95"/>
      <c r="O356" s="95"/>
    </row>
    <row r="357" spans="1:15" ht="14.4" customHeight="1" x14ac:dyDescent="0.3">
      <c r="A357" s="163" t="str">
        <f>IF(ISERROR(MATCH($H357,EAD_CIs!D:D,0)),"NO",
    IF(VLOOKUP($H357,EAD_CIs!D:N,MATCH("Status",EAD_CIs!D$2:N$2,0),0)="Done","No",VLOOKUP($H357,EAD_CIs!D:N,MATCH("Related",EAD_CIs!D$2:N$2,0),0) ))</f>
        <v>NO</v>
      </c>
      <c r="B357" s="203">
        <v>345690</v>
      </c>
      <c r="C357" s="34" t="s">
        <v>440</v>
      </c>
      <c r="D357" s="34" t="s">
        <v>167</v>
      </c>
      <c r="E357" s="34" t="s">
        <v>165</v>
      </c>
      <c r="F357" s="34" t="s">
        <v>1061</v>
      </c>
      <c r="G357" s="34" t="s">
        <v>173</v>
      </c>
      <c r="H357" s="34" t="s">
        <v>372</v>
      </c>
      <c r="I357" s="34" t="s">
        <v>36</v>
      </c>
      <c r="J357" s="34" t="s">
        <v>1429</v>
      </c>
      <c r="K357" s="34" t="s">
        <v>1421</v>
      </c>
      <c r="L357" s="34" t="s">
        <v>554</v>
      </c>
      <c r="N357" s="95"/>
      <c r="O357" s="95"/>
    </row>
    <row r="358" spans="1:15" ht="14.4" customHeight="1" x14ac:dyDescent="0.3">
      <c r="A358" s="163" t="str">
        <f>IF(ISERROR(MATCH($H358,EAD_CIs!D:D,0)),"NO",
    IF(VLOOKUP($H358,EAD_CIs!D:N,MATCH("Status",EAD_CIs!D$2:N$2,0),0)="Done","No",VLOOKUP($H358,EAD_CIs!D:N,MATCH("Related",EAD_CIs!D$2:N$2,0),0) ))</f>
        <v>NO</v>
      </c>
      <c r="B358" s="203">
        <v>345689</v>
      </c>
      <c r="C358" s="34" t="s">
        <v>441</v>
      </c>
      <c r="D358" s="34" t="s">
        <v>167</v>
      </c>
      <c r="E358" s="34" t="s">
        <v>165</v>
      </c>
      <c r="F358" s="34" t="s">
        <v>1060</v>
      </c>
      <c r="G358" s="34" t="s">
        <v>173</v>
      </c>
      <c r="H358" s="34" t="s">
        <v>372</v>
      </c>
      <c r="I358" s="34" t="s">
        <v>36</v>
      </c>
      <c r="J358" s="34" t="s">
        <v>1429</v>
      </c>
      <c r="K358" s="34" t="s">
        <v>1434</v>
      </c>
      <c r="L358" s="34" t="s">
        <v>554</v>
      </c>
      <c r="N358" s="95"/>
      <c r="O358" s="95"/>
    </row>
    <row r="359" spans="1:15" ht="14.4" customHeight="1" x14ac:dyDescent="0.3">
      <c r="A359" s="163" t="str">
        <f>IF(ISERROR(MATCH($H359,EAD_CIs!D:D,0)),"NO",
    IF(VLOOKUP($H359,EAD_CIs!D:N,MATCH("Status",EAD_CIs!D$2:N$2,0),0)="Done","No",VLOOKUP($H359,EAD_CIs!D:N,MATCH("Related",EAD_CIs!D$2:N$2,0),0) ))</f>
        <v>NO</v>
      </c>
      <c r="B359" s="203">
        <v>345688</v>
      </c>
      <c r="C359" s="34" t="s">
        <v>442</v>
      </c>
      <c r="D359" s="34" t="s">
        <v>167</v>
      </c>
      <c r="E359" s="34" t="s">
        <v>165</v>
      </c>
      <c r="F359" s="34" t="s">
        <v>1059</v>
      </c>
      <c r="G359" s="34" t="s">
        <v>173</v>
      </c>
      <c r="H359" s="34" t="s">
        <v>372</v>
      </c>
      <c r="I359" s="34" t="s">
        <v>36</v>
      </c>
      <c r="J359" s="34" t="s">
        <v>1429</v>
      </c>
      <c r="K359" s="34" t="s">
        <v>1434</v>
      </c>
      <c r="L359" s="34" t="s">
        <v>554</v>
      </c>
      <c r="N359" s="95"/>
      <c r="O359" s="95"/>
    </row>
    <row r="360" spans="1:15" ht="14.4" customHeight="1" x14ac:dyDescent="0.3">
      <c r="A360" s="163" t="str">
        <f>IF(ISERROR(MATCH($H360,EAD_CIs!D:D,0)),"NO",
    IF(VLOOKUP($H360,EAD_CIs!D:N,MATCH("Status",EAD_CIs!D$2:N$2,0),0)="Done","No",VLOOKUP($H360,EAD_CIs!D:N,MATCH("Related",EAD_CIs!D$2:N$2,0),0) ))</f>
        <v>NO</v>
      </c>
      <c r="B360" s="203">
        <v>345686</v>
      </c>
      <c r="C360" s="34" t="s">
        <v>444</v>
      </c>
      <c r="D360" s="34" t="s">
        <v>167</v>
      </c>
      <c r="E360" s="34" t="s">
        <v>165</v>
      </c>
      <c r="F360" s="34" t="s">
        <v>1058</v>
      </c>
      <c r="G360" s="34" t="s">
        <v>173</v>
      </c>
      <c r="H360" s="34" t="s">
        <v>372</v>
      </c>
      <c r="I360" s="34" t="s">
        <v>36</v>
      </c>
      <c r="J360" s="34" t="s">
        <v>1429</v>
      </c>
      <c r="K360" s="34" t="s">
        <v>1421</v>
      </c>
      <c r="L360" s="34" t="s">
        <v>554</v>
      </c>
      <c r="N360" s="95"/>
      <c r="O360" s="95"/>
    </row>
    <row r="361" spans="1:15" ht="14.4" customHeight="1" x14ac:dyDescent="0.3">
      <c r="A361" s="163" t="str">
        <f>IF(ISERROR(MATCH($H361,EAD_CIs!D:D,0)),"NO",
    IF(VLOOKUP($H361,EAD_CIs!D:N,MATCH("Status",EAD_CIs!D$2:N$2,0),0)="Done","No",VLOOKUP($H361,EAD_CIs!D:N,MATCH("Related",EAD_CIs!D$2:N$2,0),0) ))</f>
        <v>NO</v>
      </c>
      <c r="B361" s="203">
        <v>345685</v>
      </c>
      <c r="C361" s="34" t="s">
        <v>445</v>
      </c>
      <c r="D361" s="34" t="s">
        <v>167</v>
      </c>
      <c r="E361" s="34" t="s">
        <v>165</v>
      </c>
      <c r="F361" s="34" t="s">
        <v>1057</v>
      </c>
      <c r="G361" s="34" t="s">
        <v>173</v>
      </c>
      <c r="H361" s="34" t="s">
        <v>372</v>
      </c>
      <c r="I361" s="34" t="s">
        <v>36</v>
      </c>
      <c r="J361" s="34" t="s">
        <v>1429</v>
      </c>
      <c r="K361" s="34" t="s">
        <v>1434</v>
      </c>
      <c r="L361" s="34" t="s">
        <v>554</v>
      </c>
      <c r="N361" s="95"/>
      <c r="O361" s="95"/>
    </row>
    <row r="362" spans="1:15" ht="14.4" customHeight="1" x14ac:dyDescent="0.3">
      <c r="A362" s="163" t="str">
        <f>IF(ISERROR(MATCH($H362,EAD_CIs!D:D,0)),"NO",
    IF(VLOOKUP($H362,EAD_CIs!D:N,MATCH("Status",EAD_CIs!D$2:N$2,0),0)="Done","No",VLOOKUP($H362,EAD_CIs!D:N,MATCH("Related",EAD_CIs!D$2:N$2,0),0) ))</f>
        <v>NO</v>
      </c>
      <c r="B362" s="203">
        <v>345684</v>
      </c>
      <c r="C362" s="34" t="s">
        <v>446</v>
      </c>
      <c r="D362" s="34" t="s">
        <v>167</v>
      </c>
      <c r="E362" s="34" t="s">
        <v>165</v>
      </c>
      <c r="F362" s="34" t="s">
        <v>1056</v>
      </c>
      <c r="G362" s="34" t="s">
        <v>173</v>
      </c>
      <c r="H362" s="34" t="s">
        <v>372</v>
      </c>
      <c r="I362" s="34" t="s">
        <v>36</v>
      </c>
      <c r="J362" s="34" t="s">
        <v>1429</v>
      </c>
      <c r="K362" s="34" t="s">
        <v>1421</v>
      </c>
      <c r="L362" s="34" t="s">
        <v>554</v>
      </c>
      <c r="N362" s="95"/>
      <c r="O362" s="95"/>
    </row>
    <row r="363" spans="1:15" ht="14.4" customHeight="1" x14ac:dyDescent="0.3">
      <c r="A363" s="163" t="str">
        <f>IF(ISERROR(MATCH($H363,EAD_CIs!D:D,0)),"NO",
    IF(VLOOKUP($H363,EAD_CIs!D:N,MATCH("Status",EAD_CIs!D$2:N$2,0),0)="Done","No",VLOOKUP($H363,EAD_CIs!D:N,MATCH("Related",EAD_CIs!D$2:N$2,0),0) ))</f>
        <v>NO</v>
      </c>
      <c r="B363" s="203">
        <v>345682</v>
      </c>
      <c r="C363" s="34" t="s">
        <v>447</v>
      </c>
      <c r="D363" s="34" t="s">
        <v>167</v>
      </c>
      <c r="E363" s="34" t="s">
        <v>165</v>
      </c>
      <c r="F363" s="34" t="s">
        <v>1055</v>
      </c>
      <c r="G363" s="34" t="s">
        <v>173</v>
      </c>
      <c r="H363" s="34" t="s">
        <v>372</v>
      </c>
      <c r="I363" s="34" t="s">
        <v>36</v>
      </c>
      <c r="J363" s="34" t="s">
        <v>1429</v>
      </c>
      <c r="K363" s="34" t="s">
        <v>1421</v>
      </c>
      <c r="L363" s="34" t="s">
        <v>554</v>
      </c>
      <c r="N363" s="95"/>
      <c r="O363" s="95"/>
    </row>
    <row r="364" spans="1:15" ht="14.4" customHeight="1" x14ac:dyDescent="0.3">
      <c r="A364" s="163" t="str">
        <f>IF(ISERROR(MATCH($H364,EAD_CIs!D:D,0)),"NO",
    IF(VLOOKUP($H364,EAD_CIs!D:N,MATCH("Status",EAD_CIs!D$2:N$2,0),0)="Done","No",VLOOKUP($H364,EAD_CIs!D:N,MATCH("Related",EAD_CIs!D$2:N$2,0),0) ))</f>
        <v>NO</v>
      </c>
      <c r="B364" s="203">
        <v>345680</v>
      </c>
      <c r="C364" s="34" t="s">
        <v>448</v>
      </c>
      <c r="D364" s="34" t="s">
        <v>167</v>
      </c>
      <c r="E364" s="34" t="s">
        <v>165</v>
      </c>
      <c r="F364" s="34" t="s">
        <v>1054</v>
      </c>
      <c r="G364" s="34" t="s">
        <v>173</v>
      </c>
      <c r="H364" s="34" t="s">
        <v>372</v>
      </c>
      <c r="I364" s="34" t="s">
        <v>36</v>
      </c>
      <c r="J364" s="34" t="s">
        <v>1429</v>
      </c>
      <c r="K364" s="34" t="s">
        <v>1421</v>
      </c>
      <c r="L364" s="34" t="s">
        <v>554</v>
      </c>
      <c r="N364" s="95"/>
      <c r="O364" s="95"/>
    </row>
    <row r="365" spans="1:15" ht="14.4" customHeight="1" x14ac:dyDescent="0.3">
      <c r="A365" s="163" t="str">
        <f>IF(ISERROR(MATCH($H365,EAD_CIs!D:D,0)),"NO",
    IF(VLOOKUP($H365,EAD_CIs!D:N,MATCH("Status",EAD_CIs!D$2:N$2,0),0)="Done","No",VLOOKUP($H365,EAD_CIs!D:N,MATCH("Related",EAD_CIs!D$2:N$2,0),0) ))</f>
        <v>NO</v>
      </c>
      <c r="B365" s="203">
        <v>345675</v>
      </c>
      <c r="C365" s="34" t="s">
        <v>450</v>
      </c>
      <c r="D365" s="34" t="s">
        <v>167</v>
      </c>
      <c r="E365" s="34" t="s">
        <v>165</v>
      </c>
      <c r="F365" s="34" t="s">
        <v>1053</v>
      </c>
      <c r="G365" s="34" t="s">
        <v>173</v>
      </c>
      <c r="H365" s="34" t="s">
        <v>372</v>
      </c>
      <c r="I365" s="34" t="s">
        <v>36</v>
      </c>
      <c r="J365" s="34" t="s">
        <v>1429</v>
      </c>
      <c r="K365" s="34" t="s">
        <v>1434</v>
      </c>
      <c r="L365" s="34" t="s">
        <v>554</v>
      </c>
      <c r="N365" s="95"/>
      <c r="O365" s="95"/>
    </row>
    <row r="366" spans="1:15" ht="14.4" customHeight="1" x14ac:dyDescent="0.3">
      <c r="A366" s="163" t="str">
        <f>IF(ISERROR(MATCH($H366,EAD_CIs!D:D,0)),"NO",
    IF(VLOOKUP($H366,EAD_CIs!D:N,MATCH("Status",EAD_CIs!D$2:N$2,0),0)="Done","No",VLOOKUP($H366,EAD_CIs!D:N,MATCH("Related",EAD_CIs!D$2:N$2,0),0) ))</f>
        <v>NO</v>
      </c>
      <c r="B366" s="203">
        <v>345674</v>
      </c>
      <c r="C366" s="34" t="s">
        <v>451</v>
      </c>
      <c r="D366" s="34" t="s">
        <v>167</v>
      </c>
      <c r="E366" s="34" t="s">
        <v>165</v>
      </c>
      <c r="F366" s="34" t="s">
        <v>2227</v>
      </c>
      <c r="G366" s="34" t="s">
        <v>173</v>
      </c>
      <c r="H366" s="34" t="s">
        <v>372</v>
      </c>
      <c r="I366" s="34" t="s">
        <v>36</v>
      </c>
      <c r="J366" s="34" t="s">
        <v>1429</v>
      </c>
      <c r="K366" s="34" t="s">
        <v>1434</v>
      </c>
      <c r="L366" s="34" t="s">
        <v>554</v>
      </c>
      <c r="N366" s="95"/>
      <c r="O366" s="95"/>
    </row>
    <row r="367" spans="1:15" ht="14.4" customHeight="1" x14ac:dyDescent="0.3">
      <c r="A367" s="163" t="str">
        <f>IF(ISERROR(MATCH($H367,EAD_CIs!D:D,0)),"NO",
    IF(VLOOKUP($H367,EAD_CIs!D:N,MATCH("Status",EAD_CIs!D$2:N$2,0),0)="Done","No",VLOOKUP($H367,EAD_CIs!D:N,MATCH("Related",EAD_CIs!D$2:N$2,0),0) ))</f>
        <v>NO</v>
      </c>
      <c r="B367" s="203">
        <v>345673</v>
      </c>
      <c r="C367" s="34" t="s">
        <v>452</v>
      </c>
      <c r="D367" s="34" t="s">
        <v>167</v>
      </c>
      <c r="E367" s="34" t="s">
        <v>165</v>
      </c>
      <c r="F367" s="34" t="s">
        <v>1052</v>
      </c>
      <c r="G367" s="34" t="s">
        <v>173</v>
      </c>
      <c r="H367" s="34" t="s">
        <v>372</v>
      </c>
      <c r="I367" s="34" t="s">
        <v>36</v>
      </c>
      <c r="J367" s="34" t="s">
        <v>1429</v>
      </c>
      <c r="K367" s="34" t="s">
        <v>1434</v>
      </c>
      <c r="L367" s="34" t="s">
        <v>554</v>
      </c>
      <c r="N367" s="95"/>
      <c r="O367" s="95"/>
    </row>
    <row r="368" spans="1:15" ht="14.4" customHeight="1" x14ac:dyDescent="0.3">
      <c r="A368" s="163" t="str">
        <f>IF(ISERROR(MATCH($H368,EAD_CIs!D:D,0)),"NO",
    IF(VLOOKUP($H368,EAD_CIs!D:N,MATCH("Status",EAD_CIs!D$2:N$2,0),0)="Done","No",VLOOKUP($H368,EAD_CIs!D:N,MATCH("Related",EAD_CIs!D$2:N$2,0),0) ))</f>
        <v>NO</v>
      </c>
      <c r="B368" s="203">
        <v>345672</v>
      </c>
      <c r="C368" s="34" t="s">
        <v>453</v>
      </c>
      <c r="D368" s="34" t="s">
        <v>167</v>
      </c>
      <c r="E368" s="34" t="s">
        <v>28</v>
      </c>
      <c r="F368" s="34" t="s">
        <v>1051</v>
      </c>
      <c r="G368" s="34" t="s">
        <v>1009</v>
      </c>
      <c r="H368" s="34" t="s">
        <v>372</v>
      </c>
      <c r="I368" s="34" t="s">
        <v>36</v>
      </c>
      <c r="J368" s="34" t="s">
        <v>1429</v>
      </c>
      <c r="K368" s="34" t="s">
        <v>1421</v>
      </c>
      <c r="L368" s="34" t="s">
        <v>554</v>
      </c>
      <c r="N368" s="95"/>
      <c r="O368" s="95"/>
    </row>
    <row r="369" spans="1:15" ht="14.4" customHeight="1" x14ac:dyDescent="0.3">
      <c r="A369" s="163" t="str">
        <f>IF(ISERROR(MATCH($H369,EAD_CIs!D:D,0)),"NO",
    IF(VLOOKUP($H369,EAD_CIs!D:N,MATCH("Status",EAD_CIs!D$2:N$2,0),0)="Done","No",VLOOKUP($H369,EAD_CIs!D:N,MATCH("Related",EAD_CIs!D$2:N$2,0),0) ))</f>
        <v>NO</v>
      </c>
      <c r="B369" s="203">
        <v>345671</v>
      </c>
      <c r="C369" s="34" t="s">
        <v>454</v>
      </c>
      <c r="D369" s="34" t="s">
        <v>167</v>
      </c>
      <c r="E369" s="34" t="s">
        <v>165</v>
      </c>
      <c r="F369" s="34" t="s">
        <v>1050</v>
      </c>
      <c r="G369" s="34" t="s">
        <v>173</v>
      </c>
      <c r="H369" s="34" t="s">
        <v>372</v>
      </c>
      <c r="I369" s="34" t="s">
        <v>36</v>
      </c>
      <c r="J369" s="34" t="s">
        <v>1429</v>
      </c>
      <c r="K369" s="34" t="s">
        <v>1434</v>
      </c>
      <c r="L369" s="34" t="s">
        <v>554</v>
      </c>
      <c r="N369" s="95"/>
      <c r="O369" s="95"/>
    </row>
    <row r="370" spans="1:15" ht="14.4" customHeight="1" x14ac:dyDescent="0.3">
      <c r="A370" s="163" t="str">
        <f>IF(ISERROR(MATCH($H370,EAD_CIs!D:D,0)),"NO",
    IF(VLOOKUP($H370,EAD_CIs!D:N,MATCH("Status",EAD_CIs!D$2:N$2,0),0)="Done","No",VLOOKUP($H370,EAD_CIs!D:N,MATCH("Related",EAD_CIs!D$2:N$2,0),0) ))</f>
        <v>NO</v>
      </c>
      <c r="B370" s="203">
        <v>345669</v>
      </c>
      <c r="C370" s="34" t="s">
        <v>455</v>
      </c>
      <c r="D370" s="34" t="s">
        <v>167</v>
      </c>
      <c r="E370" s="34" t="s">
        <v>165</v>
      </c>
      <c r="F370" s="34" t="s">
        <v>1049</v>
      </c>
      <c r="G370" s="34" t="s">
        <v>1009</v>
      </c>
      <c r="H370" s="34" t="s">
        <v>372</v>
      </c>
      <c r="I370" s="34" t="s">
        <v>36</v>
      </c>
      <c r="J370" s="34" t="s">
        <v>1429</v>
      </c>
      <c r="K370" s="34" t="s">
        <v>1421</v>
      </c>
      <c r="L370" s="34" t="s">
        <v>554</v>
      </c>
      <c r="N370" s="95"/>
      <c r="O370" s="95"/>
    </row>
    <row r="371" spans="1:15" ht="14.4" customHeight="1" x14ac:dyDescent="0.3">
      <c r="A371" s="163" t="str">
        <f>IF(ISERROR(MATCH($H371,EAD_CIs!D:D,0)),"NO",
    IF(VLOOKUP($H371,EAD_CIs!D:N,MATCH("Status",EAD_CIs!D$2:N$2,0),0)="Done","No",VLOOKUP($H371,EAD_CIs!D:N,MATCH("Related",EAD_CIs!D$2:N$2,0),0) ))</f>
        <v>NO</v>
      </c>
      <c r="B371" s="203">
        <v>345667</v>
      </c>
      <c r="C371" s="34" t="s">
        <v>456</v>
      </c>
      <c r="D371" s="34" t="s">
        <v>167</v>
      </c>
      <c r="E371" s="34" t="s">
        <v>165</v>
      </c>
      <c r="F371" s="34" t="s">
        <v>2228</v>
      </c>
      <c r="G371" s="34" t="s">
        <v>173</v>
      </c>
      <c r="H371" s="34" t="s">
        <v>372</v>
      </c>
      <c r="I371" s="34" t="s">
        <v>36</v>
      </c>
      <c r="J371" s="34" t="s">
        <v>1429</v>
      </c>
      <c r="K371" s="34" t="s">
        <v>1434</v>
      </c>
      <c r="L371" s="34" t="s">
        <v>554</v>
      </c>
      <c r="N371" s="95"/>
      <c r="O371" s="95"/>
    </row>
    <row r="372" spans="1:15" ht="14.4" customHeight="1" x14ac:dyDescent="0.3">
      <c r="A372" s="163" t="str">
        <f>IF(ISERROR(MATCH($H372,EAD_CIs!D:D,0)),"NO",
    IF(VLOOKUP($H372,EAD_CIs!D:N,MATCH("Status",EAD_CIs!D$2:N$2,0),0)="Done","No",VLOOKUP($H372,EAD_CIs!D:N,MATCH("Related",EAD_CIs!D$2:N$2,0),0) ))</f>
        <v>NO</v>
      </c>
      <c r="B372" s="203">
        <v>345666</v>
      </c>
      <c r="C372" s="34" t="s">
        <v>457</v>
      </c>
      <c r="D372" s="34" t="s">
        <v>167</v>
      </c>
      <c r="E372" s="34" t="s">
        <v>165</v>
      </c>
      <c r="F372" s="34" t="s">
        <v>1048</v>
      </c>
      <c r="G372" s="34" t="s">
        <v>173</v>
      </c>
      <c r="H372" s="34" t="s">
        <v>372</v>
      </c>
      <c r="I372" s="34" t="s">
        <v>36</v>
      </c>
      <c r="J372" s="34" t="s">
        <v>1429</v>
      </c>
      <c r="K372" s="34" t="s">
        <v>1434</v>
      </c>
      <c r="L372" s="34" t="s">
        <v>554</v>
      </c>
      <c r="N372" s="95"/>
      <c r="O372" s="95"/>
    </row>
    <row r="373" spans="1:15" ht="14.4" customHeight="1" x14ac:dyDescent="0.3">
      <c r="A373" s="163" t="str">
        <f>IF(ISERROR(MATCH($H373,EAD_CIs!D:D,0)),"NO",
    IF(VLOOKUP($H373,EAD_CIs!D:N,MATCH("Status",EAD_CIs!D$2:N$2,0),0)="Done","No",VLOOKUP($H373,EAD_CIs!D:N,MATCH("Related",EAD_CIs!D$2:N$2,0),0) ))</f>
        <v>NO</v>
      </c>
      <c r="B373" s="203">
        <v>345665</v>
      </c>
      <c r="C373" s="34" t="s">
        <v>458</v>
      </c>
      <c r="D373" s="34" t="s">
        <v>167</v>
      </c>
      <c r="E373" s="34" t="s">
        <v>165</v>
      </c>
      <c r="F373" s="34" t="s">
        <v>1047</v>
      </c>
      <c r="G373" s="34" t="s">
        <v>173</v>
      </c>
      <c r="H373" s="34" t="s">
        <v>372</v>
      </c>
      <c r="I373" s="34" t="s">
        <v>36</v>
      </c>
      <c r="J373" s="34" t="s">
        <v>1429</v>
      </c>
      <c r="K373" s="34" t="s">
        <v>1434</v>
      </c>
      <c r="L373" s="34" t="s">
        <v>554</v>
      </c>
      <c r="N373" s="95"/>
      <c r="O373" s="95"/>
    </row>
    <row r="374" spans="1:15" ht="14.4" customHeight="1" x14ac:dyDescent="0.3">
      <c r="A374" s="163" t="str">
        <f>IF(ISERROR(MATCH($H374,EAD_CIs!D:D,0)),"NO",
    IF(VLOOKUP($H374,EAD_CIs!D:N,MATCH("Status",EAD_CIs!D$2:N$2,0),0)="Done","No",VLOOKUP($H374,EAD_CIs!D:N,MATCH("Related",EAD_CIs!D$2:N$2,0),0) ))</f>
        <v>NO</v>
      </c>
      <c r="B374" s="203">
        <v>345664</v>
      </c>
      <c r="C374" s="34" t="s">
        <v>459</v>
      </c>
      <c r="D374" s="34" t="s">
        <v>167</v>
      </c>
      <c r="E374" s="34" t="s">
        <v>165</v>
      </c>
      <c r="F374" s="34" t="s">
        <v>1046</v>
      </c>
      <c r="G374" s="34" t="s">
        <v>173</v>
      </c>
      <c r="H374" s="34" t="s">
        <v>372</v>
      </c>
      <c r="I374" s="34" t="s">
        <v>36</v>
      </c>
      <c r="J374" s="34" t="s">
        <v>1429</v>
      </c>
      <c r="K374" s="34" t="s">
        <v>1421</v>
      </c>
      <c r="L374" s="34" t="s">
        <v>554</v>
      </c>
      <c r="N374" s="95"/>
      <c r="O374" s="95"/>
    </row>
    <row r="375" spans="1:15" ht="14.4" customHeight="1" x14ac:dyDescent="0.3">
      <c r="A375" s="163" t="str">
        <f>IF(ISERROR(MATCH($H375,EAD_CIs!D:D,0)),"NO",
    IF(VLOOKUP($H375,EAD_CIs!D:N,MATCH("Status",EAD_CIs!D$2:N$2,0),0)="Done","No",VLOOKUP($H375,EAD_CIs!D:N,MATCH("Related",EAD_CIs!D$2:N$2,0),0) ))</f>
        <v>NO</v>
      </c>
      <c r="B375" s="203">
        <v>345663</v>
      </c>
      <c r="C375" s="34" t="s">
        <v>460</v>
      </c>
      <c r="D375" s="34" t="s">
        <v>167</v>
      </c>
      <c r="E375" s="34" t="s">
        <v>165</v>
      </c>
      <c r="F375" s="34" t="s">
        <v>1045</v>
      </c>
      <c r="G375" s="34" t="s">
        <v>173</v>
      </c>
      <c r="H375" s="34" t="s">
        <v>372</v>
      </c>
      <c r="I375" s="34" t="s">
        <v>36</v>
      </c>
      <c r="J375" s="34" t="s">
        <v>1429</v>
      </c>
      <c r="K375" s="34" t="s">
        <v>1434</v>
      </c>
      <c r="L375" s="34" t="s">
        <v>554</v>
      </c>
      <c r="N375" s="95"/>
      <c r="O375" s="95"/>
    </row>
    <row r="376" spans="1:15" ht="14.4" customHeight="1" x14ac:dyDescent="0.3">
      <c r="A376" s="163" t="str">
        <f>IF(ISERROR(MATCH($H376,EAD_CIs!D:D,0)),"NO",
    IF(VLOOKUP($H376,EAD_CIs!D:N,MATCH("Status",EAD_CIs!D$2:N$2,0),0)="Done","No",VLOOKUP($H376,EAD_CIs!D:N,MATCH("Related",EAD_CIs!D$2:N$2,0),0) ))</f>
        <v>NO</v>
      </c>
      <c r="B376" s="203">
        <v>345662</v>
      </c>
      <c r="C376" s="34" t="s">
        <v>461</v>
      </c>
      <c r="D376" s="34" t="s">
        <v>167</v>
      </c>
      <c r="E376" s="34" t="s">
        <v>165</v>
      </c>
      <c r="F376" s="34" t="s">
        <v>1044</v>
      </c>
      <c r="G376" s="34" t="s">
        <v>1009</v>
      </c>
      <c r="H376" s="34" t="s">
        <v>372</v>
      </c>
      <c r="I376" s="34" t="s">
        <v>36</v>
      </c>
      <c r="J376" s="34" t="s">
        <v>1429</v>
      </c>
      <c r="K376" s="34" t="s">
        <v>1421</v>
      </c>
      <c r="L376" s="34" t="s">
        <v>554</v>
      </c>
      <c r="N376" s="95"/>
      <c r="O376" s="95"/>
    </row>
    <row r="377" spans="1:15" ht="14.4" customHeight="1" x14ac:dyDescent="0.3">
      <c r="A377" s="163" t="str">
        <f>IF(ISERROR(MATCH($H377,EAD_CIs!D:D,0)),"NO",
    IF(VLOOKUP($H377,EAD_CIs!D:N,MATCH("Status",EAD_CIs!D$2:N$2,0),0)="Done","No",VLOOKUP($H377,EAD_CIs!D:N,MATCH("Related",EAD_CIs!D$2:N$2,0),0) ))</f>
        <v>NO</v>
      </c>
      <c r="B377" s="203">
        <v>345661</v>
      </c>
      <c r="C377" s="34" t="s">
        <v>462</v>
      </c>
      <c r="D377" s="34" t="s">
        <v>167</v>
      </c>
      <c r="E377" s="34" t="s">
        <v>165</v>
      </c>
      <c r="F377" s="34" t="s">
        <v>1043</v>
      </c>
      <c r="G377" s="34" t="s">
        <v>173</v>
      </c>
      <c r="H377" s="34" t="s">
        <v>372</v>
      </c>
      <c r="I377" s="34" t="s">
        <v>36</v>
      </c>
      <c r="J377" s="34" t="s">
        <v>1429</v>
      </c>
      <c r="K377" s="34" t="s">
        <v>1434</v>
      </c>
      <c r="L377" s="34" t="s">
        <v>554</v>
      </c>
      <c r="N377" s="95"/>
      <c r="O377" s="95"/>
    </row>
    <row r="378" spans="1:15" ht="14.4" customHeight="1" x14ac:dyDescent="0.3">
      <c r="A378" s="163" t="str">
        <f>IF(ISERROR(MATCH($H378,EAD_CIs!D:D,0)),"NO",
    IF(VLOOKUP($H378,EAD_CIs!D:N,MATCH("Status",EAD_CIs!D$2:N$2,0),0)="Done","No",VLOOKUP($H378,EAD_CIs!D:N,MATCH("Related",EAD_CIs!D$2:N$2,0),0) ))</f>
        <v>NO</v>
      </c>
      <c r="B378" s="203">
        <v>345660</v>
      </c>
      <c r="C378" s="34" t="s">
        <v>463</v>
      </c>
      <c r="D378" s="34" t="s">
        <v>167</v>
      </c>
      <c r="E378" s="34" t="s">
        <v>165</v>
      </c>
      <c r="F378" s="34" t="s">
        <v>1042</v>
      </c>
      <c r="G378" s="34" t="s">
        <v>173</v>
      </c>
      <c r="H378" s="34" t="s">
        <v>372</v>
      </c>
      <c r="I378" s="34" t="s">
        <v>36</v>
      </c>
      <c r="J378" s="34" t="s">
        <v>1429</v>
      </c>
      <c r="K378" s="34" t="s">
        <v>1434</v>
      </c>
      <c r="L378" s="34" t="s">
        <v>554</v>
      </c>
      <c r="N378" s="95"/>
      <c r="O378" s="95"/>
    </row>
    <row r="379" spans="1:15" ht="14.4" customHeight="1" x14ac:dyDescent="0.3">
      <c r="A379" s="163" t="str">
        <f>IF(ISERROR(MATCH($H379,EAD_CIs!D:D,0)),"NO",
    IF(VLOOKUP($H379,EAD_CIs!D:N,MATCH("Status",EAD_CIs!D$2:N$2,0),0)="Done","No",VLOOKUP($H379,EAD_CIs!D:N,MATCH("Related",EAD_CIs!D$2:N$2,0),0) ))</f>
        <v>NO</v>
      </c>
      <c r="B379" s="203">
        <v>345658</v>
      </c>
      <c r="C379" s="34" t="s">
        <v>464</v>
      </c>
      <c r="D379" s="34" t="s">
        <v>167</v>
      </c>
      <c r="E379" s="34" t="s">
        <v>165</v>
      </c>
      <c r="F379" s="34" t="s">
        <v>1041</v>
      </c>
      <c r="G379" s="34" t="s">
        <v>173</v>
      </c>
      <c r="H379" s="34" t="s">
        <v>372</v>
      </c>
      <c r="I379" s="34" t="s">
        <v>36</v>
      </c>
      <c r="J379" s="34" t="s">
        <v>1429</v>
      </c>
      <c r="K379" s="34" t="s">
        <v>1434</v>
      </c>
      <c r="L379" s="34" t="s">
        <v>554</v>
      </c>
      <c r="N379" s="95"/>
      <c r="O379" s="95"/>
    </row>
    <row r="380" spans="1:15" ht="14.4" customHeight="1" x14ac:dyDescent="0.3">
      <c r="A380" s="163" t="str">
        <f>IF(ISERROR(MATCH($H380,EAD_CIs!D:D,0)),"NO",
    IF(VLOOKUP($H380,EAD_CIs!D:N,MATCH("Status",EAD_CIs!D$2:N$2,0),0)="Done","No",VLOOKUP($H380,EAD_CIs!D:N,MATCH("Related",EAD_CIs!D$2:N$2,0),0) ))</f>
        <v>NO</v>
      </c>
      <c r="B380" s="203">
        <v>345657</v>
      </c>
      <c r="C380" s="34" t="s">
        <v>465</v>
      </c>
      <c r="D380" s="34" t="s">
        <v>167</v>
      </c>
      <c r="E380" s="34" t="s">
        <v>165</v>
      </c>
      <c r="F380" s="34" t="s">
        <v>1040</v>
      </c>
      <c r="G380" s="34" t="s">
        <v>173</v>
      </c>
      <c r="H380" s="34" t="s">
        <v>372</v>
      </c>
      <c r="I380" s="34" t="s">
        <v>36</v>
      </c>
      <c r="J380" s="34" t="s">
        <v>1429</v>
      </c>
      <c r="K380" s="34" t="s">
        <v>1434</v>
      </c>
      <c r="L380" s="34" t="s">
        <v>554</v>
      </c>
      <c r="N380" s="95"/>
      <c r="O380" s="95"/>
    </row>
    <row r="381" spans="1:15" ht="14.4" customHeight="1" x14ac:dyDescent="0.3">
      <c r="A381" s="163" t="str">
        <f>IF(ISERROR(MATCH($H381,EAD_CIs!D:D,0)),"NO",
    IF(VLOOKUP($H381,EAD_CIs!D:N,MATCH("Status",EAD_CIs!D$2:N$2,0),0)="Done","No",VLOOKUP($H381,EAD_CIs!D:N,MATCH("Related",EAD_CIs!D$2:N$2,0),0) ))</f>
        <v>NO</v>
      </c>
      <c r="B381" s="203">
        <v>345653</v>
      </c>
      <c r="C381" s="34" t="s">
        <v>466</v>
      </c>
      <c r="D381" s="34" t="s">
        <v>167</v>
      </c>
      <c r="E381" s="34" t="s">
        <v>165</v>
      </c>
      <c r="F381" s="34" t="s">
        <v>1039</v>
      </c>
      <c r="G381" s="34" t="s">
        <v>173</v>
      </c>
      <c r="H381" s="34" t="s">
        <v>372</v>
      </c>
      <c r="I381" s="34" t="s">
        <v>36</v>
      </c>
      <c r="J381" s="34" t="s">
        <v>1429</v>
      </c>
      <c r="K381" s="34" t="s">
        <v>1434</v>
      </c>
      <c r="L381" s="34" t="s">
        <v>554</v>
      </c>
      <c r="N381" s="95"/>
      <c r="O381" s="95"/>
    </row>
    <row r="382" spans="1:15" ht="14.4" customHeight="1" x14ac:dyDescent="0.3">
      <c r="A382" s="163" t="str">
        <f>IF(ISERROR(MATCH($H382,EAD_CIs!D:D,0)),"NO",
    IF(VLOOKUP($H382,EAD_CIs!D:N,MATCH("Status",EAD_CIs!D$2:N$2,0),0)="Done","No",VLOOKUP($H382,EAD_CIs!D:N,MATCH("Related",EAD_CIs!D$2:N$2,0),0) ))</f>
        <v>NO</v>
      </c>
      <c r="B382" s="203">
        <v>345652</v>
      </c>
      <c r="C382" s="34" t="s">
        <v>467</v>
      </c>
      <c r="D382" s="34" t="s">
        <v>167</v>
      </c>
      <c r="E382" s="34" t="s">
        <v>165</v>
      </c>
      <c r="F382" s="34" t="s">
        <v>1038</v>
      </c>
      <c r="G382" s="34" t="s">
        <v>173</v>
      </c>
      <c r="H382" s="34" t="s">
        <v>372</v>
      </c>
      <c r="I382" s="34" t="s">
        <v>36</v>
      </c>
      <c r="J382" s="34" t="s">
        <v>1429</v>
      </c>
      <c r="K382" s="34" t="s">
        <v>1434</v>
      </c>
      <c r="L382" s="34" t="s">
        <v>554</v>
      </c>
      <c r="N382" s="95"/>
      <c r="O382" s="95"/>
    </row>
    <row r="383" spans="1:15" ht="14.4" customHeight="1" x14ac:dyDescent="0.3">
      <c r="A383" s="163" t="str">
        <f>IF(ISERROR(MATCH($H383,EAD_CIs!D:D,0)),"NO",
    IF(VLOOKUP($H383,EAD_CIs!D:N,MATCH("Status",EAD_CIs!D$2:N$2,0),0)="Done","No",VLOOKUP($H383,EAD_CIs!D:N,MATCH("Related",EAD_CIs!D$2:N$2,0),0) ))</f>
        <v>NO</v>
      </c>
      <c r="B383" s="203">
        <v>345651</v>
      </c>
      <c r="C383" s="34" t="s">
        <v>468</v>
      </c>
      <c r="D383" s="34" t="s">
        <v>167</v>
      </c>
      <c r="E383" s="34" t="s">
        <v>165</v>
      </c>
      <c r="F383" s="34" t="s">
        <v>1037</v>
      </c>
      <c r="G383" s="34" t="s">
        <v>173</v>
      </c>
      <c r="H383" s="34" t="s">
        <v>372</v>
      </c>
      <c r="I383" s="34" t="s">
        <v>36</v>
      </c>
      <c r="J383" s="34" t="s">
        <v>1429</v>
      </c>
      <c r="K383" s="34" t="s">
        <v>1434</v>
      </c>
      <c r="L383" s="34" t="s">
        <v>554</v>
      </c>
      <c r="N383" s="95"/>
      <c r="O383" s="95"/>
    </row>
    <row r="384" spans="1:15" ht="14.4" customHeight="1" x14ac:dyDescent="0.3">
      <c r="A384" s="163" t="str">
        <f>IF(ISERROR(MATCH($H384,EAD_CIs!D:D,0)),"NO",
    IF(VLOOKUP($H384,EAD_CIs!D:N,MATCH("Status",EAD_CIs!D$2:N$2,0),0)="Done","No",VLOOKUP($H384,EAD_CIs!D:N,MATCH("Related",EAD_CIs!D$2:N$2,0),0) ))</f>
        <v>NO</v>
      </c>
      <c r="B384" s="203">
        <v>345650</v>
      </c>
      <c r="C384" s="34" t="s">
        <v>469</v>
      </c>
      <c r="D384" s="34" t="s">
        <v>167</v>
      </c>
      <c r="E384" s="34" t="s">
        <v>165</v>
      </c>
      <c r="F384" s="34" t="s">
        <v>1036</v>
      </c>
      <c r="G384" s="34" t="s">
        <v>173</v>
      </c>
      <c r="H384" s="34" t="s">
        <v>372</v>
      </c>
      <c r="I384" s="34" t="s">
        <v>36</v>
      </c>
      <c r="J384" s="34" t="s">
        <v>1429</v>
      </c>
      <c r="K384" s="34" t="s">
        <v>1421</v>
      </c>
      <c r="L384" s="34" t="s">
        <v>554</v>
      </c>
      <c r="N384" s="95"/>
      <c r="O384" s="95"/>
    </row>
    <row r="385" spans="1:15" ht="14.4" customHeight="1" x14ac:dyDescent="0.3">
      <c r="A385" s="163" t="str">
        <f>IF(ISERROR(MATCH($H385,EAD_CIs!D:D,0)),"NO",
    IF(VLOOKUP($H385,EAD_CIs!D:N,MATCH("Status",EAD_CIs!D$2:N$2,0),0)="Done","No",VLOOKUP($H385,EAD_CIs!D:N,MATCH("Related",EAD_CIs!D$2:N$2,0),0) ))</f>
        <v>NO</v>
      </c>
      <c r="B385" s="203">
        <v>345649</v>
      </c>
      <c r="C385" s="34" t="s">
        <v>470</v>
      </c>
      <c r="D385" s="34" t="s">
        <v>167</v>
      </c>
      <c r="E385" s="34" t="s">
        <v>165</v>
      </c>
      <c r="F385" s="34" t="s">
        <v>1035</v>
      </c>
      <c r="G385" s="34" t="s">
        <v>173</v>
      </c>
      <c r="H385" s="34" t="s">
        <v>372</v>
      </c>
      <c r="I385" s="34" t="s">
        <v>36</v>
      </c>
      <c r="J385" s="34" t="s">
        <v>1429</v>
      </c>
      <c r="K385" s="34" t="s">
        <v>1421</v>
      </c>
      <c r="L385" s="34" t="s">
        <v>554</v>
      </c>
      <c r="N385" s="95"/>
      <c r="O385" s="95"/>
    </row>
    <row r="386" spans="1:15" ht="14.4" customHeight="1" x14ac:dyDescent="0.3">
      <c r="A386" s="163" t="str">
        <f>IF(ISERROR(MATCH($H386,EAD_CIs!D:D,0)),"NO",
    IF(VLOOKUP($H386,EAD_CIs!D:N,MATCH("Status",EAD_CIs!D$2:N$2,0),0)="Done","No",VLOOKUP($H386,EAD_CIs!D:N,MATCH("Related",EAD_CIs!D$2:N$2,0),0) ))</f>
        <v>NO</v>
      </c>
      <c r="B386" s="203">
        <v>345644</v>
      </c>
      <c r="C386" s="34" t="s">
        <v>471</v>
      </c>
      <c r="D386" s="34" t="s">
        <v>167</v>
      </c>
      <c r="E386" s="34" t="s">
        <v>165</v>
      </c>
      <c r="F386" s="34" t="s">
        <v>1034</v>
      </c>
      <c r="G386" s="34" t="s">
        <v>173</v>
      </c>
      <c r="H386" s="34" t="s">
        <v>372</v>
      </c>
      <c r="I386" s="34" t="s">
        <v>36</v>
      </c>
      <c r="J386" s="34" t="s">
        <v>1429</v>
      </c>
      <c r="K386" s="34" t="s">
        <v>1421</v>
      </c>
      <c r="L386" s="34" t="s">
        <v>554</v>
      </c>
      <c r="N386" s="95"/>
      <c r="O386" s="95"/>
    </row>
    <row r="387" spans="1:15" ht="14.4" customHeight="1" x14ac:dyDescent="0.3">
      <c r="A387" s="163" t="str">
        <f>IF(ISERROR(MATCH($H387,EAD_CIs!D:D,0)),"NO",
    IF(VLOOKUP($H387,EAD_CIs!D:N,MATCH("Status",EAD_CIs!D$2:N$2,0),0)="Done","No",VLOOKUP($H387,EAD_CIs!D:N,MATCH("Related",EAD_CIs!D$2:N$2,0),0) ))</f>
        <v>NO</v>
      </c>
      <c r="B387" s="203">
        <v>345642</v>
      </c>
      <c r="C387" s="34" t="s">
        <v>472</v>
      </c>
      <c r="D387" s="34" t="s">
        <v>167</v>
      </c>
      <c r="E387" s="34" t="s">
        <v>165</v>
      </c>
      <c r="F387" s="34" t="s">
        <v>1033</v>
      </c>
      <c r="G387" s="34" t="s">
        <v>173</v>
      </c>
      <c r="H387" s="34" t="s">
        <v>372</v>
      </c>
      <c r="I387" s="34" t="s">
        <v>36</v>
      </c>
      <c r="J387" s="34" t="s">
        <v>1429</v>
      </c>
      <c r="K387" s="34" t="s">
        <v>1434</v>
      </c>
      <c r="L387" s="34" t="s">
        <v>554</v>
      </c>
      <c r="N387" s="95"/>
      <c r="O387" s="95"/>
    </row>
    <row r="388" spans="1:15" ht="14.4" customHeight="1" x14ac:dyDescent="0.3">
      <c r="A388" s="163" t="str">
        <f>IF(ISERROR(MATCH($H388,EAD_CIs!D:D,0)),"NO",
    IF(VLOOKUP($H388,EAD_CIs!D:N,MATCH("Status",EAD_CIs!D$2:N$2,0),0)="Done","No",VLOOKUP($H388,EAD_CIs!D:N,MATCH("Related",EAD_CIs!D$2:N$2,0),0) ))</f>
        <v>NO</v>
      </c>
      <c r="B388" s="203">
        <v>345640</v>
      </c>
      <c r="C388" s="34" t="s">
        <v>474</v>
      </c>
      <c r="D388" s="34" t="s">
        <v>167</v>
      </c>
      <c r="E388" s="34" t="s">
        <v>165</v>
      </c>
      <c r="F388" s="34" t="s">
        <v>1032</v>
      </c>
      <c r="G388" s="34" t="s">
        <v>173</v>
      </c>
      <c r="H388" s="34" t="s">
        <v>372</v>
      </c>
      <c r="I388" s="34" t="s">
        <v>36</v>
      </c>
      <c r="J388" s="34" t="s">
        <v>1429</v>
      </c>
      <c r="K388" s="34" t="s">
        <v>1434</v>
      </c>
      <c r="L388" s="34" t="s">
        <v>554</v>
      </c>
      <c r="N388" s="95"/>
      <c r="O388" s="95"/>
    </row>
    <row r="389" spans="1:15" ht="14.4" customHeight="1" x14ac:dyDescent="0.3">
      <c r="A389" s="163" t="str">
        <f>IF(ISERROR(MATCH($H389,EAD_CIs!D:D,0)),"NO",
    IF(VLOOKUP($H389,EAD_CIs!D:N,MATCH("Status",EAD_CIs!D$2:N$2,0),0)="Done","No",VLOOKUP($H389,EAD_CIs!D:N,MATCH("Related",EAD_CIs!D$2:N$2,0),0) ))</f>
        <v>NO</v>
      </c>
      <c r="B389" s="203">
        <v>345639</v>
      </c>
      <c r="C389" s="34" t="s">
        <v>475</v>
      </c>
      <c r="D389" s="34" t="s">
        <v>167</v>
      </c>
      <c r="E389" s="34" t="s">
        <v>165</v>
      </c>
      <c r="F389" s="34" t="s">
        <v>1031</v>
      </c>
      <c r="G389" s="34" t="s">
        <v>173</v>
      </c>
      <c r="H389" s="34" t="s">
        <v>372</v>
      </c>
      <c r="I389" s="34" t="s">
        <v>36</v>
      </c>
      <c r="J389" s="34" t="s">
        <v>1429</v>
      </c>
      <c r="K389" s="34" t="s">
        <v>1434</v>
      </c>
      <c r="L389" s="34" t="s">
        <v>554</v>
      </c>
      <c r="N389" s="95"/>
      <c r="O389" s="95"/>
    </row>
    <row r="390" spans="1:15" ht="14.4" customHeight="1" x14ac:dyDescent="0.3">
      <c r="A390" s="163" t="str">
        <f>IF(ISERROR(MATCH($H390,EAD_CIs!D:D,0)),"NO",
    IF(VLOOKUP($H390,EAD_CIs!D:N,MATCH("Status",EAD_CIs!D$2:N$2,0),0)="Done","No",VLOOKUP($H390,EAD_CIs!D:N,MATCH("Related",EAD_CIs!D$2:N$2,0),0) ))</f>
        <v>NO</v>
      </c>
      <c r="B390" s="203">
        <v>345633</v>
      </c>
      <c r="C390" s="34" t="s">
        <v>476</v>
      </c>
      <c r="D390" s="34" t="s">
        <v>167</v>
      </c>
      <c r="E390" s="34" t="s">
        <v>165</v>
      </c>
      <c r="F390" s="34" t="s">
        <v>2229</v>
      </c>
      <c r="G390" s="34" t="s">
        <v>173</v>
      </c>
      <c r="H390" s="34" t="s">
        <v>372</v>
      </c>
      <c r="I390" s="34" t="s">
        <v>36</v>
      </c>
      <c r="J390" s="34" t="s">
        <v>1420</v>
      </c>
      <c r="K390" s="34" t="s">
        <v>1421</v>
      </c>
      <c r="L390" s="34" t="s">
        <v>554</v>
      </c>
      <c r="N390" s="95"/>
      <c r="O390" s="95"/>
    </row>
    <row r="391" spans="1:15" ht="14.4" customHeight="1" x14ac:dyDescent="0.3">
      <c r="A391" s="163" t="str">
        <f>IF(ISERROR(MATCH($H391,EAD_CIs!D:D,0)),"NO",
    IF(VLOOKUP($H391,EAD_CIs!D:N,MATCH("Status",EAD_CIs!D$2:N$2,0),0)="Done","No",VLOOKUP($H391,EAD_CIs!D:N,MATCH("Related",EAD_CIs!D$2:N$2,0),0) ))</f>
        <v>NO</v>
      </c>
      <c r="B391" s="203">
        <v>345632</v>
      </c>
      <c r="C391" s="34" t="s">
        <v>477</v>
      </c>
      <c r="D391" s="34" t="s">
        <v>167</v>
      </c>
      <c r="E391" s="34" t="s">
        <v>165</v>
      </c>
      <c r="F391" s="34" t="s">
        <v>1030</v>
      </c>
      <c r="G391" s="34" t="s">
        <v>173</v>
      </c>
      <c r="H391" s="34" t="s">
        <v>372</v>
      </c>
      <c r="I391" s="34" t="s">
        <v>36</v>
      </c>
      <c r="J391" s="34" t="s">
        <v>1429</v>
      </c>
      <c r="K391" s="34" t="s">
        <v>1421</v>
      </c>
      <c r="L391" s="34" t="s">
        <v>554</v>
      </c>
      <c r="N391" s="95"/>
      <c r="O391" s="95"/>
    </row>
    <row r="392" spans="1:15" ht="14.4" customHeight="1" x14ac:dyDescent="0.3">
      <c r="A392" s="163" t="str">
        <f>IF(ISERROR(MATCH($H392,EAD_CIs!D:D,0)),"NO",
    IF(VLOOKUP($H392,EAD_CIs!D:N,MATCH("Status",EAD_CIs!D$2:N$2,0),0)="Done","No",VLOOKUP($H392,EAD_CIs!D:N,MATCH("Related",EAD_CIs!D$2:N$2,0),0) ))</f>
        <v>NO</v>
      </c>
      <c r="B392" s="203">
        <v>345630</v>
      </c>
      <c r="C392" s="34" t="s">
        <v>478</v>
      </c>
      <c r="D392" s="34" t="s">
        <v>167</v>
      </c>
      <c r="E392" s="34" t="s">
        <v>165</v>
      </c>
      <c r="F392" s="34" t="s">
        <v>1029</v>
      </c>
      <c r="G392" s="34" t="s">
        <v>173</v>
      </c>
      <c r="H392" s="34" t="s">
        <v>372</v>
      </c>
      <c r="I392" s="34" t="s">
        <v>36</v>
      </c>
      <c r="J392" s="34" t="s">
        <v>1429</v>
      </c>
      <c r="K392" s="34" t="s">
        <v>1433</v>
      </c>
      <c r="L392" s="34" t="s">
        <v>554</v>
      </c>
      <c r="N392" s="95"/>
      <c r="O392" s="95"/>
    </row>
    <row r="393" spans="1:15" ht="14.4" customHeight="1" x14ac:dyDescent="0.3">
      <c r="A393" s="163" t="str">
        <f>IF(ISERROR(MATCH($H393,EAD_CIs!D:D,0)),"NO",
    IF(VLOOKUP($H393,EAD_CIs!D:N,MATCH("Status",EAD_CIs!D$2:N$2,0),0)="Done","No",VLOOKUP($H393,EAD_CIs!D:N,MATCH("Related",EAD_CIs!D$2:N$2,0),0) ))</f>
        <v>NO</v>
      </c>
      <c r="B393" s="203">
        <v>345629</v>
      </c>
      <c r="C393" s="34" t="s">
        <v>479</v>
      </c>
      <c r="D393" s="34" t="s">
        <v>167</v>
      </c>
      <c r="E393" s="34" t="s">
        <v>165</v>
      </c>
      <c r="F393" s="34" t="s">
        <v>1309</v>
      </c>
      <c r="G393" s="34" t="s">
        <v>1009</v>
      </c>
      <c r="H393" s="34" t="s">
        <v>372</v>
      </c>
      <c r="I393" s="34" t="s">
        <v>36</v>
      </c>
      <c r="J393" s="34" t="s">
        <v>1429</v>
      </c>
      <c r="K393" s="34" t="s">
        <v>1421</v>
      </c>
      <c r="L393" s="34" t="s">
        <v>554</v>
      </c>
      <c r="N393" s="95"/>
      <c r="O393" s="95"/>
    </row>
    <row r="394" spans="1:15" ht="14.4" customHeight="1" x14ac:dyDescent="0.3">
      <c r="A394" s="163" t="str">
        <f>IF(ISERROR(MATCH($H394,EAD_CIs!D:D,0)),"NO",
    IF(VLOOKUP($H394,EAD_CIs!D:N,MATCH("Status",EAD_CIs!D$2:N$2,0),0)="Done","No",VLOOKUP($H394,EAD_CIs!D:N,MATCH("Related",EAD_CIs!D$2:N$2,0),0) ))</f>
        <v>NO</v>
      </c>
      <c r="B394" s="203">
        <v>345628</v>
      </c>
      <c r="C394" s="34" t="s">
        <v>480</v>
      </c>
      <c r="D394" s="34" t="s">
        <v>167</v>
      </c>
      <c r="E394" s="34" t="s">
        <v>165</v>
      </c>
      <c r="F394" s="34" t="s">
        <v>1028</v>
      </c>
      <c r="G394" s="34" t="s">
        <v>173</v>
      </c>
      <c r="H394" s="34" t="s">
        <v>372</v>
      </c>
      <c r="I394" s="34" t="s">
        <v>36</v>
      </c>
      <c r="J394" s="34" t="s">
        <v>1429</v>
      </c>
      <c r="K394" s="34" t="s">
        <v>1421</v>
      </c>
      <c r="L394" s="34" t="s">
        <v>554</v>
      </c>
      <c r="N394" s="95"/>
      <c r="O394" s="95"/>
    </row>
    <row r="395" spans="1:15" ht="14.4" customHeight="1" x14ac:dyDescent="0.3">
      <c r="A395" s="163" t="str">
        <f>IF(ISERROR(MATCH($H395,EAD_CIs!D:D,0)),"NO",
    IF(VLOOKUP($H395,EAD_CIs!D:N,MATCH("Status",EAD_CIs!D$2:N$2,0),0)="Done","No",VLOOKUP($H395,EAD_CIs!D:N,MATCH("Related",EAD_CIs!D$2:N$2,0),0) ))</f>
        <v>NO</v>
      </c>
      <c r="B395" s="203">
        <v>345627</v>
      </c>
      <c r="C395" s="34" t="s">
        <v>481</v>
      </c>
      <c r="D395" s="34" t="s">
        <v>167</v>
      </c>
      <c r="E395" s="34" t="s">
        <v>165</v>
      </c>
      <c r="F395" s="34" t="s">
        <v>1027</v>
      </c>
      <c r="G395" s="34" t="s">
        <v>173</v>
      </c>
      <c r="H395" s="34" t="s">
        <v>372</v>
      </c>
      <c r="I395" s="34" t="s">
        <v>36</v>
      </c>
      <c r="J395" s="34" t="s">
        <v>1429</v>
      </c>
      <c r="K395" s="34" t="s">
        <v>1421</v>
      </c>
      <c r="L395" s="34" t="s">
        <v>554</v>
      </c>
      <c r="N395" s="95"/>
      <c r="O395" s="95"/>
    </row>
    <row r="396" spans="1:15" ht="14.4" customHeight="1" x14ac:dyDescent="0.3">
      <c r="A396" s="163" t="str">
        <f>IF(ISERROR(MATCH($H396,EAD_CIs!D:D,0)),"NO",
    IF(VLOOKUP($H396,EAD_CIs!D:N,MATCH("Status",EAD_CIs!D$2:N$2,0),0)="Done","No",VLOOKUP($H396,EAD_CIs!D:N,MATCH("Related",EAD_CIs!D$2:N$2,0),0) ))</f>
        <v>NO</v>
      </c>
      <c r="B396" s="203">
        <v>345626</v>
      </c>
      <c r="C396" s="34" t="s">
        <v>482</v>
      </c>
      <c r="D396" s="34" t="s">
        <v>167</v>
      </c>
      <c r="E396" s="34" t="s">
        <v>165</v>
      </c>
      <c r="F396" s="34" t="s">
        <v>1308</v>
      </c>
      <c r="G396" s="34" t="s">
        <v>1009</v>
      </c>
      <c r="H396" s="34" t="s">
        <v>372</v>
      </c>
      <c r="I396" s="34" t="s">
        <v>36</v>
      </c>
      <c r="J396" s="34" t="s">
        <v>1420</v>
      </c>
      <c r="K396" s="34" t="s">
        <v>1433</v>
      </c>
      <c r="L396" s="34" t="s">
        <v>554</v>
      </c>
      <c r="N396" s="95"/>
      <c r="O396" s="95"/>
    </row>
    <row r="397" spans="1:15" ht="14.4" customHeight="1" x14ac:dyDescent="0.3">
      <c r="A397" s="163" t="str">
        <f>IF(ISERROR(MATCH($H397,EAD_CIs!D:D,0)),"NO",
    IF(VLOOKUP($H397,EAD_CIs!D:N,MATCH("Status",EAD_CIs!D$2:N$2,0),0)="Done","No",VLOOKUP($H397,EAD_CIs!D:N,MATCH("Related",EAD_CIs!D$2:N$2,0),0) ))</f>
        <v>#299984
#380808
#1007900
#1011909
#1003390
#1014202
#1013452</v>
      </c>
      <c r="B397" s="203">
        <v>345602</v>
      </c>
      <c r="C397" s="34" t="s">
        <v>785</v>
      </c>
      <c r="D397" s="34" t="s">
        <v>167</v>
      </c>
      <c r="E397" s="34" t="s">
        <v>165</v>
      </c>
      <c r="F397" s="34" t="s">
        <v>36</v>
      </c>
      <c r="G397" s="34" t="s">
        <v>582</v>
      </c>
      <c r="H397" s="34" t="s">
        <v>209</v>
      </c>
      <c r="I397" s="34" t="s">
        <v>36</v>
      </c>
      <c r="J397" s="34" t="s">
        <v>1429</v>
      </c>
      <c r="K397" s="34" t="s">
        <v>1421</v>
      </c>
      <c r="L397" s="34" t="s">
        <v>943</v>
      </c>
      <c r="N397" s="95"/>
      <c r="O397" s="95"/>
    </row>
    <row r="398" spans="1:15" ht="14.4" customHeight="1" x14ac:dyDescent="0.3">
      <c r="A398" s="163" t="str">
        <f>IF(ISERROR(MATCH($H398,EAD_CIs!D:D,0)),"NO",
    IF(VLOOKUP($H398,EAD_CIs!D:N,MATCH("Status",EAD_CIs!D$2:N$2,0),0)="Done","No",VLOOKUP($H398,EAD_CIs!D:N,MATCH("Related",EAD_CIs!D$2:N$2,0),0) ))</f>
        <v>#299984
#380808
#1007900
#1011909
#1003390
#1014202
#1013452</v>
      </c>
      <c r="B398" s="203">
        <v>345597</v>
      </c>
      <c r="C398" s="34" t="s">
        <v>786</v>
      </c>
      <c r="D398" s="34" t="s">
        <v>167</v>
      </c>
      <c r="E398" s="34" t="s">
        <v>165</v>
      </c>
      <c r="F398" s="34" t="s">
        <v>36</v>
      </c>
      <c r="G398" s="34" t="s">
        <v>582</v>
      </c>
      <c r="H398" s="34" t="s">
        <v>209</v>
      </c>
      <c r="I398" s="34" t="s">
        <v>36</v>
      </c>
      <c r="J398" s="34" t="s">
        <v>1429</v>
      </c>
      <c r="K398" s="34" t="s">
        <v>1421</v>
      </c>
      <c r="L398" s="34" t="s">
        <v>943</v>
      </c>
      <c r="N398" s="95"/>
      <c r="O398" s="95"/>
    </row>
    <row r="399" spans="1:15" ht="14.4" customHeight="1" x14ac:dyDescent="0.3">
      <c r="A399" s="163" t="str">
        <f>IF(ISERROR(MATCH($H399,EAD_CIs!D:D,0)),"NO",
    IF(VLOOKUP($H399,EAD_CIs!D:N,MATCH("Status",EAD_CIs!D$2:N$2,0),0)="Done","No",VLOOKUP($H399,EAD_CIs!D:N,MATCH("Related",EAD_CIs!D$2:N$2,0),0) ))</f>
        <v>#299984
#380808
#1007900
#1011909
#1003390
#1014202
#1013452</v>
      </c>
      <c r="B399" s="203">
        <v>345593</v>
      </c>
      <c r="C399" s="34" t="s">
        <v>787</v>
      </c>
      <c r="D399" s="34" t="s">
        <v>167</v>
      </c>
      <c r="E399" s="34" t="s">
        <v>165</v>
      </c>
      <c r="F399" s="34" t="s">
        <v>36</v>
      </c>
      <c r="G399" s="34" t="s">
        <v>582</v>
      </c>
      <c r="H399" s="34" t="s">
        <v>209</v>
      </c>
      <c r="I399" s="34" t="s">
        <v>36</v>
      </c>
      <c r="J399" s="34" t="s">
        <v>1429</v>
      </c>
      <c r="K399" s="34" t="s">
        <v>1421</v>
      </c>
      <c r="L399" s="34" t="s">
        <v>943</v>
      </c>
      <c r="N399" s="95"/>
      <c r="O399" s="95"/>
    </row>
    <row r="400" spans="1:15" ht="14.4" customHeight="1" x14ac:dyDescent="0.3">
      <c r="A400" s="163" t="str">
        <f>IF(ISERROR(MATCH($H400,EAD_CIs!D:D,0)),"NO",
    IF(VLOOKUP($H400,EAD_CIs!D:N,MATCH("Status",EAD_CIs!D$2:N$2,0),0)="Done","No",VLOOKUP($H400,EAD_CIs!D:N,MATCH("Related",EAD_CIs!D$2:N$2,0),0) ))</f>
        <v>#299984
#380808
#1007900
#1011909
#1003390
#1014202
#1013452</v>
      </c>
      <c r="B400" s="203">
        <v>345591</v>
      </c>
      <c r="C400" s="34" t="s">
        <v>788</v>
      </c>
      <c r="D400" s="34" t="s">
        <v>167</v>
      </c>
      <c r="E400" s="34" t="s">
        <v>165</v>
      </c>
      <c r="F400" s="34" t="s">
        <v>36</v>
      </c>
      <c r="G400" s="34" t="s">
        <v>582</v>
      </c>
      <c r="H400" s="34" t="s">
        <v>209</v>
      </c>
      <c r="I400" s="34" t="s">
        <v>36</v>
      </c>
      <c r="J400" s="34" t="s">
        <v>1429</v>
      </c>
      <c r="K400" s="34" t="s">
        <v>1421</v>
      </c>
      <c r="L400" s="34" t="s">
        <v>943</v>
      </c>
      <c r="N400" s="95"/>
      <c r="O400" s="95"/>
    </row>
    <row r="401" spans="1:15" ht="14.4" customHeight="1" x14ac:dyDescent="0.3">
      <c r="A401" s="163" t="str">
        <f>IF(ISERROR(MATCH($H401,EAD_CIs!D:D,0)),"NO",
    IF(VLOOKUP($H401,EAD_CIs!D:N,MATCH("Status",EAD_CIs!D$2:N$2,0),0)="Done","No",VLOOKUP($H401,EAD_CIs!D:N,MATCH("Related",EAD_CIs!D$2:N$2,0),0) ))</f>
        <v>#299984
#380808
#1007900
#1011909
#1003390
#1014202
#1013452</v>
      </c>
      <c r="B401" s="203">
        <v>345576</v>
      </c>
      <c r="C401" s="34" t="s">
        <v>789</v>
      </c>
      <c r="D401" s="34" t="s">
        <v>167</v>
      </c>
      <c r="E401" s="34" t="s">
        <v>165</v>
      </c>
      <c r="F401" s="34" t="s">
        <v>36</v>
      </c>
      <c r="G401" s="34" t="s">
        <v>582</v>
      </c>
      <c r="H401" s="34" t="s">
        <v>209</v>
      </c>
      <c r="I401" s="34" t="s">
        <v>36</v>
      </c>
      <c r="J401" s="34" t="s">
        <v>1429</v>
      </c>
      <c r="K401" s="34" t="s">
        <v>1421</v>
      </c>
      <c r="L401" s="34" t="s">
        <v>943</v>
      </c>
      <c r="N401" s="95"/>
      <c r="O401" s="95"/>
    </row>
    <row r="402" spans="1:15" ht="14.4" customHeight="1" x14ac:dyDescent="0.3">
      <c r="A402" s="163" t="str">
        <f>IF(ISERROR(MATCH($H402,EAD_CIs!D:D,0)),"NO",
    IF(VLOOKUP($H402,EAD_CIs!D:N,MATCH("Status",EAD_CIs!D$2:N$2,0),0)="Done","No",VLOOKUP($H402,EAD_CIs!D:N,MATCH("Related",EAD_CIs!D$2:N$2,0),0) ))</f>
        <v>NO</v>
      </c>
      <c r="B402" s="203">
        <v>345228</v>
      </c>
      <c r="C402" s="34" t="s">
        <v>483</v>
      </c>
      <c r="D402" s="34" t="s">
        <v>167</v>
      </c>
      <c r="E402" s="34" t="s">
        <v>165</v>
      </c>
      <c r="F402" s="34" t="s">
        <v>1024</v>
      </c>
      <c r="G402" s="34" t="s">
        <v>173</v>
      </c>
      <c r="H402" s="34" t="s">
        <v>372</v>
      </c>
      <c r="I402" s="34" t="s">
        <v>36</v>
      </c>
      <c r="J402" s="34" t="s">
        <v>1429</v>
      </c>
      <c r="K402" s="34" t="s">
        <v>1421</v>
      </c>
      <c r="L402" s="34" t="s">
        <v>554</v>
      </c>
      <c r="N402" s="95"/>
      <c r="O402" s="95"/>
    </row>
    <row r="403" spans="1:15" ht="14.4" customHeight="1" x14ac:dyDescent="0.3">
      <c r="A403" s="163" t="str">
        <f>IF(ISERROR(MATCH($H403,EAD_CIs!D:D,0)),"NO",
    IF(VLOOKUP($H403,EAD_CIs!D:N,MATCH("Status",EAD_CIs!D$2:N$2,0),0)="Done","No",VLOOKUP($H403,EAD_CIs!D:N,MATCH("Related",EAD_CIs!D$2:N$2,0),0) ))</f>
        <v>NO</v>
      </c>
      <c r="B403" s="203">
        <v>345147</v>
      </c>
      <c r="C403" s="34" t="s">
        <v>484</v>
      </c>
      <c r="D403" s="34" t="s">
        <v>167</v>
      </c>
      <c r="E403" s="34" t="s">
        <v>165</v>
      </c>
      <c r="F403" s="34" t="s">
        <v>1025</v>
      </c>
      <c r="G403" s="34" t="s">
        <v>173</v>
      </c>
      <c r="H403" s="34" t="s">
        <v>372</v>
      </c>
      <c r="I403" s="34" t="s">
        <v>36</v>
      </c>
      <c r="J403" s="34" t="s">
        <v>1429</v>
      </c>
      <c r="K403" s="34" t="s">
        <v>1433</v>
      </c>
      <c r="L403" s="34" t="s">
        <v>554</v>
      </c>
      <c r="N403" s="95"/>
      <c r="O403" s="95"/>
    </row>
    <row r="404" spans="1:15" ht="14.4" customHeight="1" x14ac:dyDescent="0.3">
      <c r="A404" s="163" t="str">
        <f>IF(ISERROR(MATCH($H404,EAD_CIs!D:D,0)),"NO",
    IF(VLOOKUP($H404,EAD_CIs!D:N,MATCH("Status",EAD_CIs!D$2:N$2,0),0)="Done","No",VLOOKUP($H404,EAD_CIs!D:N,MATCH("Related",EAD_CIs!D$2:N$2,0),0) ))</f>
        <v>NO</v>
      </c>
      <c r="B404" s="203">
        <v>345070</v>
      </c>
      <c r="C404" s="34" t="s">
        <v>485</v>
      </c>
      <c r="D404" s="34" t="s">
        <v>167</v>
      </c>
      <c r="E404" s="34" t="s">
        <v>165</v>
      </c>
      <c r="F404" s="34" t="s">
        <v>1307</v>
      </c>
      <c r="G404" s="34" t="s">
        <v>1009</v>
      </c>
      <c r="H404" s="34" t="s">
        <v>372</v>
      </c>
      <c r="I404" s="34" t="s">
        <v>36</v>
      </c>
      <c r="J404" s="34" t="s">
        <v>1429</v>
      </c>
      <c r="K404" s="34" t="s">
        <v>1421</v>
      </c>
      <c r="L404" s="34" t="s">
        <v>554</v>
      </c>
      <c r="N404" s="95"/>
      <c r="O404" s="95"/>
    </row>
    <row r="405" spans="1:15" ht="14.4" customHeight="1" x14ac:dyDescent="0.3">
      <c r="A405" s="163" t="str">
        <f>IF(ISERROR(MATCH($H405,EAD_CIs!D:D,0)),"NO",
    IF(VLOOKUP($H405,EAD_CIs!D:N,MATCH("Status",EAD_CIs!D$2:N$2,0),0)="Done","No",VLOOKUP($H405,EAD_CIs!D:N,MATCH("Related",EAD_CIs!D$2:N$2,0),0) ))</f>
        <v>NO</v>
      </c>
      <c r="B405" s="203">
        <v>345067</v>
      </c>
      <c r="C405" s="34" t="s">
        <v>486</v>
      </c>
      <c r="D405" s="34" t="s">
        <v>167</v>
      </c>
      <c r="E405" s="34" t="s">
        <v>165</v>
      </c>
      <c r="F405" s="34" t="s">
        <v>1304</v>
      </c>
      <c r="G405" s="34" t="s">
        <v>173</v>
      </c>
      <c r="H405" s="34" t="s">
        <v>372</v>
      </c>
      <c r="I405" s="34" t="s">
        <v>36</v>
      </c>
      <c r="J405" s="34" t="s">
        <v>1420</v>
      </c>
      <c r="K405" s="34" t="s">
        <v>1421</v>
      </c>
      <c r="L405" s="34" t="s">
        <v>554</v>
      </c>
      <c r="N405" s="95"/>
      <c r="O405" s="95"/>
    </row>
    <row r="406" spans="1:15" ht="14.4" customHeight="1" x14ac:dyDescent="0.3">
      <c r="A406" s="163" t="str">
        <f>IF(ISERROR(MATCH($H406,EAD_CIs!D:D,0)),"NO",
    IF(VLOOKUP($H406,EAD_CIs!D:N,MATCH("Status",EAD_CIs!D$2:N$2,0),0)="Done","No",VLOOKUP($H406,EAD_CIs!D:N,MATCH("Related",EAD_CIs!D$2:N$2,0),0) ))</f>
        <v>NO</v>
      </c>
      <c r="B406" s="203">
        <v>345056</v>
      </c>
      <c r="C406" s="34" t="s">
        <v>487</v>
      </c>
      <c r="D406" s="34" t="s">
        <v>167</v>
      </c>
      <c r="E406" s="34" t="s">
        <v>165</v>
      </c>
      <c r="F406" s="34" t="s">
        <v>2230</v>
      </c>
      <c r="G406" s="34" t="s">
        <v>766</v>
      </c>
      <c r="H406" s="34" t="s">
        <v>372</v>
      </c>
      <c r="I406" s="34" t="s">
        <v>36</v>
      </c>
      <c r="J406" s="34" t="s">
        <v>1420</v>
      </c>
      <c r="K406" s="34" t="s">
        <v>1421</v>
      </c>
      <c r="L406" s="34" t="s">
        <v>554</v>
      </c>
      <c r="N406" s="95"/>
      <c r="O406" s="95"/>
    </row>
    <row r="407" spans="1:15" ht="14.4" customHeight="1" x14ac:dyDescent="0.3">
      <c r="A407" s="163" t="str">
        <f>IF(ISERROR(MATCH($H407,EAD_CIs!D:D,0)),"NO",
    IF(VLOOKUP($H407,EAD_CIs!D:N,MATCH("Status",EAD_CIs!D$2:N$2,0),0)="Done","No",VLOOKUP($H407,EAD_CIs!D:N,MATCH("Related",EAD_CIs!D$2:N$2,0),0) ))</f>
        <v>#1001248</v>
      </c>
      <c r="B407" s="203">
        <v>345055</v>
      </c>
      <c r="C407" s="34" t="s">
        <v>327</v>
      </c>
      <c r="D407" s="34" t="s">
        <v>36</v>
      </c>
      <c r="E407" s="34" t="s">
        <v>165</v>
      </c>
      <c r="F407" s="34" t="s">
        <v>36</v>
      </c>
      <c r="G407" s="34" t="s">
        <v>1008</v>
      </c>
      <c r="H407" s="34" t="s">
        <v>328</v>
      </c>
      <c r="I407" s="34" t="s">
        <v>36</v>
      </c>
      <c r="J407" s="34" t="s">
        <v>1429</v>
      </c>
      <c r="K407" s="34" t="s">
        <v>1421</v>
      </c>
      <c r="L407" s="34" t="s">
        <v>947</v>
      </c>
      <c r="N407" s="95"/>
      <c r="O407" s="95"/>
    </row>
    <row r="408" spans="1:15" ht="14.4" customHeight="1" x14ac:dyDescent="0.3">
      <c r="A408" s="163" t="str">
        <f>IF(ISERROR(MATCH($H408,EAD_CIs!D:D,0)),"NO",
    IF(VLOOKUP($H408,EAD_CIs!D:N,MATCH("Status",EAD_CIs!D$2:N$2,0),0)="Done","No",VLOOKUP($H408,EAD_CIs!D:N,MATCH("Related",EAD_CIs!D$2:N$2,0),0) ))</f>
        <v>NO</v>
      </c>
      <c r="B408" s="203">
        <v>345034</v>
      </c>
      <c r="C408" s="34" t="s">
        <v>488</v>
      </c>
      <c r="D408" s="34" t="s">
        <v>167</v>
      </c>
      <c r="E408" s="34" t="s">
        <v>165</v>
      </c>
      <c r="F408" s="34" t="s">
        <v>1304</v>
      </c>
      <c r="G408" s="34" t="s">
        <v>1009</v>
      </c>
      <c r="H408" s="34" t="s">
        <v>372</v>
      </c>
      <c r="I408" s="34" t="s">
        <v>36</v>
      </c>
      <c r="J408" s="34" t="s">
        <v>1420</v>
      </c>
      <c r="K408" s="34" t="s">
        <v>1433</v>
      </c>
      <c r="L408" s="34" t="s">
        <v>554</v>
      </c>
      <c r="N408" s="95"/>
      <c r="O408" s="95"/>
    </row>
    <row r="409" spans="1:15" ht="14.4" customHeight="1" x14ac:dyDescent="0.3">
      <c r="A409" s="163" t="str">
        <f>IF(ISERROR(MATCH($H409,EAD_CIs!D:D,0)),"NO",
    IF(VLOOKUP($H409,EAD_CIs!D:N,MATCH("Status",EAD_CIs!D$2:N$2,0),0)="Done","No",VLOOKUP($H409,EAD_CIs!D:N,MATCH("Related",EAD_CIs!D$2:N$2,0),0) ))</f>
        <v>NO</v>
      </c>
      <c r="B409" s="203">
        <v>345033</v>
      </c>
      <c r="C409" s="34" t="s">
        <v>489</v>
      </c>
      <c r="D409" s="34" t="s">
        <v>167</v>
      </c>
      <c r="E409" s="34" t="s">
        <v>165</v>
      </c>
      <c r="F409" s="34" t="s">
        <v>1024</v>
      </c>
      <c r="G409" s="34" t="s">
        <v>173</v>
      </c>
      <c r="H409" s="34" t="s">
        <v>372</v>
      </c>
      <c r="I409" s="34" t="s">
        <v>36</v>
      </c>
      <c r="J409" s="34" t="s">
        <v>1429</v>
      </c>
      <c r="K409" s="34" t="s">
        <v>1421</v>
      </c>
      <c r="L409" s="34" t="s">
        <v>554</v>
      </c>
      <c r="N409" s="95"/>
      <c r="O409" s="95"/>
    </row>
    <row r="410" spans="1:15" ht="14.4" customHeight="1" x14ac:dyDescent="0.3">
      <c r="A410" s="163" t="str">
        <f>IF(ISERROR(MATCH($H410,EAD_CIs!D:D,0)),"NO",
    IF(VLOOKUP($H410,EAD_CIs!D:N,MATCH("Status",EAD_CIs!D$2:N$2,0),0)="Done","No",VLOOKUP($H410,EAD_CIs!D:N,MATCH("Related",EAD_CIs!D$2:N$2,0),0) ))</f>
        <v>NO</v>
      </c>
      <c r="B410" s="203">
        <v>345008</v>
      </c>
      <c r="C410" s="34" t="s">
        <v>490</v>
      </c>
      <c r="D410" s="34" t="s">
        <v>167</v>
      </c>
      <c r="E410" s="34" t="s">
        <v>165</v>
      </c>
      <c r="F410" s="34" t="s">
        <v>1304</v>
      </c>
      <c r="G410" s="34" t="s">
        <v>1009</v>
      </c>
      <c r="H410" s="34" t="s">
        <v>372</v>
      </c>
      <c r="I410" s="34" t="s">
        <v>36</v>
      </c>
      <c r="J410" s="34" t="s">
        <v>1420</v>
      </c>
      <c r="K410" s="34" t="s">
        <v>1436</v>
      </c>
      <c r="L410" s="34" t="s">
        <v>554</v>
      </c>
      <c r="N410" s="95"/>
      <c r="O410" s="95"/>
    </row>
    <row r="411" spans="1:15" ht="14.4" customHeight="1" x14ac:dyDescent="0.3">
      <c r="A411" s="163" t="str">
        <f>IF(ISERROR(MATCH($H411,EAD_CIs!D:D,0)),"NO",
    IF(VLOOKUP($H411,EAD_CIs!D:N,MATCH("Status",EAD_CIs!D$2:N$2,0),0)="Done","No",VLOOKUP($H411,EAD_CIs!D:N,MATCH("Related",EAD_CIs!D$2:N$2,0),0) ))</f>
        <v>NO</v>
      </c>
      <c r="B411" s="203">
        <v>344997</v>
      </c>
      <c r="C411" s="34" t="s">
        <v>491</v>
      </c>
      <c r="D411" s="34" t="s">
        <v>167</v>
      </c>
      <c r="E411" s="34" t="s">
        <v>165</v>
      </c>
      <c r="F411" s="34" t="s">
        <v>1305</v>
      </c>
      <c r="G411" s="34" t="s">
        <v>1009</v>
      </c>
      <c r="H411" s="34" t="s">
        <v>372</v>
      </c>
      <c r="I411" s="34" t="s">
        <v>36</v>
      </c>
      <c r="J411" s="34" t="s">
        <v>1429</v>
      </c>
      <c r="K411" s="34" t="s">
        <v>1421</v>
      </c>
      <c r="L411" s="34" t="s">
        <v>554</v>
      </c>
      <c r="N411" s="95"/>
      <c r="O411" s="95"/>
    </row>
    <row r="412" spans="1:15" ht="14.4" customHeight="1" x14ac:dyDescent="0.3">
      <c r="A412" s="163" t="str">
        <f>IF(ISERROR(MATCH($H412,EAD_CIs!D:D,0)),"NO",
    IF(VLOOKUP($H412,EAD_CIs!D:N,MATCH("Status",EAD_CIs!D$2:N$2,0),0)="Done","No",VLOOKUP($H412,EAD_CIs!D:N,MATCH("Related",EAD_CIs!D$2:N$2,0),0) ))</f>
        <v>NO</v>
      </c>
      <c r="B412" s="203">
        <v>344975</v>
      </c>
      <c r="C412" s="34" t="s">
        <v>492</v>
      </c>
      <c r="D412" s="34" t="s">
        <v>167</v>
      </c>
      <c r="E412" s="34" t="s">
        <v>165</v>
      </c>
      <c r="F412" s="34" t="s">
        <v>1305</v>
      </c>
      <c r="G412" s="34" t="s">
        <v>1009</v>
      </c>
      <c r="H412" s="34" t="s">
        <v>372</v>
      </c>
      <c r="I412" s="34" t="s">
        <v>36</v>
      </c>
      <c r="J412" s="34" t="s">
        <v>1429</v>
      </c>
      <c r="K412" s="34" t="s">
        <v>1433</v>
      </c>
      <c r="L412" s="34" t="s">
        <v>554</v>
      </c>
      <c r="N412" s="95"/>
      <c r="O412" s="95"/>
    </row>
    <row r="413" spans="1:15" ht="14.4" customHeight="1" x14ac:dyDescent="0.3">
      <c r="A413" s="163" t="str">
        <f>IF(ISERROR(MATCH($H413,EAD_CIs!D:D,0)),"NO",
    IF(VLOOKUP($H413,EAD_CIs!D:N,MATCH("Status",EAD_CIs!D$2:N$2,0),0)="Done","No",VLOOKUP($H413,EAD_CIs!D:N,MATCH("Related",EAD_CIs!D$2:N$2,0),0) ))</f>
        <v>NO</v>
      </c>
      <c r="B413" s="203">
        <v>344960</v>
      </c>
      <c r="C413" s="34" t="s">
        <v>493</v>
      </c>
      <c r="D413" s="34" t="s">
        <v>167</v>
      </c>
      <c r="E413" s="34" t="s">
        <v>165</v>
      </c>
      <c r="F413" s="34" t="s">
        <v>1307</v>
      </c>
      <c r="G413" s="34" t="s">
        <v>1009</v>
      </c>
      <c r="H413" s="34" t="s">
        <v>372</v>
      </c>
      <c r="I413" s="34" t="s">
        <v>36</v>
      </c>
      <c r="J413" s="34" t="s">
        <v>1429</v>
      </c>
      <c r="K413" s="34" t="s">
        <v>1433</v>
      </c>
      <c r="L413" s="34" t="s">
        <v>554</v>
      </c>
      <c r="N413" s="95"/>
      <c r="O413" s="95"/>
    </row>
    <row r="414" spans="1:15" ht="14.4" customHeight="1" x14ac:dyDescent="0.3">
      <c r="A414" s="163" t="str">
        <f>IF(ISERROR(MATCH($H414,EAD_CIs!D:D,0)),"NO",
    IF(VLOOKUP($H414,EAD_CIs!D:N,MATCH("Status",EAD_CIs!D$2:N$2,0),0)="Done","No",VLOOKUP($H414,EAD_CIs!D:N,MATCH("Related",EAD_CIs!D$2:N$2,0),0) ))</f>
        <v>NO</v>
      </c>
      <c r="B414" s="203">
        <v>344952</v>
      </c>
      <c r="C414" s="34" t="s">
        <v>494</v>
      </c>
      <c r="D414" s="34" t="s">
        <v>167</v>
      </c>
      <c r="E414" s="34" t="s">
        <v>165</v>
      </c>
      <c r="F414" s="34" t="s">
        <v>1306</v>
      </c>
      <c r="G414" s="34" t="s">
        <v>1009</v>
      </c>
      <c r="H414" s="34" t="s">
        <v>372</v>
      </c>
      <c r="I414" s="34" t="s">
        <v>36</v>
      </c>
      <c r="J414" s="34" t="s">
        <v>1429</v>
      </c>
      <c r="K414" s="34" t="s">
        <v>1421</v>
      </c>
      <c r="L414" s="34" t="s">
        <v>554</v>
      </c>
      <c r="N414" s="95"/>
      <c r="O414" s="95"/>
    </row>
    <row r="415" spans="1:15" ht="14.4" customHeight="1" x14ac:dyDescent="0.3">
      <c r="A415" s="163" t="str">
        <f>IF(ISERROR(MATCH($H415,EAD_CIs!D:D,0)),"NO",
    IF(VLOOKUP($H415,EAD_CIs!D:N,MATCH("Status",EAD_CIs!D$2:N$2,0),0)="Done","No",VLOOKUP($H415,EAD_CIs!D:N,MATCH("Related",EAD_CIs!D$2:N$2,0),0) ))</f>
        <v>NO</v>
      </c>
      <c r="B415" s="203">
        <v>344940</v>
      </c>
      <c r="C415" s="34" t="s">
        <v>495</v>
      </c>
      <c r="D415" s="34" t="s">
        <v>167</v>
      </c>
      <c r="E415" s="34" t="s">
        <v>165</v>
      </c>
      <c r="F415" s="34" t="s">
        <v>1024</v>
      </c>
      <c r="G415" s="34" t="s">
        <v>173</v>
      </c>
      <c r="H415" s="34" t="s">
        <v>372</v>
      </c>
      <c r="I415" s="34" t="s">
        <v>36</v>
      </c>
      <c r="J415" s="34" t="s">
        <v>1429</v>
      </c>
      <c r="K415" s="34" t="s">
        <v>1421</v>
      </c>
      <c r="L415" s="34" t="s">
        <v>554</v>
      </c>
      <c r="N415" s="95"/>
      <c r="O415" s="95"/>
    </row>
    <row r="416" spans="1:15" ht="14.4" customHeight="1" x14ac:dyDescent="0.3">
      <c r="A416" s="163" t="str">
        <f>IF(ISERROR(MATCH($H416,EAD_CIs!D:D,0)),"NO",
    IF(VLOOKUP($H416,EAD_CIs!D:N,MATCH("Status",EAD_CIs!D$2:N$2,0),0)="Done","No",VLOOKUP($H416,EAD_CIs!D:N,MATCH("Related",EAD_CIs!D$2:N$2,0),0) ))</f>
        <v>NO</v>
      </c>
      <c r="B416" s="203">
        <v>344901</v>
      </c>
      <c r="C416" s="34" t="s">
        <v>496</v>
      </c>
      <c r="D416" s="34" t="s">
        <v>167</v>
      </c>
      <c r="E416" s="34" t="s">
        <v>165</v>
      </c>
      <c r="F416" s="34" t="s">
        <v>1305</v>
      </c>
      <c r="G416" s="34" t="s">
        <v>1009</v>
      </c>
      <c r="H416" s="34" t="s">
        <v>372</v>
      </c>
      <c r="I416" s="34" t="s">
        <v>36</v>
      </c>
      <c r="J416" s="34" t="s">
        <v>1429</v>
      </c>
      <c r="K416" s="34" t="s">
        <v>1433</v>
      </c>
      <c r="L416" s="34" t="s">
        <v>554</v>
      </c>
      <c r="N416" s="95"/>
      <c r="O416" s="95"/>
    </row>
    <row r="417" spans="1:15" ht="14.4" customHeight="1" x14ac:dyDescent="0.3">
      <c r="A417" s="163" t="str">
        <f>IF(ISERROR(MATCH($H417,EAD_CIs!D:D,0)),"NO",
    IF(VLOOKUP($H417,EAD_CIs!D:N,MATCH("Status",EAD_CIs!D$2:N$2,0),0)="Done","No",VLOOKUP($H417,EAD_CIs!D:N,MATCH("Related",EAD_CIs!D$2:N$2,0),0) ))</f>
        <v>NO</v>
      </c>
      <c r="B417" s="203">
        <v>344812</v>
      </c>
      <c r="C417" s="34" t="s">
        <v>497</v>
      </c>
      <c r="D417" s="34" t="s">
        <v>167</v>
      </c>
      <c r="E417" s="34" t="s">
        <v>165</v>
      </c>
      <c r="F417" s="34" t="s">
        <v>1026</v>
      </c>
      <c r="G417" s="34" t="s">
        <v>173</v>
      </c>
      <c r="H417" s="34" t="s">
        <v>372</v>
      </c>
      <c r="I417" s="34" t="s">
        <v>36</v>
      </c>
      <c r="J417" s="34" t="s">
        <v>1420</v>
      </c>
      <c r="K417" s="34" t="s">
        <v>1433</v>
      </c>
      <c r="L417" s="34" t="s">
        <v>554</v>
      </c>
      <c r="N417" s="95"/>
      <c r="O417" s="95"/>
    </row>
    <row r="418" spans="1:15" ht="14.4" customHeight="1" x14ac:dyDescent="0.3">
      <c r="A418" s="163" t="str">
        <f>IF(ISERROR(MATCH($H418,EAD_CIs!D:D,0)),"NO",
    IF(VLOOKUP($H418,EAD_CIs!D:N,MATCH("Status",EAD_CIs!D$2:N$2,0),0)="Done","No",VLOOKUP($H418,EAD_CIs!D:N,MATCH("Related",EAD_CIs!D$2:N$2,0),0) ))</f>
        <v>NO</v>
      </c>
      <c r="B418" s="203">
        <v>344793</v>
      </c>
      <c r="C418" s="34" t="s">
        <v>498</v>
      </c>
      <c r="D418" s="34" t="s">
        <v>167</v>
      </c>
      <c r="E418" s="34" t="s">
        <v>165</v>
      </c>
      <c r="F418" s="34" t="s">
        <v>1304</v>
      </c>
      <c r="G418" s="34" t="s">
        <v>1009</v>
      </c>
      <c r="H418" s="34" t="s">
        <v>372</v>
      </c>
      <c r="I418" s="34" t="s">
        <v>36</v>
      </c>
      <c r="J418" s="34" t="s">
        <v>1420</v>
      </c>
      <c r="K418" s="34" t="s">
        <v>1433</v>
      </c>
      <c r="L418" s="34" t="s">
        <v>554</v>
      </c>
      <c r="N418" s="95"/>
      <c r="O418" s="95"/>
    </row>
    <row r="419" spans="1:15" ht="14.4" customHeight="1" x14ac:dyDescent="0.3">
      <c r="A419" s="163" t="str">
        <f>IF(ISERROR(MATCH($H419,EAD_CIs!D:D,0)),"NO",
    IF(VLOOKUP($H419,EAD_CIs!D:N,MATCH("Status",EAD_CIs!D$2:N$2,0),0)="Done","No",VLOOKUP($H419,EAD_CIs!D:N,MATCH("Related",EAD_CIs!D$2:N$2,0),0) ))</f>
        <v>NO</v>
      </c>
      <c r="B419" s="203">
        <v>344772</v>
      </c>
      <c r="C419" s="34" t="s">
        <v>499</v>
      </c>
      <c r="D419" s="34" t="s">
        <v>167</v>
      </c>
      <c r="E419" s="34" t="s">
        <v>165</v>
      </c>
      <c r="F419" s="34" t="s">
        <v>1024</v>
      </c>
      <c r="G419" s="34" t="s">
        <v>173</v>
      </c>
      <c r="H419" s="34" t="s">
        <v>372</v>
      </c>
      <c r="I419" s="34" t="s">
        <v>36</v>
      </c>
      <c r="J419" s="34" t="s">
        <v>1429</v>
      </c>
      <c r="K419" s="34" t="s">
        <v>1421</v>
      </c>
      <c r="L419" s="34" t="s">
        <v>554</v>
      </c>
      <c r="N419" s="95"/>
      <c r="O419" s="95"/>
    </row>
    <row r="420" spans="1:15" ht="14.4" customHeight="1" x14ac:dyDescent="0.3">
      <c r="A420" s="163" t="str">
        <f>IF(ISERROR(MATCH($H420,EAD_CIs!D:D,0)),"NO",
    IF(VLOOKUP($H420,EAD_CIs!D:N,MATCH("Status",EAD_CIs!D$2:N$2,0),0)="Done","No",VLOOKUP($H420,EAD_CIs!D:N,MATCH("Related",EAD_CIs!D$2:N$2,0),0) ))</f>
        <v>NO</v>
      </c>
      <c r="B420" s="203">
        <v>344757</v>
      </c>
      <c r="C420" s="34" t="s">
        <v>500</v>
      </c>
      <c r="D420" s="34" t="s">
        <v>167</v>
      </c>
      <c r="E420" s="34" t="s">
        <v>165</v>
      </c>
      <c r="F420" s="34" t="s">
        <v>1024</v>
      </c>
      <c r="G420" s="34" t="s">
        <v>173</v>
      </c>
      <c r="H420" s="34" t="s">
        <v>372</v>
      </c>
      <c r="I420" s="34" t="s">
        <v>36</v>
      </c>
      <c r="J420" s="34" t="s">
        <v>1429</v>
      </c>
      <c r="K420" s="34" t="s">
        <v>1433</v>
      </c>
      <c r="L420" s="34" t="s">
        <v>554</v>
      </c>
      <c r="N420" s="95"/>
      <c r="O420" s="95"/>
    </row>
    <row r="421" spans="1:15" ht="14.4" customHeight="1" x14ac:dyDescent="0.3">
      <c r="A421" s="163" t="str">
        <f>IF(ISERROR(MATCH($H421,EAD_CIs!D:D,0)),"NO",
    IF(VLOOKUP($H421,EAD_CIs!D:N,MATCH("Status",EAD_CIs!D$2:N$2,0),0)="Done","No",VLOOKUP($H421,EAD_CIs!D:N,MATCH("Related",EAD_CIs!D$2:N$2,0),0) ))</f>
        <v>#1003390
#1014169</v>
      </c>
      <c r="B421" s="203">
        <v>344492</v>
      </c>
      <c r="C421" s="34" t="s">
        <v>215</v>
      </c>
      <c r="D421" s="34" t="s">
        <v>167</v>
      </c>
      <c r="E421" s="34" t="s">
        <v>165</v>
      </c>
      <c r="F421" s="34" t="s">
        <v>1023</v>
      </c>
      <c r="G421" s="34" t="s">
        <v>547</v>
      </c>
      <c r="H421" s="34" t="s">
        <v>206</v>
      </c>
      <c r="I421" s="34" t="s">
        <v>36</v>
      </c>
      <c r="J421" s="34" t="s">
        <v>1429</v>
      </c>
      <c r="K421" s="34" t="s">
        <v>1434</v>
      </c>
      <c r="L421" s="34" t="s">
        <v>554</v>
      </c>
      <c r="N421" s="95"/>
      <c r="O421" s="95"/>
    </row>
    <row r="422" spans="1:15" ht="14.4" customHeight="1" x14ac:dyDescent="0.3">
      <c r="A422" s="163" t="str">
        <f>IF(ISERROR(MATCH($H422,EAD_CIs!D:D,0)),"NO",
    IF(VLOOKUP($H422,EAD_CIs!D:N,MATCH("Status",EAD_CIs!D$2:N$2,0),0)="Done","No",VLOOKUP($H422,EAD_CIs!D:N,MATCH("Related",EAD_CIs!D$2:N$2,0),0) ))</f>
        <v>#388195
#1004738
#342054</v>
      </c>
      <c r="B422" s="203">
        <v>344081</v>
      </c>
      <c r="C422" s="34" t="s">
        <v>355</v>
      </c>
      <c r="D422" s="34" t="s">
        <v>36</v>
      </c>
      <c r="E422" s="34" t="s">
        <v>165</v>
      </c>
      <c r="F422" s="34" t="s">
        <v>239</v>
      </c>
      <c r="G422" s="34" t="s">
        <v>1008</v>
      </c>
      <c r="H422" s="34" t="s">
        <v>211</v>
      </c>
      <c r="I422" s="34" t="s">
        <v>36</v>
      </c>
      <c r="J422" s="34" t="s">
        <v>1429</v>
      </c>
      <c r="K422" s="34" t="s">
        <v>1421</v>
      </c>
      <c r="L422" s="34" t="s">
        <v>947</v>
      </c>
      <c r="N422" s="95"/>
      <c r="O422" s="95"/>
    </row>
    <row r="423" spans="1:15" ht="14.4" customHeight="1" x14ac:dyDescent="0.3">
      <c r="A423" s="163" t="str">
        <f>IF(ISERROR(MATCH($H423,EAD_CIs!D:D,0)),"NO",
    IF(VLOOKUP($H423,EAD_CIs!D:N,MATCH("Status",EAD_CIs!D$2:N$2,0),0)="Done","No",VLOOKUP($H423,EAD_CIs!D:N,MATCH("Related",EAD_CIs!D$2:N$2,0),0) ))</f>
        <v>NO</v>
      </c>
      <c r="B423" s="203">
        <v>343502</v>
      </c>
      <c r="C423" s="34" t="s">
        <v>357</v>
      </c>
      <c r="D423" s="34" t="s">
        <v>167</v>
      </c>
      <c r="E423" s="34" t="s">
        <v>165</v>
      </c>
      <c r="F423" s="34" t="s">
        <v>239</v>
      </c>
      <c r="G423" s="34" t="s">
        <v>547</v>
      </c>
      <c r="H423" s="34" t="s">
        <v>219</v>
      </c>
      <c r="I423" s="34" t="s">
        <v>36</v>
      </c>
      <c r="J423" s="34" t="s">
        <v>1429</v>
      </c>
      <c r="K423" s="34" t="s">
        <v>1421</v>
      </c>
      <c r="L423" s="34" t="s">
        <v>951</v>
      </c>
      <c r="N423" s="95"/>
      <c r="O423" s="95"/>
    </row>
    <row r="424" spans="1:15" ht="14.4" customHeight="1" x14ac:dyDescent="0.3">
      <c r="A424" s="163" t="str">
        <f>IF(ISERROR(MATCH($H424,EAD_CIs!D:D,0)),"NO",
    IF(VLOOKUP($H424,EAD_CIs!D:N,MATCH("Status",EAD_CIs!D$2:N$2,0),0)="Done","No",VLOOKUP($H424,EAD_CIs!D:N,MATCH("Related",EAD_CIs!D$2:N$2,0),0) ))</f>
        <v>#395688</v>
      </c>
      <c r="B424" s="203">
        <v>343147</v>
      </c>
      <c r="C424" s="34" t="s">
        <v>285</v>
      </c>
      <c r="D424" s="34" t="s">
        <v>167</v>
      </c>
      <c r="E424" s="34" t="s">
        <v>165</v>
      </c>
      <c r="F424" s="34" t="s">
        <v>196</v>
      </c>
      <c r="G424" s="34" t="s">
        <v>546</v>
      </c>
      <c r="H424" s="34" t="s">
        <v>283</v>
      </c>
      <c r="I424" s="34" t="s">
        <v>36</v>
      </c>
      <c r="J424" s="34" t="s">
        <v>1429</v>
      </c>
      <c r="K424" s="34" t="s">
        <v>1421</v>
      </c>
      <c r="L424" s="34" t="s">
        <v>944</v>
      </c>
      <c r="N424" s="95"/>
      <c r="O424" s="95"/>
    </row>
    <row r="425" spans="1:15" ht="14.4" customHeight="1" x14ac:dyDescent="0.3">
      <c r="A425" s="163" t="str">
        <f>IF(ISERROR(MATCH($H425,EAD_CIs!D:D,0)),"NO",
    IF(VLOOKUP($H425,EAD_CIs!D:N,MATCH("Status",EAD_CIs!D$2:N$2,0),0)="Done","No",VLOOKUP($H425,EAD_CIs!D:N,MATCH("Related",EAD_CIs!D$2:N$2,0),0) ))</f>
        <v>#342054
#1014201
#1003390</v>
      </c>
      <c r="B425" s="203">
        <v>342864</v>
      </c>
      <c r="C425" s="34" t="s">
        <v>261</v>
      </c>
      <c r="D425" s="34" t="s">
        <v>167</v>
      </c>
      <c r="E425" s="34" t="s">
        <v>165</v>
      </c>
      <c r="F425" s="34" t="s">
        <v>196</v>
      </c>
      <c r="G425" s="34" t="s">
        <v>547</v>
      </c>
      <c r="H425" s="34" t="s">
        <v>193</v>
      </c>
      <c r="I425" s="34" t="s">
        <v>36</v>
      </c>
      <c r="J425" s="34" t="s">
        <v>1429</v>
      </c>
      <c r="K425" s="34" t="s">
        <v>1421</v>
      </c>
      <c r="L425" s="34" t="s">
        <v>554</v>
      </c>
      <c r="N425" s="95"/>
      <c r="O425" s="95"/>
    </row>
    <row r="426" spans="1:15" ht="14.4" customHeight="1" x14ac:dyDescent="0.3">
      <c r="A426" s="163" t="str">
        <f>IF(ISERROR(MATCH($H426,EAD_CIs!D:D,0)),"NO",
    IF(VLOOKUP($H426,EAD_CIs!D:N,MATCH("Status",EAD_CIs!D$2:N$2,0),0)="Done","No",VLOOKUP($H426,EAD_CIs!D:N,MATCH("Related",EAD_CIs!D$2:N$2,0),0) ))</f>
        <v>#393391</v>
      </c>
      <c r="B426" s="203">
        <v>342758</v>
      </c>
      <c r="C426" s="34" t="s">
        <v>235</v>
      </c>
      <c r="D426" s="34" t="s">
        <v>167</v>
      </c>
      <c r="E426" s="34" t="s">
        <v>165</v>
      </c>
      <c r="F426" s="34" t="s">
        <v>237</v>
      </c>
      <c r="G426" s="34" t="s">
        <v>164</v>
      </c>
      <c r="H426" s="34" t="s">
        <v>236</v>
      </c>
      <c r="I426" s="34" t="s">
        <v>36</v>
      </c>
      <c r="J426" s="34" t="s">
        <v>1429</v>
      </c>
      <c r="K426" s="34" t="s">
        <v>1421</v>
      </c>
      <c r="L426" s="34" t="s">
        <v>17</v>
      </c>
      <c r="N426" s="95"/>
      <c r="O426" s="95"/>
    </row>
    <row r="427" spans="1:15" ht="14.4" customHeight="1" x14ac:dyDescent="0.3">
      <c r="A427" s="163" t="str">
        <f>IF(ISERROR(MATCH($H427,EAD_CIs!D:D,0)),"NO",
    IF(VLOOKUP($H427,EAD_CIs!D:N,MATCH("Status",EAD_CIs!D$2:N$2,0),0)="Done","No",VLOOKUP($H427,EAD_CIs!D:N,MATCH("Related",EAD_CIs!D$2:N$2,0),0) ))</f>
        <v>NO</v>
      </c>
      <c r="B427" s="203">
        <v>342753</v>
      </c>
      <c r="C427" s="34" t="s">
        <v>252</v>
      </c>
      <c r="D427" s="34" t="s">
        <v>167</v>
      </c>
      <c r="E427" s="34" t="s">
        <v>165</v>
      </c>
      <c r="F427" s="34" t="s">
        <v>183</v>
      </c>
      <c r="G427" s="34" t="s">
        <v>54</v>
      </c>
      <c r="H427" s="34" t="s">
        <v>253</v>
      </c>
      <c r="I427" s="34" t="s">
        <v>36</v>
      </c>
      <c r="J427" s="34" t="s">
        <v>1429</v>
      </c>
      <c r="K427" s="34" t="s">
        <v>1434</v>
      </c>
      <c r="L427" s="34" t="s">
        <v>17</v>
      </c>
      <c r="N427" s="95"/>
      <c r="O427" s="95"/>
    </row>
    <row r="428" spans="1:15" ht="14.4" customHeight="1" x14ac:dyDescent="0.3">
      <c r="A428" s="163" t="str">
        <f>IF(ISERROR(MATCH($H428,EAD_CIs!D:D,0)),"NO",
    IF(VLOOKUP($H428,EAD_CIs!D:N,MATCH("Status",EAD_CIs!D$2:N$2,0),0)="Done","No",VLOOKUP($H428,EAD_CIs!D:N,MATCH("Related",EAD_CIs!D$2:N$2,0),0) ))</f>
        <v>NO</v>
      </c>
      <c r="B428" s="203">
        <v>341933</v>
      </c>
      <c r="C428" s="34" t="s">
        <v>338</v>
      </c>
      <c r="D428" s="34" t="s">
        <v>167</v>
      </c>
      <c r="E428" s="34" t="s">
        <v>165</v>
      </c>
      <c r="F428" s="34" t="s">
        <v>249</v>
      </c>
      <c r="G428" s="34" t="s">
        <v>138</v>
      </c>
      <c r="H428" s="34" t="s">
        <v>339</v>
      </c>
      <c r="I428" s="34" t="s">
        <v>36</v>
      </c>
      <c r="J428" s="34" t="s">
        <v>1429</v>
      </c>
      <c r="K428" s="34" t="s">
        <v>1421</v>
      </c>
      <c r="L428" s="34" t="s">
        <v>950</v>
      </c>
      <c r="N428" s="95"/>
      <c r="O428" s="95"/>
    </row>
    <row r="429" spans="1:15" ht="14.4" customHeight="1" x14ac:dyDescent="0.3">
      <c r="A429" s="163" t="str">
        <f>IF(ISERROR(MATCH($H429,EAD_CIs!D:D,0)),"NO",
    IF(VLOOKUP($H429,EAD_CIs!D:N,MATCH("Status",EAD_CIs!D$2:N$2,0),0)="Done","No",VLOOKUP($H429,EAD_CIs!D:N,MATCH("Related",EAD_CIs!D$2:N$2,0),0) ))</f>
        <v>#342054
#1014201
#1003390</v>
      </c>
      <c r="B429" s="203">
        <v>341932</v>
      </c>
      <c r="C429" s="34" t="s">
        <v>262</v>
      </c>
      <c r="D429" s="34" t="s">
        <v>36</v>
      </c>
      <c r="E429" s="34" t="s">
        <v>165</v>
      </c>
      <c r="F429" s="34" t="s">
        <v>249</v>
      </c>
      <c r="G429" s="34" t="s">
        <v>550</v>
      </c>
      <c r="H429" s="34" t="s">
        <v>193</v>
      </c>
      <c r="I429" s="34" t="s">
        <v>36</v>
      </c>
      <c r="J429" s="34" t="s">
        <v>1429</v>
      </c>
      <c r="K429" s="34" t="s">
        <v>1421</v>
      </c>
      <c r="L429" s="34" t="s">
        <v>950</v>
      </c>
      <c r="N429" s="95"/>
      <c r="O429" s="95"/>
    </row>
    <row r="430" spans="1:15" ht="14.4" customHeight="1" x14ac:dyDescent="0.3">
      <c r="A430" s="163" t="str">
        <f>IF(ISERROR(MATCH($H430,EAD_CIs!D:D,0)),"NO",
    IF(VLOOKUP($H430,EAD_CIs!D:N,MATCH("Status",EAD_CIs!D$2:N$2,0),0)="Done","No",VLOOKUP($H430,EAD_CIs!D:N,MATCH("Related",EAD_CIs!D$2:N$2,0),0) ))</f>
        <v>#377408
#1001248
#381643
#383958
#315485
#342163
#299984
#354174
#381524
#332951
#318380
#386935</v>
      </c>
      <c r="B430" s="203">
        <v>340490</v>
      </c>
      <c r="C430" s="34" t="s">
        <v>1303</v>
      </c>
      <c r="D430" s="34" t="s">
        <v>167</v>
      </c>
      <c r="E430" s="34" t="s">
        <v>165</v>
      </c>
      <c r="F430" s="34" t="s">
        <v>196</v>
      </c>
      <c r="G430" s="34" t="s">
        <v>54</v>
      </c>
      <c r="H430" s="34" t="s">
        <v>1177</v>
      </c>
      <c r="I430" s="34" t="s">
        <v>36</v>
      </c>
      <c r="J430" s="34" t="s">
        <v>1429</v>
      </c>
      <c r="K430" s="34" t="s">
        <v>1421</v>
      </c>
      <c r="L430" s="34" t="s">
        <v>17</v>
      </c>
      <c r="N430" s="95"/>
      <c r="O430" s="95"/>
    </row>
    <row r="431" spans="1:15" ht="14.4" customHeight="1" x14ac:dyDescent="0.3">
      <c r="A431" s="163">
        <f>IF(ISERROR(MATCH($H431,EAD_CIs!D:D,0)),"NO",
    IF(VLOOKUP($H431,EAD_CIs!D:N,MATCH("Status",EAD_CIs!D$2:N$2,0),0)="Done","No",VLOOKUP($H431,EAD_CIs!D:N,MATCH("Related",EAD_CIs!D$2:N$2,0),0) ))</f>
        <v>0</v>
      </c>
      <c r="B431" s="203">
        <v>339673</v>
      </c>
      <c r="C431" s="34" t="s">
        <v>636</v>
      </c>
      <c r="D431" s="34" t="s">
        <v>167</v>
      </c>
      <c r="E431" s="34" t="s">
        <v>165</v>
      </c>
      <c r="F431" s="34" t="s">
        <v>196</v>
      </c>
      <c r="G431" s="34" t="s">
        <v>362</v>
      </c>
      <c r="H431" s="34" t="s">
        <v>627</v>
      </c>
      <c r="I431" s="34" t="s">
        <v>36</v>
      </c>
      <c r="J431" s="34" t="s">
        <v>1429</v>
      </c>
      <c r="K431" s="34" t="s">
        <v>1421</v>
      </c>
      <c r="L431" s="34" t="s">
        <v>950</v>
      </c>
      <c r="N431" s="95"/>
      <c r="O431" s="95"/>
    </row>
    <row r="432" spans="1:15" ht="14.4" customHeight="1" x14ac:dyDescent="0.3">
      <c r="A432" s="163" t="str">
        <f>IF(ISERROR(MATCH($H432,EAD_CIs!D:D,0)),"NO",
    IF(VLOOKUP($H432,EAD_CIs!D:N,MATCH("Status",EAD_CIs!D$2:N$2,0),0)="Done","No",VLOOKUP($H432,EAD_CIs!D:N,MATCH("Related",EAD_CIs!D$2:N$2,0),0) ))</f>
        <v>NO</v>
      </c>
      <c r="B432" s="203">
        <v>339573</v>
      </c>
      <c r="C432" s="34" t="s">
        <v>308</v>
      </c>
      <c r="D432" s="34" t="s">
        <v>167</v>
      </c>
      <c r="E432" s="34" t="s">
        <v>165</v>
      </c>
      <c r="F432" s="34" t="s">
        <v>196</v>
      </c>
      <c r="G432" s="34" t="s">
        <v>745</v>
      </c>
      <c r="H432" s="34" t="s">
        <v>309</v>
      </c>
      <c r="I432" s="34" t="s">
        <v>36</v>
      </c>
      <c r="J432" s="34" t="s">
        <v>1429</v>
      </c>
      <c r="K432" s="34" t="s">
        <v>1421</v>
      </c>
      <c r="L432" s="34" t="s">
        <v>17</v>
      </c>
      <c r="N432" s="95"/>
      <c r="O432" s="95"/>
    </row>
    <row r="433" spans="1:15" ht="14.4" customHeight="1" x14ac:dyDescent="0.3">
      <c r="A433" s="163" t="str">
        <f>IF(ISERROR(MATCH($H433,EAD_CIs!D:D,0)),"NO",
    IF(VLOOKUP($H433,EAD_CIs!D:N,MATCH("Status",EAD_CIs!D$2:N$2,0),0)="Done","No",VLOOKUP($H433,EAD_CIs!D:N,MATCH("Related",EAD_CIs!D$2:N$2,0),0) ))</f>
        <v>#1007900</v>
      </c>
      <c r="B433" s="203">
        <v>339537</v>
      </c>
      <c r="C433" s="34" t="s">
        <v>637</v>
      </c>
      <c r="D433" s="34" t="s">
        <v>167</v>
      </c>
      <c r="E433" s="34" t="s">
        <v>165</v>
      </c>
      <c r="F433" s="34" t="s">
        <v>196</v>
      </c>
      <c r="G433" s="34" t="s">
        <v>1116</v>
      </c>
      <c r="H433" s="34" t="s">
        <v>356</v>
      </c>
      <c r="I433" s="34" t="s">
        <v>36</v>
      </c>
      <c r="J433" s="34" t="s">
        <v>1429</v>
      </c>
      <c r="K433" s="34" t="s">
        <v>1421</v>
      </c>
      <c r="L433" s="34" t="s">
        <v>15</v>
      </c>
      <c r="N433" s="95"/>
      <c r="O433" s="95"/>
    </row>
    <row r="434" spans="1:15" ht="14.4" customHeight="1" x14ac:dyDescent="0.3">
      <c r="A434" s="163" t="str">
        <f>IF(ISERROR(MATCH($H434,EAD_CIs!D:D,0)),"NO",
    IF(VLOOKUP($H434,EAD_CIs!D:N,MATCH("Status",EAD_CIs!D$2:N$2,0),0)="Done","No",VLOOKUP($H434,EAD_CIs!D:N,MATCH("Related",EAD_CIs!D$2:N$2,0),0) ))</f>
        <v>NO</v>
      </c>
      <c r="B434" s="203">
        <v>339155</v>
      </c>
      <c r="C434" s="34" t="s">
        <v>349</v>
      </c>
      <c r="D434" s="34" t="s">
        <v>167</v>
      </c>
      <c r="E434" s="34" t="s">
        <v>165</v>
      </c>
      <c r="F434" s="34" t="s">
        <v>196</v>
      </c>
      <c r="G434" s="34" t="s">
        <v>598</v>
      </c>
      <c r="H434" s="34" t="s">
        <v>350</v>
      </c>
      <c r="I434" s="34" t="s">
        <v>36</v>
      </c>
      <c r="J434" s="34" t="s">
        <v>1429</v>
      </c>
      <c r="K434" s="34" t="s">
        <v>1421</v>
      </c>
      <c r="L434" s="34" t="s">
        <v>950</v>
      </c>
      <c r="N434" s="95"/>
      <c r="O434" s="95"/>
    </row>
    <row r="435" spans="1:15" ht="14.4" customHeight="1" x14ac:dyDescent="0.3">
      <c r="A435" s="163" t="str">
        <f>IF(ISERROR(MATCH($H435,EAD_CIs!D:D,0)),"NO",
    IF(VLOOKUP($H435,EAD_CIs!D:N,MATCH("Status",EAD_CIs!D$2:N$2,0),0)="Done","No",VLOOKUP($H435,EAD_CIs!D:N,MATCH("Related",EAD_CIs!D$2:N$2,0),0) ))</f>
        <v>#393391</v>
      </c>
      <c r="B435" s="203">
        <v>337851</v>
      </c>
      <c r="C435" s="34" t="s">
        <v>238</v>
      </c>
      <c r="D435" s="34" t="s">
        <v>167</v>
      </c>
      <c r="E435" s="34" t="s">
        <v>165</v>
      </c>
      <c r="F435" s="34" t="s">
        <v>239</v>
      </c>
      <c r="G435" s="34" t="s">
        <v>54</v>
      </c>
      <c r="H435" s="34" t="s">
        <v>236</v>
      </c>
      <c r="I435" s="34" t="s">
        <v>36</v>
      </c>
      <c r="J435" s="34" t="s">
        <v>1429</v>
      </c>
      <c r="K435" s="34" t="s">
        <v>1421</v>
      </c>
      <c r="L435" s="34" t="s">
        <v>17</v>
      </c>
      <c r="N435" s="95"/>
      <c r="O435" s="95"/>
    </row>
    <row r="436" spans="1:15" ht="14.4" customHeight="1" x14ac:dyDescent="0.3">
      <c r="A436" s="163" t="str">
        <f>IF(ISERROR(MATCH($H436,EAD_CIs!D:D,0)),"NO",
    IF(VLOOKUP($H436,EAD_CIs!D:N,MATCH("Status",EAD_CIs!D$2:N$2,0),0)="Done","No",VLOOKUP($H436,EAD_CIs!D:N,MATCH("Related",EAD_CIs!D$2:N$2,0),0) ))</f>
        <v>#299984
#380808
#1007900
#1011909
#1003390
#1014202
#1013452</v>
      </c>
      <c r="B436" s="203">
        <v>337428</v>
      </c>
      <c r="C436" s="34" t="s">
        <v>599</v>
      </c>
      <c r="D436" s="34" t="s">
        <v>167</v>
      </c>
      <c r="E436" s="34" t="s">
        <v>165</v>
      </c>
      <c r="F436" s="34" t="s">
        <v>183</v>
      </c>
      <c r="G436" s="34" t="s">
        <v>582</v>
      </c>
      <c r="H436" s="34" t="s">
        <v>209</v>
      </c>
      <c r="I436" s="34" t="s">
        <v>36</v>
      </c>
      <c r="J436" s="34" t="s">
        <v>1429</v>
      </c>
      <c r="K436" s="34" t="s">
        <v>1434</v>
      </c>
      <c r="L436" s="34" t="s">
        <v>943</v>
      </c>
      <c r="N436" s="95"/>
      <c r="O436" s="95"/>
    </row>
    <row r="437" spans="1:15" ht="14.4" customHeight="1" x14ac:dyDescent="0.3">
      <c r="A437" s="163" t="str">
        <f>IF(ISERROR(MATCH($H437,EAD_CIs!D:D,0)),"NO",
    IF(VLOOKUP($H437,EAD_CIs!D:N,MATCH("Status",EAD_CIs!D$2:N$2,0),0)="Done","No",VLOOKUP($H437,EAD_CIs!D:N,MATCH("Related",EAD_CIs!D$2:N$2,0),0) ))</f>
        <v>#388195
#1004738
#342054</v>
      </c>
      <c r="B437" s="203">
        <v>336784</v>
      </c>
      <c r="C437" s="34" t="s">
        <v>863</v>
      </c>
      <c r="D437" s="34" t="s">
        <v>36</v>
      </c>
      <c r="E437" s="34" t="s">
        <v>165</v>
      </c>
      <c r="F437" s="34" t="s">
        <v>183</v>
      </c>
      <c r="G437" s="34" t="s">
        <v>1008</v>
      </c>
      <c r="H437" s="34" t="s">
        <v>211</v>
      </c>
      <c r="I437" s="34" t="s">
        <v>36</v>
      </c>
      <c r="J437" s="34" t="s">
        <v>1429</v>
      </c>
      <c r="K437" s="34" t="s">
        <v>1434</v>
      </c>
      <c r="L437" s="34" t="s">
        <v>947</v>
      </c>
      <c r="N437" s="95"/>
      <c r="O437" s="95"/>
    </row>
    <row r="438" spans="1:15" ht="14.4" customHeight="1" x14ac:dyDescent="0.3">
      <c r="A438" s="163" t="str">
        <f>IF(ISERROR(MATCH($H438,EAD_CIs!D:D,0)),"NO",
    IF(VLOOKUP($H438,EAD_CIs!D:N,MATCH("Status",EAD_CIs!D$2:N$2,0),0)="Done","No",VLOOKUP($H438,EAD_CIs!D:N,MATCH("Related",EAD_CIs!D$2:N$2,0),0) ))</f>
        <v>#1007900</v>
      </c>
      <c r="B438" s="203">
        <v>336443</v>
      </c>
      <c r="C438" s="34" t="s">
        <v>514</v>
      </c>
      <c r="D438" s="34" t="s">
        <v>167</v>
      </c>
      <c r="E438" s="34" t="s">
        <v>28</v>
      </c>
      <c r="F438" s="34" t="s">
        <v>196</v>
      </c>
      <c r="G438" s="34" t="s">
        <v>597</v>
      </c>
      <c r="H438" s="34" t="s">
        <v>356</v>
      </c>
      <c r="I438" s="34" t="s">
        <v>36</v>
      </c>
      <c r="J438" s="34" t="s">
        <v>1429</v>
      </c>
      <c r="K438" s="34" t="s">
        <v>1421</v>
      </c>
      <c r="L438" s="34" t="s">
        <v>17</v>
      </c>
      <c r="N438" s="95"/>
      <c r="O438" s="95"/>
    </row>
    <row r="439" spans="1:15" ht="14.4" customHeight="1" x14ac:dyDescent="0.3">
      <c r="A439" s="163" t="str">
        <f>IF(ISERROR(MATCH($H439,EAD_CIs!D:D,0)),"NO",
    IF(VLOOKUP($H439,EAD_CIs!D:N,MATCH("Status",EAD_CIs!D$2:N$2,0),0)="Done","No",VLOOKUP($H439,EAD_CIs!D:N,MATCH("Related",EAD_CIs!D$2:N$2,0),0) ))</f>
        <v>#299984
#380808
#1007900
#1011909
#1003390
#1014202
#1013452</v>
      </c>
      <c r="B439" s="203">
        <v>336421</v>
      </c>
      <c r="C439" s="34" t="s">
        <v>1507</v>
      </c>
      <c r="D439" s="34" t="s">
        <v>167</v>
      </c>
      <c r="E439" s="34" t="s">
        <v>165</v>
      </c>
      <c r="F439" s="34" t="s">
        <v>196</v>
      </c>
      <c r="G439" s="34" t="s">
        <v>582</v>
      </c>
      <c r="H439" s="34" t="s">
        <v>209</v>
      </c>
      <c r="I439" s="34" t="s">
        <v>36</v>
      </c>
      <c r="J439" s="34" t="s">
        <v>1429</v>
      </c>
      <c r="K439" s="34" t="s">
        <v>1421</v>
      </c>
      <c r="L439" s="34" t="s">
        <v>943</v>
      </c>
      <c r="N439" s="95"/>
      <c r="O439" s="95"/>
    </row>
    <row r="440" spans="1:15" ht="14.4" customHeight="1" x14ac:dyDescent="0.3">
      <c r="A440" s="163" t="str">
        <f>IF(ISERROR(MATCH($H440,EAD_CIs!D:D,0)),"NO",
    IF(VLOOKUP($H440,EAD_CIs!D:N,MATCH("Status",EAD_CIs!D$2:N$2,0),0)="Done","No",VLOOKUP($H440,EAD_CIs!D:N,MATCH("Related",EAD_CIs!D$2:N$2,0),0) ))</f>
        <v>NO</v>
      </c>
      <c r="B440" s="203">
        <v>336320</v>
      </c>
      <c r="C440" s="34" t="s">
        <v>930</v>
      </c>
      <c r="D440" s="34" t="s">
        <v>167</v>
      </c>
      <c r="E440" s="34" t="s">
        <v>28</v>
      </c>
      <c r="F440" s="34" t="s">
        <v>196</v>
      </c>
      <c r="G440" s="34" t="s">
        <v>164</v>
      </c>
      <c r="H440" s="34" t="s">
        <v>189</v>
      </c>
      <c r="I440" s="34" t="s">
        <v>36</v>
      </c>
      <c r="J440" s="34" t="s">
        <v>1420</v>
      </c>
      <c r="K440" s="34" t="s">
        <v>1421</v>
      </c>
      <c r="L440" s="34" t="s">
        <v>17</v>
      </c>
      <c r="N440" s="95"/>
      <c r="O440" s="95"/>
    </row>
    <row r="441" spans="1:15" ht="14.4" customHeight="1" x14ac:dyDescent="0.3">
      <c r="A441" s="163" t="str">
        <f>IF(ISERROR(MATCH($H441,EAD_CIs!D:D,0)),"NO",
    IF(VLOOKUP($H441,EAD_CIs!D:N,MATCH("Status",EAD_CIs!D$2:N$2,0),0)="Done","No",VLOOKUP($H441,EAD_CIs!D:N,MATCH("Related",EAD_CIs!D$2:N$2,0),0) ))</f>
        <v>#1003390
#1014169</v>
      </c>
      <c r="B441" s="203">
        <v>336298</v>
      </c>
      <c r="C441" s="34" t="s">
        <v>2047</v>
      </c>
      <c r="D441" s="34" t="s">
        <v>167</v>
      </c>
      <c r="E441" s="34" t="s">
        <v>28</v>
      </c>
      <c r="F441" s="34" t="s">
        <v>1015</v>
      </c>
      <c r="G441" s="34" t="s">
        <v>173</v>
      </c>
      <c r="H441" s="34" t="s">
        <v>206</v>
      </c>
      <c r="I441" s="34" t="s">
        <v>36</v>
      </c>
      <c r="J441" s="34" t="s">
        <v>1429</v>
      </c>
      <c r="K441" s="34" t="s">
        <v>1433</v>
      </c>
      <c r="L441" s="34" t="s">
        <v>554</v>
      </c>
      <c r="N441" s="95"/>
      <c r="O441" s="95"/>
    </row>
    <row r="442" spans="1:15" ht="14.4" customHeight="1" x14ac:dyDescent="0.3">
      <c r="A442" s="163" t="str">
        <f>IF(ISERROR(MATCH($H442,EAD_CIs!D:D,0)),"NO",
    IF(VLOOKUP($H442,EAD_CIs!D:N,MATCH("Status",EAD_CIs!D$2:N$2,0),0)="Done","No",VLOOKUP($H442,EAD_CIs!D:N,MATCH("Related",EAD_CIs!D$2:N$2,0),0) ))</f>
        <v>#1003390
#1014169</v>
      </c>
      <c r="B442" s="203">
        <v>336295</v>
      </c>
      <c r="C442" s="34" t="s">
        <v>2123</v>
      </c>
      <c r="D442" s="34" t="s">
        <v>167</v>
      </c>
      <c r="E442" s="34" t="s">
        <v>165</v>
      </c>
      <c r="F442" s="34" t="s">
        <v>1023</v>
      </c>
      <c r="G442" s="34" t="s">
        <v>547</v>
      </c>
      <c r="H442" s="34" t="s">
        <v>206</v>
      </c>
      <c r="I442" s="34" t="s">
        <v>36</v>
      </c>
      <c r="J442" s="34" t="s">
        <v>1429</v>
      </c>
      <c r="K442" s="34" t="s">
        <v>1421</v>
      </c>
      <c r="L442" s="34" t="s">
        <v>554</v>
      </c>
      <c r="N442" s="95"/>
      <c r="O442" s="95"/>
    </row>
    <row r="443" spans="1:15" ht="14.4" customHeight="1" x14ac:dyDescent="0.3">
      <c r="A443" s="163" t="str">
        <f>IF(ISERROR(MATCH($H443,EAD_CIs!D:D,0)),"NO",
    IF(VLOOKUP($H443,EAD_CIs!D:N,MATCH("Status",EAD_CIs!D$2:N$2,0),0)="Done","No",VLOOKUP($H443,EAD_CIs!D:N,MATCH("Related",EAD_CIs!D$2:N$2,0),0) ))</f>
        <v>#1003390
#1014169</v>
      </c>
      <c r="B443" s="203">
        <v>336294</v>
      </c>
      <c r="C443" s="34" t="s">
        <v>2124</v>
      </c>
      <c r="D443" s="34" t="s">
        <v>167</v>
      </c>
      <c r="E443" s="34" t="s">
        <v>165</v>
      </c>
      <c r="F443" s="34" t="s">
        <v>1023</v>
      </c>
      <c r="G443" s="34" t="s">
        <v>547</v>
      </c>
      <c r="H443" s="34" t="s">
        <v>206</v>
      </c>
      <c r="I443" s="34" t="s">
        <v>36</v>
      </c>
      <c r="J443" s="34" t="s">
        <v>1429</v>
      </c>
      <c r="K443" s="34" t="s">
        <v>1421</v>
      </c>
      <c r="L443" s="34" t="s">
        <v>554</v>
      </c>
      <c r="N443" s="95"/>
      <c r="O443" s="95"/>
    </row>
    <row r="444" spans="1:15" ht="14.4" customHeight="1" x14ac:dyDescent="0.3">
      <c r="A444" s="163" t="str">
        <f>IF(ISERROR(MATCH($H444,EAD_CIs!D:D,0)),"NO",
    IF(VLOOKUP($H444,EAD_CIs!D:N,MATCH("Status",EAD_CIs!D$2:N$2,0),0)="Done","No",VLOOKUP($H444,EAD_CIs!D:N,MATCH("Related",EAD_CIs!D$2:N$2,0),0) ))</f>
        <v>#1003390
#1014169</v>
      </c>
      <c r="B444" s="203">
        <v>336293</v>
      </c>
      <c r="C444" s="34" t="s">
        <v>2125</v>
      </c>
      <c r="D444" s="34" t="s">
        <v>167</v>
      </c>
      <c r="E444" s="34" t="s">
        <v>165</v>
      </c>
      <c r="F444" s="34" t="s">
        <v>1023</v>
      </c>
      <c r="G444" s="34" t="s">
        <v>547</v>
      </c>
      <c r="H444" s="34" t="s">
        <v>206</v>
      </c>
      <c r="I444" s="34" t="s">
        <v>36</v>
      </c>
      <c r="J444" s="34" t="s">
        <v>1429</v>
      </c>
      <c r="K444" s="34" t="s">
        <v>1421</v>
      </c>
      <c r="L444" s="34" t="s">
        <v>554</v>
      </c>
      <c r="N444" s="95"/>
      <c r="O444" s="95"/>
    </row>
    <row r="445" spans="1:15" ht="14.4" customHeight="1" x14ac:dyDescent="0.3">
      <c r="A445" s="163" t="str">
        <f>IF(ISERROR(MATCH($H445,EAD_CIs!D:D,0)),"NO",
    IF(VLOOKUP($H445,EAD_CIs!D:N,MATCH("Status",EAD_CIs!D$2:N$2,0),0)="Done","No",VLOOKUP($H445,EAD_CIs!D:N,MATCH("Related",EAD_CIs!D$2:N$2,0),0) ))</f>
        <v>#1003390
#1014169</v>
      </c>
      <c r="B445" s="203">
        <v>336291</v>
      </c>
      <c r="C445" s="34" t="s">
        <v>2126</v>
      </c>
      <c r="D445" s="34" t="s">
        <v>167</v>
      </c>
      <c r="E445" s="34" t="s">
        <v>165</v>
      </c>
      <c r="F445" s="34" t="s">
        <v>1023</v>
      </c>
      <c r="G445" s="34" t="s">
        <v>547</v>
      </c>
      <c r="H445" s="34" t="s">
        <v>206</v>
      </c>
      <c r="I445" s="34" t="s">
        <v>36</v>
      </c>
      <c r="J445" s="34" t="s">
        <v>1429</v>
      </c>
      <c r="K445" s="34" t="s">
        <v>1421</v>
      </c>
      <c r="L445" s="34" t="s">
        <v>554</v>
      </c>
      <c r="N445" s="95"/>
      <c r="O445" s="95"/>
    </row>
    <row r="446" spans="1:15" ht="14.4" customHeight="1" x14ac:dyDescent="0.3">
      <c r="A446" s="163" t="str">
        <f>IF(ISERROR(MATCH($H446,EAD_CIs!D:D,0)),"NO",
    IF(VLOOKUP($H446,EAD_CIs!D:N,MATCH("Status",EAD_CIs!D$2:N$2,0),0)="Done","No",VLOOKUP($H446,EAD_CIs!D:N,MATCH("Related",EAD_CIs!D$2:N$2,0),0) ))</f>
        <v>#299984
#380808
#1007900
#1011909
#1003390
#1014202
#1013452</v>
      </c>
      <c r="B446" s="203">
        <v>336259</v>
      </c>
      <c r="C446" s="34" t="s">
        <v>791</v>
      </c>
      <c r="D446" s="34" t="s">
        <v>167</v>
      </c>
      <c r="E446" s="34" t="s">
        <v>165</v>
      </c>
      <c r="F446" s="34" t="s">
        <v>196</v>
      </c>
      <c r="G446" s="34" t="s">
        <v>582</v>
      </c>
      <c r="H446" s="34" t="s">
        <v>209</v>
      </c>
      <c r="I446" s="34" t="s">
        <v>36</v>
      </c>
      <c r="J446" s="34" t="s">
        <v>1429</v>
      </c>
      <c r="K446" s="34" t="s">
        <v>1421</v>
      </c>
      <c r="L446" s="34" t="s">
        <v>943</v>
      </c>
      <c r="N446" s="95"/>
      <c r="O446" s="95"/>
    </row>
    <row r="447" spans="1:15" ht="14.4" customHeight="1" x14ac:dyDescent="0.3">
      <c r="A447" s="163" t="str">
        <f>IF(ISERROR(MATCH($H447,EAD_CIs!D:D,0)),"NO",
    IF(VLOOKUP($H447,EAD_CIs!D:N,MATCH("Status",EAD_CIs!D$2:N$2,0),0)="Done","No",VLOOKUP($H447,EAD_CIs!D:N,MATCH("Related",EAD_CIs!D$2:N$2,0),0) ))</f>
        <v>#1001248</v>
      </c>
      <c r="B447" s="203">
        <v>336126</v>
      </c>
      <c r="C447" s="34" t="s">
        <v>895</v>
      </c>
      <c r="D447" s="34" t="s">
        <v>36</v>
      </c>
      <c r="E447" s="34" t="s">
        <v>165</v>
      </c>
      <c r="F447" s="34" t="s">
        <v>196</v>
      </c>
      <c r="G447" s="34" t="s">
        <v>582</v>
      </c>
      <c r="H447" s="34" t="s">
        <v>328</v>
      </c>
      <c r="I447" s="34" t="s">
        <v>36</v>
      </c>
      <c r="J447" s="34" t="s">
        <v>1429</v>
      </c>
      <c r="K447" s="34" t="s">
        <v>1421</v>
      </c>
      <c r="L447" s="34" t="s">
        <v>943</v>
      </c>
      <c r="N447" s="95"/>
      <c r="O447" s="95"/>
    </row>
    <row r="448" spans="1:15" ht="14.4" customHeight="1" x14ac:dyDescent="0.3">
      <c r="A448" s="163" t="str">
        <f>IF(ISERROR(MATCH($H448,EAD_CIs!D:D,0)),"NO",
    IF(VLOOKUP($H448,EAD_CIs!D:N,MATCH("Status",EAD_CIs!D$2:N$2,0),0)="Done","No",VLOOKUP($H448,EAD_CIs!D:N,MATCH("Related",EAD_CIs!D$2:N$2,0),0) ))</f>
        <v>#299984
#380808
#1007900
#1011909
#1003390
#1014202
#1013452</v>
      </c>
      <c r="B448" s="203">
        <v>336107</v>
      </c>
      <c r="C448" s="34" t="s">
        <v>792</v>
      </c>
      <c r="D448" s="34" t="s">
        <v>167</v>
      </c>
      <c r="E448" s="34" t="s">
        <v>165</v>
      </c>
      <c r="F448" s="34" t="s">
        <v>205</v>
      </c>
      <c r="G448" s="34" t="s">
        <v>582</v>
      </c>
      <c r="H448" s="34" t="s">
        <v>209</v>
      </c>
      <c r="I448" s="34" t="s">
        <v>36</v>
      </c>
      <c r="J448" s="34" t="s">
        <v>1429</v>
      </c>
      <c r="K448" s="34" t="s">
        <v>1421</v>
      </c>
      <c r="L448" s="34" t="s">
        <v>943</v>
      </c>
      <c r="N448" s="95"/>
      <c r="O448" s="95"/>
    </row>
    <row r="449" spans="1:15" ht="14.4" customHeight="1" x14ac:dyDescent="0.3">
      <c r="A449" s="163" t="str">
        <f>IF(ISERROR(MATCH($H449,EAD_CIs!D:D,0)),"NO",
    IF(VLOOKUP($H449,EAD_CIs!D:N,MATCH("Status",EAD_CIs!D$2:N$2,0),0)="Done","No",VLOOKUP($H449,EAD_CIs!D:N,MATCH("Related",EAD_CIs!D$2:N$2,0),0) ))</f>
        <v>#342054
#1014201
#1003390</v>
      </c>
      <c r="B449" s="203">
        <v>335986</v>
      </c>
      <c r="C449" s="34" t="s">
        <v>311</v>
      </c>
      <c r="D449" s="34" t="s">
        <v>36</v>
      </c>
      <c r="E449" s="34" t="s">
        <v>165</v>
      </c>
      <c r="F449" s="34" t="s">
        <v>196</v>
      </c>
      <c r="G449" s="34" t="s">
        <v>254</v>
      </c>
      <c r="H449" s="34" t="s">
        <v>193</v>
      </c>
      <c r="I449" s="34" t="s">
        <v>36</v>
      </c>
      <c r="J449" s="34" t="s">
        <v>1429</v>
      </c>
      <c r="K449" s="34" t="s">
        <v>1421</v>
      </c>
      <c r="L449" s="34" t="s">
        <v>947</v>
      </c>
      <c r="N449" s="95"/>
      <c r="O449" s="95"/>
    </row>
    <row r="450" spans="1:15" ht="14.4" customHeight="1" x14ac:dyDescent="0.3">
      <c r="A450" s="163" t="str">
        <f>IF(ISERROR(MATCH($H450,EAD_CIs!D:D,0)),"NO",
    IF(VLOOKUP($H450,EAD_CIs!D:N,MATCH("Status",EAD_CIs!D$2:N$2,0),0)="Done","No",VLOOKUP($H450,EAD_CIs!D:N,MATCH("Related",EAD_CIs!D$2:N$2,0),0) ))</f>
        <v>#299984
#380808
#1007900
#1011909
#1003390
#1014202
#1013452</v>
      </c>
      <c r="B450" s="203">
        <v>335930</v>
      </c>
      <c r="C450" s="34" t="s">
        <v>793</v>
      </c>
      <c r="D450" s="34" t="s">
        <v>167</v>
      </c>
      <c r="E450" s="34" t="s">
        <v>165</v>
      </c>
      <c r="F450" s="34" t="s">
        <v>196</v>
      </c>
      <c r="G450" s="34" t="s">
        <v>582</v>
      </c>
      <c r="H450" s="34" t="s">
        <v>209</v>
      </c>
      <c r="I450" s="34" t="s">
        <v>36</v>
      </c>
      <c r="J450" s="34" t="s">
        <v>1429</v>
      </c>
      <c r="K450" s="34" t="s">
        <v>1421</v>
      </c>
      <c r="L450" s="34" t="s">
        <v>943</v>
      </c>
      <c r="N450" s="95"/>
      <c r="O450" s="95"/>
    </row>
    <row r="451" spans="1:15" ht="14.4" customHeight="1" x14ac:dyDescent="0.3">
      <c r="A451" s="163" t="str">
        <f>IF(ISERROR(MATCH($H451,EAD_CIs!D:D,0)),"NO",
    IF(VLOOKUP($H451,EAD_CIs!D:N,MATCH("Status",EAD_CIs!D$2:N$2,0),0)="Done","No",VLOOKUP($H451,EAD_CIs!D:N,MATCH("Related",EAD_CIs!D$2:N$2,0),0) ))</f>
        <v>#377408
#1001248
#381643
#383958
#315485
#342163
#299984
#354174
#381524
#332951
#318380
#386935</v>
      </c>
      <c r="B451" s="203">
        <v>335318</v>
      </c>
      <c r="C451" s="34" t="s">
        <v>1301</v>
      </c>
      <c r="D451" s="34" t="s">
        <v>167</v>
      </c>
      <c r="E451" s="34" t="s">
        <v>165</v>
      </c>
      <c r="F451" s="34" t="s">
        <v>183</v>
      </c>
      <c r="G451" s="34" t="s">
        <v>535</v>
      </c>
      <c r="H451" s="34" t="s">
        <v>1177</v>
      </c>
      <c r="I451" s="34" t="s">
        <v>36</v>
      </c>
      <c r="J451" s="34" t="s">
        <v>1429</v>
      </c>
      <c r="K451" s="34" t="s">
        <v>1434</v>
      </c>
      <c r="L451" s="34" t="s">
        <v>943</v>
      </c>
      <c r="N451" s="95"/>
      <c r="O451" s="95"/>
    </row>
    <row r="452" spans="1:15" ht="14.4" customHeight="1" x14ac:dyDescent="0.3">
      <c r="A452" s="163" t="str">
        <f>IF(ISERROR(MATCH($H452,EAD_CIs!D:D,0)),"NO",
    IF(VLOOKUP($H452,EAD_CIs!D:N,MATCH("Status",EAD_CIs!D$2:N$2,0),0)="Done","No",VLOOKUP($H452,EAD_CIs!D:N,MATCH("Related",EAD_CIs!D$2:N$2,0),0) ))</f>
        <v>#377408
#1001248
#381643
#383958
#315485
#342163
#299984
#354174
#381524
#332951
#318380
#386935</v>
      </c>
      <c r="B452" s="203">
        <v>335296</v>
      </c>
      <c r="C452" s="34" t="s">
        <v>1941</v>
      </c>
      <c r="D452" s="34" t="s">
        <v>167</v>
      </c>
      <c r="E452" s="34" t="s">
        <v>165</v>
      </c>
      <c r="F452" s="34" t="s">
        <v>205</v>
      </c>
      <c r="G452" s="34" t="s">
        <v>535</v>
      </c>
      <c r="H452" s="34" t="s">
        <v>1177</v>
      </c>
      <c r="I452" s="34" t="s">
        <v>36</v>
      </c>
      <c r="J452" s="34" t="s">
        <v>1429</v>
      </c>
      <c r="K452" s="34" t="s">
        <v>1421</v>
      </c>
      <c r="L452" s="34" t="s">
        <v>943</v>
      </c>
      <c r="N452" s="95"/>
      <c r="O452" s="95"/>
    </row>
    <row r="453" spans="1:15" ht="14.4" customHeight="1" x14ac:dyDescent="0.3">
      <c r="A453" s="163" t="str">
        <f>IF(ISERROR(MATCH($H453,EAD_CIs!D:D,0)),"NO",
    IF(VLOOKUP($H453,EAD_CIs!D:N,MATCH("Status",EAD_CIs!D$2:N$2,0),0)="Done","No",VLOOKUP($H453,EAD_CIs!D:N,MATCH("Related",EAD_CIs!D$2:N$2,0),0) ))</f>
        <v>NO</v>
      </c>
      <c r="B453" s="203">
        <v>335252</v>
      </c>
      <c r="C453" s="34" t="s">
        <v>269</v>
      </c>
      <c r="D453" s="34" t="s">
        <v>167</v>
      </c>
      <c r="E453" s="34" t="s">
        <v>165</v>
      </c>
      <c r="F453" s="34" t="s">
        <v>205</v>
      </c>
      <c r="G453" s="34" t="s">
        <v>270</v>
      </c>
      <c r="H453" s="34" t="s">
        <v>216</v>
      </c>
      <c r="I453" s="34" t="s">
        <v>36</v>
      </c>
      <c r="J453" s="34" t="s">
        <v>1429</v>
      </c>
      <c r="K453" s="34" t="s">
        <v>1421</v>
      </c>
      <c r="L453" s="34" t="s">
        <v>949</v>
      </c>
      <c r="N453" s="95"/>
      <c r="O453" s="95"/>
    </row>
    <row r="454" spans="1:15" ht="14.4" customHeight="1" x14ac:dyDescent="0.3">
      <c r="A454" s="163" t="str">
        <f>IF(ISERROR(MATCH($H454,EAD_CIs!D:D,0)),"NO",
    IF(VLOOKUP($H454,EAD_CIs!D:N,MATCH("Status",EAD_CIs!D$2:N$2,0),0)="Done","No",VLOOKUP($H454,EAD_CIs!D:N,MATCH("Related",EAD_CIs!D$2:N$2,0),0) ))</f>
        <v>#1003390
#1014169</v>
      </c>
      <c r="B454" s="203">
        <v>335174</v>
      </c>
      <c r="C454" s="34" t="s">
        <v>218</v>
      </c>
      <c r="D454" s="34" t="s">
        <v>167</v>
      </c>
      <c r="E454" s="34" t="s">
        <v>165</v>
      </c>
      <c r="F454" s="34" t="s">
        <v>1021</v>
      </c>
      <c r="G454" s="34" t="s">
        <v>547</v>
      </c>
      <c r="H454" s="34" t="s">
        <v>206</v>
      </c>
      <c r="I454" s="34" t="s">
        <v>36</v>
      </c>
      <c r="J454" s="34" t="s">
        <v>1429</v>
      </c>
      <c r="K454" s="34" t="s">
        <v>1421</v>
      </c>
      <c r="L454" s="34" t="s">
        <v>554</v>
      </c>
      <c r="N454" s="95"/>
      <c r="O454" s="95"/>
    </row>
    <row r="455" spans="1:15" ht="14.4" customHeight="1" x14ac:dyDescent="0.3">
      <c r="A455" s="163" t="str">
        <f>IF(ISERROR(MATCH($H455,EAD_CIs!D:D,0)),"NO",
    IF(VLOOKUP($H455,EAD_CIs!D:N,MATCH("Status",EAD_CIs!D$2:N$2,0),0)="Done","No",VLOOKUP($H455,EAD_CIs!D:N,MATCH("Related",EAD_CIs!D$2:N$2,0),0) ))</f>
        <v>#1001248</v>
      </c>
      <c r="B455" s="203">
        <v>334580</v>
      </c>
      <c r="C455" s="34" t="s">
        <v>329</v>
      </c>
      <c r="D455" s="34" t="s">
        <v>167</v>
      </c>
      <c r="E455" s="34" t="s">
        <v>165</v>
      </c>
      <c r="F455" s="34" t="s">
        <v>183</v>
      </c>
      <c r="G455" s="34" t="s">
        <v>1008</v>
      </c>
      <c r="H455" s="34" t="s">
        <v>279</v>
      </c>
      <c r="I455" s="34" t="s">
        <v>36</v>
      </c>
      <c r="J455" s="34" t="s">
        <v>1429</v>
      </c>
      <c r="K455" s="34" t="s">
        <v>1434</v>
      </c>
      <c r="L455" s="34" t="s">
        <v>947</v>
      </c>
      <c r="N455" s="95"/>
      <c r="O455" s="95"/>
    </row>
    <row r="456" spans="1:15" ht="14.4" customHeight="1" x14ac:dyDescent="0.3">
      <c r="A456" s="163" t="str">
        <f>IF(ISERROR(MATCH($H456,EAD_CIs!D:D,0)),"NO",
    IF(VLOOKUP($H456,EAD_CIs!D:N,MATCH("Status",EAD_CIs!D$2:N$2,0),0)="Done","No",VLOOKUP($H456,EAD_CIs!D:N,MATCH("Related",EAD_CIs!D$2:N$2,0),0) ))</f>
        <v>#388195
#1004738
#342054</v>
      </c>
      <c r="B456" s="203">
        <v>334579</v>
      </c>
      <c r="C456" s="34" t="s">
        <v>819</v>
      </c>
      <c r="D456" s="34" t="s">
        <v>167</v>
      </c>
      <c r="E456" s="34" t="s">
        <v>28</v>
      </c>
      <c r="F456" s="34" t="s">
        <v>192</v>
      </c>
      <c r="G456" s="34" t="s">
        <v>1008</v>
      </c>
      <c r="H456" s="34" t="s">
        <v>211</v>
      </c>
      <c r="I456" s="34" t="s">
        <v>134</v>
      </c>
      <c r="J456" s="34" t="s">
        <v>1429</v>
      </c>
      <c r="K456" s="34" t="s">
        <v>1421</v>
      </c>
      <c r="L456" s="34" t="s">
        <v>947</v>
      </c>
      <c r="N456" s="95"/>
      <c r="O456" s="95"/>
    </row>
    <row r="457" spans="1:15" ht="14.4" customHeight="1" x14ac:dyDescent="0.3">
      <c r="A457" s="163" t="str">
        <f>IF(ISERROR(MATCH($H457,EAD_CIs!D:D,0)),"NO",
    IF(VLOOKUP($H457,EAD_CIs!D:N,MATCH("Status",EAD_CIs!D$2:N$2,0),0)="Done","No",VLOOKUP($H457,EAD_CIs!D:N,MATCH("Related",EAD_CIs!D$2:N$2,0),0) ))</f>
        <v>#377408
#1001248
#381643
#383958
#315485
#342163
#299984
#354174
#381524
#332951
#318380
#386935</v>
      </c>
      <c r="B457" s="203">
        <v>334511</v>
      </c>
      <c r="C457" s="34" t="s">
        <v>1300</v>
      </c>
      <c r="D457" s="34" t="s">
        <v>36</v>
      </c>
      <c r="E457" s="34" t="s">
        <v>165</v>
      </c>
      <c r="F457" s="34" t="s">
        <v>198</v>
      </c>
      <c r="G457" s="34" t="s">
        <v>1008</v>
      </c>
      <c r="H457" s="34" t="s">
        <v>1177</v>
      </c>
      <c r="I457" s="34" t="s">
        <v>36</v>
      </c>
      <c r="J457" s="34" t="s">
        <v>1429</v>
      </c>
      <c r="K457" s="34" t="s">
        <v>1421</v>
      </c>
      <c r="L457" s="34" t="s">
        <v>947</v>
      </c>
      <c r="N457" s="95"/>
      <c r="O457" s="95"/>
    </row>
    <row r="458" spans="1:15" ht="14.4" customHeight="1" x14ac:dyDescent="0.3">
      <c r="A458" s="163" t="str">
        <f>IF(ISERROR(MATCH($H458,EAD_CIs!D:D,0)),"NO",
    IF(VLOOKUP($H458,EAD_CIs!D:N,MATCH("Status",EAD_CIs!D$2:N$2,0),0)="Done","No",VLOOKUP($H458,EAD_CIs!D:N,MATCH("Related",EAD_CIs!D$2:N$2,0),0) ))</f>
        <v>NO</v>
      </c>
      <c r="B458" s="203">
        <v>334428</v>
      </c>
      <c r="C458" s="34" t="s">
        <v>351</v>
      </c>
      <c r="D458" s="34" t="s">
        <v>167</v>
      </c>
      <c r="E458" s="34" t="s">
        <v>141</v>
      </c>
      <c r="F458" s="34" t="s">
        <v>2373</v>
      </c>
      <c r="G458" s="34" t="s">
        <v>54</v>
      </c>
      <c r="H458" s="34" t="s">
        <v>350</v>
      </c>
      <c r="I458" s="34" t="s">
        <v>1435</v>
      </c>
      <c r="J458" s="34" t="s">
        <v>1429</v>
      </c>
      <c r="K458" s="34" t="s">
        <v>1421</v>
      </c>
      <c r="L458" s="34" t="s">
        <v>551</v>
      </c>
      <c r="N458" s="95"/>
      <c r="O458" s="95"/>
    </row>
    <row r="459" spans="1:15" ht="14.4" customHeight="1" x14ac:dyDescent="0.3">
      <c r="A459" s="163" t="str">
        <f>IF(ISERROR(MATCH($H459,EAD_CIs!D:D,0)),"NO",
    IF(VLOOKUP($H459,EAD_CIs!D:N,MATCH("Status",EAD_CIs!D$2:N$2,0),0)="Done","No",VLOOKUP($H459,EAD_CIs!D:N,MATCH("Related",EAD_CIs!D$2:N$2,0),0) ))</f>
        <v>NO</v>
      </c>
      <c r="B459" s="203">
        <v>334421</v>
      </c>
      <c r="C459" s="34" t="s">
        <v>287</v>
      </c>
      <c r="D459" s="34" t="s">
        <v>167</v>
      </c>
      <c r="E459" s="34" t="s">
        <v>165</v>
      </c>
      <c r="F459" s="34" t="s">
        <v>196</v>
      </c>
      <c r="G459" s="34" t="s">
        <v>289</v>
      </c>
      <c r="H459" s="34" t="s">
        <v>288</v>
      </c>
      <c r="I459" s="34" t="s">
        <v>36</v>
      </c>
      <c r="J459" s="34" t="s">
        <v>1429</v>
      </c>
      <c r="K459" s="34" t="s">
        <v>1421</v>
      </c>
      <c r="L459" s="34" t="s">
        <v>949</v>
      </c>
      <c r="N459" s="95"/>
      <c r="O459" s="95"/>
    </row>
    <row r="460" spans="1:15" ht="14.4" customHeight="1" x14ac:dyDescent="0.3">
      <c r="A460" s="163" t="str">
        <f>IF(ISERROR(MATCH($H460,EAD_CIs!D:D,0)),"NO",
    IF(VLOOKUP($H460,EAD_CIs!D:N,MATCH("Status",EAD_CIs!D$2:N$2,0),0)="Done","No",VLOOKUP($H460,EAD_CIs!D:N,MATCH("Related",EAD_CIs!D$2:N$2,0),0) ))</f>
        <v>#299984
#380808
#1007900
#1011909
#1003390
#1014202
#1013452</v>
      </c>
      <c r="B460" s="203">
        <v>334350</v>
      </c>
      <c r="C460" s="34" t="s">
        <v>794</v>
      </c>
      <c r="D460" s="34" t="s">
        <v>167</v>
      </c>
      <c r="E460" s="34" t="s">
        <v>165</v>
      </c>
      <c r="F460" s="34" t="s">
        <v>205</v>
      </c>
      <c r="G460" s="34" t="s">
        <v>582</v>
      </c>
      <c r="H460" s="34" t="s">
        <v>209</v>
      </c>
      <c r="I460" s="34" t="s">
        <v>36</v>
      </c>
      <c r="J460" s="34" t="s">
        <v>1429</v>
      </c>
      <c r="K460" s="34" t="s">
        <v>1421</v>
      </c>
      <c r="L460" s="34" t="s">
        <v>943</v>
      </c>
      <c r="N460" s="95"/>
      <c r="O460" s="95"/>
    </row>
    <row r="461" spans="1:15" ht="14.4" customHeight="1" x14ac:dyDescent="0.3">
      <c r="A461" s="163" t="str">
        <f>IF(ISERROR(MATCH($H461,EAD_CIs!D:D,0)),"NO",
    IF(VLOOKUP($H461,EAD_CIs!D:N,MATCH("Status",EAD_CIs!D$2:N$2,0),0)="Done","No",VLOOKUP($H461,EAD_CIs!D:N,MATCH("Related",EAD_CIs!D$2:N$2,0),0) ))</f>
        <v>NO</v>
      </c>
      <c r="B461" s="203">
        <v>334248</v>
      </c>
      <c r="C461" s="34" t="s">
        <v>1960</v>
      </c>
      <c r="D461" s="34" t="s">
        <v>2025</v>
      </c>
      <c r="E461" s="34" t="s">
        <v>165</v>
      </c>
      <c r="F461" s="34" t="s">
        <v>36</v>
      </c>
      <c r="G461" s="34" t="s">
        <v>171</v>
      </c>
      <c r="H461" s="34" t="s">
        <v>1962</v>
      </c>
      <c r="I461" s="34" t="s">
        <v>36</v>
      </c>
      <c r="J461" s="34" t="s">
        <v>1429</v>
      </c>
      <c r="K461" s="34" t="s">
        <v>1436</v>
      </c>
      <c r="L461" s="34" t="s">
        <v>15</v>
      </c>
      <c r="N461" s="95"/>
      <c r="O461" s="95"/>
    </row>
    <row r="462" spans="1:15" ht="14.4" customHeight="1" x14ac:dyDescent="0.3">
      <c r="A462" s="163" t="str">
        <f>IF(ISERROR(MATCH($H462,EAD_CIs!D:D,0)),"NO",
    IF(VLOOKUP($H462,EAD_CIs!D:N,MATCH("Status",EAD_CIs!D$2:N$2,0),0)="Done","No",VLOOKUP($H462,EAD_CIs!D:N,MATCH("Related",EAD_CIs!D$2:N$2,0),0) ))</f>
        <v>#395688</v>
      </c>
      <c r="B462" s="203">
        <v>334158</v>
      </c>
      <c r="C462" s="34" t="s">
        <v>286</v>
      </c>
      <c r="D462" s="34" t="s">
        <v>167</v>
      </c>
      <c r="E462" s="34" t="s">
        <v>165</v>
      </c>
      <c r="F462" s="34" t="s">
        <v>205</v>
      </c>
      <c r="G462" s="34" t="s">
        <v>546</v>
      </c>
      <c r="H462" s="34" t="s">
        <v>283</v>
      </c>
      <c r="I462" s="34" t="s">
        <v>36</v>
      </c>
      <c r="J462" s="34" t="s">
        <v>1429</v>
      </c>
      <c r="K462" s="34" t="s">
        <v>1421</v>
      </c>
      <c r="L462" s="34" t="s">
        <v>944</v>
      </c>
      <c r="N462" s="95"/>
      <c r="O462" s="95"/>
    </row>
    <row r="463" spans="1:15" ht="14.4" customHeight="1" x14ac:dyDescent="0.3">
      <c r="A463" s="163" t="str">
        <f>IF(ISERROR(MATCH($H463,EAD_CIs!D:D,0)),"NO",
    IF(VLOOKUP($H463,EAD_CIs!D:N,MATCH("Status",EAD_CIs!D$2:N$2,0),0)="Done","No",VLOOKUP($H463,EAD_CIs!D:N,MATCH("Related",EAD_CIs!D$2:N$2,0),0) ))</f>
        <v>#299984
#380808
#1007900
#1011909
#1003390
#1014202
#1013452</v>
      </c>
      <c r="B463" s="203">
        <v>333910</v>
      </c>
      <c r="C463" s="34" t="s">
        <v>1771</v>
      </c>
      <c r="D463" s="34" t="s">
        <v>857</v>
      </c>
      <c r="E463" s="34" t="s">
        <v>28</v>
      </c>
      <c r="F463" s="34" t="s">
        <v>360</v>
      </c>
      <c r="G463" s="34" t="s">
        <v>582</v>
      </c>
      <c r="H463" s="34" t="s">
        <v>209</v>
      </c>
      <c r="I463" s="34" t="s">
        <v>1778</v>
      </c>
      <c r="J463" s="34" t="s">
        <v>1429</v>
      </c>
      <c r="K463" s="34" t="s">
        <v>1421</v>
      </c>
      <c r="L463" s="34" t="s">
        <v>943</v>
      </c>
      <c r="N463" s="95"/>
      <c r="O463" s="95"/>
    </row>
    <row r="464" spans="1:15" ht="14.4" customHeight="1" x14ac:dyDescent="0.3">
      <c r="A464" s="163" t="str">
        <f>IF(ISERROR(MATCH($H464,EAD_CIs!D:D,0)),"NO",
    IF(VLOOKUP($H464,EAD_CIs!D:N,MATCH("Status",EAD_CIs!D$2:N$2,0),0)="Done","No",VLOOKUP($H464,EAD_CIs!D:N,MATCH("Related",EAD_CIs!D$2:N$2,0),0) ))</f>
        <v>#354871</v>
      </c>
      <c r="B464" s="203">
        <v>332758</v>
      </c>
      <c r="C464" s="34" t="s">
        <v>796</v>
      </c>
      <c r="D464" s="34" t="s">
        <v>167</v>
      </c>
      <c r="E464" s="34" t="s">
        <v>141</v>
      </c>
      <c r="F464" s="34" t="s">
        <v>1508</v>
      </c>
      <c r="G464" s="34" t="s">
        <v>549</v>
      </c>
      <c r="H464" s="34" t="s">
        <v>297</v>
      </c>
      <c r="I464" s="34" t="s">
        <v>36</v>
      </c>
      <c r="J464" s="34" t="s">
        <v>1429</v>
      </c>
      <c r="K464" s="34" t="s">
        <v>1421</v>
      </c>
      <c r="L464" s="34" t="s">
        <v>17</v>
      </c>
      <c r="N464" s="95"/>
      <c r="O464" s="95"/>
    </row>
    <row r="465" spans="1:15" ht="14.4" customHeight="1" x14ac:dyDescent="0.3">
      <c r="A465" s="163" t="str">
        <f>IF(ISERROR(MATCH($H465,EAD_CIs!D:D,0)),"NO",
    IF(VLOOKUP($H465,EAD_CIs!D:N,MATCH("Status",EAD_CIs!D$2:N$2,0),0)="Done","No",VLOOKUP($H465,EAD_CIs!D:N,MATCH("Related",EAD_CIs!D$2:N$2,0),0) ))</f>
        <v>NO</v>
      </c>
      <c r="B465" s="203">
        <v>332310</v>
      </c>
      <c r="C465" s="34" t="s">
        <v>1545</v>
      </c>
      <c r="D465" s="34" t="s">
        <v>167</v>
      </c>
      <c r="E465" s="34" t="s">
        <v>165</v>
      </c>
      <c r="F465" s="34" t="s">
        <v>205</v>
      </c>
      <c r="G465" s="34" t="s">
        <v>547</v>
      </c>
      <c r="H465" s="34" t="s">
        <v>216</v>
      </c>
      <c r="I465" s="34" t="s">
        <v>36</v>
      </c>
      <c r="J465" s="34" t="s">
        <v>1429</v>
      </c>
      <c r="K465" s="34" t="s">
        <v>1421</v>
      </c>
      <c r="L465" s="34" t="s">
        <v>951</v>
      </c>
      <c r="N465" s="95"/>
      <c r="O465" s="95"/>
    </row>
    <row r="466" spans="1:15" ht="14.4" customHeight="1" x14ac:dyDescent="0.3">
      <c r="A466" s="163" t="str">
        <f>IF(ISERROR(MATCH($H466,EAD_CIs!D:D,0)),"NO",
    IF(VLOOKUP($H466,EAD_CIs!D:N,MATCH("Status",EAD_CIs!D$2:N$2,0),0)="Done","No",VLOOKUP($H466,EAD_CIs!D:N,MATCH("Related",EAD_CIs!D$2:N$2,0),0) ))</f>
        <v>NO</v>
      </c>
      <c r="B466" s="203">
        <v>332309</v>
      </c>
      <c r="C466" s="34" t="s">
        <v>1546</v>
      </c>
      <c r="D466" s="34" t="s">
        <v>167</v>
      </c>
      <c r="E466" s="34" t="s">
        <v>165</v>
      </c>
      <c r="F466" s="34" t="s">
        <v>205</v>
      </c>
      <c r="G466" s="34" t="s">
        <v>547</v>
      </c>
      <c r="H466" s="34" t="s">
        <v>288</v>
      </c>
      <c r="I466" s="34" t="s">
        <v>36</v>
      </c>
      <c r="J466" s="34" t="s">
        <v>1429</v>
      </c>
      <c r="K466" s="34" t="s">
        <v>1421</v>
      </c>
      <c r="L466" s="34" t="s">
        <v>951</v>
      </c>
      <c r="N466" s="95"/>
      <c r="O466" s="95"/>
    </row>
    <row r="467" spans="1:15" ht="14.4" customHeight="1" x14ac:dyDescent="0.3">
      <c r="A467" s="163" t="str">
        <f>IF(ISERROR(MATCH($H467,EAD_CIs!D:D,0)),"NO",
    IF(VLOOKUP($H467,EAD_CIs!D:N,MATCH("Status",EAD_CIs!D$2:N$2,0),0)="Done","No",VLOOKUP($H467,EAD_CIs!D:N,MATCH("Related",EAD_CIs!D$2:N$2,0),0) ))</f>
        <v>#377408
#1001248
#381643
#383958
#315485
#342163
#299984
#354174
#381524
#332951
#318380
#386935</v>
      </c>
      <c r="B467" s="203">
        <v>332304</v>
      </c>
      <c r="C467" s="34" t="s">
        <v>1299</v>
      </c>
      <c r="D467" s="34" t="s">
        <v>167</v>
      </c>
      <c r="E467" s="34" t="s">
        <v>165</v>
      </c>
      <c r="F467" s="34" t="s">
        <v>205</v>
      </c>
      <c r="G467" s="34" t="s">
        <v>254</v>
      </c>
      <c r="H467" s="34" t="s">
        <v>1177</v>
      </c>
      <c r="I467" s="34" t="s">
        <v>36</v>
      </c>
      <c r="J467" s="34" t="s">
        <v>1429</v>
      </c>
      <c r="K467" s="34" t="s">
        <v>1421</v>
      </c>
      <c r="L467" s="34" t="s">
        <v>947</v>
      </c>
      <c r="N467" s="95"/>
      <c r="O467" s="95"/>
    </row>
    <row r="468" spans="1:15" ht="14.4" customHeight="1" x14ac:dyDescent="0.3">
      <c r="A468" s="163" t="str">
        <f>IF(ISERROR(MATCH($H468,EAD_CIs!D:D,0)),"NO",
    IF(VLOOKUP($H468,EAD_CIs!D:N,MATCH("Status",EAD_CIs!D$2:N$2,0),0)="Done","No",VLOOKUP($H468,EAD_CIs!D:N,MATCH("Related",EAD_CIs!D$2:N$2,0),0) ))</f>
        <v>#377408
#1001248
#381643
#383958
#315485
#342163
#299984
#354174
#381524
#332951
#318380
#386935</v>
      </c>
      <c r="B468" s="203">
        <v>332004</v>
      </c>
      <c r="C468" s="34" t="s">
        <v>1297</v>
      </c>
      <c r="D468" s="34" t="s">
        <v>167</v>
      </c>
      <c r="E468" s="34" t="s">
        <v>165</v>
      </c>
      <c r="F468" s="34" t="s">
        <v>1302</v>
      </c>
      <c r="G468" s="34" t="s">
        <v>547</v>
      </c>
      <c r="H468" s="34" t="s">
        <v>1177</v>
      </c>
      <c r="I468" s="34" t="s">
        <v>36</v>
      </c>
      <c r="J468" s="34" t="s">
        <v>1429</v>
      </c>
      <c r="K468" s="34" t="s">
        <v>1421</v>
      </c>
      <c r="L468" s="34" t="s">
        <v>554</v>
      </c>
      <c r="N468" s="95"/>
      <c r="O468" s="95"/>
    </row>
    <row r="469" spans="1:15" ht="14.4" customHeight="1" x14ac:dyDescent="0.3">
      <c r="A469" s="163" t="str">
        <f>IF(ISERROR(MATCH($H469,EAD_CIs!D:D,0)),"NO",
    IF(VLOOKUP($H469,EAD_CIs!D:N,MATCH("Status",EAD_CIs!D$2:N$2,0),0)="Done","No",VLOOKUP($H469,EAD_CIs!D:N,MATCH("Related",EAD_CIs!D$2:N$2,0),0) ))</f>
        <v>#377408
#1001248
#381643
#383958
#315485
#342163
#299984
#354174
#381524
#332951
#318380
#386935</v>
      </c>
      <c r="B469" s="203">
        <v>332003</v>
      </c>
      <c r="C469" s="34" t="s">
        <v>1296</v>
      </c>
      <c r="D469" s="34" t="s">
        <v>167</v>
      </c>
      <c r="E469" s="34" t="s">
        <v>165</v>
      </c>
      <c r="F469" s="34" t="s">
        <v>199</v>
      </c>
      <c r="G469" s="34" t="s">
        <v>54</v>
      </c>
      <c r="H469" s="34" t="s">
        <v>1177</v>
      </c>
      <c r="I469" s="34" t="s">
        <v>36</v>
      </c>
      <c r="J469" s="34" t="s">
        <v>1429</v>
      </c>
      <c r="K469" s="34" t="s">
        <v>1421</v>
      </c>
      <c r="L469" s="34" t="s">
        <v>17</v>
      </c>
      <c r="N469" s="95"/>
      <c r="O469" s="95"/>
    </row>
    <row r="470" spans="1:15" ht="14.4" customHeight="1" x14ac:dyDescent="0.3">
      <c r="A470" s="163" t="str">
        <f>IF(ISERROR(MATCH($H470,EAD_CIs!D:D,0)),"NO",
    IF(VLOOKUP($H470,EAD_CIs!D:N,MATCH("Status",EAD_CIs!D$2:N$2,0),0)="Done","No",VLOOKUP($H470,EAD_CIs!D:N,MATCH("Related",EAD_CIs!D$2:N$2,0),0) ))</f>
        <v>NO</v>
      </c>
      <c r="B470" s="203">
        <v>331989</v>
      </c>
      <c r="C470" s="34" t="s">
        <v>1982</v>
      </c>
      <c r="D470" s="34" t="s">
        <v>167</v>
      </c>
      <c r="E470" s="34" t="s">
        <v>165</v>
      </c>
      <c r="F470" s="34" t="s">
        <v>2261</v>
      </c>
      <c r="G470" s="34" t="s">
        <v>1165</v>
      </c>
      <c r="H470" s="34" t="s">
        <v>515</v>
      </c>
      <c r="I470" s="34" t="s">
        <v>36</v>
      </c>
      <c r="J470" s="34" t="s">
        <v>1420</v>
      </c>
      <c r="K470" s="34" t="s">
        <v>1421</v>
      </c>
      <c r="L470" s="34" t="s">
        <v>554</v>
      </c>
      <c r="N470" s="95"/>
      <c r="O470" s="95"/>
    </row>
    <row r="471" spans="1:15" ht="14.4" customHeight="1" x14ac:dyDescent="0.3">
      <c r="A471" s="163" t="str">
        <f>IF(ISERROR(MATCH($H471,EAD_CIs!D:D,0)),"NO",
    IF(VLOOKUP($H471,EAD_CIs!D:N,MATCH("Status",EAD_CIs!D$2:N$2,0),0)="Done","No",VLOOKUP($H471,EAD_CIs!D:N,MATCH("Related",EAD_CIs!D$2:N$2,0),0) ))</f>
        <v>#377408
#1001248
#381643
#383958
#315485
#342163
#299984
#354174
#381524
#332951
#318380
#386935</v>
      </c>
      <c r="B471" s="203">
        <v>331778</v>
      </c>
      <c r="C471" s="34" t="s">
        <v>1295</v>
      </c>
      <c r="D471" s="34" t="s">
        <v>167</v>
      </c>
      <c r="E471" s="34" t="s">
        <v>165</v>
      </c>
      <c r="F471" s="34" t="s">
        <v>1017</v>
      </c>
      <c r="G471" s="34" t="s">
        <v>547</v>
      </c>
      <c r="H471" s="34" t="s">
        <v>1177</v>
      </c>
      <c r="I471" s="34" t="s">
        <v>36</v>
      </c>
      <c r="J471" s="34" t="s">
        <v>1429</v>
      </c>
      <c r="K471" s="34" t="s">
        <v>1434</v>
      </c>
      <c r="L471" s="34" t="s">
        <v>554</v>
      </c>
      <c r="N471" s="95"/>
      <c r="O471" s="95"/>
    </row>
    <row r="472" spans="1:15" ht="14.4" customHeight="1" x14ac:dyDescent="0.3">
      <c r="A472" s="163" t="str">
        <f>IF(ISERROR(MATCH($H472,EAD_CIs!D:D,0)),"NO",
    IF(VLOOKUP($H472,EAD_CIs!D:N,MATCH("Status",EAD_CIs!D$2:N$2,0),0)="Done","No",VLOOKUP($H472,EAD_CIs!D:N,MATCH("Related",EAD_CIs!D$2:N$2,0),0) ))</f>
        <v>#377408
#1001248
#381643
#383958
#315485
#342163
#299984
#354174
#381524
#332951
#318380
#386935</v>
      </c>
      <c r="B472" s="203">
        <v>331703</v>
      </c>
      <c r="C472" s="34" t="s">
        <v>1294</v>
      </c>
      <c r="D472" s="34" t="s">
        <v>167</v>
      </c>
      <c r="E472" s="34" t="s">
        <v>165</v>
      </c>
      <c r="F472" s="34" t="s">
        <v>205</v>
      </c>
      <c r="G472" s="34" t="s">
        <v>164</v>
      </c>
      <c r="H472" s="34" t="s">
        <v>1177</v>
      </c>
      <c r="I472" s="34" t="s">
        <v>36</v>
      </c>
      <c r="J472" s="34" t="s">
        <v>1429</v>
      </c>
      <c r="K472" s="34" t="s">
        <v>1421</v>
      </c>
      <c r="L472" s="34" t="s">
        <v>17</v>
      </c>
      <c r="N472" s="95"/>
      <c r="O472" s="95"/>
    </row>
    <row r="473" spans="1:15" ht="14.4" customHeight="1" x14ac:dyDescent="0.3">
      <c r="A473" s="163" t="str">
        <f>IF(ISERROR(MATCH($H473,EAD_CIs!D:D,0)),"NO",
    IF(VLOOKUP($H473,EAD_CIs!D:N,MATCH("Status",EAD_CIs!D$2:N$2,0),0)="Done","No",VLOOKUP($H473,EAD_CIs!D:N,MATCH("Related",EAD_CIs!D$2:N$2,0),0) ))</f>
        <v>NO</v>
      </c>
      <c r="B473" s="203">
        <v>331700</v>
      </c>
      <c r="C473" s="34" t="s">
        <v>1019</v>
      </c>
      <c r="D473" s="34" t="s">
        <v>167</v>
      </c>
      <c r="E473" s="34" t="s">
        <v>165</v>
      </c>
      <c r="F473" s="34" t="s">
        <v>183</v>
      </c>
      <c r="G473" s="34" t="s">
        <v>54</v>
      </c>
      <c r="H473" s="34" t="s">
        <v>296</v>
      </c>
      <c r="I473" s="34" t="s">
        <v>36</v>
      </c>
      <c r="J473" s="34" t="s">
        <v>1429</v>
      </c>
      <c r="K473" s="34" t="s">
        <v>1434</v>
      </c>
      <c r="L473" s="34" t="s">
        <v>17</v>
      </c>
      <c r="N473" s="95"/>
      <c r="O473" s="95"/>
    </row>
    <row r="474" spans="1:15" ht="14.4" customHeight="1" x14ac:dyDescent="0.3">
      <c r="A474" s="163" t="str">
        <f>IF(ISERROR(MATCH($H474,EAD_CIs!D:D,0)),"NO",
    IF(VLOOKUP($H474,EAD_CIs!D:N,MATCH("Status",EAD_CIs!D$2:N$2,0),0)="Done","No",VLOOKUP($H474,EAD_CIs!D:N,MATCH("Related",EAD_CIs!D$2:N$2,0),0) ))</f>
        <v>NO</v>
      </c>
      <c r="B474" s="203">
        <v>331569</v>
      </c>
      <c r="C474" s="34" t="s">
        <v>516</v>
      </c>
      <c r="D474" s="34" t="s">
        <v>167</v>
      </c>
      <c r="E474" s="34" t="s">
        <v>165</v>
      </c>
      <c r="F474" s="34" t="s">
        <v>239</v>
      </c>
      <c r="G474" s="34" t="s">
        <v>270</v>
      </c>
      <c r="H474" s="34" t="s">
        <v>515</v>
      </c>
      <c r="I474" s="34" t="s">
        <v>36</v>
      </c>
      <c r="J474" s="34" t="s">
        <v>1429</v>
      </c>
      <c r="K474" s="34" t="s">
        <v>1421</v>
      </c>
      <c r="L474" s="34" t="s">
        <v>949</v>
      </c>
      <c r="N474" s="95"/>
      <c r="O474" s="95"/>
    </row>
    <row r="475" spans="1:15" ht="14.4" customHeight="1" x14ac:dyDescent="0.3">
      <c r="A475" s="163" t="str">
        <f>IF(ISERROR(MATCH($H475,EAD_CIs!D:D,0)),"NO",
    IF(VLOOKUP($H475,EAD_CIs!D:N,MATCH("Status",EAD_CIs!D$2:N$2,0),0)="Done","No",VLOOKUP($H475,EAD_CIs!D:N,MATCH("Related",EAD_CIs!D$2:N$2,0),0) ))</f>
        <v>#1003390
#1014203</v>
      </c>
      <c r="B475" s="203">
        <v>331384</v>
      </c>
      <c r="C475" s="34" t="s">
        <v>267</v>
      </c>
      <c r="D475" s="34" t="s">
        <v>167</v>
      </c>
      <c r="E475" s="34" t="s">
        <v>28</v>
      </c>
      <c r="F475" s="34" t="s">
        <v>1020</v>
      </c>
      <c r="G475" s="34" t="s">
        <v>547</v>
      </c>
      <c r="H475" s="34" t="s">
        <v>268</v>
      </c>
      <c r="I475" s="34" t="s">
        <v>36</v>
      </c>
      <c r="J475" s="34" t="s">
        <v>1429</v>
      </c>
      <c r="K475" s="34" t="s">
        <v>1421</v>
      </c>
      <c r="L475" s="34" t="s">
        <v>554</v>
      </c>
      <c r="N475" s="95"/>
      <c r="O475" s="95"/>
    </row>
    <row r="476" spans="1:15" ht="14.4" customHeight="1" x14ac:dyDescent="0.3">
      <c r="A476" s="163" t="str">
        <f>IF(ISERROR(MATCH($H476,EAD_CIs!D:D,0)),"NO",
    IF(VLOOKUP($H476,EAD_CIs!D:N,MATCH("Status",EAD_CIs!D$2:N$2,0),0)="Done","No",VLOOKUP($H476,EAD_CIs!D:N,MATCH("Related",EAD_CIs!D$2:N$2,0),0) ))</f>
        <v>NO</v>
      </c>
      <c r="B476" s="203">
        <v>331309</v>
      </c>
      <c r="C476" s="34" t="s">
        <v>240</v>
      </c>
      <c r="D476" s="34" t="s">
        <v>167</v>
      </c>
      <c r="E476" s="34" t="s">
        <v>165</v>
      </c>
      <c r="F476" s="34" t="s">
        <v>1016</v>
      </c>
      <c r="G476" s="34" t="s">
        <v>547</v>
      </c>
      <c r="H476" s="34" t="s">
        <v>241</v>
      </c>
      <c r="I476" s="34" t="s">
        <v>36</v>
      </c>
      <c r="J476" s="34" t="s">
        <v>1429</v>
      </c>
      <c r="K476" s="34" t="s">
        <v>1421</v>
      </c>
      <c r="L476" s="34" t="s">
        <v>554</v>
      </c>
      <c r="N476" s="95"/>
      <c r="O476" s="95"/>
    </row>
    <row r="477" spans="1:15" ht="14.4" customHeight="1" x14ac:dyDescent="0.3">
      <c r="A477" s="163" t="str">
        <f>IF(ISERROR(MATCH($H477,EAD_CIs!D:D,0)),"NO",
    IF(VLOOKUP($H477,EAD_CIs!D:N,MATCH("Status",EAD_CIs!D$2:N$2,0),0)="Done","No",VLOOKUP($H477,EAD_CIs!D:N,MATCH("Related",EAD_CIs!D$2:N$2,0),0) ))</f>
        <v>#377408
#1001248
#381643
#383958
#315485
#342163
#299984
#354174
#381524
#332951
#318380
#386935</v>
      </c>
      <c r="B477" s="203">
        <v>329827</v>
      </c>
      <c r="C477" s="34" t="s">
        <v>1293</v>
      </c>
      <c r="D477" s="34" t="s">
        <v>167</v>
      </c>
      <c r="E477" s="34" t="s">
        <v>165</v>
      </c>
      <c r="F477" s="34" t="s">
        <v>1016</v>
      </c>
      <c r="G477" s="34" t="s">
        <v>547</v>
      </c>
      <c r="H477" s="34" t="s">
        <v>1177</v>
      </c>
      <c r="I477" s="34" t="s">
        <v>36</v>
      </c>
      <c r="J477" s="34" t="s">
        <v>1429</v>
      </c>
      <c r="K477" s="34" t="s">
        <v>1421</v>
      </c>
      <c r="L477" s="34" t="s">
        <v>554</v>
      </c>
      <c r="N477" s="95"/>
      <c r="O477" s="95"/>
    </row>
    <row r="478" spans="1:15" ht="14.4" customHeight="1" x14ac:dyDescent="0.3">
      <c r="A478" s="163" t="str">
        <f>IF(ISERROR(MATCH($H478,EAD_CIs!D:D,0)),"NO",
    IF(VLOOKUP($H478,EAD_CIs!D:N,MATCH("Status",EAD_CIs!D$2:N$2,0),0)="Done","No",VLOOKUP($H478,EAD_CIs!D:N,MATCH("Related",EAD_CIs!D$2:N$2,0),0) ))</f>
        <v>#378401
#367776</v>
      </c>
      <c r="B478" s="203">
        <v>329825</v>
      </c>
      <c r="C478" s="34" t="s">
        <v>245</v>
      </c>
      <c r="D478" s="34" t="s">
        <v>36</v>
      </c>
      <c r="E478" s="34" t="s">
        <v>165</v>
      </c>
      <c r="F478" s="34" t="s">
        <v>183</v>
      </c>
      <c r="G478" s="34" t="s">
        <v>582</v>
      </c>
      <c r="H478" s="34" t="s">
        <v>197</v>
      </c>
      <c r="I478" s="34" t="s">
        <v>36</v>
      </c>
      <c r="J478" s="34" t="s">
        <v>1429</v>
      </c>
      <c r="K478" s="34" t="s">
        <v>1434</v>
      </c>
      <c r="L478" s="34" t="s">
        <v>943</v>
      </c>
      <c r="N478" s="95"/>
      <c r="O478" s="95"/>
    </row>
    <row r="479" spans="1:15" ht="14.4" customHeight="1" x14ac:dyDescent="0.3">
      <c r="A479" s="163" t="str">
        <f>IF(ISERROR(MATCH($H479,EAD_CIs!D:D,0)),"NO",
    IF(VLOOKUP($H479,EAD_CIs!D:N,MATCH("Status",EAD_CIs!D$2:N$2,0),0)="Done","No",VLOOKUP($H479,EAD_CIs!D:N,MATCH("Related",EAD_CIs!D$2:N$2,0),0) ))</f>
        <v>NO</v>
      </c>
      <c r="B479" s="203">
        <v>329824</v>
      </c>
      <c r="C479" s="34" t="s">
        <v>340</v>
      </c>
      <c r="D479" s="34" t="s">
        <v>167</v>
      </c>
      <c r="E479" s="34" t="s">
        <v>165</v>
      </c>
      <c r="F479" s="34" t="s">
        <v>183</v>
      </c>
      <c r="G479" s="34" t="s">
        <v>547</v>
      </c>
      <c r="H479" s="34" t="s">
        <v>339</v>
      </c>
      <c r="I479" s="34" t="s">
        <v>36</v>
      </c>
      <c r="J479" s="34" t="s">
        <v>1429</v>
      </c>
      <c r="K479" s="34" t="s">
        <v>1434</v>
      </c>
      <c r="L479" s="34" t="s">
        <v>951</v>
      </c>
      <c r="N479" s="95"/>
      <c r="O479" s="95"/>
    </row>
    <row r="480" spans="1:15" ht="14.4" customHeight="1" x14ac:dyDescent="0.3">
      <c r="A480" s="163" t="str">
        <f>IF(ISERROR(MATCH($H480,EAD_CIs!D:D,0)),"NO",
    IF(VLOOKUP($H480,EAD_CIs!D:N,MATCH("Status",EAD_CIs!D$2:N$2,0),0)="Done","No",VLOOKUP($H480,EAD_CIs!D:N,MATCH("Related",EAD_CIs!D$2:N$2,0),0) ))</f>
        <v>NO</v>
      </c>
      <c r="B480" s="203">
        <v>329821</v>
      </c>
      <c r="C480" s="34" t="s">
        <v>508</v>
      </c>
      <c r="D480" s="34" t="s">
        <v>167</v>
      </c>
      <c r="E480" s="34" t="s">
        <v>165</v>
      </c>
      <c r="F480" s="34" t="s">
        <v>205</v>
      </c>
      <c r="G480" s="34" t="s">
        <v>359</v>
      </c>
      <c r="H480" s="34" t="s">
        <v>509</v>
      </c>
      <c r="I480" s="34" t="s">
        <v>36</v>
      </c>
      <c r="J480" s="34" t="s">
        <v>1429</v>
      </c>
      <c r="K480" s="34" t="s">
        <v>1421</v>
      </c>
      <c r="L480" s="34" t="s">
        <v>943</v>
      </c>
      <c r="N480" s="95"/>
      <c r="O480" s="95"/>
    </row>
    <row r="481" spans="1:15" ht="14.4" customHeight="1" x14ac:dyDescent="0.3">
      <c r="A481" s="163" t="str">
        <f>IF(ISERROR(MATCH($H481,EAD_CIs!D:D,0)),"NO",
    IF(VLOOKUP($H481,EAD_CIs!D:N,MATCH("Status",EAD_CIs!D$2:N$2,0),0)="Done","No",VLOOKUP($H481,EAD_CIs!D:N,MATCH("Related",EAD_CIs!D$2:N$2,0),0) ))</f>
        <v>#377408
#1001248
#381643
#383958
#315485
#342163
#299984
#354174
#381524
#332951
#318380
#386935</v>
      </c>
      <c r="B481" s="203">
        <v>329820</v>
      </c>
      <c r="C481" s="34" t="s">
        <v>1284</v>
      </c>
      <c r="D481" s="34" t="s">
        <v>167</v>
      </c>
      <c r="E481" s="34" t="s">
        <v>165</v>
      </c>
      <c r="F481" s="34" t="s">
        <v>1292</v>
      </c>
      <c r="G481" s="34" t="s">
        <v>270</v>
      </c>
      <c r="H481" s="34" t="s">
        <v>1177</v>
      </c>
      <c r="I481" s="34" t="s">
        <v>36</v>
      </c>
      <c r="J481" s="34" t="s">
        <v>1429</v>
      </c>
      <c r="K481" s="34" t="s">
        <v>1421</v>
      </c>
      <c r="L481" s="34" t="s">
        <v>949</v>
      </c>
      <c r="N481" s="95"/>
      <c r="O481" s="95"/>
    </row>
    <row r="482" spans="1:15" ht="14.4" customHeight="1" x14ac:dyDescent="0.3">
      <c r="A482" s="163" t="str">
        <f>IF(ISERROR(MATCH($H482,EAD_CIs!D:D,0)),"NO",
    IF(VLOOKUP($H482,EAD_CIs!D:N,MATCH("Status",EAD_CIs!D$2:N$2,0),0)="Done","No",VLOOKUP($H482,EAD_CIs!D:N,MATCH("Related",EAD_CIs!D$2:N$2,0),0) ))</f>
        <v>#377408
#1001248
#381643
#383958
#315485
#342163
#299984
#354174
#381524
#332951
#318380
#386935</v>
      </c>
      <c r="B482" s="203">
        <v>329814</v>
      </c>
      <c r="C482" s="34" t="s">
        <v>1283</v>
      </c>
      <c r="D482" s="34" t="s">
        <v>167</v>
      </c>
      <c r="E482" s="34" t="s">
        <v>165</v>
      </c>
      <c r="F482" s="34" t="s">
        <v>205</v>
      </c>
      <c r="G482" s="34" t="s">
        <v>549</v>
      </c>
      <c r="H482" s="34" t="s">
        <v>1177</v>
      </c>
      <c r="I482" s="34" t="s">
        <v>36</v>
      </c>
      <c r="J482" s="34" t="s">
        <v>1429</v>
      </c>
      <c r="K482" s="34" t="s">
        <v>1421</v>
      </c>
      <c r="L482" s="34" t="s">
        <v>17</v>
      </c>
      <c r="N482" s="95"/>
      <c r="O482" s="95"/>
    </row>
    <row r="483" spans="1:15" ht="14.4" customHeight="1" x14ac:dyDescent="0.3">
      <c r="A483" s="163" t="str">
        <f>IF(ISERROR(MATCH($H483,EAD_CIs!D:D,0)),"NO",
    IF(VLOOKUP($H483,EAD_CIs!D:N,MATCH("Status",EAD_CIs!D$2:N$2,0),0)="Done","No",VLOOKUP($H483,EAD_CIs!D:N,MATCH("Related",EAD_CIs!D$2:N$2,0),0) ))</f>
        <v>#1001248</v>
      </c>
      <c r="B483" s="203">
        <v>329812</v>
      </c>
      <c r="C483" s="34" t="s">
        <v>318</v>
      </c>
      <c r="D483" s="34" t="s">
        <v>167</v>
      </c>
      <c r="E483" s="34" t="s">
        <v>165</v>
      </c>
      <c r="F483" s="34" t="s">
        <v>1017</v>
      </c>
      <c r="G483" s="34" t="s">
        <v>547</v>
      </c>
      <c r="H483" s="34" t="s">
        <v>317</v>
      </c>
      <c r="I483" s="34" t="s">
        <v>36</v>
      </c>
      <c r="J483" s="34" t="s">
        <v>1429</v>
      </c>
      <c r="K483" s="34" t="s">
        <v>1434</v>
      </c>
      <c r="L483" s="34" t="s">
        <v>554</v>
      </c>
      <c r="N483" s="95"/>
      <c r="O483" s="95"/>
    </row>
    <row r="484" spans="1:15" ht="14.4" customHeight="1" x14ac:dyDescent="0.3">
      <c r="A484" s="163" t="str">
        <f>IF(ISERROR(MATCH($H484,EAD_CIs!D:D,0)),"NO",
    IF(VLOOKUP($H484,EAD_CIs!D:N,MATCH("Status",EAD_CIs!D$2:N$2,0),0)="Done","No",VLOOKUP($H484,EAD_CIs!D:N,MATCH("Related",EAD_CIs!D$2:N$2,0),0) ))</f>
        <v>#342054</v>
      </c>
      <c r="B484" s="203">
        <v>329811</v>
      </c>
      <c r="C484" s="34" t="s">
        <v>312</v>
      </c>
      <c r="D484" s="34" t="s">
        <v>167</v>
      </c>
      <c r="E484" s="34" t="s">
        <v>165</v>
      </c>
      <c r="F484" s="34" t="s">
        <v>797</v>
      </c>
      <c r="G484" s="34" t="s">
        <v>1003</v>
      </c>
      <c r="H484" s="34" t="s">
        <v>243</v>
      </c>
      <c r="I484" s="34" t="s">
        <v>134</v>
      </c>
      <c r="J484" s="34" t="s">
        <v>1420</v>
      </c>
      <c r="K484" s="34" t="s">
        <v>1421</v>
      </c>
      <c r="L484" s="34" t="s">
        <v>947</v>
      </c>
      <c r="N484" s="95"/>
      <c r="O484" s="95"/>
    </row>
    <row r="485" spans="1:15" ht="14.4" customHeight="1" x14ac:dyDescent="0.3">
      <c r="A485" s="163" t="str">
        <f>IF(ISERROR(MATCH($H485,EAD_CIs!D:D,0)),"NO",
    IF(VLOOKUP($H485,EAD_CIs!D:N,MATCH("Status",EAD_CIs!D$2:N$2,0),0)="Done","No",VLOOKUP($H485,EAD_CIs!D:N,MATCH("Related",EAD_CIs!D$2:N$2,0),0) ))</f>
        <v>#377408
#1001248
#381643
#383958
#315485
#342163
#299984
#354174
#381524
#332951
#318380
#386935</v>
      </c>
      <c r="B485" s="203">
        <v>329809</v>
      </c>
      <c r="C485" s="34" t="s">
        <v>1282</v>
      </c>
      <c r="D485" s="34" t="s">
        <v>167</v>
      </c>
      <c r="E485" s="34" t="s">
        <v>165</v>
      </c>
      <c r="F485" s="34" t="s">
        <v>1291</v>
      </c>
      <c r="G485" s="34" t="s">
        <v>164</v>
      </c>
      <c r="H485" s="34" t="s">
        <v>1177</v>
      </c>
      <c r="I485" s="34" t="s">
        <v>36</v>
      </c>
      <c r="J485" s="34" t="s">
        <v>1429</v>
      </c>
      <c r="K485" s="34" t="s">
        <v>1421</v>
      </c>
      <c r="L485" s="34" t="s">
        <v>17</v>
      </c>
      <c r="N485" s="95"/>
      <c r="O485" s="95"/>
    </row>
    <row r="486" spans="1:15" ht="14.4" customHeight="1" x14ac:dyDescent="0.3">
      <c r="A486" s="163" t="str">
        <f>IF(ISERROR(MATCH($H486,EAD_CIs!D:D,0)),"NO",
    IF(VLOOKUP($H486,EAD_CIs!D:N,MATCH("Status",EAD_CIs!D$2:N$2,0),0)="Done","No",VLOOKUP($H486,EAD_CIs!D:N,MATCH("Related",EAD_CIs!D$2:N$2,0),0) ))</f>
        <v>#377408
#1001248
#381643
#383958
#315485
#342163
#299984
#354174
#381524
#332951
#318380
#386935</v>
      </c>
      <c r="B486" s="203">
        <v>329806</v>
      </c>
      <c r="C486" s="34" t="s">
        <v>1281</v>
      </c>
      <c r="D486" s="34" t="s">
        <v>167</v>
      </c>
      <c r="E486" s="34" t="s">
        <v>165</v>
      </c>
      <c r="F486" s="34" t="s">
        <v>205</v>
      </c>
      <c r="G486" s="34" t="s">
        <v>275</v>
      </c>
      <c r="H486" s="34" t="s">
        <v>1177</v>
      </c>
      <c r="I486" s="34" t="s">
        <v>36</v>
      </c>
      <c r="J486" s="34" t="s">
        <v>1429</v>
      </c>
      <c r="K486" s="34" t="s">
        <v>1421</v>
      </c>
      <c r="L486" s="34" t="s">
        <v>950</v>
      </c>
      <c r="N486" s="95"/>
      <c r="O486" s="95"/>
    </row>
    <row r="487" spans="1:15" ht="14.4" customHeight="1" x14ac:dyDescent="0.3">
      <c r="A487" s="163" t="str">
        <f>IF(ISERROR(MATCH($H487,EAD_CIs!D:D,0)),"NO",
    IF(VLOOKUP($H487,EAD_CIs!D:N,MATCH("Status",EAD_CIs!D$2:N$2,0),0)="Done","No",VLOOKUP($H487,EAD_CIs!D:N,MATCH("Related",EAD_CIs!D$2:N$2,0),0) ))</f>
        <v>#1001248</v>
      </c>
      <c r="B487" s="203">
        <v>329805</v>
      </c>
      <c r="C487" s="34" t="s">
        <v>319</v>
      </c>
      <c r="D487" s="34" t="s">
        <v>167</v>
      </c>
      <c r="E487" s="34" t="s">
        <v>165</v>
      </c>
      <c r="F487" s="34" t="s">
        <v>205</v>
      </c>
      <c r="G487" s="34" t="s">
        <v>1008</v>
      </c>
      <c r="H487" s="34" t="s">
        <v>317</v>
      </c>
      <c r="I487" s="34" t="s">
        <v>36</v>
      </c>
      <c r="J487" s="34" t="s">
        <v>1429</v>
      </c>
      <c r="K487" s="34" t="s">
        <v>1421</v>
      </c>
      <c r="L487" s="34" t="s">
        <v>947</v>
      </c>
      <c r="N487" s="95"/>
      <c r="O487" s="95"/>
    </row>
    <row r="488" spans="1:15" ht="14.4" customHeight="1" x14ac:dyDescent="0.3">
      <c r="A488" s="163" t="str">
        <f>IF(ISERROR(MATCH($H488,EAD_CIs!D:D,0)),"NO",
    IF(VLOOKUP($H488,EAD_CIs!D:N,MATCH("Status",EAD_CIs!D$2:N$2,0),0)="Done","No",VLOOKUP($H488,EAD_CIs!D:N,MATCH("Related",EAD_CIs!D$2:N$2,0),0) ))</f>
        <v>#377408
#1001248
#381643
#383958
#315485
#342163
#299984
#354174
#381524
#332951
#318380
#386935</v>
      </c>
      <c r="B488" s="203">
        <v>329804</v>
      </c>
      <c r="C488" s="34" t="s">
        <v>1280</v>
      </c>
      <c r="D488" s="34" t="s">
        <v>167</v>
      </c>
      <c r="E488" s="34" t="s">
        <v>165</v>
      </c>
      <c r="F488" s="34" t="s">
        <v>1290</v>
      </c>
      <c r="G488" s="34" t="s">
        <v>1008</v>
      </c>
      <c r="H488" s="34" t="s">
        <v>1177</v>
      </c>
      <c r="I488" s="34" t="s">
        <v>36</v>
      </c>
      <c r="J488" s="34" t="s">
        <v>1429</v>
      </c>
      <c r="K488" s="34" t="s">
        <v>1421</v>
      </c>
      <c r="L488" s="34" t="s">
        <v>943</v>
      </c>
      <c r="N488" s="95"/>
      <c r="O488" s="95"/>
    </row>
    <row r="489" spans="1:15" ht="14.4" customHeight="1" x14ac:dyDescent="0.3">
      <c r="A489" s="163" t="str">
        <f>IF(ISERROR(MATCH($H489,EAD_CIs!D:D,0)),"NO",
    IF(VLOOKUP($H489,EAD_CIs!D:N,MATCH("Status",EAD_CIs!D$2:N$2,0),0)="Done","No",VLOOKUP($H489,EAD_CIs!D:N,MATCH("Related",EAD_CIs!D$2:N$2,0),0) ))</f>
        <v>NO</v>
      </c>
      <c r="B489" s="203">
        <v>329801</v>
      </c>
      <c r="C489" s="34" t="s">
        <v>358</v>
      </c>
      <c r="D489" s="34" t="s">
        <v>167</v>
      </c>
      <c r="E489" s="34" t="s">
        <v>165</v>
      </c>
      <c r="F489" s="34" t="s">
        <v>205</v>
      </c>
      <c r="G489" s="34" t="s">
        <v>547</v>
      </c>
      <c r="H489" s="34" t="s">
        <v>219</v>
      </c>
      <c r="I489" s="34" t="s">
        <v>36</v>
      </c>
      <c r="J489" s="34" t="s">
        <v>1429</v>
      </c>
      <c r="K489" s="34" t="s">
        <v>1434</v>
      </c>
      <c r="L489" s="34" t="s">
        <v>951</v>
      </c>
      <c r="N489" s="95"/>
      <c r="O489" s="95"/>
    </row>
    <row r="490" spans="1:15" ht="14.4" customHeight="1" x14ac:dyDescent="0.3">
      <c r="A490" s="163" t="str">
        <f>IF(ISERROR(MATCH($H490,EAD_CIs!D:D,0)),"NO",
    IF(VLOOKUP($H490,EAD_CIs!D:N,MATCH("Status",EAD_CIs!D$2:N$2,0),0)="Done","No",VLOOKUP($H490,EAD_CIs!D:N,MATCH("Related",EAD_CIs!D$2:N$2,0),0) ))</f>
        <v>NO</v>
      </c>
      <c r="B490" s="203">
        <v>329800</v>
      </c>
      <c r="C490" s="34" t="s">
        <v>798</v>
      </c>
      <c r="D490" s="34" t="s">
        <v>167</v>
      </c>
      <c r="E490" s="34" t="s">
        <v>165</v>
      </c>
      <c r="F490" s="34" t="s">
        <v>183</v>
      </c>
      <c r="G490" s="34" t="s">
        <v>195</v>
      </c>
      <c r="H490" s="34" t="s">
        <v>194</v>
      </c>
      <c r="I490" s="34" t="s">
        <v>36</v>
      </c>
      <c r="J490" s="34" t="s">
        <v>1429</v>
      </c>
      <c r="K490" s="34" t="s">
        <v>1434</v>
      </c>
      <c r="L490" s="34" t="s">
        <v>951</v>
      </c>
      <c r="N490" s="95"/>
      <c r="O490" s="95"/>
    </row>
    <row r="491" spans="1:15" ht="14.4" customHeight="1" x14ac:dyDescent="0.3">
      <c r="A491" s="163" t="str">
        <f>IF(ISERROR(MATCH($H491,EAD_CIs!D:D,0)),"NO",
    IF(VLOOKUP($H491,EAD_CIs!D:N,MATCH("Status",EAD_CIs!D$2:N$2,0),0)="Done","No",VLOOKUP($H491,EAD_CIs!D:N,MATCH("Related",EAD_CIs!D$2:N$2,0),0) ))</f>
        <v>#380808
#1011907
#342054
#385632
#1014199
#1003390</v>
      </c>
      <c r="B491" s="203">
        <v>329798</v>
      </c>
      <c r="C491" s="34" t="s">
        <v>255</v>
      </c>
      <c r="D491" s="34" t="s">
        <v>167</v>
      </c>
      <c r="E491" s="34" t="s">
        <v>165</v>
      </c>
      <c r="F491" s="34" t="s">
        <v>205</v>
      </c>
      <c r="G491" s="34" t="s">
        <v>577</v>
      </c>
      <c r="H491" s="34" t="s">
        <v>190</v>
      </c>
      <c r="I491" s="34" t="s">
        <v>36</v>
      </c>
      <c r="J491" s="34" t="s">
        <v>1429</v>
      </c>
      <c r="K491" s="34" t="s">
        <v>1421</v>
      </c>
      <c r="L491" s="34" t="s">
        <v>947</v>
      </c>
      <c r="N491" s="95"/>
      <c r="O491" s="95"/>
    </row>
    <row r="492" spans="1:15" ht="14.4" customHeight="1" x14ac:dyDescent="0.3">
      <c r="A492" s="163" t="str">
        <f>IF(ISERROR(MATCH($H492,EAD_CIs!D:D,0)),"NO",
    IF(VLOOKUP($H492,EAD_CIs!D:N,MATCH("Status",EAD_CIs!D$2:N$2,0),0)="Done","No",VLOOKUP($H492,EAD_CIs!D:N,MATCH("Related",EAD_CIs!D$2:N$2,0),0) ))</f>
        <v>#377408
#1001248
#381643
#383958
#315485
#342163
#299984
#354174
#381524
#332951
#318380
#386935</v>
      </c>
      <c r="B492" s="203">
        <v>329796</v>
      </c>
      <c r="C492" s="34" t="s">
        <v>1279</v>
      </c>
      <c r="D492" s="34" t="s">
        <v>167</v>
      </c>
      <c r="E492" s="34" t="s">
        <v>165</v>
      </c>
      <c r="F492" s="34" t="s">
        <v>1289</v>
      </c>
      <c r="G492" s="34" t="s">
        <v>170</v>
      </c>
      <c r="H492" s="34" t="s">
        <v>1177</v>
      </c>
      <c r="I492" s="34" t="s">
        <v>36</v>
      </c>
      <c r="J492" s="34" t="s">
        <v>1429</v>
      </c>
      <c r="K492" s="34" t="s">
        <v>1421</v>
      </c>
      <c r="L492" s="34" t="s">
        <v>943</v>
      </c>
      <c r="N492" s="95"/>
      <c r="O492" s="95"/>
    </row>
    <row r="493" spans="1:15" ht="14.4" customHeight="1" x14ac:dyDescent="0.3">
      <c r="A493" s="163" t="str">
        <f>IF(ISERROR(MATCH($H493,EAD_CIs!D:D,0)),"NO",
    IF(VLOOKUP($H493,EAD_CIs!D:N,MATCH("Status",EAD_CIs!D$2:N$2,0),0)="Done","No",VLOOKUP($H493,EAD_CIs!D:N,MATCH("Related",EAD_CIs!D$2:N$2,0),0) ))</f>
        <v>NO</v>
      </c>
      <c r="B493" s="203">
        <v>329793</v>
      </c>
      <c r="C493" s="34" t="s">
        <v>517</v>
      </c>
      <c r="D493" s="34" t="s">
        <v>167</v>
      </c>
      <c r="E493" s="34" t="s">
        <v>165</v>
      </c>
      <c r="F493" s="34" t="s">
        <v>205</v>
      </c>
      <c r="G493" s="34" t="s">
        <v>164</v>
      </c>
      <c r="H493" s="34" t="s">
        <v>515</v>
      </c>
      <c r="I493" s="34" t="s">
        <v>36</v>
      </c>
      <c r="J493" s="34" t="s">
        <v>1429</v>
      </c>
      <c r="K493" s="34" t="s">
        <v>1421</v>
      </c>
      <c r="L493" s="34" t="s">
        <v>17</v>
      </c>
      <c r="N493" s="95"/>
      <c r="O493" s="95"/>
    </row>
    <row r="494" spans="1:15" ht="14.4" customHeight="1" x14ac:dyDescent="0.3">
      <c r="A494" s="163" t="str">
        <f>IF(ISERROR(MATCH($H494,EAD_CIs!D:D,0)),"NO",
    IF(VLOOKUP($H494,EAD_CIs!D:N,MATCH("Status",EAD_CIs!D$2:N$2,0),0)="Done","No",VLOOKUP($H494,EAD_CIs!D:N,MATCH("Related",EAD_CIs!D$2:N$2,0),0) ))</f>
        <v>NO</v>
      </c>
      <c r="B494" s="203">
        <v>329792</v>
      </c>
      <c r="C494" s="34" t="s">
        <v>281</v>
      </c>
      <c r="D494" s="34" t="s">
        <v>167</v>
      </c>
      <c r="E494" s="34" t="s">
        <v>165</v>
      </c>
      <c r="F494" s="34" t="s">
        <v>205</v>
      </c>
      <c r="G494" s="34" t="s">
        <v>547</v>
      </c>
      <c r="H494" s="34" t="s">
        <v>282</v>
      </c>
      <c r="I494" s="34" t="s">
        <v>36</v>
      </c>
      <c r="J494" s="34" t="s">
        <v>1429</v>
      </c>
      <c r="K494" s="34" t="s">
        <v>1421</v>
      </c>
      <c r="L494" s="34" t="s">
        <v>951</v>
      </c>
      <c r="N494" s="95"/>
      <c r="O494" s="95"/>
    </row>
    <row r="495" spans="1:15" ht="14.4" customHeight="1" x14ac:dyDescent="0.3">
      <c r="A495" s="163" t="str">
        <f>IF(ISERROR(MATCH($H495,EAD_CIs!D:D,0)),"NO",
    IF(VLOOKUP($H495,EAD_CIs!D:N,MATCH("Status",EAD_CIs!D$2:N$2,0),0)="Done","No",VLOOKUP($H495,EAD_CIs!D:N,MATCH("Related",EAD_CIs!D$2:N$2,0),0) ))</f>
        <v>#377408
#1001248
#381643
#383958
#315485
#342163
#299984
#354174
#381524
#332951
#318380
#386935</v>
      </c>
      <c r="B495" s="203">
        <v>329790</v>
      </c>
      <c r="C495" s="34" t="s">
        <v>1278</v>
      </c>
      <c r="D495" s="34" t="s">
        <v>167</v>
      </c>
      <c r="E495" s="34" t="s">
        <v>165</v>
      </c>
      <c r="F495" s="34" t="s">
        <v>1288</v>
      </c>
      <c r="G495" s="34" t="s">
        <v>170</v>
      </c>
      <c r="H495" s="34" t="s">
        <v>1177</v>
      </c>
      <c r="I495" s="34" t="s">
        <v>36</v>
      </c>
      <c r="J495" s="34" t="s">
        <v>1429</v>
      </c>
      <c r="K495" s="34" t="s">
        <v>1421</v>
      </c>
      <c r="L495" s="34" t="s">
        <v>943</v>
      </c>
      <c r="N495" s="95"/>
      <c r="O495" s="95"/>
    </row>
    <row r="496" spans="1:15" ht="14.4" customHeight="1" x14ac:dyDescent="0.3">
      <c r="A496" s="163" t="str">
        <f>IF(ISERROR(MATCH($H496,EAD_CIs!D:D,0)),"NO",
    IF(VLOOKUP($H496,EAD_CIs!D:N,MATCH("Status",EAD_CIs!D$2:N$2,0),0)="Done","No",VLOOKUP($H496,EAD_CIs!D:N,MATCH("Related",EAD_CIs!D$2:N$2,0),0) ))</f>
        <v>#377408
#1001248
#381643
#383958
#315485
#342163
#299984
#354174
#381524
#332951
#318380
#386935</v>
      </c>
      <c r="B496" s="203">
        <v>329789</v>
      </c>
      <c r="C496" s="34" t="s">
        <v>1277</v>
      </c>
      <c r="D496" s="34" t="s">
        <v>167</v>
      </c>
      <c r="E496" s="34" t="s">
        <v>165</v>
      </c>
      <c r="F496" s="34" t="s">
        <v>1287</v>
      </c>
      <c r="G496" s="34" t="s">
        <v>1008</v>
      </c>
      <c r="H496" s="34" t="s">
        <v>1177</v>
      </c>
      <c r="I496" s="34" t="s">
        <v>36</v>
      </c>
      <c r="J496" s="34" t="s">
        <v>1429</v>
      </c>
      <c r="K496" s="34" t="s">
        <v>1421</v>
      </c>
      <c r="L496" s="34" t="s">
        <v>947</v>
      </c>
      <c r="N496" s="95"/>
      <c r="O496" s="95"/>
    </row>
    <row r="497" spans="1:15" ht="14.4" customHeight="1" x14ac:dyDescent="0.3">
      <c r="A497" s="163" t="str">
        <f>IF(ISERROR(MATCH($H497,EAD_CIs!D:D,0)),"NO",
    IF(VLOOKUP($H497,EAD_CIs!D:N,MATCH("Status",EAD_CIs!D$2:N$2,0),0)="Done","No",VLOOKUP($H497,EAD_CIs!D:N,MATCH("Related",EAD_CIs!D$2:N$2,0),0) ))</f>
        <v>#1003390
#1014169</v>
      </c>
      <c r="B497" s="203">
        <v>329788</v>
      </c>
      <c r="C497" s="34" t="s">
        <v>220</v>
      </c>
      <c r="D497" s="34" t="s">
        <v>167</v>
      </c>
      <c r="E497" s="34" t="s">
        <v>165</v>
      </c>
      <c r="F497" s="34" t="s">
        <v>1017</v>
      </c>
      <c r="G497" s="34" t="s">
        <v>547</v>
      </c>
      <c r="H497" s="34" t="s">
        <v>206</v>
      </c>
      <c r="I497" s="34" t="s">
        <v>36</v>
      </c>
      <c r="J497" s="34" t="s">
        <v>1429</v>
      </c>
      <c r="K497" s="34" t="s">
        <v>1434</v>
      </c>
      <c r="L497" s="34" t="s">
        <v>554</v>
      </c>
      <c r="N497" s="95"/>
      <c r="O497" s="95"/>
    </row>
    <row r="498" spans="1:15" ht="14.4" customHeight="1" x14ac:dyDescent="0.3">
      <c r="A498" s="163" t="str">
        <f>IF(ISERROR(MATCH($H498,EAD_CIs!D:D,0)),"NO",
    IF(VLOOKUP($H498,EAD_CIs!D:N,MATCH("Status",EAD_CIs!D$2:N$2,0),0)="Done","No",VLOOKUP($H498,EAD_CIs!D:N,MATCH("Related",EAD_CIs!D$2:N$2,0),0) ))</f>
        <v>NO</v>
      </c>
      <c r="B498" s="203">
        <v>329787</v>
      </c>
      <c r="C498" s="34" t="s">
        <v>273</v>
      </c>
      <c r="D498" s="34" t="s">
        <v>167</v>
      </c>
      <c r="E498" s="34" t="s">
        <v>165</v>
      </c>
      <c r="F498" s="34" t="s">
        <v>205</v>
      </c>
      <c r="G498" s="34" t="s">
        <v>275</v>
      </c>
      <c r="H498" s="34" t="s">
        <v>274</v>
      </c>
      <c r="I498" s="34" t="s">
        <v>36</v>
      </c>
      <c r="J498" s="34" t="s">
        <v>1429</v>
      </c>
      <c r="K498" s="34" t="s">
        <v>1421</v>
      </c>
      <c r="L498" s="34" t="s">
        <v>950</v>
      </c>
      <c r="N498" s="95"/>
      <c r="O498" s="95"/>
    </row>
    <row r="499" spans="1:15" ht="14.4" customHeight="1" x14ac:dyDescent="0.3">
      <c r="A499" s="163" t="str">
        <f>IF(ISERROR(MATCH($H499,EAD_CIs!D:D,0)),"NO",
    IF(VLOOKUP($H499,EAD_CIs!D:N,MATCH("Status",EAD_CIs!D$2:N$2,0),0)="Done","No",VLOOKUP($H499,EAD_CIs!D:N,MATCH("Related",EAD_CIs!D$2:N$2,0),0) ))</f>
        <v>#377408
#1001248
#381643
#383958
#315485
#342163
#299984
#354174
#381524
#332951
#318380
#386935</v>
      </c>
      <c r="B499" s="203">
        <v>329786</v>
      </c>
      <c r="C499" s="34" t="s">
        <v>1276</v>
      </c>
      <c r="D499" s="34" t="s">
        <v>167</v>
      </c>
      <c r="E499" s="34" t="s">
        <v>165</v>
      </c>
      <c r="F499" s="34" t="s">
        <v>1286</v>
      </c>
      <c r="G499" s="34" t="s">
        <v>547</v>
      </c>
      <c r="H499" s="34" t="s">
        <v>1177</v>
      </c>
      <c r="I499" s="34" t="s">
        <v>36</v>
      </c>
      <c r="J499" s="34" t="s">
        <v>1429</v>
      </c>
      <c r="K499" s="34" t="s">
        <v>1421</v>
      </c>
      <c r="L499" s="34" t="s">
        <v>943</v>
      </c>
      <c r="N499" s="95"/>
      <c r="O499" s="95"/>
    </row>
    <row r="500" spans="1:15" ht="14.4" customHeight="1" x14ac:dyDescent="0.3">
      <c r="A500" s="163" t="str">
        <f>IF(ISERROR(MATCH($H500,EAD_CIs!D:D,0)),"NO",
    IF(VLOOKUP($H500,EAD_CIs!D:N,MATCH("Status",EAD_CIs!D$2:N$2,0),0)="Done","No",VLOOKUP($H500,EAD_CIs!D:N,MATCH("Related",EAD_CIs!D$2:N$2,0),0) ))</f>
        <v>#377408
#1001248
#381643
#383958
#315485
#342163
#299984
#354174
#381524
#332951
#318380
#386935</v>
      </c>
      <c r="B500" s="203">
        <v>329784</v>
      </c>
      <c r="C500" s="34" t="s">
        <v>1275</v>
      </c>
      <c r="D500" s="34" t="s">
        <v>36</v>
      </c>
      <c r="E500" s="34" t="s">
        <v>165</v>
      </c>
      <c r="F500" s="34" t="s">
        <v>205</v>
      </c>
      <c r="G500" s="34" t="s">
        <v>1008</v>
      </c>
      <c r="H500" s="34" t="s">
        <v>1177</v>
      </c>
      <c r="I500" s="34" t="s">
        <v>36</v>
      </c>
      <c r="J500" s="34" t="s">
        <v>1429</v>
      </c>
      <c r="K500" s="34" t="s">
        <v>1421</v>
      </c>
      <c r="L500" s="34" t="s">
        <v>947</v>
      </c>
      <c r="N500" s="95"/>
      <c r="O500" s="95"/>
    </row>
    <row r="501" spans="1:15" x14ac:dyDescent="0.3">
      <c r="A501" s="163" t="str">
        <f>IF(ISERROR(MATCH($H501,EAD_CIs!D:D,0)),"NO",
    IF(VLOOKUP($H501,EAD_CIs!D:N,MATCH("Status",EAD_CIs!D$2:N$2,0),0)="Done","No",VLOOKUP($H501,EAD_CIs!D:N,MATCH("Related",EAD_CIs!D$2:N$2,0),0) ))</f>
        <v>NO</v>
      </c>
      <c r="B501" s="203">
        <v>329783</v>
      </c>
      <c r="C501" s="34" t="s">
        <v>510</v>
      </c>
      <c r="D501" s="34" t="s">
        <v>167</v>
      </c>
      <c r="E501" s="34" t="s">
        <v>165</v>
      </c>
      <c r="F501" s="32" t="s">
        <v>1018</v>
      </c>
      <c r="G501" s="34" t="s">
        <v>547</v>
      </c>
      <c r="H501" s="34" t="s">
        <v>509</v>
      </c>
      <c r="I501" s="34" t="s">
        <v>36</v>
      </c>
      <c r="J501" s="34" t="s">
        <v>1429</v>
      </c>
      <c r="K501" s="34" t="s">
        <v>1421</v>
      </c>
      <c r="L501" s="34" t="s">
        <v>554</v>
      </c>
      <c r="N501" s="95"/>
      <c r="O501" s="95"/>
    </row>
    <row r="502" spans="1:15" x14ac:dyDescent="0.3">
      <c r="A502" s="163" t="str">
        <f>IF(ISERROR(MATCH($H502,EAD_CIs!D:D,0)),"NO",
    IF(VLOOKUP($H502,EAD_CIs!D:N,MATCH("Status",EAD_CIs!D$2:N$2,0),0)="Done","No",VLOOKUP($H502,EAD_CIs!D:N,MATCH("Related",EAD_CIs!D$2:N$2,0),0) ))</f>
        <v>#377408
#1001248
#381643
#383958
#315485
#342163
#299984
#354174
#381524
#332951
#318380
#386935</v>
      </c>
      <c r="B502" s="203">
        <v>329782</v>
      </c>
      <c r="C502" s="34" t="s">
        <v>1274</v>
      </c>
      <c r="D502" s="34" t="s">
        <v>167</v>
      </c>
      <c r="E502" s="34" t="s">
        <v>165</v>
      </c>
      <c r="F502" s="34" t="s">
        <v>1285</v>
      </c>
      <c r="G502" s="34" t="s">
        <v>549</v>
      </c>
      <c r="H502" s="34" t="s">
        <v>1177</v>
      </c>
      <c r="I502" s="34" t="s">
        <v>36</v>
      </c>
      <c r="J502" s="34" t="s">
        <v>1429</v>
      </c>
      <c r="K502" s="34" t="s">
        <v>1421</v>
      </c>
      <c r="L502" s="34" t="s">
        <v>17</v>
      </c>
      <c r="N502" s="95"/>
      <c r="O502" s="95"/>
    </row>
    <row r="503" spans="1:15" x14ac:dyDescent="0.3">
      <c r="A503" s="163" t="str">
        <f>IF(ISERROR(MATCH($H503,EAD_CIs!D:D,0)),"NO",
    IF(VLOOKUP($H503,EAD_CIs!D:N,MATCH("Status",EAD_CIs!D$2:N$2,0),0)="Done","No",VLOOKUP($H503,EAD_CIs!D:N,MATCH("Related",EAD_CIs!D$2:N$2,0),0) ))</f>
        <v>#377408
#1001248
#381643
#383958
#315485
#342163
#299984
#354174
#381524
#332951
#318380
#386935</v>
      </c>
      <c r="B503" s="203">
        <v>329781</v>
      </c>
      <c r="C503" s="34" t="s">
        <v>1273</v>
      </c>
      <c r="D503" s="34" t="s">
        <v>167</v>
      </c>
      <c r="E503" s="34" t="s">
        <v>165</v>
      </c>
      <c r="F503" s="34" t="s">
        <v>183</v>
      </c>
      <c r="G503" s="34" t="s">
        <v>254</v>
      </c>
      <c r="H503" s="34" t="s">
        <v>1177</v>
      </c>
      <c r="I503" s="34" t="s">
        <v>36</v>
      </c>
      <c r="J503" s="34" t="s">
        <v>1429</v>
      </c>
      <c r="K503" s="34" t="s">
        <v>1434</v>
      </c>
      <c r="L503" s="34" t="s">
        <v>947</v>
      </c>
      <c r="N503" s="95"/>
      <c r="O503" s="95"/>
    </row>
    <row r="504" spans="1:15" x14ac:dyDescent="0.3">
      <c r="A504" s="163" t="str">
        <f>IF(ISERROR(MATCH($H504,EAD_CIs!D:D,0)),"NO",
    IF(VLOOKUP($H504,EAD_CIs!D:N,MATCH("Status",EAD_CIs!D$2:N$2,0),0)="Done","No",VLOOKUP($H504,EAD_CIs!D:N,MATCH("Related",EAD_CIs!D$2:N$2,0),0) ))</f>
        <v>#354871</v>
      </c>
      <c r="B504" s="203">
        <v>329780</v>
      </c>
      <c r="C504" s="34" t="s">
        <v>799</v>
      </c>
      <c r="D504" s="34" t="s">
        <v>167</v>
      </c>
      <c r="E504" s="34" t="s">
        <v>141</v>
      </c>
      <c r="F504" s="34" t="s">
        <v>1509</v>
      </c>
      <c r="G504" s="34" t="s">
        <v>549</v>
      </c>
      <c r="H504" s="34" t="s">
        <v>297</v>
      </c>
      <c r="I504" s="34" t="s">
        <v>36</v>
      </c>
      <c r="J504" s="34" t="s">
        <v>1429</v>
      </c>
      <c r="K504" s="34" t="s">
        <v>1421</v>
      </c>
      <c r="L504" s="34" t="s">
        <v>17</v>
      </c>
      <c r="N504" s="95"/>
      <c r="O504" s="95"/>
    </row>
    <row r="505" spans="1:15" x14ac:dyDescent="0.3">
      <c r="A505" s="163" t="str">
        <f>IF(ISERROR(MATCH($H505,EAD_CIs!D:D,0)),"NO",
    IF(VLOOKUP($H505,EAD_CIs!D:N,MATCH("Status",EAD_CIs!D$2:N$2,0),0)="Done","No",VLOOKUP($H505,EAD_CIs!D:N,MATCH("Related",EAD_CIs!D$2:N$2,0),0) ))</f>
        <v>#1013928
#1003390</v>
      </c>
      <c r="B505" s="203">
        <v>329779</v>
      </c>
      <c r="C505" s="34" t="s">
        <v>276</v>
      </c>
      <c r="D505" s="34" t="s">
        <v>167</v>
      </c>
      <c r="E505" s="34" t="s">
        <v>165</v>
      </c>
      <c r="F505" s="34" t="s">
        <v>205</v>
      </c>
      <c r="G505" s="34" t="s">
        <v>600</v>
      </c>
      <c r="H505" s="34" t="s">
        <v>277</v>
      </c>
      <c r="I505" s="34" t="s">
        <v>36</v>
      </c>
      <c r="J505" s="34" t="s">
        <v>1429</v>
      </c>
      <c r="K505" s="34" t="s">
        <v>1421</v>
      </c>
      <c r="L505" s="34" t="s">
        <v>950</v>
      </c>
      <c r="N505" s="95"/>
      <c r="O505" s="95"/>
    </row>
    <row r="506" spans="1:15" x14ac:dyDescent="0.3">
      <c r="A506" s="163" t="str">
        <f>IF(ISERROR(MATCH($H506,EAD_CIs!D:D,0)),"NO",
    IF(VLOOKUP($H506,EAD_CIs!D:N,MATCH("Status",EAD_CIs!D$2:N$2,0),0)="Done","No",VLOOKUP($H506,EAD_CIs!D:N,MATCH("Related",EAD_CIs!D$2:N$2,0),0) ))</f>
        <v>#377408
#1001248
#381643
#383958
#315485
#342163
#299984
#354174
#381524
#332951
#318380
#386935</v>
      </c>
      <c r="B506" s="203">
        <v>329778</v>
      </c>
      <c r="C506" s="34" t="s">
        <v>1406</v>
      </c>
      <c r="D506" s="34" t="s">
        <v>167</v>
      </c>
      <c r="E506" s="34" t="s">
        <v>165</v>
      </c>
      <c r="F506" s="34" t="s">
        <v>1407</v>
      </c>
      <c r="G506" s="34" t="s">
        <v>549</v>
      </c>
      <c r="H506" s="34" t="s">
        <v>1177</v>
      </c>
      <c r="I506" s="34" t="s">
        <v>36</v>
      </c>
      <c r="J506" s="34" t="s">
        <v>1429</v>
      </c>
      <c r="K506" s="34" t="s">
        <v>1421</v>
      </c>
      <c r="L506" s="34" t="s">
        <v>17</v>
      </c>
      <c r="N506" s="95"/>
      <c r="O506" s="95"/>
    </row>
    <row r="507" spans="1:15" x14ac:dyDescent="0.3">
      <c r="A507" s="163" t="str">
        <f>IF(ISERROR(MATCH($H507,EAD_CIs!D:D,0)),"NO",
    IF(VLOOKUP($H507,EAD_CIs!D:N,MATCH("Status",EAD_CIs!D$2:N$2,0),0)="Done","No",VLOOKUP($H507,EAD_CIs!D:N,MATCH("Related",EAD_CIs!D$2:N$2,0),0) ))</f>
        <v>NO</v>
      </c>
      <c r="B507" s="203">
        <v>329777</v>
      </c>
      <c r="C507" s="34" t="s">
        <v>188</v>
      </c>
      <c r="D507" s="34" t="s">
        <v>167</v>
      </c>
      <c r="E507" s="34" t="s">
        <v>165</v>
      </c>
      <c r="F507" s="34" t="s">
        <v>183</v>
      </c>
      <c r="G507" s="34" t="s">
        <v>1008</v>
      </c>
      <c r="H507" s="34" t="s">
        <v>189</v>
      </c>
      <c r="I507" s="34" t="s">
        <v>36</v>
      </c>
      <c r="J507" s="34" t="s">
        <v>1429</v>
      </c>
      <c r="K507" s="34" t="s">
        <v>1434</v>
      </c>
      <c r="L507" s="34" t="s">
        <v>947</v>
      </c>
      <c r="N507" s="95"/>
      <c r="O507" s="95"/>
    </row>
    <row r="508" spans="1:15" x14ac:dyDescent="0.3">
      <c r="A508" s="163" t="str">
        <f>IF(ISERROR(MATCH($H508,EAD_CIs!D:D,0)),"NO",
    IF(VLOOKUP($H508,EAD_CIs!D:N,MATCH("Status",EAD_CIs!D$2:N$2,0),0)="Done","No",VLOOKUP($H508,EAD_CIs!D:N,MATCH("Related",EAD_CIs!D$2:N$2,0),0) ))</f>
        <v>#354871</v>
      </c>
      <c r="B508" s="203">
        <v>329775</v>
      </c>
      <c r="C508" s="34" t="s">
        <v>298</v>
      </c>
      <c r="D508" s="34" t="s">
        <v>167</v>
      </c>
      <c r="E508" s="34" t="s">
        <v>165</v>
      </c>
      <c r="F508" s="34" t="s">
        <v>299</v>
      </c>
      <c r="G508" s="34" t="s">
        <v>549</v>
      </c>
      <c r="H508" s="34" t="s">
        <v>297</v>
      </c>
      <c r="I508" s="34" t="s">
        <v>36</v>
      </c>
      <c r="J508" s="34" t="s">
        <v>1429</v>
      </c>
      <c r="K508" s="34" t="s">
        <v>1434</v>
      </c>
      <c r="L508" s="34" t="s">
        <v>17</v>
      </c>
      <c r="N508" s="95"/>
      <c r="O508" s="95"/>
    </row>
    <row r="509" spans="1:15" x14ac:dyDescent="0.3">
      <c r="A509" s="163" t="str">
        <f>IF(ISERROR(MATCH($H509,EAD_CIs!D:D,0)),"NO",
    IF(VLOOKUP($H509,EAD_CIs!D:N,MATCH("Status",EAD_CIs!D$2:N$2,0),0)="Done","No",VLOOKUP($H509,EAD_CIs!D:N,MATCH("Related",EAD_CIs!D$2:N$2,0),0) ))</f>
        <v>#377408
#1001248
#381643
#383958
#315485
#342163
#299984
#354174
#381524
#332951
#318380
#386935</v>
      </c>
      <c r="B509" s="203">
        <v>329774</v>
      </c>
      <c r="C509" s="34" t="s">
        <v>1272</v>
      </c>
      <c r="D509" s="34" t="s">
        <v>886</v>
      </c>
      <c r="E509" s="34" t="s">
        <v>165</v>
      </c>
      <c r="F509" s="34" t="s">
        <v>198</v>
      </c>
      <c r="G509" s="34" t="s">
        <v>1008</v>
      </c>
      <c r="H509" s="34" t="s">
        <v>1177</v>
      </c>
      <c r="I509" s="34" t="s">
        <v>36</v>
      </c>
      <c r="J509" s="34" t="s">
        <v>1429</v>
      </c>
      <c r="K509" s="34" t="s">
        <v>1421</v>
      </c>
      <c r="L509" s="34" t="s">
        <v>947</v>
      </c>
      <c r="N509" s="95"/>
      <c r="O509" s="95"/>
    </row>
    <row r="510" spans="1:15" x14ac:dyDescent="0.3">
      <c r="A510" s="163" t="str">
        <f>IF(ISERROR(MATCH($H510,EAD_CIs!D:D,0)),"NO",
    IF(VLOOKUP($H510,EAD_CIs!D:N,MATCH("Status",EAD_CIs!D$2:N$2,0),0)="Done","No",VLOOKUP($H510,EAD_CIs!D:N,MATCH("Related",EAD_CIs!D$2:N$2,0),0) ))</f>
        <v>#377408
#1001248
#381643
#383958
#315485
#342163
#299984
#354174
#381524
#332951
#318380
#386935</v>
      </c>
      <c r="B510" s="203">
        <v>329769</v>
      </c>
      <c r="C510" s="34" t="s">
        <v>1411</v>
      </c>
      <c r="D510" s="34" t="s">
        <v>167</v>
      </c>
      <c r="E510" s="34" t="s">
        <v>165</v>
      </c>
      <c r="F510" s="34" t="s">
        <v>183</v>
      </c>
      <c r="G510" s="34" t="s">
        <v>1008</v>
      </c>
      <c r="H510" s="34" t="s">
        <v>1177</v>
      </c>
      <c r="I510" s="34" t="s">
        <v>36</v>
      </c>
      <c r="J510" s="34" t="s">
        <v>1429</v>
      </c>
      <c r="K510" s="34" t="s">
        <v>1434</v>
      </c>
      <c r="L510" s="34" t="s">
        <v>947</v>
      </c>
      <c r="N510" s="95"/>
      <c r="O510" s="95"/>
    </row>
    <row r="511" spans="1:15" x14ac:dyDescent="0.3">
      <c r="A511" s="163" t="str">
        <f>IF(ISERROR(MATCH($H511,EAD_CIs!D:D,0)),"NO",
    IF(VLOOKUP($H511,EAD_CIs!D:N,MATCH("Status",EAD_CIs!D$2:N$2,0),0)="Done","No",VLOOKUP($H511,EAD_CIs!D:N,MATCH("Related",EAD_CIs!D$2:N$2,0),0) ))</f>
        <v>NO</v>
      </c>
      <c r="B511" s="203">
        <v>329767</v>
      </c>
      <c r="C511" s="34" t="s">
        <v>259</v>
      </c>
      <c r="D511" s="34" t="s">
        <v>167</v>
      </c>
      <c r="E511" s="34" t="s">
        <v>165</v>
      </c>
      <c r="F511" s="34" t="s">
        <v>183</v>
      </c>
      <c r="G511" s="34" t="s">
        <v>1008</v>
      </c>
      <c r="H511" s="34" t="s">
        <v>260</v>
      </c>
      <c r="I511" s="34" t="s">
        <v>36</v>
      </c>
      <c r="J511" s="34" t="s">
        <v>1429</v>
      </c>
      <c r="K511" s="34" t="s">
        <v>1434</v>
      </c>
      <c r="L511" s="34" t="s">
        <v>947</v>
      </c>
      <c r="N511" s="95"/>
      <c r="O511" s="95"/>
    </row>
    <row r="512" spans="1:15" x14ac:dyDescent="0.3">
      <c r="A512" s="163" t="str">
        <f>IF(ISERROR(MATCH($H512,EAD_CIs!D:D,0)),"NO",
    IF(VLOOKUP($H512,EAD_CIs!D:N,MATCH("Status",EAD_CIs!D$2:N$2,0),0)="Done","No",VLOOKUP($H512,EAD_CIs!D:N,MATCH("Related",EAD_CIs!D$2:N$2,0),0) ))</f>
        <v>#377408
#1001248
#381643
#383958
#315485
#342163
#299984
#354174
#381524
#332951
#318380
#386935</v>
      </c>
      <c r="B512" s="203">
        <v>329766</v>
      </c>
      <c r="C512" s="34" t="s">
        <v>1246</v>
      </c>
      <c r="D512" s="34" t="s">
        <v>167</v>
      </c>
      <c r="E512" s="34" t="s">
        <v>165</v>
      </c>
      <c r="F512" s="34" t="s">
        <v>205</v>
      </c>
      <c r="G512" s="34" t="s">
        <v>184</v>
      </c>
      <c r="H512" s="34" t="s">
        <v>1177</v>
      </c>
      <c r="I512" s="34" t="s">
        <v>36</v>
      </c>
      <c r="J512" s="34" t="s">
        <v>1429</v>
      </c>
      <c r="K512" s="34" t="s">
        <v>1421</v>
      </c>
      <c r="L512" s="34" t="s">
        <v>950</v>
      </c>
      <c r="N512" s="95"/>
      <c r="O512" s="95"/>
    </row>
    <row r="513" spans="1:15" x14ac:dyDescent="0.3">
      <c r="A513" s="163" t="str">
        <f>IF(ISERROR(MATCH($H513,EAD_CIs!D:D,0)),"NO",
    IF(VLOOKUP($H513,EAD_CIs!D:N,MATCH("Status",EAD_CIs!D$2:N$2,0),0)="Done","No",VLOOKUP($H513,EAD_CIs!D:N,MATCH("Related",EAD_CIs!D$2:N$2,0),0) ))</f>
        <v>#367689
#1003390
#1014170</v>
      </c>
      <c r="B513" s="203">
        <v>329765</v>
      </c>
      <c r="C513" s="34" t="s">
        <v>229</v>
      </c>
      <c r="D513" s="34" t="s">
        <v>167</v>
      </c>
      <c r="E513" s="34" t="s">
        <v>165</v>
      </c>
      <c r="F513" s="34" t="s">
        <v>205</v>
      </c>
      <c r="G513" s="34" t="s">
        <v>228</v>
      </c>
      <c r="H513" s="34" t="s">
        <v>186</v>
      </c>
      <c r="I513" s="34" t="s">
        <v>36</v>
      </c>
      <c r="J513" s="34" t="s">
        <v>1429</v>
      </c>
      <c r="K513" s="34" t="s">
        <v>1421</v>
      </c>
      <c r="L513" s="34" t="s">
        <v>943</v>
      </c>
      <c r="N513" s="95"/>
      <c r="O513" s="95"/>
    </row>
    <row r="514" spans="1:15" x14ac:dyDescent="0.3">
      <c r="A514" s="163" t="str">
        <f>IF(ISERROR(MATCH($H514,EAD_CIs!D:D,0)),"NO",
    IF(VLOOKUP($H514,EAD_CIs!D:N,MATCH("Status",EAD_CIs!D$2:N$2,0),0)="Done","No",VLOOKUP($H514,EAD_CIs!D:N,MATCH("Related",EAD_CIs!D$2:N$2,0),0) ))</f>
        <v>NO</v>
      </c>
      <c r="B514" s="203">
        <v>329764</v>
      </c>
      <c r="C514" s="34" t="s">
        <v>323</v>
      </c>
      <c r="D514" s="34" t="s">
        <v>167</v>
      </c>
      <c r="E514" s="34" t="s">
        <v>165</v>
      </c>
      <c r="F514" s="34" t="s">
        <v>1016</v>
      </c>
      <c r="G514" s="34" t="s">
        <v>547</v>
      </c>
      <c r="H514" s="34" t="s">
        <v>324</v>
      </c>
      <c r="I514" s="34" t="s">
        <v>36</v>
      </c>
      <c r="J514" s="34" t="s">
        <v>1429</v>
      </c>
      <c r="K514" s="34" t="s">
        <v>1421</v>
      </c>
      <c r="L514" s="34" t="s">
        <v>554</v>
      </c>
      <c r="N514" s="95"/>
      <c r="O514" s="95"/>
    </row>
    <row r="515" spans="1:15" x14ac:dyDescent="0.3">
      <c r="A515" s="163" t="str">
        <f>IF(ISERROR(MATCH($H515,EAD_CIs!D:D,0)),"NO",
    IF(VLOOKUP($H515,EAD_CIs!D:N,MATCH("Status",EAD_CIs!D$2:N$2,0),0)="Done","No",VLOOKUP($H515,EAD_CIs!D:N,MATCH("Related",EAD_CIs!D$2:N$2,0),0) ))</f>
        <v>NO</v>
      </c>
      <c r="B515" s="203">
        <v>329763</v>
      </c>
      <c r="C515" s="34" t="s">
        <v>503</v>
      </c>
      <c r="D515" s="34" t="s">
        <v>167</v>
      </c>
      <c r="E515" s="34" t="s">
        <v>165</v>
      </c>
      <c r="F515" s="34" t="s">
        <v>183</v>
      </c>
      <c r="G515" s="34" t="s">
        <v>232</v>
      </c>
      <c r="H515" s="34" t="s">
        <v>504</v>
      </c>
      <c r="I515" s="34" t="s">
        <v>36</v>
      </c>
      <c r="J515" s="34" t="s">
        <v>1429</v>
      </c>
      <c r="K515" s="34" t="s">
        <v>1434</v>
      </c>
      <c r="L515" s="34" t="s">
        <v>943</v>
      </c>
      <c r="N515" s="95"/>
      <c r="O515" s="95"/>
    </row>
    <row r="516" spans="1:15" x14ac:dyDescent="0.3">
      <c r="A516" s="163" t="str">
        <f>IF(ISERROR(MATCH($H516,EAD_CIs!D:D,0)),"NO",
    IF(VLOOKUP($H516,EAD_CIs!D:N,MATCH("Status",EAD_CIs!D$2:N$2,0),0)="Done","No",VLOOKUP($H516,EAD_CIs!D:N,MATCH("Related",EAD_CIs!D$2:N$2,0),0) ))</f>
        <v>NO</v>
      </c>
      <c r="B516" s="203">
        <v>329762</v>
      </c>
      <c r="C516" s="34" t="s">
        <v>181</v>
      </c>
      <c r="D516" s="34" t="s">
        <v>167</v>
      </c>
      <c r="E516" s="34" t="s">
        <v>165</v>
      </c>
      <c r="F516" s="34" t="s">
        <v>183</v>
      </c>
      <c r="G516" s="34" t="s">
        <v>184</v>
      </c>
      <c r="H516" s="34" t="s">
        <v>182</v>
      </c>
      <c r="I516" s="34" t="s">
        <v>36</v>
      </c>
      <c r="J516" s="34" t="s">
        <v>1429</v>
      </c>
      <c r="K516" s="34" t="s">
        <v>1434</v>
      </c>
      <c r="L516" s="34" t="s">
        <v>950</v>
      </c>
      <c r="N516" s="95"/>
      <c r="O516" s="95"/>
    </row>
    <row r="517" spans="1:15" x14ac:dyDescent="0.3">
      <c r="A517" s="163" t="str">
        <f>IF(ISERROR(MATCH($H517,EAD_CIs!D:D,0)),"NO",
    IF(VLOOKUP($H517,EAD_CIs!D:N,MATCH("Status",EAD_CIs!D$2:N$2,0),0)="Done","No",VLOOKUP($H517,EAD_CIs!D:N,MATCH("Related",EAD_CIs!D$2:N$2,0),0) ))</f>
        <v>NO</v>
      </c>
      <c r="B517" s="203">
        <v>329761</v>
      </c>
      <c r="C517" s="34" t="s">
        <v>187</v>
      </c>
      <c r="D517" s="34" t="s">
        <v>167</v>
      </c>
      <c r="E517" s="34" t="s">
        <v>165</v>
      </c>
      <c r="F517" s="34" t="s">
        <v>183</v>
      </c>
      <c r="G517" s="34" t="s">
        <v>184</v>
      </c>
      <c r="H517" s="34" t="s">
        <v>182</v>
      </c>
      <c r="I517" s="34" t="s">
        <v>36</v>
      </c>
      <c r="J517" s="34" t="s">
        <v>1429</v>
      </c>
      <c r="K517" s="34" t="s">
        <v>1434</v>
      </c>
      <c r="L517" s="34" t="s">
        <v>950</v>
      </c>
      <c r="N517" s="95"/>
      <c r="O517" s="95"/>
    </row>
    <row r="518" spans="1:15" x14ac:dyDescent="0.3">
      <c r="A518" s="163" t="str">
        <f>IF(ISERROR(MATCH($H518,EAD_CIs!D:D,0)),"NO",
    IF(VLOOKUP($H518,EAD_CIs!D:N,MATCH("Status",EAD_CIs!D$2:N$2,0),0)="Done","No",VLOOKUP($H518,EAD_CIs!D:N,MATCH("Related",EAD_CIs!D$2:N$2,0),0) ))</f>
        <v>#342054
#1014201
#1003390</v>
      </c>
      <c r="B518" s="203">
        <v>329760</v>
      </c>
      <c r="C518" s="34" t="s">
        <v>536</v>
      </c>
      <c r="D518" s="34" t="s">
        <v>167</v>
      </c>
      <c r="E518" s="34" t="s">
        <v>165</v>
      </c>
      <c r="F518" s="34" t="s">
        <v>183</v>
      </c>
      <c r="G518" s="34" t="s">
        <v>547</v>
      </c>
      <c r="H518" s="34" t="s">
        <v>193</v>
      </c>
      <c r="I518" s="34" t="s">
        <v>36</v>
      </c>
      <c r="J518" s="34" t="s">
        <v>1429</v>
      </c>
      <c r="K518" s="34" t="s">
        <v>1434</v>
      </c>
      <c r="L518" s="34" t="s">
        <v>950</v>
      </c>
      <c r="N518" s="95"/>
      <c r="O518" s="95"/>
    </row>
    <row r="519" spans="1:15" x14ac:dyDescent="0.3">
      <c r="A519" s="163" t="str">
        <f>IF(ISERROR(MATCH($H519,EAD_CIs!D:D,0)),"NO",
    IF(VLOOKUP($H519,EAD_CIs!D:N,MATCH("Status",EAD_CIs!D$2:N$2,0),0)="Done","No",VLOOKUP($H519,EAD_CIs!D:N,MATCH("Related",EAD_CIs!D$2:N$2,0),0) ))</f>
        <v>#380808
#1011908
#342054
#1014206
#1003390</v>
      </c>
      <c r="B519" s="203">
        <v>329759</v>
      </c>
      <c r="C519" s="34" t="s">
        <v>537</v>
      </c>
      <c r="D519" s="34" t="s">
        <v>167</v>
      </c>
      <c r="E519" s="34" t="s">
        <v>165</v>
      </c>
      <c r="F519" s="34" t="s">
        <v>183</v>
      </c>
      <c r="G519" s="34" t="s">
        <v>547</v>
      </c>
      <c r="H519" s="34" t="s">
        <v>332</v>
      </c>
      <c r="I519" s="34" t="s">
        <v>36</v>
      </c>
      <c r="J519" s="34" t="s">
        <v>1429</v>
      </c>
      <c r="K519" s="34" t="s">
        <v>1434</v>
      </c>
      <c r="L519" s="34" t="s">
        <v>950</v>
      </c>
      <c r="N519" s="95"/>
      <c r="O519" s="95"/>
    </row>
    <row r="520" spans="1:15" x14ac:dyDescent="0.3">
      <c r="A520" s="163" t="str">
        <f>IF(ISERROR(MATCH($H520,EAD_CIs!D:D,0)),"NO",
    IF(VLOOKUP($H520,EAD_CIs!D:N,MATCH("Status",EAD_CIs!D$2:N$2,0),0)="Done","No",VLOOKUP($H520,EAD_CIs!D:N,MATCH("Related",EAD_CIs!D$2:N$2,0),0) ))</f>
        <v>#377408
#1001248
#381643
#383958
#315485
#342163
#299984
#354174
#381524
#332951
#318380
#386935</v>
      </c>
      <c r="B520" s="203">
        <v>329758</v>
      </c>
      <c r="C520" s="34" t="s">
        <v>1245</v>
      </c>
      <c r="D520" s="34" t="s">
        <v>167</v>
      </c>
      <c r="E520" s="34" t="s">
        <v>165</v>
      </c>
      <c r="F520" s="34" t="s">
        <v>205</v>
      </c>
      <c r="G520" s="34" t="s">
        <v>1008</v>
      </c>
      <c r="H520" s="34" t="s">
        <v>1177</v>
      </c>
      <c r="I520" s="34" t="s">
        <v>36</v>
      </c>
      <c r="J520" s="34" t="s">
        <v>1429</v>
      </c>
      <c r="K520" s="34" t="s">
        <v>1421</v>
      </c>
      <c r="L520" s="34" t="s">
        <v>943</v>
      </c>
      <c r="N520" s="95"/>
      <c r="O520" s="95"/>
    </row>
    <row r="521" spans="1:15" x14ac:dyDescent="0.3">
      <c r="A521" s="163" t="str">
        <f>IF(ISERROR(MATCH($H521,EAD_CIs!D:D,0)),"NO",
    IF(VLOOKUP($H521,EAD_CIs!D:N,MATCH("Status",EAD_CIs!D$2:N$2,0),0)="Done","No",VLOOKUP($H521,EAD_CIs!D:N,MATCH("Related",EAD_CIs!D$2:N$2,0),0) ))</f>
        <v>#377408
#1001248
#381643
#383958
#315485
#342163
#299984
#354174
#381524
#332951
#318380
#386935</v>
      </c>
      <c r="B521" s="203">
        <v>329756</v>
      </c>
      <c r="C521" s="34" t="s">
        <v>1244</v>
      </c>
      <c r="D521" s="34" t="s">
        <v>167</v>
      </c>
      <c r="E521" s="34" t="s">
        <v>165</v>
      </c>
      <c r="F521" s="34" t="s">
        <v>1271</v>
      </c>
      <c r="G521" s="34" t="s">
        <v>270</v>
      </c>
      <c r="H521" s="34" t="s">
        <v>1177</v>
      </c>
      <c r="I521" s="34" t="s">
        <v>36</v>
      </c>
      <c r="J521" s="34" t="s">
        <v>1429</v>
      </c>
      <c r="K521" s="34" t="s">
        <v>1421</v>
      </c>
      <c r="L521" s="34" t="s">
        <v>949</v>
      </c>
      <c r="N521" s="95"/>
      <c r="O521" s="95"/>
    </row>
    <row r="522" spans="1:15" x14ac:dyDescent="0.3">
      <c r="A522" s="163" t="str">
        <f>IF(ISERROR(MATCH($H522,EAD_CIs!D:D,0)),"NO",
    IF(VLOOKUP($H522,EAD_CIs!D:N,MATCH("Status",EAD_CIs!D$2:N$2,0),0)="Done","No",VLOOKUP($H522,EAD_CIs!D:N,MATCH("Related",EAD_CIs!D$2:N$2,0),0) ))</f>
        <v>#377408
#1001248
#381643
#383958
#315485
#342163
#299984
#354174
#381524
#332951
#318380
#386935</v>
      </c>
      <c r="B522" s="203">
        <v>329755</v>
      </c>
      <c r="C522" s="34" t="s">
        <v>1243</v>
      </c>
      <c r="D522" s="34" t="s">
        <v>167</v>
      </c>
      <c r="E522" s="34" t="s">
        <v>165</v>
      </c>
      <c r="F522" s="34" t="s">
        <v>1270</v>
      </c>
      <c r="G522" s="34" t="s">
        <v>270</v>
      </c>
      <c r="H522" s="34" t="s">
        <v>1177</v>
      </c>
      <c r="I522" s="34" t="s">
        <v>36</v>
      </c>
      <c r="J522" s="34" t="s">
        <v>1429</v>
      </c>
      <c r="K522" s="34" t="s">
        <v>1421</v>
      </c>
      <c r="L522" s="34" t="s">
        <v>949</v>
      </c>
      <c r="N522" s="95"/>
      <c r="O522" s="95"/>
    </row>
    <row r="523" spans="1:15" x14ac:dyDescent="0.3">
      <c r="A523" s="163" t="str">
        <f>IF(ISERROR(MATCH($H523,EAD_CIs!D:D,0)),"NO",
    IF(VLOOKUP($H523,EAD_CIs!D:N,MATCH("Status",EAD_CIs!D$2:N$2,0),0)="Done","No",VLOOKUP($H523,EAD_CIs!D:N,MATCH("Related",EAD_CIs!D$2:N$2,0),0) ))</f>
        <v>#377408
#1001248
#381643
#383958
#315485
#342163
#299984
#354174
#381524
#332951
#318380
#386935</v>
      </c>
      <c r="B523" s="203">
        <v>329754</v>
      </c>
      <c r="C523" s="34" t="s">
        <v>1242</v>
      </c>
      <c r="D523" s="34" t="s">
        <v>167</v>
      </c>
      <c r="E523" s="34" t="s">
        <v>165</v>
      </c>
      <c r="F523" s="34" t="s">
        <v>205</v>
      </c>
      <c r="G523" s="34" t="s">
        <v>359</v>
      </c>
      <c r="H523" s="34" t="s">
        <v>1177</v>
      </c>
      <c r="I523" s="34" t="s">
        <v>36</v>
      </c>
      <c r="J523" s="34" t="s">
        <v>1429</v>
      </c>
      <c r="K523" s="34" t="s">
        <v>1421</v>
      </c>
      <c r="L523" s="34" t="s">
        <v>943</v>
      </c>
      <c r="N523" s="95"/>
      <c r="O523" s="95"/>
    </row>
    <row r="524" spans="1:15" x14ac:dyDescent="0.3">
      <c r="A524" s="163" t="str">
        <f>IF(ISERROR(MATCH($H524,EAD_CIs!D:D,0)),"NO",
    IF(VLOOKUP($H524,EAD_CIs!D:N,MATCH("Status",EAD_CIs!D$2:N$2,0),0)="Done","No",VLOOKUP($H524,EAD_CIs!D:N,MATCH("Related",EAD_CIs!D$2:N$2,0),0) ))</f>
        <v>NO</v>
      </c>
      <c r="B524" s="203">
        <v>329752</v>
      </c>
      <c r="C524" s="34" t="s">
        <v>203</v>
      </c>
      <c r="D524" s="34" t="s">
        <v>167</v>
      </c>
      <c r="E524" s="34" t="s">
        <v>165</v>
      </c>
      <c r="F524" s="34" t="s">
        <v>205</v>
      </c>
      <c r="G524" s="34" t="s">
        <v>164</v>
      </c>
      <c r="H524" s="34" t="s">
        <v>204</v>
      </c>
      <c r="I524" s="34" t="s">
        <v>36</v>
      </c>
      <c r="J524" s="34" t="s">
        <v>1429</v>
      </c>
      <c r="K524" s="34" t="s">
        <v>1421</v>
      </c>
      <c r="L524" s="34" t="s">
        <v>17</v>
      </c>
      <c r="N524" s="95"/>
      <c r="O524" s="95"/>
    </row>
    <row r="525" spans="1:15" x14ac:dyDescent="0.3">
      <c r="A525" s="163" t="str">
        <f>IF(ISERROR(MATCH($H525,EAD_CIs!D:D,0)),"NO",
    IF(VLOOKUP($H525,EAD_CIs!D:N,MATCH("Status",EAD_CIs!D$2:N$2,0),0)="Done","No",VLOOKUP($H525,EAD_CIs!D:N,MATCH("Related",EAD_CIs!D$2:N$2,0),0) ))</f>
        <v>#377408
#1001248
#381643
#383958
#315485
#342163
#299984
#354174
#381524
#332951
#318380
#386935</v>
      </c>
      <c r="B525" s="203">
        <v>329748</v>
      </c>
      <c r="C525" s="34" t="s">
        <v>1241</v>
      </c>
      <c r="D525" s="34" t="s">
        <v>167</v>
      </c>
      <c r="E525" s="34" t="s">
        <v>165</v>
      </c>
      <c r="F525" s="34" t="s">
        <v>1269</v>
      </c>
      <c r="G525" s="34" t="s">
        <v>601</v>
      </c>
      <c r="H525" s="34" t="s">
        <v>1177</v>
      </c>
      <c r="I525" s="34" t="s">
        <v>36</v>
      </c>
      <c r="J525" s="34" t="s">
        <v>1429</v>
      </c>
      <c r="K525" s="34" t="s">
        <v>1421</v>
      </c>
      <c r="L525" s="34" t="s">
        <v>949</v>
      </c>
      <c r="N525" s="95"/>
      <c r="O525" s="95"/>
    </row>
    <row r="526" spans="1:15" x14ac:dyDescent="0.3">
      <c r="A526" s="163">
        <f>IF(ISERROR(MATCH($H526,EAD_CIs!D:D,0)),"NO",
    IF(VLOOKUP($H526,EAD_CIs!D:N,MATCH("Status",EAD_CIs!D$2:N$2,0),0)="Done","No",VLOOKUP($H526,EAD_CIs!D:N,MATCH("Related",EAD_CIs!D$2:N$2,0),0) ))</f>
        <v>0</v>
      </c>
      <c r="B526" s="203">
        <v>329743</v>
      </c>
      <c r="C526" s="34" t="s">
        <v>367</v>
      </c>
      <c r="D526" s="34" t="s">
        <v>167</v>
      </c>
      <c r="E526" s="34" t="s">
        <v>165</v>
      </c>
      <c r="F526" s="34" t="s">
        <v>205</v>
      </c>
      <c r="G526" s="34" t="s">
        <v>362</v>
      </c>
      <c r="H526" s="34" t="s">
        <v>635</v>
      </c>
      <c r="I526" s="34" t="s">
        <v>36</v>
      </c>
      <c r="J526" s="34" t="s">
        <v>1429</v>
      </c>
      <c r="K526" s="34" t="s">
        <v>1421</v>
      </c>
      <c r="L526" s="34" t="s">
        <v>950</v>
      </c>
      <c r="N526" s="95"/>
      <c r="O526" s="95"/>
    </row>
    <row r="527" spans="1:15" x14ac:dyDescent="0.3">
      <c r="A527" s="163" t="str">
        <f>IF(ISERROR(MATCH($H527,EAD_CIs!D:D,0)),"NO",
    IF(VLOOKUP($H527,EAD_CIs!D:N,MATCH("Status",EAD_CIs!D$2:N$2,0),0)="Done","No",VLOOKUP($H527,EAD_CIs!D:N,MATCH("Related",EAD_CIs!D$2:N$2,0),0) ))</f>
        <v>#377408
#1001248
#381643
#383958
#315485
#342163
#299984
#354174
#381524
#332951
#318380
#386935</v>
      </c>
      <c r="B527" s="203">
        <v>329742</v>
      </c>
      <c r="C527" s="34" t="s">
        <v>1240</v>
      </c>
      <c r="D527" s="34" t="s">
        <v>167</v>
      </c>
      <c r="E527" s="34" t="s">
        <v>165</v>
      </c>
      <c r="F527" s="34" t="s">
        <v>1268</v>
      </c>
      <c r="G527" s="34" t="s">
        <v>601</v>
      </c>
      <c r="H527" s="34" t="s">
        <v>1177</v>
      </c>
      <c r="I527" s="34" t="s">
        <v>36</v>
      </c>
      <c r="J527" s="34" t="s">
        <v>1429</v>
      </c>
      <c r="K527" s="34" t="s">
        <v>1421</v>
      </c>
      <c r="L527" s="34" t="s">
        <v>949</v>
      </c>
      <c r="N527" s="95"/>
      <c r="O527" s="95"/>
    </row>
    <row r="528" spans="1:15" x14ac:dyDescent="0.3">
      <c r="A528" s="163" t="str">
        <f>IF(ISERROR(MATCH($H528,EAD_CIs!D:D,0)),"NO",
    IF(VLOOKUP($H528,EAD_CIs!D:N,MATCH("Status",EAD_CIs!D$2:N$2,0),0)="Done","No",VLOOKUP($H528,EAD_CIs!D:N,MATCH("Related",EAD_CIs!D$2:N$2,0),0) ))</f>
        <v>#377408
#1001248
#381643
#383958
#315485
#342163
#299984
#354174
#381524
#332951
#318380
#386935</v>
      </c>
      <c r="B528" s="203">
        <v>329741</v>
      </c>
      <c r="C528" s="34" t="s">
        <v>1239</v>
      </c>
      <c r="D528" s="34" t="s">
        <v>886</v>
      </c>
      <c r="E528" s="34" t="s">
        <v>165</v>
      </c>
      <c r="F528" s="34" t="s">
        <v>1267</v>
      </c>
      <c r="G528" s="34" t="s">
        <v>1008</v>
      </c>
      <c r="H528" s="34" t="s">
        <v>1177</v>
      </c>
      <c r="I528" s="34" t="s">
        <v>36</v>
      </c>
      <c r="J528" s="34" t="s">
        <v>1429</v>
      </c>
      <c r="K528" s="34" t="s">
        <v>1421</v>
      </c>
      <c r="L528" s="34" t="s">
        <v>947</v>
      </c>
      <c r="N528" s="95"/>
      <c r="O528" s="95"/>
    </row>
    <row r="529" spans="1:15" x14ac:dyDescent="0.3">
      <c r="A529" s="163" t="str">
        <f>IF(ISERROR(MATCH($H529,EAD_CIs!D:D,0)),"NO",
    IF(VLOOKUP($H529,EAD_CIs!D:N,MATCH("Status",EAD_CIs!D$2:N$2,0),0)="Done","No",VLOOKUP($H529,EAD_CIs!D:N,MATCH("Related",EAD_CIs!D$2:N$2,0),0) ))</f>
        <v>#377408
#1001248
#381643
#383958
#315485
#342163
#299984
#354174
#381524
#332951
#318380
#386935</v>
      </c>
      <c r="B529" s="203">
        <v>329739</v>
      </c>
      <c r="C529" s="34" t="s">
        <v>1238</v>
      </c>
      <c r="D529" s="34" t="s">
        <v>167</v>
      </c>
      <c r="E529" s="34" t="s">
        <v>165</v>
      </c>
      <c r="F529" s="34" t="s">
        <v>205</v>
      </c>
      <c r="G529" s="34" t="s">
        <v>184</v>
      </c>
      <c r="H529" s="34" t="s">
        <v>1177</v>
      </c>
      <c r="I529" s="34" t="s">
        <v>36</v>
      </c>
      <c r="J529" s="34" t="s">
        <v>1429</v>
      </c>
      <c r="K529" s="34" t="s">
        <v>1421</v>
      </c>
      <c r="L529" s="34" t="s">
        <v>950</v>
      </c>
      <c r="N529" s="95"/>
      <c r="O529" s="95"/>
    </row>
    <row r="530" spans="1:15" x14ac:dyDescent="0.3">
      <c r="A530" s="163" t="str">
        <f>IF(ISERROR(MATCH($H530,EAD_CIs!D:D,0)),"NO",
    IF(VLOOKUP($H530,EAD_CIs!D:N,MATCH("Status",EAD_CIs!D$2:N$2,0),0)="Done","No",VLOOKUP($H530,EAD_CIs!D:N,MATCH("Related",EAD_CIs!D$2:N$2,0),0) ))</f>
        <v>#377408
#1001248
#381643
#383958
#315485
#342163
#299984
#354174
#381524
#332951
#318380
#386935</v>
      </c>
      <c r="B530" s="203">
        <v>329737</v>
      </c>
      <c r="C530" s="34" t="s">
        <v>1237</v>
      </c>
      <c r="D530" s="34" t="s">
        <v>167</v>
      </c>
      <c r="E530" s="34" t="s">
        <v>165</v>
      </c>
      <c r="F530" s="34" t="s">
        <v>205</v>
      </c>
      <c r="G530" s="34" t="s">
        <v>1008</v>
      </c>
      <c r="H530" s="34" t="s">
        <v>1177</v>
      </c>
      <c r="I530" s="34" t="s">
        <v>36</v>
      </c>
      <c r="J530" s="34" t="s">
        <v>1429</v>
      </c>
      <c r="K530" s="34" t="s">
        <v>1421</v>
      </c>
      <c r="L530" s="34" t="s">
        <v>943</v>
      </c>
      <c r="N530" s="95"/>
      <c r="O530" s="95"/>
    </row>
    <row r="531" spans="1:15" x14ac:dyDescent="0.3">
      <c r="A531" s="163" t="str">
        <f>IF(ISERROR(MATCH($H531,EAD_CIs!D:D,0)),"NO",
    IF(VLOOKUP($H531,EAD_CIs!D:N,MATCH("Status",EAD_CIs!D$2:N$2,0),0)="Done","No",VLOOKUP($H531,EAD_CIs!D:N,MATCH("Related",EAD_CIs!D$2:N$2,0),0) ))</f>
        <v>#377408
#1001248
#381643
#383958
#315485
#342163
#299984
#354174
#381524
#332951
#318380
#386935</v>
      </c>
      <c r="B531" s="203">
        <v>329736</v>
      </c>
      <c r="C531" s="34" t="s">
        <v>1236</v>
      </c>
      <c r="D531" s="34" t="s">
        <v>167</v>
      </c>
      <c r="E531" s="34" t="s">
        <v>165</v>
      </c>
      <c r="F531" s="34" t="s">
        <v>1266</v>
      </c>
      <c r="G531" s="34" t="s">
        <v>1008</v>
      </c>
      <c r="H531" s="34" t="s">
        <v>1177</v>
      </c>
      <c r="I531" s="34" t="s">
        <v>36</v>
      </c>
      <c r="J531" s="34" t="s">
        <v>1429</v>
      </c>
      <c r="K531" s="34" t="s">
        <v>1421</v>
      </c>
      <c r="L531" s="34" t="s">
        <v>943</v>
      </c>
      <c r="N531" s="95"/>
      <c r="O531" s="95"/>
    </row>
    <row r="532" spans="1:15" x14ac:dyDescent="0.3">
      <c r="A532" s="163" t="str">
        <f>IF(ISERROR(MATCH($H532,EAD_CIs!D:D,0)),"NO",
    IF(VLOOKUP($H532,EAD_CIs!D:N,MATCH("Status",EAD_CIs!D$2:N$2,0),0)="Done","No",VLOOKUP($H532,EAD_CIs!D:N,MATCH("Related",EAD_CIs!D$2:N$2,0),0) ))</f>
        <v>#377408
#1001248
#381643
#383958
#315485
#342163
#299984
#354174
#381524
#332951
#318380
#386935</v>
      </c>
      <c r="B532" s="203">
        <v>329735</v>
      </c>
      <c r="C532" s="34" t="s">
        <v>1235</v>
      </c>
      <c r="D532" s="34" t="s">
        <v>167</v>
      </c>
      <c r="E532" s="34" t="s">
        <v>165</v>
      </c>
      <c r="F532" s="34" t="s">
        <v>1961</v>
      </c>
      <c r="G532" s="34" t="s">
        <v>597</v>
      </c>
      <c r="H532" s="34" t="s">
        <v>1177</v>
      </c>
      <c r="I532" s="34" t="s">
        <v>36</v>
      </c>
      <c r="J532" s="34" t="s">
        <v>1429</v>
      </c>
      <c r="K532" s="34" t="s">
        <v>1421</v>
      </c>
      <c r="L532" s="34" t="s">
        <v>17</v>
      </c>
      <c r="N532" s="95"/>
      <c r="O532" s="95"/>
    </row>
    <row r="533" spans="1:15" x14ac:dyDescent="0.3">
      <c r="A533" s="163" t="str">
        <f>IF(ISERROR(MATCH($H533,EAD_CIs!D:D,0)),"NO",
    IF(VLOOKUP($H533,EAD_CIs!D:N,MATCH("Status",EAD_CIs!D$2:N$2,0),0)="Done","No",VLOOKUP($H533,EAD_CIs!D:N,MATCH("Related",EAD_CIs!D$2:N$2,0),0) ))</f>
        <v>#1003390
#1014169</v>
      </c>
      <c r="B533" s="203">
        <v>329734</v>
      </c>
      <c r="C533" s="34" t="s">
        <v>221</v>
      </c>
      <c r="D533" s="34" t="s">
        <v>167</v>
      </c>
      <c r="E533" s="34" t="s">
        <v>165</v>
      </c>
      <c r="F533" s="34" t="s">
        <v>1017</v>
      </c>
      <c r="G533" s="34" t="s">
        <v>547</v>
      </c>
      <c r="H533" s="34" t="s">
        <v>206</v>
      </c>
      <c r="I533" s="34" t="s">
        <v>36</v>
      </c>
      <c r="J533" s="34" t="s">
        <v>1429</v>
      </c>
      <c r="K533" s="34" t="s">
        <v>1434</v>
      </c>
      <c r="L533" s="34" t="s">
        <v>554</v>
      </c>
      <c r="N533" s="95"/>
      <c r="O533" s="95"/>
    </row>
    <row r="534" spans="1:15" x14ac:dyDescent="0.3">
      <c r="A534" s="163" t="str">
        <f>IF(ISERROR(MATCH($H534,EAD_CIs!D:D,0)),"NO",
    IF(VLOOKUP($H534,EAD_CIs!D:N,MATCH("Status",EAD_CIs!D$2:N$2,0),0)="Done","No",VLOOKUP($H534,EAD_CIs!D:N,MATCH("Related",EAD_CIs!D$2:N$2,0),0) ))</f>
        <v>#377408
#1001248
#381643
#383958
#315485
#342163
#299984
#354174
#381524
#332951
#318380
#386935</v>
      </c>
      <c r="B534" s="203">
        <v>329732</v>
      </c>
      <c r="C534" s="34" t="s">
        <v>1234</v>
      </c>
      <c r="D534" s="34" t="s">
        <v>167</v>
      </c>
      <c r="E534" s="34" t="s">
        <v>165</v>
      </c>
      <c r="F534" s="34" t="s">
        <v>603</v>
      </c>
      <c r="G534" s="34" t="s">
        <v>1008</v>
      </c>
      <c r="H534" s="34" t="s">
        <v>1177</v>
      </c>
      <c r="I534" s="34" t="s">
        <v>36</v>
      </c>
      <c r="J534" s="34" t="s">
        <v>1429</v>
      </c>
      <c r="K534" s="34" t="s">
        <v>1421</v>
      </c>
      <c r="L534" s="34" t="s">
        <v>947</v>
      </c>
      <c r="N534" s="95"/>
      <c r="O534" s="95"/>
    </row>
    <row r="535" spans="1:15" x14ac:dyDescent="0.3">
      <c r="A535" s="163" t="str">
        <f>IF(ISERROR(MATCH($H535,EAD_CIs!D:D,0)),"NO",
    IF(VLOOKUP($H535,EAD_CIs!D:N,MATCH("Status",EAD_CIs!D$2:N$2,0),0)="Done","No",VLOOKUP($H535,EAD_CIs!D:N,MATCH("Related",EAD_CIs!D$2:N$2,0),0) ))</f>
        <v>#377408
#1001248
#381643
#383958
#315485
#342163
#299984
#354174
#381524
#332951
#318380
#386935</v>
      </c>
      <c r="B535" s="203">
        <v>329731</v>
      </c>
      <c r="C535" s="34" t="s">
        <v>1233</v>
      </c>
      <c r="D535" s="34" t="s">
        <v>167</v>
      </c>
      <c r="E535" s="34" t="s">
        <v>165</v>
      </c>
      <c r="F535" s="34" t="s">
        <v>205</v>
      </c>
      <c r="G535" s="34" t="s">
        <v>1008</v>
      </c>
      <c r="H535" s="34" t="s">
        <v>1177</v>
      </c>
      <c r="I535" s="34" t="s">
        <v>36</v>
      </c>
      <c r="J535" s="34" t="s">
        <v>1429</v>
      </c>
      <c r="K535" s="34" t="s">
        <v>1421</v>
      </c>
      <c r="L535" s="34" t="s">
        <v>947</v>
      </c>
      <c r="N535" s="95"/>
      <c r="O535" s="95"/>
    </row>
    <row r="536" spans="1:15" x14ac:dyDescent="0.3">
      <c r="A536" s="163" t="str">
        <f>IF(ISERROR(MATCH($H536,EAD_CIs!D:D,0)),"NO",
    IF(VLOOKUP($H536,EAD_CIs!D:N,MATCH("Status",EAD_CIs!D$2:N$2,0),0)="Done","No",VLOOKUP($H536,EAD_CIs!D:N,MATCH("Related",EAD_CIs!D$2:N$2,0),0) ))</f>
        <v>#377408
#1001248
#381643
#383958
#315485
#342163
#299984
#354174
#381524
#332951
#318380
#386935</v>
      </c>
      <c r="B536" s="203">
        <v>329730</v>
      </c>
      <c r="C536" s="34" t="s">
        <v>1232</v>
      </c>
      <c r="D536" s="34" t="s">
        <v>167</v>
      </c>
      <c r="E536" s="34" t="s">
        <v>165</v>
      </c>
      <c r="F536" s="34" t="s">
        <v>205</v>
      </c>
      <c r="G536" s="34" t="s">
        <v>170</v>
      </c>
      <c r="H536" s="34" t="s">
        <v>1177</v>
      </c>
      <c r="I536" s="34" t="s">
        <v>36</v>
      </c>
      <c r="J536" s="34" t="s">
        <v>1429</v>
      </c>
      <c r="K536" s="34" t="s">
        <v>1421</v>
      </c>
      <c r="L536" s="34" t="s">
        <v>943</v>
      </c>
      <c r="N536" s="95"/>
      <c r="O536" s="95"/>
    </row>
    <row r="537" spans="1:15" x14ac:dyDescent="0.3">
      <c r="A537" s="163" t="str">
        <f>IF(ISERROR(MATCH($H537,EAD_CIs!D:D,0)),"NO",
    IF(VLOOKUP($H537,EAD_CIs!D:N,MATCH("Status",EAD_CIs!D$2:N$2,0),0)="Done","No",VLOOKUP($H537,EAD_CIs!D:N,MATCH("Related",EAD_CIs!D$2:N$2,0),0) ))</f>
        <v>#377408
#1001248
#381643
#383958
#315485
#342163
#299984
#354174
#381524
#332951
#318380
#386935</v>
      </c>
      <c r="B537" s="203">
        <v>329729</v>
      </c>
      <c r="C537" s="34" t="s">
        <v>1231</v>
      </c>
      <c r="D537" s="34" t="s">
        <v>167</v>
      </c>
      <c r="E537" s="34" t="s">
        <v>165</v>
      </c>
      <c r="F537" s="34" t="s">
        <v>205</v>
      </c>
      <c r="G537" s="34" t="s">
        <v>170</v>
      </c>
      <c r="H537" s="34" t="s">
        <v>1177</v>
      </c>
      <c r="I537" s="34" t="s">
        <v>36</v>
      </c>
      <c r="J537" s="34" t="s">
        <v>1429</v>
      </c>
      <c r="K537" s="34" t="s">
        <v>1421</v>
      </c>
      <c r="L537" s="34" t="s">
        <v>943</v>
      </c>
      <c r="N537" s="95"/>
      <c r="O537" s="95"/>
    </row>
    <row r="538" spans="1:15" x14ac:dyDescent="0.3">
      <c r="A538" s="163" t="str">
        <f>IF(ISERROR(MATCH($H538,EAD_CIs!D:D,0)),"NO",
    IF(VLOOKUP($H538,EAD_CIs!D:N,MATCH("Status",EAD_CIs!D$2:N$2,0),0)="Done","No",VLOOKUP($H538,EAD_CIs!D:N,MATCH("Related",EAD_CIs!D$2:N$2,0),0) ))</f>
        <v>#377408
#1001248
#381643
#383958
#315485
#342163
#299984
#354174
#381524
#332951
#318380
#386935</v>
      </c>
      <c r="B538" s="203">
        <v>329728</v>
      </c>
      <c r="C538" s="34" t="s">
        <v>1230</v>
      </c>
      <c r="D538" s="34" t="s">
        <v>167</v>
      </c>
      <c r="E538" s="34" t="s">
        <v>165</v>
      </c>
      <c r="F538" s="34" t="s">
        <v>205</v>
      </c>
      <c r="G538" s="34" t="s">
        <v>170</v>
      </c>
      <c r="H538" s="34" t="s">
        <v>1177</v>
      </c>
      <c r="I538" s="34" t="s">
        <v>36</v>
      </c>
      <c r="J538" s="34" t="s">
        <v>1429</v>
      </c>
      <c r="K538" s="34" t="s">
        <v>1421</v>
      </c>
      <c r="L538" s="34" t="s">
        <v>943</v>
      </c>
      <c r="N538" s="95"/>
      <c r="O538" s="95"/>
    </row>
    <row r="539" spans="1:15" x14ac:dyDescent="0.3">
      <c r="A539" s="163" t="str">
        <f>IF(ISERROR(MATCH($H539,EAD_CIs!D:D,0)),"NO",
    IF(VLOOKUP($H539,EAD_CIs!D:N,MATCH("Status",EAD_CIs!D$2:N$2,0),0)="Done","No",VLOOKUP($H539,EAD_CIs!D:N,MATCH("Related",EAD_CIs!D$2:N$2,0),0) ))</f>
        <v>#377408
#1001248
#381643
#383958
#315485
#342163
#299984
#354174
#381524
#332951
#318380
#386935</v>
      </c>
      <c r="B539" s="203">
        <v>329727</v>
      </c>
      <c r="C539" s="34" t="s">
        <v>1229</v>
      </c>
      <c r="D539" s="34" t="s">
        <v>167</v>
      </c>
      <c r="E539" s="34" t="s">
        <v>165</v>
      </c>
      <c r="F539" s="34" t="s">
        <v>205</v>
      </c>
      <c r="G539" s="34" t="s">
        <v>600</v>
      </c>
      <c r="H539" s="34" t="s">
        <v>1177</v>
      </c>
      <c r="I539" s="34" t="s">
        <v>36</v>
      </c>
      <c r="J539" s="34" t="s">
        <v>1429</v>
      </c>
      <c r="K539" s="34" t="s">
        <v>1421</v>
      </c>
      <c r="L539" s="34" t="s">
        <v>951</v>
      </c>
      <c r="N539" s="95"/>
      <c r="O539" s="95"/>
    </row>
    <row r="540" spans="1:15" x14ac:dyDescent="0.3">
      <c r="A540" s="163" t="str">
        <f>IF(ISERROR(MATCH($H540,EAD_CIs!D:D,0)),"NO",
    IF(VLOOKUP($H540,EAD_CIs!D:N,MATCH("Status",EAD_CIs!D$2:N$2,0),0)="Done","No",VLOOKUP($H540,EAD_CIs!D:N,MATCH("Related",EAD_CIs!D$2:N$2,0),0) ))</f>
        <v>NO</v>
      </c>
      <c r="B540" s="203">
        <v>329726</v>
      </c>
      <c r="C540" s="34" t="s">
        <v>341</v>
      </c>
      <c r="D540" s="34" t="s">
        <v>167</v>
      </c>
      <c r="E540" s="34" t="s">
        <v>165</v>
      </c>
      <c r="F540" s="34" t="s">
        <v>205</v>
      </c>
      <c r="G540" s="34" t="s">
        <v>254</v>
      </c>
      <c r="H540" s="34" t="s">
        <v>339</v>
      </c>
      <c r="I540" s="34" t="s">
        <v>36</v>
      </c>
      <c r="J540" s="34" t="s">
        <v>1429</v>
      </c>
      <c r="K540" s="34" t="s">
        <v>1421</v>
      </c>
      <c r="L540" s="34" t="s">
        <v>947</v>
      </c>
      <c r="N540" s="95"/>
      <c r="O540" s="95"/>
    </row>
    <row r="541" spans="1:15" x14ac:dyDescent="0.3">
      <c r="A541" s="163" t="str">
        <f>IF(ISERROR(MATCH($H541,EAD_CIs!D:D,0)),"NO",
    IF(VLOOKUP($H541,EAD_CIs!D:N,MATCH("Status",EAD_CIs!D$2:N$2,0),0)="Done","No",VLOOKUP($H541,EAD_CIs!D:N,MATCH("Related",EAD_CIs!D$2:N$2,0),0) ))</f>
        <v>NO</v>
      </c>
      <c r="B541" s="203">
        <v>329725</v>
      </c>
      <c r="C541" s="34" t="s">
        <v>342</v>
      </c>
      <c r="D541" s="34" t="s">
        <v>167</v>
      </c>
      <c r="E541" s="34" t="s">
        <v>165</v>
      </c>
      <c r="F541" s="34" t="s">
        <v>205</v>
      </c>
      <c r="G541" s="34" t="s">
        <v>254</v>
      </c>
      <c r="H541" s="34" t="s">
        <v>339</v>
      </c>
      <c r="I541" s="34" t="s">
        <v>36</v>
      </c>
      <c r="J541" s="34" t="s">
        <v>1429</v>
      </c>
      <c r="K541" s="34" t="s">
        <v>1421</v>
      </c>
      <c r="L541" s="34" t="s">
        <v>947</v>
      </c>
      <c r="N541" s="95"/>
      <c r="O541" s="95"/>
    </row>
    <row r="542" spans="1:15" x14ac:dyDescent="0.3">
      <c r="A542" s="163" t="str">
        <f>IF(ISERROR(MATCH($H542,EAD_CIs!D:D,0)),"NO",
    IF(VLOOKUP($H542,EAD_CIs!D:N,MATCH("Status",EAD_CIs!D$2:N$2,0),0)="Done","No",VLOOKUP($H542,EAD_CIs!D:N,MATCH("Related",EAD_CIs!D$2:N$2,0),0) ))</f>
        <v>#377408
#1001248
#381643
#383958
#315485
#342163
#299984
#354174
#381524
#332951
#318380
#386935</v>
      </c>
      <c r="B542" s="203">
        <v>329724</v>
      </c>
      <c r="C542" s="34" t="s">
        <v>1228</v>
      </c>
      <c r="D542" s="34" t="s">
        <v>167</v>
      </c>
      <c r="E542" s="34" t="s">
        <v>165</v>
      </c>
      <c r="F542" s="34" t="s">
        <v>1265</v>
      </c>
      <c r="G542" s="34" t="s">
        <v>549</v>
      </c>
      <c r="H542" s="34" t="s">
        <v>1177</v>
      </c>
      <c r="I542" s="34" t="s">
        <v>36</v>
      </c>
      <c r="J542" s="34" t="s">
        <v>1429</v>
      </c>
      <c r="K542" s="34" t="s">
        <v>1421</v>
      </c>
      <c r="L542" s="34" t="s">
        <v>17</v>
      </c>
      <c r="N542" s="95"/>
      <c r="O542" s="95"/>
    </row>
    <row r="543" spans="1:15" x14ac:dyDescent="0.3">
      <c r="A543" s="163" t="str">
        <f>IF(ISERROR(MATCH($H543,EAD_CIs!D:D,0)),"NO",
    IF(VLOOKUP($H543,EAD_CIs!D:N,MATCH("Status",EAD_CIs!D$2:N$2,0),0)="Done","No",VLOOKUP($H543,EAD_CIs!D:N,MATCH("Related",EAD_CIs!D$2:N$2,0),0) ))</f>
        <v>#377408
#1001248
#381643
#383958
#315485
#342163
#299984
#354174
#381524
#332951
#318380
#386935</v>
      </c>
      <c r="B543" s="203">
        <v>329723</v>
      </c>
      <c r="C543" s="34" t="s">
        <v>1227</v>
      </c>
      <c r="D543" s="34" t="s">
        <v>886</v>
      </c>
      <c r="E543" s="34" t="s">
        <v>165</v>
      </c>
      <c r="F543" s="34" t="s">
        <v>1264</v>
      </c>
      <c r="G543" s="34" t="s">
        <v>1008</v>
      </c>
      <c r="H543" s="34" t="s">
        <v>1177</v>
      </c>
      <c r="I543" s="34" t="s">
        <v>36</v>
      </c>
      <c r="J543" s="34" t="s">
        <v>1429</v>
      </c>
      <c r="K543" s="34" t="s">
        <v>1421</v>
      </c>
      <c r="L543" s="34" t="s">
        <v>947</v>
      </c>
      <c r="N543" s="95"/>
      <c r="O543" s="95"/>
    </row>
    <row r="544" spans="1:15" x14ac:dyDescent="0.3">
      <c r="A544" s="163" t="str">
        <f>IF(ISERROR(MATCH($H544,EAD_CIs!D:D,0)),"NO",
    IF(VLOOKUP($H544,EAD_CIs!D:N,MATCH("Status",EAD_CIs!D$2:N$2,0),0)="Done","No",VLOOKUP($H544,EAD_CIs!D:N,MATCH("Related",EAD_CIs!D$2:N$2,0),0) ))</f>
        <v>NO</v>
      </c>
      <c r="B544" s="203">
        <v>329721</v>
      </c>
      <c r="C544" s="34" t="s">
        <v>512</v>
      </c>
      <c r="D544" s="34" t="s">
        <v>167</v>
      </c>
      <c r="E544" s="34" t="s">
        <v>165</v>
      </c>
      <c r="F544" s="34" t="s">
        <v>205</v>
      </c>
      <c r="G544" s="34" t="s">
        <v>549</v>
      </c>
      <c r="H544" s="34" t="s">
        <v>513</v>
      </c>
      <c r="I544" s="34" t="s">
        <v>36</v>
      </c>
      <c r="J544" s="34" t="s">
        <v>1429</v>
      </c>
      <c r="K544" s="34" t="s">
        <v>1421</v>
      </c>
      <c r="L544" s="34" t="s">
        <v>17</v>
      </c>
      <c r="N544" s="95"/>
      <c r="O544" s="95"/>
    </row>
    <row r="545" spans="1:15" x14ac:dyDescent="0.3">
      <c r="A545" s="163" t="str">
        <f>IF(ISERROR(MATCH($H545,EAD_CIs!D:D,0)),"NO",
    IF(VLOOKUP($H545,EAD_CIs!D:N,MATCH("Status",EAD_CIs!D$2:N$2,0),0)="Done","No",VLOOKUP($H545,EAD_CIs!D:N,MATCH("Related",EAD_CIs!D$2:N$2,0),0) ))</f>
        <v>#380808
#1011907
#342054
#385632
#1014199
#1003390</v>
      </c>
      <c r="B545" s="203">
        <v>329720</v>
      </c>
      <c r="C545" s="34" t="s">
        <v>2034</v>
      </c>
      <c r="D545" s="34" t="s">
        <v>167</v>
      </c>
      <c r="E545" s="34" t="s">
        <v>165</v>
      </c>
      <c r="F545" s="34" t="s">
        <v>2037</v>
      </c>
      <c r="G545" s="34" t="s">
        <v>166</v>
      </c>
      <c r="H545" s="34" t="s">
        <v>190</v>
      </c>
      <c r="I545" s="34" t="s">
        <v>560</v>
      </c>
      <c r="J545" s="34" t="s">
        <v>1429</v>
      </c>
      <c r="K545" s="34" t="s">
        <v>1421</v>
      </c>
      <c r="L545" s="34" t="s">
        <v>947</v>
      </c>
      <c r="N545" s="95"/>
      <c r="O545" s="95"/>
    </row>
    <row r="546" spans="1:15" x14ac:dyDescent="0.3">
      <c r="A546" s="163" t="str">
        <f>IF(ISERROR(MATCH($H546,EAD_CIs!D:D,0)),"NO",
    IF(VLOOKUP($H546,EAD_CIs!D:N,MATCH("Status",EAD_CIs!D$2:N$2,0),0)="Done","No",VLOOKUP($H546,EAD_CIs!D:N,MATCH("Related",EAD_CIs!D$2:N$2,0),0) ))</f>
        <v>#1003390
#1014169</v>
      </c>
      <c r="B546" s="203">
        <v>329719</v>
      </c>
      <c r="C546" s="34" t="s">
        <v>223</v>
      </c>
      <c r="D546" s="34" t="s">
        <v>167</v>
      </c>
      <c r="E546" s="34" t="s">
        <v>165</v>
      </c>
      <c r="F546" s="34" t="s">
        <v>205</v>
      </c>
      <c r="G546" s="34" t="s">
        <v>224</v>
      </c>
      <c r="H546" s="34" t="s">
        <v>206</v>
      </c>
      <c r="I546" s="34" t="s">
        <v>36</v>
      </c>
      <c r="J546" s="34" t="s">
        <v>1429</v>
      </c>
      <c r="K546" s="34" t="s">
        <v>1421</v>
      </c>
      <c r="L546" s="34" t="s">
        <v>17</v>
      </c>
      <c r="N546" s="95"/>
      <c r="O546" s="95"/>
    </row>
    <row r="547" spans="1:15" x14ac:dyDescent="0.3">
      <c r="A547" s="163" t="str">
        <f>IF(ISERROR(MATCH($H547,EAD_CIs!D:D,0)),"NO",
    IF(VLOOKUP($H547,EAD_CIs!D:N,MATCH("Status",EAD_CIs!D$2:N$2,0),0)="Done","No",VLOOKUP($H547,EAD_CIs!D:N,MATCH("Related",EAD_CIs!D$2:N$2,0),0) ))</f>
        <v>#377408
#1001248
#381643
#383958
#315485
#342163
#299984
#354174
#381524
#332951
#318380
#386935</v>
      </c>
      <c r="B547" s="203">
        <v>329718</v>
      </c>
      <c r="C547" s="34" t="s">
        <v>1226</v>
      </c>
      <c r="D547" s="34" t="s">
        <v>886</v>
      </c>
      <c r="E547" s="34" t="s">
        <v>165</v>
      </c>
      <c r="F547" s="34" t="s">
        <v>205</v>
      </c>
      <c r="G547" s="34" t="s">
        <v>1008</v>
      </c>
      <c r="H547" s="34" t="s">
        <v>1177</v>
      </c>
      <c r="I547" s="34" t="s">
        <v>36</v>
      </c>
      <c r="J547" s="34" t="s">
        <v>1429</v>
      </c>
      <c r="K547" s="34" t="s">
        <v>1421</v>
      </c>
      <c r="L547" s="34" t="s">
        <v>947</v>
      </c>
      <c r="N547" s="95"/>
      <c r="O547" s="95"/>
    </row>
    <row r="548" spans="1:15" x14ac:dyDescent="0.3">
      <c r="A548" s="163" t="str">
        <f>IF(ISERROR(MATCH($H548,EAD_CIs!D:D,0)),"NO",
    IF(VLOOKUP($H548,EAD_CIs!D:N,MATCH("Status",EAD_CIs!D$2:N$2,0),0)="Done","No",VLOOKUP($H548,EAD_CIs!D:N,MATCH("Related",EAD_CIs!D$2:N$2,0),0) ))</f>
        <v>#377408
#1001248
#381643
#383958
#315485
#342163
#299984
#354174
#381524
#332951
#318380
#386935</v>
      </c>
      <c r="B548" s="203">
        <v>329717</v>
      </c>
      <c r="C548" s="34" t="s">
        <v>1225</v>
      </c>
      <c r="D548" s="34" t="s">
        <v>886</v>
      </c>
      <c r="E548" s="34" t="s">
        <v>165</v>
      </c>
      <c r="F548" s="34" t="s">
        <v>1263</v>
      </c>
      <c r="G548" s="34" t="s">
        <v>1008</v>
      </c>
      <c r="H548" s="34" t="s">
        <v>1177</v>
      </c>
      <c r="I548" s="34" t="s">
        <v>36</v>
      </c>
      <c r="J548" s="34" t="s">
        <v>1429</v>
      </c>
      <c r="K548" s="34" t="s">
        <v>1421</v>
      </c>
      <c r="L548" s="34" t="s">
        <v>947</v>
      </c>
      <c r="N548" s="95"/>
      <c r="O548" s="95"/>
    </row>
    <row r="549" spans="1:15" x14ac:dyDescent="0.3">
      <c r="A549" s="163" t="str">
        <f>IF(ISERROR(MATCH($H549,EAD_CIs!D:D,0)),"NO",
    IF(VLOOKUP($H549,EAD_CIs!D:N,MATCH("Status",EAD_CIs!D$2:N$2,0),0)="Done","No",VLOOKUP($H549,EAD_CIs!D:N,MATCH("Related",EAD_CIs!D$2:N$2,0),0) ))</f>
        <v>#377408
#1001248
#381643
#383958
#315485
#342163
#299984
#354174
#381524
#332951
#318380
#386935</v>
      </c>
      <c r="B549" s="203">
        <v>329716</v>
      </c>
      <c r="C549" s="34" t="s">
        <v>1224</v>
      </c>
      <c r="D549" s="34" t="s">
        <v>167</v>
      </c>
      <c r="E549" s="34" t="s">
        <v>165</v>
      </c>
      <c r="F549" s="34" t="s">
        <v>1262</v>
      </c>
      <c r="G549" s="34" t="s">
        <v>549</v>
      </c>
      <c r="H549" s="34" t="s">
        <v>1177</v>
      </c>
      <c r="I549" s="34" t="s">
        <v>36</v>
      </c>
      <c r="J549" s="34" t="s">
        <v>1429</v>
      </c>
      <c r="K549" s="34" t="s">
        <v>1421</v>
      </c>
      <c r="L549" s="34" t="s">
        <v>17</v>
      </c>
      <c r="N549" s="95"/>
      <c r="O549" s="95"/>
    </row>
    <row r="550" spans="1:15" x14ac:dyDescent="0.3">
      <c r="A550" s="163" t="str">
        <f>IF(ISERROR(MATCH($H550,EAD_CIs!D:D,0)),"NO",
    IF(VLOOKUP($H550,EAD_CIs!D:N,MATCH("Status",EAD_CIs!D$2:N$2,0),0)="Done","No",VLOOKUP($H550,EAD_CIs!D:N,MATCH("Related",EAD_CIs!D$2:N$2,0),0) ))</f>
        <v>#377408
#1001248
#381643
#383958
#315485
#342163
#299984
#354174
#381524
#332951
#318380
#386935</v>
      </c>
      <c r="B550" s="203">
        <v>329714</v>
      </c>
      <c r="C550" s="34" t="s">
        <v>1223</v>
      </c>
      <c r="D550" s="34" t="s">
        <v>167</v>
      </c>
      <c r="E550" s="34" t="s">
        <v>165</v>
      </c>
      <c r="F550" s="34" t="s">
        <v>1261</v>
      </c>
      <c r="G550" s="34" t="s">
        <v>547</v>
      </c>
      <c r="H550" s="34" t="s">
        <v>1177</v>
      </c>
      <c r="I550" s="34" t="s">
        <v>36</v>
      </c>
      <c r="J550" s="34" t="s">
        <v>1429</v>
      </c>
      <c r="K550" s="34" t="s">
        <v>1421</v>
      </c>
      <c r="L550" s="34" t="s">
        <v>951</v>
      </c>
      <c r="N550" s="95"/>
      <c r="O550" s="95"/>
    </row>
    <row r="551" spans="1:15" x14ac:dyDescent="0.3">
      <c r="A551" s="163" t="str">
        <f>IF(ISERROR(MATCH($H551,EAD_CIs!D:D,0)),"NO",
    IF(VLOOKUP($H551,EAD_CIs!D:N,MATCH("Status",EAD_CIs!D$2:N$2,0),0)="Done","No",VLOOKUP($H551,EAD_CIs!D:N,MATCH("Related",EAD_CIs!D$2:N$2,0),0) ))</f>
        <v>#367689
#1003390
#1014170</v>
      </c>
      <c r="B551" s="203">
        <v>329711</v>
      </c>
      <c r="C551" s="34" t="s">
        <v>230</v>
      </c>
      <c r="D551" s="34" t="s">
        <v>167</v>
      </c>
      <c r="E551" s="34" t="s">
        <v>165</v>
      </c>
      <c r="F551" s="34" t="s">
        <v>205</v>
      </c>
      <c r="G551" s="34" t="s">
        <v>228</v>
      </c>
      <c r="H551" s="34" t="s">
        <v>186</v>
      </c>
      <c r="I551" s="34" t="s">
        <v>36</v>
      </c>
      <c r="J551" s="34" t="s">
        <v>1429</v>
      </c>
      <c r="K551" s="34" t="s">
        <v>1421</v>
      </c>
      <c r="L551" s="34" t="s">
        <v>947</v>
      </c>
      <c r="N551" s="95"/>
    </row>
    <row r="552" spans="1:15" x14ac:dyDescent="0.3">
      <c r="A552" s="163" t="str">
        <f>IF(ISERROR(MATCH($H552,EAD_CIs!D:D,0)),"NO",
    IF(VLOOKUP($H552,EAD_CIs!D:N,MATCH("Status",EAD_CIs!D$2:N$2,0),0)="Done","No",VLOOKUP($H552,EAD_CIs!D:N,MATCH("Related",EAD_CIs!D$2:N$2,0),0) ))</f>
        <v>#377408
#1001248
#381643
#383958
#315485
#342163
#299984
#354174
#381524
#332951
#318380
#386935</v>
      </c>
      <c r="B552" s="203">
        <v>329710</v>
      </c>
      <c r="C552" s="34" t="s">
        <v>1222</v>
      </c>
      <c r="D552" s="34" t="s">
        <v>167</v>
      </c>
      <c r="E552" s="34" t="s">
        <v>165</v>
      </c>
      <c r="F552" s="34" t="s">
        <v>205</v>
      </c>
      <c r="G552" s="34" t="s">
        <v>270</v>
      </c>
      <c r="H552" s="34" t="s">
        <v>1177</v>
      </c>
      <c r="I552" s="34" t="s">
        <v>36</v>
      </c>
      <c r="J552" s="34" t="s">
        <v>1429</v>
      </c>
      <c r="K552" s="34" t="s">
        <v>1421</v>
      </c>
      <c r="L552" s="34" t="s">
        <v>949</v>
      </c>
      <c r="N552" s="95"/>
    </row>
    <row r="553" spans="1:15" x14ac:dyDescent="0.3">
      <c r="A553" s="163" t="str">
        <f>IF(ISERROR(MATCH($H553,EAD_CIs!D:D,0)),"NO",
    IF(VLOOKUP($H553,EAD_CIs!D:N,MATCH("Status",EAD_CIs!D$2:N$2,0),0)="Done","No",VLOOKUP($H553,EAD_CIs!D:N,MATCH("Related",EAD_CIs!D$2:N$2,0),0) ))</f>
        <v>NO</v>
      </c>
      <c r="B553" s="203">
        <v>329709</v>
      </c>
      <c r="C553" s="34" t="s">
        <v>505</v>
      </c>
      <c r="D553" s="34" t="s">
        <v>167</v>
      </c>
      <c r="E553" s="34" t="s">
        <v>165</v>
      </c>
      <c r="F553" s="34" t="s">
        <v>205</v>
      </c>
      <c r="G553" s="34" t="s">
        <v>359</v>
      </c>
      <c r="H553" s="34" t="s">
        <v>504</v>
      </c>
      <c r="I553" s="34" t="s">
        <v>36</v>
      </c>
      <c r="J553" s="34" t="s">
        <v>1429</v>
      </c>
      <c r="K553" s="34" t="s">
        <v>1421</v>
      </c>
      <c r="L553" s="34" t="s">
        <v>943</v>
      </c>
      <c r="N553" s="95"/>
    </row>
    <row r="554" spans="1:15" x14ac:dyDescent="0.3">
      <c r="A554" s="163" t="str">
        <f>IF(ISERROR(MATCH($H554,EAD_CIs!D:D,0)),"NO",
    IF(VLOOKUP($H554,EAD_CIs!D:N,MATCH("Status",EAD_CIs!D$2:N$2,0),0)="Done","No",VLOOKUP($H554,EAD_CIs!D:N,MATCH("Related",EAD_CIs!D$2:N$2,0),0) ))</f>
        <v>#377408
#1001248
#381643
#383958
#315485
#342163
#299984
#354174
#381524
#332951
#318380
#386935</v>
      </c>
      <c r="B554" s="203">
        <v>329708</v>
      </c>
      <c r="C554" s="34" t="s">
        <v>1221</v>
      </c>
      <c r="D554" s="34" t="s">
        <v>167</v>
      </c>
      <c r="E554" s="34" t="s">
        <v>165</v>
      </c>
      <c r="F554" s="34" t="s">
        <v>205</v>
      </c>
      <c r="G554" s="34" t="s">
        <v>549</v>
      </c>
      <c r="H554" s="34" t="s">
        <v>1177</v>
      </c>
      <c r="I554" s="34" t="s">
        <v>36</v>
      </c>
      <c r="J554" s="34" t="s">
        <v>1429</v>
      </c>
      <c r="K554" s="34" t="s">
        <v>1421</v>
      </c>
      <c r="L554" s="34" t="s">
        <v>17</v>
      </c>
      <c r="N554" s="95"/>
    </row>
    <row r="555" spans="1:15" x14ac:dyDescent="0.3">
      <c r="A555" s="163" t="str">
        <f>IF(ISERROR(MATCH($H555,EAD_CIs!D:D,0)),"NO",
    IF(VLOOKUP($H555,EAD_CIs!D:N,MATCH("Status",EAD_CIs!D$2:N$2,0),0)="Done","No",VLOOKUP($H555,EAD_CIs!D:N,MATCH("Related",EAD_CIs!D$2:N$2,0),0) ))</f>
        <v>NO</v>
      </c>
      <c r="B555" s="203">
        <v>329705</v>
      </c>
      <c r="C555" s="34" t="s">
        <v>212</v>
      </c>
      <c r="D555" s="34" t="s">
        <v>167</v>
      </c>
      <c r="E555" s="34" t="s">
        <v>165</v>
      </c>
      <c r="F555" s="34" t="s">
        <v>213</v>
      </c>
      <c r="G555" s="34" t="s">
        <v>583</v>
      </c>
      <c r="H555" s="34" t="s">
        <v>210</v>
      </c>
      <c r="I555" s="34" t="s">
        <v>36</v>
      </c>
      <c r="J555" s="34" t="s">
        <v>1429</v>
      </c>
      <c r="K555" s="34" t="s">
        <v>1421</v>
      </c>
      <c r="L555" s="34" t="s">
        <v>951</v>
      </c>
      <c r="N555" s="95"/>
    </row>
    <row r="556" spans="1:15" x14ac:dyDescent="0.3">
      <c r="A556" s="163" t="str">
        <f>IF(ISERROR(MATCH($H556,EAD_CIs!D:D,0)),"NO",
    IF(VLOOKUP($H556,EAD_CIs!D:N,MATCH("Status",EAD_CIs!D$2:N$2,0),0)="Done","No",VLOOKUP($H556,EAD_CIs!D:N,MATCH("Related",EAD_CIs!D$2:N$2,0),0) ))</f>
        <v>#377408
#1001248
#381643
#383958
#315485
#342163
#299984
#354174
#381524
#332951
#318380
#386935</v>
      </c>
      <c r="B556" s="203">
        <v>329704</v>
      </c>
      <c r="C556" s="34" t="s">
        <v>1220</v>
      </c>
      <c r="D556" s="34" t="s">
        <v>167</v>
      </c>
      <c r="E556" s="34" t="s">
        <v>165</v>
      </c>
      <c r="F556" s="34" t="s">
        <v>1260</v>
      </c>
      <c r="G556" s="34" t="s">
        <v>547</v>
      </c>
      <c r="H556" s="34" t="s">
        <v>1177</v>
      </c>
      <c r="I556" s="34" t="s">
        <v>36</v>
      </c>
      <c r="J556" s="34" t="s">
        <v>1429</v>
      </c>
      <c r="K556" s="34" t="s">
        <v>1421</v>
      </c>
      <c r="L556" s="34" t="s">
        <v>554</v>
      </c>
      <c r="N556" s="95"/>
    </row>
    <row r="557" spans="1:15" x14ac:dyDescent="0.3">
      <c r="A557" s="163" t="str">
        <f>IF(ISERROR(MATCH($H557,EAD_CIs!D:D,0)),"NO",
    IF(VLOOKUP($H557,EAD_CIs!D:N,MATCH("Status",EAD_CIs!D$2:N$2,0),0)="Done","No",VLOOKUP($H557,EAD_CIs!D:N,MATCH("Related",EAD_CIs!D$2:N$2,0),0) ))</f>
        <v>#377408
#1001248
#381643
#383958
#315485
#342163
#299984
#354174
#381524
#332951
#318380
#386935</v>
      </c>
      <c r="B557" s="203">
        <v>329703</v>
      </c>
      <c r="C557" s="34" t="s">
        <v>1219</v>
      </c>
      <c r="D557" s="34" t="s">
        <v>886</v>
      </c>
      <c r="E557" s="34" t="s">
        <v>165</v>
      </c>
      <c r="F557" s="34" t="s">
        <v>205</v>
      </c>
      <c r="G557" s="34" t="s">
        <v>1008</v>
      </c>
      <c r="H557" s="34" t="s">
        <v>1177</v>
      </c>
      <c r="I557" s="34" t="s">
        <v>36</v>
      </c>
      <c r="J557" s="34" t="s">
        <v>1429</v>
      </c>
      <c r="K557" s="34" t="s">
        <v>1421</v>
      </c>
      <c r="L557" s="34" t="s">
        <v>947</v>
      </c>
      <c r="N557" s="95"/>
    </row>
    <row r="558" spans="1:15" x14ac:dyDescent="0.3">
      <c r="A558" s="163" t="str">
        <f>IF(ISERROR(MATCH($H558,EAD_CIs!D:D,0)),"NO",
    IF(VLOOKUP($H558,EAD_CIs!D:N,MATCH("Status",EAD_CIs!D$2:N$2,0),0)="Done","No",VLOOKUP($H558,EAD_CIs!D:N,MATCH("Related",EAD_CIs!D$2:N$2,0),0) ))</f>
        <v>#377408
#1001248
#381643
#383958
#315485
#342163
#299984
#354174
#381524
#332951
#318380
#386935</v>
      </c>
      <c r="B558" s="203">
        <v>329701</v>
      </c>
      <c r="C558" s="34" t="s">
        <v>1218</v>
      </c>
      <c r="D558" s="34" t="s">
        <v>167</v>
      </c>
      <c r="E558" s="34" t="s">
        <v>165</v>
      </c>
      <c r="F558" s="34" t="s">
        <v>205</v>
      </c>
      <c r="G558" s="34" t="s">
        <v>254</v>
      </c>
      <c r="H558" s="34" t="s">
        <v>1177</v>
      </c>
      <c r="I558" s="34" t="s">
        <v>36</v>
      </c>
      <c r="J558" s="34" t="s">
        <v>1429</v>
      </c>
      <c r="K558" s="34" t="s">
        <v>1421</v>
      </c>
      <c r="L558" s="34" t="s">
        <v>947</v>
      </c>
      <c r="N558" s="95"/>
    </row>
    <row r="559" spans="1:15" x14ac:dyDescent="0.3">
      <c r="A559" s="163">
        <f>IF(ISERROR(MATCH($H559,EAD_CIs!D:D,0)),"NO",
    IF(VLOOKUP($H559,EAD_CIs!D:N,MATCH("Status",EAD_CIs!D$2:N$2,0),0)="Done","No",VLOOKUP($H559,EAD_CIs!D:N,MATCH("Related",EAD_CIs!D$2:N$2,0),0) ))</f>
        <v>0</v>
      </c>
      <c r="B559" s="203">
        <v>329700</v>
      </c>
      <c r="C559" s="34" t="s">
        <v>363</v>
      </c>
      <c r="D559" s="34" t="s">
        <v>167</v>
      </c>
      <c r="E559" s="34" t="s">
        <v>165</v>
      </c>
      <c r="F559" s="34" t="s">
        <v>205</v>
      </c>
      <c r="G559" s="34" t="s">
        <v>1008</v>
      </c>
      <c r="H559" s="34" t="s">
        <v>627</v>
      </c>
      <c r="I559" s="34" t="s">
        <v>36</v>
      </c>
      <c r="J559" s="34" t="s">
        <v>1429</v>
      </c>
      <c r="K559" s="34" t="s">
        <v>1421</v>
      </c>
      <c r="L559" s="34" t="s">
        <v>947</v>
      </c>
      <c r="N559" s="95"/>
    </row>
    <row r="560" spans="1:15" x14ac:dyDescent="0.3">
      <c r="A560" s="163" t="str">
        <f>IF(ISERROR(MATCH($H560,EAD_CIs!D:D,0)),"NO",
    IF(VLOOKUP($H560,EAD_CIs!D:N,MATCH("Status",EAD_CIs!D$2:N$2,0),0)="Done","No",VLOOKUP($H560,EAD_CIs!D:N,MATCH("Related",EAD_CIs!D$2:N$2,0),0) ))</f>
        <v>#377408
#1001248
#381643
#383958
#315485
#342163
#299984
#354174
#381524
#332951
#318380
#386935</v>
      </c>
      <c r="B560" s="203">
        <v>329699</v>
      </c>
      <c r="C560" s="34" t="s">
        <v>1217</v>
      </c>
      <c r="D560" s="34" t="s">
        <v>167</v>
      </c>
      <c r="E560" s="34" t="s">
        <v>165</v>
      </c>
      <c r="F560" s="34" t="s">
        <v>1259</v>
      </c>
      <c r="G560" s="34" t="s">
        <v>270</v>
      </c>
      <c r="H560" s="34" t="s">
        <v>1177</v>
      </c>
      <c r="I560" s="34" t="s">
        <v>36</v>
      </c>
      <c r="J560" s="34" t="s">
        <v>1429</v>
      </c>
      <c r="K560" s="34" t="s">
        <v>1421</v>
      </c>
      <c r="L560" s="34" t="s">
        <v>949</v>
      </c>
      <c r="N560" s="95"/>
    </row>
    <row r="561" spans="1:14" x14ac:dyDescent="0.3">
      <c r="A561" s="163" t="str">
        <f>IF(ISERROR(MATCH($H561,EAD_CIs!D:D,0)),"NO",
    IF(VLOOKUP($H561,EAD_CIs!D:N,MATCH("Status",EAD_CIs!D$2:N$2,0),0)="Done","No",VLOOKUP($H561,EAD_CIs!D:N,MATCH("Related",EAD_CIs!D$2:N$2,0),0) ))</f>
        <v>#377408
#1001248
#381643
#383958
#315485
#342163
#299984
#354174
#381524
#332951
#318380
#386935</v>
      </c>
      <c r="B561" s="203">
        <v>329698</v>
      </c>
      <c r="C561" s="34" t="s">
        <v>1216</v>
      </c>
      <c r="D561" s="34" t="s">
        <v>167</v>
      </c>
      <c r="E561" s="34" t="s">
        <v>165</v>
      </c>
      <c r="F561" s="34" t="s">
        <v>1258</v>
      </c>
      <c r="G561" s="34" t="s">
        <v>547</v>
      </c>
      <c r="H561" s="34" t="s">
        <v>1177</v>
      </c>
      <c r="I561" s="34" t="s">
        <v>36</v>
      </c>
      <c r="J561" s="34" t="s">
        <v>1429</v>
      </c>
      <c r="K561" s="34" t="s">
        <v>1421</v>
      </c>
      <c r="L561" s="34" t="s">
        <v>554</v>
      </c>
      <c r="N561" s="95"/>
    </row>
    <row r="562" spans="1:14" x14ac:dyDescent="0.3">
      <c r="A562" s="163" t="str">
        <f>IF(ISERROR(MATCH($H562,EAD_CIs!D:D,0)),"NO",
    IF(VLOOKUP($H562,EAD_CIs!D:N,MATCH("Status",EAD_CIs!D$2:N$2,0),0)="Done","No",VLOOKUP($H562,EAD_CIs!D:N,MATCH("Related",EAD_CIs!D$2:N$2,0),0) ))</f>
        <v>#377408
#1001248
#381643
#383958
#315485
#342163
#299984
#354174
#381524
#332951
#318380
#386935</v>
      </c>
      <c r="B562" s="203">
        <v>329696</v>
      </c>
      <c r="C562" s="34" t="s">
        <v>1215</v>
      </c>
      <c r="D562" s="34" t="s">
        <v>36</v>
      </c>
      <c r="E562" s="34" t="s">
        <v>165</v>
      </c>
      <c r="F562" s="34" t="s">
        <v>1257</v>
      </c>
      <c r="G562" s="34" t="s">
        <v>1008</v>
      </c>
      <c r="H562" s="34" t="s">
        <v>1177</v>
      </c>
      <c r="I562" s="34" t="s">
        <v>36</v>
      </c>
      <c r="J562" s="34" t="s">
        <v>1429</v>
      </c>
      <c r="K562" s="34" t="s">
        <v>1421</v>
      </c>
      <c r="L562" s="34" t="s">
        <v>947</v>
      </c>
      <c r="N562" s="95"/>
    </row>
    <row r="563" spans="1:14" x14ac:dyDescent="0.3">
      <c r="A563" s="163" t="str">
        <f>IF(ISERROR(MATCH($H563,EAD_CIs!D:D,0)),"NO",
    IF(VLOOKUP($H563,EAD_CIs!D:N,MATCH("Status",EAD_CIs!D$2:N$2,0),0)="Done","No",VLOOKUP($H563,EAD_CIs!D:N,MATCH("Related",EAD_CIs!D$2:N$2,0),0) ))</f>
        <v>#377408
#1001248
#381643
#383958
#315485
#342163
#299984
#354174
#381524
#332951
#318380
#386935</v>
      </c>
      <c r="B563" s="203">
        <v>329694</v>
      </c>
      <c r="C563" s="34" t="s">
        <v>1214</v>
      </c>
      <c r="D563" s="34" t="s">
        <v>167</v>
      </c>
      <c r="E563" s="34" t="s">
        <v>165</v>
      </c>
      <c r="F563" s="34" t="s">
        <v>205</v>
      </c>
      <c r="G563" s="34" t="s">
        <v>549</v>
      </c>
      <c r="H563" s="34" t="s">
        <v>1177</v>
      </c>
      <c r="I563" s="34" t="s">
        <v>36</v>
      </c>
      <c r="J563" s="34" t="s">
        <v>1429</v>
      </c>
      <c r="K563" s="34" t="s">
        <v>1421</v>
      </c>
      <c r="L563" s="34" t="s">
        <v>17</v>
      </c>
      <c r="N563" s="95"/>
    </row>
    <row r="564" spans="1:14" x14ac:dyDescent="0.3">
      <c r="A564" s="163" t="str">
        <f>IF(ISERROR(MATCH($H564,EAD_CIs!D:D,0)),"NO",
    IF(VLOOKUP($H564,EAD_CIs!D:N,MATCH("Status",EAD_CIs!D$2:N$2,0),0)="Done","No",VLOOKUP($H564,EAD_CIs!D:N,MATCH("Related",EAD_CIs!D$2:N$2,0),0) ))</f>
        <v>#377408
#1001248
#381643
#383958
#315485
#342163
#299984
#354174
#381524
#332951
#318380
#386935</v>
      </c>
      <c r="B564" s="203">
        <v>329693</v>
      </c>
      <c r="C564" s="34" t="s">
        <v>2035</v>
      </c>
      <c r="D564" s="34" t="s">
        <v>886</v>
      </c>
      <c r="E564" s="34" t="s">
        <v>165</v>
      </c>
      <c r="F564" s="34" t="s">
        <v>2038</v>
      </c>
      <c r="G564" s="34" t="s">
        <v>1008</v>
      </c>
      <c r="H564" s="34" t="s">
        <v>1177</v>
      </c>
      <c r="I564" s="34" t="s">
        <v>36</v>
      </c>
      <c r="J564" s="34" t="s">
        <v>1429</v>
      </c>
      <c r="K564" s="34" t="s">
        <v>1421</v>
      </c>
      <c r="L564" s="34" t="s">
        <v>947</v>
      </c>
      <c r="N564" s="95"/>
    </row>
    <row r="565" spans="1:14" x14ac:dyDescent="0.3">
      <c r="A565" s="163" t="str">
        <f>IF(ISERROR(MATCH($H565,EAD_CIs!D:D,0)),"NO",
    IF(VLOOKUP($H565,EAD_CIs!D:N,MATCH("Status",EAD_CIs!D$2:N$2,0),0)="Done","No",VLOOKUP($H565,EAD_CIs!D:N,MATCH("Related",EAD_CIs!D$2:N$2,0),0) ))</f>
        <v>#377408
#1001248
#381643
#383958
#315485
#342163
#299984
#354174
#381524
#332951
#318380
#386935</v>
      </c>
      <c r="B565" s="203">
        <v>329691</v>
      </c>
      <c r="C565" s="34" t="s">
        <v>1213</v>
      </c>
      <c r="D565" s="34" t="s">
        <v>167</v>
      </c>
      <c r="E565" s="34" t="s">
        <v>165</v>
      </c>
      <c r="F565" s="34" t="s">
        <v>205</v>
      </c>
      <c r="G565" s="34" t="s">
        <v>270</v>
      </c>
      <c r="H565" s="34" t="s">
        <v>1177</v>
      </c>
      <c r="I565" s="34" t="s">
        <v>36</v>
      </c>
      <c r="J565" s="34" t="s">
        <v>1429</v>
      </c>
      <c r="K565" s="34" t="s">
        <v>1421</v>
      </c>
      <c r="L565" s="34" t="s">
        <v>949</v>
      </c>
      <c r="N565" s="95"/>
    </row>
    <row r="566" spans="1:14" x14ac:dyDescent="0.3">
      <c r="A566" s="163">
        <f>IF(ISERROR(MATCH($H566,EAD_CIs!D:D,0)),"NO",
    IF(VLOOKUP($H566,EAD_CIs!D:N,MATCH("Status",EAD_CIs!D$2:N$2,0),0)="Done","No",VLOOKUP($H566,EAD_CIs!D:N,MATCH("Related",EAD_CIs!D$2:N$2,0),0) ))</f>
        <v>0</v>
      </c>
      <c r="B566" s="203">
        <v>329684</v>
      </c>
      <c r="C566" s="34" t="s">
        <v>368</v>
      </c>
      <c r="D566" s="34" t="s">
        <v>167</v>
      </c>
      <c r="E566" s="34" t="s">
        <v>165</v>
      </c>
      <c r="F566" s="34" t="s">
        <v>205</v>
      </c>
      <c r="G566" s="34" t="s">
        <v>1008</v>
      </c>
      <c r="H566" s="34" t="s">
        <v>635</v>
      </c>
      <c r="I566" s="34" t="s">
        <v>36</v>
      </c>
      <c r="J566" s="34" t="s">
        <v>1429</v>
      </c>
      <c r="K566" s="34" t="s">
        <v>1421</v>
      </c>
      <c r="L566" s="34" t="s">
        <v>947</v>
      </c>
      <c r="N566" s="95"/>
    </row>
    <row r="567" spans="1:14" x14ac:dyDescent="0.3">
      <c r="A567" s="163" t="str">
        <f>IF(ISERROR(MATCH($H567,EAD_CIs!D:D,0)),"NO",
    IF(VLOOKUP($H567,EAD_CIs!D:N,MATCH("Status",EAD_CIs!D$2:N$2,0),0)="Done","No",VLOOKUP($H567,EAD_CIs!D:N,MATCH("Related",EAD_CIs!D$2:N$2,0),0) ))</f>
        <v>#377408
#1001248
#381643
#383958
#315485
#342163
#299984
#354174
#381524
#332951
#318380
#386935</v>
      </c>
      <c r="B567" s="203">
        <v>329682</v>
      </c>
      <c r="C567" s="34" t="s">
        <v>1212</v>
      </c>
      <c r="D567" s="34" t="s">
        <v>167</v>
      </c>
      <c r="E567" s="34" t="s">
        <v>165</v>
      </c>
      <c r="F567" s="34" t="s">
        <v>1021</v>
      </c>
      <c r="G567" s="34" t="s">
        <v>547</v>
      </c>
      <c r="H567" s="34" t="s">
        <v>1177</v>
      </c>
      <c r="I567" s="34" t="s">
        <v>36</v>
      </c>
      <c r="J567" s="34" t="s">
        <v>1429</v>
      </c>
      <c r="K567" s="34" t="s">
        <v>1421</v>
      </c>
      <c r="L567" s="34" t="s">
        <v>554</v>
      </c>
      <c r="N567" s="95"/>
    </row>
    <row r="568" spans="1:14" x14ac:dyDescent="0.3">
      <c r="A568" s="163" t="str">
        <f>IF(ISERROR(MATCH($H568,EAD_CIs!D:D,0)),"NO",
    IF(VLOOKUP($H568,EAD_CIs!D:N,MATCH("Status",EAD_CIs!D$2:N$2,0),0)="Done","No",VLOOKUP($H568,EAD_CIs!D:N,MATCH("Related",EAD_CIs!D$2:N$2,0),0) ))</f>
        <v>#377408
#1001248
#381643
#383958
#315485
#342163
#299984
#354174
#381524
#332951
#318380
#386935</v>
      </c>
      <c r="B568" s="203">
        <v>329681</v>
      </c>
      <c r="C568" s="34" t="s">
        <v>1211</v>
      </c>
      <c r="D568" s="34" t="s">
        <v>886</v>
      </c>
      <c r="E568" s="34" t="s">
        <v>165</v>
      </c>
      <c r="F568" s="34" t="s">
        <v>1256</v>
      </c>
      <c r="G568" s="34" t="s">
        <v>1008</v>
      </c>
      <c r="H568" s="34" t="s">
        <v>1177</v>
      </c>
      <c r="I568" s="34" t="s">
        <v>36</v>
      </c>
      <c r="J568" s="34" t="s">
        <v>1429</v>
      </c>
      <c r="K568" s="34" t="s">
        <v>1421</v>
      </c>
      <c r="L568" s="34" t="s">
        <v>947</v>
      </c>
      <c r="N568" s="95"/>
    </row>
    <row r="569" spans="1:14" x14ac:dyDescent="0.3">
      <c r="A569" s="163" t="str">
        <f>IF(ISERROR(MATCH($H569,EAD_CIs!D:D,0)),"NO",
    IF(VLOOKUP($H569,EAD_CIs!D:N,MATCH("Status",EAD_CIs!D$2:N$2,0),0)="Done","No",VLOOKUP($H569,EAD_CIs!D:N,MATCH("Related",EAD_CIs!D$2:N$2,0),0) ))</f>
        <v>NO</v>
      </c>
      <c r="B569" s="203">
        <v>329680</v>
      </c>
      <c r="C569" s="34" t="s">
        <v>345</v>
      </c>
      <c r="D569" s="34" t="s">
        <v>167</v>
      </c>
      <c r="E569" s="34" t="s">
        <v>165</v>
      </c>
      <c r="F569" s="34" t="s">
        <v>205</v>
      </c>
      <c r="G569" s="34" t="s">
        <v>583</v>
      </c>
      <c r="H569" s="34" t="s">
        <v>346</v>
      </c>
      <c r="I569" s="34" t="s">
        <v>36</v>
      </c>
      <c r="J569" s="34" t="s">
        <v>1429</v>
      </c>
      <c r="K569" s="34" t="s">
        <v>1421</v>
      </c>
      <c r="L569" s="34" t="s">
        <v>951</v>
      </c>
      <c r="N569" s="95"/>
    </row>
    <row r="570" spans="1:14" x14ac:dyDescent="0.3">
      <c r="A570" s="163" t="str">
        <f>IF(ISERROR(MATCH($H570,EAD_CIs!D:D,0)),"NO",
    IF(VLOOKUP($H570,EAD_CIs!D:N,MATCH("Status",EAD_CIs!D$2:N$2,0),0)="Done","No",VLOOKUP($H570,EAD_CIs!D:N,MATCH("Related",EAD_CIs!D$2:N$2,0),0) ))</f>
        <v>#377408
#1001248
#381643
#383958
#315485
#342163
#299984
#354174
#381524
#332951
#318380
#386935</v>
      </c>
      <c r="B570" s="203">
        <v>329679</v>
      </c>
      <c r="C570" s="34" t="s">
        <v>1210</v>
      </c>
      <c r="D570" s="34" t="s">
        <v>167</v>
      </c>
      <c r="E570" s="34" t="s">
        <v>165</v>
      </c>
      <c r="F570" s="34" t="s">
        <v>1255</v>
      </c>
      <c r="G570" s="34" t="s">
        <v>547</v>
      </c>
      <c r="H570" s="34" t="s">
        <v>1177</v>
      </c>
      <c r="I570" s="34" t="s">
        <v>36</v>
      </c>
      <c r="J570" s="34" t="s">
        <v>1429</v>
      </c>
      <c r="K570" s="34" t="s">
        <v>1421</v>
      </c>
      <c r="L570" s="34" t="s">
        <v>554</v>
      </c>
      <c r="N570" s="95"/>
    </row>
    <row r="571" spans="1:14" x14ac:dyDescent="0.3">
      <c r="A571" s="163" t="str">
        <f>IF(ISERROR(MATCH($H571,EAD_CIs!D:D,0)),"NO",
    IF(VLOOKUP($H571,EAD_CIs!D:N,MATCH("Status",EAD_CIs!D$2:N$2,0),0)="Done","No",VLOOKUP($H571,EAD_CIs!D:N,MATCH("Related",EAD_CIs!D$2:N$2,0),0) ))</f>
        <v>#377408
#1001248
#381643
#383958
#315485
#342163
#299984
#354174
#381524
#332951
#318380
#386935</v>
      </c>
      <c r="B571" s="203">
        <v>329678</v>
      </c>
      <c r="C571" s="34" t="s">
        <v>1209</v>
      </c>
      <c r="D571" s="34" t="s">
        <v>167</v>
      </c>
      <c r="E571" s="34" t="s">
        <v>165</v>
      </c>
      <c r="F571" s="34" t="s">
        <v>1021</v>
      </c>
      <c r="G571" s="34" t="s">
        <v>547</v>
      </c>
      <c r="H571" s="34" t="s">
        <v>1177</v>
      </c>
      <c r="I571" s="34" t="s">
        <v>36</v>
      </c>
      <c r="J571" s="34" t="s">
        <v>1429</v>
      </c>
      <c r="K571" s="34" t="s">
        <v>1421</v>
      </c>
      <c r="L571" s="34" t="s">
        <v>554</v>
      </c>
      <c r="N571" s="95"/>
    </row>
    <row r="572" spans="1:14" x14ac:dyDescent="0.3">
      <c r="A572" s="163" t="str">
        <f>IF(ISERROR(MATCH($H572,EAD_CIs!D:D,0)),"NO",
    IF(VLOOKUP($H572,EAD_CIs!D:N,MATCH("Status",EAD_CIs!D$2:N$2,0),0)="Done","No",VLOOKUP($H572,EAD_CIs!D:N,MATCH("Related",EAD_CIs!D$2:N$2,0),0) ))</f>
        <v>#377408
#1001248
#381643
#383958
#315485
#342163
#299984
#354174
#381524
#332951
#318380
#386935</v>
      </c>
      <c r="B572" s="203">
        <v>329677</v>
      </c>
      <c r="C572" s="34" t="s">
        <v>1208</v>
      </c>
      <c r="D572" s="34" t="s">
        <v>167</v>
      </c>
      <c r="E572" s="34" t="s">
        <v>165</v>
      </c>
      <c r="F572" s="34" t="s">
        <v>1021</v>
      </c>
      <c r="G572" s="34" t="s">
        <v>547</v>
      </c>
      <c r="H572" s="34" t="s">
        <v>1177</v>
      </c>
      <c r="I572" s="34" t="s">
        <v>36</v>
      </c>
      <c r="J572" s="34" t="s">
        <v>1429</v>
      </c>
      <c r="K572" s="34" t="s">
        <v>1421</v>
      </c>
      <c r="L572" s="34" t="s">
        <v>554</v>
      </c>
      <c r="N572" s="95"/>
    </row>
    <row r="573" spans="1:14" x14ac:dyDescent="0.3">
      <c r="A573" s="163" t="str">
        <f>IF(ISERROR(MATCH($H573,EAD_CIs!D:D,0)),"NO",
    IF(VLOOKUP($H573,EAD_CIs!D:N,MATCH("Status",EAD_CIs!D$2:N$2,0),0)="Done","No",VLOOKUP($H573,EAD_CIs!D:N,MATCH("Related",EAD_CIs!D$2:N$2,0),0) ))</f>
        <v>NO</v>
      </c>
      <c r="B573" s="203">
        <v>329676</v>
      </c>
      <c r="C573" s="34" t="s">
        <v>506</v>
      </c>
      <c r="D573" s="34" t="s">
        <v>167</v>
      </c>
      <c r="E573" s="34" t="s">
        <v>165</v>
      </c>
      <c r="F573" s="34" t="s">
        <v>507</v>
      </c>
      <c r="G573" s="34" t="s">
        <v>1008</v>
      </c>
      <c r="H573" s="34" t="s">
        <v>504</v>
      </c>
      <c r="I573" s="34" t="s">
        <v>36</v>
      </c>
      <c r="J573" s="34" t="s">
        <v>1429</v>
      </c>
      <c r="K573" s="34" t="s">
        <v>1421</v>
      </c>
      <c r="L573" s="34" t="s">
        <v>947</v>
      </c>
      <c r="N573" s="95"/>
    </row>
    <row r="574" spans="1:14" x14ac:dyDescent="0.3">
      <c r="A574" s="163" t="str">
        <f>IF(ISERROR(MATCH($H574,EAD_CIs!D:D,0)),"NO",
    IF(VLOOKUP($H574,EAD_CIs!D:N,MATCH("Status",EAD_CIs!D$2:N$2,0),0)="Done","No",VLOOKUP($H574,EAD_CIs!D:N,MATCH("Related",EAD_CIs!D$2:N$2,0),0) ))</f>
        <v>#377408
#1001248
#381643
#383958
#315485
#342163
#299984
#354174
#381524
#332951
#318380
#386935</v>
      </c>
      <c r="B574" s="203">
        <v>329675</v>
      </c>
      <c r="C574" s="34" t="s">
        <v>1547</v>
      </c>
      <c r="D574" s="34" t="s">
        <v>167</v>
      </c>
      <c r="E574" s="34" t="s">
        <v>165</v>
      </c>
      <c r="F574" s="34" t="s">
        <v>1254</v>
      </c>
      <c r="G574" s="34" t="s">
        <v>270</v>
      </c>
      <c r="H574" s="34" t="s">
        <v>1177</v>
      </c>
      <c r="I574" s="34" t="s">
        <v>36</v>
      </c>
      <c r="J574" s="34" t="s">
        <v>1429</v>
      </c>
      <c r="K574" s="34" t="s">
        <v>1421</v>
      </c>
      <c r="L574" s="34" t="s">
        <v>949</v>
      </c>
      <c r="N574" s="95"/>
    </row>
    <row r="575" spans="1:14" x14ac:dyDescent="0.3">
      <c r="A575" s="163" t="str">
        <f>IF(ISERROR(MATCH($H575,EAD_CIs!D:D,0)),"NO",
    IF(VLOOKUP($H575,EAD_CIs!D:N,MATCH("Status",EAD_CIs!D$2:N$2,0),0)="Done","No",VLOOKUP($H575,EAD_CIs!D:N,MATCH("Related",EAD_CIs!D$2:N$2,0),0) ))</f>
        <v>#1007900</v>
      </c>
      <c r="B575" s="203">
        <v>329674</v>
      </c>
      <c r="C575" s="34" t="s">
        <v>305</v>
      </c>
      <c r="D575" s="34" t="s">
        <v>167</v>
      </c>
      <c r="E575" s="34" t="s">
        <v>165</v>
      </c>
      <c r="F575" s="34" t="s">
        <v>307</v>
      </c>
      <c r="G575" s="34" t="s">
        <v>1008</v>
      </c>
      <c r="H575" s="34" t="s">
        <v>306</v>
      </c>
      <c r="I575" s="34" t="s">
        <v>36</v>
      </c>
      <c r="J575" s="34" t="s">
        <v>1429</v>
      </c>
      <c r="K575" s="34" t="s">
        <v>1421</v>
      </c>
      <c r="L575" s="34" t="s">
        <v>947</v>
      </c>
      <c r="N575" s="95"/>
    </row>
    <row r="576" spans="1:14" x14ac:dyDescent="0.3">
      <c r="A576" s="163">
        <f>IF(ISERROR(MATCH($H576,EAD_CIs!D:D,0)),"NO",
    IF(VLOOKUP($H576,EAD_CIs!D:N,MATCH("Status",EAD_CIs!D$2:N$2,0),0)="Done","No",VLOOKUP($H576,EAD_CIs!D:N,MATCH("Related",EAD_CIs!D$2:N$2,0),0) ))</f>
        <v>0</v>
      </c>
      <c r="B576" s="203">
        <v>329672</v>
      </c>
      <c r="C576" s="34" t="s">
        <v>364</v>
      </c>
      <c r="D576" s="34" t="s">
        <v>167</v>
      </c>
      <c r="E576" s="34" t="s">
        <v>165</v>
      </c>
      <c r="F576" s="34" t="s">
        <v>205</v>
      </c>
      <c r="G576" s="34" t="s">
        <v>1008</v>
      </c>
      <c r="H576" s="34" t="s">
        <v>627</v>
      </c>
      <c r="I576" s="34" t="s">
        <v>36</v>
      </c>
      <c r="J576" s="34" t="s">
        <v>1429</v>
      </c>
      <c r="K576" s="34" t="s">
        <v>1421</v>
      </c>
      <c r="L576" s="34" t="s">
        <v>947</v>
      </c>
      <c r="N576" s="95"/>
    </row>
    <row r="577" spans="1:14" x14ac:dyDescent="0.3">
      <c r="A577" s="163">
        <f>IF(ISERROR(MATCH($H577,EAD_CIs!D:D,0)),"NO",
    IF(VLOOKUP($H577,EAD_CIs!D:N,MATCH("Status",EAD_CIs!D$2:N$2,0),0)="Done","No",VLOOKUP($H577,EAD_CIs!D:N,MATCH("Related",EAD_CIs!D$2:N$2,0),0) ))</f>
        <v>0</v>
      </c>
      <c r="B577" s="203">
        <v>329671</v>
      </c>
      <c r="C577" s="34" t="s">
        <v>365</v>
      </c>
      <c r="D577" s="34" t="s">
        <v>167</v>
      </c>
      <c r="E577" s="34" t="s">
        <v>165</v>
      </c>
      <c r="F577" s="34" t="s">
        <v>205</v>
      </c>
      <c r="G577" s="34" t="s">
        <v>1008</v>
      </c>
      <c r="H577" s="34" t="s">
        <v>627</v>
      </c>
      <c r="I577" s="34" t="s">
        <v>36</v>
      </c>
      <c r="J577" s="34" t="s">
        <v>1429</v>
      </c>
      <c r="K577" s="34" t="s">
        <v>1421</v>
      </c>
      <c r="L577" s="34" t="s">
        <v>947</v>
      </c>
      <c r="N577" s="95"/>
    </row>
    <row r="578" spans="1:14" x14ac:dyDescent="0.3">
      <c r="A578" s="163" t="str">
        <f>IF(ISERROR(MATCH($H578,EAD_CIs!D:D,0)),"NO",
    IF(VLOOKUP($H578,EAD_CIs!D:N,MATCH("Status",EAD_CIs!D$2:N$2,0),0)="Done","No",VLOOKUP($H578,EAD_CIs!D:N,MATCH("Related",EAD_CIs!D$2:N$2,0),0) ))</f>
        <v>#377408
#1001248
#381643
#383958
#315485
#342163
#299984
#354174
#381524
#332951
#318380
#386935</v>
      </c>
      <c r="B578" s="203">
        <v>329669</v>
      </c>
      <c r="C578" s="34" t="s">
        <v>1207</v>
      </c>
      <c r="D578" s="34" t="s">
        <v>36</v>
      </c>
      <c r="E578" s="34" t="s">
        <v>165</v>
      </c>
      <c r="F578" s="34" t="s">
        <v>1253</v>
      </c>
      <c r="G578" s="34" t="s">
        <v>1008</v>
      </c>
      <c r="H578" s="34" t="s">
        <v>1177</v>
      </c>
      <c r="I578" s="34" t="s">
        <v>36</v>
      </c>
      <c r="J578" s="34" t="s">
        <v>1429</v>
      </c>
      <c r="K578" s="34" t="s">
        <v>1421</v>
      </c>
      <c r="L578" s="34" t="s">
        <v>947</v>
      </c>
      <c r="N578" s="95"/>
    </row>
    <row r="579" spans="1:14" x14ac:dyDescent="0.3">
      <c r="A579" s="163" t="str">
        <f>IF(ISERROR(MATCH($H579,EAD_CIs!D:D,0)),"NO",
    IF(VLOOKUP($H579,EAD_CIs!D:N,MATCH("Status",EAD_CIs!D$2:N$2,0),0)="Done","No",VLOOKUP($H579,EAD_CIs!D:N,MATCH("Related",EAD_CIs!D$2:N$2,0),0) ))</f>
        <v>NO</v>
      </c>
      <c r="B579" s="203">
        <v>329667</v>
      </c>
      <c r="C579" s="34" t="s">
        <v>501</v>
      </c>
      <c r="D579" s="34" t="s">
        <v>167</v>
      </c>
      <c r="E579" s="34" t="s">
        <v>165</v>
      </c>
      <c r="F579" s="34" t="s">
        <v>603</v>
      </c>
      <c r="G579" s="34" t="s">
        <v>170</v>
      </c>
      <c r="H579" s="34" t="s">
        <v>502</v>
      </c>
      <c r="I579" s="34" t="s">
        <v>36</v>
      </c>
      <c r="J579" s="34" t="s">
        <v>1429</v>
      </c>
      <c r="K579" s="34" t="s">
        <v>1434</v>
      </c>
      <c r="L579" s="34" t="s">
        <v>943</v>
      </c>
      <c r="N579" s="95"/>
    </row>
    <row r="580" spans="1:14" x14ac:dyDescent="0.3">
      <c r="A580" s="163" t="str">
        <f>IF(ISERROR(MATCH($H580,EAD_CIs!D:D,0)),"NO",
    IF(VLOOKUP($H580,EAD_CIs!D:N,MATCH("Status",EAD_CIs!D$2:N$2,0),0)="Done","No",VLOOKUP($H580,EAD_CIs!D:N,MATCH("Related",EAD_CIs!D$2:N$2,0),0) ))</f>
        <v>#377408
#1001248
#381643
#383958
#315485
#342163
#299984
#354174
#381524
#332951
#318380
#386935</v>
      </c>
      <c r="B580" s="203">
        <v>329666</v>
      </c>
      <c r="C580" s="34" t="s">
        <v>1206</v>
      </c>
      <c r="D580" s="34" t="s">
        <v>167</v>
      </c>
      <c r="E580" s="34" t="s">
        <v>165</v>
      </c>
      <c r="F580" s="34" t="s">
        <v>205</v>
      </c>
      <c r="G580" s="34" t="s">
        <v>1008</v>
      </c>
      <c r="H580" s="34" t="s">
        <v>1177</v>
      </c>
      <c r="I580" s="34" t="s">
        <v>36</v>
      </c>
      <c r="J580" s="34" t="s">
        <v>1429</v>
      </c>
      <c r="K580" s="34" t="s">
        <v>1421</v>
      </c>
      <c r="L580" s="34" t="s">
        <v>947</v>
      </c>
      <c r="N580" s="95"/>
    </row>
    <row r="581" spans="1:14" x14ac:dyDescent="0.3">
      <c r="A581" s="163" t="str">
        <f>IF(ISERROR(MATCH($H581,EAD_CIs!D:D,0)),"NO",
    IF(VLOOKUP($H581,EAD_CIs!D:N,MATCH("Status",EAD_CIs!D$2:N$2,0),0)="Done","No",VLOOKUP($H581,EAD_CIs!D:N,MATCH("Related",EAD_CIs!D$2:N$2,0),0) ))</f>
        <v>#377408
#1001248
#381643
#383958
#315485
#342163
#299984
#354174
#381524
#332951
#318380
#386935</v>
      </c>
      <c r="B581" s="203">
        <v>329665</v>
      </c>
      <c r="C581" s="34" t="s">
        <v>1205</v>
      </c>
      <c r="D581" s="34" t="s">
        <v>167</v>
      </c>
      <c r="E581" s="34" t="s">
        <v>165</v>
      </c>
      <c r="F581" s="34" t="s">
        <v>1252</v>
      </c>
      <c r="G581" s="34" t="s">
        <v>549</v>
      </c>
      <c r="H581" s="34" t="s">
        <v>1177</v>
      </c>
      <c r="I581" s="34" t="s">
        <v>36</v>
      </c>
      <c r="J581" s="34" t="s">
        <v>1429</v>
      </c>
      <c r="K581" s="34" t="s">
        <v>1421</v>
      </c>
      <c r="L581" s="34" t="s">
        <v>17</v>
      </c>
      <c r="N581" s="95"/>
    </row>
    <row r="582" spans="1:14" x14ac:dyDescent="0.3">
      <c r="A582" s="163" t="str">
        <f>IF(ISERROR(MATCH($H582,EAD_CIs!D:D,0)),"NO",
    IF(VLOOKUP($H582,EAD_CIs!D:N,MATCH("Status",EAD_CIs!D$2:N$2,0),0)="Done","No",VLOOKUP($H582,EAD_CIs!D:N,MATCH("Related",EAD_CIs!D$2:N$2,0),0) ))</f>
        <v>#377408
#1001248
#381643
#383958
#315485
#342163
#299984
#354174
#381524
#332951
#318380
#386935</v>
      </c>
      <c r="B582" s="203">
        <v>329664</v>
      </c>
      <c r="C582" s="34" t="s">
        <v>1204</v>
      </c>
      <c r="D582" s="34" t="s">
        <v>167</v>
      </c>
      <c r="E582" s="34" t="s">
        <v>165</v>
      </c>
      <c r="F582" s="34" t="s">
        <v>205</v>
      </c>
      <c r="G582" s="34" t="s">
        <v>270</v>
      </c>
      <c r="H582" s="34" t="s">
        <v>1177</v>
      </c>
      <c r="I582" s="34" t="s">
        <v>36</v>
      </c>
      <c r="J582" s="34" t="s">
        <v>1429</v>
      </c>
      <c r="K582" s="34" t="s">
        <v>1421</v>
      </c>
      <c r="L582" s="34" t="s">
        <v>949</v>
      </c>
      <c r="N582" s="95"/>
    </row>
    <row r="583" spans="1:14" x14ac:dyDescent="0.3">
      <c r="A583" s="163" t="str">
        <f>IF(ISERROR(MATCH($H583,EAD_CIs!D:D,0)),"NO",
    IF(VLOOKUP($H583,EAD_CIs!D:N,MATCH("Status",EAD_CIs!D$2:N$2,0),0)="Done","No",VLOOKUP($H583,EAD_CIs!D:N,MATCH("Related",EAD_CIs!D$2:N$2,0),0) ))</f>
        <v>#377408
#1001248
#381643
#383958
#315485
#342163
#299984
#354174
#381524
#332951
#318380
#386935</v>
      </c>
      <c r="B583" s="203">
        <v>329663</v>
      </c>
      <c r="C583" s="34" t="s">
        <v>1203</v>
      </c>
      <c r="D583" s="34" t="s">
        <v>167</v>
      </c>
      <c r="E583" s="34" t="s">
        <v>165</v>
      </c>
      <c r="F583" s="34" t="s">
        <v>1251</v>
      </c>
      <c r="G583" s="34" t="s">
        <v>1008</v>
      </c>
      <c r="H583" s="34" t="s">
        <v>1177</v>
      </c>
      <c r="I583" s="34" t="s">
        <v>36</v>
      </c>
      <c r="J583" s="34" t="s">
        <v>1429</v>
      </c>
      <c r="K583" s="34" t="s">
        <v>1421</v>
      </c>
      <c r="L583" s="34" t="s">
        <v>947</v>
      </c>
      <c r="N583" s="95"/>
    </row>
    <row r="584" spans="1:14" x14ac:dyDescent="0.3">
      <c r="A584" s="163" t="str">
        <f>IF(ISERROR(MATCH($H584,EAD_CIs!D:D,0)),"NO",
    IF(VLOOKUP($H584,EAD_CIs!D:N,MATCH("Status",EAD_CIs!D$2:N$2,0),0)="Done","No",VLOOKUP($H584,EAD_CIs!D:N,MATCH("Related",EAD_CIs!D$2:N$2,0),0) ))</f>
        <v>#377408
#1001248
#381643
#383958
#315485
#342163
#299984
#354174
#381524
#332951
#318380
#386935</v>
      </c>
      <c r="B584" s="203">
        <v>329662</v>
      </c>
      <c r="C584" s="34" t="s">
        <v>1202</v>
      </c>
      <c r="D584" s="34" t="s">
        <v>167</v>
      </c>
      <c r="E584" s="34" t="s">
        <v>165</v>
      </c>
      <c r="F584" s="34" t="s">
        <v>1250</v>
      </c>
      <c r="G584" s="34" t="s">
        <v>933</v>
      </c>
      <c r="H584" s="34" t="s">
        <v>1177</v>
      </c>
      <c r="I584" s="34" t="s">
        <v>36</v>
      </c>
      <c r="J584" s="34" t="s">
        <v>1429</v>
      </c>
      <c r="K584" s="34" t="s">
        <v>1421</v>
      </c>
      <c r="L584" s="34" t="s">
        <v>951</v>
      </c>
      <c r="N584" s="95"/>
    </row>
    <row r="585" spans="1:14" x14ac:dyDescent="0.3">
      <c r="A585" s="163" t="str">
        <f>IF(ISERROR(MATCH($H585,EAD_CIs!D:D,0)),"NO",
    IF(VLOOKUP($H585,EAD_CIs!D:N,MATCH("Status",EAD_CIs!D$2:N$2,0),0)="Done","No",VLOOKUP($H585,EAD_CIs!D:N,MATCH("Related",EAD_CIs!D$2:N$2,0),0) ))</f>
        <v>#377408
#1001248
#381643
#383958
#315485
#342163
#299984
#354174
#381524
#332951
#318380
#386935</v>
      </c>
      <c r="B585" s="203">
        <v>329661</v>
      </c>
      <c r="C585" s="34" t="s">
        <v>1201</v>
      </c>
      <c r="D585" s="34" t="s">
        <v>167</v>
      </c>
      <c r="E585" s="34" t="s">
        <v>165</v>
      </c>
      <c r="F585" s="34" t="s">
        <v>1249</v>
      </c>
      <c r="G585" s="34" t="s">
        <v>270</v>
      </c>
      <c r="H585" s="34" t="s">
        <v>1177</v>
      </c>
      <c r="I585" s="34" t="s">
        <v>36</v>
      </c>
      <c r="J585" s="34" t="s">
        <v>1429</v>
      </c>
      <c r="K585" s="34" t="s">
        <v>1421</v>
      </c>
      <c r="L585" s="34" t="s">
        <v>949</v>
      </c>
      <c r="N585" s="95"/>
    </row>
    <row r="586" spans="1:14" x14ac:dyDescent="0.3">
      <c r="A586" s="163" t="str">
        <f>IF(ISERROR(MATCH($H586,EAD_CIs!D:D,0)),"NO",
    IF(VLOOKUP($H586,EAD_CIs!D:N,MATCH("Status",EAD_CIs!D$2:N$2,0),0)="Done","No",VLOOKUP($H586,EAD_CIs!D:N,MATCH("Related",EAD_CIs!D$2:N$2,0),0) ))</f>
        <v>#377408
#1001248
#381643
#383958
#315485
#342163
#299984
#354174
#381524
#332951
#318380
#386935</v>
      </c>
      <c r="B586" s="203">
        <v>329659</v>
      </c>
      <c r="C586" s="34" t="s">
        <v>1200</v>
      </c>
      <c r="D586" s="34" t="s">
        <v>167</v>
      </c>
      <c r="E586" s="34" t="s">
        <v>165</v>
      </c>
      <c r="F586" s="34" t="s">
        <v>205</v>
      </c>
      <c r="G586" s="34" t="s">
        <v>1008</v>
      </c>
      <c r="H586" s="34" t="s">
        <v>1177</v>
      </c>
      <c r="I586" s="34" t="s">
        <v>36</v>
      </c>
      <c r="J586" s="34" t="s">
        <v>1429</v>
      </c>
      <c r="K586" s="34" t="s">
        <v>1421</v>
      </c>
      <c r="L586" s="34" t="s">
        <v>947</v>
      </c>
      <c r="N586" s="95"/>
    </row>
    <row r="587" spans="1:14" x14ac:dyDescent="0.3">
      <c r="A587" s="163" t="str">
        <f>IF(ISERROR(MATCH($H587,EAD_CIs!D:D,0)),"NO",
    IF(VLOOKUP($H587,EAD_CIs!D:N,MATCH("Status",EAD_CIs!D$2:N$2,0),0)="Done","No",VLOOKUP($H587,EAD_CIs!D:N,MATCH("Related",EAD_CIs!D$2:N$2,0),0) ))</f>
        <v>#377408
#1001248
#381643
#383958
#315485
#342163
#299984
#354174
#381524
#332951
#318380
#386935</v>
      </c>
      <c r="B587" s="203">
        <v>329658</v>
      </c>
      <c r="C587" s="34" t="s">
        <v>1199</v>
      </c>
      <c r="D587" s="34" t="s">
        <v>167</v>
      </c>
      <c r="E587" s="34" t="s">
        <v>28</v>
      </c>
      <c r="F587" s="34" t="s">
        <v>1248</v>
      </c>
      <c r="G587" s="34" t="s">
        <v>1827</v>
      </c>
      <c r="H587" s="34" t="s">
        <v>1177</v>
      </c>
      <c r="I587" s="34" t="s">
        <v>36</v>
      </c>
      <c r="J587" s="34" t="s">
        <v>1429</v>
      </c>
      <c r="K587" s="34" t="s">
        <v>1421</v>
      </c>
      <c r="L587" s="34" t="s">
        <v>17</v>
      </c>
      <c r="N587" s="95"/>
    </row>
    <row r="588" spans="1:14" x14ac:dyDescent="0.3">
      <c r="A588" s="163" t="str">
        <f>IF(ISERROR(MATCH($H588,EAD_CIs!D:D,0)),"NO",
    IF(VLOOKUP($H588,EAD_CIs!D:N,MATCH("Status",EAD_CIs!D$2:N$2,0),0)="Done","No",VLOOKUP($H588,EAD_CIs!D:N,MATCH("Related",EAD_CIs!D$2:N$2,0),0) ))</f>
        <v>#1001248</v>
      </c>
      <c r="B588" s="203">
        <v>329657</v>
      </c>
      <c r="C588" s="34" t="s">
        <v>538</v>
      </c>
      <c r="D588" s="34" t="s">
        <v>167</v>
      </c>
      <c r="E588" s="34" t="s">
        <v>165</v>
      </c>
      <c r="F588" s="34" t="s">
        <v>183</v>
      </c>
      <c r="G588" s="34" t="s">
        <v>1008</v>
      </c>
      <c r="H588" s="34" t="s">
        <v>279</v>
      </c>
      <c r="I588" s="34" t="s">
        <v>36</v>
      </c>
      <c r="J588" s="34" t="s">
        <v>1429</v>
      </c>
      <c r="K588" s="34" t="s">
        <v>1434</v>
      </c>
      <c r="L588" s="34" t="s">
        <v>947</v>
      </c>
      <c r="N588" s="95"/>
    </row>
    <row r="589" spans="1:14" x14ac:dyDescent="0.3">
      <c r="A589" s="163" t="str">
        <f>IF(ISERROR(MATCH($H589,EAD_CIs!D:D,0)),"NO",
    IF(VLOOKUP($H589,EAD_CIs!D:N,MATCH("Status",EAD_CIs!D$2:N$2,0),0)="Done","No",VLOOKUP($H589,EAD_CIs!D:N,MATCH("Related",EAD_CIs!D$2:N$2,0),0) ))</f>
        <v>#342054
#1014201
#1003390</v>
      </c>
      <c r="B589" s="203">
        <v>329655</v>
      </c>
      <c r="C589" s="34" t="s">
        <v>263</v>
      </c>
      <c r="D589" s="34" t="s">
        <v>167</v>
      </c>
      <c r="E589" s="34" t="s">
        <v>165</v>
      </c>
      <c r="F589" s="34" t="s">
        <v>205</v>
      </c>
      <c r="G589" s="34" t="s">
        <v>550</v>
      </c>
      <c r="H589" s="34" t="s">
        <v>193</v>
      </c>
      <c r="I589" s="34" t="s">
        <v>36</v>
      </c>
      <c r="J589" s="34" t="s">
        <v>1429</v>
      </c>
      <c r="K589" s="34" t="s">
        <v>1421</v>
      </c>
      <c r="L589" s="34" t="s">
        <v>950</v>
      </c>
      <c r="N589" s="95"/>
    </row>
    <row r="590" spans="1:14" x14ac:dyDescent="0.3">
      <c r="A590" s="163" t="str">
        <f>IF(ISERROR(MATCH($H590,EAD_CIs!D:D,0)),"NO",
    IF(VLOOKUP($H590,EAD_CIs!D:N,MATCH("Status",EAD_CIs!D$2:N$2,0),0)="Done","No",VLOOKUP($H590,EAD_CIs!D:N,MATCH("Related",EAD_CIs!D$2:N$2,0),0) ))</f>
        <v>#377408
#1001248
#381643
#383958
#315485
#342163
#299984
#354174
#381524
#332951
#318380
#386935</v>
      </c>
      <c r="B590" s="203">
        <v>329654</v>
      </c>
      <c r="C590" s="34" t="s">
        <v>1198</v>
      </c>
      <c r="D590" s="34" t="s">
        <v>167</v>
      </c>
      <c r="E590" s="34" t="s">
        <v>165</v>
      </c>
      <c r="F590" s="34" t="s">
        <v>1247</v>
      </c>
      <c r="G590" s="34" t="s">
        <v>254</v>
      </c>
      <c r="H590" s="34" t="s">
        <v>1177</v>
      </c>
      <c r="I590" s="34" t="s">
        <v>36</v>
      </c>
      <c r="J590" s="34" t="s">
        <v>1429</v>
      </c>
      <c r="K590" s="34" t="s">
        <v>1421</v>
      </c>
      <c r="L590" s="34" t="s">
        <v>947</v>
      </c>
      <c r="N590" s="95"/>
    </row>
    <row r="591" spans="1:14" x14ac:dyDescent="0.3">
      <c r="A591" s="163" t="str">
        <f>IF(ISERROR(MATCH($H591,EAD_CIs!D:D,0)),"NO",
    IF(VLOOKUP($H591,EAD_CIs!D:N,MATCH("Status",EAD_CIs!D$2:N$2,0),0)="Done","No",VLOOKUP($H591,EAD_CIs!D:N,MATCH("Related",EAD_CIs!D$2:N$2,0),0) ))</f>
        <v>#377408
#1001248
#381643
#383958
#315485
#342163
#299984
#354174
#381524
#332951
#318380
#386935</v>
      </c>
      <c r="B591" s="203">
        <v>329651</v>
      </c>
      <c r="C591" s="34" t="s">
        <v>1192</v>
      </c>
      <c r="D591" s="34" t="s">
        <v>167</v>
      </c>
      <c r="E591" s="34" t="s">
        <v>165</v>
      </c>
      <c r="F591" s="34" t="s">
        <v>205</v>
      </c>
      <c r="G591" s="34" t="s">
        <v>1008</v>
      </c>
      <c r="H591" s="34" t="s">
        <v>1177</v>
      </c>
      <c r="I591" s="34" t="s">
        <v>36</v>
      </c>
      <c r="J591" s="34" t="s">
        <v>1429</v>
      </c>
      <c r="K591" s="34" t="s">
        <v>1421</v>
      </c>
      <c r="L591" s="34" t="s">
        <v>943</v>
      </c>
      <c r="N591" s="95"/>
    </row>
    <row r="592" spans="1:14" x14ac:dyDescent="0.3">
      <c r="A592" s="163" t="str">
        <f>IF(ISERROR(MATCH($H592,EAD_CIs!D:D,0)),"NO",
    IF(VLOOKUP($H592,EAD_CIs!D:N,MATCH("Status",EAD_CIs!D$2:N$2,0),0)="Done","No",VLOOKUP($H592,EAD_CIs!D:N,MATCH("Related",EAD_CIs!D$2:N$2,0),0) ))</f>
        <v>#377408
#1001248
#381643
#383958
#315485
#342163
#299984
#354174
#381524
#332951
#318380
#386935</v>
      </c>
      <c r="B592" s="203">
        <v>329650</v>
      </c>
      <c r="C592" s="34" t="s">
        <v>1191</v>
      </c>
      <c r="D592" s="34" t="s">
        <v>167</v>
      </c>
      <c r="E592" s="34" t="s">
        <v>165</v>
      </c>
      <c r="F592" s="34" t="s">
        <v>205</v>
      </c>
      <c r="G592" s="34" t="s">
        <v>170</v>
      </c>
      <c r="H592" s="34" t="s">
        <v>1177</v>
      </c>
      <c r="I592" s="34" t="s">
        <v>36</v>
      </c>
      <c r="J592" s="34" t="s">
        <v>1429</v>
      </c>
      <c r="K592" s="34" t="s">
        <v>1421</v>
      </c>
      <c r="L592" s="34" t="s">
        <v>943</v>
      </c>
      <c r="N592" s="95"/>
    </row>
    <row r="593" spans="1:14" x14ac:dyDescent="0.3">
      <c r="A593" s="163" t="str">
        <f>IF(ISERROR(MATCH($H593,EAD_CIs!D:D,0)),"NO",
    IF(VLOOKUP($H593,EAD_CIs!D:N,MATCH("Status",EAD_CIs!D$2:N$2,0),0)="Done","No",VLOOKUP($H593,EAD_CIs!D:N,MATCH("Related",EAD_CIs!D$2:N$2,0),0) ))</f>
        <v>#377408
#1001248
#381643
#383958
#315485
#342163
#299984
#354174
#381524
#332951
#318380
#386935</v>
      </c>
      <c r="B593" s="203">
        <v>329649</v>
      </c>
      <c r="C593" s="34" t="s">
        <v>1190</v>
      </c>
      <c r="D593" s="34" t="s">
        <v>167</v>
      </c>
      <c r="E593" s="34" t="s">
        <v>165</v>
      </c>
      <c r="F593" s="34" t="s">
        <v>1197</v>
      </c>
      <c r="G593" s="34" t="s">
        <v>54</v>
      </c>
      <c r="H593" s="34" t="s">
        <v>1177</v>
      </c>
      <c r="I593" s="34" t="s">
        <v>36</v>
      </c>
      <c r="J593" s="34" t="s">
        <v>1429</v>
      </c>
      <c r="K593" s="34" t="s">
        <v>1421</v>
      </c>
      <c r="L593" s="34" t="s">
        <v>17</v>
      </c>
      <c r="N593" s="95"/>
    </row>
    <row r="594" spans="1:14" x14ac:dyDescent="0.3">
      <c r="A594" s="163" t="str">
        <f>IF(ISERROR(MATCH($H594,EAD_CIs!D:D,0)),"NO",
    IF(VLOOKUP($H594,EAD_CIs!D:N,MATCH("Status",EAD_CIs!D$2:N$2,0),0)="Done","No",VLOOKUP($H594,EAD_CIs!D:N,MATCH("Related",EAD_CIs!D$2:N$2,0),0) ))</f>
        <v>NO</v>
      </c>
      <c r="B594" s="203">
        <v>329648</v>
      </c>
      <c r="C594" s="34" t="s">
        <v>290</v>
      </c>
      <c r="D594" s="34" t="s">
        <v>167</v>
      </c>
      <c r="E594" s="34" t="s">
        <v>165</v>
      </c>
      <c r="F594" s="34" t="s">
        <v>205</v>
      </c>
      <c r="G594" s="34" t="s">
        <v>195</v>
      </c>
      <c r="H594" s="34" t="s">
        <v>288</v>
      </c>
      <c r="I594" s="34" t="s">
        <v>36</v>
      </c>
      <c r="J594" s="34" t="s">
        <v>1429</v>
      </c>
      <c r="K594" s="34" t="s">
        <v>1421</v>
      </c>
      <c r="L594" s="34" t="s">
        <v>951</v>
      </c>
      <c r="N594" s="95"/>
    </row>
    <row r="595" spans="1:14" x14ac:dyDescent="0.3">
      <c r="A595" s="163" t="str">
        <f>IF(ISERROR(MATCH($H595,EAD_CIs!D:D,0)),"NO",
    IF(VLOOKUP($H595,EAD_CIs!D:N,MATCH("Status",EAD_CIs!D$2:N$2,0),0)="Done","No",VLOOKUP($H595,EAD_CIs!D:N,MATCH("Related",EAD_CIs!D$2:N$2,0),0) ))</f>
        <v>#377408
#1001248
#381643
#383958
#315485
#342163
#299984
#354174
#381524
#332951
#318380
#386935</v>
      </c>
      <c r="B595" s="203">
        <v>329644</v>
      </c>
      <c r="C595" s="34" t="s">
        <v>1189</v>
      </c>
      <c r="D595" s="34" t="s">
        <v>167</v>
      </c>
      <c r="E595" s="34" t="s">
        <v>165</v>
      </c>
      <c r="F595" s="34" t="s">
        <v>1196</v>
      </c>
      <c r="G595" s="34" t="s">
        <v>170</v>
      </c>
      <c r="H595" s="34" t="s">
        <v>1177</v>
      </c>
      <c r="I595" s="34" t="s">
        <v>36</v>
      </c>
      <c r="J595" s="34" t="s">
        <v>1429</v>
      </c>
      <c r="K595" s="34" t="s">
        <v>1421</v>
      </c>
      <c r="L595" s="34" t="s">
        <v>943</v>
      </c>
      <c r="N595" s="95"/>
    </row>
    <row r="596" spans="1:14" x14ac:dyDescent="0.3">
      <c r="A596" s="163" t="str">
        <f>IF(ISERROR(MATCH($H596,EAD_CIs!D:D,0)),"NO",
    IF(VLOOKUP($H596,EAD_CIs!D:N,MATCH("Status",EAD_CIs!D$2:N$2,0),0)="Done","No",VLOOKUP($H596,EAD_CIs!D:N,MATCH("Related",EAD_CIs!D$2:N$2,0),0) ))</f>
        <v>#380808
#1011907
#342054
#385632
#1014199
#1003390</v>
      </c>
      <c r="B596" s="203">
        <v>329641</v>
      </c>
      <c r="C596" s="34" t="s">
        <v>256</v>
      </c>
      <c r="D596" s="34" t="s">
        <v>167</v>
      </c>
      <c r="E596" s="34" t="s">
        <v>165</v>
      </c>
      <c r="F596" s="34" t="s">
        <v>205</v>
      </c>
      <c r="G596" s="34" t="s">
        <v>1008</v>
      </c>
      <c r="H596" s="34" t="s">
        <v>190</v>
      </c>
      <c r="I596" s="34" t="s">
        <v>36</v>
      </c>
      <c r="J596" s="34" t="s">
        <v>1429</v>
      </c>
      <c r="K596" s="34" t="s">
        <v>1421</v>
      </c>
      <c r="L596" s="34" t="s">
        <v>947</v>
      </c>
      <c r="N596" s="95"/>
    </row>
    <row r="597" spans="1:14" x14ac:dyDescent="0.3">
      <c r="A597" s="163" t="str">
        <f>IF(ISERROR(MATCH($H597,EAD_CIs!D:D,0)),"NO",
    IF(VLOOKUP($H597,EAD_CIs!D:N,MATCH("Status",EAD_CIs!D$2:N$2,0),0)="Done","No",VLOOKUP($H597,EAD_CIs!D:N,MATCH("Related",EAD_CIs!D$2:N$2,0),0) ))</f>
        <v>NO</v>
      </c>
      <c r="B597" s="203">
        <v>329640</v>
      </c>
      <c r="C597" s="34" t="s">
        <v>325</v>
      </c>
      <c r="D597" s="34" t="s">
        <v>167</v>
      </c>
      <c r="E597" s="34" t="s">
        <v>165</v>
      </c>
      <c r="F597" s="34" t="s">
        <v>196</v>
      </c>
      <c r="G597" s="34" t="s">
        <v>1008</v>
      </c>
      <c r="H597" s="34" t="s">
        <v>326</v>
      </c>
      <c r="I597" s="34" t="s">
        <v>36</v>
      </c>
      <c r="J597" s="34" t="s">
        <v>1429</v>
      </c>
      <c r="K597" s="34" t="s">
        <v>1421</v>
      </c>
      <c r="L597" s="34" t="s">
        <v>947</v>
      </c>
      <c r="N597" s="95"/>
    </row>
    <row r="598" spans="1:14" x14ac:dyDescent="0.3">
      <c r="A598" s="163" t="str">
        <f>IF(ISERROR(MATCH($H598,EAD_CIs!D:D,0)),"NO",
    IF(VLOOKUP($H598,EAD_CIs!D:N,MATCH("Status",EAD_CIs!D$2:N$2,0),0)="Done","No",VLOOKUP($H598,EAD_CIs!D:N,MATCH("Related",EAD_CIs!D$2:N$2,0),0) ))</f>
        <v>NO</v>
      </c>
      <c r="B598" s="203">
        <v>329638</v>
      </c>
      <c r="C598" s="34" t="s">
        <v>292</v>
      </c>
      <c r="D598" s="34" t="s">
        <v>167</v>
      </c>
      <c r="E598" s="34" t="s">
        <v>165</v>
      </c>
      <c r="F598" s="34" t="s">
        <v>205</v>
      </c>
      <c r="G598" s="34" t="s">
        <v>549</v>
      </c>
      <c r="H598" s="34" t="s">
        <v>294</v>
      </c>
      <c r="I598" s="34" t="s">
        <v>36</v>
      </c>
      <c r="J598" s="34" t="s">
        <v>1429</v>
      </c>
      <c r="K598" s="34" t="s">
        <v>1421</v>
      </c>
      <c r="L598" s="34" t="s">
        <v>17</v>
      </c>
      <c r="N598" s="95"/>
    </row>
    <row r="599" spans="1:14" x14ac:dyDescent="0.3">
      <c r="A599" s="163" t="str">
        <f>IF(ISERROR(MATCH($H599,EAD_CIs!D:D,0)),"NO",
    IF(VLOOKUP($H599,EAD_CIs!D:N,MATCH("Status",EAD_CIs!D$2:N$2,0),0)="Done","No",VLOOKUP($H599,EAD_CIs!D:N,MATCH("Related",EAD_CIs!D$2:N$2,0),0) ))</f>
        <v>NO</v>
      </c>
      <c r="B599" s="203">
        <v>329637</v>
      </c>
      <c r="C599" s="34" t="s">
        <v>292</v>
      </c>
      <c r="D599" s="34" t="s">
        <v>167</v>
      </c>
      <c r="E599" s="34" t="s">
        <v>165</v>
      </c>
      <c r="F599" s="34" t="s">
        <v>205</v>
      </c>
      <c r="G599" s="34" t="s">
        <v>549</v>
      </c>
      <c r="H599" s="34" t="s">
        <v>293</v>
      </c>
      <c r="I599" s="34" t="s">
        <v>36</v>
      </c>
      <c r="J599" s="34" t="s">
        <v>1429</v>
      </c>
      <c r="K599" s="34" t="s">
        <v>1421</v>
      </c>
      <c r="L599" s="34" t="s">
        <v>17</v>
      </c>
      <c r="N599" s="95"/>
    </row>
    <row r="600" spans="1:14" x14ac:dyDescent="0.3">
      <c r="A600" s="163" t="str">
        <f>IF(ISERROR(MATCH($H600,EAD_CIs!D:D,0)),"NO",
    IF(VLOOKUP($H600,EAD_CIs!D:N,MATCH("Status",EAD_CIs!D$2:N$2,0),0)="Done","No",VLOOKUP($H600,EAD_CIs!D:N,MATCH("Related",EAD_CIs!D$2:N$2,0),0) ))</f>
        <v>NO</v>
      </c>
      <c r="B600" s="203">
        <v>329636</v>
      </c>
      <c r="C600" s="34" t="s">
        <v>602</v>
      </c>
      <c r="D600" s="34" t="s">
        <v>167</v>
      </c>
      <c r="E600" s="34" t="s">
        <v>28</v>
      </c>
      <c r="F600" s="34" t="s">
        <v>1015</v>
      </c>
      <c r="G600" s="34" t="s">
        <v>547</v>
      </c>
      <c r="H600" s="34" t="s">
        <v>241</v>
      </c>
      <c r="I600" s="34" t="s">
        <v>36</v>
      </c>
      <c r="J600" s="34" t="s">
        <v>1429</v>
      </c>
      <c r="K600" s="34" t="s">
        <v>1421</v>
      </c>
      <c r="L600" s="34" t="s">
        <v>554</v>
      </c>
      <c r="N600" s="95"/>
    </row>
    <row r="601" spans="1:14" x14ac:dyDescent="0.3">
      <c r="A601" s="163">
        <f>IF(ISERROR(MATCH($H601,EAD_CIs!D:D,0)),"NO",
    IF(VLOOKUP($H601,EAD_CIs!D:N,MATCH("Status",EAD_CIs!D$2:N$2,0),0)="Done","No",VLOOKUP($H601,EAD_CIs!D:N,MATCH("Related",EAD_CIs!D$2:N$2,0),0) ))</f>
        <v>0</v>
      </c>
      <c r="B601" s="238">
        <v>329634</v>
      </c>
      <c r="C601" s="34" t="s">
        <v>366</v>
      </c>
      <c r="D601" s="34" t="s">
        <v>167</v>
      </c>
      <c r="E601" s="34" t="s">
        <v>165</v>
      </c>
      <c r="F601" s="34" t="s">
        <v>205</v>
      </c>
      <c r="G601" s="34" t="s">
        <v>275</v>
      </c>
      <c r="H601" s="34" t="s">
        <v>627</v>
      </c>
      <c r="I601" s="34" t="s">
        <v>36</v>
      </c>
      <c r="J601" s="34" t="s">
        <v>1429</v>
      </c>
      <c r="K601" s="34" t="s">
        <v>1421</v>
      </c>
      <c r="L601" s="34" t="s">
        <v>950</v>
      </c>
    </row>
    <row r="602" spans="1:14" x14ac:dyDescent="0.3">
      <c r="A602" s="163" t="str">
        <f>IF(ISERROR(MATCH($H602,EAD_CIs!D:D,0)),"NO",
    IF(VLOOKUP($H602,EAD_CIs!D:N,MATCH("Status",EAD_CIs!D$2:N$2,0),0)="Done","No",VLOOKUP($H602,EAD_CIs!D:N,MATCH("Related",EAD_CIs!D$2:N$2,0),0) ))</f>
        <v>#377408
#1001248
#381643
#383958
#315485
#342163
#299984
#354174
#381524
#332951
#318380
#386935</v>
      </c>
      <c r="B602" s="238">
        <v>329633</v>
      </c>
      <c r="C602" s="34" t="s">
        <v>1188</v>
      </c>
      <c r="D602" s="34" t="s">
        <v>886</v>
      </c>
      <c r="E602" s="34" t="s">
        <v>165</v>
      </c>
      <c r="F602" s="34" t="s">
        <v>1195</v>
      </c>
      <c r="G602" s="34" t="s">
        <v>1008</v>
      </c>
      <c r="H602" s="34" t="s">
        <v>1177</v>
      </c>
      <c r="I602" s="34" t="s">
        <v>36</v>
      </c>
      <c r="J602" s="34" t="s">
        <v>1429</v>
      </c>
      <c r="K602" s="34" t="s">
        <v>1421</v>
      </c>
      <c r="L602" s="34" t="s">
        <v>947</v>
      </c>
    </row>
    <row r="603" spans="1:14" x14ac:dyDescent="0.3">
      <c r="A603" s="163" t="str">
        <f>IF(ISERROR(MATCH($H603,EAD_CIs!D:D,0)),"NO",
    IF(VLOOKUP($H603,EAD_CIs!D:N,MATCH("Status",EAD_CIs!D$2:N$2,0),0)="Done","No",VLOOKUP($H603,EAD_CIs!D:N,MATCH("Related",EAD_CIs!D$2:N$2,0),0) ))</f>
        <v>#377408
#1001248
#381643
#383958
#315485
#342163
#299984
#354174
#381524
#332951
#318380
#386935</v>
      </c>
      <c r="B603" s="238">
        <v>329631</v>
      </c>
      <c r="C603" s="34" t="s">
        <v>1187</v>
      </c>
      <c r="D603" s="34" t="s">
        <v>886</v>
      </c>
      <c r="E603" s="34" t="s">
        <v>165</v>
      </c>
      <c r="F603" s="34" t="s">
        <v>205</v>
      </c>
      <c r="G603" s="34" t="s">
        <v>1008</v>
      </c>
      <c r="H603" s="34" t="s">
        <v>1177</v>
      </c>
      <c r="I603" s="34" t="s">
        <v>36</v>
      </c>
      <c r="J603" s="34" t="s">
        <v>1429</v>
      </c>
      <c r="K603" s="34" t="s">
        <v>1421</v>
      </c>
      <c r="L603" s="34" t="s">
        <v>947</v>
      </c>
    </row>
    <row r="604" spans="1:14" x14ac:dyDescent="0.3">
      <c r="A604" s="163">
        <f>IF(ISERROR(MATCH($H604,EAD_CIs!D:D,0)),"NO",
    IF(VLOOKUP($H604,EAD_CIs!D:N,MATCH("Status",EAD_CIs!D$2:N$2,0),0)="Done","No",VLOOKUP($H604,EAD_CIs!D:N,MATCH("Related",EAD_CIs!D$2:N$2,0),0) ))</f>
        <v>0</v>
      </c>
      <c r="B604" s="238">
        <v>329630</v>
      </c>
      <c r="C604" s="34" t="s">
        <v>369</v>
      </c>
      <c r="D604" s="34" t="s">
        <v>167</v>
      </c>
      <c r="E604" s="34" t="s">
        <v>165</v>
      </c>
      <c r="F604" s="34" t="s">
        <v>205</v>
      </c>
      <c r="G604" s="34" t="s">
        <v>275</v>
      </c>
      <c r="H604" s="34" t="s">
        <v>635</v>
      </c>
      <c r="I604" s="34" t="s">
        <v>36</v>
      </c>
      <c r="J604" s="34" t="s">
        <v>1429</v>
      </c>
      <c r="K604" s="34" t="s">
        <v>1421</v>
      </c>
      <c r="L604" s="34" t="s">
        <v>950</v>
      </c>
    </row>
    <row r="605" spans="1:14" x14ac:dyDescent="0.3">
      <c r="A605" s="163" t="str">
        <f>IF(ISERROR(MATCH($H605,EAD_CIs!D:D,0)),"NO",
    IF(VLOOKUP($H605,EAD_CIs!D:N,MATCH("Status",EAD_CIs!D$2:N$2,0),0)="Done","No",VLOOKUP($H605,EAD_CIs!D:N,MATCH("Related",EAD_CIs!D$2:N$2,0),0) ))</f>
        <v>#377408
#1001248
#381643
#383958
#315485
#342163
#299984
#354174
#381524
#332951
#318380
#386935</v>
      </c>
      <c r="B605" s="238">
        <v>329628</v>
      </c>
      <c r="C605" s="34" t="s">
        <v>1186</v>
      </c>
      <c r="D605" s="34" t="s">
        <v>167</v>
      </c>
      <c r="E605" s="34" t="s">
        <v>165</v>
      </c>
      <c r="F605" s="34" t="s">
        <v>205</v>
      </c>
      <c r="G605" s="34" t="s">
        <v>254</v>
      </c>
      <c r="H605" s="34" t="s">
        <v>1177</v>
      </c>
      <c r="I605" s="34" t="s">
        <v>36</v>
      </c>
      <c r="J605" s="34" t="s">
        <v>1429</v>
      </c>
      <c r="K605" s="34" t="s">
        <v>1421</v>
      </c>
      <c r="L605" s="34" t="s">
        <v>947</v>
      </c>
    </row>
    <row r="606" spans="1:14" x14ac:dyDescent="0.3">
      <c r="A606" s="163" t="str">
        <f>IF(ISERROR(MATCH($H606,EAD_CIs!D:D,0)),"NO",
    IF(VLOOKUP($H606,EAD_CIs!D:N,MATCH("Status",EAD_CIs!D$2:N$2,0),0)="Done","No",VLOOKUP($H606,EAD_CIs!D:N,MATCH("Related",EAD_CIs!D$2:N$2,0),0) ))</f>
        <v>#377408
#1001248
#381643
#383958
#315485
#342163
#299984
#354174
#381524
#332951
#318380
#386935</v>
      </c>
      <c r="B606" s="238">
        <v>329627</v>
      </c>
      <c r="C606" s="34" t="s">
        <v>1185</v>
      </c>
      <c r="D606" s="34" t="s">
        <v>886</v>
      </c>
      <c r="E606" s="34" t="s">
        <v>2254</v>
      </c>
      <c r="F606" s="34" t="s">
        <v>1194</v>
      </c>
      <c r="G606" s="34" t="s">
        <v>138</v>
      </c>
      <c r="H606" s="34" t="s">
        <v>1177</v>
      </c>
      <c r="I606" s="34" t="s">
        <v>36</v>
      </c>
      <c r="J606" s="34" t="s">
        <v>1420</v>
      </c>
      <c r="K606" s="34" t="s">
        <v>1421</v>
      </c>
      <c r="L606" s="34" t="s">
        <v>950</v>
      </c>
    </row>
    <row r="607" spans="1:14" x14ac:dyDescent="0.3">
      <c r="A607" s="163" t="str">
        <f>IF(ISERROR(MATCH($H607,EAD_CIs!D:D,0)),"NO",
    IF(VLOOKUP($H607,EAD_CIs!D:N,MATCH("Status",EAD_CIs!D$2:N$2,0),0)="Done","No",VLOOKUP($H607,EAD_CIs!D:N,MATCH("Related",EAD_CIs!D$2:N$2,0),0) ))</f>
        <v>#377408
#1001248
#381643
#383958
#315485
#342163
#299984
#354174
#381524
#332951
#318380
#386935</v>
      </c>
      <c r="B607" s="238">
        <v>329626</v>
      </c>
      <c r="C607" s="34" t="s">
        <v>1184</v>
      </c>
      <c r="D607" s="34" t="s">
        <v>167</v>
      </c>
      <c r="E607" s="34" t="s">
        <v>165</v>
      </c>
      <c r="F607" s="34" t="s">
        <v>205</v>
      </c>
      <c r="G607" s="34" t="s">
        <v>270</v>
      </c>
      <c r="H607" s="34" t="s">
        <v>1177</v>
      </c>
      <c r="I607" s="34" t="s">
        <v>36</v>
      </c>
      <c r="J607" s="34" t="s">
        <v>1429</v>
      </c>
      <c r="K607" s="34" t="s">
        <v>1421</v>
      </c>
      <c r="L607" s="34" t="s">
        <v>949</v>
      </c>
    </row>
    <row r="608" spans="1:14" x14ac:dyDescent="0.3">
      <c r="A608" s="163" t="str">
        <f>IF(ISERROR(MATCH($H608,EAD_CIs!D:D,0)),"NO",
    IF(VLOOKUP($H608,EAD_CIs!D:N,MATCH("Status",EAD_CIs!D$2:N$2,0),0)="Done","No",VLOOKUP($H608,EAD_CIs!D:N,MATCH("Related",EAD_CIs!D$2:N$2,0),0) ))</f>
        <v>NO</v>
      </c>
      <c r="B608" s="238">
        <v>329625</v>
      </c>
      <c r="C608" s="34" t="s">
        <v>336</v>
      </c>
      <c r="D608" s="34" t="s">
        <v>167</v>
      </c>
      <c r="E608" s="34" t="s">
        <v>165</v>
      </c>
      <c r="F608" s="34" t="s">
        <v>205</v>
      </c>
      <c r="G608" s="34" t="s">
        <v>1008</v>
      </c>
      <c r="H608" s="34" t="s">
        <v>337</v>
      </c>
      <c r="I608" s="34" t="s">
        <v>36</v>
      </c>
      <c r="J608" s="34" t="s">
        <v>1429</v>
      </c>
      <c r="K608" s="34" t="s">
        <v>1421</v>
      </c>
      <c r="L608" s="34" t="s">
        <v>947</v>
      </c>
    </row>
    <row r="609" spans="1:12" x14ac:dyDescent="0.3">
      <c r="A609" s="163" t="str">
        <f>IF(ISERROR(MATCH($H609,EAD_CIs!D:D,0)),"NO",
    IF(VLOOKUP($H609,EAD_CIs!D:N,MATCH("Status",EAD_CIs!D$2:N$2,0),0)="Done","No",VLOOKUP($H609,EAD_CIs!D:N,MATCH("Related",EAD_CIs!D$2:N$2,0),0) ))</f>
        <v>#377408
#1001248
#381643
#383958
#315485
#342163
#299984
#354174
#381524
#332951
#318380
#386935</v>
      </c>
      <c r="B609" s="238">
        <v>329624</v>
      </c>
      <c r="C609" s="34" t="s">
        <v>1183</v>
      </c>
      <c r="D609" s="34" t="s">
        <v>167</v>
      </c>
      <c r="E609" s="34" t="s">
        <v>165</v>
      </c>
      <c r="F609" s="34" t="s">
        <v>205</v>
      </c>
      <c r="G609" s="34" t="s">
        <v>270</v>
      </c>
      <c r="H609" s="34" t="s">
        <v>1177</v>
      </c>
      <c r="I609" s="34" t="s">
        <v>36</v>
      </c>
      <c r="J609" s="34" t="s">
        <v>1429</v>
      </c>
      <c r="K609" s="34" t="s">
        <v>1421</v>
      </c>
      <c r="L609" s="34" t="s">
        <v>949</v>
      </c>
    </row>
    <row r="610" spans="1:12" x14ac:dyDescent="0.3">
      <c r="A610" s="163" t="str">
        <f>IF(ISERROR(MATCH($H610,EAD_CIs!D:D,0)),"NO",
    IF(VLOOKUP($H610,EAD_CIs!D:N,MATCH("Status",EAD_CIs!D$2:N$2,0),0)="Done","No",VLOOKUP($H610,EAD_CIs!D:N,MATCH("Related",EAD_CIs!D$2:N$2,0),0) ))</f>
        <v>#342054</v>
      </c>
      <c r="B610" s="238">
        <v>329621</v>
      </c>
      <c r="C610" s="34" t="s">
        <v>313</v>
      </c>
      <c r="D610" s="34" t="s">
        <v>167</v>
      </c>
      <c r="E610" s="34" t="s">
        <v>165</v>
      </c>
      <c r="F610" s="34" t="s">
        <v>205</v>
      </c>
      <c r="G610" s="34" t="s">
        <v>1008</v>
      </c>
      <c r="H610" s="34" t="s">
        <v>243</v>
      </c>
      <c r="I610" s="34" t="s">
        <v>36</v>
      </c>
      <c r="J610" s="34" t="s">
        <v>1429</v>
      </c>
      <c r="K610" s="34" t="s">
        <v>1434</v>
      </c>
      <c r="L610" s="34" t="s">
        <v>947</v>
      </c>
    </row>
    <row r="611" spans="1:12" x14ac:dyDescent="0.3">
      <c r="A611" s="163" t="str">
        <f>IF(ISERROR(MATCH($H611,EAD_CIs!D:D,0)),"NO",
    IF(VLOOKUP($H611,EAD_CIs!D:N,MATCH("Status",EAD_CIs!D$2:N$2,0),0)="Done","No",VLOOKUP($H611,EAD_CIs!D:N,MATCH("Related",EAD_CIs!D$2:N$2,0),0) ))</f>
        <v>#1001248</v>
      </c>
      <c r="B611" s="238">
        <v>329619</v>
      </c>
      <c r="C611" s="34" t="s">
        <v>330</v>
      </c>
      <c r="D611" s="34" t="s">
        <v>167</v>
      </c>
      <c r="E611" s="34" t="s">
        <v>165</v>
      </c>
      <c r="F611" s="34" t="s">
        <v>205</v>
      </c>
      <c r="G611" s="34" t="s">
        <v>254</v>
      </c>
      <c r="H611" s="34" t="s">
        <v>279</v>
      </c>
      <c r="I611" s="34" t="s">
        <v>36</v>
      </c>
      <c r="J611" s="34" t="s">
        <v>1429</v>
      </c>
      <c r="K611" s="34" t="s">
        <v>1421</v>
      </c>
      <c r="L611" s="34" t="s">
        <v>947</v>
      </c>
    </row>
    <row r="612" spans="1:12" x14ac:dyDescent="0.3">
      <c r="A612" s="163" t="str">
        <f>IF(ISERROR(MATCH($H612,EAD_CIs!D:D,0)),"NO",
    IF(VLOOKUP($H612,EAD_CIs!D:N,MATCH("Status",EAD_CIs!D$2:N$2,0),0)="Done","No",VLOOKUP($H612,EAD_CIs!D:N,MATCH("Related",EAD_CIs!D$2:N$2,0),0) ))</f>
        <v>#377408
#1001248
#381643
#383958
#315485
#342163
#299984
#354174
#381524
#332951
#318380
#386935</v>
      </c>
      <c r="B612" s="238">
        <v>329618</v>
      </c>
      <c r="C612" s="34" t="s">
        <v>1182</v>
      </c>
      <c r="D612" s="34" t="s">
        <v>167</v>
      </c>
      <c r="E612" s="34" t="s">
        <v>165</v>
      </c>
      <c r="F612" s="34" t="s">
        <v>1193</v>
      </c>
      <c r="G612" s="34" t="s">
        <v>547</v>
      </c>
      <c r="H612" s="34" t="s">
        <v>1177</v>
      </c>
      <c r="I612" s="34" t="s">
        <v>36</v>
      </c>
      <c r="J612" s="34" t="s">
        <v>1429</v>
      </c>
      <c r="K612" s="34" t="s">
        <v>1421</v>
      </c>
      <c r="L612" s="34" t="s">
        <v>554</v>
      </c>
    </row>
    <row r="613" spans="1:12" x14ac:dyDescent="0.3">
      <c r="A613" s="163" t="str">
        <f>IF(ISERROR(MATCH($H613,EAD_CIs!D:D,0)),"NO",
    IF(VLOOKUP($H613,EAD_CIs!D:N,MATCH("Status",EAD_CIs!D$2:N$2,0),0)="Done","No",VLOOKUP($H613,EAD_CIs!D:N,MATCH("Related",EAD_CIs!D$2:N$2,0),0) ))</f>
        <v>#1014205
#1003390</v>
      </c>
      <c r="B613" s="238">
        <v>329617</v>
      </c>
      <c r="C613" s="34" t="s">
        <v>315</v>
      </c>
      <c r="D613" s="34" t="s">
        <v>167</v>
      </c>
      <c r="E613" s="34" t="s">
        <v>165</v>
      </c>
      <c r="F613" s="34" t="s">
        <v>183</v>
      </c>
      <c r="G613" s="34" t="s">
        <v>166</v>
      </c>
      <c r="H613" s="34" t="s">
        <v>316</v>
      </c>
      <c r="I613" s="34" t="s">
        <v>36</v>
      </c>
      <c r="J613" s="34" t="s">
        <v>1429</v>
      </c>
      <c r="K613" s="34" t="s">
        <v>1434</v>
      </c>
      <c r="L613" s="34" t="s">
        <v>947</v>
      </c>
    </row>
    <row r="614" spans="1:12" x14ac:dyDescent="0.3">
      <c r="A614" s="163" t="str">
        <f>IF(ISERROR(MATCH($H614,EAD_CIs!D:D,0)),"NO",
    IF(VLOOKUP($H614,EAD_CIs!D:N,MATCH("Status",EAD_CIs!D$2:N$2,0),0)="Done","No",VLOOKUP($H614,EAD_CIs!D:N,MATCH("Related",EAD_CIs!D$2:N$2,0),0) ))</f>
        <v>NO</v>
      </c>
      <c r="B614" s="238">
        <v>329616</v>
      </c>
      <c r="C614" s="34" t="s">
        <v>300</v>
      </c>
      <c r="D614" s="34" t="s">
        <v>167</v>
      </c>
      <c r="E614" s="34" t="s">
        <v>165</v>
      </c>
      <c r="F614" s="34" t="s">
        <v>302</v>
      </c>
      <c r="G614" s="34" t="s">
        <v>549</v>
      </c>
      <c r="H614" s="34" t="s">
        <v>301</v>
      </c>
      <c r="I614" s="34" t="s">
        <v>36</v>
      </c>
      <c r="J614" s="34" t="s">
        <v>1429</v>
      </c>
      <c r="K614" s="34" t="s">
        <v>1434</v>
      </c>
      <c r="L614" s="34" t="s">
        <v>17</v>
      </c>
    </row>
    <row r="615" spans="1:12" x14ac:dyDescent="0.3">
      <c r="A615" s="163" t="str">
        <f>IF(ISERROR(MATCH($H615,EAD_CIs!D:D,0)),"NO",
    IF(VLOOKUP($H615,EAD_CIs!D:N,MATCH("Status",EAD_CIs!D$2:N$2,0),0)="Done","No",VLOOKUP($H615,EAD_CIs!D:N,MATCH("Related",EAD_CIs!D$2:N$2,0),0) ))</f>
        <v>NO</v>
      </c>
      <c r="B615" s="238">
        <v>329615</v>
      </c>
      <c r="C615" s="34" t="s">
        <v>303</v>
      </c>
      <c r="D615" s="34" t="s">
        <v>167</v>
      </c>
      <c r="E615" s="34" t="s">
        <v>165</v>
      </c>
      <c r="F615" s="34" t="s">
        <v>304</v>
      </c>
      <c r="G615" s="34" t="s">
        <v>549</v>
      </c>
      <c r="H615" s="34" t="s">
        <v>301</v>
      </c>
      <c r="I615" s="34" t="s">
        <v>36</v>
      </c>
      <c r="J615" s="34" t="s">
        <v>1429</v>
      </c>
      <c r="K615" s="34" t="s">
        <v>1421</v>
      </c>
      <c r="L615" s="34" t="s">
        <v>17</v>
      </c>
    </row>
    <row r="616" spans="1:12" x14ac:dyDescent="0.3">
      <c r="A616" s="163" t="str">
        <f>IF(ISERROR(MATCH($H616,EAD_CIs!D:D,0)),"NO",
    IF(VLOOKUP($H616,EAD_CIs!D:N,MATCH("Status",EAD_CIs!D$2:N$2,0),0)="Done","No",VLOOKUP($H616,EAD_CIs!D:N,MATCH("Related",EAD_CIs!D$2:N$2,0),0) ))</f>
        <v>#380808
#1011907
#342054
#385632
#1014199
#1003390</v>
      </c>
      <c r="B616" s="238">
        <v>329613</v>
      </c>
      <c r="C616" s="34" t="s">
        <v>257</v>
      </c>
      <c r="D616" s="34" t="s">
        <v>167</v>
      </c>
      <c r="E616" s="34" t="s">
        <v>165</v>
      </c>
      <c r="F616" s="34" t="s">
        <v>205</v>
      </c>
      <c r="G616" s="34" t="s">
        <v>1008</v>
      </c>
      <c r="H616" s="34" t="s">
        <v>190</v>
      </c>
      <c r="I616" s="34" t="s">
        <v>36</v>
      </c>
      <c r="J616" s="34" t="s">
        <v>1429</v>
      </c>
      <c r="K616" s="34" t="s">
        <v>1421</v>
      </c>
      <c r="L616" s="34" t="s">
        <v>947</v>
      </c>
    </row>
    <row r="617" spans="1:12" x14ac:dyDescent="0.3">
      <c r="A617" s="163" t="str">
        <f>IF(ISERROR(MATCH($H617,EAD_CIs!D:D,0)),"NO",
    IF(VLOOKUP($H617,EAD_CIs!D:N,MATCH("Status",EAD_CIs!D$2:N$2,0),0)="Done","No",VLOOKUP($H617,EAD_CIs!D:N,MATCH("Related",EAD_CIs!D$2:N$2,0),0) ))</f>
        <v>#380808
#1011907
#342054
#385632
#1014199
#1003390</v>
      </c>
      <c r="B617" s="238">
        <v>329612</v>
      </c>
      <c r="C617" s="34" t="s">
        <v>258</v>
      </c>
      <c r="D617" s="34" t="s">
        <v>167</v>
      </c>
      <c r="E617" s="34" t="s">
        <v>165</v>
      </c>
      <c r="F617" s="34" t="s">
        <v>196</v>
      </c>
      <c r="G617" s="34" t="s">
        <v>1008</v>
      </c>
      <c r="H617" s="34" t="s">
        <v>190</v>
      </c>
      <c r="I617" s="34" t="s">
        <v>36</v>
      </c>
      <c r="J617" s="34" t="s">
        <v>1429</v>
      </c>
      <c r="K617" s="34" t="s">
        <v>1421</v>
      </c>
      <c r="L617" s="34" t="s">
        <v>947</v>
      </c>
    </row>
    <row r="618" spans="1:12" x14ac:dyDescent="0.3">
      <c r="A618" s="163" t="str">
        <f>IF(ISERROR(MATCH($H618,EAD_CIs!D:D,0)),"NO",
    IF(VLOOKUP($H618,EAD_CIs!D:N,MATCH("Status",EAD_CIs!D$2:N$2,0),0)="Done","No",VLOOKUP($H618,EAD_CIs!D:N,MATCH("Related",EAD_CIs!D$2:N$2,0),0) ))</f>
        <v>NO</v>
      </c>
      <c r="B618" s="238">
        <v>329611</v>
      </c>
      <c r="C618" s="34" t="s">
        <v>511</v>
      </c>
      <c r="D618" s="34" t="s">
        <v>36</v>
      </c>
      <c r="E618" s="34" t="s">
        <v>165</v>
      </c>
      <c r="F618" s="34" t="s">
        <v>205</v>
      </c>
      <c r="G618" s="34" t="s">
        <v>1008</v>
      </c>
      <c r="H618" s="34" t="s">
        <v>509</v>
      </c>
      <c r="I618" s="34" t="s">
        <v>36</v>
      </c>
      <c r="J618" s="34" t="s">
        <v>1429</v>
      </c>
      <c r="K618" s="34" t="s">
        <v>1421</v>
      </c>
      <c r="L618" s="34" t="s">
        <v>947</v>
      </c>
    </row>
    <row r="619" spans="1:12" x14ac:dyDescent="0.3">
      <c r="A619" s="163" t="str">
        <f>IF(ISERROR(MATCH($H619,EAD_CIs!D:D,0)),"NO",
    IF(VLOOKUP($H619,EAD_CIs!D:N,MATCH("Status",EAD_CIs!D$2:N$2,0),0)="Done","No",VLOOKUP($H619,EAD_CIs!D:N,MATCH("Related",EAD_CIs!D$2:N$2,0),0) ))</f>
        <v>#1003390
#1014169</v>
      </c>
      <c r="B619" s="238">
        <v>329609</v>
      </c>
      <c r="C619" s="34" t="s">
        <v>225</v>
      </c>
      <c r="D619" s="34" t="s">
        <v>167</v>
      </c>
      <c r="E619" s="34" t="s">
        <v>165</v>
      </c>
      <c r="F619" s="34" t="s">
        <v>205</v>
      </c>
      <c r="G619" s="34" t="s">
        <v>224</v>
      </c>
      <c r="H619" s="34" t="s">
        <v>206</v>
      </c>
      <c r="I619" s="34" t="s">
        <v>36</v>
      </c>
      <c r="J619" s="34" t="s">
        <v>1429</v>
      </c>
      <c r="K619" s="34" t="s">
        <v>1421</v>
      </c>
      <c r="L619" s="34" t="s">
        <v>17</v>
      </c>
    </row>
    <row r="620" spans="1:12" x14ac:dyDescent="0.3">
      <c r="A620" s="163" t="str">
        <f>IF(ISERROR(MATCH($H620,EAD_CIs!D:D,0)),"NO",
    IF(VLOOKUP($H620,EAD_CIs!D:N,MATCH("Status",EAD_CIs!D$2:N$2,0),0)="Done","No",VLOOKUP($H620,EAD_CIs!D:N,MATCH("Related",EAD_CIs!D$2:N$2,0),0) ))</f>
        <v>NO</v>
      </c>
      <c r="B620" s="238">
        <v>329608</v>
      </c>
      <c r="C620" s="34" t="s">
        <v>343</v>
      </c>
      <c r="D620" s="34" t="s">
        <v>167</v>
      </c>
      <c r="E620" s="34" t="s">
        <v>165</v>
      </c>
      <c r="F620" s="34" t="s">
        <v>205</v>
      </c>
      <c r="G620" s="34" t="s">
        <v>184</v>
      </c>
      <c r="H620" s="34" t="s">
        <v>339</v>
      </c>
      <c r="I620" s="34" t="s">
        <v>36</v>
      </c>
      <c r="J620" s="34" t="s">
        <v>1429</v>
      </c>
      <c r="K620" s="34" t="s">
        <v>1421</v>
      </c>
      <c r="L620" s="34" t="s">
        <v>950</v>
      </c>
    </row>
    <row r="621" spans="1:12" x14ac:dyDescent="0.3">
      <c r="A621" s="163" t="str">
        <f>IF(ISERROR(MATCH($H621,EAD_CIs!D:D,0)),"NO",
    IF(VLOOKUP($H621,EAD_CIs!D:N,MATCH("Status",EAD_CIs!D$2:N$2,0),0)="Done","No",VLOOKUP($H621,EAD_CIs!D:N,MATCH("Related",EAD_CIs!D$2:N$2,0),0) ))</f>
        <v>#380808
#1011908
#342054
#1014206
#1003390</v>
      </c>
      <c r="B621" s="238">
        <v>329604</v>
      </c>
      <c r="C621" s="34" t="s">
        <v>331</v>
      </c>
      <c r="D621" s="34" t="s">
        <v>167</v>
      </c>
      <c r="E621" s="34" t="s">
        <v>165</v>
      </c>
      <c r="F621" s="34" t="s">
        <v>205</v>
      </c>
      <c r="G621" s="34" t="s">
        <v>184</v>
      </c>
      <c r="H621" s="34" t="s">
        <v>332</v>
      </c>
      <c r="I621" s="34" t="s">
        <v>36</v>
      </c>
      <c r="J621" s="34" t="s">
        <v>1429</v>
      </c>
      <c r="K621" s="34" t="s">
        <v>1421</v>
      </c>
      <c r="L621" s="34" t="s">
        <v>950</v>
      </c>
    </row>
    <row r="622" spans="1:12" x14ac:dyDescent="0.3">
      <c r="A622" s="163" t="str">
        <f>IF(ISERROR(MATCH($H622,EAD_CIs!D:D,0)),"NO",
    IF(VLOOKUP($H622,EAD_CIs!D:N,MATCH("Status",EAD_CIs!D$2:N$2,0),0)="Done","No",VLOOKUP($H622,EAD_CIs!D:N,MATCH("Related",EAD_CIs!D$2:N$2,0),0) ))</f>
        <v>#380808
#1011908
#342054
#1014206
#1003390</v>
      </c>
      <c r="B622" s="238">
        <v>329603</v>
      </c>
      <c r="C622" s="34" t="s">
        <v>333</v>
      </c>
      <c r="D622" s="34" t="s">
        <v>167</v>
      </c>
      <c r="E622" s="34" t="s">
        <v>165</v>
      </c>
      <c r="F622" s="34" t="s">
        <v>205</v>
      </c>
      <c r="G622" s="34" t="s">
        <v>184</v>
      </c>
      <c r="H622" s="34" t="s">
        <v>332</v>
      </c>
      <c r="I622" s="34" t="s">
        <v>36</v>
      </c>
      <c r="J622" s="34" t="s">
        <v>1429</v>
      </c>
      <c r="K622" s="34" t="s">
        <v>1421</v>
      </c>
      <c r="L622" s="34" t="s">
        <v>950</v>
      </c>
    </row>
    <row r="623" spans="1:12" x14ac:dyDescent="0.3">
      <c r="A623" s="163" t="str">
        <f>IF(ISERROR(MATCH($H623,EAD_CIs!D:D,0)),"NO",
    IF(VLOOKUP($H623,EAD_CIs!D:N,MATCH("Status",EAD_CIs!D$2:N$2,0),0)="Done","No",VLOOKUP($H623,EAD_CIs!D:N,MATCH("Related",EAD_CIs!D$2:N$2,0),0) ))</f>
        <v>#1003390
#1014169</v>
      </c>
      <c r="B623" s="238">
        <v>329601</v>
      </c>
      <c r="C623" s="34" t="s">
        <v>226</v>
      </c>
      <c r="D623" s="34" t="s">
        <v>167</v>
      </c>
      <c r="E623" s="34" t="s">
        <v>165</v>
      </c>
      <c r="F623" s="34" t="s">
        <v>1014</v>
      </c>
      <c r="G623" s="34" t="s">
        <v>547</v>
      </c>
      <c r="H623" s="34" t="s">
        <v>206</v>
      </c>
      <c r="I623" s="34" t="s">
        <v>36</v>
      </c>
      <c r="J623" s="34" t="s">
        <v>1429</v>
      </c>
      <c r="K623" s="34" t="s">
        <v>1421</v>
      </c>
      <c r="L623" s="34" t="s">
        <v>554</v>
      </c>
    </row>
    <row r="624" spans="1:12" x14ac:dyDescent="0.3">
      <c r="A624" s="163" t="str">
        <f>IF(ISERROR(MATCH($H624,EAD_CIs!D:D,0)),"NO",
    IF(VLOOKUP($H624,EAD_CIs!D:N,MATCH("Status",EAD_CIs!D$2:N$2,0),0)="Done","No",VLOOKUP($H624,EAD_CIs!D:N,MATCH("Related",EAD_CIs!D$2:N$2,0),0) ))</f>
        <v>#342054</v>
      </c>
      <c r="B624" s="238">
        <v>329600</v>
      </c>
      <c r="C624" s="34" t="s">
        <v>314</v>
      </c>
      <c r="D624" s="34" t="s">
        <v>167</v>
      </c>
      <c r="E624" s="34" t="s">
        <v>165</v>
      </c>
      <c r="F624" s="34" t="s">
        <v>205</v>
      </c>
      <c r="G624" s="34" t="s">
        <v>254</v>
      </c>
      <c r="H624" s="34" t="s">
        <v>243</v>
      </c>
      <c r="I624" s="34" t="s">
        <v>36</v>
      </c>
      <c r="J624" s="34" t="s">
        <v>1429</v>
      </c>
      <c r="K624" s="34" t="s">
        <v>1421</v>
      </c>
      <c r="L624" s="34" t="s">
        <v>947</v>
      </c>
    </row>
    <row r="625" spans="1:12" x14ac:dyDescent="0.3">
      <c r="A625" s="163" t="str">
        <f>IF(ISERROR(MATCH($H625,EAD_CIs!D:D,0)),"NO",
    IF(VLOOKUP($H625,EAD_CIs!D:N,MATCH("Status",EAD_CIs!D$2:N$2,0),0)="Done","No",VLOOKUP($H625,EAD_CIs!D:N,MATCH("Related",EAD_CIs!D$2:N$2,0),0) ))</f>
        <v>#377408
#1001248
#381643
#383958
#315485
#342163
#299984
#354174
#381524
#332951
#318380
#386935</v>
      </c>
      <c r="B625" s="238">
        <v>327553</v>
      </c>
      <c r="C625" s="34" t="s">
        <v>1181</v>
      </c>
      <c r="D625" s="34" t="s">
        <v>167</v>
      </c>
      <c r="E625" s="34" t="s">
        <v>165</v>
      </c>
      <c r="F625" s="34" t="s">
        <v>198</v>
      </c>
      <c r="G625" s="34" t="s">
        <v>254</v>
      </c>
      <c r="H625" s="34" t="s">
        <v>1177</v>
      </c>
      <c r="I625" s="34" t="s">
        <v>36</v>
      </c>
      <c r="J625" s="34" t="s">
        <v>1429</v>
      </c>
      <c r="K625" s="34" t="s">
        <v>1421</v>
      </c>
      <c r="L625" s="34" t="s">
        <v>947</v>
      </c>
    </row>
    <row r="626" spans="1:12" x14ac:dyDescent="0.3">
      <c r="A626" s="163" t="str">
        <f>IF(ISERROR(MATCH($H626,EAD_CIs!D:D,0)),"NO",
    IF(VLOOKUP($H626,EAD_CIs!D:N,MATCH("Status",EAD_CIs!D$2:N$2,0),0)="Done","No",VLOOKUP($H626,EAD_CIs!D:N,MATCH("Related",EAD_CIs!D$2:N$2,0),0) ))</f>
        <v>#342054
#1014201
#1003390</v>
      </c>
      <c r="B626" s="238">
        <v>327498</v>
      </c>
      <c r="C626" s="34" t="s">
        <v>264</v>
      </c>
      <c r="D626" s="34" t="s">
        <v>167</v>
      </c>
      <c r="E626" s="34" t="s">
        <v>165</v>
      </c>
      <c r="F626" s="34" t="s">
        <v>265</v>
      </c>
      <c r="G626" s="34" t="s">
        <v>550</v>
      </c>
      <c r="H626" s="34" t="s">
        <v>193</v>
      </c>
      <c r="I626" s="34" t="s">
        <v>36</v>
      </c>
      <c r="J626" s="34" t="s">
        <v>1429</v>
      </c>
      <c r="K626" s="34" t="s">
        <v>1421</v>
      </c>
      <c r="L626" s="34" t="s">
        <v>950</v>
      </c>
    </row>
    <row r="627" spans="1:12" x14ac:dyDescent="0.3">
      <c r="A627" s="163" t="str">
        <f>IF(ISERROR(MATCH($H627,EAD_CIs!D:D,0)),"NO",
    IF(VLOOKUP($H627,EAD_CIs!D:N,MATCH("Status",EAD_CIs!D$2:N$2,0),0)="Done","No",VLOOKUP($H627,EAD_CIs!D:N,MATCH("Related",EAD_CIs!D$2:N$2,0),0) ))</f>
        <v>#1007900</v>
      </c>
      <c r="B627" s="238">
        <v>327185</v>
      </c>
      <c r="C627" s="34" t="s">
        <v>1511</v>
      </c>
      <c r="D627" s="34" t="s">
        <v>167</v>
      </c>
      <c r="E627" s="34" t="s">
        <v>28</v>
      </c>
      <c r="F627" s="34" t="s">
        <v>1512</v>
      </c>
      <c r="G627" s="34" t="s">
        <v>1008</v>
      </c>
      <c r="H627" s="34" t="s">
        <v>621</v>
      </c>
      <c r="I627" s="34" t="s">
        <v>134</v>
      </c>
      <c r="J627" s="34" t="s">
        <v>1429</v>
      </c>
      <c r="K627" s="34" t="s">
        <v>1421</v>
      </c>
      <c r="L627" s="34" t="s">
        <v>947</v>
      </c>
    </row>
    <row r="628" spans="1:12" x14ac:dyDescent="0.3">
      <c r="A628" s="163" t="str">
        <f>IF(ISERROR(MATCH($H628,EAD_CIs!D:D,0)),"NO",
    IF(VLOOKUP($H628,EAD_CIs!D:N,MATCH("Status",EAD_CIs!D$2:N$2,0),0)="Done","No",VLOOKUP($H628,EAD_CIs!D:N,MATCH("Related",EAD_CIs!D$2:N$2,0),0) ))</f>
        <v>#388195
#1004738
#342054</v>
      </c>
      <c r="B628" s="238">
        <v>326969</v>
      </c>
      <c r="C628" s="34" t="s">
        <v>818</v>
      </c>
      <c r="D628" s="34" t="s">
        <v>36</v>
      </c>
      <c r="E628" s="34" t="s">
        <v>165</v>
      </c>
      <c r="F628" s="34" t="s">
        <v>183</v>
      </c>
      <c r="G628" s="34" t="s">
        <v>1008</v>
      </c>
      <c r="H628" s="34" t="s">
        <v>211</v>
      </c>
      <c r="I628" s="34" t="s">
        <v>36</v>
      </c>
      <c r="J628" s="34" t="s">
        <v>1429</v>
      </c>
      <c r="K628" s="34" t="s">
        <v>1434</v>
      </c>
      <c r="L628" s="34" t="s">
        <v>947</v>
      </c>
    </row>
    <row r="629" spans="1:12" x14ac:dyDescent="0.3">
      <c r="A629" s="163" t="str">
        <f>IF(ISERROR(MATCH($H629,EAD_CIs!D:D,0)),"NO",
    IF(VLOOKUP($H629,EAD_CIs!D:N,MATCH("Status",EAD_CIs!D$2:N$2,0),0)="Done","No",VLOOKUP($H629,EAD_CIs!D:N,MATCH("Related",EAD_CIs!D$2:N$2,0),0) ))</f>
        <v>#388195
#1004738
#342054</v>
      </c>
      <c r="B629" s="238">
        <v>326965</v>
      </c>
      <c r="C629" s="34" t="s">
        <v>865</v>
      </c>
      <c r="D629" s="34" t="s">
        <v>36</v>
      </c>
      <c r="E629" s="34" t="s">
        <v>165</v>
      </c>
      <c r="F629" s="34" t="s">
        <v>183</v>
      </c>
      <c r="G629" s="34" t="s">
        <v>1008</v>
      </c>
      <c r="H629" s="34" t="s">
        <v>211</v>
      </c>
      <c r="I629" s="34" t="s">
        <v>36</v>
      </c>
      <c r="J629" s="34" t="s">
        <v>1429</v>
      </c>
      <c r="K629" s="34" t="s">
        <v>1434</v>
      </c>
      <c r="L629" s="34" t="s">
        <v>947</v>
      </c>
    </row>
    <row r="630" spans="1:12" x14ac:dyDescent="0.3">
      <c r="A630" s="163" t="str">
        <f>IF(ISERROR(MATCH($H630,EAD_CIs!D:D,0)),"NO",
    IF(VLOOKUP($H630,EAD_CIs!D:N,MATCH("Status",EAD_CIs!D$2:N$2,0),0)="Done","No",VLOOKUP($H630,EAD_CIs!D:N,MATCH("Related",EAD_CIs!D$2:N$2,0),0) ))</f>
        <v>#388195
#1004738
#342054</v>
      </c>
      <c r="B630" s="238">
        <v>326957</v>
      </c>
      <c r="C630" s="34" t="s">
        <v>539</v>
      </c>
      <c r="D630" s="34" t="s">
        <v>167</v>
      </c>
      <c r="E630" s="34" t="s">
        <v>165</v>
      </c>
      <c r="F630" s="34" t="s">
        <v>183</v>
      </c>
      <c r="G630" s="34" t="s">
        <v>1008</v>
      </c>
      <c r="H630" s="34" t="s">
        <v>211</v>
      </c>
      <c r="I630" s="34" t="s">
        <v>36</v>
      </c>
      <c r="J630" s="34" t="s">
        <v>1429</v>
      </c>
      <c r="K630" s="34" t="s">
        <v>1434</v>
      </c>
      <c r="L630" s="34" t="s">
        <v>947</v>
      </c>
    </row>
    <row r="631" spans="1:12" x14ac:dyDescent="0.3">
      <c r="A631" s="34"/>
      <c r="B631" s="238">
        <v>324861</v>
      </c>
      <c r="C631" s="34" t="s">
        <v>518</v>
      </c>
      <c r="D631" s="34" t="s">
        <v>36</v>
      </c>
      <c r="E631" s="34" t="s">
        <v>165</v>
      </c>
      <c r="F631" s="34" t="s">
        <v>239</v>
      </c>
      <c r="G631" s="34" t="s">
        <v>1008</v>
      </c>
      <c r="H631" s="34" t="s">
        <v>515</v>
      </c>
      <c r="I631" s="34" t="s">
        <v>36</v>
      </c>
      <c r="J631" s="34" t="s">
        <v>1429</v>
      </c>
      <c r="K631" s="34" t="s">
        <v>1421</v>
      </c>
      <c r="L631" s="34" t="s">
        <v>943</v>
      </c>
    </row>
    <row r="632" spans="1:12" x14ac:dyDescent="0.3">
      <c r="A632" s="34"/>
      <c r="B632" s="238">
        <v>322766</v>
      </c>
      <c r="C632" s="34" t="s">
        <v>201</v>
      </c>
      <c r="D632" s="34" t="s">
        <v>167</v>
      </c>
      <c r="E632" s="34" t="s">
        <v>165</v>
      </c>
      <c r="F632" s="34" t="s">
        <v>800</v>
      </c>
      <c r="G632" s="34" t="s">
        <v>547</v>
      </c>
      <c r="H632" s="34" t="s">
        <v>194</v>
      </c>
      <c r="I632" s="34" t="s">
        <v>36</v>
      </c>
      <c r="J632" s="34" t="s">
        <v>1429</v>
      </c>
      <c r="K632" s="34" t="s">
        <v>1421</v>
      </c>
      <c r="L632" s="34" t="s">
        <v>951</v>
      </c>
    </row>
    <row r="633" spans="1:12" x14ac:dyDescent="0.3">
      <c r="A633" s="34"/>
      <c r="B633" s="238">
        <v>321859</v>
      </c>
      <c r="C633" s="34" t="s">
        <v>231</v>
      </c>
      <c r="D633" s="34" t="s">
        <v>167</v>
      </c>
      <c r="E633" s="34" t="s">
        <v>165</v>
      </c>
      <c r="F633" s="34" t="s">
        <v>205</v>
      </c>
      <c r="G633" s="34" t="s">
        <v>232</v>
      </c>
      <c r="H633" s="34" t="s">
        <v>186</v>
      </c>
      <c r="I633" s="34" t="s">
        <v>36</v>
      </c>
      <c r="J633" s="34" t="s">
        <v>1429</v>
      </c>
      <c r="K633" s="34" t="s">
        <v>1421</v>
      </c>
      <c r="L633" s="34" t="s">
        <v>943</v>
      </c>
    </row>
    <row r="634" spans="1:12" x14ac:dyDescent="0.3">
      <c r="A634" s="34"/>
      <c r="B634" s="238">
        <v>321852</v>
      </c>
      <c r="C634" s="34" t="s">
        <v>207</v>
      </c>
      <c r="D634" s="34" t="s">
        <v>167</v>
      </c>
      <c r="E634" s="34" t="s">
        <v>165</v>
      </c>
      <c r="F634" s="34" t="s">
        <v>205</v>
      </c>
      <c r="G634" s="34" t="s">
        <v>164</v>
      </c>
      <c r="H634" s="34" t="s">
        <v>204</v>
      </c>
      <c r="I634" s="34" t="s">
        <v>208</v>
      </c>
      <c r="J634" s="34" t="s">
        <v>1429</v>
      </c>
      <c r="K634" s="34" t="s">
        <v>1421</v>
      </c>
      <c r="L634" s="34" t="s">
        <v>17</v>
      </c>
    </row>
    <row r="635" spans="1:12" x14ac:dyDescent="0.3">
      <c r="A635" s="34"/>
      <c r="B635" s="238">
        <v>321730</v>
      </c>
      <c r="C635" s="34" t="s">
        <v>1874</v>
      </c>
      <c r="D635" s="34" t="s">
        <v>167</v>
      </c>
      <c r="E635" s="34" t="s">
        <v>28</v>
      </c>
      <c r="F635" s="34" t="s">
        <v>192</v>
      </c>
      <c r="G635" s="34" t="s">
        <v>104</v>
      </c>
      <c r="H635" s="34" t="s">
        <v>309</v>
      </c>
      <c r="I635" s="34" t="s">
        <v>36</v>
      </c>
      <c r="J635" s="34" t="s">
        <v>1429</v>
      </c>
      <c r="K635" s="34" t="s">
        <v>1421</v>
      </c>
      <c r="L635" s="34" t="s">
        <v>947</v>
      </c>
    </row>
    <row r="636" spans="1:12" x14ac:dyDescent="0.3">
      <c r="A636" s="34"/>
      <c r="B636" s="238">
        <v>321349</v>
      </c>
      <c r="C636" s="34" t="s">
        <v>344</v>
      </c>
      <c r="D636" s="34" t="s">
        <v>36</v>
      </c>
      <c r="E636" s="34" t="s">
        <v>165</v>
      </c>
      <c r="F636" s="34" t="s">
        <v>198</v>
      </c>
      <c r="G636" s="34" t="s">
        <v>1008</v>
      </c>
      <c r="H636" s="34" t="s">
        <v>339</v>
      </c>
      <c r="I636" s="34" t="s">
        <v>36</v>
      </c>
      <c r="J636" s="34" t="s">
        <v>1429</v>
      </c>
      <c r="K636" s="34" t="s">
        <v>1421</v>
      </c>
      <c r="L636" s="34" t="s">
        <v>947</v>
      </c>
    </row>
    <row r="637" spans="1:12" x14ac:dyDescent="0.3">
      <c r="A637" s="34"/>
      <c r="B637" s="238">
        <v>320596</v>
      </c>
      <c r="C637" s="34" t="s">
        <v>1770</v>
      </c>
      <c r="D637" s="34" t="s">
        <v>857</v>
      </c>
      <c r="E637" s="34" t="s">
        <v>28</v>
      </c>
      <c r="F637" s="34" t="s">
        <v>360</v>
      </c>
      <c r="G637" s="34" t="s">
        <v>582</v>
      </c>
      <c r="H637" s="34" t="s">
        <v>209</v>
      </c>
      <c r="I637" s="34" t="s">
        <v>36</v>
      </c>
      <c r="J637" s="34" t="s">
        <v>1420</v>
      </c>
      <c r="K637" s="34" t="s">
        <v>1421</v>
      </c>
      <c r="L637" s="34" t="s">
        <v>943</v>
      </c>
    </row>
    <row r="638" spans="1:12" x14ac:dyDescent="0.3">
      <c r="A638" s="34"/>
      <c r="B638" s="238">
        <v>319991</v>
      </c>
      <c r="C638" s="34" t="s">
        <v>894</v>
      </c>
      <c r="D638" s="34" t="s">
        <v>167</v>
      </c>
      <c r="E638" s="34" t="s">
        <v>165</v>
      </c>
      <c r="F638" s="34" t="s">
        <v>205</v>
      </c>
      <c r="G638" s="34" t="s">
        <v>164</v>
      </c>
      <c r="H638" s="34" t="s">
        <v>209</v>
      </c>
      <c r="I638" s="34" t="s">
        <v>36</v>
      </c>
      <c r="J638" s="34" t="s">
        <v>1429</v>
      </c>
      <c r="K638" s="34" t="s">
        <v>1421</v>
      </c>
      <c r="L638" s="34" t="s">
        <v>17</v>
      </c>
    </row>
    <row r="639" spans="1:12" x14ac:dyDescent="0.3">
      <c r="A639" s="34"/>
      <c r="B639" s="238">
        <v>319759</v>
      </c>
      <c r="C639" s="34" t="s">
        <v>1820</v>
      </c>
      <c r="D639" s="34" t="s">
        <v>36</v>
      </c>
      <c r="E639" s="34" t="s">
        <v>28</v>
      </c>
      <c r="F639" s="34" t="s">
        <v>192</v>
      </c>
      <c r="G639" s="34" t="s">
        <v>2027</v>
      </c>
      <c r="H639" s="34" t="s">
        <v>211</v>
      </c>
      <c r="I639" s="34" t="s">
        <v>104</v>
      </c>
      <c r="J639" s="34" t="s">
        <v>1420</v>
      </c>
      <c r="K639" s="34" t="s">
        <v>1421</v>
      </c>
      <c r="L639" s="34" t="s">
        <v>947</v>
      </c>
    </row>
    <row r="640" spans="1:12" x14ac:dyDescent="0.3">
      <c r="A640" s="34"/>
      <c r="B640" s="238">
        <v>319351</v>
      </c>
      <c r="C640" s="34" t="s">
        <v>1819</v>
      </c>
      <c r="D640" s="34" t="s">
        <v>36</v>
      </c>
      <c r="E640" s="34" t="s">
        <v>28</v>
      </c>
      <c r="F640" s="34" t="s">
        <v>192</v>
      </c>
      <c r="G640" s="34" t="s">
        <v>600</v>
      </c>
      <c r="H640" s="34" t="s">
        <v>211</v>
      </c>
      <c r="I640" s="34" t="s">
        <v>104</v>
      </c>
      <c r="J640" s="34" t="s">
        <v>1420</v>
      </c>
      <c r="K640" s="34" t="s">
        <v>1421</v>
      </c>
      <c r="L640" s="34" t="s">
        <v>947</v>
      </c>
    </row>
    <row r="641" spans="1:12" x14ac:dyDescent="0.3">
      <c r="A641" s="34"/>
      <c r="B641" s="238">
        <v>319064</v>
      </c>
      <c r="C641" s="34" t="s">
        <v>271</v>
      </c>
      <c r="D641" s="34" t="s">
        <v>167</v>
      </c>
      <c r="E641" s="34" t="s">
        <v>165</v>
      </c>
      <c r="F641" s="34" t="s">
        <v>205</v>
      </c>
      <c r="G641" s="34" t="s">
        <v>547</v>
      </c>
      <c r="H641" s="34" t="s">
        <v>216</v>
      </c>
      <c r="I641" s="34" t="s">
        <v>36</v>
      </c>
      <c r="J641" s="34" t="s">
        <v>1429</v>
      </c>
      <c r="K641" s="34" t="s">
        <v>1421</v>
      </c>
      <c r="L641" s="34" t="s">
        <v>951</v>
      </c>
    </row>
    <row r="642" spans="1:12" x14ac:dyDescent="0.3">
      <c r="A642" s="34"/>
      <c r="B642" s="238">
        <v>318827</v>
      </c>
      <c r="C642" s="34" t="s">
        <v>638</v>
      </c>
      <c r="D642" s="34" t="s">
        <v>167</v>
      </c>
      <c r="E642" s="34" t="s">
        <v>165</v>
      </c>
      <c r="F642" s="34" t="s">
        <v>205</v>
      </c>
      <c r="G642" s="34" t="s">
        <v>228</v>
      </c>
      <c r="H642" s="34" t="s">
        <v>186</v>
      </c>
      <c r="I642" s="34" t="s">
        <v>36</v>
      </c>
      <c r="J642" s="34" t="s">
        <v>1429</v>
      </c>
      <c r="K642" s="34" t="s">
        <v>1421</v>
      </c>
      <c r="L642" s="34" t="s">
        <v>950</v>
      </c>
    </row>
    <row r="643" spans="1:12" x14ac:dyDescent="0.3">
      <c r="A643" s="34"/>
      <c r="B643" s="238">
        <v>317941</v>
      </c>
      <c r="C643" s="34" t="s">
        <v>272</v>
      </c>
      <c r="D643" s="34" t="s">
        <v>36</v>
      </c>
      <c r="E643" s="34" t="s">
        <v>165</v>
      </c>
      <c r="F643" s="34" t="s">
        <v>183</v>
      </c>
      <c r="G643" s="34" t="s">
        <v>270</v>
      </c>
      <c r="H643" s="34" t="s">
        <v>216</v>
      </c>
      <c r="I643" s="34" t="s">
        <v>1435</v>
      </c>
      <c r="J643" s="34" t="s">
        <v>1429</v>
      </c>
      <c r="K643" s="34" t="s">
        <v>1434</v>
      </c>
      <c r="L643" s="34" t="s">
        <v>949</v>
      </c>
    </row>
    <row r="644" spans="1:12" x14ac:dyDescent="0.3">
      <c r="A644" s="34"/>
      <c r="B644" s="238">
        <v>317857</v>
      </c>
      <c r="C644" s="34" t="s">
        <v>247</v>
      </c>
      <c r="D644" s="34" t="s">
        <v>36</v>
      </c>
      <c r="E644" s="34" t="s">
        <v>165</v>
      </c>
      <c r="F644" s="34" t="s">
        <v>205</v>
      </c>
      <c r="G644" s="34" t="s">
        <v>639</v>
      </c>
      <c r="H644" s="34" t="s">
        <v>246</v>
      </c>
      <c r="I644" s="34" t="s">
        <v>36</v>
      </c>
      <c r="J644" s="34" t="s">
        <v>1429</v>
      </c>
      <c r="K644" s="34" t="s">
        <v>1421</v>
      </c>
      <c r="L644" s="34" t="s">
        <v>123</v>
      </c>
    </row>
    <row r="645" spans="1:12" x14ac:dyDescent="0.3">
      <c r="A645" s="34"/>
      <c r="B645" s="238">
        <v>317838</v>
      </c>
      <c r="C645" s="34" t="s">
        <v>1179</v>
      </c>
      <c r="D645" s="34" t="s">
        <v>36</v>
      </c>
      <c r="E645" s="34" t="s">
        <v>165</v>
      </c>
      <c r="F645" s="34" t="s">
        <v>198</v>
      </c>
      <c r="G645" s="34" t="s">
        <v>1008</v>
      </c>
      <c r="H645" s="34" t="s">
        <v>1177</v>
      </c>
      <c r="I645" s="34" t="s">
        <v>651</v>
      </c>
      <c r="J645" s="34" t="s">
        <v>1429</v>
      </c>
      <c r="K645" s="34" t="s">
        <v>1421</v>
      </c>
      <c r="L645" s="34" t="s">
        <v>947</v>
      </c>
    </row>
    <row r="646" spans="1:12" x14ac:dyDescent="0.3">
      <c r="A646" s="34"/>
      <c r="B646" s="238">
        <v>316911</v>
      </c>
      <c r="C646" s="34" t="s">
        <v>291</v>
      </c>
      <c r="D646" s="34" t="s">
        <v>167</v>
      </c>
      <c r="E646" s="34" t="s">
        <v>165</v>
      </c>
      <c r="F646" s="34" t="s">
        <v>205</v>
      </c>
      <c r="G646" s="34" t="s">
        <v>547</v>
      </c>
      <c r="H646" s="34" t="s">
        <v>288</v>
      </c>
      <c r="I646" s="34" t="s">
        <v>36</v>
      </c>
      <c r="J646" s="34" t="s">
        <v>1429</v>
      </c>
      <c r="K646" s="34" t="s">
        <v>1421</v>
      </c>
      <c r="L646" s="34" t="s">
        <v>951</v>
      </c>
    </row>
    <row r="647" spans="1:12" x14ac:dyDescent="0.3">
      <c r="A647" s="34"/>
      <c r="B647" s="238">
        <v>316866</v>
      </c>
      <c r="C647" s="34" t="s">
        <v>1178</v>
      </c>
      <c r="D647" s="34" t="s">
        <v>36</v>
      </c>
      <c r="E647" s="34" t="s">
        <v>165</v>
      </c>
      <c r="F647" s="34" t="s">
        <v>205</v>
      </c>
      <c r="G647" s="34" t="s">
        <v>1008</v>
      </c>
      <c r="H647" s="34" t="s">
        <v>1177</v>
      </c>
      <c r="I647" s="34" t="s">
        <v>36</v>
      </c>
      <c r="J647" s="34" t="s">
        <v>1429</v>
      </c>
      <c r="K647" s="34" t="s">
        <v>1421</v>
      </c>
      <c r="L647" s="34" t="s">
        <v>947</v>
      </c>
    </row>
    <row r="648" spans="1:12" x14ac:dyDescent="0.3">
      <c r="A648" s="34"/>
      <c r="B648" s="238">
        <v>315607</v>
      </c>
      <c r="C648" s="34" t="s">
        <v>266</v>
      </c>
      <c r="D648" s="34" t="s">
        <v>167</v>
      </c>
      <c r="E648" s="34" t="s">
        <v>165</v>
      </c>
      <c r="F648" s="34" t="s">
        <v>2327</v>
      </c>
      <c r="G648" s="34" t="s">
        <v>550</v>
      </c>
      <c r="H648" s="34" t="s">
        <v>193</v>
      </c>
      <c r="I648" s="34" t="s">
        <v>36</v>
      </c>
      <c r="J648" s="34" t="s">
        <v>1420</v>
      </c>
      <c r="K648" s="34" t="s">
        <v>1421</v>
      </c>
      <c r="L648" s="34" t="s">
        <v>950</v>
      </c>
    </row>
    <row r="649" spans="1:12" x14ac:dyDescent="0.3">
      <c r="A649" s="34"/>
      <c r="B649" s="238">
        <v>315272</v>
      </c>
      <c r="C649" s="34" t="s">
        <v>801</v>
      </c>
      <c r="D649" s="34" t="s">
        <v>167</v>
      </c>
      <c r="E649" s="34" t="s">
        <v>165</v>
      </c>
      <c r="F649" s="34" t="s">
        <v>1013</v>
      </c>
      <c r="G649" s="34" t="s">
        <v>173</v>
      </c>
      <c r="H649" s="34" t="s">
        <v>206</v>
      </c>
      <c r="I649" s="34" t="s">
        <v>36</v>
      </c>
      <c r="J649" s="34" t="s">
        <v>1420</v>
      </c>
      <c r="K649" s="34" t="s">
        <v>1421</v>
      </c>
      <c r="L649" s="34" t="s">
        <v>554</v>
      </c>
    </row>
    <row r="650" spans="1:12" x14ac:dyDescent="0.3">
      <c r="A650" s="34"/>
      <c r="B650" s="238">
        <v>307100</v>
      </c>
      <c r="C650" s="34" t="s">
        <v>202</v>
      </c>
      <c r="D650" s="34" t="s">
        <v>167</v>
      </c>
      <c r="E650" s="34" t="s">
        <v>165</v>
      </c>
      <c r="F650" s="34" t="s">
        <v>196</v>
      </c>
      <c r="G650" s="34" t="s">
        <v>547</v>
      </c>
      <c r="H650" s="34" t="s">
        <v>194</v>
      </c>
      <c r="I650" s="34" t="s">
        <v>36</v>
      </c>
      <c r="J650" s="34" t="s">
        <v>1429</v>
      </c>
      <c r="K650" s="34" t="s">
        <v>1421</v>
      </c>
      <c r="L650" s="34" t="s">
        <v>951</v>
      </c>
    </row>
    <row r="651" spans="1:12" x14ac:dyDescent="0.3">
      <c r="A651" s="34"/>
      <c r="B651" s="238">
        <v>305152</v>
      </c>
      <c r="C651" s="34" t="s">
        <v>640</v>
      </c>
      <c r="D651" s="34" t="s">
        <v>167</v>
      </c>
      <c r="E651" s="34" t="s">
        <v>165</v>
      </c>
      <c r="F651" s="34" t="s">
        <v>183</v>
      </c>
      <c r="G651" s="34" t="s">
        <v>547</v>
      </c>
      <c r="H651" s="34" t="s">
        <v>622</v>
      </c>
      <c r="I651" s="34" t="s">
        <v>36</v>
      </c>
      <c r="J651" s="34" t="s">
        <v>1429</v>
      </c>
      <c r="K651" s="34" t="s">
        <v>1434</v>
      </c>
      <c r="L651" s="34" t="s">
        <v>951</v>
      </c>
    </row>
    <row r="652" spans="1:12" x14ac:dyDescent="0.3">
      <c r="A652" s="34"/>
      <c r="B652" s="238">
        <v>304896</v>
      </c>
      <c r="C652" s="34" t="s">
        <v>233</v>
      </c>
      <c r="D652" s="34" t="s">
        <v>167</v>
      </c>
      <c r="E652" s="34" t="s">
        <v>165</v>
      </c>
      <c r="F652" s="34" t="s">
        <v>198</v>
      </c>
      <c r="G652" s="34" t="s">
        <v>228</v>
      </c>
      <c r="H652" s="34" t="s">
        <v>186</v>
      </c>
      <c r="I652" s="34" t="s">
        <v>36</v>
      </c>
      <c r="J652" s="34" t="s">
        <v>1429</v>
      </c>
      <c r="K652" s="34" t="s">
        <v>1421</v>
      </c>
      <c r="L652" s="34" t="s">
        <v>947</v>
      </c>
    </row>
    <row r="653" spans="1:12" x14ac:dyDescent="0.3">
      <c r="A653" s="34"/>
      <c r="B653" s="238">
        <v>303039</v>
      </c>
      <c r="C653" s="34" t="s">
        <v>191</v>
      </c>
      <c r="D653" s="34" t="s">
        <v>167</v>
      </c>
      <c r="E653" s="34" t="s">
        <v>28</v>
      </c>
      <c r="F653" s="34" t="s">
        <v>192</v>
      </c>
      <c r="G653" s="34" t="s">
        <v>164</v>
      </c>
      <c r="H653" s="34" t="s">
        <v>189</v>
      </c>
      <c r="I653" s="34" t="s">
        <v>36</v>
      </c>
      <c r="J653" s="34" t="s">
        <v>1429</v>
      </c>
      <c r="K653" s="34" t="s">
        <v>1421</v>
      </c>
      <c r="L653" s="34" t="s">
        <v>17</v>
      </c>
    </row>
    <row r="654" spans="1:12" x14ac:dyDescent="0.3">
      <c r="A654" s="34"/>
      <c r="B654" s="238">
        <v>302725</v>
      </c>
      <c r="C654" s="34" t="s">
        <v>1176</v>
      </c>
      <c r="D654" s="34" t="s">
        <v>167</v>
      </c>
      <c r="E654" s="34" t="s">
        <v>165</v>
      </c>
      <c r="F654" s="34" t="s">
        <v>198</v>
      </c>
      <c r="G654" s="34" t="s">
        <v>164</v>
      </c>
      <c r="H654" s="34" t="s">
        <v>1177</v>
      </c>
      <c r="I654" s="34" t="s">
        <v>36</v>
      </c>
      <c r="J654" s="34" t="s">
        <v>1429</v>
      </c>
      <c r="K654" s="34" t="s">
        <v>1421</v>
      </c>
      <c r="L654" s="34" t="s">
        <v>17</v>
      </c>
    </row>
    <row r="655" spans="1:12" x14ac:dyDescent="0.3">
      <c r="A655" s="34"/>
      <c r="B655" s="238">
        <v>302204</v>
      </c>
      <c r="C655" s="34" t="s">
        <v>353</v>
      </c>
      <c r="D655" s="34" t="s">
        <v>167</v>
      </c>
      <c r="E655" s="34" t="s">
        <v>165</v>
      </c>
      <c r="F655" s="34" t="s">
        <v>205</v>
      </c>
      <c r="G655" s="34" t="s">
        <v>228</v>
      </c>
      <c r="H655" s="34" t="s">
        <v>352</v>
      </c>
      <c r="I655" s="34" t="s">
        <v>36</v>
      </c>
      <c r="J655" s="34" t="s">
        <v>1429</v>
      </c>
      <c r="K655" s="34" t="s">
        <v>1421</v>
      </c>
      <c r="L655" s="34" t="s">
        <v>947</v>
      </c>
    </row>
    <row r="656" spans="1:12" x14ac:dyDescent="0.3">
      <c r="A656" s="34"/>
      <c r="B656" s="238">
        <v>302104</v>
      </c>
      <c r="C656" s="34" t="s">
        <v>1816</v>
      </c>
      <c r="D656" s="34" t="s">
        <v>857</v>
      </c>
      <c r="E656" s="34" t="s">
        <v>28</v>
      </c>
      <c r="F656" s="34" t="s">
        <v>198</v>
      </c>
      <c r="G656" s="34" t="s">
        <v>549</v>
      </c>
      <c r="H656" s="34" t="s">
        <v>635</v>
      </c>
      <c r="I656" s="34" t="s">
        <v>36</v>
      </c>
      <c r="J656" s="34" t="s">
        <v>1429</v>
      </c>
      <c r="K656" s="34" t="s">
        <v>1421</v>
      </c>
      <c r="L656" s="34" t="s">
        <v>17</v>
      </c>
    </row>
    <row r="657" spans="1:12" x14ac:dyDescent="0.3">
      <c r="A657" s="34"/>
      <c r="B657" s="238">
        <v>301388</v>
      </c>
      <c r="C657" s="34" t="s">
        <v>334</v>
      </c>
      <c r="D657" s="34" t="s">
        <v>167</v>
      </c>
      <c r="E657" s="34" t="s">
        <v>165</v>
      </c>
      <c r="F657" s="34" t="s">
        <v>205</v>
      </c>
      <c r="G657" s="34" t="s">
        <v>550</v>
      </c>
      <c r="H657" s="34" t="s">
        <v>335</v>
      </c>
      <c r="I657" s="34" t="s">
        <v>36</v>
      </c>
      <c r="J657" s="34" t="s">
        <v>1429</v>
      </c>
      <c r="K657" s="34" t="s">
        <v>1421</v>
      </c>
      <c r="L657" s="34" t="s">
        <v>950</v>
      </c>
    </row>
    <row r="658" spans="1:12" x14ac:dyDescent="0.3">
      <c r="A658" s="34"/>
      <c r="B658" s="238">
        <v>299149</v>
      </c>
      <c r="C658" s="34" t="s">
        <v>1408</v>
      </c>
      <c r="D658" s="34" t="s">
        <v>167</v>
      </c>
      <c r="E658" s="34" t="s">
        <v>165</v>
      </c>
      <c r="F658" s="34" t="s">
        <v>198</v>
      </c>
      <c r="G658" s="34" t="s">
        <v>270</v>
      </c>
      <c r="H658" s="34" t="s">
        <v>1177</v>
      </c>
      <c r="I658" s="34" t="s">
        <v>36</v>
      </c>
      <c r="J658" s="34" t="s">
        <v>1429</v>
      </c>
      <c r="K658" s="34" t="s">
        <v>1421</v>
      </c>
      <c r="L658" s="34" t="s">
        <v>949</v>
      </c>
    </row>
    <row r="659" spans="1:12" x14ac:dyDescent="0.3">
      <c r="A659" s="34"/>
      <c r="B659" s="238">
        <v>299031</v>
      </c>
      <c r="C659" s="34" t="s">
        <v>227</v>
      </c>
      <c r="D659" s="34" t="s">
        <v>167</v>
      </c>
      <c r="E659" s="34" t="s">
        <v>165</v>
      </c>
      <c r="F659" s="34" t="s">
        <v>1119</v>
      </c>
      <c r="G659" s="34" t="s">
        <v>547</v>
      </c>
      <c r="H659" s="34" t="s">
        <v>206</v>
      </c>
      <c r="I659" s="34" t="s">
        <v>36</v>
      </c>
      <c r="J659" s="34" t="s">
        <v>1429</v>
      </c>
      <c r="K659" s="34" t="s">
        <v>1421</v>
      </c>
      <c r="L659" s="34" t="s">
        <v>554</v>
      </c>
    </row>
    <row r="660" spans="1:12" x14ac:dyDescent="0.3">
      <c r="A660" s="34"/>
      <c r="B660" s="238">
        <v>293489</v>
      </c>
      <c r="C660" s="34" t="s">
        <v>540</v>
      </c>
      <c r="D660" s="34" t="s">
        <v>167</v>
      </c>
      <c r="E660" s="34" t="s">
        <v>165</v>
      </c>
      <c r="F660" s="34" t="s">
        <v>183</v>
      </c>
      <c r="G660" s="34" t="s">
        <v>1008</v>
      </c>
      <c r="H660" s="34" t="s">
        <v>211</v>
      </c>
      <c r="I660" s="34" t="s">
        <v>36</v>
      </c>
      <c r="J660" s="34" t="s">
        <v>1429</v>
      </c>
      <c r="K660" s="34" t="s">
        <v>1434</v>
      </c>
      <c r="L660" s="34" t="s">
        <v>947</v>
      </c>
    </row>
    <row r="661" spans="1:12" x14ac:dyDescent="0.3">
      <c r="A661" s="34"/>
      <c r="B661" s="238">
        <v>293485</v>
      </c>
      <c r="C661" s="34" t="s">
        <v>541</v>
      </c>
      <c r="D661" s="34" t="s">
        <v>167</v>
      </c>
      <c r="E661" s="34" t="s">
        <v>165</v>
      </c>
      <c r="F661" s="34" t="s">
        <v>183</v>
      </c>
      <c r="G661" s="34" t="s">
        <v>1008</v>
      </c>
      <c r="H661" s="34" t="s">
        <v>211</v>
      </c>
      <c r="I661" s="34" t="s">
        <v>36</v>
      </c>
      <c r="J661" s="34" t="s">
        <v>1429</v>
      </c>
      <c r="K661" s="34" t="s">
        <v>1434</v>
      </c>
      <c r="L661" s="34" t="s">
        <v>947</v>
      </c>
    </row>
    <row r="662" spans="1:12" x14ac:dyDescent="0.3">
      <c r="A662" s="34"/>
      <c r="B662" s="238">
        <v>293481</v>
      </c>
      <c r="C662" s="34" t="s">
        <v>542</v>
      </c>
      <c r="D662" s="34" t="s">
        <v>167</v>
      </c>
      <c r="E662" s="34" t="s">
        <v>165</v>
      </c>
      <c r="F662" s="34" t="s">
        <v>183</v>
      </c>
      <c r="G662" s="34" t="s">
        <v>1008</v>
      </c>
      <c r="H662" s="34" t="s">
        <v>211</v>
      </c>
      <c r="I662" s="34" t="s">
        <v>36</v>
      </c>
      <c r="J662" s="34" t="s">
        <v>1429</v>
      </c>
      <c r="K662" s="34" t="s">
        <v>1434</v>
      </c>
      <c r="L662" s="34" t="s">
        <v>947</v>
      </c>
    </row>
    <row r="663" spans="1:12" x14ac:dyDescent="0.3">
      <c r="A663" s="34"/>
      <c r="B663" s="238">
        <v>293462</v>
      </c>
      <c r="C663" s="34" t="s">
        <v>543</v>
      </c>
      <c r="D663" s="34" t="s">
        <v>167</v>
      </c>
      <c r="E663" s="34" t="s">
        <v>165</v>
      </c>
      <c r="F663" s="34" t="s">
        <v>183</v>
      </c>
      <c r="G663" s="34" t="s">
        <v>1008</v>
      </c>
      <c r="H663" s="34" t="s">
        <v>211</v>
      </c>
      <c r="I663" s="34" t="s">
        <v>36</v>
      </c>
      <c r="J663" s="34" t="s">
        <v>1429</v>
      </c>
      <c r="K663" s="34" t="s">
        <v>1434</v>
      </c>
      <c r="L663" s="34" t="s">
        <v>947</v>
      </c>
    </row>
    <row r="664" spans="1:12" x14ac:dyDescent="0.3">
      <c r="A664" s="34"/>
      <c r="B664" s="238">
        <v>293459</v>
      </c>
      <c r="C664" s="34" t="s">
        <v>544</v>
      </c>
      <c r="D664" s="34" t="s">
        <v>167</v>
      </c>
      <c r="E664" s="34" t="s">
        <v>165</v>
      </c>
      <c r="F664" s="34" t="s">
        <v>183</v>
      </c>
      <c r="G664" s="34" t="s">
        <v>1008</v>
      </c>
      <c r="H664" s="34" t="s">
        <v>211</v>
      </c>
      <c r="I664" s="34" t="s">
        <v>36</v>
      </c>
      <c r="J664" s="34" t="s">
        <v>1429</v>
      </c>
      <c r="K664" s="34" t="s">
        <v>1434</v>
      </c>
      <c r="L664" s="34" t="s">
        <v>947</v>
      </c>
    </row>
    <row r="665" spans="1:12" x14ac:dyDescent="0.3">
      <c r="A665" s="34"/>
      <c r="B665" s="238">
        <v>293450</v>
      </c>
      <c r="C665" s="34" t="s">
        <v>802</v>
      </c>
      <c r="D665" s="34" t="s">
        <v>36</v>
      </c>
      <c r="E665" s="34" t="s">
        <v>165</v>
      </c>
      <c r="F665" s="34" t="s">
        <v>183</v>
      </c>
      <c r="G665" s="34" t="s">
        <v>1008</v>
      </c>
      <c r="H665" s="34" t="s">
        <v>211</v>
      </c>
      <c r="I665" s="34" t="s">
        <v>36</v>
      </c>
      <c r="J665" s="34" t="s">
        <v>1429</v>
      </c>
      <c r="K665" s="34" t="s">
        <v>1434</v>
      </c>
      <c r="L665" s="34" t="s">
        <v>947</v>
      </c>
    </row>
    <row r="666" spans="1:12" x14ac:dyDescent="0.3">
      <c r="A666" s="34"/>
      <c r="B666" s="238">
        <v>292421</v>
      </c>
      <c r="C666" s="34" t="s">
        <v>370</v>
      </c>
      <c r="D666" s="34" t="s">
        <v>167</v>
      </c>
      <c r="E666" s="34" t="s">
        <v>165</v>
      </c>
      <c r="F666" s="34" t="s">
        <v>205</v>
      </c>
      <c r="G666" s="34" t="s">
        <v>1008</v>
      </c>
      <c r="H666" s="34" t="s">
        <v>317</v>
      </c>
      <c r="I666" s="34" t="s">
        <v>36</v>
      </c>
      <c r="J666" s="34" t="s">
        <v>1429</v>
      </c>
      <c r="K666" s="34" t="s">
        <v>1421</v>
      </c>
      <c r="L666" s="34" t="s">
        <v>947</v>
      </c>
    </row>
    <row r="667" spans="1:12" x14ac:dyDescent="0.3">
      <c r="A667" s="34"/>
      <c r="B667" s="238">
        <v>288727</v>
      </c>
      <c r="C667" s="34" t="s">
        <v>320</v>
      </c>
      <c r="D667" s="34" t="s">
        <v>167</v>
      </c>
      <c r="E667" s="34" t="s">
        <v>165</v>
      </c>
      <c r="F667" s="34" t="s">
        <v>205</v>
      </c>
      <c r="G667" s="34" t="s">
        <v>254</v>
      </c>
      <c r="H667" s="34" t="s">
        <v>317</v>
      </c>
      <c r="I667" s="34" t="s">
        <v>36</v>
      </c>
      <c r="J667" s="34" t="s">
        <v>1429</v>
      </c>
      <c r="K667" s="34" t="s">
        <v>1421</v>
      </c>
      <c r="L667" s="34" t="s">
        <v>947</v>
      </c>
    </row>
    <row r="668" spans="1:12" x14ac:dyDescent="0.3">
      <c r="A668" s="34"/>
      <c r="B668" s="238">
        <v>279113</v>
      </c>
      <c r="C668" s="34" t="s">
        <v>1410</v>
      </c>
      <c r="D668" s="34" t="s">
        <v>167</v>
      </c>
      <c r="E668" s="34" t="s">
        <v>165</v>
      </c>
      <c r="F668" s="34" t="s">
        <v>1016</v>
      </c>
      <c r="G668" s="34" t="s">
        <v>547</v>
      </c>
      <c r="H668" s="34" t="s">
        <v>1177</v>
      </c>
      <c r="I668" s="34" t="s">
        <v>36</v>
      </c>
      <c r="J668" s="34" t="s">
        <v>1429</v>
      </c>
      <c r="K668" s="34" t="s">
        <v>1421</v>
      </c>
      <c r="L668" s="34" t="s">
        <v>554</v>
      </c>
    </row>
    <row r="669" spans="1:12" x14ac:dyDescent="0.3">
      <c r="A669" s="34"/>
      <c r="B669" s="238">
        <v>277526</v>
      </c>
      <c r="C669" s="34" t="s">
        <v>310</v>
      </c>
      <c r="D669" s="34" t="s">
        <v>167</v>
      </c>
      <c r="E669" s="34" t="s">
        <v>165</v>
      </c>
      <c r="F669" s="34" t="s">
        <v>192</v>
      </c>
      <c r="G669" s="34" t="s">
        <v>1008</v>
      </c>
      <c r="H669" s="34" t="s">
        <v>309</v>
      </c>
      <c r="I669" s="34" t="s">
        <v>36</v>
      </c>
      <c r="J669" s="34" t="s">
        <v>1429</v>
      </c>
      <c r="K669" s="34" t="s">
        <v>1421</v>
      </c>
      <c r="L669" s="34" t="s">
        <v>947</v>
      </c>
    </row>
    <row r="670" spans="1:12" x14ac:dyDescent="0.3">
      <c r="A670" s="34"/>
      <c r="B670" s="238">
        <v>263363</v>
      </c>
      <c r="C670" s="34" t="s">
        <v>2048</v>
      </c>
      <c r="D670" s="34" t="s">
        <v>167</v>
      </c>
      <c r="E670" s="34" t="s">
        <v>28</v>
      </c>
      <c r="F670" s="34" t="s">
        <v>2049</v>
      </c>
      <c r="G670" s="34" t="s">
        <v>547</v>
      </c>
      <c r="H670" s="34" t="s">
        <v>324</v>
      </c>
      <c r="I670" s="34" t="s">
        <v>36</v>
      </c>
      <c r="J670" s="34" t="s">
        <v>1420</v>
      </c>
      <c r="K670" s="34" t="s">
        <v>1433</v>
      </c>
      <c r="L670" s="34" t="s">
        <v>554</v>
      </c>
    </row>
    <row r="671" spans="1:12" x14ac:dyDescent="0.3">
      <c r="A671" s="34"/>
      <c r="B671" s="238">
        <v>259109</v>
      </c>
      <c r="C671" s="34" t="s">
        <v>1409</v>
      </c>
      <c r="D671" s="34" t="s">
        <v>167</v>
      </c>
      <c r="E671" s="34" t="s">
        <v>165</v>
      </c>
      <c r="F671" s="34" t="s">
        <v>198</v>
      </c>
      <c r="G671" s="34" t="s">
        <v>601</v>
      </c>
      <c r="H671" s="34" t="s">
        <v>1177</v>
      </c>
      <c r="I671" s="34" t="s">
        <v>36</v>
      </c>
      <c r="J671" s="34" t="s">
        <v>1429</v>
      </c>
      <c r="K671" s="34" t="s">
        <v>1421</v>
      </c>
      <c r="L671" s="34" t="s">
        <v>949</v>
      </c>
    </row>
    <row r="672" spans="1:12" x14ac:dyDescent="0.3">
      <c r="A672" s="34"/>
      <c r="B672" s="238">
        <v>258903</v>
      </c>
      <c r="C672" s="34" t="s">
        <v>234</v>
      </c>
      <c r="D672" s="34" t="s">
        <v>167</v>
      </c>
      <c r="E672" s="34" t="s">
        <v>165</v>
      </c>
      <c r="F672" s="34" t="s">
        <v>192</v>
      </c>
      <c r="G672" s="34" t="s">
        <v>547</v>
      </c>
      <c r="H672" s="34" t="s">
        <v>186</v>
      </c>
      <c r="I672" s="34" t="s">
        <v>36</v>
      </c>
      <c r="J672" s="34" t="s">
        <v>1429</v>
      </c>
      <c r="K672" s="34" t="s">
        <v>1421</v>
      </c>
      <c r="L672" s="34" t="s">
        <v>943</v>
      </c>
    </row>
    <row r="673" spans="1:12" x14ac:dyDescent="0.3">
      <c r="A673" s="34"/>
      <c r="B673" s="238">
        <v>227184</v>
      </c>
      <c r="C673" s="34" t="s">
        <v>321</v>
      </c>
      <c r="D673" s="34" t="s">
        <v>167</v>
      </c>
      <c r="E673" s="34" t="s">
        <v>165</v>
      </c>
      <c r="F673" s="34" t="s">
        <v>322</v>
      </c>
      <c r="G673" s="34" t="s">
        <v>254</v>
      </c>
      <c r="H673" s="34" t="s">
        <v>317</v>
      </c>
      <c r="I673" s="34" t="s">
        <v>36</v>
      </c>
      <c r="J673" s="34" t="s">
        <v>1429</v>
      </c>
      <c r="K673" s="34" t="s">
        <v>1433</v>
      </c>
      <c r="L673" s="34" t="s">
        <v>947</v>
      </c>
    </row>
    <row r="674" spans="1:12" x14ac:dyDescent="0.3">
      <c r="A674" s="34"/>
      <c r="B674" s="238">
        <v>223592</v>
      </c>
      <c r="C674" s="34" t="s">
        <v>519</v>
      </c>
      <c r="D674" s="34" t="s">
        <v>36</v>
      </c>
      <c r="E674" s="34" t="s">
        <v>165</v>
      </c>
      <c r="F674" s="34" t="s">
        <v>239</v>
      </c>
      <c r="G674" s="34" t="s">
        <v>170</v>
      </c>
      <c r="H674" s="34" t="s">
        <v>515</v>
      </c>
      <c r="I674" s="34" t="s">
        <v>36</v>
      </c>
      <c r="J674" s="34" t="s">
        <v>1429</v>
      </c>
      <c r="K674" s="34" t="s">
        <v>1421</v>
      </c>
      <c r="L674" s="34" t="s">
        <v>943</v>
      </c>
    </row>
    <row r="675" spans="1:12" x14ac:dyDescent="0.3">
      <c r="A675" s="34"/>
      <c r="B675" s="238">
        <v>221090</v>
      </c>
      <c r="C675" s="34" t="s">
        <v>817</v>
      </c>
      <c r="D675" s="34" t="s">
        <v>167</v>
      </c>
      <c r="E675" s="34" t="s">
        <v>28</v>
      </c>
      <c r="F675" s="34" t="s">
        <v>866</v>
      </c>
      <c r="G675" s="34" t="s">
        <v>1008</v>
      </c>
      <c r="H675" s="34" t="s">
        <v>211</v>
      </c>
      <c r="I675" s="34" t="s">
        <v>134</v>
      </c>
      <c r="J675" s="34" t="s">
        <v>1429</v>
      </c>
      <c r="K675" s="34" t="s">
        <v>1421</v>
      </c>
      <c r="L675" s="34" t="s">
        <v>947</v>
      </c>
    </row>
    <row r="676" spans="1:12" x14ac:dyDescent="0.3">
      <c r="A676" s="34"/>
      <c r="B676" s="238">
        <v>217578</v>
      </c>
      <c r="C676" s="34" t="s">
        <v>348</v>
      </c>
      <c r="D676" s="34" t="s">
        <v>36</v>
      </c>
      <c r="E676" s="34" t="s">
        <v>165</v>
      </c>
      <c r="F676" s="34" t="s">
        <v>196</v>
      </c>
      <c r="G676" s="34" t="s">
        <v>1008</v>
      </c>
      <c r="H676" s="34" t="s">
        <v>347</v>
      </c>
      <c r="I676" s="34" t="s">
        <v>36</v>
      </c>
      <c r="J676" s="34" t="s">
        <v>1429</v>
      </c>
      <c r="K676" s="34" t="s">
        <v>1421</v>
      </c>
      <c r="L676" s="34" t="s">
        <v>947</v>
      </c>
    </row>
    <row r="677" spans="1:12" x14ac:dyDescent="0.3">
      <c r="A677" s="34"/>
      <c r="B677" s="238"/>
      <c r="C677" s="34"/>
      <c r="D677" s="34"/>
      <c r="E677" s="34"/>
      <c r="F677" s="34"/>
      <c r="G677" s="34"/>
      <c r="H677" s="34"/>
      <c r="I677" s="34"/>
      <c r="J677" s="34"/>
      <c r="K677" s="34"/>
      <c r="L677" s="34"/>
    </row>
    <row r="678" spans="1:12" x14ac:dyDescent="0.3">
      <c r="A678" s="34"/>
      <c r="B678" s="238"/>
      <c r="C678" s="34"/>
      <c r="D678" s="34"/>
      <c r="E678" s="34"/>
      <c r="F678" s="34"/>
      <c r="G678" s="34"/>
      <c r="H678" s="34"/>
      <c r="I678" s="34"/>
      <c r="J678" s="34"/>
      <c r="K678" s="34"/>
      <c r="L678" s="34"/>
    </row>
    <row r="679" spans="1:12" x14ac:dyDescent="0.3">
      <c r="A679" s="34"/>
      <c r="B679" s="238"/>
      <c r="C679" s="34"/>
      <c r="D679" s="34"/>
      <c r="E679" s="34"/>
      <c r="F679" s="34"/>
      <c r="G679" s="34"/>
      <c r="H679" s="34"/>
      <c r="I679" s="34"/>
      <c r="J679" s="34"/>
      <c r="K679" s="34"/>
      <c r="L679" s="34"/>
    </row>
    <row r="680" spans="1:12" x14ac:dyDescent="0.3">
      <c r="A680" s="34"/>
      <c r="B680" s="238"/>
      <c r="C680" s="34"/>
      <c r="D680" s="34"/>
      <c r="E680" s="34"/>
      <c r="F680" s="34"/>
      <c r="G680" s="34"/>
      <c r="H680" s="34"/>
      <c r="I680" s="34"/>
      <c r="J680" s="34"/>
      <c r="K680" s="34"/>
      <c r="L680" s="34"/>
    </row>
    <row r="681" spans="1:12" x14ac:dyDescent="0.3">
      <c r="A681" s="34"/>
      <c r="B681" s="238"/>
      <c r="C681" s="34"/>
      <c r="D681" s="34"/>
      <c r="E681" s="34"/>
      <c r="F681" s="34"/>
      <c r="G681" s="34"/>
      <c r="H681" s="34"/>
      <c r="I681" s="34"/>
      <c r="J681" s="34"/>
      <c r="K681" s="34"/>
      <c r="L681" s="34"/>
    </row>
    <row r="682" spans="1:12" x14ac:dyDescent="0.3">
      <c r="A682" s="34"/>
      <c r="B682" s="238"/>
      <c r="C682" s="34"/>
      <c r="D682" s="34"/>
      <c r="E682" s="34"/>
      <c r="F682" s="34"/>
      <c r="G682" s="34"/>
      <c r="H682" s="34"/>
      <c r="I682" s="34"/>
      <c r="J682" s="34"/>
      <c r="K682" s="34"/>
      <c r="L682" s="34"/>
    </row>
    <row r="683" spans="1:12" x14ac:dyDescent="0.3">
      <c r="B683" s="95">
        <v>217578</v>
      </c>
      <c r="C683" s="95" t="s">
        <v>348</v>
      </c>
      <c r="D683" s="95" t="s">
        <v>36</v>
      </c>
      <c r="E683" s="95" t="s">
        <v>165</v>
      </c>
      <c r="F683" s="95" t="s">
        <v>196</v>
      </c>
      <c r="G683" s="95" t="s">
        <v>29</v>
      </c>
      <c r="H683" s="95" t="s">
        <v>347</v>
      </c>
      <c r="I683" s="95" t="s">
        <v>36</v>
      </c>
      <c r="J683" s="95" t="s">
        <v>1429</v>
      </c>
      <c r="K683" s="95" t="s">
        <v>1421</v>
      </c>
      <c r="L683" s="95" t="s">
        <v>947</v>
      </c>
    </row>
  </sheetData>
  <autoFilter ref="A2:M673"/>
  <hyperlinks>
    <hyperlink ref="B3" r:id="rId1" location="action=com.ibm.team.workitem.viewWorkItem&amp;id=1016898" display="https://gdccm01.gddsi.com:9443/ccm/web/projects/MUOS SAFe 4.0 Project - action=com.ibm.team.workitem.viewWorkItem&amp;id=1016898"/>
    <hyperlink ref="B4" r:id="rId2" location="action=com.ibm.team.workitem.viewWorkItem&amp;id=1016467" display="https://gdccm01.gddsi.com:9443/ccm/web/projects/MUOS SAFe 4.0 Project - action=com.ibm.team.workitem.viewWorkItem&amp;id=1016467"/>
    <hyperlink ref="B5" r:id="rId3" location="action=com.ibm.team.workitem.viewWorkItem&amp;id=1015621" display="https://gdccm01.gddsi.com:9443/ccm/web/projects/MUOS SAFe 4.0 Project - action=com.ibm.team.workitem.viewWorkItem&amp;id=1015621"/>
    <hyperlink ref="B6" r:id="rId4" location="action=com.ibm.team.workitem.viewWorkItem&amp;id=1015562" display="https://gdccm01.gddsi.com:9443/ccm/web/projects/MUOS SAFe 4.0 Project - action=com.ibm.team.workitem.viewWorkItem&amp;id=1015562"/>
    <hyperlink ref="B7" r:id="rId5" location="action=com.ibm.team.workitem.viewWorkItem&amp;id=1015556" display="https://gdccm01.gddsi.com:9443/ccm/web/projects/MUOS SAFe 4.0 Project - action=com.ibm.team.workitem.viewWorkItem&amp;id=1015556"/>
    <hyperlink ref="B8" r:id="rId6" location="action=com.ibm.team.workitem.viewWorkItem&amp;id=1015274" display="https://gdccm01.gddsi.com:9443/ccm/web/projects/MUOS SAFe 4.0 Project - action=com.ibm.team.workitem.viewWorkItem&amp;id=1015274"/>
    <hyperlink ref="B9" r:id="rId7" location="action=com.ibm.team.workitem.viewWorkItem&amp;id=1015114" display="https://gdccm01.gddsi.com:9443/ccm/web/projects/MUOS SAFe 4.0 Project - action=com.ibm.team.workitem.viewWorkItem&amp;id=1015114"/>
    <hyperlink ref="B10" r:id="rId8" location="action=com.ibm.team.workitem.viewWorkItem&amp;id=1014824" display="https://gdccm01.gddsi.com:9443/ccm/web/projects/MUOS SAFe 4.0 Project - action=com.ibm.team.workitem.viewWorkItem&amp;id=1014824"/>
    <hyperlink ref="B11" r:id="rId9" location="action=com.ibm.team.workitem.viewWorkItem&amp;id=1014694" display="https://gdccm01.gddsi.com:9443/ccm/web/projects/MUOS SAFe 4.0 Project - action=com.ibm.team.workitem.viewWorkItem&amp;id=1014694"/>
    <hyperlink ref="B12" r:id="rId10" location="action=com.ibm.team.workitem.viewWorkItem&amp;id=1014291" display="https://gdccm01.gddsi.com:9443/ccm/web/projects/MUOS SAFe 4.0 Project - action=com.ibm.team.workitem.viewWorkItem&amp;id=1014291"/>
    <hyperlink ref="B13" r:id="rId11" location="action=com.ibm.team.workitem.viewWorkItem&amp;id=1013978" display="https://gdccm01.gddsi.com:9443/ccm/web/projects/MUOS SAFe 4.0 Project - action=com.ibm.team.workitem.viewWorkItem&amp;id=1013978"/>
    <hyperlink ref="B14" r:id="rId12" location="action=com.ibm.team.workitem.viewWorkItem&amp;id=1013829" display="https://gdccm01.gddsi.com:9443/ccm/web/projects/MUOS SAFe 4.0 Project - action=com.ibm.team.workitem.viewWorkItem&amp;id=1013829"/>
    <hyperlink ref="B15" r:id="rId13" location="action=com.ibm.team.workitem.viewWorkItem&amp;id=1013826" display="https://gdccm01.gddsi.com:9443/ccm/web/projects/MUOS SAFe 4.0 Project - action=com.ibm.team.workitem.viewWorkItem&amp;id=1013826"/>
    <hyperlink ref="B16" r:id="rId14" location="action=com.ibm.team.workitem.viewWorkItem&amp;id=1013331" display="https://gdccm01.gddsi.com:9443/ccm/web/projects/MUOS SAFe 4.0 Project - action=com.ibm.team.workitem.viewWorkItem&amp;id=1013331"/>
    <hyperlink ref="B17" r:id="rId15" location="action=com.ibm.team.workitem.viewWorkItem&amp;id=1013151" display="https://gdccm01.gddsi.com:9443/ccm/web/projects/MUOS SAFe 4.0 Project - action=com.ibm.team.workitem.viewWorkItem&amp;id=1013151"/>
    <hyperlink ref="B18" r:id="rId16" location="action=com.ibm.team.workitem.viewWorkItem&amp;id=1013107" display="https://gdccm01.gddsi.com:9443/ccm/web/projects/MUOS SAFe 4.0 Project - action=com.ibm.team.workitem.viewWorkItem&amp;id=1013107"/>
    <hyperlink ref="B19" r:id="rId17" location="action=com.ibm.team.workitem.viewWorkItem&amp;id=1012013" display="https://gdccm01.gddsi.com:9443/ccm/web/projects/MUOS SAFe 4.0 Project - action=com.ibm.team.workitem.viewWorkItem&amp;id=1012013"/>
    <hyperlink ref="B20" r:id="rId18" location="action=com.ibm.team.workitem.viewWorkItem&amp;id=1011971" display="https://gdccm01.gddsi.com:9443/ccm/web/projects/MUOS SAFe 4.0 Project - action=com.ibm.team.workitem.viewWorkItem&amp;id=1011971"/>
    <hyperlink ref="B21" r:id="rId19" location="action=com.ibm.team.workitem.viewWorkItem&amp;id=1011921" display="https://gdccm01.gddsi.com:9443/ccm/web/projects/MUOS SAFe 4.0 Project - action=com.ibm.team.workitem.viewWorkItem&amp;id=1011921"/>
    <hyperlink ref="B22" r:id="rId20" location="action=com.ibm.team.workitem.viewWorkItem&amp;id=1011920" display="https://gdccm01.gddsi.com:9443/ccm/web/projects/MUOS SAFe 4.0 Project - action=com.ibm.team.workitem.viewWorkItem&amp;id=1011920"/>
    <hyperlink ref="B23" r:id="rId21" location="action=com.ibm.team.workitem.viewWorkItem&amp;id=1011452" display="https://gdccm01.gddsi.com:9443/ccm/web/projects/MUOS SAFe 4.0 Project - action=com.ibm.team.workitem.viewWorkItem&amp;id=1011452"/>
    <hyperlink ref="B24" r:id="rId22" location="action=com.ibm.team.workitem.viewWorkItem&amp;id=1010848" display="https://gdccm01.gddsi.com:9443/ccm/web/projects/MUOS SAFe 4.0 Project - action=com.ibm.team.workitem.viewWorkItem&amp;id=1010848"/>
    <hyperlink ref="B25" r:id="rId23" location="action=com.ibm.team.workitem.viewWorkItem&amp;id=1010846" display="https://gdccm01.gddsi.com:9443/ccm/web/projects/MUOS SAFe 4.0 Project - action=com.ibm.team.workitem.viewWorkItem&amp;id=1010846"/>
    <hyperlink ref="B26" r:id="rId24" location="action=com.ibm.team.workitem.viewWorkItem&amp;id=1010845" display="https://gdccm01.gddsi.com:9443/ccm/web/projects/MUOS SAFe 4.0 Project - action=com.ibm.team.workitem.viewWorkItem&amp;id=1010845"/>
    <hyperlink ref="B27" r:id="rId25" location="action=com.ibm.team.workitem.viewWorkItem&amp;id=1010201" display="https://gdccm01.gddsi.com:9443/ccm/web/projects/MUOS SAFe 4.0 Project - action=com.ibm.team.workitem.viewWorkItem&amp;id=1010201"/>
    <hyperlink ref="B28" r:id="rId26" location="action=com.ibm.team.workitem.viewWorkItem&amp;id=1010200" display="https://gdccm01.gddsi.com:9443/ccm/web/projects/MUOS SAFe 4.0 Project - action=com.ibm.team.workitem.viewWorkItem&amp;id=1010200"/>
    <hyperlink ref="B29" r:id="rId27" location="action=com.ibm.team.workitem.viewWorkItem&amp;id=1009591" display="https://gdccm01.gddsi.com:9443/ccm/web/projects/MUOS SAFe 4.0 Project - action=com.ibm.team.workitem.viewWorkItem&amp;id=1009591"/>
    <hyperlink ref="B30" r:id="rId28" location="action=com.ibm.team.workitem.viewWorkItem&amp;id=1009583" display="https://gdccm01.gddsi.com:9443/ccm/web/projects/MUOS SAFe 4.0 Project - action=com.ibm.team.workitem.viewWorkItem&amp;id=1009583"/>
    <hyperlink ref="B31" r:id="rId29" location="action=com.ibm.team.workitem.viewWorkItem&amp;id=1009524" display="https://gdccm01.gddsi.com:9443/ccm/web/projects/MUOS SAFe 4.0 Project - action=com.ibm.team.workitem.viewWorkItem&amp;id=1009524"/>
    <hyperlink ref="B32" r:id="rId30" location="action=com.ibm.team.workitem.viewWorkItem&amp;id=1008917" display="https://gdccm01.gddsi.com:9443/ccm/web/projects/MUOS SAFe 4.0 Project - action=com.ibm.team.workitem.viewWorkItem&amp;id=1008917"/>
    <hyperlink ref="B33" r:id="rId31" location="action=com.ibm.team.workitem.viewWorkItem&amp;id=1008473" display="https://gdccm01.gddsi.com:9443/ccm/web/projects/MUOS SAFe 4.0 Project - action=com.ibm.team.workitem.viewWorkItem&amp;id=1008473"/>
    <hyperlink ref="B34" r:id="rId32" location="action=com.ibm.team.workitem.viewWorkItem&amp;id=1008471" display="https://gdccm01.gddsi.com:9443/ccm/web/projects/MUOS SAFe 4.0 Project - action=com.ibm.team.workitem.viewWorkItem&amp;id=1008471"/>
    <hyperlink ref="B35" r:id="rId33" location="action=com.ibm.team.workitem.viewWorkItem&amp;id=1008278" display="https://gdccm01.gddsi.com:9443/ccm/web/projects/MUOS SAFe 4.0 Project - action=com.ibm.team.workitem.viewWorkItem&amp;id=1008278"/>
    <hyperlink ref="B36" r:id="rId34" location="action=com.ibm.team.workitem.viewWorkItem&amp;id=1008271" display="https://gdccm01.gddsi.com:9443/ccm/web/projects/MUOS SAFe 4.0 Project - action=com.ibm.team.workitem.viewWorkItem&amp;id=1008271"/>
    <hyperlink ref="B37" r:id="rId35" location="action=com.ibm.team.workitem.viewWorkItem&amp;id=1008269" display="https://gdccm01.gddsi.com:9443/ccm/web/projects/MUOS SAFe 4.0 Project - action=com.ibm.team.workitem.viewWorkItem&amp;id=1008269"/>
    <hyperlink ref="B38" r:id="rId36" location="action=com.ibm.team.workitem.viewWorkItem&amp;id=1007991" display="https://gdccm01.gddsi.com:9443/ccm/web/projects/MUOS SAFe 4.0 Project - action=com.ibm.team.workitem.viewWorkItem&amp;id=1007991"/>
    <hyperlink ref="B39" r:id="rId37" location="action=com.ibm.team.workitem.viewWorkItem&amp;id=1007826" display="https://gdccm01.gddsi.com:9443/ccm/web/projects/MUOS SAFe 4.0 Project - action=com.ibm.team.workitem.viewWorkItem&amp;id=1007826"/>
    <hyperlink ref="B40" r:id="rId38" location="action=com.ibm.team.workitem.viewWorkItem&amp;id=1007773" display="https://gdccm01.gddsi.com:9443/ccm/web/projects/MUOS SAFe 4.0 Project - action=com.ibm.team.workitem.viewWorkItem&amp;id=1007773"/>
    <hyperlink ref="B41" r:id="rId39" location="action=com.ibm.team.workitem.viewWorkItem&amp;id=1007757" display="https://gdccm01.gddsi.com:9443/ccm/web/projects/MUOS SAFe 4.0 Project - action=com.ibm.team.workitem.viewWorkItem&amp;id=1007757"/>
    <hyperlink ref="B42" r:id="rId40" location="action=com.ibm.team.workitem.viewWorkItem&amp;id=1007721" display="https://gdccm01.gddsi.com:9443/ccm/web/projects/MUOS SAFe 4.0 Project - action=com.ibm.team.workitem.viewWorkItem&amp;id=1007721"/>
    <hyperlink ref="B43" r:id="rId41" location="action=com.ibm.team.workitem.viewWorkItem&amp;id=1007245" display="https://gdccm01.gddsi.com:9443/ccm/web/projects/MUOS SAFe 4.0 Project - action=com.ibm.team.workitem.viewWorkItem&amp;id=1007245"/>
    <hyperlink ref="B44" r:id="rId42" location="action=com.ibm.team.workitem.viewWorkItem&amp;id=1007243" display="https://gdccm01.gddsi.com:9443/ccm/web/projects/MUOS SAFe 4.0 Project - action=com.ibm.team.workitem.viewWorkItem&amp;id=1007243"/>
    <hyperlink ref="B45" r:id="rId43" location="action=com.ibm.team.workitem.viewWorkItem&amp;id=1007242" display="https://gdccm01.gddsi.com:9443/ccm/web/projects/MUOS SAFe 4.0 Project - action=com.ibm.team.workitem.viewWorkItem&amp;id=1007242"/>
    <hyperlink ref="B46" r:id="rId44" location="action=com.ibm.team.workitem.viewWorkItem&amp;id=1007234" display="https://gdccm01.gddsi.com:9443/ccm/web/projects/MUOS SAFe 4.0 Project - action=com.ibm.team.workitem.viewWorkItem&amp;id=1007234"/>
    <hyperlink ref="B47" r:id="rId45" location="action=com.ibm.team.workitem.viewWorkItem&amp;id=1005843" display="https://gdccm01.gddsi.com:9443/ccm/web/projects/MUOS SAFe 4.0 Project - action=com.ibm.team.workitem.viewWorkItem&amp;id=1005843"/>
    <hyperlink ref="B48" r:id="rId46" location="action=com.ibm.team.workitem.viewWorkItem&amp;id=1005643" display="https://gdccm01.gddsi.com:9443/ccm/web/projects/MUOS SAFe 4.0 Project - action=com.ibm.team.workitem.viewWorkItem&amp;id=1005643"/>
    <hyperlink ref="B49" r:id="rId47" location="action=com.ibm.team.workitem.viewWorkItem&amp;id=1005317" display="https://gdccm01.gddsi.com:9443/ccm/web/projects/MUOS SAFe 4.0 Project - action=com.ibm.team.workitem.viewWorkItem&amp;id=1005317"/>
    <hyperlink ref="B50" r:id="rId48" location="action=com.ibm.team.workitem.viewWorkItem&amp;id=1005300" display="https://gdccm01.gddsi.com:9443/ccm/web/projects/MUOS SAFe 4.0 Project - action=com.ibm.team.workitem.viewWorkItem&amp;id=1005300"/>
    <hyperlink ref="B51" r:id="rId49" location="action=com.ibm.team.workitem.viewWorkItem&amp;id=1005277" display="https://gdccm01.gddsi.com:9443/ccm/web/projects/MUOS SAFe 4.0 Project - action=com.ibm.team.workitem.viewWorkItem&amp;id=1005277"/>
    <hyperlink ref="B52" r:id="rId50" location="action=com.ibm.team.workitem.viewWorkItem&amp;id=1005271" display="https://gdccm01.gddsi.com:9443/ccm/web/projects/MUOS SAFe 4.0 Project - action=com.ibm.team.workitem.viewWorkItem&amp;id=1005271"/>
    <hyperlink ref="B53" r:id="rId51" location="action=com.ibm.team.workitem.viewWorkItem&amp;id=1005261" display="https://gdccm01.gddsi.com:9443/ccm/web/projects/MUOS SAFe 4.0 Project - action=com.ibm.team.workitem.viewWorkItem&amp;id=1005261"/>
    <hyperlink ref="B54" r:id="rId52" location="action=com.ibm.team.workitem.viewWorkItem&amp;id=1005210" display="https://gdccm01.gddsi.com:9443/ccm/web/projects/MUOS SAFe 4.0 Project - action=com.ibm.team.workitem.viewWorkItem&amp;id=1005210"/>
    <hyperlink ref="B55" r:id="rId53" location="action=com.ibm.team.workitem.viewWorkItem&amp;id=1004801" display="https://gdccm01.gddsi.com:9443/ccm/web/projects/MUOS SAFe 4.0 Project - action=com.ibm.team.workitem.viewWorkItem&amp;id=1004801"/>
    <hyperlink ref="B56" r:id="rId54" location="action=com.ibm.team.workitem.viewWorkItem&amp;id=1004782" display="https://gdccm01.gddsi.com:9443/ccm/web/projects/MUOS SAFe 4.0 Project - action=com.ibm.team.workitem.viewWorkItem&amp;id=1004782"/>
    <hyperlink ref="B57" r:id="rId55" location="action=com.ibm.team.workitem.viewWorkItem&amp;id=1004759" display="https://gdccm01.gddsi.com:9443/ccm/web/projects/MUOS SAFe 4.0 Project - action=com.ibm.team.workitem.viewWorkItem&amp;id=1004759"/>
    <hyperlink ref="B58" r:id="rId56" location="action=com.ibm.team.workitem.viewWorkItem&amp;id=1004099" display="https://gdccm01.gddsi.com:9443/ccm/web/projects/MUOS SAFe 4.0 Project - action=com.ibm.team.workitem.viewWorkItem&amp;id=1004099"/>
    <hyperlink ref="B59" r:id="rId57" location="action=com.ibm.team.workitem.viewWorkItem&amp;id=1004016" display="https://gdccm01.gddsi.com:9443/ccm/web/projects/MUOS SAFe 4.0 Project - action=com.ibm.team.workitem.viewWorkItem&amp;id=1004016"/>
    <hyperlink ref="B60" r:id="rId58" location="action=com.ibm.team.workitem.viewWorkItem&amp;id=1003867" display="https://gdccm01.gddsi.com:9443/ccm/web/projects/MUOS SAFe 4.0 Project - action=com.ibm.team.workitem.viewWorkItem&amp;id=1003867"/>
    <hyperlink ref="B61" r:id="rId59" location="action=com.ibm.team.workitem.viewWorkItem&amp;id=1003865" display="https://gdccm01.gddsi.com:9443/ccm/web/projects/MUOS SAFe 4.0 Project - action=com.ibm.team.workitem.viewWorkItem&amp;id=1003865"/>
    <hyperlink ref="B62" r:id="rId60" location="action=com.ibm.team.workitem.viewWorkItem&amp;id=1003864" display="https://gdccm01.gddsi.com:9443/ccm/web/projects/MUOS SAFe 4.0 Project - action=com.ibm.team.workitem.viewWorkItem&amp;id=1003864"/>
    <hyperlink ref="B63" r:id="rId61" location="action=com.ibm.team.workitem.viewWorkItem&amp;id=1003719" display="https://gdccm01.gddsi.com:9443/ccm/web/projects/MUOS SAFe 4.0 Project - action=com.ibm.team.workitem.viewWorkItem&amp;id=1003719"/>
    <hyperlink ref="B64" r:id="rId62" location="action=com.ibm.team.workitem.viewWorkItem&amp;id=1003569" display="https://gdccm01.gddsi.com:9443/ccm/web/projects/MUOS SAFe 4.0 Project - action=com.ibm.team.workitem.viewWorkItem&amp;id=1003569"/>
    <hyperlink ref="B65" r:id="rId63" location="action=com.ibm.team.workitem.viewWorkItem&amp;id=1003351" display="https://gdccm01.gddsi.com:9443/ccm/web/projects/MUOS SAFe 4.0 Project - action=com.ibm.team.workitem.viewWorkItem&amp;id=1003351"/>
    <hyperlink ref="B66" r:id="rId64" location="action=com.ibm.team.workitem.viewWorkItem&amp;id=1003195" display="https://gdccm01.gddsi.com:9443/ccm/web/projects/MUOS SAFe 4.0 Project - action=com.ibm.team.workitem.viewWorkItem&amp;id=1003195"/>
    <hyperlink ref="B67" r:id="rId65" location="action=com.ibm.team.workitem.viewWorkItem&amp;id=1002724" display="https://gdccm01.gddsi.com:9443/ccm/web/projects/MUOS SAFe 4.0 Project - action=com.ibm.team.workitem.viewWorkItem&amp;id=1002724"/>
    <hyperlink ref="B68" r:id="rId66" location="action=com.ibm.team.workitem.viewWorkItem&amp;id=1001571" display="https://gdccm01.gddsi.com:9443/ccm/web/projects/MUOS SAFe 4.0 Project - action=com.ibm.team.workitem.viewWorkItem&amp;id=1001571"/>
    <hyperlink ref="B69" r:id="rId67" location="action=com.ibm.team.workitem.viewWorkItem&amp;id=1001222" display="https://gdccm01.gddsi.com:9443/ccm/web/projects/MUOS SAFe 4.0 Project - action=com.ibm.team.workitem.viewWorkItem&amp;id=1001222"/>
    <hyperlink ref="B70" r:id="rId68" location="action=com.ibm.team.workitem.viewWorkItem&amp;id=1000411" display="https://gdccm01.gddsi.com:9443/ccm/web/projects/MUOS SAFe 4.0 Project - action=com.ibm.team.workitem.viewWorkItem&amp;id=1000411"/>
    <hyperlink ref="B71" r:id="rId69" location="action=com.ibm.team.workitem.viewWorkItem&amp;id=1000405" display="https://gdccm01.gddsi.com:9443/ccm/web/projects/MUOS SAFe 4.0 Project - action=com.ibm.team.workitem.viewWorkItem&amp;id=1000405"/>
    <hyperlink ref="B72" r:id="rId70" location="action=com.ibm.team.workitem.viewWorkItem&amp;id=1000404" display="https://gdccm01.gddsi.com:9443/ccm/web/projects/MUOS SAFe 4.0 Project - action=com.ibm.team.workitem.viewWorkItem&amp;id=1000404"/>
    <hyperlink ref="B73" r:id="rId71" location="action=com.ibm.team.workitem.viewWorkItem&amp;id=1000403" display="https://gdccm01.gddsi.com:9443/ccm/web/projects/MUOS SAFe 4.0 Project - action=com.ibm.team.workitem.viewWorkItem&amp;id=1000403"/>
    <hyperlink ref="B74" r:id="rId72" location="action=com.ibm.team.workitem.viewWorkItem&amp;id=1000393" display="https://gdccm01.gddsi.com:9443/ccm/web/projects/MUOS SAFe 4.0 Project - action=com.ibm.team.workitem.viewWorkItem&amp;id=1000393"/>
    <hyperlink ref="B75" r:id="rId73" location="action=com.ibm.team.workitem.viewWorkItem&amp;id=396968" display="https://gdccm01.gddsi.com:9443/ccm/web/projects/MUOS SAFe 4.0 Project - action=com.ibm.team.workitem.viewWorkItem&amp;id=396968"/>
    <hyperlink ref="B76" r:id="rId74" location="action=com.ibm.team.workitem.viewWorkItem&amp;id=396857" display="https://gdccm01.gddsi.com:9443/ccm/web/projects/MUOS SAFe 4.0 Project - action=com.ibm.team.workitem.viewWorkItem&amp;id=396857"/>
    <hyperlink ref="B77" r:id="rId75" location="action=com.ibm.team.workitem.viewWorkItem&amp;id=396697" display="https://gdccm01.gddsi.com:9443/ccm/web/projects/MUOS SAFe 4.0 Project - action=com.ibm.team.workitem.viewWorkItem&amp;id=396697"/>
    <hyperlink ref="B78" r:id="rId76" location="action=com.ibm.team.workitem.viewWorkItem&amp;id=395962" display="https://gdccm01.gddsi.com:9443/ccm/web/projects/MUOS SAFe 4.0 Project - action=com.ibm.team.workitem.viewWorkItem&amp;id=395962"/>
    <hyperlink ref="B79" r:id="rId77" location="action=com.ibm.team.workitem.viewWorkItem&amp;id=395797" display="https://gdccm01.gddsi.com:9443/ccm/web/projects/MUOS SAFe 4.0 Project - action=com.ibm.team.workitem.viewWorkItem&amp;id=395797"/>
    <hyperlink ref="B80" r:id="rId78" location="action=com.ibm.team.workitem.viewWorkItem&amp;id=395639" display="https://gdccm01.gddsi.com:9443/ccm/web/projects/MUOS SAFe 4.0 Project - action=com.ibm.team.workitem.viewWorkItem&amp;id=395639"/>
    <hyperlink ref="B81" r:id="rId79" location="action=com.ibm.team.workitem.viewWorkItem&amp;id=395355" display="https://gdccm01.gddsi.com:9443/ccm/web/projects/MUOS SAFe 4.0 Project - action=com.ibm.team.workitem.viewWorkItem&amp;id=395355"/>
    <hyperlink ref="B82" r:id="rId80" location="action=com.ibm.team.workitem.viewWorkItem&amp;id=395315" display="https://gdccm01.gddsi.com:9443/ccm/web/projects/MUOS SAFe 4.0 Project - action=com.ibm.team.workitem.viewWorkItem&amp;id=395315"/>
    <hyperlink ref="B83" r:id="rId81" location="action=com.ibm.team.workitem.viewWorkItem&amp;id=395264" display="https://gdccm01.gddsi.com:9443/ccm/web/projects/MUOS SAFe 4.0 Project - action=com.ibm.team.workitem.viewWorkItem&amp;id=395264"/>
    <hyperlink ref="B84" r:id="rId82" location="action=com.ibm.team.workitem.viewWorkItem&amp;id=395235" display="https://gdccm01.gddsi.com:9443/ccm/web/projects/MUOS SAFe 4.0 Project - action=com.ibm.team.workitem.viewWorkItem&amp;id=395235"/>
    <hyperlink ref="B85" r:id="rId83" location="action=com.ibm.team.workitem.viewWorkItem&amp;id=395002" display="https://gdccm01.gddsi.com:9443/ccm/web/projects/MUOS SAFe 4.0 Project - action=com.ibm.team.workitem.viewWorkItem&amp;id=395002"/>
    <hyperlink ref="B86" r:id="rId84" location="action=com.ibm.team.workitem.viewWorkItem&amp;id=394963" display="https://gdccm01.gddsi.com:9443/ccm/web/projects/MUOS SAFe 4.0 Project - action=com.ibm.team.workitem.viewWorkItem&amp;id=394963"/>
    <hyperlink ref="B87" r:id="rId85" location="action=com.ibm.team.workitem.viewWorkItem&amp;id=394949" display="https://gdccm01.gddsi.com:9443/ccm/web/projects/MUOS SAFe 4.0 Project - action=com.ibm.team.workitem.viewWorkItem&amp;id=394949"/>
    <hyperlink ref="B88" r:id="rId86" location="action=com.ibm.team.workitem.viewWorkItem&amp;id=394931" display="https://gdccm01.gddsi.com:9443/ccm/web/projects/MUOS SAFe 4.0 Project - action=com.ibm.team.workitem.viewWorkItem&amp;id=394931"/>
    <hyperlink ref="B89" r:id="rId87" location="action=com.ibm.team.workitem.viewWorkItem&amp;id=394069" display="https://gdccm01.gddsi.com:9443/ccm/web/projects/MUOS SAFe 4.0 Project - action=com.ibm.team.workitem.viewWorkItem&amp;id=394069"/>
    <hyperlink ref="B90" r:id="rId88" location="action=com.ibm.team.workitem.viewWorkItem&amp;id=394068" display="https://gdccm01.gddsi.com:9443/ccm/web/projects/MUOS SAFe 4.0 Project - action=com.ibm.team.workitem.viewWorkItem&amp;id=394068"/>
    <hyperlink ref="B91" r:id="rId89" location="action=com.ibm.team.workitem.viewWorkItem&amp;id=394050" display="https://gdccm01.gddsi.com:9443/ccm/web/projects/MUOS SAFe 4.0 Project - action=com.ibm.team.workitem.viewWorkItem&amp;id=394050"/>
    <hyperlink ref="B92" r:id="rId90" location="action=com.ibm.team.workitem.viewWorkItem&amp;id=394045" display="https://gdccm01.gddsi.com:9443/ccm/web/projects/MUOS SAFe 4.0 Project - action=com.ibm.team.workitem.viewWorkItem&amp;id=394045"/>
    <hyperlink ref="B93" r:id="rId91" location="action=com.ibm.team.workitem.viewWorkItem&amp;id=393833" display="https://gdccm01.gddsi.com:9443/ccm/web/projects/MUOS SAFe 4.0 Project - action=com.ibm.team.workitem.viewWorkItem&amp;id=393833"/>
    <hyperlink ref="B94" r:id="rId92" location="action=com.ibm.team.workitem.viewWorkItem&amp;id=393526" display="https://gdccm01.gddsi.com:9443/ccm/web/projects/MUOS SAFe 4.0 Project - action=com.ibm.team.workitem.viewWorkItem&amp;id=393526"/>
    <hyperlink ref="B95" r:id="rId93" location="action=com.ibm.team.workitem.viewWorkItem&amp;id=393348" display="https://gdccm01.gddsi.com:9443/ccm/web/projects/MUOS SAFe 4.0 Project - action=com.ibm.team.workitem.viewWorkItem&amp;id=393348"/>
    <hyperlink ref="B96" r:id="rId94" location="action=com.ibm.team.workitem.viewWorkItem&amp;id=393346" display="https://gdccm01.gddsi.com:9443/ccm/web/projects/MUOS SAFe 4.0 Project - action=com.ibm.team.workitem.viewWorkItem&amp;id=393346"/>
    <hyperlink ref="B97" r:id="rId95" location="action=com.ibm.team.workitem.viewWorkItem&amp;id=393262" display="https://gdccm01.gddsi.com:9443/ccm/web/projects/MUOS SAFe 4.0 Project - action=com.ibm.team.workitem.viewWorkItem&amp;id=393262"/>
    <hyperlink ref="B98" r:id="rId96" location="action=com.ibm.team.workitem.viewWorkItem&amp;id=393252" display="https://gdccm01.gddsi.com:9443/ccm/web/projects/MUOS SAFe 4.0 Project - action=com.ibm.team.workitem.viewWorkItem&amp;id=393252"/>
    <hyperlink ref="B99" r:id="rId97" location="action=com.ibm.team.workitem.viewWorkItem&amp;id=393251" display="https://gdccm01.gddsi.com:9443/ccm/web/projects/MUOS SAFe 4.0 Project - action=com.ibm.team.workitem.viewWorkItem&amp;id=393251"/>
    <hyperlink ref="B100" r:id="rId98" location="action=com.ibm.team.workitem.viewWorkItem&amp;id=393249" display="https://gdccm01.gddsi.com:9443/ccm/web/projects/MUOS SAFe 4.0 Project - action=com.ibm.team.workitem.viewWorkItem&amp;id=393249"/>
    <hyperlink ref="B101" r:id="rId99" location="action=com.ibm.team.workitem.viewWorkItem&amp;id=393215" display="https://gdccm01.gddsi.com:9443/ccm/web/projects/MUOS SAFe 4.0 Project - action=com.ibm.team.workitem.viewWorkItem&amp;id=393215"/>
    <hyperlink ref="B102" r:id="rId100" location="action=com.ibm.team.workitem.viewWorkItem&amp;id=392688" display="https://gdccm01.gddsi.com:9443/ccm/web/projects/MUOS SAFe 4.0 Project - action=com.ibm.team.workitem.viewWorkItem&amp;id=392688"/>
    <hyperlink ref="B103" r:id="rId101" location="action=com.ibm.team.workitem.viewWorkItem&amp;id=392258" display="https://gdccm01.gddsi.com:9443/ccm/web/projects/MUOS SAFe 4.0 Project - action=com.ibm.team.workitem.viewWorkItem&amp;id=392258"/>
    <hyperlink ref="B104" r:id="rId102" location="action=com.ibm.team.workitem.viewWorkItem&amp;id=391189" display="https://gdccm01.gddsi.com:9443/ccm/web/projects/MUOS SAFe 4.0 Project - action=com.ibm.team.workitem.viewWorkItem&amp;id=391189"/>
    <hyperlink ref="B105" r:id="rId103" location="action=com.ibm.team.workitem.viewWorkItem&amp;id=391187" display="https://gdccm01.gddsi.com:9443/ccm/web/projects/MUOS SAFe 4.0 Project - action=com.ibm.team.workitem.viewWorkItem&amp;id=391187"/>
    <hyperlink ref="B106" r:id="rId104" location="action=com.ibm.team.workitem.viewWorkItem&amp;id=391181" display="https://gdccm01.gddsi.com:9443/ccm/web/projects/MUOS SAFe 4.0 Project - action=com.ibm.team.workitem.viewWorkItem&amp;id=391181"/>
    <hyperlink ref="B107" r:id="rId105" location="action=com.ibm.team.workitem.viewWorkItem&amp;id=391179" display="https://gdccm01.gddsi.com:9443/ccm/web/projects/MUOS SAFe 4.0 Project - action=com.ibm.team.workitem.viewWorkItem&amp;id=391179"/>
    <hyperlink ref="B108" r:id="rId106" location="action=com.ibm.team.workitem.viewWorkItem&amp;id=390942" display="https://gdccm01.gddsi.com:9443/ccm/web/projects/MUOS SAFe 4.0 Project - action=com.ibm.team.workitem.viewWorkItem&amp;id=390942"/>
    <hyperlink ref="B109" r:id="rId107" location="action=com.ibm.team.workitem.viewWorkItem&amp;id=390935" display="https://gdccm01.gddsi.com:9443/ccm/web/projects/MUOS SAFe 4.0 Project - action=com.ibm.team.workitem.viewWorkItem&amp;id=390935"/>
    <hyperlink ref="B110" r:id="rId108" location="action=com.ibm.team.workitem.viewWorkItem&amp;id=390922" display="https://gdccm01.gddsi.com:9443/ccm/web/projects/MUOS SAFe 4.0 Project - action=com.ibm.team.workitem.viewWorkItem&amp;id=390922"/>
    <hyperlink ref="B111" r:id="rId109" location="action=com.ibm.team.workitem.viewWorkItem&amp;id=390758" display="https://gdccm01.gddsi.com:9443/ccm/web/projects/MUOS SAFe 4.0 Project - action=com.ibm.team.workitem.viewWorkItem&amp;id=390758"/>
    <hyperlink ref="B112" r:id="rId110" location="action=com.ibm.team.workitem.viewWorkItem&amp;id=390661" display="https://gdccm01.gddsi.com:9443/ccm/web/projects/MUOS SAFe 4.0 Project - action=com.ibm.team.workitem.viewWorkItem&amp;id=390661"/>
    <hyperlink ref="B113" r:id="rId111" location="action=com.ibm.team.workitem.viewWorkItem&amp;id=390656" display="https://gdccm01.gddsi.com:9443/ccm/web/projects/MUOS SAFe 4.0 Project - action=com.ibm.team.workitem.viewWorkItem&amp;id=390656"/>
    <hyperlink ref="B114" r:id="rId112" location="action=com.ibm.team.workitem.viewWorkItem&amp;id=390645" display="https://gdccm01.gddsi.com:9443/ccm/web/projects/MUOS SAFe 4.0 Project - action=com.ibm.team.workitem.viewWorkItem&amp;id=390645"/>
    <hyperlink ref="B115" r:id="rId113" location="action=com.ibm.team.workitem.viewWorkItem&amp;id=390418" display="https://gdccm01.gddsi.com:9443/ccm/web/projects/MUOS SAFe 4.0 Project - action=com.ibm.team.workitem.viewWorkItem&amp;id=390418"/>
    <hyperlink ref="B116" r:id="rId114" location="action=com.ibm.team.workitem.viewWorkItem&amp;id=389459" display="https://gdccm01.gddsi.com:9443/ccm/web/projects/MUOS SAFe 4.0 Project - action=com.ibm.team.workitem.viewWorkItem&amp;id=389459"/>
    <hyperlink ref="B117" r:id="rId115" location="action=com.ibm.team.workitem.viewWorkItem&amp;id=389429" display="https://gdccm01.gddsi.com:9443/ccm/web/projects/MUOS SAFe 4.0 Project - action=com.ibm.team.workitem.viewWorkItem&amp;id=389429"/>
    <hyperlink ref="B118" r:id="rId116" location="action=com.ibm.team.workitem.viewWorkItem&amp;id=389202" display="https://gdccm01.gddsi.com:9443/ccm/web/projects/MUOS SAFe 4.0 Project - action=com.ibm.team.workitem.viewWorkItem&amp;id=389202"/>
    <hyperlink ref="B119" r:id="rId117" location="action=com.ibm.team.workitem.viewWorkItem&amp;id=389160" display="https://gdccm01.gddsi.com:9443/ccm/web/projects/MUOS SAFe 4.0 Project - action=com.ibm.team.workitem.viewWorkItem&amp;id=389160"/>
    <hyperlink ref="B120" r:id="rId118" location="action=com.ibm.team.workitem.viewWorkItem&amp;id=389148" display="https://gdccm01.gddsi.com:9443/ccm/web/projects/MUOS SAFe 4.0 Project - action=com.ibm.team.workitem.viewWorkItem&amp;id=389148"/>
    <hyperlink ref="B121" r:id="rId119" location="action=com.ibm.team.workitem.viewWorkItem&amp;id=389110" display="https://gdccm01.gddsi.com:9443/ccm/web/projects/MUOS SAFe 4.0 Project - action=com.ibm.team.workitem.viewWorkItem&amp;id=389110"/>
    <hyperlink ref="B122" r:id="rId120" location="action=com.ibm.team.workitem.viewWorkItem&amp;id=388988" display="https://gdccm01.gddsi.com:9443/ccm/web/projects/MUOS SAFe 4.0 Project - action=com.ibm.team.workitem.viewWorkItem&amp;id=388988"/>
    <hyperlink ref="B123" r:id="rId121" location="action=com.ibm.team.workitem.viewWorkItem&amp;id=388833" display="https://gdccm01.gddsi.com:9443/ccm/web/projects/MUOS SAFe 4.0 Project - action=com.ibm.team.workitem.viewWorkItem&amp;id=388833"/>
    <hyperlink ref="B124" r:id="rId122" location="action=com.ibm.team.workitem.viewWorkItem&amp;id=388793" display="https://gdccm01.gddsi.com:9443/ccm/web/projects/MUOS SAFe 4.0 Project - action=com.ibm.team.workitem.viewWorkItem&amp;id=388793"/>
    <hyperlink ref="B125" r:id="rId123" location="action=com.ibm.team.workitem.viewWorkItem&amp;id=388760" display="https://gdccm01.gddsi.com:9443/ccm/web/projects/MUOS SAFe 4.0 Project - action=com.ibm.team.workitem.viewWorkItem&amp;id=388760"/>
    <hyperlink ref="B126" r:id="rId124" location="action=com.ibm.team.workitem.viewWorkItem&amp;id=388543" display="https://gdccm01.gddsi.com:9443/ccm/web/projects/MUOS SAFe 4.0 Project - action=com.ibm.team.workitem.viewWorkItem&amp;id=388543"/>
    <hyperlink ref="B127" r:id="rId125" location="action=com.ibm.team.workitem.viewWorkItem&amp;id=388540" display="https://gdccm01.gddsi.com:9443/ccm/web/projects/MUOS SAFe 4.0 Project - action=com.ibm.team.workitem.viewWorkItem&amp;id=388540"/>
    <hyperlink ref="B128" r:id="rId126" location="action=com.ibm.team.workitem.viewWorkItem&amp;id=388532" display="https://gdccm01.gddsi.com:9443/ccm/web/projects/MUOS SAFe 4.0 Project - action=com.ibm.team.workitem.viewWorkItem&amp;id=388532"/>
    <hyperlink ref="B129" r:id="rId127" location="action=com.ibm.team.workitem.viewWorkItem&amp;id=388530" display="https://gdccm01.gddsi.com:9443/ccm/web/projects/MUOS SAFe 4.0 Project - action=com.ibm.team.workitem.viewWorkItem&amp;id=388530"/>
    <hyperlink ref="B130" r:id="rId128" location="action=com.ibm.team.workitem.viewWorkItem&amp;id=388279" display="https://gdccm01.gddsi.com:9443/ccm/web/projects/MUOS SAFe 4.0 Project - action=com.ibm.team.workitem.viewWorkItem&amp;id=388279"/>
    <hyperlink ref="B131" r:id="rId129" location="action=com.ibm.team.workitem.viewWorkItem&amp;id=388274" display="https://gdccm01.gddsi.com:9443/ccm/web/projects/MUOS SAFe 4.0 Project - action=com.ibm.team.workitem.viewWorkItem&amp;id=388274"/>
    <hyperlink ref="B132" r:id="rId130" location="action=com.ibm.team.workitem.viewWorkItem&amp;id=388267" display="https://gdccm01.gddsi.com:9443/ccm/web/projects/MUOS SAFe 4.0 Project - action=com.ibm.team.workitem.viewWorkItem&amp;id=388267"/>
    <hyperlink ref="B133" r:id="rId131" location="action=com.ibm.team.workitem.viewWorkItem&amp;id=388264" display="https://gdccm01.gddsi.com:9443/ccm/web/projects/MUOS SAFe 4.0 Project - action=com.ibm.team.workitem.viewWorkItem&amp;id=388264"/>
    <hyperlink ref="B134" r:id="rId132" location="action=com.ibm.team.workitem.viewWorkItem&amp;id=388261" display="https://gdccm01.gddsi.com:9443/ccm/web/projects/MUOS SAFe 4.0 Project - action=com.ibm.team.workitem.viewWorkItem&amp;id=388261"/>
    <hyperlink ref="B135" r:id="rId133" location="action=com.ibm.team.workitem.viewWorkItem&amp;id=388257" display="https://gdccm01.gddsi.com:9443/ccm/web/projects/MUOS SAFe 4.0 Project - action=com.ibm.team.workitem.viewWorkItem&amp;id=388257"/>
    <hyperlink ref="B136" r:id="rId134" location="action=com.ibm.team.workitem.viewWorkItem&amp;id=387697" display="https://gdccm01.gddsi.com:9443/ccm/web/projects/MUOS SAFe 4.0 Project - action=com.ibm.team.workitem.viewWorkItem&amp;id=387697"/>
    <hyperlink ref="B137" r:id="rId135" location="action=com.ibm.team.workitem.viewWorkItem&amp;id=387514" display="https://gdccm01.gddsi.com:9443/ccm/web/projects/MUOS SAFe 4.0 Project - action=com.ibm.team.workitem.viewWorkItem&amp;id=387514"/>
    <hyperlink ref="B138" r:id="rId136" location="action=com.ibm.team.workitem.viewWorkItem&amp;id=387495" display="https://gdccm01.gddsi.com:9443/ccm/web/projects/MUOS SAFe 4.0 Project - action=com.ibm.team.workitem.viewWorkItem&amp;id=387495"/>
    <hyperlink ref="B139" r:id="rId137" location="action=com.ibm.team.workitem.viewWorkItem&amp;id=386118" display="https://gdccm01.gddsi.com:9443/ccm/web/projects/MUOS SAFe 4.0 Project - action=com.ibm.team.workitem.viewWorkItem&amp;id=386118"/>
    <hyperlink ref="B140" r:id="rId138" location="action=com.ibm.team.workitem.viewWorkItem&amp;id=386116" display="https://gdccm01.gddsi.com:9443/ccm/web/projects/MUOS SAFe 4.0 Project - action=com.ibm.team.workitem.viewWorkItem&amp;id=386116"/>
    <hyperlink ref="B141" r:id="rId139" location="action=com.ibm.team.workitem.viewWorkItem&amp;id=385349" display="https://gdccm01.gddsi.com:9443/ccm/web/projects/MUOS SAFe 4.0 Project - action=com.ibm.team.workitem.viewWorkItem&amp;id=385349"/>
    <hyperlink ref="B142" r:id="rId140" location="action=com.ibm.team.workitem.viewWorkItem&amp;id=384578" display="https://gdccm01.gddsi.com:9443/ccm/web/projects/MUOS SAFe 4.0 Project - action=com.ibm.team.workitem.viewWorkItem&amp;id=384578"/>
    <hyperlink ref="B143" r:id="rId141" location="action=com.ibm.team.workitem.viewWorkItem&amp;id=384411" display="https://gdccm01.gddsi.com:9443/ccm/web/projects/MUOS SAFe 4.0 Project - action=com.ibm.team.workitem.viewWorkItem&amp;id=384411"/>
    <hyperlink ref="B144" r:id="rId142" location="action=com.ibm.team.workitem.viewWorkItem&amp;id=384270" display="https://gdccm01.gddsi.com:9443/ccm/web/projects/MUOS SAFe 4.0 Project - action=com.ibm.team.workitem.viewWorkItem&amp;id=384270"/>
    <hyperlink ref="B145" r:id="rId143" location="action=com.ibm.team.workitem.viewWorkItem&amp;id=383907" display="https://gdccm01.gddsi.com:9443/ccm/web/projects/MUOS SAFe 4.0 Project - action=com.ibm.team.workitem.viewWorkItem&amp;id=383907"/>
    <hyperlink ref="B146" r:id="rId144" location="action=com.ibm.team.workitem.viewWorkItem&amp;id=383474" display="https://gdccm01.gddsi.com:9443/ccm/web/projects/MUOS SAFe 4.0 Project - action=com.ibm.team.workitem.viewWorkItem&amp;id=383474"/>
    <hyperlink ref="B147" r:id="rId145" location="action=com.ibm.team.workitem.viewWorkItem&amp;id=383207" display="https://gdccm01.gddsi.com:9443/ccm/web/projects/MUOS SAFe 4.0 Project - action=com.ibm.team.workitem.viewWorkItem&amp;id=383207"/>
    <hyperlink ref="B148" r:id="rId146" location="action=com.ibm.team.workitem.viewWorkItem&amp;id=382643" display="https://gdccm01.gddsi.com:9443/ccm/web/projects/MUOS SAFe 4.0 Project - action=com.ibm.team.workitem.viewWorkItem&amp;id=382643"/>
    <hyperlink ref="B149" r:id="rId147" location="action=com.ibm.team.workitem.viewWorkItem&amp;id=382253" display="https://gdccm01.gddsi.com:9443/ccm/web/projects/MUOS SAFe 4.0 Project - action=com.ibm.team.workitem.viewWorkItem&amp;id=382253"/>
    <hyperlink ref="B150" r:id="rId148" location="action=com.ibm.team.workitem.viewWorkItem&amp;id=381963" display="https://gdccm01.gddsi.com:9443/ccm/web/projects/MUOS SAFe 4.0 Project - action=com.ibm.team.workitem.viewWorkItem&amp;id=381963"/>
    <hyperlink ref="B151" r:id="rId149" location="action=com.ibm.team.workitem.viewWorkItem&amp;id=381955" display="https://gdccm01.gddsi.com:9443/ccm/web/projects/MUOS SAFe 4.0 Project - action=com.ibm.team.workitem.viewWorkItem&amp;id=381955"/>
    <hyperlink ref="B152" r:id="rId150" location="action=com.ibm.team.workitem.viewWorkItem&amp;id=381688" display="https://gdccm01.gddsi.com:9443/ccm/web/projects/MUOS SAFe 4.0 Project - action=com.ibm.team.workitem.viewWorkItem&amp;id=381688"/>
    <hyperlink ref="B153" r:id="rId151" location="action=com.ibm.team.workitem.viewWorkItem&amp;id=381685" display="https://gdccm01.gddsi.com:9443/ccm/web/projects/MUOS SAFe 4.0 Project - action=com.ibm.team.workitem.viewWorkItem&amp;id=381685"/>
    <hyperlink ref="B154" r:id="rId152" location="action=com.ibm.team.workitem.viewWorkItem&amp;id=381405" display="https://gdccm01.gddsi.com:9443/ccm/web/projects/MUOS SAFe 4.0 Project - action=com.ibm.team.workitem.viewWorkItem&amp;id=381405"/>
    <hyperlink ref="B155" r:id="rId153" location="action=com.ibm.team.workitem.viewWorkItem&amp;id=381307" display="https://gdccm01.gddsi.com:9443/ccm/web/projects/MUOS SAFe 4.0 Project - action=com.ibm.team.workitem.viewWorkItem&amp;id=381307"/>
    <hyperlink ref="B156" r:id="rId154" location="action=com.ibm.team.workitem.viewWorkItem&amp;id=381246" display="https://gdccm01.gddsi.com:9443/ccm/web/projects/MUOS SAFe 4.0 Project - action=com.ibm.team.workitem.viewWorkItem&amp;id=381246"/>
    <hyperlink ref="B157" r:id="rId155" location="action=com.ibm.team.workitem.viewWorkItem&amp;id=380776" display="https://gdccm01.gddsi.com:9443/ccm/web/projects/MUOS SAFe 4.0 Project - action=com.ibm.team.workitem.viewWorkItem&amp;id=380776"/>
    <hyperlink ref="B158" r:id="rId156" location="action=com.ibm.team.workitem.viewWorkItem&amp;id=380232" display="https://gdccm01.gddsi.com:9443/ccm/web/projects/MUOS SAFe 4.0 Project - action=com.ibm.team.workitem.viewWorkItem&amp;id=380232"/>
    <hyperlink ref="B159" r:id="rId157" location="action=com.ibm.team.workitem.viewWorkItem&amp;id=379976" display="https://gdccm01.gddsi.com:9443/ccm/web/projects/MUOS SAFe 4.0 Project - action=com.ibm.team.workitem.viewWorkItem&amp;id=379976"/>
    <hyperlink ref="B160" r:id="rId158" location="action=com.ibm.team.workitem.viewWorkItem&amp;id=379231" display="https://gdccm01.gddsi.com:9443/ccm/web/projects/MUOS SAFe 4.0 Project - action=com.ibm.team.workitem.viewWorkItem&amp;id=379231"/>
    <hyperlink ref="B161" r:id="rId159" location="action=com.ibm.team.workitem.viewWorkItem&amp;id=379011" display="https://gdccm01.gddsi.com:9443/ccm/web/projects/MUOS SAFe 4.0 Project - action=com.ibm.team.workitem.viewWorkItem&amp;id=379011"/>
    <hyperlink ref="B162" r:id="rId160" location="action=com.ibm.team.workitem.viewWorkItem&amp;id=378289" display="https://gdccm01.gddsi.com:9443/ccm/web/projects/MUOS SAFe 4.0 Project - action=com.ibm.team.workitem.viewWorkItem&amp;id=378289"/>
    <hyperlink ref="B163" r:id="rId161" location="action=com.ibm.team.workitem.viewWorkItem&amp;id=378130" display="https://gdccm01.gddsi.com:9443/ccm/web/projects/MUOS SAFe 4.0 Project - action=com.ibm.team.workitem.viewWorkItem&amp;id=378130"/>
    <hyperlink ref="B164" r:id="rId162" location="action=com.ibm.team.workitem.viewWorkItem&amp;id=377766" display="https://gdccm01.gddsi.com:9443/ccm/web/projects/MUOS SAFe 4.0 Project - action=com.ibm.team.workitem.viewWorkItem&amp;id=377766"/>
    <hyperlink ref="B165" r:id="rId163" location="action=com.ibm.team.workitem.viewWorkItem&amp;id=377765" display="https://gdccm01.gddsi.com:9443/ccm/web/projects/MUOS SAFe 4.0 Project - action=com.ibm.team.workitem.viewWorkItem&amp;id=377765"/>
    <hyperlink ref="B166" r:id="rId164" location="action=com.ibm.team.workitem.viewWorkItem&amp;id=377659" display="https://gdccm01.gddsi.com:9443/ccm/web/projects/MUOS SAFe 4.0 Project - action=com.ibm.team.workitem.viewWorkItem&amp;id=377659"/>
    <hyperlink ref="B167" r:id="rId165" location="action=com.ibm.team.workitem.viewWorkItem&amp;id=377379" display="https://gdccm01.gddsi.com:9443/ccm/web/projects/MUOS SAFe 4.0 Project - action=com.ibm.team.workitem.viewWorkItem&amp;id=377379"/>
    <hyperlink ref="B168" r:id="rId166" location="action=com.ibm.team.workitem.viewWorkItem&amp;id=377306" display="https://gdccm01.gddsi.com:9443/ccm/web/projects/MUOS SAFe 4.0 Project - action=com.ibm.team.workitem.viewWorkItem&amp;id=377306"/>
    <hyperlink ref="B169" r:id="rId167" location="action=com.ibm.team.workitem.viewWorkItem&amp;id=377264" display="https://gdccm01.gddsi.com:9443/ccm/web/projects/MUOS SAFe 4.0 Project - action=com.ibm.team.workitem.viewWorkItem&amp;id=377264"/>
    <hyperlink ref="B170" r:id="rId168" location="action=com.ibm.team.workitem.viewWorkItem&amp;id=377205" display="https://gdccm01.gddsi.com:9443/ccm/web/projects/MUOS SAFe 4.0 Project - action=com.ibm.team.workitem.viewWorkItem&amp;id=377205"/>
    <hyperlink ref="B171" r:id="rId169" location="action=com.ibm.team.workitem.viewWorkItem&amp;id=377138" display="https://gdccm01.gddsi.com:9443/ccm/web/projects/MUOS SAFe 4.0 Project - action=com.ibm.team.workitem.viewWorkItem&amp;id=377138"/>
    <hyperlink ref="B172" r:id="rId170" location="action=com.ibm.team.workitem.viewWorkItem&amp;id=376511" display="https://gdccm01.gddsi.com:9443/ccm/web/projects/MUOS SAFe 4.0 Project - action=com.ibm.team.workitem.viewWorkItem&amp;id=376511"/>
    <hyperlink ref="B173" r:id="rId171" location="action=com.ibm.team.workitem.viewWorkItem&amp;id=376443" display="https://gdccm01.gddsi.com:9443/ccm/web/projects/MUOS SAFe 4.0 Project - action=com.ibm.team.workitem.viewWorkItem&amp;id=376443"/>
    <hyperlink ref="B174" r:id="rId172" location="action=com.ibm.team.workitem.viewWorkItem&amp;id=375565" display="https://gdccm01.gddsi.com:9443/ccm/web/projects/MUOS SAFe 4.0 Project - action=com.ibm.team.workitem.viewWorkItem&amp;id=375565"/>
    <hyperlink ref="B175" r:id="rId173" location="action=com.ibm.team.workitem.viewWorkItem&amp;id=375501" display="https://gdccm01.gddsi.com:9443/ccm/web/projects/MUOS SAFe 4.0 Project - action=com.ibm.team.workitem.viewWorkItem&amp;id=375501"/>
    <hyperlink ref="B176" r:id="rId174" location="action=com.ibm.team.workitem.viewWorkItem&amp;id=375342" display="https://gdccm01.gddsi.com:9443/ccm/web/projects/MUOS SAFe 4.0 Project - action=com.ibm.team.workitem.viewWorkItem&amp;id=375342"/>
    <hyperlink ref="B177" r:id="rId175" location="action=com.ibm.team.workitem.viewWorkItem&amp;id=375321" display="https://gdccm01.gddsi.com:9443/ccm/web/projects/MUOS SAFe 4.0 Project - action=com.ibm.team.workitem.viewWorkItem&amp;id=375321"/>
    <hyperlink ref="B178" r:id="rId176" location="action=com.ibm.team.workitem.viewWorkItem&amp;id=375320" display="https://gdccm01.gddsi.com:9443/ccm/web/projects/MUOS SAFe 4.0 Project - action=com.ibm.team.workitem.viewWorkItem&amp;id=375320"/>
    <hyperlink ref="B179" r:id="rId177" location="action=com.ibm.team.workitem.viewWorkItem&amp;id=375298" display="https://gdccm01.gddsi.com:9443/ccm/web/projects/MUOS SAFe 4.0 Project - action=com.ibm.team.workitem.viewWorkItem&amp;id=375298"/>
    <hyperlink ref="B180" r:id="rId178" location="action=com.ibm.team.workitem.viewWorkItem&amp;id=375162" display="https://gdccm01.gddsi.com:9443/ccm/web/projects/MUOS SAFe 4.0 Project - action=com.ibm.team.workitem.viewWorkItem&amp;id=375162"/>
    <hyperlink ref="B181" r:id="rId179" location="action=com.ibm.team.workitem.viewWorkItem&amp;id=373435" display="https://gdccm01.gddsi.com:9443/ccm/web/projects/MUOS SAFe 4.0 Project - action=com.ibm.team.workitem.viewWorkItem&amp;id=373435"/>
    <hyperlink ref="B182" r:id="rId180" location="action=com.ibm.team.workitem.viewWorkItem&amp;id=373410" display="https://gdccm01.gddsi.com:9443/ccm/web/projects/MUOS SAFe 4.0 Project - action=com.ibm.team.workitem.viewWorkItem&amp;id=373410"/>
    <hyperlink ref="B183" r:id="rId181" location="action=com.ibm.team.workitem.viewWorkItem&amp;id=373366" display="https://gdccm01.gddsi.com:9443/ccm/web/projects/MUOS SAFe 4.0 Project - action=com.ibm.team.workitem.viewWorkItem&amp;id=373366"/>
    <hyperlink ref="B184" r:id="rId182" location="action=com.ibm.team.workitem.viewWorkItem&amp;id=372389" display="https://gdccm01.gddsi.com:9443/ccm/web/projects/MUOS SAFe 4.0 Project - action=com.ibm.team.workitem.viewWorkItem&amp;id=372389"/>
    <hyperlink ref="B185" r:id="rId183" location="action=com.ibm.team.workitem.viewWorkItem&amp;id=372388" display="https://gdccm01.gddsi.com:9443/ccm/web/projects/MUOS SAFe 4.0 Project - action=com.ibm.team.workitem.viewWorkItem&amp;id=372388"/>
    <hyperlink ref="B186" r:id="rId184" location="action=com.ibm.team.workitem.viewWorkItem&amp;id=371118" display="https://gdccm01.gddsi.com:9443/ccm/web/projects/MUOS SAFe 4.0 Project - action=com.ibm.team.workitem.viewWorkItem&amp;id=371118"/>
    <hyperlink ref="B187" r:id="rId185" location="action=com.ibm.team.workitem.viewWorkItem&amp;id=371111" display="https://gdccm01.gddsi.com:9443/ccm/web/projects/MUOS SAFe 4.0 Project - action=com.ibm.team.workitem.viewWorkItem&amp;id=371111"/>
    <hyperlink ref="B188" r:id="rId186" location="action=com.ibm.team.workitem.viewWorkItem&amp;id=371110" display="https://gdccm01.gddsi.com:9443/ccm/web/projects/MUOS SAFe 4.0 Project - action=com.ibm.team.workitem.viewWorkItem&amp;id=371110"/>
    <hyperlink ref="B189" r:id="rId187" location="action=com.ibm.team.workitem.viewWorkItem&amp;id=371109" display="https://gdccm01.gddsi.com:9443/ccm/web/projects/MUOS SAFe 4.0 Project - action=com.ibm.team.workitem.viewWorkItem&amp;id=371109"/>
    <hyperlink ref="B190" r:id="rId188" location="action=com.ibm.team.workitem.viewWorkItem&amp;id=371105" display="https://gdccm01.gddsi.com:9443/ccm/web/projects/MUOS SAFe 4.0 Project - action=com.ibm.team.workitem.viewWorkItem&amp;id=371105"/>
    <hyperlink ref="B191" r:id="rId189" location="action=com.ibm.team.workitem.viewWorkItem&amp;id=370819" display="https://gdccm01.gddsi.com:9443/ccm/web/projects/MUOS SAFe 4.0 Project - action=com.ibm.team.workitem.viewWorkItem&amp;id=370819"/>
    <hyperlink ref="B192" r:id="rId190" location="action=com.ibm.team.workitem.viewWorkItem&amp;id=370658" display="https://gdccm01.gddsi.com:9443/ccm/web/projects/MUOS SAFe 4.0 Project - action=com.ibm.team.workitem.viewWorkItem&amp;id=370658"/>
    <hyperlink ref="B193" r:id="rId191" location="action=com.ibm.team.workitem.viewWorkItem&amp;id=368417" display="https://gdccm01.gddsi.com:9443/ccm/web/projects/MUOS SAFe 4.0 Project - action=com.ibm.team.workitem.viewWorkItem&amp;id=368417"/>
    <hyperlink ref="B194" r:id="rId192" location="action=com.ibm.team.workitem.viewWorkItem&amp;id=368257" display="https://gdccm01.gddsi.com:9443/ccm/web/projects/MUOS SAFe 4.0 Project - action=com.ibm.team.workitem.viewWorkItem&amp;id=368257"/>
    <hyperlink ref="B195" r:id="rId193" location="action=com.ibm.team.workitem.viewWorkItem&amp;id=368245" display="https://gdccm01.gddsi.com:9443/ccm/web/projects/MUOS SAFe 4.0 Project - action=com.ibm.team.workitem.viewWorkItem&amp;id=368245"/>
    <hyperlink ref="B196" r:id="rId194" location="action=com.ibm.team.workitem.viewWorkItem&amp;id=368137" display="https://gdccm01.gddsi.com:9443/ccm/web/projects/MUOS SAFe 4.0 Project - action=com.ibm.team.workitem.viewWorkItem&amp;id=368137"/>
    <hyperlink ref="B197" r:id="rId195" location="action=com.ibm.team.workitem.viewWorkItem&amp;id=368007" display="https://gdccm01.gddsi.com:9443/ccm/web/projects/MUOS SAFe 4.0 Project - action=com.ibm.team.workitem.viewWorkItem&amp;id=368007"/>
    <hyperlink ref="B198" r:id="rId196" location="action=com.ibm.team.workitem.viewWorkItem&amp;id=367766" display="https://gdccm01.gddsi.com:9443/ccm/web/projects/MUOS SAFe 4.0 Project - action=com.ibm.team.workitem.viewWorkItem&amp;id=367766"/>
    <hyperlink ref="B199" r:id="rId197" location="action=com.ibm.team.workitem.viewWorkItem&amp;id=367720" display="https://gdccm01.gddsi.com:9443/ccm/web/projects/MUOS SAFe 4.0 Project - action=com.ibm.team.workitem.viewWorkItem&amp;id=367720"/>
    <hyperlink ref="B200" r:id="rId198" location="action=com.ibm.team.workitem.viewWorkItem&amp;id=367466" display="https://gdccm01.gddsi.com:9443/ccm/web/projects/MUOS SAFe 4.0 Project - action=com.ibm.team.workitem.viewWorkItem&amp;id=367466"/>
    <hyperlink ref="B201" r:id="rId199" location="action=com.ibm.team.workitem.viewWorkItem&amp;id=367440" display="https://gdccm01.gddsi.com:9443/ccm/web/projects/MUOS SAFe 4.0 Project - action=com.ibm.team.workitem.viewWorkItem&amp;id=367440"/>
    <hyperlink ref="B202" r:id="rId200" location="action=com.ibm.team.workitem.viewWorkItem&amp;id=367438" display="https://gdccm01.gddsi.com:9443/ccm/web/projects/MUOS SAFe 4.0 Project - action=com.ibm.team.workitem.viewWorkItem&amp;id=367438"/>
    <hyperlink ref="B203" r:id="rId201" location="action=com.ibm.team.workitem.viewWorkItem&amp;id=367315" display="https://gdccm01.gddsi.com:9443/ccm/web/projects/MUOS SAFe 4.0 Project - action=com.ibm.team.workitem.viewWorkItem&amp;id=367315"/>
    <hyperlink ref="B204" r:id="rId202" location="action=com.ibm.team.workitem.viewWorkItem&amp;id=367309" display="https://gdccm01.gddsi.com:9443/ccm/web/projects/MUOS SAFe 4.0 Project - action=com.ibm.team.workitem.viewWorkItem&amp;id=367309"/>
    <hyperlink ref="B205" r:id="rId203" location="action=com.ibm.team.workitem.viewWorkItem&amp;id=367120" display="https://gdccm01.gddsi.com:9443/ccm/web/projects/MUOS SAFe 4.0 Project - action=com.ibm.team.workitem.viewWorkItem&amp;id=367120"/>
    <hyperlink ref="B206" r:id="rId204" location="action=com.ibm.team.workitem.viewWorkItem&amp;id=366866" display="https://gdccm01.gddsi.com:9443/ccm/web/projects/MUOS SAFe 4.0 Project - action=com.ibm.team.workitem.viewWorkItem&amp;id=366866"/>
    <hyperlink ref="B207" r:id="rId205" location="action=com.ibm.team.workitem.viewWorkItem&amp;id=366632" display="https://gdccm01.gddsi.com:9443/ccm/web/projects/MUOS SAFe 4.0 Project - action=com.ibm.team.workitem.viewWorkItem&amp;id=366632"/>
    <hyperlink ref="B208" r:id="rId206" location="action=com.ibm.team.workitem.viewWorkItem&amp;id=366630" display="https://gdccm01.gddsi.com:9443/ccm/web/projects/MUOS SAFe 4.0 Project - action=com.ibm.team.workitem.viewWorkItem&amp;id=366630"/>
    <hyperlink ref="B209" r:id="rId207" location="action=com.ibm.team.workitem.viewWorkItem&amp;id=366171" display="https://gdccm01.gddsi.com:9443/ccm/web/projects/MUOS SAFe 4.0 Project - action=com.ibm.team.workitem.viewWorkItem&amp;id=366171"/>
    <hyperlink ref="B210" r:id="rId208" location="action=com.ibm.team.workitem.viewWorkItem&amp;id=365627" display="https://gdccm01.gddsi.com:9443/ccm/web/projects/MUOS SAFe 4.0 Project - action=com.ibm.team.workitem.viewWorkItem&amp;id=365627"/>
    <hyperlink ref="B211" r:id="rId209" location="action=com.ibm.team.workitem.viewWorkItem&amp;id=364651" display="https://gdccm01.gddsi.com:9443/ccm/web/projects/MUOS SAFe 4.0 Project - action=com.ibm.team.workitem.viewWorkItem&amp;id=364651"/>
    <hyperlink ref="B212" r:id="rId210" location="action=com.ibm.team.workitem.viewWorkItem&amp;id=363895" display="https://gdccm01.gddsi.com:9443/ccm/web/projects/MUOS SAFe 4.0 Project - action=com.ibm.team.workitem.viewWorkItem&amp;id=363895"/>
    <hyperlink ref="B213" r:id="rId211" location="action=com.ibm.team.workitem.viewWorkItem&amp;id=363886" display="https://gdccm01.gddsi.com:9443/ccm/web/projects/MUOS SAFe 4.0 Project - action=com.ibm.team.workitem.viewWorkItem&amp;id=363886"/>
    <hyperlink ref="B214" r:id="rId212" location="action=com.ibm.team.workitem.viewWorkItem&amp;id=363682" display="https://gdccm01.gddsi.com:9443/ccm/web/projects/MUOS SAFe 4.0 Project - action=com.ibm.team.workitem.viewWorkItem&amp;id=363682"/>
    <hyperlink ref="B215" r:id="rId213" location="action=com.ibm.team.workitem.viewWorkItem&amp;id=363547" display="https://gdccm01.gddsi.com:9443/ccm/web/projects/MUOS SAFe 4.0 Project - action=com.ibm.team.workitem.viewWorkItem&amp;id=363547"/>
    <hyperlink ref="B216" r:id="rId214" location="action=com.ibm.team.workitem.viewWorkItem&amp;id=363483" display="https://gdccm01.gddsi.com:9443/ccm/web/projects/MUOS SAFe 4.0 Project - action=com.ibm.team.workitem.viewWorkItem&amp;id=363483"/>
    <hyperlink ref="B217" r:id="rId215" location="action=com.ibm.team.workitem.viewWorkItem&amp;id=363191" display="https://gdccm01.gddsi.com:9443/ccm/web/projects/MUOS SAFe 4.0 Project - action=com.ibm.team.workitem.viewWorkItem&amp;id=363191"/>
    <hyperlink ref="B218" r:id="rId216" location="action=com.ibm.team.workitem.viewWorkItem&amp;id=362960" display="https://gdccm01.gddsi.com:9443/ccm/web/projects/MUOS SAFe 4.0 Project - action=com.ibm.team.workitem.viewWorkItem&amp;id=362960"/>
    <hyperlink ref="B219" r:id="rId217" location="action=com.ibm.team.workitem.viewWorkItem&amp;id=362939" display="https://gdccm01.gddsi.com:9443/ccm/web/projects/MUOS SAFe 4.0 Project - action=com.ibm.team.workitem.viewWorkItem&amp;id=362939"/>
    <hyperlink ref="B220" r:id="rId218" location="action=com.ibm.team.workitem.viewWorkItem&amp;id=362885" display="https://gdccm01.gddsi.com:9443/ccm/web/projects/MUOS SAFe 4.0 Project - action=com.ibm.team.workitem.viewWorkItem&amp;id=362885"/>
    <hyperlink ref="B221" r:id="rId219" location="action=com.ibm.team.workitem.viewWorkItem&amp;id=362882" display="https://gdccm01.gddsi.com:9443/ccm/web/projects/MUOS SAFe 4.0 Project - action=com.ibm.team.workitem.viewWorkItem&amp;id=362882"/>
    <hyperlink ref="B222" r:id="rId220" location="action=com.ibm.team.workitem.viewWorkItem&amp;id=362873" display="https://gdccm01.gddsi.com:9443/ccm/web/projects/MUOS SAFe 4.0 Project - action=com.ibm.team.workitem.viewWorkItem&amp;id=362873"/>
    <hyperlink ref="B223" r:id="rId221" location="action=com.ibm.team.workitem.viewWorkItem&amp;id=362577" display="https://gdccm01.gddsi.com:9443/ccm/web/projects/MUOS SAFe 4.0 Project - action=com.ibm.team.workitem.viewWorkItem&amp;id=362577"/>
    <hyperlink ref="B224" r:id="rId222" location="action=com.ibm.team.workitem.viewWorkItem&amp;id=360782" display="https://gdccm01.gddsi.com:9443/ccm/web/projects/MUOS SAFe 4.0 Project - action=com.ibm.team.workitem.viewWorkItem&amp;id=360782"/>
    <hyperlink ref="B225" r:id="rId223" location="action=com.ibm.team.workitem.viewWorkItem&amp;id=360546" display="https://gdccm01.gddsi.com:9443/ccm/web/projects/MUOS SAFe 4.0 Project - action=com.ibm.team.workitem.viewWorkItem&amp;id=360546"/>
    <hyperlink ref="B226" r:id="rId224" location="action=com.ibm.team.workitem.viewWorkItem&amp;id=360446" display="https://gdccm01.gddsi.com:9443/ccm/web/projects/MUOS SAFe 4.0 Project - action=com.ibm.team.workitem.viewWorkItem&amp;id=360446"/>
    <hyperlink ref="B227" r:id="rId225" location="action=com.ibm.team.workitem.viewWorkItem&amp;id=360442" display="https://gdccm01.gddsi.com:9443/ccm/web/projects/MUOS SAFe 4.0 Project - action=com.ibm.team.workitem.viewWorkItem&amp;id=360442"/>
    <hyperlink ref="B228" r:id="rId226" location="action=com.ibm.team.workitem.viewWorkItem&amp;id=360046" display="https://gdccm01.gddsi.com:9443/ccm/web/projects/MUOS SAFe 4.0 Project - action=com.ibm.team.workitem.viewWorkItem&amp;id=360046"/>
    <hyperlink ref="B229" r:id="rId227" location="action=com.ibm.team.workitem.viewWorkItem&amp;id=359804" display="https://gdccm01.gddsi.com:9443/ccm/web/projects/MUOS SAFe 4.0 Project - action=com.ibm.team.workitem.viewWorkItem&amp;id=359804"/>
    <hyperlink ref="B230" r:id="rId228" location="action=com.ibm.team.workitem.viewWorkItem&amp;id=359536" display="https://gdccm01.gddsi.com:9443/ccm/web/projects/MUOS SAFe 4.0 Project - action=com.ibm.team.workitem.viewWorkItem&amp;id=359536"/>
    <hyperlink ref="B231" r:id="rId229" location="action=com.ibm.team.workitem.viewWorkItem&amp;id=359342" display="https://gdccm01.gddsi.com:9443/ccm/web/projects/MUOS SAFe 4.0 Project - action=com.ibm.team.workitem.viewWorkItem&amp;id=359342"/>
    <hyperlink ref="B232" r:id="rId230" location="action=com.ibm.team.workitem.viewWorkItem&amp;id=359188" display="https://gdccm01.gddsi.com:9443/ccm/web/projects/MUOS SAFe 4.0 Project - action=com.ibm.team.workitem.viewWorkItem&amp;id=359188"/>
    <hyperlink ref="B233" r:id="rId231" location="action=com.ibm.team.workitem.viewWorkItem&amp;id=359120" display="https://gdccm01.gddsi.com:9443/ccm/web/projects/MUOS SAFe 4.0 Project - action=com.ibm.team.workitem.viewWorkItem&amp;id=359120"/>
    <hyperlink ref="B234" r:id="rId232" location="action=com.ibm.team.workitem.viewWorkItem&amp;id=358916" display="https://gdccm01.gddsi.com:9443/ccm/web/projects/MUOS SAFe 4.0 Project - action=com.ibm.team.workitem.viewWorkItem&amp;id=358916"/>
    <hyperlink ref="B235" r:id="rId233" location="action=com.ibm.team.workitem.viewWorkItem&amp;id=358866" display="https://gdccm01.gddsi.com:9443/ccm/web/projects/MUOS SAFe 4.0 Project - action=com.ibm.team.workitem.viewWorkItem&amp;id=358866"/>
    <hyperlink ref="B236" r:id="rId234" location="action=com.ibm.team.workitem.viewWorkItem&amp;id=358775" display="https://gdccm01.gddsi.com:9443/ccm/web/projects/MUOS SAFe 4.0 Project - action=com.ibm.team.workitem.viewWorkItem&amp;id=358775"/>
    <hyperlink ref="B237" r:id="rId235" location="action=com.ibm.team.workitem.viewWorkItem&amp;id=358620" display="https://gdccm01.gddsi.com:9443/ccm/web/projects/MUOS SAFe 4.0 Project - action=com.ibm.team.workitem.viewWorkItem&amp;id=358620"/>
    <hyperlink ref="B238" r:id="rId236" location="action=com.ibm.team.workitem.viewWorkItem&amp;id=358182" display="https://gdccm01.gddsi.com:9443/ccm/web/projects/MUOS SAFe 4.0 Project - action=com.ibm.team.workitem.viewWorkItem&amp;id=358182"/>
    <hyperlink ref="B239" r:id="rId237" location="action=com.ibm.team.workitem.viewWorkItem&amp;id=358178" display="https://gdccm01.gddsi.com:9443/ccm/web/projects/MUOS SAFe 4.0 Project - action=com.ibm.team.workitem.viewWorkItem&amp;id=358178"/>
    <hyperlink ref="B240" r:id="rId238" location="action=com.ibm.team.workitem.viewWorkItem&amp;id=358167" display="https://gdccm01.gddsi.com:9443/ccm/web/projects/MUOS SAFe 4.0 Project - action=com.ibm.team.workitem.viewWorkItem&amp;id=358167"/>
    <hyperlink ref="B241" r:id="rId239" location="action=com.ibm.team.workitem.viewWorkItem&amp;id=358154" display="https://gdccm01.gddsi.com:9443/ccm/web/projects/MUOS SAFe 4.0 Project - action=com.ibm.team.workitem.viewWorkItem&amp;id=358154"/>
    <hyperlink ref="B242" r:id="rId240" location="action=com.ibm.team.workitem.viewWorkItem&amp;id=358079" display="https://gdccm01.gddsi.com:9443/ccm/web/projects/MUOS SAFe 4.0 Project - action=com.ibm.team.workitem.viewWorkItem&amp;id=358079"/>
    <hyperlink ref="B243" r:id="rId241" location="action=com.ibm.team.workitem.viewWorkItem&amp;id=356851" display="https://gdccm01.gddsi.com:9443/ccm/web/projects/MUOS SAFe 4.0 Project - action=com.ibm.team.workitem.viewWorkItem&amp;id=356851"/>
    <hyperlink ref="B244" r:id="rId242" location="action=com.ibm.team.workitem.viewWorkItem&amp;id=356243" display="https://gdccm01.gddsi.com:9443/ccm/web/projects/MUOS SAFe 4.0 Project - action=com.ibm.team.workitem.viewWorkItem&amp;id=356243"/>
    <hyperlink ref="B245" r:id="rId243" location="action=com.ibm.team.workitem.viewWorkItem&amp;id=356242" display="https://gdccm01.gddsi.com:9443/ccm/web/projects/MUOS SAFe 4.0 Project - action=com.ibm.team.workitem.viewWorkItem&amp;id=356242"/>
    <hyperlink ref="B246" r:id="rId244" location="action=com.ibm.team.workitem.viewWorkItem&amp;id=356235" display="https://gdccm01.gddsi.com:9443/ccm/web/projects/MUOS SAFe 4.0 Project - action=com.ibm.team.workitem.viewWorkItem&amp;id=356235"/>
    <hyperlink ref="B247" r:id="rId245" location="action=com.ibm.team.workitem.viewWorkItem&amp;id=356220" display="https://gdccm01.gddsi.com:9443/ccm/web/projects/MUOS SAFe 4.0 Project - action=com.ibm.team.workitem.viewWorkItem&amp;id=356220"/>
    <hyperlink ref="B248" r:id="rId246" location="action=com.ibm.team.workitem.viewWorkItem&amp;id=356200" display="https://gdccm01.gddsi.com:9443/ccm/web/projects/MUOS SAFe 4.0 Project - action=com.ibm.team.workitem.viewWorkItem&amp;id=356200"/>
    <hyperlink ref="B249" r:id="rId247" location="action=com.ibm.team.workitem.viewWorkItem&amp;id=356042" display="https://gdccm01.gddsi.com:9443/ccm/web/projects/MUOS SAFe 4.0 Project - action=com.ibm.team.workitem.viewWorkItem&amp;id=356042"/>
    <hyperlink ref="B250" r:id="rId248" location="action=com.ibm.team.workitem.viewWorkItem&amp;id=355599" display="https://gdccm01.gddsi.com:9443/ccm/web/projects/MUOS SAFe 4.0 Project - action=com.ibm.team.workitem.viewWorkItem&amp;id=355599"/>
    <hyperlink ref="B251" r:id="rId249" location="action=com.ibm.team.workitem.viewWorkItem&amp;id=355368" display="https://gdccm01.gddsi.com:9443/ccm/web/projects/MUOS SAFe 4.0 Project - action=com.ibm.team.workitem.viewWorkItem&amp;id=355368"/>
    <hyperlink ref="B252" r:id="rId250" location="action=com.ibm.team.workitem.viewWorkItem&amp;id=355347" display="https://gdccm01.gddsi.com:9443/ccm/web/projects/MUOS SAFe 4.0 Project - action=com.ibm.team.workitem.viewWorkItem&amp;id=355347"/>
    <hyperlink ref="B253" r:id="rId251" location="action=com.ibm.team.workitem.viewWorkItem&amp;id=355240" display="https://gdccm01.gddsi.com:9443/ccm/web/projects/MUOS SAFe 4.0 Project - action=com.ibm.team.workitem.viewWorkItem&amp;id=355240"/>
    <hyperlink ref="B254" r:id="rId252" location="action=com.ibm.team.workitem.viewWorkItem&amp;id=355108" display="https://gdccm01.gddsi.com:9443/ccm/web/projects/MUOS SAFe 4.0 Project - action=com.ibm.team.workitem.viewWorkItem&amp;id=355108"/>
    <hyperlink ref="B255" r:id="rId253" location="action=com.ibm.team.workitem.viewWorkItem&amp;id=355022" display="https://gdccm01.gddsi.com:9443/ccm/web/projects/MUOS SAFe 4.0 Project - action=com.ibm.team.workitem.viewWorkItem&amp;id=355022"/>
    <hyperlink ref="B256" r:id="rId254" location="action=com.ibm.team.workitem.viewWorkItem&amp;id=354999" display="https://gdccm01.gddsi.com:9443/ccm/web/projects/MUOS SAFe 4.0 Project - action=com.ibm.team.workitem.viewWorkItem&amp;id=354999"/>
    <hyperlink ref="B257" r:id="rId255" location="action=com.ibm.team.workitem.viewWorkItem&amp;id=354457" display="https://gdccm01.gddsi.com:9443/ccm/web/projects/MUOS SAFe 4.0 Project - action=com.ibm.team.workitem.viewWorkItem&amp;id=354457"/>
    <hyperlink ref="B258" r:id="rId256" location="action=com.ibm.team.workitem.viewWorkItem&amp;id=354442" display="https://gdccm01.gddsi.com:9443/ccm/web/projects/MUOS SAFe 4.0 Project - action=com.ibm.team.workitem.viewWorkItem&amp;id=354442"/>
    <hyperlink ref="B259" r:id="rId257" location="action=com.ibm.team.workitem.viewWorkItem&amp;id=354434" display="https://gdccm01.gddsi.com:9443/ccm/web/projects/MUOS SAFe 4.0 Project - action=com.ibm.team.workitem.viewWorkItem&amp;id=354434"/>
    <hyperlink ref="B260" r:id="rId258" location="action=com.ibm.team.workitem.viewWorkItem&amp;id=354321" display="https://gdccm01.gddsi.com:9443/ccm/web/projects/MUOS SAFe 4.0 Project - action=com.ibm.team.workitem.viewWorkItem&amp;id=354321"/>
    <hyperlink ref="B261" r:id="rId259" location="action=com.ibm.team.workitem.viewWorkItem&amp;id=354080" display="https://gdccm01.gddsi.com:9443/ccm/web/projects/MUOS SAFe 4.0 Project - action=com.ibm.team.workitem.viewWorkItem&amp;id=354080"/>
    <hyperlink ref="B262" r:id="rId260" location="action=com.ibm.team.workitem.viewWorkItem&amp;id=353030" display="https://gdccm01.gddsi.com:9443/ccm/web/projects/MUOS SAFe 4.0 Project - action=com.ibm.team.workitem.viewWorkItem&amp;id=353030"/>
    <hyperlink ref="B263" r:id="rId261" location="action=com.ibm.team.workitem.viewWorkItem&amp;id=351767" display="https://gdccm01.gddsi.com:9443/ccm/web/projects/MUOS SAFe 4.0 Project - action=com.ibm.team.workitem.viewWorkItem&amp;id=351767"/>
    <hyperlink ref="B264" r:id="rId262" location="action=com.ibm.team.workitem.viewWorkItem&amp;id=351650" display="https://gdccm01.gddsi.com:9443/ccm/web/projects/MUOS SAFe 4.0 Project - action=com.ibm.team.workitem.viewWorkItem&amp;id=351650"/>
    <hyperlink ref="B265" r:id="rId263" location="action=com.ibm.team.workitem.viewWorkItem&amp;id=351640" display="https://gdccm01.gddsi.com:9443/ccm/web/projects/MUOS SAFe 4.0 Project - action=com.ibm.team.workitem.viewWorkItem&amp;id=351640"/>
    <hyperlink ref="B266" r:id="rId264" location="action=com.ibm.team.workitem.viewWorkItem&amp;id=351595" display="https://gdccm01.gddsi.com:9443/ccm/web/projects/MUOS SAFe 4.0 Project - action=com.ibm.team.workitem.viewWorkItem&amp;id=351595"/>
    <hyperlink ref="B267" r:id="rId265" location="action=com.ibm.team.workitem.viewWorkItem&amp;id=351593" display="https://gdccm01.gddsi.com:9443/ccm/web/projects/MUOS SAFe 4.0 Project - action=com.ibm.team.workitem.viewWorkItem&amp;id=351593"/>
    <hyperlink ref="B268" r:id="rId266" location="action=com.ibm.team.workitem.viewWorkItem&amp;id=351591" display="https://gdccm01.gddsi.com:9443/ccm/web/projects/MUOS SAFe 4.0 Project - action=com.ibm.team.workitem.viewWorkItem&amp;id=351591"/>
    <hyperlink ref="B269" r:id="rId267" location="action=com.ibm.team.workitem.viewWorkItem&amp;id=351581" display="https://gdccm01.gddsi.com:9443/ccm/web/projects/MUOS SAFe 4.0 Project - action=com.ibm.team.workitem.viewWorkItem&amp;id=351581"/>
    <hyperlink ref="B270" r:id="rId268" location="action=com.ibm.team.workitem.viewWorkItem&amp;id=351540" display="https://gdccm01.gddsi.com:9443/ccm/web/projects/MUOS SAFe 4.0 Project - action=com.ibm.team.workitem.viewWorkItem&amp;id=351540"/>
    <hyperlink ref="B271" r:id="rId269" location="action=com.ibm.team.workitem.viewWorkItem&amp;id=350841" display="https://gdccm01.gddsi.com:9443/ccm/web/projects/MUOS SAFe 4.0 Project - action=com.ibm.team.workitem.viewWorkItem&amp;id=350841"/>
    <hyperlink ref="B272" r:id="rId270" location="action=com.ibm.team.workitem.viewWorkItem&amp;id=350353" display="https://gdccm01.gddsi.com:9443/ccm/web/projects/MUOS SAFe 4.0 Project - action=com.ibm.team.workitem.viewWorkItem&amp;id=350353"/>
    <hyperlink ref="B273" r:id="rId271" location="action=com.ibm.team.workitem.viewWorkItem&amp;id=349765" display="https://gdccm01.gddsi.com:9443/ccm/web/projects/MUOS SAFe 4.0 Project - action=com.ibm.team.workitem.viewWorkItem&amp;id=349765"/>
    <hyperlink ref="B274" r:id="rId272" location="action=com.ibm.team.workitem.viewWorkItem&amp;id=349479" display="https://gdccm01.gddsi.com:9443/ccm/web/projects/MUOS SAFe 4.0 Project - action=com.ibm.team.workitem.viewWorkItem&amp;id=349479"/>
    <hyperlink ref="B275" r:id="rId273" location="action=com.ibm.team.workitem.viewWorkItem&amp;id=348913" display="https://gdccm01.gddsi.com:9443/ccm/web/projects/MUOS SAFe 4.0 Project - action=com.ibm.team.workitem.viewWorkItem&amp;id=348913"/>
    <hyperlink ref="B276" r:id="rId274" location="action=com.ibm.team.workitem.viewWorkItem&amp;id=348877" display="https://gdccm01.gddsi.com:9443/ccm/web/projects/MUOS SAFe 4.0 Project - action=com.ibm.team.workitem.viewWorkItem&amp;id=348877"/>
    <hyperlink ref="B277" r:id="rId275" location="action=com.ibm.team.workitem.viewWorkItem&amp;id=348853" display="https://gdccm01.gddsi.com:9443/ccm/web/projects/MUOS SAFe 4.0 Project - action=com.ibm.team.workitem.viewWorkItem&amp;id=348853"/>
    <hyperlink ref="B278" r:id="rId276" location="action=com.ibm.team.workitem.viewWorkItem&amp;id=348848" display="https://gdccm01.gddsi.com:9443/ccm/web/projects/MUOS SAFe 4.0 Project - action=com.ibm.team.workitem.viewWorkItem&amp;id=348848"/>
    <hyperlink ref="B279" r:id="rId277" location="action=com.ibm.team.workitem.viewWorkItem&amp;id=348514" display="https://gdccm01.gddsi.com:9443/ccm/web/projects/MUOS SAFe 4.0 Project - action=com.ibm.team.workitem.viewWorkItem&amp;id=348514"/>
    <hyperlink ref="B280" r:id="rId278" location="action=com.ibm.team.workitem.viewWorkItem&amp;id=347998" display="https://gdccm01.gddsi.com:9443/ccm/web/projects/MUOS SAFe 4.0 Project - action=com.ibm.team.workitem.viewWorkItem&amp;id=347998"/>
    <hyperlink ref="B281" r:id="rId279" location="action=com.ibm.team.workitem.viewWorkItem&amp;id=347997" display="https://gdccm01.gddsi.com:9443/ccm/web/projects/MUOS SAFe 4.0 Project - action=com.ibm.team.workitem.viewWorkItem&amp;id=347997"/>
    <hyperlink ref="B282" r:id="rId280" location="action=com.ibm.team.workitem.viewWorkItem&amp;id=347996" display="https://gdccm01.gddsi.com:9443/ccm/web/projects/MUOS SAFe 4.0 Project - action=com.ibm.team.workitem.viewWorkItem&amp;id=347996"/>
    <hyperlink ref="B283" r:id="rId281" location="action=com.ibm.team.workitem.viewWorkItem&amp;id=347964" display="https://gdccm01.gddsi.com:9443/ccm/web/projects/MUOS SAFe 4.0 Project - action=com.ibm.team.workitem.viewWorkItem&amp;id=347964"/>
    <hyperlink ref="B284" r:id="rId282" location="action=com.ibm.team.workitem.viewWorkItem&amp;id=347938" display="https://gdccm01.gddsi.com:9443/ccm/web/projects/MUOS SAFe 4.0 Project - action=com.ibm.team.workitem.viewWorkItem&amp;id=347938"/>
    <hyperlink ref="B285" r:id="rId283" location="action=com.ibm.team.workitem.viewWorkItem&amp;id=347386" display="https://gdccm01.gddsi.com:9443/ccm/web/projects/MUOS SAFe 4.0 Project - action=com.ibm.team.workitem.viewWorkItem&amp;id=347386"/>
    <hyperlink ref="B286" r:id="rId284" location="action=com.ibm.team.workitem.viewWorkItem&amp;id=347384" display="https://gdccm01.gddsi.com:9443/ccm/web/projects/MUOS SAFe 4.0 Project - action=com.ibm.team.workitem.viewWorkItem&amp;id=347384"/>
    <hyperlink ref="B287" r:id="rId285" location="action=com.ibm.team.workitem.viewWorkItem&amp;id=347182" display="https://gdccm01.gddsi.com:9443/ccm/web/projects/MUOS SAFe 4.0 Project - action=com.ibm.team.workitem.viewWorkItem&amp;id=347182"/>
    <hyperlink ref="B288" r:id="rId286" location="action=com.ibm.team.workitem.viewWorkItem&amp;id=347181" display="https://gdccm01.gddsi.com:9443/ccm/web/projects/MUOS SAFe 4.0 Project - action=com.ibm.team.workitem.viewWorkItem&amp;id=347181"/>
    <hyperlink ref="B289" r:id="rId287" location="action=com.ibm.team.workitem.viewWorkItem&amp;id=347179" display="https://gdccm01.gddsi.com:9443/ccm/web/projects/MUOS SAFe 4.0 Project - action=com.ibm.team.workitem.viewWorkItem&amp;id=347179"/>
    <hyperlink ref="B290" r:id="rId288" location="action=com.ibm.team.workitem.viewWorkItem&amp;id=347177" display="https://gdccm01.gddsi.com:9443/ccm/web/projects/MUOS SAFe 4.0 Project - action=com.ibm.team.workitem.viewWorkItem&amp;id=347177"/>
    <hyperlink ref="B291" r:id="rId289" location="action=com.ibm.team.workitem.viewWorkItem&amp;id=347175" display="https://gdccm01.gddsi.com:9443/ccm/web/projects/MUOS SAFe 4.0 Project - action=com.ibm.team.workitem.viewWorkItem&amp;id=347175"/>
    <hyperlink ref="B292" r:id="rId290" location="action=com.ibm.team.workitem.viewWorkItem&amp;id=347174" display="https://gdccm01.gddsi.com:9443/ccm/web/projects/MUOS SAFe 4.0 Project - action=com.ibm.team.workitem.viewWorkItem&amp;id=347174"/>
    <hyperlink ref="B293" r:id="rId291" location="action=com.ibm.team.workitem.viewWorkItem&amp;id=347173" display="https://gdccm01.gddsi.com:9443/ccm/web/projects/MUOS SAFe 4.0 Project - action=com.ibm.team.workitem.viewWorkItem&amp;id=347173"/>
    <hyperlink ref="B294" r:id="rId292" location="action=com.ibm.team.workitem.viewWorkItem&amp;id=346932" display="https://gdccm01.gddsi.com:9443/ccm/web/projects/MUOS SAFe 4.0 Project - action=com.ibm.team.workitem.viewWorkItem&amp;id=346932"/>
    <hyperlink ref="B295" r:id="rId293" location="action=com.ibm.team.workitem.viewWorkItem&amp;id=346843" display="https://gdccm01.gddsi.com:9443/ccm/web/projects/MUOS SAFe 4.0 Project - action=com.ibm.team.workitem.viewWorkItem&amp;id=346843"/>
    <hyperlink ref="B296" r:id="rId294" location="action=com.ibm.team.workitem.viewWorkItem&amp;id=346823" display="https://gdccm01.gddsi.com:9443/ccm/web/projects/MUOS SAFe 4.0 Project - action=com.ibm.team.workitem.viewWorkItem&amp;id=346823"/>
    <hyperlink ref="B297" r:id="rId295" location="action=com.ibm.team.workitem.viewWorkItem&amp;id=346821" display="https://gdccm01.gddsi.com:9443/ccm/web/projects/MUOS SAFe 4.0 Project - action=com.ibm.team.workitem.viewWorkItem&amp;id=346821"/>
    <hyperlink ref="B298" r:id="rId296" location="action=com.ibm.team.workitem.viewWorkItem&amp;id=346532" display="https://gdccm01.gddsi.com:9443/ccm/web/projects/MUOS SAFe 4.0 Project - action=com.ibm.team.workitem.viewWorkItem&amp;id=346532"/>
    <hyperlink ref="B299" r:id="rId297" location="action=com.ibm.team.workitem.viewWorkItem&amp;id=346524" display="https://gdccm01.gddsi.com:9443/ccm/web/projects/MUOS SAFe 4.0 Project - action=com.ibm.team.workitem.viewWorkItem&amp;id=346524"/>
    <hyperlink ref="B300" r:id="rId298" location="action=com.ibm.team.workitem.viewWorkItem&amp;id=345810" display="https://gdccm01.gddsi.com:9443/ccm/web/projects/MUOS SAFe 4.0 Project - action=com.ibm.team.workitem.viewWorkItem&amp;id=345810"/>
    <hyperlink ref="B301" r:id="rId299" location="action=com.ibm.team.workitem.viewWorkItem&amp;id=345809" display="https://gdccm01.gddsi.com:9443/ccm/web/projects/MUOS SAFe 4.0 Project - action=com.ibm.team.workitem.viewWorkItem&amp;id=345809"/>
    <hyperlink ref="B302" r:id="rId300" location="action=com.ibm.team.workitem.viewWorkItem&amp;id=345805" display="https://gdccm01.gddsi.com:9443/ccm/web/projects/MUOS SAFe 4.0 Project - action=com.ibm.team.workitem.viewWorkItem&amp;id=345805"/>
    <hyperlink ref="B303" r:id="rId301" location="action=com.ibm.team.workitem.viewWorkItem&amp;id=345795" display="https://gdccm01.gddsi.com:9443/ccm/web/projects/MUOS SAFe 4.0 Project - action=com.ibm.team.workitem.viewWorkItem&amp;id=345795"/>
    <hyperlink ref="B304" r:id="rId302" location="action=com.ibm.team.workitem.viewWorkItem&amp;id=345794" display="https://gdccm01.gddsi.com:9443/ccm/web/projects/MUOS SAFe 4.0 Project - action=com.ibm.team.workitem.viewWorkItem&amp;id=345794"/>
    <hyperlink ref="B305" r:id="rId303" location="action=com.ibm.team.workitem.viewWorkItem&amp;id=345793" display="https://gdccm01.gddsi.com:9443/ccm/web/projects/MUOS SAFe 4.0 Project - action=com.ibm.team.workitem.viewWorkItem&amp;id=345793"/>
    <hyperlink ref="B306" r:id="rId304" location="action=com.ibm.team.workitem.viewWorkItem&amp;id=345791" display="https://gdccm01.gddsi.com:9443/ccm/web/projects/MUOS SAFe 4.0 Project - action=com.ibm.team.workitem.viewWorkItem&amp;id=345791"/>
    <hyperlink ref="B307" r:id="rId305" location="action=com.ibm.team.workitem.viewWorkItem&amp;id=345789" display="https://gdccm01.gddsi.com:9443/ccm/web/projects/MUOS SAFe 4.0 Project - action=com.ibm.team.workitem.viewWorkItem&amp;id=345789"/>
    <hyperlink ref="B308" r:id="rId306" location="action=com.ibm.team.workitem.viewWorkItem&amp;id=345788" display="https://gdccm01.gddsi.com:9443/ccm/web/projects/MUOS SAFe 4.0 Project - action=com.ibm.team.workitem.viewWorkItem&amp;id=345788"/>
    <hyperlink ref="B309" r:id="rId307" location="action=com.ibm.team.workitem.viewWorkItem&amp;id=345787" display="https://gdccm01.gddsi.com:9443/ccm/web/projects/MUOS SAFe 4.0 Project - action=com.ibm.team.workitem.viewWorkItem&amp;id=345787"/>
    <hyperlink ref="B310" r:id="rId308" location="action=com.ibm.team.workitem.viewWorkItem&amp;id=345786" display="https://gdccm01.gddsi.com:9443/ccm/web/projects/MUOS SAFe 4.0 Project - action=com.ibm.team.workitem.viewWorkItem&amp;id=345786"/>
    <hyperlink ref="B311" r:id="rId309" location="action=com.ibm.team.workitem.viewWorkItem&amp;id=345785" display="https://gdccm01.gddsi.com:9443/ccm/web/projects/MUOS SAFe 4.0 Project - action=com.ibm.team.workitem.viewWorkItem&amp;id=345785"/>
    <hyperlink ref="B312" r:id="rId310" location="action=com.ibm.team.workitem.viewWorkItem&amp;id=345782" display="https://gdccm01.gddsi.com:9443/ccm/web/projects/MUOS SAFe 4.0 Project - action=com.ibm.team.workitem.viewWorkItem&amp;id=345782"/>
    <hyperlink ref="B313" r:id="rId311" location="action=com.ibm.team.workitem.viewWorkItem&amp;id=345778" display="https://gdccm01.gddsi.com:9443/ccm/web/projects/MUOS SAFe 4.0 Project - action=com.ibm.team.workitem.viewWorkItem&amp;id=345778"/>
    <hyperlink ref="B314" r:id="rId312" location="action=com.ibm.team.workitem.viewWorkItem&amp;id=345777" display="https://gdccm01.gddsi.com:9443/ccm/web/projects/MUOS SAFe 4.0 Project - action=com.ibm.team.workitem.viewWorkItem&amp;id=345777"/>
    <hyperlink ref="B315" r:id="rId313" location="action=com.ibm.team.workitem.viewWorkItem&amp;id=345776" display="https://gdccm01.gddsi.com:9443/ccm/web/projects/MUOS SAFe 4.0 Project - action=com.ibm.team.workitem.viewWorkItem&amp;id=345776"/>
    <hyperlink ref="B316" r:id="rId314" location="action=com.ibm.team.workitem.viewWorkItem&amp;id=345775" display="https://gdccm01.gddsi.com:9443/ccm/web/projects/MUOS SAFe 4.0 Project - action=com.ibm.team.workitem.viewWorkItem&amp;id=345775"/>
    <hyperlink ref="B317" r:id="rId315" location="action=com.ibm.team.workitem.viewWorkItem&amp;id=345773" display="https://gdccm01.gddsi.com:9443/ccm/web/projects/MUOS SAFe 4.0 Project - action=com.ibm.team.workitem.viewWorkItem&amp;id=345773"/>
    <hyperlink ref="B318" r:id="rId316" location="action=com.ibm.team.workitem.viewWorkItem&amp;id=345772" display="https://gdccm01.gddsi.com:9443/ccm/web/projects/MUOS SAFe 4.0 Project - action=com.ibm.team.workitem.viewWorkItem&amp;id=345772"/>
    <hyperlink ref="B319" r:id="rId317" location="action=com.ibm.team.workitem.viewWorkItem&amp;id=345771" display="https://gdccm01.gddsi.com:9443/ccm/web/projects/MUOS SAFe 4.0 Project - action=com.ibm.team.workitem.viewWorkItem&amp;id=345771"/>
    <hyperlink ref="B320" r:id="rId318" location="action=com.ibm.team.workitem.viewWorkItem&amp;id=345770" display="https://gdccm01.gddsi.com:9443/ccm/web/projects/MUOS SAFe 4.0 Project - action=com.ibm.team.workitem.viewWorkItem&amp;id=345770"/>
    <hyperlink ref="B321" r:id="rId319" location="action=com.ibm.team.workitem.viewWorkItem&amp;id=345769" display="https://gdccm01.gddsi.com:9443/ccm/web/projects/MUOS SAFe 4.0 Project - action=com.ibm.team.workitem.viewWorkItem&amp;id=345769"/>
    <hyperlink ref="B322" r:id="rId320" location="action=com.ibm.team.workitem.viewWorkItem&amp;id=345767" display="https://gdccm01.gddsi.com:9443/ccm/web/projects/MUOS SAFe 4.0 Project - action=com.ibm.team.workitem.viewWorkItem&amp;id=345767"/>
    <hyperlink ref="B323" r:id="rId321" location="action=com.ibm.team.workitem.viewWorkItem&amp;id=345763" display="https://gdccm01.gddsi.com:9443/ccm/web/projects/MUOS SAFe 4.0 Project - action=com.ibm.team.workitem.viewWorkItem&amp;id=345763"/>
    <hyperlink ref="B324" r:id="rId322" location="action=com.ibm.team.workitem.viewWorkItem&amp;id=345762" display="https://gdccm01.gddsi.com:9443/ccm/web/projects/MUOS SAFe 4.0 Project - action=com.ibm.team.workitem.viewWorkItem&amp;id=345762"/>
    <hyperlink ref="B325" r:id="rId323" location="action=com.ibm.team.workitem.viewWorkItem&amp;id=345761" display="https://gdccm01.gddsi.com:9443/ccm/web/projects/MUOS SAFe 4.0 Project - action=com.ibm.team.workitem.viewWorkItem&amp;id=345761"/>
    <hyperlink ref="B326" r:id="rId324" location="action=com.ibm.team.workitem.viewWorkItem&amp;id=345758" display="https://gdccm01.gddsi.com:9443/ccm/web/projects/MUOS SAFe 4.0 Project - action=com.ibm.team.workitem.viewWorkItem&amp;id=345758"/>
    <hyperlink ref="B327" r:id="rId325" location="action=com.ibm.team.workitem.viewWorkItem&amp;id=345757" display="https://gdccm01.gddsi.com:9443/ccm/web/projects/MUOS SAFe 4.0 Project - action=com.ibm.team.workitem.viewWorkItem&amp;id=345757"/>
    <hyperlink ref="B328" r:id="rId326" location="action=com.ibm.team.workitem.viewWorkItem&amp;id=345755" display="https://gdccm01.gddsi.com:9443/ccm/web/projects/MUOS SAFe 4.0 Project - action=com.ibm.team.workitem.viewWorkItem&amp;id=345755"/>
    <hyperlink ref="B329" r:id="rId327" location="action=com.ibm.team.workitem.viewWorkItem&amp;id=345754" display="https://gdccm01.gddsi.com:9443/ccm/web/projects/MUOS SAFe 4.0 Project - action=com.ibm.team.workitem.viewWorkItem&amp;id=345754"/>
    <hyperlink ref="B330" r:id="rId328" location="action=com.ibm.team.workitem.viewWorkItem&amp;id=345749" display="https://gdccm01.gddsi.com:9443/ccm/web/projects/MUOS SAFe 4.0 Project - action=com.ibm.team.workitem.viewWorkItem&amp;id=345749"/>
    <hyperlink ref="B331" r:id="rId329" location="action=com.ibm.team.workitem.viewWorkItem&amp;id=345747" display="https://gdccm01.gddsi.com:9443/ccm/web/projects/MUOS SAFe 4.0 Project - action=com.ibm.team.workitem.viewWorkItem&amp;id=345747"/>
    <hyperlink ref="B332" r:id="rId330" location="action=com.ibm.team.workitem.viewWorkItem&amp;id=345745" display="https://gdccm01.gddsi.com:9443/ccm/web/projects/MUOS SAFe 4.0 Project - action=com.ibm.team.workitem.viewWorkItem&amp;id=345745"/>
    <hyperlink ref="B333" r:id="rId331" location="action=com.ibm.team.workitem.viewWorkItem&amp;id=345744" display="https://gdccm01.gddsi.com:9443/ccm/web/projects/MUOS SAFe 4.0 Project - action=com.ibm.team.workitem.viewWorkItem&amp;id=345744"/>
    <hyperlink ref="B334" r:id="rId332" location="action=com.ibm.team.workitem.viewWorkItem&amp;id=345742" display="https://gdccm01.gddsi.com:9443/ccm/web/projects/MUOS SAFe 4.0 Project - action=com.ibm.team.workitem.viewWorkItem&amp;id=345742"/>
    <hyperlink ref="B335" r:id="rId333" location="action=com.ibm.team.workitem.viewWorkItem&amp;id=345739" display="https://gdccm01.gddsi.com:9443/ccm/web/projects/MUOS SAFe 4.0 Project - action=com.ibm.team.workitem.viewWorkItem&amp;id=345739"/>
    <hyperlink ref="B336" r:id="rId334" location="action=com.ibm.team.workitem.viewWorkItem&amp;id=345738" display="https://gdccm01.gddsi.com:9443/ccm/web/projects/MUOS SAFe 4.0 Project - action=com.ibm.team.workitem.viewWorkItem&amp;id=345738"/>
    <hyperlink ref="B337" r:id="rId335" location="action=com.ibm.team.workitem.viewWorkItem&amp;id=345735" display="https://gdccm01.gddsi.com:9443/ccm/web/projects/MUOS SAFe 4.0 Project - action=com.ibm.team.workitem.viewWorkItem&amp;id=345735"/>
    <hyperlink ref="B338" r:id="rId336" location="action=com.ibm.team.workitem.viewWorkItem&amp;id=345734" display="https://gdccm01.gddsi.com:9443/ccm/web/projects/MUOS SAFe 4.0 Project - action=com.ibm.team.workitem.viewWorkItem&amp;id=345734"/>
    <hyperlink ref="B339" r:id="rId337" location="action=com.ibm.team.workitem.viewWorkItem&amp;id=345732" display="https://gdccm01.gddsi.com:9443/ccm/web/projects/MUOS SAFe 4.0 Project - action=com.ibm.team.workitem.viewWorkItem&amp;id=345732"/>
    <hyperlink ref="B340" r:id="rId338" location="action=com.ibm.team.workitem.viewWorkItem&amp;id=345731" display="https://gdccm01.gddsi.com:9443/ccm/web/projects/MUOS SAFe 4.0 Project - action=com.ibm.team.workitem.viewWorkItem&amp;id=345731"/>
    <hyperlink ref="B341" r:id="rId339" location="action=com.ibm.team.workitem.viewWorkItem&amp;id=345730" display="https://gdccm01.gddsi.com:9443/ccm/web/projects/MUOS SAFe 4.0 Project - action=com.ibm.team.workitem.viewWorkItem&amp;id=345730"/>
    <hyperlink ref="B342" r:id="rId340" location="action=com.ibm.team.workitem.viewWorkItem&amp;id=345729" display="https://gdccm01.gddsi.com:9443/ccm/web/projects/MUOS SAFe 4.0 Project - action=com.ibm.team.workitem.viewWorkItem&amp;id=345729"/>
    <hyperlink ref="B343" r:id="rId341" location="action=com.ibm.team.workitem.viewWorkItem&amp;id=345728" display="https://gdccm01.gddsi.com:9443/ccm/web/projects/MUOS SAFe 4.0 Project - action=com.ibm.team.workitem.viewWorkItem&amp;id=345728"/>
    <hyperlink ref="B344" r:id="rId342" location="action=com.ibm.team.workitem.viewWorkItem&amp;id=345726" display="https://gdccm01.gddsi.com:9443/ccm/web/projects/MUOS SAFe 4.0 Project - action=com.ibm.team.workitem.viewWorkItem&amp;id=345726"/>
    <hyperlink ref="B345" r:id="rId343" location="action=com.ibm.team.workitem.viewWorkItem&amp;id=345723" display="https://gdccm01.gddsi.com:9443/ccm/web/projects/MUOS SAFe 4.0 Project - action=com.ibm.team.workitem.viewWorkItem&amp;id=345723"/>
    <hyperlink ref="B346" r:id="rId344" location="action=com.ibm.team.workitem.viewWorkItem&amp;id=345716" display="https://gdccm01.gddsi.com:9443/ccm/web/projects/MUOS SAFe 4.0 Project - action=com.ibm.team.workitem.viewWorkItem&amp;id=345716"/>
    <hyperlink ref="B347" r:id="rId345" location="action=com.ibm.team.workitem.viewWorkItem&amp;id=345714" display="https://gdccm01.gddsi.com:9443/ccm/web/projects/MUOS SAFe 4.0 Project - action=com.ibm.team.workitem.viewWorkItem&amp;id=345714"/>
    <hyperlink ref="B348" r:id="rId346" location="action=com.ibm.team.workitem.viewWorkItem&amp;id=345713" display="https://gdccm01.gddsi.com:9443/ccm/web/projects/MUOS SAFe 4.0 Project - action=com.ibm.team.workitem.viewWorkItem&amp;id=345713"/>
    <hyperlink ref="B349" r:id="rId347" location="action=com.ibm.team.workitem.viewWorkItem&amp;id=345711" display="https://gdccm01.gddsi.com:9443/ccm/web/projects/MUOS SAFe 4.0 Project - action=com.ibm.team.workitem.viewWorkItem&amp;id=345711"/>
    <hyperlink ref="B350" r:id="rId348" location="action=com.ibm.team.workitem.viewWorkItem&amp;id=345701" display="https://gdccm01.gddsi.com:9443/ccm/web/projects/MUOS SAFe 4.0 Project - action=com.ibm.team.workitem.viewWorkItem&amp;id=345701"/>
    <hyperlink ref="B351" r:id="rId349" location="action=com.ibm.team.workitem.viewWorkItem&amp;id=345699" display="https://gdccm01.gddsi.com:9443/ccm/web/projects/MUOS SAFe 4.0 Project - action=com.ibm.team.workitem.viewWorkItem&amp;id=345699"/>
    <hyperlink ref="B352" r:id="rId350" location="action=com.ibm.team.workitem.viewWorkItem&amp;id=345698" display="https://gdccm01.gddsi.com:9443/ccm/web/projects/MUOS SAFe 4.0 Project - action=com.ibm.team.workitem.viewWorkItem&amp;id=345698"/>
    <hyperlink ref="B353" r:id="rId351" location="action=com.ibm.team.workitem.viewWorkItem&amp;id=345697" display="https://gdccm01.gddsi.com:9443/ccm/web/projects/MUOS SAFe 4.0 Project - action=com.ibm.team.workitem.viewWorkItem&amp;id=345697"/>
    <hyperlink ref="B354" r:id="rId352" location="action=com.ibm.team.workitem.viewWorkItem&amp;id=345696" display="https://gdccm01.gddsi.com:9443/ccm/web/projects/MUOS SAFe 4.0 Project - action=com.ibm.team.workitem.viewWorkItem&amp;id=345696"/>
    <hyperlink ref="B355" r:id="rId353" location="action=com.ibm.team.workitem.viewWorkItem&amp;id=345695" display="https://gdccm01.gddsi.com:9443/ccm/web/projects/MUOS SAFe 4.0 Project - action=com.ibm.team.workitem.viewWorkItem&amp;id=345695"/>
    <hyperlink ref="B356" r:id="rId354" location="action=com.ibm.team.workitem.viewWorkItem&amp;id=345694" display="https://gdccm01.gddsi.com:9443/ccm/web/projects/MUOS SAFe 4.0 Project - action=com.ibm.team.workitem.viewWorkItem&amp;id=345694"/>
    <hyperlink ref="B357" r:id="rId355" location="action=com.ibm.team.workitem.viewWorkItem&amp;id=345690" display="https://gdccm01.gddsi.com:9443/ccm/web/projects/MUOS SAFe 4.0 Project - action=com.ibm.team.workitem.viewWorkItem&amp;id=345690"/>
    <hyperlink ref="B358" r:id="rId356" location="action=com.ibm.team.workitem.viewWorkItem&amp;id=345689" display="https://gdccm01.gddsi.com:9443/ccm/web/projects/MUOS SAFe 4.0 Project - action=com.ibm.team.workitem.viewWorkItem&amp;id=345689"/>
    <hyperlink ref="B359" r:id="rId357" location="action=com.ibm.team.workitem.viewWorkItem&amp;id=345688" display="https://gdccm01.gddsi.com:9443/ccm/web/projects/MUOS SAFe 4.0 Project - action=com.ibm.team.workitem.viewWorkItem&amp;id=345688"/>
    <hyperlink ref="B360" r:id="rId358" location="action=com.ibm.team.workitem.viewWorkItem&amp;id=345686" display="https://gdccm01.gddsi.com:9443/ccm/web/projects/MUOS SAFe 4.0 Project - action=com.ibm.team.workitem.viewWorkItem&amp;id=345686"/>
    <hyperlink ref="B361" r:id="rId359" location="action=com.ibm.team.workitem.viewWorkItem&amp;id=345685" display="https://gdccm01.gddsi.com:9443/ccm/web/projects/MUOS SAFe 4.0 Project - action=com.ibm.team.workitem.viewWorkItem&amp;id=345685"/>
    <hyperlink ref="B362" r:id="rId360" location="action=com.ibm.team.workitem.viewWorkItem&amp;id=345684" display="https://gdccm01.gddsi.com:9443/ccm/web/projects/MUOS SAFe 4.0 Project - action=com.ibm.team.workitem.viewWorkItem&amp;id=345684"/>
    <hyperlink ref="B363" r:id="rId361" location="action=com.ibm.team.workitem.viewWorkItem&amp;id=345682" display="https://gdccm01.gddsi.com:9443/ccm/web/projects/MUOS SAFe 4.0 Project - action=com.ibm.team.workitem.viewWorkItem&amp;id=345682"/>
    <hyperlink ref="B364" r:id="rId362" location="action=com.ibm.team.workitem.viewWorkItem&amp;id=345680" display="https://gdccm01.gddsi.com:9443/ccm/web/projects/MUOS SAFe 4.0 Project - action=com.ibm.team.workitem.viewWorkItem&amp;id=345680"/>
    <hyperlink ref="B365" r:id="rId363" location="action=com.ibm.team.workitem.viewWorkItem&amp;id=345675" display="https://gdccm01.gddsi.com:9443/ccm/web/projects/MUOS SAFe 4.0 Project - action=com.ibm.team.workitem.viewWorkItem&amp;id=345675"/>
    <hyperlink ref="B366" r:id="rId364" location="action=com.ibm.team.workitem.viewWorkItem&amp;id=345674" display="https://gdccm01.gddsi.com:9443/ccm/web/projects/MUOS SAFe 4.0 Project - action=com.ibm.team.workitem.viewWorkItem&amp;id=345674"/>
    <hyperlink ref="B367" r:id="rId365" location="action=com.ibm.team.workitem.viewWorkItem&amp;id=345673" display="https://gdccm01.gddsi.com:9443/ccm/web/projects/MUOS SAFe 4.0 Project - action=com.ibm.team.workitem.viewWorkItem&amp;id=345673"/>
    <hyperlink ref="B368" r:id="rId366" location="action=com.ibm.team.workitem.viewWorkItem&amp;id=345672" display="https://gdccm01.gddsi.com:9443/ccm/web/projects/MUOS SAFe 4.0 Project - action=com.ibm.team.workitem.viewWorkItem&amp;id=345672"/>
    <hyperlink ref="B369" r:id="rId367" location="action=com.ibm.team.workitem.viewWorkItem&amp;id=345671" display="https://gdccm01.gddsi.com:9443/ccm/web/projects/MUOS SAFe 4.0 Project - action=com.ibm.team.workitem.viewWorkItem&amp;id=345671"/>
    <hyperlink ref="B370" r:id="rId368" location="action=com.ibm.team.workitem.viewWorkItem&amp;id=345669" display="https://gdccm01.gddsi.com:9443/ccm/web/projects/MUOS SAFe 4.0 Project - action=com.ibm.team.workitem.viewWorkItem&amp;id=345669"/>
    <hyperlink ref="B371" r:id="rId369" location="action=com.ibm.team.workitem.viewWorkItem&amp;id=345667" display="https://gdccm01.gddsi.com:9443/ccm/web/projects/MUOS SAFe 4.0 Project - action=com.ibm.team.workitem.viewWorkItem&amp;id=345667"/>
    <hyperlink ref="B372" r:id="rId370" location="action=com.ibm.team.workitem.viewWorkItem&amp;id=345666" display="https://gdccm01.gddsi.com:9443/ccm/web/projects/MUOS SAFe 4.0 Project - action=com.ibm.team.workitem.viewWorkItem&amp;id=345666"/>
    <hyperlink ref="B373" r:id="rId371" location="action=com.ibm.team.workitem.viewWorkItem&amp;id=345665" display="https://gdccm01.gddsi.com:9443/ccm/web/projects/MUOS SAFe 4.0 Project - action=com.ibm.team.workitem.viewWorkItem&amp;id=345665"/>
    <hyperlink ref="B374" r:id="rId372" location="action=com.ibm.team.workitem.viewWorkItem&amp;id=345664" display="https://gdccm01.gddsi.com:9443/ccm/web/projects/MUOS SAFe 4.0 Project - action=com.ibm.team.workitem.viewWorkItem&amp;id=345664"/>
    <hyperlink ref="B375" r:id="rId373" location="action=com.ibm.team.workitem.viewWorkItem&amp;id=345663" display="https://gdccm01.gddsi.com:9443/ccm/web/projects/MUOS SAFe 4.0 Project - action=com.ibm.team.workitem.viewWorkItem&amp;id=345663"/>
    <hyperlink ref="B376" r:id="rId374" location="action=com.ibm.team.workitem.viewWorkItem&amp;id=345662" display="https://gdccm01.gddsi.com:9443/ccm/web/projects/MUOS SAFe 4.0 Project - action=com.ibm.team.workitem.viewWorkItem&amp;id=345662"/>
    <hyperlink ref="B377" r:id="rId375" location="action=com.ibm.team.workitem.viewWorkItem&amp;id=345661" display="https://gdccm01.gddsi.com:9443/ccm/web/projects/MUOS SAFe 4.0 Project - action=com.ibm.team.workitem.viewWorkItem&amp;id=345661"/>
    <hyperlink ref="B378" r:id="rId376" location="action=com.ibm.team.workitem.viewWorkItem&amp;id=345660" display="https://gdccm01.gddsi.com:9443/ccm/web/projects/MUOS SAFe 4.0 Project - action=com.ibm.team.workitem.viewWorkItem&amp;id=345660"/>
    <hyperlink ref="B379" r:id="rId377" location="action=com.ibm.team.workitem.viewWorkItem&amp;id=345658" display="https://gdccm01.gddsi.com:9443/ccm/web/projects/MUOS SAFe 4.0 Project - action=com.ibm.team.workitem.viewWorkItem&amp;id=345658"/>
    <hyperlink ref="B380" r:id="rId378" location="action=com.ibm.team.workitem.viewWorkItem&amp;id=345657" display="https://gdccm01.gddsi.com:9443/ccm/web/projects/MUOS SAFe 4.0 Project - action=com.ibm.team.workitem.viewWorkItem&amp;id=345657"/>
    <hyperlink ref="B381" r:id="rId379" location="action=com.ibm.team.workitem.viewWorkItem&amp;id=345653" display="https://gdccm01.gddsi.com:9443/ccm/web/projects/MUOS SAFe 4.0 Project - action=com.ibm.team.workitem.viewWorkItem&amp;id=345653"/>
    <hyperlink ref="B382" r:id="rId380" location="action=com.ibm.team.workitem.viewWorkItem&amp;id=345652" display="https://gdccm01.gddsi.com:9443/ccm/web/projects/MUOS SAFe 4.0 Project - action=com.ibm.team.workitem.viewWorkItem&amp;id=345652"/>
    <hyperlink ref="B383" r:id="rId381" location="action=com.ibm.team.workitem.viewWorkItem&amp;id=345651" display="https://gdccm01.gddsi.com:9443/ccm/web/projects/MUOS SAFe 4.0 Project - action=com.ibm.team.workitem.viewWorkItem&amp;id=345651"/>
    <hyperlink ref="B384" r:id="rId382" location="action=com.ibm.team.workitem.viewWorkItem&amp;id=345650" display="https://gdccm01.gddsi.com:9443/ccm/web/projects/MUOS SAFe 4.0 Project - action=com.ibm.team.workitem.viewWorkItem&amp;id=345650"/>
    <hyperlink ref="B385" r:id="rId383" location="action=com.ibm.team.workitem.viewWorkItem&amp;id=345649" display="https://gdccm01.gddsi.com:9443/ccm/web/projects/MUOS SAFe 4.0 Project - action=com.ibm.team.workitem.viewWorkItem&amp;id=345649"/>
    <hyperlink ref="B386" r:id="rId384" location="action=com.ibm.team.workitem.viewWorkItem&amp;id=345644" display="https://gdccm01.gddsi.com:9443/ccm/web/projects/MUOS SAFe 4.0 Project - action=com.ibm.team.workitem.viewWorkItem&amp;id=345644"/>
    <hyperlink ref="B387" r:id="rId385" location="action=com.ibm.team.workitem.viewWorkItem&amp;id=345642" display="https://gdccm01.gddsi.com:9443/ccm/web/projects/MUOS SAFe 4.0 Project - action=com.ibm.team.workitem.viewWorkItem&amp;id=345642"/>
    <hyperlink ref="B388" r:id="rId386" location="action=com.ibm.team.workitem.viewWorkItem&amp;id=345640" display="https://gdccm01.gddsi.com:9443/ccm/web/projects/MUOS SAFe 4.0 Project - action=com.ibm.team.workitem.viewWorkItem&amp;id=345640"/>
    <hyperlink ref="B389" r:id="rId387" location="action=com.ibm.team.workitem.viewWorkItem&amp;id=345639" display="https://gdccm01.gddsi.com:9443/ccm/web/projects/MUOS SAFe 4.0 Project - action=com.ibm.team.workitem.viewWorkItem&amp;id=345639"/>
    <hyperlink ref="B390" r:id="rId388" location="action=com.ibm.team.workitem.viewWorkItem&amp;id=345633" display="https://gdccm01.gddsi.com:9443/ccm/web/projects/MUOS SAFe 4.0 Project - action=com.ibm.team.workitem.viewWorkItem&amp;id=345633"/>
    <hyperlink ref="B391" r:id="rId389" location="action=com.ibm.team.workitem.viewWorkItem&amp;id=345632" display="https://gdccm01.gddsi.com:9443/ccm/web/projects/MUOS SAFe 4.0 Project - action=com.ibm.team.workitem.viewWorkItem&amp;id=345632"/>
    <hyperlink ref="B392" r:id="rId390" location="action=com.ibm.team.workitem.viewWorkItem&amp;id=345630" display="https://gdccm01.gddsi.com:9443/ccm/web/projects/MUOS SAFe 4.0 Project - action=com.ibm.team.workitem.viewWorkItem&amp;id=345630"/>
    <hyperlink ref="B393" r:id="rId391" location="action=com.ibm.team.workitem.viewWorkItem&amp;id=345629" display="https://gdccm01.gddsi.com:9443/ccm/web/projects/MUOS SAFe 4.0 Project - action=com.ibm.team.workitem.viewWorkItem&amp;id=345629"/>
    <hyperlink ref="B394" r:id="rId392" location="action=com.ibm.team.workitem.viewWorkItem&amp;id=345628" display="https://gdccm01.gddsi.com:9443/ccm/web/projects/MUOS SAFe 4.0 Project - action=com.ibm.team.workitem.viewWorkItem&amp;id=345628"/>
    <hyperlink ref="B395" r:id="rId393" location="action=com.ibm.team.workitem.viewWorkItem&amp;id=345627" display="https://gdccm01.gddsi.com:9443/ccm/web/projects/MUOS SAFe 4.0 Project - action=com.ibm.team.workitem.viewWorkItem&amp;id=345627"/>
    <hyperlink ref="B396" r:id="rId394" location="action=com.ibm.team.workitem.viewWorkItem&amp;id=345626" display="https://gdccm01.gddsi.com:9443/ccm/web/projects/MUOS SAFe 4.0 Project - action=com.ibm.team.workitem.viewWorkItem&amp;id=345626"/>
    <hyperlink ref="B397" r:id="rId395" location="action=com.ibm.team.workitem.viewWorkItem&amp;id=345602" display="https://gdccm01.gddsi.com:9443/ccm/web/projects/MUOS SAFe 4.0 Project - action=com.ibm.team.workitem.viewWorkItem&amp;id=345602"/>
    <hyperlink ref="B398" r:id="rId396" location="action=com.ibm.team.workitem.viewWorkItem&amp;id=345597" display="https://gdccm01.gddsi.com:9443/ccm/web/projects/MUOS SAFe 4.0 Project - action=com.ibm.team.workitem.viewWorkItem&amp;id=345597"/>
    <hyperlink ref="B399" r:id="rId397" location="action=com.ibm.team.workitem.viewWorkItem&amp;id=345593" display="https://gdccm01.gddsi.com:9443/ccm/web/projects/MUOS SAFe 4.0 Project - action=com.ibm.team.workitem.viewWorkItem&amp;id=345593"/>
    <hyperlink ref="B400" r:id="rId398" location="action=com.ibm.team.workitem.viewWorkItem&amp;id=345591" display="https://gdccm01.gddsi.com:9443/ccm/web/projects/MUOS SAFe 4.0 Project - action=com.ibm.team.workitem.viewWorkItem&amp;id=345591"/>
    <hyperlink ref="B401" r:id="rId399" location="action=com.ibm.team.workitem.viewWorkItem&amp;id=345576" display="https://gdccm01.gddsi.com:9443/ccm/web/projects/MUOS SAFe 4.0 Project - action=com.ibm.team.workitem.viewWorkItem&amp;id=345576"/>
    <hyperlink ref="B402" r:id="rId400" location="action=com.ibm.team.workitem.viewWorkItem&amp;id=345228" display="https://gdccm01.gddsi.com:9443/ccm/web/projects/MUOS SAFe 4.0 Project - action=com.ibm.team.workitem.viewWorkItem&amp;id=345228"/>
    <hyperlink ref="B403" r:id="rId401" location="action=com.ibm.team.workitem.viewWorkItem&amp;id=345147" display="https://gdccm01.gddsi.com:9443/ccm/web/projects/MUOS SAFe 4.0 Project - action=com.ibm.team.workitem.viewWorkItem&amp;id=345147"/>
    <hyperlink ref="B404" r:id="rId402" location="action=com.ibm.team.workitem.viewWorkItem&amp;id=345070" display="https://gdccm01.gddsi.com:9443/ccm/web/projects/MUOS SAFe 4.0 Project - action=com.ibm.team.workitem.viewWorkItem&amp;id=345070"/>
    <hyperlink ref="B405" r:id="rId403" location="action=com.ibm.team.workitem.viewWorkItem&amp;id=345067" display="https://gdccm01.gddsi.com:9443/ccm/web/projects/MUOS SAFe 4.0 Project - action=com.ibm.team.workitem.viewWorkItem&amp;id=345067"/>
    <hyperlink ref="B406" r:id="rId404" location="action=com.ibm.team.workitem.viewWorkItem&amp;id=345056" display="https://gdccm01.gddsi.com:9443/ccm/web/projects/MUOS SAFe 4.0 Project - action=com.ibm.team.workitem.viewWorkItem&amp;id=345056"/>
    <hyperlink ref="B407" r:id="rId405" location="action=com.ibm.team.workitem.viewWorkItem&amp;id=345055" display="https://gdccm01.gddsi.com:9443/ccm/web/projects/MUOS SAFe 4.0 Project - action=com.ibm.team.workitem.viewWorkItem&amp;id=345055"/>
    <hyperlink ref="B408" r:id="rId406" location="action=com.ibm.team.workitem.viewWorkItem&amp;id=345034" display="https://gdccm01.gddsi.com:9443/ccm/web/projects/MUOS SAFe 4.0 Project - action=com.ibm.team.workitem.viewWorkItem&amp;id=345034"/>
    <hyperlink ref="B409" r:id="rId407" location="action=com.ibm.team.workitem.viewWorkItem&amp;id=345033" display="https://gdccm01.gddsi.com:9443/ccm/web/projects/MUOS SAFe 4.0 Project - action=com.ibm.team.workitem.viewWorkItem&amp;id=345033"/>
    <hyperlink ref="B410" r:id="rId408" location="action=com.ibm.team.workitem.viewWorkItem&amp;id=345008" display="https://gdccm01.gddsi.com:9443/ccm/web/projects/MUOS SAFe 4.0 Project - action=com.ibm.team.workitem.viewWorkItem&amp;id=345008"/>
    <hyperlink ref="B411" r:id="rId409" location="action=com.ibm.team.workitem.viewWorkItem&amp;id=344997" display="https://gdccm01.gddsi.com:9443/ccm/web/projects/MUOS SAFe 4.0 Project - action=com.ibm.team.workitem.viewWorkItem&amp;id=344997"/>
    <hyperlink ref="B412" r:id="rId410" location="action=com.ibm.team.workitem.viewWorkItem&amp;id=344975" display="https://gdccm01.gddsi.com:9443/ccm/web/projects/MUOS SAFe 4.0 Project - action=com.ibm.team.workitem.viewWorkItem&amp;id=344975"/>
    <hyperlink ref="B413" r:id="rId411" location="action=com.ibm.team.workitem.viewWorkItem&amp;id=344960" display="https://gdccm01.gddsi.com:9443/ccm/web/projects/MUOS SAFe 4.0 Project - action=com.ibm.team.workitem.viewWorkItem&amp;id=344960"/>
    <hyperlink ref="B414" r:id="rId412" location="action=com.ibm.team.workitem.viewWorkItem&amp;id=344952" display="https://gdccm01.gddsi.com:9443/ccm/web/projects/MUOS SAFe 4.0 Project - action=com.ibm.team.workitem.viewWorkItem&amp;id=344952"/>
    <hyperlink ref="B415" r:id="rId413" location="action=com.ibm.team.workitem.viewWorkItem&amp;id=344940" display="https://gdccm01.gddsi.com:9443/ccm/web/projects/MUOS SAFe 4.0 Project - action=com.ibm.team.workitem.viewWorkItem&amp;id=344940"/>
    <hyperlink ref="B416" r:id="rId414" location="action=com.ibm.team.workitem.viewWorkItem&amp;id=344901" display="https://gdccm01.gddsi.com:9443/ccm/web/projects/MUOS SAFe 4.0 Project - action=com.ibm.team.workitem.viewWorkItem&amp;id=344901"/>
    <hyperlink ref="B417" r:id="rId415" location="action=com.ibm.team.workitem.viewWorkItem&amp;id=344812" display="https://gdccm01.gddsi.com:9443/ccm/web/projects/MUOS SAFe 4.0 Project - action=com.ibm.team.workitem.viewWorkItem&amp;id=344812"/>
    <hyperlink ref="B418" r:id="rId416" location="action=com.ibm.team.workitem.viewWorkItem&amp;id=344793" display="https://gdccm01.gddsi.com:9443/ccm/web/projects/MUOS SAFe 4.0 Project - action=com.ibm.team.workitem.viewWorkItem&amp;id=344793"/>
    <hyperlink ref="B419" r:id="rId417" location="action=com.ibm.team.workitem.viewWorkItem&amp;id=344772" display="https://gdccm01.gddsi.com:9443/ccm/web/projects/MUOS SAFe 4.0 Project - action=com.ibm.team.workitem.viewWorkItem&amp;id=344772"/>
    <hyperlink ref="B420" r:id="rId418" location="action=com.ibm.team.workitem.viewWorkItem&amp;id=344757" display="https://gdccm01.gddsi.com:9443/ccm/web/projects/MUOS SAFe 4.0 Project - action=com.ibm.team.workitem.viewWorkItem&amp;id=344757"/>
    <hyperlink ref="B421" r:id="rId419" location="action=com.ibm.team.workitem.viewWorkItem&amp;id=344492" display="https://gdccm01.gddsi.com:9443/ccm/web/projects/MUOS SAFe 4.0 Project - action=com.ibm.team.workitem.viewWorkItem&amp;id=344492"/>
    <hyperlink ref="B422" r:id="rId420" location="action=com.ibm.team.workitem.viewWorkItem&amp;id=344081" display="https://gdccm01.gddsi.com:9443/ccm/web/projects/MUOS SAFe 4.0 Project - action=com.ibm.team.workitem.viewWorkItem&amp;id=344081"/>
    <hyperlink ref="B423" r:id="rId421" location="action=com.ibm.team.workitem.viewWorkItem&amp;id=343502" display="https://gdccm01.gddsi.com:9443/ccm/web/projects/MUOS SAFe 4.0 Project - action=com.ibm.team.workitem.viewWorkItem&amp;id=343502"/>
    <hyperlink ref="B424" r:id="rId422" location="action=com.ibm.team.workitem.viewWorkItem&amp;id=343147" display="https://gdccm01.gddsi.com:9443/ccm/web/projects/MUOS SAFe 4.0 Project - action=com.ibm.team.workitem.viewWorkItem&amp;id=343147"/>
    <hyperlink ref="B425" r:id="rId423" location="action=com.ibm.team.workitem.viewWorkItem&amp;id=342864" display="https://gdccm01.gddsi.com:9443/ccm/web/projects/MUOS SAFe 4.0 Project - action=com.ibm.team.workitem.viewWorkItem&amp;id=342864"/>
    <hyperlink ref="B426" r:id="rId424" location="action=com.ibm.team.workitem.viewWorkItem&amp;id=342758" display="https://gdccm01.gddsi.com:9443/ccm/web/projects/MUOS SAFe 4.0 Project - action=com.ibm.team.workitem.viewWorkItem&amp;id=342758"/>
    <hyperlink ref="B427" r:id="rId425" location="action=com.ibm.team.workitem.viewWorkItem&amp;id=342753" display="https://gdccm01.gddsi.com:9443/ccm/web/projects/MUOS SAFe 4.0 Project - action=com.ibm.team.workitem.viewWorkItem&amp;id=342753"/>
    <hyperlink ref="B428" r:id="rId426" location="action=com.ibm.team.workitem.viewWorkItem&amp;id=341933" display="https://gdccm01.gddsi.com:9443/ccm/web/projects/MUOS SAFe 4.0 Project - action=com.ibm.team.workitem.viewWorkItem&amp;id=341933"/>
    <hyperlink ref="B429" r:id="rId427" location="action=com.ibm.team.workitem.viewWorkItem&amp;id=341932" display="https://gdccm01.gddsi.com:9443/ccm/web/projects/MUOS SAFe 4.0 Project - action=com.ibm.team.workitem.viewWorkItem&amp;id=341932"/>
    <hyperlink ref="B430" r:id="rId428" location="action=com.ibm.team.workitem.viewWorkItem&amp;id=340490" display="https://gdccm01.gddsi.com:9443/ccm/web/projects/MUOS SAFe 4.0 Project - action=com.ibm.team.workitem.viewWorkItem&amp;id=340490"/>
    <hyperlink ref="B431" r:id="rId429" location="action=com.ibm.team.workitem.viewWorkItem&amp;id=339673" display="https://gdccm01.gddsi.com:9443/ccm/web/projects/MUOS SAFe 4.0 Project - action=com.ibm.team.workitem.viewWorkItem&amp;id=339673"/>
    <hyperlink ref="B432" r:id="rId430" location="action=com.ibm.team.workitem.viewWorkItem&amp;id=339573" display="https://gdccm01.gddsi.com:9443/ccm/web/projects/MUOS SAFe 4.0 Project - action=com.ibm.team.workitem.viewWorkItem&amp;id=339573"/>
    <hyperlink ref="B433" r:id="rId431" location="action=com.ibm.team.workitem.viewWorkItem&amp;id=339537" display="https://gdccm01.gddsi.com:9443/ccm/web/projects/MUOS SAFe 4.0 Project - action=com.ibm.team.workitem.viewWorkItem&amp;id=339537"/>
    <hyperlink ref="B434" r:id="rId432" location="action=com.ibm.team.workitem.viewWorkItem&amp;id=339155" display="https://gdccm01.gddsi.com:9443/ccm/web/projects/MUOS SAFe 4.0 Project - action=com.ibm.team.workitem.viewWorkItem&amp;id=339155"/>
    <hyperlink ref="B435" r:id="rId433" location="action=com.ibm.team.workitem.viewWorkItem&amp;id=337851" display="https://gdccm01.gddsi.com:9443/ccm/web/projects/MUOS SAFe 4.0 Project - action=com.ibm.team.workitem.viewWorkItem&amp;id=337851"/>
    <hyperlink ref="B436" r:id="rId434" location="action=com.ibm.team.workitem.viewWorkItem&amp;id=337428" display="https://gdccm01.gddsi.com:9443/ccm/web/projects/MUOS SAFe 4.0 Project - action=com.ibm.team.workitem.viewWorkItem&amp;id=337428"/>
    <hyperlink ref="B437" r:id="rId435" location="action=com.ibm.team.workitem.viewWorkItem&amp;id=336784" display="https://gdccm01.gddsi.com:9443/ccm/web/projects/MUOS SAFe 4.0 Project - action=com.ibm.team.workitem.viewWorkItem&amp;id=336784"/>
    <hyperlink ref="B438" r:id="rId436" location="action=com.ibm.team.workitem.viewWorkItem&amp;id=336443" display="https://gdccm01.gddsi.com:9443/ccm/web/projects/MUOS SAFe 4.0 Project - action=com.ibm.team.workitem.viewWorkItem&amp;id=336443"/>
    <hyperlink ref="B439" r:id="rId437" location="action=com.ibm.team.workitem.viewWorkItem&amp;id=336421" display="https://gdccm01.gddsi.com:9443/ccm/web/projects/MUOS SAFe 4.0 Project - action=com.ibm.team.workitem.viewWorkItem&amp;id=336421"/>
    <hyperlink ref="B440" r:id="rId438" location="action=com.ibm.team.workitem.viewWorkItem&amp;id=336320" display="https://gdccm01.gddsi.com:9443/ccm/web/projects/MUOS SAFe 4.0 Project - action=com.ibm.team.workitem.viewWorkItem&amp;id=336320"/>
    <hyperlink ref="B441" r:id="rId439" location="action=com.ibm.team.workitem.viewWorkItem&amp;id=336298" display="https://gdccm01.gddsi.com:9443/ccm/web/projects/MUOS SAFe 4.0 Project - action=com.ibm.team.workitem.viewWorkItem&amp;id=336298"/>
    <hyperlink ref="B442" r:id="rId440" location="action=com.ibm.team.workitem.viewWorkItem&amp;id=336295" display="https://gdccm01.gddsi.com:9443/ccm/web/projects/MUOS SAFe 4.0 Project - action=com.ibm.team.workitem.viewWorkItem&amp;id=336295"/>
    <hyperlink ref="B443" r:id="rId441" location="action=com.ibm.team.workitem.viewWorkItem&amp;id=336294" display="https://gdccm01.gddsi.com:9443/ccm/web/projects/MUOS SAFe 4.0 Project - action=com.ibm.team.workitem.viewWorkItem&amp;id=336294"/>
    <hyperlink ref="B444" r:id="rId442" location="action=com.ibm.team.workitem.viewWorkItem&amp;id=336293" display="https://gdccm01.gddsi.com:9443/ccm/web/projects/MUOS SAFe 4.0 Project - action=com.ibm.team.workitem.viewWorkItem&amp;id=336293"/>
    <hyperlink ref="B445" r:id="rId443" location="action=com.ibm.team.workitem.viewWorkItem&amp;id=336291" display="https://gdccm01.gddsi.com:9443/ccm/web/projects/MUOS SAFe 4.0 Project - action=com.ibm.team.workitem.viewWorkItem&amp;id=336291"/>
    <hyperlink ref="B446" r:id="rId444" location="action=com.ibm.team.workitem.viewWorkItem&amp;id=336259" display="https://gdccm01.gddsi.com:9443/ccm/web/projects/MUOS SAFe 4.0 Project - action=com.ibm.team.workitem.viewWorkItem&amp;id=336259"/>
    <hyperlink ref="B447" r:id="rId445" location="action=com.ibm.team.workitem.viewWorkItem&amp;id=336126" display="https://gdccm01.gddsi.com:9443/ccm/web/projects/MUOS SAFe 4.0 Project - action=com.ibm.team.workitem.viewWorkItem&amp;id=336126"/>
    <hyperlink ref="B448" r:id="rId446" location="action=com.ibm.team.workitem.viewWorkItem&amp;id=336107" display="https://gdccm01.gddsi.com:9443/ccm/web/projects/MUOS SAFe 4.0 Project - action=com.ibm.team.workitem.viewWorkItem&amp;id=336107"/>
    <hyperlink ref="B449" r:id="rId447" location="action=com.ibm.team.workitem.viewWorkItem&amp;id=335986" display="https://gdccm01.gddsi.com:9443/ccm/web/projects/MUOS SAFe 4.0 Project - action=com.ibm.team.workitem.viewWorkItem&amp;id=335986"/>
    <hyperlink ref="B450" r:id="rId448" location="action=com.ibm.team.workitem.viewWorkItem&amp;id=335930" display="https://gdccm01.gddsi.com:9443/ccm/web/projects/MUOS SAFe 4.0 Project - action=com.ibm.team.workitem.viewWorkItem&amp;id=335930"/>
    <hyperlink ref="B451" r:id="rId449" location="action=com.ibm.team.workitem.viewWorkItem&amp;id=335318" display="https://gdccm01.gddsi.com:9443/ccm/web/projects/MUOS SAFe 4.0 Project - action=com.ibm.team.workitem.viewWorkItem&amp;id=335318"/>
    <hyperlink ref="B452" r:id="rId450" location="action=com.ibm.team.workitem.viewWorkItem&amp;id=335296" display="https://gdccm01.gddsi.com:9443/ccm/web/projects/MUOS SAFe 4.0 Project - action=com.ibm.team.workitem.viewWorkItem&amp;id=335296"/>
    <hyperlink ref="B453" r:id="rId451" location="action=com.ibm.team.workitem.viewWorkItem&amp;id=335252" display="https://gdccm01.gddsi.com:9443/ccm/web/projects/MUOS SAFe 4.0 Project - action=com.ibm.team.workitem.viewWorkItem&amp;id=335252"/>
    <hyperlink ref="B454" r:id="rId452" location="action=com.ibm.team.workitem.viewWorkItem&amp;id=335174" display="https://gdccm01.gddsi.com:9443/ccm/web/projects/MUOS SAFe 4.0 Project - action=com.ibm.team.workitem.viewWorkItem&amp;id=335174"/>
    <hyperlink ref="B455" r:id="rId453" location="action=com.ibm.team.workitem.viewWorkItem&amp;id=334580" display="https://gdccm01.gddsi.com:9443/ccm/web/projects/MUOS SAFe 4.0 Project - action=com.ibm.team.workitem.viewWorkItem&amp;id=334580"/>
    <hyperlink ref="B456" r:id="rId454" location="action=com.ibm.team.workitem.viewWorkItem&amp;id=334579" display="https://gdccm01.gddsi.com:9443/ccm/web/projects/MUOS SAFe 4.0 Project - action=com.ibm.team.workitem.viewWorkItem&amp;id=334579"/>
    <hyperlink ref="B457" r:id="rId455" location="action=com.ibm.team.workitem.viewWorkItem&amp;id=334511" display="https://gdccm01.gddsi.com:9443/ccm/web/projects/MUOS SAFe 4.0 Project - action=com.ibm.team.workitem.viewWorkItem&amp;id=334511"/>
    <hyperlink ref="B458" r:id="rId456" location="action=com.ibm.team.workitem.viewWorkItem&amp;id=334428" display="https://gdccm01.gddsi.com:9443/ccm/web/projects/MUOS SAFe 4.0 Project - action=com.ibm.team.workitem.viewWorkItem&amp;id=334428"/>
    <hyperlink ref="B459" r:id="rId457" location="action=com.ibm.team.workitem.viewWorkItem&amp;id=334421" display="https://gdccm01.gddsi.com:9443/ccm/web/projects/MUOS SAFe 4.0 Project - action=com.ibm.team.workitem.viewWorkItem&amp;id=334421"/>
    <hyperlink ref="B460" r:id="rId458" location="action=com.ibm.team.workitem.viewWorkItem&amp;id=334350" display="https://gdccm01.gddsi.com:9443/ccm/web/projects/MUOS SAFe 4.0 Project - action=com.ibm.team.workitem.viewWorkItem&amp;id=334350"/>
    <hyperlink ref="B461" r:id="rId459" location="action=com.ibm.team.workitem.viewWorkItem&amp;id=334248" display="https://gdccm01.gddsi.com:9443/ccm/web/projects/MUOS SAFe 4.0 Project - action=com.ibm.team.workitem.viewWorkItem&amp;id=334248"/>
    <hyperlink ref="B462" r:id="rId460" location="action=com.ibm.team.workitem.viewWorkItem&amp;id=334158" display="https://gdccm01.gddsi.com:9443/ccm/web/projects/MUOS SAFe 4.0 Project - action=com.ibm.team.workitem.viewWorkItem&amp;id=334158"/>
    <hyperlink ref="B463" r:id="rId461" location="action=com.ibm.team.workitem.viewWorkItem&amp;id=333910" display="https://gdccm01.gddsi.com:9443/ccm/web/projects/MUOS SAFe 4.0 Project - action=com.ibm.team.workitem.viewWorkItem&amp;id=333910"/>
    <hyperlink ref="B464" r:id="rId462" location="action=com.ibm.team.workitem.viewWorkItem&amp;id=332758" display="https://gdccm01.gddsi.com:9443/ccm/web/projects/MUOS SAFe 4.0 Project - action=com.ibm.team.workitem.viewWorkItem&amp;id=332758"/>
    <hyperlink ref="B465" r:id="rId463" location="action=com.ibm.team.workitem.viewWorkItem&amp;id=332310" display="https://gdccm01.gddsi.com:9443/ccm/web/projects/MUOS SAFe 4.0 Project - action=com.ibm.team.workitem.viewWorkItem&amp;id=332310"/>
    <hyperlink ref="B466" r:id="rId464" location="action=com.ibm.team.workitem.viewWorkItem&amp;id=332309" display="https://gdccm01.gddsi.com:9443/ccm/web/projects/MUOS SAFe 4.0 Project - action=com.ibm.team.workitem.viewWorkItem&amp;id=332309"/>
    <hyperlink ref="B467" r:id="rId465" location="action=com.ibm.team.workitem.viewWorkItem&amp;id=332304" display="https://gdccm01.gddsi.com:9443/ccm/web/projects/MUOS SAFe 4.0 Project - action=com.ibm.team.workitem.viewWorkItem&amp;id=332304"/>
    <hyperlink ref="B468" r:id="rId466" location="action=com.ibm.team.workitem.viewWorkItem&amp;id=332004" display="https://gdccm01.gddsi.com:9443/ccm/web/projects/MUOS SAFe 4.0 Project - action=com.ibm.team.workitem.viewWorkItem&amp;id=332004"/>
    <hyperlink ref="B469" r:id="rId467" location="action=com.ibm.team.workitem.viewWorkItem&amp;id=332003" display="https://gdccm01.gddsi.com:9443/ccm/web/projects/MUOS SAFe 4.0 Project - action=com.ibm.team.workitem.viewWorkItem&amp;id=332003"/>
    <hyperlink ref="B470" r:id="rId468" location="action=com.ibm.team.workitem.viewWorkItem&amp;id=331989" display="https://gdccm01.gddsi.com:9443/ccm/web/projects/MUOS SAFe 4.0 Project - action=com.ibm.team.workitem.viewWorkItem&amp;id=331989"/>
    <hyperlink ref="B471" r:id="rId469" location="action=com.ibm.team.workitem.viewWorkItem&amp;id=331778" display="https://gdccm01.gddsi.com:9443/ccm/web/projects/MUOS SAFe 4.0 Project - action=com.ibm.team.workitem.viewWorkItem&amp;id=331778"/>
    <hyperlink ref="B472" r:id="rId470" location="action=com.ibm.team.workitem.viewWorkItem&amp;id=331703" display="https://gdccm01.gddsi.com:9443/ccm/web/projects/MUOS SAFe 4.0 Project - action=com.ibm.team.workitem.viewWorkItem&amp;id=331703"/>
    <hyperlink ref="B473" r:id="rId471" location="action=com.ibm.team.workitem.viewWorkItem&amp;id=331700" display="https://gdccm01.gddsi.com:9443/ccm/web/projects/MUOS SAFe 4.0 Project - action=com.ibm.team.workitem.viewWorkItem&amp;id=331700"/>
    <hyperlink ref="B474" r:id="rId472" location="action=com.ibm.team.workitem.viewWorkItem&amp;id=331569" display="https://gdccm01.gddsi.com:9443/ccm/web/projects/MUOS SAFe 4.0 Project - action=com.ibm.team.workitem.viewWorkItem&amp;id=331569"/>
    <hyperlink ref="B475" r:id="rId473" location="action=com.ibm.team.workitem.viewWorkItem&amp;id=331384" display="https://gdccm01.gddsi.com:9443/ccm/web/projects/MUOS SAFe 4.0 Project - action=com.ibm.team.workitem.viewWorkItem&amp;id=331384"/>
    <hyperlink ref="B476" r:id="rId474" location="action=com.ibm.team.workitem.viewWorkItem&amp;id=331309" display="https://gdccm01.gddsi.com:9443/ccm/web/projects/MUOS SAFe 4.0 Project - action=com.ibm.team.workitem.viewWorkItem&amp;id=331309"/>
    <hyperlink ref="B477" r:id="rId475" location="action=com.ibm.team.workitem.viewWorkItem&amp;id=329827" display="https://gdccm01.gddsi.com:9443/ccm/web/projects/MUOS SAFe 4.0 Project - action=com.ibm.team.workitem.viewWorkItem&amp;id=329827"/>
    <hyperlink ref="B478" r:id="rId476" location="action=com.ibm.team.workitem.viewWorkItem&amp;id=329825" display="https://gdccm01.gddsi.com:9443/ccm/web/projects/MUOS SAFe 4.0 Project - action=com.ibm.team.workitem.viewWorkItem&amp;id=329825"/>
    <hyperlink ref="B479" r:id="rId477" location="action=com.ibm.team.workitem.viewWorkItem&amp;id=329824" display="https://gdccm01.gddsi.com:9443/ccm/web/projects/MUOS SAFe 4.0 Project - action=com.ibm.team.workitem.viewWorkItem&amp;id=329824"/>
    <hyperlink ref="B480" r:id="rId478" location="action=com.ibm.team.workitem.viewWorkItem&amp;id=329821" display="https://gdccm01.gddsi.com:9443/ccm/web/projects/MUOS SAFe 4.0 Project - action=com.ibm.team.workitem.viewWorkItem&amp;id=329821"/>
    <hyperlink ref="B481" r:id="rId479" location="action=com.ibm.team.workitem.viewWorkItem&amp;id=329820" display="https://gdccm01.gddsi.com:9443/ccm/web/projects/MUOS SAFe 4.0 Project - action=com.ibm.team.workitem.viewWorkItem&amp;id=329820"/>
    <hyperlink ref="B482" r:id="rId480" location="action=com.ibm.team.workitem.viewWorkItem&amp;id=329814" display="https://gdccm01.gddsi.com:9443/ccm/web/projects/MUOS SAFe 4.0 Project - action=com.ibm.team.workitem.viewWorkItem&amp;id=329814"/>
    <hyperlink ref="B483" r:id="rId481" location="action=com.ibm.team.workitem.viewWorkItem&amp;id=329812" display="https://gdccm01.gddsi.com:9443/ccm/web/projects/MUOS SAFe 4.0 Project - action=com.ibm.team.workitem.viewWorkItem&amp;id=329812"/>
    <hyperlink ref="B484" r:id="rId482" location="action=com.ibm.team.workitem.viewWorkItem&amp;id=329811" display="https://gdccm01.gddsi.com:9443/ccm/web/projects/MUOS SAFe 4.0 Project - action=com.ibm.team.workitem.viewWorkItem&amp;id=329811"/>
    <hyperlink ref="B485" r:id="rId483" location="action=com.ibm.team.workitem.viewWorkItem&amp;id=329809" display="https://gdccm01.gddsi.com:9443/ccm/web/projects/MUOS SAFe 4.0 Project - action=com.ibm.team.workitem.viewWorkItem&amp;id=329809"/>
    <hyperlink ref="B486" r:id="rId484" location="action=com.ibm.team.workitem.viewWorkItem&amp;id=329806" display="https://gdccm01.gddsi.com:9443/ccm/web/projects/MUOS SAFe 4.0 Project - action=com.ibm.team.workitem.viewWorkItem&amp;id=329806"/>
    <hyperlink ref="B487" r:id="rId485" location="action=com.ibm.team.workitem.viewWorkItem&amp;id=329805" display="https://gdccm01.gddsi.com:9443/ccm/web/projects/MUOS SAFe 4.0 Project - action=com.ibm.team.workitem.viewWorkItem&amp;id=329805"/>
    <hyperlink ref="B488" r:id="rId486" location="action=com.ibm.team.workitem.viewWorkItem&amp;id=329804" display="https://gdccm01.gddsi.com:9443/ccm/web/projects/MUOS SAFe 4.0 Project - action=com.ibm.team.workitem.viewWorkItem&amp;id=329804"/>
    <hyperlink ref="B489" r:id="rId487" location="action=com.ibm.team.workitem.viewWorkItem&amp;id=329801" display="https://gdccm01.gddsi.com:9443/ccm/web/projects/MUOS SAFe 4.0 Project - action=com.ibm.team.workitem.viewWorkItem&amp;id=329801"/>
    <hyperlink ref="B490" r:id="rId488" location="action=com.ibm.team.workitem.viewWorkItem&amp;id=329800" display="https://gdccm01.gddsi.com:9443/ccm/web/projects/MUOS SAFe 4.0 Project - action=com.ibm.team.workitem.viewWorkItem&amp;id=329800"/>
    <hyperlink ref="B491" r:id="rId489" location="action=com.ibm.team.workitem.viewWorkItem&amp;id=329798" display="https://gdccm01.gddsi.com:9443/ccm/web/projects/MUOS SAFe 4.0 Project - action=com.ibm.team.workitem.viewWorkItem&amp;id=329798"/>
    <hyperlink ref="B492" r:id="rId490" location="action=com.ibm.team.workitem.viewWorkItem&amp;id=329796" display="https://gdccm01.gddsi.com:9443/ccm/web/projects/MUOS SAFe 4.0 Project - action=com.ibm.team.workitem.viewWorkItem&amp;id=329796"/>
    <hyperlink ref="B493" r:id="rId491" location="action=com.ibm.team.workitem.viewWorkItem&amp;id=329793" display="https://gdccm01.gddsi.com:9443/ccm/web/projects/MUOS SAFe 4.0 Project - action=com.ibm.team.workitem.viewWorkItem&amp;id=329793"/>
    <hyperlink ref="B494" r:id="rId492" location="action=com.ibm.team.workitem.viewWorkItem&amp;id=329792" display="https://gdccm01.gddsi.com:9443/ccm/web/projects/MUOS SAFe 4.0 Project - action=com.ibm.team.workitem.viewWorkItem&amp;id=329792"/>
    <hyperlink ref="B495" r:id="rId493" location="action=com.ibm.team.workitem.viewWorkItem&amp;id=329790" display="https://gdccm01.gddsi.com:9443/ccm/web/projects/MUOS SAFe 4.0 Project - action=com.ibm.team.workitem.viewWorkItem&amp;id=329790"/>
    <hyperlink ref="B496" r:id="rId494" location="action=com.ibm.team.workitem.viewWorkItem&amp;id=329789" display="https://gdccm01.gddsi.com:9443/ccm/web/projects/MUOS SAFe 4.0 Project - action=com.ibm.team.workitem.viewWorkItem&amp;id=329789"/>
    <hyperlink ref="B497" r:id="rId495" location="action=com.ibm.team.workitem.viewWorkItem&amp;id=329788" display="https://gdccm01.gddsi.com:9443/ccm/web/projects/MUOS SAFe 4.0 Project - action=com.ibm.team.workitem.viewWorkItem&amp;id=329788"/>
    <hyperlink ref="B498" r:id="rId496" location="action=com.ibm.team.workitem.viewWorkItem&amp;id=329787" display="https://gdccm01.gddsi.com:9443/ccm/web/projects/MUOS SAFe 4.0 Project - action=com.ibm.team.workitem.viewWorkItem&amp;id=329787"/>
    <hyperlink ref="B499" r:id="rId497" location="action=com.ibm.team.workitem.viewWorkItem&amp;id=329786" display="https://gdccm01.gddsi.com:9443/ccm/web/projects/MUOS SAFe 4.0 Project - action=com.ibm.team.workitem.viewWorkItem&amp;id=329786"/>
    <hyperlink ref="B500" r:id="rId498" location="action=com.ibm.team.workitem.viewWorkItem&amp;id=329784" display="https://gdccm01.gddsi.com:9443/ccm/web/projects/MUOS SAFe 4.0 Project - action=com.ibm.team.workitem.viewWorkItem&amp;id=329784"/>
    <hyperlink ref="B501" r:id="rId499" location="action=com.ibm.team.workitem.viewWorkItem&amp;id=329783" display="https://gdccm01.gddsi.com:9443/ccm/web/projects/MUOS SAFe 4.0 Project - action=com.ibm.team.workitem.viewWorkItem&amp;id=329783"/>
    <hyperlink ref="B502" r:id="rId500" location="action=com.ibm.team.workitem.viewWorkItem&amp;id=329782" display="https://gdccm01.gddsi.com:9443/ccm/web/projects/MUOS SAFe 4.0 Project - action=com.ibm.team.workitem.viewWorkItem&amp;id=329782"/>
    <hyperlink ref="B503" r:id="rId501" location="action=com.ibm.team.workitem.viewWorkItem&amp;id=329781" display="https://gdccm01.gddsi.com:9443/ccm/web/projects/MUOS SAFe 4.0 Project - action=com.ibm.team.workitem.viewWorkItem&amp;id=329781"/>
    <hyperlink ref="B504" r:id="rId502" location="action=com.ibm.team.workitem.viewWorkItem&amp;id=329780" display="https://gdccm01.gddsi.com:9443/ccm/web/projects/MUOS SAFe 4.0 Project - action=com.ibm.team.workitem.viewWorkItem&amp;id=329780"/>
    <hyperlink ref="B505" r:id="rId503" location="action=com.ibm.team.workitem.viewWorkItem&amp;id=329779" display="https://gdccm01.gddsi.com:9443/ccm/web/projects/MUOS SAFe 4.0 Project - action=com.ibm.team.workitem.viewWorkItem&amp;id=329779"/>
    <hyperlink ref="B506" r:id="rId504" location="action=com.ibm.team.workitem.viewWorkItem&amp;id=329778" display="https://gdccm01.gddsi.com:9443/ccm/web/projects/MUOS SAFe 4.0 Project - action=com.ibm.team.workitem.viewWorkItem&amp;id=329778"/>
    <hyperlink ref="B507" r:id="rId505" location="action=com.ibm.team.workitem.viewWorkItem&amp;id=329777" display="https://gdccm01.gddsi.com:9443/ccm/web/projects/MUOS SAFe 4.0 Project - action=com.ibm.team.workitem.viewWorkItem&amp;id=329777"/>
    <hyperlink ref="B508" r:id="rId506" location="action=com.ibm.team.workitem.viewWorkItem&amp;id=329775" display="https://gdccm01.gddsi.com:9443/ccm/web/projects/MUOS SAFe 4.0 Project - action=com.ibm.team.workitem.viewWorkItem&amp;id=329775"/>
    <hyperlink ref="B509" r:id="rId507" location="action=com.ibm.team.workitem.viewWorkItem&amp;id=329774" display="https://gdccm01.gddsi.com:9443/ccm/web/projects/MUOS SAFe 4.0 Project - action=com.ibm.team.workitem.viewWorkItem&amp;id=329774"/>
    <hyperlink ref="B510" r:id="rId508" location="action=com.ibm.team.workitem.viewWorkItem&amp;id=329769" display="https://gdccm01.gddsi.com:9443/ccm/web/projects/MUOS SAFe 4.0 Project - action=com.ibm.team.workitem.viewWorkItem&amp;id=329769"/>
    <hyperlink ref="B511" r:id="rId509" location="action=com.ibm.team.workitem.viewWorkItem&amp;id=329767" display="https://gdccm01.gddsi.com:9443/ccm/web/projects/MUOS SAFe 4.0 Project - action=com.ibm.team.workitem.viewWorkItem&amp;id=329767"/>
    <hyperlink ref="B512" r:id="rId510" location="action=com.ibm.team.workitem.viewWorkItem&amp;id=329766" display="https://gdccm01.gddsi.com:9443/ccm/web/projects/MUOS SAFe 4.0 Project - action=com.ibm.team.workitem.viewWorkItem&amp;id=329766"/>
    <hyperlink ref="B513" r:id="rId511" location="action=com.ibm.team.workitem.viewWorkItem&amp;id=329765" display="https://gdccm01.gddsi.com:9443/ccm/web/projects/MUOS SAFe 4.0 Project - action=com.ibm.team.workitem.viewWorkItem&amp;id=329765"/>
    <hyperlink ref="B514" r:id="rId512" location="action=com.ibm.team.workitem.viewWorkItem&amp;id=329764" display="https://gdccm01.gddsi.com:9443/ccm/web/projects/MUOS SAFe 4.0 Project - action=com.ibm.team.workitem.viewWorkItem&amp;id=329764"/>
    <hyperlink ref="B515" r:id="rId513" location="action=com.ibm.team.workitem.viewWorkItem&amp;id=329763" display="https://gdccm01.gddsi.com:9443/ccm/web/projects/MUOS SAFe 4.0 Project - action=com.ibm.team.workitem.viewWorkItem&amp;id=329763"/>
    <hyperlink ref="B516" r:id="rId514" location="action=com.ibm.team.workitem.viewWorkItem&amp;id=329762" display="https://gdccm01.gddsi.com:9443/ccm/web/projects/MUOS SAFe 4.0 Project - action=com.ibm.team.workitem.viewWorkItem&amp;id=329762"/>
    <hyperlink ref="B517" r:id="rId515" location="action=com.ibm.team.workitem.viewWorkItem&amp;id=329761" display="https://gdccm01.gddsi.com:9443/ccm/web/projects/MUOS SAFe 4.0 Project - action=com.ibm.team.workitem.viewWorkItem&amp;id=329761"/>
    <hyperlink ref="B518" r:id="rId516" location="action=com.ibm.team.workitem.viewWorkItem&amp;id=329760" display="https://gdccm01.gddsi.com:9443/ccm/web/projects/MUOS SAFe 4.0 Project - action=com.ibm.team.workitem.viewWorkItem&amp;id=329760"/>
    <hyperlink ref="B519" r:id="rId517" location="action=com.ibm.team.workitem.viewWorkItem&amp;id=329759" display="https://gdccm01.gddsi.com:9443/ccm/web/projects/MUOS SAFe 4.0 Project - action=com.ibm.team.workitem.viewWorkItem&amp;id=329759"/>
    <hyperlink ref="B520" r:id="rId518" location="action=com.ibm.team.workitem.viewWorkItem&amp;id=329758" display="https://gdccm01.gddsi.com:9443/ccm/web/projects/MUOS SAFe 4.0 Project - action=com.ibm.team.workitem.viewWorkItem&amp;id=329758"/>
    <hyperlink ref="B521" r:id="rId519" location="action=com.ibm.team.workitem.viewWorkItem&amp;id=329756" display="https://gdccm01.gddsi.com:9443/ccm/web/projects/MUOS SAFe 4.0 Project - action=com.ibm.team.workitem.viewWorkItem&amp;id=329756"/>
    <hyperlink ref="B522" r:id="rId520" location="action=com.ibm.team.workitem.viewWorkItem&amp;id=329755" display="https://gdccm01.gddsi.com:9443/ccm/web/projects/MUOS SAFe 4.0 Project - action=com.ibm.team.workitem.viewWorkItem&amp;id=329755"/>
    <hyperlink ref="B523" r:id="rId521" location="action=com.ibm.team.workitem.viewWorkItem&amp;id=329754" display="https://gdccm01.gddsi.com:9443/ccm/web/projects/MUOS SAFe 4.0 Project - action=com.ibm.team.workitem.viewWorkItem&amp;id=329754"/>
    <hyperlink ref="B524" r:id="rId522" location="action=com.ibm.team.workitem.viewWorkItem&amp;id=329752" display="https://gdccm01.gddsi.com:9443/ccm/web/projects/MUOS SAFe 4.0 Project - action=com.ibm.team.workitem.viewWorkItem&amp;id=329752"/>
    <hyperlink ref="B525" r:id="rId523" location="action=com.ibm.team.workitem.viewWorkItem&amp;id=329748" display="https://gdccm01.gddsi.com:9443/ccm/web/projects/MUOS SAFe 4.0 Project - action=com.ibm.team.workitem.viewWorkItem&amp;id=329748"/>
    <hyperlink ref="B526" r:id="rId524" location="action=com.ibm.team.workitem.viewWorkItem&amp;id=329743" display="https://gdccm01.gddsi.com:9443/ccm/web/projects/MUOS SAFe 4.0 Project - action=com.ibm.team.workitem.viewWorkItem&amp;id=329743"/>
    <hyperlink ref="B527" r:id="rId525" location="action=com.ibm.team.workitem.viewWorkItem&amp;id=329742" display="https://gdccm01.gddsi.com:9443/ccm/web/projects/MUOS SAFe 4.0 Project - action=com.ibm.team.workitem.viewWorkItem&amp;id=329742"/>
    <hyperlink ref="B528" r:id="rId526" location="action=com.ibm.team.workitem.viewWorkItem&amp;id=329741" display="https://gdccm01.gddsi.com:9443/ccm/web/projects/MUOS SAFe 4.0 Project - action=com.ibm.team.workitem.viewWorkItem&amp;id=329741"/>
    <hyperlink ref="B529" r:id="rId527" location="action=com.ibm.team.workitem.viewWorkItem&amp;id=329739" display="https://gdccm01.gddsi.com:9443/ccm/web/projects/MUOS SAFe 4.0 Project - action=com.ibm.team.workitem.viewWorkItem&amp;id=329739"/>
    <hyperlink ref="B530" r:id="rId528" location="action=com.ibm.team.workitem.viewWorkItem&amp;id=329737" display="https://gdccm01.gddsi.com:9443/ccm/web/projects/MUOS SAFe 4.0 Project - action=com.ibm.team.workitem.viewWorkItem&amp;id=329737"/>
    <hyperlink ref="B531" r:id="rId529" location="action=com.ibm.team.workitem.viewWorkItem&amp;id=329736" display="https://gdccm01.gddsi.com:9443/ccm/web/projects/MUOS SAFe 4.0 Project - action=com.ibm.team.workitem.viewWorkItem&amp;id=329736"/>
    <hyperlink ref="B532" r:id="rId530" location="action=com.ibm.team.workitem.viewWorkItem&amp;id=329735" display="https://gdccm01.gddsi.com:9443/ccm/web/projects/MUOS SAFe 4.0 Project - action=com.ibm.team.workitem.viewWorkItem&amp;id=329735"/>
    <hyperlink ref="B533" r:id="rId531" location="action=com.ibm.team.workitem.viewWorkItem&amp;id=329734" display="https://gdccm01.gddsi.com:9443/ccm/web/projects/MUOS SAFe 4.0 Project - action=com.ibm.team.workitem.viewWorkItem&amp;id=329734"/>
    <hyperlink ref="B534" r:id="rId532" location="action=com.ibm.team.workitem.viewWorkItem&amp;id=329732" display="https://gdccm01.gddsi.com:9443/ccm/web/projects/MUOS SAFe 4.0 Project - action=com.ibm.team.workitem.viewWorkItem&amp;id=329732"/>
    <hyperlink ref="B535" r:id="rId533" location="action=com.ibm.team.workitem.viewWorkItem&amp;id=329731" display="https://gdccm01.gddsi.com:9443/ccm/web/projects/MUOS SAFe 4.0 Project - action=com.ibm.team.workitem.viewWorkItem&amp;id=329731"/>
    <hyperlink ref="B536" r:id="rId534" location="action=com.ibm.team.workitem.viewWorkItem&amp;id=329730" display="https://gdccm01.gddsi.com:9443/ccm/web/projects/MUOS SAFe 4.0 Project - action=com.ibm.team.workitem.viewWorkItem&amp;id=329730"/>
    <hyperlink ref="B537" r:id="rId535" location="action=com.ibm.team.workitem.viewWorkItem&amp;id=329729" display="https://gdccm01.gddsi.com:9443/ccm/web/projects/MUOS SAFe 4.0 Project - action=com.ibm.team.workitem.viewWorkItem&amp;id=329729"/>
    <hyperlink ref="B538" r:id="rId536" location="action=com.ibm.team.workitem.viewWorkItem&amp;id=329728" display="https://gdccm01.gddsi.com:9443/ccm/web/projects/MUOS SAFe 4.0 Project - action=com.ibm.team.workitem.viewWorkItem&amp;id=329728"/>
    <hyperlink ref="B539" r:id="rId537" location="action=com.ibm.team.workitem.viewWorkItem&amp;id=329727" display="https://gdccm01.gddsi.com:9443/ccm/web/projects/MUOS SAFe 4.0 Project - action=com.ibm.team.workitem.viewWorkItem&amp;id=329727"/>
    <hyperlink ref="B540" r:id="rId538" location="action=com.ibm.team.workitem.viewWorkItem&amp;id=329726" display="https://gdccm01.gddsi.com:9443/ccm/web/projects/MUOS SAFe 4.0 Project - action=com.ibm.team.workitem.viewWorkItem&amp;id=329726"/>
    <hyperlink ref="B541" r:id="rId539" location="action=com.ibm.team.workitem.viewWorkItem&amp;id=329725" display="https://gdccm01.gddsi.com:9443/ccm/web/projects/MUOS SAFe 4.0 Project - action=com.ibm.team.workitem.viewWorkItem&amp;id=329725"/>
    <hyperlink ref="B542" r:id="rId540" location="action=com.ibm.team.workitem.viewWorkItem&amp;id=329724" display="https://gdccm01.gddsi.com:9443/ccm/web/projects/MUOS SAFe 4.0 Project - action=com.ibm.team.workitem.viewWorkItem&amp;id=329724"/>
    <hyperlink ref="B543" r:id="rId541" location="action=com.ibm.team.workitem.viewWorkItem&amp;id=329723" display="https://gdccm01.gddsi.com:9443/ccm/web/projects/MUOS SAFe 4.0 Project - action=com.ibm.team.workitem.viewWorkItem&amp;id=329723"/>
    <hyperlink ref="B544" r:id="rId542" location="action=com.ibm.team.workitem.viewWorkItem&amp;id=329721" display="https://gdccm01.gddsi.com:9443/ccm/web/projects/MUOS SAFe 4.0 Project - action=com.ibm.team.workitem.viewWorkItem&amp;id=329721"/>
    <hyperlink ref="B545" r:id="rId543" location="action=com.ibm.team.workitem.viewWorkItem&amp;id=329720" display="https://gdccm01.gddsi.com:9443/ccm/web/projects/MUOS SAFe 4.0 Project - action=com.ibm.team.workitem.viewWorkItem&amp;id=329720"/>
    <hyperlink ref="B546" r:id="rId544" location="action=com.ibm.team.workitem.viewWorkItem&amp;id=329719" display="https://gdccm01.gddsi.com:9443/ccm/web/projects/MUOS SAFe 4.0 Project - action=com.ibm.team.workitem.viewWorkItem&amp;id=329719"/>
    <hyperlink ref="B547" r:id="rId545" location="action=com.ibm.team.workitem.viewWorkItem&amp;id=329718" display="https://gdccm01.gddsi.com:9443/ccm/web/projects/MUOS SAFe 4.0 Project - action=com.ibm.team.workitem.viewWorkItem&amp;id=329718"/>
    <hyperlink ref="B548" r:id="rId546" location="action=com.ibm.team.workitem.viewWorkItem&amp;id=329717" display="https://gdccm01.gddsi.com:9443/ccm/web/projects/MUOS SAFe 4.0 Project - action=com.ibm.team.workitem.viewWorkItem&amp;id=329717"/>
    <hyperlink ref="B549" r:id="rId547" location="action=com.ibm.team.workitem.viewWorkItem&amp;id=329716" display="https://gdccm01.gddsi.com:9443/ccm/web/projects/MUOS SAFe 4.0 Project - action=com.ibm.team.workitem.viewWorkItem&amp;id=329716"/>
    <hyperlink ref="B550" r:id="rId548" location="action=com.ibm.team.workitem.viewWorkItem&amp;id=329714" display="https://gdccm01.gddsi.com:9443/ccm/web/projects/MUOS SAFe 4.0 Project - action=com.ibm.team.workitem.viewWorkItem&amp;id=329714"/>
    <hyperlink ref="B551" r:id="rId549" location="action=com.ibm.team.workitem.viewWorkItem&amp;id=329711" display="https://gdccm01.gddsi.com:9443/ccm/web/projects/MUOS SAFe 4.0 Project - action=com.ibm.team.workitem.viewWorkItem&amp;id=329711"/>
    <hyperlink ref="B552" r:id="rId550" location="action=com.ibm.team.workitem.viewWorkItem&amp;id=329710" display="https://gdccm01.gddsi.com:9443/ccm/web/projects/MUOS SAFe 4.0 Project - action=com.ibm.team.workitem.viewWorkItem&amp;id=329710"/>
    <hyperlink ref="B553" r:id="rId551" location="action=com.ibm.team.workitem.viewWorkItem&amp;id=329709" display="https://gdccm01.gddsi.com:9443/ccm/web/projects/MUOS SAFe 4.0 Project - action=com.ibm.team.workitem.viewWorkItem&amp;id=329709"/>
    <hyperlink ref="B554" r:id="rId552" location="action=com.ibm.team.workitem.viewWorkItem&amp;id=329708" display="https://gdccm01.gddsi.com:9443/ccm/web/projects/MUOS SAFe 4.0 Project - action=com.ibm.team.workitem.viewWorkItem&amp;id=329708"/>
    <hyperlink ref="B555" r:id="rId553" location="action=com.ibm.team.workitem.viewWorkItem&amp;id=329705" display="https://gdccm01.gddsi.com:9443/ccm/web/projects/MUOS SAFe 4.0 Project - action=com.ibm.team.workitem.viewWorkItem&amp;id=329705"/>
    <hyperlink ref="B556" r:id="rId554" location="action=com.ibm.team.workitem.viewWorkItem&amp;id=329704" display="https://gdccm01.gddsi.com:9443/ccm/web/projects/MUOS SAFe 4.0 Project - action=com.ibm.team.workitem.viewWorkItem&amp;id=329704"/>
    <hyperlink ref="B557" r:id="rId555" location="action=com.ibm.team.workitem.viewWorkItem&amp;id=329703" display="https://gdccm01.gddsi.com:9443/ccm/web/projects/MUOS SAFe 4.0 Project - action=com.ibm.team.workitem.viewWorkItem&amp;id=329703"/>
    <hyperlink ref="B558" r:id="rId556" location="action=com.ibm.team.workitem.viewWorkItem&amp;id=329701" display="https://gdccm01.gddsi.com:9443/ccm/web/projects/MUOS SAFe 4.0 Project - action=com.ibm.team.workitem.viewWorkItem&amp;id=329701"/>
    <hyperlink ref="B559" r:id="rId557" location="action=com.ibm.team.workitem.viewWorkItem&amp;id=329700" display="https://gdccm01.gddsi.com:9443/ccm/web/projects/MUOS SAFe 4.0 Project - action=com.ibm.team.workitem.viewWorkItem&amp;id=329700"/>
    <hyperlink ref="B560" r:id="rId558" location="action=com.ibm.team.workitem.viewWorkItem&amp;id=329699" display="https://gdccm01.gddsi.com:9443/ccm/web/projects/MUOS SAFe 4.0 Project - action=com.ibm.team.workitem.viewWorkItem&amp;id=329699"/>
    <hyperlink ref="B561" r:id="rId559" location="action=com.ibm.team.workitem.viewWorkItem&amp;id=329698" display="https://gdccm01.gddsi.com:9443/ccm/web/projects/MUOS SAFe 4.0 Project - action=com.ibm.team.workitem.viewWorkItem&amp;id=329698"/>
    <hyperlink ref="B562" r:id="rId560" location="action=com.ibm.team.workitem.viewWorkItem&amp;id=329696" display="https://gdccm01.gddsi.com:9443/ccm/web/projects/MUOS SAFe 4.0 Project - action=com.ibm.team.workitem.viewWorkItem&amp;id=329696"/>
    <hyperlink ref="B563" r:id="rId561" location="action=com.ibm.team.workitem.viewWorkItem&amp;id=329694" display="https://gdccm01.gddsi.com:9443/ccm/web/projects/MUOS SAFe 4.0 Project - action=com.ibm.team.workitem.viewWorkItem&amp;id=329694"/>
    <hyperlink ref="B564" r:id="rId562" location="action=com.ibm.team.workitem.viewWorkItem&amp;id=329693" display="https://gdccm01.gddsi.com:9443/ccm/web/projects/MUOS SAFe 4.0 Project - action=com.ibm.team.workitem.viewWorkItem&amp;id=329693"/>
    <hyperlink ref="B565" r:id="rId563" location="action=com.ibm.team.workitem.viewWorkItem&amp;id=329691" display="https://gdccm01.gddsi.com:9443/ccm/web/projects/MUOS SAFe 4.0 Project - action=com.ibm.team.workitem.viewWorkItem&amp;id=329691"/>
    <hyperlink ref="B566" r:id="rId564" location="action=com.ibm.team.workitem.viewWorkItem&amp;id=329684" display="https://gdccm01.gddsi.com:9443/ccm/web/projects/MUOS SAFe 4.0 Project - action=com.ibm.team.workitem.viewWorkItem&amp;id=329684"/>
    <hyperlink ref="B567" r:id="rId565" location="action=com.ibm.team.workitem.viewWorkItem&amp;id=329682" display="https://gdccm01.gddsi.com:9443/ccm/web/projects/MUOS SAFe 4.0 Project - action=com.ibm.team.workitem.viewWorkItem&amp;id=329682"/>
    <hyperlink ref="B568" r:id="rId566" location="action=com.ibm.team.workitem.viewWorkItem&amp;id=329681" display="https://gdccm01.gddsi.com:9443/ccm/web/projects/MUOS SAFe 4.0 Project - action=com.ibm.team.workitem.viewWorkItem&amp;id=329681"/>
    <hyperlink ref="B569" r:id="rId567" location="action=com.ibm.team.workitem.viewWorkItem&amp;id=329680" display="https://gdccm01.gddsi.com:9443/ccm/web/projects/MUOS SAFe 4.0 Project - action=com.ibm.team.workitem.viewWorkItem&amp;id=329680"/>
    <hyperlink ref="B570" r:id="rId568" location="action=com.ibm.team.workitem.viewWorkItem&amp;id=329679" display="https://gdccm01.gddsi.com:9443/ccm/web/projects/MUOS SAFe 4.0 Project - action=com.ibm.team.workitem.viewWorkItem&amp;id=329679"/>
    <hyperlink ref="B571" r:id="rId569" location="action=com.ibm.team.workitem.viewWorkItem&amp;id=329678" display="https://gdccm01.gddsi.com:9443/ccm/web/projects/MUOS SAFe 4.0 Project - action=com.ibm.team.workitem.viewWorkItem&amp;id=329678"/>
    <hyperlink ref="B572" r:id="rId570" location="action=com.ibm.team.workitem.viewWorkItem&amp;id=329677" display="https://gdccm01.gddsi.com:9443/ccm/web/projects/MUOS SAFe 4.0 Project - action=com.ibm.team.workitem.viewWorkItem&amp;id=329677"/>
    <hyperlink ref="B573" r:id="rId571" location="action=com.ibm.team.workitem.viewWorkItem&amp;id=329676" display="https://gdccm01.gddsi.com:9443/ccm/web/projects/MUOS SAFe 4.0 Project - action=com.ibm.team.workitem.viewWorkItem&amp;id=329676"/>
    <hyperlink ref="B574" r:id="rId572" location="action=com.ibm.team.workitem.viewWorkItem&amp;id=329675" display="https://gdccm01.gddsi.com:9443/ccm/web/projects/MUOS SAFe 4.0 Project - action=com.ibm.team.workitem.viewWorkItem&amp;id=329675"/>
    <hyperlink ref="B575" r:id="rId573" location="action=com.ibm.team.workitem.viewWorkItem&amp;id=329674" display="https://gdccm01.gddsi.com:9443/ccm/web/projects/MUOS SAFe 4.0 Project - action=com.ibm.team.workitem.viewWorkItem&amp;id=329674"/>
    <hyperlink ref="B576" r:id="rId574" location="action=com.ibm.team.workitem.viewWorkItem&amp;id=329672" display="https://gdccm01.gddsi.com:9443/ccm/web/projects/MUOS SAFe 4.0 Project - action=com.ibm.team.workitem.viewWorkItem&amp;id=329672"/>
    <hyperlink ref="B577" r:id="rId575" location="action=com.ibm.team.workitem.viewWorkItem&amp;id=329671" display="https://gdccm01.gddsi.com:9443/ccm/web/projects/MUOS SAFe 4.0 Project - action=com.ibm.team.workitem.viewWorkItem&amp;id=329671"/>
    <hyperlink ref="B578" r:id="rId576" location="action=com.ibm.team.workitem.viewWorkItem&amp;id=329669" display="https://gdccm01.gddsi.com:9443/ccm/web/projects/MUOS SAFe 4.0 Project - action=com.ibm.team.workitem.viewWorkItem&amp;id=329669"/>
    <hyperlink ref="B579" r:id="rId577" location="action=com.ibm.team.workitem.viewWorkItem&amp;id=329667" display="https://gdccm01.gddsi.com:9443/ccm/web/projects/MUOS SAFe 4.0 Project - action=com.ibm.team.workitem.viewWorkItem&amp;id=329667"/>
    <hyperlink ref="B580" r:id="rId578" location="action=com.ibm.team.workitem.viewWorkItem&amp;id=329666" display="https://gdccm01.gddsi.com:9443/ccm/web/projects/MUOS SAFe 4.0 Project - action=com.ibm.team.workitem.viewWorkItem&amp;id=329666"/>
    <hyperlink ref="B581" r:id="rId579" location="action=com.ibm.team.workitem.viewWorkItem&amp;id=329665" display="https://gdccm01.gddsi.com:9443/ccm/web/projects/MUOS SAFe 4.0 Project - action=com.ibm.team.workitem.viewWorkItem&amp;id=329665"/>
    <hyperlink ref="B582" r:id="rId580" location="action=com.ibm.team.workitem.viewWorkItem&amp;id=329664" display="https://gdccm01.gddsi.com:9443/ccm/web/projects/MUOS SAFe 4.0 Project - action=com.ibm.team.workitem.viewWorkItem&amp;id=329664"/>
    <hyperlink ref="B583" r:id="rId581" location="action=com.ibm.team.workitem.viewWorkItem&amp;id=329663" display="https://gdccm01.gddsi.com:9443/ccm/web/projects/MUOS SAFe 4.0 Project - action=com.ibm.team.workitem.viewWorkItem&amp;id=329663"/>
    <hyperlink ref="B584" r:id="rId582" location="action=com.ibm.team.workitem.viewWorkItem&amp;id=329662" display="https://gdccm01.gddsi.com:9443/ccm/web/projects/MUOS SAFe 4.0 Project - action=com.ibm.team.workitem.viewWorkItem&amp;id=329662"/>
    <hyperlink ref="B585" r:id="rId583" location="action=com.ibm.team.workitem.viewWorkItem&amp;id=329661" display="https://gdccm01.gddsi.com:9443/ccm/web/projects/MUOS SAFe 4.0 Project - action=com.ibm.team.workitem.viewWorkItem&amp;id=329661"/>
    <hyperlink ref="B586" r:id="rId584" location="action=com.ibm.team.workitem.viewWorkItem&amp;id=329659" display="https://gdccm01.gddsi.com:9443/ccm/web/projects/MUOS SAFe 4.0 Project - action=com.ibm.team.workitem.viewWorkItem&amp;id=329659"/>
    <hyperlink ref="B587" r:id="rId585" location="action=com.ibm.team.workitem.viewWorkItem&amp;id=329658" display="https://gdccm01.gddsi.com:9443/ccm/web/projects/MUOS SAFe 4.0 Project - action=com.ibm.team.workitem.viewWorkItem&amp;id=329658"/>
    <hyperlink ref="B588" r:id="rId586" location="action=com.ibm.team.workitem.viewWorkItem&amp;id=329657" display="https://gdccm01.gddsi.com:9443/ccm/web/projects/MUOS SAFe 4.0 Project - action=com.ibm.team.workitem.viewWorkItem&amp;id=329657"/>
    <hyperlink ref="B589" r:id="rId587" location="action=com.ibm.team.workitem.viewWorkItem&amp;id=329655" display="https://gdccm01.gddsi.com:9443/ccm/web/projects/MUOS SAFe 4.0 Project - action=com.ibm.team.workitem.viewWorkItem&amp;id=329655"/>
    <hyperlink ref="B590" r:id="rId588" location="action=com.ibm.team.workitem.viewWorkItem&amp;id=329654" display="https://gdccm01.gddsi.com:9443/ccm/web/projects/MUOS SAFe 4.0 Project - action=com.ibm.team.workitem.viewWorkItem&amp;id=329654"/>
    <hyperlink ref="B591" r:id="rId589" location="action=com.ibm.team.workitem.viewWorkItem&amp;id=329651" display="https://gdccm01.gddsi.com:9443/ccm/web/projects/MUOS SAFe 4.0 Project - action=com.ibm.team.workitem.viewWorkItem&amp;id=329651"/>
    <hyperlink ref="B592" r:id="rId590" location="action=com.ibm.team.workitem.viewWorkItem&amp;id=329650" display="https://gdccm01.gddsi.com:9443/ccm/web/projects/MUOS SAFe 4.0 Project - action=com.ibm.team.workitem.viewWorkItem&amp;id=329650"/>
    <hyperlink ref="B593" r:id="rId591" location="action=com.ibm.team.workitem.viewWorkItem&amp;id=329649" display="https://gdccm01.gddsi.com:9443/ccm/web/projects/MUOS SAFe 4.0 Project - action=com.ibm.team.workitem.viewWorkItem&amp;id=329649"/>
    <hyperlink ref="B594" r:id="rId592" location="action=com.ibm.team.workitem.viewWorkItem&amp;id=329648" display="https://gdccm01.gddsi.com:9443/ccm/web/projects/MUOS SAFe 4.0 Project - action=com.ibm.team.workitem.viewWorkItem&amp;id=329648"/>
    <hyperlink ref="B595" r:id="rId593" location="action=com.ibm.team.workitem.viewWorkItem&amp;id=329644" display="https://gdccm01.gddsi.com:9443/ccm/web/projects/MUOS SAFe 4.0 Project - action=com.ibm.team.workitem.viewWorkItem&amp;id=329644"/>
    <hyperlink ref="B596" r:id="rId594" location="action=com.ibm.team.workitem.viewWorkItem&amp;id=329641" display="https://gdccm01.gddsi.com:9443/ccm/web/projects/MUOS SAFe 4.0 Project - action=com.ibm.team.workitem.viewWorkItem&amp;id=329641"/>
    <hyperlink ref="B597" r:id="rId595" location="action=com.ibm.team.workitem.viewWorkItem&amp;id=329640" display="https://gdccm01.gddsi.com:9443/ccm/web/projects/MUOS SAFe 4.0 Project - action=com.ibm.team.workitem.viewWorkItem&amp;id=329640"/>
    <hyperlink ref="B598" r:id="rId596" location="action=com.ibm.team.workitem.viewWorkItem&amp;id=329638" display="https://gdccm01.gddsi.com:9443/ccm/web/projects/MUOS SAFe 4.0 Project - action=com.ibm.team.workitem.viewWorkItem&amp;id=329638"/>
    <hyperlink ref="B599" r:id="rId597" location="action=com.ibm.team.workitem.viewWorkItem&amp;id=329637" display="https://gdccm01.gddsi.com:9443/ccm/web/projects/MUOS SAFe 4.0 Project - action=com.ibm.team.workitem.viewWorkItem&amp;id=329637"/>
    <hyperlink ref="B600" r:id="rId598" location="action=com.ibm.team.workitem.viewWorkItem&amp;id=329636" display="https://gdccm01.gddsi.com:9443/ccm/web/projects/MUOS SAFe 4.0 Project - action=com.ibm.team.workitem.viewWorkItem&amp;id=329636"/>
    <hyperlink ref="B601" r:id="rId599" location="action=com.ibm.team.workitem.viewWorkItem&amp;id=329634" display="https://gdccm01.gddsi.com:9443/ccm/web/projects/MUOS SAFe 4.0 Project - action=com.ibm.team.workitem.viewWorkItem&amp;id=329634"/>
    <hyperlink ref="B602" r:id="rId600" location="action=com.ibm.team.workitem.viewWorkItem&amp;id=329633" display="https://gdccm01.gddsi.com:9443/ccm/web/projects/MUOS SAFe 4.0 Project - action=com.ibm.team.workitem.viewWorkItem&amp;id=329633"/>
    <hyperlink ref="B603" r:id="rId601" location="action=com.ibm.team.workitem.viewWorkItem&amp;id=329631" display="https://gdccm01.gddsi.com:9443/ccm/web/projects/MUOS SAFe 4.0 Project - action=com.ibm.team.workitem.viewWorkItem&amp;id=329631"/>
    <hyperlink ref="B604" r:id="rId602" location="action=com.ibm.team.workitem.viewWorkItem&amp;id=329630" display="https://gdccm01.gddsi.com:9443/ccm/web/projects/MUOS SAFe 4.0 Project - action=com.ibm.team.workitem.viewWorkItem&amp;id=329630"/>
    <hyperlink ref="B605" r:id="rId603" location="action=com.ibm.team.workitem.viewWorkItem&amp;id=329628" display="https://gdccm01.gddsi.com:9443/ccm/web/projects/MUOS SAFe 4.0 Project - action=com.ibm.team.workitem.viewWorkItem&amp;id=329628"/>
    <hyperlink ref="B606" r:id="rId604" location="action=com.ibm.team.workitem.viewWorkItem&amp;id=329627" display="https://gdccm01.gddsi.com:9443/ccm/web/projects/MUOS SAFe 4.0 Project - action=com.ibm.team.workitem.viewWorkItem&amp;id=329627"/>
    <hyperlink ref="B607" r:id="rId605" location="action=com.ibm.team.workitem.viewWorkItem&amp;id=329626" display="https://gdccm01.gddsi.com:9443/ccm/web/projects/MUOS SAFe 4.0 Project - action=com.ibm.team.workitem.viewWorkItem&amp;id=329626"/>
    <hyperlink ref="B608" r:id="rId606" location="action=com.ibm.team.workitem.viewWorkItem&amp;id=329625" display="https://gdccm01.gddsi.com:9443/ccm/web/projects/MUOS SAFe 4.0 Project - action=com.ibm.team.workitem.viewWorkItem&amp;id=329625"/>
    <hyperlink ref="B609" r:id="rId607" location="action=com.ibm.team.workitem.viewWorkItem&amp;id=329624" display="https://gdccm01.gddsi.com:9443/ccm/web/projects/MUOS SAFe 4.0 Project - action=com.ibm.team.workitem.viewWorkItem&amp;id=329624"/>
    <hyperlink ref="B610" r:id="rId608" location="action=com.ibm.team.workitem.viewWorkItem&amp;id=329621" display="https://gdccm01.gddsi.com:9443/ccm/web/projects/MUOS SAFe 4.0 Project - action=com.ibm.team.workitem.viewWorkItem&amp;id=329621"/>
    <hyperlink ref="B611" r:id="rId609" location="action=com.ibm.team.workitem.viewWorkItem&amp;id=329619" display="https://gdccm01.gddsi.com:9443/ccm/web/projects/MUOS SAFe 4.0 Project - action=com.ibm.team.workitem.viewWorkItem&amp;id=329619"/>
    <hyperlink ref="B612" r:id="rId610" location="action=com.ibm.team.workitem.viewWorkItem&amp;id=329618" display="https://gdccm01.gddsi.com:9443/ccm/web/projects/MUOS SAFe 4.0 Project - action=com.ibm.team.workitem.viewWorkItem&amp;id=329618"/>
    <hyperlink ref="B613" r:id="rId611" location="action=com.ibm.team.workitem.viewWorkItem&amp;id=329617" display="https://gdccm01.gddsi.com:9443/ccm/web/projects/MUOS SAFe 4.0 Project - action=com.ibm.team.workitem.viewWorkItem&amp;id=329617"/>
    <hyperlink ref="B614" r:id="rId612" location="action=com.ibm.team.workitem.viewWorkItem&amp;id=329616" display="https://gdccm01.gddsi.com:9443/ccm/web/projects/MUOS SAFe 4.0 Project - action=com.ibm.team.workitem.viewWorkItem&amp;id=329616"/>
    <hyperlink ref="B615" r:id="rId613" location="action=com.ibm.team.workitem.viewWorkItem&amp;id=329615" display="https://gdccm01.gddsi.com:9443/ccm/web/projects/MUOS SAFe 4.0 Project - action=com.ibm.team.workitem.viewWorkItem&amp;id=329615"/>
    <hyperlink ref="B616" r:id="rId614" location="action=com.ibm.team.workitem.viewWorkItem&amp;id=329613" display="https://gdccm01.gddsi.com:9443/ccm/web/projects/MUOS SAFe 4.0 Project - action=com.ibm.team.workitem.viewWorkItem&amp;id=329613"/>
    <hyperlink ref="B617" r:id="rId615" location="action=com.ibm.team.workitem.viewWorkItem&amp;id=329612" display="https://gdccm01.gddsi.com:9443/ccm/web/projects/MUOS SAFe 4.0 Project - action=com.ibm.team.workitem.viewWorkItem&amp;id=329612"/>
    <hyperlink ref="B618" r:id="rId616" location="action=com.ibm.team.workitem.viewWorkItem&amp;id=329611" display="https://gdccm01.gddsi.com:9443/ccm/web/projects/MUOS SAFe 4.0 Project - action=com.ibm.team.workitem.viewWorkItem&amp;id=329611"/>
    <hyperlink ref="B619" r:id="rId617" location="action=com.ibm.team.workitem.viewWorkItem&amp;id=329609" display="https://gdccm01.gddsi.com:9443/ccm/web/projects/MUOS SAFe 4.0 Project - action=com.ibm.team.workitem.viewWorkItem&amp;id=329609"/>
    <hyperlink ref="B620" r:id="rId618" location="action=com.ibm.team.workitem.viewWorkItem&amp;id=329608" display="https://gdccm01.gddsi.com:9443/ccm/web/projects/MUOS SAFe 4.0 Project - action=com.ibm.team.workitem.viewWorkItem&amp;id=329608"/>
    <hyperlink ref="B621" r:id="rId619" location="action=com.ibm.team.workitem.viewWorkItem&amp;id=329604" display="https://gdccm01.gddsi.com:9443/ccm/web/projects/MUOS SAFe 4.0 Project - action=com.ibm.team.workitem.viewWorkItem&amp;id=329604"/>
    <hyperlink ref="B622" r:id="rId620" location="action=com.ibm.team.workitem.viewWorkItem&amp;id=329603" display="https://gdccm01.gddsi.com:9443/ccm/web/projects/MUOS SAFe 4.0 Project - action=com.ibm.team.workitem.viewWorkItem&amp;id=329603"/>
    <hyperlink ref="B623" r:id="rId621" location="action=com.ibm.team.workitem.viewWorkItem&amp;id=329601" display="https://gdccm01.gddsi.com:9443/ccm/web/projects/MUOS SAFe 4.0 Project - action=com.ibm.team.workitem.viewWorkItem&amp;id=329601"/>
    <hyperlink ref="B624" r:id="rId622" location="action=com.ibm.team.workitem.viewWorkItem&amp;id=329600" display="https://gdccm01.gddsi.com:9443/ccm/web/projects/MUOS SAFe 4.0 Project - action=com.ibm.team.workitem.viewWorkItem&amp;id=329600"/>
    <hyperlink ref="B625" r:id="rId623" location="action=com.ibm.team.workitem.viewWorkItem&amp;id=327553" display="https://gdccm01.gddsi.com:9443/ccm/web/projects/MUOS SAFe 4.0 Project - action=com.ibm.team.workitem.viewWorkItem&amp;id=327553"/>
    <hyperlink ref="B626" r:id="rId624" location="action=com.ibm.team.workitem.viewWorkItem&amp;id=327498" display="https://gdccm01.gddsi.com:9443/ccm/web/projects/MUOS SAFe 4.0 Project - action=com.ibm.team.workitem.viewWorkItem&amp;id=327498"/>
    <hyperlink ref="B627" r:id="rId625" location="action=com.ibm.team.workitem.viewWorkItem&amp;id=327185" display="https://gdccm01.gddsi.com:9443/ccm/web/projects/MUOS SAFe 4.0 Project - action=com.ibm.team.workitem.viewWorkItem&amp;id=327185"/>
    <hyperlink ref="B628" r:id="rId626" location="action=com.ibm.team.workitem.viewWorkItem&amp;id=326969" display="https://gdccm01.gddsi.com:9443/ccm/web/projects/MUOS SAFe 4.0 Project - action=com.ibm.team.workitem.viewWorkItem&amp;id=326969"/>
    <hyperlink ref="B629" r:id="rId627" location="action=com.ibm.team.workitem.viewWorkItem&amp;id=326965" display="https://gdccm01.gddsi.com:9443/ccm/web/projects/MUOS SAFe 4.0 Project - action=com.ibm.team.workitem.viewWorkItem&amp;id=326965"/>
    <hyperlink ref="B630" r:id="rId628" location="action=com.ibm.team.workitem.viewWorkItem&amp;id=326957" display="https://gdccm01.gddsi.com:9443/ccm/web/projects/MUOS SAFe 4.0 Project - action=com.ibm.team.workitem.viewWorkItem&amp;id=326957"/>
    <hyperlink ref="B631" r:id="rId629" location="action=com.ibm.team.workitem.viewWorkItem&amp;id=324861" display="https://gdccm01.gddsi.com:9443/ccm/web/projects/MUOS SAFe 4.0 Project - action=com.ibm.team.workitem.viewWorkItem&amp;id=324861"/>
    <hyperlink ref="B632" r:id="rId630" location="action=com.ibm.team.workitem.viewWorkItem&amp;id=322766" display="https://gdccm01.gddsi.com:9443/ccm/web/projects/MUOS SAFe 4.0 Project - action=com.ibm.team.workitem.viewWorkItem&amp;id=322766"/>
    <hyperlink ref="B633" r:id="rId631" location="action=com.ibm.team.workitem.viewWorkItem&amp;id=321859" display="https://gdccm01.gddsi.com:9443/ccm/web/projects/MUOS SAFe 4.0 Project - action=com.ibm.team.workitem.viewWorkItem&amp;id=321859"/>
    <hyperlink ref="B634" r:id="rId632" location="action=com.ibm.team.workitem.viewWorkItem&amp;id=321852" display="https://gdccm01.gddsi.com:9443/ccm/web/projects/MUOS SAFe 4.0 Project - action=com.ibm.team.workitem.viewWorkItem&amp;id=321852"/>
    <hyperlink ref="B635" r:id="rId633" location="action=com.ibm.team.workitem.viewWorkItem&amp;id=321730" display="https://gdccm01.gddsi.com:9443/ccm/web/projects/MUOS SAFe 4.0 Project - action=com.ibm.team.workitem.viewWorkItem&amp;id=321730"/>
    <hyperlink ref="B636" r:id="rId634" location="action=com.ibm.team.workitem.viewWorkItem&amp;id=321349" display="https://gdccm01.gddsi.com:9443/ccm/web/projects/MUOS SAFe 4.0 Project - action=com.ibm.team.workitem.viewWorkItem&amp;id=321349"/>
    <hyperlink ref="B637" r:id="rId635" location="action=com.ibm.team.workitem.viewWorkItem&amp;id=320596" display="https://gdccm01.gddsi.com:9443/ccm/web/projects/MUOS SAFe 4.0 Project - action=com.ibm.team.workitem.viewWorkItem&amp;id=320596"/>
    <hyperlink ref="B638" r:id="rId636" location="action=com.ibm.team.workitem.viewWorkItem&amp;id=319991" display="https://gdccm01.gddsi.com:9443/ccm/web/projects/MUOS SAFe 4.0 Project - action=com.ibm.team.workitem.viewWorkItem&amp;id=319991"/>
    <hyperlink ref="B639" r:id="rId637" location="action=com.ibm.team.workitem.viewWorkItem&amp;id=319759" display="https://gdccm01.gddsi.com:9443/ccm/web/projects/MUOS SAFe 4.0 Project - action=com.ibm.team.workitem.viewWorkItem&amp;id=319759"/>
    <hyperlink ref="B640" r:id="rId638" location="action=com.ibm.team.workitem.viewWorkItem&amp;id=319351" display="https://gdccm01.gddsi.com:9443/ccm/web/projects/MUOS SAFe 4.0 Project - action=com.ibm.team.workitem.viewWorkItem&amp;id=319351"/>
    <hyperlink ref="B641" r:id="rId639" location="action=com.ibm.team.workitem.viewWorkItem&amp;id=319064" display="https://gdccm01.gddsi.com:9443/ccm/web/projects/MUOS SAFe 4.0 Project - action=com.ibm.team.workitem.viewWorkItem&amp;id=319064"/>
    <hyperlink ref="B642" r:id="rId640" location="action=com.ibm.team.workitem.viewWorkItem&amp;id=318827" display="https://gdccm01.gddsi.com:9443/ccm/web/projects/MUOS SAFe 4.0 Project - action=com.ibm.team.workitem.viewWorkItem&amp;id=318827"/>
    <hyperlink ref="B643" r:id="rId641" location="action=com.ibm.team.workitem.viewWorkItem&amp;id=317941" display="https://gdccm01.gddsi.com:9443/ccm/web/projects/MUOS SAFe 4.0 Project - action=com.ibm.team.workitem.viewWorkItem&amp;id=317941"/>
    <hyperlink ref="B644" r:id="rId642" location="action=com.ibm.team.workitem.viewWorkItem&amp;id=317857" display="https://gdccm01.gddsi.com:9443/ccm/web/projects/MUOS SAFe 4.0 Project - action=com.ibm.team.workitem.viewWorkItem&amp;id=317857"/>
    <hyperlink ref="B645" r:id="rId643" location="action=com.ibm.team.workitem.viewWorkItem&amp;id=317838" display="https://gdccm01.gddsi.com:9443/ccm/web/projects/MUOS SAFe 4.0 Project - action=com.ibm.team.workitem.viewWorkItem&amp;id=317838"/>
    <hyperlink ref="B646" r:id="rId644" location="action=com.ibm.team.workitem.viewWorkItem&amp;id=316911" display="https://gdccm01.gddsi.com:9443/ccm/web/projects/MUOS SAFe 4.0 Project - action=com.ibm.team.workitem.viewWorkItem&amp;id=316911"/>
    <hyperlink ref="B647" r:id="rId645" location="action=com.ibm.team.workitem.viewWorkItem&amp;id=316866" display="https://gdccm01.gddsi.com:9443/ccm/web/projects/MUOS SAFe 4.0 Project - action=com.ibm.team.workitem.viewWorkItem&amp;id=316866"/>
    <hyperlink ref="B648" r:id="rId646" location="action=com.ibm.team.workitem.viewWorkItem&amp;id=315607" display="https://gdccm01.gddsi.com:9443/ccm/web/projects/MUOS SAFe 4.0 Project - action=com.ibm.team.workitem.viewWorkItem&amp;id=315607"/>
    <hyperlink ref="B649" r:id="rId647" location="action=com.ibm.team.workitem.viewWorkItem&amp;id=315272" display="https://gdccm01.gddsi.com:9443/ccm/web/projects/MUOS SAFe 4.0 Project - action=com.ibm.team.workitem.viewWorkItem&amp;id=315272"/>
    <hyperlink ref="B650" r:id="rId648" location="action=com.ibm.team.workitem.viewWorkItem&amp;id=307100" display="https://gdccm01.gddsi.com:9443/ccm/web/projects/MUOS SAFe 4.0 Project - action=com.ibm.team.workitem.viewWorkItem&amp;id=307100"/>
    <hyperlink ref="B651" r:id="rId649" location="action=com.ibm.team.workitem.viewWorkItem&amp;id=305152" display="https://gdccm01.gddsi.com:9443/ccm/web/projects/MUOS SAFe 4.0 Project - action=com.ibm.team.workitem.viewWorkItem&amp;id=305152"/>
    <hyperlink ref="B652" r:id="rId650" location="action=com.ibm.team.workitem.viewWorkItem&amp;id=304896" display="https://gdccm01.gddsi.com:9443/ccm/web/projects/MUOS SAFe 4.0 Project - action=com.ibm.team.workitem.viewWorkItem&amp;id=304896"/>
    <hyperlink ref="B653" r:id="rId651" location="action=com.ibm.team.workitem.viewWorkItem&amp;id=303039" display="https://gdccm01.gddsi.com:9443/ccm/web/projects/MUOS SAFe 4.0 Project - action=com.ibm.team.workitem.viewWorkItem&amp;id=303039"/>
    <hyperlink ref="B654" r:id="rId652" location="action=com.ibm.team.workitem.viewWorkItem&amp;id=302725" display="https://gdccm01.gddsi.com:9443/ccm/web/projects/MUOS SAFe 4.0 Project - action=com.ibm.team.workitem.viewWorkItem&amp;id=302725"/>
    <hyperlink ref="B655" r:id="rId653" location="action=com.ibm.team.workitem.viewWorkItem&amp;id=302204" display="https://gdccm01.gddsi.com:9443/ccm/web/projects/MUOS SAFe 4.0 Project - action=com.ibm.team.workitem.viewWorkItem&amp;id=302204"/>
    <hyperlink ref="B656" r:id="rId654" location="action=com.ibm.team.workitem.viewWorkItem&amp;id=302104" display="https://gdccm01.gddsi.com:9443/ccm/web/projects/MUOS SAFe 4.0 Project - action=com.ibm.team.workitem.viewWorkItem&amp;id=302104"/>
    <hyperlink ref="B657" r:id="rId655" location="action=com.ibm.team.workitem.viewWorkItem&amp;id=301388" display="https://gdccm01.gddsi.com:9443/ccm/web/projects/MUOS SAFe 4.0 Project - action=com.ibm.team.workitem.viewWorkItem&amp;id=301388"/>
    <hyperlink ref="B658" r:id="rId656" location="action=com.ibm.team.workitem.viewWorkItem&amp;id=299149" display="https://gdccm01.gddsi.com:9443/ccm/web/projects/MUOS SAFe 4.0 Project - action=com.ibm.team.workitem.viewWorkItem&amp;id=299149"/>
    <hyperlink ref="B659" r:id="rId657" location="action=com.ibm.team.workitem.viewWorkItem&amp;id=299031" display="https://gdccm01.gddsi.com:9443/ccm/web/projects/MUOS SAFe 4.0 Project - action=com.ibm.team.workitem.viewWorkItem&amp;id=299031"/>
    <hyperlink ref="B660" r:id="rId658" location="action=com.ibm.team.workitem.viewWorkItem&amp;id=293489" display="https://gdccm01.gddsi.com:9443/ccm/web/projects/MUOS SAFe 4.0 Project - action=com.ibm.team.workitem.viewWorkItem&amp;id=293489"/>
    <hyperlink ref="B661" r:id="rId659" location="action=com.ibm.team.workitem.viewWorkItem&amp;id=293485" display="https://gdccm01.gddsi.com:9443/ccm/web/projects/MUOS SAFe 4.0 Project - action=com.ibm.team.workitem.viewWorkItem&amp;id=293485"/>
    <hyperlink ref="B662" r:id="rId660" location="action=com.ibm.team.workitem.viewWorkItem&amp;id=293481" display="https://gdccm01.gddsi.com:9443/ccm/web/projects/MUOS SAFe 4.0 Project - action=com.ibm.team.workitem.viewWorkItem&amp;id=293481"/>
    <hyperlink ref="B663" r:id="rId661" location="action=com.ibm.team.workitem.viewWorkItem&amp;id=293462" display="https://gdccm01.gddsi.com:9443/ccm/web/projects/MUOS SAFe 4.0 Project - action=com.ibm.team.workitem.viewWorkItem&amp;id=293462"/>
    <hyperlink ref="B664" r:id="rId662" location="action=com.ibm.team.workitem.viewWorkItem&amp;id=293459" display="https://gdccm01.gddsi.com:9443/ccm/web/projects/MUOS SAFe 4.0 Project - action=com.ibm.team.workitem.viewWorkItem&amp;id=293459"/>
    <hyperlink ref="B665" r:id="rId663" location="action=com.ibm.team.workitem.viewWorkItem&amp;id=293450" display="https://gdccm01.gddsi.com:9443/ccm/web/projects/MUOS SAFe 4.0 Project - action=com.ibm.team.workitem.viewWorkItem&amp;id=293450"/>
    <hyperlink ref="B666" r:id="rId664" location="action=com.ibm.team.workitem.viewWorkItem&amp;id=292421" display="https://gdccm01.gddsi.com:9443/ccm/web/projects/MUOS SAFe 4.0 Project - action=com.ibm.team.workitem.viewWorkItem&amp;id=292421"/>
    <hyperlink ref="B667" r:id="rId665" location="action=com.ibm.team.workitem.viewWorkItem&amp;id=288727" display="https://gdccm01.gddsi.com:9443/ccm/web/projects/MUOS SAFe 4.0 Project - action=com.ibm.team.workitem.viewWorkItem&amp;id=288727"/>
    <hyperlink ref="B668" r:id="rId666" location="action=com.ibm.team.workitem.viewWorkItem&amp;id=279113" display="https://gdccm01.gddsi.com:9443/ccm/web/projects/MUOS SAFe 4.0 Project - action=com.ibm.team.workitem.viewWorkItem&amp;id=279113"/>
    <hyperlink ref="B669" r:id="rId667" location="action=com.ibm.team.workitem.viewWorkItem&amp;id=277526" display="https://gdccm01.gddsi.com:9443/ccm/web/projects/MUOS SAFe 4.0 Project - action=com.ibm.team.workitem.viewWorkItem&amp;id=277526"/>
    <hyperlink ref="B670" r:id="rId668" location="action=com.ibm.team.workitem.viewWorkItem&amp;id=263363" display="https://gdccm01.gddsi.com:9443/ccm/web/projects/MUOS SAFe 4.0 Project - action=com.ibm.team.workitem.viewWorkItem&amp;id=263363"/>
    <hyperlink ref="B671" r:id="rId669" location="action=com.ibm.team.workitem.viewWorkItem&amp;id=259109" display="https://gdccm01.gddsi.com:9443/ccm/web/projects/MUOS SAFe 4.0 Project - action=com.ibm.team.workitem.viewWorkItem&amp;id=259109"/>
    <hyperlink ref="B672" r:id="rId670" location="action=com.ibm.team.workitem.viewWorkItem&amp;id=258903" display="https://gdccm01.gddsi.com:9443/ccm/web/projects/MUOS SAFe 4.0 Project - action=com.ibm.team.workitem.viewWorkItem&amp;id=258903"/>
    <hyperlink ref="B673" r:id="rId671" location="action=com.ibm.team.workitem.viewWorkItem&amp;id=227184" display="https://gdccm01.gddsi.com:9443/ccm/web/projects/MUOS SAFe 4.0 Project - action=com.ibm.team.workitem.viewWorkItem&amp;id=227184"/>
    <hyperlink ref="B674" r:id="rId672" location="action=com.ibm.team.workitem.viewWorkItem&amp;id=223592" display="https://gdccm01.gddsi.com:9443/ccm/web/projects/MUOS SAFe 4.0 Project - action=com.ibm.team.workitem.viewWorkItem&amp;id=223592"/>
    <hyperlink ref="B675" r:id="rId673" location="action=com.ibm.team.workitem.viewWorkItem&amp;id=221090" display="https://gdccm01.gddsi.com:9443/ccm/web/projects/MUOS SAFe 4.0 Project - action=com.ibm.team.workitem.viewWorkItem&amp;id=221090"/>
    <hyperlink ref="B676" r:id="rId674" location="action=com.ibm.team.workitem.viewWorkItem&amp;id=217578" display="https://gdccm01.gddsi.com:9443/ccm/web/projects/MUOS SAFe 4.0 Project - action=com.ibm.team.workitem.viewWorkItem&amp;id=217578"/>
  </hyperlinks>
  <pageMargins left="0.7" right="0.7" top="0.75" bottom="0.75" header="0.3" footer="0.3"/>
  <drawing r:id="rId675"/>
  <legacyDrawing r:id="rId676"/>
  <mc:AlternateContent xmlns:mc="http://schemas.openxmlformats.org/markup-compatibility/2006">
    <mc:Choice Requires="x14">
      <controls>
        <mc:AlternateContent xmlns:mc="http://schemas.openxmlformats.org/markup-compatibility/2006">
          <mc:Choice Requires="x14">
            <control shapeId="16387" r:id="rId677" name="Button 3">
              <controlPr defaultSize="0" print="0" autoFill="0" autoPict="0" macro="[0]!ShowAll.Show_all">
                <anchor moveWithCells="1" sizeWithCells="1">
                  <from>
                    <xdr:col>1</xdr:col>
                    <xdr:colOff>68580</xdr:colOff>
                    <xdr:row>0</xdr:row>
                    <xdr:rowOff>30480</xdr:rowOff>
                  </from>
                  <to>
                    <xdr:col>3</xdr:col>
                    <xdr:colOff>30480</xdr:colOff>
                    <xdr:row>0</xdr:row>
                    <xdr:rowOff>327660</xdr:rowOff>
                  </to>
                </anchor>
              </controlPr>
            </control>
          </mc:Choice>
        </mc:AlternateContent>
        <mc:AlternateContent xmlns:mc="http://schemas.openxmlformats.org/markup-compatibility/2006">
          <mc:Choice Requires="x14">
            <control shapeId="16388" r:id="rId678" name="Button 4">
              <controlPr defaultSize="0" print="0" autoFill="0" autoPict="0" macro="[0]!Return_To_List">
                <anchor moveWithCells="1" sizeWithCells="1">
                  <from>
                    <xdr:col>3</xdr:col>
                    <xdr:colOff>144780</xdr:colOff>
                    <xdr:row>0</xdr:row>
                    <xdr:rowOff>38100</xdr:rowOff>
                  </from>
                  <to>
                    <xdr:col>3</xdr:col>
                    <xdr:colOff>1440180</xdr:colOff>
                    <xdr:row>0</xdr:row>
                    <xdr:rowOff>419100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N500"/>
  <sheetViews>
    <sheetView workbookViewId="0"/>
  </sheetViews>
  <sheetFormatPr defaultRowHeight="14.4" x14ac:dyDescent="0.3"/>
  <cols>
    <col min="1" max="1" width="12.44140625" style="95" customWidth="1"/>
    <col min="2" max="3" width="9.5546875" style="95" customWidth="1"/>
    <col min="4" max="4" width="17.33203125" style="95" customWidth="1"/>
    <col min="5" max="8" width="9.5546875" style="95" customWidth="1"/>
    <col min="9" max="9" width="18.6640625" style="95" customWidth="1"/>
    <col min="10" max="13" width="8.88671875" style="95" customWidth="1"/>
    <col min="14" max="14" width="8.88671875" style="218" customWidth="1"/>
  </cols>
  <sheetData>
    <row r="1" spans="1:14" ht="31.5" customHeight="1" x14ac:dyDescent="0.3">
      <c r="A1" s="187"/>
      <c r="B1" s="188"/>
      <c r="C1" s="189" t="s">
        <v>1627</v>
      </c>
      <c r="D1" s="190"/>
      <c r="E1" s="189"/>
      <c r="F1" s="190"/>
      <c r="G1" s="190"/>
      <c r="H1" s="190"/>
      <c r="I1" s="190"/>
      <c r="J1" s="190"/>
      <c r="K1" s="190"/>
      <c r="L1" s="190"/>
      <c r="M1" s="190"/>
      <c r="N1" s="215"/>
    </row>
    <row r="2" spans="1:14" ht="14.4" customHeight="1" x14ac:dyDescent="0.3">
      <c r="A2" s="191" t="s">
        <v>142</v>
      </c>
      <c r="B2" s="191" t="s">
        <v>0</v>
      </c>
      <c r="C2" s="191" t="s">
        <v>1</v>
      </c>
      <c r="D2" s="192" t="s">
        <v>175</v>
      </c>
      <c r="E2" s="191" t="s">
        <v>6</v>
      </c>
      <c r="F2" s="191" t="s">
        <v>4</v>
      </c>
      <c r="G2" s="191" t="s">
        <v>176</v>
      </c>
      <c r="H2" s="191" t="s">
        <v>3</v>
      </c>
      <c r="I2" s="192" t="s">
        <v>177</v>
      </c>
      <c r="J2" s="191" t="s">
        <v>178</v>
      </c>
      <c r="K2" s="191" t="s">
        <v>803</v>
      </c>
      <c r="L2" s="191" t="s">
        <v>804</v>
      </c>
      <c r="M2" s="191" t="s">
        <v>805</v>
      </c>
      <c r="N2" s="216" t="s">
        <v>180</v>
      </c>
    </row>
    <row r="3" spans="1:14" ht="14.4" customHeight="1" x14ac:dyDescent="0.3">
      <c r="A3" s="95" t="s">
        <v>185</v>
      </c>
      <c r="B3" s="95">
        <v>390074</v>
      </c>
      <c r="C3" s="95" t="s">
        <v>1875</v>
      </c>
      <c r="D3" s="95" t="s">
        <v>807</v>
      </c>
      <c r="E3" s="95" t="s">
        <v>642</v>
      </c>
      <c r="F3" s="95" t="s">
        <v>70</v>
      </c>
      <c r="H3" s="95" t="s">
        <v>104</v>
      </c>
      <c r="I3" s="95" t="s">
        <v>1876</v>
      </c>
      <c r="J3" s="95" t="s">
        <v>808</v>
      </c>
      <c r="M3" s="95" t="s">
        <v>814</v>
      </c>
      <c r="N3" s="218">
        <v>43878.338194444441</v>
      </c>
    </row>
    <row r="4" spans="1:14" ht="14.4" customHeight="1" x14ac:dyDescent="0.3">
      <c r="A4" s="95" t="s">
        <v>185</v>
      </c>
      <c r="B4" s="95">
        <v>378406</v>
      </c>
      <c r="C4" s="95" t="s">
        <v>1629</v>
      </c>
      <c r="D4" s="95" t="s">
        <v>197</v>
      </c>
      <c r="E4" s="95" t="s">
        <v>1423</v>
      </c>
      <c r="F4" s="95" t="s">
        <v>679</v>
      </c>
      <c r="H4" s="95" t="s">
        <v>1012</v>
      </c>
      <c r="I4" s="95" t="s">
        <v>1630</v>
      </c>
      <c r="J4" s="95" t="s">
        <v>813</v>
      </c>
      <c r="K4" s="95" t="s">
        <v>1631</v>
      </c>
      <c r="L4" s="95" t="s">
        <v>1632</v>
      </c>
      <c r="M4" s="95" t="s">
        <v>809</v>
      </c>
      <c r="N4" s="218">
        <v>43859.541666666664</v>
      </c>
    </row>
    <row r="5" spans="1:14" ht="14.4" customHeight="1" x14ac:dyDescent="0.3">
      <c r="A5" s="95" t="s">
        <v>185</v>
      </c>
      <c r="B5" s="95">
        <v>391813</v>
      </c>
      <c r="C5" s="95" t="s">
        <v>1633</v>
      </c>
      <c r="D5" s="95" t="s">
        <v>104</v>
      </c>
      <c r="E5" s="95" t="s">
        <v>104</v>
      </c>
      <c r="F5" s="95" t="s">
        <v>70</v>
      </c>
      <c r="H5" s="95" t="s">
        <v>104</v>
      </c>
      <c r="J5" s="95" t="s">
        <v>813</v>
      </c>
      <c r="M5" s="95" t="s">
        <v>812</v>
      </c>
      <c r="N5" s="218">
        <v>43755.477777777778</v>
      </c>
    </row>
    <row r="6" spans="1:14" ht="14.4" customHeight="1" x14ac:dyDescent="0.3">
      <c r="A6" s="95" t="s">
        <v>185</v>
      </c>
      <c r="B6" s="95">
        <v>377171</v>
      </c>
      <c r="C6" s="95" t="s">
        <v>1636</v>
      </c>
      <c r="D6" s="95" t="s">
        <v>807</v>
      </c>
      <c r="E6" s="95" t="s">
        <v>642</v>
      </c>
      <c r="F6" s="95" t="s">
        <v>70</v>
      </c>
      <c r="H6" s="95" t="s">
        <v>1943</v>
      </c>
      <c r="I6" s="95" t="s">
        <v>1635</v>
      </c>
      <c r="J6" s="95" t="s">
        <v>813</v>
      </c>
      <c r="M6" s="95" t="s">
        <v>809</v>
      </c>
      <c r="N6" s="218">
        <v>43760.629861111112</v>
      </c>
    </row>
    <row r="7" spans="1:14" ht="14.4" customHeight="1" x14ac:dyDescent="0.3">
      <c r="A7" s="95" t="s">
        <v>185</v>
      </c>
      <c r="B7" s="95">
        <v>355055</v>
      </c>
      <c r="C7" s="95" t="s">
        <v>1637</v>
      </c>
      <c r="D7" s="95" t="s">
        <v>1638</v>
      </c>
      <c r="E7" s="95" t="s">
        <v>642</v>
      </c>
      <c r="F7" s="95" t="s">
        <v>70</v>
      </c>
      <c r="H7" s="95" t="s">
        <v>758</v>
      </c>
      <c r="J7" s="95" t="s">
        <v>808</v>
      </c>
      <c r="M7" s="95" t="s">
        <v>812</v>
      </c>
      <c r="N7" s="218">
        <v>43741.438888888886</v>
      </c>
    </row>
    <row r="8" spans="1:14" ht="14.4" customHeight="1" x14ac:dyDescent="0.3">
      <c r="A8" s="95" t="s">
        <v>185</v>
      </c>
      <c r="B8" s="95">
        <v>355009</v>
      </c>
      <c r="C8" s="95" t="s">
        <v>1639</v>
      </c>
      <c r="D8" s="95" t="s">
        <v>1640</v>
      </c>
      <c r="E8" s="95" t="s">
        <v>642</v>
      </c>
      <c r="F8" s="95" t="s">
        <v>70</v>
      </c>
      <c r="H8" s="95" t="s">
        <v>1943</v>
      </c>
      <c r="I8" s="95" t="s">
        <v>1641</v>
      </c>
      <c r="J8" s="95" t="s">
        <v>813</v>
      </c>
      <c r="M8" s="95" t="s">
        <v>812</v>
      </c>
      <c r="N8" s="218">
        <v>43761.632638888892</v>
      </c>
    </row>
    <row r="9" spans="1:14" ht="14.4" customHeight="1" x14ac:dyDescent="0.3">
      <c r="A9" s="95" t="s">
        <v>185</v>
      </c>
      <c r="B9" s="95">
        <v>355010</v>
      </c>
      <c r="C9" s="95" t="s">
        <v>1642</v>
      </c>
      <c r="D9" s="95" t="s">
        <v>610</v>
      </c>
      <c r="E9" s="95" t="s">
        <v>1643</v>
      </c>
      <c r="F9" s="95" t="s">
        <v>70</v>
      </c>
      <c r="H9" s="95" t="s">
        <v>1943</v>
      </c>
      <c r="I9" s="95" t="s">
        <v>1641</v>
      </c>
      <c r="J9" s="95" t="s">
        <v>813</v>
      </c>
      <c r="M9" s="95" t="s">
        <v>812</v>
      </c>
      <c r="N9" s="218">
        <v>43760.59097222222</v>
      </c>
    </row>
    <row r="10" spans="1:14" ht="14.4" customHeight="1" x14ac:dyDescent="0.3">
      <c r="A10" s="95" t="s">
        <v>185</v>
      </c>
      <c r="B10" s="95">
        <v>355051</v>
      </c>
      <c r="C10" s="95" t="s">
        <v>1644</v>
      </c>
      <c r="D10" s="95" t="s">
        <v>1645</v>
      </c>
      <c r="E10" s="95" t="s">
        <v>1643</v>
      </c>
      <c r="F10" s="95" t="s">
        <v>70</v>
      </c>
      <c r="H10" s="95" t="s">
        <v>1943</v>
      </c>
      <c r="I10" s="95" t="s">
        <v>1641</v>
      </c>
      <c r="J10" s="95" t="s">
        <v>813</v>
      </c>
      <c r="M10" s="95" t="s">
        <v>812</v>
      </c>
      <c r="N10" s="218">
        <v>43760.59097222222</v>
      </c>
    </row>
    <row r="11" spans="1:14" ht="14.4" customHeight="1" x14ac:dyDescent="0.3">
      <c r="A11" s="95" t="s">
        <v>185</v>
      </c>
      <c r="B11" s="95">
        <v>355118</v>
      </c>
      <c r="C11" s="95" t="s">
        <v>1646</v>
      </c>
      <c r="D11" s="95" t="s">
        <v>1647</v>
      </c>
      <c r="E11" s="95" t="s">
        <v>642</v>
      </c>
      <c r="F11" s="95" t="s">
        <v>70</v>
      </c>
      <c r="H11" s="95" t="s">
        <v>1943</v>
      </c>
      <c r="I11" s="95" t="s">
        <v>1641</v>
      </c>
      <c r="J11" s="95" t="s">
        <v>813</v>
      </c>
      <c r="M11" s="95" t="s">
        <v>812</v>
      </c>
      <c r="N11" s="218">
        <v>43761.631944444445</v>
      </c>
    </row>
    <row r="12" spans="1:14" ht="14.4" customHeight="1" x14ac:dyDescent="0.3">
      <c r="A12" s="95" t="s">
        <v>185</v>
      </c>
      <c r="B12" s="95">
        <v>355069</v>
      </c>
      <c r="C12" s="95" t="s">
        <v>1648</v>
      </c>
      <c r="D12" s="95" t="s">
        <v>1649</v>
      </c>
      <c r="E12" s="95" t="s">
        <v>642</v>
      </c>
      <c r="F12" s="95" t="s">
        <v>70</v>
      </c>
      <c r="H12" s="95" t="s">
        <v>758</v>
      </c>
      <c r="J12" s="95" t="s">
        <v>808</v>
      </c>
      <c r="M12" s="95" t="s">
        <v>812</v>
      </c>
      <c r="N12" s="218">
        <v>43741.438888888886</v>
      </c>
    </row>
    <row r="13" spans="1:14" ht="14.4" customHeight="1" x14ac:dyDescent="0.3">
      <c r="A13" s="95" t="s">
        <v>185</v>
      </c>
      <c r="B13" s="95">
        <v>355121</v>
      </c>
      <c r="C13" s="95" t="s">
        <v>1650</v>
      </c>
      <c r="D13" s="95" t="s">
        <v>1651</v>
      </c>
      <c r="E13" s="95" t="s">
        <v>642</v>
      </c>
      <c r="F13" s="95" t="s">
        <v>70</v>
      </c>
      <c r="H13" s="95" t="s">
        <v>1943</v>
      </c>
      <c r="I13" s="95" t="s">
        <v>1641</v>
      </c>
      <c r="J13" s="95" t="s">
        <v>813</v>
      </c>
      <c r="M13" s="248" t="s">
        <v>812</v>
      </c>
      <c r="N13" s="218">
        <v>43761.631944444445</v>
      </c>
    </row>
    <row r="14" spans="1:14" ht="14.4" customHeight="1" x14ac:dyDescent="0.3">
      <c r="A14" s="95" t="s">
        <v>185</v>
      </c>
      <c r="B14" s="95">
        <v>355123</v>
      </c>
      <c r="C14" s="95" t="s">
        <v>1652</v>
      </c>
      <c r="D14" s="95" t="s">
        <v>1653</v>
      </c>
      <c r="E14" s="95" t="s">
        <v>642</v>
      </c>
      <c r="F14" s="95" t="s">
        <v>70</v>
      </c>
      <c r="H14" s="95" t="s">
        <v>1943</v>
      </c>
      <c r="I14" s="95" t="s">
        <v>1641</v>
      </c>
      <c r="J14" s="95" t="s">
        <v>813</v>
      </c>
      <c r="M14" s="95" t="s">
        <v>812</v>
      </c>
      <c r="N14" s="218">
        <v>43761.632638888892</v>
      </c>
    </row>
    <row r="15" spans="1:14" ht="14.4" customHeight="1" x14ac:dyDescent="0.3">
      <c r="A15" s="95" t="s">
        <v>185</v>
      </c>
      <c r="B15" s="95">
        <v>377169</v>
      </c>
      <c r="C15" s="95" t="s">
        <v>1656</v>
      </c>
      <c r="D15" s="95" t="s">
        <v>807</v>
      </c>
      <c r="E15" s="95" t="s">
        <v>642</v>
      </c>
      <c r="F15" s="95" t="s">
        <v>70</v>
      </c>
      <c r="H15" s="95" t="s">
        <v>1943</v>
      </c>
      <c r="I15" s="95" t="s">
        <v>1657</v>
      </c>
      <c r="J15" s="95" t="s">
        <v>813</v>
      </c>
      <c r="M15" s="95" t="s">
        <v>809</v>
      </c>
      <c r="N15" s="218">
        <v>43760.629861111112</v>
      </c>
    </row>
    <row r="16" spans="1:14" ht="14.4" customHeight="1" x14ac:dyDescent="0.3">
      <c r="A16" s="95" t="s">
        <v>185</v>
      </c>
      <c r="B16" s="95">
        <v>355110</v>
      </c>
      <c r="C16" s="95" t="s">
        <v>1659</v>
      </c>
      <c r="D16" s="95" t="s">
        <v>1660</v>
      </c>
      <c r="E16" s="95" t="s">
        <v>642</v>
      </c>
      <c r="F16" s="95" t="s">
        <v>70</v>
      </c>
      <c r="H16" s="95" t="s">
        <v>758</v>
      </c>
      <c r="J16" s="95" t="s">
        <v>813</v>
      </c>
      <c r="N16" s="218">
        <v>43741.438888888886</v>
      </c>
    </row>
    <row r="17" spans="1:14" ht="14.4" customHeight="1" x14ac:dyDescent="0.3">
      <c r="A17" s="95" t="s">
        <v>185</v>
      </c>
      <c r="B17" s="95">
        <v>355111</v>
      </c>
      <c r="C17" s="95" t="s">
        <v>1661</v>
      </c>
      <c r="D17" s="95" t="s">
        <v>1662</v>
      </c>
      <c r="E17" s="95" t="s">
        <v>642</v>
      </c>
      <c r="F17" s="95" t="s">
        <v>70</v>
      </c>
      <c r="H17" s="95" t="s">
        <v>758</v>
      </c>
      <c r="J17" s="95" t="s">
        <v>813</v>
      </c>
      <c r="N17" s="218">
        <v>43741.438888888886</v>
      </c>
    </row>
    <row r="18" spans="1:14" ht="14.4" customHeight="1" x14ac:dyDescent="0.3">
      <c r="A18" s="95" t="s">
        <v>185</v>
      </c>
      <c r="B18" s="95">
        <v>355099</v>
      </c>
      <c r="C18" s="95" t="s">
        <v>1663</v>
      </c>
      <c r="D18" s="95" t="s">
        <v>1664</v>
      </c>
      <c r="E18" s="95" t="s">
        <v>642</v>
      </c>
      <c r="F18" s="95" t="s">
        <v>70</v>
      </c>
      <c r="H18" s="95" t="s">
        <v>1943</v>
      </c>
      <c r="I18" s="95" t="s">
        <v>1641</v>
      </c>
      <c r="J18" s="95" t="s">
        <v>813</v>
      </c>
      <c r="N18" s="218">
        <v>43761.635416666664</v>
      </c>
    </row>
    <row r="19" spans="1:14" ht="14.4" customHeight="1" x14ac:dyDescent="0.3">
      <c r="A19" s="95" t="s">
        <v>185</v>
      </c>
      <c r="B19" s="95">
        <v>355100</v>
      </c>
      <c r="C19" s="95" t="s">
        <v>1665</v>
      </c>
      <c r="D19" s="95" t="s">
        <v>1666</v>
      </c>
      <c r="E19" s="95" t="s">
        <v>642</v>
      </c>
      <c r="F19" s="95" t="s">
        <v>70</v>
      </c>
      <c r="H19" s="95" t="s">
        <v>1943</v>
      </c>
      <c r="I19" s="95" t="s">
        <v>1641</v>
      </c>
      <c r="J19" s="95" t="s">
        <v>813</v>
      </c>
      <c r="N19" s="218">
        <v>43761.635416666664</v>
      </c>
    </row>
    <row r="20" spans="1:14" ht="14.4" customHeight="1" x14ac:dyDescent="0.3">
      <c r="A20" s="95" t="s">
        <v>185</v>
      </c>
      <c r="B20" s="95">
        <v>355101</v>
      </c>
      <c r="C20" s="95" t="s">
        <v>1667</v>
      </c>
      <c r="D20" s="95" t="s">
        <v>1668</v>
      </c>
      <c r="E20" s="95" t="s">
        <v>642</v>
      </c>
      <c r="F20" s="95" t="s">
        <v>70</v>
      </c>
      <c r="H20" s="95" t="s">
        <v>1943</v>
      </c>
      <c r="I20" s="95" t="s">
        <v>1641</v>
      </c>
      <c r="J20" s="95" t="s">
        <v>813</v>
      </c>
      <c r="N20" s="218">
        <v>43761.635416666664</v>
      </c>
    </row>
    <row r="21" spans="1:14" ht="14.4" customHeight="1" x14ac:dyDescent="0.3">
      <c r="A21" s="95" t="s">
        <v>185</v>
      </c>
      <c r="B21" s="95">
        <v>355112</v>
      </c>
      <c r="C21" s="95" t="s">
        <v>1669</v>
      </c>
      <c r="D21" s="95" t="s">
        <v>1670</v>
      </c>
      <c r="E21" s="95" t="s">
        <v>642</v>
      </c>
      <c r="F21" s="95" t="s">
        <v>70</v>
      </c>
      <c r="H21" s="95" t="s">
        <v>1943</v>
      </c>
      <c r="I21" s="95" t="s">
        <v>1641</v>
      </c>
      <c r="J21" s="95" t="s">
        <v>813</v>
      </c>
      <c r="N21" s="218">
        <v>43761.634722222225</v>
      </c>
    </row>
    <row r="22" spans="1:14" ht="14.4" customHeight="1" x14ac:dyDescent="0.3">
      <c r="A22" s="95" t="s">
        <v>185</v>
      </c>
      <c r="B22" s="95">
        <v>355113</v>
      </c>
      <c r="C22" s="95" t="s">
        <v>1671</v>
      </c>
      <c r="D22" s="95" t="s">
        <v>1672</v>
      </c>
      <c r="E22" s="95" t="s">
        <v>642</v>
      </c>
      <c r="F22" s="95" t="s">
        <v>70</v>
      </c>
      <c r="H22" s="95" t="s">
        <v>1943</v>
      </c>
      <c r="I22" s="95" t="s">
        <v>1641</v>
      </c>
      <c r="J22" s="95" t="s">
        <v>813</v>
      </c>
      <c r="N22" s="218">
        <v>43761.634722222225</v>
      </c>
    </row>
    <row r="23" spans="1:14" ht="14.4" customHeight="1" x14ac:dyDescent="0.3">
      <c r="A23" s="95" t="s">
        <v>185</v>
      </c>
      <c r="B23" s="95">
        <v>355114</v>
      </c>
      <c r="C23" s="95" t="s">
        <v>1673</v>
      </c>
      <c r="D23" s="95" t="s">
        <v>1674</v>
      </c>
      <c r="E23" s="95" t="s">
        <v>642</v>
      </c>
      <c r="F23" s="95" t="s">
        <v>70</v>
      </c>
      <c r="H23" s="95" t="s">
        <v>1943</v>
      </c>
      <c r="I23" s="95" t="s">
        <v>1641</v>
      </c>
      <c r="J23" s="95" t="s">
        <v>813</v>
      </c>
      <c r="N23" s="218">
        <v>43761.634722222225</v>
      </c>
    </row>
    <row r="24" spans="1:14" ht="14.4" customHeight="1" x14ac:dyDescent="0.3">
      <c r="A24" s="95" t="s">
        <v>185</v>
      </c>
      <c r="B24" s="95">
        <v>391944</v>
      </c>
      <c r="C24" s="95" t="s">
        <v>1676</v>
      </c>
      <c r="D24" s="95" t="s">
        <v>1677</v>
      </c>
      <c r="E24" s="95" t="s">
        <v>642</v>
      </c>
      <c r="F24" s="95" t="s">
        <v>70</v>
      </c>
      <c r="H24" s="95" t="s">
        <v>1943</v>
      </c>
      <c r="I24" s="95" t="s">
        <v>1678</v>
      </c>
      <c r="J24" s="95" t="s">
        <v>808</v>
      </c>
      <c r="M24" s="248" t="s">
        <v>1679</v>
      </c>
      <c r="N24" s="218">
        <v>43861.383333333331</v>
      </c>
    </row>
    <row r="25" spans="1:14" ht="14.4" customHeight="1" x14ac:dyDescent="0.3">
      <c r="A25" s="95" t="s">
        <v>185</v>
      </c>
      <c r="B25" s="95">
        <v>391943</v>
      </c>
      <c r="C25" s="95" t="s">
        <v>1680</v>
      </c>
      <c r="D25" s="95" t="s">
        <v>1681</v>
      </c>
      <c r="E25" s="95" t="s">
        <v>642</v>
      </c>
      <c r="F25" s="95" t="s">
        <v>70</v>
      </c>
      <c r="H25" s="95" t="s">
        <v>1943</v>
      </c>
      <c r="I25" s="248" t="s">
        <v>1678</v>
      </c>
      <c r="J25" s="95" t="s">
        <v>808</v>
      </c>
      <c r="M25" s="248" t="s">
        <v>1682</v>
      </c>
      <c r="N25" s="218">
        <v>43861.382638888892</v>
      </c>
    </row>
    <row r="26" spans="1:14" ht="14.4" customHeight="1" x14ac:dyDescent="0.3">
      <c r="A26" s="95" t="s">
        <v>185</v>
      </c>
      <c r="B26" s="95">
        <v>391942</v>
      </c>
      <c r="C26" s="95" t="s">
        <v>1683</v>
      </c>
      <c r="D26" s="95" t="s">
        <v>1684</v>
      </c>
      <c r="E26" s="95" t="s">
        <v>642</v>
      </c>
      <c r="F26" s="95" t="s">
        <v>70</v>
      </c>
      <c r="H26" s="95" t="s">
        <v>1943</v>
      </c>
      <c r="I26" s="95" t="s">
        <v>1678</v>
      </c>
      <c r="J26" s="95" t="s">
        <v>808</v>
      </c>
      <c r="M26" s="248" t="s">
        <v>1685</v>
      </c>
      <c r="N26" s="218">
        <v>43861.382638888892</v>
      </c>
    </row>
    <row r="27" spans="1:14" ht="14.4" customHeight="1" x14ac:dyDescent="0.3">
      <c r="A27" s="95" t="s">
        <v>185</v>
      </c>
      <c r="B27" s="95">
        <v>391941</v>
      </c>
      <c r="C27" s="95" t="s">
        <v>1686</v>
      </c>
      <c r="D27" s="95" t="s">
        <v>1687</v>
      </c>
      <c r="E27" s="95" t="s">
        <v>642</v>
      </c>
      <c r="F27" s="95" t="s">
        <v>70</v>
      </c>
      <c r="H27" s="95" t="s">
        <v>1943</v>
      </c>
      <c r="I27" s="95" t="s">
        <v>1678</v>
      </c>
      <c r="J27" s="95" t="s">
        <v>808</v>
      </c>
      <c r="M27" s="248" t="s">
        <v>1688</v>
      </c>
      <c r="N27" s="218">
        <v>43861.381944444445</v>
      </c>
    </row>
    <row r="28" spans="1:14" ht="14.4" customHeight="1" x14ac:dyDescent="0.3">
      <c r="A28" s="95" t="s">
        <v>185</v>
      </c>
      <c r="B28" s="95">
        <v>391940</v>
      </c>
      <c r="C28" s="95" t="s">
        <v>1689</v>
      </c>
      <c r="D28" s="95" t="s">
        <v>1690</v>
      </c>
      <c r="E28" s="95" t="s">
        <v>642</v>
      </c>
      <c r="F28" s="95" t="s">
        <v>70</v>
      </c>
      <c r="H28" s="95" t="s">
        <v>1943</v>
      </c>
      <c r="I28" s="95" t="s">
        <v>1678</v>
      </c>
      <c r="J28" s="95" t="s">
        <v>808</v>
      </c>
      <c r="M28" s="95" t="s">
        <v>1691</v>
      </c>
      <c r="N28" s="218">
        <v>43861.381249999999</v>
      </c>
    </row>
    <row r="29" spans="1:14" ht="14.4" customHeight="1" x14ac:dyDescent="0.3">
      <c r="A29" s="95" t="s">
        <v>185</v>
      </c>
      <c r="B29" s="95">
        <v>390007</v>
      </c>
      <c r="C29" s="95" t="s">
        <v>1696</v>
      </c>
      <c r="D29" s="95" t="s">
        <v>807</v>
      </c>
      <c r="E29" s="95" t="s">
        <v>642</v>
      </c>
      <c r="F29" s="95" t="s">
        <v>679</v>
      </c>
      <c r="G29" s="95" t="s">
        <v>1697</v>
      </c>
      <c r="H29" s="95" t="s">
        <v>1942</v>
      </c>
      <c r="I29" s="95" t="s">
        <v>1658</v>
      </c>
      <c r="J29" s="95" t="s">
        <v>808</v>
      </c>
      <c r="K29" s="95" t="s">
        <v>1877</v>
      </c>
      <c r="M29" s="248" t="s">
        <v>1655</v>
      </c>
      <c r="N29" s="218">
        <v>43874.56527777778</v>
      </c>
    </row>
    <row r="30" spans="1:14" ht="14.4" customHeight="1" x14ac:dyDescent="0.3">
      <c r="A30" s="95" t="s">
        <v>185</v>
      </c>
      <c r="B30" s="95">
        <v>377168</v>
      </c>
      <c r="C30" s="95" t="s">
        <v>1698</v>
      </c>
      <c r="D30" s="95" t="s">
        <v>807</v>
      </c>
      <c r="E30" s="95" t="s">
        <v>642</v>
      </c>
      <c r="F30" s="95" t="s">
        <v>70</v>
      </c>
      <c r="H30" s="95" t="s">
        <v>1943</v>
      </c>
      <c r="I30" s="95" t="s">
        <v>1635</v>
      </c>
      <c r="J30" s="95" t="s">
        <v>813</v>
      </c>
      <c r="M30" s="95" t="s">
        <v>809</v>
      </c>
      <c r="N30" s="218">
        <v>43760.631249999999</v>
      </c>
    </row>
    <row r="31" spans="1:14" ht="14.4" customHeight="1" x14ac:dyDescent="0.3">
      <c r="A31" s="95" t="s">
        <v>185</v>
      </c>
      <c r="B31" s="95">
        <v>355102</v>
      </c>
      <c r="C31" s="95" t="s">
        <v>1699</v>
      </c>
      <c r="D31" s="95" t="s">
        <v>1700</v>
      </c>
      <c r="E31" s="95" t="s">
        <v>642</v>
      </c>
      <c r="F31" s="95" t="s">
        <v>70</v>
      </c>
      <c r="H31" s="95" t="s">
        <v>758</v>
      </c>
      <c r="I31" s="248"/>
      <c r="J31" s="95" t="s">
        <v>808</v>
      </c>
      <c r="M31" s="248"/>
      <c r="N31" s="218">
        <v>43741.438888888886</v>
      </c>
    </row>
    <row r="32" spans="1:14" ht="14.4" customHeight="1" x14ac:dyDescent="0.3">
      <c r="A32" s="95" t="s">
        <v>185</v>
      </c>
      <c r="B32" s="95">
        <v>355057</v>
      </c>
      <c r="C32" s="95" t="s">
        <v>1701</v>
      </c>
      <c r="D32" s="95" t="s">
        <v>1702</v>
      </c>
      <c r="E32" s="95" t="s">
        <v>642</v>
      </c>
      <c r="F32" s="95" t="s">
        <v>70</v>
      </c>
      <c r="H32" s="95" t="s">
        <v>1943</v>
      </c>
      <c r="I32" s="95" t="s">
        <v>1641</v>
      </c>
      <c r="J32" s="95" t="s">
        <v>813</v>
      </c>
      <c r="M32" s="95" t="s">
        <v>812</v>
      </c>
      <c r="N32" s="218">
        <v>43761.633333333331</v>
      </c>
    </row>
    <row r="33" spans="1:14" ht="14.4" customHeight="1" x14ac:dyDescent="0.3">
      <c r="A33" s="95" t="s">
        <v>185</v>
      </c>
      <c r="B33" s="95">
        <v>355115</v>
      </c>
      <c r="C33" s="95" t="s">
        <v>1703</v>
      </c>
      <c r="D33" s="95" t="s">
        <v>1704</v>
      </c>
      <c r="E33" s="95" t="s">
        <v>642</v>
      </c>
      <c r="F33" s="95" t="s">
        <v>70</v>
      </c>
      <c r="H33" s="95" t="s">
        <v>1943</v>
      </c>
      <c r="I33" s="95" t="s">
        <v>1641</v>
      </c>
      <c r="J33" s="95" t="s">
        <v>813</v>
      </c>
      <c r="M33" s="248" t="s">
        <v>812</v>
      </c>
      <c r="N33" s="218">
        <v>43761.633333333331</v>
      </c>
    </row>
    <row r="34" spans="1:14" ht="14.4" customHeight="1" x14ac:dyDescent="0.3">
      <c r="A34" s="95" t="s">
        <v>185</v>
      </c>
      <c r="B34" s="95">
        <v>355116</v>
      </c>
      <c r="C34" s="95" t="s">
        <v>1705</v>
      </c>
      <c r="D34" s="95" t="s">
        <v>1706</v>
      </c>
      <c r="E34" s="95" t="s">
        <v>642</v>
      </c>
      <c r="F34" s="95" t="s">
        <v>70</v>
      </c>
      <c r="H34" s="95" t="s">
        <v>1943</v>
      </c>
      <c r="I34" s="248" t="s">
        <v>1641</v>
      </c>
      <c r="J34" s="95" t="s">
        <v>813</v>
      </c>
      <c r="M34" s="95" t="s">
        <v>812</v>
      </c>
      <c r="N34" s="218">
        <v>43761.633333333331</v>
      </c>
    </row>
    <row r="35" spans="1:14" ht="14.4" customHeight="1" x14ac:dyDescent="0.3">
      <c r="A35" s="95" t="s">
        <v>185</v>
      </c>
      <c r="B35" s="95">
        <v>355119</v>
      </c>
      <c r="C35" s="95" t="s">
        <v>1707</v>
      </c>
      <c r="D35" s="95" t="s">
        <v>1708</v>
      </c>
      <c r="E35" s="95" t="s">
        <v>642</v>
      </c>
      <c r="F35" s="95" t="s">
        <v>70</v>
      </c>
      <c r="H35" s="95" t="s">
        <v>1943</v>
      </c>
      <c r="I35" s="248" t="s">
        <v>1641</v>
      </c>
      <c r="J35" s="95" t="s">
        <v>813</v>
      </c>
      <c r="M35" s="248" t="s">
        <v>812</v>
      </c>
      <c r="N35" s="218">
        <v>43761.633333333331</v>
      </c>
    </row>
    <row r="36" spans="1:14" ht="14.4" customHeight="1" x14ac:dyDescent="0.3">
      <c r="A36" s="95" t="s">
        <v>185</v>
      </c>
      <c r="B36" s="95">
        <v>355103</v>
      </c>
      <c r="C36" s="95" t="s">
        <v>1709</v>
      </c>
      <c r="D36" s="95" t="s">
        <v>1710</v>
      </c>
      <c r="E36" s="95" t="s">
        <v>642</v>
      </c>
      <c r="F36" s="95" t="s">
        <v>70</v>
      </c>
      <c r="H36" s="95" t="s">
        <v>758</v>
      </c>
      <c r="J36" s="95" t="s">
        <v>808</v>
      </c>
      <c r="M36" s="95" t="s">
        <v>812</v>
      </c>
      <c r="N36" s="218">
        <v>43741.438888888886</v>
      </c>
    </row>
    <row r="37" spans="1:14" ht="14.4" customHeight="1" x14ac:dyDescent="0.3">
      <c r="A37" s="95" t="s">
        <v>185</v>
      </c>
      <c r="B37" s="95">
        <v>355122</v>
      </c>
      <c r="C37" s="95" t="s">
        <v>1711</v>
      </c>
      <c r="D37" s="95" t="s">
        <v>1712</v>
      </c>
      <c r="E37" s="95" t="s">
        <v>642</v>
      </c>
      <c r="F37" s="95" t="s">
        <v>70</v>
      </c>
      <c r="H37" s="95" t="s">
        <v>1943</v>
      </c>
      <c r="I37" s="95" t="s">
        <v>1641</v>
      </c>
      <c r="J37" s="95" t="s">
        <v>813</v>
      </c>
      <c r="M37" s="248" t="s">
        <v>812</v>
      </c>
      <c r="N37" s="218">
        <v>43761.634027777778</v>
      </c>
    </row>
    <row r="38" spans="1:14" ht="14.4" customHeight="1" x14ac:dyDescent="0.3">
      <c r="A38" s="95" t="s">
        <v>185</v>
      </c>
      <c r="B38" s="95">
        <v>355124</v>
      </c>
      <c r="C38" s="95" t="s">
        <v>1713</v>
      </c>
      <c r="D38" s="95" t="s">
        <v>1714</v>
      </c>
      <c r="E38" s="95" t="s">
        <v>642</v>
      </c>
      <c r="F38" s="95" t="s">
        <v>70</v>
      </c>
      <c r="H38" s="95" t="s">
        <v>1943</v>
      </c>
      <c r="I38" s="95" t="s">
        <v>1641</v>
      </c>
      <c r="J38" s="95" t="s">
        <v>813</v>
      </c>
      <c r="M38" s="95" t="s">
        <v>812</v>
      </c>
      <c r="N38" s="218">
        <v>43761.634027777778</v>
      </c>
    </row>
    <row r="39" spans="1:14" ht="14.4" customHeight="1" x14ac:dyDescent="0.3">
      <c r="A39" s="95" t="s">
        <v>185</v>
      </c>
      <c r="B39" s="95">
        <v>385568</v>
      </c>
      <c r="C39" s="95" t="s">
        <v>1715</v>
      </c>
      <c r="D39" s="95" t="s">
        <v>807</v>
      </c>
      <c r="E39" s="95" t="s">
        <v>1423</v>
      </c>
      <c r="F39" s="95" t="s">
        <v>70</v>
      </c>
      <c r="H39" s="95" t="s">
        <v>1942</v>
      </c>
      <c r="I39" s="95" t="s">
        <v>1654</v>
      </c>
      <c r="J39" s="95" t="s">
        <v>808</v>
      </c>
      <c r="N39" s="218">
        <v>43845.675694444442</v>
      </c>
    </row>
    <row r="40" spans="1:14" ht="14.4" customHeight="1" x14ac:dyDescent="0.3">
      <c r="A40" s="95" t="s">
        <v>185</v>
      </c>
      <c r="B40" s="95">
        <v>384519</v>
      </c>
      <c r="C40" s="95" t="s">
        <v>1717</v>
      </c>
      <c r="D40" s="95" t="s">
        <v>643</v>
      </c>
      <c r="E40" s="95" t="s">
        <v>642</v>
      </c>
      <c r="F40" s="95" t="s">
        <v>70</v>
      </c>
      <c r="H40" s="95" t="s">
        <v>1943</v>
      </c>
      <c r="I40" s="248" t="s">
        <v>1718</v>
      </c>
      <c r="J40" s="95" t="s">
        <v>808</v>
      </c>
      <c r="M40" s="95" t="s">
        <v>812</v>
      </c>
      <c r="N40" s="218">
        <v>43811.777777777781</v>
      </c>
    </row>
    <row r="41" spans="1:14" ht="14.4" customHeight="1" x14ac:dyDescent="0.3">
      <c r="A41" s="95" t="s">
        <v>185</v>
      </c>
      <c r="B41" s="95">
        <v>376670</v>
      </c>
      <c r="C41" s="95" t="s">
        <v>1719</v>
      </c>
      <c r="D41" s="95" t="s">
        <v>1716</v>
      </c>
      <c r="E41" s="95" t="s">
        <v>642</v>
      </c>
      <c r="F41" s="95" t="s">
        <v>70</v>
      </c>
      <c r="H41" s="95" t="s">
        <v>1943</v>
      </c>
      <c r="I41" s="95" t="s">
        <v>1720</v>
      </c>
      <c r="J41" s="95" t="s">
        <v>813</v>
      </c>
      <c r="M41" s="248"/>
      <c r="N41" s="218">
        <v>43760.622916666667</v>
      </c>
    </row>
    <row r="42" spans="1:14" ht="14.4" customHeight="1" x14ac:dyDescent="0.3">
      <c r="A42" s="95" t="s">
        <v>185</v>
      </c>
      <c r="B42" s="95">
        <v>396842</v>
      </c>
      <c r="C42" s="95" t="s">
        <v>1721</v>
      </c>
      <c r="D42" s="95" t="s">
        <v>807</v>
      </c>
      <c r="E42" s="95" t="s">
        <v>642</v>
      </c>
      <c r="F42" s="95" t="s">
        <v>70</v>
      </c>
      <c r="H42" s="95" t="s">
        <v>1943</v>
      </c>
      <c r="I42" s="95" t="s">
        <v>1722</v>
      </c>
      <c r="M42" s="248"/>
      <c r="N42" s="218">
        <v>43783.591666666667</v>
      </c>
    </row>
    <row r="43" spans="1:14" ht="14.4" customHeight="1" x14ac:dyDescent="0.3">
      <c r="A43" s="95" t="s">
        <v>185</v>
      </c>
      <c r="B43" s="95">
        <v>396843</v>
      </c>
      <c r="C43" s="95" t="s">
        <v>1723</v>
      </c>
      <c r="D43" s="95" t="s">
        <v>807</v>
      </c>
      <c r="E43" s="95" t="s">
        <v>642</v>
      </c>
      <c r="F43" s="95" t="s">
        <v>70</v>
      </c>
      <c r="H43" s="95" t="s">
        <v>1943</v>
      </c>
      <c r="I43" s="248" t="s">
        <v>1724</v>
      </c>
      <c r="M43" s="248"/>
      <c r="N43" s="218">
        <v>43783.593055555553</v>
      </c>
    </row>
    <row r="44" spans="1:14" ht="14.4" customHeight="1" x14ac:dyDescent="0.3">
      <c r="A44" s="95" t="s">
        <v>185</v>
      </c>
      <c r="B44" s="95">
        <v>1000055</v>
      </c>
      <c r="C44" s="95" t="s">
        <v>1725</v>
      </c>
      <c r="D44" s="95" t="s">
        <v>807</v>
      </c>
      <c r="E44" s="95" t="s">
        <v>642</v>
      </c>
      <c r="F44" s="95" t="s">
        <v>70</v>
      </c>
      <c r="H44" s="95" t="s">
        <v>1943</v>
      </c>
      <c r="I44" s="95" t="s">
        <v>1726</v>
      </c>
      <c r="N44" s="218">
        <v>43787.431944444441</v>
      </c>
    </row>
    <row r="45" spans="1:14" ht="14.4" customHeight="1" x14ac:dyDescent="0.3">
      <c r="A45" s="95" t="s">
        <v>185</v>
      </c>
      <c r="B45" s="95">
        <v>1000053</v>
      </c>
      <c r="C45" s="95" t="s">
        <v>1727</v>
      </c>
      <c r="D45" s="95" t="s">
        <v>807</v>
      </c>
      <c r="E45" s="95" t="s">
        <v>642</v>
      </c>
      <c r="F45" s="95" t="s">
        <v>70</v>
      </c>
      <c r="H45" s="95" t="s">
        <v>1943</v>
      </c>
      <c r="I45" s="95" t="s">
        <v>1728</v>
      </c>
      <c r="N45" s="218">
        <v>43787.427777777775</v>
      </c>
    </row>
    <row r="46" spans="1:14" ht="14.4" customHeight="1" x14ac:dyDescent="0.3">
      <c r="A46" s="95" t="s">
        <v>185</v>
      </c>
      <c r="B46" s="95">
        <v>1005852</v>
      </c>
      <c r="C46" s="95" t="s">
        <v>1729</v>
      </c>
      <c r="D46" s="95" t="s">
        <v>1533</v>
      </c>
      <c r="E46" s="95" t="s">
        <v>642</v>
      </c>
      <c r="F46" s="95" t="s">
        <v>679</v>
      </c>
      <c r="H46" s="95" t="s">
        <v>1143</v>
      </c>
      <c r="I46" s="95" t="s">
        <v>1730</v>
      </c>
      <c r="K46" s="95" t="s">
        <v>2050</v>
      </c>
      <c r="M46" s="95" t="s">
        <v>1679</v>
      </c>
      <c r="N46" s="218">
        <v>43895.352083333331</v>
      </c>
    </row>
    <row r="47" spans="1:14" ht="14.4" customHeight="1" x14ac:dyDescent="0.3">
      <c r="A47" s="95" t="s">
        <v>185</v>
      </c>
      <c r="B47" s="95">
        <v>1012726</v>
      </c>
      <c r="C47" s="95" t="s">
        <v>2052</v>
      </c>
      <c r="D47" s="95" t="s">
        <v>807</v>
      </c>
      <c r="E47" s="95" t="s">
        <v>1423</v>
      </c>
      <c r="F47" s="95" t="s">
        <v>679</v>
      </c>
      <c r="H47" s="95" t="s">
        <v>1143</v>
      </c>
      <c r="I47" s="95" t="s">
        <v>2053</v>
      </c>
      <c r="J47" s="95" t="s">
        <v>813</v>
      </c>
      <c r="K47" s="95" t="s">
        <v>2051</v>
      </c>
      <c r="M47" s="95" t="s">
        <v>1634</v>
      </c>
      <c r="N47" s="218">
        <v>43903.525000000001</v>
      </c>
    </row>
    <row r="48" spans="1:14" ht="14.4" customHeight="1" x14ac:dyDescent="0.3">
      <c r="A48" s="95" t="s">
        <v>185</v>
      </c>
      <c r="B48" s="95">
        <v>390016</v>
      </c>
      <c r="C48" s="95" t="s">
        <v>1122</v>
      </c>
      <c r="D48" s="95" t="s">
        <v>197</v>
      </c>
      <c r="E48" s="95" t="s">
        <v>642</v>
      </c>
      <c r="F48" s="95" t="s">
        <v>70</v>
      </c>
      <c r="H48" s="95" t="s">
        <v>758</v>
      </c>
      <c r="I48" s="95" t="s">
        <v>953</v>
      </c>
      <c r="J48" s="95" t="s">
        <v>808</v>
      </c>
      <c r="M48" s="95" t="s">
        <v>812</v>
      </c>
      <c r="N48" s="218">
        <v>43760.442361111112</v>
      </c>
    </row>
    <row r="49" spans="1:14" ht="14.4" customHeight="1" x14ac:dyDescent="0.3">
      <c r="A49" s="95" t="s">
        <v>185</v>
      </c>
      <c r="B49" s="95">
        <v>1015564</v>
      </c>
      <c r="C49" s="95" t="s">
        <v>2271</v>
      </c>
      <c r="D49" s="95" t="s">
        <v>1677</v>
      </c>
      <c r="E49" s="95" t="s">
        <v>642</v>
      </c>
      <c r="F49" s="95" t="s">
        <v>70</v>
      </c>
      <c r="H49" s="95" t="s">
        <v>2272</v>
      </c>
      <c r="J49" s="95" t="s">
        <v>808</v>
      </c>
      <c r="M49" s="95" t="s">
        <v>1679</v>
      </c>
      <c r="N49" s="218">
        <v>43909.59097222222</v>
      </c>
    </row>
    <row r="50" spans="1:14" ht="14.4" customHeight="1" x14ac:dyDescent="0.3">
      <c r="A50" s="95" t="s">
        <v>185</v>
      </c>
      <c r="B50" s="95">
        <v>1015567</v>
      </c>
      <c r="C50" s="95" t="s">
        <v>2273</v>
      </c>
      <c r="D50" s="95" t="s">
        <v>1681</v>
      </c>
      <c r="E50" s="95" t="s">
        <v>642</v>
      </c>
      <c r="F50" s="95" t="s">
        <v>70</v>
      </c>
      <c r="H50" s="95" t="s">
        <v>2272</v>
      </c>
      <c r="J50" s="95" t="s">
        <v>808</v>
      </c>
      <c r="M50" s="248" t="s">
        <v>1682</v>
      </c>
      <c r="N50" s="218">
        <v>43909.592361111114</v>
      </c>
    </row>
    <row r="51" spans="1:14" ht="14.4" customHeight="1" x14ac:dyDescent="0.3">
      <c r="A51" s="95" t="s">
        <v>185</v>
      </c>
      <c r="B51" s="95">
        <v>1015568</v>
      </c>
      <c r="C51" s="95" t="s">
        <v>2274</v>
      </c>
      <c r="D51" s="95" t="s">
        <v>1684</v>
      </c>
      <c r="E51" s="95" t="s">
        <v>642</v>
      </c>
      <c r="F51" s="95" t="s">
        <v>70</v>
      </c>
      <c r="H51" s="95" t="s">
        <v>2272</v>
      </c>
      <c r="J51" s="95" t="s">
        <v>808</v>
      </c>
      <c r="M51" s="248" t="s">
        <v>1685</v>
      </c>
      <c r="N51" s="218">
        <v>43909.592361111114</v>
      </c>
    </row>
    <row r="52" spans="1:14" ht="14.4" customHeight="1" x14ac:dyDescent="0.3">
      <c r="A52" s="95" t="s">
        <v>185</v>
      </c>
      <c r="B52" s="95">
        <v>1015566</v>
      </c>
      <c r="C52" s="95" t="s">
        <v>2275</v>
      </c>
      <c r="D52" s="95" t="s">
        <v>1687</v>
      </c>
      <c r="E52" s="95" t="s">
        <v>642</v>
      </c>
      <c r="F52" s="95" t="s">
        <v>70</v>
      </c>
      <c r="H52" s="95" t="s">
        <v>2272</v>
      </c>
      <c r="J52" s="95" t="s">
        <v>808</v>
      </c>
      <c r="M52" s="95" t="s">
        <v>1688</v>
      </c>
      <c r="N52" s="218">
        <v>43909.591666666667</v>
      </c>
    </row>
    <row r="53" spans="1:14" ht="14.4" customHeight="1" x14ac:dyDescent="0.3">
      <c r="A53" s="95" t="s">
        <v>185</v>
      </c>
      <c r="B53" s="95">
        <v>1015569</v>
      </c>
      <c r="C53" s="95" t="s">
        <v>2276</v>
      </c>
      <c r="D53" s="95" t="s">
        <v>1690</v>
      </c>
      <c r="E53" s="95" t="s">
        <v>642</v>
      </c>
      <c r="F53" s="95" t="s">
        <v>70</v>
      </c>
      <c r="H53" s="95" t="s">
        <v>2272</v>
      </c>
      <c r="J53" s="95" t="s">
        <v>808</v>
      </c>
      <c r="M53" s="95" t="s">
        <v>1691</v>
      </c>
      <c r="N53" s="218">
        <v>43909.593055555553</v>
      </c>
    </row>
    <row r="54" spans="1:14" ht="14.4" customHeight="1" x14ac:dyDescent="0.3">
      <c r="A54" s="95" t="s">
        <v>185</v>
      </c>
      <c r="B54" s="95">
        <v>1015563</v>
      </c>
      <c r="C54" s="95" t="s">
        <v>2277</v>
      </c>
      <c r="D54" s="95" t="s">
        <v>2278</v>
      </c>
      <c r="E54" s="95" t="s">
        <v>642</v>
      </c>
      <c r="F54" s="95" t="s">
        <v>70</v>
      </c>
      <c r="H54" s="95" t="s">
        <v>2272</v>
      </c>
      <c r="J54" s="95" t="s">
        <v>808</v>
      </c>
      <c r="M54" s="248" t="s">
        <v>812</v>
      </c>
      <c r="N54" s="218">
        <v>43909.585416666669</v>
      </c>
    </row>
    <row r="55" spans="1:14" ht="14.4" customHeight="1" x14ac:dyDescent="0.3">
      <c r="A55" s="95" t="s">
        <v>185</v>
      </c>
      <c r="B55" s="95">
        <v>396814</v>
      </c>
      <c r="C55" s="95" t="s">
        <v>1424</v>
      </c>
      <c r="D55" s="95" t="s">
        <v>279</v>
      </c>
      <c r="E55" s="95" t="s">
        <v>642</v>
      </c>
      <c r="F55" s="95" t="s">
        <v>70</v>
      </c>
      <c r="G55" s="95" t="s">
        <v>1878</v>
      </c>
      <c r="H55" s="95" t="s">
        <v>758</v>
      </c>
      <c r="I55" s="95" t="s">
        <v>1426</v>
      </c>
      <c r="J55" s="95" t="s">
        <v>808</v>
      </c>
      <c r="M55" s="95" t="s">
        <v>812</v>
      </c>
      <c r="N55" s="218">
        <v>43866.39166666667</v>
      </c>
    </row>
    <row r="56" spans="1:14" ht="14.4" customHeight="1" x14ac:dyDescent="0.3">
      <c r="A56" s="95" t="s">
        <v>185</v>
      </c>
      <c r="B56" s="95">
        <v>1014318</v>
      </c>
      <c r="C56" s="95" t="s">
        <v>2054</v>
      </c>
      <c r="D56" s="95" t="s">
        <v>807</v>
      </c>
      <c r="E56" s="95" t="s">
        <v>642</v>
      </c>
      <c r="F56" s="95" t="s">
        <v>679</v>
      </c>
      <c r="H56" s="95" t="s">
        <v>1143</v>
      </c>
      <c r="I56" s="95" t="s">
        <v>2055</v>
      </c>
      <c r="J56" s="95" t="s">
        <v>813</v>
      </c>
      <c r="K56" s="95" t="s">
        <v>2016</v>
      </c>
      <c r="M56" s="248" t="s">
        <v>812</v>
      </c>
      <c r="N56" s="218">
        <v>43903.525000000001</v>
      </c>
    </row>
    <row r="57" spans="1:14" ht="14.4" customHeight="1" x14ac:dyDescent="0.3">
      <c r="A57" s="95" t="s">
        <v>185</v>
      </c>
      <c r="B57" s="95">
        <v>1008922</v>
      </c>
      <c r="C57" s="95" t="s">
        <v>1123</v>
      </c>
      <c r="D57" s="95" t="s">
        <v>1177</v>
      </c>
      <c r="E57" s="95" t="s">
        <v>642</v>
      </c>
      <c r="F57" s="95" t="s">
        <v>70</v>
      </c>
      <c r="H57" s="95" t="s">
        <v>758</v>
      </c>
      <c r="I57" s="248" t="s">
        <v>1879</v>
      </c>
      <c r="J57" s="95" t="s">
        <v>813</v>
      </c>
      <c r="M57" s="95" t="s">
        <v>811</v>
      </c>
      <c r="N57" s="218">
        <v>43872.497916666667</v>
      </c>
    </row>
    <row r="58" spans="1:14" ht="14.4" customHeight="1" x14ac:dyDescent="0.3">
      <c r="A58" s="95" t="s">
        <v>185</v>
      </c>
      <c r="B58" s="95">
        <v>1008055</v>
      </c>
      <c r="C58" s="95" t="s">
        <v>1124</v>
      </c>
      <c r="D58" s="95" t="s">
        <v>627</v>
      </c>
      <c r="E58" s="95" t="s">
        <v>642</v>
      </c>
      <c r="F58" s="95" t="s">
        <v>70</v>
      </c>
      <c r="H58" s="95" t="s">
        <v>758</v>
      </c>
      <c r="J58" s="95" t="s">
        <v>808</v>
      </c>
      <c r="M58" s="95" t="s">
        <v>809</v>
      </c>
      <c r="N58" s="218">
        <v>43852.825694444444</v>
      </c>
    </row>
    <row r="59" spans="1:14" ht="14.4" customHeight="1" x14ac:dyDescent="0.3">
      <c r="A59" s="95" t="s">
        <v>185</v>
      </c>
      <c r="B59" s="95">
        <v>1008332</v>
      </c>
      <c r="C59" s="95" t="s">
        <v>1733</v>
      </c>
      <c r="D59" s="95" t="s">
        <v>635</v>
      </c>
      <c r="E59" s="95" t="s">
        <v>642</v>
      </c>
      <c r="F59" s="95" t="s">
        <v>70</v>
      </c>
      <c r="H59" s="95" t="s">
        <v>758</v>
      </c>
      <c r="I59" s="248"/>
      <c r="J59" s="95" t="s">
        <v>808</v>
      </c>
      <c r="M59" s="95" t="s">
        <v>809</v>
      </c>
      <c r="N59" s="218">
        <v>43854.525694444441</v>
      </c>
    </row>
    <row r="60" spans="1:14" ht="14.4" customHeight="1" x14ac:dyDescent="0.3">
      <c r="A60" s="95" t="s">
        <v>185</v>
      </c>
      <c r="B60" s="95">
        <v>1002530</v>
      </c>
      <c r="C60" s="95" t="s">
        <v>1425</v>
      </c>
      <c r="D60" s="95" t="s">
        <v>328</v>
      </c>
      <c r="E60" s="95" t="s">
        <v>642</v>
      </c>
      <c r="F60" s="95" t="s">
        <v>70</v>
      </c>
      <c r="H60" s="95" t="s">
        <v>758</v>
      </c>
      <c r="I60" s="95" t="s">
        <v>1426</v>
      </c>
      <c r="M60" s="95" t="s">
        <v>812</v>
      </c>
      <c r="N60" s="218">
        <v>43805.501388888886</v>
      </c>
    </row>
    <row r="61" spans="1:14" ht="14.4" customHeight="1" x14ac:dyDescent="0.3">
      <c r="A61" s="95" t="s">
        <v>185</v>
      </c>
      <c r="B61" s="95">
        <v>1015247</v>
      </c>
      <c r="C61" s="95" t="s">
        <v>2231</v>
      </c>
      <c r="D61" s="95" t="s">
        <v>807</v>
      </c>
      <c r="E61" s="95" t="s">
        <v>642</v>
      </c>
      <c r="F61" s="95" t="s">
        <v>70</v>
      </c>
      <c r="H61" s="95" t="s">
        <v>758</v>
      </c>
      <c r="I61" s="95" t="s">
        <v>2059</v>
      </c>
      <c r="J61" s="95" t="s">
        <v>808</v>
      </c>
      <c r="N61" s="218">
        <v>43907.401388888888</v>
      </c>
    </row>
    <row r="62" spans="1:14" ht="14.4" customHeight="1" x14ac:dyDescent="0.3">
      <c r="A62" s="95" t="s">
        <v>185</v>
      </c>
      <c r="B62" s="95">
        <v>1015246</v>
      </c>
      <c r="C62" s="95" t="s">
        <v>2232</v>
      </c>
      <c r="D62" s="95" t="s">
        <v>807</v>
      </c>
      <c r="E62" s="95" t="s">
        <v>642</v>
      </c>
      <c r="F62" s="95" t="s">
        <v>70</v>
      </c>
      <c r="H62" s="95" t="s">
        <v>758</v>
      </c>
      <c r="I62" s="248" t="s">
        <v>2059</v>
      </c>
      <c r="J62" s="95" t="s">
        <v>808</v>
      </c>
      <c r="M62" s="248"/>
      <c r="N62" s="218">
        <v>43907.400694444441</v>
      </c>
    </row>
    <row r="63" spans="1:14" ht="14.4" customHeight="1" x14ac:dyDescent="0.3">
      <c r="A63" s="95" t="s">
        <v>185</v>
      </c>
      <c r="B63" s="95">
        <v>1015248</v>
      </c>
      <c r="C63" s="95" t="s">
        <v>2233</v>
      </c>
      <c r="D63" s="95" t="s">
        <v>807</v>
      </c>
      <c r="E63" s="95" t="s">
        <v>642</v>
      </c>
      <c r="F63" s="95" t="s">
        <v>70</v>
      </c>
      <c r="H63" s="95" t="s">
        <v>758</v>
      </c>
      <c r="I63" s="95" t="s">
        <v>2059</v>
      </c>
      <c r="J63" s="95" t="s">
        <v>808</v>
      </c>
      <c r="K63" s="95" t="s">
        <v>1877</v>
      </c>
      <c r="N63" s="218">
        <v>43907.459027777775</v>
      </c>
    </row>
    <row r="64" spans="1:14" ht="14.4" customHeight="1" x14ac:dyDescent="0.3">
      <c r="A64" s="95" t="s">
        <v>185</v>
      </c>
      <c r="B64" s="95">
        <v>392783</v>
      </c>
      <c r="C64" s="95" t="s">
        <v>1125</v>
      </c>
      <c r="D64" s="95" t="s">
        <v>783</v>
      </c>
      <c r="E64" s="95" t="s">
        <v>642</v>
      </c>
      <c r="F64" s="95" t="s">
        <v>70</v>
      </c>
      <c r="H64" s="95" t="s">
        <v>758</v>
      </c>
      <c r="I64" s="248" t="s">
        <v>1011</v>
      </c>
      <c r="J64" s="95" t="s">
        <v>808</v>
      </c>
      <c r="M64" s="95" t="s">
        <v>809</v>
      </c>
      <c r="N64" s="218">
        <v>43760.670138888891</v>
      </c>
    </row>
    <row r="65" spans="1:14" ht="14.4" customHeight="1" x14ac:dyDescent="0.3">
      <c r="A65" s="95" t="s">
        <v>185</v>
      </c>
      <c r="B65" s="95">
        <v>1008497</v>
      </c>
      <c r="C65" s="95" t="s">
        <v>1734</v>
      </c>
      <c r="D65" s="95" t="s">
        <v>317</v>
      </c>
      <c r="E65" s="95" t="s">
        <v>642</v>
      </c>
      <c r="F65" s="95" t="s">
        <v>70</v>
      </c>
      <c r="H65" s="95" t="s">
        <v>758</v>
      </c>
      <c r="I65" s="95" t="s">
        <v>1426</v>
      </c>
      <c r="J65" s="95" t="s">
        <v>808</v>
      </c>
      <c r="N65" s="218">
        <v>43857.519444444442</v>
      </c>
    </row>
    <row r="66" spans="1:14" ht="14.4" customHeight="1" x14ac:dyDescent="0.3">
      <c r="A66" s="95" t="s">
        <v>185</v>
      </c>
      <c r="B66" s="95">
        <v>1004543</v>
      </c>
      <c r="C66" s="95" t="s">
        <v>1880</v>
      </c>
      <c r="D66" s="95" t="s">
        <v>1831</v>
      </c>
      <c r="E66" s="95" t="s">
        <v>642</v>
      </c>
      <c r="F66" s="95" t="s">
        <v>70</v>
      </c>
      <c r="H66" s="95" t="s">
        <v>857</v>
      </c>
      <c r="I66" s="95" t="s">
        <v>1628</v>
      </c>
      <c r="N66" s="218">
        <v>43867.568055555559</v>
      </c>
    </row>
    <row r="67" spans="1:14" ht="14.4" customHeight="1" x14ac:dyDescent="0.3">
      <c r="A67" s="95" t="s">
        <v>185</v>
      </c>
      <c r="B67" s="95">
        <v>1004546</v>
      </c>
      <c r="C67" s="95" t="s">
        <v>1881</v>
      </c>
      <c r="D67" s="95" t="s">
        <v>807</v>
      </c>
      <c r="E67" s="95" t="s">
        <v>642</v>
      </c>
      <c r="F67" s="95" t="s">
        <v>70</v>
      </c>
      <c r="H67" s="95" t="s">
        <v>1870</v>
      </c>
      <c r="I67" s="248" t="s">
        <v>1628</v>
      </c>
      <c r="N67" s="218">
        <v>43867.567361111112</v>
      </c>
    </row>
    <row r="68" spans="1:14" ht="14.4" customHeight="1" x14ac:dyDescent="0.3">
      <c r="A68" s="95" t="s">
        <v>185</v>
      </c>
      <c r="B68" s="95">
        <v>1005591</v>
      </c>
      <c r="C68" s="95" t="s">
        <v>1882</v>
      </c>
      <c r="D68" s="95" t="s">
        <v>1675</v>
      </c>
      <c r="E68" s="95" t="s">
        <v>642</v>
      </c>
      <c r="F68" s="95" t="s">
        <v>70</v>
      </c>
      <c r="H68" s="95" t="s">
        <v>1870</v>
      </c>
      <c r="I68" s="95" t="s">
        <v>1628</v>
      </c>
      <c r="N68" s="218">
        <v>43867.569444444445</v>
      </c>
    </row>
    <row r="69" spans="1:14" ht="14.4" customHeight="1" x14ac:dyDescent="0.3">
      <c r="A69" s="95" t="s">
        <v>185</v>
      </c>
      <c r="B69" s="95">
        <v>1004545</v>
      </c>
      <c r="C69" s="95" t="s">
        <v>1883</v>
      </c>
      <c r="D69" s="95" t="s">
        <v>104</v>
      </c>
      <c r="E69" s="95" t="s">
        <v>642</v>
      </c>
      <c r="F69" s="95" t="s">
        <v>70</v>
      </c>
      <c r="H69" s="95" t="s">
        <v>1870</v>
      </c>
      <c r="I69" s="248" t="s">
        <v>1628</v>
      </c>
      <c r="M69" s="248"/>
      <c r="N69" s="218">
        <v>43867.576388888891</v>
      </c>
    </row>
    <row r="70" spans="1:14" ht="14.4" customHeight="1" x14ac:dyDescent="0.3">
      <c r="A70" s="95" t="s">
        <v>185</v>
      </c>
      <c r="B70" s="95">
        <v>1013796</v>
      </c>
      <c r="C70" s="95" t="s">
        <v>2056</v>
      </c>
      <c r="D70" s="95" t="s">
        <v>1732</v>
      </c>
      <c r="E70" s="95" t="s">
        <v>642</v>
      </c>
      <c r="F70" s="95" t="s">
        <v>70</v>
      </c>
      <c r="H70" s="95" t="s">
        <v>1870</v>
      </c>
      <c r="I70" s="248" t="s">
        <v>2057</v>
      </c>
      <c r="J70" s="95" t="s">
        <v>1884</v>
      </c>
      <c r="N70" s="218">
        <v>43893.686111111114</v>
      </c>
    </row>
    <row r="71" spans="1:14" ht="14.4" customHeight="1" x14ac:dyDescent="0.3">
      <c r="A71" s="95" t="s">
        <v>185</v>
      </c>
      <c r="B71" s="95">
        <v>1013797</v>
      </c>
      <c r="C71" s="95" t="s">
        <v>2058</v>
      </c>
      <c r="D71" s="95" t="s">
        <v>807</v>
      </c>
      <c r="E71" s="95" t="s">
        <v>642</v>
      </c>
      <c r="F71" s="95" t="s">
        <v>70</v>
      </c>
      <c r="H71" s="95" t="s">
        <v>1870</v>
      </c>
      <c r="I71" s="248" t="s">
        <v>2059</v>
      </c>
      <c r="J71" s="95" t="s">
        <v>1884</v>
      </c>
      <c r="M71" s="248"/>
      <c r="N71" s="218">
        <v>43893.688194444447</v>
      </c>
    </row>
    <row r="72" spans="1:14" ht="14.4" customHeight="1" x14ac:dyDescent="0.3">
      <c r="A72" s="95" t="s">
        <v>185</v>
      </c>
      <c r="B72" s="95">
        <v>364116</v>
      </c>
      <c r="C72" s="95" t="s">
        <v>1885</v>
      </c>
      <c r="D72" s="95" t="s">
        <v>1731</v>
      </c>
      <c r="E72" s="95" t="s">
        <v>642</v>
      </c>
      <c r="F72" s="95" t="s">
        <v>70</v>
      </c>
      <c r="H72" s="95" t="s">
        <v>1870</v>
      </c>
      <c r="I72" s="95" t="s">
        <v>1628</v>
      </c>
      <c r="J72" s="95" t="s">
        <v>1884</v>
      </c>
      <c r="M72" s="95" t="s">
        <v>809</v>
      </c>
      <c r="N72" s="218">
        <v>43867.557638888888</v>
      </c>
    </row>
    <row r="73" spans="1:14" ht="14.4" customHeight="1" x14ac:dyDescent="0.3">
      <c r="A73" s="95" t="s">
        <v>185</v>
      </c>
      <c r="B73" s="95">
        <v>1010040</v>
      </c>
      <c r="C73" s="95" t="s">
        <v>1886</v>
      </c>
      <c r="D73" s="95" t="s">
        <v>1177</v>
      </c>
      <c r="E73" s="95" t="s">
        <v>642</v>
      </c>
      <c r="F73" s="95" t="s">
        <v>70</v>
      </c>
      <c r="H73" s="95" t="s">
        <v>1870</v>
      </c>
      <c r="I73" s="248" t="s">
        <v>2140</v>
      </c>
      <c r="J73" s="95" t="s">
        <v>1884</v>
      </c>
      <c r="M73" s="95" t="s">
        <v>809</v>
      </c>
      <c r="N73" s="218">
        <v>43867.572916666664</v>
      </c>
    </row>
    <row r="74" spans="1:14" ht="14.4" customHeight="1" x14ac:dyDescent="0.3">
      <c r="A74" s="95" t="s">
        <v>185</v>
      </c>
      <c r="B74" s="95">
        <v>1010027</v>
      </c>
      <c r="C74" s="95" t="s">
        <v>1887</v>
      </c>
      <c r="D74" s="95" t="s">
        <v>810</v>
      </c>
      <c r="E74" s="95" t="s">
        <v>642</v>
      </c>
      <c r="F74" s="95" t="s">
        <v>70</v>
      </c>
      <c r="H74" s="95" t="s">
        <v>1870</v>
      </c>
      <c r="I74" s="248" t="s">
        <v>1628</v>
      </c>
      <c r="J74" s="95" t="s">
        <v>1884</v>
      </c>
      <c r="M74" s="248" t="s">
        <v>809</v>
      </c>
      <c r="N74" s="218">
        <v>43867.55972222222</v>
      </c>
    </row>
    <row r="75" spans="1:14" ht="14.4" customHeight="1" x14ac:dyDescent="0.3">
      <c r="A75" s="95" t="s">
        <v>185</v>
      </c>
      <c r="B75" s="95">
        <v>1014771</v>
      </c>
      <c r="C75" s="95" t="s">
        <v>2141</v>
      </c>
      <c r="D75" s="95" t="s">
        <v>807</v>
      </c>
      <c r="E75" s="95" t="s">
        <v>642</v>
      </c>
      <c r="F75" s="95" t="s">
        <v>70</v>
      </c>
      <c r="H75" s="95" t="s">
        <v>857</v>
      </c>
      <c r="I75" s="248" t="s">
        <v>2142</v>
      </c>
      <c r="J75" s="95" t="s">
        <v>813</v>
      </c>
      <c r="M75" s="248"/>
      <c r="N75" s="218">
        <v>43902.345833333333</v>
      </c>
    </row>
    <row r="76" spans="1:14" ht="14.4" customHeight="1" x14ac:dyDescent="0.3">
      <c r="A76" s="95" t="s">
        <v>185</v>
      </c>
      <c r="B76" s="95">
        <v>1012759</v>
      </c>
      <c r="C76" s="95" t="s">
        <v>2060</v>
      </c>
      <c r="D76" s="95" t="s">
        <v>807</v>
      </c>
      <c r="E76" s="95" t="s">
        <v>642</v>
      </c>
      <c r="F76" s="95" t="s">
        <v>70</v>
      </c>
      <c r="H76" s="95" t="s">
        <v>857</v>
      </c>
      <c r="I76" s="248" t="s">
        <v>2061</v>
      </c>
      <c r="M76" s="248"/>
      <c r="N76" s="218">
        <v>43887.587500000001</v>
      </c>
    </row>
    <row r="77" spans="1:14" ht="14.4" customHeight="1" x14ac:dyDescent="0.3">
      <c r="A77" s="95" t="s">
        <v>185</v>
      </c>
      <c r="B77" s="95">
        <v>1012756</v>
      </c>
      <c r="C77" s="95" t="s">
        <v>2062</v>
      </c>
      <c r="D77" s="95" t="s">
        <v>807</v>
      </c>
      <c r="E77" s="95" t="s">
        <v>642</v>
      </c>
      <c r="F77" s="95" t="s">
        <v>70</v>
      </c>
      <c r="H77" s="95" t="s">
        <v>857</v>
      </c>
      <c r="I77" s="248" t="s">
        <v>2061</v>
      </c>
      <c r="M77" s="248"/>
      <c r="N77" s="218">
        <v>43887.584722222222</v>
      </c>
    </row>
    <row r="78" spans="1:14" ht="14.4" customHeight="1" x14ac:dyDescent="0.3">
      <c r="A78" s="95" t="s">
        <v>185</v>
      </c>
      <c r="B78" s="95">
        <v>1011646</v>
      </c>
      <c r="C78" s="95" t="s">
        <v>2234</v>
      </c>
      <c r="D78" s="95" t="s">
        <v>104</v>
      </c>
      <c r="E78" s="95" t="s">
        <v>104</v>
      </c>
      <c r="F78" s="95" t="s">
        <v>70</v>
      </c>
      <c r="H78" s="95" t="s">
        <v>857</v>
      </c>
      <c r="I78" s="95" t="s">
        <v>1919</v>
      </c>
      <c r="M78" s="248"/>
      <c r="N78" s="218">
        <v>43906.534722222219</v>
      </c>
    </row>
    <row r="79" spans="1:14" ht="14.4" customHeight="1" x14ac:dyDescent="0.3">
      <c r="A79" s="95" t="s">
        <v>185</v>
      </c>
      <c r="B79" s="95">
        <v>1013890</v>
      </c>
      <c r="C79" s="95" t="s">
        <v>2063</v>
      </c>
      <c r="D79" s="95" t="s">
        <v>618</v>
      </c>
      <c r="E79" s="95" t="s">
        <v>642</v>
      </c>
      <c r="F79" s="95" t="s">
        <v>70</v>
      </c>
      <c r="H79" s="95" t="s">
        <v>857</v>
      </c>
      <c r="I79" s="248" t="s">
        <v>2064</v>
      </c>
      <c r="J79" s="95" t="s">
        <v>813</v>
      </c>
      <c r="K79" s="95" t="s">
        <v>2065</v>
      </c>
      <c r="M79" s="248" t="s">
        <v>2066</v>
      </c>
      <c r="N79" s="218">
        <v>43894.195833333331</v>
      </c>
    </row>
    <row r="80" spans="1:14" ht="14.4" customHeight="1" x14ac:dyDescent="0.3">
      <c r="A80" s="95" t="s">
        <v>185</v>
      </c>
      <c r="B80" s="95">
        <v>1014780</v>
      </c>
      <c r="C80" s="95" t="s">
        <v>2143</v>
      </c>
      <c r="D80" s="95" t="s">
        <v>807</v>
      </c>
      <c r="E80" s="95" t="s">
        <v>642</v>
      </c>
      <c r="F80" s="95" t="s">
        <v>70</v>
      </c>
      <c r="H80" s="95" t="s">
        <v>857</v>
      </c>
      <c r="I80" s="95" t="s">
        <v>2144</v>
      </c>
      <c r="J80" s="95" t="s">
        <v>813</v>
      </c>
      <c r="M80" s="248"/>
      <c r="N80" s="218">
        <v>43902.354861111111</v>
      </c>
    </row>
    <row r="81" spans="1:14" ht="14.4" customHeight="1" x14ac:dyDescent="0.3">
      <c r="A81" s="95" t="s">
        <v>185</v>
      </c>
      <c r="B81" s="95">
        <v>1014781</v>
      </c>
      <c r="C81" s="95" t="s">
        <v>2143</v>
      </c>
      <c r="D81" s="95" t="s">
        <v>206</v>
      </c>
      <c r="E81" s="95" t="s">
        <v>642</v>
      </c>
      <c r="F81" s="95" t="s">
        <v>70</v>
      </c>
      <c r="H81" s="95" t="s">
        <v>857</v>
      </c>
      <c r="I81" s="248" t="s">
        <v>2145</v>
      </c>
      <c r="J81" s="95" t="s">
        <v>813</v>
      </c>
      <c r="N81" s="218">
        <v>43902.356249999997</v>
      </c>
    </row>
    <row r="82" spans="1:14" ht="14.4" customHeight="1" x14ac:dyDescent="0.3">
      <c r="A82" s="95" t="s">
        <v>185</v>
      </c>
      <c r="B82" s="95">
        <v>1012762</v>
      </c>
      <c r="C82" s="95" t="s">
        <v>2067</v>
      </c>
      <c r="D82" s="95" t="s">
        <v>807</v>
      </c>
      <c r="E82" s="95" t="s">
        <v>642</v>
      </c>
      <c r="F82" s="95" t="s">
        <v>70</v>
      </c>
      <c r="H82" s="95" t="s">
        <v>857</v>
      </c>
      <c r="I82" s="95" t="s">
        <v>2061</v>
      </c>
      <c r="M82" s="248"/>
      <c r="N82" s="218">
        <v>43887.588888888888</v>
      </c>
    </row>
    <row r="83" spans="1:14" ht="14.4" customHeight="1" x14ac:dyDescent="0.3">
      <c r="A83" s="95" t="s">
        <v>185</v>
      </c>
      <c r="B83" s="95">
        <v>1012758</v>
      </c>
      <c r="C83" s="95" t="s">
        <v>2068</v>
      </c>
      <c r="D83" s="95" t="s">
        <v>807</v>
      </c>
      <c r="E83" s="95" t="s">
        <v>642</v>
      </c>
      <c r="F83" s="95" t="s">
        <v>70</v>
      </c>
      <c r="H83" s="95" t="s">
        <v>857</v>
      </c>
      <c r="I83" s="248" t="s">
        <v>2061</v>
      </c>
      <c r="M83" s="248"/>
      <c r="N83" s="218">
        <v>43887.586111111108</v>
      </c>
    </row>
    <row r="84" spans="1:14" ht="14.4" customHeight="1" x14ac:dyDescent="0.3">
      <c r="A84" s="95" t="s">
        <v>185</v>
      </c>
      <c r="B84" s="95">
        <v>1012761</v>
      </c>
      <c r="C84" s="95" t="s">
        <v>2069</v>
      </c>
      <c r="D84" s="95" t="s">
        <v>807</v>
      </c>
      <c r="E84" s="95" t="s">
        <v>642</v>
      </c>
      <c r="F84" s="95" t="s">
        <v>70</v>
      </c>
      <c r="H84" s="95" t="s">
        <v>857</v>
      </c>
      <c r="I84" s="248" t="s">
        <v>2061</v>
      </c>
      <c r="N84" s="218">
        <v>43887.588194444441</v>
      </c>
    </row>
    <row r="85" spans="1:14" ht="14.4" customHeight="1" x14ac:dyDescent="0.3">
      <c r="A85" s="95" t="s">
        <v>185</v>
      </c>
      <c r="B85" s="95">
        <v>1012750</v>
      </c>
      <c r="C85" s="95" t="s">
        <v>2070</v>
      </c>
      <c r="D85" s="95" t="s">
        <v>807</v>
      </c>
      <c r="E85" s="95" t="s">
        <v>642</v>
      </c>
      <c r="F85" s="95" t="s">
        <v>70</v>
      </c>
      <c r="H85" s="95" t="s">
        <v>857</v>
      </c>
      <c r="I85" s="248" t="s">
        <v>2061</v>
      </c>
      <c r="M85" s="248"/>
      <c r="N85" s="218">
        <v>43887.579861111109</v>
      </c>
    </row>
    <row r="86" spans="1:14" ht="14.4" customHeight="1" x14ac:dyDescent="0.3">
      <c r="A86" s="95" t="s">
        <v>185</v>
      </c>
      <c r="B86" s="95">
        <v>1012754</v>
      </c>
      <c r="C86" s="95" t="s">
        <v>2071</v>
      </c>
      <c r="D86" s="95" t="s">
        <v>807</v>
      </c>
      <c r="E86" s="95" t="s">
        <v>642</v>
      </c>
      <c r="F86" s="95" t="s">
        <v>70</v>
      </c>
      <c r="H86" s="95" t="s">
        <v>857</v>
      </c>
      <c r="I86" s="248" t="s">
        <v>2061</v>
      </c>
      <c r="M86" s="248"/>
      <c r="N86" s="218">
        <v>43887.582638888889</v>
      </c>
    </row>
    <row r="87" spans="1:14" ht="14.4" customHeight="1" x14ac:dyDescent="0.3">
      <c r="A87" s="95" t="s">
        <v>185</v>
      </c>
      <c r="B87" s="95">
        <v>373448</v>
      </c>
      <c r="C87" s="95" t="s">
        <v>1605</v>
      </c>
      <c r="D87" s="95" t="s">
        <v>186</v>
      </c>
      <c r="E87" s="95" t="s">
        <v>642</v>
      </c>
      <c r="F87" s="95" t="s">
        <v>70</v>
      </c>
      <c r="H87" s="95" t="s">
        <v>857</v>
      </c>
      <c r="I87" s="95" t="s">
        <v>2146</v>
      </c>
      <c r="M87" s="248" t="s">
        <v>811</v>
      </c>
      <c r="N87" s="218">
        <v>43902.384027777778</v>
      </c>
    </row>
    <row r="88" spans="1:14" ht="14.4" customHeight="1" x14ac:dyDescent="0.3">
      <c r="A88" s="95" t="s">
        <v>185</v>
      </c>
      <c r="B88" s="95">
        <v>1001949</v>
      </c>
      <c r="C88" s="95" t="s">
        <v>1606</v>
      </c>
      <c r="D88" s="95" t="s">
        <v>236</v>
      </c>
      <c r="E88" s="95" t="s">
        <v>642</v>
      </c>
      <c r="F88" s="95" t="s">
        <v>70</v>
      </c>
      <c r="H88" s="95" t="s">
        <v>857</v>
      </c>
      <c r="I88" s="95" t="s">
        <v>1422</v>
      </c>
      <c r="J88" s="95" t="s">
        <v>813</v>
      </c>
      <c r="N88" s="218">
        <v>43858.47152777778</v>
      </c>
    </row>
    <row r="89" spans="1:14" ht="14.4" customHeight="1" x14ac:dyDescent="0.3">
      <c r="A89" s="95" t="s">
        <v>185</v>
      </c>
      <c r="B89" s="95">
        <v>390072</v>
      </c>
      <c r="C89" s="95" t="s">
        <v>1607</v>
      </c>
      <c r="D89" s="95" t="s">
        <v>236</v>
      </c>
      <c r="E89" s="95" t="s">
        <v>642</v>
      </c>
      <c r="F89" s="95" t="s">
        <v>70</v>
      </c>
      <c r="H89" s="95" t="s">
        <v>104</v>
      </c>
      <c r="I89" s="95" t="s">
        <v>1735</v>
      </c>
      <c r="J89" s="95" t="s">
        <v>808</v>
      </c>
      <c r="M89" s="95" t="s">
        <v>814</v>
      </c>
      <c r="N89" s="218">
        <v>43783.542361111111</v>
      </c>
    </row>
    <row r="90" spans="1:14" ht="14.4" customHeight="1" x14ac:dyDescent="0.3">
      <c r="A90" s="95" t="s">
        <v>185</v>
      </c>
      <c r="B90" s="95">
        <v>1001932</v>
      </c>
      <c r="C90" s="95" t="s">
        <v>1608</v>
      </c>
      <c r="D90" s="95" t="s">
        <v>571</v>
      </c>
      <c r="E90" s="95" t="s">
        <v>642</v>
      </c>
      <c r="F90" s="95" t="s">
        <v>70</v>
      </c>
      <c r="H90" s="95" t="s">
        <v>857</v>
      </c>
      <c r="I90" s="95" t="s">
        <v>1422</v>
      </c>
      <c r="J90" s="95" t="s">
        <v>813</v>
      </c>
      <c r="M90" s="95" t="s">
        <v>814</v>
      </c>
      <c r="N90" s="218">
        <v>43858.469444444447</v>
      </c>
    </row>
    <row r="91" spans="1:14" ht="14.4" customHeight="1" x14ac:dyDescent="0.3">
      <c r="A91" s="95" t="s">
        <v>185</v>
      </c>
      <c r="B91" s="95">
        <v>1014784</v>
      </c>
      <c r="C91" s="95" t="s">
        <v>2147</v>
      </c>
      <c r="D91" s="95" t="s">
        <v>2026</v>
      </c>
      <c r="E91" s="95" t="s">
        <v>642</v>
      </c>
      <c r="F91" s="95" t="s">
        <v>70</v>
      </c>
      <c r="H91" s="95" t="s">
        <v>857</v>
      </c>
      <c r="I91" s="95" t="s">
        <v>2148</v>
      </c>
      <c r="J91" s="95" t="s">
        <v>813</v>
      </c>
      <c r="N91" s="218">
        <v>43902.361805555556</v>
      </c>
    </row>
    <row r="92" spans="1:14" ht="14.4" customHeight="1" x14ac:dyDescent="0.3">
      <c r="A92" s="95" t="s">
        <v>185</v>
      </c>
      <c r="B92" s="95">
        <v>1010513</v>
      </c>
      <c r="C92" s="95" t="s">
        <v>1888</v>
      </c>
      <c r="D92" s="95" t="s">
        <v>197</v>
      </c>
      <c r="E92" s="95" t="s">
        <v>642</v>
      </c>
      <c r="F92" s="95" t="s">
        <v>70</v>
      </c>
      <c r="H92" s="95" t="s">
        <v>857</v>
      </c>
      <c r="I92" s="95" t="s">
        <v>1889</v>
      </c>
      <c r="N92" s="218">
        <v>43871.750694444447</v>
      </c>
    </row>
    <row r="93" spans="1:14" ht="14.4" customHeight="1" x14ac:dyDescent="0.3">
      <c r="A93" s="95" t="s">
        <v>185</v>
      </c>
      <c r="B93" s="95">
        <v>1013868</v>
      </c>
      <c r="C93" s="95" t="s">
        <v>2072</v>
      </c>
      <c r="D93" s="95" t="s">
        <v>197</v>
      </c>
      <c r="E93" s="95" t="s">
        <v>642</v>
      </c>
      <c r="F93" s="95" t="s">
        <v>70</v>
      </c>
      <c r="H93" s="95" t="s">
        <v>857</v>
      </c>
      <c r="I93" s="95" t="s">
        <v>2073</v>
      </c>
      <c r="J93" s="95" t="s">
        <v>808</v>
      </c>
      <c r="M93" s="95" t="s">
        <v>812</v>
      </c>
      <c r="N93" s="218">
        <v>43894.015277777777</v>
      </c>
    </row>
    <row r="94" spans="1:14" ht="14.4" customHeight="1" x14ac:dyDescent="0.3">
      <c r="A94" s="95" t="s">
        <v>185</v>
      </c>
      <c r="B94" s="95">
        <v>1010389</v>
      </c>
      <c r="C94" s="95" t="s">
        <v>1890</v>
      </c>
      <c r="D94" s="95" t="s">
        <v>248</v>
      </c>
      <c r="E94" s="95" t="s">
        <v>642</v>
      </c>
      <c r="F94" s="95" t="s">
        <v>70</v>
      </c>
      <c r="H94" s="95" t="s">
        <v>857</v>
      </c>
      <c r="I94" s="95" t="s">
        <v>2149</v>
      </c>
      <c r="N94" s="218">
        <v>43902.385416666664</v>
      </c>
    </row>
    <row r="95" spans="1:14" ht="14.4" customHeight="1" x14ac:dyDescent="0.3">
      <c r="A95" s="95" t="s">
        <v>185</v>
      </c>
      <c r="B95" s="95">
        <v>390097</v>
      </c>
      <c r="C95" s="95" t="s">
        <v>1609</v>
      </c>
      <c r="D95" s="95" t="s">
        <v>190</v>
      </c>
      <c r="E95" s="95" t="s">
        <v>642</v>
      </c>
      <c r="F95" s="95" t="s">
        <v>70</v>
      </c>
      <c r="G95" s="95" t="s">
        <v>1610</v>
      </c>
      <c r="H95" s="95" t="s">
        <v>857</v>
      </c>
      <c r="I95" s="95" t="s">
        <v>2150</v>
      </c>
      <c r="J95" s="95" t="s">
        <v>808</v>
      </c>
      <c r="M95" s="95" t="s">
        <v>809</v>
      </c>
      <c r="N95" s="218">
        <v>43902.386111111111</v>
      </c>
    </row>
    <row r="96" spans="1:14" ht="14.4" customHeight="1" x14ac:dyDescent="0.3">
      <c r="A96" s="95" t="s">
        <v>185</v>
      </c>
      <c r="B96" s="95">
        <v>1013891</v>
      </c>
      <c r="C96" s="95" t="s">
        <v>2074</v>
      </c>
      <c r="D96" s="95" t="s">
        <v>193</v>
      </c>
      <c r="E96" s="95" t="s">
        <v>642</v>
      </c>
      <c r="F96" s="95" t="s">
        <v>70</v>
      </c>
      <c r="G96" s="95" t="s">
        <v>2075</v>
      </c>
      <c r="H96" s="95" t="s">
        <v>857</v>
      </c>
      <c r="I96" s="95" t="s">
        <v>2151</v>
      </c>
      <c r="J96" s="95" t="s">
        <v>808</v>
      </c>
      <c r="K96" s="95" t="s">
        <v>2076</v>
      </c>
      <c r="M96" s="95" t="s">
        <v>811</v>
      </c>
      <c r="N96" s="218">
        <v>43902.387499999997</v>
      </c>
    </row>
    <row r="97" spans="1:14" ht="14.4" customHeight="1" x14ac:dyDescent="0.3">
      <c r="A97" s="95" t="s">
        <v>185</v>
      </c>
      <c r="B97" s="95">
        <v>1014793</v>
      </c>
      <c r="C97" s="95" t="s">
        <v>2152</v>
      </c>
      <c r="D97" s="95" t="s">
        <v>268</v>
      </c>
      <c r="E97" s="95" t="s">
        <v>642</v>
      </c>
      <c r="F97" s="95" t="s">
        <v>70</v>
      </c>
      <c r="H97" s="95" t="s">
        <v>857</v>
      </c>
      <c r="I97" s="95" t="s">
        <v>2153</v>
      </c>
      <c r="J97" s="95" t="s">
        <v>813</v>
      </c>
      <c r="N97" s="218">
        <v>43902.388888888891</v>
      </c>
    </row>
    <row r="98" spans="1:14" ht="14.4" customHeight="1" x14ac:dyDescent="0.3">
      <c r="A98" s="95" t="s">
        <v>185</v>
      </c>
      <c r="B98" s="95">
        <v>1014769</v>
      </c>
      <c r="C98" s="95" t="s">
        <v>2154</v>
      </c>
      <c r="D98" s="95" t="s">
        <v>277</v>
      </c>
      <c r="E98" s="95" t="s">
        <v>642</v>
      </c>
      <c r="F98" s="95" t="s">
        <v>70</v>
      </c>
      <c r="H98" s="95" t="s">
        <v>857</v>
      </c>
      <c r="I98" s="95" t="s">
        <v>2155</v>
      </c>
      <c r="J98" s="95" t="s">
        <v>813</v>
      </c>
      <c r="N98" s="218">
        <v>43902.342361111114</v>
      </c>
    </row>
    <row r="99" spans="1:14" ht="14.4" customHeight="1" x14ac:dyDescent="0.3">
      <c r="A99" s="95" t="s">
        <v>185</v>
      </c>
      <c r="B99" s="95">
        <v>376617</v>
      </c>
      <c r="C99" s="95" t="s">
        <v>1611</v>
      </c>
      <c r="D99" s="95" t="s">
        <v>278</v>
      </c>
      <c r="E99" s="95" t="s">
        <v>642</v>
      </c>
      <c r="F99" s="95" t="s">
        <v>70</v>
      </c>
      <c r="H99" s="95" t="s">
        <v>857</v>
      </c>
      <c r="I99" s="95" t="s">
        <v>522</v>
      </c>
      <c r="J99" s="95" t="s">
        <v>808</v>
      </c>
      <c r="M99" s="95" t="s">
        <v>811</v>
      </c>
      <c r="N99" s="218">
        <v>43858.661111111112</v>
      </c>
    </row>
    <row r="100" spans="1:14" ht="14.4" customHeight="1" x14ac:dyDescent="0.3">
      <c r="A100" s="95" t="s">
        <v>185</v>
      </c>
      <c r="B100" s="95">
        <v>376651</v>
      </c>
      <c r="C100" s="95" t="s">
        <v>1612</v>
      </c>
      <c r="D100" s="95" t="s">
        <v>574</v>
      </c>
      <c r="E100" s="95" t="s">
        <v>642</v>
      </c>
      <c r="F100" s="95" t="s">
        <v>70</v>
      </c>
      <c r="G100" s="95" t="s">
        <v>932</v>
      </c>
      <c r="H100" s="95" t="s">
        <v>857</v>
      </c>
      <c r="I100" s="95" t="s">
        <v>522</v>
      </c>
      <c r="N100" s="218">
        <v>43858.688888888886</v>
      </c>
    </row>
    <row r="101" spans="1:14" ht="14.4" customHeight="1" x14ac:dyDescent="0.3">
      <c r="A101" s="95" t="s">
        <v>185</v>
      </c>
      <c r="B101" s="95">
        <v>1010510</v>
      </c>
      <c r="C101" s="95" t="s">
        <v>1891</v>
      </c>
      <c r="D101" s="95" t="s">
        <v>795</v>
      </c>
      <c r="E101" s="95" t="s">
        <v>642</v>
      </c>
      <c r="F101" s="95" t="s">
        <v>70</v>
      </c>
      <c r="H101" s="95" t="s">
        <v>857</v>
      </c>
      <c r="I101" s="95" t="s">
        <v>2279</v>
      </c>
      <c r="N101" s="218">
        <v>43908.370833333334</v>
      </c>
    </row>
    <row r="102" spans="1:14" ht="14.4" customHeight="1" x14ac:dyDescent="0.3">
      <c r="A102" s="95" t="s">
        <v>185</v>
      </c>
      <c r="B102" s="95">
        <v>1013887</v>
      </c>
      <c r="C102" s="95" t="s">
        <v>2077</v>
      </c>
      <c r="D102" s="95" t="s">
        <v>222</v>
      </c>
      <c r="E102" s="95" t="s">
        <v>642</v>
      </c>
      <c r="F102" s="95" t="s">
        <v>70</v>
      </c>
      <c r="H102" s="95" t="s">
        <v>857</v>
      </c>
      <c r="I102" s="95" t="s">
        <v>2064</v>
      </c>
      <c r="J102" s="95" t="s">
        <v>808</v>
      </c>
      <c r="K102" s="95" t="s">
        <v>2078</v>
      </c>
      <c r="M102" s="95" t="s">
        <v>1655</v>
      </c>
      <c r="N102" s="218">
        <v>43894.182638888888</v>
      </c>
    </row>
    <row r="103" spans="1:14" ht="14.4" customHeight="1" x14ac:dyDescent="0.3">
      <c r="A103" s="95" t="s">
        <v>185</v>
      </c>
      <c r="B103" s="95">
        <v>372483</v>
      </c>
      <c r="C103" s="95" t="s">
        <v>1613</v>
      </c>
      <c r="D103" s="95" t="s">
        <v>1392</v>
      </c>
      <c r="E103" s="95" t="s">
        <v>642</v>
      </c>
      <c r="F103" s="95" t="s">
        <v>70</v>
      </c>
      <c r="H103" s="95" t="s">
        <v>857</v>
      </c>
      <c r="I103" s="95" t="s">
        <v>1736</v>
      </c>
      <c r="M103" s="95" t="s">
        <v>812</v>
      </c>
      <c r="N103" s="218">
        <v>43768.336805555555</v>
      </c>
    </row>
    <row r="104" spans="1:14" ht="14.4" customHeight="1" x14ac:dyDescent="0.3">
      <c r="A104" s="95" t="s">
        <v>185</v>
      </c>
      <c r="B104" s="95">
        <v>372810</v>
      </c>
      <c r="C104" s="95" t="s">
        <v>1614</v>
      </c>
      <c r="D104" s="95" t="s">
        <v>280</v>
      </c>
      <c r="E104" s="95" t="s">
        <v>642</v>
      </c>
      <c r="F104" s="95" t="s">
        <v>70</v>
      </c>
      <c r="H104" s="95" t="s">
        <v>857</v>
      </c>
      <c r="I104" s="95" t="s">
        <v>1005</v>
      </c>
      <c r="J104" s="95" t="s">
        <v>808</v>
      </c>
      <c r="M104" s="95" t="s">
        <v>814</v>
      </c>
      <c r="N104" s="218">
        <v>43852.820138888892</v>
      </c>
    </row>
    <row r="105" spans="1:14" ht="14.4" customHeight="1" x14ac:dyDescent="0.3">
      <c r="A105" s="95" t="s">
        <v>185</v>
      </c>
      <c r="B105" s="95">
        <v>1015259</v>
      </c>
      <c r="C105" s="95" t="s">
        <v>2235</v>
      </c>
      <c r="D105" s="95" t="s">
        <v>283</v>
      </c>
      <c r="E105" s="95" t="s">
        <v>642</v>
      </c>
      <c r="F105" s="95" t="s">
        <v>70</v>
      </c>
      <c r="H105" s="95" t="s">
        <v>857</v>
      </c>
      <c r="I105" s="95" t="s">
        <v>2236</v>
      </c>
      <c r="J105" s="95" t="s">
        <v>808</v>
      </c>
      <c r="K105" s="95" t="s">
        <v>2237</v>
      </c>
      <c r="N105" s="218">
        <v>43907.454861111109</v>
      </c>
    </row>
    <row r="106" spans="1:14" ht="14.4" customHeight="1" x14ac:dyDescent="0.3">
      <c r="A106" s="95" t="s">
        <v>185</v>
      </c>
      <c r="B106" s="95">
        <v>1005318</v>
      </c>
      <c r="C106" s="95" t="s">
        <v>1615</v>
      </c>
      <c r="D106" s="95" t="s">
        <v>1737</v>
      </c>
      <c r="E106" s="95" t="s">
        <v>642</v>
      </c>
      <c r="F106" s="95" t="s">
        <v>70</v>
      </c>
      <c r="H106" s="95" t="s">
        <v>857</v>
      </c>
      <c r="I106" s="95" t="s">
        <v>1738</v>
      </c>
      <c r="J106" s="95" t="s">
        <v>808</v>
      </c>
      <c r="M106" s="95" t="s">
        <v>814</v>
      </c>
      <c r="N106" s="218">
        <v>43833.072222222225</v>
      </c>
    </row>
    <row r="107" spans="1:14" ht="14.4" customHeight="1" x14ac:dyDescent="0.3">
      <c r="A107" s="95" t="s">
        <v>185</v>
      </c>
      <c r="B107" s="95">
        <v>381232</v>
      </c>
      <c r="C107" s="95" t="s">
        <v>1616</v>
      </c>
      <c r="D107" s="95" t="s">
        <v>209</v>
      </c>
      <c r="E107" s="95" t="s">
        <v>642</v>
      </c>
      <c r="F107" s="95" t="s">
        <v>70</v>
      </c>
      <c r="H107" s="95" t="s">
        <v>857</v>
      </c>
      <c r="I107" s="95" t="s">
        <v>2280</v>
      </c>
      <c r="J107" s="95" t="s">
        <v>808</v>
      </c>
      <c r="M107" s="95" t="s">
        <v>811</v>
      </c>
      <c r="N107" s="218">
        <v>43908.370138888888</v>
      </c>
    </row>
    <row r="108" spans="1:14" ht="14.4" customHeight="1" x14ac:dyDescent="0.3">
      <c r="A108" s="95" t="s">
        <v>185</v>
      </c>
      <c r="B108" s="95">
        <v>1014790</v>
      </c>
      <c r="C108" s="95" t="s">
        <v>2156</v>
      </c>
      <c r="D108" s="95" t="s">
        <v>209</v>
      </c>
      <c r="E108" s="95" t="s">
        <v>642</v>
      </c>
      <c r="F108" s="95" t="s">
        <v>70</v>
      </c>
      <c r="H108" s="95" t="s">
        <v>857</v>
      </c>
      <c r="I108" s="248" t="s">
        <v>2157</v>
      </c>
      <c r="J108" s="95" t="s">
        <v>813</v>
      </c>
      <c r="M108" s="248"/>
      <c r="N108" s="218">
        <v>43902.366666666669</v>
      </c>
    </row>
    <row r="109" spans="1:14" ht="14.4" customHeight="1" x14ac:dyDescent="0.3">
      <c r="A109" s="95" t="s">
        <v>185</v>
      </c>
      <c r="B109" s="95">
        <v>371075</v>
      </c>
      <c r="C109" s="95" t="s">
        <v>1617</v>
      </c>
      <c r="D109" s="95" t="s">
        <v>297</v>
      </c>
      <c r="E109" s="95" t="s">
        <v>642</v>
      </c>
      <c r="F109" s="95" t="s">
        <v>70</v>
      </c>
      <c r="H109" s="95" t="s">
        <v>104</v>
      </c>
      <c r="I109" s="95" t="s">
        <v>1739</v>
      </c>
      <c r="J109" s="95" t="s">
        <v>808</v>
      </c>
      <c r="M109" s="95" t="s">
        <v>1740</v>
      </c>
      <c r="N109" s="218">
        <v>43847.784722222219</v>
      </c>
    </row>
    <row r="110" spans="1:14" ht="14.4" customHeight="1" x14ac:dyDescent="0.3">
      <c r="A110" s="95" t="s">
        <v>185</v>
      </c>
      <c r="B110" s="95">
        <v>1010516</v>
      </c>
      <c r="C110" s="95" t="s">
        <v>1892</v>
      </c>
      <c r="D110" s="95" t="s">
        <v>306</v>
      </c>
      <c r="E110" s="95" t="s">
        <v>642</v>
      </c>
      <c r="F110" s="95" t="s">
        <v>70</v>
      </c>
      <c r="H110" s="95" t="s">
        <v>857</v>
      </c>
      <c r="I110" s="248" t="s">
        <v>1889</v>
      </c>
      <c r="M110" s="248"/>
      <c r="N110" s="218">
        <v>43871.759027777778</v>
      </c>
    </row>
    <row r="111" spans="1:14" ht="14.4" customHeight="1" x14ac:dyDescent="0.3">
      <c r="A111" s="95" t="s">
        <v>185</v>
      </c>
      <c r="B111" s="95">
        <v>1013889</v>
      </c>
      <c r="C111" s="95" t="s">
        <v>2079</v>
      </c>
      <c r="D111" s="95" t="s">
        <v>243</v>
      </c>
      <c r="E111" s="95" t="s">
        <v>642</v>
      </c>
      <c r="F111" s="95" t="s">
        <v>70</v>
      </c>
      <c r="H111" s="95" t="s">
        <v>857</v>
      </c>
      <c r="I111" s="248" t="s">
        <v>2064</v>
      </c>
      <c r="J111" s="95" t="s">
        <v>808</v>
      </c>
      <c r="K111" s="95" t="s">
        <v>2080</v>
      </c>
      <c r="L111" s="95" t="s">
        <v>2081</v>
      </c>
      <c r="M111" s="248" t="s">
        <v>812</v>
      </c>
      <c r="N111" s="218">
        <v>43894.19027777778</v>
      </c>
    </row>
    <row r="112" spans="1:14" ht="14.4" customHeight="1" x14ac:dyDescent="0.3">
      <c r="A112" s="95" t="s">
        <v>185</v>
      </c>
      <c r="B112" s="95">
        <v>1010396</v>
      </c>
      <c r="C112" s="95" t="s">
        <v>1893</v>
      </c>
      <c r="D112" s="95" t="s">
        <v>1894</v>
      </c>
      <c r="E112" s="95" t="s">
        <v>642</v>
      </c>
      <c r="F112" s="95" t="s">
        <v>70</v>
      </c>
      <c r="H112" s="95" t="s">
        <v>857</v>
      </c>
      <c r="I112" s="248" t="s">
        <v>1944</v>
      </c>
      <c r="M112" s="248"/>
      <c r="N112" s="218">
        <v>43880.399305555555</v>
      </c>
    </row>
    <row r="113" spans="1:14" ht="14.4" customHeight="1" x14ac:dyDescent="0.3">
      <c r="A113" s="95" t="s">
        <v>185</v>
      </c>
      <c r="B113" s="95">
        <v>1014795</v>
      </c>
      <c r="C113" s="95" t="s">
        <v>2158</v>
      </c>
      <c r="D113" s="95" t="s">
        <v>316</v>
      </c>
      <c r="E113" s="95" t="s">
        <v>642</v>
      </c>
      <c r="F113" s="95" t="s">
        <v>70</v>
      </c>
      <c r="H113" s="95" t="s">
        <v>857</v>
      </c>
      <c r="I113" s="248" t="s">
        <v>2159</v>
      </c>
      <c r="J113" s="95" t="s">
        <v>813</v>
      </c>
      <c r="M113" s="248"/>
      <c r="N113" s="218">
        <v>43902.373611111114</v>
      </c>
    </row>
    <row r="114" spans="1:14" ht="14.4" customHeight="1" x14ac:dyDescent="0.3">
      <c r="A114" s="95" t="s">
        <v>185</v>
      </c>
      <c r="B114" s="95">
        <v>1014846</v>
      </c>
      <c r="C114" s="95" t="s">
        <v>2160</v>
      </c>
      <c r="D114" s="95" t="s">
        <v>317</v>
      </c>
      <c r="E114" s="95" t="s">
        <v>642</v>
      </c>
      <c r="F114" s="95" t="s">
        <v>70</v>
      </c>
      <c r="H114" s="95" t="s">
        <v>857</v>
      </c>
      <c r="I114" s="248" t="s">
        <v>2161</v>
      </c>
      <c r="M114" s="248"/>
      <c r="N114" s="218">
        <v>43902.469444444447</v>
      </c>
    </row>
    <row r="115" spans="1:14" ht="14.4" customHeight="1" x14ac:dyDescent="0.3">
      <c r="A115" s="95" t="s">
        <v>185</v>
      </c>
      <c r="B115" s="95">
        <v>1010392</v>
      </c>
      <c r="C115" s="95" t="s">
        <v>1895</v>
      </c>
      <c r="D115" s="95" t="s">
        <v>1692</v>
      </c>
      <c r="E115" s="95" t="s">
        <v>642</v>
      </c>
      <c r="F115" s="95" t="s">
        <v>70</v>
      </c>
      <c r="H115" s="95" t="s">
        <v>857</v>
      </c>
      <c r="I115" s="95" t="s">
        <v>2082</v>
      </c>
      <c r="N115" s="218">
        <v>43894.20416666667</v>
      </c>
    </row>
    <row r="116" spans="1:14" ht="14.4" customHeight="1" x14ac:dyDescent="0.3">
      <c r="A116" s="95" t="s">
        <v>185</v>
      </c>
      <c r="B116" s="95">
        <v>1010412</v>
      </c>
      <c r="C116" s="95" t="s">
        <v>1896</v>
      </c>
      <c r="D116" s="95" t="s">
        <v>807</v>
      </c>
      <c r="E116" s="95" t="s">
        <v>642</v>
      </c>
      <c r="F116" s="95" t="s">
        <v>70</v>
      </c>
      <c r="H116" s="95" t="s">
        <v>857</v>
      </c>
      <c r="I116" s="95" t="s">
        <v>1945</v>
      </c>
      <c r="M116" s="248"/>
      <c r="N116" s="218">
        <v>43880.399305555555</v>
      </c>
    </row>
    <row r="117" spans="1:14" ht="14.4" customHeight="1" x14ac:dyDescent="0.3">
      <c r="A117" s="95" t="s">
        <v>185</v>
      </c>
      <c r="B117" s="95">
        <v>390010</v>
      </c>
      <c r="C117" s="95" t="s">
        <v>1897</v>
      </c>
      <c r="D117" s="95" t="s">
        <v>332</v>
      </c>
      <c r="E117" s="95" t="s">
        <v>642</v>
      </c>
      <c r="F117" s="95" t="s">
        <v>70</v>
      </c>
      <c r="G117" s="95" t="s">
        <v>1693</v>
      </c>
      <c r="H117" s="95" t="s">
        <v>857</v>
      </c>
      <c r="I117" s="248" t="s">
        <v>2162</v>
      </c>
      <c r="J117" s="95" t="s">
        <v>808</v>
      </c>
      <c r="M117" s="95" t="s">
        <v>809</v>
      </c>
      <c r="N117" s="218">
        <v>43902.38958333333</v>
      </c>
    </row>
    <row r="118" spans="1:14" ht="14.4" customHeight="1" x14ac:dyDescent="0.3">
      <c r="A118" s="95" t="s">
        <v>185</v>
      </c>
      <c r="B118" s="95">
        <v>1010515</v>
      </c>
      <c r="C118" s="95" t="s">
        <v>1898</v>
      </c>
      <c r="D118" s="95" t="s">
        <v>335</v>
      </c>
      <c r="E118" s="95" t="s">
        <v>642</v>
      </c>
      <c r="F118" s="95" t="s">
        <v>70</v>
      </c>
      <c r="H118" s="95" t="s">
        <v>857</v>
      </c>
      <c r="I118" s="248" t="s">
        <v>1889</v>
      </c>
      <c r="N118" s="218">
        <v>43871.756249999999</v>
      </c>
    </row>
    <row r="119" spans="1:14" ht="14.4" customHeight="1" x14ac:dyDescent="0.3">
      <c r="A119" s="95" t="s">
        <v>185</v>
      </c>
      <c r="B119" s="95">
        <v>1010387</v>
      </c>
      <c r="C119" s="95" t="s">
        <v>1899</v>
      </c>
      <c r="D119" s="95" t="s">
        <v>1900</v>
      </c>
      <c r="E119" s="95" t="s">
        <v>642</v>
      </c>
      <c r="F119" s="95" t="s">
        <v>70</v>
      </c>
      <c r="H119" s="95" t="s">
        <v>857</v>
      </c>
      <c r="I119" s="248" t="s">
        <v>1946</v>
      </c>
      <c r="N119" s="218">
        <v>43880.399305555555</v>
      </c>
    </row>
    <row r="120" spans="1:14" ht="14.4" customHeight="1" x14ac:dyDescent="0.3">
      <c r="A120" s="95" t="s">
        <v>185</v>
      </c>
      <c r="B120" s="95">
        <v>1010514</v>
      </c>
      <c r="C120" s="95" t="s">
        <v>1901</v>
      </c>
      <c r="D120" s="95" t="s">
        <v>1902</v>
      </c>
      <c r="E120" s="95" t="s">
        <v>642</v>
      </c>
      <c r="F120" s="95" t="s">
        <v>70</v>
      </c>
      <c r="H120" s="95" t="s">
        <v>857</v>
      </c>
      <c r="I120" s="248" t="s">
        <v>1889</v>
      </c>
      <c r="N120" s="218">
        <v>43871.754166666666</v>
      </c>
    </row>
    <row r="121" spans="1:14" ht="14.4" customHeight="1" x14ac:dyDescent="0.3">
      <c r="A121" s="95" t="s">
        <v>185</v>
      </c>
      <c r="B121" s="95">
        <v>1010512</v>
      </c>
      <c r="C121" s="95" t="s">
        <v>1903</v>
      </c>
      <c r="D121" s="95" t="s">
        <v>621</v>
      </c>
      <c r="E121" s="95" t="s">
        <v>642</v>
      </c>
      <c r="F121" s="95" t="s">
        <v>70</v>
      </c>
      <c r="H121" s="95" t="s">
        <v>857</v>
      </c>
      <c r="I121" s="248" t="s">
        <v>1889</v>
      </c>
      <c r="N121" s="218">
        <v>43871.734027777777</v>
      </c>
    </row>
    <row r="122" spans="1:14" ht="14.4" customHeight="1" x14ac:dyDescent="0.3">
      <c r="A122" s="95" t="s">
        <v>185</v>
      </c>
      <c r="B122" s="95">
        <v>1002533</v>
      </c>
      <c r="C122" s="95" t="s">
        <v>1618</v>
      </c>
      <c r="D122" s="95" t="s">
        <v>952</v>
      </c>
      <c r="E122" s="95" t="s">
        <v>642</v>
      </c>
      <c r="F122" s="95" t="s">
        <v>70</v>
      </c>
      <c r="H122" s="95" t="s">
        <v>758</v>
      </c>
      <c r="I122" s="95" t="s">
        <v>1741</v>
      </c>
      <c r="M122" s="95" t="s">
        <v>812</v>
      </c>
      <c r="N122" s="218">
        <v>43858.640277777777</v>
      </c>
    </row>
    <row r="123" spans="1:14" ht="14.4" customHeight="1" x14ac:dyDescent="0.3">
      <c r="A123" s="95" t="s">
        <v>185</v>
      </c>
      <c r="B123" s="95">
        <v>1010517</v>
      </c>
      <c r="C123" s="95" t="s">
        <v>1904</v>
      </c>
      <c r="D123" s="95" t="s">
        <v>591</v>
      </c>
      <c r="E123" s="95" t="s">
        <v>642</v>
      </c>
      <c r="F123" s="95" t="s">
        <v>70</v>
      </c>
      <c r="H123" s="95" t="s">
        <v>857</v>
      </c>
      <c r="I123" s="95" t="s">
        <v>1889</v>
      </c>
      <c r="N123" s="218">
        <v>43871.761111111111</v>
      </c>
    </row>
    <row r="124" spans="1:14" ht="14.4" customHeight="1" x14ac:dyDescent="0.3">
      <c r="A124" s="95" t="s">
        <v>185</v>
      </c>
      <c r="B124" s="95">
        <v>1010508</v>
      </c>
      <c r="C124" s="95" t="s">
        <v>1905</v>
      </c>
      <c r="D124" s="95" t="s">
        <v>104</v>
      </c>
      <c r="E124" s="95" t="s">
        <v>642</v>
      </c>
      <c r="F124" s="95" t="s">
        <v>70</v>
      </c>
      <c r="H124" s="95" t="s">
        <v>857</v>
      </c>
      <c r="I124" s="95" t="s">
        <v>1889</v>
      </c>
      <c r="N124" s="218">
        <v>43871.716666666667</v>
      </c>
    </row>
    <row r="125" spans="1:14" ht="14.4" customHeight="1" x14ac:dyDescent="0.3">
      <c r="A125" s="95" t="s">
        <v>185</v>
      </c>
      <c r="B125" s="95">
        <v>392268</v>
      </c>
      <c r="C125" s="95" t="s">
        <v>1906</v>
      </c>
      <c r="D125" s="95" t="s">
        <v>352</v>
      </c>
      <c r="E125" s="95" t="s">
        <v>642</v>
      </c>
      <c r="F125" s="95" t="s">
        <v>70</v>
      </c>
      <c r="G125" s="95" t="s">
        <v>1694</v>
      </c>
      <c r="H125" s="95" t="s">
        <v>857</v>
      </c>
      <c r="I125" s="95" t="s">
        <v>2083</v>
      </c>
      <c r="J125" s="95" t="s">
        <v>808</v>
      </c>
      <c r="M125" s="95" t="s">
        <v>811</v>
      </c>
      <c r="N125" s="218">
        <v>43892.684027777781</v>
      </c>
    </row>
    <row r="126" spans="1:14" ht="14.4" customHeight="1" x14ac:dyDescent="0.3">
      <c r="A126" s="95" t="s">
        <v>185</v>
      </c>
      <c r="B126" s="95">
        <v>390110</v>
      </c>
      <c r="C126" s="95" t="s">
        <v>1619</v>
      </c>
      <c r="D126" s="95" t="s">
        <v>211</v>
      </c>
      <c r="E126" s="95" t="s">
        <v>642</v>
      </c>
      <c r="F126" s="95" t="s">
        <v>70</v>
      </c>
      <c r="H126" s="95" t="s">
        <v>857</v>
      </c>
      <c r="I126" s="95" t="s">
        <v>2084</v>
      </c>
      <c r="J126" s="95" t="s">
        <v>808</v>
      </c>
      <c r="M126" s="95" t="s">
        <v>812</v>
      </c>
      <c r="N126" s="218">
        <v>43902.404861111114</v>
      </c>
    </row>
    <row r="127" spans="1:14" ht="14.4" customHeight="1" x14ac:dyDescent="0.3">
      <c r="A127" s="95" t="s">
        <v>185</v>
      </c>
      <c r="B127" s="95">
        <v>390098</v>
      </c>
      <c r="C127" s="95" t="s">
        <v>1620</v>
      </c>
      <c r="D127" s="95" t="s">
        <v>200</v>
      </c>
      <c r="E127" s="95" t="s">
        <v>642</v>
      </c>
      <c r="F127" s="95" t="s">
        <v>70</v>
      </c>
      <c r="H127" s="95" t="s">
        <v>857</v>
      </c>
      <c r="I127" s="95" t="s">
        <v>2163</v>
      </c>
      <c r="J127" s="95" t="s">
        <v>808</v>
      </c>
      <c r="M127" s="95" t="s">
        <v>809</v>
      </c>
      <c r="N127" s="218">
        <v>43902.404861111114</v>
      </c>
    </row>
    <row r="128" spans="1:14" ht="14.4" customHeight="1" x14ac:dyDescent="0.3">
      <c r="A128" s="95" t="s">
        <v>185</v>
      </c>
      <c r="B128" s="95">
        <v>1010509</v>
      </c>
      <c r="C128" s="95" t="s">
        <v>1907</v>
      </c>
      <c r="D128" s="95" t="s">
        <v>356</v>
      </c>
      <c r="E128" s="95" t="s">
        <v>642</v>
      </c>
      <c r="F128" s="95" t="s">
        <v>70</v>
      </c>
      <c r="H128" s="95" t="s">
        <v>857</v>
      </c>
      <c r="I128" s="95" t="s">
        <v>1889</v>
      </c>
      <c r="N128" s="218">
        <v>43871.718055555553</v>
      </c>
    </row>
    <row r="129" spans="1:14" ht="14.4" customHeight="1" x14ac:dyDescent="0.3">
      <c r="A129" s="95" t="s">
        <v>185</v>
      </c>
      <c r="B129" s="95">
        <v>1010344</v>
      </c>
      <c r="C129" s="95" t="s">
        <v>1908</v>
      </c>
      <c r="D129" s="95" t="s">
        <v>807</v>
      </c>
      <c r="E129" s="95" t="s">
        <v>642</v>
      </c>
      <c r="F129" s="95" t="s">
        <v>70</v>
      </c>
      <c r="H129" s="95" t="s">
        <v>857</v>
      </c>
      <c r="I129" s="95" t="s">
        <v>1909</v>
      </c>
      <c r="J129" s="95" t="s">
        <v>813</v>
      </c>
      <c r="M129" s="95" t="s">
        <v>812</v>
      </c>
      <c r="N129" s="218">
        <v>43871.060416666667</v>
      </c>
    </row>
    <row r="130" spans="1:14" ht="14.4" customHeight="1" x14ac:dyDescent="0.3">
      <c r="A130" s="95" t="s">
        <v>185</v>
      </c>
      <c r="B130" s="95">
        <v>1010347</v>
      </c>
      <c r="C130" s="95" t="s">
        <v>1910</v>
      </c>
      <c r="D130" s="95" t="s">
        <v>807</v>
      </c>
      <c r="E130" s="95" t="s">
        <v>642</v>
      </c>
      <c r="F130" s="95" t="s">
        <v>70</v>
      </c>
      <c r="H130" s="95" t="s">
        <v>857</v>
      </c>
      <c r="I130" s="95" t="s">
        <v>1909</v>
      </c>
      <c r="J130" s="95" t="s">
        <v>813</v>
      </c>
      <c r="M130" s="95" t="s">
        <v>1688</v>
      </c>
      <c r="N130" s="218">
        <v>43871.074305555558</v>
      </c>
    </row>
    <row r="131" spans="1:14" ht="14.4" customHeight="1" x14ac:dyDescent="0.3">
      <c r="A131" s="95" t="s">
        <v>185</v>
      </c>
      <c r="B131" s="95">
        <v>1010348</v>
      </c>
      <c r="C131" s="95" t="s">
        <v>1911</v>
      </c>
      <c r="D131" s="95" t="s">
        <v>807</v>
      </c>
      <c r="E131" s="95" t="s">
        <v>642</v>
      </c>
      <c r="F131" s="95" t="s">
        <v>70</v>
      </c>
      <c r="H131" s="95" t="s">
        <v>857</v>
      </c>
      <c r="I131" s="95" t="s">
        <v>1909</v>
      </c>
      <c r="J131" s="95" t="s">
        <v>813</v>
      </c>
      <c r="M131" s="95" t="s">
        <v>812</v>
      </c>
      <c r="N131" s="218">
        <v>43871.084722222222</v>
      </c>
    </row>
    <row r="132" spans="1:14" ht="14.4" customHeight="1" x14ac:dyDescent="0.3">
      <c r="A132" s="95" t="s">
        <v>185</v>
      </c>
      <c r="B132" s="95">
        <v>1010350</v>
      </c>
      <c r="C132" s="95" t="s">
        <v>1912</v>
      </c>
      <c r="D132" s="95" t="s">
        <v>807</v>
      </c>
      <c r="E132" s="95" t="s">
        <v>642</v>
      </c>
      <c r="F132" s="95" t="s">
        <v>70</v>
      </c>
      <c r="H132" s="95" t="s">
        <v>857</v>
      </c>
      <c r="I132" s="95" t="s">
        <v>1909</v>
      </c>
      <c r="J132" s="95" t="s">
        <v>813</v>
      </c>
      <c r="M132" s="95" t="s">
        <v>812</v>
      </c>
      <c r="N132" s="218">
        <v>43871.093055555553</v>
      </c>
    </row>
    <row r="133" spans="1:14" ht="14.4" customHeight="1" x14ac:dyDescent="0.3">
      <c r="A133" s="95" t="s">
        <v>185</v>
      </c>
      <c r="B133" s="95">
        <v>1013894</v>
      </c>
      <c r="C133" s="95" t="s">
        <v>2085</v>
      </c>
      <c r="D133" s="95" t="s">
        <v>807</v>
      </c>
      <c r="E133" s="95" t="s">
        <v>642</v>
      </c>
      <c r="F133" s="95" t="s">
        <v>70</v>
      </c>
      <c r="H133" s="95" t="s">
        <v>857</v>
      </c>
      <c r="I133" s="95" t="s">
        <v>2064</v>
      </c>
      <c r="J133" s="95" t="s">
        <v>813</v>
      </c>
      <c r="M133" s="95" t="s">
        <v>1691</v>
      </c>
      <c r="N133" s="218">
        <v>43894.21597222222</v>
      </c>
    </row>
    <row r="134" spans="1:14" ht="14.4" customHeight="1" x14ac:dyDescent="0.3">
      <c r="A134" s="95" t="s">
        <v>185</v>
      </c>
      <c r="B134" s="95">
        <v>1013893</v>
      </c>
      <c r="C134" s="95" t="s">
        <v>2086</v>
      </c>
      <c r="D134" s="95" t="s">
        <v>807</v>
      </c>
      <c r="E134" s="95" t="s">
        <v>642</v>
      </c>
      <c r="F134" s="95" t="s">
        <v>70</v>
      </c>
      <c r="H134" s="95" t="s">
        <v>857</v>
      </c>
      <c r="I134" s="95" t="s">
        <v>2064</v>
      </c>
      <c r="J134" s="95" t="s">
        <v>813</v>
      </c>
      <c r="K134" s="95" t="s">
        <v>2016</v>
      </c>
      <c r="M134" s="95" t="s">
        <v>1691</v>
      </c>
      <c r="N134" s="218">
        <v>43894.214583333334</v>
      </c>
    </row>
    <row r="135" spans="1:14" ht="14.4" customHeight="1" x14ac:dyDescent="0.3">
      <c r="A135" s="95" t="s">
        <v>185</v>
      </c>
      <c r="B135" s="95">
        <v>1013892</v>
      </c>
      <c r="C135" s="95" t="s">
        <v>2087</v>
      </c>
      <c r="D135" s="95" t="s">
        <v>807</v>
      </c>
      <c r="E135" s="95" t="s">
        <v>642</v>
      </c>
      <c r="F135" s="95" t="s">
        <v>70</v>
      </c>
      <c r="H135" s="95" t="s">
        <v>857</v>
      </c>
      <c r="I135" s="95" t="s">
        <v>2064</v>
      </c>
      <c r="J135" s="95" t="s">
        <v>813</v>
      </c>
      <c r="K135" s="95" t="s">
        <v>2016</v>
      </c>
      <c r="M135" s="95" t="s">
        <v>1691</v>
      </c>
      <c r="N135" s="218">
        <v>43894.212500000001</v>
      </c>
    </row>
    <row r="136" spans="1:14" ht="14.4" customHeight="1" x14ac:dyDescent="0.3">
      <c r="A136" s="95" t="s">
        <v>185</v>
      </c>
      <c r="B136" s="95">
        <v>391012</v>
      </c>
      <c r="C136" s="95" t="s">
        <v>2088</v>
      </c>
      <c r="D136" s="95" t="s">
        <v>807</v>
      </c>
      <c r="E136" s="95" t="s">
        <v>642</v>
      </c>
      <c r="F136" s="95" t="s">
        <v>70</v>
      </c>
      <c r="H136" s="95" t="s">
        <v>857</v>
      </c>
      <c r="I136" s="95" t="s">
        <v>2064</v>
      </c>
      <c r="J136" s="95" t="s">
        <v>813</v>
      </c>
      <c r="M136" s="95" t="s">
        <v>1691</v>
      </c>
      <c r="N136" s="218">
        <v>43894.211111111108</v>
      </c>
    </row>
    <row r="137" spans="1:14" ht="14.4" customHeight="1" x14ac:dyDescent="0.3">
      <c r="A137" s="95" t="s">
        <v>185</v>
      </c>
      <c r="B137" s="95">
        <v>1010345</v>
      </c>
      <c r="C137" s="95" t="s">
        <v>1913</v>
      </c>
      <c r="D137" s="95" t="s">
        <v>807</v>
      </c>
      <c r="E137" s="95" t="s">
        <v>642</v>
      </c>
      <c r="F137" s="95" t="s">
        <v>70</v>
      </c>
      <c r="H137" s="95" t="s">
        <v>857</v>
      </c>
      <c r="I137" s="95" t="s">
        <v>1909</v>
      </c>
      <c r="J137" s="95" t="s">
        <v>813</v>
      </c>
      <c r="M137" s="95" t="s">
        <v>1688</v>
      </c>
      <c r="N137" s="218">
        <v>43871.061805555553</v>
      </c>
    </row>
    <row r="138" spans="1:14" ht="14.4" customHeight="1" x14ac:dyDescent="0.3">
      <c r="A138" s="95" t="s">
        <v>185</v>
      </c>
      <c r="B138" s="95">
        <v>1010346</v>
      </c>
      <c r="C138" s="95" t="s">
        <v>1914</v>
      </c>
      <c r="D138" s="95" t="s">
        <v>807</v>
      </c>
      <c r="E138" s="95" t="s">
        <v>642</v>
      </c>
      <c r="F138" s="95" t="s">
        <v>70</v>
      </c>
      <c r="H138" s="95" t="s">
        <v>857</v>
      </c>
      <c r="I138" s="95" t="s">
        <v>1909</v>
      </c>
      <c r="J138" s="95" t="s">
        <v>813</v>
      </c>
      <c r="M138" s="95" t="s">
        <v>1688</v>
      </c>
      <c r="N138" s="218">
        <v>43871.071527777778</v>
      </c>
    </row>
    <row r="139" spans="1:14" ht="14.4" customHeight="1" x14ac:dyDescent="0.3">
      <c r="A139" s="95" t="s">
        <v>185</v>
      </c>
      <c r="B139" s="95">
        <v>1010349</v>
      </c>
      <c r="C139" s="95" t="s">
        <v>1915</v>
      </c>
      <c r="D139" s="95" t="s">
        <v>807</v>
      </c>
      <c r="E139" s="95" t="s">
        <v>642</v>
      </c>
      <c r="F139" s="95" t="s">
        <v>70</v>
      </c>
      <c r="H139" s="95" t="s">
        <v>857</v>
      </c>
      <c r="I139" s="95" t="s">
        <v>1909</v>
      </c>
      <c r="J139" s="95" t="s">
        <v>813</v>
      </c>
      <c r="M139" s="95" t="s">
        <v>1688</v>
      </c>
      <c r="N139" s="218">
        <v>43871.087500000001</v>
      </c>
    </row>
    <row r="140" spans="1:14" ht="14.4" customHeight="1" x14ac:dyDescent="0.3">
      <c r="A140" s="95" t="s">
        <v>185</v>
      </c>
      <c r="B140" s="95">
        <v>1010351</v>
      </c>
      <c r="C140" s="95" t="s">
        <v>1916</v>
      </c>
      <c r="D140" s="95" t="s">
        <v>807</v>
      </c>
      <c r="E140" s="95" t="s">
        <v>642</v>
      </c>
      <c r="F140" s="95" t="s">
        <v>70</v>
      </c>
      <c r="H140" s="95" t="s">
        <v>857</v>
      </c>
      <c r="I140" s="95" t="s">
        <v>1909</v>
      </c>
      <c r="J140" s="95" t="s">
        <v>813</v>
      </c>
      <c r="M140" s="95" t="s">
        <v>1688</v>
      </c>
      <c r="N140" s="218">
        <v>43871.093055555553</v>
      </c>
    </row>
    <row r="141" spans="1:14" ht="14.4" customHeight="1" x14ac:dyDescent="0.3">
      <c r="A141" s="95" t="s">
        <v>185</v>
      </c>
      <c r="B141" s="95">
        <v>1014777</v>
      </c>
      <c r="C141" s="95" t="s">
        <v>2164</v>
      </c>
      <c r="D141" s="95" t="s">
        <v>807</v>
      </c>
      <c r="E141" s="95" t="s">
        <v>642</v>
      </c>
      <c r="F141" s="95" t="s">
        <v>70</v>
      </c>
      <c r="H141" s="95" t="s">
        <v>857</v>
      </c>
      <c r="I141" s="95" t="s">
        <v>2165</v>
      </c>
      <c r="J141" s="95" t="s">
        <v>813</v>
      </c>
      <c r="N141" s="218">
        <v>43902.349305555559</v>
      </c>
    </row>
    <row r="142" spans="1:14" ht="14.4" customHeight="1" x14ac:dyDescent="0.3">
      <c r="A142" s="95" t="s">
        <v>185</v>
      </c>
      <c r="B142" s="95">
        <v>1010395</v>
      </c>
      <c r="C142" s="95" t="s">
        <v>1917</v>
      </c>
      <c r="D142" s="95" t="s">
        <v>1695</v>
      </c>
      <c r="E142" s="95" t="s">
        <v>642</v>
      </c>
      <c r="F142" s="95" t="s">
        <v>70</v>
      </c>
      <c r="H142" s="95" t="s">
        <v>857</v>
      </c>
      <c r="I142" s="95" t="s">
        <v>2166</v>
      </c>
      <c r="N142" s="218">
        <v>43902.392361111109</v>
      </c>
    </row>
    <row r="143" spans="1:14" ht="14.4" customHeight="1" x14ac:dyDescent="0.3">
      <c r="A143" s="95" t="s">
        <v>185</v>
      </c>
      <c r="B143" s="95">
        <v>390019</v>
      </c>
      <c r="C143" s="95" t="s">
        <v>1621</v>
      </c>
      <c r="D143" s="95" t="s">
        <v>1177</v>
      </c>
      <c r="E143" s="95" t="s">
        <v>642</v>
      </c>
      <c r="F143" s="95" t="s">
        <v>70</v>
      </c>
      <c r="H143" s="95" t="s">
        <v>857</v>
      </c>
      <c r="I143" s="95" t="s">
        <v>2281</v>
      </c>
      <c r="J143" s="95" t="s">
        <v>813</v>
      </c>
      <c r="M143" s="95" t="s">
        <v>811</v>
      </c>
      <c r="N143" s="218">
        <v>43908.476388888892</v>
      </c>
    </row>
    <row r="144" spans="1:14" ht="14.4" customHeight="1" x14ac:dyDescent="0.3">
      <c r="A144" s="95" t="s">
        <v>185</v>
      </c>
      <c r="B144" s="95">
        <v>1013888</v>
      </c>
      <c r="C144" s="95" t="s">
        <v>2089</v>
      </c>
      <c r="D144" s="95" t="s">
        <v>807</v>
      </c>
      <c r="E144" s="95" t="s">
        <v>642</v>
      </c>
      <c r="F144" s="95" t="s">
        <v>70</v>
      </c>
      <c r="H144" s="95" t="s">
        <v>857</v>
      </c>
      <c r="I144" s="95" t="s">
        <v>2064</v>
      </c>
      <c r="J144" s="95" t="s">
        <v>808</v>
      </c>
      <c r="K144" s="95" t="s">
        <v>1877</v>
      </c>
      <c r="M144" s="95" t="s">
        <v>1655</v>
      </c>
      <c r="N144" s="218">
        <v>43894.185416666667</v>
      </c>
    </row>
    <row r="145" spans="1:14" ht="14.4" customHeight="1" x14ac:dyDescent="0.3">
      <c r="A145" s="95" t="s">
        <v>185</v>
      </c>
      <c r="B145" s="95">
        <v>393686</v>
      </c>
      <c r="C145" s="95" t="s">
        <v>1622</v>
      </c>
      <c r="D145" s="95" t="s">
        <v>627</v>
      </c>
      <c r="E145" s="95" t="s">
        <v>642</v>
      </c>
      <c r="F145" s="95" t="s">
        <v>70</v>
      </c>
      <c r="H145" s="95" t="s">
        <v>857</v>
      </c>
      <c r="I145" s="95" t="s">
        <v>2282</v>
      </c>
      <c r="J145" s="95" t="s">
        <v>808</v>
      </c>
      <c r="M145" s="95" t="s">
        <v>811</v>
      </c>
      <c r="N145" s="218">
        <v>43908.368750000001</v>
      </c>
    </row>
    <row r="146" spans="1:14" ht="14.4" customHeight="1" x14ac:dyDescent="0.3">
      <c r="A146" s="95" t="s">
        <v>185</v>
      </c>
      <c r="B146" s="95">
        <v>1014794</v>
      </c>
      <c r="C146" s="95" t="s">
        <v>2167</v>
      </c>
      <c r="D146" s="95" t="s">
        <v>635</v>
      </c>
      <c r="E146" s="95" t="s">
        <v>642</v>
      </c>
      <c r="F146" s="95" t="s">
        <v>70</v>
      </c>
      <c r="H146" s="95" t="s">
        <v>857</v>
      </c>
      <c r="I146" s="95" t="s">
        <v>2168</v>
      </c>
      <c r="J146" s="95" t="s">
        <v>813</v>
      </c>
      <c r="N146" s="218">
        <v>43902.371527777781</v>
      </c>
    </row>
    <row r="147" spans="1:14" ht="14.4" customHeight="1" x14ac:dyDescent="0.3">
      <c r="A147" s="95" t="s">
        <v>185</v>
      </c>
      <c r="B147" s="95">
        <v>1010394</v>
      </c>
      <c r="C147" s="95" t="s">
        <v>1918</v>
      </c>
      <c r="D147" s="95" t="s">
        <v>635</v>
      </c>
      <c r="E147" s="95" t="s">
        <v>642</v>
      </c>
      <c r="F147" s="95" t="s">
        <v>70</v>
      </c>
      <c r="H147" s="95" t="s">
        <v>857</v>
      </c>
      <c r="I147" s="95" t="s">
        <v>2090</v>
      </c>
      <c r="N147" s="218">
        <v>43894.2</v>
      </c>
    </row>
    <row r="148" spans="1:14" ht="14.4" customHeight="1" x14ac:dyDescent="0.3">
      <c r="A148" s="95" t="s">
        <v>185</v>
      </c>
      <c r="B148" s="95">
        <v>376653</v>
      </c>
      <c r="C148" s="95" t="s">
        <v>1623</v>
      </c>
      <c r="D148" s="95" t="s">
        <v>643</v>
      </c>
      <c r="E148" s="95" t="s">
        <v>642</v>
      </c>
      <c r="F148" s="95" t="s">
        <v>70</v>
      </c>
      <c r="G148" s="95" t="s">
        <v>931</v>
      </c>
      <c r="H148" s="95" t="s">
        <v>857</v>
      </c>
      <c r="I148" s="95" t="s">
        <v>1947</v>
      </c>
      <c r="J148" s="95" t="s">
        <v>808</v>
      </c>
      <c r="M148" s="95" t="s">
        <v>809</v>
      </c>
      <c r="N148" s="218">
        <v>43880.399305555555</v>
      </c>
    </row>
    <row r="149" spans="1:14" ht="14.4" customHeight="1" x14ac:dyDescent="0.3">
      <c r="A149" s="95" t="s">
        <v>185</v>
      </c>
      <c r="B149" s="95">
        <v>1012495</v>
      </c>
      <c r="C149" s="95" t="s">
        <v>1948</v>
      </c>
      <c r="D149" s="95" t="s">
        <v>1949</v>
      </c>
      <c r="E149" s="95" t="s">
        <v>642</v>
      </c>
      <c r="F149" s="95" t="s">
        <v>70</v>
      </c>
      <c r="H149" s="95" t="s">
        <v>1950</v>
      </c>
      <c r="I149" s="95" t="s">
        <v>1951</v>
      </c>
      <c r="J149" s="95" t="s">
        <v>813</v>
      </c>
      <c r="M149" s="95" t="s">
        <v>1740</v>
      </c>
      <c r="N149" s="218">
        <v>43886.481944444444</v>
      </c>
    </row>
    <row r="150" spans="1:14" ht="14.4" customHeight="1" x14ac:dyDescent="0.3">
      <c r="A150" s="95" t="s">
        <v>185</v>
      </c>
      <c r="B150" s="95">
        <v>390026</v>
      </c>
      <c r="C150" s="95" t="s">
        <v>2091</v>
      </c>
      <c r="D150" s="95" t="s">
        <v>2092</v>
      </c>
      <c r="E150" s="95" t="s">
        <v>642</v>
      </c>
      <c r="F150" s="95" t="s">
        <v>70</v>
      </c>
      <c r="H150" s="95" t="s">
        <v>857</v>
      </c>
      <c r="I150" s="95" t="s">
        <v>2064</v>
      </c>
      <c r="J150" s="95" t="s">
        <v>808</v>
      </c>
      <c r="M150" s="95" t="s">
        <v>812</v>
      </c>
      <c r="N150" s="218">
        <v>43894.193749999999</v>
      </c>
    </row>
    <row r="151" spans="1:14" ht="14.4" customHeight="1" x14ac:dyDescent="0.3">
      <c r="A151" s="95" t="s">
        <v>185</v>
      </c>
      <c r="B151" s="95">
        <v>1013494</v>
      </c>
      <c r="C151" s="95" t="s">
        <v>2093</v>
      </c>
      <c r="D151" s="95" t="s">
        <v>643</v>
      </c>
      <c r="E151" s="95" t="s">
        <v>642</v>
      </c>
      <c r="F151" s="95" t="s">
        <v>70</v>
      </c>
      <c r="G151" s="95" t="s">
        <v>931</v>
      </c>
      <c r="H151" s="95" t="s">
        <v>857</v>
      </c>
      <c r="I151" s="95" t="s">
        <v>2094</v>
      </c>
      <c r="J151" s="95" t="s">
        <v>808</v>
      </c>
      <c r="M151" s="95" t="s">
        <v>809</v>
      </c>
      <c r="N151" s="218">
        <v>43892.688194444447</v>
      </c>
    </row>
    <row r="152" spans="1:14" ht="14.4" customHeight="1" x14ac:dyDescent="0.3">
      <c r="A152" s="95" t="s">
        <v>185</v>
      </c>
      <c r="B152" s="95">
        <v>1010414</v>
      </c>
      <c r="C152" s="95" t="s">
        <v>1920</v>
      </c>
      <c r="D152" s="95" t="s">
        <v>807</v>
      </c>
      <c r="E152" s="95" t="s">
        <v>642</v>
      </c>
      <c r="F152" s="95" t="s">
        <v>70</v>
      </c>
      <c r="H152" s="95" t="s">
        <v>857</v>
      </c>
      <c r="I152" s="95" t="s">
        <v>1952</v>
      </c>
      <c r="N152" s="218">
        <v>43880.399305555555</v>
      </c>
    </row>
    <row r="153" spans="1:14" ht="14.4" customHeight="1" x14ac:dyDescent="0.3">
      <c r="A153" s="95" t="s">
        <v>185</v>
      </c>
      <c r="B153" s="95">
        <v>1015217</v>
      </c>
      <c r="C153" s="95" t="s">
        <v>2238</v>
      </c>
      <c r="D153" s="95" t="s">
        <v>328</v>
      </c>
      <c r="E153" s="95" t="s">
        <v>642</v>
      </c>
      <c r="F153" s="95" t="s">
        <v>70</v>
      </c>
      <c r="H153" s="95" t="s">
        <v>758</v>
      </c>
      <c r="I153" s="95" t="s">
        <v>2239</v>
      </c>
      <c r="M153" s="95" t="s">
        <v>812</v>
      </c>
      <c r="N153" s="218">
        <v>43906.897916666669</v>
      </c>
    </row>
    <row r="154" spans="1:14" ht="14.4" customHeight="1" x14ac:dyDescent="0.3">
      <c r="A154" s="95" t="s">
        <v>185</v>
      </c>
      <c r="B154" s="95">
        <v>1010388</v>
      </c>
      <c r="C154" s="95" t="s">
        <v>1921</v>
      </c>
      <c r="D154" s="95" t="s">
        <v>807</v>
      </c>
      <c r="E154" s="95" t="s">
        <v>642</v>
      </c>
      <c r="F154" s="95" t="s">
        <v>70</v>
      </c>
      <c r="H154" s="95" t="s">
        <v>857</v>
      </c>
      <c r="I154" s="95" t="s">
        <v>1953</v>
      </c>
      <c r="N154" s="218">
        <v>43880.399305555555</v>
      </c>
    </row>
    <row r="155" spans="1:14" ht="14.4" customHeight="1" x14ac:dyDescent="0.3">
      <c r="A155" s="95" t="s">
        <v>185</v>
      </c>
      <c r="B155" s="95">
        <v>1012757</v>
      </c>
      <c r="C155" s="95" t="s">
        <v>2095</v>
      </c>
      <c r="D155" s="95" t="s">
        <v>807</v>
      </c>
      <c r="E155" s="95" t="s">
        <v>642</v>
      </c>
      <c r="F155" s="95" t="s">
        <v>70</v>
      </c>
      <c r="H155" s="95" t="s">
        <v>857</v>
      </c>
      <c r="I155" s="95" t="s">
        <v>2061</v>
      </c>
      <c r="N155" s="218">
        <v>43887.585416666669</v>
      </c>
    </row>
    <row r="156" spans="1:14" ht="14.4" customHeight="1" x14ac:dyDescent="0.3">
      <c r="A156" s="95" t="s">
        <v>185</v>
      </c>
      <c r="B156" s="95">
        <v>1008074</v>
      </c>
      <c r="C156" s="95" t="s">
        <v>1624</v>
      </c>
      <c r="D156" s="95" t="s">
        <v>206</v>
      </c>
      <c r="E156" s="95" t="s">
        <v>642</v>
      </c>
      <c r="F156" s="95" t="s">
        <v>70</v>
      </c>
      <c r="H156" s="95" t="s">
        <v>857</v>
      </c>
      <c r="I156" s="95" t="s">
        <v>1742</v>
      </c>
      <c r="J156" s="95" t="s">
        <v>808</v>
      </c>
      <c r="M156" s="95" t="s">
        <v>811</v>
      </c>
      <c r="N156" s="218">
        <v>43859.576388888891</v>
      </c>
    </row>
    <row r="157" spans="1:14" ht="14.4" customHeight="1" x14ac:dyDescent="0.3">
      <c r="A157" s="95" t="s">
        <v>185</v>
      </c>
      <c r="B157" s="95">
        <v>1014770</v>
      </c>
      <c r="C157" s="95" t="s">
        <v>2169</v>
      </c>
      <c r="D157" s="95" t="s">
        <v>2170</v>
      </c>
      <c r="E157" s="95" t="s">
        <v>642</v>
      </c>
      <c r="F157" s="95" t="s">
        <v>70</v>
      </c>
      <c r="H157" s="95" t="s">
        <v>857</v>
      </c>
      <c r="I157" s="95" t="s">
        <v>2171</v>
      </c>
      <c r="J157" s="95" t="s">
        <v>813</v>
      </c>
      <c r="N157" s="218">
        <v>43902.341666666667</v>
      </c>
    </row>
    <row r="158" spans="1:14" ht="14.4" customHeight="1" x14ac:dyDescent="0.3">
      <c r="A158" s="95" t="s">
        <v>185</v>
      </c>
      <c r="B158" s="95">
        <v>1010415</v>
      </c>
      <c r="C158" s="95" t="s">
        <v>1922</v>
      </c>
      <c r="D158" s="95" t="s">
        <v>807</v>
      </c>
      <c r="E158" s="95" t="s">
        <v>642</v>
      </c>
      <c r="F158" s="95" t="s">
        <v>70</v>
      </c>
      <c r="H158" s="95" t="s">
        <v>857</v>
      </c>
      <c r="I158" s="95" t="s">
        <v>1954</v>
      </c>
      <c r="N158" s="218">
        <v>43880.399305555555</v>
      </c>
    </row>
    <row r="159" spans="1:14" ht="14.4" customHeight="1" x14ac:dyDescent="0.3">
      <c r="A159" s="95" t="s">
        <v>185</v>
      </c>
      <c r="B159" s="95">
        <v>1010416</v>
      </c>
      <c r="C159" s="95" t="s">
        <v>1923</v>
      </c>
      <c r="D159" s="95" t="s">
        <v>807</v>
      </c>
      <c r="E159" s="95" t="s">
        <v>642</v>
      </c>
      <c r="F159" s="95" t="s">
        <v>70</v>
      </c>
      <c r="H159" s="95" t="s">
        <v>857</v>
      </c>
      <c r="I159" s="95" t="s">
        <v>1955</v>
      </c>
      <c r="N159" s="218">
        <v>43880.399305555555</v>
      </c>
    </row>
    <row r="160" spans="1:14" ht="14.4" customHeight="1" x14ac:dyDescent="0.3">
      <c r="A160" s="95" t="s">
        <v>185</v>
      </c>
      <c r="B160" s="95">
        <v>1010511</v>
      </c>
      <c r="C160" s="95" t="s">
        <v>2283</v>
      </c>
      <c r="D160" s="95" t="s">
        <v>897</v>
      </c>
      <c r="E160" s="95" t="s">
        <v>642</v>
      </c>
      <c r="F160" s="95" t="s">
        <v>70</v>
      </c>
      <c r="H160" s="95" t="s">
        <v>857</v>
      </c>
      <c r="I160" s="95" t="s">
        <v>2279</v>
      </c>
      <c r="N160" s="218">
        <v>43908.37222222222</v>
      </c>
    </row>
    <row r="161" ht="14.4" customHeight="1" x14ac:dyDescent="0.3"/>
    <row r="162" ht="14.4" customHeight="1" x14ac:dyDescent="0.3"/>
    <row r="163" ht="14.4" customHeight="1" x14ac:dyDescent="0.3"/>
    <row r="164" ht="14.4" customHeight="1" x14ac:dyDescent="0.3"/>
    <row r="165" ht="14.4" customHeight="1" x14ac:dyDescent="0.3"/>
    <row r="166" ht="14.4" customHeight="1" x14ac:dyDescent="0.3"/>
    <row r="167" ht="14.4" customHeight="1" x14ac:dyDescent="0.3"/>
    <row r="168" ht="14.4" customHeight="1" x14ac:dyDescent="0.3"/>
    <row r="169" ht="14.4" customHeight="1" x14ac:dyDescent="0.3"/>
    <row r="170" ht="14.4" customHeight="1" x14ac:dyDescent="0.3"/>
    <row r="171" ht="14.4" customHeight="1" x14ac:dyDescent="0.3"/>
    <row r="172" ht="14.4" customHeight="1" x14ac:dyDescent="0.3"/>
    <row r="173" ht="14.4" customHeight="1" x14ac:dyDescent="0.3"/>
    <row r="174" ht="14.4" customHeight="1" x14ac:dyDescent="0.3"/>
    <row r="175" ht="14.4" customHeight="1" x14ac:dyDescent="0.3"/>
    <row r="176" ht="14.4" customHeight="1" x14ac:dyDescent="0.3"/>
    <row r="177" ht="14.4" customHeight="1" x14ac:dyDescent="0.3"/>
    <row r="178" ht="14.4" customHeight="1" x14ac:dyDescent="0.3"/>
    <row r="179" ht="14.4" customHeight="1" x14ac:dyDescent="0.3"/>
    <row r="180" ht="14.4" customHeight="1" x14ac:dyDescent="0.3"/>
    <row r="181" ht="14.4" customHeight="1" x14ac:dyDescent="0.3"/>
    <row r="182" ht="14.4" customHeight="1" x14ac:dyDescent="0.3"/>
    <row r="183" ht="14.4" customHeight="1" x14ac:dyDescent="0.3"/>
    <row r="184" ht="14.4" customHeight="1" x14ac:dyDescent="0.3"/>
    <row r="185" ht="14.4" customHeight="1" x14ac:dyDescent="0.3"/>
    <row r="186" ht="14.4" customHeight="1" x14ac:dyDescent="0.3"/>
    <row r="187" ht="14.4" customHeight="1" x14ac:dyDescent="0.3"/>
    <row r="188" ht="14.4" customHeight="1" x14ac:dyDescent="0.3"/>
    <row r="189" ht="14.4" customHeight="1" x14ac:dyDescent="0.3"/>
    <row r="190" ht="14.4" customHeight="1" x14ac:dyDescent="0.3"/>
    <row r="191" ht="14.4" customHeight="1" x14ac:dyDescent="0.3"/>
    <row r="192" ht="14.4" customHeight="1" x14ac:dyDescent="0.3"/>
    <row r="193" ht="14.4" customHeight="1" x14ac:dyDescent="0.3"/>
    <row r="194" ht="14.4" customHeight="1" x14ac:dyDescent="0.3"/>
    <row r="195" ht="14.4" customHeight="1" x14ac:dyDescent="0.3"/>
    <row r="196" ht="14.4" customHeight="1" x14ac:dyDescent="0.3"/>
    <row r="197" ht="14.4" customHeight="1" x14ac:dyDescent="0.3"/>
    <row r="198" ht="14.4" customHeight="1" x14ac:dyDescent="0.3"/>
    <row r="199" ht="14.4" customHeight="1" x14ac:dyDescent="0.3"/>
    <row r="200" ht="14.4" customHeight="1" x14ac:dyDescent="0.3"/>
    <row r="201" ht="14.4" customHeight="1" x14ac:dyDescent="0.3"/>
    <row r="202" ht="14.4" customHeight="1" x14ac:dyDescent="0.3"/>
    <row r="203" ht="14.4" customHeight="1" x14ac:dyDescent="0.3"/>
    <row r="204" ht="14.4" customHeight="1" x14ac:dyDescent="0.3"/>
    <row r="205" ht="14.4" customHeight="1" x14ac:dyDescent="0.3"/>
    <row r="206" ht="14.4" customHeight="1" x14ac:dyDescent="0.3"/>
    <row r="207" ht="14.4" customHeight="1" x14ac:dyDescent="0.3"/>
    <row r="208" ht="14.4" customHeight="1" x14ac:dyDescent="0.3"/>
    <row r="209" ht="14.4" customHeight="1" x14ac:dyDescent="0.3"/>
    <row r="210" ht="14.4" customHeight="1" x14ac:dyDescent="0.3"/>
    <row r="211" ht="14.4" customHeight="1" x14ac:dyDescent="0.3"/>
    <row r="212" ht="14.4" customHeight="1" x14ac:dyDescent="0.3"/>
    <row r="213" ht="14.4" customHeight="1" x14ac:dyDescent="0.3"/>
    <row r="214" ht="14.4" customHeight="1" x14ac:dyDescent="0.3"/>
    <row r="215" ht="14.4" customHeight="1" x14ac:dyDescent="0.3"/>
    <row r="216" ht="14.4" customHeight="1" x14ac:dyDescent="0.3"/>
    <row r="217" ht="14.4" customHeight="1" x14ac:dyDescent="0.3"/>
    <row r="218" ht="14.4" customHeight="1" x14ac:dyDescent="0.3"/>
    <row r="219" ht="14.4" customHeight="1" x14ac:dyDescent="0.3"/>
    <row r="220" ht="14.4" customHeight="1" x14ac:dyDescent="0.3"/>
    <row r="221" ht="14.4" customHeight="1" x14ac:dyDescent="0.3"/>
    <row r="222" ht="14.4" customHeight="1" x14ac:dyDescent="0.3"/>
    <row r="223" ht="14.4" customHeight="1" x14ac:dyDescent="0.3"/>
    <row r="224" ht="14.4" customHeight="1" x14ac:dyDescent="0.3"/>
    <row r="225" ht="14.4" customHeight="1" x14ac:dyDescent="0.3"/>
    <row r="226" ht="14.4" customHeight="1" x14ac:dyDescent="0.3"/>
    <row r="227" ht="14.4" customHeight="1" x14ac:dyDescent="0.3"/>
    <row r="228" ht="14.4" customHeight="1" x14ac:dyDescent="0.3"/>
    <row r="229" ht="14.4" customHeight="1" x14ac:dyDescent="0.3"/>
    <row r="230" ht="14.4" customHeight="1" x14ac:dyDescent="0.3"/>
    <row r="231" ht="14.4" customHeight="1" x14ac:dyDescent="0.3"/>
    <row r="232" ht="14.4" customHeight="1" x14ac:dyDescent="0.3"/>
    <row r="233" ht="14.4" customHeight="1" x14ac:dyDescent="0.3"/>
    <row r="234" ht="14.4" customHeight="1" x14ac:dyDescent="0.3"/>
    <row r="235" ht="14.4" customHeight="1" x14ac:dyDescent="0.3"/>
    <row r="236" ht="14.4" customHeight="1" x14ac:dyDescent="0.3"/>
    <row r="237" ht="14.4" customHeight="1" x14ac:dyDescent="0.3"/>
    <row r="238" ht="14.4" customHeight="1" x14ac:dyDescent="0.3"/>
    <row r="239" ht="14.4" customHeight="1" x14ac:dyDescent="0.3"/>
    <row r="240" ht="14.4" customHeight="1" x14ac:dyDescent="0.3"/>
    <row r="241" ht="14.4" customHeight="1" x14ac:dyDescent="0.3"/>
    <row r="242" ht="14.4" customHeight="1" x14ac:dyDescent="0.3"/>
    <row r="243" ht="14.4" customHeight="1" x14ac:dyDescent="0.3"/>
    <row r="244" ht="14.4" customHeight="1" x14ac:dyDescent="0.3"/>
    <row r="245" ht="14.4" customHeight="1" x14ac:dyDescent="0.3"/>
    <row r="246" ht="14.4" customHeight="1" x14ac:dyDescent="0.3"/>
    <row r="247" ht="14.4" customHeight="1" x14ac:dyDescent="0.3"/>
    <row r="248" ht="14.4" customHeight="1" x14ac:dyDescent="0.3"/>
    <row r="249" ht="14.4" customHeight="1" x14ac:dyDescent="0.3"/>
    <row r="250" ht="14.4" customHeight="1" x14ac:dyDescent="0.3"/>
    <row r="251" ht="14.4" customHeight="1" x14ac:dyDescent="0.3"/>
    <row r="252" ht="14.4" customHeight="1" x14ac:dyDescent="0.3"/>
    <row r="253" ht="14.4" customHeight="1" x14ac:dyDescent="0.3"/>
    <row r="254" ht="14.4" customHeight="1" x14ac:dyDescent="0.3"/>
    <row r="255" ht="14.4" customHeight="1" x14ac:dyDescent="0.3"/>
    <row r="256" ht="14.4" customHeight="1" x14ac:dyDescent="0.3"/>
    <row r="257" ht="14.4" customHeight="1" x14ac:dyDescent="0.3"/>
    <row r="258" ht="14.4" customHeight="1" x14ac:dyDescent="0.3"/>
    <row r="259" ht="14.4" customHeight="1" x14ac:dyDescent="0.3"/>
    <row r="260" ht="14.4" customHeight="1" x14ac:dyDescent="0.3"/>
    <row r="261" ht="14.4" customHeight="1" x14ac:dyDescent="0.3"/>
    <row r="262" ht="14.4" customHeight="1" x14ac:dyDescent="0.3"/>
    <row r="263" ht="14.4" customHeight="1" x14ac:dyDescent="0.3"/>
    <row r="264" ht="14.4" customHeight="1" x14ac:dyDescent="0.3"/>
    <row r="265" ht="14.4" customHeight="1" x14ac:dyDescent="0.3"/>
    <row r="266" ht="14.4" customHeight="1" x14ac:dyDescent="0.3"/>
    <row r="267" ht="14.4" customHeight="1" x14ac:dyDescent="0.3"/>
    <row r="268" ht="14.4" customHeight="1" x14ac:dyDescent="0.3"/>
    <row r="269" ht="14.4" customHeight="1" x14ac:dyDescent="0.3"/>
    <row r="270" ht="14.4" customHeight="1" x14ac:dyDescent="0.3"/>
    <row r="271" ht="14.4" customHeight="1" x14ac:dyDescent="0.3"/>
    <row r="272" ht="14.4" customHeight="1" x14ac:dyDescent="0.3"/>
    <row r="273" ht="14.4" customHeight="1" x14ac:dyDescent="0.3"/>
    <row r="274" ht="14.4" customHeight="1" x14ac:dyDescent="0.3"/>
    <row r="275" ht="14.4" customHeight="1" x14ac:dyDescent="0.3"/>
    <row r="276" ht="14.4" customHeight="1" x14ac:dyDescent="0.3"/>
    <row r="277" ht="14.4" customHeight="1" x14ac:dyDescent="0.3"/>
    <row r="278" ht="14.4" customHeight="1" x14ac:dyDescent="0.3"/>
    <row r="279" ht="14.4" customHeight="1" x14ac:dyDescent="0.3"/>
    <row r="280" ht="14.4" customHeight="1" x14ac:dyDescent="0.3"/>
    <row r="281" ht="14.4" customHeight="1" x14ac:dyDescent="0.3"/>
    <row r="282" ht="14.4" customHeight="1" x14ac:dyDescent="0.3"/>
    <row r="283" ht="14.4" customHeight="1" x14ac:dyDescent="0.3"/>
    <row r="284" ht="14.4" customHeight="1" x14ac:dyDescent="0.3"/>
    <row r="285" ht="14.4" customHeight="1" x14ac:dyDescent="0.3"/>
    <row r="286" ht="14.4" customHeight="1" x14ac:dyDescent="0.3"/>
    <row r="287" ht="14.4" customHeight="1" x14ac:dyDescent="0.3"/>
    <row r="288" ht="14.4" customHeight="1" x14ac:dyDescent="0.3"/>
    <row r="289" ht="14.4" customHeight="1" x14ac:dyDescent="0.3"/>
    <row r="290" ht="14.4" customHeight="1" x14ac:dyDescent="0.3"/>
    <row r="291" ht="14.4" customHeight="1" x14ac:dyDescent="0.3"/>
    <row r="292" ht="14.4" customHeight="1" x14ac:dyDescent="0.3"/>
    <row r="293" ht="14.4" customHeight="1" x14ac:dyDescent="0.3"/>
    <row r="294" ht="14.4" customHeight="1" x14ac:dyDescent="0.3"/>
    <row r="295" ht="14.4" customHeight="1" x14ac:dyDescent="0.3"/>
    <row r="296" ht="14.4" customHeight="1" x14ac:dyDescent="0.3"/>
    <row r="297" ht="14.4" customHeight="1" x14ac:dyDescent="0.3"/>
    <row r="298" ht="14.4" customHeight="1" x14ac:dyDescent="0.3"/>
    <row r="299" ht="14.4" customHeight="1" x14ac:dyDescent="0.3"/>
    <row r="300" ht="14.4" customHeight="1" x14ac:dyDescent="0.3"/>
    <row r="301" ht="14.4" customHeight="1" x14ac:dyDescent="0.3"/>
    <row r="302" ht="14.4" customHeight="1" x14ac:dyDescent="0.3"/>
    <row r="303" ht="14.4" customHeight="1" x14ac:dyDescent="0.3"/>
    <row r="304" ht="14.4" customHeight="1" x14ac:dyDescent="0.3"/>
    <row r="305" ht="14.4" customHeight="1" x14ac:dyDescent="0.3"/>
    <row r="306" ht="14.4" customHeight="1" x14ac:dyDescent="0.3"/>
    <row r="307" ht="14.4" customHeight="1" x14ac:dyDescent="0.3"/>
    <row r="308" ht="14.4" customHeight="1" x14ac:dyDescent="0.3"/>
    <row r="309" ht="14.4" customHeight="1" x14ac:dyDescent="0.3"/>
    <row r="310" ht="14.4" customHeight="1" x14ac:dyDescent="0.3"/>
    <row r="311" ht="14.4" customHeight="1" x14ac:dyDescent="0.3"/>
    <row r="312" ht="14.4" customHeight="1" x14ac:dyDescent="0.3"/>
    <row r="313" ht="14.4" customHeight="1" x14ac:dyDescent="0.3"/>
    <row r="314" ht="14.4" customHeight="1" x14ac:dyDescent="0.3"/>
    <row r="315" ht="14.4" customHeight="1" x14ac:dyDescent="0.3"/>
    <row r="316" ht="14.4" customHeight="1" x14ac:dyDescent="0.3"/>
    <row r="317" ht="14.4" customHeight="1" x14ac:dyDescent="0.3"/>
    <row r="318" ht="14.4" customHeight="1" x14ac:dyDescent="0.3"/>
    <row r="319" ht="14.4" customHeight="1" x14ac:dyDescent="0.3"/>
    <row r="320" ht="14.4" customHeight="1" x14ac:dyDescent="0.3"/>
    <row r="321" ht="14.4" customHeight="1" x14ac:dyDescent="0.3"/>
    <row r="322" ht="14.4" customHeight="1" x14ac:dyDescent="0.3"/>
    <row r="323" ht="14.4" customHeight="1" x14ac:dyDescent="0.3"/>
    <row r="324" ht="14.4" customHeight="1" x14ac:dyDescent="0.3"/>
    <row r="325" ht="14.4" customHeight="1" x14ac:dyDescent="0.3"/>
    <row r="326" ht="14.4" customHeight="1" x14ac:dyDescent="0.3"/>
    <row r="327" ht="14.4" customHeight="1" x14ac:dyDescent="0.3"/>
    <row r="328" ht="14.4" customHeight="1" x14ac:dyDescent="0.3"/>
    <row r="329" ht="14.4" customHeight="1" x14ac:dyDescent="0.3"/>
    <row r="330" ht="14.4" customHeight="1" x14ac:dyDescent="0.3"/>
    <row r="331" ht="14.4" customHeight="1" x14ac:dyDescent="0.3"/>
    <row r="332" ht="14.4" customHeight="1" x14ac:dyDescent="0.3"/>
    <row r="333" ht="14.4" customHeight="1" x14ac:dyDescent="0.3"/>
    <row r="334" ht="14.4" customHeight="1" x14ac:dyDescent="0.3"/>
    <row r="335" ht="14.4" customHeight="1" x14ac:dyDescent="0.3"/>
    <row r="336" ht="14.4" customHeight="1" x14ac:dyDescent="0.3"/>
    <row r="337" ht="14.4" customHeight="1" x14ac:dyDescent="0.3"/>
    <row r="338" ht="14.4" customHeight="1" x14ac:dyDescent="0.3"/>
    <row r="339" ht="14.4" customHeight="1" x14ac:dyDescent="0.3"/>
    <row r="340" ht="14.4" customHeight="1" x14ac:dyDescent="0.3"/>
    <row r="341" ht="14.4" customHeight="1" x14ac:dyDescent="0.3"/>
    <row r="342" ht="14.4" customHeight="1" x14ac:dyDescent="0.3"/>
    <row r="343" ht="14.4" customHeight="1" x14ac:dyDescent="0.3"/>
    <row r="344" ht="14.4" customHeight="1" x14ac:dyDescent="0.3"/>
    <row r="345" ht="14.4" customHeight="1" x14ac:dyDescent="0.3"/>
    <row r="346" ht="14.4" customHeight="1" x14ac:dyDescent="0.3"/>
    <row r="347" ht="14.4" customHeight="1" x14ac:dyDescent="0.3"/>
    <row r="348" ht="14.4" customHeight="1" x14ac:dyDescent="0.3"/>
    <row r="349" ht="14.4" customHeight="1" x14ac:dyDescent="0.3"/>
    <row r="350" ht="14.4" customHeight="1" x14ac:dyDescent="0.3"/>
    <row r="351" ht="14.4" customHeight="1" x14ac:dyDescent="0.3"/>
    <row r="352" ht="14.4" customHeight="1" x14ac:dyDescent="0.3"/>
    <row r="353" ht="14.4" customHeight="1" x14ac:dyDescent="0.3"/>
    <row r="354" ht="14.4" customHeight="1" x14ac:dyDescent="0.3"/>
    <row r="355" ht="14.4" customHeight="1" x14ac:dyDescent="0.3"/>
    <row r="356" ht="14.4" customHeight="1" x14ac:dyDescent="0.3"/>
    <row r="357" ht="14.4" customHeight="1" x14ac:dyDescent="0.3"/>
    <row r="358" ht="14.4" customHeight="1" x14ac:dyDescent="0.3"/>
    <row r="359" ht="14.4" customHeight="1" x14ac:dyDescent="0.3"/>
    <row r="360" ht="14.4" customHeight="1" x14ac:dyDescent="0.3"/>
    <row r="361" ht="14.4" customHeight="1" x14ac:dyDescent="0.3"/>
    <row r="362" ht="14.4" customHeight="1" x14ac:dyDescent="0.3"/>
    <row r="363" ht="14.4" customHeight="1" x14ac:dyDescent="0.3"/>
    <row r="364" ht="14.4" customHeight="1" x14ac:dyDescent="0.3"/>
    <row r="365" ht="14.4" customHeight="1" x14ac:dyDescent="0.3"/>
    <row r="366" ht="14.4" customHeight="1" x14ac:dyDescent="0.3"/>
    <row r="367" ht="14.4" customHeight="1" x14ac:dyDescent="0.3"/>
    <row r="368" ht="14.4" customHeight="1" x14ac:dyDescent="0.3"/>
    <row r="369" ht="14.4" customHeight="1" x14ac:dyDescent="0.3"/>
    <row r="370" ht="14.4" customHeight="1" x14ac:dyDescent="0.3"/>
    <row r="371" ht="14.4" customHeight="1" x14ac:dyDescent="0.3"/>
    <row r="372" ht="14.4" customHeight="1" x14ac:dyDescent="0.3"/>
    <row r="373" ht="14.4" customHeight="1" x14ac:dyDescent="0.3"/>
    <row r="374" ht="14.4" customHeight="1" x14ac:dyDescent="0.3"/>
    <row r="375" ht="14.4" customHeight="1" x14ac:dyDescent="0.3"/>
    <row r="376" ht="14.4" customHeight="1" x14ac:dyDescent="0.3"/>
    <row r="377" ht="14.4" customHeight="1" x14ac:dyDescent="0.3"/>
    <row r="378" ht="14.4" customHeight="1" x14ac:dyDescent="0.3"/>
    <row r="379" ht="14.4" customHeight="1" x14ac:dyDescent="0.3"/>
    <row r="380" ht="14.4" customHeight="1" x14ac:dyDescent="0.3"/>
    <row r="381" ht="14.4" customHeight="1" x14ac:dyDescent="0.3"/>
    <row r="382" ht="14.4" customHeight="1" x14ac:dyDescent="0.3"/>
    <row r="383" ht="14.4" customHeight="1" x14ac:dyDescent="0.3"/>
    <row r="384" ht="14.4" customHeight="1" x14ac:dyDescent="0.3"/>
    <row r="385" ht="14.4" customHeight="1" x14ac:dyDescent="0.3"/>
    <row r="386" ht="14.4" customHeight="1" x14ac:dyDescent="0.3"/>
    <row r="387" ht="14.4" customHeight="1" x14ac:dyDescent="0.3"/>
    <row r="388" ht="14.4" customHeight="1" x14ac:dyDescent="0.3"/>
    <row r="389" ht="14.4" customHeight="1" x14ac:dyDescent="0.3"/>
    <row r="390" ht="14.4" customHeight="1" x14ac:dyDescent="0.3"/>
    <row r="391" ht="14.4" customHeight="1" x14ac:dyDescent="0.3"/>
    <row r="392" ht="14.4" customHeight="1" x14ac:dyDescent="0.3"/>
    <row r="393" ht="14.4" customHeight="1" x14ac:dyDescent="0.3"/>
    <row r="394" ht="14.4" customHeight="1" x14ac:dyDescent="0.3"/>
    <row r="395" ht="14.4" customHeight="1" x14ac:dyDescent="0.3"/>
    <row r="396" ht="14.4" customHeight="1" x14ac:dyDescent="0.3"/>
    <row r="397" ht="14.4" customHeight="1" x14ac:dyDescent="0.3"/>
    <row r="398" ht="14.4" customHeight="1" x14ac:dyDescent="0.3"/>
    <row r="399" ht="14.4" customHeight="1" x14ac:dyDescent="0.3"/>
    <row r="400" ht="14.4" customHeight="1" x14ac:dyDescent="0.3"/>
    <row r="401" ht="14.4" customHeight="1" x14ac:dyDescent="0.3"/>
    <row r="402" ht="14.4" customHeight="1" x14ac:dyDescent="0.3"/>
    <row r="403" ht="14.4" customHeight="1" x14ac:dyDescent="0.3"/>
    <row r="404" ht="14.4" customHeight="1" x14ac:dyDescent="0.3"/>
    <row r="405" ht="14.4" customHeight="1" x14ac:dyDescent="0.3"/>
    <row r="406" ht="14.4" customHeight="1" x14ac:dyDescent="0.3"/>
    <row r="407" ht="14.4" customHeight="1" x14ac:dyDescent="0.3"/>
    <row r="408" ht="14.4" customHeight="1" x14ac:dyDescent="0.3"/>
    <row r="409" ht="14.4" customHeight="1" x14ac:dyDescent="0.3"/>
    <row r="410" ht="14.4" customHeight="1" x14ac:dyDescent="0.3"/>
    <row r="411" ht="14.4" customHeight="1" x14ac:dyDescent="0.3"/>
    <row r="412" ht="14.4" customHeight="1" x14ac:dyDescent="0.3"/>
    <row r="413" ht="14.4" customHeight="1" x14ac:dyDescent="0.3"/>
    <row r="414" ht="14.4" customHeight="1" x14ac:dyDescent="0.3"/>
    <row r="415" ht="14.4" customHeight="1" x14ac:dyDescent="0.3"/>
    <row r="416" ht="14.4" customHeight="1" x14ac:dyDescent="0.3"/>
    <row r="417" ht="14.4" customHeight="1" x14ac:dyDescent="0.3"/>
    <row r="418" ht="14.4" customHeight="1" x14ac:dyDescent="0.3"/>
    <row r="419" ht="14.4" customHeight="1" x14ac:dyDescent="0.3"/>
    <row r="420" ht="14.4" customHeight="1" x14ac:dyDescent="0.3"/>
    <row r="421" ht="14.4" customHeight="1" x14ac:dyDescent="0.3"/>
    <row r="422" ht="14.4" customHeight="1" x14ac:dyDescent="0.3"/>
    <row r="423" ht="14.4" customHeight="1" x14ac:dyDescent="0.3"/>
    <row r="424" ht="14.4" customHeight="1" x14ac:dyDescent="0.3"/>
    <row r="425" ht="14.4" customHeight="1" x14ac:dyDescent="0.3"/>
    <row r="426" ht="14.4" customHeight="1" x14ac:dyDescent="0.3"/>
    <row r="427" ht="14.4" customHeight="1" x14ac:dyDescent="0.3"/>
    <row r="428" ht="14.4" customHeight="1" x14ac:dyDescent="0.3"/>
    <row r="429" ht="14.4" customHeight="1" x14ac:dyDescent="0.3"/>
    <row r="430" ht="14.4" customHeight="1" x14ac:dyDescent="0.3"/>
    <row r="431" ht="14.4" customHeight="1" x14ac:dyDescent="0.3"/>
    <row r="432" ht="14.4" customHeight="1" x14ac:dyDescent="0.3"/>
    <row r="433" ht="14.4" customHeight="1" x14ac:dyDescent="0.3"/>
    <row r="434" ht="14.4" customHeight="1" x14ac:dyDescent="0.3"/>
    <row r="435" ht="14.4" customHeight="1" x14ac:dyDescent="0.3"/>
    <row r="436" ht="14.4" customHeight="1" x14ac:dyDescent="0.3"/>
    <row r="437" ht="14.4" customHeight="1" x14ac:dyDescent="0.3"/>
    <row r="438" ht="14.4" customHeight="1" x14ac:dyDescent="0.3"/>
    <row r="439" ht="14.4" customHeight="1" x14ac:dyDescent="0.3"/>
    <row r="440" ht="14.4" customHeight="1" x14ac:dyDescent="0.3"/>
    <row r="441" ht="14.4" customHeight="1" x14ac:dyDescent="0.3"/>
    <row r="442" ht="14.4" customHeight="1" x14ac:dyDescent="0.3"/>
    <row r="443" ht="14.4" customHeight="1" x14ac:dyDescent="0.3"/>
    <row r="444" ht="14.4" customHeight="1" x14ac:dyDescent="0.3"/>
    <row r="445" ht="14.4" customHeight="1" x14ac:dyDescent="0.3"/>
    <row r="446" ht="14.4" customHeight="1" x14ac:dyDescent="0.3"/>
    <row r="447" ht="14.4" customHeight="1" x14ac:dyDescent="0.3"/>
    <row r="448" ht="14.4" customHeight="1" x14ac:dyDescent="0.3"/>
    <row r="449" ht="14.4" customHeight="1" x14ac:dyDescent="0.3"/>
    <row r="450" ht="14.4" customHeight="1" x14ac:dyDescent="0.3"/>
    <row r="451" ht="14.4" customHeight="1" x14ac:dyDescent="0.3"/>
    <row r="452" ht="14.4" customHeight="1" x14ac:dyDescent="0.3"/>
    <row r="453" ht="14.4" customHeight="1" x14ac:dyDescent="0.3"/>
    <row r="454" ht="14.4" customHeight="1" x14ac:dyDescent="0.3"/>
    <row r="455" ht="14.4" customHeight="1" x14ac:dyDescent="0.3"/>
    <row r="456" ht="14.4" customHeight="1" x14ac:dyDescent="0.3"/>
    <row r="457" ht="14.4" customHeight="1" x14ac:dyDescent="0.3"/>
    <row r="458" ht="14.4" customHeight="1" x14ac:dyDescent="0.3"/>
    <row r="459" ht="14.4" customHeight="1" x14ac:dyDescent="0.3"/>
    <row r="460" ht="14.4" customHeight="1" x14ac:dyDescent="0.3"/>
    <row r="461" ht="14.4" customHeight="1" x14ac:dyDescent="0.3"/>
    <row r="462" ht="14.4" customHeight="1" x14ac:dyDescent="0.3"/>
    <row r="463" ht="14.4" customHeight="1" x14ac:dyDescent="0.3"/>
    <row r="464" ht="14.4" customHeight="1" x14ac:dyDescent="0.3"/>
    <row r="465" ht="14.4" customHeight="1" x14ac:dyDescent="0.3"/>
    <row r="466" ht="14.4" customHeight="1" x14ac:dyDescent="0.3"/>
    <row r="467" ht="14.4" customHeight="1" x14ac:dyDescent="0.3"/>
    <row r="468" ht="14.4" customHeight="1" x14ac:dyDescent="0.3"/>
    <row r="469" ht="14.4" customHeight="1" x14ac:dyDescent="0.3"/>
    <row r="470" ht="14.4" customHeight="1" x14ac:dyDescent="0.3"/>
    <row r="471" ht="14.4" customHeight="1" x14ac:dyDescent="0.3"/>
    <row r="472" ht="14.4" customHeight="1" x14ac:dyDescent="0.3"/>
    <row r="473" ht="14.4" customHeight="1" x14ac:dyDescent="0.3"/>
    <row r="474" ht="14.4" customHeight="1" x14ac:dyDescent="0.3"/>
    <row r="475" ht="14.4" customHeight="1" x14ac:dyDescent="0.3"/>
    <row r="476" ht="14.4" customHeight="1" x14ac:dyDescent="0.3"/>
    <row r="477" ht="14.4" customHeight="1" x14ac:dyDescent="0.3"/>
    <row r="478" ht="14.4" customHeight="1" x14ac:dyDescent="0.3"/>
    <row r="479" ht="14.4" customHeight="1" x14ac:dyDescent="0.3"/>
    <row r="480" ht="14.4" customHeight="1" x14ac:dyDescent="0.3"/>
    <row r="481" ht="14.4" customHeight="1" x14ac:dyDescent="0.3"/>
    <row r="482" ht="14.4" customHeight="1" x14ac:dyDescent="0.3"/>
    <row r="483" ht="14.4" customHeight="1" x14ac:dyDescent="0.3"/>
    <row r="484" ht="14.4" customHeight="1" x14ac:dyDescent="0.3"/>
    <row r="485" ht="14.4" customHeight="1" x14ac:dyDescent="0.3"/>
    <row r="486" ht="14.4" customHeight="1" x14ac:dyDescent="0.3"/>
    <row r="487" ht="14.4" customHeight="1" x14ac:dyDescent="0.3"/>
    <row r="488" ht="14.4" customHeight="1" x14ac:dyDescent="0.3"/>
    <row r="489" ht="14.4" customHeight="1" x14ac:dyDescent="0.3"/>
    <row r="490" ht="14.4" customHeight="1" x14ac:dyDescent="0.3"/>
    <row r="491" ht="14.4" customHeight="1" x14ac:dyDescent="0.3"/>
    <row r="492" ht="14.4" customHeight="1" x14ac:dyDescent="0.3"/>
    <row r="493" ht="14.4" customHeight="1" x14ac:dyDescent="0.3"/>
    <row r="494" ht="14.4" customHeight="1" x14ac:dyDescent="0.3"/>
    <row r="495" ht="14.4" customHeight="1" x14ac:dyDescent="0.3"/>
    <row r="496" ht="14.4" customHeight="1" x14ac:dyDescent="0.3"/>
    <row r="497" ht="14.4" customHeight="1" x14ac:dyDescent="0.3"/>
    <row r="498" ht="14.4" customHeight="1" x14ac:dyDescent="0.3"/>
    <row r="499" ht="14.4" customHeight="1" x14ac:dyDescent="0.3"/>
    <row r="500" ht="14.4" customHeight="1" x14ac:dyDescent="0.3"/>
  </sheetData>
  <autoFilter ref="A2:N50">
    <sortState ref="A3:N132">
      <sortCondition ref="D2:D50"/>
    </sortState>
  </autoFilter>
  <hyperlinks>
    <hyperlink ref="C1" r:id="rId1" location="action=com.ibm.team.workitem.runSavedQuery&amp;id=_rW9jgELfEeqdzPhUv9prVQ"/>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ShowAll.Show_all">
                <anchor moveWithCells="1" sizeWithCells="1">
                  <from>
                    <xdr:col>0</xdr:col>
                    <xdr:colOff>45720</xdr:colOff>
                    <xdr:row>0</xdr:row>
                    <xdr:rowOff>60960</xdr:rowOff>
                  </from>
                  <to>
                    <xdr:col>1</xdr:col>
                    <xdr:colOff>419100</xdr:colOff>
                    <xdr:row>0</xdr:row>
                    <xdr:rowOff>350520</xdr:rowOff>
                  </to>
                </anchor>
              </controlPr>
            </control>
          </mc:Choice>
        </mc:AlternateContent>
        <mc:AlternateContent xmlns:mc="http://schemas.openxmlformats.org/markup-compatibility/2006">
          <mc:Choice Requires="x14">
            <control shapeId="22531" r:id="rId5" name="Button 3">
              <controlPr defaultSize="0" print="0" autoFill="0" autoPict="0" macro="[0]!Return_To_List">
                <anchor moveWithCells="1" sizeWithCells="1">
                  <from>
                    <xdr:col>5</xdr:col>
                    <xdr:colOff>83820</xdr:colOff>
                    <xdr:row>0</xdr:row>
                    <xdr:rowOff>99060</xdr:rowOff>
                  </from>
                  <to>
                    <xdr:col>6</xdr:col>
                    <xdr:colOff>632460</xdr:colOff>
                    <xdr:row>1</xdr:row>
                    <xdr:rowOff>7620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55"/>
  <sheetViews>
    <sheetView zoomScale="80" zoomScaleNormal="80" workbookViewId="0"/>
  </sheetViews>
  <sheetFormatPr defaultRowHeight="14.4" x14ac:dyDescent="0.3"/>
  <cols>
    <col min="1" max="2" width="8.88671875" style="85"/>
    <col min="4" max="4" width="2.109375" style="95" customWidth="1"/>
    <col min="5" max="5" width="16.109375" customWidth="1"/>
    <col min="9" max="15" width="9.109375" style="95"/>
  </cols>
  <sheetData>
    <row r="1" spans="1:12" x14ac:dyDescent="0.3">
      <c r="A1" s="95" t="s">
        <v>0</v>
      </c>
      <c r="B1" s="95" t="s">
        <v>25</v>
      </c>
      <c r="C1" s="85" t="s">
        <v>4</v>
      </c>
      <c r="E1" s="38" t="s">
        <v>121</v>
      </c>
      <c r="F1" s="85" t="s">
        <v>0</v>
      </c>
      <c r="G1" s="85" t="s">
        <v>4</v>
      </c>
    </row>
    <row r="2" spans="1:12" x14ac:dyDescent="0.3">
      <c r="A2" s="95">
        <v>1011150</v>
      </c>
      <c r="B2" s="95">
        <v>1</v>
      </c>
      <c r="C2" s="95" t="s">
        <v>87</v>
      </c>
      <c r="E2" s="85" t="s">
        <v>36</v>
      </c>
      <c r="F2" s="53"/>
      <c r="G2" s="85" t="s">
        <v>87</v>
      </c>
    </row>
    <row r="3" spans="1:12" x14ac:dyDescent="0.3">
      <c r="A3" s="95">
        <v>395853</v>
      </c>
      <c r="B3" s="95">
        <v>2</v>
      </c>
      <c r="C3" s="95" t="s">
        <v>87</v>
      </c>
      <c r="E3" s="85" t="s">
        <v>36</v>
      </c>
      <c r="F3" s="53"/>
      <c r="G3" s="85" t="s">
        <v>87</v>
      </c>
    </row>
    <row r="4" spans="1:12" x14ac:dyDescent="0.3">
      <c r="A4" s="95">
        <v>395688</v>
      </c>
      <c r="B4" s="95">
        <v>3</v>
      </c>
      <c r="C4" s="95" t="s">
        <v>87</v>
      </c>
      <c r="E4" s="85" t="s">
        <v>36</v>
      </c>
      <c r="F4" s="53"/>
      <c r="G4" s="85"/>
    </row>
    <row r="5" spans="1:12" x14ac:dyDescent="0.3">
      <c r="A5" s="95">
        <v>395897</v>
      </c>
      <c r="B5" s="95">
        <v>4</v>
      </c>
      <c r="C5" s="95" t="s">
        <v>87</v>
      </c>
      <c r="E5" s="85" t="s">
        <v>36</v>
      </c>
      <c r="F5" s="53"/>
      <c r="G5" s="85"/>
    </row>
    <row r="6" spans="1:12" x14ac:dyDescent="0.3">
      <c r="A6" s="95">
        <v>395114</v>
      </c>
      <c r="B6" s="95">
        <v>5</v>
      </c>
      <c r="C6" s="95" t="s">
        <v>87</v>
      </c>
      <c r="E6" s="85" t="s">
        <v>36</v>
      </c>
      <c r="F6" s="53"/>
      <c r="G6" s="85"/>
    </row>
    <row r="7" spans="1:12" x14ac:dyDescent="0.3">
      <c r="A7" s="95">
        <v>1005403</v>
      </c>
      <c r="B7" s="95">
        <v>6</v>
      </c>
      <c r="C7" s="95" t="s">
        <v>87</v>
      </c>
      <c r="E7" s="85" t="s">
        <v>36</v>
      </c>
      <c r="F7" s="85"/>
      <c r="G7" s="85"/>
    </row>
    <row r="8" spans="1:12" x14ac:dyDescent="0.3">
      <c r="A8" s="95">
        <v>1012588</v>
      </c>
      <c r="B8" s="95">
        <v>7</v>
      </c>
      <c r="C8" s="95" t="s">
        <v>87</v>
      </c>
      <c r="E8" s="85" t="s">
        <v>36</v>
      </c>
      <c r="F8" s="85"/>
      <c r="G8" s="85"/>
    </row>
    <row r="9" spans="1:12" x14ac:dyDescent="0.3">
      <c r="A9" s="95">
        <v>1013534</v>
      </c>
      <c r="B9" s="95">
        <v>8</v>
      </c>
      <c r="C9" s="95" t="s">
        <v>87</v>
      </c>
      <c r="E9" s="85" t="s">
        <v>36</v>
      </c>
      <c r="F9" s="85"/>
      <c r="G9" s="85"/>
    </row>
    <row r="10" spans="1:12" x14ac:dyDescent="0.3">
      <c r="A10" s="95">
        <v>1011070</v>
      </c>
      <c r="B10" s="95">
        <v>9</v>
      </c>
      <c r="C10" s="95" t="s">
        <v>87</v>
      </c>
      <c r="E10" s="85" t="s">
        <v>36</v>
      </c>
      <c r="F10" s="85"/>
      <c r="G10" s="85"/>
    </row>
    <row r="11" spans="1:12" x14ac:dyDescent="0.3">
      <c r="A11" s="95">
        <v>1013657</v>
      </c>
      <c r="B11" s="95">
        <v>10</v>
      </c>
      <c r="C11" s="95" t="s">
        <v>87</v>
      </c>
      <c r="E11" s="85" t="s">
        <v>36</v>
      </c>
      <c r="F11" s="85"/>
      <c r="G11" s="85"/>
    </row>
    <row r="12" spans="1:12" x14ac:dyDescent="0.3">
      <c r="A12" s="95">
        <v>372921</v>
      </c>
      <c r="B12" s="95">
        <v>11</v>
      </c>
      <c r="C12" s="95" t="s">
        <v>87</v>
      </c>
      <c r="E12" s="85" t="s">
        <v>36</v>
      </c>
      <c r="F12" s="85"/>
      <c r="G12" s="85"/>
    </row>
    <row r="13" spans="1:12" x14ac:dyDescent="0.3">
      <c r="A13" s="95">
        <v>376446</v>
      </c>
      <c r="B13" s="95">
        <v>12</v>
      </c>
      <c r="C13" s="95" t="s">
        <v>87</v>
      </c>
      <c r="E13" s="85" t="s">
        <v>36</v>
      </c>
      <c r="F13" s="85"/>
      <c r="G13" s="85"/>
    </row>
    <row r="14" spans="1:12" x14ac:dyDescent="0.3">
      <c r="A14" s="95">
        <v>396001</v>
      </c>
      <c r="B14" s="95">
        <v>13</v>
      </c>
      <c r="C14" s="95" t="s">
        <v>87</v>
      </c>
      <c r="E14" s="85" t="s">
        <v>36</v>
      </c>
      <c r="F14" s="85"/>
      <c r="G14" s="85"/>
    </row>
    <row r="15" spans="1:12" x14ac:dyDescent="0.3">
      <c r="A15" s="95">
        <v>396508</v>
      </c>
      <c r="B15" s="95">
        <v>14</v>
      </c>
      <c r="C15" s="95" t="s">
        <v>87</v>
      </c>
      <c r="E15" s="85" t="s">
        <v>36</v>
      </c>
      <c r="F15" s="85"/>
      <c r="G15" s="85"/>
    </row>
    <row r="16" spans="1:12" x14ac:dyDescent="0.3">
      <c r="A16" s="95">
        <v>1010421</v>
      </c>
      <c r="B16" s="95">
        <v>15</v>
      </c>
      <c r="C16" s="95" t="s">
        <v>87</v>
      </c>
      <c r="E16" s="85" t="s">
        <v>36</v>
      </c>
      <c r="F16" s="85"/>
      <c r="G16" s="85"/>
      <c r="L16"/>
    </row>
    <row r="17" spans="1:12" x14ac:dyDescent="0.3">
      <c r="A17" s="95">
        <v>395855</v>
      </c>
      <c r="B17" s="95">
        <v>16</v>
      </c>
      <c r="C17" s="95" t="s">
        <v>87</v>
      </c>
      <c r="E17" s="85" t="s">
        <v>36</v>
      </c>
      <c r="F17" s="85"/>
      <c r="G17" s="85"/>
      <c r="L17"/>
    </row>
    <row r="18" spans="1:12" x14ac:dyDescent="0.3">
      <c r="A18" s="95">
        <v>1011295</v>
      </c>
      <c r="B18" s="95">
        <v>17</v>
      </c>
      <c r="C18" s="95" t="s">
        <v>87</v>
      </c>
      <c r="E18" s="85" t="s">
        <v>36</v>
      </c>
      <c r="F18" s="85"/>
      <c r="G18" s="85"/>
      <c r="L18"/>
    </row>
    <row r="19" spans="1:12" x14ac:dyDescent="0.3">
      <c r="A19" s="95">
        <v>1005321</v>
      </c>
      <c r="B19" s="95">
        <v>18</v>
      </c>
      <c r="C19" s="95" t="s">
        <v>87</v>
      </c>
      <c r="E19" s="85" t="s">
        <v>36</v>
      </c>
      <c r="F19" s="85"/>
      <c r="G19" s="85"/>
      <c r="L19"/>
    </row>
    <row r="20" spans="1:12" x14ac:dyDescent="0.3">
      <c r="A20" s="95">
        <v>1011419</v>
      </c>
      <c r="B20" s="95">
        <v>19</v>
      </c>
      <c r="C20" s="95" t="s">
        <v>87</v>
      </c>
      <c r="E20" s="85" t="s">
        <v>36</v>
      </c>
      <c r="F20" s="85"/>
      <c r="G20" s="85"/>
      <c r="L20"/>
    </row>
    <row r="21" spans="1:12" x14ac:dyDescent="0.3">
      <c r="A21" s="95">
        <v>1012540</v>
      </c>
      <c r="B21" s="95">
        <v>20</v>
      </c>
      <c r="C21" s="95" t="s">
        <v>87</v>
      </c>
      <c r="E21" s="85" t="s">
        <v>36</v>
      </c>
      <c r="F21" s="85"/>
      <c r="G21" s="85"/>
      <c r="L21"/>
    </row>
    <row r="22" spans="1:12" x14ac:dyDescent="0.3">
      <c r="A22" s="95">
        <v>1011441</v>
      </c>
      <c r="B22" s="95">
        <v>21</v>
      </c>
      <c r="C22" s="95" t="s">
        <v>87</v>
      </c>
      <c r="E22" s="85" t="s">
        <v>36</v>
      </c>
      <c r="F22" s="85"/>
      <c r="G22" s="85"/>
      <c r="L22"/>
    </row>
    <row r="23" spans="1:12" x14ac:dyDescent="0.3">
      <c r="A23" s="95">
        <v>1012485</v>
      </c>
      <c r="B23" s="95">
        <v>22</v>
      </c>
      <c r="C23" s="95" t="s">
        <v>87</v>
      </c>
      <c r="E23" s="85" t="s">
        <v>36</v>
      </c>
      <c r="F23" s="85"/>
      <c r="G23" s="85"/>
      <c r="L23"/>
    </row>
    <row r="24" spans="1:12" x14ac:dyDescent="0.3">
      <c r="A24" s="95">
        <v>1011394</v>
      </c>
      <c r="B24" s="95">
        <v>23</v>
      </c>
      <c r="C24" s="95" t="s">
        <v>87</v>
      </c>
      <c r="E24" s="85" t="s">
        <v>36</v>
      </c>
      <c r="F24" s="85"/>
      <c r="G24" s="85"/>
      <c r="L24"/>
    </row>
    <row r="25" spans="1:12" x14ac:dyDescent="0.3">
      <c r="A25" s="95">
        <v>1010653</v>
      </c>
      <c r="B25" s="95">
        <v>24</v>
      </c>
      <c r="C25" s="95" t="s">
        <v>87</v>
      </c>
      <c r="E25" s="85" t="s">
        <v>36</v>
      </c>
      <c r="F25" s="85"/>
      <c r="G25" s="85"/>
      <c r="L25"/>
    </row>
    <row r="26" spans="1:12" x14ac:dyDescent="0.3">
      <c r="A26" s="95">
        <v>1002477</v>
      </c>
      <c r="B26" s="95">
        <v>25</v>
      </c>
      <c r="C26" s="95" t="s">
        <v>87</v>
      </c>
      <c r="E26" s="85" t="s">
        <v>36</v>
      </c>
      <c r="F26" s="85"/>
      <c r="G26" s="85"/>
      <c r="L26"/>
    </row>
    <row r="27" spans="1:12" x14ac:dyDescent="0.3">
      <c r="A27" s="95">
        <v>342054</v>
      </c>
      <c r="B27" s="95">
        <v>26</v>
      </c>
      <c r="C27" s="95" t="s">
        <v>87</v>
      </c>
      <c r="E27" s="85" t="s">
        <v>36</v>
      </c>
      <c r="F27" s="85"/>
      <c r="G27" s="85"/>
      <c r="L27"/>
    </row>
    <row r="28" spans="1:12" x14ac:dyDescent="0.3">
      <c r="A28" s="95">
        <v>1006376</v>
      </c>
      <c r="B28" s="95">
        <v>27</v>
      </c>
      <c r="C28" s="95" t="s">
        <v>87</v>
      </c>
      <c r="E28" s="85" t="s">
        <v>36</v>
      </c>
      <c r="F28" s="85"/>
      <c r="G28" s="85"/>
      <c r="L28"/>
    </row>
    <row r="29" spans="1:12" x14ac:dyDescent="0.3">
      <c r="A29" s="95">
        <v>1014596</v>
      </c>
      <c r="B29" s="95">
        <v>28</v>
      </c>
      <c r="C29" s="95" t="s">
        <v>87</v>
      </c>
      <c r="E29" s="85" t="s">
        <v>36</v>
      </c>
      <c r="F29" s="85"/>
      <c r="G29" s="85"/>
      <c r="L29"/>
    </row>
    <row r="30" spans="1:12" x14ac:dyDescent="0.3">
      <c r="A30" s="95">
        <v>1014595</v>
      </c>
      <c r="B30" s="95">
        <v>29</v>
      </c>
      <c r="C30" s="95" t="s">
        <v>87</v>
      </c>
      <c r="E30" s="85" t="s">
        <v>36</v>
      </c>
      <c r="F30" s="85"/>
      <c r="G30" s="85"/>
      <c r="L30"/>
    </row>
    <row r="31" spans="1:12" x14ac:dyDescent="0.3">
      <c r="A31" s="95">
        <v>1014597</v>
      </c>
      <c r="B31" s="95">
        <v>30</v>
      </c>
      <c r="C31" s="95" t="s">
        <v>87</v>
      </c>
      <c r="E31" s="85" t="s">
        <v>36</v>
      </c>
      <c r="F31" s="85"/>
      <c r="G31" s="85"/>
      <c r="L31"/>
    </row>
    <row r="32" spans="1:12" x14ac:dyDescent="0.3">
      <c r="A32" s="95">
        <v>1014598</v>
      </c>
      <c r="B32" s="95">
        <v>31</v>
      </c>
      <c r="C32" s="95" t="s">
        <v>87</v>
      </c>
      <c r="E32" s="85" t="s">
        <v>36</v>
      </c>
      <c r="F32" s="85"/>
      <c r="G32" s="85"/>
      <c r="L32"/>
    </row>
    <row r="33" spans="1:12" x14ac:dyDescent="0.3">
      <c r="A33" s="95">
        <v>1014602</v>
      </c>
      <c r="B33" s="95">
        <v>32</v>
      </c>
      <c r="C33" s="95" t="s">
        <v>87</v>
      </c>
      <c r="E33" s="85" t="s">
        <v>36</v>
      </c>
      <c r="F33" s="85"/>
      <c r="G33" s="85"/>
      <c r="L33"/>
    </row>
    <row r="34" spans="1:12" x14ac:dyDescent="0.3">
      <c r="A34" s="95">
        <v>1012748</v>
      </c>
      <c r="B34" s="95">
        <v>33</v>
      </c>
      <c r="C34" s="95" t="s">
        <v>87</v>
      </c>
      <c r="E34" s="85" t="s">
        <v>36</v>
      </c>
      <c r="F34" s="85"/>
      <c r="G34" s="85"/>
      <c r="L34"/>
    </row>
    <row r="35" spans="1:12" x14ac:dyDescent="0.3">
      <c r="A35" s="95">
        <v>1008620</v>
      </c>
      <c r="B35" s="95">
        <v>34</v>
      </c>
      <c r="C35" s="95" t="s">
        <v>87</v>
      </c>
      <c r="E35" s="85" t="s">
        <v>36</v>
      </c>
      <c r="F35" s="85"/>
      <c r="G35" s="85"/>
      <c r="L35"/>
    </row>
    <row r="36" spans="1:12" x14ac:dyDescent="0.3">
      <c r="A36" s="95">
        <v>383165</v>
      </c>
      <c r="B36" s="95">
        <v>35</v>
      </c>
      <c r="C36" s="95" t="s">
        <v>87</v>
      </c>
      <c r="E36" s="85" t="s">
        <v>36</v>
      </c>
      <c r="F36" s="85"/>
      <c r="G36" s="85"/>
      <c r="L36"/>
    </row>
    <row r="37" spans="1:12" x14ac:dyDescent="0.3">
      <c r="A37" s="95">
        <v>380808</v>
      </c>
      <c r="B37" s="95">
        <v>36</v>
      </c>
      <c r="C37" s="95" t="s">
        <v>87</v>
      </c>
      <c r="E37" s="85" t="s">
        <v>36</v>
      </c>
      <c r="F37" s="85"/>
      <c r="G37" s="85"/>
      <c r="L37"/>
    </row>
    <row r="38" spans="1:12" x14ac:dyDescent="0.3">
      <c r="A38" s="95">
        <v>384084</v>
      </c>
      <c r="B38" s="95">
        <v>37</v>
      </c>
      <c r="C38" s="95" t="s">
        <v>87</v>
      </c>
      <c r="E38" s="85" t="s">
        <v>36</v>
      </c>
      <c r="F38" s="85"/>
      <c r="G38" s="85"/>
      <c r="L38"/>
    </row>
    <row r="39" spans="1:12" x14ac:dyDescent="0.3">
      <c r="A39" s="95">
        <v>1008506</v>
      </c>
      <c r="B39" s="95">
        <v>38</v>
      </c>
      <c r="C39" s="95" t="s">
        <v>87</v>
      </c>
      <c r="E39" s="85" t="s">
        <v>36</v>
      </c>
      <c r="F39" s="85"/>
      <c r="G39" s="85"/>
      <c r="L39"/>
    </row>
    <row r="40" spans="1:12" x14ac:dyDescent="0.3">
      <c r="A40" s="95">
        <v>1002345</v>
      </c>
      <c r="B40" s="95">
        <v>39</v>
      </c>
      <c r="C40" s="95" t="s">
        <v>87</v>
      </c>
      <c r="E40" s="85" t="s">
        <v>36</v>
      </c>
      <c r="F40" s="85"/>
      <c r="G40" s="85"/>
      <c r="L40"/>
    </row>
    <row r="41" spans="1:12" x14ac:dyDescent="0.3">
      <c r="A41" s="95">
        <v>1002381</v>
      </c>
      <c r="B41" s="95">
        <v>40</v>
      </c>
      <c r="C41" s="95" t="s">
        <v>87</v>
      </c>
      <c r="E41" s="85" t="s">
        <v>36</v>
      </c>
      <c r="F41" s="85"/>
      <c r="G41" s="85"/>
      <c r="L41"/>
    </row>
    <row r="42" spans="1:12" x14ac:dyDescent="0.3">
      <c r="A42" s="95">
        <v>1007900</v>
      </c>
      <c r="B42" s="95">
        <v>41</v>
      </c>
      <c r="C42" s="95" t="s">
        <v>87</v>
      </c>
      <c r="E42" s="85" t="s">
        <v>36</v>
      </c>
      <c r="F42" s="85"/>
      <c r="G42" s="85"/>
      <c r="L42"/>
    </row>
    <row r="43" spans="1:12" x14ac:dyDescent="0.3">
      <c r="A43" s="95">
        <v>385442</v>
      </c>
      <c r="B43" s="95">
        <v>42</v>
      </c>
      <c r="C43" s="95" t="s">
        <v>87</v>
      </c>
      <c r="E43" s="85" t="s">
        <v>36</v>
      </c>
      <c r="F43" s="85"/>
      <c r="G43" s="85"/>
      <c r="L43"/>
    </row>
    <row r="44" spans="1:12" x14ac:dyDescent="0.3">
      <c r="A44" s="95">
        <v>354871</v>
      </c>
      <c r="B44" s="95">
        <v>43</v>
      </c>
      <c r="C44" s="95" t="s">
        <v>87</v>
      </c>
      <c r="E44" s="85" t="s">
        <v>36</v>
      </c>
      <c r="F44" s="85"/>
      <c r="G44" s="85"/>
      <c r="L44"/>
    </row>
    <row r="45" spans="1:12" x14ac:dyDescent="0.3">
      <c r="A45" s="95">
        <v>388053</v>
      </c>
      <c r="B45" s="95">
        <v>44</v>
      </c>
      <c r="C45" s="95" t="s">
        <v>87</v>
      </c>
      <c r="E45" s="85" t="s">
        <v>36</v>
      </c>
      <c r="F45" s="85"/>
      <c r="G45" s="85"/>
      <c r="L45"/>
    </row>
    <row r="46" spans="1:12" x14ac:dyDescent="0.3">
      <c r="A46" s="95">
        <v>1013234</v>
      </c>
      <c r="B46" s="95">
        <v>45</v>
      </c>
      <c r="C46" s="95" t="s">
        <v>87</v>
      </c>
      <c r="E46" s="85" t="s">
        <v>36</v>
      </c>
      <c r="F46" s="85"/>
      <c r="G46" s="85"/>
      <c r="L46"/>
    </row>
    <row r="47" spans="1:12" x14ac:dyDescent="0.3">
      <c r="A47" s="95">
        <v>377437</v>
      </c>
      <c r="B47" s="95">
        <v>46</v>
      </c>
      <c r="C47" s="95" t="s">
        <v>87</v>
      </c>
      <c r="E47" s="85" t="s">
        <v>36</v>
      </c>
      <c r="F47" s="85"/>
      <c r="G47" s="85"/>
      <c r="L47"/>
    </row>
    <row r="48" spans="1:12" x14ac:dyDescent="0.3">
      <c r="A48" s="95">
        <v>1004171</v>
      </c>
      <c r="B48" s="95">
        <v>47</v>
      </c>
      <c r="C48" s="95" t="s">
        <v>87</v>
      </c>
      <c r="E48" s="85" t="s">
        <v>36</v>
      </c>
      <c r="F48" s="85"/>
      <c r="G48" s="85"/>
      <c r="L48"/>
    </row>
    <row r="49" spans="1:12" x14ac:dyDescent="0.3">
      <c r="A49" s="95">
        <v>297335</v>
      </c>
      <c r="B49" s="95">
        <v>48</v>
      </c>
      <c r="C49" s="95" t="s">
        <v>87</v>
      </c>
      <c r="E49" s="85" t="s">
        <v>36</v>
      </c>
      <c r="F49" s="85"/>
      <c r="G49" s="85"/>
      <c r="L49"/>
    </row>
    <row r="50" spans="1:12" x14ac:dyDescent="0.3">
      <c r="A50" s="95">
        <v>1012996</v>
      </c>
      <c r="B50" s="95">
        <v>49</v>
      </c>
      <c r="C50" s="95" t="s">
        <v>87</v>
      </c>
      <c r="E50" s="85" t="s">
        <v>36</v>
      </c>
      <c r="F50" s="85"/>
      <c r="G50" s="85"/>
      <c r="L50"/>
    </row>
    <row r="51" spans="1:12" x14ac:dyDescent="0.3">
      <c r="A51" s="95">
        <v>293371</v>
      </c>
      <c r="B51" s="95">
        <v>50</v>
      </c>
      <c r="C51" s="95" t="s">
        <v>87</v>
      </c>
      <c r="E51" s="85" t="s">
        <v>36</v>
      </c>
      <c r="F51" s="85"/>
      <c r="G51" s="85"/>
      <c r="L51"/>
    </row>
    <row r="52" spans="1:12" x14ac:dyDescent="0.3">
      <c r="A52" s="95">
        <v>383958</v>
      </c>
      <c r="B52" s="95">
        <v>51</v>
      </c>
      <c r="C52" s="95" t="s">
        <v>87</v>
      </c>
      <c r="E52" s="85" t="s">
        <v>36</v>
      </c>
      <c r="F52" s="85"/>
      <c r="G52" s="85"/>
      <c r="L52"/>
    </row>
    <row r="53" spans="1:12" x14ac:dyDescent="0.3">
      <c r="A53" s="95">
        <v>1009453</v>
      </c>
      <c r="B53" s="95">
        <v>52</v>
      </c>
      <c r="C53" s="95" t="s">
        <v>87</v>
      </c>
      <c r="E53" s="85" t="s">
        <v>36</v>
      </c>
      <c r="F53" s="85"/>
      <c r="G53" s="85"/>
      <c r="L53"/>
    </row>
    <row r="54" spans="1:12" x14ac:dyDescent="0.3">
      <c r="A54" s="95">
        <v>1015911</v>
      </c>
      <c r="B54" s="95">
        <v>53</v>
      </c>
      <c r="C54" s="95" t="s">
        <v>87</v>
      </c>
      <c r="E54" s="85" t="s">
        <v>36</v>
      </c>
      <c r="F54" s="85"/>
      <c r="G54" s="85"/>
      <c r="L54"/>
    </row>
    <row r="55" spans="1:12" x14ac:dyDescent="0.3">
      <c r="A55" s="95">
        <v>381524</v>
      </c>
      <c r="B55" s="95">
        <v>54</v>
      </c>
      <c r="C55" s="95" t="s">
        <v>87</v>
      </c>
      <c r="E55" s="85" t="s">
        <v>36</v>
      </c>
      <c r="F55" s="85"/>
      <c r="G55" s="85"/>
      <c r="L55"/>
    </row>
    <row r="56" spans="1:12" x14ac:dyDescent="0.3">
      <c r="A56" s="95">
        <v>1001912</v>
      </c>
      <c r="B56" s="95">
        <v>55</v>
      </c>
      <c r="C56" s="95" t="s">
        <v>87</v>
      </c>
      <c r="E56" s="85" t="s">
        <v>36</v>
      </c>
      <c r="F56" s="85"/>
      <c r="G56" s="85"/>
      <c r="L56"/>
    </row>
    <row r="57" spans="1:12" x14ac:dyDescent="0.3">
      <c r="A57" s="95">
        <v>1014252</v>
      </c>
      <c r="B57" s="95">
        <v>56</v>
      </c>
      <c r="C57" s="95" t="s">
        <v>87</v>
      </c>
      <c r="E57" s="85" t="s">
        <v>36</v>
      </c>
      <c r="F57" s="85"/>
      <c r="G57" s="85"/>
      <c r="L57"/>
    </row>
    <row r="58" spans="1:12" x14ac:dyDescent="0.3">
      <c r="A58" s="95">
        <v>385632</v>
      </c>
      <c r="B58" s="95">
        <v>57</v>
      </c>
      <c r="C58" s="95" t="s">
        <v>87</v>
      </c>
      <c r="E58" s="85" t="s">
        <v>36</v>
      </c>
      <c r="F58" s="85"/>
      <c r="G58" s="85"/>
      <c r="L58"/>
    </row>
    <row r="59" spans="1:12" x14ac:dyDescent="0.3">
      <c r="A59" s="95">
        <v>1014387</v>
      </c>
      <c r="B59" s="95">
        <v>58</v>
      </c>
      <c r="C59" s="95" t="s">
        <v>87</v>
      </c>
      <c r="E59" s="85" t="s">
        <v>36</v>
      </c>
      <c r="F59" s="85"/>
      <c r="G59" s="85"/>
      <c r="L59"/>
    </row>
    <row r="60" spans="1:12" x14ac:dyDescent="0.3">
      <c r="A60" s="95">
        <v>1015439</v>
      </c>
      <c r="B60" s="95">
        <v>59</v>
      </c>
      <c r="C60" s="95" t="s">
        <v>87</v>
      </c>
      <c r="E60" s="85" t="s">
        <v>36</v>
      </c>
      <c r="F60" s="85"/>
      <c r="G60" s="85"/>
      <c r="L60"/>
    </row>
    <row r="61" spans="1:12" x14ac:dyDescent="0.3">
      <c r="A61" s="95">
        <v>1015005</v>
      </c>
      <c r="B61" s="95">
        <v>60</v>
      </c>
      <c r="C61" s="95" t="s">
        <v>87</v>
      </c>
      <c r="E61" s="85" t="s">
        <v>36</v>
      </c>
      <c r="F61" s="85"/>
      <c r="G61" s="85"/>
      <c r="L61"/>
    </row>
    <row r="62" spans="1:12" x14ac:dyDescent="0.3">
      <c r="A62" s="95">
        <v>1006191</v>
      </c>
      <c r="B62" s="95">
        <v>61</v>
      </c>
      <c r="C62" s="95" t="s">
        <v>87</v>
      </c>
      <c r="E62" s="85" t="s">
        <v>36</v>
      </c>
      <c r="F62" s="85"/>
      <c r="G62" s="85"/>
      <c r="L62"/>
    </row>
    <row r="63" spans="1:12" x14ac:dyDescent="0.3">
      <c r="A63" s="95">
        <v>1015153</v>
      </c>
      <c r="B63" s="95">
        <v>62</v>
      </c>
      <c r="C63" s="95" t="s">
        <v>87</v>
      </c>
      <c r="E63" s="85" t="s">
        <v>36</v>
      </c>
      <c r="F63" s="85"/>
      <c r="G63" s="85"/>
      <c r="L63"/>
    </row>
    <row r="64" spans="1:12" x14ac:dyDescent="0.3">
      <c r="A64" s="95">
        <v>1007536</v>
      </c>
      <c r="B64" s="95">
        <v>63</v>
      </c>
      <c r="C64" s="95" t="s">
        <v>87</v>
      </c>
      <c r="E64" s="85" t="s">
        <v>36</v>
      </c>
      <c r="F64" s="85"/>
      <c r="G64" s="85"/>
      <c r="L64"/>
    </row>
    <row r="65" spans="1:12" x14ac:dyDescent="0.3">
      <c r="A65" s="95">
        <v>1013452</v>
      </c>
      <c r="B65" s="95">
        <v>64</v>
      </c>
      <c r="C65" s="95" t="s">
        <v>87</v>
      </c>
      <c r="E65" s="85" t="s">
        <v>36</v>
      </c>
      <c r="F65" s="85"/>
      <c r="G65" s="85"/>
      <c r="L65"/>
    </row>
    <row r="66" spans="1:12" x14ac:dyDescent="0.3">
      <c r="A66" s="95">
        <v>1013136</v>
      </c>
      <c r="B66" s="95">
        <v>65</v>
      </c>
      <c r="C66" s="95" t="s">
        <v>87</v>
      </c>
      <c r="E66" s="85" t="s">
        <v>36</v>
      </c>
      <c r="F66" s="85"/>
      <c r="G66" s="85"/>
      <c r="L66"/>
    </row>
    <row r="67" spans="1:12" x14ac:dyDescent="0.3">
      <c r="A67" s="95">
        <v>332951</v>
      </c>
      <c r="B67" s="95">
        <v>66</v>
      </c>
      <c r="C67" s="95" t="s">
        <v>87</v>
      </c>
      <c r="E67" s="85" t="s">
        <v>36</v>
      </c>
      <c r="F67" s="85"/>
      <c r="G67" s="85"/>
      <c r="L67"/>
    </row>
    <row r="68" spans="1:12" x14ac:dyDescent="0.3">
      <c r="A68" s="95">
        <v>396669</v>
      </c>
      <c r="B68" s="95">
        <v>67</v>
      </c>
      <c r="C68" s="95" t="s">
        <v>87</v>
      </c>
      <c r="E68" s="85" t="s">
        <v>36</v>
      </c>
      <c r="F68" s="85"/>
      <c r="G68" s="85"/>
      <c r="L68"/>
    </row>
    <row r="69" spans="1:12" x14ac:dyDescent="0.3">
      <c r="A69" s="95">
        <v>358656</v>
      </c>
      <c r="B69" s="95">
        <v>68</v>
      </c>
      <c r="C69" s="95" t="s">
        <v>87</v>
      </c>
      <c r="E69" s="85" t="s">
        <v>36</v>
      </c>
      <c r="F69" s="85"/>
      <c r="G69" s="85"/>
      <c r="L69"/>
    </row>
    <row r="70" spans="1:12" x14ac:dyDescent="0.3">
      <c r="A70" s="95">
        <v>392058</v>
      </c>
      <c r="B70" s="95">
        <v>69</v>
      </c>
      <c r="C70" s="95" t="s">
        <v>87</v>
      </c>
      <c r="E70" s="85" t="s">
        <v>36</v>
      </c>
      <c r="F70" s="85"/>
      <c r="G70" s="85"/>
      <c r="L70"/>
    </row>
    <row r="71" spans="1:12" x14ac:dyDescent="0.3">
      <c r="A71" s="95">
        <v>393265</v>
      </c>
      <c r="B71" s="95">
        <v>70</v>
      </c>
      <c r="C71" s="95" t="s">
        <v>87</v>
      </c>
      <c r="E71" s="85" t="s">
        <v>36</v>
      </c>
      <c r="F71" s="85"/>
      <c r="G71" s="85"/>
      <c r="L71"/>
    </row>
    <row r="72" spans="1:12" x14ac:dyDescent="0.3">
      <c r="A72" s="95">
        <v>342163</v>
      </c>
      <c r="B72" s="95">
        <v>71</v>
      </c>
      <c r="C72" s="95" t="s">
        <v>87</v>
      </c>
      <c r="E72" s="85" t="s">
        <v>36</v>
      </c>
      <c r="F72" s="85"/>
      <c r="G72" s="85"/>
      <c r="L72"/>
    </row>
    <row r="73" spans="1:12" x14ac:dyDescent="0.3">
      <c r="A73" s="95">
        <v>387448</v>
      </c>
      <c r="B73" s="95">
        <v>72</v>
      </c>
      <c r="C73" s="95" t="s">
        <v>87</v>
      </c>
      <c r="E73" s="85" t="s">
        <v>36</v>
      </c>
      <c r="F73" s="85"/>
      <c r="G73" s="85"/>
      <c r="L73"/>
    </row>
    <row r="74" spans="1:12" x14ac:dyDescent="0.3">
      <c r="A74" s="95">
        <v>387446</v>
      </c>
      <c r="B74" s="95">
        <v>73</v>
      </c>
      <c r="C74" s="95" t="s">
        <v>87</v>
      </c>
      <c r="E74" s="85" t="s">
        <v>36</v>
      </c>
      <c r="F74" s="85"/>
      <c r="G74" s="85"/>
      <c r="L74"/>
    </row>
    <row r="75" spans="1:12" x14ac:dyDescent="0.3">
      <c r="A75" s="95">
        <v>1001062</v>
      </c>
      <c r="B75" s="95">
        <v>74</v>
      </c>
      <c r="C75" s="95" t="s">
        <v>87</v>
      </c>
      <c r="E75" s="85" t="s">
        <v>36</v>
      </c>
      <c r="F75" s="85"/>
      <c r="G75" s="85"/>
      <c r="L75"/>
    </row>
    <row r="76" spans="1:12" x14ac:dyDescent="0.3">
      <c r="A76" s="95">
        <v>1002583</v>
      </c>
      <c r="B76" s="95">
        <v>75</v>
      </c>
      <c r="C76" s="95" t="s">
        <v>87</v>
      </c>
      <c r="E76" s="85" t="s">
        <v>36</v>
      </c>
      <c r="F76" s="85"/>
      <c r="G76" s="85"/>
      <c r="L76"/>
    </row>
    <row r="77" spans="1:12" x14ac:dyDescent="0.3">
      <c r="A77" s="95">
        <v>390441</v>
      </c>
      <c r="B77" s="95">
        <v>76</v>
      </c>
      <c r="C77" s="95" t="s">
        <v>87</v>
      </c>
      <c r="E77" s="85" t="s">
        <v>36</v>
      </c>
      <c r="F77" s="85"/>
      <c r="G77" s="85"/>
      <c r="L77"/>
    </row>
    <row r="78" spans="1:12" x14ac:dyDescent="0.3">
      <c r="A78" s="95">
        <v>340486</v>
      </c>
      <c r="B78" s="95">
        <v>77</v>
      </c>
      <c r="C78" s="95" t="s">
        <v>87</v>
      </c>
      <c r="E78" s="85" t="s">
        <v>36</v>
      </c>
      <c r="F78" s="85"/>
      <c r="G78" s="85"/>
      <c r="L78"/>
    </row>
    <row r="79" spans="1:12" x14ac:dyDescent="0.3">
      <c r="A79" s="95">
        <v>1011001</v>
      </c>
      <c r="B79" s="95">
        <v>78</v>
      </c>
      <c r="C79" s="95" t="s">
        <v>87</v>
      </c>
      <c r="E79" s="85" t="s">
        <v>36</v>
      </c>
      <c r="F79" s="85"/>
      <c r="G79" s="85"/>
      <c r="L79"/>
    </row>
    <row r="80" spans="1:12" x14ac:dyDescent="0.3">
      <c r="A80" s="95">
        <v>1014491</v>
      </c>
      <c r="B80" s="95">
        <v>79</v>
      </c>
      <c r="C80" s="95" t="s">
        <v>87</v>
      </c>
      <c r="E80" s="85"/>
      <c r="F80" s="85"/>
      <c r="G80" s="85"/>
      <c r="L80"/>
    </row>
    <row r="81" spans="1:12" x14ac:dyDescent="0.3">
      <c r="A81" s="95">
        <v>1014023</v>
      </c>
      <c r="B81" s="95">
        <v>80</v>
      </c>
      <c r="C81" s="95" t="s">
        <v>87</v>
      </c>
      <c r="E81" s="85"/>
      <c r="F81" s="85"/>
      <c r="G81" s="85"/>
      <c r="L81"/>
    </row>
    <row r="82" spans="1:12" x14ac:dyDescent="0.3">
      <c r="A82" s="95">
        <v>367689</v>
      </c>
      <c r="B82" s="95">
        <v>81</v>
      </c>
      <c r="C82" s="95" t="s">
        <v>87</v>
      </c>
      <c r="E82" s="85"/>
      <c r="F82" s="85"/>
      <c r="G82" s="85"/>
      <c r="L82"/>
    </row>
    <row r="83" spans="1:12" x14ac:dyDescent="0.3">
      <c r="A83" s="95">
        <v>1013496</v>
      </c>
      <c r="B83" s="95">
        <v>82</v>
      </c>
      <c r="C83" s="95" t="s">
        <v>87</v>
      </c>
      <c r="E83" s="85"/>
      <c r="F83" s="85"/>
      <c r="G83" s="85"/>
      <c r="L83"/>
    </row>
    <row r="84" spans="1:12" x14ac:dyDescent="0.3">
      <c r="A84" s="95">
        <v>1013750</v>
      </c>
      <c r="B84" s="95">
        <v>83</v>
      </c>
      <c r="C84" s="95" t="s">
        <v>87</v>
      </c>
      <c r="E84" s="95"/>
      <c r="F84" s="85"/>
      <c r="G84" s="85"/>
      <c r="L84"/>
    </row>
    <row r="85" spans="1:12" x14ac:dyDescent="0.3">
      <c r="A85" s="95">
        <v>1012570</v>
      </c>
      <c r="B85" s="95">
        <v>84</v>
      </c>
      <c r="C85" s="95" t="s">
        <v>87</v>
      </c>
      <c r="E85" s="95"/>
      <c r="F85" s="85"/>
      <c r="G85" s="85"/>
      <c r="L85"/>
    </row>
    <row r="86" spans="1:12" x14ac:dyDescent="0.3">
      <c r="A86" s="95">
        <v>353134</v>
      </c>
      <c r="B86" s="95">
        <v>85</v>
      </c>
      <c r="C86" s="95" t="s">
        <v>87</v>
      </c>
      <c r="E86" s="95"/>
      <c r="F86" s="85"/>
      <c r="G86" s="85"/>
      <c r="L86"/>
    </row>
    <row r="87" spans="1:12" x14ac:dyDescent="0.3">
      <c r="A87" s="95"/>
      <c r="B87" s="95"/>
      <c r="C87" s="95" t="s">
        <v>87</v>
      </c>
      <c r="E87" s="95"/>
      <c r="F87" s="85"/>
      <c r="G87" s="85"/>
      <c r="L87"/>
    </row>
    <row r="88" spans="1:12" x14ac:dyDescent="0.3">
      <c r="A88" s="95"/>
      <c r="B88" s="95"/>
      <c r="C88" s="95" t="s">
        <v>87</v>
      </c>
      <c r="G88" s="85"/>
      <c r="L88"/>
    </row>
    <row r="89" spans="1:12" x14ac:dyDescent="0.3">
      <c r="A89" s="95"/>
      <c r="B89" s="95"/>
      <c r="C89" s="95" t="s">
        <v>87</v>
      </c>
      <c r="E89" s="95"/>
      <c r="F89" s="85"/>
      <c r="G89" s="85"/>
    </row>
    <row r="90" spans="1:12" x14ac:dyDescent="0.3">
      <c r="A90" s="95"/>
      <c r="B90" s="95"/>
      <c r="C90" s="95" t="s">
        <v>87</v>
      </c>
      <c r="E90" s="95"/>
      <c r="F90" s="85"/>
      <c r="G90" s="85"/>
    </row>
    <row r="91" spans="1:12" x14ac:dyDescent="0.3">
      <c r="A91" s="95"/>
      <c r="B91" s="95"/>
      <c r="C91" s="95" t="s">
        <v>87</v>
      </c>
      <c r="E91" s="95"/>
      <c r="F91" s="85"/>
      <c r="G91" s="85"/>
    </row>
    <row r="92" spans="1:12" x14ac:dyDescent="0.3">
      <c r="A92" s="95"/>
      <c r="B92" s="95"/>
      <c r="C92" s="95" t="s">
        <v>87</v>
      </c>
      <c r="E92" s="95"/>
      <c r="F92" s="85"/>
      <c r="G92" s="85"/>
    </row>
    <row r="93" spans="1:12" x14ac:dyDescent="0.3">
      <c r="A93" s="95"/>
      <c r="B93" s="95"/>
      <c r="C93" s="95" t="s">
        <v>87</v>
      </c>
      <c r="E93" s="95"/>
      <c r="F93" s="85"/>
      <c r="G93" s="85"/>
    </row>
    <row r="94" spans="1:12" x14ac:dyDescent="0.3">
      <c r="A94" s="95"/>
      <c r="B94" s="95"/>
      <c r="C94" s="95" t="s">
        <v>87</v>
      </c>
      <c r="E94" s="95"/>
      <c r="F94" s="85"/>
      <c r="G94" s="85"/>
    </row>
    <row r="95" spans="1:12" x14ac:dyDescent="0.3">
      <c r="A95" s="95"/>
      <c r="B95" s="95"/>
      <c r="C95" s="95" t="s">
        <v>87</v>
      </c>
      <c r="E95" s="95"/>
      <c r="F95" s="85"/>
      <c r="G95" s="85"/>
    </row>
    <row r="96" spans="1:12" x14ac:dyDescent="0.3">
      <c r="A96" s="95"/>
      <c r="B96" s="95"/>
      <c r="C96" s="95" t="s">
        <v>87</v>
      </c>
      <c r="E96" s="95"/>
      <c r="F96" s="85"/>
    </row>
    <row r="97" spans="1:5" x14ac:dyDescent="0.3">
      <c r="A97" s="95"/>
      <c r="B97" s="95"/>
      <c r="C97" s="95" t="s">
        <v>87</v>
      </c>
      <c r="E97" s="95"/>
    </row>
    <row r="98" spans="1:5" x14ac:dyDescent="0.3">
      <c r="A98" s="95"/>
      <c r="B98" s="95"/>
      <c r="C98" s="95" t="s">
        <v>87</v>
      </c>
      <c r="E98" s="95"/>
    </row>
    <row r="99" spans="1:5" x14ac:dyDescent="0.3">
      <c r="A99" s="95"/>
      <c r="B99" s="95"/>
      <c r="C99" s="95" t="s">
        <v>87</v>
      </c>
      <c r="E99" s="95"/>
    </row>
    <row r="100" spans="1:5" x14ac:dyDescent="0.3">
      <c r="A100" s="95"/>
      <c r="B100" s="95"/>
      <c r="C100" s="95" t="s">
        <v>87</v>
      </c>
      <c r="E100" s="95"/>
    </row>
    <row r="101" spans="1:5" x14ac:dyDescent="0.3">
      <c r="A101" s="95"/>
      <c r="B101" s="95"/>
      <c r="C101" s="95" t="s">
        <v>87</v>
      </c>
      <c r="E101" s="95"/>
    </row>
    <row r="102" spans="1:5" x14ac:dyDescent="0.3">
      <c r="A102" s="95"/>
      <c r="B102" s="95"/>
      <c r="C102" s="95" t="s">
        <v>87</v>
      </c>
      <c r="E102" s="95"/>
    </row>
    <row r="103" spans="1:5" x14ac:dyDescent="0.3">
      <c r="A103" s="95"/>
      <c r="B103" s="95"/>
      <c r="C103" s="95" t="s">
        <v>87</v>
      </c>
      <c r="E103" s="95"/>
    </row>
    <row r="104" spans="1:5" x14ac:dyDescent="0.3">
      <c r="A104" s="95"/>
      <c r="B104" s="95"/>
      <c r="C104" s="95" t="s">
        <v>87</v>
      </c>
      <c r="E104" s="95"/>
    </row>
    <row r="105" spans="1:5" x14ac:dyDescent="0.3">
      <c r="A105" s="95"/>
      <c r="B105" s="95"/>
      <c r="C105" s="95" t="s">
        <v>87</v>
      </c>
      <c r="E105" s="95"/>
    </row>
    <row r="106" spans="1:5" x14ac:dyDescent="0.3">
      <c r="A106" s="95"/>
      <c r="B106" s="95"/>
      <c r="C106" s="95" t="s">
        <v>87</v>
      </c>
      <c r="E106" s="95"/>
    </row>
    <row r="107" spans="1:5" x14ac:dyDescent="0.3">
      <c r="A107" s="95"/>
      <c r="B107" s="95"/>
      <c r="C107" s="95" t="s">
        <v>87</v>
      </c>
      <c r="E107" s="95"/>
    </row>
    <row r="108" spans="1:5" x14ac:dyDescent="0.3">
      <c r="A108" s="95"/>
      <c r="B108" s="95"/>
      <c r="C108" s="95" t="s">
        <v>87</v>
      </c>
    </row>
    <row r="109" spans="1:5" x14ac:dyDescent="0.3">
      <c r="A109" s="95"/>
      <c r="B109" s="95"/>
      <c r="C109" s="95" t="s">
        <v>87</v>
      </c>
    </row>
    <row r="110" spans="1:5" x14ac:dyDescent="0.3">
      <c r="A110" s="95"/>
      <c r="B110" s="95"/>
      <c r="C110" s="95" t="s">
        <v>87</v>
      </c>
    </row>
    <row r="111" spans="1:5" x14ac:dyDescent="0.3">
      <c r="A111" s="95"/>
      <c r="B111" s="95"/>
      <c r="C111" s="95" t="s">
        <v>87</v>
      </c>
    </row>
    <row r="112" spans="1:5" x14ac:dyDescent="0.3">
      <c r="A112" s="95"/>
      <c r="B112" s="95"/>
      <c r="C112" s="95" t="s">
        <v>87</v>
      </c>
    </row>
    <row r="113" spans="1:3" x14ac:dyDescent="0.3">
      <c r="A113" s="95"/>
      <c r="B113" s="95"/>
      <c r="C113" s="95" t="s">
        <v>87</v>
      </c>
    </row>
    <row r="114" spans="1:3" x14ac:dyDescent="0.3">
      <c r="A114" s="95"/>
      <c r="B114" s="95"/>
      <c r="C114" s="95" t="s">
        <v>87</v>
      </c>
    </row>
    <row r="115" spans="1:3" x14ac:dyDescent="0.3">
      <c r="A115" s="95"/>
      <c r="B115" s="95"/>
      <c r="C115" s="95" t="s">
        <v>87</v>
      </c>
    </row>
    <row r="116" spans="1:3" x14ac:dyDescent="0.3">
      <c r="A116" s="95"/>
      <c r="B116" s="95"/>
      <c r="C116" s="95" t="s">
        <v>87</v>
      </c>
    </row>
    <row r="117" spans="1:3" x14ac:dyDescent="0.3">
      <c r="A117" s="95"/>
      <c r="B117" s="95"/>
      <c r="C117" s="95" t="s">
        <v>87</v>
      </c>
    </row>
    <row r="118" spans="1:3" x14ac:dyDescent="0.3">
      <c r="A118" s="95"/>
      <c r="B118" s="95"/>
      <c r="C118" s="95" t="s">
        <v>87</v>
      </c>
    </row>
    <row r="119" spans="1:3" x14ac:dyDescent="0.3">
      <c r="A119" s="95"/>
      <c r="B119" s="95"/>
      <c r="C119" s="95" t="s">
        <v>87</v>
      </c>
    </row>
    <row r="120" spans="1:3" x14ac:dyDescent="0.3">
      <c r="A120" s="95"/>
      <c r="B120" s="95"/>
      <c r="C120" s="95" t="s">
        <v>87</v>
      </c>
    </row>
    <row r="121" spans="1:3" x14ac:dyDescent="0.3">
      <c r="A121" s="95"/>
      <c r="B121" s="95"/>
      <c r="C121" s="95"/>
    </row>
    <row r="122" spans="1:3" x14ac:dyDescent="0.3">
      <c r="A122" s="95"/>
      <c r="B122" s="95"/>
      <c r="C122" s="95"/>
    </row>
    <row r="123" spans="1:3" x14ac:dyDescent="0.3">
      <c r="A123" s="95"/>
      <c r="B123" s="95"/>
      <c r="C123" s="95"/>
    </row>
    <row r="124" spans="1:3" x14ac:dyDescent="0.3">
      <c r="A124" s="95"/>
      <c r="B124" s="95"/>
      <c r="C124" s="95"/>
    </row>
    <row r="125" spans="1:3" x14ac:dyDescent="0.3">
      <c r="A125" s="95"/>
      <c r="B125" s="95"/>
      <c r="C125" s="95"/>
    </row>
    <row r="126" spans="1:3" x14ac:dyDescent="0.3">
      <c r="A126" s="95"/>
      <c r="B126" s="95"/>
      <c r="C126" s="95"/>
    </row>
    <row r="127" spans="1:3" x14ac:dyDescent="0.3">
      <c r="A127" s="95"/>
      <c r="B127" s="95"/>
      <c r="C127" s="95"/>
    </row>
    <row r="128" spans="1:3" x14ac:dyDescent="0.3">
      <c r="A128" s="95"/>
      <c r="B128" s="95"/>
      <c r="C128" s="95"/>
    </row>
    <row r="129" spans="1:3" x14ac:dyDescent="0.3">
      <c r="A129" s="95"/>
      <c r="B129" s="95"/>
      <c r="C129" s="95"/>
    </row>
    <row r="130" spans="1:3" x14ac:dyDescent="0.3">
      <c r="A130" s="95"/>
      <c r="B130" s="95"/>
      <c r="C130" s="95"/>
    </row>
    <row r="131" spans="1:3" x14ac:dyDescent="0.3">
      <c r="A131" s="95"/>
      <c r="B131" s="95"/>
      <c r="C131" s="95"/>
    </row>
    <row r="132" spans="1:3" x14ac:dyDescent="0.3">
      <c r="A132" s="95"/>
      <c r="B132" s="95"/>
      <c r="C132" s="95"/>
    </row>
    <row r="133" spans="1:3" x14ac:dyDescent="0.3">
      <c r="A133" s="95"/>
      <c r="B133" s="95"/>
      <c r="C133" s="95"/>
    </row>
    <row r="134" spans="1:3" x14ac:dyDescent="0.3">
      <c r="A134" s="95"/>
      <c r="B134" s="95"/>
      <c r="C134" s="95"/>
    </row>
    <row r="135" spans="1:3" x14ac:dyDescent="0.3">
      <c r="A135" s="95"/>
      <c r="B135" s="95"/>
      <c r="C135" s="95"/>
    </row>
    <row r="136" spans="1:3" x14ac:dyDescent="0.3">
      <c r="A136" s="95"/>
      <c r="B136" s="95"/>
      <c r="C136" s="95"/>
    </row>
    <row r="137" spans="1:3" x14ac:dyDescent="0.3">
      <c r="A137" s="95"/>
      <c r="B137" s="95"/>
      <c r="C137" s="95"/>
    </row>
    <row r="138" spans="1:3" x14ac:dyDescent="0.3">
      <c r="A138" s="95"/>
      <c r="B138" s="95"/>
      <c r="C138" s="95"/>
    </row>
    <row r="139" spans="1:3" x14ac:dyDescent="0.3">
      <c r="A139" s="95"/>
      <c r="B139" s="95"/>
      <c r="C139" s="95"/>
    </row>
    <row r="140" spans="1:3" x14ac:dyDescent="0.3">
      <c r="A140" s="95"/>
      <c r="B140" s="95"/>
      <c r="C140" s="95"/>
    </row>
    <row r="141" spans="1:3" x14ac:dyDescent="0.3">
      <c r="A141" s="95"/>
      <c r="B141" s="95"/>
      <c r="C141" s="95"/>
    </row>
    <row r="142" spans="1:3" x14ac:dyDescent="0.3">
      <c r="A142" s="95"/>
      <c r="B142" s="95"/>
      <c r="C142" s="95"/>
    </row>
    <row r="143" spans="1:3" x14ac:dyDescent="0.3">
      <c r="A143" s="95"/>
      <c r="B143" s="95"/>
      <c r="C143" s="95"/>
    </row>
    <row r="144" spans="1:3" x14ac:dyDescent="0.3">
      <c r="A144" s="95"/>
      <c r="B144" s="95"/>
      <c r="C144" s="95"/>
    </row>
    <row r="145" spans="1:3" x14ac:dyDescent="0.3">
      <c r="A145" s="95"/>
      <c r="B145" s="95"/>
      <c r="C145" s="95"/>
    </row>
    <row r="146" spans="1:3" x14ac:dyDescent="0.3">
      <c r="A146" s="95"/>
      <c r="B146" s="95"/>
      <c r="C146" s="95"/>
    </row>
    <row r="147" spans="1:3" x14ac:dyDescent="0.3">
      <c r="A147" s="95"/>
      <c r="B147" s="95"/>
      <c r="C147" s="95"/>
    </row>
    <row r="148" spans="1:3" x14ac:dyDescent="0.3">
      <c r="A148" s="95"/>
      <c r="B148" s="95"/>
      <c r="C148" s="95"/>
    </row>
    <row r="149" spans="1:3" x14ac:dyDescent="0.3">
      <c r="A149" s="95"/>
      <c r="B149" s="95"/>
      <c r="C149" s="95"/>
    </row>
    <row r="150" spans="1:3" x14ac:dyDescent="0.3">
      <c r="A150" s="95"/>
      <c r="B150" s="95"/>
      <c r="C150" s="95"/>
    </row>
    <row r="151" spans="1:3" x14ac:dyDescent="0.3">
      <c r="A151" s="95"/>
      <c r="B151" s="95"/>
      <c r="C151" s="95"/>
    </row>
    <row r="152" spans="1:3" x14ac:dyDescent="0.3">
      <c r="A152" s="95"/>
      <c r="B152" s="95"/>
      <c r="C152" s="95"/>
    </row>
    <row r="153" spans="1:3" x14ac:dyDescent="0.3">
      <c r="C153" s="95"/>
    </row>
    <row r="154" spans="1:3" x14ac:dyDescent="0.3">
      <c r="C154" s="95"/>
    </row>
    <row r="155" spans="1:3" x14ac:dyDescent="0.3">
      <c r="C155" s="95"/>
    </row>
  </sheetData>
  <sortState ref="L1:L15">
    <sortCondition ref="L1"/>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F28"/>
  <sheetViews>
    <sheetView workbookViewId="0">
      <selection activeCell="A2" sqref="A2"/>
    </sheetView>
  </sheetViews>
  <sheetFormatPr defaultRowHeight="14.4" x14ac:dyDescent="0.3"/>
  <cols>
    <col min="1" max="1" width="11.33203125" customWidth="1"/>
    <col min="2" max="2" width="64.44140625" customWidth="1"/>
    <col min="4" max="4" width="15.109375" customWidth="1"/>
  </cols>
  <sheetData>
    <row r="1" spans="1:6" s="95" customFormat="1" x14ac:dyDescent="0.3">
      <c r="D1" s="239" t="s">
        <v>1795</v>
      </c>
      <c r="E1" s="243" t="s">
        <v>1854</v>
      </c>
      <c r="F1" s="244" t="s">
        <v>1855</v>
      </c>
    </row>
    <row r="2" spans="1:6" s="95" customFormat="1" x14ac:dyDescent="0.3">
      <c r="D2" s="240" t="s">
        <v>1856</v>
      </c>
      <c r="E2" s="217">
        <v>43926</v>
      </c>
      <c r="F2" s="246">
        <v>0.67435185185185187</v>
      </c>
    </row>
    <row r="3" spans="1:6" s="95" customFormat="1" x14ac:dyDescent="0.3">
      <c r="D3" s="240" t="s">
        <v>1857</v>
      </c>
      <c r="E3" s="217">
        <v>43926</v>
      </c>
      <c r="F3" s="246">
        <v>0.67439814814814814</v>
      </c>
    </row>
    <row r="4" spans="1:6" s="95" customFormat="1" x14ac:dyDescent="0.3">
      <c r="D4" s="240" t="s">
        <v>1858</v>
      </c>
      <c r="E4" s="217">
        <v>43926</v>
      </c>
      <c r="F4" s="246">
        <v>0.67467592592592596</v>
      </c>
    </row>
    <row r="5" spans="1:6" s="95" customFormat="1" x14ac:dyDescent="0.3">
      <c r="D5" s="241" t="s">
        <v>1859</v>
      </c>
      <c r="E5" s="217">
        <v>43926</v>
      </c>
      <c r="F5" s="246">
        <v>0.67491898148148144</v>
      </c>
    </row>
    <row r="6" spans="1:6" s="95" customFormat="1" x14ac:dyDescent="0.3">
      <c r="D6" s="241" t="s">
        <v>1860</v>
      </c>
      <c r="E6" s="217">
        <v>43926</v>
      </c>
      <c r="F6" s="246">
        <v>0.6752893518518519</v>
      </c>
    </row>
    <row r="7" spans="1:6" x14ac:dyDescent="0.3">
      <c r="A7" s="35" t="s">
        <v>73</v>
      </c>
      <c r="B7" s="36" t="s">
        <v>74</v>
      </c>
      <c r="C7" s="95"/>
      <c r="D7" s="241" t="s">
        <v>1861</v>
      </c>
      <c r="E7" s="217">
        <v>43926</v>
      </c>
      <c r="F7" s="246">
        <v>0.67574074074074064</v>
      </c>
    </row>
    <row r="8" spans="1:6" ht="15" thickBot="1" x14ac:dyDescent="0.35">
      <c r="A8" s="37">
        <v>1</v>
      </c>
      <c r="B8" s="34" t="s">
        <v>1780</v>
      </c>
      <c r="C8" s="95"/>
      <c r="D8" s="242" t="s">
        <v>1862</v>
      </c>
      <c r="E8" s="245">
        <v>43926</v>
      </c>
      <c r="F8" s="247">
        <v>0.67609953703703696</v>
      </c>
    </row>
    <row r="9" spans="1:6" s="95" customFormat="1" x14ac:dyDescent="0.3">
      <c r="A9" s="37">
        <v>2</v>
      </c>
      <c r="B9" s="34" t="s">
        <v>1768</v>
      </c>
    </row>
    <row r="10" spans="1:6" s="95" customFormat="1" x14ac:dyDescent="0.3">
      <c r="A10" s="37">
        <v>3</v>
      </c>
      <c r="B10" s="34" t="s">
        <v>1779</v>
      </c>
    </row>
    <row r="11" spans="1:6" s="95" customFormat="1" x14ac:dyDescent="0.3">
      <c r="A11" s="37">
        <v>4</v>
      </c>
      <c r="B11" s="34" t="s">
        <v>1794</v>
      </c>
    </row>
    <row r="12" spans="1:6" s="95" customFormat="1" x14ac:dyDescent="0.3">
      <c r="A12" s="37">
        <v>5</v>
      </c>
      <c r="B12" s="34" t="s">
        <v>1832</v>
      </c>
    </row>
    <row r="13" spans="1:6" s="95" customFormat="1" x14ac:dyDescent="0.3">
      <c r="A13" s="39"/>
      <c r="B13" s="33"/>
    </row>
    <row r="14" spans="1:6" x14ac:dyDescent="0.3">
      <c r="A14" s="38"/>
      <c r="B14" s="85"/>
      <c r="C14" s="95"/>
    </row>
    <row r="15" spans="1:6" x14ac:dyDescent="0.3">
      <c r="A15" s="40" t="s">
        <v>75</v>
      </c>
      <c r="B15" s="41"/>
      <c r="C15" s="95"/>
    </row>
    <row r="16" spans="1:6" x14ac:dyDescent="0.3">
      <c r="A16" s="37">
        <v>1</v>
      </c>
      <c r="B16" s="34" t="s">
        <v>76</v>
      </c>
      <c r="C16" s="95"/>
    </row>
    <row r="17" spans="1:3" x14ac:dyDescent="0.3">
      <c r="A17" s="37">
        <v>2</v>
      </c>
      <c r="B17" s="34" t="s">
        <v>77</v>
      </c>
      <c r="C17" s="95"/>
    </row>
    <row r="18" spans="1:3" x14ac:dyDescent="0.3">
      <c r="A18" s="37">
        <v>3</v>
      </c>
      <c r="B18" s="34" t="s">
        <v>78</v>
      </c>
      <c r="C18" s="95"/>
    </row>
    <row r="19" spans="1:3" x14ac:dyDescent="0.3">
      <c r="A19" s="39"/>
      <c r="B19" s="33"/>
      <c r="C19" s="95"/>
    </row>
    <row r="20" spans="1:3" s="95" customFormat="1" x14ac:dyDescent="0.3">
      <c r="A20" s="39"/>
      <c r="B20" s="33"/>
    </row>
    <row r="21" spans="1:3" s="95" customFormat="1" x14ac:dyDescent="0.3">
      <c r="A21" s="40" t="s">
        <v>834</v>
      </c>
      <c r="B21" s="41"/>
    </row>
    <row r="22" spans="1:3" s="95" customFormat="1" x14ac:dyDescent="0.3">
      <c r="A22" s="37">
        <v>1</v>
      </c>
      <c r="B22" s="34" t="s">
        <v>1833</v>
      </c>
    </row>
    <row r="23" spans="1:3" s="95" customFormat="1" x14ac:dyDescent="0.3">
      <c r="A23" s="37">
        <v>2</v>
      </c>
      <c r="B23" s="34" t="s">
        <v>828</v>
      </c>
    </row>
    <row r="24" spans="1:3" s="95" customFormat="1" x14ac:dyDescent="0.3">
      <c r="A24" s="37">
        <v>3</v>
      </c>
      <c r="B24" s="34" t="s">
        <v>835</v>
      </c>
    </row>
    <row r="25" spans="1:3" s="95" customFormat="1" x14ac:dyDescent="0.3">
      <c r="A25" s="39"/>
      <c r="B25" s="33"/>
    </row>
    <row r="26" spans="1:3" x14ac:dyDescent="0.3">
      <c r="A26" s="39"/>
      <c r="B26" s="33"/>
      <c r="C26" s="85"/>
    </row>
    <row r="27" spans="1:3" x14ac:dyDescent="0.3">
      <c r="A27" s="38"/>
      <c r="B27" s="38" t="s">
        <v>1834</v>
      </c>
      <c r="C27" s="203" t="s">
        <v>1835</v>
      </c>
    </row>
    <row r="28" spans="1:3" x14ac:dyDescent="0.3">
      <c r="A28" s="38"/>
      <c r="B28" s="38" t="s">
        <v>79</v>
      </c>
      <c r="C28" s="85"/>
    </row>
  </sheetData>
  <hyperlinks>
    <hyperlink ref="C27"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Import_from_Inc_all">
                <anchor moveWithCells="1" sizeWithCells="1">
                  <from>
                    <xdr:col>1</xdr:col>
                    <xdr:colOff>1143000</xdr:colOff>
                    <xdr:row>0</xdr:row>
                    <xdr:rowOff>30480</xdr:rowOff>
                  </from>
                  <to>
                    <xdr:col>1</xdr:col>
                    <xdr:colOff>3467100</xdr:colOff>
                    <xdr:row>4</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B11"/>
  <sheetViews>
    <sheetView workbookViewId="0">
      <selection activeCell="A12" sqref="A12"/>
    </sheetView>
  </sheetViews>
  <sheetFormatPr defaultColWidth="8.88671875" defaultRowHeight="14.4" x14ac:dyDescent="0.3"/>
  <cols>
    <col min="1" max="1" width="12.109375" style="52" customWidth="1"/>
    <col min="2" max="2" width="62.44140625" style="52" customWidth="1"/>
    <col min="3" max="16384" width="8.88671875" style="52"/>
  </cols>
  <sheetData>
    <row r="2" spans="1:2" ht="21" x14ac:dyDescent="0.3">
      <c r="A2" s="85"/>
      <c r="B2" s="82" t="s">
        <v>88</v>
      </c>
    </row>
    <row r="3" spans="1:2" ht="15.6" x14ac:dyDescent="0.3">
      <c r="A3" s="85"/>
      <c r="B3" s="83"/>
    </row>
    <row r="4" spans="1:2" x14ac:dyDescent="0.3">
      <c r="A4" s="85"/>
      <c r="B4" s="84" t="s">
        <v>89</v>
      </c>
    </row>
    <row r="5" spans="1:2" x14ac:dyDescent="0.3">
      <c r="A5" s="85" t="s">
        <v>90</v>
      </c>
      <c r="B5" s="84" t="s">
        <v>91</v>
      </c>
    </row>
    <row r="6" spans="1:2" x14ac:dyDescent="0.3">
      <c r="A6" s="85" t="s">
        <v>92</v>
      </c>
      <c r="B6" s="84" t="s">
        <v>93</v>
      </c>
    </row>
    <row r="7" spans="1:2" x14ac:dyDescent="0.3">
      <c r="A7" s="85" t="s">
        <v>94</v>
      </c>
      <c r="B7" s="84" t="s">
        <v>95</v>
      </c>
    </row>
    <row r="8" spans="1:2" x14ac:dyDescent="0.3">
      <c r="A8" s="85" t="s">
        <v>96</v>
      </c>
      <c r="B8" s="84" t="s">
        <v>97</v>
      </c>
    </row>
    <row r="9" spans="1:2" x14ac:dyDescent="0.3">
      <c r="A9" s="85" t="s">
        <v>98</v>
      </c>
      <c r="B9" s="84" t="s">
        <v>99</v>
      </c>
    </row>
    <row r="10" spans="1:2" x14ac:dyDescent="0.3">
      <c r="A10" s="85" t="s">
        <v>100</v>
      </c>
      <c r="B10" s="84" t="s">
        <v>101</v>
      </c>
    </row>
    <row r="11" spans="1:2" x14ac:dyDescent="0.3">
      <c r="A11" s="85" t="s">
        <v>102</v>
      </c>
      <c r="B11" s="84" t="s">
        <v>103</v>
      </c>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O345"/>
  <sheetViews>
    <sheetView zoomScale="80" zoomScaleNormal="80" workbookViewId="0">
      <pane ySplit="1" topLeftCell="A62" activePane="bottomLeft" state="frozen"/>
      <selection pane="bottomLeft" activeCell="A73" sqref="A73"/>
    </sheetView>
  </sheetViews>
  <sheetFormatPr defaultRowHeight="14.4" x14ac:dyDescent="0.3"/>
  <cols>
    <col min="1" max="1" width="8.88671875" style="95"/>
    <col min="2" max="2" width="8.44140625" style="95" customWidth="1"/>
    <col min="3" max="3" width="9.5546875" style="95" customWidth="1"/>
    <col min="4" max="4" width="8" style="95" customWidth="1"/>
    <col min="5" max="5" width="31.6640625" style="95" customWidth="1"/>
    <col min="6" max="13" width="3.6640625" style="95" customWidth="1"/>
    <col min="14" max="14" width="4.6640625" style="95" customWidth="1"/>
    <col min="15" max="18" width="3.6640625" style="95" customWidth="1"/>
    <col min="19" max="19" width="2.6640625" style="95" customWidth="1"/>
    <col min="20" max="33" width="3.6640625" style="95" customWidth="1"/>
    <col min="34" max="34" width="5.6640625" style="95" customWidth="1"/>
    <col min="35" max="50" width="4.44140625" style="95" customWidth="1"/>
    <col min="51" max="57" width="3.6640625" style="95" customWidth="1"/>
    <col min="58" max="58" width="4.88671875" style="95" customWidth="1"/>
    <col min="59" max="59" width="3.6640625" style="95" customWidth="1"/>
    <col min="60" max="60" width="5.6640625" style="95" customWidth="1"/>
    <col min="61" max="61" width="7" style="95" customWidth="1"/>
    <col min="62" max="92" width="3.6640625" style="95" customWidth="1"/>
    <col min="93" max="93" width="5.6640625" style="95" customWidth="1"/>
    <col min="94" max="102" width="3.6640625" style="95" customWidth="1"/>
    <col min="103" max="103" width="5.33203125" style="95" customWidth="1"/>
    <col min="104" max="119" width="3.6640625" style="95" customWidth="1"/>
  </cols>
  <sheetData>
    <row r="1" spans="1:119" ht="148.80000000000001" x14ac:dyDescent="0.3">
      <c r="A1" s="116"/>
      <c r="B1" s="117" t="s">
        <v>0</v>
      </c>
      <c r="C1" s="117" t="s">
        <v>116</v>
      </c>
      <c r="D1" s="117" t="s">
        <v>142</v>
      </c>
      <c r="E1" s="117" t="s">
        <v>1</v>
      </c>
      <c r="F1" s="117" t="s">
        <v>2</v>
      </c>
      <c r="G1" s="117" t="s">
        <v>3</v>
      </c>
      <c r="H1" s="117" t="s">
        <v>4</v>
      </c>
      <c r="I1" s="117" t="s">
        <v>143</v>
      </c>
      <c r="J1" s="117" t="s">
        <v>5</v>
      </c>
      <c r="K1" s="117" t="s">
        <v>144</v>
      </c>
      <c r="L1" s="117" t="s">
        <v>145</v>
      </c>
      <c r="M1" s="117" t="s">
        <v>6</v>
      </c>
      <c r="N1" s="117" t="s">
        <v>7</v>
      </c>
      <c r="O1" s="118" t="s">
        <v>67</v>
      </c>
      <c r="P1" s="118" t="s">
        <v>146</v>
      </c>
      <c r="Q1" s="118" t="s">
        <v>68</v>
      </c>
      <c r="R1" s="118" t="s">
        <v>117</v>
      </c>
      <c r="S1" s="118" t="s">
        <v>147</v>
      </c>
      <c r="T1" s="118" t="s">
        <v>8</v>
      </c>
      <c r="U1" s="118" t="s">
        <v>148</v>
      </c>
      <c r="V1" s="118" t="s">
        <v>149</v>
      </c>
      <c r="W1" s="118" t="s">
        <v>150</v>
      </c>
      <c r="X1" s="118" t="s">
        <v>151</v>
      </c>
      <c r="Y1" s="118" t="s">
        <v>152</v>
      </c>
      <c r="Z1" s="118" t="s">
        <v>153</v>
      </c>
      <c r="AA1" s="118" t="s">
        <v>154</v>
      </c>
      <c r="AB1" s="118" t="s">
        <v>155</v>
      </c>
      <c r="AC1" s="118" t="s">
        <v>156</v>
      </c>
      <c r="AD1" s="118" t="s">
        <v>157</v>
      </c>
      <c r="AE1" s="118" t="s">
        <v>158</v>
      </c>
      <c r="AF1" s="118" t="s">
        <v>159</v>
      </c>
      <c r="AG1" s="81" t="s">
        <v>11</v>
      </c>
      <c r="AH1" s="81" t="s">
        <v>12</v>
      </c>
      <c r="AI1" s="81" t="s">
        <v>13</v>
      </c>
      <c r="AJ1" s="81" t="s">
        <v>109</v>
      </c>
      <c r="AK1" s="81" t="s">
        <v>551</v>
      </c>
      <c r="AL1" s="81" t="s">
        <v>107</v>
      </c>
      <c r="AM1" s="81" t="s">
        <v>108</v>
      </c>
      <c r="AN1" s="81" t="s">
        <v>14</v>
      </c>
      <c r="AO1" s="81" t="s">
        <v>15</v>
      </c>
      <c r="AP1" s="81" t="s">
        <v>129</v>
      </c>
      <c r="AQ1" s="81" t="s">
        <v>16</v>
      </c>
      <c r="AR1" s="81" t="s">
        <v>17</v>
      </c>
      <c r="AS1" s="81" t="s">
        <v>18</v>
      </c>
      <c r="AT1" s="81" t="s">
        <v>552</v>
      </c>
      <c r="AU1" s="81" t="s">
        <v>19</v>
      </c>
      <c r="AV1" s="81" t="s">
        <v>20</v>
      </c>
      <c r="AW1" s="81" t="s">
        <v>119</v>
      </c>
      <c r="AX1" s="81" t="s">
        <v>120</v>
      </c>
      <c r="AY1" s="81" t="s">
        <v>21</v>
      </c>
      <c r="AZ1" s="81" t="str">
        <f>$A$14</f>
        <v>PI 11</v>
      </c>
      <c r="BA1" s="81" t="s">
        <v>22</v>
      </c>
      <c r="BB1" s="81" t="str">
        <f>CONCATENATE("PI ", TEXT(VALUE(RIGHT(CONCATENATE(A10,A11,A12,A13),2)+1),"00"))</f>
        <v>PI 13</v>
      </c>
      <c r="BC1" s="119" t="s">
        <v>26</v>
      </c>
      <c r="BD1" s="119" t="s">
        <v>123</v>
      </c>
      <c r="BE1" s="119" t="s">
        <v>160</v>
      </c>
      <c r="BF1" s="81" t="s">
        <v>111</v>
      </c>
      <c r="BG1" s="81" t="s">
        <v>112</v>
      </c>
      <c r="BH1" s="119" t="s">
        <v>23</v>
      </c>
      <c r="BI1" s="119" t="s">
        <v>161</v>
      </c>
      <c r="BJ1" s="120" t="s">
        <v>0</v>
      </c>
      <c r="BK1" s="120"/>
      <c r="BL1" s="120"/>
      <c r="BM1" s="120" t="s">
        <v>1</v>
      </c>
      <c r="BN1" s="120" t="s">
        <v>2</v>
      </c>
      <c r="BO1" s="120" t="s">
        <v>3</v>
      </c>
      <c r="BP1" s="120" t="s">
        <v>4</v>
      </c>
      <c r="BQ1" s="120"/>
      <c r="BR1" s="120" t="s">
        <v>5</v>
      </c>
      <c r="BS1" s="120"/>
      <c r="BT1" s="120"/>
      <c r="BU1" s="120" t="s">
        <v>6</v>
      </c>
      <c r="BV1" s="120" t="s">
        <v>7</v>
      </c>
      <c r="BW1" s="120"/>
      <c r="BX1" s="120"/>
      <c r="BY1" s="120"/>
      <c r="BZ1" s="120"/>
      <c r="CA1" s="120"/>
      <c r="CB1" s="120" t="s">
        <v>8</v>
      </c>
      <c r="CC1" s="120"/>
      <c r="CD1" s="120"/>
      <c r="CE1" s="120"/>
      <c r="CF1" s="120"/>
      <c r="CG1" s="120"/>
      <c r="CH1" s="120"/>
      <c r="CI1" s="120"/>
      <c r="CJ1" s="120"/>
      <c r="CK1" s="120"/>
      <c r="CL1" s="120"/>
      <c r="CM1" s="120"/>
      <c r="CN1" s="120"/>
      <c r="CO1" s="120" t="s">
        <v>11</v>
      </c>
      <c r="CP1" s="120" t="s">
        <v>12</v>
      </c>
      <c r="CQ1" s="120" t="s">
        <v>13</v>
      </c>
      <c r="CR1" s="120" t="s">
        <v>109</v>
      </c>
      <c r="CS1" s="120" t="s">
        <v>551</v>
      </c>
      <c r="CT1" s="120" t="s">
        <v>107</v>
      </c>
      <c r="CU1" s="120" t="s">
        <v>108</v>
      </c>
      <c r="CV1" s="120" t="s">
        <v>14</v>
      </c>
      <c r="CW1" s="120" t="s">
        <v>15</v>
      </c>
      <c r="CX1" s="120" t="s">
        <v>129</v>
      </c>
      <c r="CY1" s="120" t="s">
        <v>16</v>
      </c>
      <c r="CZ1" s="120" t="s">
        <v>17</v>
      </c>
      <c r="DA1" s="120" t="s">
        <v>18</v>
      </c>
      <c r="DB1" s="120" t="s">
        <v>552</v>
      </c>
      <c r="DC1" s="120" t="s">
        <v>19</v>
      </c>
      <c r="DD1" s="120" t="s">
        <v>20</v>
      </c>
      <c r="DE1" s="120" t="s">
        <v>119</v>
      </c>
      <c r="DF1" s="120" t="s">
        <v>120</v>
      </c>
      <c r="DG1" s="120" t="s">
        <v>21</v>
      </c>
      <c r="DH1" s="120" t="s">
        <v>118</v>
      </c>
      <c r="DI1" s="120" t="s">
        <v>22</v>
      </c>
      <c r="DJ1" s="120" t="s">
        <v>596</v>
      </c>
      <c r="DK1" s="120"/>
      <c r="DL1" s="120"/>
      <c r="DM1" s="120"/>
      <c r="DN1" s="120" t="s">
        <v>111</v>
      </c>
      <c r="DO1" s="120" t="s">
        <v>112</v>
      </c>
    </row>
    <row r="2" spans="1:119" x14ac:dyDescent="0.3">
      <c r="A2" s="116"/>
      <c r="B2" s="121">
        <v>376508</v>
      </c>
      <c r="C2" s="122" t="s">
        <v>604</v>
      </c>
      <c r="D2" s="122" t="s">
        <v>71</v>
      </c>
      <c r="E2" s="122" t="s">
        <v>662</v>
      </c>
      <c r="F2" s="123" t="s">
        <v>661</v>
      </c>
      <c r="G2" s="123" t="s">
        <v>661</v>
      </c>
      <c r="H2" s="122" t="s">
        <v>70</v>
      </c>
      <c r="I2" s="124" t="s">
        <v>562</v>
      </c>
      <c r="J2" s="123"/>
      <c r="K2" s="123">
        <v>8</v>
      </c>
      <c r="L2" s="122"/>
      <c r="M2" s="122" t="s">
        <v>663</v>
      </c>
      <c r="N2" s="125"/>
      <c r="O2" s="123">
        <f t="shared" ref="O2:O65" si="0">IF(Q2="Story",K2,
 IF(OR(Q2="Problem",Q2="Enhancement"),IFERROR(ROUNDUP(VALUE(LEFT(L2,FIND(" hour",L2)))/8,0),0),0))</f>
        <v>8</v>
      </c>
      <c r="P2" s="123" t="str">
        <f t="shared" ref="P2:P65" si="1">IF(H2="Closed","Done",H2)</f>
        <v>New</v>
      </c>
      <c r="Q2" s="122" t="str">
        <f>IF($D2="","ZeroEntry",
IF($D2="Story","Story",
IF($D2="Feature","Feature",
IF($D2="Problem","Problem",
IF($D2="Enhancement","Enhancement",
"Program Epic")))))</f>
        <v>Story</v>
      </c>
      <c r="R2" s="126">
        <f t="shared" ref="R2:R65" si="2">IF($D2="","ZeroEntry",
IF($D2="Program Epic",0,
IF($Q2="Feature",$B2,
IF($Y2="Feature", RIGHT($C2,6)+0,
IF($X2="Feature", RIGHT(VLOOKUP(RIGHT($C2,6)+0,$B:$C,2,FALSE),6)+0, 0)))) )</f>
        <v>318430</v>
      </c>
      <c r="S2" s="127">
        <f t="shared" ref="S2:S65" si="3">IF($D2="","ZeroEntry",
IF(OR($D2="Story",$D2="Problem",$D2="Enhancement"),$B2,0))</f>
        <v>376508</v>
      </c>
      <c r="T2" s="128" t="e">
        <f>IF($Q2="ZeroEntry", "",VLOOKUP($I2,'Ranking Lookup'!#REF!,2,FALSE))</f>
        <v>#REF!</v>
      </c>
      <c r="U2" s="129" t="str">
        <f t="shared" ref="U2:U65" si="4">IFERROR(
   VLOOKUP(RIGHT(
        VLOOKUP(RIGHT(
             VLOOKUP(RIGHT(
                 VLOOKUP(RIGHT(
                     VLOOKUP(RIGHT($C2,6)+0,$B:$C,2,FALSE),6)+0,$B:$C,2,FALSE),6)+0,$B:$C,2,FALSE),6)+0,$B:$C,2,FALSE),6)+0,$B:$D,3,FALSE),
"")</f>
        <v/>
      </c>
      <c r="V2" s="129" t="str">
        <f t="shared" ref="V2:V65" si="5">IFERROR(
   VLOOKUP(RIGHT(
        VLOOKUP(RIGHT(
             VLOOKUP(RIGHT(
                  VLOOKUP(RIGHT($C2,6)+0,$B:$C,2,FALSE),6)+0,$B:$C,2,FALSE),6)+0,$B:$C,2,FALSE),6)+0,$B:$D,3,FALSE),
"")</f>
        <v/>
      </c>
      <c r="W2" s="129" t="str">
        <f t="shared" ref="W2:W65" si="6">IFERROR(
    VLOOKUP(RIGHT(
         VLOOKUP(RIGHT(
                 VLOOKUP(RIGHT($C2,6)+0,$B:$C,2,FALSE),6)+0,$B:$C,2,FALSE),6)+0,$B:$D,3,FALSE),
"")</f>
        <v/>
      </c>
      <c r="X2" s="129" t="str">
        <f t="shared" ref="X2:X65" si="7">IFERROR(
   VLOOKUP(RIGHT(
         VLOOKUP(RIGHT($C2,6)+0,$B:$C,2,FALSE),6)+0,$B:$D,3,FALSE),
"")</f>
        <v/>
      </c>
      <c r="Y2" s="129" t="str">
        <f t="shared" ref="Y2:Y65" si="8">IFERROR(VLOOKUP(RIGHT($C2,6)+0,$B:$D,3,FALSE),"")</f>
        <v>Feature</v>
      </c>
      <c r="Z2" s="129" t="str">
        <f t="shared" ref="Z2:Z65" si="9">IF(ISERROR(VLOOKUP("#"&amp;$B2,$C:$D,2,FALSE)),"",VLOOKUP("#"&amp;$B2,$C:$D,2,FALSE))</f>
        <v/>
      </c>
      <c r="AA2" s="130"/>
      <c r="AB2" s="130" t="str">
        <f t="shared" ref="AB2:AB65" si="10">IF(LEFT($G2,2)="PI",LEFT($G2,5),
IF(OR(RIGHT($G2,2)="RR",$G2="Future"),$G2,
IF(LEFT($G2,3)="EA ",CONCATENATE("PI ",TEXT(VALUE(MID($G2,4,2)),"00")),
IF($R2=0,"Unassigned",
IF(NOT(OR($Q2="Story",$Q2="Problem",$Q2="Enhancement")),"Unassigned",
IF(AND($G2="Unassigned",RIGHT(VLOOKUP(VALUE(RIGHT($C2,6)),B:G,6,0),5)&lt;&gt;"gress",LEFT(VLOOKUP(VALUE(RIGHT($C2,6)),B:G,6,0),2)="PI"),LEFT(VLOOKUP(VALUE(RIGHT($C2,6)),B:G,6,0),5),
"Unassigned"))))))</f>
        <v>PI 12</v>
      </c>
      <c r="AC2" s="131">
        <f>IF($Q2="Feature",SUMIFS($O:$O,$R:$R,$B2),
IF(OR($Q2="Story",$Q2="Problem",$Q2="Enhancement"),$O2,""))</f>
        <v>8</v>
      </c>
      <c r="AD2" s="131">
        <f>IF($Q2="Feature",
IF(COUNTIF($R:$R,$B2)=1,$J2,$J2-$AC2),
IF(OR($Q2="Story",$Q2="Problem",$Q2="Enhancement"),$O2-$AC2,""))</f>
        <v>0</v>
      </c>
      <c r="AE2" s="132">
        <f t="shared" ref="AE2:AE65" si="11">IF(AND($Q2="Feature",$AD2&lt;&gt;0,$AC2&gt;$J2),($AC2/$J2)-1,0)</f>
        <v>0</v>
      </c>
      <c r="AF2" s="133" t="str">
        <f>IF($P2="Done", 0,
IF(AND($Q2="Feature",COUNTIF($R:$R,$B2)=1),$J2,
IF($Q2="Feature",MAX($J2-SUMIFS($O:$O,$P:$P,"Done",$R:$R,$B2),0),
IF(AND(OR($Q2="Story",$Q2="Problem",$Q2="Enhancement"),$R2=0),$O2,""))))</f>
        <v/>
      </c>
      <c r="AG2" s="134">
        <f t="shared" ref="AG2:AG65" si="12">COUNTIF(AI2:AY2,"&gt;0")</f>
        <v>0</v>
      </c>
      <c r="AH2" s="54" t="str">
        <f t="shared" ref="AH2:AH65" si="13">IF($Q2="Feature",SUMIFS($O:$O,$R:$R,$B2,$P:$P,"Done"),
IF(  AND(OR($Q2="Story",$Q2="Problem",$Q2="Enhancement"),$R2=0,$P2="Done"),$O2,""))</f>
        <v/>
      </c>
      <c r="AI2" s="54" t="e">
        <f t="shared" ref="AI2:AX17" si="14">IF(AND($Q2="Feature",LEFT($AB2,2)="PI"),
IF(AND(COUNTIF($R:$R,$B2)=1,$T2=AI$1), IF($AB2=$A$10,$AF2,0),
IF(OR($AD2&lt;1,RIGHT($G2,8)="Progress",$AH2&gt;0),SUMIFS($O:$O,$R:$R,$B2,$T:$T,AI$1,$P:$P,"&lt;&gt;Done",$AB:$AB,$A$10),
IF($T2=AI$1,IF($AB2=$A$10,$AD2,0)+SUMIFS($O:$O,$R:$R,$B2,$T:$T,AI$1,$P:$P,"&lt;&gt;Done",$AB:$AB,$A$10),SUMIFS($O:$O,$R:$R,$B2,$T:$T,AI$1,$P:$P,"&lt;&gt;Done",$AB:$AB,$A$10)))),
IF(AND(OR($Q2="Story",$Q2="Problem",$Q2="Enhancement"),$AB2=$A$10,$R2=0,$T2=AI$1,$P2&lt;&gt;"Done"),$O2,""))</f>
        <v>#REF!</v>
      </c>
      <c r="AJ2" s="54" t="e">
        <f t="shared" si="14"/>
        <v>#REF!</v>
      </c>
      <c r="AK2" s="54" t="e">
        <f t="shared" si="14"/>
        <v>#REF!</v>
      </c>
      <c r="AL2" s="54" t="e">
        <f t="shared" si="14"/>
        <v>#REF!</v>
      </c>
      <c r="AM2" s="54" t="e">
        <f t="shared" si="14"/>
        <v>#REF!</v>
      </c>
      <c r="AN2" s="54" t="e">
        <f t="shared" si="14"/>
        <v>#REF!</v>
      </c>
      <c r="AO2" s="54" t="e">
        <f t="shared" si="14"/>
        <v>#REF!</v>
      </c>
      <c r="AP2" s="54" t="e">
        <f t="shared" si="14"/>
        <v>#REF!</v>
      </c>
      <c r="AQ2" s="54" t="e">
        <f t="shared" si="14"/>
        <v>#REF!</v>
      </c>
      <c r="AR2" s="54" t="e">
        <f t="shared" si="14"/>
        <v>#REF!</v>
      </c>
      <c r="AS2" s="54" t="e">
        <f t="shared" si="14"/>
        <v>#REF!</v>
      </c>
      <c r="AT2" s="54" t="e">
        <f t="shared" si="14"/>
        <v>#REF!</v>
      </c>
      <c r="AU2" s="54" t="e">
        <f t="shared" si="14"/>
        <v>#REF!</v>
      </c>
      <c r="AV2" s="54" t="e">
        <f t="shared" si="14"/>
        <v>#REF!</v>
      </c>
      <c r="AW2" s="54" t="e">
        <f t="shared" si="14"/>
        <v>#REF!</v>
      </c>
      <c r="AX2" s="54" t="e">
        <f t="shared" si="14"/>
        <v>#REF!</v>
      </c>
      <c r="AY2" s="54" t="e">
        <f t="shared" ref="AY2:AY65" si="15">IF(OR($Q2="Feature",BI2="Yes"), SUM(BC2:BE2),"")</f>
        <v>#REF!</v>
      </c>
      <c r="AZ2" s="54" t="str">
        <f t="shared" ref="AZ2:AZ65" si="16">IF($Q2="Feature",SUMIFS($O:$O,$R:$R,$B2,$P:$P,"&lt;&gt;Done",$AB:$AB,$A$14),
IF(AND(OR($Q2="Story",$Q2="Problem",$Q2="Enhancement"),$R2=0,$P2="&lt;&gt;Done", $AB2=$A$14),$O2,""))</f>
        <v/>
      </c>
      <c r="BA2" s="54" t="e">
        <f t="shared" ref="BA2:BA65" si="17">IF(OR($Q2="Feature",$BI2="Yes"), SUM(AI2:AY2),"")</f>
        <v>#REF!</v>
      </c>
      <c r="BB2" s="135" t="str">
        <f t="shared" ref="BB2:BB65" si="18">IF($Q2="Feature",SUMIFS($O:$O,$R:$R,$B2,$P:$P,"&lt;&gt;Done",$AB:$AB,BB$1),
IF(AND(OR($Q2="Story",$Q2="Problem",$Q2="Enhancement"),$R2=0,$P2="&lt;&gt;Done",$AB2=BB$1),$O2,""))</f>
        <v/>
      </c>
      <c r="BC2" s="54" t="e">
        <f t="shared" ref="BC2:BE21" si="19">IF(AND($Q2="Feature",LEFT($AB2,2)="PI"),
IF(AND(COUNTIF($R:$R,$B2)=1,$T2=BC$1), IF($AB2=$A$10,$AF2,0),
IF(OR($AD2&lt;1,RIGHT($G2,8)="Progress"),SUMIFS($O:$O,$R:$R,$B2,$T:$T,BC$1,$P:$P,"&lt;&gt;Done",$AB:$AB,$A$10),
IF($T2=BC$1, IF($AB2=$A$10,$AD2,0)+SUMIFS($O:$O,$R:$R,$B2,$T:$T,BC$1,$P:$P,"&lt;&gt;Done",$AB:$AB,$A$10),SUMIFS($O:$O,$R:$R,$B2,$T:$T,BC$1,$P:$P,"&lt;&gt;Done",$AB:$AB,$A$10)))),
IF(AND(OR($Q2="Story",$Q2="Problem",$Q2="Enhancement"),$AB2=$A$10,$R2=0,$T2=BC$1,$P2&lt;&gt;"Done"),$O2,""))</f>
        <v>#REF!</v>
      </c>
      <c r="BD2" s="54" t="e">
        <f t="shared" si="19"/>
        <v>#REF!</v>
      </c>
      <c r="BE2" s="54" t="e">
        <f t="shared" si="19"/>
        <v>#REF!</v>
      </c>
      <c r="BF2" s="54" t="str">
        <f t="shared" ref="BF2:BF65" si="20">IF($Q2="Feature",
COUNTIFS($Q:$Q,"Problem",$R:$R,$B2),"")</f>
        <v/>
      </c>
      <c r="BG2" s="54" t="str">
        <f t="shared" ref="BG2:BG65" si="21">IF($Q2="Feature",
COUNTIFS($Q:$Q,"Enhancement",$R:$R,$B2),"")</f>
        <v/>
      </c>
      <c r="BH2" s="34" t="e">
        <f t="shared" ref="BH2:BH65" si="22">IF(OR($Q2="Strategy",$Q2="Sub-Strategy"),"",
IF(AND($Q2="Feature",AH2&gt;0),"NA_InProgress",
IF(AND($Q2="Feature",SUM(AZ2:BB2)=J2),"Good",
IF(AND($Q2="Feature",RIGHT($G2,8)="Progress"),"NA_InProgress",
IF(AND(OR($Q2="Story",$Q2="Problem",$Q2="Enhancement"),$R2=0,SUM(AH2:BB2)=K2),"Good",
IF(AND(OR($Q2="Story",$Q2="Problem",$Q2="Enhancement"),$R2&lt;&gt;0),"","Bad"))))))</f>
        <v>#REF!</v>
      </c>
      <c r="BI2" s="34" t="e">
        <f t="shared" ref="BI2:BI65" si="23">IF(AND(
      OR(AND(OR(Q2="Problem",Q2="Enhancement"),H2&lt;&gt;"Assessing",H2&lt;&gt;"Triage"),
             AND(Q2="Story",O2&lt;&gt;0)),
      R2=0,
      T2&lt;&gt;"Process"),"Add_Scope","No")</f>
        <v>#REF!</v>
      </c>
      <c r="BJ2" s="136">
        <v>0</v>
      </c>
      <c r="BK2" s="136"/>
      <c r="BL2" s="136"/>
      <c r="BM2" s="136" t="str">
        <f>IF($D2&lt;&gt;"Feature",".",
IF(VLOOKUP($B2,Feature_List!$A:$AM,MATCH(BM$1,  Feature_List!$A$1:$AM$1,0),0)=E2,".","NO"))</f>
        <v>.</v>
      </c>
      <c r="BN2" s="136" t="str">
        <f>IF($D2&lt;&gt;"Feature",".",
IF(VLOOKUP($B2,Feature_List!$A:$AM,MATCH(BN$1,  Feature_List!$A$1:$AM$1,0),0)=F2,".","NO"))</f>
        <v>.</v>
      </c>
      <c r="BO2" s="136" t="str">
        <f>IF($D2&lt;&gt;"Feature",".",
IF(VLOOKUP($B2,Feature_List!$A:$AM,MATCH(BO$1,  Feature_List!$A$1:$AM$1,0),0)=G2,".","NO"))</f>
        <v>.</v>
      </c>
      <c r="BP2" s="136" t="str">
        <f>IF($D2&lt;&gt;"Feature",".",
IF(VLOOKUP($B2,Feature_List!$A:$AM,MATCH(BP$1,  Feature_List!$A$1:$AM$1,0),0)=H2,".","NO"))</f>
        <v>.</v>
      </c>
      <c r="BQ2" s="136"/>
      <c r="BR2" s="136" t="str">
        <f>IF($D2&lt;&gt;"Feature",".",
IF(VLOOKUP($B2,Feature_List!$A:$AM,MATCH(BR$1,  Feature_List!$A$1:$AM$1,0),0)=J2,".","NO"))</f>
        <v>.</v>
      </c>
      <c r="BS2" s="136"/>
      <c r="BT2" s="136"/>
      <c r="BU2" s="136" t="str">
        <f>IF($D2&lt;&gt;"Feature",".",
IF(VLOOKUP($B2,Feature_List!$A:$AM,MATCH(BU$1,  Feature_List!$A$1:$AM$1,0),0)=M2,".","NO"))</f>
        <v>.</v>
      </c>
      <c r="BV2" s="136" t="str">
        <f>IF($D2&lt;&gt;"Feature",".",
IF(VLOOKUP($B2,Feature_List!$A:$AM,MATCH(BV$1,  Feature_List!$A$1:$AM$1,0),0)=N2,".","NO"))</f>
        <v>.</v>
      </c>
      <c r="BW2" s="136"/>
      <c r="BX2" s="136"/>
      <c r="BY2" s="136"/>
      <c r="BZ2" s="136"/>
      <c r="CA2" s="136"/>
      <c r="CB2" s="136" t="str">
        <f>IF($D2&lt;&gt;"Feature",".",
IF(VLOOKUP($B2,Feature_List!$A:$AM,MATCH(CB$1,  Feature_List!$A$1:$AM$1,0),0)=T2,".","NO"))</f>
        <v>.</v>
      </c>
      <c r="CC2" s="136"/>
      <c r="CD2" s="136"/>
      <c r="CE2" s="136"/>
      <c r="CF2" s="136"/>
      <c r="CG2" s="136"/>
      <c r="CH2" s="136"/>
      <c r="CI2" s="136"/>
      <c r="CJ2" s="136"/>
      <c r="CK2" s="136"/>
      <c r="CL2" s="136"/>
      <c r="CM2" s="136"/>
      <c r="CN2" s="136"/>
      <c r="CO2" s="136" t="str">
        <f>IF($D2&lt;&gt;"Feature",".",
IF(VLOOKUP($B2,Feature_List!$A:$AM,MATCH(CO$1,  Feature_List!$A$1:$AM$1,0),0)=AG2,".","NO"))</f>
        <v>.</v>
      </c>
      <c r="CP2" s="136" t="str">
        <f>IF($D2&lt;&gt;"Feature",".",
IF(VLOOKUP($B2,Feature_List!$A:$AM,MATCH(CP$1,  Feature_List!$A$1:$AM$1,0),0)=AH2,".","NO"))</f>
        <v>.</v>
      </c>
      <c r="CQ2" s="136" t="str">
        <f>IF($D2&lt;&gt;"Feature",".",
IF(VLOOKUP($B2,Feature_List!$A:$AM,MATCH(CQ$1,  Feature_List!$A$1:$AM$1,0),0)=AI2,".","NO"))</f>
        <v>.</v>
      </c>
      <c r="CR2" s="136" t="str">
        <f>IF($D2&lt;&gt;"Feature",".",
IF(VLOOKUP($B2,Feature_List!$A:$AM,MATCH(CR$1,  Feature_List!$A$1:$AM$1,0),0)=AJ2,".","NO"))</f>
        <v>.</v>
      </c>
      <c r="CS2" s="136" t="str">
        <f>IF($D2&lt;&gt;"Feature",".",
IF(VLOOKUP($B2,Feature_List!$A:$AM,MATCH(CS$1,  Feature_List!$A$1:$AM$1,0),0)=AK2,".","NO"))</f>
        <v>.</v>
      </c>
      <c r="CT2" s="136" t="str">
        <f>IF($D2&lt;&gt;"Feature",".",
IF(VLOOKUP($B2,Feature_List!$A:$AM,MATCH(CT$1,  Feature_List!$A$1:$AM$1,0),0)=AL2,".","NO"))</f>
        <v>.</v>
      </c>
      <c r="CU2" s="136" t="str">
        <f>IF($D2&lt;&gt;"Feature",".",
IF(VLOOKUP($B2,Feature_List!$A:$AM,MATCH(CU$1,  Feature_List!$A$1:$AM$1,0),0)=AM2,".","NO"))</f>
        <v>.</v>
      </c>
      <c r="CV2" s="136" t="str">
        <f>IF($D2&lt;&gt;"Feature",".",
IF(VLOOKUP($B2,Feature_List!$A:$AM,MATCH(CV$1,  Feature_List!$A$1:$AM$1,0),0)=AN2,".","NO"))</f>
        <v>.</v>
      </c>
      <c r="CW2" s="136" t="str">
        <f>IF($D2&lt;&gt;"Feature",".",
IF(VLOOKUP($B2,Feature_List!$A:$AM,MATCH(CW$1,  Feature_List!$A$1:$AM$1,0),0)=AO2,".","NO"))</f>
        <v>.</v>
      </c>
      <c r="CX2" s="136" t="str">
        <f>IF($D2&lt;&gt;"Feature",".",
IF(VLOOKUP($B2,Feature_List!$A:$AM,MATCH(CX$1,  Feature_List!$A$1:$AM$1,0),0)=AP2,".","NO"))</f>
        <v>.</v>
      </c>
      <c r="CY2" s="136" t="str">
        <f>IF($D2&lt;&gt;"Feature",".",
IF(VLOOKUP($B2,Feature_List!$A:$AM,MATCH(CY$1,  Feature_List!$A$1:$AM$1,0),0)=AQ2,".","NO"))</f>
        <v>.</v>
      </c>
      <c r="CZ2" s="136" t="str">
        <f>IF($D2&lt;&gt;"Feature",".",
IF(VLOOKUP($B2,Feature_List!$A:$AM,MATCH(CZ$1,  Feature_List!$A$1:$AM$1,0),0)=AR2,".","NO"))</f>
        <v>.</v>
      </c>
      <c r="DA2" s="136" t="str">
        <f>IF($D2&lt;&gt;"Feature",".",
IF(VLOOKUP($B2,Feature_List!$A:$AM,MATCH(DA$1,  Feature_List!$A$1:$AM$1,0),0)=AS2,".","NO"))</f>
        <v>.</v>
      </c>
      <c r="DB2" s="136" t="str">
        <f>IF($D2&lt;&gt;"Feature",".",
IF(VLOOKUP($B2,Feature_List!$A:$AM,MATCH(DB$1,  Feature_List!$A$1:$AM$1,0),0)=AT2,".","NO"))</f>
        <v>.</v>
      </c>
      <c r="DC2" s="136" t="str">
        <f>IF($D2&lt;&gt;"Feature",".",
IF(VLOOKUP($B2,Feature_List!$A:$AM,MATCH(DC$1,  Feature_List!$A$1:$AM$1,0),0)=AU2,".","NO"))</f>
        <v>.</v>
      </c>
      <c r="DD2" s="136" t="str">
        <f>IF($D2&lt;&gt;"Feature",".",
IF(VLOOKUP($B2,Feature_List!$A:$AM,MATCH(DD$1,  Feature_List!$A$1:$AM$1,0),0)=AV2,".","NO"))</f>
        <v>.</v>
      </c>
      <c r="DE2" s="136" t="str">
        <f>IF($D2&lt;&gt;"Feature",".",
IF(VLOOKUP($B2,Feature_List!$A:$AM,MATCH(DE$1,  Feature_List!$A$1:$AM$1,0),0)=AW2,".","NO"))</f>
        <v>.</v>
      </c>
      <c r="DF2" s="136" t="str">
        <f>IF($D2&lt;&gt;"Feature",".",
IF(VLOOKUP($B2,Feature_List!$A:$AM,MATCH(DF$1,  Feature_List!$A$1:$AM$1,0),0)=AX2,".","NO"))</f>
        <v>.</v>
      </c>
      <c r="DG2" s="136" t="str">
        <f>IF($D2&lt;&gt;"Feature",".",
IF(VLOOKUP($B2,Feature_List!$A:$AM,MATCH(DG$1,  Feature_List!$A$1:$AM$1,0),0)=AY2,".","NO"))</f>
        <v>.</v>
      </c>
      <c r="DH2" s="136" t="str">
        <f>IF($D2&lt;&gt;"Feature",".",
IF(VLOOKUP($B2,Feature_List!$A:$AM,MATCH(DH$1,  Feature_List!$A$1:$AM$1,0),0)=AZ2,".","NO"))</f>
        <v>.</v>
      </c>
      <c r="DI2" s="136" t="str">
        <f>IF($D2&lt;&gt;"Feature",".",
IF(VLOOKUP($B2,Feature_List!$A:$AM,MATCH(DI$1,  Feature_List!$A$1:$AM$1,0),0)=BA2,".","NO"))</f>
        <v>.</v>
      </c>
      <c r="DJ2" s="136" t="str">
        <f>IF($D2&lt;&gt;"Feature",".",
IF(VLOOKUP($B2,Feature_List!$A:$AM,MATCH(DJ$1,  Feature_List!$A$1:$AM$1,0),0)=BB2,".","NO"))</f>
        <v>.</v>
      </c>
      <c r="DK2" s="136"/>
      <c r="DL2" s="136"/>
      <c r="DM2" s="136"/>
      <c r="DN2" s="136" t="str">
        <f>IF($D2&lt;&gt;"Feature",".",
IF(VLOOKUP($B2,Feature_List!$A:$AM,MATCH(DN$1,  Feature_List!$A$1:$AM$1,0),0)=BC2,".","NO"))</f>
        <v>.</v>
      </c>
      <c r="DO2" s="136" t="str">
        <f>IF($D2&lt;&gt;"Feature",".",
IF(VLOOKUP($B2,Feature_List!$A:$AM,MATCH(DO$1,  Feature_List!$A$1:$AM$1,0),0)=BD2,".","NO"))</f>
        <v>.</v>
      </c>
    </row>
    <row r="3" spans="1:119" x14ac:dyDescent="0.3">
      <c r="A3" s="137"/>
      <c r="B3" s="121">
        <v>376491</v>
      </c>
      <c r="C3" s="122" t="s">
        <v>604</v>
      </c>
      <c r="D3" s="122" t="s">
        <v>71</v>
      </c>
      <c r="E3" s="122" t="s">
        <v>664</v>
      </c>
      <c r="F3" s="138" t="s">
        <v>657</v>
      </c>
      <c r="G3" s="123" t="s">
        <v>657</v>
      </c>
      <c r="H3" s="122" t="s">
        <v>70</v>
      </c>
      <c r="I3" s="124" t="s">
        <v>122</v>
      </c>
      <c r="J3" s="138"/>
      <c r="K3" s="123">
        <v>1</v>
      </c>
      <c r="L3" s="122"/>
      <c r="M3" s="122" t="s">
        <v>270</v>
      </c>
      <c r="N3" s="122"/>
      <c r="O3" s="123">
        <f t="shared" si="0"/>
        <v>1</v>
      </c>
      <c r="P3" s="123" t="str">
        <f t="shared" si="1"/>
        <v>New</v>
      </c>
      <c r="Q3" s="122" t="str">
        <f t="shared" ref="Q3:Q66" si="24">IF($D3="","ZeroEntry",
IF($D3="Story","Story",
IF($D3="Feature","Feature",
IF($D3="Problem","Problem",
IF($D3="Enhancement","Enhancement",
"Program Epic")))))</f>
        <v>Story</v>
      </c>
      <c r="R3" s="126">
        <f t="shared" si="2"/>
        <v>318430</v>
      </c>
      <c r="S3" s="127">
        <f t="shared" si="3"/>
        <v>376491</v>
      </c>
      <c r="T3" s="128" t="e">
        <f>IF($Q3="ZeroEntry", "",VLOOKUP($I3,'Ranking Lookup'!#REF!,2,FALSE))</f>
        <v>#REF!</v>
      </c>
      <c r="U3" s="129" t="str">
        <f t="shared" si="4"/>
        <v/>
      </c>
      <c r="V3" s="129" t="str">
        <f t="shared" si="5"/>
        <v/>
      </c>
      <c r="W3" s="129" t="str">
        <f t="shared" si="6"/>
        <v/>
      </c>
      <c r="X3" s="129" t="str">
        <f t="shared" si="7"/>
        <v/>
      </c>
      <c r="Y3" s="129" t="str">
        <f t="shared" si="8"/>
        <v>Feature</v>
      </c>
      <c r="Z3" s="129" t="str">
        <f t="shared" si="9"/>
        <v/>
      </c>
      <c r="AA3" s="130"/>
      <c r="AB3" s="130" t="str">
        <f t="shared" si="10"/>
        <v>PI 12</v>
      </c>
      <c r="AC3" s="131">
        <f t="shared" ref="AC3:AC66" si="25">IF($Q3="Feature",SUMIFS($O:$O,$R:$R,$B3),
IF(OR($Q3="Story",$Q3="Problem",$Q3="Enhancement"),$O3,""))</f>
        <v>1</v>
      </c>
      <c r="AD3" s="131">
        <f t="shared" ref="AD3:AD66" si="26">IF($Q3="Feature",
IF(COUNTIF($R:$R,$B3)=1,$J3,$J3-$AC3),
IF(OR($Q3="Story",$Q3="Problem",$Q3="Enhancement"),$O3-$AC3,""))</f>
        <v>0</v>
      </c>
      <c r="AE3" s="132">
        <f t="shared" si="11"/>
        <v>0</v>
      </c>
      <c r="AF3" s="133" t="str">
        <f t="shared" ref="AF3:AF66" si="27">IF($P3="Done", 0,
IF(AND($Q3="Feature",COUNTIF($R:$R,$B3)=1),$J3,
IF($Q3="Feature",MAX($J3-SUMIFS($O:$O,$P:$P,"Done",$R:$R,$B3),0),
IF(AND(OR($Q3="Story",$Q3="Problem",$Q3="Enhancement"),$R3=0),$O3,""))))</f>
        <v/>
      </c>
      <c r="AG3" s="134">
        <f t="shared" si="12"/>
        <v>0</v>
      </c>
      <c r="AH3" s="54" t="str">
        <f t="shared" si="13"/>
        <v/>
      </c>
      <c r="AI3" s="54" t="e">
        <f t="shared" si="14"/>
        <v>#REF!</v>
      </c>
      <c r="AJ3" s="54" t="e">
        <f t="shared" si="14"/>
        <v>#REF!</v>
      </c>
      <c r="AK3" s="54" t="e">
        <f t="shared" si="14"/>
        <v>#REF!</v>
      </c>
      <c r="AL3" s="54" t="e">
        <f t="shared" si="14"/>
        <v>#REF!</v>
      </c>
      <c r="AM3" s="54" t="e">
        <f t="shared" si="14"/>
        <v>#REF!</v>
      </c>
      <c r="AN3" s="54" t="e">
        <f t="shared" si="14"/>
        <v>#REF!</v>
      </c>
      <c r="AO3" s="54" t="e">
        <f t="shared" si="14"/>
        <v>#REF!</v>
      </c>
      <c r="AP3" s="54" t="e">
        <f t="shared" si="14"/>
        <v>#REF!</v>
      </c>
      <c r="AQ3" s="54" t="e">
        <f t="shared" si="14"/>
        <v>#REF!</v>
      </c>
      <c r="AR3" s="54" t="e">
        <f t="shared" si="14"/>
        <v>#REF!</v>
      </c>
      <c r="AS3" s="54" t="e">
        <f t="shared" si="14"/>
        <v>#REF!</v>
      </c>
      <c r="AT3" s="54" t="e">
        <f t="shared" si="14"/>
        <v>#REF!</v>
      </c>
      <c r="AU3" s="54" t="e">
        <f t="shared" si="14"/>
        <v>#REF!</v>
      </c>
      <c r="AV3" s="54" t="e">
        <f t="shared" si="14"/>
        <v>#REF!</v>
      </c>
      <c r="AW3" s="54" t="e">
        <f t="shared" si="14"/>
        <v>#REF!</v>
      </c>
      <c r="AX3" s="54" t="e">
        <f t="shared" si="14"/>
        <v>#REF!</v>
      </c>
      <c r="AY3" s="54" t="e">
        <f t="shared" si="15"/>
        <v>#REF!</v>
      </c>
      <c r="AZ3" s="54" t="str">
        <f t="shared" si="16"/>
        <v/>
      </c>
      <c r="BA3" s="54" t="e">
        <f t="shared" si="17"/>
        <v>#REF!</v>
      </c>
      <c r="BB3" s="135" t="str">
        <f t="shared" si="18"/>
        <v/>
      </c>
      <c r="BC3" s="54" t="e">
        <f t="shared" si="19"/>
        <v>#REF!</v>
      </c>
      <c r="BD3" s="54" t="e">
        <f t="shared" si="19"/>
        <v>#REF!</v>
      </c>
      <c r="BE3" s="54" t="e">
        <f t="shared" si="19"/>
        <v>#REF!</v>
      </c>
      <c r="BF3" s="54" t="str">
        <f t="shared" si="20"/>
        <v/>
      </c>
      <c r="BG3" s="54" t="str">
        <f t="shared" si="21"/>
        <v/>
      </c>
      <c r="BH3" s="34" t="e">
        <f t="shared" si="22"/>
        <v>#REF!</v>
      </c>
      <c r="BI3" s="34" t="e">
        <f t="shared" si="23"/>
        <v>#REF!</v>
      </c>
      <c r="BJ3" s="136" t="str">
        <f>IF($D3&lt;&gt;"Feature",".",
IF(VLOOKUP($B3,Feature_List!$A:$AM,MATCH(BJ$1,  Feature_List!$A$1:$AM$1,0),0)=B3,".","NO"))</f>
        <v>.</v>
      </c>
      <c r="BK3" s="136"/>
      <c r="BL3" s="136"/>
      <c r="BM3" s="136" t="str">
        <f>IF($D3&lt;&gt;"Feature",".",
IF(VLOOKUP($B3,Feature_List!$A:$AM,MATCH(BM$1,  Feature_List!$A$1:$AM$1,0),0)=E3,".","NO"))</f>
        <v>.</v>
      </c>
      <c r="BN3" s="136" t="str">
        <f>IF($D3&lt;&gt;"Feature",".",
IF(VLOOKUP($B3,Feature_List!$A:$AM,MATCH(BN$1,  Feature_List!$A$1:$AM$1,0),0)=F3,".","NO"))</f>
        <v>.</v>
      </c>
      <c r="BO3" s="136" t="str">
        <f>IF($D3&lt;&gt;"Feature",".",
IF(VLOOKUP($B3,Feature_List!$A:$AM,MATCH(BO$1,  Feature_List!$A$1:$AM$1,0),0)=G3,".","NO"))</f>
        <v>.</v>
      </c>
      <c r="BP3" s="136" t="str">
        <f>IF($D3&lt;&gt;"Feature",".",
IF(VLOOKUP($B3,Feature_List!$A:$AM,MATCH(BP$1,  Feature_List!$A$1:$AM$1,0),0)=H3,".","NO"))</f>
        <v>.</v>
      </c>
      <c r="BQ3" s="136"/>
      <c r="BR3" s="136" t="str">
        <f>IF($D3&lt;&gt;"Feature",".",
IF(VLOOKUP($B3,Feature_List!$A:$AM,MATCH(BR$1,  Feature_List!$A$1:$AM$1,0),0)=J3,".","NO"))</f>
        <v>.</v>
      </c>
      <c r="BS3" s="136"/>
      <c r="BT3" s="136"/>
      <c r="BU3" s="136" t="str">
        <f>IF($D3&lt;&gt;"Feature",".",
IF(VLOOKUP($B3,Feature_List!$A:$AM,MATCH(BU$1,  Feature_List!$A$1:$AM$1,0),0)=M3,".","NO"))</f>
        <v>.</v>
      </c>
      <c r="BV3" s="136" t="str">
        <f>IF($D3&lt;&gt;"Feature",".",
IF(VLOOKUP($B3,Feature_List!$A:$AM,MATCH(BV$1,  Feature_List!$A$1:$AM$1,0),0)=N3,".","NO"))</f>
        <v>.</v>
      </c>
      <c r="BW3" s="136"/>
      <c r="BX3" s="136"/>
      <c r="BY3" s="136"/>
      <c r="BZ3" s="136"/>
      <c r="CA3" s="136"/>
      <c r="CB3" s="136" t="str">
        <f>IF($D3&lt;&gt;"Feature",".",
IF(VLOOKUP($B3,Feature_List!$A:$AM,MATCH(CB$1,  Feature_List!$A$1:$AM$1,0),0)=T3,".","NO"))</f>
        <v>.</v>
      </c>
      <c r="CC3" s="136"/>
      <c r="CD3" s="136"/>
      <c r="CE3" s="136"/>
      <c r="CF3" s="136"/>
      <c r="CG3" s="136"/>
      <c r="CH3" s="136"/>
      <c r="CI3" s="136"/>
      <c r="CJ3" s="136"/>
      <c r="CK3" s="136"/>
      <c r="CL3" s="136"/>
      <c r="CM3" s="136"/>
      <c r="CN3" s="136"/>
      <c r="CO3" s="136" t="str">
        <f>IF($D3&lt;&gt;"Feature",".",
IF(VLOOKUP($B3,Feature_List!$A:$AM,MATCH(CO$1,  Feature_List!$A$1:$AM$1,0),0)=AG3,".","NO"))</f>
        <v>.</v>
      </c>
      <c r="CP3" s="136" t="str">
        <f>IF($D3&lt;&gt;"Feature",".",
IF(VLOOKUP($B3,Feature_List!$A:$AM,MATCH(CP$1,  Feature_List!$A$1:$AM$1,0),0)=AH3,".","NO"))</f>
        <v>.</v>
      </c>
      <c r="CQ3" s="136" t="str">
        <f>IF($D3&lt;&gt;"Feature",".",
IF(VLOOKUP($B3,Feature_List!$A:$AM,MATCH(CQ$1,  Feature_List!$A$1:$AM$1,0),0)=AI3,".","NO"))</f>
        <v>.</v>
      </c>
      <c r="CR3" s="136" t="str">
        <f>IF($D3&lt;&gt;"Feature",".",
IF(VLOOKUP($B3,Feature_List!$A:$AM,MATCH(CR$1,  Feature_List!$A$1:$AM$1,0),0)=AJ3,".","NO"))</f>
        <v>.</v>
      </c>
      <c r="CS3" s="136" t="str">
        <f>IF($D3&lt;&gt;"Feature",".",
IF(VLOOKUP($B3,Feature_List!$A:$AM,MATCH(CS$1,  Feature_List!$A$1:$AM$1,0),0)=AK3,".","NO"))</f>
        <v>.</v>
      </c>
      <c r="CT3" s="136" t="str">
        <f>IF($D3&lt;&gt;"Feature",".",
IF(VLOOKUP($B3,Feature_List!$A:$AM,MATCH(CT$1,  Feature_List!$A$1:$AM$1,0),0)=AL3,".","NO"))</f>
        <v>.</v>
      </c>
      <c r="CU3" s="136" t="str">
        <f>IF($D3&lt;&gt;"Feature",".",
IF(VLOOKUP($B3,Feature_List!$A:$AM,MATCH(CU$1,  Feature_List!$A$1:$AM$1,0),0)=AM3,".","NO"))</f>
        <v>.</v>
      </c>
      <c r="CV3" s="136" t="str">
        <f>IF($D3&lt;&gt;"Feature",".",
IF(VLOOKUP($B3,Feature_List!$A:$AM,MATCH(CV$1,  Feature_List!$A$1:$AM$1,0),0)=AN3,".","NO"))</f>
        <v>.</v>
      </c>
      <c r="CW3" s="136" t="str">
        <f>IF($D3&lt;&gt;"Feature",".",
IF(VLOOKUP($B3,Feature_List!$A:$AM,MATCH(CW$1,  Feature_List!$A$1:$AM$1,0),0)=AO3,".","NO"))</f>
        <v>.</v>
      </c>
      <c r="CX3" s="136" t="str">
        <f>IF($D3&lt;&gt;"Feature",".",
IF(VLOOKUP($B3,Feature_List!$A:$AM,MATCH(CX$1,  Feature_List!$A$1:$AM$1,0),0)=AP3,".","NO"))</f>
        <v>.</v>
      </c>
      <c r="CY3" s="136" t="str">
        <f>IF($D3&lt;&gt;"Feature",".",
IF(VLOOKUP($B3,Feature_List!$A:$AM,MATCH(CY$1,  Feature_List!$A$1:$AM$1,0),0)=AQ3,".","NO"))</f>
        <v>.</v>
      </c>
      <c r="CZ3" s="136" t="str">
        <f>IF($D3&lt;&gt;"Feature",".",
IF(VLOOKUP($B3,Feature_List!$A:$AM,MATCH(CZ$1,  Feature_List!$A$1:$AM$1,0),0)=AR3,".","NO"))</f>
        <v>.</v>
      </c>
      <c r="DA3" s="136" t="str">
        <f>IF($D3&lt;&gt;"Feature",".",
IF(VLOOKUP($B3,Feature_List!$A:$AM,MATCH(DA$1,  Feature_List!$A$1:$AM$1,0),0)=AS3,".","NO"))</f>
        <v>.</v>
      </c>
      <c r="DB3" s="136" t="str">
        <f>IF($D3&lt;&gt;"Feature",".",
IF(VLOOKUP($B3,Feature_List!$A:$AM,MATCH(DB$1,  Feature_List!$A$1:$AM$1,0),0)=AT3,".","NO"))</f>
        <v>.</v>
      </c>
      <c r="DC3" s="136" t="str">
        <f>IF($D3&lt;&gt;"Feature",".",
IF(VLOOKUP($B3,Feature_List!$A:$AM,MATCH(DC$1,  Feature_List!$A$1:$AM$1,0),0)=AU3,".","NO"))</f>
        <v>.</v>
      </c>
      <c r="DD3" s="136" t="str">
        <f>IF($D3&lt;&gt;"Feature",".",
IF(VLOOKUP($B3,Feature_List!$A:$AM,MATCH(DD$1,  Feature_List!$A$1:$AM$1,0),0)=AV3,".","NO"))</f>
        <v>.</v>
      </c>
      <c r="DE3" s="136" t="str">
        <f>IF($D3&lt;&gt;"Feature",".",
IF(VLOOKUP($B3,Feature_List!$A:$AM,MATCH(DE$1,  Feature_List!$A$1:$AM$1,0),0)=AW3,".","NO"))</f>
        <v>.</v>
      </c>
      <c r="DF3" s="136" t="str">
        <f>IF($D3&lt;&gt;"Feature",".",
IF(VLOOKUP($B3,Feature_List!$A:$AM,MATCH(DF$1,  Feature_List!$A$1:$AM$1,0),0)=AX3,".","NO"))</f>
        <v>.</v>
      </c>
      <c r="DG3" s="136" t="str">
        <f>IF($D3&lt;&gt;"Feature",".",
IF(VLOOKUP($B3,Feature_List!$A:$AM,MATCH(DG$1,  Feature_List!$A$1:$AM$1,0),0)=AY3,".","NO"))</f>
        <v>.</v>
      </c>
      <c r="DH3" s="136" t="str">
        <f>IF($D3&lt;&gt;"Feature",".",
IF(VLOOKUP($B3,Feature_List!$A:$AM,MATCH(DH$1,  Feature_List!$A$1:$AM$1,0),0)=AZ3,".","NO"))</f>
        <v>.</v>
      </c>
      <c r="DI3" s="136" t="str">
        <f>IF($D3&lt;&gt;"Feature",".",
IF(VLOOKUP($B3,Feature_List!$A:$AM,MATCH(DI$1,  Feature_List!$A$1:$AM$1,0),0)=BA3,".","NO"))</f>
        <v>.</v>
      </c>
      <c r="DJ3" s="136" t="str">
        <f>IF($D3&lt;&gt;"Feature",".",
IF(VLOOKUP($B3,Feature_List!$A:$AM,MATCH(DJ$1,  Feature_List!$A$1:$AM$1,0),0)=BB3,".","NO"))</f>
        <v>.</v>
      </c>
      <c r="DK3" s="136"/>
      <c r="DL3" s="136"/>
      <c r="DM3" s="136"/>
      <c r="DN3" s="136" t="str">
        <f>IF($D3&lt;&gt;"Feature",".",
IF(VLOOKUP($B3,Feature_List!$A:$AM,MATCH(DN$1,  Feature_List!$A$1:$AM$1,0),0)=BC3,".","NO"))</f>
        <v>.</v>
      </c>
      <c r="DO3" s="136" t="str">
        <f>IF($D3&lt;&gt;"Feature",".",
IF(VLOOKUP($B3,Feature_List!$A:$AM,MATCH(DO$1,  Feature_List!$A$1:$AM$1,0),0)=BD3,".","NO"))</f>
        <v>.</v>
      </c>
    </row>
    <row r="4" spans="1:119" x14ac:dyDescent="0.3">
      <c r="A4" s="139"/>
      <c r="B4" s="121">
        <v>376472</v>
      </c>
      <c r="C4" s="122" t="s">
        <v>604</v>
      </c>
      <c r="D4" s="122" t="s">
        <v>71</v>
      </c>
      <c r="E4" s="122" t="s">
        <v>665</v>
      </c>
      <c r="F4" s="138" t="s">
        <v>652</v>
      </c>
      <c r="G4" s="123" t="s">
        <v>652</v>
      </c>
      <c r="H4" s="122" t="s">
        <v>70</v>
      </c>
      <c r="I4" s="124" t="s">
        <v>562</v>
      </c>
      <c r="J4" s="138"/>
      <c r="K4" s="123">
        <v>1</v>
      </c>
      <c r="L4" s="122"/>
      <c r="M4" s="122" t="s">
        <v>666</v>
      </c>
      <c r="N4" s="122"/>
      <c r="O4" s="123">
        <f t="shared" si="0"/>
        <v>1</v>
      </c>
      <c r="P4" s="123" t="str">
        <f t="shared" si="1"/>
        <v>New</v>
      </c>
      <c r="Q4" s="122" t="str">
        <f t="shared" si="24"/>
        <v>Story</v>
      </c>
      <c r="R4" s="126">
        <f t="shared" si="2"/>
        <v>318430</v>
      </c>
      <c r="S4" s="127">
        <f t="shared" si="3"/>
        <v>376472</v>
      </c>
      <c r="T4" s="128" t="e">
        <f>IF($Q4="ZeroEntry", "",VLOOKUP($I4,'Ranking Lookup'!#REF!,2,FALSE))</f>
        <v>#REF!</v>
      </c>
      <c r="U4" s="129" t="str">
        <f t="shared" si="4"/>
        <v/>
      </c>
      <c r="V4" s="129" t="str">
        <f t="shared" si="5"/>
        <v/>
      </c>
      <c r="W4" s="129" t="str">
        <f t="shared" si="6"/>
        <v/>
      </c>
      <c r="X4" s="129" t="str">
        <f t="shared" si="7"/>
        <v/>
      </c>
      <c r="Y4" s="129" t="str">
        <f t="shared" si="8"/>
        <v>Feature</v>
      </c>
      <c r="Z4" s="129" t="str">
        <f t="shared" si="9"/>
        <v/>
      </c>
      <c r="AA4" s="130"/>
      <c r="AB4" s="130" t="str">
        <f t="shared" si="10"/>
        <v>PI 12</v>
      </c>
      <c r="AC4" s="131">
        <f t="shared" si="25"/>
        <v>1</v>
      </c>
      <c r="AD4" s="131">
        <f t="shared" si="26"/>
        <v>0</v>
      </c>
      <c r="AE4" s="132">
        <f t="shared" si="11"/>
        <v>0</v>
      </c>
      <c r="AF4" s="133" t="str">
        <f t="shared" si="27"/>
        <v/>
      </c>
      <c r="AG4" s="134">
        <f t="shared" si="12"/>
        <v>0</v>
      </c>
      <c r="AH4" s="54" t="str">
        <f t="shared" si="13"/>
        <v/>
      </c>
      <c r="AI4" s="54" t="e">
        <f t="shared" si="14"/>
        <v>#REF!</v>
      </c>
      <c r="AJ4" s="54" t="e">
        <f t="shared" si="14"/>
        <v>#REF!</v>
      </c>
      <c r="AK4" s="54" t="e">
        <f t="shared" si="14"/>
        <v>#REF!</v>
      </c>
      <c r="AL4" s="54" t="e">
        <f t="shared" si="14"/>
        <v>#REF!</v>
      </c>
      <c r="AM4" s="54" t="e">
        <f t="shared" si="14"/>
        <v>#REF!</v>
      </c>
      <c r="AN4" s="54" t="e">
        <f t="shared" si="14"/>
        <v>#REF!</v>
      </c>
      <c r="AO4" s="54" t="e">
        <f t="shared" si="14"/>
        <v>#REF!</v>
      </c>
      <c r="AP4" s="54" t="e">
        <f t="shared" si="14"/>
        <v>#REF!</v>
      </c>
      <c r="AQ4" s="54" t="e">
        <f t="shared" si="14"/>
        <v>#REF!</v>
      </c>
      <c r="AR4" s="54" t="e">
        <f t="shared" si="14"/>
        <v>#REF!</v>
      </c>
      <c r="AS4" s="54" t="e">
        <f t="shared" si="14"/>
        <v>#REF!</v>
      </c>
      <c r="AT4" s="54" t="e">
        <f t="shared" si="14"/>
        <v>#REF!</v>
      </c>
      <c r="AU4" s="54" t="e">
        <f t="shared" si="14"/>
        <v>#REF!</v>
      </c>
      <c r="AV4" s="54" t="e">
        <f t="shared" si="14"/>
        <v>#REF!</v>
      </c>
      <c r="AW4" s="54" t="e">
        <f t="shared" si="14"/>
        <v>#REF!</v>
      </c>
      <c r="AX4" s="54" t="e">
        <f t="shared" si="14"/>
        <v>#REF!</v>
      </c>
      <c r="AY4" s="54" t="e">
        <f t="shared" si="15"/>
        <v>#REF!</v>
      </c>
      <c r="AZ4" s="54" t="str">
        <f t="shared" si="16"/>
        <v/>
      </c>
      <c r="BA4" s="54" t="e">
        <f t="shared" si="17"/>
        <v>#REF!</v>
      </c>
      <c r="BB4" s="135" t="str">
        <f t="shared" si="18"/>
        <v/>
      </c>
      <c r="BC4" s="54" t="e">
        <f t="shared" si="19"/>
        <v>#REF!</v>
      </c>
      <c r="BD4" s="54" t="e">
        <f t="shared" si="19"/>
        <v>#REF!</v>
      </c>
      <c r="BE4" s="54" t="e">
        <f t="shared" si="19"/>
        <v>#REF!</v>
      </c>
      <c r="BF4" s="54" t="str">
        <f t="shared" si="20"/>
        <v/>
      </c>
      <c r="BG4" s="54" t="str">
        <f t="shared" si="21"/>
        <v/>
      </c>
      <c r="BH4" s="34" t="e">
        <f t="shared" si="22"/>
        <v>#REF!</v>
      </c>
      <c r="BI4" s="34" t="e">
        <f t="shared" si="23"/>
        <v>#REF!</v>
      </c>
      <c r="BJ4" s="136" t="str">
        <f>IF($D4&lt;&gt;"Feature",".",
IF(VLOOKUP($B4,Feature_List!$A:$AM,MATCH(BJ$1,  Feature_List!$A$1:$AM$1,0),0)=B4,".","NO"))</f>
        <v>.</v>
      </c>
      <c r="BK4" s="136"/>
      <c r="BL4" s="136"/>
      <c r="BM4" s="136" t="str">
        <f>IF($D4&lt;&gt;"Feature",".",
IF(VLOOKUP($B4,Feature_List!$A:$AM,MATCH(BM$1,  Feature_List!$A$1:$AM$1,0),0)=E4,".","NO"))</f>
        <v>.</v>
      </c>
      <c r="BN4" s="136" t="str">
        <f>IF($D4&lt;&gt;"Feature",".",
IF(VLOOKUP($B4,Feature_List!$A:$AM,MATCH(BN$1,  Feature_List!$A$1:$AM$1,0),0)=F4,".","NO"))</f>
        <v>.</v>
      </c>
      <c r="BO4" s="136" t="str">
        <f>IF($D4&lt;&gt;"Feature",".",
IF(VLOOKUP($B4,Feature_List!$A:$AM,MATCH(BO$1,  Feature_List!$A$1:$AM$1,0),0)=G4,".","NO"))</f>
        <v>.</v>
      </c>
      <c r="BP4" s="136" t="str">
        <f>IF($D4&lt;&gt;"Feature",".",
IF(VLOOKUP($B4,Feature_List!$A:$AM,MATCH(BP$1,  Feature_List!$A$1:$AM$1,0),0)=H4,".","NO"))</f>
        <v>.</v>
      </c>
      <c r="BQ4" s="136"/>
      <c r="BR4" s="136" t="str">
        <f>IF($D4&lt;&gt;"Feature",".",
IF(VLOOKUP($B4,Feature_List!$A:$AM,MATCH(BR$1,  Feature_List!$A$1:$AM$1,0),0)=J4,".","NO"))</f>
        <v>.</v>
      </c>
      <c r="BS4" s="136"/>
      <c r="BT4" s="136"/>
      <c r="BU4" s="136" t="str">
        <f>IF($D4&lt;&gt;"Feature",".",
IF(VLOOKUP($B4,Feature_List!$A:$AM,MATCH(BU$1,  Feature_List!$A$1:$AM$1,0),0)=M4,".","NO"))</f>
        <v>.</v>
      </c>
      <c r="BV4" s="136" t="str">
        <f>IF($D4&lt;&gt;"Feature",".",
IF(VLOOKUP($B4,Feature_List!$A:$AM,MATCH(BV$1,  Feature_List!$A$1:$AM$1,0),0)=N4,".","NO"))</f>
        <v>.</v>
      </c>
      <c r="BW4" s="136"/>
      <c r="BX4" s="136"/>
      <c r="BY4" s="136"/>
      <c r="BZ4" s="136"/>
      <c r="CA4" s="136"/>
      <c r="CB4" s="136" t="str">
        <f>IF($D4&lt;&gt;"Feature",".",
IF(VLOOKUP($B4,Feature_List!$A:$AM,MATCH(CB$1,  Feature_List!$A$1:$AM$1,0),0)=T4,".","NO"))</f>
        <v>.</v>
      </c>
      <c r="CC4" s="136"/>
      <c r="CD4" s="136"/>
      <c r="CE4" s="136"/>
      <c r="CF4" s="136"/>
      <c r="CG4" s="136"/>
      <c r="CH4" s="136"/>
      <c r="CI4" s="136"/>
      <c r="CJ4" s="136"/>
      <c r="CK4" s="136"/>
      <c r="CL4" s="136"/>
      <c r="CM4" s="136"/>
      <c r="CN4" s="136"/>
      <c r="CO4" s="136" t="str">
        <f>IF($D4&lt;&gt;"Feature",".",
IF(VLOOKUP($B4,Feature_List!$A:$AM,MATCH(CO$1,  Feature_List!$A$1:$AM$1,0),0)=AG4,".","NO"))</f>
        <v>.</v>
      </c>
      <c r="CP4" s="136" t="str">
        <f>IF($D4&lt;&gt;"Feature",".",
IF(VLOOKUP($B4,Feature_List!$A:$AM,MATCH(CP$1,  Feature_List!$A$1:$AM$1,0),0)=AH4,".","NO"))</f>
        <v>.</v>
      </c>
      <c r="CQ4" s="136" t="str">
        <f>IF($D4&lt;&gt;"Feature",".",
IF(VLOOKUP($B4,Feature_List!$A:$AM,MATCH(CQ$1,  Feature_List!$A$1:$AM$1,0),0)=AI4,".","NO"))</f>
        <v>.</v>
      </c>
      <c r="CR4" s="136" t="str">
        <f>IF($D4&lt;&gt;"Feature",".",
IF(VLOOKUP($B4,Feature_List!$A:$AM,MATCH(CR$1,  Feature_List!$A$1:$AM$1,0),0)=AJ4,".","NO"))</f>
        <v>.</v>
      </c>
      <c r="CS4" s="136" t="str">
        <f>IF($D4&lt;&gt;"Feature",".",
IF(VLOOKUP($B4,Feature_List!$A:$AM,MATCH(CS$1,  Feature_List!$A$1:$AM$1,0),0)=AK4,".","NO"))</f>
        <v>.</v>
      </c>
      <c r="CT4" s="136" t="str">
        <f>IF($D4&lt;&gt;"Feature",".",
IF(VLOOKUP($B4,Feature_List!$A:$AM,MATCH(CT$1,  Feature_List!$A$1:$AM$1,0),0)=AL4,".","NO"))</f>
        <v>.</v>
      </c>
      <c r="CU4" s="136" t="str">
        <f>IF($D4&lt;&gt;"Feature",".",
IF(VLOOKUP($B4,Feature_List!$A:$AM,MATCH(CU$1,  Feature_List!$A$1:$AM$1,0),0)=AM4,".","NO"))</f>
        <v>.</v>
      </c>
      <c r="CV4" s="136" t="str">
        <f>IF($D4&lt;&gt;"Feature",".",
IF(VLOOKUP($B4,Feature_List!$A:$AM,MATCH(CV$1,  Feature_List!$A$1:$AM$1,0),0)=AN4,".","NO"))</f>
        <v>.</v>
      </c>
      <c r="CW4" s="136" t="str">
        <f>IF($D4&lt;&gt;"Feature",".",
IF(VLOOKUP($B4,Feature_List!$A:$AM,MATCH(CW$1,  Feature_List!$A$1:$AM$1,0),0)=AO4,".","NO"))</f>
        <v>.</v>
      </c>
      <c r="CX4" s="136" t="str">
        <f>IF($D4&lt;&gt;"Feature",".",
IF(VLOOKUP($B4,Feature_List!$A:$AM,MATCH(CX$1,  Feature_List!$A$1:$AM$1,0),0)=AP4,".","NO"))</f>
        <v>.</v>
      </c>
      <c r="CY4" s="136" t="str">
        <f>IF($D4&lt;&gt;"Feature",".",
IF(VLOOKUP($B4,Feature_List!$A:$AM,MATCH(CY$1,  Feature_List!$A$1:$AM$1,0),0)=AQ4,".","NO"))</f>
        <v>.</v>
      </c>
      <c r="CZ4" s="136" t="str">
        <f>IF($D4&lt;&gt;"Feature",".",
IF(VLOOKUP($B4,Feature_List!$A:$AM,MATCH(CZ$1,  Feature_List!$A$1:$AM$1,0),0)=AR4,".","NO"))</f>
        <v>.</v>
      </c>
      <c r="DA4" s="136" t="str">
        <f>IF($D4&lt;&gt;"Feature",".",
IF(VLOOKUP($B4,Feature_List!$A:$AM,MATCH(DA$1,  Feature_List!$A$1:$AM$1,0),0)=AS4,".","NO"))</f>
        <v>.</v>
      </c>
      <c r="DB4" s="136" t="str">
        <f>IF($D4&lt;&gt;"Feature",".",
IF(VLOOKUP($B4,Feature_List!$A:$AM,MATCH(DB$1,  Feature_List!$A$1:$AM$1,0),0)=AT4,".","NO"))</f>
        <v>.</v>
      </c>
      <c r="DC4" s="136" t="str">
        <f>IF($D4&lt;&gt;"Feature",".",
IF(VLOOKUP($B4,Feature_List!$A:$AM,MATCH(DC$1,  Feature_List!$A$1:$AM$1,0),0)=AU4,".","NO"))</f>
        <v>.</v>
      </c>
      <c r="DD4" s="136" t="str">
        <f>IF($D4&lt;&gt;"Feature",".",
IF(VLOOKUP($B4,Feature_List!$A:$AM,MATCH(DD$1,  Feature_List!$A$1:$AM$1,0),0)=AV4,".","NO"))</f>
        <v>.</v>
      </c>
      <c r="DE4" s="136" t="str">
        <f>IF($D4&lt;&gt;"Feature",".",
IF(VLOOKUP($B4,Feature_List!$A:$AM,MATCH(DE$1,  Feature_List!$A$1:$AM$1,0),0)=AW4,".","NO"))</f>
        <v>.</v>
      </c>
      <c r="DF4" s="136" t="str">
        <f>IF($D4&lt;&gt;"Feature",".",
IF(VLOOKUP($B4,Feature_List!$A:$AM,MATCH(DF$1,  Feature_List!$A$1:$AM$1,0),0)=AX4,".","NO"))</f>
        <v>.</v>
      </c>
      <c r="DG4" s="136" t="str">
        <f>IF($D4&lt;&gt;"Feature",".",
IF(VLOOKUP($B4,Feature_List!$A:$AM,MATCH(DG$1,  Feature_List!$A$1:$AM$1,0),0)=AY4,".","NO"))</f>
        <v>.</v>
      </c>
      <c r="DH4" s="136" t="str">
        <f>IF($D4&lt;&gt;"Feature",".",
IF(VLOOKUP($B4,Feature_List!$A:$AM,MATCH(DH$1,  Feature_List!$A$1:$AM$1,0),0)=AZ4,".","NO"))</f>
        <v>.</v>
      </c>
      <c r="DI4" s="136" t="str">
        <f>IF($D4&lt;&gt;"Feature",".",
IF(VLOOKUP($B4,Feature_List!$A:$AM,MATCH(DI$1,  Feature_List!$A$1:$AM$1,0),0)=BA4,".","NO"))</f>
        <v>.</v>
      </c>
      <c r="DJ4" s="136" t="str">
        <f>IF($D4&lt;&gt;"Feature",".",
IF(VLOOKUP($B4,Feature_List!$A:$AM,MATCH(DJ$1,  Feature_List!$A$1:$AM$1,0),0)=BB4,".","NO"))</f>
        <v>.</v>
      </c>
      <c r="DK4" s="136"/>
      <c r="DL4" s="136"/>
      <c r="DM4" s="136"/>
      <c r="DN4" s="136" t="str">
        <f>IF($D4&lt;&gt;"Feature",".",
IF(VLOOKUP($B4,Feature_List!$A:$AM,MATCH(DN$1,  Feature_List!$A$1:$AM$1,0),0)=BC4,".","NO"))</f>
        <v>.</v>
      </c>
      <c r="DO4" s="136" t="str">
        <f>IF($D4&lt;&gt;"Feature",".",
IF(VLOOKUP($B4,Feature_List!$A:$AM,MATCH(DO$1,  Feature_List!$A$1:$AM$1,0),0)=BD4,".","NO"))</f>
        <v>.</v>
      </c>
    </row>
    <row r="5" spans="1:119" x14ac:dyDescent="0.3">
      <c r="A5" s="116"/>
      <c r="B5" s="121">
        <v>376449</v>
      </c>
      <c r="C5" s="123" t="s">
        <v>604</v>
      </c>
      <c r="D5" s="122" t="s">
        <v>71</v>
      </c>
      <c r="E5" s="122" t="s">
        <v>667</v>
      </c>
      <c r="F5" s="123" t="s">
        <v>646</v>
      </c>
      <c r="G5" s="123" t="s">
        <v>646</v>
      </c>
      <c r="H5" s="122" t="s">
        <v>70</v>
      </c>
      <c r="I5" s="124" t="s">
        <v>562</v>
      </c>
      <c r="J5" s="123"/>
      <c r="K5" s="123">
        <v>3</v>
      </c>
      <c r="L5" s="122"/>
      <c r="M5" s="122" t="s">
        <v>666</v>
      </c>
      <c r="N5" s="122"/>
      <c r="O5" s="123">
        <f t="shared" si="0"/>
        <v>3</v>
      </c>
      <c r="P5" s="123" t="str">
        <f t="shared" si="1"/>
        <v>New</v>
      </c>
      <c r="Q5" s="122" t="str">
        <f t="shared" si="24"/>
        <v>Story</v>
      </c>
      <c r="R5" s="126">
        <f t="shared" si="2"/>
        <v>318430</v>
      </c>
      <c r="S5" s="127">
        <f t="shared" si="3"/>
        <v>376449</v>
      </c>
      <c r="T5" s="128" t="e">
        <f>IF($Q5="ZeroEntry", "",VLOOKUP($I5,'Ranking Lookup'!#REF!,2,FALSE))</f>
        <v>#REF!</v>
      </c>
      <c r="U5" s="129" t="str">
        <f t="shared" si="4"/>
        <v/>
      </c>
      <c r="V5" s="129" t="str">
        <f t="shared" si="5"/>
        <v/>
      </c>
      <c r="W5" s="129" t="str">
        <f t="shared" si="6"/>
        <v/>
      </c>
      <c r="X5" s="129" t="str">
        <f t="shared" si="7"/>
        <v/>
      </c>
      <c r="Y5" s="129" t="str">
        <f t="shared" si="8"/>
        <v>Feature</v>
      </c>
      <c r="Z5" s="129" t="str">
        <f t="shared" si="9"/>
        <v/>
      </c>
      <c r="AA5" s="130"/>
      <c r="AB5" s="130" t="str">
        <f t="shared" si="10"/>
        <v>PI 12</v>
      </c>
      <c r="AC5" s="131">
        <f t="shared" si="25"/>
        <v>3</v>
      </c>
      <c r="AD5" s="131">
        <f t="shared" si="26"/>
        <v>0</v>
      </c>
      <c r="AE5" s="132">
        <f t="shared" si="11"/>
        <v>0</v>
      </c>
      <c r="AF5" s="133" t="str">
        <f t="shared" si="27"/>
        <v/>
      </c>
      <c r="AG5" s="134">
        <f t="shared" si="12"/>
        <v>0</v>
      </c>
      <c r="AH5" s="54" t="str">
        <f t="shared" si="13"/>
        <v/>
      </c>
      <c r="AI5" s="54" t="e">
        <f t="shared" si="14"/>
        <v>#REF!</v>
      </c>
      <c r="AJ5" s="54" t="e">
        <f t="shared" si="14"/>
        <v>#REF!</v>
      </c>
      <c r="AK5" s="54" t="e">
        <f t="shared" si="14"/>
        <v>#REF!</v>
      </c>
      <c r="AL5" s="54" t="e">
        <f t="shared" si="14"/>
        <v>#REF!</v>
      </c>
      <c r="AM5" s="54" t="e">
        <f t="shared" si="14"/>
        <v>#REF!</v>
      </c>
      <c r="AN5" s="54" t="e">
        <f t="shared" si="14"/>
        <v>#REF!</v>
      </c>
      <c r="AO5" s="54" t="e">
        <f t="shared" si="14"/>
        <v>#REF!</v>
      </c>
      <c r="AP5" s="54" t="e">
        <f t="shared" si="14"/>
        <v>#REF!</v>
      </c>
      <c r="AQ5" s="54" t="e">
        <f t="shared" si="14"/>
        <v>#REF!</v>
      </c>
      <c r="AR5" s="54" t="e">
        <f t="shared" si="14"/>
        <v>#REF!</v>
      </c>
      <c r="AS5" s="54" t="e">
        <f t="shared" si="14"/>
        <v>#REF!</v>
      </c>
      <c r="AT5" s="54" t="e">
        <f t="shared" si="14"/>
        <v>#REF!</v>
      </c>
      <c r="AU5" s="54" t="e">
        <f t="shared" si="14"/>
        <v>#REF!</v>
      </c>
      <c r="AV5" s="54" t="e">
        <f t="shared" si="14"/>
        <v>#REF!</v>
      </c>
      <c r="AW5" s="54" t="e">
        <f t="shared" si="14"/>
        <v>#REF!</v>
      </c>
      <c r="AX5" s="54" t="e">
        <f t="shared" si="14"/>
        <v>#REF!</v>
      </c>
      <c r="AY5" s="54" t="e">
        <f t="shared" si="15"/>
        <v>#REF!</v>
      </c>
      <c r="AZ5" s="54" t="str">
        <f t="shared" si="16"/>
        <v/>
      </c>
      <c r="BA5" s="54" t="e">
        <f t="shared" si="17"/>
        <v>#REF!</v>
      </c>
      <c r="BB5" s="135" t="str">
        <f t="shared" si="18"/>
        <v/>
      </c>
      <c r="BC5" s="54" t="e">
        <f t="shared" si="19"/>
        <v>#REF!</v>
      </c>
      <c r="BD5" s="54" t="e">
        <f t="shared" si="19"/>
        <v>#REF!</v>
      </c>
      <c r="BE5" s="54" t="e">
        <f t="shared" si="19"/>
        <v>#REF!</v>
      </c>
      <c r="BF5" s="54" t="str">
        <f t="shared" si="20"/>
        <v/>
      </c>
      <c r="BG5" s="54" t="str">
        <f t="shared" si="21"/>
        <v/>
      </c>
      <c r="BH5" s="34" t="e">
        <f t="shared" si="22"/>
        <v>#REF!</v>
      </c>
      <c r="BI5" s="34" t="e">
        <f t="shared" si="23"/>
        <v>#REF!</v>
      </c>
      <c r="BJ5" s="136" t="str">
        <f>IF($D5&lt;&gt;"Feature",".",
IF(VLOOKUP($B5,Feature_List!$A:$AM,MATCH(BJ$1,  Feature_List!$A$1:$AM$1,0),0)=B5,".","NO"))</f>
        <v>.</v>
      </c>
      <c r="BK5" s="136"/>
      <c r="BL5" s="136"/>
      <c r="BM5" s="136" t="str">
        <f>IF($D5&lt;&gt;"Feature",".",
IF(VLOOKUP($B5,Feature_List!$A:$AM,MATCH(BM$1,  Feature_List!$A$1:$AM$1,0),0)=E5,".","NO"))</f>
        <v>.</v>
      </c>
      <c r="BN5" s="136" t="str">
        <f>IF($D5&lt;&gt;"Feature",".",
IF(VLOOKUP($B5,Feature_List!$A:$AM,MATCH(BN$1,  Feature_List!$A$1:$AM$1,0),0)=F5,".","NO"))</f>
        <v>.</v>
      </c>
      <c r="BO5" s="136" t="str">
        <f>IF($D5&lt;&gt;"Feature",".",
IF(VLOOKUP($B5,Feature_List!$A:$AM,MATCH(BO$1,  Feature_List!$A$1:$AM$1,0),0)=G5,".","NO"))</f>
        <v>.</v>
      </c>
      <c r="BP5" s="136" t="str">
        <f>IF($D5&lt;&gt;"Feature",".",
IF(VLOOKUP($B5,Feature_List!$A:$AM,MATCH(BP$1,  Feature_List!$A$1:$AM$1,0),0)=H5,".","NO"))</f>
        <v>.</v>
      </c>
      <c r="BQ5" s="136"/>
      <c r="BR5" s="136" t="str">
        <f>IF($D5&lt;&gt;"Feature",".",
IF(VLOOKUP($B5,Feature_List!$A:$AM,MATCH(BR$1,  Feature_List!$A$1:$AM$1,0),0)=J5,".","NO"))</f>
        <v>.</v>
      </c>
      <c r="BS5" s="136"/>
      <c r="BT5" s="136"/>
      <c r="BU5" s="136" t="str">
        <f>IF($D5&lt;&gt;"Feature",".",
IF(VLOOKUP($B5,Feature_List!$A:$AM,MATCH(BU$1,  Feature_List!$A$1:$AM$1,0),0)=M5,".","NO"))</f>
        <v>.</v>
      </c>
      <c r="BV5" s="136" t="str">
        <f>IF($D5&lt;&gt;"Feature",".",
IF(VLOOKUP($B5,Feature_List!$A:$AM,MATCH(BV$1,  Feature_List!$A$1:$AM$1,0),0)=N5,".","NO"))</f>
        <v>.</v>
      </c>
      <c r="BW5" s="136"/>
      <c r="BX5" s="136"/>
      <c r="BY5" s="136"/>
      <c r="BZ5" s="136"/>
      <c r="CA5" s="136"/>
      <c r="CB5" s="136" t="str">
        <f>IF($D5&lt;&gt;"Feature",".",
IF(VLOOKUP($B5,Feature_List!$A:$AM,MATCH(CB$1,  Feature_List!$A$1:$AM$1,0),0)=T5,".","NO"))</f>
        <v>.</v>
      </c>
      <c r="CC5" s="136"/>
      <c r="CD5" s="136"/>
      <c r="CE5" s="136"/>
      <c r="CF5" s="136"/>
      <c r="CG5" s="136"/>
      <c r="CH5" s="136"/>
      <c r="CI5" s="136"/>
      <c r="CJ5" s="136"/>
      <c r="CK5" s="136"/>
      <c r="CL5" s="136"/>
      <c r="CM5" s="136"/>
      <c r="CN5" s="136"/>
      <c r="CO5" s="136" t="str">
        <f>IF($D5&lt;&gt;"Feature",".",
IF(VLOOKUP($B5,Feature_List!$A:$AM,MATCH(CO$1,  Feature_List!$A$1:$AM$1,0),0)=AG5,".","NO"))</f>
        <v>.</v>
      </c>
      <c r="CP5" s="136" t="str">
        <f>IF($D5&lt;&gt;"Feature",".",
IF(VLOOKUP($B5,Feature_List!$A:$AM,MATCH(CP$1,  Feature_List!$A$1:$AM$1,0),0)=AH5,".","NO"))</f>
        <v>.</v>
      </c>
      <c r="CQ5" s="136" t="str">
        <f>IF($D5&lt;&gt;"Feature",".",
IF(VLOOKUP($B5,Feature_List!$A:$AM,MATCH(CQ$1,  Feature_List!$A$1:$AM$1,0),0)=AI5,".","NO"))</f>
        <v>.</v>
      </c>
      <c r="CR5" s="136" t="str">
        <f>IF($D5&lt;&gt;"Feature",".",
IF(VLOOKUP($B5,Feature_List!$A:$AM,MATCH(CR$1,  Feature_List!$A$1:$AM$1,0),0)=AJ5,".","NO"))</f>
        <v>.</v>
      </c>
      <c r="CS5" s="136" t="str">
        <f>IF($D5&lt;&gt;"Feature",".",
IF(VLOOKUP($B5,Feature_List!$A:$AM,MATCH(CS$1,  Feature_List!$A$1:$AM$1,0),0)=AK5,".","NO"))</f>
        <v>.</v>
      </c>
      <c r="CT5" s="136" t="str">
        <f>IF($D5&lt;&gt;"Feature",".",
IF(VLOOKUP($B5,Feature_List!$A:$AM,MATCH(CT$1,  Feature_List!$A$1:$AM$1,0),0)=AL5,".","NO"))</f>
        <v>.</v>
      </c>
      <c r="CU5" s="136" t="str">
        <f>IF($D5&lt;&gt;"Feature",".",
IF(VLOOKUP($B5,Feature_List!$A:$AM,MATCH(CU$1,  Feature_List!$A$1:$AM$1,0),0)=AM5,".","NO"))</f>
        <v>.</v>
      </c>
      <c r="CV5" s="136" t="str">
        <f>IF($D5&lt;&gt;"Feature",".",
IF(VLOOKUP($B5,Feature_List!$A:$AM,MATCH(CV$1,  Feature_List!$A$1:$AM$1,0),0)=AN5,".","NO"))</f>
        <v>.</v>
      </c>
      <c r="CW5" s="136" t="str">
        <f>IF($D5&lt;&gt;"Feature",".",
IF(VLOOKUP($B5,Feature_List!$A:$AM,MATCH(CW$1,  Feature_List!$A$1:$AM$1,0),0)=AO5,".","NO"))</f>
        <v>.</v>
      </c>
      <c r="CX5" s="136" t="str">
        <f>IF($D5&lt;&gt;"Feature",".",
IF(VLOOKUP($B5,Feature_List!$A:$AM,MATCH(CX$1,  Feature_List!$A$1:$AM$1,0),0)=AP5,".","NO"))</f>
        <v>.</v>
      </c>
      <c r="CY5" s="136" t="str">
        <f>IF($D5&lt;&gt;"Feature",".",
IF(VLOOKUP($B5,Feature_List!$A:$AM,MATCH(CY$1,  Feature_List!$A$1:$AM$1,0),0)=AQ5,".","NO"))</f>
        <v>.</v>
      </c>
      <c r="CZ5" s="136" t="str">
        <f>IF($D5&lt;&gt;"Feature",".",
IF(VLOOKUP($B5,Feature_List!$A:$AM,MATCH(CZ$1,  Feature_List!$A$1:$AM$1,0),0)=AR5,".","NO"))</f>
        <v>.</v>
      </c>
      <c r="DA5" s="136" t="str">
        <f>IF($D5&lt;&gt;"Feature",".",
IF(VLOOKUP($B5,Feature_List!$A:$AM,MATCH(DA$1,  Feature_List!$A$1:$AM$1,0),0)=AS5,".","NO"))</f>
        <v>.</v>
      </c>
      <c r="DB5" s="136" t="str">
        <f>IF($D5&lt;&gt;"Feature",".",
IF(VLOOKUP($B5,Feature_List!$A:$AM,MATCH(DB$1,  Feature_List!$A$1:$AM$1,0),0)=AT5,".","NO"))</f>
        <v>.</v>
      </c>
      <c r="DC5" s="136" t="str">
        <f>IF($D5&lt;&gt;"Feature",".",
IF(VLOOKUP($B5,Feature_List!$A:$AM,MATCH(DC$1,  Feature_List!$A$1:$AM$1,0),0)=AU5,".","NO"))</f>
        <v>.</v>
      </c>
      <c r="DD5" s="136" t="str">
        <f>IF($D5&lt;&gt;"Feature",".",
IF(VLOOKUP($B5,Feature_List!$A:$AM,MATCH(DD$1,  Feature_List!$A$1:$AM$1,0),0)=AV5,".","NO"))</f>
        <v>.</v>
      </c>
      <c r="DE5" s="136" t="str">
        <f>IF($D5&lt;&gt;"Feature",".",
IF(VLOOKUP($B5,Feature_List!$A:$AM,MATCH(DE$1,  Feature_List!$A$1:$AM$1,0),0)=AW5,".","NO"))</f>
        <v>.</v>
      </c>
      <c r="DF5" s="136" t="str">
        <f>IF($D5&lt;&gt;"Feature",".",
IF(VLOOKUP($B5,Feature_List!$A:$AM,MATCH(DF$1,  Feature_List!$A$1:$AM$1,0),0)=AX5,".","NO"))</f>
        <v>.</v>
      </c>
      <c r="DG5" s="136" t="str">
        <f>IF($D5&lt;&gt;"Feature",".",
IF(VLOOKUP($B5,Feature_List!$A:$AM,MATCH(DG$1,  Feature_List!$A$1:$AM$1,0),0)=AY5,".","NO"))</f>
        <v>.</v>
      </c>
      <c r="DH5" s="136" t="str">
        <f>IF($D5&lt;&gt;"Feature",".",
IF(VLOOKUP($B5,Feature_List!$A:$AM,MATCH(DH$1,  Feature_List!$A$1:$AM$1,0),0)=AZ5,".","NO"))</f>
        <v>.</v>
      </c>
      <c r="DI5" s="136" t="str">
        <f>IF($D5&lt;&gt;"Feature",".",
IF(VLOOKUP($B5,Feature_List!$A:$AM,MATCH(DI$1,  Feature_List!$A$1:$AM$1,0),0)=BA5,".","NO"))</f>
        <v>.</v>
      </c>
      <c r="DJ5" s="136" t="str">
        <f>IF($D5&lt;&gt;"Feature",".",
IF(VLOOKUP($B5,Feature_List!$A:$AM,MATCH(DJ$1,  Feature_List!$A$1:$AM$1,0),0)=BB5,".","NO"))</f>
        <v>.</v>
      </c>
      <c r="DK5" s="136"/>
      <c r="DL5" s="136"/>
      <c r="DM5" s="136"/>
      <c r="DN5" s="136" t="str">
        <f>IF($D5&lt;&gt;"Feature",".",
IF(VLOOKUP($B5,Feature_List!$A:$AM,MATCH(DN$1,  Feature_List!$A$1:$AM$1,0),0)=BC5,".","NO"))</f>
        <v>.</v>
      </c>
      <c r="DO5" s="136" t="str">
        <f>IF($D5&lt;&gt;"Feature",".",
IF(VLOOKUP($B5,Feature_List!$A:$AM,MATCH(DO$1,  Feature_List!$A$1:$AM$1,0),0)=BD5,".","NO"))</f>
        <v>.</v>
      </c>
    </row>
    <row r="6" spans="1:119" x14ac:dyDescent="0.3">
      <c r="A6" s="116"/>
      <c r="B6" s="121">
        <v>376445</v>
      </c>
      <c r="C6" s="122" t="s">
        <v>604</v>
      </c>
      <c r="D6" s="122" t="s">
        <v>71</v>
      </c>
      <c r="E6" s="122" t="s">
        <v>668</v>
      </c>
      <c r="F6" s="138" t="s">
        <v>652</v>
      </c>
      <c r="G6" s="123" t="s">
        <v>652</v>
      </c>
      <c r="H6" s="122" t="s">
        <v>70</v>
      </c>
      <c r="I6" s="124" t="s">
        <v>562</v>
      </c>
      <c r="J6" s="138"/>
      <c r="K6" s="123">
        <v>3</v>
      </c>
      <c r="L6" s="122"/>
      <c r="M6" s="122" t="s">
        <v>362</v>
      </c>
      <c r="N6" s="122"/>
      <c r="O6" s="123">
        <f t="shared" si="0"/>
        <v>3</v>
      </c>
      <c r="P6" s="123" t="str">
        <f t="shared" si="1"/>
        <v>New</v>
      </c>
      <c r="Q6" s="122" t="str">
        <f t="shared" si="24"/>
        <v>Story</v>
      </c>
      <c r="R6" s="126">
        <f t="shared" si="2"/>
        <v>318430</v>
      </c>
      <c r="S6" s="127">
        <f t="shared" si="3"/>
        <v>376445</v>
      </c>
      <c r="T6" s="128" t="e">
        <f>IF($Q6="ZeroEntry", "",VLOOKUP($I6,'Ranking Lookup'!#REF!,2,FALSE))</f>
        <v>#REF!</v>
      </c>
      <c r="U6" s="129" t="str">
        <f t="shared" si="4"/>
        <v/>
      </c>
      <c r="V6" s="129" t="str">
        <f t="shared" si="5"/>
        <v/>
      </c>
      <c r="W6" s="129" t="str">
        <f t="shared" si="6"/>
        <v/>
      </c>
      <c r="X6" s="129" t="str">
        <f t="shared" si="7"/>
        <v/>
      </c>
      <c r="Y6" s="129" t="str">
        <f t="shared" si="8"/>
        <v>Feature</v>
      </c>
      <c r="Z6" s="129" t="str">
        <f t="shared" si="9"/>
        <v/>
      </c>
      <c r="AA6" s="130"/>
      <c r="AB6" s="130" t="str">
        <f t="shared" si="10"/>
        <v>PI 12</v>
      </c>
      <c r="AC6" s="131">
        <f t="shared" si="25"/>
        <v>3</v>
      </c>
      <c r="AD6" s="131">
        <f t="shared" si="26"/>
        <v>0</v>
      </c>
      <c r="AE6" s="132">
        <f t="shared" si="11"/>
        <v>0</v>
      </c>
      <c r="AF6" s="133" t="str">
        <f t="shared" si="27"/>
        <v/>
      </c>
      <c r="AG6" s="134">
        <f t="shared" si="12"/>
        <v>0</v>
      </c>
      <c r="AH6" s="54" t="str">
        <f t="shared" si="13"/>
        <v/>
      </c>
      <c r="AI6" s="54" t="e">
        <f t="shared" si="14"/>
        <v>#REF!</v>
      </c>
      <c r="AJ6" s="54" t="e">
        <f t="shared" si="14"/>
        <v>#REF!</v>
      </c>
      <c r="AK6" s="54" t="e">
        <f t="shared" si="14"/>
        <v>#REF!</v>
      </c>
      <c r="AL6" s="54" t="e">
        <f t="shared" si="14"/>
        <v>#REF!</v>
      </c>
      <c r="AM6" s="54" t="e">
        <f t="shared" si="14"/>
        <v>#REF!</v>
      </c>
      <c r="AN6" s="54" t="e">
        <f t="shared" si="14"/>
        <v>#REF!</v>
      </c>
      <c r="AO6" s="54" t="e">
        <f t="shared" si="14"/>
        <v>#REF!</v>
      </c>
      <c r="AP6" s="54" t="e">
        <f t="shared" si="14"/>
        <v>#REF!</v>
      </c>
      <c r="AQ6" s="54" t="e">
        <f t="shared" si="14"/>
        <v>#REF!</v>
      </c>
      <c r="AR6" s="54" t="e">
        <f t="shared" si="14"/>
        <v>#REF!</v>
      </c>
      <c r="AS6" s="54" t="e">
        <f t="shared" si="14"/>
        <v>#REF!</v>
      </c>
      <c r="AT6" s="54" t="e">
        <f t="shared" si="14"/>
        <v>#REF!</v>
      </c>
      <c r="AU6" s="54" t="e">
        <f t="shared" si="14"/>
        <v>#REF!</v>
      </c>
      <c r="AV6" s="54" t="e">
        <f t="shared" si="14"/>
        <v>#REF!</v>
      </c>
      <c r="AW6" s="54" t="e">
        <f t="shared" si="14"/>
        <v>#REF!</v>
      </c>
      <c r="AX6" s="54" t="e">
        <f t="shared" si="14"/>
        <v>#REF!</v>
      </c>
      <c r="AY6" s="54" t="e">
        <f t="shared" si="15"/>
        <v>#REF!</v>
      </c>
      <c r="AZ6" s="54" t="str">
        <f t="shared" si="16"/>
        <v/>
      </c>
      <c r="BA6" s="54" t="e">
        <f t="shared" si="17"/>
        <v>#REF!</v>
      </c>
      <c r="BB6" s="135" t="str">
        <f t="shared" si="18"/>
        <v/>
      </c>
      <c r="BC6" s="54" t="e">
        <f t="shared" si="19"/>
        <v>#REF!</v>
      </c>
      <c r="BD6" s="54" t="e">
        <f t="shared" si="19"/>
        <v>#REF!</v>
      </c>
      <c r="BE6" s="54" t="e">
        <f t="shared" si="19"/>
        <v>#REF!</v>
      </c>
      <c r="BF6" s="54" t="str">
        <f t="shared" si="20"/>
        <v/>
      </c>
      <c r="BG6" s="54" t="str">
        <f t="shared" si="21"/>
        <v/>
      </c>
      <c r="BH6" s="34" t="e">
        <f t="shared" si="22"/>
        <v>#REF!</v>
      </c>
      <c r="BI6" s="34" t="e">
        <f t="shared" si="23"/>
        <v>#REF!</v>
      </c>
      <c r="BJ6" s="136" t="str">
        <f>IF($D6&lt;&gt;"Feature",".",
IF(VLOOKUP($B6,Feature_List!$A:$AM,MATCH(BJ$1,  Feature_List!$A$1:$AM$1,0),0)=B6,".","NO"))</f>
        <v>.</v>
      </c>
      <c r="BK6" s="136"/>
      <c r="BL6" s="136"/>
      <c r="BM6" s="136" t="str">
        <f>IF($D6&lt;&gt;"Feature",".",
IF(VLOOKUP($B6,Feature_List!$A:$AM,MATCH(BM$1,  Feature_List!$A$1:$AM$1,0),0)=E6,".","NO"))</f>
        <v>.</v>
      </c>
      <c r="BN6" s="136" t="str">
        <f>IF($D6&lt;&gt;"Feature",".",
IF(VLOOKUP($B6,Feature_List!$A:$AM,MATCH(BN$1,  Feature_List!$A$1:$AM$1,0),0)=F6,".","NO"))</f>
        <v>.</v>
      </c>
      <c r="BO6" s="136" t="str">
        <f>IF($D6&lt;&gt;"Feature",".",
IF(VLOOKUP($B6,Feature_List!$A:$AM,MATCH(BO$1,  Feature_List!$A$1:$AM$1,0),0)=G6,".","NO"))</f>
        <v>.</v>
      </c>
      <c r="BP6" s="136" t="str">
        <f>IF($D6&lt;&gt;"Feature",".",
IF(VLOOKUP($B6,Feature_List!$A:$AM,MATCH(BP$1,  Feature_List!$A$1:$AM$1,0),0)=H6,".","NO"))</f>
        <v>.</v>
      </c>
      <c r="BQ6" s="136"/>
      <c r="BR6" s="136" t="str">
        <f>IF($D6&lt;&gt;"Feature",".",
IF(VLOOKUP($B6,Feature_List!$A:$AM,MATCH(BR$1,  Feature_List!$A$1:$AM$1,0),0)=J6,".","NO"))</f>
        <v>.</v>
      </c>
      <c r="BS6" s="136"/>
      <c r="BT6" s="136"/>
      <c r="BU6" s="136" t="str">
        <f>IF($D6&lt;&gt;"Feature",".",
IF(VLOOKUP($B6,Feature_List!$A:$AM,MATCH(BU$1,  Feature_List!$A$1:$AM$1,0),0)=M6,".","NO"))</f>
        <v>.</v>
      </c>
      <c r="BV6" s="136" t="str">
        <f>IF($D6&lt;&gt;"Feature",".",
IF(VLOOKUP($B6,Feature_List!$A:$AM,MATCH(BV$1,  Feature_List!$A$1:$AM$1,0),0)=N6,".","NO"))</f>
        <v>.</v>
      </c>
      <c r="BW6" s="136"/>
      <c r="BX6" s="136"/>
      <c r="BY6" s="136"/>
      <c r="BZ6" s="136"/>
      <c r="CA6" s="136"/>
      <c r="CB6" s="136" t="str">
        <f>IF($D6&lt;&gt;"Feature",".",
IF(VLOOKUP($B6,Feature_List!$A:$AM,MATCH(CB$1,  Feature_List!$A$1:$AM$1,0),0)=T6,".","NO"))</f>
        <v>.</v>
      </c>
      <c r="CC6" s="136"/>
      <c r="CD6" s="136"/>
      <c r="CE6" s="136"/>
      <c r="CF6" s="136"/>
      <c r="CG6" s="136"/>
      <c r="CH6" s="136"/>
      <c r="CI6" s="136"/>
      <c r="CJ6" s="136"/>
      <c r="CK6" s="136"/>
      <c r="CL6" s="136"/>
      <c r="CM6" s="136"/>
      <c r="CN6" s="136"/>
      <c r="CO6" s="136" t="str">
        <f>IF($D6&lt;&gt;"Feature",".",
IF(VLOOKUP($B6,Feature_List!$A:$AM,MATCH(CO$1,  Feature_List!$A$1:$AM$1,0),0)=AG6,".","NO"))</f>
        <v>.</v>
      </c>
      <c r="CP6" s="136" t="str">
        <f>IF($D6&lt;&gt;"Feature",".",
IF(VLOOKUP($B6,Feature_List!$A:$AM,MATCH(CP$1,  Feature_List!$A$1:$AM$1,0),0)=AH6,".","NO"))</f>
        <v>.</v>
      </c>
      <c r="CQ6" s="136" t="str">
        <f>IF($D6&lt;&gt;"Feature",".",
IF(VLOOKUP($B6,Feature_List!$A:$AM,MATCH(CQ$1,  Feature_List!$A$1:$AM$1,0),0)=AI6,".","NO"))</f>
        <v>.</v>
      </c>
      <c r="CR6" s="136" t="str">
        <f>IF($D6&lt;&gt;"Feature",".",
IF(VLOOKUP($B6,Feature_List!$A:$AM,MATCH(CR$1,  Feature_List!$A$1:$AM$1,0),0)=AJ6,".","NO"))</f>
        <v>.</v>
      </c>
      <c r="CS6" s="136" t="str">
        <f>IF($D6&lt;&gt;"Feature",".",
IF(VLOOKUP($B6,Feature_List!$A:$AM,MATCH(CS$1,  Feature_List!$A$1:$AM$1,0),0)=AK6,".","NO"))</f>
        <v>.</v>
      </c>
      <c r="CT6" s="136" t="str">
        <f>IF($D6&lt;&gt;"Feature",".",
IF(VLOOKUP($B6,Feature_List!$A:$AM,MATCH(CT$1,  Feature_List!$A$1:$AM$1,0),0)=AL6,".","NO"))</f>
        <v>.</v>
      </c>
      <c r="CU6" s="136" t="str">
        <f>IF($D6&lt;&gt;"Feature",".",
IF(VLOOKUP($B6,Feature_List!$A:$AM,MATCH(CU$1,  Feature_List!$A$1:$AM$1,0),0)=AM6,".","NO"))</f>
        <v>.</v>
      </c>
      <c r="CV6" s="136" t="str">
        <f>IF($D6&lt;&gt;"Feature",".",
IF(VLOOKUP($B6,Feature_List!$A:$AM,MATCH(CV$1,  Feature_List!$A$1:$AM$1,0),0)=AN6,".","NO"))</f>
        <v>.</v>
      </c>
      <c r="CW6" s="136" t="str">
        <f>IF($D6&lt;&gt;"Feature",".",
IF(VLOOKUP($B6,Feature_List!$A:$AM,MATCH(CW$1,  Feature_List!$A$1:$AM$1,0),0)=AO6,".","NO"))</f>
        <v>.</v>
      </c>
      <c r="CX6" s="136" t="str">
        <f>IF($D6&lt;&gt;"Feature",".",
IF(VLOOKUP($B6,Feature_List!$A:$AM,MATCH(CX$1,  Feature_List!$A$1:$AM$1,0),0)=AP6,".","NO"))</f>
        <v>.</v>
      </c>
      <c r="CY6" s="136" t="str">
        <f>IF($D6&lt;&gt;"Feature",".",
IF(VLOOKUP($B6,Feature_List!$A:$AM,MATCH(CY$1,  Feature_List!$A$1:$AM$1,0),0)=AQ6,".","NO"))</f>
        <v>.</v>
      </c>
      <c r="CZ6" s="136" t="str">
        <f>IF($D6&lt;&gt;"Feature",".",
IF(VLOOKUP($B6,Feature_List!$A:$AM,MATCH(CZ$1,  Feature_List!$A$1:$AM$1,0),0)=AR6,".","NO"))</f>
        <v>.</v>
      </c>
      <c r="DA6" s="136" t="str">
        <f>IF($D6&lt;&gt;"Feature",".",
IF(VLOOKUP($B6,Feature_List!$A:$AM,MATCH(DA$1,  Feature_List!$A$1:$AM$1,0),0)=AS6,".","NO"))</f>
        <v>.</v>
      </c>
      <c r="DB6" s="136" t="str">
        <f>IF($D6&lt;&gt;"Feature",".",
IF(VLOOKUP($B6,Feature_List!$A:$AM,MATCH(DB$1,  Feature_List!$A$1:$AM$1,0),0)=AT6,".","NO"))</f>
        <v>.</v>
      </c>
      <c r="DC6" s="136" t="str">
        <f>IF($D6&lt;&gt;"Feature",".",
IF(VLOOKUP($B6,Feature_List!$A:$AM,MATCH(DC$1,  Feature_List!$A$1:$AM$1,0),0)=AU6,".","NO"))</f>
        <v>.</v>
      </c>
      <c r="DD6" s="136" t="str">
        <f>IF($D6&lt;&gt;"Feature",".",
IF(VLOOKUP($B6,Feature_List!$A:$AM,MATCH(DD$1,  Feature_List!$A$1:$AM$1,0),0)=AV6,".","NO"))</f>
        <v>.</v>
      </c>
      <c r="DE6" s="136" t="str">
        <f>IF($D6&lt;&gt;"Feature",".",
IF(VLOOKUP($B6,Feature_List!$A:$AM,MATCH(DE$1,  Feature_List!$A$1:$AM$1,0),0)=AW6,".","NO"))</f>
        <v>.</v>
      </c>
      <c r="DF6" s="136" t="str">
        <f>IF($D6&lt;&gt;"Feature",".",
IF(VLOOKUP($B6,Feature_List!$A:$AM,MATCH(DF$1,  Feature_List!$A$1:$AM$1,0),0)=AX6,".","NO"))</f>
        <v>.</v>
      </c>
      <c r="DG6" s="136" t="str">
        <f>IF($D6&lt;&gt;"Feature",".",
IF(VLOOKUP($B6,Feature_List!$A:$AM,MATCH(DG$1,  Feature_List!$A$1:$AM$1,0),0)=AY6,".","NO"))</f>
        <v>.</v>
      </c>
      <c r="DH6" s="136" t="str">
        <f>IF($D6&lt;&gt;"Feature",".",
IF(VLOOKUP($B6,Feature_List!$A:$AM,MATCH(DH$1,  Feature_List!$A$1:$AM$1,0),0)=AZ6,".","NO"))</f>
        <v>.</v>
      </c>
      <c r="DI6" s="136" t="str">
        <f>IF($D6&lt;&gt;"Feature",".",
IF(VLOOKUP($B6,Feature_List!$A:$AM,MATCH(DI$1,  Feature_List!$A$1:$AM$1,0),0)=BA6,".","NO"))</f>
        <v>.</v>
      </c>
      <c r="DJ6" s="136" t="str">
        <f>IF($D6&lt;&gt;"Feature",".",
IF(VLOOKUP($B6,Feature_List!$A:$AM,MATCH(DJ$1,  Feature_List!$A$1:$AM$1,0),0)=BB6,".","NO"))</f>
        <v>.</v>
      </c>
      <c r="DK6" s="136"/>
      <c r="DL6" s="136"/>
      <c r="DM6" s="136"/>
      <c r="DN6" s="136" t="str">
        <f>IF($D6&lt;&gt;"Feature",".",
IF(VLOOKUP($B6,Feature_List!$A:$AM,MATCH(DN$1,  Feature_List!$A$1:$AM$1,0),0)=BC6,".","NO"))</f>
        <v>.</v>
      </c>
      <c r="DO6" s="136" t="str">
        <f>IF($D6&lt;&gt;"Feature",".",
IF(VLOOKUP($B6,Feature_List!$A:$AM,MATCH(DO$1,  Feature_List!$A$1:$AM$1,0),0)=BD6,".","NO"))</f>
        <v>.</v>
      </c>
    </row>
    <row r="7" spans="1:119" x14ac:dyDescent="0.3">
      <c r="A7" s="116"/>
      <c r="B7" s="121">
        <v>376427</v>
      </c>
      <c r="C7" s="122" t="s">
        <v>604</v>
      </c>
      <c r="D7" s="122" t="s">
        <v>71</v>
      </c>
      <c r="E7" s="122" t="s">
        <v>669</v>
      </c>
      <c r="F7" s="123" t="s">
        <v>646</v>
      </c>
      <c r="G7" s="123" t="s">
        <v>646</v>
      </c>
      <c r="H7" s="122" t="s">
        <v>70</v>
      </c>
      <c r="I7" s="124" t="s">
        <v>562</v>
      </c>
      <c r="J7" s="123"/>
      <c r="K7" s="123">
        <v>5</v>
      </c>
      <c r="L7" s="122"/>
      <c r="M7" s="122" t="s">
        <v>598</v>
      </c>
      <c r="N7" s="125"/>
      <c r="O7" s="123">
        <f t="shared" si="0"/>
        <v>5</v>
      </c>
      <c r="P7" s="123" t="str">
        <f t="shared" si="1"/>
        <v>New</v>
      </c>
      <c r="Q7" s="122" t="str">
        <f t="shared" si="24"/>
        <v>Story</v>
      </c>
      <c r="R7" s="126">
        <f t="shared" si="2"/>
        <v>318430</v>
      </c>
      <c r="S7" s="127">
        <f t="shared" si="3"/>
        <v>376427</v>
      </c>
      <c r="T7" s="128" t="e">
        <f>IF($Q7="ZeroEntry", "",VLOOKUP($I7,'Ranking Lookup'!#REF!,2,FALSE))</f>
        <v>#REF!</v>
      </c>
      <c r="U7" s="129" t="str">
        <f t="shared" si="4"/>
        <v/>
      </c>
      <c r="V7" s="129" t="str">
        <f t="shared" si="5"/>
        <v/>
      </c>
      <c r="W7" s="129" t="str">
        <f t="shared" si="6"/>
        <v/>
      </c>
      <c r="X7" s="129" t="str">
        <f t="shared" si="7"/>
        <v/>
      </c>
      <c r="Y7" s="129" t="str">
        <f t="shared" si="8"/>
        <v>Feature</v>
      </c>
      <c r="Z7" s="129" t="str">
        <f t="shared" si="9"/>
        <v/>
      </c>
      <c r="AA7" s="130"/>
      <c r="AB7" s="130" t="str">
        <f t="shared" si="10"/>
        <v>PI 12</v>
      </c>
      <c r="AC7" s="131">
        <f t="shared" si="25"/>
        <v>5</v>
      </c>
      <c r="AD7" s="131">
        <f t="shared" si="26"/>
        <v>0</v>
      </c>
      <c r="AE7" s="132">
        <f t="shared" si="11"/>
        <v>0</v>
      </c>
      <c r="AF7" s="133" t="str">
        <f t="shared" si="27"/>
        <v/>
      </c>
      <c r="AG7" s="134">
        <f t="shared" si="12"/>
        <v>0</v>
      </c>
      <c r="AH7" s="54" t="str">
        <f t="shared" si="13"/>
        <v/>
      </c>
      <c r="AI7" s="54" t="e">
        <f t="shared" si="14"/>
        <v>#REF!</v>
      </c>
      <c r="AJ7" s="54" t="e">
        <f t="shared" si="14"/>
        <v>#REF!</v>
      </c>
      <c r="AK7" s="54" t="e">
        <f t="shared" si="14"/>
        <v>#REF!</v>
      </c>
      <c r="AL7" s="54" t="e">
        <f t="shared" si="14"/>
        <v>#REF!</v>
      </c>
      <c r="AM7" s="54" t="e">
        <f t="shared" si="14"/>
        <v>#REF!</v>
      </c>
      <c r="AN7" s="54" t="e">
        <f t="shared" si="14"/>
        <v>#REF!</v>
      </c>
      <c r="AO7" s="54" t="e">
        <f t="shared" si="14"/>
        <v>#REF!</v>
      </c>
      <c r="AP7" s="54" t="e">
        <f t="shared" si="14"/>
        <v>#REF!</v>
      </c>
      <c r="AQ7" s="54" t="e">
        <f t="shared" si="14"/>
        <v>#REF!</v>
      </c>
      <c r="AR7" s="54" t="e">
        <f t="shared" si="14"/>
        <v>#REF!</v>
      </c>
      <c r="AS7" s="54" t="e">
        <f t="shared" si="14"/>
        <v>#REF!</v>
      </c>
      <c r="AT7" s="54" t="e">
        <f t="shared" si="14"/>
        <v>#REF!</v>
      </c>
      <c r="AU7" s="54" t="e">
        <f t="shared" si="14"/>
        <v>#REF!</v>
      </c>
      <c r="AV7" s="54" t="e">
        <f t="shared" si="14"/>
        <v>#REF!</v>
      </c>
      <c r="AW7" s="54" t="e">
        <f t="shared" si="14"/>
        <v>#REF!</v>
      </c>
      <c r="AX7" s="54" t="e">
        <f t="shared" si="14"/>
        <v>#REF!</v>
      </c>
      <c r="AY7" s="54" t="e">
        <f t="shared" si="15"/>
        <v>#REF!</v>
      </c>
      <c r="AZ7" s="54" t="str">
        <f t="shared" si="16"/>
        <v/>
      </c>
      <c r="BA7" s="54" t="e">
        <f t="shared" si="17"/>
        <v>#REF!</v>
      </c>
      <c r="BB7" s="135" t="str">
        <f t="shared" si="18"/>
        <v/>
      </c>
      <c r="BC7" s="54" t="e">
        <f t="shared" si="19"/>
        <v>#REF!</v>
      </c>
      <c r="BD7" s="54" t="e">
        <f t="shared" si="19"/>
        <v>#REF!</v>
      </c>
      <c r="BE7" s="54" t="e">
        <f t="shared" si="19"/>
        <v>#REF!</v>
      </c>
      <c r="BF7" s="54" t="str">
        <f t="shared" si="20"/>
        <v/>
      </c>
      <c r="BG7" s="54" t="str">
        <f t="shared" si="21"/>
        <v/>
      </c>
      <c r="BH7" s="34" t="e">
        <f t="shared" si="22"/>
        <v>#REF!</v>
      </c>
      <c r="BI7" s="34" t="e">
        <f t="shared" si="23"/>
        <v>#REF!</v>
      </c>
      <c r="BJ7" s="136" t="str">
        <f>IF($D7&lt;&gt;"Feature",".",
IF(VLOOKUP($B7,Feature_List!$A:$AM,MATCH(BJ$1,  Feature_List!$A$1:$AM$1,0),0)=B7,".","NO"))</f>
        <v>.</v>
      </c>
      <c r="BK7" s="136"/>
      <c r="BL7" s="136"/>
      <c r="BM7" s="136" t="str">
        <f>IF($D7&lt;&gt;"Feature",".",
IF(VLOOKUP($B7,Feature_List!$A:$AM,MATCH(BM$1,  Feature_List!$A$1:$AM$1,0),0)=E7,".","NO"))</f>
        <v>.</v>
      </c>
      <c r="BN7" s="136" t="str">
        <f>IF($D7&lt;&gt;"Feature",".",
IF(VLOOKUP($B7,Feature_List!$A:$AM,MATCH(BN$1,  Feature_List!$A$1:$AM$1,0),0)=F7,".","NO"))</f>
        <v>.</v>
      </c>
      <c r="BO7" s="136" t="str">
        <f>IF($D7&lt;&gt;"Feature",".",
IF(VLOOKUP($B7,Feature_List!$A:$AM,MATCH(BO$1,  Feature_List!$A$1:$AM$1,0),0)=G7,".","NO"))</f>
        <v>.</v>
      </c>
      <c r="BP7" s="136" t="str">
        <f>IF($D7&lt;&gt;"Feature",".",
IF(VLOOKUP($B7,Feature_List!$A:$AM,MATCH(BP$1,  Feature_List!$A$1:$AM$1,0),0)=H7,".","NO"))</f>
        <v>.</v>
      </c>
      <c r="BQ7" s="136"/>
      <c r="BR7" s="136" t="str">
        <f>IF($D7&lt;&gt;"Feature",".",
IF(VLOOKUP($B7,Feature_List!$A:$AM,MATCH(BR$1,  Feature_List!$A$1:$AM$1,0),0)=J7,".","NO"))</f>
        <v>.</v>
      </c>
      <c r="BS7" s="136"/>
      <c r="BT7" s="136"/>
      <c r="BU7" s="136" t="str">
        <f>IF($D7&lt;&gt;"Feature",".",
IF(VLOOKUP($B7,Feature_List!$A:$AM,MATCH(BU$1,  Feature_List!$A$1:$AM$1,0),0)=M7,".","NO"))</f>
        <v>.</v>
      </c>
      <c r="BV7" s="136" t="str">
        <f>IF($D7&lt;&gt;"Feature",".",
IF(VLOOKUP($B7,Feature_List!$A:$AM,MATCH(BV$1,  Feature_List!$A$1:$AM$1,0),0)=N7,".","NO"))</f>
        <v>.</v>
      </c>
      <c r="BW7" s="136"/>
      <c r="BX7" s="136"/>
      <c r="BY7" s="136"/>
      <c r="BZ7" s="136"/>
      <c r="CA7" s="136"/>
      <c r="CB7" s="136" t="str">
        <f>IF($D7&lt;&gt;"Feature",".",
IF(VLOOKUP($B7,Feature_List!$A:$AM,MATCH(CB$1,  Feature_List!$A$1:$AM$1,0),0)=T7,".","NO"))</f>
        <v>.</v>
      </c>
      <c r="CC7" s="136"/>
      <c r="CD7" s="136"/>
      <c r="CE7" s="136"/>
      <c r="CF7" s="136"/>
      <c r="CG7" s="136"/>
      <c r="CH7" s="136"/>
      <c r="CI7" s="136"/>
      <c r="CJ7" s="136"/>
      <c r="CK7" s="136"/>
      <c r="CL7" s="136"/>
      <c r="CM7" s="136"/>
      <c r="CN7" s="136"/>
      <c r="CO7" s="136" t="str">
        <f>IF($D7&lt;&gt;"Feature",".",
IF(VLOOKUP($B7,Feature_List!$A:$AM,MATCH(CO$1,  Feature_List!$A$1:$AM$1,0),0)=AG7,".","NO"))</f>
        <v>.</v>
      </c>
      <c r="CP7" s="136" t="str">
        <f>IF($D7&lt;&gt;"Feature",".",
IF(VLOOKUP($B7,Feature_List!$A:$AM,MATCH(CP$1,  Feature_List!$A$1:$AM$1,0),0)=AH7,".","NO"))</f>
        <v>.</v>
      </c>
      <c r="CQ7" s="136" t="str">
        <f>IF($D7&lt;&gt;"Feature",".",
IF(VLOOKUP($B7,Feature_List!$A:$AM,MATCH(CQ$1,  Feature_List!$A$1:$AM$1,0),0)=AI7,".","NO"))</f>
        <v>.</v>
      </c>
      <c r="CR7" s="136" t="str">
        <f>IF($D7&lt;&gt;"Feature",".",
IF(VLOOKUP($B7,Feature_List!$A:$AM,MATCH(CR$1,  Feature_List!$A$1:$AM$1,0),0)=AJ7,".","NO"))</f>
        <v>.</v>
      </c>
      <c r="CS7" s="136" t="str">
        <f>IF($D7&lt;&gt;"Feature",".",
IF(VLOOKUP($B7,Feature_List!$A:$AM,MATCH(CS$1,  Feature_List!$A$1:$AM$1,0),0)=AK7,".","NO"))</f>
        <v>.</v>
      </c>
      <c r="CT7" s="136" t="str">
        <f>IF($D7&lt;&gt;"Feature",".",
IF(VLOOKUP($B7,Feature_List!$A:$AM,MATCH(CT$1,  Feature_List!$A$1:$AM$1,0),0)=AL7,".","NO"))</f>
        <v>.</v>
      </c>
      <c r="CU7" s="136" t="str">
        <f>IF($D7&lt;&gt;"Feature",".",
IF(VLOOKUP($B7,Feature_List!$A:$AM,MATCH(CU$1,  Feature_List!$A$1:$AM$1,0),0)=AM7,".","NO"))</f>
        <v>.</v>
      </c>
      <c r="CV7" s="136" t="str">
        <f>IF($D7&lt;&gt;"Feature",".",
IF(VLOOKUP($B7,Feature_List!$A:$AM,MATCH(CV$1,  Feature_List!$A$1:$AM$1,0),0)=AN7,".","NO"))</f>
        <v>.</v>
      </c>
      <c r="CW7" s="136" t="str">
        <f>IF($D7&lt;&gt;"Feature",".",
IF(VLOOKUP($B7,Feature_List!$A:$AM,MATCH(CW$1,  Feature_List!$A$1:$AM$1,0),0)=AO7,".","NO"))</f>
        <v>.</v>
      </c>
      <c r="CX7" s="136" t="str">
        <f>IF($D7&lt;&gt;"Feature",".",
IF(VLOOKUP($B7,Feature_List!$A:$AM,MATCH(CX$1,  Feature_List!$A$1:$AM$1,0),0)=AP7,".","NO"))</f>
        <v>.</v>
      </c>
      <c r="CY7" s="136" t="str">
        <f>IF($D7&lt;&gt;"Feature",".",
IF(VLOOKUP($B7,Feature_List!$A:$AM,MATCH(CY$1,  Feature_List!$A$1:$AM$1,0),0)=AQ7,".","NO"))</f>
        <v>.</v>
      </c>
      <c r="CZ7" s="136" t="str">
        <f>IF($D7&lt;&gt;"Feature",".",
IF(VLOOKUP($B7,Feature_List!$A:$AM,MATCH(CZ$1,  Feature_List!$A$1:$AM$1,0),0)=AR7,".","NO"))</f>
        <v>.</v>
      </c>
      <c r="DA7" s="136" t="str">
        <f>IF($D7&lt;&gt;"Feature",".",
IF(VLOOKUP($B7,Feature_List!$A:$AM,MATCH(DA$1,  Feature_List!$A$1:$AM$1,0),0)=AS7,".","NO"))</f>
        <v>.</v>
      </c>
      <c r="DB7" s="136" t="str">
        <f>IF($D7&lt;&gt;"Feature",".",
IF(VLOOKUP($B7,Feature_List!$A:$AM,MATCH(DB$1,  Feature_List!$A$1:$AM$1,0),0)=AT7,".","NO"))</f>
        <v>.</v>
      </c>
      <c r="DC7" s="136" t="str">
        <f>IF($D7&lt;&gt;"Feature",".",
IF(VLOOKUP($B7,Feature_List!$A:$AM,MATCH(DC$1,  Feature_List!$A$1:$AM$1,0),0)=AU7,".","NO"))</f>
        <v>.</v>
      </c>
      <c r="DD7" s="136" t="str">
        <f>IF($D7&lt;&gt;"Feature",".",
IF(VLOOKUP($B7,Feature_List!$A:$AM,MATCH(DD$1,  Feature_List!$A$1:$AM$1,0),0)=AV7,".","NO"))</f>
        <v>.</v>
      </c>
      <c r="DE7" s="136" t="str">
        <f>IF($D7&lt;&gt;"Feature",".",
IF(VLOOKUP($B7,Feature_List!$A:$AM,MATCH(DE$1,  Feature_List!$A$1:$AM$1,0),0)=AW7,".","NO"))</f>
        <v>.</v>
      </c>
      <c r="DF7" s="136" t="str">
        <f>IF($D7&lt;&gt;"Feature",".",
IF(VLOOKUP($B7,Feature_List!$A:$AM,MATCH(DF$1,  Feature_List!$A$1:$AM$1,0),0)=AX7,".","NO"))</f>
        <v>.</v>
      </c>
      <c r="DG7" s="136" t="str">
        <f>IF($D7&lt;&gt;"Feature",".",
IF(VLOOKUP($B7,Feature_List!$A:$AM,MATCH(DG$1,  Feature_List!$A$1:$AM$1,0),0)=AY7,".","NO"))</f>
        <v>.</v>
      </c>
      <c r="DH7" s="136" t="str">
        <f>IF($D7&lt;&gt;"Feature",".",
IF(VLOOKUP($B7,Feature_List!$A:$AM,MATCH(DH$1,  Feature_List!$A$1:$AM$1,0),0)=AZ7,".","NO"))</f>
        <v>.</v>
      </c>
      <c r="DI7" s="136" t="str">
        <f>IF($D7&lt;&gt;"Feature",".",
IF(VLOOKUP($B7,Feature_List!$A:$AM,MATCH(DI$1,  Feature_List!$A$1:$AM$1,0),0)=BA7,".","NO"))</f>
        <v>.</v>
      </c>
      <c r="DJ7" s="136" t="str">
        <f>IF($D7&lt;&gt;"Feature",".",
IF(VLOOKUP($B7,Feature_List!$A:$AM,MATCH(DJ$1,  Feature_List!$A$1:$AM$1,0),0)=BB7,".","NO"))</f>
        <v>.</v>
      </c>
      <c r="DK7" s="136"/>
      <c r="DL7" s="136"/>
      <c r="DM7" s="136"/>
      <c r="DN7" s="136" t="str">
        <f>IF($D7&lt;&gt;"Feature",".",
IF(VLOOKUP($B7,Feature_List!$A:$AM,MATCH(DN$1,  Feature_List!$A$1:$AM$1,0),0)=BC7,".","NO"))</f>
        <v>.</v>
      </c>
      <c r="DO7" s="136" t="str">
        <f>IF($D7&lt;&gt;"Feature",".",
IF(VLOOKUP($B7,Feature_List!$A:$AM,MATCH(DO$1,  Feature_List!$A$1:$AM$1,0),0)=BD7,".","NO"))</f>
        <v>.</v>
      </c>
    </row>
    <row r="8" spans="1:119" x14ac:dyDescent="0.3">
      <c r="A8" s="116"/>
      <c r="B8" s="121">
        <v>376425</v>
      </c>
      <c r="C8" s="122" t="s">
        <v>604</v>
      </c>
      <c r="D8" s="122" t="s">
        <v>71</v>
      </c>
      <c r="E8" s="122" t="s">
        <v>670</v>
      </c>
      <c r="F8" s="138" t="s">
        <v>656</v>
      </c>
      <c r="G8" s="123" t="s">
        <v>656</v>
      </c>
      <c r="H8" s="122" t="s">
        <v>70</v>
      </c>
      <c r="I8" s="124" t="s">
        <v>562</v>
      </c>
      <c r="J8" s="138"/>
      <c r="K8" s="123">
        <v>3</v>
      </c>
      <c r="L8" s="122"/>
      <c r="M8" s="122" t="s">
        <v>671</v>
      </c>
      <c r="N8" s="125"/>
      <c r="O8" s="123">
        <f t="shared" si="0"/>
        <v>3</v>
      </c>
      <c r="P8" s="123" t="str">
        <f t="shared" si="1"/>
        <v>New</v>
      </c>
      <c r="Q8" s="122" t="str">
        <f t="shared" si="24"/>
        <v>Story</v>
      </c>
      <c r="R8" s="126">
        <f t="shared" si="2"/>
        <v>318430</v>
      </c>
      <c r="S8" s="127">
        <f t="shared" si="3"/>
        <v>376425</v>
      </c>
      <c r="T8" s="128" t="e">
        <f>IF($Q8="ZeroEntry", "",VLOOKUP($I8,'Ranking Lookup'!#REF!,2,FALSE))</f>
        <v>#REF!</v>
      </c>
      <c r="U8" s="129" t="str">
        <f t="shared" si="4"/>
        <v/>
      </c>
      <c r="V8" s="129" t="str">
        <f t="shared" si="5"/>
        <v/>
      </c>
      <c r="W8" s="129" t="str">
        <f t="shared" si="6"/>
        <v/>
      </c>
      <c r="X8" s="129" t="str">
        <f t="shared" si="7"/>
        <v/>
      </c>
      <c r="Y8" s="129" t="str">
        <f t="shared" si="8"/>
        <v>Feature</v>
      </c>
      <c r="Z8" s="129" t="str">
        <f t="shared" si="9"/>
        <v/>
      </c>
      <c r="AA8" s="130"/>
      <c r="AB8" s="130" t="str">
        <f t="shared" si="10"/>
        <v>PI 12</v>
      </c>
      <c r="AC8" s="131">
        <f t="shared" si="25"/>
        <v>3</v>
      </c>
      <c r="AD8" s="131">
        <f t="shared" si="26"/>
        <v>0</v>
      </c>
      <c r="AE8" s="132">
        <f t="shared" si="11"/>
        <v>0</v>
      </c>
      <c r="AF8" s="133" t="str">
        <f t="shared" si="27"/>
        <v/>
      </c>
      <c r="AG8" s="134">
        <f t="shared" si="12"/>
        <v>0</v>
      </c>
      <c r="AH8" s="54" t="str">
        <f t="shared" si="13"/>
        <v/>
      </c>
      <c r="AI8" s="54" t="e">
        <f t="shared" si="14"/>
        <v>#REF!</v>
      </c>
      <c r="AJ8" s="54" t="e">
        <f t="shared" si="14"/>
        <v>#REF!</v>
      </c>
      <c r="AK8" s="54" t="e">
        <f t="shared" si="14"/>
        <v>#REF!</v>
      </c>
      <c r="AL8" s="54" t="e">
        <f t="shared" si="14"/>
        <v>#REF!</v>
      </c>
      <c r="AM8" s="54" t="e">
        <f t="shared" si="14"/>
        <v>#REF!</v>
      </c>
      <c r="AN8" s="54" t="e">
        <f t="shared" si="14"/>
        <v>#REF!</v>
      </c>
      <c r="AO8" s="54" t="e">
        <f t="shared" si="14"/>
        <v>#REF!</v>
      </c>
      <c r="AP8" s="54" t="e">
        <f t="shared" si="14"/>
        <v>#REF!</v>
      </c>
      <c r="AQ8" s="54" t="e">
        <f t="shared" si="14"/>
        <v>#REF!</v>
      </c>
      <c r="AR8" s="54" t="e">
        <f t="shared" si="14"/>
        <v>#REF!</v>
      </c>
      <c r="AS8" s="54" t="e">
        <f t="shared" si="14"/>
        <v>#REF!</v>
      </c>
      <c r="AT8" s="54" t="e">
        <f t="shared" si="14"/>
        <v>#REF!</v>
      </c>
      <c r="AU8" s="54" t="e">
        <f t="shared" si="14"/>
        <v>#REF!</v>
      </c>
      <c r="AV8" s="54" t="e">
        <f t="shared" si="14"/>
        <v>#REF!</v>
      </c>
      <c r="AW8" s="54" t="e">
        <f t="shared" si="14"/>
        <v>#REF!</v>
      </c>
      <c r="AX8" s="54" t="e">
        <f t="shared" si="14"/>
        <v>#REF!</v>
      </c>
      <c r="AY8" s="54" t="e">
        <f t="shared" si="15"/>
        <v>#REF!</v>
      </c>
      <c r="AZ8" s="54" t="str">
        <f t="shared" si="16"/>
        <v/>
      </c>
      <c r="BA8" s="54" t="e">
        <f t="shared" si="17"/>
        <v>#REF!</v>
      </c>
      <c r="BB8" s="135" t="str">
        <f t="shared" si="18"/>
        <v/>
      </c>
      <c r="BC8" s="54" t="e">
        <f t="shared" si="19"/>
        <v>#REF!</v>
      </c>
      <c r="BD8" s="54" t="e">
        <f t="shared" si="19"/>
        <v>#REF!</v>
      </c>
      <c r="BE8" s="54" t="e">
        <f t="shared" si="19"/>
        <v>#REF!</v>
      </c>
      <c r="BF8" s="54" t="str">
        <f t="shared" si="20"/>
        <v/>
      </c>
      <c r="BG8" s="54" t="str">
        <f t="shared" si="21"/>
        <v/>
      </c>
      <c r="BH8" s="34" t="e">
        <f t="shared" si="22"/>
        <v>#REF!</v>
      </c>
      <c r="BI8" s="34" t="e">
        <f t="shared" si="23"/>
        <v>#REF!</v>
      </c>
      <c r="BJ8" s="136" t="str">
        <f>IF($D8&lt;&gt;"Feature",".",
IF(VLOOKUP($B8,Feature_List!$A:$AM,MATCH(BJ$1,  Feature_List!$A$1:$AM$1,0),0)=B8,".","NO"))</f>
        <v>.</v>
      </c>
      <c r="BK8" s="136"/>
      <c r="BL8" s="136"/>
      <c r="BM8" s="136" t="str">
        <f>IF($D8&lt;&gt;"Feature",".",
IF(VLOOKUP($B8,Feature_List!$A:$AM,MATCH(BM$1,  Feature_List!$A$1:$AM$1,0),0)=E8,".","NO"))</f>
        <v>.</v>
      </c>
      <c r="BN8" s="136" t="str">
        <f>IF($D8&lt;&gt;"Feature",".",
IF(VLOOKUP($B8,Feature_List!$A:$AM,MATCH(BN$1,  Feature_List!$A$1:$AM$1,0),0)=F8,".","NO"))</f>
        <v>.</v>
      </c>
      <c r="BO8" s="136" t="str">
        <f>IF($D8&lt;&gt;"Feature",".",
IF(VLOOKUP($B8,Feature_List!$A:$AM,MATCH(BO$1,  Feature_List!$A$1:$AM$1,0),0)=G8,".","NO"))</f>
        <v>.</v>
      </c>
      <c r="BP8" s="136" t="str">
        <f>IF($D8&lt;&gt;"Feature",".",
IF(VLOOKUP($B8,Feature_List!$A:$AM,MATCH(BP$1,  Feature_List!$A$1:$AM$1,0),0)=H8,".","NO"))</f>
        <v>.</v>
      </c>
      <c r="BQ8" s="136"/>
      <c r="BR8" s="136" t="str">
        <f>IF($D8&lt;&gt;"Feature",".",
IF(VLOOKUP($B8,Feature_List!$A:$AM,MATCH(BR$1,  Feature_List!$A$1:$AM$1,0),0)=J8,".","NO"))</f>
        <v>.</v>
      </c>
      <c r="BS8" s="136"/>
      <c r="BT8" s="136"/>
      <c r="BU8" s="136" t="str">
        <f>IF($D8&lt;&gt;"Feature",".",
IF(VLOOKUP($B8,Feature_List!$A:$AM,MATCH(BU$1,  Feature_List!$A$1:$AM$1,0),0)=M8,".","NO"))</f>
        <v>.</v>
      </c>
      <c r="BV8" s="136" t="str">
        <f>IF($D8&lt;&gt;"Feature",".",
IF(VLOOKUP($B8,Feature_List!$A:$AM,MATCH(BV$1,  Feature_List!$A$1:$AM$1,0),0)=N8,".","NO"))</f>
        <v>.</v>
      </c>
      <c r="BW8" s="136"/>
      <c r="BX8" s="136"/>
      <c r="BY8" s="136"/>
      <c r="BZ8" s="136"/>
      <c r="CA8" s="136"/>
      <c r="CB8" s="136" t="str">
        <f>IF($D8&lt;&gt;"Feature",".",
IF(VLOOKUP($B8,Feature_List!$A:$AM,MATCH(CB$1,  Feature_List!$A$1:$AM$1,0),0)=T8,".","NO"))</f>
        <v>.</v>
      </c>
      <c r="CC8" s="136"/>
      <c r="CD8" s="136"/>
      <c r="CE8" s="136"/>
      <c r="CF8" s="136"/>
      <c r="CG8" s="136"/>
      <c r="CH8" s="136"/>
      <c r="CI8" s="136"/>
      <c r="CJ8" s="136"/>
      <c r="CK8" s="136"/>
      <c r="CL8" s="136"/>
      <c r="CM8" s="136"/>
      <c r="CN8" s="136"/>
      <c r="CO8" s="136" t="str">
        <f>IF($D8&lt;&gt;"Feature",".",
IF(VLOOKUP($B8,Feature_List!$A:$AM,MATCH(CO$1,  Feature_List!$A$1:$AM$1,0),0)=AG8,".","NO"))</f>
        <v>.</v>
      </c>
      <c r="CP8" s="136" t="str">
        <f>IF($D8&lt;&gt;"Feature",".",
IF(VLOOKUP($B8,Feature_List!$A:$AM,MATCH(CP$1,  Feature_List!$A$1:$AM$1,0),0)=AH8,".","NO"))</f>
        <v>.</v>
      </c>
      <c r="CQ8" s="136" t="str">
        <f>IF($D8&lt;&gt;"Feature",".",
IF(VLOOKUP($B8,Feature_List!$A:$AM,MATCH(CQ$1,  Feature_List!$A$1:$AM$1,0),0)=AI8,".","NO"))</f>
        <v>.</v>
      </c>
      <c r="CR8" s="136" t="str">
        <f>IF($D8&lt;&gt;"Feature",".",
IF(VLOOKUP($B8,Feature_List!$A:$AM,MATCH(CR$1,  Feature_List!$A$1:$AM$1,0),0)=AJ8,".","NO"))</f>
        <v>.</v>
      </c>
      <c r="CS8" s="136" t="str">
        <f>IF($D8&lt;&gt;"Feature",".",
IF(VLOOKUP($B8,Feature_List!$A:$AM,MATCH(CS$1,  Feature_List!$A$1:$AM$1,0),0)=AK8,".","NO"))</f>
        <v>.</v>
      </c>
      <c r="CT8" s="136" t="str">
        <f>IF($D8&lt;&gt;"Feature",".",
IF(VLOOKUP($B8,Feature_List!$A:$AM,MATCH(CT$1,  Feature_List!$A$1:$AM$1,0),0)=AL8,".","NO"))</f>
        <v>.</v>
      </c>
      <c r="CU8" s="136" t="str">
        <f>IF($D8&lt;&gt;"Feature",".",
IF(VLOOKUP($B8,Feature_List!$A:$AM,MATCH(CU$1,  Feature_List!$A$1:$AM$1,0),0)=AM8,".","NO"))</f>
        <v>.</v>
      </c>
      <c r="CV8" s="136" t="str">
        <f>IF($D8&lt;&gt;"Feature",".",
IF(VLOOKUP($B8,Feature_List!$A:$AM,MATCH(CV$1,  Feature_List!$A$1:$AM$1,0),0)=AN8,".","NO"))</f>
        <v>.</v>
      </c>
      <c r="CW8" s="136" t="str">
        <f>IF($D8&lt;&gt;"Feature",".",
IF(VLOOKUP($B8,Feature_List!$A:$AM,MATCH(CW$1,  Feature_List!$A$1:$AM$1,0),0)=AO8,".","NO"))</f>
        <v>.</v>
      </c>
      <c r="CX8" s="136" t="str">
        <f>IF($D8&lt;&gt;"Feature",".",
IF(VLOOKUP($B8,Feature_List!$A:$AM,MATCH(CX$1,  Feature_List!$A$1:$AM$1,0),0)=AP8,".","NO"))</f>
        <v>.</v>
      </c>
      <c r="CY8" s="136" t="str">
        <f>IF($D8&lt;&gt;"Feature",".",
IF(VLOOKUP($B8,Feature_List!$A:$AM,MATCH(CY$1,  Feature_List!$A$1:$AM$1,0),0)=AQ8,".","NO"))</f>
        <v>.</v>
      </c>
      <c r="CZ8" s="136" t="str">
        <f>IF($D8&lt;&gt;"Feature",".",
IF(VLOOKUP($B8,Feature_List!$A:$AM,MATCH(CZ$1,  Feature_List!$A$1:$AM$1,0),0)=AR8,".","NO"))</f>
        <v>.</v>
      </c>
      <c r="DA8" s="136" t="str">
        <f>IF($D8&lt;&gt;"Feature",".",
IF(VLOOKUP($B8,Feature_List!$A:$AM,MATCH(DA$1,  Feature_List!$A$1:$AM$1,0),0)=AS8,".","NO"))</f>
        <v>.</v>
      </c>
      <c r="DB8" s="136" t="str">
        <f>IF($D8&lt;&gt;"Feature",".",
IF(VLOOKUP($B8,Feature_List!$A:$AM,MATCH(DB$1,  Feature_List!$A$1:$AM$1,0),0)=AT8,".","NO"))</f>
        <v>.</v>
      </c>
      <c r="DC8" s="136" t="str">
        <f>IF($D8&lt;&gt;"Feature",".",
IF(VLOOKUP($B8,Feature_List!$A:$AM,MATCH(DC$1,  Feature_List!$A$1:$AM$1,0),0)=AU8,".","NO"))</f>
        <v>.</v>
      </c>
      <c r="DD8" s="136" t="str">
        <f>IF($D8&lt;&gt;"Feature",".",
IF(VLOOKUP($B8,Feature_List!$A:$AM,MATCH(DD$1,  Feature_List!$A$1:$AM$1,0),0)=AV8,".","NO"))</f>
        <v>.</v>
      </c>
      <c r="DE8" s="136" t="str">
        <f>IF($D8&lt;&gt;"Feature",".",
IF(VLOOKUP($B8,Feature_List!$A:$AM,MATCH(DE$1,  Feature_List!$A$1:$AM$1,0),0)=AW8,".","NO"))</f>
        <v>.</v>
      </c>
      <c r="DF8" s="136" t="str">
        <f>IF($D8&lt;&gt;"Feature",".",
IF(VLOOKUP($B8,Feature_List!$A:$AM,MATCH(DF$1,  Feature_List!$A$1:$AM$1,0),0)=AX8,".","NO"))</f>
        <v>.</v>
      </c>
      <c r="DG8" s="136" t="str">
        <f>IF($D8&lt;&gt;"Feature",".",
IF(VLOOKUP($B8,Feature_List!$A:$AM,MATCH(DG$1,  Feature_List!$A$1:$AM$1,0),0)=AY8,".","NO"))</f>
        <v>.</v>
      </c>
      <c r="DH8" s="136" t="str">
        <f>IF($D8&lt;&gt;"Feature",".",
IF(VLOOKUP($B8,Feature_List!$A:$AM,MATCH(DH$1,  Feature_List!$A$1:$AM$1,0),0)=AZ8,".","NO"))</f>
        <v>.</v>
      </c>
      <c r="DI8" s="136" t="str">
        <f>IF($D8&lt;&gt;"Feature",".",
IF(VLOOKUP($B8,Feature_List!$A:$AM,MATCH(DI$1,  Feature_List!$A$1:$AM$1,0),0)=BA8,".","NO"))</f>
        <v>.</v>
      </c>
      <c r="DJ8" s="136" t="str">
        <f>IF($D8&lt;&gt;"Feature",".",
IF(VLOOKUP($B8,Feature_List!$A:$AM,MATCH(DJ$1,  Feature_List!$A$1:$AM$1,0),0)=BB8,".","NO"))</f>
        <v>.</v>
      </c>
      <c r="DK8" s="136"/>
      <c r="DL8" s="136"/>
      <c r="DM8" s="136"/>
      <c r="DN8" s="136" t="str">
        <f>IF($D8&lt;&gt;"Feature",".",
IF(VLOOKUP($B8,Feature_List!$A:$AM,MATCH(DN$1,  Feature_List!$A$1:$AM$1,0),0)=BC8,".","NO"))</f>
        <v>.</v>
      </c>
      <c r="DO8" s="136" t="str">
        <f>IF($D8&lt;&gt;"Feature",".",
IF(VLOOKUP($B8,Feature_List!$A:$AM,MATCH(DO$1,  Feature_List!$A$1:$AM$1,0),0)=BD8,".","NO"))</f>
        <v>.</v>
      </c>
    </row>
    <row r="9" spans="1:119" x14ac:dyDescent="0.3">
      <c r="A9" s="140" t="s">
        <v>162</v>
      </c>
      <c r="B9" s="121">
        <v>376422</v>
      </c>
      <c r="C9" s="122" t="s">
        <v>604</v>
      </c>
      <c r="D9" s="122" t="s">
        <v>71</v>
      </c>
      <c r="E9" s="122" t="s">
        <v>672</v>
      </c>
      <c r="F9" s="138" t="s">
        <v>656</v>
      </c>
      <c r="G9" s="123" t="s">
        <v>656</v>
      </c>
      <c r="H9" s="122" t="s">
        <v>70</v>
      </c>
      <c r="I9" s="124" t="s">
        <v>126</v>
      </c>
      <c r="J9" s="138"/>
      <c r="K9" s="123">
        <v>2</v>
      </c>
      <c r="L9" s="122"/>
      <c r="M9" s="122" t="s">
        <v>673</v>
      </c>
      <c r="N9" s="122"/>
      <c r="O9" s="123">
        <f t="shared" si="0"/>
        <v>2</v>
      </c>
      <c r="P9" s="123" t="str">
        <f t="shared" si="1"/>
        <v>New</v>
      </c>
      <c r="Q9" s="122" t="str">
        <f t="shared" si="24"/>
        <v>Story</v>
      </c>
      <c r="R9" s="126">
        <f t="shared" si="2"/>
        <v>318430</v>
      </c>
      <c r="S9" s="127">
        <f t="shared" si="3"/>
        <v>376422</v>
      </c>
      <c r="T9" s="128" t="e">
        <f>IF($Q9="ZeroEntry", "",VLOOKUP($I9,'Ranking Lookup'!#REF!,2,FALSE))</f>
        <v>#REF!</v>
      </c>
      <c r="U9" s="129" t="str">
        <f t="shared" si="4"/>
        <v/>
      </c>
      <c r="V9" s="129" t="str">
        <f t="shared" si="5"/>
        <v/>
      </c>
      <c r="W9" s="129" t="str">
        <f t="shared" si="6"/>
        <v/>
      </c>
      <c r="X9" s="129" t="str">
        <f t="shared" si="7"/>
        <v/>
      </c>
      <c r="Y9" s="129" t="str">
        <f t="shared" si="8"/>
        <v>Feature</v>
      </c>
      <c r="Z9" s="129" t="str">
        <f t="shared" si="9"/>
        <v/>
      </c>
      <c r="AA9" s="130"/>
      <c r="AB9" s="130" t="str">
        <f t="shared" si="10"/>
        <v>PI 12</v>
      </c>
      <c r="AC9" s="131">
        <f t="shared" si="25"/>
        <v>2</v>
      </c>
      <c r="AD9" s="131">
        <f t="shared" si="26"/>
        <v>0</v>
      </c>
      <c r="AE9" s="132">
        <f t="shared" si="11"/>
        <v>0</v>
      </c>
      <c r="AF9" s="133" t="str">
        <f t="shared" si="27"/>
        <v/>
      </c>
      <c r="AG9" s="134">
        <f t="shared" si="12"/>
        <v>0</v>
      </c>
      <c r="AH9" s="54" t="str">
        <f t="shared" si="13"/>
        <v/>
      </c>
      <c r="AI9" s="54" t="e">
        <f t="shared" si="14"/>
        <v>#REF!</v>
      </c>
      <c r="AJ9" s="54" t="e">
        <f t="shared" si="14"/>
        <v>#REF!</v>
      </c>
      <c r="AK9" s="54" t="e">
        <f t="shared" si="14"/>
        <v>#REF!</v>
      </c>
      <c r="AL9" s="54" t="e">
        <f t="shared" si="14"/>
        <v>#REF!</v>
      </c>
      <c r="AM9" s="54" t="e">
        <f t="shared" si="14"/>
        <v>#REF!</v>
      </c>
      <c r="AN9" s="54" t="e">
        <f t="shared" si="14"/>
        <v>#REF!</v>
      </c>
      <c r="AO9" s="54" t="e">
        <f t="shared" si="14"/>
        <v>#REF!</v>
      </c>
      <c r="AP9" s="54" t="e">
        <f t="shared" si="14"/>
        <v>#REF!</v>
      </c>
      <c r="AQ9" s="54" t="e">
        <f t="shared" si="14"/>
        <v>#REF!</v>
      </c>
      <c r="AR9" s="54" t="e">
        <f t="shared" si="14"/>
        <v>#REF!</v>
      </c>
      <c r="AS9" s="54" t="e">
        <f t="shared" si="14"/>
        <v>#REF!</v>
      </c>
      <c r="AT9" s="54" t="e">
        <f t="shared" si="14"/>
        <v>#REF!</v>
      </c>
      <c r="AU9" s="54" t="e">
        <f t="shared" si="14"/>
        <v>#REF!</v>
      </c>
      <c r="AV9" s="54" t="e">
        <f t="shared" si="14"/>
        <v>#REF!</v>
      </c>
      <c r="AW9" s="54" t="e">
        <f t="shared" si="14"/>
        <v>#REF!</v>
      </c>
      <c r="AX9" s="54" t="e">
        <f t="shared" si="14"/>
        <v>#REF!</v>
      </c>
      <c r="AY9" s="54" t="e">
        <f t="shared" si="15"/>
        <v>#REF!</v>
      </c>
      <c r="AZ9" s="54" t="str">
        <f t="shared" si="16"/>
        <v/>
      </c>
      <c r="BA9" s="54" t="e">
        <f t="shared" si="17"/>
        <v>#REF!</v>
      </c>
      <c r="BB9" s="135" t="str">
        <f t="shared" si="18"/>
        <v/>
      </c>
      <c r="BC9" s="54" t="e">
        <f t="shared" si="19"/>
        <v>#REF!</v>
      </c>
      <c r="BD9" s="54" t="e">
        <f t="shared" si="19"/>
        <v>#REF!</v>
      </c>
      <c r="BE9" s="54" t="e">
        <f t="shared" si="19"/>
        <v>#REF!</v>
      </c>
      <c r="BF9" s="54" t="str">
        <f t="shared" si="20"/>
        <v/>
      </c>
      <c r="BG9" s="54" t="str">
        <f t="shared" si="21"/>
        <v/>
      </c>
      <c r="BH9" s="34" t="e">
        <f t="shared" si="22"/>
        <v>#REF!</v>
      </c>
      <c r="BI9" s="34" t="e">
        <f t="shared" si="23"/>
        <v>#REF!</v>
      </c>
      <c r="BJ9" s="136" t="str">
        <f>IF($D9&lt;&gt;"Feature",".",
IF(VLOOKUP($B9,Feature_List!$A:$AM,MATCH(BJ$1,  Feature_List!$A$1:$AM$1,0),0)=B9,".","NO"))</f>
        <v>.</v>
      </c>
      <c r="BK9" s="136"/>
      <c r="BL9" s="136"/>
      <c r="BM9" s="136" t="str">
        <f>IF($D9&lt;&gt;"Feature",".",
IF(VLOOKUP($B9,Feature_List!$A:$AM,MATCH(BM$1,  Feature_List!$A$1:$AM$1,0),0)=E9,".","NO"))</f>
        <v>.</v>
      </c>
      <c r="BN9" s="136" t="str">
        <f>IF($D9&lt;&gt;"Feature",".",
IF(VLOOKUP($B9,Feature_List!$A:$AM,MATCH(BN$1,  Feature_List!$A$1:$AM$1,0),0)=F9,".","NO"))</f>
        <v>.</v>
      </c>
      <c r="BO9" s="136" t="str">
        <f>IF($D9&lt;&gt;"Feature",".",
IF(VLOOKUP($B9,Feature_List!$A:$AM,MATCH(BO$1,  Feature_List!$A$1:$AM$1,0),0)=G9,".","NO"))</f>
        <v>.</v>
      </c>
      <c r="BP9" s="136" t="str">
        <f>IF($D9&lt;&gt;"Feature",".",
IF(VLOOKUP($B9,Feature_List!$A:$AM,MATCH(BP$1,  Feature_List!$A$1:$AM$1,0),0)=H9,".","NO"))</f>
        <v>.</v>
      </c>
      <c r="BQ9" s="136"/>
      <c r="BR9" s="136" t="str">
        <f>IF($D9&lt;&gt;"Feature",".",
IF(VLOOKUP($B9,Feature_List!$A:$AM,MATCH(BR$1,  Feature_List!$A$1:$AM$1,0),0)=J9,".","NO"))</f>
        <v>.</v>
      </c>
      <c r="BS9" s="136"/>
      <c r="BT9" s="136"/>
      <c r="BU9" s="136" t="str">
        <f>IF($D9&lt;&gt;"Feature",".",
IF(VLOOKUP($B9,Feature_List!$A:$AM,MATCH(BU$1,  Feature_List!$A$1:$AM$1,0),0)=M9,".","NO"))</f>
        <v>.</v>
      </c>
      <c r="BV9" s="136" t="str">
        <f>IF($D9&lt;&gt;"Feature",".",
IF(VLOOKUP($B9,Feature_List!$A:$AM,MATCH(BV$1,  Feature_List!$A$1:$AM$1,0),0)=N9,".","NO"))</f>
        <v>.</v>
      </c>
      <c r="BW9" s="136"/>
      <c r="BX9" s="136"/>
      <c r="BY9" s="136"/>
      <c r="BZ9" s="136"/>
      <c r="CA9" s="136"/>
      <c r="CB9" s="136" t="str">
        <f>IF($D9&lt;&gt;"Feature",".",
IF(VLOOKUP($B9,Feature_List!$A:$AM,MATCH(CB$1,  Feature_List!$A$1:$AM$1,0),0)=T9,".","NO"))</f>
        <v>.</v>
      </c>
      <c r="CC9" s="136"/>
      <c r="CD9" s="136"/>
      <c r="CE9" s="136"/>
      <c r="CF9" s="136"/>
      <c r="CG9" s="136"/>
      <c r="CH9" s="136"/>
      <c r="CI9" s="136"/>
      <c r="CJ9" s="136"/>
      <c r="CK9" s="136"/>
      <c r="CL9" s="136"/>
      <c r="CM9" s="136"/>
      <c r="CN9" s="136"/>
      <c r="CO9" s="136" t="str">
        <f>IF($D9&lt;&gt;"Feature",".",
IF(VLOOKUP($B9,Feature_List!$A:$AM,MATCH(CO$1,  Feature_List!$A$1:$AM$1,0),0)=AG9,".","NO"))</f>
        <v>.</v>
      </c>
      <c r="CP9" s="136" t="str">
        <f>IF($D9&lt;&gt;"Feature",".",
IF(VLOOKUP($B9,Feature_List!$A:$AM,MATCH(CP$1,  Feature_List!$A$1:$AM$1,0),0)=AH9,".","NO"))</f>
        <v>.</v>
      </c>
      <c r="CQ9" s="136" t="str">
        <f>IF($D9&lt;&gt;"Feature",".",
IF(VLOOKUP($B9,Feature_List!$A:$AM,MATCH(CQ$1,  Feature_List!$A$1:$AM$1,0),0)=AI9,".","NO"))</f>
        <v>.</v>
      </c>
      <c r="CR9" s="136" t="str">
        <f>IF($D9&lt;&gt;"Feature",".",
IF(VLOOKUP($B9,Feature_List!$A:$AM,MATCH(CR$1,  Feature_List!$A$1:$AM$1,0),0)=AJ9,".","NO"))</f>
        <v>.</v>
      </c>
      <c r="CS9" s="136" t="str">
        <f>IF($D9&lt;&gt;"Feature",".",
IF(VLOOKUP($B9,Feature_List!$A:$AM,MATCH(CS$1,  Feature_List!$A$1:$AM$1,0),0)=AK9,".","NO"))</f>
        <v>.</v>
      </c>
      <c r="CT9" s="136" t="str">
        <f>IF($D9&lt;&gt;"Feature",".",
IF(VLOOKUP($B9,Feature_List!$A:$AM,MATCH(CT$1,  Feature_List!$A$1:$AM$1,0),0)=AL9,".","NO"))</f>
        <v>.</v>
      </c>
      <c r="CU9" s="136" t="str">
        <f>IF($D9&lt;&gt;"Feature",".",
IF(VLOOKUP($B9,Feature_List!$A:$AM,MATCH(CU$1,  Feature_List!$A$1:$AM$1,0),0)=AM9,".","NO"))</f>
        <v>.</v>
      </c>
      <c r="CV9" s="136" t="str">
        <f>IF($D9&lt;&gt;"Feature",".",
IF(VLOOKUP($B9,Feature_List!$A:$AM,MATCH(CV$1,  Feature_List!$A$1:$AM$1,0),0)=AN9,".","NO"))</f>
        <v>.</v>
      </c>
      <c r="CW9" s="136" t="str">
        <f>IF($D9&lt;&gt;"Feature",".",
IF(VLOOKUP($B9,Feature_List!$A:$AM,MATCH(CW$1,  Feature_List!$A$1:$AM$1,0),0)=AO9,".","NO"))</f>
        <v>.</v>
      </c>
      <c r="CX9" s="136" t="str">
        <f>IF($D9&lt;&gt;"Feature",".",
IF(VLOOKUP($B9,Feature_List!$A:$AM,MATCH(CX$1,  Feature_List!$A$1:$AM$1,0),0)=AP9,".","NO"))</f>
        <v>.</v>
      </c>
      <c r="CY9" s="136" t="str">
        <f>IF($D9&lt;&gt;"Feature",".",
IF(VLOOKUP($B9,Feature_List!$A:$AM,MATCH(CY$1,  Feature_List!$A$1:$AM$1,0),0)=AQ9,".","NO"))</f>
        <v>.</v>
      </c>
      <c r="CZ9" s="136" t="str">
        <f>IF($D9&lt;&gt;"Feature",".",
IF(VLOOKUP($B9,Feature_List!$A:$AM,MATCH(CZ$1,  Feature_List!$A$1:$AM$1,0),0)=AR9,".","NO"))</f>
        <v>.</v>
      </c>
      <c r="DA9" s="136" t="str">
        <f>IF($D9&lt;&gt;"Feature",".",
IF(VLOOKUP($B9,Feature_List!$A:$AM,MATCH(DA$1,  Feature_List!$A$1:$AM$1,0),0)=AS9,".","NO"))</f>
        <v>.</v>
      </c>
      <c r="DB9" s="136" t="str">
        <f>IF($D9&lt;&gt;"Feature",".",
IF(VLOOKUP($B9,Feature_List!$A:$AM,MATCH(DB$1,  Feature_List!$A$1:$AM$1,0),0)=AT9,".","NO"))</f>
        <v>.</v>
      </c>
      <c r="DC9" s="136" t="str">
        <f>IF($D9&lt;&gt;"Feature",".",
IF(VLOOKUP($B9,Feature_List!$A:$AM,MATCH(DC$1,  Feature_List!$A$1:$AM$1,0),0)=AU9,".","NO"))</f>
        <v>.</v>
      </c>
      <c r="DD9" s="136" t="str">
        <f>IF($D9&lt;&gt;"Feature",".",
IF(VLOOKUP($B9,Feature_List!$A:$AM,MATCH(DD$1,  Feature_List!$A$1:$AM$1,0),0)=AV9,".","NO"))</f>
        <v>.</v>
      </c>
      <c r="DE9" s="136" t="str">
        <f>IF($D9&lt;&gt;"Feature",".",
IF(VLOOKUP($B9,Feature_List!$A:$AM,MATCH(DE$1,  Feature_List!$A$1:$AM$1,0),0)=AW9,".","NO"))</f>
        <v>.</v>
      </c>
      <c r="DF9" s="136" t="str">
        <f>IF($D9&lt;&gt;"Feature",".",
IF(VLOOKUP($B9,Feature_List!$A:$AM,MATCH(DF$1,  Feature_List!$A$1:$AM$1,0),0)=AX9,".","NO"))</f>
        <v>.</v>
      </c>
      <c r="DG9" s="136" t="str">
        <f>IF($D9&lt;&gt;"Feature",".",
IF(VLOOKUP($B9,Feature_List!$A:$AM,MATCH(DG$1,  Feature_List!$A$1:$AM$1,0),0)=AY9,".","NO"))</f>
        <v>.</v>
      </c>
      <c r="DH9" s="136" t="str">
        <f>IF($D9&lt;&gt;"Feature",".",
IF(VLOOKUP($B9,Feature_List!$A:$AM,MATCH(DH$1,  Feature_List!$A$1:$AM$1,0),0)=AZ9,".","NO"))</f>
        <v>.</v>
      </c>
      <c r="DI9" s="136" t="str">
        <f>IF($D9&lt;&gt;"Feature",".",
IF(VLOOKUP($B9,Feature_List!$A:$AM,MATCH(DI$1,  Feature_List!$A$1:$AM$1,0),0)=BA9,".","NO"))</f>
        <v>.</v>
      </c>
      <c r="DJ9" s="136" t="str">
        <f>IF($D9&lt;&gt;"Feature",".",
IF(VLOOKUP($B9,Feature_List!$A:$AM,MATCH(DJ$1,  Feature_List!$A$1:$AM$1,0),0)=BB9,".","NO"))</f>
        <v>.</v>
      </c>
      <c r="DK9" s="136"/>
      <c r="DL9" s="136"/>
      <c r="DM9" s="136"/>
      <c r="DN9" s="136" t="str">
        <f>IF($D9&lt;&gt;"Feature",".",
IF(VLOOKUP($B9,Feature_List!$A:$AM,MATCH(DN$1,  Feature_List!$A$1:$AM$1,0),0)=BC9,".","NO"))</f>
        <v>.</v>
      </c>
      <c r="DO9" s="136" t="str">
        <f>IF($D9&lt;&gt;"Feature",".",
IF(VLOOKUP($B9,Feature_List!$A:$AM,MATCH(DO$1,  Feature_List!$A$1:$AM$1,0),0)=BD9,".","NO"))</f>
        <v>.</v>
      </c>
    </row>
    <row r="10" spans="1:119" x14ac:dyDescent="0.3">
      <c r="A10" s="141" t="s">
        <v>130</v>
      </c>
      <c r="B10" s="121">
        <v>376420</v>
      </c>
      <c r="C10" s="122" t="s">
        <v>604</v>
      </c>
      <c r="D10" s="122" t="s">
        <v>71</v>
      </c>
      <c r="E10" s="122" t="s">
        <v>674</v>
      </c>
      <c r="F10" s="138" t="s">
        <v>656</v>
      </c>
      <c r="G10" s="123" t="s">
        <v>656</v>
      </c>
      <c r="H10" s="122" t="s">
        <v>70</v>
      </c>
      <c r="I10" s="124" t="s">
        <v>126</v>
      </c>
      <c r="J10" s="138"/>
      <c r="K10" s="123">
        <v>2</v>
      </c>
      <c r="L10" s="122"/>
      <c r="M10" s="122" t="s">
        <v>673</v>
      </c>
      <c r="N10" s="122"/>
      <c r="O10" s="123">
        <f t="shared" si="0"/>
        <v>2</v>
      </c>
      <c r="P10" s="123" t="str">
        <f t="shared" si="1"/>
        <v>New</v>
      </c>
      <c r="Q10" s="122" t="str">
        <f t="shared" si="24"/>
        <v>Story</v>
      </c>
      <c r="R10" s="126">
        <f t="shared" si="2"/>
        <v>318430</v>
      </c>
      <c r="S10" s="127">
        <f t="shared" si="3"/>
        <v>376420</v>
      </c>
      <c r="T10" s="128" t="e">
        <f>IF($Q10="ZeroEntry", "",VLOOKUP($I10,'Ranking Lookup'!#REF!,2,FALSE))</f>
        <v>#REF!</v>
      </c>
      <c r="U10" s="129" t="str">
        <f t="shared" si="4"/>
        <v/>
      </c>
      <c r="V10" s="129" t="str">
        <f t="shared" si="5"/>
        <v/>
      </c>
      <c r="W10" s="129" t="str">
        <f t="shared" si="6"/>
        <v/>
      </c>
      <c r="X10" s="129" t="str">
        <f t="shared" si="7"/>
        <v/>
      </c>
      <c r="Y10" s="129" t="str">
        <f t="shared" si="8"/>
        <v>Feature</v>
      </c>
      <c r="Z10" s="129" t="str">
        <f t="shared" si="9"/>
        <v/>
      </c>
      <c r="AA10" s="130"/>
      <c r="AB10" s="130" t="str">
        <f t="shared" si="10"/>
        <v>PI 12</v>
      </c>
      <c r="AC10" s="131">
        <f t="shared" si="25"/>
        <v>2</v>
      </c>
      <c r="AD10" s="131">
        <f t="shared" si="26"/>
        <v>0</v>
      </c>
      <c r="AE10" s="132">
        <f t="shared" si="11"/>
        <v>0</v>
      </c>
      <c r="AF10" s="133" t="str">
        <f t="shared" si="27"/>
        <v/>
      </c>
      <c r="AG10" s="134">
        <f t="shared" si="12"/>
        <v>0</v>
      </c>
      <c r="AH10" s="54" t="str">
        <f t="shared" si="13"/>
        <v/>
      </c>
      <c r="AI10" s="54" t="e">
        <f t="shared" si="14"/>
        <v>#REF!</v>
      </c>
      <c r="AJ10" s="54" t="e">
        <f t="shared" si="14"/>
        <v>#REF!</v>
      </c>
      <c r="AK10" s="54" t="e">
        <f t="shared" si="14"/>
        <v>#REF!</v>
      </c>
      <c r="AL10" s="54" t="e">
        <f t="shared" si="14"/>
        <v>#REF!</v>
      </c>
      <c r="AM10" s="54" t="e">
        <f t="shared" si="14"/>
        <v>#REF!</v>
      </c>
      <c r="AN10" s="54" t="e">
        <f t="shared" si="14"/>
        <v>#REF!</v>
      </c>
      <c r="AO10" s="54" t="e">
        <f t="shared" si="14"/>
        <v>#REF!</v>
      </c>
      <c r="AP10" s="54" t="e">
        <f t="shared" si="14"/>
        <v>#REF!</v>
      </c>
      <c r="AQ10" s="54" t="e">
        <f t="shared" si="14"/>
        <v>#REF!</v>
      </c>
      <c r="AR10" s="54" t="e">
        <f t="shared" si="14"/>
        <v>#REF!</v>
      </c>
      <c r="AS10" s="54" t="e">
        <f t="shared" si="14"/>
        <v>#REF!</v>
      </c>
      <c r="AT10" s="54" t="e">
        <f t="shared" si="14"/>
        <v>#REF!</v>
      </c>
      <c r="AU10" s="54" t="e">
        <f t="shared" si="14"/>
        <v>#REF!</v>
      </c>
      <c r="AV10" s="54" t="e">
        <f t="shared" si="14"/>
        <v>#REF!</v>
      </c>
      <c r="AW10" s="54" t="e">
        <f t="shared" si="14"/>
        <v>#REF!</v>
      </c>
      <c r="AX10" s="54" t="e">
        <f t="shared" si="14"/>
        <v>#REF!</v>
      </c>
      <c r="AY10" s="54" t="e">
        <f t="shared" si="15"/>
        <v>#REF!</v>
      </c>
      <c r="AZ10" s="54" t="str">
        <f t="shared" si="16"/>
        <v/>
      </c>
      <c r="BA10" s="54" t="e">
        <f t="shared" si="17"/>
        <v>#REF!</v>
      </c>
      <c r="BB10" s="135" t="str">
        <f t="shared" si="18"/>
        <v/>
      </c>
      <c r="BC10" s="54" t="e">
        <f t="shared" si="19"/>
        <v>#REF!</v>
      </c>
      <c r="BD10" s="54" t="e">
        <f t="shared" si="19"/>
        <v>#REF!</v>
      </c>
      <c r="BE10" s="54" t="e">
        <f t="shared" si="19"/>
        <v>#REF!</v>
      </c>
      <c r="BF10" s="54" t="str">
        <f t="shared" si="20"/>
        <v/>
      </c>
      <c r="BG10" s="54" t="str">
        <f t="shared" si="21"/>
        <v/>
      </c>
      <c r="BH10" s="34" t="e">
        <f t="shared" si="22"/>
        <v>#REF!</v>
      </c>
      <c r="BI10" s="34" t="e">
        <f t="shared" si="23"/>
        <v>#REF!</v>
      </c>
      <c r="BJ10" s="136" t="str">
        <f>IF($D10&lt;&gt;"Feature",".",
IF(VLOOKUP($B10,Feature_List!$A:$AM,MATCH(BJ$1,  Feature_List!$A$1:$AM$1,0),0)=B10,".","NO"))</f>
        <v>.</v>
      </c>
      <c r="BK10" s="136"/>
      <c r="BL10" s="136"/>
      <c r="BM10" s="136" t="str">
        <f>IF($D10&lt;&gt;"Feature",".",
IF(VLOOKUP($B10,Feature_List!$A:$AM,MATCH(BM$1,  Feature_List!$A$1:$AM$1,0),0)=E10,".","NO"))</f>
        <v>.</v>
      </c>
      <c r="BN10" s="136" t="str">
        <f>IF($D10&lt;&gt;"Feature",".",
IF(VLOOKUP($B10,Feature_List!$A:$AM,MATCH(BN$1,  Feature_List!$A$1:$AM$1,0),0)=F10,".","NO"))</f>
        <v>.</v>
      </c>
      <c r="BO10" s="136" t="str">
        <f>IF($D10&lt;&gt;"Feature",".",
IF(VLOOKUP($B10,Feature_List!$A:$AM,MATCH(BO$1,  Feature_List!$A$1:$AM$1,0),0)=G10,".","NO"))</f>
        <v>.</v>
      </c>
      <c r="BP10" s="136" t="str">
        <f>IF($D10&lt;&gt;"Feature",".",
IF(VLOOKUP($B10,Feature_List!$A:$AM,MATCH(BP$1,  Feature_List!$A$1:$AM$1,0),0)=H10,".","NO"))</f>
        <v>.</v>
      </c>
      <c r="BQ10" s="136"/>
      <c r="BR10" s="136" t="str">
        <f>IF($D10&lt;&gt;"Feature",".",
IF(VLOOKUP($B10,Feature_List!$A:$AM,MATCH(BR$1,  Feature_List!$A$1:$AM$1,0),0)=J10,".","NO"))</f>
        <v>.</v>
      </c>
      <c r="BS10" s="136"/>
      <c r="BT10" s="136"/>
      <c r="BU10" s="136" t="str">
        <f>IF($D10&lt;&gt;"Feature",".",
IF(VLOOKUP($B10,Feature_List!$A:$AM,MATCH(BU$1,  Feature_List!$A$1:$AM$1,0),0)=M10,".","NO"))</f>
        <v>.</v>
      </c>
      <c r="BV10" s="136" t="str">
        <f>IF($D10&lt;&gt;"Feature",".",
IF(VLOOKUP($B10,Feature_List!$A:$AM,MATCH(BV$1,  Feature_List!$A$1:$AM$1,0),0)=N10,".","NO"))</f>
        <v>.</v>
      </c>
      <c r="BW10" s="136"/>
      <c r="BX10" s="136"/>
      <c r="BY10" s="136"/>
      <c r="BZ10" s="136"/>
      <c r="CA10" s="136"/>
      <c r="CB10" s="136" t="str">
        <f>IF($D10&lt;&gt;"Feature",".",
IF(VLOOKUP($B10,Feature_List!$A:$AM,MATCH(CB$1,  Feature_List!$A$1:$AM$1,0),0)=T10,".","NO"))</f>
        <v>.</v>
      </c>
      <c r="CC10" s="136"/>
      <c r="CD10" s="136"/>
      <c r="CE10" s="136"/>
      <c r="CF10" s="136"/>
      <c r="CG10" s="136"/>
      <c r="CH10" s="136"/>
      <c r="CI10" s="136"/>
      <c r="CJ10" s="136"/>
      <c r="CK10" s="136"/>
      <c r="CL10" s="136"/>
      <c r="CM10" s="136"/>
      <c r="CN10" s="136"/>
      <c r="CO10" s="136" t="str">
        <f>IF($D10&lt;&gt;"Feature",".",
IF(VLOOKUP($B10,Feature_List!$A:$AM,MATCH(CO$1,  Feature_List!$A$1:$AM$1,0),0)=AG10,".","NO"))</f>
        <v>.</v>
      </c>
      <c r="CP10" s="136" t="str">
        <f>IF($D10&lt;&gt;"Feature",".",
IF(VLOOKUP($B10,Feature_List!$A:$AM,MATCH(CP$1,  Feature_List!$A$1:$AM$1,0),0)=AH10,".","NO"))</f>
        <v>.</v>
      </c>
      <c r="CQ10" s="136" t="str">
        <f>IF($D10&lt;&gt;"Feature",".",
IF(VLOOKUP($B10,Feature_List!$A:$AM,MATCH(CQ$1,  Feature_List!$A$1:$AM$1,0),0)=AI10,".","NO"))</f>
        <v>.</v>
      </c>
      <c r="CR10" s="136" t="str">
        <f>IF($D10&lt;&gt;"Feature",".",
IF(VLOOKUP($B10,Feature_List!$A:$AM,MATCH(CR$1,  Feature_List!$A$1:$AM$1,0),0)=AJ10,".","NO"))</f>
        <v>.</v>
      </c>
      <c r="CS10" s="136" t="str">
        <f>IF($D10&lt;&gt;"Feature",".",
IF(VLOOKUP($B10,Feature_List!$A:$AM,MATCH(CS$1,  Feature_List!$A$1:$AM$1,0),0)=AK10,".","NO"))</f>
        <v>.</v>
      </c>
      <c r="CT10" s="136" t="str">
        <f>IF($D10&lt;&gt;"Feature",".",
IF(VLOOKUP($B10,Feature_List!$A:$AM,MATCH(CT$1,  Feature_List!$A$1:$AM$1,0),0)=AL10,".","NO"))</f>
        <v>.</v>
      </c>
      <c r="CU10" s="136" t="str">
        <f>IF($D10&lt;&gt;"Feature",".",
IF(VLOOKUP($B10,Feature_List!$A:$AM,MATCH(CU$1,  Feature_List!$A$1:$AM$1,0),0)=AM10,".","NO"))</f>
        <v>.</v>
      </c>
      <c r="CV10" s="136" t="str">
        <f>IF($D10&lt;&gt;"Feature",".",
IF(VLOOKUP($B10,Feature_List!$A:$AM,MATCH(CV$1,  Feature_List!$A$1:$AM$1,0),0)=AN10,".","NO"))</f>
        <v>.</v>
      </c>
      <c r="CW10" s="136" t="str">
        <f>IF($D10&lt;&gt;"Feature",".",
IF(VLOOKUP($B10,Feature_List!$A:$AM,MATCH(CW$1,  Feature_List!$A$1:$AM$1,0),0)=AO10,".","NO"))</f>
        <v>.</v>
      </c>
      <c r="CX10" s="136" t="str">
        <f>IF($D10&lt;&gt;"Feature",".",
IF(VLOOKUP($B10,Feature_List!$A:$AM,MATCH(CX$1,  Feature_List!$A$1:$AM$1,0),0)=AP10,".","NO"))</f>
        <v>.</v>
      </c>
      <c r="CY10" s="136" t="str">
        <f>IF($D10&lt;&gt;"Feature",".",
IF(VLOOKUP($B10,Feature_List!$A:$AM,MATCH(CY$1,  Feature_List!$A$1:$AM$1,0),0)=AQ10,".","NO"))</f>
        <v>.</v>
      </c>
      <c r="CZ10" s="136" t="str">
        <f>IF($D10&lt;&gt;"Feature",".",
IF(VLOOKUP($B10,Feature_List!$A:$AM,MATCH(CZ$1,  Feature_List!$A$1:$AM$1,0),0)=AR10,".","NO"))</f>
        <v>.</v>
      </c>
      <c r="DA10" s="136" t="str">
        <f>IF($D10&lt;&gt;"Feature",".",
IF(VLOOKUP($B10,Feature_List!$A:$AM,MATCH(DA$1,  Feature_List!$A$1:$AM$1,0),0)=AS10,".","NO"))</f>
        <v>.</v>
      </c>
      <c r="DB10" s="136" t="str">
        <f>IF($D10&lt;&gt;"Feature",".",
IF(VLOOKUP($B10,Feature_List!$A:$AM,MATCH(DB$1,  Feature_List!$A$1:$AM$1,0),0)=AT10,".","NO"))</f>
        <v>.</v>
      </c>
      <c r="DC10" s="136" t="str">
        <f>IF($D10&lt;&gt;"Feature",".",
IF(VLOOKUP($B10,Feature_List!$A:$AM,MATCH(DC$1,  Feature_List!$A$1:$AM$1,0),0)=AU10,".","NO"))</f>
        <v>.</v>
      </c>
      <c r="DD10" s="136" t="str">
        <f>IF($D10&lt;&gt;"Feature",".",
IF(VLOOKUP($B10,Feature_List!$A:$AM,MATCH(DD$1,  Feature_List!$A$1:$AM$1,0),0)=AV10,".","NO"))</f>
        <v>.</v>
      </c>
      <c r="DE10" s="136" t="str">
        <f>IF($D10&lt;&gt;"Feature",".",
IF(VLOOKUP($B10,Feature_List!$A:$AM,MATCH(DE$1,  Feature_List!$A$1:$AM$1,0),0)=AW10,".","NO"))</f>
        <v>.</v>
      </c>
      <c r="DF10" s="136" t="str">
        <f>IF($D10&lt;&gt;"Feature",".",
IF(VLOOKUP($B10,Feature_List!$A:$AM,MATCH(DF$1,  Feature_List!$A$1:$AM$1,0),0)=AX10,".","NO"))</f>
        <v>.</v>
      </c>
      <c r="DG10" s="136" t="str">
        <f>IF($D10&lt;&gt;"Feature",".",
IF(VLOOKUP($B10,Feature_List!$A:$AM,MATCH(DG$1,  Feature_List!$A$1:$AM$1,0),0)=AY10,".","NO"))</f>
        <v>.</v>
      </c>
      <c r="DH10" s="136" t="str">
        <f>IF($D10&lt;&gt;"Feature",".",
IF(VLOOKUP($B10,Feature_List!$A:$AM,MATCH(DH$1,  Feature_List!$A$1:$AM$1,0),0)=AZ10,".","NO"))</f>
        <v>.</v>
      </c>
      <c r="DI10" s="136" t="str">
        <f>IF($D10&lt;&gt;"Feature",".",
IF(VLOOKUP($B10,Feature_List!$A:$AM,MATCH(DI$1,  Feature_List!$A$1:$AM$1,0),0)=BA10,".","NO"))</f>
        <v>.</v>
      </c>
      <c r="DJ10" s="136" t="str">
        <f>IF($D10&lt;&gt;"Feature",".",
IF(VLOOKUP($B10,Feature_List!$A:$AM,MATCH(DJ$1,  Feature_List!$A$1:$AM$1,0),0)=BB10,".","NO"))</f>
        <v>.</v>
      </c>
      <c r="DK10" s="136"/>
      <c r="DL10" s="136"/>
      <c r="DM10" s="136"/>
      <c r="DN10" s="136" t="str">
        <f>IF($D10&lt;&gt;"Feature",".",
IF(VLOOKUP($B10,Feature_List!$A:$AM,MATCH(DN$1,  Feature_List!$A$1:$AM$1,0),0)=BC10,".","NO"))</f>
        <v>.</v>
      </c>
      <c r="DO10" s="136" t="str">
        <f>IF($D10&lt;&gt;"Feature",".",
IF(VLOOKUP($B10,Feature_List!$A:$AM,MATCH(DO$1,  Feature_List!$A$1:$AM$1,0),0)=BD10,".","NO"))</f>
        <v>.</v>
      </c>
    </row>
    <row r="11" spans="1:119" x14ac:dyDescent="0.3">
      <c r="A11" s="141"/>
      <c r="B11" s="121">
        <v>376392</v>
      </c>
      <c r="C11" s="122" t="s">
        <v>604</v>
      </c>
      <c r="D11" s="122" t="s">
        <v>71</v>
      </c>
      <c r="E11" s="122" t="s">
        <v>675</v>
      </c>
      <c r="F11" s="138" t="s">
        <v>657</v>
      </c>
      <c r="G11" s="123" t="s">
        <v>657</v>
      </c>
      <c r="H11" s="122" t="s">
        <v>70</v>
      </c>
      <c r="I11" s="124" t="s">
        <v>562</v>
      </c>
      <c r="J11" s="138"/>
      <c r="K11" s="123">
        <v>3</v>
      </c>
      <c r="L11" s="122"/>
      <c r="M11" s="122" t="s">
        <v>676</v>
      </c>
      <c r="N11" s="122"/>
      <c r="O11" s="123">
        <f t="shared" si="0"/>
        <v>3</v>
      </c>
      <c r="P11" s="123" t="str">
        <f t="shared" si="1"/>
        <v>New</v>
      </c>
      <c r="Q11" s="122" t="str">
        <f t="shared" si="24"/>
        <v>Story</v>
      </c>
      <c r="R11" s="126">
        <f t="shared" si="2"/>
        <v>318430</v>
      </c>
      <c r="S11" s="127">
        <f t="shared" si="3"/>
        <v>376392</v>
      </c>
      <c r="T11" s="128" t="e">
        <f>IF($Q11="ZeroEntry", "",VLOOKUP($I11,'Ranking Lookup'!#REF!,2,FALSE))</f>
        <v>#REF!</v>
      </c>
      <c r="U11" s="129" t="str">
        <f t="shared" si="4"/>
        <v/>
      </c>
      <c r="V11" s="129" t="str">
        <f t="shared" si="5"/>
        <v/>
      </c>
      <c r="W11" s="129" t="str">
        <f t="shared" si="6"/>
        <v/>
      </c>
      <c r="X11" s="129" t="str">
        <f t="shared" si="7"/>
        <v/>
      </c>
      <c r="Y11" s="129" t="str">
        <f t="shared" si="8"/>
        <v>Feature</v>
      </c>
      <c r="Z11" s="129" t="str">
        <f t="shared" si="9"/>
        <v/>
      </c>
      <c r="AA11" s="130"/>
      <c r="AB11" s="130" t="str">
        <f t="shared" si="10"/>
        <v>PI 12</v>
      </c>
      <c r="AC11" s="131">
        <f t="shared" si="25"/>
        <v>3</v>
      </c>
      <c r="AD11" s="131">
        <f t="shared" si="26"/>
        <v>0</v>
      </c>
      <c r="AE11" s="132">
        <f t="shared" si="11"/>
        <v>0</v>
      </c>
      <c r="AF11" s="133" t="str">
        <f t="shared" si="27"/>
        <v/>
      </c>
      <c r="AG11" s="134">
        <f t="shared" si="12"/>
        <v>0</v>
      </c>
      <c r="AH11" s="54" t="str">
        <f t="shared" si="13"/>
        <v/>
      </c>
      <c r="AI11" s="54" t="e">
        <f t="shared" si="14"/>
        <v>#REF!</v>
      </c>
      <c r="AJ11" s="54" t="e">
        <f t="shared" si="14"/>
        <v>#REF!</v>
      </c>
      <c r="AK11" s="54" t="e">
        <f t="shared" si="14"/>
        <v>#REF!</v>
      </c>
      <c r="AL11" s="54" t="e">
        <f t="shared" si="14"/>
        <v>#REF!</v>
      </c>
      <c r="AM11" s="54" t="e">
        <f t="shared" si="14"/>
        <v>#REF!</v>
      </c>
      <c r="AN11" s="54" t="e">
        <f t="shared" si="14"/>
        <v>#REF!</v>
      </c>
      <c r="AO11" s="54" t="e">
        <f t="shared" si="14"/>
        <v>#REF!</v>
      </c>
      <c r="AP11" s="54" t="e">
        <f t="shared" si="14"/>
        <v>#REF!</v>
      </c>
      <c r="AQ11" s="54" t="e">
        <f t="shared" si="14"/>
        <v>#REF!</v>
      </c>
      <c r="AR11" s="54" t="e">
        <f t="shared" si="14"/>
        <v>#REF!</v>
      </c>
      <c r="AS11" s="54" t="e">
        <f t="shared" si="14"/>
        <v>#REF!</v>
      </c>
      <c r="AT11" s="54" t="e">
        <f t="shared" si="14"/>
        <v>#REF!</v>
      </c>
      <c r="AU11" s="54" t="e">
        <f t="shared" si="14"/>
        <v>#REF!</v>
      </c>
      <c r="AV11" s="54" t="e">
        <f t="shared" si="14"/>
        <v>#REF!</v>
      </c>
      <c r="AW11" s="54" t="e">
        <f t="shared" si="14"/>
        <v>#REF!</v>
      </c>
      <c r="AX11" s="54" t="e">
        <f t="shared" si="14"/>
        <v>#REF!</v>
      </c>
      <c r="AY11" s="54" t="e">
        <f t="shared" si="15"/>
        <v>#REF!</v>
      </c>
      <c r="AZ11" s="54" t="str">
        <f t="shared" si="16"/>
        <v/>
      </c>
      <c r="BA11" s="54" t="e">
        <f t="shared" si="17"/>
        <v>#REF!</v>
      </c>
      <c r="BB11" s="135" t="str">
        <f t="shared" si="18"/>
        <v/>
      </c>
      <c r="BC11" s="54" t="e">
        <f t="shared" si="19"/>
        <v>#REF!</v>
      </c>
      <c r="BD11" s="54" t="e">
        <f t="shared" si="19"/>
        <v>#REF!</v>
      </c>
      <c r="BE11" s="54" t="e">
        <f t="shared" si="19"/>
        <v>#REF!</v>
      </c>
      <c r="BF11" s="54" t="str">
        <f t="shared" si="20"/>
        <v/>
      </c>
      <c r="BG11" s="54" t="str">
        <f t="shared" si="21"/>
        <v/>
      </c>
      <c r="BH11" s="34" t="e">
        <f t="shared" si="22"/>
        <v>#REF!</v>
      </c>
      <c r="BI11" s="34" t="e">
        <f t="shared" si="23"/>
        <v>#REF!</v>
      </c>
      <c r="BJ11" s="136" t="str">
        <f>IF($D11&lt;&gt;"Feature",".",
IF(VLOOKUP($B11,Feature_List!$A:$AM,MATCH(BJ$1,  Feature_List!$A$1:$AM$1,0),0)=B11,".","NO"))</f>
        <v>.</v>
      </c>
      <c r="BK11" s="136"/>
      <c r="BL11" s="136"/>
      <c r="BM11" s="136" t="str">
        <f>IF($D11&lt;&gt;"Feature",".",
IF(VLOOKUP($B11,Feature_List!$A:$AM,MATCH(BM$1,  Feature_List!$A$1:$AM$1,0),0)=E11,".","NO"))</f>
        <v>.</v>
      </c>
      <c r="BN11" s="136" t="str">
        <f>IF($D11&lt;&gt;"Feature",".",
IF(VLOOKUP($B11,Feature_List!$A:$AM,MATCH(BN$1,  Feature_List!$A$1:$AM$1,0),0)=F11,".","NO"))</f>
        <v>.</v>
      </c>
      <c r="BO11" s="136" t="str">
        <f>IF($D11&lt;&gt;"Feature",".",
IF(VLOOKUP($B11,Feature_List!$A:$AM,MATCH(BO$1,  Feature_List!$A$1:$AM$1,0),0)=G11,".","NO"))</f>
        <v>.</v>
      </c>
      <c r="BP11" s="136" t="str">
        <f>IF($D11&lt;&gt;"Feature",".",
IF(VLOOKUP($B11,Feature_List!$A:$AM,MATCH(BP$1,  Feature_List!$A$1:$AM$1,0),0)=H11,".","NO"))</f>
        <v>.</v>
      </c>
      <c r="BQ11" s="136"/>
      <c r="BR11" s="136" t="str">
        <f>IF($D11&lt;&gt;"Feature",".",
IF(VLOOKUP($B11,Feature_List!$A:$AM,MATCH(BR$1,  Feature_List!$A$1:$AM$1,0),0)=J11,".","NO"))</f>
        <v>.</v>
      </c>
      <c r="BS11" s="136"/>
      <c r="BT11" s="136"/>
      <c r="BU11" s="136" t="str">
        <f>IF($D11&lt;&gt;"Feature",".",
IF(VLOOKUP($B11,Feature_List!$A:$AM,MATCH(BU$1,  Feature_List!$A$1:$AM$1,0),0)=M11,".","NO"))</f>
        <v>.</v>
      </c>
      <c r="BV11" s="136" t="str">
        <f>IF($D11&lt;&gt;"Feature",".",
IF(VLOOKUP($B11,Feature_List!$A:$AM,MATCH(BV$1,  Feature_List!$A$1:$AM$1,0),0)=N11,".","NO"))</f>
        <v>.</v>
      </c>
      <c r="BW11" s="136"/>
      <c r="BX11" s="136"/>
      <c r="BY11" s="136"/>
      <c r="BZ11" s="136"/>
      <c r="CA11" s="136"/>
      <c r="CB11" s="136" t="str">
        <f>IF($D11&lt;&gt;"Feature",".",
IF(VLOOKUP($B11,Feature_List!$A:$AM,MATCH(CB$1,  Feature_List!$A$1:$AM$1,0),0)=T11,".","NO"))</f>
        <v>.</v>
      </c>
      <c r="CC11" s="136"/>
      <c r="CD11" s="136"/>
      <c r="CE11" s="136"/>
      <c r="CF11" s="136"/>
      <c r="CG11" s="136"/>
      <c r="CH11" s="136"/>
      <c r="CI11" s="136"/>
      <c r="CJ11" s="136"/>
      <c r="CK11" s="136"/>
      <c r="CL11" s="136"/>
      <c r="CM11" s="136"/>
      <c r="CN11" s="136"/>
      <c r="CO11" s="136" t="str">
        <f>IF($D11&lt;&gt;"Feature",".",
IF(VLOOKUP($B11,Feature_List!$A:$AM,MATCH(CO$1,  Feature_List!$A$1:$AM$1,0),0)=AG11,".","NO"))</f>
        <v>.</v>
      </c>
      <c r="CP11" s="136" t="str">
        <f>IF($D11&lt;&gt;"Feature",".",
IF(VLOOKUP($B11,Feature_List!$A:$AM,MATCH(CP$1,  Feature_List!$A$1:$AM$1,0),0)=AH11,".","NO"))</f>
        <v>.</v>
      </c>
      <c r="CQ11" s="136" t="str">
        <f>IF($D11&lt;&gt;"Feature",".",
IF(VLOOKUP($B11,Feature_List!$A:$AM,MATCH(CQ$1,  Feature_List!$A$1:$AM$1,0),0)=AI11,".","NO"))</f>
        <v>.</v>
      </c>
      <c r="CR11" s="136" t="str">
        <f>IF($D11&lt;&gt;"Feature",".",
IF(VLOOKUP($B11,Feature_List!$A:$AM,MATCH(CR$1,  Feature_List!$A$1:$AM$1,0),0)=AJ11,".","NO"))</f>
        <v>.</v>
      </c>
      <c r="CS11" s="136" t="str">
        <f>IF($D11&lt;&gt;"Feature",".",
IF(VLOOKUP($B11,Feature_List!$A:$AM,MATCH(CS$1,  Feature_List!$A$1:$AM$1,0),0)=AK11,".","NO"))</f>
        <v>.</v>
      </c>
      <c r="CT11" s="136" t="str">
        <f>IF($D11&lt;&gt;"Feature",".",
IF(VLOOKUP($B11,Feature_List!$A:$AM,MATCH(CT$1,  Feature_List!$A$1:$AM$1,0),0)=AL11,".","NO"))</f>
        <v>.</v>
      </c>
      <c r="CU11" s="136" t="str">
        <f>IF($D11&lt;&gt;"Feature",".",
IF(VLOOKUP($B11,Feature_List!$A:$AM,MATCH(CU$1,  Feature_List!$A$1:$AM$1,0),0)=AM11,".","NO"))</f>
        <v>.</v>
      </c>
      <c r="CV11" s="136" t="str">
        <f>IF($D11&lt;&gt;"Feature",".",
IF(VLOOKUP($B11,Feature_List!$A:$AM,MATCH(CV$1,  Feature_List!$A$1:$AM$1,0),0)=AN11,".","NO"))</f>
        <v>.</v>
      </c>
      <c r="CW11" s="136" t="str">
        <f>IF($D11&lt;&gt;"Feature",".",
IF(VLOOKUP($B11,Feature_List!$A:$AM,MATCH(CW$1,  Feature_List!$A$1:$AM$1,0),0)=AO11,".","NO"))</f>
        <v>.</v>
      </c>
      <c r="CX11" s="136" t="str">
        <f>IF($D11&lt;&gt;"Feature",".",
IF(VLOOKUP($B11,Feature_List!$A:$AM,MATCH(CX$1,  Feature_List!$A$1:$AM$1,0),0)=AP11,".","NO"))</f>
        <v>.</v>
      </c>
      <c r="CY11" s="136" t="str">
        <f>IF($D11&lt;&gt;"Feature",".",
IF(VLOOKUP($B11,Feature_List!$A:$AM,MATCH(CY$1,  Feature_List!$A$1:$AM$1,0),0)=AQ11,".","NO"))</f>
        <v>.</v>
      </c>
      <c r="CZ11" s="136" t="str">
        <f>IF($D11&lt;&gt;"Feature",".",
IF(VLOOKUP($B11,Feature_List!$A:$AM,MATCH(CZ$1,  Feature_List!$A$1:$AM$1,0),0)=AR11,".","NO"))</f>
        <v>.</v>
      </c>
      <c r="DA11" s="136" t="str">
        <f>IF($D11&lt;&gt;"Feature",".",
IF(VLOOKUP($B11,Feature_List!$A:$AM,MATCH(DA$1,  Feature_List!$A$1:$AM$1,0),0)=AS11,".","NO"))</f>
        <v>.</v>
      </c>
      <c r="DB11" s="136" t="str">
        <f>IF($D11&lt;&gt;"Feature",".",
IF(VLOOKUP($B11,Feature_List!$A:$AM,MATCH(DB$1,  Feature_List!$A$1:$AM$1,0),0)=AT11,".","NO"))</f>
        <v>.</v>
      </c>
      <c r="DC11" s="136" t="str">
        <f>IF($D11&lt;&gt;"Feature",".",
IF(VLOOKUP($B11,Feature_List!$A:$AM,MATCH(DC$1,  Feature_List!$A$1:$AM$1,0),0)=AU11,".","NO"))</f>
        <v>.</v>
      </c>
      <c r="DD11" s="136" t="str">
        <f>IF($D11&lt;&gt;"Feature",".",
IF(VLOOKUP($B11,Feature_List!$A:$AM,MATCH(DD$1,  Feature_List!$A$1:$AM$1,0),0)=AV11,".","NO"))</f>
        <v>.</v>
      </c>
      <c r="DE11" s="136" t="str">
        <f>IF($D11&lt;&gt;"Feature",".",
IF(VLOOKUP($B11,Feature_List!$A:$AM,MATCH(DE$1,  Feature_List!$A$1:$AM$1,0),0)=AW11,".","NO"))</f>
        <v>.</v>
      </c>
      <c r="DF11" s="136" t="str">
        <f>IF($D11&lt;&gt;"Feature",".",
IF(VLOOKUP($B11,Feature_List!$A:$AM,MATCH(DF$1,  Feature_List!$A$1:$AM$1,0),0)=AX11,".","NO"))</f>
        <v>.</v>
      </c>
      <c r="DG11" s="136" t="str">
        <f>IF($D11&lt;&gt;"Feature",".",
IF(VLOOKUP($B11,Feature_List!$A:$AM,MATCH(DG$1,  Feature_List!$A$1:$AM$1,0),0)=AY11,".","NO"))</f>
        <v>.</v>
      </c>
      <c r="DH11" s="136" t="str">
        <f>IF($D11&lt;&gt;"Feature",".",
IF(VLOOKUP($B11,Feature_List!$A:$AM,MATCH(DH$1,  Feature_List!$A$1:$AM$1,0),0)=AZ11,".","NO"))</f>
        <v>.</v>
      </c>
      <c r="DI11" s="136" t="str">
        <f>IF($D11&lt;&gt;"Feature",".",
IF(VLOOKUP($B11,Feature_List!$A:$AM,MATCH(DI$1,  Feature_List!$A$1:$AM$1,0),0)=BA11,".","NO"))</f>
        <v>.</v>
      </c>
      <c r="DJ11" s="136" t="str">
        <f>IF($D11&lt;&gt;"Feature",".",
IF(VLOOKUP($B11,Feature_List!$A:$AM,MATCH(DJ$1,  Feature_List!$A$1:$AM$1,0),0)=BB11,".","NO"))</f>
        <v>.</v>
      </c>
      <c r="DK11" s="136"/>
      <c r="DL11" s="136"/>
      <c r="DM11" s="136"/>
      <c r="DN11" s="136" t="str">
        <f>IF($D11&lt;&gt;"Feature",".",
IF(VLOOKUP($B11,Feature_List!$A:$AM,MATCH(DN$1,  Feature_List!$A$1:$AM$1,0),0)=BC11,".","NO"))</f>
        <v>.</v>
      </c>
      <c r="DO11" s="136" t="str">
        <f>IF($D11&lt;&gt;"Feature",".",
IF(VLOOKUP($B11,Feature_List!$A:$AM,MATCH(DO$1,  Feature_List!$A$1:$AM$1,0),0)=BD11,".","NO"))</f>
        <v>.</v>
      </c>
    </row>
    <row r="12" spans="1:119" x14ac:dyDescent="0.3">
      <c r="A12" s="141"/>
      <c r="B12" s="121">
        <v>376390</v>
      </c>
      <c r="C12" s="122" t="s">
        <v>604</v>
      </c>
      <c r="D12" s="122" t="s">
        <v>71</v>
      </c>
      <c r="E12" s="122" t="s">
        <v>677</v>
      </c>
      <c r="F12" s="138" t="s">
        <v>641</v>
      </c>
      <c r="G12" s="123" t="s">
        <v>641</v>
      </c>
      <c r="H12" s="122" t="s">
        <v>70</v>
      </c>
      <c r="I12" s="124" t="s">
        <v>562</v>
      </c>
      <c r="J12" s="138"/>
      <c r="K12" s="123">
        <v>2</v>
      </c>
      <c r="L12" s="122"/>
      <c r="M12" s="122" t="s">
        <v>671</v>
      </c>
      <c r="N12" s="122"/>
      <c r="O12" s="123">
        <f t="shared" si="0"/>
        <v>2</v>
      </c>
      <c r="P12" s="123" t="str">
        <f t="shared" si="1"/>
        <v>New</v>
      </c>
      <c r="Q12" s="122" t="str">
        <f t="shared" si="24"/>
        <v>Story</v>
      </c>
      <c r="R12" s="126">
        <f t="shared" si="2"/>
        <v>318430</v>
      </c>
      <c r="S12" s="127">
        <f t="shared" si="3"/>
        <v>376390</v>
      </c>
      <c r="T12" s="128" t="e">
        <f>IF($Q12="ZeroEntry", "",VLOOKUP($I12,'Ranking Lookup'!#REF!,2,FALSE))</f>
        <v>#REF!</v>
      </c>
      <c r="U12" s="129" t="str">
        <f t="shared" si="4"/>
        <v/>
      </c>
      <c r="V12" s="129" t="str">
        <f t="shared" si="5"/>
        <v/>
      </c>
      <c r="W12" s="129" t="str">
        <f t="shared" si="6"/>
        <v/>
      </c>
      <c r="X12" s="129" t="str">
        <f t="shared" si="7"/>
        <v/>
      </c>
      <c r="Y12" s="129" t="str">
        <f t="shared" si="8"/>
        <v>Feature</v>
      </c>
      <c r="Z12" s="129" t="str">
        <f t="shared" si="9"/>
        <v/>
      </c>
      <c r="AA12" s="130"/>
      <c r="AB12" s="130" t="str">
        <f t="shared" si="10"/>
        <v>PI 12</v>
      </c>
      <c r="AC12" s="131">
        <f t="shared" si="25"/>
        <v>2</v>
      </c>
      <c r="AD12" s="131">
        <f t="shared" si="26"/>
        <v>0</v>
      </c>
      <c r="AE12" s="132">
        <f t="shared" si="11"/>
        <v>0</v>
      </c>
      <c r="AF12" s="133" t="str">
        <f t="shared" si="27"/>
        <v/>
      </c>
      <c r="AG12" s="134">
        <f t="shared" si="12"/>
        <v>0</v>
      </c>
      <c r="AH12" s="54" t="str">
        <f t="shared" si="13"/>
        <v/>
      </c>
      <c r="AI12" s="54" t="e">
        <f t="shared" si="14"/>
        <v>#REF!</v>
      </c>
      <c r="AJ12" s="54" t="e">
        <f t="shared" si="14"/>
        <v>#REF!</v>
      </c>
      <c r="AK12" s="54" t="e">
        <f t="shared" si="14"/>
        <v>#REF!</v>
      </c>
      <c r="AL12" s="54" t="e">
        <f t="shared" si="14"/>
        <v>#REF!</v>
      </c>
      <c r="AM12" s="54" t="e">
        <f t="shared" si="14"/>
        <v>#REF!</v>
      </c>
      <c r="AN12" s="54" t="e">
        <f t="shared" si="14"/>
        <v>#REF!</v>
      </c>
      <c r="AO12" s="54" t="e">
        <f t="shared" si="14"/>
        <v>#REF!</v>
      </c>
      <c r="AP12" s="54" t="e">
        <f t="shared" si="14"/>
        <v>#REF!</v>
      </c>
      <c r="AQ12" s="54" t="e">
        <f t="shared" si="14"/>
        <v>#REF!</v>
      </c>
      <c r="AR12" s="54" t="e">
        <f t="shared" si="14"/>
        <v>#REF!</v>
      </c>
      <c r="AS12" s="54" t="e">
        <f t="shared" si="14"/>
        <v>#REF!</v>
      </c>
      <c r="AT12" s="54" t="e">
        <f t="shared" si="14"/>
        <v>#REF!</v>
      </c>
      <c r="AU12" s="54" t="e">
        <f t="shared" si="14"/>
        <v>#REF!</v>
      </c>
      <c r="AV12" s="54" t="e">
        <f t="shared" si="14"/>
        <v>#REF!</v>
      </c>
      <c r="AW12" s="54" t="e">
        <f t="shared" si="14"/>
        <v>#REF!</v>
      </c>
      <c r="AX12" s="54" t="e">
        <f t="shared" si="14"/>
        <v>#REF!</v>
      </c>
      <c r="AY12" s="54" t="e">
        <f t="shared" si="15"/>
        <v>#REF!</v>
      </c>
      <c r="AZ12" s="54" t="str">
        <f t="shared" si="16"/>
        <v/>
      </c>
      <c r="BA12" s="54" t="e">
        <f t="shared" si="17"/>
        <v>#REF!</v>
      </c>
      <c r="BB12" s="135" t="str">
        <f t="shared" si="18"/>
        <v/>
      </c>
      <c r="BC12" s="54" t="e">
        <f t="shared" si="19"/>
        <v>#REF!</v>
      </c>
      <c r="BD12" s="54" t="e">
        <f t="shared" si="19"/>
        <v>#REF!</v>
      </c>
      <c r="BE12" s="54" t="e">
        <f t="shared" si="19"/>
        <v>#REF!</v>
      </c>
      <c r="BF12" s="54" t="str">
        <f t="shared" si="20"/>
        <v/>
      </c>
      <c r="BG12" s="54" t="str">
        <f t="shared" si="21"/>
        <v/>
      </c>
      <c r="BH12" s="34" t="e">
        <f t="shared" si="22"/>
        <v>#REF!</v>
      </c>
      <c r="BI12" s="34" t="e">
        <f t="shared" si="23"/>
        <v>#REF!</v>
      </c>
      <c r="BJ12" s="136" t="str">
        <f>IF($D12&lt;&gt;"Feature",".",
IF(VLOOKUP($B12,Feature_List!$A:$AM,MATCH(BJ$1,  Feature_List!$A$1:$AM$1,0),0)=B12,".","NO"))</f>
        <v>.</v>
      </c>
      <c r="BK12" s="136"/>
      <c r="BL12" s="136"/>
      <c r="BM12" s="136" t="str">
        <f>IF($D12&lt;&gt;"Feature",".",
IF(VLOOKUP($B12,Feature_List!$A:$AM,MATCH(BM$1,  Feature_List!$A$1:$AM$1,0),0)=E12,".","NO"))</f>
        <v>.</v>
      </c>
      <c r="BN12" s="136" t="str">
        <f>IF($D12&lt;&gt;"Feature",".",
IF(VLOOKUP($B12,Feature_List!$A:$AM,MATCH(BN$1,  Feature_List!$A$1:$AM$1,0),0)=F12,".","NO"))</f>
        <v>.</v>
      </c>
      <c r="BO12" s="136" t="str">
        <f>IF($D12&lt;&gt;"Feature",".",
IF(VLOOKUP($B12,Feature_List!$A:$AM,MATCH(BO$1,  Feature_List!$A$1:$AM$1,0),0)=G12,".","NO"))</f>
        <v>.</v>
      </c>
      <c r="BP12" s="136" t="str">
        <f>IF($D12&lt;&gt;"Feature",".",
IF(VLOOKUP($B12,Feature_List!$A:$AM,MATCH(BP$1,  Feature_List!$A$1:$AM$1,0),0)=H12,".","NO"))</f>
        <v>.</v>
      </c>
      <c r="BQ12" s="136"/>
      <c r="BR12" s="136" t="str">
        <f>IF($D12&lt;&gt;"Feature",".",
IF(VLOOKUP($B12,Feature_List!$A:$AM,MATCH(BR$1,  Feature_List!$A$1:$AM$1,0),0)=J12,".","NO"))</f>
        <v>.</v>
      </c>
      <c r="BS12" s="136"/>
      <c r="BT12" s="136"/>
      <c r="BU12" s="136" t="str">
        <f>IF($D12&lt;&gt;"Feature",".",
IF(VLOOKUP($B12,Feature_List!$A:$AM,MATCH(BU$1,  Feature_List!$A$1:$AM$1,0),0)=M12,".","NO"))</f>
        <v>.</v>
      </c>
      <c r="BV12" s="136" t="str">
        <f>IF($D12&lt;&gt;"Feature",".",
IF(VLOOKUP($B12,Feature_List!$A:$AM,MATCH(BV$1,  Feature_List!$A$1:$AM$1,0),0)=N12,".","NO"))</f>
        <v>.</v>
      </c>
      <c r="BW12" s="136"/>
      <c r="BX12" s="136"/>
      <c r="BY12" s="136"/>
      <c r="BZ12" s="136"/>
      <c r="CA12" s="136"/>
      <c r="CB12" s="136" t="str">
        <f>IF($D12&lt;&gt;"Feature",".",
IF(VLOOKUP($B12,Feature_List!$A:$AM,MATCH(CB$1,  Feature_List!$A$1:$AM$1,0),0)=T12,".","NO"))</f>
        <v>.</v>
      </c>
      <c r="CC12" s="136"/>
      <c r="CD12" s="136"/>
      <c r="CE12" s="136"/>
      <c r="CF12" s="136"/>
      <c r="CG12" s="136"/>
      <c r="CH12" s="136"/>
      <c r="CI12" s="136"/>
      <c r="CJ12" s="136"/>
      <c r="CK12" s="136"/>
      <c r="CL12" s="136"/>
      <c r="CM12" s="136"/>
      <c r="CN12" s="136"/>
      <c r="CO12" s="136" t="str">
        <f>IF($D12&lt;&gt;"Feature",".",
IF(VLOOKUP($B12,Feature_List!$A:$AM,MATCH(CO$1,  Feature_List!$A$1:$AM$1,0),0)=AG12,".","NO"))</f>
        <v>.</v>
      </c>
      <c r="CP12" s="136" t="str">
        <f>IF($D12&lt;&gt;"Feature",".",
IF(VLOOKUP($B12,Feature_List!$A:$AM,MATCH(CP$1,  Feature_List!$A$1:$AM$1,0),0)=AH12,".","NO"))</f>
        <v>.</v>
      </c>
      <c r="CQ12" s="136" t="str">
        <f>IF($D12&lt;&gt;"Feature",".",
IF(VLOOKUP($B12,Feature_List!$A:$AM,MATCH(CQ$1,  Feature_List!$A$1:$AM$1,0),0)=AI12,".","NO"))</f>
        <v>.</v>
      </c>
      <c r="CR12" s="136" t="str">
        <f>IF($D12&lt;&gt;"Feature",".",
IF(VLOOKUP($B12,Feature_List!$A:$AM,MATCH(CR$1,  Feature_List!$A$1:$AM$1,0),0)=AJ12,".","NO"))</f>
        <v>.</v>
      </c>
      <c r="CS12" s="136" t="str">
        <f>IF($D12&lt;&gt;"Feature",".",
IF(VLOOKUP($B12,Feature_List!$A:$AM,MATCH(CS$1,  Feature_List!$A$1:$AM$1,0),0)=AK12,".","NO"))</f>
        <v>.</v>
      </c>
      <c r="CT12" s="136" t="str">
        <f>IF($D12&lt;&gt;"Feature",".",
IF(VLOOKUP($B12,Feature_List!$A:$AM,MATCH(CT$1,  Feature_List!$A$1:$AM$1,0),0)=AL12,".","NO"))</f>
        <v>.</v>
      </c>
      <c r="CU12" s="136" t="str">
        <f>IF($D12&lt;&gt;"Feature",".",
IF(VLOOKUP($B12,Feature_List!$A:$AM,MATCH(CU$1,  Feature_List!$A$1:$AM$1,0),0)=AM12,".","NO"))</f>
        <v>.</v>
      </c>
      <c r="CV12" s="136" t="str">
        <f>IF($D12&lt;&gt;"Feature",".",
IF(VLOOKUP($B12,Feature_List!$A:$AM,MATCH(CV$1,  Feature_List!$A$1:$AM$1,0),0)=AN12,".","NO"))</f>
        <v>.</v>
      </c>
      <c r="CW12" s="136" t="str">
        <f>IF($D12&lt;&gt;"Feature",".",
IF(VLOOKUP($B12,Feature_List!$A:$AM,MATCH(CW$1,  Feature_List!$A$1:$AM$1,0),0)=AO12,".","NO"))</f>
        <v>.</v>
      </c>
      <c r="CX12" s="136" t="str">
        <f>IF($D12&lt;&gt;"Feature",".",
IF(VLOOKUP($B12,Feature_List!$A:$AM,MATCH(CX$1,  Feature_List!$A$1:$AM$1,0),0)=AP12,".","NO"))</f>
        <v>.</v>
      </c>
      <c r="CY12" s="136" t="str">
        <f>IF($D12&lt;&gt;"Feature",".",
IF(VLOOKUP($B12,Feature_List!$A:$AM,MATCH(CY$1,  Feature_List!$A$1:$AM$1,0),0)=AQ12,".","NO"))</f>
        <v>.</v>
      </c>
      <c r="CZ12" s="136" t="str">
        <f>IF($D12&lt;&gt;"Feature",".",
IF(VLOOKUP($B12,Feature_List!$A:$AM,MATCH(CZ$1,  Feature_List!$A$1:$AM$1,0),0)=AR12,".","NO"))</f>
        <v>.</v>
      </c>
      <c r="DA12" s="136" t="str">
        <f>IF($D12&lt;&gt;"Feature",".",
IF(VLOOKUP($B12,Feature_List!$A:$AM,MATCH(DA$1,  Feature_List!$A$1:$AM$1,0),0)=AS12,".","NO"))</f>
        <v>.</v>
      </c>
      <c r="DB12" s="136" t="str">
        <f>IF($D12&lt;&gt;"Feature",".",
IF(VLOOKUP($B12,Feature_List!$A:$AM,MATCH(DB$1,  Feature_List!$A$1:$AM$1,0),0)=AT12,".","NO"))</f>
        <v>.</v>
      </c>
      <c r="DC12" s="136" t="str">
        <f>IF($D12&lt;&gt;"Feature",".",
IF(VLOOKUP($B12,Feature_List!$A:$AM,MATCH(DC$1,  Feature_List!$A$1:$AM$1,0),0)=AU12,".","NO"))</f>
        <v>.</v>
      </c>
      <c r="DD12" s="136" t="str">
        <f>IF($D12&lt;&gt;"Feature",".",
IF(VLOOKUP($B12,Feature_List!$A:$AM,MATCH(DD$1,  Feature_List!$A$1:$AM$1,0),0)=AV12,".","NO"))</f>
        <v>.</v>
      </c>
      <c r="DE12" s="136" t="str">
        <f>IF($D12&lt;&gt;"Feature",".",
IF(VLOOKUP($B12,Feature_List!$A:$AM,MATCH(DE$1,  Feature_List!$A$1:$AM$1,0),0)=AW12,".","NO"))</f>
        <v>.</v>
      </c>
      <c r="DF12" s="136" t="str">
        <f>IF($D12&lt;&gt;"Feature",".",
IF(VLOOKUP($B12,Feature_List!$A:$AM,MATCH(DF$1,  Feature_List!$A$1:$AM$1,0),0)=AX12,".","NO"))</f>
        <v>.</v>
      </c>
      <c r="DG12" s="136" t="str">
        <f>IF($D12&lt;&gt;"Feature",".",
IF(VLOOKUP($B12,Feature_List!$A:$AM,MATCH(DG$1,  Feature_List!$A$1:$AM$1,0),0)=AY12,".","NO"))</f>
        <v>.</v>
      </c>
      <c r="DH12" s="136" t="str">
        <f>IF($D12&lt;&gt;"Feature",".",
IF(VLOOKUP($B12,Feature_List!$A:$AM,MATCH(DH$1,  Feature_List!$A$1:$AM$1,0),0)=AZ12,".","NO"))</f>
        <v>.</v>
      </c>
      <c r="DI12" s="136" t="str">
        <f>IF($D12&lt;&gt;"Feature",".",
IF(VLOOKUP($B12,Feature_List!$A:$AM,MATCH(DI$1,  Feature_List!$A$1:$AM$1,0),0)=BA12,".","NO"))</f>
        <v>.</v>
      </c>
      <c r="DJ12" s="136" t="str">
        <f>IF($D12&lt;&gt;"Feature",".",
IF(VLOOKUP($B12,Feature_List!$A:$AM,MATCH(DJ$1,  Feature_List!$A$1:$AM$1,0),0)=BB12,".","NO"))</f>
        <v>.</v>
      </c>
      <c r="DK12" s="136"/>
      <c r="DL12" s="136"/>
      <c r="DM12" s="136"/>
      <c r="DN12" s="136" t="str">
        <f>IF($D12&lt;&gt;"Feature",".",
IF(VLOOKUP($B12,Feature_List!$A:$AM,MATCH(DN$1,  Feature_List!$A$1:$AM$1,0),0)=BC12,".","NO"))</f>
        <v>.</v>
      </c>
      <c r="DO12" s="136" t="str">
        <f>IF($D12&lt;&gt;"Feature",".",
IF(VLOOKUP($B12,Feature_List!$A:$AM,MATCH(DO$1,  Feature_List!$A$1:$AM$1,0),0)=BD12,".","NO"))</f>
        <v>.</v>
      </c>
    </row>
    <row r="13" spans="1:119" x14ac:dyDescent="0.3">
      <c r="A13" s="141"/>
      <c r="B13" s="121">
        <v>376372</v>
      </c>
      <c r="C13" s="122" t="s">
        <v>604</v>
      </c>
      <c r="D13" s="122" t="s">
        <v>71</v>
      </c>
      <c r="E13" s="122" t="s">
        <v>678</v>
      </c>
      <c r="F13" s="138" t="s">
        <v>661</v>
      </c>
      <c r="G13" s="123" t="s">
        <v>661</v>
      </c>
      <c r="H13" s="122" t="s">
        <v>679</v>
      </c>
      <c r="I13" s="124" t="s">
        <v>124</v>
      </c>
      <c r="J13" s="138"/>
      <c r="K13" s="123">
        <v>1</v>
      </c>
      <c r="L13" s="122"/>
      <c r="M13" s="122" t="s">
        <v>597</v>
      </c>
      <c r="N13" s="122"/>
      <c r="O13" s="123">
        <f t="shared" si="0"/>
        <v>1</v>
      </c>
      <c r="P13" s="123" t="str">
        <f t="shared" si="1"/>
        <v>In Development</v>
      </c>
      <c r="Q13" s="122" t="str">
        <f t="shared" si="24"/>
        <v>Story</v>
      </c>
      <c r="R13" s="126">
        <f t="shared" si="2"/>
        <v>318430</v>
      </c>
      <c r="S13" s="127">
        <f t="shared" si="3"/>
        <v>376372</v>
      </c>
      <c r="T13" s="128" t="e">
        <f>IF($Q13="ZeroEntry", "",VLOOKUP($I13,'Ranking Lookup'!#REF!,2,FALSE))</f>
        <v>#REF!</v>
      </c>
      <c r="U13" s="129" t="str">
        <f t="shared" si="4"/>
        <v/>
      </c>
      <c r="V13" s="129" t="str">
        <f t="shared" si="5"/>
        <v/>
      </c>
      <c r="W13" s="129" t="str">
        <f t="shared" si="6"/>
        <v/>
      </c>
      <c r="X13" s="129" t="str">
        <f t="shared" si="7"/>
        <v/>
      </c>
      <c r="Y13" s="129" t="str">
        <f t="shared" si="8"/>
        <v>Feature</v>
      </c>
      <c r="Z13" s="129" t="str">
        <f t="shared" si="9"/>
        <v/>
      </c>
      <c r="AA13" s="130"/>
      <c r="AB13" s="130" t="str">
        <f t="shared" si="10"/>
        <v>PI 12</v>
      </c>
      <c r="AC13" s="131">
        <f t="shared" si="25"/>
        <v>1</v>
      </c>
      <c r="AD13" s="131">
        <f t="shared" si="26"/>
        <v>0</v>
      </c>
      <c r="AE13" s="132">
        <f t="shared" si="11"/>
        <v>0</v>
      </c>
      <c r="AF13" s="133" t="str">
        <f t="shared" si="27"/>
        <v/>
      </c>
      <c r="AG13" s="134">
        <f t="shared" si="12"/>
        <v>0</v>
      </c>
      <c r="AH13" s="54" t="str">
        <f t="shared" si="13"/>
        <v/>
      </c>
      <c r="AI13" s="54" t="e">
        <f t="shared" si="14"/>
        <v>#REF!</v>
      </c>
      <c r="AJ13" s="54" t="e">
        <f t="shared" si="14"/>
        <v>#REF!</v>
      </c>
      <c r="AK13" s="54" t="e">
        <f t="shared" si="14"/>
        <v>#REF!</v>
      </c>
      <c r="AL13" s="54" t="e">
        <f t="shared" si="14"/>
        <v>#REF!</v>
      </c>
      <c r="AM13" s="54" t="e">
        <f t="shared" si="14"/>
        <v>#REF!</v>
      </c>
      <c r="AN13" s="54" t="e">
        <f t="shared" si="14"/>
        <v>#REF!</v>
      </c>
      <c r="AO13" s="54" t="e">
        <f t="shared" si="14"/>
        <v>#REF!</v>
      </c>
      <c r="AP13" s="54" t="e">
        <f t="shared" si="14"/>
        <v>#REF!</v>
      </c>
      <c r="AQ13" s="54" t="e">
        <f t="shared" si="14"/>
        <v>#REF!</v>
      </c>
      <c r="AR13" s="54" t="e">
        <f t="shared" si="14"/>
        <v>#REF!</v>
      </c>
      <c r="AS13" s="54" t="e">
        <f t="shared" si="14"/>
        <v>#REF!</v>
      </c>
      <c r="AT13" s="54" t="e">
        <f t="shared" si="14"/>
        <v>#REF!</v>
      </c>
      <c r="AU13" s="54" t="e">
        <f t="shared" si="14"/>
        <v>#REF!</v>
      </c>
      <c r="AV13" s="54" t="e">
        <f t="shared" si="14"/>
        <v>#REF!</v>
      </c>
      <c r="AW13" s="54" t="e">
        <f t="shared" si="14"/>
        <v>#REF!</v>
      </c>
      <c r="AX13" s="54" t="e">
        <f t="shared" si="14"/>
        <v>#REF!</v>
      </c>
      <c r="AY13" s="54" t="e">
        <f t="shared" si="15"/>
        <v>#REF!</v>
      </c>
      <c r="AZ13" s="54" t="str">
        <f t="shared" si="16"/>
        <v/>
      </c>
      <c r="BA13" s="54" t="e">
        <f t="shared" si="17"/>
        <v>#REF!</v>
      </c>
      <c r="BB13" s="135" t="str">
        <f t="shared" si="18"/>
        <v/>
      </c>
      <c r="BC13" s="54" t="e">
        <f t="shared" si="19"/>
        <v>#REF!</v>
      </c>
      <c r="BD13" s="54" t="e">
        <f t="shared" si="19"/>
        <v>#REF!</v>
      </c>
      <c r="BE13" s="54" t="e">
        <f t="shared" si="19"/>
        <v>#REF!</v>
      </c>
      <c r="BF13" s="54" t="str">
        <f t="shared" si="20"/>
        <v/>
      </c>
      <c r="BG13" s="54" t="str">
        <f t="shared" si="21"/>
        <v/>
      </c>
      <c r="BH13" s="34" t="e">
        <f t="shared" si="22"/>
        <v>#REF!</v>
      </c>
      <c r="BI13" s="34" t="e">
        <f t="shared" si="23"/>
        <v>#REF!</v>
      </c>
      <c r="BJ13" s="136" t="str">
        <f>IF($D13&lt;&gt;"Feature",".",
IF(VLOOKUP($B13,Feature_List!$A:$AM,MATCH(BJ$1,  Feature_List!$A$1:$AM$1,0),0)=B13,".","NO"))</f>
        <v>.</v>
      </c>
      <c r="BK13" s="136"/>
      <c r="BL13" s="136"/>
      <c r="BM13" s="136" t="str">
        <f>IF($D13&lt;&gt;"Feature",".",
IF(VLOOKUP($B13,Feature_List!$A:$AM,MATCH(BM$1,  Feature_List!$A$1:$AM$1,0),0)=E13,".","NO"))</f>
        <v>.</v>
      </c>
      <c r="BN13" s="136" t="str">
        <f>IF($D13&lt;&gt;"Feature",".",
IF(VLOOKUP($B13,Feature_List!$A:$AM,MATCH(BN$1,  Feature_List!$A$1:$AM$1,0),0)=F13,".","NO"))</f>
        <v>.</v>
      </c>
      <c r="BO13" s="136" t="str">
        <f>IF($D13&lt;&gt;"Feature",".",
IF(VLOOKUP($B13,Feature_List!$A:$AM,MATCH(BO$1,  Feature_List!$A$1:$AM$1,0),0)=G13,".","NO"))</f>
        <v>.</v>
      </c>
      <c r="BP13" s="136" t="str">
        <f>IF($D13&lt;&gt;"Feature",".",
IF(VLOOKUP($B13,Feature_List!$A:$AM,MATCH(BP$1,  Feature_List!$A$1:$AM$1,0),0)=H13,".","NO"))</f>
        <v>.</v>
      </c>
      <c r="BQ13" s="136"/>
      <c r="BR13" s="136" t="str">
        <f>IF($D13&lt;&gt;"Feature",".",
IF(VLOOKUP($B13,Feature_List!$A:$AM,MATCH(BR$1,  Feature_List!$A$1:$AM$1,0),0)=J13,".","NO"))</f>
        <v>.</v>
      </c>
      <c r="BS13" s="136"/>
      <c r="BT13" s="136"/>
      <c r="BU13" s="136" t="str">
        <f>IF($D13&lt;&gt;"Feature",".",
IF(VLOOKUP($B13,Feature_List!$A:$AM,MATCH(BU$1,  Feature_List!$A$1:$AM$1,0),0)=M13,".","NO"))</f>
        <v>.</v>
      </c>
      <c r="BV13" s="136" t="str">
        <f>IF($D13&lt;&gt;"Feature",".",
IF(VLOOKUP($B13,Feature_List!$A:$AM,MATCH(BV$1,  Feature_List!$A$1:$AM$1,0),0)=N13,".","NO"))</f>
        <v>.</v>
      </c>
      <c r="BW13" s="136"/>
      <c r="BX13" s="136"/>
      <c r="BY13" s="136"/>
      <c r="BZ13" s="136"/>
      <c r="CA13" s="136"/>
      <c r="CB13" s="136" t="str">
        <f>IF($D13&lt;&gt;"Feature",".",
IF(VLOOKUP($B13,Feature_List!$A:$AM,MATCH(CB$1,  Feature_List!$A$1:$AM$1,0),0)=T13,".","NO"))</f>
        <v>.</v>
      </c>
      <c r="CC13" s="136"/>
      <c r="CD13" s="136"/>
      <c r="CE13" s="136"/>
      <c r="CF13" s="136"/>
      <c r="CG13" s="136"/>
      <c r="CH13" s="136"/>
      <c r="CI13" s="136"/>
      <c r="CJ13" s="136"/>
      <c r="CK13" s="136"/>
      <c r="CL13" s="136"/>
      <c r="CM13" s="136"/>
      <c r="CN13" s="136"/>
      <c r="CO13" s="136" t="str">
        <f>IF($D13&lt;&gt;"Feature",".",
IF(VLOOKUP($B13,Feature_List!$A:$AM,MATCH(CO$1,  Feature_List!$A$1:$AM$1,0),0)=AG13,".","NO"))</f>
        <v>.</v>
      </c>
      <c r="CP13" s="136" t="str">
        <f>IF($D13&lt;&gt;"Feature",".",
IF(VLOOKUP($B13,Feature_List!$A:$AM,MATCH(CP$1,  Feature_List!$A$1:$AM$1,0),0)=AH13,".","NO"))</f>
        <v>.</v>
      </c>
      <c r="CQ13" s="136" t="str">
        <f>IF($D13&lt;&gt;"Feature",".",
IF(VLOOKUP($B13,Feature_List!$A:$AM,MATCH(CQ$1,  Feature_List!$A$1:$AM$1,0),0)=AI13,".","NO"))</f>
        <v>.</v>
      </c>
      <c r="CR13" s="136" t="str">
        <f>IF($D13&lt;&gt;"Feature",".",
IF(VLOOKUP($B13,Feature_List!$A:$AM,MATCH(CR$1,  Feature_List!$A$1:$AM$1,0),0)=AJ13,".","NO"))</f>
        <v>.</v>
      </c>
      <c r="CS13" s="136" t="str">
        <f>IF($D13&lt;&gt;"Feature",".",
IF(VLOOKUP($B13,Feature_List!$A:$AM,MATCH(CS$1,  Feature_List!$A$1:$AM$1,0),0)=AK13,".","NO"))</f>
        <v>.</v>
      </c>
      <c r="CT13" s="136" t="str">
        <f>IF($D13&lt;&gt;"Feature",".",
IF(VLOOKUP($B13,Feature_List!$A:$AM,MATCH(CT$1,  Feature_List!$A$1:$AM$1,0),0)=AL13,".","NO"))</f>
        <v>.</v>
      </c>
      <c r="CU13" s="136" t="str">
        <f>IF($D13&lt;&gt;"Feature",".",
IF(VLOOKUP($B13,Feature_List!$A:$AM,MATCH(CU$1,  Feature_List!$A$1:$AM$1,0),0)=AM13,".","NO"))</f>
        <v>.</v>
      </c>
      <c r="CV13" s="136" t="str">
        <f>IF($D13&lt;&gt;"Feature",".",
IF(VLOOKUP($B13,Feature_List!$A:$AM,MATCH(CV$1,  Feature_List!$A$1:$AM$1,0),0)=AN13,".","NO"))</f>
        <v>.</v>
      </c>
      <c r="CW13" s="136" t="str">
        <f>IF($D13&lt;&gt;"Feature",".",
IF(VLOOKUP($B13,Feature_List!$A:$AM,MATCH(CW$1,  Feature_List!$A$1:$AM$1,0),0)=AO13,".","NO"))</f>
        <v>.</v>
      </c>
      <c r="CX13" s="136" t="str">
        <f>IF($D13&lt;&gt;"Feature",".",
IF(VLOOKUP($B13,Feature_List!$A:$AM,MATCH(CX$1,  Feature_List!$A$1:$AM$1,0),0)=AP13,".","NO"))</f>
        <v>.</v>
      </c>
      <c r="CY13" s="136" t="str">
        <f>IF($D13&lt;&gt;"Feature",".",
IF(VLOOKUP($B13,Feature_List!$A:$AM,MATCH(CY$1,  Feature_List!$A$1:$AM$1,0),0)=AQ13,".","NO"))</f>
        <v>.</v>
      </c>
      <c r="CZ13" s="136" t="str">
        <f>IF($D13&lt;&gt;"Feature",".",
IF(VLOOKUP($B13,Feature_List!$A:$AM,MATCH(CZ$1,  Feature_List!$A$1:$AM$1,0),0)=AR13,".","NO"))</f>
        <v>.</v>
      </c>
      <c r="DA13" s="136" t="str">
        <f>IF($D13&lt;&gt;"Feature",".",
IF(VLOOKUP($B13,Feature_List!$A:$AM,MATCH(DA$1,  Feature_List!$A$1:$AM$1,0),0)=AS13,".","NO"))</f>
        <v>.</v>
      </c>
      <c r="DB13" s="136" t="str">
        <f>IF($D13&lt;&gt;"Feature",".",
IF(VLOOKUP($B13,Feature_List!$A:$AM,MATCH(DB$1,  Feature_List!$A$1:$AM$1,0),0)=AT13,".","NO"))</f>
        <v>.</v>
      </c>
      <c r="DC13" s="136" t="str">
        <f>IF($D13&lt;&gt;"Feature",".",
IF(VLOOKUP($B13,Feature_List!$A:$AM,MATCH(DC$1,  Feature_List!$A$1:$AM$1,0),0)=AU13,".","NO"))</f>
        <v>.</v>
      </c>
      <c r="DD13" s="136" t="str">
        <f>IF($D13&lt;&gt;"Feature",".",
IF(VLOOKUP($B13,Feature_List!$A:$AM,MATCH(DD$1,  Feature_List!$A$1:$AM$1,0),0)=AV13,".","NO"))</f>
        <v>.</v>
      </c>
      <c r="DE13" s="136" t="str">
        <f>IF($D13&lt;&gt;"Feature",".",
IF(VLOOKUP($B13,Feature_List!$A:$AM,MATCH(DE$1,  Feature_List!$A$1:$AM$1,0),0)=AW13,".","NO"))</f>
        <v>.</v>
      </c>
      <c r="DF13" s="136" t="str">
        <f>IF($D13&lt;&gt;"Feature",".",
IF(VLOOKUP($B13,Feature_List!$A:$AM,MATCH(DF$1,  Feature_List!$A$1:$AM$1,0),0)=AX13,".","NO"))</f>
        <v>.</v>
      </c>
      <c r="DG13" s="136" t="str">
        <f>IF($D13&lt;&gt;"Feature",".",
IF(VLOOKUP($B13,Feature_List!$A:$AM,MATCH(DG$1,  Feature_List!$A$1:$AM$1,0),0)=AY13,".","NO"))</f>
        <v>.</v>
      </c>
      <c r="DH13" s="136" t="str">
        <f>IF($D13&lt;&gt;"Feature",".",
IF(VLOOKUP($B13,Feature_List!$A:$AM,MATCH(DH$1,  Feature_List!$A$1:$AM$1,0),0)=AZ13,".","NO"))</f>
        <v>.</v>
      </c>
      <c r="DI13" s="136" t="str">
        <f>IF($D13&lt;&gt;"Feature",".",
IF(VLOOKUP($B13,Feature_List!$A:$AM,MATCH(DI$1,  Feature_List!$A$1:$AM$1,0),0)=BA13,".","NO"))</f>
        <v>.</v>
      </c>
      <c r="DJ13" s="136" t="str">
        <f>IF($D13&lt;&gt;"Feature",".",
IF(VLOOKUP($B13,Feature_List!$A:$AM,MATCH(DJ$1,  Feature_List!$A$1:$AM$1,0),0)=BB13,".","NO"))</f>
        <v>.</v>
      </c>
      <c r="DK13" s="136"/>
      <c r="DL13" s="136"/>
      <c r="DM13" s="136"/>
      <c r="DN13" s="136" t="str">
        <f>IF($D13&lt;&gt;"Feature",".",
IF(VLOOKUP($B13,Feature_List!$A:$AM,MATCH(DN$1,  Feature_List!$A$1:$AM$1,0),0)=BC13,".","NO"))</f>
        <v>.</v>
      </c>
      <c r="DO13" s="136" t="str">
        <f>IF($D13&lt;&gt;"Feature",".",
IF(VLOOKUP($B13,Feature_List!$A:$AM,MATCH(DO$1,  Feature_List!$A$1:$AM$1,0),0)=BD13,".","NO"))</f>
        <v>.</v>
      </c>
    </row>
    <row r="14" spans="1:119" x14ac:dyDescent="0.3">
      <c r="A14" s="142" t="str">
        <f>"PI "&amp;TEXT(VALUE(MID(A10,4,2)-1),"00")</f>
        <v>PI 11</v>
      </c>
      <c r="B14" s="121">
        <v>376270</v>
      </c>
      <c r="C14" s="122" t="s">
        <v>604</v>
      </c>
      <c r="D14" s="122" t="s">
        <v>71</v>
      </c>
      <c r="E14" s="122" t="s">
        <v>680</v>
      </c>
      <c r="F14" s="138" t="s">
        <v>661</v>
      </c>
      <c r="G14" s="123" t="s">
        <v>661</v>
      </c>
      <c r="H14" s="122" t="s">
        <v>70</v>
      </c>
      <c r="I14" s="124" t="s">
        <v>562</v>
      </c>
      <c r="J14" s="138"/>
      <c r="K14" s="123">
        <v>3</v>
      </c>
      <c r="L14" s="122"/>
      <c r="M14" s="122" t="s">
        <v>362</v>
      </c>
      <c r="N14" s="122"/>
      <c r="O14" s="123">
        <f t="shared" si="0"/>
        <v>3</v>
      </c>
      <c r="P14" s="123" t="str">
        <f t="shared" si="1"/>
        <v>New</v>
      </c>
      <c r="Q14" s="122" t="str">
        <f t="shared" si="24"/>
        <v>Story</v>
      </c>
      <c r="R14" s="126">
        <f t="shared" si="2"/>
        <v>318430</v>
      </c>
      <c r="S14" s="127">
        <f t="shared" si="3"/>
        <v>376270</v>
      </c>
      <c r="T14" s="128" t="e">
        <f>IF($Q14="ZeroEntry", "",VLOOKUP($I14,'Ranking Lookup'!#REF!,2,FALSE))</f>
        <v>#REF!</v>
      </c>
      <c r="U14" s="129" t="str">
        <f t="shared" si="4"/>
        <v/>
      </c>
      <c r="V14" s="129" t="str">
        <f t="shared" si="5"/>
        <v/>
      </c>
      <c r="W14" s="129" t="str">
        <f t="shared" si="6"/>
        <v/>
      </c>
      <c r="X14" s="129" t="str">
        <f t="shared" si="7"/>
        <v/>
      </c>
      <c r="Y14" s="129" t="str">
        <f t="shared" si="8"/>
        <v>Feature</v>
      </c>
      <c r="Z14" s="129" t="str">
        <f t="shared" si="9"/>
        <v/>
      </c>
      <c r="AA14" s="130"/>
      <c r="AB14" s="130" t="str">
        <f t="shared" si="10"/>
        <v>PI 12</v>
      </c>
      <c r="AC14" s="131">
        <f t="shared" si="25"/>
        <v>3</v>
      </c>
      <c r="AD14" s="131">
        <f t="shared" si="26"/>
        <v>0</v>
      </c>
      <c r="AE14" s="132">
        <f t="shared" si="11"/>
        <v>0</v>
      </c>
      <c r="AF14" s="133" t="str">
        <f t="shared" si="27"/>
        <v/>
      </c>
      <c r="AG14" s="134">
        <f t="shared" si="12"/>
        <v>0</v>
      </c>
      <c r="AH14" s="54" t="str">
        <f t="shared" si="13"/>
        <v/>
      </c>
      <c r="AI14" s="54" t="e">
        <f t="shared" si="14"/>
        <v>#REF!</v>
      </c>
      <c r="AJ14" s="54" t="e">
        <f t="shared" si="14"/>
        <v>#REF!</v>
      </c>
      <c r="AK14" s="54" t="e">
        <f t="shared" si="14"/>
        <v>#REF!</v>
      </c>
      <c r="AL14" s="54" t="e">
        <f t="shared" si="14"/>
        <v>#REF!</v>
      </c>
      <c r="AM14" s="54" t="e">
        <f t="shared" si="14"/>
        <v>#REF!</v>
      </c>
      <c r="AN14" s="54" t="e">
        <f t="shared" si="14"/>
        <v>#REF!</v>
      </c>
      <c r="AO14" s="54" t="e">
        <f t="shared" si="14"/>
        <v>#REF!</v>
      </c>
      <c r="AP14" s="54" t="e">
        <f t="shared" si="14"/>
        <v>#REF!</v>
      </c>
      <c r="AQ14" s="54" t="e">
        <f t="shared" si="14"/>
        <v>#REF!</v>
      </c>
      <c r="AR14" s="54" t="e">
        <f t="shared" si="14"/>
        <v>#REF!</v>
      </c>
      <c r="AS14" s="54" t="e">
        <f t="shared" si="14"/>
        <v>#REF!</v>
      </c>
      <c r="AT14" s="54" t="e">
        <f t="shared" si="14"/>
        <v>#REF!</v>
      </c>
      <c r="AU14" s="54" t="e">
        <f t="shared" si="14"/>
        <v>#REF!</v>
      </c>
      <c r="AV14" s="54" t="e">
        <f t="shared" si="14"/>
        <v>#REF!</v>
      </c>
      <c r="AW14" s="54" t="e">
        <f t="shared" si="14"/>
        <v>#REF!</v>
      </c>
      <c r="AX14" s="54" t="e">
        <f t="shared" si="14"/>
        <v>#REF!</v>
      </c>
      <c r="AY14" s="54" t="e">
        <f t="shared" si="15"/>
        <v>#REF!</v>
      </c>
      <c r="AZ14" s="54" t="str">
        <f t="shared" si="16"/>
        <v/>
      </c>
      <c r="BA14" s="54" t="e">
        <f t="shared" si="17"/>
        <v>#REF!</v>
      </c>
      <c r="BB14" s="135" t="str">
        <f t="shared" si="18"/>
        <v/>
      </c>
      <c r="BC14" s="54" t="e">
        <f t="shared" si="19"/>
        <v>#REF!</v>
      </c>
      <c r="BD14" s="54" t="e">
        <f t="shared" si="19"/>
        <v>#REF!</v>
      </c>
      <c r="BE14" s="54" t="e">
        <f t="shared" si="19"/>
        <v>#REF!</v>
      </c>
      <c r="BF14" s="54" t="str">
        <f t="shared" si="20"/>
        <v/>
      </c>
      <c r="BG14" s="54" t="str">
        <f t="shared" si="21"/>
        <v/>
      </c>
      <c r="BH14" s="34" t="e">
        <f t="shared" si="22"/>
        <v>#REF!</v>
      </c>
      <c r="BI14" s="34" t="e">
        <f t="shared" si="23"/>
        <v>#REF!</v>
      </c>
      <c r="BJ14" s="136" t="str">
        <f>IF($D14&lt;&gt;"Feature",".",
IF(VLOOKUP($B14,Feature_List!$A:$AM,MATCH(BJ$1,  Feature_List!$A$1:$AM$1,0),0)=B14,".","NO"))</f>
        <v>.</v>
      </c>
      <c r="BK14" s="136"/>
      <c r="BL14" s="136"/>
      <c r="BM14" s="136" t="str">
        <f>IF($D14&lt;&gt;"Feature",".",
IF(VLOOKUP($B14,Feature_List!$A:$AM,MATCH(BM$1,  Feature_List!$A$1:$AM$1,0),0)=E14,".","NO"))</f>
        <v>.</v>
      </c>
      <c r="BN14" s="136" t="str">
        <f>IF($D14&lt;&gt;"Feature",".",
IF(VLOOKUP($B14,Feature_List!$A:$AM,MATCH(BN$1,  Feature_List!$A$1:$AM$1,0),0)=F14,".","NO"))</f>
        <v>.</v>
      </c>
      <c r="BO14" s="136" t="str">
        <f>IF($D14&lt;&gt;"Feature",".",
IF(VLOOKUP($B14,Feature_List!$A:$AM,MATCH(BO$1,  Feature_List!$A$1:$AM$1,0),0)=G14,".","NO"))</f>
        <v>.</v>
      </c>
      <c r="BP14" s="136" t="str">
        <f>IF($D14&lt;&gt;"Feature",".",
IF(VLOOKUP($B14,Feature_List!$A:$AM,MATCH(BP$1,  Feature_List!$A$1:$AM$1,0),0)=H14,".","NO"))</f>
        <v>.</v>
      </c>
      <c r="BQ14" s="136"/>
      <c r="BR14" s="136" t="str">
        <f>IF($D14&lt;&gt;"Feature",".",
IF(VLOOKUP($B14,Feature_List!$A:$AM,MATCH(BR$1,  Feature_List!$A$1:$AM$1,0),0)=J14,".","NO"))</f>
        <v>.</v>
      </c>
      <c r="BS14" s="136"/>
      <c r="BT14" s="136"/>
      <c r="BU14" s="136" t="str">
        <f>IF($D14&lt;&gt;"Feature",".",
IF(VLOOKUP($B14,Feature_List!$A:$AM,MATCH(BU$1,  Feature_List!$A$1:$AM$1,0),0)=M14,".","NO"))</f>
        <v>.</v>
      </c>
      <c r="BV14" s="136" t="str">
        <f>IF($D14&lt;&gt;"Feature",".",
IF(VLOOKUP($B14,Feature_List!$A:$AM,MATCH(BV$1,  Feature_List!$A$1:$AM$1,0),0)=N14,".","NO"))</f>
        <v>.</v>
      </c>
      <c r="BW14" s="136"/>
      <c r="BX14" s="136"/>
      <c r="BY14" s="136"/>
      <c r="BZ14" s="136"/>
      <c r="CA14" s="136"/>
      <c r="CB14" s="136" t="str">
        <f>IF($D14&lt;&gt;"Feature",".",
IF(VLOOKUP($B14,Feature_List!$A:$AM,MATCH(CB$1,  Feature_List!$A$1:$AM$1,0),0)=T14,".","NO"))</f>
        <v>.</v>
      </c>
      <c r="CC14" s="136"/>
      <c r="CD14" s="136"/>
      <c r="CE14" s="136"/>
      <c r="CF14" s="136"/>
      <c r="CG14" s="136"/>
      <c r="CH14" s="136"/>
      <c r="CI14" s="136"/>
      <c r="CJ14" s="136"/>
      <c r="CK14" s="136"/>
      <c r="CL14" s="136"/>
      <c r="CM14" s="136"/>
      <c r="CN14" s="136"/>
      <c r="CO14" s="136" t="str">
        <f>IF($D14&lt;&gt;"Feature",".",
IF(VLOOKUP($B14,Feature_List!$A:$AM,MATCH(CO$1,  Feature_List!$A$1:$AM$1,0),0)=AG14,".","NO"))</f>
        <v>.</v>
      </c>
      <c r="CP14" s="136" t="str">
        <f>IF($D14&lt;&gt;"Feature",".",
IF(VLOOKUP($B14,Feature_List!$A:$AM,MATCH(CP$1,  Feature_List!$A$1:$AM$1,0),0)=AH14,".","NO"))</f>
        <v>.</v>
      </c>
      <c r="CQ14" s="136" t="str">
        <f>IF($D14&lt;&gt;"Feature",".",
IF(VLOOKUP($B14,Feature_List!$A:$AM,MATCH(CQ$1,  Feature_List!$A$1:$AM$1,0),0)=AI14,".","NO"))</f>
        <v>.</v>
      </c>
      <c r="CR14" s="136" t="str">
        <f>IF($D14&lt;&gt;"Feature",".",
IF(VLOOKUP($B14,Feature_List!$A:$AM,MATCH(CR$1,  Feature_List!$A$1:$AM$1,0),0)=AJ14,".","NO"))</f>
        <v>.</v>
      </c>
      <c r="CS14" s="136" t="str">
        <f>IF($D14&lt;&gt;"Feature",".",
IF(VLOOKUP($B14,Feature_List!$A:$AM,MATCH(CS$1,  Feature_List!$A$1:$AM$1,0),0)=AK14,".","NO"))</f>
        <v>.</v>
      </c>
      <c r="CT14" s="136" t="str">
        <f>IF($D14&lt;&gt;"Feature",".",
IF(VLOOKUP($B14,Feature_List!$A:$AM,MATCH(CT$1,  Feature_List!$A$1:$AM$1,0),0)=AL14,".","NO"))</f>
        <v>.</v>
      </c>
      <c r="CU14" s="136" t="str">
        <f>IF($D14&lt;&gt;"Feature",".",
IF(VLOOKUP($B14,Feature_List!$A:$AM,MATCH(CU$1,  Feature_List!$A$1:$AM$1,0),0)=AM14,".","NO"))</f>
        <v>.</v>
      </c>
      <c r="CV14" s="136" t="str">
        <f>IF($D14&lt;&gt;"Feature",".",
IF(VLOOKUP($B14,Feature_List!$A:$AM,MATCH(CV$1,  Feature_List!$A$1:$AM$1,0),0)=AN14,".","NO"))</f>
        <v>.</v>
      </c>
      <c r="CW14" s="136" t="str">
        <f>IF($D14&lt;&gt;"Feature",".",
IF(VLOOKUP($B14,Feature_List!$A:$AM,MATCH(CW$1,  Feature_List!$A$1:$AM$1,0),0)=AO14,".","NO"))</f>
        <v>.</v>
      </c>
      <c r="CX14" s="136" t="str">
        <f>IF($D14&lt;&gt;"Feature",".",
IF(VLOOKUP($B14,Feature_List!$A:$AM,MATCH(CX$1,  Feature_List!$A$1:$AM$1,0),0)=AP14,".","NO"))</f>
        <v>.</v>
      </c>
      <c r="CY14" s="136" t="str">
        <f>IF($D14&lt;&gt;"Feature",".",
IF(VLOOKUP($B14,Feature_List!$A:$AM,MATCH(CY$1,  Feature_List!$A$1:$AM$1,0),0)=AQ14,".","NO"))</f>
        <v>.</v>
      </c>
      <c r="CZ14" s="136" t="str">
        <f>IF($D14&lt;&gt;"Feature",".",
IF(VLOOKUP($B14,Feature_List!$A:$AM,MATCH(CZ$1,  Feature_List!$A$1:$AM$1,0),0)=AR14,".","NO"))</f>
        <v>.</v>
      </c>
      <c r="DA14" s="136" t="str">
        <f>IF($D14&lt;&gt;"Feature",".",
IF(VLOOKUP($B14,Feature_List!$A:$AM,MATCH(DA$1,  Feature_List!$A$1:$AM$1,0),0)=AS14,".","NO"))</f>
        <v>.</v>
      </c>
      <c r="DB14" s="136" t="str">
        <f>IF($D14&lt;&gt;"Feature",".",
IF(VLOOKUP($B14,Feature_List!$A:$AM,MATCH(DB$1,  Feature_List!$A$1:$AM$1,0),0)=AT14,".","NO"))</f>
        <v>.</v>
      </c>
      <c r="DC14" s="136" t="str">
        <f>IF($D14&lt;&gt;"Feature",".",
IF(VLOOKUP($B14,Feature_List!$A:$AM,MATCH(DC$1,  Feature_List!$A$1:$AM$1,0),0)=AU14,".","NO"))</f>
        <v>.</v>
      </c>
      <c r="DD14" s="136" t="str">
        <f>IF($D14&lt;&gt;"Feature",".",
IF(VLOOKUP($B14,Feature_List!$A:$AM,MATCH(DD$1,  Feature_List!$A$1:$AM$1,0),0)=AV14,".","NO"))</f>
        <v>.</v>
      </c>
      <c r="DE14" s="136" t="str">
        <f>IF($D14&lt;&gt;"Feature",".",
IF(VLOOKUP($B14,Feature_List!$A:$AM,MATCH(DE$1,  Feature_List!$A$1:$AM$1,0),0)=AW14,".","NO"))</f>
        <v>.</v>
      </c>
      <c r="DF14" s="136" t="str">
        <f>IF($D14&lt;&gt;"Feature",".",
IF(VLOOKUP($B14,Feature_List!$A:$AM,MATCH(DF$1,  Feature_List!$A$1:$AM$1,0),0)=AX14,".","NO"))</f>
        <v>.</v>
      </c>
      <c r="DG14" s="136" t="str">
        <f>IF($D14&lt;&gt;"Feature",".",
IF(VLOOKUP($B14,Feature_List!$A:$AM,MATCH(DG$1,  Feature_List!$A$1:$AM$1,0),0)=AY14,".","NO"))</f>
        <v>.</v>
      </c>
      <c r="DH14" s="136" t="str">
        <f>IF($D14&lt;&gt;"Feature",".",
IF(VLOOKUP($B14,Feature_List!$A:$AM,MATCH(DH$1,  Feature_List!$A$1:$AM$1,0),0)=AZ14,".","NO"))</f>
        <v>.</v>
      </c>
      <c r="DI14" s="136" t="str">
        <f>IF($D14&lt;&gt;"Feature",".",
IF(VLOOKUP($B14,Feature_List!$A:$AM,MATCH(DI$1,  Feature_List!$A$1:$AM$1,0),0)=BA14,".","NO"))</f>
        <v>.</v>
      </c>
      <c r="DJ14" s="136" t="str">
        <f>IF($D14&lt;&gt;"Feature",".",
IF(VLOOKUP($B14,Feature_List!$A:$AM,MATCH(DJ$1,  Feature_List!$A$1:$AM$1,0),0)=BB14,".","NO"))</f>
        <v>.</v>
      </c>
      <c r="DK14" s="136"/>
      <c r="DL14" s="136"/>
      <c r="DM14" s="136"/>
      <c r="DN14" s="136" t="str">
        <f>IF($D14&lt;&gt;"Feature",".",
IF(VLOOKUP($B14,Feature_List!$A:$AM,MATCH(DN$1,  Feature_List!$A$1:$AM$1,0),0)=BC14,".","NO"))</f>
        <v>.</v>
      </c>
      <c r="DO14" s="136" t="str">
        <f>IF($D14&lt;&gt;"Feature",".",
IF(VLOOKUP($B14,Feature_List!$A:$AM,MATCH(DO$1,  Feature_List!$A$1:$AM$1,0),0)=BD14,".","NO"))</f>
        <v>.</v>
      </c>
    </row>
    <row r="15" spans="1:119" ht="21" x14ac:dyDescent="0.4">
      <c r="A15" s="143" t="str">
        <f>IF($B$345="","","Danger, ")</f>
        <v/>
      </c>
      <c r="B15" s="121">
        <v>376268</v>
      </c>
      <c r="C15" s="123" t="s">
        <v>604</v>
      </c>
      <c r="D15" s="122" t="s">
        <v>71</v>
      </c>
      <c r="E15" s="122" t="s">
        <v>681</v>
      </c>
      <c r="F15" s="138" t="s">
        <v>641</v>
      </c>
      <c r="G15" s="123" t="s">
        <v>641</v>
      </c>
      <c r="H15" s="122" t="s">
        <v>70</v>
      </c>
      <c r="I15" s="124" t="s">
        <v>562</v>
      </c>
      <c r="J15" s="138"/>
      <c r="K15" s="123">
        <v>8</v>
      </c>
      <c r="L15" s="122"/>
      <c r="M15" s="122" t="s">
        <v>362</v>
      </c>
      <c r="N15" s="125"/>
      <c r="O15" s="123">
        <f t="shared" si="0"/>
        <v>8</v>
      </c>
      <c r="P15" s="123" t="str">
        <f t="shared" si="1"/>
        <v>New</v>
      </c>
      <c r="Q15" s="122" t="str">
        <f t="shared" si="24"/>
        <v>Story</v>
      </c>
      <c r="R15" s="126">
        <f t="shared" si="2"/>
        <v>318430</v>
      </c>
      <c r="S15" s="127">
        <f t="shared" si="3"/>
        <v>376268</v>
      </c>
      <c r="T15" s="128" t="e">
        <f>IF($Q15="ZeroEntry", "",VLOOKUP($I15,'Ranking Lookup'!#REF!,2,FALSE))</f>
        <v>#REF!</v>
      </c>
      <c r="U15" s="129" t="str">
        <f t="shared" si="4"/>
        <v/>
      </c>
      <c r="V15" s="129" t="str">
        <f t="shared" si="5"/>
        <v/>
      </c>
      <c r="W15" s="129" t="str">
        <f t="shared" si="6"/>
        <v/>
      </c>
      <c r="X15" s="129" t="str">
        <f t="shared" si="7"/>
        <v/>
      </c>
      <c r="Y15" s="129" t="str">
        <f t="shared" si="8"/>
        <v>Feature</v>
      </c>
      <c r="Z15" s="129" t="str">
        <f t="shared" si="9"/>
        <v/>
      </c>
      <c r="AA15" s="130"/>
      <c r="AB15" s="130" t="str">
        <f t="shared" si="10"/>
        <v>PI 12</v>
      </c>
      <c r="AC15" s="131">
        <f t="shared" si="25"/>
        <v>8</v>
      </c>
      <c r="AD15" s="131">
        <f t="shared" si="26"/>
        <v>0</v>
      </c>
      <c r="AE15" s="132">
        <f t="shared" si="11"/>
        <v>0</v>
      </c>
      <c r="AF15" s="133" t="str">
        <f t="shared" si="27"/>
        <v/>
      </c>
      <c r="AG15" s="134">
        <f t="shared" si="12"/>
        <v>0</v>
      </c>
      <c r="AH15" s="54" t="str">
        <f t="shared" si="13"/>
        <v/>
      </c>
      <c r="AI15" s="54" t="e">
        <f t="shared" si="14"/>
        <v>#REF!</v>
      </c>
      <c r="AJ15" s="54" t="e">
        <f t="shared" si="14"/>
        <v>#REF!</v>
      </c>
      <c r="AK15" s="54" t="e">
        <f t="shared" si="14"/>
        <v>#REF!</v>
      </c>
      <c r="AL15" s="54" t="e">
        <f t="shared" si="14"/>
        <v>#REF!</v>
      </c>
      <c r="AM15" s="54" t="e">
        <f t="shared" si="14"/>
        <v>#REF!</v>
      </c>
      <c r="AN15" s="54" t="e">
        <f t="shared" si="14"/>
        <v>#REF!</v>
      </c>
      <c r="AO15" s="54" t="e">
        <f t="shared" si="14"/>
        <v>#REF!</v>
      </c>
      <c r="AP15" s="54" t="e">
        <f t="shared" si="14"/>
        <v>#REF!</v>
      </c>
      <c r="AQ15" s="54" t="e">
        <f t="shared" si="14"/>
        <v>#REF!</v>
      </c>
      <c r="AR15" s="54" t="e">
        <f t="shared" si="14"/>
        <v>#REF!</v>
      </c>
      <c r="AS15" s="54" t="e">
        <f t="shared" si="14"/>
        <v>#REF!</v>
      </c>
      <c r="AT15" s="54" t="e">
        <f t="shared" si="14"/>
        <v>#REF!</v>
      </c>
      <c r="AU15" s="54" t="e">
        <f t="shared" si="14"/>
        <v>#REF!</v>
      </c>
      <c r="AV15" s="54" t="e">
        <f t="shared" si="14"/>
        <v>#REF!</v>
      </c>
      <c r="AW15" s="54" t="e">
        <f t="shared" si="14"/>
        <v>#REF!</v>
      </c>
      <c r="AX15" s="54" t="e">
        <f t="shared" si="14"/>
        <v>#REF!</v>
      </c>
      <c r="AY15" s="54" t="e">
        <f t="shared" si="15"/>
        <v>#REF!</v>
      </c>
      <c r="AZ15" s="54" t="str">
        <f t="shared" si="16"/>
        <v/>
      </c>
      <c r="BA15" s="54" t="e">
        <f t="shared" si="17"/>
        <v>#REF!</v>
      </c>
      <c r="BB15" s="135" t="str">
        <f t="shared" si="18"/>
        <v/>
      </c>
      <c r="BC15" s="54" t="e">
        <f t="shared" si="19"/>
        <v>#REF!</v>
      </c>
      <c r="BD15" s="54" t="e">
        <f t="shared" si="19"/>
        <v>#REF!</v>
      </c>
      <c r="BE15" s="54" t="e">
        <f t="shared" si="19"/>
        <v>#REF!</v>
      </c>
      <c r="BF15" s="54" t="str">
        <f t="shared" si="20"/>
        <v/>
      </c>
      <c r="BG15" s="54" t="str">
        <f t="shared" si="21"/>
        <v/>
      </c>
      <c r="BH15" s="34" t="e">
        <f t="shared" si="22"/>
        <v>#REF!</v>
      </c>
      <c r="BI15" s="34" t="e">
        <f t="shared" si="23"/>
        <v>#REF!</v>
      </c>
      <c r="BJ15" s="136" t="str">
        <f>IF($D15&lt;&gt;"Feature",".",
IF(VLOOKUP($B15,Feature_List!$A:$AM,MATCH(BJ$1,  Feature_List!$A$1:$AM$1,0),0)=B15,".","NO"))</f>
        <v>.</v>
      </c>
      <c r="BK15" s="136"/>
      <c r="BL15" s="136"/>
      <c r="BM15" s="136" t="str">
        <f>IF($D15&lt;&gt;"Feature",".",
IF(VLOOKUP($B15,Feature_List!$A:$AM,MATCH(BM$1,  Feature_List!$A$1:$AM$1,0),0)=E15,".","NO"))</f>
        <v>.</v>
      </c>
      <c r="BN15" s="136" t="str">
        <f>IF($D15&lt;&gt;"Feature",".",
IF(VLOOKUP($B15,Feature_List!$A:$AM,MATCH(BN$1,  Feature_List!$A$1:$AM$1,0),0)=F15,".","NO"))</f>
        <v>.</v>
      </c>
      <c r="BO15" s="136" t="str">
        <f>IF($D15&lt;&gt;"Feature",".",
IF(VLOOKUP($B15,Feature_List!$A:$AM,MATCH(BO$1,  Feature_List!$A$1:$AM$1,0),0)=G15,".","NO"))</f>
        <v>.</v>
      </c>
      <c r="BP15" s="136" t="str">
        <f>IF($D15&lt;&gt;"Feature",".",
IF(VLOOKUP($B15,Feature_List!$A:$AM,MATCH(BP$1,  Feature_List!$A$1:$AM$1,0),0)=H15,".","NO"))</f>
        <v>.</v>
      </c>
      <c r="BQ15" s="136"/>
      <c r="BR15" s="136" t="str">
        <f>IF($D15&lt;&gt;"Feature",".",
IF(VLOOKUP($B15,Feature_List!$A:$AM,MATCH(BR$1,  Feature_List!$A$1:$AM$1,0),0)=J15,".","NO"))</f>
        <v>.</v>
      </c>
      <c r="BS15" s="136"/>
      <c r="BT15" s="136"/>
      <c r="BU15" s="136" t="str">
        <f>IF($D15&lt;&gt;"Feature",".",
IF(VLOOKUP($B15,Feature_List!$A:$AM,MATCH(BU$1,  Feature_List!$A$1:$AM$1,0),0)=M15,".","NO"))</f>
        <v>.</v>
      </c>
      <c r="BV15" s="136" t="str">
        <f>IF($D15&lt;&gt;"Feature",".",
IF(VLOOKUP($B15,Feature_List!$A:$AM,MATCH(BV$1,  Feature_List!$A$1:$AM$1,0),0)=N15,".","NO"))</f>
        <v>.</v>
      </c>
      <c r="BW15" s="136"/>
      <c r="BX15" s="136"/>
      <c r="BY15" s="136"/>
      <c r="BZ15" s="136"/>
      <c r="CA15" s="136"/>
      <c r="CB15" s="136" t="str">
        <f>IF($D15&lt;&gt;"Feature",".",
IF(VLOOKUP($B15,Feature_List!$A:$AM,MATCH(CB$1,  Feature_List!$A$1:$AM$1,0),0)=T15,".","NO"))</f>
        <v>.</v>
      </c>
      <c r="CC15" s="136"/>
      <c r="CD15" s="136"/>
      <c r="CE15" s="136"/>
      <c r="CF15" s="136"/>
      <c r="CG15" s="136"/>
      <c r="CH15" s="136"/>
      <c r="CI15" s="136"/>
      <c r="CJ15" s="136"/>
      <c r="CK15" s="136"/>
      <c r="CL15" s="136"/>
      <c r="CM15" s="136"/>
      <c r="CN15" s="136"/>
      <c r="CO15" s="136" t="str">
        <f>IF($D15&lt;&gt;"Feature",".",
IF(VLOOKUP($B15,Feature_List!$A:$AM,MATCH(CO$1,  Feature_List!$A$1:$AM$1,0),0)=AG15,".","NO"))</f>
        <v>.</v>
      </c>
      <c r="CP15" s="136" t="str">
        <f>IF($D15&lt;&gt;"Feature",".",
IF(VLOOKUP($B15,Feature_List!$A:$AM,MATCH(CP$1,  Feature_List!$A$1:$AM$1,0),0)=AH15,".","NO"))</f>
        <v>.</v>
      </c>
      <c r="CQ15" s="136" t="str">
        <f>IF($D15&lt;&gt;"Feature",".",
IF(VLOOKUP($B15,Feature_List!$A:$AM,MATCH(CQ$1,  Feature_List!$A$1:$AM$1,0),0)=AI15,".","NO"))</f>
        <v>.</v>
      </c>
      <c r="CR15" s="136" t="str">
        <f>IF($D15&lt;&gt;"Feature",".",
IF(VLOOKUP($B15,Feature_List!$A:$AM,MATCH(CR$1,  Feature_List!$A$1:$AM$1,0),0)=AJ15,".","NO"))</f>
        <v>.</v>
      </c>
      <c r="CS15" s="136" t="str">
        <f>IF($D15&lt;&gt;"Feature",".",
IF(VLOOKUP($B15,Feature_List!$A:$AM,MATCH(CS$1,  Feature_List!$A$1:$AM$1,0),0)=AK15,".","NO"))</f>
        <v>.</v>
      </c>
      <c r="CT15" s="136" t="str">
        <f>IF($D15&lt;&gt;"Feature",".",
IF(VLOOKUP($B15,Feature_List!$A:$AM,MATCH(CT$1,  Feature_List!$A$1:$AM$1,0),0)=AL15,".","NO"))</f>
        <v>.</v>
      </c>
      <c r="CU15" s="136" t="str">
        <f>IF($D15&lt;&gt;"Feature",".",
IF(VLOOKUP($B15,Feature_List!$A:$AM,MATCH(CU$1,  Feature_List!$A$1:$AM$1,0),0)=AM15,".","NO"))</f>
        <v>.</v>
      </c>
      <c r="CV15" s="136" t="str">
        <f>IF($D15&lt;&gt;"Feature",".",
IF(VLOOKUP($B15,Feature_List!$A:$AM,MATCH(CV$1,  Feature_List!$A$1:$AM$1,0),0)=AN15,".","NO"))</f>
        <v>.</v>
      </c>
      <c r="CW15" s="136" t="str">
        <f>IF($D15&lt;&gt;"Feature",".",
IF(VLOOKUP($B15,Feature_List!$A:$AM,MATCH(CW$1,  Feature_List!$A$1:$AM$1,0),0)=AO15,".","NO"))</f>
        <v>.</v>
      </c>
      <c r="CX15" s="136" t="str">
        <f>IF($D15&lt;&gt;"Feature",".",
IF(VLOOKUP($B15,Feature_List!$A:$AM,MATCH(CX$1,  Feature_List!$A$1:$AM$1,0),0)=AP15,".","NO"))</f>
        <v>.</v>
      </c>
      <c r="CY15" s="136" t="str">
        <f>IF($D15&lt;&gt;"Feature",".",
IF(VLOOKUP($B15,Feature_List!$A:$AM,MATCH(CY$1,  Feature_List!$A$1:$AM$1,0),0)=AQ15,".","NO"))</f>
        <v>.</v>
      </c>
      <c r="CZ15" s="136" t="str">
        <f>IF($D15&lt;&gt;"Feature",".",
IF(VLOOKUP($B15,Feature_List!$A:$AM,MATCH(CZ$1,  Feature_List!$A$1:$AM$1,0),0)=AR15,".","NO"))</f>
        <v>.</v>
      </c>
      <c r="DA15" s="136" t="str">
        <f>IF($D15&lt;&gt;"Feature",".",
IF(VLOOKUP($B15,Feature_List!$A:$AM,MATCH(DA$1,  Feature_List!$A$1:$AM$1,0),0)=AS15,".","NO"))</f>
        <v>.</v>
      </c>
      <c r="DB15" s="136" t="str">
        <f>IF($D15&lt;&gt;"Feature",".",
IF(VLOOKUP($B15,Feature_List!$A:$AM,MATCH(DB$1,  Feature_List!$A$1:$AM$1,0),0)=AT15,".","NO"))</f>
        <v>.</v>
      </c>
      <c r="DC15" s="136" t="str">
        <f>IF($D15&lt;&gt;"Feature",".",
IF(VLOOKUP($B15,Feature_List!$A:$AM,MATCH(DC$1,  Feature_List!$A$1:$AM$1,0),0)=AU15,".","NO"))</f>
        <v>.</v>
      </c>
      <c r="DD15" s="136" t="str">
        <f>IF($D15&lt;&gt;"Feature",".",
IF(VLOOKUP($B15,Feature_List!$A:$AM,MATCH(DD$1,  Feature_List!$A$1:$AM$1,0),0)=AV15,".","NO"))</f>
        <v>.</v>
      </c>
      <c r="DE15" s="136" t="str">
        <f>IF($D15&lt;&gt;"Feature",".",
IF(VLOOKUP($B15,Feature_List!$A:$AM,MATCH(DE$1,  Feature_List!$A$1:$AM$1,0),0)=AW15,".","NO"))</f>
        <v>.</v>
      </c>
      <c r="DF15" s="136" t="str">
        <f>IF($D15&lt;&gt;"Feature",".",
IF(VLOOKUP($B15,Feature_List!$A:$AM,MATCH(DF$1,  Feature_List!$A$1:$AM$1,0),0)=AX15,".","NO"))</f>
        <v>.</v>
      </c>
      <c r="DG15" s="136" t="str">
        <f>IF($D15&lt;&gt;"Feature",".",
IF(VLOOKUP($B15,Feature_List!$A:$AM,MATCH(DG$1,  Feature_List!$A$1:$AM$1,0),0)=AY15,".","NO"))</f>
        <v>.</v>
      </c>
      <c r="DH15" s="136" t="str">
        <f>IF($D15&lt;&gt;"Feature",".",
IF(VLOOKUP($B15,Feature_List!$A:$AM,MATCH(DH$1,  Feature_List!$A$1:$AM$1,0),0)=AZ15,".","NO"))</f>
        <v>.</v>
      </c>
      <c r="DI15" s="136" t="str">
        <f>IF($D15&lt;&gt;"Feature",".",
IF(VLOOKUP($B15,Feature_List!$A:$AM,MATCH(DI$1,  Feature_List!$A$1:$AM$1,0),0)=BA15,".","NO"))</f>
        <v>.</v>
      </c>
      <c r="DJ15" s="136" t="str">
        <f>IF($D15&lt;&gt;"Feature",".",
IF(VLOOKUP($B15,Feature_List!$A:$AM,MATCH(DJ$1,  Feature_List!$A$1:$AM$1,0),0)=BB15,".","NO"))</f>
        <v>.</v>
      </c>
      <c r="DK15" s="136"/>
      <c r="DL15" s="136"/>
      <c r="DM15" s="136"/>
      <c r="DN15" s="136" t="str">
        <f>IF($D15&lt;&gt;"Feature",".",
IF(VLOOKUP($B15,Feature_List!$A:$AM,MATCH(DN$1,  Feature_List!$A$1:$AM$1,0),0)=BC15,".","NO"))</f>
        <v>.</v>
      </c>
      <c r="DO15" s="136" t="str">
        <f>IF($D15&lt;&gt;"Feature",".",
IF(VLOOKUP($B15,Feature_List!$A:$AM,MATCH(DO$1,  Feature_List!$A$1:$AM$1,0),0)=BD15,".","NO"))</f>
        <v>.</v>
      </c>
    </row>
    <row r="16" spans="1:119" ht="21" x14ac:dyDescent="0.4">
      <c r="A16" s="143" t="str">
        <f>IF($B$345="","","Data exceeds Formulas")</f>
        <v/>
      </c>
      <c r="B16" s="121">
        <v>376259</v>
      </c>
      <c r="C16" s="122" t="s">
        <v>604</v>
      </c>
      <c r="D16" s="122" t="s">
        <v>71</v>
      </c>
      <c r="E16" s="122" t="s">
        <v>682</v>
      </c>
      <c r="F16" s="138"/>
      <c r="G16" s="123" t="s">
        <v>104</v>
      </c>
      <c r="H16" s="122" t="s">
        <v>683</v>
      </c>
      <c r="I16" s="124" t="s">
        <v>562</v>
      </c>
      <c r="J16" s="138"/>
      <c r="K16" s="123">
        <v>0</v>
      </c>
      <c r="L16" s="122"/>
      <c r="M16" s="122" t="s">
        <v>104</v>
      </c>
      <c r="N16" s="125"/>
      <c r="O16" s="123">
        <f t="shared" si="0"/>
        <v>0</v>
      </c>
      <c r="P16" s="123" t="str">
        <f t="shared" si="1"/>
        <v>Invalid</v>
      </c>
      <c r="Q16" s="122" t="str">
        <f t="shared" si="24"/>
        <v>Story</v>
      </c>
      <c r="R16" s="126">
        <f t="shared" si="2"/>
        <v>318430</v>
      </c>
      <c r="S16" s="127">
        <f t="shared" si="3"/>
        <v>376259</v>
      </c>
      <c r="T16" s="128" t="e">
        <f>IF($Q16="ZeroEntry", "",VLOOKUP($I16,'Ranking Lookup'!#REF!,2,FALSE))</f>
        <v>#REF!</v>
      </c>
      <c r="U16" s="129" t="str">
        <f t="shared" si="4"/>
        <v/>
      </c>
      <c r="V16" s="129" t="str">
        <f t="shared" si="5"/>
        <v/>
      </c>
      <c r="W16" s="129" t="str">
        <f t="shared" si="6"/>
        <v/>
      </c>
      <c r="X16" s="129" t="str">
        <f t="shared" si="7"/>
        <v/>
      </c>
      <c r="Y16" s="129" t="str">
        <f t="shared" si="8"/>
        <v>Feature</v>
      </c>
      <c r="Z16" s="129" t="str">
        <f t="shared" si="9"/>
        <v/>
      </c>
      <c r="AA16" s="130"/>
      <c r="AB16" s="130" t="str">
        <f t="shared" si="10"/>
        <v>Unassigned</v>
      </c>
      <c r="AC16" s="131">
        <f t="shared" si="25"/>
        <v>0</v>
      </c>
      <c r="AD16" s="131">
        <f t="shared" si="26"/>
        <v>0</v>
      </c>
      <c r="AE16" s="132">
        <f t="shared" si="11"/>
        <v>0</v>
      </c>
      <c r="AF16" s="133" t="str">
        <f t="shared" si="27"/>
        <v/>
      </c>
      <c r="AG16" s="134">
        <f t="shared" si="12"/>
        <v>0</v>
      </c>
      <c r="AH16" s="54" t="str">
        <f t="shared" si="13"/>
        <v/>
      </c>
      <c r="AI16" s="54" t="e">
        <f t="shared" si="14"/>
        <v>#REF!</v>
      </c>
      <c r="AJ16" s="54" t="e">
        <f t="shared" si="14"/>
        <v>#REF!</v>
      </c>
      <c r="AK16" s="54" t="e">
        <f t="shared" si="14"/>
        <v>#REF!</v>
      </c>
      <c r="AL16" s="54" t="e">
        <f t="shared" si="14"/>
        <v>#REF!</v>
      </c>
      <c r="AM16" s="54" t="e">
        <f t="shared" si="14"/>
        <v>#REF!</v>
      </c>
      <c r="AN16" s="54" t="e">
        <f t="shared" si="14"/>
        <v>#REF!</v>
      </c>
      <c r="AO16" s="54" t="e">
        <f t="shared" si="14"/>
        <v>#REF!</v>
      </c>
      <c r="AP16" s="54" t="e">
        <f t="shared" si="14"/>
        <v>#REF!</v>
      </c>
      <c r="AQ16" s="54" t="e">
        <f t="shared" si="14"/>
        <v>#REF!</v>
      </c>
      <c r="AR16" s="54" t="e">
        <f t="shared" si="14"/>
        <v>#REF!</v>
      </c>
      <c r="AS16" s="54" t="e">
        <f t="shared" si="14"/>
        <v>#REF!</v>
      </c>
      <c r="AT16" s="54" t="e">
        <f t="shared" si="14"/>
        <v>#REF!</v>
      </c>
      <c r="AU16" s="54" t="e">
        <f t="shared" si="14"/>
        <v>#REF!</v>
      </c>
      <c r="AV16" s="54" t="e">
        <f t="shared" si="14"/>
        <v>#REF!</v>
      </c>
      <c r="AW16" s="54" t="e">
        <f t="shared" si="14"/>
        <v>#REF!</v>
      </c>
      <c r="AX16" s="54" t="e">
        <f t="shared" si="14"/>
        <v>#REF!</v>
      </c>
      <c r="AY16" s="54" t="e">
        <f t="shared" si="15"/>
        <v>#REF!</v>
      </c>
      <c r="AZ16" s="54" t="str">
        <f t="shared" si="16"/>
        <v/>
      </c>
      <c r="BA16" s="54" t="e">
        <f t="shared" si="17"/>
        <v>#REF!</v>
      </c>
      <c r="BB16" s="135" t="str">
        <f t="shared" si="18"/>
        <v/>
      </c>
      <c r="BC16" s="54" t="e">
        <f t="shared" si="19"/>
        <v>#REF!</v>
      </c>
      <c r="BD16" s="54" t="e">
        <f t="shared" si="19"/>
        <v>#REF!</v>
      </c>
      <c r="BE16" s="54" t="e">
        <f t="shared" si="19"/>
        <v>#REF!</v>
      </c>
      <c r="BF16" s="54" t="str">
        <f t="shared" si="20"/>
        <v/>
      </c>
      <c r="BG16" s="54" t="str">
        <f t="shared" si="21"/>
        <v/>
      </c>
      <c r="BH16" s="34" t="e">
        <f t="shared" si="22"/>
        <v>#REF!</v>
      </c>
      <c r="BI16" s="34" t="e">
        <f t="shared" si="23"/>
        <v>#REF!</v>
      </c>
      <c r="BJ16" s="136" t="str">
        <f>IF($D16&lt;&gt;"Feature",".",
IF(VLOOKUP($B16,Feature_List!$A:$AM,MATCH(BJ$1,  Feature_List!$A$1:$AM$1,0),0)=B16,".","NO"))</f>
        <v>.</v>
      </c>
      <c r="BK16" s="136"/>
      <c r="BL16" s="136"/>
      <c r="BM16" s="136" t="str">
        <f>IF($D16&lt;&gt;"Feature",".",
IF(VLOOKUP($B16,Feature_List!$A:$AM,MATCH(BM$1,  Feature_List!$A$1:$AM$1,0),0)=E16,".","NO"))</f>
        <v>.</v>
      </c>
      <c r="BN16" s="136" t="str">
        <f>IF($D16&lt;&gt;"Feature",".",
IF(VLOOKUP($B16,Feature_List!$A:$AM,MATCH(BN$1,  Feature_List!$A$1:$AM$1,0),0)=F16,".","NO"))</f>
        <v>.</v>
      </c>
      <c r="BO16" s="136" t="str">
        <f>IF($D16&lt;&gt;"Feature",".",
IF(VLOOKUP($B16,Feature_List!$A:$AM,MATCH(BO$1,  Feature_List!$A$1:$AM$1,0),0)=G16,".","NO"))</f>
        <v>.</v>
      </c>
      <c r="BP16" s="136" t="str">
        <f>IF($D16&lt;&gt;"Feature",".",
IF(VLOOKUP($B16,Feature_List!$A:$AM,MATCH(BP$1,  Feature_List!$A$1:$AM$1,0),0)=H16,".","NO"))</f>
        <v>.</v>
      </c>
      <c r="BQ16" s="136"/>
      <c r="BR16" s="136" t="str">
        <f>IF($D16&lt;&gt;"Feature",".",
IF(VLOOKUP($B16,Feature_List!$A:$AM,MATCH(BR$1,  Feature_List!$A$1:$AM$1,0),0)=J16,".","NO"))</f>
        <v>.</v>
      </c>
      <c r="BS16" s="136"/>
      <c r="BT16" s="136"/>
      <c r="BU16" s="136" t="str">
        <f>IF($D16&lt;&gt;"Feature",".",
IF(VLOOKUP($B16,Feature_List!$A:$AM,MATCH(BU$1,  Feature_List!$A$1:$AM$1,0),0)=M16,".","NO"))</f>
        <v>.</v>
      </c>
      <c r="BV16" s="136" t="str">
        <f>IF($D16&lt;&gt;"Feature",".",
IF(VLOOKUP($B16,Feature_List!$A:$AM,MATCH(BV$1,  Feature_List!$A$1:$AM$1,0),0)=N16,".","NO"))</f>
        <v>.</v>
      </c>
      <c r="BW16" s="136"/>
      <c r="BX16" s="136"/>
      <c r="BY16" s="136"/>
      <c r="BZ16" s="136"/>
      <c r="CA16" s="136"/>
      <c r="CB16" s="136" t="str">
        <f>IF($D16&lt;&gt;"Feature",".",
IF(VLOOKUP($B16,Feature_List!$A:$AM,MATCH(CB$1,  Feature_List!$A$1:$AM$1,0),0)=T16,".","NO"))</f>
        <v>.</v>
      </c>
      <c r="CC16" s="136"/>
      <c r="CD16" s="136"/>
      <c r="CE16" s="136"/>
      <c r="CF16" s="136"/>
      <c r="CG16" s="136"/>
      <c r="CH16" s="136"/>
      <c r="CI16" s="136"/>
      <c r="CJ16" s="136"/>
      <c r="CK16" s="136"/>
      <c r="CL16" s="136"/>
      <c r="CM16" s="136"/>
      <c r="CN16" s="136"/>
      <c r="CO16" s="136" t="str">
        <f>IF($D16&lt;&gt;"Feature",".",
IF(VLOOKUP($B16,Feature_List!$A:$AM,MATCH(CO$1,  Feature_List!$A$1:$AM$1,0),0)=AG16,".","NO"))</f>
        <v>.</v>
      </c>
      <c r="CP16" s="136" t="str">
        <f>IF($D16&lt;&gt;"Feature",".",
IF(VLOOKUP($B16,Feature_List!$A:$AM,MATCH(CP$1,  Feature_List!$A$1:$AM$1,0),0)=AH16,".","NO"))</f>
        <v>.</v>
      </c>
      <c r="CQ16" s="136" t="str">
        <f>IF($D16&lt;&gt;"Feature",".",
IF(VLOOKUP($B16,Feature_List!$A:$AM,MATCH(CQ$1,  Feature_List!$A$1:$AM$1,0),0)=AI16,".","NO"))</f>
        <v>.</v>
      </c>
      <c r="CR16" s="136" t="str">
        <f>IF($D16&lt;&gt;"Feature",".",
IF(VLOOKUP($B16,Feature_List!$A:$AM,MATCH(CR$1,  Feature_List!$A$1:$AM$1,0),0)=AJ16,".","NO"))</f>
        <v>.</v>
      </c>
      <c r="CS16" s="136" t="str">
        <f>IF($D16&lt;&gt;"Feature",".",
IF(VLOOKUP($B16,Feature_List!$A:$AM,MATCH(CS$1,  Feature_List!$A$1:$AM$1,0),0)=AK16,".","NO"))</f>
        <v>.</v>
      </c>
      <c r="CT16" s="136" t="str">
        <f>IF($D16&lt;&gt;"Feature",".",
IF(VLOOKUP($B16,Feature_List!$A:$AM,MATCH(CT$1,  Feature_List!$A$1:$AM$1,0),0)=AL16,".","NO"))</f>
        <v>.</v>
      </c>
      <c r="CU16" s="136" t="str">
        <f>IF($D16&lt;&gt;"Feature",".",
IF(VLOOKUP($B16,Feature_List!$A:$AM,MATCH(CU$1,  Feature_List!$A$1:$AM$1,0),0)=AM16,".","NO"))</f>
        <v>.</v>
      </c>
      <c r="CV16" s="136" t="str">
        <f>IF($D16&lt;&gt;"Feature",".",
IF(VLOOKUP($B16,Feature_List!$A:$AM,MATCH(CV$1,  Feature_List!$A$1:$AM$1,0),0)=AN16,".","NO"))</f>
        <v>.</v>
      </c>
      <c r="CW16" s="136" t="str">
        <f>IF($D16&lt;&gt;"Feature",".",
IF(VLOOKUP($B16,Feature_List!$A:$AM,MATCH(CW$1,  Feature_List!$A$1:$AM$1,0),0)=AO16,".","NO"))</f>
        <v>.</v>
      </c>
      <c r="CX16" s="136" t="str">
        <f>IF($D16&lt;&gt;"Feature",".",
IF(VLOOKUP($B16,Feature_List!$A:$AM,MATCH(CX$1,  Feature_List!$A$1:$AM$1,0),0)=AP16,".","NO"))</f>
        <v>.</v>
      </c>
      <c r="CY16" s="136" t="str">
        <f>IF($D16&lt;&gt;"Feature",".",
IF(VLOOKUP($B16,Feature_List!$A:$AM,MATCH(CY$1,  Feature_List!$A$1:$AM$1,0),0)=AQ16,".","NO"))</f>
        <v>.</v>
      </c>
      <c r="CZ16" s="136" t="str">
        <f>IF($D16&lt;&gt;"Feature",".",
IF(VLOOKUP($B16,Feature_List!$A:$AM,MATCH(CZ$1,  Feature_List!$A$1:$AM$1,0),0)=AR16,".","NO"))</f>
        <v>.</v>
      </c>
      <c r="DA16" s="136" t="str">
        <f>IF($D16&lt;&gt;"Feature",".",
IF(VLOOKUP($B16,Feature_List!$A:$AM,MATCH(DA$1,  Feature_List!$A$1:$AM$1,0),0)=AS16,".","NO"))</f>
        <v>.</v>
      </c>
      <c r="DB16" s="136" t="str">
        <f>IF($D16&lt;&gt;"Feature",".",
IF(VLOOKUP($B16,Feature_List!$A:$AM,MATCH(DB$1,  Feature_List!$A$1:$AM$1,0),0)=AT16,".","NO"))</f>
        <v>.</v>
      </c>
      <c r="DC16" s="136" t="str">
        <f>IF($D16&lt;&gt;"Feature",".",
IF(VLOOKUP($B16,Feature_List!$A:$AM,MATCH(DC$1,  Feature_List!$A$1:$AM$1,0),0)=AU16,".","NO"))</f>
        <v>.</v>
      </c>
      <c r="DD16" s="136" t="str">
        <f>IF($D16&lt;&gt;"Feature",".",
IF(VLOOKUP($B16,Feature_List!$A:$AM,MATCH(DD$1,  Feature_List!$A$1:$AM$1,0),0)=AV16,".","NO"))</f>
        <v>.</v>
      </c>
      <c r="DE16" s="136" t="str">
        <f>IF($D16&lt;&gt;"Feature",".",
IF(VLOOKUP($B16,Feature_List!$A:$AM,MATCH(DE$1,  Feature_List!$A$1:$AM$1,0),0)=AW16,".","NO"))</f>
        <v>.</v>
      </c>
      <c r="DF16" s="136" t="str">
        <f>IF($D16&lt;&gt;"Feature",".",
IF(VLOOKUP($B16,Feature_List!$A:$AM,MATCH(DF$1,  Feature_List!$A$1:$AM$1,0),0)=AX16,".","NO"))</f>
        <v>.</v>
      </c>
      <c r="DG16" s="136" t="str">
        <f>IF($D16&lt;&gt;"Feature",".",
IF(VLOOKUP($B16,Feature_List!$A:$AM,MATCH(DG$1,  Feature_List!$A$1:$AM$1,0),0)=AY16,".","NO"))</f>
        <v>.</v>
      </c>
      <c r="DH16" s="136" t="str">
        <f>IF($D16&lt;&gt;"Feature",".",
IF(VLOOKUP($B16,Feature_List!$A:$AM,MATCH(DH$1,  Feature_List!$A$1:$AM$1,0),0)=AZ16,".","NO"))</f>
        <v>.</v>
      </c>
      <c r="DI16" s="136" t="str">
        <f>IF($D16&lt;&gt;"Feature",".",
IF(VLOOKUP($B16,Feature_List!$A:$AM,MATCH(DI$1,  Feature_List!$A$1:$AM$1,0),0)=BA16,".","NO"))</f>
        <v>.</v>
      </c>
      <c r="DJ16" s="136" t="str">
        <f>IF($D16&lt;&gt;"Feature",".",
IF(VLOOKUP($B16,Feature_List!$A:$AM,MATCH(DJ$1,  Feature_List!$A$1:$AM$1,0),0)=BB16,".","NO"))</f>
        <v>.</v>
      </c>
      <c r="DK16" s="136"/>
      <c r="DL16" s="136"/>
      <c r="DM16" s="136"/>
      <c r="DN16" s="136" t="str">
        <f>IF($D16&lt;&gt;"Feature",".",
IF(VLOOKUP($B16,Feature_List!$A:$AM,MATCH(DN$1,  Feature_List!$A$1:$AM$1,0),0)=BC16,".","NO"))</f>
        <v>.</v>
      </c>
      <c r="DO16" s="136" t="str">
        <f>IF($D16&lt;&gt;"Feature",".",
IF(VLOOKUP($B16,Feature_List!$A:$AM,MATCH(DO$1,  Feature_List!$A$1:$AM$1,0),0)=BD16,".","NO"))</f>
        <v>.</v>
      </c>
    </row>
    <row r="17" spans="1:119" x14ac:dyDescent="0.3">
      <c r="A17" s="142"/>
      <c r="B17" s="121">
        <v>376258</v>
      </c>
      <c r="C17" s="123" t="s">
        <v>604</v>
      </c>
      <c r="D17" s="122" t="s">
        <v>71</v>
      </c>
      <c r="E17" s="122" t="s">
        <v>684</v>
      </c>
      <c r="F17" s="138"/>
      <c r="G17" s="123" t="s">
        <v>104</v>
      </c>
      <c r="H17" s="122" t="s">
        <v>683</v>
      </c>
      <c r="I17" s="124" t="s">
        <v>562</v>
      </c>
      <c r="J17" s="138"/>
      <c r="K17" s="123">
        <v>0</v>
      </c>
      <c r="L17" s="122"/>
      <c r="M17" s="122" t="s">
        <v>104</v>
      </c>
      <c r="N17" s="125"/>
      <c r="O17" s="123">
        <f t="shared" si="0"/>
        <v>0</v>
      </c>
      <c r="P17" s="123" t="str">
        <f t="shared" si="1"/>
        <v>Invalid</v>
      </c>
      <c r="Q17" s="122" t="str">
        <f t="shared" si="24"/>
        <v>Story</v>
      </c>
      <c r="R17" s="126">
        <f t="shared" si="2"/>
        <v>318430</v>
      </c>
      <c r="S17" s="127">
        <f t="shared" si="3"/>
        <v>376258</v>
      </c>
      <c r="T17" s="128" t="e">
        <f>IF($Q17="ZeroEntry", "",VLOOKUP($I17,'Ranking Lookup'!#REF!,2,FALSE))</f>
        <v>#REF!</v>
      </c>
      <c r="U17" s="129" t="str">
        <f t="shared" si="4"/>
        <v/>
      </c>
      <c r="V17" s="129" t="str">
        <f t="shared" si="5"/>
        <v/>
      </c>
      <c r="W17" s="129" t="str">
        <f t="shared" si="6"/>
        <v/>
      </c>
      <c r="X17" s="129" t="str">
        <f t="shared" si="7"/>
        <v/>
      </c>
      <c r="Y17" s="129" t="str">
        <f t="shared" si="8"/>
        <v>Feature</v>
      </c>
      <c r="Z17" s="129" t="str">
        <f t="shared" si="9"/>
        <v/>
      </c>
      <c r="AA17" s="130"/>
      <c r="AB17" s="130" t="str">
        <f t="shared" si="10"/>
        <v>Unassigned</v>
      </c>
      <c r="AC17" s="131">
        <f t="shared" si="25"/>
        <v>0</v>
      </c>
      <c r="AD17" s="131">
        <f t="shared" si="26"/>
        <v>0</v>
      </c>
      <c r="AE17" s="132">
        <f t="shared" si="11"/>
        <v>0</v>
      </c>
      <c r="AF17" s="133" t="str">
        <f t="shared" si="27"/>
        <v/>
      </c>
      <c r="AG17" s="134">
        <f t="shared" si="12"/>
        <v>0</v>
      </c>
      <c r="AH17" s="54" t="str">
        <f t="shared" si="13"/>
        <v/>
      </c>
      <c r="AI17" s="54" t="e">
        <f t="shared" si="14"/>
        <v>#REF!</v>
      </c>
      <c r="AJ17" s="54" t="e">
        <f t="shared" si="14"/>
        <v>#REF!</v>
      </c>
      <c r="AK17" s="54" t="e">
        <f t="shared" si="14"/>
        <v>#REF!</v>
      </c>
      <c r="AL17" s="54" t="e">
        <f t="shared" si="14"/>
        <v>#REF!</v>
      </c>
      <c r="AM17" s="54" t="e">
        <f t="shared" si="14"/>
        <v>#REF!</v>
      </c>
      <c r="AN17" s="54" t="e">
        <f t="shared" si="14"/>
        <v>#REF!</v>
      </c>
      <c r="AO17" s="54" t="e">
        <f t="shared" si="14"/>
        <v>#REF!</v>
      </c>
      <c r="AP17" s="54" t="e">
        <f t="shared" si="14"/>
        <v>#REF!</v>
      </c>
      <c r="AQ17" s="54" t="e">
        <f t="shared" si="14"/>
        <v>#REF!</v>
      </c>
      <c r="AR17" s="54" t="e">
        <f t="shared" si="14"/>
        <v>#REF!</v>
      </c>
      <c r="AS17" s="54" t="e">
        <f t="shared" si="14"/>
        <v>#REF!</v>
      </c>
      <c r="AT17" s="54" t="e">
        <f t="shared" si="14"/>
        <v>#REF!</v>
      </c>
      <c r="AU17" s="54" t="e">
        <f t="shared" si="14"/>
        <v>#REF!</v>
      </c>
      <c r="AV17" s="54" t="e">
        <f t="shared" si="14"/>
        <v>#REF!</v>
      </c>
      <c r="AW17" s="54" t="e">
        <f t="shared" si="14"/>
        <v>#REF!</v>
      </c>
      <c r="AX17" s="54" t="e">
        <f t="shared" ref="AX17" si="28">IF(AND($Q17="Feature",LEFT($AB17,2)="PI"),
IF(AND(COUNTIF($R:$R,$B17)=1,$T17=AX$1), IF($AB17=$A$10,$AF17,0),
IF(OR($AD17&lt;1,RIGHT($G17,8)="Progress",$AH17&gt;0),SUMIFS($O:$O,$R:$R,$B17,$T:$T,AX$1,$P:$P,"&lt;&gt;Done",$AB:$AB,$A$10),
IF($T17=AX$1,IF($AB17=$A$10,$AD17,0)+SUMIFS($O:$O,$R:$R,$B17,$T:$T,AX$1,$P:$P,"&lt;&gt;Done",$AB:$AB,$A$10),SUMIFS($O:$O,$R:$R,$B17,$T:$T,AX$1,$P:$P,"&lt;&gt;Done",$AB:$AB,$A$10)))),
IF(AND(OR($Q17="Story",$Q17="Problem",$Q17="Enhancement"),$AB17=$A$10,$R17=0,$T17=AX$1,$P17&lt;&gt;"Done"),$O17,""))</f>
        <v>#REF!</v>
      </c>
      <c r="AY17" s="54" t="e">
        <f t="shared" si="15"/>
        <v>#REF!</v>
      </c>
      <c r="AZ17" s="54" t="str">
        <f t="shared" si="16"/>
        <v/>
      </c>
      <c r="BA17" s="54" t="e">
        <f t="shared" si="17"/>
        <v>#REF!</v>
      </c>
      <c r="BB17" s="135" t="str">
        <f t="shared" si="18"/>
        <v/>
      </c>
      <c r="BC17" s="54" t="e">
        <f t="shared" si="19"/>
        <v>#REF!</v>
      </c>
      <c r="BD17" s="54" t="e">
        <f t="shared" si="19"/>
        <v>#REF!</v>
      </c>
      <c r="BE17" s="54" t="e">
        <f t="shared" si="19"/>
        <v>#REF!</v>
      </c>
      <c r="BF17" s="54" t="str">
        <f t="shared" si="20"/>
        <v/>
      </c>
      <c r="BG17" s="54" t="str">
        <f t="shared" si="21"/>
        <v/>
      </c>
      <c r="BH17" s="34" t="e">
        <f t="shared" si="22"/>
        <v>#REF!</v>
      </c>
      <c r="BI17" s="34" t="e">
        <f t="shared" si="23"/>
        <v>#REF!</v>
      </c>
      <c r="BJ17" s="136" t="str">
        <f>IF($D17&lt;&gt;"Feature",".",
IF(VLOOKUP($B17,Feature_List!$A:$AM,MATCH(BJ$1,  Feature_List!$A$1:$AM$1,0),0)=B17,".","NO"))</f>
        <v>.</v>
      </c>
      <c r="BK17" s="136"/>
      <c r="BL17" s="136"/>
      <c r="BM17" s="136" t="str">
        <f>IF($D17&lt;&gt;"Feature",".",
IF(VLOOKUP($B17,Feature_List!$A:$AM,MATCH(BM$1,  Feature_List!$A$1:$AM$1,0),0)=E17,".","NO"))</f>
        <v>.</v>
      </c>
      <c r="BN17" s="136" t="str">
        <f>IF($D17&lt;&gt;"Feature",".",
IF(VLOOKUP($B17,Feature_List!$A:$AM,MATCH(BN$1,  Feature_List!$A$1:$AM$1,0),0)=F17,".","NO"))</f>
        <v>.</v>
      </c>
      <c r="BO17" s="136" t="str">
        <f>IF($D17&lt;&gt;"Feature",".",
IF(VLOOKUP($B17,Feature_List!$A:$AM,MATCH(BO$1,  Feature_List!$A$1:$AM$1,0),0)=G17,".","NO"))</f>
        <v>.</v>
      </c>
      <c r="BP17" s="136" t="str">
        <f>IF($D17&lt;&gt;"Feature",".",
IF(VLOOKUP($B17,Feature_List!$A:$AM,MATCH(BP$1,  Feature_List!$A$1:$AM$1,0),0)=H17,".","NO"))</f>
        <v>.</v>
      </c>
      <c r="BQ17" s="136"/>
      <c r="BR17" s="136" t="str">
        <f>IF($D17&lt;&gt;"Feature",".",
IF(VLOOKUP($B17,Feature_List!$A:$AM,MATCH(BR$1,  Feature_List!$A$1:$AM$1,0),0)=J17,".","NO"))</f>
        <v>.</v>
      </c>
      <c r="BS17" s="136"/>
      <c r="BT17" s="136"/>
      <c r="BU17" s="136" t="str">
        <f>IF($D17&lt;&gt;"Feature",".",
IF(VLOOKUP($B17,Feature_List!$A:$AM,MATCH(BU$1,  Feature_List!$A$1:$AM$1,0),0)=M17,".","NO"))</f>
        <v>.</v>
      </c>
      <c r="BV17" s="136" t="str">
        <f>IF($D17&lt;&gt;"Feature",".",
IF(VLOOKUP($B17,Feature_List!$A:$AM,MATCH(BV$1,  Feature_List!$A$1:$AM$1,0),0)=N17,".","NO"))</f>
        <v>.</v>
      </c>
      <c r="BW17" s="136"/>
      <c r="BX17" s="136"/>
      <c r="BY17" s="136"/>
      <c r="BZ17" s="136"/>
      <c r="CA17" s="136"/>
      <c r="CB17" s="136" t="str">
        <f>IF($D17&lt;&gt;"Feature",".",
IF(VLOOKUP($B17,Feature_List!$A:$AM,MATCH(CB$1,  Feature_List!$A$1:$AM$1,0),0)=T17,".","NO"))</f>
        <v>.</v>
      </c>
      <c r="CC17" s="136"/>
      <c r="CD17" s="136"/>
      <c r="CE17" s="136"/>
      <c r="CF17" s="136"/>
      <c r="CG17" s="136"/>
      <c r="CH17" s="136"/>
      <c r="CI17" s="136"/>
      <c r="CJ17" s="136"/>
      <c r="CK17" s="136"/>
      <c r="CL17" s="136"/>
      <c r="CM17" s="136"/>
      <c r="CN17" s="136"/>
      <c r="CO17" s="136" t="str">
        <f>IF($D17&lt;&gt;"Feature",".",
IF(VLOOKUP($B17,Feature_List!$A:$AM,MATCH(CO$1,  Feature_List!$A$1:$AM$1,0),0)=AG17,".","NO"))</f>
        <v>.</v>
      </c>
      <c r="CP17" s="136" t="str">
        <f>IF($D17&lt;&gt;"Feature",".",
IF(VLOOKUP($B17,Feature_List!$A:$AM,MATCH(CP$1,  Feature_List!$A$1:$AM$1,0),0)=AH17,".","NO"))</f>
        <v>.</v>
      </c>
      <c r="CQ17" s="136" t="str">
        <f>IF($D17&lt;&gt;"Feature",".",
IF(VLOOKUP($B17,Feature_List!$A:$AM,MATCH(CQ$1,  Feature_List!$A$1:$AM$1,0),0)=AI17,".","NO"))</f>
        <v>.</v>
      </c>
      <c r="CR17" s="136" t="str">
        <f>IF($D17&lt;&gt;"Feature",".",
IF(VLOOKUP($B17,Feature_List!$A:$AM,MATCH(CR$1,  Feature_List!$A$1:$AM$1,0),0)=AJ17,".","NO"))</f>
        <v>.</v>
      </c>
      <c r="CS17" s="136" t="str">
        <f>IF($D17&lt;&gt;"Feature",".",
IF(VLOOKUP($B17,Feature_List!$A:$AM,MATCH(CS$1,  Feature_List!$A$1:$AM$1,0),0)=AK17,".","NO"))</f>
        <v>.</v>
      </c>
      <c r="CT17" s="136" t="str">
        <f>IF($D17&lt;&gt;"Feature",".",
IF(VLOOKUP($B17,Feature_List!$A:$AM,MATCH(CT$1,  Feature_List!$A$1:$AM$1,0),0)=AL17,".","NO"))</f>
        <v>.</v>
      </c>
      <c r="CU17" s="136" t="str">
        <f>IF($D17&lt;&gt;"Feature",".",
IF(VLOOKUP($B17,Feature_List!$A:$AM,MATCH(CU$1,  Feature_List!$A$1:$AM$1,0),0)=AM17,".","NO"))</f>
        <v>.</v>
      </c>
      <c r="CV17" s="136" t="str">
        <f>IF($D17&lt;&gt;"Feature",".",
IF(VLOOKUP($B17,Feature_List!$A:$AM,MATCH(CV$1,  Feature_List!$A$1:$AM$1,0),0)=AN17,".","NO"))</f>
        <v>.</v>
      </c>
      <c r="CW17" s="136" t="str">
        <f>IF($D17&lt;&gt;"Feature",".",
IF(VLOOKUP($B17,Feature_List!$A:$AM,MATCH(CW$1,  Feature_List!$A$1:$AM$1,0),0)=AO17,".","NO"))</f>
        <v>.</v>
      </c>
      <c r="CX17" s="136" t="str">
        <f>IF($D17&lt;&gt;"Feature",".",
IF(VLOOKUP($B17,Feature_List!$A:$AM,MATCH(CX$1,  Feature_List!$A$1:$AM$1,0),0)=AP17,".","NO"))</f>
        <v>.</v>
      </c>
      <c r="CY17" s="136" t="str">
        <f>IF($D17&lt;&gt;"Feature",".",
IF(VLOOKUP($B17,Feature_List!$A:$AM,MATCH(CY$1,  Feature_List!$A$1:$AM$1,0),0)=AQ17,".","NO"))</f>
        <v>.</v>
      </c>
      <c r="CZ17" s="136" t="str">
        <f>IF($D17&lt;&gt;"Feature",".",
IF(VLOOKUP($B17,Feature_List!$A:$AM,MATCH(CZ$1,  Feature_List!$A$1:$AM$1,0),0)=AR17,".","NO"))</f>
        <v>.</v>
      </c>
      <c r="DA17" s="136" t="str">
        <f>IF($D17&lt;&gt;"Feature",".",
IF(VLOOKUP($B17,Feature_List!$A:$AM,MATCH(DA$1,  Feature_List!$A$1:$AM$1,0),0)=AS17,".","NO"))</f>
        <v>.</v>
      </c>
      <c r="DB17" s="136" t="str">
        <f>IF($D17&lt;&gt;"Feature",".",
IF(VLOOKUP($B17,Feature_List!$A:$AM,MATCH(DB$1,  Feature_List!$A$1:$AM$1,0),0)=AT17,".","NO"))</f>
        <v>.</v>
      </c>
      <c r="DC17" s="136" t="str">
        <f>IF($D17&lt;&gt;"Feature",".",
IF(VLOOKUP($B17,Feature_List!$A:$AM,MATCH(DC$1,  Feature_List!$A$1:$AM$1,0),0)=AU17,".","NO"))</f>
        <v>.</v>
      </c>
      <c r="DD17" s="136" t="str">
        <f>IF($D17&lt;&gt;"Feature",".",
IF(VLOOKUP($B17,Feature_List!$A:$AM,MATCH(DD$1,  Feature_List!$A$1:$AM$1,0),0)=AV17,".","NO"))</f>
        <v>.</v>
      </c>
      <c r="DE17" s="136" t="str">
        <f>IF($D17&lt;&gt;"Feature",".",
IF(VLOOKUP($B17,Feature_List!$A:$AM,MATCH(DE$1,  Feature_List!$A$1:$AM$1,0),0)=AW17,".","NO"))</f>
        <v>.</v>
      </c>
      <c r="DF17" s="136" t="str">
        <f>IF($D17&lt;&gt;"Feature",".",
IF(VLOOKUP($B17,Feature_List!$A:$AM,MATCH(DF$1,  Feature_List!$A$1:$AM$1,0),0)=AX17,".","NO"))</f>
        <v>.</v>
      </c>
      <c r="DG17" s="136" t="str">
        <f>IF($D17&lt;&gt;"Feature",".",
IF(VLOOKUP($B17,Feature_List!$A:$AM,MATCH(DG$1,  Feature_List!$A$1:$AM$1,0),0)=AY17,".","NO"))</f>
        <v>.</v>
      </c>
      <c r="DH17" s="136" t="str">
        <f>IF($D17&lt;&gt;"Feature",".",
IF(VLOOKUP($B17,Feature_List!$A:$AM,MATCH(DH$1,  Feature_List!$A$1:$AM$1,0),0)=AZ17,".","NO"))</f>
        <v>.</v>
      </c>
      <c r="DI17" s="136" t="str">
        <f>IF($D17&lt;&gt;"Feature",".",
IF(VLOOKUP($B17,Feature_List!$A:$AM,MATCH(DI$1,  Feature_List!$A$1:$AM$1,0),0)=BA17,".","NO"))</f>
        <v>.</v>
      </c>
      <c r="DJ17" s="136" t="str">
        <f>IF($D17&lt;&gt;"Feature",".",
IF(VLOOKUP($B17,Feature_List!$A:$AM,MATCH(DJ$1,  Feature_List!$A$1:$AM$1,0),0)=BB17,".","NO"))</f>
        <v>.</v>
      </c>
      <c r="DK17" s="136"/>
      <c r="DL17" s="136"/>
      <c r="DM17" s="136"/>
      <c r="DN17" s="136" t="str">
        <f>IF($D17&lt;&gt;"Feature",".",
IF(VLOOKUP($B17,Feature_List!$A:$AM,MATCH(DN$1,  Feature_List!$A$1:$AM$1,0),0)=BC17,".","NO"))</f>
        <v>.</v>
      </c>
      <c r="DO17" s="136" t="str">
        <f>IF($D17&lt;&gt;"Feature",".",
IF(VLOOKUP($B17,Feature_List!$A:$AM,MATCH(DO$1,  Feature_List!$A$1:$AM$1,0),0)=BD17,".","NO"))</f>
        <v>.</v>
      </c>
    </row>
    <row r="18" spans="1:119" x14ac:dyDescent="0.3">
      <c r="A18" s="142"/>
      <c r="B18" s="121">
        <v>376257</v>
      </c>
      <c r="C18" s="123" t="s">
        <v>604</v>
      </c>
      <c r="D18" s="122" t="s">
        <v>71</v>
      </c>
      <c r="E18" s="122" t="s">
        <v>685</v>
      </c>
      <c r="F18" s="138" t="s">
        <v>661</v>
      </c>
      <c r="G18" s="123" t="s">
        <v>661</v>
      </c>
      <c r="H18" s="122" t="s">
        <v>70</v>
      </c>
      <c r="I18" s="122" t="s">
        <v>562</v>
      </c>
      <c r="J18" s="138"/>
      <c r="K18" s="123">
        <v>2</v>
      </c>
      <c r="L18" s="122"/>
      <c r="M18" s="122" t="s">
        <v>666</v>
      </c>
      <c r="N18" s="125"/>
      <c r="O18" s="123">
        <f t="shared" si="0"/>
        <v>2</v>
      </c>
      <c r="P18" s="123" t="str">
        <f t="shared" si="1"/>
        <v>New</v>
      </c>
      <c r="Q18" s="122" t="str">
        <f t="shared" si="24"/>
        <v>Story</v>
      </c>
      <c r="R18" s="126">
        <f t="shared" si="2"/>
        <v>318430</v>
      </c>
      <c r="S18" s="127">
        <f t="shared" si="3"/>
        <v>376257</v>
      </c>
      <c r="T18" s="128" t="e">
        <f>IF($Q18="ZeroEntry", "",VLOOKUP($I18,'Ranking Lookup'!#REF!,2,FALSE))</f>
        <v>#REF!</v>
      </c>
      <c r="U18" s="129" t="str">
        <f t="shared" si="4"/>
        <v/>
      </c>
      <c r="V18" s="129" t="str">
        <f t="shared" si="5"/>
        <v/>
      </c>
      <c r="W18" s="129" t="str">
        <f t="shared" si="6"/>
        <v/>
      </c>
      <c r="X18" s="129" t="str">
        <f t="shared" si="7"/>
        <v/>
      </c>
      <c r="Y18" s="129" t="str">
        <f t="shared" si="8"/>
        <v>Feature</v>
      </c>
      <c r="Z18" s="129" t="str">
        <f t="shared" si="9"/>
        <v/>
      </c>
      <c r="AA18" s="130"/>
      <c r="AB18" s="130" t="str">
        <f t="shared" si="10"/>
        <v>PI 12</v>
      </c>
      <c r="AC18" s="131">
        <f t="shared" si="25"/>
        <v>2</v>
      </c>
      <c r="AD18" s="131">
        <f t="shared" si="26"/>
        <v>0</v>
      </c>
      <c r="AE18" s="132">
        <f t="shared" si="11"/>
        <v>0</v>
      </c>
      <c r="AF18" s="133" t="str">
        <f t="shared" si="27"/>
        <v/>
      </c>
      <c r="AG18" s="134">
        <f t="shared" si="12"/>
        <v>0</v>
      </c>
      <c r="AH18" s="54" t="str">
        <f t="shared" si="13"/>
        <v/>
      </c>
      <c r="AI18" s="54" t="e">
        <f t="shared" ref="AI18:AX33" si="29">IF(AND($Q18="Feature",LEFT($AB18,2)="PI"),
IF(AND(COUNTIF($R:$R,$B18)=1,$T18=AI$1), IF($AB18=$A$10,$AF18,0),
IF(OR($AD18&lt;1,RIGHT($G18,8)="Progress",$AH18&gt;0),SUMIFS($O:$O,$R:$R,$B18,$T:$T,AI$1,$P:$P,"&lt;&gt;Done",$AB:$AB,$A$10),
IF($T18=AI$1,IF($AB18=$A$10,$AD18,0)+SUMIFS($O:$O,$R:$R,$B18,$T:$T,AI$1,$P:$P,"&lt;&gt;Done",$AB:$AB,$A$10),SUMIFS($O:$O,$R:$R,$B18,$T:$T,AI$1,$P:$P,"&lt;&gt;Done",$AB:$AB,$A$10)))),
IF(AND(OR($Q18="Story",$Q18="Problem",$Q18="Enhancement"),$AB18=$A$10,$R18=0,$T18=AI$1,$P18&lt;&gt;"Done"),$O18,""))</f>
        <v>#REF!</v>
      </c>
      <c r="AJ18" s="54" t="e">
        <f t="shared" si="29"/>
        <v>#REF!</v>
      </c>
      <c r="AK18" s="54" t="e">
        <f t="shared" si="29"/>
        <v>#REF!</v>
      </c>
      <c r="AL18" s="54" t="e">
        <f t="shared" si="29"/>
        <v>#REF!</v>
      </c>
      <c r="AM18" s="54" t="e">
        <f t="shared" si="29"/>
        <v>#REF!</v>
      </c>
      <c r="AN18" s="54" t="e">
        <f t="shared" si="29"/>
        <v>#REF!</v>
      </c>
      <c r="AO18" s="54" t="e">
        <f t="shared" si="29"/>
        <v>#REF!</v>
      </c>
      <c r="AP18" s="54" t="e">
        <f t="shared" si="29"/>
        <v>#REF!</v>
      </c>
      <c r="AQ18" s="54" t="e">
        <f t="shared" si="29"/>
        <v>#REF!</v>
      </c>
      <c r="AR18" s="54" t="e">
        <f t="shared" si="29"/>
        <v>#REF!</v>
      </c>
      <c r="AS18" s="54" t="e">
        <f t="shared" si="29"/>
        <v>#REF!</v>
      </c>
      <c r="AT18" s="54" t="e">
        <f t="shared" si="29"/>
        <v>#REF!</v>
      </c>
      <c r="AU18" s="54" t="e">
        <f t="shared" si="29"/>
        <v>#REF!</v>
      </c>
      <c r="AV18" s="54" t="e">
        <f t="shared" si="29"/>
        <v>#REF!</v>
      </c>
      <c r="AW18" s="54" t="e">
        <f t="shared" si="29"/>
        <v>#REF!</v>
      </c>
      <c r="AX18" s="54" t="e">
        <f t="shared" si="29"/>
        <v>#REF!</v>
      </c>
      <c r="AY18" s="54" t="e">
        <f t="shared" si="15"/>
        <v>#REF!</v>
      </c>
      <c r="AZ18" s="54" t="str">
        <f t="shared" si="16"/>
        <v/>
      </c>
      <c r="BA18" s="54" t="e">
        <f t="shared" si="17"/>
        <v>#REF!</v>
      </c>
      <c r="BB18" s="135" t="str">
        <f t="shared" si="18"/>
        <v/>
      </c>
      <c r="BC18" s="54" t="e">
        <f t="shared" si="19"/>
        <v>#REF!</v>
      </c>
      <c r="BD18" s="54" t="e">
        <f t="shared" si="19"/>
        <v>#REF!</v>
      </c>
      <c r="BE18" s="54" t="e">
        <f t="shared" si="19"/>
        <v>#REF!</v>
      </c>
      <c r="BF18" s="54" t="str">
        <f t="shared" si="20"/>
        <v/>
      </c>
      <c r="BG18" s="54" t="str">
        <f t="shared" si="21"/>
        <v/>
      </c>
      <c r="BH18" s="34" t="e">
        <f t="shared" si="22"/>
        <v>#REF!</v>
      </c>
      <c r="BI18" s="34" t="e">
        <f t="shared" si="23"/>
        <v>#REF!</v>
      </c>
      <c r="BJ18" s="136" t="str">
        <f>IF($D18&lt;&gt;"Feature",".",
IF(VLOOKUP($B18,Feature_List!$A:$AM,MATCH(BJ$1,  Feature_List!$A$1:$AM$1,0),0)=B18,".","NO"))</f>
        <v>.</v>
      </c>
      <c r="BK18" s="136"/>
      <c r="BL18" s="136"/>
      <c r="BM18" s="136" t="str">
        <f>IF($D18&lt;&gt;"Feature",".",
IF(VLOOKUP($B18,Feature_List!$A:$AM,MATCH(BM$1,  Feature_List!$A$1:$AM$1,0),0)=E18,".","NO"))</f>
        <v>.</v>
      </c>
      <c r="BN18" s="136" t="str">
        <f>IF($D18&lt;&gt;"Feature",".",
IF(VLOOKUP($B18,Feature_List!$A:$AM,MATCH(BN$1,  Feature_List!$A$1:$AM$1,0),0)=F18,".","NO"))</f>
        <v>.</v>
      </c>
      <c r="BO18" s="136" t="str">
        <f>IF($D18&lt;&gt;"Feature",".",
IF(VLOOKUP($B18,Feature_List!$A:$AM,MATCH(BO$1,  Feature_List!$A$1:$AM$1,0),0)=G18,".","NO"))</f>
        <v>.</v>
      </c>
      <c r="BP18" s="136" t="str">
        <f>IF($D18&lt;&gt;"Feature",".",
IF(VLOOKUP($B18,Feature_List!$A:$AM,MATCH(BP$1,  Feature_List!$A$1:$AM$1,0),0)=H18,".","NO"))</f>
        <v>.</v>
      </c>
      <c r="BQ18" s="136"/>
      <c r="BR18" s="136" t="str">
        <f>IF($D18&lt;&gt;"Feature",".",
IF(VLOOKUP($B18,Feature_List!$A:$AM,MATCH(BR$1,  Feature_List!$A$1:$AM$1,0),0)=J18,".","NO"))</f>
        <v>.</v>
      </c>
      <c r="BS18" s="136"/>
      <c r="BT18" s="136"/>
      <c r="BU18" s="136" t="str">
        <f>IF($D18&lt;&gt;"Feature",".",
IF(VLOOKUP($B18,Feature_List!$A:$AM,MATCH(BU$1,  Feature_List!$A$1:$AM$1,0),0)=M18,".","NO"))</f>
        <v>.</v>
      </c>
      <c r="BV18" s="136" t="str">
        <f>IF($D18&lt;&gt;"Feature",".",
IF(VLOOKUP($B18,Feature_List!$A:$AM,MATCH(BV$1,  Feature_List!$A$1:$AM$1,0),0)=N18,".","NO"))</f>
        <v>.</v>
      </c>
      <c r="BW18" s="136"/>
      <c r="BX18" s="136"/>
      <c r="BY18" s="136"/>
      <c r="BZ18" s="136"/>
      <c r="CA18" s="136"/>
      <c r="CB18" s="136" t="str">
        <f>IF($D18&lt;&gt;"Feature",".",
IF(VLOOKUP($B18,Feature_List!$A:$AM,MATCH(CB$1,  Feature_List!$A$1:$AM$1,0),0)=T18,".","NO"))</f>
        <v>.</v>
      </c>
      <c r="CC18" s="136"/>
      <c r="CD18" s="136"/>
      <c r="CE18" s="136"/>
      <c r="CF18" s="136"/>
      <c r="CG18" s="136"/>
      <c r="CH18" s="136"/>
      <c r="CI18" s="136"/>
      <c r="CJ18" s="136"/>
      <c r="CK18" s="136"/>
      <c r="CL18" s="136"/>
      <c r="CM18" s="136"/>
      <c r="CN18" s="136"/>
      <c r="CO18" s="136" t="str">
        <f>IF($D18&lt;&gt;"Feature",".",
IF(VLOOKUP($B18,Feature_List!$A:$AM,MATCH(CO$1,  Feature_List!$A$1:$AM$1,0),0)=AG18,".","NO"))</f>
        <v>.</v>
      </c>
      <c r="CP18" s="136" t="str">
        <f>IF($D18&lt;&gt;"Feature",".",
IF(VLOOKUP($B18,Feature_List!$A:$AM,MATCH(CP$1,  Feature_List!$A$1:$AM$1,0),0)=AH18,".","NO"))</f>
        <v>.</v>
      </c>
      <c r="CQ18" s="136" t="str">
        <f>IF($D18&lt;&gt;"Feature",".",
IF(VLOOKUP($B18,Feature_List!$A:$AM,MATCH(CQ$1,  Feature_List!$A$1:$AM$1,0),0)=AI18,".","NO"))</f>
        <v>.</v>
      </c>
      <c r="CR18" s="136" t="str">
        <f>IF($D18&lt;&gt;"Feature",".",
IF(VLOOKUP($B18,Feature_List!$A:$AM,MATCH(CR$1,  Feature_List!$A$1:$AM$1,0),0)=AJ18,".","NO"))</f>
        <v>.</v>
      </c>
      <c r="CS18" s="136" t="str">
        <f>IF($D18&lt;&gt;"Feature",".",
IF(VLOOKUP($B18,Feature_List!$A:$AM,MATCH(CS$1,  Feature_List!$A$1:$AM$1,0),0)=AK18,".","NO"))</f>
        <v>.</v>
      </c>
      <c r="CT18" s="136" t="str">
        <f>IF($D18&lt;&gt;"Feature",".",
IF(VLOOKUP($B18,Feature_List!$A:$AM,MATCH(CT$1,  Feature_List!$A$1:$AM$1,0),0)=AL18,".","NO"))</f>
        <v>.</v>
      </c>
      <c r="CU18" s="136" t="str">
        <f>IF($D18&lt;&gt;"Feature",".",
IF(VLOOKUP($B18,Feature_List!$A:$AM,MATCH(CU$1,  Feature_List!$A$1:$AM$1,0),0)=AM18,".","NO"))</f>
        <v>.</v>
      </c>
      <c r="CV18" s="136" t="str">
        <f>IF($D18&lt;&gt;"Feature",".",
IF(VLOOKUP($B18,Feature_List!$A:$AM,MATCH(CV$1,  Feature_List!$A$1:$AM$1,0),0)=AN18,".","NO"))</f>
        <v>.</v>
      </c>
      <c r="CW18" s="136" t="str">
        <f>IF($D18&lt;&gt;"Feature",".",
IF(VLOOKUP($B18,Feature_List!$A:$AM,MATCH(CW$1,  Feature_List!$A$1:$AM$1,0),0)=AO18,".","NO"))</f>
        <v>.</v>
      </c>
      <c r="CX18" s="136" t="str">
        <f>IF($D18&lt;&gt;"Feature",".",
IF(VLOOKUP($B18,Feature_List!$A:$AM,MATCH(CX$1,  Feature_List!$A$1:$AM$1,0),0)=AP18,".","NO"))</f>
        <v>.</v>
      </c>
      <c r="CY18" s="136" t="str">
        <f>IF($D18&lt;&gt;"Feature",".",
IF(VLOOKUP($B18,Feature_List!$A:$AM,MATCH(CY$1,  Feature_List!$A$1:$AM$1,0),0)=AQ18,".","NO"))</f>
        <v>.</v>
      </c>
      <c r="CZ18" s="136" t="str">
        <f>IF($D18&lt;&gt;"Feature",".",
IF(VLOOKUP($B18,Feature_List!$A:$AM,MATCH(CZ$1,  Feature_List!$A$1:$AM$1,0),0)=AR18,".","NO"))</f>
        <v>.</v>
      </c>
      <c r="DA18" s="136" t="str">
        <f>IF($D18&lt;&gt;"Feature",".",
IF(VLOOKUP($B18,Feature_List!$A:$AM,MATCH(DA$1,  Feature_List!$A$1:$AM$1,0),0)=AS18,".","NO"))</f>
        <v>.</v>
      </c>
      <c r="DB18" s="136" t="str">
        <f>IF($D18&lt;&gt;"Feature",".",
IF(VLOOKUP($B18,Feature_List!$A:$AM,MATCH(DB$1,  Feature_List!$A$1:$AM$1,0),0)=AT18,".","NO"))</f>
        <v>.</v>
      </c>
      <c r="DC18" s="136" t="str">
        <f>IF($D18&lt;&gt;"Feature",".",
IF(VLOOKUP($B18,Feature_List!$A:$AM,MATCH(DC$1,  Feature_List!$A$1:$AM$1,0),0)=AU18,".","NO"))</f>
        <v>.</v>
      </c>
      <c r="DD18" s="136" t="str">
        <f>IF($D18&lt;&gt;"Feature",".",
IF(VLOOKUP($B18,Feature_List!$A:$AM,MATCH(DD$1,  Feature_List!$A$1:$AM$1,0),0)=AV18,".","NO"))</f>
        <v>.</v>
      </c>
      <c r="DE18" s="136" t="str">
        <f>IF($D18&lt;&gt;"Feature",".",
IF(VLOOKUP($B18,Feature_List!$A:$AM,MATCH(DE$1,  Feature_List!$A$1:$AM$1,0),0)=AW18,".","NO"))</f>
        <v>.</v>
      </c>
      <c r="DF18" s="136" t="str">
        <f>IF($D18&lt;&gt;"Feature",".",
IF(VLOOKUP($B18,Feature_List!$A:$AM,MATCH(DF$1,  Feature_List!$A$1:$AM$1,0),0)=AX18,".","NO"))</f>
        <v>.</v>
      </c>
      <c r="DG18" s="136" t="str">
        <f>IF($D18&lt;&gt;"Feature",".",
IF(VLOOKUP($B18,Feature_List!$A:$AM,MATCH(DG$1,  Feature_List!$A$1:$AM$1,0),0)=AY18,".","NO"))</f>
        <v>.</v>
      </c>
      <c r="DH18" s="136" t="str">
        <f>IF($D18&lt;&gt;"Feature",".",
IF(VLOOKUP($B18,Feature_List!$A:$AM,MATCH(DH$1,  Feature_List!$A$1:$AM$1,0),0)=AZ18,".","NO"))</f>
        <v>.</v>
      </c>
      <c r="DI18" s="136" t="str">
        <f>IF($D18&lt;&gt;"Feature",".",
IF(VLOOKUP($B18,Feature_List!$A:$AM,MATCH(DI$1,  Feature_List!$A$1:$AM$1,0),0)=BA18,".","NO"))</f>
        <v>.</v>
      </c>
      <c r="DJ18" s="136" t="str">
        <f>IF($D18&lt;&gt;"Feature",".",
IF(VLOOKUP($B18,Feature_List!$A:$AM,MATCH(DJ$1,  Feature_List!$A$1:$AM$1,0),0)=BB18,".","NO"))</f>
        <v>.</v>
      </c>
      <c r="DK18" s="136"/>
      <c r="DL18" s="136"/>
      <c r="DM18" s="136"/>
      <c r="DN18" s="136" t="str">
        <f>IF($D18&lt;&gt;"Feature",".",
IF(VLOOKUP($B18,Feature_List!$A:$AM,MATCH(DN$1,  Feature_List!$A$1:$AM$1,0),0)=BC18,".","NO"))</f>
        <v>.</v>
      </c>
      <c r="DO18" s="136" t="str">
        <f>IF($D18&lt;&gt;"Feature",".",
IF(VLOOKUP($B18,Feature_List!$A:$AM,MATCH(DO$1,  Feature_List!$A$1:$AM$1,0),0)=BD18,".","NO"))</f>
        <v>.</v>
      </c>
    </row>
    <row r="19" spans="1:119" x14ac:dyDescent="0.3">
      <c r="A19" s="142"/>
      <c r="B19" s="121">
        <v>376256</v>
      </c>
      <c r="C19" s="122" t="s">
        <v>604</v>
      </c>
      <c r="D19" s="122" t="s">
        <v>71</v>
      </c>
      <c r="E19" s="122" t="s">
        <v>686</v>
      </c>
      <c r="F19" s="138" t="s">
        <v>661</v>
      </c>
      <c r="G19" s="123" t="s">
        <v>661</v>
      </c>
      <c r="H19" s="122" t="s">
        <v>683</v>
      </c>
      <c r="I19" s="124" t="s">
        <v>562</v>
      </c>
      <c r="J19" s="138"/>
      <c r="K19" s="123">
        <v>0</v>
      </c>
      <c r="L19" s="122"/>
      <c r="M19" s="122" t="s">
        <v>663</v>
      </c>
      <c r="N19" s="125"/>
      <c r="O19" s="123">
        <f t="shared" si="0"/>
        <v>0</v>
      </c>
      <c r="P19" s="123" t="str">
        <f t="shared" si="1"/>
        <v>Invalid</v>
      </c>
      <c r="Q19" s="122" t="str">
        <f t="shared" si="24"/>
        <v>Story</v>
      </c>
      <c r="R19" s="126">
        <f t="shared" si="2"/>
        <v>318430</v>
      </c>
      <c r="S19" s="127">
        <f t="shared" si="3"/>
        <v>376256</v>
      </c>
      <c r="T19" s="128" t="e">
        <f>IF($Q19="ZeroEntry", "",VLOOKUP($I19,'Ranking Lookup'!#REF!,2,FALSE))</f>
        <v>#REF!</v>
      </c>
      <c r="U19" s="129" t="str">
        <f t="shared" si="4"/>
        <v/>
      </c>
      <c r="V19" s="129" t="str">
        <f t="shared" si="5"/>
        <v/>
      </c>
      <c r="W19" s="129" t="str">
        <f t="shared" si="6"/>
        <v/>
      </c>
      <c r="X19" s="129" t="str">
        <f t="shared" si="7"/>
        <v/>
      </c>
      <c r="Y19" s="129" t="str">
        <f t="shared" si="8"/>
        <v>Feature</v>
      </c>
      <c r="Z19" s="129" t="str">
        <f t="shared" si="9"/>
        <v/>
      </c>
      <c r="AA19" s="130"/>
      <c r="AB19" s="130" t="str">
        <f t="shared" si="10"/>
        <v>PI 12</v>
      </c>
      <c r="AC19" s="131">
        <f t="shared" si="25"/>
        <v>0</v>
      </c>
      <c r="AD19" s="131">
        <f t="shared" si="26"/>
        <v>0</v>
      </c>
      <c r="AE19" s="132">
        <f t="shared" si="11"/>
        <v>0</v>
      </c>
      <c r="AF19" s="133" t="str">
        <f t="shared" si="27"/>
        <v/>
      </c>
      <c r="AG19" s="134">
        <f t="shared" si="12"/>
        <v>0</v>
      </c>
      <c r="AH19" s="54" t="str">
        <f t="shared" si="13"/>
        <v/>
      </c>
      <c r="AI19" s="54" t="e">
        <f t="shared" si="29"/>
        <v>#REF!</v>
      </c>
      <c r="AJ19" s="54" t="e">
        <f t="shared" si="29"/>
        <v>#REF!</v>
      </c>
      <c r="AK19" s="54" t="e">
        <f t="shared" si="29"/>
        <v>#REF!</v>
      </c>
      <c r="AL19" s="54" t="e">
        <f t="shared" si="29"/>
        <v>#REF!</v>
      </c>
      <c r="AM19" s="54" t="e">
        <f t="shared" si="29"/>
        <v>#REF!</v>
      </c>
      <c r="AN19" s="54" t="e">
        <f t="shared" si="29"/>
        <v>#REF!</v>
      </c>
      <c r="AO19" s="54" t="e">
        <f t="shared" si="29"/>
        <v>#REF!</v>
      </c>
      <c r="AP19" s="54" t="e">
        <f t="shared" si="29"/>
        <v>#REF!</v>
      </c>
      <c r="AQ19" s="54" t="e">
        <f t="shared" si="29"/>
        <v>#REF!</v>
      </c>
      <c r="AR19" s="54" t="e">
        <f t="shared" si="29"/>
        <v>#REF!</v>
      </c>
      <c r="AS19" s="54" t="e">
        <f t="shared" si="29"/>
        <v>#REF!</v>
      </c>
      <c r="AT19" s="54" t="e">
        <f t="shared" si="29"/>
        <v>#REF!</v>
      </c>
      <c r="AU19" s="54" t="e">
        <f t="shared" si="29"/>
        <v>#REF!</v>
      </c>
      <c r="AV19" s="54" t="e">
        <f t="shared" si="29"/>
        <v>#REF!</v>
      </c>
      <c r="AW19" s="54" t="e">
        <f t="shared" si="29"/>
        <v>#REF!</v>
      </c>
      <c r="AX19" s="54" t="e">
        <f t="shared" si="29"/>
        <v>#REF!</v>
      </c>
      <c r="AY19" s="54" t="e">
        <f t="shared" si="15"/>
        <v>#REF!</v>
      </c>
      <c r="AZ19" s="54" t="str">
        <f t="shared" si="16"/>
        <v/>
      </c>
      <c r="BA19" s="54" t="e">
        <f t="shared" si="17"/>
        <v>#REF!</v>
      </c>
      <c r="BB19" s="135" t="str">
        <f t="shared" si="18"/>
        <v/>
      </c>
      <c r="BC19" s="54" t="e">
        <f t="shared" si="19"/>
        <v>#REF!</v>
      </c>
      <c r="BD19" s="54" t="e">
        <f t="shared" si="19"/>
        <v>#REF!</v>
      </c>
      <c r="BE19" s="54" t="e">
        <f t="shared" si="19"/>
        <v>#REF!</v>
      </c>
      <c r="BF19" s="54" t="str">
        <f t="shared" si="20"/>
        <v/>
      </c>
      <c r="BG19" s="54" t="str">
        <f t="shared" si="21"/>
        <v/>
      </c>
      <c r="BH19" s="34" t="e">
        <f t="shared" si="22"/>
        <v>#REF!</v>
      </c>
      <c r="BI19" s="34" t="e">
        <f t="shared" si="23"/>
        <v>#REF!</v>
      </c>
      <c r="BJ19" s="136" t="str">
        <f>IF($D19&lt;&gt;"Feature",".",
IF(VLOOKUP($B19,Feature_List!$A:$AM,MATCH(BJ$1,  Feature_List!$A$1:$AM$1,0),0)=B19,".","NO"))</f>
        <v>.</v>
      </c>
      <c r="BK19" s="136"/>
      <c r="BL19" s="136"/>
      <c r="BM19" s="136" t="str">
        <f>IF($D19&lt;&gt;"Feature",".",
IF(VLOOKUP($B19,Feature_List!$A:$AM,MATCH(BM$1,  Feature_List!$A$1:$AM$1,0),0)=E19,".","NO"))</f>
        <v>.</v>
      </c>
      <c r="BN19" s="136" t="str">
        <f>IF($D19&lt;&gt;"Feature",".",
IF(VLOOKUP($B19,Feature_List!$A:$AM,MATCH(BN$1,  Feature_List!$A$1:$AM$1,0),0)=F19,".","NO"))</f>
        <v>.</v>
      </c>
      <c r="BO19" s="136" t="str">
        <f>IF($D19&lt;&gt;"Feature",".",
IF(VLOOKUP($B19,Feature_List!$A:$AM,MATCH(BO$1,  Feature_List!$A$1:$AM$1,0),0)=G19,".","NO"))</f>
        <v>.</v>
      </c>
      <c r="BP19" s="136" t="str">
        <f>IF($D19&lt;&gt;"Feature",".",
IF(VLOOKUP($B19,Feature_List!$A:$AM,MATCH(BP$1,  Feature_List!$A$1:$AM$1,0),0)=H19,".","NO"))</f>
        <v>.</v>
      </c>
      <c r="BQ19" s="136"/>
      <c r="BR19" s="136" t="str">
        <f>IF($D19&lt;&gt;"Feature",".",
IF(VLOOKUP($B19,Feature_List!$A:$AM,MATCH(BR$1,  Feature_List!$A$1:$AM$1,0),0)=J19,".","NO"))</f>
        <v>.</v>
      </c>
      <c r="BS19" s="136"/>
      <c r="BT19" s="136"/>
      <c r="BU19" s="136" t="str">
        <f>IF($D19&lt;&gt;"Feature",".",
IF(VLOOKUP($B19,Feature_List!$A:$AM,MATCH(BU$1,  Feature_List!$A$1:$AM$1,0),0)=M19,".","NO"))</f>
        <v>.</v>
      </c>
      <c r="BV19" s="136" t="str">
        <f>IF($D19&lt;&gt;"Feature",".",
IF(VLOOKUP($B19,Feature_List!$A:$AM,MATCH(BV$1,  Feature_List!$A$1:$AM$1,0),0)=N19,".","NO"))</f>
        <v>.</v>
      </c>
      <c r="BW19" s="136"/>
      <c r="BX19" s="136"/>
      <c r="BY19" s="136"/>
      <c r="BZ19" s="136"/>
      <c r="CA19" s="136"/>
      <c r="CB19" s="136" t="str">
        <f>IF($D19&lt;&gt;"Feature",".",
IF(VLOOKUP($B19,Feature_List!$A:$AM,MATCH(CB$1,  Feature_List!$A$1:$AM$1,0),0)=T19,".","NO"))</f>
        <v>.</v>
      </c>
      <c r="CC19" s="136"/>
      <c r="CD19" s="136"/>
      <c r="CE19" s="136"/>
      <c r="CF19" s="136"/>
      <c r="CG19" s="136"/>
      <c r="CH19" s="136"/>
      <c r="CI19" s="136"/>
      <c r="CJ19" s="136"/>
      <c r="CK19" s="136"/>
      <c r="CL19" s="136"/>
      <c r="CM19" s="136"/>
      <c r="CN19" s="136"/>
      <c r="CO19" s="136" t="str">
        <f>IF($D19&lt;&gt;"Feature",".",
IF(VLOOKUP($B19,Feature_List!$A:$AM,MATCH(CO$1,  Feature_List!$A$1:$AM$1,0),0)=AG19,".","NO"))</f>
        <v>.</v>
      </c>
      <c r="CP19" s="136" t="str">
        <f>IF($D19&lt;&gt;"Feature",".",
IF(VLOOKUP($B19,Feature_List!$A:$AM,MATCH(CP$1,  Feature_List!$A$1:$AM$1,0),0)=AH19,".","NO"))</f>
        <v>.</v>
      </c>
      <c r="CQ19" s="136" t="str">
        <f>IF($D19&lt;&gt;"Feature",".",
IF(VLOOKUP($B19,Feature_List!$A:$AM,MATCH(CQ$1,  Feature_List!$A$1:$AM$1,0),0)=AI19,".","NO"))</f>
        <v>.</v>
      </c>
      <c r="CR19" s="136" t="str">
        <f>IF($D19&lt;&gt;"Feature",".",
IF(VLOOKUP($B19,Feature_List!$A:$AM,MATCH(CR$1,  Feature_List!$A$1:$AM$1,0),0)=AJ19,".","NO"))</f>
        <v>.</v>
      </c>
      <c r="CS19" s="136" t="str">
        <f>IF($D19&lt;&gt;"Feature",".",
IF(VLOOKUP($B19,Feature_List!$A:$AM,MATCH(CS$1,  Feature_List!$A$1:$AM$1,0),0)=AK19,".","NO"))</f>
        <v>.</v>
      </c>
      <c r="CT19" s="136" t="str">
        <f>IF($D19&lt;&gt;"Feature",".",
IF(VLOOKUP($B19,Feature_List!$A:$AM,MATCH(CT$1,  Feature_List!$A$1:$AM$1,0),0)=AL19,".","NO"))</f>
        <v>.</v>
      </c>
      <c r="CU19" s="136" t="str">
        <f>IF($D19&lt;&gt;"Feature",".",
IF(VLOOKUP($B19,Feature_List!$A:$AM,MATCH(CU$1,  Feature_List!$A$1:$AM$1,0),0)=AM19,".","NO"))</f>
        <v>.</v>
      </c>
      <c r="CV19" s="136" t="str">
        <f>IF($D19&lt;&gt;"Feature",".",
IF(VLOOKUP($B19,Feature_List!$A:$AM,MATCH(CV$1,  Feature_List!$A$1:$AM$1,0),0)=AN19,".","NO"))</f>
        <v>.</v>
      </c>
      <c r="CW19" s="136" t="str">
        <f>IF($D19&lt;&gt;"Feature",".",
IF(VLOOKUP($B19,Feature_List!$A:$AM,MATCH(CW$1,  Feature_List!$A$1:$AM$1,0),0)=AO19,".","NO"))</f>
        <v>.</v>
      </c>
      <c r="CX19" s="136" t="str">
        <f>IF($D19&lt;&gt;"Feature",".",
IF(VLOOKUP($B19,Feature_List!$A:$AM,MATCH(CX$1,  Feature_List!$A$1:$AM$1,0),0)=AP19,".","NO"))</f>
        <v>.</v>
      </c>
      <c r="CY19" s="136" t="str">
        <f>IF($D19&lt;&gt;"Feature",".",
IF(VLOOKUP($B19,Feature_List!$A:$AM,MATCH(CY$1,  Feature_List!$A$1:$AM$1,0),0)=AQ19,".","NO"))</f>
        <v>.</v>
      </c>
      <c r="CZ19" s="136" t="str">
        <f>IF($D19&lt;&gt;"Feature",".",
IF(VLOOKUP($B19,Feature_List!$A:$AM,MATCH(CZ$1,  Feature_List!$A$1:$AM$1,0),0)=AR19,".","NO"))</f>
        <v>.</v>
      </c>
      <c r="DA19" s="136" t="str">
        <f>IF($D19&lt;&gt;"Feature",".",
IF(VLOOKUP($B19,Feature_List!$A:$AM,MATCH(DA$1,  Feature_List!$A$1:$AM$1,0),0)=AS19,".","NO"))</f>
        <v>.</v>
      </c>
      <c r="DB19" s="136" t="str">
        <f>IF($D19&lt;&gt;"Feature",".",
IF(VLOOKUP($B19,Feature_List!$A:$AM,MATCH(DB$1,  Feature_List!$A$1:$AM$1,0),0)=AT19,".","NO"))</f>
        <v>.</v>
      </c>
      <c r="DC19" s="136" t="str">
        <f>IF($D19&lt;&gt;"Feature",".",
IF(VLOOKUP($B19,Feature_List!$A:$AM,MATCH(DC$1,  Feature_List!$A$1:$AM$1,0),0)=AU19,".","NO"))</f>
        <v>.</v>
      </c>
      <c r="DD19" s="136" t="str">
        <f>IF($D19&lt;&gt;"Feature",".",
IF(VLOOKUP($B19,Feature_List!$A:$AM,MATCH(DD$1,  Feature_List!$A$1:$AM$1,0),0)=AV19,".","NO"))</f>
        <v>.</v>
      </c>
      <c r="DE19" s="136" t="str">
        <f>IF($D19&lt;&gt;"Feature",".",
IF(VLOOKUP($B19,Feature_List!$A:$AM,MATCH(DE$1,  Feature_List!$A$1:$AM$1,0),0)=AW19,".","NO"))</f>
        <v>.</v>
      </c>
      <c r="DF19" s="136" t="str">
        <f>IF($D19&lt;&gt;"Feature",".",
IF(VLOOKUP($B19,Feature_List!$A:$AM,MATCH(DF$1,  Feature_List!$A$1:$AM$1,0),0)=AX19,".","NO"))</f>
        <v>.</v>
      </c>
      <c r="DG19" s="136" t="str">
        <f>IF($D19&lt;&gt;"Feature",".",
IF(VLOOKUP($B19,Feature_List!$A:$AM,MATCH(DG$1,  Feature_List!$A$1:$AM$1,0),0)=AY19,".","NO"))</f>
        <v>.</v>
      </c>
      <c r="DH19" s="136" t="str">
        <f>IF($D19&lt;&gt;"Feature",".",
IF(VLOOKUP($B19,Feature_List!$A:$AM,MATCH(DH$1,  Feature_List!$A$1:$AM$1,0),0)=AZ19,".","NO"))</f>
        <v>.</v>
      </c>
      <c r="DI19" s="136" t="str">
        <f>IF($D19&lt;&gt;"Feature",".",
IF(VLOOKUP($B19,Feature_List!$A:$AM,MATCH(DI$1,  Feature_List!$A$1:$AM$1,0),0)=BA19,".","NO"))</f>
        <v>.</v>
      </c>
      <c r="DJ19" s="136" t="str">
        <f>IF($D19&lt;&gt;"Feature",".",
IF(VLOOKUP($B19,Feature_List!$A:$AM,MATCH(DJ$1,  Feature_List!$A$1:$AM$1,0),0)=BB19,".","NO"))</f>
        <v>.</v>
      </c>
      <c r="DK19" s="136"/>
      <c r="DL19" s="136"/>
      <c r="DM19" s="136"/>
      <c r="DN19" s="136" t="str">
        <f>IF($D19&lt;&gt;"Feature",".",
IF(VLOOKUP($B19,Feature_List!$A:$AM,MATCH(DN$1,  Feature_List!$A$1:$AM$1,0),0)=BC19,".","NO"))</f>
        <v>.</v>
      </c>
      <c r="DO19" s="136" t="str">
        <f>IF($D19&lt;&gt;"Feature",".",
IF(VLOOKUP($B19,Feature_List!$A:$AM,MATCH(DO$1,  Feature_List!$A$1:$AM$1,0),0)=BD19,".","NO"))</f>
        <v>.</v>
      </c>
    </row>
    <row r="20" spans="1:119" x14ac:dyDescent="0.3">
      <c r="A20" s="142"/>
      <c r="B20" s="121">
        <v>376255</v>
      </c>
      <c r="C20" s="122" t="s">
        <v>604</v>
      </c>
      <c r="D20" s="122" t="s">
        <v>71</v>
      </c>
      <c r="E20" s="122" t="s">
        <v>687</v>
      </c>
      <c r="F20" s="138" t="s">
        <v>641</v>
      </c>
      <c r="G20" s="123" t="s">
        <v>641</v>
      </c>
      <c r="H20" s="122" t="s">
        <v>683</v>
      </c>
      <c r="I20" s="124" t="s">
        <v>562</v>
      </c>
      <c r="J20" s="138"/>
      <c r="K20" s="123">
        <v>0</v>
      </c>
      <c r="L20" s="122"/>
      <c r="M20" s="122" t="s">
        <v>663</v>
      </c>
      <c r="N20" s="125"/>
      <c r="O20" s="123">
        <f t="shared" si="0"/>
        <v>0</v>
      </c>
      <c r="P20" s="123" t="str">
        <f t="shared" si="1"/>
        <v>Invalid</v>
      </c>
      <c r="Q20" s="122" t="str">
        <f t="shared" si="24"/>
        <v>Story</v>
      </c>
      <c r="R20" s="126">
        <f t="shared" si="2"/>
        <v>318430</v>
      </c>
      <c r="S20" s="127">
        <f t="shared" si="3"/>
        <v>376255</v>
      </c>
      <c r="T20" s="128" t="e">
        <f>IF($Q20="ZeroEntry", "",VLOOKUP($I20,'Ranking Lookup'!#REF!,2,FALSE))</f>
        <v>#REF!</v>
      </c>
      <c r="U20" s="129" t="str">
        <f t="shared" si="4"/>
        <v/>
      </c>
      <c r="V20" s="129" t="str">
        <f t="shared" si="5"/>
        <v/>
      </c>
      <c r="W20" s="129" t="str">
        <f t="shared" si="6"/>
        <v/>
      </c>
      <c r="X20" s="129" t="str">
        <f t="shared" si="7"/>
        <v/>
      </c>
      <c r="Y20" s="129" t="str">
        <f t="shared" si="8"/>
        <v>Feature</v>
      </c>
      <c r="Z20" s="129" t="str">
        <f t="shared" si="9"/>
        <v/>
      </c>
      <c r="AA20" s="130"/>
      <c r="AB20" s="130" t="str">
        <f t="shared" si="10"/>
        <v>PI 12</v>
      </c>
      <c r="AC20" s="131">
        <f t="shared" si="25"/>
        <v>0</v>
      </c>
      <c r="AD20" s="131">
        <f t="shared" si="26"/>
        <v>0</v>
      </c>
      <c r="AE20" s="132">
        <f t="shared" si="11"/>
        <v>0</v>
      </c>
      <c r="AF20" s="133" t="str">
        <f t="shared" si="27"/>
        <v/>
      </c>
      <c r="AG20" s="134">
        <f t="shared" si="12"/>
        <v>0</v>
      </c>
      <c r="AH20" s="54" t="str">
        <f t="shared" si="13"/>
        <v/>
      </c>
      <c r="AI20" s="54" t="e">
        <f t="shared" si="29"/>
        <v>#REF!</v>
      </c>
      <c r="AJ20" s="54" t="e">
        <f t="shared" si="29"/>
        <v>#REF!</v>
      </c>
      <c r="AK20" s="54" t="e">
        <f t="shared" si="29"/>
        <v>#REF!</v>
      </c>
      <c r="AL20" s="54" t="e">
        <f t="shared" si="29"/>
        <v>#REF!</v>
      </c>
      <c r="AM20" s="54" t="e">
        <f t="shared" si="29"/>
        <v>#REF!</v>
      </c>
      <c r="AN20" s="54" t="e">
        <f t="shared" si="29"/>
        <v>#REF!</v>
      </c>
      <c r="AO20" s="54" t="e">
        <f t="shared" si="29"/>
        <v>#REF!</v>
      </c>
      <c r="AP20" s="54" t="e">
        <f t="shared" si="29"/>
        <v>#REF!</v>
      </c>
      <c r="AQ20" s="54" t="e">
        <f t="shared" si="29"/>
        <v>#REF!</v>
      </c>
      <c r="AR20" s="54" t="e">
        <f t="shared" si="29"/>
        <v>#REF!</v>
      </c>
      <c r="AS20" s="54" t="e">
        <f t="shared" si="29"/>
        <v>#REF!</v>
      </c>
      <c r="AT20" s="54" t="e">
        <f t="shared" si="29"/>
        <v>#REF!</v>
      </c>
      <c r="AU20" s="54" t="e">
        <f t="shared" si="29"/>
        <v>#REF!</v>
      </c>
      <c r="AV20" s="54" t="e">
        <f t="shared" si="29"/>
        <v>#REF!</v>
      </c>
      <c r="AW20" s="54" t="e">
        <f t="shared" si="29"/>
        <v>#REF!</v>
      </c>
      <c r="AX20" s="54" t="e">
        <f t="shared" si="29"/>
        <v>#REF!</v>
      </c>
      <c r="AY20" s="54" t="e">
        <f t="shared" si="15"/>
        <v>#REF!</v>
      </c>
      <c r="AZ20" s="54" t="str">
        <f t="shared" si="16"/>
        <v/>
      </c>
      <c r="BA20" s="54" t="e">
        <f t="shared" si="17"/>
        <v>#REF!</v>
      </c>
      <c r="BB20" s="135" t="str">
        <f t="shared" si="18"/>
        <v/>
      </c>
      <c r="BC20" s="54" t="e">
        <f t="shared" si="19"/>
        <v>#REF!</v>
      </c>
      <c r="BD20" s="54" t="e">
        <f t="shared" si="19"/>
        <v>#REF!</v>
      </c>
      <c r="BE20" s="54" t="e">
        <f t="shared" si="19"/>
        <v>#REF!</v>
      </c>
      <c r="BF20" s="54" t="str">
        <f t="shared" si="20"/>
        <v/>
      </c>
      <c r="BG20" s="54" t="str">
        <f t="shared" si="21"/>
        <v/>
      </c>
      <c r="BH20" s="34" t="e">
        <f t="shared" si="22"/>
        <v>#REF!</v>
      </c>
      <c r="BI20" s="34" t="e">
        <f t="shared" si="23"/>
        <v>#REF!</v>
      </c>
      <c r="BJ20" s="136" t="str">
        <f>IF($D20&lt;&gt;"Feature",".",
IF(VLOOKUP($B20,Feature_List!$A:$AM,MATCH(BJ$1,  Feature_List!$A$1:$AM$1,0),0)=B20,".","NO"))</f>
        <v>.</v>
      </c>
      <c r="BK20" s="136"/>
      <c r="BL20" s="136"/>
      <c r="BM20" s="136" t="str">
        <f>IF($D20&lt;&gt;"Feature",".",
IF(VLOOKUP($B20,Feature_List!$A:$AM,MATCH(BM$1,  Feature_List!$A$1:$AM$1,0),0)=E20,".","NO"))</f>
        <v>.</v>
      </c>
      <c r="BN20" s="136" t="str">
        <f>IF($D20&lt;&gt;"Feature",".",
IF(VLOOKUP($B20,Feature_List!$A:$AM,MATCH(BN$1,  Feature_List!$A$1:$AM$1,0),0)=F20,".","NO"))</f>
        <v>.</v>
      </c>
      <c r="BO20" s="136" t="str">
        <f>IF($D20&lt;&gt;"Feature",".",
IF(VLOOKUP($B20,Feature_List!$A:$AM,MATCH(BO$1,  Feature_List!$A$1:$AM$1,0),0)=G20,".","NO"))</f>
        <v>.</v>
      </c>
      <c r="BP20" s="136" t="str">
        <f>IF($D20&lt;&gt;"Feature",".",
IF(VLOOKUP($B20,Feature_List!$A:$AM,MATCH(BP$1,  Feature_List!$A$1:$AM$1,0),0)=H20,".","NO"))</f>
        <v>.</v>
      </c>
      <c r="BQ20" s="136"/>
      <c r="BR20" s="136" t="str">
        <f>IF($D20&lt;&gt;"Feature",".",
IF(VLOOKUP($B20,Feature_List!$A:$AM,MATCH(BR$1,  Feature_List!$A$1:$AM$1,0),0)=J20,".","NO"))</f>
        <v>.</v>
      </c>
      <c r="BS20" s="136"/>
      <c r="BT20" s="136"/>
      <c r="BU20" s="136" t="str">
        <f>IF($D20&lt;&gt;"Feature",".",
IF(VLOOKUP($B20,Feature_List!$A:$AM,MATCH(BU$1,  Feature_List!$A$1:$AM$1,0),0)=M20,".","NO"))</f>
        <v>.</v>
      </c>
      <c r="BV20" s="136" t="str">
        <f>IF($D20&lt;&gt;"Feature",".",
IF(VLOOKUP($B20,Feature_List!$A:$AM,MATCH(BV$1,  Feature_List!$A$1:$AM$1,0),0)=N20,".","NO"))</f>
        <v>.</v>
      </c>
      <c r="BW20" s="136"/>
      <c r="BX20" s="136"/>
      <c r="BY20" s="136"/>
      <c r="BZ20" s="136"/>
      <c r="CA20" s="136"/>
      <c r="CB20" s="136" t="str">
        <f>IF($D20&lt;&gt;"Feature",".",
IF(VLOOKUP($B20,Feature_List!$A:$AM,MATCH(CB$1,  Feature_List!$A$1:$AM$1,0),0)=T20,".","NO"))</f>
        <v>.</v>
      </c>
      <c r="CC20" s="136"/>
      <c r="CD20" s="136"/>
      <c r="CE20" s="136"/>
      <c r="CF20" s="136"/>
      <c r="CG20" s="136"/>
      <c r="CH20" s="136"/>
      <c r="CI20" s="136"/>
      <c r="CJ20" s="136"/>
      <c r="CK20" s="136"/>
      <c r="CL20" s="136"/>
      <c r="CM20" s="136"/>
      <c r="CN20" s="136"/>
      <c r="CO20" s="136" t="str">
        <f>IF($D20&lt;&gt;"Feature",".",
IF(VLOOKUP($B20,Feature_List!$A:$AM,MATCH(CO$1,  Feature_List!$A$1:$AM$1,0),0)=AG20,".","NO"))</f>
        <v>.</v>
      </c>
      <c r="CP20" s="136" t="str">
        <f>IF($D20&lt;&gt;"Feature",".",
IF(VLOOKUP($B20,Feature_List!$A:$AM,MATCH(CP$1,  Feature_List!$A$1:$AM$1,0),0)=AH20,".","NO"))</f>
        <v>.</v>
      </c>
      <c r="CQ20" s="136" t="str">
        <f>IF($D20&lt;&gt;"Feature",".",
IF(VLOOKUP($B20,Feature_List!$A:$AM,MATCH(CQ$1,  Feature_List!$A$1:$AM$1,0),0)=AI20,".","NO"))</f>
        <v>.</v>
      </c>
      <c r="CR20" s="136" t="str">
        <f>IF($D20&lt;&gt;"Feature",".",
IF(VLOOKUP($B20,Feature_List!$A:$AM,MATCH(CR$1,  Feature_List!$A$1:$AM$1,0),0)=AJ20,".","NO"))</f>
        <v>.</v>
      </c>
      <c r="CS20" s="136" t="str">
        <f>IF($D20&lt;&gt;"Feature",".",
IF(VLOOKUP($B20,Feature_List!$A:$AM,MATCH(CS$1,  Feature_List!$A$1:$AM$1,0),0)=AK20,".","NO"))</f>
        <v>.</v>
      </c>
      <c r="CT20" s="136" t="str">
        <f>IF($D20&lt;&gt;"Feature",".",
IF(VLOOKUP($B20,Feature_List!$A:$AM,MATCH(CT$1,  Feature_List!$A$1:$AM$1,0),0)=AL20,".","NO"))</f>
        <v>.</v>
      </c>
      <c r="CU20" s="136" t="str">
        <f>IF($D20&lt;&gt;"Feature",".",
IF(VLOOKUP($B20,Feature_List!$A:$AM,MATCH(CU$1,  Feature_List!$A$1:$AM$1,0),0)=AM20,".","NO"))</f>
        <v>.</v>
      </c>
      <c r="CV20" s="136" t="str">
        <f>IF($D20&lt;&gt;"Feature",".",
IF(VLOOKUP($B20,Feature_List!$A:$AM,MATCH(CV$1,  Feature_List!$A$1:$AM$1,0),0)=AN20,".","NO"))</f>
        <v>.</v>
      </c>
      <c r="CW20" s="136" t="str">
        <f>IF($D20&lt;&gt;"Feature",".",
IF(VLOOKUP($B20,Feature_List!$A:$AM,MATCH(CW$1,  Feature_List!$A$1:$AM$1,0),0)=AO20,".","NO"))</f>
        <v>.</v>
      </c>
      <c r="CX20" s="136" t="str">
        <f>IF($D20&lt;&gt;"Feature",".",
IF(VLOOKUP($B20,Feature_List!$A:$AM,MATCH(CX$1,  Feature_List!$A$1:$AM$1,0),0)=AP20,".","NO"))</f>
        <v>.</v>
      </c>
      <c r="CY20" s="136" t="str">
        <f>IF($D20&lt;&gt;"Feature",".",
IF(VLOOKUP($B20,Feature_List!$A:$AM,MATCH(CY$1,  Feature_List!$A$1:$AM$1,0),0)=AQ20,".","NO"))</f>
        <v>.</v>
      </c>
      <c r="CZ20" s="136" t="str">
        <f>IF($D20&lt;&gt;"Feature",".",
IF(VLOOKUP($B20,Feature_List!$A:$AM,MATCH(CZ$1,  Feature_List!$A$1:$AM$1,0),0)=AR20,".","NO"))</f>
        <v>.</v>
      </c>
      <c r="DA20" s="136" t="str">
        <f>IF($D20&lt;&gt;"Feature",".",
IF(VLOOKUP($B20,Feature_List!$A:$AM,MATCH(DA$1,  Feature_List!$A$1:$AM$1,0),0)=AS20,".","NO"))</f>
        <v>.</v>
      </c>
      <c r="DB20" s="136" t="str">
        <f>IF($D20&lt;&gt;"Feature",".",
IF(VLOOKUP($B20,Feature_List!$A:$AM,MATCH(DB$1,  Feature_List!$A$1:$AM$1,0),0)=AT20,".","NO"))</f>
        <v>.</v>
      </c>
      <c r="DC20" s="136" t="str">
        <f>IF($D20&lt;&gt;"Feature",".",
IF(VLOOKUP($B20,Feature_List!$A:$AM,MATCH(DC$1,  Feature_List!$A$1:$AM$1,0),0)=AU20,".","NO"))</f>
        <v>.</v>
      </c>
      <c r="DD20" s="136" t="str">
        <f>IF($D20&lt;&gt;"Feature",".",
IF(VLOOKUP($B20,Feature_List!$A:$AM,MATCH(DD$1,  Feature_List!$A$1:$AM$1,0),0)=AV20,".","NO"))</f>
        <v>.</v>
      </c>
      <c r="DE20" s="136" t="str">
        <f>IF($D20&lt;&gt;"Feature",".",
IF(VLOOKUP($B20,Feature_List!$A:$AM,MATCH(DE$1,  Feature_List!$A$1:$AM$1,0),0)=AW20,".","NO"))</f>
        <v>.</v>
      </c>
      <c r="DF20" s="136" t="str">
        <f>IF($D20&lt;&gt;"Feature",".",
IF(VLOOKUP($B20,Feature_List!$A:$AM,MATCH(DF$1,  Feature_List!$A$1:$AM$1,0),0)=AX20,".","NO"))</f>
        <v>.</v>
      </c>
      <c r="DG20" s="136" t="str">
        <f>IF($D20&lt;&gt;"Feature",".",
IF(VLOOKUP($B20,Feature_List!$A:$AM,MATCH(DG$1,  Feature_List!$A$1:$AM$1,0),0)=AY20,".","NO"))</f>
        <v>.</v>
      </c>
      <c r="DH20" s="136" t="str">
        <f>IF($D20&lt;&gt;"Feature",".",
IF(VLOOKUP($B20,Feature_List!$A:$AM,MATCH(DH$1,  Feature_List!$A$1:$AM$1,0),0)=AZ20,".","NO"))</f>
        <v>.</v>
      </c>
      <c r="DI20" s="136" t="str">
        <f>IF($D20&lt;&gt;"Feature",".",
IF(VLOOKUP($B20,Feature_List!$A:$AM,MATCH(DI$1,  Feature_List!$A$1:$AM$1,0),0)=BA20,".","NO"))</f>
        <v>.</v>
      </c>
      <c r="DJ20" s="136" t="str">
        <f>IF($D20&lt;&gt;"Feature",".",
IF(VLOOKUP($B20,Feature_List!$A:$AM,MATCH(DJ$1,  Feature_List!$A$1:$AM$1,0),0)=BB20,".","NO"))</f>
        <v>.</v>
      </c>
      <c r="DK20" s="136"/>
      <c r="DL20" s="136"/>
      <c r="DM20" s="136"/>
      <c r="DN20" s="136" t="str">
        <f>IF($D20&lt;&gt;"Feature",".",
IF(VLOOKUP($B20,Feature_List!$A:$AM,MATCH(DN$1,  Feature_List!$A$1:$AM$1,0),0)=BC20,".","NO"))</f>
        <v>.</v>
      </c>
      <c r="DO20" s="136" t="str">
        <f>IF($D20&lt;&gt;"Feature",".",
IF(VLOOKUP($B20,Feature_List!$A:$AM,MATCH(DO$1,  Feature_List!$A$1:$AM$1,0),0)=BD20,".","NO"))</f>
        <v>.</v>
      </c>
    </row>
    <row r="21" spans="1:119" x14ac:dyDescent="0.3">
      <c r="A21" s="142"/>
      <c r="B21" s="121">
        <v>376254</v>
      </c>
      <c r="C21" s="122" t="s">
        <v>604</v>
      </c>
      <c r="D21" s="122" t="s">
        <v>71</v>
      </c>
      <c r="E21" s="122" t="s">
        <v>688</v>
      </c>
      <c r="F21" s="138" t="s">
        <v>661</v>
      </c>
      <c r="G21" s="123" t="s">
        <v>661</v>
      </c>
      <c r="H21" s="122" t="s">
        <v>683</v>
      </c>
      <c r="I21" s="124" t="s">
        <v>562</v>
      </c>
      <c r="J21" s="138"/>
      <c r="K21" s="123">
        <v>0</v>
      </c>
      <c r="L21" s="122"/>
      <c r="M21" s="122" t="s">
        <v>676</v>
      </c>
      <c r="N21" s="125"/>
      <c r="O21" s="123">
        <f t="shared" si="0"/>
        <v>0</v>
      </c>
      <c r="P21" s="123" t="str">
        <f t="shared" si="1"/>
        <v>Invalid</v>
      </c>
      <c r="Q21" s="122" t="str">
        <f t="shared" si="24"/>
        <v>Story</v>
      </c>
      <c r="R21" s="126">
        <f t="shared" si="2"/>
        <v>318430</v>
      </c>
      <c r="S21" s="127">
        <f t="shared" si="3"/>
        <v>376254</v>
      </c>
      <c r="T21" s="128" t="e">
        <f>IF($Q21="ZeroEntry", "",VLOOKUP($I21,'Ranking Lookup'!#REF!,2,FALSE))</f>
        <v>#REF!</v>
      </c>
      <c r="U21" s="129" t="str">
        <f t="shared" si="4"/>
        <v/>
      </c>
      <c r="V21" s="129" t="str">
        <f t="shared" si="5"/>
        <v/>
      </c>
      <c r="W21" s="129" t="str">
        <f t="shared" si="6"/>
        <v/>
      </c>
      <c r="X21" s="129" t="str">
        <f t="shared" si="7"/>
        <v/>
      </c>
      <c r="Y21" s="129" t="str">
        <f t="shared" si="8"/>
        <v>Feature</v>
      </c>
      <c r="Z21" s="129" t="str">
        <f t="shared" si="9"/>
        <v/>
      </c>
      <c r="AA21" s="130"/>
      <c r="AB21" s="130" t="str">
        <f t="shared" si="10"/>
        <v>PI 12</v>
      </c>
      <c r="AC21" s="131">
        <f t="shared" si="25"/>
        <v>0</v>
      </c>
      <c r="AD21" s="131">
        <f t="shared" si="26"/>
        <v>0</v>
      </c>
      <c r="AE21" s="132">
        <f t="shared" si="11"/>
        <v>0</v>
      </c>
      <c r="AF21" s="133" t="str">
        <f t="shared" si="27"/>
        <v/>
      </c>
      <c r="AG21" s="134">
        <f t="shared" si="12"/>
        <v>0</v>
      </c>
      <c r="AH21" s="54" t="str">
        <f t="shared" si="13"/>
        <v/>
      </c>
      <c r="AI21" s="54" t="e">
        <f t="shared" si="29"/>
        <v>#REF!</v>
      </c>
      <c r="AJ21" s="54" t="e">
        <f t="shared" si="29"/>
        <v>#REF!</v>
      </c>
      <c r="AK21" s="54" t="e">
        <f t="shared" si="29"/>
        <v>#REF!</v>
      </c>
      <c r="AL21" s="54" t="e">
        <f t="shared" si="29"/>
        <v>#REF!</v>
      </c>
      <c r="AM21" s="54" t="e">
        <f t="shared" si="29"/>
        <v>#REF!</v>
      </c>
      <c r="AN21" s="54" t="e">
        <f t="shared" si="29"/>
        <v>#REF!</v>
      </c>
      <c r="AO21" s="54" t="e">
        <f t="shared" si="29"/>
        <v>#REF!</v>
      </c>
      <c r="AP21" s="54" t="e">
        <f t="shared" si="29"/>
        <v>#REF!</v>
      </c>
      <c r="AQ21" s="54" t="e">
        <f t="shared" si="29"/>
        <v>#REF!</v>
      </c>
      <c r="AR21" s="54" t="e">
        <f t="shared" si="29"/>
        <v>#REF!</v>
      </c>
      <c r="AS21" s="54" t="e">
        <f t="shared" si="29"/>
        <v>#REF!</v>
      </c>
      <c r="AT21" s="54" t="e">
        <f t="shared" si="29"/>
        <v>#REF!</v>
      </c>
      <c r="AU21" s="54" t="e">
        <f t="shared" si="29"/>
        <v>#REF!</v>
      </c>
      <c r="AV21" s="54" t="e">
        <f t="shared" si="29"/>
        <v>#REF!</v>
      </c>
      <c r="AW21" s="54" t="e">
        <f t="shared" si="29"/>
        <v>#REF!</v>
      </c>
      <c r="AX21" s="54" t="e">
        <f t="shared" si="29"/>
        <v>#REF!</v>
      </c>
      <c r="AY21" s="54" t="e">
        <f t="shared" si="15"/>
        <v>#REF!</v>
      </c>
      <c r="AZ21" s="54" t="str">
        <f t="shared" si="16"/>
        <v/>
      </c>
      <c r="BA21" s="54" t="e">
        <f t="shared" si="17"/>
        <v>#REF!</v>
      </c>
      <c r="BB21" s="135" t="str">
        <f t="shared" si="18"/>
        <v/>
      </c>
      <c r="BC21" s="54" t="e">
        <f t="shared" si="19"/>
        <v>#REF!</v>
      </c>
      <c r="BD21" s="54" t="e">
        <f t="shared" si="19"/>
        <v>#REF!</v>
      </c>
      <c r="BE21" s="54" t="e">
        <f t="shared" si="19"/>
        <v>#REF!</v>
      </c>
      <c r="BF21" s="54" t="str">
        <f t="shared" si="20"/>
        <v/>
      </c>
      <c r="BG21" s="54" t="str">
        <f t="shared" si="21"/>
        <v/>
      </c>
      <c r="BH21" s="34" t="e">
        <f t="shared" si="22"/>
        <v>#REF!</v>
      </c>
      <c r="BI21" s="34" t="e">
        <f t="shared" si="23"/>
        <v>#REF!</v>
      </c>
      <c r="BJ21" s="136" t="str">
        <f>IF($D21&lt;&gt;"Feature",".",
IF(VLOOKUP($B21,Feature_List!$A:$AM,MATCH(BJ$1,  Feature_List!$A$1:$AM$1,0),0)=B21,".","NO"))</f>
        <v>.</v>
      </c>
      <c r="BK21" s="136"/>
      <c r="BL21" s="136"/>
      <c r="BM21" s="136" t="str">
        <f>IF($D21&lt;&gt;"Feature",".",
IF(VLOOKUP($B21,Feature_List!$A:$AM,MATCH(BM$1,  Feature_List!$A$1:$AM$1,0),0)=E21,".","NO"))</f>
        <v>.</v>
      </c>
      <c r="BN21" s="136" t="str">
        <f>IF($D21&lt;&gt;"Feature",".",
IF(VLOOKUP($B21,Feature_List!$A:$AM,MATCH(BN$1,  Feature_List!$A$1:$AM$1,0),0)=F21,".","NO"))</f>
        <v>.</v>
      </c>
      <c r="BO21" s="136" t="str">
        <f>IF($D21&lt;&gt;"Feature",".",
IF(VLOOKUP($B21,Feature_List!$A:$AM,MATCH(BO$1,  Feature_List!$A$1:$AM$1,0),0)=G21,".","NO"))</f>
        <v>.</v>
      </c>
      <c r="BP21" s="136" t="str">
        <f>IF($D21&lt;&gt;"Feature",".",
IF(VLOOKUP($B21,Feature_List!$A:$AM,MATCH(BP$1,  Feature_List!$A$1:$AM$1,0),0)=H21,".","NO"))</f>
        <v>.</v>
      </c>
      <c r="BQ21" s="136"/>
      <c r="BR21" s="136" t="str">
        <f>IF($D21&lt;&gt;"Feature",".",
IF(VLOOKUP($B21,Feature_List!$A:$AM,MATCH(BR$1,  Feature_List!$A$1:$AM$1,0),0)=J21,".","NO"))</f>
        <v>.</v>
      </c>
      <c r="BS21" s="136"/>
      <c r="BT21" s="136"/>
      <c r="BU21" s="136" t="str">
        <f>IF($D21&lt;&gt;"Feature",".",
IF(VLOOKUP($B21,Feature_List!$A:$AM,MATCH(BU$1,  Feature_List!$A$1:$AM$1,0),0)=M21,".","NO"))</f>
        <v>.</v>
      </c>
      <c r="BV21" s="136" t="str">
        <f>IF($D21&lt;&gt;"Feature",".",
IF(VLOOKUP($B21,Feature_List!$A:$AM,MATCH(BV$1,  Feature_List!$A$1:$AM$1,0),0)=N21,".","NO"))</f>
        <v>.</v>
      </c>
      <c r="BW21" s="136"/>
      <c r="BX21" s="136"/>
      <c r="BY21" s="136"/>
      <c r="BZ21" s="136"/>
      <c r="CA21" s="136"/>
      <c r="CB21" s="136" t="str">
        <f>IF($D21&lt;&gt;"Feature",".",
IF(VLOOKUP($B21,Feature_List!$A:$AM,MATCH(CB$1,  Feature_List!$A$1:$AM$1,0),0)=T21,".","NO"))</f>
        <v>.</v>
      </c>
      <c r="CC21" s="136"/>
      <c r="CD21" s="136"/>
      <c r="CE21" s="136"/>
      <c r="CF21" s="136"/>
      <c r="CG21" s="136"/>
      <c r="CH21" s="136"/>
      <c r="CI21" s="136"/>
      <c r="CJ21" s="136"/>
      <c r="CK21" s="136"/>
      <c r="CL21" s="136"/>
      <c r="CM21" s="136"/>
      <c r="CN21" s="136"/>
      <c r="CO21" s="136" t="str">
        <f>IF($D21&lt;&gt;"Feature",".",
IF(VLOOKUP($B21,Feature_List!$A:$AM,MATCH(CO$1,  Feature_List!$A$1:$AM$1,0),0)=AG21,".","NO"))</f>
        <v>.</v>
      </c>
      <c r="CP21" s="136" t="str">
        <f>IF($D21&lt;&gt;"Feature",".",
IF(VLOOKUP($B21,Feature_List!$A:$AM,MATCH(CP$1,  Feature_List!$A$1:$AM$1,0),0)=AH21,".","NO"))</f>
        <v>.</v>
      </c>
      <c r="CQ21" s="136" t="str">
        <f>IF($D21&lt;&gt;"Feature",".",
IF(VLOOKUP($B21,Feature_List!$A:$AM,MATCH(CQ$1,  Feature_List!$A$1:$AM$1,0),0)=AI21,".","NO"))</f>
        <v>.</v>
      </c>
      <c r="CR21" s="136" t="str">
        <f>IF($D21&lt;&gt;"Feature",".",
IF(VLOOKUP($B21,Feature_List!$A:$AM,MATCH(CR$1,  Feature_List!$A$1:$AM$1,0),0)=AJ21,".","NO"))</f>
        <v>.</v>
      </c>
      <c r="CS21" s="136" t="str">
        <f>IF($D21&lt;&gt;"Feature",".",
IF(VLOOKUP($B21,Feature_List!$A:$AM,MATCH(CS$1,  Feature_List!$A$1:$AM$1,0),0)=AK21,".","NO"))</f>
        <v>.</v>
      </c>
      <c r="CT21" s="136" t="str">
        <f>IF($D21&lt;&gt;"Feature",".",
IF(VLOOKUP($B21,Feature_List!$A:$AM,MATCH(CT$1,  Feature_List!$A$1:$AM$1,0),0)=AL21,".","NO"))</f>
        <v>.</v>
      </c>
      <c r="CU21" s="136" t="str">
        <f>IF($D21&lt;&gt;"Feature",".",
IF(VLOOKUP($B21,Feature_List!$A:$AM,MATCH(CU$1,  Feature_List!$A$1:$AM$1,0),0)=AM21,".","NO"))</f>
        <v>.</v>
      </c>
      <c r="CV21" s="136" t="str">
        <f>IF($D21&lt;&gt;"Feature",".",
IF(VLOOKUP($B21,Feature_List!$A:$AM,MATCH(CV$1,  Feature_List!$A$1:$AM$1,0),0)=AN21,".","NO"))</f>
        <v>.</v>
      </c>
      <c r="CW21" s="136" t="str">
        <f>IF($D21&lt;&gt;"Feature",".",
IF(VLOOKUP($B21,Feature_List!$A:$AM,MATCH(CW$1,  Feature_List!$A$1:$AM$1,0),0)=AO21,".","NO"))</f>
        <v>.</v>
      </c>
      <c r="CX21" s="136" t="str">
        <f>IF($D21&lt;&gt;"Feature",".",
IF(VLOOKUP($B21,Feature_List!$A:$AM,MATCH(CX$1,  Feature_List!$A$1:$AM$1,0),0)=AP21,".","NO"))</f>
        <v>.</v>
      </c>
      <c r="CY21" s="136" t="str">
        <f>IF($D21&lt;&gt;"Feature",".",
IF(VLOOKUP($B21,Feature_List!$A:$AM,MATCH(CY$1,  Feature_List!$A$1:$AM$1,0),0)=AQ21,".","NO"))</f>
        <v>.</v>
      </c>
      <c r="CZ21" s="136" t="str">
        <f>IF($D21&lt;&gt;"Feature",".",
IF(VLOOKUP($B21,Feature_List!$A:$AM,MATCH(CZ$1,  Feature_List!$A$1:$AM$1,0),0)=AR21,".","NO"))</f>
        <v>.</v>
      </c>
      <c r="DA21" s="136" t="str">
        <f>IF($D21&lt;&gt;"Feature",".",
IF(VLOOKUP($B21,Feature_List!$A:$AM,MATCH(DA$1,  Feature_List!$A$1:$AM$1,0),0)=AS21,".","NO"))</f>
        <v>.</v>
      </c>
      <c r="DB21" s="136" t="str">
        <f>IF($D21&lt;&gt;"Feature",".",
IF(VLOOKUP($B21,Feature_List!$A:$AM,MATCH(DB$1,  Feature_List!$A$1:$AM$1,0),0)=AT21,".","NO"))</f>
        <v>.</v>
      </c>
      <c r="DC21" s="136" t="str">
        <f>IF($D21&lt;&gt;"Feature",".",
IF(VLOOKUP($B21,Feature_List!$A:$AM,MATCH(DC$1,  Feature_List!$A$1:$AM$1,0),0)=AU21,".","NO"))</f>
        <v>.</v>
      </c>
      <c r="DD21" s="136" t="str">
        <f>IF($D21&lt;&gt;"Feature",".",
IF(VLOOKUP($B21,Feature_List!$A:$AM,MATCH(DD$1,  Feature_List!$A$1:$AM$1,0),0)=AV21,".","NO"))</f>
        <v>.</v>
      </c>
      <c r="DE21" s="136" t="str">
        <f>IF($D21&lt;&gt;"Feature",".",
IF(VLOOKUP($B21,Feature_List!$A:$AM,MATCH(DE$1,  Feature_List!$A$1:$AM$1,0),0)=AW21,".","NO"))</f>
        <v>.</v>
      </c>
      <c r="DF21" s="136" t="str">
        <f>IF($D21&lt;&gt;"Feature",".",
IF(VLOOKUP($B21,Feature_List!$A:$AM,MATCH(DF$1,  Feature_List!$A$1:$AM$1,0),0)=AX21,".","NO"))</f>
        <v>.</v>
      </c>
      <c r="DG21" s="136" t="str">
        <f>IF($D21&lt;&gt;"Feature",".",
IF(VLOOKUP($B21,Feature_List!$A:$AM,MATCH(DG$1,  Feature_List!$A$1:$AM$1,0),0)=AY21,".","NO"))</f>
        <v>.</v>
      </c>
      <c r="DH21" s="136" t="str">
        <f>IF($D21&lt;&gt;"Feature",".",
IF(VLOOKUP($B21,Feature_List!$A:$AM,MATCH(DH$1,  Feature_List!$A$1:$AM$1,0),0)=AZ21,".","NO"))</f>
        <v>.</v>
      </c>
      <c r="DI21" s="136" t="str">
        <f>IF($D21&lt;&gt;"Feature",".",
IF(VLOOKUP($B21,Feature_List!$A:$AM,MATCH(DI$1,  Feature_List!$A$1:$AM$1,0),0)=BA21,".","NO"))</f>
        <v>.</v>
      </c>
      <c r="DJ21" s="136" t="str">
        <f>IF($D21&lt;&gt;"Feature",".",
IF(VLOOKUP($B21,Feature_List!$A:$AM,MATCH(DJ$1,  Feature_List!$A$1:$AM$1,0),0)=BB21,".","NO"))</f>
        <v>.</v>
      </c>
      <c r="DK21" s="136"/>
      <c r="DL21" s="136"/>
      <c r="DM21" s="136"/>
      <c r="DN21" s="136" t="str">
        <f>IF($D21&lt;&gt;"Feature",".",
IF(VLOOKUP($B21,Feature_List!$A:$AM,MATCH(DN$1,  Feature_List!$A$1:$AM$1,0),0)=BC21,".","NO"))</f>
        <v>.</v>
      </c>
      <c r="DO21" s="136" t="str">
        <f>IF($D21&lt;&gt;"Feature",".",
IF(VLOOKUP($B21,Feature_List!$A:$AM,MATCH(DO$1,  Feature_List!$A$1:$AM$1,0),0)=BD21,".","NO"))</f>
        <v>.</v>
      </c>
    </row>
    <row r="22" spans="1:119" x14ac:dyDescent="0.3">
      <c r="B22" s="121">
        <v>376253</v>
      </c>
      <c r="C22" s="122" t="s">
        <v>604</v>
      </c>
      <c r="D22" s="122" t="s">
        <v>71</v>
      </c>
      <c r="E22" s="122" t="s">
        <v>689</v>
      </c>
      <c r="F22" s="138" t="s">
        <v>661</v>
      </c>
      <c r="G22" s="123" t="s">
        <v>661</v>
      </c>
      <c r="H22" s="122" t="s">
        <v>683</v>
      </c>
      <c r="I22" s="124" t="s">
        <v>562</v>
      </c>
      <c r="J22" s="138"/>
      <c r="K22" s="123">
        <v>0</v>
      </c>
      <c r="L22" s="122"/>
      <c r="M22" s="122" t="s">
        <v>663</v>
      </c>
      <c r="N22" s="125"/>
      <c r="O22" s="123">
        <f t="shared" si="0"/>
        <v>0</v>
      </c>
      <c r="P22" s="123" t="str">
        <f t="shared" si="1"/>
        <v>Invalid</v>
      </c>
      <c r="Q22" s="122" t="str">
        <f t="shared" si="24"/>
        <v>Story</v>
      </c>
      <c r="R22" s="126">
        <f t="shared" si="2"/>
        <v>318430</v>
      </c>
      <c r="S22" s="127">
        <f t="shared" si="3"/>
        <v>376253</v>
      </c>
      <c r="T22" s="128" t="e">
        <f>IF($Q22="ZeroEntry", "",VLOOKUP($I22,'Ranking Lookup'!#REF!,2,FALSE))</f>
        <v>#REF!</v>
      </c>
      <c r="U22" s="129" t="str">
        <f t="shared" si="4"/>
        <v/>
      </c>
      <c r="V22" s="129" t="str">
        <f t="shared" si="5"/>
        <v/>
      </c>
      <c r="W22" s="129" t="str">
        <f t="shared" si="6"/>
        <v/>
      </c>
      <c r="X22" s="129" t="str">
        <f t="shared" si="7"/>
        <v/>
      </c>
      <c r="Y22" s="129" t="str">
        <f t="shared" si="8"/>
        <v>Feature</v>
      </c>
      <c r="Z22" s="129" t="str">
        <f t="shared" si="9"/>
        <v/>
      </c>
      <c r="AA22" s="130"/>
      <c r="AB22" s="130" t="str">
        <f t="shared" si="10"/>
        <v>PI 12</v>
      </c>
      <c r="AC22" s="131">
        <f t="shared" si="25"/>
        <v>0</v>
      </c>
      <c r="AD22" s="131">
        <f t="shared" si="26"/>
        <v>0</v>
      </c>
      <c r="AE22" s="132">
        <f t="shared" si="11"/>
        <v>0</v>
      </c>
      <c r="AF22" s="133" t="str">
        <f t="shared" si="27"/>
        <v/>
      </c>
      <c r="AG22" s="134">
        <f t="shared" si="12"/>
        <v>0</v>
      </c>
      <c r="AH22" s="54" t="str">
        <f t="shared" si="13"/>
        <v/>
      </c>
      <c r="AI22" s="54" t="e">
        <f t="shared" si="29"/>
        <v>#REF!</v>
      </c>
      <c r="AJ22" s="54" t="e">
        <f t="shared" si="29"/>
        <v>#REF!</v>
      </c>
      <c r="AK22" s="54" t="e">
        <f t="shared" si="29"/>
        <v>#REF!</v>
      </c>
      <c r="AL22" s="54" t="e">
        <f t="shared" si="29"/>
        <v>#REF!</v>
      </c>
      <c r="AM22" s="54" t="e">
        <f t="shared" si="29"/>
        <v>#REF!</v>
      </c>
      <c r="AN22" s="54" t="e">
        <f t="shared" si="29"/>
        <v>#REF!</v>
      </c>
      <c r="AO22" s="54" t="e">
        <f t="shared" si="29"/>
        <v>#REF!</v>
      </c>
      <c r="AP22" s="54" t="e">
        <f t="shared" si="29"/>
        <v>#REF!</v>
      </c>
      <c r="AQ22" s="54" t="e">
        <f t="shared" si="29"/>
        <v>#REF!</v>
      </c>
      <c r="AR22" s="54" t="e">
        <f t="shared" si="29"/>
        <v>#REF!</v>
      </c>
      <c r="AS22" s="54" t="e">
        <f t="shared" si="29"/>
        <v>#REF!</v>
      </c>
      <c r="AT22" s="54" t="e">
        <f t="shared" si="29"/>
        <v>#REF!</v>
      </c>
      <c r="AU22" s="54" t="e">
        <f t="shared" si="29"/>
        <v>#REF!</v>
      </c>
      <c r="AV22" s="54" t="e">
        <f t="shared" si="29"/>
        <v>#REF!</v>
      </c>
      <c r="AW22" s="54" t="e">
        <f t="shared" si="29"/>
        <v>#REF!</v>
      </c>
      <c r="AX22" s="54" t="e">
        <f t="shared" si="29"/>
        <v>#REF!</v>
      </c>
      <c r="AY22" s="54" t="e">
        <f t="shared" si="15"/>
        <v>#REF!</v>
      </c>
      <c r="AZ22" s="54" t="str">
        <f t="shared" si="16"/>
        <v/>
      </c>
      <c r="BA22" s="54" t="e">
        <f t="shared" si="17"/>
        <v>#REF!</v>
      </c>
      <c r="BB22" s="135" t="str">
        <f t="shared" si="18"/>
        <v/>
      </c>
      <c r="BC22" s="54" t="e">
        <f t="shared" ref="BC22:BE41" si="30">IF(AND($Q22="Feature",LEFT($AB22,2)="PI"),
IF(AND(COUNTIF($R:$R,$B22)=1,$T22=BC$1), IF($AB22=$A$10,$AF22,0),
IF(OR($AD22&lt;1,RIGHT($G22,8)="Progress"),SUMIFS($O:$O,$R:$R,$B22,$T:$T,BC$1,$P:$P,"&lt;&gt;Done",$AB:$AB,$A$10),
IF($T22=BC$1, IF($AB22=$A$10,$AD22,0)+SUMIFS($O:$O,$R:$R,$B22,$T:$T,BC$1,$P:$P,"&lt;&gt;Done",$AB:$AB,$A$10),SUMIFS($O:$O,$R:$R,$B22,$T:$T,BC$1,$P:$P,"&lt;&gt;Done",$AB:$AB,$A$10)))),
IF(AND(OR($Q22="Story",$Q22="Problem",$Q22="Enhancement"),$AB22=$A$10,$R22=0,$T22=BC$1,$P22&lt;&gt;"Done"),$O22,""))</f>
        <v>#REF!</v>
      </c>
      <c r="BD22" s="54" t="e">
        <f t="shared" si="30"/>
        <v>#REF!</v>
      </c>
      <c r="BE22" s="54" t="e">
        <f t="shared" si="30"/>
        <v>#REF!</v>
      </c>
      <c r="BF22" s="54" t="str">
        <f t="shared" si="20"/>
        <v/>
      </c>
      <c r="BG22" s="54" t="str">
        <f t="shared" si="21"/>
        <v/>
      </c>
      <c r="BH22" s="34" t="e">
        <f t="shared" si="22"/>
        <v>#REF!</v>
      </c>
      <c r="BI22" s="34" t="e">
        <f t="shared" si="23"/>
        <v>#REF!</v>
      </c>
      <c r="BJ22" s="136" t="str">
        <f>IF($D22&lt;&gt;"Feature",".",
IF(VLOOKUP($B22,Feature_List!$A:$AM,MATCH(BJ$1,  Feature_List!$A$1:$AM$1,0),0)=B22,".","NO"))</f>
        <v>.</v>
      </c>
      <c r="BK22" s="136"/>
      <c r="BL22" s="136"/>
      <c r="BM22" s="136" t="str">
        <f>IF($D22&lt;&gt;"Feature",".",
IF(VLOOKUP($B22,Feature_List!$A:$AM,MATCH(BM$1,  Feature_List!$A$1:$AM$1,0),0)=E22,".","NO"))</f>
        <v>.</v>
      </c>
      <c r="BN22" s="136" t="str">
        <f>IF($D22&lt;&gt;"Feature",".",
IF(VLOOKUP($B22,Feature_List!$A:$AM,MATCH(BN$1,  Feature_List!$A$1:$AM$1,0),0)=F22,".","NO"))</f>
        <v>.</v>
      </c>
      <c r="BO22" s="136" t="str">
        <f>IF($D22&lt;&gt;"Feature",".",
IF(VLOOKUP($B22,Feature_List!$A:$AM,MATCH(BO$1,  Feature_List!$A$1:$AM$1,0),0)=G22,".","NO"))</f>
        <v>.</v>
      </c>
      <c r="BP22" s="136" t="str">
        <f>IF($D22&lt;&gt;"Feature",".",
IF(VLOOKUP($B22,Feature_List!$A:$AM,MATCH(BP$1,  Feature_List!$A$1:$AM$1,0),0)=H22,".","NO"))</f>
        <v>.</v>
      </c>
      <c r="BQ22" s="136"/>
      <c r="BR22" s="136" t="str">
        <f>IF($D22&lt;&gt;"Feature",".",
IF(VLOOKUP($B22,Feature_List!$A:$AM,MATCH(BR$1,  Feature_List!$A$1:$AM$1,0),0)=J22,".","NO"))</f>
        <v>.</v>
      </c>
      <c r="BS22" s="136"/>
      <c r="BT22" s="136"/>
      <c r="BU22" s="136" t="str">
        <f>IF($D22&lt;&gt;"Feature",".",
IF(VLOOKUP($B22,Feature_List!$A:$AM,MATCH(BU$1,  Feature_List!$A$1:$AM$1,0),0)=M22,".","NO"))</f>
        <v>.</v>
      </c>
      <c r="BV22" s="136" t="str">
        <f>IF($D22&lt;&gt;"Feature",".",
IF(VLOOKUP($B22,Feature_List!$A:$AM,MATCH(BV$1,  Feature_List!$A$1:$AM$1,0),0)=N22,".","NO"))</f>
        <v>.</v>
      </c>
      <c r="BW22" s="136"/>
      <c r="BX22" s="136"/>
      <c r="BY22" s="136"/>
      <c r="BZ22" s="136"/>
      <c r="CA22" s="136"/>
      <c r="CB22" s="136" t="str">
        <f>IF($D22&lt;&gt;"Feature",".",
IF(VLOOKUP($B22,Feature_List!$A:$AM,MATCH(CB$1,  Feature_List!$A$1:$AM$1,0),0)=T22,".","NO"))</f>
        <v>.</v>
      </c>
      <c r="CC22" s="136"/>
      <c r="CD22" s="136"/>
      <c r="CE22" s="136"/>
      <c r="CF22" s="136"/>
      <c r="CG22" s="136"/>
      <c r="CH22" s="136"/>
      <c r="CI22" s="136"/>
      <c r="CJ22" s="136"/>
      <c r="CK22" s="136"/>
      <c r="CL22" s="136"/>
      <c r="CM22" s="136"/>
      <c r="CN22" s="136"/>
      <c r="CO22" s="136" t="str">
        <f>IF($D22&lt;&gt;"Feature",".",
IF(VLOOKUP($B22,Feature_List!$A:$AM,MATCH(CO$1,  Feature_List!$A$1:$AM$1,0),0)=AG22,".","NO"))</f>
        <v>.</v>
      </c>
      <c r="CP22" s="136" t="str">
        <f>IF($D22&lt;&gt;"Feature",".",
IF(VLOOKUP($B22,Feature_List!$A:$AM,MATCH(CP$1,  Feature_List!$A$1:$AM$1,0),0)=AH22,".","NO"))</f>
        <v>.</v>
      </c>
      <c r="CQ22" s="136" t="str">
        <f>IF($D22&lt;&gt;"Feature",".",
IF(VLOOKUP($B22,Feature_List!$A:$AM,MATCH(CQ$1,  Feature_List!$A$1:$AM$1,0),0)=AI22,".","NO"))</f>
        <v>.</v>
      </c>
      <c r="CR22" s="136" t="str">
        <f>IF($D22&lt;&gt;"Feature",".",
IF(VLOOKUP($B22,Feature_List!$A:$AM,MATCH(CR$1,  Feature_List!$A$1:$AM$1,0),0)=AJ22,".","NO"))</f>
        <v>.</v>
      </c>
      <c r="CS22" s="136" t="str">
        <f>IF($D22&lt;&gt;"Feature",".",
IF(VLOOKUP($B22,Feature_List!$A:$AM,MATCH(CS$1,  Feature_List!$A$1:$AM$1,0),0)=AK22,".","NO"))</f>
        <v>.</v>
      </c>
      <c r="CT22" s="136" t="str">
        <f>IF($D22&lt;&gt;"Feature",".",
IF(VLOOKUP($B22,Feature_List!$A:$AM,MATCH(CT$1,  Feature_List!$A$1:$AM$1,0),0)=AL22,".","NO"))</f>
        <v>.</v>
      </c>
      <c r="CU22" s="136" t="str">
        <f>IF($D22&lt;&gt;"Feature",".",
IF(VLOOKUP($B22,Feature_List!$A:$AM,MATCH(CU$1,  Feature_List!$A$1:$AM$1,0),0)=AM22,".","NO"))</f>
        <v>.</v>
      </c>
      <c r="CV22" s="136" t="str">
        <f>IF($D22&lt;&gt;"Feature",".",
IF(VLOOKUP($B22,Feature_List!$A:$AM,MATCH(CV$1,  Feature_List!$A$1:$AM$1,0),0)=AN22,".","NO"))</f>
        <v>.</v>
      </c>
      <c r="CW22" s="136" t="str">
        <f>IF($D22&lt;&gt;"Feature",".",
IF(VLOOKUP($B22,Feature_List!$A:$AM,MATCH(CW$1,  Feature_List!$A$1:$AM$1,0),0)=AO22,".","NO"))</f>
        <v>.</v>
      </c>
      <c r="CX22" s="136" t="str">
        <f>IF($D22&lt;&gt;"Feature",".",
IF(VLOOKUP($B22,Feature_List!$A:$AM,MATCH(CX$1,  Feature_List!$A$1:$AM$1,0),0)=AP22,".","NO"))</f>
        <v>.</v>
      </c>
      <c r="CY22" s="136" t="str">
        <f>IF($D22&lt;&gt;"Feature",".",
IF(VLOOKUP($B22,Feature_List!$A:$AM,MATCH(CY$1,  Feature_List!$A$1:$AM$1,0),0)=AQ22,".","NO"))</f>
        <v>.</v>
      </c>
      <c r="CZ22" s="136" t="str">
        <f>IF($D22&lt;&gt;"Feature",".",
IF(VLOOKUP($B22,Feature_List!$A:$AM,MATCH(CZ$1,  Feature_List!$A$1:$AM$1,0),0)=AR22,".","NO"))</f>
        <v>.</v>
      </c>
      <c r="DA22" s="136" t="str">
        <f>IF($D22&lt;&gt;"Feature",".",
IF(VLOOKUP($B22,Feature_List!$A:$AM,MATCH(DA$1,  Feature_List!$A$1:$AM$1,0),0)=AS22,".","NO"))</f>
        <v>.</v>
      </c>
      <c r="DB22" s="136" t="str">
        <f>IF($D22&lt;&gt;"Feature",".",
IF(VLOOKUP($B22,Feature_List!$A:$AM,MATCH(DB$1,  Feature_List!$A$1:$AM$1,0),0)=AT22,".","NO"))</f>
        <v>.</v>
      </c>
      <c r="DC22" s="136" t="str">
        <f>IF($D22&lt;&gt;"Feature",".",
IF(VLOOKUP($B22,Feature_List!$A:$AM,MATCH(DC$1,  Feature_List!$A$1:$AM$1,0),0)=AU22,".","NO"))</f>
        <v>.</v>
      </c>
      <c r="DD22" s="136" t="str">
        <f>IF($D22&lt;&gt;"Feature",".",
IF(VLOOKUP($B22,Feature_List!$A:$AM,MATCH(DD$1,  Feature_List!$A$1:$AM$1,0),0)=AV22,".","NO"))</f>
        <v>.</v>
      </c>
      <c r="DE22" s="136" t="str">
        <f>IF($D22&lt;&gt;"Feature",".",
IF(VLOOKUP($B22,Feature_List!$A:$AM,MATCH(DE$1,  Feature_List!$A$1:$AM$1,0),0)=AW22,".","NO"))</f>
        <v>.</v>
      </c>
      <c r="DF22" s="136" t="str">
        <f>IF($D22&lt;&gt;"Feature",".",
IF(VLOOKUP($B22,Feature_List!$A:$AM,MATCH(DF$1,  Feature_List!$A$1:$AM$1,0),0)=AX22,".","NO"))</f>
        <v>.</v>
      </c>
      <c r="DG22" s="136" t="str">
        <f>IF($D22&lt;&gt;"Feature",".",
IF(VLOOKUP($B22,Feature_List!$A:$AM,MATCH(DG$1,  Feature_List!$A$1:$AM$1,0),0)=AY22,".","NO"))</f>
        <v>.</v>
      </c>
      <c r="DH22" s="136" t="str">
        <f>IF($D22&lt;&gt;"Feature",".",
IF(VLOOKUP($B22,Feature_List!$A:$AM,MATCH(DH$1,  Feature_List!$A$1:$AM$1,0),0)=AZ22,".","NO"))</f>
        <v>.</v>
      </c>
      <c r="DI22" s="136" t="str">
        <f>IF($D22&lt;&gt;"Feature",".",
IF(VLOOKUP($B22,Feature_List!$A:$AM,MATCH(DI$1,  Feature_List!$A$1:$AM$1,0),0)=BA22,".","NO"))</f>
        <v>.</v>
      </c>
      <c r="DJ22" s="136" t="str">
        <f>IF($D22&lt;&gt;"Feature",".",
IF(VLOOKUP($B22,Feature_List!$A:$AM,MATCH(DJ$1,  Feature_List!$A$1:$AM$1,0),0)=BB22,".","NO"))</f>
        <v>.</v>
      </c>
      <c r="DK22" s="136"/>
      <c r="DL22" s="136"/>
      <c r="DM22" s="136"/>
      <c r="DN22" s="136" t="str">
        <f>IF($D22&lt;&gt;"Feature",".",
IF(VLOOKUP($B22,Feature_List!$A:$AM,MATCH(DN$1,  Feature_List!$A$1:$AM$1,0),0)=BC22,".","NO"))</f>
        <v>.</v>
      </c>
      <c r="DO22" s="136" t="str">
        <f>IF($D22&lt;&gt;"Feature",".",
IF(VLOOKUP($B22,Feature_List!$A:$AM,MATCH(DO$1,  Feature_List!$A$1:$AM$1,0),0)=BD22,".","NO"))</f>
        <v>.</v>
      </c>
    </row>
    <row r="23" spans="1:119" x14ac:dyDescent="0.3">
      <c r="B23" s="121">
        <v>376252</v>
      </c>
      <c r="C23" s="122" t="s">
        <v>604</v>
      </c>
      <c r="D23" s="122" t="s">
        <v>71</v>
      </c>
      <c r="E23" s="122" t="s">
        <v>690</v>
      </c>
      <c r="F23" s="138" t="s">
        <v>641</v>
      </c>
      <c r="G23" s="123" t="s">
        <v>641</v>
      </c>
      <c r="H23" s="122" t="s">
        <v>70</v>
      </c>
      <c r="I23" s="124" t="s">
        <v>562</v>
      </c>
      <c r="J23" s="138"/>
      <c r="K23" s="123">
        <v>3</v>
      </c>
      <c r="L23" s="122"/>
      <c r="M23" s="122" t="s">
        <v>676</v>
      </c>
      <c r="N23" s="125"/>
      <c r="O23" s="123">
        <f t="shared" si="0"/>
        <v>3</v>
      </c>
      <c r="P23" s="123" t="str">
        <f t="shared" si="1"/>
        <v>New</v>
      </c>
      <c r="Q23" s="122" t="str">
        <f t="shared" si="24"/>
        <v>Story</v>
      </c>
      <c r="R23" s="126">
        <f t="shared" si="2"/>
        <v>318430</v>
      </c>
      <c r="S23" s="127">
        <f t="shared" si="3"/>
        <v>376252</v>
      </c>
      <c r="T23" s="128" t="e">
        <f>IF($Q23="ZeroEntry", "",VLOOKUP($I23,'Ranking Lookup'!#REF!,2,FALSE))</f>
        <v>#REF!</v>
      </c>
      <c r="U23" s="129" t="str">
        <f t="shared" si="4"/>
        <v/>
      </c>
      <c r="V23" s="129" t="str">
        <f t="shared" si="5"/>
        <v/>
      </c>
      <c r="W23" s="129" t="str">
        <f t="shared" si="6"/>
        <v/>
      </c>
      <c r="X23" s="129" t="str">
        <f t="shared" si="7"/>
        <v/>
      </c>
      <c r="Y23" s="129" t="str">
        <f t="shared" si="8"/>
        <v>Feature</v>
      </c>
      <c r="Z23" s="129" t="str">
        <f t="shared" si="9"/>
        <v/>
      </c>
      <c r="AA23" s="130"/>
      <c r="AB23" s="130" t="str">
        <f t="shared" si="10"/>
        <v>PI 12</v>
      </c>
      <c r="AC23" s="131">
        <f t="shared" si="25"/>
        <v>3</v>
      </c>
      <c r="AD23" s="131">
        <f t="shared" si="26"/>
        <v>0</v>
      </c>
      <c r="AE23" s="132">
        <f t="shared" si="11"/>
        <v>0</v>
      </c>
      <c r="AF23" s="133" t="str">
        <f t="shared" si="27"/>
        <v/>
      </c>
      <c r="AG23" s="134">
        <f t="shared" si="12"/>
        <v>0</v>
      </c>
      <c r="AH23" s="54" t="str">
        <f t="shared" si="13"/>
        <v/>
      </c>
      <c r="AI23" s="54" t="e">
        <f t="shared" si="29"/>
        <v>#REF!</v>
      </c>
      <c r="AJ23" s="54" t="e">
        <f t="shared" si="29"/>
        <v>#REF!</v>
      </c>
      <c r="AK23" s="54" t="e">
        <f t="shared" si="29"/>
        <v>#REF!</v>
      </c>
      <c r="AL23" s="54" t="e">
        <f t="shared" si="29"/>
        <v>#REF!</v>
      </c>
      <c r="AM23" s="54" t="e">
        <f t="shared" si="29"/>
        <v>#REF!</v>
      </c>
      <c r="AN23" s="54" t="e">
        <f t="shared" si="29"/>
        <v>#REF!</v>
      </c>
      <c r="AO23" s="54" t="e">
        <f t="shared" si="29"/>
        <v>#REF!</v>
      </c>
      <c r="AP23" s="54" t="e">
        <f t="shared" si="29"/>
        <v>#REF!</v>
      </c>
      <c r="AQ23" s="54" t="e">
        <f t="shared" si="29"/>
        <v>#REF!</v>
      </c>
      <c r="AR23" s="54" t="e">
        <f t="shared" si="29"/>
        <v>#REF!</v>
      </c>
      <c r="AS23" s="54" t="e">
        <f t="shared" si="29"/>
        <v>#REF!</v>
      </c>
      <c r="AT23" s="54" t="e">
        <f t="shared" si="29"/>
        <v>#REF!</v>
      </c>
      <c r="AU23" s="54" t="e">
        <f t="shared" si="29"/>
        <v>#REF!</v>
      </c>
      <c r="AV23" s="54" t="e">
        <f t="shared" si="29"/>
        <v>#REF!</v>
      </c>
      <c r="AW23" s="54" t="e">
        <f t="shared" si="29"/>
        <v>#REF!</v>
      </c>
      <c r="AX23" s="54" t="e">
        <f t="shared" si="29"/>
        <v>#REF!</v>
      </c>
      <c r="AY23" s="54" t="e">
        <f t="shared" si="15"/>
        <v>#REF!</v>
      </c>
      <c r="AZ23" s="54" t="str">
        <f t="shared" si="16"/>
        <v/>
      </c>
      <c r="BA23" s="54" t="e">
        <f t="shared" si="17"/>
        <v>#REF!</v>
      </c>
      <c r="BB23" s="135" t="str">
        <f t="shared" si="18"/>
        <v/>
      </c>
      <c r="BC23" s="54" t="e">
        <f t="shared" si="30"/>
        <v>#REF!</v>
      </c>
      <c r="BD23" s="54" t="e">
        <f t="shared" si="30"/>
        <v>#REF!</v>
      </c>
      <c r="BE23" s="54" t="e">
        <f t="shared" si="30"/>
        <v>#REF!</v>
      </c>
      <c r="BF23" s="54" t="str">
        <f t="shared" si="20"/>
        <v/>
      </c>
      <c r="BG23" s="54" t="str">
        <f t="shared" si="21"/>
        <v/>
      </c>
      <c r="BH23" s="34" t="e">
        <f t="shared" si="22"/>
        <v>#REF!</v>
      </c>
      <c r="BI23" s="34" t="e">
        <f t="shared" si="23"/>
        <v>#REF!</v>
      </c>
      <c r="BJ23" s="136" t="str">
        <f>IF($D23&lt;&gt;"Feature",".",
IF(VLOOKUP($B23,Feature_List!$A:$AM,MATCH(BJ$1,  Feature_List!$A$1:$AM$1,0),0)=B23,".","NO"))</f>
        <v>.</v>
      </c>
      <c r="BK23" s="136"/>
      <c r="BL23" s="136"/>
      <c r="BM23" s="136" t="str">
        <f>IF($D23&lt;&gt;"Feature",".",
IF(VLOOKUP($B23,Feature_List!$A:$AM,MATCH(BM$1,  Feature_List!$A$1:$AM$1,0),0)=E23,".","NO"))</f>
        <v>.</v>
      </c>
      <c r="BN23" s="136" t="str">
        <f>IF($D23&lt;&gt;"Feature",".",
IF(VLOOKUP($B23,Feature_List!$A:$AM,MATCH(BN$1,  Feature_List!$A$1:$AM$1,0),0)=F23,".","NO"))</f>
        <v>.</v>
      </c>
      <c r="BO23" s="136" t="str">
        <f>IF($D23&lt;&gt;"Feature",".",
IF(VLOOKUP($B23,Feature_List!$A:$AM,MATCH(BO$1,  Feature_List!$A$1:$AM$1,0),0)=G23,".","NO"))</f>
        <v>.</v>
      </c>
      <c r="BP23" s="136" t="str">
        <f>IF($D23&lt;&gt;"Feature",".",
IF(VLOOKUP($B23,Feature_List!$A:$AM,MATCH(BP$1,  Feature_List!$A$1:$AM$1,0),0)=H23,".","NO"))</f>
        <v>.</v>
      </c>
      <c r="BQ23" s="136"/>
      <c r="BR23" s="136" t="str">
        <f>IF($D23&lt;&gt;"Feature",".",
IF(VLOOKUP($B23,Feature_List!$A:$AM,MATCH(BR$1,  Feature_List!$A$1:$AM$1,0),0)=J23,".","NO"))</f>
        <v>.</v>
      </c>
      <c r="BS23" s="136"/>
      <c r="BT23" s="136"/>
      <c r="BU23" s="136" t="str">
        <f>IF($D23&lt;&gt;"Feature",".",
IF(VLOOKUP($B23,Feature_List!$A:$AM,MATCH(BU$1,  Feature_List!$A$1:$AM$1,0),0)=M23,".","NO"))</f>
        <v>.</v>
      </c>
      <c r="BV23" s="136" t="str">
        <f>IF($D23&lt;&gt;"Feature",".",
IF(VLOOKUP($B23,Feature_List!$A:$AM,MATCH(BV$1,  Feature_List!$A$1:$AM$1,0),0)=N23,".","NO"))</f>
        <v>.</v>
      </c>
      <c r="BW23" s="136"/>
      <c r="BX23" s="136"/>
      <c r="BY23" s="136"/>
      <c r="BZ23" s="136"/>
      <c r="CA23" s="136"/>
      <c r="CB23" s="136" t="str">
        <f>IF($D23&lt;&gt;"Feature",".",
IF(VLOOKUP($B23,Feature_List!$A:$AM,MATCH(CB$1,  Feature_List!$A$1:$AM$1,0),0)=T23,".","NO"))</f>
        <v>.</v>
      </c>
      <c r="CC23" s="136"/>
      <c r="CD23" s="136"/>
      <c r="CE23" s="136"/>
      <c r="CF23" s="136"/>
      <c r="CG23" s="136"/>
      <c r="CH23" s="136"/>
      <c r="CI23" s="136"/>
      <c r="CJ23" s="136"/>
      <c r="CK23" s="136"/>
      <c r="CL23" s="136"/>
      <c r="CM23" s="136"/>
      <c r="CN23" s="136"/>
      <c r="CO23" s="136" t="str">
        <f>IF($D23&lt;&gt;"Feature",".",
IF(VLOOKUP($B23,Feature_List!$A:$AM,MATCH(CO$1,  Feature_List!$A$1:$AM$1,0),0)=AG23,".","NO"))</f>
        <v>.</v>
      </c>
      <c r="CP23" s="136" t="str">
        <f>IF($D23&lt;&gt;"Feature",".",
IF(VLOOKUP($B23,Feature_List!$A:$AM,MATCH(CP$1,  Feature_List!$A$1:$AM$1,0),0)=AH23,".","NO"))</f>
        <v>.</v>
      </c>
      <c r="CQ23" s="136" t="str">
        <f>IF($D23&lt;&gt;"Feature",".",
IF(VLOOKUP($B23,Feature_List!$A:$AM,MATCH(CQ$1,  Feature_List!$A$1:$AM$1,0),0)=AI23,".","NO"))</f>
        <v>.</v>
      </c>
      <c r="CR23" s="136" t="str">
        <f>IF($D23&lt;&gt;"Feature",".",
IF(VLOOKUP($B23,Feature_List!$A:$AM,MATCH(CR$1,  Feature_List!$A$1:$AM$1,0),0)=AJ23,".","NO"))</f>
        <v>.</v>
      </c>
      <c r="CS23" s="136" t="str">
        <f>IF($D23&lt;&gt;"Feature",".",
IF(VLOOKUP($B23,Feature_List!$A:$AM,MATCH(CS$1,  Feature_List!$A$1:$AM$1,0),0)=AK23,".","NO"))</f>
        <v>.</v>
      </c>
      <c r="CT23" s="136" t="str">
        <f>IF($D23&lt;&gt;"Feature",".",
IF(VLOOKUP($B23,Feature_List!$A:$AM,MATCH(CT$1,  Feature_List!$A$1:$AM$1,0),0)=AL23,".","NO"))</f>
        <v>.</v>
      </c>
      <c r="CU23" s="136" t="str">
        <f>IF($D23&lt;&gt;"Feature",".",
IF(VLOOKUP($B23,Feature_List!$A:$AM,MATCH(CU$1,  Feature_List!$A$1:$AM$1,0),0)=AM23,".","NO"))</f>
        <v>.</v>
      </c>
      <c r="CV23" s="136" t="str">
        <f>IF($D23&lt;&gt;"Feature",".",
IF(VLOOKUP($B23,Feature_List!$A:$AM,MATCH(CV$1,  Feature_List!$A$1:$AM$1,0),0)=AN23,".","NO"))</f>
        <v>.</v>
      </c>
      <c r="CW23" s="136" t="str">
        <f>IF($D23&lt;&gt;"Feature",".",
IF(VLOOKUP($B23,Feature_List!$A:$AM,MATCH(CW$1,  Feature_List!$A$1:$AM$1,0),0)=AO23,".","NO"))</f>
        <v>.</v>
      </c>
      <c r="CX23" s="136" t="str">
        <f>IF($D23&lt;&gt;"Feature",".",
IF(VLOOKUP($B23,Feature_List!$A:$AM,MATCH(CX$1,  Feature_List!$A$1:$AM$1,0),0)=AP23,".","NO"))</f>
        <v>.</v>
      </c>
      <c r="CY23" s="136" t="str">
        <f>IF($D23&lt;&gt;"Feature",".",
IF(VLOOKUP($B23,Feature_List!$A:$AM,MATCH(CY$1,  Feature_List!$A$1:$AM$1,0),0)=AQ23,".","NO"))</f>
        <v>.</v>
      </c>
      <c r="CZ23" s="136" t="str">
        <f>IF($D23&lt;&gt;"Feature",".",
IF(VLOOKUP($B23,Feature_List!$A:$AM,MATCH(CZ$1,  Feature_List!$A$1:$AM$1,0),0)=AR23,".","NO"))</f>
        <v>.</v>
      </c>
      <c r="DA23" s="136" t="str">
        <f>IF($D23&lt;&gt;"Feature",".",
IF(VLOOKUP($B23,Feature_List!$A:$AM,MATCH(DA$1,  Feature_List!$A$1:$AM$1,0),0)=AS23,".","NO"))</f>
        <v>.</v>
      </c>
      <c r="DB23" s="136" t="str">
        <f>IF($D23&lt;&gt;"Feature",".",
IF(VLOOKUP($B23,Feature_List!$A:$AM,MATCH(DB$1,  Feature_List!$A$1:$AM$1,0),0)=AT23,".","NO"))</f>
        <v>.</v>
      </c>
      <c r="DC23" s="136" t="str">
        <f>IF($D23&lt;&gt;"Feature",".",
IF(VLOOKUP($B23,Feature_List!$A:$AM,MATCH(DC$1,  Feature_List!$A$1:$AM$1,0),0)=AU23,".","NO"))</f>
        <v>.</v>
      </c>
      <c r="DD23" s="136" t="str">
        <f>IF($D23&lt;&gt;"Feature",".",
IF(VLOOKUP($B23,Feature_List!$A:$AM,MATCH(DD$1,  Feature_List!$A$1:$AM$1,0),0)=AV23,".","NO"))</f>
        <v>.</v>
      </c>
      <c r="DE23" s="136" t="str">
        <f>IF($D23&lt;&gt;"Feature",".",
IF(VLOOKUP($B23,Feature_List!$A:$AM,MATCH(DE$1,  Feature_List!$A$1:$AM$1,0),0)=AW23,".","NO"))</f>
        <v>.</v>
      </c>
      <c r="DF23" s="136" t="str">
        <f>IF($D23&lt;&gt;"Feature",".",
IF(VLOOKUP($B23,Feature_List!$A:$AM,MATCH(DF$1,  Feature_List!$A$1:$AM$1,0),0)=AX23,".","NO"))</f>
        <v>.</v>
      </c>
      <c r="DG23" s="136" t="str">
        <f>IF($D23&lt;&gt;"Feature",".",
IF(VLOOKUP($B23,Feature_List!$A:$AM,MATCH(DG$1,  Feature_List!$A$1:$AM$1,0),0)=AY23,".","NO"))</f>
        <v>.</v>
      </c>
      <c r="DH23" s="136" t="str">
        <f>IF($D23&lt;&gt;"Feature",".",
IF(VLOOKUP($B23,Feature_List!$A:$AM,MATCH(DH$1,  Feature_List!$A$1:$AM$1,0),0)=AZ23,".","NO"))</f>
        <v>.</v>
      </c>
      <c r="DI23" s="136" t="str">
        <f>IF($D23&lt;&gt;"Feature",".",
IF(VLOOKUP($B23,Feature_List!$A:$AM,MATCH(DI$1,  Feature_List!$A$1:$AM$1,0),0)=BA23,".","NO"))</f>
        <v>.</v>
      </c>
      <c r="DJ23" s="136" t="str">
        <f>IF($D23&lt;&gt;"Feature",".",
IF(VLOOKUP($B23,Feature_List!$A:$AM,MATCH(DJ$1,  Feature_List!$A$1:$AM$1,0),0)=BB23,".","NO"))</f>
        <v>.</v>
      </c>
      <c r="DK23" s="136"/>
      <c r="DL23" s="136"/>
      <c r="DM23" s="136"/>
      <c r="DN23" s="136" t="str">
        <f>IF($D23&lt;&gt;"Feature",".",
IF(VLOOKUP($B23,Feature_List!$A:$AM,MATCH(DN$1,  Feature_List!$A$1:$AM$1,0),0)=BC23,".","NO"))</f>
        <v>.</v>
      </c>
      <c r="DO23" s="136" t="str">
        <f>IF($D23&lt;&gt;"Feature",".",
IF(VLOOKUP($B23,Feature_List!$A:$AM,MATCH(DO$1,  Feature_List!$A$1:$AM$1,0),0)=BD23,".","NO"))</f>
        <v>.</v>
      </c>
    </row>
    <row r="24" spans="1:119" x14ac:dyDescent="0.3">
      <c r="B24" s="121">
        <v>376251</v>
      </c>
      <c r="C24" s="122" t="s">
        <v>604</v>
      </c>
      <c r="D24" s="122" t="s">
        <v>71</v>
      </c>
      <c r="E24" s="122" t="s">
        <v>691</v>
      </c>
      <c r="F24" s="138" t="s">
        <v>641</v>
      </c>
      <c r="G24" s="123" t="s">
        <v>641</v>
      </c>
      <c r="H24" s="122" t="s">
        <v>70</v>
      </c>
      <c r="I24" s="124" t="s">
        <v>562</v>
      </c>
      <c r="J24" s="138"/>
      <c r="K24" s="123">
        <v>1</v>
      </c>
      <c r="L24" s="122"/>
      <c r="M24" s="122" t="s">
        <v>666</v>
      </c>
      <c r="N24" s="125"/>
      <c r="O24" s="123">
        <f t="shared" si="0"/>
        <v>1</v>
      </c>
      <c r="P24" s="123" t="str">
        <f t="shared" si="1"/>
        <v>New</v>
      </c>
      <c r="Q24" s="122" t="str">
        <f t="shared" si="24"/>
        <v>Story</v>
      </c>
      <c r="R24" s="126">
        <f t="shared" si="2"/>
        <v>318430</v>
      </c>
      <c r="S24" s="127">
        <f t="shared" si="3"/>
        <v>376251</v>
      </c>
      <c r="T24" s="128" t="e">
        <f>IF($Q24="ZeroEntry", "",VLOOKUP($I24,'Ranking Lookup'!#REF!,2,FALSE))</f>
        <v>#REF!</v>
      </c>
      <c r="U24" s="129" t="str">
        <f t="shared" si="4"/>
        <v/>
      </c>
      <c r="V24" s="129" t="str">
        <f t="shared" si="5"/>
        <v/>
      </c>
      <c r="W24" s="129" t="str">
        <f t="shared" si="6"/>
        <v/>
      </c>
      <c r="X24" s="129" t="str">
        <f t="shared" si="7"/>
        <v/>
      </c>
      <c r="Y24" s="129" t="str">
        <f t="shared" si="8"/>
        <v>Feature</v>
      </c>
      <c r="Z24" s="129" t="str">
        <f t="shared" si="9"/>
        <v/>
      </c>
      <c r="AA24" s="130"/>
      <c r="AB24" s="130" t="str">
        <f t="shared" si="10"/>
        <v>PI 12</v>
      </c>
      <c r="AC24" s="131">
        <f t="shared" si="25"/>
        <v>1</v>
      </c>
      <c r="AD24" s="131">
        <f t="shared" si="26"/>
        <v>0</v>
      </c>
      <c r="AE24" s="132">
        <f t="shared" si="11"/>
        <v>0</v>
      </c>
      <c r="AF24" s="133" t="str">
        <f t="shared" si="27"/>
        <v/>
      </c>
      <c r="AG24" s="134">
        <f t="shared" si="12"/>
        <v>0</v>
      </c>
      <c r="AH24" s="54" t="str">
        <f t="shared" si="13"/>
        <v/>
      </c>
      <c r="AI24" s="54" t="e">
        <f t="shared" si="29"/>
        <v>#REF!</v>
      </c>
      <c r="AJ24" s="54" t="e">
        <f t="shared" si="29"/>
        <v>#REF!</v>
      </c>
      <c r="AK24" s="54" t="e">
        <f t="shared" si="29"/>
        <v>#REF!</v>
      </c>
      <c r="AL24" s="54" t="e">
        <f t="shared" si="29"/>
        <v>#REF!</v>
      </c>
      <c r="AM24" s="54" t="e">
        <f t="shared" si="29"/>
        <v>#REF!</v>
      </c>
      <c r="AN24" s="54" t="e">
        <f t="shared" si="29"/>
        <v>#REF!</v>
      </c>
      <c r="AO24" s="54" t="e">
        <f t="shared" si="29"/>
        <v>#REF!</v>
      </c>
      <c r="AP24" s="54" t="e">
        <f t="shared" si="29"/>
        <v>#REF!</v>
      </c>
      <c r="AQ24" s="54" t="e">
        <f t="shared" si="29"/>
        <v>#REF!</v>
      </c>
      <c r="AR24" s="54" t="e">
        <f t="shared" si="29"/>
        <v>#REF!</v>
      </c>
      <c r="AS24" s="54" t="e">
        <f t="shared" si="29"/>
        <v>#REF!</v>
      </c>
      <c r="AT24" s="54" t="e">
        <f t="shared" si="29"/>
        <v>#REF!</v>
      </c>
      <c r="AU24" s="54" t="e">
        <f t="shared" si="29"/>
        <v>#REF!</v>
      </c>
      <c r="AV24" s="54" t="e">
        <f t="shared" si="29"/>
        <v>#REF!</v>
      </c>
      <c r="AW24" s="54" t="e">
        <f t="shared" si="29"/>
        <v>#REF!</v>
      </c>
      <c r="AX24" s="54" t="e">
        <f t="shared" si="29"/>
        <v>#REF!</v>
      </c>
      <c r="AY24" s="54" t="e">
        <f t="shared" si="15"/>
        <v>#REF!</v>
      </c>
      <c r="AZ24" s="54" t="str">
        <f t="shared" si="16"/>
        <v/>
      </c>
      <c r="BA24" s="54" t="e">
        <f t="shared" si="17"/>
        <v>#REF!</v>
      </c>
      <c r="BB24" s="135" t="str">
        <f t="shared" si="18"/>
        <v/>
      </c>
      <c r="BC24" s="54" t="e">
        <f t="shared" si="30"/>
        <v>#REF!</v>
      </c>
      <c r="BD24" s="54" t="e">
        <f t="shared" si="30"/>
        <v>#REF!</v>
      </c>
      <c r="BE24" s="54" t="e">
        <f t="shared" si="30"/>
        <v>#REF!</v>
      </c>
      <c r="BF24" s="54" t="str">
        <f t="shared" si="20"/>
        <v/>
      </c>
      <c r="BG24" s="54" t="str">
        <f t="shared" si="21"/>
        <v/>
      </c>
      <c r="BH24" s="34" t="e">
        <f t="shared" si="22"/>
        <v>#REF!</v>
      </c>
      <c r="BI24" s="34" t="e">
        <f t="shared" si="23"/>
        <v>#REF!</v>
      </c>
      <c r="BJ24" s="136" t="str">
        <f>IF($D24&lt;&gt;"Feature",".",
IF(VLOOKUP($B24,Feature_List!$A:$AM,MATCH(BJ$1,  Feature_List!$A$1:$AM$1,0),0)=B24,".","NO"))</f>
        <v>.</v>
      </c>
      <c r="BK24" s="136"/>
      <c r="BL24" s="136"/>
      <c r="BM24" s="136" t="str">
        <f>IF($D24&lt;&gt;"Feature",".",
IF(VLOOKUP($B24,Feature_List!$A:$AM,MATCH(BM$1,  Feature_List!$A$1:$AM$1,0),0)=E24,".","NO"))</f>
        <v>.</v>
      </c>
      <c r="BN24" s="136" t="str">
        <f>IF($D24&lt;&gt;"Feature",".",
IF(VLOOKUP($B24,Feature_List!$A:$AM,MATCH(BN$1,  Feature_List!$A$1:$AM$1,0),0)=F24,".","NO"))</f>
        <v>.</v>
      </c>
      <c r="BO24" s="136" t="str">
        <f>IF($D24&lt;&gt;"Feature",".",
IF(VLOOKUP($B24,Feature_List!$A:$AM,MATCH(BO$1,  Feature_List!$A$1:$AM$1,0),0)=G24,".","NO"))</f>
        <v>.</v>
      </c>
      <c r="BP24" s="136" t="str">
        <f>IF($D24&lt;&gt;"Feature",".",
IF(VLOOKUP($B24,Feature_List!$A:$AM,MATCH(BP$1,  Feature_List!$A$1:$AM$1,0),0)=H24,".","NO"))</f>
        <v>.</v>
      </c>
      <c r="BQ24" s="136"/>
      <c r="BR24" s="136" t="str">
        <f>IF($D24&lt;&gt;"Feature",".",
IF(VLOOKUP($B24,Feature_List!$A:$AM,MATCH(BR$1,  Feature_List!$A$1:$AM$1,0),0)=J24,".","NO"))</f>
        <v>.</v>
      </c>
      <c r="BS24" s="136"/>
      <c r="BT24" s="136"/>
      <c r="BU24" s="136" t="str">
        <f>IF($D24&lt;&gt;"Feature",".",
IF(VLOOKUP($B24,Feature_List!$A:$AM,MATCH(BU$1,  Feature_List!$A$1:$AM$1,0),0)=M24,".","NO"))</f>
        <v>.</v>
      </c>
      <c r="BV24" s="136" t="str">
        <f>IF($D24&lt;&gt;"Feature",".",
IF(VLOOKUP($B24,Feature_List!$A:$AM,MATCH(BV$1,  Feature_List!$A$1:$AM$1,0),0)=N24,".","NO"))</f>
        <v>.</v>
      </c>
      <c r="BW24" s="136"/>
      <c r="BX24" s="136"/>
      <c r="BY24" s="136"/>
      <c r="BZ24" s="136"/>
      <c r="CA24" s="136"/>
      <c r="CB24" s="136" t="str">
        <f>IF($D24&lt;&gt;"Feature",".",
IF(VLOOKUP($B24,Feature_List!$A:$AM,MATCH(CB$1,  Feature_List!$A$1:$AM$1,0),0)=T24,".","NO"))</f>
        <v>.</v>
      </c>
      <c r="CC24" s="136"/>
      <c r="CD24" s="136"/>
      <c r="CE24" s="136"/>
      <c r="CF24" s="136"/>
      <c r="CG24" s="136"/>
      <c r="CH24" s="136"/>
      <c r="CI24" s="136"/>
      <c r="CJ24" s="136"/>
      <c r="CK24" s="136"/>
      <c r="CL24" s="136"/>
      <c r="CM24" s="136"/>
      <c r="CN24" s="136"/>
      <c r="CO24" s="136" t="str">
        <f>IF($D24&lt;&gt;"Feature",".",
IF(VLOOKUP($B24,Feature_List!$A:$AM,MATCH(CO$1,  Feature_List!$A$1:$AM$1,0),0)=AG24,".","NO"))</f>
        <v>.</v>
      </c>
      <c r="CP24" s="136" t="str">
        <f>IF($D24&lt;&gt;"Feature",".",
IF(VLOOKUP($B24,Feature_List!$A:$AM,MATCH(CP$1,  Feature_List!$A$1:$AM$1,0),0)=AH24,".","NO"))</f>
        <v>.</v>
      </c>
      <c r="CQ24" s="136" t="str">
        <f>IF($D24&lt;&gt;"Feature",".",
IF(VLOOKUP($B24,Feature_List!$A:$AM,MATCH(CQ$1,  Feature_List!$A$1:$AM$1,0),0)=AI24,".","NO"))</f>
        <v>.</v>
      </c>
      <c r="CR24" s="136" t="str">
        <f>IF($D24&lt;&gt;"Feature",".",
IF(VLOOKUP($B24,Feature_List!$A:$AM,MATCH(CR$1,  Feature_List!$A$1:$AM$1,0),0)=AJ24,".","NO"))</f>
        <v>.</v>
      </c>
      <c r="CS24" s="136" t="str">
        <f>IF($D24&lt;&gt;"Feature",".",
IF(VLOOKUP($B24,Feature_List!$A:$AM,MATCH(CS$1,  Feature_List!$A$1:$AM$1,0),0)=AK24,".","NO"))</f>
        <v>.</v>
      </c>
      <c r="CT24" s="136" t="str">
        <f>IF($D24&lt;&gt;"Feature",".",
IF(VLOOKUP($B24,Feature_List!$A:$AM,MATCH(CT$1,  Feature_List!$A$1:$AM$1,0),0)=AL24,".","NO"))</f>
        <v>.</v>
      </c>
      <c r="CU24" s="136" t="str">
        <f>IF($D24&lt;&gt;"Feature",".",
IF(VLOOKUP($B24,Feature_List!$A:$AM,MATCH(CU$1,  Feature_List!$A$1:$AM$1,0),0)=AM24,".","NO"))</f>
        <v>.</v>
      </c>
      <c r="CV24" s="136" t="str">
        <f>IF($D24&lt;&gt;"Feature",".",
IF(VLOOKUP($B24,Feature_List!$A:$AM,MATCH(CV$1,  Feature_List!$A$1:$AM$1,0),0)=AN24,".","NO"))</f>
        <v>.</v>
      </c>
      <c r="CW24" s="136" t="str">
        <f>IF($D24&lt;&gt;"Feature",".",
IF(VLOOKUP($B24,Feature_List!$A:$AM,MATCH(CW$1,  Feature_List!$A$1:$AM$1,0),0)=AO24,".","NO"))</f>
        <v>.</v>
      </c>
      <c r="CX24" s="136" t="str">
        <f>IF($D24&lt;&gt;"Feature",".",
IF(VLOOKUP($B24,Feature_List!$A:$AM,MATCH(CX$1,  Feature_List!$A$1:$AM$1,0),0)=AP24,".","NO"))</f>
        <v>.</v>
      </c>
      <c r="CY24" s="136" t="str">
        <f>IF($D24&lt;&gt;"Feature",".",
IF(VLOOKUP($B24,Feature_List!$A:$AM,MATCH(CY$1,  Feature_List!$A$1:$AM$1,0),0)=AQ24,".","NO"))</f>
        <v>.</v>
      </c>
      <c r="CZ24" s="136" t="str">
        <f>IF($D24&lt;&gt;"Feature",".",
IF(VLOOKUP($B24,Feature_List!$A:$AM,MATCH(CZ$1,  Feature_List!$A$1:$AM$1,0),0)=AR24,".","NO"))</f>
        <v>.</v>
      </c>
      <c r="DA24" s="136" t="str">
        <f>IF($D24&lt;&gt;"Feature",".",
IF(VLOOKUP($B24,Feature_List!$A:$AM,MATCH(DA$1,  Feature_List!$A$1:$AM$1,0),0)=AS24,".","NO"))</f>
        <v>.</v>
      </c>
      <c r="DB24" s="136" t="str">
        <f>IF($D24&lt;&gt;"Feature",".",
IF(VLOOKUP($B24,Feature_List!$A:$AM,MATCH(DB$1,  Feature_List!$A$1:$AM$1,0),0)=AT24,".","NO"))</f>
        <v>.</v>
      </c>
      <c r="DC24" s="136" t="str">
        <f>IF($D24&lt;&gt;"Feature",".",
IF(VLOOKUP($B24,Feature_List!$A:$AM,MATCH(DC$1,  Feature_List!$A$1:$AM$1,0),0)=AU24,".","NO"))</f>
        <v>.</v>
      </c>
      <c r="DD24" s="136" t="str">
        <f>IF($D24&lt;&gt;"Feature",".",
IF(VLOOKUP($B24,Feature_List!$A:$AM,MATCH(DD$1,  Feature_List!$A$1:$AM$1,0),0)=AV24,".","NO"))</f>
        <v>.</v>
      </c>
      <c r="DE24" s="136" t="str">
        <f>IF($D24&lt;&gt;"Feature",".",
IF(VLOOKUP($B24,Feature_List!$A:$AM,MATCH(DE$1,  Feature_List!$A$1:$AM$1,0),0)=AW24,".","NO"))</f>
        <v>.</v>
      </c>
      <c r="DF24" s="136" t="str">
        <f>IF($D24&lt;&gt;"Feature",".",
IF(VLOOKUP($B24,Feature_List!$A:$AM,MATCH(DF$1,  Feature_List!$A$1:$AM$1,0),0)=AX24,".","NO"))</f>
        <v>.</v>
      </c>
      <c r="DG24" s="136" t="str">
        <f>IF($D24&lt;&gt;"Feature",".",
IF(VLOOKUP($B24,Feature_List!$A:$AM,MATCH(DG$1,  Feature_List!$A$1:$AM$1,0),0)=AY24,".","NO"))</f>
        <v>.</v>
      </c>
      <c r="DH24" s="136" t="str">
        <f>IF($D24&lt;&gt;"Feature",".",
IF(VLOOKUP($B24,Feature_List!$A:$AM,MATCH(DH$1,  Feature_List!$A$1:$AM$1,0),0)=AZ24,".","NO"))</f>
        <v>.</v>
      </c>
      <c r="DI24" s="136" t="str">
        <f>IF($D24&lt;&gt;"Feature",".",
IF(VLOOKUP($B24,Feature_List!$A:$AM,MATCH(DI$1,  Feature_List!$A$1:$AM$1,0),0)=BA24,".","NO"))</f>
        <v>.</v>
      </c>
      <c r="DJ24" s="136" t="str">
        <f>IF($D24&lt;&gt;"Feature",".",
IF(VLOOKUP($B24,Feature_List!$A:$AM,MATCH(DJ$1,  Feature_List!$A$1:$AM$1,0),0)=BB24,".","NO"))</f>
        <v>.</v>
      </c>
      <c r="DK24" s="136"/>
      <c r="DL24" s="136"/>
      <c r="DM24" s="136"/>
      <c r="DN24" s="136" t="str">
        <f>IF($D24&lt;&gt;"Feature",".",
IF(VLOOKUP($B24,Feature_List!$A:$AM,MATCH(DN$1,  Feature_List!$A$1:$AM$1,0),0)=BC24,".","NO"))</f>
        <v>.</v>
      </c>
      <c r="DO24" s="136" t="str">
        <f>IF($D24&lt;&gt;"Feature",".",
IF(VLOOKUP($B24,Feature_List!$A:$AM,MATCH(DO$1,  Feature_List!$A$1:$AM$1,0),0)=BD24,".","NO"))</f>
        <v>.</v>
      </c>
    </row>
    <row r="25" spans="1:119" x14ac:dyDescent="0.3">
      <c r="B25" s="121">
        <v>376250</v>
      </c>
      <c r="C25" s="123" t="s">
        <v>604</v>
      </c>
      <c r="D25" s="122" t="s">
        <v>71</v>
      </c>
      <c r="E25" s="122" t="s">
        <v>692</v>
      </c>
      <c r="F25" s="138" t="s">
        <v>641</v>
      </c>
      <c r="G25" s="123" t="s">
        <v>641</v>
      </c>
      <c r="H25" s="122" t="s">
        <v>70</v>
      </c>
      <c r="I25" s="124" t="s">
        <v>562</v>
      </c>
      <c r="J25" s="138"/>
      <c r="K25" s="123">
        <v>3</v>
      </c>
      <c r="L25" s="122"/>
      <c r="M25" s="122" t="s">
        <v>676</v>
      </c>
      <c r="N25" s="125"/>
      <c r="O25" s="123">
        <f t="shared" si="0"/>
        <v>3</v>
      </c>
      <c r="P25" s="123" t="str">
        <f t="shared" si="1"/>
        <v>New</v>
      </c>
      <c r="Q25" s="122" t="str">
        <f t="shared" si="24"/>
        <v>Story</v>
      </c>
      <c r="R25" s="126">
        <f t="shared" si="2"/>
        <v>318430</v>
      </c>
      <c r="S25" s="127">
        <f t="shared" si="3"/>
        <v>376250</v>
      </c>
      <c r="T25" s="128" t="e">
        <f>IF($Q25="ZeroEntry", "",VLOOKUP($I25,'Ranking Lookup'!#REF!,2,FALSE))</f>
        <v>#REF!</v>
      </c>
      <c r="U25" s="129" t="str">
        <f t="shared" si="4"/>
        <v/>
      </c>
      <c r="V25" s="129" t="str">
        <f t="shared" si="5"/>
        <v/>
      </c>
      <c r="W25" s="129" t="str">
        <f t="shared" si="6"/>
        <v/>
      </c>
      <c r="X25" s="129" t="str">
        <f t="shared" si="7"/>
        <v/>
      </c>
      <c r="Y25" s="129" t="str">
        <f t="shared" si="8"/>
        <v>Feature</v>
      </c>
      <c r="Z25" s="129" t="str">
        <f t="shared" si="9"/>
        <v/>
      </c>
      <c r="AA25" s="130"/>
      <c r="AB25" s="130" t="str">
        <f t="shared" si="10"/>
        <v>PI 12</v>
      </c>
      <c r="AC25" s="131">
        <f t="shared" si="25"/>
        <v>3</v>
      </c>
      <c r="AD25" s="131">
        <f t="shared" si="26"/>
        <v>0</v>
      </c>
      <c r="AE25" s="132">
        <f t="shared" si="11"/>
        <v>0</v>
      </c>
      <c r="AF25" s="133" t="str">
        <f t="shared" si="27"/>
        <v/>
      </c>
      <c r="AG25" s="134">
        <f t="shared" si="12"/>
        <v>0</v>
      </c>
      <c r="AH25" s="54" t="str">
        <f t="shared" si="13"/>
        <v/>
      </c>
      <c r="AI25" s="54" t="e">
        <f t="shared" si="29"/>
        <v>#REF!</v>
      </c>
      <c r="AJ25" s="54" t="e">
        <f t="shared" si="29"/>
        <v>#REF!</v>
      </c>
      <c r="AK25" s="54" t="e">
        <f t="shared" si="29"/>
        <v>#REF!</v>
      </c>
      <c r="AL25" s="54" t="e">
        <f t="shared" si="29"/>
        <v>#REF!</v>
      </c>
      <c r="AM25" s="54" t="e">
        <f t="shared" si="29"/>
        <v>#REF!</v>
      </c>
      <c r="AN25" s="54" t="e">
        <f t="shared" si="29"/>
        <v>#REF!</v>
      </c>
      <c r="AO25" s="54" t="e">
        <f t="shared" si="29"/>
        <v>#REF!</v>
      </c>
      <c r="AP25" s="54" t="e">
        <f t="shared" si="29"/>
        <v>#REF!</v>
      </c>
      <c r="AQ25" s="54" t="e">
        <f t="shared" si="29"/>
        <v>#REF!</v>
      </c>
      <c r="AR25" s="54" t="e">
        <f t="shared" si="29"/>
        <v>#REF!</v>
      </c>
      <c r="AS25" s="54" t="e">
        <f t="shared" si="29"/>
        <v>#REF!</v>
      </c>
      <c r="AT25" s="54" t="e">
        <f t="shared" si="29"/>
        <v>#REF!</v>
      </c>
      <c r="AU25" s="54" t="e">
        <f t="shared" si="29"/>
        <v>#REF!</v>
      </c>
      <c r="AV25" s="54" t="e">
        <f t="shared" si="29"/>
        <v>#REF!</v>
      </c>
      <c r="AW25" s="54" t="e">
        <f t="shared" si="29"/>
        <v>#REF!</v>
      </c>
      <c r="AX25" s="54" t="e">
        <f t="shared" si="29"/>
        <v>#REF!</v>
      </c>
      <c r="AY25" s="54" t="e">
        <f t="shared" si="15"/>
        <v>#REF!</v>
      </c>
      <c r="AZ25" s="54" t="str">
        <f t="shared" si="16"/>
        <v/>
      </c>
      <c r="BA25" s="54" t="e">
        <f t="shared" si="17"/>
        <v>#REF!</v>
      </c>
      <c r="BB25" s="135" t="str">
        <f t="shared" si="18"/>
        <v/>
      </c>
      <c r="BC25" s="54" t="e">
        <f t="shared" si="30"/>
        <v>#REF!</v>
      </c>
      <c r="BD25" s="54" t="e">
        <f t="shared" si="30"/>
        <v>#REF!</v>
      </c>
      <c r="BE25" s="54" t="e">
        <f t="shared" si="30"/>
        <v>#REF!</v>
      </c>
      <c r="BF25" s="54" t="str">
        <f t="shared" si="20"/>
        <v/>
      </c>
      <c r="BG25" s="54" t="str">
        <f t="shared" si="21"/>
        <v/>
      </c>
      <c r="BH25" s="34" t="e">
        <f t="shared" si="22"/>
        <v>#REF!</v>
      </c>
      <c r="BI25" s="34" t="e">
        <f t="shared" si="23"/>
        <v>#REF!</v>
      </c>
      <c r="BJ25" s="136" t="str">
        <f>IF($D25&lt;&gt;"Feature",".",
IF(VLOOKUP($B25,Feature_List!$A:$AM,MATCH(BJ$1,  Feature_List!$A$1:$AM$1,0),0)=B25,".","NO"))</f>
        <v>.</v>
      </c>
      <c r="BK25" s="136"/>
      <c r="BL25" s="136"/>
      <c r="BM25" s="136" t="str">
        <f>IF($D25&lt;&gt;"Feature",".",
IF(VLOOKUP($B25,Feature_List!$A:$AM,MATCH(BM$1,  Feature_List!$A$1:$AM$1,0),0)=E25,".","NO"))</f>
        <v>.</v>
      </c>
      <c r="BN25" s="136" t="str">
        <f>IF($D25&lt;&gt;"Feature",".",
IF(VLOOKUP($B25,Feature_List!$A:$AM,MATCH(BN$1,  Feature_List!$A$1:$AM$1,0),0)=F25,".","NO"))</f>
        <v>.</v>
      </c>
      <c r="BO25" s="136" t="str">
        <f>IF($D25&lt;&gt;"Feature",".",
IF(VLOOKUP($B25,Feature_List!$A:$AM,MATCH(BO$1,  Feature_List!$A$1:$AM$1,0),0)=G25,".","NO"))</f>
        <v>.</v>
      </c>
      <c r="BP25" s="136" t="str">
        <f>IF($D25&lt;&gt;"Feature",".",
IF(VLOOKUP($B25,Feature_List!$A:$AM,MATCH(BP$1,  Feature_List!$A$1:$AM$1,0),0)=H25,".","NO"))</f>
        <v>.</v>
      </c>
      <c r="BQ25" s="136"/>
      <c r="BR25" s="136" t="str">
        <f>IF($D25&lt;&gt;"Feature",".",
IF(VLOOKUP($B25,Feature_List!$A:$AM,MATCH(BR$1,  Feature_List!$A$1:$AM$1,0),0)=J25,".","NO"))</f>
        <v>.</v>
      </c>
      <c r="BS25" s="136"/>
      <c r="BT25" s="136"/>
      <c r="BU25" s="136" t="str">
        <f>IF($D25&lt;&gt;"Feature",".",
IF(VLOOKUP($B25,Feature_List!$A:$AM,MATCH(BU$1,  Feature_List!$A$1:$AM$1,0),0)=M25,".","NO"))</f>
        <v>.</v>
      </c>
      <c r="BV25" s="136" t="str">
        <f>IF($D25&lt;&gt;"Feature",".",
IF(VLOOKUP($B25,Feature_List!$A:$AM,MATCH(BV$1,  Feature_List!$A$1:$AM$1,0),0)=N25,".","NO"))</f>
        <v>.</v>
      </c>
      <c r="BW25" s="136"/>
      <c r="BX25" s="136"/>
      <c r="BY25" s="136"/>
      <c r="BZ25" s="136"/>
      <c r="CA25" s="136"/>
      <c r="CB25" s="136" t="str">
        <f>IF($D25&lt;&gt;"Feature",".",
IF(VLOOKUP($B25,Feature_List!$A:$AM,MATCH(CB$1,  Feature_List!$A$1:$AM$1,0),0)=T25,".","NO"))</f>
        <v>.</v>
      </c>
      <c r="CC25" s="136"/>
      <c r="CD25" s="136"/>
      <c r="CE25" s="136"/>
      <c r="CF25" s="136"/>
      <c r="CG25" s="136"/>
      <c r="CH25" s="136"/>
      <c r="CI25" s="136"/>
      <c r="CJ25" s="136"/>
      <c r="CK25" s="136"/>
      <c r="CL25" s="136"/>
      <c r="CM25" s="136"/>
      <c r="CN25" s="136"/>
      <c r="CO25" s="136" t="str">
        <f>IF($D25&lt;&gt;"Feature",".",
IF(VLOOKUP($B25,Feature_List!$A:$AM,MATCH(CO$1,  Feature_List!$A$1:$AM$1,0),0)=AG25,".","NO"))</f>
        <v>.</v>
      </c>
      <c r="CP25" s="136" t="str">
        <f>IF($D25&lt;&gt;"Feature",".",
IF(VLOOKUP($B25,Feature_List!$A:$AM,MATCH(CP$1,  Feature_List!$A$1:$AM$1,0),0)=AH25,".","NO"))</f>
        <v>.</v>
      </c>
      <c r="CQ25" s="136" t="str">
        <f>IF($D25&lt;&gt;"Feature",".",
IF(VLOOKUP($B25,Feature_List!$A:$AM,MATCH(CQ$1,  Feature_List!$A$1:$AM$1,0),0)=AI25,".","NO"))</f>
        <v>.</v>
      </c>
      <c r="CR25" s="136" t="str">
        <f>IF($D25&lt;&gt;"Feature",".",
IF(VLOOKUP($B25,Feature_List!$A:$AM,MATCH(CR$1,  Feature_List!$A$1:$AM$1,0),0)=AJ25,".","NO"))</f>
        <v>.</v>
      </c>
      <c r="CS25" s="136" t="str">
        <f>IF($D25&lt;&gt;"Feature",".",
IF(VLOOKUP($B25,Feature_List!$A:$AM,MATCH(CS$1,  Feature_List!$A$1:$AM$1,0),0)=AK25,".","NO"))</f>
        <v>.</v>
      </c>
      <c r="CT25" s="136" t="str">
        <f>IF($D25&lt;&gt;"Feature",".",
IF(VLOOKUP($B25,Feature_List!$A:$AM,MATCH(CT$1,  Feature_List!$A$1:$AM$1,0),0)=AL25,".","NO"))</f>
        <v>.</v>
      </c>
      <c r="CU25" s="136" t="str">
        <f>IF($D25&lt;&gt;"Feature",".",
IF(VLOOKUP($B25,Feature_List!$A:$AM,MATCH(CU$1,  Feature_List!$A$1:$AM$1,0),0)=AM25,".","NO"))</f>
        <v>.</v>
      </c>
      <c r="CV25" s="136" t="str">
        <f>IF($D25&lt;&gt;"Feature",".",
IF(VLOOKUP($B25,Feature_List!$A:$AM,MATCH(CV$1,  Feature_List!$A$1:$AM$1,0),0)=AN25,".","NO"))</f>
        <v>.</v>
      </c>
      <c r="CW25" s="136" t="str">
        <f>IF($D25&lt;&gt;"Feature",".",
IF(VLOOKUP($B25,Feature_List!$A:$AM,MATCH(CW$1,  Feature_List!$A$1:$AM$1,0),0)=AO25,".","NO"))</f>
        <v>.</v>
      </c>
      <c r="CX25" s="136" t="str">
        <f>IF($D25&lt;&gt;"Feature",".",
IF(VLOOKUP($B25,Feature_List!$A:$AM,MATCH(CX$1,  Feature_List!$A$1:$AM$1,0),0)=AP25,".","NO"))</f>
        <v>.</v>
      </c>
      <c r="CY25" s="136" t="str">
        <f>IF($D25&lt;&gt;"Feature",".",
IF(VLOOKUP($B25,Feature_List!$A:$AM,MATCH(CY$1,  Feature_List!$A$1:$AM$1,0),0)=AQ25,".","NO"))</f>
        <v>.</v>
      </c>
      <c r="CZ25" s="136" t="str">
        <f>IF($D25&lt;&gt;"Feature",".",
IF(VLOOKUP($B25,Feature_List!$A:$AM,MATCH(CZ$1,  Feature_List!$A$1:$AM$1,0),0)=AR25,".","NO"))</f>
        <v>.</v>
      </c>
      <c r="DA25" s="136" t="str">
        <f>IF($D25&lt;&gt;"Feature",".",
IF(VLOOKUP($B25,Feature_List!$A:$AM,MATCH(DA$1,  Feature_List!$A$1:$AM$1,0),0)=AS25,".","NO"))</f>
        <v>.</v>
      </c>
      <c r="DB25" s="136" t="str">
        <f>IF($D25&lt;&gt;"Feature",".",
IF(VLOOKUP($B25,Feature_List!$A:$AM,MATCH(DB$1,  Feature_List!$A$1:$AM$1,0),0)=AT25,".","NO"))</f>
        <v>.</v>
      </c>
      <c r="DC25" s="136" t="str">
        <f>IF($D25&lt;&gt;"Feature",".",
IF(VLOOKUP($B25,Feature_List!$A:$AM,MATCH(DC$1,  Feature_List!$A$1:$AM$1,0),0)=AU25,".","NO"))</f>
        <v>.</v>
      </c>
      <c r="DD25" s="136" t="str">
        <f>IF($D25&lt;&gt;"Feature",".",
IF(VLOOKUP($B25,Feature_List!$A:$AM,MATCH(DD$1,  Feature_List!$A$1:$AM$1,0),0)=AV25,".","NO"))</f>
        <v>.</v>
      </c>
      <c r="DE25" s="136" t="str">
        <f>IF($D25&lt;&gt;"Feature",".",
IF(VLOOKUP($B25,Feature_List!$A:$AM,MATCH(DE$1,  Feature_List!$A$1:$AM$1,0),0)=AW25,".","NO"))</f>
        <v>.</v>
      </c>
      <c r="DF25" s="136" t="str">
        <f>IF($D25&lt;&gt;"Feature",".",
IF(VLOOKUP($B25,Feature_List!$A:$AM,MATCH(DF$1,  Feature_List!$A$1:$AM$1,0),0)=AX25,".","NO"))</f>
        <v>.</v>
      </c>
      <c r="DG25" s="136" t="str">
        <f>IF($D25&lt;&gt;"Feature",".",
IF(VLOOKUP($B25,Feature_List!$A:$AM,MATCH(DG$1,  Feature_List!$A$1:$AM$1,0),0)=AY25,".","NO"))</f>
        <v>.</v>
      </c>
      <c r="DH25" s="136" t="str">
        <f>IF($D25&lt;&gt;"Feature",".",
IF(VLOOKUP($B25,Feature_List!$A:$AM,MATCH(DH$1,  Feature_List!$A$1:$AM$1,0),0)=AZ25,".","NO"))</f>
        <v>.</v>
      </c>
      <c r="DI25" s="136" t="str">
        <f>IF($D25&lt;&gt;"Feature",".",
IF(VLOOKUP($B25,Feature_List!$A:$AM,MATCH(DI$1,  Feature_List!$A$1:$AM$1,0),0)=BA25,".","NO"))</f>
        <v>.</v>
      </c>
      <c r="DJ25" s="136" t="str">
        <f>IF($D25&lt;&gt;"Feature",".",
IF(VLOOKUP($B25,Feature_List!$A:$AM,MATCH(DJ$1,  Feature_List!$A$1:$AM$1,0),0)=BB25,".","NO"))</f>
        <v>.</v>
      </c>
      <c r="DK25" s="136"/>
      <c r="DL25" s="136"/>
      <c r="DM25" s="136"/>
      <c r="DN25" s="136" t="str">
        <f>IF($D25&lt;&gt;"Feature",".",
IF(VLOOKUP($B25,Feature_List!$A:$AM,MATCH(DN$1,  Feature_List!$A$1:$AM$1,0),0)=BC25,".","NO"))</f>
        <v>.</v>
      </c>
      <c r="DO25" s="136" t="str">
        <f>IF($D25&lt;&gt;"Feature",".",
IF(VLOOKUP($B25,Feature_List!$A:$AM,MATCH(DO$1,  Feature_List!$A$1:$AM$1,0),0)=BD25,".","NO"))</f>
        <v>.</v>
      </c>
    </row>
    <row r="26" spans="1:119" x14ac:dyDescent="0.3">
      <c r="B26" s="121">
        <v>376249</v>
      </c>
      <c r="C26" s="122" t="s">
        <v>604</v>
      </c>
      <c r="D26" s="122" t="s">
        <v>71</v>
      </c>
      <c r="E26" s="122" t="s">
        <v>693</v>
      </c>
      <c r="F26" s="138" t="s">
        <v>641</v>
      </c>
      <c r="G26" s="123" t="s">
        <v>641</v>
      </c>
      <c r="H26" s="122" t="s">
        <v>683</v>
      </c>
      <c r="I26" s="124" t="s">
        <v>562</v>
      </c>
      <c r="J26" s="138"/>
      <c r="K26" s="123">
        <v>0</v>
      </c>
      <c r="L26" s="122"/>
      <c r="M26" s="122" t="s">
        <v>676</v>
      </c>
      <c r="N26" s="125"/>
      <c r="O26" s="123">
        <f t="shared" si="0"/>
        <v>0</v>
      </c>
      <c r="P26" s="123" t="str">
        <f t="shared" si="1"/>
        <v>Invalid</v>
      </c>
      <c r="Q26" s="122" t="str">
        <f t="shared" si="24"/>
        <v>Story</v>
      </c>
      <c r="R26" s="126">
        <f t="shared" si="2"/>
        <v>318430</v>
      </c>
      <c r="S26" s="127">
        <f t="shared" si="3"/>
        <v>376249</v>
      </c>
      <c r="T26" s="128" t="e">
        <f>IF($Q26="ZeroEntry", "",VLOOKUP($I26,'Ranking Lookup'!#REF!,2,FALSE))</f>
        <v>#REF!</v>
      </c>
      <c r="U26" s="129" t="str">
        <f t="shared" si="4"/>
        <v/>
      </c>
      <c r="V26" s="129" t="str">
        <f t="shared" si="5"/>
        <v/>
      </c>
      <c r="W26" s="129" t="str">
        <f t="shared" si="6"/>
        <v/>
      </c>
      <c r="X26" s="129" t="str">
        <f t="shared" si="7"/>
        <v/>
      </c>
      <c r="Y26" s="129" t="str">
        <f t="shared" si="8"/>
        <v>Feature</v>
      </c>
      <c r="Z26" s="129" t="str">
        <f t="shared" si="9"/>
        <v/>
      </c>
      <c r="AA26" s="130"/>
      <c r="AB26" s="130" t="str">
        <f t="shared" si="10"/>
        <v>PI 12</v>
      </c>
      <c r="AC26" s="131">
        <f t="shared" si="25"/>
        <v>0</v>
      </c>
      <c r="AD26" s="131">
        <f t="shared" si="26"/>
        <v>0</v>
      </c>
      <c r="AE26" s="132">
        <f t="shared" si="11"/>
        <v>0</v>
      </c>
      <c r="AF26" s="133" t="str">
        <f t="shared" si="27"/>
        <v/>
      </c>
      <c r="AG26" s="134">
        <f t="shared" si="12"/>
        <v>0</v>
      </c>
      <c r="AH26" s="54" t="str">
        <f t="shared" si="13"/>
        <v/>
      </c>
      <c r="AI26" s="54" t="e">
        <f t="shared" si="29"/>
        <v>#REF!</v>
      </c>
      <c r="AJ26" s="54" t="e">
        <f t="shared" si="29"/>
        <v>#REF!</v>
      </c>
      <c r="AK26" s="54" t="e">
        <f t="shared" si="29"/>
        <v>#REF!</v>
      </c>
      <c r="AL26" s="54" t="e">
        <f t="shared" si="29"/>
        <v>#REF!</v>
      </c>
      <c r="AM26" s="54" t="e">
        <f t="shared" si="29"/>
        <v>#REF!</v>
      </c>
      <c r="AN26" s="54" t="e">
        <f t="shared" si="29"/>
        <v>#REF!</v>
      </c>
      <c r="AO26" s="54" t="e">
        <f t="shared" si="29"/>
        <v>#REF!</v>
      </c>
      <c r="AP26" s="54" t="e">
        <f t="shared" si="29"/>
        <v>#REF!</v>
      </c>
      <c r="AQ26" s="54" t="e">
        <f t="shared" si="29"/>
        <v>#REF!</v>
      </c>
      <c r="AR26" s="54" t="e">
        <f t="shared" si="29"/>
        <v>#REF!</v>
      </c>
      <c r="AS26" s="54" t="e">
        <f t="shared" si="29"/>
        <v>#REF!</v>
      </c>
      <c r="AT26" s="54" t="e">
        <f t="shared" si="29"/>
        <v>#REF!</v>
      </c>
      <c r="AU26" s="54" t="e">
        <f t="shared" si="29"/>
        <v>#REF!</v>
      </c>
      <c r="AV26" s="54" t="e">
        <f t="shared" si="29"/>
        <v>#REF!</v>
      </c>
      <c r="AW26" s="54" t="e">
        <f t="shared" si="29"/>
        <v>#REF!</v>
      </c>
      <c r="AX26" s="54" t="e">
        <f t="shared" si="29"/>
        <v>#REF!</v>
      </c>
      <c r="AY26" s="54" t="e">
        <f t="shared" si="15"/>
        <v>#REF!</v>
      </c>
      <c r="AZ26" s="54" t="str">
        <f t="shared" si="16"/>
        <v/>
      </c>
      <c r="BA26" s="54" t="e">
        <f t="shared" si="17"/>
        <v>#REF!</v>
      </c>
      <c r="BB26" s="135" t="str">
        <f t="shared" si="18"/>
        <v/>
      </c>
      <c r="BC26" s="54" t="e">
        <f t="shared" si="30"/>
        <v>#REF!</v>
      </c>
      <c r="BD26" s="54" t="e">
        <f t="shared" si="30"/>
        <v>#REF!</v>
      </c>
      <c r="BE26" s="54" t="e">
        <f t="shared" si="30"/>
        <v>#REF!</v>
      </c>
      <c r="BF26" s="54" t="str">
        <f t="shared" si="20"/>
        <v/>
      </c>
      <c r="BG26" s="54" t="str">
        <f t="shared" si="21"/>
        <v/>
      </c>
      <c r="BH26" s="34" t="e">
        <f t="shared" si="22"/>
        <v>#REF!</v>
      </c>
      <c r="BI26" s="34" t="e">
        <f t="shared" si="23"/>
        <v>#REF!</v>
      </c>
      <c r="BJ26" s="136" t="str">
        <f>IF($D26&lt;&gt;"Feature",".",
IF(VLOOKUP($B26,Feature_List!$A:$AM,MATCH(BJ$1,  Feature_List!$A$1:$AM$1,0),0)=B26,".","NO"))</f>
        <v>.</v>
      </c>
      <c r="BK26" s="136"/>
      <c r="BL26" s="136"/>
      <c r="BM26" s="136" t="str">
        <f>IF($D26&lt;&gt;"Feature",".",
IF(VLOOKUP($B26,Feature_List!$A:$AM,MATCH(BM$1,  Feature_List!$A$1:$AM$1,0),0)=E26,".","NO"))</f>
        <v>.</v>
      </c>
      <c r="BN26" s="136" t="str">
        <f>IF($D26&lt;&gt;"Feature",".",
IF(VLOOKUP($B26,Feature_List!$A:$AM,MATCH(BN$1,  Feature_List!$A$1:$AM$1,0),0)=F26,".","NO"))</f>
        <v>.</v>
      </c>
      <c r="BO26" s="136" t="str">
        <f>IF($D26&lt;&gt;"Feature",".",
IF(VLOOKUP($B26,Feature_List!$A:$AM,MATCH(BO$1,  Feature_List!$A$1:$AM$1,0),0)=G26,".","NO"))</f>
        <v>.</v>
      </c>
      <c r="BP26" s="136" t="str">
        <f>IF($D26&lt;&gt;"Feature",".",
IF(VLOOKUP($B26,Feature_List!$A:$AM,MATCH(BP$1,  Feature_List!$A$1:$AM$1,0),0)=H26,".","NO"))</f>
        <v>.</v>
      </c>
      <c r="BQ26" s="136"/>
      <c r="BR26" s="136" t="str">
        <f>IF($D26&lt;&gt;"Feature",".",
IF(VLOOKUP($B26,Feature_List!$A:$AM,MATCH(BR$1,  Feature_List!$A$1:$AM$1,0),0)=J26,".","NO"))</f>
        <v>.</v>
      </c>
      <c r="BS26" s="136"/>
      <c r="BT26" s="136"/>
      <c r="BU26" s="136" t="str">
        <f>IF($D26&lt;&gt;"Feature",".",
IF(VLOOKUP($B26,Feature_List!$A:$AM,MATCH(BU$1,  Feature_List!$A$1:$AM$1,0),0)=M26,".","NO"))</f>
        <v>.</v>
      </c>
      <c r="BV26" s="136" t="str">
        <f>IF($D26&lt;&gt;"Feature",".",
IF(VLOOKUP($B26,Feature_List!$A:$AM,MATCH(BV$1,  Feature_List!$A$1:$AM$1,0),0)=N26,".","NO"))</f>
        <v>.</v>
      </c>
      <c r="BW26" s="136"/>
      <c r="BX26" s="136"/>
      <c r="BY26" s="136"/>
      <c r="BZ26" s="136"/>
      <c r="CA26" s="136"/>
      <c r="CB26" s="136" t="str">
        <f>IF($D26&lt;&gt;"Feature",".",
IF(VLOOKUP($B26,Feature_List!$A:$AM,MATCH(CB$1,  Feature_List!$A$1:$AM$1,0),0)=T26,".","NO"))</f>
        <v>.</v>
      </c>
      <c r="CC26" s="136"/>
      <c r="CD26" s="136"/>
      <c r="CE26" s="136"/>
      <c r="CF26" s="136"/>
      <c r="CG26" s="136"/>
      <c r="CH26" s="136"/>
      <c r="CI26" s="136"/>
      <c r="CJ26" s="136"/>
      <c r="CK26" s="136"/>
      <c r="CL26" s="136"/>
      <c r="CM26" s="136"/>
      <c r="CN26" s="136"/>
      <c r="CO26" s="136" t="str">
        <f>IF($D26&lt;&gt;"Feature",".",
IF(VLOOKUP($B26,Feature_List!$A:$AM,MATCH(CO$1,  Feature_List!$A$1:$AM$1,0),0)=AG26,".","NO"))</f>
        <v>.</v>
      </c>
      <c r="CP26" s="136" t="str">
        <f>IF($D26&lt;&gt;"Feature",".",
IF(VLOOKUP($B26,Feature_List!$A:$AM,MATCH(CP$1,  Feature_List!$A$1:$AM$1,0),0)=AH26,".","NO"))</f>
        <v>.</v>
      </c>
      <c r="CQ26" s="136" t="str">
        <f>IF($D26&lt;&gt;"Feature",".",
IF(VLOOKUP($B26,Feature_List!$A:$AM,MATCH(CQ$1,  Feature_List!$A$1:$AM$1,0),0)=AI26,".","NO"))</f>
        <v>.</v>
      </c>
      <c r="CR26" s="136" t="str">
        <f>IF($D26&lt;&gt;"Feature",".",
IF(VLOOKUP($B26,Feature_List!$A:$AM,MATCH(CR$1,  Feature_List!$A$1:$AM$1,0),0)=AJ26,".","NO"))</f>
        <v>.</v>
      </c>
      <c r="CS26" s="136" t="str">
        <f>IF($D26&lt;&gt;"Feature",".",
IF(VLOOKUP($B26,Feature_List!$A:$AM,MATCH(CS$1,  Feature_List!$A$1:$AM$1,0),0)=AK26,".","NO"))</f>
        <v>.</v>
      </c>
      <c r="CT26" s="136" t="str">
        <f>IF($D26&lt;&gt;"Feature",".",
IF(VLOOKUP($B26,Feature_List!$A:$AM,MATCH(CT$1,  Feature_List!$A$1:$AM$1,0),0)=AL26,".","NO"))</f>
        <v>.</v>
      </c>
      <c r="CU26" s="136" t="str">
        <f>IF($D26&lt;&gt;"Feature",".",
IF(VLOOKUP($B26,Feature_List!$A:$AM,MATCH(CU$1,  Feature_List!$A$1:$AM$1,0),0)=AM26,".","NO"))</f>
        <v>.</v>
      </c>
      <c r="CV26" s="136" t="str">
        <f>IF($D26&lt;&gt;"Feature",".",
IF(VLOOKUP($B26,Feature_List!$A:$AM,MATCH(CV$1,  Feature_List!$A$1:$AM$1,0),0)=AN26,".","NO"))</f>
        <v>.</v>
      </c>
      <c r="CW26" s="136" t="str">
        <f>IF($D26&lt;&gt;"Feature",".",
IF(VLOOKUP($B26,Feature_List!$A:$AM,MATCH(CW$1,  Feature_List!$A$1:$AM$1,0),0)=AO26,".","NO"))</f>
        <v>.</v>
      </c>
      <c r="CX26" s="136" t="str">
        <f>IF($D26&lt;&gt;"Feature",".",
IF(VLOOKUP($B26,Feature_List!$A:$AM,MATCH(CX$1,  Feature_List!$A$1:$AM$1,0),0)=AP26,".","NO"))</f>
        <v>.</v>
      </c>
      <c r="CY26" s="136" t="str">
        <f>IF($D26&lt;&gt;"Feature",".",
IF(VLOOKUP($B26,Feature_List!$A:$AM,MATCH(CY$1,  Feature_List!$A$1:$AM$1,0),0)=AQ26,".","NO"))</f>
        <v>.</v>
      </c>
      <c r="CZ26" s="136" t="str">
        <f>IF($D26&lt;&gt;"Feature",".",
IF(VLOOKUP($B26,Feature_List!$A:$AM,MATCH(CZ$1,  Feature_List!$A$1:$AM$1,0),0)=AR26,".","NO"))</f>
        <v>.</v>
      </c>
      <c r="DA26" s="136" t="str">
        <f>IF($D26&lt;&gt;"Feature",".",
IF(VLOOKUP($B26,Feature_List!$A:$AM,MATCH(DA$1,  Feature_List!$A$1:$AM$1,0),0)=AS26,".","NO"))</f>
        <v>.</v>
      </c>
      <c r="DB26" s="136" t="str">
        <f>IF($D26&lt;&gt;"Feature",".",
IF(VLOOKUP($B26,Feature_List!$A:$AM,MATCH(DB$1,  Feature_List!$A$1:$AM$1,0),0)=AT26,".","NO"))</f>
        <v>.</v>
      </c>
      <c r="DC26" s="136" t="str">
        <f>IF($D26&lt;&gt;"Feature",".",
IF(VLOOKUP($B26,Feature_List!$A:$AM,MATCH(DC$1,  Feature_List!$A$1:$AM$1,0),0)=AU26,".","NO"))</f>
        <v>.</v>
      </c>
      <c r="DD26" s="136" t="str">
        <f>IF($D26&lt;&gt;"Feature",".",
IF(VLOOKUP($B26,Feature_List!$A:$AM,MATCH(DD$1,  Feature_List!$A$1:$AM$1,0),0)=AV26,".","NO"))</f>
        <v>.</v>
      </c>
      <c r="DE26" s="136" t="str">
        <f>IF($D26&lt;&gt;"Feature",".",
IF(VLOOKUP($B26,Feature_List!$A:$AM,MATCH(DE$1,  Feature_List!$A$1:$AM$1,0),0)=AW26,".","NO"))</f>
        <v>.</v>
      </c>
      <c r="DF26" s="136" t="str">
        <f>IF($D26&lt;&gt;"Feature",".",
IF(VLOOKUP($B26,Feature_List!$A:$AM,MATCH(DF$1,  Feature_List!$A$1:$AM$1,0),0)=AX26,".","NO"))</f>
        <v>.</v>
      </c>
      <c r="DG26" s="136" t="str">
        <f>IF($D26&lt;&gt;"Feature",".",
IF(VLOOKUP($B26,Feature_List!$A:$AM,MATCH(DG$1,  Feature_List!$A$1:$AM$1,0),0)=AY26,".","NO"))</f>
        <v>.</v>
      </c>
      <c r="DH26" s="136" t="str">
        <f>IF($D26&lt;&gt;"Feature",".",
IF(VLOOKUP($B26,Feature_List!$A:$AM,MATCH(DH$1,  Feature_List!$A$1:$AM$1,0),0)=AZ26,".","NO"))</f>
        <v>.</v>
      </c>
      <c r="DI26" s="136" t="str">
        <f>IF($D26&lt;&gt;"Feature",".",
IF(VLOOKUP($B26,Feature_List!$A:$AM,MATCH(DI$1,  Feature_List!$A$1:$AM$1,0),0)=BA26,".","NO"))</f>
        <v>.</v>
      </c>
      <c r="DJ26" s="136" t="str">
        <f>IF($D26&lt;&gt;"Feature",".",
IF(VLOOKUP($B26,Feature_List!$A:$AM,MATCH(DJ$1,  Feature_List!$A$1:$AM$1,0),0)=BB26,".","NO"))</f>
        <v>.</v>
      </c>
      <c r="DK26" s="136"/>
      <c r="DL26" s="136"/>
      <c r="DM26" s="136"/>
      <c r="DN26" s="136" t="str">
        <f>IF($D26&lt;&gt;"Feature",".",
IF(VLOOKUP($B26,Feature_List!$A:$AM,MATCH(DN$1,  Feature_List!$A$1:$AM$1,0),0)=BC26,".","NO"))</f>
        <v>.</v>
      </c>
      <c r="DO26" s="136" t="str">
        <f>IF($D26&lt;&gt;"Feature",".",
IF(VLOOKUP($B26,Feature_List!$A:$AM,MATCH(DO$1,  Feature_List!$A$1:$AM$1,0),0)=BD26,".","NO"))</f>
        <v>.</v>
      </c>
    </row>
    <row r="27" spans="1:119" x14ac:dyDescent="0.3">
      <c r="B27" s="121">
        <v>376248</v>
      </c>
      <c r="C27" s="122" t="s">
        <v>604</v>
      </c>
      <c r="D27" s="122" t="s">
        <v>71</v>
      </c>
      <c r="E27" s="122" t="s">
        <v>694</v>
      </c>
      <c r="F27" s="138" t="s">
        <v>661</v>
      </c>
      <c r="G27" s="123" t="s">
        <v>661</v>
      </c>
      <c r="H27" s="122" t="s">
        <v>683</v>
      </c>
      <c r="I27" s="124" t="s">
        <v>562</v>
      </c>
      <c r="J27" s="138"/>
      <c r="K27" s="123">
        <v>0</v>
      </c>
      <c r="L27" s="122"/>
      <c r="M27" s="122" t="s">
        <v>666</v>
      </c>
      <c r="N27" s="125"/>
      <c r="O27" s="123">
        <f t="shared" si="0"/>
        <v>0</v>
      </c>
      <c r="P27" s="123" t="str">
        <f t="shared" si="1"/>
        <v>Invalid</v>
      </c>
      <c r="Q27" s="122" t="str">
        <f t="shared" si="24"/>
        <v>Story</v>
      </c>
      <c r="R27" s="126">
        <f t="shared" si="2"/>
        <v>318430</v>
      </c>
      <c r="S27" s="127">
        <f t="shared" si="3"/>
        <v>376248</v>
      </c>
      <c r="T27" s="128" t="e">
        <f>IF($Q27="ZeroEntry", "",VLOOKUP($I27,'Ranking Lookup'!#REF!,2,FALSE))</f>
        <v>#REF!</v>
      </c>
      <c r="U27" s="129" t="str">
        <f t="shared" si="4"/>
        <v/>
      </c>
      <c r="V27" s="129" t="str">
        <f t="shared" si="5"/>
        <v/>
      </c>
      <c r="W27" s="129" t="str">
        <f t="shared" si="6"/>
        <v/>
      </c>
      <c r="X27" s="129" t="str">
        <f t="shared" si="7"/>
        <v/>
      </c>
      <c r="Y27" s="129" t="str">
        <f t="shared" si="8"/>
        <v>Feature</v>
      </c>
      <c r="Z27" s="129" t="str">
        <f t="shared" si="9"/>
        <v/>
      </c>
      <c r="AA27" s="130"/>
      <c r="AB27" s="130" t="str">
        <f t="shared" si="10"/>
        <v>PI 12</v>
      </c>
      <c r="AC27" s="131">
        <f t="shared" si="25"/>
        <v>0</v>
      </c>
      <c r="AD27" s="131">
        <f t="shared" si="26"/>
        <v>0</v>
      </c>
      <c r="AE27" s="132">
        <f t="shared" si="11"/>
        <v>0</v>
      </c>
      <c r="AF27" s="133" t="str">
        <f t="shared" si="27"/>
        <v/>
      </c>
      <c r="AG27" s="134">
        <f t="shared" si="12"/>
        <v>0</v>
      </c>
      <c r="AH27" s="54" t="str">
        <f t="shared" si="13"/>
        <v/>
      </c>
      <c r="AI27" s="54" t="e">
        <f t="shared" si="29"/>
        <v>#REF!</v>
      </c>
      <c r="AJ27" s="54" t="e">
        <f t="shared" si="29"/>
        <v>#REF!</v>
      </c>
      <c r="AK27" s="54" t="e">
        <f t="shared" si="29"/>
        <v>#REF!</v>
      </c>
      <c r="AL27" s="54" t="e">
        <f t="shared" si="29"/>
        <v>#REF!</v>
      </c>
      <c r="AM27" s="54" t="e">
        <f t="shared" si="29"/>
        <v>#REF!</v>
      </c>
      <c r="AN27" s="54" t="e">
        <f t="shared" si="29"/>
        <v>#REF!</v>
      </c>
      <c r="AO27" s="54" t="e">
        <f t="shared" si="29"/>
        <v>#REF!</v>
      </c>
      <c r="AP27" s="54" t="e">
        <f t="shared" si="29"/>
        <v>#REF!</v>
      </c>
      <c r="AQ27" s="54" t="e">
        <f t="shared" si="29"/>
        <v>#REF!</v>
      </c>
      <c r="AR27" s="54" t="e">
        <f t="shared" si="29"/>
        <v>#REF!</v>
      </c>
      <c r="AS27" s="54" t="e">
        <f t="shared" si="29"/>
        <v>#REF!</v>
      </c>
      <c r="AT27" s="54" t="e">
        <f t="shared" si="29"/>
        <v>#REF!</v>
      </c>
      <c r="AU27" s="54" t="e">
        <f t="shared" si="29"/>
        <v>#REF!</v>
      </c>
      <c r="AV27" s="54" t="e">
        <f t="shared" si="29"/>
        <v>#REF!</v>
      </c>
      <c r="AW27" s="54" t="e">
        <f t="shared" si="29"/>
        <v>#REF!</v>
      </c>
      <c r="AX27" s="54" t="e">
        <f t="shared" si="29"/>
        <v>#REF!</v>
      </c>
      <c r="AY27" s="54" t="e">
        <f t="shared" si="15"/>
        <v>#REF!</v>
      </c>
      <c r="AZ27" s="54" t="str">
        <f t="shared" si="16"/>
        <v/>
      </c>
      <c r="BA27" s="54" t="e">
        <f t="shared" si="17"/>
        <v>#REF!</v>
      </c>
      <c r="BB27" s="135" t="str">
        <f t="shared" si="18"/>
        <v/>
      </c>
      <c r="BC27" s="54" t="e">
        <f t="shared" si="30"/>
        <v>#REF!</v>
      </c>
      <c r="BD27" s="54" t="e">
        <f t="shared" si="30"/>
        <v>#REF!</v>
      </c>
      <c r="BE27" s="54" t="e">
        <f t="shared" si="30"/>
        <v>#REF!</v>
      </c>
      <c r="BF27" s="54" t="str">
        <f t="shared" si="20"/>
        <v/>
      </c>
      <c r="BG27" s="54" t="str">
        <f t="shared" si="21"/>
        <v/>
      </c>
      <c r="BH27" s="34" t="e">
        <f t="shared" si="22"/>
        <v>#REF!</v>
      </c>
      <c r="BI27" s="34" t="e">
        <f t="shared" si="23"/>
        <v>#REF!</v>
      </c>
      <c r="BJ27" s="136" t="str">
        <f>IF($D27&lt;&gt;"Feature",".",
IF(VLOOKUP($B27,Feature_List!$A:$AM,MATCH(BJ$1,  Feature_List!$A$1:$AM$1,0),0)=B27,".","NO"))</f>
        <v>.</v>
      </c>
      <c r="BK27" s="136"/>
      <c r="BL27" s="136"/>
      <c r="BM27" s="136" t="str">
        <f>IF($D27&lt;&gt;"Feature",".",
IF(VLOOKUP($B27,Feature_List!$A:$AM,MATCH(BM$1,  Feature_List!$A$1:$AM$1,0),0)=E27,".","NO"))</f>
        <v>.</v>
      </c>
      <c r="BN27" s="136" t="str">
        <f>IF($D27&lt;&gt;"Feature",".",
IF(VLOOKUP($B27,Feature_List!$A:$AM,MATCH(BN$1,  Feature_List!$A$1:$AM$1,0),0)=F27,".","NO"))</f>
        <v>.</v>
      </c>
      <c r="BO27" s="136" t="str">
        <f>IF($D27&lt;&gt;"Feature",".",
IF(VLOOKUP($B27,Feature_List!$A:$AM,MATCH(BO$1,  Feature_List!$A$1:$AM$1,0),0)=G27,".","NO"))</f>
        <v>.</v>
      </c>
      <c r="BP27" s="136" t="str">
        <f>IF($D27&lt;&gt;"Feature",".",
IF(VLOOKUP($B27,Feature_List!$A:$AM,MATCH(BP$1,  Feature_List!$A$1:$AM$1,0),0)=H27,".","NO"))</f>
        <v>.</v>
      </c>
      <c r="BQ27" s="136"/>
      <c r="BR27" s="136" t="str">
        <f>IF($D27&lt;&gt;"Feature",".",
IF(VLOOKUP($B27,Feature_List!$A:$AM,MATCH(BR$1,  Feature_List!$A$1:$AM$1,0),0)=J27,".","NO"))</f>
        <v>.</v>
      </c>
      <c r="BS27" s="136"/>
      <c r="BT27" s="136"/>
      <c r="BU27" s="136" t="str">
        <f>IF($D27&lt;&gt;"Feature",".",
IF(VLOOKUP($B27,Feature_List!$A:$AM,MATCH(BU$1,  Feature_List!$A$1:$AM$1,0),0)=M27,".","NO"))</f>
        <v>.</v>
      </c>
      <c r="BV27" s="136" t="str">
        <f>IF($D27&lt;&gt;"Feature",".",
IF(VLOOKUP($B27,Feature_List!$A:$AM,MATCH(BV$1,  Feature_List!$A$1:$AM$1,0),0)=N27,".","NO"))</f>
        <v>.</v>
      </c>
      <c r="BW27" s="136"/>
      <c r="BX27" s="136"/>
      <c r="BY27" s="136"/>
      <c r="BZ27" s="136"/>
      <c r="CA27" s="136"/>
      <c r="CB27" s="136" t="str">
        <f>IF($D27&lt;&gt;"Feature",".",
IF(VLOOKUP($B27,Feature_List!$A:$AM,MATCH(CB$1,  Feature_List!$A$1:$AM$1,0),0)=T27,".","NO"))</f>
        <v>.</v>
      </c>
      <c r="CC27" s="136"/>
      <c r="CD27" s="136"/>
      <c r="CE27" s="136"/>
      <c r="CF27" s="136"/>
      <c r="CG27" s="136"/>
      <c r="CH27" s="136"/>
      <c r="CI27" s="136"/>
      <c r="CJ27" s="136"/>
      <c r="CK27" s="136"/>
      <c r="CL27" s="136"/>
      <c r="CM27" s="136"/>
      <c r="CN27" s="136"/>
      <c r="CO27" s="136" t="str">
        <f>IF($D27&lt;&gt;"Feature",".",
IF(VLOOKUP($B27,Feature_List!$A:$AM,MATCH(CO$1,  Feature_List!$A$1:$AM$1,0),0)=AG27,".","NO"))</f>
        <v>.</v>
      </c>
      <c r="CP27" s="136" t="str">
        <f>IF($D27&lt;&gt;"Feature",".",
IF(VLOOKUP($B27,Feature_List!$A:$AM,MATCH(CP$1,  Feature_List!$A$1:$AM$1,0),0)=AH27,".","NO"))</f>
        <v>.</v>
      </c>
      <c r="CQ27" s="136" t="str">
        <f>IF($D27&lt;&gt;"Feature",".",
IF(VLOOKUP($B27,Feature_List!$A:$AM,MATCH(CQ$1,  Feature_List!$A$1:$AM$1,0),0)=AI27,".","NO"))</f>
        <v>.</v>
      </c>
      <c r="CR27" s="136" t="str">
        <f>IF($D27&lt;&gt;"Feature",".",
IF(VLOOKUP($B27,Feature_List!$A:$AM,MATCH(CR$1,  Feature_List!$A$1:$AM$1,0),0)=AJ27,".","NO"))</f>
        <v>.</v>
      </c>
      <c r="CS27" s="136" t="str">
        <f>IF($D27&lt;&gt;"Feature",".",
IF(VLOOKUP($B27,Feature_List!$A:$AM,MATCH(CS$1,  Feature_List!$A$1:$AM$1,0),0)=AK27,".","NO"))</f>
        <v>.</v>
      </c>
      <c r="CT27" s="136" t="str">
        <f>IF($D27&lt;&gt;"Feature",".",
IF(VLOOKUP($B27,Feature_List!$A:$AM,MATCH(CT$1,  Feature_List!$A$1:$AM$1,0),0)=AL27,".","NO"))</f>
        <v>.</v>
      </c>
      <c r="CU27" s="136" t="str">
        <f>IF($D27&lt;&gt;"Feature",".",
IF(VLOOKUP($B27,Feature_List!$A:$AM,MATCH(CU$1,  Feature_List!$A$1:$AM$1,0),0)=AM27,".","NO"))</f>
        <v>.</v>
      </c>
      <c r="CV27" s="136" t="str">
        <f>IF($D27&lt;&gt;"Feature",".",
IF(VLOOKUP($B27,Feature_List!$A:$AM,MATCH(CV$1,  Feature_List!$A$1:$AM$1,0),0)=AN27,".","NO"))</f>
        <v>.</v>
      </c>
      <c r="CW27" s="136" t="str">
        <f>IF($D27&lt;&gt;"Feature",".",
IF(VLOOKUP($B27,Feature_List!$A:$AM,MATCH(CW$1,  Feature_List!$A$1:$AM$1,0),0)=AO27,".","NO"))</f>
        <v>.</v>
      </c>
      <c r="CX27" s="136" t="str">
        <f>IF($D27&lt;&gt;"Feature",".",
IF(VLOOKUP($B27,Feature_List!$A:$AM,MATCH(CX$1,  Feature_List!$A$1:$AM$1,0),0)=AP27,".","NO"))</f>
        <v>.</v>
      </c>
      <c r="CY27" s="136" t="str">
        <f>IF($D27&lt;&gt;"Feature",".",
IF(VLOOKUP($B27,Feature_List!$A:$AM,MATCH(CY$1,  Feature_List!$A$1:$AM$1,0),0)=AQ27,".","NO"))</f>
        <v>.</v>
      </c>
      <c r="CZ27" s="136" t="str">
        <f>IF($D27&lt;&gt;"Feature",".",
IF(VLOOKUP($B27,Feature_List!$A:$AM,MATCH(CZ$1,  Feature_List!$A$1:$AM$1,0),0)=AR27,".","NO"))</f>
        <v>.</v>
      </c>
      <c r="DA27" s="136" t="str">
        <f>IF($D27&lt;&gt;"Feature",".",
IF(VLOOKUP($B27,Feature_List!$A:$AM,MATCH(DA$1,  Feature_List!$A$1:$AM$1,0),0)=AS27,".","NO"))</f>
        <v>.</v>
      </c>
      <c r="DB27" s="136" t="str">
        <f>IF($D27&lt;&gt;"Feature",".",
IF(VLOOKUP($B27,Feature_List!$A:$AM,MATCH(DB$1,  Feature_List!$A$1:$AM$1,0),0)=AT27,".","NO"))</f>
        <v>.</v>
      </c>
      <c r="DC27" s="136" t="str">
        <f>IF($D27&lt;&gt;"Feature",".",
IF(VLOOKUP($B27,Feature_List!$A:$AM,MATCH(DC$1,  Feature_List!$A$1:$AM$1,0),0)=AU27,".","NO"))</f>
        <v>.</v>
      </c>
      <c r="DD27" s="136" t="str">
        <f>IF($D27&lt;&gt;"Feature",".",
IF(VLOOKUP($B27,Feature_List!$A:$AM,MATCH(DD$1,  Feature_List!$A$1:$AM$1,0),0)=AV27,".","NO"))</f>
        <v>.</v>
      </c>
      <c r="DE27" s="136" t="str">
        <f>IF($D27&lt;&gt;"Feature",".",
IF(VLOOKUP($B27,Feature_List!$A:$AM,MATCH(DE$1,  Feature_List!$A$1:$AM$1,0),0)=AW27,".","NO"))</f>
        <v>.</v>
      </c>
      <c r="DF27" s="136" t="str">
        <f>IF($D27&lt;&gt;"Feature",".",
IF(VLOOKUP($B27,Feature_List!$A:$AM,MATCH(DF$1,  Feature_List!$A$1:$AM$1,0),0)=AX27,".","NO"))</f>
        <v>.</v>
      </c>
      <c r="DG27" s="136" t="str">
        <f>IF($D27&lt;&gt;"Feature",".",
IF(VLOOKUP($B27,Feature_List!$A:$AM,MATCH(DG$1,  Feature_List!$A$1:$AM$1,0),0)=AY27,".","NO"))</f>
        <v>.</v>
      </c>
      <c r="DH27" s="136" t="str">
        <f>IF($D27&lt;&gt;"Feature",".",
IF(VLOOKUP($B27,Feature_List!$A:$AM,MATCH(DH$1,  Feature_List!$A$1:$AM$1,0),0)=AZ27,".","NO"))</f>
        <v>.</v>
      </c>
      <c r="DI27" s="136" t="str">
        <f>IF($D27&lt;&gt;"Feature",".",
IF(VLOOKUP($B27,Feature_List!$A:$AM,MATCH(DI$1,  Feature_List!$A$1:$AM$1,0),0)=BA27,".","NO"))</f>
        <v>.</v>
      </c>
      <c r="DJ27" s="136" t="str">
        <f>IF($D27&lt;&gt;"Feature",".",
IF(VLOOKUP($B27,Feature_List!$A:$AM,MATCH(DJ$1,  Feature_List!$A$1:$AM$1,0),0)=BB27,".","NO"))</f>
        <v>.</v>
      </c>
      <c r="DK27" s="136"/>
      <c r="DL27" s="136"/>
      <c r="DM27" s="136"/>
      <c r="DN27" s="136" t="str">
        <f>IF($D27&lt;&gt;"Feature",".",
IF(VLOOKUP($B27,Feature_List!$A:$AM,MATCH(DN$1,  Feature_List!$A$1:$AM$1,0),0)=BC27,".","NO"))</f>
        <v>.</v>
      </c>
      <c r="DO27" s="136" t="str">
        <f>IF($D27&lt;&gt;"Feature",".",
IF(VLOOKUP($B27,Feature_List!$A:$AM,MATCH(DO$1,  Feature_List!$A$1:$AM$1,0),0)=BD27,".","NO"))</f>
        <v>.</v>
      </c>
    </row>
    <row r="28" spans="1:119" x14ac:dyDescent="0.3">
      <c r="B28" s="121">
        <v>376247</v>
      </c>
      <c r="C28" s="123" t="s">
        <v>604</v>
      </c>
      <c r="D28" s="122" t="s">
        <v>71</v>
      </c>
      <c r="E28" s="122" t="s">
        <v>695</v>
      </c>
      <c r="F28" s="138" t="s">
        <v>661</v>
      </c>
      <c r="G28" s="123" t="s">
        <v>661</v>
      </c>
      <c r="H28" s="122" t="s">
        <v>70</v>
      </c>
      <c r="I28" s="124" t="s">
        <v>562</v>
      </c>
      <c r="J28" s="138"/>
      <c r="K28" s="123">
        <v>1</v>
      </c>
      <c r="L28" s="122"/>
      <c r="M28" s="122" t="s">
        <v>666</v>
      </c>
      <c r="N28" s="125"/>
      <c r="O28" s="123">
        <f t="shared" si="0"/>
        <v>1</v>
      </c>
      <c r="P28" s="123" t="str">
        <f t="shared" si="1"/>
        <v>New</v>
      </c>
      <c r="Q28" s="122" t="str">
        <f t="shared" si="24"/>
        <v>Story</v>
      </c>
      <c r="R28" s="126">
        <f t="shared" si="2"/>
        <v>318430</v>
      </c>
      <c r="S28" s="127">
        <f t="shared" si="3"/>
        <v>376247</v>
      </c>
      <c r="T28" s="128" t="e">
        <f>IF($Q28="ZeroEntry", "",VLOOKUP($I28,'Ranking Lookup'!#REF!,2,FALSE))</f>
        <v>#REF!</v>
      </c>
      <c r="U28" s="129" t="str">
        <f t="shared" si="4"/>
        <v/>
      </c>
      <c r="V28" s="129" t="str">
        <f t="shared" si="5"/>
        <v/>
      </c>
      <c r="W28" s="129" t="str">
        <f t="shared" si="6"/>
        <v/>
      </c>
      <c r="X28" s="129" t="str">
        <f t="shared" si="7"/>
        <v/>
      </c>
      <c r="Y28" s="129" t="str">
        <f t="shared" si="8"/>
        <v>Feature</v>
      </c>
      <c r="Z28" s="129" t="str">
        <f t="shared" si="9"/>
        <v/>
      </c>
      <c r="AA28" s="130"/>
      <c r="AB28" s="130" t="str">
        <f t="shared" si="10"/>
        <v>PI 12</v>
      </c>
      <c r="AC28" s="131">
        <f t="shared" si="25"/>
        <v>1</v>
      </c>
      <c r="AD28" s="131">
        <f t="shared" si="26"/>
        <v>0</v>
      </c>
      <c r="AE28" s="132">
        <f t="shared" si="11"/>
        <v>0</v>
      </c>
      <c r="AF28" s="133" t="str">
        <f t="shared" si="27"/>
        <v/>
      </c>
      <c r="AG28" s="134">
        <f t="shared" si="12"/>
        <v>0</v>
      </c>
      <c r="AH28" s="54" t="str">
        <f t="shared" si="13"/>
        <v/>
      </c>
      <c r="AI28" s="54" t="e">
        <f t="shared" si="29"/>
        <v>#REF!</v>
      </c>
      <c r="AJ28" s="54" t="e">
        <f t="shared" si="29"/>
        <v>#REF!</v>
      </c>
      <c r="AK28" s="54" t="e">
        <f t="shared" si="29"/>
        <v>#REF!</v>
      </c>
      <c r="AL28" s="54" t="e">
        <f t="shared" si="29"/>
        <v>#REF!</v>
      </c>
      <c r="AM28" s="54" t="e">
        <f t="shared" si="29"/>
        <v>#REF!</v>
      </c>
      <c r="AN28" s="54" t="e">
        <f t="shared" si="29"/>
        <v>#REF!</v>
      </c>
      <c r="AO28" s="54" t="e">
        <f t="shared" si="29"/>
        <v>#REF!</v>
      </c>
      <c r="AP28" s="54" t="e">
        <f t="shared" si="29"/>
        <v>#REF!</v>
      </c>
      <c r="AQ28" s="54" t="e">
        <f t="shared" si="29"/>
        <v>#REF!</v>
      </c>
      <c r="AR28" s="54" t="e">
        <f t="shared" si="29"/>
        <v>#REF!</v>
      </c>
      <c r="AS28" s="54" t="e">
        <f t="shared" si="29"/>
        <v>#REF!</v>
      </c>
      <c r="AT28" s="54" t="e">
        <f t="shared" si="29"/>
        <v>#REF!</v>
      </c>
      <c r="AU28" s="54" t="e">
        <f t="shared" si="29"/>
        <v>#REF!</v>
      </c>
      <c r="AV28" s="54" t="e">
        <f t="shared" si="29"/>
        <v>#REF!</v>
      </c>
      <c r="AW28" s="54" t="e">
        <f t="shared" si="29"/>
        <v>#REF!</v>
      </c>
      <c r="AX28" s="54" t="e">
        <f t="shared" si="29"/>
        <v>#REF!</v>
      </c>
      <c r="AY28" s="54" t="e">
        <f t="shared" si="15"/>
        <v>#REF!</v>
      </c>
      <c r="AZ28" s="54" t="str">
        <f t="shared" si="16"/>
        <v/>
      </c>
      <c r="BA28" s="54" t="e">
        <f t="shared" si="17"/>
        <v>#REF!</v>
      </c>
      <c r="BB28" s="135" t="str">
        <f t="shared" si="18"/>
        <v/>
      </c>
      <c r="BC28" s="54" t="e">
        <f t="shared" si="30"/>
        <v>#REF!</v>
      </c>
      <c r="BD28" s="54" t="e">
        <f t="shared" si="30"/>
        <v>#REF!</v>
      </c>
      <c r="BE28" s="54" t="e">
        <f t="shared" si="30"/>
        <v>#REF!</v>
      </c>
      <c r="BF28" s="54" t="str">
        <f t="shared" si="20"/>
        <v/>
      </c>
      <c r="BG28" s="54" t="str">
        <f t="shared" si="21"/>
        <v/>
      </c>
      <c r="BH28" s="34" t="e">
        <f t="shared" si="22"/>
        <v>#REF!</v>
      </c>
      <c r="BI28" s="34" t="e">
        <f t="shared" si="23"/>
        <v>#REF!</v>
      </c>
      <c r="BJ28" s="136" t="str">
        <f>IF($D28&lt;&gt;"Feature",".",
IF(VLOOKUP($B28,Feature_List!$A:$AM,MATCH(BJ$1,  Feature_List!$A$1:$AM$1,0),0)=B28,".","NO"))</f>
        <v>.</v>
      </c>
      <c r="BK28" s="136"/>
      <c r="BL28" s="136"/>
      <c r="BM28" s="136" t="str">
        <f>IF($D28&lt;&gt;"Feature",".",
IF(VLOOKUP($B28,Feature_List!$A:$AM,MATCH(BM$1,  Feature_List!$A$1:$AM$1,0),0)=E28,".","NO"))</f>
        <v>.</v>
      </c>
      <c r="BN28" s="136" t="str">
        <f>IF($D28&lt;&gt;"Feature",".",
IF(VLOOKUP($B28,Feature_List!$A:$AM,MATCH(BN$1,  Feature_List!$A$1:$AM$1,0),0)=F28,".","NO"))</f>
        <v>.</v>
      </c>
      <c r="BO28" s="136" t="str">
        <f>IF($D28&lt;&gt;"Feature",".",
IF(VLOOKUP($B28,Feature_List!$A:$AM,MATCH(BO$1,  Feature_List!$A$1:$AM$1,0),0)=G28,".","NO"))</f>
        <v>.</v>
      </c>
      <c r="BP28" s="136" t="str">
        <f>IF($D28&lt;&gt;"Feature",".",
IF(VLOOKUP($B28,Feature_List!$A:$AM,MATCH(BP$1,  Feature_List!$A$1:$AM$1,0),0)=H28,".","NO"))</f>
        <v>.</v>
      </c>
      <c r="BQ28" s="136"/>
      <c r="BR28" s="136" t="str">
        <f>IF($D28&lt;&gt;"Feature",".",
IF(VLOOKUP($B28,Feature_List!$A:$AM,MATCH(BR$1,  Feature_List!$A$1:$AM$1,0),0)=J28,".","NO"))</f>
        <v>.</v>
      </c>
      <c r="BS28" s="136"/>
      <c r="BT28" s="136"/>
      <c r="BU28" s="136" t="str">
        <f>IF($D28&lt;&gt;"Feature",".",
IF(VLOOKUP($B28,Feature_List!$A:$AM,MATCH(BU$1,  Feature_List!$A$1:$AM$1,0),0)=M28,".","NO"))</f>
        <v>.</v>
      </c>
      <c r="BV28" s="136" t="str">
        <f>IF($D28&lt;&gt;"Feature",".",
IF(VLOOKUP($B28,Feature_List!$A:$AM,MATCH(BV$1,  Feature_List!$A$1:$AM$1,0),0)=N28,".","NO"))</f>
        <v>.</v>
      </c>
      <c r="BW28" s="136"/>
      <c r="BX28" s="136"/>
      <c r="BY28" s="136"/>
      <c r="BZ28" s="136"/>
      <c r="CA28" s="136"/>
      <c r="CB28" s="136" t="str">
        <f>IF($D28&lt;&gt;"Feature",".",
IF(VLOOKUP($B28,Feature_List!$A:$AM,MATCH(CB$1,  Feature_List!$A$1:$AM$1,0),0)=T28,".","NO"))</f>
        <v>.</v>
      </c>
      <c r="CC28" s="136"/>
      <c r="CD28" s="136"/>
      <c r="CE28" s="136"/>
      <c r="CF28" s="136"/>
      <c r="CG28" s="136"/>
      <c r="CH28" s="136"/>
      <c r="CI28" s="136"/>
      <c r="CJ28" s="136"/>
      <c r="CK28" s="136"/>
      <c r="CL28" s="136"/>
      <c r="CM28" s="136"/>
      <c r="CN28" s="136"/>
      <c r="CO28" s="136" t="str">
        <f>IF($D28&lt;&gt;"Feature",".",
IF(VLOOKUP($B28,Feature_List!$A:$AM,MATCH(CO$1,  Feature_List!$A$1:$AM$1,0),0)=AG28,".","NO"))</f>
        <v>.</v>
      </c>
      <c r="CP28" s="136" t="str">
        <f>IF($D28&lt;&gt;"Feature",".",
IF(VLOOKUP($B28,Feature_List!$A:$AM,MATCH(CP$1,  Feature_List!$A$1:$AM$1,0),0)=AH28,".","NO"))</f>
        <v>.</v>
      </c>
      <c r="CQ28" s="136" t="str">
        <f>IF($D28&lt;&gt;"Feature",".",
IF(VLOOKUP($B28,Feature_List!$A:$AM,MATCH(CQ$1,  Feature_List!$A$1:$AM$1,0),0)=AI28,".","NO"))</f>
        <v>.</v>
      </c>
      <c r="CR28" s="136" t="str">
        <f>IF($D28&lt;&gt;"Feature",".",
IF(VLOOKUP($B28,Feature_List!$A:$AM,MATCH(CR$1,  Feature_List!$A$1:$AM$1,0),0)=AJ28,".","NO"))</f>
        <v>.</v>
      </c>
      <c r="CS28" s="136" t="str">
        <f>IF($D28&lt;&gt;"Feature",".",
IF(VLOOKUP($B28,Feature_List!$A:$AM,MATCH(CS$1,  Feature_List!$A$1:$AM$1,0),0)=AK28,".","NO"))</f>
        <v>.</v>
      </c>
      <c r="CT28" s="136" t="str">
        <f>IF($D28&lt;&gt;"Feature",".",
IF(VLOOKUP($B28,Feature_List!$A:$AM,MATCH(CT$1,  Feature_List!$A$1:$AM$1,0),0)=AL28,".","NO"))</f>
        <v>.</v>
      </c>
      <c r="CU28" s="136" t="str">
        <f>IF($D28&lt;&gt;"Feature",".",
IF(VLOOKUP($B28,Feature_List!$A:$AM,MATCH(CU$1,  Feature_List!$A$1:$AM$1,0),0)=AM28,".","NO"))</f>
        <v>.</v>
      </c>
      <c r="CV28" s="136" t="str">
        <f>IF($D28&lt;&gt;"Feature",".",
IF(VLOOKUP($B28,Feature_List!$A:$AM,MATCH(CV$1,  Feature_List!$A$1:$AM$1,0),0)=AN28,".","NO"))</f>
        <v>.</v>
      </c>
      <c r="CW28" s="136" t="str">
        <f>IF($D28&lt;&gt;"Feature",".",
IF(VLOOKUP($B28,Feature_List!$A:$AM,MATCH(CW$1,  Feature_List!$A$1:$AM$1,0),0)=AO28,".","NO"))</f>
        <v>.</v>
      </c>
      <c r="CX28" s="136" t="str">
        <f>IF($D28&lt;&gt;"Feature",".",
IF(VLOOKUP($B28,Feature_List!$A:$AM,MATCH(CX$1,  Feature_List!$A$1:$AM$1,0),0)=AP28,".","NO"))</f>
        <v>.</v>
      </c>
      <c r="CY28" s="136" t="str">
        <f>IF($D28&lt;&gt;"Feature",".",
IF(VLOOKUP($B28,Feature_List!$A:$AM,MATCH(CY$1,  Feature_List!$A$1:$AM$1,0),0)=AQ28,".","NO"))</f>
        <v>.</v>
      </c>
      <c r="CZ28" s="136" t="str">
        <f>IF($D28&lt;&gt;"Feature",".",
IF(VLOOKUP($B28,Feature_List!$A:$AM,MATCH(CZ$1,  Feature_List!$A$1:$AM$1,0),0)=AR28,".","NO"))</f>
        <v>.</v>
      </c>
      <c r="DA28" s="136" t="str">
        <f>IF($D28&lt;&gt;"Feature",".",
IF(VLOOKUP($B28,Feature_List!$A:$AM,MATCH(DA$1,  Feature_List!$A$1:$AM$1,0),0)=AS28,".","NO"))</f>
        <v>.</v>
      </c>
      <c r="DB28" s="136" t="str">
        <f>IF($D28&lt;&gt;"Feature",".",
IF(VLOOKUP($B28,Feature_List!$A:$AM,MATCH(DB$1,  Feature_List!$A$1:$AM$1,0),0)=AT28,".","NO"))</f>
        <v>.</v>
      </c>
      <c r="DC28" s="136" t="str">
        <f>IF($D28&lt;&gt;"Feature",".",
IF(VLOOKUP($B28,Feature_List!$A:$AM,MATCH(DC$1,  Feature_List!$A$1:$AM$1,0),0)=AU28,".","NO"))</f>
        <v>.</v>
      </c>
      <c r="DD28" s="136" t="str">
        <f>IF($D28&lt;&gt;"Feature",".",
IF(VLOOKUP($B28,Feature_List!$A:$AM,MATCH(DD$1,  Feature_List!$A$1:$AM$1,0),0)=AV28,".","NO"))</f>
        <v>.</v>
      </c>
      <c r="DE28" s="136" t="str">
        <f>IF($D28&lt;&gt;"Feature",".",
IF(VLOOKUP($B28,Feature_List!$A:$AM,MATCH(DE$1,  Feature_List!$A$1:$AM$1,0),0)=AW28,".","NO"))</f>
        <v>.</v>
      </c>
      <c r="DF28" s="136" t="str">
        <f>IF($D28&lt;&gt;"Feature",".",
IF(VLOOKUP($B28,Feature_List!$A:$AM,MATCH(DF$1,  Feature_List!$A$1:$AM$1,0),0)=AX28,".","NO"))</f>
        <v>.</v>
      </c>
      <c r="DG28" s="136" t="str">
        <f>IF($D28&lt;&gt;"Feature",".",
IF(VLOOKUP($B28,Feature_List!$A:$AM,MATCH(DG$1,  Feature_List!$A$1:$AM$1,0),0)=AY28,".","NO"))</f>
        <v>.</v>
      </c>
      <c r="DH28" s="136" t="str">
        <f>IF($D28&lt;&gt;"Feature",".",
IF(VLOOKUP($B28,Feature_List!$A:$AM,MATCH(DH$1,  Feature_List!$A$1:$AM$1,0),0)=AZ28,".","NO"))</f>
        <v>.</v>
      </c>
      <c r="DI28" s="136" t="str">
        <f>IF($D28&lt;&gt;"Feature",".",
IF(VLOOKUP($B28,Feature_List!$A:$AM,MATCH(DI$1,  Feature_List!$A$1:$AM$1,0),0)=BA28,".","NO"))</f>
        <v>.</v>
      </c>
      <c r="DJ28" s="136" t="str">
        <f>IF($D28&lt;&gt;"Feature",".",
IF(VLOOKUP($B28,Feature_List!$A:$AM,MATCH(DJ$1,  Feature_List!$A$1:$AM$1,0),0)=BB28,".","NO"))</f>
        <v>.</v>
      </c>
      <c r="DK28" s="136"/>
      <c r="DL28" s="136"/>
      <c r="DM28" s="136"/>
      <c r="DN28" s="136" t="str">
        <f>IF($D28&lt;&gt;"Feature",".",
IF(VLOOKUP($B28,Feature_List!$A:$AM,MATCH(DN$1,  Feature_List!$A$1:$AM$1,0),0)=BC28,".","NO"))</f>
        <v>.</v>
      </c>
      <c r="DO28" s="136" t="str">
        <f>IF($D28&lt;&gt;"Feature",".",
IF(VLOOKUP($B28,Feature_List!$A:$AM,MATCH(DO$1,  Feature_List!$A$1:$AM$1,0),0)=BD28,".","NO"))</f>
        <v>.</v>
      </c>
    </row>
    <row r="29" spans="1:119" x14ac:dyDescent="0.3">
      <c r="B29" s="121">
        <v>376246</v>
      </c>
      <c r="C29" s="122" t="s">
        <v>604</v>
      </c>
      <c r="D29" s="122" t="s">
        <v>71</v>
      </c>
      <c r="E29" s="122" t="s">
        <v>696</v>
      </c>
      <c r="F29" s="138" t="s">
        <v>641</v>
      </c>
      <c r="G29" s="123" t="s">
        <v>641</v>
      </c>
      <c r="H29" s="122" t="s">
        <v>70</v>
      </c>
      <c r="I29" s="124" t="s">
        <v>562</v>
      </c>
      <c r="J29" s="138"/>
      <c r="K29" s="123">
        <v>3</v>
      </c>
      <c r="L29" s="122"/>
      <c r="M29" s="122" t="s">
        <v>598</v>
      </c>
      <c r="N29" s="125"/>
      <c r="O29" s="123">
        <f t="shared" si="0"/>
        <v>3</v>
      </c>
      <c r="P29" s="123" t="str">
        <f t="shared" si="1"/>
        <v>New</v>
      </c>
      <c r="Q29" s="122" t="str">
        <f t="shared" si="24"/>
        <v>Story</v>
      </c>
      <c r="R29" s="126">
        <f t="shared" si="2"/>
        <v>318430</v>
      </c>
      <c r="S29" s="127">
        <f t="shared" si="3"/>
        <v>376246</v>
      </c>
      <c r="T29" s="128" t="e">
        <f>IF($Q29="ZeroEntry", "",VLOOKUP($I29,'Ranking Lookup'!#REF!,2,FALSE))</f>
        <v>#REF!</v>
      </c>
      <c r="U29" s="129" t="str">
        <f t="shared" si="4"/>
        <v/>
      </c>
      <c r="V29" s="129" t="str">
        <f t="shared" si="5"/>
        <v/>
      </c>
      <c r="W29" s="129" t="str">
        <f t="shared" si="6"/>
        <v/>
      </c>
      <c r="X29" s="129" t="str">
        <f t="shared" si="7"/>
        <v/>
      </c>
      <c r="Y29" s="129" t="str">
        <f t="shared" si="8"/>
        <v>Feature</v>
      </c>
      <c r="Z29" s="129" t="str">
        <f t="shared" si="9"/>
        <v/>
      </c>
      <c r="AA29" s="130"/>
      <c r="AB29" s="130" t="str">
        <f t="shared" si="10"/>
        <v>PI 12</v>
      </c>
      <c r="AC29" s="131">
        <f t="shared" si="25"/>
        <v>3</v>
      </c>
      <c r="AD29" s="131">
        <f t="shared" si="26"/>
        <v>0</v>
      </c>
      <c r="AE29" s="132">
        <f t="shared" si="11"/>
        <v>0</v>
      </c>
      <c r="AF29" s="133" t="str">
        <f t="shared" si="27"/>
        <v/>
      </c>
      <c r="AG29" s="134">
        <f t="shared" si="12"/>
        <v>0</v>
      </c>
      <c r="AH29" s="54" t="str">
        <f t="shared" si="13"/>
        <v/>
      </c>
      <c r="AI29" s="54" t="e">
        <f t="shared" si="29"/>
        <v>#REF!</v>
      </c>
      <c r="AJ29" s="54" t="e">
        <f t="shared" si="29"/>
        <v>#REF!</v>
      </c>
      <c r="AK29" s="54" t="e">
        <f t="shared" si="29"/>
        <v>#REF!</v>
      </c>
      <c r="AL29" s="54" t="e">
        <f t="shared" si="29"/>
        <v>#REF!</v>
      </c>
      <c r="AM29" s="54" t="e">
        <f t="shared" si="29"/>
        <v>#REF!</v>
      </c>
      <c r="AN29" s="54" t="e">
        <f t="shared" si="29"/>
        <v>#REF!</v>
      </c>
      <c r="AO29" s="54" t="e">
        <f t="shared" si="29"/>
        <v>#REF!</v>
      </c>
      <c r="AP29" s="54" t="e">
        <f t="shared" si="29"/>
        <v>#REF!</v>
      </c>
      <c r="AQ29" s="54" t="e">
        <f t="shared" si="29"/>
        <v>#REF!</v>
      </c>
      <c r="AR29" s="54" t="e">
        <f t="shared" si="29"/>
        <v>#REF!</v>
      </c>
      <c r="AS29" s="54" t="e">
        <f t="shared" si="29"/>
        <v>#REF!</v>
      </c>
      <c r="AT29" s="54" t="e">
        <f t="shared" si="29"/>
        <v>#REF!</v>
      </c>
      <c r="AU29" s="54" t="e">
        <f t="shared" si="29"/>
        <v>#REF!</v>
      </c>
      <c r="AV29" s="54" t="e">
        <f t="shared" si="29"/>
        <v>#REF!</v>
      </c>
      <c r="AW29" s="54" t="e">
        <f t="shared" si="29"/>
        <v>#REF!</v>
      </c>
      <c r="AX29" s="54" t="e">
        <f t="shared" si="29"/>
        <v>#REF!</v>
      </c>
      <c r="AY29" s="54" t="e">
        <f t="shared" si="15"/>
        <v>#REF!</v>
      </c>
      <c r="AZ29" s="54" t="str">
        <f t="shared" si="16"/>
        <v/>
      </c>
      <c r="BA29" s="54" t="e">
        <f t="shared" si="17"/>
        <v>#REF!</v>
      </c>
      <c r="BB29" s="135" t="str">
        <f t="shared" si="18"/>
        <v/>
      </c>
      <c r="BC29" s="54" t="e">
        <f t="shared" si="30"/>
        <v>#REF!</v>
      </c>
      <c r="BD29" s="54" t="e">
        <f t="shared" si="30"/>
        <v>#REF!</v>
      </c>
      <c r="BE29" s="54" t="e">
        <f t="shared" si="30"/>
        <v>#REF!</v>
      </c>
      <c r="BF29" s="54" t="str">
        <f t="shared" si="20"/>
        <v/>
      </c>
      <c r="BG29" s="54" t="str">
        <f t="shared" si="21"/>
        <v/>
      </c>
      <c r="BH29" s="34" t="e">
        <f t="shared" si="22"/>
        <v>#REF!</v>
      </c>
      <c r="BI29" s="34" t="e">
        <f t="shared" si="23"/>
        <v>#REF!</v>
      </c>
      <c r="BJ29" s="136" t="str">
        <f>IF($D29&lt;&gt;"Feature",".",
IF(VLOOKUP($B29,Feature_List!$A:$AM,MATCH(BJ$1,  Feature_List!$A$1:$AM$1,0),0)=B29,".","NO"))</f>
        <v>.</v>
      </c>
      <c r="BK29" s="136"/>
      <c r="BL29" s="136"/>
      <c r="BM29" s="136" t="str">
        <f>IF($D29&lt;&gt;"Feature",".",
IF(VLOOKUP($B29,Feature_List!$A:$AM,MATCH(BM$1,  Feature_List!$A$1:$AM$1,0),0)=E29,".","NO"))</f>
        <v>.</v>
      </c>
      <c r="BN29" s="136" t="str">
        <f>IF($D29&lt;&gt;"Feature",".",
IF(VLOOKUP($B29,Feature_List!$A:$AM,MATCH(BN$1,  Feature_List!$A$1:$AM$1,0),0)=F29,".","NO"))</f>
        <v>.</v>
      </c>
      <c r="BO29" s="136" t="str">
        <f>IF($D29&lt;&gt;"Feature",".",
IF(VLOOKUP($B29,Feature_List!$A:$AM,MATCH(BO$1,  Feature_List!$A$1:$AM$1,0),0)=G29,".","NO"))</f>
        <v>.</v>
      </c>
      <c r="BP29" s="136" t="str">
        <f>IF($D29&lt;&gt;"Feature",".",
IF(VLOOKUP($B29,Feature_List!$A:$AM,MATCH(BP$1,  Feature_List!$A$1:$AM$1,0),0)=H29,".","NO"))</f>
        <v>.</v>
      </c>
      <c r="BQ29" s="136"/>
      <c r="BR29" s="136" t="str">
        <f>IF($D29&lt;&gt;"Feature",".",
IF(VLOOKUP($B29,Feature_List!$A:$AM,MATCH(BR$1,  Feature_List!$A$1:$AM$1,0),0)=J29,".","NO"))</f>
        <v>.</v>
      </c>
      <c r="BS29" s="136"/>
      <c r="BT29" s="136"/>
      <c r="BU29" s="136" t="str">
        <f>IF($D29&lt;&gt;"Feature",".",
IF(VLOOKUP($B29,Feature_List!$A:$AM,MATCH(BU$1,  Feature_List!$A$1:$AM$1,0),0)=M29,".","NO"))</f>
        <v>.</v>
      </c>
      <c r="BV29" s="136" t="str">
        <f>IF($D29&lt;&gt;"Feature",".",
IF(VLOOKUP($B29,Feature_List!$A:$AM,MATCH(BV$1,  Feature_List!$A$1:$AM$1,0),0)=N29,".","NO"))</f>
        <v>.</v>
      </c>
      <c r="BW29" s="136"/>
      <c r="BX29" s="136"/>
      <c r="BY29" s="136"/>
      <c r="BZ29" s="136"/>
      <c r="CA29" s="136"/>
      <c r="CB29" s="136" t="str">
        <f>IF($D29&lt;&gt;"Feature",".",
IF(VLOOKUP($B29,Feature_List!$A:$AM,MATCH(CB$1,  Feature_List!$A$1:$AM$1,0),0)=T29,".","NO"))</f>
        <v>.</v>
      </c>
      <c r="CC29" s="136"/>
      <c r="CD29" s="136"/>
      <c r="CE29" s="136"/>
      <c r="CF29" s="136"/>
      <c r="CG29" s="136"/>
      <c r="CH29" s="136"/>
      <c r="CI29" s="136"/>
      <c r="CJ29" s="136"/>
      <c r="CK29" s="136"/>
      <c r="CL29" s="136"/>
      <c r="CM29" s="136"/>
      <c r="CN29" s="136"/>
      <c r="CO29" s="136" t="str">
        <f>IF($D29&lt;&gt;"Feature",".",
IF(VLOOKUP($B29,Feature_List!$A:$AM,MATCH(CO$1,  Feature_List!$A$1:$AM$1,0),0)=AG29,".","NO"))</f>
        <v>.</v>
      </c>
      <c r="CP29" s="136" t="str">
        <f>IF($D29&lt;&gt;"Feature",".",
IF(VLOOKUP($B29,Feature_List!$A:$AM,MATCH(CP$1,  Feature_List!$A$1:$AM$1,0),0)=AH29,".","NO"))</f>
        <v>.</v>
      </c>
      <c r="CQ29" s="136" t="str">
        <f>IF($D29&lt;&gt;"Feature",".",
IF(VLOOKUP($B29,Feature_List!$A:$AM,MATCH(CQ$1,  Feature_List!$A$1:$AM$1,0),0)=AI29,".","NO"))</f>
        <v>.</v>
      </c>
      <c r="CR29" s="136" t="str">
        <f>IF($D29&lt;&gt;"Feature",".",
IF(VLOOKUP($B29,Feature_List!$A:$AM,MATCH(CR$1,  Feature_List!$A$1:$AM$1,0),0)=AJ29,".","NO"))</f>
        <v>.</v>
      </c>
      <c r="CS29" s="136" t="str">
        <f>IF($D29&lt;&gt;"Feature",".",
IF(VLOOKUP($B29,Feature_List!$A:$AM,MATCH(CS$1,  Feature_List!$A$1:$AM$1,0),0)=AK29,".","NO"))</f>
        <v>.</v>
      </c>
      <c r="CT29" s="136" t="str">
        <f>IF($D29&lt;&gt;"Feature",".",
IF(VLOOKUP($B29,Feature_List!$A:$AM,MATCH(CT$1,  Feature_List!$A$1:$AM$1,0),0)=AL29,".","NO"))</f>
        <v>.</v>
      </c>
      <c r="CU29" s="136" t="str">
        <f>IF($D29&lt;&gt;"Feature",".",
IF(VLOOKUP($B29,Feature_List!$A:$AM,MATCH(CU$1,  Feature_List!$A$1:$AM$1,0),0)=AM29,".","NO"))</f>
        <v>.</v>
      </c>
      <c r="CV29" s="136" t="str">
        <f>IF($D29&lt;&gt;"Feature",".",
IF(VLOOKUP($B29,Feature_List!$A:$AM,MATCH(CV$1,  Feature_List!$A$1:$AM$1,0),0)=AN29,".","NO"))</f>
        <v>.</v>
      </c>
      <c r="CW29" s="136" t="str">
        <f>IF($D29&lt;&gt;"Feature",".",
IF(VLOOKUP($B29,Feature_List!$A:$AM,MATCH(CW$1,  Feature_List!$A$1:$AM$1,0),0)=AO29,".","NO"))</f>
        <v>.</v>
      </c>
      <c r="CX29" s="136" t="str">
        <f>IF($D29&lt;&gt;"Feature",".",
IF(VLOOKUP($B29,Feature_List!$A:$AM,MATCH(CX$1,  Feature_List!$A$1:$AM$1,0),0)=AP29,".","NO"))</f>
        <v>.</v>
      </c>
      <c r="CY29" s="136" t="str">
        <f>IF($D29&lt;&gt;"Feature",".",
IF(VLOOKUP($B29,Feature_List!$A:$AM,MATCH(CY$1,  Feature_List!$A$1:$AM$1,0),0)=AQ29,".","NO"))</f>
        <v>.</v>
      </c>
      <c r="CZ29" s="136" t="str">
        <f>IF($D29&lt;&gt;"Feature",".",
IF(VLOOKUP($B29,Feature_List!$A:$AM,MATCH(CZ$1,  Feature_List!$A$1:$AM$1,0),0)=AR29,".","NO"))</f>
        <v>.</v>
      </c>
      <c r="DA29" s="136" t="str">
        <f>IF($D29&lt;&gt;"Feature",".",
IF(VLOOKUP($B29,Feature_List!$A:$AM,MATCH(DA$1,  Feature_List!$A$1:$AM$1,0),0)=AS29,".","NO"))</f>
        <v>.</v>
      </c>
      <c r="DB29" s="136" t="str">
        <f>IF($D29&lt;&gt;"Feature",".",
IF(VLOOKUP($B29,Feature_List!$A:$AM,MATCH(DB$1,  Feature_List!$A$1:$AM$1,0),0)=AT29,".","NO"))</f>
        <v>.</v>
      </c>
      <c r="DC29" s="136" t="str">
        <f>IF($D29&lt;&gt;"Feature",".",
IF(VLOOKUP($B29,Feature_List!$A:$AM,MATCH(DC$1,  Feature_List!$A$1:$AM$1,0),0)=AU29,".","NO"))</f>
        <v>.</v>
      </c>
      <c r="DD29" s="136" t="str">
        <f>IF($D29&lt;&gt;"Feature",".",
IF(VLOOKUP($B29,Feature_List!$A:$AM,MATCH(DD$1,  Feature_List!$A$1:$AM$1,0),0)=AV29,".","NO"))</f>
        <v>.</v>
      </c>
      <c r="DE29" s="136" t="str">
        <f>IF($D29&lt;&gt;"Feature",".",
IF(VLOOKUP($B29,Feature_List!$A:$AM,MATCH(DE$1,  Feature_List!$A$1:$AM$1,0),0)=AW29,".","NO"))</f>
        <v>.</v>
      </c>
      <c r="DF29" s="136" t="str">
        <f>IF($D29&lt;&gt;"Feature",".",
IF(VLOOKUP($B29,Feature_List!$A:$AM,MATCH(DF$1,  Feature_List!$A$1:$AM$1,0),0)=AX29,".","NO"))</f>
        <v>.</v>
      </c>
      <c r="DG29" s="136" t="str">
        <f>IF($D29&lt;&gt;"Feature",".",
IF(VLOOKUP($B29,Feature_List!$A:$AM,MATCH(DG$1,  Feature_List!$A$1:$AM$1,0),0)=AY29,".","NO"))</f>
        <v>.</v>
      </c>
      <c r="DH29" s="136" t="str">
        <f>IF($D29&lt;&gt;"Feature",".",
IF(VLOOKUP($B29,Feature_List!$A:$AM,MATCH(DH$1,  Feature_List!$A$1:$AM$1,0),0)=AZ29,".","NO"))</f>
        <v>.</v>
      </c>
      <c r="DI29" s="136" t="str">
        <f>IF($D29&lt;&gt;"Feature",".",
IF(VLOOKUP($B29,Feature_List!$A:$AM,MATCH(DI$1,  Feature_List!$A$1:$AM$1,0),0)=BA29,".","NO"))</f>
        <v>.</v>
      </c>
      <c r="DJ29" s="136" t="str">
        <f>IF($D29&lt;&gt;"Feature",".",
IF(VLOOKUP($B29,Feature_List!$A:$AM,MATCH(DJ$1,  Feature_List!$A$1:$AM$1,0),0)=BB29,".","NO"))</f>
        <v>.</v>
      </c>
      <c r="DK29" s="136"/>
      <c r="DL29" s="136"/>
      <c r="DM29" s="136"/>
      <c r="DN29" s="136" t="str">
        <f>IF($D29&lt;&gt;"Feature",".",
IF(VLOOKUP($B29,Feature_List!$A:$AM,MATCH(DN$1,  Feature_List!$A$1:$AM$1,0),0)=BC29,".","NO"))</f>
        <v>.</v>
      </c>
      <c r="DO29" s="136" t="str">
        <f>IF($D29&lt;&gt;"Feature",".",
IF(VLOOKUP($B29,Feature_List!$A:$AM,MATCH(DO$1,  Feature_List!$A$1:$AM$1,0),0)=BD29,".","NO"))</f>
        <v>.</v>
      </c>
    </row>
    <row r="30" spans="1:119" x14ac:dyDescent="0.3">
      <c r="B30" s="121">
        <v>376245</v>
      </c>
      <c r="C30" s="122" t="s">
        <v>604</v>
      </c>
      <c r="D30" s="122" t="s">
        <v>71</v>
      </c>
      <c r="E30" s="122" t="s">
        <v>697</v>
      </c>
      <c r="F30" s="138" t="s">
        <v>641</v>
      </c>
      <c r="G30" s="123" t="s">
        <v>641</v>
      </c>
      <c r="H30" s="122" t="s">
        <v>70</v>
      </c>
      <c r="I30" s="124" t="s">
        <v>562</v>
      </c>
      <c r="J30" s="138"/>
      <c r="K30" s="123">
        <v>3</v>
      </c>
      <c r="L30" s="122"/>
      <c r="M30" s="122" t="s">
        <v>666</v>
      </c>
      <c r="N30" s="125"/>
      <c r="O30" s="123">
        <f t="shared" si="0"/>
        <v>3</v>
      </c>
      <c r="P30" s="123" t="str">
        <f t="shared" si="1"/>
        <v>New</v>
      </c>
      <c r="Q30" s="122" t="str">
        <f t="shared" si="24"/>
        <v>Story</v>
      </c>
      <c r="R30" s="126">
        <f t="shared" si="2"/>
        <v>318430</v>
      </c>
      <c r="S30" s="127">
        <f t="shared" si="3"/>
        <v>376245</v>
      </c>
      <c r="T30" s="128" t="e">
        <f>IF($Q30="ZeroEntry", "",VLOOKUP($I30,'Ranking Lookup'!#REF!,2,FALSE))</f>
        <v>#REF!</v>
      </c>
      <c r="U30" s="129" t="str">
        <f t="shared" si="4"/>
        <v/>
      </c>
      <c r="V30" s="129" t="str">
        <f t="shared" si="5"/>
        <v/>
      </c>
      <c r="W30" s="129" t="str">
        <f t="shared" si="6"/>
        <v/>
      </c>
      <c r="X30" s="129" t="str">
        <f t="shared" si="7"/>
        <v/>
      </c>
      <c r="Y30" s="129" t="str">
        <f t="shared" si="8"/>
        <v>Feature</v>
      </c>
      <c r="Z30" s="129" t="str">
        <f t="shared" si="9"/>
        <v/>
      </c>
      <c r="AA30" s="130"/>
      <c r="AB30" s="130" t="str">
        <f t="shared" si="10"/>
        <v>PI 12</v>
      </c>
      <c r="AC30" s="131">
        <f t="shared" si="25"/>
        <v>3</v>
      </c>
      <c r="AD30" s="131">
        <f t="shared" si="26"/>
        <v>0</v>
      </c>
      <c r="AE30" s="132">
        <f t="shared" si="11"/>
        <v>0</v>
      </c>
      <c r="AF30" s="133" t="str">
        <f t="shared" si="27"/>
        <v/>
      </c>
      <c r="AG30" s="134">
        <f t="shared" si="12"/>
        <v>0</v>
      </c>
      <c r="AH30" s="54" t="str">
        <f t="shared" si="13"/>
        <v/>
      </c>
      <c r="AI30" s="54" t="e">
        <f t="shared" si="29"/>
        <v>#REF!</v>
      </c>
      <c r="AJ30" s="54" t="e">
        <f t="shared" si="29"/>
        <v>#REF!</v>
      </c>
      <c r="AK30" s="54" t="e">
        <f t="shared" si="29"/>
        <v>#REF!</v>
      </c>
      <c r="AL30" s="54" t="e">
        <f t="shared" si="29"/>
        <v>#REF!</v>
      </c>
      <c r="AM30" s="54" t="e">
        <f t="shared" si="29"/>
        <v>#REF!</v>
      </c>
      <c r="AN30" s="54" t="e">
        <f t="shared" si="29"/>
        <v>#REF!</v>
      </c>
      <c r="AO30" s="54" t="e">
        <f t="shared" si="29"/>
        <v>#REF!</v>
      </c>
      <c r="AP30" s="54" t="e">
        <f t="shared" si="29"/>
        <v>#REF!</v>
      </c>
      <c r="AQ30" s="54" t="e">
        <f t="shared" si="29"/>
        <v>#REF!</v>
      </c>
      <c r="AR30" s="54" t="e">
        <f t="shared" si="29"/>
        <v>#REF!</v>
      </c>
      <c r="AS30" s="54" t="e">
        <f t="shared" si="29"/>
        <v>#REF!</v>
      </c>
      <c r="AT30" s="54" t="e">
        <f t="shared" si="29"/>
        <v>#REF!</v>
      </c>
      <c r="AU30" s="54" t="e">
        <f t="shared" si="29"/>
        <v>#REF!</v>
      </c>
      <c r="AV30" s="54" t="e">
        <f t="shared" si="29"/>
        <v>#REF!</v>
      </c>
      <c r="AW30" s="54" t="e">
        <f t="shared" si="29"/>
        <v>#REF!</v>
      </c>
      <c r="AX30" s="54" t="e">
        <f t="shared" si="29"/>
        <v>#REF!</v>
      </c>
      <c r="AY30" s="54" t="e">
        <f t="shared" si="15"/>
        <v>#REF!</v>
      </c>
      <c r="AZ30" s="54" t="str">
        <f t="shared" si="16"/>
        <v/>
      </c>
      <c r="BA30" s="54" t="e">
        <f t="shared" si="17"/>
        <v>#REF!</v>
      </c>
      <c r="BB30" s="135" t="str">
        <f t="shared" si="18"/>
        <v/>
      </c>
      <c r="BC30" s="54" t="e">
        <f t="shared" si="30"/>
        <v>#REF!</v>
      </c>
      <c r="BD30" s="54" t="e">
        <f t="shared" si="30"/>
        <v>#REF!</v>
      </c>
      <c r="BE30" s="54" t="e">
        <f t="shared" si="30"/>
        <v>#REF!</v>
      </c>
      <c r="BF30" s="54" t="str">
        <f t="shared" si="20"/>
        <v/>
      </c>
      <c r="BG30" s="54" t="str">
        <f t="shared" si="21"/>
        <v/>
      </c>
      <c r="BH30" s="34" t="e">
        <f t="shared" si="22"/>
        <v>#REF!</v>
      </c>
      <c r="BI30" s="34" t="e">
        <f t="shared" si="23"/>
        <v>#REF!</v>
      </c>
      <c r="BJ30" s="136" t="str">
        <f>IF($D30&lt;&gt;"Feature",".",
IF(VLOOKUP($B30,Feature_List!$A:$AM,MATCH(BJ$1,  Feature_List!$A$1:$AM$1,0),0)=B30,".","NO"))</f>
        <v>.</v>
      </c>
      <c r="BK30" s="136"/>
      <c r="BL30" s="136"/>
      <c r="BM30" s="136" t="str">
        <f>IF($D30&lt;&gt;"Feature",".",
IF(VLOOKUP($B30,Feature_List!$A:$AM,MATCH(BM$1,  Feature_List!$A$1:$AM$1,0),0)=E30,".","NO"))</f>
        <v>.</v>
      </c>
      <c r="BN30" s="136" t="str">
        <f>IF($D30&lt;&gt;"Feature",".",
IF(VLOOKUP($B30,Feature_List!$A:$AM,MATCH(BN$1,  Feature_List!$A$1:$AM$1,0),0)=F30,".","NO"))</f>
        <v>.</v>
      </c>
      <c r="BO30" s="136" t="str">
        <f>IF($D30&lt;&gt;"Feature",".",
IF(VLOOKUP($B30,Feature_List!$A:$AM,MATCH(BO$1,  Feature_List!$A$1:$AM$1,0),0)=G30,".","NO"))</f>
        <v>.</v>
      </c>
      <c r="BP30" s="136" t="str">
        <f>IF($D30&lt;&gt;"Feature",".",
IF(VLOOKUP($B30,Feature_List!$A:$AM,MATCH(BP$1,  Feature_List!$A$1:$AM$1,0),0)=H30,".","NO"))</f>
        <v>.</v>
      </c>
      <c r="BQ30" s="136"/>
      <c r="BR30" s="136" t="str">
        <f>IF($D30&lt;&gt;"Feature",".",
IF(VLOOKUP($B30,Feature_List!$A:$AM,MATCH(BR$1,  Feature_List!$A$1:$AM$1,0),0)=J30,".","NO"))</f>
        <v>.</v>
      </c>
      <c r="BS30" s="136"/>
      <c r="BT30" s="136"/>
      <c r="BU30" s="136" t="str">
        <f>IF($D30&lt;&gt;"Feature",".",
IF(VLOOKUP($B30,Feature_List!$A:$AM,MATCH(BU$1,  Feature_List!$A$1:$AM$1,0),0)=M30,".","NO"))</f>
        <v>.</v>
      </c>
      <c r="BV30" s="136" t="str">
        <f>IF($D30&lt;&gt;"Feature",".",
IF(VLOOKUP($B30,Feature_List!$A:$AM,MATCH(BV$1,  Feature_List!$A$1:$AM$1,0),0)=N30,".","NO"))</f>
        <v>.</v>
      </c>
      <c r="BW30" s="136"/>
      <c r="BX30" s="136"/>
      <c r="BY30" s="136"/>
      <c r="BZ30" s="136"/>
      <c r="CA30" s="136"/>
      <c r="CB30" s="136" t="str">
        <f>IF($D30&lt;&gt;"Feature",".",
IF(VLOOKUP($B30,Feature_List!$A:$AM,MATCH(CB$1,  Feature_List!$A$1:$AM$1,0),0)=T30,".","NO"))</f>
        <v>.</v>
      </c>
      <c r="CC30" s="136"/>
      <c r="CD30" s="136"/>
      <c r="CE30" s="136"/>
      <c r="CF30" s="136"/>
      <c r="CG30" s="136"/>
      <c r="CH30" s="136"/>
      <c r="CI30" s="136"/>
      <c r="CJ30" s="136"/>
      <c r="CK30" s="136"/>
      <c r="CL30" s="136"/>
      <c r="CM30" s="136"/>
      <c r="CN30" s="136"/>
      <c r="CO30" s="136" t="str">
        <f>IF($D30&lt;&gt;"Feature",".",
IF(VLOOKUP($B30,Feature_List!$A:$AM,MATCH(CO$1,  Feature_List!$A$1:$AM$1,0),0)=AG30,".","NO"))</f>
        <v>.</v>
      </c>
      <c r="CP30" s="136" t="str">
        <f>IF($D30&lt;&gt;"Feature",".",
IF(VLOOKUP($B30,Feature_List!$A:$AM,MATCH(CP$1,  Feature_List!$A$1:$AM$1,0),0)=AH30,".","NO"))</f>
        <v>.</v>
      </c>
      <c r="CQ30" s="136" t="str">
        <f>IF($D30&lt;&gt;"Feature",".",
IF(VLOOKUP($B30,Feature_List!$A:$AM,MATCH(CQ$1,  Feature_List!$A$1:$AM$1,0),0)=AI30,".","NO"))</f>
        <v>.</v>
      </c>
      <c r="CR30" s="136" t="str">
        <f>IF($D30&lt;&gt;"Feature",".",
IF(VLOOKUP($B30,Feature_List!$A:$AM,MATCH(CR$1,  Feature_List!$A$1:$AM$1,0),0)=AJ30,".","NO"))</f>
        <v>.</v>
      </c>
      <c r="CS30" s="136" t="str">
        <f>IF($D30&lt;&gt;"Feature",".",
IF(VLOOKUP($B30,Feature_List!$A:$AM,MATCH(CS$1,  Feature_List!$A$1:$AM$1,0),0)=AK30,".","NO"))</f>
        <v>.</v>
      </c>
      <c r="CT30" s="136" t="str">
        <f>IF($D30&lt;&gt;"Feature",".",
IF(VLOOKUP($B30,Feature_List!$A:$AM,MATCH(CT$1,  Feature_List!$A$1:$AM$1,0),0)=AL30,".","NO"))</f>
        <v>.</v>
      </c>
      <c r="CU30" s="136" t="str">
        <f>IF($D30&lt;&gt;"Feature",".",
IF(VLOOKUP($B30,Feature_List!$A:$AM,MATCH(CU$1,  Feature_List!$A$1:$AM$1,0),0)=AM30,".","NO"))</f>
        <v>.</v>
      </c>
      <c r="CV30" s="136" t="str">
        <f>IF($D30&lt;&gt;"Feature",".",
IF(VLOOKUP($B30,Feature_List!$A:$AM,MATCH(CV$1,  Feature_List!$A$1:$AM$1,0),0)=AN30,".","NO"))</f>
        <v>.</v>
      </c>
      <c r="CW30" s="136" t="str">
        <f>IF($D30&lt;&gt;"Feature",".",
IF(VLOOKUP($B30,Feature_List!$A:$AM,MATCH(CW$1,  Feature_List!$A$1:$AM$1,0),0)=AO30,".","NO"))</f>
        <v>.</v>
      </c>
      <c r="CX30" s="136" t="str">
        <f>IF($D30&lt;&gt;"Feature",".",
IF(VLOOKUP($B30,Feature_List!$A:$AM,MATCH(CX$1,  Feature_List!$A$1:$AM$1,0),0)=AP30,".","NO"))</f>
        <v>.</v>
      </c>
      <c r="CY30" s="136" t="str">
        <f>IF($D30&lt;&gt;"Feature",".",
IF(VLOOKUP($B30,Feature_List!$A:$AM,MATCH(CY$1,  Feature_List!$A$1:$AM$1,0),0)=AQ30,".","NO"))</f>
        <v>.</v>
      </c>
      <c r="CZ30" s="136" t="str">
        <f>IF($D30&lt;&gt;"Feature",".",
IF(VLOOKUP($B30,Feature_List!$A:$AM,MATCH(CZ$1,  Feature_List!$A$1:$AM$1,0),0)=AR30,".","NO"))</f>
        <v>.</v>
      </c>
      <c r="DA30" s="136" t="str">
        <f>IF($D30&lt;&gt;"Feature",".",
IF(VLOOKUP($B30,Feature_List!$A:$AM,MATCH(DA$1,  Feature_List!$A$1:$AM$1,0),0)=AS30,".","NO"))</f>
        <v>.</v>
      </c>
      <c r="DB30" s="136" t="str">
        <f>IF($D30&lt;&gt;"Feature",".",
IF(VLOOKUP($B30,Feature_List!$A:$AM,MATCH(DB$1,  Feature_List!$A$1:$AM$1,0),0)=AT30,".","NO"))</f>
        <v>.</v>
      </c>
      <c r="DC30" s="136" t="str">
        <f>IF($D30&lt;&gt;"Feature",".",
IF(VLOOKUP($B30,Feature_List!$A:$AM,MATCH(DC$1,  Feature_List!$A$1:$AM$1,0),0)=AU30,".","NO"))</f>
        <v>.</v>
      </c>
      <c r="DD30" s="136" t="str">
        <f>IF($D30&lt;&gt;"Feature",".",
IF(VLOOKUP($B30,Feature_List!$A:$AM,MATCH(DD$1,  Feature_List!$A$1:$AM$1,0),0)=AV30,".","NO"))</f>
        <v>.</v>
      </c>
      <c r="DE30" s="136" t="str">
        <f>IF($D30&lt;&gt;"Feature",".",
IF(VLOOKUP($B30,Feature_List!$A:$AM,MATCH(DE$1,  Feature_List!$A$1:$AM$1,0),0)=AW30,".","NO"))</f>
        <v>.</v>
      </c>
      <c r="DF30" s="136" t="str">
        <f>IF($D30&lt;&gt;"Feature",".",
IF(VLOOKUP($B30,Feature_List!$A:$AM,MATCH(DF$1,  Feature_List!$A$1:$AM$1,0),0)=AX30,".","NO"))</f>
        <v>.</v>
      </c>
      <c r="DG30" s="136" t="str">
        <f>IF($D30&lt;&gt;"Feature",".",
IF(VLOOKUP($B30,Feature_List!$A:$AM,MATCH(DG$1,  Feature_List!$A$1:$AM$1,0),0)=AY30,".","NO"))</f>
        <v>.</v>
      </c>
      <c r="DH30" s="136" t="str">
        <f>IF($D30&lt;&gt;"Feature",".",
IF(VLOOKUP($B30,Feature_List!$A:$AM,MATCH(DH$1,  Feature_List!$A$1:$AM$1,0),0)=AZ30,".","NO"))</f>
        <v>.</v>
      </c>
      <c r="DI30" s="136" t="str">
        <f>IF($D30&lt;&gt;"Feature",".",
IF(VLOOKUP($B30,Feature_List!$A:$AM,MATCH(DI$1,  Feature_List!$A$1:$AM$1,0),0)=BA30,".","NO"))</f>
        <v>.</v>
      </c>
      <c r="DJ30" s="136" t="str">
        <f>IF($D30&lt;&gt;"Feature",".",
IF(VLOOKUP($B30,Feature_List!$A:$AM,MATCH(DJ$1,  Feature_List!$A$1:$AM$1,0),0)=BB30,".","NO"))</f>
        <v>.</v>
      </c>
      <c r="DK30" s="136"/>
      <c r="DL30" s="136"/>
      <c r="DM30" s="136"/>
      <c r="DN30" s="136" t="str">
        <f>IF($D30&lt;&gt;"Feature",".",
IF(VLOOKUP($B30,Feature_List!$A:$AM,MATCH(DN$1,  Feature_List!$A$1:$AM$1,0),0)=BC30,".","NO"))</f>
        <v>.</v>
      </c>
      <c r="DO30" s="136" t="str">
        <f>IF($D30&lt;&gt;"Feature",".",
IF(VLOOKUP($B30,Feature_List!$A:$AM,MATCH(DO$1,  Feature_List!$A$1:$AM$1,0),0)=BD30,".","NO"))</f>
        <v>.</v>
      </c>
    </row>
    <row r="31" spans="1:119" x14ac:dyDescent="0.3">
      <c r="B31" s="121">
        <v>376244</v>
      </c>
      <c r="C31" s="122" t="s">
        <v>604</v>
      </c>
      <c r="D31" s="122" t="s">
        <v>71</v>
      </c>
      <c r="E31" s="122" t="s">
        <v>698</v>
      </c>
      <c r="F31" s="138" t="s">
        <v>641</v>
      </c>
      <c r="G31" s="123" t="s">
        <v>641</v>
      </c>
      <c r="H31" s="122" t="s">
        <v>70</v>
      </c>
      <c r="I31" s="124" t="s">
        <v>562</v>
      </c>
      <c r="J31" s="138"/>
      <c r="K31" s="123">
        <v>3</v>
      </c>
      <c r="L31" s="122"/>
      <c r="M31" s="122" t="s">
        <v>666</v>
      </c>
      <c r="N31" s="125"/>
      <c r="O31" s="123">
        <f t="shared" si="0"/>
        <v>3</v>
      </c>
      <c r="P31" s="123" t="str">
        <f t="shared" si="1"/>
        <v>New</v>
      </c>
      <c r="Q31" s="122" t="str">
        <f t="shared" si="24"/>
        <v>Story</v>
      </c>
      <c r="R31" s="126">
        <f t="shared" si="2"/>
        <v>318430</v>
      </c>
      <c r="S31" s="127">
        <f t="shared" si="3"/>
        <v>376244</v>
      </c>
      <c r="T31" s="128" t="e">
        <f>IF($Q31="ZeroEntry", "",VLOOKUP($I31,'Ranking Lookup'!#REF!,2,FALSE))</f>
        <v>#REF!</v>
      </c>
      <c r="U31" s="129" t="str">
        <f t="shared" si="4"/>
        <v/>
      </c>
      <c r="V31" s="129" t="str">
        <f t="shared" si="5"/>
        <v/>
      </c>
      <c r="W31" s="129" t="str">
        <f t="shared" si="6"/>
        <v/>
      </c>
      <c r="X31" s="129" t="str">
        <f t="shared" si="7"/>
        <v/>
      </c>
      <c r="Y31" s="129" t="str">
        <f t="shared" si="8"/>
        <v>Feature</v>
      </c>
      <c r="Z31" s="129" t="str">
        <f t="shared" si="9"/>
        <v/>
      </c>
      <c r="AA31" s="130"/>
      <c r="AB31" s="130" t="str">
        <f t="shared" si="10"/>
        <v>PI 12</v>
      </c>
      <c r="AC31" s="131">
        <f t="shared" si="25"/>
        <v>3</v>
      </c>
      <c r="AD31" s="131">
        <f t="shared" si="26"/>
        <v>0</v>
      </c>
      <c r="AE31" s="132">
        <f t="shared" si="11"/>
        <v>0</v>
      </c>
      <c r="AF31" s="133" t="str">
        <f t="shared" si="27"/>
        <v/>
      </c>
      <c r="AG31" s="134">
        <f t="shared" si="12"/>
        <v>0</v>
      </c>
      <c r="AH31" s="54" t="str">
        <f t="shared" si="13"/>
        <v/>
      </c>
      <c r="AI31" s="54" t="e">
        <f t="shared" si="29"/>
        <v>#REF!</v>
      </c>
      <c r="AJ31" s="54" t="e">
        <f t="shared" si="29"/>
        <v>#REF!</v>
      </c>
      <c r="AK31" s="54" t="e">
        <f t="shared" si="29"/>
        <v>#REF!</v>
      </c>
      <c r="AL31" s="54" t="e">
        <f t="shared" si="29"/>
        <v>#REF!</v>
      </c>
      <c r="AM31" s="54" t="e">
        <f t="shared" si="29"/>
        <v>#REF!</v>
      </c>
      <c r="AN31" s="54" t="e">
        <f t="shared" si="29"/>
        <v>#REF!</v>
      </c>
      <c r="AO31" s="54" t="e">
        <f t="shared" si="29"/>
        <v>#REF!</v>
      </c>
      <c r="AP31" s="54" t="e">
        <f t="shared" si="29"/>
        <v>#REF!</v>
      </c>
      <c r="AQ31" s="54" t="e">
        <f t="shared" si="29"/>
        <v>#REF!</v>
      </c>
      <c r="AR31" s="54" t="e">
        <f t="shared" si="29"/>
        <v>#REF!</v>
      </c>
      <c r="AS31" s="54" t="e">
        <f t="shared" si="29"/>
        <v>#REF!</v>
      </c>
      <c r="AT31" s="54" t="e">
        <f t="shared" si="29"/>
        <v>#REF!</v>
      </c>
      <c r="AU31" s="54" t="e">
        <f t="shared" si="29"/>
        <v>#REF!</v>
      </c>
      <c r="AV31" s="54" t="e">
        <f t="shared" si="29"/>
        <v>#REF!</v>
      </c>
      <c r="AW31" s="54" t="e">
        <f t="shared" si="29"/>
        <v>#REF!</v>
      </c>
      <c r="AX31" s="54" t="e">
        <f t="shared" si="29"/>
        <v>#REF!</v>
      </c>
      <c r="AY31" s="54" t="e">
        <f t="shared" si="15"/>
        <v>#REF!</v>
      </c>
      <c r="AZ31" s="54" t="str">
        <f t="shared" si="16"/>
        <v/>
      </c>
      <c r="BA31" s="54" t="e">
        <f t="shared" si="17"/>
        <v>#REF!</v>
      </c>
      <c r="BB31" s="135" t="str">
        <f t="shared" si="18"/>
        <v/>
      </c>
      <c r="BC31" s="54" t="e">
        <f t="shared" si="30"/>
        <v>#REF!</v>
      </c>
      <c r="BD31" s="54" t="e">
        <f t="shared" si="30"/>
        <v>#REF!</v>
      </c>
      <c r="BE31" s="54" t="e">
        <f t="shared" si="30"/>
        <v>#REF!</v>
      </c>
      <c r="BF31" s="54" t="str">
        <f t="shared" si="20"/>
        <v/>
      </c>
      <c r="BG31" s="54" t="str">
        <f t="shared" si="21"/>
        <v/>
      </c>
      <c r="BH31" s="34" t="e">
        <f t="shared" si="22"/>
        <v>#REF!</v>
      </c>
      <c r="BI31" s="34" t="e">
        <f t="shared" si="23"/>
        <v>#REF!</v>
      </c>
      <c r="BJ31" s="136" t="str">
        <f>IF($D31&lt;&gt;"Feature",".",
IF(VLOOKUP($B31,Feature_List!$A:$AM,MATCH(BJ$1,  Feature_List!$A$1:$AM$1,0),0)=B31,".","NO"))</f>
        <v>.</v>
      </c>
      <c r="BK31" s="136"/>
      <c r="BL31" s="136"/>
      <c r="BM31" s="136" t="str">
        <f>IF($D31&lt;&gt;"Feature",".",
IF(VLOOKUP($B31,Feature_List!$A:$AM,MATCH(BM$1,  Feature_List!$A$1:$AM$1,0),0)=E31,".","NO"))</f>
        <v>.</v>
      </c>
      <c r="BN31" s="136" t="str">
        <f>IF($D31&lt;&gt;"Feature",".",
IF(VLOOKUP($B31,Feature_List!$A:$AM,MATCH(BN$1,  Feature_List!$A$1:$AM$1,0),0)=F31,".","NO"))</f>
        <v>.</v>
      </c>
      <c r="BO31" s="136" t="str">
        <f>IF($D31&lt;&gt;"Feature",".",
IF(VLOOKUP($B31,Feature_List!$A:$AM,MATCH(BO$1,  Feature_List!$A$1:$AM$1,0),0)=G31,".","NO"))</f>
        <v>.</v>
      </c>
      <c r="BP31" s="136" t="str">
        <f>IF($D31&lt;&gt;"Feature",".",
IF(VLOOKUP($B31,Feature_List!$A:$AM,MATCH(BP$1,  Feature_List!$A$1:$AM$1,0),0)=H31,".","NO"))</f>
        <v>.</v>
      </c>
      <c r="BQ31" s="136"/>
      <c r="BR31" s="136" t="str">
        <f>IF($D31&lt;&gt;"Feature",".",
IF(VLOOKUP($B31,Feature_List!$A:$AM,MATCH(BR$1,  Feature_List!$A$1:$AM$1,0),0)=J31,".","NO"))</f>
        <v>.</v>
      </c>
      <c r="BS31" s="136"/>
      <c r="BT31" s="136"/>
      <c r="BU31" s="136" t="str">
        <f>IF($D31&lt;&gt;"Feature",".",
IF(VLOOKUP($B31,Feature_List!$A:$AM,MATCH(BU$1,  Feature_List!$A$1:$AM$1,0),0)=M31,".","NO"))</f>
        <v>.</v>
      </c>
      <c r="BV31" s="136" t="str">
        <f>IF($D31&lt;&gt;"Feature",".",
IF(VLOOKUP($B31,Feature_List!$A:$AM,MATCH(BV$1,  Feature_List!$A$1:$AM$1,0),0)=N31,".","NO"))</f>
        <v>.</v>
      </c>
      <c r="BW31" s="136"/>
      <c r="BX31" s="136"/>
      <c r="BY31" s="136"/>
      <c r="BZ31" s="136"/>
      <c r="CA31" s="136"/>
      <c r="CB31" s="136" t="str">
        <f>IF($D31&lt;&gt;"Feature",".",
IF(VLOOKUP($B31,Feature_List!$A:$AM,MATCH(CB$1,  Feature_List!$A$1:$AM$1,0),0)=T31,".","NO"))</f>
        <v>.</v>
      </c>
      <c r="CC31" s="136"/>
      <c r="CD31" s="136"/>
      <c r="CE31" s="136"/>
      <c r="CF31" s="136"/>
      <c r="CG31" s="136"/>
      <c r="CH31" s="136"/>
      <c r="CI31" s="136"/>
      <c r="CJ31" s="136"/>
      <c r="CK31" s="136"/>
      <c r="CL31" s="136"/>
      <c r="CM31" s="136"/>
      <c r="CN31" s="136"/>
      <c r="CO31" s="136" t="str">
        <f>IF($D31&lt;&gt;"Feature",".",
IF(VLOOKUP($B31,Feature_List!$A:$AM,MATCH(CO$1,  Feature_List!$A$1:$AM$1,0),0)=AG31,".","NO"))</f>
        <v>.</v>
      </c>
      <c r="CP31" s="136" t="str">
        <f>IF($D31&lt;&gt;"Feature",".",
IF(VLOOKUP($B31,Feature_List!$A:$AM,MATCH(CP$1,  Feature_List!$A$1:$AM$1,0),0)=AH31,".","NO"))</f>
        <v>.</v>
      </c>
      <c r="CQ31" s="136" t="str">
        <f>IF($D31&lt;&gt;"Feature",".",
IF(VLOOKUP($B31,Feature_List!$A:$AM,MATCH(CQ$1,  Feature_List!$A$1:$AM$1,0),0)=AI31,".","NO"))</f>
        <v>.</v>
      </c>
      <c r="CR31" s="136" t="str">
        <f>IF($D31&lt;&gt;"Feature",".",
IF(VLOOKUP($B31,Feature_List!$A:$AM,MATCH(CR$1,  Feature_List!$A$1:$AM$1,0),0)=AJ31,".","NO"))</f>
        <v>.</v>
      </c>
      <c r="CS31" s="136" t="str">
        <f>IF($D31&lt;&gt;"Feature",".",
IF(VLOOKUP($B31,Feature_List!$A:$AM,MATCH(CS$1,  Feature_List!$A$1:$AM$1,0),0)=AK31,".","NO"))</f>
        <v>.</v>
      </c>
      <c r="CT31" s="136" t="str">
        <f>IF($D31&lt;&gt;"Feature",".",
IF(VLOOKUP($B31,Feature_List!$A:$AM,MATCH(CT$1,  Feature_List!$A$1:$AM$1,0),0)=AL31,".","NO"))</f>
        <v>.</v>
      </c>
      <c r="CU31" s="136" t="str">
        <f>IF($D31&lt;&gt;"Feature",".",
IF(VLOOKUP($B31,Feature_List!$A:$AM,MATCH(CU$1,  Feature_List!$A$1:$AM$1,0),0)=AM31,".","NO"))</f>
        <v>.</v>
      </c>
      <c r="CV31" s="136" t="str">
        <f>IF($D31&lt;&gt;"Feature",".",
IF(VLOOKUP($B31,Feature_List!$A:$AM,MATCH(CV$1,  Feature_List!$A$1:$AM$1,0),0)=AN31,".","NO"))</f>
        <v>.</v>
      </c>
      <c r="CW31" s="136" t="str">
        <f>IF($D31&lt;&gt;"Feature",".",
IF(VLOOKUP($B31,Feature_List!$A:$AM,MATCH(CW$1,  Feature_List!$A$1:$AM$1,0),0)=AO31,".","NO"))</f>
        <v>.</v>
      </c>
      <c r="CX31" s="136" t="str">
        <f>IF($D31&lt;&gt;"Feature",".",
IF(VLOOKUP($B31,Feature_List!$A:$AM,MATCH(CX$1,  Feature_List!$A$1:$AM$1,0),0)=AP31,".","NO"))</f>
        <v>.</v>
      </c>
      <c r="CY31" s="136" t="str">
        <f>IF($D31&lt;&gt;"Feature",".",
IF(VLOOKUP($B31,Feature_List!$A:$AM,MATCH(CY$1,  Feature_List!$A$1:$AM$1,0),0)=AQ31,".","NO"))</f>
        <v>.</v>
      </c>
      <c r="CZ31" s="136" t="str">
        <f>IF($D31&lt;&gt;"Feature",".",
IF(VLOOKUP($B31,Feature_List!$A:$AM,MATCH(CZ$1,  Feature_List!$A$1:$AM$1,0),0)=AR31,".","NO"))</f>
        <v>.</v>
      </c>
      <c r="DA31" s="136" t="str">
        <f>IF($D31&lt;&gt;"Feature",".",
IF(VLOOKUP($B31,Feature_List!$A:$AM,MATCH(DA$1,  Feature_List!$A$1:$AM$1,0),0)=AS31,".","NO"))</f>
        <v>.</v>
      </c>
      <c r="DB31" s="136" t="str">
        <f>IF($D31&lt;&gt;"Feature",".",
IF(VLOOKUP($B31,Feature_List!$A:$AM,MATCH(DB$1,  Feature_List!$A$1:$AM$1,0),0)=AT31,".","NO"))</f>
        <v>.</v>
      </c>
      <c r="DC31" s="136" t="str">
        <f>IF($D31&lt;&gt;"Feature",".",
IF(VLOOKUP($B31,Feature_List!$A:$AM,MATCH(DC$1,  Feature_List!$A$1:$AM$1,0),0)=AU31,".","NO"))</f>
        <v>.</v>
      </c>
      <c r="DD31" s="136" t="str">
        <f>IF($D31&lt;&gt;"Feature",".",
IF(VLOOKUP($B31,Feature_List!$A:$AM,MATCH(DD$1,  Feature_List!$A$1:$AM$1,0),0)=AV31,".","NO"))</f>
        <v>.</v>
      </c>
      <c r="DE31" s="136" t="str">
        <f>IF($D31&lt;&gt;"Feature",".",
IF(VLOOKUP($B31,Feature_List!$A:$AM,MATCH(DE$1,  Feature_List!$A$1:$AM$1,0),0)=AW31,".","NO"))</f>
        <v>.</v>
      </c>
      <c r="DF31" s="136" t="str">
        <f>IF($D31&lt;&gt;"Feature",".",
IF(VLOOKUP($B31,Feature_List!$A:$AM,MATCH(DF$1,  Feature_List!$A$1:$AM$1,0),0)=AX31,".","NO"))</f>
        <v>.</v>
      </c>
      <c r="DG31" s="136" t="str">
        <f>IF($D31&lt;&gt;"Feature",".",
IF(VLOOKUP($B31,Feature_List!$A:$AM,MATCH(DG$1,  Feature_List!$A$1:$AM$1,0),0)=AY31,".","NO"))</f>
        <v>.</v>
      </c>
      <c r="DH31" s="136" t="str">
        <f>IF($D31&lt;&gt;"Feature",".",
IF(VLOOKUP($B31,Feature_List!$A:$AM,MATCH(DH$1,  Feature_List!$A$1:$AM$1,0),0)=AZ31,".","NO"))</f>
        <v>.</v>
      </c>
      <c r="DI31" s="136" t="str">
        <f>IF($D31&lt;&gt;"Feature",".",
IF(VLOOKUP($B31,Feature_List!$A:$AM,MATCH(DI$1,  Feature_List!$A$1:$AM$1,0),0)=BA31,".","NO"))</f>
        <v>.</v>
      </c>
      <c r="DJ31" s="136" t="str">
        <f>IF($D31&lt;&gt;"Feature",".",
IF(VLOOKUP($B31,Feature_List!$A:$AM,MATCH(DJ$1,  Feature_List!$A$1:$AM$1,0),0)=BB31,".","NO"))</f>
        <v>.</v>
      </c>
      <c r="DK31" s="136"/>
      <c r="DL31" s="136"/>
      <c r="DM31" s="136"/>
      <c r="DN31" s="136" t="str">
        <f>IF($D31&lt;&gt;"Feature",".",
IF(VLOOKUP($B31,Feature_List!$A:$AM,MATCH(DN$1,  Feature_List!$A$1:$AM$1,0),0)=BC31,".","NO"))</f>
        <v>.</v>
      </c>
      <c r="DO31" s="136" t="str">
        <f>IF($D31&lt;&gt;"Feature",".",
IF(VLOOKUP($B31,Feature_List!$A:$AM,MATCH(DO$1,  Feature_List!$A$1:$AM$1,0),0)=BD31,".","NO"))</f>
        <v>.</v>
      </c>
    </row>
    <row r="32" spans="1:119" x14ac:dyDescent="0.3">
      <c r="B32" s="121">
        <v>376243</v>
      </c>
      <c r="C32" s="122" t="s">
        <v>604</v>
      </c>
      <c r="D32" s="122" t="s">
        <v>71</v>
      </c>
      <c r="E32" s="122" t="s">
        <v>699</v>
      </c>
      <c r="F32" s="138" t="s">
        <v>661</v>
      </c>
      <c r="G32" s="123" t="s">
        <v>661</v>
      </c>
      <c r="H32" s="122" t="s">
        <v>70</v>
      </c>
      <c r="I32" s="124" t="s">
        <v>562</v>
      </c>
      <c r="J32" s="138"/>
      <c r="K32" s="123">
        <v>1</v>
      </c>
      <c r="L32" s="122"/>
      <c r="M32" s="122" t="s">
        <v>54</v>
      </c>
      <c r="N32" s="125"/>
      <c r="O32" s="123">
        <f t="shared" si="0"/>
        <v>1</v>
      </c>
      <c r="P32" s="123" t="str">
        <f t="shared" si="1"/>
        <v>New</v>
      </c>
      <c r="Q32" s="122" t="str">
        <f t="shared" si="24"/>
        <v>Story</v>
      </c>
      <c r="R32" s="126">
        <f t="shared" si="2"/>
        <v>318430</v>
      </c>
      <c r="S32" s="127">
        <f t="shared" si="3"/>
        <v>376243</v>
      </c>
      <c r="T32" s="128" t="e">
        <f>IF($Q32="ZeroEntry", "",VLOOKUP($I32,'Ranking Lookup'!#REF!,2,FALSE))</f>
        <v>#REF!</v>
      </c>
      <c r="U32" s="129" t="str">
        <f t="shared" si="4"/>
        <v/>
      </c>
      <c r="V32" s="129" t="str">
        <f t="shared" si="5"/>
        <v/>
      </c>
      <c r="W32" s="129" t="str">
        <f t="shared" si="6"/>
        <v/>
      </c>
      <c r="X32" s="129" t="str">
        <f t="shared" si="7"/>
        <v/>
      </c>
      <c r="Y32" s="129" t="str">
        <f t="shared" si="8"/>
        <v>Feature</v>
      </c>
      <c r="Z32" s="129" t="str">
        <f t="shared" si="9"/>
        <v/>
      </c>
      <c r="AA32" s="130"/>
      <c r="AB32" s="130" t="str">
        <f t="shared" si="10"/>
        <v>PI 12</v>
      </c>
      <c r="AC32" s="131">
        <f t="shared" si="25"/>
        <v>1</v>
      </c>
      <c r="AD32" s="131">
        <f t="shared" si="26"/>
        <v>0</v>
      </c>
      <c r="AE32" s="132">
        <f t="shared" si="11"/>
        <v>0</v>
      </c>
      <c r="AF32" s="133" t="str">
        <f t="shared" si="27"/>
        <v/>
      </c>
      <c r="AG32" s="134">
        <f t="shared" si="12"/>
        <v>0</v>
      </c>
      <c r="AH32" s="54" t="str">
        <f t="shared" si="13"/>
        <v/>
      </c>
      <c r="AI32" s="54" t="e">
        <f t="shared" si="29"/>
        <v>#REF!</v>
      </c>
      <c r="AJ32" s="54" t="e">
        <f t="shared" si="29"/>
        <v>#REF!</v>
      </c>
      <c r="AK32" s="54" t="e">
        <f t="shared" si="29"/>
        <v>#REF!</v>
      </c>
      <c r="AL32" s="54" t="e">
        <f t="shared" si="29"/>
        <v>#REF!</v>
      </c>
      <c r="AM32" s="54" t="e">
        <f t="shared" si="29"/>
        <v>#REF!</v>
      </c>
      <c r="AN32" s="54" t="e">
        <f t="shared" si="29"/>
        <v>#REF!</v>
      </c>
      <c r="AO32" s="54" t="e">
        <f t="shared" si="29"/>
        <v>#REF!</v>
      </c>
      <c r="AP32" s="54" t="e">
        <f t="shared" si="29"/>
        <v>#REF!</v>
      </c>
      <c r="AQ32" s="54" t="e">
        <f t="shared" si="29"/>
        <v>#REF!</v>
      </c>
      <c r="AR32" s="54" t="e">
        <f t="shared" si="29"/>
        <v>#REF!</v>
      </c>
      <c r="AS32" s="54" t="e">
        <f t="shared" si="29"/>
        <v>#REF!</v>
      </c>
      <c r="AT32" s="54" t="e">
        <f t="shared" si="29"/>
        <v>#REF!</v>
      </c>
      <c r="AU32" s="54" t="e">
        <f t="shared" si="29"/>
        <v>#REF!</v>
      </c>
      <c r="AV32" s="54" t="e">
        <f t="shared" si="29"/>
        <v>#REF!</v>
      </c>
      <c r="AW32" s="54" t="e">
        <f t="shared" si="29"/>
        <v>#REF!</v>
      </c>
      <c r="AX32" s="54" t="e">
        <f t="shared" si="29"/>
        <v>#REF!</v>
      </c>
      <c r="AY32" s="54" t="e">
        <f t="shared" si="15"/>
        <v>#REF!</v>
      </c>
      <c r="AZ32" s="54" t="str">
        <f t="shared" si="16"/>
        <v/>
      </c>
      <c r="BA32" s="54" t="e">
        <f t="shared" si="17"/>
        <v>#REF!</v>
      </c>
      <c r="BB32" s="135" t="str">
        <f t="shared" si="18"/>
        <v/>
      </c>
      <c r="BC32" s="54" t="e">
        <f t="shared" si="30"/>
        <v>#REF!</v>
      </c>
      <c r="BD32" s="54" t="e">
        <f t="shared" si="30"/>
        <v>#REF!</v>
      </c>
      <c r="BE32" s="54" t="e">
        <f t="shared" si="30"/>
        <v>#REF!</v>
      </c>
      <c r="BF32" s="54" t="str">
        <f t="shared" si="20"/>
        <v/>
      </c>
      <c r="BG32" s="54" t="str">
        <f t="shared" si="21"/>
        <v/>
      </c>
      <c r="BH32" s="34" t="e">
        <f t="shared" si="22"/>
        <v>#REF!</v>
      </c>
      <c r="BI32" s="34" t="e">
        <f t="shared" si="23"/>
        <v>#REF!</v>
      </c>
      <c r="BJ32" s="136" t="str">
        <f>IF($D32&lt;&gt;"Feature",".",
IF(VLOOKUP($B32,Feature_List!$A:$AM,MATCH(BJ$1,  Feature_List!$A$1:$AM$1,0),0)=B32,".","NO"))</f>
        <v>.</v>
      </c>
      <c r="BK32" s="136"/>
      <c r="BL32" s="136"/>
      <c r="BM32" s="136" t="str">
        <f>IF($D32&lt;&gt;"Feature",".",
IF(VLOOKUP($B32,Feature_List!$A:$AM,MATCH(BM$1,  Feature_List!$A$1:$AM$1,0),0)=E32,".","NO"))</f>
        <v>.</v>
      </c>
      <c r="BN32" s="136" t="str">
        <f>IF($D32&lt;&gt;"Feature",".",
IF(VLOOKUP($B32,Feature_List!$A:$AM,MATCH(BN$1,  Feature_List!$A$1:$AM$1,0),0)=F32,".","NO"))</f>
        <v>.</v>
      </c>
      <c r="BO32" s="136" t="str">
        <f>IF($D32&lt;&gt;"Feature",".",
IF(VLOOKUP($B32,Feature_List!$A:$AM,MATCH(BO$1,  Feature_List!$A$1:$AM$1,0),0)=G32,".","NO"))</f>
        <v>.</v>
      </c>
      <c r="BP32" s="136" t="str">
        <f>IF($D32&lt;&gt;"Feature",".",
IF(VLOOKUP($B32,Feature_List!$A:$AM,MATCH(BP$1,  Feature_List!$A$1:$AM$1,0),0)=H32,".","NO"))</f>
        <v>.</v>
      </c>
      <c r="BQ32" s="136"/>
      <c r="BR32" s="136" t="str">
        <f>IF($D32&lt;&gt;"Feature",".",
IF(VLOOKUP($B32,Feature_List!$A:$AM,MATCH(BR$1,  Feature_List!$A$1:$AM$1,0),0)=J32,".","NO"))</f>
        <v>.</v>
      </c>
      <c r="BS32" s="136"/>
      <c r="BT32" s="136"/>
      <c r="BU32" s="136" t="str">
        <f>IF($D32&lt;&gt;"Feature",".",
IF(VLOOKUP($B32,Feature_List!$A:$AM,MATCH(BU$1,  Feature_List!$A$1:$AM$1,0),0)=M32,".","NO"))</f>
        <v>.</v>
      </c>
      <c r="BV32" s="136" t="str">
        <f>IF($D32&lt;&gt;"Feature",".",
IF(VLOOKUP($B32,Feature_List!$A:$AM,MATCH(BV$1,  Feature_List!$A$1:$AM$1,0),0)=N32,".","NO"))</f>
        <v>.</v>
      </c>
      <c r="BW32" s="136"/>
      <c r="BX32" s="136"/>
      <c r="BY32" s="136"/>
      <c r="BZ32" s="136"/>
      <c r="CA32" s="136"/>
      <c r="CB32" s="136" t="str">
        <f>IF($D32&lt;&gt;"Feature",".",
IF(VLOOKUP($B32,Feature_List!$A:$AM,MATCH(CB$1,  Feature_List!$A$1:$AM$1,0),0)=T32,".","NO"))</f>
        <v>.</v>
      </c>
      <c r="CC32" s="136"/>
      <c r="CD32" s="136"/>
      <c r="CE32" s="136"/>
      <c r="CF32" s="136"/>
      <c r="CG32" s="136"/>
      <c r="CH32" s="136"/>
      <c r="CI32" s="136"/>
      <c r="CJ32" s="136"/>
      <c r="CK32" s="136"/>
      <c r="CL32" s="136"/>
      <c r="CM32" s="136"/>
      <c r="CN32" s="136"/>
      <c r="CO32" s="136" t="str">
        <f>IF($D32&lt;&gt;"Feature",".",
IF(VLOOKUP($B32,Feature_List!$A:$AM,MATCH(CO$1,  Feature_List!$A$1:$AM$1,0),0)=AG32,".","NO"))</f>
        <v>.</v>
      </c>
      <c r="CP32" s="136" t="str">
        <f>IF($D32&lt;&gt;"Feature",".",
IF(VLOOKUP($B32,Feature_List!$A:$AM,MATCH(CP$1,  Feature_List!$A$1:$AM$1,0),0)=AH32,".","NO"))</f>
        <v>.</v>
      </c>
      <c r="CQ32" s="136" t="str">
        <f>IF($D32&lt;&gt;"Feature",".",
IF(VLOOKUP($B32,Feature_List!$A:$AM,MATCH(CQ$1,  Feature_List!$A$1:$AM$1,0),0)=AI32,".","NO"))</f>
        <v>.</v>
      </c>
      <c r="CR32" s="136" t="str">
        <f>IF($D32&lt;&gt;"Feature",".",
IF(VLOOKUP($B32,Feature_List!$A:$AM,MATCH(CR$1,  Feature_List!$A$1:$AM$1,0),0)=AJ32,".","NO"))</f>
        <v>.</v>
      </c>
      <c r="CS32" s="136" t="str">
        <f>IF($D32&lt;&gt;"Feature",".",
IF(VLOOKUP($B32,Feature_List!$A:$AM,MATCH(CS$1,  Feature_List!$A$1:$AM$1,0),0)=AK32,".","NO"))</f>
        <v>.</v>
      </c>
      <c r="CT32" s="136" t="str">
        <f>IF($D32&lt;&gt;"Feature",".",
IF(VLOOKUP($B32,Feature_List!$A:$AM,MATCH(CT$1,  Feature_List!$A$1:$AM$1,0),0)=AL32,".","NO"))</f>
        <v>.</v>
      </c>
      <c r="CU32" s="136" t="str">
        <f>IF($D32&lt;&gt;"Feature",".",
IF(VLOOKUP($B32,Feature_List!$A:$AM,MATCH(CU$1,  Feature_List!$A$1:$AM$1,0),0)=AM32,".","NO"))</f>
        <v>.</v>
      </c>
      <c r="CV32" s="136" t="str">
        <f>IF($D32&lt;&gt;"Feature",".",
IF(VLOOKUP($B32,Feature_List!$A:$AM,MATCH(CV$1,  Feature_List!$A$1:$AM$1,0),0)=AN32,".","NO"))</f>
        <v>.</v>
      </c>
      <c r="CW32" s="136" t="str">
        <f>IF($D32&lt;&gt;"Feature",".",
IF(VLOOKUP($B32,Feature_List!$A:$AM,MATCH(CW$1,  Feature_List!$A$1:$AM$1,0),0)=AO32,".","NO"))</f>
        <v>.</v>
      </c>
      <c r="CX32" s="136" t="str">
        <f>IF($D32&lt;&gt;"Feature",".",
IF(VLOOKUP($B32,Feature_List!$A:$AM,MATCH(CX$1,  Feature_List!$A$1:$AM$1,0),0)=AP32,".","NO"))</f>
        <v>.</v>
      </c>
      <c r="CY32" s="136" t="str">
        <f>IF($D32&lt;&gt;"Feature",".",
IF(VLOOKUP($B32,Feature_List!$A:$AM,MATCH(CY$1,  Feature_List!$A$1:$AM$1,0),0)=AQ32,".","NO"))</f>
        <v>.</v>
      </c>
      <c r="CZ32" s="136" t="str">
        <f>IF($D32&lt;&gt;"Feature",".",
IF(VLOOKUP($B32,Feature_List!$A:$AM,MATCH(CZ$1,  Feature_List!$A$1:$AM$1,0),0)=AR32,".","NO"))</f>
        <v>.</v>
      </c>
      <c r="DA32" s="136" t="str">
        <f>IF($D32&lt;&gt;"Feature",".",
IF(VLOOKUP($B32,Feature_List!$A:$AM,MATCH(DA$1,  Feature_List!$A$1:$AM$1,0),0)=AS32,".","NO"))</f>
        <v>.</v>
      </c>
      <c r="DB32" s="136" t="str">
        <f>IF($D32&lt;&gt;"Feature",".",
IF(VLOOKUP($B32,Feature_List!$A:$AM,MATCH(DB$1,  Feature_List!$A$1:$AM$1,0),0)=AT32,".","NO"))</f>
        <v>.</v>
      </c>
      <c r="DC32" s="136" t="str">
        <f>IF($D32&lt;&gt;"Feature",".",
IF(VLOOKUP($B32,Feature_List!$A:$AM,MATCH(DC$1,  Feature_List!$A$1:$AM$1,0),0)=AU32,".","NO"))</f>
        <v>.</v>
      </c>
      <c r="DD32" s="136" t="str">
        <f>IF($D32&lt;&gt;"Feature",".",
IF(VLOOKUP($B32,Feature_List!$A:$AM,MATCH(DD$1,  Feature_List!$A$1:$AM$1,0),0)=AV32,".","NO"))</f>
        <v>.</v>
      </c>
      <c r="DE32" s="136" t="str">
        <f>IF($D32&lt;&gt;"Feature",".",
IF(VLOOKUP($B32,Feature_List!$A:$AM,MATCH(DE$1,  Feature_List!$A$1:$AM$1,0),0)=AW32,".","NO"))</f>
        <v>.</v>
      </c>
      <c r="DF32" s="136" t="str">
        <f>IF($D32&lt;&gt;"Feature",".",
IF(VLOOKUP($B32,Feature_List!$A:$AM,MATCH(DF$1,  Feature_List!$A$1:$AM$1,0),0)=AX32,".","NO"))</f>
        <v>.</v>
      </c>
      <c r="DG32" s="136" t="str">
        <f>IF($D32&lt;&gt;"Feature",".",
IF(VLOOKUP($B32,Feature_List!$A:$AM,MATCH(DG$1,  Feature_List!$A$1:$AM$1,0),0)=AY32,".","NO"))</f>
        <v>.</v>
      </c>
      <c r="DH32" s="136" t="str">
        <f>IF($D32&lt;&gt;"Feature",".",
IF(VLOOKUP($B32,Feature_List!$A:$AM,MATCH(DH$1,  Feature_List!$A$1:$AM$1,0),0)=AZ32,".","NO"))</f>
        <v>.</v>
      </c>
      <c r="DI32" s="136" t="str">
        <f>IF($D32&lt;&gt;"Feature",".",
IF(VLOOKUP($B32,Feature_List!$A:$AM,MATCH(DI$1,  Feature_List!$A$1:$AM$1,0),0)=BA32,".","NO"))</f>
        <v>.</v>
      </c>
      <c r="DJ32" s="136" t="str">
        <f>IF($D32&lt;&gt;"Feature",".",
IF(VLOOKUP($B32,Feature_List!$A:$AM,MATCH(DJ$1,  Feature_List!$A$1:$AM$1,0),0)=BB32,".","NO"))</f>
        <v>.</v>
      </c>
      <c r="DK32" s="136"/>
      <c r="DL32" s="136"/>
      <c r="DM32" s="136"/>
      <c r="DN32" s="136" t="str">
        <f>IF($D32&lt;&gt;"Feature",".",
IF(VLOOKUP($B32,Feature_List!$A:$AM,MATCH(DN$1,  Feature_List!$A$1:$AM$1,0),0)=BC32,".","NO"))</f>
        <v>.</v>
      </c>
      <c r="DO32" s="136" t="str">
        <f>IF($D32&lt;&gt;"Feature",".",
IF(VLOOKUP($B32,Feature_List!$A:$AM,MATCH(DO$1,  Feature_List!$A$1:$AM$1,0),0)=BD32,".","NO"))</f>
        <v>.</v>
      </c>
    </row>
    <row r="33" spans="2:119" x14ac:dyDescent="0.3">
      <c r="B33" s="144">
        <v>376242</v>
      </c>
      <c r="C33" s="144" t="s">
        <v>604</v>
      </c>
      <c r="D33" s="144" t="s">
        <v>71</v>
      </c>
      <c r="E33" s="144" t="s">
        <v>700</v>
      </c>
      <c r="F33" s="145" t="s">
        <v>661</v>
      </c>
      <c r="G33" s="144" t="s">
        <v>661</v>
      </c>
      <c r="H33" s="144" t="s">
        <v>70</v>
      </c>
      <c r="I33" s="144" t="s">
        <v>562</v>
      </c>
      <c r="J33" s="145"/>
      <c r="K33" s="144">
        <v>1</v>
      </c>
      <c r="L33" s="144"/>
      <c r="M33" s="144" t="s">
        <v>54</v>
      </c>
      <c r="N33" s="145"/>
      <c r="O33" s="123">
        <f t="shared" si="0"/>
        <v>1</v>
      </c>
      <c r="P33" s="123" t="str">
        <f t="shared" si="1"/>
        <v>New</v>
      </c>
      <c r="Q33" s="122" t="str">
        <f t="shared" si="24"/>
        <v>Story</v>
      </c>
      <c r="R33" s="126">
        <f t="shared" si="2"/>
        <v>318430</v>
      </c>
      <c r="S33" s="127">
        <f t="shared" si="3"/>
        <v>376242</v>
      </c>
      <c r="T33" s="128" t="e">
        <f>IF($Q33="ZeroEntry", "",VLOOKUP($I33,'Ranking Lookup'!#REF!,2,FALSE))</f>
        <v>#REF!</v>
      </c>
      <c r="U33" s="129" t="str">
        <f t="shared" si="4"/>
        <v/>
      </c>
      <c r="V33" s="129" t="str">
        <f t="shared" si="5"/>
        <v/>
      </c>
      <c r="W33" s="129" t="str">
        <f t="shared" si="6"/>
        <v/>
      </c>
      <c r="X33" s="129" t="str">
        <f t="shared" si="7"/>
        <v/>
      </c>
      <c r="Y33" s="129" t="str">
        <f t="shared" si="8"/>
        <v>Feature</v>
      </c>
      <c r="Z33" s="129" t="str">
        <f t="shared" si="9"/>
        <v/>
      </c>
      <c r="AA33" s="130"/>
      <c r="AB33" s="130" t="str">
        <f t="shared" si="10"/>
        <v>PI 12</v>
      </c>
      <c r="AC33" s="131">
        <f t="shared" si="25"/>
        <v>1</v>
      </c>
      <c r="AD33" s="131">
        <f t="shared" si="26"/>
        <v>0</v>
      </c>
      <c r="AE33" s="132">
        <f t="shared" si="11"/>
        <v>0</v>
      </c>
      <c r="AF33" s="133" t="str">
        <f t="shared" si="27"/>
        <v/>
      </c>
      <c r="AG33" s="134">
        <f t="shared" si="12"/>
        <v>0</v>
      </c>
      <c r="AH33" s="54" t="str">
        <f t="shared" si="13"/>
        <v/>
      </c>
      <c r="AI33" s="54" t="e">
        <f t="shared" si="29"/>
        <v>#REF!</v>
      </c>
      <c r="AJ33" s="54" t="e">
        <f t="shared" si="29"/>
        <v>#REF!</v>
      </c>
      <c r="AK33" s="54" t="e">
        <f t="shared" si="29"/>
        <v>#REF!</v>
      </c>
      <c r="AL33" s="54" t="e">
        <f t="shared" si="29"/>
        <v>#REF!</v>
      </c>
      <c r="AM33" s="54" t="e">
        <f t="shared" si="29"/>
        <v>#REF!</v>
      </c>
      <c r="AN33" s="54" t="e">
        <f t="shared" si="29"/>
        <v>#REF!</v>
      </c>
      <c r="AO33" s="54" t="e">
        <f t="shared" si="29"/>
        <v>#REF!</v>
      </c>
      <c r="AP33" s="54" t="e">
        <f t="shared" si="29"/>
        <v>#REF!</v>
      </c>
      <c r="AQ33" s="54" t="e">
        <f t="shared" si="29"/>
        <v>#REF!</v>
      </c>
      <c r="AR33" s="54" t="e">
        <f t="shared" si="29"/>
        <v>#REF!</v>
      </c>
      <c r="AS33" s="54" t="e">
        <f t="shared" si="29"/>
        <v>#REF!</v>
      </c>
      <c r="AT33" s="54" t="e">
        <f t="shared" si="29"/>
        <v>#REF!</v>
      </c>
      <c r="AU33" s="54" t="e">
        <f t="shared" si="29"/>
        <v>#REF!</v>
      </c>
      <c r="AV33" s="54" t="e">
        <f t="shared" si="29"/>
        <v>#REF!</v>
      </c>
      <c r="AW33" s="54" t="e">
        <f t="shared" si="29"/>
        <v>#REF!</v>
      </c>
      <c r="AX33" s="54" t="e">
        <f t="shared" ref="AX33" si="31">IF(AND($Q33="Feature",LEFT($AB33,2)="PI"),
IF(AND(COUNTIF($R:$R,$B33)=1,$T33=AX$1), IF($AB33=$A$10,$AF33,0),
IF(OR($AD33&lt;1,RIGHT($G33,8)="Progress",$AH33&gt;0),SUMIFS($O:$O,$R:$R,$B33,$T:$T,AX$1,$P:$P,"&lt;&gt;Done",$AB:$AB,$A$10),
IF($T33=AX$1,IF($AB33=$A$10,$AD33,0)+SUMIFS($O:$O,$R:$R,$B33,$T:$T,AX$1,$P:$P,"&lt;&gt;Done",$AB:$AB,$A$10),SUMIFS($O:$O,$R:$R,$B33,$T:$T,AX$1,$P:$P,"&lt;&gt;Done",$AB:$AB,$A$10)))),
IF(AND(OR($Q33="Story",$Q33="Problem",$Q33="Enhancement"),$AB33=$A$10,$R33=0,$T33=AX$1,$P33&lt;&gt;"Done"),$O33,""))</f>
        <v>#REF!</v>
      </c>
      <c r="AY33" s="54" t="e">
        <f t="shared" si="15"/>
        <v>#REF!</v>
      </c>
      <c r="AZ33" s="54" t="str">
        <f t="shared" si="16"/>
        <v/>
      </c>
      <c r="BA33" s="54" t="e">
        <f t="shared" si="17"/>
        <v>#REF!</v>
      </c>
      <c r="BB33" s="135" t="str">
        <f t="shared" si="18"/>
        <v/>
      </c>
      <c r="BC33" s="54" t="e">
        <f t="shared" si="30"/>
        <v>#REF!</v>
      </c>
      <c r="BD33" s="54" t="e">
        <f t="shared" si="30"/>
        <v>#REF!</v>
      </c>
      <c r="BE33" s="54" t="e">
        <f t="shared" si="30"/>
        <v>#REF!</v>
      </c>
      <c r="BF33" s="54" t="str">
        <f t="shared" si="20"/>
        <v/>
      </c>
      <c r="BG33" s="54" t="str">
        <f t="shared" si="21"/>
        <v/>
      </c>
      <c r="BH33" s="34" t="e">
        <f t="shared" si="22"/>
        <v>#REF!</v>
      </c>
      <c r="BI33" s="34" t="e">
        <f t="shared" si="23"/>
        <v>#REF!</v>
      </c>
      <c r="BJ33" s="136" t="str">
        <f>IF($D33&lt;&gt;"Feature",".",
IF(VLOOKUP($B33,Feature_List!$A:$AM,MATCH(BJ$1,  Feature_List!$A$1:$AM$1,0),0)=B33,".","NO"))</f>
        <v>.</v>
      </c>
      <c r="BK33" s="136"/>
      <c r="BL33" s="136"/>
      <c r="BM33" s="136" t="str">
        <f>IF($D33&lt;&gt;"Feature",".",
IF(VLOOKUP($B33,Feature_List!$A:$AM,MATCH(BM$1,  Feature_List!$A$1:$AM$1,0),0)=E33,".","NO"))</f>
        <v>.</v>
      </c>
      <c r="BN33" s="136" t="str">
        <f>IF($D33&lt;&gt;"Feature",".",
IF(VLOOKUP($B33,Feature_List!$A:$AM,MATCH(BN$1,  Feature_List!$A$1:$AM$1,0),0)=F33,".","NO"))</f>
        <v>.</v>
      </c>
      <c r="BO33" s="136" t="str">
        <f>IF($D33&lt;&gt;"Feature",".",
IF(VLOOKUP($B33,Feature_List!$A:$AM,MATCH(BO$1,  Feature_List!$A$1:$AM$1,0),0)=G33,".","NO"))</f>
        <v>.</v>
      </c>
      <c r="BP33" s="136" t="str">
        <f>IF($D33&lt;&gt;"Feature",".",
IF(VLOOKUP($B33,Feature_List!$A:$AM,MATCH(BP$1,  Feature_List!$A$1:$AM$1,0),0)=H33,".","NO"))</f>
        <v>.</v>
      </c>
      <c r="BQ33" s="136"/>
      <c r="BR33" s="136" t="str">
        <f>IF($D33&lt;&gt;"Feature",".",
IF(VLOOKUP($B33,Feature_List!$A:$AM,MATCH(BR$1,  Feature_List!$A$1:$AM$1,0),0)=J33,".","NO"))</f>
        <v>.</v>
      </c>
      <c r="BS33" s="136"/>
      <c r="BT33" s="136"/>
      <c r="BU33" s="136" t="str">
        <f>IF($D33&lt;&gt;"Feature",".",
IF(VLOOKUP($B33,Feature_List!$A:$AM,MATCH(BU$1,  Feature_List!$A$1:$AM$1,0),0)=M33,".","NO"))</f>
        <v>.</v>
      </c>
      <c r="BV33" s="136" t="str">
        <f>IF($D33&lt;&gt;"Feature",".",
IF(VLOOKUP($B33,Feature_List!$A:$AM,MATCH(BV$1,  Feature_List!$A$1:$AM$1,0),0)=N33,".","NO"))</f>
        <v>.</v>
      </c>
      <c r="BW33" s="136"/>
      <c r="BX33" s="136"/>
      <c r="BY33" s="136"/>
      <c r="BZ33" s="136"/>
      <c r="CA33" s="136"/>
      <c r="CB33" s="136" t="str">
        <f>IF($D33&lt;&gt;"Feature",".",
IF(VLOOKUP($B33,Feature_List!$A:$AM,MATCH(CB$1,  Feature_List!$A$1:$AM$1,0),0)=T33,".","NO"))</f>
        <v>.</v>
      </c>
      <c r="CC33" s="136"/>
      <c r="CD33" s="136"/>
      <c r="CE33" s="136"/>
      <c r="CF33" s="136"/>
      <c r="CG33" s="136"/>
      <c r="CH33" s="136"/>
      <c r="CI33" s="136"/>
      <c r="CJ33" s="136"/>
      <c r="CK33" s="136"/>
      <c r="CL33" s="136"/>
      <c r="CM33" s="136"/>
      <c r="CN33" s="136"/>
      <c r="CO33" s="136" t="str">
        <f>IF($D33&lt;&gt;"Feature",".",
IF(VLOOKUP($B33,Feature_List!$A:$AM,MATCH(CO$1,  Feature_List!$A$1:$AM$1,0),0)=AG33,".","NO"))</f>
        <v>.</v>
      </c>
      <c r="CP33" s="136" t="str">
        <f>IF($D33&lt;&gt;"Feature",".",
IF(VLOOKUP($B33,Feature_List!$A:$AM,MATCH(CP$1,  Feature_List!$A$1:$AM$1,0),0)=AH33,".","NO"))</f>
        <v>.</v>
      </c>
      <c r="CQ33" s="136" t="str">
        <f>IF($D33&lt;&gt;"Feature",".",
IF(VLOOKUP($B33,Feature_List!$A:$AM,MATCH(CQ$1,  Feature_List!$A$1:$AM$1,0),0)=AI33,".","NO"))</f>
        <v>.</v>
      </c>
      <c r="CR33" s="136" t="str">
        <f>IF($D33&lt;&gt;"Feature",".",
IF(VLOOKUP($B33,Feature_List!$A:$AM,MATCH(CR$1,  Feature_List!$A$1:$AM$1,0),0)=AJ33,".","NO"))</f>
        <v>.</v>
      </c>
      <c r="CS33" s="136" t="str">
        <f>IF($D33&lt;&gt;"Feature",".",
IF(VLOOKUP($B33,Feature_List!$A:$AM,MATCH(CS$1,  Feature_List!$A$1:$AM$1,0),0)=AK33,".","NO"))</f>
        <v>.</v>
      </c>
      <c r="CT33" s="136" t="str">
        <f>IF($D33&lt;&gt;"Feature",".",
IF(VLOOKUP($B33,Feature_List!$A:$AM,MATCH(CT$1,  Feature_List!$A$1:$AM$1,0),0)=AL33,".","NO"))</f>
        <v>.</v>
      </c>
      <c r="CU33" s="136" t="str">
        <f>IF($D33&lt;&gt;"Feature",".",
IF(VLOOKUP($B33,Feature_List!$A:$AM,MATCH(CU$1,  Feature_List!$A$1:$AM$1,0),0)=AM33,".","NO"))</f>
        <v>.</v>
      </c>
      <c r="CV33" s="136" t="str">
        <f>IF($D33&lt;&gt;"Feature",".",
IF(VLOOKUP($B33,Feature_List!$A:$AM,MATCH(CV$1,  Feature_List!$A$1:$AM$1,0),0)=AN33,".","NO"))</f>
        <v>.</v>
      </c>
      <c r="CW33" s="136" t="str">
        <f>IF($D33&lt;&gt;"Feature",".",
IF(VLOOKUP($B33,Feature_List!$A:$AM,MATCH(CW$1,  Feature_List!$A$1:$AM$1,0),0)=AO33,".","NO"))</f>
        <v>.</v>
      </c>
      <c r="CX33" s="136" t="str">
        <f>IF($D33&lt;&gt;"Feature",".",
IF(VLOOKUP($B33,Feature_List!$A:$AM,MATCH(CX$1,  Feature_List!$A$1:$AM$1,0),0)=AP33,".","NO"))</f>
        <v>.</v>
      </c>
      <c r="CY33" s="136" t="str">
        <f>IF($D33&lt;&gt;"Feature",".",
IF(VLOOKUP($B33,Feature_List!$A:$AM,MATCH(CY$1,  Feature_List!$A$1:$AM$1,0),0)=AQ33,".","NO"))</f>
        <v>.</v>
      </c>
      <c r="CZ33" s="136" t="str">
        <f>IF($D33&lt;&gt;"Feature",".",
IF(VLOOKUP($B33,Feature_List!$A:$AM,MATCH(CZ$1,  Feature_List!$A$1:$AM$1,0),0)=AR33,".","NO"))</f>
        <v>.</v>
      </c>
      <c r="DA33" s="136" t="str">
        <f>IF($D33&lt;&gt;"Feature",".",
IF(VLOOKUP($B33,Feature_List!$A:$AM,MATCH(DA$1,  Feature_List!$A$1:$AM$1,0),0)=AS33,".","NO"))</f>
        <v>.</v>
      </c>
      <c r="DB33" s="136" t="str">
        <f>IF($D33&lt;&gt;"Feature",".",
IF(VLOOKUP($B33,Feature_List!$A:$AM,MATCH(DB$1,  Feature_List!$A$1:$AM$1,0),0)=AT33,".","NO"))</f>
        <v>.</v>
      </c>
      <c r="DC33" s="136" t="str">
        <f>IF($D33&lt;&gt;"Feature",".",
IF(VLOOKUP($B33,Feature_List!$A:$AM,MATCH(DC$1,  Feature_List!$A$1:$AM$1,0),0)=AU33,".","NO"))</f>
        <v>.</v>
      </c>
      <c r="DD33" s="136" t="str">
        <f>IF($D33&lt;&gt;"Feature",".",
IF(VLOOKUP($B33,Feature_List!$A:$AM,MATCH(DD$1,  Feature_List!$A$1:$AM$1,0),0)=AV33,".","NO"))</f>
        <v>.</v>
      </c>
      <c r="DE33" s="136" t="str">
        <f>IF($D33&lt;&gt;"Feature",".",
IF(VLOOKUP($B33,Feature_List!$A:$AM,MATCH(DE$1,  Feature_List!$A$1:$AM$1,0),0)=AW33,".","NO"))</f>
        <v>.</v>
      </c>
      <c r="DF33" s="136" t="str">
        <f>IF($D33&lt;&gt;"Feature",".",
IF(VLOOKUP($B33,Feature_List!$A:$AM,MATCH(DF$1,  Feature_List!$A$1:$AM$1,0),0)=AX33,".","NO"))</f>
        <v>.</v>
      </c>
      <c r="DG33" s="136" t="str">
        <f>IF($D33&lt;&gt;"Feature",".",
IF(VLOOKUP($B33,Feature_List!$A:$AM,MATCH(DG$1,  Feature_List!$A$1:$AM$1,0),0)=AY33,".","NO"))</f>
        <v>.</v>
      </c>
      <c r="DH33" s="136" t="str">
        <f>IF($D33&lt;&gt;"Feature",".",
IF(VLOOKUP($B33,Feature_List!$A:$AM,MATCH(DH$1,  Feature_List!$A$1:$AM$1,0),0)=AZ33,".","NO"))</f>
        <v>.</v>
      </c>
      <c r="DI33" s="136" t="str">
        <f>IF($D33&lt;&gt;"Feature",".",
IF(VLOOKUP($B33,Feature_List!$A:$AM,MATCH(DI$1,  Feature_List!$A$1:$AM$1,0),0)=BA33,".","NO"))</f>
        <v>.</v>
      </c>
      <c r="DJ33" s="136" t="str">
        <f>IF($D33&lt;&gt;"Feature",".",
IF(VLOOKUP($B33,Feature_List!$A:$AM,MATCH(DJ$1,  Feature_List!$A$1:$AM$1,0),0)=BB33,".","NO"))</f>
        <v>.</v>
      </c>
      <c r="DK33" s="136"/>
      <c r="DL33" s="136"/>
      <c r="DM33" s="136"/>
      <c r="DN33" s="136" t="str">
        <f>IF($D33&lt;&gt;"Feature",".",
IF(VLOOKUP($B33,Feature_List!$A:$AM,MATCH(DN$1,  Feature_List!$A$1:$AM$1,0),0)=BC33,".","NO"))</f>
        <v>.</v>
      </c>
      <c r="DO33" s="136" t="str">
        <f>IF($D33&lt;&gt;"Feature",".",
IF(VLOOKUP($B33,Feature_List!$A:$AM,MATCH(DO$1,  Feature_List!$A$1:$AM$1,0),0)=BD33,".","NO"))</f>
        <v>.</v>
      </c>
    </row>
    <row r="34" spans="2:119" x14ac:dyDescent="0.3">
      <c r="B34" s="121">
        <v>376241</v>
      </c>
      <c r="C34" s="122" t="s">
        <v>604</v>
      </c>
      <c r="D34" s="122" t="s">
        <v>71</v>
      </c>
      <c r="E34" s="122" t="s">
        <v>701</v>
      </c>
      <c r="F34" s="138"/>
      <c r="G34" s="123" t="s">
        <v>104</v>
      </c>
      <c r="H34" s="122" t="s">
        <v>683</v>
      </c>
      <c r="I34" s="124" t="s">
        <v>562</v>
      </c>
      <c r="J34" s="138"/>
      <c r="K34" s="123">
        <v>0</v>
      </c>
      <c r="L34" s="122"/>
      <c r="M34" s="122" t="s">
        <v>104</v>
      </c>
      <c r="N34" s="125"/>
      <c r="O34" s="123">
        <f t="shared" si="0"/>
        <v>0</v>
      </c>
      <c r="P34" s="123" t="str">
        <f t="shared" si="1"/>
        <v>Invalid</v>
      </c>
      <c r="Q34" s="122" t="str">
        <f t="shared" si="24"/>
        <v>Story</v>
      </c>
      <c r="R34" s="126">
        <f t="shared" si="2"/>
        <v>318430</v>
      </c>
      <c r="S34" s="127">
        <f t="shared" si="3"/>
        <v>376241</v>
      </c>
      <c r="T34" s="128" t="e">
        <f>IF($Q34="ZeroEntry", "",VLOOKUP($I34,'Ranking Lookup'!#REF!,2,FALSE))</f>
        <v>#REF!</v>
      </c>
      <c r="U34" s="129" t="str">
        <f t="shared" si="4"/>
        <v/>
      </c>
      <c r="V34" s="129" t="str">
        <f t="shared" si="5"/>
        <v/>
      </c>
      <c r="W34" s="129" t="str">
        <f t="shared" si="6"/>
        <v/>
      </c>
      <c r="X34" s="129" t="str">
        <f t="shared" si="7"/>
        <v/>
      </c>
      <c r="Y34" s="129" t="str">
        <f t="shared" si="8"/>
        <v>Feature</v>
      </c>
      <c r="Z34" s="129" t="str">
        <f t="shared" si="9"/>
        <v/>
      </c>
      <c r="AA34" s="130"/>
      <c r="AB34" s="130" t="str">
        <f t="shared" si="10"/>
        <v>Unassigned</v>
      </c>
      <c r="AC34" s="131">
        <f t="shared" si="25"/>
        <v>0</v>
      </c>
      <c r="AD34" s="131">
        <f t="shared" si="26"/>
        <v>0</v>
      </c>
      <c r="AE34" s="132">
        <f t="shared" si="11"/>
        <v>0</v>
      </c>
      <c r="AF34" s="133" t="str">
        <f t="shared" si="27"/>
        <v/>
      </c>
      <c r="AG34" s="134">
        <f t="shared" si="12"/>
        <v>0</v>
      </c>
      <c r="AH34" s="54" t="str">
        <f t="shared" si="13"/>
        <v/>
      </c>
      <c r="AI34" s="54" t="e">
        <f t="shared" ref="AI34:AX49" si="32">IF(AND($Q34="Feature",LEFT($AB34,2)="PI"),
IF(AND(COUNTIF($R:$R,$B34)=1,$T34=AI$1), IF($AB34=$A$10,$AF34,0),
IF(OR($AD34&lt;1,RIGHT($G34,8)="Progress",$AH34&gt;0),SUMIFS($O:$O,$R:$R,$B34,$T:$T,AI$1,$P:$P,"&lt;&gt;Done",$AB:$AB,$A$10),
IF($T34=AI$1,IF($AB34=$A$10,$AD34,0)+SUMIFS($O:$O,$R:$R,$B34,$T:$T,AI$1,$P:$P,"&lt;&gt;Done",$AB:$AB,$A$10),SUMIFS($O:$O,$R:$R,$B34,$T:$T,AI$1,$P:$P,"&lt;&gt;Done",$AB:$AB,$A$10)))),
IF(AND(OR($Q34="Story",$Q34="Problem",$Q34="Enhancement"),$AB34=$A$10,$R34=0,$T34=AI$1,$P34&lt;&gt;"Done"),$O34,""))</f>
        <v>#REF!</v>
      </c>
      <c r="AJ34" s="54" t="e">
        <f t="shared" si="32"/>
        <v>#REF!</v>
      </c>
      <c r="AK34" s="54" t="e">
        <f t="shared" si="32"/>
        <v>#REF!</v>
      </c>
      <c r="AL34" s="54" t="e">
        <f t="shared" si="32"/>
        <v>#REF!</v>
      </c>
      <c r="AM34" s="54" t="e">
        <f t="shared" si="32"/>
        <v>#REF!</v>
      </c>
      <c r="AN34" s="54" t="e">
        <f t="shared" si="32"/>
        <v>#REF!</v>
      </c>
      <c r="AO34" s="54" t="e">
        <f t="shared" si="32"/>
        <v>#REF!</v>
      </c>
      <c r="AP34" s="54" t="e">
        <f t="shared" si="32"/>
        <v>#REF!</v>
      </c>
      <c r="AQ34" s="54" t="e">
        <f t="shared" si="32"/>
        <v>#REF!</v>
      </c>
      <c r="AR34" s="54" t="e">
        <f t="shared" si="32"/>
        <v>#REF!</v>
      </c>
      <c r="AS34" s="54" t="e">
        <f t="shared" si="32"/>
        <v>#REF!</v>
      </c>
      <c r="AT34" s="54" t="e">
        <f t="shared" si="32"/>
        <v>#REF!</v>
      </c>
      <c r="AU34" s="54" t="e">
        <f t="shared" si="32"/>
        <v>#REF!</v>
      </c>
      <c r="AV34" s="54" t="e">
        <f t="shared" si="32"/>
        <v>#REF!</v>
      </c>
      <c r="AW34" s="54" t="e">
        <f t="shared" si="32"/>
        <v>#REF!</v>
      </c>
      <c r="AX34" s="54" t="e">
        <f t="shared" si="32"/>
        <v>#REF!</v>
      </c>
      <c r="AY34" s="54" t="e">
        <f t="shared" si="15"/>
        <v>#REF!</v>
      </c>
      <c r="AZ34" s="54" t="str">
        <f t="shared" si="16"/>
        <v/>
      </c>
      <c r="BA34" s="54" t="e">
        <f t="shared" si="17"/>
        <v>#REF!</v>
      </c>
      <c r="BB34" s="135" t="str">
        <f t="shared" si="18"/>
        <v/>
      </c>
      <c r="BC34" s="54" t="e">
        <f t="shared" si="30"/>
        <v>#REF!</v>
      </c>
      <c r="BD34" s="54" t="e">
        <f t="shared" si="30"/>
        <v>#REF!</v>
      </c>
      <c r="BE34" s="54" t="e">
        <f t="shared" si="30"/>
        <v>#REF!</v>
      </c>
      <c r="BF34" s="54" t="str">
        <f t="shared" si="20"/>
        <v/>
      </c>
      <c r="BG34" s="54" t="str">
        <f t="shared" si="21"/>
        <v/>
      </c>
      <c r="BH34" s="34" t="e">
        <f t="shared" si="22"/>
        <v>#REF!</v>
      </c>
      <c r="BI34" s="34" t="e">
        <f t="shared" si="23"/>
        <v>#REF!</v>
      </c>
      <c r="BJ34" s="136" t="str">
        <f>IF($D34&lt;&gt;"Feature",".",
IF(VLOOKUP($B34,Feature_List!$A:$AM,MATCH(BJ$1,  Feature_List!$A$1:$AM$1,0),0)=B34,".","NO"))</f>
        <v>.</v>
      </c>
      <c r="BK34" s="136"/>
      <c r="BL34" s="136"/>
      <c r="BM34" s="136" t="str">
        <f>IF($D34&lt;&gt;"Feature",".",
IF(VLOOKUP($B34,Feature_List!$A:$AM,MATCH(BM$1,  Feature_List!$A$1:$AM$1,0),0)=E34,".","NO"))</f>
        <v>.</v>
      </c>
      <c r="BN34" s="136" t="str">
        <f>IF($D34&lt;&gt;"Feature",".",
IF(VLOOKUP($B34,Feature_List!$A:$AM,MATCH(BN$1,  Feature_List!$A$1:$AM$1,0),0)=F34,".","NO"))</f>
        <v>.</v>
      </c>
      <c r="BO34" s="136" t="str">
        <f>IF($D34&lt;&gt;"Feature",".",
IF(VLOOKUP($B34,Feature_List!$A:$AM,MATCH(BO$1,  Feature_List!$A$1:$AM$1,0),0)=G34,".","NO"))</f>
        <v>.</v>
      </c>
      <c r="BP34" s="136" t="str">
        <f>IF($D34&lt;&gt;"Feature",".",
IF(VLOOKUP($B34,Feature_List!$A:$AM,MATCH(BP$1,  Feature_List!$A$1:$AM$1,0),0)=H34,".","NO"))</f>
        <v>.</v>
      </c>
      <c r="BQ34" s="136"/>
      <c r="BR34" s="136" t="str">
        <f>IF($D34&lt;&gt;"Feature",".",
IF(VLOOKUP($B34,Feature_List!$A:$AM,MATCH(BR$1,  Feature_List!$A$1:$AM$1,0),0)=J34,".","NO"))</f>
        <v>.</v>
      </c>
      <c r="BS34" s="136"/>
      <c r="BT34" s="136"/>
      <c r="BU34" s="136" t="str">
        <f>IF($D34&lt;&gt;"Feature",".",
IF(VLOOKUP($B34,Feature_List!$A:$AM,MATCH(BU$1,  Feature_List!$A$1:$AM$1,0),0)=M34,".","NO"))</f>
        <v>.</v>
      </c>
      <c r="BV34" s="136" t="str">
        <f>IF($D34&lt;&gt;"Feature",".",
IF(VLOOKUP($B34,Feature_List!$A:$AM,MATCH(BV$1,  Feature_List!$A$1:$AM$1,0),0)=N34,".","NO"))</f>
        <v>.</v>
      </c>
      <c r="BW34" s="136"/>
      <c r="BX34" s="136"/>
      <c r="BY34" s="136"/>
      <c r="BZ34" s="136"/>
      <c r="CA34" s="136"/>
      <c r="CB34" s="136" t="str">
        <f>IF($D34&lt;&gt;"Feature",".",
IF(VLOOKUP($B34,Feature_List!$A:$AM,MATCH(CB$1,  Feature_List!$A$1:$AM$1,0),0)=T34,".","NO"))</f>
        <v>.</v>
      </c>
      <c r="CC34" s="136"/>
      <c r="CD34" s="136"/>
      <c r="CE34" s="136"/>
      <c r="CF34" s="136"/>
      <c r="CG34" s="136"/>
      <c r="CH34" s="136"/>
      <c r="CI34" s="136"/>
      <c r="CJ34" s="136"/>
      <c r="CK34" s="136"/>
      <c r="CL34" s="136"/>
      <c r="CM34" s="136"/>
      <c r="CN34" s="136"/>
      <c r="CO34" s="136" t="str">
        <f>IF($D34&lt;&gt;"Feature",".",
IF(VLOOKUP($B34,Feature_List!$A:$AM,MATCH(CO$1,  Feature_List!$A$1:$AM$1,0),0)=AG34,".","NO"))</f>
        <v>.</v>
      </c>
      <c r="CP34" s="136" t="str">
        <f>IF($D34&lt;&gt;"Feature",".",
IF(VLOOKUP($B34,Feature_List!$A:$AM,MATCH(CP$1,  Feature_List!$A$1:$AM$1,0),0)=AH34,".","NO"))</f>
        <v>.</v>
      </c>
      <c r="CQ34" s="136" t="str">
        <f>IF($D34&lt;&gt;"Feature",".",
IF(VLOOKUP($B34,Feature_List!$A:$AM,MATCH(CQ$1,  Feature_List!$A$1:$AM$1,0),0)=AI34,".","NO"))</f>
        <v>.</v>
      </c>
      <c r="CR34" s="136" t="str">
        <f>IF($D34&lt;&gt;"Feature",".",
IF(VLOOKUP($B34,Feature_List!$A:$AM,MATCH(CR$1,  Feature_List!$A$1:$AM$1,0),0)=AJ34,".","NO"))</f>
        <v>.</v>
      </c>
      <c r="CS34" s="136" t="str">
        <f>IF($D34&lt;&gt;"Feature",".",
IF(VLOOKUP($B34,Feature_List!$A:$AM,MATCH(CS$1,  Feature_List!$A$1:$AM$1,0),0)=AK34,".","NO"))</f>
        <v>.</v>
      </c>
      <c r="CT34" s="136" t="str">
        <f>IF($D34&lt;&gt;"Feature",".",
IF(VLOOKUP($B34,Feature_List!$A:$AM,MATCH(CT$1,  Feature_List!$A$1:$AM$1,0),0)=AL34,".","NO"))</f>
        <v>.</v>
      </c>
      <c r="CU34" s="136" t="str">
        <f>IF($D34&lt;&gt;"Feature",".",
IF(VLOOKUP($B34,Feature_List!$A:$AM,MATCH(CU$1,  Feature_List!$A$1:$AM$1,0),0)=AM34,".","NO"))</f>
        <v>.</v>
      </c>
      <c r="CV34" s="136" t="str">
        <f>IF($D34&lt;&gt;"Feature",".",
IF(VLOOKUP($B34,Feature_List!$A:$AM,MATCH(CV$1,  Feature_List!$A$1:$AM$1,0),0)=AN34,".","NO"))</f>
        <v>.</v>
      </c>
      <c r="CW34" s="136" t="str">
        <f>IF($D34&lt;&gt;"Feature",".",
IF(VLOOKUP($B34,Feature_List!$A:$AM,MATCH(CW$1,  Feature_List!$A$1:$AM$1,0),0)=AO34,".","NO"))</f>
        <v>.</v>
      </c>
      <c r="CX34" s="136" t="str">
        <f>IF($D34&lt;&gt;"Feature",".",
IF(VLOOKUP($B34,Feature_List!$A:$AM,MATCH(CX$1,  Feature_List!$A$1:$AM$1,0),0)=AP34,".","NO"))</f>
        <v>.</v>
      </c>
      <c r="CY34" s="136" t="str">
        <f>IF($D34&lt;&gt;"Feature",".",
IF(VLOOKUP($B34,Feature_List!$A:$AM,MATCH(CY$1,  Feature_List!$A$1:$AM$1,0),0)=AQ34,".","NO"))</f>
        <v>.</v>
      </c>
      <c r="CZ34" s="136" t="str">
        <f>IF($D34&lt;&gt;"Feature",".",
IF(VLOOKUP($B34,Feature_List!$A:$AM,MATCH(CZ$1,  Feature_List!$A$1:$AM$1,0),0)=AR34,".","NO"))</f>
        <v>.</v>
      </c>
      <c r="DA34" s="136" t="str">
        <f>IF($D34&lt;&gt;"Feature",".",
IF(VLOOKUP($B34,Feature_List!$A:$AM,MATCH(DA$1,  Feature_List!$A$1:$AM$1,0),0)=AS34,".","NO"))</f>
        <v>.</v>
      </c>
      <c r="DB34" s="136" t="str">
        <f>IF($D34&lt;&gt;"Feature",".",
IF(VLOOKUP($B34,Feature_List!$A:$AM,MATCH(DB$1,  Feature_List!$A$1:$AM$1,0),0)=AT34,".","NO"))</f>
        <v>.</v>
      </c>
      <c r="DC34" s="136" t="str">
        <f>IF($D34&lt;&gt;"Feature",".",
IF(VLOOKUP($B34,Feature_List!$A:$AM,MATCH(DC$1,  Feature_List!$A$1:$AM$1,0),0)=AU34,".","NO"))</f>
        <v>.</v>
      </c>
      <c r="DD34" s="136" t="str">
        <f>IF($D34&lt;&gt;"Feature",".",
IF(VLOOKUP($B34,Feature_List!$A:$AM,MATCH(DD$1,  Feature_List!$A$1:$AM$1,0),0)=AV34,".","NO"))</f>
        <v>.</v>
      </c>
      <c r="DE34" s="136" t="str">
        <f>IF($D34&lt;&gt;"Feature",".",
IF(VLOOKUP($B34,Feature_List!$A:$AM,MATCH(DE$1,  Feature_List!$A$1:$AM$1,0),0)=AW34,".","NO"))</f>
        <v>.</v>
      </c>
      <c r="DF34" s="136" t="str">
        <f>IF($D34&lt;&gt;"Feature",".",
IF(VLOOKUP($B34,Feature_List!$A:$AM,MATCH(DF$1,  Feature_List!$A$1:$AM$1,0),0)=AX34,".","NO"))</f>
        <v>.</v>
      </c>
      <c r="DG34" s="136" t="str">
        <f>IF($D34&lt;&gt;"Feature",".",
IF(VLOOKUP($B34,Feature_List!$A:$AM,MATCH(DG$1,  Feature_List!$A$1:$AM$1,0),0)=AY34,".","NO"))</f>
        <v>.</v>
      </c>
      <c r="DH34" s="136" t="str">
        <f>IF($D34&lt;&gt;"Feature",".",
IF(VLOOKUP($B34,Feature_List!$A:$AM,MATCH(DH$1,  Feature_List!$A$1:$AM$1,0),0)=AZ34,".","NO"))</f>
        <v>.</v>
      </c>
      <c r="DI34" s="136" t="str">
        <f>IF($D34&lt;&gt;"Feature",".",
IF(VLOOKUP($B34,Feature_List!$A:$AM,MATCH(DI$1,  Feature_List!$A$1:$AM$1,0),0)=BA34,".","NO"))</f>
        <v>.</v>
      </c>
      <c r="DJ34" s="136" t="str">
        <f>IF($D34&lt;&gt;"Feature",".",
IF(VLOOKUP($B34,Feature_List!$A:$AM,MATCH(DJ$1,  Feature_List!$A$1:$AM$1,0),0)=BB34,".","NO"))</f>
        <v>.</v>
      </c>
      <c r="DK34" s="136"/>
      <c r="DL34" s="136"/>
      <c r="DM34" s="136"/>
      <c r="DN34" s="136" t="str">
        <f>IF($D34&lt;&gt;"Feature",".",
IF(VLOOKUP($B34,Feature_List!$A:$AM,MATCH(DN$1,  Feature_List!$A$1:$AM$1,0),0)=BC34,".","NO"))</f>
        <v>.</v>
      </c>
      <c r="DO34" s="136" t="str">
        <f>IF($D34&lt;&gt;"Feature",".",
IF(VLOOKUP($B34,Feature_List!$A:$AM,MATCH(DO$1,  Feature_List!$A$1:$AM$1,0),0)=BD34,".","NO"))</f>
        <v>.</v>
      </c>
    </row>
    <row r="35" spans="2:119" x14ac:dyDescent="0.3">
      <c r="B35" s="121">
        <v>376240</v>
      </c>
      <c r="C35" s="122" t="s">
        <v>604</v>
      </c>
      <c r="D35" s="122" t="s">
        <v>71</v>
      </c>
      <c r="E35" s="122" t="s">
        <v>702</v>
      </c>
      <c r="F35" s="138" t="s">
        <v>661</v>
      </c>
      <c r="G35" s="123" t="s">
        <v>661</v>
      </c>
      <c r="H35" s="122" t="s">
        <v>70</v>
      </c>
      <c r="I35" s="124" t="s">
        <v>562</v>
      </c>
      <c r="J35" s="138"/>
      <c r="K35" s="123">
        <v>1</v>
      </c>
      <c r="L35" s="122"/>
      <c r="M35" s="122" t="s">
        <v>54</v>
      </c>
      <c r="N35" s="125"/>
      <c r="O35" s="123">
        <f t="shared" si="0"/>
        <v>1</v>
      </c>
      <c r="P35" s="123" t="str">
        <f t="shared" si="1"/>
        <v>New</v>
      </c>
      <c r="Q35" s="122" t="str">
        <f t="shared" si="24"/>
        <v>Story</v>
      </c>
      <c r="R35" s="126">
        <f t="shared" si="2"/>
        <v>318430</v>
      </c>
      <c r="S35" s="127">
        <f t="shared" si="3"/>
        <v>376240</v>
      </c>
      <c r="T35" s="128" t="e">
        <f>IF($Q35="ZeroEntry", "",VLOOKUP($I35,'Ranking Lookup'!#REF!,2,FALSE))</f>
        <v>#REF!</v>
      </c>
      <c r="U35" s="129" t="str">
        <f t="shared" si="4"/>
        <v/>
      </c>
      <c r="V35" s="129" t="str">
        <f t="shared" si="5"/>
        <v/>
      </c>
      <c r="W35" s="129" t="str">
        <f t="shared" si="6"/>
        <v/>
      </c>
      <c r="X35" s="129" t="str">
        <f t="shared" si="7"/>
        <v/>
      </c>
      <c r="Y35" s="129" t="str">
        <f t="shared" si="8"/>
        <v>Feature</v>
      </c>
      <c r="Z35" s="129" t="str">
        <f t="shared" si="9"/>
        <v/>
      </c>
      <c r="AA35" s="130"/>
      <c r="AB35" s="130" t="str">
        <f t="shared" si="10"/>
        <v>PI 12</v>
      </c>
      <c r="AC35" s="131">
        <f t="shared" si="25"/>
        <v>1</v>
      </c>
      <c r="AD35" s="131">
        <f t="shared" si="26"/>
        <v>0</v>
      </c>
      <c r="AE35" s="132">
        <f t="shared" si="11"/>
        <v>0</v>
      </c>
      <c r="AF35" s="133" t="str">
        <f t="shared" si="27"/>
        <v/>
      </c>
      <c r="AG35" s="134">
        <f t="shared" si="12"/>
        <v>0</v>
      </c>
      <c r="AH35" s="54" t="str">
        <f t="shared" si="13"/>
        <v/>
      </c>
      <c r="AI35" s="54" t="e">
        <f t="shared" si="32"/>
        <v>#REF!</v>
      </c>
      <c r="AJ35" s="54" t="e">
        <f t="shared" si="32"/>
        <v>#REF!</v>
      </c>
      <c r="AK35" s="54" t="e">
        <f t="shared" si="32"/>
        <v>#REF!</v>
      </c>
      <c r="AL35" s="54" t="e">
        <f t="shared" si="32"/>
        <v>#REF!</v>
      </c>
      <c r="AM35" s="54" t="e">
        <f t="shared" si="32"/>
        <v>#REF!</v>
      </c>
      <c r="AN35" s="54" t="e">
        <f t="shared" si="32"/>
        <v>#REF!</v>
      </c>
      <c r="AO35" s="54" t="e">
        <f t="shared" si="32"/>
        <v>#REF!</v>
      </c>
      <c r="AP35" s="54" t="e">
        <f t="shared" si="32"/>
        <v>#REF!</v>
      </c>
      <c r="AQ35" s="54" t="e">
        <f t="shared" si="32"/>
        <v>#REF!</v>
      </c>
      <c r="AR35" s="54" t="e">
        <f t="shared" si="32"/>
        <v>#REF!</v>
      </c>
      <c r="AS35" s="54" t="e">
        <f t="shared" si="32"/>
        <v>#REF!</v>
      </c>
      <c r="AT35" s="54" t="e">
        <f t="shared" si="32"/>
        <v>#REF!</v>
      </c>
      <c r="AU35" s="54" t="e">
        <f t="shared" si="32"/>
        <v>#REF!</v>
      </c>
      <c r="AV35" s="54" t="e">
        <f t="shared" si="32"/>
        <v>#REF!</v>
      </c>
      <c r="AW35" s="54" t="e">
        <f t="shared" si="32"/>
        <v>#REF!</v>
      </c>
      <c r="AX35" s="54" t="e">
        <f t="shared" si="32"/>
        <v>#REF!</v>
      </c>
      <c r="AY35" s="54" t="e">
        <f t="shared" si="15"/>
        <v>#REF!</v>
      </c>
      <c r="AZ35" s="54" t="str">
        <f t="shared" si="16"/>
        <v/>
      </c>
      <c r="BA35" s="54" t="e">
        <f t="shared" si="17"/>
        <v>#REF!</v>
      </c>
      <c r="BB35" s="135" t="str">
        <f t="shared" si="18"/>
        <v/>
      </c>
      <c r="BC35" s="54" t="e">
        <f t="shared" si="30"/>
        <v>#REF!</v>
      </c>
      <c r="BD35" s="54" t="e">
        <f t="shared" si="30"/>
        <v>#REF!</v>
      </c>
      <c r="BE35" s="54" t="e">
        <f t="shared" si="30"/>
        <v>#REF!</v>
      </c>
      <c r="BF35" s="54" t="str">
        <f t="shared" si="20"/>
        <v/>
      </c>
      <c r="BG35" s="54" t="str">
        <f t="shared" si="21"/>
        <v/>
      </c>
      <c r="BH35" s="34" t="e">
        <f t="shared" si="22"/>
        <v>#REF!</v>
      </c>
      <c r="BI35" s="34" t="e">
        <f t="shared" si="23"/>
        <v>#REF!</v>
      </c>
      <c r="BJ35" s="136" t="str">
        <f>IF($D35&lt;&gt;"Feature",".",
IF(VLOOKUP($B35,Feature_List!$A:$AM,MATCH(BJ$1,  Feature_List!$A$1:$AM$1,0),0)=B35,".","NO"))</f>
        <v>.</v>
      </c>
      <c r="BK35" s="136"/>
      <c r="BL35" s="136"/>
      <c r="BM35" s="136" t="str">
        <f>IF($D35&lt;&gt;"Feature",".",
IF(VLOOKUP($B35,Feature_List!$A:$AM,MATCH(BM$1,  Feature_List!$A$1:$AM$1,0),0)=E35,".","NO"))</f>
        <v>.</v>
      </c>
      <c r="BN35" s="136" t="str">
        <f>IF($D35&lt;&gt;"Feature",".",
IF(VLOOKUP($B35,Feature_List!$A:$AM,MATCH(BN$1,  Feature_List!$A$1:$AM$1,0),0)=F35,".","NO"))</f>
        <v>.</v>
      </c>
      <c r="BO35" s="136" t="str">
        <f>IF($D35&lt;&gt;"Feature",".",
IF(VLOOKUP($B35,Feature_List!$A:$AM,MATCH(BO$1,  Feature_List!$A$1:$AM$1,0),0)=G35,".","NO"))</f>
        <v>.</v>
      </c>
      <c r="BP35" s="136" t="str">
        <f>IF($D35&lt;&gt;"Feature",".",
IF(VLOOKUP($B35,Feature_List!$A:$AM,MATCH(BP$1,  Feature_List!$A$1:$AM$1,0),0)=H35,".","NO"))</f>
        <v>.</v>
      </c>
      <c r="BQ35" s="136"/>
      <c r="BR35" s="136" t="str">
        <f>IF($D35&lt;&gt;"Feature",".",
IF(VLOOKUP($B35,Feature_List!$A:$AM,MATCH(BR$1,  Feature_List!$A$1:$AM$1,0),0)=J35,".","NO"))</f>
        <v>.</v>
      </c>
      <c r="BS35" s="136"/>
      <c r="BT35" s="136"/>
      <c r="BU35" s="136" t="str">
        <f>IF($D35&lt;&gt;"Feature",".",
IF(VLOOKUP($B35,Feature_List!$A:$AM,MATCH(BU$1,  Feature_List!$A$1:$AM$1,0),0)=M35,".","NO"))</f>
        <v>.</v>
      </c>
      <c r="BV35" s="136" t="str">
        <f>IF($D35&lt;&gt;"Feature",".",
IF(VLOOKUP($B35,Feature_List!$A:$AM,MATCH(BV$1,  Feature_List!$A$1:$AM$1,0),0)=N35,".","NO"))</f>
        <v>.</v>
      </c>
      <c r="BW35" s="136"/>
      <c r="BX35" s="136"/>
      <c r="BY35" s="136"/>
      <c r="BZ35" s="136"/>
      <c r="CA35" s="136"/>
      <c r="CB35" s="136" t="str">
        <f>IF($D35&lt;&gt;"Feature",".",
IF(VLOOKUP($B35,Feature_List!$A:$AM,MATCH(CB$1,  Feature_List!$A$1:$AM$1,0),0)=T35,".","NO"))</f>
        <v>.</v>
      </c>
      <c r="CC35" s="136"/>
      <c r="CD35" s="136"/>
      <c r="CE35" s="136"/>
      <c r="CF35" s="136"/>
      <c r="CG35" s="136"/>
      <c r="CH35" s="136"/>
      <c r="CI35" s="136"/>
      <c r="CJ35" s="136"/>
      <c r="CK35" s="136"/>
      <c r="CL35" s="136"/>
      <c r="CM35" s="136"/>
      <c r="CN35" s="136"/>
      <c r="CO35" s="136" t="str">
        <f>IF($D35&lt;&gt;"Feature",".",
IF(VLOOKUP($B35,Feature_List!$A:$AM,MATCH(CO$1,  Feature_List!$A$1:$AM$1,0),0)=AG35,".","NO"))</f>
        <v>.</v>
      </c>
      <c r="CP35" s="136" t="str">
        <f>IF($D35&lt;&gt;"Feature",".",
IF(VLOOKUP($B35,Feature_List!$A:$AM,MATCH(CP$1,  Feature_List!$A$1:$AM$1,0),0)=AH35,".","NO"))</f>
        <v>.</v>
      </c>
      <c r="CQ35" s="136" t="str">
        <f>IF($D35&lt;&gt;"Feature",".",
IF(VLOOKUP($B35,Feature_List!$A:$AM,MATCH(CQ$1,  Feature_List!$A$1:$AM$1,0),0)=AI35,".","NO"))</f>
        <v>.</v>
      </c>
      <c r="CR35" s="136" t="str">
        <f>IF($D35&lt;&gt;"Feature",".",
IF(VLOOKUP($B35,Feature_List!$A:$AM,MATCH(CR$1,  Feature_List!$A$1:$AM$1,0),0)=AJ35,".","NO"))</f>
        <v>.</v>
      </c>
      <c r="CS35" s="136" t="str">
        <f>IF($D35&lt;&gt;"Feature",".",
IF(VLOOKUP($B35,Feature_List!$A:$AM,MATCH(CS$1,  Feature_List!$A$1:$AM$1,0),0)=AK35,".","NO"))</f>
        <v>.</v>
      </c>
      <c r="CT35" s="136" t="str">
        <f>IF($D35&lt;&gt;"Feature",".",
IF(VLOOKUP($B35,Feature_List!$A:$AM,MATCH(CT$1,  Feature_List!$A$1:$AM$1,0),0)=AL35,".","NO"))</f>
        <v>.</v>
      </c>
      <c r="CU35" s="136" t="str">
        <f>IF($D35&lt;&gt;"Feature",".",
IF(VLOOKUP($B35,Feature_List!$A:$AM,MATCH(CU$1,  Feature_List!$A$1:$AM$1,0),0)=AM35,".","NO"))</f>
        <v>.</v>
      </c>
      <c r="CV35" s="136" t="str">
        <f>IF($D35&lt;&gt;"Feature",".",
IF(VLOOKUP($B35,Feature_List!$A:$AM,MATCH(CV$1,  Feature_List!$A$1:$AM$1,0),0)=AN35,".","NO"))</f>
        <v>.</v>
      </c>
      <c r="CW35" s="136" t="str">
        <f>IF($D35&lt;&gt;"Feature",".",
IF(VLOOKUP($B35,Feature_List!$A:$AM,MATCH(CW$1,  Feature_List!$A$1:$AM$1,0),0)=AO35,".","NO"))</f>
        <v>.</v>
      </c>
      <c r="CX35" s="136" t="str">
        <f>IF($D35&lt;&gt;"Feature",".",
IF(VLOOKUP($B35,Feature_List!$A:$AM,MATCH(CX$1,  Feature_List!$A$1:$AM$1,0),0)=AP35,".","NO"))</f>
        <v>.</v>
      </c>
      <c r="CY35" s="136" t="str">
        <f>IF($D35&lt;&gt;"Feature",".",
IF(VLOOKUP($B35,Feature_List!$A:$AM,MATCH(CY$1,  Feature_List!$A$1:$AM$1,0),0)=AQ35,".","NO"))</f>
        <v>.</v>
      </c>
      <c r="CZ35" s="136" t="str">
        <f>IF($D35&lt;&gt;"Feature",".",
IF(VLOOKUP($B35,Feature_List!$A:$AM,MATCH(CZ$1,  Feature_List!$A$1:$AM$1,0),0)=AR35,".","NO"))</f>
        <v>.</v>
      </c>
      <c r="DA35" s="136" t="str">
        <f>IF($D35&lt;&gt;"Feature",".",
IF(VLOOKUP($B35,Feature_List!$A:$AM,MATCH(DA$1,  Feature_List!$A$1:$AM$1,0),0)=AS35,".","NO"))</f>
        <v>.</v>
      </c>
      <c r="DB35" s="136" t="str">
        <f>IF($D35&lt;&gt;"Feature",".",
IF(VLOOKUP($B35,Feature_List!$A:$AM,MATCH(DB$1,  Feature_List!$A$1:$AM$1,0),0)=AT35,".","NO"))</f>
        <v>.</v>
      </c>
      <c r="DC35" s="136" t="str">
        <f>IF($D35&lt;&gt;"Feature",".",
IF(VLOOKUP($B35,Feature_List!$A:$AM,MATCH(DC$1,  Feature_List!$A$1:$AM$1,0),0)=AU35,".","NO"))</f>
        <v>.</v>
      </c>
      <c r="DD35" s="136" t="str">
        <f>IF($D35&lt;&gt;"Feature",".",
IF(VLOOKUP($B35,Feature_List!$A:$AM,MATCH(DD$1,  Feature_List!$A$1:$AM$1,0),0)=AV35,".","NO"))</f>
        <v>.</v>
      </c>
      <c r="DE35" s="136" t="str">
        <f>IF($D35&lt;&gt;"Feature",".",
IF(VLOOKUP($B35,Feature_List!$A:$AM,MATCH(DE$1,  Feature_List!$A$1:$AM$1,0),0)=AW35,".","NO"))</f>
        <v>.</v>
      </c>
      <c r="DF35" s="136" t="str">
        <f>IF($D35&lt;&gt;"Feature",".",
IF(VLOOKUP($B35,Feature_List!$A:$AM,MATCH(DF$1,  Feature_List!$A$1:$AM$1,0),0)=AX35,".","NO"))</f>
        <v>.</v>
      </c>
      <c r="DG35" s="136" t="str">
        <f>IF($D35&lt;&gt;"Feature",".",
IF(VLOOKUP($B35,Feature_List!$A:$AM,MATCH(DG$1,  Feature_List!$A$1:$AM$1,0),0)=AY35,".","NO"))</f>
        <v>.</v>
      </c>
      <c r="DH35" s="136" t="str">
        <f>IF($D35&lt;&gt;"Feature",".",
IF(VLOOKUP($B35,Feature_List!$A:$AM,MATCH(DH$1,  Feature_List!$A$1:$AM$1,0),0)=AZ35,".","NO"))</f>
        <v>.</v>
      </c>
      <c r="DI35" s="136" t="str">
        <f>IF($D35&lt;&gt;"Feature",".",
IF(VLOOKUP($B35,Feature_List!$A:$AM,MATCH(DI$1,  Feature_List!$A$1:$AM$1,0),0)=BA35,".","NO"))</f>
        <v>.</v>
      </c>
      <c r="DJ35" s="136" t="str">
        <f>IF($D35&lt;&gt;"Feature",".",
IF(VLOOKUP($B35,Feature_List!$A:$AM,MATCH(DJ$1,  Feature_List!$A$1:$AM$1,0),0)=BB35,".","NO"))</f>
        <v>.</v>
      </c>
      <c r="DK35" s="136"/>
      <c r="DL35" s="136"/>
      <c r="DM35" s="136"/>
      <c r="DN35" s="136" t="str">
        <f>IF($D35&lt;&gt;"Feature",".",
IF(VLOOKUP($B35,Feature_List!$A:$AM,MATCH(DN$1,  Feature_List!$A$1:$AM$1,0),0)=BC35,".","NO"))</f>
        <v>.</v>
      </c>
      <c r="DO35" s="136" t="str">
        <f>IF($D35&lt;&gt;"Feature",".",
IF(VLOOKUP($B35,Feature_List!$A:$AM,MATCH(DO$1,  Feature_List!$A$1:$AM$1,0),0)=BD35,".","NO"))</f>
        <v>.</v>
      </c>
    </row>
    <row r="36" spans="2:119" x14ac:dyDescent="0.3">
      <c r="B36" s="121">
        <v>376239</v>
      </c>
      <c r="C36" s="122" t="s">
        <v>604</v>
      </c>
      <c r="D36" s="122" t="s">
        <v>71</v>
      </c>
      <c r="E36" s="122" t="s">
        <v>703</v>
      </c>
      <c r="F36" s="138" t="s">
        <v>661</v>
      </c>
      <c r="G36" s="123" t="s">
        <v>661</v>
      </c>
      <c r="H36" s="122" t="s">
        <v>70</v>
      </c>
      <c r="I36" s="124" t="s">
        <v>562</v>
      </c>
      <c r="J36" s="138"/>
      <c r="K36" s="123">
        <v>1</v>
      </c>
      <c r="L36" s="122"/>
      <c r="M36" s="122" t="s">
        <v>54</v>
      </c>
      <c r="N36" s="125"/>
      <c r="O36" s="123">
        <f t="shared" si="0"/>
        <v>1</v>
      </c>
      <c r="P36" s="123" t="str">
        <f t="shared" si="1"/>
        <v>New</v>
      </c>
      <c r="Q36" s="122" t="str">
        <f t="shared" si="24"/>
        <v>Story</v>
      </c>
      <c r="R36" s="126">
        <f t="shared" si="2"/>
        <v>318430</v>
      </c>
      <c r="S36" s="127">
        <f t="shared" si="3"/>
        <v>376239</v>
      </c>
      <c r="T36" s="128" t="e">
        <f>IF($Q36="ZeroEntry", "",VLOOKUP($I36,'Ranking Lookup'!#REF!,2,FALSE))</f>
        <v>#REF!</v>
      </c>
      <c r="U36" s="129" t="str">
        <f t="shared" si="4"/>
        <v/>
      </c>
      <c r="V36" s="129" t="str">
        <f t="shared" si="5"/>
        <v/>
      </c>
      <c r="W36" s="129" t="str">
        <f t="shared" si="6"/>
        <v/>
      </c>
      <c r="X36" s="129" t="str">
        <f t="shared" si="7"/>
        <v/>
      </c>
      <c r="Y36" s="129" t="str">
        <f t="shared" si="8"/>
        <v>Feature</v>
      </c>
      <c r="Z36" s="129" t="str">
        <f t="shared" si="9"/>
        <v/>
      </c>
      <c r="AA36" s="130"/>
      <c r="AB36" s="130" t="str">
        <f t="shared" si="10"/>
        <v>PI 12</v>
      </c>
      <c r="AC36" s="131">
        <f t="shared" si="25"/>
        <v>1</v>
      </c>
      <c r="AD36" s="131">
        <f t="shared" si="26"/>
        <v>0</v>
      </c>
      <c r="AE36" s="132">
        <f t="shared" si="11"/>
        <v>0</v>
      </c>
      <c r="AF36" s="133" t="str">
        <f t="shared" si="27"/>
        <v/>
      </c>
      <c r="AG36" s="134">
        <f t="shared" si="12"/>
        <v>0</v>
      </c>
      <c r="AH36" s="54" t="str">
        <f t="shared" si="13"/>
        <v/>
      </c>
      <c r="AI36" s="54" t="e">
        <f t="shared" si="32"/>
        <v>#REF!</v>
      </c>
      <c r="AJ36" s="54" t="e">
        <f t="shared" si="32"/>
        <v>#REF!</v>
      </c>
      <c r="AK36" s="54" t="e">
        <f t="shared" si="32"/>
        <v>#REF!</v>
      </c>
      <c r="AL36" s="54" t="e">
        <f t="shared" si="32"/>
        <v>#REF!</v>
      </c>
      <c r="AM36" s="54" t="e">
        <f t="shared" si="32"/>
        <v>#REF!</v>
      </c>
      <c r="AN36" s="54" t="e">
        <f t="shared" si="32"/>
        <v>#REF!</v>
      </c>
      <c r="AO36" s="54" t="e">
        <f t="shared" si="32"/>
        <v>#REF!</v>
      </c>
      <c r="AP36" s="54" t="e">
        <f t="shared" si="32"/>
        <v>#REF!</v>
      </c>
      <c r="AQ36" s="54" t="e">
        <f t="shared" si="32"/>
        <v>#REF!</v>
      </c>
      <c r="AR36" s="54" t="e">
        <f t="shared" si="32"/>
        <v>#REF!</v>
      </c>
      <c r="AS36" s="54" t="e">
        <f t="shared" si="32"/>
        <v>#REF!</v>
      </c>
      <c r="AT36" s="54" t="e">
        <f t="shared" si="32"/>
        <v>#REF!</v>
      </c>
      <c r="AU36" s="54" t="e">
        <f t="shared" si="32"/>
        <v>#REF!</v>
      </c>
      <c r="AV36" s="54" t="e">
        <f t="shared" si="32"/>
        <v>#REF!</v>
      </c>
      <c r="AW36" s="54" t="e">
        <f t="shared" si="32"/>
        <v>#REF!</v>
      </c>
      <c r="AX36" s="54" t="e">
        <f t="shared" si="32"/>
        <v>#REF!</v>
      </c>
      <c r="AY36" s="54" t="e">
        <f t="shared" si="15"/>
        <v>#REF!</v>
      </c>
      <c r="AZ36" s="54" t="str">
        <f t="shared" si="16"/>
        <v/>
      </c>
      <c r="BA36" s="54" t="e">
        <f t="shared" si="17"/>
        <v>#REF!</v>
      </c>
      <c r="BB36" s="135" t="str">
        <f t="shared" si="18"/>
        <v/>
      </c>
      <c r="BC36" s="54" t="e">
        <f t="shared" si="30"/>
        <v>#REF!</v>
      </c>
      <c r="BD36" s="54" t="e">
        <f t="shared" si="30"/>
        <v>#REF!</v>
      </c>
      <c r="BE36" s="54" t="e">
        <f t="shared" si="30"/>
        <v>#REF!</v>
      </c>
      <c r="BF36" s="54" t="str">
        <f t="shared" si="20"/>
        <v/>
      </c>
      <c r="BG36" s="54" t="str">
        <f t="shared" si="21"/>
        <v/>
      </c>
      <c r="BH36" s="34" t="e">
        <f t="shared" si="22"/>
        <v>#REF!</v>
      </c>
      <c r="BI36" s="34" t="e">
        <f t="shared" si="23"/>
        <v>#REF!</v>
      </c>
      <c r="BJ36" s="136" t="str">
        <f>IF($D36&lt;&gt;"Feature",".",
IF(VLOOKUP($B36,Feature_List!$A:$AM,MATCH(BJ$1,  Feature_List!$A$1:$AM$1,0),0)=B36,".","NO"))</f>
        <v>.</v>
      </c>
      <c r="BK36" s="136"/>
      <c r="BL36" s="136"/>
      <c r="BM36" s="136" t="str">
        <f>IF($D36&lt;&gt;"Feature",".",
IF(VLOOKUP($B36,Feature_List!$A:$AM,MATCH(BM$1,  Feature_List!$A$1:$AM$1,0),0)=E36,".","NO"))</f>
        <v>.</v>
      </c>
      <c r="BN36" s="136" t="str">
        <f>IF($D36&lt;&gt;"Feature",".",
IF(VLOOKUP($B36,Feature_List!$A:$AM,MATCH(BN$1,  Feature_List!$A$1:$AM$1,0),0)=F36,".","NO"))</f>
        <v>.</v>
      </c>
      <c r="BO36" s="136" t="str">
        <f>IF($D36&lt;&gt;"Feature",".",
IF(VLOOKUP($B36,Feature_List!$A:$AM,MATCH(BO$1,  Feature_List!$A$1:$AM$1,0),0)=G36,".","NO"))</f>
        <v>.</v>
      </c>
      <c r="BP36" s="136" t="str">
        <f>IF($D36&lt;&gt;"Feature",".",
IF(VLOOKUP($B36,Feature_List!$A:$AM,MATCH(BP$1,  Feature_List!$A$1:$AM$1,0),0)=H36,".","NO"))</f>
        <v>.</v>
      </c>
      <c r="BQ36" s="136"/>
      <c r="BR36" s="136" t="str">
        <f>IF($D36&lt;&gt;"Feature",".",
IF(VLOOKUP($B36,Feature_List!$A:$AM,MATCH(BR$1,  Feature_List!$A$1:$AM$1,0),0)=J36,".","NO"))</f>
        <v>.</v>
      </c>
      <c r="BS36" s="136"/>
      <c r="BT36" s="136"/>
      <c r="BU36" s="136" t="str">
        <f>IF($D36&lt;&gt;"Feature",".",
IF(VLOOKUP($B36,Feature_List!$A:$AM,MATCH(BU$1,  Feature_List!$A$1:$AM$1,0),0)=M36,".","NO"))</f>
        <v>.</v>
      </c>
      <c r="BV36" s="136" t="str">
        <f>IF($D36&lt;&gt;"Feature",".",
IF(VLOOKUP($B36,Feature_List!$A:$AM,MATCH(BV$1,  Feature_List!$A$1:$AM$1,0),0)=N36,".","NO"))</f>
        <v>.</v>
      </c>
      <c r="BW36" s="136"/>
      <c r="BX36" s="136"/>
      <c r="BY36" s="136"/>
      <c r="BZ36" s="136"/>
      <c r="CA36" s="136"/>
      <c r="CB36" s="136" t="str">
        <f>IF($D36&lt;&gt;"Feature",".",
IF(VLOOKUP($B36,Feature_List!$A:$AM,MATCH(CB$1,  Feature_List!$A$1:$AM$1,0),0)=T36,".","NO"))</f>
        <v>.</v>
      </c>
      <c r="CC36" s="136"/>
      <c r="CD36" s="136"/>
      <c r="CE36" s="136"/>
      <c r="CF36" s="136"/>
      <c r="CG36" s="136"/>
      <c r="CH36" s="136"/>
      <c r="CI36" s="136"/>
      <c r="CJ36" s="136"/>
      <c r="CK36" s="136"/>
      <c r="CL36" s="136"/>
      <c r="CM36" s="136"/>
      <c r="CN36" s="136"/>
      <c r="CO36" s="136" t="str">
        <f>IF($D36&lt;&gt;"Feature",".",
IF(VLOOKUP($B36,Feature_List!$A:$AM,MATCH(CO$1,  Feature_List!$A$1:$AM$1,0),0)=AG36,".","NO"))</f>
        <v>.</v>
      </c>
      <c r="CP36" s="136" t="str">
        <f>IF($D36&lt;&gt;"Feature",".",
IF(VLOOKUP($B36,Feature_List!$A:$AM,MATCH(CP$1,  Feature_List!$A$1:$AM$1,0),0)=AH36,".","NO"))</f>
        <v>.</v>
      </c>
      <c r="CQ36" s="136" t="str">
        <f>IF($D36&lt;&gt;"Feature",".",
IF(VLOOKUP($B36,Feature_List!$A:$AM,MATCH(CQ$1,  Feature_List!$A$1:$AM$1,0),0)=AI36,".","NO"))</f>
        <v>.</v>
      </c>
      <c r="CR36" s="136" t="str">
        <f>IF($D36&lt;&gt;"Feature",".",
IF(VLOOKUP($B36,Feature_List!$A:$AM,MATCH(CR$1,  Feature_List!$A$1:$AM$1,0),0)=AJ36,".","NO"))</f>
        <v>.</v>
      </c>
      <c r="CS36" s="136" t="str">
        <f>IF($D36&lt;&gt;"Feature",".",
IF(VLOOKUP($B36,Feature_List!$A:$AM,MATCH(CS$1,  Feature_List!$A$1:$AM$1,0),0)=AK36,".","NO"))</f>
        <v>.</v>
      </c>
      <c r="CT36" s="136" t="str">
        <f>IF($D36&lt;&gt;"Feature",".",
IF(VLOOKUP($B36,Feature_List!$A:$AM,MATCH(CT$1,  Feature_List!$A$1:$AM$1,0),0)=AL36,".","NO"))</f>
        <v>.</v>
      </c>
      <c r="CU36" s="136" t="str">
        <f>IF($D36&lt;&gt;"Feature",".",
IF(VLOOKUP($B36,Feature_List!$A:$AM,MATCH(CU$1,  Feature_List!$A$1:$AM$1,0),0)=AM36,".","NO"))</f>
        <v>.</v>
      </c>
      <c r="CV36" s="136" t="str">
        <f>IF($D36&lt;&gt;"Feature",".",
IF(VLOOKUP($B36,Feature_List!$A:$AM,MATCH(CV$1,  Feature_List!$A$1:$AM$1,0),0)=AN36,".","NO"))</f>
        <v>.</v>
      </c>
      <c r="CW36" s="136" t="str">
        <f>IF($D36&lt;&gt;"Feature",".",
IF(VLOOKUP($B36,Feature_List!$A:$AM,MATCH(CW$1,  Feature_List!$A$1:$AM$1,0),0)=AO36,".","NO"))</f>
        <v>.</v>
      </c>
      <c r="CX36" s="136" t="str">
        <f>IF($D36&lt;&gt;"Feature",".",
IF(VLOOKUP($B36,Feature_List!$A:$AM,MATCH(CX$1,  Feature_List!$A$1:$AM$1,0),0)=AP36,".","NO"))</f>
        <v>.</v>
      </c>
      <c r="CY36" s="136" t="str">
        <f>IF($D36&lt;&gt;"Feature",".",
IF(VLOOKUP($B36,Feature_List!$A:$AM,MATCH(CY$1,  Feature_List!$A$1:$AM$1,0),0)=AQ36,".","NO"))</f>
        <v>.</v>
      </c>
      <c r="CZ36" s="136" t="str">
        <f>IF($D36&lt;&gt;"Feature",".",
IF(VLOOKUP($B36,Feature_List!$A:$AM,MATCH(CZ$1,  Feature_List!$A$1:$AM$1,0),0)=AR36,".","NO"))</f>
        <v>.</v>
      </c>
      <c r="DA36" s="136" t="str">
        <f>IF($D36&lt;&gt;"Feature",".",
IF(VLOOKUP($B36,Feature_List!$A:$AM,MATCH(DA$1,  Feature_List!$A$1:$AM$1,0),0)=AS36,".","NO"))</f>
        <v>.</v>
      </c>
      <c r="DB36" s="136" t="str">
        <f>IF($D36&lt;&gt;"Feature",".",
IF(VLOOKUP($B36,Feature_List!$A:$AM,MATCH(DB$1,  Feature_List!$A$1:$AM$1,0),0)=AT36,".","NO"))</f>
        <v>.</v>
      </c>
      <c r="DC36" s="136" t="str">
        <f>IF($D36&lt;&gt;"Feature",".",
IF(VLOOKUP($B36,Feature_List!$A:$AM,MATCH(DC$1,  Feature_List!$A$1:$AM$1,0),0)=AU36,".","NO"))</f>
        <v>.</v>
      </c>
      <c r="DD36" s="136" t="str">
        <f>IF($D36&lt;&gt;"Feature",".",
IF(VLOOKUP($B36,Feature_List!$A:$AM,MATCH(DD$1,  Feature_List!$A$1:$AM$1,0),0)=AV36,".","NO"))</f>
        <v>.</v>
      </c>
      <c r="DE36" s="136" t="str">
        <f>IF($D36&lt;&gt;"Feature",".",
IF(VLOOKUP($B36,Feature_List!$A:$AM,MATCH(DE$1,  Feature_List!$A$1:$AM$1,0),0)=AW36,".","NO"))</f>
        <v>.</v>
      </c>
      <c r="DF36" s="136" t="str">
        <f>IF($D36&lt;&gt;"Feature",".",
IF(VLOOKUP($B36,Feature_List!$A:$AM,MATCH(DF$1,  Feature_List!$A$1:$AM$1,0),0)=AX36,".","NO"))</f>
        <v>.</v>
      </c>
      <c r="DG36" s="136" t="str">
        <f>IF($D36&lt;&gt;"Feature",".",
IF(VLOOKUP($B36,Feature_List!$A:$AM,MATCH(DG$1,  Feature_List!$A$1:$AM$1,0),0)=AY36,".","NO"))</f>
        <v>.</v>
      </c>
      <c r="DH36" s="136" t="str">
        <f>IF($D36&lt;&gt;"Feature",".",
IF(VLOOKUP($B36,Feature_List!$A:$AM,MATCH(DH$1,  Feature_List!$A$1:$AM$1,0),0)=AZ36,".","NO"))</f>
        <v>.</v>
      </c>
      <c r="DI36" s="136" t="str">
        <f>IF($D36&lt;&gt;"Feature",".",
IF(VLOOKUP($B36,Feature_List!$A:$AM,MATCH(DI$1,  Feature_List!$A$1:$AM$1,0),0)=BA36,".","NO"))</f>
        <v>.</v>
      </c>
      <c r="DJ36" s="136" t="str">
        <f>IF($D36&lt;&gt;"Feature",".",
IF(VLOOKUP($B36,Feature_List!$A:$AM,MATCH(DJ$1,  Feature_List!$A$1:$AM$1,0),0)=BB36,".","NO"))</f>
        <v>.</v>
      </c>
      <c r="DK36" s="136"/>
      <c r="DL36" s="136"/>
      <c r="DM36" s="136"/>
      <c r="DN36" s="136" t="str">
        <f>IF($D36&lt;&gt;"Feature",".",
IF(VLOOKUP($B36,Feature_List!$A:$AM,MATCH(DN$1,  Feature_List!$A$1:$AM$1,0),0)=BC36,".","NO"))</f>
        <v>.</v>
      </c>
      <c r="DO36" s="136" t="str">
        <f>IF($D36&lt;&gt;"Feature",".",
IF(VLOOKUP($B36,Feature_List!$A:$AM,MATCH(DO$1,  Feature_List!$A$1:$AM$1,0),0)=BD36,".","NO"))</f>
        <v>.</v>
      </c>
    </row>
    <row r="37" spans="2:119" x14ac:dyDescent="0.3">
      <c r="B37" s="121">
        <v>376238</v>
      </c>
      <c r="C37" s="122" t="s">
        <v>604</v>
      </c>
      <c r="D37" s="122" t="s">
        <v>71</v>
      </c>
      <c r="E37" s="122" t="s">
        <v>704</v>
      </c>
      <c r="F37" s="138" t="s">
        <v>661</v>
      </c>
      <c r="G37" s="123" t="s">
        <v>661</v>
      </c>
      <c r="H37" s="122" t="s">
        <v>70</v>
      </c>
      <c r="I37" s="124" t="s">
        <v>562</v>
      </c>
      <c r="J37" s="138"/>
      <c r="K37" s="123">
        <v>1</v>
      </c>
      <c r="L37" s="122"/>
      <c r="M37" s="122" t="s">
        <v>54</v>
      </c>
      <c r="N37" s="125"/>
      <c r="O37" s="123">
        <f t="shared" si="0"/>
        <v>1</v>
      </c>
      <c r="P37" s="123" t="str">
        <f t="shared" si="1"/>
        <v>New</v>
      </c>
      <c r="Q37" s="122" t="str">
        <f t="shared" si="24"/>
        <v>Story</v>
      </c>
      <c r="R37" s="126">
        <f t="shared" si="2"/>
        <v>318430</v>
      </c>
      <c r="S37" s="127">
        <f t="shared" si="3"/>
        <v>376238</v>
      </c>
      <c r="T37" s="128" t="e">
        <f>IF($Q37="ZeroEntry", "",VLOOKUP($I37,'Ranking Lookup'!#REF!,2,FALSE))</f>
        <v>#REF!</v>
      </c>
      <c r="U37" s="129" t="str">
        <f t="shared" si="4"/>
        <v/>
      </c>
      <c r="V37" s="129" t="str">
        <f t="shared" si="5"/>
        <v/>
      </c>
      <c r="W37" s="129" t="str">
        <f t="shared" si="6"/>
        <v/>
      </c>
      <c r="X37" s="129" t="str">
        <f t="shared" si="7"/>
        <v/>
      </c>
      <c r="Y37" s="129" t="str">
        <f t="shared" si="8"/>
        <v>Feature</v>
      </c>
      <c r="Z37" s="129" t="str">
        <f t="shared" si="9"/>
        <v/>
      </c>
      <c r="AA37" s="130"/>
      <c r="AB37" s="130" t="str">
        <f t="shared" si="10"/>
        <v>PI 12</v>
      </c>
      <c r="AC37" s="131">
        <f t="shared" si="25"/>
        <v>1</v>
      </c>
      <c r="AD37" s="131">
        <f t="shared" si="26"/>
        <v>0</v>
      </c>
      <c r="AE37" s="132">
        <f t="shared" si="11"/>
        <v>0</v>
      </c>
      <c r="AF37" s="133" t="str">
        <f t="shared" si="27"/>
        <v/>
      </c>
      <c r="AG37" s="134">
        <f t="shared" si="12"/>
        <v>0</v>
      </c>
      <c r="AH37" s="54" t="str">
        <f t="shared" si="13"/>
        <v/>
      </c>
      <c r="AI37" s="54" t="e">
        <f t="shared" si="32"/>
        <v>#REF!</v>
      </c>
      <c r="AJ37" s="54" t="e">
        <f t="shared" si="32"/>
        <v>#REF!</v>
      </c>
      <c r="AK37" s="54" t="e">
        <f t="shared" si="32"/>
        <v>#REF!</v>
      </c>
      <c r="AL37" s="54" t="e">
        <f t="shared" si="32"/>
        <v>#REF!</v>
      </c>
      <c r="AM37" s="54" t="e">
        <f t="shared" si="32"/>
        <v>#REF!</v>
      </c>
      <c r="AN37" s="54" t="e">
        <f t="shared" si="32"/>
        <v>#REF!</v>
      </c>
      <c r="AO37" s="54" t="e">
        <f t="shared" si="32"/>
        <v>#REF!</v>
      </c>
      <c r="AP37" s="54" t="e">
        <f t="shared" si="32"/>
        <v>#REF!</v>
      </c>
      <c r="AQ37" s="54" t="e">
        <f t="shared" si="32"/>
        <v>#REF!</v>
      </c>
      <c r="AR37" s="54" t="e">
        <f t="shared" si="32"/>
        <v>#REF!</v>
      </c>
      <c r="AS37" s="54" t="e">
        <f t="shared" si="32"/>
        <v>#REF!</v>
      </c>
      <c r="AT37" s="54" t="e">
        <f t="shared" si="32"/>
        <v>#REF!</v>
      </c>
      <c r="AU37" s="54" t="e">
        <f t="shared" si="32"/>
        <v>#REF!</v>
      </c>
      <c r="AV37" s="54" t="e">
        <f t="shared" si="32"/>
        <v>#REF!</v>
      </c>
      <c r="AW37" s="54" t="e">
        <f t="shared" si="32"/>
        <v>#REF!</v>
      </c>
      <c r="AX37" s="54" t="e">
        <f t="shared" si="32"/>
        <v>#REF!</v>
      </c>
      <c r="AY37" s="54" t="e">
        <f t="shared" si="15"/>
        <v>#REF!</v>
      </c>
      <c r="AZ37" s="54" t="str">
        <f t="shared" si="16"/>
        <v/>
      </c>
      <c r="BA37" s="54" t="e">
        <f t="shared" si="17"/>
        <v>#REF!</v>
      </c>
      <c r="BB37" s="135" t="str">
        <f t="shared" si="18"/>
        <v/>
      </c>
      <c r="BC37" s="54" t="e">
        <f t="shared" si="30"/>
        <v>#REF!</v>
      </c>
      <c r="BD37" s="54" t="e">
        <f t="shared" si="30"/>
        <v>#REF!</v>
      </c>
      <c r="BE37" s="54" t="e">
        <f t="shared" si="30"/>
        <v>#REF!</v>
      </c>
      <c r="BF37" s="54" t="str">
        <f t="shared" si="20"/>
        <v/>
      </c>
      <c r="BG37" s="54" t="str">
        <f t="shared" si="21"/>
        <v/>
      </c>
      <c r="BH37" s="34" t="e">
        <f t="shared" si="22"/>
        <v>#REF!</v>
      </c>
      <c r="BI37" s="34" t="e">
        <f t="shared" si="23"/>
        <v>#REF!</v>
      </c>
      <c r="BJ37" s="136" t="str">
        <f>IF($D37&lt;&gt;"Feature",".",
IF(VLOOKUP($B37,Feature_List!$A:$AM,MATCH(BJ$1,  Feature_List!$A$1:$AM$1,0),0)=B37,".","NO"))</f>
        <v>.</v>
      </c>
      <c r="BK37" s="136"/>
      <c r="BL37" s="136"/>
      <c r="BM37" s="136" t="str">
        <f>IF($D37&lt;&gt;"Feature",".",
IF(VLOOKUP($B37,Feature_List!$A:$AM,MATCH(BM$1,  Feature_List!$A$1:$AM$1,0),0)=E37,".","NO"))</f>
        <v>.</v>
      </c>
      <c r="BN37" s="136" t="str">
        <f>IF($D37&lt;&gt;"Feature",".",
IF(VLOOKUP($B37,Feature_List!$A:$AM,MATCH(BN$1,  Feature_List!$A$1:$AM$1,0),0)=F37,".","NO"))</f>
        <v>.</v>
      </c>
      <c r="BO37" s="136" t="str">
        <f>IF($D37&lt;&gt;"Feature",".",
IF(VLOOKUP($B37,Feature_List!$A:$AM,MATCH(BO$1,  Feature_List!$A$1:$AM$1,0),0)=G37,".","NO"))</f>
        <v>.</v>
      </c>
      <c r="BP37" s="136" t="str">
        <f>IF($D37&lt;&gt;"Feature",".",
IF(VLOOKUP($B37,Feature_List!$A:$AM,MATCH(BP$1,  Feature_List!$A$1:$AM$1,0),0)=H37,".","NO"))</f>
        <v>.</v>
      </c>
      <c r="BQ37" s="136"/>
      <c r="BR37" s="136" t="str">
        <f>IF($D37&lt;&gt;"Feature",".",
IF(VLOOKUP($B37,Feature_List!$A:$AM,MATCH(BR$1,  Feature_List!$A$1:$AM$1,0),0)=J37,".","NO"))</f>
        <v>.</v>
      </c>
      <c r="BS37" s="136"/>
      <c r="BT37" s="136"/>
      <c r="BU37" s="136" t="str">
        <f>IF($D37&lt;&gt;"Feature",".",
IF(VLOOKUP($B37,Feature_List!$A:$AM,MATCH(BU$1,  Feature_List!$A$1:$AM$1,0),0)=M37,".","NO"))</f>
        <v>.</v>
      </c>
      <c r="BV37" s="136" t="str">
        <f>IF($D37&lt;&gt;"Feature",".",
IF(VLOOKUP($B37,Feature_List!$A:$AM,MATCH(BV$1,  Feature_List!$A$1:$AM$1,0),0)=N37,".","NO"))</f>
        <v>.</v>
      </c>
      <c r="BW37" s="136"/>
      <c r="BX37" s="136"/>
      <c r="BY37" s="136"/>
      <c r="BZ37" s="136"/>
      <c r="CA37" s="136"/>
      <c r="CB37" s="136" t="str">
        <f>IF($D37&lt;&gt;"Feature",".",
IF(VLOOKUP($B37,Feature_List!$A:$AM,MATCH(CB$1,  Feature_List!$A$1:$AM$1,0),0)=T37,".","NO"))</f>
        <v>.</v>
      </c>
      <c r="CC37" s="136"/>
      <c r="CD37" s="136"/>
      <c r="CE37" s="136"/>
      <c r="CF37" s="136"/>
      <c r="CG37" s="136"/>
      <c r="CH37" s="136"/>
      <c r="CI37" s="136"/>
      <c r="CJ37" s="136"/>
      <c r="CK37" s="136"/>
      <c r="CL37" s="136"/>
      <c r="CM37" s="136"/>
      <c r="CN37" s="136"/>
      <c r="CO37" s="136" t="str">
        <f>IF($D37&lt;&gt;"Feature",".",
IF(VLOOKUP($B37,Feature_List!$A:$AM,MATCH(CO$1,  Feature_List!$A$1:$AM$1,0),0)=AG37,".","NO"))</f>
        <v>.</v>
      </c>
      <c r="CP37" s="136" t="str">
        <f>IF($D37&lt;&gt;"Feature",".",
IF(VLOOKUP($B37,Feature_List!$A:$AM,MATCH(CP$1,  Feature_List!$A$1:$AM$1,0),0)=AH37,".","NO"))</f>
        <v>.</v>
      </c>
      <c r="CQ37" s="136" t="str">
        <f>IF($D37&lt;&gt;"Feature",".",
IF(VLOOKUP($B37,Feature_List!$A:$AM,MATCH(CQ$1,  Feature_List!$A$1:$AM$1,0),0)=AI37,".","NO"))</f>
        <v>.</v>
      </c>
      <c r="CR37" s="136" t="str">
        <f>IF($D37&lt;&gt;"Feature",".",
IF(VLOOKUP($B37,Feature_List!$A:$AM,MATCH(CR$1,  Feature_List!$A$1:$AM$1,0),0)=AJ37,".","NO"))</f>
        <v>.</v>
      </c>
      <c r="CS37" s="136" t="str">
        <f>IF($D37&lt;&gt;"Feature",".",
IF(VLOOKUP($B37,Feature_List!$A:$AM,MATCH(CS$1,  Feature_List!$A$1:$AM$1,0),0)=AK37,".","NO"))</f>
        <v>.</v>
      </c>
      <c r="CT37" s="136" t="str">
        <f>IF($D37&lt;&gt;"Feature",".",
IF(VLOOKUP($B37,Feature_List!$A:$AM,MATCH(CT$1,  Feature_List!$A$1:$AM$1,0),0)=AL37,".","NO"))</f>
        <v>.</v>
      </c>
      <c r="CU37" s="136" t="str">
        <f>IF($D37&lt;&gt;"Feature",".",
IF(VLOOKUP($B37,Feature_List!$A:$AM,MATCH(CU$1,  Feature_List!$A$1:$AM$1,0),0)=AM37,".","NO"))</f>
        <v>.</v>
      </c>
      <c r="CV37" s="136" t="str">
        <f>IF($D37&lt;&gt;"Feature",".",
IF(VLOOKUP($B37,Feature_List!$A:$AM,MATCH(CV$1,  Feature_List!$A$1:$AM$1,0),0)=AN37,".","NO"))</f>
        <v>.</v>
      </c>
      <c r="CW37" s="136" t="str">
        <f>IF($D37&lt;&gt;"Feature",".",
IF(VLOOKUP($B37,Feature_List!$A:$AM,MATCH(CW$1,  Feature_List!$A$1:$AM$1,0),0)=AO37,".","NO"))</f>
        <v>.</v>
      </c>
      <c r="CX37" s="136" t="str">
        <f>IF($D37&lt;&gt;"Feature",".",
IF(VLOOKUP($B37,Feature_List!$A:$AM,MATCH(CX$1,  Feature_List!$A$1:$AM$1,0),0)=AP37,".","NO"))</f>
        <v>.</v>
      </c>
      <c r="CY37" s="136" t="str">
        <f>IF($D37&lt;&gt;"Feature",".",
IF(VLOOKUP($B37,Feature_List!$A:$AM,MATCH(CY$1,  Feature_List!$A$1:$AM$1,0),0)=AQ37,".","NO"))</f>
        <v>.</v>
      </c>
      <c r="CZ37" s="136" t="str">
        <f>IF($D37&lt;&gt;"Feature",".",
IF(VLOOKUP($B37,Feature_List!$A:$AM,MATCH(CZ$1,  Feature_List!$A$1:$AM$1,0),0)=AR37,".","NO"))</f>
        <v>.</v>
      </c>
      <c r="DA37" s="136" t="str">
        <f>IF($D37&lt;&gt;"Feature",".",
IF(VLOOKUP($B37,Feature_List!$A:$AM,MATCH(DA$1,  Feature_List!$A$1:$AM$1,0),0)=AS37,".","NO"))</f>
        <v>.</v>
      </c>
      <c r="DB37" s="136" t="str">
        <f>IF($D37&lt;&gt;"Feature",".",
IF(VLOOKUP($B37,Feature_List!$A:$AM,MATCH(DB$1,  Feature_List!$A$1:$AM$1,0),0)=AT37,".","NO"))</f>
        <v>.</v>
      </c>
      <c r="DC37" s="136" t="str">
        <f>IF($D37&lt;&gt;"Feature",".",
IF(VLOOKUP($B37,Feature_List!$A:$AM,MATCH(DC$1,  Feature_List!$A$1:$AM$1,0),0)=AU37,".","NO"))</f>
        <v>.</v>
      </c>
      <c r="DD37" s="136" t="str">
        <f>IF($D37&lt;&gt;"Feature",".",
IF(VLOOKUP($B37,Feature_List!$A:$AM,MATCH(DD$1,  Feature_List!$A$1:$AM$1,0),0)=AV37,".","NO"))</f>
        <v>.</v>
      </c>
      <c r="DE37" s="136" t="str">
        <f>IF($D37&lt;&gt;"Feature",".",
IF(VLOOKUP($B37,Feature_List!$A:$AM,MATCH(DE$1,  Feature_List!$A$1:$AM$1,0),0)=AW37,".","NO"))</f>
        <v>.</v>
      </c>
      <c r="DF37" s="136" t="str">
        <f>IF($D37&lt;&gt;"Feature",".",
IF(VLOOKUP($B37,Feature_List!$A:$AM,MATCH(DF$1,  Feature_List!$A$1:$AM$1,0),0)=AX37,".","NO"))</f>
        <v>.</v>
      </c>
      <c r="DG37" s="136" t="str">
        <f>IF($D37&lt;&gt;"Feature",".",
IF(VLOOKUP($B37,Feature_List!$A:$AM,MATCH(DG$1,  Feature_List!$A$1:$AM$1,0),0)=AY37,".","NO"))</f>
        <v>.</v>
      </c>
      <c r="DH37" s="136" t="str">
        <f>IF($D37&lt;&gt;"Feature",".",
IF(VLOOKUP($B37,Feature_List!$A:$AM,MATCH(DH$1,  Feature_List!$A$1:$AM$1,0),0)=AZ37,".","NO"))</f>
        <v>.</v>
      </c>
      <c r="DI37" s="136" t="str">
        <f>IF($D37&lt;&gt;"Feature",".",
IF(VLOOKUP($B37,Feature_List!$A:$AM,MATCH(DI$1,  Feature_List!$A$1:$AM$1,0),0)=BA37,".","NO"))</f>
        <v>.</v>
      </c>
      <c r="DJ37" s="136" t="str">
        <f>IF($D37&lt;&gt;"Feature",".",
IF(VLOOKUP($B37,Feature_List!$A:$AM,MATCH(DJ$1,  Feature_List!$A$1:$AM$1,0),0)=BB37,".","NO"))</f>
        <v>.</v>
      </c>
      <c r="DK37" s="136"/>
      <c r="DL37" s="136"/>
      <c r="DM37" s="136"/>
      <c r="DN37" s="136" t="str">
        <f>IF($D37&lt;&gt;"Feature",".",
IF(VLOOKUP($B37,Feature_List!$A:$AM,MATCH(DN$1,  Feature_List!$A$1:$AM$1,0),0)=BC37,".","NO"))</f>
        <v>.</v>
      </c>
      <c r="DO37" s="136" t="str">
        <f>IF($D37&lt;&gt;"Feature",".",
IF(VLOOKUP($B37,Feature_List!$A:$AM,MATCH(DO$1,  Feature_List!$A$1:$AM$1,0),0)=BD37,".","NO"))</f>
        <v>.</v>
      </c>
    </row>
    <row r="38" spans="2:119" x14ac:dyDescent="0.3">
      <c r="B38" s="121">
        <v>374904</v>
      </c>
      <c r="C38" s="123" t="s">
        <v>604</v>
      </c>
      <c r="D38" s="122" t="s">
        <v>71</v>
      </c>
      <c r="E38" s="122" t="s">
        <v>705</v>
      </c>
      <c r="F38" s="138" t="s">
        <v>130</v>
      </c>
      <c r="G38" s="123" t="s">
        <v>130</v>
      </c>
      <c r="H38" s="122" t="s">
        <v>683</v>
      </c>
      <c r="I38" s="124" t="s">
        <v>562</v>
      </c>
      <c r="J38" s="138"/>
      <c r="K38" s="123">
        <v>0</v>
      </c>
      <c r="L38" s="122"/>
      <c r="M38" s="122" t="s">
        <v>104</v>
      </c>
      <c r="N38" s="125" t="s">
        <v>651</v>
      </c>
      <c r="O38" s="123">
        <f t="shared" si="0"/>
        <v>0</v>
      </c>
      <c r="P38" s="123" t="str">
        <f t="shared" si="1"/>
        <v>Invalid</v>
      </c>
      <c r="Q38" s="122" t="str">
        <f t="shared" si="24"/>
        <v>Story</v>
      </c>
      <c r="R38" s="126">
        <f t="shared" si="2"/>
        <v>318430</v>
      </c>
      <c r="S38" s="127">
        <f t="shared" si="3"/>
        <v>374904</v>
      </c>
      <c r="T38" s="128" t="e">
        <f>IF($Q38="ZeroEntry", "",VLOOKUP($I38,'Ranking Lookup'!#REF!,2,FALSE))</f>
        <v>#REF!</v>
      </c>
      <c r="U38" s="129" t="str">
        <f t="shared" si="4"/>
        <v/>
      </c>
      <c r="V38" s="129" t="str">
        <f t="shared" si="5"/>
        <v/>
      </c>
      <c r="W38" s="129" t="str">
        <f t="shared" si="6"/>
        <v/>
      </c>
      <c r="X38" s="129" t="str">
        <f t="shared" si="7"/>
        <v/>
      </c>
      <c r="Y38" s="129" t="str">
        <f t="shared" si="8"/>
        <v>Feature</v>
      </c>
      <c r="Z38" s="129" t="str">
        <f t="shared" si="9"/>
        <v/>
      </c>
      <c r="AA38" s="130"/>
      <c r="AB38" s="130" t="str">
        <f t="shared" si="10"/>
        <v>PI 12</v>
      </c>
      <c r="AC38" s="131">
        <f t="shared" si="25"/>
        <v>0</v>
      </c>
      <c r="AD38" s="131">
        <f t="shared" si="26"/>
        <v>0</v>
      </c>
      <c r="AE38" s="132">
        <f t="shared" si="11"/>
        <v>0</v>
      </c>
      <c r="AF38" s="133" t="str">
        <f t="shared" si="27"/>
        <v/>
      </c>
      <c r="AG38" s="134">
        <f>COUNTIF(AI38:AY38,"&gt;0")</f>
        <v>0</v>
      </c>
      <c r="AH38" s="54" t="str">
        <f t="shared" si="13"/>
        <v/>
      </c>
      <c r="AI38" s="54" t="e">
        <f t="shared" si="32"/>
        <v>#REF!</v>
      </c>
      <c r="AJ38" s="54" t="e">
        <f t="shared" si="32"/>
        <v>#REF!</v>
      </c>
      <c r="AK38" s="54" t="e">
        <f t="shared" si="32"/>
        <v>#REF!</v>
      </c>
      <c r="AL38" s="54" t="e">
        <f t="shared" si="32"/>
        <v>#REF!</v>
      </c>
      <c r="AM38" s="54" t="e">
        <f t="shared" si="32"/>
        <v>#REF!</v>
      </c>
      <c r="AN38" s="54" t="e">
        <f t="shared" si="32"/>
        <v>#REF!</v>
      </c>
      <c r="AO38" s="54" t="e">
        <f t="shared" si="32"/>
        <v>#REF!</v>
      </c>
      <c r="AP38" s="54" t="e">
        <f t="shared" si="32"/>
        <v>#REF!</v>
      </c>
      <c r="AQ38" s="54" t="e">
        <f t="shared" si="32"/>
        <v>#REF!</v>
      </c>
      <c r="AR38" s="54" t="e">
        <f t="shared" si="32"/>
        <v>#REF!</v>
      </c>
      <c r="AS38" s="54" t="e">
        <f t="shared" si="32"/>
        <v>#REF!</v>
      </c>
      <c r="AT38" s="54" t="e">
        <f t="shared" si="32"/>
        <v>#REF!</v>
      </c>
      <c r="AU38" s="54" t="e">
        <f t="shared" si="32"/>
        <v>#REF!</v>
      </c>
      <c r="AV38" s="54" t="e">
        <f t="shared" si="32"/>
        <v>#REF!</v>
      </c>
      <c r="AW38" s="54" t="e">
        <f t="shared" si="32"/>
        <v>#REF!</v>
      </c>
      <c r="AX38" s="54" t="e">
        <f t="shared" si="32"/>
        <v>#REF!</v>
      </c>
      <c r="AY38" s="54" t="e">
        <f t="shared" si="15"/>
        <v>#REF!</v>
      </c>
      <c r="AZ38" s="54" t="str">
        <f t="shared" si="16"/>
        <v/>
      </c>
      <c r="BA38" s="54" t="e">
        <f t="shared" si="17"/>
        <v>#REF!</v>
      </c>
      <c r="BB38" s="135" t="str">
        <f t="shared" si="18"/>
        <v/>
      </c>
      <c r="BC38" s="54" t="e">
        <f t="shared" si="30"/>
        <v>#REF!</v>
      </c>
      <c r="BD38" s="54" t="e">
        <f t="shared" si="30"/>
        <v>#REF!</v>
      </c>
      <c r="BE38" s="54" t="e">
        <f t="shared" si="30"/>
        <v>#REF!</v>
      </c>
      <c r="BF38" s="54" t="str">
        <f t="shared" si="20"/>
        <v/>
      </c>
      <c r="BG38" s="54" t="str">
        <f t="shared" si="21"/>
        <v/>
      </c>
      <c r="BH38" s="34" t="e">
        <f t="shared" si="22"/>
        <v>#REF!</v>
      </c>
      <c r="BI38" s="34" t="e">
        <f t="shared" si="23"/>
        <v>#REF!</v>
      </c>
      <c r="BJ38" s="136" t="str">
        <f>IF($D38&lt;&gt;"Feature",".",
IF(VLOOKUP($B38,Feature_List!$A:$AM,MATCH(BJ$1,  Feature_List!$A$1:$AM$1,0),0)=B38,".","NO"))</f>
        <v>.</v>
      </c>
      <c r="BK38" s="136"/>
      <c r="BL38" s="136"/>
      <c r="BM38" s="136" t="str">
        <f>IF($D38&lt;&gt;"Feature",".",
IF(VLOOKUP($B38,Feature_List!$A:$AM,MATCH(BM$1,  Feature_List!$A$1:$AM$1,0),0)=E38,".","NO"))</f>
        <v>.</v>
      </c>
      <c r="BN38" s="136" t="str">
        <f>IF($D38&lt;&gt;"Feature",".",
IF(VLOOKUP($B38,Feature_List!$A:$AM,MATCH(BN$1,  Feature_List!$A$1:$AM$1,0),0)=F38,".","NO"))</f>
        <v>.</v>
      </c>
      <c r="BO38" s="136" t="str">
        <f>IF($D38&lt;&gt;"Feature",".",
IF(VLOOKUP($B38,Feature_List!$A:$AM,MATCH(BO$1,  Feature_List!$A$1:$AM$1,0),0)=G38,".","NO"))</f>
        <v>.</v>
      </c>
      <c r="BP38" s="136" t="str">
        <f>IF($D38&lt;&gt;"Feature",".",
IF(VLOOKUP($B38,Feature_List!$A:$AM,MATCH(BP$1,  Feature_List!$A$1:$AM$1,0),0)=H38,".","NO"))</f>
        <v>.</v>
      </c>
      <c r="BQ38" s="136"/>
      <c r="BR38" s="136" t="str">
        <f>IF($D38&lt;&gt;"Feature",".",
IF(VLOOKUP($B38,Feature_List!$A:$AM,MATCH(BR$1,  Feature_List!$A$1:$AM$1,0),0)=J38,".","NO"))</f>
        <v>.</v>
      </c>
      <c r="BS38" s="136"/>
      <c r="BT38" s="136"/>
      <c r="BU38" s="136" t="str">
        <f>IF($D38&lt;&gt;"Feature",".",
IF(VLOOKUP($B38,Feature_List!$A:$AM,MATCH(BU$1,  Feature_List!$A$1:$AM$1,0),0)=M38,".","NO"))</f>
        <v>.</v>
      </c>
      <c r="BV38" s="136" t="str">
        <f>IF($D38&lt;&gt;"Feature",".",
IF(VLOOKUP($B38,Feature_List!$A:$AM,MATCH(BV$1,  Feature_List!$A$1:$AM$1,0),0)=N38,".","NO"))</f>
        <v>.</v>
      </c>
      <c r="BW38" s="136"/>
      <c r="BX38" s="136"/>
      <c r="BY38" s="136"/>
      <c r="BZ38" s="136"/>
      <c r="CA38" s="136"/>
      <c r="CB38" s="136" t="str">
        <f>IF($D38&lt;&gt;"Feature",".",
IF(VLOOKUP($B38,Feature_List!$A:$AM,MATCH(CB$1,  Feature_List!$A$1:$AM$1,0),0)=T38,".","NO"))</f>
        <v>.</v>
      </c>
      <c r="CC38" s="136"/>
      <c r="CD38" s="136"/>
      <c r="CE38" s="136"/>
      <c r="CF38" s="136"/>
      <c r="CG38" s="136"/>
      <c r="CH38" s="136"/>
      <c r="CI38" s="136"/>
      <c r="CJ38" s="136"/>
      <c r="CK38" s="136"/>
      <c r="CL38" s="136"/>
      <c r="CM38" s="136"/>
      <c r="CN38" s="136"/>
      <c r="CO38" s="136" t="str">
        <f>IF($D38&lt;&gt;"Feature",".",
IF(VLOOKUP($B38,Feature_List!$A:$AM,MATCH(CO$1,  Feature_List!$A$1:$AM$1,0),0)=AG38,".","NO"))</f>
        <v>.</v>
      </c>
      <c r="CP38" s="136" t="str">
        <f>IF($D38&lt;&gt;"Feature",".",
IF(VLOOKUP($B38,Feature_List!$A:$AM,MATCH(CP$1,  Feature_List!$A$1:$AM$1,0),0)=AH38,".","NO"))</f>
        <v>.</v>
      </c>
      <c r="CQ38" s="136" t="str">
        <f>IF($D38&lt;&gt;"Feature",".",
IF(VLOOKUP($B38,Feature_List!$A:$AM,MATCH(CQ$1,  Feature_List!$A$1:$AM$1,0),0)=AI38,".","NO"))</f>
        <v>.</v>
      </c>
      <c r="CR38" s="136" t="str">
        <f>IF($D38&lt;&gt;"Feature",".",
IF(VLOOKUP($B38,Feature_List!$A:$AM,MATCH(CR$1,  Feature_List!$A$1:$AM$1,0),0)=AJ38,".","NO"))</f>
        <v>.</v>
      </c>
      <c r="CS38" s="136" t="str">
        <f>IF($D38&lt;&gt;"Feature",".",
IF(VLOOKUP($B38,Feature_List!$A:$AM,MATCH(CS$1,  Feature_List!$A$1:$AM$1,0),0)=AK38,".","NO"))</f>
        <v>.</v>
      </c>
      <c r="CT38" s="136" t="str">
        <f>IF($D38&lt;&gt;"Feature",".",
IF(VLOOKUP($B38,Feature_List!$A:$AM,MATCH(CT$1,  Feature_List!$A$1:$AM$1,0),0)=AL38,".","NO"))</f>
        <v>.</v>
      </c>
      <c r="CU38" s="136" t="str">
        <f>IF($D38&lt;&gt;"Feature",".",
IF(VLOOKUP($B38,Feature_List!$A:$AM,MATCH(CU$1,  Feature_List!$A$1:$AM$1,0),0)=AM38,".","NO"))</f>
        <v>.</v>
      </c>
      <c r="CV38" s="136" t="str">
        <f>IF($D38&lt;&gt;"Feature",".",
IF(VLOOKUP($B38,Feature_List!$A:$AM,MATCH(CV$1,  Feature_List!$A$1:$AM$1,0),0)=AN38,".","NO"))</f>
        <v>.</v>
      </c>
      <c r="CW38" s="136" t="str">
        <f>IF($D38&lt;&gt;"Feature",".",
IF(VLOOKUP($B38,Feature_List!$A:$AM,MATCH(CW$1,  Feature_List!$A$1:$AM$1,0),0)=AO38,".","NO"))</f>
        <v>.</v>
      </c>
      <c r="CX38" s="136" t="str">
        <f>IF($D38&lt;&gt;"Feature",".",
IF(VLOOKUP($B38,Feature_List!$A:$AM,MATCH(CX$1,  Feature_List!$A$1:$AM$1,0),0)=AP38,".","NO"))</f>
        <v>.</v>
      </c>
      <c r="CY38" s="136" t="str">
        <f>IF($D38&lt;&gt;"Feature",".",
IF(VLOOKUP($B38,Feature_List!$A:$AM,MATCH(CY$1,  Feature_List!$A$1:$AM$1,0),0)=AQ38,".","NO"))</f>
        <v>.</v>
      </c>
      <c r="CZ38" s="136" t="str">
        <f>IF($D38&lt;&gt;"Feature",".",
IF(VLOOKUP($B38,Feature_List!$A:$AM,MATCH(CZ$1,  Feature_List!$A$1:$AM$1,0),0)=AR38,".","NO"))</f>
        <v>.</v>
      </c>
      <c r="DA38" s="136" t="str">
        <f>IF($D38&lt;&gt;"Feature",".",
IF(VLOOKUP($B38,Feature_List!$A:$AM,MATCH(DA$1,  Feature_List!$A$1:$AM$1,0),0)=AS38,".","NO"))</f>
        <v>.</v>
      </c>
      <c r="DB38" s="136" t="str">
        <f>IF($D38&lt;&gt;"Feature",".",
IF(VLOOKUP($B38,Feature_List!$A:$AM,MATCH(DB$1,  Feature_List!$A$1:$AM$1,0),0)=AT38,".","NO"))</f>
        <v>.</v>
      </c>
      <c r="DC38" s="136" t="str">
        <f>IF($D38&lt;&gt;"Feature",".",
IF(VLOOKUP($B38,Feature_List!$A:$AM,MATCH(DC$1,  Feature_List!$A$1:$AM$1,0),0)=AU38,".","NO"))</f>
        <v>.</v>
      </c>
      <c r="DD38" s="136" t="str">
        <f>IF($D38&lt;&gt;"Feature",".",
IF(VLOOKUP($B38,Feature_List!$A:$AM,MATCH(DD$1,  Feature_List!$A$1:$AM$1,0),0)=AV38,".","NO"))</f>
        <v>.</v>
      </c>
      <c r="DE38" s="136" t="str">
        <f>IF($D38&lt;&gt;"Feature",".",
IF(VLOOKUP($B38,Feature_List!$A:$AM,MATCH(DE$1,  Feature_List!$A$1:$AM$1,0),0)=AW38,".","NO"))</f>
        <v>.</v>
      </c>
      <c r="DF38" s="136" t="str">
        <f>IF($D38&lt;&gt;"Feature",".",
IF(VLOOKUP($B38,Feature_List!$A:$AM,MATCH(DF$1,  Feature_List!$A$1:$AM$1,0),0)=AX38,".","NO"))</f>
        <v>.</v>
      </c>
      <c r="DG38" s="136" t="str">
        <f>IF($D38&lt;&gt;"Feature",".",
IF(VLOOKUP($B38,Feature_List!$A:$AM,MATCH(DG$1,  Feature_List!$A$1:$AM$1,0),0)=AY38,".","NO"))</f>
        <v>.</v>
      </c>
      <c r="DH38" s="136" t="str">
        <f>IF($D38&lt;&gt;"Feature",".",
IF(VLOOKUP($B38,Feature_List!$A:$AM,MATCH(DH$1,  Feature_List!$A$1:$AM$1,0),0)=AZ38,".","NO"))</f>
        <v>.</v>
      </c>
      <c r="DI38" s="136" t="str">
        <f>IF($D38&lt;&gt;"Feature",".",
IF(VLOOKUP($B38,Feature_List!$A:$AM,MATCH(DI$1,  Feature_List!$A$1:$AM$1,0),0)=BA38,".","NO"))</f>
        <v>.</v>
      </c>
      <c r="DJ38" s="136" t="str">
        <f>IF($D38&lt;&gt;"Feature",".",
IF(VLOOKUP($B38,Feature_List!$A:$AM,MATCH(DJ$1,  Feature_List!$A$1:$AM$1,0),0)=BB38,".","NO"))</f>
        <v>.</v>
      </c>
      <c r="DK38" s="136"/>
      <c r="DL38" s="136"/>
      <c r="DM38" s="136"/>
      <c r="DN38" s="136" t="str">
        <f>IF($D38&lt;&gt;"Feature",".",
IF(VLOOKUP($B38,Feature_List!$A:$AM,MATCH(DN$1,  Feature_List!$A$1:$AM$1,0),0)=BC38,".","NO"))</f>
        <v>.</v>
      </c>
      <c r="DO38" s="136" t="str">
        <f>IF($D38&lt;&gt;"Feature",".",
IF(VLOOKUP($B38,Feature_List!$A:$AM,MATCH(DO$1,  Feature_List!$A$1:$AM$1,0),0)=BD38,".","NO"))</f>
        <v>.</v>
      </c>
    </row>
    <row r="39" spans="2:119" x14ac:dyDescent="0.3">
      <c r="B39" s="121">
        <v>374898</v>
      </c>
      <c r="C39" s="123" t="s">
        <v>604</v>
      </c>
      <c r="D39" s="122" t="s">
        <v>71</v>
      </c>
      <c r="E39" s="122" t="s">
        <v>706</v>
      </c>
      <c r="F39" s="138" t="s">
        <v>130</v>
      </c>
      <c r="G39" s="123" t="s">
        <v>130</v>
      </c>
      <c r="H39" s="122" t="s">
        <v>683</v>
      </c>
      <c r="I39" s="124" t="s">
        <v>562</v>
      </c>
      <c r="J39" s="138"/>
      <c r="K39" s="123">
        <v>0</v>
      </c>
      <c r="L39" s="122"/>
      <c r="M39" s="122" t="s">
        <v>598</v>
      </c>
      <c r="N39" s="125" t="s">
        <v>104</v>
      </c>
      <c r="O39" s="123">
        <f t="shared" si="0"/>
        <v>0</v>
      </c>
      <c r="P39" s="123" t="str">
        <f t="shared" si="1"/>
        <v>Invalid</v>
      </c>
      <c r="Q39" s="122" t="str">
        <f t="shared" si="24"/>
        <v>Story</v>
      </c>
      <c r="R39" s="126">
        <f t="shared" si="2"/>
        <v>318430</v>
      </c>
      <c r="S39" s="127">
        <f t="shared" si="3"/>
        <v>374898</v>
      </c>
      <c r="T39" s="128" t="e">
        <f>IF($Q39="ZeroEntry", "",VLOOKUP($I39,'Ranking Lookup'!#REF!,2,FALSE))</f>
        <v>#REF!</v>
      </c>
      <c r="U39" s="129" t="str">
        <f t="shared" si="4"/>
        <v/>
      </c>
      <c r="V39" s="129" t="str">
        <f t="shared" si="5"/>
        <v/>
      </c>
      <c r="W39" s="129" t="str">
        <f t="shared" si="6"/>
        <v/>
      </c>
      <c r="X39" s="129" t="str">
        <f t="shared" si="7"/>
        <v/>
      </c>
      <c r="Y39" s="129" t="str">
        <f t="shared" si="8"/>
        <v>Feature</v>
      </c>
      <c r="Z39" s="129" t="str">
        <f t="shared" si="9"/>
        <v/>
      </c>
      <c r="AA39" s="130"/>
      <c r="AB39" s="130" t="str">
        <f t="shared" si="10"/>
        <v>PI 12</v>
      </c>
      <c r="AC39" s="131">
        <f t="shared" si="25"/>
        <v>0</v>
      </c>
      <c r="AD39" s="131">
        <f t="shared" si="26"/>
        <v>0</v>
      </c>
      <c r="AE39" s="132">
        <f t="shared" si="11"/>
        <v>0</v>
      </c>
      <c r="AF39" s="133" t="str">
        <f t="shared" si="27"/>
        <v/>
      </c>
      <c r="AG39" s="134">
        <f t="shared" si="12"/>
        <v>0</v>
      </c>
      <c r="AH39" s="54" t="str">
        <f t="shared" si="13"/>
        <v/>
      </c>
      <c r="AI39" s="54" t="e">
        <f t="shared" si="32"/>
        <v>#REF!</v>
      </c>
      <c r="AJ39" s="54" t="e">
        <f t="shared" si="32"/>
        <v>#REF!</v>
      </c>
      <c r="AK39" s="54" t="e">
        <f t="shared" si="32"/>
        <v>#REF!</v>
      </c>
      <c r="AL39" s="54" t="e">
        <f t="shared" si="32"/>
        <v>#REF!</v>
      </c>
      <c r="AM39" s="54" t="e">
        <f t="shared" si="32"/>
        <v>#REF!</v>
      </c>
      <c r="AN39" s="54" t="e">
        <f t="shared" si="32"/>
        <v>#REF!</v>
      </c>
      <c r="AO39" s="54" t="e">
        <f t="shared" si="32"/>
        <v>#REF!</v>
      </c>
      <c r="AP39" s="54" t="e">
        <f t="shared" si="32"/>
        <v>#REF!</v>
      </c>
      <c r="AQ39" s="54" t="e">
        <f t="shared" si="32"/>
        <v>#REF!</v>
      </c>
      <c r="AR39" s="54" t="e">
        <f t="shared" si="32"/>
        <v>#REF!</v>
      </c>
      <c r="AS39" s="54" t="e">
        <f t="shared" si="32"/>
        <v>#REF!</v>
      </c>
      <c r="AT39" s="54" t="e">
        <f t="shared" si="32"/>
        <v>#REF!</v>
      </c>
      <c r="AU39" s="54" t="e">
        <f t="shared" si="32"/>
        <v>#REF!</v>
      </c>
      <c r="AV39" s="54" t="e">
        <f t="shared" si="32"/>
        <v>#REF!</v>
      </c>
      <c r="AW39" s="54" t="e">
        <f t="shared" si="32"/>
        <v>#REF!</v>
      </c>
      <c r="AX39" s="54" t="e">
        <f t="shared" si="32"/>
        <v>#REF!</v>
      </c>
      <c r="AY39" s="54" t="e">
        <f t="shared" si="15"/>
        <v>#REF!</v>
      </c>
      <c r="AZ39" s="54" t="str">
        <f t="shared" si="16"/>
        <v/>
      </c>
      <c r="BA39" s="54" t="e">
        <f t="shared" si="17"/>
        <v>#REF!</v>
      </c>
      <c r="BB39" s="135" t="str">
        <f t="shared" si="18"/>
        <v/>
      </c>
      <c r="BC39" s="54" t="e">
        <f t="shared" si="30"/>
        <v>#REF!</v>
      </c>
      <c r="BD39" s="54" t="e">
        <f t="shared" si="30"/>
        <v>#REF!</v>
      </c>
      <c r="BE39" s="54" t="e">
        <f t="shared" si="30"/>
        <v>#REF!</v>
      </c>
      <c r="BF39" s="54" t="str">
        <f t="shared" si="20"/>
        <v/>
      </c>
      <c r="BG39" s="54" t="str">
        <f t="shared" si="21"/>
        <v/>
      </c>
      <c r="BH39" s="34" t="e">
        <f t="shared" si="22"/>
        <v>#REF!</v>
      </c>
      <c r="BI39" s="34" t="e">
        <f t="shared" si="23"/>
        <v>#REF!</v>
      </c>
      <c r="BJ39" s="136" t="str">
        <f>IF($D39&lt;&gt;"Feature",".",
IF(VLOOKUP($B39,Feature_List!$A:$AM,MATCH(BJ$1,  Feature_List!$A$1:$AM$1,0),0)=B39,".","NO"))</f>
        <v>.</v>
      </c>
      <c r="BK39" s="136"/>
      <c r="BL39" s="136"/>
      <c r="BM39" s="136" t="str">
        <f>IF($D39&lt;&gt;"Feature",".",
IF(VLOOKUP($B39,Feature_List!$A:$AM,MATCH(BM$1,  Feature_List!$A$1:$AM$1,0),0)=E39,".","NO"))</f>
        <v>.</v>
      </c>
      <c r="BN39" s="136" t="str">
        <f>IF($D39&lt;&gt;"Feature",".",
IF(VLOOKUP($B39,Feature_List!$A:$AM,MATCH(BN$1,  Feature_List!$A$1:$AM$1,0),0)=F39,".","NO"))</f>
        <v>.</v>
      </c>
      <c r="BO39" s="136" t="str">
        <f>IF($D39&lt;&gt;"Feature",".",
IF(VLOOKUP($B39,Feature_List!$A:$AM,MATCH(BO$1,  Feature_List!$A$1:$AM$1,0),0)=G39,".","NO"))</f>
        <v>.</v>
      </c>
      <c r="BP39" s="136" t="str">
        <f>IF($D39&lt;&gt;"Feature",".",
IF(VLOOKUP($B39,Feature_List!$A:$AM,MATCH(BP$1,  Feature_List!$A$1:$AM$1,0),0)=H39,".","NO"))</f>
        <v>.</v>
      </c>
      <c r="BQ39" s="136"/>
      <c r="BR39" s="136" t="str">
        <f>IF($D39&lt;&gt;"Feature",".",
IF(VLOOKUP($B39,Feature_List!$A:$AM,MATCH(BR$1,  Feature_List!$A$1:$AM$1,0),0)=J39,".","NO"))</f>
        <v>.</v>
      </c>
      <c r="BS39" s="136"/>
      <c r="BT39" s="136"/>
      <c r="BU39" s="136" t="str">
        <f>IF($D39&lt;&gt;"Feature",".",
IF(VLOOKUP($B39,Feature_List!$A:$AM,MATCH(BU$1,  Feature_List!$A$1:$AM$1,0),0)=M39,".","NO"))</f>
        <v>.</v>
      </c>
      <c r="BV39" s="136" t="str">
        <f>IF($D39&lt;&gt;"Feature",".",
IF(VLOOKUP($B39,Feature_List!$A:$AM,MATCH(BV$1,  Feature_List!$A$1:$AM$1,0),0)=N39,".","NO"))</f>
        <v>.</v>
      </c>
      <c r="BW39" s="136"/>
      <c r="BX39" s="136"/>
      <c r="BY39" s="136"/>
      <c r="BZ39" s="136"/>
      <c r="CA39" s="136"/>
      <c r="CB39" s="136" t="str">
        <f>IF($D39&lt;&gt;"Feature",".",
IF(VLOOKUP($B39,Feature_List!$A:$AM,MATCH(CB$1,  Feature_List!$A$1:$AM$1,0),0)=T39,".","NO"))</f>
        <v>.</v>
      </c>
      <c r="CC39" s="136"/>
      <c r="CD39" s="136"/>
      <c r="CE39" s="136"/>
      <c r="CF39" s="136"/>
      <c r="CG39" s="136"/>
      <c r="CH39" s="136"/>
      <c r="CI39" s="136"/>
      <c r="CJ39" s="136"/>
      <c r="CK39" s="136"/>
      <c r="CL39" s="136"/>
      <c r="CM39" s="136"/>
      <c r="CN39" s="136"/>
      <c r="CO39" s="136" t="str">
        <f>IF($D39&lt;&gt;"Feature",".",
IF(VLOOKUP($B39,Feature_List!$A:$AM,MATCH(CO$1,  Feature_List!$A$1:$AM$1,0),0)=AG39,".","NO"))</f>
        <v>.</v>
      </c>
      <c r="CP39" s="136" t="str">
        <f>IF($D39&lt;&gt;"Feature",".",
IF(VLOOKUP($B39,Feature_List!$A:$AM,MATCH(CP$1,  Feature_List!$A$1:$AM$1,0),0)=AH39,".","NO"))</f>
        <v>.</v>
      </c>
      <c r="CQ39" s="136" t="str">
        <f>IF($D39&lt;&gt;"Feature",".",
IF(VLOOKUP($B39,Feature_List!$A:$AM,MATCH(CQ$1,  Feature_List!$A$1:$AM$1,0),0)=AI39,".","NO"))</f>
        <v>.</v>
      </c>
      <c r="CR39" s="136" t="str">
        <f>IF($D39&lt;&gt;"Feature",".",
IF(VLOOKUP($B39,Feature_List!$A:$AM,MATCH(CR$1,  Feature_List!$A$1:$AM$1,0),0)=AJ39,".","NO"))</f>
        <v>.</v>
      </c>
      <c r="CS39" s="136" t="str">
        <f>IF($D39&lt;&gt;"Feature",".",
IF(VLOOKUP($B39,Feature_List!$A:$AM,MATCH(CS$1,  Feature_List!$A$1:$AM$1,0),0)=AK39,".","NO"))</f>
        <v>.</v>
      </c>
      <c r="CT39" s="136" t="str">
        <f>IF($D39&lt;&gt;"Feature",".",
IF(VLOOKUP($B39,Feature_List!$A:$AM,MATCH(CT$1,  Feature_List!$A$1:$AM$1,0),0)=AL39,".","NO"))</f>
        <v>.</v>
      </c>
      <c r="CU39" s="136" t="str">
        <f>IF($D39&lt;&gt;"Feature",".",
IF(VLOOKUP($B39,Feature_List!$A:$AM,MATCH(CU$1,  Feature_List!$A$1:$AM$1,0),0)=AM39,".","NO"))</f>
        <v>.</v>
      </c>
      <c r="CV39" s="136" t="str">
        <f>IF($D39&lt;&gt;"Feature",".",
IF(VLOOKUP($B39,Feature_List!$A:$AM,MATCH(CV$1,  Feature_List!$A$1:$AM$1,0),0)=AN39,".","NO"))</f>
        <v>.</v>
      </c>
      <c r="CW39" s="136" t="str">
        <f>IF($D39&lt;&gt;"Feature",".",
IF(VLOOKUP($B39,Feature_List!$A:$AM,MATCH(CW$1,  Feature_List!$A$1:$AM$1,0),0)=AO39,".","NO"))</f>
        <v>.</v>
      </c>
      <c r="CX39" s="136" t="str">
        <f>IF($D39&lt;&gt;"Feature",".",
IF(VLOOKUP($B39,Feature_List!$A:$AM,MATCH(CX$1,  Feature_List!$A$1:$AM$1,0),0)=AP39,".","NO"))</f>
        <v>.</v>
      </c>
      <c r="CY39" s="136" t="str">
        <f>IF($D39&lt;&gt;"Feature",".",
IF(VLOOKUP($B39,Feature_List!$A:$AM,MATCH(CY$1,  Feature_List!$A$1:$AM$1,0),0)=AQ39,".","NO"))</f>
        <v>.</v>
      </c>
      <c r="CZ39" s="136" t="str">
        <f>IF($D39&lt;&gt;"Feature",".",
IF(VLOOKUP($B39,Feature_List!$A:$AM,MATCH(CZ$1,  Feature_List!$A$1:$AM$1,0),0)=AR39,".","NO"))</f>
        <v>.</v>
      </c>
      <c r="DA39" s="136" t="str">
        <f>IF($D39&lt;&gt;"Feature",".",
IF(VLOOKUP($B39,Feature_List!$A:$AM,MATCH(DA$1,  Feature_List!$A$1:$AM$1,0),0)=AS39,".","NO"))</f>
        <v>.</v>
      </c>
      <c r="DB39" s="136" t="str">
        <f>IF($D39&lt;&gt;"Feature",".",
IF(VLOOKUP($B39,Feature_List!$A:$AM,MATCH(DB$1,  Feature_List!$A$1:$AM$1,0),0)=AT39,".","NO"))</f>
        <v>.</v>
      </c>
      <c r="DC39" s="136" t="str">
        <f>IF($D39&lt;&gt;"Feature",".",
IF(VLOOKUP($B39,Feature_List!$A:$AM,MATCH(DC$1,  Feature_List!$A$1:$AM$1,0),0)=AU39,".","NO"))</f>
        <v>.</v>
      </c>
      <c r="DD39" s="136" t="str">
        <f>IF($D39&lt;&gt;"Feature",".",
IF(VLOOKUP($B39,Feature_List!$A:$AM,MATCH(DD$1,  Feature_List!$A$1:$AM$1,0),0)=AV39,".","NO"))</f>
        <v>.</v>
      </c>
      <c r="DE39" s="136" t="str">
        <f>IF($D39&lt;&gt;"Feature",".",
IF(VLOOKUP($B39,Feature_List!$A:$AM,MATCH(DE$1,  Feature_List!$A$1:$AM$1,0),0)=AW39,".","NO"))</f>
        <v>.</v>
      </c>
      <c r="DF39" s="136" t="str">
        <f>IF($D39&lt;&gt;"Feature",".",
IF(VLOOKUP($B39,Feature_List!$A:$AM,MATCH(DF$1,  Feature_List!$A$1:$AM$1,0),0)=AX39,".","NO"))</f>
        <v>.</v>
      </c>
      <c r="DG39" s="136" t="str">
        <f>IF($D39&lt;&gt;"Feature",".",
IF(VLOOKUP($B39,Feature_List!$A:$AM,MATCH(DG$1,  Feature_List!$A$1:$AM$1,0),0)=AY39,".","NO"))</f>
        <v>.</v>
      </c>
      <c r="DH39" s="136" t="str">
        <f>IF($D39&lt;&gt;"Feature",".",
IF(VLOOKUP($B39,Feature_List!$A:$AM,MATCH(DH$1,  Feature_List!$A$1:$AM$1,0),0)=AZ39,".","NO"))</f>
        <v>.</v>
      </c>
      <c r="DI39" s="136" t="str">
        <f>IF($D39&lt;&gt;"Feature",".",
IF(VLOOKUP($B39,Feature_List!$A:$AM,MATCH(DI$1,  Feature_List!$A$1:$AM$1,0),0)=BA39,".","NO"))</f>
        <v>.</v>
      </c>
      <c r="DJ39" s="136" t="str">
        <f>IF($D39&lt;&gt;"Feature",".",
IF(VLOOKUP($B39,Feature_List!$A:$AM,MATCH(DJ$1,  Feature_List!$A$1:$AM$1,0),0)=BB39,".","NO"))</f>
        <v>.</v>
      </c>
      <c r="DK39" s="136"/>
      <c r="DL39" s="136"/>
      <c r="DM39" s="136"/>
      <c r="DN39" s="136" t="str">
        <f>IF($D39&lt;&gt;"Feature",".",
IF(VLOOKUP($B39,Feature_List!$A:$AM,MATCH(DN$1,  Feature_List!$A$1:$AM$1,0),0)=BC39,".","NO"))</f>
        <v>.</v>
      </c>
      <c r="DO39" s="136" t="str">
        <f>IF($D39&lt;&gt;"Feature",".",
IF(VLOOKUP($B39,Feature_List!$A:$AM,MATCH(DO$1,  Feature_List!$A$1:$AM$1,0),0)=BD39,".","NO"))</f>
        <v>.</v>
      </c>
    </row>
    <row r="40" spans="2:119" x14ac:dyDescent="0.3">
      <c r="B40" s="121">
        <v>374894</v>
      </c>
      <c r="C40" s="123" t="s">
        <v>604</v>
      </c>
      <c r="D40" s="122" t="s">
        <v>71</v>
      </c>
      <c r="E40" s="122" t="s">
        <v>707</v>
      </c>
      <c r="F40" s="138" t="s">
        <v>657</v>
      </c>
      <c r="G40" s="123" t="s">
        <v>657</v>
      </c>
      <c r="H40" s="122" t="s">
        <v>70</v>
      </c>
      <c r="I40" s="124" t="s">
        <v>562</v>
      </c>
      <c r="J40" s="138"/>
      <c r="K40" s="123">
        <v>2</v>
      </c>
      <c r="L40" s="122"/>
      <c r="M40" s="122" t="s">
        <v>362</v>
      </c>
      <c r="N40" s="125" t="s">
        <v>651</v>
      </c>
      <c r="O40" s="123">
        <f t="shared" si="0"/>
        <v>2</v>
      </c>
      <c r="P40" s="123" t="str">
        <f t="shared" si="1"/>
        <v>New</v>
      </c>
      <c r="Q40" s="122" t="str">
        <f t="shared" si="24"/>
        <v>Story</v>
      </c>
      <c r="R40" s="126">
        <f t="shared" si="2"/>
        <v>318430</v>
      </c>
      <c r="S40" s="127">
        <f t="shared" si="3"/>
        <v>374894</v>
      </c>
      <c r="T40" s="128" t="e">
        <f>IF($Q40="ZeroEntry", "",VLOOKUP($I40,'Ranking Lookup'!#REF!,2,FALSE))</f>
        <v>#REF!</v>
      </c>
      <c r="U40" s="129" t="str">
        <f t="shared" si="4"/>
        <v/>
      </c>
      <c r="V40" s="129" t="str">
        <f t="shared" si="5"/>
        <v/>
      </c>
      <c r="W40" s="129" t="str">
        <f t="shared" si="6"/>
        <v/>
      </c>
      <c r="X40" s="129" t="str">
        <f t="shared" si="7"/>
        <v/>
      </c>
      <c r="Y40" s="129" t="str">
        <f t="shared" si="8"/>
        <v>Feature</v>
      </c>
      <c r="Z40" s="129" t="str">
        <f t="shared" si="9"/>
        <v/>
      </c>
      <c r="AA40" s="130"/>
      <c r="AB40" s="130" t="str">
        <f t="shared" si="10"/>
        <v>PI 12</v>
      </c>
      <c r="AC40" s="131">
        <f t="shared" si="25"/>
        <v>2</v>
      </c>
      <c r="AD40" s="131">
        <f t="shared" si="26"/>
        <v>0</v>
      </c>
      <c r="AE40" s="132">
        <f t="shared" si="11"/>
        <v>0</v>
      </c>
      <c r="AF40" s="133" t="str">
        <f t="shared" si="27"/>
        <v/>
      </c>
      <c r="AG40" s="134">
        <f t="shared" si="12"/>
        <v>0</v>
      </c>
      <c r="AH40" s="54" t="str">
        <f t="shared" si="13"/>
        <v/>
      </c>
      <c r="AI40" s="54" t="e">
        <f t="shared" si="32"/>
        <v>#REF!</v>
      </c>
      <c r="AJ40" s="54" t="e">
        <f t="shared" si="32"/>
        <v>#REF!</v>
      </c>
      <c r="AK40" s="54" t="e">
        <f t="shared" si="32"/>
        <v>#REF!</v>
      </c>
      <c r="AL40" s="54" t="e">
        <f t="shared" si="32"/>
        <v>#REF!</v>
      </c>
      <c r="AM40" s="54" t="e">
        <f t="shared" si="32"/>
        <v>#REF!</v>
      </c>
      <c r="AN40" s="54" t="e">
        <f t="shared" si="32"/>
        <v>#REF!</v>
      </c>
      <c r="AO40" s="54" t="e">
        <f t="shared" si="32"/>
        <v>#REF!</v>
      </c>
      <c r="AP40" s="54" t="e">
        <f t="shared" si="32"/>
        <v>#REF!</v>
      </c>
      <c r="AQ40" s="54" t="e">
        <f t="shared" si="32"/>
        <v>#REF!</v>
      </c>
      <c r="AR40" s="54" t="e">
        <f t="shared" si="32"/>
        <v>#REF!</v>
      </c>
      <c r="AS40" s="54" t="e">
        <f t="shared" si="32"/>
        <v>#REF!</v>
      </c>
      <c r="AT40" s="54" t="e">
        <f t="shared" si="32"/>
        <v>#REF!</v>
      </c>
      <c r="AU40" s="54" t="e">
        <f t="shared" si="32"/>
        <v>#REF!</v>
      </c>
      <c r="AV40" s="54" t="e">
        <f t="shared" si="32"/>
        <v>#REF!</v>
      </c>
      <c r="AW40" s="54" t="e">
        <f t="shared" si="32"/>
        <v>#REF!</v>
      </c>
      <c r="AX40" s="54" t="e">
        <f t="shared" si="32"/>
        <v>#REF!</v>
      </c>
      <c r="AY40" s="54" t="e">
        <f t="shared" si="15"/>
        <v>#REF!</v>
      </c>
      <c r="AZ40" s="54" t="str">
        <f t="shared" si="16"/>
        <v/>
      </c>
      <c r="BA40" s="54" t="e">
        <f t="shared" si="17"/>
        <v>#REF!</v>
      </c>
      <c r="BB40" s="135" t="str">
        <f t="shared" si="18"/>
        <v/>
      </c>
      <c r="BC40" s="54" t="e">
        <f t="shared" si="30"/>
        <v>#REF!</v>
      </c>
      <c r="BD40" s="54" t="e">
        <f t="shared" si="30"/>
        <v>#REF!</v>
      </c>
      <c r="BE40" s="54" t="e">
        <f t="shared" si="30"/>
        <v>#REF!</v>
      </c>
      <c r="BF40" s="54" t="str">
        <f t="shared" si="20"/>
        <v/>
      </c>
      <c r="BG40" s="54" t="str">
        <f t="shared" si="21"/>
        <v/>
      </c>
      <c r="BH40" s="34" t="e">
        <f t="shared" si="22"/>
        <v>#REF!</v>
      </c>
      <c r="BI40" s="34" t="e">
        <f t="shared" si="23"/>
        <v>#REF!</v>
      </c>
      <c r="BJ40" s="136" t="str">
        <f>IF($D40&lt;&gt;"Feature",".",
IF(VLOOKUP($B40,Feature_List!$A:$AM,MATCH(BJ$1,  Feature_List!$A$1:$AM$1,0),0)=B40,".","NO"))</f>
        <v>.</v>
      </c>
      <c r="BK40" s="136"/>
      <c r="BL40" s="136"/>
      <c r="BM40" s="136" t="str">
        <f>IF($D40&lt;&gt;"Feature",".",
IF(VLOOKUP($B40,Feature_List!$A:$AM,MATCH(BM$1,  Feature_List!$A$1:$AM$1,0),0)=E40,".","NO"))</f>
        <v>.</v>
      </c>
      <c r="BN40" s="136" t="str">
        <f>IF($D40&lt;&gt;"Feature",".",
IF(VLOOKUP($B40,Feature_List!$A:$AM,MATCH(BN$1,  Feature_List!$A$1:$AM$1,0),0)=F40,".","NO"))</f>
        <v>.</v>
      </c>
      <c r="BO40" s="136" t="str">
        <f>IF($D40&lt;&gt;"Feature",".",
IF(VLOOKUP($B40,Feature_List!$A:$AM,MATCH(BO$1,  Feature_List!$A$1:$AM$1,0),0)=G40,".","NO"))</f>
        <v>.</v>
      </c>
      <c r="BP40" s="136" t="str">
        <f>IF($D40&lt;&gt;"Feature",".",
IF(VLOOKUP($B40,Feature_List!$A:$AM,MATCH(BP$1,  Feature_List!$A$1:$AM$1,0),0)=H40,".","NO"))</f>
        <v>.</v>
      </c>
      <c r="BQ40" s="136"/>
      <c r="BR40" s="136" t="str">
        <f>IF($D40&lt;&gt;"Feature",".",
IF(VLOOKUP($B40,Feature_List!$A:$AM,MATCH(BR$1,  Feature_List!$A$1:$AM$1,0),0)=J40,".","NO"))</f>
        <v>.</v>
      </c>
      <c r="BS40" s="136"/>
      <c r="BT40" s="136"/>
      <c r="BU40" s="136" t="str">
        <f>IF($D40&lt;&gt;"Feature",".",
IF(VLOOKUP($B40,Feature_List!$A:$AM,MATCH(BU$1,  Feature_List!$A$1:$AM$1,0),0)=M40,".","NO"))</f>
        <v>.</v>
      </c>
      <c r="BV40" s="136" t="str">
        <f>IF($D40&lt;&gt;"Feature",".",
IF(VLOOKUP($B40,Feature_List!$A:$AM,MATCH(BV$1,  Feature_List!$A$1:$AM$1,0),0)=N40,".","NO"))</f>
        <v>.</v>
      </c>
      <c r="BW40" s="136"/>
      <c r="BX40" s="136"/>
      <c r="BY40" s="136"/>
      <c r="BZ40" s="136"/>
      <c r="CA40" s="136"/>
      <c r="CB40" s="136" t="str">
        <f>IF($D40&lt;&gt;"Feature",".",
IF(VLOOKUP($B40,Feature_List!$A:$AM,MATCH(CB$1,  Feature_List!$A$1:$AM$1,0),0)=T40,".","NO"))</f>
        <v>.</v>
      </c>
      <c r="CC40" s="136"/>
      <c r="CD40" s="136"/>
      <c r="CE40" s="136"/>
      <c r="CF40" s="136"/>
      <c r="CG40" s="136"/>
      <c r="CH40" s="136"/>
      <c r="CI40" s="136"/>
      <c r="CJ40" s="136"/>
      <c r="CK40" s="136"/>
      <c r="CL40" s="136"/>
      <c r="CM40" s="136"/>
      <c r="CN40" s="136"/>
      <c r="CO40" s="136" t="str">
        <f>IF($D40&lt;&gt;"Feature",".",
IF(VLOOKUP($B40,Feature_List!$A:$AM,MATCH(CO$1,  Feature_List!$A$1:$AM$1,0),0)=AG40,".","NO"))</f>
        <v>.</v>
      </c>
      <c r="CP40" s="136" t="str">
        <f>IF($D40&lt;&gt;"Feature",".",
IF(VLOOKUP($B40,Feature_List!$A:$AM,MATCH(CP$1,  Feature_List!$A$1:$AM$1,0),0)=AH40,".","NO"))</f>
        <v>.</v>
      </c>
      <c r="CQ40" s="136" t="str">
        <f>IF($D40&lt;&gt;"Feature",".",
IF(VLOOKUP($B40,Feature_List!$A:$AM,MATCH(CQ$1,  Feature_List!$A$1:$AM$1,0),0)=AI40,".","NO"))</f>
        <v>.</v>
      </c>
      <c r="CR40" s="136" t="str">
        <f>IF($D40&lt;&gt;"Feature",".",
IF(VLOOKUP($B40,Feature_List!$A:$AM,MATCH(CR$1,  Feature_List!$A$1:$AM$1,0),0)=AJ40,".","NO"))</f>
        <v>.</v>
      </c>
      <c r="CS40" s="136" t="str">
        <f>IF($D40&lt;&gt;"Feature",".",
IF(VLOOKUP($B40,Feature_List!$A:$AM,MATCH(CS$1,  Feature_List!$A$1:$AM$1,0),0)=AK40,".","NO"))</f>
        <v>.</v>
      </c>
      <c r="CT40" s="136" t="str">
        <f>IF($D40&lt;&gt;"Feature",".",
IF(VLOOKUP($B40,Feature_List!$A:$AM,MATCH(CT$1,  Feature_List!$A$1:$AM$1,0),0)=AL40,".","NO"))</f>
        <v>.</v>
      </c>
      <c r="CU40" s="136" t="str">
        <f>IF($D40&lt;&gt;"Feature",".",
IF(VLOOKUP($B40,Feature_List!$A:$AM,MATCH(CU$1,  Feature_List!$A$1:$AM$1,0),0)=AM40,".","NO"))</f>
        <v>.</v>
      </c>
      <c r="CV40" s="136" t="str">
        <f>IF($D40&lt;&gt;"Feature",".",
IF(VLOOKUP($B40,Feature_List!$A:$AM,MATCH(CV$1,  Feature_List!$A$1:$AM$1,0),0)=AN40,".","NO"))</f>
        <v>.</v>
      </c>
      <c r="CW40" s="136" t="str">
        <f>IF($D40&lt;&gt;"Feature",".",
IF(VLOOKUP($B40,Feature_List!$A:$AM,MATCH(CW$1,  Feature_List!$A$1:$AM$1,0),0)=AO40,".","NO"))</f>
        <v>.</v>
      </c>
      <c r="CX40" s="136" t="str">
        <f>IF($D40&lt;&gt;"Feature",".",
IF(VLOOKUP($B40,Feature_List!$A:$AM,MATCH(CX$1,  Feature_List!$A$1:$AM$1,0),0)=AP40,".","NO"))</f>
        <v>.</v>
      </c>
      <c r="CY40" s="136" t="str">
        <f>IF($D40&lt;&gt;"Feature",".",
IF(VLOOKUP($B40,Feature_List!$A:$AM,MATCH(CY$1,  Feature_List!$A$1:$AM$1,0),0)=AQ40,".","NO"))</f>
        <v>.</v>
      </c>
      <c r="CZ40" s="136" t="str">
        <f>IF($D40&lt;&gt;"Feature",".",
IF(VLOOKUP($B40,Feature_List!$A:$AM,MATCH(CZ$1,  Feature_List!$A$1:$AM$1,0),0)=AR40,".","NO"))</f>
        <v>.</v>
      </c>
      <c r="DA40" s="136" t="str">
        <f>IF($D40&lt;&gt;"Feature",".",
IF(VLOOKUP($B40,Feature_List!$A:$AM,MATCH(DA$1,  Feature_List!$A$1:$AM$1,0),0)=AS40,".","NO"))</f>
        <v>.</v>
      </c>
      <c r="DB40" s="136" t="str">
        <f>IF($D40&lt;&gt;"Feature",".",
IF(VLOOKUP($B40,Feature_List!$A:$AM,MATCH(DB$1,  Feature_List!$A$1:$AM$1,0),0)=AT40,".","NO"))</f>
        <v>.</v>
      </c>
      <c r="DC40" s="136" t="str">
        <f>IF($D40&lt;&gt;"Feature",".",
IF(VLOOKUP($B40,Feature_List!$A:$AM,MATCH(DC$1,  Feature_List!$A$1:$AM$1,0),0)=AU40,".","NO"))</f>
        <v>.</v>
      </c>
      <c r="DD40" s="136" t="str">
        <f>IF($D40&lt;&gt;"Feature",".",
IF(VLOOKUP($B40,Feature_List!$A:$AM,MATCH(DD$1,  Feature_List!$A$1:$AM$1,0),0)=AV40,".","NO"))</f>
        <v>.</v>
      </c>
      <c r="DE40" s="136" t="str">
        <f>IF($D40&lt;&gt;"Feature",".",
IF(VLOOKUP($B40,Feature_List!$A:$AM,MATCH(DE$1,  Feature_List!$A$1:$AM$1,0),0)=AW40,".","NO"))</f>
        <v>.</v>
      </c>
      <c r="DF40" s="136" t="str">
        <f>IF($D40&lt;&gt;"Feature",".",
IF(VLOOKUP($B40,Feature_List!$A:$AM,MATCH(DF$1,  Feature_List!$A$1:$AM$1,0),0)=AX40,".","NO"))</f>
        <v>.</v>
      </c>
      <c r="DG40" s="136" t="str">
        <f>IF($D40&lt;&gt;"Feature",".",
IF(VLOOKUP($B40,Feature_List!$A:$AM,MATCH(DG$1,  Feature_List!$A$1:$AM$1,0),0)=AY40,".","NO"))</f>
        <v>.</v>
      </c>
      <c r="DH40" s="136" t="str">
        <f>IF($D40&lt;&gt;"Feature",".",
IF(VLOOKUP($B40,Feature_List!$A:$AM,MATCH(DH$1,  Feature_List!$A$1:$AM$1,0),0)=AZ40,".","NO"))</f>
        <v>.</v>
      </c>
      <c r="DI40" s="136" t="str">
        <f>IF($D40&lt;&gt;"Feature",".",
IF(VLOOKUP($B40,Feature_List!$A:$AM,MATCH(DI$1,  Feature_List!$A$1:$AM$1,0),0)=BA40,".","NO"))</f>
        <v>.</v>
      </c>
      <c r="DJ40" s="136" t="str">
        <f>IF($D40&lt;&gt;"Feature",".",
IF(VLOOKUP($B40,Feature_List!$A:$AM,MATCH(DJ$1,  Feature_List!$A$1:$AM$1,0),0)=BB40,".","NO"))</f>
        <v>.</v>
      </c>
      <c r="DK40" s="136"/>
      <c r="DL40" s="136"/>
      <c r="DM40" s="136"/>
      <c r="DN40" s="136" t="str">
        <f>IF($D40&lt;&gt;"Feature",".",
IF(VLOOKUP($B40,Feature_List!$A:$AM,MATCH(DN$1,  Feature_List!$A$1:$AM$1,0),0)=BC40,".","NO"))</f>
        <v>.</v>
      </c>
      <c r="DO40" s="136" t="str">
        <f>IF($D40&lt;&gt;"Feature",".",
IF(VLOOKUP($B40,Feature_List!$A:$AM,MATCH(DO$1,  Feature_List!$A$1:$AM$1,0),0)=BD40,".","NO"))</f>
        <v>.</v>
      </c>
    </row>
    <row r="41" spans="2:119" x14ac:dyDescent="0.3">
      <c r="B41" s="121">
        <v>374889</v>
      </c>
      <c r="C41" s="122" t="s">
        <v>604</v>
      </c>
      <c r="D41" s="122" t="s">
        <v>71</v>
      </c>
      <c r="E41" s="122" t="s">
        <v>708</v>
      </c>
      <c r="F41" s="138" t="s">
        <v>130</v>
      </c>
      <c r="G41" s="123" t="s">
        <v>130</v>
      </c>
      <c r="H41" s="122" t="s">
        <v>683</v>
      </c>
      <c r="I41" s="124" t="s">
        <v>562</v>
      </c>
      <c r="J41" s="138"/>
      <c r="K41" s="123">
        <v>0</v>
      </c>
      <c r="L41" s="122"/>
      <c r="M41" s="122" t="s">
        <v>362</v>
      </c>
      <c r="N41" s="125"/>
      <c r="O41" s="123">
        <f t="shared" si="0"/>
        <v>0</v>
      </c>
      <c r="P41" s="123" t="str">
        <f t="shared" si="1"/>
        <v>Invalid</v>
      </c>
      <c r="Q41" s="122" t="str">
        <f t="shared" si="24"/>
        <v>Story</v>
      </c>
      <c r="R41" s="126">
        <f t="shared" si="2"/>
        <v>318430</v>
      </c>
      <c r="S41" s="127">
        <f t="shared" si="3"/>
        <v>374889</v>
      </c>
      <c r="T41" s="128" t="e">
        <f>IF($Q41="ZeroEntry", "",VLOOKUP($I41,'Ranking Lookup'!#REF!,2,FALSE))</f>
        <v>#REF!</v>
      </c>
      <c r="U41" s="129" t="str">
        <f t="shared" si="4"/>
        <v/>
      </c>
      <c r="V41" s="129" t="str">
        <f t="shared" si="5"/>
        <v/>
      </c>
      <c r="W41" s="129" t="str">
        <f t="shared" si="6"/>
        <v/>
      </c>
      <c r="X41" s="129" t="str">
        <f t="shared" si="7"/>
        <v/>
      </c>
      <c r="Y41" s="129" t="str">
        <f t="shared" si="8"/>
        <v>Feature</v>
      </c>
      <c r="Z41" s="129" t="str">
        <f t="shared" si="9"/>
        <v/>
      </c>
      <c r="AA41" s="130"/>
      <c r="AB41" s="130" t="str">
        <f t="shared" si="10"/>
        <v>PI 12</v>
      </c>
      <c r="AC41" s="131">
        <f t="shared" si="25"/>
        <v>0</v>
      </c>
      <c r="AD41" s="131">
        <f t="shared" si="26"/>
        <v>0</v>
      </c>
      <c r="AE41" s="132">
        <f t="shared" si="11"/>
        <v>0</v>
      </c>
      <c r="AF41" s="133" t="str">
        <f t="shared" si="27"/>
        <v/>
      </c>
      <c r="AG41" s="134">
        <f t="shared" si="12"/>
        <v>0</v>
      </c>
      <c r="AH41" s="54" t="str">
        <f t="shared" si="13"/>
        <v/>
      </c>
      <c r="AI41" s="54" t="e">
        <f t="shared" si="32"/>
        <v>#REF!</v>
      </c>
      <c r="AJ41" s="54" t="e">
        <f t="shared" si="32"/>
        <v>#REF!</v>
      </c>
      <c r="AK41" s="54" t="e">
        <f t="shared" si="32"/>
        <v>#REF!</v>
      </c>
      <c r="AL41" s="54" t="e">
        <f t="shared" si="32"/>
        <v>#REF!</v>
      </c>
      <c r="AM41" s="54" t="e">
        <f t="shared" si="32"/>
        <v>#REF!</v>
      </c>
      <c r="AN41" s="54" t="e">
        <f t="shared" si="32"/>
        <v>#REF!</v>
      </c>
      <c r="AO41" s="54" t="e">
        <f t="shared" si="32"/>
        <v>#REF!</v>
      </c>
      <c r="AP41" s="54" t="e">
        <f t="shared" si="32"/>
        <v>#REF!</v>
      </c>
      <c r="AQ41" s="54" t="e">
        <f t="shared" si="32"/>
        <v>#REF!</v>
      </c>
      <c r="AR41" s="54" t="e">
        <f t="shared" si="32"/>
        <v>#REF!</v>
      </c>
      <c r="AS41" s="54" t="e">
        <f t="shared" si="32"/>
        <v>#REF!</v>
      </c>
      <c r="AT41" s="54" t="e">
        <f t="shared" si="32"/>
        <v>#REF!</v>
      </c>
      <c r="AU41" s="54" t="e">
        <f t="shared" si="32"/>
        <v>#REF!</v>
      </c>
      <c r="AV41" s="54" t="e">
        <f t="shared" si="32"/>
        <v>#REF!</v>
      </c>
      <c r="AW41" s="54" t="e">
        <f t="shared" si="32"/>
        <v>#REF!</v>
      </c>
      <c r="AX41" s="54" t="e">
        <f t="shared" si="32"/>
        <v>#REF!</v>
      </c>
      <c r="AY41" s="54" t="e">
        <f t="shared" si="15"/>
        <v>#REF!</v>
      </c>
      <c r="AZ41" s="54" t="str">
        <f t="shared" si="16"/>
        <v/>
      </c>
      <c r="BA41" s="54" t="e">
        <f t="shared" si="17"/>
        <v>#REF!</v>
      </c>
      <c r="BB41" s="135" t="str">
        <f t="shared" si="18"/>
        <v/>
      </c>
      <c r="BC41" s="54" t="e">
        <f t="shared" si="30"/>
        <v>#REF!</v>
      </c>
      <c r="BD41" s="54" t="e">
        <f t="shared" si="30"/>
        <v>#REF!</v>
      </c>
      <c r="BE41" s="54" t="e">
        <f t="shared" si="30"/>
        <v>#REF!</v>
      </c>
      <c r="BF41" s="54" t="str">
        <f t="shared" si="20"/>
        <v/>
      </c>
      <c r="BG41" s="54" t="str">
        <f t="shared" si="21"/>
        <v/>
      </c>
      <c r="BH41" s="34" t="e">
        <f t="shared" si="22"/>
        <v>#REF!</v>
      </c>
      <c r="BI41" s="34" t="e">
        <f t="shared" si="23"/>
        <v>#REF!</v>
      </c>
      <c r="BJ41" s="136" t="str">
        <f>IF($D41&lt;&gt;"Feature",".",
IF(VLOOKUP($B41,Feature_List!$A:$AM,MATCH(BJ$1,  Feature_List!$A$1:$AM$1,0),0)=B41,".","NO"))</f>
        <v>.</v>
      </c>
      <c r="BK41" s="136"/>
      <c r="BL41" s="136"/>
      <c r="BM41" s="136" t="str">
        <f>IF($D41&lt;&gt;"Feature",".",
IF(VLOOKUP($B41,Feature_List!$A:$AM,MATCH(BM$1,  Feature_List!$A$1:$AM$1,0),0)=E41,".","NO"))</f>
        <v>.</v>
      </c>
      <c r="BN41" s="136" t="str">
        <f>IF($D41&lt;&gt;"Feature",".",
IF(VLOOKUP($B41,Feature_List!$A:$AM,MATCH(BN$1,  Feature_List!$A$1:$AM$1,0),0)=F41,".","NO"))</f>
        <v>.</v>
      </c>
      <c r="BO41" s="136" t="str">
        <f>IF($D41&lt;&gt;"Feature",".",
IF(VLOOKUP($B41,Feature_List!$A:$AM,MATCH(BO$1,  Feature_List!$A$1:$AM$1,0),0)=G41,".","NO"))</f>
        <v>.</v>
      </c>
      <c r="BP41" s="136" t="str">
        <f>IF($D41&lt;&gt;"Feature",".",
IF(VLOOKUP($B41,Feature_List!$A:$AM,MATCH(BP$1,  Feature_List!$A$1:$AM$1,0),0)=H41,".","NO"))</f>
        <v>.</v>
      </c>
      <c r="BQ41" s="136"/>
      <c r="BR41" s="136" t="str">
        <f>IF($D41&lt;&gt;"Feature",".",
IF(VLOOKUP($B41,Feature_List!$A:$AM,MATCH(BR$1,  Feature_List!$A$1:$AM$1,0),0)=J41,".","NO"))</f>
        <v>.</v>
      </c>
      <c r="BS41" s="136"/>
      <c r="BT41" s="136"/>
      <c r="BU41" s="136" t="str">
        <f>IF($D41&lt;&gt;"Feature",".",
IF(VLOOKUP($B41,Feature_List!$A:$AM,MATCH(BU$1,  Feature_List!$A$1:$AM$1,0),0)=M41,".","NO"))</f>
        <v>.</v>
      </c>
      <c r="BV41" s="136" t="str">
        <f>IF($D41&lt;&gt;"Feature",".",
IF(VLOOKUP($B41,Feature_List!$A:$AM,MATCH(BV$1,  Feature_List!$A$1:$AM$1,0),0)=N41,".","NO"))</f>
        <v>.</v>
      </c>
      <c r="BW41" s="136"/>
      <c r="BX41" s="136"/>
      <c r="BY41" s="136"/>
      <c r="BZ41" s="136"/>
      <c r="CA41" s="136"/>
      <c r="CB41" s="136" t="str">
        <f>IF($D41&lt;&gt;"Feature",".",
IF(VLOOKUP($B41,Feature_List!$A:$AM,MATCH(CB$1,  Feature_List!$A$1:$AM$1,0),0)=T41,".","NO"))</f>
        <v>.</v>
      </c>
      <c r="CC41" s="136"/>
      <c r="CD41" s="136"/>
      <c r="CE41" s="136"/>
      <c r="CF41" s="136"/>
      <c r="CG41" s="136"/>
      <c r="CH41" s="136"/>
      <c r="CI41" s="136"/>
      <c r="CJ41" s="136"/>
      <c r="CK41" s="136"/>
      <c r="CL41" s="136"/>
      <c r="CM41" s="136"/>
      <c r="CN41" s="136"/>
      <c r="CO41" s="136" t="str">
        <f>IF($D41&lt;&gt;"Feature",".",
IF(VLOOKUP($B41,Feature_List!$A:$AM,MATCH(CO$1,  Feature_List!$A$1:$AM$1,0),0)=AG41,".","NO"))</f>
        <v>.</v>
      </c>
      <c r="CP41" s="136" t="str">
        <f>IF($D41&lt;&gt;"Feature",".",
IF(VLOOKUP($B41,Feature_List!$A:$AM,MATCH(CP$1,  Feature_List!$A$1:$AM$1,0),0)=AH41,".","NO"))</f>
        <v>.</v>
      </c>
      <c r="CQ41" s="136" t="str">
        <f>IF($D41&lt;&gt;"Feature",".",
IF(VLOOKUP($B41,Feature_List!$A:$AM,MATCH(CQ$1,  Feature_List!$A$1:$AM$1,0),0)=AI41,".","NO"))</f>
        <v>.</v>
      </c>
      <c r="CR41" s="136" t="str">
        <f>IF($D41&lt;&gt;"Feature",".",
IF(VLOOKUP($B41,Feature_List!$A:$AM,MATCH(CR$1,  Feature_List!$A$1:$AM$1,0),0)=AJ41,".","NO"))</f>
        <v>.</v>
      </c>
      <c r="CS41" s="136" t="str">
        <f>IF($D41&lt;&gt;"Feature",".",
IF(VLOOKUP($B41,Feature_List!$A:$AM,MATCH(CS$1,  Feature_List!$A$1:$AM$1,0),0)=AK41,".","NO"))</f>
        <v>.</v>
      </c>
      <c r="CT41" s="136" t="str">
        <f>IF($D41&lt;&gt;"Feature",".",
IF(VLOOKUP($B41,Feature_List!$A:$AM,MATCH(CT$1,  Feature_List!$A$1:$AM$1,0),0)=AL41,".","NO"))</f>
        <v>.</v>
      </c>
      <c r="CU41" s="136" t="str">
        <f>IF($D41&lt;&gt;"Feature",".",
IF(VLOOKUP($B41,Feature_List!$A:$AM,MATCH(CU$1,  Feature_List!$A$1:$AM$1,0),0)=AM41,".","NO"))</f>
        <v>.</v>
      </c>
      <c r="CV41" s="136" t="str">
        <f>IF($D41&lt;&gt;"Feature",".",
IF(VLOOKUP($B41,Feature_List!$A:$AM,MATCH(CV$1,  Feature_List!$A$1:$AM$1,0),0)=AN41,".","NO"))</f>
        <v>.</v>
      </c>
      <c r="CW41" s="136" t="str">
        <f>IF($D41&lt;&gt;"Feature",".",
IF(VLOOKUP($B41,Feature_List!$A:$AM,MATCH(CW$1,  Feature_List!$A$1:$AM$1,0),0)=AO41,".","NO"))</f>
        <v>.</v>
      </c>
      <c r="CX41" s="136" t="str">
        <f>IF($D41&lt;&gt;"Feature",".",
IF(VLOOKUP($B41,Feature_List!$A:$AM,MATCH(CX$1,  Feature_List!$A$1:$AM$1,0),0)=AP41,".","NO"))</f>
        <v>.</v>
      </c>
      <c r="CY41" s="136" t="str">
        <f>IF($D41&lt;&gt;"Feature",".",
IF(VLOOKUP($B41,Feature_List!$A:$AM,MATCH(CY$1,  Feature_List!$A$1:$AM$1,0),0)=AQ41,".","NO"))</f>
        <v>.</v>
      </c>
      <c r="CZ41" s="136" t="str">
        <f>IF($D41&lt;&gt;"Feature",".",
IF(VLOOKUP($B41,Feature_List!$A:$AM,MATCH(CZ$1,  Feature_List!$A$1:$AM$1,0),0)=AR41,".","NO"))</f>
        <v>.</v>
      </c>
      <c r="DA41" s="136" t="str">
        <f>IF($D41&lt;&gt;"Feature",".",
IF(VLOOKUP($B41,Feature_List!$A:$AM,MATCH(DA$1,  Feature_List!$A$1:$AM$1,0),0)=AS41,".","NO"))</f>
        <v>.</v>
      </c>
      <c r="DB41" s="136" t="str">
        <f>IF($D41&lt;&gt;"Feature",".",
IF(VLOOKUP($B41,Feature_List!$A:$AM,MATCH(DB$1,  Feature_List!$A$1:$AM$1,0),0)=AT41,".","NO"))</f>
        <v>.</v>
      </c>
      <c r="DC41" s="136" t="str">
        <f>IF($D41&lt;&gt;"Feature",".",
IF(VLOOKUP($B41,Feature_List!$A:$AM,MATCH(DC$1,  Feature_List!$A$1:$AM$1,0),0)=AU41,".","NO"))</f>
        <v>.</v>
      </c>
      <c r="DD41" s="136" t="str">
        <f>IF($D41&lt;&gt;"Feature",".",
IF(VLOOKUP($B41,Feature_List!$A:$AM,MATCH(DD$1,  Feature_List!$A$1:$AM$1,0),0)=AV41,".","NO"))</f>
        <v>.</v>
      </c>
      <c r="DE41" s="136" t="str">
        <f>IF($D41&lt;&gt;"Feature",".",
IF(VLOOKUP($B41,Feature_List!$A:$AM,MATCH(DE$1,  Feature_List!$A$1:$AM$1,0),0)=AW41,".","NO"))</f>
        <v>.</v>
      </c>
      <c r="DF41" s="136" t="str">
        <f>IF($D41&lt;&gt;"Feature",".",
IF(VLOOKUP($B41,Feature_List!$A:$AM,MATCH(DF$1,  Feature_List!$A$1:$AM$1,0),0)=AX41,".","NO"))</f>
        <v>.</v>
      </c>
      <c r="DG41" s="136" t="str">
        <f>IF($D41&lt;&gt;"Feature",".",
IF(VLOOKUP($B41,Feature_List!$A:$AM,MATCH(DG$1,  Feature_List!$A$1:$AM$1,0),0)=AY41,".","NO"))</f>
        <v>.</v>
      </c>
      <c r="DH41" s="136" t="str">
        <f>IF($D41&lt;&gt;"Feature",".",
IF(VLOOKUP($B41,Feature_List!$A:$AM,MATCH(DH$1,  Feature_List!$A$1:$AM$1,0),0)=AZ41,".","NO"))</f>
        <v>.</v>
      </c>
      <c r="DI41" s="136" t="str">
        <f>IF($D41&lt;&gt;"Feature",".",
IF(VLOOKUP($B41,Feature_List!$A:$AM,MATCH(DI$1,  Feature_List!$A$1:$AM$1,0),0)=BA41,".","NO"))</f>
        <v>.</v>
      </c>
      <c r="DJ41" s="136" t="str">
        <f>IF($D41&lt;&gt;"Feature",".",
IF(VLOOKUP($B41,Feature_List!$A:$AM,MATCH(DJ$1,  Feature_List!$A$1:$AM$1,0),0)=BB41,".","NO"))</f>
        <v>.</v>
      </c>
      <c r="DK41" s="136"/>
      <c r="DL41" s="136"/>
      <c r="DM41" s="136"/>
      <c r="DN41" s="136" t="str">
        <f>IF($D41&lt;&gt;"Feature",".",
IF(VLOOKUP($B41,Feature_List!$A:$AM,MATCH(DN$1,  Feature_List!$A$1:$AM$1,0),0)=BC41,".","NO"))</f>
        <v>.</v>
      </c>
      <c r="DO41" s="136" t="str">
        <f>IF($D41&lt;&gt;"Feature",".",
IF(VLOOKUP($B41,Feature_List!$A:$AM,MATCH(DO$1,  Feature_List!$A$1:$AM$1,0),0)=BD41,".","NO"))</f>
        <v>.</v>
      </c>
    </row>
    <row r="42" spans="2:119" x14ac:dyDescent="0.3">
      <c r="B42" s="121">
        <v>374887</v>
      </c>
      <c r="C42" s="122" t="s">
        <v>604</v>
      </c>
      <c r="D42" s="122" t="s">
        <v>71</v>
      </c>
      <c r="E42" s="122" t="s">
        <v>709</v>
      </c>
      <c r="F42" s="138" t="s">
        <v>641</v>
      </c>
      <c r="G42" s="123" t="s">
        <v>641</v>
      </c>
      <c r="H42" s="122" t="s">
        <v>70</v>
      </c>
      <c r="I42" s="124" t="s">
        <v>128</v>
      </c>
      <c r="J42" s="138"/>
      <c r="K42" s="123">
        <v>1</v>
      </c>
      <c r="L42" s="122"/>
      <c r="M42" s="122" t="s">
        <v>630</v>
      </c>
      <c r="N42" s="125"/>
      <c r="O42" s="123">
        <f t="shared" si="0"/>
        <v>1</v>
      </c>
      <c r="P42" s="123" t="str">
        <f t="shared" si="1"/>
        <v>New</v>
      </c>
      <c r="Q42" s="122" t="str">
        <f t="shared" si="24"/>
        <v>Story</v>
      </c>
      <c r="R42" s="126">
        <f t="shared" si="2"/>
        <v>318430</v>
      </c>
      <c r="S42" s="127">
        <f t="shared" si="3"/>
        <v>374887</v>
      </c>
      <c r="T42" s="128" t="e">
        <f>IF($Q42="ZeroEntry", "",VLOOKUP($I42,'Ranking Lookup'!#REF!,2,FALSE))</f>
        <v>#REF!</v>
      </c>
      <c r="U42" s="129" t="str">
        <f t="shared" si="4"/>
        <v/>
      </c>
      <c r="V42" s="129" t="str">
        <f t="shared" si="5"/>
        <v/>
      </c>
      <c r="W42" s="129" t="str">
        <f t="shared" si="6"/>
        <v/>
      </c>
      <c r="X42" s="129" t="str">
        <f t="shared" si="7"/>
        <v/>
      </c>
      <c r="Y42" s="129" t="str">
        <f t="shared" si="8"/>
        <v>Feature</v>
      </c>
      <c r="Z42" s="129" t="str">
        <f t="shared" si="9"/>
        <v/>
      </c>
      <c r="AA42" s="130"/>
      <c r="AB42" s="130" t="str">
        <f t="shared" si="10"/>
        <v>PI 12</v>
      </c>
      <c r="AC42" s="131">
        <f t="shared" si="25"/>
        <v>1</v>
      </c>
      <c r="AD42" s="131">
        <f t="shared" si="26"/>
        <v>0</v>
      </c>
      <c r="AE42" s="132">
        <f t="shared" si="11"/>
        <v>0</v>
      </c>
      <c r="AF42" s="133" t="str">
        <f t="shared" si="27"/>
        <v/>
      </c>
      <c r="AG42" s="134">
        <f t="shared" si="12"/>
        <v>0</v>
      </c>
      <c r="AH42" s="54" t="str">
        <f t="shared" si="13"/>
        <v/>
      </c>
      <c r="AI42" s="54" t="e">
        <f t="shared" si="32"/>
        <v>#REF!</v>
      </c>
      <c r="AJ42" s="54" t="e">
        <f t="shared" si="32"/>
        <v>#REF!</v>
      </c>
      <c r="AK42" s="54" t="e">
        <f t="shared" si="32"/>
        <v>#REF!</v>
      </c>
      <c r="AL42" s="54" t="e">
        <f t="shared" si="32"/>
        <v>#REF!</v>
      </c>
      <c r="AM42" s="54" t="e">
        <f t="shared" si="32"/>
        <v>#REF!</v>
      </c>
      <c r="AN42" s="54" t="e">
        <f t="shared" si="32"/>
        <v>#REF!</v>
      </c>
      <c r="AO42" s="54" t="e">
        <f t="shared" si="32"/>
        <v>#REF!</v>
      </c>
      <c r="AP42" s="54" t="e">
        <f t="shared" si="32"/>
        <v>#REF!</v>
      </c>
      <c r="AQ42" s="54" t="e">
        <f t="shared" si="32"/>
        <v>#REF!</v>
      </c>
      <c r="AR42" s="54" t="e">
        <f t="shared" si="32"/>
        <v>#REF!</v>
      </c>
      <c r="AS42" s="54" t="e">
        <f t="shared" si="32"/>
        <v>#REF!</v>
      </c>
      <c r="AT42" s="54" t="e">
        <f t="shared" si="32"/>
        <v>#REF!</v>
      </c>
      <c r="AU42" s="54" t="e">
        <f t="shared" si="32"/>
        <v>#REF!</v>
      </c>
      <c r="AV42" s="54" t="e">
        <f t="shared" si="32"/>
        <v>#REF!</v>
      </c>
      <c r="AW42" s="54" t="e">
        <f t="shared" si="32"/>
        <v>#REF!</v>
      </c>
      <c r="AX42" s="54" t="e">
        <f t="shared" si="32"/>
        <v>#REF!</v>
      </c>
      <c r="AY42" s="54" t="e">
        <f t="shared" si="15"/>
        <v>#REF!</v>
      </c>
      <c r="AZ42" s="54" t="str">
        <f t="shared" si="16"/>
        <v/>
      </c>
      <c r="BA42" s="54" t="e">
        <f t="shared" si="17"/>
        <v>#REF!</v>
      </c>
      <c r="BB42" s="135" t="str">
        <f t="shared" si="18"/>
        <v/>
      </c>
      <c r="BC42" s="54" t="e">
        <f t="shared" ref="BC42:BE61" si="33">IF(AND($Q42="Feature",LEFT($AB42,2)="PI"),
IF(AND(COUNTIF($R:$R,$B42)=1,$T42=BC$1), IF($AB42=$A$10,$AF42,0),
IF(OR($AD42&lt;1,RIGHT($G42,8)="Progress"),SUMIFS($O:$O,$R:$R,$B42,$T:$T,BC$1,$P:$P,"&lt;&gt;Done",$AB:$AB,$A$10),
IF($T42=BC$1, IF($AB42=$A$10,$AD42,0)+SUMIFS($O:$O,$R:$R,$B42,$T:$T,BC$1,$P:$P,"&lt;&gt;Done",$AB:$AB,$A$10),SUMIFS($O:$O,$R:$R,$B42,$T:$T,BC$1,$P:$P,"&lt;&gt;Done",$AB:$AB,$A$10)))),
IF(AND(OR($Q42="Story",$Q42="Problem",$Q42="Enhancement"),$AB42=$A$10,$R42=0,$T42=BC$1,$P42&lt;&gt;"Done"),$O42,""))</f>
        <v>#REF!</v>
      </c>
      <c r="BD42" s="54" t="e">
        <f t="shared" si="33"/>
        <v>#REF!</v>
      </c>
      <c r="BE42" s="54" t="e">
        <f t="shared" si="33"/>
        <v>#REF!</v>
      </c>
      <c r="BF42" s="54" t="str">
        <f t="shared" si="20"/>
        <v/>
      </c>
      <c r="BG42" s="54" t="str">
        <f t="shared" si="21"/>
        <v/>
      </c>
      <c r="BH42" s="34" t="e">
        <f t="shared" si="22"/>
        <v>#REF!</v>
      </c>
      <c r="BI42" s="34" t="e">
        <f t="shared" si="23"/>
        <v>#REF!</v>
      </c>
      <c r="BJ42" s="136" t="str">
        <f>IF($D42&lt;&gt;"Feature",".",
IF(VLOOKUP($B42,Feature_List!$A:$AM,MATCH(BJ$1,  Feature_List!$A$1:$AM$1,0),0)=B42,".","NO"))</f>
        <v>.</v>
      </c>
      <c r="BK42" s="136"/>
      <c r="BL42" s="136"/>
      <c r="BM42" s="136" t="str">
        <f>IF($D42&lt;&gt;"Feature",".",
IF(VLOOKUP($B42,Feature_List!$A:$AM,MATCH(BM$1,  Feature_List!$A$1:$AM$1,0),0)=E42,".","NO"))</f>
        <v>.</v>
      </c>
      <c r="BN42" s="136" t="str">
        <f>IF($D42&lt;&gt;"Feature",".",
IF(VLOOKUP($B42,Feature_List!$A:$AM,MATCH(BN$1,  Feature_List!$A$1:$AM$1,0),0)=F42,".","NO"))</f>
        <v>.</v>
      </c>
      <c r="BO42" s="136" t="str">
        <f>IF($D42&lt;&gt;"Feature",".",
IF(VLOOKUP($B42,Feature_List!$A:$AM,MATCH(BO$1,  Feature_List!$A$1:$AM$1,0),0)=G42,".","NO"))</f>
        <v>.</v>
      </c>
      <c r="BP42" s="136" t="str">
        <f>IF($D42&lt;&gt;"Feature",".",
IF(VLOOKUP($B42,Feature_List!$A:$AM,MATCH(BP$1,  Feature_List!$A$1:$AM$1,0),0)=H42,".","NO"))</f>
        <v>.</v>
      </c>
      <c r="BQ42" s="136"/>
      <c r="BR42" s="136" t="str">
        <f>IF($D42&lt;&gt;"Feature",".",
IF(VLOOKUP($B42,Feature_List!$A:$AM,MATCH(BR$1,  Feature_List!$A$1:$AM$1,0),0)=J42,".","NO"))</f>
        <v>.</v>
      </c>
      <c r="BS42" s="136"/>
      <c r="BT42" s="136"/>
      <c r="BU42" s="136" t="str">
        <f>IF($D42&lt;&gt;"Feature",".",
IF(VLOOKUP($B42,Feature_List!$A:$AM,MATCH(BU$1,  Feature_List!$A$1:$AM$1,0),0)=M42,".","NO"))</f>
        <v>.</v>
      </c>
      <c r="BV42" s="136" t="str">
        <f>IF($D42&lt;&gt;"Feature",".",
IF(VLOOKUP($B42,Feature_List!$A:$AM,MATCH(BV$1,  Feature_List!$A$1:$AM$1,0),0)=N42,".","NO"))</f>
        <v>.</v>
      </c>
      <c r="BW42" s="136"/>
      <c r="BX42" s="136"/>
      <c r="BY42" s="136"/>
      <c r="BZ42" s="136"/>
      <c r="CA42" s="136"/>
      <c r="CB42" s="136" t="str">
        <f>IF($D42&lt;&gt;"Feature",".",
IF(VLOOKUP($B42,Feature_List!$A:$AM,MATCH(CB$1,  Feature_List!$A$1:$AM$1,0),0)=T42,".","NO"))</f>
        <v>.</v>
      </c>
      <c r="CC42" s="136"/>
      <c r="CD42" s="136"/>
      <c r="CE42" s="136"/>
      <c r="CF42" s="136"/>
      <c r="CG42" s="136"/>
      <c r="CH42" s="136"/>
      <c r="CI42" s="136"/>
      <c r="CJ42" s="136"/>
      <c r="CK42" s="136"/>
      <c r="CL42" s="136"/>
      <c r="CM42" s="136"/>
      <c r="CN42" s="136"/>
      <c r="CO42" s="136" t="str">
        <f>IF($D42&lt;&gt;"Feature",".",
IF(VLOOKUP($B42,Feature_List!$A:$AM,MATCH(CO$1,  Feature_List!$A$1:$AM$1,0),0)=AG42,".","NO"))</f>
        <v>.</v>
      </c>
      <c r="CP42" s="136" t="str">
        <f>IF($D42&lt;&gt;"Feature",".",
IF(VLOOKUP($B42,Feature_List!$A:$AM,MATCH(CP$1,  Feature_List!$A$1:$AM$1,0),0)=AH42,".","NO"))</f>
        <v>.</v>
      </c>
      <c r="CQ42" s="136" t="str">
        <f>IF($D42&lt;&gt;"Feature",".",
IF(VLOOKUP($B42,Feature_List!$A:$AM,MATCH(CQ$1,  Feature_List!$A$1:$AM$1,0),0)=AI42,".","NO"))</f>
        <v>.</v>
      </c>
      <c r="CR42" s="136" t="str">
        <f>IF($D42&lt;&gt;"Feature",".",
IF(VLOOKUP($B42,Feature_List!$A:$AM,MATCH(CR$1,  Feature_List!$A$1:$AM$1,0),0)=AJ42,".","NO"))</f>
        <v>.</v>
      </c>
      <c r="CS42" s="136" t="str">
        <f>IF($D42&lt;&gt;"Feature",".",
IF(VLOOKUP($B42,Feature_List!$A:$AM,MATCH(CS$1,  Feature_List!$A$1:$AM$1,0),0)=AK42,".","NO"))</f>
        <v>.</v>
      </c>
      <c r="CT42" s="136" t="str">
        <f>IF($D42&lt;&gt;"Feature",".",
IF(VLOOKUP($B42,Feature_List!$A:$AM,MATCH(CT$1,  Feature_List!$A$1:$AM$1,0),0)=AL42,".","NO"))</f>
        <v>.</v>
      </c>
      <c r="CU42" s="136" t="str">
        <f>IF($D42&lt;&gt;"Feature",".",
IF(VLOOKUP($B42,Feature_List!$A:$AM,MATCH(CU$1,  Feature_List!$A$1:$AM$1,0),0)=AM42,".","NO"))</f>
        <v>.</v>
      </c>
      <c r="CV42" s="136" t="str">
        <f>IF($D42&lt;&gt;"Feature",".",
IF(VLOOKUP($B42,Feature_List!$A:$AM,MATCH(CV$1,  Feature_List!$A$1:$AM$1,0),0)=AN42,".","NO"))</f>
        <v>.</v>
      </c>
      <c r="CW42" s="136" t="str">
        <f>IF($D42&lt;&gt;"Feature",".",
IF(VLOOKUP($B42,Feature_List!$A:$AM,MATCH(CW$1,  Feature_List!$A$1:$AM$1,0),0)=AO42,".","NO"))</f>
        <v>.</v>
      </c>
      <c r="CX42" s="136" t="str">
        <f>IF($D42&lt;&gt;"Feature",".",
IF(VLOOKUP($B42,Feature_List!$A:$AM,MATCH(CX$1,  Feature_List!$A$1:$AM$1,0),0)=AP42,".","NO"))</f>
        <v>.</v>
      </c>
      <c r="CY42" s="136" t="str">
        <f>IF($D42&lt;&gt;"Feature",".",
IF(VLOOKUP($B42,Feature_List!$A:$AM,MATCH(CY$1,  Feature_List!$A$1:$AM$1,0),0)=AQ42,".","NO"))</f>
        <v>.</v>
      </c>
      <c r="CZ42" s="136" t="str">
        <f>IF($D42&lt;&gt;"Feature",".",
IF(VLOOKUP($B42,Feature_List!$A:$AM,MATCH(CZ$1,  Feature_List!$A$1:$AM$1,0),0)=AR42,".","NO"))</f>
        <v>.</v>
      </c>
      <c r="DA42" s="136" t="str">
        <f>IF($D42&lt;&gt;"Feature",".",
IF(VLOOKUP($B42,Feature_List!$A:$AM,MATCH(DA$1,  Feature_List!$A$1:$AM$1,0),0)=AS42,".","NO"))</f>
        <v>.</v>
      </c>
      <c r="DB42" s="136" t="str">
        <f>IF($D42&lt;&gt;"Feature",".",
IF(VLOOKUP($B42,Feature_List!$A:$AM,MATCH(DB$1,  Feature_List!$A$1:$AM$1,0),0)=AT42,".","NO"))</f>
        <v>.</v>
      </c>
      <c r="DC42" s="136" t="str">
        <f>IF($D42&lt;&gt;"Feature",".",
IF(VLOOKUP($B42,Feature_List!$A:$AM,MATCH(DC$1,  Feature_List!$A$1:$AM$1,0),0)=AU42,".","NO"))</f>
        <v>.</v>
      </c>
      <c r="DD42" s="136" t="str">
        <f>IF($D42&lt;&gt;"Feature",".",
IF(VLOOKUP($B42,Feature_List!$A:$AM,MATCH(DD$1,  Feature_List!$A$1:$AM$1,0),0)=AV42,".","NO"))</f>
        <v>.</v>
      </c>
      <c r="DE42" s="136" t="str">
        <f>IF($D42&lt;&gt;"Feature",".",
IF(VLOOKUP($B42,Feature_List!$A:$AM,MATCH(DE$1,  Feature_List!$A$1:$AM$1,0),0)=AW42,".","NO"))</f>
        <v>.</v>
      </c>
      <c r="DF42" s="136" t="str">
        <f>IF($D42&lt;&gt;"Feature",".",
IF(VLOOKUP($B42,Feature_List!$A:$AM,MATCH(DF$1,  Feature_List!$A$1:$AM$1,0),0)=AX42,".","NO"))</f>
        <v>.</v>
      </c>
      <c r="DG42" s="136" t="str">
        <f>IF($D42&lt;&gt;"Feature",".",
IF(VLOOKUP($B42,Feature_List!$A:$AM,MATCH(DG$1,  Feature_List!$A$1:$AM$1,0),0)=AY42,".","NO"))</f>
        <v>.</v>
      </c>
      <c r="DH42" s="136" t="str">
        <f>IF($D42&lt;&gt;"Feature",".",
IF(VLOOKUP($B42,Feature_List!$A:$AM,MATCH(DH$1,  Feature_List!$A$1:$AM$1,0),0)=AZ42,".","NO"))</f>
        <v>.</v>
      </c>
      <c r="DI42" s="136" t="str">
        <f>IF($D42&lt;&gt;"Feature",".",
IF(VLOOKUP($B42,Feature_List!$A:$AM,MATCH(DI$1,  Feature_List!$A$1:$AM$1,0),0)=BA42,".","NO"))</f>
        <v>.</v>
      </c>
      <c r="DJ42" s="136" t="str">
        <f>IF($D42&lt;&gt;"Feature",".",
IF(VLOOKUP($B42,Feature_List!$A:$AM,MATCH(DJ$1,  Feature_List!$A$1:$AM$1,0),0)=BB42,".","NO"))</f>
        <v>.</v>
      </c>
      <c r="DK42" s="136"/>
      <c r="DL42" s="136"/>
      <c r="DM42" s="136"/>
      <c r="DN42" s="136" t="str">
        <f>IF($D42&lt;&gt;"Feature",".",
IF(VLOOKUP($B42,Feature_List!$A:$AM,MATCH(DN$1,  Feature_List!$A$1:$AM$1,0),0)=BC42,".","NO"))</f>
        <v>.</v>
      </c>
      <c r="DO42" s="136" t="str">
        <f>IF($D42&lt;&gt;"Feature",".",
IF(VLOOKUP($B42,Feature_List!$A:$AM,MATCH(DO$1,  Feature_List!$A$1:$AM$1,0),0)=BD42,".","NO"))</f>
        <v>.</v>
      </c>
    </row>
    <row r="43" spans="2:119" x14ac:dyDescent="0.3">
      <c r="B43" s="121">
        <v>374886</v>
      </c>
      <c r="C43" s="122" t="s">
        <v>604</v>
      </c>
      <c r="D43" s="122" t="s">
        <v>71</v>
      </c>
      <c r="E43" s="122" t="s">
        <v>710</v>
      </c>
      <c r="F43" s="138" t="s">
        <v>657</v>
      </c>
      <c r="G43" s="123" t="s">
        <v>657</v>
      </c>
      <c r="H43" s="122" t="s">
        <v>70</v>
      </c>
      <c r="I43" s="124" t="s">
        <v>562</v>
      </c>
      <c r="J43" s="138"/>
      <c r="K43" s="123">
        <v>3</v>
      </c>
      <c r="L43" s="122"/>
      <c r="M43" s="122" t="s">
        <v>671</v>
      </c>
      <c r="N43" s="125"/>
      <c r="O43" s="123">
        <f t="shared" si="0"/>
        <v>3</v>
      </c>
      <c r="P43" s="123" t="str">
        <f t="shared" si="1"/>
        <v>New</v>
      </c>
      <c r="Q43" s="122" t="str">
        <f t="shared" si="24"/>
        <v>Story</v>
      </c>
      <c r="R43" s="126">
        <f t="shared" si="2"/>
        <v>318430</v>
      </c>
      <c r="S43" s="127">
        <f t="shared" si="3"/>
        <v>374886</v>
      </c>
      <c r="T43" s="128" t="e">
        <f>IF($Q43="ZeroEntry", "",VLOOKUP($I43,'Ranking Lookup'!#REF!,2,FALSE))</f>
        <v>#REF!</v>
      </c>
      <c r="U43" s="129" t="str">
        <f t="shared" si="4"/>
        <v/>
      </c>
      <c r="V43" s="129" t="str">
        <f t="shared" si="5"/>
        <v/>
      </c>
      <c r="W43" s="129" t="str">
        <f t="shared" si="6"/>
        <v/>
      </c>
      <c r="X43" s="129" t="str">
        <f t="shared" si="7"/>
        <v/>
      </c>
      <c r="Y43" s="129" t="str">
        <f t="shared" si="8"/>
        <v>Feature</v>
      </c>
      <c r="Z43" s="129" t="str">
        <f t="shared" si="9"/>
        <v/>
      </c>
      <c r="AA43" s="130"/>
      <c r="AB43" s="130" t="str">
        <f t="shared" si="10"/>
        <v>PI 12</v>
      </c>
      <c r="AC43" s="131">
        <f t="shared" si="25"/>
        <v>3</v>
      </c>
      <c r="AD43" s="131">
        <f t="shared" si="26"/>
        <v>0</v>
      </c>
      <c r="AE43" s="132">
        <f t="shared" si="11"/>
        <v>0</v>
      </c>
      <c r="AF43" s="133" t="str">
        <f t="shared" si="27"/>
        <v/>
      </c>
      <c r="AG43" s="134">
        <f t="shared" si="12"/>
        <v>0</v>
      </c>
      <c r="AH43" s="54" t="str">
        <f t="shared" si="13"/>
        <v/>
      </c>
      <c r="AI43" s="54" t="e">
        <f t="shared" si="32"/>
        <v>#REF!</v>
      </c>
      <c r="AJ43" s="54" t="e">
        <f t="shared" si="32"/>
        <v>#REF!</v>
      </c>
      <c r="AK43" s="54" t="e">
        <f t="shared" si="32"/>
        <v>#REF!</v>
      </c>
      <c r="AL43" s="54" t="e">
        <f t="shared" si="32"/>
        <v>#REF!</v>
      </c>
      <c r="AM43" s="54" t="e">
        <f t="shared" si="32"/>
        <v>#REF!</v>
      </c>
      <c r="AN43" s="54" t="e">
        <f t="shared" si="32"/>
        <v>#REF!</v>
      </c>
      <c r="AO43" s="54" t="e">
        <f t="shared" si="32"/>
        <v>#REF!</v>
      </c>
      <c r="AP43" s="54" t="e">
        <f t="shared" si="32"/>
        <v>#REF!</v>
      </c>
      <c r="AQ43" s="54" t="e">
        <f t="shared" si="32"/>
        <v>#REF!</v>
      </c>
      <c r="AR43" s="54" t="e">
        <f t="shared" si="32"/>
        <v>#REF!</v>
      </c>
      <c r="AS43" s="54" t="e">
        <f t="shared" si="32"/>
        <v>#REF!</v>
      </c>
      <c r="AT43" s="54" t="e">
        <f t="shared" si="32"/>
        <v>#REF!</v>
      </c>
      <c r="AU43" s="54" t="e">
        <f t="shared" si="32"/>
        <v>#REF!</v>
      </c>
      <c r="AV43" s="54" t="e">
        <f t="shared" si="32"/>
        <v>#REF!</v>
      </c>
      <c r="AW43" s="54" t="e">
        <f t="shared" si="32"/>
        <v>#REF!</v>
      </c>
      <c r="AX43" s="54" t="e">
        <f t="shared" si="32"/>
        <v>#REF!</v>
      </c>
      <c r="AY43" s="54" t="e">
        <f t="shared" si="15"/>
        <v>#REF!</v>
      </c>
      <c r="AZ43" s="54" t="str">
        <f t="shared" si="16"/>
        <v/>
      </c>
      <c r="BA43" s="54" t="e">
        <f t="shared" si="17"/>
        <v>#REF!</v>
      </c>
      <c r="BB43" s="135" t="str">
        <f t="shared" si="18"/>
        <v/>
      </c>
      <c r="BC43" s="54" t="e">
        <f t="shared" si="33"/>
        <v>#REF!</v>
      </c>
      <c r="BD43" s="54" t="e">
        <f t="shared" si="33"/>
        <v>#REF!</v>
      </c>
      <c r="BE43" s="54" t="e">
        <f t="shared" si="33"/>
        <v>#REF!</v>
      </c>
      <c r="BF43" s="54" t="str">
        <f t="shared" si="20"/>
        <v/>
      </c>
      <c r="BG43" s="54" t="str">
        <f t="shared" si="21"/>
        <v/>
      </c>
      <c r="BH43" s="34" t="e">
        <f t="shared" si="22"/>
        <v>#REF!</v>
      </c>
      <c r="BI43" s="34" t="e">
        <f t="shared" si="23"/>
        <v>#REF!</v>
      </c>
      <c r="BJ43" s="136" t="str">
        <f>IF($D43&lt;&gt;"Feature",".",
IF(VLOOKUP($B43,Feature_List!$A:$AM,MATCH(BJ$1,  Feature_List!$A$1:$AM$1,0),0)=B43,".","NO"))</f>
        <v>.</v>
      </c>
      <c r="BK43" s="136"/>
      <c r="BL43" s="136"/>
      <c r="BM43" s="136" t="str">
        <f>IF($D43&lt;&gt;"Feature",".",
IF(VLOOKUP($B43,Feature_List!$A:$AM,MATCH(BM$1,  Feature_List!$A$1:$AM$1,0),0)=E43,".","NO"))</f>
        <v>.</v>
      </c>
      <c r="BN43" s="136" t="str">
        <f>IF($D43&lt;&gt;"Feature",".",
IF(VLOOKUP($B43,Feature_List!$A:$AM,MATCH(BN$1,  Feature_List!$A$1:$AM$1,0),0)=F43,".","NO"))</f>
        <v>.</v>
      </c>
      <c r="BO43" s="136" t="str">
        <f>IF($D43&lt;&gt;"Feature",".",
IF(VLOOKUP($B43,Feature_List!$A:$AM,MATCH(BO$1,  Feature_List!$A$1:$AM$1,0),0)=G43,".","NO"))</f>
        <v>.</v>
      </c>
      <c r="BP43" s="136" t="str">
        <f>IF($D43&lt;&gt;"Feature",".",
IF(VLOOKUP($B43,Feature_List!$A:$AM,MATCH(BP$1,  Feature_List!$A$1:$AM$1,0),0)=H43,".","NO"))</f>
        <v>.</v>
      </c>
      <c r="BQ43" s="136"/>
      <c r="BR43" s="136" t="str">
        <f>IF($D43&lt;&gt;"Feature",".",
IF(VLOOKUP($B43,Feature_List!$A:$AM,MATCH(BR$1,  Feature_List!$A$1:$AM$1,0),0)=J43,".","NO"))</f>
        <v>.</v>
      </c>
      <c r="BS43" s="136"/>
      <c r="BT43" s="136"/>
      <c r="BU43" s="136" t="str">
        <f>IF($D43&lt;&gt;"Feature",".",
IF(VLOOKUP($B43,Feature_List!$A:$AM,MATCH(BU$1,  Feature_List!$A$1:$AM$1,0),0)=M43,".","NO"))</f>
        <v>.</v>
      </c>
      <c r="BV43" s="136" t="str">
        <f>IF($D43&lt;&gt;"Feature",".",
IF(VLOOKUP($B43,Feature_List!$A:$AM,MATCH(BV$1,  Feature_List!$A$1:$AM$1,0),0)=N43,".","NO"))</f>
        <v>.</v>
      </c>
      <c r="BW43" s="136"/>
      <c r="BX43" s="136"/>
      <c r="BY43" s="136"/>
      <c r="BZ43" s="136"/>
      <c r="CA43" s="136"/>
      <c r="CB43" s="136" t="str">
        <f>IF($D43&lt;&gt;"Feature",".",
IF(VLOOKUP($B43,Feature_List!$A:$AM,MATCH(CB$1,  Feature_List!$A$1:$AM$1,0),0)=T43,".","NO"))</f>
        <v>.</v>
      </c>
      <c r="CC43" s="136"/>
      <c r="CD43" s="136"/>
      <c r="CE43" s="136"/>
      <c r="CF43" s="136"/>
      <c r="CG43" s="136"/>
      <c r="CH43" s="136"/>
      <c r="CI43" s="136"/>
      <c r="CJ43" s="136"/>
      <c r="CK43" s="136"/>
      <c r="CL43" s="136"/>
      <c r="CM43" s="136"/>
      <c r="CN43" s="136"/>
      <c r="CO43" s="136" t="str">
        <f>IF($D43&lt;&gt;"Feature",".",
IF(VLOOKUP($B43,Feature_List!$A:$AM,MATCH(CO$1,  Feature_List!$A$1:$AM$1,0),0)=AG43,".","NO"))</f>
        <v>.</v>
      </c>
      <c r="CP43" s="136" t="str">
        <f>IF($D43&lt;&gt;"Feature",".",
IF(VLOOKUP($B43,Feature_List!$A:$AM,MATCH(CP$1,  Feature_List!$A$1:$AM$1,0),0)=AH43,".","NO"))</f>
        <v>.</v>
      </c>
      <c r="CQ43" s="136" t="str">
        <f>IF($D43&lt;&gt;"Feature",".",
IF(VLOOKUP($B43,Feature_List!$A:$AM,MATCH(CQ$1,  Feature_List!$A$1:$AM$1,0),0)=AI43,".","NO"))</f>
        <v>.</v>
      </c>
      <c r="CR43" s="136" t="str">
        <f>IF($D43&lt;&gt;"Feature",".",
IF(VLOOKUP($B43,Feature_List!$A:$AM,MATCH(CR$1,  Feature_List!$A$1:$AM$1,0),0)=AJ43,".","NO"))</f>
        <v>.</v>
      </c>
      <c r="CS43" s="136" t="str">
        <f>IF($D43&lt;&gt;"Feature",".",
IF(VLOOKUP($B43,Feature_List!$A:$AM,MATCH(CS$1,  Feature_List!$A$1:$AM$1,0),0)=AK43,".","NO"))</f>
        <v>.</v>
      </c>
      <c r="CT43" s="136" t="str">
        <f>IF($D43&lt;&gt;"Feature",".",
IF(VLOOKUP($B43,Feature_List!$A:$AM,MATCH(CT$1,  Feature_List!$A$1:$AM$1,0),0)=AL43,".","NO"))</f>
        <v>.</v>
      </c>
      <c r="CU43" s="136" t="str">
        <f>IF($D43&lt;&gt;"Feature",".",
IF(VLOOKUP($B43,Feature_List!$A:$AM,MATCH(CU$1,  Feature_List!$A$1:$AM$1,0),0)=AM43,".","NO"))</f>
        <v>.</v>
      </c>
      <c r="CV43" s="136" t="str">
        <f>IF($D43&lt;&gt;"Feature",".",
IF(VLOOKUP($B43,Feature_List!$A:$AM,MATCH(CV$1,  Feature_List!$A$1:$AM$1,0),0)=AN43,".","NO"))</f>
        <v>.</v>
      </c>
      <c r="CW43" s="136" t="str">
        <f>IF($D43&lt;&gt;"Feature",".",
IF(VLOOKUP($B43,Feature_List!$A:$AM,MATCH(CW$1,  Feature_List!$A$1:$AM$1,0),0)=AO43,".","NO"))</f>
        <v>.</v>
      </c>
      <c r="CX43" s="136" t="str">
        <f>IF($D43&lt;&gt;"Feature",".",
IF(VLOOKUP($B43,Feature_List!$A:$AM,MATCH(CX$1,  Feature_List!$A$1:$AM$1,0),0)=AP43,".","NO"))</f>
        <v>.</v>
      </c>
      <c r="CY43" s="136" t="str">
        <f>IF($D43&lt;&gt;"Feature",".",
IF(VLOOKUP($B43,Feature_List!$A:$AM,MATCH(CY$1,  Feature_List!$A$1:$AM$1,0),0)=AQ43,".","NO"))</f>
        <v>.</v>
      </c>
      <c r="CZ43" s="136" t="str">
        <f>IF($D43&lt;&gt;"Feature",".",
IF(VLOOKUP($B43,Feature_List!$A:$AM,MATCH(CZ$1,  Feature_List!$A$1:$AM$1,0),0)=AR43,".","NO"))</f>
        <v>.</v>
      </c>
      <c r="DA43" s="136" t="str">
        <f>IF($D43&lt;&gt;"Feature",".",
IF(VLOOKUP($B43,Feature_List!$A:$AM,MATCH(DA$1,  Feature_List!$A$1:$AM$1,0),0)=AS43,".","NO"))</f>
        <v>.</v>
      </c>
      <c r="DB43" s="136" t="str">
        <f>IF($D43&lt;&gt;"Feature",".",
IF(VLOOKUP($B43,Feature_List!$A:$AM,MATCH(DB$1,  Feature_List!$A$1:$AM$1,0),0)=AT43,".","NO"))</f>
        <v>.</v>
      </c>
      <c r="DC43" s="136" t="str">
        <f>IF($D43&lt;&gt;"Feature",".",
IF(VLOOKUP($B43,Feature_List!$A:$AM,MATCH(DC$1,  Feature_List!$A$1:$AM$1,0),0)=AU43,".","NO"))</f>
        <v>.</v>
      </c>
      <c r="DD43" s="136" t="str">
        <f>IF($D43&lt;&gt;"Feature",".",
IF(VLOOKUP($B43,Feature_List!$A:$AM,MATCH(DD$1,  Feature_List!$A$1:$AM$1,0),0)=AV43,".","NO"))</f>
        <v>.</v>
      </c>
      <c r="DE43" s="136" t="str">
        <f>IF($D43&lt;&gt;"Feature",".",
IF(VLOOKUP($B43,Feature_List!$A:$AM,MATCH(DE$1,  Feature_List!$A$1:$AM$1,0),0)=AW43,".","NO"))</f>
        <v>.</v>
      </c>
      <c r="DF43" s="136" t="str">
        <f>IF($D43&lt;&gt;"Feature",".",
IF(VLOOKUP($B43,Feature_List!$A:$AM,MATCH(DF$1,  Feature_List!$A$1:$AM$1,0),0)=AX43,".","NO"))</f>
        <v>.</v>
      </c>
      <c r="DG43" s="136" t="str">
        <f>IF($D43&lt;&gt;"Feature",".",
IF(VLOOKUP($B43,Feature_List!$A:$AM,MATCH(DG$1,  Feature_List!$A$1:$AM$1,0),0)=AY43,".","NO"))</f>
        <v>.</v>
      </c>
      <c r="DH43" s="136" t="str">
        <f>IF($D43&lt;&gt;"Feature",".",
IF(VLOOKUP($B43,Feature_List!$A:$AM,MATCH(DH$1,  Feature_List!$A$1:$AM$1,0),0)=AZ43,".","NO"))</f>
        <v>.</v>
      </c>
      <c r="DI43" s="136" t="str">
        <f>IF($D43&lt;&gt;"Feature",".",
IF(VLOOKUP($B43,Feature_List!$A:$AM,MATCH(DI$1,  Feature_List!$A$1:$AM$1,0),0)=BA43,".","NO"))</f>
        <v>.</v>
      </c>
      <c r="DJ43" s="136" t="str">
        <f>IF($D43&lt;&gt;"Feature",".",
IF(VLOOKUP($B43,Feature_List!$A:$AM,MATCH(DJ$1,  Feature_List!$A$1:$AM$1,0),0)=BB43,".","NO"))</f>
        <v>.</v>
      </c>
      <c r="DK43" s="136"/>
      <c r="DL43" s="136"/>
      <c r="DM43" s="136"/>
      <c r="DN43" s="136" t="str">
        <f>IF($D43&lt;&gt;"Feature",".",
IF(VLOOKUP($B43,Feature_List!$A:$AM,MATCH(DN$1,  Feature_List!$A$1:$AM$1,0),0)=BC43,".","NO"))</f>
        <v>.</v>
      </c>
      <c r="DO43" s="136" t="str">
        <f>IF($D43&lt;&gt;"Feature",".",
IF(VLOOKUP($B43,Feature_List!$A:$AM,MATCH(DO$1,  Feature_List!$A$1:$AM$1,0),0)=BD43,".","NO"))</f>
        <v>.</v>
      </c>
    </row>
    <row r="44" spans="2:119" x14ac:dyDescent="0.3">
      <c r="B44" s="121">
        <v>374878</v>
      </c>
      <c r="C44" s="122" t="s">
        <v>604</v>
      </c>
      <c r="D44" s="122" t="s">
        <v>71</v>
      </c>
      <c r="E44" s="122" t="s">
        <v>711</v>
      </c>
      <c r="F44" s="138" t="s">
        <v>657</v>
      </c>
      <c r="G44" s="123" t="s">
        <v>657</v>
      </c>
      <c r="H44" s="122" t="s">
        <v>70</v>
      </c>
      <c r="I44" s="124" t="s">
        <v>562</v>
      </c>
      <c r="J44" s="138"/>
      <c r="K44" s="123">
        <v>2</v>
      </c>
      <c r="L44" s="122"/>
      <c r="M44" s="122" t="s">
        <v>663</v>
      </c>
      <c r="N44" s="125"/>
      <c r="O44" s="123">
        <f t="shared" si="0"/>
        <v>2</v>
      </c>
      <c r="P44" s="123" t="str">
        <f t="shared" si="1"/>
        <v>New</v>
      </c>
      <c r="Q44" s="122" t="str">
        <f t="shared" si="24"/>
        <v>Story</v>
      </c>
      <c r="R44" s="126">
        <f t="shared" si="2"/>
        <v>318430</v>
      </c>
      <c r="S44" s="127">
        <f t="shared" si="3"/>
        <v>374878</v>
      </c>
      <c r="T44" s="128" t="e">
        <f>IF($Q44="ZeroEntry", "",VLOOKUP($I44,'Ranking Lookup'!#REF!,2,FALSE))</f>
        <v>#REF!</v>
      </c>
      <c r="U44" s="129" t="str">
        <f t="shared" si="4"/>
        <v/>
      </c>
      <c r="V44" s="129" t="str">
        <f t="shared" si="5"/>
        <v/>
      </c>
      <c r="W44" s="129" t="str">
        <f t="shared" si="6"/>
        <v/>
      </c>
      <c r="X44" s="129" t="str">
        <f t="shared" si="7"/>
        <v/>
      </c>
      <c r="Y44" s="129" t="str">
        <f t="shared" si="8"/>
        <v>Feature</v>
      </c>
      <c r="Z44" s="129" t="str">
        <f t="shared" si="9"/>
        <v/>
      </c>
      <c r="AA44" s="130"/>
      <c r="AB44" s="130" t="str">
        <f t="shared" si="10"/>
        <v>PI 12</v>
      </c>
      <c r="AC44" s="131">
        <f t="shared" si="25"/>
        <v>2</v>
      </c>
      <c r="AD44" s="131">
        <f t="shared" si="26"/>
        <v>0</v>
      </c>
      <c r="AE44" s="132">
        <f t="shared" si="11"/>
        <v>0</v>
      </c>
      <c r="AF44" s="133" t="str">
        <f t="shared" si="27"/>
        <v/>
      </c>
      <c r="AG44" s="134">
        <f t="shared" si="12"/>
        <v>0</v>
      </c>
      <c r="AH44" s="54" t="str">
        <f t="shared" si="13"/>
        <v/>
      </c>
      <c r="AI44" s="54" t="e">
        <f t="shared" si="32"/>
        <v>#REF!</v>
      </c>
      <c r="AJ44" s="54" t="e">
        <f t="shared" si="32"/>
        <v>#REF!</v>
      </c>
      <c r="AK44" s="54" t="e">
        <f t="shared" si="32"/>
        <v>#REF!</v>
      </c>
      <c r="AL44" s="54" t="e">
        <f t="shared" si="32"/>
        <v>#REF!</v>
      </c>
      <c r="AM44" s="54" t="e">
        <f t="shared" si="32"/>
        <v>#REF!</v>
      </c>
      <c r="AN44" s="54" t="e">
        <f t="shared" si="32"/>
        <v>#REF!</v>
      </c>
      <c r="AO44" s="54" t="e">
        <f t="shared" si="32"/>
        <v>#REF!</v>
      </c>
      <c r="AP44" s="54" t="e">
        <f t="shared" si="32"/>
        <v>#REF!</v>
      </c>
      <c r="AQ44" s="54" t="e">
        <f t="shared" si="32"/>
        <v>#REF!</v>
      </c>
      <c r="AR44" s="54" t="e">
        <f t="shared" si="32"/>
        <v>#REF!</v>
      </c>
      <c r="AS44" s="54" t="e">
        <f t="shared" si="32"/>
        <v>#REF!</v>
      </c>
      <c r="AT44" s="54" t="e">
        <f t="shared" si="32"/>
        <v>#REF!</v>
      </c>
      <c r="AU44" s="54" t="e">
        <f t="shared" si="32"/>
        <v>#REF!</v>
      </c>
      <c r="AV44" s="54" t="e">
        <f t="shared" si="32"/>
        <v>#REF!</v>
      </c>
      <c r="AW44" s="54" t="e">
        <f t="shared" si="32"/>
        <v>#REF!</v>
      </c>
      <c r="AX44" s="54" t="e">
        <f t="shared" si="32"/>
        <v>#REF!</v>
      </c>
      <c r="AY44" s="54" t="e">
        <f t="shared" si="15"/>
        <v>#REF!</v>
      </c>
      <c r="AZ44" s="54" t="str">
        <f t="shared" si="16"/>
        <v/>
      </c>
      <c r="BA44" s="54" t="e">
        <f t="shared" si="17"/>
        <v>#REF!</v>
      </c>
      <c r="BB44" s="135" t="str">
        <f t="shared" si="18"/>
        <v/>
      </c>
      <c r="BC44" s="54" t="e">
        <f t="shared" si="33"/>
        <v>#REF!</v>
      </c>
      <c r="BD44" s="54" t="e">
        <f t="shared" si="33"/>
        <v>#REF!</v>
      </c>
      <c r="BE44" s="54" t="e">
        <f t="shared" si="33"/>
        <v>#REF!</v>
      </c>
      <c r="BF44" s="54" t="str">
        <f t="shared" si="20"/>
        <v/>
      </c>
      <c r="BG44" s="54" t="str">
        <f t="shared" si="21"/>
        <v/>
      </c>
      <c r="BH44" s="34" t="e">
        <f t="shared" si="22"/>
        <v>#REF!</v>
      </c>
      <c r="BI44" s="34" t="e">
        <f t="shared" si="23"/>
        <v>#REF!</v>
      </c>
      <c r="BJ44" s="136" t="str">
        <f>IF($D44&lt;&gt;"Feature",".",
IF(VLOOKUP($B44,Feature_List!$A:$AM,MATCH(BJ$1,  Feature_List!$A$1:$AM$1,0),0)=B44,".","NO"))</f>
        <v>.</v>
      </c>
      <c r="BK44" s="136"/>
      <c r="BL44" s="136"/>
      <c r="BM44" s="136" t="str">
        <f>IF($D44&lt;&gt;"Feature",".",
IF(VLOOKUP($B44,Feature_List!$A:$AM,MATCH(BM$1,  Feature_List!$A$1:$AM$1,0),0)=E44,".","NO"))</f>
        <v>.</v>
      </c>
      <c r="BN44" s="136" t="str">
        <f>IF($D44&lt;&gt;"Feature",".",
IF(VLOOKUP($B44,Feature_List!$A:$AM,MATCH(BN$1,  Feature_List!$A$1:$AM$1,0),0)=F44,".","NO"))</f>
        <v>.</v>
      </c>
      <c r="BO44" s="136" t="str">
        <f>IF($D44&lt;&gt;"Feature",".",
IF(VLOOKUP($B44,Feature_List!$A:$AM,MATCH(BO$1,  Feature_List!$A$1:$AM$1,0),0)=G44,".","NO"))</f>
        <v>.</v>
      </c>
      <c r="BP44" s="136" t="str">
        <f>IF($D44&lt;&gt;"Feature",".",
IF(VLOOKUP($B44,Feature_List!$A:$AM,MATCH(BP$1,  Feature_List!$A$1:$AM$1,0),0)=H44,".","NO"))</f>
        <v>.</v>
      </c>
      <c r="BQ44" s="136"/>
      <c r="BR44" s="136" t="str">
        <f>IF($D44&lt;&gt;"Feature",".",
IF(VLOOKUP($B44,Feature_List!$A:$AM,MATCH(BR$1,  Feature_List!$A$1:$AM$1,0),0)=J44,".","NO"))</f>
        <v>.</v>
      </c>
      <c r="BS44" s="136"/>
      <c r="BT44" s="136"/>
      <c r="BU44" s="136" t="str">
        <f>IF($D44&lt;&gt;"Feature",".",
IF(VLOOKUP($B44,Feature_List!$A:$AM,MATCH(BU$1,  Feature_List!$A$1:$AM$1,0),0)=M44,".","NO"))</f>
        <v>.</v>
      </c>
      <c r="BV44" s="136" t="str">
        <f>IF($D44&lt;&gt;"Feature",".",
IF(VLOOKUP($B44,Feature_List!$A:$AM,MATCH(BV$1,  Feature_List!$A$1:$AM$1,0),0)=N44,".","NO"))</f>
        <v>.</v>
      </c>
      <c r="BW44" s="136"/>
      <c r="BX44" s="136"/>
      <c r="BY44" s="136"/>
      <c r="BZ44" s="136"/>
      <c r="CA44" s="136"/>
      <c r="CB44" s="136" t="str">
        <f>IF($D44&lt;&gt;"Feature",".",
IF(VLOOKUP($B44,Feature_List!$A:$AM,MATCH(CB$1,  Feature_List!$A$1:$AM$1,0),0)=T44,".","NO"))</f>
        <v>.</v>
      </c>
      <c r="CC44" s="136"/>
      <c r="CD44" s="136"/>
      <c r="CE44" s="136"/>
      <c r="CF44" s="136"/>
      <c r="CG44" s="136"/>
      <c r="CH44" s="136"/>
      <c r="CI44" s="136"/>
      <c r="CJ44" s="136"/>
      <c r="CK44" s="136"/>
      <c r="CL44" s="136"/>
      <c r="CM44" s="136"/>
      <c r="CN44" s="136"/>
      <c r="CO44" s="136" t="str">
        <f>IF($D44&lt;&gt;"Feature",".",
IF(VLOOKUP($B44,Feature_List!$A:$AM,MATCH(CO$1,  Feature_List!$A$1:$AM$1,0),0)=AG44,".","NO"))</f>
        <v>.</v>
      </c>
      <c r="CP44" s="136" t="str">
        <f>IF($D44&lt;&gt;"Feature",".",
IF(VLOOKUP($B44,Feature_List!$A:$AM,MATCH(CP$1,  Feature_List!$A$1:$AM$1,0),0)=AH44,".","NO"))</f>
        <v>.</v>
      </c>
      <c r="CQ44" s="136" t="str">
        <f>IF($D44&lt;&gt;"Feature",".",
IF(VLOOKUP($B44,Feature_List!$A:$AM,MATCH(CQ$1,  Feature_List!$A$1:$AM$1,0),0)=AI44,".","NO"))</f>
        <v>.</v>
      </c>
      <c r="CR44" s="136" t="str">
        <f>IF($D44&lt;&gt;"Feature",".",
IF(VLOOKUP($B44,Feature_List!$A:$AM,MATCH(CR$1,  Feature_List!$A$1:$AM$1,0),0)=AJ44,".","NO"))</f>
        <v>.</v>
      </c>
      <c r="CS44" s="136" t="str">
        <f>IF($D44&lt;&gt;"Feature",".",
IF(VLOOKUP($B44,Feature_List!$A:$AM,MATCH(CS$1,  Feature_List!$A$1:$AM$1,0),0)=AK44,".","NO"))</f>
        <v>.</v>
      </c>
      <c r="CT44" s="136" t="str">
        <f>IF($D44&lt;&gt;"Feature",".",
IF(VLOOKUP($B44,Feature_List!$A:$AM,MATCH(CT$1,  Feature_List!$A$1:$AM$1,0),0)=AL44,".","NO"))</f>
        <v>.</v>
      </c>
      <c r="CU44" s="136" t="str">
        <f>IF($D44&lt;&gt;"Feature",".",
IF(VLOOKUP($B44,Feature_List!$A:$AM,MATCH(CU$1,  Feature_List!$A$1:$AM$1,0),0)=AM44,".","NO"))</f>
        <v>.</v>
      </c>
      <c r="CV44" s="136" t="str">
        <f>IF($D44&lt;&gt;"Feature",".",
IF(VLOOKUP($B44,Feature_List!$A:$AM,MATCH(CV$1,  Feature_List!$A$1:$AM$1,0),0)=AN44,".","NO"))</f>
        <v>.</v>
      </c>
      <c r="CW44" s="136" t="str">
        <f>IF($D44&lt;&gt;"Feature",".",
IF(VLOOKUP($B44,Feature_List!$A:$AM,MATCH(CW$1,  Feature_List!$A$1:$AM$1,0),0)=AO44,".","NO"))</f>
        <v>.</v>
      </c>
      <c r="CX44" s="136" t="str">
        <f>IF($D44&lt;&gt;"Feature",".",
IF(VLOOKUP($B44,Feature_List!$A:$AM,MATCH(CX$1,  Feature_List!$A$1:$AM$1,0),0)=AP44,".","NO"))</f>
        <v>.</v>
      </c>
      <c r="CY44" s="136" t="str">
        <f>IF($D44&lt;&gt;"Feature",".",
IF(VLOOKUP($B44,Feature_List!$A:$AM,MATCH(CY$1,  Feature_List!$A$1:$AM$1,0),0)=AQ44,".","NO"))</f>
        <v>.</v>
      </c>
      <c r="CZ44" s="136" t="str">
        <f>IF($D44&lt;&gt;"Feature",".",
IF(VLOOKUP($B44,Feature_List!$A:$AM,MATCH(CZ$1,  Feature_List!$A$1:$AM$1,0),0)=AR44,".","NO"))</f>
        <v>.</v>
      </c>
      <c r="DA44" s="136" t="str">
        <f>IF($D44&lt;&gt;"Feature",".",
IF(VLOOKUP($B44,Feature_List!$A:$AM,MATCH(DA$1,  Feature_List!$A$1:$AM$1,0),0)=AS44,".","NO"))</f>
        <v>.</v>
      </c>
      <c r="DB44" s="136" t="str">
        <f>IF($D44&lt;&gt;"Feature",".",
IF(VLOOKUP($B44,Feature_List!$A:$AM,MATCH(DB$1,  Feature_List!$A$1:$AM$1,0),0)=AT44,".","NO"))</f>
        <v>.</v>
      </c>
      <c r="DC44" s="136" t="str">
        <f>IF($D44&lt;&gt;"Feature",".",
IF(VLOOKUP($B44,Feature_List!$A:$AM,MATCH(DC$1,  Feature_List!$A$1:$AM$1,0),0)=AU44,".","NO"))</f>
        <v>.</v>
      </c>
      <c r="DD44" s="136" t="str">
        <f>IF($D44&lt;&gt;"Feature",".",
IF(VLOOKUP($B44,Feature_List!$A:$AM,MATCH(DD$1,  Feature_List!$A$1:$AM$1,0),0)=AV44,".","NO"))</f>
        <v>.</v>
      </c>
      <c r="DE44" s="136" t="str">
        <f>IF($D44&lt;&gt;"Feature",".",
IF(VLOOKUP($B44,Feature_List!$A:$AM,MATCH(DE$1,  Feature_List!$A$1:$AM$1,0),0)=AW44,".","NO"))</f>
        <v>.</v>
      </c>
      <c r="DF44" s="136" t="str">
        <f>IF($D44&lt;&gt;"Feature",".",
IF(VLOOKUP($B44,Feature_List!$A:$AM,MATCH(DF$1,  Feature_List!$A$1:$AM$1,0),0)=AX44,".","NO"))</f>
        <v>.</v>
      </c>
      <c r="DG44" s="136" t="str">
        <f>IF($D44&lt;&gt;"Feature",".",
IF(VLOOKUP($B44,Feature_List!$A:$AM,MATCH(DG$1,  Feature_List!$A$1:$AM$1,0),0)=AY44,".","NO"))</f>
        <v>.</v>
      </c>
      <c r="DH44" s="136" t="str">
        <f>IF($D44&lt;&gt;"Feature",".",
IF(VLOOKUP($B44,Feature_List!$A:$AM,MATCH(DH$1,  Feature_List!$A$1:$AM$1,0),0)=AZ44,".","NO"))</f>
        <v>.</v>
      </c>
      <c r="DI44" s="136" t="str">
        <f>IF($D44&lt;&gt;"Feature",".",
IF(VLOOKUP($B44,Feature_List!$A:$AM,MATCH(DI$1,  Feature_List!$A$1:$AM$1,0),0)=BA44,".","NO"))</f>
        <v>.</v>
      </c>
      <c r="DJ44" s="136" t="str">
        <f>IF($D44&lt;&gt;"Feature",".",
IF(VLOOKUP($B44,Feature_List!$A:$AM,MATCH(DJ$1,  Feature_List!$A$1:$AM$1,0),0)=BB44,".","NO"))</f>
        <v>.</v>
      </c>
      <c r="DK44" s="136"/>
      <c r="DL44" s="136"/>
      <c r="DM44" s="136"/>
      <c r="DN44" s="136" t="str">
        <f>IF($D44&lt;&gt;"Feature",".",
IF(VLOOKUP($B44,Feature_List!$A:$AM,MATCH(DN$1,  Feature_List!$A$1:$AM$1,0),0)=BC44,".","NO"))</f>
        <v>.</v>
      </c>
      <c r="DO44" s="136" t="str">
        <f>IF($D44&lt;&gt;"Feature",".",
IF(VLOOKUP($B44,Feature_List!$A:$AM,MATCH(DO$1,  Feature_List!$A$1:$AM$1,0),0)=BD44,".","NO"))</f>
        <v>.</v>
      </c>
    </row>
    <row r="45" spans="2:119" x14ac:dyDescent="0.3">
      <c r="B45" s="121">
        <v>374870</v>
      </c>
      <c r="C45" s="122" t="s">
        <v>604</v>
      </c>
      <c r="D45" s="122" t="s">
        <v>71</v>
      </c>
      <c r="E45" s="122" t="s">
        <v>712</v>
      </c>
      <c r="F45" s="138" t="s">
        <v>661</v>
      </c>
      <c r="G45" s="123" t="s">
        <v>661</v>
      </c>
      <c r="H45" s="122" t="s">
        <v>683</v>
      </c>
      <c r="I45" s="124" t="s">
        <v>562</v>
      </c>
      <c r="J45" s="138"/>
      <c r="K45" s="123">
        <v>0</v>
      </c>
      <c r="L45" s="122"/>
      <c r="M45" s="122" t="s">
        <v>104</v>
      </c>
      <c r="N45" s="125"/>
      <c r="O45" s="123">
        <f t="shared" si="0"/>
        <v>0</v>
      </c>
      <c r="P45" s="123" t="str">
        <f t="shared" si="1"/>
        <v>Invalid</v>
      </c>
      <c r="Q45" s="122" t="str">
        <f t="shared" si="24"/>
        <v>Story</v>
      </c>
      <c r="R45" s="126">
        <f t="shared" si="2"/>
        <v>318430</v>
      </c>
      <c r="S45" s="127">
        <f t="shared" si="3"/>
        <v>374870</v>
      </c>
      <c r="T45" s="128" t="e">
        <f>IF($Q45="ZeroEntry", "",VLOOKUP($I45,'Ranking Lookup'!#REF!,2,FALSE))</f>
        <v>#REF!</v>
      </c>
      <c r="U45" s="129" t="str">
        <f t="shared" si="4"/>
        <v/>
      </c>
      <c r="V45" s="129" t="str">
        <f t="shared" si="5"/>
        <v/>
      </c>
      <c r="W45" s="129" t="str">
        <f t="shared" si="6"/>
        <v/>
      </c>
      <c r="X45" s="129" t="str">
        <f t="shared" si="7"/>
        <v/>
      </c>
      <c r="Y45" s="129" t="str">
        <f t="shared" si="8"/>
        <v>Feature</v>
      </c>
      <c r="Z45" s="129" t="str">
        <f t="shared" si="9"/>
        <v/>
      </c>
      <c r="AA45" s="130"/>
      <c r="AB45" s="130" t="str">
        <f t="shared" si="10"/>
        <v>PI 12</v>
      </c>
      <c r="AC45" s="131">
        <f t="shared" si="25"/>
        <v>0</v>
      </c>
      <c r="AD45" s="131">
        <f t="shared" si="26"/>
        <v>0</v>
      </c>
      <c r="AE45" s="132">
        <f t="shared" si="11"/>
        <v>0</v>
      </c>
      <c r="AF45" s="133" t="str">
        <f t="shared" si="27"/>
        <v/>
      </c>
      <c r="AG45" s="134">
        <f t="shared" si="12"/>
        <v>0</v>
      </c>
      <c r="AH45" s="54" t="str">
        <f t="shared" si="13"/>
        <v/>
      </c>
      <c r="AI45" s="54" t="e">
        <f t="shared" si="32"/>
        <v>#REF!</v>
      </c>
      <c r="AJ45" s="54" t="e">
        <f t="shared" si="32"/>
        <v>#REF!</v>
      </c>
      <c r="AK45" s="54" t="e">
        <f t="shared" si="32"/>
        <v>#REF!</v>
      </c>
      <c r="AL45" s="54" t="e">
        <f t="shared" si="32"/>
        <v>#REF!</v>
      </c>
      <c r="AM45" s="54" t="e">
        <f t="shared" si="32"/>
        <v>#REF!</v>
      </c>
      <c r="AN45" s="54" t="e">
        <f t="shared" si="32"/>
        <v>#REF!</v>
      </c>
      <c r="AO45" s="54" t="e">
        <f t="shared" si="32"/>
        <v>#REF!</v>
      </c>
      <c r="AP45" s="54" t="e">
        <f t="shared" si="32"/>
        <v>#REF!</v>
      </c>
      <c r="AQ45" s="54" t="e">
        <f t="shared" si="32"/>
        <v>#REF!</v>
      </c>
      <c r="AR45" s="54" t="e">
        <f t="shared" si="32"/>
        <v>#REF!</v>
      </c>
      <c r="AS45" s="54" t="e">
        <f t="shared" si="32"/>
        <v>#REF!</v>
      </c>
      <c r="AT45" s="54" t="e">
        <f t="shared" si="32"/>
        <v>#REF!</v>
      </c>
      <c r="AU45" s="54" t="e">
        <f t="shared" si="32"/>
        <v>#REF!</v>
      </c>
      <c r="AV45" s="54" t="e">
        <f t="shared" si="32"/>
        <v>#REF!</v>
      </c>
      <c r="AW45" s="54" t="e">
        <f t="shared" si="32"/>
        <v>#REF!</v>
      </c>
      <c r="AX45" s="54" t="e">
        <f t="shared" si="32"/>
        <v>#REF!</v>
      </c>
      <c r="AY45" s="54" t="e">
        <f t="shared" si="15"/>
        <v>#REF!</v>
      </c>
      <c r="AZ45" s="54" t="str">
        <f t="shared" si="16"/>
        <v/>
      </c>
      <c r="BA45" s="54" t="e">
        <f t="shared" si="17"/>
        <v>#REF!</v>
      </c>
      <c r="BB45" s="135" t="str">
        <f t="shared" si="18"/>
        <v/>
      </c>
      <c r="BC45" s="54" t="e">
        <f t="shared" si="33"/>
        <v>#REF!</v>
      </c>
      <c r="BD45" s="54" t="e">
        <f t="shared" si="33"/>
        <v>#REF!</v>
      </c>
      <c r="BE45" s="54" t="e">
        <f t="shared" si="33"/>
        <v>#REF!</v>
      </c>
      <c r="BF45" s="54" t="str">
        <f t="shared" si="20"/>
        <v/>
      </c>
      <c r="BG45" s="54" t="str">
        <f t="shared" si="21"/>
        <v/>
      </c>
      <c r="BH45" s="34" t="e">
        <f t="shared" si="22"/>
        <v>#REF!</v>
      </c>
      <c r="BI45" s="34" t="e">
        <f t="shared" si="23"/>
        <v>#REF!</v>
      </c>
      <c r="BJ45" s="136" t="str">
        <f>IF($D45&lt;&gt;"Feature",".",
IF(VLOOKUP($B45,Feature_List!$A:$AM,MATCH(BJ$1,  Feature_List!$A$1:$AM$1,0),0)=B45,".","NO"))</f>
        <v>.</v>
      </c>
      <c r="BK45" s="136"/>
      <c r="BL45" s="136"/>
      <c r="BM45" s="136" t="str">
        <f>IF($D45&lt;&gt;"Feature",".",
IF(VLOOKUP($B45,Feature_List!$A:$AM,MATCH(BM$1,  Feature_List!$A$1:$AM$1,0),0)=E45,".","NO"))</f>
        <v>.</v>
      </c>
      <c r="BN45" s="136" t="str">
        <f>IF($D45&lt;&gt;"Feature",".",
IF(VLOOKUP($B45,Feature_List!$A:$AM,MATCH(BN$1,  Feature_List!$A$1:$AM$1,0),0)=F45,".","NO"))</f>
        <v>.</v>
      </c>
      <c r="BO45" s="136" t="str">
        <f>IF($D45&lt;&gt;"Feature",".",
IF(VLOOKUP($B45,Feature_List!$A:$AM,MATCH(BO$1,  Feature_List!$A$1:$AM$1,0),0)=G45,".","NO"))</f>
        <v>.</v>
      </c>
      <c r="BP45" s="136" t="str">
        <f>IF($D45&lt;&gt;"Feature",".",
IF(VLOOKUP($B45,Feature_List!$A:$AM,MATCH(BP$1,  Feature_List!$A$1:$AM$1,0),0)=H45,".","NO"))</f>
        <v>.</v>
      </c>
      <c r="BQ45" s="136"/>
      <c r="BR45" s="136" t="str">
        <f>IF($D45&lt;&gt;"Feature",".",
IF(VLOOKUP($B45,Feature_List!$A:$AM,MATCH(BR$1,  Feature_List!$A$1:$AM$1,0),0)=J45,".","NO"))</f>
        <v>.</v>
      </c>
      <c r="BS45" s="136"/>
      <c r="BT45" s="136"/>
      <c r="BU45" s="136" t="str">
        <f>IF($D45&lt;&gt;"Feature",".",
IF(VLOOKUP($B45,Feature_List!$A:$AM,MATCH(BU$1,  Feature_List!$A$1:$AM$1,0),0)=M45,".","NO"))</f>
        <v>.</v>
      </c>
      <c r="BV45" s="136" t="str">
        <f>IF($D45&lt;&gt;"Feature",".",
IF(VLOOKUP($B45,Feature_List!$A:$AM,MATCH(BV$1,  Feature_List!$A$1:$AM$1,0),0)=N45,".","NO"))</f>
        <v>.</v>
      </c>
      <c r="BW45" s="136"/>
      <c r="BX45" s="136"/>
      <c r="BY45" s="136"/>
      <c r="BZ45" s="136"/>
      <c r="CA45" s="136"/>
      <c r="CB45" s="136" t="str">
        <f>IF($D45&lt;&gt;"Feature",".",
IF(VLOOKUP($B45,Feature_List!$A:$AM,MATCH(CB$1,  Feature_List!$A$1:$AM$1,0),0)=T45,".","NO"))</f>
        <v>.</v>
      </c>
      <c r="CC45" s="136"/>
      <c r="CD45" s="136"/>
      <c r="CE45" s="136"/>
      <c r="CF45" s="136"/>
      <c r="CG45" s="136"/>
      <c r="CH45" s="136"/>
      <c r="CI45" s="136"/>
      <c r="CJ45" s="136"/>
      <c r="CK45" s="136"/>
      <c r="CL45" s="136"/>
      <c r="CM45" s="136"/>
      <c r="CN45" s="136"/>
      <c r="CO45" s="136" t="str">
        <f>IF($D45&lt;&gt;"Feature",".",
IF(VLOOKUP($B45,Feature_List!$A:$AM,MATCH(CO$1,  Feature_List!$A$1:$AM$1,0),0)=AG45,".","NO"))</f>
        <v>.</v>
      </c>
      <c r="CP45" s="136" t="str">
        <f>IF($D45&lt;&gt;"Feature",".",
IF(VLOOKUP($B45,Feature_List!$A:$AM,MATCH(CP$1,  Feature_List!$A$1:$AM$1,0),0)=AH45,".","NO"))</f>
        <v>.</v>
      </c>
      <c r="CQ45" s="136" t="str">
        <f>IF($D45&lt;&gt;"Feature",".",
IF(VLOOKUP($B45,Feature_List!$A:$AM,MATCH(CQ$1,  Feature_List!$A$1:$AM$1,0),0)=AI45,".","NO"))</f>
        <v>.</v>
      </c>
      <c r="CR45" s="136" t="str">
        <f>IF($D45&lt;&gt;"Feature",".",
IF(VLOOKUP($B45,Feature_List!$A:$AM,MATCH(CR$1,  Feature_List!$A$1:$AM$1,0),0)=AJ45,".","NO"))</f>
        <v>.</v>
      </c>
      <c r="CS45" s="136" t="str">
        <f>IF($D45&lt;&gt;"Feature",".",
IF(VLOOKUP($B45,Feature_List!$A:$AM,MATCH(CS$1,  Feature_List!$A$1:$AM$1,0),0)=AK45,".","NO"))</f>
        <v>.</v>
      </c>
      <c r="CT45" s="136" t="str">
        <f>IF($D45&lt;&gt;"Feature",".",
IF(VLOOKUP($B45,Feature_List!$A:$AM,MATCH(CT$1,  Feature_List!$A$1:$AM$1,0),0)=AL45,".","NO"))</f>
        <v>.</v>
      </c>
      <c r="CU45" s="136" t="str">
        <f>IF($D45&lt;&gt;"Feature",".",
IF(VLOOKUP($B45,Feature_List!$A:$AM,MATCH(CU$1,  Feature_List!$A$1:$AM$1,0),0)=AM45,".","NO"))</f>
        <v>.</v>
      </c>
      <c r="CV45" s="136" t="str">
        <f>IF($D45&lt;&gt;"Feature",".",
IF(VLOOKUP($B45,Feature_List!$A:$AM,MATCH(CV$1,  Feature_List!$A$1:$AM$1,0),0)=AN45,".","NO"))</f>
        <v>.</v>
      </c>
      <c r="CW45" s="136" t="str">
        <f>IF($D45&lt;&gt;"Feature",".",
IF(VLOOKUP($B45,Feature_List!$A:$AM,MATCH(CW$1,  Feature_List!$A$1:$AM$1,0),0)=AO45,".","NO"))</f>
        <v>.</v>
      </c>
      <c r="CX45" s="136" t="str">
        <f>IF($D45&lt;&gt;"Feature",".",
IF(VLOOKUP($B45,Feature_List!$A:$AM,MATCH(CX$1,  Feature_List!$A$1:$AM$1,0),0)=AP45,".","NO"))</f>
        <v>.</v>
      </c>
      <c r="CY45" s="136" t="str">
        <f>IF($D45&lt;&gt;"Feature",".",
IF(VLOOKUP($B45,Feature_List!$A:$AM,MATCH(CY$1,  Feature_List!$A$1:$AM$1,0),0)=AQ45,".","NO"))</f>
        <v>.</v>
      </c>
      <c r="CZ45" s="136" t="str">
        <f>IF($D45&lt;&gt;"Feature",".",
IF(VLOOKUP($B45,Feature_List!$A:$AM,MATCH(CZ$1,  Feature_List!$A$1:$AM$1,0),0)=AR45,".","NO"))</f>
        <v>.</v>
      </c>
      <c r="DA45" s="136" t="str">
        <f>IF($D45&lt;&gt;"Feature",".",
IF(VLOOKUP($B45,Feature_List!$A:$AM,MATCH(DA$1,  Feature_List!$A$1:$AM$1,0),0)=AS45,".","NO"))</f>
        <v>.</v>
      </c>
      <c r="DB45" s="136" t="str">
        <f>IF($D45&lt;&gt;"Feature",".",
IF(VLOOKUP($B45,Feature_List!$A:$AM,MATCH(DB$1,  Feature_List!$A$1:$AM$1,0),0)=AT45,".","NO"))</f>
        <v>.</v>
      </c>
      <c r="DC45" s="136" t="str">
        <f>IF($D45&lt;&gt;"Feature",".",
IF(VLOOKUP($B45,Feature_List!$A:$AM,MATCH(DC$1,  Feature_List!$A$1:$AM$1,0),0)=AU45,".","NO"))</f>
        <v>.</v>
      </c>
      <c r="DD45" s="136" t="str">
        <f>IF($D45&lt;&gt;"Feature",".",
IF(VLOOKUP($B45,Feature_List!$A:$AM,MATCH(DD$1,  Feature_List!$A$1:$AM$1,0),0)=AV45,".","NO"))</f>
        <v>.</v>
      </c>
      <c r="DE45" s="136" t="str">
        <f>IF($D45&lt;&gt;"Feature",".",
IF(VLOOKUP($B45,Feature_List!$A:$AM,MATCH(DE$1,  Feature_List!$A$1:$AM$1,0),0)=AW45,".","NO"))</f>
        <v>.</v>
      </c>
      <c r="DF45" s="136" t="str">
        <f>IF($D45&lt;&gt;"Feature",".",
IF(VLOOKUP($B45,Feature_List!$A:$AM,MATCH(DF$1,  Feature_List!$A$1:$AM$1,0),0)=AX45,".","NO"))</f>
        <v>.</v>
      </c>
      <c r="DG45" s="136" t="str">
        <f>IF($D45&lt;&gt;"Feature",".",
IF(VLOOKUP($B45,Feature_List!$A:$AM,MATCH(DG$1,  Feature_List!$A$1:$AM$1,0),0)=AY45,".","NO"))</f>
        <v>.</v>
      </c>
      <c r="DH45" s="136" t="str">
        <f>IF($D45&lt;&gt;"Feature",".",
IF(VLOOKUP($B45,Feature_List!$A:$AM,MATCH(DH$1,  Feature_List!$A$1:$AM$1,0),0)=AZ45,".","NO"))</f>
        <v>.</v>
      </c>
      <c r="DI45" s="136" t="str">
        <f>IF($D45&lt;&gt;"Feature",".",
IF(VLOOKUP($B45,Feature_List!$A:$AM,MATCH(DI$1,  Feature_List!$A$1:$AM$1,0),0)=BA45,".","NO"))</f>
        <v>.</v>
      </c>
      <c r="DJ45" s="136" t="str">
        <f>IF($D45&lt;&gt;"Feature",".",
IF(VLOOKUP($B45,Feature_List!$A:$AM,MATCH(DJ$1,  Feature_List!$A$1:$AM$1,0),0)=BB45,".","NO"))</f>
        <v>.</v>
      </c>
      <c r="DK45" s="136"/>
      <c r="DL45" s="136"/>
      <c r="DM45" s="136"/>
      <c r="DN45" s="136" t="str">
        <f>IF($D45&lt;&gt;"Feature",".",
IF(VLOOKUP($B45,Feature_List!$A:$AM,MATCH(DN$1,  Feature_List!$A$1:$AM$1,0),0)=BC45,".","NO"))</f>
        <v>.</v>
      </c>
      <c r="DO45" s="136" t="str">
        <f>IF($D45&lt;&gt;"Feature",".",
IF(VLOOKUP($B45,Feature_List!$A:$AM,MATCH(DO$1,  Feature_List!$A$1:$AM$1,0),0)=BD45,".","NO"))</f>
        <v>.</v>
      </c>
    </row>
    <row r="46" spans="2:119" x14ac:dyDescent="0.3">
      <c r="B46" s="121">
        <v>342197</v>
      </c>
      <c r="C46" s="123" t="s">
        <v>604</v>
      </c>
      <c r="D46" s="122" t="s">
        <v>71</v>
      </c>
      <c r="E46" s="122" t="s">
        <v>713</v>
      </c>
      <c r="F46" s="138" t="s">
        <v>656</v>
      </c>
      <c r="G46" s="123" t="s">
        <v>656</v>
      </c>
      <c r="H46" s="122" t="s">
        <v>70</v>
      </c>
      <c r="I46" s="122" t="s">
        <v>127</v>
      </c>
      <c r="J46" s="138"/>
      <c r="K46" s="123">
        <v>2</v>
      </c>
      <c r="L46" s="122"/>
      <c r="M46" s="122" t="s">
        <v>714</v>
      </c>
      <c r="N46" s="125"/>
      <c r="O46" s="123">
        <f t="shared" si="0"/>
        <v>2</v>
      </c>
      <c r="P46" s="123" t="str">
        <f t="shared" si="1"/>
        <v>New</v>
      </c>
      <c r="Q46" s="122" t="str">
        <f t="shared" si="24"/>
        <v>Story</v>
      </c>
      <c r="R46" s="126">
        <f t="shared" si="2"/>
        <v>318430</v>
      </c>
      <c r="S46" s="127">
        <f t="shared" si="3"/>
        <v>342197</v>
      </c>
      <c r="T46" s="128" t="e">
        <f>IF($Q46="ZeroEntry", "",VLOOKUP($I46,'Ranking Lookup'!#REF!,2,FALSE))</f>
        <v>#REF!</v>
      </c>
      <c r="U46" s="129" t="str">
        <f t="shared" si="4"/>
        <v/>
      </c>
      <c r="V46" s="129" t="str">
        <f t="shared" si="5"/>
        <v/>
      </c>
      <c r="W46" s="129" t="str">
        <f t="shared" si="6"/>
        <v/>
      </c>
      <c r="X46" s="129" t="str">
        <f t="shared" si="7"/>
        <v/>
      </c>
      <c r="Y46" s="129" t="str">
        <f t="shared" si="8"/>
        <v>Feature</v>
      </c>
      <c r="Z46" s="129" t="str">
        <f t="shared" si="9"/>
        <v/>
      </c>
      <c r="AA46" s="130"/>
      <c r="AB46" s="130" t="str">
        <f t="shared" si="10"/>
        <v>PI 12</v>
      </c>
      <c r="AC46" s="131">
        <f t="shared" si="25"/>
        <v>2</v>
      </c>
      <c r="AD46" s="131">
        <f t="shared" si="26"/>
        <v>0</v>
      </c>
      <c r="AE46" s="132">
        <f t="shared" si="11"/>
        <v>0</v>
      </c>
      <c r="AF46" s="133" t="str">
        <f t="shared" si="27"/>
        <v/>
      </c>
      <c r="AG46" s="134">
        <f t="shared" si="12"/>
        <v>0</v>
      </c>
      <c r="AH46" s="54" t="str">
        <f t="shared" si="13"/>
        <v/>
      </c>
      <c r="AI46" s="54" t="e">
        <f t="shared" si="32"/>
        <v>#REF!</v>
      </c>
      <c r="AJ46" s="54" t="e">
        <f t="shared" si="32"/>
        <v>#REF!</v>
      </c>
      <c r="AK46" s="54" t="e">
        <f t="shared" si="32"/>
        <v>#REF!</v>
      </c>
      <c r="AL46" s="54" t="e">
        <f t="shared" si="32"/>
        <v>#REF!</v>
      </c>
      <c r="AM46" s="54" t="e">
        <f t="shared" si="32"/>
        <v>#REF!</v>
      </c>
      <c r="AN46" s="54" t="e">
        <f t="shared" si="32"/>
        <v>#REF!</v>
      </c>
      <c r="AO46" s="54" t="e">
        <f t="shared" si="32"/>
        <v>#REF!</v>
      </c>
      <c r="AP46" s="54" t="e">
        <f t="shared" si="32"/>
        <v>#REF!</v>
      </c>
      <c r="AQ46" s="54" t="e">
        <f t="shared" si="32"/>
        <v>#REF!</v>
      </c>
      <c r="AR46" s="54" t="e">
        <f t="shared" si="32"/>
        <v>#REF!</v>
      </c>
      <c r="AS46" s="54" t="e">
        <f t="shared" si="32"/>
        <v>#REF!</v>
      </c>
      <c r="AT46" s="54" t="e">
        <f t="shared" si="32"/>
        <v>#REF!</v>
      </c>
      <c r="AU46" s="54" t="e">
        <f t="shared" si="32"/>
        <v>#REF!</v>
      </c>
      <c r="AV46" s="54" t="e">
        <f t="shared" si="32"/>
        <v>#REF!</v>
      </c>
      <c r="AW46" s="54" t="e">
        <f t="shared" si="32"/>
        <v>#REF!</v>
      </c>
      <c r="AX46" s="54" t="e">
        <f t="shared" si="32"/>
        <v>#REF!</v>
      </c>
      <c r="AY46" s="54" t="e">
        <f t="shared" si="15"/>
        <v>#REF!</v>
      </c>
      <c r="AZ46" s="54" t="str">
        <f t="shared" si="16"/>
        <v/>
      </c>
      <c r="BA46" s="54" t="e">
        <f t="shared" si="17"/>
        <v>#REF!</v>
      </c>
      <c r="BB46" s="135" t="str">
        <f t="shared" si="18"/>
        <v/>
      </c>
      <c r="BC46" s="54" t="e">
        <f t="shared" si="33"/>
        <v>#REF!</v>
      </c>
      <c r="BD46" s="54" t="e">
        <f t="shared" si="33"/>
        <v>#REF!</v>
      </c>
      <c r="BE46" s="54" t="e">
        <f t="shared" si="33"/>
        <v>#REF!</v>
      </c>
      <c r="BF46" s="54" t="str">
        <f t="shared" si="20"/>
        <v/>
      </c>
      <c r="BG46" s="54" t="str">
        <f t="shared" si="21"/>
        <v/>
      </c>
      <c r="BH46" s="34" t="e">
        <f t="shared" si="22"/>
        <v>#REF!</v>
      </c>
      <c r="BI46" s="34" t="e">
        <f t="shared" si="23"/>
        <v>#REF!</v>
      </c>
      <c r="BJ46" s="136" t="str">
        <f>IF($D46&lt;&gt;"Feature",".",
IF(VLOOKUP($B46,Feature_List!$A:$AM,MATCH(BJ$1,  Feature_List!$A$1:$AM$1,0),0)=B46,".","NO"))</f>
        <v>.</v>
      </c>
      <c r="BK46" s="136"/>
      <c r="BL46" s="136"/>
      <c r="BM46" s="136" t="str">
        <f>IF($D46&lt;&gt;"Feature",".",
IF(VLOOKUP($B46,Feature_List!$A:$AM,MATCH(BM$1,  Feature_List!$A$1:$AM$1,0),0)=E46,".","NO"))</f>
        <v>.</v>
      </c>
      <c r="BN46" s="136" t="str">
        <f>IF($D46&lt;&gt;"Feature",".",
IF(VLOOKUP($B46,Feature_List!$A:$AM,MATCH(BN$1,  Feature_List!$A$1:$AM$1,0),0)=F46,".","NO"))</f>
        <v>.</v>
      </c>
      <c r="BO46" s="136" t="str">
        <f>IF($D46&lt;&gt;"Feature",".",
IF(VLOOKUP($B46,Feature_List!$A:$AM,MATCH(BO$1,  Feature_List!$A$1:$AM$1,0),0)=G46,".","NO"))</f>
        <v>.</v>
      </c>
      <c r="BP46" s="136" t="str">
        <f>IF($D46&lt;&gt;"Feature",".",
IF(VLOOKUP($B46,Feature_List!$A:$AM,MATCH(BP$1,  Feature_List!$A$1:$AM$1,0),0)=H46,".","NO"))</f>
        <v>.</v>
      </c>
      <c r="BQ46" s="136"/>
      <c r="BR46" s="136" t="str">
        <f>IF($D46&lt;&gt;"Feature",".",
IF(VLOOKUP($B46,Feature_List!$A:$AM,MATCH(BR$1,  Feature_List!$A$1:$AM$1,0),0)=J46,".","NO"))</f>
        <v>.</v>
      </c>
      <c r="BS46" s="136"/>
      <c r="BT46" s="136"/>
      <c r="BU46" s="136" t="str">
        <f>IF($D46&lt;&gt;"Feature",".",
IF(VLOOKUP($B46,Feature_List!$A:$AM,MATCH(BU$1,  Feature_List!$A$1:$AM$1,0),0)=M46,".","NO"))</f>
        <v>.</v>
      </c>
      <c r="BV46" s="136" t="str">
        <f>IF($D46&lt;&gt;"Feature",".",
IF(VLOOKUP($B46,Feature_List!$A:$AM,MATCH(BV$1,  Feature_List!$A$1:$AM$1,0),0)=N46,".","NO"))</f>
        <v>.</v>
      </c>
      <c r="BW46" s="136"/>
      <c r="BX46" s="136"/>
      <c r="BY46" s="136"/>
      <c r="BZ46" s="136"/>
      <c r="CA46" s="136"/>
      <c r="CB46" s="136" t="str">
        <f>IF($D46&lt;&gt;"Feature",".",
IF(VLOOKUP($B46,Feature_List!$A:$AM,MATCH(CB$1,  Feature_List!$A$1:$AM$1,0),0)=T46,".","NO"))</f>
        <v>.</v>
      </c>
      <c r="CC46" s="136"/>
      <c r="CD46" s="136"/>
      <c r="CE46" s="136"/>
      <c r="CF46" s="136"/>
      <c r="CG46" s="136"/>
      <c r="CH46" s="136"/>
      <c r="CI46" s="136"/>
      <c r="CJ46" s="136"/>
      <c r="CK46" s="136"/>
      <c r="CL46" s="136"/>
      <c r="CM46" s="136"/>
      <c r="CN46" s="136"/>
      <c r="CO46" s="136" t="str">
        <f>IF($D46&lt;&gt;"Feature",".",
IF(VLOOKUP($B46,Feature_List!$A:$AM,MATCH(CO$1,  Feature_List!$A$1:$AM$1,0),0)=AG46,".","NO"))</f>
        <v>.</v>
      </c>
      <c r="CP46" s="136" t="str">
        <f>IF($D46&lt;&gt;"Feature",".",
IF(VLOOKUP($B46,Feature_List!$A:$AM,MATCH(CP$1,  Feature_List!$A$1:$AM$1,0),0)=AH46,".","NO"))</f>
        <v>.</v>
      </c>
      <c r="CQ46" s="136" t="str">
        <f>IF($D46&lt;&gt;"Feature",".",
IF(VLOOKUP($B46,Feature_List!$A:$AM,MATCH(CQ$1,  Feature_List!$A$1:$AM$1,0),0)=AI46,".","NO"))</f>
        <v>.</v>
      </c>
      <c r="CR46" s="136" t="str">
        <f>IF($D46&lt;&gt;"Feature",".",
IF(VLOOKUP($B46,Feature_List!$A:$AM,MATCH(CR$1,  Feature_List!$A$1:$AM$1,0),0)=AJ46,".","NO"))</f>
        <v>.</v>
      </c>
      <c r="CS46" s="136" t="str">
        <f>IF($D46&lt;&gt;"Feature",".",
IF(VLOOKUP($B46,Feature_List!$A:$AM,MATCH(CS$1,  Feature_List!$A$1:$AM$1,0),0)=AK46,".","NO"))</f>
        <v>.</v>
      </c>
      <c r="CT46" s="136" t="str">
        <f>IF($D46&lt;&gt;"Feature",".",
IF(VLOOKUP($B46,Feature_List!$A:$AM,MATCH(CT$1,  Feature_List!$A$1:$AM$1,0),0)=AL46,".","NO"))</f>
        <v>.</v>
      </c>
      <c r="CU46" s="136" t="str">
        <f>IF($D46&lt;&gt;"Feature",".",
IF(VLOOKUP($B46,Feature_List!$A:$AM,MATCH(CU$1,  Feature_List!$A$1:$AM$1,0),0)=AM46,".","NO"))</f>
        <v>.</v>
      </c>
      <c r="CV46" s="136" t="str">
        <f>IF($D46&lt;&gt;"Feature",".",
IF(VLOOKUP($B46,Feature_List!$A:$AM,MATCH(CV$1,  Feature_List!$A$1:$AM$1,0),0)=AN46,".","NO"))</f>
        <v>.</v>
      </c>
      <c r="CW46" s="136" t="str">
        <f>IF($D46&lt;&gt;"Feature",".",
IF(VLOOKUP($B46,Feature_List!$A:$AM,MATCH(CW$1,  Feature_List!$A$1:$AM$1,0),0)=AO46,".","NO"))</f>
        <v>.</v>
      </c>
      <c r="CX46" s="136" t="str">
        <f>IF($D46&lt;&gt;"Feature",".",
IF(VLOOKUP($B46,Feature_List!$A:$AM,MATCH(CX$1,  Feature_List!$A$1:$AM$1,0),0)=AP46,".","NO"))</f>
        <v>.</v>
      </c>
      <c r="CY46" s="136" t="str">
        <f>IF($D46&lt;&gt;"Feature",".",
IF(VLOOKUP($B46,Feature_List!$A:$AM,MATCH(CY$1,  Feature_List!$A$1:$AM$1,0),0)=AQ46,".","NO"))</f>
        <v>.</v>
      </c>
      <c r="CZ46" s="136" t="str">
        <f>IF($D46&lt;&gt;"Feature",".",
IF(VLOOKUP($B46,Feature_List!$A:$AM,MATCH(CZ$1,  Feature_List!$A$1:$AM$1,0),0)=AR46,".","NO"))</f>
        <v>.</v>
      </c>
      <c r="DA46" s="136" t="str">
        <f>IF($D46&lt;&gt;"Feature",".",
IF(VLOOKUP($B46,Feature_List!$A:$AM,MATCH(DA$1,  Feature_List!$A$1:$AM$1,0),0)=AS46,".","NO"))</f>
        <v>.</v>
      </c>
      <c r="DB46" s="136" t="str">
        <f>IF($D46&lt;&gt;"Feature",".",
IF(VLOOKUP($B46,Feature_List!$A:$AM,MATCH(DB$1,  Feature_List!$A$1:$AM$1,0),0)=AT46,".","NO"))</f>
        <v>.</v>
      </c>
      <c r="DC46" s="136" t="str">
        <f>IF($D46&lt;&gt;"Feature",".",
IF(VLOOKUP($B46,Feature_List!$A:$AM,MATCH(DC$1,  Feature_List!$A$1:$AM$1,0),0)=AU46,".","NO"))</f>
        <v>.</v>
      </c>
      <c r="DD46" s="136" t="str">
        <f>IF($D46&lt;&gt;"Feature",".",
IF(VLOOKUP($B46,Feature_List!$A:$AM,MATCH(DD$1,  Feature_List!$A$1:$AM$1,0),0)=AV46,".","NO"))</f>
        <v>.</v>
      </c>
      <c r="DE46" s="136" t="str">
        <f>IF($D46&lt;&gt;"Feature",".",
IF(VLOOKUP($B46,Feature_List!$A:$AM,MATCH(DE$1,  Feature_List!$A$1:$AM$1,0),0)=AW46,".","NO"))</f>
        <v>.</v>
      </c>
      <c r="DF46" s="136" t="str">
        <f>IF($D46&lt;&gt;"Feature",".",
IF(VLOOKUP($B46,Feature_List!$A:$AM,MATCH(DF$1,  Feature_List!$A$1:$AM$1,0),0)=AX46,".","NO"))</f>
        <v>.</v>
      </c>
      <c r="DG46" s="136" t="str">
        <f>IF($D46&lt;&gt;"Feature",".",
IF(VLOOKUP($B46,Feature_List!$A:$AM,MATCH(DG$1,  Feature_List!$A$1:$AM$1,0),0)=AY46,".","NO"))</f>
        <v>.</v>
      </c>
      <c r="DH46" s="136" t="str">
        <f>IF($D46&lt;&gt;"Feature",".",
IF(VLOOKUP($B46,Feature_List!$A:$AM,MATCH(DH$1,  Feature_List!$A$1:$AM$1,0),0)=AZ46,".","NO"))</f>
        <v>.</v>
      </c>
      <c r="DI46" s="136" t="str">
        <f>IF($D46&lt;&gt;"Feature",".",
IF(VLOOKUP($B46,Feature_List!$A:$AM,MATCH(DI$1,  Feature_List!$A$1:$AM$1,0),0)=BA46,".","NO"))</f>
        <v>.</v>
      </c>
      <c r="DJ46" s="136" t="str">
        <f>IF($D46&lt;&gt;"Feature",".",
IF(VLOOKUP($B46,Feature_List!$A:$AM,MATCH(DJ$1,  Feature_List!$A$1:$AM$1,0),0)=BB46,".","NO"))</f>
        <v>.</v>
      </c>
      <c r="DK46" s="136"/>
      <c r="DL46" s="136"/>
      <c r="DM46" s="136"/>
      <c r="DN46" s="136" t="str">
        <f>IF($D46&lt;&gt;"Feature",".",
IF(VLOOKUP($B46,Feature_List!$A:$AM,MATCH(DN$1,  Feature_List!$A$1:$AM$1,0),0)=BC46,".","NO"))</f>
        <v>.</v>
      </c>
      <c r="DO46" s="136" t="str">
        <f>IF($D46&lt;&gt;"Feature",".",
IF(VLOOKUP($B46,Feature_List!$A:$AM,MATCH(DO$1,  Feature_List!$A$1:$AM$1,0),0)=BD46,".","NO"))</f>
        <v>.</v>
      </c>
    </row>
    <row r="47" spans="2:119" x14ac:dyDescent="0.3">
      <c r="B47" s="121">
        <v>342196</v>
      </c>
      <c r="C47" s="122" t="s">
        <v>604</v>
      </c>
      <c r="D47" s="122" t="s">
        <v>71</v>
      </c>
      <c r="E47" s="122" t="s">
        <v>715</v>
      </c>
      <c r="F47" s="138" t="s">
        <v>641</v>
      </c>
      <c r="G47" s="123" t="s">
        <v>641</v>
      </c>
      <c r="H47" s="122" t="s">
        <v>70</v>
      </c>
      <c r="I47" s="124" t="s">
        <v>126</v>
      </c>
      <c r="J47" s="138"/>
      <c r="K47" s="123">
        <v>2</v>
      </c>
      <c r="L47" s="122"/>
      <c r="M47" s="122" t="s">
        <v>673</v>
      </c>
      <c r="N47" s="125"/>
      <c r="O47" s="123">
        <f t="shared" si="0"/>
        <v>2</v>
      </c>
      <c r="P47" s="123" t="str">
        <f t="shared" si="1"/>
        <v>New</v>
      </c>
      <c r="Q47" s="122" t="str">
        <f t="shared" si="24"/>
        <v>Story</v>
      </c>
      <c r="R47" s="126">
        <f t="shared" si="2"/>
        <v>318430</v>
      </c>
      <c r="S47" s="127">
        <f t="shared" si="3"/>
        <v>342196</v>
      </c>
      <c r="T47" s="128" t="e">
        <f>IF($Q47="ZeroEntry", "",VLOOKUP($I47,'Ranking Lookup'!#REF!,2,FALSE))</f>
        <v>#REF!</v>
      </c>
      <c r="U47" s="129" t="str">
        <f t="shared" si="4"/>
        <v/>
      </c>
      <c r="V47" s="129" t="str">
        <f t="shared" si="5"/>
        <v/>
      </c>
      <c r="W47" s="129" t="str">
        <f t="shared" si="6"/>
        <v/>
      </c>
      <c r="X47" s="129" t="str">
        <f t="shared" si="7"/>
        <v/>
      </c>
      <c r="Y47" s="129" t="str">
        <f t="shared" si="8"/>
        <v>Feature</v>
      </c>
      <c r="Z47" s="129" t="str">
        <f t="shared" si="9"/>
        <v/>
      </c>
      <c r="AA47" s="130"/>
      <c r="AB47" s="130" t="str">
        <f t="shared" si="10"/>
        <v>PI 12</v>
      </c>
      <c r="AC47" s="131">
        <f t="shared" si="25"/>
        <v>2</v>
      </c>
      <c r="AD47" s="131">
        <f t="shared" si="26"/>
        <v>0</v>
      </c>
      <c r="AE47" s="132">
        <f t="shared" si="11"/>
        <v>0</v>
      </c>
      <c r="AF47" s="133" t="str">
        <f t="shared" si="27"/>
        <v/>
      </c>
      <c r="AG47" s="134">
        <f t="shared" si="12"/>
        <v>0</v>
      </c>
      <c r="AH47" s="54" t="str">
        <f t="shared" si="13"/>
        <v/>
      </c>
      <c r="AI47" s="54" t="e">
        <f t="shared" si="32"/>
        <v>#REF!</v>
      </c>
      <c r="AJ47" s="54" t="e">
        <f t="shared" si="32"/>
        <v>#REF!</v>
      </c>
      <c r="AK47" s="54" t="e">
        <f t="shared" si="32"/>
        <v>#REF!</v>
      </c>
      <c r="AL47" s="54" t="e">
        <f t="shared" si="32"/>
        <v>#REF!</v>
      </c>
      <c r="AM47" s="54" t="e">
        <f t="shared" si="32"/>
        <v>#REF!</v>
      </c>
      <c r="AN47" s="54" t="e">
        <f t="shared" si="32"/>
        <v>#REF!</v>
      </c>
      <c r="AO47" s="54" t="e">
        <f t="shared" si="32"/>
        <v>#REF!</v>
      </c>
      <c r="AP47" s="54" t="e">
        <f t="shared" si="32"/>
        <v>#REF!</v>
      </c>
      <c r="AQ47" s="54" t="e">
        <f t="shared" si="32"/>
        <v>#REF!</v>
      </c>
      <c r="AR47" s="54" t="e">
        <f t="shared" si="32"/>
        <v>#REF!</v>
      </c>
      <c r="AS47" s="54" t="e">
        <f t="shared" si="32"/>
        <v>#REF!</v>
      </c>
      <c r="AT47" s="54" t="e">
        <f t="shared" si="32"/>
        <v>#REF!</v>
      </c>
      <c r="AU47" s="54" t="e">
        <f t="shared" si="32"/>
        <v>#REF!</v>
      </c>
      <c r="AV47" s="54" t="e">
        <f t="shared" si="32"/>
        <v>#REF!</v>
      </c>
      <c r="AW47" s="54" t="e">
        <f t="shared" si="32"/>
        <v>#REF!</v>
      </c>
      <c r="AX47" s="54" t="e">
        <f t="shared" si="32"/>
        <v>#REF!</v>
      </c>
      <c r="AY47" s="54" t="e">
        <f t="shared" si="15"/>
        <v>#REF!</v>
      </c>
      <c r="AZ47" s="54" t="str">
        <f t="shared" si="16"/>
        <v/>
      </c>
      <c r="BA47" s="54" t="e">
        <f t="shared" si="17"/>
        <v>#REF!</v>
      </c>
      <c r="BB47" s="135" t="str">
        <f t="shared" si="18"/>
        <v/>
      </c>
      <c r="BC47" s="54" t="e">
        <f t="shared" si="33"/>
        <v>#REF!</v>
      </c>
      <c r="BD47" s="54" t="e">
        <f t="shared" si="33"/>
        <v>#REF!</v>
      </c>
      <c r="BE47" s="54" t="e">
        <f t="shared" si="33"/>
        <v>#REF!</v>
      </c>
      <c r="BF47" s="54" t="str">
        <f t="shared" si="20"/>
        <v/>
      </c>
      <c r="BG47" s="54" t="str">
        <f t="shared" si="21"/>
        <v/>
      </c>
      <c r="BH47" s="34" t="e">
        <f t="shared" si="22"/>
        <v>#REF!</v>
      </c>
      <c r="BI47" s="34" t="e">
        <f t="shared" si="23"/>
        <v>#REF!</v>
      </c>
      <c r="BJ47" s="136" t="str">
        <f>IF($D47&lt;&gt;"Feature",".",
IF(VLOOKUP($B47,Feature_List!$A:$AM,MATCH(BJ$1,  Feature_List!$A$1:$AM$1,0),0)=B47,".","NO"))</f>
        <v>.</v>
      </c>
      <c r="BK47" s="136"/>
      <c r="BL47" s="136"/>
      <c r="BM47" s="136" t="str">
        <f>IF($D47&lt;&gt;"Feature",".",
IF(VLOOKUP($B47,Feature_List!$A:$AM,MATCH(BM$1,  Feature_List!$A$1:$AM$1,0),0)=E47,".","NO"))</f>
        <v>.</v>
      </c>
      <c r="BN47" s="136" t="str">
        <f>IF($D47&lt;&gt;"Feature",".",
IF(VLOOKUP($B47,Feature_List!$A:$AM,MATCH(BN$1,  Feature_List!$A$1:$AM$1,0),0)=F47,".","NO"))</f>
        <v>.</v>
      </c>
      <c r="BO47" s="136" t="str">
        <f>IF($D47&lt;&gt;"Feature",".",
IF(VLOOKUP($B47,Feature_List!$A:$AM,MATCH(BO$1,  Feature_List!$A$1:$AM$1,0),0)=G47,".","NO"))</f>
        <v>.</v>
      </c>
      <c r="BP47" s="136" t="str">
        <f>IF($D47&lt;&gt;"Feature",".",
IF(VLOOKUP($B47,Feature_List!$A:$AM,MATCH(BP$1,  Feature_List!$A$1:$AM$1,0),0)=H47,".","NO"))</f>
        <v>.</v>
      </c>
      <c r="BQ47" s="136"/>
      <c r="BR47" s="136" t="str">
        <f>IF($D47&lt;&gt;"Feature",".",
IF(VLOOKUP($B47,Feature_List!$A:$AM,MATCH(BR$1,  Feature_List!$A$1:$AM$1,0),0)=J47,".","NO"))</f>
        <v>.</v>
      </c>
      <c r="BS47" s="136"/>
      <c r="BT47" s="136"/>
      <c r="BU47" s="136" t="str">
        <f>IF($D47&lt;&gt;"Feature",".",
IF(VLOOKUP($B47,Feature_List!$A:$AM,MATCH(BU$1,  Feature_List!$A$1:$AM$1,0),0)=M47,".","NO"))</f>
        <v>.</v>
      </c>
      <c r="BV47" s="136" t="str">
        <f>IF($D47&lt;&gt;"Feature",".",
IF(VLOOKUP($B47,Feature_List!$A:$AM,MATCH(BV$1,  Feature_List!$A$1:$AM$1,0),0)=N47,".","NO"))</f>
        <v>.</v>
      </c>
      <c r="BW47" s="136"/>
      <c r="BX47" s="136"/>
      <c r="BY47" s="136"/>
      <c r="BZ47" s="136"/>
      <c r="CA47" s="136"/>
      <c r="CB47" s="136" t="str">
        <f>IF($D47&lt;&gt;"Feature",".",
IF(VLOOKUP($B47,Feature_List!$A:$AM,MATCH(CB$1,  Feature_List!$A$1:$AM$1,0),0)=T47,".","NO"))</f>
        <v>.</v>
      </c>
      <c r="CC47" s="136"/>
      <c r="CD47" s="136"/>
      <c r="CE47" s="136"/>
      <c r="CF47" s="136"/>
      <c r="CG47" s="136"/>
      <c r="CH47" s="136"/>
      <c r="CI47" s="136"/>
      <c r="CJ47" s="136"/>
      <c r="CK47" s="136"/>
      <c r="CL47" s="136"/>
      <c r="CM47" s="136"/>
      <c r="CN47" s="136"/>
      <c r="CO47" s="136" t="str">
        <f>IF($D47&lt;&gt;"Feature",".",
IF(VLOOKUP($B47,Feature_List!$A:$AM,MATCH(CO$1,  Feature_List!$A$1:$AM$1,0),0)=AG47,".","NO"))</f>
        <v>.</v>
      </c>
      <c r="CP47" s="136" t="str">
        <f>IF($D47&lt;&gt;"Feature",".",
IF(VLOOKUP($B47,Feature_List!$A:$AM,MATCH(CP$1,  Feature_List!$A$1:$AM$1,0),0)=AH47,".","NO"))</f>
        <v>.</v>
      </c>
      <c r="CQ47" s="136" t="str">
        <f>IF($D47&lt;&gt;"Feature",".",
IF(VLOOKUP($B47,Feature_List!$A:$AM,MATCH(CQ$1,  Feature_List!$A$1:$AM$1,0),0)=AI47,".","NO"))</f>
        <v>.</v>
      </c>
      <c r="CR47" s="136" t="str">
        <f>IF($D47&lt;&gt;"Feature",".",
IF(VLOOKUP($B47,Feature_List!$A:$AM,MATCH(CR$1,  Feature_List!$A$1:$AM$1,0),0)=AJ47,".","NO"))</f>
        <v>.</v>
      </c>
      <c r="CS47" s="136" t="str">
        <f>IF($D47&lt;&gt;"Feature",".",
IF(VLOOKUP($B47,Feature_List!$A:$AM,MATCH(CS$1,  Feature_List!$A$1:$AM$1,0),0)=AK47,".","NO"))</f>
        <v>.</v>
      </c>
      <c r="CT47" s="136" t="str">
        <f>IF($D47&lt;&gt;"Feature",".",
IF(VLOOKUP($B47,Feature_List!$A:$AM,MATCH(CT$1,  Feature_List!$A$1:$AM$1,0),0)=AL47,".","NO"))</f>
        <v>.</v>
      </c>
      <c r="CU47" s="136" t="str">
        <f>IF($D47&lt;&gt;"Feature",".",
IF(VLOOKUP($B47,Feature_List!$A:$AM,MATCH(CU$1,  Feature_List!$A$1:$AM$1,0),0)=AM47,".","NO"))</f>
        <v>.</v>
      </c>
      <c r="CV47" s="136" t="str">
        <f>IF($D47&lt;&gt;"Feature",".",
IF(VLOOKUP($B47,Feature_List!$A:$AM,MATCH(CV$1,  Feature_List!$A$1:$AM$1,0),0)=AN47,".","NO"))</f>
        <v>.</v>
      </c>
      <c r="CW47" s="136" t="str">
        <f>IF($D47&lt;&gt;"Feature",".",
IF(VLOOKUP($B47,Feature_List!$A:$AM,MATCH(CW$1,  Feature_List!$A$1:$AM$1,0),0)=AO47,".","NO"))</f>
        <v>.</v>
      </c>
      <c r="CX47" s="136" t="str">
        <f>IF($D47&lt;&gt;"Feature",".",
IF(VLOOKUP($B47,Feature_List!$A:$AM,MATCH(CX$1,  Feature_List!$A$1:$AM$1,0),0)=AP47,".","NO"))</f>
        <v>.</v>
      </c>
      <c r="CY47" s="136" t="str">
        <f>IF($D47&lt;&gt;"Feature",".",
IF(VLOOKUP($B47,Feature_List!$A:$AM,MATCH(CY$1,  Feature_List!$A$1:$AM$1,0),0)=AQ47,".","NO"))</f>
        <v>.</v>
      </c>
      <c r="CZ47" s="136" t="str">
        <f>IF($D47&lt;&gt;"Feature",".",
IF(VLOOKUP($B47,Feature_List!$A:$AM,MATCH(CZ$1,  Feature_List!$A$1:$AM$1,0),0)=AR47,".","NO"))</f>
        <v>.</v>
      </c>
      <c r="DA47" s="136" t="str">
        <f>IF($D47&lt;&gt;"Feature",".",
IF(VLOOKUP($B47,Feature_List!$A:$AM,MATCH(DA$1,  Feature_List!$A$1:$AM$1,0),0)=AS47,".","NO"))</f>
        <v>.</v>
      </c>
      <c r="DB47" s="136" t="str">
        <f>IF($D47&lt;&gt;"Feature",".",
IF(VLOOKUP($B47,Feature_List!$A:$AM,MATCH(DB$1,  Feature_List!$A$1:$AM$1,0),0)=AT47,".","NO"))</f>
        <v>.</v>
      </c>
      <c r="DC47" s="136" t="str">
        <f>IF($D47&lt;&gt;"Feature",".",
IF(VLOOKUP($B47,Feature_List!$A:$AM,MATCH(DC$1,  Feature_List!$A$1:$AM$1,0),0)=AU47,".","NO"))</f>
        <v>.</v>
      </c>
      <c r="DD47" s="136" t="str">
        <f>IF($D47&lt;&gt;"Feature",".",
IF(VLOOKUP($B47,Feature_List!$A:$AM,MATCH(DD$1,  Feature_List!$A$1:$AM$1,0),0)=AV47,".","NO"))</f>
        <v>.</v>
      </c>
      <c r="DE47" s="136" t="str">
        <f>IF($D47&lt;&gt;"Feature",".",
IF(VLOOKUP($B47,Feature_List!$A:$AM,MATCH(DE$1,  Feature_List!$A$1:$AM$1,0),0)=AW47,".","NO"))</f>
        <v>.</v>
      </c>
      <c r="DF47" s="136" t="str">
        <f>IF($D47&lt;&gt;"Feature",".",
IF(VLOOKUP($B47,Feature_List!$A:$AM,MATCH(DF$1,  Feature_List!$A$1:$AM$1,0),0)=AX47,".","NO"))</f>
        <v>.</v>
      </c>
      <c r="DG47" s="136" t="str">
        <f>IF($D47&lt;&gt;"Feature",".",
IF(VLOOKUP($B47,Feature_List!$A:$AM,MATCH(DG$1,  Feature_List!$A$1:$AM$1,0),0)=AY47,".","NO"))</f>
        <v>.</v>
      </c>
      <c r="DH47" s="136" t="str">
        <f>IF($D47&lt;&gt;"Feature",".",
IF(VLOOKUP($B47,Feature_List!$A:$AM,MATCH(DH$1,  Feature_List!$A$1:$AM$1,0),0)=AZ47,".","NO"))</f>
        <v>.</v>
      </c>
      <c r="DI47" s="136" t="str">
        <f>IF($D47&lt;&gt;"Feature",".",
IF(VLOOKUP($B47,Feature_List!$A:$AM,MATCH(DI$1,  Feature_List!$A$1:$AM$1,0),0)=BA47,".","NO"))</f>
        <v>.</v>
      </c>
      <c r="DJ47" s="136" t="str">
        <f>IF($D47&lt;&gt;"Feature",".",
IF(VLOOKUP($B47,Feature_List!$A:$AM,MATCH(DJ$1,  Feature_List!$A$1:$AM$1,0),0)=BB47,".","NO"))</f>
        <v>.</v>
      </c>
      <c r="DK47" s="136"/>
      <c r="DL47" s="136"/>
      <c r="DM47" s="136"/>
      <c r="DN47" s="136" t="str">
        <f>IF($D47&lt;&gt;"Feature",".",
IF(VLOOKUP($B47,Feature_List!$A:$AM,MATCH(DN$1,  Feature_List!$A$1:$AM$1,0),0)=BC47,".","NO"))</f>
        <v>.</v>
      </c>
      <c r="DO47" s="136" t="str">
        <f>IF($D47&lt;&gt;"Feature",".",
IF(VLOOKUP($B47,Feature_List!$A:$AM,MATCH(DO$1,  Feature_List!$A$1:$AM$1,0),0)=BD47,".","NO"))</f>
        <v>.</v>
      </c>
    </row>
    <row r="48" spans="2:119" x14ac:dyDescent="0.3">
      <c r="B48" s="121">
        <v>342195</v>
      </c>
      <c r="C48" s="122" t="s">
        <v>604</v>
      </c>
      <c r="D48" s="122" t="s">
        <v>71</v>
      </c>
      <c r="E48" s="122" t="s">
        <v>716</v>
      </c>
      <c r="F48" s="138" t="s">
        <v>657</v>
      </c>
      <c r="G48" s="123" t="s">
        <v>657</v>
      </c>
      <c r="H48" s="122" t="s">
        <v>70</v>
      </c>
      <c r="I48" s="124" t="s">
        <v>126</v>
      </c>
      <c r="J48" s="138"/>
      <c r="K48" s="123">
        <v>3</v>
      </c>
      <c r="L48" s="122"/>
      <c r="M48" s="122" t="s">
        <v>648</v>
      </c>
      <c r="N48" s="125" t="s">
        <v>163</v>
      </c>
      <c r="O48" s="123">
        <f t="shared" si="0"/>
        <v>3</v>
      </c>
      <c r="P48" s="123" t="str">
        <f t="shared" si="1"/>
        <v>New</v>
      </c>
      <c r="Q48" s="122" t="str">
        <f t="shared" si="24"/>
        <v>Story</v>
      </c>
      <c r="R48" s="126">
        <f t="shared" si="2"/>
        <v>318430</v>
      </c>
      <c r="S48" s="127">
        <f t="shared" si="3"/>
        <v>342195</v>
      </c>
      <c r="T48" s="128" t="e">
        <f>IF($Q48="ZeroEntry", "",VLOOKUP($I48,'Ranking Lookup'!#REF!,2,FALSE))</f>
        <v>#REF!</v>
      </c>
      <c r="U48" s="129" t="str">
        <f t="shared" si="4"/>
        <v/>
      </c>
      <c r="V48" s="129" t="str">
        <f t="shared" si="5"/>
        <v/>
      </c>
      <c r="W48" s="129" t="str">
        <f t="shared" si="6"/>
        <v/>
      </c>
      <c r="X48" s="129" t="str">
        <f t="shared" si="7"/>
        <v/>
      </c>
      <c r="Y48" s="129" t="str">
        <f t="shared" si="8"/>
        <v>Feature</v>
      </c>
      <c r="Z48" s="129" t="str">
        <f t="shared" si="9"/>
        <v/>
      </c>
      <c r="AA48" s="130"/>
      <c r="AB48" s="130" t="str">
        <f t="shared" si="10"/>
        <v>PI 12</v>
      </c>
      <c r="AC48" s="131">
        <f t="shared" si="25"/>
        <v>3</v>
      </c>
      <c r="AD48" s="131">
        <f t="shared" si="26"/>
        <v>0</v>
      </c>
      <c r="AE48" s="132">
        <f t="shared" si="11"/>
        <v>0</v>
      </c>
      <c r="AF48" s="133" t="str">
        <f t="shared" si="27"/>
        <v/>
      </c>
      <c r="AG48" s="134">
        <f t="shared" si="12"/>
        <v>0</v>
      </c>
      <c r="AH48" s="54" t="str">
        <f t="shared" si="13"/>
        <v/>
      </c>
      <c r="AI48" s="54" t="e">
        <f t="shared" si="32"/>
        <v>#REF!</v>
      </c>
      <c r="AJ48" s="54" t="e">
        <f t="shared" si="32"/>
        <v>#REF!</v>
      </c>
      <c r="AK48" s="54" t="e">
        <f t="shared" si="32"/>
        <v>#REF!</v>
      </c>
      <c r="AL48" s="54" t="e">
        <f t="shared" si="32"/>
        <v>#REF!</v>
      </c>
      <c r="AM48" s="54" t="e">
        <f t="shared" si="32"/>
        <v>#REF!</v>
      </c>
      <c r="AN48" s="54" t="e">
        <f t="shared" si="32"/>
        <v>#REF!</v>
      </c>
      <c r="AO48" s="54" t="e">
        <f t="shared" si="32"/>
        <v>#REF!</v>
      </c>
      <c r="AP48" s="54" t="e">
        <f t="shared" si="32"/>
        <v>#REF!</v>
      </c>
      <c r="AQ48" s="54" t="e">
        <f t="shared" si="32"/>
        <v>#REF!</v>
      </c>
      <c r="AR48" s="54" t="e">
        <f t="shared" si="32"/>
        <v>#REF!</v>
      </c>
      <c r="AS48" s="54" t="e">
        <f t="shared" si="32"/>
        <v>#REF!</v>
      </c>
      <c r="AT48" s="54" t="e">
        <f t="shared" si="32"/>
        <v>#REF!</v>
      </c>
      <c r="AU48" s="54" t="e">
        <f t="shared" si="32"/>
        <v>#REF!</v>
      </c>
      <c r="AV48" s="54" t="e">
        <f t="shared" si="32"/>
        <v>#REF!</v>
      </c>
      <c r="AW48" s="54" t="e">
        <f t="shared" si="32"/>
        <v>#REF!</v>
      </c>
      <c r="AX48" s="54" t="e">
        <f t="shared" si="32"/>
        <v>#REF!</v>
      </c>
      <c r="AY48" s="54" t="e">
        <f t="shared" si="15"/>
        <v>#REF!</v>
      </c>
      <c r="AZ48" s="54" t="str">
        <f t="shared" si="16"/>
        <v/>
      </c>
      <c r="BA48" s="54" t="e">
        <f t="shared" si="17"/>
        <v>#REF!</v>
      </c>
      <c r="BB48" s="135" t="str">
        <f t="shared" si="18"/>
        <v/>
      </c>
      <c r="BC48" s="54" t="e">
        <f t="shared" si="33"/>
        <v>#REF!</v>
      </c>
      <c r="BD48" s="54" t="e">
        <f t="shared" si="33"/>
        <v>#REF!</v>
      </c>
      <c r="BE48" s="54" t="e">
        <f t="shared" si="33"/>
        <v>#REF!</v>
      </c>
      <c r="BF48" s="54" t="str">
        <f t="shared" si="20"/>
        <v/>
      </c>
      <c r="BG48" s="54" t="str">
        <f t="shared" si="21"/>
        <v/>
      </c>
      <c r="BH48" s="34" t="e">
        <f t="shared" si="22"/>
        <v>#REF!</v>
      </c>
      <c r="BI48" s="34" t="e">
        <f t="shared" si="23"/>
        <v>#REF!</v>
      </c>
      <c r="BJ48" s="136" t="str">
        <f>IF($D48&lt;&gt;"Feature",".",
IF(VLOOKUP($B48,Feature_List!$A:$AM,MATCH(BJ$1,  Feature_List!$A$1:$AM$1,0),0)=B48,".","NO"))</f>
        <v>.</v>
      </c>
      <c r="BK48" s="136"/>
      <c r="BL48" s="136"/>
      <c r="BM48" s="136" t="str">
        <f>IF($D48&lt;&gt;"Feature",".",
IF(VLOOKUP($B48,Feature_List!$A:$AM,MATCH(BM$1,  Feature_List!$A$1:$AM$1,0),0)=E48,".","NO"))</f>
        <v>.</v>
      </c>
      <c r="BN48" s="136" t="str">
        <f>IF($D48&lt;&gt;"Feature",".",
IF(VLOOKUP($B48,Feature_List!$A:$AM,MATCH(BN$1,  Feature_List!$A$1:$AM$1,0),0)=F48,".","NO"))</f>
        <v>.</v>
      </c>
      <c r="BO48" s="136" t="str">
        <f>IF($D48&lt;&gt;"Feature",".",
IF(VLOOKUP($B48,Feature_List!$A:$AM,MATCH(BO$1,  Feature_List!$A$1:$AM$1,0),0)=G48,".","NO"))</f>
        <v>.</v>
      </c>
      <c r="BP48" s="136" t="str">
        <f>IF($D48&lt;&gt;"Feature",".",
IF(VLOOKUP($B48,Feature_List!$A:$AM,MATCH(BP$1,  Feature_List!$A$1:$AM$1,0),0)=H48,".","NO"))</f>
        <v>.</v>
      </c>
      <c r="BQ48" s="136"/>
      <c r="BR48" s="136" t="str">
        <f>IF($D48&lt;&gt;"Feature",".",
IF(VLOOKUP($B48,Feature_List!$A:$AM,MATCH(BR$1,  Feature_List!$A$1:$AM$1,0),0)=J48,".","NO"))</f>
        <v>.</v>
      </c>
      <c r="BS48" s="136"/>
      <c r="BT48" s="136"/>
      <c r="BU48" s="136" t="str">
        <f>IF($D48&lt;&gt;"Feature",".",
IF(VLOOKUP($B48,Feature_List!$A:$AM,MATCH(BU$1,  Feature_List!$A$1:$AM$1,0),0)=M48,".","NO"))</f>
        <v>.</v>
      </c>
      <c r="BV48" s="136" t="str">
        <f>IF($D48&lt;&gt;"Feature",".",
IF(VLOOKUP($B48,Feature_List!$A:$AM,MATCH(BV$1,  Feature_List!$A$1:$AM$1,0),0)=N48,".","NO"))</f>
        <v>.</v>
      </c>
      <c r="BW48" s="136"/>
      <c r="BX48" s="136"/>
      <c r="BY48" s="136"/>
      <c r="BZ48" s="136"/>
      <c r="CA48" s="136"/>
      <c r="CB48" s="136" t="str">
        <f>IF($D48&lt;&gt;"Feature",".",
IF(VLOOKUP($B48,Feature_List!$A:$AM,MATCH(CB$1,  Feature_List!$A$1:$AM$1,0),0)=T48,".","NO"))</f>
        <v>.</v>
      </c>
      <c r="CC48" s="136"/>
      <c r="CD48" s="136"/>
      <c r="CE48" s="136"/>
      <c r="CF48" s="136"/>
      <c r="CG48" s="136"/>
      <c r="CH48" s="136"/>
      <c r="CI48" s="136"/>
      <c r="CJ48" s="136"/>
      <c r="CK48" s="136"/>
      <c r="CL48" s="136"/>
      <c r="CM48" s="136"/>
      <c r="CN48" s="136"/>
      <c r="CO48" s="136" t="str">
        <f>IF($D48&lt;&gt;"Feature",".",
IF(VLOOKUP($B48,Feature_List!$A:$AM,MATCH(CO$1,  Feature_List!$A$1:$AM$1,0),0)=AG48,".","NO"))</f>
        <v>.</v>
      </c>
      <c r="CP48" s="136" t="str">
        <f>IF($D48&lt;&gt;"Feature",".",
IF(VLOOKUP($B48,Feature_List!$A:$AM,MATCH(CP$1,  Feature_List!$A$1:$AM$1,0),0)=AH48,".","NO"))</f>
        <v>.</v>
      </c>
      <c r="CQ48" s="136" t="str">
        <f>IF($D48&lt;&gt;"Feature",".",
IF(VLOOKUP($B48,Feature_List!$A:$AM,MATCH(CQ$1,  Feature_List!$A$1:$AM$1,0),0)=AI48,".","NO"))</f>
        <v>.</v>
      </c>
      <c r="CR48" s="136" t="str">
        <f>IF($D48&lt;&gt;"Feature",".",
IF(VLOOKUP($B48,Feature_List!$A:$AM,MATCH(CR$1,  Feature_List!$A$1:$AM$1,0),0)=AJ48,".","NO"))</f>
        <v>.</v>
      </c>
      <c r="CS48" s="136" t="str">
        <f>IF($D48&lt;&gt;"Feature",".",
IF(VLOOKUP($B48,Feature_List!$A:$AM,MATCH(CS$1,  Feature_List!$A$1:$AM$1,0),0)=AK48,".","NO"))</f>
        <v>.</v>
      </c>
      <c r="CT48" s="136" t="str">
        <f>IF($D48&lt;&gt;"Feature",".",
IF(VLOOKUP($B48,Feature_List!$A:$AM,MATCH(CT$1,  Feature_List!$A$1:$AM$1,0),0)=AL48,".","NO"))</f>
        <v>.</v>
      </c>
      <c r="CU48" s="136" t="str">
        <f>IF($D48&lt;&gt;"Feature",".",
IF(VLOOKUP($B48,Feature_List!$A:$AM,MATCH(CU$1,  Feature_List!$A$1:$AM$1,0),0)=AM48,".","NO"))</f>
        <v>.</v>
      </c>
      <c r="CV48" s="136" t="str">
        <f>IF($D48&lt;&gt;"Feature",".",
IF(VLOOKUP($B48,Feature_List!$A:$AM,MATCH(CV$1,  Feature_List!$A$1:$AM$1,0),0)=AN48,".","NO"))</f>
        <v>.</v>
      </c>
      <c r="CW48" s="136" t="str">
        <f>IF($D48&lt;&gt;"Feature",".",
IF(VLOOKUP($B48,Feature_List!$A:$AM,MATCH(CW$1,  Feature_List!$A$1:$AM$1,0),0)=AO48,".","NO"))</f>
        <v>.</v>
      </c>
      <c r="CX48" s="136" t="str">
        <f>IF($D48&lt;&gt;"Feature",".",
IF(VLOOKUP($B48,Feature_List!$A:$AM,MATCH(CX$1,  Feature_List!$A$1:$AM$1,0),0)=AP48,".","NO"))</f>
        <v>.</v>
      </c>
      <c r="CY48" s="136" t="str">
        <f>IF($D48&lt;&gt;"Feature",".",
IF(VLOOKUP($B48,Feature_List!$A:$AM,MATCH(CY$1,  Feature_List!$A$1:$AM$1,0),0)=AQ48,".","NO"))</f>
        <v>.</v>
      </c>
      <c r="CZ48" s="136" t="str">
        <f>IF($D48&lt;&gt;"Feature",".",
IF(VLOOKUP($B48,Feature_List!$A:$AM,MATCH(CZ$1,  Feature_List!$A$1:$AM$1,0),0)=AR48,".","NO"))</f>
        <v>.</v>
      </c>
      <c r="DA48" s="136" t="str">
        <f>IF($D48&lt;&gt;"Feature",".",
IF(VLOOKUP($B48,Feature_List!$A:$AM,MATCH(DA$1,  Feature_List!$A$1:$AM$1,0),0)=AS48,".","NO"))</f>
        <v>.</v>
      </c>
      <c r="DB48" s="136" t="str">
        <f>IF($D48&lt;&gt;"Feature",".",
IF(VLOOKUP($B48,Feature_List!$A:$AM,MATCH(DB$1,  Feature_List!$A$1:$AM$1,0),0)=AT48,".","NO"))</f>
        <v>.</v>
      </c>
      <c r="DC48" s="136" t="str">
        <f>IF($D48&lt;&gt;"Feature",".",
IF(VLOOKUP($B48,Feature_List!$A:$AM,MATCH(DC$1,  Feature_List!$A$1:$AM$1,0),0)=AU48,".","NO"))</f>
        <v>.</v>
      </c>
      <c r="DD48" s="136" t="str">
        <f>IF($D48&lt;&gt;"Feature",".",
IF(VLOOKUP($B48,Feature_List!$A:$AM,MATCH(DD$1,  Feature_List!$A$1:$AM$1,0),0)=AV48,".","NO"))</f>
        <v>.</v>
      </c>
      <c r="DE48" s="136" t="str">
        <f>IF($D48&lt;&gt;"Feature",".",
IF(VLOOKUP($B48,Feature_List!$A:$AM,MATCH(DE$1,  Feature_List!$A$1:$AM$1,0),0)=AW48,".","NO"))</f>
        <v>.</v>
      </c>
      <c r="DF48" s="136" t="str">
        <f>IF($D48&lt;&gt;"Feature",".",
IF(VLOOKUP($B48,Feature_List!$A:$AM,MATCH(DF$1,  Feature_List!$A$1:$AM$1,0),0)=AX48,".","NO"))</f>
        <v>.</v>
      </c>
      <c r="DG48" s="136" t="str">
        <f>IF($D48&lt;&gt;"Feature",".",
IF(VLOOKUP($B48,Feature_List!$A:$AM,MATCH(DG$1,  Feature_List!$A$1:$AM$1,0),0)=AY48,".","NO"))</f>
        <v>.</v>
      </c>
      <c r="DH48" s="136" t="str">
        <f>IF($D48&lt;&gt;"Feature",".",
IF(VLOOKUP($B48,Feature_List!$A:$AM,MATCH(DH$1,  Feature_List!$A$1:$AM$1,0),0)=AZ48,".","NO"))</f>
        <v>.</v>
      </c>
      <c r="DI48" s="136" t="str">
        <f>IF($D48&lt;&gt;"Feature",".",
IF(VLOOKUP($B48,Feature_List!$A:$AM,MATCH(DI$1,  Feature_List!$A$1:$AM$1,0),0)=BA48,".","NO"))</f>
        <v>.</v>
      </c>
      <c r="DJ48" s="136" t="str">
        <f>IF($D48&lt;&gt;"Feature",".",
IF(VLOOKUP($B48,Feature_List!$A:$AM,MATCH(DJ$1,  Feature_List!$A$1:$AM$1,0),0)=BB48,".","NO"))</f>
        <v>.</v>
      </c>
      <c r="DK48" s="136"/>
      <c r="DL48" s="136"/>
      <c r="DM48" s="136"/>
      <c r="DN48" s="136" t="str">
        <f>IF($D48&lt;&gt;"Feature",".",
IF(VLOOKUP($B48,Feature_List!$A:$AM,MATCH(DN$1,  Feature_List!$A$1:$AM$1,0),0)=BC48,".","NO"))</f>
        <v>.</v>
      </c>
      <c r="DO48" s="136" t="str">
        <f>IF($D48&lt;&gt;"Feature",".",
IF(VLOOKUP($B48,Feature_List!$A:$AM,MATCH(DO$1,  Feature_List!$A$1:$AM$1,0),0)=BD48,".","NO"))</f>
        <v>.</v>
      </c>
    </row>
    <row r="49" spans="2:119" x14ac:dyDescent="0.3">
      <c r="B49" s="121">
        <v>338333</v>
      </c>
      <c r="C49" s="122" t="s">
        <v>604</v>
      </c>
      <c r="D49" s="122" t="s">
        <v>71</v>
      </c>
      <c r="E49" s="122" t="s">
        <v>717</v>
      </c>
      <c r="F49" s="138" t="s">
        <v>130</v>
      </c>
      <c r="G49" s="123" t="s">
        <v>130</v>
      </c>
      <c r="H49" s="122" t="s">
        <v>683</v>
      </c>
      <c r="I49" s="124" t="s">
        <v>562</v>
      </c>
      <c r="J49" s="138"/>
      <c r="K49" s="123">
        <v>0</v>
      </c>
      <c r="L49" s="122"/>
      <c r="M49" s="122" t="s">
        <v>104</v>
      </c>
      <c r="N49" s="125"/>
      <c r="O49" s="123">
        <f t="shared" si="0"/>
        <v>0</v>
      </c>
      <c r="P49" s="123" t="str">
        <f t="shared" si="1"/>
        <v>Invalid</v>
      </c>
      <c r="Q49" s="122" t="str">
        <f t="shared" si="24"/>
        <v>Story</v>
      </c>
      <c r="R49" s="126">
        <f t="shared" si="2"/>
        <v>318430</v>
      </c>
      <c r="S49" s="127">
        <f t="shared" si="3"/>
        <v>338333</v>
      </c>
      <c r="T49" s="128" t="e">
        <f>IF($Q49="ZeroEntry", "",VLOOKUP($I49,'Ranking Lookup'!#REF!,2,FALSE))</f>
        <v>#REF!</v>
      </c>
      <c r="U49" s="129" t="str">
        <f t="shared" si="4"/>
        <v/>
      </c>
      <c r="V49" s="129" t="str">
        <f t="shared" si="5"/>
        <v/>
      </c>
      <c r="W49" s="129" t="str">
        <f t="shared" si="6"/>
        <v/>
      </c>
      <c r="X49" s="129" t="str">
        <f t="shared" si="7"/>
        <v/>
      </c>
      <c r="Y49" s="129" t="str">
        <f t="shared" si="8"/>
        <v>Feature</v>
      </c>
      <c r="Z49" s="129" t="str">
        <f t="shared" si="9"/>
        <v/>
      </c>
      <c r="AA49" s="130"/>
      <c r="AB49" s="130" t="str">
        <f t="shared" si="10"/>
        <v>PI 12</v>
      </c>
      <c r="AC49" s="131">
        <f t="shared" si="25"/>
        <v>0</v>
      </c>
      <c r="AD49" s="131">
        <f t="shared" si="26"/>
        <v>0</v>
      </c>
      <c r="AE49" s="132">
        <f t="shared" si="11"/>
        <v>0</v>
      </c>
      <c r="AF49" s="133" t="str">
        <f t="shared" si="27"/>
        <v/>
      </c>
      <c r="AG49" s="134">
        <f t="shared" si="12"/>
        <v>0</v>
      </c>
      <c r="AH49" s="54" t="str">
        <f t="shared" si="13"/>
        <v/>
      </c>
      <c r="AI49" s="54" t="e">
        <f t="shared" si="32"/>
        <v>#REF!</v>
      </c>
      <c r="AJ49" s="54" t="e">
        <f t="shared" si="32"/>
        <v>#REF!</v>
      </c>
      <c r="AK49" s="54" t="e">
        <f t="shared" si="32"/>
        <v>#REF!</v>
      </c>
      <c r="AL49" s="54" t="e">
        <f t="shared" si="32"/>
        <v>#REF!</v>
      </c>
      <c r="AM49" s="54" t="e">
        <f t="shared" si="32"/>
        <v>#REF!</v>
      </c>
      <c r="AN49" s="54" t="e">
        <f t="shared" si="32"/>
        <v>#REF!</v>
      </c>
      <c r="AO49" s="54" t="e">
        <f t="shared" si="32"/>
        <v>#REF!</v>
      </c>
      <c r="AP49" s="54" t="e">
        <f t="shared" si="32"/>
        <v>#REF!</v>
      </c>
      <c r="AQ49" s="54" t="e">
        <f t="shared" si="32"/>
        <v>#REF!</v>
      </c>
      <c r="AR49" s="54" t="e">
        <f t="shared" si="32"/>
        <v>#REF!</v>
      </c>
      <c r="AS49" s="54" t="e">
        <f t="shared" si="32"/>
        <v>#REF!</v>
      </c>
      <c r="AT49" s="54" t="e">
        <f t="shared" si="32"/>
        <v>#REF!</v>
      </c>
      <c r="AU49" s="54" t="e">
        <f t="shared" si="32"/>
        <v>#REF!</v>
      </c>
      <c r="AV49" s="54" t="e">
        <f t="shared" si="32"/>
        <v>#REF!</v>
      </c>
      <c r="AW49" s="54" t="e">
        <f t="shared" si="32"/>
        <v>#REF!</v>
      </c>
      <c r="AX49" s="54" t="e">
        <f t="shared" ref="AX49" si="34">IF(AND($Q49="Feature",LEFT($AB49,2)="PI"),
IF(AND(COUNTIF($R:$R,$B49)=1,$T49=AX$1), IF($AB49=$A$10,$AF49,0),
IF(OR($AD49&lt;1,RIGHT($G49,8)="Progress",$AH49&gt;0),SUMIFS($O:$O,$R:$R,$B49,$T:$T,AX$1,$P:$P,"&lt;&gt;Done",$AB:$AB,$A$10),
IF($T49=AX$1,IF($AB49=$A$10,$AD49,0)+SUMIFS($O:$O,$R:$R,$B49,$T:$T,AX$1,$P:$P,"&lt;&gt;Done",$AB:$AB,$A$10),SUMIFS($O:$O,$R:$R,$B49,$T:$T,AX$1,$P:$P,"&lt;&gt;Done",$AB:$AB,$A$10)))),
IF(AND(OR($Q49="Story",$Q49="Problem",$Q49="Enhancement"),$AB49=$A$10,$R49=0,$T49=AX$1,$P49&lt;&gt;"Done"),$O49,""))</f>
        <v>#REF!</v>
      </c>
      <c r="AY49" s="54" t="e">
        <f t="shared" si="15"/>
        <v>#REF!</v>
      </c>
      <c r="AZ49" s="54" t="str">
        <f t="shared" si="16"/>
        <v/>
      </c>
      <c r="BA49" s="54" t="e">
        <f t="shared" si="17"/>
        <v>#REF!</v>
      </c>
      <c r="BB49" s="135" t="str">
        <f t="shared" si="18"/>
        <v/>
      </c>
      <c r="BC49" s="54" t="e">
        <f t="shared" si="33"/>
        <v>#REF!</v>
      </c>
      <c r="BD49" s="54" t="e">
        <f t="shared" si="33"/>
        <v>#REF!</v>
      </c>
      <c r="BE49" s="54" t="e">
        <f t="shared" si="33"/>
        <v>#REF!</v>
      </c>
      <c r="BF49" s="54" t="str">
        <f t="shared" si="20"/>
        <v/>
      </c>
      <c r="BG49" s="54" t="str">
        <f t="shared" si="21"/>
        <v/>
      </c>
      <c r="BH49" s="34" t="e">
        <f t="shared" si="22"/>
        <v>#REF!</v>
      </c>
      <c r="BI49" s="34" t="e">
        <f t="shared" si="23"/>
        <v>#REF!</v>
      </c>
      <c r="BJ49" s="136" t="str">
        <f>IF($D49&lt;&gt;"Feature",".",
IF(VLOOKUP($B49,Feature_List!$A:$AM,MATCH(BJ$1,  Feature_List!$A$1:$AM$1,0),0)=B49,".","NO"))</f>
        <v>.</v>
      </c>
      <c r="BK49" s="136"/>
      <c r="BL49" s="136"/>
      <c r="BM49" s="136" t="str">
        <f>IF($D49&lt;&gt;"Feature",".",
IF(VLOOKUP($B49,Feature_List!$A:$AM,MATCH(BM$1,  Feature_List!$A$1:$AM$1,0),0)=E49,".","NO"))</f>
        <v>.</v>
      </c>
      <c r="BN49" s="136" t="str">
        <f>IF($D49&lt;&gt;"Feature",".",
IF(VLOOKUP($B49,Feature_List!$A:$AM,MATCH(BN$1,  Feature_List!$A$1:$AM$1,0),0)=F49,".","NO"))</f>
        <v>.</v>
      </c>
      <c r="BO49" s="136" t="str">
        <f>IF($D49&lt;&gt;"Feature",".",
IF(VLOOKUP($B49,Feature_List!$A:$AM,MATCH(BO$1,  Feature_List!$A$1:$AM$1,0),0)=G49,".","NO"))</f>
        <v>.</v>
      </c>
      <c r="BP49" s="136" t="str">
        <f>IF($D49&lt;&gt;"Feature",".",
IF(VLOOKUP($B49,Feature_List!$A:$AM,MATCH(BP$1,  Feature_List!$A$1:$AM$1,0),0)=H49,".","NO"))</f>
        <v>.</v>
      </c>
      <c r="BQ49" s="136"/>
      <c r="BR49" s="136" t="str">
        <f>IF($D49&lt;&gt;"Feature",".",
IF(VLOOKUP($B49,Feature_List!$A:$AM,MATCH(BR$1,  Feature_List!$A$1:$AM$1,0),0)=J49,".","NO"))</f>
        <v>.</v>
      </c>
      <c r="BS49" s="136"/>
      <c r="BT49" s="136"/>
      <c r="BU49" s="136" t="str">
        <f>IF($D49&lt;&gt;"Feature",".",
IF(VLOOKUP($B49,Feature_List!$A:$AM,MATCH(BU$1,  Feature_List!$A$1:$AM$1,0),0)=M49,".","NO"))</f>
        <v>.</v>
      </c>
      <c r="BV49" s="136" t="str">
        <f>IF($D49&lt;&gt;"Feature",".",
IF(VLOOKUP($B49,Feature_List!$A:$AM,MATCH(BV$1,  Feature_List!$A$1:$AM$1,0),0)=N49,".","NO"))</f>
        <v>.</v>
      </c>
      <c r="BW49" s="136"/>
      <c r="BX49" s="136"/>
      <c r="BY49" s="136"/>
      <c r="BZ49" s="136"/>
      <c r="CA49" s="136"/>
      <c r="CB49" s="136" t="str">
        <f>IF($D49&lt;&gt;"Feature",".",
IF(VLOOKUP($B49,Feature_List!$A:$AM,MATCH(CB$1,  Feature_List!$A$1:$AM$1,0),0)=T49,".","NO"))</f>
        <v>.</v>
      </c>
      <c r="CC49" s="136"/>
      <c r="CD49" s="136"/>
      <c r="CE49" s="136"/>
      <c r="CF49" s="136"/>
      <c r="CG49" s="136"/>
      <c r="CH49" s="136"/>
      <c r="CI49" s="136"/>
      <c r="CJ49" s="136"/>
      <c r="CK49" s="136"/>
      <c r="CL49" s="136"/>
      <c r="CM49" s="136"/>
      <c r="CN49" s="136"/>
      <c r="CO49" s="136" t="str">
        <f>IF($D49&lt;&gt;"Feature",".",
IF(VLOOKUP($B49,Feature_List!$A:$AM,MATCH(CO$1,  Feature_List!$A$1:$AM$1,0),0)=AG49,".","NO"))</f>
        <v>.</v>
      </c>
      <c r="CP49" s="136" t="str">
        <f>IF($D49&lt;&gt;"Feature",".",
IF(VLOOKUP($B49,Feature_List!$A:$AM,MATCH(CP$1,  Feature_List!$A$1:$AM$1,0),0)=AH49,".","NO"))</f>
        <v>.</v>
      </c>
      <c r="CQ49" s="136" t="str">
        <f>IF($D49&lt;&gt;"Feature",".",
IF(VLOOKUP($B49,Feature_List!$A:$AM,MATCH(CQ$1,  Feature_List!$A$1:$AM$1,0),0)=AI49,".","NO"))</f>
        <v>.</v>
      </c>
      <c r="CR49" s="136" t="str">
        <f>IF($D49&lt;&gt;"Feature",".",
IF(VLOOKUP($B49,Feature_List!$A:$AM,MATCH(CR$1,  Feature_List!$A$1:$AM$1,0),0)=AJ49,".","NO"))</f>
        <v>.</v>
      </c>
      <c r="CS49" s="136" t="str">
        <f>IF($D49&lt;&gt;"Feature",".",
IF(VLOOKUP($B49,Feature_List!$A:$AM,MATCH(CS$1,  Feature_List!$A$1:$AM$1,0),0)=AK49,".","NO"))</f>
        <v>.</v>
      </c>
      <c r="CT49" s="136" t="str">
        <f>IF($D49&lt;&gt;"Feature",".",
IF(VLOOKUP($B49,Feature_List!$A:$AM,MATCH(CT$1,  Feature_List!$A$1:$AM$1,0),0)=AL49,".","NO"))</f>
        <v>.</v>
      </c>
      <c r="CU49" s="136" t="str">
        <f>IF($D49&lt;&gt;"Feature",".",
IF(VLOOKUP($B49,Feature_List!$A:$AM,MATCH(CU$1,  Feature_List!$A$1:$AM$1,0),0)=AM49,".","NO"))</f>
        <v>.</v>
      </c>
      <c r="CV49" s="136" t="str">
        <f>IF($D49&lt;&gt;"Feature",".",
IF(VLOOKUP($B49,Feature_List!$A:$AM,MATCH(CV$1,  Feature_List!$A$1:$AM$1,0),0)=AN49,".","NO"))</f>
        <v>.</v>
      </c>
      <c r="CW49" s="136" t="str">
        <f>IF($D49&lt;&gt;"Feature",".",
IF(VLOOKUP($B49,Feature_List!$A:$AM,MATCH(CW$1,  Feature_List!$A$1:$AM$1,0),0)=AO49,".","NO"))</f>
        <v>.</v>
      </c>
      <c r="CX49" s="136" t="str">
        <f>IF($D49&lt;&gt;"Feature",".",
IF(VLOOKUP($B49,Feature_List!$A:$AM,MATCH(CX$1,  Feature_List!$A$1:$AM$1,0),0)=AP49,".","NO"))</f>
        <v>.</v>
      </c>
      <c r="CY49" s="136" t="str">
        <f>IF($D49&lt;&gt;"Feature",".",
IF(VLOOKUP($B49,Feature_List!$A:$AM,MATCH(CY$1,  Feature_List!$A$1:$AM$1,0),0)=AQ49,".","NO"))</f>
        <v>.</v>
      </c>
      <c r="CZ49" s="136" t="str">
        <f>IF($D49&lt;&gt;"Feature",".",
IF(VLOOKUP($B49,Feature_List!$A:$AM,MATCH(CZ$1,  Feature_List!$A$1:$AM$1,0),0)=AR49,".","NO"))</f>
        <v>.</v>
      </c>
      <c r="DA49" s="136" t="str">
        <f>IF($D49&lt;&gt;"Feature",".",
IF(VLOOKUP($B49,Feature_List!$A:$AM,MATCH(DA$1,  Feature_List!$A$1:$AM$1,0),0)=AS49,".","NO"))</f>
        <v>.</v>
      </c>
      <c r="DB49" s="136" t="str">
        <f>IF($D49&lt;&gt;"Feature",".",
IF(VLOOKUP($B49,Feature_List!$A:$AM,MATCH(DB$1,  Feature_List!$A$1:$AM$1,0),0)=AT49,".","NO"))</f>
        <v>.</v>
      </c>
      <c r="DC49" s="136" t="str">
        <f>IF($D49&lt;&gt;"Feature",".",
IF(VLOOKUP($B49,Feature_List!$A:$AM,MATCH(DC$1,  Feature_List!$A$1:$AM$1,0),0)=AU49,".","NO"))</f>
        <v>.</v>
      </c>
      <c r="DD49" s="136" t="str">
        <f>IF($D49&lt;&gt;"Feature",".",
IF(VLOOKUP($B49,Feature_List!$A:$AM,MATCH(DD$1,  Feature_List!$A$1:$AM$1,0),0)=AV49,".","NO"))</f>
        <v>.</v>
      </c>
      <c r="DE49" s="136" t="str">
        <f>IF($D49&lt;&gt;"Feature",".",
IF(VLOOKUP($B49,Feature_List!$A:$AM,MATCH(DE$1,  Feature_List!$A$1:$AM$1,0),0)=AW49,".","NO"))</f>
        <v>.</v>
      </c>
      <c r="DF49" s="136" t="str">
        <f>IF($D49&lt;&gt;"Feature",".",
IF(VLOOKUP($B49,Feature_List!$A:$AM,MATCH(DF$1,  Feature_List!$A$1:$AM$1,0),0)=AX49,".","NO"))</f>
        <v>.</v>
      </c>
      <c r="DG49" s="136" t="str">
        <f>IF($D49&lt;&gt;"Feature",".",
IF(VLOOKUP($B49,Feature_List!$A:$AM,MATCH(DG$1,  Feature_List!$A$1:$AM$1,0),0)=AY49,".","NO"))</f>
        <v>.</v>
      </c>
      <c r="DH49" s="136" t="str">
        <f>IF($D49&lt;&gt;"Feature",".",
IF(VLOOKUP($B49,Feature_List!$A:$AM,MATCH(DH$1,  Feature_List!$A$1:$AM$1,0),0)=AZ49,".","NO"))</f>
        <v>.</v>
      </c>
      <c r="DI49" s="136" t="str">
        <f>IF($D49&lt;&gt;"Feature",".",
IF(VLOOKUP($B49,Feature_List!$A:$AM,MATCH(DI$1,  Feature_List!$A$1:$AM$1,0),0)=BA49,".","NO"))</f>
        <v>.</v>
      </c>
      <c r="DJ49" s="136" t="str">
        <f>IF($D49&lt;&gt;"Feature",".",
IF(VLOOKUP($B49,Feature_List!$A:$AM,MATCH(DJ$1,  Feature_List!$A$1:$AM$1,0),0)=BB49,".","NO"))</f>
        <v>.</v>
      </c>
      <c r="DK49" s="136"/>
      <c r="DL49" s="136"/>
      <c r="DM49" s="136"/>
      <c r="DN49" s="136" t="str">
        <f>IF($D49&lt;&gt;"Feature",".",
IF(VLOOKUP($B49,Feature_List!$A:$AM,MATCH(DN$1,  Feature_List!$A$1:$AM$1,0),0)=BC49,".","NO"))</f>
        <v>.</v>
      </c>
      <c r="DO49" s="136" t="str">
        <f>IF($D49&lt;&gt;"Feature",".",
IF(VLOOKUP($B49,Feature_List!$A:$AM,MATCH(DO$1,  Feature_List!$A$1:$AM$1,0),0)=BD49,".","NO"))</f>
        <v>.</v>
      </c>
    </row>
    <row r="50" spans="2:119" x14ac:dyDescent="0.3">
      <c r="B50" s="121">
        <v>338310</v>
      </c>
      <c r="C50" s="122" t="s">
        <v>604</v>
      </c>
      <c r="D50" s="122" t="s">
        <v>71</v>
      </c>
      <c r="E50" s="122" t="s">
        <v>718</v>
      </c>
      <c r="F50" s="138" t="s">
        <v>641</v>
      </c>
      <c r="G50" s="123" t="s">
        <v>641</v>
      </c>
      <c r="H50" s="122" t="s">
        <v>70</v>
      </c>
      <c r="I50" s="124" t="s">
        <v>562</v>
      </c>
      <c r="J50" s="138"/>
      <c r="K50" s="123">
        <v>1</v>
      </c>
      <c r="L50" s="122"/>
      <c r="M50" s="122" t="s">
        <v>598</v>
      </c>
      <c r="N50" s="125"/>
      <c r="O50" s="123">
        <f t="shared" si="0"/>
        <v>1</v>
      </c>
      <c r="P50" s="123" t="str">
        <f t="shared" si="1"/>
        <v>New</v>
      </c>
      <c r="Q50" s="122" t="str">
        <f t="shared" si="24"/>
        <v>Story</v>
      </c>
      <c r="R50" s="126">
        <f t="shared" si="2"/>
        <v>318430</v>
      </c>
      <c r="S50" s="127">
        <f t="shared" si="3"/>
        <v>338310</v>
      </c>
      <c r="T50" s="128" t="e">
        <f>IF($Q50="ZeroEntry", "",VLOOKUP($I50,'Ranking Lookup'!#REF!,2,FALSE))</f>
        <v>#REF!</v>
      </c>
      <c r="U50" s="129" t="str">
        <f t="shared" si="4"/>
        <v/>
      </c>
      <c r="V50" s="129" t="str">
        <f t="shared" si="5"/>
        <v/>
      </c>
      <c r="W50" s="129" t="str">
        <f t="shared" si="6"/>
        <v/>
      </c>
      <c r="X50" s="129" t="str">
        <f t="shared" si="7"/>
        <v/>
      </c>
      <c r="Y50" s="129" t="str">
        <f t="shared" si="8"/>
        <v>Feature</v>
      </c>
      <c r="Z50" s="129" t="str">
        <f t="shared" si="9"/>
        <v/>
      </c>
      <c r="AA50" s="130"/>
      <c r="AB50" s="130" t="str">
        <f t="shared" si="10"/>
        <v>PI 12</v>
      </c>
      <c r="AC50" s="131">
        <f t="shared" si="25"/>
        <v>1</v>
      </c>
      <c r="AD50" s="131">
        <f t="shared" si="26"/>
        <v>0</v>
      </c>
      <c r="AE50" s="132">
        <f t="shared" si="11"/>
        <v>0</v>
      </c>
      <c r="AF50" s="133" t="str">
        <f t="shared" si="27"/>
        <v/>
      </c>
      <c r="AG50" s="134">
        <f t="shared" si="12"/>
        <v>0</v>
      </c>
      <c r="AH50" s="54" t="str">
        <f t="shared" si="13"/>
        <v/>
      </c>
      <c r="AI50" s="54" t="e">
        <f t="shared" ref="AI50:AX65" si="35">IF(AND($Q50="Feature",LEFT($AB50,2)="PI"),
IF(AND(COUNTIF($R:$R,$B50)=1,$T50=AI$1), IF($AB50=$A$10,$AF50,0),
IF(OR($AD50&lt;1,RIGHT($G50,8)="Progress",$AH50&gt;0),SUMIFS($O:$O,$R:$R,$B50,$T:$T,AI$1,$P:$P,"&lt;&gt;Done",$AB:$AB,$A$10),
IF($T50=AI$1,IF($AB50=$A$10,$AD50,0)+SUMIFS($O:$O,$R:$R,$B50,$T:$T,AI$1,$P:$P,"&lt;&gt;Done",$AB:$AB,$A$10),SUMIFS($O:$O,$R:$R,$B50,$T:$T,AI$1,$P:$P,"&lt;&gt;Done",$AB:$AB,$A$10)))),
IF(AND(OR($Q50="Story",$Q50="Problem",$Q50="Enhancement"),$AB50=$A$10,$R50=0,$T50=AI$1,$P50&lt;&gt;"Done"),$O50,""))</f>
        <v>#REF!</v>
      </c>
      <c r="AJ50" s="54" t="e">
        <f t="shared" si="35"/>
        <v>#REF!</v>
      </c>
      <c r="AK50" s="54" t="e">
        <f t="shared" si="35"/>
        <v>#REF!</v>
      </c>
      <c r="AL50" s="54" t="e">
        <f t="shared" si="35"/>
        <v>#REF!</v>
      </c>
      <c r="AM50" s="54" t="e">
        <f t="shared" si="35"/>
        <v>#REF!</v>
      </c>
      <c r="AN50" s="54" t="e">
        <f t="shared" si="35"/>
        <v>#REF!</v>
      </c>
      <c r="AO50" s="54" t="e">
        <f t="shared" si="35"/>
        <v>#REF!</v>
      </c>
      <c r="AP50" s="54" t="e">
        <f t="shared" si="35"/>
        <v>#REF!</v>
      </c>
      <c r="AQ50" s="54" t="e">
        <f t="shared" si="35"/>
        <v>#REF!</v>
      </c>
      <c r="AR50" s="54" t="e">
        <f t="shared" si="35"/>
        <v>#REF!</v>
      </c>
      <c r="AS50" s="54" t="e">
        <f t="shared" si="35"/>
        <v>#REF!</v>
      </c>
      <c r="AT50" s="54" t="e">
        <f t="shared" si="35"/>
        <v>#REF!</v>
      </c>
      <c r="AU50" s="54" t="e">
        <f t="shared" si="35"/>
        <v>#REF!</v>
      </c>
      <c r="AV50" s="54" t="e">
        <f t="shared" si="35"/>
        <v>#REF!</v>
      </c>
      <c r="AW50" s="54" t="e">
        <f t="shared" si="35"/>
        <v>#REF!</v>
      </c>
      <c r="AX50" s="54" t="e">
        <f t="shared" si="35"/>
        <v>#REF!</v>
      </c>
      <c r="AY50" s="54" t="e">
        <f t="shared" si="15"/>
        <v>#REF!</v>
      </c>
      <c r="AZ50" s="54" t="str">
        <f t="shared" si="16"/>
        <v/>
      </c>
      <c r="BA50" s="54" t="e">
        <f t="shared" si="17"/>
        <v>#REF!</v>
      </c>
      <c r="BB50" s="135" t="str">
        <f t="shared" si="18"/>
        <v/>
      </c>
      <c r="BC50" s="54" t="e">
        <f t="shared" si="33"/>
        <v>#REF!</v>
      </c>
      <c r="BD50" s="54" t="e">
        <f t="shared" si="33"/>
        <v>#REF!</v>
      </c>
      <c r="BE50" s="54" t="e">
        <f t="shared" si="33"/>
        <v>#REF!</v>
      </c>
      <c r="BF50" s="54" t="str">
        <f t="shared" si="20"/>
        <v/>
      </c>
      <c r="BG50" s="54" t="str">
        <f t="shared" si="21"/>
        <v/>
      </c>
      <c r="BH50" s="34" t="e">
        <f t="shared" si="22"/>
        <v>#REF!</v>
      </c>
      <c r="BI50" s="34" t="e">
        <f t="shared" si="23"/>
        <v>#REF!</v>
      </c>
      <c r="BJ50" s="136" t="str">
        <f>IF($D50&lt;&gt;"Feature",".",
IF(VLOOKUP($B50,Feature_List!$A:$AM,MATCH(BJ$1,  Feature_List!$A$1:$AM$1,0),0)=B50,".","NO"))</f>
        <v>.</v>
      </c>
      <c r="BK50" s="136"/>
      <c r="BL50" s="136"/>
      <c r="BM50" s="136" t="str">
        <f>IF($D50&lt;&gt;"Feature",".",
IF(VLOOKUP($B50,Feature_List!$A:$AM,MATCH(BM$1,  Feature_List!$A$1:$AM$1,0),0)=E50,".","NO"))</f>
        <v>.</v>
      </c>
      <c r="BN50" s="136" t="str">
        <f>IF($D50&lt;&gt;"Feature",".",
IF(VLOOKUP($B50,Feature_List!$A:$AM,MATCH(BN$1,  Feature_List!$A$1:$AM$1,0),0)=F50,".","NO"))</f>
        <v>.</v>
      </c>
      <c r="BO50" s="136" t="str">
        <f>IF($D50&lt;&gt;"Feature",".",
IF(VLOOKUP($B50,Feature_List!$A:$AM,MATCH(BO$1,  Feature_List!$A$1:$AM$1,0),0)=G50,".","NO"))</f>
        <v>.</v>
      </c>
      <c r="BP50" s="136" t="str">
        <f>IF($D50&lt;&gt;"Feature",".",
IF(VLOOKUP($B50,Feature_List!$A:$AM,MATCH(BP$1,  Feature_List!$A$1:$AM$1,0),0)=H50,".","NO"))</f>
        <v>.</v>
      </c>
      <c r="BQ50" s="136"/>
      <c r="BR50" s="136" t="str">
        <f>IF($D50&lt;&gt;"Feature",".",
IF(VLOOKUP($B50,Feature_List!$A:$AM,MATCH(BR$1,  Feature_List!$A$1:$AM$1,0),0)=J50,".","NO"))</f>
        <v>.</v>
      </c>
      <c r="BS50" s="136"/>
      <c r="BT50" s="136"/>
      <c r="BU50" s="136" t="str">
        <f>IF($D50&lt;&gt;"Feature",".",
IF(VLOOKUP($B50,Feature_List!$A:$AM,MATCH(BU$1,  Feature_List!$A$1:$AM$1,0),0)=M50,".","NO"))</f>
        <v>.</v>
      </c>
      <c r="BV50" s="136" t="str">
        <f>IF($D50&lt;&gt;"Feature",".",
IF(VLOOKUP($B50,Feature_List!$A:$AM,MATCH(BV$1,  Feature_List!$A$1:$AM$1,0),0)=N50,".","NO"))</f>
        <v>.</v>
      </c>
      <c r="BW50" s="136"/>
      <c r="BX50" s="136"/>
      <c r="BY50" s="136"/>
      <c r="BZ50" s="136"/>
      <c r="CA50" s="136"/>
      <c r="CB50" s="136" t="str">
        <f>IF($D50&lt;&gt;"Feature",".",
IF(VLOOKUP($B50,Feature_List!$A:$AM,MATCH(CB$1,  Feature_List!$A$1:$AM$1,0),0)=T50,".","NO"))</f>
        <v>.</v>
      </c>
      <c r="CC50" s="136"/>
      <c r="CD50" s="136"/>
      <c r="CE50" s="136"/>
      <c r="CF50" s="136"/>
      <c r="CG50" s="136"/>
      <c r="CH50" s="136"/>
      <c r="CI50" s="136"/>
      <c r="CJ50" s="136"/>
      <c r="CK50" s="136"/>
      <c r="CL50" s="136"/>
      <c r="CM50" s="136"/>
      <c r="CN50" s="136"/>
      <c r="CO50" s="136" t="str">
        <f>IF($D50&lt;&gt;"Feature",".",
IF(VLOOKUP($B50,Feature_List!$A:$AM,MATCH(CO$1,  Feature_List!$A$1:$AM$1,0),0)=AG50,".","NO"))</f>
        <v>.</v>
      </c>
      <c r="CP50" s="136" t="str">
        <f>IF($D50&lt;&gt;"Feature",".",
IF(VLOOKUP($B50,Feature_List!$A:$AM,MATCH(CP$1,  Feature_List!$A$1:$AM$1,0),0)=AH50,".","NO"))</f>
        <v>.</v>
      </c>
      <c r="CQ50" s="136" t="str">
        <f>IF($D50&lt;&gt;"Feature",".",
IF(VLOOKUP($B50,Feature_List!$A:$AM,MATCH(CQ$1,  Feature_List!$A$1:$AM$1,0),0)=AI50,".","NO"))</f>
        <v>.</v>
      </c>
      <c r="CR50" s="136" t="str">
        <f>IF($D50&lt;&gt;"Feature",".",
IF(VLOOKUP($B50,Feature_List!$A:$AM,MATCH(CR$1,  Feature_List!$A$1:$AM$1,0),0)=AJ50,".","NO"))</f>
        <v>.</v>
      </c>
      <c r="CS50" s="136" t="str">
        <f>IF($D50&lt;&gt;"Feature",".",
IF(VLOOKUP($B50,Feature_List!$A:$AM,MATCH(CS$1,  Feature_List!$A$1:$AM$1,0),0)=AK50,".","NO"))</f>
        <v>.</v>
      </c>
      <c r="CT50" s="136" t="str">
        <f>IF($D50&lt;&gt;"Feature",".",
IF(VLOOKUP($B50,Feature_List!$A:$AM,MATCH(CT$1,  Feature_List!$A$1:$AM$1,0),0)=AL50,".","NO"))</f>
        <v>.</v>
      </c>
      <c r="CU50" s="136" t="str">
        <f>IF($D50&lt;&gt;"Feature",".",
IF(VLOOKUP($B50,Feature_List!$A:$AM,MATCH(CU$1,  Feature_List!$A$1:$AM$1,0),0)=AM50,".","NO"))</f>
        <v>.</v>
      </c>
      <c r="CV50" s="136" t="str">
        <f>IF($D50&lt;&gt;"Feature",".",
IF(VLOOKUP($B50,Feature_List!$A:$AM,MATCH(CV$1,  Feature_List!$A$1:$AM$1,0),0)=AN50,".","NO"))</f>
        <v>.</v>
      </c>
      <c r="CW50" s="136" t="str">
        <f>IF($D50&lt;&gt;"Feature",".",
IF(VLOOKUP($B50,Feature_List!$A:$AM,MATCH(CW$1,  Feature_List!$A$1:$AM$1,0),0)=AO50,".","NO"))</f>
        <v>.</v>
      </c>
      <c r="CX50" s="136" t="str">
        <f>IF($D50&lt;&gt;"Feature",".",
IF(VLOOKUP($B50,Feature_List!$A:$AM,MATCH(CX$1,  Feature_List!$A$1:$AM$1,0),0)=AP50,".","NO"))</f>
        <v>.</v>
      </c>
      <c r="CY50" s="136" t="str">
        <f>IF($D50&lt;&gt;"Feature",".",
IF(VLOOKUP($B50,Feature_List!$A:$AM,MATCH(CY$1,  Feature_List!$A$1:$AM$1,0),0)=AQ50,".","NO"))</f>
        <v>.</v>
      </c>
      <c r="CZ50" s="136" t="str">
        <f>IF($D50&lt;&gt;"Feature",".",
IF(VLOOKUP($B50,Feature_List!$A:$AM,MATCH(CZ$1,  Feature_List!$A$1:$AM$1,0),0)=AR50,".","NO"))</f>
        <v>.</v>
      </c>
      <c r="DA50" s="136" t="str">
        <f>IF($D50&lt;&gt;"Feature",".",
IF(VLOOKUP($B50,Feature_List!$A:$AM,MATCH(DA$1,  Feature_List!$A$1:$AM$1,0),0)=AS50,".","NO"))</f>
        <v>.</v>
      </c>
      <c r="DB50" s="136" t="str">
        <f>IF($D50&lt;&gt;"Feature",".",
IF(VLOOKUP($B50,Feature_List!$A:$AM,MATCH(DB$1,  Feature_List!$A$1:$AM$1,0),0)=AT50,".","NO"))</f>
        <v>.</v>
      </c>
      <c r="DC50" s="136" t="str">
        <f>IF($D50&lt;&gt;"Feature",".",
IF(VLOOKUP($B50,Feature_List!$A:$AM,MATCH(DC$1,  Feature_List!$A$1:$AM$1,0),0)=AU50,".","NO"))</f>
        <v>.</v>
      </c>
      <c r="DD50" s="136" t="str">
        <f>IF($D50&lt;&gt;"Feature",".",
IF(VLOOKUP($B50,Feature_List!$A:$AM,MATCH(DD$1,  Feature_List!$A$1:$AM$1,0),0)=AV50,".","NO"))</f>
        <v>.</v>
      </c>
      <c r="DE50" s="136" t="str">
        <f>IF($D50&lt;&gt;"Feature",".",
IF(VLOOKUP($B50,Feature_List!$A:$AM,MATCH(DE$1,  Feature_List!$A$1:$AM$1,0),0)=AW50,".","NO"))</f>
        <v>.</v>
      </c>
      <c r="DF50" s="136" t="str">
        <f>IF($D50&lt;&gt;"Feature",".",
IF(VLOOKUP($B50,Feature_List!$A:$AM,MATCH(DF$1,  Feature_List!$A$1:$AM$1,0),0)=AX50,".","NO"))</f>
        <v>.</v>
      </c>
      <c r="DG50" s="136" t="str">
        <f>IF($D50&lt;&gt;"Feature",".",
IF(VLOOKUP($B50,Feature_List!$A:$AM,MATCH(DG$1,  Feature_List!$A$1:$AM$1,0),0)=AY50,".","NO"))</f>
        <v>.</v>
      </c>
      <c r="DH50" s="136" t="str">
        <f>IF($D50&lt;&gt;"Feature",".",
IF(VLOOKUP($B50,Feature_List!$A:$AM,MATCH(DH$1,  Feature_List!$A$1:$AM$1,0),0)=AZ50,".","NO"))</f>
        <v>.</v>
      </c>
      <c r="DI50" s="136" t="str">
        <f>IF($D50&lt;&gt;"Feature",".",
IF(VLOOKUP($B50,Feature_List!$A:$AM,MATCH(DI$1,  Feature_List!$A$1:$AM$1,0),0)=BA50,".","NO"))</f>
        <v>.</v>
      </c>
      <c r="DJ50" s="136" t="str">
        <f>IF($D50&lt;&gt;"Feature",".",
IF(VLOOKUP($B50,Feature_List!$A:$AM,MATCH(DJ$1,  Feature_List!$A$1:$AM$1,0),0)=BB50,".","NO"))</f>
        <v>.</v>
      </c>
      <c r="DK50" s="136"/>
      <c r="DL50" s="136"/>
      <c r="DM50" s="136"/>
      <c r="DN50" s="136" t="str">
        <f>IF($D50&lt;&gt;"Feature",".",
IF(VLOOKUP($B50,Feature_List!$A:$AM,MATCH(DN$1,  Feature_List!$A$1:$AM$1,0),0)=BC50,".","NO"))</f>
        <v>.</v>
      </c>
      <c r="DO50" s="136" t="str">
        <f>IF($D50&lt;&gt;"Feature",".",
IF(VLOOKUP($B50,Feature_List!$A:$AM,MATCH(DO$1,  Feature_List!$A$1:$AM$1,0),0)=BD50,".","NO"))</f>
        <v>.</v>
      </c>
    </row>
    <row r="51" spans="2:119" x14ac:dyDescent="0.3">
      <c r="B51" s="121">
        <v>337420</v>
      </c>
      <c r="C51" s="122" t="s">
        <v>604</v>
      </c>
      <c r="D51" s="122" t="s">
        <v>71</v>
      </c>
      <c r="E51" s="122" t="s">
        <v>719</v>
      </c>
      <c r="F51" s="138" t="s">
        <v>130</v>
      </c>
      <c r="G51" s="123" t="s">
        <v>130</v>
      </c>
      <c r="H51" s="122" t="s">
        <v>683</v>
      </c>
      <c r="I51" s="124" t="s">
        <v>126</v>
      </c>
      <c r="J51" s="138"/>
      <c r="K51" s="123">
        <v>0</v>
      </c>
      <c r="L51" s="122"/>
      <c r="M51" s="122" t="s">
        <v>104</v>
      </c>
      <c r="N51" s="125"/>
      <c r="O51" s="123">
        <f t="shared" si="0"/>
        <v>0</v>
      </c>
      <c r="P51" s="123" t="str">
        <f t="shared" si="1"/>
        <v>Invalid</v>
      </c>
      <c r="Q51" s="122" t="str">
        <f t="shared" si="24"/>
        <v>Story</v>
      </c>
      <c r="R51" s="126">
        <f t="shared" si="2"/>
        <v>318430</v>
      </c>
      <c r="S51" s="127">
        <f t="shared" si="3"/>
        <v>337420</v>
      </c>
      <c r="T51" s="128" t="e">
        <f>IF($Q51="ZeroEntry", "",VLOOKUP($I51,'Ranking Lookup'!#REF!,2,FALSE))</f>
        <v>#REF!</v>
      </c>
      <c r="U51" s="129" t="str">
        <f t="shared" si="4"/>
        <v/>
      </c>
      <c r="V51" s="129" t="str">
        <f t="shared" si="5"/>
        <v/>
      </c>
      <c r="W51" s="129" t="str">
        <f t="shared" si="6"/>
        <v/>
      </c>
      <c r="X51" s="129" t="str">
        <f t="shared" si="7"/>
        <v/>
      </c>
      <c r="Y51" s="129" t="str">
        <f t="shared" si="8"/>
        <v>Feature</v>
      </c>
      <c r="Z51" s="129" t="str">
        <f t="shared" si="9"/>
        <v/>
      </c>
      <c r="AA51" s="130"/>
      <c r="AB51" s="130" t="str">
        <f t="shared" si="10"/>
        <v>PI 12</v>
      </c>
      <c r="AC51" s="131">
        <f t="shared" si="25"/>
        <v>0</v>
      </c>
      <c r="AD51" s="131">
        <f t="shared" si="26"/>
        <v>0</v>
      </c>
      <c r="AE51" s="132">
        <f t="shared" si="11"/>
        <v>0</v>
      </c>
      <c r="AF51" s="133" t="str">
        <f t="shared" si="27"/>
        <v/>
      </c>
      <c r="AG51" s="134">
        <f t="shared" si="12"/>
        <v>0</v>
      </c>
      <c r="AH51" s="54" t="str">
        <f t="shared" si="13"/>
        <v/>
      </c>
      <c r="AI51" s="54" t="e">
        <f t="shared" si="35"/>
        <v>#REF!</v>
      </c>
      <c r="AJ51" s="54" t="e">
        <f t="shared" si="35"/>
        <v>#REF!</v>
      </c>
      <c r="AK51" s="54" t="e">
        <f t="shared" si="35"/>
        <v>#REF!</v>
      </c>
      <c r="AL51" s="54" t="e">
        <f t="shared" si="35"/>
        <v>#REF!</v>
      </c>
      <c r="AM51" s="54" t="e">
        <f t="shared" si="35"/>
        <v>#REF!</v>
      </c>
      <c r="AN51" s="54" t="e">
        <f t="shared" si="35"/>
        <v>#REF!</v>
      </c>
      <c r="AO51" s="54" t="e">
        <f t="shared" si="35"/>
        <v>#REF!</v>
      </c>
      <c r="AP51" s="54" t="e">
        <f t="shared" si="35"/>
        <v>#REF!</v>
      </c>
      <c r="AQ51" s="54" t="e">
        <f t="shared" si="35"/>
        <v>#REF!</v>
      </c>
      <c r="AR51" s="54" t="e">
        <f t="shared" si="35"/>
        <v>#REF!</v>
      </c>
      <c r="AS51" s="54" t="e">
        <f t="shared" si="35"/>
        <v>#REF!</v>
      </c>
      <c r="AT51" s="54" t="e">
        <f t="shared" si="35"/>
        <v>#REF!</v>
      </c>
      <c r="AU51" s="54" t="e">
        <f t="shared" si="35"/>
        <v>#REF!</v>
      </c>
      <c r="AV51" s="54" t="e">
        <f t="shared" si="35"/>
        <v>#REF!</v>
      </c>
      <c r="AW51" s="54" t="e">
        <f t="shared" si="35"/>
        <v>#REF!</v>
      </c>
      <c r="AX51" s="54" t="e">
        <f t="shared" si="35"/>
        <v>#REF!</v>
      </c>
      <c r="AY51" s="54" t="e">
        <f t="shared" si="15"/>
        <v>#REF!</v>
      </c>
      <c r="AZ51" s="54" t="str">
        <f t="shared" si="16"/>
        <v/>
      </c>
      <c r="BA51" s="54" t="e">
        <f t="shared" si="17"/>
        <v>#REF!</v>
      </c>
      <c r="BB51" s="135" t="str">
        <f t="shared" si="18"/>
        <v/>
      </c>
      <c r="BC51" s="54" t="e">
        <f t="shared" si="33"/>
        <v>#REF!</v>
      </c>
      <c r="BD51" s="54" t="e">
        <f t="shared" si="33"/>
        <v>#REF!</v>
      </c>
      <c r="BE51" s="54" t="e">
        <f t="shared" si="33"/>
        <v>#REF!</v>
      </c>
      <c r="BF51" s="54" t="str">
        <f t="shared" si="20"/>
        <v/>
      </c>
      <c r="BG51" s="54" t="str">
        <f t="shared" si="21"/>
        <v/>
      </c>
      <c r="BH51" s="34" t="e">
        <f t="shared" si="22"/>
        <v>#REF!</v>
      </c>
      <c r="BI51" s="34" t="e">
        <f t="shared" si="23"/>
        <v>#REF!</v>
      </c>
      <c r="BJ51" s="136" t="str">
        <f>IF($D51&lt;&gt;"Feature",".",
IF(VLOOKUP($B51,Feature_List!$A:$AM,MATCH(BJ$1,  Feature_List!$A$1:$AM$1,0),0)=B51,".","NO"))</f>
        <v>.</v>
      </c>
      <c r="BK51" s="136"/>
      <c r="BL51" s="136"/>
      <c r="BM51" s="136" t="str">
        <f>IF($D51&lt;&gt;"Feature",".",
IF(VLOOKUP($B51,Feature_List!$A:$AM,MATCH(BM$1,  Feature_List!$A$1:$AM$1,0),0)=E51,".","NO"))</f>
        <v>.</v>
      </c>
      <c r="BN51" s="136" t="str">
        <f>IF($D51&lt;&gt;"Feature",".",
IF(VLOOKUP($B51,Feature_List!$A:$AM,MATCH(BN$1,  Feature_List!$A$1:$AM$1,0),0)=F51,".","NO"))</f>
        <v>.</v>
      </c>
      <c r="BO51" s="136" t="str">
        <f>IF($D51&lt;&gt;"Feature",".",
IF(VLOOKUP($B51,Feature_List!$A:$AM,MATCH(BO$1,  Feature_List!$A$1:$AM$1,0),0)=G51,".","NO"))</f>
        <v>.</v>
      </c>
      <c r="BP51" s="136" t="str">
        <f>IF($D51&lt;&gt;"Feature",".",
IF(VLOOKUP($B51,Feature_List!$A:$AM,MATCH(BP$1,  Feature_List!$A$1:$AM$1,0),0)=H51,".","NO"))</f>
        <v>.</v>
      </c>
      <c r="BQ51" s="136"/>
      <c r="BR51" s="136" t="str">
        <f>IF($D51&lt;&gt;"Feature",".",
IF(VLOOKUP($B51,Feature_List!$A:$AM,MATCH(BR$1,  Feature_List!$A$1:$AM$1,0),0)=J51,".","NO"))</f>
        <v>.</v>
      </c>
      <c r="BS51" s="136"/>
      <c r="BT51" s="136"/>
      <c r="BU51" s="136" t="str">
        <f>IF($D51&lt;&gt;"Feature",".",
IF(VLOOKUP($B51,Feature_List!$A:$AM,MATCH(BU$1,  Feature_List!$A$1:$AM$1,0),0)=M51,".","NO"))</f>
        <v>.</v>
      </c>
      <c r="BV51" s="136" t="str">
        <f>IF($D51&lt;&gt;"Feature",".",
IF(VLOOKUP($B51,Feature_List!$A:$AM,MATCH(BV$1,  Feature_List!$A$1:$AM$1,0),0)=N51,".","NO"))</f>
        <v>.</v>
      </c>
      <c r="BW51" s="136"/>
      <c r="BX51" s="136"/>
      <c r="BY51" s="136"/>
      <c r="BZ51" s="136"/>
      <c r="CA51" s="136"/>
      <c r="CB51" s="136" t="str">
        <f>IF($D51&lt;&gt;"Feature",".",
IF(VLOOKUP($B51,Feature_List!$A:$AM,MATCH(CB$1,  Feature_List!$A$1:$AM$1,0),0)=T51,".","NO"))</f>
        <v>.</v>
      </c>
      <c r="CC51" s="136"/>
      <c r="CD51" s="136"/>
      <c r="CE51" s="136"/>
      <c r="CF51" s="136"/>
      <c r="CG51" s="136"/>
      <c r="CH51" s="136"/>
      <c r="CI51" s="136"/>
      <c r="CJ51" s="136"/>
      <c r="CK51" s="136"/>
      <c r="CL51" s="136"/>
      <c r="CM51" s="136"/>
      <c r="CN51" s="136"/>
      <c r="CO51" s="136" t="str">
        <f>IF($D51&lt;&gt;"Feature",".",
IF(VLOOKUP($B51,Feature_List!$A:$AM,MATCH(CO$1,  Feature_List!$A$1:$AM$1,0),0)=AG51,".","NO"))</f>
        <v>.</v>
      </c>
      <c r="CP51" s="136" t="str">
        <f>IF($D51&lt;&gt;"Feature",".",
IF(VLOOKUP($B51,Feature_List!$A:$AM,MATCH(CP$1,  Feature_List!$A$1:$AM$1,0),0)=AH51,".","NO"))</f>
        <v>.</v>
      </c>
      <c r="CQ51" s="136" t="str">
        <f>IF($D51&lt;&gt;"Feature",".",
IF(VLOOKUP($B51,Feature_List!$A:$AM,MATCH(CQ$1,  Feature_List!$A$1:$AM$1,0),0)=AI51,".","NO"))</f>
        <v>.</v>
      </c>
      <c r="CR51" s="136" t="str">
        <f>IF($D51&lt;&gt;"Feature",".",
IF(VLOOKUP($B51,Feature_List!$A:$AM,MATCH(CR$1,  Feature_List!$A$1:$AM$1,0),0)=AJ51,".","NO"))</f>
        <v>.</v>
      </c>
      <c r="CS51" s="136" t="str">
        <f>IF($D51&lt;&gt;"Feature",".",
IF(VLOOKUP($B51,Feature_List!$A:$AM,MATCH(CS$1,  Feature_List!$A$1:$AM$1,0),0)=AK51,".","NO"))</f>
        <v>.</v>
      </c>
      <c r="CT51" s="136" t="str">
        <f>IF($D51&lt;&gt;"Feature",".",
IF(VLOOKUP($B51,Feature_List!$A:$AM,MATCH(CT$1,  Feature_List!$A$1:$AM$1,0),0)=AL51,".","NO"))</f>
        <v>.</v>
      </c>
      <c r="CU51" s="136" t="str">
        <f>IF($D51&lt;&gt;"Feature",".",
IF(VLOOKUP($B51,Feature_List!$A:$AM,MATCH(CU$1,  Feature_List!$A$1:$AM$1,0),0)=AM51,".","NO"))</f>
        <v>.</v>
      </c>
      <c r="CV51" s="136" t="str">
        <f>IF($D51&lt;&gt;"Feature",".",
IF(VLOOKUP($B51,Feature_List!$A:$AM,MATCH(CV$1,  Feature_List!$A$1:$AM$1,0),0)=AN51,".","NO"))</f>
        <v>.</v>
      </c>
      <c r="CW51" s="136" t="str">
        <f>IF($D51&lt;&gt;"Feature",".",
IF(VLOOKUP($B51,Feature_List!$A:$AM,MATCH(CW$1,  Feature_List!$A$1:$AM$1,0),0)=AO51,".","NO"))</f>
        <v>.</v>
      </c>
      <c r="CX51" s="136" t="str">
        <f>IF($D51&lt;&gt;"Feature",".",
IF(VLOOKUP($B51,Feature_List!$A:$AM,MATCH(CX$1,  Feature_List!$A$1:$AM$1,0),0)=AP51,".","NO"))</f>
        <v>.</v>
      </c>
      <c r="CY51" s="136" t="str">
        <f>IF($D51&lt;&gt;"Feature",".",
IF(VLOOKUP($B51,Feature_List!$A:$AM,MATCH(CY$1,  Feature_List!$A$1:$AM$1,0),0)=AQ51,".","NO"))</f>
        <v>.</v>
      </c>
      <c r="CZ51" s="136" t="str">
        <f>IF($D51&lt;&gt;"Feature",".",
IF(VLOOKUP($B51,Feature_List!$A:$AM,MATCH(CZ$1,  Feature_List!$A$1:$AM$1,0),0)=AR51,".","NO"))</f>
        <v>.</v>
      </c>
      <c r="DA51" s="136" t="str">
        <f>IF($D51&lt;&gt;"Feature",".",
IF(VLOOKUP($B51,Feature_List!$A:$AM,MATCH(DA$1,  Feature_List!$A$1:$AM$1,0),0)=AS51,".","NO"))</f>
        <v>.</v>
      </c>
      <c r="DB51" s="136" t="str">
        <f>IF($D51&lt;&gt;"Feature",".",
IF(VLOOKUP($B51,Feature_List!$A:$AM,MATCH(DB$1,  Feature_List!$A$1:$AM$1,0),0)=AT51,".","NO"))</f>
        <v>.</v>
      </c>
      <c r="DC51" s="136" t="str">
        <f>IF($D51&lt;&gt;"Feature",".",
IF(VLOOKUP($B51,Feature_List!$A:$AM,MATCH(DC$1,  Feature_List!$A$1:$AM$1,0),0)=AU51,".","NO"))</f>
        <v>.</v>
      </c>
      <c r="DD51" s="136" t="str">
        <f>IF($D51&lt;&gt;"Feature",".",
IF(VLOOKUP($B51,Feature_List!$A:$AM,MATCH(DD$1,  Feature_List!$A$1:$AM$1,0),0)=AV51,".","NO"))</f>
        <v>.</v>
      </c>
      <c r="DE51" s="136" t="str">
        <f>IF($D51&lt;&gt;"Feature",".",
IF(VLOOKUP($B51,Feature_List!$A:$AM,MATCH(DE$1,  Feature_List!$A$1:$AM$1,0),0)=AW51,".","NO"))</f>
        <v>.</v>
      </c>
      <c r="DF51" s="136" t="str">
        <f>IF($D51&lt;&gt;"Feature",".",
IF(VLOOKUP($B51,Feature_List!$A:$AM,MATCH(DF$1,  Feature_List!$A$1:$AM$1,0),0)=AX51,".","NO"))</f>
        <v>.</v>
      </c>
      <c r="DG51" s="136" t="str">
        <f>IF($D51&lt;&gt;"Feature",".",
IF(VLOOKUP($B51,Feature_List!$A:$AM,MATCH(DG$1,  Feature_List!$A$1:$AM$1,0),0)=AY51,".","NO"))</f>
        <v>.</v>
      </c>
      <c r="DH51" s="136" t="str">
        <f>IF($D51&lt;&gt;"Feature",".",
IF(VLOOKUP($B51,Feature_List!$A:$AM,MATCH(DH$1,  Feature_List!$A$1:$AM$1,0),0)=AZ51,".","NO"))</f>
        <v>.</v>
      </c>
      <c r="DI51" s="136" t="str">
        <f>IF($D51&lt;&gt;"Feature",".",
IF(VLOOKUP($B51,Feature_List!$A:$AM,MATCH(DI$1,  Feature_List!$A$1:$AM$1,0),0)=BA51,".","NO"))</f>
        <v>.</v>
      </c>
      <c r="DJ51" s="136" t="str">
        <f>IF($D51&lt;&gt;"Feature",".",
IF(VLOOKUP($B51,Feature_List!$A:$AM,MATCH(DJ$1,  Feature_List!$A$1:$AM$1,0),0)=BB51,".","NO"))</f>
        <v>.</v>
      </c>
      <c r="DK51" s="136"/>
      <c r="DL51" s="136"/>
      <c r="DM51" s="136"/>
      <c r="DN51" s="136" t="str">
        <f>IF($D51&lt;&gt;"Feature",".",
IF(VLOOKUP($B51,Feature_List!$A:$AM,MATCH(DN$1,  Feature_List!$A$1:$AM$1,0),0)=BC51,".","NO"))</f>
        <v>.</v>
      </c>
      <c r="DO51" s="136" t="str">
        <f>IF($D51&lt;&gt;"Feature",".",
IF(VLOOKUP($B51,Feature_List!$A:$AM,MATCH(DO$1,  Feature_List!$A$1:$AM$1,0),0)=BD51,".","NO"))</f>
        <v>.</v>
      </c>
    </row>
    <row r="52" spans="2:119" x14ac:dyDescent="0.3">
      <c r="B52" s="121">
        <v>337417</v>
      </c>
      <c r="C52" s="122" t="s">
        <v>604</v>
      </c>
      <c r="D52" s="122" t="s">
        <v>71</v>
      </c>
      <c r="E52" s="122" t="s">
        <v>720</v>
      </c>
      <c r="F52" s="138" t="s">
        <v>130</v>
      </c>
      <c r="G52" s="123" t="s">
        <v>130</v>
      </c>
      <c r="H52" s="122" t="s">
        <v>683</v>
      </c>
      <c r="I52" s="124" t="s">
        <v>562</v>
      </c>
      <c r="J52" s="138"/>
      <c r="K52" s="123">
        <v>0</v>
      </c>
      <c r="L52" s="122"/>
      <c r="M52" s="122" t="s">
        <v>104</v>
      </c>
      <c r="N52" s="125"/>
      <c r="O52" s="123">
        <f t="shared" si="0"/>
        <v>0</v>
      </c>
      <c r="P52" s="123" t="str">
        <f t="shared" si="1"/>
        <v>Invalid</v>
      </c>
      <c r="Q52" s="122" t="str">
        <f t="shared" si="24"/>
        <v>Story</v>
      </c>
      <c r="R52" s="126">
        <f t="shared" si="2"/>
        <v>318430</v>
      </c>
      <c r="S52" s="127">
        <f t="shared" si="3"/>
        <v>337417</v>
      </c>
      <c r="T52" s="128" t="e">
        <f>IF($Q52="ZeroEntry", "",VLOOKUP($I52,'Ranking Lookup'!#REF!,2,FALSE))</f>
        <v>#REF!</v>
      </c>
      <c r="U52" s="129" t="str">
        <f t="shared" si="4"/>
        <v/>
      </c>
      <c r="V52" s="129" t="str">
        <f t="shared" si="5"/>
        <v/>
      </c>
      <c r="W52" s="129" t="str">
        <f t="shared" si="6"/>
        <v/>
      </c>
      <c r="X52" s="129" t="str">
        <f t="shared" si="7"/>
        <v/>
      </c>
      <c r="Y52" s="129" t="str">
        <f t="shared" si="8"/>
        <v>Feature</v>
      </c>
      <c r="Z52" s="129" t="str">
        <f t="shared" si="9"/>
        <v/>
      </c>
      <c r="AA52" s="130"/>
      <c r="AB52" s="130" t="str">
        <f t="shared" si="10"/>
        <v>PI 12</v>
      </c>
      <c r="AC52" s="131">
        <f t="shared" si="25"/>
        <v>0</v>
      </c>
      <c r="AD52" s="131">
        <f t="shared" si="26"/>
        <v>0</v>
      </c>
      <c r="AE52" s="132">
        <f t="shared" si="11"/>
        <v>0</v>
      </c>
      <c r="AF52" s="133" t="str">
        <f t="shared" si="27"/>
        <v/>
      </c>
      <c r="AG52" s="134">
        <f t="shared" si="12"/>
        <v>0</v>
      </c>
      <c r="AH52" s="54" t="str">
        <f t="shared" si="13"/>
        <v/>
      </c>
      <c r="AI52" s="54" t="e">
        <f t="shared" si="35"/>
        <v>#REF!</v>
      </c>
      <c r="AJ52" s="54" t="e">
        <f t="shared" si="35"/>
        <v>#REF!</v>
      </c>
      <c r="AK52" s="54" t="e">
        <f t="shared" si="35"/>
        <v>#REF!</v>
      </c>
      <c r="AL52" s="54" t="e">
        <f t="shared" si="35"/>
        <v>#REF!</v>
      </c>
      <c r="AM52" s="54" t="e">
        <f t="shared" si="35"/>
        <v>#REF!</v>
      </c>
      <c r="AN52" s="54" t="e">
        <f t="shared" si="35"/>
        <v>#REF!</v>
      </c>
      <c r="AO52" s="54" t="e">
        <f t="shared" si="35"/>
        <v>#REF!</v>
      </c>
      <c r="AP52" s="54" t="e">
        <f t="shared" si="35"/>
        <v>#REF!</v>
      </c>
      <c r="AQ52" s="54" t="e">
        <f t="shared" si="35"/>
        <v>#REF!</v>
      </c>
      <c r="AR52" s="54" t="e">
        <f t="shared" si="35"/>
        <v>#REF!</v>
      </c>
      <c r="AS52" s="54" t="e">
        <f t="shared" si="35"/>
        <v>#REF!</v>
      </c>
      <c r="AT52" s="54" t="e">
        <f t="shared" si="35"/>
        <v>#REF!</v>
      </c>
      <c r="AU52" s="54" t="e">
        <f t="shared" si="35"/>
        <v>#REF!</v>
      </c>
      <c r="AV52" s="54" t="e">
        <f t="shared" si="35"/>
        <v>#REF!</v>
      </c>
      <c r="AW52" s="54" t="e">
        <f t="shared" si="35"/>
        <v>#REF!</v>
      </c>
      <c r="AX52" s="54" t="e">
        <f t="shared" si="35"/>
        <v>#REF!</v>
      </c>
      <c r="AY52" s="54" t="e">
        <f t="shared" si="15"/>
        <v>#REF!</v>
      </c>
      <c r="AZ52" s="54" t="str">
        <f t="shared" si="16"/>
        <v/>
      </c>
      <c r="BA52" s="54" t="e">
        <f t="shared" si="17"/>
        <v>#REF!</v>
      </c>
      <c r="BB52" s="135" t="str">
        <f t="shared" si="18"/>
        <v/>
      </c>
      <c r="BC52" s="54" t="e">
        <f t="shared" si="33"/>
        <v>#REF!</v>
      </c>
      <c r="BD52" s="54" t="e">
        <f t="shared" si="33"/>
        <v>#REF!</v>
      </c>
      <c r="BE52" s="54" t="e">
        <f t="shared" si="33"/>
        <v>#REF!</v>
      </c>
      <c r="BF52" s="54" t="str">
        <f t="shared" si="20"/>
        <v/>
      </c>
      <c r="BG52" s="54" t="str">
        <f t="shared" si="21"/>
        <v/>
      </c>
      <c r="BH52" s="34" t="e">
        <f t="shared" si="22"/>
        <v>#REF!</v>
      </c>
      <c r="BI52" s="34" t="e">
        <f t="shared" si="23"/>
        <v>#REF!</v>
      </c>
      <c r="BJ52" s="136" t="str">
        <f>IF($D52&lt;&gt;"Feature",".",
IF(VLOOKUP($B52,Feature_List!$A:$AM,MATCH(BJ$1,  Feature_List!$A$1:$AM$1,0),0)=B52,".","NO"))</f>
        <v>.</v>
      </c>
      <c r="BK52" s="136"/>
      <c r="BL52" s="136"/>
      <c r="BM52" s="136" t="str">
        <f>IF($D52&lt;&gt;"Feature",".",
IF(VLOOKUP($B52,Feature_List!$A:$AM,MATCH(BM$1,  Feature_List!$A$1:$AM$1,0),0)=E52,".","NO"))</f>
        <v>.</v>
      </c>
      <c r="BN52" s="136" t="str">
        <f>IF($D52&lt;&gt;"Feature",".",
IF(VLOOKUP($B52,Feature_List!$A:$AM,MATCH(BN$1,  Feature_List!$A$1:$AM$1,0),0)=F52,".","NO"))</f>
        <v>.</v>
      </c>
      <c r="BO52" s="136" t="str">
        <f>IF($D52&lt;&gt;"Feature",".",
IF(VLOOKUP($B52,Feature_List!$A:$AM,MATCH(BO$1,  Feature_List!$A$1:$AM$1,0),0)=G52,".","NO"))</f>
        <v>.</v>
      </c>
      <c r="BP52" s="136" t="str">
        <f>IF($D52&lt;&gt;"Feature",".",
IF(VLOOKUP($B52,Feature_List!$A:$AM,MATCH(BP$1,  Feature_List!$A$1:$AM$1,0),0)=H52,".","NO"))</f>
        <v>.</v>
      </c>
      <c r="BQ52" s="136"/>
      <c r="BR52" s="136" t="str">
        <f>IF($D52&lt;&gt;"Feature",".",
IF(VLOOKUP($B52,Feature_List!$A:$AM,MATCH(BR$1,  Feature_List!$A$1:$AM$1,0),0)=J52,".","NO"))</f>
        <v>.</v>
      </c>
      <c r="BS52" s="136"/>
      <c r="BT52" s="136"/>
      <c r="BU52" s="136" t="str">
        <f>IF($D52&lt;&gt;"Feature",".",
IF(VLOOKUP($B52,Feature_List!$A:$AM,MATCH(BU$1,  Feature_List!$A$1:$AM$1,0),0)=M52,".","NO"))</f>
        <v>.</v>
      </c>
      <c r="BV52" s="136" t="str">
        <f>IF($D52&lt;&gt;"Feature",".",
IF(VLOOKUP($B52,Feature_List!$A:$AM,MATCH(BV$1,  Feature_List!$A$1:$AM$1,0),0)=N52,".","NO"))</f>
        <v>.</v>
      </c>
      <c r="BW52" s="136"/>
      <c r="BX52" s="136"/>
      <c r="BY52" s="136"/>
      <c r="BZ52" s="136"/>
      <c r="CA52" s="136"/>
      <c r="CB52" s="136" t="str">
        <f>IF($D52&lt;&gt;"Feature",".",
IF(VLOOKUP($B52,Feature_List!$A:$AM,MATCH(CB$1,  Feature_List!$A$1:$AM$1,0),0)=T52,".","NO"))</f>
        <v>.</v>
      </c>
      <c r="CC52" s="136"/>
      <c r="CD52" s="136"/>
      <c r="CE52" s="136"/>
      <c r="CF52" s="136"/>
      <c r="CG52" s="136"/>
      <c r="CH52" s="136"/>
      <c r="CI52" s="136"/>
      <c r="CJ52" s="136"/>
      <c r="CK52" s="136"/>
      <c r="CL52" s="136"/>
      <c r="CM52" s="136"/>
      <c r="CN52" s="136"/>
      <c r="CO52" s="136" t="str">
        <f>IF($D52&lt;&gt;"Feature",".",
IF(VLOOKUP($B52,Feature_List!$A:$AM,MATCH(CO$1,  Feature_List!$A$1:$AM$1,0),0)=AG52,".","NO"))</f>
        <v>.</v>
      </c>
      <c r="CP52" s="136" t="str">
        <f>IF($D52&lt;&gt;"Feature",".",
IF(VLOOKUP($B52,Feature_List!$A:$AM,MATCH(CP$1,  Feature_List!$A$1:$AM$1,0),0)=AH52,".","NO"))</f>
        <v>.</v>
      </c>
      <c r="CQ52" s="136" t="str">
        <f>IF($D52&lt;&gt;"Feature",".",
IF(VLOOKUP($B52,Feature_List!$A:$AM,MATCH(CQ$1,  Feature_List!$A$1:$AM$1,0),0)=AI52,".","NO"))</f>
        <v>.</v>
      </c>
      <c r="CR52" s="136" t="str">
        <f>IF($D52&lt;&gt;"Feature",".",
IF(VLOOKUP($B52,Feature_List!$A:$AM,MATCH(CR$1,  Feature_List!$A$1:$AM$1,0),0)=AJ52,".","NO"))</f>
        <v>.</v>
      </c>
      <c r="CS52" s="136" t="str">
        <f>IF($D52&lt;&gt;"Feature",".",
IF(VLOOKUP($B52,Feature_List!$A:$AM,MATCH(CS$1,  Feature_List!$A$1:$AM$1,0),0)=AK52,".","NO"))</f>
        <v>.</v>
      </c>
      <c r="CT52" s="136" t="str">
        <f>IF($D52&lt;&gt;"Feature",".",
IF(VLOOKUP($B52,Feature_List!$A:$AM,MATCH(CT$1,  Feature_List!$A$1:$AM$1,0),0)=AL52,".","NO"))</f>
        <v>.</v>
      </c>
      <c r="CU52" s="136" t="str">
        <f>IF($D52&lt;&gt;"Feature",".",
IF(VLOOKUP($B52,Feature_List!$A:$AM,MATCH(CU$1,  Feature_List!$A$1:$AM$1,0),0)=AM52,".","NO"))</f>
        <v>.</v>
      </c>
      <c r="CV52" s="136" t="str">
        <f>IF($D52&lt;&gt;"Feature",".",
IF(VLOOKUP($B52,Feature_List!$A:$AM,MATCH(CV$1,  Feature_List!$A$1:$AM$1,0),0)=AN52,".","NO"))</f>
        <v>.</v>
      </c>
      <c r="CW52" s="136" t="str">
        <f>IF($D52&lt;&gt;"Feature",".",
IF(VLOOKUP($B52,Feature_List!$A:$AM,MATCH(CW$1,  Feature_List!$A$1:$AM$1,0),0)=AO52,".","NO"))</f>
        <v>.</v>
      </c>
      <c r="CX52" s="136" t="str">
        <f>IF($D52&lt;&gt;"Feature",".",
IF(VLOOKUP($B52,Feature_List!$A:$AM,MATCH(CX$1,  Feature_List!$A$1:$AM$1,0),0)=AP52,".","NO"))</f>
        <v>.</v>
      </c>
      <c r="CY52" s="136" t="str">
        <f>IF($D52&lt;&gt;"Feature",".",
IF(VLOOKUP($B52,Feature_List!$A:$AM,MATCH(CY$1,  Feature_List!$A$1:$AM$1,0),0)=AQ52,".","NO"))</f>
        <v>.</v>
      </c>
      <c r="CZ52" s="136" t="str">
        <f>IF($D52&lt;&gt;"Feature",".",
IF(VLOOKUP($B52,Feature_List!$A:$AM,MATCH(CZ$1,  Feature_List!$A$1:$AM$1,0),0)=AR52,".","NO"))</f>
        <v>.</v>
      </c>
      <c r="DA52" s="136" t="str">
        <f>IF($D52&lt;&gt;"Feature",".",
IF(VLOOKUP($B52,Feature_List!$A:$AM,MATCH(DA$1,  Feature_List!$A$1:$AM$1,0),0)=AS52,".","NO"))</f>
        <v>.</v>
      </c>
      <c r="DB52" s="136" t="str">
        <f>IF($D52&lt;&gt;"Feature",".",
IF(VLOOKUP($B52,Feature_List!$A:$AM,MATCH(DB$1,  Feature_List!$A$1:$AM$1,0),0)=AT52,".","NO"))</f>
        <v>.</v>
      </c>
      <c r="DC52" s="136" t="str">
        <f>IF($D52&lt;&gt;"Feature",".",
IF(VLOOKUP($B52,Feature_List!$A:$AM,MATCH(DC$1,  Feature_List!$A$1:$AM$1,0),0)=AU52,".","NO"))</f>
        <v>.</v>
      </c>
      <c r="DD52" s="136" t="str">
        <f>IF($D52&lt;&gt;"Feature",".",
IF(VLOOKUP($B52,Feature_List!$A:$AM,MATCH(DD$1,  Feature_List!$A$1:$AM$1,0),0)=AV52,".","NO"))</f>
        <v>.</v>
      </c>
      <c r="DE52" s="136" t="str">
        <f>IF($D52&lt;&gt;"Feature",".",
IF(VLOOKUP($B52,Feature_List!$A:$AM,MATCH(DE$1,  Feature_List!$A$1:$AM$1,0),0)=AW52,".","NO"))</f>
        <v>.</v>
      </c>
      <c r="DF52" s="136" t="str">
        <f>IF($D52&lt;&gt;"Feature",".",
IF(VLOOKUP($B52,Feature_List!$A:$AM,MATCH(DF$1,  Feature_List!$A$1:$AM$1,0),0)=AX52,".","NO"))</f>
        <v>.</v>
      </c>
      <c r="DG52" s="136" t="str">
        <f>IF($D52&lt;&gt;"Feature",".",
IF(VLOOKUP($B52,Feature_List!$A:$AM,MATCH(DG$1,  Feature_List!$A$1:$AM$1,0),0)=AY52,".","NO"))</f>
        <v>.</v>
      </c>
      <c r="DH52" s="136" t="str">
        <f>IF($D52&lt;&gt;"Feature",".",
IF(VLOOKUP($B52,Feature_List!$A:$AM,MATCH(DH$1,  Feature_List!$A$1:$AM$1,0),0)=AZ52,".","NO"))</f>
        <v>.</v>
      </c>
      <c r="DI52" s="136" t="str">
        <f>IF($D52&lt;&gt;"Feature",".",
IF(VLOOKUP($B52,Feature_List!$A:$AM,MATCH(DI$1,  Feature_List!$A$1:$AM$1,0),0)=BA52,".","NO"))</f>
        <v>.</v>
      </c>
      <c r="DJ52" s="136" t="str">
        <f>IF($D52&lt;&gt;"Feature",".",
IF(VLOOKUP($B52,Feature_List!$A:$AM,MATCH(DJ$1,  Feature_List!$A$1:$AM$1,0),0)=BB52,".","NO"))</f>
        <v>.</v>
      </c>
      <c r="DK52" s="136"/>
      <c r="DL52" s="136"/>
      <c r="DM52" s="136"/>
      <c r="DN52" s="136" t="str">
        <f>IF($D52&lt;&gt;"Feature",".",
IF(VLOOKUP($B52,Feature_List!$A:$AM,MATCH(DN$1,  Feature_List!$A$1:$AM$1,0),0)=BC52,".","NO"))</f>
        <v>.</v>
      </c>
      <c r="DO52" s="136" t="str">
        <f>IF($D52&lt;&gt;"Feature",".",
IF(VLOOKUP($B52,Feature_List!$A:$AM,MATCH(DO$1,  Feature_List!$A$1:$AM$1,0),0)=BD52,".","NO"))</f>
        <v>.</v>
      </c>
    </row>
    <row r="53" spans="2:119" x14ac:dyDescent="0.3">
      <c r="B53" s="121">
        <v>318517</v>
      </c>
      <c r="C53" s="122" t="s">
        <v>604</v>
      </c>
      <c r="D53" s="122" t="s">
        <v>71</v>
      </c>
      <c r="E53" s="122" t="s">
        <v>721</v>
      </c>
      <c r="F53" s="138" t="s">
        <v>130</v>
      </c>
      <c r="G53" s="123" t="s">
        <v>130</v>
      </c>
      <c r="H53" s="122" t="s">
        <v>683</v>
      </c>
      <c r="I53" s="124" t="s">
        <v>562</v>
      </c>
      <c r="J53" s="138"/>
      <c r="K53" s="123">
        <v>0</v>
      </c>
      <c r="L53" s="122"/>
      <c r="M53" s="122" t="s">
        <v>104</v>
      </c>
      <c r="N53" s="125" t="s">
        <v>651</v>
      </c>
      <c r="O53" s="123">
        <f t="shared" si="0"/>
        <v>0</v>
      </c>
      <c r="P53" s="123" t="str">
        <f t="shared" si="1"/>
        <v>Invalid</v>
      </c>
      <c r="Q53" s="122" t="str">
        <f t="shared" si="24"/>
        <v>Story</v>
      </c>
      <c r="R53" s="126">
        <f t="shared" si="2"/>
        <v>318430</v>
      </c>
      <c r="S53" s="127">
        <f t="shared" si="3"/>
        <v>318517</v>
      </c>
      <c r="T53" s="128" t="e">
        <f>IF($Q53="ZeroEntry", "",VLOOKUP($I53,'Ranking Lookup'!#REF!,2,FALSE))</f>
        <v>#REF!</v>
      </c>
      <c r="U53" s="129" t="str">
        <f t="shared" si="4"/>
        <v/>
      </c>
      <c r="V53" s="129" t="str">
        <f t="shared" si="5"/>
        <v/>
      </c>
      <c r="W53" s="129" t="str">
        <f t="shared" si="6"/>
        <v/>
      </c>
      <c r="X53" s="129" t="str">
        <f t="shared" si="7"/>
        <v/>
      </c>
      <c r="Y53" s="129" t="str">
        <f t="shared" si="8"/>
        <v>Feature</v>
      </c>
      <c r="Z53" s="129" t="str">
        <f t="shared" si="9"/>
        <v/>
      </c>
      <c r="AA53" s="130"/>
      <c r="AB53" s="130" t="str">
        <f t="shared" si="10"/>
        <v>PI 12</v>
      </c>
      <c r="AC53" s="131">
        <f t="shared" si="25"/>
        <v>0</v>
      </c>
      <c r="AD53" s="131">
        <f t="shared" si="26"/>
        <v>0</v>
      </c>
      <c r="AE53" s="132">
        <f t="shared" si="11"/>
        <v>0</v>
      </c>
      <c r="AF53" s="133" t="str">
        <f t="shared" si="27"/>
        <v/>
      </c>
      <c r="AG53" s="134">
        <f t="shared" si="12"/>
        <v>0</v>
      </c>
      <c r="AH53" s="54" t="str">
        <f t="shared" si="13"/>
        <v/>
      </c>
      <c r="AI53" s="54" t="e">
        <f t="shared" si="35"/>
        <v>#REF!</v>
      </c>
      <c r="AJ53" s="54" t="e">
        <f t="shared" si="35"/>
        <v>#REF!</v>
      </c>
      <c r="AK53" s="54" t="e">
        <f t="shared" si="35"/>
        <v>#REF!</v>
      </c>
      <c r="AL53" s="54" t="e">
        <f t="shared" si="35"/>
        <v>#REF!</v>
      </c>
      <c r="AM53" s="54" t="e">
        <f t="shared" si="35"/>
        <v>#REF!</v>
      </c>
      <c r="AN53" s="54" t="e">
        <f t="shared" si="35"/>
        <v>#REF!</v>
      </c>
      <c r="AO53" s="54" t="e">
        <f t="shared" si="35"/>
        <v>#REF!</v>
      </c>
      <c r="AP53" s="54" t="e">
        <f t="shared" si="35"/>
        <v>#REF!</v>
      </c>
      <c r="AQ53" s="54" t="e">
        <f t="shared" si="35"/>
        <v>#REF!</v>
      </c>
      <c r="AR53" s="54" t="e">
        <f t="shared" si="35"/>
        <v>#REF!</v>
      </c>
      <c r="AS53" s="54" t="e">
        <f t="shared" si="35"/>
        <v>#REF!</v>
      </c>
      <c r="AT53" s="54" t="e">
        <f t="shared" si="35"/>
        <v>#REF!</v>
      </c>
      <c r="AU53" s="54" t="e">
        <f t="shared" si="35"/>
        <v>#REF!</v>
      </c>
      <c r="AV53" s="54" t="e">
        <f t="shared" si="35"/>
        <v>#REF!</v>
      </c>
      <c r="AW53" s="54" t="e">
        <f t="shared" si="35"/>
        <v>#REF!</v>
      </c>
      <c r="AX53" s="54" t="e">
        <f t="shared" si="35"/>
        <v>#REF!</v>
      </c>
      <c r="AY53" s="54" t="e">
        <f t="shared" si="15"/>
        <v>#REF!</v>
      </c>
      <c r="AZ53" s="54" t="str">
        <f t="shared" si="16"/>
        <v/>
      </c>
      <c r="BA53" s="54" t="e">
        <f t="shared" si="17"/>
        <v>#REF!</v>
      </c>
      <c r="BB53" s="135" t="str">
        <f t="shared" si="18"/>
        <v/>
      </c>
      <c r="BC53" s="54" t="e">
        <f t="shared" si="33"/>
        <v>#REF!</v>
      </c>
      <c r="BD53" s="54" t="e">
        <f t="shared" si="33"/>
        <v>#REF!</v>
      </c>
      <c r="BE53" s="54" t="e">
        <f t="shared" si="33"/>
        <v>#REF!</v>
      </c>
      <c r="BF53" s="54" t="str">
        <f t="shared" si="20"/>
        <v/>
      </c>
      <c r="BG53" s="54" t="str">
        <f t="shared" si="21"/>
        <v/>
      </c>
      <c r="BH53" s="34" t="e">
        <f t="shared" si="22"/>
        <v>#REF!</v>
      </c>
      <c r="BI53" s="34" t="e">
        <f t="shared" si="23"/>
        <v>#REF!</v>
      </c>
      <c r="BJ53" s="136" t="str">
        <f>IF($D53&lt;&gt;"Feature",".",
IF(VLOOKUP($B53,Feature_List!$A:$AM,MATCH(BJ$1,  Feature_List!$A$1:$AM$1,0),0)=B53,".","NO"))</f>
        <v>.</v>
      </c>
      <c r="BK53" s="136"/>
      <c r="BL53" s="136"/>
      <c r="BM53" s="136" t="str">
        <f>IF($D53&lt;&gt;"Feature",".",
IF(VLOOKUP($B53,Feature_List!$A:$AM,MATCH(BM$1,  Feature_List!$A$1:$AM$1,0),0)=E53,".","NO"))</f>
        <v>.</v>
      </c>
      <c r="BN53" s="136" t="str">
        <f>IF($D53&lt;&gt;"Feature",".",
IF(VLOOKUP($B53,Feature_List!$A:$AM,MATCH(BN$1,  Feature_List!$A$1:$AM$1,0),0)=F53,".","NO"))</f>
        <v>.</v>
      </c>
      <c r="BO53" s="136" t="str">
        <f>IF($D53&lt;&gt;"Feature",".",
IF(VLOOKUP($B53,Feature_List!$A:$AM,MATCH(BO$1,  Feature_List!$A$1:$AM$1,0),0)=G53,".","NO"))</f>
        <v>.</v>
      </c>
      <c r="BP53" s="136" t="str">
        <f>IF($D53&lt;&gt;"Feature",".",
IF(VLOOKUP($B53,Feature_List!$A:$AM,MATCH(BP$1,  Feature_List!$A$1:$AM$1,0),0)=H53,".","NO"))</f>
        <v>.</v>
      </c>
      <c r="BQ53" s="136"/>
      <c r="BR53" s="136" t="str">
        <f>IF($D53&lt;&gt;"Feature",".",
IF(VLOOKUP($B53,Feature_List!$A:$AM,MATCH(BR$1,  Feature_List!$A$1:$AM$1,0),0)=J53,".","NO"))</f>
        <v>.</v>
      </c>
      <c r="BS53" s="136"/>
      <c r="BT53" s="136"/>
      <c r="BU53" s="136" t="str">
        <f>IF($D53&lt;&gt;"Feature",".",
IF(VLOOKUP($B53,Feature_List!$A:$AM,MATCH(BU$1,  Feature_List!$A$1:$AM$1,0),0)=M53,".","NO"))</f>
        <v>.</v>
      </c>
      <c r="BV53" s="136" t="str">
        <f>IF($D53&lt;&gt;"Feature",".",
IF(VLOOKUP($B53,Feature_List!$A:$AM,MATCH(BV$1,  Feature_List!$A$1:$AM$1,0),0)=N53,".","NO"))</f>
        <v>.</v>
      </c>
      <c r="BW53" s="136"/>
      <c r="BX53" s="136"/>
      <c r="BY53" s="136"/>
      <c r="BZ53" s="136"/>
      <c r="CA53" s="136"/>
      <c r="CB53" s="136" t="str">
        <f>IF($D53&lt;&gt;"Feature",".",
IF(VLOOKUP($B53,Feature_List!$A:$AM,MATCH(CB$1,  Feature_List!$A$1:$AM$1,0),0)=T53,".","NO"))</f>
        <v>.</v>
      </c>
      <c r="CC53" s="136"/>
      <c r="CD53" s="136"/>
      <c r="CE53" s="136"/>
      <c r="CF53" s="136"/>
      <c r="CG53" s="136"/>
      <c r="CH53" s="136"/>
      <c r="CI53" s="136"/>
      <c r="CJ53" s="136"/>
      <c r="CK53" s="136"/>
      <c r="CL53" s="136"/>
      <c r="CM53" s="136"/>
      <c r="CN53" s="136"/>
      <c r="CO53" s="136" t="str">
        <f>IF($D53&lt;&gt;"Feature",".",
IF(VLOOKUP($B53,Feature_List!$A:$AM,MATCH(CO$1,  Feature_List!$A$1:$AM$1,0),0)=AG53,".","NO"))</f>
        <v>.</v>
      </c>
      <c r="CP53" s="136" t="str">
        <f>IF($D53&lt;&gt;"Feature",".",
IF(VLOOKUP($B53,Feature_List!$A:$AM,MATCH(CP$1,  Feature_List!$A$1:$AM$1,0),0)=AH53,".","NO"))</f>
        <v>.</v>
      </c>
      <c r="CQ53" s="136" t="str">
        <f>IF($D53&lt;&gt;"Feature",".",
IF(VLOOKUP($B53,Feature_List!$A:$AM,MATCH(CQ$1,  Feature_List!$A$1:$AM$1,0),0)=AI53,".","NO"))</f>
        <v>.</v>
      </c>
      <c r="CR53" s="136" t="str">
        <f>IF($D53&lt;&gt;"Feature",".",
IF(VLOOKUP($B53,Feature_List!$A:$AM,MATCH(CR$1,  Feature_List!$A$1:$AM$1,0),0)=AJ53,".","NO"))</f>
        <v>.</v>
      </c>
      <c r="CS53" s="136" t="str">
        <f>IF($D53&lt;&gt;"Feature",".",
IF(VLOOKUP($B53,Feature_List!$A:$AM,MATCH(CS$1,  Feature_List!$A$1:$AM$1,0),0)=AK53,".","NO"))</f>
        <v>.</v>
      </c>
      <c r="CT53" s="136" t="str">
        <f>IF($D53&lt;&gt;"Feature",".",
IF(VLOOKUP($B53,Feature_List!$A:$AM,MATCH(CT$1,  Feature_List!$A$1:$AM$1,0),0)=AL53,".","NO"))</f>
        <v>.</v>
      </c>
      <c r="CU53" s="136" t="str">
        <f>IF($D53&lt;&gt;"Feature",".",
IF(VLOOKUP($B53,Feature_List!$A:$AM,MATCH(CU$1,  Feature_List!$A$1:$AM$1,0),0)=AM53,".","NO"))</f>
        <v>.</v>
      </c>
      <c r="CV53" s="136" t="str">
        <f>IF($D53&lt;&gt;"Feature",".",
IF(VLOOKUP($B53,Feature_List!$A:$AM,MATCH(CV$1,  Feature_List!$A$1:$AM$1,0),0)=AN53,".","NO"))</f>
        <v>.</v>
      </c>
      <c r="CW53" s="136" t="str">
        <f>IF($D53&lt;&gt;"Feature",".",
IF(VLOOKUP($B53,Feature_List!$A:$AM,MATCH(CW$1,  Feature_List!$A$1:$AM$1,0),0)=AO53,".","NO"))</f>
        <v>.</v>
      </c>
      <c r="CX53" s="136" t="str">
        <f>IF($D53&lt;&gt;"Feature",".",
IF(VLOOKUP($B53,Feature_List!$A:$AM,MATCH(CX$1,  Feature_List!$A$1:$AM$1,0),0)=AP53,".","NO"))</f>
        <v>.</v>
      </c>
      <c r="CY53" s="136" t="str">
        <f>IF($D53&lt;&gt;"Feature",".",
IF(VLOOKUP($B53,Feature_List!$A:$AM,MATCH(CY$1,  Feature_List!$A$1:$AM$1,0),0)=AQ53,".","NO"))</f>
        <v>.</v>
      </c>
      <c r="CZ53" s="136" t="str">
        <f>IF($D53&lt;&gt;"Feature",".",
IF(VLOOKUP($B53,Feature_List!$A:$AM,MATCH(CZ$1,  Feature_List!$A$1:$AM$1,0),0)=AR53,".","NO"))</f>
        <v>.</v>
      </c>
      <c r="DA53" s="136" t="str">
        <f>IF($D53&lt;&gt;"Feature",".",
IF(VLOOKUP($B53,Feature_List!$A:$AM,MATCH(DA$1,  Feature_List!$A$1:$AM$1,0),0)=AS53,".","NO"))</f>
        <v>.</v>
      </c>
      <c r="DB53" s="136" t="str">
        <f>IF($D53&lt;&gt;"Feature",".",
IF(VLOOKUP($B53,Feature_List!$A:$AM,MATCH(DB$1,  Feature_List!$A$1:$AM$1,0),0)=AT53,".","NO"))</f>
        <v>.</v>
      </c>
      <c r="DC53" s="136" t="str">
        <f>IF($D53&lt;&gt;"Feature",".",
IF(VLOOKUP($B53,Feature_List!$A:$AM,MATCH(DC$1,  Feature_List!$A$1:$AM$1,0),0)=AU53,".","NO"))</f>
        <v>.</v>
      </c>
      <c r="DD53" s="136" t="str">
        <f>IF($D53&lt;&gt;"Feature",".",
IF(VLOOKUP($B53,Feature_List!$A:$AM,MATCH(DD$1,  Feature_List!$A$1:$AM$1,0),0)=AV53,".","NO"))</f>
        <v>.</v>
      </c>
      <c r="DE53" s="136" t="str">
        <f>IF($D53&lt;&gt;"Feature",".",
IF(VLOOKUP($B53,Feature_List!$A:$AM,MATCH(DE$1,  Feature_List!$A$1:$AM$1,0),0)=AW53,".","NO"))</f>
        <v>.</v>
      </c>
      <c r="DF53" s="136" t="str">
        <f>IF($D53&lt;&gt;"Feature",".",
IF(VLOOKUP($B53,Feature_List!$A:$AM,MATCH(DF$1,  Feature_List!$A$1:$AM$1,0),0)=AX53,".","NO"))</f>
        <v>.</v>
      </c>
      <c r="DG53" s="136" t="str">
        <f>IF($D53&lt;&gt;"Feature",".",
IF(VLOOKUP($B53,Feature_List!$A:$AM,MATCH(DG$1,  Feature_List!$A$1:$AM$1,0),0)=AY53,".","NO"))</f>
        <v>.</v>
      </c>
      <c r="DH53" s="136" t="str">
        <f>IF($D53&lt;&gt;"Feature",".",
IF(VLOOKUP($B53,Feature_List!$A:$AM,MATCH(DH$1,  Feature_List!$A$1:$AM$1,0),0)=AZ53,".","NO"))</f>
        <v>.</v>
      </c>
      <c r="DI53" s="136" t="str">
        <f>IF($D53&lt;&gt;"Feature",".",
IF(VLOOKUP($B53,Feature_List!$A:$AM,MATCH(DI$1,  Feature_List!$A$1:$AM$1,0),0)=BA53,".","NO"))</f>
        <v>.</v>
      </c>
      <c r="DJ53" s="136" t="str">
        <f>IF($D53&lt;&gt;"Feature",".",
IF(VLOOKUP($B53,Feature_List!$A:$AM,MATCH(DJ$1,  Feature_List!$A$1:$AM$1,0),0)=BB53,".","NO"))</f>
        <v>.</v>
      </c>
      <c r="DK53" s="136"/>
      <c r="DL53" s="136"/>
      <c r="DM53" s="136"/>
      <c r="DN53" s="136" t="str">
        <f>IF($D53&lt;&gt;"Feature",".",
IF(VLOOKUP($B53,Feature_List!$A:$AM,MATCH(DN$1,  Feature_List!$A$1:$AM$1,0),0)=BC53,".","NO"))</f>
        <v>.</v>
      </c>
      <c r="DO53" s="136" t="str">
        <f>IF($D53&lt;&gt;"Feature",".",
IF(VLOOKUP($B53,Feature_List!$A:$AM,MATCH(DO$1,  Feature_List!$A$1:$AM$1,0),0)=BD53,".","NO"))</f>
        <v>.</v>
      </c>
    </row>
    <row r="54" spans="2:119" x14ac:dyDescent="0.3">
      <c r="B54" s="121">
        <v>318474</v>
      </c>
      <c r="C54" s="122" t="s">
        <v>604</v>
      </c>
      <c r="D54" s="122" t="s">
        <v>71</v>
      </c>
      <c r="E54" s="122" t="s">
        <v>722</v>
      </c>
      <c r="F54" s="138" t="s">
        <v>130</v>
      </c>
      <c r="G54" s="123" t="s">
        <v>130</v>
      </c>
      <c r="H54" s="122" t="s">
        <v>683</v>
      </c>
      <c r="I54" s="124" t="s">
        <v>562</v>
      </c>
      <c r="J54" s="138"/>
      <c r="K54" s="123">
        <v>0</v>
      </c>
      <c r="L54" s="122"/>
      <c r="M54" s="122" t="s">
        <v>104</v>
      </c>
      <c r="N54" s="125" t="s">
        <v>651</v>
      </c>
      <c r="O54" s="123">
        <f t="shared" si="0"/>
        <v>0</v>
      </c>
      <c r="P54" s="123" t="str">
        <f t="shared" si="1"/>
        <v>Invalid</v>
      </c>
      <c r="Q54" s="122" t="str">
        <f t="shared" si="24"/>
        <v>Story</v>
      </c>
      <c r="R54" s="126">
        <f t="shared" si="2"/>
        <v>318430</v>
      </c>
      <c r="S54" s="127">
        <f t="shared" si="3"/>
        <v>318474</v>
      </c>
      <c r="T54" s="128" t="e">
        <f>IF($Q54="ZeroEntry", "",VLOOKUP($I54,'Ranking Lookup'!#REF!,2,FALSE))</f>
        <v>#REF!</v>
      </c>
      <c r="U54" s="129" t="str">
        <f t="shared" si="4"/>
        <v/>
      </c>
      <c r="V54" s="129" t="str">
        <f t="shared" si="5"/>
        <v/>
      </c>
      <c r="W54" s="129" t="str">
        <f t="shared" si="6"/>
        <v/>
      </c>
      <c r="X54" s="129" t="str">
        <f t="shared" si="7"/>
        <v/>
      </c>
      <c r="Y54" s="129" t="str">
        <f t="shared" si="8"/>
        <v>Feature</v>
      </c>
      <c r="Z54" s="129" t="str">
        <f t="shared" si="9"/>
        <v/>
      </c>
      <c r="AA54" s="130"/>
      <c r="AB54" s="130" t="str">
        <f t="shared" si="10"/>
        <v>PI 12</v>
      </c>
      <c r="AC54" s="131">
        <f t="shared" si="25"/>
        <v>0</v>
      </c>
      <c r="AD54" s="131">
        <f t="shared" si="26"/>
        <v>0</v>
      </c>
      <c r="AE54" s="132">
        <f t="shared" si="11"/>
        <v>0</v>
      </c>
      <c r="AF54" s="133" t="str">
        <f t="shared" si="27"/>
        <v/>
      </c>
      <c r="AG54" s="134">
        <f t="shared" si="12"/>
        <v>0</v>
      </c>
      <c r="AH54" s="54" t="str">
        <f t="shared" si="13"/>
        <v/>
      </c>
      <c r="AI54" s="54" t="e">
        <f t="shared" si="35"/>
        <v>#REF!</v>
      </c>
      <c r="AJ54" s="54" t="e">
        <f t="shared" si="35"/>
        <v>#REF!</v>
      </c>
      <c r="AK54" s="54" t="e">
        <f t="shared" si="35"/>
        <v>#REF!</v>
      </c>
      <c r="AL54" s="54" t="e">
        <f t="shared" si="35"/>
        <v>#REF!</v>
      </c>
      <c r="AM54" s="54" t="e">
        <f t="shared" si="35"/>
        <v>#REF!</v>
      </c>
      <c r="AN54" s="54" t="e">
        <f t="shared" si="35"/>
        <v>#REF!</v>
      </c>
      <c r="AO54" s="54" t="e">
        <f t="shared" si="35"/>
        <v>#REF!</v>
      </c>
      <c r="AP54" s="54" t="e">
        <f t="shared" si="35"/>
        <v>#REF!</v>
      </c>
      <c r="AQ54" s="54" t="e">
        <f t="shared" si="35"/>
        <v>#REF!</v>
      </c>
      <c r="AR54" s="54" t="e">
        <f t="shared" si="35"/>
        <v>#REF!</v>
      </c>
      <c r="AS54" s="54" t="e">
        <f t="shared" si="35"/>
        <v>#REF!</v>
      </c>
      <c r="AT54" s="54" t="e">
        <f t="shared" si="35"/>
        <v>#REF!</v>
      </c>
      <c r="AU54" s="54" t="e">
        <f t="shared" si="35"/>
        <v>#REF!</v>
      </c>
      <c r="AV54" s="54" t="e">
        <f t="shared" si="35"/>
        <v>#REF!</v>
      </c>
      <c r="AW54" s="54" t="e">
        <f t="shared" si="35"/>
        <v>#REF!</v>
      </c>
      <c r="AX54" s="54" t="e">
        <f t="shared" si="35"/>
        <v>#REF!</v>
      </c>
      <c r="AY54" s="54" t="e">
        <f t="shared" si="15"/>
        <v>#REF!</v>
      </c>
      <c r="AZ54" s="54" t="str">
        <f t="shared" si="16"/>
        <v/>
      </c>
      <c r="BA54" s="54" t="e">
        <f t="shared" si="17"/>
        <v>#REF!</v>
      </c>
      <c r="BB54" s="135" t="str">
        <f t="shared" si="18"/>
        <v/>
      </c>
      <c r="BC54" s="54" t="e">
        <f t="shared" si="33"/>
        <v>#REF!</v>
      </c>
      <c r="BD54" s="54" t="e">
        <f t="shared" si="33"/>
        <v>#REF!</v>
      </c>
      <c r="BE54" s="54" t="e">
        <f t="shared" si="33"/>
        <v>#REF!</v>
      </c>
      <c r="BF54" s="54" t="str">
        <f t="shared" si="20"/>
        <v/>
      </c>
      <c r="BG54" s="54" t="str">
        <f t="shared" si="21"/>
        <v/>
      </c>
      <c r="BH54" s="34" t="e">
        <f t="shared" si="22"/>
        <v>#REF!</v>
      </c>
      <c r="BI54" s="34" t="e">
        <f t="shared" si="23"/>
        <v>#REF!</v>
      </c>
      <c r="BJ54" s="136" t="str">
        <f>IF($D54&lt;&gt;"Feature",".",
IF(VLOOKUP($B54,Feature_List!$A:$AM,MATCH(BJ$1,  Feature_List!$A$1:$AM$1,0),0)=B54,".","NO"))</f>
        <v>.</v>
      </c>
      <c r="BK54" s="136"/>
      <c r="BL54" s="136"/>
      <c r="BM54" s="136" t="str">
        <f>IF($D54&lt;&gt;"Feature",".",
IF(VLOOKUP($B54,Feature_List!$A:$AM,MATCH(BM$1,  Feature_List!$A$1:$AM$1,0),0)=E54,".","NO"))</f>
        <v>.</v>
      </c>
      <c r="BN54" s="136" t="str">
        <f>IF($D54&lt;&gt;"Feature",".",
IF(VLOOKUP($B54,Feature_List!$A:$AM,MATCH(BN$1,  Feature_List!$A$1:$AM$1,0),0)=F54,".","NO"))</f>
        <v>.</v>
      </c>
      <c r="BO54" s="136" t="str">
        <f>IF($D54&lt;&gt;"Feature",".",
IF(VLOOKUP($B54,Feature_List!$A:$AM,MATCH(BO$1,  Feature_List!$A$1:$AM$1,0),0)=G54,".","NO"))</f>
        <v>.</v>
      </c>
      <c r="BP54" s="136" t="str">
        <f>IF($D54&lt;&gt;"Feature",".",
IF(VLOOKUP($B54,Feature_List!$A:$AM,MATCH(BP$1,  Feature_List!$A$1:$AM$1,0),0)=H54,".","NO"))</f>
        <v>.</v>
      </c>
      <c r="BQ54" s="136"/>
      <c r="BR54" s="136" t="str">
        <f>IF($D54&lt;&gt;"Feature",".",
IF(VLOOKUP($B54,Feature_List!$A:$AM,MATCH(BR$1,  Feature_List!$A$1:$AM$1,0),0)=J54,".","NO"))</f>
        <v>.</v>
      </c>
      <c r="BS54" s="136"/>
      <c r="BT54" s="136"/>
      <c r="BU54" s="136" t="str">
        <f>IF($D54&lt;&gt;"Feature",".",
IF(VLOOKUP($B54,Feature_List!$A:$AM,MATCH(BU$1,  Feature_List!$A$1:$AM$1,0),0)=M54,".","NO"))</f>
        <v>.</v>
      </c>
      <c r="BV54" s="136" t="str">
        <f>IF($D54&lt;&gt;"Feature",".",
IF(VLOOKUP($B54,Feature_List!$A:$AM,MATCH(BV$1,  Feature_List!$A$1:$AM$1,0),0)=N54,".","NO"))</f>
        <v>.</v>
      </c>
      <c r="BW54" s="136"/>
      <c r="BX54" s="136"/>
      <c r="BY54" s="136"/>
      <c r="BZ54" s="136"/>
      <c r="CA54" s="136"/>
      <c r="CB54" s="136" t="str">
        <f>IF($D54&lt;&gt;"Feature",".",
IF(VLOOKUP($B54,Feature_List!$A:$AM,MATCH(CB$1,  Feature_List!$A$1:$AM$1,0),0)=T54,".","NO"))</f>
        <v>.</v>
      </c>
      <c r="CC54" s="136"/>
      <c r="CD54" s="136"/>
      <c r="CE54" s="136"/>
      <c r="CF54" s="136"/>
      <c r="CG54" s="136"/>
      <c r="CH54" s="136"/>
      <c r="CI54" s="136"/>
      <c r="CJ54" s="136"/>
      <c r="CK54" s="136"/>
      <c r="CL54" s="136"/>
      <c r="CM54" s="136"/>
      <c r="CN54" s="136"/>
      <c r="CO54" s="136" t="str">
        <f>IF($D54&lt;&gt;"Feature",".",
IF(VLOOKUP($B54,Feature_List!$A:$AM,MATCH(CO$1,  Feature_List!$A$1:$AM$1,0),0)=AG54,".","NO"))</f>
        <v>.</v>
      </c>
      <c r="CP54" s="136" t="str">
        <f>IF($D54&lt;&gt;"Feature",".",
IF(VLOOKUP($B54,Feature_List!$A:$AM,MATCH(CP$1,  Feature_List!$A$1:$AM$1,0),0)=AH54,".","NO"))</f>
        <v>.</v>
      </c>
      <c r="CQ54" s="136" t="str">
        <f>IF($D54&lt;&gt;"Feature",".",
IF(VLOOKUP($B54,Feature_List!$A:$AM,MATCH(CQ$1,  Feature_List!$A$1:$AM$1,0),0)=AI54,".","NO"))</f>
        <v>.</v>
      </c>
      <c r="CR54" s="136" t="str">
        <f>IF($D54&lt;&gt;"Feature",".",
IF(VLOOKUP($B54,Feature_List!$A:$AM,MATCH(CR$1,  Feature_List!$A$1:$AM$1,0),0)=AJ54,".","NO"))</f>
        <v>.</v>
      </c>
      <c r="CS54" s="136" t="str">
        <f>IF($D54&lt;&gt;"Feature",".",
IF(VLOOKUP($B54,Feature_List!$A:$AM,MATCH(CS$1,  Feature_List!$A$1:$AM$1,0),0)=AK54,".","NO"))</f>
        <v>.</v>
      </c>
      <c r="CT54" s="136" t="str">
        <f>IF($D54&lt;&gt;"Feature",".",
IF(VLOOKUP($B54,Feature_List!$A:$AM,MATCH(CT$1,  Feature_List!$A$1:$AM$1,0),0)=AL54,".","NO"))</f>
        <v>.</v>
      </c>
      <c r="CU54" s="136" t="str">
        <f>IF($D54&lt;&gt;"Feature",".",
IF(VLOOKUP($B54,Feature_List!$A:$AM,MATCH(CU$1,  Feature_List!$A$1:$AM$1,0),0)=AM54,".","NO"))</f>
        <v>.</v>
      </c>
      <c r="CV54" s="136" t="str">
        <f>IF($D54&lt;&gt;"Feature",".",
IF(VLOOKUP($B54,Feature_List!$A:$AM,MATCH(CV$1,  Feature_List!$A$1:$AM$1,0),0)=AN54,".","NO"))</f>
        <v>.</v>
      </c>
      <c r="CW54" s="136" t="str">
        <f>IF($D54&lt;&gt;"Feature",".",
IF(VLOOKUP($B54,Feature_List!$A:$AM,MATCH(CW$1,  Feature_List!$A$1:$AM$1,0),0)=AO54,".","NO"))</f>
        <v>.</v>
      </c>
      <c r="CX54" s="136" t="str">
        <f>IF($D54&lt;&gt;"Feature",".",
IF(VLOOKUP($B54,Feature_List!$A:$AM,MATCH(CX$1,  Feature_List!$A$1:$AM$1,0),0)=AP54,".","NO"))</f>
        <v>.</v>
      </c>
      <c r="CY54" s="136" t="str">
        <f>IF($D54&lt;&gt;"Feature",".",
IF(VLOOKUP($B54,Feature_List!$A:$AM,MATCH(CY$1,  Feature_List!$A$1:$AM$1,0),0)=AQ54,".","NO"))</f>
        <v>.</v>
      </c>
      <c r="CZ54" s="136" t="str">
        <f>IF($D54&lt;&gt;"Feature",".",
IF(VLOOKUP($B54,Feature_List!$A:$AM,MATCH(CZ$1,  Feature_List!$A$1:$AM$1,0),0)=AR54,".","NO"))</f>
        <v>.</v>
      </c>
      <c r="DA54" s="136" t="str">
        <f>IF($D54&lt;&gt;"Feature",".",
IF(VLOOKUP($B54,Feature_List!$A:$AM,MATCH(DA$1,  Feature_List!$A$1:$AM$1,0),0)=AS54,".","NO"))</f>
        <v>.</v>
      </c>
      <c r="DB54" s="136" t="str">
        <f>IF($D54&lt;&gt;"Feature",".",
IF(VLOOKUP($B54,Feature_List!$A:$AM,MATCH(DB$1,  Feature_List!$A$1:$AM$1,0),0)=AT54,".","NO"))</f>
        <v>.</v>
      </c>
      <c r="DC54" s="136" t="str">
        <f>IF($D54&lt;&gt;"Feature",".",
IF(VLOOKUP($B54,Feature_List!$A:$AM,MATCH(DC$1,  Feature_List!$A$1:$AM$1,0),0)=AU54,".","NO"))</f>
        <v>.</v>
      </c>
      <c r="DD54" s="136" t="str">
        <f>IF($D54&lt;&gt;"Feature",".",
IF(VLOOKUP($B54,Feature_List!$A:$AM,MATCH(DD$1,  Feature_List!$A$1:$AM$1,0),0)=AV54,".","NO"))</f>
        <v>.</v>
      </c>
      <c r="DE54" s="136" t="str">
        <f>IF($D54&lt;&gt;"Feature",".",
IF(VLOOKUP($B54,Feature_List!$A:$AM,MATCH(DE$1,  Feature_List!$A$1:$AM$1,0),0)=AW54,".","NO"))</f>
        <v>.</v>
      </c>
      <c r="DF54" s="136" t="str">
        <f>IF($D54&lt;&gt;"Feature",".",
IF(VLOOKUP($B54,Feature_List!$A:$AM,MATCH(DF$1,  Feature_List!$A$1:$AM$1,0),0)=AX54,".","NO"))</f>
        <v>.</v>
      </c>
      <c r="DG54" s="136" t="str">
        <f>IF($D54&lt;&gt;"Feature",".",
IF(VLOOKUP($B54,Feature_List!$A:$AM,MATCH(DG$1,  Feature_List!$A$1:$AM$1,0),0)=AY54,".","NO"))</f>
        <v>.</v>
      </c>
      <c r="DH54" s="136" t="str">
        <f>IF($D54&lt;&gt;"Feature",".",
IF(VLOOKUP($B54,Feature_List!$A:$AM,MATCH(DH$1,  Feature_List!$A$1:$AM$1,0),0)=AZ54,".","NO"))</f>
        <v>.</v>
      </c>
      <c r="DI54" s="136" t="str">
        <f>IF($D54&lt;&gt;"Feature",".",
IF(VLOOKUP($B54,Feature_List!$A:$AM,MATCH(DI$1,  Feature_List!$A$1:$AM$1,0),0)=BA54,".","NO"))</f>
        <v>.</v>
      </c>
      <c r="DJ54" s="136" t="str">
        <f>IF($D54&lt;&gt;"Feature",".",
IF(VLOOKUP($B54,Feature_List!$A:$AM,MATCH(DJ$1,  Feature_List!$A$1:$AM$1,0),0)=BB54,".","NO"))</f>
        <v>.</v>
      </c>
      <c r="DK54" s="136"/>
      <c r="DL54" s="136"/>
      <c r="DM54" s="136"/>
      <c r="DN54" s="136" t="str">
        <f>IF($D54&lt;&gt;"Feature",".",
IF(VLOOKUP($B54,Feature_List!$A:$AM,MATCH(DN$1,  Feature_List!$A$1:$AM$1,0),0)=BC54,".","NO"))</f>
        <v>.</v>
      </c>
      <c r="DO54" s="136" t="str">
        <f>IF($D54&lt;&gt;"Feature",".",
IF(VLOOKUP($B54,Feature_List!$A:$AM,MATCH(DO$1,  Feature_List!$A$1:$AM$1,0),0)=BD54,".","NO"))</f>
        <v>.</v>
      </c>
    </row>
    <row r="55" spans="2:119" x14ac:dyDescent="0.3">
      <c r="B55" s="121">
        <v>318472</v>
      </c>
      <c r="C55" s="122" t="s">
        <v>604</v>
      </c>
      <c r="D55" s="122" t="s">
        <v>71</v>
      </c>
      <c r="E55" s="122" t="s">
        <v>723</v>
      </c>
      <c r="F55" s="138" t="s">
        <v>130</v>
      </c>
      <c r="G55" s="123" t="s">
        <v>130</v>
      </c>
      <c r="H55" s="122" t="s">
        <v>683</v>
      </c>
      <c r="I55" s="124" t="s">
        <v>562</v>
      </c>
      <c r="J55" s="138"/>
      <c r="K55" s="123">
        <v>0</v>
      </c>
      <c r="L55" s="122"/>
      <c r="M55" s="122" t="s">
        <v>104</v>
      </c>
      <c r="N55" s="125" t="s">
        <v>104</v>
      </c>
      <c r="O55" s="123">
        <f t="shared" si="0"/>
        <v>0</v>
      </c>
      <c r="P55" s="123" t="str">
        <f t="shared" si="1"/>
        <v>Invalid</v>
      </c>
      <c r="Q55" s="122" t="str">
        <f t="shared" si="24"/>
        <v>Story</v>
      </c>
      <c r="R55" s="126">
        <f t="shared" si="2"/>
        <v>318430</v>
      </c>
      <c r="S55" s="127">
        <f t="shared" si="3"/>
        <v>318472</v>
      </c>
      <c r="T55" s="128" t="e">
        <f>IF($Q55="ZeroEntry", "",VLOOKUP($I55,'Ranking Lookup'!#REF!,2,FALSE))</f>
        <v>#REF!</v>
      </c>
      <c r="U55" s="129" t="str">
        <f t="shared" si="4"/>
        <v/>
      </c>
      <c r="V55" s="129" t="str">
        <f t="shared" si="5"/>
        <v/>
      </c>
      <c r="W55" s="129" t="str">
        <f t="shared" si="6"/>
        <v/>
      </c>
      <c r="X55" s="129" t="str">
        <f t="shared" si="7"/>
        <v/>
      </c>
      <c r="Y55" s="129" t="str">
        <f t="shared" si="8"/>
        <v>Feature</v>
      </c>
      <c r="Z55" s="129" t="str">
        <f t="shared" si="9"/>
        <v/>
      </c>
      <c r="AA55" s="130"/>
      <c r="AB55" s="130" t="str">
        <f t="shared" si="10"/>
        <v>PI 12</v>
      </c>
      <c r="AC55" s="131">
        <f t="shared" si="25"/>
        <v>0</v>
      </c>
      <c r="AD55" s="131">
        <f t="shared" si="26"/>
        <v>0</v>
      </c>
      <c r="AE55" s="132">
        <f t="shared" si="11"/>
        <v>0</v>
      </c>
      <c r="AF55" s="133" t="str">
        <f t="shared" si="27"/>
        <v/>
      </c>
      <c r="AG55" s="134">
        <f t="shared" si="12"/>
        <v>0</v>
      </c>
      <c r="AH55" s="54" t="str">
        <f t="shared" si="13"/>
        <v/>
      </c>
      <c r="AI55" s="54" t="e">
        <f t="shared" si="35"/>
        <v>#REF!</v>
      </c>
      <c r="AJ55" s="54" t="e">
        <f t="shared" si="35"/>
        <v>#REF!</v>
      </c>
      <c r="AK55" s="54" t="e">
        <f t="shared" si="35"/>
        <v>#REF!</v>
      </c>
      <c r="AL55" s="54" t="e">
        <f t="shared" si="35"/>
        <v>#REF!</v>
      </c>
      <c r="AM55" s="54" t="e">
        <f t="shared" si="35"/>
        <v>#REF!</v>
      </c>
      <c r="AN55" s="54" t="e">
        <f t="shared" si="35"/>
        <v>#REF!</v>
      </c>
      <c r="AO55" s="54" t="e">
        <f t="shared" si="35"/>
        <v>#REF!</v>
      </c>
      <c r="AP55" s="54" t="e">
        <f t="shared" si="35"/>
        <v>#REF!</v>
      </c>
      <c r="AQ55" s="54" t="e">
        <f t="shared" si="35"/>
        <v>#REF!</v>
      </c>
      <c r="AR55" s="54" t="e">
        <f t="shared" si="35"/>
        <v>#REF!</v>
      </c>
      <c r="AS55" s="54" t="e">
        <f t="shared" si="35"/>
        <v>#REF!</v>
      </c>
      <c r="AT55" s="54" t="e">
        <f t="shared" si="35"/>
        <v>#REF!</v>
      </c>
      <c r="AU55" s="54" t="e">
        <f t="shared" si="35"/>
        <v>#REF!</v>
      </c>
      <c r="AV55" s="54" t="e">
        <f t="shared" si="35"/>
        <v>#REF!</v>
      </c>
      <c r="AW55" s="54" t="e">
        <f t="shared" si="35"/>
        <v>#REF!</v>
      </c>
      <c r="AX55" s="54" t="e">
        <f t="shared" si="35"/>
        <v>#REF!</v>
      </c>
      <c r="AY55" s="54" t="e">
        <f t="shared" si="15"/>
        <v>#REF!</v>
      </c>
      <c r="AZ55" s="54" t="str">
        <f t="shared" si="16"/>
        <v/>
      </c>
      <c r="BA55" s="54" t="e">
        <f t="shared" si="17"/>
        <v>#REF!</v>
      </c>
      <c r="BB55" s="135" t="str">
        <f t="shared" si="18"/>
        <v/>
      </c>
      <c r="BC55" s="54" t="e">
        <f t="shared" si="33"/>
        <v>#REF!</v>
      </c>
      <c r="BD55" s="54" t="e">
        <f t="shared" si="33"/>
        <v>#REF!</v>
      </c>
      <c r="BE55" s="54" t="e">
        <f t="shared" si="33"/>
        <v>#REF!</v>
      </c>
      <c r="BF55" s="54" t="str">
        <f t="shared" si="20"/>
        <v/>
      </c>
      <c r="BG55" s="54" t="str">
        <f t="shared" si="21"/>
        <v/>
      </c>
      <c r="BH55" s="34" t="e">
        <f t="shared" si="22"/>
        <v>#REF!</v>
      </c>
      <c r="BI55" s="34" t="e">
        <f t="shared" si="23"/>
        <v>#REF!</v>
      </c>
      <c r="BJ55" s="136" t="str">
        <f>IF($D55&lt;&gt;"Feature",".",
IF(VLOOKUP($B55,Feature_List!$A:$AM,MATCH(BJ$1,  Feature_List!$A$1:$AM$1,0),0)=B55,".","NO"))</f>
        <v>.</v>
      </c>
      <c r="BK55" s="136"/>
      <c r="BL55" s="136"/>
      <c r="BM55" s="136" t="str">
        <f>IF($D55&lt;&gt;"Feature",".",
IF(VLOOKUP($B55,Feature_List!$A:$AM,MATCH(BM$1,  Feature_List!$A$1:$AM$1,0),0)=E55,".","NO"))</f>
        <v>.</v>
      </c>
      <c r="BN55" s="136" t="str">
        <f>IF($D55&lt;&gt;"Feature",".",
IF(VLOOKUP($B55,Feature_List!$A:$AM,MATCH(BN$1,  Feature_List!$A$1:$AM$1,0),0)=F55,".","NO"))</f>
        <v>.</v>
      </c>
      <c r="BO55" s="136" t="str">
        <f>IF($D55&lt;&gt;"Feature",".",
IF(VLOOKUP($B55,Feature_List!$A:$AM,MATCH(BO$1,  Feature_List!$A$1:$AM$1,0),0)=G55,".","NO"))</f>
        <v>.</v>
      </c>
      <c r="BP55" s="136" t="str">
        <f>IF($D55&lt;&gt;"Feature",".",
IF(VLOOKUP($B55,Feature_List!$A:$AM,MATCH(BP$1,  Feature_List!$A$1:$AM$1,0),0)=H55,".","NO"))</f>
        <v>.</v>
      </c>
      <c r="BQ55" s="136"/>
      <c r="BR55" s="136" t="str">
        <f>IF($D55&lt;&gt;"Feature",".",
IF(VLOOKUP($B55,Feature_List!$A:$AM,MATCH(BR$1,  Feature_List!$A$1:$AM$1,0),0)=J55,".","NO"))</f>
        <v>.</v>
      </c>
      <c r="BS55" s="136"/>
      <c r="BT55" s="136"/>
      <c r="BU55" s="136" t="str">
        <f>IF($D55&lt;&gt;"Feature",".",
IF(VLOOKUP($B55,Feature_List!$A:$AM,MATCH(BU$1,  Feature_List!$A$1:$AM$1,0),0)=M55,".","NO"))</f>
        <v>.</v>
      </c>
      <c r="BV55" s="136" t="str">
        <f>IF($D55&lt;&gt;"Feature",".",
IF(VLOOKUP($B55,Feature_List!$A:$AM,MATCH(BV$1,  Feature_List!$A$1:$AM$1,0),0)=N55,".","NO"))</f>
        <v>.</v>
      </c>
      <c r="BW55" s="136"/>
      <c r="BX55" s="136"/>
      <c r="BY55" s="136"/>
      <c r="BZ55" s="136"/>
      <c r="CA55" s="136"/>
      <c r="CB55" s="136" t="str">
        <f>IF($D55&lt;&gt;"Feature",".",
IF(VLOOKUP($B55,Feature_List!$A:$AM,MATCH(CB$1,  Feature_List!$A$1:$AM$1,0),0)=T55,".","NO"))</f>
        <v>.</v>
      </c>
      <c r="CC55" s="136"/>
      <c r="CD55" s="136"/>
      <c r="CE55" s="136"/>
      <c r="CF55" s="136"/>
      <c r="CG55" s="136"/>
      <c r="CH55" s="136"/>
      <c r="CI55" s="136"/>
      <c r="CJ55" s="136"/>
      <c r="CK55" s="136"/>
      <c r="CL55" s="136"/>
      <c r="CM55" s="136"/>
      <c r="CN55" s="136"/>
      <c r="CO55" s="136" t="str">
        <f>IF($D55&lt;&gt;"Feature",".",
IF(VLOOKUP($B55,Feature_List!$A:$AM,MATCH(CO$1,  Feature_List!$A$1:$AM$1,0),0)=AG55,".","NO"))</f>
        <v>.</v>
      </c>
      <c r="CP55" s="136" t="str">
        <f>IF($D55&lt;&gt;"Feature",".",
IF(VLOOKUP($B55,Feature_List!$A:$AM,MATCH(CP$1,  Feature_List!$A$1:$AM$1,0),0)=AH55,".","NO"))</f>
        <v>.</v>
      </c>
      <c r="CQ55" s="136" t="str">
        <f>IF($D55&lt;&gt;"Feature",".",
IF(VLOOKUP($B55,Feature_List!$A:$AM,MATCH(CQ$1,  Feature_List!$A$1:$AM$1,0),0)=AI55,".","NO"))</f>
        <v>.</v>
      </c>
      <c r="CR55" s="136" t="str">
        <f>IF($D55&lt;&gt;"Feature",".",
IF(VLOOKUP($B55,Feature_List!$A:$AM,MATCH(CR$1,  Feature_List!$A$1:$AM$1,0),0)=AJ55,".","NO"))</f>
        <v>.</v>
      </c>
      <c r="CS55" s="136" t="str">
        <f>IF($D55&lt;&gt;"Feature",".",
IF(VLOOKUP($B55,Feature_List!$A:$AM,MATCH(CS$1,  Feature_List!$A$1:$AM$1,0),0)=AK55,".","NO"))</f>
        <v>.</v>
      </c>
      <c r="CT55" s="136" t="str">
        <f>IF($D55&lt;&gt;"Feature",".",
IF(VLOOKUP($B55,Feature_List!$A:$AM,MATCH(CT$1,  Feature_List!$A$1:$AM$1,0),0)=AL55,".","NO"))</f>
        <v>.</v>
      </c>
      <c r="CU55" s="136" t="str">
        <f>IF($D55&lt;&gt;"Feature",".",
IF(VLOOKUP($B55,Feature_List!$A:$AM,MATCH(CU$1,  Feature_List!$A$1:$AM$1,0),0)=AM55,".","NO"))</f>
        <v>.</v>
      </c>
      <c r="CV55" s="136" t="str">
        <f>IF($D55&lt;&gt;"Feature",".",
IF(VLOOKUP($B55,Feature_List!$A:$AM,MATCH(CV$1,  Feature_List!$A$1:$AM$1,0),0)=AN55,".","NO"))</f>
        <v>.</v>
      </c>
      <c r="CW55" s="136" t="str">
        <f>IF($D55&lt;&gt;"Feature",".",
IF(VLOOKUP($B55,Feature_List!$A:$AM,MATCH(CW$1,  Feature_List!$A$1:$AM$1,0),0)=AO55,".","NO"))</f>
        <v>.</v>
      </c>
      <c r="CX55" s="136" t="str">
        <f>IF($D55&lt;&gt;"Feature",".",
IF(VLOOKUP($B55,Feature_List!$A:$AM,MATCH(CX$1,  Feature_List!$A$1:$AM$1,0),0)=AP55,".","NO"))</f>
        <v>.</v>
      </c>
      <c r="CY55" s="136" t="str">
        <f>IF($D55&lt;&gt;"Feature",".",
IF(VLOOKUP($B55,Feature_List!$A:$AM,MATCH(CY$1,  Feature_List!$A$1:$AM$1,0),0)=AQ55,".","NO"))</f>
        <v>.</v>
      </c>
      <c r="CZ55" s="136" t="str">
        <f>IF($D55&lt;&gt;"Feature",".",
IF(VLOOKUP($B55,Feature_List!$A:$AM,MATCH(CZ$1,  Feature_List!$A$1:$AM$1,0),0)=AR55,".","NO"))</f>
        <v>.</v>
      </c>
      <c r="DA55" s="136" t="str">
        <f>IF($D55&lt;&gt;"Feature",".",
IF(VLOOKUP($B55,Feature_List!$A:$AM,MATCH(DA$1,  Feature_List!$A$1:$AM$1,0),0)=AS55,".","NO"))</f>
        <v>.</v>
      </c>
      <c r="DB55" s="136" t="str">
        <f>IF($D55&lt;&gt;"Feature",".",
IF(VLOOKUP($B55,Feature_List!$A:$AM,MATCH(DB$1,  Feature_List!$A$1:$AM$1,0),0)=AT55,".","NO"))</f>
        <v>.</v>
      </c>
      <c r="DC55" s="136" t="str">
        <f>IF($D55&lt;&gt;"Feature",".",
IF(VLOOKUP($B55,Feature_List!$A:$AM,MATCH(DC$1,  Feature_List!$A$1:$AM$1,0),0)=AU55,".","NO"))</f>
        <v>.</v>
      </c>
      <c r="DD55" s="136" t="str">
        <f>IF($D55&lt;&gt;"Feature",".",
IF(VLOOKUP($B55,Feature_List!$A:$AM,MATCH(DD$1,  Feature_List!$A$1:$AM$1,0),0)=AV55,".","NO"))</f>
        <v>.</v>
      </c>
      <c r="DE55" s="136" t="str">
        <f>IF($D55&lt;&gt;"Feature",".",
IF(VLOOKUP($B55,Feature_List!$A:$AM,MATCH(DE$1,  Feature_List!$A$1:$AM$1,0),0)=AW55,".","NO"))</f>
        <v>.</v>
      </c>
      <c r="DF55" s="136" t="str">
        <f>IF($D55&lt;&gt;"Feature",".",
IF(VLOOKUP($B55,Feature_List!$A:$AM,MATCH(DF$1,  Feature_List!$A$1:$AM$1,0),0)=AX55,".","NO"))</f>
        <v>.</v>
      </c>
      <c r="DG55" s="136" t="str">
        <f>IF($D55&lt;&gt;"Feature",".",
IF(VLOOKUP($B55,Feature_List!$A:$AM,MATCH(DG$1,  Feature_List!$A$1:$AM$1,0),0)=AY55,".","NO"))</f>
        <v>.</v>
      </c>
      <c r="DH55" s="136" t="str">
        <f>IF($D55&lt;&gt;"Feature",".",
IF(VLOOKUP($B55,Feature_List!$A:$AM,MATCH(DH$1,  Feature_List!$A$1:$AM$1,0),0)=AZ55,".","NO"))</f>
        <v>.</v>
      </c>
      <c r="DI55" s="136" t="str">
        <f>IF($D55&lt;&gt;"Feature",".",
IF(VLOOKUP($B55,Feature_List!$A:$AM,MATCH(DI$1,  Feature_List!$A$1:$AM$1,0),0)=BA55,".","NO"))</f>
        <v>.</v>
      </c>
      <c r="DJ55" s="136" t="str">
        <f>IF($D55&lt;&gt;"Feature",".",
IF(VLOOKUP($B55,Feature_List!$A:$AM,MATCH(DJ$1,  Feature_List!$A$1:$AM$1,0),0)=BB55,".","NO"))</f>
        <v>.</v>
      </c>
      <c r="DK55" s="136"/>
      <c r="DL55" s="136"/>
      <c r="DM55" s="136"/>
      <c r="DN55" s="136" t="str">
        <f>IF($D55&lt;&gt;"Feature",".",
IF(VLOOKUP($B55,Feature_List!$A:$AM,MATCH(DN$1,  Feature_List!$A$1:$AM$1,0),0)=BC55,".","NO"))</f>
        <v>.</v>
      </c>
      <c r="DO55" s="136" t="str">
        <f>IF($D55&lt;&gt;"Feature",".",
IF(VLOOKUP($B55,Feature_List!$A:$AM,MATCH(DO$1,  Feature_List!$A$1:$AM$1,0),0)=BD55,".","NO"))</f>
        <v>.</v>
      </c>
    </row>
    <row r="56" spans="2:119" x14ac:dyDescent="0.3">
      <c r="B56" s="121">
        <v>318471</v>
      </c>
      <c r="C56" s="122" t="s">
        <v>604</v>
      </c>
      <c r="D56" s="122" t="s">
        <v>71</v>
      </c>
      <c r="E56" s="122" t="s">
        <v>724</v>
      </c>
      <c r="F56" s="138" t="s">
        <v>657</v>
      </c>
      <c r="G56" s="123" t="s">
        <v>657</v>
      </c>
      <c r="H56" s="122" t="s">
        <v>70</v>
      </c>
      <c r="I56" s="124" t="s">
        <v>562</v>
      </c>
      <c r="J56" s="138"/>
      <c r="K56" s="123">
        <v>5</v>
      </c>
      <c r="L56" s="122"/>
      <c r="M56" s="122" t="s">
        <v>666</v>
      </c>
      <c r="N56" s="125" t="s">
        <v>651</v>
      </c>
      <c r="O56" s="123">
        <f t="shared" si="0"/>
        <v>5</v>
      </c>
      <c r="P56" s="123" t="str">
        <f t="shared" si="1"/>
        <v>New</v>
      </c>
      <c r="Q56" s="122" t="str">
        <f t="shared" si="24"/>
        <v>Story</v>
      </c>
      <c r="R56" s="126">
        <f t="shared" si="2"/>
        <v>318430</v>
      </c>
      <c r="S56" s="127">
        <f t="shared" si="3"/>
        <v>318471</v>
      </c>
      <c r="T56" s="128" t="e">
        <f>IF($Q56="ZeroEntry", "",VLOOKUP($I56,'Ranking Lookup'!#REF!,2,FALSE))</f>
        <v>#REF!</v>
      </c>
      <c r="U56" s="129" t="str">
        <f t="shared" si="4"/>
        <v/>
      </c>
      <c r="V56" s="129" t="str">
        <f t="shared" si="5"/>
        <v/>
      </c>
      <c r="W56" s="129" t="str">
        <f t="shared" si="6"/>
        <v/>
      </c>
      <c r="X56" s="129" t="str">
        <f t="shared" si="7"/>
        <v/>
      </c>
      <c r="Y56" s="129" t="str">
        <f t="shared" si="8"/>
        <v>Feature</v>
      </c>
      <c r="Z56" s="129" t="str">
        <f t="shared" si="9"/>
        <v/>
      </c>
      <c r="AA56" s="130"/>
      <c r="AB56" s="130" t="str">
        <f t="shared" si="10"/>
        <v>PI 12</v>
      </c>
      <c r="AC56" s="131">
        <f t="shared" si="25"/>
        <v>5</v>
      </c>
      <c r="AD56" s="131">
        <f t="shared" si="26"/>
        <v>0</v>
      </c>
      <c r="AE56" s="132">
        <f t="shared" si="11"/>
        <v>0</v>
      </c>
      <c r="AF56" s="133" t="str">
        <f t="shared" si="27"/>
        <v/>
      </c>
      <c r="AG56" s="134">
        <f t="shared" si="12"/>
        <v>0</v>
      </c>
      <c r="AH56" s="54" t="str">
        <f t="shared" si="13"/>
        <v/>
      </c>
      <c r="AI56" s="54" t="e">
        <f t="shared" si="35"/>
        <v>#REF!</v>
      </c>
      <c r="AJ56" s="54" t="e">
        <f t="shared" si="35"/>
        <v>#REF!</v>
      </c>
      <c r="AK56" s="54" t="e">
        <f t="shared" si="35"/>
        <v>#REF!</v>
      </c>
      <c r="AL56" s="54" t="e">
        <f t="shared" si="35"/>
        <v>#REF!</v>
      </c>
      <c r="AM56" s="54" t="e">
        <f t="shared" si="35"/>
        <v>#REF!</v>
      </c>
      <c r="AN56" s="54" t="e">
        <f t="shared" si="35"/>
        <v>#REF!</v>
      </c>
      <c r="AO56" s="54" t="e">
        <f t="shared" si="35"/>
        <v>#REF!</v>
      </c>
      <c r="AP56" s="54" t="e">
        <f t="shared" si="35"/>
        <v>#REF!</v>
      </c>
      <c r="AQ56" s="54" t="e">
        <f t="shared" si="35"/>
        <v>#REF!</v>
      </c>
      <c r="AR56" s="54" t="e">
        <f t="shared" si="35"/>
        <v>#REF!</v>
      </c>
      <c r="AS56" s="54" t="e">
        <f t="shared" si="35"/>
        <v>#REF!</v>
      </c>
      <c r="AT56" s="54" t="e">
        <f t="shared" si="35"/>
        <v>#REF!</v>
      </c>
      <c r="AU56" s="54" t="e">
        <f t="shared" si="35"/>
        <v>#REF!</v>
      </c>
      <c r="AV56" s="54" t="e">
        <f t="shared" si="35"/>
        <v>#REF!</v>
      </c>
      <c r="AW56" s="54" t="e">
        <f t="shared" si="35"/>
        <v>#REF!</v>
      </c>
      <c r="AX56" s="54" t="e">
        <f t="shared" si="35"/>
        <v>#REF!</v>
      </c>
      <c r="AY56" s="54" t="e">
        <f t="shared" si="15"/>
        <v>#REF!</v>
      </c>
      <c r="AZ56" s="54" t="str">
        <f t="shared" si="16"/>
        <v/>
      </c>
      <c r="BA56" s="54" t="e">
        <f t="shared" si="17"/>
        <v>#REF!</v>
      </c>
      <c r="BB56" s="135" t="str">
        <f t="shared" si="18"/>
        <v/>
      </c>
      <c r="BC56" s="54" t="e">
        <f t="shared" si="33"/>
        <v>#REF!</v>
      </c>
      <c r="BD56" s="54" t="e">
        <f t="shared" si="33"/>
        <v>#REF!</v>
      </c>
      <c r="BE56" s="54" t="e">
        <f t="shared" si="33"/>
        <v>#REF!</v>
      </c>
      <c r="BF56" s="54" t="str">
        <f t="shared" si="20"/>
        <v/>
      </c>
      <c r="BG56" s="54" t="str">
        <f t="shared" si="21"/>
        <v/>
      </c>
      <c r="BH56" s="34" t="e">
        <f t="shared" si="22"/>
        <v>#REF!</v>
      </c>
      <c r="BI56" s="34" t="e">
        <f t="shared" si="23"/>
        <v>#REF!</v>
      </c>
      <c r="BJ56" s="136" t="str">
        <f>IF($D56&lt;&gt;"Feature",".",
IF(VLOOKUP($B56,Feature_List!$A:$AM,MATCH(BJ$1,  Feature_List!$A$1:$AM$1,0),0)=B56,".","NO"))</f>
        <v>.</v>
      </c>
      <c r="BK56" s="136"/>
      <c r="BL56" s="136"/>
      <c r="BM56" s="136" t="str">
        <f>IF($D56&lt;&gt;"Feature",".",
IF(VLOOKUP($B56,Feature_List!$A:$AM,MATCH(BM$1,  Feature_List!$A$1:$AM$1,0),0)=E56,".","NO"))</f>
        <v>.</v>
      </c>
      <c r="BN56" s="136" t="str">
        <f>IF($D56&lt;&gt;"Feature",".",
IF(VLOOKUP($B56,Feature_List!$A:$AM,MATCH(BN$1,  Feature_List!$A$1:$AM$1,0),0)=F56,".","NO"))</f>
        <v>.</v>
      </c>
      <c r="BO56" s="136" t="str">
        <f>IF($D56&lt;&gt;"Feature",".",
IF(VLOOKUP($B56,Feature_List!$A:$AM,MATCH(BO$1,  Feature_List!$A$1:$AM$1,0),0)=G56,".","NO"))</f>
        <v>.</v>
      </c>
      <c r="BP56" s="136" t="str">
        <f>IF($D56&lt;&gt;"Feature",".",
IF(VLOOKUP($B56,Feature_List!$A:$AM,MATCH(BP$1,  Feature_List!$A$1:$AM$1,0),0)=H56,".","NO"))</f>
        <v>.</v>
      </c>
      <c r="BQ56" s="136"/>
      <c r="BR56" s="136" t="str">
        <f>IF($D56&lt;&gt;"Feature",".",
IF(VLOOKUP($B56,Feature_List!$A:$AM,MATCH(BR$1,  Feature_List!$A$1:$AM$1,0),0)=J56,".","NO"))</f>
        <v>.</v>
      </c>
      <c r="BS56" s="136"/>
      <c r="BT56" s="136"/>
      <c r="BU56" s="136" t="str">
        <f>IF($D56&lt;&gt;"Feature",".",
IF(VLOOKUP($B56,Feature_List!$A:$AM,MATCH(BU$1,  Feature_List!$A$1:$AM$1,0),0)=M56,".","NO"))</f>
        <v>.</v>
      </c>
      <c r="BV56" s="136" t="str">
        <f>IF($D56&lt;&gt;"Feature",".",
IF(VLOOKUP($B56,Feature_List!$A:$AM,MATCH(BV$1,  Feature_List!$A$1:$AM$1,0),0)=N56,".","NO"))</f>
        <v>.</v>
      </c>
      <c r="BW56" s="136"/>
      <c r="BX56" s="136"/>
      <c r="BY56" s="136"/>
      <c r="BZ56" s="136"/>
      <c r="CA56" s="136"/>
      <c r="CB56" s="136" t="str">
        <f>IF($D56&lt;&gt;"Feature",".",
IF(VLOOKUP($B56,Feature_List!$A:$AM,MATCH(CB$1,  Feature_List!$A$1:$AM$1,0),0)=T56,".","NO"))</f>
        <v>.</v>
      </c>
      <c r="CC56" s="136"/>
      <c r="CD56" s="136"/>
      <c r="CE56" s="136"/>
      <c r="CF56" s="136"/>
      <c r="CG56" s="136"/>
      <c r="CH56" s="136"/>
      <c r="CI56" s="136"/>
      <c r="CJ56" s="136"/>
      <c r="CK56" s="136"/>
      <c r="CL56" s="136"/>
      <c r="CM56" s="136"/>
      <c r="CN56" s="136"/>
      <c r="CO56" s="136" t="str">
        <f>IF($D56&lt;&gt;"Feature",".",
IF(VLOOKUP($B56,Feature_List!$A:$AM,MATCH(CO$1,  Feature_List!$A$1:$AM$1,0),0)=AG56,".","NO"))</f>
        <v>.</v>
      </c>
      <c r="CP56" s="136" t="str">
        <f>IF($D56&lt;&gt;"Feature",".",
IF(VLOOKUP($B56,Feature_List!$A:$AM,MATCH(CP$1,  Feature_List!$A$1:$AM$1,0),0)=AH56,".","NO"))</f>
        <v>.</v>
      </c>
      <c r="CQ56" s="136" t="str">
        <f>IF($D56&lt;&gt;"Feature",".",
IF(VLOOKUP($B56,Feature_List!$A:$AM,MATCH(CQ$1,  Feature_List!$A$1:$AM$1,0),0)=AI56,".","NO"))</f>
        <v>.</v>
      </c>
      <c r="CR56" s="136" t="str">
        <f>IF($D56&lt;&gt;"Feature",".",
IF(VLOOKUP($B56,Feature_List!$A:$AM,MATCH(CR$1,  Feature_List!$A$1:$AM$1,0),0)=AJ56,".","NO"))</f>
        <v>.</v>
      </c>
      <c r="CS56" s="136" t="str">
        <f>IF($D56&lt;&gt;"Feature",".",
IF(VLOOKUP($B56,Feature_List!$A:$AM,MATCH(CS$1,  Feature_List!$A$1:$AM$1,0),0)=AK56,".","NO"))</f>
        <v>.</v>
      </c>
      <c r="CT56" s="136" t="str">
        <f>IF($D56&lt;&gt;"Feature",".",
IF(VLOOKUP($B56,Feature_List!$A:$AM,MATCH(CT$1,  Feature_List!$A$1:$AM$1,0),0)=AL56,".","NO"))</f>
        <v>.</v>
      </c>
      <c r="CU56" s="136" t="str">
        <f>IF($D56&lt;&gt;"Feature",".",
IF(VLOOKUP($B56,Feature_List!$A:$AM,MATCH(CU$1,  Feature_List!$A$1:$AM$1,0),0)=AM56,".","NO"))</f>
        <v>.</v>
      </c>
      <c r="CV56" s="136" t="str">
        <f>IF($D56&lt;&gt;"Feature",".",
IF(VLOOKUP($B56,Feature_List!$A:$AM,MATCH(CV$1,  Feature_List!$A$1:$AM$1,0),0)=AN56,".","NO"))</f>
        <v>.</v>
      </c>
      <c r="CW56" s="136" t="str">
        <f>IF($D56&lt;&gt;"Feature",".",
IF(VLOOKUP($B56,Feature_List!$A:$AM,MATCH(CW$1,  Feature_List!$A$1:$AM$1,0),0)=AO56,".","NO"))</f>
        <v>.</v>
      </c>
      <c r="CX56" s="136" t="str">
        <f>IF($D56&lt;&gt;"Feature",".",
IF(VLOOKUP($B56,Feature_List!$A:$AM,MATCH(CX$1,  Feature_List!$A$1:$AM$1,0),0)=AP56,".","NO"))</f>
        <v>.</v>
      </c>
      <c r="CY56" s="136" t="str">
        <f>IF($D56&lt;&gt;"Feature",".",
IF(VLOOKUP($B56,Feature_List!$A:$AM,MATCH(CY$1,  Feature_List!$A$1:$AM$1,0),0)=AQ56,".","NO"))</f>
        <v>.</v>
      </c>
      <c r="CZ56" s="136" t="str">
        <f>IF($D56&lt;&gt;"Feature",".",
IF(VLOOKUP($B56,Feature_List!$A:$AM,MATCH(CZ$1,  Feature_List!$A$1:$AM$1,0),0)=AR56,".","NO"))</f>
        <v>.</v>
      </c>
      <c r="DA56" s="136" t="str">
        <f>IF($D56&lt;&gt;"Feature",".",
IF(VLOOKUP($B56,Feature_List!$A:$AM,MATCH(DA$1,  Feature_List!$A$1:$AM$1,0),0)=AS56,".","NO"))</f>
        <v>.</v>
      </c>
      <c r="DB56" s="136" t="str">
        <f>IF($D56&lt;&gt;"Feature",".",
IF(VLOOKUP($B56,Feature_List!$A:$AM,MATCH(DB$1,  Feature_List!$A$1:$AM$1,0),0)=AT56,".","NO"))</f>
        <v>.</v>
      </c>
      <c r="DC56" s="136" t="str">
        <f>IF($D56&lt;&gt;"Feature",".",
IF(VLOOKUP($B56,Feature_List!$A:$AM,MATCH(DC$1,  Feature_List!$A$1:$AM$1,0),0)=AU56,".","NO"))</f>
        <v>.</v>
      </c>
      <c r="DD56" s="136" t="str">
        <f>IF($D56&lt;&gt;"Feature",".",
IF(VLOOKUP($B56,Feature_List!$A:$AM,MATCH(DD$1,  Feature_List!$A$1:$AM$1,0),0)=AV56,".","NO"))</f>
        <v>.</v>
      </c>
      <c r="DE56" s="136" t="str">
        <f>IF($D56&lt;&gt;"Feature",".",
IF(VLOOKUP($B56,Feature_List!$A:$AM,MATCH(DE$1,  Feature_List!$A$1:$AM$1,0),0)=AW56,".","NO"))</f>
        <v>.</v>
      </c>
      <c r="DF56" s="136" t="str">
        <f>IF($D56&lt;&gt;"Feature",".",
IF(VLOOKUP($B56,Feature_List!$A:$AM,MATCH(DF$1,  Feature_List!$A$1:$AM$1,0),0)=AX56,".","NO"))</f>
        <v>.</v>
      </c>
      <c r="DG56" s="136" t="str">
        <f>IF($D56&lt;&gt;"Feature",".",
IF(VLOOKUP($B56,Feature_List!$A:$AM,MATCH(DG$1,  Feature_List!$A$1:$AM$1,0),0)=AY56,".","NO"))</f>
        <v>.</v>
      </c>
      <c r="DH56" s="136" t="str">
        <f>IF($D56&lt;&gt;"Feature",".",
IF(VLOOKUP($B56,Feature_List!$A:$AM,MATCH(DH$1,  Feature_List!$A$1:$AM$1,0),0)=AZ56,".","NO"))</f>
        <v>.</v>
      </c>
      <c r="DI56" s="136" t="str">
        <f>IF($D56&lt;&gt;"Feature",".",
IF(VLOOKUP($B56,Feature_List!$A:$AM,MATCH(DI$1,  Feature_List!$A$1:$AM$1,0),0)=BA56,".","NO"))</f>
        <v>.</v>
      </c>
      <c r="DJ56" s="136" t="str">
        <f>IF($D56&lt;&gt;"Feature",".",
IF(VLOOKUP($B56,Feature_List!$A:$AM,MATCH(DJ$1,  Feature_List!$A$1:$AM$1,0),0)=BB56,".","NO"))</f>
        <v>.</v>
      </c>
      <c r="DK56" s="136"/>
      <c r="DL56" s="136"/>
      <c r="DM56" s="136"/>
      <c r="DN56" s="136" t="str">
        <f>IF($D56&lt;&gt;"Feature",".",
IF(VLOOKUP($B56,Feature_List!$A:$AM,MATCH(DN$1,  Feature_List!$A$1:$AM$1,0),0)=BC56,".","NO"))</f>
        <v>.</v>
      </c>
      <c r="DO56" s="136" t="str">
        <f>IF($D56&lt;&gt;"Feature",".",
IF(VLOOKUP($B56,Feature_List!$A:$AM,MATCH(DO$1,  Feature_List!$A$1:$AM$1,0),0)=BD56,".","NO"))</f>
        <v>.</v>
      </c>
    </row>
    <row r="57" spans="2:119" x14ac:dyDescent="0.3">
      <c r="B57" s="121">
        <v>318470</v>
      </c>
      <c r="C57" s="122" t="s">
        <v>604</v>
      </c>
      <c r="D57" s="122" t="s">
        <v>71</v>
      </c>
      <c r="E57" s="122" t="s">
        <v>725</v>
      </c>
      <c r="F57" s="138" t="s">
        <v>656</v>
      </c>
      <c r="G57" s="123" t="s">
        <v>656</v>
      </c>
      <c r="H57" s="122" t="s">
        <v>70</v>
      </c>
      <c r="I57" s="124" t="s">
        <v>562</v>
      </c>
      <c r="J57" s="138"/>
      <c r="K57" s="123">
        <v>1</v>
      </c>
      <c r="L57" s="122"/>
      <c r="M57" s="122" t="s">
        <v>598</v>
      </c>
      <c r="N57" s="125" t="s">
        <v>651</v>
      </c>
      <c r="O57" s="123">
        <f t="shared" si="0"/>
        <v>1</v>
      </c>
      <c r="P57" s="123" t="str">
        <f t="shared" si="1"/>
        <v>New</v>
      </c>
      <c r="Q57" s="122" t="str">
        <f t="shared" si="24"/>
        <v>Story</v>
      </c>
      <c r="R57" s="126">
        <f t="shared" si="2"/>
        <v>318430</v>
      </c>
      <c r="S57" s="127">
        <f t="shared" si="3"/>
        <v>318470</v>
      </c>
      <c r="T57" s="128" t="e">
        <f>IF($Q57="ZeroEntry", "",VLOOKUP($I57,'Ranking Lookup'!#REF!,2,FALSE))</f>
        <v>#REF!</v>
      </c>
      <c r="U57" s="129" t="str">
        <f t="shared" si="4"/>
        <v/>
      </c>
      <c r="V57" s="129" t="str">
        <f t="shared" si="5"/>
        <v/>
      </c>
      <c r="W57" s="129" t="str">
        <f t="shared" si="6"/>
        <v/>
      </c>
      <c r="X57" s="129" t="str">
        <f t="shared" si="7"/>
        <v/>
      </c>
      <c r="Y57" s="129" t="str">
        <f t="shared" si="8"/>
        <v>Feature</v>
      </c>
      <c r="Z57" s="129" t="str">
        <f t="shared" si="9"/>
        <v/>
      </c>
      <c r="AA57" s="130"/>
      <c r="AB57" s="130" t="str">
        <f t="shared" si="10"/>
        <v>PI 12</v>
      </c>
      <c r="AC57" s="131">
        <f t="shared" si="25"/>
        <v>1</v>
      </c>
      <c r="AD57" s="131">
        <f t="shared" si="26"/>
        <v>0</v>
      </c>
      <c r="AE57" s="132">
        <f t="shared" si="11"/>
        <v>0</v>
      </c>
      <c r="AF57" s="133" t="str">
        <f t="shared" si="27"/>
        <v/>
      </c>
      <c r="AG57" s="134">
        <f t="shared" si="12"/>
        <v>0</v>
      </c>
      <c r="AH57" s="54" t="str">
        <f t="shared" si="13"/>
        <v/>
      </c>
      <c r="AI57" s="54" t="e">
        <f t="shared" si="35"/>
        <v>#REF!</v>
      </c>
      <c r="AJ57" s="54" t="e">
        <f t="shared" si="35"/>
        <v>#REF!</v>
      </c>
      <c r="AK57" s="54" t="e">
        <f t="shared" si="35"/>
        <v>#REF!</v>
      </c>
      <c r="AL57" s="54" t="e">
        <f t="shared" si="35"/>
        <v>#REF!</v>
      </c>
      <c r="AM57" s="54" t="e">
        <f t="shared" si="35"/>
        <v>#REF!</v>
      </c>
      <c r="AN57" s="54" t="e">
        <f t="shared" si="35"/>
        <v>#REF!</v>
      </c>
      <c r="AO57" s="54" t="e">
        <f t="shared" si="35"/>
        <v>#REF!</v>
      </c>
      <c r="AP57" s="54" t="e">
        <f t="shared" si="35"/>
        <v>#REF!</v>
      </c>
      <c r="AQ57" s="54" t="e">
        <f t="shared" si="35"/>
        <v>#REF!</v>
      </c>
      <c r="AR57" s="54" t="e">
        <f t="shared" si="35"/>
        <v>#REF!</v>
      </c>
      <c r="AS57" s="54" t="e">
        <f t="shared" si="35"/>
        <v>#REF!</v>
      </c>
      <c r="AT57" s="54" t="e">
        <f t="shared" si="35"/>
        <v>#REF!</v>
      </c>
      <c r="AU57" s="54" t="e">
        <f t="shared" si="35"/>
        <v>#REF!</v>
      </c>
      <c r="AV57" s="54" t="e">
        <f t="shared" si="35"/>
        <v>#REF!</v>
      </c>
      <c r="AW57" s="54" t="e">
        <f t="shared" si="35"/>
        <v>#REF!</v>
      </c>
      <c r="AX57" s="54" t="e">
        <f t="shared" si="35"/>
        <v>#REF!</v>
      </c>
      <c r="AY57" s="54" t="e">
        <f t="shared" si="15"/>
        <v>#REF!</v>
      </c>
      <c r="AZ57" s="54" t="str">
        <f t="shared" si="16"/>
        <v/>
      </c>
      <c r="BA57" s="54" t="e">
        <f t="shared" si="17"/>
        <v>#REF!</v>
      </c>
      <c r="BB57" s="135" t="str">
        <f t="shared" si="18"/>
        <v/>
      </c>
      <c r="BC57" s="54" t="e">
        <f t="shared" si="33"/>
        <v>#REF!</v>
      </c>
      <c r="BD57" s="54" t="e">
        <f t="shared" si="33"/>
        <v>#REF!</v>
      </c>
      <c r="BE57" s="54" t="e">
        <f t="shared" si="33"/>
        <v>#REF!</v>
      </c>
      <c r="BF57" s="54" t="str">
        <f t="shared" si="20"/>
        <v/>
      </c>
      <c r="BG57" s="54" t="str">
        <f t="shared" si="21"/>
        <v/>
      </c>
      <c r="BH57" s="34" t="e">
        <f t="shared" si="22"/>
        <v>#REF!</v>
      </c>
      <c r="BI57" s="34" t="e">
        <f t="shared" si="23"/>
        <v>#REF!</v>
      </c>
      <c r="BJ57" s="136" t="str">
        <f>IF($D57&lt;&gt;"Feature",".",
IF(VLOOKUP($B57,Feature_List!$A:$AM,MATCH(BJ$1,  Feature_List!$A$1:$AM$1,0),0)=B57,".","NO"))</f>
        <v>.</v>
      </c>
      <c r="BK57" s="136"/>
      <c r="BL57" s="136"/>
      <c r="BM57" s="136" t="str">
        <f>IF($D57&lt;&gt;"Feature",".",
IF(VLOOKUP($B57,Feature_List!$A:$AM,MATCH(BM$1,  Feature_List!$A$1:$AM$1,0),0)=E57,".","NO"))</f>
        <v>.</v>
      </c>
      <c r="BN57" s="136" t="str">
        <f>IF($D57&lt;&gt;"Feature",".",
IF(VLOOKUP($B57,Feature_List!$A:$AM,MATCH(BN$1,  Feature_List!$A$1:$AM$1,0),0)=F57,".","NO"))</f>
        <v>.</v>
      </c>
      <c r="BO57" s="136" t="str">
        <f>IF($D57&lt;&gt;"Feature",".",
IF(VLOOKUP($B57,Feature_List!$A:$AM,MATCH(BO$1,  Feature_List!$A$1:$AM$1,0),0)=G57,".","NO"))</f>
        <v>.</v>
      </c>
      <c r="BP57" s="136" t="str">
        <f>IF($D57&lt;&gt;"Feature",".",
IF(VLOOKUP($B57,Feature_List!$A:$AM,MATCH(BP$1,  Feature_List!$A$1:$AM$1,0),0)=H57,".","NO"))</f>
        <v>.</v>
      </c>
      <c r="BQ57" s="136"/>
      <c r="BR57" s="136" t="str">
        <f>IF($D57&lt;&gt;"Feature",".",
IF(VLOOKUP($B57,Feature_List!$A:$AM,MATCH(BR$1,  Feature_List!$A$1:$AM$1,0),0)=J57,".","NO"))</f>
        <v>.</v>
      </c>
      <c r="BS57" s="136"/>
      <c r="BT57" s="136"/>
      <c r="BU57" s="136" t="str">
        <f>IF($D57&lt;&gt;"Feature",".",
IF(VLOOKUP($B57,Feature_List!$A:$AM,MATCH(BU$1,  Feature_List!$A$1:$AM$1,0),0)=M57,".","NO"))</f>
        <v>.</v>
      </c>
      <c r="BV57" s="136" t="str">
        <f>IF($D57&lt;&gt;"Feature",".",
IF(VLOOKUP($B57,Feature_List!$A:$AM,MATCH(BV$1,  Feature_List!$A$1:$AM$1,0),0)=N57,".","NO"))</f>
        <v>.</v>
      </c>
      <c r="BW57" s="136"/>
      <c r="BX57" s="136"/>
      <c r="BY57" s="136"/>
      <c r="BZ57" s="136"/>
      <c r="CA57" s="136"/>
      <c r="CB57" s="136" t="str">
        <f>IF($D57&lt;&gt;"Feature",".",
IF(VLOOKUP($B57,Feature_List!$A:$AM,MATCH(CB$1,  Feature_List!$A$1:$AM$1,0),0)=T57,".","NO"))</f>
        <v>.</v>
      </c>
      <c r="CC57" s="136"/>
      <c r="CD57" s="136"/>
      <c r="CE57" s="136"/>
      <c r="CF57" s="136"/>
      <c r="CG57" s="136"/>
      <c r="CH57" s="136"/>
      <c r="CI57" s="136"/>
      <c r="CJ57" s="136"/>
      <c r="CK57" s="136"/>
      <c r="CL57" s="136"/>
      <c r="CM57" s="136"/>
      <c r="CN57" s="136"/>
      <c r="CO57" s="136" t="str">
        <f>IF($D57&lt;&gt;"Feature",".",
IF(VLOOKUP($B57,Feature_List!$A:$AM,MATCH(CO$1,  Feature_List!$A$1:$AM$1,0),0)=AG57,".","NO"))</f>
        <v>.</v>
      </c>
      <c r="CP57" s="136" t="str">
        <f>IF($D57&lt;&gt;"Feature",".",
IF(VLOOKUP($B57,Feature_List!$A:$AM,MATCH(CP$1,  Feature_List!$A$1:$AM$1,0),0)=AH57,".","NO"))</f>
        <v>.</v>
      </c>
      <c r="CQ57" s="136" t="str">
        <f>IF($D57&lt;&gt;"Feature",".",
IF(VLOOKUP($B57,Feature_List!$A:$AM,MATCH(CQ$1,  Feature_List!$A$1:$AM$1,0),0)=AI57,".","NO"))</f>
        <v>.</v>
      </c>
      <c r="CR57" s="136" t="str">
        <f>IF($D57&lt;&gt;"Feature",".",
IF(VLOOKUP($B57,Feature_List!$A:$AM,MATCH(CR$1,  Feature_List!$A$1:$AM$1,0),0)=AJ57,".","NO"))</f>
        <v>.</v>
      </c>
      <c r="CS57" s="136" t="str">
        <f>IF($D57&lt;&gt;"Feature",".",
IF(VLOOKUP($B57,Feature_List!$A:$AM,MATCH(CS$1,  Feature_List!$A$1:$AM$1,0),0)=AK57,".","NO"))</f>
        <v>.</v>
      </c>
      <c r="CT57" s="136" t="str">
        <f>IF($D57&lt;&gt;"Feature",".",
IF(VLOOKUP($B57,Feature_List!$A:$AM,MATCH(CT$1,  Feature_List!$A$1:$AM$1,0),0)=AL57,".","NO"))</f>
        <v>.</v>
      </c>
      <c r="CU57" s="136" t="str">
        <f>IF($D57&lt;&gt;"Feature",".",
IF(VLOOKUP($B57,Feature_List!$A:$AM,MATCH(CU$1,  Feature_List!$A$1:$AM$1,0),0)=AM57,".","NO"))</f>
        <v>.</v>
      </c>
      <c r="CV57" s="136" t="str">
        <f>IF($D57&lt;&gt;"Feature",".",
IF(VLOOKUP($B57,Feature_List!$A:$AM,MATCH(CV$1,  Feature_List!$A$1:$AM$1,0),0)=AN57,".","NO"))</f>
        <v>.</v>
      </c>
      <c r="CW57" s="136" t="str">
        <f>IF($D57&lt;&gt;"Feature",".",
IF(VLOOKUP($B57,Feature_List!$A:$AM,MATCH(CW$1,  Feature_List!$A$1:$AM$1,0),0)=AO57,".","NO"))</f>
        <v>.</v>
      </c>
      <c r="CX57" s="136" t="str">
        <f>IF($D57&lt;&gt;"Feature",".",
IF(VLOOKUP($B57,Feature_List!$A:$AM,MATCH(CX$1,  Feature_List!$A$1:$AM$1,0),0)=AP57,".","NO"))</f>
        <v>.</v>
      </c>
      <c r="CY57" s="136" t="str">
        <f>IF($D57&lt;&gt;"Feature",".",
IF(VLOOKUP($B57,Feature_List!$A:$AM,MATCH(CY$1,  Feature_List!$A$1:$AM$1,0),0)=AQ57,".","NO"))</f>
        <v>.</v>
      </c>
      <c r="CZ57" s="136" t="str">
        <f>IF($D57&lt;&gt;"Feature",".",
IF(VLOOKUP($B57,Feature_List!$A:$AM,MATCH(CZ$1,  Feature_List!$A$1:$AM$1,0),0)=AR57,".","NO"))</f>
        <v>.</v>
      </c>
      <c r="DA57" s="136" t="str">
        <f>IF($D57&lt;&gt;"Feature",".",
IF(VLOOKUP($B57,Feature_List!$A:$AM,MATCH(DA$1,  Feature_List!$A$1:$AM$1,0),0)=AS57,".","NO"))</f>
        <v>.</v>
      </c>
      <c r="DB57" s="136" t="str">
        <f>IF($D57&lt;&gt;"Feature",".",
IF(VLOOKUP($B57,Feature_List!$A:$AM,MATCH(DB$1,  Feature_List!$A$1:$AM$1,0),0)=AT57,".","NO"))</f>
        <v>.</v>
      </c>
      <c r="DC57" s="136" t="str">
        <f>IF($D57&lt;&gt;"Feature",".",
IF(VLOOKUP($B57,Feature_List!$A:$AM,MATCH(DC$1,  Feature_List!$A$1:$AM$1,0),0)=AU57,".","NO"))</f>
        <v>.</v>
      </c>
      <c r="DD57" s="136" t="str">
        <f>IF($D57&lt;&gt;"Feature",".",
IF(VLOOKUP($B57,Feature_List!$A:$AM,MATCH(DD$1,  Feature_List!$A$1:$AM$1,0),0)=AV57,".","NO"))</f>
        <v>.</v>
      </c>
      <c r="DE57" s="136" t="str">
        <f>IF($D57&lt;&gt;"Feature",".",
IF(VLOOKUP($B57,Feature_List!$A:$AM,MATCH(DE$1,  Feature_List!$A$1:$AM$1,0),0)=AW57,".","NO"))</f>
        <v>.</v>
      </c>
      <c r="DF57" s="136" t="str">
        <f>IF($D57&lt;&gt;"Feature",".",
IF(VLOOKUP($B57,Feature_List!$A:$AM,MATCH(DF$1,  Feature_List!$A$1:$AM$1,0),0)=AX57,".","NO"))</f>
        <v>.</v>
      </c>
      <c r="DG57" s="136" t="str">
        <f>IF($D57&lt;&gt;"Feature",".",
IF(VLOOKUP($B57,Feature_List!$A:$AM,MATCH(DG$1,  Feature_List!$A$1:$AM$1,0),0)=AY57,".","NO"))</f>
        <v>.</v>
      </c>
      <c r="DH57" s="136" t="str">
        <f>IF($D57&lt;&gt;"Feature",".",
IF(VLOOKUP($B57,Feature_List!$A:$AM,MATCH(DH$1,  Feature_List!$A$1:$AM$1,0),0)=AZ57,".","NO"))</f>
        <v>.</v>
      </c>
      <c r="DI57" s="136" t="str">
        <f>IF($D57&lt;&gt;"Feature",".",
IF(VLOOKUP($B57,Feature_List!$A:$AM,MATCH(DI$1,  Feature_List!$A$1:$AM$1,0),0)=BA57,".","NO"))</f>
        <v>.</v>
      </c>
      <c r="DJ57" s="136" t="str">
        <f>IF($D57&lt;&gt;"Feature",".",
IF(VLOOKUP($B57,Feature_List!$A:$AM,MATCH(DJ$1,  Feature_List!$A$1:$AM$1,0),0)=BB57,".","NO"))</f>
        <v>.</v>
      </c>
      <c r="DK57" s="136"/>
      <c r="DL57" s="136"/>
      <c r="DM57" s="136"/>
      <c r="DN57" s="136" t="str">
        <f>IF($D57&lt;&gt;"Feature",".",
IF(VLOOKUP($B57,Feature_List!$A:$AM,MATCH(DN$1,  Feature_List!$A$1:$AM$1,0),0)=BC57,".","NO"))</f>
        <v>.</v>
      </c>
      <c r="DO57" s="136" t="str">
        <f>IF($D57&lt;&gt;"Feature",".",
IF(VLOOKUP($B57,Feature_List!$A:$AM,MATCH(DO$1,  Feature_List!$A$1:$AM$1,0),0)=BD57,".","NO"))</f>
        <v>.</v>
      </c>
    </row>
    <row r="58" spans="2:119" x14ac:dyDescent="0.3">
      <c r="B58" s="121">
        <v>318468</v>
      </c>
      <c r="C58" s="122" t="s">
        <v>604</v>
      </c>
      <c r="D58" s="122" t="s">
        <v>71</v>
      </c>
      <c r="E58" s="122" t="s">
        <v>726</v>
      </c>
      <c r="F58" s="138" t="s">
        <v>130</v>
      </c>
      <c r="G58" s="123" t="s">
        <v>130</v>
      </c>
      <c r="H58" s="122" t="s">
        <v>683</v>
      </c>
      <c r="I58" s="124" t="s">
        <v>127</v>
      </c>
      <c r="J58" s="138"/>
      <c r="K58" s="123">
        <v>0</v>
      </c>
      <c r="L58" s="122"/>
      <c r="M58" s="122" t="s">
        <v>104</v>
      </c>
      <c r="N58" s="125" t="s">
        <v>651</v>
      </c>
      <c r="O58" s="123">
        <f t="shared" si="0"/>
        <v>0</v>
      </c>
      <c r="P58" s="123" t="str">
        <f t="shared" si="1"/>
        <v>Invalid</v>
      </c>
      <c r="Q58" s="122" t="str">
        <f t="shared" si="24"/>
        <v>Story</v>
      </c>
      <c r="R58" s="126">
        <f t="shared" si="2"/>
        <v>318430</v>
      </c>
      <c r="S58" s="127">
        <f t="shared" si="3"/>
        <v>318468</v>
      </c>
      <c r="T58" s="128" t="e">
        <f>IF($Q58="ZeroEntry", "",VLOOKUP($I58,'Ranking Lookup'!#REF!,2,FALSE))</f>
        <v>#REF!</v>
      </c>
      <c r="U58" s="129" t="str">
        <f t="shared" si="4"/>
        <v/>
      </c>
      <c r="V58" s="129" t="str">
        <f t="shared" si="5"/>
        <v/>
      </c>
      <c r="W58" s="129" t="str">
        <f t="shared" si="6"/>
        <v/>
      </c>
      <c r="X58" s="129" t="str">
        <f t="shared" si="7"/>
        <v/>
      </c>
      <c r="Y58" s="129" t="str">
        <f t="shared" si="8"/>
        <v>Feature</v>
      </c>
      <c r="Z58" s="129" t="str">
        <f t="shared" si="9"/>
        <v/>
      </c>
      <c r="AA58" s="130"/>
      <c r="AB58" s="130" t="str">
        <f t="shared" si="10"/>
        <v>PI 12</v>
      </c>
      <c r="AC58" s="131">
        <f t="shared" si="25"/>
        <v>0</v>
      </c>
      <c r="AD58" s="131">
        <f t="shared" si="26"/>
        <v>0</v>
      </c>
      <c r="AE58" s="132">
        <f t="shared" si="11"/>
        <v>0</v>
      </c>
      <c r="AF58" s="133" t="str">
        <f t="shared" si="27"/>
        <v/>
      </c>
      <c r="AG58" s="134">
        <f t="shared" si="12"/>
        <v>0</v>
      </c>
      <c r="AH58" s="54" t="str">
        <f t="shared" si="13"/>
        <v/>
      </c>
      <c r="AI58" s="54" t="e">
        <f t="shared" si="35"/>
        <v>#REF!</v>
      </c>
      <c r="AJ58" s="54" t="e">
        <f t="shared" si="35"/>
        <v>#REF!</v>
      </c>
      <c r="AK58" s="54" t="e">
        <f t="shared" si="35"/>
        <v>#REF!</v>
      </c>
      <c r="AL58" s="54" t="e">
        <f t="shared" si="35"/>
        <v>#REF!</v>
      </c>
      <c r="AM58" s="54" t="e">
        <f t="shared" si="35"/>
        <v>#REF!</v>
      </c>
      <c r="AN58" s="54" t="e">
        <f t="shared" si="35"/>
        <v>#REF!</v>
      </c>
      <c r="AO58" s="54" t="e">
        <f t="shared" si="35"/>
        <v>#REF!</v>
      </c>
      <c r="AP58" s="54" t="e">
        <f t="shared" si="35"/>
        <v>#REF!</v>
      </c>
      <c r="AQ58" s="54" t="e">
        <f t="shared" si="35"/>
        <v>#REF!</v>
      </c>
      <c r="AR58" s="54" t="e">
        <f t="shared" si="35"/>
        <v>#REF!</v>
      </c>
      <c r="AS58" s="54" t="e">
        <f t="shared" si="35"/>
        <v>#REF!</v>
      </c>
      <c r="AT58" s="54" t="e">
        <f t="shared" si="35"/>
        <v>#REF!</v>
      </c>
      <c r="AU58" s="54" t="e">
        <f t="shared" si="35"/>
        <v>#REF!</v>
      </c>
      <c r="AV58" s="54" t="e">
        <f t="shared" si="35"/>
        <v>#REF!</v>
      </c>
      <c r="AW58" s="54" t="e">
        <f t="shared" si="35"/>
        <v>#REF!</v>
      </c>
      <c r="AX58" s="54" t="e">
        <f t="shared" si="35"/>
        <v>#REF!</v>
      </c>
      <c r="AY58" s="54" t="e">
        <f t="shared" si="15"/>
        <v>#REF!</v>
      </c>
      <c r="AZ58" s="54" t="str">
        <f t="shared" si="16"/>
        <v/>
      </c>
      <c r="BA58" s="54" t="e">
        <f t="shared" si="17"/>
        <v>#REF!</v>
      </c>
      <c r="BB58" s="135" t="str">
        <f t="shared" si="18"/>
        <v/>
      </c>
      <c r="BC58" s="54" t="e">
        <f t="shared" si="33"/>
        <v>#REF!</v>
      </c>
      <c r="BD58" s="54" t="e">
        <f t="shared" si="33"/>
        <v>#REF!</v>
      </c>
      <c r="BE58" s="54" t="e">
        <f t="shared" si="33"/>
        <v>#REF!</v>
      </c>
      <c r="BF58" s="54" t="str">
        <f t="shared" si="20"/>
        <v/>
      </c>
      <c r="BG58" s="54" t="str">
        <f t="shared" si="21"/>
        <v/>
      </c>
      <c r="BH58" s="34" t="e">
        <f t="shared" si="22"/>
        <v>#REF!</v>
      </c>
      <c r="BI58" s="34" t="e">
        <f t="shared" si="23"/>
        <v>#REF!</v>
      </c>
      <c r="BJ58" s="136" t="str">
        <f>IF($D58&lt;&gt;"Feature",".",
IF(VLOOKUP($B58,Feature_List!$A:$AM,MATCH(BJ$1,  Feature_List!$A$1:$AM$1,0),0)=B58,".","NO"))</f>
        <v>.</v>
      </c>
      <c r="BK58" s="136"/>
      <c r="BL58" s="136"/>
      <c r="BM58" s="136" t="str">
        <f>IF($D58&lt;&gt;"Feature",".",
IF(VLOOKUP($B58,Feature_List!$A:$AM,MATCH(BM$1,  Feature_List!$A$1:$AM$1,0),0)=E58,".","NO"))</f>
        <v>.</v>
      </c>
      <c r="BN58" s="136" t="str">
        <f>IF($D58&lt;&gt;"Feature",".",
IF(VLOOKUP($B58,Feature_List!$A:$AM,MATCH(BN$1,  Feature_List!$A$1:$AM$1,0),0)=F58,".","NO"))</f>
        <v>.</v>
      </c>
      <c r="BO58" s="136" t="str">
        <f>IF($D58&lt;&gt;"Feature",".",
IF(VLOOKUP($B58,Feature_List!$A:$AM,MATCH(BO$1,  Feature_List!$A$1:$AM$1,0),0)=G58,".","NO"))</f>
        <v>.</v>
      </c>
      <c r="BP58" s="136" t="str">
        <f>IF($D58&lt;&gt;"Feature",".",
IF(VLOOKUP($B58,Feature_List!$A:$AM,MATCH(BP$1,  Feature_List!$A$1:$AM$1,0),0)=H58,".","NO"))</f>
        <v>.</v>
      </c>
      <c r="BQ58" s="136"/>
      <c r="BR58" s="136" t="str">
        <f>IF($D58&lt;&gt;"Feature",".",
IF(VLOOKUP($B58,Feature_List!$A:$AM,MATCH(BR$1,  Feature_List!$A$1:$AM$1,0),0)=J58,".","NO"))</f>
        <v>.</v>
      </c>
      <c r="BS58" s="136"/>
      <c r="BT58" s="136"/>
      <c r="BU58" s="136" t="str">
        <f>IF($D58&lt;&gt;"Feature",".",
IF(VLOOKUP($B58,Feature_List!$A:$AM,MATCH(BU$1,  Feature_List!$A$1:$AM$1,0),0)=M58,".","NO"))</f>
        <v>.</v>
      </c>
      <c r="BV58" s="136" t="str">
        <f>IF($D58&lt;&gt;"Feature",".",
IF(VLOOKUP($B58,Feature_List!$A:$AM,MATCH(BV$1,  Feature_List!$A$1:$AM$1,0),0)=N58,".","NO"))</f>
        <v>.</v>
      </c>
      <c r="BW58" s="136"/>
      <c r="BX58" s="136"/>
      <c r="BY58" s="136"/>
      <c r="BZ58" s="136"/>
      <c r="CA58" s="136"/>
      <c r="CB58" s="136" t="str">
        <f>IF($D58&lt;&gt;"Feature",".",
IF(VLOOKUP($B58,Feature_List!$A:$AM,MATCH(CB$1,  Feature_List!$A$1:$AM$1,0),0)=T58,".","NO"))</f>
        <v>.</v>
      </c>
      <c r="CC58" s="136"/>
      <c r="CD58" s="136"/>
      <c r="CE58" s="136"/>
      <c r="CF58" s="136"/>
      <c r="CG58" s="136"/>
      <c r="CH58" s="136"/>
      <c r="CI58" s="136"/>
      <c r="CJ58" s="136"/>
      <c r="CK58" s="136"/>
      <c r="CL58" s="136"/>
      <c r="CM58" s="136"/>
      <c r="CN58" s="136"/>
      <c r="CO58" s="136" t="str">
        <f>IF($D58&lt;&gt;"Feature",".",
IF(VLOOKUP($B58,Feature_List!$A:$AM,MATCH(CO$1,  Feature_List!$A$1:$AM$1,0),0)=AG58,".","NO"))</f>
        <v>.</v>
      </c>
      <c r="CP58" s="136" t="str">
        <f>IF($D58&lt;&gt;"Feature",".",
IF(VLOOKUP($B58,Feature_List!$A:$AM,MATCH(CP$1,  Feature_List!$A$1:$AM$1,0),0)=AH58,".","NO"))</f>
        <v>.</v>
      </c>
      <c r="CQ58" s="136" t="str">
        <f>IF($D58&lt;&gt;"Feature",".",
IF(VLOOKUP($B58,Feature_List!$A:$AM,MATCH(CQ$1,  Feature_List!$A$1:$AM$1,0),0)=AI58,".","NO"))</f>
        <v>.</v>
      </c>
      <c r="CR58" s="136" t="str">
        <f>IF($D58&lt;&gt;"Feature",".",
IF(VLOOKUP($B58,Feature_List!$A:$AM,MATCH(CR$1,  Feature_List!$A$1:$AM$1,0),0)=AJ58,".","NO"))</f>
        <v>.</v>
      </c>
      <c r="CS58" s="136" t="str">
        <f>IF($D58&lt;&gt;"Feature",".",
IF(VLOOKUP($B58,Feature_List!$A:$AM,MATCH(CS$1,  Feature_List!$A$1:$AM$1,0),0)=AK58,".","NO"))</f>
        <v>.</v>
      </c>
      <c r="CT58" s="136" t="str">
        <f>IF($D58&lt;&gt;"Feature",".",
IF(VLOOKUP($B58,Feature_List!$A:$AM,MATCH(CT$1,  Feature_List!$A$1:$AM$1,0),0)=AL58,".","NO"))</f>
        <v>.</v>
      </c>
      <c r="CU58" s="136" t="str">
        <f>IF($D58&lt;&gt;"Feature",".",
IF(VLOOKUP($B58,Feature_List!$A:$AM,MATCH(CU$1,  Feature_List!$A$1:$AM$1,0),0)=AM58,".","NO"))</f>
        <v>.</v>
      </c>
      <c r="CV58" s="136" t="str">
        <f>IF($D58&lt;&gt;"Feature",".",
IF(VLOOKUP($B58,Feature_List!$A:$AM,MATCH(CV$1,  Feature_List!$A$1:$AM$1,0),0)=AN58,".","NO"))</f>
        <v>.</v>
      </c>
      <c r="CW58" s="136" t="str">
        <f>IF($D58&lt;&gt;"Feature",".",
IF(VLOOKUP($B58,Feature_List!$A:$AM,MATCH(CW$1,  Feature_List!$A$1:$AM$1,0),0)=AO58,".","NO"))</f>
        <v>.</v>
      </c>
      <c r="CX58" s="136" t="str">
        <f>IF($D58&lt;&gt;"Feature",".",
IF(VLOOKUP($B58,Feature_List!$A:$AM,MATCH(CX$1,  Feature_List!$A$1:$AM$1,0),0)=AP58,".","NO"))</f>
        <v>.</v>
      </c>
      <c r="CY58" s="136" t="str">
        <f>IF($D58&lt;&gt;"Feature",".",
IF(VLOOKUP($B58,Feature_List!$A:$AM,MATCH(CY$1,  Feature_List!$A$1:$AM$1,0),0)=AQ58,".","NO"))</f>
        <v>.</v>
      </c>
      <c r="CZ58" s="136" t="str">
        <f>IF($D58&lt;&gt;"Feature",".",
IF(VLOOKUP($B58,Feature_List!$A:$AM,MATCH(CZ$1,  Feature_List!$A$1:$AM$1,0),0)=AR58,".","NO"))</f>
        <v>.</v>
      </c>
      <c r="DA58" s="136" t="str">
        <f>IF($D58&lt;&gt;"Feature",".",
IF(VLOOKUP($B58,Feature_List!$A:$AM,MATCH(DA$1,  Feature_List!$A$1:$AM$1,0),0)=AS58,".","NO"))</f>
        <v>.</v>
      </c>
      <c r="DB58" s="136" t="str">
        <f>IF($D58&lt;&gt;"Feature",".",
IF(VLOOKUP($B58,Feature_List!$A:$AM,MATCH(DB$1,  Feature_List!$A$1:$AM$1,0),0)=AT58,".","NO"))</f>
        <v>.</v>
      </c>
      <c r="DC58" s="136" t="str">
        <f>IF($D58&lt;&gt;"Feature",".",
IF(VLOOKUP($B58,Feature_List!$A:$AM,MATCH(DC$1,  Feature_List!$A$1:$AM$1,0),0)=AU58,".","NO"))</f>
        <v>.</v>
      </c>
      <c r="DD58" s="136" t="str">
        <f>IF($D58&lt;&gt;"Feature",".",
IF(VLOOKUP($B58,Feature_List!$A:$AM,MATCH(DD$1,  Feature_List!$A$1:$AM$1,0),0)=AV58,".","NO"))</f>
        <v>.</v>
      </c>
      <c r="DE58" s="136" t="str">
        <f>IF($D58&lt;&gt;"Feature",".",
IF(VLOOKUP($B58,Feature_List!$A:$AM,MATCH(DE$1,  Feature_List!$A$1:$AM$1,0),0)=AW58,".","NO"))</f>
        <v>.</v>
      </c>
      <c r="DF58" s="136" t="str">
        <f>IF($D58&lt;&gt;"Feature",".",
IF(VLOOKUP($B58,Feature_List!$A:$AM,MATCH(DF$1,  Feature_List!$A$1:$AM$1,0),0)=AX58,".","NO"))</f>
        <v>.</v>
      </c>
      <c r="DG58" s="136" t="str">
        <f>IF($D58&lt;&gt;"Feature",".",
IF(VLOOKUP($B58,Feature_List!$A:$AM,MATCH(DG$1,  Feature_List!$A$1:$AM$1,0),0)=AY58,".","NO"))</f>
        <v>.</v>
      </c>
      <c r="DH58" s="136" t="str">
        <f>IF($D58&lt;&gt;"Feature",".",
IF(VLOOKUP($B58,Feature_List!$A:$AM,MATCH(DH$1,  Feature_List!$A$1:$AM$1,0),0)=AZ58,".","NO"))</f>
        <v>.</v>
      </c>
      <c r="DI58" s="136" t="str">
        <f>IF($D58&lt;&gt;"Feature",".",
IF(VLOOKUP($B58,Feature_List!$A:$AM,MATCH(DI$1,  Feature_List!$A$1:$AM$1,0),0)=BA58,".","NO"))</f>
        <v>.</v>
      </c>
      <c r="DJ58" s="136" t="str">
        <f>IF($D58&lt;&gt;"Feature",".",
IF(VLOOKUP($B58,Feature_List!$A:$AM,MATCH(DJ$1,  Feature_List!$A$1:$AM$1,0),0)=BB58,".","NO"))</f>
        <v>.</v>
      </c>
      <c r="DK58" s="136"/>
      <c r="DL58" s="136"/>
      <c r="DM58" s="136"/>
      <c r="DN58" s="136" t="str">
        <f>IF($D58&lt;&gt;"Feature",".",
IF(VLOOKUP($B58,Feature_List!$A:$AM,MATCH(DN$1,  Feature_List!$A$1:$AM$1,0),0)=BC58,".","NO"))</f>
        <v>.</v>
      </c>
      <c r="DO58" s="136" t="str">
        <f>IF($D58&lt;&gt;"Feature",".",
IF(VLOOKUP($B58,Feature_List!$A:$AM,MATCH(DO$1,  Feature_List!$A$1:$AM$1,0),0)=BD58,".","NO"))</f>
        <v>.</v>
      </c>
    </row>
    <row r="59" spans="2:119" x14ac:dyDescent="0.3">
      <c r="B59" s="121">
        <v>318464</v>
      </c>
      <c r="C59" s="122" t="s">
        <v>604</v>
      </c>
      <c r="D59" s="122" t="s">
        <v>71</v>
      </c>
      <c r="E59" s="122" t="s">
        <v>727</v>
      </c>
      <c r="F59" s="138" t="s">
        <v>130</v>
      </c>
      <c r="G59" s="123" t="s">
        <v>130</v>
      </c>
      <c r="H59" s="122" t="s">
        <v>683</v>
      </c>
      <c r="I59" s="124" t="s">
        <v>562</v>
      </c>
      <c r="J59" s="138"/>
      <c r="K59" s="123">
        <v>0</v>
      </c>
      <c r="L59" s="122"/>
      <c r="M59" s="122" t="s">
        <v>104</v>
      </c>
      <c r="N59" s="125" t="s">
        <v>651</v>
      </c>
      <c r="O59" s="123">
        <f t="shared" si="0"/>
        <v>0</v>
      </c>
      <c r="P59" s="123" t="str">
        <f t="shared" si="1"/>
        <v>Invalid</v>
      </c>
      <c r="Q59" s="122" t="str">
        <f t="shared" si="24"/>
        <v>Story</v>
      </c>
      <c r="R59" s="126">
        <f t="shared" si="2"/>
        <v>318430</v>
      </c>
      <c r="S59" s="127">
        <f t="shared" si="3"/>
        <v>318464</v>
      </c>
      <c r="T59" s="128" t="e">
        <f>IF($Q59="ZeroEntry", "",VLOOKUP($I59,'Ranking Lookup'!#REF!,2,FALSE))</f>
        <v>#REF!</v>
      </c>
      <c r="U59" s="129" t="str">
        <f t="shared" si="4"/>
        <v/>
      </c>
      <c r="V59" s="129" t="str">
        <f t="shared" si="5"/>
        <v/>
      </c>
      <c r="W59" s="129" t="str">
        <f t="shared" si="6"/>
        <v/>
      </c>
      <c r="X59" s="129" t="str">
        <f t="shared" si="7"/>
        <v/>
      </c>
      <c r="Y59" s="129" t="str">
        <f t="shared" si="8"/>
        <v>Feature</v>
      </c>
      <c r="Z59" s="129" t="str">
        <f t="shared" si="9"/>
        <v/>
      </c>
      <c r="AA59" s="130"/>
      <c r="AB59" s="130" t="str">
        <f t="shared" si="10"/>
        <v>PI 12</v>
      </c>
      <c r="AC59" s="131">
        <f t="shared" si="25"/>
        <v>0</v>
      </c>
      <c r="AD59" s="131">
        <f t="shared" si="26"/>
        <v>0</v>
      </c>
      <c r="AE59" s="132">
        <f t="shared" si="11"/>
        <v>0</v>
      </c>
      <c r="AF59" s="133" t="str">
        <f t="shared" si="27"/>
        <v/>
      </c>
      <c r="AG59" s="134">
        <f t="shared" si="12"/>
        <v>0</v>
      </c>
      <c r="AH59" s="54" t="str">
        <f t="shared" si="13"/>
        <v/>
      </c>
      <c r="AI59" s="54" t="e">
        <f t="shared" si="35"/>
        <v>#REF!</v>
      </c>
      <c r="AJ59" s="54" t="e">
        <f t="shared" si="35"/>
        <v>#REF!</v>
      </c>
      <c r="AK59" s="54" t="e">
        <f t="shared" si="35"/>
        <v>#REF!</v>
      </c>
      <c r="AL59" s="54" t="e">
        <f t="shared" si="35"/>
        <v>#REF!</v>
      </c>
      <c r="AM59" s="54" t="e">
        <f t="shared" si="35"/>
        <v>#REF!</v>
      </c>
      <c r="AN59" s="54" t="e">
        <f t="shared" si="35"/>
        <v>#REF!</v>
      </c>
      <c r="AO59" s="54" t="e">
        <f t="shared" si="35"/>
        <v>#REF!</v>
      </c>
      <c r="AP59" s="54" t="e">
        <f t="shared" si="35"/>
        <v>#REF!</v>
      </c>
      <c r="AQ59" s="54" t="e">
        <f t="shared" si="35"/>
        <v>#REF!</v>
      </c>
      <c r="AR59" s="54" t="e">
        <f t="shared" si="35"/>
        <v>#REF!</v>
      </c>
      <c r="AS59" s="54" t="e">
        <f t="shared" si="35"/>
        <v>#REF!</v>
      </c>
      <c r="AT59" s="54" t="e">
        <f t="shared" si="35"/>
        <v>#REF!</v>
      </c>
      <c r="AU59" s="54" t="e">
        <f t="shared" si="35"/>
        <v>#REF!</v>
      </c>
      <c r="AV59" s="54" t="e">
        <f t="shared" si="35"/>
        <v>#REF!</v>
      </c>
      <c r="AW59" s="54" t="e">
        <f t="shared" si="35"/>
        <v>#REF!</v>
      </c>
      <c r="AX59" s="54" t="e">
        <f t="shared" si="35"/>
        <v>#REF!</v>
      </c>
      <c r="AY59" s="54" t="e">
        <f t="shared" si="15"/>
        <v>#REF!</v>
      </c>
      <c r="AZ59" s="54" t="str">
        <f t="shared" si="16"/>
        <v/>
      </c>
      <c r="BA59" s="54" t="e">
        <f t="shared" si="17"/>
        <v>#REF!</v>
      </c>
      <c r="BB59" s="135" t="str">
        <f t="shared" si="18"/>
        <v/>
      </c>
      <c r="BC59" s="54" t="e">
        <f t="shared" si="33"/>
        <v>#REF!</v>
      </c>
      <c r="BD59" s="54" t="e">
        <f t="shared" si="33"/>
        <v>#REF!</v>
      </c>
      <c r="BE59" s="54" t="e">
        <f t="shared" si="33"/>
        <v>#REF!</v>
      </c>
      <c r="BF59" s="54" t="str">
        <f t="shared" si="20"/>
        <v/>
      </c>
      <c r="BG59" s="54" t="str">
        <f t="shared" si="21"/>
        <v/>
      </c>
      <c r="BH59" s="34" t="e">
        <f t="shared" si="22"/>
        <v>#REF!</v>
      </c>
      <c r="BI59" s="34" t="e">
        <f t="shared" si="23"/>
        <v>#REF!</v>
      </c>
      <c r="BJ59" s="136" t="str">
        <f>IF($D59&lt;&gt;"Feature",".",
IF(VLOOKUP($B59,Feature_List!$A:$AM,MATCH(BJ$1,  Feature_List!$A$1:$AM$1,0),0)=B59,".","NO"))</f>
        <v>.</v>
      </c>
      <c r="BK59" s="136"/>
      <c r="BL59" s="136"/>
      <c r="BM59" s="136" t="str">
        <f>IF($D59&lt;&gt;"Feature",".",
IF(VLOOKUP($B59,Feature_List!$A:$AM,MATCH(BM$1,  Feature_List!$A$1:$AM$1,0),0)=E59,".","NO"))</f>
        <v>.</v>
      </c>
      <c r="BN59" s="136" t="str">
        <f>IF($D59&lt;&gt;"Feature",".",
IF(VLOOKUP($B59,Feature_List!$A:$AM,MATCH(BN$1,  Feature_List!$A$1:$AM$1,0),0)=F59,".","NO"))</f>
        <v>.</v>
      </c>
      <c r="BO59" s="136" t="str">
        <f>IF($D59&lt;&gt;"Feature",".",
IF(VLOOKUP($B59,Feature_List!$A:$AM,MATCH(BO$1,  Feature_List!$A$1:$AM$1,0),0)=G59,".","NO"))</f>
        <v>.</v>
      </c>
      <c r="BP59" s="136" t="str">
        <f>IF($D59&lt;&gt;"Feature",".",
IF(VLOOKUP($B59,Feature_List!$A:$AM,MATCH(BP$1,  Feature_List!$A$1:$AM$1,0),0)=H59,".","NO"))</f>
        <v>.</v>
      </c>
      <c r="BQ59" s="136"/>
      <c r="BR59" s="136" t="str">
        <f>IF($D59&lt;&gt;"Feature",".",
IF(VLOOKUP($B59,Feature_List!$A:$AM,MATCH(BR$1,  Feature_List!$A$1:$AM$1,0),0)=J59,".","NO"))</f>
        <v>.</v>
      </c>
      <c r="BS59" s="136"/>
      <c r="BT59" s="136"/>
      <c r="BU59" s="136" t="str">
        <f>IF($D59&lt;&gt;"Feature",".",
IF(VLOOKUP($B59,Feature_List!$A:$AM,MATCH(BU$1,  Feature_List!$A$1:$AM$1,0),0)=M59,".","NO"))</f>
        <v>.</v>
      </c>
      <c r="BV59" s="136" t="str">
        <f>IF($D59&lt;&gt;"Feature",".",
IF(VLOOKUP($B59,Feature_List!$A:$AM,MATCH(BV$1,  Feature_List!$A$1:$AM$1,0),0)=N59,".","NO"))</f>
        <v>.</v>
      </c>
      <c r="BW59" s="136"/>
      <c r="BX59" s="136"/>
      <c r="BY59" s="136"/>
      <c r="BZ59" s="136"/>
      <c r="CA59" s="136"/>
      <c r="CB59" s="136" t="str">
        <f>IF($D59&lt;&gt;"Feature",".",
IF(VLOOKUP($B59,Feature_List!$A:$AM,MATCH(CB$1,  Feature_List!$A$1:$AM$1,0),0)=T59,".","NO"))</f>
        <v>.</v>
      </c>
      <c r="CC59" s="136"/>
      <c r="CD59" s="136"/>
      <c r="CE59" s="136"/>
      <c r="CF59" s="136"/>
      <c r="CG59" s="136"/>
      <c r="CH59" s="136"/>
      <c r="CI59" s="136"/>
      <c r="CJ59" s="136"/>
      <c r="CK59" s="136"/>
      <c r="CL59" s="136"/>
      <c r="CM59" s="136"/>
      <c r="CN59" s="136"/>
      <c r="CO59" s="136" t="str">
        <f>IF($D59&lt;&gt;"Feature",".",
IF(VLOOKUP($B59,Feature_List!$A:$AM,MATCH(CO$1,  Feature_List!$A$1:$AM$1,0),0)=AG59,".","NO"))</f>
        <v>.</v>
      </c>
      <c r="CP59" s="136" t="str">
        <f>IF($D59&lt;&gt;"Feature",".",
IF(VLOOKUP($B59,Feature_List!$A:$AM,MATCH(CP$1,  Feature_List!$A$1:$AM$1,0),0)=AH59,".","NO"))</f>
        <v>.</v>
      </c>
      <c r="CQ59" s="136" t="str">
        <f>IF($D59&lt;&gt;"Feature",".",
IF(VLOOKUP($B59,Feature_List!$A:$AM,MATCH(CQ$1,  Feature_List!$A$1:$AM$1,0),0)=AI59,".","NO"))</f>
        <v>.</v>
      </c>
      <c r="CR59" s="136" t="str">
        <f>IF($D59&lt;&gt;"Feature",".",
IF(VLOOKUP($B59,Feature_List!$A:$AM,MATCH(CR$1,  Feature_List!$A$1:$AM$1,0),0)=AJ59,".","NO"))</f>
        <v>.</v>
      </c>
      <c r="CS59" s="136" t="str">
        <f>IF($D59&lt;&gt;"Feature",".",
IF(VLOOKUP($B59,Feature_List!$A:$AM,MATCH(CS$1,  Feature_List!$A$1:$AM$1,0),0)=AK59,".","NO"))</f>
        <v>.</v>
      </c>
      <c r="CT59" s="136" t="str">
        <f>IF($D59&lt;&gt;"Feature",".",
IF(VLOOKUP($B59,Feature_List!$A:$AM,MATCH(CT$1,  Feature_List!$A$1:$AM$1,0),0)=AL59,".","NO"))</f>
        <v>.</v>
      </c>
      <c r="CU59" s="136" t="str">
        <f>IF($D59&lt;&gt;"Feature",".",
IF(VLOOKUP($B59,Feature_List!$A:$AM,MATCH(CU$1,  Feature_List!$A$1:$AM$1,0),0)=AM59,".","NO"))</f>
        <v>.</v>
      </c>
      <c r="CV59" s="136" t="str">
        <f>IF($D59&lt;&gt;"Feature",".",
IF(VLOOKUP($B59,Feature_List!$A:$AM,MATCH(CV$1,  Feature_List!$A$1:$AM$1,0),0)=AN59,".","NO"))</f>
        <v>.</v>
      </c>
      <c r="CW59" s="136" t="str">
        <f>IF($D59&lt;&gt;"Feature",".",
IF(VLOOKUP($B59,Feature_List!$A:$AM,MATCH(CW$1,  Feature_List!$A$1:$AM$1,0),0)=AO59,".","NO"))</f>
        <v>.</v>
      </c>
      <c r="CX59" s="136" t="str">
        <f>IF($D59&lt;&gt;"Feature",".",
IF(VLOOKUP($B59,Feature_List!$A:$AM,MATCH(CX$1,  Feature_List!$A$1:$AM$1,0),0)=AP59,".","NO"))</f>
        <v>.</v>
      </c>
      <c r="CY59" s="136" t="str">
        <f>IF($D59&lt;&gt;"Feature",".",
IF(VLOOKUP($B59,Feature_List!$A:$AM,MATCH(CY$1,  Feature_List!$A$1:$AM$1,0),0)=AQ59,".","NO"))</f>
        <v>.</v>
      </c>
      <c r="CZ59" s="136" t="str">
        <f>IF($D59&lt;&gt;"Feature",".",
IF(VLOOKUP($B59,Feature_List!$A:$AM,MATCH(CZ$1,  Feature_List!$A$1:$AM$1,0),0)=AR59,".","NO"))</f>
        <v>.</v>
      </c>
      <c r="DA59" s="136" t="str">
        <f>IF($D59&lt;&gt;"Feature",".",
IF(VLOOKUP($B59,Feature_List!$A:$AM,MATCH(DA$1,  Feature_List!$A$1:$AM$1,0),0)=AS59,".","NO"))</f>
        <v>.</v>
      </c>
      <c r="DB59" s="136" t="str">
        <f>IF($D59&lt;&gt;"Feature",".",
IF(VLOOKUP($B59,Feature_List!$A:$AM,MATCH(DB$1,  Feature_List!$A$1:$AM$1,0),0)=AT59,".","NO"))</f>
        <v>.</v>
      </c>
      <c r="DC59" s="136" t="str">
        <f>IF($D59&lt;&gt;"Feature",".",
IF(VLOOKUP($B59,Feature_List!$A:$AM,MATCH(DC$1,  Feature_List!$A$1:$AM$1,0),0)=AU59,".","NO"))</f>
        <v>.</v>
      </c>
      <c r="DD59" s="136" t="str">
        <f>IF($D59&lt;&gt;"Feature",".",
IF(VLOOKUP($B59,Feature_List!$A:$AM,MATCH(DD$1,  Feature_List!$A$1:$AM$1,0),0)=AV59,".","NO"))</f>
        <v>.</v>
      </c>
      <c r="DE59" s="136" t="str">
        <f>IF($D59&lt;&gt;"Feature",".",
IF(VLOOKUP($B59,Feature_List!$A:$AM,MATCH(DE$1,  Feature_List!$A$1:$AM$1,0),0)=AW59,".","NO"))</f>
        <v>.</v>
      </c>
      <c r="DF59" s="136" t="str">
        <f>IF($D59&lt;&gt;"Feature",".",
IF(VLOOKUP($B59,Feature_List!$A:$AM,MATCH(DF$1,  Feature_List!$A$1:$AM$1,0),0)=AX59,".","NO"))</f>
        <v>.</v>
      </c>
      <c r="DG59" s="136" t="str">
        <f>IF($D59&lt;&gt;"Feature",".",
IF(VLOOKUP($B59,Feature_List!$A:$AM,MATCH(DG$1,  Feature_List!$A$1:$AM$1,0),0)=AY59,".","NO"))</f>
        <v>.</v>
      </c>
      <c r="DH59" s="136" t="str">
        <f>IF($D59&lt;&gt;"Feature",".",
IF(VLOOKUP($B59,Feature_List!$A:$AM,MATCH(DH$1,  Feature_List!$A$1:$AM$1,0),0)=AZ59,".","NO"))</f>
        <v>.</v>
      </c>
      <c r="DI59" s="136" t="str">
        <f>IF($D59&lt;&gt;"Feature",".",
IF(VLOOKUP($B59,Feature_List!$A:$AM,MATCH(DI$1,  Feature_List!$A$1:$AM$1,0),0)=BA59,".","NO"))</f>
        <v>.</v>
      </c>
      <c r="DJ59" s="136" t="str">
        <f>IF($D59&lt;&gt;"Feature",".",
IF(VLOOKUP($B59,Feature_List!$A:$AM,MATCH(DJ$1,  Feature_List!$A$1:$AM$1,0),0)=BB59,".","NO"))</f>
        <v>.</v>
      </c>
      <c r="DK59" s="136"/>
      <c r="DL59" s="136"/>
      <c r="DM59" s="136"/>
      <c r="DN59" s="136" t="str">
        <f>IF($D59&lt;&gt;"Feature",".",
IF(VLOOKUP($B59,Feature_List!$A:$AM,MATCH(DN$1,  Feature_List!$A$1:$AM$1,0),0)=BC59,".","NO"))</f>
        <v>.</v>
      </c>
      <c r="DO59" s="136" t="str">
        <f>IF($D59&lt;&gt;"Feature",".",
IF(VLOOKUP($B59,Feature_List!$A:$AM,MATCH(DO$1,  Feature_List!$A$1:$AM$1,0),0)=BD59,".","NO"))</f>
        <v>.</v>
      </c>
    </row>
    <row r="60" spans="2:119" x14ac:dyDescent="0.3">
      <c r="B60" s="121">
        <v>318462</v>
      </c>
      <c r="C60" s="122" t="s">
        <v>604</v>
      </c>
      <c r="D60" s="122" t="s">
        <v>71</v>
      </c>
      <c r="E60" s="122" t="s">
        <v>728</v>
      </c>
      <c r="F60" s="138" t="s">
        <v>652</v>
      </c>
      <c r="G60" s="123" t="s">
        <v>652</v>
      </c>
      <c r="H60" s="122" t="s">
        <v>70</v>
      </c>
      <c r="I60" s="124" t="s">
        <v>127</v>
      </c>
      <c r="J60" s="138"/>
      <c r="K60" s="123">
        <v>2</v>
      </c>
      <c r="L60" s="122"/>
      <c r="M60" s="122" t="s">
        <v>729</v>
      </c>
      <c r="N60" s="125" t="s">
        <v>163</v>
      </c>
      <c r="O60" s="123">
        <f t="shared" si="0"/>
        <v>2</v>
      </c>
      <c r="P60" s="123" t="str">
        <f t="shared" si="1"/>
        <v>New</v>
      </c>
      <c r="Q60" s="122" t="str">
        <f t="shared" si="24"/>
        <v>Story</v>
      </c>
      <c r="R60" s="126">
        <f t="shared" si="2"/>
        <v>318430</v>
      </c>
      <c r="S60" s="127">
        <f t="shared" si="3"/>
        <v>318462</v>
      </c>
      <c r="T60" s="128" t="e">
        <f>IF($Q60="ZeroEntry", "",VLOOKUP($I60,'Ranking Lookup'!#REF!,2,FALSE))</f>
        <v>#REF!</v>
      </c>
      <c r="U60" s="129" t="str">
        <f t="shared" si="4"/>
        <v/>
      </c>
      <c r="V60" s="129" t="str">
        <f t="shared" si="5"/>
        <v/>
      </c>
      <c r="W60" s="129" t="str">
        <f t="shared" si="6"/>
        <v/>
      </c>
      <c r="X60" s="129" t="str">
        <f t="shared" si="7"/>
        <v/>
      </c>
      <c r="Y60" s="129" t="str">
        <f t="shared" si="8"/>
        <v>Feature</v>
      </c>
      <c r="Z60" s="129" t="str">
        <f t="shared" si="9"/>
        <v/>
      </c>
      <c r="AA60" s="130"/>
      <c r="AB60" s="130" t="str">
        <f t="shared" si="10"/>
        <v>PI 12</v>
      </c>
      <c r="AC60" s="131">
        <f t="shared" si="25"/>
        <v>2</v>
      </c>
      <c r="AD60" s="131">
        <f t="shared" si="26"/>
        <v>0</v>
      </c>
      <c r="AE60" s="132">
        <f t="shared" si="11"/>
        <v>0</v>
      </c>
      <c r="AF60" s="133" t="str">
        <f t="shared" si="27"/>
        <v/>
      </c>
      <c r="AG60" s="134">
        <f t="shared" si="12"/>
        <v>0</v>
      </c>
      <c r="AH60" s="54" t="str">
        <f t="shared" si="13"/>
        <v/>
      </c>
      <c r="AI60" s="54" t="e">
        <f t="shared" si="35"/>
        <v>#REF!</v>
      </c>
      <c r="AJ60" s="54" t="e">
        <f t="shared" si="35"/>
        <v>#REF!</v>
      </c>
      <c r="AK60" s="54" t="e">
        <f t="shared" si="35"/>
        <v>#REF!</v>
      </c>
      <c r="AL60" s="54" t="e">
        <f t="shared" si="35"/>
        <v>#REF!</v>
      </c>
      <c r="AM60" s="54" t="e">
        <f t="shared" si="35"/>
        <v>#REF!</v>
      </c>
      <c r="AN60" s="54" t="e">
        <f t="shared" si="35"/>
        <v>#REF!</v>
      </c>
      <c r="AO60" s="54" t="e">
        <f t="shared" si="35"/>
        <v>#REF!</v>
      </c>
      <c r="AP60" s="54" t="e">
        <f t="shared" si="35"/>
        <v>#REF!</v>
      </c>
      <c r="AQ60" s="54" t="e">
        <f t="shared" si="35"/>
        <v>#REF!</v>
      </c>
      <c r="AR60" s="54" t="e">
        <f t="shared" si="35"/>
        <v>#REF!</v>
      </c>
      <c r="AS60" s="54" t="e">
        <f t="shared" si="35"/>
        <v>#REF!</v>
      </c>
      <c r="AT60" s="54" t="e">
        <f t="shared" si="35"/>
        <v>#REF!</v>
      </c>
      <c r="AU60" s="54" t="e">
        <f t="shared" si="35"/>
        <v>#REF!</v>
      </c>
      <c r="AV60" s="54" t="e">
        <f t="shared" si="35"/>
        <v>#REF!</v>
      </c>
      <c r="AW60" s="54" t="e">
        <f t="shared" si="35"/>
        <v>#REF!</v>
      </c>
      <c r="AX60" s="54" t="e">
        <f t="shared" si="35"/>
        <v>#REF!</v>
      </c>
      <c r="AY60" s="54" t="e">
        <f t="shared" si="15"/>
        <v>#REF!</v>
      </c>
      <c r="AZ60" s="54" t="str">
        <f t="shared" si="16"/>
        <v/>
      </c>
      <c r="BA60" s="54" t="e">
        <f t="shared" si="17"/>
        <v>#REF!</v>
      </c>
      <c r="BB60" s="135" t="str">
        <f t="shared" si="18"/>
        <v/>
      </c>
      <c r="BC60" s="54" t="e">
        <f t="shared" si="33"/>
        <v>#REF!</v>
      </c>
      <c r="BD60" s="54" t="e">
        <f t="shared" si="33"/>
        <v>#REF!</v>
      </c>
      <c r="BE60" s="54" t="e">
        <f t="shared" si="33"/>
        <v>#REF!</v>
      </c>
      <c r="BF60" s="54" t="str">
        <f t="shared" si="20"/>
        <v/>
      </c>
      <c r="BG60" s="54" t="str">
        <f t="shared" si="21"/>
        <v/>
      </c>
      <c r="BH60" s="34" t="e">
        <f t="shared" si="22"/>
        <v>#REF!</v>
      </c>
      <c r="BI60" s="34" t="e">
        <f t="shared" si="23"/>
        <v>#REF!</v>
      </c>
      <c r="BJ60" s="136" t="str">
        <f>IF($D60&lt;&gt;"Feature",".",
IF(VLOOKUP($B60,Feature_List!$A:$AM,MATCH(BJ$1,  Feature_List!$A$1:$AM$1,0),0)=B60,".","NO"))</f>
        <v>.</v>
      </c>
      <c r="BK60" s="136"/>
      <c r="BL60" s="136"/>
      <c r="BM60" s="136" t="str">
        <f>IF($D60&lt;&gt;"Feature",".",
IF(VLOOKUP($B60,Feature_List!$A:$AM,MATCH(BM$1,  Feature_List!$A$1:$AM$1,0),0)=E60,".","NO"))</f>
        <v>.</v>
      </c>
      <c r="BN60" s="136" t="str">
        <f>IF($D60&lt;&gt;"Feature",".",
IF(VLOOKUP($B60,Feature_List!$A:$AM,MATCH(BN$1,  Feature_List!$A$1:$AM$1,0),0)=F60,".","NO"))</f>
        <v>.</v>
      </c>
      <c r="BO60" s="136" t="str">
        <f>IF($D60&lt;&gt;"Feature",".",
IF(VLOOKUP($B60,Feature_List!$A:$AM,MATCH(BO$1,  Feature_List!$A$1:$AM$1,0),0)=G60,".","NO"))</f>
        <v>.</v>
      </c>
      <c r="BP60" s="136" t="str">
        <f>IF($D60&lt;&gt;"Feature",".",
IF(VLOOKUP($B60,Feature_List!$A:$AM,MATCH(BP$1,  Feature_List!$A$1:$AM$1,0),0)=H60,".","NO"))</f>
        <v>.</v>
      </c>
      <c r="BQ60" s="136"/>
      <c r="BR60" s="136" t="str">
        <f>IF($D60&lt;&gt;"Feature",".",
IF(VLOOKUP($B60,Feature_List!$A:$AM,MATCH(BR$1,  Feature_List!$A$1:$AM$1,0),0)=J60,".","NO"))</f>
        <v>.</v>
      </c>
      <c r="BS60" s="136"/>
      <c r="BT60" s="136"/>
      <c r="BU60" s="136" t="str">
        <f>IF($D60&lt;&gt;"Feature",".",
IF(VLOOKUP($B60,Feature_List!$A:$AM,MATCH(BU$1,  Feature_List!$A$1:$AM$1,0),0)=M60,".","NO"))</f>
        <v>.</v>
      </c>
      <c r="BV60" s="136" t="str">
        <f>IF($D60&lt;&gt;"Feature",".",
IF(VLOOKUP($B60,Feature_List!$A:$AM,MATCH(BV$1,  Feature_List!$A$1:$AM$1,0),0)=N60,".","NO"))</f>
        <v>.</v>
      </c>
      <c r="BW60" s="136"/>
      <c r="BX60" s="136"/>
      <c r="BY60" s="136"/>
      <c r="BZ60" s="136"/>
      <c r="CA60" s="136"/>
      <c r="CB60" s="136" t="str">
        <f>IF($D60&lt;&gt;"Feature",".",
IF(VLOOKUP($B60,Feature_List!$A:$AM,MATCH(CB$1,  Feature_List!$A$1:$AM$1,0),0)=T60,".","NO"))</f>
        <v>.</v>
      </c>
      <c r="CC60" s="136"/>
      <c r="CD60" s="136"/>
      <c r="CE60" s="136"/>
      <c r="CF60" s="136"/>
      <c r="CG60" s="136"/>
      <c r="CH60" s="136"/>
      <c r="CI60" s="136"/>
      <c r="CJ60" s="136"/>
      <c r="CK60" s="136"/>
      <c r="CL60" s="136"/>
      <c r="CM60" s="136"/>
      <c r="CN60" s="136"/>
      <c r="CO60" s="136" t="str">
        <f>IF($D60&lt;&gt;"Feature",".",
IF(VLOOKUP($B60,Feature_List!$A:$AM,MATCH(CO$1,  Feature_List!$A$1:$AM$1,0),0)=AG60,".","NO"))</f>
        <v>.</v>
      </c>
      <c r="CP60" s="136" t="str">
        <f>IF($D60&lt;&gt;"Feature",".",
IF(VLOOKUP($B60,Feature_List!$A:$AM,MATCH(CP$1,  Feature_List!$A$1:$AM$1,0),0)=AH60,".","NO"))</f>
        <v>.</v>
      </c>
      <c r="CQ60" s="136" t="str">
        <f>IF($D60&lt;&gt;"Feature",".",
IF(VLOOKUP($B60,Feature_List!$A:$AM,MATCH(CQ$1,  Feature_List!$A$1:$AM$1,0),0)=AI60,".","NO"))</f>
        <v>.</v>
      </c>
      <c r="CR60" s="136" t="str">
        <f>IF($D60&lt;&gt;"Feature",".",
IF(VLOOKUP($B60,Feature_List!$A:$AM,MATCH(CR$1,  Feature_List!$A$1:$AM$1,0),0)=AJ60,".","NO"))</f>
        <v>.</v>
      </c>
      <c r="CS60" s="136" t="str">
        <f>IF($D60&lt;&gt;"Feature",".",
IF(VLOOKUP($B60,Feature_List!$A:$AM,MATCH(CS$1,  Feature_List!$A$1:$AM$1,0),0)=AK60,".","NO"))</f>
        <v>.</v>
      </c>
      <c r="CT60" s="136" t="str">
        <f>IF($D60&lt;&gt;"Feature",".",
IF(VLOOKUP($B60,Feature_List!$A:$AM,MATCH(CT$1,  Feature_List!$A$1:$AM$1,0),0)=AL60,".","NO"))</f>
        <v>.</v>
      </c>
      <c r="CU60" s="136" t="str">
        <f>IF($D60&lt;&gt;"Feature",".",
IF(VLOOKUP($B60,Feature_List!$A:$AM,MATCH(CU$1,  Feature_List!$A$1:$AM$1,0),0)=AM60,".","NO"))</f>
        <v>.</v>
      </c>
      <c r="CV60" s="136" t="str">
        <f>IF($D60&lt;&gt;"Feature",".",
IF(VLOOKUP($B60,Feature_List!$A:$AM,MATCH(CV$1,  Feature_List!$A$1:$AM$1,0),0)=AN60,".","NO"))</f>
        <v>.</v>
      </c>
      <c r="CW60" s="136" t="str">
        <f>IF($D60&lt;&gt;"Feature",".",
IF(VLOOKUP($B60,Feature_List!$A:$AM,MATCH(CW$1,  Feature_List!$A$1:$AM$1,0),0)=AO60,".","NO"))</f>
        <v>.</v>
      </c>
      <c r="CX60" s="136" t="str">
        <f>IF($D60&lt;&gt;"Feature",".",
IF(VLOOKUP($B60,Feature_List!$A:$AM,MATCH(CX$1,  Feature_List!$A$1:$AM$1,0),0)=AP60,".","NO"))</f>
        <v>.</v>
      </c>
      <c r="CY60" s="136" t="str">
        <f>IF($D60&lt;&gt;"Feature",".",
IF(VLOOKUP($B60,Feature_List!$A:$AM,MATCH(CY$1,  Feature_List!$A$1:$AM$1,0),0)=AQ60,".","NO"))</f>
        <v>.</v>
      </c>
      <c r="CZ60" s="136" t="str">
        <f>IF($D60&lt;&gt;"Feature",".",
IF(VLOOKUP($B60,Feature_List!$A:$AM,MATCH(CZ$1,  Feature_List!$A$1:$AM$1,0),0)=AR60,".","NO"))</f>
        <v>.</v>
      </c>
      <c r="DA60" s="136" t="str">
        <f>IF($D60&lt;&gt;"Feature",".",
IF(VLOOKUP($B60,Feature_List!$A:$AM,MATCH(DA$1,  Feature_List!$A$1:$AM$1,0),0)=AS60,".","NO"))</f>
        <v>.</v>
      </c>
      <c r="DB60" s="136" t="str">
        <f>IF($D60&lt;&gt;"Feature",".",
IF(VLOOKUP($B60,Feature_List!$A:$AM,MATCH(DB$1,  Feature_List!$A$1:$AM$1,0),0)=AT60,".","NO"))</f>
        <v>.</v>
      </c>
      <c r="DC60" s="136" t="str">
        <f>IF($D60&lt;&gt;"Feature",".",
IF(VLOOKUP($B60,Feature_List!$A:$AM,MATCH(DC$1,  Feature_List!$A$1:$AM$1,0),0)=AU60,".","NO"))</f>
        <v>.</v>
      </c>
      <c r="DD60" s="136" t="str">
        <f>IF($D60&lt;&gt;"Feature",".",
IF(VLOOKUP($B60,Feature_List!$A:$AM,MATCH(DD$1,  Feature_List!$A$1:$AM$1,0),0)=AV60,".","NO"))</f>
        <v>.</v>
      </c>
      <c r="DE60" s="136" t="str">
        <f>IF($D60&lt;&gt;"Feature",".",
IF(VLOOKUP($B60,Feature_List!$A:$AM,MATCH(DE$1,  Feature_List!$A$1:$AM$1,0),0)=AW60,".","NO"))</f>
        <v>.</v>
      </c>
      <c r="DF60" s="136" t="str">
        <f>IF($D60&lt;&gt;"Feature",".",
IF(VLOOKUP($B60,Feature_List!$A:$AM,MATCH(DF$1,  Feature_List!$A$1:$AM$1,0),0)=AX60,".","NO"))</f>
        <v>.</v>
      </c>
      <c r="DG60" s="136" t="str">
        <f>IF($D60&lt;&gt;"Feature",".",
IF(VLOOKUP($B60,Feature_List!$A:$AM,MATCH(DG$1,  Feature_List!$A$1:$AM$1,0),0)=AY60,".","NO"))</f>
        <v>.</v>
      </c>
      <c r="DH60" s="136" t="str">
        <f>IF($D60&lt;&gt;"Feature",".",
IF(VLOOKUP($B60,Feature_List!$A:$AM,MATCH(DH$1,  Feature_List!$A$1:$AM$1,0),0)=AZ60,".","NO"))</f>
        <v>.</v>
      </c>
      <c r="DI60" s="136" t="str">
        <f>IF($D60&lt;&gt;"Feature",".",
IF(VLOOKUP($B60,Feature_List!$A:$AM,MATCH(DI$1,  Feature_List!$A$1:$AM$1,0),0)=BA60,".","NO"))</f>
        <v>.</v>
      </c>
      <c r="DJ60" s="136" t="str">
        <f>IF($D60&lt;&gt;"Feature",".",
IF(VLOOKUP($B60,Feature_List!$A:$AM,MATCH(DJ$1,  Feature_List!$A$1:$AM$1,0),0)=BB60,".","NO"))</f>
        <v>.</v>
      </c>
      <c r="DK60" s="136"/>
      <c r="DL60" s="136"/>
      <c r="DM60" s="136"/>
      <c r="DN60" s="136" t="str">
        <f>IF($D60&lt;&gt;"Feature",".",
IF(VLOOKUP($B60,Feature_List!$A:$AM,MATCH(DN$1,  Feature_List!$A$1:$AM$1,0),0)=BC60,".","NO"))</f>
        <v>.</v>
      </c>
      <c r="DO60" s="136" t="str">
        <f>IF($D60&lt;&gt;"Feature",".",
IF(VLOOKUP($B60,Feature_List!$A:$AM,MATCH(DO$1,  Feature_List!$A$1:$AM$1,0),0)=BD60,".","NO"))</f>
        <v>.</v>
      </c>
    </row>
    <row r="61" spans="2:119" x14ac:dyDescent="0.3">
      <c r="B61" s="121">
        <v>318460</v>
      </c>
      <c r="C61" s="122" t="s">
        <v>604</v>
      </c>
      <c r="D61" s="122" t="s">
        <v>71</v>
      </c>
      <c r="E61" s="122" t="s">
        <v>730</v>
      </c>
      <c r="F61" s="138" t="s">
        <v>646</v>
      </c>
      <c r="G61" s="123" t="s">
        <v>646</v>
      </c>
      <c r="H61" s="122" t="s">
        <v>70</v>
      </c>
      <c r="I61" s="124" t="s">
        <v>127</v>
      </c>
      <c r="J61" s="138"/>
      <c r="K61" s="123">
        <v>2</v>
      </c>
      <c r="L61" s="122"/>
      <c r="M61" s="122" t="s">
        <v>714</v>
      </c>
      <c r="N61" s="125" t="s">
        <v>651</v>
      </c>
      <c r="O61" s="123">
        <f t="shared" si="0"/>
        <v>2</v>
      </c>
      <c r="P61" s="123" t="str">
        <f t="shared" si="1"/>
        <v>New</v>
      </c>
      <c r="Q61" s="122" t="str">
        <f t="shared" si="24"/>
        <v>Story</v>
      </c>
      <c r="R61" s="126">
        <f t="shared" si="2"/>
        <v>318430</v>
      </c>
      <c r="S61" s="127">
        <f t="shared" si="3"/>
        <v>318460</v>
      </c>
      <c r="T61" s="128" t="e">
        <f>IF($Q61="ZeroEntry", "",VLOOKUP($I61,'Ranking Lookup'!#REF!,2,FALSE))</f>
        <v>#REF!</v>
      </c>
      <c r="U61" s="129" t="str">
        <f t="shared" si="4"/>
        <v/>
      </c>
      <c r="V61" s="129" t="str">
        <f t="shared" si="5"/>
        <v/>
      </c>
      <c r="W61" s="129" t="str">
        <f t="shared" si="6"/>
        <v/>
      </c>
      <c r="X61" s="129" t="str">
        <f t="shared" si="7"/>
        <v/>
      </c>
      <c r="Y61" s="129" t="str">
        <f t="shared" si="8"/>
        <v>Feature</v>
      </c>
      <c r="Z61" s="129" t="str">
        <f t="shared" si="9"/>
        <v/>
      </c>
      <c r="AA61" s="130"/>
      <c r="AB61" s="130" t="str">
        <f t="shared" si="10"/>
        <v>PI 12</v>
      </c>
      <c r="AC61" s="131">
        <f t="shared" si="25"/>
        <v>2</v>
      </c>
      <c r="AD61" s="131">
        <f t="shared" si="26"/>
        <v>0</v>
      </c>
      <c r="AE61" s="132">
        <f t="shared" si="11"/>
        <v>0</v>
      </c>
      <c r="AF61" s="133" t="str">
        <f t="shared" si="27"/>
        <v/>
      </c>
      <c r="AG61" s="134">
        <f t="shared" si="12"/>
        <v>0</v>
      </c>
      <c r="AH61" s="54" t="str">
        <f t="shared" si="13"/>
        <v/>
      </c>
      <c r="AI61" s="54" t="e">
        <f t="shared" si="35"/>
        <v>#REF!</v>
      </c>
      <c r="AJ61" s="54" t="e">
        <f t="shared" si="35"/>
        <v>#REF!</v>
      </c>
      <c r="AK61" s="54" t="e">
        <f t="shared" si="35"/>
        <v>#REF!</v>
      </c>
      <c r="AL61" s="54" t="e">
        <f t="shared" si="35"/>
        <v>#REF!</v>
      </c>
      <c r="AM61" s="54" t="e">
        <f t="shared" si="35"/>
        <v>#REF!</v>
      </c>
      <c r="AN61" s="54" t="e">
        <f t="shared" si="35"/>
        <v>#REF!</v>
      </c>
      <c r="AO61" s="54" t="e">
        <f t="shared" si="35"/>
        <v>#REF!</v>
      </c>
      <c r="AP61" s="54" t="e">
        <f t="shared" si="35"/>
        <v>#REF!</v>
      </c>
      <c r="AQ61" s="54" t="e">
        <f t="shared" si="35"/>
        <v>#REF!</v>
      </c>
      <c r="AR61" s="54" t="e">
        <f t="shared" si="35"/>
        <v>#REF!</v>
      </c>
      <c r="AS61" s="54" t="e">
        <f t="shared" si="35"/>
        <v>#REF!</v>
      </c>
      <c r="AT61" s="54" t="e">
        <f t="shared" si="35"/>
        <v>#REF!</v>
      </c>
      <c r="AU61" s="54" t="e">
        <f t="shared" si="35"/>
        <v>#REF!</v>
      </c>
      <c r="AV61" s="54" t="e">
        <f t="shared" si="35"/>
        <v>#REF!</v>
      </c>
      <c r="AW61" s="54" t="e">
        <f t="shared" si="35"/>
        <v>#REF!</v>
      </c>
      <c r="AX61" s="54" t="e">
        <f t="shared" si="35"/>
        <v>#REF!</v>
      </c>
      <c r="AY61" s="54" t="e">
        <f t="shared" si="15"/>
        <v>#REF!</v>
      </c>
      <c r="AZ61" s="54" t="str">
        <f t="shared" si="16"/>
        <v/>
      </c>
      <c r="BA61" s="54" t="e">
        <f t="shared" si="17"/>
        <v>#REF!</v>
      </c>
      <c r="BB61" s="135" t="str">
        <f t="shared" si="18"/>
        <v/>
      </c>
      <c r="BC61" s="54" t="e">
        <f t="shared" si="33"/>
        <v>#REF!</v>
      </c>
      <c r="BD61" s="54" t="e">
        <f t="shared" si="33"/>
        <v>#REF!</v>
      </c>
      <c r="BE61" s="54" t="e">
        <f t="shared" si="33"/>
        <v>#REF!</v>
      </c>
      <c r="BF61" s="54" t="str">
        <f t="shared" si="20"/>
        <v/>
      </c>
      <c r="BG61" s="54" t="str">
        <f t="shared" si="21"/>
        <v/>
      </c>
      <c r="BH61" s="34" t="e">
        <f t="shared" si="22"/>
        <v>#REF!</v>
      </c>
      <c r="BI61" s="34" t="e">
        <f t="shared" si="23"/>
        <v>#REF!</v>
      </c>
      <c r="BJ61" s="136" t="str">
        <f>IF($D61&lt;&gt;"Feature",".",
IF(VLOOKUP($B61,Feature_List!$A:$AM,MATCH(BJ$1,  Feature_List!$A$1:$AM$1,0),0)=B61,".","NO"))</f>
        <v>.</v>
      </c>
      <c r="BK61" s="136"/>
      <c r="BL61" s="136"/>
      <c r="BM61" s="136" t="str">
        <f>IF($D61&lt;&gt;"Feature",".",
IF(VLOOKUP($B61,Feature_List!$A:$AM,MATCH(BM$1,  Feature_List!$A$1:$AM$1,0),0)=E61,".","NO"))</f>
        <v>.</v>
      </c>
      <c r="BN61" s="136" t="str">
        <f>IF($D61&lt;&gt;"Feature",".",
IF(VLOOKUP($B61,Feature_List!$A:$AM,MATCH(BN$1,  Feature_List!$A$1:$AM$1,0),0)=F61,".","NO"))</f>
        <v>.</v>
      </c>
      <c r="BO61" s="136" t="str">
        <f>IF($D61&lt;&gt;"Feature",".",
IF(VLOOKUP($B61,Feature_List!$A:$AM,MATCH(BO$1,  Feature_List!$A$1:$AM$1,0),0)=G61,".","NO"))</f>
        <v>.</v>
      </c>
      <c r="BP61" s="136" t="str">
        <f>IF($D61&lt;&gt;"Feature",".",
IF(VLOOKUP($B61,Feature_List!$A:$AM,MATCH(BP$1,  Feature_List!$A$1:$AM$1,0),0)=H61,".","NO"))</f>
        <v>.</v>
      </c>
      <c r="BQ61" s="136"/>
      <c r="BR61" s="136" t="str">
        <f>IF($D61&lt;&gt;"Feature",".",
IF(VLOOKUP($B61,Feature_List!$A:$AM,MATCH(BR$1,  Feature_List!$A$1:$AM$1,0),0)=J61,".","NO"))</f>
        <v>.</v>
      </c>
      <c r="BS61" s="136"/>
      <c r="BT61" s="136"/>
      <c r="BU61" s="136" t="str">
        <f>IF($D61&lt;&gt;"Feature",".",
IF(VLOOKUP($B61,Feature_List!$A:$AM,MATCH(BU$1,  Feature_List!$A$1:$AM$1,0),0)=M61,".","NO"))</f>
        <v>.</v>
      </c>
      <c r="BV61" s="136" t="str">
        <f>IF($D61&lt;&gt;"Feature",".",
IF(VLOOKUP($B61,Feature_List!$A:$AM,MATCH(BV$1,  Feature_List!$A$1:$AM$1,0),0)=N61,".","NO"))</f>
        <v>.</v>
      </c>
      <c r="BW61" s="136"/>
      <c r="BX61" s="136"/>
      <c r="BY61" s="136"/>
      <c r="BZ61" s="136"/>
      <c r="CA61" s="136"/>
      <c r="CB61" s="136" t="str">
        <f>IF($D61&lt;&gt;"Feature",".",
IF(VLOOKUP($B61,Feature_List!$A:$AM,MATCH(CB$1,  Feature_List!$A$1:$AM$1,0),0)=T61,".","NO"))</f>
        <v>.</v>
      </c>
      <c r="CC61" s="136"/>
      <c r="CD61" s="136"/>
      <c r="CE61" s="136"/>
      <c r="CF61" s="136"/>
      <c r="CG61" s="136"/>
      <c r="CH61" s="136"/>
      <c r="CI61" s="136"/>
      <c r="CJ61" s="136"/>
      <c r="CK61" s="136"/>
      <c r="CL61" s="136"/>
      <c r="CM61" s="136"/>
      <c r="CN61" s="136"/>
      <c r="CO61" s="136" t="str">
        <f>IF($D61&lt;&gt;"Feature",".",
IF(VLOOKUP($B61,Feature_List!$A:$AM,MATCH(CO$1,  Feature_List!$A$1:$AM$1,0),0)=AG61,".","NO"))</f>
        <v>.</v>
      </c>
      <c r="CP61" s="136" t="str">
        <f>IF($D61&lt;&gt;"Feature",".",
IF(VLOOKUP($B61,Feature_List!$A:$AM,MATCH(CP$1,  Feature_List!$A$1:$AM$1,0),0)=AH61,".","NO"))</f>
        <v>.</v>
      </c>
      <c r="CQ61" s="136" t="str">
        <f>IF($D61&lt;&gt;"Feature",".",
IF(VLOOKUP($B61,Feature_List!$A:$AM,MATCH(CQ$1,  Feature_List!$A$1:$AM$1,0),0)=AI61,".","NO"))</f>
        <v>.</v>
      </c>
      <c r="CR61" s="136" t="str">
        <f>IF($D61&lt;&gt;"Feature",".",
IF(VLOOKUP($B61,Feature_List!$A:$AM,MATCH(CR$1,  Feature_List!$A$1:$AM$1,0),0)=AJ61,".","NO"))</f>
        <v>.</v>
      </c>
      <c r="CS61" s="136" t="str">
        <f>IF($D61&lt;&gt;"Feature",".",
IF(VLOOKUP($B61,Feature_List!$A:$AM,MATCH(CS$1,  Feature_List!$A$1:$AM$1,0),0)=AK61,".","NO"))</f>
        <v>.</v>
      </c>
      <c r="CT61" s="136" t="str">
        <f>IF($D61&lt;&gt;"Feature",".",
IF(VLOOKUP($B61,Feature_List!$A:$AM,MATCH(CT$1,  Feature_List!$A$1:$AM$1,0),0)=AL61,".","NO"))</f>
        <v>.</v>
      </c>
      <c r="CU61" s="136" t="str">
        <f>IF($D61&lt;&gt;"Feature",".",
IF(VLOOKUP($B61,Feature_List!$A:$AM,MATCH(CU$1,  Feature_List!$A$1:$AM$1,0),0)=AM61,".","NO"))</f>
        <v>.</v>
      </c>
      <c r="CV61" s="136" t="str">
        <f>IF($D61&lt;&gt;"Feature",".",
IF(VLOOKUP($B61,Feature_List!$A:$AM,MATCH(CV$1,  Feature_List!$A$1:$AM$1,0),0)=AN61,".","NO"))</f>
        <v>.</v>
      </c>
      <c r="CW61" s="136" t="str">
        <f>IF($D61&lt;&gt;"Feature",".",
IF(VLOOKUP($B61,Feature_List!$A:$AM,MATCH(CW$1,  Feature_List!$A$1:$AM$1,0),0)=AO61,".","NO"))</f>
        <v>.</v>
      </c>
      <c r="CX61" s="136" t="str">
        <f>IF($D61&lt;&gt;"Feature",".",
IF(VLOOKUP($B61,Feature_List!$A:$AM,MATCH(CX$1,  Feature_List!$A$1:$AM$1,0),0)=AP61,".","NO"))</f>
        <v>.</v>
      </c>
      <c r="CY61" s="136" t="str">
        <f>IF($D61&lt;&gt;"Feature",".",
IF(VLOOKUP($B61,Feature_List!$A:$AM,MATCH(CY$1,  Feature_List!$A$1:$AM$1,0),0)=AQ61,".","NO"))</f>
        <v>.</v>
      </c>
      <c r="CZ61" s="136" t="str">
        <f>IF($D61&lt;&gt;"Feature",".",
IF(VLOOKUP($B61,Feature_List!$A:$AM,MATCH(CZ$1,  Feature_List!$A$1:$AM$1,0),0)=AR61,".","NO"))</f>
        <v>.</v>
      </c>
      <c r="DA61" s="136" t="str">
        <f>IF($D61&lt;&gt;"Feature",".",
IF(VLOOKUP($B61,Feature_List!$A:$AM,MATCH(DA$1,  Feature_List!$A$1:$AM$1,0),0)=AS61,".","NO"))</f>
        <v>.</v>
      </c>
      <c r="DB61" s="136" t="str">
        <f>IF($D61&lt;&gt;"Feature",".",
IF(VLOOKUP($B61,Feature_List!$A:$AM,MATCH(DB$1,  Feature_List!$A$1:$AM$1,0),0)=AT61,".","NO"))</f>
        <v>.</v>
      </c>
      <c r="DC61" s="136" t="str">
        <f>IF($D61&lt;&gt;"Feature",".",
IF(VLOOKUP($B61,Feature_List!$A:$AM,MATCH(DC$1,  Feature_List!$A$1:$AM$1,0),0)=AU61,".","NO"))</f>
        <v>.</v>
      </c>
      <c r="DD61" s="136" t="str">
        <f>IF($D61&lt;&gt;"Feature",".",
IF(VLOOKUP($B61,Feature_List!$A:$AM,MATCH(DD$1,  Feature_List!$A$1:$AM$1,0),0)=AV61,".","NO"))</f>
        <v>.</v>
      </c>
      <c r="DE61" s="136" t="str">
        <f>IF($D61&lt;&gt;"Feature",".",
IF(VLOOKUP($B61,Feature_List!$A:$AM,MATCH(DE$1,  Feature_List!$A$1:$AM$1,0),0)=AW61,".","NO"))</f>
        <v>.</v>
      </c>
      <c r="DF61" s="136" t="str">
        <f>IF($D61&lt;&gt;"Feature",".",
IF(VLOOKUP($B61,Feature_List!$A:$AM,MATCH(DF$1,  Feature_List!$A$1:$AM$1,0),0)=AX61,".","NO"))</f>
        <v>.</v>
      </c>
      <c r="DG61" s="136" t="str">
        <f>IF($D61&lt;&gt;"Feature",".",
IF(VLOOKUP($B61,Feature_List!$A:$AM,MATCH(DG$1,  Feature_List!$A$1:$AM$1,0),0)=AY61,".","NO"))</f>
        <v>.</v>
      </c>
      <c r="DH61" s="136" t="str">
        <f>IF($D61&lt;&gt;"Feature",".",
IF(VLOOKUP($B61,Feature_List!$A:$AM,MATCH(DH$1,  Feature_List!$A$1:$AM$1,0),0)=AZ61,".","NO"))</f>
        <v>.</v>
      </c>
      <c r="DI61" s="136" t="str">
        <f>IF($D61&lt;&gt;"Feature",".",
IF(VLOOKUP($B61,Feature_List!$A:$AM,MATCH(DI$1,  Feature_List!$A$1:$AM$1,0),0)=BA61,".","NO"))</f>
        <v>.</v>
      </c>
      <c r="DJ61" s="136" t="str">
        <f>IF($D61&lt;&gt;"Feature",".",
IF(VLOOKUP($B61,Feature_List!$A:$AM,MATCH(DJ$1,  Feature_List!$A$1:$AM$1,0),0)=BB61,".","NO"))</f>
        <v>.</v>
      </c>
      <c r="DK61" s="136"/>
      <c r="DL61" s="136"/>
      <c r="DM61" s="136"/>
      <c r="DN61" s="136" t="str">
        <f>IF($D61&lt;&gt;"Feature",".",
IF(VLOOKUP($B61,Feature_List!$A:$AM,MATCH(DN$1,  Feature_List!$A$1:$AM$1,0),0)=BC61,".","NO"))</f>
        <v>.</v>
      </c>
      <c r="DO61" s="136" t="str">
        <f>IF($D61&lt;&gt;"Feature",".",
IF(VLOOKUP($B61,Feature_List!$A:$AM,MATCH(DO$1,  Feature_List!$A$1:$AM$1,0),0)=BD61,".","NO"))</f>
        <v>.</v>
      </c>
    </row>
    <row r="62" spans="2:119" x14ac:dyDescent="0.3">
      <c r="B62" s="121">
        <v>318459</v>
      </c>
      <c r="C62" s="123" t="s">
        <v>604</v>
      </c>
      <c r="D62" s="122" t="s">
        <v>71</v>
      </c>
      <c r="E62" s="122" t="s">
        <v>731</v>
      </c>
      <c r="F62" s="138" t="s">
        <v>657</v>
      </c>
      <c r="G62" s="123" t="s">
        <v>657</v>
      </c>
      <c r="H62" s="122" t="s">
        <v>70</v>
      </c>
      <c r="I62" s="122" t="s">
        <v>562</v>
      </c>
      <c r="J62" s="138"/>
      <c r="K62" s="123">
        <v>1</v>
      </c>
      <c r="L62" s="122"/>
      <c r="M62" s="122" t="s">
        <v>362</v>
      </c>
      <c r="N62" s="125" t="s">
        <v>651</v>
      </c>
      <c r="O62" s="123">
        <f t="shared" si="0"/>
        <v>1</v>
      </c>
      <c r="P62" s="123" t="str">
        <f t="shared" si="1"/>
        <v>New</v>
      </c>
      <c r="Q62" s="122" t="str">
        <f t="shared" si="24"/>
        <v>Story</v>
      </c>
      <c r="R62" s="126">
        <f t="shared" si="2"/>
        <v>318430</v>
      </c>
      <c r="S62" s="127">
        <f t="shared" si="3"/>
        <v>318459</v>
      </c>
      <c r="T62" s="128" t="e">
        <f>IF($Q62="ZeroEntry", "",VLOOKUP($I62,'Ranking Lookup'!#REF!,2,FALSE))</f>
        <v>#REF!</v>
      </c>
      <c r="U62" s="129" t="str">
        <f t="shared" si="4"/>
        <v/>
      </c>
      <c r="V62" s="129" t="str">
        <f t="shared" si="5"/>
        <v/>
      </c>
      <c r="W62" s="129" t="str">
        <f t="shared" si="6"/>
        <v/>
      </c>
      <c r="X62" s="129" t="str">
        <f t="shared" si="7"/>
        <v/>
      </c>
      <c r="Y62" s="129" t="str">
        <f t="shared" si="8"/>
        <v>Feature</v>
      </c>
      <c r="Z62" s="129" t="str">
        <f t="shared" si="9"/>
        <v/>
      </c>
      <c r="AA62" s="130"/>
      <c r="AB62" s="130" t="str">
        <f t="shared" si="10"/>
        <v>PI 12</v>
      </c>
      <c r="AC62" s="131">
        <f t="shared" si="25"/>
        <v>1</v>
      </c>
      <c r="AD62" s="131">
        <f t="shared" si="26"/>
        <v>0</v>
      </c>
      <c r="AE62" s="132">
        <f t="shared" si="11"/>
        <v>0</v>
      </c>
      <c r="AF62" s="133" t="str">
        <f t="shared" si="27"/>
        <v/>
      </c>
      <c r="AG62" s="134">
        <f t="shared" si="12"/>
        <v>0</v>
      </c>
      <c r="AH62" s="54" t="str">
        <f t="shared" si="13"/>
        <v/>
      </c>
      <c r="AI62" s="54" t="e">
        <f t="shared" si="35"/>
        <v>#REF!</v>
      </c>
      <c r="AJ62" s="54" t="e">
        <f t="shared" si="35"/>
        <v>#REF!</v>
      </c>
      <c r="AK62" s="54" t="e">
        <f t="shared" si="35"/>
        <v>#REF!</v>
      </c>
      <c r="AL62" s="54" t="e">
        <f t="shared" si="35"/>
        <v>#REF!</v>
      </c>
      <c r="AM62" s="54" t="e">
        <f t="shared" si="35"/>
        <v>#REF!</v>
      </c>
      <c r="AN62" s="54" t="e">
        <f t="shared" si="35"/>
        <v>#REF!</v>
      </c>
      <c r="AO62" s="54" t="e">
        <f t="shared" si="35"/>
        <v>#REF!</v>
      </c>
      <c r="AP62" s="54" t="e">
        <f t="shared" si="35"/>
        <v>#REF!</v>
      </c>
      <c r="AQ62" s="54" t="e">
        <f t="shared" si="35"/>
        <v>#REF!</v>
      </c>
      <c r="AR62" s="54" t="e">
        <f t="shared" si="35"/>
        <v>#REF!</v>
      </c>
      <c r="AS62" s="54" t="e">
        <f t="shared" si="35"/>
        <v>#REF!</v>
      </c>
      <c r="AT62" s="54" t="e">
        <f t="shared" si="35"/>
        <v>#REF!</v>
      </c>
      <c r="AU62" s="54" t="e">
        <f t="shared" si="35"/>
        <v>#REF!</v>
      </c>
      <c r="AV62" s="54" t="e">
        <f t="shared" si="35"/>
        <v>#REF!</v>
      </c>
      <c r="AW62" s="54" t="e">
        <f t="shared" si="35"/>
        <v>#REF!</v>
      </c>
      <c r="AX62" s="54" t="e">
        <f t="shared" si="35"/>
        <v>#REF!</v>
      </c>
      <c r="AY62" s="54" t="e">
        <f t="shared" si="15"/>
        <v>#REF!</v>
      </c>
      <c r="AZ62" s="54" t="str">
        <f t="shared" si="16"/>
        <v/>
      </c>
      <c r="BA62" s="54" t="e">
        <f t="shared" si="17"/>
        <v>#REF!</v>
      </c>
      <c r="BB62" s="135" t="str">
        <f t="shared" si="18"/>
        <v/>
      </c>
      <c r="BC62" s="54" t="e">
        <f t="shared" ref="BC62:BE81" si="36">IF(AND($Q62="Feature",LEFT($AB62,2)="PI"),
IF(AND(COUNTIF($R:$R,$B62)=1,$T62=BC$1), IF($AB62=$A$10,$AF62,0),
IF(OR($AD62&lt;1,RIGHT($G62,8)="Progress"),SUMIFS($O:$O,$R:$R,$B62,$T:$T,BC$1,$P:$P,"&lt;&gt;Done",$AB:$AB,$A$10),
IF($T62=BC$1, IF($AB62=$A$10,$AD62,0)+SUMIFS($O:$O,$R:$R,$B62,$T:$T,BC$1,$P:$P,"&lt;&gt;Done",$AB:$AB,$A$10),SUMIFS($O:$O,$R:$R,$B62,$T:$T,BC$1,$P:$P,"&lt;&gt;Done",$AB:$AB,$A$10)))),
IF(AND(OR($Q62="Story",$Q62="Problem",$Q62="Enhancement"),$AB62=$A$10,$R62=0,$T62=BC$1,$P62&lt;&gt;"Done"),$O62,""))</f>
        <v>#REF!</v>
      </c>
      <c r="BD62" s="54" t="e">
        <f t="shared" si="36"/>
        <v>#REF!</v>
      </c>
      <c r="BE62" s="54" t="e">
        <f t="shared" si="36"/>
        <v>#REF!</v>
      </c>
      <c r="BF62" s="54" t="str">
        <f t="shared" si="20"/>
        <v/>
      </c>
      <c r="BG62" s="54" t="str">
        <f t="shared" si="21"/>
        <v/>
      </c>
      <c r="BH62" s="34" t="e">
        <f t="shared" si="22"/>
        <v>#REF!</v>
      </c>
      <c r="BI62" s="34" t="e">
        <f t="shared" si="23"/>
        <v>#REF!</v>
      </c>
      <c r="BJ62" s="136" t="str">
        <f>IF($D62&lt;&gt;"Feature",".",
IF(VLOOKUP($B62,Feature_List!$A:$AM,MATCH(BJ$1,  Feature_List!$A$1:$AM$1,0),0)=B62,".","NO"))</f>
        <v>.</v>
      </c>
      <c r="BK62" s="136"/>
      <c r="BL62" s="136"/>
      <c r="BM62" s="136" t="str">
        <f>IF($D62&lt;&gt;"Feature",".",
IF(VLOOKUP($B62,Feature_List!$A:$AM,MATCH(BM$1,  Feature_List!$A$1:$AM$1,0),0)=E62,".","NO"))</f>
        <v>.</v>
      </c>
      <c r="BN62" s="136" t="str">
        <f>IF($D62&lt;&gt;"Feature",".",
IF(VLOOKUP($B62,Feature_List!$A:$AM,MATCH(BN$1,  Feature_List!$A$1:$AM$1,0),0)=F62,".","NO"))</f>
        <v>.</v>
      </c>
      <c r="BO62" s="136" t="str">
        <f>IF($D62&lt;&gt;"Feature",".",
IF(VLOOKUP($B62,Feature_List!$A:$AM,MATCH(BO$1,  Feature_List!$A$1:$AM$1,0),0)=G62,".","NO"))</f>
        <v>.</v>
      </c>
      <c r="BP62" s="136" t="str">
        <f>IF($D62&lt;&gt;"Feature",".",
IF(VLOOKUP($B62,Feature_List!$A:$AM,MATCH(BP$1,  Feature_List!$A$1:$AM$1,0),0)=H62,".","NO"))</f>
        <v>.</v>
      </c>
      <c r="BQ62" s="136"/>
      <c r="BR62" s="136" t="str">
        <f>IF($D62&lt;&gt;"Feature",".",
IF(VLOOKUP($B62,Feature_List!$A:$AM,MATCH(BR$1,  Feature_List!$A$1:$AM$1,0),0)=J62,".","NO"))</f>
        <v>.</v>
      </c>
      <c r="BS62" s="136"/>
      <c r="BT62" s="136"/>
      <c r="BU62" s="136" t="str">
        <f>IF($D62&lt;&gt;"Feature",".",
IF(VLOOKUP($B62,Feature_List!$A:$AM,MATCH(BU$1,  Feature_List!$A$1:$AM$1,0),0)=M62,".","NO"))</f>
        <v>.</v>
      </c>
      <c r="BV62" s="136" t="str">
        <f>IF($D62&lt;&gt;"Feature",".",
IF(VLOOKUP($B62,Feature_List!$A:$AM,MATCH(BV$1,  Feature_List!$A$1:$AM$1,0),0)=N62,".","NO"))</f>
        <v>.</v>
      </c>
      <c r="BW62" s="136"/>
      <c r="BX62" s="136"/>
      <c r="BY62" s="136"/>
      <c r="BZ62" s="136"/>
      <c r="CA62" s="136"/>
      <c r="CB62" s="136" t="str">
        <f>IF($D62&lt;&gt;"Feature",".",
IF(VLOOKUP($B62,Feature_List!$A:$AM,MATCH(CB$1,  Feature_List!$A$1:$AM$1,0),0)=T62,".","NO"))</f>
        <v>.</v>
      </c>
      <c r="CC62" s="136"/>
      <c r="CD62" s="136"/>
      <c r="CE62" s="136"/>
      <c r="CF62" s="136"/>
      <c r="CG62" s="136"/>
      <c r="CH62" s="136"/>
      <c r="CI62" s="136"/>
      <c r="CJ62" s="136"/>
      <c r="CK62" s="136"/>
      <c r="CL62" s="136"/>
      <c r="CM62" s="136"/>
      <c r="CN62" s="136"/>
      <c r="CO62" s="136" t="str">
        <f>IF($D62&lt;&gt;"Feature",".",
IF(VLOOKUP($B62,Feature_List!$A:$AM,MATCH(CO$1,  Feature_List!$A$1:$AM$1,0),0)=AG62,".","NO"))</f>
        <v>.</v>
      </c>
      <c r="CP62" s="136" t="str">
        <f>IF($D62&lt;&gt;"Feature",".",
IF(VLOOKUP($B62,Feature_List!$A:$AM,MATCH(CP$1,  Feature_List!$A$1:$AM$1,0),0)=AH62,".","NO"))</f>
        <v>.</v>
      </c>
      <c r="CQ62" s="136" t="str">
        <f>IF($D62&lt;&gt;"Feature",".",
IF(VLOOKUP($B62,Feature_List!$A:$AM,MATCH(CQ$1,  Feature_List!$A$1:$AM$1,0),0)=AI62,".","NO"))</f>
        <v>.</v>
      </c>
      <c r="CR62" s="136" t="str">
        <f>IF($D62&lt;&gt;"Feature",".",
IF(VLOOKUP($B62,Feature_List!$A:$AM,MATCH(CR$1,  Feature_List!$A$1:$AM$1,0),0)=AJ62,".","NO"))</f>
        <v>.</v>
      </c>
      <c r="CS62" s="136" t="str">
        <f>IF($D62&lt;&gt;"Feature",".",
IF(VLOOKUP($B62,Feature_List!$A:$AM,MATCH(CS$1,  Feature_List!$A$1:$AM$1,0),0)=AK62,".","NO"))</f>
        <v>.</v>
      </c>
      <c r="CT62" s="136" t="str">
        <f>IF($D62&lt;&gt;"Feature",".",
IF(VLOOKUP($B62,Feature_List!$A:$AM,MATCH(CT$1,  Feature_List!$A$1:$AM$1,0),0)=AL62,".","NO"))</f>
        <v>.</v>
      </c>
      <c r="CU62" s="136" t="str">
        <f>IF($D62&lt;&gt;"Feature",".",
IF(VLOOKUP($B62,Feature_List!$A:$AM,MATCH(CU$1,  Feature_List!$A$1:$AM$1,0),0)=AM62,".","NO"))</f>
        <v>.</v>
      </c>
      <c r="CV62" s="136" t="str">
        <f>IF($D62&lt;&gt;"Feature",".",
IF(VLOOKUP($B62,Feature_List!$A:$AM,MATCH(CV$1,  Feature_List!$A$1:$AM$1,0),0)=AN62,".","NO"))</f>
        <v>.</v>
      </c>
      <c r="CW62" s="136" t="str">
        <f>IF($D62&lt;&gt;"Feature",".",
IF(VLOOKUP($B62,Feature_List!$A:$AM,MATCH(CW$1,  Feature_List!$A$1:$AM$1,0),0)=AO62,".","NO"))</f>
        <v>.</v>
      </c>
      <c r="CX62" s="136" t="str">
        <f>IF($D62&lt;&gt;"Feature",".",
IF(VLOOKUP($B62,Feature_List!$A:$AM,MATCH(CX$1,  Feature_List!$A$1:$AM$1,0),0)=AP62,".","NO"))</f>
        <v>.</v>
      </c>
      <c r="CY62" s="136" t="str">
        <f>IF($D62&lt;&gt;"Feature",".",
IF(VLOOKUP($B62,Feature_List!$A:$AM,MATCH(CY$1,  Feature_List!$A$1:$AM$1,0),0)=AQ62,".","NO"))</f>
        <v>.</v>
      </c>
      <c r="CZ62" s="136" t="str">
        <f>IF($D62&lt;&gt;"Feature",".",
IF(VLOOKUP($B62,Feature_List!$A:$AM,MATCH(CZ$1,  Feature_List!$A$1:$AM$1,0),0)=AR62,".","NO"))</f>
        <v>.</v>
      </c>
      <c r="DA62" s="136" t="str">
        <f>IF($D62&lt;&gt;"Feature",".",
IF(VLOOKUP($B62,Feature_List!$A:$AM,MATCH(DA$1,  Feature_List!$A$1:$AM$1,0),0)=AS62,".","NO"))</f>
        <v>.</v>
      </c>
      <c r="DB62" s="136" t="str">
        <f>IF($D62&lt;&gt;"Feature",".",
IF(VLOOKUP($B62,Feature_List!$A:$AM,MATCH(DB$1,  Feature_List!$A$1:$AM$1,0),0)=AT62,".","NO"))</f>
        <v>.</v>
      </c>
      <c r="DC62" s="136" t="str">
        <f>IF($D62&lt;&gt;"Feature",".",
IF(VLOOKUP($B62,Feature_List!$A:$AM,MATCH(DC$1,  Feature_List!$A$1:$AM$1,0),0)=AU62,".","NO"))</f>
        <v>.</v>
      </c>
      <c r="DD62" s="136" t="str">
        <f>IF($D62&lt;&gt;"Feature",".",
IF(VLOOKUP($B62,Feature_List!$A:$AM,MATCH(DD$1,  Feature_List!$A$1:$AM$1,0),0)=AV62,".","NO"))</f>
        <v>.</v>
      </c>
      <c r="DE62" s="136" t="str">
        <f>IF($D62&lt;&gt;"Feature",".",
IF(VLOOKUP($B62,Feature_List!$A:$AM,MATCH(DE$1,  Feature_List!$A$1:$AM$1,0),0)=AW62,".","NO"))</f>
        <v>.</v>
      </c>
      <c r="DF62" s="136" t="str">
        <f>IF($D62&lt;&gt;"Feature",".",
IF(VLOOKUP($B62,Feature_List!$A:$AM,MATCH(DF$1,  Feature_List!$A$1:$AM$1,0),0)=AX62,".","NO"))</f>
        <v>.</v>
      </c>
      <c r="DG62" s="136" t="str">
        <f>IF($D62&lt;&gt;"Feature",".",
IF(VLOOKUP($B62,Feature_List!$A:$AM,MATCH(DG$1,  Feature_List!$A$1:$AM$1,0),0)=AY62,".","NO"))</f>
        <v>.</v>
      </c>
      <c r="DH62" s="136" t="str">
        <f>IF($D62&lt;&gt;"Feature",".",
IF(VLOOKUP($B62,Feature_List!$A:$AM,MATCH(DH$1,  Feature_List!$A$1:$AM$1,0),0)=AZ62,".","NO"))</f>
        <v>.</v>
      </c>
      <c r="DI62" s="136" t="str">
        <f>IF($D62&lt;&gt;"Feature",".",
IF(VLOOKUP($B62,Feature_List!$A:$AM,MATCH(DI$1,  Feature_List!$A$1:$AM$1,0),0)=BA62,".","NO"))</f>
        <v>.</v>
      </c>
      <c r="DJ62" s="136" t="str">
        <f>IF($D62&lt;&gt;"Feature",".",
IF(VLOOKUP($B62,Feature_List!$A:$AM,MATCH(DJ$1,  Feature_List!$A$1:$AM$1,0),0)=BB62,".","NO"))</f>
        <v>.</v>
      </c>
      <c r="DK62" s="136"/>
      <c r="DL62" s="136"/>
      <c r="DM62" s="136"/>
      <c r="DN62" s="136" t="str">
        <f>IF($D62&lt;&gt;"Feature",".",
IF(VLOOKUP($B62,Feature_List!$A:$AM,MATCH(DN$1,  Feature_List!$A$1:$AM$1,0),0)=BC62,".","NO"))</f>
        <v>.</v>
      </c>
      <c r="DO62" s="136" t="str">
        <f>IF($D62&lt;&gt;"Feature",".",
IF(VLOOKUP($B62,Feature_List!$A:$AM,MATCH(DO$1,  Feature_List!$A$1:$AM$1,0),0)=BD62,".","NO"))</f>
        <v>.</v>
      </c>
    </row>
    <row r="63" spans="2:119" x14ac:dyDescent="0.3">
      <c r="B63" s="121">
        <v>318458</v>
      </c>
      <c r="C63" s="122" t="s">
        <v>604</v>
      </c>
      <c r="D63" s="122" t="s">
        <v>71</v>
      </c>
      <c r="E63" s="122" t="s">
        <v>732</v>
      </c>
      <c r="F63" s="138" t="s">
        <v>641</v>
      </c>
      <c r="G63" s="123" t="s">
        <v>641</v>
      </c>
      <c r="H63" s="122" t="s">
        <v>70</v>
      </c>
      <c r="I63" s="124" t="s">
        <v>125</v>
      </c>
      <c r="J63" s="138"/>
      <c r="K63" s="123">
        <v>1</v>
      </c>
      <c r="L63" s="122"/>
      <c r="M63" s="122" t="s">
        <v>104</v>
      </c>
      <c r="N63" s="125" t="s">
        <v>651</v>
      </c>
      <c r="O63" s="123">
        <f t="shared" si="0"/>
        <v>1</v>
      </c>
      <c r="P63" s="123" t="str">
        <f t="shared" si="1"/>
        <v>New</v>
      </c>
      <c r="Q63" s="122" t="str">
        <f t="shared" si="24"/>
        <v>Story</v>
      </c>
      <c r="R63" s="126">
        <f t="shared" si="2"/>
        <v>318430</v>
      </c>
      <c r="S63" s="127">
        <f t="shared" si="3"/>
        <v>318458</v>
      </c>
      <c r="T63" s="128" t="e">
        <f>IF($Q63="ZeroEntry", "",VLOOKUP($I63,'Ranking Lookup'!#REF!,2,FALSE))</f>
        <v>#REF!</v>
      </c>
      <c r="U63" s="129" t="str">
        <f t="shared" si="4"/>
        <v/>
      </c>
      <c r="V63" s="129" t="str">
        <f t="shared" si="5"/>
        <v/>
      </c>
      <c r="W63" s="129" t="str">
        <f t="shared" si="6"/>
        <v/>
      </c>
      <c r="X63" s="129" t="str">
        <f t="shared" si="7"/>
        <v/>
      </c>
      <c r="Y63" s="129" t="str">
        <f t="shared" si="8"/>
        <v>Feature</v>
      </c>
      <c r="Z63" s="129" t="str">
        <f t="shared" si="9"/>
        <v/>
      </c>
      <c r="AA63" s="130"/>
      <c r="AB63" s="130" t="str">
        <f t="shared" si="10"/>
        <v>PI 12</v>
      </c>
      <c r="AC63" s="131">
        <f t="shared" si="25"/>
        <v>1</v>
      </c>
      <c r="AD63" s="131">
        <f t="shared" si="26"/>
        <v>0</v>
      </c>
      <c r="AE63" s="132">
        <f t="shared" si="11"/>
        <v>0</v>
      </c>
      <c r="AF63" s="133" t="str">
        <f t="shared" si="27"/>
        <v/>
      </c>
      <c r="AG63" s="134">
        <f t="shared" si="12"/>
        <v>0</v>
      </c>
      <c r="AH63" s="54" t="str">
        <f t="shared" si="13"/>
        <v/>
      </c>
      <c r="AI63" s="54" t="e">
        <f t="shared" si="35"/>
        <v>#REF!</v>
      </c>
      <c r="AJ63" s="54" t="e">
        <f t="shared" si="35"/>
        <v>#REF!</v>
      </c>
      <c r="AK63" s="54" t="e">
        <f t="shared" si="35"/>
        <v>#REF!</v>
      </c>
      <c r="AL63" s="54" t="e">
        <f t="shared" si="35"/>
        <v>#REF!</v>
      </c>
      <c r="AM63" s="54" t="e">
        <f t="shared" si="35"/>
        <v>#REF!</v>
      </c>
      <c r="AN63" s="54" t="e">
        <f t="shared" si="35"/>
        <v>#REF!</v>
      </c>
      <c r="AO63" s="54" t="e">
        <f t="shared" si="35"/>
        <v>#REF!</v>
      </c>
      <c r="AP63" s="54" t="e">
        <f t="shared" si="35"/>
        <v>#REF!</v>
      </c>
      <c r="AQ63" s="54" t="e">
        <f t="shared" si="35"/>
        <v>#REF!</v>
      </c>
      <c r="AR63" s="54" t="e">
        <f t="shared" si="35"/>
        <v>#REF!</v>
      </c>
      <c r="AS63" s="54" t="e">
        <f t="shared" si="35"/>
        <v>#REF!</v>
      </c>
      <c r="AT63" s="54" t="e">
        <f t="shared" si="35"/>
        <v>#REF!</v>
      </c>
      <c r="AU63" s="54" t="e">
        <f t="shared" si="35"/>
        <v>#REF!</v>
      </c>
      <c r="AV63" s="54" t="e">
        <f t="shared" si="35"/>
        <v>#REF!</v>
      </c>
      <c r="AW63" s="54" t="e">
        <f t="shared" si="35"/>
        <v>#REF!</v>
      </c>
      <c r="AX63" s="54" t="e">
        <f t="shared" si="35"/>
        <v>#REF!</v>
      </c>
      <c r="AY63" s="54" t="e">
        <f t="shared" si="15"/>
        <v>#REF!</v>
      </c>
      <c r="AZ63" s="54" t="str">
        <f t="shared" si="16"/>
        <v/>
      </c>
      <c r="BA63" s="54" t="e">
        <f t="shared" si="17"/>
        <v>#REF!</v>
      </c>
      <c r="BB63" s="135" t="str">
        <f t="shared" si="18"/>
        <v/>
      </c>
      <c r="BC63" s="54" t="e">
        <f t="shared" si="36"/>
        <v>#REF!</v>
      </c>
      <c r="BD63" s="54" t="e">
        <f t="shared" si="36"/>
        <v>#REF!</v>
      </c>
      <c r="BE63" s="54" t="e">
        <f t="shared" si="36"/>
        <v>#REF!</v>
      </c>
      <c r="BF63" s="54" t="str">
        <f t="shared" si="20"/>
        <v/>
      </c>
      <c r="BG63" s="54" t="str">
        <f t="shared" si="21"/>
        <v/>
      </c>
      <c r="BH63" s="34" t="e">
        <f t="shared" si="22"/>
        <v>#REF!</v>
      </c>
      <c r="BI63" s="34" t="e">
        <f t="shared" si="23"/>
        <v>#REF!</v>
      </c>
      <c r="BJ63" s="136" t="str">
        <f>IF($D63&lt;&gt;"Feature",".",
IF(VLOOKUP($B63,Feature_List!$A:$AM,MATCH(BJ$1,  Feature_List!$A$1:$AM$1,0),0)=B63,".","NO"))</f>
        <v>.</v>
      </c>
      <c r="BK63" s="136"/>
      <c r="BL63" s="136"/>
      <c r="BM63" s="136" t="str">
        <f>IF($D63&lt;&gt;"Feature",".",
IF(VLOOKUP($B63,Feature_List!$A:$AM,MATCH(BM$1,  Feature_List!$A$1:$AM$1,0),0)=E63,".","NO"))</f>
        <v>.</v>
      </c>
      <c r="BN63" s="136" t="str">
        <f>IF($D63&lt;&gt;"Feature",".",
IF(VLOOKUP($B63,Feature_List!$A:$AM,MATCH(BN$1,  Feature_List!$A$1:$AM$1,0),0)=F63,".","NO"))</f>
        <v>.</v>
      </c>
      <c r="BO63" s="136" t="str">
        <f>IF($D63&lt;&gt;"Feature",".",
IF(VLOOKUP($B63,Feature_List!$A:$AM,MATCH(BO$1,  Feature_List!$A$1:$AM$1,0),0)=G63,".","NO"))</f>
        <v>.</v>
      </c>
      <c r="BP63" s="136" t="str">
        <f>IF($D63&lt;&gt;"Feature",".",
IF(VLOOKUP($B63,Feature_List!$A:$AM,MATCH(BP$1,  Feature_List!$A$1:$AM$1,0),0)=H63,".","NO"))</f>
        <v>.</v>
      </c>
      <c r="BQ63" s="136"/>
      <c r="BR63" s="136" t="str">
        <f>IF($D63&lt;&gt;"Feature",".",
IF(VLOOKUP($B63,Feature_List!$A:$AM,MATCH(BR$1,  Feature_List!$A$1:$AM$1,0),0)=J63,".","NO"))</f>
        <v>.</v>
      </c>
      <c r="BS63" s="136"/>
      <c r="BT63" s="136"/>
      <c r="BU63" s="136" t="str">
        <f>IF($D63&lt;&gt;"Feature",".",
IF(VLOOKUP($B63,Feature_List!$A:$AM,MATCH(BU$1,  Feature_List!$A$1:$AM$1,0),0)=M63,".","NO"))</f>
        <v>.</v>
      </c>
      <c r="BV63" s="136" t="str">
        <f>IF($D63&lt;&gt;"Feature",".",
IF(VLOOKUP($B63,Feature_List!$A:$AM,MATCH(BV$1,  Feature_List!$A$1:$AM$1,0),0)=N63,".","NO"))</f>
        <v>.</v>
      </c>
      <c r="BW63" s="136"/>
      <c r="BX63" s="136"/>
      <c r="BY63" s="136"/>
      <c r="BZ63" s="136"/>
      <c r="CA63" s="136"/>
      <c r="CB63" s="136" t="str">
        <f>IF($D63&lt;&gt;"Feature",".",
IF(VLOOKUP($B63,Feature_List!$A:$AM,MATCH(CB$1,  Feature_List!$A$1:$AM$1,0),0)=T63,".","NO"))</f>
        <v>.</v>
      </c>
      <c r="CC63" s="136"/>
      <c r="CD63" s="136"/>
      <c r="CE63" s="136"/>
      <c r="CF63" s="136"/>
      <c r="CG63" s="136"/>
      <c r="CH63" s="136"/>
      <c r="CI63" s="136"/>
      <c r="CJ63" s="136"/>
      <c r="CK63" s="136"/>
      <c r="CL63" s="136"/>
      <c r="CM63" s="136"/>
      <c r="CN63" s="136"/>
      <c r="CO63" s="136" t="str">
        <f>IF($D63&lt;&gt;"Feature",".",
IF(VLOOKUP($B63,Feature_List!$A:$AM,MATCH(CO$1,  Feature_List!$A$1:$AM$1,0),0)=AG63,".","NO"))</f>
        <v>.</v>
      </c>
      <c r="CP63" s="136" t="str">
        <f>IF($D63&lt;&gt;"Feature",".",
IF(VLOOKUP($B63,Feature_List!$A:$AM,MATCH(CP$1,  Feature_List!$A$1:$AM$1,0),0)=AH63,".","NO"))</f>
        <v>.</v>
      </c>
      <c r="CQ63" s="136" t="str">
        <f>IF($D63&lt;&gt;"Feature",".",
IF(VLOOKUP($B63,Feature_List!$A:$AM,MATCH(CQ$1,  Feature_List!$A$1:$AM$1,0),0)=AI63,".","NO"))</f>
        <v>.</v>
      </c>
      <c r="CR63" s="136" t="str">
        <f>IF($D63&lt;&gt;"Feature",".",
IF(VLOOKUP($B63,Feature_List!$A:$AM,MATCH(CR$1,  Feature_List!$A$1:$AM$1,0),0)=AJ63,".","NO"))</f>
        <v>.</v>
      </c>
      <c r="CS63" s="136" t="str">
        <f>IF($D63&lt;&gt;"Feature",".",
IF(VLOOKUP($B63,Feature_List!$A:$AM,MATCH(CS$1,  Feature_List!$A$1:$AM$1,0),0)=AK63,".","NO"))</f>
        <v>.</v>
      </c>
      <c r="CT63" s="136" t="str">
        <f>IF($D63&lt;&gt;"Feature",".",
IF(VLOOKUP($B63,Feature_List!$A:$AM,MATCH(CT$1,  Feature_List!$A$1:$AM$1,0),0)=AL63,".","NO"))</f>
        <v>.</v>
      </c>
      <c r="CU63" s="136" t="str">
        <f>IF($D63&lt;&gt;"Feature",".",
IF(VLOOKUP($B63,Feature_List!$A:$AM,MATCH(CU$1,  Feature_List!$A$1:$AM$1,0),0)=AM63,".","NO"))</f>
        <v>.</v>
      </c>
      <c r="CV63" s="136" t="str">
        <f>IF($D63&lt;&gt;"Feature",".",
IF(VLOOKUP($B63,Feature_List!$A:$AM,MATCH(CV$1,  Feature_List!$A$1:$AM$1,0),0)=AN63,".","NO"))</f>
        <v>.</v>
      </c>
      <c r="CW63" s="136" t="str">
        <f>IF($D63&lt;&gt;"Feature",".",
IF(VLOOKUP($B63,Feature_List!$A:$AM,MATCH(CW$1,  Feature_List!$A$1:$AM$1,0),0)=AO63,".","NO"))</f>
        <v>.</v>
      </c>
      <c r="CX63" s="136" t="str">
        <f>IF($D63&lt;&gt;"Feature",".",
IF(VLOOKUP($B63,Feature_List!$A:$AM,MATCH(CX$1,  Feature_List!$A$1:$AM$1,0),0)=AP63,".","NO"))</f>
        <v>.</v>
      </c>
      <c r="CY63" s="136" t="str">
        <f>IF($D63&lt;&gt;"Feature",".",
IF(VLOOKUP($B63,Feature_List!$A:$AM,MATCH(CY$1,  Feature_List!$A$1:$AM$1,0),0)=AQ63,".","NO"))</f>
        <v>.</v>
      </c>
      <c r="CZ63" s="136" t="str">
        <f>IF($D63&lt;&gt;"Feature",".",
IF(VLOOKUP($B63,Feature_List!$A:$AM,MATCH(CZ$1,  Feature_List!$A$1:$AM$1,0),0)=AR63,".","NO"))</f>
        <v>.</v>
      </c>
      <c r="DA63" s="136" t="str">
        <f>IF($D63&lt;&gt;"Feature",".",
IF(VLOOKUP($B63,Feature_List!$A:$AM,MATCH(DA$1,  Feature_List!$A$1:$AM$1,0),0)=AS63,".","NO"))</f>
        <v>.</v>
      </c>
      <c r="DB63" s="136" t="str">
        <f>IF($D63&lt;&gt;"Feature",".",
IF(VLOOKUP($B63,Feature_List!$A:$AM,MATCH(DB$1,  Feature_List!$A$1:$AM$1,0),0)=AT63,".","NO"))</f>
        <v>.</v>
      </c>
      <c r="DC63" s="136" t="str">
        <f>IF($D63&lt;&gt;"Feature",".",
IF(VLOOKUP($B63,Feature_List!$A:$AM,MATCH(DC$1,  Feature_List!$A$1:$AM$1,0),0)=AU63,".","NO"))</f>
        <v>.</v>
      </c>
      <c r="DD63" s="136" t="str">
        <f>IF($D63&lt;&gt;"Feature",".",
IF(VLOOKUP($B63,Feature_List!$A:$AM,MATCH(DD$1,  Feature_List!$A$1:$AM$1,0),0)=AV63,".","NO"))</f>
        <v>.</v>
      </c>
      <c r="DE63" s="136" t="str">
        <f>IF($D63&lt;&gt;"Feature",".",
IF(VLOOKUP($B63,Feature_List!$A:$AM,MATCH(DE$1,  Feature_List!$A$1:$AM$1,0),0)=AW63,".","NO"))</f>
        <v>.</v>
      </c>
      <c r="DF63" s="136" t="str">
        <f>IF($D63&lt;&gt;"Feature",".",
IF(VLOOKUP($B63,Feature_List!$A:$AM,MATCH(DF$1,  Feature_List!$A$1:$AM$1,0),0)=AX63,".","NO"))</f>
        <v>.</v>
      </c>
      <c r="DG63" s="136" t="str">
        <f>IF($D63&lt;&gt;"Feature",".",
IF(VLOOKUP($B63,Feature_List!$A:$AM,MATCH(DG$1,  Feature_List!$A$1:$AM$1,0),0)=AY63,".","NO"))</f>
        <v>.</v>
      </c>
      <c r="DH63" s="136" t="str">
        <f>IF($D63&lt;&gt;"Feature",".",
IF(VLOOKUP($B63,Feature_List!$A:$AM,MATCH(DH$1,  Feature_List!$A$1:$AM$1,0),0)=AZ63,".","NO"))</f>
        <v>.</v>
      </c>
      <c r="DI63" s="136" t="str">
        <f>IF($D63&lt;&gt;"Feature",".",
IF(VLOOKUP($B63,Feature_List!$A:$AM,MATCH(DI$1,  Feature_List!$A$1:$AM$1,0),0)=BA63,".","NO"))</f>
        <v>.</v>
      </c>
      <c r="DJ63" s="136" t="str">
        <f>IF($D63&lt;&gt;"Feature",".",
IF(VLOOKUP($B63,Feature_List!$A:$AM,MATCH(DJ$1,  Feature_List!$A$1:$AM$1,0),0)=BB63,".","NO"))</f>
        <v>.</v>
      </c>
      <c r="DK63" s="136"/>
      <c r="DL63" s="136"/>
      <c r="DM63" s="136"/>
      <c r="DN63" s="136" t="str">
        <f>IF($D63&lt;&gt;"Feature",".",
IF(VLOOKUP($B63,Feature_List!$A:$AM,MATCH(DN$1,  Feature_List!$A$1:$AM$1,0),0)=BC63,".","NO"))</f>
        <v>.</v>
      </c>
      <c r="DO63" s="136" t="str">
        <f>IF($D63&lt;&gt;"Feature",".",
IF(VLOOKUP($B63,Feature_List!$A:$AM,MATCH(DO$1,  Feature_List!$A$1:$AM$1,0),0)=BD63,".","NO"))</f>
        <v>.</v>
      </c>
    </row>
    <row r="64" spans="2:119" x14ac:dyDescent="0.3">
      <c r="B64" s="121">
        <v>318440</v>
      </c>
      <c r="C64" s="122" t="s">
        <v>604</v>
      </c>
      <c r="D64" s="122" t="s">
        <v>71</v>
      </c>
      <c r="E64" s="122" t="s">
        <v>733</v>
      </c>
      <c r="F64" s="138" t="s">
        <v>646</v>
      </c>
      <c r="G64" s="123" t="s">
        <v>646</v>
      </c>
      <c r="H64" s="122" t="s">
        <v>70</v>
      </c>
      <c r="I64" s="124" t="s">
        <v>562</v>
      </c>
      <c r="J64" s="138"/>
      <c r="K64" s="123">
        <v>5</v>
      </c>
      <c r="L64" s="122"/>
      <c r="M64" s="122" t="s">
        <v>676</v>
      </c>
      <c r="N64" s="125"/>
      <c r="O64" s="123">
        <f t="shared" si="0"/>
        <v>5</v>
      </c>
      <c r="P64" s="123" t="str">
        <f t="shared" si="1"/>
        <v>New</v>
      </c>
      <c r="Q64" s="122" t="str">
        <f t="shared" si="24"/>
        <v>Story</v>
      </c>
      <c r="R64" s="126">
        <f t="shared" si="2"/>
        <v>318430</v>
      </c>
      <c r="S64" s="127">
        <f t="shared" si="3"/>
        <v>318440</v>
      </c>
      <c r="T64" s="128" t="e">
        <f>IF($Q64="ZeroEntry", "",VLOOKUP($I64,'Ranking Lookup'!#REF!,2,FALSE))</f>
        <v>#REF!</v>
      </c>
      <c r="U64" s="129" t="str">
        <f t="shared" si="4"/>
        <v/>
      </c>
      <c r="V64" s="129" t="str">
        <f t="shared" si="5"/>
        <v/>
      </c>
      <c r="W64" s="129" t="str">
        <f t="shared" si="6"/>
        <v/>
      </c>
      <c r="X64" s="129" t="str">
        <f t="shared" si="7"/>
        <v/>
      </c>
      <c r="Y64" s="129" t="str">
        <f t="shared" si="8"/>
        <v>Feature</v>
      </c>
      <c r="Z64" s="129" t="str">
        <f t="shared" si="9"/>
        <v/>
      </c>
      <c r="AA64" s="130"/>
      <c r="AB64" s="130" t="str">
        <f t="shared" si="10"/>
        <v>PI 12</v>
      </c>
      <c r="AC64" s="131">
        <f t="shared" si="25"/>
        <v>5</v>
      </c>
      <c r="AD64" s="131">
        <f t="shared" si="26"/>
        <v>0</v>
      </c>
      <c r="AE64" s="132">
        <f t="shared" si="11"/>
        <v>0</v>
      </c>
      <c r="AF64" s="133" t="str">
        <f t="shared" si="27"/>
        <v/>
      </c>
      <c r="AG64" s="134">
        <f t="shared" si="12"/>
        <v>0</v>
      </c>
      <c r="AH64" s="54" t="str">
        <f t="shared" si="13"/>
        <v/>
      </c>
      <c r="AI64" s="54" t="e">
        <f t="shared" si="35"/>
        <v>#REF!</v>
      </c>
      <c r="AJ64" s="54" t="e">
        <f t="shared" si="35"/>
        <v>#REF!</v>
      </c>
      <c r="AK64" s="54" t="e">
        <f t="shared" si="35"/>
        <v>#REF!</v>
      </c>
      <c r="AL64" s="54" t="e">
        <f t="shared" si="35"/>
        <v>#REF!</v>
      </c>
      <c r="AM64" s="54" t="e">
        <f t="shared" si="35"/>
        <v>#REF!</v>
      </c>
      <c r="AN64" s="54" t="e">
        <f t="shared" si="35"/>
        <v>#REF!</v>
      </c>
      <c r="AO64" s="54" t="e">
        <f t="shared" si="35"/>
        <v>#REF!</v>
      </c>
      <c r="AP64" s="54" t="e">
        <f t="shared" si="35"/>
        <v>#REF!</v>
      </c>
      <c r="AQ64" s="54" t="e">
        <f t="shared" si="35"/>
        <v>#REF!</v>
      </c>
      <c r="AR64" s="54" t="e">
        <f t="shared" si="35"/>
        <v>#REF!</v>
      </c>
      <c r="AS64" s="54" t="e">
        <f t="shared" si="35"/>
        <v>#REF!</v>
      </c>
      <c r="AT64" s="54" t="e">
        <f t="shared" si="35"/>
        <v>#REF!</v>
      </c>
      <c r="AU64" s="54" t="e">
        <f t="shared" si="35"/>
        <v>#REF!</v>
      </c>
      <c r="AV64" s="54" t="e">
        <f t="shared" si="35"/>
        <v>#REF!</v>
      </c>
      <c r="AW64" s="54" t="e">
        <f t="shared" si="35"/>
        <v>#REF!</v>
      </c>
      <c r="AX64" s="54" t="e">
        <f t="shared" si="35"/>
        <v>#REF!</v>
      </c>
      <c r="AY64" s="54" t="e">
        <f t="shared" si="15"/>
        <v>#REF!</v>
      </c>
      <c r="AZ64" s="54" t="str">
        <f t="shared" si="16"/>
        <v/>
      </c>
      <c r="BA64" s="54" t="e">
        <f t="shared" si="17"/>
        <v>#REF!</v>
      </c>
      <c r="BB64" s="135" t="str">
        <f t="shared" si="18"/>
        <v/>
      </c>
      <c r="BC64" s="54" t="e">
        <f t="shared" si="36"/>
        <v>#REF!</v>
      </c>
      <c r="BD64" s="54" t="e">
        <f t="shared" si="36"/>
        <v>#REF!</v>
      </c>
      <c r="BE64" s="54" t="e">
        <f t="shared" si="36"/>
        <v>#REF!</v>
      </c>
      <c r="BF64" s="54" t="str">
        <f t="shared" si="20"/>
        <v/>
      </c>
      <c r="BG64" s="54" t="str">
        <f t="shared" si="21"/>
        <v/>
      </c>
      <c r="BH64" s="34" t="e">
        <f t="shared" si="22"/>
        <v>#REF!</v>
      </c>
      <c r="BI64" s="34" t="e">
        <f t="shared" si="23"/>
        <v>#REF!</v>
      </c>
      <c r="BJ64" s="136" t="str">
        <f>IF($D64&lt;&gt;"Feature",".",
IF(VLOOKUP($B64,Feature_List!$A:$AM,MATCH(BJ$1,  Feature_List!$A$1:$AM$1,0),0)=B64,".","NO"))</f>
        <v>.</v>
      </c>
      <c r="BK64" s="136"/>
      <c r="BL64" s="136"/>
      <c r="BM64" s="136" t="str">
        <f>IF($D64&lt;&gt;"Feature",".",
IF(VLOOKUP($B64,Feature_List!$A:$AM,MATCH(BM$1,  Feature_List!$A$1:$AM$1,0),0)=E64,".","NO"))</f>
        <v>.</v>
      </c>
      <c r="BN64" s="136" t="str">
        <f>IF($D64&lt;&gt;"Feature",".",
IF(VLOOKUP($B64,Feature_List!$A:$AM,MATCH(BN$1,  Feature_List!$A$1:$AM$1,0),0)=F64,".","NO"))</f>
        <v>.</v>
      </c>
      <c r="BO64" s="136" t="str">
        <f>IF($D64&lt;&gt;"Feature",".",
IF(VLOOKUP($B64,Feature_List!$A:$AM,MATCH(BO$1,  Feature_List!$A$1:$AM$1,0),0)=G64,".","NO"))</f>
        <v>.</v>
      </c>
      <c r="BP64" s="136" t="str">
        <f>IF($D64&lt;&gt;"Feature",".",
IF(VLOOKUP($B64,Feature_List!$A:$AM,MATCH(BP$1,  Feature_List!$A$1:$AM$1,0),0)=H64,".","NO"))</f>
        <v>.</v>
      </c>
      <c r="BQ64" s="136"/>
      <c r="BR64" s="136" t="str">
        <f>IF($D64&lt;&gt;"Feature",".",
IF(VLOOKUP($B64,Feature_List!$A:$AM,MATCH(BR$1,  Feature_List!$A$1:$AM$1,0),0)=J64,".","NO"))</f>
        <v>.</v>
      </c>
      <c r="BS64" s="136"/>
      <c r="BT64" s="136"/>
      <c r="BU64" s="136" t="str">
        <f>IF($D64&lt;&gt;"Feature",".",
IF(VLOOKUP($B64,Feature_List!$A:$AM,MATCH(BU$1,  Feature_List!$A$1:$AM$1,0),0)=M64,".","NO"))</f>
        <v>.</v>
      </c>
      <c r="BV64" s="136" t="str">
        <f>IF($D64&lt;&gt;"Feature",".",
IF(VLOOKUP($B64,Feature_List!$A:$AM,MATCH(BV$1,  Feature_List!$A$1:$AM$1,0),0)=N64,".","NO"))</f>
        <v>.</v>
      </c>
      <c r="BW64" s="136"/>
      <c r="BX64" s="136"/>
      <c r="BY64" s="136"/>
      <c r="BZ64" s="136"/>
      <c r="CA64" s="136"/>
      <c r="CB64" s="136" t="str">
        <f>IF($D64&lt;&gt;"Feature",".",
IF(VLOOKUP($B64,Feature_List!$A:$AM,MATCH(CB$1,  Feature_List!$A$1:$AM$1,0),0)=T64,".","NO"))</f>
        <v>.</v>
      </c>
      <c r="CC64" s="136"/>
      <c r="CD64" s="136"/>
      <c r="CE64" s="136"/>
      <c r="CF64" s="136"/>
      <c r="CG64" s="136"/>
      <c r="CH64" s="136"/>
      <c r="CI64" s="136"/>
      <c r="CJ64" s="136"/>
      <c r="CK64" s="136"/>
      <c r="CL64" s="136"/>
      <c r="CM64" s="136"/>
      <c r="CN64" s="136"/>
      <c r="CO64" s="136" t="str">
        <f>IF($D64&lt;&gt;"Feature",".",
IF(VLOOKUP($B64,Feature_List!$A:$AM,MATCH(CO$1,  Feature_List!$A$1:$AM$1,0),0)=AG64,".","NO"))</f>
        <v>.</v>
      </c>
      <c r="CP64" s="136" t="str">
        <f>IF($D64&lt;&gt;"Feature",".",
IF(VLOOKUP($B64,Feature_List!$A:$AM,MATCH(CP$1,  Feature_List!$A$1:$AM$1,0),0)=AH64,".","NO"))</f>
        <v>.</v>
      </c>
      <c r="CQ64" s="136" t="str">
        <f>IF($D64&lt;&gt;"Feature",".",
IF(VLOOKUP($B64,Feature_List!$A:$AM,MATCH(CQ$1,  Feature_List!$A$1:$AM$1,0),0)=AI64,".","NO"))</f>
        <v>.</v>
      </c>
      <c r="CR64" s="136" t="str">
        <f>IF($D64&lt;&gt;"Feature",".",
IF(VLOOKUP($B64,Feature_List!$A:$AM,MATCH(CR$1,  Feature_List!$A$1:$AM$1,0),0)=AJ64,".","NO"))</f>
        <v>.</v>
      </c>
      <c r="CS64" s="136" t="str">
        <f>IF($D64&lt;&gt;"Feature",".",
IF(VLOOKUP($B64,Feature_List!$A:$AM,MATCH(CS$1,  Feature_List!$A$1:$AM$1,0),0)=AK64,".","NO"))</f>
        <v>.</v>
      </c>
      <c r="CT64" s="136" t="str">
        <f>IF($D64&lt;&gt;"Feature",".",
IF(VLOOKUP($B64,Feature_List!$A:$AM,MATCH(CT$1,  Feature_List!$A$1:$AM$1,0),0)=AL64,".","NO"))</f>
        <v>.</v>
      </c>
      <c r="CU64" s="136" t="str">
        <f>IF($D64&lt;&gt;"Feature",".",
IF(VLOOKUP($B64,Feature_List!$A:$AM,MATCH(CU$1,  Feature_List!$A$1:$AM$1,0),0)=AM64,".","NO"))</f>
        <v>.</v>
      </c>
      <c r="CV64" s="136" t="str">
        <f>IF($D64&lt;&gt;"Feature",".",
IF(VLOOKUP($B64,Feature_List!$A:$AM,MATCH(CV$1,  Feature_List!$A$1:$AM$1,0),0)=AN64,".","NO"))</f>
        <v>.</v>
      </c>
      <c r="CW64" s="136" t="str">
        <f>IF($D64&lt;&gt;"Feature",".",
IF(VLOOKUP($B64,Feature_List!$A:$AM,MATCH(CW$1,  Feature_List!$A$1:$AM$1,0),0)=AO64,".","NO"))</f>
        <v>.</v>
      </c>
      <c r="CX64" s="136" t="str">
        <f>IF($D64&lt;&gt;"Feature",".",
IF(VLOOKUP($B64,Feature_List!$A:$AM,MATCH(CX$1,  Feature_List!$A$1:$AM$1,0),0)=AP64,".","NO"))</f>
        <v>.</v>
      </c>
      <c r="CY64" s="136" t="str">
        <f>IF($D64&lt;&gt;"Feature",".",
IF(VLOOKUP($B64,Feature_List!$A:$AM,MATCH(CY$1,  Feature_List!$A$1:$AM$1,0),0)=AQ64,".","NO"))</f>
        <v>.</v>
      </c>
      <c r="CZ64" s="136" t="str">
        <f>IF($D64&lt;&gt;"Feature",".",
IF(VLOOKUP($B64,Feature_List!$A:$AM,MATCH(CZ$1,  Feature_List!$A$1:$AM$1,0),0)=AR64,".","NO"))</f>
        <v>.</v>
      </c>
      <c r="DA64" s="136" t="str">
        <f>IF($D64&lt;&gt;"Feature",".",
IF(VLOOKUP($B64,Feature_List!$A:$AM,MATCH(DA$1,  Feature_List!$A$1:$AM$1,0),0)=AS64,".","NO"))</f>
        <v>.</v>
      </c>
      <c r="DB64" s="136" t="str">
        <f>IF($D64&lt;&gt;"Feature",".",
IF(VLOOKUP($B64,Feature_List!$A:$AM,MATCH(DB$1,  Feature_List!$A$1:$AM$1,0),0)=AT64,".","NO"))</f>
        <v>.</v>
      </c>
      <c r="DC64" s="136" t="str">
        <f>IF($D64&lt;&gt;"Feature",".",
IF(VLOOKUP($B64,Feature_List!$A:$AM,MATCH(DC$1,  Feature_List!$A$1:$AM$1,0),0)=AU64,".","NO"))</f>
        <v>.</v>
      </c>
      <c r="DD64" s="136" t="str">
        <f>IF($D64&lt;&gt;"Feature",".",
IF(VLOOKUP($B64,Feature_List!$A:$AM,MATCH(DD$1,  Feature_List!$A$1:$AM$1,0),0)=AV64,".","NO"))</f>
        <v>.</v>
      </c>
      <c r="DE64" s="136" t="str">
        <f>IF($D64&lt;&gt;"Feature",".",
IF(VLOOKUP($B64,Feature_List!$A:$AM,MATCH(DE$1,  Feature_List!$A$1:$AM$1,0),0)=AW64,".","NO"))</f>
        <v>.</v>
      </c>
      <c r="DF64" s="136" t="str">
        <f>IF($D64&lt;&gt;"Feature",".",
IF(VLOOKUP($B64,Feature_List!$A:$AM,MATCH(DF$1,  Feature_List!$A$1:$AM$1,0),0)=AX64,".","NO"))</f>
        <v>.</v>
      </c>
      <c r="DG64" s="136" t="str">
        <f>IF($D64&lt;&gt;"Feature",".",
IF(VLOOKUP($B64,Feature_List!$A:$AM,MATCH(DG$1,  Feature_List!$A$1:$AM$1,0),0)=AY64,".","NO"))</f>
        <v>.</v>
      </c>
      <c r="DH64" s="136" t="str">
        <f>IF($D64&lt;&gt;"Feature",".",
IF(VLOOKUP($B64,Feature_List!$A:$AM,MATCH(DH$1,  Feature_List!$A$1:$AM$1,0),0)=AZ64,".","NO"))</f>
        <v>.</v>
      </c>
      <c r="DI64" s="136" t="str">
        <f>IF($D64&lt;&gt;"Feature",".",
IF(VLOOKUP($B64,Feature_List!$A:$AM,MATCH(DI$1,  Feature_List!$A$1:$AM$1,0),0)=BA64,".","NO"))</f>
        <v>.</v>
      </c>
      <c r="DJ64" s="136" t="str">
        <f>IF($D64&lt;&gt;"Feature",".",
IF(VLOOKUP($B64,Feature_List!$A:$AM,MATCH(DJ$1,  Feature_List!$A$1:$AM$1,0),0)=BB64,".","NO"))</f>
        <v>.</v>
      </c>
      <c r="DK64" s="136"/>
      <c r="DL64" s="136"/>
      <c r="DM64" s="136"/>
      <c r="DN64" s="136" t="str">
        <f>IF($D64&lt;&gt;"Feature",".",
IF(VLOOKUP($B64,Feature_List!$A:$AM,MATCH(DN$1,  Feature_List!$A$1:$AM$1,0),0)=BC64,".","NO"))</f>
        <v>.</v>
      </c>
      <c r="DO64" s="136" t="str">
        <f>IF($D64&lt;&gt;"Feature",".",
IF(VLOOKUP($B64,Feature_List!$A:$AM,MATCH(DO$1,  Feature_List!$A$1:$AM$1,0),0)=BD64,".","NO"))</f>
        <v>.</v>
      </c>
    </row>
    <row r="65" spans="2:119" x14ac:dyDescent="0.3">
      <c r="B65" s="121">
        <v>318439</v>
      </c>
      <c r="C65" s="122" t="s">
        <v>604</v>
      </c>
      <c r="D65" s="122" t="s">
        <v>71</v>
      </c>
      <c r="E65" s="122" t="s">
        <v>734</v>
      </c>
      <c r="F65" s="138" t="s">
        <v>652</v>
      </c>
      <c r="G65" s="123" t="s">
        <v>652</v>
      </c>
      <c r="H65" s="122" t="s">
        <v>70</v>
      </c>
      <c r="I65" s="124" t="s">
        <v>562</v>
      </c>
      <c r="J65" s="138"/>
      <c r="K65" s="123">
        <v>1</v>
      </c>
      <c r="L65" s="122"/>
      <c r="M65" s="122" t="s">
        <v>598</v>
      </c>
      <c r="N65" s="125" t="s">
        <v>651</v>
      </c>
      <c r="O65" s="123">
        <f t="shared" si="0"/>
        <v>1</v>
      </c>
      <c r="P65" s="123" t="str">
        <f t="shared" si="1"/>
        <v>New</v>
      </c>
      <c r="Q65" s="122" t="str">
        <f t="shared" si="24"/>
        <v>Story</v>
      </c>
      <c r="R65" s="126">
        <f t="shared" si="2"/>
        <v>318430</v>
      </c>
      <c r="S65" s="127">
        <f t="shared" si="3"/>
        <v>318439</v>
      </c>
      <c r="T65" s="128" t="e">
        <f>IF($Q65="ZeroEntry", "",VLOOKUP($I65,'Ranking Lookup'!#REF!,2,FALSE))</f>
        <v>#REF!</v>
      </c>
      <c r="U65" s="129" t="str">
        <f t="shared" si="4"/>
        <v/>
      </c>
      <c r="V65" s="129" t="str">
        <f t="shared" si="5"/>
        <v/>
      </c>
      <c r="W65" s="129" t="str">
        <f t="shared" si="6"/>
        <v/>
      </c>
      <c r="X65" s="129" t="str">
        <f t="shared" si="7"/>
        <v/>
      </c>
      <c r="Y65" s="129" t="str">
        <f t="shared" si="8"/>
        <v>Feature</v>
      </c>
      <c r="Z65" s="129" t="str">
        <f t="shared" si="9"/>
        <v/>
      </c>
      <c r="AA65" s="130"/>
      <c r="AB65" s="130" t="str">
        <f t="shared" si="10"/>
        <v>PI 12</v>
      </c>
      <c r="AC65" s="131">
        <f t="shared" si="25"/>
        <v>1</v>
      </c>
      <c r="AD65" s="131">
        <f t="shared" si="26"/>
        <v>0</v>
      </c>
      <c r="AE65" s="132">
        <f t="shared" si="11"/>
        <v>0</v>
      </c>
      <c r="AF65" s="133" t="str">
        <f t="shared" si="27"/>
        <v/>
      </c>
      <c r="AG65" s="134">
        <f t="shared" si="12"/>
        <v>0</v>
      </c>
      <c r="AH65" s="54" t="str">
        <f t="shared" si="13"/>
        <v/>
      </c>
      <c r="AI65" s="54" t="e">
        <f t="shared" si="35"/>
        <v>#REF!</v>
      </c>
      <c r="AJ65" s="54" t="e">
        <f t="shared" si="35"/>
        <v>#REF!</v>
      </c>
      <c r="AK65" s="54" t="e">
        <f t="shared" si="35"/>
        <v>#REF!</v>
      </c>
      <c r="AL65" s="54" t="e">
        <f t="shared" si="35"/>
        <v>#REF!</v>
      </c>
      <c r="AM65" s="54" t="e">
        <f t="shared" si="35"/>
        <v>#REF!</v>
      </c>
      <c r="AN65" s="54" t="e">
        <f t="shared" si="35"/>
        <v>#REF!</v>
      </c>
      <c r="AO65" s="54" t="e">
        <f t="shared" si="35"/>
        <v>#REF!</v>
      </c>
      <c r="AP65" s="54" t="e">
        <f t="shared" si="35"/>
        <v>#REF!</v>
      </c>
      <c r="AQ65" s="54" t="e">
        <f t="shared" si="35"/>
        <v>#REF!</v>
      </c>
      <c r="AR65" s="54" t="e">
        <f t="shared" si="35"/>
        <v>#REF!</v>
      </c>
      <c r="AS65" s="54" t="e">
        <f t="shared" si="35"/>
        <v>#REF!</v>
      </c>
      <c r="AT65" s="54" t="e">
        <f t="shared" si="35"/>
        <v>#REF!</v>
      </c>
      <c r="AU65" s="54" t="e">
        <f t="shared" si="35"/>
        <v>#REF!</v>
      </c>
      <c r="AV65" s="54" t="e">
        <f t="shared" si="35"/>
        <v>#REF!</v>
      </c>
      <c r="AW65" s="54" t="e">
        <f t="shared" si="35"/>
        <v>#REF!</v>
      </c>
      <c r="AX65" s="54" t="e">
        <f t="shared" ref="AX65" si="37">IF(AND($Q65="Feature",LEFT($AB65,2)="PI"),
IF(AND(COUNTIF($R:$R,$B65)=1,$T65=AX$1), IF($AB65=$A$10,$AF65,0),
IF(OR($AD65&lt;1,RIGHT($G65,8)="Progress",$AH65&gt;0),SUMIFS($O:$O,$R:$R,$B65,$T:$T,AX$1,$P:$P,"&lt;&gt;Done",$AB:$AB,$A$10),
IF($T65=AX$1,IF($AB65=$A$10,$AD65,0)+SUMIFS($O:$O,$R:$R,$B65,$T:$T,AX$1,$P:$P,"&lt;&gt;Done",$AB:$AB,$A$10),SUMIFS($O:$O,$R:$R,$B65,$T:$T,AX$1,$P:$P,"&lt;&gt;Done",$AB:$AB,$A$10)))),
IF(AND(OR($Q65="Story",$Q65="Problem",$Q65="Enhancement"),$AB65=$A$10,$R65=0,$T65=AX$1,$P65&lt;&gt;"Done"),$O65,""))</f>
        <v>#REF!</v>
      </c>
      <c r="AY65" s="54" t="e">
        <f t="shared" si="15"/>
        <v>#REF!</v>
      </c>
      <c r="AZ65" s="54" t="str">
        <f t="shared" si="16"/>
        <v/>
      </c>
      <c r="BA65" s="54" t="e">
        <f t="shared" si="17"/>
        <v>#REF!</v>
      </c>
      <c r="BB65" s="135" t="str">
        <f t="shared" si="18"/>
        <v/>
      </c>
      <c r="BC65" s="54" t="e">
        <f t="shared" si="36"/>
        <v>#REF!</v>
      </c>
      <c r="BD65" s="54" t="e">
        <f t="shared" si="36"/>
        <v>#REF!</v>
      </c>
      <c r="BE65" s="54" t="e">
        <f t="shared" si="36"/>
        <v>#REF!</v>
      </c>
      <c r="BF65" s="54" t="str">
        <f t="shared" si="20"/>
        <v/>
      </c>
      <c r="BG65" s="54" t="str">
        <f t="shared" si="21"/>
        <v/>
      </c>
      <c r="BH65" s="34" t="e">
        <f t="shared" si="22"/>
        <v>#REF!</v>
      </c>
      <c r="BI65" s="34" t="e">
        <f t="shared" si="23"/>
        <v>#REF!</v>
      </c>
      <c r="BJ65" s="136" t="str">
        <f>IF($D65&lt;&gt;"Feature",".",
IF(VLOOKUP($B65,Feature_List!$A:$AM,MATCH(BJ$1,  Feature_List!$A$1:$AM$1,0),0)=B65,".","NO"))</f>
        <v>.</v>
      </c>
      <c r="BK65" s="136"/>
      <c r="BL65" s="136"/>
      <c r="BM65" s="136" t="str">
        <f>IF($D65&lt;&gt;"Feature",".",
IF(VLOOKUP($B65,Feature_List!$A:$AM,MATCH(BM$1,  Feature_List!$A$1:$AM$1,0),0)=E65,".","NO"))</f>
        <v>.</v>
      </c>
      <c r="BN65" s="136" t="str">
        <f>IF($D65&lt;&gt;"Feature",".",
IF(VLOOKUP($B65,Feature_List!$A:$AM,MATCH(BN$1,  Feature_List!$A$1:$AM$1,0),0)=F65,".","NO"))</f>
        <v>.</v>
      </c>
      <c r="BO65" s="136" t="str">
        <f>IF($D65&lt;&gt;"Feature",".",
IF(VLOOKUP($B65,Feature_List!$A:$AM,MATCH(BO$1,  Feature_List!$A$1:$AM$1,0),0)=G65,".","NO"))</f>
        <v>.</v>
      </c>
      <c r="BP65" s="136" t="str">
        <f>IF($D65&lt;&gt;"Feature",".",
IF(VLOOKUP($B65,Feature_List!$A:$AM,MATCH(BP$1,  Feature_List!$A$1:$AM$1,0),0)=H65,".","NO"))</f>
        <v>.</v>
      </c>
      <c r="BQ65" s="136"/>
      <c r="BR65" s="136" t="str">
        <f>IF($D65&lt;&gt;"Feature",".",
IF(VLOOKUP($B65,Feature_List!$A:$AM,MATCH(BR$1,  Feature_List!$A$1:$AM$1,0),0)=J65,".","NO"))</f>
        <v>.</v>
      </c>
      <c r="BS65" s="136"/>
      <c r="BT65" s="136"/>
      <c r="BU65" s="136" t="str">
        <f>IF($D65&lt;&gt;"Feature",".",
IF(VLOOKUP($B65,Feature_List!$A:$AM,MATCH(BU$1,  Feature_List!$A$1:$AM$1,0),0)=M65,".","NO"))</f>
        <v>.</v>
      </c>
      <c r="BV65" s="136" t="str">
        <f>IF($D65&lt;&gt;"Feature",".",
IF(VLOOKUP($B65,Feature_List!$A:$AM,MATCH(BV$1,  Feature_List!$A$1:$AM$1,0),0)=N65,".","NO"))</f>
        <v>.</v>
      </c>
      <c r="BW65" s="136"/>
      <c r="BX65" s="136"/>
      <c r="BY65" s="136"/>
      <c r="BZ65" s="136"/>
      <c r="CA65" s="136"/>
      <c r="CB65" s="136" t="str">
        <f>IF($D65&lt;&gt;"Feature",".",
IF(VLOOKUP($B65,Feature_List!$A:$AM,MATCH(CB$1,  Feature_List!$A$1:$AM$1,0),0)=T65,".","NO"))</f>
        <v>.</v>
      </c>
      <c r="CC65" s="136"/>
      <c r="CD65" s="136"/>
      <c r="CE65" s="136"/>
      <c r="CF65" s="136"/>
      <c r="CG65" s="136"/>
      <c r="CH65" s="136"/>
      <c r="CI65" s="136"/>
      <c r="CJ65" s="136"/>
      <c r="CK65" s="136"/>
      <c r="CL65" s="136"/>
      <c r="CM65" s="136"/>
      <c r="CN65" s="136"/>
      <c r="CO65" s="136" t="str">
        <f>IF($D65&lt;&gt;"Feature",".",
IF(VLOOKUP($B65,Feature_List!$A:$AM,MATCH(CO$1,  Feature_List!$A$1:$AM$1,0),0)=AG65,".","NO"))</f>
        <v>.</v>
      </c>
      <c r="CP65" s="136" t="str">
        <f>IF($D65&lt;&gt;"Feature",".",
IF(VLOOKUP($B65,Feature_List!$A:$AM,MATCH(CP$1,  Feature_List!$A$1:$AM$1,0),0)=AH65,".","NO"))</f>
        <v>.</v>
      </c>
      <c r="CQ65" s="136" t="str">
        <f>IF($D65&lt;&gt;"Feature",".",
IF(VLOOKUP($B65,Feature_List!$A:$AM,MATCH(CQ$1,  Feature_List!$A$1:$AM$1,0),0)=AI65,".","NO"))</f>
        <v>.</v>
      </c>
      <c r="CR65" s="136" t="str">
        <f>IF($D65&lt;&gt;"Feature",".",
IF(VLOOKUP($B65,Feature_List!$A:$AM,MATCH(CR$1,  Feature_List!$A$1:$AM$1,0),0)=AJ65,".","NO"))</f>
        <v>.</v>
      </c>
      <c r="CS65" s="136" t="str">
        <f>IF($D65&lt;&gt;"Feature",".",
IF(VLOOKUP($B65,Feature_List!$A:$AM,MATCH(CS$1,  Feature_List!$A$1:$AM$1,0),0)=AK65,".","NO"))</f>
        <v>.</v>
      </c>
      <c r="CT65" s="136" t="str">
        <f>IF($D65&lt;&gt;"Feature",".",
IF(VLOOKUP($B65,Feature_List!$A:$AM,MATCH(CT$1,  Feature_List!$A$1:$AM$1,0),0)=AL65,".","NO"))</f>
        <v>.</v>
      </c>
      <c r="CU65" s="136" t="str">
        <f>IF($D65&lt;&gt;"Feature",".",
IF(VLOOKUP($B65,Feature_List!$A:$AM,MATCH(CU$1,  Feature_List!$A$1:$AM$1,0),0)=AM65,".","NO"))</f>
        <v>.</v>
      </c>
      <c r="CV65" s="136" t="str">
        <f>IF($D65&lt;&gt;"Feature",".",
IF(VLOOKUP($B65,Feature_List!$A:$AM,MATCH(CV$1,  Feature_List!$A$1:$AM$1,0),0)=AN65,".","NO"))</f>
        <v>.</v>
      </c>
      <c r="CW65" s="136" t="str">
        <f>IF($D65&lt;&gt;"Feature",".",
IF(VLOOKUP($B65,Feature_List!$A:$AM,MATCH(CW$1,  Feature_List!$A$1:$AM$1,0),0)=AO65,".","NO"))</f>
        <v>.</v>
      </c>
      <c r="CX65" s="136" t="str">
        <f>IF($D65&lt;&gt;"Feature",".",
IF(VLOOKUP($B65,Feature_List!$A:$AM,MATCH(CX$1,  Feature_List!$A$1:$AM$1,0),0)=AP65,".","NO"))</f>
        <v>.</v>
      </c>
      <c r="CY65" s="136" t="str">
        <f>IF($D65&lt;&gt;"Feature",".",
IF(VLOOKUP($B65,Feature_List!$A:$AM,MATCH(CY$1,  Feature_List!$A$1:$AM$1,0),0)=AQ65,".","NO"))</f>
        <v>.</v>
      </c>
      <c r="CZ65" s="136" t="str">
        <f>IF($D65&lt;&gt;"Feature",".",
IF(VLOOKUP($B65,Feature_List!$A:$AM,MATCH(CZ$1,  Feature_List!$A$1:$AM$1,0),0)=AR65,".","NO"))</f>
        <v>.</v>
      </c>
      <c r="DA65" s="136" t="str">
        <f>IF($D65&lt;&gt;"Feature",".",
IF(VLOOKUP($B65,Feature_List!$A:$AM,MATCH(DA$1,  Feature_List!$A$1:$AM$1,0),0)=AS65,".","NO"))</f>
        <v>.</v>
      </c>
      <c r="DB65" s="136" t="str">
        <f>IF($D65&lt;&gt;"Feature",".",
IF(VLOOKUP($B65,Feature_List!$A:$AM,MATCH(DB$1,  Feature_List!$A$1:$AM$1,0),0)=AT65,".","NO"))</f>
        <v>.</v>
      </c>
      <c r="DC65" s="136" t="str">
        <f>IF($D65&lt;&gt;"Feature",".",
IF(VLOOKUP($B65,Feature_List!$A:$AM,MATCH(DC$1,  Feature_List!$A$1:$AM$1,0),0)=AU65,".","NO"))</f>
        <v>.</v>
      </c>
      <c r="DD65" s="136" t="str">
        <f>IF($D65&lt;&gt;"Feature",".",
IF(VLOOKUP($B65,Feature_List!$A:$AM,MATCH(DD$1,  Feature_List!$A$1:$AM$1,0),0)=AV65,".","NO"))</f>
        <v>.</v>
      </c>
      <c r="DE65" s="136" t="str">
        <f>IF($D65&lt;&gt;"Feature",".",
IF(VLOOKUP($B65,Feature_List!$A:$AM,MATCH(DE$1,  Feature_List!$A$1:$AM$1,0),0)=AW65,".","NO"))</f>
        <v>.</v>
      </c>
      <c r="DF65" s="136" t="str">
        <f>IF($D65&lt;&gt;"Feature",".",
IF(VLOOKUP($B65,Feature_List!$A:$AM,MATCH(DF$1,  Feature_List!$A$1:$AM$1,0),0)=AX65,".","NO"))</f>
        <v>.</v>
      </c>
      <c r="DG65" s="136" t="str">
        <f>IF($D65&lt;&gt;"Feature",".",
IF(VLOOKUP($B65,Feature_List!$A:$AM,MATCH(DG$1,  Feature_List!$A$1:$AM$1,0),0)=AY65,".","NO"))</f>
        <v>.</v>
      </c>
      <c r="DH65" s="136" t="str">
        <f>IF($D65&lt;&gt;"Feature",".",
IF(VLOOKUP($B65,Feature_List!$A:$AM,MATCH(DH$1,  Feature_List!$A$1:$AM$1,0),0)=AZ65,".","NO"))</f>
        <v>.</v>
      </c>
      <c r="DI65" s="136" t="str">
        <f>IF($D65&lt;&gt;"Feature",".",
IF(VLOOKUP($B65,Feature_List!$A:$AM,MATCH(DI$1,  Feature_List!$A$1:$AM$1,0),0)=BA65,".","NO"))</f>
        <v>.</v>
      </c>
      <c r="DJ65" s="136" t="str">
        <f>IF($D65&lt;&gt;"Feature",".",
IF(VLOOKUP($B65,Feature_List!$A:$AM,MATCH(DJ$1,  Feature_List!$A$1:$AM$1,0),0)=BB65,".","NO"))</f>
        <v>.</v>
      </c>
      <c r="DK65" s="136"/>
      <c r="DL65" s="136"/>
      <c r="DM65" s="136"/>
      <c r="DN65" s="136" t="str">
        <f>IF($D65&lt;&gt;"Feature",".",
IF(VLOOKUP($B65,Feature_List!$A:$AM,MATCH(DN$1,  Feature_List!$A$1:$AM$1,0),0)=BC65,".","NO"))</f>
        <v>.</v>
      </c>
      <c r="DO65" s="136" t="str">
        <f>IF($D65&lt;&gt;"Feature",".",
IF(VLOOKUP($B65,Feature_List!$A:$AM,MATCH(DO$1,  Feature_List!$A$1:$AM$1,0),0)=BD65,".","NO"))</f>
        <v>.</v>
      </c>
    </row>
    <row r="66" spans="2:119" x14ac:dyDescent="0.3">
      <c r="B66" s="121">
        <v>318438</v>
      </c>
      <c r="C66" s="122" t="s">
        <v>604</v>
      </c>
      <c r="D66" s="122" t="s">
        <v>71</v>
      </c>
      <c r="E66" s="122" t="s">
        <v>735</v>
      </c>
      <c r="F66" s="138" t="s">
        <v>656</v>
      </c>
      <c r="G66" s="123" t="s">
        <v>656</v>
      </c>
      <c r="H66" s="122" t="s">
        <v>70</v>
      </c>
      <c r="I66" s="124" t="s">
        <v>126</v>
      </c>
      <c r="J66" s="138"/>
      <c r="K66" s="123">
        <v>2</v>
      </c>
      <c r="L66" s="122"/>
      <c r="M66" s="122" t="s">
        <v>736</v>
      </c>
      <c r="N66" s="125"/>
      <c r="O66" s="123">
        <f t="shared" ref="O66:O129" si="38">IF(Q66="Story",K66,
 IF(OR(Q66="Problem",Q66="Enhancement"),IFERROR(ROUNDUP(VALUE(LEFT(L66,FIND(" hour",L66)))/8,0),0),0))</f>
        <v>2</v>
      </c>
      <c r="P66" s="123" t="str">
        <f t="shared" ref="P66:P129" si="39">IF(H66="Closed","Done",H66)</f>
        <v>New</v>
      </c>
      <c r="Q66" s="122" t="str">
        <f t="shared" si="24"/>
        <v>Story</v>
      </c>
      <c r="R66" s="126">
        <f t="shared" ref="R66:R129" si="40">IF($D66="","ZeroEntry",
IF($D66="Program Epic",0,
IF($Q66="Feature",$B66,
IF($Y66="Feature", RIGHT($C66,6)+0,
IF($X66="Feature", RIGHT(VLOOKUP(RIGHT($C66,6)+0,$B:$C,2,FALSE),6)+0, 0)))) )</f>
        <v>318430</v>
      </c>
      <c r="S66" s="127">
        <f t="shared" ref="S66:S129" si="41">IF($D66="","ZeroEntry",
IF(OR($D66="Story",$D66="Problem",$D66="Enhancement"),$B66,0))</f>
        <v>318438</v>
      </c>
      <c r="T66" s="128" t="e">
        <f>IF($Q66="ZeroEntry", "",VLOOKUP($I66,'Ranking Lookup'!#REF!,2,FALSE))</f>
        <v>#REF!</v>
      </c>
      <c r="U66" s="129" t="str">
        <f t="shared" ref="U66:U129" si="42">IFERROR(
   VLOOKUP(RIGHT(
        VLOOKUP(RIGHT(
             VLOOKUP(RIGHT(
                 VLOOKUP(RIGHT(
                     VLOOKUP(RIGHT($C66,6)+0,$B:$C,2,FALSE),6)+0,$B:$C,2,FALSE),6)+0,$B:$C,2,FALSE),6)+0,$B:$C,2,FALSE),6)+0,$B:$D,3,FALSE),
"")</f>
        <v/>
      </c>
      <c r="V66" s="129" t="str">
        <f t="shared" ref="V66:V129" si="43">IFERROR(
   VLOOKUP(RIGHT(
        VLOOKUP(RIGHT(
             VLOOKUP(RIGHT(
                  VLOOKUP(RIGHT($C66,6)+0,$B:$C,2,FALSE),6)+0,$B:$C,2,FALSE),6)+0,$B:$C,2,FALSE),6)+0,$B:$D,3,FALSE),
"")</f>
        <v/>
      </c>
      <c r="W66" s="129" t="str">
        <f t="shared" ref="W66:W129" si="44">IFERROR(
    VLOOKUP(RIGHT(
         VLOOKUP(RIGHT(
                 VLOOKUP(RIGHT($C66,6)+0,$B:$C,2,FALSE),6)+0,$B:$C,2,FALSE),6)+0,$B:$D,3,FALSE),
"")</f>
        <v/>
      </c>
      <c r="X66" s="129" t="str">
        <f t="shared" ref="X66:X129" si="45">IFERROR(
   VLOOKUP(RIGHT(
         VLOOKUP(RIGHT($C66,6)+0,$B:$C,2,FALSE),6)+0,$B:$D,3,FALSE),
"")</f>
        <v/>
      </c>
      <c r="Y66" s="129" t="str">
        <f t="shared" ref="Y66:Y129" si="46">IFERROR(VLOOKUP(RIGHT($C66,6)+0,$B:$D,3,FALSE),"")</f>
        <v>Feature</v>
      </c>
      <c r="Z66" s="129" t="str">
        <f t="shared" ref="Z66:Z129" si="47">IF(ISERROR(VLOOKUP("#"&amp;$B66,$C:$D,2,FALSE)),"",VLOOKUP("#"&amp;$B66,$C:$D,2,FALSE))</f>
        <v/>
      </c>
      <c r="AA66" s="130"/>
      <c r="AB66" s="130" t="str">
        <f t="shared" ref="AB66:AB129" si="48">IF(LEFT($G66,2)="PI",LEFT($G66,5),
IF(OR(RIGHT($G66,2)="RR",$G66="Future"),$G66,
IF(LEFT($G66,3)="EA ",CONCATENATE("PI ",TEXT(VALUE(MID($G66,4,2)),"00")),
IF($R66=0,"Unassigned",
IF(NOT(OR($Q66="Story",$Q66="Problem",$Q66="Enhancement")),"Unassigned",
IF(AND($G66="Unassigned",RIGHT(VLOOKUP(VALUE(RIGHT($C66,6)),B:G,6,0),5)&lt;&gt;"gress",LEFT(VLOOKUP(VALUE(RIGHT($C66,6)),B:G,6,0),2)="PI"),LEFT(VLOOKUP(VALUE(RIGHT($C66,6)),B:G,6,0),5),
"Unassigned"))))))</f>
        <v>PI 12</v>
      </c>
      <c r="AC66" s="131">
        <f t="shared" si="25"/>
        <v>2</v>
      </c>
      <c r="AD66" s="131">
        <f t="shared" si="26"/>
        <v>0</v>
      </c>
      <c r="AE66" s="132">
        <f t="shared" ref="AE66:AE129" si="49">IF(AND($Q66="Feature",$AD66&lt;&gt;0,$AC66&gt;$J66),($AC66/$J66)-1,0)</f>
        <v>0</v>
      </c>
      <c r="AF66" s="133" t="str">
        <f t="shared" si="27"/>
        <v/>
      </c>
      <c r="AG66" s="134">
        <f t="shared" ref="AG66:AG129" si="50">COUNTIF(AI66:AY66,"&gt;0")</f>
        <v>0</v>
      </c>
      <c r="AH66" s="54" t="str">
        <f t="shared" ref="AH66:AH129" si="51">IF($Q66="Feature",SUMIFS($O:$O,$R:$R,$B66,$P:$P,"Done"),
IF(  AND(OR($Q66="Story",$Q66="Problem",$Q66="Enhancement"),$R66=0,$P66="Done"),$O66,""))</f>
        <v/>
      </c>
      <c r="AI66" s="54" t="e">
        <f t="shared" ref="AI66:AX81" si="52">IF(AND($Q66="Feature",LEFT($AB66,2)="PI"),
IF(AND(COUNTIF($R:$R,$B66)=1,$T66=AI$1), IF($AB66=$A$10,$AF66,0),
IF(OR($AD66&lt;1,RIGHT($G66,8)="Progress",$AH66&gt;0),SUMIFS($O:$O,$R:$R,$B66,$T:$T,AI$1,$P:$P,"&lt;&gt;Done",$AB:$AB,$A$10),
IF($T66=AI$1,IF($AB66=$A$10,$AD66,0)+SUMIFS($O:$O,$R:$R,$B66,$T:$T,AI$1,$P:$P,"&lt;&gt;Done",$AB:$AB,$A$10),SUMIFS($O:$O,$R:$R,$B66,$T:$T,AI$1,$P:$P,"&lt;&gt;Done",$AB:$AB,$A$10)))),
IF(AND(OR($Q66="Story",$Q66="Problem",$Q66="Enhancement"),$AB66=$A$10,$R66=0,$T66=AI$1,$P66&lt;&gt;"Done"),$O66,""))</f>
        <v>#REF!</v>
      </c>
      <c r="AJ66" s="54" t="e">
        <f t="shared" si="52"/>
        <v>#REF!</v>
      </c>
      <c r="AK66" s="54" t="e">
        <f t="shared" si="52"/>
        <v>#REF!</v>
      </c>
      <c r="AL66" s="54" t="e">
        <f t="shared" si="52"/>
        <v>#REF!</v>
      </c>
      <c r="AM66" s="54" t="e">
        <f t="shared" si="52"/>
        <v>#REF!</v>
      </c>
      <c r="AN66" s="54" t="e">
        <f t="shared" si="52"/>
        <v>#REF!</v>
      </c>
      <c r="AO66" s="54" t="e">
        <f t="shared" si="52"/>
        <v>#REF!</v>
      </c>
      <c r="AP66" s="54" t="e">
        <f t="shared" si="52"/>
        <v>#REF!</v>
      </c>
      <c r="AQ66" s="54" t="e">
        <f t="shared" si="52"/>
        <v>#REF!</v>
      </c>
      <c r="AR66" s="54" t="e">
        <f t="shared" si="52"/>
        <v>#REF!</v>
      </c>
      <c r="AS66" s="54" t="e">
        <f t="shared" si="52"/>
        <v>#REF!</v>
      </c>
      <c r="AT66" s="54" t="e">
        <f t="shared" si="52"/>
        <v>#REF!</v>
      </c>
      <c r="AU66" s="54" t="e">
        <f t="shared" si="52"/>
        <v>#REF!</v>
      </c>
      <c r="AV66" s="54" t="e">
        <f t="shared" si="52"/>
        <v>#REF!</v>
      </c>
      <c r="AW66" s="54" t="e">
        <f t="shared" si="52"/>
        <v>#REF!</v>
      </c>
      <c r="AX66" s="54" t="e">
        <f t="shared" si="52"/>
        <v>#REF!</v>
      </c>
      <c r="AY66" s="54" t="e">
        <f t="shared" ref="AY66:AY129" si="53">IF(OR($Q66="Feature",BI66="Yes"), SUM(BC66:BE66),"")</f>
        <v>#REF!</v>
      </c>
      <c r="AZ66" s="54" t="str">
        <f t="shared" ref="AZ66:AZ129" si="54">IF($Q66="Feature",SUMIFS($O:$O,$R:$R,$B66,$P:$P,"&lt;&gt;Done",$AB:$AB,$A$14),
IF(AND(OR($Q66="Story",$Q66="Problem",$Q66="Enhancement"),$R66=0,$P66="&lt;&gt;Done", $AB66=$A$14),$O66,""))</f>
        <v/>
      </c>
      <c r="BA66" s="54" t="e">
        <f t="shared" ref="BA66:BA129" si="55">IF(OR($Q66="Feature",$BI66="Yes"), SUM(AI66:AY66),"")</f>
        <v>#REF!</v>
      </c>
      <c r="BB66" s="135" t="str">
        <f t="shared" ref="BB66:BB129" si="56">IF($Q66="Feature",SUMIFS($O:$O,$R:$R,$B66,$P:$P,"&lt;&gt;Done",$AB:$AB,BB$1),
IF(AND(OR($Q66="Story",$Q66="Problem",$Q66="Enhancement"),$R66=0,$P66="&lt;&gt;Done",$AB66=BB$1),$O66,""))</f>
        <v/>
      </c>
      <c r="BC66" s="54" t="e">
        <f t="shared" si="36"/>
        <v>#REF!</v>
      </c>
      <c r="BD66" s="54" t="e">
        <f t="shared" si="36"/>
        <v>#REF!</v>
      </c>
      <c r="BE66" s="54" t="e">
        <f t="shared" si="36"/>
        <v>#REF!</v>
      </c>
      <c r="BF66" s="54" t="str">
        <f t="shared" ref="BF66:BF129" si="57">IF($Q66="Feature",
COUNTIFS($Q:$Q,"Problem",$R:$R,$B66),"")</f>
        <v/>
      </c>
      <c r="BG66" s="54" t="str">
        <f t="shared" ref="BG66:BG129" si="58">IF($Q66="Feature",
COUNTIFS($Q:$Q,"Enhancement",$R:$R,$B66),"")</f>
        <v/>
      </c>
      <c r="BH66" s="34" t="e">
        <f t="shared" ref="BH66:BH129" si="59">IF(OR($Q66="Strategy",$Q66="Sub-Strategy"),"",
IF(AND($Q66="Feature",AH66&gt;0),"NA_InProgress",
IF(AND($Q66="Feature",SUM(AZ66:BB66)=J66),"Good",
IF(AND($Q66="Feature",RIGHT($G66,8)="Progress"),"NA_InProgress",
IF(AND(OR($Q66="Story",$Q66="Problem",$Q66="Enhancement"),$R66=0,SUM(AH66:BB66)=K66),"Good",
IF(AND(OR($Q66="Story",$Q66="Problem",$Q66="Enhancement"),$R66&lt;&gt;0),"","Bad"))))))</f>
        <v>#REF!</v>
      </c>
      <c r="BI66" s="34" t="e">
        <f t="shared" ref="BI66:BI129" si="60">IF(AND(
      OR(AND(OR(Q66="Problem",Q66="Enhancement"),H66&lt;&gt;"Assessing",H66&lt;&gt;"Triage"),
             AND(Q66="Story",O66&lt;&gt;0)),
      R66=0,
      T66&lt;&gt;"Process"),"Add_Scope","No")</f>
        <v>#REF!</v>
      </c>
      <c r="BJ66" s="136" t="str">
        <f>IF($D66&lt;&gt;"Feature",".",
IF(VLOOKUP($B66,Feature_List!$A:$AM,MATCH(BJ$1,  Feature_List!$A$1:$AM$1,0),0)=B66,".","NO"))</f>
        <v>.</v>
      </c>
      <c r="BK66" s="136"/>
      <c r="BL66" s="136"/>
      <c r="BM66" s="136" t="str">
        <f>IF($D66&lt;&gt;"Feature",".",
IF(VLOOKUP($B66,Feature_List!$A:$AM,MATCH(BM$1,  Feature_List!$A$1:$AM$1,0),0)=E66,".","NO"))</f>
        <v>.</v>
      </c>
      <c r="BN66" s="136" t="str">
        <f>IF($D66&lt;&gt;"Feature",".",
IF(VLOOKUP($B66,Feature_List!$A:$AM,MATCH(BN$1,  Feature_List!$A$1:$AM$1,0),0)=F66,".","NO"))</f>
        <v>.</v>
      </c>
      <c r="BO66" s="136" t="str">
        <f>IF($D66&lt;&gt;"Feature",".",
IF(VLOOKUP($B66,Feature_List!$A:$AM,MATCH(BO$1,  Feature_List!$A$1:$AM$1,0),0)=G66,".","NO"))</f>
        <v>.</v>
      </c>
      <c r="BP66" s="136" t="str">
        <f>IF($D66&lt;&gt;"Feature",".",
IF(VLOOKUP($B66,Feature_List!$A:$AM,MATCH(BP$1,  Feature_List!$A$1:$AM$1,0),0)=H66,".","NO"))</f>
        <v>.</v>
      </c>
      <c r="BQ66" s="136"/>
      <c r="BR66" s="136" t="str">
        <f>IF($D66&lt;&gt;"Feature",".",
IF(VLOOKUP($B66,Feature_List!$A:$AM,MATCH(BR$1,  Feature_List!$A$1:$AM$1,0),0)=J66,".","NO"))</f>
        <v>.</v>
      </c>
      <c r="BS66" s="136"/>
      <c r="BT66" s="136"/>
      <c r="BU66" s="136" t="str">
        <f>IF($D66&lt;&gt;"Feature",".",
IF(VLOOKUP($B66,Feature_List!$A:$AM,MATCH(BU$1,  Feature_List!$A$1:$AM$1,0),0)=M66,".","NO"))</f>
        <v>.</v>
      </c>
      <c r="BV66" s="136" t="str">
        <f>IF($D66&lt;&gt;"Feature",".",
IF(VLOOKUP($B66,Feature_List!$A:$AM,MATCH(BV$1,  Feature_List!$A$1:$AM$1,0),0)=N66,".","NO"))</f>
        <v>.</v>
      </c>
      <c r="BW66" s="136"/>
      <c r="BX66" s="136"/>
      <c r="BY66" s="136"/>
      <c r="BZ66" s="136"/>
      <c r="CA66" s="136"/>
      <c r="CB66" s="136" t="str">
        <f>IF($D66&lt;&gt;"Feature",".",
IF(VLOOKUP($B66,Feature_List!$A:$AM,MATCH(CB$1,  Feature_List!$A$1:$AM$1,0),0)=T66,".","NO"))</f>
        <v>.</v>
      </c>
      <c r="CC66" s="136"/>
      <c r="CD66" s="136"/>
      <c r="CE66" s="136"/>
      <c r="CF66" s="136"/>
      <c r="CG66" s="136"/>
      <c r="CH66" s="136"/>
      <c r="CI66" s="136"/>
      <c r="CJ66" s="136"/>
      <c r="CK66" s="136"/>
      <c r="CL66" s="136"/>
      <c r="CM66" s="136"/>
      <c r="CN66" s="136"/>
      <c r="CO66" s="136" t="str">
        <f>IF($D66&lt;&gt;"Feature",".",
IF(VLOOKUP($B66,Feature_List!$A:$AM,MATCH(CO$1,  Feature_List!$A$1:$AM$1,0),0)=AG66,".","NO"))</f>
        <v>.</v>
      </c>
      <c r="CP66" s="136" t="str">
        <f>IF($D66&lt;&gt;"Feature",".",
IF(VLOOKUP($B66,Feature_List!$A:$AM,MATCH(CP$1,  Feature_List!$A$1:$AM$1,0),0)=AH66,".","NO"))</f>
        <v>.</v>
      </c>
      <c r="CQ66" s="136" t="str">
        <f>IF($D66&lt;&gt;"Feature",".",
IF(VLOOKUP($B66,Feature_List!$A:$AM,MATCH(CQ$1,  Feature_List!$A$1:$AM$1,0),0)=AI66,".","NO"))</f>
        <v>.</v>
      </c>
      <c r="CR66" s="136" t="str">
        <f>IF($D66&lt;&gt;"Feature",".",
IF(VLOOKUP($B66,Feature_List!$A:$AM,MATCH(CR$1,  Feature_List!$A$1:$AM$1,0),0)=AJ66,".","NO"))</f>
        <v>.</v>
      </c>
      <c r="CS66" s="136" t="str">
        <f>IF($D66&lt;&gt;"Feature",".",
IF(VLOOKUP($B66,Feature_List!$A:$AM,MATCH(CS$1,  Feature_List!$A$1:$AM$1,0),0)=AK66,".","NO"))</f>
        <v>.</v>
      </c>
      <c r="CT66" s="136" t="str">
        <f>IF($D66&lt;&gt;"Feature",".",
IF(VLOOKUP($B66,Feature_List!$A:$AM,MATCH(CT$1,  Feature_List!$A$1:$AM$1,0),0)=AL66,".","NO"))</f>
        <v>.</v>
      </c>
      <c r="CU66" s="136" t="str">
        <f>IF($D66&lt;&gt;"Feature",".",
IF(VLOOKUP($B66,Feature_List!$A:$AM,MATCH(CU$1,  Feature_List!$A$1:$AM$1,0),0)=AM66,".","NO"))</f>
        <v>.</v>
      </c>
      <c r="CV66" s="136" t="str">
        <f>IF($D66&lt;&gt;"Feature",".",
IF(VLOOKUP($B66,Feature_List!$A:$AM,MATCH(CV$1,  Feature_List!$A$1:$AM$1,0),0)=AN66,".","NO"))</f>
        <v>.</v>
      </c>
      <c r="CW66" s="136" t="str">
        <f>IF($D66&lt;&gt;"Feature",".",
IF(VLOOKUP($B66,Feature_List!$A:$AM,MATCH(CW$1,  Feature_List!$A$1:$AM$1,0),0)=AO66,".","NO"))</f>
        <v>.</v>
      </c>
      <c r="CX66" s="136" t="str">
        <f>IF($D66&lt;&gt;"Feature",".",
IF(VLOOKUP($B66,Feature_List!$A:$AM,MATCH(CX$1,  Feature_List!$A$1:$AM$1,0),0)=AP66,".","NO"))</f>
        <v>.</v>
      </c>
      <c r="CY66" s="136" t="str">
        <f>IF($D66&lt;&gt;"Feature",".",
IF(VLOOKUP($B66,Feature_List!$A:$AM,MATCH(CY$1,  Feature_List!$A$1:$AM$1,0),0)=AQ66,".","NO"))</f>
        <v>.</v>
      </c>
      <c r="CZ66" s="136" t="str">
        <f>IF($D66&lt;&gt;"Feature",".",
IF(VLOOKUP($B66,Feature_List!$A:$AM,MATCH(CZ$1,  Feature_List!$A$1:$AM$1,0),0)=AR66,".","NO"))</f>
        <v>.</v>
      </c>
      <c r="DA66" s="136" t="str">
        <f>IF($D66&lt;&gt;"Feature",".",
IF(VLOOKUP($B66,Feature_List!$A:$AM,MATCH(DA$1,  Feature_List!$A$1:$AM$1,0),0)=AS66,".","NO"))</f>
        <v>.</v>
      </c>
      <c r="DB66" s="136" t="str">
        <f>IF($D66&lt;&gt;"Feature",".",
IF(VLOOKUP($B66,Feature_List!$A:$AM,MATCH(DB$1,  Feature_List!$A$1:$AM$1,0),0)=AT66,".","NO"))</f>
        <v>.</v>
      </c>
      <c r="DC66" s="136" t="str">
        <f>IF($D66&lt;&gt;"Feature",".",
IF(VLOOKUP($B66,Feature_List!$A:$AM,MATCH(DC$1,  Feature_List!$A$1:$AM$1,0),0)=AU66,".","NO"))</f>
        <v>.</v>
      </c>
      <c r="DD66" s="136" t="str">
        <f>IF($D66&lt;&gt;"Feature",".",
IF(VLOOKUP($B66,Feature_List!$A:$AM,MATCH(DD$1,  Feature_List!$A$1:$AM$1,0),0)=AV66,".","NO"))</f>
        <v>.</v>
      </c>
      <c r="DE66" s="136" t="str">
        <f>IF($D66&lt;&gt;"Feature",".",
IF(VLOOKUP($B66,Feature_List!$A:$AM,MATCH(DE$1,  Feature_List!$A$1:$AM$1,0),0)=AW66,".","NO"))</f>
        <v>.</v>
      </c>
      <c r="DF66" s="136" t="str">
        <f>IF($D66&lt;&gt;"Feature",".",
IF(VLOOKUP($B66,Feature_List!$A:$AM,MATCH(DF$1,  Feature_List!$A$1:$AM$1,0),0)=AX66,".","NO"))</f>
        <v>.</v>
      </c>
      <c r="DG66" s="136" t="str">
        <f>IF($D66&lt;&gt;"Feature",".",
IF(VLOOKUP($B66,Feature_List!$A:$AM,MATCH(DG$1,  Feature_List!$A$1:$AM$1,0),0)=AY66,".","NO"))</f>
        <v>.</v>
      </c>
      <c r="DH66" s="136" t="str">
        <f>IF($D66&lt;&gt;"Feature",".",
IF(VLOOKUP($B66,Feature_List!$A:$AM,MATCH(DH$1,  Feature_List!$A$1:$AM$1,0),0)=AZ66,".","NO"))</f>
        <v>.</v>
      </c>
      <c r="DI66" s="136" t="str">
        <f>IF($D66&lt;&gt;"Feature",".",
IF(VLOOKUP($B66,Feature_List!$A:$AM,MATCH(DI$1,  Feature_List!$A$1:$AM$1,0),0)=BA66,".","NO"))</f>
        <v>.</v>
      </c>
      <c r="DJ66" s="136" t="str">
        <f>IF($D66&lt;&gt;"Feature",".",
IF(VLOOKUP($B66,Feature_List!$A:$AM,MATCH(DJ$1,  Feature_List!$A$1:$AM$1,0),0)=BB66,".","NO"))</f>
        <v>.</v>
      </c>
      <c r="DK66" s="136"/>
      <c r="DL66" s="136"/>
      <c r="DM66" s="136"/>
      <c r="DN66" s="136" t="str">
        <f>IF($D66&lt;&gt;"Feature",".",
IF(VLOOKUP($B66,Feature_List!$A:$AM,MATCH(DN$1,  Feature_List!$A$1:$AM$1,0),0)=BC66,".","NO"))</f>
        <v>.</v>
      </c>
      <c r="DO66" s="136" t="str">
        <f>IF($D66&lt;&gt;"Feature",".",
IF(VLOOKUP($B66,Feature_List!$A:$AM,MATCH(DO$1,  Feature_List!$A$1:$AM$1,0),0)=BD66,".","NO"))</f>
        <v>.</v>
      </c>
    </row>
    <row r="67" spans="2:119" x14ac:dyDescent="0.3">
      <c r="B67" s="121">
        <v>318437</v>
      </c>
      <c r="C67" s="123" t="s">
        <v>604</v>
      </c>
      <c r="D67" s="122" t="s">
        <v>71</v>
      </c>
      <c r="E67" s="122" t="s">
        <v>737</v>
      </c>
      <c r="F67" s="138" t="s">
        <v>657</v>
      </c>
      <c r="G67" s="123" t="s">
        <v>657</v>
      </c>
      <c r="H67" s="122" t="s">
        <v>70</v>
      </c>
      <c r="I67" s="124" t="s">
        <v>562</v>
      </c>
      <c r="J67" s="138"/>
      <c r="K67" s="123">
        <v>5</v>
      </c>
      <c r="L67" s="122"/>
      <c r="M67" s="122" t="s">
        <v>676</v>
      </c>
      <c r="N67" s="125" t="s">
        <v>104</v>
      </c>
      <c r="O67" s="123">
        <f t="shared" si="38"/>
        <v>5</v>
      </c>
      <c r="P67" s="123" t="str">
        <f t="shared" si="39"/>
        <v>New</v>
      </c>
      <c r="Q67" s="122" t="str">
        <f t="shared" ref="Q67:Q130" si="61">IF($D67="","ZeroEntry",
IF($D67="Story","Story",
IF($D67="Feature","Feature",
IF($D67="Problem","Problem",
IF($D67="Enhancement","Enhancement",
"Program Epic")))))</f>
        <v>Story</v>
      </c>
      <c r="R67" s="126">
        <f t="shared" si="40"/>
        <v>318430</v>
      </c>
      <c r="S67" s="127">
        <f t="shared" si="41"/>
        <v>318437</v>
      </c>
      <c r="T67" s="128" t="e">
        <f>IF($Q67="ZeroEntry", "",VLOOKUP($I67,'Ranking Lookup'!#REF!,2,FALSE))</f>
        <v>#REF!</v>
      </c>
      <c r="U67" s="129" t="str">
        <f t="shared" si="42"/>
        <v/>
      </c>
      <c r="V67" s="129" t="str">
        <f t="shared" si="43"/>
        <v/>
      </c>
      <c r="W67" s="129" t="str">
        <f t="shared" si="44"/>
        <v/>
      </c>
      <c r="X67" s="129" t="str">
        <f t="shared" si="45"/>
        <v/>
      </c>
      <c r="Y67" s="129" t="str">
        <f t="shared" si="46"/>
        <v>Feature</v>
      </c>
      <c r="Z67" s="129" t="str">
        <f t="shared" si="47"/>
        <v/>
      </c>
      <c r="AA67" s="130"/>
      <c r="AB67" s="130" t="str">
        <f t="shared" si="48"/>
        <v>PI 12</v>
      </c>
      <c r="AC67" s="131">
        <f t="shared" ref="AC67:AC130" si="62">IF($Q67="Feature",SUMIFS($O:$O,$R:$R,$B67),
IF(OR($Q67="Story",$Q67="Problem",$Q67="Enhancement"),$O67,""))</f>
        <v>5</v>
      </c>
      <c r="AD67" s="131">
        <f t="shared" ref="AD67:AD130" si="63">IF($Q67="Feature",
IF(COUNTIF($R:$R,$B67)=1,$J67,$J67-$AC67),
IF(OR($Q67="Story",$Q67="Problem",$Q67="Enhancement"),$O67-$AC67,""))</f>
        <v>0</v>
      </c>
      <c r="AE67" s="132">
        <f t="shared" si="49"/>
        <v>0</v>
      </c>
      <c r="AF67" s="133" t="str">
        <f t="shared" ref="AF67:AF130" si="64">IF($P67="Done", 0,
IF(AND($Q67="Feature",COUNTIF($R:$R,$B67)=1),$J67,
IF($Q67="Feature",MAX($J67-SUMIFS($O:$O,$P:$P,"Done",$R:$R,$B67),0),
IF(AND(OR($Q67="Story",$Q67="Problem",$Q67="Enhancement"),$R67=0),$O67,""))))</f>
        <v/>
      </c>
      <c r="AG67" s="134">
        <f t="shared" si="50"/>
        <v>0</v>
      </c>
      <c r="AH67" s="54" t="str">
        <f t="shared" si="51"/>
        <v/>
      </c>
      <c r="AI67" s="54" t="e">
        <f t="shared" si="52"/>
        <v>#REF!</v>
      </c>
      <c r="AJ67" s="54" t="e">
        <f t="shared" si="52"/>
        <v>#REF!</v>
      </c>
      <c r="AK67" s="54" t="e">
        <f t="shared" si="52"/>
        <v>#REF!</v>
      </c>
      <c r="AL67" s="54" t="e">
        <f t="shared" si="52"/>
        <v>#REF!</v>
      </c>
      <c r="AM67" s="54" t="e">
        <f t="shared" si="52"/>
        <v>#REF!</v>
      </c>
      <c r="AN67" s="54" t="e">
        <f t="shared" si="52"/>
        <v>#REF!</v>
      </c>
      <c r="AO67" s="54" t="e">
        <f t="shared" si="52"/>
        <v>#REF!</v>
      </c>
      <c r="AP67" s="54" t="e">
        <f t="shared" si="52"/>
        <v>#REF!</v>
      </c>
      <c r="AQ67" s="54" t="e">
        <f t="shared" si="52"/>
        <v>#REF!</v>
      </c>
      <c r="AR67" s="54" t="e">
        <f t="shared" si="52"/>
        <v>#REF!</v>
      </c>
      <c r="AS67" s="54" t="e">
        <f t="shared" si="52"/>
        <v>#REF!</v>
      </c>
      <c r="AT67" s="54" t="e">
        <f t="shared" si="52"/>
        <v>#REF!</v>
      </c>
      <c r="AU67" s="54" t="e">
        <f t="shared" si="52"/>
        <v>#REF!</v>
      </c>
      <c r="AV67" s="54" t="e">
        <f t="shared" si="52"/>
        <v>#REF!</v>
      </c>
      <c r="AW67" s="54" t="e">
        <f t="shared" si="52"/>
        <v>#REF!</v>
      </c>
      <c r="AX67" s="54" t="e">
        <f t="shared" si="52"/>
        <v>#REF!</v>
      </c>
      <c r="AY67" s="54" t="e">
        <f t="shared" si="53"/>
        <v>#REF!</v>
      </c>
      <c r="AZ67" s="54" t="str">
        <f t="shared" si="54"/>
        <v/>
      </c>
      <c r="BA67" s="54" t="e">
        <f t="shared" si="55"/>
        <v>#REF!</v>
      </c>
      <c r="BB67" s="135" t="str">
        <f t="shared" si="56"/>
        <v/>
      </c>
      <c r="BC67" s="54" t="e">
        <f t="shared" si="36"/>
        <v>#REF!</v>
      </c>
      <c r="BD67" s="54" t="e">
        <f t="shared" si="36"/>
        <v>#REF!</v>
      </c>
      <c r="BE67" s="54" t="e">
        <f t="shared" si="36"/>
        <v>#REF!</v>
      </c>
      <c r="BF67" s="54" t="str">
        <f t="shared" si="57"/>
        <v/>
      </c>
      <c r="BG67" s="54" t="str">
        <f t="shared" si="58"/>
        <v/>
      </c>
      <c r="BH67" s="34" t="e">
        <f t="shared" si="59"/>
        <v>#REF!</v>
      </c>
      <c r="BI67" s="34" t="e">
        <f t="shared" si="60"/>
        <v>#REF!</v>
      </c>
      <c r="BJ67" s="136" t="str">
        <f>IF($D67&lt;&gt;"Feature",".",
IF(VLOOKUP($B67,Feature_List!$A:$AM,MATCH(BJ$1,  Feature_List!$A$1:$AM$1,0),0)=B67,".","NO"))</f>
        <v>.</v>
      </c>
      <c r="BK67" s="136"/>
      <c r="BL67" s="136"/>
      <c r="BM67" s="136" t="str">
        <f>IF($D67&lt;&gt;"Feature",".",
IF(VLOOKUP($B67,Feature_List!$A:$AM,MATCH(BM$1,  Feature_List!$A$1:$AM$1,0),0)=E67,".","NO"))</f>
        <v>.</v>
      </c>
      <c r="BN67" s="136" t="str">
        <f>IF($D67&lt;&gt;"Feature",".",
IF(VLOOKUP($B67,Feature_List!$A:$AM,MATCH(BN$1,  Feature_List!$A$1:$AM$1,0),0)=F67,".","NO"))</f>
        <v>.</v>
      </c>
      <c r="BO67" s="136" t="str">
        <f>IF($D67&lt;&gt;"Feature",".",
IF(VLOOKUP($B67,Feature_List!$A:$AM,MATCH(BO$1,  Feature_List!$A$1:$AM$1,0),0)=G67,".","NO"))</f>
        <v>.</v>
      </c>
      <c r="BP67" s="136" t="str">
        <f>IF($D67&lt;&gt;"Feature",".",
IF(VLOOKUP($B67,Feature_List!$A:$AM,MATCH(BP$1,  Feature_List!$A$1:$AM$1,0),0)=H67,".","NO"))</f>
        <v>.</v>
      </c>
      <c r="BQ67" s="136"/>
      <c r="BR67" s="136" t="str">
        <f>IF($D67&lt;&gt;"Feature",".",
IF(VLOOKUP($B67,Feature_List!$A:$AM,MATCH(BR$1,  Feature_List!$A$1:$AM$1,0),0)=J67,".","NO"))</f>
        <v>.</v>
      </c>
      <c r="BS67" s="136"/>
      <c r="BT67" s="136"/>
      <c r="BU67" s="136" t="str">
        <f>IF($D67&lt;&gt;"Feature",".",
IF(VLOOKUP($B67,Feature_List!$A:$AM,MATCH(BU$1,  Feature_List!$A$1:$AM$1,0),0)=M67,".","NO"))</f>
        <v>.</v>
      </c>
      <c r="BV67" s="136" t="str">
        <f>IF($D67&lt;&gt;"Feature",".",
IF(VLOOKUP($B67,Feature_List!$A:$AM,MATCH(BV$1,  Feature_List!$A$1:$AM$1,0),0)=N67,".","NO"))</f>
        <v>.</v>
      </c>
      <c r="BW67" s="136"/>
      <c r="BX67" s="136"/>
      <c r="BY67" s="136"/>
      <c r="BZ67" s="136"/>
      <c r="CA67" s="136"/>
      <c r="CB67" s="136" t="str">
        <f>IF($D67&lt;&gt;"Feature",".",
IF(VLOOKUP($B67,Feature_List!$A:$AM,MATCH(CB$1,  Feature_List!$A$1:$AM$1,0),0)=T67,".","NO"))</f>
        <v>.</v>
      </c>
      <c r="CC67" s="136"/>
      <c r="CD67" s="136"/>
      <c r="CE67" s="136"/>
      <c r="CF67" s="136"/>
      <c r="CG67" s="136"/>
      <c r="CH67" s="136"/>
      <c r="CI67" s="136"/>
      <c r="CJ67" s="136"/>
      <c r="CK67" s="136"/>
      <c r="CL67" s="136"/>
      <c r="CM67" s="136"/>
      <c r="CN67" s="136"/>
      <c r="CO67" s="136" t="str">
        <f>IF($D67&lt;&gt;"Feature",".",
IF(VLOOKUP($B67,Feature_List!$A:$AM,MATCH(CO$1,  Feature_List!$A$1:$AM$1,0),0)=AG67,".","NO"))</f>
        <v>.</v>
      </c>
      <c r="CP67" s="136" t="str">
        <f>IF($D67&lt;&gt;"Feature",".",
IF(VLOOKUP($B67,Feature_List!$A:$AM,MATCH(CP$1,  Feature_List!$A$1:$AM$1,0),0)=AH67,".","NO"))</f>
        <v>.</v>
      </c>
      <c r="CQ67" s="136" t="str">
        <f>IF($D67&lt;&gt;"Feature",".",
IF(VLOOKUP($B67,Feature_List!$A:$AM,MATCH(CQ$1,  Feature_List!$A$1:$AM$1,0),0)=AI67,".","NO"))</f>
        <v>.</v>
      </c>
      <c r="CR67" s="136" t="str">
        <f>IF($D67&lt;&gt;"Feature",".",
IF(VLOOKUP($B67,Feature_List!$A:$AM,MATCH(CR$1,  Feature_List!$A$1:$AM$1,0),0)=AJ67,".","NO"))</f>
        <v>.</v>
      </c>
      <c r="CS67" s="136" t="str">
        <f>IF($D67&lt;&gt;"Feature",".",
IF(VLOOKUP($B67,Feature_List!$A:$AM,MATCH(CS$1,  Feature_List!$A$1:$AM$1,0),0)=AK67,".","NO"))</f>
        <v>.</v>
      </c>
      <c r="CT67" s="136" t="str">
        <f>IF($D67&lt;&gt;"Feature",".",
IF(VLOOKUP($B67,Feature_List!$A:$AM,MATCH(CT$1,  Feature_List!$A$1:$AM$1,0),0)=AL67,".","NO"))</f>
        <v>.</v>
      </c>
      <c r="CU67" s="136" t="str">
        <f>IF($D67&lt;&gt;"Feature",".",
IF(VLOOKUP($B67,Feature_List!$A:$AM,MATCH(CU$1,  Feature_List!$A$1:$AM$1,0),0)=AM67,".","NO"))</f>
        <v>.</v>
      </c>
      <c r="CV67" s="136" t="str">
        <f>IF($D67&lt;&gt;"Feature",".",
IF(VLOOKUP($B67,Feature_List!$A:$AM,MATCH(CV$1,  Feature_List!$A$1:$AM$1,0),0)=AN67,".","NO"))</f>
        <v>.</v>
      </c>
      <c r="CW67" s="136" t="str">
        <f>IF($D67&lt;&gt;"Feature",".",
IF(VLOOKUP($B67,Feature_List!$A:$AM,MATCH(CW$1,  Feature_List!$A$1:$AM$1,0),0)=AO67,".","NO"))</f>
        <v>.</v>
      </c>
      <c r="CX67" s="136" t="str">
        <f>IF($D67&lt;&gt;"Feature",".",
IF(VLOOKUP($B67,Feature_List!$A:$AM,MATCH(CX$1,  Feature_List!$A$1:$AM$1,0),0)=AP67,".","NO"))</f>
        <v>.</v>
      </c>
      <c r="CY67" s="136" t="str">
        <f>IF($D67&lt;&gt;"Feature",".",
IF(VLOOKUP($B67,Feature_List!$A:$AM,MATCH(CY$1,  Feature_List!$A$1:$AM$1,0),0)=AQ67,".","NO"))</f>
        <v>.</v>
      </c>
      <c r="CZ67" s="136" t="str">
        <f>IF($D67&lt;&gt;"Feature",".",
IF(VLOOKUP($B67,Feature_List!$A:$AM,MATCH(CZ$1,  Feature_List!$A$1:$AM$1,0),0)=AR67,".","NO"))</f>
        <v>.</v>
      </c>
      <c r="DA67" s="136" t="str">
        <f>IF($D67&lt;&gt;"Feature",".",
IF(VLOOKUP($B67,Feature_List!$A:$AM,MATCH(DA$1,  Feature_List!$A$1:$AM$1,0),0)=AS67,".","NO"))</f>
        <v>.</v>
      </c>
      <c r="DB67" s="136" t="str">
        <f>IF($D67&lt;&gt;"Feature",".",
IF(VLOOKUP($B67,Feature_List!$A:$AM,MATCH(DB$1,  Feature_List!$A$1:$AM$1,0),0)=AT67,".","NO"))</f>
        <v>.</v>
      </c>
      <c r="DC67" s="136" t="str">
        <f>IF($D67&lt;&gt;"Feature",".",
IF(VLOOKUP($B67,Feature_List!$A:$AM,MATCH(DC$1,  Feature_List!$A$1:$AM$1,0),0)=AU67,".","NO"))</f>
        <v>.</v>
      </c>
      <c r="DD67" s="136" t="str">
        <f>IF($D67&lt;&gt;"Feature",".",
IF(VLOOKUP($B67,Feature_List!$A:$AM,MATCH(DD$1,  Feature_List!$A$1:$AM$1,0),0)=AV67,".","NO"))</f>
        <v>.</v>
      </c>
      <c r="DE67" s="136" t="str">
        <f>IF($D67&lt;&gt;"Feature",".",
IF(VLOOKUP($B67,Feature_List!$A:$AM,MATCH(DE$1,  Feature_List!$A$1:$AM$1,0),0)=AW67,".","NO"))</f>
        <v>.</v>
      </c>
      <c r="DF67" s="136" t="str">
        <f>IF($D67&lt;&gt;"Feature",".",
IF(VLOOKUP($B67,Feature_List!$A:$AM,MATCH(DF$1,  Feature_List!$A$1:$AM$1,0),0)=AX67,".","NO"))</f>
        <v>.</v>
      </c>
      <c r="DG67" s="136" t="str">
        <f>IF($D67&lt;&gt;"Feature",".",
IF(VLOOKUP($B67,Feature_List!$A:$AM,MATCH(DG$1,  Feature_List!$A$1:$AM$1,0),0)=AY67,".","NO"))</f>
        <v>.</v>
      </c>
      <c r="DH67" s="136" t="str">
        <f>IF($D67&lt;&gt;"Feature",".",
IF(VLOOKUP($B67,Feature_List!$A:$AM,MATCH(DH$1,  Feature_List!$A$1:$AM$1,0),0)=AZ67,".","NO"))</f>
        <v>.</v>
      </c>
      <c r="DI67" s="136" t="str">
        <f>IF($D67&lt;&gt;"Feature",".",
IF(VLOOKUP($B67,Feature_List!$A:$AM,MATCH(DI$1,  Feature_List!$A$1:$AM$1,0),0)=BA67,".","NO"))</f>
        <v>.</v>
      </c>
      <c r="DJ67" s="136" t="str">
        <f>IF($D67&lt;&gt;"Feature",".",
IF(VLOOKUP($B67,Feature_List!$A:$AM,MATCH(DJ$1,  Feature_List!$A$1:$AM$1,0),0)=BB67,".","NO"))</f>
        <v>.</v>
      </c>
      <c r="DK67" s="136"/>
      <c r="DL67" s="136"/>
      <c r="DM67" s="136"/>
      <c r="DN67" s="136" t="str">
        <f>IF($D67&lt;&gt;"Feature",".",
IF(VLOOKUP($B67,Feature_List!$A:$AM,MATCH(DN$1,  Feature_List!$A$1:$AM$1,0),0)=BC67,".","NO"))</f>
        <v>.</v>
      </c>
      <c r="DO67" s="136" t="str">
        <f>IF($D67&lt;&gt;"Feature",".",
IF(VLOOKUP($B67,Feature_List!$A:$AM,MATCH(DO$1,  Feature_List!$A$1:$AM$1,0),0)=BD67,".","NO"))</f>
        <v>.</v>
      </c>
    </row>
    <row r="68" spans="2:119" x14ac:dyDescent="0.3">
      <c r="B68" s="121">
        <v>318436</v>
      </c>
      <c r="C68" s="122" t="s">
        <v>604</v>
      </c>
      <c r="D68" s="122" t="s">
        <v>71</v>
      </c>
      <c r="E68" s="122" t="s">
        <v>738</v>
      </c>
      <c r="F68" s="138" t="s">
        <v>656</v>
      </c>
      <c r="G68" s="123" t="s">
        <v>656</v>
      </c>
      <c r="H68" s="122" t="s">
        <v>70</v>
      </c>
      <c r="I68" s="124" t="s">
        <v>562</v>
      </c>
      <c r="J68" s="138"/>
      <c r="K68" s="123">
        <v>3</v>
      </c>
      <c r="L68" s="122"/>
      <c r="M68" s="122" t="s">
        <v>362</v>
      </c>
      <c r="N68" s="125" t="s">
        <v>651</v>
      </c>
      <c r="O68" s="123">
        <f t="shared" si="38"/>
        <v>3</v>
      </c>
      <c r="P68" s="123" t="str">
        <f t="shared" si="39"/>
        <v>New</v>
      </c>
      <c r="Q68" s="122" t="str">
        <f t="shared" si="61"/>
        <v>Story</v>
      </c>
      <c r="R68" s="126">
        <f t="shared" si="40"/>
        <v>318430</v>
      </c>
      <c r="S68" s="127">
        <f t="shared" si="41"/>
        <v>318436</v>
      </c>
      <c r="T68" s="128" t="e">
        <f>IF($Q68="ZeroEntry", "",VLOOKUP($I68,'Ranking Lookup'!#REF!,2,FALSE))</f>
        <v>#REF!</v>
      </c>
      <c r="U68" s="129" t="str">
        <f t="shared" si="42"/>
        <v/>
      </c>
      <c r="V68" s="129" t="str">
        <f t="shared" si="43"/>
        <v/>
      </c>
      <c r="W68" s="129" t="str">
        <f t="shared" si="44"/>
        <v/>
      </c>
      <c r="X68" s="129" t="str">
        <f t="shared" si="45"/>
        <v/>
      </c>
      <c r="Y68" s="129" t="str">
        <f t="shared" si="46"/>
        <v>Feature</v>
      </c>
      <c r="Z68" s="129" t="str">
        <f t="shared" si="47"/>
        <v/>
      </c>
      <c r="AA68" s="130"/>
      <c r="AB68" s="130" t="str">
        <f t="shared" si="48"/>
        <v>PI 12</v>
      </c>
      <c r="AC68" s="131">
        <f t="shared" si="62"/>
        <v>3</v>
      </c>
      <c r="AD68" s="131">
        <f t="shared" si="63"/>
        <v>0</v>
      </c>
      <c r="AE68" s="132">
        <f t="shared" si="49"/>
        <v>0</v>
      </c>
      <c r="AF68" s="133" t="str">
        <f t="shared" si="64"/>
        <v/>
      </c>
      <c r="AG68" s="134">
        <f t="shared" si="50"/>
        <v>0</v>
      </c>
      <c r="AH68" s="54" t="str">
        <f t="shared" si="51"/>
        <v/>
      </c>
      <c r="AI68" s="54" t="e">
        <f t="shared" si="52"/>
        <v>#REF!</v>
      </c>
      <c r="AJ68" s="54" t="e">
        <f t="shared" si="52"/>
        <v>#REF!</v>
      </c>
      <c r="AK68" s="54" t="e">
        <f t="shared" si="52"/>
        <v>#REF!</v>
      </c>
      <c r="AL68" s="54" t="e">
        <f t="shared" si="52"/>
        <v>#REF!</v>
      </c>
      <c r="AM68" s="54" t="e">
        <f t="shared" si="52"/>
        <v>#REF!</v>
      </c>
      <c r="AN68" s="54" t="e">
        <f t="shared" si="52"/>
        <v>#REF!</v>
      </c>
      <c r="AO68" s="54" t="e">
        <f t="shared" si="52"/>
        <v>#REF!</v>
      </c>
      <c r="AP68" s="54" t="e">
        <f t="shared" si="52"/>
        <v>#REF!</v>
      </c>
      <c r="AQ68" s="54" t="e">
        <f t="shared" si="52"/>
        <v>#REF!</v>
      </c>
      <c r="AR68" s="54" t="e">
        <f t="shared" si="52"/>
        <v>#REF!</v>
      </c>
      <c r="AS68" s="54" t="e">
        <f t="shared" si="52"/>
        <v>#REF!</v>
      </c>
      <c r="AT68" s="54" t="e">
        <f t="shared" si="52"/>
        <v>#REF!</v>
      </c>
      <c r="AU68" s="54" t="e">
        <f t="shared" si="52"/>
        <v>#REF!</v>
      </c>
      <c r="AV68" s="54" t="e">
        <f t="shared" si="52"/>
        <v>#REF!</v>
      </c>
      <c r="AW68" s="54" t="e">
        <f t="shared" si="52"/>
        <v>#REF!</v>
      </c>
      <c r="AX68" s="54" t="e">
        <f t="shared" si="52"/>
        <v>#REF!</v>
      </c>
      <c r="AY68" s="54" t="e">
        <f t="shared" si="53"/>
        <v>#REF!</v>
      </c>
      <c r="AZ68" s="54" t="str">
        <f t="shared" si="54"/>
        <v/>
      </c>
      <c r="BA68" s="54" t="e">
        <f t="shared" si="55"/>
        <v>#REF!</v>
      </c>
      <c r="BB68" s="135" t="str">
        <f t="shared" si="56"/>
        <v/>
      </c>
      <c r="BC68" s="54" t="e">
        <f t="shared" si="36"/>
        <v>#REF!</v>
      </c>
      <c r="BD68" s="54" t="e">
        <f t="shared" si="36"/>
        <v>#REF!</v>
      </c>
      <c r="BE68" s="54" t="e">
        <f t="shared" si="36"/>
        <v>#REF!</v>
      </c>
      <c r="BF68" s="54" t="str">
        <f t="shared" si="57"/>
        <v/>
      </c>
      <c r="BG68" s="54" t="str">
        <f t="shared" si="58"/>
        <v/>
      </c>
      <c r="BH68" s="34" t="e">
        <f t="shared" si="59"/>
        <v>#REF!</v>
      </c>
      <c r="BI68" s="34" t="e">
        <f t="shared" si="60"/>
        <v>#REF!</v>
      </c>
      <c r="BJ68" s="136" t="str">
        <f>IF($D68&lt;&gt;"Feature",".",
IF(VLOOKUP($B68,Feature_List!$A:$AM,MATCH(BJ$1,  Feature_List!$A$1:$AM$1,0),0)=B68,".","NO"))</f>
        <v>.</v>
      </c>
      <c r="BK68" s="136"/>
      <c r="BL68" s="136"/>
      <c r="BM68" s="136" t="str">
        <f>IF($D68&lt;&gt;"Feature",".",
IF(VLOOKUP($B68,Feature_List!$A:$AM,MATCH(BM$1,  Feature_List!$A$1:$AM$1,0),0)=E68,".","NO"))</f>
        <v>.</v>
      </c>
      <c r="BN68" s="136" t="str">
        <f>IF($D68&lt;&gt;"Feature",".",
IF(VLOOKUP($B68,Feature_List!$A:$AM,MATCH(BN$1,  Feature_List!$A$1:$AM$1,0),0)=F68,".","NO"))</f>
        <v>.</v>
      </c>
      <c r="BO68" s="136" t="str">
        <f>IF($D68&lt;&gt;"Feature",".",
IF(VLOOKUP($B68,Feature_List!$A:$AM,MATCH(BO$1,  Feature_List!$A$1:$AM$1,0),0)=G68,".","NO"))</f>
        <v>.</v>
      </c>
      <c r="BP68" s="136" t="str">
        <f>IF($D68&lt;&gt;"Feature",".",
IF(VLOOKUP($B68,Feature_List!$A:$AM,MATCH(BP$1,  Feature_List!$A$1:$AM$1,0),0)=H68,".","NO"))</f>
        <v>.</v>
      </c>
      <c r="BQ68" s="136"/>
      <c r="BR68" s="136" t="str">
        <f>IF($D68&lt;&gt;"Feature",".",
IF(VLOOKUP($B68,Feature_List!$A:$AM,MATCH(BR$1,  Feature_List!$A$1:$AM$1,0),0)=J68,".","NO"))</f>
        <v>.</v>
      </c>
      <c r="BS68" s="136"/>
      <c r="BT68" s="136"/>
      <c r="BU68" s="136" t="str">
        <f>IF($D68&lt;&gt;"Feature",".",
IF(VLOOKUP($B68,Feature_List!$A:$AM,MATCH(BU$1,  Feature_List!$A$1:$AM$1,0),0)=M68,".","NO"))</f>
        <v>.</v>
      </c>
      <c r="BV68" s="136" t="str">
        <f>IF($D68&lt;&gt;"Feature",".",
IF(VLOOKUP($B68,Feature_List!$A:$AM,MATCH(BV$1,  Feature_List!$A$1:$AM$1,0),0)=N68,".","NO"))</f>
        <v>.</v>
      </c>
      <c r="BW68" s="136"/>
      <c r="BX68" s="136"/>
      <c r="BY68" s="136"/>
      <c r="BZ68" s="136"/>
      <c r="CA68" s="136"/>
      <c r="CB68" s="136" t="str">
        <f>IF($D68&lt;&gt;"Feature",".",
IF(VLOOKUP($B68,Feature_List!$A:$AM,MATCH(CB$1,  Feature_List!$A$1:$AM$1,0),0)=T68,".","NO"))</f>
        <v>.</v>
      </c>
      <c r="CC68" s="136"/>
      <c r="CD68" s="136"/>
      <c r="CE68" s="136"/>
      <c r="CF68" s="136"/>
      <c r="CG68" s="136"/>
      <c r="CH68" s="136"/>
      <c r="CI68" s="136"/>
      <c r="CJ68" s="136"/>
      <c r="CK68" s="136"/>
      <c r="CL68" s="136"/>
      <c r="CM68" s="136"/>
      <c r="CN68" s="136"/>
      <c r="CO68" s="136" t="str">
        <f>IF($D68&lt;&gt;"Feature",".",
IF(VLOOKUP($B68,Feature_List!$A:$AM,MATCH(CO$1,  Feature_List!$A$1:$AM$1,0),0)=AG68,".","NO"))</f>
        <v>.</v>
      </c>
      <c r="CP68" s="136" t="str">
        <f>IF($D68&lt;&gt;"Feature",".",
IF(VLOOKUP($B68,Feature_List!$A:$AM,MATCH(CP$1,  Feature_List!$A$1:$AM$1,0),0)=AH68,".","NO"))</f>
        <v>.</v>
      </c>
      <c r="CQ68" s="136" t="str">
        <f>IF($D68&lt;&gt;"Feature",".",
IF(VLOOKUP($B68,Feature_List!$A:$AM,MATCH(CQ$1,  Feature_List!$A$1:$AM$1,0),0)=AI68,".","NO"))</f>
        <v>.</v>
      </c>
      <c r="CR68" s="136" t="str">
        <f>IF($D68&lt;&gt;"Feature",".",
IF(VLOOKUP($B68,Feature_List!$A:$AM,MATCH(CR$1,  Feature_List!$A$1:$AM$1,0),0)=AJ68,".","NO"))</f>
        <v>.</v>
      </c>
      <c r="CS68" s="136" t="str">
        <f>IF($D68&lt;&gt;"Feature",".",
IF(VLOOKUP($B68,Feature_List!$A:$AM,MATCH(CS$1,  Feature_List!$A$1:$AM$1,0),0)=AK68,".","NO"))</f>
        <v>.</v>
      </c>
      <c r="CT68" s="136" t="str">
        <f>IF($D68&lt;&gt;"Feature",".",
IF(VLOOKUP($B68,Feature_List!$A:$AM,MATCH(CT$1,  Feature_List!$A$1:$AM$1,0),0)=AL68,".","NO"))</f>
        <v>.</v>
      </c>
      <c r="CU68" s="136" t="str">
        <f>IF($D68&lt;&gt;"Feature",".",
IF(VLOOKUP($B68,Feature_List!$A:$AM,MATCH(CU$1,  Feature_List!$A$1:$AM$1,0),0)=AM68,".","NO"))</f>
        <v>.</v>
      </c>
      <c r="CV68" s="136" t="str">
        <f>IF($D68&lt;&gt;"Feature",".",
IF(VLOOKUP($B68,Feature_List!$A:$AM,MATCH(CV$1,  Feature_List!$A$1:$AM$1,0),0)=AN68,".","NO"))</f>
        <v>.</v>
      </c>
      <c r="CW68" s="136" t="str">
        <f>IF($D68&lt;&gt;"Feature",".",
IF(VLOOKUP($B68,Feature_List!$A:$AM,MATCH(CW$1,  Feature_List!$A$1:$AM$1,0),0)=AO68,".","NO"))</f>
        <v>.</v>
      </c>
      <c r="CX68" s="136" t="str">
        <f>IF($D68&lt;&gt;"Feature",".",
IF(VLOOKUP($B68,Feature_List!$A:$AM,MATCH(CX$1,  Feature_List!$A$1:$AM$1,0),0)=AP68,".","NO"))</f>
        <v>.</v>
      </c>
      <c r="CY68" s="136" t="str">
        <f>IF($D68&lt;&gt;"Feature",".",
IF(VLOOKUP($B68,Feature_List!$A:$AM,MATCH(CY$1,  Feature_List!$A$1:$AM$1,0),0)=AQ68,".","NO"))</f>
        <v>.</v>
      </c>
      <c r="CZ68" s="136" t="str">
        <f>IF($D68&lt;&gt;"Feature",".",
IF(VLOOKUP($B68,Feature_List!$A:$AM,MATCH(CZ$1,  Feature_List!$A$1:$AM$1,0),0)=AR68,".","NO"))</f>
        <v>.</v>
      </c>
      <c r="DA68" s="136" t="str">
        <f>IF($D68&lt;&gt;"Feature",".",
IF(VLOOKUP($B68,Feature_List!$A:$AM,MATCH(DA$1,  Feature_List!$A$1:$AM$1,0),0)=AS68,".","NO"))</f>
        <v>.</v>
      </c>
      <c r="DB68" s="136" t="str">
        <f>IF($D68&lt;&gt;"Feature",".",
IF(VLOOKUP($B68,Feature_List!$A:$AM,MATCH(DB$1,  Feature_List!$A$1:$AM$1,0),0)=AT68,".","NO"))</f>
        <v>.</v>
      </c>
      <c r="DC68" s="136" t="str">
        <f>IF($D68&lt;&gt;"Feature",".",
IF(VLOOKUP($B68,Feature_List!$A:$AM,MATCH(DC$1,  Feature_List!$A$1:$AM$1,0),0)=AU68,".","NO"))</f>
        <v>.</v>
      </c>
      <c r="DD68" s="136" t="str">
        <f>IF($D68&lt;&gt;"Feature",".",
IF(VLOOKUP($B68,Feature_List!$A:$AM,MATCH(DD$1,  Feature_List!$A$1:$AM$1,0),0)=AV68,".","NO"))</f>
        <v>.</v>
      </c>
      <c r="DE68" s="136" t="str">
        <f>IF($D68&lt;&gt;"Feature",".",
IF(VLOOKUP($B68,Feature_List!$A:$AM,MATCH(DE$1,  Feature_List!$A$1:$AM$1,0),0)=AW68,".","NO"))</f>
        <v>.</v>
      </c>
      <c r="DF68" s="136" t="str">
        <f>IF($D68&lt;&gt;"Feature",".",
IF(VLOOKUP($B68,Feature_List!$A:$AM,MATCH(DF$1,  Feature_List!$A$1:$AM$1,0),0)=AX68,".","NO"))</f>
        <v>.</v>
      </c>
      <c r="DG68" s="136" t="str">
        <f>IF($D68&lt;&gt;"Feature",".",
IF(VLOOKUP($B68,Feature_List!$A:$AM,MATCH(DG$1,  Feature_List!$A$1:$AM$1,0),0)=AY68,".","NO"))</f>
        <v>.</v>
      </c>
      <c r="DH68" s="136" t="str">
        <f>IF($D68&lt;&gt;"Feature",".",
IF(VLOOKUP($B68,Feature_List!$A:$AM,MATCH(DH$1,  Feature_List!$A$1:$AM$1,0),0)=AZ68,".","NO"))</f>
        <v>.</v>
      </c>
      <c r="DI68" s="136" t="str">
        <f>IF($D68&lt;&gt;"Feature",".",
IF(VLOOKUP($B68,Feature_List!$A:$AM,MATCH(DI$1,  Feature_List!$A$1:$AM$1,0),0)=BA68,".","NO"))</f>
        <v>.</v>
      </c>
      <c r="DJ68" s="136" t="str">
        <f>IF($D68&lt;&gt;"Feature",".",
IF(VLOOKUP($B68,Feature_List!$A:$AM,MATCH(DJ$1,  Feature_List!$A$1:$AM$1,0),0)=BB68,".","NO"))</f>
        <v>.</v>
      </c>
      <c r="DK68" s="136"/>
      <c r="DL68" s="136"/>
      <c r="DM68" s="136"/>
      <c r="DN68" s="136" t="str">
        <f>IF($D68&lt;&gt;"Feature",".",
IF(VLOOKUP($B68,Feature_List!$A:$AM,MATCH(DN$1,  Feature_List!$A$1:$AM$1,0),0)=BC68,".","NO"))</f>
        <v>.</v>
      </c>
      <c r="DO68" s="136" t="str">
        <f>IF($D68&lt;&gt;"Feature",".",
IF(VLOOKUP($B68,Feature_List!$A:$AM,MATCH(DO$1,  Feature_List!$A$1:$AM$1,0),0)=BD68,".","NO"))</f>
        <v>.</v>
      </c>
    </row>
    <row r="69" spans="2:119" x14ac:dyDescent="0.3">
      <c r="B69" s="121">
        <v>318435</v>
      </c>
      <c r="C69" s="122" t="s">
        <v>604</v>
      </c>
      <c r="D69" s="122" t="s">
        <v>71</v>
      </c>
      <c r="E69" s="122" t="s">
        <v>739</v>
      </c>
      <c r="F69" s="138" t="s">
        <v>657</v>
      </c>
      <c r="G69" s="123" t="s">
        <v>657</v>
      </c>
      <c r="H69" s="122" t="s">
        <v>70</v>
      </c>
      <c r="I69" s="124" t="s">
        <v>562</v>
      </c>
      <c r="J69" s="138"/>
      <c r="K69" s="123">
        <v>2</v>
      </c>
      <c r="L69" s="122"/>
      <c r="M69" s="122" t="s">
        <v>666</v>
      </c>
      <c r="N69" s="125" t="s">
        <v>651</v>
      </c>
      <c r="O69" s="123">
        <f t="shared" si="38"/>
        <v>2</v>
      </c>
      <c r="P69" s="123" t="str">
        <f t="shared" si="39"/>
        <v>New</v>
      </c>
      <c r="Q69" s="122" t="str">
        <f t="shared" si="61"/>
        <v>Story</v>
      </c>
      <c r="R69" s="126">
        <f t="shared" si="40"/>
        <v>318430</v>
      </c>
      <c r="S69" s="127">
        <f t="shared" si="41"/>
        <v>318435</v>
      </c>
      <c r="T69" s="128" t="e">
        <f>IF($Q69="ZeroEntry", "",VLOOKUP($I69,'Ranking Lookup'!#REF!,2,FALSE))</f>
        <v>#REF!</v>
      </c>
      <c r="U69" s="129" t="str">
        <f t="shared" si="42"/>
        <v/>
      </c>
      <c r="V69" s="129" t="str">
        <f t="shared" si="43"/>
        <v/>
      </c>
      <c r="W69" s="129" t="str">
        <f t="shared" si="44"/>
        <v/>
      </c>
      <c r="X69" s="129" t="str">
        <f t="shared" si="45"/>
        <v/>
      </c>
      <c r="Y69" s="129" t="str">
        <f t="shared" si="46"/>
        <v>Feature</v>
      </c>
      <c r="Z69" s="129" t="str">
        <f t="shared" si="47"/>
        <v/>
      </c>
      <c r="AA69" s="130"/>
      <c r="AB69" s="130" t="str">
        <f t="shared" si="48"/>
        <v>PI 12</v>
      </c>
      <c r="AC69" s="131">
        <f t="shared" si="62"/>
        <v>2</v>
      </c>
      <c r="AD69" s="131">
        <f t="shared" si="63"/>
        <v>0</v>
      </c>
      <c r="AE69" s="132">
        <f t="shared" si="49"/>
        <v>0</v>
      </c>
      <c r="AF69" s="133" t="str">
        <f t="shared" si="64"/>
        <v/>
      </c>
      <c r="AG69" s="134">
        <f t="shared" si="50"/>
        <v>0</v>
      </c>
      <c r="AH69" s="54" t="str">
        <f t="shared" si="51"/>
        <v/>
      </c>
      <c r="AI69" s="54" t="e">
        <f t="shared" si="52"/>
        <v>#REF!</v>
      </c>
      <c r="AJ69" s="54" t="e">
        <f t="shared" si="52"/>
        <v>#REF!</v>
      </c>
      <c r="AK69" s="54" t="e">
        <f t="shared" si="52"/>
        <v>#REF!</v>
      </c>
      <c r="AL69" s="54" t="e">
        <f t="shared" si="52"/>
        <v>#REF!</v>
      </c>
      <c r="AM69" s="54" t="e">
        <f t="shared" si="52"/>
        <v>#REF!</v>
      </c>
      <c r="AN69" s="54" t="e">
        <f t="shared" si="52"/>
        <v>#REF!</v>
      </c>
      <c r="AO69" s="54" t="e">
        <f t="shared" si="52"/>
        <v>#REF!</v>
      </c>
      <c r="AP69" s="54" t="e">
        <f t="shared" si="52"/>
        <v>#REF!</v>
      </c>
      <c r="AQ69" s="54" t="e">
        <f t="shared" si="52"/>
        <v>#REF!</v>
      </c>
      <c r="AR69" s="54" t="e">
        <f t="shared" si="52"/>
        <v>#REF!</v>
      </c>
      <c r="AS69" s="54" t="e">
        <f t="shared" si="52"/>
        <v>#REF!</v>
      </c>
      <c r="AT69" s="54" t="e">
        <f t="shared" si="52"/>
        <v>#REF!</v>
      </c>
      <c r="AU69" s="54" t="e">
        <f t="shared" si="52"/>
        <v>#REF!</v>
      </c>
      <c r="AV69" s="54" t="e">
        <f t="shared" si="52"/>
        <v>#REF!</v>
      </c>
      <c r="AW69" s="54" t="e">
        <f t="shared" si="52"/>
        <v>#REF!</v>
      </c>
      <c r="AX69" s="54" t="e">
        <f t="shared" si="52"/>
        <v>#REF!</v>
      </c>
      <c r="AY69" s="54" t="e">
        <f t="shared" si="53"/>
        <v>#REF!</v>
      </c>
      <c r="AZ69" s="54" t="str">
        <f t="shared" si="54"/>
        <v/>
      </c>
      <c r="BA69" s="54" t="e">
        <f t="shared" si="55"/>
        <v>#REF!</v>
      </c>
      <c r="BB69" s="135" t="str">
        <f t="shared" si="56"/>
        <v/>
      </c>
      <c r="BC69" s="54" t="e">
        <f t="shared" si="36"/>
        <v>#REF!</v>
      </c>
      <c r="BD69" s="54" t="e">
        <f t="shared" si="36"/>
        <v>#REF!</v>
      </c>
      <c r="BE69" s="54" t="e">
        <f t="shared" si="36"/>
        <v>#REF!</v>
      </c>
      <c r="BF69" s="54" t="str">
        <f t="shared" si="57"/>
        <v/>
      </c>
      <c r="BG69" s="54" t="str">
        <f t="shared" si="58"/>
        <v/>
      </c>
      <c r="BH69" s="34" t="e">
        <f t="shared" si="59"/>
        <v>#REF!</v>
      </c>
      <c r="BI69" s="34" t="e">
        <f t="shared" si="60"/>
        <v>#REF!</v>
      </c>
      <c r="BJ69" s="136" t="str">
        <f>IF($D69&lt;&gt;"Feature",".",
IF(VLOOKUP($B69,Feature_List!$A:$AM,MATCH(BJ$1,  Feature_List!$A$1:$AM$1,0),0)=B69,".","NO"))</f>
        <v>.</v>
      </c>
      <c r="BK69" s="136"/>
      <c r="BL69" s="136"/>
      <c r="BM69" s="136" t="str">
        <f>IF($D69&lt;&gt;"Feature",".",
IF(VLOOKUP($B69,Feature_List!$A:$AM,MATCH(BM$1,  Feature_List!$A$1:$AM$1,0),0)=E69,".","NO"))</f>
        <v>.</v>
      </c>
      <c r="BN69" s="136" t="str">
        <f>IF($D69&lt;&gt;"Feature",".",
IF(VLOOKUP($B69,Feature_List!$A:$AM,MATCH(BN$1,  Feature_List!$A$1:$AM$1,0),0)=F69,".","NO"))</f>
        <v>.</v>
      </c>
      <c r="BO69" s="136" t="str">
        <f>IF($D69&lt;&gt;"Feature",".",
IF(VLOOKUP($B69,Feature_List!$A:$AM,MATCH(BO$1,  Feature_List!$A$1:$AM$1,0),0)=G69,".","NO"))</f>
        <v>.</v>
      </c>
      <c r="BP69" s="136" t="str">
        <f>IF($D69&lt;&gt;"Feature",".",
IF(VLOOKUP($B69,Feature_List!$A:$AM,MATCH(BP$1,  Feature_List!$A$1:$AM$1,0),0)=H69,".","NO"))</f>
        <v>.</v>
      </c>
      <c r="BQ69" s="136"/>
      <c r="BR69" s="136" t="str">
        <f>IF($D69&lt;&gt;"Feature",".",
IF(VLOOKUP($B69,Feature_List!$A:$AM,MATCH(BR$1,  Feature_List!$A$1:$AM$1,0),0)=J69,".","NO"))</f>
        <v>.</v>
      </c>
      <c r="BS69" s="136"/>
      <c r="BT69" s="136"/>
      <c r="BU69" s="136" t="str">
        <f>IF($D69&lt;&gt;"Feature",".",
IF(VLOOKUP($B69,Feature_List!$A:$AM,MATCH(BU$1,  Feature_List!$A$1:$AM$1,0),0)=M69,".","NO"))</f>
        <v>.</v>
      </c>
      <c r="BV69" s="136" t="str">
        <f>IF($D69&lt;&gt;"Feature",".",
IF(VLOOKUP($B69,Feature_List!$A:$AM,MATCH(BV$1,  Feature_List!$A$1:$AM$1,0),0)=N69,".","NO"))</f>
        <v>.</v>
      </c>
      <c r="BW69" s="136"/>
      <c r="BX69" s="136"/>
      <c r="BY69" s="136"/>
      <c r="BZ69" s="136"/>
      <c r="CA69" s="136"/>
      <c r="CB69" s="136" t="str">
        <f>IF($D69&lt;&gt;"Feature",".",
IF(VLOOKUP($B69,Feature_List!$A:$AM,MATCH(CB$1,  Feature_List!$A$1:$AM$1,0),0)=T69,".","NO"))</f>
        <v>.</v>
      </c>
      <c r="CC69" s="136"/>
      <c r="CD69" s="136"/>
      <c r="CE69" s="136"/>
      <c r="CF69" s="136"/>
      <c r="CG69" s="136"/>
      <c r="CH69" s="136"/>
      <c r="CI69" s="136"/>
      <c r="CJ69" s="136"/>
      <c r="CK69" s="136"/>
      <c r="CL69" s="136"/>
      <c r="CM69" s="136"/>
      <c r="CN69" s="136"/>
      <c r="CO69" s="136" t="str">
        <f>IF($D69&lt;&gt;"Feature",".",
IF(VLOOKUP($B69,Feature_List!$A:$AM,MATCH(CO$1,  Feature_List!$A$1:$AM$1,0),0)=AG69,".","NO"))</f>
        <v>.</v>
      </c>
      <c r="CP69" s="136" t="str">
        <f>IF($D69&lt;&gt;"Feature",".",
IF(VLOOKUP($B69,Feature_List!$A:$AM,MATCH(CP$1,  Feature_List!$A$1:$AM$1,0),0)=AH69,".","NO"))</f>
        <v>.</v>
      </c>
      <c r="CQ69" s="136" t="str">
        <f>IF($D69&lt;&gt;"Feature",".",
IF(VLOOKUP($B69,Feature_List!$A:$AM,MATCH(CQ$1,  Feature_List!$A$1:$AM$1,0),0)=AI69,".","NO"))</f>
        <v>.</v>
      </c>
      <c r="CR69" s="136" t="str">
        <f>IF($D69&lt;&gt;"Feature",".",
IF(VLOOKUP($B69,Feature_List!$A:$AM,MATCH(CR$1,  Feature_List!$A$1:$AM$1,0),0)=AJ69,".","NO"))</f>
        <v>.</v>
      </c>
      <c r="CS69" s="136" t="str">
        <f>IF($D69&lt;&gt;"Feature",".",
IF(VLOOKUP($B69,Feature_List!$A:$AM,MATCH(CS$1,  Feature_List!$A$1:$AM$1,0),0)=AK69,".","NO"))</f>
        <v>.</v>
      </c>
      <c r="CT69" s="136" t="str">
        <f>IF($D69&lt;&gt;"Feature",".",
IF(VLOOKUP($B69,Feature_List!$A:$AM,MATCH(CT$1,  Feature_List!$A$1:$AM$1,0),0)=AL69,".","NO"))</f>
        <v>.</v>
      </c>
      <c r="CU69" s="136" t="str">
        <f>IF($D69&lt;&gt;"Feature",".",
IF(VLOOKUP($B69,Feature_List!$A:$AM,MATCH(CU$1,  Feature_List!$A$1:$AM$1,0),0)=AM69,".","NO"))</f>
        <v>.</v>
      </c>
      <c r="CV69" s="136" t="str">
        <f>IF($D69&lt;&gt;"Feature",".",
IF(VLOOKUP($B69,Feature_List!$A:$AM,MATCH(CV$1,  Feature_List!$A$1:$AM$1,0),0)=AN69,".","NO"))</f>
        <v>.</v>
      </c>
      <c r="CW69" s="136" t="str">
        <f>IF($D69&lt;&gt;"Feature",".",
IF(VLOOKUP($B69,Feature_List!$A:$AM,MATCH(CW$1,  Feature_List!$A$1:$AM$1,0),0)=AO69,".","NO"))</f>
        <v>.</v>
      </c>
      <c r="CX69" s="136" t="str">
        <f>IF($D69&lt;&gt;"Feature",".",
IF(VLOOKUP($B69,Feature_List!$A:$AM,MATCH(CX$1,  Feature_List!$A$1:$AM$1,0),0)=AP69,".","NO"))</f>
        <v>.</v>
      </c>
      <c r="CY69" s="136" t="str">
        <f>IF($D69&lt;&gt;"Feature",".",
IF(VLOOKUP($B69,Feature_List!$A:$AM,MATCH(CY$1,  Feature_List!$A$1:$AM$1,0),0)=AQ69,".","NO"))</f>
        <v>.</v>
      </c>
      <c r="CZ69" s="136" t="str">
        <f>IF($D69&lt;&gt;"Feature",".",
IF(VLOOKUP($B69,Feature_List!$A:$AM,MATCH(CZ$1,  Feature_List!$A$1:$AM$1,0),0)=AR69,".","NO"))</f>
        <v>.</v>
      </c>
      <c r="DA69" s="136" t="str">
        <f>IF($D69&lt;&gt;"Feature",".",
IF(VLOOKUP($B69,Feature_List!$A:$AM,MATCH(DA$1,  Feature_List!$A$1:$AM$1,0),0)=AS69,".","NO"))</f>
        <v>.</v>
      </c>
      <c r="DB69" s="136" t="str">
        <f>IF($D69&lt;&gt;"Feature",".",
IF(VLOOKUP($B69,Feature_List!$A:$AM,MATCH(DB$1,  Feature_List!$A$1:$AM$1,0),0)=AT69,".","NO"))</f>
        <v>.</v>
      </c>
      <c r="DC69" s="136" t="str">
        <f>IF($D69&lt;&gt;"Feature",".",
IF(VLOOKUP($B69,Feature_List!$A:$AM,MATCH(DC$1,  Feature_List!$A$1:$AM$1,0),0)=AU69,".","NO"))</f>
        <v>.</v>
      </c>
      <c r="DD69" s="136" t="str">
        <f>IF($D69&lt;&gt;"Feature",".",
IF(VLOOKUP($B69,Feature_List!$A:$AM,MATCH(DD$1,  Feature_List!$A$1:$AM$1,0),0)=AV69,".","NO"))</f>
        <v>.</v>
      </c>
      <c r="DE69" s="136" t="str">
        <f>IF($D69&lt;&gt;"Feature",".",
IF(VLOOKUP($B69,Feature_List!$A:$AM,MATCH(DE$1,  Feature_List!$A$1:$AM$1,0),0)=AW69,".","NO"))</f>
        <v>.</v>
      </c>
      <c r="DF69" s="136" t="str">
        <f>IF($D69&lt;&gt;"Feature",".",
IF(VLOOKUP($B69,Feature_List!$A:$AM,MATCH(DF$1,  Feature_List!$A$1:$AM$1,0),0)=AX69,".","NO"))</f>
        <v>.</v>
      </c>
      <c r="DG69" s="136" t="str">
        <f>IF($D69&lt;&gt;"Feature",".",
IF(VLOOKUP($B69,Feature_List!$A:$AM,MATCH(DG$1,  Feature_List!$A$1:$AM$1,0),0)=AY69,".","NO"))</f>
        <v>.</v>
      </c>
      <c r="DH69" s="136" t="str">
        <f>IF($D69&lt;&gt;"Feature",".",
IF(VLOOKUP($B69,Feature_List!$A:$AM,MATCH(DH$1,  Feature_List!$A$1:$AM$1,0),0)=AZ69,".","NO"))</f>
        <v>.</v>
      </c>
      <c r="DI69" s="136" t="str">
        <f>IF($D69&lt;&gt;"Feature",".",
IF(VLOOKUP($B69,Feature_List!$A:$AM,MATCH(DI$1,  Feature_List!$A$1:$AM$1,0),0)=BA69,".","NO"))</f>
        <v>.</v>
      </c>
      <c r="DJ69" s="136" t="str">
        <f>IF($D69&lt;&gt;"Feature",".",
IF(VLOOKUP($B69,Feature_List!$A:$AM,MATCH(DJ$1,  Feature_List!$A$1:$AM$1,0),0)=BB69,".","NO"))</f>
        <v>.</v>
      </c>
      <c r="DK69" s="136"/>
      <c r="DL69" s="136"/>
      <c r="DM69" s="136"/>
      <c r="DN69" s="136" t="str">
        <f>IF($D69&lt;&gt;"Feature",".",
IF(VLOOKUP($B69,Feature_List!$A:$AM,MATCH(DN$1,  Feature_List!$A$1:$AM$1,0),0)=BC69,".","NO"))</f>
        <v>.</v>
      </c>
      <c r="DO69" s="136" t="str">
        <f>IF($D69&lt;&gt;"Feature",".",
IF(VLOOKUP($B69,Feature_List!$A:$AM,MATCH(DO$1,  Feature_List!$A$1:$AM$1,0),0)=BD69,".","NO"))</f>
        <v>.</v>
      </c>
    </row>
    <row r="70" spans="2:119" x14ac:dyDescent="0.3">
      <c r="B70" s="121">
        <v>318434</v>
      </c>
      <c r="C70" s="122" t="s">
        <v>604</v>
      </c>
      <c r="D70" s="122" t="s">
        <v>71</v>
      </c>
      <c r="E70" s="122" t="s">
        <v>740</v>
      </c>
      <c r="F70" s="138" t="s">
        <v>641</v>
      </c>
      <c r="G70" s="123" t="s">
        <v>641</v>
      </c>
      <c r="H70" s="122" t="s">
        <v>70</v>
      </c>
      <c r="I70" s="124" t="s">
        <v>562</v>
      </c>
      <c r="J70" s="138"/>
      <c r="K70" s="123">
        <v>2</v>
      </c>
      <c r="L70" s="122"/>
      <c r="M70" s="122" t="s">
        <v>676</v>
      </c>
      <c r="N70" s="125" t="s">
        <v>651</v>
      </c>
      <c r="O70" s="123">
        <f t="shared" si="38"/>
        <v>2</v>
      </c>
      <c r="P70" s="123" t="str">
        <f t="shared" si="39"/>
        <v>New</v>
      </c>
      <c r="Q70" s="122" t="str">
        <f t="shared" si="61"/>
        <v>Story</v>
      </c>
      <c r="R70" s="126">
        <f t="shared" si="40"/>
        <v>318430</v>
      </c>
      <c r="S70" s="127">
        <f t="shared" si="41"/>
        <v>318434</v>
      </c>
      <c r="T70" s="128" t="e">
        <f>IF($Q70="ZeroEntry", "",VLOOKUP($I70,'Ranking Lookup'!#REF!,2,FALSE))</f>
        <v>#REF!</v>
      </c>
      <c r="U70" s="129" t="str">
        <f t="shared" si="42"/>
        <v/>
      </c>
      <c r="V70" s="129" t="str">
        <f t="shared" si="43"/>
        <v/>
      </c>
      <c r="W70" s="129" t="str">
        <f t="shared" si="44"/>
        <v/>
      </c>
      <c r="X70" s="129" t="str">
        <f t="shared" si="45"/>
        <v/>
      </c>
      <c r="Y70" s="129" t="str">
        <f t="shared" si="46"/>
        <v>Feature</v>
      </c>
      <c r="Z70" s="129" t="str">
        <f t="shared" si="47"/>
        <v/>
      </c>
      <c r="AA70" s="130"/>
      <c r="AB70" s="130" t="str">
        <f t="shared" si="48"/>
        <v>PI 12</v>
      </c>
      <c r="AC70" s="131">
        <f t="shared" si="62"/>
        <v>2</v>
      </c>
      <c r="AD70" s="131">
        <f t="shared" si="63"/>
        <v>0</v>
      </c>
      <c r="AE70" s="132">
        <f t="shared" si="49"/>
        <v>0</v>
      </c>
      <c r="AF70" s="133" t="str">
        <f t="shared" si="64"/>
        <v/>
      </c>
      <c r="AG70" s="134">
        <f t="shared" si="50"/>
        <v>0</v>
      </c>
      <c r="AH70" s="54" t="str">
        <f t="shared" si="51"/>
        <v/>
      </c>
      <c r="AI70" s="54" t="e">
        <f t="shared" si="52"/>
        <v>#REF!</v>
      </c>
      <c r="AJ70" s="54" t="e">
        <f t="shared" si="52"/>
        <v>#REF!</v>
      </c>
      <c r="AK70" s="54" t="e">
        <f t="shared" si="52"/>
        <v>#REF!</v>
      </c>
      <c r="AL70" s="54" t="e">
        <f t="shared" si="52"/>
        <v>#REF!</v>
      </c>
      <c r="AM70" s="54" t="e">
        <f t="shared" si="52"/>
        <v>#REF!</v>
      </c>
      <c r="AN70" s="54" t="e">
        <f t="shared" si="52"/>
        <v>#REF!</v>
      </c>
      <c r="AO70" s="54" t="e">
        <f t="shared" si="52"/>
        <v>#REF!</v>
      </c>
      <c r="AP70" s="54" t="e">
        <f t="shared" si="52"/>
        <v>#REF!</v>
      </c>
      <c r="AQ70" s="54" t="e">
        <f t="shared" si="52"/>
        <v>#REF!</v>
      </c>
      <c r="AR70" s="54" t="e">
        <f t="shared" si="52"/>
        <v>#REF!</v>
      </c>
      <c r="AS70" s="54" t="e">
        <f t="shared" si="52"/>
        <v>#REF!</v>
      </c>
      <c r="AT70" s="54" t="e">
        <f t="shared" si="52"/>
        <v>#REF!</v>
      </c>
      <c r="AU70" s="54" t="e">
        <f t="shared" si="52"/>
        <v>#REF!</v>
      </c>
      <c r="AV70" s="54" t="e">
        <f t="shared" si="52"/>
        <v>#REF!</v>
      </c>
      <c r="AW70" s="54" t="e">
        <f t="shared" si="52"/>
        <v>#REF!</v>
      </c>
      <c r="AX70" s="54" t="e">
        <f t="shared" si="52"/>
        <v>#REF!</v>
      </c>
      <c r="AY70" s="54" t="e">
        <f t="shared" si="53"/>
        <v>#REF!</v>
      </c>
      <c r="AZ70" s="54" t="str">
        <f t="shared" si="54"/>
        <v/>
      </c>
      <c r="BA70" s="54" t="e">
        <f t="shared" si="55"/>
        <v>#REF!</v>
      </c>
      <c r="BB70" s="135" t="str">
        <f t="shared" si="56"/>
        <v/>
      </c>
      <c r="BC70" s="54" t="e">
        <f t="shared" si="36"/>
        <v>#REF!</v>
      </c>
      <c r="BD70" s="54" t="e">
        <f t="shared" si="36"/>
        <v>#REF!</v>
      </c>
      <c r="BE70" s="54" t="e">
        <f t="shared" si="36"/>
        <v>#REF!</v>
      </c>
      <c r="BF70" s="54" t="str">
        <f t="shared" si="57"/>
        <v/>
      </c>
      <c r="BG70" s="54" t="str">
        <f t="shared" si="58"/>
        <v/>
      </c>
      <c r="BH70" s="34" t="e">
        <f t="shared" si="59"/>
        <v>#REF!</v>
      </c>
      <c r="BI70" s="34" t="e">
        <f t="shared" si="60"/>
        <v>#REF!</v>
      </c>
      <c r="BJ70" s="136" t="str">
        <f>IF($D70&lt;&gt;"Feature",".",
IF(VLOOKUP($B70,Feature_List!$A:$AM,MATCH(BJ$1,  Feature_List!$A$1:$AM$1,0),0)=B70,".","NO"))</f>
        <v>.</v>
      </c>
      <c r="BK70" s="136"/>
      <c r="BL70" s="136"/>
      <c r="BM70" s="136" t="str">
        <f>IF($D70&lt;&gt;"Feature",".",
IF(VLOOKUP($B70,Feature_List!$A:$AM,MATCH(BM$1,  Feature_List!$A$1:$AM$1,0),0)=E70,".","NO"))</f>
        <v>.</v>
      </c>
      <c r="BN70" s="136" t="str">
        <f>IF($D70&lt;&gt;"Feature",".",
IF(VLOOKUP($B70,Feature_List!$A:$AM,MATCH(BN$1,  Feature_List!$A$1:$AM$1,0),0)=F70,".","NO"))</f>
        <v>.</v>
      </c>
      <c r="BO70" s="136" t="str">
        <f>IF($D70&lt;&gt;"Feature",".",
IF(VLOOKUP($B70,Feature_List!$A:$AM,MATCH(BO$1,  Feature_List!$A$1:$AM$1,0),0)=G70,".","NO"))</f>
        <v>.</v>
      </c>
      <c r="BP70" s="136" t="str">
        <f>IF($D70&lt;&gt;"Feature",".",
IF(VLOOKUP($B70,Feature_List!$A:$AM,MATCH(BP$1,  Feature_List!$A$1:$AM$1,0),0)=H70,".","NO"))</f>
        <v>.</v>
      </c>
      <c r="BQ70" s="136"/>
      <c r="BR70" s="136" t="str">
        <f>IF($D70&lt;&gt;"Feature",".",
IF(VLOOKUP($B70,Feature_List!$A:$AM,MATCH(BR$1,  Feature_List!$A$1:$AM$1,0),0)=J70,".","NO"))</f>
        <v>.</v>
      </c>
      <c r="BS70" s="136"/>
      <c r="BT70" s="136"/>
      <c r="BU70" s="136" t="str">
        <f>IF($D70&lt;&gt;"Feature",".",
IF(VLOOKUP($B70,Feature_List!$A:$AM,MATCH(BU$1,  Feature_List!$A$1:$AM$1,0),0)=M70,".","NO"))</f>
        <v>.</v>
      </c>
      <c r="BV70" s="136" t="str">
        <f>IF($D70&lt;&gt;"Feature",".",
IF(VLOOKUP($B70,Feature_List!$A:$AM,MATCH(BV$1,  Feature_List!$A$1:$AM$1,0),0)=N70,".","NO"))</f>
        <v>.</v>
      </c>
      <c r="BW70" s="136"/>
      <c r="BX70" s="136"/>
      <c r="BY70" s="136"/>
      <c r="BZ70" s="136"/>
      <c r="CA70" s="136"/>
      <c r="CB70" s="136" t="str">
        <f>IF($D70&lt;&gt;"Feature",".",
IF(VLOOKUP($B70,Feature_List!$A:$AM,MATCH(CB$1,  Feature_List!$A$1:$AM$1,0),0)=T70,".","NO"))</f>
        <v>.</v>
      </c>
      <c r="CC70" s="136"/>
      <c r="CD70" s="136"/>
      <c r="CE70" s="136"/>
      <c r="CF70" s="136"/>
      <c r="CG70" s="136"/>
      <c r="CH70" s="136"/>
      <c r="CI70" s="136"/>
      <c r="CJ70" s="136"/>
      <c r="CK70" s="136"/>
      <c r="CL70" s="136"/>
      <c r="CM70" s="136"/>
      <c r="CN70" s="136"/>
      <c r="CO70" s="136" t="str">
        <f>IF($D70&lt;&gt;"Feature",".",
IF(VLOOKUP($B70,Feature_List!$A:$AM,MATCH(CO$1,  Feature_List!$A$1:$AM$1,0),0)=AG70,".","NO"))</f>
        <v>.</v>
      </c>
      <c r="CP70" s="136" t="str">
        <f>IF($D70&lt;&gt;"Feature",".",
IF(VLOOKUP($B70,Feature_List!$A:$AM,MATCH(CP$1,  Feature_List!$A$1:$AM$1,0),0)=AH70,".","NO"))</f>
        <v>.</v>
      </c>
      <c r="CQ70" s="136" t="str">
        <f>IF($D70&lt;&gt;"Feature",".",
IF(VLOOKUP($B70,Feature_List!$A:$AM,MATCH(CQ$1,  Feature_List!$A$1:$AM$1,0),0)=AI70,".","NO"))</f>
        <v>.</v>
      </c>
      <c r="CR70" s="136" t="str">
        <f>IF($D70&lt;&gt;"Feature",".",
IF(VLOOKUP($B70,Feature_List!$A:$AM,MATCH(CR$1,  Feature_List!$A$1:$AM$1,0),0)=AJ70,".","NO"))</f>
        <v>.</v>
      </c>
      <c r="CS70" s="136" t="str">
        <f>IF($D70&lt;&gt;"Feature",".",
IF(VLOOKUP($B70,Feature_List!$A:$AM,MATCH(CS$1,  Feature_List!$A$1:$AM$1,0),0)=AK70,".","NO"))</f>
        <v>.</v>
      </c>
      <c r="CT70" s="136" t="str">
        <f>IF($D70&lt;&gt;"Feature",".",
IF(VLOOKUP($B70,Feature_List!$A:$AM,MATCH(CT$1,  Feature_List!$A$1:$AM$1,0),0)=AL70,".","NO"))</f>
        <v>.</v>
      </c>
      <c r="CU70" s="136" t="str">
        <f>IF($D70&lt;&gt;"Feature",".",
IF(VLOOKUP($B70,Feature_List!$A:$AM,MATCH(CU$1,  Feature_List!$A$1:$AM$1,0),0)=AM70,".","NO"))</f>
        <v>.</v>
      </c>
      <c r="CV70" s="136" t="str">
        <f>IF($D70&lt;&gt;"Feature",".",
IF(VLOOKUP($B70,Feature_List!$A:$AM,MATCH(CV$1,  Feature_List!$A$1:$AM$1,0),0)=AN70,".","NO"))</f>
        <v>.</v>
      </c>
      <c r="CW70" s="136" t="str">
        <f>IF($D70&lt;&gt;"Feature",".",
IF(VLOOKUP($B70,Feature_List!$A:$AM,MATCH(CW$1,  Feature_List!$A$1:$AM$1,0),0)=AO70,".","NO"))</f>
        <v>.</v>
      </c>
      <c r="CX70" s="136" t="str">
        <f>IF($D70&lt;&gt;"Feature",".",
IF(VLOOKUP($B70,Feature_List!$A:$AM,MATCH(CX$1,  Feature_List!$A$1:$AM$1,0),0)=AP70,".","NO"))</f>
        <v>.</v>
      </c>
      <c r="CY70" s="136" t="str">
        <f>IF($D70&lt;&gt;"Feature",".",
IF(VLOOKUP($B70,Feature_List!$A:$AM,MATCH(CY$1,  Feature_List!$A$1:$AM$1,0),0)=AQ70,".","NO"))</f>
        <v>.</v>
      </c>
      <c r="CZ70" s="136" t="str">
        <f>IF($D70&lt;&gt;"Feature",".",
IF(VLOOKUP($B70,Feature_List!$A:$AM,MATCH(CZ$1,  Feature_List!$A$1:$AM$1,0),0)=AR70,".","NO"))</f>
        <v>.</v>
      </c>
      <c r="DA70" s="136" t="str">
        <f>IF($D70&lt;&gt;"Feature",".",
IF(VLOOKUP($B70,Feature_List!$A:$AM,MATCH(DA$1,  Feature_List!$A$1:$AM$1,0),0)=AS70,".","NO"))</f>
        <v>.</v>
      </c>
      <c r="DB70" s="136" t="str">
        <f>IF($D70&lt;&gt;"Feature",".",
IF(VLOOKUP($B70,Feature_List!$A:$AM,MATCH(DB$1,  Feature_List!$A$1:$AM$1,0),0)=AT70,".","NO"))</f>
        <v>.</v>
      </c>
      <c r="DC70" s="136" t="str">
        <f>IF($D70&lt;&gt;"Feature",".",
IF(VLOOKUP($B70,Feature_List!$A:$AM,MATCH(DC$1,  Feature_List!$A$1:$AM$1,0),0)=AU70,".","NO"))</f>
        <v>.</v>
      </c>
      <c r="DD70" s="136" t="str">
        <f>IF($D70&lt;&gt;"Feature",".",
IF(VLOOKUP($B70,Feature_List!$A:$AM,MATCH(DD$1,  Feature_List!$A$1:$AM$1,0),0)=AV70,".","NO"))</f>
        <v>.</v>
      </c>
      <c r="DE70" s="136" t="str">
        <f>IF($D70&lt;&gt;"Feature",".",
IF(VLOOKUP($B70,Feature_List!$A:$AM,MATCH(DE$1,  Feature_List!$A$1:$AM$1,0),0)=AW70,".","NO"))</f>
        <v>.</v>
      </c>
      <c r="DF70" s="136" t="str">
        <f>IF($D70&lt;&gt;"Feature",".",
IF(VLOOKUP($B70,Feature_List!$A:$AM,MATCH(DF$1,  Feature_List!$A$1:$AM$1,0),0)=AX70,".","NO"))</f>
        <v>.</v>
      </c>
      <c r="DG70" s="136" t="str">
        <f>IF($D70&lt;&gt;"Feature",".",
IF(VLOOKUP($B70,Feature_List!$A:$AM,MATCH(DG$1,  Feature_List!$A$1:$AM$1,0),0)=AY70,".","NO"))</f>
        <v>.</v>
      </c>
      <c r="DH70" s="136" t="str">
        <f>IF($D70&lt;&gt;"Feature",".",
IF(VLOOKUP($B70,Feature_List!$A:$AM,MATCH(DH$1,  Feature_List!$A$1:$AM$1,0),0)=AZ70,".","NO"))</f>
        <v>.</v>
      </c>
      <c r="DI70" s="136" t="str">
        <f>IF($D70&lt;&gt;"Feature",".",
IF(VLOOKUP($B70,Feature_List!$A:$AM,MATCH(DI$1,  Feature_List!$A$1:$AM$1,0),0)=BA70,".","NO"))</f>
        <v>.</v>
      </c>
      <c r="DJ70" s="136" t="str">
        <f>IF($D70&lt;&gt;"Feature",".",
IF(VLOOKUP($B70,Feature_List!$A:$AM,MATCH(DJ$1,  Feature_List!$A$1:$AM$1,0),0)=BB70,".","NO"))</f>
        <v>.</v>
      </c>
      <c r="DK70" s="136"/>
      <c r="DL70" s="136"/>
      <c r="DM70" s="136"/>
      <c r="DN70" s="136" t="str">
        <f>IF($D70&lt;&gt;"Feature",".",
IF(VLOOKUP($B70,Feature_List!$A:$AM,MATCH(DN$1,  Feature_List!$A$1:$AM$1,0),0)=BC70,".","NO"))</f>
        <v>.</v>
      </c>
      <c r="DO70" s="136" t="str">
        <f>IF($D70&lt;&gt;"Feature",".",
IF(VLOOKUP($B70,Feature_List!$A:$AM,MATCH(DO$1,  Feature_List!$A$1:$AM$1,0),0)=BD70,".","NO"))</f>
        <v>.</v>
      </c>
    </row>
    <row r="71" spans="2:119" x14ac:dyDescent="0.3">
      <c r="B71" s="121">
        <v>318433</v>
      </c>
      <c r="C71" s="123" t="s">
        <v>604</v>
      </c>
      <c r="D71" s="122" t="s">
        <v>71</v>
      </c>
      <c r="E71" s="122" t="s">
        <v>741</v>
      </c>
      <c r="F71" s="138" t="s">
        <v>652</v>
      </c>
      <c r="G71" s="123" t="s">
        <v>652</v>
      </c>
      <c r="H71" s="122" t="s">
        <v>70</v>
      </c>
      <c r="I71" s="124" t="s">
        <v>562</v>
      </c>
      <c r="J71" s="138"/>
      <c r="K71" s="123">
        <v>5</v>
      </c>
      <c r="L71" s="122"/>
      <c r="M71" s="122" t="s">
        <v>671</v>
      </c>
      <c r="N71" s="125" t="s">
        <v>651</v>
      </c>
      <c r="O71" s="123">
        <f t="shared" si="38"/>
        <v>5</v>
      </c>
      <c r="P71" s="123" t="str">
        <f t="shared" si="39"/>
        <v>New</v>
      </c>
      <c r="Q71" s="122" t="str">
        <f t="shared" si="61"/>
        <v>Story</v>
      </c>
      <c r="R71" s="126">
        <f t="shared" si="40"/>
        <v>318430</v>
      </c>
      <c r="S71" s="127">
        <f t="shared" si="41"/>
        <v>318433</v>
      </c>
      <c r="T71" s="128" t="e">
        <f>IF($Q71="ZeroEntry", "",VLOOKUP($I71,'Ranking Lookup'!#REF!,2,FALSE))</f>
        <v>#REF!</v>
      </c>
      <c r="U71" s="129" t="str">
        <f t="shared" si="42"/>
        <v/>
      </c>
      <c r="V71" s="129" t="str">
        <f t="shared" si="43"/>
        <v/>
      </c>
      <c r="W71" s="129" t="str">
        <f t="shared" si="44"/>
        <v/>
      </c>
      <c r="X71" s="129" t="str">
        <f t="shared" si="45"/>
        <v/>
      </c>
      <c r="Y71" s="129" t="str">
        <f t="shared" si="46"/>
        <v>Feature</v>
      </c>
      <c r="Z71" s="129" t="str">
        <f t="shared" si="47"/>
        <v/>
      </c>
      <c r="AA71" s="130"/>
      <c r="AB71" s="130" t="str">
        <f t="shared" si="48"/>
        <v>PI 12</v>
      </c>
      <c r="AC71" s="131">
        <f t="shared" si="62"/>
        <v>5</v>
      </c>
      <c r="AD71" s="131">
        <f t="shared" si="63"/>
        <v>0</v>
      </c>
      <c r="AE71" s="132">
        <f t="shared" si="49"/>
        <v>0</v>
      </c>
      <c r="AF71" s="133" t="str">
        <f t="shared" si="64"/>
        <v/>
      </c>
      <c r="AG71" s="134">
        <f t="shared" si="50"/>
        <v>0</v>
      </c>
      <c r="AH71" s="54" t="str">
        <f t="shared" si="51"/>
        <v/>
      </c>
      <c r="AI71" s="54" t="e">
        <f t="shared" si="52"/>
        <v>#REF!</v>
      </c>
      <c r="AJ71" s="54" t="e">
        <f t="shared" si="52"/>
        <v>#REF!</v>
      </c>
      <c r="AK71" s="54" t="e">
        <f t="shared" si="52"/>
        <v>#REF!</v>
      </c>
      <c r="AL71" s="54" t="e">
        <f t="shared" si="52"/>
        <v>#REF!</v>
      </c>
      <c r="AM71" s="54" t="e">
        <f t="shared" si="52"/>
        <v>#REF!</v>
      </c>
      <c r="AN71" s="54" t="e">
        <f t="shared" si="52"/>
        <v>#REF!</v>
      </c>
      <c r="AO71" s="54" t="e">
        <f t="shared" si="52"/>
        <v>#REF!</v>
      </c>
      <c r="AP71" s="54" t="e">
        <f t="shared" si="52"/>
        <v>#REF!</v>
      </c>
      <c r="AQ71" s="54" t="e">
        <f t="shared" si="52"/>
        <v>#REF!</v>
      </c>
      <c r="AR71" s="54" t="e">
        <f t="shared" si="52"/>
        <v>#REF!</v>
      </c>
      <c r="AS71" s="54" t="e">
        <f t="shared" si="52"/>
        <v>#REF!</v>
      </c>
      <c r="AT71" s="54" t="e">
        <f t="shared" si="52"/>
        <v>#REF!</v>
      </c>
      <c r="AU71" s="54" t="e">
        <f t="shared" si="52"/>
        <v>#REF!</v>
      </c>
      <c r="AV71" s="54" t="e">
        <f t="shared" si="52"/>
        <v>#REF!</v>
      </c>
      <c r="AW71" s="54" t="e">
        <f t="shared" si="52"/>
        <v>#REF!</v>
      </c>
      <c r="AX71" s="54" t="e">
        <f t="shared" si="52"/>
        <v>#REF!</v>
      </c>
      <c r="AY71" s="54" t="e">
        <f t="shared" si="53"/>
        <v>#REF!</v>
      </c>
      <c r="AZ71" s="54" t="str">
        <f t="shared" si="54"/>
        <v/>
      </c>
      <c r="BA71" s="54" t="e">
        <f t="shared" si="55"/>
        <v>#REF!</v>
      </c>
      <c r="BB71" s="135" t="str">
        <f t="shared" si="56"/>
        <v/>
      </c>
      <c r="BC71" s="54" t="e">
        <f t="shared" si="36"/>
        <v>#REF!</v>
      </c>
      <c r="BD71" s="54" t="e">
        <f t="shared" si="36"/>
        <v>#REF!</v>
      </c>
      <c r="BE71" s="54" t="e">
        <f t="shared" si="36"/>
        <v>#REF!</v>
      </c>
      <c r="BF71" s="54" t="str">
        <f t="shared" si="57"/>
        <v/>
      </c>
      <c r="BG71" s="54" t="str">
        <f t="shared" si="58"/>
        <v/>
      </c>
      <c r="BH71" s="34" t="e">
        <f t="shared" si="59"/>
        <v>#REF!</v>
      </c>
      <c r="BI71" s="34" t="e">
        <f t="shared" si="60"/>
        <v>#REF!</v>
      </c>
      <c r="BJ71" s="136" t="str">
        <f>IF($D71&lt;&gt;"Feature",".",
IF(VLOOKUP($B71,Feature_List!$A:$AM,MATCH(BJ$1,  Feature_List!$A$1:$AM$1,0),0)=B71,".","NO"))</f>
        <v>.</v>
      </c>
      <c r="BK71" s="136"/>
      <c r="BL71" s="136"/>
      <c r="BM71" s="136" t="str">
        <f>IF($D71&lt;&gt;"Feature",".",
IF(VLOOKUP($B71,Feature_List!$A:$AM,MATCH(BM$1,  Feature_List!$A$1:$AM$1,0),0)=E71,".","NO"))</f>
        <v>.</v>
      </c>
      <c r="BN71" s="136" t="str">
        <f>IF($D71&lt;&gt;"Feature",".",
IF(VLOOKUP($B71,Feature_List!$A:$AM,MATCH(BN$1,  Feature_List!$A$1:$AM$1,0),0)=F71,".","NO"))</f>
        <v>.</v>
      </c>
      <c r="BO71" s="136" t="str">
        <f>IF($D71&lt;&gt;"Feature",".",
IF(VLOOKUP($B71,Feature_List!$A:$AM,MATCH(BO$1,  Feature_List!$A$1:$AM$1,0),0)=G71,".","NO"))</f>
        <v>.</v>
      </c>
      <c r="BP71" s="136" t="str">
        <f>IF($D71&lt;&gt;"Feature",".",
IF(VLOOKUP($B71,Feature_List!$A:$AM,MATCH(BP$1,  Feature_List!$A$1:$AM$1,0),0)=H71,".","NO"))</f>
        <v>.</v>
      </c>
      <c r="BQ71" s="136"/>
      <c r="BR71" s="136" t="str">
        <f>IF($D71&lt;&gt;"Feature",".",
IF(VLOOKUP($B71,Feature_List!$A:$AM,MATCH(BR$1,  Feature_List!$A$1:$AM$1,0),0)=J71,".","NO"))</f>
        <v>.</v>
      </c>
      <c r="BS71" s="136"/>
      <c r="BT71" s="136"/>
      <c r="BU71" s="136" t="str">
        <f>IF($D71&lt;&gt;"Feature",".",
IF(VLOOKUP($B71,Feature_List!$A:$AM,MATCH(BU$1,  Feature_List!$A$1:$AM$1,0),0)=M71,".","NO"))</f>
        <v>.</v>
      </c>
      <c r="BV71" s="136" t="str">
        <f>IF($D71&lt;&gt;"Feature",".",
IF(VLOOKUP($B71,Feature_List!$A:$AM,MATCH(BV$1,  Feature_List!$A$1:$AM$1,0),0)=N71,".","NO"))</f>
        <v>.</v>
      </c>
      <c r="BW71" s="136"/>
      <c r="BX71" s="136"/>
      <c r="BY71" s="136"/>
      <c r="BZ71" s="136"/>
      <c r="CA71" s="136"/>
      <c r="CB71" s="136" t="str">
        <f>IF($D71&lt;&gt;"Feature",".",
IF(VLOOKUP($B71,Feature_List!$A:$AM,MATCH(CB$1,  Feature_List!$A$1:$AM$1,0),0)=T71,".","NO"))</f>
        <v>.</v>
      </c>
      <c r="CC71" s="136"/>
      <c r="CD71" s="136"/>
      <c r="CE71" s="136"/>
      <c r="CF71" s="136"/>
      <c r="CG71" s="136"/>
      <c r="CH71" s="136"/>
      <c r="CI71" s="136"/>
      <c r="CJ71" s="136"/>
      <c r="CK71" s="136"/>
      <c r="CL71" s="136"/>
      <c r="CM71" s="136"/>
      <c r="CN71" s="136"/>
      <c r="CO71" s="136" t="str">
        <f>IF($D71&lt;&gt;"Feature",".",
IF(VLOOKUP($B71,Feature_List!$A:$AM,MATCH(CO$1,  Feature_List!$A$1:$AM$1,0),0)=AG71,".","NO"))</f>
        <v>.</v>
      </c>
      <c r="CP71" s="136" t="str">
        <f>IF($D71&lt;&gt;"Feature",".",
IF(VLOOKUP($B71,Feature_List!$A:$AM,MATCH(CP$1,  Feature_List!$A$1:$AM$1,0),0)=AH71,".","NO"))</f>
        <v>.</v>
      </c>
      <c r="CQ71" s="136" t="str">
        <f>IF($D71&lt;&gt;"Feature",".",
IF(VLOOKUP($B71,Feature_List!$A:$AM,MATCH(CQ$1,  Feature_List!$A$1:$AM$1,0),0)=AI71,".","NO"))</f>
        <v>.</v>
      </c>
      <c r="CR71" s="136" t="str">
        <f>IF($D71&lt;&gt;"Feature",".",
IF(VLOOKUP($B71,Feature_List!$A:$AM,MATCH(CR$1,  Feature_List!$A$1:$AM$1,0),0)=AJ71,".","NO"))</f>
        <v>.</v>
      </c>
      <c r="CS71" s="136" t="str">
        <f>IF($D71&lt;&gt;"Feature",".",
IF(VLOOKUP($B71,Feature_List!$A:$AM,MATCH(CS$1,  Feature_List!$A$1:$AM$1,0),0)=AK71,".","NO"))</f>
        <v>.</v>
      </c>
      <c r="CT71" s="136" t="str">
        <f>IF($D71&lt;&gt;"Feature",".",
IF(VLOOKUP($B71,Feature_List!$A:$AM,MATCH(CT$1,  Feature_List!$A$1:$AM$1,0),0)=AL71,".","NO"))</f>
        <v>.</v>
      </c>
      <c r="CU71" s="136" t="str">
        <f>IF($D71&lt;&gt;"Feature",".",
IF(VLOOKUP($B71,Feature_List!$A:$AM,MATCH(CU$1,  Feature_List!$A$1:$AM$1,0),0)=AM71,".","NO"))</f>
        <v>.</v>
      </c>
      <c r="CV71" s="136" t="str">
        <f>IF($D71&lt;&gt;"Feature",".",
IF(VLOOKUP($B71,Feature_List!$A:$AM,MATCH(CV$1,  Feature_List!$A$1:$AM$1,0),0)=AN71,".","NO"))</f>
        <v>.</v>
      </c>
      <c r="CW71" s="136" t="str">
        <f>IF($D71&lt;&gt;"Feature",".",
IF(VLOOKUP($B71,Feature_List!$A:$AM,MATCH(CW$1,  Feature_List!$A$1:$AM$1,0),0)=AO71,".","NO"))</f>
        <v>.</v>
      </c>
      <c r="CX71" s="136" t="str">
        <f>IF($D71&lt;&gt;"Feature",".",
IF(VLOOKUP($B71,Feature_List!$A:$AM,MATCH(CX$1,  Feature_List!$A$1:$AM$1,0),0)=AP71,".","NO"))</f>
        <v>.</v>
      </c>
      <c r="CY71" s="136" t="str">
        <f>IF($D71&lt;&gt;"Feature",".",
IF(VLOOKUP($B71,Feature_List!$A:$AM,MATCH(CY$1,  Feature_List!$A$1:$AM$1,0),0)=AQ71,".","NO"))</f>
        <v>.</v>
      </c>
      <c r="CZ71" s="136" t="str">
        <f>IF($D71&lt;&gt;"Feature",".",
IF(VLOOKUP($B71,Feature_List!$A:$AM,MATCH(CZ$1,  Feature_List!$A$1:$AM$1,0),0)=AR71,".","NO"))</f>
        <v>.</v>
      </c>
      <c r="DA71" s="136" t="str">
        <f>IF($D71&lt;&gt;"Feature",".",
IF(VLOOKUP($B71,Feature_List!$A:$AM,MATCH(DA$1,  Feature_List!$A$1:$AM$1,0),0)=AS71,".","NO"))</f>
        <v>.</v>
      </c>
      <c r="DB71" s="136" t="str">
        <f>IF($D71&lt;&gt;"Feature",".",
IF(VLOOKUP($B71,Feature_List!$A:$AM,MATCH(DB$1,  Feature_List!$A$1:$AM$1,0),0)=AT71,".","NO"))</f>
        <v>.</v>
      </c>
      <c r="DC71" s="136" t="str">
        <f>IF($D71&lt;&gt;"Feature",".",
IF(VLOOKUP($B71,Feature_List!$A:$AM,MATCH(DC$1,  Feature_List!$A$1:$AM$1,0),0)=AU71,".","NO"))</f>
        <v>.</v>
      </c>
      <c r="DD71" s="136" t="str">
        <f>IF($D71&lt;&gt;"Feature",".",
IF(VLOOKUP($B71,Feature_List!$A:$AM,MATCH(DD$1,  Feature_List!$A$1:$AM$1,0),0)=AV71,".","NO"))</f>
        <v>.</v>
      </c>
      <c r="DE71" s="136" t="str">
        <f>IF($D71&lt;&gt;"Feature",".",
IF(VLOOKUP($B71,Feature_List!$A:$AM,MATCH(DE$1,  Feature_List!$A$1:$AM$1,0),0)=AW71,".","NO"))</f>
        <v>.</v>
      </c>
      <c r="DF71" s="136" t="str">
        <f>IF($D71&lt;&gt;"Feature",".",
IF(VLOOKUP($B71,Feature_List!$A:$AM,MATCH(DF$1,  Feature_List!$A$1:$AM$1,0),0)=AX71,".","NO"))</f>
        <v>.</v>
      </c>
      <c r="DG71" s="136" t="str">
        <f>IF($D71&lt;&gt;"Feature",".",
IF(VLOOKUP($B71,Feature_List!$A:$AM,MATCH(DG$1,  Feature_List!$A$1:$AM$1,0),0)=AY71,".","NO"))</f>
        <v>.</v>
      </c>
      <c r="DH71" s="136" t="str">
        <f>IF($D71&lt;&gt;"Feature",".",
IF(VLOOKUP($B71,Feature_List!$A:$AM,MATCH(DH$1,  Feature_List!$A$1:$AM$1,0),0)=AZ71,".","NO"))</f>
        <v>.</v>
      </c>
      <c r="DI71" s="136" t="str">
        <f>IF($D71&lt;&gt;"Feature",".",
IF(VLOOKUP($B71,Feature_List!$A:$AM,MATCH(DI$1,  Feature_List!$A$1:$AM$1,0),0)=BA71,".","NO"))</f>
        <v>.</v>
      </c>
      <c r="DJ71" s="136" t="str">
        <f>IF($D71&lt;&gt;"Feature",".",
IF(VLOOKUP($B71,Feature_List!$A:$AM,MATCH(DJ$1,  Feature_List!$A$1:$AM$1,0),0)=BB71,".","NO"))</f>
        <v>.</v>
      </c>
      <c r="DK71" s="136"/>
      <c r="DL71" s="136"/>
      <c r="DM71" s="136"/>
      <c r="DN71" s="136" t="str">
        <f>IF($D71&lt;&gt;"Feature",".",
IF(VLOOKUP($B71,Feature_List!$A:$AM,MATCH(DN$1,  Feature_List!$A$1:$AM$1,0),0)=BC71,".","NO"))</f>
        <v>.</v>
      </c>
      <c r="DO71" s="136" t="str">
        <f>IF($D71&lt;&gt;"Feature",".",
IF(VLOOKUP($B71,Feature_List!$A:$AM,MATCH(DO$1,  Feature_List!$A$1:$AM$1,0),0)=BD71,".","NO"))</f>
        <v>.</v>
      </c>
    </row>
    <row r="72" spans="2:119" x14ac:dyDescent="0.3">
      <c r="B72" s="121">
        <v>318432</v>
      </c>
      <c r="C72" s="122" t="s">
        <v>604</v>
      </c>
      <c r="D72" s="122" t="s">
        <v>71</v>
      </c>
      <c r="E72" s="122" t="s">
        <v>742</v>
      </c>
      <c r="F72" s="138" t="s">
        <v>652</v>
      </c>
      <c r="G72" s="123" t="s">
        <v>652</v>
      </c>
      <c r="H72" s="122" t="s">
        <v>70</v>
      </c>
      <c r="I72" s="124" t="s">
        <v>562</v>
      </c>
      <c r="J72" s="138"/>
      <c r="K72" s="123">
        <v>1</v>
      </c>
      <c r="L72" s="122"/>
      <c r="M72" s="122" t="s">
        <v>676</v>
      </c>
      <c r="N72" s="125" t="s">
        <v>651</v>
      </c>
      <c r="O72" s="123">
        <f t="shared" si="38"/>
        <v>1</v>
      </c>
      <c r="P72" s="123" t="str">
        <f t="shared" si="39"/>
        <v>New</v>
      </c>
      <c r="Q72" s="122" t="str">
        <f t="shared" si="61"/>
        <v>Story</v>
      </c>
      <c r="R72" s="126">
        <f t="shared" si="40"/>
        <v>318430</v>
      </c>
      <c r="S72" s="127">
        <f t="shared" si="41"/>
        <v>318432</v>
      </c>
      <c r="T72" s="128" t="e">
        <f>IF($Q72="ZeroEntry", "",VLOOKUP($I72,'Ranking Lookup'!#REF!,2,FALSE))</f>
        <v>#REF!</v>
      </c>
      <c r="U72" s="129" t="str">
        <f t="shared" si="42"/>
        <v/>
      </c>
      <c r="V72" s="129" t="str">
        <f t="shared" si="43"/>
        <v/>
      </c>
      <c r="W72" s="129" t="str">
        <f t="shared" si="44"/>
        <v/>
      </c>
      <c r="X72" s="129" t="str">
        <f t="shared" si="45"/>
        <v/>
      </c>
      <c r="Y72" s="129" t="str">
        <f t="shared" si="46"/>
        <v>Feature</v>
      </c>
      <c r="Z72" s="129" t="str">
        <f t="shared" si="47"/>
        <v/>
      </c>
      <c r="AA72" s="130"/>
      <c r="AB72" s="130" t="str">
        <f t="shared" si="48"/>
        <v>PI 12</v>
      </c>
      <c r="AC72" s="131">
        <f t="shared" si="62"/>
        <v>1</v>
      </c>
      <c r="AD72" s="131">
        <f t="shared" si="63"/>
        <v>0</v>
      </c>
      <c r="AE72" s="132">
        <f t="shared" si="49"/>
        <v>0</v>
      </c>
      <c r="AF72" s="133" t="str">
        <f t="shared" si="64"/>
        <v/>
      </c>
      <c r="AG72" s="134">
        <f t="shared" si="50"/>
        <v>0</v>
      </c>
      <c r="AH72" s="54" t="str">
        <f t="shared" si="51"/>
        <v/>
      </c>
      <c r="AI72" s="54" t="e">
        <f t="shared" si="52"/>
        <v>#REF!</v>
      </c>
      <c r="AJ72" s="54" t="e">
        <f t="shared" si="52"/>
        <v>#REF!</v>
      </c>
      <c r="AK72" s="54" t="e">
        <f t="shared" si="52"/>
        <v>#REF!</v>
      </c>
      <c r="AL72" s="54" t="e">
        <f t="shared" si="52"/>
        <v>#REF!</v>
      </c>
      <c r="AM72" s="54" t="e">
        <f t="shared" si="52"/>
        <v>#REF!</v>
      </c>
      <c r="AN72" s="54" t="e">
        <f t="shared" si="52"/>
        <v>#REF!</v>
      </c>
      <c r="AO72" s="54" t="e">
        <f t="shared" si="52"/>
        <v>#REF!</v>
      </c>
      <c r="AP72" s="54" t="e">
        <f t="shared" si="52"/>
        <v>#REF!</v>
      </c>
      <c r="AQ72" s="54" t="e">
        <f t="shared" si="52"/>
        <v>#REF!</v>
      </c>
      <c r="AR72" s="54" t="e">
        <f t="shared" si="52"/>
        <v>#REF!</v>
      </c>
      <c r="AS72" s="54" t="e">
        <f t="shared" si="52"/>
        <v>#REF!</v>
      </c>
      <c r="AT72" s="54" t="e">
        <f t="shared" si="52"/>
        <v>#REF!</v>
      </c>
      <c r="AU72" s="54" t="e">
        <f t="shared" si="52"/>
        <v>#REF!</v>
      </c>
      <c r="AV72" s="54" t="e">
        <f t="shared" si="52"/>
        <v>#REF!</v>
      </c>
      <c r="AW72" s="54" t="e">
        <f t="shared" si="52"/>
        <v>#REF!</v>
      </c>
      <c r="AX72" s="54" t="e">
        <f t="shared" si="52"/>
        <v>#REF!</v>
      </c>
      <c r="AY72" s="54" t="e">
        <f t="shared" si="53"/>
        <v>#REF!</v>
      </c>
      <c r="AZ72" s="54" t="str">
        <f t="shared" si="54"/>
        <v/>
      </c>
      <c r="BA72" s="54" t="e">
        <f t="shared" si="55"/>
        <v>#REF!</v>
      </c>
      <c r="BB72" s="135" t="str">
        <f t="shared" si="56"/>
        <v/>
      </c>
      <c r="BC72" s="54" t="e">
        <f t="shared" si="36"/>
        <v>#REF!</v>
      </c>
      <c r="BD72" s="54" t="e">
        <f t="shared" si="36"/>
        <v>#REF!</v>
      </c>
      <c r="BE72" s="54" t="e">
        <f t="shared" si="36"/>
        <v>#REF!</v>
      </c>
      <c r="BF72" s="54" t="str">
        <f t="shared" si="57"/>
        <v/>
      </c>
      <c r="BG72" s="54" t="str">
        <f t="shared" si="58"/>
        <v/>
      </c>
      <c r="BH72" s="34" t="e">
        <f t="shared" si="59"/>
        <v>#REF!</v>
      </c>
      <c r="BI72" s="34" t="e">
        <f t="shared" si="60"/>
        <v>#REF!</v>
      </c>
      <c r="BJ72" s="136" t="str">
        <f>IF($D72&lt;&gt;"Feature",".",
IF(VLOOKUP($B72,Feature_List!$A:$AM,MATCH(BJ$1,  Feature_List!$A$1:$AM$1,0),0)=B72,".","NO"))</f>
        <v>.</v>
      </c>
      <c r="BK72" s="136"/>
      <c r="BL72" s="136"/>
      <c r="BM72" s="136" t="str">
        <f>IF($D72&lt;&gt;"Feature",".",
IF(VLOOKUP($B72,Feature_List!$A:$AM,MATCH(BM$1,  Feature_List!$A$1:$AM$1,0),0)=E72,".","NO"))</f>
        <v>.</v>
      </c>
      <c r="BN72" s="136" t="str">
        <f>IF($D72&lt;&gt;"Feature",".",
IF(VLOOKUP($B72,Feature_List!$A:$AM,MATCH(BN$1,  Feature_List!$A$1:$AM$1,0),0)=F72,".","NO"))</f>
        <v>.</v>
      </c>
      <c r="BO72" s="136" t="str">
        <f>IF($D72&lt;&gt;"Feature",".",
IF(VLOOKUP($B72,Feature_List!$A:$AM,MATCH(BO$1,  Feature_List!$A$1:$AM$1,0),0)=G72,".","NO"))</f>
        <v>.</v>
      </c>
      <c r="BP72" s="136" t="str">
        <f>IF($D72&lt;&gt;"Feature",".",
IF(VLOOKUP($B72,Feature_List!$A:$AM,MATCH(BP$1,  Feature_List!$A$1:$AM$1,0),0)=H72,".","NO"))</f>
        <v>.</v>
      </c>
      <c r="BQ72" s="136"/>
      <c r="BR72" s="136" t="str">
        <f>IF($D72&lt;&gt;"Feature",".",
IF(VLOOKUP($B72,Feature_List!$A:$AM,MATCH(BR$1,  Feature_List!$A$1:$AM$1,0),0)=J72,".","NO"))</f>
        <v>.</v>
      </c>
      <c r="BS72" s="136"/>
      <c r="BT72" s="136"/>
      <c r="BU72" s="136" t="str">
        <f>IF($D72&lt;&gt;"Feature",".",
IF(VLOOKUP($B72,Feature_List!$A:$AM,MATCH(BU$1,  Feature_List!$A$1:$AM$1,0),0)=M72,".","NO"))</f>
        <v>.</v>
      </c>
      <c r="BV72" s="136" t="str">
        <f>IF($D72&lt;&gt;"Feature",".",
IF(VLOOKUP($B72,Feature_List!$A:$AM,MATCH(BV$1,  Feature_List!$A$1:$AM$1,0),0)=N72,".","NO"))</f>
        <v>.</v>
      </c>
      <c r="BW72" s="136"/>
      <c r="BX72" s="136"/>
      <c r="BY72" s="136"/>
      <c r="BZ72" s="136"/>
      <c r="CA72" s="136"/>
      <c r="CB72" s="136" t="str">
        <f>IF($D72&lt;&gt;"Feature",".",
IF(VLOOKUP($B72,Feature_List!$A:$AM,MATCH(CB$1,  Feature_List!$A$1:$AM$1,0),0)=T72,".","NO"))</f>
        <v>.</v>
      </c>
      <c r="CC72" s="136"/>
      <c r="CD72" s="136"/>
      <c r="CE72" s="136"/>
      <c r="CF72" s="136"/>
      <c r="CG72" s="136"/>
      <c r="CH72" s="136"/>
      <c r="CI72" s="136"/>
      <c r="CJ72" s="136"/>
      <c r="CK72" s="136"/>
      <c r="CL72" s="136"/>
      <c r="CM72" s="136"/>
      <c r="CN72" s="136"/>
      <c r="CO72" s="136" t="str">
        <f>IF($D72&lt;&gt;"Feature",".",
IF(VLOOKUP($B72,Feature_List!$A:$AM,MATCH(CO$1,  Feature_List!$A$1:$AM$1,0),0)=AG72,".","NO"))</f>
        <v>.</v>
      </c>
      <c r="CP72" s="136" t="str">
        <f>IF($D72&lt;&gt;"Feature",".",
IF(VLOOKUP($B72,Feature_List!$A:$AM,MATCH(CP$1,  Feature_List!$A$1:$AM$1,0),0)=AH72,".","NO"))</f>
        <v>.</v>
      </c>
      <c r="CQ72" s="136" t="str">
        <f>IF($D72&lt;&gt;"Feature",".",
IF(VLOOKUP($B72,Feature_List!$A:$AM,MATCH(CQ$1,  Feature_List!$A$1:$AM$1,0),0)=AI72,".","NO"))</f>
        <v>.</v>
      </c>
      <c r="CR72" s="136" t="str">
        <f>IF($D72&lt;&gt;"Feature",".",
IF(VLOOKUP($B72,Feature_List!$A:$AM,MATCH(CR$1,  Feature_List!$A$1:$AM$1,0),0)=AJ72,".","NO"))</f>
        <v>.</v>
      </c>
      <c r="CS72" s="136" t="str">
        <f>IF($D72&lt;&gt;"Feature",".",
IF(VLOOKUP($B72,Feature_List!$A:$AM,MATCH(CS$1,  Feature_List!$A$1:$AM$1,0),0)=AK72,".","NO"))</f>
        <v>.</v>
      </c>
      <c r="CT72" s="136" t="str">
        <f>IF($D72&lt;&gt;"Feature",".",
IF(VLOOKUP($B72,Feature_List!$A:$AM,MATCH(CT$1,  Feature_List!$A$1:$AM$1,0),0)=AL72,".","NO"))</f>
        <v>.</v>
      </c>
      <c r="CU72" s="136" t="str">
        <f>IF($D72&lt;&gt;"Feature",".",
IF(VLOOKUP($B72,Feature_List!$A:$AM,MATCH(CU$1,  Feature_List!$A$1:$AM$1,0),0)=AM72,".","NO"))</f>
        <v>.</v>
      </c>
      <c r="CV72" s="136" t="str">
        <f>IF($D72&lt;&gt;"Feature",".",
IF(VLOOKUP($B72,Feature_List!$A:$AM,MATCH(CV$1,  Feature_List!$A$1:$AM$1,0),0)=AN72,".","NO"))</f>
        <v>.</v>
      </c>
      <c r="CW72" s="136" t="str">
        <f>IF($D72&lt;&gt;"Feature",".",
IF(VLOOKUP($B72,Feature_List!$A:$AM,MATCH(CW$1,  Feature_List!$A$1:$AM$1,0),0)=AO72,".","NO"))</f>
        <v>.</v>
      </c>
      <c r="CX72" s="136" t="str">
        <f>IF($D72&lt;&gt;"Feature",".",
IF(VLOOKUP($B72,Feature_List!$A:$AM,MATCH(CX$1,  Feature_List!$A$1:$AM$1,0),0)=AP72,".","NO"))</f>
        <v>.</v>
      </c>
      <c r="CY72" s="136" t="str">
        <f>IF($D72&lt;&gt;"Feature",".",
IF(VLOOKUP($B72,Feature_List!$A:$AM,MATCH(CY$1,  Feature_List!$A$1:$AM$1,0),0)=AQ72,".","NO"))</f>
        <v>.</v>
      </c>
      <c r="CZ72" s="136" t="str">
        <f>IF($D72&lt;&gt;"Feature",".",
IF(VLOOKUP($B72,Feature_List!$A:$AM,MATCH(CZ$1,  Feature_List!$A$1:$AM$1,0),0)=AR72,".","NO"))</f>
        <v>.</v>
      </c>
      <c r="DA72" s="136" t="str">
        <f>IF($D72&lt;&gt;"Feature",".",
IF(VLOOKUP($B72,Feature_List!$A:$AM,MATCH(DA$1,  Feature_List!$A$1:$AM$1,0),0)=AS72,".","NO"))</f>
        <v>.</v>
      </c>
      <c r="DB72" s="136" t="str">
        <f>IF($D72&lt;&gt;"Feature",".",
IF(VLOOKUP($B72,Feature_List!$A:$AM,MATCH(DB$1,  Feature_List!$A$1:$AM$1,0),0)=AT72,".","NO"))</f>
        <v>.</v>
      </c>
      <c r="DC72" s="136" t="str">
        <f>IF($D72&lt;&gt;"Feature",".",
IF(VLOOKUP($B72,Feature_List!$A:$AM,MATCH(DC$1,  Feature_List!$A$1:$AM$1,0),0)=AU72,".","NO"))</f>
        <v>.</v>
      </c>
      <c r="DD72" s="136" t="str">
        <f>IF($D72&lt;&gt;"Feature",".",
IF(VLOOKUP($B72,Feature_List!$A:$AM,MATCH(DD$1,  Feature_List!$A$1:$AM$1,0),0)=AV72,".","NO"))</f>
        <v>.</v>
      </c>
      <c r="DE72" s="136" t="str">
        <f>IF($D72&lt;&gt;"Feature",".",
IF(VLOOKUP($B72,Feature_List!$A:$AM,MATCH(DE$1,  Feature_List!$A$1:$AM$1,0),0)=AW72,".","NO"))</f>
        <v>.</v>
      </c>
      <c r="DF72" s="136" t="str">
        <f>IF($D72&lt;&gt;"Feature",".",
IF(VLOOKUP($B72,Feature_List!$A:$AM,MATCH(DF$1,  Feature_List!$A$1:$AM$1,0),0)=AX72,".","NO"))</f>
        <v>.</v>
      </c>
      <c r="DG72" s="136" t="str">
        <f>IF($D72&lt;&gt;"Feature",".",
IF(VLOOKUP($B72,Feature_List!$A:$AM,MATCH(DG$1,  Feature_List!$A$1:$AM$1,0),0)=AY72,".","NO"))</f>
        <v>.</v>
      </c>
      <c r="DH72" s="136" t="str">
        <f>IF($D72&lt;&gt;"Feature",".",
IF(VLOOKUP($B72,Feature_List!$A:$AM,MATCH(DH$1,  Feature_List!$A$1:$AM$1,0),0)=AZ72,".","NO"))</f>
        <v>.</v>
      </c>
      <c r="DI72" s="136" t="str">
        <f>IF($D72&lt;&gt;"Feature",".",
IF(VLOOKUP($B72,Feature_List!$A:$AM,MATCH(DI$1,  Feature_List!$A$1:$AM$1,0),0)=BA72,".","NO"))</f>
        <v>.</v>
      </c>
      <c r="DJ72" s="136" t="str">
        <f>IF($D72&lt;&gt;"Feature",".",
IF(VLOOKUP($B72,Feature_List!$A:$AM,MATCH(DJ$1,  Feature_List!$A$1:$AM$1,0),0)=BB72,".","NO"))</f>
        <v>.</v>
      </c>
      <c r="DK72" s="136"/>
      <c r="DL72" s="136"/>
      <c r="DM72" s="136"/>
      <c r="DN72" s="136" t="str">
        <f>IF($D72&lt;&gt;"Feature",".",
IF(VLOOKUP($B72,Feature_List!$A:$AM,MATCH(DN$1,  Feature_List!$A$1:$AM$1,0),0)=BC72,".","NO"))</f>
        <v>.</v>
      </c>
      <c r="DO72" s="136" t="str">
        <f>IF($D72&lt;&gt;"Feature",".",
IF(VLOOKUP($B72,Feature_List!$A:$AM,MATCH(DO$1,  Feature_List!$A$1:$AM$1,0),0)=BD72,".","NO"))</f>
        <v>.</v>
      </c>
    </row>
    <row r="73" spans="2:119" x14ac:dyDescent="0.3">
      <c r="B73" s="121">
        <v>318430</v>
      </c>
      <c r="C73" s="123" t="s">
        <v>169</v>
      </c>
      <c r="D73" s="122" t="s">
        <v>117</v>
      </c>
      <c r="E73" s="122" t="s">
        <v>139</v>
      </c>
      <c r="F73" s="138" t="s">
        <v>652</v>
      </c>
      <c r="G73" s="123" t="s">
        <v>652</v>
      </c>
      <c r="H73" s="122" t="s">
        <v>28</v>
      </c>
      <c r="I73" s="124" t="s">
        <v>562</v>
      </c>
      <c r="J73" s="138">
        <v>122</v>
      </c>
      <c r="K73" s="123"/>
      <c r="L73" s="122"/>
      <c r="M73" s="122" t="s">
        <v>54</v>
      </c>
      <c r="N73" s="125" t="s">
        <v>163</v>
      </c>
      <c r="O73" s="123">
        <f t="shared" si="38"/>
        <v>0</v>
      </c>
      <c r="P73" s="123" t="str">
        <f t="shared" si="39"/>
        <v>Approved</v>
      </c>
      <c r="Q73" s="122" t="str">
        <f t="shared" si="61"/>
        <v>Feature</v>
      </c>
      <c r="R73" s="126">
        <f t="shared" si="40"/>
        <v>318430</v>
      </c>
      <c r="S73" s="127">
        <f t="shared" si="41"/>
        <v>0</v>
      </c>
      <c r="T73" s="128" t="e">
        <f>IF($Q73="ZeroEntry", "",VLOOKUP($I73,'Ranking Lookup'!#REF!,2,FALSE))</f>
        <v>#REF!</v>
      </c>
      <c r="U73" s="129" t="str">
        <f t="shared" si="42"/>
        <v/>
      </c>
      <c r="V73" s="129" t="str">
        <f t="shared" si="43"/>
        <v/>
      </c>
      <c r="W73" s="129" t="str">
        <f t="shared" si="44"/>
        <v/>
      </c>
      <c r="X73" s="129" t="str">
        <f t="shared" si="45"/>
        <v/>
      </c>
      <c r="Y73" s="129" t="str">
        <f t="shared" si="46"/>
        <v/>
      </c>
      <c r="Z73" s="129" t="str">
        <f t="shared" si="47"/>
        <v>Story</v>
      </c>
      <c r="AA73" s="130"/>
      <c r="AB73" s="130" t="str">
        <f t="shared" si="48"/>
        <v>PI 12</v>
      </c>
      <c r="AC73" s="131">
        <f t="shared" si="62"/>
        <v>128</v>
      </c>
      <c r="AD73" s="131">
        <f t="shared" si="63"/>
        <v>-6</v>
      </c>
      <c r="AE73" s="132">
        <f t="shared" si="49"/>
        <v>4.9180327868852514E-2</v>
      </c>
      <c r="AF73" s="133">
        <f t="shared" si="64"/>
        <v>122</v>
      </c>
      <c r="AG73" s="134">
        <f t="shared" si="50"/>
        <v>0</v>
      </c>
      <c r="AH73" s="54">
        <f t="shared" si="51"/>
        <v>0</v>
      </c>
      <c r="AI73" s="54" t="e">
        <f t="shared" si="52"/>
        <v>#REF!</v>
      </c>
      <c r="AJ73" s="54" t="e">
        <f t="shared" si="52"/>
        <v>#REF!</v>
      </c>
      <c r="AK73" s="54" t="e">
        <f t="shared" si="52"/>
        <v>#REF!</v>
      </c>
      <c r="AL73" s="54" t="e">
        <f t="shared" si="52"/>
        <v>#REF!</v>
      </c>
      <c r="AM73" s="54" t="e">
        <f t="shared" si="52"/>
        <v>#REF!</v>
      </c>
      <c r="AN73" s="54" t="e">
        <f t="shared" si="52"/>
        <v>#REF!</v>
      </c>
      <c r="AO73" s="54" t="e">
        <f t="shared" si="52"/>
        <v>#REF!</v>
      </c>
      <c r="AP73" s="54" t="e">
        <f t="shared" si="52"/>
        <v>#REF!</v>
      </c>
      <c r="AQ73" s="54" t="e">
        <f t="shared" si="52"/>
        <v>#REF!</v>
      </c>
      <c r="AR73" s="54" t="e">
        <f t="shared" si="52"/>
        <v>#REF!</v>
      </c>
      <c r="AS73" s="54" t="e">
        <f t="shared" si="52"/>
        <v>#REF!</v>
      </c>
      <c r="AT73" s="54" t="e">
        <f t="shared" si="52"/>
        <v>#REF!</v>
      </c>
      <c r="AU73" s="54" t="e">
        <f t="shared" si="52"/>
        <v>#REF!</v>
      </c>
      <c r="AV73" s="54" t="e">
        <f t="shared" si="52"/>
        <v>#REF!</v>
      </c>
      <c r="AW73" s="54" t="e">
        <f t="shared" si="52"/>
        <v>#REF!</v>
      </c>
      <c r="AX73" s="54" t="e">
        <f t="shared" si="52"/>
        <v>#REF!</v>
      </c>
      <c r="AY73" s="54" t="e">
        <f t="shared" si="53"/>
        <v>#REF!</v>
      </c>
      <c r="AZ73" s="54">
        <f t="shared" si="54"/>
        <v>0</v>
      </c>
      <c r="BA73" s="54" t="e">
        <f t="shared" si="55"/>
        <v>#REF!</v>
      </c>
      <c r="BB73" s="135">
        <f t="shared" si="56"/>
        <v>0</v>
      </c>
      <c r="BC73" s="54" t="e">
        <f t="shared" si="36"/>
        <v>#REF!</v>
      </c>
      <c r="BD73" s="54" t="e">
        <f t="shared" si="36"/>
        <v>#REF!</v>
      </c>
      <c r="BE73" s="54" t="e">
        <f t="shared" si="36"/>
        <v>#REF!</v>
      </c>
      <c r="BF73" s="54">
        <f t="shared" si="57"/>
        <v>0</v>
      </c>
      <c r="BG73" s="54">
        <f t="shared" si="58"/>
        <v>0</v>
      </c>
      <c r="BH73" s="34" t="e">
        <f t="shared" si="59"/>
        <v>#REF!</v>
      </c>
      <c r="BI73" s="34" t="e">
        <f t="shared" si="60"/>
        <v>#REF!</v>
      </c>
      <c r="BJ73" s="136" t="e">
        <f>IF($D73&lt;&gt;"Feature",".",
IF(VLOOKUP($B73,Feature_List!$A:$AM,MATCH(BJ$1,  Feature_List!$A$1:$AM$1,0),0)=B73,".","NO"))</f>
        <v>#N/A</v>
      </c>
      <c r="BK73" s="136"/>
      <c r="BL73" s="136"/>
      <c r="BM73" s="136" t="e">
        <f>IF($D73&lt;&gt;"Feature",".",
IF(VLOOKUP($B73,Feature_List!$A:$AM,MATCH(BM$1,  Feature_List!$A$1:$AM$1,0),0)=E73,".","NO"))</f>
        <v>#N/A</v>
      </c>
      <c r="BN73" s="136" t="e">
        <f>IF($D73&lt;&gt;"Feature",".",
IF(VLOOKUP($B73,Feature_List!$A:$AM,MATCH(BN$1,  Feature_List!$A$1:$AM$1,0),0)=F73,".","NO"))</f>
        <v>#N/A</v>
      </c>
      <c r="BO73" s="136" t="e">
        <f>IF($D73&lt;&gt;"Feature",".",
IF(VLOOKUP($B73,Feature_List!$A:$AM,MATCH(BO$1,  Feature_List!$A$1:$AM$1,0),0)=G73,".","NO"))</f>
        <v>#N/A</v>
      </c>
      <c r="BP73" s="136" t="e">
        <f>IF($D73&lt;&gt;"Feature",".",
IF(VLOOKUP($B73,Feature_List!$A:$AM,MATCH(BP$1,  Feature_List!$A$1:$AM$1,0),0)=H73,".","NO"))</f>
        <v>#N/A</v>
      </c>
      <c r="BQ73" s="136"/>
      <c r="BR73" s="136" t="e">
        <f>IF($D73&lt;&gt;"Feature",".",
IF(VLOOKUP($B73,Feature_List!$A:$AM,MATCH(BR$1,  Feature_List!$A$1:$AM$1,0),0)=J73,".","NO"))</f>
        <v>#N/A</v>
      </c>
      <c r="BS73" s="136"/>
      <c r="BT73" s="136"/>
      <c r="BU73" s="136" t="e">
        <f>IF($D73&lt;&gt;"Feature",".",
IF(VLOOKUP($B73,Feature_List!$A:$AM,MATCH(BU$1,  Feature_List!$A$1:$AM$1,0),0)=M73,".","NO"))</f>
        <v>#N/A</v>
      </c>
      <c r="BV73" s="136" t="e">
        <f>IF($D73&lt;&gt;"Feature",".",
IF(VLOOKUP($B73,Feature_List!$A:$AM,MATCH(BV$1,  Feature_List!$A$1:$AM$1,0),0)=N73,".","NO"))</f>
        <v>#N/A</v>
      </c>
      <c r="BW73" s="136"/>
      <c r="BX73" s="136"/>
      <c r="BY73" s="136"/>
      <c r="BZ73" s="136"/>
      <c r="CA73" s="136"/>
      <c r="CB73" s="136" t="e">
        <f>IF($D73&lt;&gt;"Feature",".",
IF(VLOOKUP($B73,Feature_List!$A:$AM,MATCH(CB$1,  Feature_List!$A$1:$AM$1,0),0)=T73,".","NO"))</f>
        <v>#N/A</v>
      </c>
      <c r="CC73" s="136"/>
      <c r="CD73" s="136"/>
      <c r="CE73" s="136"/>
      <c r="CF73" s="136"/>
      <c r="CG73" s="136"/>
      <c r="CH73" s="136"/>
      <c r="CI73" s="136"/>
      <c r="CJ73" s="136"/>
      <c r="CK73" s="136"/>
      <c r="CL73" s="136"/>
      <c r="CM73" s="136"/>
      <c r="CN73" s="136"/>
      <c r="CO73" s="136" t="e">
        <f>IF($D73&lt;&gt;"Feature",".",
IF(VLOOKUP($B73,Feature_List!$A:$AM,MATCH(CO$1,  Feature_List!$A$1:$AM$1,0),0)=AG73,".","NO"))</f>
        <v>#N/A</v>
      </c>
      <c r="CP73" s="136" t="e">
        <f>IF($D73&lt;&gt;"Feature",".",
IF(VLOOKUP($B73,Feature_List!$A:$AM,MATCH(CP$1,  Feature_List!$A$1:$AM$1,0),0)=AH73,".","NO"))</f>
        <v>#N/A</v>
      </c>
      <c r="CQ73" s="136" t="e">
        <f>IF($D73&lt;&gt;"Feature",".",
IF(VLOOKUP($B73,Feature_List!$A:$AM,MATCH(CQ$1,  Feature_List!$A$1:$AM$1,0),0)=AI73,".","NO"))</f>
        <v>#N/A</v>
      </c>
      <c r="CR73" s="136" t="e">
        <f>IF($D73&lt;&gt;"Feature",".",
IF(VLOOKUP($B73,Feature_List!$A:$AM,MATCH(CR$1,  Feature_List!$A$1:$AM$1,0),0)=AJ73,".","NO"))</f>
        <v>#N/A</v>
      </c>
      <c r="CS73" s="136" t="e">
        <f>IF($D73&lt;&gt;"Feature",".",
IF(VLOOKUP($B73,Feature_List!$A:$AM,MATCH(CS$1,  Feature_List!$A$1:$AM$1,0),0)=AK73,".","NO"))</f>
        <v>#N/A</v>
      </c>
      <c r="CT73" s="136" t="e">
        <f>IF($D73&lt;&gt;"Feature",".",
IF(VLOOKUP($B73,Feature_List!$A:$AM,MATCH(CT$1,  Feature_List!$A$1:$AM$1,0),0)=AL73,".","NO"))</f>
        <v>#N/A</v>
      </c>
      <c r="CU73" s="136" t="e">
        <f>IF($D73&lt;&gt;"Feature",".",
IF(VLOOKUP($B73,Feature_List!$A:$AM,MATCH(CU$1,  Feature_List!$A$1:$AM$1,0),0)=AM73,".","NO"))</f>
        <v>#N/A</v>
      </c>
      <c r="CV73" s="136" t="e">
        <f>IF($D73&lt;&gt;"Feature",".",
IF(VLOOKUP($B73,Feature_List!$A:$AM,MATCH(CV$1,  Feature_List!$A$1:$AM$1,0),0)=AN73,".","NO"))</f>
        <v>#N/A</v>
      </c>
      <c r="CW73" s="136" t="e">
        <f>IF($D73&lt;&gt;"Feature",".",
IF(VLOOKUP($B73,Feature_List!$A:$AM,MATCH(CW$1,  Feature_List!$A$1:$AM$1,0),0)=AO73,".","NO"))</f>
        <v>#N/A</v>
      </c>
      <c r="CX73" s="136" t="e">
        <f>IF($D73&lt;&gt;"Feature",".",
IF(VLOOKUP($B73,Feature_List!$A:$AM,MATCH(CX$1,  Feature_List!$A$1:$AM$1,0),0)=AP73,".","NO"))</f>
        <v>#N/A</v>
      </c>
      <c r="CY73" s="136" t="e">
        <f>IF($D73&lt;&gt;"Feature",".",
IF(VLOOKUP($B73,Feature_List!$A:$AM,MATCH(CY$1,  Feature_List!$A$1:$AM$1,0),0)=AQ73,".","NO"))</f>
        <v>#N/A</v>
      </c>
      <c r="CZ73" s="136" t="e">
        <f>IF($D73&lt;&gt;"Feature",".",
IF(VLOOKUP($B73,Feature_List!$A:$AM,MATCH(CZ$1,  Feature_List!$A$1:$AM$1,0),0)=AR73,".","NO"))</f>
        <v>#N/A</v>
      </c>
      <c r="DA73" s="136" t="e">
        <f>IF($D73&lt;&gt;"Feature",".",
IF(VLOOKUP($B73,Feature_List!$A:$AM,MATCH(DA$1,  Feature_List!$A$1:$AM$1,0),0)=AS73,".","NO"))</f>
        <v>#N/A</v>
      </c>
      <c r="DB73" s="136" t="e">
        <f>IF($D73&lt;&gt;"Feature",".",
IF(VLOOKUP($B73,Feature_List!$A:$AM,MATCH(DB$1,  Feature_List!$A$1:$AM$1,0),0)=AT73,".","NO"))</f>
        <v>#N/A</v>
      </c>
      <c r="DC73" s="136" t="e">
        <f>IF($D73&lt;&gt;"Feature",".",
IF(VLOOKUP($B73,Feature_List!$A:$AM,MATCH(DC$1,  Feature_List!$A$1:$AM$1,0),0)=AU73,".","NO"))</f>
        <v>#N/A</v>
      </c>
      <c r="DD73" s="136" t="e">
        <f>IF($D73&lt;&gt;"Feature",".",
IF(VLOOKUP($B73,Feature_List!$A:$AM,MATCH(DD$1,  Feature_List!$A$1:$AM$1,0),0)=AV73,".","NO"))</f>
        <v>#N/A</v>
      </c>
      <c r="DE73" s="136" t="e">
        <f>IF($D73&lt;&gt;"Feature",".",
IF(VLOOKUP($B73,Feature_List!$A:$AM,MATCH(DE$1,  Feature_List!$A$1:$AM$1,0),0)=AW73,".","NO"))</f>
        <v>#N/A</v>
      </c>
      <c r="DF73" s="136" t="e">
        <f>IF($D73&lt;&gt;"Feature",".",
IF(VLOOKUP($B73,Feature_List!$A:$AM,MATCH(DF$1,  Feature_List!$A$1:$AM$1,0),0)=AX73,".","NO"))</f>
        <v>#N/A</v>
      </c>
      <c r="DG73" s="136" t="e">
        <f>IF($D73&lt;&gt;"Feature",".",
IF(VLOOKUP($B73,Feature_List!$A:$AM,MATCH(DG$1,  Feature_List!$A$1:$AM$1,0),0)=AY73,".","NO"))</f>
        <v>#N/A</v>
      </c>
      <c r="DH73" s="136" t="e">
        <f>IF($D73&lt;&gt;"Feature",".",
IF(VLOOKUP($B73,Feature_List!$A:$AM,MATCH(DH$1,  Feature_List!$A$1:$AM$1,0),0)=AZ73,".","NO"))</f>
        <v>#N/A</v>
      </c>
      <c r="DI73" s="136" t="e">
        <f>IF($D73&lt;&gt;"Feature",".",
IF(VLOOKUP($B73,Feature_List!$A:$AM,MATCH(DI$1,  Feature_List!$A$1:$AM$1,0),0)=BA73,".","NO"))</f>
        <v>#N/A</v>
      </c>
      <c r="DJ73" s="136" t="e">
        <f>IF($D73&lt;&gt;"Feature",".",
IF(VLOOKUP($B73,Feature_List!$A:$AM,MATCH(DJ$1,  Feature_List!$A$1:$AM$1,0),0)=BB73,".","NO"))</f>
        <v>#N/A</v>
      </c>
      <c r="DK73" s="136"/>
      <c r="DL73" s="136"/>
      <c r="DM73" s="136"/>
      <c r="DN73" s="136" t="e">
        <f>IF($D73&lt;&gt;"Feature",".",
IF(VLOOKUP($B73,Feature_List!$A:$AM,MATCH(DN$1,  Feature_List!$A$1:$AM$1,0),0)=BC73,".","NO"))</f>
        <v>#N/A</v>
      </c>
      <c r="DO73" s="136" t="e">
        <f>IF($D73&lt;&gt;"Feature",".",
IF(VLOOKUP($B73,Feature_List!$A:$AM,MATCH(DO$1,  Feature_List!$A$1:$AM$1,0),0)=BD73,".","NO"))</f>
        <v>#N/A</v>
      </c>
    </row>
    <row r="74" spans="2:119" x14ac:dyDescent="0.3">
      <c r="B74" s="121">
        <v>311805</v>
      </c>
      <c r="C74" s="123" t="s">
        <v>604</v>
      </c>
      <c r="D74" s="122" t="s">
        <v>71</v>
      </c>
      <c r="E74" s="122" t="s">
        <v>743</v>
      </c>
      <c r="F74" s="138" t="s">
        <v>130</v>
      </c>
      <c r="G74" s="123" t="s">
        <v>130</v>
      </c>
      <c r="H74" s="122" t="s">
        <v>683</v>
      </c>
      <c r="I74" s="124" t="s">
        <v>562</v>
      </c>
      <c r="J74" s="138"/>
      <c r="K74" s="123">
        <v>0</v>
      </c>
      <c r="L74" s="122"/>
      <c r="M74" s="122" t="s">
        <v>104</v>
      </c>
      <c r="N74" s="125" t="s">
        <v>163</v>
      </c>
      <c r="O74" s="123">
        <f t="shared" si="38"/>
        <v>0</v>
      </c>
      <c r="P74" s="123" t="str">
        <f t="shared" si="39"/>
        <v>Invalid</v>
      </c>
      <c r="Q74" s="122" t="str">
        <f t="shared" si="61"/>
        <v>Story</v>
      </c>
      <c r="R74" s="126">
        <f t="shared" si="40"/>
        <v>318430</v>
      </c>
      <c r="S74" s="127">
        <f t="shared" si="41"/>
        <v>311805</v>
      </c>
      <c r="T74" s="128" t="e">
        <f>IF($Q74="ZeroEntry", "",VLOOKUP($I74,'Ranking Lookup'!#REF!,2,FALSE))</f>
        <v>#REF!</v>
      </c>
      <c r="U74" s="129" t="str">
        <f t="shared" si="42"/>
        <v/>
      </c>
      <c r="V74" s="129" t="str">
        <f t="shared" si="43"/>
        <v/>
      </c>
      <c r="W74" s="129" t="str">
        <f t="shared" si="44"/>
        <v/>
      </c>
      <c r="X74" s="129" t="str">
        <f t="shared" si="45"/>
        <v/>
      </c>
      <c r="Y74" s="129" t="str">
        <f t="shared" si="46"/>
        <v>Feature</v>
      </c>
      <c r="Z74" s="129" t="str">
        <f t="shared" si="47"/>
        <v/>
      </c>
      <c r="AA74" s="130"/>
      <c r="AB74" s="130" t="str">
        <f t="shared" si="48"/>
        <v>PI 12</v>
      </c>
      <c r="AC74" s="131">
        <f t="shared" si="62"/>
        <v>0</v>
      </c>
      <c r="AD74" s="131">
        <f t="shared" si="63"/>
        <v>0</v>
      </c>
      <c r="AE74" s="132">
        <f t="shared" si="49"/>
        <v>0</v>
      </c>
      <c r="AF74" s="133" t="str">
        <f t="shared" si="64"/>
        <v/>
      </c>
      <c r="AG74" s="134">
        <f t="shared" si="50"/>
        <v>0</v>
      </c>
      <c r="AH74" s="54" t="str">
        <f t="shared" si="51"/>
        <v/>
      </c>
      <c r="AI74" s="54" t="e">
        <f t="shared" si="52"/>
        <v>#REF!</v>
      </c>
      <c r="AJ74" s="54" t="e">
        <f t="shared" si="52"/>
        <v>#REF!</v>
      </c>
      <c r="AK74" s="54" t="e">
        <f t="shared" si="52"/>
        <v>#REF!</v>
      </c>
      <c r="AL74" s="54" t="e">
        <f t="shared" si="52"/>
        <v>#REF!</v>
      </c>
      <c r="AM74" s="54" t="e">
        <f t="shared" si="52"/>
        <v>#REF!</v>
      </c>
      <c r="AN74" s="54" t="e">
        <f t="shared" si="52"/>
        <v>#REF!</v>
      </c>
      <c r="AO74" s="54" t="e">
        <f t="shared" si="52"/>
        <v>#REF!</v>
      </c>
      <c r="AP74" s="54" t="e">
        <f t="shared" si="52"/>
        <v>#REF!</v>
      </c>
      <c r="AQ74" s="54" t="e">
        <f t="shared" si="52"/>
        <v>#REF!</v>
      </c>
      <c r="AR74" s="54" t="e">
        <f t="shared" si="52"/>
        <v>#REF!</v>
      </c>
      <c r="AS74" s="54" t="e">
        <f t="shared" si="52"/>
        <v>#REF!</v>
      </c>
      <c r="AT74" s="54" t="e">
        <f t="shared" si="52"/>
        <v>#REF!</v>
      </c>
      <c r="AU74" s="54" t="e">
        <f t="shared" si="52"/>
        <v>#REF!</v>
      </c>
      <c r="AV74" s="54" t="e">
        <f t="shared" si="52"/>
        <v>#REF!</v>
      </c>
      <c r="AW74" s="54" t="e">
        <f t="shared" si="52"/>
        <v>#REF!</v>
      </c>
      <c r="AX74" s="54" t="e">
        <f t="shared" si="52"/>
        <v>#REF!</v>
      </c>
      <c r="AY74" s="54" t="e">
        <f t="shared" si="53"/>
        <v>#REF!</v>
      </c>
      <c r="AZ74" s="54" t="str">
        <f t="shared" si="54"/>
        <v/>
      </c>
      <c r="BA74" s="54" t="e">
        <f t="shared" si="55"/>
        <v>#REF!</v>
      </c>
      <c r="BB74" s="135" t="str">
        <f t="shared" si="56"/>
        <v/>
      </c>
      <c r="BC74" s="54" t="e">
        <f t="shared" si="36"/>
        <v>#REF!</v>
      </c>
      <c r="BD74" s="54" t="e">
        <f t="shared" si="36"/>
        <v>#REF!</v>
      </c>
      <c r="BE74" s="54" t="e">
        <f t="shared" si="36"/>
        <v>#REF!</v>
      </c>
      <c r="BF74" s="54" t="str">
        <f t="shared" si="57"/>
        <v/>
      </c>
      <c r="BG74" s="54" t="str">
        <f t="shared" si="58"/>
        <v/>
      </c>
      <c r="BH74" s="34" t="e">
        <f t="shared" si="59"/>
        <v>#REF!</v>
      </c>
      <c r="BI74" s="34" t="e">
        <f t="shared" si="60"/>
        <v>#REF!</v>
      </c>
      <c r="BJ74" s="136" t="str">
        <f>IF($D74&lt;&gt;"Feature",".",
IF(VLOOKUP($B74,Feature_List!$A:$AM,MATCH(BJ$1,  Feature_List!$A$1:$AM$1,0),0)=B74,".","NO"))</f>
        <v>.</v>
      </c>
      <c r="BK74" s="136"/>
      <c r="BL74" s="136"/>
      <c r="BM74" s="136" t="str">
        <f>IF($D74&lt;&gt;"Feature",".",
IF(VLOOKUP($B74,Feature_List!$A:$AM,MATCH(BM$1,  Feature_List!$A$1:$AM$1,0),0)=E74,".","NO"))</f>
        <v>.</v>
      </c>
      <c r="BN74" s="136" t="str">
        <f>IF($D74&lt;&gt;"Feature",".",
IF(VLOOKUP($B74,Feature_List!$A:$AM,MATCH(BN$1,  Feature_List!$A$1:$AM$1,0),0)=F74,".","NO"))</f>
        <v>.</v>
      </c>
      <c r="BO74" s="136" t="str">
        <f>IF($D74&lt;&gt;"Feature",".",
IF(VLOOKUP($B74,Feature_List!$A:$AM,MATCH(BO$1,  Feature_List!$A$1:$AM$1,0),0)=G74,".","NO"))</f>
        <v>.</v>
      </c>
      <c r="BP74" s="136" t="str">
        <f>IF($D74&lt;&gt;"Feature",".",
IF(VLOOKUP($B74,Feature_List!$A:$AM,MATCH(BP$1,  Feature_List!$A$1:$AM$1,0),0)=H74,".","NO"))</f>
        <v>.</v>
      </c>
      <c r="BQ74" s="136"/>
      <c r="BR74" s="136" t="str">
        <f>IF($D74&lt;&gt;"Feature",".",
IF(VLOOKUP($B74,Feature_List!$A:$AM,MATCH(BR$1,  Feature_List!$A$1:$AM$1,0),0)=J74,".","NO"))</f>
        <v>.</v>
      </c>
      <c r="BS74" s="136"/>
      <c r="BT74" s="136"/>
      <c r="BU74" s="136" t="str">
        <f>IF($D74&lt;&gt;"Feature",".",
IF(VLOOKUP($B74,Feature_List!$A:$AM,MATCH(BU$1,  Feature_List!$A$1:$AM$1,0),0)=M74,".","NO"))</f>
        <v>.</v>
      </c>
      <c r="BV74" s="136" t="str">
        <f>IF($D74&lt;&gt;"Feature",".",
IF(VLOOKUP($B74,Feature_List!$A:$AM,MATCH(BV$1,  Feature_List!$A$1:$AM$1,0),0)=N74,".","NO"))</f>
        <v>.</v>
      </c>
      <c r="BW74" s="136"/>
      <c r="BX74" s="136"/>
      <c r="BY74" s="136"/>
      <c r="BZ74" s="136"/>
      <c r="CA74" s="136"/>
      <c r="CB74" s="136" t="str">
        <f>IF($D74&lt;&gt;"Feature",".",
IF(VLOOKUP($B74,Feature_List!$A:$AM,MATCH(CB$1,  Feature_List!$A$1:$AM$1,0),0)=T74,".","NO"))</f>
        <v>.</v>
      </c>
      <c r="CC74" s="136"/>
      <c r="CD74" s="136"/>
      <c r="CE74" s="136"/>
      <c r="CF74" s="136"/>
      <c r="CG74" s="136"/>
      <c r="CH74" s="136"/>
      <c r="CI74" s="136"/>
      <c r="CJ74" s="136"/>
      <c r="CK74" s="136"/>
      <c r="CL74" s="136"/>
      <c r="CM74" s="136"/>
      <c r="CN74" s="136"/>
      <c r="CO74" s="136" t="str">
        <f>IF($D74&lt;&gt;"Feature",".",
IF(VLOOKUP($B74,Feature_List!$A:$AM,MATCH(CO$1,  Feature_List!$A$1:$AM$1,0),0)=AG74,".","NO"))</f>
        <v>.</v>
      </c>
      <c r="CP74" s="136" t="str">
        <f>IF($D74&lt;&gt;"Feature",".",
IF(VLOOKUP($B74,Feature_List!$A:$AM,MATCH(CP$1,  Feature_List!$A$1:$AM$1,0),0)=AH74,".","NO"))</f>
        <v>.</v>
      </c>
      <c r="CQ74" s="136" t="str">
        <f>IF($D74&lt;&gt;"Feature",".",
IF(VLOOKUP($B74,Feature_List!$A:$AM,MATCH(CQ$1,  Feature_List!$A$1:$AM$1,0),0)=AI74,".","NO"))</f>
        <v>.</v>
      </c>
      <c r="CR74" s="136" t="str">
        <f>IF($D74&lt;&gt;"Feature",".",
IF(VLOOKUP($B74,Feature_List!$A:$AM,MATCH(CR$1,  Feature_List!$A$1:$AM$1,0),0)=AJ74,".","NO"))</f>
        <v>.</v>
      </c>
      <c r="CS74" s="136" t="str">
        <f>IF($D74&lt;&gt;"Feature",".",
IF(VLOOKUP($B74,Feature_List!$A:$AM,MATCH(CS$1,  Feature_List!$A$1:$AM$1,0),0)=AK74,".","NO"))</f>
        <v>.</v>
      </c>
      <c r="CT74" s="136" t="str">
        <f>IF($D74&lt;&gt;"Feature",".",
IF(VLOOKUP($B74,Feature_List!$A:$AM,MATCH(CT$1,  Feature_List!$A$1:$AM$1,0),0)=AL74,".","NO"))</f>
        <v>.</v>
      </c>
      <c r="CU74" s="136" t="str">
        <f>IF($D74&lt;&gt;"Feature",".",
IF(VLOOKUP($B74,Feature_List!$A:$AM,MATCH(CU$1,  Feature_List!$A$1:$AM$1,0),0)=AM74,".","NO"))</f>
        <v>.</v>
      </c>
      <c r="CV74" s="136" t="str">
        <f>IF($D74&lt;&gt;"Feature",".",
IF(VLOOKUP($B74,Feature_List!$A:$AM,MATCH(CV$1,  Feature_List!$A$1:$AM$1,0),0)=AN74,".","NO"))</f>
        <v>.</v>
      </c>
      <c r="CW74" s="136" t="str">
        <f>IF($D74&lt;&gt;"Feature",".",
IF(VLOOKUP($B74,Feature_List!$A:$AM,MATCH(CW$1,  Feature_List!$A$1:$AM$1,0),0)=AO74,".","NO"))</f>
        <v>.</v>
      </c>
      <c r="CX74" s="136" t="str">
        <f>IF($D74&lt;&gt;"Feature",".",
IF(VLOOKUP($B74,Feature_List!$A:$AM,MATCH(CX$1,  Feature_List!$A$1:$AM$1,0),0)=AP74,".","NO"))</f>
        <v>.</v>
      </c>
      <c r="CY74" s="136" t="str">
        <f>IF($D74&lt;&gt;"Feature",".",
IF(VLOOKUP($B74,Feature_List!$A:$AM,MATCH(CY$1,  Feature_List!$A$1:$AM$1,0),0)=AQ74,".","NO"))</f>
        <v>.</v>
      </c>
      <c r="CZ74" s="136" t="str">
        <f>IF($D74&lt;&gt;"Feature",".",
IF(VLOOKUP($B74,Feature_List!$A:$AM,MATCH(CZ$1,  Feature_List!$A$1:$AM$1,0),0)=AR74,".","NO"))</f>
        <v>.</v>
      </c>
      <c r="DA74" s="136" t="str">
        <f>IF($D74&lt;&gt;"Feature",".",
IF(VLOOKUP($B74,Feature_List!$A:$AM,MATCH(DA$1,  Feature_List!$A$1:$AM$1,0),0)=AS74,".","NO"))</f>
        <v>.</v>
      </c>
      <c r="DB74" s="136" t="str">
        <f>IF($D74&lt;&gt;"Feature",".",
IF(VLOOKUP($B74,Feature_List!$A:$AM,MATCH(DB$1,  Feature_List!$A$1:$AM$1,0),0)=AT74,".","NO"))</f>
        <v>.</v>
      </c>
      <c r="DC74" s="136" t="str">
        <f>IF($D74&lt;&gt;"Feature",".",
IF(VLOOKUP($B74,Feature_List!$A:$AM,MATCH(DC$1,  Feature_List!$A$1:$AM$1,0),0)=AU74,".","NO"))</f>
        <v>.</v>
      </c>
      <c r="DD74" s="136" t="str">
        <f>IF($D74&lt;&gt;"Feature",".",
IF(VLOOKUP($B74,Feature_List!$A:$AM,MATCH(DD$1,  Feature_List!$A$1:$AM$1,0),0)=AV74,".","NO"))</f>
        <v>.</v>
      </c>
      <c r="DE74" s="136" t="str">
        <f>IF($D74&lt;&gt;"Feature",".",
IF(VLOOKUP($B74,Feature_List!$A:$AM,MATCH(DE$1,  Feature_List!$A$1:$AM$1,0),0)=AW74,".","NO"))</f>
        <v>.</v>
      </c>
      <c r="DF74" s="136" t="str">
        <f>IF($D74&lt;&gt;"Feature",".",
IF(VLOOKUP($B74,Feature_List!$A:$AM,MATCH(DF$1,  Feature_List!$A$1:$AM$1,0),0)=AX74,".","NO"))</f>
        <v>.</v>
      </c>
      <c r="DG74" s="136" t="str">
        <f>IF($D74&lt;&gt;"Feature",".",
IF(VLOOKUP($B74,Feature_List!$A:$AM,MATCH(DG$1,  Feature_List!$A$1:$AM$1,0),0)=AY74,".","NO"))</f>
        <v>.</v>
      </c>
      <c r="DH74" s="136" t="str">
        <f>IF($D74&lt;&gt;"Feature",".",
IF(VLOOKUP($B74,Feature_List!$A:$AM,MATCH(DH$1,  Feature_List!$A$1:$AM$1,0),0)=AZ74,".","NO"))</f>
        <v>.</v>
      </c>
      <c r="DI74" s="136" t="str">
        <f>IF($D74&lt;&gt;"Feature",".",
IF(VLOOKUP($B74,Feature_List!$A:$AM,MATCH(DI$1,  Feature_List!$A$1:$AM$1,0),0)=BA74,".","NO"))</f>
        <v>.</v>
      </c>
      <c r="DJ74" s="136" t="str">
        <f>IF($D74&lt;&gt;"Feature",".",
IF(VLOOKUP($B74,Feature_List!$A:$AM,MATCH(DJ$1,  Feature_List!$A$1:$AM$1,0),0)=BB74,".","NO"))</f>
        <v>.</v>
      </c>
      <c r="DK74" s="136"/>
      <c r="DL74" s="136"/>
      <c r="DM74" s="136"/>
      <c r="DN74" s="136" t="str">
        <f>IF($D74&lt;&gt;"Feature",".",
IF(VLOOKUP($B74,Feature_List!$A:$AM,MATCH(DN$1,  Feature_List!$A$1:$AM$1,0),0)=BC74,".","NO"))</f>
        <v>.</v>
      </c>
      <c r="DO74" s="136" t="str">
        <f>IF($D74&lt;&gt;"Feature",".",
IF(VLOOKUP($B74,Feature_List!$A:$AM,MATCH(DO$1,  Feature_List!$A$1:$AM$1,0),0)=BD74,".","NO"))</f>
        <v>.</v>
      </c>
    </row>
    <row r="75" spans="2:119" x14ac:dyDescent="0.3">
      <c r="B75" s="121">
        <v>275684</v>
      </c>
      <c r="C75" s="122" t="s">
        <v>604</v>
      </c>
      <c r="D75" s="122" t="s">
        <v>71</v>
      </c>
      <c r="E75" s="122" t="s">
        <v>744</v>
      </c>
      <c r="F75" s="138" t="s">
        <v>657</v>
      </c>
      <c r="G75" s="123" t="s">
        <v>657</v>
      </c>
      <c r="H75" s="122" t="s">
        <v>70</v>
      </c>
      <c r="I75" s="124" t="s">
        <v>562</v>
      </c>
      <c r="J75" s="138"/>
      <c r="K75" s="123">
        <v>5</v>
      </c>
      <c r="L75" s="122"/>
      <c r="M75" s="122" t="s">
        <v>362</v>
      </c>
      <c r="N75" s="125" t="s">
        <v>651</v>
      </c>
      <c r="O75" s="123">
        <f t="shared" si="38"/>
        <v>5</v>
      </c>
      <c r="P75" s="123" t="str">
        <f t="shared" si="39"/>
        <v>New</v>
      </c>
      <c r="Q75" s="122" t="str">
        <f t="shared" si="61"/>
        <v>Story</v>
      </c>
      <c r="R75" s="126">
        <f t="shared" si="40"/>
        <v>318430</v>
      </c>
      <c r="S75" s="127">
        <f t="shared" si="41"/>
        <v>275684</v>
      </c>
      <c r="T75" s="128" t="e">
        <f>IF($Q75="ZeroEntry", "",VLOOKUP($I75,'Ranking Lookup'!#REF!,2,FALSE))</f>
        <v>#REF!</v>
      </c>
      <c r="U75" s="129" t="str">
        <f t="shared" si="42"/>
        <v/>
      </c>
      <c r="V75" s="129" t="str">
        <f t="shared" si="43"/>
        <v/>
      </c>
      <c r="W75" s="129" t="str">
        <f t="shared" si="44"/>
        <v/>
      </c>
      <c r="X75" s="129" t="str">
        <f t="shared" si="45"/>
        <v/>
      </c>
      <c r="Y75" s="129" t="str">
        <f t="shared" si="46"/>
        <v>Feature</v>
      </c>
      <c r="Z75" s="129" t="str">
        <f t="shared" si="47"/>
        <v/>
      </c>
      <c r="AA75" s="130"/>
      <c r="AB75" s="130" t="str">
        <f t="shared" si="48"/>
        <v>PI 12</v>
      </c>
      <c r="AC75" s="131">
        <f t="shared" si="62"/>
        <v>5</v>
      </c>
      <c r="AD75" s="131">
        <f t="shared" si="63"/>
        <v>0</v>
      </c>
      <c r="AE75" s="132">
        <f t="shared" si="49"/>
        <v>0</v>
      </c>
      <c r="AF75" s="133" t="str">
        <f t="shared" si="64"/>
        <v/>
      </c>
      <c r="AG75" s="134">
        <f t="shared" si="50"/>
        <v>0</v>
      </c>
      <c r="AH75" s="54" t="str">
        <f t="shared" si="51"/>
        <v/>
      </c>
      <c r="AI75" s="54" t="e">
        <f t="shared" si="52"/>
        <v>#REF!</v>
      </c>
      <c r="AJ75" s="54" t="e">
        <f t="shared" si="52"/>
        <v>#REF!</v>
      </c>
      <c r="AK75" s="54" t="e">
        <f t="shared" si="52"/>
        <v>#REF!</v>
      </c>
      <c r="AL75" s="54" t="e">
        <f t="shared" si="52"/>
        <v>#REF!</v>
      </c>
      <c r="AM75" s="54" t="e">
        <f t="shared" si="52"/>
        <v>#REF!</v>
      </c>
      <c r="AN75" s="54" t="e">
        <f t="shared" si="52"/>
        <v>#REF!</v>
      </c>
      <c r="AO75" s="54" t="e">
        <f t="shared" si="52"/>
        <v>#REF!</v>
      </c>
      <c r="AP75" s="54" t="e">
        <f t="shared" si="52"/>
        <v>#REF!</v>
      </c>
      <c r="AQ75" s="54" t="e">
        <f t="shared" si="52"/>
        <v>#REF!</v>
      </c>
      <c r="AR75" s="54" t="e">
        <f t="shared" si="52"/>
        <v>#REF!</v>
      </c>
      <c r="AS75" s="54" t="e">
        <f t="shared" si="52"/>
        <v>#REF!</v>
      </c>
      <c r="AT75" s="54" t="e">
        <f t="shared" si="52"/>
        <v>#REF!</v>
      </c>
      <c r="AU75" s="54" t="e">
        <f t="shared" si="52"/>
        <v>#REF!</v>
      </c>
      <c r="AV75" s="54" t="e">
        <f t="shared" si="52"/>
        <v>#REF!</v>
      </c>
      <c r="AW75" s="54" t="e">
        <f t="shared" si="52"/>
        <v>#REF!</v>
      </c>
      <c r="AX75" s="54" t="e">
        <f t="shared" si="52"/>
        <v>#REF!</v>
      </c>
      <c r="AY75" s="54" t="e">
        <f t="shared" si="53"/>
        <v>#REF!</v>
      </c>
      <c r="AZ75" s="54" t="str">
        <f t="shared" si="54"/>
        <v/>
      </c>
      <c r="BA75" s="54" t="e">
        <f t="shared" si="55"/>
        <v>#REF!</v>
      </c>
      <c r="BB75" s="135" t="str">
        <f t="shared" si="56"/>
        <v/>
      </c>
      <c r="BC75" s="54" t="e">
        <f t="shared" si="36"/>
        <v>#REF!</v>
      </c>
      <c r="BD75" s="54" t="e">
        <f t="shared" si="36"/>
        <v>#REF!</v>
      </c>
      <c r="BE75" s="54" t="e">
        <f t="shared" si="36"/>
        <v>#REF!</v>
      </c>
      <c r="BF75" s="54" t="str">
        <f t="shared" si="57"/>
        <v/>
      </c>
      <c r="BG75" s="54" t="str">
        <f t="shared" si="58"/>
        <v/>
      </c>
      <c r="BH75" s="34" t="e">
        <f t="shared" si="59"/>
        <v>#REF!</v>
      </c>
      <c r="BI75" s="34" t="e">
        <f t="shared" si="60"/>
        <v>#REF!</v>
      </c>
      <c r="BJ75" s="136" t="str">
        <f>IF($D75&lt;&gt;"Feature",".",
IF(VLOOKUP($B75,Feature_List!$A:$AM,MATCH(BJ$1,  Feature_List!$A$1:$AM$1,0),0)=B75,".","NO"))</f>
        <v>.</v>
      </c>
      <c r="BK75" s="136"/>
      <c r="BL75" s="136"/>
      <c r="BM75" s="136" t="str">
        <f>IF($D75&lt;&gt;"Feature",".",
IF(VLOOKUP($B75,Feature_List!$A:$AM,MATCH(BM$1,  Feature_List!$A$1:$AM$1,0),0)=E75,".","NO"))</f>
        <v>.</v>
      </c>
      <c r="BN75" s="136" t="str">
        <f>IF($D75&lt;&gt;"Feature",".",
IF(VLOOKUP($B75,Feature_List!$A:$AM,MATCH(BN$1,  Feature_List!$A$1:$AM$1,0),0)=F75,".","NO"))</f>
        <v>.</v>
      </c>
      <c r="BO75" s="136" t="str">
        <f>IF($D75&lt;&gt;"Feature",".",
IF(VLOOKUP($B75,Feature_List!$A:$AM,MATCH(BO$1,  Feature_List!$A$1:$AM$1,0),0)=G75,".","NO"))</f>
        <v>.</v>
      </c>
      <c r="BP75" s="136" t="str">
        <f>IF($D75&lt;&gt;"Feature",".",
IF(VLOOKUP($B75,Feature_List!$A:$AM,MATCH(BP$1,  Feature_List!$A$1:$AM$1,0),0)=H75,".","NO"))</f>
        <v>.</v>
      </c>
      <c r="BQ75" s="136"/>
      <c r="BR75" s="136" t="str">
        <f>IF($D75&lt;&gt;"Feature",".",
IF(VLOOKUP($B75,Feature_List!$A:$AM,MATCH(BR$1,  Feature_List!$A$1:$AM$1,0),0)=J75,".","NO"))</f>
        <v>.</v>
      </c>
      <c r="BS75" s="136"/>
      <c r="BT75" s="136"/>
      <c r="BU75" s="136" t="str">
        <f>IF($D75&lt;&gt;"Feature",".",
IF(VLOOKUP($B75,Feature_List!$A:$AM,MATCH(BU$1,  Feature_List!$A$1:$AM$1,0),0)=M75,".","NO"))</f>
        <v>.</v>
      </c>
      <c r="BV75" s="136" t="str">
        <f>IF($D75&lt;&gt;"Feature",".",
IF(VLOOKUP($B75,Feature_List!$A:$AM,MATCH(BV$1,  Feature_List!$A$1:$AM$1,0),0)=N75,".","NO"))</f>
        <v>.</v>
      </c>
      <c r="BW75" s="136"/>
      <c r="BX75" s="136"/>
      <c r="BY75" s="136"/>
      <c r="BZ75" s="136"/>
      <c r="CA75" s="136"/>
      <c r="CB75" s="136" t="str">
        <f>IF($D75&lt;&gt;"Feature",".",
IF(VLOOKUP($B75,Feature_List!$A:$AM,MATCH(CB$1,  Feature_List!$A$1:$AM$1,0),0)=T75,".","NO"))</f>
        <v>.</v>
      </c>
      <c r="CC75" s="136"/>
      <c r="CD75" s="136"/>
      <c r="CE75" s="136"/>
      <c r="CF75" s="136"/>
      <c r="CG75" s="136"/>
      <c r="CH75" s="136"/>
      <c r="CI75" s="136"/>
      <c r="CJ75" s="136"/>
      <c r="CK75" s="136"/>
      <c r="CL75" s="136"/>
      <c r="CM75" s="136"/>
      <c r="CN75" s="136"/>
      <c r="CO75" s="136" t="str">
        <f>IF($D75&lt;&gt;"Feature",".",
IF(VLOOKUP($B75,Feature_List!$A:$AM,MATCH(CO$1,  Feature_List!$A$1:$AM$1,0),0)=AG75,".","NO"))</f>
        <v>.</v>
      </c>
      <c r="CP75" s="136" t="str">
        <f>IF($D75&lt;&gt;"Feature",".",
IF(VLOOKUP($B75,Feature_List!$A:$AM,MATCH(CP$1,  Feature_List!$A$1:$AM$1,0),0)=AH75,".","NO"))</f>
        <v>.</v>
      </c>
      <c r="CQ75" s="136" t="str">
        <f>IF($D75&lt;&gt;"Feature",".",
IF(VLOOKUP($B75,Feature_List!$A:$AM,MATCH(CQ$1,  Feature_List!$A$1:$AM$1,0),0)=AI75,".","NO"))</f>
        <v>.</v>
      </c>
      <c r="CR75" s="136" t="str">
        <f>IF($D75&lt;&gt;"Feature",".",
IF(VLOOKUP($B75,Feature_List!$A:$AM,MATCH(CR$1,  Feature_List!$A$1:$AM$1,0),0)=AJ75,".","NO"))</f>
        <v>.</v>
      </c>
      <c r="CS75" s="136" t="str">
        <f>IF($D75&lt;&gt;"Feature",".",
IF(VLOOKUP($B75,Feature_List!$A:$AM,MATCH(CS$1,  Feature_List!$A$1:$AM$1,0),0)=AK75,".","NO"))</f>
        <v>.</v>
      </c>
      <c r="CT75" s="136" t="str">
        <f>IF($D75&lt;&gt;"Feature",".",
IF(VLOOKUP($B75,Feature_List!$A:$AM,MATCH(CT$1,  Feature_List!$A$1:$AM$1,0),0)=AL75,".","NO"))</f>
        <v>.</v>
      </c>
      <c r="CU75" s="136" t="str">
        <f>IF($D75&lt;&gt;"Feature",".",
IF(VLOOKUP($B75,Feature_List!$A:$AM,MATCH(CU$1,  Feature_List!$A$1:$AM$1,0),0)=AM75,".","NO"))</f>
        <v>.</v>
      </c>
      <c r="CV75" s="136" t="str">
        <f>IF($D75&lt;&gt;"Feature",".",
IF(VLOOKUP($B75,Feature_List!$A:$AM,MATCH(CV$1,  Feature_List!$A$1:$AM$1,0),0)=AN75,".","NO"))</f>
        <v>.</v>
      </c>
      <c r="CW75" s="136" t="str">
        <f>IF($D75&lt;&gt;"Feature",".",
IF(VLOOKUP($B75,Feature_List!$A:$AM,MATCH(CW$1,  Feature_List!$A$1:$AM$1,0),0)=AO75,".","NO"))</f>
        <v>.</v>
      </c>
      <c r="CX75" s="136" t="str">
        <f>IF($D75&lt;&gt;"Feature",".",
IF(VLOOKUP($B75,Feature_List!$A:$AM,MATCH(CX$1,  Feature_List!$A$1:$AM$1,0),0)=AP75,".","NO"))</f>
        <v>.</v>
      </c>
      <c r="CY75" s="136" t="str">
        <f>IF($D75&lt;&gt;"Feature",".",
IF(VLOOKUP($B75,Feature_List!$A:$AM,MATCH(CY$1,  Feature_List!$A$1:$AM$1,0),0)=AQ75,".","NO"))</f>
        <v>.</v>
      </c>
      <c r="CZ75" s="136" t="str">
        <f>IF($D75&lt;&gt;"Feature",".",
IF(VLOOKUP($B75,Feature_List!$A:$AM,MATCH(CZ$1,  Feature_List!$A$1:$AM$1,0),0)=AR75,".","NO"))</f>
        <v>.</v>
      </c>
      <c r="DA75" s="136" t="str">
        <f>IF($D75&lt;&gt;"Feature",".",
IF(VLOOKUP($B75,Feature_List!$A:$AM,MATCH(DA$1,  Feature_List!$A$1:$AM$1,0),0)=AS75,".","NO"))</f>
        <v>.</v>
      </c>
      <c r="DB75" s="136" t="str">
        <f>IF($D75&lt;&gt;"Feature",".",
IF(VLOOKUP($B75,Feature_List!$A:$AM,MATCH(DB$1,  Feature_List!$A$1:$AM$1,0),0)=AT75,".","NO"))</f>
        <v>.</v>
      </c>
      <c r="DC75" s="136" t="str">
        <f>IF($D75&lt;&gt;"Feature",".",
IF(VLOOKUP($B75,Feature_List!$A:$AM,MATCH(DC$1,  Feature_List!$A$1:$AM$1,0),0)=AU75,".","NO"))</f>
        <v>.</v>
      </c>
      <c r="DD75" s="136" t="str">
        <f>IF($D75&lt;&gt;"Feature",".",
IF(VLOOKUP($B75,Feature_List!$A:$AM,MATCH(DD$1,  Feature_List!$A$1:$AM$1,0),0)=AV75,".","NO"))</f>
        <v>.</v>
      </c>
      <c r="DE75" s="136" t="str">
        <f>IF($D75&lt;&gt;"Feature",".",
IF(VLOOKUP($B75,Feature_List!$A:$AM,MATCH(DE$1,  Feature_List!$A$1:$AM$1,0),0)=AW75,".","NO"))</f>
        <v>.</v>
      </c>
      <c r="DF75" s="136" t="str">
        <f>IF($D75&lt;&gt;"Feature",".",
IF(VLOOKUP($B75,Feature_List!$A:$AM,MATCH(DF$1,  Feature_List!$A$1:$AM$1,0),0)=AX75,".","NO"))</f>
        <v>.</v>
      </c>
      <c r="DG75" s="136" t="str">
        <f>IF($D75&lt;&gt;"Feature",".",
IF(VLOOKUP($B75,Feature_List!$A:$AM,MATCH(DG$1,  Feature_List!$A$1:$AM$1,0),0)=AY75,".","NO"))</f>
        <v>.</v>
      </c>
      <c r="DH75" s="136" t="str">
        <f>IF($D75&lt;&gt;"Feature",".",
IF(VLOOKUP($B75,Feature_List!$A:$AM,MATCH(DH$1,  Feature_List!$A$1:$AM$1,0),0)=AZ75,".","NO"))</f>
        <v>.</v>
      </c>
      <c r="DI75" s="136" t="str">
        <f>IF($D75&lt;&gt;"Feature",".",
IF(VLOOKUP($B75,Feature_List!$A:$AM,MATCH(DI$1,  Feature_List!$A$1:$AM$1,0),0)=BA75,".","NO"))</f>
        <v>.</v>
      </c>
      <c r="DJ75" s="136" t="str">
        <f>IF($D75&lt;&gt;"Feature",".",
IF(VLOOKUP($B75,Feature_List!$A:$AM,MATCH(DJ$1,  Feature_List!$A$1:$AM$1,0),0)=BB75,".","NO"))</f>
        <v>.</v>
      </c>
      <c r="DK75" s="136"/>
      <c r="DL75" s="136"/>
      <c r="DM75" s="136"/>
      <c r="DN75" s="136" t="str">
        <f>IF($D75&lt;&gt;"Feature",".",
IF(VLOOKUP($B75,Feature_List!$A:$AM,MATCH(DN$1,  Feature_List!$A$1:$AM$1,0),0)=BC75,".","NO"))</f>
        <v>.</v>
      </c>
      <c r="DO75" s="136" t="str">
        <f>IF($D75&lt;&gt;"Feature",".",
IF(VLOOKUP($B75,Feature_List!$A:$AM,MATCH(DO$1,  Feature_List!$A$1:$AM$1,0),0)=BD75,".","NO"))</f>
        <v>.</v>
      </c>
    </row>
    <row r="76" spans="2:119" x14ac:dyDescent="0.3">
      <c r="B76" s="121"/>
      <c r="C76" s="123"/>
      <c r="D76" s="122"/>
      <c r="E76" s="122"/>
      <c r="F76" s="138"/>
      <c r="G76" s="123"/>
      <c r="H76" s="122"/>
      <c r="I76" s="124"/>
      <c r="J76" s="138"/>
      <c r="K76" s="123"/>
      <c r="L76" s="122"/>
      <c r="M76" s="122"/>
      <c r="N76" s="125"/>
      <c r="O76" s="123">
        <f t="shared" si="38"/>
        <v>0</v>
      </c>
      <c r="P76" s="123">
        <f t="shared" si="39"/>
        <v>0</v>
      </c>
      <c r="Q76" s="122" t="str">
        <f t="shared" si="61"/>
        <v>ZeroEntry</v>
      </c>
      <c r="R76" s="126" t="str">
        <f t="shared" si="40"/>
        <v>ZeroEntry</v>
      </c>
      <c r="S76" s="127" t="str">
        <f t="shared" si="41"/>
        <v>ZeroEntry</v>
      </c>
      <c r="T76" s="128" t="str">
        <f>IF($Q76="ZeroEntry", "",VLOOKUP($I76,'Ranking Lookup'!#REF!,2,FALSE))</f>
        <v/>
      </c>
      <c r="U76" s="129" t="str">
        <f t="shared" si="42"/>
        <v/>
      </c>
      <c r="V76" s="129" t="str">
        <f t="shared" si="43"/>
        <v/>
      </c>
      <c r="W76" s="129" t="str">
        <f t="shared" si="44"/>
        <v/>
      </c>
      <c r="X76" s="129" t="str">
        <f t="shared" si="45"/>
        <v/>
      </c>
      <c r="Y76" s="129" t="str">
        <f t="shared" si="46"/>
        <v/>
      </c>
      <c r="Z76" s="129" t="str">
        <f t="shared" si="47"/>
        <v/>
      </c>
      <c r="AA76" s="130"/>
      <c r="AB76" s="130" t="str">
        <f t="shared" si="48"/>
        <v>Unassigned</v>
      </c>
      <c r="AC76" s="131" t="str">
        <f t="shared" si="62"/>
        <v/>
      </c>
      <c r="AD76" s="131" t="str">
        <f t="shared" si="63"/>
        <v/>
      </c>
      <c r="AE76" s="132">
        <f t="shared" si="49"/>
        <v>0</v>
      </c>
      <c r="AF76" s="133" t="str">
        <f t="shared" si="64"/>
        <v/>
      </c>
      <c r="AG76" s="134">
        <f t="shared" si="50"/>
        <v>0</v>
      </c>
      <c r="AH76" s="54" t="str">
        <f t="shared" si="51"/>
        <v/>
      </c>
      <c r="AI76" s="54" t="str">
        <f t="shared" si="52"/>
        <v/>
      </c>
      <c r="AJ76" s="54" t="str">
        <f t="shared" si="52"/>
        <v/>
      </c>
      <c r="AK76" s="54" t="str">
        <f t="shared" si="52"/>
        <v/>
      </c>
      <c r="AL76" s="54" t="str">
        <f t="shared" si="52"/>
        <v/>
      </c>
      <c r="AM76" s="54" t="str">
        <f t="shared" si="52"/>
        <v/>
      </c>
      <c r="AN76" s="54" t="str">
        <f t="shared" si="52"/>
        <v/>
      </c>
      <c r="AO76" s="54" t="str">
        <f t="shared" si="52"/>
        <v/>
      </c>
      <c r="AP76" s="54" t="str">
        <f t="shared" si="52"/>
        <v/>
      </c>
      <c r="AQ76" s="54" t="str">
        <f t="shared" si="52"/>
        <v/>
      </c>
      <c r="AR76" s="54" t="str">
        <f t="shared" si="52"/>
        <v/>
      </c>
      <c r="AS76" s="54" t="str">
        <f t="shared" si="52"/>
        <v/>
      </c>
      <c r="AT76" s="54" t="str">
        <f t="shared" si="52"/>
        <v/>
      </c>
      <c r="AU76" s="54" t="str">
        <f t="shared" si="52"/>
        <v/>
      </c>
      <c r="AV76" s="54" t="str">
        <f t="shared" si="52"/>
        <v/>
      </c>
      <c r="AW76" s="54" t="str">
        <f t="shared" si="52"/>
        <v/>
      </c>
      <c r="AX76" s="54" t="str">
        <f t="shared" si="52"/>
        <v/>
      </c>
      <c r="AY76" s="54" t="str">
        <f t="shared" si="53"/>
        <v/>
      </c>
      <c r="AZ76" s="54" t="str">
        <f t="shared" si="54"/>
        <v/>
      </c>
      <c r="BA76" s="54" t="str">
        <f t="shared" si="55"/>
        <v/>
      </c>
      <c r="BB76" s="135" t="str">
        <f t="shared" si="56"/>
        <v/>
      </c>
      <c r="BC76" s="54" t="str">
        <f t="shared" si="36"/>
        <v/>
      </c>
      <c r="BD76" s="54" t="str">
        <f t="shared" si="36"/>
        <v/>
      </c>
      <c r="BE76" s="54" t="str">
        <f t="shared" si="36"/>
        <v/>
      </c>
      <c r="BF76" s="54" t="str">
        <f t="shared" si="57"/>
        <v/>
      </c>
      <c r="BG76" s="54" t="str">
        <f t="shared" si="58"/>
        <v/>
      </c>
      <c r="BH76" s="34" t="str">
        <f t="shared" si="59"/>
        <v>Bad</v>
      </c>
      <c r="BI76" s="34" t="str">
        <f t="shared" si="60"/>
        <v>No</v>
      </c>
      <c r="BJ76" s="136" t="str">
        <f>IF($D76&lt;&gt;"Feature",".",
IF(VLOOKUP($B76,Feature_List!$A:$AM,MATCH(BJ$1,  Feature_List!$A$1:$AM$1,0),0)=B76,".","NO"))</f>
        <v>.</v>
      </c>
      <c r="BK76" s="136"/>
      <c r="BL76" s="136"/>
      <c r="BM76" s="136" t="str">
        <f>IF($D76&lt;&gt;"Feature",".",
IF(VLOOKUP($B76,Feature_List!$A:$AM,MATCH(BM$1,  Feature_List!$A$1:$AM$1,0),0)=E76,".","NO"))</f>
        <v>.</v>
      </c>
      <c r="BN76" s="136" t="str">
        <f>IF($D76&lt;&gt;"Feature",".",
IF(VLOOKUP($B76,Feature_List!$A:$AM,MATCH(BN$1,  Feature_List!$A$1:$AM$1,0),0)=F76,".","NO"))</f>
        <v>.</v>
      </c>
      <c r="BO76" s="136" t="str">
        <f>IF($D76&lt;&gt;"Feature",".",
IF(VLOOKUP($B76,Feature_List!$A:$AM,MATCH(BO$1,  Feature_List!$A$1:$AM$1,0),0)=G76,".","NO"))</f>
        <v>.</v>
      </c>
      <c r="BP76" s="136" t="str">
        <f>IF($D76&lt;&gt;"Feature",".",
IF(VLOOKUP($B76,Feature_List!$A:$AM,MATCH(BP$1,  Feature_List!$A$1:$AM$1,0),0)=H76,".","NO"))</f>
        <v>.</v>
      </c>
      <c r="BQ76" s="136"/>
      <c r="BR76" s="136" t="str">
        <f>IF($D76&lt;&gt;"Feature",".",
IF(VLOOKUP($B76,Feature_List!$A:$AM,MATCH(BR$1,  Feature_List!$A$1:$AM$1,0),0)=J76,".","NO"))</f>
        <v>.</v>
      </c>
      <c r="BS76" s="136"/>
      <c r="BT76" s="136"/>
      <c r="BU76" s="136" t="str">
        <f>IF($D76&lt;&gt;"Feature",".",
IF(VLOOKUP($B76,Feature_List!$A:$AM,MATCH(BU$1,  Feature_List!$A$1:$AM$1,0),0)=M76,".","NO"))</f>
        <v>.</v>
      </c>
      <c r="BV76" s="136" t="str">
        <f>IF($D76&lt;&gt;"Feature",".",
IF(VLOOKUP($B76,Feature_List!$A:$AM,MATCH(BV$1,  Feature_List!$A$1:$AM$1,0),0)=N76,".","NO"))</f>
        <v>.</v>
      </c>
      <c r="BW76" s="136"/>
      <c r="BX76" s="136"/>
      <c r="BY76" s="136"/>
      <c r="BZ76" s="136"/>
      <c r="CA76" s="136"/>
      <c r="CB76" s="136" t="str">
        <f>IF($D76&lt;&gt;"Feature",".",
IF(VLOOKUP($B76,Feature_List!$A:$AM,MATCH(CB$1,  Feature_List!$A$1:$AM$1,0),0)=T76,".","NO"))</f>
        <v>.</v>
      </c>
      <c r="CC76" s="136"/>
      <c r="CD76" s="136"/>
      <c r="CE76" s="136"/>
      <c r="CF76" s="136"/>
      <c r="CG76" s="136"/>
      <c r="CH76" s="136"/>
      <c r="CI76" s="136"/>
      <c r="CJ76" s="136"/>
      <c r="CK76" s="136"/>
      <c r="CL76" s="136"/>
      <c r="CM76" s="136"/>
      <c r="CN76" s="136"/>
      <c r="CO76" s="136" t="str">
        <f>IF($D76&lt;&gt;"Feature",".",
IF(VLOOKUP($B76,Feature_List!$A:$AM,MATCH(CO$1,  Feature_List!$A$1:$AM$1,0),0)=AG76,".","NO"))</f>
        <v>.</v>
      </c>
      <c r="CP76" s="136" t="str">
        <f>IF($D76&lt;&gt;"Feature",".",
IF(VLOOKUP($B76,Feature_List!$A:$AM,MATCH(CP$1,  Feature_List!$A$1:$AM$1,0),0)=AH76,".","NO"))</f>
        <v>.</v>
      </c>
      <c r="CQ76" s="136" t="str">
        <f>IF($D76&lt;&gt;"Feature",".",
IF(VLOOKUP($B76,Feature_List!$A:$AM,MATCH(CQ$1,  Feature_List!$A$1:$AM$1,0),0)=AI76,".","NO"))</f>
        <v>.</v>
      </c>
      <c r="CR76" s="136" t="str">
        <f>IF($D76&lt;&gt;"Feature",".",
IF(VLOOKUP($B76,Feature_List!$A:$AM,MATCH(CR$1,  Feature_List!$A$1:$AM$1,0),0)=AJ76,".","NO"))</f>
        <v>.</v>
      </c>
      <c r="CS76" s="136" t="str">
        <f>IF($D76&lt;&gt;"Feature",".",
IF(VLOOKUP($B76,Feature_List!$A:$AM,MATCH(CS$1,  Feature_List!$A$1:$AM$1,0),0)=AK76,".","NO"))</f>
        <v>.</v>
      </c>
      <c r="CT76" s="136" t="str">
        <f>IF($D76&lt;&gt;"Feature",".",
IF(VLOOKUP($B76,Feature_List!$A:$AM,MATCH(CT$1,  Feature_List!$A$1:$AM$1,0),0)=AL76,".","NO"))</f>
        <v>.</v>
      </c>
      <c r="CU76" s="136" t="str">
        <f>IF($D76&lt;&gt;"Feature",".",
IF(VLOOKUP($B76,Feature_List!$A:$AM,MATCH(CU$1,  Feature_List!$A$1:$AM$1,0),0)=AM76,".","NO"))</f>
        <v>.</v>
      </c>
      <c r="CV76" s="136" t="str">
        <f>IF($D76&lt;&gt;"Feature",".",
IF(VLOOKUP($B76,Feature_List!$A:$AM,MATCH(CV$1,  Feature_List!$A$1:$AM$1,0),0)=AN76,".","NO"))</f>
        <v>.</v>
      </c>
      <c r="CW76" s="136" t="str">
        <f>IF($D76&lt;&gt;"Feature",".",
IF(VLOOKUP($B76,Feature_List!$A:$AM,MATCH(CW$1,  Feature_List!$A$1:$AM$1,0),0)=AO76,".","NO"))</f>
        <v>.</v>
      </c>
      <c r="CX76" s="136" t="str">
        <f>IF($D76&lt;&gt;"Feature",".",
IF(VLOOKUP($B76,Feature_List!$A:$AM,MATCH(CX$1,  Feature_List!$A$1:$AM$1,0),0)=AP76,".","NO"))</f>
        <v>.</v>
      </c>
      <c r="CY76" s="136" t="str">
        <f>IF($D76&lt;&gt;"Feature",".",
IF(VLOOKUP($B76,Feature_List!$A:$AM,MATCH(CY$1,  Feature_List!$A$1:$AM$1,0),0)=AQ76,".","NO"))</f>
        <v>.</v>
      </c>
      <c r="CZ76" s="136" t="str">
        <f>IF($D76&lt;&gt;"Feature",".",
IF(VLOOKUP($B76,Feature_List!$A:$AM,MATCH(CZ$1,  Feature_List!$A$1:$AM$1,0),0)=AR76,".","NO"))</f>
        <v>.</v>
      </c>
      <c r="DA76" s="136" t="str">
        <f>IF($D76&lt;&gt;"Feature",".",
IF(VLOOKUP($B76,Feature_List!$A:$AM,MATCH(DA$1,  Feature_List!$A$1:$AM$1,0),0)=AS76,".","NO"))</f>
        <v>.</v>
      </c>
      <c r="DB76" s="136" t="str">
        <f>IF($D76&lt;&gt;"Feature",".",
IF(VLOOKUP($B76,Feature_List!$A:$AM,MATCH(DB$1,  Feature_List!$A$1:$AM$1,0),0)=AT76,".","NO"))</f>
        <v>.</v>
      </c>
      <c r="DC76" s="136" t="str">
        <f>IF($D76&lt;&gt;"Feature",".",
IF(VLOOKUP($B76,Feature_List!$A:$AM,MATCH(DC$1,  Feature_List!$A$1:$AM$1,0),0)=AU76,".","NO"))</f>
        <v>.</v>
      </c>
      <c r="DD76" s="136" t="str">
        <f>IF($D76&lt;&gt;"Feature",".",
IF(VLOOKUP($B76,Feature_List!$A:$AM,MATCH(DD$1,  Feature_List!$A$1:$AM$1,0),0)=AV76,".","NO"))</f>
        <v>.</v>
      </c>
      <c r="DE76" s="136" t="str">
        <f>IF($D76&lt;&gt;"Feature",".",
IF(VLOOKUP($B76,Feature_List!$A:$AM,MATCH(DE$1,  Feature_List!$A$1:$AM$1,0),0)=AW76,".","NO"))</f>
        <v>.</v>
      </c>
      <c r="DF76" s="136" t="str">
        <f>IF($D76&lt;&gt;"Feature",".",
IF(VLOOKUP($B76,Feature_List!$A:$AM,MATCH(DF$1,  Feature_List!$A$1:$AM$1,0),0)=AX76,".","NO"))</f>
        <v>.</v>
      </c>
      <c r="DG76" s="136" t="str">
        <f>IF($D76&lt;&gt;"Feature",".",
IF(VLOOKUP($B76,Feature_List!$A:$AM,MATCH(DG$1,  Feature_List!$A$1:$AM$1,0),0)=AY76,".","NO"))</f>
        <v>.</v>
      </c>
      <c r="DH76" s="136" t="str">
        <f>IF($D76&lt;&gt;"Feature",".",
IF(VLOOKUP($B76,Feature_List!$A:$AM,MATCH(DH$1,  Feature_List!$A$1:$AM$1,0),0)=AZ76,".","NO"))</f>
        <v>.</v>
      </c>
      <c r="DI76" s="136" t="str">
        <f>IF($D76&lt;&gt;"Feature",".",
IF(VLOOKUP($B76,Feature_List!$A:$AM,MATCH(DI$1,  Feature_List!$A$1:$AM$1,0),0)=BA76,".","NO"))</f>
        <v>.</v>
      </c>
      <c r="DJ76" s="136" t="str">
        <f>IF($D76&lt;&gt;"Feature",".",
IF(VLOOKUP($B76,Feature_List!$A:$AM,MATCH(DJ$1,  Feature_List!$A$1:$AM$1,0),0)=BB76,".","NO"))</f>
        <v>.</v>
      </c>
      <c r="DK76" s="136"/>
      <c r="DL76" s="136"/>
      <c r="DM76" s="136"/>
      <c r="DN76" s="136" t="str">
        <f>IF($D76&lt;&gt;"Feature",".",
IF(VLOOKUP($B76,Feature_List!$A:$AM,MATCH(DN$1,  Feature_List!$A$1:$AM$1,0),0)=BC76,".","NO"))</f>
        <v>.</v>
      </c>
      <c r="DO76" s="136" t="str">
        <f>IF($D76&lt;&gt;"Feature",".",
IF(VLOOKUP($B76,Feature_List!$A:$AM,MATCH(DO$1,  Feature_List!$A$1:$AM$1,0),0)=BD76,".","NO"))</f>
        <v>.</v>
      </c>
    </row>
    <row r="77" spans="2:119" x14ac:dyDescent="0.3">
      <c r="B77" s="121"/>
      <c r="C77" s="122"/>
      <c r="D77" s="122"/>
      <c r="E77" s="122"/>
      <c r="F77" s="138"/>
      <c r="G77" s="123"/>
      <c r="H77" s="122"/>
      <c r="I77" s="124"/>
      <c r="J77" s="138"/>
      <c r="K77" s="123"/>
      <c r="L77" s="122"/>
      <c r="M77" s="122"/>
      <c r="N77" s="125"/>
      <c r="O77" s="123">
        <f t="shared" si="38"/>
        <v>0</v>
      </c>
      <c r="P77" s="123">
        <f t="shared" si="39"/>
        <v>0</v>
      </c>
      <c r="Q77" s="122" t="str">
        <f t="shared" si="61"/>
        <v>ZeroEntry</v>
      </c>
      <c r="R77" s="126" t="str">
        <f t="shared" si="40"/>
        <v>ZeroEntry</v>
      </c>
      <c r="S77" s="127" t="str">
        <f t="shared" si="41"/>
        <v>ZeroEntry</v>
      </c>
      <c r="T77" s="128" t="str">
        <f>IF($Q77="ZeroEntry", "",VLOOKUP($I77,'Ranking Lookup'!#REF!,2,FALSE))</f>
        <v/>
      </c>
      <c r="U77" s="129" t="str">
        <f t="shared" si="42"/>
        <v/>
      </c>
      <c r="V77" s="129" t="str">
        <f t="shared" si="43"/>
        <v/>
      </c>
      <c r="W77" s="129" t="str">
        <f t="shared" si="44"/>
        <v/>
      </c>
      <c r="X77" s="129" t="str">
        <f t="shared" si="45"/>
        <v/>
      </c>
      <c r="Y77" s="129" t="str">
        <f t="shared" si="46"/>
        <v/>
      </c>
      <c r="Z77" s="129" t="str">
        <f t="shared" si="47"/>
        <v/>
      </c>
      <c r="AA77" s="130"/>
      <c r="AB77" s="130" t="str">
        <f t="shared" si="48"/>
        <v>Unassigned</v>
      </c>
      <c r="AC77" s="131" t="str">
        <f t="shared" si="62"/>
        <v/>
      </c>
      <c r="AD77" s="131" t="str">
        <f t="shared" si="63"/>
        <v/>
      </c>
      <c r="AE77" s="132">
        <f t="shared" si="49"/>
        <v>0</v>
      </c>
      <c r="AF77" s="133" t="str">
        <f t="shared" si="64"/>
        <v/>
      </c>
      <c r="AG77" s="134">
        <f t="shared" si="50"/>
        <v>0</v>
      </c>
      <c r="AH77" s="54" t="str">
        <f t="shared" si="51"/>
        <v/>
      </c>
      <c r="AI77" s="54" t="str">
        <f t="shared" si="52"/>
        <v/>
      </c>
      <c r="AJ77" s="54" t="str">
        <f t="shared" si="52"/>
        <v/>
      </c>
      <c r="AK77" s="54" t="str">
        <f t="shared" si="52"/>
        <v/>
      </c>
      <c r="AL77" s="54" t="str">
        <f t="shared" si="52"/>
        <v/>
      </c>
      <c r="AM77" s="54" t="str">
        <f t="shared" si="52"/>
        <v/>
      </c>
      <c r="AN77" s="54" t="str">
        <f t="shared" si="52"/>
        <v/>
      </c>
      <c r="AO77" s="54" t="str">
        <f t="shared" si="52"/>
        <v/>
      </c>
      <c r="AP77" s="54" t="str">
        <f t="shared" si="52"/>
        <v/>
      </c>
      <c r="AQ77" s="54" t="str">
        <f t="shared" si="52"/>
        <v/>
      </c>
      <c r="AR77" s="54" t="str">
        <f t="shared" si="52"/>
        <v/>
      </c>
      <c r="AS77" s="54" t="str">
        <f t="shared" si="52"/>
        <v/>
      </c>
      <c r="AT77" s="54" t="str">
        <f t="shared" si="52"/>
        <v/>
      </c>
      <c r="AU77" s="54" t="str">
        <f t="shared" si="52"/>
        <v/>
      </c>
      <c r="AV77" s="54" t="str">
        <f t="shared" si="52"/>
        <v/>
      </c>
      <c r="AW77" s="54" t="str">
        <f t="shared" si="52"/>
        <v/>
      </c>
      <c r="AX77" s="54" t="str">
        <f t="shared" si="52"/>
        <v/>
      </c>
      <c r="AY77" s="54" t="str">
        <f t="shared" si="53"/>
        <v/>
      </c>
      <c r="AZ77" s="54" t="str">
        <f t="shared" si="54"/>
        <v/>
      </c>
      <c r="BA77" s="54" t="str">
        <f t="shared" si="55"/>
        <v/>
      </c>
      <c r="BB77" s="135" t="str">
        <f t="shared" si="56"/>
        <v/>
      </c>
      <c r="BC77" s="54" t="str">
        <f t="shared" si="36"/>
        <v/>
      </c>
      <c r="BD77" s="54" t="str">
        <f t="shared" si="36"/>
        <v/>
      </c>
      <c r="BE77" s="54" t="str">
        <f t="shared" si="36"/>
        <v/>
      </c>
      <c r="BF77" s="54" t="str">
        <f t="shared" si="57"/>
        <v/>
      </c>
      <c r="BG77" s="54" t="str">
        <f t="shared" si="58"/>
        <v/>
      </c>
      <c r="BH77" s="34" t="str">
        <f t="shared" si="59"/>
        <v>Bad</v>
      </c>
      <c r="BI77" s="34" t="str">
        <f t="shared" si="60"/>
        <v>No</v>
      </c>
      <c r="BJ77" s="136" t="str">
        <f>IF($D77&lt;&gt;"Feature",".",
IF(VLOOKUP($B77,Feature_List!$A:$AM,MATCH(BJ$1,  Feature_List!$A$1:$AM$1,0),0)=B77,".","NO"))</f>
        <v>.</v>
      </c>
      <c r="BK77" s="136"/>
      <c r="BL77" s="136"/>
      <c r="BM77" s="136" t="str">
        <f>IF($D77&lt;&gt;"Feature",".",
IF(VLOOKUP($B77,Feature_List!$A:$AM,MATCH(BM$1,  Feature_List!$A$1:$AM$1,0),0)=E77,".","NO"))</f>
        <v>.</v>
      </c>
      <c r="BN77" s="136" t="str">
        <f>IF($D77&lt;&gt;"Feature",".",
IF(VLOOKUP($B77,Feature_List!$A:$AM,MATCH(BN$1,  Feature_List!$A$1:$AM$1,0),0)=F77,".","NO"))</f>
        <v>.</v>
      </c>
      <c r="BO77" s="136" t="str">
        <f>IF($D77&lt;&gt;"Feature",".",
IF(VLOOKUP($B77,Feature_List!$A:$AM,MATCH(BO$1,  Feature_List!$A$1:$AM$1,0),0)=G77,".","NO"))</f>
        <v>.</v>
      </c>
      <c r="BP77" s="136" t="str">
        <f>IF($D77&lt;&gt;"Feature",".",
IF(VLOOKUP($B77,Feature_List!$A:$AM,MATCH(BP$1,  Feature_List!$A$1:$AM$1,0),0)=H77,".","NO"))</f>
        <v>.</v>
      </c>
      <c r="BQ77" s="136"/>
      <c r="BR77" s="136" t="str">
        <f>IF($D77&lt;&gt;"Feature",".",
IF(VLOOKUP($B77,Feature_List!$A:$AM,MATCH(BR$1,  Feature_List!$A$1:$AM$1,0),0)=J77,".","NO"))</f>
        <v>.</v>
      </c>
      <c r="BS77" s="136"/>
      <c r="BT77" s="136"/>
      <c r="BU77" s="136" t="str">
        <f>IF($D77&lt;&gt;"Feature",".",
IF(VLOOKUP($B77,Feature_List!$A:$AM,MATCH(BU$1,  Feature_List!$A$1:$AM$1,0),0)=M77,".","NO"))</f>
        <v>.</v>
      </c>
      <c r="BV77" s="136" t="str">
        <f>IF($D77&lt;&gt;"Feature",".",
IF(VLOOKUP($B77,Feature_List!$A:$AM,MATCH(BV$1,  Feature_List!$A$1:$AM$1,0),0)=N77,".","NO"))</f>
        <v>.</v>
      </c>
      <c r="BW77" s="136"/>
      <c r="BX77" s="136"/>
      <c r="BY77" s="136"/>
      <c r="BZ77" s="136"/>
      <c r="CA77" s="136"/>
      <c r="CB77" s="136" t="str">
        <f>IF($D77&lt;&gt;"Feature",".",
IF(VLOOKUP($B77,Feature_List!$A:$AM,MATCH(CB$1,  Feature_List!$A$1:$AM$1,0),0)=T77,".","NO"))</f>
        <v>.</v>
      </c>
      <c r="CC77" s="136"/>
      <c r="CD77" s="136"/>
      <c r="CE77" s="136"/>
      <c r="CF77" s="136"/>
      <c r="CG77" s="136"/>
      <c r="CH77" s="136"/>
      <c r="CI77" s="136"/>
      <c r="CJ77" s="136"/>
      <c r="CK77" s="136"/>
      <c r="CL77" s="136"/>
      <c r="CM77" s="136"/>
      <c r="CN77" s="136"/>
      <c r="CO77" s="136" t="str">
        <f>IF($D77&lt;&gt;"Feature",".",
IF(VLOOKUP($B77,Feature_List!$A:$AM,MATCH(CO$1,  Feature_List!$A$1:$AM$1,0),0)=AG77,".","NO"))</f>
        <v>.</v>
      </c>
      <c r="CP77" s="136" t="str">
        <f>IF($D77&lt;&gt;"Feature",".",
IF(VLOOKUP($B77,Feature_List!$A:$AM,MATCH(CP$1,  Feature_List!$A$1:$AM$1,0),0)=AH77,".","NO"))</f>
        <v>.</v>
      </c>
      <c r="CQ77" s="136" t="str">
        <f>IF($D77&lt;&gt;"Feature",".",
IF(VLOOKUP($B77,Feature_List!$A:$AM,MATCH(CQ$1,  Feature_List!$A$1:$AM$1,0),0)=AI77,".","NO"))</f>
        <v>.</v>
      </c>
      <c r="CR77" s="136" t="str">
        <f>IF($D77&lt;&gt;"Feature",".",
IF(VLOOKUP($B77,Feature_List!$A:$AM,MATCH(CR$1,  Feature_List!$A$1:$AM$1,0),0)=AJ77,".","NO"))</f>
        <v>.</v>
      </c>
      <c r="CS77" s="136" t="str">
        <f>IF($D77&lt;&gt;"Feature",".",
IF(VLOOKUP($B77,Feature_List!$A:$AM,MATCH(CS$1,  Feature_List!$A$1:$AM$1,0),0)=AK77,".","NO"))</f>
        <v>.</v>
      </c>
      <c r="CT77" s="136" t="str">
        <f>IF($D77&lt;&gt;"Feature",".",
IF(VLOOKUP($B77,Feature_List!$A:$AM,MATCH(CT$1,  Feature_List!$A$1:$AM$1,0),0)=AL77,".","NO"))</f>
        <v>.</v>
      </c>
      <c r="CU77" s="136" t="str">
        <f>IF($D77&lt;&gt;"Feature",".",
IF(VLOOKUP($B77,Feature_List!$A:$AM,MATCH(CU$1,  Feature_List!$A$1:$AM$1,0),0)=AM77,".","NO"))</f>
        <v>.</v>
      </c>
      <c r="CV77" s="136" t="str">
        <f>IF($D77&lt;&gt;"Feature",".",
IF(VLOOKUP($B77,Feature_List!$A:$AM,MATCH(CV$1,  Feature_List!$A$1:$AM$1,0),0)=AN77,".","NO"))</f>
        <v>.</v>
      </c>
      <c r="CW77" s="136" t="str">
        <f>IF($D77&lt;&gt;"Feature",".",
IF(VLOOKUP($B77,Feature_List!$A:$AM,MATCH(CW$1,  Feature_List!$A$1:$AM$1,0),0)=AO77,".","NO"))</f>
        <v>.</v>
      </c>
      <c r="CX77" s="136" t="str">
        <f>IF($D77&lt;&gt;"Feature",".",
IF(VLOOKUP($B77,Feature_List!$A:$AM,MATCH(CX$1,  Feature_List!$A$1:$AM$1,0),0)=AP77,".","NO"))</f>
        <v>.</v>
      </c>
      <c r="CY77" s="136" t="str">
        <f>IF($D77&lt;&gt;"Feature",".",
IF(VLOOKUP($B77,Feature_List!$A:$AM,MATCH(CY$1,  Feature_List!$A$1:$AM$1,0),0)=AQ77,".","NO"))</f>
        <v>.</v>
      </c>
      <c r="CZ77" s="136" t="str">
        <f>IF($D77&lt;&gt;"Feature",".",
IF(VLOOKUP($B77,Feature_List!$A:$AM,MATCH(CZ$1,  Feature_List!$A$1:$AM$1,0),0)=AR77,".","NO"))</f>
        <v>.</v>
      </c>
      <c r="DA77" s="136" t="str">
        <f>IF($D77&lt;&gt;"Feature",".",
IF(VLOOKUP($B77,Feature_List!$A:$AM,MATCH(DA$1,  Feature_List!$A$1:$AM$1,0),0)=AS77,".","NO"))</f>
        <v>.</v>
      </c>
      <c r="DB77" s="136" t="str">
        <f>IF($D77&lt;&gt;"Feature",".",
IF(VLOOKUP($B77,Feature_List!$A:$AM,MATCH(DB$1,  Feature_List!$A$1:$AM$1,0),0)=AT77,".","NO"))</f>
        <v>.</v>
      </c>
      <c r="DC77" s="136" t="str">
        <f>IF($D77&lt;&gt;"Feature",".",
IF(VLOOKUP($B77,Feature_List!$A:$AM,MATCH(DC$1,  Feature_List!$A$1:$AM$1,0),0)=AU77,".","NO"))</f>
        <v>.</v>
      </c>
      <c r="DD77" s="136" t="str">
        <f>IF($D77&lt;&gt;"Feature",".",
IF(VLOOKUP($B77,Feature_List!$A:$AM,MATCH(DD$1,  Feature_List!$A$1:$AM$1,0),0)=AV77,".","NO"))</f>
        <v>.</v>
      </c>
      <c r="DE77" s="136" t="str">
        <f>IF($D77&lt;&gt;"Feature",".",
IF(VLOOKUP($B77,Feature_List!$A:$AM,MATCH(DE$1,  Feature_List!$A$1:$AM$1,0),0)=AW77,".","NO"))</f>
        <v>.</v>
      </c>
      <c r="DF77" s="136" t="str">
        <f>IF($D77&lt;&gt;"Feature",".",
IF(VLOOKUP($B77,Feature_List!$A:$AM,MATCH(DF$1,  Feature_List!$A$1:$AM$1,0),0)=AX77,".","NO"))</f>
        <v>.</v>
      </c>
      <c r="DG77" s="136" t="str">
        <f>IF($D77&lt;&gt;"Feature",".",
IF(VLOOKUP($B77,Feature_List!$A:$AM,MATCH(DG$1,  Feature_List!$A$1:$AM$1,0),0)=AY77,".","NO"))</f>
        <v>.</v>
      </c>
      <c r="DH77" s="136" t="str">
        <f>IF($D77&lt;&gt;"Feature",".",
IF(VLOOKUP($B77,Feature_List!$A:$AM,MATCH(DH$1,  Feature_List!$A$1:$AM$1,0),0)=AZ77,".","NO"))</f>
        <v>.</v>
      </c>
      <c r="DI77" s="136" t="str">
        <f>IF($D77&lt;&gt;"Feature",".",
IF(VLOOKUP($B77,Feature_List!$A:$AM,MATCH(DI$1,  Feature_List!$A$1:$AM$1,0),0)=BA77,".","NO"))</f>
        <v>.</v>
      </c>
      <c r="DJ77" s="136" t="str">
        <f>IF($D77&lt;&gt;"Feature",".",
IF(VLOOKUP($B77,Feature_List!$A:$AM,MATCH(DJ$1,  Feature_List!$A$1:$AM$1,0),0)=BB77,".","NO"))</f>
        <v>.</v>
      </c>
      <c r="DK77" s="136"/>
      <c r="DL77" s="136"/>
      <c r="DM77" s="136"/>
      <c r="DN77" s="136" t="str">
        <f>IF($D77&lt;&gt;"Feature",".",
IF(VLOOKUP($B77,Feature_List!$A:$AM,MATCH(DN$1,  Feature_List!$A$1:$AM$1,0),0)=BC77,".","NO"))</f>
        <v>.</v>
      </c>
      <c r="DO77" s="136" t="str">
        <f>IF($D77&lt;&gt;"Feature",".",
IF(VLOOKUP($B77,Feature_List!$A:$AM,MATCH(DO$1,  Feature_List!$A$1:$AM$1,0),0)=BD77,".","NO"))</f>
        <v>.</v>
      </c>
    </row>
    <row r="78" spans="2:119" x14ac:dyDescent="0.3">
      <c r="B78" s="121"/>
      <c r="C78" s="122"/>
      <c r="D78" s="122"/>
      <c r="E78" s="122"/>
      <c r="F78" s="138"/>
      <c r="G78" s="123"/>
      <c r="H78" s="122"/>
      <c r="I78" s="124"/>
      <c r="J78" s="138"/>
      <c r="K78" s="123"/>
      <c r="L78" s="122"/>
      <c r="M78" s="122"/>
      <c r="N78" s="125"/>
      <c r="O78" s="123">
        <f t="shared" si="38"/>
        <v>0</v>
      </c>
      <c r="P78" s="123">
        <f t="shared" si="39"/>
        <v>0</v>
      </c>
      <c r="Q78" s="122" t="str">
        <f t="shared" si="61"/>
        <v>ZeroEntry</v>
      </c>
      <c r="R78" s="126" t="str">
        <f t="shared" si="40"/>
        <v>ZeroEntry</v>
      </c>
      <c r="S78" s="127" t="str">
        <f t="shared" si="41"/>
        <v>ZeroEntry</v>
      </c>
      <c r="T78" s="128" t="str">
        <f>IF($Q78="ZeroEntry", "",VLOOKUP($I78,'Ranking Lookup'!#REF!,2,FALSE))</f>
        <v/>
      </c>
      <c r="U78" s="129" t="str">
        <f t="shared" si="42"/>
        <v/>
      </c>
      <c r="V78" s="129" t="str">
        <f t="shared" si="43"/>
        <v/>
      </c>
      <c r="W78" s="129" t="str">
        <f t="shared" si="44"/>
        <v/>
      </c>
      <c r="X78" s="129" t="str">
        <f t="shared" si="45"/>
        <v/>
      </c>
      <c r="Y78" s="129" t="str">
        <f t="shared" si="46"/>
        <v/>
      </c>
      <c r="Z78" s="129" t="str">
        <f t="shared" si="47"/>
        <v/>
      </c>
      <c r="AA78" s="130"/>
      <c r="AB78" s="130" t="str">
        <f t="shared" si="48"/>
        <v>Unassigned</v>
      </c>
      <c r="AC78" s="131" t="str">
        <f t="shared" si="62"/>
        <v/>
      </c>
      <c r="AD78" s="131" t="str">
        <f t="shared" si="63"/>
        <v/>
      </c>
      <c r="AE78" s="132">
        <f t="shared" si="49"/>
        <v>0</v>
      </c>
      <c r="AF78" s="133" t="str">
        <f t="shared" si="64"/>
        <v/>
      </c>
      <c r="AG78" s="134">
        <f t="shared" si="50"/>
        <v>0</v>
      </c>
      <c r="AH78" s="54" t="str">
        <f t="shared" si="51"/>
        <v/>
      </c>
      <c r="AI78" s="54" t="str">
        <f t="shared" si="52"/>
        <v/>
      </c>
      <c r="AJ78" s="54" t="str">
        <f t="shared" si="52"/>
        <v/>
      </c>
      <c r="AK78" s="54" t="str">
        <f t="shared" si="52"/>
        <v/>
      </c>
      <c r="AL78" s="54" t="str">
        <f t="shared" si="52"/>
        <v/>
      </c>
      <c r="AM78" s="54" t="str">
        <f t="shared" si="52"/>
        <v/>
      </c>
      <c r="AN78" s="54" t="str">
        <f t="shared" si="52"/>
        <v/>
      </c>
      <c r="AO78" s="54" t="str">
        <f t="shared" si="52"/>
        <v/>
      </c>
      <c r="AP78" s="54" t="str">
        <f t="shared" si="52"/>
        <v/>
      </c>
      <c r="AQ78" s="54" t="str">
        <f t="shared" si="52"/>
        <v/>
      </c>
      <c r="AR78" s="54" t="str">
        <f t="shared" si="52"/>
        <v/>
      </c>
      <c r="AS78" s="54" t="str">
        <f t="shared" si="52"/>
        <v/>
      </c>
      <c r="AT78" s="54" t="str">
        <f t="shared" si="52"/>
        <v/>
      </c>
      <c r="AU78" s="54" t="str">
        <f t="shared" si="52"/>
        <v/>
      </c>
      <c r="AV78" s="54" t="str">
        <f t="shared" si="52"/>
        <v/>
      </c>
      <c r="AW78" s="54" t="str">
        <f t="shared" si="52"/>
        <v/>
      </c>
      <c r="AX78" s="54" t="str">
        <f t="shared" si="52"/>
        <v/>
      </c>
      <c r="AY78" s="54" t="str">
        <f t="shared" si="53"/>
        <v/>
      </c>
      <c r="AZ78" s="54" t="str">
        <f t="shared" si="54"/>
        <v/>
      </c>
      <c r="BA78" s="54" t="str">
        <f t="shared" si="55"/>
        <v/>
      </c>
      <c r="BB78" s="135" t="str">
        <f t="shared" si="56"/>
        <v/>
      </c>
      <c r="BC78" s="54" t="str">
        <f t="shared" si="36"/>
        <v/>
      </c>
      <c r="BD78" s="54" t="str">
        <f t="shared" si="36"/>
        <v/>
      </c>
      <c r="BE78" s="54" t="str">
        <f t="shared" si="36"/>
        <v/>
      </c>
      <c r="BF78" s="54" t="str">
        <f t="shared" si="57"/>
        <v/>
      </c>
      <c r="BG78" s="54" t="str">
        <f t="shared" si="58"/>
        <v/>
      </c>
      <c r="BH78" s="34" t="str">
        <f t="shared" si="59"/>
        <v>Bad</v>
      </c>
      <c r="BI78" s="34" t="str">
        <f t="shared" si="60"/>
        <v>No</v>
      </c>
      <c r="BJ78" s="136" t="str">
        <f>IF($D78&lt;&gt;"Feature",".",
IF(VLOOKUP($B78,Feature_List!$A:$AM,MATCH(BJ$1,  Feature_List!$A$1:$AM$1,0),0)=B78,".","NO"))</f>
        <v>.</v>
      </c>
      <c r="BK78" s="136"/>
      <c r="BL78" s="136"/>
      <c r="BM78" s="136" t="str">
        <f>IF($D78&lt;&gt;"Feature",".",
IF(VLOOKUP($B78,Feature_List!$A:$AM,MATCH(BM$1,  Feature_List!$A$1:$AM$1,0),0)=E78,".","NO"))</f>
        <v>.</v>
      </c>
      <c r="BN78" s="136" t="str">
        <f>IF($D78&lt;&gt;"Feature",".",
IF(VLOOKUP($B78,Feature_List!$A:$AM,MATCH(BN$1,  Feature_List!$A$1:$AM$1,0),0)=F78,".","NO"))</f>
        <v>.</v>
      </c>
      <c r="BO78" s="136" t="str">
        <f>IF($D78&lt;&gt;"Feature",".",
IF(VLOOKUP($B78,Feature_List!$A:$AM,MATCH(BO$1,  Feature_List!$A$1:$AM$1,0),0)=G78,".","NO"))</f>
        <v>.</v>
      </c>
      <c r="BP78" s="136" t="str">
        <f>IF($D78&lt;&gt;"Feature",".",
IF(VLOOKUP($B78,Feature_List!$A:$AM,MATCH(BP$1,  Feature_List!$A$1:$AM$1,0),0)=H78,".","NO"))</f>
        <v>.</v>
      </c>
      <c r="BQ78" s="136"/>
      <c r="BR78" s="136" t="str">
        <f>IF($D78&lt;&gt;"Feature",".",
IF(VLOOKUP($B78,Feature_List!$A:$AM,MATCH(BR$1,  Feature_List!$A$1:$AM$1,0),0)=J78,".","NO"))</f>
        <v>.</v>
      </c>
      <c r="BS78" s="136"/>
      <c r="BT78" s="136"/>
      <c r="BU78" s="136" t="str">
        <f>IF($D78&lt;&gt;"Feature",".",
IF(VLOOKUP($B78,Feature_List!$A:$AM,MATCH(BU$1,  Feature_List!$A$1:$AM$1,0),0)=M78,".","NO"))</f>
        <v>.</v>
      </c>
      <c r="BV78" s="136" t="str">
        <f>IF($D78&lt;&gt;"Feature",".",
IF(VLOOKUP($B78,Feature_List!$A:$AM,MATCH(BV$1,  Feature_List!$A$1:$AM$1,0),0)=N78,".","NO"))</f>
        <v>.</v>
      </c>
      <c r="BW78" s="136"/>
      <c r="BX78" s="136"/>
      <c r="BY78" s="136"/>
      <c r="BZ78" s="136"/>
      <c r="CA78" s="136"/>
      <c r="CB78" s="136" t="str">
        <f>IF($D78&lt;&gt;"Feature",".",
IF(VLOOKUP($B78,Feature_List!$A:$AM,MATCH(CB$1,  Feature_List!$A$1:$AM$1,0),0)=T78,".","NO"))</f>
        <v>.</v>
      </c>
      <c r="CC78" s="136"/>
      <c r="CD78" s="136"/>
      <c r="CE78" s="136"/>
      <c r="CF78" s="136"/>
      <c r="CG78" s="136"/>
      <c r="CH78" s="136"/>
      <c r="CI78" s="136"/>
      <c r="CJ78" s="136"/>
      <c r="CK78" s="136"/>
      <c r="CL78" s="136"/>
      <c r="CM78" s="136"/>
      <c r="CN78" s="136"/>
      <c r="CO78" s="136" t="str">
        <f>IF($D78&lt;&gt;"Feature",".",
IF(VLOOKUP($B78,Feature_List!$A:$AM,MATCH(CO$1,  Feature_List!$A$1:$AM$1,0),0)=AG78,".","NO"))</f>
        <v>.</v>
      </c>
      <c r="CP78" s="136" t="str">
        <f>IF($D78&lt;&gt;"Feature",".",
IF(VLOOKUP($B78,Feature_List!$A:$AM,MATCH(CP$1,  Feature_List!$A$1:$AM$1,0),0)=AH78,".","NO"))</f>
        <v>.</v>
      </c>
      <c r="CQ78" s="136" t="str">
        <f>IF($D78&lt;&gt;"Feature",".",
IF(VLOOKUP($B78,Feature_List!$A:$AM,MATCH(CQ$1,  Feature_List!$A$1:$AM$1,0),0)=AI78,".","NO"))</f>
        <v>.</v>
      </c>
      <c r="CR78" s="136" t="str">
        <f>IF($D78&lt;&gt;"Feature",".",
IF(VLOOKUP($B78,Feature_List!$A:$AM,MATCH(CR$1,  Feature_List!$A$1:$AM$1,0),0)=AJ78,".","NO"))</f>
        <v>.</v>
      </c>
      <c r="CS78" s="136" t="str">
        <f>IF($D78&lt;&gt;"Feature",".",
IF(VLOOKUP($B78,Feature_List!$A:$AM,MATCH(CS$1,  Feature_List!$A$1:$AM$1,0),0)=AK78,".","NO"))</f>
        <v>.</v>
      </c>
      <c r="CT78" s="136" t="str">
        <f>IF($D78&lt;&gt;"Feature",".",
IF(VLOOKUP($B78,Feature_List!$A:$AM,MATCH(CT$1,  Feature_List!$A$1:$AM$1,0),0)=AL78,".","NO"))</f>
        <v>.</v>
      </c>
      <c r="CU78" s="136" t="str">
        <f>IF($D78&lt;&gt;"Feature",".",
IF(VLOOKUP($B78,Feature_List!$A:$AM,MATCH(CU$1,  Feature_List!$A$1:$AM$1,0),0)=AM78,".","NO"))</f>
        <v>.</v>
      </c>
      <c r="CV78" s="136" t="str">
        <f>IF($D78&lt;&gt;"Feature",".",
IF(VLOOKUP($B78,Feature_List!$A:$AM,MATCH(CV$1,  Feature_List!$A$1:$AM$1,0),0)=AN78,".","NO"))</f>
        <v>.</v>
      </c>
      <c r="CW78" s="136" t="str">
        <f>IF($D78&lt;&gt;"Feature",".",
IF(VLOOKUP($B78,Feature_List!$A:$AM,MATCH(CW$1,  Feature_List!$A$1:$AM$1,0),0)=AO78,".","NO"))</f>
        <v>.</v>
      </c>
      <c r="CX78" s="136" t="str">
        <f>IF($D78&lt;&gt;"Feature",".",
IF(VLOOKUP($B78,Feature_List!$A:$AM,MATCH(CX$1,  Feature_List!$A$1:$AM$1,0),0)=AP78,".","NO"))</f>
        <v>.</v>
      </c>
      <c r="CY78" s="136" t="str">
        <f>IF($D78&lt;&gt;"Feature",".",
IF(VLOOKUP($B78,Feature_List!$A:$AM,MATCH(CY$1,  Feature_List!$A$1:$AM$1,0),0)=AQ78,".","NO"))</f>
        <v>.</v>
      </c>
      <c r="CZ78" s="136" t="str">
        <f>IF($D78&lt;&gt;"Feature",".",
IF(VLOOKUP($B78,Feature_List!$A:$AM,MATCH(CZ$1,  Feature_List!$A$1:$AM$1,0),0)=AR78,".","NO"))</f>
        <v>.</v>
      </c>
      <c r="DA78" s="136" t="str">
        <f>IF($D78&lt;&gt;"Feature",".",
IF(VLOOKUP($B78,Feature_List!$A:$AM,MATCH(DA$1,  Feature_List!$A$1:$AM$1,0),0)=AS78,".","NO"))</f>
        <v>.</v>
      </c>
      <c r="DB78" s="136" t="str">
        <f>IF($D78&lt;&gt;"Feature",".",
IF(VLOOKUP($B78,Feature_List!$A:$AM,MATCH(DB$1,  Feature_List!$A$1:$AM$1,0),0)=AT78,".","NO"))</f>
        <v>.</v>
      </c>
      <c r="DC78" s="136" t="str">
        <f>IF($D78&lt;&gt;"Feature",".",
IF(VLOOKUP($B78,Feature_List!$A:$AM,MATCH(DC$1,  Feature_List!$A$1:$AM$1,0),0)=AU78,".","NO"))</f>
        <v>.</v>
      </c>
      <c r="DD78" s="136" t="str">
        <f>IF($D78&lt;&gt;"Feature",".",
IF(VLOOKUP($B78,Feature_List!$A:$AM,MATCH(DD$1,  Feature_List!$A$1:$AM$1,0),0)=AV78,".","NO"))</f>
        <v>.</v>
      </c>
      <c r="DE78" s="136" t="str">
        <f>IF($D78&lt;&gt;"Feature",".",
IF(VLOOKUP($B78,Feature_List!$A:$AM,MATCH(DE$1,  Feature_List!$A$1:$AM$1,0),0)=AW78,".","NO"))</f>
        <v>.</v>
      </c>
      <c r="DF78" s="136" t="str">
        <f>IF($D78&lt;&gt;"Feature",".",
IF(VLOOKUP($B78,Feature_List!$A:$AM,MATCH(DF$1,  Feature_List!$A$1:$AM$1,0),0)=AX78,".","NO"))</f>
        <v>.</v>
      </c>
      <c r="DG78" s="136" t="str">
        <f>IF($D78&lt;&gt;"Feature",".",
IF(VLOOKUP($B78,Feature_List!$A:$AM,MATCH(DG$1,  Feature_List!$A$1:$AM$1,0),0)=AY78,".","NO"))</f>
        <v>.</v>
      </c>
      <c r="DH78" s="136" t="str">
        <f>IF($D78&lt;&gt;"Feature",".",
IF(VLOOKUP($B78,Feature_List!$A:$AM,MATCH(DH$1,  Feature_List!$A$1:$AM$1,0),0)=AZ78,".","NO"))</f>
        <v>.</v>
      </c>
      <c r="DI78" s="136" t="str">
        <f>IF($D78&lt;&gt;"Feature",".",
IF(VLOOKUP($B78,Feature_List!$A:$AM,MATCH(DI$1,  Feature_List!$A$1:$AM$1,0),0)=BA78,".","NO"))</f>
        <v>.</v>
      </c>
      <c r="DJ78" s="136" t="str">
        <f>IF($D78&lt;&gt;"Feature",".",
IF(VLOOKUP($B78,Feature_List!$A:$AM,MATCH(DJ$1,  Feature_List!$A$1:$AM$1,0),0)=BB78,".","NO"))</f>
        <v>.</v>
      </c>
      <c r="DK78" s="136"/>
      <c r="DL78" s="136"/>
      <c r="DM78" s="136"/>
      <c r="DN78" s="136" t="str">
        <f>IF($D78&lt;&gt;"Feature",".",
IF(VLOOKUP($B78,Feature_List!$A:$AM,MATCH(DN$1,  Feature_List!$A$1:$AM$1,0),0)=BC78,".","NO"))</f>
        <v>.</v>
      </c>
      <c r="DO78" s="136" t="str">
        <f>IF($D78&lt;&gt;"Feature",".",
IF(VLOOKUP($B78,Feature_List!$A:$AM,MATCH(DO$1,  Feature_List!$A$1:$AM$1,0),0)=BD78,".","NO"))</f>
        <v>.</v>
      </c>
    </row>
    <row r="79" spans="2:119" x14ac:dyDescent="0.3">
      <c r="B79" s="121"/>
      <c r="C79" s="122"/>
      <c r="D79" s="122"/>
      <c r="E79" s="122"/>
      <c r="F79" s="138"/>
      <c r="G79" s="123"/>
      <c r="H79" s="122"/>
      <c r="I79" s="124"/>
      <c r="J79" s="138"/>
      <c r="K79" s="123"/>
      <c r="L79" s="122"/>
      <c r="M79" s="122"/>
      <c r="N79" s="125"/>
      <c r="O79" s="123">
        <f t="shared" si="38"/>
        <v>0</v>
      </c>
      <c r="P79" s="123">
        <f t="shared" si="39"/>
        <v>0</v>
      </c>
      <c r="Q79" s="122" t="str">
        <f t="shared" si="61"/>
        <v>ZeroEntry</v>
      </c>
      <c r="R79" s="126" t="str">
        <f t="shared" si="40"/>
        <v>ZeroEntry</v>
      </c>
      <c r="S79" s="127" t="str">
        <f t="shared" si="41"/>
        <v>ZeroEntry</v>
      </c>
      <c r="T79" s="128" t="str">
        <f>IF($Q79="ZeroEntry", "",VLOOKUP($I79,'Ranking Lookup'!#REF!,2,FALSE))</f>
        <v/>
      </c>
      <c r="U79" s="129" t="str">
        <f t="shared" si="42"/>
        <v/>
      </c>
      <c r="V79" s="129" t="str">
        <f t="shared" si="43"/>
        <v/>
      </c>
      <c r="W79" s="129" t="str">
        <f t="shared" si="44"/>
        <v/>
      </c>
      <c r="X79" s="129" t="str">
        <f t="shared" si="45"/>
        <v/>
      </c>
      <c r="Y79" s="129" t="str">
        <f t="shared" si="46"/>
        <v/>
      </c>
      <c r="Z79" s="129" t="str">
        <f t="shared" si="47"/>
        <v/>
      </c>
      <c r="AA79" s="130"/>
      <c r="AB79" s="130" t="str">
        <f t="shared" si="48"/>
        <v>Unassigned</v>
      </c>
      <c r="AC79" s="131" t="str">
        <f t="shared" si="62"/>
        <v/>
      </c>
      <c r="AD79" s="131" t="str">
        <f t="shared" si="63"/>
        <v/>
      </c>
      <c r="AE79" s="132">
        <f t="shared" si="49"/>
        <v>0</v>
      </c>
      <c r="AF79" s="133" t="str">
        <f t="shared" si="64"/>
        <v/>
      </c>
      <c r="AG79" s="134">
        <f t="shared" si="50"/>
        <v>0</v>
      </c>
      <c r="AH79" s="54" t="str">
        <f t="shared" si="51"/>
        <v/>
      </c>
      <c r="AI79" s="54" t="str">
        <f t="shared" si="52"/>
        <v/>
      </c>
      <c r="AJ79" s="54" t="str">
        <f t="shared" si="52"/>
        <v/>
      </c>
      <c r="AK79" s="54" t="str">
        <f t="shared" si="52"/>
        <v/>
      </c>
      <c r="AL79" s="54" t="str">
        <f t="shared" si="52"/>
        <v/>
      </c>
      <c r="AM79" s="54" t="str">
        <f t="shared" si="52"/>
        <v/>
      </c>
      <c r="AN79" s="54" t="str">
        <f t="shared" si="52"/>
        <v/>
      </c>
      <c r="AO79" s="54" t="str">
        <f t="shared" si="52"/>
        <v/>
      </c>
      <c r="AP79" s="54" t="str">
        <f t="shared" si="52"/>
        <v/>
      </c>
      <c r="AQ79" s="54" t="str">
        <f t="shared" si="52"/>
        <v/>
      </c>
      <c r="AR79" s="54" t="str">
        <f t="shared" si="52"/>
        <v/>
      </c>
      <c r="AS79" s="54" t="str">
        <f t="shared" si="52"/>
        <v/>
      </c>
      <c r="AT79" s="54" t="str">
        <f t="shared" si="52"/>
        <v/>
      </c>
      <c r="AU79" s="54" t="str">
        <f t="shared" si="52"/>
        <v/>
      </c>
      <c r="AV79" s="54" t="str">
        <f t="shared" si="52"/>
        <v/>
      </c>
      <c r="AW79" s="54" t="str">
        <f t="shared" si="52"/>
        <v/>
      </c>
      <c r="AX79" s="54" t="str">
        <f t="shared" si="52"/>
        <v/>
      </c>
      <c r="AY79" s="54" t="str">
        <f t="shared" si="53"/>
        <v/>
      </c>
      <c r="AZ79" s="54" t="str">
        <f t="shared" si="54"/>
        <v/>
      </c>
      <c r="BA79" s="54" t="str">
        <f t="shared" si="55"/>
        <v/>
      </c>
      <c r="BB79" s="135" t="str">
        <f t="shared" si="56"/>
        <v/>
      </c>
      <c r="BC79" s="54" t="str">
        <f t="shared" si="36"/>
        <v/>
      </c>
      <c r="BD79" s="54" t="str">
        <f t="shared" si="36"/>
        <v/>
      </c>
      <c r="BE79" s="54" t="str">
        <f t="shared" si="36"/>
        <v/>
      </c>
      <c r="BF79" s="54" t="str">
        <f t="shared" si="57"/>
        <v/>
      </c>
      <c r="BG79" s="54" t="str">
        <f t="shared" si="58"/>
        <v/>
      </c>
      <c r="BH79" s="34" t="str">
        <f t="shared" si="59"/>
        <v>Bad</v>
      </c>
      <c r="BI79" s="34" t="str">
        <f t="shared" si="60"/>
        <v>No</v>
      </c>
      <c r="BJ79" s="136" t="str">
        <f>IF($D79&lt;&gt;"Feature",".",
IF(VLOOKUP($B79,Feature_List!$A:$AM,MATCH(BJ$1,  Feature_List!$A$1:$AM$1,0),0)=B79,".","NO"))</f>
        <v>.</v>
      </c>
      <c r="BK79" s="136"/>
      <c r="BL79" s="136"/>
      <c r="BM79" s="136" t="str">
        <f>IF($D79&lt;&gt;"Feature",".",
IF(VLOOKUP($B79,Feature_List!$A:$AM,MATCH(BM$1,  Feature_List!$A$1:$AM$1,0),0)=E79,".","NO"))</f>
        <v>.</v>
      </c>
      <c r="BN79" s="136" t="str">
        <f>IF($D79&lt;&gt;"Feature",".",
IF(VLOOKUP($B79,Feature_List!$A:$AM,MATCH(BN$1,  Feature_List!$A$1:$AM$1,0),0)=F79,".","NO"))</f>
        <v>.</v>
      </c>
      <c r="BO79" s="136" t="str">
        <f>IF($D79&lt;&gt;"Feature",".",
IF(VLOOKUP($B79,Feature_List!$A:$AM,MATCH(BO$1,  Feature_List!$A$1:$AM$1,0),0)=G79,".","NO"))</f>
        <v>.</v>
      </c>
      <c r="BP79" s="136" t="str">
        <f>IF($D79&lt;&gt;"Feature",".",
IF(VLOOKUP($B79,Feature_List!$A:$AM,MATCH(BP$1,  Feature_List!$A$1:$AM$1,0),0)=H79,".","NO"))</f>
        <v>.</v>
      </c>
      <c r="BQ79" s="136"/>
      <c r="BR79" s="136" t="str">
        <f>IF($D79&lt;&gt;"Feature",".",
IF(VLOOKUP($B79,Feature_List!$A:$AM,MATCH(BR$1,  Feature_List!$A$1:$AM$1,0),0)=J79,".","NO"))</f>
        <v>.</v>
      </c>
      <c r="BS79" s="136"/>
      <c r="BT79" s="136"/>
      <c r="BU79" s="136" t="str">
        <f>IF($D79&lt;&gt;"Feature",".",
IF(VLOOKUP($B79,Feature_List!$A:$AM,MATCH(BU$1,  Feature_List!$A$1:$AM$1,0),0)=M79,".","NO"))</f>
        <v>.</v>
      </c>
      <c r="BV79" s="136" t="str">
        <f>IF($D79&lt;&gt;"Feature",".",
IF(VLOOKUP($B79,Feature_List!$A:$AM,MATCH(BV$1,  Feature_List!$A$1:$AM$1,0),0)=N79,".","NO"))</f>
        <v>.</v>
      </c>
      <c r="BW79" s="136"/>
      <c r="BX79" s="136"/>
      <c r="BY79" s="136"/>
      <c r="BZ79" s="136"/>
      <c r="CA79" s="136"/>
      <c r="CB79" s="136" t="str">
        <f>IF($D79&lt;&gt;"Feature",".",
IF(VLOOKUP($B79,Feature_List!$A:$AM,MATCH(CB$1,  Feature_List!$A$1:$AM$1,0),0)=T79,".","NO"))</f>
        <v>.</v>
      </c>
      <c r="CC79" s="136"/>
      <c r="CD79" s="136"/>
      <c r="CE79" s="136"/>
      <c r="CF79" s="136"/>
      <c r="CG79" s="136"/>
      <c r="CH79" s="136"/>
      <c r="CI79" s="136"/>
      <c r="CJ79" s="136"/>
      <c r="CK79" s="136"/>
      <c r="CL79" s="136"/>
      <c r="CM79" s="136"/>
      <c r="CN79" s="136"/>
      <c r="CO79" s="136" t="str">
        <f>IF($D79&lt;&gt;"Feature",".",
IF(VLOOKUP($B79,Feature_List!$A:$AM,MATCH(CO$1,  Feature_List!$A$1:$AM$1,0),0)=AG79,".","NO"))</f>
        <v>.</v>
      </c>
      <c r="CP79" s="136" t="str">
        <f>IF($D79&lt;&gt;"Feature",".",
IF(VLOOKUP($B79,Feature_List!$A:$AM,MATCH(CP$1,  Feature_List!$A$1:$AM$1,0),0)=AH79,".","NO"))</f>
        <v>.</v>
      </c>
      <c r="CQ79" s="136" t="str">
        <f>IF($D79&lt;&gt;"Feature",".",
IF(VLOOKUP($B79,Feature_List!$A:$AM,MATCH(CQ$1,  Feature_List!$A$1:$AM$1,0),0)=AI79,".","NO"))</f>
        <v>.</v>
      </c>
      <c r="CR79" s="136" t="str">
        <f>IF($D79&lt;&gt;"Feature",".",
IF(VLOOKUP($B79,Feature_List!$A:$AM,MATCH(CR$1,  Feature_List!$A$1:$AM$1,0),0)=AJ79,".","NO"))</f>
        <v>.</v>
      </c>
      <c r="CS79" s="136" t="str">
        <f>IF($D79&lt;&gt;"Feature",".",
IF(VLOOKUP($B79,Feature_List!$A:$AM,MATCH(CS$1,  Feature_List!$A$1:$AM$1,0),0)=AK79,".","NO"))</f>
        <v>.</v>
      </c>
      <c r="CT79" s="136" t="str">
        <f>IF($D79&lt;&gt;"Feature",".",
IF(VLOOKUP($B79,Feature_List!$A:$AM,MATCH(CT$1,  Feature_List!$A$1:$AM$1,0),0)=AL79,".","NO"))</f>
        <v>.</v>
      </c>
      <c r="CU79" s="136" t="str">
        <f>IF($D79&lt;&gt;"Feature",".",
IF(VLOOKUP($B79,Feature_List!$A:$AM,MATCH(CU$1,  Feature_List!$A$1:$AM$1,0),0)=AM79,".","NO"))</f>
        <v>.</v>
      </c>
      <c r="CV79" s="136" t="str">
        <f>IF($D79&lt;&gt;"Feature",".",
IF(VLOOKUP($B79,Feature_List!$A:$AM,MATCH(CV$1,  Feature_List!$A$1:$AM$1,0),0)=AN79,".","NO"))</f>
        <v>.</v>
      </c>
      <c r="CW79" s="136" t="str">
        <f>IF($D79&lt;&gt;"Feature",".",
IF(VLOOKUP($B79,Feature_List!$A:$AM,MATCH(CW$1,  Feature_List!$A$1:$AM$1,0),0)=AO79,".","NO"))</f>
        <v>.</v>
      </c>
      <c r="CX79" s="136" t="str">
        <f>IF($D79&lt;&gt;"Feature",".",
IF(VLOOKUP($B79,Feature_List!$A:$AM,MATCH(CX$1,  Feature_List!$A$1:$AM$1,0),0)=AP79,".","NO"))</f>
        <v>.</v>
      </c>
      <c r="CY79" s="136" t="str">
        <f>IF($D79&lt;&gt;"Feature",".",
IF(VLOOKUP($B79,Feature_List!$A:$AM,MATCH(CY$1,  Feature_List!$A$1:$AM$1,0),0)=AQ79,".","NO"))</f>
        <v>.</v>
      </c>
      <c r="CZ79" s="136" t="str">
        <f>IF($D79&lt;&gt;"Feature",".",
IF(VLOOKUP($B79,Feature_List!$A:$AM,MATCH(CZ$1,  Feature_List!$A$1:$AM$1,0),0)=AR79,".","NO"))</f>
        <v>.</v>
      </c>
      <c r="DA79" s="136" t="str">
        <f>IF($D79&lt;&gt;"Feature",".",
IF(VLOOKUP($B79,Feature_List!$A:$AM,MATCH(DA$1,  Feature_List!$A$1:$AM$1,0),0)=AS79,".","NO"))</f>
        <v>.</v>
      </c>
      <c r="DB79" s="136" t="str">
        <f>IF($D79&lt;&gt;"Feature",".",
IF(VLOOKUP($B79,Feature_List!$A:$AM,MATCH(DB$1,  Feature_List!$A$1:$AM$1,0),0)=AT79,".","NO"))</f>
        <v>.</v>
      </c>
      <c r="DC79" s="136" t="str">
        <f>IF($D79&lt;&gt;"Feature",".",
IF(VLOOKUP($B79,Feature_List!$A:$AM,MATCH(DC$1,  Feature_List!$A$1:$AM$1,0),0)=AU79,".","NO"))</f>
        <v>.</v>
      </c>
      <c r="DD79" s="136" t="str">
        <f>IF($D79&lt;&gt;"Feature",".",
IF(VLOOKUP($B79,Feature_List!$A:$AM,MATCH(DD$1,  Feature_List!$A$1:$AM$1,0),0)=AV79,".","NO"))</f>
        <v>.</v>
      </c>
      <c r="DE79" s="136" t="str">
        <f>IF($D79&lt;&gt;"Feature",".",
IF(VLOOKUP($B79,Feature_List!$A:$AM,MATCH(DE$1,  Feature_List!$A$1:$AM$1,0),0)=AW79,".","NO"))</f>
        <v>.</v>
      </c>
      <c r="DF79" s="136" t="str">
        <f>IF($D79&lt;&gt;"Feature",".",
IF(VLOOKUP($B79,Feature_List!$A:$AM,MATCH(DF$1,  Feature_List!$A$1:$AM$1,0),0)=AX79,".","NO"))</f>
        <v>.</v>
      </c>
      <c r="DG79" s="136" t="str">
        <f>IF($D79&lt;&gt;"Feature",".",
IF(VLOOKUP($B79,Feature_List!$A:$AM,MATCH(DG$1,  Feature_List!$A$1:$AM$1,0),0)=AY79,".","NO"))</f>
        <v>.</v>
      </c>
      <c r="DH79" s="136" t="str">
        <f>IF($D79&lt;&gt;"Feature",".",
IF(VLOOKUP($B79,Feature_List!$A:$AM,MATCH(DH$1,  Feature_List!$A$1:$AM$1,0),0)=AZ79,".","NO"))</f>
        <v>.</v>
      </c>
      <c r="DI79" s="136" t="str">
        <f>IF($D79&lt;&gt;"Feature",".",
IF(VLOOKUP($B79,Feature_List!$A:$AM,MATCH(DI$1,  Feature_List!$A$1:$AM$1,0),0)=BA79,".","NO"))</f>
        <v>.</v>
      </c>
      <c r="DJ79" s="136" t="str">
        <f>IF($D79&lt;&gt;"Feature",".",
IF(VLOOKUP($B79,Feature_List!$A:$AM,MATCH(DJ$1,  Feature_List!$A$1:$AM$1,0),0)=BB79,".","NO"))</f>
        <v>.</v>
      </c>
      <c r="DK79" s="136"/>
      <c r="DL79" s="136"/>
      <c r="DM79" s="136"/>
      <c r="DN79" s="136" t="str">
        <f>IF($D79&lt;&gt;"Feature",".",
IF(VLOOKUP($B79,Feature_List!$A:$AM,MATCH(DN$1,  Feature_List!$A$1:$AM$1,0),0)=BC79,".","NO"))</f>
        <v>.</v>
      </c>
      <c r="DO79" s="136" t="str">
        <f>IF($D79&lt;&gt;"Feature",".",
IF(VLOOKUP($B79,Feature_List!$A:$AM,MATCH(DO$1,  Feature_List!$A$1:$AM$1,0),0)=BD79,".","NO"))</f>
        <v>.</v>
      </c>
    </row>
    <row r="80" spans="2:119" x14ac:dyDescent="0.3">
      <c r="B80" s="121"/>
      <c r="C80" s="122"/>
      <c r="D80" s="122"/>
      <c r="E80" s="122"/>
      <c r="F80" s="138"/>
      <c r="G80" s="123"/>
      <c r="H80" s="122"/>
      <c r="I80" s="124"/>
      <c r="J80" s="138"/>
      <c r="K80" s="123"/>
      <c r="L80" s="122"/>
      <c r="M80" s="122"/>
      <c r="N80" s="125"/>
      <c r="O80" s="123">
        <f t="shared" si="38"/>
        <v>0</v>
      </c>
      <c r="P80" s="123">
        <f t="shared" si="39"/>
        <v>0</v>
      </c>
      <c r="Q80" s="122" t="str">
        <f t="shared" si="61"/>
        <v>ZeroEntry</v>
      </c>
      <c r="R80" s="126" t="str">
        <f t="shared" si="40"/>
        <v>ZeroEntry</v>
      </c>
      <c r="S80" s="127" t="str">
        <f t="shared" si="41"/>
        <v>ZeroEntry</v>
      </c>
      <c r="T80" s="128" t="str">
        <f>IF($Q80="ZeroEntry", "",VLOOKUP($I80,'Ranking Lookup'!#REF!,2,FALSE))</f>
        <v/>
      </c>
      <c r="U80" s="129" t="str">
        <f t="shared" si="42"/>
        <v/>
      </c>
      <c r="V80" s="129" t="str">
        <f t="shared" si="43"/>
        <v/>
      </c>
      <c r="W80" s="129" t="str">
        <f t="shared" si="44"/>
        <v/>
      </c>
      <c r="X80" s="129" t="str">
        <f t="shared" si="45"/>
        <v/>
      </c>
      <c r="Y80" s="129" t="str">
        <f t="shared" si="46"/>
        <v/>
      </c>
      <c r="Z80" s="129" t="str">
        <f t="shared" si="47"/>
        <v/>
      </c>
      <c r="AA80" s="130"/>
      <c r="AB80" s="130" t="str">
        <f t="shared" si="48"/>
        <v>Unassigned</v>
      </c>
      <c r="AC80" s="131" t="str">
        <f t="shared" si="62"/>
        <v/>
      </c>
      <c r="AD80" s="131" t="str">
        <f t="shared" si="63"/>
        <v/>
      </c>
      <c r="AE80" s="132">
        <f t="shared" si="49"/>
        <v>0</v>
      </c>
      <c r="AF80" s="133" t="str">
        <f t="shared" si="64"/>
        <v/>
      </c>
      <c r="AG80" s="134">
        <f t="shared" si="50"/>
        <v>0</v>
      </c>
      <c r="AH80" s="54" t="str">
        <f t="shared" si="51"/>
        <v/>
      </c>
      <c r="AI80" s="54" t="str">
        <f t="shared" si="52"/>
        <v/>
      </c>
      <c r="AJ80" s="54" t="str">
        <f t="shared" si="52"/>
        <v/>
      </c>
      <c r="AK80" s="54" t="str">
        <f t="shared" si="52"/>
        <v/>
      </c>
      <c r="AL80" s="54" t="str">
        <f t="shared" si="52"/>
        <v/>
      </c>
      <c r="AM80" s="54" t="str">
        <f t="shared" si="52"/>
        <v/>
      </c>
      <c r="AN80" s="54" t="str">
        <f t="shared" si="52"/>
        <v/>
      </c>
      <c r="AO80" s="54" t="str">
        <f t="shared" si="52"/>
        <v/>
      </c>
      <c r="AP80" s="54" t="str">
        <f t="shared" si="52"/>
        <v/>
      </c>
      <c r="AQ80" s="54" t="str">
        <f t="shared" si="52"/>
        <v/>
      </c>
      <c r="AR80" s="54" t="str">
        <f t="shared" si="52"/>
        <v/>
      </c>
      <c r="AS80" s="54" t="str">
        <f t="shared" si="52"/>
        <v/>
      </c>
      <c r="AT80" s="54" t="str">
        <f t="shared" si="52"/>
        <v/>
      </c>
      <c r="AU80" s="54" t="str">
        <f t="shared" si="52"/>
        <v/>
      </c>
      <c r="AV80" s="54" t="str">
        <f t="shared" si="52"/>
        <v/>
      </c>
      <c r="AW80" s="54" t="str">
        <f t="shared" si="52"/>
        <v/>
      </c>
      <c r="AX80" s="54" t="str">
        <f t="shared" si="52"/>
        <v/>
      </c>
      <c r="AY80" s="54" t="str">
        <f t="shared" si="53"/>
        <v/>
      </c>
      <c r="AZ80" s="54" t="str">
        <f t="shared" si="54"/>
        <v/>
      </c>
      <c r="BA80" s="54" t="str">
        <f t="shared" si="55"/>
        <v/>
      </c>
      <c r="BB80" s="135" t="str">
        <f t="shared" si="56"/>
        <v/>
      </c>
      <c r="BC80" s="54" t="str">
        <f t="shared" si="36"/>
        <v/>
      </c>
      <c r="BD80" s="54" t="str">
        <f t="shared" si="36"/>
        <v/>
      </c>
      <c r="BE80" s="54" t="str">
        <f t="shared" si="36"/>
        <v/>
      </c>
      <c r="BF80" s="54" t="str">
        <f t="shared" si="57"/>
        <v/>
      </c>
      <c r="BG80" s="54" t="str">
        <f t="shared" si="58"/>
        <v/>
      </c>
      <c r="BH80" s="34" t="str">
        <f t="shared" si="59"/>
        <v>Bad</v>
      </c>
      <c r="BI80" s="34" t="str">
        <f t="shared" si="60"/>
        <v>No</v>
      </c>
      <c r="BJ80" s="136" t="str">
        <f>IF($D80&lt;&gt;"Feature",".",
IF(VLOOKUP($B80,Feature_List!$A:$AM,MATCH(BJ$1,  Feature_List!$A$1:$AM$1,0),0)=B80,".","NO"))</f>
        <v>.</v>
      </c>
      <c r="BK80" s="136"/>
      <c r="BL80" s="136"/>
      <c r="BM80" s="136" t="str">
        <f>IF($D80&lt;&gt;"Feature",".",
IF(VLOOKUP($B80,Feature_List!$A:$AM,MATCH(BM$1,  Feature_List!$A$1:$AM$1,0),0)=E80,".","NO"))</f>
        <v>.</v>
      </c>
      <c r="BN80" s="136" t="str">
        <f>IF($D80&lt;&gt;"Feature",".",
IF(VLOOKUP($B80,Feature_List!$A:$AM,MATCH(BN$1,  Feature_List!$A$1:$AM$1,0),0)=F80,".","NO"))</f>
        <v>.</v>
      </c>
      <c r="BO80" s="136" t="str">
        <f>IF($D80&lt;&gt;"Feature",".",
IF(VLOOKUP($B80,Feature_List!$A:$AM,MATCH(BO$1,  Feature_List!$A$1:$AM$1,0),0)=G80,".","NO"))</f>
        <v>.</v>
      </c>
      <c r="BP80" s="136" t="str">
        <f>IF($D80&lt;&gt;"Feature",".",
IF(VLOOKUP($B80,Feature_List!$A:$AM,MATCH(BP$1,  Feature_List!$A$1:$AM$1,0),0)=H80,".","NO"))</f>
        <v>.</v>
      </c>
      <c r="BQ80" s="136"/>
      <c r="BR80" s="136" t="str">
        <f>IF($D80&lt;&gt;"Feature",".",
IF(VLOOKUP($B80,Feature_List!$A:$AM,MATCH(BR$1,  Feature_List!$A$1:$AM$1,0),0)=J80,".","NO"))</f>
        <v>.</v>
      </c>
      <c r="BS80" s="136"/>
      <c r="BT80" s="136"/>
      <c r="BU80" s="136" t="str">
        <f>IF($D80&lt;&gt;"Feature",".",
IF(VLOOKUP($B80,Feature_List!$A:$AM,MATCH(BU$1,  Feature_List!$A$1:$AM$1,0),0)=M80,".","NO"))</f>
        <v>.</v>
      </c>
      <c r="BV80" s="136" t="str">
        <f>IF($D80&lt;&gt;"Feature",".",
IF(VLOOKUP($B80,Feature_List!$A:$AM,MATCH(BV$1,  Feature_List!$A$1:$AM$1,0),0)=N80,".","NO"))</f>
        <v>.</v>
      </c>
      <c r="BW80" s="136"/>
      <c r="BX80" s="136"/>
      <c r="BY80" s="136"/>
      <c r="BZ80" s="136"/>
      <c r="CA80" s="136"/>
      <c r="CB80" s="136" t="str">
        <f>IF($D80&lt;&gt;"Feature",".",
IF(VLOOKUP($B80,Feature_List!$A:$AM,MATCH(CB$1,  Feature_List!$A$1:$AM$1,0),0)=T80,".","NO"))</f>
        <v>.</v>
      </c>
      <c r="CC80" s="136"/>
      <c r="CD80" s="136"/>
      <c r="CE80" s="136"/>
      <c r="CF80" s="136"/>
      <c r="CG80" s="136"/>
      <c r="CH80" s="136"/>
      <c r="CI80" s="136"/>
      <c r="CJ80" s="136"/>
      <c r="CK80" s="136"/>
      <c r="CL80" s="136"/>
      <c r="CM80" s="136"/>
      <c r="CN80" s="136"/>
      <c r="CO80" s="136" t="str">
        <f>IF($D80&lt;&gt;"Feature",".",
IF(VLOOKUP($B80,Feature_List!$A:$AM,MATCH(CO$1,  Feature_List!$A$1:$AM$1,0),0)=AG80,".","NO"))</f>
        <v>.</v>
      </c>
      <c r="CP80" s="136" t="str">
        <f>IF($D80&lt;&gt;"Feature",".",
IF(VLOOKUP($B80,Feature_List!$A:$AM,MATCH(CP$1,  Feature_List!$A$1:$AM$1,0),0)=AH80,".","NO"))</f>
        <v>.</v>
      </c>
      <c r="CQ80" s="136" t="str">
        <f>IF($D80&lt;&gt;"Feature",".",
IF(VLOOKUP($B80,Feature_List!$A:$AM,MATCH(CQ$1,  Feature_List!$A$1:$AM$1,0),0)=AI80,".","NO"))</f>
        <v>.</v>
      </c>
      <c r="CR80" s="136" t="str">
        <f>IF($D80&lt;&gt;"Feature",".",
IF(VLOOKUP($B80,Feature_List!$A:$AM,MATCH(CR$1,  Feature_List!$A$1:$AM$1,0),0)=AJ80,".","NO"))</f>
        <v>.</v>
      </c>
      <c r="CS80" s="136" t="str">
        <f>IF($D80&lt;&gt;"Feature",".",
IF(VLOOKUP($B80,Feature_List!$A:$AM,MATCH(CS$1,  Feature_List!$A$1:$AM$1,0),0)=AK80,".","NO"))</f>
        <v>.</v>
      </c>
      <c r="CT80" s="136" t="str">
        <f>IF($D80&lt;&gt;"Feature",".",
IF(VLOOKUP($B80,Feature_List!$A:$AM,MATCH(CT$1,  Feature_List!$A$1:$AM$1,0),0)=AL80,".","NO"))</f>
        <v>.</v>
      </c>
      <c r="CU80" s="136" t="str">
        <f>IF($D80&lt;&gt;"Feature",".",
IF(VLOOKUP($B80,Feature_List!$A:$AM,MATCH(CU$1,  Feature_List!$A$1:$AM$1,0),0)=AM80,".","NO"))</f>
        <v>.</v>
      </c>
      <c r="CV80" s="136" t="str">
        <f>IF($D80&lt;&gt;"Feature",".",
IF(VLOOKUP($B80,Feature_List!$A:$AM,MATCH(CV$1,  Feature_List!$A$1:$AM$1,0),0)=AN80,".","NO"))</f>
        <v>.</v>
      </c>
      <c r="CW80" s="136" t="str">
        <f>IF($D80&lt;&gt;"Feature",".",
IF(VLOOKUP($B80,Feature_List!$A:$AM,MATCH(CW$1,  Feature_List!$A$1:$AM$1,0),0)=AO80,".","NO"))</f>
        <v>.</v>
      </c>
      <c r="CX80" s="136" t="str">
        <f>IF($D80&lt;&gt;"Feature",".",
IF(VLOOKUP($B80,Feature_List!$A:$AM,MATCH(CX$1,  Feature_List!$A$1:$AM$1,0),0)=AP80,".","NO"))</f>
        <v>.</v>
      </c>
      <c r="CY80" s="136" t="str">
        <f>IF($D80&lt;&gt;"Feature",".",
IF(VLOOKUP($B80,Feature_List!$A:$AM,MATCH(CY$1,  Feature_List!$A$1:$AM$1,0),0)=AQ80,".","NO"))</f>
        <v>.</v>
      </c>
      <c r="CZ80" s="136" t="str">
        <f>IF($D80&lt;&gt;"Feature",".",
IF(VLOOKUP($B80,Feature_List!$A:$AM,MATCH(CZ$1,  Feature_List!$A$1:$AM$1,0),0)=AR80,".","NO"))</f>
        <v>.</v>
      </c>
      <c r="DA80" s="136" t="str">
        <f>IF($D80&lt;&gt;"Feature",".",
IF(VLOOKUP($B80,Feature_List!$A:$AM,MATCH(DA$1,  Feature_List!$A$1:$AM$1,0),0)=AS80,".","NO"))</f>
        <v>.</v>
      </c>
      <c r="DB80" s="136" t="str">
        <f>IF($D80&lt;&gt;"Feature",".",
IF(VLOOKUP($B80,Feature_List!$A:$AM,MATCH(DB$1,  Feature_List!$A$1:$AM$1,0),0)=AT80,".","NO"))</f>
        <v>.</v>
      </c>
      <c r="DC80" s="136" t="str">
        <f>IF($D80&lt;&gt;"Feature",".",
IF(VLOOKUP($B80,Feature_List!$A:$AM,MATCH(DC$1,  Feature_List!$A$1:$AM$1,0),0)=AU80,".","NO"))</f>
        <v>.</v>
      </c>
      <c r="DD80" s="136" t="str">
        <f>IF($D80&lt;&gt;"Feature",".",
IF(VLOOKUP($B80,Feature_List!$A:$AM,MATCH(DD$1,  Feature_List!$A$1:$AM$1,0),0)=AV80,".","NO"))</f>
        <v>.</v>
      </c>
      <c r="DE80" s="136" t="str">
        <f>IF($D80&lt;&gt;"Feature",".",
IF(VLOOKUP($B80,Feature_List!$A:$AM,MATCH(DE$1,  Feature_List!$A$1:$AM$1,0),0)=AW80,".","NO"))</f>
        <v>.</v>
      </c>
      <c r="DF80" s="136" t="str">
        <f>IF($D80&lt;&gt;"Feature",".",
IF(VLOOKUP($B80,Feature_List!$A:$AM,MATCH(DF$1,  Feature_List!$A$1:$AM$1,0),0)=AX80,".","NO"))</f>
        <v>.</v>
      </c>
      <c r="DG80" s="136" t="str">
        <f>IF($D80&lt;&gt;"Feature",".",
IF(VLOOKUP($B80,Feature_List!$A:$AM,MATCH(DG$1,  Feature_List!$A$1:$AM$1,0),0)=AY80,".","NO"))</f>
        <v>.</v>
      </c>
      <c r="DH80" s="136" t="str">
        <f>IF($D80&lt;&gt;"Feature",".",
IF(VLOOKUP($B80,Feature_List!$A:$AM,MATCH(DH$1,  Feature_List!$A$1:$AM$1,0),0)=AZ80,".","NO"))</f>
        <v>.</v>
      </c>
      <c r="DI80" s="136" t="str">
        <f>IF($D80&lt;&gt;"Feature",".",
IF(VLOOKUP($B80,Feature_List!$A:$AM,MATCH(DI$1,  Feature_List!$A$1:$AM$1,0),0)=BA80,".","NO"))</f>
        <v>.</v>
      </c>
      <c r="DJ80" s="136" t="str">
        <f>IF($D80&lt;&gt;"Feature",".",
IF(VLOOKUP($B80,Feature_List!$A:$AM,MATCH(DJ$1,  Feature_List!$A$1:$AM$1,0),0)=BB80,".","NO"))</f>
        <v>.</v>
      </c>
      <c r="DK80" s="136"/>
      <c r="DL80" s="136"/>
      <c r="DM80" s="136"/>
      <c r="DN80" s="136" t="str">
        <f>IF($D80&lt;&gt;"Feature",".",
IF(VLOOKUP($B80,Feature_List!$A:$AM,MATCH(DN$1,  Feature_List!$A$1:$AM$1,0),0)=BC80,".","NO"))</f>
        <v>.</v>
      </c>
      <c r="DO80" s="136" t="str">
        <f>IF($D80&lt;&gt;"Feature",".",
IF(VLOOKUP($B80,Feature_List!$A:$AM,MATCH(DO$1,  Feature_List!$A$1:$AM$1,0),0)=BD80,".","NO"))</f>
        <v>.</v>
      </c>
    </row>
    <row r="81" spans="2:119" x14ac:dyDescent="0.3">
      <c r="B81" s="121"/>
      <c r="C81" s="123"/>
      <c r="D81" s="122"/>
      <c r="E81" s="122"/>
      <c r="F81" s="138"/>
      <c r="G81" s="123"/>
      <c r="H81" s="122"/>
      <c r="I81" s="124"/>
      <c r="J81" s="138"/>
      <c r="K81" s="123"/>
      <c r="L81" s="122"/>
      <c r="M81" s="122"/>
      <c r="N81" s="125"/>
      <c r="O81" s="123">
        <f t="shared" si="38"/>
        <v>0</v>
      </c>
      <c r="P81" s="123">
        <f t="shared" si="39"/>
        <v>0</v>
      </c>
      <c r="Q81" s="122" t="str">
        <f t="shared" si="61"/>
        <v>ZeroEntry</v>
      </c>
      <c r="R81" s="126" t="str">
        <f t="shared" si="40"/>
        <v>ZeroEntry</v>
      </c>
      <c r="S81" s="127" t="str">
        <f t="shared" si="41"/>
        <v>ZeroEntry</v>
      </c>
      <c r="T81" s="128" t="str">
        <f>IF($Q81="ZeroEntry", "",VLOOKUP($I81,'Ranking Lookup'!#REF!,2,FALSE))</f>
        <v/>
      </c>
      <c r="U81" s="129" t="str">
        <f t="shared" si="42"/>
        <v/>
      </c>
      <c r="V81" s="129" t="str">
        <f t="shared" si="43"/>
        <v/>
      </c>
      <c r="W81" s="129" t="str">
        <f t="shared" si="44"/>
        <v/>
      </c>
      <c r="X81" s="129" t="str">
        <f t="shared" si="45"/>
        <v/>
      </c>
      <c r="Y81" s="129" t="str">
        <f t="shared" si="46"/>
        <v/>
      </c>
      <c r="Z81" s="129" t="str">
        <f t="shared" si="47"/>
        <v/>
      </c>
      <c r="AA81" s="130"/>
      <c r="AB81" s="130" t="str">
        <f t="shared" si="48"/>
        <v>Unassigned</v>
      </c>
      <c r="AC81" s="131" t="str">
        <f t="shared" si="62"/>
        <v/>
      </c>
      <c r="AD81" s="131" t="str">
        <f t="shared" si="63"/>
        <v/>
      </c>
      <c r="AE81" s="132">
        <f t="shared" si="49"/>
        <v>0</v>
      </c>
      <c r="AF81" s="133" t="str">
        <f t="shared" si="64"/>
        <v/>
      </c>
      <c r="AG81" s="134">
        <f t="shared" si="50"/>
        <v>0</v>
      </c>
      <c r="AH81" s="54" t="str">
        <f t="shared" si="51"/>
        <v/>
      </c>
      <c r="AI81" s="54" t="str">
        <f t="shared" si="52"/>
        <v/>
      </c>
      <c r="AJ81" s="54" t="str">
        <f t="shared" si="52"/>
        <v/>
      </c>
      <c r="AK81" s="54" t="str">
        <f t="shared" si="52"/>
        <v/>
      </c>
      <c r="AL81" s="54" t="str">
        <f t="shared" si="52"/>
        <v/>
      </c>
      <c r="AM81" s="54" t="str">
        <f t="shared" si="52"/>
        <v/>
      </c>
      <c r="AN81" s="54" t="str">
        <f t="shared" si="52"/>
        <v/>
      </c>
      <c r="AO81" s="54" t="str">
        <f t="shared" si="52"/>
        <v/>
      </c>
      <c r="AP81" s="54" t="str">
        <f t="shared" si="52"/>
        <v/>
      </c>
      <c r="AQ81" s="54" t="str">
        <f t="shared" si="52"/>
        <v/>
      </c>
      <c r="AR81" s="54" t="str">
        <f t="shared" si="52"/>
        <v/>
      </c>
      <c r="AS81" s="54" t="str">
        <f t="shared" si="52"/>
        <v/>
      </c>
      <c r="AT81" s="54" t="str">
        <f t="shared" si="52"/>
        <v/>
      </c>
      <c r="AU81" s="54" t="str">
        <f t="shared" si="52"/>
        <v/>
      </c>
      <c r="AV81" s="54" t="str">
        <f t="shared" si="52"/>
        <v/>
      </c>
      <c r="AW81" s="54" t="str">
        <f t="shared" si="52"/>
        <v/>
      </c>
      <c r="AX81" s="54" t="str">
        <f t="shared" ref="AX81" si="65">IF(AND($Q81="Feature",LEFT($AB81,2)="PI"),
IF(AND(COUNTIF($R:$R,$B81)=1,$T81=AX$1), IF($AB81=$A$10,$AF81,0),
IF(OR($AD81&lt;1,RIGHT($G81,8)="Progress",$AH81&gt;0),SUMIFS($O:$O,$R:$R,$B81,$T:$T,AX$1,$P:$P,"&lt;&gt;Done",$AB:$AB,$A$10),
IF($T81=AX$1,IF($AB81=$A$10,$AD81,0)+SUMIFS($O:$O,$R:$R,$B81,$T:$T,AX$1,$P:$P,"&lt;&gt;Done",$AB:$AB,$A$10),SUMIFS($O:$O,$R:$R,$B81,$T:$T,AX$1,$P:$P,"&lt;&gt;Done",$AB:$AB,$A$10)))),
IF(AND(OR($Q81="Story",$Q81="Problem",$Q81="Enhancement"),$AB81=$A$10,$R81=0,$T81=AX$1,$P81&lt;&gt;"Done"),$O81,""))</f>
        <v/>
      </c>
      <c r="AY81" s="54" t="str">
        <f t="shared" si="53"/>
        <v/>
      </c>
      <c r="AZ81" s="54" t="str">
        <f t="shared" si="54"/>
        <v/>
      </c>
      <c r="BA81" s="54" t="str">
        <f t="shared" si="55"/>
        <v/>
      </c>
      <c r="BB81" s="135" t="str">
        <f t="shared" si="56"/>
        <v/>
      </c>
      <c r="BC81" s="54" t="str">
        <f t="shared" si="36"/>
        <v/>
      </c>
      <c r="BD81" s="54" t="str">
        <f t="shared" si="36"/>
        <v/>
      </c>
      <c r="BE81" s="54" t="str">
        <f t="shared" si="36"/>
        <v/>
      </c>
      <c r="BF81" s="54" t="str">
        <f t="shared" si="57"/>
        <v/>
      </c>
      <c r="BG81" s="54" t="str">
        <f t="shared" si="58"/>
        <v/>
      </c>
      <c r="BH81" s="34" t="str">
        <f t="shared" si="59"/>
        <v>Bad</v>
      </c>
      <c r="BI81" s="34" t="str">
        <f t="shared" si="60"/>
        <v>No</v>
      </c>
      <c r="BJ81" s="136" t="str">
        <f>IF($D81&lt;&gt;"Feature",".",
IF(VLOOKUP($B81,Feature_List!$A:$AM,MATCH(BJ$1,  Feature_List!$A$1:$AM$1,0),0)=B81,".","NO"))</f>
        <v>.</v>
      </c>
      <c r="BK81" s="136"/>
      <c r="BL81" s="136"/>
      <c r="BM81" s="136" t="str">
        <f>IF($D81&lt;&gt;"Feature",".",
IF(VLOOKUP($B81,Feature_List!$A:$AM,MATCH(BM$1,  Feature_List!$A$1:$AM$1,0),0)=E81,".","NO"))</f>
        <v>.</v>
      </c>
      <c r="BN81" s="136" t="str">
        <f>IF($D81&lt;&gt;"Feature",".",
IF(VLOOKUP($B81,Feature_List!$A:$AM,MATCH(BN$1,  Feature_List!$A$1:$AM$1,0),0)=F81,".","NO"))</f>
        <v>.</v>
      </c>
      <c r="BO81" s="136" t="str">
        <f>IF($D81&lt;&gt;"Feature",".",
IF(VLOOKUP($B81,Feature_List!$A:$AM,MATCH(BO$1,  Feature_List!$A$1:$AM$1,0),0)=G81,".","NO"))</f>
        <v>.</v>
      </c>
      <c r="BP81" s="136" t="str">
        <f>IF($D81&lt;&gt;"Feature",".",
IF(VLOOKUP($B81,Feature_List!$A:$AM,MATCH(BP$1,  Feature_List!$A$1:$AM$1,0),0)=H81,".","NO"))</f>
        <v>.</v>
      </c>
      <c r="BQ81" s="136"/>
      <c r="BR81" s="136" t="str">
        <f>IF($D81&lt;&gt;"Feature",".",
IF(VLOOKUP($B81,Feature_List!$A:$AM,MATCH(BR$1,  Feature_List!$A$1:$AM$1,0),0)=J81,".","NO"))</f>
        <v>.</v>
      </c>
      <c r="BS81" s="136"/>
      <c r="BT81" s="136"/>
      <c r="BU81" s="136" t="str">
        <f>IF($D81&lt;&gt;"Feature",".",
IF(VLOOKUP($B81,Feature_List!$A:$AM,MATCH(BU$1,  Feature_List!$A$1:$AM$1,0),0)=M81,".","NO"))</f>
        <v>.</v>
      </c>
      <c r="BV81" s="136" t="str">
        <f>IF($D81&lt;&gt;"Feature",".",
IF(VLOOKUP($B81,Feature_List!$A:$AM,MATCH(BV$1,  Feature_List!$A$1:$AM$1,0),0)=N81,".","NO"))</f>
        <v>.</v>
      </c>
      <c r="BW81" s="136"/>
      <c r="BX81" s="136"/>
      <c r="BY81" s="136"/>
      <c r="BZ81" s="136"/>
      <c r="CA81" s="136"/>
      <c r="CB81" s="136" t="str">
        <f>IF($D81&lt;&gt;"Feature",".",
IF(VLOOKUP($B81,Feature_List!$A:$AM,MATCH(CB$1,  Feature_List!$A$1:$AM$1,0),0)=T81,".","NO"))</f>
        <v>.</v>
      </c>
      <c r="CC81" s="136"/>
      <c r="CD81" s="136"/>
      <c r="CE81" s="136"/>
      <c r="CF81" s="136"/>
      <c r="CG81" s="136"/>
      <c r="CH81" s="136"/>
      <c r="CI81" s="136"/>
      <c r="CJ81" s="136"/>
      <c r="CK81" s="136"/>
      <c r="CL81" s="136"/>
      <c r="CM81" s="136"/>
      <c r="CN81" s="136"/>
      <c r="CO81" s="136" t="str">
        <f>IF($D81&lt;&gt;"Feature",".",
IF(VLOOKUP($B81,Feature_List!$A:$AM,MATCH(CO$1,  Feature_List!$A$1:$AM$1,0),0)=AG81,".","NO"))</f>
        <v>.</v>
      </c>
      <c r="CP81" s="136" t="str">
        <f>IF($D81&lt;&gt;"Feature",".",
IF(VLOOKUP($B81,Feature_List!$A:$AM,MATCH(CP$1,  Feature_List!$A$1:$AM$1,0),0)=AH81,".","NO"))</f>
        <v>.</v>
      </c>
      <c r="CQ81" s="136" t="str">
        <f>IF($D81&lt;&gt;"Feature",".",
IF(VLOOKUP($B81,Feature_List!$A:$AM,MATCH(CQ$1,  Feature_List!$A$1:$AM$1,0),0)=AI81,".","NO"))</f>
        <v>.</v>
      </c>
      <c r="CR81" s="136" t="str">
        <f>IF($D81&lt;&gt;"Feature",".",
IF(VLOOKUP($B81,Feature_List!$A:$AM,MATCH(CR$1,  Feature_List!$A$1:$AM$1,0),0)=AJ81,".","NO"))</f>
        <v>.</v>
      </c>
      <c r="CS81" s="136" t="str">
        <f>IF($D81&lt;&gt;"Feature",".",
IF(VLOOKUP($B81,Feature_List!$A:$AM,MATCH(CS$1,  Feature_List!$A$1:$AM$1,0),0)=AK81,".","NO"))</f>
        <v>.</v>
      </c>
      <c r="CT81" s="136" t="str">
        <f>IF($D81&lt;&gt;"Feature",".",
IF(VLOOKUP($B81,Feature_List!$A:$AM,MATCH(CT$1,  Feature_List!$A$1:$AM$1,0),0)=AL81,".","NO"))</f>
        <v>.</v>
      </c>
      <c r="CU81" s="136" t="str">
        <f>IF($D81&lt;&gt;"Feature",".",
IF(VLOOKUP($B81,Feature_List!$A:$AM,MATCH(CU$1,  Feature_List!$A$1:$AM$1,0),0)=AM81,".","NO"))</f>
        <v>.</v>
      </c>
      <c r="CV81" s="136" t="str">
        <f>IF($D81&lt;&gt;"Feature",".",
IF(VLOOKUP($B81,Feature_List!$A:$AM,MATCH(CV$1,  Feature_List!$A$1:$AM$1,0),0)=AN81,".","NO"))</f>
        <v>.</v>
      </c>
      <c r="CW81" s="136" t="str">
        <f>IF($D81&lt;&gt;"Feature",".",
IF(VLOOKUP($B81,Feature_List!$A:$AM,MATCH(CW$1,  Feature_List!$A$1:$AM$1,0),0)=AO81,".","NO"))</f>
        <v>.</v>
      </c>
      <c r="CX81" s="136" t="str">
        <f>IF($D81&lt;&gt;"Feature",".",
IF(VLOOKUP($B81,Feature_List!$A:$AM,MATCH(CX$1,  Feature_List!$A$1:$AM$1,0),0)=AP81,".","NO"))</f>
        <v>.</v>
      </c>
      <c r="CY81" s="136" t="str">
        <f>IF($D81&lt;&gt;"Feature",".",
IF(VLOOKUP($B81,Feature_List!$A:$AM,MATCH(CY$1,  Feature_List!$A$1:$AM$1,0),0)=AQ81,".","NO"))</f>
        <v>.</v>
      </c>
      <c r="CZ81" s="136" t="str">
        <f>IF($D81&lt;&gt;"Feature",".",
IF(VLOOKUP($B81,Feature_List!$A:$AM,MATCH(CZ$1,  Feature_List!$A$1:$AM$1,0),0)=AR81,".","NO"))</f>
        <v>.</v>
      </c>
      <c r="DA81" s="136" t="str">
        <f>IF($D81&lt;&gt;"Feature",".",
IF(VLOOKUP($B81,Feature_List!$A:$AM,MATCH(DA$1,  Feature_List!$A$1:$AM$1,0),0)=AS81,".","NO"))</f>
        <v>.</v>
      </c>
      <c r="DB81" s="136" t="str">
        <f>IF($D81&lt;&gt;"Feature",".",
IF(VLOOKUP($B81,Feature_List!$A:$AM,MATCH(DB$1,  Feature_List!$A$1:$AM$1,0),0)=AT81,".","NO"))</f>
        <v>.</v>
      </c>
      <c r="DC81" s="136" t="str">
        <f>IF($D81&lt;&gt;"Feature",".",
IF(VLOOKUP($B81,Feature_List!$A:$AM,MATCH(DC$1,  Feature_List!$A$1:$AM$1,0),0)=AU81,".","NO"))</f>
        <v>.</v>
      </c>
      <c r="DD81" s="136" t="str">
        <f>IF($D81&lt;&gt;"Feature",".",
IF(VLOOKUP($B81,Feature_List!$A:$AM,MATCH(DD$1,  Feature_List!$A$1:$AM$1,0),0)=AV81,".","NO"))</f>
        <v>.</v>
      </c>
      <c r="DE81" s="136" t="str">
        <f>IF($D81&lt;&gt;"Feature",".",
IF(VLOOKUP($B81,Feature_List!$A:$AM,MATCH(DE$1,  Feature_List!$A$1:$AM$1,0),0)=AW81,".","NO"))</f>
        <v>.</v>
      </c>
      <c r="DF81" s="136" t="str">
        <f>IF($D81&lt;&gt;"Feature",".",
IF(VLOOKUP($B81,Feature_List!$A:$AM,MATCH(DF$1,  Feature_List!$A$1:$AM$1,0),0)=AX81,".","NO"))</f>
        <v>.</v>
      </c>
      <c r="DG81" s="136" t="str">
        <f>IF($D81&lt;&gt;"Feature",".",
IF(VLOOKUP($B81,Feature_List!$A:$AM,MATCH(DG$1,  Feature_List!$A$1:$AM$1,0),0)=AY81,".","NO"))</f>
        <v>.</v>
      </c>
      <c r="DH81" s="136" t="str">
        <f>IF($D81&lt;&gt;"Feature",".",
IF(VLOOKUP($B81,Feature_List!$A:$AM,MATCH(DH$1,  Feature_List!$A$1:$AM$1,0),0)=AZ81,".","NO"))</f>
        <v>.</v>
      </c>
      <c r="DI81" s="136" t="str">
        <f>IF($D81&lt;&gt;"Feature",".",
IF(VLOOKUP($B81,Feature_List!$A:$AM,MATCH(DI$1,  Feature_List!$A$1:$AM$1,0),0)=BA81,".","NO"))</f>
        <v>.</v>
      </c>
      <c r="DJ81" s="136" t="str">
        <f>IF($D81&lt;&gt;"Feature",".",
IF(VLOOKUP($B81,Feature_List!$A:$AM,MATCH(DJ$1,  Feature_List!$A$1:$AM$1,0),0)=BB81,".","NO"))</f>
        <v>.</v>
      </c>
      <c r="DK81" s="136"/>
      <c r="DL81" s="136"/>
      <c r="DM81" s="136"/>
      <c r="DN81" s="136" t="str">
        <f>IF($D81&lt;&gt;"Feature",".",
IF(VLOOKUP($B81,Feature_List!$A:$AM,MATCH(DN$1,  Feature_List!$A$1:$AM$1,0),0)=BC81,".","NO"))</f>
        <v>.</v>
      </c>
      <c r="DO81" s="136" t="str">
        <f>IF($D81&lt;&gt;"Feature",".",
IF(VLOOKUP($B81,Feature_List!$A:$AM,MATCH(DO$1,  Feature_List!$A$1:$AM$1,0),0)=BD81,".","NO"))</f>
        <v>.</v>
      </c>
    </row>
    <row r="82" spans="2:119" x14ac:dyDescent="0.3">
      <c r="B82" s="121"/>
      <c r="C82" s="123"/>
      <c r="D82" s="122"/>
      <c r="E82" s="122"/>
      <c r="F82" s="138"/>
      <c r="G82" s="123"/>
      <c r="H82" s="122"/>
      <c r="I82" s="122"/>
      <c r="J82" s="138"/>
      <c r="K82" s="123"/>
      <c r="L82" s="122"/>
      <c r="M82" s="122"/>
      <c r="N82" s="125"/>
      <c r="O82" s="123">
        <f t="shared" si="38"/>
        <v>0</v>
      </c>
      <c r="P82" s="123">
        <f t="shared" si="39"/>
        <v>0</v>
      </c>
      <c r="Q82" s="122" t="str">
        <f t="shared" si="61"/>
        <v>ZeroEntry</v>
      </c>
      <c r="R82" s="126" t="str">
        <f t="shared" si="40"/>
        <v>ZeroEntry</v>
      </c>
      <c r="S82" s="127" t="str">
        <f t="shared" si="41"/>
        <v>ZeroEntry</v>
      </c>
      <c r="T82" s="128" t="str">
        <f>IF($Q82="ZeroEntry", "",VLOOKUP($I82,'Ranking Lookup'!#REF!,2,FALSE))</f>
        <v/>
      </c>
      <c r="U82" s="129" t="str">
        <f t="shared" si="42"/>
        <v/>
      </c>
      <c r="V82" s="129" t="str">
        <f t="shared" si="43"/>
        <v/>
      </c>
      <c r="W82" s="129" t="str">
        <f t="shared" si="44"/>
        <v/>
      </c>
      <c r="X82" s="129" t="str">
        <f t="shared" si="45"/>
        <v/>
      </c>
      <c r="Y82" s="129" t="str">
        <f t="shared" si="46"/>
        <v/>
      </c>
      <c r="Z82" s="129" t="str">
        <f t="shared" si="47"/>
        <v/>
      </c>
      <c r="AA82" s="130"/>
      <c r="AB82" s="130" t="str">
        <f t="shared" si="48"/>
        <v>Unassigned</v>
      </c>
      <c r="AC82" s="131" t="str">
        <f t="shared" si="62"/>
        <v/>
      </c>
      <c r="AD82" s="131" t="str">
        <f t="shared" si="63"/>
        <v/>
      </c>
      <c r="AE82" s="132">
        <f t="shared" si="49"/>
        <v>0</v>
      </c>
      <c r="AF82" s="133" t="str">
        <f t="shared" si="64"/>
        <v/>
      </c>
      <c r="AG82" s="134">
        <f t="shared" si="50"/>
        <v>0</v>
      </c>
      <c r="AH82" s="54" t="str">
        <f t="shared" si="51"/>
        <v/>
      </c>
      <c r="AI82" s="54" t="str">
        <f t="shared" ref="AI82:AX97" si="66">IF(AND($Q82="Feature",LEFT($AB82,2)="PI"),
IF(AND(COUNTIF($R:$R,$B82)=1,$T82=AI$1), IF($AB82=$A$10,$AF82,0),
IF(OR($AD82&lt;1,RIGHT($G82,8)="Progress",$AH82&gt;0),SUMIFS($O:$O,$R:$R,$B82,$T:$T,AI$1,$P:$P,"&lt;&gt;Done",$AB:$AB,$A$10),
IF($T82=AI$1,IF($AB82=$A$10,$AD82,0)+SUMIFS($O:$O,$R:$R,$B82,$T:$T,AI$1,$P:$P,"&lt;&gt;Done",$AB:$AB,$A$10),SUMIFS($O:$O,$R:$R,$B82,$T:$T,AI$1,$P:$P,"&lt;&gt;Done",$AB:$AB,$A$10)))),
IF(AND(OR($Q82="Story",$Q82="Problem",$Q82="Enhancement"),$AB82=$A$10,$R82=0,$T82=AI$1,$P82&lt;&gt;"Done"),$O82,""))</f>
        <v/>
      </c>
      <c r="AJ82" s="54" t="str">
        <f t="shared" si="66"/>
        <v/>
      </c>
      <c r="AK82" s="54" t="str">
        <f t="shared" si="66"/>
        <v/>
      </c>
      <c r="AL82" s="54" t="str">
        <f t="shared" si="66"/>
        <v/>
      </c>
      <c r="AM82" s="54" t="str">
        <f t="shared" si="66"/>
        <v/>
      </c>
      <c r="AN82" s="54" t="str">
        <f t="shared" si="66"/>
        <v/>
      </c>
      <c r="AO82" s="54" t="str">
        <f t="shared" si="66"/>
        <v/>
      </c>
      <c r="AP82" s="54" t="str">
        <f t="shared" si="66"/>
        <v/>
      </c>
      <c r="AQ82" s="54" t="str">
        <f t="shared" si="66"/>
        <v/>
      </c>
      <c r="AR82" s="54" t="str">
        <f t="shared" si="66"/>
        <v/>
      </c>
      <c r="AS82" s="54" t="str">
        <f t="shared" si="66"/>
        <v/>
      </c>
      <c r="AT82" s="54" t="str">
        <f t="shared" si="66"/>
        <v/>
      </c>
      <c r="AU82" s="54" t="str">
        <f t="shared" si="66"/>
        <v/>
      </c>
      <c r="AV82" s="54" t="str">
        <f t="shared" si="66"/>
        <v/>
      </c>
      <c r="AW82" s="54" t="str">
        <f t="shared" si="66"/>
        <v/>
      </c>
      <c r="AX82" s="54" t="str">
        <f t="shared" si="66"/>
        <v/>
      </c>
      <c r="AY82" s="54" t="str">
        <f t="shared" si="53"/>
        <v/>
      </c>
      <c r="AZ82" s="54" t="str">
        <f t="shared" si="54"/>
        <v/>
      </c>
      <c r="BA82" s="54" t="str">
        <f t="shared" si="55"/>
        <v/>
      </c>
      <c r="BB82" s="135" t="str">
        <f t="shared" si="56"/>
        <v/>
      </c>
      <c r="BC82" s="54" t="str">
        <f t="shared" ref="BC82:BE101" si="67">IF(AND($Q82="Feature",LEFT($AB82,2)="PI"),
IF(AND(COUNTIF($R:$R,$B82)=1,$T82=BC$1), IF($AB82=$A$10,$AF82,0),
IF(OR($AD82&lt;1,RIGHT($G82,8)="Progress"),SUMIFS($O:$O,$R:$R,$B82,$T:$T,BC$1,$P:$P,"&lt;&gt;Done",$AB:$AB,$A$10),
IF($T82=BC$1, IF($AB82=$A$10,$AD82,0)+SUMIFS($O:$O,$R:$R,$B82,$T:$T,BC$1,$P:$P,"&lt;&gt;Done",$AB:$AB,$A$10),SUMIFS($O:$O,$R:$R,$B82,$T:$T,BC$1,$P:$P,"&lt;&gt;Done",$AB:$AB,$A$10)))),
IF(AND(OR($Q82="Story",$Q82="Problem",$Q82="Enhancement"),$AB82=$A$10,$R82=0,$T82=BC$1,$P82&lt;&gt;"Done"),$O82,""))</f>
        <v/>
      </c>
      <c r="BD82" s="54" t="str">
        <f t="shared" si="67"/>
        <v/>
      </c>
      <c r="BE82" s="54" t="str">
        <f t="shared" si="67"/>
        <v/>
      </c>
      <c r="BF82" s="54" t="str">
        <f t="shared" si="57"/>
        <v/>
      </c>
      <c r="BG82" s="54" t="str">
        <f t="shared" si="58"/>
        <v/>
      </c>
      <c r="BH82" s="34" t="str">
        <f t="shared" si="59"/>
        <v>Bad</v>
      </c>
      <c r="BI82" s="34" t="str">
        <f t="shared" si="60"/>
        <v>No</v>
      </c>
      <c r="BJ82" s="136" t="str">
        <f>IF($D82&lt;&gt;"Feature",".",
IF(VLOOKUP($B82,Feature_List!$A:$AM,MATCH(BJ$1,  Feature_List!$A$1:$AM$1,0),0)=B82,".","NO"))</f>
        <v>.</v>
      </c>
      <c r="BK82" s="136"/>
      <c r="BL82" s="136"/>
      <c r="BM82" s="136" t="str">
        <f>IF($D82&lt;&gt;"Feature",".",
IF(VLOOKUP($B82,Feature_List!$A:$AM,MATCH(BM$1,  Feature_List!$A$1:$AM$1,0),0)=E82,".","NO"))</f>
        <v>.</v>
      </c>
      <c r="BN82" s="136" t="str">
        <f>IF($D82&lt;&gt;"Feature",".",
IF(VLOOKUP($B82,Feature_List!$A:$AM,MATCH(BN$1,  Feature_List!$A$1:$AM$1,0),0)=F82,".","NO"))</f>
        <v>.</v>
      </c>
      <c r="BO82" s="136" t="str">
        <f>IF($D82&lt;&gt;"Feature",".",
IF(VLOOKUP($B82,Feature_List!$A:$AM,MATCH(BO$1,  Feature_List!$A$1:$AM$1,0),0)=G82,".","NO"))</f>
        <v>.</v>
      </c>
      <c r="BP82" s="136" t="str">
        <f>IF($D82&lt;&gt;"Feature",".",
IF(VLOOKUP($B82,Feature_List!$A:$AM,MATCH(BP$1,  Feature_List!$A$1:$AM$1,0),0)=H82,".","NO"))</f>
        <v>.</v>
      </c>
      <c r="BQ82" s="136"/>
      <c r="BR82" s="136" t="str">
        <f>IF($D82&lt;&gt;"Feature",".",
IF(VLOOKUP($B82,Feature_List!$A:$AM,MATCH(BR$1,  Feature_List!$A$1:$AM$1,0),0)=J82,".","NO"))</f>
        <v>.</v>
      </c>
      <c r="BS82" s="136"/>
      <c r="BT82" s="136"/>
      <c r="BU82" s="136" t="str">
        <f>IF($D82&lt;&gt;"Feature",".",
IF(VLOOKUP($B82,Feature_List!$A:$AM,MATCH(BU$1,  Feature_List!$A$1:$AM$1,0),0)=M82,".","NO"))</f>
        <v>.</v>
      </c>
      <c r="BV82" s="136" t="str">
        <f>IF($D82&lt;&gt;"Feature",".",
IF(VLOOKUP($B82,Feature_List!$A:$AM,MATCH(BV$1,  Feature_List!$A$1:$AM$1,0),0)=N82,".","NO"))</f>
        <v>.</v>
      </c>
      <c r="BW82" s="136"/>
      <c r="BX82" s="136"/>
      <c r="BY82" s="136"/>
      <c r="BZ82" s="136"/>
      <c r="CA82" s="136"/>
      <c r="CB82" s="136" t="str">
        <f>IF($D82&lt;&gt;"Feature",".",
IF(VLOOKUP($B82,Feature_List!$A:$AM,MATCH(CB$1,  Feature_List!$A$1:$AM$1,0),0)=T82,".","NO"))</f>
        <v>.</v>
      </c>
      <c r="CC82" s="136"/>
      <c r="CD82" s="136"/>
      <c r="CE82" s="136"/>
      <c r="CF82" s="136"/>
      <c r="CG82" s="136"/>
      <c r="CH82" s="136"/>
      <c r="CI82" s="136"/>
      <c r="CJ82" s="136"/>
      <c r="CK82" s="136"/>
      <c r="CL82" s="136"/>
      <c r="CM82" s="136"/>
      <c r="CN82" s="136"/>
      <c r="CO82" s="136" t="str">
        <f>IF($D82&lt;&gt;"Feature",".",
IF(VLOOKUP($B82,Feature_List!$A:$AM,MATCH(CO$1,  Feature_List!$A$1:$AM$1,0),0)=AG82,".","NO"))</f>
        <v>.</v>
      </c>
      <c r="CP82" s="136" t="str">
        <f>IF($D82&lt;&gt;"Feature",".",
IF(VLOOKUP($B82,Feature_List!$A:$AM,MATCH(CP$1,  Feature_List!$A$1:$AM$1,0),0)=AH82,".","NO"))</f>
        <v>.</v>
      </c>
      <c r="CQ82" s="136" t="str">
        <f>IF($D82&lt;&gt;"Feature",".",
IF(VLOOKUP($B82,Feature_List!$A:$AM,MATCH(CQ$1,  Feature_List!$A$1:$AM$1,0),0)=AI82,".","NO"))</f>
        <v>.</v>
      </c>
      <c r="CR82" s="136" t="str">
        <f>IF($D82&lt;&gt;"Feature",".",
IF(VLOOKUP($B82,Feature_List!$A:$AM,MATCH(CR$1,  Feature_List!$A$1:$AM$1,0),0)=AJ82,".","NO"))</f>
        <v>.</v>
      </c>
      <c r="CS82" s="136" t="str">
        <f>IF($D82&lt;&gt;"Feature",".",
IF(VLOOKUP($B82,Feature_List!$A:$AM,MATCH(CS$1,  Feature_List!$A$1:$AM$1,0),0)=AK82,".","NO"))</f>
        <v>.</v>
      </c>
      <c r="CT82" s="136" t="str">
        <f>IF($D82&lt;&gt;"Feature",".",
IF(VLOOKUP($B82,Feature_List!$A:$AM,MATCH(CT$1,  Feature_List!$A$1:$AM$1,0),0)=AL82,".","NO"))</f>
        <v>.</v>
      </c>
      <c r="CU82" s="136" t="str">
        <f>IF($D82&lt;&gt;"Feature",".",
IF(VLOOKUP($B82,Feature_List!$A:$AM,MATCH(CU$1,  Feature_List!$A$1:$AM$1,0),0)=AM82,".","NO"))</f>
        <v>.</v>
      </c>
      <c r="CV82" s="136" t="str">
        <f>IF($D82&lt;&gt;"Feature",".",
IF(VLOOKUP($B82,Feature_List!$A:$AM,MATCH(CV$1,  Feature_List!$A$1:$AM$1,0),0)=AN82,".","NO"))</f>
        <v>.</v>
      </c>
      <c r="CW82" s="136" t="str">
        <f>IF($D82&lt;&gt;"Feature",".",
IF(VLOOKUP($B82,Feature_List!$A:$AM,MATCH(CW$1,  Feature_List!$A$1:$AM$1,0),0)=AO82,".","NO"))</f>
        <v>.</v>
      </c>
      <c r="CX82" s="136" t="str">
        <f>IF($D82&lt;&gt;"Feature",".",
IF(VLOOKUP($B82,Feature_List!$A:$AM,MATCH(CX$1,  Feature_List!$A$1:$AM$1,0),0)=AP82,".","NO"))</f>
        <v>.</v>
      </c>
      <c r="CY82" s="136" t="str">
        <f>IF($D82&lt;&gt;"Feature",".",
IF(VLOOKUP($B82,Feature_List!$A:$AM,MATCH(CY$1,  Feature_List!$A$1:$AM$1,0),0)=AQ82,".","NO"))</f>
        <v>.</v>
      </c>
      <c r="CZ82" s="136" t="str">
        <f>IF($D82&lt;&gt;"Feature",".",
IF(VLOOKUP($B82,Feature_List!$A:$AM,MATCH(CZ$1,  Feature_List!$A$1:$AM$1,0),0)=AR82,".","NO"))</f>
        <v>.</v>
      </c>
      <c r="DA82" s="136" t="str">
        <f>IF($D82&lt;&gt;"Feature",".",
IF(VLOOKUP($B82,Feature_List!$A:$AM,MATCH(DA$1,  Feature_List!$A$1:$AM$1,0),0)=AS82,".","NO"))</f>
        <v>.</v>
      </c>
      <c r="DB82" s="136" t="str">
        <f>IF($D82&lt;&gt;"Feature",".",
IF(VLOOKUP($B82,Feature_List!$A:$AM,MATCH(DB$1,  Feature_List!$A$1:$AM$1,0),0)=AT82,".","NO"))</f>
        <v>.</v>
      </c>
      <c r="DC82" s="136" t="str">
        <f>IF($D82&lt;&gt;"Feature",".",
IF(VLOOKUP($B82,Feature_List!$A:$AM,MATCH(DC$1,  Feature_List!$A$1:$AM$1,0),0)=AU82,".","NO"))</f>
        <v>.</v>
      </c>
      <c r="DD82" s="136" t="str">
        <f>IF($D82&lt;&gt;"Feature",".",
IF(VLOOKUP($B82,Feature_List!$A:$AM,MATCH(DD$1,  Feature_List!$A$1:$AM$1,0),0)=AV82,".","NO"))</f>
        <v>.</v>
      </c>
      <c r="DE82" s="136" t="str">
        <f>IF($D82&lt;&gt;"Feature",".",
IF(VLOOKUP($B82,Feature_List!$A:$AM,MATCH(DE$1,  Feature_List!$A$1:$AM$1,0),0)=AW82,".","NO"))</f>
        <v>.</v>
      </c>
      <c r="DF82" s="136" t="str">
        <f>IF($D82&lt;&gt;"Feature",".",
IF(VLOOKUP($B82,Feature_List!$A:$AM,MATCH(DF$1,  Feature_List!$A$1:$AM$1,0),0)=AX82,".","NO"))</f>
        <v>.</v>
      </c>
      <c r="DG82" s="136" t="str">
        <f>IF($D82&lt;&gt;"Feature",".",
IF(VLOOKUP($B82,Feature_List!$A:$AM,MATCH(DG$1,  Feature_List!$A$1:$AM$1,0),0)=AY82,".","NO"))</f>
        <v>.</v>
      </c>
      <c r="DH82" s="136" t="str">
        <f>IF($D82&lt;&gt;"Feature",".",
IF(VLOOKUP($B82,Feature_List!$A:$AM,MATCH(DH$1,  Feature_List!$A$1:$AM$1,0),0)=AZ82,".","NO"))</f>
        <v>.</v>
      </c>
      <c r="DI82" s="136" t="str">
        <f>IF($D82&lt;&gt;"Feature",".",
IF(VLOOKUP($B82,Feature_List!$A:$AM,MATCH(DI$1,  Feature_List!$A$1:$AM$1,0),0)=BA82,".","NO"))</f>
        <v>.</v>
      </c>
      <c r="DJ82" s="136" t="str">
        <f>IF($D82&lt;&gt;"Feature",".",
IF(VLOOKUP($B82,Feature_List!$A:$AM,MATCH(DJ$1,  Feature_List!$A$1:$AM$1,0),0)=BB82,".","NO"))</f>
        <v>.</v>
      </c>
      <c r="DK82" s="136"/>
      <c r="DL82" s="136"/>
      <c r="DM82" s="136"/>
      <c r="DN82" s="136" t="str">
        <f>IF($D82&lt;&gt;"Feature",".",
IF(VLOOKUP($B82,Feature_List!$A:$AM,MATCH(DN$1,  Feature_List!$A$1:$AM$1,0),0)=BC82,".","NO"))</f>
        <v>.</v>
      </c>
      <c r="DO82" s="136" t="str">
        <f>IF($D82&lt;&gt;"Feature",".",
IF(VLOOKUP($B82,Feature_List!$A:$AM,MATCH(DO$1,  Feature_List!$A$1:$AM$1,0),0)=BD82,".","NO"))</f>
        <v>.</v>
      </c>
    </row>
    <row r="83" spans="2:119" x14ac:dyDescent="0.3">
      <c r="B83" s="121"/>
      <c r="C83" s="123"/>
      <c r="D83" s="122"/>
      <c r="E83" s="122"/>
      <c r="F83" s="138"/>
      <c r="G83" s="123"/>
      <c r="H83" s="122"/>
      <c r="I83" s="124"/>
      <c r="J83" s="138"/>
      <c r="K83" s="123"/>
      <c r="L83" s="122"/>
      <c r="M83" s="122"/>
      <c r="N83" s="125"/>
      <c r="O83" s="123">
        <f t="shared" si="38"/>
        <v>0</v>
      </c>
      <c r="P83" s="123">
        <f t="shared" si="39"/>
        <v>0</v>
      </c>
      <c r="Q83" s="122" t="str">
        <f t="shared" si="61"/>
        <v>ZeroEntry</v>
      </c>
      <c r="R83" s="126" t="str">
        <f t="shared" si="40"/>
        <v>ZeroEntry</v>
      </c>
      <c r="S83" s="127" t="str">
        <f t="shared" si="41"/>
        <v>ZeroEntry</v>
      </c>
      <c r="T83" s="128" t="str">
        <f>IF($Q83="ZeroEntry", "",VLOOKUP($I83,'Ranking Lookup'!#REF!,2,FALSE))</f>
        <v/>
      </c>
      <c r="U83" s="129" t="str">
        <f t="shared" si="42"/>
        <v/>
      </c>
      <c r="V83" s="129" t="str">
        <f t="shared" si="43"/>
        <v/>
      </c>
      <c r="W83" s="129" t="str">
        <f t="shared" si="44"/>
        <v/>
      </c>
      <c r="X83" s="129" t="str">
        <f t="shared" si="45"/>
        <v/>
      </c>
      <c r="Y83" s="129" t="str">
        <f t="shared" si="46"/>
        <v/>
      </c>
      <c r="Z83" s="129" t="str">
        <f t="shared" si="47"/>
        <v/>
      </c>
      <c r="AA83" s="130"/>
      <c r="AB83" s="130" t="str">
        <f t="shared" si="48"/>
        <v>Unassigned</v>
      </c>
      <c r="AC83" s="131" t="str">
        <f t="shared" si="62"/>
        <v/>
      </c>
      <c r="AD83" s="131" t="str">
        <f t="shared" si="63"/>
        <v/>
      </c>
      <c r="AE83" s="132">
        <f t="shared" si="49"/>
        <v>0</v>
      </c>
      <c r="AF83" s="133" t="str">
        <f t="shared" si="64"/>
        <v/>
      </c>
      <c r="AG83" s="134">
        <f t="shared" si="50"/>
        <v>0</v>
      </c>
      <c r="AH83" s="54" t="str">
        <f t="shared" si="51"/>
        <v/>
      </c>
      <c r="AI83" s="54" t="str">
        <f t="shared" si="66"/>
        <v/>
      </c>
      <c r="AJ83" s="54" t="str">
        <f t="shared" si="66"/>
        <v/>
      </c>
      <c r="AK83" s="54" t="str">
        <f t="shared" si="66"/>
        <v/>
      </c>
      <c r="AL83" s="54" t="str">
        <f t="shared" si="66"/>
        <v/>
      </c>
      <c r="AM83" s="54" t="str">
        <f t="shared" si="66"/>
        <v/>
      </c>
      <c r="AN83" s="54" t="str">
        <f t="shared" si="66"/>
        <v/>
      </c>
      <c r="AO83" s="54" t="str">
        <f t="shared" si="66"/>
        <v/>
      </c>
      <c r="AP83" s="54" t="str">
        <f t="shared" si="66"/>
        <v/>
      </c>
      <c r="AQ83" s="54" t="str">
        <f t="shared" si="66"/>
        <v/>
      </c>
      <c r="AR83" s="54" t="str">
        <f t="shared" si="66"/>
        <v/>
      </c>
      <c r="AS83" s="54" t="str">
        <f t="shared" si="66"/>
        <v/>
      </c>
      <c r="AT83" s="54" t="str">
        <f t="shared" si="66"/>
        <v/>
      </c>
      <c r="AU83" s="54" t="str">
        <f t="shared" si="66"/>
        <v/>
      </c>
      <c r="AV83" s="54" t="str">
        <f t="shared" si="66"/>
        <v/>
      </c>
      <c r="AW83" s="54" t="str">
        <f t="shared" si="66"/>
        <v/>
      </c>
      <c r="AX83" s="54" t="str">
        <f t="shared" si="66"/>
        <v/>
      </c>
      <c r="AY83" s="54" t="str">
        <f t="shared" si="53"/>
        <v/>
      </c>
      <c r="AZ83" s="54" t="str">
        <f t="shared" si="54"/>
        <v/>
      </c>
      <c r="BA83" s="54" t="str">
        <f t="shared" si="55"/>
        <v/>
      </c>
      <c r="BB83" s="135" t="str">
        <f t="shared" si="56"/>
        <v/>
      </c>
      <c r="BC83" s="54" t="str">
        <f t="shared" si="67"/>
        <v/>
      </c>
      <c r="BD83" s="54" t="str">
        <f t="shared" si="67"/>
        <v/>
      </c>
      <c r="BE83" s="54" t="str">
        <f t="shared" si="67"/>
        <v/>
      </c>
      <c r="BF83" s="54" t="str">
        <f t="shared" si="57"/>
        <v/>
      </c>
      <c r="BG83" s="54" t="str">
        <f t="shared" si="58"/>
        <v/>
      </c>
      <c r="BH83" s="34" t="str">
        <f t="shared" si="59"/>
        <v>Bad</v>
      </c>
      <c r="BI83" s="34" t="str">
        <f t="shared" si="60"/>
        <v>No</v>
      </c>
      <c r="BJ83" s="136" t="str">
        <f>IF($D83&lt;&gt;"Feature",".",
IF(VLOOKUP($B83,Feature_List!$A:$AM,MATCH(BJ$1,  Feature_List!$A$1:$AM$1,0),0)=B83,".","NO"))</f>
        <v>.</v>
      </c>
      <c r="BK83" s="136"/>
      <c r="BL83" s="136"/>
      <c r="BM83" s="136" t="str">
        <f>IF($D83&lt;&gt;"Feature",".",
IF(VLOOKUP($B83,Feature_List!$A:$AM,MATCH(BM$1,  Feature_List!$A$1:$AM$1,0),0)=E83,".","NO"))</f>
        <v>.</v>
      </c>
      <c r="BN83" s="136" t="str">
        <f>IF($D83&lt;&gt;"Feature",".",
IF(VLOOKUP($B83,Feature_List!$A:$AM,MATCH(BN$1,  Feature_List!$A$1:$AM$1,0),0)=F83,".","NO"))</f>
        <v>.</v>
      </c>
      <c r="BO83" s="136" t="str">
        <f>IF($D83&lt;&gt;"Feature",".",
IF(VLOOKUP($B83,Feature_List!$A:$AM,MATCH(BO$1,  Feature_List!$A$1:$AM$1,0),0)=G83,".","NO"))</f>
        <v>.</v>
      </c>
      <c r="BP83" s="136" t="str">
        <f>IF($D83&lt;&gt;"Feature",".",
IF(VLOOKUP($B83,Feature_List!$A:$AM,MATCH(BP$1,  Feature_List!$A$1:$AM$1,0),0)=H83,".","NO"))</f>
        <v>.</v>
      </c>
      <c r="BQ83" s="136"/>
      <c r="BR83" s="136" t="str">
        <f>IF($D83&lt;&gt;"Feature",".",
IF(VLOOKUP($B83,Feature_List!$A:$AM,MATCH(BR$1,  Feature_List!$A$1:$AM$1,0),0)=J83,".","NO"))</f>
        <v>.</v>
      </c>
      <c r="BS83" s="136"/>
      <c r="BT83" s="136"/>
      <c r="BU83" s="136" t="str">
        <f>IF($D83&lt;&gt;"Feature",".",
IF(VLOOKUP($B83,Feature_List!$A:$AM,MATCH(BU$1,  Feature_List!$A$1:$AM$1,0),0)=M83,".","NO"))</f>
        <v>.</v>
      </c>
      <c r="BV83" s="136" t="str">
        <f>IF($D83&lt;&gt;"Feature",".",
IF(VLOOKUP($B83,Feature_List!$A:$AM,MATCH(BV$1,  Feature_List!$A$1:$AM$1,0),0)=N83,".","NO"))</f>
        <v>.</v>
      </c>
      <c r="BW83" s="136"/>
      <c r="BX83" s="136"/>
      <c r="BY83" s="136"/>
      <c r="BZ83" s="136"/>
      <c r="CA83" s="136"/>
      <c r="CB83" s="136" t="str">
        <f>IF($D83&lt;&gt;"Feature",".",
IF(VLOOKUP($B83,Feature_List!$A:$AM,MATCH(CB$1,  Feature_List!$A$1:$AM$1,0),0)=T83,".","NO"))</f>
        <v>.</v>
      </c>
      <c r="CC83" s="136"/>
      <c r="CD83" s="136"/>
      <c r="CE83" s="136"/>
      <c r="CF83" s="136"/>
      <c r="CG83" s="136"/>
      <c r="CH83" s="136"/>
      <c r="CI83" s="136"/>
      <c r="CJ83" s="136"/>
      <c r="CK83" s="136"/>
      <c r="CL83" s="136"/>
      <c r="CM83" s="136"/>
      <c r="CN83" s="136"/>
      <c r="CO83" s="136" t="str">
        <f>IF($D83&lt;&gt;"Feature",".",
IF(VLOOKUP($B83,Feature_List!$A:$AM,MATCH(CO$1,  Feature_List!$A$1:$AM$1,0),0)=AG83,".","NO"))</f>
        <v>.</v>
      </c>
      <c r="CP83" s="136" t="str">
        <f>IF($D83&lt;&gt;"Feature",".",
IF(VLOOKUP($B83,Feature_List!$A:$AM,MATCH(CP$1,  Feature_List!$A$1:$AM$1,0),0)=AH83,".","NO"))</f>
        <v>.</v>
      </c>
      <c r="CQ83" s="136" t="str">
        <f>IF($D83&lt;&gt;"Feature",".",
IF(VLOOKUP($B83,Feature_List!$A:$AM,MATCH(CQ$1,  Feature_List!$A$1:$AM$1,0),0)=AI83,".","NO"))</f>
        <v>.</v>
      </c>
      <c r="CR83" s="136" t="str">
        <f>IF($D83&lt;&gt;"Feature",".",
IF(VLOOKUP($B83,Feature_List!$A:$AM,MATCH(CR$1,  Feature_List!$A$1:$AM$1,0),0)=AJ83,".","NO"))</f>
        <v>.</v>
      </c>
      <c r="CS83" s="136" t="str">
        <f>IF($D83&lt;&gt;"Feature",".",
IF(VLOOKUP($B83,Feature_List!$A:$AM,MATCH(CS$1,  Feature_List!$A$1:$AM$1,0),0)=AK83,".","NO"))</f>
        <v>.</v>
      </c>
      <c r="CT83" s="136" t="str">
        <f>IF($D83&lt;&gt;"Feature",".",
IF(VLOOKUP($B83,Feature_List!$A:$AM,MATCH(CT$1,  Feature_List!$A$1:$AM$1,0),0)=AL83,".","NO"))</f>
        <v>.</v>
      </c>
      <c r="CU83" s="136" t="str">
        <f>IF($D83&lt;&gt;"Feature",".",
IF(VLOOKUP($B83,Feature_List!$A:$AM,MATCH(CU$1,  Feature_List!$A$1:$AM$1,0),0)=AM83,".","NO"))</f>
        <v>.</v>
      </c>
      <c r="CV83" s="136" t="str">
        <f>IF($D83&lt;&gt;"Feature",".",
IF(VLOOKUP($B83,Feature_List!$A:$AM,MATCH(CV$1,  Feature_List!$A$1:$AM$1,0),0)=AN83,".","NO"))</f>
        <v>.</v>
      </c>
      <c r="CW83" s="136" t="str">
        <f>IF($D83&lt;&gt;"Feature",".",
IF(VLOOKUP($B83,Feature_List!$A:$AM,MATCH(CW$1,  Feature_List!$A$1:$AM$1,0),0)=AO83,".","NO"))</f>
        <v>.</v>
      </c>
      <c r="CX83" s="136" t="str">
        <f>IF($D83&lt;&gt;"Feature",".",
IF(VLOOKUP($B83,Feature_List!$A:$AM,MATCH(CX$1,  Feature_List!$A$1:$AM$1,0),0)=AP83,".","NO"))</f>
        <v>.</v>
      </c>
      <c r="CY83" s="136" t="str">
        <f>IF($D83&lt;&gt;"Feature",".",
IF(VLOOKUP($B83,Feature_List!$A:$AM,MATCH(CY$1,  Feature_List!$A$1:$AM$1,0),0)=AQ83,".","NO"))</f>
        <v>.</v>
      </c>
      <c r="CZ83" s="136" t="str">
        <f>IF($D83&lt;&gt;"Feature",".",
IF(VLOOKUP($B83,Feature_List!$A:$AM,MATCH(CZ$1,  Feature_List!$A$1:$AM$1,0),0)=AR83,".","NO"))</f>
        <v>.</v>
      </c>
      <c r="DA83" s="136" t="str">
        <f>IF($D83&lt;&gt;"Feature",".",
IF(VLOOKUP($B83,Feature_List!$A:$AM,MATCH(DA$1,  Feature_List!$A$1:$AM$1,0),0)=AS83,".","NO"))</f>
        <v>.</v>
      </c>
      <c r="DB83" s="136" t="str">
        <f>IF($D83&lt;&gt;"Feature",".",
IF(VLOOKUP($B83,Feature_List!$A:$AM,MATCH(DB$1,  Feature_List!$A$1:$AM$1,0),0)=AT83,".","NO"))</f>
        <v>.</v>
      </c>
      <c r="DC83" s="136" t="str">
        <f>IF($D83&lt;&gt;"Feature",".",
IF(VLOOKUP($B83,Feature_List!$A:$AM,MATCH(DC$1,  Feature_List!$A$1:$AM$1,0),0)=AU83,".","NO"))</f>
        <v>.</v>
      </c>
      <c r="DD83" s="136" t="str">
        <f>IF($D83&lt;&gt;"Feature",".",
IF(VLOOKUP($B83,Feature_List!$A:$AM,MATCH(DD$1,  Feature_List!$A$1:$AM$1,0),0)=AV83,".","NO"))</f>
        <v>.</v>
      </c>
      <c r="DE83" s="136" t="str">
        <f>IF($D83&lt;&gt;"Feature",".",
IF(VLOOKUP($B83,Feature_List!$A:$AM,MATCH(DE$1,  Feature_List!$A$1:$AM$1,0),0)=AW83,".","NO"))</f>
        <v>.</v>
      </c>
      <c r="DF83" s="136" t="str">
        <f>IF($D83&lt;&gt;"Feature",".",
IF(VLOOKUP($B83,Feature_List!$A:$AM,MATCH(DF$1,  Feature_List!$A$1:$AM$1,0),0)=AX83,".","NO"))</f>
        <v>.</v>
      </c>
      <c r="DG83" s="136" t="str">
        <f>IF($D83&lt;&gt;"Feature",".",
IF(VLOOKUP($B83,Feature_List!$A:$AM,MATCH(DG$1,  Feature_List!$A$1:$AM$1,0),0)=AY83,".","NO"))</f>
        <v>.</v>
      </c>
      <c r="DH83" s="136" t="str">
        <f>IF($D83&lt;&gt;"Feature",".",
IF(VLOOKUP($B83,Feature_List!$A:$AM,MATCH(DH$1,  Feature_List!$A$1:$AM$1,0),0)=AZ83,".","NO"))</f>
        <v>.</v>
      </c>
      <c r="DI83" s="136" t="str">
        <f>IF($D83&lt;&gt;"Feature",".",
IF(VLOOKUP($B83,Feature_List!$A:$AM,MATCH(DI$1,  Feature_List!$A$1:$AM$1,0),0)=BA83,".","NO"))</f>
        <v>.</v>
      </c>
      <c r="DJ83" s="136" t="str">
        <f>IF($D83&lt;&gt;"Feature",".",
IF(VLOOKUP($B83,Feature_List!$A:$AM,MATCH(DJ$1,  Feature_List!$A$1:$AM$1,0),0)=BB83,".","NO"))</f>
        <v>.</v>
      </c>
      <c r="DK83" s="136"/>
      <c r="DL83" s="136"/>
      <c r="DM83" s="136"/>
      <c r="DN83" s="136" t="str">
        <f>IF($D83&lt;&gt;"Feature",".",
IF(VLOOKUP($B83,Feature_List!$A:$AM,MATCH(DN$1,  Feature_List!$A$1:$AM$1,0),0)=BC83,".","NO"))</f>
        <v>.</v>
      </c>
      <c r="DO83" s="136" t="str">
        <f>IF($D83&lt;&gt;"Feature",".",
IF(VLOOKUP($B83,Feature_List!$A:$AM,MATCH(DO$1,  Feature_List!$A$1:$AM$1,0),0)=BD83,".","NO"))</f>
        <v>.</v>
      </c>
    </row>
    <row r="84" spans="2:119" x14ac:dyDescent="0.3">
      <c r="B84" s="121"/>
      <c r="C84" s="122"/>
      <c r="D84" s="122"/>
      <c r="E84" s="122"/>
      <c r="F84" s="138"/>
      <c r="G84" s="123"/>
      <c r="H84" s="122"/>
      <c r="I84" s="124"/>
      <c r="J84" s="138"/>
      <c r="K84" s="123"/>
      <c r="L84" s="122"/>
      <c r="M84" s="122"/>
      <c r="N84" s="125"/>
      <c r="O84" s="123">
        <f t="shared" si="38"/>
        <v>0</v>
      </c>
      <c r="P84" s="123">
        <f t="shared" si="39"/>
        <v>0</v>
      </c>
      <c r="Q84" s="122" t="str">
        <f t="shared" si="61"/>
        <v>ZeroEntry</v>
      </c>
      <c r="R84" s="126" t="str">
        <f t="shared" si="40"/>
        <v>ZeroEntry</v>
      </c>
      <c r="S84" s="127" t="str">
        <f t="shared" si="41"/>
        <v>ZeroEntry</v>
      </c>
      <c r="T84" s="128" t="str">
        <f>IF($Q84="ZeroEntry", "",VLOOKUP($I84,'Ranking Lookup'!#REF!,2,FALSE))</f>
        <v/>
      </c>
      <c r="U84" s="129" t="str">
        <f t="shared" si="42"/>
        <v/>
      </c>
      <c r="V84" s="129" t="str">
        <f t="shared" si="43"/>
        <v/>
      </c>
      <c r="W84" s="129" t="str">
        <f t="shared" si="44"/>
        <v/>
      </c>
      <c r="X84" s="129" t="str">
        <f t="shared" si="45"/>
        <v/>
      </c>
      <c r="Y84" s="129" t="str">
        <f t="shared" si="46"/>
        <v/>
      </c>
      <c r="Z84" s="129" t="str">
        <f t="shared" si="47"/>
        <v/>
      </c>
      <c r="AA84" s="130"/>
      <c r="AB84" s="130" t="str">
        <f t="shared" si="48"/>
        <v>Unassigned</v>
      </c>
      <c r="AC84" s="131" t="str">
        <f t="shared" si="62"/>
        <v/>
      </c>
      <c r="AD84" s="131" t="str">
        <f t="shared" si="63"/>
        <v/>
      </c>
      <c r="AE84" s="132">
        <f t="shared" si="49"/>
        <v>0</v>
      </c>
      <c r="AF84" s="133" t="str">
        <f t="shared" si="64"/>
        <v/>
      </c>
      <c r="AG84" s="134">
        <f t="shared" si="50"/>
        <v>0</v>
      </c>
      <c r="AH84" s="54" t="str">
        <f t="shared" si="51"/>
        <v/>
      </c>
      <c r="AI84" s="54" t="str">
        <f t="shared" si="66"/>
        <v/>
      </c>
      <c r="AJ84" s="54" t="str">
        <f t="shared" si="66"/>
        <v/>
      </c>
      <c r="AK84" s="54" t="str">
        <f t="shared" si="66"/>
        <v/>
      </c>
      <c r="AL84" s="54" t="str">
        <f t="shared" si="66"/>
        <v/>
      </c>
      <c r="AM84" s="54" t="str">
        <f t="shared" si="66"/>
        <v/>
      </c>
      <c r="AN84" s="54" t="str">
        <f t="shared" si="66"/>
        <v/>
      </c>
      <c r="AO84" s="54" t="str">
        <f t="shared" si="66"/>
        <v/>
      </c>
      <c r="AP84" s="54" t="str">
        <f t="shared" si="66"/>
        <v/>
      </c>
      <c r="AQ84" s="54" t="str">
        <f t="shared" si="66"/>
        <v/>
      </c>
      <c r="AR84" s="54" t="str">
        <f t="shared" si="66"/>
        <v/>
      </c>
      <c r="AS84" s="54" t="str">
        <f t="shared" si="66"/>
        <v/>
      </c>
      <c r="AT84" s="54" t="str">
        <f t="shared" si="66"/>
        <v/>
      </c>
      <c r="AU84" s="54" t="str">
        <f t="shared" si="66"/>
        <v/>
      </c>
      <c r="AV84" s="54" t="str">
        <f t="shared" si="66"/>
        <v/>
      </c>
      <c r="AW84" s="54" t="str">
        <f t="shared" si="66"/>
        <v/>
      </c>
      <c r="AX84" s="54" t="str">
        <f t="shared" si="66"/>
        <v/>
      </c>
      <c r="AY84" s="54" t="str">
        <f t="shared" si="53"/>
        <v/>
      </c>
      <c r="AZ84" s="54" t="str">
        <f t="shared" si="54"/>
        <v/>
      </c>
      <c r="BA84" s="54" t="str">
        <f t="shared" si="55"/>
        <v/>
      </c>
      <c r="BB84" s="135" t="str">
        <f t="shared" si="56"/>
        <v/>
      </c>
      <c r="BC84" s="54" t="str">
        <f t="shared" si="67"/>
        <v/>
      </c>
      <c r="BD84" s="54" t="str">
        <f t="shared" si="67"/>
        <v/>
      </c>
      <c r="BE84" s="54" t="str">
        <f t="shared" si="67"/>
        <v/>
      </c>
      <c r="BF84" s="54" t="str">
        <f t="shared" si="57"/>
        <v/>
      </c>
      <c r="BG84" s="54" t="str">
        <f t="shared" si="58"/>
        <v/>
      </c>
      <c r="BH84" s="34" t="str">
        <f t="shared" si="59"/>
        <v>Bad</v>
      </c>
      <c r="BI84" s="34" t="str">
        <f t="shared" si="60"/>
        <v>No</v>
      </c>
      <c r="BJ84" s="136" t="str">
        <f>IF($D84&lt;&gt;"Feature",".",
IF(VLOOKUP($B84,Feature_List!$A:$AM,MATCH(BJ$1,  Feature_List!$A$1:$AM$1,0),0)=B84,".","NO"))</f>
        <v>.</v>
      </c>
      <c r="BK84" s="136"/>
      <c r="BL84" s="136"/>
      <c r="BM84" s="136" t="str">
        <f>IF($D84&lt;&gt;"Feature",".",
IF(VLOOKUP($B84,Feature_List!$A:$AM,MATCH(BM$1,  Feature_List!$A$1:$AM$1,0),0)=E84,".","NO"))</f>
        <v>.</v>
      </c>
      <c r="BN84" s="136" t="str">
        <f>IF($D84&lt;&gt;"Feature",".",
IF(VLOOKUP($B84,Feature_List!$A:$AM,MATCH(BN$1,  Feature_List!$A$1:$AM$1,0),0)=F84,".","NO"))</f>
        <v>.</v>
      </c>
      <c r="BO84" s="136" t="str">
        <f>IF($D84&lt;&gt;"Feature",".",
IF(VLOOKUP($B84,Feature_List!$A:$AM,MATCH(BO$1,  Feature_List!$A$1:$AM$1,0),0)=G84,".","NO"))</f>
        <v>.</v>
      </c>
      <c r="BP84" s="136" t="str">
        <f>IF($D84&lt;&gt;"Feature",".",
IF(VLOOKUP($B84,Feature_List!$A:$AM,MATCH(BP$1,  Feature_List!$A$1:$AM$1,0),0)=H84,".","NO"))</f>
        <v>.</v>
      </c>
      <c r="BQ84" s="136"/>
      <c r="BR84" s="136" t="str">
        <f>IF($D84&lt;&gt;"Feature",".",
IF(VLOOKUP($B84,Feature_List!$A:$AM,MATCH(BR$1,  Feature_List!$A$1:$AM$1,0),0)=J84,".","NO"))</f>
        <v>.</v>
      </c>
      <c r="BS84" s="136"/>
      <c r="BT84" s="136"/>
      <c r="BU84" s="136" t="str">
        <f>IF($D84&lt;&gt;"Feature",".",
IF(VLOOKUP($B84,Feature_List!$A:$AM,MATCH(BU$1,  Feature_List!$A$1:$AM$1,0),0)=M84,".","NO"))</f>
        <v>.</v>
      </c>
      <c r="BV84" s="136" t="str">
        <f>IF($D84&lt;&gt;"Feature",".",
IF(VLOOKUP($B84,Feature_List!$A:$AM,MATCH(BV$1,  Feature_List!$A$1:$AM$1,0),0)=N84,".","NO"))</f>
        <v>.</v>
      </c>
      <c r="BW84" s="136"/>
      <c r="BX84" s="136"/>
      <c r="BY84" s="136"/>
      <c r="BZ84" s="136"/>
      <c r="CA84" s="136"/>
      <c r="CB84" s="136" t="str">
        <f>IF($D84&lt;&gt;"Feature",".",
IF(VLOOKUP($B84,Feature_List!$A:$AM,MATCH(CB$1,  Feature_List!$A$1:$AM$1,0),0)=T84,".","NO"))</f>
        <v>.</v>
      </c>
      <c r="CC84" s="136"/>
      <c r="CD84" s="136"/>
      <c r="CE84" s="136"/>
      <c r="CF84" s="136"/>
      <c r="CG84" s="136"/>
      <c r="CH84" s="136"/>
      <c r="CI84" s="136"/>
      <c r="CJ84" s="136"/>
      <c r="CK84" s="136"/>
      <c r="CL84" s="136"/>
      <c r="CM84" s="136"/>
      <c r="CN84" s="136"/>
      <c r="CO84" s="136" t="str">
        <f>IF($D84&lt;&gt;"Feature",".",
IF(VLOOKUP($B84,Feature_List!$A:$AM,MATCH(CO$1,  Feature_List!$A$1:$AM$1,0),0)=AG84,".","NO"))</f>
        <v>.</v>
      </c>
      <c r="CP84" s="136" t="str">
        <f>IF($D84&lt;&gt;"Feature",".",
IF(VLOOKUP($B84,Feature_List!$A:$AM,MATCH(CP$1,  Feature_List!$A$1:$AM$1,0),0)=AH84,".","NO"))</f>
        <v>.</v>
      </c>
      <c r="CQ84" s="136" t="str">
        <f>IF($D84&lt;&gt;"Feature",".",
IF(VLOOKUP($B84,Feature_List!$A:$AM,MATCH(CQ$1,  Feature_List!$A$1:$AM$1,0),0)=AI84,".","NO"))</f>
        <v>.</v>
      </c>
      <c r="CR84" s="136" t="str">
        <f>IF($D84&lt;&gt;"Feature",".",
IF(VLOOKUP($B84,Feature_List!$A:$AM,MATCH(CR$1,  Feature_List!$A$1:$AM$1,0),0)=AJ84,".","NO"))</f>
        <v>.</v>
      </c>
      <c r="CS84" s="136" t="str">
        <f>IF($D84&lt;&gt;"Feature",".",
IF(VLOOKUP($B84,Feature_List!$A:$AM,MATCH(CS$1,  Feature_List!$A$1:$AM$1,0),0)=AK84,".","NO"))</f>
        <v>.</v>
      </c>
      <c r="CT84" s="136" t="str">
        <f>IF($D84&lt;&gt;"Feature",".",
IF(VLOOKUP($B84,Feature_List!$A:$AM,MATCH(CT$1,  Feature_List!$A$1:$AM$1,0),0)=AL84,".","NO"))</f>
        <v>.</v>
      </c>
      <c r="CU84" s="136" t="str">
        <f>IF($D84&lt;&gt;"Feature",".",
IF(VLOOKUP($B84,Feature_List!$A:$AM,MATCH(CU$1,  Feature_List!$A$1:$AM$1,0),0)=AM84,".","NO"))</f>
        <v>.</v>
      </c>
      <c r="CV84" s="136" t="str">
        <f>IF($D84&lt;&gt;"Feature",".",
IF(VLOOKUP($B84,Feature_List!$A:$AM,MATCH(CV$1,  Feature_List!$A$1:$AM$1,0),0)=AN84,".","NO"))</f>
        <v>.</v>
      </c>
      <c r="CW84" s="136" t="str">
        <f>IF($D84&lt;&gt;"Feature",".",
IF(VLOOKUP($B84,Feature_List!$A:$AM,MATCH(CW$1,  Feature_List!$A$1:$AM$1,0),0)=AO84,".","NO"))</f>
        <v>.</v>
      </c>
      <c r="CX84" s="136" t="str">
        <f>IF($D84&lt;&gt;"Feature",".",
IF(VLOOKUP($B84,Feature_List!$A:$AM,MATCH(CX$1,  Feature_List!$A$1:$AM$1,0),0)=AP84,".","NO"))</f>
        <v>.</v>
      </c>
      <c r="CY84" s="136" t="str">
        <f>IF($D84&lt;&gt;"Feature",".",
IF(VLOOKUP($B84,Feature_List!$A:$AM,MATCH(CY$1,  Feature_List!$A$1:$AM$1,0),0)=AQ84,".","NO"))</f>
        <v>.</v>
      </c>
      <c r="CZ84" s="136" t="str">
        <f>IF($D84&lt;&gt;"Feature",".",
IF(VLOOKUP($B84,Feature_List!$A:$AM,MATCH(CZ$1,  Feature_List!$A$1:$AM$1,0),0)=AR84,".","NO"))</f>
        <v>.</v>
      </c>
      <c r="DA84" s="136" t="str">
        <f>IF($D84&lt;&gt;"Feature",".",
IF(VLOOKUP($B84,Feature_List!$A:$AM,MATCH(DA$1,  Feature_List!$A$1:$AM$1,0),0)=AS84,".","NO"))</f>
        <v>.</v>
      </c>
      <c r="DB84" s="136" t="str">
        <f>IF($D84&lt;&gt;"Feature",".",
IF(VLOOKUP($B84,Feature_List!$A:$AM,MATCH(DB$1,  Feature_List!$A$1:$AM$1,0),0)=AT84,".","NO"))</f>
        <v>.</v>
      </c>
      <c r="DC84" s="136" t="str">
        <f>IF($D84&lt;&gt;"Feature",".",
IF(VLOOKUP($B84,Feature_List!$A:$AM,MATCH(DC$1,  Feature_List!$A$1:$AM$1,0),0)=AU84,".","NO"))</f>
        <v>.</v>
      </c>
      <c r="DD84" s="136" t="str">
        <f>IF($D84&lt;&gt;"Feature",".",
IF(VLOOKUP($B84,Feature_List!$A:$AM,MATCH(DD$1,  Feature_List!$A$1:$AM$1,0),0)=AV84,".","NO"))</f>
        <v>.</v>
      </c>
      <c r="DE84" s="136" t="str">
        <f>IF($D84&lt;&gt;"Feature",".",
IF(VLOOKUP($B84,Feature_List!$A:$AM,MATCH(DE$1,  Feature_List!$A$1:$AM$1,0),0)=AW84,".","NO"))</f>
        <v>.</v>
      </c>
      <c r="DF84" s="136" t="str">
        <f>IF($D84&lt;&gt;"Feature",".",
IF(VLOOKUP($B84,Feature_List!$A:$AM,MATCH(DF$1,  Feature_List!$A$1:$AM$1,0),0)=AX84,".","NO"))</f>
        <v>.</v>
      </c>
      <c r="DG84" s="136" t="str">
        <f>IF($D84&lt;&gt;"Feature",".",
IF(VLOOKUP($B84,Feature_List!$A:$AM,MATCH(DG$1,  Feature_List!$A$1:$AM$1,0),0)=AY84,".","NO"))</f>
        <v>.</v>
      </c>
      <c r="DH84" s="136" t="str">
        <f>IF($D84&lt;&gt;"Feature",".",
IF(VLOOKUP($B84,Feature_List!$A:$AM,MATCH(DH$1,  Feature_List!$A$1:$AM$1,0),0)=AZ84,".","NO"))</f>
        <v>.</v>
      </c>
      <c r="DI84" s="136" t="str">
        <f>IF($D84&lt;&gt;"Feature",".",
IF(VLOOKUP($B84,Feature_List!$A:$AM,MATCH(DI$1,  Feature_List!$A$1:$AM$1,0),0)=BA84,".","NO"))</f>
        <v>.</v>
      </c>
      <c r="DJ84" s="136" t="str">
        <f>IF($D84&lt;&gt;"Feature",".",
IF(VLOOKUP($B84,Feature_List!$A:$AM,MATCH(DJ$1,  Feature_List!$A$1:$AM$1,0),0)=BB84,".","NO"))</f>
        <v>.</v>
      </c>
      <c r="DK84" s="136"/>
      <c r="DL84" s="136"/>
      <c r="DM84" s="136"/>
      <c r="DN84" s="136" t="str">
        <f>IF($D84&lt;&gt;"Feature",".",
IF(VLOOKUP($B84,Feature_List!$A:$AM,MATCH(DN$1,  Feature_List!$A$1:$AM$1,0),0)=BC84,".","NO"))</f>
        <v>.</v>
      </c>
      <c r="DO84" s="136" t="str">
        <f>IF($D84&lt;&gt;"Feature",".",
IF(VLOOKUP($B84,Feature_List!$A:$AM,MATCH(DO$1,  Feature_List!$A$1:$AM$1,0),0)=BD84,".","NO"))</f>
        <v>.</v>
      </c>
    </row>
    <row r="85" spans="2:119" x14ac:dyDescent="0.3">
      <c r="B85" s="121"/>
      <c r="C85" s="122"/>
      <c r="D85" s="122"/>
      <c r="E85" s="122"/>
      <c r="F85" s="138"/>
      <c r="G85" s="123"/>
      <c r="H85" s="122"/>
      <c r="I85" s="124"/>
      <c r="J85" s="138"/>
      <c r="K85" s="123"/>
      <c r="L85" s="122"/>
      <c r="M85" s="122"/>
      <c r="N85" s="125"/>
      <c r="O85" s="123">
        <f t="shared" si="38"/>
        <v>0</v>
      </c>
      <c r="P85" s="123">
        <f t="shared" si="39"/>
        <v>0</v>
      </c>
      <c r="Q85" s="122" t="str">
        <f t="shared" si="61"/>
        <v>ZeroEntry</v>
      </c>
      <c r="R85" s="126" t="str">
        <f t="shared" si="40"/>
        <v>ZeroEntry</v>
      </c>
      <c r="S85" s="127" t="str">
        <f t="shared" si="41"/>
        <v>ZeroEntry</v>
      </c>
      <c r="T85" s="128" t="str">
        <f>IF($Q85="ZeroEntry", "",VLOOKUP($I85,'Ranking Lookup'!#REF!,2,FALSE))</f>
        <v/>
      </c>
      <c r="U85" s="129" t="str">
        <f t="shared" si="42"/>
        <v/>
      </c>
      <c r="V85" s="129" t="str">
        <f t="shared" si="43"/>
        <v/>
      </c>
      <c r="W85" s="129" t="str">
        <f t="shared" si="44"/>
        <v/>
      </c>
      <c r="X85" s="129" t="str">
        <f t="shared" si="45"/>
        <v/>
      </c>
      <c r="Y85" s="129" t="str">
        <f t="shared" si="46"/>
        <v/>
      </c>
      <c r="Z85" s="129" t="str">
        <f t="shared" si="47"/>
        <v/>
      </c>
      <c r="AA85" s="130"/>
      <c r="AB85" s="130" t="str">
        <f t="shared" si="48"/>
        <v>Unassigned</v>
      </c>
      <c r="AC85" s="131" t="str">
        <f t="shared" si="62"/>
        <v/>
      </c>
      <c r="AD85" s="131" t="str">
        <f t="shared" si="63"/>
        <v/>
      </c>
      <c r="AE85" s="132">
        <f t="shared" si="49"/>
        <v>0</v>
      </c>
      <c r="AF85" s="133" t="str">
        <f t="shared" si="64"/>
        <v/>
      </c>
      <c r="AG85" s="134">
        <f t="shared" si="50"/>
        <v>0</v>
      </c>
      <c r="AH85" s="54" t="str">
        <f t="shared" si="51"/>
        <v/>
      </c>
      <c r="AI85" s="54" t="str">
        <f t="shared" si="66"/>
        <v/>
      </c>
      <c r="AJ85" s="54" t="str">
        <f t="shared" si="66"/>
        <v/>
      </c>
      <c r="AK85" s="54" t="str">
        <f t="shared" si="66"/>
        <v/>
      </c>
      <c r="AL85" s="54" t="str">
        <f t="shared" si="66"/>
        <v/>
      </c>
      <c r="AM85" s="54" t="str">
        <f t="shared" si="66"/>
        <v/>
      </c>
      <c r="AN85" s="54" t="str">
        <f t="shared" si="66"/>
        <v/>
      </c>
      <c r="AO85" s="54" t="str">
        <f t="shared" si="66"/>
        <v/>
      </c>
      <c r="AP85" s="54" t="str">
        <f t="shared" si="66"/>
        <v/>
      </c>
      <c r="AQ85" s="54" t="str">
        <f t="shared" si="66"/>
        <v/>
      </c>
      <c r="AR85" s="54" t="str">
        <f t="shared" si="66"/>
        <v/>
      </c>
      <c r="AS85" s="54" t="str">
        <f t="shared" si="66"/>
        <v/>
      </c>
      <c r="AT85" s="54" t="str">
        <f t="shared" si="66"/>
        <v/>
      </c>
      <c r="AU85" s="54" t="str">
        <f t="shared" si="66"/>
        <v/>
      </c>
      <c r="AV85" s="54" t="str">
        <f t="shared" si="66"/>
        <v/>
      </c>
      <c r="AW85" s="54" t="str">
        <f t="shared" si="66"/>
        <v/>
      </c>
      <c r="AX85" s="54" t="str">
        <f t="shared" si="66"/>
        <v/>
      </c>
      <c r="AY85" s="54" t="str">
        <f t="shared" si="53"/>
        <v/>
      </c>
      <c r="AZ85" s="54" t="str">
        <f t="shared" si="54"/>
        <v/>
      </c>
      <c r="BA85" s="54" t="str">
        <f t="shared" si="55"/>
        <v/>
      </c>
      <c r="BB85" s="135" t="str">
        <f t="shared" si="56"/>
        <v/>
      </c>
      <c r="BC85" s="54" t="str">
        <f t="shared" si="67"/>
        <v/>
      </c>
      <c r="BD85" s="54" t="str">
        <f t="shared" si="67"/>
        <v/>
      </c>
      <c r="BE85" s="54" t="str">
        <f t="shared" si="67"/>
        <v/>
      </c>
      <c r="BF85" s="54" t="str">
        <f t="shared" si="57"/>
        <v/>
      </c>
      <c r="BG85" s="54" t="str">
        <f t="shared" si="58"/>
        <v/>
      </c>
      <c r="BH85" s="34" t="str">
        <f t="shared" si="59"/>
        <v>Bad</v>
      </c>
      <c r="BI85" s="34" t="str">
        <f t="shared" si="60"/>
        <v>No</v>
      </c>
      <c r="BJ85" s="136" t="str">
        <f>IF($D85&lt;&gt;"Feature",".",
IF(VLOOKUP($B85,Feature_List!$A:$AM,MATCH(BJ$1,  Feature_List!$A$1:$AM$1,0),0)=B85,".","NO"))</f>
        <v>.</v>
      </c>
      <c r="BK85" s="136"/>
      <c r="BL85" s="136"/>
      <c r="BM85" s="136" t="str">
        <f>IF($D85&lt;&gt;"Feature",".",
IF(VLOOKUP($B85,Feature_List!$A:$AM,MATCH(BM$1,  Feature_List!$A$1:$AM$1,0),0)=E85,".","NO"))</f>
        <v>.</v>
      </c>
      <c r="BN85" s="136" t="str">
        <f>IF($D85&lt;&gt;"Feature",".",
IF(VLOOKUP($B85,Feature_List!$A:$AM,MATCH(BN$1,  Feature_List!$A$1:$AM$1,0),0)=F85,".","NO"))</f>
        <v>.</v>
      </c>
      <c r="BO85" s="136" t="str">
        <f>IF($D85&lt;&gt;"Feature",".",
IF(VLOOKUP($B85,Feature_List!$A:$AM,MATCH(BO$1,  Feature_List!$A$1:$AM$1,0),0)=G85,".","NO"))</f>
        <v>.</v>
      </c>
      <c r="BP85" s="136" t="str">
        <f>IF($D85&lt;&gt;"Feature",".",
IF(VLOOKUP($B85,Feature_List!$A:$AM,MATCH(BP$1,  Feature_List!$A$1:$AM$1,0),0)=H85,".","NO"))</f>
        <v>.</v>
      </c>
      <c r="BQ85" s="136"/>
      <c r="BR85" s="136" t="str">
        <f>IF($D85&lt;&gt;"Feature",".",
IF(VLOOKUP($B85,Feature_List!$A:$AM,MATCH(BR$1,  Feature_List!$A$1:$AM$1,0),0)=J85,".","NO"))</f>
        <v>.</v>
      </c>
      <c r="BS85" s="136"/>
      <c r="BT85" s="136"/>
      <c r="BU85" s="136" t="str">
        <f>IF($D85&lt;&gt;"Feature",".",
IF(VLOOKUP($B85,Feature_List!$A:$AM,MATCH(BU$1,  Feature_List!$A$1:$AM$1,0),0)=M85,".","NO"))</f>
        <v>.</v>
      </c>
      <c r="BV85" s="136" t="str">
        <f>IF($D85&lt;&gt;"Feature",".",
IF(VLOOKUP($B85,Feature_List!$A:$AM,MATCH(BV$1,  Feature_List!$A$1:$AM$1,0),0)=N85,".","NO"))</f>
        <v>.</v>
      </c>
      <c r="BW85" s="136"/>
      <c r="BX85" s="136"/>
      <c r="BY85" s="136"/>
      <c r="BZ85" s="136"/>
      <c r="CA85" s="136"/>
      <c r="CB85" s="136" t="str">
        <f>IF($D85&lt;&gt;"Feature",".",
IF(VLOOKUP($B85,Feature_List!$A:$AM,MATCH(CB$1,  Feature_List!$A$1:$AM$1,0),0)=T85,".","NO"))</f>
        <v>.</v>
      </c>
      <c r="CC85" s="136"/>
      <c r="CD85" s="136"/>
      <c r="CE85" s="136"/>
      <c r="CF85" s="136"/>
      <c r="CG85" s="136"/>
      <c r="CH85" s="136"/>
      <c r="CI85" s="136"/>
      <c r="CJ85" s="136"/>
      <c r="CK85" s="136"/>
      <c r="CL85" s="136"/>
      <c r="CM85" s="136"/>
      <c r="CN85" s="136"/>
      <c r="CO85" s="136" t="str">
        <f>IF($D85&lt;&gt;"Feature",".",
IF(VLOOKUP($B85,Feature_List!$A:$AM,MATCH(CO$1,  Feature_List!$A$1:$AM$1,0),0)=AG85,".","NO"))</f>
        <v>.</v>
      </c>
      <c r="CP85" s="136" t="str">
        <f>IF($D85&lt;&gt;"Feature",".",
IF(VLOOKUP($B85,Feature_List!$A:$AM,MATCH(CP$1,  Feature_List!$A$1:$AM$1,0),0)=AH85,".","NO"))</f>
        <v>.</v>
      </c>
      <c r="CQ85" s="136" t="str">
        <f>IF($D85&lt;&gt;"Feature",".",
IF(VLOOKUP($B85,Feature_List!$A:$AM,MATCH(CQ$1,  Feature_List!$A$1:$AM$1,0),0)=AI85,".","NO"))</f>
        <v>.</v>
      </c>
      <c r="CR85" s="136" t="str">
        <f>IF($D85&lt;&gt;"Feature",".",
IF(VLOOKUP($B85,Feature_List!$A:$AM,MATCH(CR$1,  Feature_List!$A$1:$AM$1,0),0)=AJ85,".","NO"))</f>
        <v>.</v>
      </c>
      <c r="CS85" s="136" t="str">
        <f>IF($D85&lt;&gt;"Feature",".",
IF(VLOOKUP($B85,Feature_List!$A:$AM,MATCH(CS$1,  Feature_List!$A$1:$AM$1,0),0)=AK85,".","NO"))</f>
        <v>.</v>
      </c>
      <c r="CT85" s="136" t="str">
        <f>IF($D85&lt;&gt;"Feature",".",
IF(VLOOKUP($B85,Feature_List!$A:$AM,MATCH(CT$1,  Feature_List!$A$1:$AM$1,0),0)=AL85,".","NO"))</f>
        <v>.</v>
      </c>
      <c r="CU85" s="136" t="str">
        <f>IF($D85&lt;&gt;"Feature",".",
IF(VLOOKUP($B85,Feature_List!$A:$AM,MATCH(CU$1,  Feature_List!$A$1:$AM$1,0),0)=AM85,".","NO"))</f>
        <v>.</v>
      </c>
      <c r="CV85" s="136" t="str">
        <f>IF($D85&lt;&gt;"Feature",".",
IF(VLOOKUP($B85,Feature_List!$A:$AM,MATCH(CV$1,  Feature_List!$A$1:$AM$1,0),0)=AN85,".","NO"))</f>
        <v>.</v>
      </c>
      <c r="CW85" s="136" t="str">
        <f>IF($D85&lt;&gt;"Feature",".",
IF(VLOOKUP($B85,Feature_List!$A:$AM,MATCH(CW$1,  Feature_List!$A$1:$AM$1,0),0)=AO85,".","NO"))</f>
        <v>.</v>
      </c>
      <c r="CX85" s="136" t="str">
        <f>IF($D85&lt;&gt;"Feature",".",
IF(VLOOKUP($B85,Feature_List!$A:$AM,MATCH(CX$1,  Feature_List!$A$1:$AM$1,0),0)=AP85,".","NO"))</f>
        <v>.</v>
      </c>
      <c r="CY85" s="136" t="str">
        <f>IF($D85&lt;&gt;"Feature",".",
IF(VLOOKUP($B85,Feature_List!$A:$AM,MATCH(CY$1,  Feature_List!$A$1:$AM$1,0),0)=AQ85,".","NO"))</f>
        <v>.</v>
      </c>
      <c r="CZ85" s="136" t="str">
        <f>IF($D85&lt;&gt;"Feature",".",
IF(VLOOKUP($B85,Feature_List!$A:$AM,MATCH(CZ$1,  Feature_List!$A$1:$AM$1,0),0)=AR85,".","NO"))</f>
        <v>.</v>
      </c>
      <c r="DA85" s="136" t="str">
        <f>IF($D85&lt;&gt;"Feature",".",
IF(VLOOKUP($B85,Feature_List!$A:$AM,MATCH(DA$1,  Feature_List!$A$1:$AM$1,0),0)=AS85,".","NO"))</f>
        <v>.</v>
      </c>
      <c r="DB85" s="136" t="str">
        <f>IF($D85&lt;&gt;"Feature",".",
IF(VLOOKUP($B85,Feature_List!$A:$AM,MATCH(DB$1,  Feature_List!$A$1:$AM$1,0),0)=AT85,".","NO"))</f>
        <v>.</v>
      </c>
      <c r="DC85" s="136" t="str">
        <f>IF($D85&lt;&gt;"Feature",".",
IF(VLOOKUP($B85,Feature_List!$A:$AM,MATCH(DC$1,  Feature_List!$A$1:$AM$1,0),0)=AU85,".","NO"))</f>
        <v>.</v>
      </c>
      <c r="DD85" s="136" t="str">
        <f>IF($D85&lt;&gt;"Feature",".",
IF(VLOOKUP($B85,Feature_List!$A:$AM,MATCH(DD$1,  Feature_List!$A$1:$AM$1,0),0)=AV85,".","NO"))</f>
        <v>.</v>
      </c>
      <c r="DE85" s="136" t="str">
        <f>IF($D85&lt;&gt;"Feature",".",
IF(VLOOKUP($B85,Feature_List!$A:$AM,MATCH(DE$1,  Feature_List!$A$1:$AM$1,0),0)=AW85,".","NO"))</f>
        <v>.</v>
      </c>
      <c r="DF85" s="136" t="str">
        <f>IF($D85&lt;&gt;"Feature",".",
IF(VLOOKUP($B85,Feature_List!$A:$AM,MATCH(DF$1,  Feature_List!$A$1:$AM$1,0),0)=AX85,".","NO"))</f>
        <v>.</v>
      </c>
      <c r="DG85" s="136" t="str">
        <f>IF($D85&lt;&gt;"Feature",".",
IF(VLOOKUP($B85,Feature_List!$A:$AM,MATCH(DG$1,  Feature_List!$A$1:$AM$1,0),0)=AY85,".","NO"))</f>
        <v>.</v>
      </c>
      <c r="DH85" s="136" t="str">
        <f>IF($D85&lt;&gt;"Feature",".",
IF(VLOOKUP($B85,Feature_List!$A:$AM,MATCH(DH$1,  Feature_List!$A$1:$AM$1,0),0)=AZ85,".","NO"))</f>
        <v>.</v>
      </c>
      <c r="DI85" s="136" t="str">
        <f>IF($D85&lt;&gt;"Feature",".",
IF(VLOOKUP($B85,Feature_List!$A:$AM,MATCH(DI$1,  Feature_List!$A$1:$AM$1,0),0)=BA85,".","NO"))</f>
        <v>.</v>
      </c>
      <c r="DJ85" s="136" t="str">
        <f>IF($D85&lt;&gt;"Feature",".",
IF(VLOOKUP($B85,Feature_List!$A:$AM,MATCH(DJ$1,  Feature_List!$A$1:$AM$1,0),0)=BB85,".","NO"))</f>
        <v>.</v>
      </c>
      <c r="DK85" s="136"/>
      <c r="DL85" s="136"/>
      <c r="DM85" s="136"/>
      <c r="DN85" s="136" t="str">
        <f>IF($D85&lt;&gt;"Feature",".",
IF(VLOOKUP($B85,Feature_List!$A:$AM,MATCH(DN$1,  Feature_List!$A$1:$AM$1,0),0)=BC85,".","NO"))</f>
        <v>.</v>
      </c>
      <c r="DO85" s="136" t="str">
        <f>IF($D85&lt;&gt;"Feature",".",
IF(VLOOKUP($B85,Feature_List!$A:$AM,MATCH(DO$1,  Feature_List!$A$1:$AM$1,0),0)=BD85,".","NO"))</f>
        <v>.</v>
      </c>
    </row>
    <row r="86" spans="2:119" x14ac:dyDescent="0.3">
      <c r="B86" s="121"/>
      <c r="C86" s="123"/>
      <c r="D86" s="122"/>
      <c r="E86" s="122"/>
      <c r="F86" s="138"/>
      <c r="G86" s="123"/>
      <c r="H86" s="122"/>
      <c r="I86" s="124"/>
      <c r="J86" s="138"/>
      <c r="K86" s="123"/>
      <c r="L86" s="122"/>
      <c r="M86" s="122"/>
      <c r="N86" s="125"/>
      <c r="O86" s="123">
        <f t="shared" si="38"/>
        <v>0</v>
      </c>
      <c r="P86" s="123">
        <f t="shared" si="39"/>
        <v>0</v>
      </c>
      <c r="Q86" s="122" t="str">
        <f t="shared" si="61"/>
        <v>ZeroEntry</v>
      </c>
      <c r="R86" s="126" t="str">
        <f t="shared" si="40"/>
        <v>ZeroEntry</v>
      </c>
      <c r="S86" s="127" t="str">
        <f t="shared" si="41"/>
        <v>ZeroEntry</v>
      </c>
      <c r="T86" s="128" t="str">
        <f>IF($Q86="ZeroEntry", "",VLOOKUP($I86,'Ranking Lookup'!#REF!,2,FALSE))</f>
        <v/>
      </c>
      <c r="U86" s="129" t="str">
        <f t="shared" si="42"/>
        <v/>
      </c>
      <c r="V86" s="129" t="str">
        <f t="shared" si="43"/>
        <v/>
      </c>
      <c r="W86" s="129" t="str">
        <f t="shared" si="44"/>
        <v/>
      </c>
      <c r="X86" s="129" t="str">
        <f t="shared" si="45"/>
        <v/>
      </c>
      <c r="Y86" s="129" t="str">
        <f t="shared" si="46"/>
        <v/>
      </c>
      <c r="Z86" s="129" t="str">
        <f t="shared" si="47"/>
        <v/>
      </c>
      <c r="AA86" s="130"/>
      <c r="AB86" s="130" t="str">
        <f t="shared" si="48"/>
        <v>Unassigned</v>
      </c>
      <c r="AC86" s="131" t="str">
        <f t="shared" si="62"/>
        <v/>
      </c>
      <c r="AD86" s="131" t="str">
        <f t="shared" si="63"/>
        <v/>
      </c>
      <c r="AE86" s="132">
        <f t="shared" si="49"/>
        <v>0</v>
      </c>
      <c r="AF86" s="133" t="str">
        <f t="shared" si="64"/>
        <v/>
      </c>
      <c r="AG86" s="134">
        <f t="shared" si="50"/>
        <v>0</v>
      </c>
      <c r="AH86" s="54" t="str">
        <f t="shared" si="51"/>
        <v/>
      </c>
      <c r="AI86" s="54" t="str">
        <f t="shared" si="66"/>
        <v/>
      </c>
      <c r="AJ86" s="54" t="str">
        <f t="shared" si="66"/>
        <v/>
      </c>
      <c r="AK86" s="54" t="str">
        <f t="shared" si="66"/>
        <v/>
      </c>
      <c r="AL86" s="54" t="str">
        <f t="shared" si="66"/>
        <v/>
      </c>
      <c r="AM86" s="54" t="str">
        <f t="shared" si="66"/>
        <v/>
      </c>
      <c r="AN86" s="54" t="str">
        <f t="shared" si="66"/>
        <v/>
      </c>
      <c r="AO86" s="54" t="str">
        <f t="shared" si="66"/>
        <v/>
      </c>
      <c r="AP86" s="54" t="str">
        <f t="shared" si="66"/>
        <v/>
      </c>
      <c r="AQ86" s="54" t="str">
        <f t="shared" si="66"/>
        <v/>
      </c>
      <c r="AR86" s="54" t="str">
        <f t="shared" si="66"/>
        <v/>
      </c>
      <c r="AS86" s="54" t="str">
        <f t="shared" si="66"/>
        <v/>
      </c>
      <c r="AT86" s="54" t="str">
        <f t="shared" si="66"/>
        <v/>
      </c>
      <c r="AU86" s="54" t="str">
        <f t="shared" si="66"/>
        <v/>
      </c>
      <c r="AV86" s="54" t="str">
        <f t="shared" si="66"/>
        <v/>
      </c>
      <c r="AW86" s="54" t="str">
        <f t="shared" si="66"/>
        <v/>
      </c>
      <c r="AX86" s="54" t="str">
        <f t="shared" si="66"/>
        <v/>
      </c>
      <c r="AY86" s="54" t="str">
        <f t="shared" si="53"/>
        <v/>
      </c>
      <c r="AZ86" s="54" t="str">
        <f t="shared" si="54"/>
        <v/>
      </c>
      <c r="BA86" s="54" t="str">
        <f t="shared" si="55"/>
        <v/>
      </c>
      <c r="BB86" s="135" t="str">
        <f t="shared" si="56"/>
        <v/>
      </c>
      <c r="BC86" s="54" t="str">
        <f t="shared" si="67"/>
        <v/>
      </c>
      <c r="BD86" s="54" t="str">
        <f t="shared" si="67"/>
        <v/>
      </c>
      <c r="BE86" s="54" t="str">
        <f t="shared" si="67"/>
        <v/>
      </c>
      <c r="BF86" s="54" t="str">
        <f t="shared" si="57"/>
        <v/>
      </c>
      <c r="BG86" s="54" t="str">
        <f t="shared" si="58"/>
        <v/>
      </c>
      <c r="BH86" s="34" t="str">
        <f t="shared" si="59"/>
        <v>Bad</v>
      </c>
      <c r="BI86" s="34" t="str">
        <f t="shared" si="60"/>
        <v>No</v>
      </c>
      <c r="BJ86" s="136" t="str">
        <f>IF($D86&lt;&gt;"Feature",".",
IF(VLOOKUP($B86,Feature_List!$A:$AM,MATCH(BJ$1,  Feature_List!$A$1:$AM$1,0),0)=B86,".","NO"))</f>
        <v>.</v>
      </c>
      <c r="BK86" s="136"/>
      <c r="BL86" s="136"/>
      <c r="BM86" s="136" t="str">
        <f>IF($D86&lt;&gt;"Feature",".",
IF(VLOOKUP($B86,Feature_List!$A:$AM,MATCH(BM$1,  Feature_List!$A$1:$AM$1,0),0)=E86,".","NO"))</f>
        <v>.</v>
      </c>
      <c r="BN86" s="136" t="str">
        <f>IF($D86&lt;&gt;"Feature",".",
IF(VLOOKUP($B86,Feature_List!$A:$AM,MATCH(BN$1,  Feature_List!$A$1:$AM$1,0),0)=F86,".","NO"))</f>
        <v>.</v>
      </c>
      <c r="BO86" s="136" t="str">
        <f>IF($D86&lt;&gt;"Feature",".",
IF(VLOOKUP($B86,Feature_List!$A:$AM,MATCH(BO$1,  Feature_List!$A$1:$AM$1,0),0)=G86,".","NO"))</f>
        <v>.</v>
      </c>
      <c r="BP86" s="136" t="str">
        <f>IF($D86&lt;&gt;"Feature",".",
IF(VLOOKUP($B86,Feature_List!$A:$AM,MATCH(BP$1,  Feature_List!$A$1:$AM$1,0),0)=H86,".","NO"))</f>
        <v>.</v>
      </c>
      <c r="BQ86" s="136"/>
      <c r="BR86" s="136" t="str">
        <f>IF($D86&lt;&gt;"Feature",".",
IF(VLOOKUP($B86,Feature_List!$A:$AM,MATCH(BR$1,  Feature_List!$A$1:$AM$1,0),0)=J86,".","NO"))</f>
        <v>.</v>
      </c>
      <c r="BS86" s="136"/>
      <c r="BT86" s="136"/>
      <c r="BU86" s="136" t="str">
        <f>IF($D86&lt;&gt;"Feature",".",
IF(VLOOKUP($B86,Feature_List!$A:$AM,MATCH(BU$1,  Feature_List!$A$1:$AM$1,0),0)=M86,".","NO"))</f>
        <v>.</v>
      </c>
      <c r="BV86" s="136" t="str">
        <f>IF($D86&lt;&gt;"Feature",".",
IF(VLOOKUP($B86,Feature_List!$A:$AM,MATCH(BV$1,  Feature_List!$A$1:$AM$1,0),0)=N86,".","NO"))</f>
        <v>.</v>
      </c>
      <c r="BW86" s="136"/>
      <c r="BX86" s="136"/>
      <c r="BY86" s="136"/>
      <c r="BZ86" s="136"/>
      <c r="CA86" s="136"/>
      <c r="CB86" s="136" t="str">
        <f>IF($D86&lt;&gt;"Feature",".",
IF(VLOOKUP($B86,Feature_List!$A:$AM,MATCH(CB$1,  Feature_List!$A$1:$AM$1,0),0)=T86,".","NO"))</f>
        <v>.</v>
      </c>
      <c r="CC86" s="136"/>
      <c r="CD86" s="136"/>
      <c r="CE86" s="136"/>
      <c r="CF86" s="136"/>
      <c r="CG86" s="136"/>
      <c r="CH86" s="136"/>
      <c r="CI86" s="136"/>
      <c r="CJ86" s="136"/>
      <c r="CK86" s="136"/>
      <c r="CL86" s="136"/>
      <c r="CM86" s="136"/>
      <c r="CN86" s="136"/>
      <c r="CO86" s="136" t="str">
        <f>IF($D86&lt;&gt;"Feature",".",
IF(VLOOKUP($B86,Feature_List!$A:$AM,MATCH(CO$1,  Feature_List!$A$1:$AM$1,0),0)=AG86,".","NO"))</f>
        <v>.</v>
      </c>
      <c r="CP86" s="136" t="str">
        <f>IF($D86&lt;&gt;"Feature",".",
IF(VLOOKUP($B86,Feature_List!$A:$AM,MATCH(CP$1,  Feature_List!$A$1:$AM$1,0),0)=AH86,".","NO"))</f>
        <v>.</v>
      </c>
      <c r="CQ86" s="136" t="str">
        <f>IF($D86&lt;&gt;"Feature",".",
IF(VLOOKUP($B86,Feature_List!$A:$AM,MATCH(CQ$1,  Feature_List!$A$1:$AM$1,0),0)=AI86,".","NO"))</f>
        <v>.</v>
      </c>
      <c r="CR86" s="136" t="str">
        <f>IF($D86&lt;&gt;"Feature",".",
IF(VLOOKUP($B86,Feature_List!$A:$AM,MATCH(CR$1,  Feature_List!$A$1:$AM$1,0),0)=AJ86,".","NO"))</f>
        <v>.</v>
      </c>
      <c r="CS86" s="136" t="str">
        <f>IF($D86&lt;&gt;"Feature",".",
IF(VLOOKUP($B86,Feature_List!$A:$AM,MATCH(CS$1,  Feature_List!$A$1:$AM$1,0),0)=AK86,".","NO"))</f>
        <v>.</v>
      </c>
      <c r="CT86" s="136" t="str">
        <f>IF($D86&lt;&gt;"Feature",".",
IF(VLOOKUP($B86,Feature_List!$A:$AM,MATCH(CT$1,  Feature_List!$A$1:$AM$1,0),0)=AL86,".","NO"))</f>
        <v>.</v>
      </c>
      <c r="CU86" s="136" t="str">
        <f>IF($D86&lt;&gt;"Feature",".",
IF(VLOOKUP($B86,Feature_List!$A:$AM,MATCH(CU$1,  Feature_List!$A$1:$AM$1,0),0)=AM86,".","NO"))</f>
        <v>.</v>
      </c>
      <c r="CV86" s="136" t="str">
        <f>IF($D86&lt;&gt;"Feature",".",
IF(VLOOKUP($B86,Feature_List!$A:$AM,MATCH(CV$1,  Feature_List!$A$1:$AM$1,0),0)=AN86,".","NO"))</f>
        <v>.</v>
      </c>
      <c r="CW86" s="136" t="str">
        <f>IF($D86&lt;&gt;"Feature",".",
IF(VLOOKUP($B86,Feature_List!$A:$AM,MATCH(CW$1,  Feature_List!$A$1:$AM$1,0),0)=AO86,".","NO"))</f>
        <v>.</v>
      </c>
      <c r="CX86" s="136" t="str">
        <f>IF($D86&lt;&gt;"Feature",".",
IF(VLOOKUP($B86,Feature_List!$A:$AM,MATCH(CX$1,  Feature_List!$A$1:$AM$1,0),0)=AP86,".","NO"))</f>
        <v>.</v>
      </c>
      <c r="CY86" s="136" t="str">
        <f>IF($D86&lt;&gt;"Feature",".",
IF(VLOOKUP($B86,Feature_List!$A:$AM,MATCH(CY$1,  Feature_List!$A$1:$AM$1,0),0)=AQ86,".","NO"))</f>
        <v>.</v>
      </c>
      <c r="CZ86" s="136" t="str">
        <f>IF($D86&lt;&gt;"Feature",".",
IF(VLOOKUP($B86,Feature_List!$A:$AM,MATCH(CZ$1,  Feature_List!$A$1:$AM$1,0),0)=AR86,".","NO"))</f>
        <v>.</v>
      </c>
      <c r="DA86" s="136" t="str">
        <f>IF($D86&lt;&gt;"Feature",".",
IF(VLOOKUP($B86,Feature_List!$A:$AM,MATCH(DA$1,  Feature_List!$A$1:$AM$1,0),0)=AS86,".","NO"))</f>
        <v>.</v>
      </c>
      <c r="DB86" s="136" t="str">
        <f>IF($D86&lt;&gt;"Feature",".",
IF(VLOOKUP($B86,Feature_List!$A:$AM,MATCH(DB$1,  Feature_List!$A$1:$AM$1,0),0)=AT86,".","NO"))</f>
        <v>.</v>
      </c>
      <c r="DC86" s="136" t="str">
        <f>IF($D86&lt;&gt;"Feature",".",
IF(VLOOKUP($B86,Feature_List!$A:$AM,MATCH(DC$1,  Feature_List!$A$1:$AM$1,0),0)=AU86,".","NO"))</f>
        <v>.</v>
      </c>
      <c r="DD86" s="136" t="str">
        <f>IF($D86&lt;&gt;"Feature",".",
IF(VLOOKUP($B86,Feature_List!$A:$AM,MATCH(DD$1,  Feature_List!$A$1:$AM$1,0),0)=AV86,".","NO"))</f>
        <v>.</v>
      </c>
      <c r="DE86" s="136" t="str">
        <f>IF($D86&lt;&gt;"Feature",".",
IF(VLOOKUP($B86,Feature_List!$A:$AM,MATCH(DE$1,  Feature_List!$A$1:$AM$1,0),0)=AW86,".","NO"))</f>
        <v>.</v>
      </c>
      <c r="DF86" s="136" t="str">
        <f>IF($D86&lt;&gt;"Feature",".",
IF(VLOOKUP($B86,Feature_List!$A:$AM,MATCH(DF$1,  Feature_List!$A$1:$AM$1,0),0)=AX86,".","NO"))</f>
        <v>.</v>
      </c>
      <c r="DG86" s="136" t="str">
        <f>IF($D86&lt;&gt;"Feature",".",
IF(VLOOKUP($B86,Feature_List!$A:$AM,MATCH(DG$1,  Feature_List!$A$1:$AM$1,0),0)=AY86,".","NO"))</f>
        <v>.</v>
      </c>
      <c r="DH86" s="136" t="str">
        <f>IF($D86&lt;&gt;"Feature",".",
IF(VLOOKUP($B86,Feature_List!$A:$AM,MATCH(DH$1,  Feature_List!$A$1:$AM$1,0),0)=AZ86,".","NO"))</f>
        <v>.</v>
      </c>
      <c r="DI86" s="136" t="str">
        <f>IF($D86&lt;&gt;"Feature",".",
IF(VLOOKUP($B86,Feature_List!$A:$AM,MATCH(DI$1,  Feature_List!$A$1:$AM$1,0),0)=BA86,".","NO"))</f>
        <v>.</v>
      </c>
      <c r="DJ86" s="136" t="str">
        <f>IF($D86&lt;&gt;"Feature",".",
IF(VLOOKUP($B86,Feature_List!$A:$AM,MATCH(DJ$1,  Feature_List!$A$1:$AM$1,0),0)=BB86,".","NO"))</f>
        <v>.</v>
      </c>
      <c r="DK86" s="136"/>
      <c r="DL86" s="136"/>
      <c r="DM86" s="136"/>
      <c r="DN86" s="136" t="str">
        <f>IF($D86&lt;&gt;"Feature",".",
IF(VLOOKUP($B86,Feature_List!$A:$AM,MATCH(DN$1,  Feature_List!$A$1:$AM$1,0),0)=BC86,".","NO"))</f>
        <v>.</v>
      </c>
      <c r="DO86" s="136" t="str">
        <f>IF($D86&lt;&gt;"Feature",".",
IF(VLOOKUP($B86,Feature_List!$A:$AM,MATCH(DO$1,  Feature_List!$A$1:$AM$1,0),0)=BD86,".","NO"))</f>
        <v>.</v>
      </c>
    </row>
    <row r="87" spans="2:119" x14ac:dyDescent="0.3">
      <c r="B87" s="121"/>
      <c r="C87" s="122"/>
      <c r="D87" s="122"/>
      <c r="E87" s="122"/>
      <c r="F87" s="138"/>
      <c r="G87" s="123"/>
      <c r="H87" s="122"/>
      <c r="I87" s="124"/>
      <c r="J87" s="138"/>
      <c r="K87" s="123"/>
      <c r="L87" s="122"/>
      <c r="M87" s="122"/>
      <c r="N87" s="125"/>
      <c r="O87" s="123">
        <f t="shared" si="38"/>
        <v>0</v>
      </c>
      <c r="P87" s="123">
        <f t="shared" si="39"/>
        <v>0</v>
      </c>
      <c r="Q87" s="122" t="str">
        <f t="shared" si="61"/>
        <v>ZeroEntry</v>
      </c>
      <c r="R87" s="126" t="str">
        <f t="shared" si="40"/>
        <v>ZeroEntry</v>
      </c>
      <c r="S87" s="127" t="str">
        <f t="shared" si="41"/>
        <v>ZeroEntry</v>
      </c>
      <c r="T87" s="128" t="str">
        <f>IF($Q87="ZeroEntry", "",VLOOKUP($I87,'Ranking Lookup'!#REF!,2,FALSE))</f>
        <v/>
      </c>
      <c r="U87" s="129" t="str">
        <f t="shared" si="42"/>
        <v/>
      </c>
      <c r="V87" s="129" t="str">
        <f t="shared" si="43"/>
        <v/>
      </c>
      <c r="W87" s="129" t="str">
        <f t="shared" si="44"/>
        <v/>
      </c>
      <c r="X87" s="129" t="str">
        <f t="shared" si="45"/>
        <v/>
      </c>
      <c r="Y87" s="129" t="str">
        <f t="shared" si="46"/>
        <v/>
      </c>
      <c r="Z87" s="129" t="str">
        <f t="shared" si="47"/>
        <v/>
      </c>
      <c r="AA87" s="130"/>
      <c r="AB87" s="130" t="str">
        <f t="shared" si="48"/>
        <v>Unassigned</v>
      </c>
      <c r="AC87" s="131" t="str">
        <f t="shared" si="62"/>
        <v/>
      </c>
      <c r="AD87" s="131" t="str">
        <f t="shared" si="63"/>
        <v/>
      </c>
      <c r="AE87" s="132">
        <f t="shared" si="49"/>
        <v>0</v>
      </c>
      <c r="AF87" s="133" t="str">
        <f t="shared" si="64"/>
        <v/>
      </c>
      <c r="AG87" s="134">
        <f t="shared" si="50"/>
        <v>0</v>
      </c>
      <c r="AH87" s="54" t="str">
        <f t="shared" si="51"/>
        <v/>
      </c>
      <c r="AI87" s="54" t="str">
        <f t="shared" si="66"/>
        <v/>
      </c>
      <c r="AJ87" s="54" t="str">
        <f t="shared" si="66"/>
        <v/>
      </c>
      <c r="AK87" s="54" t="str">
        <f t="shared" si="66"/>
        <v/>
      </c>
      <c r="AL87" s="54" t="str">
        <f t="shared" si="66"/>
        <v/>
      </c>
      <c r="AM87" s="54" t="str">
        <f t="shared" si="66"/>
        <v/>
      </c>
      <c r="AN87" s="54" t="str">
        <f t="shared" si="66"/>
        <v/>
      </c>
      <c r="AO87" s="54" t="str">
        <f t="shared" si="66"/>
        <v/>
      </c>
      <c r="AP87" s="54" t="str">
        <f t="shared" si="66"/>
        <v/>
      </c>
      <c r="AQ87" s="54" t="str">
        <f t="shared" si="66"/>
        <v/>
      </c>
      <c r="AR87" s="54" t="str">
        <f t="shared" si="66"/>
        <v/>
      </c>
      <c r="AS87" s="54" t="str">
        <f t="shared" si="66"/>
        <v/>
      </c>
      <c r="AT87" s="54" t="str">
        <f t="shared" si="66"/>
        <v/>
      </c>
      <c r="AU87" s="54" t="str">
        <f t="shared" si="66"/>
        <v/>
      </c>
      <c r="AV87" s="54" t="str">
        <f t="shared" si="66"/>
        <v/>
      </c>
      <c r="AW87" s="54" t="str">
        <f t="shared" si="66"/>
        <v/>
      </c>
      <c r="AX87" s="54" t="str">
        <f t="shared" si="66"/>
        <v/>
      </c>
      <c r="AY87" s="54" t="str">
        <f t="shared" si="53"/>
        <v/>
      </c>
      <c r="AZ87" s="54" t="str">
        <f t="shared" si="54"/>
        <v/>
      </c>
      <c r="BA87" s="54" t="str">
        <f t="shared" si="55"/>
        <v/>
      </c>
      <c r="BB87" s="135" t="str">
        <f t="shared" si="56"/>
        <v/>
      </c>
      <c r="BC87" s="54" t="str">
        <f t="shared" si="67"/>
        <v/>
      </c>
      <c r="BD87" s="54" t="str">
        <f t="shared" si="67"/>
        <v/>
      </c>
      <c r="BE87" s="54" t="str">
        <f t="shared" si="67"/>
        <v/>
      </c>
      <c r="BF87" s="54" t="str">
        <f t="shared" si="57"/>
        <v/>
      </c>
      <c r="BG87" s="54" t="str">
        <f t="shared" si="58"/>
        <v/>
      </c>
      <c r="BH87" s="34" t="str">
        <f t="shared" si="59"/>
        <v>Bad</v>
      </c>
      <c r="BI87" s="34" t="str">
        <f t="shared" si="60"/>
        <v>No</v>
      </c>
      <c r="BJ87" s="136" t="str">
        <f>IF($D87&lt;&gt;"Feature",".",
IF(VLOOKUP($B87,Feature_List!$A:$AM,MATCH(BJ$1,  Feature_List!$A$1:$AM$1,0),0)=B87,".","NO"))</f>
        <v>.</v>
      </c>
      <c r="BK87" s="136"/>
      <c r="BL87" s="136"/>
      <c r="BM87" s="136" t="str">
        <f>IF($D87&lt;&gt;"Feature",".",
IF(VLOOKUP($B87,Feature_List!$A:$AM,MATCH(BM$1,  Feature_List!$A$1:$AM$1,0),0)=E87,".","NO"))</f>
        <v>.</v>
      </c>
      <c r="BN87" s="136" t="str">
        <f>IF($D87&lt;&gt;"Feature",".",
IF(VLOOKUP($B87,Feature_List!$A:$AM,MATCH(BN$1,  Feature_List!$A$1:$AM$1,0),0)=F87,".","NO"))</f>
        <v>.</v>
      </c>
      <c r="BO87" s="136" t="str">
        <f>IF($D87&lt;&gt;"Feature",".",
IF(VLOOKUP($B87,Feature_List!$A:$AM,MATCH(BO$1,  Feature_List!$A$1:$AM$1,0),0)=G87,".","NO"))</f>
        <v>.</v>
      </c>
      <c r="BP87" s="136" t="str">
        <f>IF($D87&lt;&gt;"Feature",".",
IF(VLOOKUP($B87,Feature_List!$A:$AM,MATCH(BP$1,  Feature_List!$A$1:$AM$1,0),0)=H87,".","NO"))</f>
        <v>.</v>
      </c>
      <c r="BQ87" s="136"/>
      <c r="BR87" s="136" t="str">
        <f>IF($D87&lt;&gt;"Feature",".",
IF(VLOOKUP($B87,Feature_List!$A:$AM,MATCH(BR$1,  Feature_List!$A$1:$AM$1,0),0)=J87,".","NO"))</f>
        <v>.</v>
      </c>
      <c r="BS87" s="136"/>
      <c r="BT87" s="136"/>
      <c r="BU87" s="136" t="str">
        <f>IF($D87&lt;&gt;"Feature",".",
IF(VLOOKUP($B87,Feature_List!$A:$AM,MATCH(BU$1,  Feature_List!$A$1:$AM$1,0),0)=M87,".","NO"))</f>
        <v>.</v>
      </c>
      <c r="BV87" s="136" t="str">
        <f>IF($D87&lt;&gt;"Feature",".",
IF(VLOOKUP($B87,Feature_List!$A:$AM,MATCH(BV$1,  Feature_List!$A$1:$AM$1,0),0)=N87,".","NO"))</f>
        <v>.</v>
      </c>
      <c r="BW87" s="136"/>
      <c r="BX87" s="136"/>
      <c r="BY87" s="136"/>
      <c r="BZ87" s="136"/>
      <c r="CA87" s="136"/>
      <c r="CB87" s="136" t="str">
        <f>IF($D87&lt;&gt;"Feature",".",
IF(VLOOKUP($B87,Feature_List!$A:$AM,MATCH(CB$1,  Feature_List!$A$1:$AM$1,0),0)=T87,".","NO"))</f>
        <v>.</v>
      </c>
      <c r="CC87" s="136"/>
      <c r="CD87" s="136"/>
      <c r="CE87" s="136"/>
      <c r="CF87" s="136"/>
      <c r="CG87" s="136"/>
      <c r="CH87" s="136"/>
      <c r="CI87" s="136"/>
      <c r="CJ87" s="136"/>
      <c r="CK87" s="136"/>
      <c r="CL87" s="136"/>
      <c r="CM87" s="136"/>
      <c r="CN87" s="136"/>
      <c r="CO87" s="136" t="str">
        <f>IF($D87&lt;&gt;"Feature",".",
IF(VLOOKUP($B87,Feature_List!$A:$AM,MATCH(CO$1,  Feature_List!$A$1:$AM$1,0),0)=AG87,".","NO"))</f>
        <v>.</v>
      </c>
      <c r="CP87" s="136" t="str">
        <f>IF($D87&lt;&gt;"Feature",".",
IF(VLOOKUP($B87,Feature_List!$A:$AM,MATCH(CP$1,  Feature_List!$A$1:$AM$1,0),0)=AH87,".","NO"))</f>
        <v>.</v>
      </c>
      <c r="CQ87" s="136" t="str">
        <f>IF($D87&lt;&gt;"Feature",".",
IF(VLOOKUP($B87,Feature_List!$A:$AM,MATCH(CQ$1,  Feature_List!$A$1:$AM$1,0),0)=AI87,".","NO"))</f>
        <v>.</v>
      </c>
      <c r="CR87" s="136" t="str">
        <f>IF($D87&lt;&gt;"Feature",".",
IF(VLOOKUP($B87,Feature_List!$A:$AM,MATCH(CR$1,  Feature_List!$A$1:$AM$1,0),0)=AJ87,".","NO"))</f>
        <v>.</v>
      </c>
      <c r="CS87" s="136" t="str">
        <f>IF($D87&lt;&gt;"Feature",".",
IF(VLOOKUP($B87,Feature_List!$A:$AM,MATCH(CS$1,  Feature_List!$A$1:$AM$1,0),0)=AK87,".","NO"))</f>
        <v>.</v>
      </c>
      <c r="CT87" s="136" t="str">
        <f>IF($D87&lt;&gt;"Feature",".",
IF(VLOOKUP($B87,Feature_List!$A:$AM,MATCH(CT$1,  Feature_List!$A$1:$AM$1,0),0)=AL87,".","NO"))</f>
        <v>.</v>
      </c>
      <c r="CU87" s="136" t="str">
        <f>IF($D87&lt;&gt;"Feature",".",
IF(VLOOKUP($B87,Feature_List!$A:$AM,MATCH(CU$1,  Feature_List!$A$1:$AM$1,0),0)=AM87,".","NO"))</f>
        <v>.</v>
      </c>
      <c r="CV87" s="136" t="str">
        <f>IF($D87&lt;&gt;"Feature",".",
IF(VLOOKUP($B87,Feature_List!$A:$AM,MATCH(CV$1,  Feature_List!$A$1:$AM$1,0),0)=AN87,".","NO"))</f>
        <v>.</v>
      </c>
      <c r="CW87" s="136" t="str">
        <f>IF($D87&lt;&gt;"Feature",".",
IF(VLOOKUP($B87,Feature_List!$A:$AM,MATCH(CW$1,  Feature_List!$A$1:$AM$1,0),0)=AO87,".","NO"))</f>
        <v>.</v>
      </c>
      <c r="CX87" s="136" t="str">
        <f>IF($D87&lt;&gt;"Feature",".",
IF(VLOOKUP($B87,Feature_List!$A:$AM,MATCH(CX$1,  Feature_List!$A$1:$AM$1,0),0)=AP87,".","NO"))</f>
        <v>.</v>
      </c>
      <c r="CY87" s="136" t="str">
        <f>IF($D87&lt;&gt;"Feature",".",
IF(VLOOKUP($B87,Feature_List!$A:$AM,MATCH(CY$1,  Feature_List!$A$1:$AM$1,0),0)=AQ87,".","NO"))</f>
        <v>.</v>
      </c>
      <c r="CZ87" s="136" t="str">
        <f>IF($D87&lt;&gt;"Feature",".",
IF(VLOOKUP($B87,Feature_List!$A:$AM,MATCH(CZ$1,  Feature_List!$A$1:$AM$1,0),0)=AR87,".","NO"))</f>
        <v>.</v>
      </c>
      <c r="DA87" s="136" t="str">
        <f>IF($D87&lt;&gt;"Feature",".",
IF(VLOOKUP($B87,Feature_List!$A:$AM,MATCH(DA$1,  Feature_List!$A$1:$AM$1,0),0)=AS87,".","NO"))</f>
        <v>.</v>
      </c>
      <c r="DB87" s="136" t="str">
        <f>IF($D87&lt;&gt;"Feature",".",
IF(VLOOKUP($B87,Feature_List!$A:$AM,MATCH(DB$1,  Feature_List!$A$1:$AM$1,0),0)=AT87,".","NO"))</f>
        <v>.</v>
      </c>
      <c r="DC87" s="136" t="str">
        <f>IF($D87&lt;&gt;"Feature",".",
IF(VLOOKUP($B87,Feature_List!$A:$AM,MATCH(DC$1,  Feature_List!$A$1:$AM$1,0),0)=AU87,".","NO"))</f>
        <v>.</v>
      </c>
      <c r="DD87" s="136" t="str">
        <f>IF($D87&lt;&gt;"Feature",".",
IF(VLOOKUP($B87,Feature_List!$A:$AM,MATCH(DD$1,  Feature_List!$A$1:$AM$1,0),0)=AV87,".","NO"))</f>
        <v>.</v>
      </c>
      <c r="DE87" s="136" t="str">
        <f>IF($D87&lt;&gt;"Feature",".",
IF(VLOOKUP($B87,Feature_List!$A:$AM,MATCH(DE$1,  Feature_List!$A$1:$AM$1,0),0)=AW87,".","NO"))</f>
        <v>.</v>
      </c>
      <c r="DF87" s="136" t="str">
        <f>IF($D87&lt;&gt;"Feature",".",
IF(VLOOKUP($B87,Feature_List!$A:$AM,MATCH(DF$1,  Feature_List!$A$1:$AM$1,0),0)=AX87,".","NO"))</f>
        <v>.</v>
      </c>
      <c r="DG87" s="136" t="str">
        <f>IF($D87&lt;&gt;"Feature",".",
IF(VLOOKUP($B87,Feature_List!$A:$AM,MATCH(DG$1,  Feature_List!$A$1:$AM$1,0),0)=AY87,".","NO"))</f>
        <v>.</v>
      </c>
      <c r="DH87" s="136" t="str">
        <f>IF($D87&lt;&gt;"Feature",".",
IF(VLOOKUP($B87,Feature_List!$A:$AM,MATCH(DH$1,  Feature_List!$A$1:$AM$1,0),0)=AZ87,".","NO"))</f>
        <v>.</v>
      </c>
      <c r="DI87" s="136" t="str">
        <f>IF($D87&lt;&gt;"Feature",".",
IF(VLOOKUP($B87,Feature_List!$A:$AM,MATCH(DI$1,  Feature_List!$A$1:$AM$1,0),0)=BA87,".","NO"))</f>
        <v>.</v>
      </c>
      <c r="DJ87" s="136" t="str">
        <f>IF($D87&lt;&gt;"Feature",".",
IF(VLOOKUP($B87,Feature_List!$A:$AM,MATCH(DJ$1,  Feature_List!$A$1:$AM$1,0),0)=BB87,".","NO"))</f>
        <v>.</v>
      </c>
      <c r="DK87" s="136"/>
      <c r="DL87" s="136"/>
      <c r="DM87" s="136"/>
      <c r="DN87" s="136" t="str">
        <f>IF($D87&lt;&gt;"Feature",".",
IF(VLOOKUP($B87,Feature_List!$A:$AM,MATCH(DN$1,  Feature_List!$A$1:$AM$1,0),0)=BC87,".","NO"))</f>
        <v>.</v>
      </c>
      <c r="DO87" s="136" t="str">
        <f>IF($D87&lt;&gt;"Feature",".",
IF(VLOOKUP($B87,Feature_List!$A:$AM,MATCH(DO$1,  Feature_List!$A$1:$AM$1,0),0)=BD87,".","NO"))</f>
        <v>.</v>
      </c>
    </row>
    <row r="88" spans="2:119" x14ac:dyDescent="0.3">
      <c r="B88" s="121"/>
      <c r="C88" s="122"/>
      <c r="D88" s="122"/>
      <c r="E88" s="122"/>
      <c r="F88" s="138"/>
      <c r="G88" s="123"/>
      <c r="H88" s="122"/>
      <c r="I88" s="124"/>
      <c r="J88" s="138"/>
      <c r="K88" s="123"/>
      <c r="L88" s="122"/>
      <c r="M88" s="122"/>
      <c r="N88" s="125"/>
      <c r="O88" s="123">
        <f t="shared" si="38"/>
        <v>0</v>
      </c>
      <c r="P88" s="123">
        <f t="shared" si="39"/>
        <v>0</v>
      </c>
      <c r="Q88" s="122" t="str">
        <f t="shared" si="61"/>
        <v>ZeroEntry</v>
      </c>
      <c r="R88" s="126" t="str">
        <f t="shared" si="40"/>
        <v>ZeroEntry</v>
      </c>
      <c r="S88" s="127" t="str">
        <f t="shared" si="41"/>
        <v>ZeroEntry</v>
      </c>
      <c r="T88" s="128" t="str">
        <f>IF($Q88="ZeroEntry", "",VLOOKUP($I88,'Ranking Lookup'!#REF!,2,FALSE))</f>
        <v/>
      </c>
      <c r="U88" s="129" t="str">
        <f t="shared" si="42"/>
        <v/>
      </c>
      <c r="V88" s="129" t="str">
        <f t="shared" si="43"/>
        <v/>
      </c>
      <c r="W88" s="129" t="str">
        <f t="shared" si="44"/>
        <v/>
      </c>
      <c r="X88" s="129" t="str">
        <f t="shared" si="45"/>
        <v/>
      </c>
      <c r="Y88" s="129" t="str">
        <f t="shared" si="46"/>
        <v/>
      </c>
      <c r="Z88" s="129" t="str">
        <f t="shared" si="47"/>
        <v/>
      </c>
      <c r="AA88" s="130"/>
      <c r="AB88" s="130" t="str">
        <f t="shared" si="48"/>
        <v>Unassigned</v>
      </c>
      <c r="AC88" s="131" t="str">
        <f t="shared" si="62"/>
        <v/>
      </c>
      <c r="AD88" s="131" t="str">
        <f t="shared" si="63"/>
        <v/>
      </c>
      <c r="AE88" s="132">
        <f t="shared" si="49"/>
        <v>0</v>
      </c>
      <c r="AF88" s="133" t="str">
        <f t="shared" si="64"/>
        <v/>
      </c>
      <c r="AG88" s="134">
        <f t="shared" si="50"/>
        <v>0</v>
      </c>
      <c r="AH88" s="54" t="str">
        <f t="shared" si="51"/>
        <v/>
      </c>
      <c r="AI88" s="54" t="str">
        <f t="shared" si="66"/>
        <v/>
      </c>
      <c r="AJ88" s="54" t="str">
        <f t="shared" si="66"/>
        <v/>
      </c>
      <c r="AK88" s="54" t="str">
        <f t="shared" si="66"/>
        <v/>
      </c>
      <c r="AL88" s="54" t="str">
        <f t="shared" si="66"/>
        <v/>
      </c>
      <c r="AM88" s="54" t="str">
        <f t="shared" si="66"/>
        <v/>
      </c>
      <c r="AN88" s="54" t="str">
        <f t="shared" si="66"/>
        <v/>
      </c>
      <c r="AO88" s="54" t="str">
        <f t="shared" si="66"/>
        <v/>
      </c>
      <c r="AP88" s="54" t="str">
        <f t="shared" si="66"/>
        <v/>
      </c>
      <c r="AQ88" s="54" t="str">
        <f t="shared" si="66"/>
        <v/>
      </c>
      <c r="AR88" s="54" t="str">
        <f t="shared" si="66"/>
        <v/>
      </c>
      <c r="AS88" s="54" t="str">
        <f t="shared" si="66"/>
        <v/>
      </c>
      <c r="AT88" s="54" t="str">
        <f t="shared" si="66"/>
        <v/>
      </c>
      <c r="AU88" s="54" t="str">
        <f t="shared" si="66"/>
        <v/>
      </c>
      <c r="AV88" s="54" t="str">
        <f t="shared" si="66"/>
        <v/>
      </c>
      <c r="AW88" s="54" t="str">
        <f t="shared" si="66"/>
        <v/>
      </c>
      <c r="AX88" s="54" t="str">
        <f t="shared" si="66"/>
        <v/>
      </c>
      <c r="AY88" s="54" t="str">
        <f t="shared" si="53"/>
        <v/>
      </c>
      <c r="AZ88" s="54" t="str">
        <f t="shared" si="54"/>
        <v/>
      </c>
      <c r="BA88" s="54" t="str">
        <f t="shared" si="55"/>
        <v/>
      </c>
      <c r="BB88" s="135" t="str">
        <f t="shared" si="56"/>
        <v/>
      </c>
      <c r="BC88" s="54" t="str">
        <f t="shared" si="67"/>
        <v/>
      </c>
      <c r="BD88" s="54" t="str">
        <f t="shared" si="67"/>
        <v/>
      </c>
      <c r="BE88" s="54" t="str">
        <f t="shared" si="67"/>
        <v/>
      </c>
      <c r="BF88" s="54" t="str">
        <f t="shared" si="57"/>
        <v/>
      </c>
      <c r="BG88" s="54" t="str">
        <f t="shared" si="58"/>
        <v/>
      </c>
      <c r="BH88" s="34" t="str">
        <f t="shared" si="59"/>
        <v>Bad</v>
      </c>
      <c r="BI88" s="34" t="str">
        <f t="shared" si="60"/>
        <v>No</v>
      </c>
      <c r="BJ88" s="136" t="str">
        <f>IF($D88&lt;&gt;"Feature",".",
IF(VLOOKUP($B88,Feature_List!$A:$AM,MATCH(BJ$1,  Feature_List!$A$1:$AM$1,0),0)=B88,".","NO"))</f>
        <v>.</v>
      </c>
      <c r="BK88" s="136"/>
      <c r="BL88" s="136"/>
      <c r="BM88" s="136" t="str">
        <f>IF($D88&lt;&gt;"Feature",".",
IF(VLOOKUP($B88,Feature_List!$A:$AM,MATCH(BM$1,  Feature_List!$A$1:$AM$1,0),0)=E88,".","NO"))</f>
        <v>.</v>
      </c>
      <c r="BN88" s="136" t="str">
        <f>IF($D88&lt;&gt;"Feature",".",
IF(VLOOKUP($B88,Feature_List!$A:$AM,MATCH(BN$1,  Feature_List!$A$1:$AM$1,0),0)=F88,".","NO"))</f>
        <v>.</v>
      </c>
      <c r="BO88" s="136" t="str">
        <f>IF($D88&lt;&gt;"Feature",".",
IF(VLOOKUP($B88,Feature_List!$A:$AM,MATCH(BO$1,  Feature_List!$A$1:$AM$1,0),0)=G88,".","NO"))</f>
        <v>.</v>
      </c>
      <c r="BP88" s="136" t="str">
        <f>IF($D88&lt;&gt;"Feature",".",
IF(VLOOKUP($B88,Feature_List!$A:$AM,MATCH(BP$1,  Feature_List!$A$1:$AM$1,0),0)=H88,".","NO"))</f>
        <v>.</v>
      </c>
      <c r="BQ88" s="136"/>
      <c r="BR88" s="136" t="str">
        <f>IF($D88&lt;&gt;"Feature",".",
IF(VLOOKUP($B88,Feature_List!$A:$AM,MATCH(BR$1,  Feature_List!$A$1:$AM$1,0),0)=J88,".","NO"))</f>
        <v>.</v>
      </c>
      <c r="BS88" s="136"/>
      <c r="BT88" s="136"/>
      <c r="BU88" s="136" t="str">
        <f>IF($D88&lt;&gt;"Feature",".",
IF(VLOOKUP($B88,Feature_List!$A:$AM,MATCH(BU$1,  Feature_List!$A$1:$AM$1,0),0)=M88,".","NO"))</f>
        <v>.</v>
      </c>
      <c r="BV88" s="136" t="str">
        <f>IF($D88&lt;&gt;"Feature",".",
IF(VLOOKUP($B88,Feature_List!$A:$AM,MATCH(BV$1,  Feature_List!$A$1:$AM$1,0),0)=N88,".","NO"))</f>
        <v>.</v>
      </c>
      <c r="BW88" s="136"/>
      <c r="BX88" s="136"/>
      <c r="BY88" s="136"/>
      <c r="BZ88" s="136"/>
      <c r="CA88" s="136"/>
      <c r="CB88" s="136" t="str">
        <f>IF($D88&lt;&gt;"Feature",".",
IF(VLOOKUP($B88,Feature_List!$A:$AM,MATCH(CB$1,  Feature_List!$A$1:$AM$1,0),0)=T88,".","NO"))</f>
        <v>.</v>
      </c>
      <c r="CC88" s="136"/>
      <c r="CD88" s="136"/>
      <c r="CE88" s="136"/>
      <c r="CF88" s="136"/>
      <c r="CG88" s="136"/>
      <c r="CH88" s="136"/>
      <c r="CI88" s="136"/>
      <c r="CJ88" s="136"/>
      <c r="CK88" s="136"/>
      <c r="CL88" s="136"/>
      <c r="CM88" s="136"/>
      <c r="CN88" s="136"/>
      <c r="CO88" s="136" t="str">
        <f>IF($D88&lt;&gt;"Feature",".",
IF(VLOOKUP($B88,Feature_List!$A:$AM,MATCH(CO$1,  Feature_List!$A$1:$AM$1,0),0)=AG88,".","NO"))</f>
        <v>.</v>
      </c>
      <c r="CP88" s="136" t="str">
        <f>IF($D88&lt;&gt;"Feature",".",
IF(VLOOKUP($B88,Feature_List!$A:$AM,MATCH(CP$1,  Feature_List!$A$1:$AM$1,0),0)=AH88,".","NO"))</f>
        <v>.</v>
      </c>
      <c r="CQ88" s="136" t="str">
        <f>IF($D88&lt;&gt;"Feature",".",
IF(VLOOKUP($B88,Feature_List!$A:$AM,MATCH(CQ$1,  Feature_List!$A$1:$AM$1,0),0)=AI88,".","NO"))</f>
        <v>.</v>
      </c>
      <c r="CR88" s="136" t="str">
        <f>IF($D88&lt;&gt;"Feature",".",
IF(VLOOKUP($B88,Feature_List!$A:$AM,MATCH(CR$1,  Feature_List!$A$1:$AM$1,0),0)=AJ88,".","NO"))</f>
        <v>.</v>
      </c>
      <c r="CS88" s="136" t="str">
        <f>IF($D88&lt;&gt;"Feature",".",
IF(VLOOKUP($B88,Feature_List!$A:$AM,MATCH(CS$1,  Feature_List!$A$1:$AM$1,0),0)=AK88,".","NO"))</f>
        <v>.</v>
      </c>
      <c r="CT88" s="136" t="str">
        <f>IF($D88&lt;&gt;"Feature",".",
IF(VLOOKUP($B88,Feature_List!$A:$AM,MATCH(CT$1,  Feature_List!$A$1:$AM$1,0),0)=AL88,".","NO"))</f>
        <v>.</v>
      </c>
      <c r="CU88" s="136" t="str">
        <f>IF($D88&lt;&gt;"Feature",".",
IF(VLOOKUP($B88,Feature_List!$A:$AM,MATCH(CU$1,  Feature_List!$A$1:$AM$1,0),0)=AM88,".","NO"))</f>
        <v>.</v>
      </c>
      <c r="CV88" s="136" t="str">
        <f>IF($D88&lt;&gt;"Feature",".",
IF(VLOOKUP($B88,Feature_List!$A:$AM,MATCH(CV$1,  Feature_List!$A$1:$AM$1,0),0)=AN88,".","NO"))</f>
        <v>.</v>
      </c>
      <c r="CW88" s="136" t="str">
        <f>IF($D88&lt;&gt;"Feature",".",
IF(VLOOKUP($B88,Feature_List!$A:$AM,MATCH(CW$1,  Feature_List!$A$1:$AM$1,0),0)=AO88,".","NO"))</f>
        <v>.</v>
      </c>
      <c r="CX88" s="136" t="str">
        <f>IF($D88&lt;&gt;"Feature",".",
IF(VLOOKUP($B88,Feature_List!$A:$AM,MATCH(CX$1,  Feature_List!$A$1:$AM$1,0),0)=AP88,".","NO"))</f>
        <v>.</v>
      </c>
      <c r="CY88" s="136" t="str">
        <f>IF($D88&lt;&gt;"Feature",".",
IF(VLOOKUP($B88,Feature_List!$A:$AM,MATCH(CY$1,  Feature_List!$A$1:$AM$1,0),0)=AQ88,".","NO"))</f>
        <v>.</v>
      </c>
      <c r="CZ88" s="136" t="str">
        <f>IF($D88&lt;&gt;"Feature",".",
IF(VLOOKUP($B88,Feature_List!$A:$AM,MATCH(CZ$1,  Feature_List!$A$1:$AM$1,0),0)=AR88,".","NO"))</f>
        <v>.</v>
      </c>
      <c r="DA88" s="136" t="str">
        <f>IF($D88&lt;&gt;"Feature",".",
IF(VLOOKUP($B88,Feature_List!$A:$AM,MATCH(DA$1,  Feature_List!$A$1:$AM$1,0),0)=AS88,".","NO"))</f>
        <v>.</v>
      </c>
      <c r="DB88" s="136" t="str">
        <f>IF($D88&lt;&gt;"Feature",".",
IF(VLOOKUP($B88,Feature_List!$A:$AM,MATCH(DB$1,  Feature_List!$A$1:$AM$1,0),0)=AT88,".","NO"))</f>
        <v>.</v>
      </c>
      <c r="DC88" s="136" t="str">
        <f>IF($D88&lt;&gt;"Feature",".",
IF(VLOOKUP($B88,Feature_List!$A:$AM,MATCH(DC$1,  Feature_List!$A$1:$AM$1,0),0)=AU88,".","NO"))</f>
        <v>.</v>
      </c>
      <c r="DD88" s="136" t="str">
        <f>IF($D88&lt;&gt;"Feature",".",
IF(VLOOKUP($B88,Feature_List!$A:$AM,MATCH(DD$1,  Feature_List!$A$1:$AM$1,0),0)=AV88,".","NO"))</f>
        <v>.</v>
      </c>
      <c r="DE88" s="136" t="str">
        <f>IF($D88&lt;&gt;"Feature",".",
IF(VLOOKUP($B88,Feature_List!$A:$AM,MATCH(DE$1,  Feature_List!$A$1:$AM$1,0),0)=AW88,".","NO"))</f>
        <v>.</v>
      </c>
      <c r="DF88" s="136" t="str">
        <f>IF($D88&lt;&gt;"Feature",".",
IF(VLOOKUP($B88,Feature_List!$A:$AM,MATCH(DF$1,  Feature_List!$A$1:$AM$1,0),0)=AX88,".","NO"))</f>
        <v>.</v>
      </c>
      <c r="DG88" s="136" t="str">
        <f>IF($D88&lt;&gt;"Feature",".",
IF(VLOOKUP($B88,Feature_List!$A:$AM,MATCH(DG$1,  Feature_List!$A$1:$AM$1,0),0)=AY88,".","NO"))</f>
        <v>.</v>
      </c>
      <c r="DH88" s="136" t="str">
        <f>IF($D88&lt;&gt;"Feature",".",
IF(VLOOKUP($B88,Feature_List!$A:$AM,MATCH(DH$1,  Feature_List!$A$1:$AM$1,0),0)=AZ88,".","NO"))</f>
        <v>.</v>
      </c>
      <c r="DI88" s="136" t="str">
        <f>IF($D88&lt;&gt;"Feature",".",
IF(VLOOKUP($B88,Feature_List!$A:$AM,MATCH(DI$1,  Feature_List!$A$1:$AM$1,0),0)=BA88,".","NO"))</f>
        <v>.</v>
      </c>
      <c r="DJ88" s="136" t="str">
        <f>IF($D88&lt;&gt;"Feature",".",
IF(VLOOKUP($B88,Feature_List!$A:$AM,MATCH(DJ$1,  Feature_List!$A$1:$AM$1,0),0)=BB88,".","NO"))</f>
        <v>.</v>
      </c>
      <c r="DK88" s="136"/>
      <c r="DL88" s="136"/>
      <c r="DM88" s="136"/>
      <c r="DN88" s="136" t="str">
        <f>IF($D88&lt;&gt;"Feature",".",
IF(VLOOKUP($B88,Feature_List!$A:$AM,MATCH(DN$1,  Feature_List!$A$1:$AM$1,0),0)=BC88,".","NO"))</f>
        <v>.</v>
      </c>
      <c r="DO88" s="136" t="str">
        <f>IF($D88&lt;&gt;"Feature",".",
IF(VLOOKUP($B88,Feature_List!$A:$AM,MATCH(DO$1,  Feature_List!$A$1:$AM$1,0),0)=BD88,".","NO"))</f>
        <v>.</v>
      </c>
    </row>
    <row r="89" spans="2:119" x14ac:dyDescent="0.3">
      <c r="B89" s="121"/>
      <c r="C89" s="122"/>
      <c r="D89" s="122"/>
      <c r="E89" s="122"/>
      <c r="F89" s="138"/>
      <c r="G89" s="123"/>
      <c r="H89" s="122"/>
      <c r="I89" s="124"/>
      <c r="J89" s="138"/>
      <c r="K89" s="123"/>
      <c r="L89" s="122"/>
      <c r="M89" s="122"/>
      <c r="N89" s="125"/>
      <c r="O89" s="123">
        <f t="shared" si="38"/>
        <v>0</v>
      </c>
      <c r="P89" s="123">
        <f t="shared" si="39"/>
        <v>0</v>
      </c>
      <c r="Q89" s="122" t="str">
        <f t="shared" si="61"/>
        <v>ZeroEntry</v>
      </c>
      <c r="R89" s="126" t="str">
        <f t="shared" si="40"/>
        <v>ZeroEntry</v>
      </c>
      <c r="S89" s="127" t="str">
        <f t="shared" si="41"/>
        <v>ZeroEntry</v>
      </c>
      <c r="T89" s="128" t="str">
        <f>IF($Q89="ZeroEntry", "",VLOOKUP($I89,'Ranking Lookup'!#REF!,2,FALSE))</f>
        <v/>
      </c>
      <c r="U89" s="129" t="str">
        <f t="shared" si="42"/>
        <v/>
      </c>
      <c r="V89" s="129" t="str">
        <f t="shared" si="43"/>
        <v/>
      </c>
      <c r="W89" s="129" t="str">
        <f t="shared" si="44"/>
        <v/>
      </c>
      <c r="X89" s="129" t="str">
        <f t="shared" si="45"/>
        <v/>
      </c>
      <c r="Y89" s="129" t="str">
        <f t="shared" si="46"/>
        <v/>
      </c>
      <c r="Z89" s="129" t="str">
        <f t="shared" si="47"/>
        <v/>
      </c>
      <c r="AA89" s="130"/>
      <c r="AB89" s="130" t="str">
        <f t="shared" si="48"/>
        <v>Unassigned</v>
      </c>
      <c r="AC89" s="131" t="str">
        <f t="shared" si="62"/>
        <v/>
      </c>
      <c r="AD89" s="131" t="str">
        <f t="shared" si="63"/>
        <v/>
      </c>
      <c r="AE89" s="132">
        <f t="shared" si="49"/>
        <v>0</v>
      </c>
      <c r="AF89" s="133" t="str">
        <f t="shared" si="64"/>
        <v/>
      </c>
      <c r="AG89" s="134">
        <f t="shared" si="50"/>
        <v>0</v>
      </c>
      <c r="AH89" s="54" t="str">
        <f t="shared" si="51"/>
        <v/>
      </c>
      <c r="AI89" s="54" t="str">
        <f t="shared" si="66"/>
        <v/>
      </c>
      <c r="AJ89" s="54" t="str">
        <f t="shared" si="66"/>
        <v/>
      </c>
      <c r="AK89" s="54" t="str">
        <f t="shared" si="66"/>
        <v/>
      </c>
      <c r="AL89" s="54" t="str">
        <f t="shared" si="66"/>
        <v/>
      </c>
      <c r="AM89" s="54" t="str">
        <f t="shared" si="66"/>
        <v/>
      </c>
      <c r="AN89" s="54" t="str">
        <f t="shared" si="66"/>
        <v/>
      </c>
      <c r="AO89" s="54" t="str">
        <f t="shared" si="66"/>
        <v/>
      </c>
      <c r="AP89" s="54" t="str">
        <f t="shared" si="66"/>
        <v/>
      </c>
      <c r="AQ89" s="54" t="str">
        <f t="shared" si="66"/>
        <v/>
      </c>
      <c r="AR89" s="54" t="str">
        <f t="shared" si="66"/>
        <v/>
      </c>
      <c r="AS89" s="54" t="str">
        <f t="shared" si="66"/>
        <v/>
      </c>
      <c r="AT89" s="54" t="str">
        <f t="shared" si="66"/>
        <v/>
      </c>
      <c r="AU89" s="54" t="str">
        <f t="shared" si="66"/>
        <v/>
      </c>
      <c r="AV89" s="54" t="str">
        <f t="shared" si="66"/>
        <v/>
      </c>
      <c r="AW89" s="54" t="str">
        <f t="shared" si="66"/>
        <v/>
      </c>
      <c r="AX89" s="54" t="str">
        <f t="shared" si="66"/>
        <v/>
      </c>
      <c r="AY89" s="54" t="str">
        <f t="shared" si="53"/>
        <v/>
      </c>
      <c r="AZ89" s="54" t="str">
        <f t="shared" si="54"/>
        <v/>
      </c>
      <c r="BA89" s="54" t="str">
        <f t="shared" si="55"/>
        <v/>
      </c>
      <c r="BB89" s="135" t="str">
        <f t="shared" si="56"/>
        <v/>
      </c>
      <c r="BC89" s="54" t="str">
        <f t="shared" si="67"/>
        <v/>
      </c>
      <c r="BD89" s="54" t="str">
        <f t="shared" si="67"/>
        <v/>
      </c>
      <c r="BE89" s="54" t="str">
        <f t="shared" si="67"/>
        <v/>
      </c>
      <c r="BF89" s="54" t="str">
        <f t="shared" si="57"/>
        <v/>
      </c>
      <c r="BG89" s="54" t="str">
        <f t="shared" si="58"/>
        <v/>
      </c>
      <c r="BH89" s="34" t="str">
        <f t="shared" si="59"/>
        <v>Bad</v>
      </c>
      <c r="BI89" s="34" t="str">
        <f t="shared" si="60"/>
        <v>No</v>
      </c>
      <c r="BJ89" s="136" t="str">
        <f>IF($D89&lt;&gt;"Feature",".",
IF(VLOOKUP($B89,Feature_List!$A:$AM,MATCH(BJ$1,  Feature_List!$A$1:$AM$1,0),0)=B89,".","NO"))</f>
        <v>.</v>
      </c>
      <c r="BK89" s="136"/>
      <c r="BL89" s="136"/>
      <c r="BM89" s="136" t="str">
        <f>IF($D89&lt;&gt;"Feature",".",
IF(VLOOKUP($B89,Feature_List!$A:$AM,MATCH(BM$1,  Feature_List!$A$1:$AM$1,0),0)=E89,".","NO"))</f>
        <v>.</v>
      </c>
      <c r="BN89" s="136" t="str">
        <f>IF($D89&lt;&gt;"Feature",".",
IF(VLOOKUP($B89,Feature_List!$A:$AM,MATCH(BN$1,  Feature_List!$A$1:$AM$1,0),0)=F89,".","NO"))</f>
        <v>.</v>
      </c>
      <c r="BO89" s="136" t="str">
        <f>IF($D89&lt;&gt;"Feature",".",
IF(VLOOKUP($B89,Feature_List!$A:$AM,MATCH(BO$1,  Feature_List!$A$1:$AM$1,0),0)=G89,".","NO"))</f>
        <v>.</v>
      </c>
      <c r="BP89" s="136" t="str">
        <f>IF($D89&lt;&gt;"Feature",".",
IF(VLOOKUP($B89,Feature_List!$A:$AM,MATCH(BP$1,  Feature_List!$A$1:$AM$1,0),0)=H89,".","NO"))</f>
        <v>.</v>
      </c>
      <c r="BQ89" s="136"/>
      <c r="BR89" s="136" t="str">
        <f>IF($D89&lt;&gt;"Feature",".",
IF(VLOOKUP($B89,Feature_List!$A:$AM,MATCH(BR$1,  Feature_List!$A$1:$AM$1,0),0)=J89,".","NO"))</f>
        <v>.</v>
      </c>
      <c r="BS89" s="136"/>
      <c r="BT89" s="136"/>
      <c r="BU89" s="136" t="str">
        <f>IF($D89&lt;&gt;"Feature",".",
IF(VLOOKUP($B89,Feature_List!$A:$AM,MATCH(BU$1,  Feature_List!$A$1:$AM$1,0),0)=M89,".","NO"))</f>
        <v>.</v>
      </c>
      <c r="BV89" s="136" t="str">
        <f>IF($D89&lt;&gt;"Feature",".",
IF(VLOOKUP($B89,Feature_List!$A:$AM,MATCH(BV$1,  Feature_List!$A$1:$AM$1,0),0)=N89,".","NO"))</f>
        <v>.</v>
      </c>
      <c r="BW89" s="136"/>
      <c r="BX89" s="136"/>
      <c r="BY89" s="136"/>
      <c r="BZ89" s="136"/>
      <c r="CA89" s="136"/>
      <c r="CB89" s="136" t="str">
        <f>IF($D89&lt;&gt;"Feature",".",
IF(VLOOKUP($B89,Feature_List!$A:$AM,MATCH(CB$1,  Feature_List!$A$1:$AM$1,0),0)=T89,".","NO"))</f>
        <v>.</v>
      </c>
      <c r="CC89" s="136"/>
      <c r="CD89" s="136"/>
      <c r="CE89" s="136"/>
      <c r="CF89" s="136"/>
      <c r="CG89" s="136"/>
      <c r="CH89" s="136"/>
      <c r="CI89" s="136"/>
      <c r="CJ89" s="136"/>
      <c r="CK89" s="136"/>
      <c r="CL89" s="136"/>
      <c r="CM89" s="136"/>
      <c r="CN89" s="136"/>
      <c r="CO89" s="136" t="str">
        <f>IF($D89&lt;&gt;"Feature",".",
IF(VLOOKUP($B89,Feature_List!$A:$AM,MATCH(CO$1,  Feature_List!$A$1:$AM$1,0),0)=AG89,".","NO"))</f>
        <v>.</v>
      </c>
      <c r="CP89" s="136" t="str">
        <f>IF($D89&lt;&gt;"Feature",".",
IF(VLOOKUP($B89,Feature_List!$A:$AM,MATCH(CP$1,  Feature_List!$A$1:$AM$1,0),0)=AH89,".","NO"))</f>
        <v>.</v>
      </c>
      <c r="CQ89" s="136" t="str">
        <f>IF($D89&lt;&gt;"Feature",".",
IF(VLOOKUP($B89,Feature_List!$A:$AM,MATCH(CQ$1,  Feature_List!$A$1:$AM$1,0),0)=AI89,".","NO"))</f>
        <v>.</v>
      </c>
      <c r="CR89" s="136" t="str">
        <f>IF($D89&lt;&gt;"Feature",".",
IF(VLOOKUP($B89,Feature_List!$A:$AM,MATCH(CR$1,  Feature_List!$A$1:$AM$1,0),0)=AJ89,".","NO"))</f>
        <v>.</v>
      </c>
      <c r="CS89" s="136" t="str">
        <f>IF($D89&lt;&gt;"Feature",".",
IF(VLOOKUP($B89,Feature_List!$A:$AM,MATCH(CS$1,  Feature_List!$A$1:$AM$1,0),0)=AK89,".","NO"))</f>
        <v>.</v>
      </c>
      <c r="CT89" s="136" t="str">
        <f>IF($D89&lt;&gt;"Feature",".",
IF(VLOOKUP($B89,Feature_List!$A:$AM,MATCH(CT$1,  Feature_List!$A$1:$AM$1,0),0)=AL89,".","NO"))</f>
        <v>.</v>
      </c>
      <c r="CU89" s="136" t="str">
        <f>IF($D89&lt;&gt;"Feature",".",
IF(VLOOKUP($B89,Feature_List!$A:$AM,MATCH(CU$1,  Feature_List!$A$1:$AM$1,0),0)=AM89,".","NO"))</f>
        <v>.</v>
      </c>
      <c r="CV89" s="136" t="str">
        <f>IF($D89&lt;&gt;"Feature",".",
IF(VLOOKUP($B89,Feature_List!$A:$AM,MATCH(CV$1,  Feature_List!$A$1:$AM$1,0),0)=AN89,".","NO"))</f>
        <v>.</v>
      </c>
      <c r="CW89" s="136" t="str">
        <f>IF($D89&lt;&gt;"Feature",".",
IF(VLOOKUP($B89,Feature_List!$A:$AM,MATCH(CW$1,  Feature_List!$A$1:$AM$1,0),0)=AO89,".","NO"))</f>
        <v>.</v>
      </c>
      <c r="CX89" s="136" t="str">
        <f>IF($D89&lt;&gt;"Feature",".",
IF(VLOOKUP($B89,Feature_List!$A:$AM,MATCH(CX$1,  Feature_List!$A$1:$AM$1,0),0)=AP89,".","NO"))</f>
        <v>.</v>
      </c>
      <c r="CY89" s="136" t="str">
        <f>IF($D89&lt;&gt;"Feature",".",
IF(VLOOKUP($B89,Feature_List!$A:$AM,MATCH(CY$1,  Feature_List!$A$1:$AM$1,0),0)=AQ89,".","NO"))</f>
        <v>.</v>
      </c>
      <c r="CZ89" s="136" t="str">
        <f>IF($D89&lt;&gt;"Feature",".",
IF(VLOOKUP($B89,Feature_List!$A:$AM,MATCH(CZ$1,  Feature_List!$A$1:$AM$1,0),0)=AR89,".","NO"))</f>
        <v>.</v>
      </c>
      <c r="DA89" s="136" t="str">
        <f>IF($D89&lt;&gt;"Feature",".",
IF(VLOOKUP($B89,Feature_List!$A:$AM,MATCH(DA$1,  Feature_List!$A$1:$AM$1,0),0)=AS89,".","NO"))</f>
        <v>.</v>
      </c>
      <c r="DB89" s="136" t="str">
        <f>IF($D89&lt;&gt;"Feature",".",
IF(VLOOKUP($B89,Feature_List!$A:$AM,MATCH(DB$1,  Feature_List!$A$1:$AM$1,0),0)=AT89,".","NO"))</f>
        <v>.</v>
      </c>
      <c r="DC89" s="136" t="str">
        <f>IF($D89&lt;&gt;"Feature",".",
IF(VLOOKUP($B89,Feature_List!$A:$AM,MATCH(DC$1,  Feature_List!$A$1:$AM$1,0),0)=AU89,".","NO"))</f>
        <v>.</v>
      </c>
      <c r="DD89" s="136" t="str">
        <f>IF($D89&lt;&gt;"Feature",".",
IF(VLOOKUP($B89,Feature_List!$A:$AM,MATCH(DD$1,  Feature_List!$A$1:$AM$1,0),0)=AV89,".","NO"))</f>
        <v>.</v>
      </c>
      <c r="DE89" s="136" t="str">
        <f>IF($D89&lt;&gt;"Feature",".",
IF(VLOOKUP($B89,Feature_List!$A:$AM,MATCH(DE$1,  Feature_List!$A$1:$AM$1,0),0)=AW89,".","NO"))</f>
        <v>.</v>
      </c>
      <c r="DF89" s="136" t="str">
        <f>IF($D89&lt;&gt;"Feature",".",
IF(VLOOKUP($B89,Feature_List!$A:$AM,MATCH(DF$1,  Feature_List!$A$1:$AM$1,0),0)=AX89,".","NO"))</f>
        <v>.</v>
      </c>
      <c r="DG89" s="136" t="str">
        <f>IF($D89&lt;&gt;"Feature",".",
IF(VLOOKUP($B89,Feature_List!$A:$AM,MATCH(DG$1,  Feature_List!$A$1:$AM$1,0),0)=AY89,".","NO"))</f>
        <v>.</v>
      </c>
      <c r="DH89" s="136" t="str">
        <f>IF($D89&lt;&gt;"Feature",".",
IF(VLOOKUP($B89,Feature_List!$A:$AM,MATCH(DH$1,  Feature_List!$A$1:$AM$1,0),0)=AZ89,".","NO"))</f>
        <v>.</v>
      </c>
      <c r="DI89" s="136" t="str">
        <f>IF($D89&lt;&gt;"Feature",".",
IF(VLOOKUP($B89,Feature_List!$A:$AM,MATCH(DI$1,  Feature_List!$A$1:$AM$1,0),0)=BA89,".","NO"))</f>
        <v>.</v>
      </c>
      <c r="DJ89" s="136" t="str">
        <f>IF($D89&lt;&gt;"Feature",".",
IF(VLOOKUP($B89,Feature_List!$A:$AM,MATCH(DJ$1,  Feature_List!$A$1:$AM$1,0),0)=BB89,".","NO"))</f>
        <v>.</v>
      </c>
      <c r="DK89" s="136"/>
      <c r="DL89" s="136"/>
      <c r="DM89" s="136"/>
      <c r="DN89" s="136" t="str">
        <f>IF($D89&lt;&gt;"Feature",".",
IF(VLOOKUP($B89,Feature_List!$A:$AM,MATCH(DN$1,  Feature_List!$A$1:$AM$1,0),0)=BC89,".","NO"))</f>
        <v>.</v>
      </c>
      <c r="DO89" s="136" t="str">
        <f>IF($D89&lt;&gt;"Feature",".",
IF(VLOOKUP($B89,Feature_List!$A:$AM,MATCH(DO$1,  Feature_List!$A$1:$AM$1,0),0)=BD89,".","NO"))</f>
        <v>.</v>
      </c>
    </row>
    <row r="90" spans="2:119" x14ac:dyDescent="0.3">
      <c r="B90" s="121"/>
      <c r="C90" s="122"/>
      <c r="D90" s="122"/>
      <c r="E90" s="122"/>
      <c r="F90" s="138"/>
      <c r="G90" s="123"/>
      <c r="H90" s="122"/>
      <c r="I90" s="124"/>
      <c r="J90" s="138"/>
      <c r="K90" s="123"/>
      <c r="L90" s="122"/>
      <c r="M90" s="122"/>
      <c r="N90" s="125"/>
      <c r="O90" s="123">
        <f t="shared" si="38"/>
        <v>0</v>
      </c>
      <c r="P90" s="123">
        <f t="shared" si="39"/>
        <v>0</v>
      </c>
      <c r="Q90" s="122" t="str">
        <f t="shared" si="61"/>
        <v>ZeroEntry</v>
      </c>
      <c r="R90" s="126" t="str">
        <f t="shared" si="40"/>
        <v>ZeroEntry</v>
      </c>
      <c r="S90" s="127" t="str">
        <f t="shared" si="41"/>
        <v>ZeroEntry</v>
      </c>
      <c r="T90" s="128" t="str">
        <f>IF($Q90="ZeroEntry", "",VLOOKUP($I90,'Ranking Lookup'!#REF!,2,FALSE))</f>
        <v/>
      </c>
      <c r="U90" s="129" t="str">
        <f t="shared" si="42"/>
        <v/>
      </c>
      <c r="V90" s="129" t="str">
        <f t="shared" si="43"/>
        <v/>
      </c>
      <c r="W90" s="129" t="str">
        <f t="shared" si="44"/>
        <v/>
      </c>
      <c r="X90" s="129" t="str">
        <f t="shared" si="45"/>
        <v/>
      </c>
      <c r="Y90" s="129" t="str">
        <f t="shared" si="46"/>
        <v/>
      </c>
      <c r="Z90" s="129" t="str">
        <f t="shared" si="47"/>
        <v/>
      </c>
      <c r="AA90" s="130"/>
      <c r="AB90" s="130" t="str">
        <f t="shared" si="48"/>
        <v>Unassigned</v>
      </c>
      <c r="AC90" s="131" t="str">
        <f t="shared" si="62"/>
        <v/>
      </c>
      <c r="AD90" s="131" t="str">
        <f t="shared" si="63"/>
        <v/>
      </c>
      <c r="AE90" s="132">
        <f t="shared" si="49"/>
        <v>0</v>
      </c>
      <c r="AF90" s="133" t="str">
        <f t="shared" si="64"/>
        <v/>
      </c>
      <c r="AG90" s="134">
        <f t="shared" si="50"/>
        <v>0</v>
      </c>
      <c r="AH90" s="54" t="str">
        <f t="shared" si="51"/>
        <v/>
      </c>
      <c r="AI90" s="54" t="str">
        <f t="shared" si="66"/>
        <v/>
      </c>
      <c r="AJ90" s="54" t="str">
        <f t="shared" si="66"/>
        <v/>
      </c>
      <c r="AK90" s="54" t="str">
        <f t="shared" si="66"/>
        <v/>
      </c>
      <c r="AL90" s="54" t="str">
        <f t="shared" si="66"/>
        <v/>
      </c>
      <c r="AM90" s="54" t="str">
        <f t="shared" si="66"/>
        <v/>
      </c>
      <c r="AN90" s="54" t="str">
        <f t="shared" si="66"/>
        <v/>
      </c>
      <c r="AO90" s="54" t="str">
        <f t="shared" si="66"/>
        <v/>
      </c>
      <c r="AP90" s="54" t="str">
        <f t="shared" si="66"/>
        <v/>
      </c>
      <c r="AQ90" s="54" t="str">
        <f t="shared" si="66"/>
        <v/>
      </c>
      <c r="AR90" s="54" t="str">
        <f t="shared" si="66"/>
        <v/>
      </c>
      <c r="AS90" s="54" t="str">
        <f t="shared" si="66"/>
        <v/>
      </c>
      <c r="AT90" s="54" t="str">
        <f t="shared" si="66"/>
        <v/>
      </c>
      <c r="AU90" s="54" t="str">
        <f t="shared" si="66"/>
        <v/>
      </c>
      <c r="AV90" s="54" t="str">
        <f t="shared" si="66"/>
        <v/>
      </c>
      <c r="AW90" s="54" t="str">
        <f t="shared" si="66"/>
        <v/>
      </c>
      <c r="AX90" s="54" t="str">
        <f t="shared" si="66"/>
        <v/>
      </c>
      <c r="AY90" s="54" t="str">
        <f t="shared" si="53"/>
        <v/>
      </c>
      <c r="AZ90" s="54" t="str">
        <f t="shared" si="54"/>
        <v/>
      </c>
      <c r="BA90" s="54" t="str">
        <f t="shared" si="55"/>
        <v/>
      </c>
      <c r="BB90" s="135" t="str">
        <f t="shared" si="56"/>
        <v/>
      </c>
      <c r="BC90" s="54" t="str">
        <f t="shared" si="67"/>
        <v/>
      </c>
      <c r="BD90" s="54" t="str">
        <f t="shared" si="67"/>
        <v/>
      </c>
      <c r="BE90" s="54" t="str">
        <f t="shared" si="67"/>
        <v/>
      </c>
      <c r="BF90" s="54" t="str">
        <f t="shared" si="57"/>
        <v/>
      </c>
      <c r="BG90" s="54" t="str">
        <f t="shared" si="58"/>
        <v/>
      </c>
      <c r="BH90" s="34" t="str">
        <f t="shared" si="59"/>
        <v>Bad</v>
      </c>
      <c r="BI90" s="34" t="str">
        <f t="shared" si="60"/>
        <v>No</v>
      </c>
      <c r="BJ90" s="136" t="str">
        <f>IF($D90&lt;&gt;"Feature",".",
IF(VLOOKUP($B90,Feature_List!$A:$AM,MATCH(BJ$1,  Feature_List!$A$1:$AM$1,0),0)=B90,".","NO"))</f>
        <v>.</v>
      </c>
      <c r="BK90" s="136"/>
      <c r="BL90" s="136"/>
      <c r="BM90" s="136" t="str">
        <f>IF($D90&lt;&gt;"Feature",".",
IF(VLOOKUP($B90,Feature_List!$A:$AM,MATCH(BM$1,  Feature_List!$A$1:$AM$1,0),0)=E90,".","NO"))</f>
        <v>.</v>
      </c>
      <c r="BN90" s="136" t="str">
        <f>IF($D90&lt;&gt;"Feature",".",
IF(VLOOKUP($B90,Feature_List!$A:$AM,MATCH(BN$1,  Feature_List!$A$1:$AM$1,0),0)=F90,".","NO"))</f>
        <v>.</v>
      </c>
      <c r="BO90" s="136" t="str">
        <f>IF($D90&lt;&gt;"Feature",".",
IF(VLOOKUP($B90,Feature_List!$A:$AM,MATCH(BO$1,  Feature_List!$A$1:$AM$1,0),0)=G90,".","NO"))</f>
        <v>.</v>
      </c>
      <c r="BP90" s="136" t="str">
        <f>IF($D90&lt;&gt;"Feature",".",
IF(VLOOKUP($B90,Feature_List!$A:$AM,MATCH(BP$1,  Feature_List!$A$1:$AM$1,0),0)=H90,".","NO"))</f>
        <v>.</v>
      </c>
      <c r="BQ90" s="136"/>
      <c r="BR90" s="136" t="str">
        <f>IF($D90&lt;&gt;"Feature",".",
IF(VLOOKUP($B90,Feature_List!$A:$AM,MATCH(BR$1,  Feature_List!$A$1:$AM$1,0),0)=J90,".","NO"))</f>
        <v>.</v>
      </c>
      <c r="BS90" s="136"/>
      <c r="BT90" s="136"/>
      <c r="BU90" s="136" t="str">
        <f>IF($D90&lt;&gt;"Feature",".",
IF(VLOOKUP($B90,Feature_List!$A:$AM,MATCH(BU$1,  Feature_List!$A$1:$AM$1,0),0)=M90,".","NO"))</f>
        <v>.</v>
      </c>
      <c r="BV90" s="136" t="str">
        <f>IF($D90&lt;&gt;"Feature",".",
IF(VLOOKUP($B90,Feature_List!$A:$AM,MATCH(BV$1,  Feature_List!$A$1:$AM$1,0),0)=N90,".","NO"))</f>
        <v>.</v>
      </c>
      <c r="BW90" s="136"/>
      <c r="BX90" s="136"/>
      <c r="BY90" s="136"/>
      <c r="BZ90" s="136"/>
      <c r="CA90" s="136"/>
      <c r="CB90" s="136" t="str">
        <f>IF($D90&lt;&gt;"Feature",".",
IF(VLOOKUP($B90,Feature_List!$A:$AM,MATCH(CB$1,  Feature_List!$A$1:$AM$1,0),0)=T90,".","NO"))</f>
        <v>.</v>
      </c>
      <c r="CC90" s="136"/>
      <c r="CD90" s="136"/>
      <c r="CE90" s="136"/>
      <c r="CF90" s="136"/>
      <c r="CG90" s="136"/>
      <c r="CH90" s="136"/>
      <c r="CI90" s="136"/>
      <c r="CJ90" s="136"/>
      <c r="CK90" s="136"/>
      <c r="CL90" s="136"/>
      <c r="CM90" s="136"/>
      <c r="CN90" s="136"/>
      <c r="CO90" s="136" t="str">
        <f>IF($D90&lt;&gt;"Feature",".",
IF(VLOOKUP($B90,Feature_List!$A:$AM,MATCH(CO$1,  Feature_List!$A$1:$AM$1,0),0)=AG90,".","NO"))</f>
        <v>.</v>
      </c>
      <c r="CP90" s="136" t="str">
        <f>IF($D90&lt;&gt;"Feature",".",
IF(VLOOKUP($B90,Feature_List!$A:$AM,MATCH(CP$1,  Feature_List!$A$1:$AM$1,0),0)=AH90,".","NO"))</f>
        <v>.</v>
      </c>
      <c r="CQ90" s="136" t="str">
        <f>IF($D90&lt;&gt;"Feature",".",
IF(VLOOKUP($B90,Feature_List!$A:$AM,MATCH(CQ$1,  Feature_List!$A$1:$AM$1,0),0)=AI90,".","NO"))</f>
        <v>.</v>
      </c>
      <c r="CR90" s="136" t="str">
        <f>IF($D90&lt;&gt;"Feature",".",
IF(VLOOKUP($B90,Feature_List!$A:$AM,MATCH(CR$1,  Feature_List!$A$1:$AM$1,0),0)=AJ90,".","NO"))</f>
        <v>.</v>
      </c>
      <c r="CS90" s="136" t="str">
        <f>IF($D90&lt;&gt;"Feature",".",
IF(VLOOKUP($B90,Feature_List!$A:$AM,MATCH(CS$1,  Feature_List!$A$1:$AM$1,0),0)=AK90,".","NO"))</f>
        <v>.</v>
      </c>
      <c r="CT90" s="136" t="str">
        <f>IF($D90&lt;&gt;"Feature",".",
IF(VLOOKUP($B90,Feature_List!$A:$AM,MATCH(CT$1,  Feature_List!$A$1:$AM$1,0),0)=AL90,".","NO"))</f>
        <v>.</v>
      </c>
      <c r="CU90" s="136" t="str">
        <f>IF($D90&lt;&gt;"Feature",".",
IF(VLOOKUP($B90,Feature_List!$A:$AM,MATCH(CU$1,  Feature_List!$A$1:$AM$1,0),0)=AM90,".","NO"))</f>
        <v>.</v>
      </c>
      <c r="CV90" s="136" t="str">
        <f>IF($D90&lt;&gt;"Feature",".",
IF(VLOOKUP($B90,Feature_List!$A:$AM,MATCH(CV$1,  Feature_List!$A$1:$AM$1,0),0)=AN90,".","NO"))</f>
        <v>.</v>
      </c>
      <c r="CW90" s="136" t="str">
        <f>IF($D90&lt;&gt;"Feature",".",
IF(VLOOKUP($B90,Feature_List!$A:$AM,MATCH(CW$1,  Feature_List!$A$1:$AM$1,0),0)=AO90,".","NO"))</f>
        <v>.</v>
      </c>
      <c r="CX90" s="136" t="str">
        <f>IF($D90&lt;&gt;"Feature",".",
IF(VLOOKUP($B90,Feature_List!$A:$AM,MATCH(CX$1,  Feature_List!$A$1:$AM$1,0),0)=AP90,".","NO"))</f>
        <v>.</v>
      </c>
      <c r="CY90" s="136" t="str">
        <f>IF($D90&lt;&gt;"Feature",".",
IF(VLOOKUP($B90,Feature_List!$A:$AM,MATCH(CY$1,  Feature_List!$A$1:$AM$1,0),0)=AQ90,".","NO"))</f>
        <v>.</v>
      </c>
      <c r="CZ90" s="136" t="str">
        <f>IF($D90&lt;&gt;"Feature",".",
IF(VLOOKUP($B90,Feature_List!$A:$AM,MATCH(CZ$1,  Feature_List!$A$1:$AM$1,0),0)=AR90,".","NO"))</f>
        <v>.</v>
      </c>
      <c r="DA90" s="136" t="str">
        <f>IF($D90&lt;&gt;"Feature",".",
IF(VLOOKUP($B90,Feature_List!$A:$AM,MATCH(DA$1,  Feature_List!$A$1:$AM$1,0),0)=AS90,".","NO"))</f>
        <v>.</v>
      </c>
      <c r="DB90" s="136" t="str">
        <f>IF($D90&lt;&gt;"Feature",".",
IF(VLOOKUP($B90,Feature_List!$A:$AM,MATCH(DB$1,  Feature_List!$A$1:$AM$1,0),0)=AT90,".","NO"))</f>
        <v>.</v>
      </c>
      <c r="DC90" s="136" t="str">
        <f>IF($D90&lt;&gt;"Feature",".",
IF(VLOOKUP($B90,Feature_List!$A:$AM,MATCH(DC$1,  Feature_List!$A$1:$AM$1,0),0)=AU90,".","NO"))</f>
        <v>.</v>
      </c>
      <c r="DD90" s="136" t="str">
        <f>IF($D90&lt;&gt;"Feature",".",
IF(VLOOKUP($B90,Feature_List!$A:$AM,MATCH(DD$1,  Feature_List!$A$1:$AM$1,0),0)=AV90,".","NO"))</f>
        <v>.</v>
      </c>
      <c r="DE90" s="136" t="str">
        <f>IF($D90&lt;&gt;"Feature",".",
IF(VLOOKUP($B90,Feature_List!$A:$AM,MATCH(DE$1,  Feature_List!$A$1:$AM$1,0),0)=AW90,".","NO"))</f>
        <v>.</v>
      </c>
      <c r="DF90" s="136" t="str">
        <f>IF($D90&lt;&gt;"Feature",".",
IF(VLOOKUP($B90,Feature_List!$A:$AM,MATCH(DF$1,  Feature_List!$A$1:$AM$1,0),0)=AX90,".","NO"))</f>
        <v>.</v>
      </c>
      <c r="DG90" s="136" t="str">
        <f>IF($D90&lt;&gt;"Feature",".",
IF(VLOOKUP($B90,Feature_List!$A:$AM,MATCH(DG$1,  Feature_List!$A$1:$AM$1,0),0)=AY90,".","NO"))</f>
        <v>.</v>
      </c>
      <c r="DH90" s="136" t="str">
        <f>IF($D90&lt;&gt;"Feature",".",
IF(VLOOKUP($B90,Feature_List!$A:$AM,MATCH(DH$1,  Feature_List!$A$1:$AM$1,0),0)=AZ90,".","NO"))</f>
        <v>.</v>
      </c>
      <c r="DI90" s="136" t="str">
        <f>IF($D90&lt;&gt;"Feature",".",
IF(VLOOKUP($B90,Feature_List!$A:$AM,MATCH(DI$1,  Feature_List!$A$1:$AM$1,0),0)=BA90,".","NO"))</f>
        <v>.</v>
      </c>
      <c r="DJ90" s="136" t="str">
        <f>IF($D90&lt;&gt;"Feature",".",
IF(VLOOKUP($B90,Feature_List!$A:$AM,MATCH(DJ$1,  Feature_List!$A$1:$AM$1,0),0)=BB90,".","NO"))</f>
        <v>.</v>
      </c>
      <c r="DK90" s="136"/>
      <c r="DL90" s="136"/>
      <c r="DM90" s="136"/>
      <c r="DN90" s="136" t="str">
        <f>IF($D90&lt;&gt;"Feature",".",
IF(VLOOKUP($B90,Feature_List!$A:$AM,MATCH(DN$1,  Feature_List!$A$1:$AM$1,0),0)=BC90,".","NO"))</f>
        <v>.</v>
      </c>
      <c r="DO90" s="136" t="str">
        <f>IF($D90&lt;&gt;"Feature",".",
IF(VLOOKUP($B90,Feature_List!$A:$AM,MATCH(DO$1,  Feature_List!$A$1:$AM$1,0),0)=BD90,".","NO"))</f>
        <v>.</v>
      </c>
    </row>
    <row r="91" spans="2:119" x14ac:dyDescent="0.3">
      <c r="B91" s="121"/>
      <c r="C91" s="122"/>
      <c r="D91" s="122"/>
      <c r="E91" s="122"/>
      <c r="F91" s="138"/>
      <c r="G91" s="123"/>
      <c r="H91" s="122"/>
      <c r="I91" s="124"/>
      <c r="J91" s="138"/>
      <c r="K91" s="123"/>
      <c r="L91" s="122"/>
      <c r="M91" s="122"/>
      <c r="N91" s="125"/>
      <c r="O91" s="123">
        <f t="shared" si="38"/>
        <v>0</v>
      </c>
      <c r="P91" s="123">
        <f t="shared" si="39"/>
        <v>0</v>
      </c>
      <c r="Q91" s="122" t="str">
        <f t="shared" si="61"/>
        <v>ZeroEntry</v>
      </c>
      <c r="R91" s="126" t="str">
        <f t="shared" si="40"/>
        <v>ZeroEntry</v>
      </c>
      <c r="S91" s="127" t="str">
        <f t="shared" si="41"/>
        <v>ZeroEntry</v>
      </c>
      <c r="T91" s="128" t="str">
        <f>IF($Q91="ZeroEntry", "",VLOOKUP($I91,'Ranking Lookup'!#REF!,2,FALSE))</f>
        <v/>
      </c>
      <c r="U91" s="129" t="str">
        <f t="shared" si="42"/>
        <v/>
      </c>
      <c r="V91" s="129" t="str">
        <f t="shared" si="43"/>
        <v/>
      </c>
      <c r="W91" s="129" t="str">
        <f t="shared" si="44"/>
        <v/>
      </c>
      <c r="X91" s="129" t="str">
        <f t="shared" si="45"/>
        <v/>
      </c>
      <c r="Y91" s="129" t="str">
        <f t="shared" si="46"/>
        <v/>
      </c>
      <c r="Z91" s="129" t="str">
        <f t="shared" si="47"/>
        <v/>
      </c>
      <c r="AA91" s="130"/>
      <c r="AB91" s="130" t="str">
        <f t="shared" si="48"/>
        <v>Unassigned</v>
      </c>
      <c r="AC91" s="131" t="str">
        <f t="shared" si="62"/>
        <v/>
      </c>
      <c r="AD91" s="131" t="str">
        <f t="shared" si="63"/>
        <v/>
      </c>
      <c r="AE91" s="132">
        <f t="shared" si="49"/>
        <v>0</v>
      </c>
      <c r="AF91" s="133" t="str">
        <f t="shared" si="64"/>
        <v/>
      </c>
      <c r="AG91" s="134">
        <f t="shared" si="50"/>
        <v>0</v>
      </c>
      <c r="AH91" s="54" t="str">
        <f t="shared" si="51"/>
        <v/>
      </c>
      <c r="AI91" s="54" t="str">
        <f t="shared" si="66"/>
        <v/>
      </c>
      <c r="AJ91" s="54" t="str">
        <f t="shared" si="66"/>
        <v/>
      </c>
      <c r="AK91" s="54" t="str">
        <f t="shared" si="66"/>
        <v/>
      </c>
      <c r="AL91" s="54" t="str">
        <f t="shared" si="66"/>
        <v/>
      </c>
      <c r="AM91" s="54" t="str">
        <f t="shared" si="66"/>
        <v/>
      </c>
      <c r="AN91" s="54" t="str">
        <f t="shared" si="66"/>
        <v/>
      </c>
      <c r="AO91" s="54" t="str">
        <f t="shared" si="66"/>
        <v/>
      </c>
      <c r="AP91" s="54" t="str">
        <f t="shared" si="66"/>
        <v/>
      </c>
      <c r="AQ91" s="54" t="str">
        <f t="shared" si="66"/>
        <v/>
      </c>
      <c r="AR91" s="54" t="str">
        <f t="shared" si="66"/>
        <v/>
      </c>
      <c r="AS91" s="54" t="str">
        <f t="shared" si="66"/>
        <v/>
      </c>
      <c r="AT91" s="54" t="str">
        <f t="shared" si="66"/>
        <v/>
      </c>
      <c r="AU91" s="54" t="str">
        <f t="shared" si="66"/>
        <v/>
      </c>
      <c r="AV91" s="54" t="str">
        <f t="shared" si="66"/>
        <v/>
      </c>
      <c r="AW91" s="54" t="str">
        <f t="shared" si="66"/>
        <v/>
      </c>
      <c r="AX91" s="54" t="str">
        <f t="shared" si="66"/>
        <v/>
      </c>
      <c r="AY91" s="54" t="str">
        <f t="shared" si="53"/>
        <v/>
      </c>
      <c r="AZ91" s="54" t="str">
        <f t="shared" si="54"/>
        <v/>
      </c>
      <c r="BA91" s="54" t="str">
        <f t="shared" si="55"/>
        <v/>
      </c>
      <c r="BB91" s="135" t="str">
        <f t="shared" si="56"/>
        <v/>
      </c>
      <c r="BC91" s="54" t="str">
        <f t="shared" si="67"/>
        <v/>
      </c>
      <c r="BD91" s="54" t="str">
        <f t="shared" si="67"/>
        <v/>
      </c>
      <c r="BE91" s="54" t="str">
        <f t="shared" si="67"/>
        <v/>
      </c>
      <c r="BF91" s="54" t="str">
        <f t="shared" si="57"/>
        <v/>
      </c>
      <c r="BG91" s="54" t="str">
        <f t="shared" si="58"/>
        <v/>
      </c>
      <c r="BH91" s="34" t="str">
        <f t="shared" si="59"/>
        <v>Bad</v>
      </c>
      <c r="BI91" s="34" t="str">
        <f t="shared" si="60"/>
        <v>No</v>
      </c>
      <c r="BJ91" s="136" t="str">
        <f>IF($D91&lt;&gt;"Feature",".",
IF(VLOOKUP($B91,Feature_List!$A:$AM,MATCH(BJ$1,  Feature_List!$A$1:$AM$1,0),0)=B91,".","NO"))</f>
        <v>.</v>
      </c>
      <c r="BK91" s="136"/>
      <c r="BL91" s="136"/>
      <c r="BM91" s="136" t="str">
        <f>IF($D91&lt;&gt;"Feature",".",
IF(VLOOKUP($B91,Feature_List!$A:$AM,MATCH(BM$1,  Feature_List!$A$1:$AM$1,0),0)=E91,".","NO"))</f>
        <v>.</v>
      </c>
      <c r="BN91" s="136" t="str">
        <f>IF($D91&lt;&gt;"Feature",".",
IF(VLOOKUP($B91,Feature_List!$A:$AM,MATCH(BN$1,  Feature_List!$A$1:$AM$1,0),0)=F91,".","NO"))</f>
        <v>.</v>
      </c>
      <c r="BO91" s="136" t="str">
        <f>IF($D91&lt;&gt;"Feature",".",
IF(VLOOKUP($B91,Feature_List!$A:$AM,MATCH(BO$1,  Feature_List!$A$1:$AM$1,0),0)=G91,".","NO"))</f>
        <v>.</v>
      </c>
      <c r="BP91" s="136" t="str">
        <f>IF($D91&lt;&gt;"Feature",".",
IF(VLOOKUP($B91,Feature_List!$A:$AM,MATCH(BP$1,  Feature_List!$A$1:$AM$1,0),0)=H91,".","NO"))</f>
        <v>.</v>
      </c>
      <c r="BQ91" s="136"/>
      <c r="BR91" s="136" t="str">
        <f>IF($D91&lt;&gt;"Feature",".",
IF(VLOOKUP($B91,Feature_List!$A:$AM,MATCH(BR$1,  Feature_List!$A$1:$AM$1,0),0)=J91,".","NO"))</f>
        <v>.</v>
      </c>
      <c r="BS91" s="136"/>
      <c r="BT91" s="136"/>
      <c r="BU91" s="136" t="str">
        <f>IF($D91&lt;&gt;"Feature",".",
IF(VLOOKUP($B91,Feature_List!$A:$AM,MATCH(BU$1,  Feature_List!$A$1:$AM$1,0),0)=M91,".","NO"))</f>
        <v>.</v>
      </c>
      <c r="BV91" s="136" t="str">
        <f>IF($D91&lt;&gt;"Feature",".",
IF(VLOOKUP($B91,Feature_List!$A:$AM,MATCH(BV$1,  Feature_List!$A$1:$AM$1,0),0)=N91,".","NO"))</f>
        <v>.</v>
      </c>
      <c r="BW91" s="136"/>
      <c r="BX91" s="136"/>
      <c r="BY91" s="136"/>
      <c r="BZ91" s="136"/>
      <c r="CA91" s="136"/>
      <c r="CB91" s="136" t="str">
        <f>IF($D91&lt;&gt;"Feature",".",
IF(VLOOKUP($B91,Feature_List!$A:$AM,MATCH(CB$1,  Feature_List!$A$1:$AM$1,0),0)=T91,".","NO"))</f>
        <v>.</v>
      </c>
      <c r="CC91" s="136"/>
      <c r="CD91" s="136"/>
      <c r="CE91" s="136"/>
      <c r="CF91" s="136"/>
      <c r="CG91" s="136"/>
      <c r="CH91" s="136"/>
      <c r="CI91" s="136"/>
      <c r="CJ91" s="136"/>
      <c r="CK91" s="136"/>
      <c r="CL91" s="136"/>
      <c r="CM91" s="136"/>
      <c r="CN91" s="136"/>
      <c r="CO91" s="136" t="str">
        <f>IF($D91&lt;&gt;"Feature",".",
IF(VLOOKUP($B91,Feature_List!$A:$AM,MATCH(CO$1,  Feature_List!$A$1:$AM$1,0),0)=AG91,".","NO"))</f>
        <v>.</v>
      </c>
      <c r="CP91" s="136" t="str">
        <f>IF($D91&lt;&gt;"Feature",".",
IF(VLOOKUP($B91,Feature_List!$A:$AM,MATCH(CP$1,  Feature_List!$A$1:$AM$1,0),0)=AH91,".","NO"))</f>
        <v>.</v>
      </c>
      <c r="CQ91" s="136" t="str">
        <f>IF($D91&lt;&gt;"Feature",".",
IF(VLOOKUP($B91,Feature_List!$A:$AM,MATCH(CQ$1,  Feature_List!$A$1:$AM$1,0),0)=AI91,".","NO"))</f>
        <v>.</v>
      </c>
      <c r="CR91" s="136" t="str">
        <f>IF($D91&lt;&gt;"Feature",".",
IF(VLOOKUP($B91,Feature_List!$A:$AM,MATCH(CR$1,  Feature_List!$A$1:$AM$1,0),0)=AJ91,".","NO"))</f>
        <v>.</v>
      </c>
      <c r="CS91" s="136" t="str">
        <f>IF($D91&lt;&gt;"Feature",".",
IF(VLOOKUP($B91,Feature_List!$A:$AM,MATCH(CS$1,  Feature_List!$A$1:$AM$1,0),0)=AK91,".","NO"))</f>
        <v>.</v>
      </c>
      <c r="CT91" s="136" t="str">
        <f>IF($D91&lt;&gt;"Feature",".",
IF(VLOOKUP($B91,Feature_List!$A:$AM,MATCH(CT$1,  Feature_List!$A$1:$AM$1,0),0)=AL91,".","NO"))</f>
        <v>.</v>
      </c>
      <c r="CU91" s="136" t="str">
        <f>IF($D91&lt;&gt;"Feature",".",
IF(VLOOKUP($B91,Feature_List!$A:$AM,MATCH(CU$1,  Feature_List!$A$1:$AM$1,0),0)=AM91,".","NO"))</f>
        <v>.</v>
      </c>
      <c r="CV91" s="136" t="str">
        <f>IF($D91&lt;&gt;"Feature",".",
IF(VLOOKUP($B91,Feature_List!$A:$AM,MATCH(CV$1,  Feature_List!$A$1:$AM$1,0),0)=AN91,".","NO"))</f>
        <v>.</v>
      </c>
      <c r="CW91" s="136" t="str">
        <f>IF($D91&lt;&gt;"Feature",".",
IF(VLOOKUP($B91,Feature_List!$A:$AM,MATCH(CW$1,  Feature_List!$A$1:$AM$1,0),0)=AO91,".","NO"))</f>
        <v>.</v>
      </c>
      <c r="CX91" s="136" t="str">
        <f>IF($D91&lt;&gt;"Feature",".",
IF(VLOOKUP($B91,Feature_List!$A:$AM,MATCH(CX$1,  Feature_List!$A$1:$AM$1,0),0)=AP91,".","NO"))</f>
        <v>.</v>
      </c>
      <c r="CY91" s="136" t="str">
        <f>IF($D91&lt;&gt;"Feature",".",
IF(VLOOKUP($B91,Feature_List!$A:$AM,MATCH(CY$1,  Feature_List!$A$1:$AM$1,0),0)=AQ91,".","NO"))</f>
        <v>.</v>
      </c>
      <c r="CZ91" s="136" t="str">
        <f>IF($D91&lt;&gt;"Feature",".",
IF(VLOOKUP($B91,Feature_List!$A:$AM,MATCH(CZ$1,  Feature_List!$A$1:$AM$1,0),0)=AR91,".","NO"))</f>
        <v>.</v>
      </c>
      <c r="DA91" s="136" t="str">
        <f>IF($D91&lt;&gt;"Feature",".",
IF(VLOOKUP($B91,Feature_List!$A:$AM,MATCH(DA$1,  Feature_List!$A$1:$AM$1,0),0)=AS91,".","NO"))</f>
        <v>.</v>
      </c>
      <c r="DB91" s="136" t="str">
        <f>IF($D91&lt;&gt;"Feature",".",
IF(VLOOKUP($B91,Feature_List!$A:$AM,MATCH(DB$1,  Feature_List!$A$1:$AM$1,0),0)=AT91,".","NO"))</f>
        <v>.</v>
      </c>
      <c r="DC91" s="136" t="str">
        <f>IF($D91&lt;&gt;"Feature",".",
IF(VLOOKUP($B91,Feature_List!$A:$AM,MATCH(DC$1,  Feature_List!$A$1:$AM$1,0),0)=AU91,".","NO"))</f>
        <v>.</v>
      </c>
      <c r="DD91" s="136" t="str">
        <f>IF($D91&lt;&gt;"Feature",".",
IF(VLOOKUP($B91,Feature_List!$A:$AM,MATCH(DD$1,  Feature_List!$A$1:$AM$1,0),0)=AV91,".","NO"))</f>
        <v>.</v>
      </c>
      <c r="DE91" s="136" t="str">
        <f>IF($D91&lt;&gt;"Feature",".",
IF(VLOOKUP($B91,Feature_List!$A:$AM,MATCH(DE$1,  Feature_List!$A$1:$AM$1,0),0)=AW91,".","NO"))</f>
        <v>.</v>
      </c>
      <c r="DF91" s="136" t="str">
        <f>IF($D91&lt;&gt;"Feature",".",
IF(VLOOKUP($B91,Feature_List!$A:$AM,MATCH(DF$1,  Feature_List!$A$1:$AM$1,0),0)=AX91,".","NO"))</f>
        <v>.</v>
      </c>
      <c r="DG91" s="136" t="str">
        <f>IF($D91&lt;&gt;"Feature",".",
IF(VLOOKUP($B91,Feature_List!$A:$AM,MATCH(DG$1,  Feature_List!$A$1:$AM$1,0),0)=AY91,".","NO"))</f>
        <v>.</v>
      </c>
      <c r="DH91" s="136" t="str">
        <f>IF($D91&lt;&gt;"Feature",".",
IF(VLOOKUP($B91,Feature_List!$A:$AM,MATCH(DH$1,  Feature_List!$A$1:$AM$1,0),0)=AZ91,".","NO"))</f>
        <v>.</v>
      </c>
      <c r="DI91" s="136" t="str">
        <f>IF($D91&lt;&gt;"Feature",".",
IF(VLOOKUP($B91,Feature_List!$A:$AM,MATCH(DI$1,  Feature_List!$A$1:$AM$1,0),0)=BA91,".","NO"))</f>
        <v>.</v>
      </c>
      <c r="DJ91" s="136" t="str">
        <f>IF($D91&lt;&gt;"Feature",".",
IF(VLOOKUP($B91,Feature_List!$A:$AM,MATCH(DJ$1,  Feature_List!$A$1:$AM$1,0),0)=BB91,".","NO"))</f>
        <v>.</v>
      </c>
      <c r="DK91" s="136"/>
      <c r="DL91" s="136"/>
      <c r="DM91" s="136"/>
      <c r="DN91" s="136" t="str">
        <f>IF($D91&lt;&gt;"Feature",".",
IF(VLOOKUP($B91,Feature_List!$A:$AM,MATCH(DN$1,  Feature_List!$A$1:$AM$1,0),0)=BC91,".","NO"))</f>
        <v>.</v>
      </c>
      <c r="DO91" s="136" t="str">
        <f>IF($D91&lt;&gt;"Feature",".",
IF(VLOOKUP($B91,Feature_List!$A:$AM,MATCH(DO$1,  Feature_List!$A$1:$AM$1,0),0)=BD91,".","NO"))</f>
        <v>.</v>
      </c>
    </row>
    <row r="92" spans="2:119" x14ac:dyDescent="0.3">
      <c r="B92" s="121"/>
      <c r="C92" s="122"/>
      <c r="D92" s="122"/>
      <c r="E92" s="122"/>
      <c r="F92" s="138"/>
      <c r="G92" s="123"/>
      <c r="H92" s="122"/>
      <c r="I92" s="124"/>
      <c r="J92" s="138"/>
      <c r="K92" s="123"/>
      <c r="L92" s="122"/>
      <c r="M92" s="122"/>
      <c r="N92" s="125"/>
      <c r="O92" s="123">
        <f t="shared" si="38"/>
        <v>0</v>
      </c>
      <c r="P92" s="123">
        <f t="shared" si="39"/>
        <v>0</v>
      </c>
      <c r="Q92" s="122" t="str">
        <f t="shared" si="61"/>
        <v>ZeroEntry</v>
      </c>
      <c r="R92" s="126" t="str">
        <f t="shared" si="40"/>
        <v>ZeroEntry</v>
      </c>
      <c r="S92" s="127" t="str">
        <f t="shared" si="41"/>
        <v>ZeroEntry</v>
      </c>
      <c r="T92" s="128" t="str">
        <f>IF($Q92="ZeroEntry", "",VLOOKUP($I92,'Ranking Lookup'!#REF!,2,FALSE))</f>
        <v/>
      </c>
      <c r="U92" s="129" t="str">
        <f t="shared" si="42"/>
        <v/>
      </c>
      <c r="V92" s="129" t="str">
        <f t="shared" si="43"/>
        <v/>
      </c>
      <c r="W92" s="129" t="str">
        <f t="shared" si="44"/>
        <v/>
      </c>
      <c r="X92" s="129" t="str">
        <f t="shared" si="45"/>
        <v/>
      </c>
      <c r="Y92" s="129" t="str">
        <f t="shared" si="46"/>
        <v/>
      </c>
      <c r="Z92" s="129" t="str">
        <f t="shared" si="47"/>
        <v/>
      </c>
      <c r="AA92" s="130"/>
      <c r="AB92" s="130" t="str">
        <f t="shared" si="48"/>
        <v>Unassigned</v>
      </c>
      <c r="AC92" s="131" t="str">
        <f t="shared" si="62"/>
        <v/>
      </c>
      <c r="AD92" s="131" t="str">
        <f t="shared" si="63"/>
        <v/>
      </c>
      <c r="AE92" s="132">
        <f t="shared" si="49"/>
        <v>0</v>
      </c>
      <c r="AF92" s="133" t="str">
        <f t="shared" si="64"/>
        <v/>
      </c>
      <c r="AG92" s="134">
        <f t="shared" si="50"/>
        <v>0</v>
      </c>
      <c r="AH92" s="54" t="str">
        <f t="shared" si="51"/>
        <v/>
      </c>
      <c r="AI92" s="54" t="str">
        <f t="shared" si="66"/>
        <v/>
      </c>
      <c r="AJ92" s="54" t="str">
        <f t="shared" si="66"/>
        <v/>
      </c>
      <c r="AK92" s="54" t="str">
        <f t="shared" si="66"/>
        <v/>
      </c>
      <c r="AL92" s="54" t="str">
        <f t="shared" si="66"/>
        <v/>
      </c>
      <c r="AM92" s="54" t="str">
        <f t="shared" si="66"/>
        <v/>
      </c>
      <c r="AN92" s="54" t="str">
        <f t="shared" si="66"/>
        <v/>
      </c>
      <c r="AO92" s="54" t="str">
        <f t="shared" si="66"/>
        <v/>
      </c>
      <c r="AP92" s="54" t="str">
        <f t="shared" si="66"/>
        <v/>
      </c>
      <c r="AQ92" s="54" t="str">
        <f t="shared" si="66"/>
        <v/>
      </c>
      <c r="AR92" s="54" t="str">
        <f t="shared" si="66"/>
        <v/>
      </c>
      <c r="AS92" s="54" t="str">
        <f t="shared" si="66"/>
        <v/>
      </c>
      <c r="AT92" s="54" t="str">
        <f t="shared" si="66"/>
        <v/>
      </c>
      <c r="AU92" s="54" t="str">
        <f t="shared" si="66"/>
        <v/>
      </c>
      <c r="AV92" s="54" t="str">
        <f t="shared" si="66"/>
        <v/>
      </c>
      <c r="AW92" s="54" t="str">
        <f t="shared" si="66"/>
        <v/>
      </c>
      <c r="AX92" s="54" t="str">
        <f t="shared" si="66"/>
        <v/>
      </c>
      <c r="AY92" s="54" t="str">
        <f t="shared" si="53"/>
        <v/>
      </c>
      <c r="AZ92" s="54" t="str">
        <f t="shared" si="54"/>
        <v/>
      </c>
      <c r="BA92" s="54" t="str">
        <f t="shared" si="55"/>
        <v/>
      </c>
      <c r="BB92" s="135" t="str">
        <f t="shared" si="56"/>
        <v/>
      </c>
      <c r="BC92" s="54" t="str">
        <f t="shared" si="67"/>
        <v/>
      </c>
      <c r="BD92" s="54" t="str">
        <f t="shared" si="67"/>
        <v/>
      </c>
      <c r="BE92" s="54" t="str">
        <f t="shared" si="67"/>
        <v/>
      </c>
      <c r="BF92" s="54" t="str">
        <f t="shared" si="57"/>
        <v/>
      </c>
      <c r="BG92" s="54" t="str">
        <f t="shared" si="58"/>
        <v/>
      </c>
      <c r="BH92" s="34" t="str">
        <f t="shared" si="59"/>
        <v>Bad</v>
      </c>
      <c r="BI92" s="34" t="str">
        <f t="shared" si="60"/>
        <v>No</v>
      </c>
      <c r="BJ92" s="136" t="str">
        <f>IF($D92&lt;&gt;"Feature",".",
IF(VLOOKUP($B92,Feature_List!$A:$AM,MATCH(BJ$1,  Feature_List!$A$1:$AM$1,0),0)=B92,".","NO"))</f>
        <v>.</v>
      </c>
      <c r="BK92" s="136"/>
      <c r="BL92" s="136"/>
      <c r="BM92" s="136" t="str">
        <f>IF($D92&lt;&gt;"Feature",".",
IF(VLOOKUP($B92,Feature_List!$A:$AM,MATCH(BM$1,  Feature_List!$A$1:$AM$1,0),0)=E92,".","NO"))</f>
        <v>.</v>
      </c>
      <c r="BN92" s="136" t="str">
        <f>IF($D92&lt;&gt;"Feature",".",
IF(VLOOKUP($B92,Feature_List!$A:$AM,MATCH(BN$1,  Feature_List!$A$1:$AM$1,0),0)=F92,".","NO"))</f>
        <v>.</v>
      </c>
      <c r="BO92" s="136" t="str">
        <f>IF($D92&lt;&gt;"Feature",".",
IF(VLOOKUP($B92,Feature_List!$A:$AM,MATCH(BO$1,  Feature_List!$A$1:$AM$1,0),0)=G92,".","NO"))</f>
        <v>.</v>
      </c>
      <c r="BP92" s="136" t="str">
        <f>IF($D92&lt;&gt;"Feature",".",
IF(VLOOKUP($B92,Feature_List!$A:$AM,MATCH(BP$1,  Feature_List!$A$1:$AM$1,0),0)=H92,".","NO"))</f>
        <v>.</v>
      </c>
      <c r="BQ92" s="136"/>
      <c r="BR92" s="136" t="str">
        <f>IF($D92&lt;&gt;"Feature",".",
IF(VLOOKUP($B92,Feature_List!$A:$AM,MATCH(BR$1,  Feature_List!$A$1:$AM$1,0),0)=J92,".","NO"))</f>
        <v>.</v>
      </c>
      <c r="BS92" s="136"/>
      <c r="BT92" s="136"/>
      <c r="BU92" s="136" t="str">
        <f>IF($D92&lt;&gt;"Feature",".",
IF(VLOOKUP($B92,Feature_List!$A:$AM,MATCH(BU$1,  Feature_List!$A$1:$AM$1,0),0)=M92,".","NO"))</f>
        <v>.</v>
      </c>
      <c r="BV92" s="136" t="str">
        <f>IF($D92&lt;&gt;"Feature",".",
IF(VLOOKUP($B92,Feature_List!$A:$AM,MATCH(BV$1,  Feature_List!$A$1:$AM$1,0),0)=N92,".","NO"))</f>
        <v>.</v>
      </c>
      <c r="BW92" s="136"/>
      <c r="BX92" s="136"/>
      <c r="BY92" s="136"/>
      <c r="BZ92" s="136"/>
      <c r="CA92" s="136"/>
      <c r="CB92" s="136" t="str">
        <f>IF($D92&lt;&gt;"Feature",".",
IF(VLOOKUP($B92,Feature_List!$A:$AM,MATCH(CB$1,  Feature_List!$A$1:$AM$1,0),0)=T92,".","NO"))</f>
        <v>.</v>
      </c>
      <c r="CC92" s="136"/>
      <c r="CD92" s="136"/>
      <c r="CE92" s="136"/>
      <c r="CF92" s="136"/>
      <c r="CG92" s="136"/>
      <c r="CH92" s="136"/>
      <c r="CI92" s="136"/>
      <c r="CJ92" s="136"/>
      <c r="CK92" s="136"/>
      <c r="CL92" s="136"/>
      <c r="CM92" s="136"/>
      <c r="CN92" s="136"/>
      <c r="CO92" s="136" t="str">
        <f>IF($D92&lt;&gt;"Feature",".",
IF(VLOOKUP($B92,Feature_List!$A:$AM,MATCH(CO$1,  Feature_List!$A$1:$AM$1,0),0)=AG92,".","NO"))</f>
        <v>.</v>
      </c>
      <c r="CP92" s="136" t="str">
        <f>IF($D92&lt;&gt;"Feature",".",
IF(VLOOKUP($B92,Feature_List!$A:$AM,MATCH(CP$1,  Feature_List!$A$1:$AM$1,0),0)=AH92,".","NO"))</f>
        <v>.</v>
      </c>
      <c r="CQ92" s="136" t="str">
        <f>IF($D92&lt;&gt;"Feature",".",
IF(VLOOKUP($B92,Feature_List!$A:$AM,MATCH(CQ$1,  Feature_List!$A$1:$AM$1,0),0)=AI92,".","NO"))</f>
        <v>.</v>
      </c>
      <c r="CR92" s="136" t="str">
        <f>IF($D92&lt;&gt;"Feature",".",
IF(VLOOKUP($B92,Feature_List!$A:$AM,MATCH(CR$1,  Feature_List!$A$1:$AM$1,0),0)=AJ92,".","NO"))</f>
        <v>.</v>
      </c>
      <c r="CS92" s="136" t="str">
        <f>IF($D92&lt;&gt;"Feature",".",
IF(VLOOKUP($B92,Feature_List!$A:$AM,MATCH(CS$1,  Feature_List!$A$1:$AM$1,0),0)=AK92,".","NO"))</f>
        <v>.</v>
      </c>
      <c r="CT92" s="136" t="str">
        <f>IF($D92&lt;&gt;"Feature",".",
IF(VLOOKUP($B92,Feature_List!$A:$AM,MATCH(CT$1,  Feature_List!$A$1:$AM$1,0),0)=AL92,".","NO"))</f>
        <v>.</v>
      </c>
      <c r="CU92" s="136" t="str">
        <f>IF($D92&lt;&gt;"Feature",".",
IF(VLOOKUP($B92,Feature_List!$A:$AM,MATCH(CU$1,  Feature_List!$A$1:$AM$1,0),0)=AM92,".","NO"))</f>
        <v>.</v>
      </c>
      <c r="CV92" s="136" t="str">
        <f>IF($D92&lt;&gt;"Feature",".",
IF(VLOOKUP($B92,Feature_List!$A:$AM,MATCH(CV$1,  Feature_List!$A$1:$AM$1,0),0)=AN92,".","NO"))</f>
        <v>.</v>
      </c>
      <c r="CW92" s="136" t="str">
        <f>IF($D92&lt;&gt;"Feature",".",
IF(VLOOKUP($B92,Feature_List!$A:$AM,MATCH(CW$1,  Feature_List!$A$1:$AM$1,0),0)=AO92,".","NO"))</f>
        <v>.</v>
      </c>
      <c r="CX92" s="136" t="str">
        <f>IF($D92&lt;&gt;"Feature",".",
IF(VLOOKUP($B92,Feature_List!$A:$AM,MATCH(CX$1,  Feature_List!$A$1:$AM$1,0),0)=AP92,".","NO"))</f>
        <v>.</v>
      </c>
      <c r="CY92" s="136" t="str">
        <f>IF($D92&lt;&gt;"Feature",".",
IF(VLOOKUP($B92,Feature_List!$A:$AM,MATCH(CY$1,  Feature_List!$A$1:$AM$1,0),0)=AQ92,".","NO"))</f>
        <v>.</v>
      </c>
      <c r="CZ92" s="136" t="str">
        <f>IF($D92&lt;&gt;"Feature",".",
IF(VLOOKUP($B92,Feature_List!$A:$AM,MATCH(CZ$1,  Feature_List!$A$1:$AM$1,0),0)=AR92,".","NO"))</f>
        <v>.</v>
      </c>
      <c r="DA92" s="136" t="str">
        <f>IF($D92&lt;&gt;"Feature",".",
IF(VLOOKUP($B92,Feature_List!$A:$AM,MATCH(DA$1,  Feature_List!$A$1:$AM$1,0),0)=AS92,".","NO"))</f>
        <v>.</v>
      </c>
      <c r="DB92" s="136" t="str">
        <f>IF($D92&lt;&gt;"Feature",".",
IF(VLOOKUP($B92,Feature_List!$A:$AM,MATCH(DB$1,  Feature_List!$A$1:$AM$1,0),0)=AT92,".","NO"))</f>
        <v>.</v>
      </c>
      <c r="DC92" s="136" t="str">
        <f>IF($D92&lt;&gt;"Feature",".",
IF(VLOOKUP($B92,Feature_List!$A:$AM,MATCH(DC$1,  Feature_List!$A$1:$AM$1,0),0)=AU92,".","NO"))</f>
        <v>.</v>
      </c>
      <c r="DD92" s="136" t="str">
        <f>IF($D92&lt;&gt;"Feature",".",
IF(VLOOKUP($B92,Feature_List!$A:$AM,MATCH(DD$1,  Feature_List!$A$1:$AM$1,0),0)=AV92,".","NO"))</f>
        <v>.</v>
      </c>
      <c r="DE92" s="136" t="str">
        <f>IF($D92&lt;&gt;"Feature",".",
IF(VLOOKUP($B92,Feature_List!$A:$AM,MATCH(DE$1,  Feature_List!$A$1:$AM$1,0),0)=AW92,".","NO"))</f>
        <v>.</v>
      </c>
      <c r="DF92" s="136" t="str">
        <f>IF($D92&lt;&gt;"Feature",".",
IF(VLOOKUP($B92,Feature_List!$A:$AM,MATCH(DF$1,  Feature_List!$A$1:$AM$1,0),0)=AX92,".","NO"))</f>
        <v>.</v>
      </c>
      <c r="DG92" s="136" t="str">
        <f>IF($D92&lt;&gt;"Feature",".",
IF(VLOOKUP($B92,Feature_List!$A:$AM,MATCH(DG$1,  Feature_List!$A$1:$AM$1,0),0)=AY92,".","NO"))</f>
        <v>.</v>
      </c>
      <c r="DH92" s="136" t="str">
        <f>IF($D92&lt;&gt;"Feature",".",
IF(VLOOKUP($B92,Feature_List!$A:$AM,MATCH(DH$1,  Feature_List!$A$1:$AM$1,0),0)=AZ92,".","NO"))</f>
        <v>.</v>
      </c>
      <c r="DI92" s="136" t="str">
        <f>IF($D92&lt;&gt;"Feature",".",
IF(VLOOKUP($B92,Feature_List!$A:$AM,MATCH(DI$1,  Feature_List!$A$1:$AM$1,0),0)=BA92,".","NO"))</f>
        <v>.</v>
      </c>
      <c r="DJ92" s="136" t="str">
        <f>IF($D92&lt;&gt;"Feature",".",
IF(VLOOKUP($B92,Feature_List!$A:$AM,MATCH(DJ$1,  Feature_List!$A$1:$AM$1,0),0)=BB92,".","NO"))</f>
        <v>.</v>
      </c>
      <c r="DK92" s="136"/>
      <c r="DL92" s="136"/>
      <c r="DM92" s="136"/>
      <c r="DN92" s="136" t="str">
        <f>IF($D92&lt;&gt;"Feature",".",
IF(VLOOKUP($B92,Feature_List!$A:$AM,MATCH(DN$1,  Feature_List!$A$1:$AM$1,0),0)=BC92,".","NO"))</f>
        <v>.</v>
      </c>
      <c r="DO92" s="136" t="str">
        <f>IF($D92&lt;&gt;"Feature",".",
IF(VLOOKUP($B92,Feature_List!$A:$AM,MATCH(DO$1,  Feature_List!$A$1:$AM$1,0),0)=BD92,".","NO"))</f>
        <v>.</v>
      </c>
    </row>
    <row r="93" spans="2:119" x14ac:dyDescent="0.3">
      <c r="B93" s="121"/>
      <c r="C93" s="122"/>
      <c r="D93" s="122"/>
      <c r="E93" s="122"/>
      <c r="F93" s="138"/>
      <c r="G93" s="123"/>
      <c r="H93" s="122"/>
      <c r="I93" s="124"/>
      <c r="J93" s="138"/>
      <c r="K93" s="123"/>
      <c r="L93" s="122"/>
      <c r="M93" s="122"/>
      <c r="N93" s="125"/>
      <c r="O93" s="123">
        <f t="shared" si="38"/>
        <v>0</v>
      </c>
      <c r="P93" s="123">
        <f t="shared" si="39"/>
        <v>0</v>
      </c>
      <c r="Q93" s="122" t="str">
        <f t="shared" si="61"/>
        <v>ZeroEntry</v>
      </c>
      <c r="R93" s="126" t="str">
        <f t="shared" si="40"/>
        <v>ZeroEntry</v>
      </c>
      <c r="S93" s="127" t="str">
        <f t="shared" si="41"/>
        <v>ZeroEntry</v>
      </c>
      <c r="T93" s="128" t="str">
        <f>IF($Q93="ZeroEntry", "",VLOOKUP($I93,'Ranking Lookup'!#REF!,2,FALSE))</f>
        <v/>
      </c>
      <c r="U93" s="129" t="str">
        <f t="shared" si="42"/>
        <v/>
      </c>
      <c r="V93" s="129" t="str">
        <f t="shared" si="43"/>
        <v/>
      </c>
      <c r="W93" s="129" t="str">
        <f t="shared" si="44"/>
        <v/>
      </c>
      <c r="X93" s="129" t="str">
        <f t="shared" si="45"/>
        <v/>
      </c>
      <c r="Y93" s="129" t="str">
        <f t="shared" si="46"/>
        <v/>
      </c>
      <c r="Z93" s="129" t="str">
        <f t="shared" si="47"/>
        <v/>
      </c>
      <c r="AA93" s="130"/>
      <c r="AB93" s="130" t="str">
        <f t="shared" si="48"/>
        <v>Unassigned</v>
      </c>
      <c r="AC93" s="131" t="str">
        <f t="shared" si="62"/>
        <v/>
      </c>
      <c r="AD93" s="131" t="str">
        <f t="shared" si="63"/>
        <v/>
      </c>
      <c r="AE93" s="132">
        <f t="shared" si="49"/>
        <v>0</v>
      </c>
      <c r="AF93" s="133" t="str">
        <f t="shared" si="64"/>
        <v/>
      </c>
      <c r="AG93" s="134">
        <f t="shared" si="50"/>
        <v>0</v>
      </c>
      <c r="AH93" s="54" t="str">
        <f t="shared" si="51"/>
        <v/>
      </c>
      <c r="AI93" s="54" t="str">
        <f t="shared" si="66"/>
        <v/>
      </c>
      <c r="AJ93" s="54" t="str">
        <f t="shared" si="66"/>
        <v/>
      </c>
      <c r="AK93" s="54" t="str">
        <f t="shared" si="66"/>
        <v/>
      </c>
      <c r="AL93" s="54" t="str">
        <f t="shared" si="66"/>
        <v/>
      </c>
      <c r="AM93" s="54" t="str">
        <f t="shared" si="66"/>
        <v/>
      </c>
      <c r="AN93" s="54" t="str">
        <f t="shared" si="66"/>
        <v/>
      </c>
      <c r="AO93" s="54" t="str">
        <f t="shared" si="66"/>
        <v/>
      </c>
      <c r="AP93" s="54" t="str">
        <f t="shared" si="66"/>
        <v/>
      </c>
      <c r="AQ93" s="54" t="str">
        <f t="shared" si="66"/>
        <v/>
      </c>
      <c r="AR93" s="54" t="str">
        <f t="shared" si="66"/>
        <v/>
      </c>
      <c r="AS93" s="54" t="str">
        <f t="shared" si="66"/>
        <v/>
      </c>
      <c r="AT93" s="54" t="str">
        <f t="shared" si="66"/>
        <v/>
      </c>
      <c r="AU93" s="54" t="str">
        <f t="shared" si="66"/>
        <v/>
      </c>
      <c r="AV93" s="54" t="str">
        <f t="shared" si="66"/>
        <v/>
      </c>
      <c r="AW93" s="54" t="str">
        <f t="shared" si="66"/>
        <v/>
      </c>
      <c r="AX93" s="54" t="str">
        <f t="shared" si="66"/>
        <v/>
      </c>
      <c r="AY93" s="54" t="str">
        <f t="shared" si="53"/>
        <v/>
      </c>
      <c r="AZ93" s="54" t="str">
        <f t="shared" si="54"/>
        <v/>
      </c>
      <c r="BA93" s="54" t="str">
        <f t="shared" si="55"/>
        <v/>
      </c>
      <c r="BB93" s="135" t="str">
        <f t="shared" si="56"/>
        <v/>
      </c>
      <c r="BC93" s="54" t="str">
        <f t="shared" si="67"/>
        <v/>
      </c>
      <c r="BD93" s="54" t="str">
        <f t="shared" si="67"/>
        <v/>
      </c>
      <c r="BE93" s="54" t="str">
        <f t="shared" si="67"/>
        <v/>
      </c>
      <c r="BF93" s="54" t="str">
        <f t="shared" si="57"/>
        <v/>
      </c>
      <c r="BG93" s="54" t="str">
        <f t="shared" si="58"/>
        <v/>
      </c>
      <c r="BH93" s="34" t="str">
        <f t="shared" si="59"/>
        <v>Bad</v>
      </c>
      <c r="BI93" s="34" t="str">
        <f t="shared" si="60"/>
        <v>No</v>
      </c>
      <c r="BJ93" s="136" t="str">
        <f>IF($D93&lt;&gt;"Feature",".",
IF(VLOOKUP($B93,Feature_List!$A:$AM,MATCH(BJ$1,  Feature_List!$A$1:$AM$1,0),0)=B93,".","NO"))</f>
        <v>.</v>
      </c>
      <c r="BK93" s="136"/>
      <c r="BL93" s="136"/>
      <c r="BM93" s="136" t="str">
        <f>IF($D93&lt;&gt;"Feature",".",
IF(VLOOKUP($B93,Feature_List!$A:$AM,MATCH(BM$1,  Feature_List!$A$1:$AM$1,0),0)=E93,".","NO"))</f>
        <v>.</v>
      </c>
      <c r="BN93" s="136" t="str">
        <f>IF($D93&lt;&gt;"Feature",".",
IF(VLOOKUP($B93,Feature_List!$A:$AM,MATCH(BN$1,  Feature_List!$A$1:$AM$1,0),0)=F93,".","NO"))</f>
        <v>.</v>
      </c>
      <c r="BO93" s="136" t="str">
        <f>IF($D93&lt;&gt;"Feature",".",
IF(VLOOKUP($B93,Feature_List!$A:$AM,MATCH(BO$1,  Feature_List!$A$1:$AM$1,0),0)=G93,".","NO"))</f>
        <v>.</v>
      </c>
      <c r="BP93" s="136" t="str">
        <f>IF($D93&lt;&gt;"Feature",".",
IF(VLOOKUP($B93,Feature_List!$A:$AM,MATCH(BP$1,  Feature_List!$A$1:$AM$1,0),0)=H93,".","NO"))</f>
        <v>.</v>
      </c>
      <c r="BQ93" s="136"/>
      <c r="BR93" s="136" t="str">
        <f>IF($D93&lt;&gt;"Feature",".",
IF(VLOOKUP($B93,Feature_List!$A:$AM,MATCH(BR$1,  Feature_List!$A$1:$AM$1,0),0)=J93,".","NO"))</f>
        <v>.</v>
      </c>
      <c r="BS93" s="136"/>
      <c r="BT93" s="136"/>
      <c r="BU93" s="136" t="str">
        <f>IF($D93&lt;&gt;"Feature",".",
IF(VLOOKUP($B93,Feature_List!$A:$AM,MATCH(BU$1,  Feature_List!$A$1:$AM$1,0),0)=M93,".","NO"))</f>
        <v>.</v>
      </c>
      <c r="BV93" s="136" t="str">
        <f>IF($D93&lt;&gt;"Feature",".",
IF(VLOOKUP($B93,Feature_List!$A:$AM,MATCH(BV$1,  Feature_List!$A$1:$AM$1,0),0)=N93,".","NO"))</f>
        <v>.</v>
      </c>
      <c r="BW93" s="136"/>
      <c r="BX93" s="136"/>
      <c r="BY93" s="136"/>
      <c r="BZ93" s="136"/>
      <c r="CA93" s="136"/>
      <c r="CB93" s="136" t="str">
        <f>IF($D93&lt;&gt;"Feature",".",
IF(VLOOKUP($B93,Feature_List!$A:$AM,MATCH(CB$1,  Feature_List!$A$1:$AM$1,0),0)=T93,".","NO"))</f>
        <v>.</v>
      </c>
      <c r="CC93" s="136"/>
      <c r="CD93" s="136"/>
      <c r="CE93" s="136"/>
      <c r="CF93" s="136"/>
      <c r="CG93" s="136"/>
      <c r="CH93" s="136"/>
      <c r="CI93" s="136"/>
      <c r="CJ93" s="136"/>
      <c r="CK93" s="136"/>
      <c r="CL93" s="136"/>
      <c r="CM93" s="136"/>
      <c r="CN93" s="136"/>
      <c r="CO93" s="136" t="str">
        <f>IF($D93&lt;&gt;"Feature",".",
IF(VLOOKUP($B93,Feature_List!$A:$AM,MATCH(CO$1,  Feature_List!$A$1:$AM$1,0),0)=AG93,".","NO"))</f>
        <v>.</v>
      </c>
      <c r="CP93" s="136" t="str">
        <f>IF($D93&lt;&gt;"Feature",".",
IF(VLOOKUP($B93,Feature_List!$A:$AM,MATCH(CP$1,  Feature_List!$A$1:$AM$1,0),0)=AH93,".","NO"))</f>
        <v>.</v>
      </c>
      <c r="CQ93" s="136" t="str">
        <f>IF($D93&lt;&gt;"Feature",".",
IF(VLOOKUP($B93,Feature_List!$A:$AM,MATCH(CQ$1,  Feature_List!$A$1:$AM$1,0),0)=AI93,".","NO"))</f>
        <v>.</v>
      </c>
      <c r="CR93" s="136" t="str">
        <f>IF($D93&lt;&gt;"Feature",".",
IF(VLOOKUP($B93,Feature_List!$A:$AM,MATCH(CR$1,  Feature_List!$A$1:$AM$1,0),0)=AJ93,".","NO"))</f>
        <v>.</v>
      </c>
      <c r="CS93" s="136" t="str">
        <f>IF($D93&lt;&gt;"Feature",".",
IF(VLOOKUP($B93,Feature_List!$A:$AM,MATCH(CS$1,  Feature_List!$A$1:$AM$1,0),0)=AK93,".","NO"))</f>
        <v>.</v>
      </c>
      <c r="CT93" s="136" t="str">
        <f>IF($D93&lt;&gt;"Feature",".",
IF(VLOOKUP($B93,Feature_List!$A:$AM,MATCH(CT$1,  Feature_List!$A$1:$AM$1,0),0)=AL93,".","NO"))</f>
        <v>.</v>
      </c>
      <c r="CU93" s="136" t="str">
        <f>IF($D93&lt;&gt;"Feature",".",
IF(VLOOKUP($B93,Feature_List!$A:$AM,MATCH(CU$1,  Feature_List!$A$1:$AM$1,0),0)=AM93,".","NO"))</f>
        <v>.</v>
      </c>
      <c r="CV93" s="136" t="str">
        <f>IF($D93&lt;&gt;"Feature",".",
IF(VLOOKUP($B93,Feature_List!$A:$AM,MATCH(CV$1,  Feature_List!$A$1:$AM$1,0),0)=AN93,".","NO"))</f>
        <v>.</v>
      </c>
      <c r="CW93" s="136" t="str">
        <f>IF($D93&lt;&gt;"Feature",".",
IF(VLOOKUP($B93,Feature_List!$A:$AM,MATCH(CW$1,  Feature_List!$A$1:$AM$1,0),0)=AO93,".","NO"))</f>
        <v>.</v>
      </c>
      <c r="CX93" s="136" t="str">
        <f>IF($D93&lt;&gt;"Feature",".",
IF(VLOOKUP($B93,Feature_List!$A:$AM,MATCH(CX$1,  Feature_List!$A$1:$AM$1,0),0)=AP93,".","NO"))</f>
        <v>.</v>
      </c>
      <c r="CY93" s="136" t="str">
        <f>IF($D93&lt;&gt;"Feature",".",
IF(VLOOKUP($B93,Feature_List!$A:$AM,MATCH(CY$1,  Feature_List!$A$1:$AM$1,0),0)=AQ93,".","NO"))</f>
        <v>.</v>
      </c>
      <c r="CZ93" s="136" t="str">
        <f>IF($D93&lt;&gt;"Feature",".",
IF(VLOOKUP($B93,Feature_List!$A:$AM,MATCH(CZ$1,  Feature_List!$A$1:$AM$1,0),0)=AR93,".","NO"))</f>
        <v>.</v>
      </c>
      <c r="DA93" s="136" t="str">
        <f>IF($D93&lt;&gt;"Feature",".",
IF(VLOOKUP($B93,Feature_List!$A:$AM,MATCH(DA$1,  Feature_List!$A$1:$AM$1,0),0)=AS93,".","NO"))</f>
        <v>.</v>
      </c>
      <c r="DB93" s="136" t="str">
        <f>IF($D93&lt;&gt;"Feature",".",
IF(VLOOKUP($B93,Feature_List!$A:$AM,MATCH(DB$1,  Feature_List!$A$1:$AM$1,0),0)=AT93,".","NO"))</f>
        <v>.</v>
      </c>
      <c r="DC93" s="136" t="str">
        <f>IF($D93&lt;&gt;"Feature",".",
IF(VLOOKUP($B93,Feature_List!$A:$AM,MATCH(DC$1,  Feature_List!$A$1:$AM$1,0),0)=AU93,".","NO"))</f>
        <v>.</v>
      </c>
      <c r="DD93" s="136" t="str">
        <f>IF($D93&lt;&gt;"Feature",".",
IF(VLOOKUP($B93,Feature_List!$A:$AM,MATCH(DD$1,  Feature_List!$A$1:$AM$1,0),0)=AV93,".","NO"))</f>
        <v>.</v>
      </c>
      <c r="DE93" s="136" t="str">
        <f>IF($D93&lt;&gt;"Feature",".",
IF(VLOOKUP($B93,Feature_List!$A:$AM,MATCH(DE$1,  Feature_List!$A$1:$AM$1,0),0)=AW93,".","NO"))</f>
        <v>.</v>
      </c>
      <c r="DF93" s="136" t="str">
        <f>IF($D93&lt;&gt;"Feature",".",
IF(VLOOKUP($B93,Feature_List!$A:$AM,MATCH(DF$1,  Feature_List!$A$1:$AM$1,0),0)=AX93,".","NO"))</f>
        <v>.</v>
      </c>
      <c r="DG93" s="136" t="str">
        <f>IF($D93&lt;&gt;"Feature",".",
IF(VLOOKUP($B93,Feature_List!$A:$AM,MATCH(DG$1,  Feature_List!$A$1:$AM$1,0),0)=AY93,".","NO"))</f>
        <v>.</v>
      </c>
      <c r="DH93" s="136" t="str">
        <f>IF($D93&lt;&gt;"Feature",".",
IF(VLOOKUP($B93,Feature_List!$A:$AM,MATCH(DH$1,  Feature_List!$A$1:$AM$1,0),0)=AZ93,".","NO"))</f>
        <v>.</v>
      </c>
      <c r="DI93" s="136" t="str">
        <f>IF($D93&lt;&gt;"Feature",".",
IF(VLOOKUP($B93,Feature_List!$A:$AM,MATCH(DI$1,  Feature_List!$A$1:$AM$1,0),0)=BA93,".","NO"))</f>
        <v>.</v>
      </c>
      <c r="DJ93" s="136" t="str">
        <f>IF($D93&lt;&gt;"Feature",".",
IF(VLOOKUP($B93,Feature_List!$A:$AM,MATCH(DJ$1,  Feature_List!$A$1:$AM$1,0),0)=BB93,".","NO"))</f>
        <v>.</v>
      </c>
      <c r="DK93" s="136"/>
      <c r="DL93" s="136"/>
      <c r="DM93" s="136"/>
      <c r="DN93" s="136" t="str">
        <f>IF($D93&lt;&gt;"Feature",".",
IF(VLOOKUP($B93,Feature_List!$A:$AM,MATCH(DN$1,  Feature_List!$A$1:$AM$1,0),0)=BC93,".","NO"))</f>
        <v>.</v>
      </c>
      <c r="DO93" s="136" t="str">
        <f>IF($D93&lt;&gt;"Feature",".",
IF(VLOOKUP($B93,Feature_List!$A:$AM,MATCH(DO$1,  Feature_List!$A$1:$AM$1,0),0)=BD93,".","NO"))</f>
        <v>.</v>
      </c>
    </row>
    <row r="94" spans="2:119" x14ac:dyDescent="0.3">
      <c r="B94" s="121"/>
      <c r="C94" s="122"/>
      <c r="D94" s="122"/>
      <c r="E94" s="122"/>
      <c r="F94" s="138"/>
      <c r="G94" s="123"/>
      <c r="H94" s="122"/>
      <c r="I94" s="124"/>
      <c r="J94" s="138"/>
      <c r="K94" s="123"/>
      <c r="L94" s="122"/>
      <c r="M94" s="122"/>
      <c r="N94" s="125"/>
      <c r="O94" s="123">
        <f t="shared" si="38"/>
        <v>0</v>
      </c>
      <c r="P94" s="123">
        <f t="shared" si="39"/>
        <v>0</v>
      </c>
      <c r="Q94" s="122" t="str">
        <f t="shared" si="61"/>
        <v>ZeroEntry</v>
      </c>
      <c r="R94" s="126" t="str">
        <f t="shared" si="40"/>
        <v>ZeroEntry</v>
      </c>
      <c r="S94" s="127" t="str">
        <f t="shared" si="41"/>
        <v>ZeroEntry</v>
      </c>
      <c r="T94" s="128" t="str">
        <f>IF($Q94="ZeroEntry", "",VLOOKUP($I94,'Ranking Lookup'!#REF!,2,FALSE))</f>
        <v/>
      </c>
      <c r="U94" s="129" t="str">
        <f t="shared" si="42"/>
        <v/>
      </c>
      <c r="V94" s="129" t="str">
        <f t="shared" si="43"/>
        <v/>
      </c>
      <c r="W94" s="129" t="str">
        <f t="shared" si="44"/>
        <v/>
      </c>
      <c r="X94" s="129" t="str">
        <f t="shared" si="45"/>
        <v/>
      </c>
      <c r="Y94" s="129" t="str">
        <f t="shared" si="46"/>
        <v/>
      </c>
      <c r="Z94" s="129" t="str">
        <f t="shared" si="47"/>
        <v/>
      </c>
      <c r="AA94" s="130"/>
      <c r="AB94" s="130" t="str">
        <f t="shared" si="48"/>
        <v>Unassigned</v>
      </c>
      <c r="AC94" s="131" t="str">
        <f t="shared" si="62"/>
        <v/>
      </c>
      <c r="AD94" s="131" t="str">
        <f t="shared" si="63"/>
        <v/>
      </c>
      <c r="AE94" s="132">
        <f t="shared" si="49"/>
        <v>0</v>
      </c>
      <c r="AF94" s="133" t="str">
        <f t="shared" si="64"/>
        <v/>
      </c>
      <c r="AG94" s="134">
        <f t="shared" si="50"/>
        <v>0</v>
      </c>
      <c r="AH94" s="54" t="str">
        <f t="shared" si="51"/>
        <v/>
      </c>
      <c r="AI94" s="54" t="str">
        <f t="shared" si="66"/>
        <v/>
      </c>
      <c r="AJ94" s="54" t="str">
        <f t="shared" si="66"/>
        <v/>
      </c>
      <c r="AK94" s="54" t="str">
        <f t="shared" si="66"/>
        <v/>
      </c>
      <c r="AL94" s="54" t="str">
        <f t="shared" si="66"/>
        <v/>
      </c>
      <c r="AM94" s="54" t="str">
        <f t="shared" si="66"/>
        <v/>
      </c>
      <c r="AN94" s="54" t="str">
        <f t="shared" si="66"/>
        <v/>
      </c>
      <c r="AO94" s="54" t="str">
        <f t="shared" si="66"/>
        <v/>
      </c>
      <c r="AP94" s="54" t="str">
        <f t="shared" si="66"/>
        <v/>
      </c>
      <c r="AQ94" s="54" t="str">
        <f t="shared" si="66"/>
        <v/>
      </c>
      <c r="AR94" s="54" t="str">
        <f t="shared" si="66"/>
        <v/>
      </c>
      <c r="AS94" s="54" t="str">
        <f t="shared" si="66"/>
        <v/>
      </c>
      <c r="AT94" s="54" t="str">
        <f t="shared" si="66"/>
        <v/>
      </c>
      <c r="AU94" s="54" t="str">
        <f t="shared" si="66"/>
        <v/>
      </c>
      <c r="AV94" s="54" t="str">
        <f t="shared" si="66"/>
        <v/>
      </c>
      <c r="AW94" s="54" t="str">
        <f t="shared" si="66"/>
        <v/>
      </c>
      <c r="AX94" s="54" t="str">
        <f t="shared" si="66"/>
        <v/>
      </c>
      <c r="AY94" s="54" t="str">
        <f t="shared" si="53"/>
        <v/>
      </c>
      <c r="AZ94" s="54" t="str">
        <f t="shared" si="54"/>
        <v/>
      </c>
      <c r="BA94" s="54" t="str">
        <f t="shared" si="55"/>
        <v/>
      </c>
      <c r="BB94" s="135" t="str">
        <f t="shared" si="56"/>
        <v/>
      </c>
      <c r="BC94" s="54" t="str">
        <f t="shared" si="67"/>
        <v/>
      </c>
      <c r="BD94" s="54" t="str">
        <f t="shared" si="67"/>
        <v/>
      </c>
      <c r="BE94" s="54" t="str">
        <f t="shared" si="67"/>
        <v/>
      </c>
      <c r="BF94" s="54" t="str">
        <f t="shared" si="57"/>
        <v/>
      </c>
      <c r="BG94" s="54" t="str">
        <f t="shared" si="58"/>
        <v/>
      </c>
      <c r="BH94" s="34" t="str">
        <f t="shared" si="59"/>
        <v>Bad</v>
      </c>
      <c r="BI94" s="34" t="str">
        <f t="shared" si="60"/>
        <v>No</v>
      </c>
      <c r="BJ94" s="136" t="str">
        <f>IF($D94&lt;&gt;"Feature",".",
IF(VLOOKUP($B94,Feature_List!$A:$AM,MATCH(BJ$1,  Feature_List!$A$1:$AM$1,0),0)=B94,".","NO"))</f>
        <v>.</v>
      </c>
      <c r="BK94" s="136"/>
      <c r="BL94" s="136"/>
      <c r="BM94" s="136" t="str">
        <f>IF($D94&lt;&gt;"Feature",".",
IF(VLOOKUP($B94,Feature_List!$A:$AM,MATCH(BM$1,  Feature_List!$A$1:$AM$1,0),0)=E94,".","NO"))</f>
        <v>.</v>
      </c>
      <c r="BN94" s="136" t="str">
        <f>IF($D94&lt;&gt;"Feature",".",
IF(VLOOKUP($B94,Feature_List!$A:$AM,MATCH(BN$1,  Feature_List!$A$1:$AM$1,0),0)=F94,".","NO"))</f>
        <v>.</v>
      </c>
      <c r="BO94" s="136" t="str">
        <f>IF($D94&lt;&gt;"Feature",".",
IF(VLOOKUP($B94,Feature_List!$A:$AM,MATCH(BO$1,  Feature_List!$A$1:$AM$1,0),0)=G94,".","NO"))</f>
        <v>.</v>
      </c>
      <c r="BP94" s="136" t="str">
        <f>IF($D94&lt;&gt;"Feature",".",
IF(VLOOKUP($B94,Feature_List!$A:$AM,MATCH(BP$1,  Feature_List!$A$1:$AM$1,0),0)=H94,".","NO"))</f>
        <v>.</v>
      </c>
      <c r="BQ94" s="136"/>
      <c r="BR94" s="136" t="str">
        <f>IF($D94&lt;&gt;"Feature",".",
IF(VLOOKUP($B94,Feature_List!$A:$AM,MATCH(BR$1,  Feature_List!$A$1:$AM$1,0),0)=J94,".","NO"))</f>
        <v>.</v>
      </c>
      <c r="BS94" s="136"/>
      <c r="BT94" s="136"/>
      <c r="BU94" s="136" t="str">
        <f>IF($D94&lt;&gt;"Feature",".",
IF(VLOOKUP($B94,Feature_List!$A:$AM,MATCH(BU$1,  Feature_List!$A$1:$AM$1,0),0)=M94,".","NO"))</f>
        <v>.</v>
      </c>
      <c r="BV94" s="136" t="str">
        <f>IF($D94&lt;&gt;"Feature",".",
IF(VLOOKUP($B94,Feature_List!$A:$AM,MATCH(BV$1,  Feature_List!$A$1:$AM$1,0),0)=N94,".","NO"))</f>
        <v>.</v>
      </c>
      <c r="BW94" s="136"/>
      <c r="BX94" s="136"/>
      <c r="BY94" s="136"/>
      <c r="BZ94" s="136"/>
      <c r="CA94" s="136"/>
      <c r="CB94" s="136" t="str">
        <f>IF($D94&lt;&gt;"Feature",".",
IF(VLOOKUP($B94,Feature_List!$A:$AM,MATCH(CB$1,  Feature_List!$A$1:$AM$1,0),0)=T94,".","NO"))</f>
        <v>.</v>
      </c>
      <c r="CC94" s="136"/>
      <c r="CD94" s="136"/>
      <c r="CE94" s="136"/>
      <c r="CF94" s="136"/>
      <c r="CG94" s="136"/>
      <c r="CH94" s="136"/>
      <c r="CI94" s="136"/>
      <c r="CJ94" s="136"/>
      <c r="CK94" s="136"/>
      <c r="CL94" s="136"/>
      <c r="CM94" s="136"/>
      <c r="CN94" s="136"/>
      <c r="CO94" s="136" t="str">
        <f>IF($D94&lt;&gt;"Feature",".",
IF(VLOOKUP($B94,Feature_List!$A:$AM,MATCH(CO$1,  Feature_List!$A$1:$AM$1,0),0)=AG94,".","NO"))</f>
        <v>.</v>
      </c>
      <c r="CP94" s="136" t="str">
        <f>IF($D94&lt;&gt;"Feature",".",
IF(VLOOKUP($B94,Feature_List!$A:$AM,MATCH(CP$1,  Feature_List!$A$1:$AM$1,0),0)=AH94,".","NO"))</f>
        <v>.</v>
      </c>
      <c r="CQ94" s="136" t="str">
        <f>IF($D94&lt;&gt;"Feature",".",
IF(VLOOKUP($B94,Feature_List!$A:$AM,MATCH(CQ$1,  Feature_List!$A$1:$AM$1,0),0)=AI94,".","NO"))</f>
        <v>.</v>
      </c>
      <c r="CR94" s="136" t="str">
        <f>IF($D94&lt;&gt;"Feature",".",
IF(VLOOKUP($B94,Feature_List!$A:$AM,MATCH(CR$1,  Feature_List!$A$1:$AM$1,0),0)=AJ94,".","NO"))</f>
        <v>.</v>
      </c>
      <c r="CS94" s="136" t="str">
        <f>IF($D94&lt;&gt;"Feature",".",
IF(VLOOKUP($B94,Feature_List!$A:$AM,MATCH(CS$1,  Feature_List!$A$1:$AM$1,0),0)=AK94,".","NO"))</f>
        <v>.</v>
      </c>
      <c r="CT94" s="136" t="str">
        <f>IF($D94&lt;&gt;"Feature",".",
IF(VLOOKUP($B94,Feature_List!$A:$AM,MATCH(CT$1,  Feature_List!$A$1:$AM$1,0),0)=AL94,".","NO"))</f>
        <v>.</v>
      </c>
      <c r="CU94" s="136" t="str">
        <f>IF($D94&lt;&gt;"Feature",".",
IF(VLOOKUP($B94,Feature_List!$A:$AM,MATCH(CU$1,  Feature_List!$A$1:$AM$1,0),0)=AM94,".","NO"))</f>
        <v>.</v>
      </c>
      <c r="CV94" s="136" t="str">
        <f>IF($D94&lt;&gt;"Feature",".",
IF(VLOOKUP($B94,Feature_List!$A:$AM,MATCH(CV$1,  Feature_List!$A$1:$AM$1,0),0)=AN94,".","NO"))</f>
        <v>.</v>
      </c>
      <c r="CW94" s="136" t="str">
        <f>IF($D94&lt;&gt;"Feature",".",
IF(VLOOKUP($B94,Feature_List!$A:$AM,MATCH(CW$1,  Feature_List!$A$1:$AM$1,0),0)=AO94,".","NO"))</f>
        <v>.</v>
      </c>
      <c r="CX94" s="136" t="str">
        <f>IF($D94&lt;&gt;"Feature",".",
IF(VLOOKUP($B94,Feature_List!$A:$AM,MATCH(CX$1,  Feature_List!$A$1:$AM$1,0),0)=AP94,".","NO"))</f>
        <v>.</v>
      </c>
      <c r="CY94" s="136" t="str">
        <f>IF($D94&lt;&gt;"Feature",".",
IF(VLOOKUP($B94,Feature_List!$A:$AM,MATCH(CY$1,  Feature_List!$A$1:$AM$1,0),0)=AQ94,".","NO"))</f>
        <v>.</v>
      </c>
      <c r="CZ94" s="136" t="str">
        <f>IF($D94&lt;&gt;"Feature",".",
IF(VLOOKUP($B94,Feature_List!$A:$AM,MATCH(CZ$1,  Feature_List!$A$1:$AM$1,0),0)=AR94,".","NO"))</f>
        <v>.</v>
      </c>
      <c r="DA94" s="136" t="str">
        <f>IF($D94&lt;&gt;"Feature",".",
IF(VLOOKUP($B94,Feature_List!$A:$AM,MATCH(DA$1,  Feature_List!$A$1:$AM$1,0),0)=AS94,".","NO"))</f>
        <v>.</v>
      </c>
      <c r="DB94" s="136" t="str">
        <f>IF($D94&lt;&gt;"Feature",".",
IF(VLOOKUP($B94,Feature_List!$A:$AM,MATCH(DB$1,  Feature_List!$A$1:$AM$1,0),0)=AT94,".","NO"))</f>
        <v>.</v>
      </c>
      <c r="DC94" s="136" t="str">
        <f>IF($D94&lt;&gt;"Feature",".",
IF(VLOOKUP($B94,Feature_List!$A:$AM,MATCH(DC$1,  Feature_List!$A$1:$AM$1,0),0)=AU94,".","NO"))</f>
        <v>.</v>
      </c>
      <c r="DD94" s="136" t="str">
        <f>IF($D94&lt;&gt;"Feature",".",
IF(VLOOKUP($B94,Feature_List!$A:$AM,MATCH(DD$1,  Feature_List!$A$1:$AM$1,0),0)=AV94,".","NO"))</f>
        <v>.</v>
      </c>
      <c r="DE94" s="136" t="str">
        <f>IF($D94&lt;&gt;"Feature",".",
IF(VLOOKUP($B94,Feature_List!$A:$AM,MATCH(DE$1,  Feature_List!$A$1:$AM$1,0),0)=AW94,".","NO"))</f>
        <v>.</v>
      </c>
      <c r="DF94" s="136" t="str">
        <f>IF($D94&lt;&gt;"Feature",".",
IF(VLOOKUP($B94,Feature_List!$A:$AM,MATCH(DF$1,  Feature_List!$A$1:$AM$1,0),0)=AX94,".","NO"))</f>
        <v>.</v>
      </c>
      <c r="DG94" s="136" t="str">
        <f>IF($D94&lt;&gt;"Feature",".",
IF(VLOOKUP($B94,Feature_List!$A:$AM,MATCH(DG$1,  Feature_List!$A$1:$AM$1,0),0)=AY94,".","NO"))</f>
        <v>.</v>
      </c>
      <c r="DH94" s="136" t="str">
        <f>IF($D94&lt;&gt;"Feature",".",
IF(VLOOKUP($B94,Feature_List!$A:$AM,MATCH(DH$1,  Feature_List!$A$1:$AM$1,0),0)=AZ94,".","NO"))</f>
        <v>.</v>
      </c>
      <c r="DI94" s="136" t="str">
        <f>IF($D94&lt;&gt;"Feature",".",
IF(VLOOKUP($B94,Feature_List!$A:$AM,MATCH(DI$1,  Feature_List!$A$1:$AM$1,0),0)=BA94,".","NO"))</f>
        <v>.</v>
      </c>
      <c r="DJ94" s="136" t="str">
        <f>IF($D94&lt;&gt;"Feature",".",
IF(VLOOKUP($B94,Feature_List!$A:$AM,MATCH(DJ$1,  Feature_List!$A$1:$AM$1,0),0)=BB94,".","NO"))</f>
        <v>.</v>
      </c>
      <c r="DK94" s="136"/>
      <c r="DL94" s="136"/>
      <c r="DM94" s="136"/>
      <c r="DN94" s="136" t="str">
        <f>IF($D94&lt;&gt;"Feature",".",
IF(VLOOKUP($B94,Feature_List!$A:$AM,MATCH(DN$1,  Feature_List!$A$1:$AM$1,0),0)=BC94,".","NO"))</f>
        <v>.</v>
      </c>
      <c r="DO94" s="136" t="str">
        <f>IF($D94&lt;&gt;"Feature",".",
IF(VLOOKUP($B94,Feature_List!$A:$AM,MATCH(DO$1,  Feature_List!$A$1:$AM$1,0),0)=BD94,".","NO"))</f>
        <v>.</v>
      </c>
    </row>
    <row r="95" spans="2:119" x14ac:dyDescent="0.3">
      <c r="B95" s="121"/>
      <c r="C95" s="122"/>
      <c r="D95" s="122"/>
      <c r="E95" s="122"/>
      <c r="F95" s="138"/>
      <c r="G95" s="123"/>
      <c r="H95" s="122"/>
      <c r="I95" s="124"/>
      <c r="J95" s="138"/>
      <c r="K95" s="123"/>
      <c r="L95" s="122"/>
      <c r="M95" s="122"/>
      <c r="N95" s="125"/>
      <c r="O95" s="123">
        <f t="shared" si="38"/>
        <v>0</v>
      </c>
      <c r="P95" s="123">
        <f t="shared" si="39"/>
        <v>0</v>
      </c>
      <c r="Q95" s="122" t="str">
        <f t="shared" si="61"/>
        <v>ZeroEntry</v>
      </c>
      <c r="R95" s="126" t="str">
        <f t="shared" si="40"/>
        <v>ZeroEntry</v>
      </c>
      <c r="S95" s="127" t="str">
        <f t="shared" si="41"/>
        <v>ZeroEntry</v>
      </c>
      <c r="T95" s="128" t="str">
        <f>IF($Q95="ZeroEntry", "",VLOOKUP($I95,'Ranking Lookup'!#REF!,2,FALSE))</f>
        <v/>
      </c>
      <c r="U95" s="129" t="str">
        <f t="shared" si="42"/>
        <v/>
      </c>
      <c r="V95" s="129" t="str">
        <f t="shared" si="43"/>
        <v/>
      </c>
      <c r="W95" s="129" t="str">
        <f t="shared" si="44"/>
        <v/>
      </c>
      <c r="X95" s="129" t="str">
        <f t="shared" si="45"/>
        <v/>
      </c>
      <c r="Y95" s="129" t="str">
        <f t="shared" si="46"/>
        <v/>
      </c>
      <c r="Z95" s="129" t="str">
        <f t="shared" si="47"/>
        <v/>
      </c>
      <c r="AA95" s="130"/>
      <c r="AB95" s="130" t="str">
        <f t="shared" si="48"/>
        <v>Unassigned</v>
      </c>
      <c r="AC95" s="131" t="str">
        <f t="shared" si="62"/>
        <v/>
      </c>
      <c r="AD95" s="131" t="str">
        <f t="shared" si="63"/>
        <v/>
      </c>
      <c r="AE95" s="132">
        <f t="shared" si="49"/>
        <v>0</v>
      </c>
      <c r="AF95" s="133" t="str">
        <f t="shared" si="64"/>
        <v/>
      </c>
      <c r="AG95" s="134">
        <f t="shared" si="50"/>
        <v>0</v>
      </c>
      <c r="AH95" s="54" t="str">
        <f t="shared" si="51"/>
        <v/>
      </c>
      <c r="AI95" s="54" t="str">
        <f t="shared" si="66"/>
        <v/>
      </c>
      <c r="AJ95" s="54" t="str">
        <f t="shared" si="66"/>
        <v/>
      </c>
      <c r="AK95" s="54" t="str">
        <f t="shared" si="66"/>
        <v/>
      </c>
      <c r="AL95" s="54" t="str">
        <f t="shared" si="66"/>
        <v/>
      </c>
      <c r="AM95" s="54" t="str">
        <f t="shared" si="66"/>
        <v/>
      </c>
      <c r="AN95" s="54" t="str">
        <f t="shared" si="66"/>
        <v/>
      </c>
      <c r="AO95" s="54" t="str">
        <f t="shared" si="66"/>
        <v/>
      </c>
      <c r="AP95" s="54" t="str">
        <f t="shared" si="66"/>
        <v/>
      </c>
      <c r="AQ95" s="54" t="str">
        <f t="shared" si="66"/>
        <v/>
      </c>
      <c r="AR95" s="54" t="str">
        <f t="shared" si="66"/>
        <v/>
      </c>
      <c r="AS95" s="54" t="str">
        <f t="shared" si="66"/>
        <v/>
      </c>
      <c r="AT95" s="54" t="str">
        <f t="shared" si="66"/>
        <v/>
      </c>
      <c r="AU95" s="54" t="str">
        <f t="shared" si="66"/>
        <v/>
      </c>
      <c r="AV95" s="54" t="str">
        <f t="shared" si="66"/>
        <v/>
      </c>
      <c r="AW95" s="54" t="str">
        <f t="shared" si="66"/>
        <v/>
      </c>
      <c r="AX95" s="54" t="str">
        <f t="shared" si="66"/>
        <v/>
      </c>
      <c r="AY95" s="54" t="str">
        <f t="shared" si="53"/>
        <v/>
      </c>
      <c r="AZ95" s="54" t="str">
        <f t="shared" si="54"/>
        <v/>
      </c>
      <c r="BA95" s="54" t="str">
        <f t="shared" si="55"/>
        <v/>
      </c>
      <c r="BB95" s="135" t="str">
        <f t="shared" si="56"/>
        <v/>
      </c>
      <c r="BC95" s="54" t="str">
        <f t="shared" si="67"/>
        <v/>
      </c>
      <c r="BD95" s="54" t="str">
        <f t="shared" si="67"/>
        <v/>
      </c>
      <c r="BE95" s="54" t="str">
        <f t="shared" si="67"/>
        <v/>
      </c>
      <c r="BF95" s="54" t="str">
        <f t="shared" si="57"/>
        <v/>
      </c>
      <c r="BG95" s="54" t="str">
        <f t="shared" si="58"/>
        <v/>
      </c>
      <c r="BH95" s="34" t="str">
        <f t="shared" si="59"/>
        <v>Bad</v>
      </c>
      <c r="BI95" s="34" t="str">
        <f t="shared" si="60"/>
        <v>No</v>
      </c>
      <c r="BJ95" s="136" t="str">
        <f>IF($D95&lt;&gt;"Feature",".",
IF(VLOOKUP($B95,Feature_List!$A:$AM,MATCH(BJ$1,  Feature_List!$A$1:$AM$1,0),0)=B95,".","NO"))</f>
        <v>.</v>
      </c>
      <c r="BK95" s="136"/>
      <c r="BL95" s="136"/>
      <c r="BM95" s="136" t="str">
        <f>IF($D95&lt;&gt;"Feature",".",
IF(VLOOKUP($B95,Feature_List!$A:$AM,MATCH(BM$1,  Feature_List!$A$1:$AM$1,0),0)=E95,".","NO"))</f>
        <v>.</v>
      </c>
      <c r="BN95" s="136" t="str">
        <f>IF($D95&lt;&gt;"Feature",".",
IF(VLOOKUP($B95,Feature_List!$A:$AM,MATCH(BN$1,  Feature_List!$A$1:$AM$1,0),0)=F95,".","NO"))</f>
        <v>.</v>
      </c>
      <c r="BO95" s="136" t="str">
        <f>IF($D95&lt;&gt;"Feature",".",
IF(VLOOKUP($B95,Feature_List!$A:$AM,MATCH(BO$1,  Feature_List!$A$1:$AM$1,0),0)=G95,".","NO"))</f>
        <v>.</v>
      </c>
      <c r="BP95" s="136" t="str">
        <f>IF($D95&lt;&gt;"Feature",".",
IF(VLOOKUP($B95,Feature_List!$A:$AM,MATCH(BP$1,  Feature_List!$A$1:$AM$1,0),0)=H95,".","NO"))</f>
        <v>.</v>
      </c>
      <c r="BQ95" s="136"/>
      <c r="BR95" s="136" t="str">
        <f>IF($D95&lt;&gt;"Feature",".",
IF(VLOOKUP($B95,Feature_List!$A:$AM,MATCH(BR$1,  Feature_List!$A$1:$AM$1,0),0)=J95,".","NO"))</f>
        <v>.</v>
      </c>
      <c r="BS95" s="136"/>
      <c r="BT95" s="136"/>
      <c r="BU95" s="136" t="str">
        <f>IF($D95&lt;&gt;"Feature",".",
IF(VLOOKUP($B95,Feature_List!$A:$AM,MATCH(BU$1,  Feature_List!$A$1:$AM$1,0),0)=M95,".","NO"))</f>
        <v>.</v>
      </c>
      <c r="BV95" s="136" t="str">
        <f>IF($D95&lt;&gt;"Feature",".",
IF(VLOOKUP($B95,Feature_List!$A:$AM,MATCH(BV$1,  Feature_List!$A$1:$AM$1,0),0)=N95,".","NO"))</f>
        <v>.</v>
      </c>
      <c r="BW95" s="136"/>
      <c r="BX95" s="136"/>
      <c r="BY95" s="136"/>
      <c r="BZ95" s="136"/>
      <c r="CA95" s="136"/>
      <c r="CB95" s="136" t="str">
        <f>IF($D95&lt;&gt;"Feature",".",
IF(VLOOKUP($B95,Feature_List!$A:$AM,MATCH(CB$1,  Feature_List!$A$1:$AM$1,0),0)=T95,".","NO"))</f>
        <v>.</v>
      </c>
      <c r="CC95" s="136"/>
      <c r="CD95" s="136"/>
      <c r="CE95" s="136"/>
      <c r="CF95" s="136"/>
      <c r="CG95" s="136"/>
      <c r="CH95" s="136"/>
      <c r="CI95" s="136"/>
      <c r="CJ95" s="136"/>
      <c r="CK95" s="136"/>
      <c r="CL95" s="136"/>
      <c r="CM95" s="136"/>
      <c r="CN95" s="136"/>
      <c r="CO95" s="136" t="str">
        <f>IF($D95&lt;&gt;"Feature",".",
IF(VLOOKUP($B95,Feature_List!$A:$AM,MATCH(CO$1,  Feature_List!$A$1:$AM$1,0),0)=AG95,".","NO"))</f>
        <v>.</v>
      </c>
      <c r="CP95" s="136" t="str">
        <f>IF($D95&lt;&gt;"Feature",".",
IF(VLOOKUP($B95,Feature_List!$A:$AM,MATCH(CP$1,  Feature_List!$A$1:$AM$1,0),0)=AH95,".","NO"))</f>
        <v>.</v>
      </c>
      <c r="CQ95" s="136" t="str">
        <f>IF($D95&lt;&gt;"Feature",".",
IF(VLOOKUP($B95,Feature_List!$A:$AM,MATCH(CQ$1,  Feature_List!$A$1:$AM$1,0),0)=AI95,".","NO"))</f>
        <v>.</v>
      </c>
      <c r="CR95" s="136" t="str">
        <f>IF($D95&lt;&gt;"Feature",".",
IF(VLOOKUP($B95,Feature_List!$A:$AM,MATCH(CR$1,  Feature_List!$A$1:$AM$1,0),0)=AJ95,".","NO"))</f>
        <v>.</v>
      </c>
      <c r="CS95" s="136" t="str">
        <f>IF($D95&lt;&gt;"Feature",".",
IF(VLOOKUP($B95,Feature_List!$A:$AM,MATCH(CS$1,  Feature_List!$A$1:$AM$1,0),0)=AK95,".","NO"))</f>
        <v>.</v>
      </c>
      <c r="CT95" s="136" t="str">
        <f>IF($D95&lt;&gt;"Feature",".",
IF(VLOOKUP($B95,Feature_List!$A:$AM,MATCH(CT$1,  Feature_List!$A$1:$AM$1,0),0)=AL95,".","NO"))</f>
        <v>.</v>
      </c>
      <c r="CU95" s="136" t="str">
        <f>IF($D95&lt;&gt;"Feature",".",
IF(VLOOKUP($B95,Feature_List!$A:$AM,MATCH(CU$1,  Feature_List!$A$1:$AM$1,0),0)=AM95,".","NO"))</f>
        <v>.</v>
      </c>
      <c r="CV95" s="136" t="str">
        <f>IF($D95&lt;&gt;"Feature",".",
IF(VLOOKUP($B95,Feature_List!$A:$AM,MATCH(CV$1,  Feature_List!$A$1:$AM$1,0),0)=AN95,".","NO"))</f>
        <v>.</v>
      </c>
      <c r="CW95" s="136" t="str">
        <f>IF($D95&lt;&gt;"Feature",".",
IF(VLOOKUP($B95,Feature_List!$A:$AM,MATCH(CW$1,  Feature_List!$A$1:$AM$1,0),0)=AO95,".","NO"))</f>
        <v>.</v>
      </c>
      <c r="CX95" s="136" t="str">
        <f>IF($D95&lt;&gt;"Feature",".",
IF(VLOOKUP($B95,Feature_List!$A:$AM,MATCH(CX$1,  Feature_List!$A$1:$AM$1,0),0)=AP95,".","NO"))</f>
        <v>.</v>
      </c>
      <c r="CY95" s="136" t="str">
        <f>IF($D95&lt;&gt;"Feature",".",
IF(VLOOKUP($B95,Feature_List!$A:$AM,MATCH(CY$1,  Feature_List!$A$1:$AM$1,0),0)=AQ95,".","NO"))</f>
        <v>.</v>
      </c>
      <c r="CZ95" s="136" t="str">
        <f>IF($D95&lt;&gt;"Feature",".",
IF(VLOOKUP($B95,Feature_List!$A:$AM,MATCH(CZ$1,  Feature_List!$A$1:$AM$1,0),0)=AR95,".","NO"))</f>
        <v>.</v>
      </c>
      <c r="DA95" s="136" t="str">
        <f>IF($D95&lt;&gt;"Feature",".",
IF(VLOOKUP($B95,Feature_List!$A:$AM,MATCH(DA$1,  Feature_List!$A$1:$AM$1,0),0)=AS95,".","NO"))</f>
        <v>.</v>
      </c>
      <c r="DB95" s="136" t="str">
        <f>IF($D95&lt;&gt;"Feature",".",
IF(VLOOKUP($B95,Feature_List!$A:$AM,MATCH(DB$1,  Feature_List!$A$1:$AM$1,0),0)=AT95,".","NO"))</f>
        <v>.</v>
      </c>
      <c r="DC95" s="136" t="str">
        <f>IF($D95&lt;&gt;"Feature",".",
IF(VLOOKUP($B95,Feature_List!$A:$AM,MATCH(DC$1,  Feature_List!$A$1:$AM$1,0),0)=AU95,".","NO"))</f>
        <v>.</v>
      </c>
      <c r="DD95" s="136" t="str">
        <f>IF($D95&lt;&gt;"Feature",".",
IF(VLOOKUP($B95,Feature_List!$A:$AM,MATCH(DD$1,  Feature_List!$A$1:$AM$1,0),0)=AV95,".","NO"))</f>
        <v>.</v>
      </c>
      <c r="DE95" s="136" t="str">
        <f>IF($D95&lt;&gt;"Feature",".",
IF(VLOOKUP($B95,Feature_List!$A:$AM,MATCH(DE$1,  Feature_List!$A$1:$AM$1,0),0)=AW95,".","NO"))</f>
        <v>.</v>
      </c>
      <c r="DF95" s="136" t="str">
        <f>IF($D95&lt;&gt;"Feature",".",
IF(VLOOKUP($B95,Feature_List!$A:$AM,MATCH(DF$1,  Feature_List!$A$1:$AM$1,0),0)=AX95,".","NO"))</f>
        <v>.</v>
      </c>
      <c r="DG95" s="136" t="str">
        <f>IF($D95&lt;&gt;"Feature",".",
IF(VLOOKUP($B95,Feature_List!$A:$AM,MATCH(DG$1,  Feature_List!$A$1:$AM$1,0),0)=AY95,".","NO"))</f>
        <v>.</v>
      </c>
      <c r="DH95" s="136" t="str">
        <f>IF($D95&lt;&gt;"Feature",".",
IF(VLOOKUP($B95,Feature_List!$A:$AM,MATCH(DH$1,  Feature_List!$A$1:$AM$1,0),0)=AZ95,".","NO"))</f>
        <v>.</v>
      </c>
      <c r="DI95" s="136" t="str">
        <f>IF($D95&lt;&gt;"Feature",".",
IF(VLOOKUP($B95,Feature_List!$A:$AM,MATCH(DI$1,  Feature_List!$A$1:$AM$1,0),0)=BA95,".","NO"))</f>
        <v>.</v>
      </c>
      <c r="DJ95" s="136" t="str">
        <f>IF($D95&lt;&gt;"Feature",".",
IF(VLOOKUP($B95,Feature_List!$A:$AM,MATCH(DJ$1,  Feature_List!$A$1:$AM$1,0),0)=BB95,".","NO"))</f>
        <v>.</v>
      </c>
      <c r="DK95" s="136"/>
      <c r="DL95" s="136"/>
      <c r="DM95" s="136"/>
      <c r="DN95" s="136" t="str">
        <f>IF($D95&lt;&gt;"Feature",".",
IF(VLOOKUP($B95,Feature_List!$A:$AM,MATCH(DN$1,  Feature_List!$A$1:$AM$1,0),0)=BC95,".","NO"))</f>
        <v>.</v>
      </c>
      <c r="DO95" s="136" t="str">
        <f>IF($D95&lt;&gt;"Feature",".",
IF(VLOOKUP($B95,Feature_List!$A:$AM,MATCH(DO$1,  Feature_List!$A$1:$AM$1,0),0)=BD95,".","NO"))</f>
        <v>.</v>
      </c>
    </row>
    <row r="96" spans="2:119" x14ac:dyDescent="0.3">
      <c r="B96" s="121"/>
      <c r="C96" s="123"/>
      <c r="D96" s="122"/>
      <c r="E96" s="122"/>
      <c r="F96" s="138"/>
      <c r="G96" s="123"/>
      <c r="H96" s="122"/>
      <c r="I96" s="124"/>
      <c r="J96" s="138"/>
      <c r="K96" s="123"/>
      <c r="L96" s="122"/>
      <c r="M96" s="122"/>
      <c r="N96" s="125"/>
      <c r="O96" s="123">
        <f t="shared" si="38"/>
        <v>0</v>
      </c>
      <c r="P96" s="123">
        <f t="shared" si="39"/>
        <v>0</v>
      </c>
      <c r="Q96" s="122" t="str">
        <f t="shared" si="61"/>
        <v>ZeroEntry</v>
      </c>
      <c r="R96" s="126" t="str">
        <f t="shared" si="40"/>
        <v>ZeroEntry</v>
      </c>
      <c r="S96" s="127" t="str">
        <f t="shared" si="41"/>
        <v>ZeroEntry</v>
      </c>
      <c r="T96" s="128" t="str">
        <f>IF($Q96="ZeroEntry", "",VLOOKUP($I96,'Ranking Lookup'!#REF!,2,FALSE))</f>
        <v/>
      </c>
      <c r="U96" s="129" t="str">
        <f t="shared" si="42"/>
        <v/>
      </c>
      <c r="V96" s="129" t="str">
        <f t="shared" si="43"/>
        <v/>
      </c>
      <c r="W96" s="129" t="str">
        <f t="shared" si="44"/>
        <v/>
      </c>
      <c r="X96" s="129" t="str">
        <f t="shared" si="45"/>
        <v/>
      </c>
      <c r="Y96" s="129" t="str">
        <f t="shared" si="46"/>
        <v/>
      </c>
      <c r="Z96" s="129" t="str">
        <f t="shared" si="47"/>
        <v/>
      </c>
      <c r="AA96" s="130"/>
      <c r="AB96" s="130" t="str">
        <f t="shared" si="48"/>
        <v>Unassigned</v>
      </c>
      <c r="AC96" s="131" t="str">
        <f t="shared" si="62"/>
        <v/>
      </c>
      <c r="AD96" s="131" t="str">
        <f t="shared" si="63"/>
        <v/>
      </c>
      <c r="AE96" s="132">
        <f t="shared" si="49"/>
        <v>0</v>
      </c>
      <c r="AF96" s="133" t="str">
        <f t="shared" si="64"/>
        <v/>
      </c>
      <c r="AG96" s="134">
        <f t="shared" si="50"/>
        <v>0</v>
      </c>
      <c r="AH96" s="54" t="str">
        <f t="shared" si="51"/>
        <v/>
      </c>
      <c r="AI96" s="54" t="str">
        <f t="shared" si="66"/>
        <v/>
      </c>
      <c r="AJ96" s="54" t="str">
        <f t="shared" si="66"/>
        <v/>
      </c>
      <c r="AK96" s="54" t="str">
        <f t="shared" si="66"/>
        <v/>
      </c>
      <c r="AL96" s="54" t="str">
        <f t="shared" si="66"/>
        <v/>
      </c>
      <c r="AM96" s="54" t="str">
        <f t="shared" si="66"/>
        <v/>
      </c>
      <c r="AN96" s="54" t="str">
        <f t="shared" si="66"/>
        <v/>
      </c>
      <c r="AO96" s="54" t="str">
        <f t="shared" si="66"/>
        <v/>
      </c>
      <c r="AP96" s="54" t="str">
        <f t="shared" si="66"/>
        <v/>
      </c>
      <c r="AQ96" s="54" t="str">
        <f t="shared" si="66"/>
        <v/>
      </c>
      <c r="AR96" s="54" t="str">
        <f t="shared" si="66"/>
        <v/>
      </c>
      <c r="AS96" s="54" t="str">
        <f t="shared" si="66"/>
        <v/>
      </c>
      <c r="AT96" s="54" t="str">
        <f t="shared" si="66"/>
        <v/>
      </c>
      <c r="AU96" s="54" t="str">
        <f t="shared" si="66"/>
        <v/>
      </c>
      <c r="AV96" s="54" t="str">
        <f t="shared" si="66"/>
        <v/>
      </c>
      <c r="AW96" s="54" t="str">
        <f t="shared" si="66"/>
        <v/>
      </c>
      <c r="AX96" s="54" t="str">
        <f t="shared" si="66"/>
        <v/>
      </c>
      <c r="AY96" s="54" t="str">
        <f t="shared" si="53"/>
        <v/>
      </c>
      <c r="AZ96" s="54" t="str">
        <f t="shared" si="54"/>
        <v/>
      </c>
      <c r="BA96" s="54" t="str">
        <f t="shared" si="55"/>
        <v/>
      </c>
      <c r="BB96" s="135" t="str">
        <f t="shared" si="56"/>
        <v/>
      </c>
      <c r="BC96" s="54" t="str">
        <f t="shared" si="67"/>
        <v/>
      </c>
      <c r="BD96" s="54" t="str">
        <f t="shared" si="67"/>
        <v/>
      </c>
      <c r="BE96" s="54" t="str">
        <f t="shared" si="67"/>
        <v/>
      </c>
      <c r="BF96" s="54" t="str">
        <f t="shared" si="57"/>
        <v/>
      </c>
      <c r="BG96" s="54" t="str">
        <f t="shared" si="58"/>
        <v/>
      </c>
      <c r="BH96" s="34" t="str">
        <f t="shared" si="59"/>
        <v>Bad</v>
      </c>
      <c r="BI96" s="34" t="str">
        <f t="shared" si="60"/>
        <v>No</v>
      </c>
      <c r="BJ96" s="136" t="str">
        <f>IF($D96&lt;&gt;"Feature",".",
IF(VLOOKUP($B96,Feature_List!$A:$AM,MATCH(BJ$1,  Feature_List!$A$1:$AM$1,0),0)=B96,".","NO"))</f>
        <v>.</v>
      </c>
      <c r="BK96" s="136"/>
      <c r="BL96" s="136"/>
      <c r="BM96" s="136" t="str">
        <f>IF($D96&lt;&gt;"Feature",".",
IF(VLOOKUP($B96,Feature_List!$A:$AM,MATCH(BM$1,  Feature_List!$A$1:$AM$1,0),0)=E96,".","NO"))</f>
        <v>.</v>
      </c>
      <c r="BN96" s="136" t="str">
        <f>IF($D96&lt;&gt;"Feature",".",
IF(VLOOKUP($B96,Feature_List!$A:$AM,MATCH(BN$1,  Feature_List!$A$1:$AM$1,0),0)=F96,".","NO"))</f>
        <v>.</v>
      </c>
      <c r="BO96" s="136" t="str">
        <f>IF($D96&lt;&gt;"Feature",".",
IF(VLOOKUP($B96,Feature_List!$A:$AM,MATCH(BO$1,  Feature_List!$A$1:$AM$1,0),0)=G96,".","NO"))</f>
        <v>.</v>
      </c>
      <c r="BP96" s="136" t="str">
        <f>IF($D96&lt;&gt;"Feature",".",
IF(VLOOKUP($B96,Feature_List!$A:$AM,MATCH(BP$1,  Feature_List!$A$1:$AM$1,0),0)=H96,".","NO"))</f>
        <v>.</v>
      </c>
      <c r="BQ96" s="136"/>
      <c r="BR96" s="136" t="str">
        <f>IF($D96&lt;&gt;"Feature",".",
IF(VLOOKUP($B96,Feature_List!$A:$AM,MATCH(BR$1,  Feature_List!$A$1:$AM$1,0),0)=J96,".","NO"))</f>
        <v>.</v>
      </c>
      <c r="BS96" s="136"/>
      <c r="BT96" s="136"/>
      <c r="BU96" s="136" t="str">
        <f>IF($D96&lt;&gt;"Feature",".",
IF(VLOOKUP($B96,Feature_List!$A:$AM,MATCH(BU$1,  Feature_List!$A$1:$AM$1,0),0)=M96,".","NO"))</f>
        <v>.</v>
      </c>
      <c r="BV96" s="136" t="str">
        <f>IF($D96&lt;&gt;"Feature",".",
IF(VLOOKUP($B96,Feature_List!$A:$AM,MATCH(BV$1,  Feature_List!$A$1:$AM$1,0),0)=N96,".","NO"))</f>
        <v>.</v>
      </c>
      <c r="BW96" s="136"/>
      <c r="BX96" s="136"/>
      <c r="BY96" s="136"/>
      <c r="BZ96" s="136"/>
      <c r="CA96" s="136"/>
      <c r="CB96" s="136" t="str">
        <f>IF($D96&lt;&gt;"Feature",".",
IF(VLOOKUP($B96,Feature_List!$A:$AM,MATCH(CB$1,  Feature_List!$A$1:$AM$1,0),0)=T96,".","NO"))</f>
        <v>.</v>
      </c>
      <c r="CC96" s="136"/>
      <c r="CD96" s="136"/>
      <c r="CE96" s="136"/>
      <c r="CF96" s="136"/>
      <c r="CG96" s="136"/>
      <c r="CH96" s="136"/>
      <c r="CI96" s="136"/>
      <c r="CJ96" s="136"/>
      <c r="CK96" s="136"/>
      <c r="CL96" s="136"/>
      <c r="CM96" s="136"/>
      <c r="CN96" s="136"/>
      <c r="CO96" s="136" t="str">
        <f>IF($D96&lt;&gt;"Feature",".",
IF(VLOOKUP($B96,Feature_List!$A:$AM,MATCH(CO$1,  Feature_List!$A$1:$AM$1,0),0)=AG96,".","NO"))</f>
        <v>.</v>
      </c>
      <c r="CP96" s="136" t="str">
        <f>IF($D96&lt;&gt;"Feature",".",
IF(VLOOKUP($B96,Feature_List!$A:$AM,MATCH(CP$1,  Feature_List!$A$1:$AM$1,0),0)=AH96,".","NO"))</f>
        <v>.</v>
      </c>
      <c r="CQ96" s="136" t="str">
        <f>IF($D96&lt;&gt;"Feature",".",
IF(VLOOKUP($B96,Feature_List!$A:$AM,MATCH(CQ$1,  Feature_List!$A$1:$AM$1,0),0)=AI96,".","NO"))</f>
        <v>.</v>
      </c>
      <c r="CR96" s="136" t="str">
        <f>IF($D96&lt;&gt;"Feature",".",
IF(VLOOKUP($B96,Feature_List!$A:$AM,MATCH(CR$1,  Feature_List!$A$1:$AM$1,0),0)=AJ96,".","NO"))</f>
        <v>.</v>
      </c>
      <c r="CS96" s="136" t="str">
        <f>IF($D96&lt;&gt;"Feature",".",
IF(VLOOKUP($B96,Feature_List!$A:$AM,MATCH(CS$1,  Feature_List!$A$1:$AM$1,0),0)=AK96,".","NO"))</f>
        <v>.</v>
      </c>
      <c r="CT96" s="136" t="str">
        <f>IF($D96&lt;&gt;"Feature",".",
IF(VLOOKUP($B96,Feature_List!$A:$AM,MATCH(CT$1,  Feature_List!$A$1:$AM$1,0),0)=AL96,".","NO"))</f>
        <v>.</v>
      </c>
      <c r="CU96" s="136" t="str">
        <f>IF($D96&lt;&gt;"Feature",".",
IF(VLOOKUP($B96,Feature_List!$A:$AM,MATCH(CU$1,  Feature_List!$A$1:$AM$1,0),0)=AM96,".","NO"))</f>
        <v>.</v>
      </c>
      <c r="CV96" s="136" t="str">
        <f>IF($D96&lt;&gt;"Feature",".",
IF(VLOOKUP($B96,Feature_List!$A:$AM,MATCH(CV$1,  Feature_List!$A$1:$AM$1,0),0)=AN96,".","NO"))</f>
        <v>.</v>
      </c>
      <c r="CW96" s="136" t="str">
        <f>IF($D96&lt;&gt;"Feature",".",
IF(VLOOKUP($B96,Feature_List!$A:$AM,MATCH(CW$1,  Feature_List!$A$1:$AM$1,0),0)=AO96,".","NO"))</f>
        <v>.</v>
      </c>
      <c r="CX96" s="136" t="str">
        <f>IF($D96&lt;&gt;"Feature",".",
IF(VLOOKUP($B96,Feature_List!$A:$AM,MATCH(CX$1,  Feature_List!$A$1:$AM$1,0),0)=AP96,".","NO"))</f>
        <v>.</v>
      </c>
      <c r="CY96" s="136" t="str">
        <f>IF($D96&lt;&gt;"Feature",".",
IF(VLOOKUP($B96,Feature_List!$A:$AM,MATCH(CY$1,  Feature_List!$A$1:$AM$1,0),0)=AQ96,".","NO"))</f>
        <v>.</v>
      </c>
      <c r="CZ96" s="136" t="str">
        <f>IF($D96&lt;&gt;"Feature",".",
IF(VLOOKUP($B96,Feature_List!$A:$AM,MATCH(CZ$1,  Feature_List!$A$1:$AM$1,0),0)=AR96,".","NO"))</f>
        <v>.</v>
      </c>
      <c r="DA96" s="136" t="str">
        <f>IF($D96&lt;&gt;"Feature",".",
IF(VLOOKUP($B96,Feature_List!$A:$AM,MATCH(DA$1,  Feature_List!$A$1:$AM$1,0),0)=AS96,".","NO"))</f>
        <v>.</v>
      </c>
      <c r="DB96" s="136" t="str">
        <f>IF($D96&lt;&gt;"Feature",".",
IF(VLOOKUP($B96,Feature_List!$A:$AM,MATCH(DB$1,  Feature_List!$A$1:$AM$1,0),0)=AT96,".","NO"))</f>
        <v>.</v>
      </c>
      <c r="DC96" s="136" t="str">
        <f>IF($D96&lt;&gt;"Feature",".",
IF(VLOOKUP($B96,Feature_List!$A:$AM,MATCH(DC$1,  Feature_List!$A$1:$AM$1,0),0)=AU96,".","NO"))</f>
        <v>.</v>
      </c>
      <c r="DD96" s="136" t="str">
        <f>IF($D96&lt;&gt;"Feature",".",
IF(VLOOKUP($B96,Feature_List!$A:$AM,MATCH(DD$1,  Feature_List!$A$1:$AM$1,0),0)=AV96,".","NO"))</f>
        <v>.</v>
      </c>
      <c r="DE96" s="136" t="str">
        <f>IF($D96&lt;&gt;"Feature",".",
IF(VLOOKUP($B96,Feature_List!$A:$AM,MATCH(DE$1,  Feature_List!$A$1:$AM$1,0),0)=AW96,".","NO"))</f>
        <v>.</v>
      </c>
      <c r="DF96" s="136" t="str">
        <f>IF($D96&lt;&gt;"Feature",".",
IF(VLOOKUP($B96,Feature_List!$A:$AM,MATCH(DF$1,  Feature_List!$A$1:$AM$1,0),0)=AX96,".","NO"))</f>
        <v>.</v>
      </c>
      <c r="DG96" s="136" t="str">
        <f>IF($D96&lt;&gt;"Feature",".",
IF(VLOOKUP($B96,Feature_List!$A:$AM,MATCH(DG$1,  Feature_List!$A$1:$AM$1,0),0)=AY96,".","NO"))</f>
        <v>.</v>
      </c>
      <c r="DH96" s="136" t="str">
        <f>IF($D96&lt;&gt;"Feature",".",
IF(VLOOKUP($B96,Feature_List!$A:$AM,MATCH(DH$1,  Feature_List!$A$1:$AM$1,0),0)=AZ96,".","NO"))</f>
        <v>.</v>
      </c>
      <c r="DI96" s="136" t="str">
        <f>IF($D96&lt;&gt;"Feature",".",
IF(VLOOKUP($B96,Feature_List!$A:$AM,MATCH(DI$1,  Feature_List!$A$1:$AM$1,0),0)=BA96,".","NO"))</f>
        <v>.</v>
      </c>
      <c r="DJ96" s="136" t="str">
        <f>IF($D96&lt;&gt;"Feature",".",
IF(VLOOKUP($B96,Feature_List!$A:$AM,MATCH(DJ$1,  Feature_List!$A$1:$AM$1,0),0)=BB96,".","NO"))</f>
        <v>.</v>
      </c>
      <c r="DK96" s="136"/>
      <c r="DL96" s="136"/>
      <c r="DM96" s="136"/>
      <c r="DN96" s="136" t="str">
        <f>IF($D96&lt;&gt;"Feature",".",
IF(VLOOKUP($B96,Feature_List!$A:$AM,MATCH(DN$1,  Feature_List!$A$1:$AM$1,0),0)=BC96,".","NO"))</f>
        <v>.</v>
      </c>
      <c r="DO96" s="136" t="str">
        <f>IF($D96&lt;&gt;"Feature",".",
IF(VLOOKUP($B96,Feature_List!$A:$AM,MATCH(DO$1,  Feature_List!$A$1:$AM$1,0),0)=BD96,".","NO"))</f>
        <v>.</v>
      </c>
    </row>
    <row r="97" spans="2:119" x14ac:dyDescent="0.3">
      <c r="B97" s="121"/>
      <c r="C97" s="122"/>
      <c r="D97" s="122"/>
      <c r="E97" s="122"/>
      <c r="F97" s="138"/>
      <c r="G97" s="123"/>
      <c r="H97" s="122"/>
      <c r="I97" s="124"/>
      <c r="J97" s="138"/>
      <c r="K97" s="123"/>
      <c r="L97" s="122"/>
      <c r="M97" s="122"/>
      <c r="N97" s="125"/>
      <c r="O97" s="123">
        <f t="shared" si="38"/>
        <v>0</v>
      </c>
      <c r="P97" s="123">
        <f t="shared" si="39"/>
        <v>0</v>
      </c>
      <c r="Q97" s="122" t="str">
        <f t="shared" si="61"/>
        <v>ZeroEntry</v>
      </c>
      <c r="R97" s="126" t="str">
        <f t="shared" si="40"/>
        <v>ZeroEntry</v>
      </c>
      <c r="S97" s="127" t="str">
        <f t="shared" si="41"/>
        <v>ZeroEntry</v>
      </c>
      <c r="T97" s="128" t="str">
        <f>IF($Q97="ZeroEntry", "",VLOOKUP($I97,'Ranking Lookup'!#REF!,2,FALSE))</f>
        <v/>
      </c>
      <c r="U97" s="129" t="str">
        <f t="shared" si="42"/>
        <v/>
      </c>
      <c r="V97" s="129" t="str">
        <f t="shared" si="43"/>
        <v/>
      </c>
      <c r="W97" s="129" t="str">
        <f t="shared" si="44"/>
        <v/>
      </c>
      <c r="X97" s="129" t="str">
        <f t="shared" si="45"/>
        <v/>
      </c>
      <c r="Y97" s="129" t="str">
        <f t="shared" si="46"/>
        <v/>
      </c>
      <c r="Z97" s="129" t="str">
        <f t="shared" si="47"/>
        <v/>
      </c>
      <c r="AA97" s="130"/>
      <c r="AB97" s="130" t="str">
        <f t="shared" si="48"/>
        <v>Unassigned</v>
      </c>
      <c r="AC97" s="131" t="str">
        <f t="shared" si="62"/>
        <v/>
      </c>
      <c r="AD97" s="131" t="str">
        <f t="shared" si="63"/>
        <v/>
      </c>
      <c r="AE97" s="132">
        <f t="shared" si="49"/>
        <v>0</v>
      </c>
      <c r="AF97" s="133" t="str">
        <f t="shared" si="64"/>
        <v/>
      </c>
      <c r="AG97" s="134">
        <f t="shared" si="50"/>
        <v>0</v>
      </c>
      <c r="AH97" s="54" t="str">
        <f t="shared" si="51"/>
        <v/>
      </c>
      <c r="AI97" s="54" t="str">
        <f t="shared" si="66"/>
        <v/>
      </c>
      <c r="AJ97" s="54" t="str">
        <f t="shared" si="66"/>
        <v/>
      </c>
      <c r="AK97" s="54" t="str">
        <f t="shared" si="66"/>
        <v/>
      </c>
      <c r="AL97" s="54" t="str">
        <f t="shared" si="66"/>
        <v/>
      </c>
      <c r="AM97" s="54" t="str">
        <f t="shared" si="66"/>
        <v/>
      </c>
      <c r="AN97" s="54" t="str">
        <f t="shared" si="66"/>
        <v/>
      </c>
      <c r="AO97" s="54" t="str">
        <f t="shared" si="66"/>
        <v/>
      </c>
      <c r="AP97" s="54" t="str">
        <f t="shared" si="66"/>
        <v/>
      </c>
      <c r="AQ97" s="54" t="str">
        <f t="shared" si="66"/>
        <v/>
      </c>
      <c r="AR97" s="54" t="str">
        <f t="shared" si="66"/>
        <v/>
      </c>
      <c r="AS97" s="54" t="str">
        <f t="shared" si="66"/>
        <v/>
      </c>
      <c r="AT97" s="54" t="str">
        <f t="shared" si="66"/>
        <v/>
      </c>
      <c r="AU97" s="54" t="str">
        <f t="shared" si="66"/>
        <v/>
      </c>
      <c r="AV97" s="54" t="str">
        <f t="shared" si="66"/>
        <v/>
      </c>
      <c r="AW97" s="54" t="str">
        <f t="shared" si="66"/>
        <v/>
      </c>
      <c r="AX97" s="54" t="str">
        <f t="shared" ref="AX97" si="68">IF(AND($Q97="Feature",LEFT($AB97,2)="PI"),
IF(AND(COUNTIF($R:$R,$B97)=1,$T97=AX$1), IF($AB97=$A$10,$AF97,0),
IF(OR($AD97&lt;1,RIGHT($G97,8)="Progress",$AH97&gt;0),SUMIFS($O:$O,$R:$R,$B97,$T:$T,AX$1,$P:$P,"&lt;&gt;Done",$AB:$AB,$A$10),
IF($T97=AX$1,IF($AB97=$A$10,$AD97,0)+SUMIFS($O:$O,$R:$R,$B97,$T:$T,AX$1,$P:$P,"&lt;&gt;Done",$AB:$AB,$A$10),SUMIFS($O:$O,$R:$R,$B97,$T:$T,AX$1,$P:$P,"&lt;&gt;Done",$AB:$AB,$A$10)))),
IF(AND(OR($Q97="Story",$Q97="Problem",$Q97="Enhancement"),$AB97=$A$10,$R97=0,$T97=AX$1,$P97&lt;&gt;"Done"),$O97,""))</f>
        <v/>
      </c>
      <c r="AY97" s="54" t="str">
        <f t="shared" si="53"/>
        <v/>
      </c>
      <c r="AZ97" s="54" t="str">
        <f t="shared" si="54"/>
        <v/>
      </c>
      <c r="BA97" s="54" t="str">
        <f t="shared" si="55"/>
        <v/>
      </c>
      <c r="BB97" s="135" t="str">
        <f t="shared" si="56"/>
        <v/>
      </c>
      <c r="BC97" s="54" t="str">
        <f t="shared" si="67"/>
        <v/>
      </c>
      <c r="BD97" s="54" t="str">
        <f t="shared" si="67"/>
        <v/>
      </c>
      <c r="BE97" s="54" t="str">
        <f t="shared" si="67"/>
        <v/>
      </c>
      <c r="BF97" s="54" t="str">
        <f t="shared" si="57"/>
        <v/>
      </c>
      <c r="BG97" s="54" t="str">
        <f t="shared" si="58"/>
        <v/>
      </c>
      <c r="BH97" s="34" t="str">
        <f t="shared" si="59"/>
        <v>Bad</v>
      </c>
      <c r="BI97" s="34" t="str">
        <f t="shared" si="60"/>
        <v>No</v>
      </c>
      <c r="BJ97" s="136" t="str">
        <f>IF($D97&lt;&gt;"Feature",".",
IF(VLOOKUP($B97,Feature_List!$A:$AM,MATCH(BJ$1,  Feature_List!$A$1:$AM$1,0),0)=B97,".","NO"))</f>
        <v>.</v>
      </c>
      <c r="BK97" s="136"/>
      <c r="BL97" s="136"/>
      <c r="BM97" s="136" t="str">
        <f>IF($D97&lt;&gt;"Feature",".",
IF(VLOOKUP($B97,Feature_List!$A:$AM,MATCH(BM$1,  Feature_List!$A$1:$AM$1,0),0)=E97,".","NO"))</f>
        <v>.</v>
      </c>
      <c r="BN97" s="136" t="str">
        <f>IF($D97&lt;&gt;"Feature",".",
IF(VLOOKUP($B97,Feature_List!$A:$AM,MATCH(BN$1,  Feature_List!$A$1:$AM$1,0),0)=F97,".","NO"))</f>
        <v>.</v>
      </c>
      <c r="BO97" s="136" t="str">
        <f>IF($D97&lt;&gt;"Feature",".",
IF(VLOOKUP($B97,Feature_List!$A:$AM,MATCH(BO$1,  Feature_List!$A$1:$AM$1,0),0)=G97,".","NO"))</f>
        <v>.</v>
      </c>
      <c r="BP97" s="136" t="str">
        <f>IF($D97&lt;&gt;"Feature",".",
IF(VLOOKUP($B97,Feature_List!$A:$AM,MATCH(BP$1,  Feature_List!$A$1:$AM$1,0),0)=H97,".","NO"))</f>
        <v>.</v>
      </c>
      <c r="BQ97" s="136"/>
      <c r="BR97" s="136" t="str">
        <f>IF($D97&lt;&gt;"Feature",".",
IF(VLOOKUP($B97,Feature_List!$A:$AM,MATCH(BR$1,  Feature_List!$A$1:$AM$1,0),0)=J97,".","NO"))</f>
        <v>.</v>
      </c>
      <c r="BS97" s="136"/>
      <c r="BT97" s="136"/>
      <c r="BU97" s="136" t="str">
        <f>IF($D97&lt;&gt;"Feature",".",
IF(VLOOKUP($B97,Feature_List!$A:$AM,MATCH(BU$1,  Feature_List!$A$1:$AM$1,0),0)=M97,".","NO"))</f>
        <v>.</v>
      </c>
      <c r="BV97" s="136" t="str">
        <f>IF($D97&lt;&gt;"Feature",".",
IF(VLOOKUP($B97,Feature_List!$A:$AM,MATCH(BV$1,  Feature_List!$A$1:$AM$1,0),0)=N97,".","NO"))</f>
        <v>.</v>
      </c>
      <c r="BW97" s="136"/>
      <c r="BX97" s="136"/>
      <c r="BY97" s="136"/>
      <c r="BZ97" s="136"/>
      <c r="CA97" s="136"/>
      <c r="CB97" s="136" t="str">
        <f>IF($D97&lt;&gt;"Feature",".",
IF(VLOOKUP($B97,Feature_List!$A:$AM,MATCH(CB$1,  Feature_List!$A$1:$AM$1,0),0)=T97,".","NO"))</f>
        <v>.</v>
      </c>
      <c r="CC97" s="136"/>
      <c r="CD97" s="136"/>
      <c r="CE97" s="136"/>
      <c r="CF97" s="136"/>
      <c r="CG97" s="136"/>
      <c r="CH97" s="136"/>
      <c r="CI97" s="136"/>
      <c r="CJ97" s="136"/>
      <c r="CK97" s="136"/>
      <c r="CL97" s="136"/>
      <c r="CM97" s="136"/>
      <c r="CN97" s="136"/>
      <c r="CO97" s="136" t="str">
        <f>IF($D97&lt;&gt;"Feature",".",
IF(VLOOKUP($B97,Feature_List!$A:$AM,MATCH(CO$1,  Feature_List!$A$1:$AM$1,0),0)=AG97,".","NO"))</f>
        <v>.</v>
      </c>
      <c r="CP97" s="136" t="str">
        <f>IF($D97&lt;&gt;"Feature",".",
IF(VLOOKUP($B97,Feature_List!$A:$AM,MATCH(CP$1,  Feature_List!$A$1:$AM$1,0),0)=AH97,".","NO"))</f>
        <v>.</v>
      </c>
      <c r="CQ97" s="136" t="str">
        <f>IF($D97&lt;&gt;"Feature",".",
IF(VLOOKUP($B97,Feature_List!$A:$AM,MATCH(CQ$1,  Feature_List!$A$1:$AM$1,0),0)=AI97,".","NO"))</f>
        <v>.</v>
      </c>
      <c r="CR97" s="136" t="str">
        <f>IF($D97&lt;&gt;"Feature",".",
IF(VLOOKUP($B97,Feature_List!$A:$AM,MATCH(CR$1,  Feature_List!$A$1:$AM$1,0),0)=AJ97,".","NO"))</f>
        <v>.</v>
      </c>
      <c r="CS97" s="136" t="str">
        <f>IF($D97&lt;&gt;"Feature",".",
IF(VLOOKUP($B97,Feature_List!$A:$AM,MATCH(CS$1,  Feature_List!$A$1:$AM$1,0),0)=AK97,".","NO"))</f>
        <v>.</v>
      </c>
      <c r="CT97" s="136" t="str">
        <f>IF($D97&lt;&gt;"Feature",".",
IF(VLOOKUP($B97,Feature_List!$A:$AM,MATCH(CT$1,  Feature_List!$A$1:$AM$1,0),0)=AL97,".","NO"))</f>
        <v>.</v>
      </c>
      <c r="CU97" s="136" t="str">
        <f>IF($D97&lt;&gt;"Feature",".",
IF(VLOOKUP($B97,Feature_List!$A:$AM,MATCH(CU$1,  Feature_List!$A$1:$AM$1,0),0)=AM97,".","NO"))</f>
        <v>.</v>
      </c>
      <c r="CV97" s="136" t="str">
        <f>IF($D97&lt;&gt;"Feature",".",
IF(VLOOKUP($B97,Feature_List!$A:$AM,MATCH(CV$1,  Feature_List!$A$1:$AM$1,0),0)=AN97,".","NO"))</f>
        <v>.</v>
      </c>
      <c r="CW97" s="136" t="str">
        <f>IF($D97&lt;&gt;"Feature",".",
IF(VLOOKUP($B97,Feature_List!$A:$AM,MATCH(CW$1,  Feature_List!$A$1:$AM$1,0),0)=AO97,".","NO"))</f>
        <v>.</v>
      </c>
      <c r="CX97" s="136" t="str">
        <f>IF($D97&lt;&gt;"Feature",".",
IF(VLOOKUP($B97,Feature_List!$A:$AM,MATCH(CX$1,  Feature_List!$A$1:$AM$1,0),0)=AP97,".","NO"))</f>
        <v>.</v>
      </c>
      <c r="CY97" s="136" t="str">
        <f>IF($D97&lt;&gt;"Feature",".",
IF(VLOOKUP($B97,Feature_List!$A:$AM,MATCH(CY$1,  Feature_List!$A$1:$AM$1,0),0)=AQ97,".","NO"))</f>
        <v>.</v>
      </c>
      <c r="CZ97" s="136" t="str">
        <f>IF($D97&lt;&gt;"Feature",".",
IF(VLOOKUP($B97,Feature_List!$A:$AM,MATCH(CZ$1,  Feature_List!$A$1:$AM$1,0),0)=AR97,".","NO"))</f>
        <v>.</v>
      </c>
      <c r="DA97" s="136" t="str">
        <f>IF($D97&lt;&gt;"Feature",".",
IF(VLOOKUP($B97,Feature_List!$A:$AM,MATCH(DA$1,  Feature_List!$A$1:$AM$1,0),0)=AS97,".","NO"))</f>
        <v>.</v>
      </c>
      <c r="DB97" s="136" t="str">
        <f>IF($D97&lt;&gt;"Feature",".",
IF(VLOOKUP($B97,Feature_List!$A:$AM,MATCH(DB$1,  Feature_List!$A$1:$AM$1,0),0)=AT97,".","NO"))</f>
        <v>.</v>
      </c>
      <c r="DC97" s="136" t="str">
        <f>IF($D97&lt;&gt;"Feature",".",
IF(VLOOKUP($B97,Feature_List!$A:$AM,MATCH(DC$1,  Feature_List!$A$1:$AM$1,0),0)=AU97,".","NO"))</f>
        <v>.</v>
      </c>
      <c r="DD97" s="136" t="str">
        <f>IF($D97&lt;&gt;"Feature",".",
IF(VLOOKUP($B97,Feature_List!$A:$AM,MATCH(DD$1,  Feature_List!$A$1:$AM$1,0),0)=AV97,".","NO"))</f>
        <v>.</v>
      </c>
      <c r="DE97" s="136" t="str">
        <f>IF($D97&lt;&gt;"Feature",".",
IF(VLOOKUP($B97,Feature_List!$A:$AM,MATCH(DE$1,  Feature_List!$A$1:$AM$1,0),0)=AW97,".","NO"))</f>
        <v>.</v>
      </c>
      <c r="DF97" s="136" t="str">
        <f>IF($D97&lt;&gt;"Feature",".",
IF(VLOOKUP($B97,Feature_List!$A:$AM,MATCH(DF$1,  Feature_List!$A$1:$AM$1,0),0)=AX97,".","NO"))</f>
        <v>.</v>
      </c>
      <c r="DG97" s="136" t="str">
        <f>IF($D97&lt;&gt;"Feature",".",
IF(VLOOKUP($B97,Feature_List!$A:$AM,MATCH(DG$1,  Feature_List!$A$1:$AM$1,0),0)=AY97,".","NO"))</f>
        <v>.</v>
      </c>
      <c r="DH97" s="136" t="str">
        <f>IF($D97&lt;&gt;"Feature",".",
IF(VLOOKUP($B97,Feature_List!$A:$AM,MATCH(DH$1,  Feature_List!$A$1:$AM$1,0),0)=AZ97,".","NO"))</f>
        <v>.</v>
      </c>
      <c r="DI97" s="136" t="str">
        <f>IF($D97&lt;&gt;"Feature",".",
IF(VLOOKUP($B97,Feature_List!$A:$AM,MATCH(DI$1,  Feature_List!$A$1:$AM$1,0),0)=BA97,".","NO"))</f>
        <v>.</v>
      </c>
      <c r="DJ97" s="136" t="str">
        <f>IF($D97&lt;&gt;"Feature",".",
IF(VLOOKUP($B97,Feature_List!$A:$AM,MATCH(DJ$1,  Feature_List!$A$1:$AM$1,0),0)=BB97,".","NO"))</f>
        <v>.</v>
      </c>
      <c r="DK97" s="136"/>
      <c r="DL97" s="136"/>
      <c r="DM97" s="136"/>
      <c r="DN97" s="136" t="str">
        <f>IF($D97&lt;&gt;"Feature",".",
IF(VLOOKUP($B97,Feature_List!$A:$AM,MATCH(DN$1,  Feature_List!$A$1:$AM$1,0),0)=BC97,".","NO"))</f>
        <v>.</v>
      </c>
      <c r="DO97" s="136" t="str">
        <f>IF($D97&lt;&gt;"Feature",".",
IF(VLOOKUP($B97,Feature_List!$A:$AM,MATCH(DO$1,  Feature_List!$A$1:$AM$1,0),0)=BD97,".","NO"))</f>
        <v>.</v>
      </c>
    </row>
    <row r="98" spans="2:119" x14ac:dyDescent="0.3">
      <c r="B98" s="121"/>
      <c r="C98" s="122"/>
      <c r="D98" s="122"/>
      <c r="E98" s="122"/>
      <c r="F98" s="138"/>
      <c r="G98" s="123"/>
      <c r="H98" s="122"/>
      <c r="I98" s="124"/>
      <c r="J98" s="138"/>
      <c r="K98" s="123"/>
      <c r="L98" s="122"/>
      <c r="M98" s="122"/>
      <c r="N98" s="125"/>
      <c r="O98" s="123">
        <f t="shared" si="38"/>
        <v>0</v>
      </c>
      <c r="P98" s="123">
        <f t="shared" si="39"/>
        <v>0</v>
      </c>
      <c r="Q98" s="122" t="str">
        <f t="shared" si="61"/>
        <v>ZeroEntry</v>
      </c>
      <c r="R98" s="126" t="str">
        <f t="shared" si="40"/>
        <v>ZeroEntry</v>
      </c>
      <c r="S98" s="127" t="str">
        <f t="shared" si="41"/>
        <v>ZeroEntry</v>
      </c>
      <c r="T98" s="128" t="str">
        <f>IF($Q98="ZeroEntry", "",VLOOKUP($I98,'Ranking Lookup'!#REF!,2,FALSE))</f>
        <v/>
      </c>
      <c r="U98" s="129" t="str">
        <f t="shared" si="42"/>
        <v/>
      </c>
      <c r="V98" s="129" t="str">
        <f t="shared" si="43"/>
        <v/>
      </c>
      <c r="W98" s="129" t="str">
        <f t="shared" si="44"/>
        <v/>
      </c>
      <c r="X98" s="129" t="str">
        <f t="shared" si="45"/>
        <v/>
      </c>
      <c r="Y98" s="129" t="str">
        <f t="shared" si="46"/>
        <v/>
      </c>
      <c r="Z98" s="129" t="str">
        <f t="shared" si="47"/>
        <v/>
      </c>
      <c r="AA98" s="130"/>
      <c r="AB98" s="130" t="str">
        <f t="shared" si="48"/>
        <v>Unassigned</v>
      </c>
      <c r="AC98" s="131" t="str">
        <f t="shared" si="62"/>
        <v/>
      </c>
      <c r="AD98" s="131" t="str">
        <f t="shared" si="63"/>
        <v/>
      </c>
      <c r="AE98" s="132">
        <f t="shared" si="49"/>
        <v>0</v>
      </c>
      <c r="AF98" s="133" t="str">
        <f t="shared" si="64"/>
        <v/>
      </c>
      <c r="AG98" s="134">
        <f t="shared" si="50"/>
        <v>0</v>
      </c>
      <c r="AH98" s="54" t="str">
        <f t="shared" si="51"/>
        <v/>
      </c>
      <c r="AI98" s="54" t="str">
        <f t="shared" ref="AI98:AX113" si="69">IF(AND($Q98="Feature",LEFT($AB98,2)="PI"),
IF(AND(COUNTIF($R:$R,$B98)=1,$T98=AI$1), IF($AB98=$A$10,$AF98,0),
IF(OR($AD98&lt;1,RIGHT($G98,8)="Progress",$AH98&gt;0),SUMIFS($O:$O,$R:$R,$B98,$T:$T,AI$1,$P:$P,"&lt;&gt;Done",$AB:$AB,$A$10),
IF($T98=AI$1,IF($AB98=$A$10,$AD98,0)+SUMIFS($O:$O,$R:$R,$B98,$T:$T,AI$1,$P:$P,"&lt;&gt;Done",$AB:$AB,$A$10),SUMIFS($O:$O,$R:$R,$B98,$T:$T,AI$1,$P:$P,"&lt;&gt;Done",$AB:$AB,$A$10)))),
IF(AND(OR($Q98="Story",$Q98="Problem",$Q98="Enhancement"),$AB98=$A$10,$R98=0,$T98=AI$1,$P98&lt;&gt;"Done"),$O98,""))</f>
        <v/>
      </c>
      <c r="AJ98" s="54" t="str">
        <f t="shared" si="69"/>
        <v/>
      </c>
      <c r="AK98" s="54" t="str">
        <f t="shared" si="69"/>
        <v/>
      </c>
      <c r="AL98" s="54" t="str">
        <f t="shared" si="69"/>
        <v/>
      </c>
      <c r="AM98" s="54" t="str">
        <f t="shared" si="69"/>
        <v/>
      </c>
      <c r="AN98" s="54" t="str">
        <f t="shared" si="69"/>
        <v/>
      </c>
      <c r="AO98" s="54" t="str">
        <f t="shared" si="69"/>
        <v/>
      </c>
      <c r="AP98" s="54" t="str">
        <f t="shared" si="69"/>
        <v/>
      </c>
      <c r="AQ98" s="54" t="str">
        <f t="shared" si="69"/>
        <v/>
      </c>
      <c r="AR98" s="54" t="str">
        <f t="shared" si="69"/>
        <v/>
      </c>
      <c r="AS98" s="54" t="str">
        <f t="shared" si="69"/>
        <v/>
      </c>
      <c r="AT98" s="54" t="str">
        <f t="shared" si="69"/>
        <v/>
      </c>
      <c r="AU98" s="54" t="str">
        <f t="shared" si="69"/>
        <v/>
      </c>
      <c r="AV98" s="54" t="str">
        <f t="shared" si="69"/>
        <v/>
      </c>
      <c r="AW98" s="54" t="str">
        <f t="shared" si="69"/>
        <v/>
      </c>
      <c r="AX98" s="54" t="str">
        <f t="shared" si="69"/>
        <v/>
      </c>
      <c r="AY98" s="54" t="str">
        <f t="shared" si="53"/>
        <v/>
      </c>
      <c r="AZ98" s="54" t="str">
        <f t="shared" si="54"/>
        <v/>
      </c>
      <c r="BA98" s="54" t="str">
        <f t="shared" si="55"/>
        <v/>
      </c>
      <c r="BB98" s="135" t="str">
        <f t="shared" si="56"/>
        <v/>
      </c>
      <c r="BC98" s="54" t="str">
        <f t="shared" si="67"/>
        <v/>
      </c>
      <c r="BD98" s="54" t="str">
        <f t="shared" si="67"/>
        <v/>
      </c>
      <c r="BE98" s="54" t="str">
        <f t="shared" si="67"/>
        <v/>
      </c>
      <c r="BF98" s="54" t="str">
        <f t="shared" si="57"/>
        <v/>
      </c>
      <c r="BG98" s="54" t="str">
        <f t="shared" si="58"/>
        <v/>
      </c>
      <c r="BH98" s="34" t="str">
        <f t="shared" si="59"/>
        <v>Bad</v>
      </c>
      <c r="BI98" s="34" t="str">
        <f t="shared" si="60"/>
        <v>No</v>
      </c>
      <c r="BJ98" s="136" t="str">
        <f>IF($D98&lt;&gt;"Feature",".",
IF(VLOOKUP($B98,Feature_List!$A:$AM,MATCH(BJ$1,  Feature_List!$A$1:$AM$1,0),0)=B98,".","NO"))</f>
        <v>.</v>
      </c>
      <c r="BK98" s="136"/>
      <c r="BL98" s="136"/>
      <c r="BM98" s="136" t="str">
        <f>IF($D98&lt;&gt;"Feature",".",
IF(VLOOKUP($B98,Feature_List!$A:$AM,MATCH(BM$1,  Feature_List!$A$1:$AM$1,0),0)=E98,".","NO"))</f>
        <v>.</v>
      </c>
      <c r="BN98" s="136" t="str">
        <f>IF($D98&lt;&gt;"Feature",".",
IF(VLOOKUP($B98,Feature_List!$A:$AM,MATCH(BN$1,  Feature_List!$A$1:$AM$1,0),0)=F98,".","NO"))</f>
        <v>.</v>
      </c>
      <c r="BO98" s="136" t="str">
        <f>IF($D98&lt;&gt;"Feature",".",
IF(VLOOKUP($B98,Feature_List!$A:$AM,MATCH(BO$1,  Feature_List!$A$1:$AM$1,0),0)=G98,".","NO"))</f>
        <v>.</v>
      </c>
      <c r="BP98" s="136" t="str">
        <f>IF($D98&lt;&gt;"Feature",".",
IF(VLOOKUP($B98,Feature_List!$A:$AM,MATCH(BP$1,  Feature_List!$A$1:$AM$1,0),0)=H98,".","NO"))</f>
        <v>.</v>
      </c>
      <c r="BQ98" s="136"/>
      <c r="BR98" s="136" t="str">
        <f>IF($D98&lt;&gt;"Feature",".",
IF(VLOOKUP($B98,Feature_List!$A:$AM,MATCH(BR$1,  Feature_List!$A$1:$AM$1,0),0)=J98,".","NO"))</f>
        <v>.</v>
      </c>
      <c r="BS98" s="136"/>
      <c r="BT98" s="136"/>
      <c r="BU98" s="136" t="str">
        <f>IF($D98&lt;&gt;"Feature",".",
IF(VLOOKUP($B98,Feature_List!$A:$AM,MATCH(BU$1,  Feature_List!$A$1:$AM$1,0),0)=M98,".","NO"))</f>
        <v>.</v>
      </c>
      <c r="BV98" s="136" t="str">
        <f>IF($D98&lt;&gt;"Feature",".",
IF(VLOOKUP($B98,Feature_List!$A:$AM,MATCH(BV$1,  Feature_List!$A$1:$AM$1,0),0)=N98,".","NO"))</f>
        <v>.</v>
      </c>
      <c r="BW98" s="136"/>
      <c r="BX98" s="136"/>
      <c r="BY98" s="136"/>
      <c r="BZ98" s="136"/>
      <c r="CA98" s="136"/>
      <c r="CB98" s="136" t="str">
        <f>IF($D98&lt;&gt;"Feature",".",
IF(VLOOKUP($B98,Feature_List!$A:$AM,MATCH(CB$1,  Feature_List!$A$1:$AM$1,0),0)=T98,".","NO"))</f>
        <v>.</v>
      </c>
      <c r="CC98" s="136"/>
      <c r="CD98" s="136"/>
      <c r="CE98" s="136"/>
      <c r="CF98" s="136"/>
      <c r="CG98" s="136"/>
      <c r="CH98" s="136"/>
      <c r="CI98" s="136"/>
      <c r="CJ98" s="136"/>
      <c r="CK98" s="136"/>
      <c r="CL98" s="136"/>
      <c r="CM98" s="136"/>
      <c r="CN98" s="136"/>
      <c r="CO98" s="136" t="str">
        <f>IF($D98&lt;&gt;"Feature",".",
IF(VLOOKUP($B98,Feature_List!$A:$AM,MATCH(CO$1,  Feature_List!$A$1:$AM$1,0),0)=AG98,".","NO"))</f>
        <v>.</v>
      </c>
      <c r="CP98" s="136" t="str">
        <f>IF($D98&lt;&gt;"Feature",".",
IF(VLOOKUP($B98,Feature_List!$A:$AM,MATCH(CP$1,  Feature_List!$A$1:$AM$1,0),0)=AH98,".","NO"))</f>
        <v>.</v>
      </c>
      <c r="CQ98" s="136" t="str">
        <f>IF($D98&lt;&gt;"Feature",".",
IF(VLOOKUP($B98,Feature_List!$A:$AM,MATCH(CQ$1,  Feature_List!$A$1:$AM$1,0),0)=AI98,".","NO"))</f>
        <v>.</v>
      </c>
      <c r="CR98" s="136" t="str">
        <f>IF($D98&lt;&gt;"Feature",".",
IF(VLOOKUP($B98,Feature_List!$A:$AM,MATCH(CR$1,  Feature_List!$A$1:$AM$1,0),0)=AJ98,".","NO"))</f>
        <v>.</v>
      </c>
      <c r="CS98" s="136" t="str">
        <f>IF($D98&lt;&gt;"Feature",".",
IF(VLOOKUP($B98,Feature_List!$A:$AM,MATCH(CS$1,  Feature_List!$A$1:$AM$1,0),0)=AK98,".","NO"))</f>
        <v>.</v>
      </c>
      <c r="CT98" s="136" t="str">
        <f>IF($D98&lt;&gt;"Feature",".",
IF(VLOOKUP($B98,Feature_List!$A:$AM,MATCH(CT$1,  Feature_List!$A$1:$AM$1,0),0)=AL98,".","NO"))</f>
        <v>.</v>
      </c>
      <c r="CU98" s="136" t="str">
        <f>IF($D98&lt;&gt;"Feature",".",
IF(VLOOKUP($B98,Feature_List!$A:$AM,MATCH(CU$1,  Feature_List!$A$1:$AM$1,0),0)=AM98,".","NO"))</f>
        <v>.</v>
      </c>
      <c r="CV98" s="136" t="str">
        <f>IF($D98&lt;&gt;"Feature",".",
IF(VLOOKUP($B98,Feature_List!$A:$AM,MATCH(CV$1,  Feature_List!$A$1:$AM$1,0),0)=AN98,".","NO"))</f>
        <v>.</v>
      </c>
      <c r="CW98" s="136" t="str">
        <f>IF($D98&lt;&gt;"Feature",".",
IF(VLOOKUP($B98,Feature_List!$A:$AM,MATCH(CW$1,  Feature_List!$A$1:$AM$1,0),0)=AO98,".","NO"))</f>
        <v>.</v>
      </c>
      <c r="CX98" s="136" t="str">
        <f>IF($D98&lt;&gt;"Feature",".",
IF(VLOOKUP($B98,Feature_List!$A:$AM,MATCH(CX$1,  Feature_List!$A$1:$AM$1,0),0)=AP98,".","NO"))</f>
        <v>.</v>
      </c>
      <c r="CY98" s="136" t="str">
        <f>IF($D98&lt;&gt;"Feature",".",
IF(VLOOKUP($B98,Feature_List!$A:$AM,MATCH(CY$1,  Feature_List!$A$1:$AM$1,0),0)=AQ98,".","NO"))</f>
        <v>.</v>
      </c>
      <c r="CZ98" s="136" t="str">
        <f>IF($D98&lt;&gt;"Feature",".",
IF(VLOOKUP($B98,Feature_List!$A:$AM,MATCH(CZ$1,  Feature_List!$A$1:$AM$1,0),0)=AR98,".","NO"))</f>
        <v>.</v>
      </c>
      <c r="DA98" s="136" t="str">
        <f>IF($D98&lt;&gt;"Feature",".",
IF(VLOOKUP($B98,Feature_List!$A:$AM,MATCH(DA$1,  Feature_List!$A$1:$AM$1,0),0)=AS98,".","NO"))</f>
        <v>.</v>
      </c>
      <c r="DB98" s="136" t="str">
        <f>IF($D98&lt;&gt;"Feature",".",
IF(VLOOKUP($B98,Feature_List!$A:$AM,MATCH(DB$1,  Feature_List!$A$1:$AM$1,0),0)=AT98,".","NO"))</f>
        <v>.</v>
      </c>
      <c r="DC98" s="136" t="str">
        <f>IF($D98&lt;&gt;"Feature",".",
IF(VLOOKUP($B98,Feature_List!$A:$AM,MATCH(DC$1,  Feature_List!$A$1:$AM$1,0),0)=AU98,".","NO"))</f>
        <v>.</v>
      </c>
      <c r="DD98" s="136" t="str">
        <f>IF($D98&lt;&gt;"Feature",".",
IF(VLOOKUP($B98,Feature_List!$A:$AM,MATCH(DD$1,  Feature_List!$A$1:$AM$1,0),0)=AV98,".","NO"))</f>
        <v>.</v>
      </c>
      <c r="DE98" s="136" t="str">
        <f>IF($D98&lt;&gt;"Feature",".",
IF(VLOOKUP($B98,Feature_List!$A:$AM,MATCH(DE$1,  Feature_List!$A$1:$AM$1,0),0)=AW98,".","NO"))</f>
        <v>.</v>
      </c>
      <c r="DF98" s="136" t="str">
        <f>IF($D98&lt;&gt;"Feature",".",
IF(VLOOKUP($B98,Feature_List!$A:$AM,MATCH(DF$1,  Feature_List!$A$1:$AM$1,0),0)=AX98,".","NO"))</f>
        <v>.</v>
      </c>
      <c r="DG98" s="136" t="str">
        <f>IF($D98&lt;&gt;"Feature",".",
IF(VLOOKUP($B98,Feature_List!$A:$AM,MATCH(DG$1,  Feature_List!$A$1:$AM$1,0),0)=AY98,".","NO"))</f>
        <v>.</v>
      </c>
      <c r="DH98" s="136" t="str">
        <f>IF($D98&lt;&gt;"Feature",".",
IF(VLOOKUP($B98,Feature_List!$A:$AM,MATCH(DH$1,  Feature_List!$A$1:$AM$1,0),0)=AZ98,".","NO"))</f>
        <v>.</v>
      </c>
      <c r="DI98" s="136" t="str">
        <f>IF($D98&lt;&gt;"Feature",".",
IF(VLOOKUP($B98,Feature_List!$A:$AM,MATCH(DI$1,  Feature_List!$A$1:$AM$1,0),0)=BA98,".","NO"))</f>
        <v>.</v>
      </c>
      <c r="DJ98" s="136" t="str">
        <f>IF($D98&lt;&gt;"Feature",".",
IF(VLOOKUP($B98,Feature_List!$A:$AM,MATCH(DJ$1,  Feature_List!$A$1:$AM$1,0),0)=BB98,".","NO"))</f>
        <v>.</v>
      </c>
      <c r="DK98" s="136"/>
      <c r="DL98" s="136"/>
      <c r="DM98" s="136"/>
      <c r="DN98" s="136" t="str">
        <f>IF($D98&lt;&gt;"Feature",".",
IF(VLOOKUP($B98,Feature_List!$A:$AM,MATCH(DN$1,  Feature_List!$A$1:$AM$1,0),0)=BC98,".","NO"))</f>
        <v>.</v>
      </c>
      <c r="DO98" s="136" t="str">
        <f>IF($D98&lt;&gt;"Feature",".",
IF(VLOOKUP($B98,Feature_List!$A:$AM,MATCH(DO$1,  Feature_List!$A$1:$AM$1,0),0)=BD98,".","NO"))</f>
        <v>.</v>
      </c>
    </row>
    <row r="99" spans="2:119" x14ac:dyDescent="0.3">
      <c r="B99" s="121"/>
      <c r="C99" s="122"/>
      <c r="D99" s="122"/>
      <c r="E99" s="122"/>
      <c r="F99" s="138"/>
      <c r="G99" s="123"/>
      <c r="H99" s="122"/>
      <c r="I99" s="124"/>
      <c r="J99" s="138"/>
      <c r="K99" s="123"/>
      <c r="L99" s="122"/>
      <c r="M99" s="122"/>
      <c r="N99" s="125"/>
      <c r="O99" s="123">
        <f t="shared" si="38"/>
        <v>0</v>
      </c>
      <c r="P99" s="123">
        <f t="shared" si="39"/>
        <v>0</v>
      </c>
      <c r="Q99" s="122" t="str">
        <f t="shared" si="61"/>
        <v>ZeroEntry</v>
      </c>
      <c r="R99" s="126" t="str">
        <f t="shared" si="40"/>
        <v>ZeroEntry</v>
      </c>
      <c r="S99" s="127" t="str">
        <f t="shared" si="41"/>
        <v>ZeroEntry</v>
      </c>
      <c r="T99" s="128" t="str">
        <f>IF($Q99="ZeroEntry", "",VLOOKUP($I99,'Ranking Lookup'!#REF!,2,FALSE))</f>
        <v/>
      </c>
      <c r="U99" s="129" t="str">
        <f t="shared" si="42"/>
        <v/>
      </c>
      <c r="V99" s="129" t="str">
        <f t="shared" si="43"/>
        <v/>
      </c>
      <c r="W99" s="129" t="str">
        <f t="shared" si="44"/>
        <v/>
      </c>
      <c r="X99" s="129" t="str">
        <f t="shared" si="45"/>
        <v/>
      </c>
      <c r="Y99" s="129" t="str">
        <f t="shared" si="46"/>
        <v/>
      </c>
      <c r="Z99" s="129" t="str">
        <f t="shared" si="47"/>
        <v/>
      </c>
      <c r="AA99" s="130"/>
      <c r="AB99" s="130" t="str">
        <f t="shared" si="48"/>
        <v>Unassigned</v>
      </c>
      <c r="AC99" s="131" t="str">
        <f t="shared" si="62"/>
        <v/>
      </c>
      <c r="AD99" s="131" t="str">
        <f t="shared" si="63"/>
        <v/>
      </c>
      <c r="AE99" s="132">
        <f t="shared" si="49"/>
        <v>0</v>
      </c>
      <c r="AF99" s="133" t="str">
        <f t="shared" si="64"/>
        <v/>
      </c>
      <c r="AG99" s="134">
        <f t="shared" si="50"/>
        <v>0</v>
      </c>
      <c r="AH99" s="54" t="str">
        <f t="shared" si="51"/>
        <v/>
      </c>
      <c r="AI99" s="54" t="str">
        <f t="shared" si="69"/>
        <v/>
      </c>
      <c r="AJ99" s="54" t="str">
        <f t="shared" si="69"/>
        <v/>
      </c>
      <c r="AK99" s="54" t="str">
        <f t="shared" si="69"/>
        <v/>
      </c>
      <c r="AL99" s="54" t="str">
        <f t="shared" si="69"/>
        <v/>
      </c>
      <c r="AM99" s="54" t="str">
        <f t="shared" si="69"/>
        <v/>
      </c>
      <c r="AN99" s="54" t="str">
        <f t="shared" si="69"/>
        <v/>
      </c>
      <c r="AO99" s="54" t="str">
        <f t="shared" si="69"/>
        <v/>
      </c>
      <c r="AP99" s="54" t="str">
        <f t="shared" si="69"/>
        <v/>
      </c>
      <c r="AQ99" s="54" t="str">
        <f t="shared" si="69"/>
        <v/>
      </c>
      <c r="AR99" s="54" t="str">
        <f t="shared" si="69"/>
        <v/>
      </c>
      <c r="AS99" s="54" t="str">
        <f t="shared" si="69"/>
        <v/>
      </c>
      <c r="AT99" s="54" t="str">
        <f t="shared" si="69"/>
        <v/>
      </c>
      <c r="AU99" s="54" t="str">
        <f t="shared" si="69"/>
        <v/>
      </c>
      <c r="AV99" s="54" t="str">
        <f t="shared" si="69"/>
        <v/>
      </c>
      <c r="AW99" s="54" t="str">
        <f t="shared" si="69"/>
        <v/>
      </c>
      <c r="AX99" s="54" t="str">
        <f t="shared" si="69"/>
        <v/>
      </c>
      <c r="AY99" s="54" t="str">
        <f t="shared" si="53"/>
        <v/>
      </c>
      <c r="AZ99" s="54" t="str">
        <f t="shared" si="54"/>
        <v/>
      </c>
      <c r="BA99" s="54" t="str">
        <f t="shared" si="55"/>
        <v/>
      </c>
      <c r="BB99" s="135" t="str">
        <f t="shared" si="56"/>
        <v/>
      </c>
      <c r="BC99" s="54" t="str">
        <f t="shared" si="67"/>
        <v/>
      </c>
      <c r="BD99" s="54" t="str">
        <f t="shared" si="67"/>
        <v/>
      </c>
      <c r="BE99" s="54" t="str">
        <f t="shared" si="67"/>
        <v/>
      </c>
      <c r="BF99" s="54" t="str">
        <f t="shared" si="57"/>
        <v/>
      </c>
      <c r="BG99" s="54" t="str">
        <f t="shared" si="58"/>
        <v/>
      </c>
      <c r="BH99" s="34" t="str">
        <f t="shared" si="59"/>
        <v>Bad</v>
      </c>
      <c r="BI99" s="34" t="str">
        <f t="shared" si="60"/>
        <v>No</v>
      </c>
      <c r="BJ99" s="136" t="str">
        <f>IF($D99&lt;&gt;"Feature",".",
IF(VLOOKUP($B99,Feature_List!$A:$AM,MATCH(BJ$1,  Feature_List!$A$1:$AM$1,0),0)=B99,".","NO"))</f>
        <v>.</v>
      </c>
      <c r="BK99" s="136"/>
      <c r="BL99" s="136"/>
      <c r="BM99" s="136" t="str">
        <f>IF($D99&lt;&gt;"Feature",".",
IF(VLOOKUP($B99,Feature_List!$A:$AM,MATCH(BM$1,  Feature_List!$A$1:$AM$1,0),0)=E99,".","NO"))</f>
        <v>.</v>
      </c>
      <c r="BN99" s="136" t="str">
        <f>IF($D99&lt;&gt;"Feature",".",
IF(VLOOKUP($B99,Feature_List!$A:$AM,MATCH(BN$1,  Feature_List!$A$1:$AM$1,0),0)=F99,".","NO"))</f>
        <v>.</v>
      </c>
      <c r="BO99" s="136" t="str">
        <f>IF($D99&lt;&gt;"Feature",".",
IF(VLOOKUP($B99,Feature_List!$A:$AM,MATCH(BO$1,  Feature_List!$A$1:$AM$1,0),0)=G99,".","NO"))</f>
        <v>.</v>
      </c>
      <c r="BP99" s="136" t="str">
        <f>IF($D99&lt;&gt;"Feature",".",
IF(VLOOKUP($B99,Feature_List!$A:$AM,MATCH(BP$1,  Feature_List!$A$1:$AM$1,0),0)=H99,".","NO"))</f>
        <v>.</v>
      </c>
      <c r="BQ99" s="136"/>
      <c r="BR99" s="136" t="str">
        <f>IF($D99&lt;&gt;"Feature",".",
IF(VLOOKUP($B99,Feature_List!$A:$AM,MATCH(BR$1,  Feature_List!$A$1:$AM$1,0),0)=J99,".","NO"))</f>
        <v>.</v>
      </c>
      <c r="BS99" s="136"/>
      <c r="BT99" s="136"/>
      <c r="BU99" s="136" t="str">
        <f>IF($D99&lt;&gt;"Feature",".",
IF(VLOOKUP($B99,Feature_List!$A:$AM,MATCH(BU$1,  Feature_List!$A$1:$AM$1,0),0)=M99,".","NO"))</f>
        <v>.</v>
      </c>
      <c r="BV99" s="136" t="str">
        <f>IF($D99&lt;&gt;"Feature",".",
IF(VLOOKUP($B99,Feature_List!$A:$AM,MATCH(BV$1,  Feature_List!$A$1:$AM$1,0),0)=N99,".","NO"))</f>
        <v>.</v>
      </c>
      <c r="BW99" s="136"/>
      <c r="BX99" s="136"/>
      <c r="BY99" s="136"/>
      <c r="BZ99" s="136"/>
      <c r="CA99" s="136"/>
      <c r="CB99" s="136" t="str">
        <f>IF($D99&lt;&gt;"Feature",".",
IF(VLOOKUP($B99,Feature_List!$A:$AM,MATCH(CB$1,  Feature_List!$A$1:$AM$1,0),0)=T99,".","NO"))</f>
        <v>.</v>
      </c>
      <c r="CC99" s="136"/>
      <c r="CD99" s="136"/>
      <c r="CE99" s="136"/>
      <c r="CF99" s="136"/>
      <c r="CG99" s="136"/>
      <c r="CH99" s="136"/>
      <c r="CI99" s="136"/>
      <c r="CJ99" s="136"/>
      <c r="CK99" s="136"/>
      <c r="CL99" s="136"/>
      <c r="CM99" s="136"/>
      <c r="CN99" s="136"/>
      <c r="CO99" s="136" t="str">
        <f>IF($D99&lt;&gt;"Feature",".",
IF(VLOOKUP($B99,Feature_List!$A:$AM,MATCH(CO$1,  Feature_List!$A$1:$AM$1,0),0)=AG99,".","NO"))</f>
        <v>.</v>
      </c>
      <c r="CP99" s="136" t="str">
        <f>IF($D99&lt;&gt;"Feature",".",
IF(VLOOKUP($B99,Feature_List!$A:$AM,MATCH(CP$1,  Feature_List!$A$1:$AM$1,0),0)=AH99,".","NO"))</f>
        <v>.</v>
      </c>
      <c r="CQ99" s="136" t="str">
        <f>IF($D99&lt;&gt;"Feature",".",
IF(VLOOKUP($B99,Feature_List!$A:$AM,MATCH(CQ$1,  Feature_List!$A$1:$AM$1,0),0)=AI99,".","NO"))</f>
        <v>.</v>
      </c>
      <c r="CR99" s="136" t="str">
        <f>IF($D99&lt;&gt;"Feature",".",
IF(VLOOKUP($B99,Feature_List!$A:$AM,MATCH(CR$1,  Feature_List!$A$1:$AM$1,0),0)=AJ99,".","NO"))</f>
        <v>.</v>
      </c>
      <c r="CS99" s="136" t="str">
        <f>IF($D99&lt;&gt;"Feature",".",
IF(VLOOKUP($B99,Feature_List!$A:$AM,MATCH(CS$1,  Feature_List!$A$1:$AM$1,0),0)=AK99,".","NO"))</f>
        <v>.</v>
      </c>
      <c r="CT99" s="136" t="str">
        <f>IF($D99&lt;&gt;"Feature",".",
IF(VLOOKUP($B99,Feature_List!$A:$AM,MATCH(CT$1,  Feature_List!$A$1:$AM$1,0),0)=AL99,".","NO"))</f>
        <v>.</v>
      </c>
      <c r="CU99" s="136" t="str">
        <f>IF($D99&lt;&gt;"Feature",".",
IF(VLOOKUP($B99,Feature_List!$A:$AM,MATCH(CU$1,  Feature_List!$A$1:$AM$1,0),0)=AM99,".","NO"))</f>
        <v>.</v>
      </c>
      <c r="CV99" s="136" t="str">
        <f>IF($D99&lt;&gt;"Feature",".",
IF(VLOOKUP($B99,Feature_List!$A:$AM,MATCH(CV$1,  Feature_List!$A$1:$AM$1,0),0)=AN99,".","NO"))</f>
        <v>.</v>
      </c>
      <c r="CW99" s="136" t="str">
        <f>IF($D99&lt;&gt;"Feature",".",
IF(VLOOKUP($B99,Feature_List!$A:$AM,MATCH(CW$1,  Feature_List!$A$1:$AM$1,0),0)=AO99,".","NO"))</f>
        <v>.</v>
      </c>
      <c r="CX99" s="136" t="str">
        <f>IF($D99&lt;&gt;"Feature",".",
IF(VLOOKUP($B99,Feature_List!$A:$AM,MATCH(CX$1,  Feature_List!$A$1:$AM$1,0),0)=AP99,".","NO"))</f>
        <v>.</v>
      </c>
      <c r="CY99" s="136" t="str">
        <f>IF($D99&lt;&gt;"Feature",".",
IF(VLOOKUP($B99,Feature_List!$A:$AM,MATCH(CY$1,  Feature_List!$A$1:$AM$1,0),0)=AQ99,".","NO"))</f>
        <v>.</v>
      </c>
      <c r="CZ99" s="136" t="str">
        <f>IF($D99&lt;&gt;"Feature",".",
IF(VLOOKUP($B99,Feature_List!$A:$AM,MATCH(CZ$1,  Feature_List!$A$1:$AM$1,0),0)=AR99,".","NO"))</f>
        <v>.</v>
      </c>
      <c r="DA99" s="136" t="str">
        <f>IF($D99&lt;&gt;"Feature",".",
IF(VLOOKUP($B99,Feature_List!$A:$AM,MATCH(DA$1,  Feature_List!$A$1:$AM$1,0),0)=AS99,".","NO"))</f>
        <v>.</v>
      </c>
      <c r="DB99" s="136" t="str">
        <f>IF($D99&lt;&gt;"Feature",".",
IF(VLOOKUP($B99,Feature_List!$A:$AM,MATCH(DB$1,  Feature_List!$A$1:$AM$1,0),0)=AT99,".","NO"))</f>
        <v>.</v>
      </c>
      <c r="DC99" s="136" t="str">
        <f>IF($D99&lt;&gt;"Feature",".",
IF(VLOOKUP($B99,Feature_List!$A:$AM,MATCH(DC$1,  Feature_List!$A$1:$AM$1,0),0)=AU99,".","NO"))</f>
        <v>.</v>
      </c>
      <c r="DD99" s="136" t="str">
        <f>IF($D99&lt;&gt;"Feature",".",
IF(VLOOKUP($B99,Feature_List!$A:$AM,MATCH(DD$1,  Feature_List!$A$1:$AM$1,0),0)=AV99,".","NO"))</f>
        <v>.</v>
      </c>
      <c r="DE99" s="136" t="str">
        <f>IF($D99&lt;&gt;"Feature",".",
IF(VLOOKUP($B99,Feature_List!$A:$AM,MATCH(DE$1,  Feature_List!$A$1:$AM$1,0),0)=AW99,".","NO"))</f>
        <v>.</v>
      </c>
      <c r="DF99" s="136" t="str">
        <f>IF($D99&lt;&gt;"Feature",".",
IF(VLOOKUP($B99,Feature_List!$A:$AM,MATCH(DF$1,  Feature_List!$A$1:$AM$1,0),0)=AX99,".","NO"))</f>
        <v>.</v>
      </c>
      <c r="DG99" s="136" t="str">
        <f>IF($D99&lt;&gt;"Feature",".",
IF(VLOOKUP($B99,Feature_List!$A:$AM,MATCH(DG$1,  Feature_List!$A$1:$AM$1,0),0)=AY99,".","NO"))</f>
        <v>.</v>
      </c>
      <c r="DH99" s="136" t="str">
        <f>IF($D99&lt;&gt;"Feature",".",
IF(VLOOKUP($B99,Feature_List!$A:$AM,MATCH(DH$1,  Feature_List!$A$1:$AM$1,0),0)=AZ99,".","NO"))</f>
        <v>.</v>
      </c>
      <c r="DI99" s="136" t="str">
        <f>IF($D99&lt;&gt;"Feature",".",
IF(VLOOKUP($B99,Feature_List!$A:$AM,MATCH(DI$1,  Feature_List!$A$1:$AM$1,0),0)=BA99,".","NO"))</f>
        <v>.</v>
      </c>
      <c r="DJ99" s="136" t="str">
        <f>IF($D99&lt;&gt;"Feature",".",
IF(VLOOKUP($B99,Feature_List!$A:$AM,MATCH(DJ$1,  Feature_List!$A$1:$AM$1,0),0)=BB99,".","NO"))</f>
        <v>.</v>
      </c>
      <c r="DK99" s="136"/>
      <c r="DL99" s="136"/>
      <c r="DM99" s="136"/>
      <c r="DN99" s="136" t="str">
        <f>IF($D99&lt;&gt;"Feature",".",
IF(VLOOKUP($B99,Feature_List!$A:$AM,MATCH(DN$1,  Feature_List!$A$1:$AM$1,0),0)=BC99,".","NO"))</f>
        <v>.</v>
      </c>
      <c r="DO99" s="136" t="str">
        <f>IF($D99&lt;&gt;"Feature",".",
IF(VLOOKUP($B99,Feature_List!$A:$AM,MATCH(DO$1,  Feature_List!$A$1:$AM$1,0),0)=BD99,".","NO"))</f>
        <v>.</v>
      </c>
    </row>
    <row r="100" spans="2:119" x14ac:dyDescent="0.3">
      <c r="B100" s="121"/>
      <c r="C100" s="122"/>
      <c r="D100" s="122"/>
      <c r="E100" s="122"/>
      <c r="F100" s="138"/>
      <c r="G100" s="123"/>
      <c r="H100" s="122"/>
      <c r="I100" s="124"/>
      <c r="J100" s="138"/>
      <c r="K100" s="123"/>
      <c r="L100" s="122"/>
      <c r="M100" s="122"/>
      <c r="N100" s="125"/>
      <c r="O100" s="123">
        <f t="shared" si="38"/>
        <v>0</v>
      </c>
      <c r="P100" s="123">
        <f t="shared" si="39"/>
        <v>0</v>
      </c>
      <c r="Q100" s="122" t="str">
        <f t="shared" si="61"/>
        <v>ZeroEntry</v>
      </c>
      <c r="R100" s="126" t="str">
        <f t="shared" si="40"/>
        <v>ZeroEntry</v>
      </c>
      <c r="S100" s="127" t="str">
        <f t="shared" si="41"/>
        <v>ZeroEntry</v>
      </c>
      <c r="T100" s="128" t="str">
        <f>IF($Q100="ZeroEntry", "",VLOOKUP($I100,'Ranking Lookup'!#REF!,2,FALSE))</f>
        <v/>
      </c>
      <c r="U100" s="129" t="str">
        <f t="shared" si="42"/>
        <v/>
      </c>
      <c r="V100" s="129" t="str">
        <f t="shared" si="43"/>
        <v/>
      </c>
      <c r="W100" s="129" t="str">
        <f t="shared" si="44"/>
        <v/>
      </c>
      <c r="X100" s="129" t="str">
        <f t="shared" si="45"/>
        <v/>
      </c>
      <c r="Y100" s="129" t="str">
        <f t="shared" si="46"/>
        <v/>
      </c>
      <c r="Z100" s="129" t="str">
        <f t="shared" si="47"/>
        <v/>
      </c>
      <c r="AA100" s="130"/>
      <c r="AB100" s="130" t="str">
        <f t="shared" si="48"/>
        <v>Unassigned</v>
      </c>
      <c r="AC100" s="131" t="str">
        <f t="shared" si="62"/>
        <v/>
      </c>
      <c r="AD100" s="131" t="str">
        <f t="shared" si="63"/>
        <v/>
      </c>
      <c r="AE100" s="132">
        <f t="shared" si="49"/>
        <v>0</v>
      </c>
      <c r="AF100" s="133" t="str">
        <f t="shared" si="64"/>
        <v/>
      </c>
      <c r="AG100" s="134">
        <f t="shared" si="50"/>
        <v>0</v>
      </c>
      <c r="AH100" s="54" t="str">
        <f t="shared" si="51"/>
        <v/>
      </c>
      <c r="AI100" s="54" t="str">
        <f t="shared" si="69"/>
        <v/>
      </c>
      <c r="AJ100" s="54" t="str">
        <f t="shared" si="69"/>
        <v/>
      </c>
      <c r="AK100" s="54" t="str">
        <f t="shared" si="69"/>
        <v/>
      </c>
      <c r="AL100" s="54" t="str">
        <f t="shared" si="69"/>
        <v/>
      </c>
      <c r="AM100" s="54" t="str">
        <f t="shared" si="69"/>
        <v/>
      </c>
      <c r="AN100" s="54" t="str">
        <f t="shared" si="69"/>
        <v/>
      </c>
      <c r="AO100" s="54" t="str">
        <f t="shared" si="69"/>
        <v/>
      </c>
      <c r="AP100" s="54" t="str">
        <f t="shared" si="69"/>
        <v/>
      </c>
      <c r="AQ100" s="54" t="str">
        <f t="shared" si="69"/>
        <v/>
      </c>
      <c r="AR100" s="54" t="str">
        <f t="shared" si="69"/>
        <v/>
      </c>
      <c r="AS100" s="54" t="str">
        <f t="shared" si="69"/>
        <v/>
      </c>
      <c r="AT100" s="54" t="str">
        <f t="shared" si="69"/>
        <v/>
      </c>
      <c r="AU100" s="54" t="str">
        <f t="shared" si="69"/>
        <v/>
      </c>
      <c r="AV100" s="54" t="str">
        <f t="shared" si="69"/>
        <v/>
      </c>
      <c r="AW100" s="54" t="str">
        <f t="shared" si="69"/>
        <v/>
      </c>
      <c r="AX100" s="54" t="str">
        <f t="shared" si="69"/>
        <v/>
      </c>
      <c r="AY100" s="54" t="str">
        <f t="shared" si="53"/>
        <v/>
      </c>
      <c r="AZ100" s="54" t="str">
        <f t="shared" si="54"/>
        <v/>
      </c>
      <c r="BA100" s="54" t="str">
        <f t="shared" si="55"/>
        <v/>
      </c>
      <c r="BB100" s="135" t="str">
        <f t="shared" si="56"/>
        <v/>
      </c>
      <c r="BC100" s="54" t="str">
        <f t="shared" si="67"/>
        <v/>
      </c>
      <c r="BD100" s="54" t="str">
        <f t="shared" si="67"/>
        <v/>
      </c>
      <c r="BE100" s="54" t="str">
        <f t="shared" si="67"/>
        <v/>
      </c>
      <c r="BF100" s="54" t="str">
        <f t="shared" si="57"/>
        <v/>
      </c>
      <c r="BG100" s="54" t="str">
        <f t="shared" si="58"/>
        <v/>
      </c>
      <c r="BH100" s="34" t="str">
        <f t="shared" si="59"/>
        <v>Bad</v>
      </c>
      <c r="BI100" s="34" t="str">
        <f t="shared" si="60"/>
        <v>No</v>
      </c>
      <c r="BJ100" s="136" t="str">
        <f>IF($D100&lt;&gt;"Feature",".",
IF(VLOOKUP($B100,Feature_List!$A:$AM,MATCH(BJ$1,  Feature_List!$A$1:$AM$1,0),0)=B100,".","NO"))</f>
        <v>.</v>
      </c>
      <c r="BK100" s="136"/>
      <c r="BL100" s="136"/>
      <c r="BM100" s="136" t="str">
        <f>IF($D100&lt;&gt;"Feature",".",
IF(VLOOKUP($B100,Feature_List!$A:$AM,MATCH(BM$1,  Feature_List!$A$1:$AM$1,0),0)=E100,".","NO"))</f>
        <v>.</v>
      </c>
      <c r="BN100" s="136" t="str">
        <f>IF($D100&lt;&gt;"Feature",".",
IF(VLOOKUP($B100,Feature_List!$A:$AM,MATCH(BN$1,  Feature_List!$A$1:$AM$1,0),0)=F100,".","NO"))</f>
        <v>.</v>
      </c>
      <c r="BO100" s="136" t="str">
        <f>IF($D100&lt;&gt;"Feature",".",
IF(VLOOKUP($B100,Feature_List!$A:$AM,MATCH(BO$1,  Feature_List!$A$1:$AM$1,0),0)=G100,".","NO"))</f>
        <v>.</v>
      </c>
      <c r="BP100" s="136" t="str">
        <f>IF($D100&lt;&gt;"Feature",".",
IF(VLOOKUP($B100,Feature_List!$A:$AM,MATCH(BP$1,  Feature_List!$A$1:$AM$1,0),0)=H100,".","NO"))</f>
        <v>.</v>
      </c>
      <c r="BQ100" s="136"/>
      <c r="BR100" s="136" t="str">
        <f>IF($D100&lt;&gt;"Feature",".",
IF(VLOOKUP($B100,Feature_List!$A:$AM,MATCH(BR$1,  Feature_List!$A$1:$AM$1,0),0)=J100,".","NO"))</f>
        <v>.</v>
      </c>
      <c r="BS100" s="136"/>
      <c r="BT100" s="136"/>
      <c r="BU100" s="136" t="str">
        <f>IF($D100&lt;&gt;"Feature",".",
IF(VLOOKUP($B100,Feature_List!$A:$AM,MATCH(BU$1,  Feature_List!$A$1:$AM$1,0),0)=M100,".","NO"))</f>
        <v>.</v>
      </c>
      <c r="BV100" s="136" t="str">
        <f>IF($D100&lt;&gt;"Feature",".",
IF(VLOOKUP($B100,Feature_List!$A:$AM,MATCH(BV$1,  Feature_List!$A$1:$AM$1,0),0)=N100,".","NO"))</f>
        <v>.</v>
      </c>
      <c r="BW100" s="136"/>
      <c r="BX100" s="136"/>
      <c r="BY100" s="136"/>
      <c r="BZ100" s="136"/>
      <c r="CA100" s="136"/>
      <c r="CB100" s="136" t="str">
        <f>IF($D100&lt;&gt;"Feature",".",
IF(VLOOKUP($B100,Feature_List!$A:$AM,MATCH(CB$1,  Feature_List!$A$1:$AM$1,0),0)=T100,".","NO"))</f>
        <v>.</v>
      </c>
      <c r="CC100" s="136"/>
      <c r="CD100" s="136"/>
      <c r="CE100" s="136"/>
      <c r="CF100" s="136"/>
      <c r="CG100" s="136"/>
      <c r="CH100" s="136"/>
      <c r="CI100" s="136"/>
      <c r="CJ100" s="136"/>
      <c r="CK100" s="136"/>
      <c r="CL100" s="136"/>
      <c r="CM100" s="136"/>
      <c r="CN100" s="136"/>
      <c r="CO100" s="136" t="str">
        <f>IF($D100&lt;&gt;"Feature",".",
IF(VLOOKUP($B100,Feature_List!$A:$AM,MATCH(CO$1,  Feature_List!$A$1:$AM$1,0),0)=AG100,".","NO"))</f>
        <v>.</v>
      </c>
      <c r="CP100" s="136" t="str">
        <f>IF($D100&lt;&gt;"Feature",".",
IF(VLOOKUP($B100,Feature_List!$A:$AM,MATCH(CP$1,  Feature_List!$A$1:$AM$1,0),0)=AH100,".","NO"))</f>
        <v>.</v>
      </c>
      <c r="CQ100" s="136" t="str">
        <f>IF($D100&lt;&gt;"Feature",".",
IF(VLOOKUP($B100,Feature_List!$A:$AM,MATCH(CQ$1,  Feature_List!$A$1:$AM$1,0),0)=AI100,".","NO"))</f>
        <v>.</v>
      </c>
      <c r="CR100" s="136" t="str">
        <f>IF($D100&lt;&gt;"Feature",".",
IF(VLOOKUP($B100,Feature_List!$A:$AM,MATCH(CR$1,  Feature_List!$A$1:$AM$1,0),0)=AJ100,".","NO"))</f>
        <v>.</v>
      </c>
      <c r="CS100" s="136" t="str">
        <f>IF($D100&lt;&gt;"Feature",".",
IF(VLOOKUP($B100,Feature_List!$A:$AM,MATCH(CS$1,  Feature_List!$A$1:$AM$1,0),0)=AK100,".","NO"))</f>
        <v>.</v>
      </c>
      <c r="CT100" s="136" t="str">
        <f>IF($D100&lt;&gt;"Feature",".",
IF(VLOOKUP($B100,Feature_List!$A:$AM,MATCH(CT$1,  Feature_List!$A$1:$AM$1,0),0)=AL100,".","NO"))</f>
        <v>.</v>
      </c>
      <c r="CU100" s="136" t="str">
        <f>IF($D100&lt;&gt;"Feature",".",
IF(VLOOKUP($B100,Feature_List!$A:$AM,MATCH(CU$1,  Feature_List!$A$1:$AM$1,0),0)=AM100,".","NO"))</f>
        <v>.</v>
      </c>
      <c r="CV100" s="136" t="str">
        <f>IF($D100&lt;&gt;"Feature",".",
IF(VLOOKUP($B100,Feature_List!$A:$AM,MATCH(CV$1,  Feature_List!$A$1:$AM$1,0),0)=AN100,".","NO"))</f>
        <v>.</v>
      </c>
      <c r="CW100" s="136" t="str">
        <f>IF($D100&lt;&gt;"Feature",".",
IF(VLOOKUP($B100,Feature_List!$A:$AM,MATCH(CW$1,  Feature_List!$A$1:$AM$1,0),0)=AO100,".","NO"))</f>
        <v>.</v>
      </c>
      <c r="CX100" s="136" t="str">
        <f>IF($D100&lt;&gt;"Feature",".",
IF(VLOOKUP($B100,Feature_List!$A:$AM,MATCH(CX$1,  Feature_List!$A$1:$AM$1,0),0)=AP100,".","NO"))</f>
        <v>.</v>
      </c>
      <c r="CY100" s="136" t="str">
        <f>IF($D100&lt;&gt;"Feature",".",
IF(VLOOKUP($B100,Feature_List!$A:$AM,MATCH(CY$1,  Feature_List!$A$1:$AM$1,0),0)=AQ100,".","NO"))</f>
        <v>.</v>
      </c>
      <c r="CZ100" s="136" t="str">
        <f>IF($D100&lt;&gt;"Feature",".",
IF(VLOOKUP($B100,Feature_List!$A:$AM,MATCH(CZ$1,  Feature_List!$A$1:$AM$1,0),0)=AR100,".","NO"))</f>
        <v>.</v>
      </c>
      <c r="DA100" s="136" t="str">
        <f>IF($D100&lt;&gt;"Feature",".",
IF(VLOOKUP($B100,Feature_List!$A:$AM,MATCH(DA$1,  Feature_List!$A$1:$AM$1,0),0)=AS100,".","NO"))</f>
        <v>.</v>
      </c>
      <c r="DB100" s="136" t="str">
        <f>IF($D100&lt;&gt;"Feature",".",
IF(VLOOKUP($B100,Feature_List!$A:$AM,MATCH(DB$1,  Feature_List!$A$1:$AM$1,0),0)=AT100,".","NO"))</f>
        <v>.</v>
      </c>
      <c r="DC100" s="136" t="str">
        <f>IF($D100&lt;&gt;"Feature",".",
IF(VLOOKUP($B100,Feature_List!$A:$AM,MATCH(DC$1,  Feature_List!$A$1:$AM$1,0),0)=AU100,".","NO"))</f>
        <v>.</v>
      </c>
      <c r="DD100" s="136" t="str">
        <f>IF($D100&lt;&gt;"Feature",".",
IF(VLOOKUP($B100,Feature_List!$A:$AM,MATCH(DD$1,  Feature_List!$A$1:$AM$1,0),0)=AV100,".","NO"))</f>
        <v>.</v>
      </c>
      <c r="DE100" s="136" t="str">
        <f>IF($D100&lt;&gt;"Feature",".",
IF(VLOOKUP($B100,Feature_List!$A:$AM,MATCH(DE$1,  Feature_List!$A$1:$AM$1,0),0)=AW100,".","NO"))</f>
        <v>.</v>
      </c>
      <c r="DF100" s="136" t="str">
        <f>IF($D100&lt;&gt;"Feature",".",
IF(VLOOKUP($B100,Feature_List!$A:$AM,MATCH(DF$1,  Feature_List!$A$1:$AM$1,0),0)=AX100,".","NO"))</f>
        <v>.</v>
      </c>
      <c r="DG100" s="136" t="str">
        <f>IF($D100&lt;&gt;"Feature",".",
IF(VLOOKUP($B100,Feature_List!$A:$AM,MATCH(DG$1,  Feature_List!$A$1:$AM$1,0),0)=AY100,".","NO"))</f>
        <v>.</v>
      </c>
      <c r="DH100" s="136" t="str">
        <f>IF($D100&lt;&gt;"Feature",".",
IF(VLOOKUP($B100,Feature_List!$A:$AM,MATCH(DH$1,  Feature_List!$A$1:$AM$1,0),0)=AZ100,".","NO"))</f>
        <v>.</v>
      </c>
      <c r="DI100" s="136" t="str">
        <f>IF($D100&lt;&gt;"Feature",".",
IF(VLOOKUP($B100,Feature_List!$A:$AM,MATCH(DI$1,  Feature_List!$A$1:$AM$1,0),0)=BA100,".","NO"))</f>
        <v>.</v>
      </c>
      <c r="DJ100" s="136" t="str">
        <f>IF($D100&lt;&gt;"Feature",".",
IF(VLOOKUP($B100,Feature_List!$A:$AM,MATCH(DJ$1,  Feature_List!$A$1:$AM$1,0),0)=BB100,".","NO"))</f>
        <v>.</v>
      </c>
      <c r="DK100" s="136"/>
      <c r="DL100" s="136"/>
      <c r="DM100" s="136"/>
      <c r="DN100" s="136" t="str">
        <f>IF($D100&lt;&gt;"Feature",".",
IF(VLOOKUP($B100,Feature_List!$A:$AM,MATCH(DN$1,  Feature_List!$A$1:$AM$1,0),0)=BC100,".","NO"))</f>
        <v>.</v>
      </c>
      <c r="DO100" s="136" t="str">
        <f>IF($D100&lt;&gt;"Feature",".",
IF(VLOOKUP($B100,Feature_List!$A:$AM,MATCH(DO$1,  Feature_List!$A$1:$AM$1,0),0)=BD100,".","NO"))</f>
        <v>.</v>
      </c>
    </row>
    <row r="101" spans="2:119" x14ac:dyDescent="0.3">
      <c r="B101" s="121"/>
      <c r="C101" s="122"/>
      <c r="D101" s="122"/>
      <c r="E101" s="122"/>
      <c r="F101" s="138"/>
      <c r="G101" s="123"/>
      <c r="H101" s="122"/>
      <c r="I101" s="124"/>
      <c r="J101" s="138"/>
      <c r="K101" s="123"/>
      <c r="L101" s="122"/>
      <c r="M101" s="122"/>
      <c r="N101" s="125"/>
      <c r="O101" s="123">
        <f t="shared" si="38"/>
        <v>0</v>
      </c>
      <c r="P101" s="123">
        <f t="shared" si="39"/>
        <v>0</v>
      </c>
      <c r="Q101" s="122" t="str">
        <f t="shared" si="61"/>
        <v>ZeroEntry</v>
      </c>
      <c r="R101" s="126" t="str">
        <f t="shared" si="40"/>
        <v>ZeroEntry</v>
      </c>
      <c r="S101" s="127" t="str">
        <f t="shared" si="41"/>
        <v>ZeroEntry</v>
      </c>
      <c r="T101" s="128" t="str">
        <f>IF($Q101="ZeroEntry", "",VLOOKUP($I101,'Ranking Lookup'!#REF!,2,FALSE))</f>
        <v/>
      </c>
      <c r="U101" s="129" t="str">
        <f t="shared" si="42"/>
        <v/>
      </c>
      <c r="V101" s="129" t="str">
        <f t="shared" si="43"/>
        <v/>
      </c>
      <c r="W101" s="129" t="str">
        <f t="shared" si="44"/>
        <v/>
      </c>
      <c r="X101" s="129" t="str">
        <f t="shared" si="45"/>
        <v/>
      </c>
      <c r="Y101" s="129" t="str">
        <f t="shared" si="46"/>
        <v/>
      </c>
      <c r="Z101" s="129" t="str">
        <f t="shared" si="47"/>
        <v/>
      </c>
      <c r="AA101" s="130"/>
      <c r="AB101" s="130" t="str">
        <f t="shared" si="48"/>
        <v>Unassigned</v>
      </c>
      <c r="AC101" s="131" t="str">
        <f t="shared" si="62"/>
        <v/>
      </c>
      <c r="AD101" s="131" t="str">
        <f t="shared" si="63"/>
        <v/>
      </c>
      <c r="AE101" s="132">
        <f t="shared" si="49"/>
        <v>0</v>
      </c>
      <c r="AF101" s="133" t="str">
        <f t="shared" si="64"/>
        <v/>
      </c>
      <c r="AG101" s="134">
        <f t="shared" si="50"/>
        <v>0</v>
      </c>
      <c r="AH101" s="54" t="str">
        <f t="shared" si="51"/>
        <v/>
      </c>
      <c r="AI101" s="54" t="str">
        <f t="shared" si="69"/>
        <v/>
      </c>
      <c r="AJ101" s="54" t="str">
        <f t="shared" si="69"/>
        <v/>
      </c>
      <c r="AK101" s="54" t="str">
        <f t="shared" si="69"/>
        <v/>
      </c>
      <c r="AL101" s="54" t="str">
        <f t="shared" si="69"/>
        <v/>
      </c>
      <c r="AM101" s="54" t="str">
        <f t="shared" si="69"/>
        <v/>
      </c>
      <c r="AN101" s="54" t="str">
        <f t="shared" si="69"/>
        <v/>
      </c>
      <c r="AO101" s="54" t="str">
        <f t="shared" si="69"/>
        <v/>
      </c>
      <c r="AP101" s="54" t="str">
        <f t="shared" si="69"/>
        <v/>
      </c>
      <c r="AQ101" s="54" t="str">
        <f t="shared" si="69"/>
        <v/>
      </c>
      <c r="AR101" s="54" t="str">
        <f t="shared" si="69"/>
        <v/>
      </c>
      <c r="AS101" s="54" t="str">
        <f t="shared" si="69"/>
        <v/>
      </c>
      <c r="AT101" s="54" t="str">
        <f t="shared" si="69"/>
        <v/>
      </c>
      <c r="AU101" s="54" t="str">
        <f t="shared" si="69"/>
        <v/>
      </c>
      <c r="AV101" s="54" t="str">
        <f t="shared" si="69"/>
        <v/>
      </c>
      <c r="AW101" s="54" t="str">
        <f t="shared" si="69"/>
        <v/>
      </c>
      <c r="AX101" s="54" t="str">
        <f t="shared" si="69"/>
        <v/>
      </c>
      <c r="AY101" s="54" t="str">
        <f t="shared" si="53"/>
        <v/>
      </c>
      <c r="AZ101" s="54" t="str">
        <f t="shared" si="54"/>
        <v/>
      </c>
      <c r="BA101" s="54" t="str">
        <f t="shared" si="55"/>
        <v/>
      </c>
      <c r="BB101" s="135" t="str">
        <f t="shared" si="56"/>
        <v/>
      </c>
      <c r="BC101" s="54" t="str">
        <f t="shared" si="67"/>
        <v/>
      </c>
      <c r="BD101" s="54" t="str">
        <f t="shared" si="67"/>
        <v/>
      </c>
      <c r="BE101" s="54" t="str">
        <f t="shared" si="67"/>
        <v/>
      </c>
      <c r="BF101" s="54" t="str">
        <f t="shared" si="57"/>
        <v/>
      </c>
      <c r="BG101" s="54" t="str">
        <f t="shared" si="58"/>
        <v/>
      </c>
      <c r="BH101" s="34" t="str">
        <f t="shared" si="59"/>
        <v>Bad</v>
      </c>
      <c r="BI101" s="34" t="str">
        <f t="shared" si="60"/>
        <v>No</v>
      </c>
      <c r="BJ101" s="136" t="str">
        <f>IF($D101&lt;&gt;"Feature",".",
IF(VLOOKUP($B101,Feature_List!$A:$AM,MATCH(BJ$1,  Feature_List!$A$1:$AM$1,0),0)=B101,".","NO"))</f>
        <v>.</v>
      </c>
      <c r="BK101" s="136"/>
      <c r="BL101" s="136"/>
      <c r="BM101" s="136" t="str">
        <f>IF($D101&lt;&gt;"Feature",".",
IF(VLOOKUP($B101,Feature_List!$A:$AM,MATCH(BM$1,  Feature_List!$A$1:$AM$1,0),0)=E101,".","NO"))</f>
        <v>.</v>
      </c>
      <c r="BN101" s="136" t="str">
        <f>IF($D101&lt;&gt;"Feature",".",
IF(VLOOKUP($B101,Feature_List!$A:$AM,MATCH(BN$1,  Feature_List!$A$1:$AM$1,0),0)=F101,".","NO"))</f>
        <v>.</v>
      </c>
      <c r="BO101" s="136" t="str">
        <f>IF($D101&lt;&gt;"Feature",".",
IF(VLOOKUP($B101,Feature_List!$A:$AM,MATCH(BO$1,  Feature_List!$A$1:$AM$1,0),0)=G101,".","NO"))</f>
        <v>.</v>
      </c>
      <c r="BP101" s="136" t="str">
        <f>IF($D101&lt;&gt;"Feature",".",
IF(VLOOKUP($B101,Feature_List!$A:$AM,MATCH(BP$1,  Feature_List!$A$1:$AM$1,0),0)=H101,".","NO"))</f>
        <v>.</v>
      </c>
      <c r="BQ101" s="136"/>
      <c r="BR101" s="136" t="str">
        <f>IF($D101&lt;&gt;"Feature",".",
IF(VLOOKUP($B101,Feature_List!$A:$AM,MATCH(BR$1,  Feature_List!$A$1:$AM$1,0),0)=J101,".","NO"))</f>
        <v>.</v>
      </c>
      <c r="BS101" s="136"/>
      <c r="BT101" s="136"/>
      <c r="BU101" s="136" t="str">
        <f>IF($D101&lt;&gt;"Feature",".",
IF(VLOOKUP($B101,Feature_List!$A:$AM,MATCH(BU$1,  Feature_List!$A$1:$AM$1,0),0)=M101,".","NO"))</f>
        <v>.</v>
      </c>
      <c r="BV101" s="136" t="str">
        <f>IF($D101&lt;&gt;"Feature",".",
IF(VLOOKUP($B101,Feature_List!$A:$AM,MATCH(BV$1,  Feature_List!$A$1:$AM$1,0),0)=N101,".","NO"))</f>
        <v>.</v>
      </c>
      <c r="BW101" s="136"/>
      <c r="BX101" s="136"/>
      <c r="BY101" s="136"/>
      <c r="BZ101" s="136"/>
      <c r="CA101" s="136"/>
      <c r="CB101" s="136" t="str">
        <f>IF($D101&lt;&gt;"Feature",".",
IF(VLOOKUP($B101,Feature_List!$A:$AM,MATCH(CB$1,  Feature_List!$A$1:$AM$1,0),0)=T101,".","NO"))</f>
        <v>.</v>
      </c>
      <c r="CC101" s="136"/>
      <c r="CD101" s="136"/>
      <c r="CE101" s="136"/>
      <c r="CF101" s="136"/>
      <c r="CG101" s="136"/>
      <c r="CH101" s="136"/>
      <c r="CI101" s="136"/>
      <c r="CJ101" s="136"/>
      <c r="CK101" s="136"/>
      <c r="CL101" s="136"/>
      <c r="CM101" s="136"/>
      <c r="CN101" s="136"/>
      <c r="CO101" s="136" t="str">
        <f>IF($D101&lt;&gt;"Feature",".",
IF(VLOOKUP($B101,Feature_List!$A:$AM,MATCH(CO$1,  Feature_List!$A$1:$AM$1,0),0)=AG101,".","NO"))</f>
        <v>.</v>
      </c>
      <c r="CP101" s="136" t="str">
        <f>IF($D101&lt;&gt;"Feature",".",
IF(VLOOKUP($B101,Feature_List!$A:$AM,MATCH(CP$1,  Feature_List!$A$1:$AM$1,0),0)=AH101,".","NO"))</f>
        <v>.</v>
      </c>
      <c r="CQ101" s="136" t="str">
        <f>IF($D101&lt;&gt;"Feature",".",
IF(VLOOKUP($B101,Feature_List!$A:$AM,MATCH(CQ$1,  Feature_List!$A$1:$AM$1,0),0)=AI101,".","NO"))</f>
        <v>.</v>
      </c>
      <c r="CR101" s="136" t="str">
        <f>IF($D101&lt;&gt;"Feature",".",
IF(VLOOKUP($B101,Feature_List!$A:$AM,MATCH(CR$1,  Feature_List!$A$1:$AM$1,0),0)=AJ101,".","NO"))</f>
        <v>.</v>
      </c>
      <c r="CS101" s="136" t="str">
        <f>IF($D101&lt;&gt;"Feature",".",
IF(VLOOKUP($B101,Feature_List!$A:$AM,MATCH(CS$1,  Feature_List!$A$1:$AM$1,0),0)=AK101,".","NO"))</f>
        <v>.</v>
      </c>
      <c r="CT101" s="136" t="str">
        <f>IF($D101&lt;&gt;"Feature",".",
IF(VLOOKUP($B101,Feature_List!$A:$AM,MATCH(CT$1,  Feature_List!$A$1:$AM$1,0),0)=AL101,".","NO"))</f>
        <v>.</v>
      </c>
      <c r="CU101" s="136" t="str">
        <f>IF($D101&lt;&gt;"Feature",".",
IF(VLOOKUP($B101,Feature_List!$A:$AM,MATCH(CU$1,  Feature_List!$A$1:$AM$1,0),0)=AM101,".","NO"))</f>
        <v>.</v>
      </c>
      <c r="CV101" s="136" t="str">
        <f>IF($D101&lt;&gt;"Feature",".",
IF(VLOOKUP($B101,Feature_List!$A:$AM,MATCH(CV$1,  Feature_List!$A$1:$AM$1,0),0)=AN101,".","NO"))</f>
        <v>.</v>
      </c>
      <c r="CW101" s="136" t="str">
        <f>IF($D101&lt;&gt;"Feature",".",
IF(VLOOKUP($B101,Feature_List!$A:$AM,MATCH(CW$1,  Feature_List!$A$1:$AM$1,0),0)=AO101,".","NO"))</f>
        <v>.</v>
      </c>
      <c r="CX101" s="136" t="str">
        <f>IF($D101&lt;&gt;"Feature",".",
IF(VLOOKUP($B101,Feature_List!$A:$AM,MATCH(CX$1,  Feature_List!$A$1:$AM$1,0),0)=AP101,".","NO"))</f>
        <v>.</v>
      </c>
      <c r="CY101" s="136" t="str">
        <f>IF($D101&lt;&gt;"Feature",".",
IF(VLOOKUP($B101,Feature_List!$A:$AM,MATCH(CY$1,  Feature_List!$A$1:$AM$1,0),0)=AQ101,".","NO"))</f>
        <v>.</v>
      </c>
      <c r="CZ101" s="136" t="str">
        <f>IF($D101&lt;&gt;"Feature",".",
IF(VLOOKUP($B101,Feature_List!$A:$AM,MATCH(CZ$1,  Feature_List!$A$1:$AM$1,0),0)=AR101,".","NO"))</f>
        <v>.</v>
      </c>
      <c r="DA101" s="136" t="str">
        <f>IF($D101&lt;&gt;"Feature",".",
IF(VLOOKUP($B101,Feature_List!$A:$AM,MATCH(DA$1,  Feature_List!$A$1:$AM$1,0),0)=AS101,".","NO"))</f>
        <v>.</v>
      </c>
      <c r="DB101" s="136" t="str">
        <f>IF($D101&lt;&gt;"Feature",".",
IF(VLOOKUP($B101,Feature_List!$A:$AM,MATCH(DB$1,  Feature_List!$A$1:$AM$1,0),0)=AT101,".","NO"))</f>
        <v>.</v>
      </c>
      <c r="DC101" s="136" t="str">
        <f>IF($D101&lt;&gt;"Feature",".",
IF(VLOOKUP($B101,Feature_List!$A:$AM,MATCH(DC$1,  Feature_List!$A$1:$AM$1,0),0)=AU101,".","NO"))</f>
        <v>.</v>
      </c>
      <c r="DD101" s="136" t="str">
        <f>IF($D101&lt;&gt;"Feature",".",
IF(VLOOKUP($B101,Feature_List!$A:$AM,MATCH(DD$1,  Feature_List!$A$1:$AM$1,0),0)=AV101,".","NO"))</f>
        <v>.</v>
      </c>
      <c r="DE101" s="136" t="str">
        <f>IF($D101&lt;&gt;"Feature",".",
IF(VLOOKUP($B101,Feature_List!$A:$AM,MATCH(DE$1,  Feature_List!$A$1:$AM$1,0),0)=AW101,".","NO"))</f>
        <v>.</v>
      </c>
      <c r="DF101" s="136" t="str">
        <f>IF($D101&lt;&gt;"Feature",".",
IF(VLOOKUP($B101,Feature_List!$A:$AM,MATCH(DF$1,  Feature_List!$A$1:$AM$1,0),0)=AX101,".","NO"))</f>
        <v>.</v>
      </c>
      <c r="DG101" s="136" t="str">
        <f>IF($D101&lt;&gt;"Feature",".",
IF(VLOOKUP($B101,Feature_List!$A:$AM,MATCH(DG$1,  Feature_List!$A$1:$AM$1,0),0)=AY101,".","NO"))</f>
        <v>.</v>
      </c>
      <c r="DH101" s="136" t="str">
        <f>IF($D101&lt;&gt;"Feature",".",
IF(VLOOKUP($B101,Feature_List!$A:$AM,MATCH(DH$1,  Feature_List!$A$1:$AM$1,0),0)=AZ101,".","NO"))</f>
        <v>.</v>
      </c>
      <c r="DI101" s="136" t="str">
        <f>IF($D101&lt;&gt;"Feature",".",
IF(VLOOKUP($B101,Feature_List!$A:$AM,MATCH(DI$1,  Feature_List!$A$1:$AM$1,0),0)=BA101,".","NO"))</f>
        <v>.</v>
      </c>
      <c r="DJ101" s="136" t="str">
        <f>IF($D101&lt;&gt;"Feature",".",
IF(VLOOKUP($B101,Feature_List!$A:$AM,MATCH(DJ$1,  Feature_List!$A$1:$AM$1,0),0)=BB101,".","NO"))</f>
        <v>.</v>
      </c>
      <c r="DK101" s="136"/>
      <c r="DL101" s="136"/>
      <c r="DM101" s="136"/>
      <c r="DN101" s="136" t="str">
        <f>IF($D101&lt;&gt;"Feature",".",
IF(VLOOKUP($B101,Feature_List!$A:$AM,MATCH(DN$1,  Feature_List!$A$1:$AM$1,0),0)=BC101,".","NO"))</f>
        <v>.</v>
      </c>
      <c r="DO101" s="136" t="str">
        <f>IF($D101&lt;&gt;"Feature",".",
IF(VLOOKUP($B101,Feature_List!$A:$AM,MATCH(DO$1,  Feature_List!$A$1:$AM$1,0),0)=BD101,".","NO"))</f>
        <v>.</v>
      </c>
    </row>
    <row r="102" spans="2:119" x14ac:dyDescent="0.3">
      <c r="B102" s="121"/>
      <c r="C102" s="122"/>
      <c r="D102" s="122"/>
      <c r="E102" s="122"/>
      <c r="F102" s="138"/>
      <c r="G102" s="123"/>
      <c r="H102" s="122"/>
      <c r="I102" s="124"/>
      <c r="J102" s="138"/>
      <c r="K102" s="123"/>
      <c r="L102" s="122"/>
      <c r="M102" s="122"/>
      <c r="N102" s="125"/>
      <c r="O102" s="123">
        <f t="shared" si="38"/>
        <v>0</v>
      </c>
      <c r="P102" s="123">
        <f t="shared" si="39"/>
        <v>0</v>
      </c>
      <c r="Q102" s="122" t="str">
        <f t="shared" si="61"/>
        <v>ZeroEntry</v>
      </c>
      <c r="R102" s="126" t="str">
        <f t="shared" si="40"/>
        <v>ZeroEntry</v>
      </c>
      <c r="S102" s="127" t="str">
        <f t="shared" si="41"/>
        <v>ZeroEntry</v>
      </c>
      <c r="T102" s="128" t="str">
        <f>IF($Q102="ZeroEntry", "",VLOOKUP($I102,'Ranking Lookup'!#REF!,2,FALSE))</f>
        <v/>
      </c>
      <c r="U102" s="129" t="str">
        <f t="shared" si="42"/>
        <v/>
      </c>
      <c r="V102" s="129" t="str">
        <f t="shared" si="43"/>
        <v/>
      </c>
      <c r="W102" s="129" t="str">
        <f t="shared" si="44"/>
        <v/>
      </c>
      <c r="X102" s="129" t="str">
        <f t="shared" si="45"/>
        <v/>
      </c>
      <c r="Y102" s="129" t="str">
        <f t="shared" si="46"/>
        <v/>
      </c>
      <c r="Z102" s="129" t="str">
        <f t="shared" si="47"/>
        <v/>
      </c>
      <c r="AA102" s="130"/>
      <c r="AB102" s="130" t="str">
        <f t="shared" si="48"/>
        <v>Unassigned</v>
      </c>
      <c r="AC102" s="131" t="str">
        <f t="shared" si="62"/>
        <v/>
      </c>
      <c r="AD102" s="131" t="str">
        <f t="shared" si="63"/>
        <v/>
      </c>
      <c r="AE102" s="132">
        <f t="shared" si="49"/>
        <v>0</v>
      </c>
      <c r="AF102" s="133" t="str">
        <f t="shared" si="64"/>
        <v/>
      </c>
      <c r="AG102" s="134">
        <f t="shared" si="50"/>
        <v>0</v>
      </c>
      <c r="AH102" s="54" t="str">
        <f t="shared" si="51"/>
        <v/>
      </c>
      <c r="AI102" s="54" t="str">
        <f t="shared" si="69"/>
        <v/>
      </c>
      <c r="AJ102" s="54" t="str">
        <f t="shared" si="69"/>
        <v/>
      </c>
      <c r="AK102" s="54" t="str">
        <f t="shared" si="69"/>
        <v/>
      </c>
      <c r="AL102" s="54" t="str">
        <f t="shared" si="69"/>
        <v/>
      </c>
      <c r="AM102" s="54" t="str">
        <f t="shared" si="69"/>
        <v/>
      </c>
      <c r="AN102" s="54" t="str">
        <f t="shared" si="69"/>
        <v/>
      </c>
      <c r="AO102" s="54" t="str">
        <f t="shared" si="69"/>
        <v/>
      </c>
      <c r="AP102" s="54" t="str">
        <f t="shared" si="69"/>
        <v/>
      </c>
      <c r="AQ102" s="54" t="str">
        <f t="shared" si="69"/>
        <v/>
      </c>
      <c r="AR102" s="54" t="str">
        <f t="shared" si="69"/>
        <v/>
      </c>
      <c r="AS102" s="54" t="str">
        <f t="shared" si="69"/>
        <v/>
      </c>
      <c r="AT102" s="54" t="str">
        <f t="shared" si="69"/>
        <v/>
      </c>
      <c r="AU102" s="54" t="str">
        <f t="shared" si="69"/>
        <v/>
      </c>
      <c r="AV102" s="54" t="str">
        <f t="shared" si="69"/>
        <v/>
      </c>
      <c r="AW102" s="54" t="str">
        <f t="shared" si="69"/>
        <v/>
      </c>
      <c r="AX102" s="54" t="str">
        <f t="shared" si="69"/>
        <v/>
      </c>
      <c r="AY102" s="54" t="str">
        <f t="shared" si="53"/>
        <v/>
      </c>
      <c r="AZ102" s="54" t="str">
        <f t="shared" si="54"/>
        <v/>
      </c>
      <c r="BA102" s="54" t="str">
        <f t="shared" si="55"/>
        <v/>
      </c>
      <c r="BB102" s="135" t="str">
        <f t="shared" si="56"/>
        <v/>
      </c>
      <c r="BC102" s="54" t="str">
        <f t="shared" ref="BC102:BE121" si="70">IF(AND($Q102="Feature",LEFT($AB102,2)="PI"),
IF(AND(COUNTIF($R:$R,$B102)=1,$T102=BC$1), IF($AB102=$A$10,$AF102,0),
IF(OR($AD102&lt;1,RIGHT($G102,8)="Progress"),SUMIFS($O:$O,$R:$R,$B102,$T:$T,BC$1,$P:$P,"&lt;&gt;Done",$AB:$AB,$A$10),
IF($T102=BC$1, IF($AB102=$A$10,$AD102,0)+SUMIFS($O:$O,$R:$R,$B102,$T:$T,BC$1,$P:$P,"&lt;&gt;Done",$AB:$AB,$A$10),SUMIFS($O:$O,$R:$R,$B102,$T:$T,BC$1,$P:$P,"&lt;&gt;Done",$AB:$AB,$A$10)))),
IF(AND(OR($Q102="Story",$Q102="Problem",$Q102="Enhancement"),$AB102=$A$10,$R102=0,$T102=BC$1,$P102&lt;&gt;"Done"),$O102,""))</f>
        <v/>
      </c>
      <c r="BD102" s="54" t="str">
        <f t="shared" si="70"/>
        <v/>
      </c>
      <c r="BE102" s="54" t="str">
        <f t="shared" si="70"/>
        <v/>
      </c>
      <c r="BF102" s="54" t="str">
        <f t="shared" si="57"/>
        <v/>
      </c>
      <c r="BG102" s="54" t="str">
        <f t="shared" si="58"/>
        <v/>
      </c>
      <c r="BH102" s="34" t="str">
        <f t="shared" si="59"/>
        <v>Bad</v>
      </c>
      <c r="BI102" s="34" t="str">
        <f t="shared" si="60"/>
        <v>No</v>
      </c>
      <c r="BJ102" s="136" t="str">
        <f>IF($D102&lt;&gt;"Feature",".",
IF(VLOOKUP($B102,Feature_List!$A:$AM,MATCH(BJ$1,  Feature_List!$A$1:$AM$1,0),0)=B102,".","NO"))</f>
        <v>.</v>
      </c>
      <c r="BK102" s="136"/>
      <c r="BL102" s="136"/>
      <c r="BM102" s="136" t="str">
        <f>IF($D102&lt;&gt;"Feature",".",
IF(VLOOKUP($B102,Feature_List!$A:$AM,MATCH(BM$1,  Feature_List!$A$1:$AM$1,0),0)=E102,".","NO"))</f>
        <v>.</v>
      </c>
      <c r="BN102" s="136" t="str">
        <f>IF($D102&lt;&gt;"Feature",".",
IF(VLOOKUP($B102,Feature_List!$A:$AM,MATCH(BN$1,  Feature_List!$A$1:$AM$1,0),0)=F102,".","NO"))</f>
        <v>.</v>
      </c>
      <c r="BO102" s="136" t="str">
        <f>IF($D102&lt;&gt;"Feature",".",
IF(VLOOKUP($B102,Feature_List!$A:$AM,MATCH(BO$1,  Feature_List!$A$1:$AM$1,0),0)=G102,".","NO"))</f>
        <v>.</v>
      </c>
      <c r="BP102" s="136" t="str">
        <f>IF($D102&lt;&gt;"Feature",".",
IF(VLOOKUP($B102,Feature_List!$A:$AM,MATCH(BP$1,  Feature_List!$A$1:$AM$1,0),0)=H102,".","NO"))</f>
        <v>.</v>
      </c>
      <c r="BQ102" s="136"/>
      <c r="BR102" s="136" t="str">
        <f>IF($D102&lt;&gt;"Feature",".",
IF(VLOOKUP($B102,Feature_List!$A:$AM,MATCH(BR$1,  Feature_List!$A$1:$AM$1,0),0)=J102,".","NO"))</f>
        <v>.</v>
      </c>
      <c r="BS102" s="136"/>
      <c r="BT102" s="136"/>
      <c r="BU102" s="136" t="str">
        <f>IF($D102&lt;&gt;"Feature",".",
IF(VLOOKUP($B102,Feature_List!$A:$AM,MATCH(BU$1,  Feature_List!$A$1:$AM$1,0),0)=M102,".","NO"))</f>
        <v>.</v>
      </c>
      <c r="BV102" s="136" t="str">
        <f>IF($D102&lt;&gt;"Feature",".",
IF(VLOOKUP($B102,Feature_List!$A:$AM,MATCH(BV$1,  Feature_List!$A$1:$AM$1,0),0)=N102,".","NO"))</f>
        <v>.</v>
      </c>
      <c r="BW102" s="136"/>
      <c r="BX102" s="136"/>
      <c r="BY102" s="136"/>
      <c r="BZ102" s="136"/>
      <c r="CA102" s="136"/>
      <c r="CB102" s="136" t="str">
        <f>IF($D102&lt;&gt;"Feature",".",
IF(VLOOKUP($B102,Feature_List!$A:$AM,MATCH(CB$1,  Feature_List!$A$1:$AM$1,0),0)=T102,".","NO"))</f>
        <v>.</v>
      </c>
      <c r="CC102" s="136"/>
      <c r="CD102" s="136"/>
      <c r="CE102" s="136"/>
      <c r="CF102" s="136"/>
      <c r="CG102" s="136"/>
      <c r="CH102" s="136"/>
      <c r="CI102" s="136"/>
      <c r="CJ102" s="136"/>
      <c r="CK102" s="136"/>
      <c r="CL102" s="136"/>
      <c r="CM102" s="136"/>
      <c r="CN102" s="136"/>
      <c r="CO102" s="136" t="str">
        <f>IF($D102&lt;&gt;"Feature",".",
IF(VLOOKUP($B102,Feature_List!$A:$AM,MATCH(CO$1,  Feature_List!$A$1:$AM$1,0),0)=AG102,".","NO"))</f>
        <v>.</v>
      </c>
      <c r="CP102" s="136" t="str">
        <f>IF($D102&lt;&gt;"Feature",".",
IF(VLOOKUP($B102,Feature_List!$A:$AM,MATCH(CP$1,  Feature_List!$A$1:$AM$1,0),0)=AH102,".","NO"))</f>
        <v>.</v>
      </c>
      <c r="CQ102" s="136" t="str">
        <f>IF($D102&lt;&gt;"Feature",".",
IF(VLOOKUP($B102,Feature_List!$A:$AM,MATCH(CQ$1,  Feature_List!$A$1:$AM$1,0),0)=AI102,".","NO"))</f>
        <v>.</v>
      </c>
      <c r="CR102" s="136" t="str">
        <f>IF($D102&lt;&gt;"Feature",".",
IF(VLOOKUP($B102,Feature_List!$A:$AM,MATCH(CR$1,  Feature_List!$A$1:$AM$1,0),0)=AJ102,".","NO"))</f>
        <v>.</v>
      </c>
      <c r="CS102" s="136" t="str">
        <f>IF($D102&lt;&gt;"Feature",".",
IF(VLOOKUP($B102,Feature_List!$A:$AM,MATCH(CS$1,  Feature_List!$A$1:$AM$1,0),0)=AK102,".","NO"))</f>
        <v>.</v>
      </c>
      <c r="CT102" s="136" t="str">
        <f>IF($D102&lt;&gt;"Feature",".",
IF(VLOOKUP($B102,Feature_List!$A:$AM,MATCH(CT$1,  Feature_List!$A$1:$AM$1,0),0)=AL102,".","NO"))</f>
        <v>.</v>
      </c>
      <c r="CU102" s="136" t="str">
        <f>IF($D102&lt;&gt;"Feature",".",
IF(VLOOKUP($B102,Feature_List!$A:$AM,MATCH(CU$1,  Feature_List!$A$1:$AM$1,0),0)=AM102,".","NO"))</f>
        <v>.</v>
      </c>
      <c r="CV102" s="136" t="str">
        <f>IF($D102&lt;&gt;"Feature",".",
IF(VLOOKUP($B102,Feature_List!$A:$AM,MATCH(CV$1,  Feature_List!$A$1:$AM$1,0),0)=AN102,".","NO"))</f>
        <v>.</v>
      </c>
      <c r="CW102" s="136" t="str">
        <f>IF($D102&lt;&gt;"Feature",".",
IF(VLOOKUP($B102,Feature_List!$A:$AM,MATCH(CW$1,  Feature_List!$A$1:$AM$1,0),0)=AO102,".","NO"))</f>
        <v>.</v>
      </c>
      <c r="CX102" s="136" t="str">
        <f>IF($D102&lt;&gt;"Feature",".",
IF(VLOOKUP($B102,Feature_List!$A:$AM,MATCH(CX$1,  Feature_List!$A$1:$AM$1,0),0)=AP102,".","NO"))</f>
        <v>.</v>
      </c>
      <c r="CY102" s="136" t="str">
        <f>IF($D102&lt;&gt;"Feature",".",
IF(VLOOKUP($B102,Feature_List!$A:$AM,MATCH(CY$1,  Feature_List!$A$1:$AM$1,0),0)=AQ102,".","NO"))</f>
        <v>.</v>
      </c>
      <c r="CZ102" s="136" t="str">
        <f>IF($D102&lt;&gt;"Feature",".",
IF(VLOOKUP($B102,Feature_List!$A:$AM,MATCH(CZ$1,  Feature_List!$A$1:$AM$1,0),0)=AR102,".","NO"))</f>
        <v>.</v>
      </c>
      <c r="DA102" s="136" t="str">
        <f>IF($D102&lt;&gt;"Feature",".",
IF(VLOOKUP($B102,Feature_List!$A:$AM,MATCH(DA$1,  Feature_List!$A$1:$AM$1,0),0)=AS102,".","NO"))</f>
        <v>.</v>
      </c>
      <c r="DB102" s="136" t="str">
        <f>IF($D102&lt;&gt;"Feature",".",
IF(VLOOKUP($B102,Feature_List!$A:$AM,MATCH(DB$1,  Feature_List!$A$1:$AM$1,0),0)=AT102,".","NO"))</f>
        <v>.</v>
      </c>
      <c r="DC102" s="136" t="str">
        <f>IF($D102&lt;&gt;"Feature",".",
IF(VLOOKUP($B102,Feature_List!$A:$AM,MATCH(DC$1,  Feature_List!$A$1:$AM$1,0),0)=AU102,".","NO"))</f>
        <v>.</v>
      </c>
      <c r="DD102" s="136" t="str">
        <f>IF($D102&lt;&gt;"Feature",".",
IF(VLOOKUP($B102,Feature_List!$A:$AM,MATCH(DD$1,  Feature_List!$A$1:$AM$1,0),0)=AV102,".","NO"))</f>
        <v>.</v>
      </c>
      <c r="DE102" s="136" t="str">
        <f>IF($D102&lt;&gt;"Feature",".",
IF(VLOOKUP($B102,Feature_List!$A:$AM,MATCH(DE$1,  Feature_List!$A$1:$AM$1,0),0)=AW102,".","NO"))</f>
        <v>.</v>
      </c>
      <c r="DF102" s="136" t="str">
        <f>IF($D102&lt;&gt;"Feature",".",
IF(VLOOKUP($B102,Feature_List!$A:$AM,MATCH(DF$1,  Feature_List!$A$1:$AM$1,0),0)=AX102,".","NO"))</f>
        <v>.</v>
      </c>
      <c r="DG102" s="136" t="str">
        <f>IF($D102&lt;&gt;"Feature",".",
IF(VLOOKUP($B102,Feature_List!$A:$AM,MATCH(DG$1,  Feature_List!$A$1:$AM$1,0),0)=AY102,".","NO"))</f>
        <v>.</v>
      </c>
      <c r="DH102" s="136" t="str">
        <f>IF($D102&lt;&gt;"Feature",".",
IF(VLOOKUP($B102,Feature_List!$A:$AM,MATCH(DH$1,  Feature_List!$A$1:$AM$1,0),0)=AZ102,".","NO"))</f>
        <v>.</v>
      </c>
      <c r="DI102" s="136" t="str">
        <f>IF($D102&lt;&gt;"Feature",".",
IF(VLOOKUP($B102,Feature_List!$A:$AM,MATCH(DI$1,  Feature_List!$A$1:$AM$1,0),0)=BA102,".","NO"))</f>
        <v>.</v>
      </c>
      <c r="DJ102" s="136" t="str">
        <f>IF($D102&lt;&gt;"Feature",".",
IF(VLOOKUP($B102,Feature_List!$A:$AM,MATCH(DJ$1,  Feature_List!$A$1:$AM$1,0),0)=BB102,".","NO"))</f>
        <v>.</v>
      </c>
      <c r="DK102" s="136"/>
      <c r="DL102" s="136"/>
      <c r="DM102" s="136"/>
      <c r="DN102" s="136" t="str">
        <f>IF($D102&lt;&gt;"Feature",".",
IF(VLOOKUP($B102,Feature_List!$A:$AM,MATCH(DN$1,  Feature_List!$A$1:$AM$1,0),0)=BC102,".","NO"))</f>
        <v>.</v>
      </c>
      <c r="DO102" s="136" t="str">
        <f>IF($D102&lt;&gt;"Feature",".",
IF(VLOOKUP($B102,Feature_List!$A:$AM,MATCH(DO$1,  Feature_List!$A$1:$AM$1,0),0)=BD102,".","NO"))</f>
        <v>.</v>
      </c>
    </row>
    <row r="103" spans="2:119" x14ac:dyDescent="0.3">
      <c r="B103" s="121"/>
      <c r="C103" s="122"/>
      <c r="D103" s="122"/>
      <c r="E103" s="122"/>
      <c r="F103" s="138"/>
      <c r="G103" s="123"/>
      <c r="H103" s="122"/>
      <c r="I103" s="124"/>
      <c r="J103" s="138"/>
      <c r="K103" s="123"/>
      <c r="L103" s="122"/>
      <c r="M103" s="122"/>
      <c r="N103" s="125"/>
      <c r="O103" s="123">
        <f t="shared" si="38"/>
        <v>0</v>
      </c>
      <c r="P103" s="123">
        <f t="shared" si="39"/>
        <v>0</v>
      </c>
      <c r="Q103" s="122" t="str">
        <f t="shared" si="61"/>
        <v>ZeroEntry</v>
      </c>
      <c r="R103" s="126" t="str">
        <f t="shared" si="40"/>
        <v>ZeroEntry</v>
      </c>
      <c r="S103" s="127" t="str">
        <f t="shared" si="41"/>
        <v>ZeroEntry</v>
      </c>
      <c r="T103" s="128" t="str">
        <f>IF($Q103="ZeroEntry", "",VLOOKUP($I103,'Ranking Lookup'!#REF!,2,FALSE))</f>
        <v/>
      </c>
      <c r="U103" s="129" t="str">
        <f t="shared" si="42"/>
        <v/>
      </c>
      <c r="V103" s="129" t="str">
        <f t="shared" si="43"/>
        <v/>
      </c>
      <c r="W103" s="129" t="str">
        <f t="shared" si="44"/>
        <v/>
      </c>
      <c r="X103" s="129" t="str">
        <f t="shared" si="45"/>
        <v/>
      </c>
      <c r="Y103" s="129" t="str">
        <f t="shared" si="46"/>
        <v/>
      </c>
      <c r="Z103" s="129" t="str">
        <f t="shared" si="47"/>
        <v/>
      </c>
      <c r="AA103" s="130"/>
      <c r="AB103" s="130" t="str">
        <f t="shared" si="48"/>
        <v>Unassigned</v>
      </c>
      <c r="AC103" s="131" t="str">
        <f t="shared" si="62"/>
        <v/>
      </c>
      <c r="AD103" s="131" t="str">
        <f t="shared" si="63"/>
        <v/>
      </c>
      <c r="AE103" s="132">
        <f t="shared" si="49"/>
        <v>0</v>
      </c>
      <c r="AF103" s="133" t="str">
        <f t="shared" si="64"/>
        <v/>
      </c>
      <c r="AG103" s="134">
        <f t="shared" si="50"/>
        <v>0</v>
      </c>
      <c r="AH103" s="54" t="str">
        <f t="shared" si="51"/>
        <v/>
      </c>
      <c r="AI103" s="54" t="str">
        <f t="shared" si="69"/>
        <v/>
      </c>
      <c r="AJ103" s="54" t="str">
        <f t="shared" si="69"/>
        <v/>
      </c>
      <c r="AK103" s="54" t="str">
        <f t="shared" si="69"/>
        <v/>
      </c>
      <c r="AL103" s="54" t="str">
        <f t="shared" si="69"/>
        <v/>
      </c>
      <c r="AM103" s="54" t="str">
        <f t="shared" si="69"/>
        <v/>
      </c>
      <c r="AN103" s="54" t="str">
        <f t="shared" si="69"/>
        <v/>
      </c>
      <c r="AO103" s="54" t="str">
        <f t="shared" si="69"/>
        <v/>
      </c>
      <c r="AP103" s="54" t="str">
        <f t="shared" si="69"/>
        <v/>
      </c>
      <c r="AQ103" s="54" t="str">
        <f t="shared" si="69"/>
        <v/>
      </c>
      <c r="AR103" s="54" t="str">
        <f t="shared" si="69"/>
        <v/>
      </c>
      <c r="AS103" s="54" t="str">
        <f t="shared" si="69"/>
        <v/>
      </c>
      <c r="AT103" s="54" t="str">
        <f t="shared" si="69"/>
        <v/>
      </c>
      <c r="AU103" s="54" t="str">
        <f t="shared" si="69"/>
        <v/>
      </c>
      <c r="AV103" s="54" t="str">
        <f t="shared" si="69"/>
        <v/>
      </c>
      <c r="AW103" s="54" t="str">
        <f t="shared" si="69"/>
        <v/>
      </c>
      <c r="AX103" s="54" t="str">
        <f t="shared" si="69"/>
        <v/>
      </c>
      <c r="AY103" s="54" t="str">
        <f t="shared" si="53"/>
        <v/>
      </c>
      <c r="AZ103" s="54" t="str">
        <f t="shared" si="54"/>
        <v/>
      </c>
      <c r="BA103" s="54" t="str">
        <f t="shared" si="55"/>
        <v/>
      </c>
      <c r="BB103" s="135" t="str">
        <f t="shared" si="56"/>
        <v/>
      </c>
      <c r="BC103" s="54" t="str">
        <f t="shared" si="70"/>
        <v/>
      </c>
      <c r="BD103" s="54" t="str">
        <f t="shared" si="70"/>
        <v/>
      </c>
      <c r="BE103" s="54" t="str">
        <f t="shared" si="70"/>
        <v/>
      </c>
      <c r="BF103" s="54" t="str">
        <f t="shared" si="57"/>
        <v/>
      </c>
      <c r="BG103" s="54" t="str">
        <f t="shared" si="58"/>
        <v/>
      </c>
      <c r="BH103" s="34" t="str">
        <f t="shared" si="59"/>
        <v>Bad</v>
      </c>
      <c r="BI103" s="34" t="str">
        <f t="shared" si="60"/>
        <v>No</v>
      </c>
      <c r="BJ103" s="136" t="str">
        <f>IF($D103&lt;&gt;"Feature",".",
IF(VLOOKUP($B103,Feature_List!$A:$AM,MATCH(BJ$1,  Feature_List!$A$1:$AM$1,0),0)=B103,".","NO"))</f>
        <v>.</v>
      </c>
      <c r="BK103" s="136"/>
      <c r="BL103" s="136"/>
      <c r="BM103" s="136" t="str">
        <f>IF($D103&lt;&gt;"Feature",".",
IF(VLOOKUP($B103,Feature_List!$A:$AM,MATCH(BM$1,  Feature_List!$A$1:$AM$1,0),0)=E103,".","NO"))</f>
        <v>.</v>
      </c>
      <c r="BN103" s="136" t="str">
        <f>IF($D103&lt;&gt;"Feature",".",
IF(VLOOKUP($B103,Feature_List!$A:$AM,MATCH(BN$1,  Feature_List!$A$1:$AM$1,0),0)=F103,".","NO"))</f>
        <v>.</v>
      </c>
      <c r="BO103" s="136" t="str">
        <f>IF($D103&lt;&gt;"Feature",".",
IF(VLOOKUP($B103,Feature_List!$A:$AM,MATCH(BO$1,  Feature_List!$A$1:$AM$1,0),0)=G103,".","NO"))</f>
        <v>.</v>
      </c>
      <c r="BP103" s="136" t="str">
        <f>IF($D103&lt;&gt;"Feature",".",
IF(VLOOKUP($B103,Feature_List!$A:$AM,MATCH(BP$1,  Feature_List!$A$1:$AM$1,0),0)=H103,".","NO"))</f>
        <v>.</v>
      </c>
      <c r="BQ103" s="136"/>
      <c r="BR103" s="136" t="str">
        <f>IF($D103&lt;&gt;"Feature",".",
IF(VLOOKUP($B103,Feature_List!$A:$AM,MATCH(BR$1,  Feature_List!$A$1:$AM$1,0),0)=J103,".","NO"))</f>
        <v>.</v>
      </c>
      <c r="BS103" s="136"/>
      <c r="BT103" s="136"/>
      <c r="BU103" s="136" t="str">
        <f>IF($D103&lt;&gt;"Feature",".",
IF(VLOOKUP($B103,Feature_List!$A:$AM,MATCH(BU$1,  Feature_List!$A$1:$AM$1,0),0)=M103,".","NO"))</f>
        <v>.</v>
      </c>
      <c r="BV103" s="136" t="str">
        <f>IF($D103&lt;&gt;"Feature",".",
IF(VLOOKUP($B103,Feature_List!$A:$AM,MATCH(BV$1,  Feature_List!$A$1:$AM$1,0),0)=N103,".","NO"))</f>
        <v>.</v>
      </c>
      <c r="BW103" s="136"/>
      <c r="BX103" s="136"/>
      <c r="BY103" s="136"/>
      <c r="BZ103" s="136"/>
      <c r="CA103" s="136"/>
      <c r="CB103" s="136" t="str">
        <f>IF($D103&lt;&gt;"Feature",".",
IF(VLOOKUP($B103,Feature_List!$A:$AM,MATCH(CB$1,  Feature_List!$A$1:$AM$1,0),0)=T103,".","NO"))</f>
        <v>.</v>
      </c>
      <c r="CC103" s="136"/>
      <c r="CD103" s="136"/>
      <c r="CE103" s="136"/>
      <c r="CF103" s="136"/>
      <c r="CG103" s="136"/>
      <c r="CH103" s="136"/>
      <c r="CI103" s="136"/>
      <c r="CJ103" s="136"/>
      <c r="CK103" s="136"/>
      <c r="CL103" s="136"/>
      <c r="CM103" s="136"/>
      <c r="CN103" s="136"/>
      <c r="CO103" s="136" t="str">
        <f>IF($D103&lt;&gt;"Feature",".",
IF(VLOOKUP($B103,Feature_List!$A:$AM,MATCH(CO$1,  Feature_List!$A$1:$AM$1,0),0)=AG103,".","NO"))</f>
        <v>.</v>
      </c>
      <c r="CP103" s="136" t="str">
        <f>IF($D103&lt;&gt;"Feature",".",
IF(VLOOKUP($B103,Feature_List!$A:$AM,MATCH(CP$1,  Feature_List!$A$1:$AM$1,0),0)=AH103,".","NO"))</f>
        <v>.</v>
      </c>
      <c r="CQ103" s="136" t="str">
        <f>IF($D103&lt;&gt;"Feature",".",
IF(VLOOKUP($B103,Feature_List!$A:$AM,MATCH(CQ$1,  Feature_List!$A$1:$AM$1,0),0)=AI103,".","NO"))</f>
        <v>.</v>
      </c>
      <c r="CR103" s="136" t="str">
        <f>IF($D103&lt;&gt;"Feature",".",
IF(VLOOKUP($B103,Feature_List!$A:$AM,MATCH(CR$1,  Feature_List!$A$1:$AM$1,0),0)=AJ103,".","NO"))</f>
        <v>.</v>
      </c>
      <c r="CS103" s="136" t="str">
        <f>IF($D103&lt;&gt;"Feature",".",
IF(VLOOKUP($B103,Feature_List!$A:$AM,MATCH(CS$1,  Feature_List!$A$1:$AM$1,0),0)=AK103,".","NO"))</f>
        <v>.</v>
      </c>
      <c r="CT103" s="136" t="str">
        <f>IF($D103&lt;&gt;"Feature",".",
IF(VLOOKUP($B103,Feature_List!$A:$AM,MATCH(CT$1,  Feature_List!$A$1:$AM$1,0),0)=AL103,".","NO"))</f>
        <v>.</v>
      </c>
      <c r="CU103" s="136" t="str">
        <f>IF($D103&lt;&gt;"Feature",".",
IF(VLOOKUP($B103,Feature_List!$A:$AM,MATCH(CU$1,  Feature_List!$A$1:$AM$1,0),0)=AM103,".","NO"))</f>
        <v>.</v>
      </c>
      <c r="CV103" s="136" t="str">
        <f>IF($D103&lt;&gt;"Feature",".",
IF(VLOOKUP($B103,Feature_List!$A:$AM,MATCH(CV$1,  Feature_List!$A$1:$AM$1,0),0)=AN103,".","NO"))</f>
        <v>.</v>
      </c>
      <c r="CW103" s="136" t="str">
        <f>IF($D103&lt;&gt;"Feature",".",
IF(VLOOKUP($B103,Feature_List!$A:$AM,MATCH(CW$1,  Feature_List!$A$1:$AM$1,0),0)=AO103,".","NO"))</f>
        <v>.</v>
      </c>
      <c r="CX103" s="136" t="str">
        <f>IF($D103&lt;&gt;"Feature",".",
IF(VLOOKUP($B103,Feature_List!$A:$AM,MATCH(CX$1,  Feature_List!$A$1:$AM$1,0),0)=AP103,".","NO"))</f>
        <v>.</v>
      </c>
      <c r="CY103" s="136" t="str">
        <f>IF($D103&lt;&gt;"Feature",".",
IF(VLOOKUP($B103,Feature_List!$A:$AM,MATCH(CY$1,  Feature_List!$A$1:$AM$1,0),0)=AQ103,".","NO"))</f>
        <v>.</v>
      </c>
      <c r="CZ103" s="136" t="str">
        <f>IF($D103&lt;&gt;"Feature",".",
IF(VLOOKUP($B103,Feature_List!$A:$AM,MATCH(CZ$1,  Feature_List!$A$1:$AM$1,0),0)=AR103,".","NO"))</f>
        <v>.</v>
      </c>
      <c r="DA103" s="136" t="str">
        <f>IF($D103&lt;&gt;"Feature",".",
IF(VLOOKUP($B103,Feature_List!$A:$AM,MATCH(DA$1,  Feature_List!$A$1:$AM$1,0),0)=AS103,".","NO"))</f>
        <v>.</v>
      </c>
      <c r="DB103" s="136" t="str">
        <f>IF($D103&lt;&gt;"Feature",".",
IF(VLOOKUP($B103,Feature_List!$A:$AM,MATCH(DB$1,  Feature_List!$A$1:$AM$1,0),0)=AT103,".","NO"))</f>
        <v>.</v>
      </c>
      <c r="DC103" s="136" t="str">
        <f>IF($D103&lt;&gt;"Feature",".",
IF(VLOOKUP($B103,Feature_List!$A:$AM,MATCH(DC$1,  Feature_List!$A$1:$AM$1,0),0)=AU103,".","NO"))</f>
        <v>.</v>
      </c>
      <c r="DD103" s="136" t="str">
        <f>IF($D103&lt;&gt;"Feature",".",
IF(VLOOKUP($B103,Feature_List!$A:$AM,MATCH(DD$1,  Feature_List!$A$1:$AM$1,0),0)=AV103,".","NO"))</f>
        <v>.</v>
      </c>
      <c r="DE103" s="136" t="str">
        <f>IF($D103&lt;&gt;"Feature",".",
IF(VLOOKUP($B103,Feature_List!$A:$AM,MATCH(DE$1,  Feature_List!$A$1:$AM$1,0),0)=AW103,".","NO"))</f>
        <v>.</v>
      </c>
      <c r="DF103" s="136" t="str">
        <f>IF($D103&lt;&gt;"Feature",".",
IF(VLOOKUP($B103,Feature_List!$A:$AM,MATCH(DF$1,  Feature_List!$A$1:$AM$1,0),0)=AX103,".","NO"))</f>
        <v>.</v>
      </c>
      <c r="DG103" s="136" t="str">
        <f>IF($D103&lt;&gt;"Feature",".",
IF(VLOOKUP($B103,Feature_List!$A:$AM,MATCH(DG$1,  Feature_List!$A$1:$AM$1,0),0)=AY103,".","NO"))</f>
        <v>.</v>
      </c>
      <c r="DH103" s="136" t="str">
        <f>IF($D103&lt;&gt;"Feature",".",
IF(VLOOKUP($B103,Feature_List!$A:$AM,MATCH(DH$1,  Feature_List!$A$1:$AM$1,0),0)=AZ103,".","NO"))</f>
        <v>.</v>
      </c>
      <c r="DI103" s="136" t="str">
        <f>IF($D103&lt;&gt;"Feature",".",
IF(VLOOKUP($B103,Feature_List!$A:$AM,MATCH(DI$1,  Feature_List!$A$1:$AM$1,0),0)=BA103,".","NO"))</f>
        <v>.</v>
      </c>
      <c r="DJ103" s="136" t="str">
        <f>IF($D103&lt;&gt;"Feature",".",
IF(VLOOKUP($B103,Feature_List!$A:$AM,MATCH(DJ$1,  Feature_List!$A$1:$AM$1,0),0)=BB103,".","NO"))</f>
        <v>.</v>
      </c>
      <c r="DK103" s="136"/>
      <c r="DL103" s="136"/>
      <c r="DM103" s="136"/>
      <c r="DN103" s="136" t="str">
        <f>IF($D103&lt;&gt;"Feature",".",
IF(VLOOKUP($B103,Feature_List!$A:$AM,MATCH(DN$1,  Feature_List!$A$1:$AM$1,0),0)=BC103,".","NO"))</f>
        <v>.</v>
      </c>
      <c r="DO103" s="136" t="str">
        <f>IF($D103&lt;&gt;"Feature",".",
IF(VLOOKUP($B103,Feature_List!$A:$AM,MATCH(DO$1,  Feature_List!$A$1:$AM$1,0),0)=BD103,".","NO"))</f>
        <v>.</v>
      </c>
    </row>
    <row r="104" spans="2:119" x14ac:dyDescent="0.3">
      <c r="B104" s="121"/>
      <c r="C104" s="122"/>
      <c r="D104" s="122"/>
      <c r="E104" s="122"/>
      <c r="F104" s="138"/>
      <c r="G104" s="123"/>
      <c r="H104" s="122"/>
      <c r="I104" s="124"/>
      <c r="J104" s="138"/>
      <c r="K104" s="123"/>
      <c r="L104" s="122"/>
      <c r="M104" s="122"/>
      <c r="N104" s="125"/>
      <c r="O104" s="123">
        <f t="shared" si="38"/>
        <v>0</v>
      </c>
      <c r="P104" s="123">
        <f t="shared" si="39"/>
        <v>0</v>
      </c>
      <c r="Q104" s="122" t="str">
        <f t="shared" si="61"/>
        <v>ZeroEntry</v>
      </c>
      <c r="R104" s="126" t="str">
        <f t="shared" si="40"/>
        <v>ZeroEntry</v>
      </c>
      <c r="S104" s="127" t="str">
        <f t="shared" si="41"/>
        <v>ZeroEntry</v>
      </c>
      <c r="T104" s="128" t="str">
        <f>IF($Q104="ZeroEntry", "",VLOOKUP($I104,'Ranking Lookup'!#REF!,2,FALSE))</f>
        <v/>
      </c>
      <c r="U104" s="129" t="str">
        <f t="shared" si="42"/>
        <v/>
      </c>
      <c r="V104" s="129" t="str">
        <f t="shared" si="43"/>
        <v/>
      </c>
      <c r="W104" s="129" t="str">
        <f t="shared" si="44"/>
        <v/>
      </c>
      <c r="X104" s="129" t="str">
        <f t="shared" si="45"/>
        <v/>
      </c>
      <c r="Y104" s="129" t="str">
        <f t="shared" si="46"/>
        <v/>
      </c>
      <c r="Z104" s="129" t="str">
        <f t="shared" si="47"/>
        <v/>
      </c>
      <c r="AA104" s="130"/>
      <c r="AB104" s="130" t="str">
        <f t="shared" si="48"/>
        <v>Unassigned</v>
      </c>
      <c r="AC104" s="131" t="str">
        <f t="shared" si="62"/>
        <v/>
      </c>
      <c r="AD104" s="131" t="str">
        <f t="shared" si="63"/>
        <v/>
      </c>
      <c r="AE104" s="132">
        <f t="shared" si="49"/>
        <v>0</v>
      </c>
      <c r="AF104" s="133" t="str">
        <f t="shared" si="64"/>
        <v/>
      </c>
      <c r="AG104" s="134">
        <f t="shared" si="50"/>
        <v>0</v>
      </c>
      <c r="AH104" s="54" t="str">
        <f t="shared" si="51"/>
        <v/>
      </c>
      <c r="AI104" s="54" t="str">
        <f t="shared" si="69"/>
        <v/>
      </c>
      <c r="AJ104" s="54" t="str">
        <f t="shared" si="69"/>
        <v/>
      </c>
      <c r="AK104" s="54" t="str">
        <f t="shared" si="69"/>
        <v/>
      </c>
      <c r="AL104" s="54" t="str">
        <f t="shared" si="69"/>
        <v/>
      </c>
      <c r="AM104" s="54" t="str">
        <f t="shared" si="69"/>
        <v/>
      </c>
      <c r="AN104" s="54" t="str">
        <f t="shared" si="69"/>
        <v/>
      </c>
      <c r="AO104" s="54" t="str">
        <f t="shared" si="69"/>
        <v/>
      </c>
      <c r="AP104" s="54" t="str">
        <f t="shared" si="69"/>
        <v/>
      </c>
      <c r="AQ104" s="54" t="str">
        <f t="shared" si="69"/>
        <v/>
      </c>
      <c r="AR104" s="54" t="str">
        <f t="shared" si="69"/>
        <v/>
      </c>
      <c r="AS104" s="54" t="str">
        <f t="shared" si="69"/>
        <v/>
      </c>
      <c r="AT104" s="54" t="str">
        <f t="shared" si="69"/>
        <v/>
      </c>
      <c r="AU104" s="54" t="str">
        <f t="shared" si="69"/>
        <v/>
      </c>
      <c r="AV104" s="54" t="str">
        <f t="shared" si="69"/>
        <v/>
      </c>
      <c r="AW104" s="54" t="str">
        <f t="shared" si="69"/>
        <v/>
      </c>
      <c r="AX104" s="54" t="str">
        <f t="shared" si="69"/>
        <v/>
      </c>
      <c r="AY104" s="54" t="str">
        <f t="shared" si="53"/>
        <v/>
      </c>
      <c r="AZ104" s="54" t="str">
        <f t="shared" si="54"/>
        <v/>
      </c>
      <c r="BA104" s="54" t="str">
        <f t="shared" si="55"/>
        <v/>
      </c>
      <c r="BB104" s="135" t="str">
        <f t="shared" si="56"/>
        <v/>
      </c>
      <c r="BC104" s="54" t="str">
        <f t="shared" si="70"/>
        <v/>
      </c>
      <c r="BD104" s="54" t="str">
        <f t="shared" si="70"/>
        <v/>
      </c>
      <c r="BE104" s="54" t="str">
        <f t="shared" si="70"/>
        <v/>
      </c>
      <c r="BF104" s="54" t="str">
        <f t="shared" si="57"/>
        <v/>
      </c>
      <c r="BG104" s="54" t="str">
        <f t="shared" si="58"/>
        <v/>
      </c>
      <c r="BH104" s="34" t="str">
        <f t="shared" si="59"/>
        <v>Bad</v>
      </c>
      <c r="BI104" s="34" t="str">
        <f t="shared" si="60"/>
        <v>No</v>
      </c>
      <c r="BJ104" s="136" t="str">
        <f>IF($D104&lt;&gt;"Feature",".",
IF(VLOOKUP($B104,Feature_List!$A:$AM,MATCH(BJ$1,  Feature_List!$A$1:$AM$1,0),0)=B104,".","NO"))</f>
        <v>.</v>
      </c>
      <c r="BK104" s="136"/>
      <c r="BL104" s="136"/>
      <c r="BM104" s="136" t="str">
        <f>IF($D104&lt;&gt;"Feature",".",
IF(VLOOKUP($B104,Feature_List!$A:$AM,MATCH(BM$1,  Feature_List!$A$1:$AM$1,0),0)=E104,".","NO"))</f>
        <v>.</v>
      </c>
      <c r="BN104" s="136" t="str">
        <f>IF($D104&lt;&gt;"Feature",".",
IF(VLOOKUP($B104,Feature_List!$A:$AM,MATCH(BN$1,  Feature_List!$A$1:$AM$1,0),0)=F104,".","NO"))</f>
        <v>.</v>
      </c>
      <c r="BO104" s="136" t="str">
        <f>IF($D104&lt;&gt;"Feature",".",
IF(VLOOKUP($B104,Feature_List!$A:$AM,MATCH(BO$1,  Feature_List!$A$1:$AM$1,0),0)=G104,".","NO"))</f>
        <v>.</v>
      </c>
      <c r="BP104" s="136" t="str">
        <f>IF($D104&lt;&gt;"Feature",".",
IF(VLOOKUP($B104,Feature_List!$A:$AM,MATCH(BP$1,  Feature_List!$A$1:$AM$1,0),0)=H104,".","NO"))</f>
        <v>.</v>
      </c>
      <c r="BQ104" s="136"/>
      <c r="BR104" s="136" t="str">
        <f>IF($D104&lt;&gt;"Feature",".",
IF(VLOOKUP($B104,Feature_List!$A:$AM,MATCH(BR$1,  Feature_List!$A$1:$AM$1,0),0)=J104,".","NO"))</f>
        <v>.</v>
      </c>
      <c r="BS104" s="136"/>
      <c r="BT104" s="136"/>
      <c r="BU104" s="136" t="str">
        <f>IF($D104&lt;&gt;"Feature",".",
IF(VLOOKUP($B104,Feature_List!$A:$AM,MATCH(BU$1,  Feature_List!$A$1:$AM$1,0),0)=M104,".","NO"))</f>
        <v>.</v>
      </c>
      <c r="BV104" s="136" t="str">
        <f>IF($D104&lt;&gt;"Feature",".",
IF(VLOOKUP($B104,Feature_List!$A:$AM,MATCH(BV$1,  Feature_List!$A$1:$AM$1,0),0)=N104,".","NO"))</f>
        <v>.</v>
      </c>
      <c r="BW104" s="136"/>
      <c r="BX104" s="136"/>
      <c r="BY104" s="136"/>
      <c r="BZ104" s="136"/>
      <c r="CA104" s="136"/>
      <c r="CB104" s="136" t="str">
        <f>IF($D104&lt;&gt;"Feature",".",
IF(VLOOKUP($B104,Feature_List!$A:$AM,MATCH(CB$1,  Feature_List!$A$1:$AM$1,0),0)=T104,".","NO"))</f>
        <v>.</v>
      </c>
      <c r="CC104" s="136"/>
      <c r="CD104" s="136"/>
      <c r="CE104" s="136"/>
      <c r="CF104" s="136"/>
      <c r="CG104" s="136"/>
      <c r="CH104" s="136"/>
      <c r="CI104" s="136"/>
      <c r="CJ104" s="136"/>
      <c r="CK104" s="136"/>
      <c r="CL104" s="136"/>
      <c r="CM104" s="136"/>
      <c r="CN104" s="136"/>
      <c r="CO104" s="136" t="str">
        <f>IF($D104&lt;&gt;"Feature",".",
IF(VLOOKUP($B104,Feature_List!$A:$AM,MATCH(CO$1,  Feature_List!$A$1:$AM$1,0),0)=AG104,".","NO"))</f>
        <v>.</v>
      </c>
      <c r="CP104" s="136" t="str">
        <f>IF($D104&lt;&gt;"Feature",".",
IF(VLOOKUP($B104,Feature_List!$A:$AM,MATCH(CP$1,  Feature_List!$A$1:$AM$1,0),0)=AH104,".","NO"))</f>
        <v>.</v>
      </c>
      <c r="CQ104" s="136" t="str">
        <f>IF($D104&lt;&gt;"Feature",".",
IF(VLOOKUP($B104,Feature_List!$A:$AM,MATCH(CQ$1,  Feature_List!$A$1:$AM$1,0),0)=AI104,".","NO"))</f>
        <v>.</v>
      </c>
      <c r="CR104" s="136" t="str">
        <f>IF($D104&lt;&gt;"Feature",".",
IF(VLOOKUP($B104,Feature_List!$A:$AM,MATCH(CR$1,  Feature_List!$A$1:$AM$1,0),0)=AJ104,".","NO"))</f>
        <v>.</v>
      </c>
      <c r="CS104" s="136" t="str">
        <f>IF($D104&lt;&gt;"Feature",".",
IF(VLOOKUP($B104,Feature_List!$A:$AM,MATCH(CS$1,  Feature_List!$A$1:$AM$1,0),0)=AK104,".","NO"))</f>
        <v>.</v>
      </c>
      <c r="CT104" s="136" t="str">
        <f>IF($D104&lt;&gt;"Feature",".",
IF(VLOOKUP($B104,Feature_List!$A:$AM,MATCH(CT$1,  Feature_List!$A$1:$AM$1,0),0)=AL104,".","NO"))</f>
        <v>.</v>
      </c>
      <c r="CU104" s="136" t="str">
        <f>IF($D104&lt;&gt;"Feature",".",
IF(VLOOKUP($B104,Feature_List!$A:$AM,MATCH(CU$1,  Feature_List!$A$1:$AM$1,0),0)=AM104,".","NO"))</f>
        <v>.</v>
      </c>
      <c r="CV104" s="136" t="str">
        <f>IF($D104&lt;&gt;"Feature",".",
IF(VLOOKUP($B104,Feature_List!$A:$AM,MATCH(CV$1,  Feature_List!$A$1:$AM$1,0),0)=AN104,".","NO"))</f>
        <v>.</v>
      </c>
      <c r="CW104" s="136" t="str">
        <f>IF($D104&lt;&gt;"Feature",".",
IF(VLOOKUP($B104,Feature_List!$A:$AM,MATCH(CW$1,  Feature_List!$A$1:$AM$1,0),0)=AO104,".","NO"))</f>
        <v>.</v>
      </c>
      <c r="CX104" s="136" t="str">
        <f>IF($D104&lt;&gt;"Feature",".",
IF(VLOOKUP($B104,Feature_List!$A:$AM,MATCH(CX$1,  Feature_List!$A$1:$AM$1,0),0)=AP104,".","NO"))</f>
        <v>.</v>
      </c>
      <c r="CY104" s="136" t="str">
        <f>IF($D104&lt;&gt;"Feature",".",
IF(VLOOKUP($B104,Feature_List!$A:$AM,MATCH(CY$1,  Feature_List!$A$1:$AM$1,0),0)=AQ104,".","NO"))</f>
        <v>.</v>
      </c>
      <c r="CZ104" s="136" t="str">
        <f>IF($D104&lt;&gt;"Feature",".",
IF(VLOOKUP($B104,Feature_List!$A:$AM,MATCH(CZ$1,  Feature_List!$A$1:$AM$1,0),0)=AR104,".","NO"))</f>
        <v>.</v>
      </c>
      <c r="DA104" s="136" t="str">
        <f>IF($D104&lt;&gt;"Feature",".",
IF(VLOOKUP($B104,Feature_List!$A:$AM,MATCH(DA$1,  Feature_List!$A$1:$AM$1,0),0)=AS104,".","NO"))</f>
        <v>.</v>
      </c>
      <c r="DB104" s="136" t="str">
        <f>IF($D104&lt;&gt;"Feature",".",
IF(VLOOKUP($B104,Feature_List!$A:$AM,MATCH(DB$1,  Feature_List!$A$1:$AM$1,0),0)=AT104,".","NO"))</f>
        <v>.</v>
      </c>
      <c r="DC104" s="136" t="str">
        <f>IF($D104&lt;&gt;"Feature",".",
IF(VLOOKUP($B104,Feature_List!$A:$AM,MATCH(DC$1,  Feature_List!$A$1:$AM$1,0),0)=AU104,".","NO"))</f>
        <v>.</v>
      </c>
      <c r="DD104" s="136" t="str">
        <f>IF($D104&lt;&gt;"Feature",".",
IF(VLOOKUP($B104,Feature_List!$A:$AM,MATCH(DD$1,  Feature_List!$A$1:$AM$1,0),0)=AV104,".","NO"))</f>
        <v>.</v>
      </c>
      <c r="DE104" s="136" t="str">
        <f>IF($D104&lt;&gt;"Feature",".",
IF(VLOOKUP($B104,Feature_List!$A:$AM,MATCH(DE$1,  Feature_List!$A$1:$AM$1,0),0)=AW104,".","NO"))</f>
        <v>.</v>
      </c>
      <c r="DF104" s="136" t="str">
        <f>IF($D104&lt;&gt;"Feature",".",
IF(VLOOKUP($B104,Feature_List!$A:$AM,MATCH(DF$1,  Feature_List!$A$1:$AM$1,0),0)=AX104,".","NO"))</f>
        <v>.</v>
      </c>
      <c r="DG104" s="136" t="str">
        <f>IF($D104&lt;&gt;"Feature",".",
IF(VLOOKUP($B104,Feature_List!$A:$AM,MATCH(DG$1,  Feature_List!$A$1:$AM$1,0),0)=AY104,".","NO"))</f>
        <v>.</v>
      </c>
      <c r="DH104" s="136" t="str">
        <f>IF($D104&lt;&gt;"Feature",".",
IF(VLOOKUP($B104,Feature_List!$A:$AM,MATCH(DH$1,  Feature_List!$A$1:$AM$1,0),0)=AZ104,".","NO"))</f>
        <v>.</v>
      </c>
      <c r="DI104" s="136" t="str">
        <f>IF($D104&lt;&gt;"Feature",".",
IF(VLOOKUP($B104,Feature_List!$A:$AM,MATCH(DI$1,  Feature_List!$A$1:$AM$1,0),0)=BA104,".","NO"))</f>
        <v>.</v>
      </c>
      <c r="DJ104" s="136" t="str">
        <f>IF($D104&lt;&gt;"Feature",".",
IF(VLOOKUP($B104,Feature_List!$A:$AM,MATCH(DJ$1,  Feature_List!$A$1:$AM$1,0),0)=BB104,".","NO"))</f>
        <v>.</v>
      </c>
      <c r="DK104" s="136"/>
      <c r="DL104" s="136"/>
      <c r="DM104" s="136"/>
      <c r="DN104" s="136" t="str">
        <f>IF($D104&lt;&gt;"Feature",".",
IF(VLOOKUP($B104,Feature_List!$A:$AM,MATCH(DN$1,  Feature_List!$A$1:$AM$1,0),0)=BC104,".","NO"))</f>
        <v>.</v>
      </c>
      <c r="DO104" s="136" t="str">
        <f>IF($D104&lt;&gt;"Feature",".",
IF(VLOOKUP($B104,Feature_List!$A:$AM,MATCH(DO$1,  Feature_List!$A$1:$AM$1,0),0)=BD104,".","NO"))</f>
        <v>.</v>
      </c>
    </row>
    <row r="105" spans="2:119" x14ac:dyDescent="0.3">
      <c r="B105" s="121"/>
      <c r="C105" s="123"/>
      <c r="D105" s="122"/>
      <c r="E105" s="122"/>
      <c r="F105" s="138"/>
      <c r="G105" s="123"/>
      <c r="H105" s="122"/>
      <c r="I105" s="124"/>
      <c r="J105" s="138"/>
      <c r="K105" s="123"/>
      <c r="L105" s="122"/>
      <c r="M105" s="122"/>
      <c r="N105" s="125"/>
      <c r="O105" s="123">
        <f t="shared" si="38"/>
        <v>0</v>
      </c>
      <c r="P105" s="123">
        <f t="shared" si="39"/>
        <v>0</v>
      </c>
      <c r="Q105" s="122" t="str">
        <f t="shared" si="61"/>
        <v>ZeroEntry</v>
      </c>
      <c r="R105" s="126" t="str">
        <f t="shared" si="40"/>
        <v>ZeroEntry</v>
      </c>
      <c r="S105" s="127" t="str">
        <f t="shared" si="41"/>
        <v>ZeroEntry</v>
      </c>
      <c r="T105" s="128" t="str">
        <f>IF($Q105="ZeroEntry", "",VLOOKUP($I105,'Ranking Lookup'!#REF!,2,FALSE))</f>
        <v/>
      </c>
      <c r="U105" s="129" t="str">
        <f t="shared" si="42"/>
        <v/>
      </c>
      <c r="V105" s="129" t="str">
        <f t="shared" si="43"/>
        <v/>
      </c>
      <c r="W105" s="129" t="str">
        <f t="shared" si="44"/>
        <v/>
      </c>
      <c r="X105" s="129" t="str">
        <f t="shared" si="45"/>
        <v/>
      </c>
      <c r="Y105" s="129" t="str">
        <f t="shared" si="46"/>
        <v/>
      </c>
      <c r="Z105" s="129" t="str">
        <f t="shared" si="47"/>
        <v/>
      </c>
      <c r="AA105" s="130"/>
      <c r="AB105" s="130" t="str">
        <f t="shared" si="48"/>
        <v>Unassigned</v>
      </c>
      <c r="AC105" s="131" t="str">
        <f t="shared" si="62"/>
        <v/>
      </c>
      <c r="AD105" s="131" t="str">
        <f t="shared" si="63"/>
        <v/>
      </c>
      <c r="AE105" s="132">
        <f t="shared" si="49"/>
        <v>0</v>
      </c>
      <c r="AF105" s="133" t="str">
        <f t="shared" si="64"/>
        <v/>
      </c>
      <c r="AG105" s="134">
        <f t="shared" si="50"/>
        <v>0</v>
      </c>
      <c r="AH105" s="54" t="str">
        <f t="shared" si="51"/>
        <v/>
      </c>
      <c r="AI105" s="54" t="str">
        <f t="shared" si="69"/>
        <v/>
      </c>
      <c r="AJ105" s="54" t="str">
        <f t="shared" si="69"/>
        <v/>
      </c>
      <c r="AK105" s="54" t="str">
        <f t="shared" si="69"/>
        <v/>
      </c>
      <c r="AL105" s="54" t="str">
        <f t="shared" si="69"/>
        <v/>
      </c>
      <c r="AM105" s="54" t="str">
        <f t="shared" si="69"/>
        <v/>
      </c>
      <c r="AN105" s="54" t="str">
        <f t="shared" si="69"/>
        <v/>
      </c>
      <c r="AO105" s="54" t="str">
        <f t="shared" si="69"/>
        <v/>
      </c>
      <c r="AP105" s="54" t="str">
        <f t="shared" si="69"/>
        <v/>
      </c>
      <c r="AQ105" s="54" t="str">
        <f t="shared" si="69"/>
        <v/>
      </c>
      <c r="AR105" s="54" t="str">
        <f t="shared" si="69"/>
        <v/>
      </c>
      <c r="AS105" s="54" t="str">
        <f t="shared" si="69"/>
        <v/>
      </c>
      <c r="AT105" s="54" t="str">
        <f t="shared" si="69"/>
        <v/>
      </c>
      <c r="AU105" s="54" t="str">
        <f t="shared" si="69"/>
        <v/>
      </c>
      <c r="AV105" s="54" t="str">
        <f t="shared" si="69"/>
        <v/>
      </c>
      <c r="AW105" s="54" t="str">
        <f t="shared" si="69"/>
        <v/>
      </c>
      <c r="AX105" s="54" t="str">
        <f t="shared" si="69"/>
        <v/>
      </c>
      <c r="AY105" s="54" t="str">
        <f t="shared" si="53"/>
        <v/>
      </c>
      <c r="AZ105" s="54" t="str">
        <f t="shared" si="54"/>
        <v/>
      </c>
      <c r="BA105" s="54" t="str">
        <f t="shared" si="55"/>
        <v/>
      </c>
      <c r="BB105" s="135" t="str">
        <f t="shared" si="56"/>
        <v/>
      </c>
      <c r="BC105" s="54" t="str">
        <f t="shared" si="70"/>
        <v/>
      </c>
      <c r="BD105" s="54" t="str">
        <f t="shared" si="70"/>
        <v/>
      </c>
      <c r="BE105" s="54" t="str">
        <f t="shared" si="70"/>
        <v/>
      </c>
      <c r="BF105" s="54" t="str">
        <f t="shared" si="57"/>
        <v/>
      </c>
      <c r="BG105" s="54" t="str">
        <f t="shared" si="58"/>
        <v/>
      </c>
      <c r="BH105" s="34" t="str">
        <f t="shared" si="59"/>
        <v>Bad</v>
      </c>
      <c r="BI105" s="34" t="str">
        <f t="shared" si="60"/>
        <v>No</v>
      </c>
      <c r="BJ105" s="136" t="str">
        <f>IF($D105&lt;&gt;"Feature",".",
IF(VLOOKUP($B105,Feature_List!$A:$AM,MATCH(BJ$1,  Feature_List!$A$1:$AM$1,0),0)=B105,".","NO"))</f>
        <v>.</v>
      </c>
      <c r="BK105" s="136"/>
      <c r="BL105" s="136"/>
      <c r="BM105" s="136" t="str">
        <f>IF($D105&lt;&gt;"Feature",".",
IF(VLOOKUP($B105,Feature_List!$A:$AM,MATCH(BM$1,  Feature_List!$A$1:$AM$1,0),0)=E105,".","NO"))</f>
        <v>.</v>
      </c>
      <c r="BN105" s="136" t="str">
        <f>IF($D105&lt;&gt;"Feature",".",
IF(VLOOKUP($B105,Feature_List!$A:$AM,MATCH(BN$1,  Feature_List!$A$1:$AM$1,0),0)=F105,".","NO"))</f>
        <v>.</v>
      </c>
      <c r="BO105" s="136" t="str">
        <f>IF($D105&lt;&gt;"Feature",".",
IF(VLOOKUP($B105,Feature_List!$A:$AM,MATCH(BO$1,  Feature_List!$A$1:$AM$1,0),0)=G105,".","NO"))</f>
        <v>.</v>
      </c>
      <c r="BP105" s="136" t="str">
        <f>IF($D105&lt;&gt;"Feature",".",
IF(VLOOKUP($B105,Feature_List!$A:$AM,MATCH(BP$1,  Feature_List!$A$1:$AM$1,0),0)=H105,".","NO"))</f>
        <v>.</v>
      </c>
      <c r="BQ105" s="136"/>
      <c r="BR105" s="136" t="str">
        <f>IF($D105&lt;&gt;"Feature",".",
IF(VLOOKUP($B105,Feature_List!$A:$AM,MATCH(BR$1,  Feature_List!$A$1:$AM$1,0),0)=J105,".","NO"))</f>
        <v>.</v>
      </c>
      <c r="BS105" s="136"/>
      <c r="BT105" s="136"/>
      <c r="BU105" s="136" t="str">
        <f>IF($D105&lt;&gt;"Feature",".",
IF(VLOOKUP($B105,Feature_List!$A:$AM,MATCH(BU$1,  Feature_List!$A$1:$AM$1,0),0)=M105,".","NO"))</f>
        <v>.</v>
      </c>
      <c r="BV105" s="136" t="str">
        <f>IF($D105&lt;&gt;"Feature",".",
IF(VLOOKUP($B105,Feature_List!$A:$AM,MATCH(BV$1,  Feature_List!$A$1:$AM$1,0),0)=N105,".","NO"))</f>
        <v>.</v>
      </c>
      <c r="BW105" s="136"/>
      <c r="BX105" s="136"/>
      <c r="BY105" s="136"/>
      <c r="BZ105" s="136"/>
      <c r="CA105" s="136"/>
      <c r="CB105" s="136" t="str">
        <f>IF($D105&lt;&gt;"Feature",".",
IF(VLOOKUP($B105,Feature_List!$A:$AM,MATCH(CB$1,  Feature_List!$A$1:$AM$1,0),0)=T105,".","NO"))</f>
        <v>.</v>
      </c>
      <c r="CC105" s="136"/>
      <c r="CD105" s="136"/>
      <c r="CE105" s="136"/>
      <c r="CF105" s="136"/>
      <c r="CG105" s="136"/>
      <c r="CH105" s="136"/>
      <c r="CI105" s="136"/>
      <c r="CJ105" s="136"/>
      <c r="CK105" s="136"/>
      <c r="CL105" s="136"/>
      <c r="CM105" s="136"/>
      <c r="CN105" s="136"/>
      <c r="CO105" s="136" t="str">
        <f>IF($D105&lt;&gt;"Feature",".",
IF(VLOOKUP($B105,Feature_List!$A:$AM,MATCH(CO$1,  Feature_List!$A$1:$AM$1,0),0)=AG105,".","NO"))</f>
        <v>.</v>
      </c>
      <c r="CP105" s="136" t="str">
        <f>IF($D105&lt;&gt;"Feature",".",
IF(VLOOKUP($B105,Feature_List!$A:$AM,MATCH(CP$1,  Feature_List!$A$1:$AM$1,0),0)=AH105,".","NO"))</f>
        <v>.</v>
      </c>
      <c r="CQ105" s="136" t="str">
        <f>IF($D105&lt;&gt;"Feature",".",
IF(VLOOKUP($B105,Feature_List!$A:$AM,MATCH(CQ$1,  Feature_List!$A$1:$AM$1,0),0)=AI105,".","NO"))</f>
        <v>.</v>
      </c>
      <c r="CR105" s="136" t="str">
        <f>IF($D105&lt;&gt;"Feature",".",
IF(VLOOKUP($B105,Feature_List!$A:$AM,MATCH(CR$1,  Feature_List!$A$1:$AM$1,0),0)=AJ105,".","NO"))</f>
        <v>.</v>
      </c>
      <c r="CS105" s="136" t="str">
        <f>IF($D105&lt;&gt;"Feature",".",
IF(VLOOKUP($B105,Feature_List!$A:$AM,MATCH(CS$1,  Feature_List!$A$1:$AM$1,0),0)=AK105,".","NO"))</f>
        <v>.</v>
      </c>
      <c r="CT105" s="136" t="str">
        <f>IF($D105&lt;&gt;"Feature",".",
IF(VLOOKUP($B105,Feature_List!$A:$AM,MATCH(CT$1,  Feature_List!$A$1:$AM$1,0),0)=AL105,".","NO"))</f>
        <v>.</v>
      </c>
      <c r="CU105" s="136" t="str">
        <f>IF($D105&lt;&gt;"Feature",".",
IF(VLOOKUP($B105,Feature_List!$A:$AM,MATCH(CU$1,  Feature_List!$A$1:$AM$1,0),0)=AM105,".","NO"))</f>
        <v>.</v>
      </c>
      <c r="CV105" s="136" t="str">
        <f>IF($D105&lt;&gt;"Feature",".",
IF(VLOOKUP($B105,Feature_List!$A:$AM,MATCH(CV$1,  Feature_List!$A$1:$AM$1,0),0)=AN105,".","NO"))</f>
        <v>.</v>
      </c>
      <c r="CW105" s="136" t="str">
        <f>IF($D105&lt;&gt;"Feature",".",
IF(VLOOKUP($B105,Feature_List!$A:$AM,MATCH(CW$1,  Feature_List!$A$1:$AM$1,0),0)=AO105,".","NO"))</f>
        <v>.</v>
      </c>
      <c r="CX105" s="136" t="str">
        <f>IF($D105&lt;&gt;"Feature",".",
IF(VLOOKUP($B105,Feature_List!$A:$AM,MATCH(CX$1,  Feature_List!$A$1:$AM$1,0),0)=AP105,".","NO"))</f>
        <v>.</v>
      </c>
      <c r="CY105" s="136" t="str">
        <f>IF($D105&lt;&gt;"Feature",".",
IF(VLOOKUP($B105,Feature_List!$A:$AM,MATCH(CY$1,  Feature_List!$A$1:$AM$1,0),0)=AQ105,".","NO"))</f>
        <v>.</v>
      </c>
      <c r="CZ105" s="136" t="str">
        <f>IF($D105&lt;&gt;"Feature",".",
IF(VLOOKUP($B105,Feature_List!$A:$AM,MATCH(CZ$1,  Feature_List!$A$1:$AM$1,0),0)=AR105,".","NO"))</f>
        <v>.</v>
      </c>
      <c r="DA105" s="136" t="str">
        <f>IF($D105&lt;&gt;"Feature",".",
IF(VLOOKUP($B105,Feature_List!$A:$AM,MATCH(DA$1,  Feature_List!$A$1:$AM$1,0),0)=AS105,".","NO"))</f>
        <v>.</v>
      </c>
      <c r="DB105" s="136" t="str">
        <f>IF($D105&lt;&gt;"Feature",".",
IF(VLOOKUP($B105,Feature_List!$A:$AM,MATCH(DB$1,  Feature_List!$A$1:$AM$1,0),0)=AT105,".","NO"))</f>
        <v>.</v>
      </c>
      <c r="DC105" s="136" t="str">
        <f>IF($D105&lt;&gt;"Feature",".",
IF(VLOOKUP($B105,Feature_List!$A:$AM,MATCH(DC$1,  Feature_List!$A$1:$AM$1,0),0)=AU105,".","NO"))</f>
        <v>.</v>
      </c>
      <c r="DD105" s="136" t="str">
        <f>IF($D105&lt;&gt;"Feature",".",
IF(VLOOKUP($B105,Feature_List!$A:$AM,MATCH(DD$1,  Feature_List!$A$1:$AM$1,0),0)=AV105,".","NO"))</f>
        <v>.</v>
      </c>
      <c r="DE105" s="136" t="str">
        <f>IF($D105&lt;&gt;"Feature",".",
IF(VLOOKUP($B105,Feature_List!$A:$AM,MATCH(DE$1,  Feature_List!$A$1:$AM$1,0),0)=AW105,".","NO"))</f>
        <v>.</v>
      </c>
      <c r="DF105" s="136" t="str">
        <f>IF($D105&lt;&gt;"Feature",".",
IF(VLOOKUP($B105,Feature_List!$A:$AM,MATCH(DF$1,  Feature_List!$A$1:$AM$1,0),0)=AX105,".","NO"))</f>
        <v>.</v>
      </c>
      <c r="DG105" s="136" t="str">
        <f>IF($D105&lt;&gt;"Feature",".",
IF(VLOOKUP($B105,Feature_List!$A:$AM,MATCH(DG$1,  Feature_List!$A$1:$AM$1,0),0)=AY105,".","NO"))</f>
        <v>.</v>
      </c>
      <c r="DH105" s="136" t="str">
        <f>IF($D105&lt;&gt;"Feature",".",
IF(VLOOKUP($B105,Feature_List!$A:$AM,MATCH(DH$1,  Feature_List!$A$1:$AM$1,0),0)=AZ105,".","NO"))</f>
        <v>.</v>
      </c>
      <c r="DI105" s="136" t="str">
        <f>IF($D105&lt;&gt;"Feature",".",
IF(VLOOKUP($B105,Feature_List!$A:$AM,MATCH(DI$1,  Feature_List!$A$1:$AM$1,0),0)=BA105,".","NO"))</f>
        <v>.</v>
      </c>
      <c r="DJ105" s="136" t="str">
        <f>IF($D105&lt;&gt;"Feature",".",
IF(VLOOKUP($B105,Feature_List!$A:$AM,MATCH(DJ$1,  Feature_List!$A$1:$AM$1,0),0)=BB105,".","NO"))</f>
        <v>.</v>
      </c>
      <c r="DK105" s="136"/>
      <c r="DL105" s="136"/>
      <c r="DM105" s="136"/>
      <c r="DN105" s="136" t="str">
        <f>IF($D105&lt;&gt;"Feature",".",
IF(VLOOKUP($B105,Feature_List!$A:$AM,MATCH(DN$1,  Feature_List!$A$1:$AM$1,0),0)=BC105,".","NO"))</f>
        <v>.</v>
      </c>
      <c r="DO105" s="136" t="str">
        <f>IF($D105&lt;&gt;"Feature",".",
IF(VLOOKUP($B105,Feature_List!$A:$AM,MATCH(DO$1,  Feature_List!$A$1:$AM$1,0),0)=BD105,".","NO"))</f>
        <v>.</v>
      </c>
    </row>
    <row r="106" spans="2:119" x14ac:dyDescent="0.3">
      <c r="B106" s="121"/>
      <c r="C106" s="122"/>
      <c r="D106" s="122"/>
      <c r="E106" s="122"/>
      <c r="F106" s="138"/>
      <c r="G106" s="123"/>
      <c r="H106" s="122"/>
      <c r="I106" s="124"/>
      <c r="J106" s="138"/>
      <c r="K106" s="123"/>
      <c r="L106" s="122"/>
      <c r="M106" s="122"/>
      <c r="N106" s="125"/>
      <c r="O106" s="123">
        <f t="shared" si="38"/>
        <v>0</v>
      </c>
      <c r="P106" s="123">
        <f t="shared" si="39"/>
        <v>0</v>
      </c>
      <c r="Q106" s="122" t="str">
        <f t="shared" si="61"/>
        <v>ZeroEntry</v>
      </c>
      <c r="R106" s="126" t="str">
        <f t="shared" si="40"/>
        <v>ZeroEntry</v>
      </c>
      <c r="S106" s="127" t="str">
        <f t="shared" si="41"/>
        <v>ZeroEntry</v>
      </c>
      <c r="T106" s="128" t="str">
        <f>IF($Q106="ZeroEntry", "",VLOOKUP($I106,'Ranking Lookup'!#REF!,2,FALSE))</f>
        <v/>
      </c>
      <c r="U106" s="129" t="str">
        <f t="shared" si="42"/>
        <v/>
      </c>
      <c r="V106" s="129" t="str">
        <f t="shared" si="43"/>
        <v/>
      </c>
      <c r="W106" s="129" t="str">
        <f t="shared" si="44"/>
        <v/>
      </c>
      <c r="X106" s="129" t="str">
        <f t="shared" si="45"/>
        <v/>
      </c>
      <c r="Y106" s="129" t="str">
        <f t="shared" si="46"/>
        <v/>
      </c>
      <c r="Z106" s="129" t="str">
        <f t="shared" si="47"/>
        <v/>
      </c>
      <c r="AA106" s="130"/>
      <c r="AB106" s="130" t="str">
        <f t="shared" si="48"/>
        <v>Unassigned</v>
      </c>
      <c r="AC106" s="131" t="str">
        <f t="shared" si="62"/>
        <v/>
      </c>
      <c r="AD106" s="131" t="str">
        <f t="shared" si="63"/>
        <v/>
      </c>
      <c r="AE106" s="132">
        <f t="shared" si="49"/>
        <v>0</v>
      </c>
      <c r="AF106" s="133" t="str">
        <f t="shared" si="64"/>
        <v/>
      </c>
      <c r="AG106" s="134">
        <f t="shared" si="50"/>
        <v>0</v>
      </c>
      <c r="AH106" s="54" t="str">
        <f t="shared" si="51"/>
        <v/>
      </c>
      <c r="AI106" s="54" t="str">
        <f t="shared" si="69"/>
        <v/>
      </c>
      <c r="AJ106" s="54" t="str">
        <f t="shared" si="69"/>
        <v/>
      </c>
      <c r="AK106" s="54" t="str">
        <f t="shared" si="69"/>
        <v/>
      </c>
      <c r="AL106" s="54" t="str">
        <f t="shared" si="69"/>
        <v/>
      </c>
      <c r="AM106" s="54" t="str">
        <f t="shared" si="69"/>
        <v/>
      </c>
      <c r="AN106" s="54" t="str">
        <f t="shared" si="69"/>
        <v/>
      </c>
      <c r="AO106" s="54" t="str">
        <f t="shared" si="69"/>
        <v/>
      </c>
      <c r="AP106" s="54" t="str">
        <f t="shared" si="69"/>
        <v/>
      </c>
      <c r="AQ106" s="54" t="str">
        <f t="shared" si="69"/>
        <v/>
      </c>
      <c r="AR106" s="54" t="str">
        <f t="shared" si="69"/>
        <v/>
      </c>
      <c r="AS106" s="54" t="str">
        <f t="shared" si="69"/>
        <v/>
      </c>
      <c r="AT106" s="54" t="str">
        <f t="shared" si="69"/>
        <v/>
      </c>
      <c r="AU106" s="54" t="str">
        <f t="shared" si="69"/>
        <v/>
      </c>
      <c r="AV106" s="54" t="str">
        <f t="shared" si="69"/>
        <v/>
      </c>
      <c r="AW106" s="54" t="str">
        <f t="shared" si="69"/>
        <v/>
      </c>
      <c r="AX106" s="54" t="str">
        <f t="shared" si="69"/>
        <v/>
      </c>
      <c r="AY106" s="54" t="str">
        <f t="shared" si="53"/>
        <v/>
      </c>
      <c r="AZ106" s="54" t="str">
        <f t="shared" si="54"/>
        <v/>
      </c>
      <c r="BA106" s="54" t="str">
        <f t="shared" si="55"/>
        <v/>
      </c>
      <c r="BB106" s="135" t="str">
        <f t="shared" si="56"/>
        <v/>
      </c>
      <c r="BC106" s="54" t="str">
        <f t="shared" si="70"/>
        <v/>
      </c>
      <c r="BD106" s="54" t="str">
        <f t="shared" si="70"/>
        <v/>
      </c>
      <c r="BE106" s="54" t="str">
        <f t="shared" si="70"/>
        <v/>
      </c>
      <c r="BF106" s="54" t="str">
        <f t="shared" si="57"/>
        <v/>
      </c>
      <c r="BG106" s="54" t="str">
        <f t="shared" si="58"/>
        <v/>
      </c>
      <c r="BH106" s="34" t="str">
        <f t="shared" si="59"/>
        <v>Bad</v>
      </c>
      <c r="BI106" s="34" t="str">
        <f t="shared" si="60"/>
        <v>No</v>
      </c>
      <c r="BJ106" s="136" t="str">
        <f>IF($D106&lt;&gt;"Feature",".",
IF(VLOOKUP($B106,Feature_List!$A:$AM,MATCH(BJ$1,  Feature_List!$A$1:$AM$1,0),0)=B106,".","NO"))</f>
        <v>.</v>
      </c>
      <c r="BK106" s="136"/>
      <c r="BL106" s="136"/>
      <c r="BM106" s="136" t="str">
        <f>IF($D106&lt;&gt;"Feature",".",
IF(VLOOKUP($B106,Feature_List!$A:$AM,MATCH(BM$1,  Feature_List!$A$1:$AM$1,0),0)=E106,".","NO"))</f>
        <v>.</v>
      </c>
      <c r="BN106" s="136" t="str">
        <f>IF($D106&lt;&gt;"Feature",".",
IF(VLOOKUP($B106,Feature_List!$A:$AM,MATCH(BN$1,  Feature_List!$A$1:$AM$1,0),0)=F106,".","NO"))</f>
        <v>.</v>
      </c>
      <c r="BO106" s="136" t="str">
        <f>IF($D106&lt;&gt;"Feature",".",
IF(VLOOKUP($B106,Feature_List!$A:$AM,MATCH(BO$1,  Feature_List!$A$1:$AM$1,0),0)=G106,".","NO"))</f>
        <v>.</v>
      </c>
      <c r="BP106" s="136" t="str">
        <f>IF($D106&lt;&gt;"Feature",".",
IF(VLOOKUP($B106,Feature_List!$A:$AM,MATCH(BP$1,  Feature_List!$A$1:$AM$1,0),0)=H106,".","NO"))</f>
        <v>.</v>
      </c>
      <c r="BQ106" s="136"/>
      <c r="BR106" s="136" t="str">
        <f>IF($D106&lt;&gt;"Feature",".",
IF(VLOOKUP($B106,Feature_List!$A:$AM,MATCH(BR$1,  Feature_List!$A$1:$AM$1,0),0)=J106,".","NO"))</f>
        <v>.</v>
      </c>
      <c r="BS106" s="136"/>
      <c r="BT106" s="136"/>
      <c r="BU106" s="136" t="str">
        <f>IF($D106&lt;&gt;"Feature",".",
IF(VLOOKUP($B106,Feature_List!$A:$AM,MATCH(BU$1,  Feature_List!$A$1:$AM$1,0),0)=M106,".","NO"))</f>
        <v>.</v>
      </c>
      <c r="BV106" s="136" t="str">
        <f>IF($D106&lt;&gt;"Feature",".",
IF(VLOOKUP($B106,Feature_List!$A:$AM,MATCH(BV$1,  Feature_List!$A$1:$AM$1,0),0)=N106,".","NO"))</f>
        <v>.</v>
      </c>
      <c r="BW106" s="136"/>
      <c r="BX106" s="136"/>
      <c r="BY106" s="136"/>
      <c r="BZ106" s="136"/>
      <c r="CA106" s="136"/>
      <c r="CB106" s="136" t="str">
        <f>IF($D106&lt;&gt;"Feature",".",
IF(VLOOKUP($B106,Feature_List!$A:$AM,MATCH(CB$1,  Feature_List!$A$1:$AM$1,0),0)=T106,".","NO"))</f>
        <v>.</v>
      </c>
      <c r="CC106" s="136"/>
      <c r="CD106" s="136"/>
      <c r="CE106" s="136"/>
      <c r="CF106" s="136"/>
      <c r="CG106" s="136"/>
      <c r="CH106" s="136"/>
      <c r="CI106" s="136"/>
      <c r="CJ106" s="136"/>
      <c r="CK106" s="136"/>
      <c r="CL106" s="136"/>
      <c r="CM106" s="136"/>
      <c r="CN106" s="136"/>
      <c r="CO106" s="136" t="str">
        <f>IF($D106&lt;&gt;"Feature",".",
IF(VLOOKUP($B106,Feature_List!$A:$AM,MATCH(CO$1,  Feature_List!$A$1:$AM$1,0),0)=AG106,".","NO"))</f>
        <v>.</v>
      </c>
      <c r="CP106" s="136" t="str">
        <f>IF($D106&lt;&gt;"Feature",".",
IF(VLOOKUP($B106,Feature_List!$A:$AM,MATCH(CP$1,  Feature_List!$A$1:$AM$1,0),0)=AH106,".","NO"))</f>
        <v>.</v>
      </c>
      <c r="CQ106" s="136" t="str">
        <f>IF($D106&lt;&gt;"Feature",".",
IF(VLOOKUP($B106,Feature_List!$A:$AM,MATCH(CQ$1,  Feature_List!$A$1:$AM$1,0),0)=AI106,".","NO"))</f>
        <v>.</v>
      </c>
      <c r="CR106" s="136" t="str">
        <f>IF($D106&lt;&gt;"Feature",".",
IF(VLOOKUP($B106,Feature_List!$A:$AM,MATCH(CR$1,  Feature_List!$A$1:$AM$1,0),0)=AJ106,".","NO"))</f>
        <v>.</v>
      </c>
      <c r="CS106" s="136" t="str">
        <f>IF($D106&lt;&gt;"Feature",".",
IF(VLOOKUP($B106,Feature_List!$A:$AM,MATCH(CS$1,  Feature_List!$A$1:$AM$1,0),0)=AK106,".","NO"))</f>
        <v>.</v>
      </c>
      <c r="CT106" s="136" t="str">
        <f>IF($D106&lt;&gt;"Feature",".",
IF(VLOOKUP($B106,Feature_List!$A:$AM,MATCH(CT$1,  Feature_List!$A$1:$AM$1,0),0)=AL106,".","NO"))</f>
        <v>.</v>
      </c>
      <c r="CU106" s="136" t="str">
        <f>IF($D106&lt;&gt;"Feature",".",
IF(VLOOKUP($B106,Feature_List!$A:$AM,MATCH(CU$1,  Feature_List!$A$1:$AM$1,0),0)=AM106,".","NO"))</f>
        <v>.</v>
      </c>
      <c r="CV106" s="136" t="str">
        <f>IF($D106&lt;&gt;"Feature",".",
IF(VLOOKUP($B106,Feature_List!$A:$AM,MATCH(CV$1,  Feature_List!$A$1:$AM$1,0),0)=AN106,".","NO"))</f>
        <v>.</v>
      </c>
      <c r="CW106" s="136" t="str">
        <f>IF($D106&lt;&gt;"Feature",".",
IF(VLOOKUP($B106,Feature_List!$A:$AM,MATCH(CW$1,  Feature_List!$A$1:$AM$1,0),0)=AO106,".","NO"))</f>
        <v>.</v>
      </c>
      <c r="CX106" s="136" t="str">
        <f>IF($D106&lt;&gt;"Feature",".",
IF(VLOOKUP($B106,Feature_List!$A:$AM,MATCH(CX$1,  Feature_List!$A$1:$AM$1,0),0)=AP106,".","NO"))</f>
        <v>.</v>
      </c>
      <c r="CY106" s="136" t="str">
        <f>IF($D106&lt;&gt;"Feature",".",
IF(VLOOKUP($B106,Feature_List!$A:$AM,MATCH(CY$1,  Feature_List!$A$1:$AM$1,0),0)=AQ106,".","NO"))</f>
        <v>.</v>
      </c>
      <c r="CZ106" s="136" t="str">
        <f>IF($D106&lt;&gt;"Feature",".",
IF(VLOOKUP($B106,Feature_List!$A:$AM,MATCH(CZ$1,  Feature_List!$A$1:$AM$1,0),0)=AR106,".","NO"))</f>
        <v>.</v>
      </c>
      <c r="DA106" s="136" t="str">
        <f>IF($D106&lt;&gt;"Feature",".",
IF(VLOOKUP($B106,Feature_List!$A:$AM,MATCH(DA$1,  Feature_List!$A$1:$AM$1,0),0)=AS106,".","NO"))</f>
        <v>.</v>
      </c>
      <c r="DB106" s="136" t="str">
        <f>IF($D106&lt;&gt;"Feature",".",
IF(VLOOKUP($B106,Feature_List!$A:$AM,MATCH(DB$1,  Feature_List!$A$1:$AM$1,0),0)=AT106,".","NO"))</f>
        <v>.</v>
      </c>
      <c r="DC106" s="136" t="str">
        <f>IF($D106&lt;&gt;"Feature",".",
IF(VLOOKUP($B106,Feature_List!$A:$AM,MATCH(DC$1,  Feature_List!$A$1:$AM$1,0),0)=AU106,".","NO"))</f>
        <v>.</v>
      </c>
      <c r="DD106" s="136" t="str">
        <f>IF($D106&lt;&gt;"Feature",".",
IF(VLOOKUP($B106,Feature_List!$A:$AM,MATCH(DD$1,  Feature_List!$A$1:$AM$1,0),0)=AV106,".","NO"))</f>
        <v>.</v>
      </c>
      <c r="DE106" s="136" t="str">
        <f>IF($D106&lt;&gt;"Feature",".",
IF(VLOOKUP($B106,Feature_List!$A:$AM,MATCH(DE$1,  Feature_List!$A$1:$AM$1,0),0)=AW106,".","NO"))</f>
        <v>.</v>
      </c>
      <c r="DF106" s="136" t="str">
        <f>IF($D106&lt;&gt;"Feature",".",
IF(VLOOKUP($B106,Feature_List!$A:$AM,MATCH(DF$1,  Feature_List!$A$1:$AM$1,0),0)=AX106,".","NO"))</f>
        <v>.</v>
      </c>
      <c r="DG106" s="136" t="str">
        <f>IF($D106&lt;&gt;"Feature",".",
IF(VLOOKUP($B106,Feature_List!$A:$AM,MATCH(DG$1,  Feature_List!$A$1:$AM$1,0),0)=AY106,".","NO"))</f>
        <v>.</v>
      </c>
      <c r="DH106" s="136" t="str">
        <f>IF($D106&lt;&gt;"Feature",".",
IF(VLOOKUP($B106,Feature_List!$A:$AM,MATCH(DH$1,  Feature_List!$A$1:$AM$1,0),0)=AZ106,".","NO"))</f>
        <v>.</v>
      </c>
      <c r="DI106" s="136" t="str">
        <f>IF($D106&lt;&gt;"Feature",".",
IF(VLOOKUP($B106,Feature_List!$A:$AM,MATCH(DI$1,  Feature_List!$A$1:$AM$1,0),0)=BA106,".","NO"))</f>
        <v>.</v>
      </c>
      <c r="DJ106" s="136" t="str">
        <f>IF($D106&lt;&gt;"Feature",".",
IF(VLOOKUP($B106,Feature_List!$A:$AM,MATCH(DJ$1,  Feature_List!$A$1:$AM$1,0),0)=BB106,".","NO"))</f>
        <v>.</v>
      </c>
      <c r="DK106" s="136"/>
      <c r="DL106" s="136"/>
      <c r="DM106" s="136"/>
      <c r="DN106" s="136" t="str">
        <f>IF($D106&lt;&gt;"Feature",".",
IF(VLOOKUP($B106,Feature_List!$A:$AM,MATCH(DN$1,  Feature_List!$A$1:$AM$1,0),0)=BC106,".","NO"))</f>
        <v>.</v>
      </c>
      <c r="DO106" s="136" t="str">
        <f>IF($D106&lt;&gt;"Feature",".",
IF(VLOOKUP($B106,Feature_List!$A:$AM,MATCH(DO$1,  Feature_List!$A$1:$AM$1,0),0)=BD106,".","NO"))</f>
        <v>.</v>
      </c>
    </row>
    <row r="107" spans="2:119" x14ac:dyDescent="0.3">
      <c r="B107" s="121"/>
      <c r="C107" s="122"/>
      <c r="D107" s="122"/>
      <c r="E107" s="122"/>
      <c r="F107" s="138"/>
      <c r="G107" s="123"/>
      <c r="H107" s="122"/>
      <c r="I107" s="124"/>
      <c r="J107" s="138"/>
      <c r="K107" s="123"/>
      <c r="L107" s="122"/>
      <c r="M107" s="122"/>
      <c r="N107" s="125"/>
      <c r="O107" s="123">
        <f t="shared" si="38"/>
        <v>0</v>
      </c>
      <c r="P107" s="123">
        <f t="shared" si="39"/>
        <v>0</v>
      </c>
      <c r="Q107" s="122" t="str">
        <f t="shared" si="61"/>
        <v>ZeroEntry</v>
      </c>
      <c r="R107" s="126" t="str">
        <f t="shared" si="40"/>
        <v>ZeroEntry</v>
      </c>
      <c r="S107" s="127" t="str">
        <f t="shared" si="41"/>
        <v>ZeroEntry</v>
      </c>
      <c r="T107" s="128" t="str">
        <f>IF($Q107="ZeroEntry", "",VLOOKUP($I107,'Ranking Lookup'!#REF!,2,FALSE))</f>
        <v/>
      </c>
      <c r="U107" s="129" t="str">
        <f t="shared" si="42"/>
        <v/>
      </c>
      <c r="V107" s="129" t="str">
        <f t="shared" si="43"/>
        <v/>
      </c>
      <c r="W107" s="129" t="str">
        <f t="shared" si="44"/>
        <v/>
      </c>
      <c r="X107" s="129" t="str">
        <f t="shared" si="45"/>
        <v/>
      </c>
      <c r="Y107" s="129" t="str">
        <f t="shared" si="46"/>
        <v/>
      </c>
      <c r="Z107" s="129" t="str">
        <f t="shared" si="47"/>
        <v/>
      </c>
      <c r="AA107" s="130"/>
      <c r="AB107" s="130" t="str">
        <f t="shared" si="48"/>
        <v>Unassigned</v>
      </c>
      <c r="AC107" s="131" t="str">
        <f t="shared" si="62"/>
        <v/>
      </c>
      <c r="AD107" s="131" t="str">
        <f t="shared" si="63"/>
        <v/>
      </c>
      <c r="AE107" s="132">
        <f t="shared" si="49"/>
        <v>0</v>
      </c>
      <c r="AF107" s="133" t="str">
        <f t="shared" si="64"/>
        <v/>
      </c>
      <c r="AG107" s="134">
        <f t="shared" si="50"/>
        <v>0</v>
      </c>
      <c r="AH107" s="54" t="str">
        <f t="shared" si="51"/>
        <v/>
      </c>
      <c r="AI107" s="54" t="str">
        <f t="shared" si="69"/>
        <v/>
      </c>
      <c r="AJ107" s="54" t="str">
        <f t="shared" si="69"/>
        <v/>
      </c>
      <c r="AK107" s="54" t="str">
        <f t="shared" si="69"/>
        <v/>
      </c>
      <c r="AL107" s="54" t="str">
        <f t="shared" si="69"/>
        <v/>
      </c>
      <c r="AM107" s="54" t="str">
        <f t="shared" si="69"/>
        <v/>
      </c>
      <c r="AN107" s="54" t="str">
        <f t="shared" si="69"/>
        <v/>
      </c>
      <c r="AO107" s="54" t="str">
        <f t="shared" si="69"/>
        <v/>
      </c>
      <c r="AP107" s="54" t="str">
        <f t="shared" si="69"/>
        <v/>
      </c>
      <c r="AQ107" s="54" t="str">
        <f t="shared" si="69"/>
        <v/>
      </c>
      <c r="AR107" s="54" t="str">
        <f t="shared" si="69"/>
        <v/>
      </c>
      <c r="AS107" s="54" t="str">
        <f t="shared" si="69"/>
        <v/>
      </c>
      <c r="AT107" s="54" t="str">
        <f t="shared" si="69"/>
        <v/>
      </c>
      <c r="AU107" s="54" t="str">
        <f t="shared" si="69"/>
        <v/>
      </c>
      <c r="AV107" s="54" t="str">
        <f t="shared" si="69"/>
        <v/>
      </c>
      <c r="AW107" s="54" t="str">
        <f t="shared" si="69"/>
        <v/>
      </c>
      <c r="AX107" s="54" t="str">
        <f t="shared" si="69"/>
        <v/>
      </c>
      <c r="AY107" s="54" t="str">
        <f t="shared" si="53"/>
        <v/>
      </c>
      <c r="AZ107" s="54" t="str">
        <f t="shared" si="54"/>
        <v/>
      </c>
      <c r="BA107" s="54" t="str">
        <f t="shared" si="55"/>
        <v/>
      </c>
      <c r="BB107" s="135" t="str">
        <f t="shared" si="56"/>
        <v/>
      </c>
      <c r="BC107" s="54" t="str">
        <f t="shared" si="70"/>
        <v/>
      </c>
      <c r="BD107" s="54" t="str">
        <f t="shared" si="70"/>
        <v/>
      </c>
      <c r="BE107" s="54" t="str">
        <f t="shared" si="70"/>
        <v/>
      </c>
      <c r="BF107" s="54" t="str">
        <f t="shared" si="57"/>
        <v/>
      </c>
      <c r="BG107" s="54" t="str">
        <f t="shared" si="58"/>
        <v/>
      </c>
      <c r="BH107" s="34" t="str">
        <f t="shared" si="59"/>
        <v>Bad</v>
      </c>
      <c r="BI107" s="34" t="str">
        <f t="shared" si="60"/>
        <v>No</v>
      </c>
      <c r="BJ107" s="136" t="str">
        <f>IF($D107&lt;&gt;"Feature",".",
IF(VLOOKUP($B107,Feature_List!$A:$AM,MATCH(BJ$1,  Feature_List!$A$1:$AM$1,0),0)=B107,".","NO"))</f>
        <v>.</v>
      </c>
      <c r="BK107" s="136"/>
      <c r="BL107" s="136"/>
      <c r="BM107" s="136" t="str">
        <f>IF($D107&lt;&gt;"Feature",".",
IF(VLOOKUP($B107,Feature_List!$A:$AM,MATCH(BM$1,  Feature_List!$A$1:$AM$1,0),0)=E107,".","NO"))</f>
        <v>.</v>
      </c>
      <c r="BN107" s="136" t="str">
        <f>IF($D107&lt;&gt;"Feature",".",
IF(VLOOKUP($B107,Feature_List!$A:$AM,MATCH(BN$1,  Feature_List!$A$1:$AM$1,0),0)=F107,".","NO"))</f>
        <v>.</v>
      </c>
      <c r="BO107" s="136" t="str">
        <f>IF($D107&lt;&gt;"Feature",".",
IF(VLOOKUP($B107,Feature_List!$A:$AM,MATCH(BO$1,  Feature_List!$A$1:$AM$1,0),0)=G107,".","NO"))</f>
        <v>.</v>
      </c>
      <c r="BP107" s="136" t="str">
        <f>IF($D107&lt;&gt;"Feature",".",
IF(VLOOKUP($B107,Feature_List!$A:$AM,MATCH(BP$1,  Feature_List!$A$1:$AM$1,0),0)=H107,".","NO"))</f>
        <v>.</v>
      </c>
      <c r="BQ107" s="136"/>
      <c r="BR107" s="136" t="str">
        <f>IF($D107&lt;&gt;"Feature",".",
IF(VLOOKUP($B107,Feature_List!$A:$AM,MATCH(BR$1,  Feature_List!$A$1:$AM$1,0),0)=J107,".","NO"))</f>
        <v>.</v>
      </c>
      <c r="BS107" s="136"/>
      <c r="BT107" s="136"/>
      <c r="BU107" s="136" t="str">
        <f>IF($D107&lt;&gt;"Feature",".",
IF(VLOOKUP($B107,Feature_List!$A:$AM,MATCH(BU$1,  Feature_List!$A$1:$AM$1,0),0)=M107,".","NO"))</f>
        <v>.</v>
      </c>
      <c r="BV107" s="136" t="str">
        <f>IF($D107&lt;&gt;"Feature",".",
IF(VLOOKUP($B107,Feature_List!$A:$AM,MATCH(BV$1,  Feature_List!$A$1:$AM$1,0),0)=N107,".","NO"))</f>
        <v>.</v>
      </c>
      <c r="BW107" s="136"/>
      <c r="BX107" s="136"/>
      <c r="BY107" s="136"/>
      <c r="BZ107" s="136"/>
      <c r="CA107" s="136"/>
      <c r="CB107" s="136" t="str">
        <f>IF($D107&lt;&gt;"Feature",".",
IF(VLOOKUP($B107,Feature_List!$A:$AM,MATCH(CB$1,  Feature_List!$A$1:$AM$1,0),0)=T107,".","NO"))</f>
        <v>.</v>
      </c>
      <c r="CC107" s="136"/>
      <c r="CD107" s="136"/>
      <c r="CE107" s="136"/>
      <c r="CF107" s="136"/>
      <c r="CG107" s="136"/>
      <c r="CH107" s="136"/>
      <c r="CI107" s="136"/>
      <c r="CJ107" s="136"/>
      <c r="CK107" s="136"/>
      <c r="CL107" s="136"/>
      <c r="CM107" s="136"/>
      <c r="CN107" s="136"/>
      <c r="CO107" s="136" t="str">
        <f>IF($D107&lt;&gt;"Feature",".",
IF(VLOOKUP($B107,Feature_List!$A:$AM,MATCH(CO$1,  Feature_List!$A$1:$AM$1,0),0)=AG107,".","NO"))</f>
        <v>.</v>
      </c>
      <c r="CP107" s="136" t="str">
        <f>IF($D107&lt;&gt;"Feature",".",
IF(VLOOKUP($B107,Feature_List!$A:$AM,MATCH(CP$1,  Feature_List!$A$1:$AM$1,0),0)=AH107,".","NO"))</f>
        <v>.</v>
      </c>
      <c r="CQ107" s="136" t="str">
        <f>IF($D107&lt;&gt;"Feature",".",
IF(VLOOKUP($B107,Feature_List!$A:$AM,MATCH(CQ$1,  Feature_List!$A$1:$AM$1,0),0)=AI107,".","NO"))</f>
        <v>.</v>
      </c>
      <c r="CR107" s="136" t="str">
        <f>IF($D107&lt;&gt;"Feature",".",
IF(VLOOKUP($B107,Feature_List!$A:$AM,MATCH(CR$1,  Feature_List!$A$1:$AM$1,0),0)=AJ107,".","NO"))</f>
        <v>.</v>
      </c>
      <c r="CS107" s="136" t="str">
        <f>IF($D107&lt;&gt;"Feature",".",
IF(VLOOKUP($B107,Feature_List!$A:$AM,MATCH(CS$1,  Feature_List!$A$1:$AM$1,0),0)=AK107,".","NO"))</f>
        <v>.</v>
      </c>
      <c r="CT107" s="136" t="str">
        <f>IF($D107&lt;&gt;"Feature",".",
IF(VLOOKUP($B107,Feature_List!$A:$AM,MATCH(CT$1,  Feature_List!$A$1:$AM$1,0),0)=AL107,".","NO"))</f>
        <v>.</v>
      </c>
      <c r="CU107" s="136" t="str">
        <f>IF($D107&lt;&gt;"Feature",".",
IF(VLOOKUP($B107,Feature_List!$A:$AM,MATCH(CU$1,  Feature_List!$A$1:$AM$1,0),0)=AM107,".","NO"))</f>
        <v>.</v>
      </c>
      <c r="CV107" s="136" t="str">
        <f>IF($D107&lt;&gt;"Feature",".",
IF(VLOOKUP($B107,Feature_List!$A:$AM,MATCH(CV$1,  Feature_List!$A$1:$AM$1,0),0)=AN107,".","NO"))</f>
        <v>.</v>
      </c>
      <c r="CW107" s="136" t="str">
        <f>IF($D107&lt;&gt;"Feature",".",
IF(VLOOKUP($B107,Feature_List!$A:$AM,MATCH(CW$1,  Feature_List!$A$1:$AM$1,0),0)=AO107,".","NO"))</f>
        <v>.</v>
      </c>
      <c r="CX107" s="136" t="str">
        <f>IF($D107&lt;&gt;"Feature",".",
IF(VLOOKUP($B107,Feature_List!$A:$AM,MATCH(CX$1,  Feature_List!$A$1:$AM$1,0),0)=AP107,".","NO"))</f>
        <v>.</v>
      </c>
      <c r="CY107" s="136" t="str">
        <f>IF($D107&lt;&gt;"Feature",".",
IF(VLOOKUP($B107,Feature_List!$A:$AM,MATCH(CY$1,  Feature_List!$A$1:$AM$1,0),0)=AQ107,".","NO"))</f>
        <v>.</v>
      </c>
      <c r="CZ107" s="136" t="str">
        <f>IF($D107&lt;&gt;"Feature",".",
IF(VLOOKUP($B107,Feature_List!$A:$AM,MATCH(CZ$1,  Feature_List!$A$1:$AM$1,0),0)=AR107,".","NO"))</f>
        <v>.</v>
      </c>
      <c r="DA107" s="136" t="str">
        <f>IF($D107&lt;&gt;"Feature",".",
IF(VLOOKUP($B107,Feature_List!$A:$AM,MATCH(DA$1,  Feature_List!$A$1:$AM$1,0),0)=AS107,".","NO"))</f>
        <v>.</v>
      </c>
      <c r="DB107" s="136" t="str">
        <f>IF($D107&lt;&gt;"Feature",".",
IF(VLOOKUP($B107,Feature_List!$A:$AM,MATCH(DB$1,  Feature_List!$A$1:$AM$1,0),0)=AT107,".","NO"))</f>
        <v>.</v>
      </c>
      <c r="DC107" s="136" t="str">
        <f>IF($D107&lt;&gt;"Feature",".",
IF(VLOOKUP($B107,Feature_List!$A:$AM,MATCH(DC$1,  Feature_List!$A$1:$AM$1,0),0)=AU107,".","NO"))</f>
        <v>.</v>
      </c>
      <c r="DD107" s="136" t="str">
        <f>IF($D107&lt;&gt;"Feature",".",
IF(VLOOKUP($B107,Feature_List!$A:$AM,MATCH(DD$1,  Feature_List!$A$1:$AM$1,0),0)=AV107,".","NO"))</f>
        <v>.</v>
      </c>
      <c r="DE107" s="136" t="str">
        <f>IF($D107&lt;&gt;"Feature",".",
IF(VLOOKUP($B107,Feature_List!$A:$AM,MATCH(DE$1,  Feature_List!$A$1:$AM$1,0),0)=AW107,".","NO"))</f>
        <v>.</v>
      </c>
      <c r="DF107" s="136" t="str">
        <f>IF($D107&lt;&gt;"Feature",".",
IF(VLOOKUP($B107,Feature_List!$A:$AM,MATCH(DF$1,  Feature_List!$A$1:$AM$1,0),0)=AX107,".","NO"))</f>
        <v>.</v>
      </c>
      <c r="DG107" s="136" t="str">
        <f>IF($D107&lt;&gt;"Feature",".",
IF(VLOOKUP($B107,Feature_List!$A:$AM,MATCH(DG$1,  Feature_List!$A$1:$AM$1,0),0)=AY107,".","NO"))</f>
        <v>.</v>
      </c>
      <c r="DH107" s="136" t="str">
        <f>IF($D107&lt;&gt;"Feature",".",
IF(VLOOKUP($B107,Feature_List!$A:$AM,MATCH(DH$1,  Feature_List!$A$1:$AM$1,0),0)=AZ107,".","NO"))</f>
        <v>.</v>
      </c>
      <c r="DI107" s="136" t="str">
        <f>IF($D107&lt;&gt;"Feature",".",
IF(VLOOKUP($B107,Feature_List!$A:$AM,MATCH(DI$1,  Feature_List!$A$1:$AM$1,0),0)=BA107,".","NO"))</f>
        <v>.</v>
      </c>
      <c r="DJ107" s="136" t="str">
        <f>IF($D107&lt;&gt;"Feature",".",
IF(VLOOKUP($B107,Feature_List!$A:$AM,MATCH(DJ$1,  Feature_List!$A$1:$AM$1,0),0)=BB107,".","NO"))</f>
        <v>.</v>
      </c>
      <c r="DK107" s="136"/>
      <c r="DL107" s="136"/>
      <c r="DM107" s="136"/>
      <c r="DN107" s="136" t="str">
        <f>IF($D107&lt;&gt;"Feature",".",
IF(VLOOKUP($B107,Feature_List!$A:$AM,MATCH(DN$1,  Feature_List!$A$1:$AM$1,0),0)=BC107,".","NO"))</f>
        <v>.</v>
      </c>
      <c r="DO107" s="136" t="str">
        <f>IF($D107&lt;&gt;"Feature",".",
IF(VLOOKUP($B107,Feature_List!$A:$AM,MATCH(DO$1,  Feature_List!$A$1:$AM$1,0),0)=BD107,".","NO"))</f>
        <v>.</v>
      </c>
    </row>
    <row r="108" spans="2:119" x14ac:dyDescent="0.3">
      <c r="B108" s="121"/>
      <c r="C108" s="122"/>
      <c r="D108" s="122"/>
      <c r="E108" s="122"/>
      <c r="F108" s="138"/>
      <c r="G108" s="123"/>
      <c r="H108" s="122"/>
      <c r="I108" s="124"/>
      <c r="J108" s="138"/>
      <c r="K108" s="123"/>
      <c r="L108" s="122"/>
      <c r="M108" s="122"/>
      <c r="N108" s="125"/>
      <c r="O108" s="123">
        <f t="shared" si="38"/>
        <v>0</v>
      </c>
      <c r="P108" s="123">
        <f t="shared" si="39"/>
        <v>0</v>
      </c>
      <c r="Q108" s="122" t="str">
        <f t="shared" si="61"/>
        <v>ZeroEntry</v>
      </c>
      <c r="R108" s="126" t="str">
        <f t="shared" si="40"/>
        <v>ZeroEntry</v>
      </c>
      <c r="S108" s="127" t="str">
        <f t="shared" si="41"/>
        <v>ZeroEntry</v>
      </c>
      <c r="T108" s="128" t="str">
        <f>IF($Q108="ZeroEntry", "",VLOOKUP($I108,'Ranking Lookup'!#REF!,2,FALSE))</f>
        <v/>
      </c>
      <c r="U108" s="129" t="str">
        <f t="shared" si="42"/>
        <v/>
      </c>
      <c r="V108" s="129" t="str">
        <f t="shared" si="43"/>
        <v/>
      </c>
      <c r="W108" s="129" t="str">
        <f t="shared" si="44"/>
        <v/>
      </c>
      <c r="X108" s="129" t="str">
        <f t="shared" si="45"/>
        <v/>
      </c>
      <c r="Y108" s="129" t="str">
        <f t="shared" si="46"/>
        <v/>
      </c>
      <c r="Z108" s="129" t="str">
        <f t="shared" si="47"/>
        <v/>
      </c>
      <c r="AA108" s="130"/>
      <c r="AB108" s="130" t="str">
        <f t="shared" si="48"/>
        <v>Unassigned</v>
      </c>
      <c r="AC108" s="131" t="str">
        <f t="shared" si="62"/>
        <v/>
      </c>
      <c r="AD108" s="131" t="str">
        <f t="shared" si="63"/>
        <v/>
      </c>
      <c r="AE108" s="132">
        <f t="shared" si="49"/>
        <v>0</v>
      </c>
      <c r="AF108" s="133" t="str">
        <f t="shared" si="64"/>
        <v/>
      </c>
      <c r="AG108" s="134">
        <f t="shared" si="50"/>
        <v>0</v>
      </c>
      <c r="AH108" s="54" t="str">
        <f t="shared" si="51"/>
        <v/>
      </c>
      <c r="AI108" s="54" t="str">
        <f t="shared" si="69"/>
        <v/>
      </c>
      <c r="AJ108" s="54" t="str">
        <f t="shared" si="69"/>
        <v/>
      </c>
      <c r="AK108" s="54" t="str">
        <f t="shared" si="69"/>
        <v/>
      </c>
      <c r="AL108" s="54" t="str">
        <f t="shared" si="69"/>
        <v/>
      </c>
      <c r="AM108" s="54" t="str">
        <f t="shared" si="69"/>
        <v/>
      </c>
      <c r="AN108" s="54" t="str">
        <f t="shared" si="69"/>
        <v/>
      </c>
      <c r="AO108" s="54" t="str">
        <f t="shared" si="69"/>
        <v/>
      </c>
      <c r="AP108" s="54" t="str">
        <f t="shared" si="69"/>
        <v/>
      </c>
      <c r="AQ108" s="54" t="str">
        <f t="shared" si="69"/>
        <v/>
      </c>
      <c r="AR108" s="54" t="str">
        <f t="shared" si="69"/>
        <v/>
      </c>
      <c r="AS108" s="54" t="str">
        <f t="shared" si="69"/>
        <v/>
      </c>
      <c r="AT108" s="54" t="str">
        <f t="shared" si="69"/>
        <v/>
      </c>
      <c r="AU108" s="54" t="str">
        <f t="shared" si="69"/>
        <v/>
      </c>
      <c r="AV108" s="54" t="str">
        <f t="shared" si="69"/>
        <v/>
      </c>
      <c r="AW108" s="54" t="str">
        <f t="shared" si="69"/>
        <v/>
      </c>
      <c r="AX108" s="54" t="str">
        <f t="shared" si="69"/>
        <v/>
      </c>
      <c r="AY108" s="54" t="str">
        <f t="shared" si="53"/>
        <v/>
      </c>
      <c r="AZ108" s="54" t="str">
        <f t="shared" si="54"/>
        <v/>
      </c>
      <c r="BA108" s="54" t="str">
        <f t="shared" si="55"/>
        <v/>
      </c>
      <c r="BB108" s="135" t="str">
        <f t="shared" si="56"/>
        <v/>
      </c>
      <c r="BC108" s="54" t="str">
        <f t="shared" si="70"/>
        <v/>
      </c>
      <c r="BD108" s="54" t="str">
        <f t="shared" si="70"/>
        <v/>
      </c>
      <c r="BE108" s="54" t="str">
        <f t="shared" si="70"/>
        <v/>
      </c>
      <c r="BF108" s="54" t="str">
        <f t="shared" si="57"/>
        <v/>
      </c>
      <c r="BG108" s="54" t="str">
        <f t="shared" si="58"/>
        <v/>
      </c>
      <c r="BH108" s="34" t="str">
        <f t="shared" si="59"/>
        <v>Bad</v>
      </c>
      <c r="BI108" s="34" t="str">
        <f t="shared" si="60"/>
        <v>No</v>
      </c>
      <c r="BJ108" s="136" t="str">
        <f>IF($D108&lt;&gt;"Feature",".",
IF(VLOOKUP($B108,Feature_List!$A:$AM,MATCH(BJ$1,  Feature_List!$A$1:$AM$1,0),0)=B108,".","NO"))</f>
        <v>.</v>
      </c>
      <c r="BK108" s="136"/>
      <c r="BL108" s="136"/>
      <c r="BM108" s="136" t="str">
        <f>IF($D108&lt;&gt;"Feature",".",
IF(VLOOKUP($B108,Feature_List!$A:$AM,MATCH(BM$1,  Feature_List!$A$1:$AM$1,0),0)=E108,".","NO"))</f>
        <v>.</v>
      </c>
      <c r="BN108" s="136" t="str">
        <f>IF($D108&lt;&gt;"Feature",".",
IF(VLOOKUP($B108,Feature_List!$A:$AM,MATCH(BN$1,  Feature_List!$A$1:$AM$1,0),0)=F108,".","NO"))</f>
        <v>.</v>
      </c>
      <c r="BO108" s="136" t="str">
        <f>IF($D108&lt;&gt;"Feature",".",
IF(VLOOKUP($B108,Feature_List!$A:$AM,MATCH(BO$1,  Feature_List!$A$1:$AM$1,0),0)=G108,".","NO"))</f>
        <v>.</v>
      </c>
      <c r="BP108" s="136" t="str">
        <f>IF($D108&lt;&gt;"Feature",".",
IF(VLOOKUP($B108,Feature_List!$A:$AM,MATCH(BP$1,  Feature_List!$A$1:$AM$1,0),0)=H108,".","NO"))</f>
        <v>.</v>
      </c>
      <c r="BQ108" s="136"/>
      <c r="BR108" s="136" t="str">
        <f>IF($D108&lt;&gt;"Feature",".",
IF(VLOOKUP($B108,Feature_List!$A:$AM,MATCH(BR$1,  Feature_List!$A$1:$AM$1,0),0)=J108,".","NO"))</f>
        <v>.</v>
      </c>
      <c r="BS108" s="136"/>
      <c r="BT108" s="136"/>
      <c r="BU108" s="136" t="str">
        <f>IF($D108&lt;&gt;"Feature",".",
IF(VLOOKUP($B108,Feature_List!$A:$AM,MATCH(BU$1,  Feature_List!$A$1:$AM$1,0),0)=M108,".","NO"))</f>
        <v>.</v>
      </c>
      <c r="BV108" s="136" t="str">
        <f>IF($D108&lt;&gt;"Feature",".",
IF(VLOOKUP($B108,Feature_List!$A:$AM,MATCH(BV$1,  Feature_List!$A$1:$AM$1,0),0)=N108,".","NO"))</f>
        <v>.</v>
      </c>
      <c r="BW108" s="136"/>
      <c r="BX108" s="136"/>
      <c r="BY108" s="136"/>
      <c r="BZ108" s="136"/>
      <c r="CA108" s="136"/>
      <c r="CB108" s="136" t="str">
        <f>IF($D108&lt;&gt;"Feature",".",
IF(VLOOKUP($B108,Feature_List!$A:$AM,MATCH(CB$1,  Feature_List!$A$1:$AM$1,0),0)=T108,".","NO"))</f>
        <v>.</v>
      </c>
      <c r="CC108" s="136"/>
      <c r="CD108" s="136"/>
      <c r="CE108" s="136"/>
      <c r="CF108" s="136"/>
      <c r="CG108" s="136"/>
      <c r="CH108" s="136"/>
      <c r="CI108" s="136"/>
      <c r="CJ108" s="136"/>
      <c r="CK108" s="136"/>
      <c r="CL108" s="136"/>
      <c r="CM108" s="136"/>
      <c r="CN108" s="136"/>
      <c r="CO108" s="136" t="str">
        <f>IF($D108&lt;&gt;"Feature",".",
IF(VLOOKUP($B108,Feature_List!$A:$AM,MATCH(CO$1,  Feature_List!$A$1:$AM$1,0),0)=AG108,".","NO"))</f>
        <v>.</v>
      </c>
      <c r="CP108" s="136" t="str">
        <f>IF($D108&lt;&gt;"Feature",".",
IF(VLOOKUP($B108,Feature_List!$A:$AM,MATCH(CP$1,  Feature_List!$A$1:$AM$1,0),0)=AH108,".","NO"))</f>
        <v>.</v>
      </c>
      <c r="CQ108" s="136" t="str">
        <f>IF($D108&lt;&gt;"Feature",".",
IF(VLOOKUP($B108,Feature_List!$A:$AM,MATCH(CQ$1,  Feature_List!$A$1:$AM$1,0),0)=AI108,".","NO"))</f>
        <v>.</v>
      </c>
      <c r="CR108" s="136" t="str">
        <f>IF($D108&lt;&gt;"Feature",".",
IF(VLOOKUP($B108,Feature_List!$A:$AM,MATCH(CR$1,  Feature_List!$A$1:$AM$1,0),0)=AJ108,".","NO"))</f>
        <v>.</v>
      </c>
      <c r="CS108" s="136" t="str">
        <f>IF($D108&lt;&gt;"Feature",".",
IF(VLOOKUP($B108,Feature_List!$A:$AM,MATCH(CS$1,  Feature_List!$A$1:$AM$1,0),0)=AK108,".","NO"))</f>
        <v>.</v>
      </c>
      <c r="CT108" s="136" t="str">
        <f>IF($D108&lt;&gt;"Feature",".",
IF(VLOOKUP($B108,Feature_List!$A:$AM,MATCH(CT$1,  Feature_List!$A$1:$AM$1,0),0)=AL108,".","NO"))</f>
        <v>.</v>
      </c>
      <c r="CU108" s="136" t="str">
        <f>IF($D108&lt;&gt;"Feature",".",
IF(VLOOKUP($B108,Feature_List!$A:$AM,MATCH(CU$1,  Feature_List!$A$1:$AM$1,0),0)=AM108,".","NO"))</f>
        <v>.</v>
      </c>
      <c r="CV108" s="136" t="str">
        <f>IF($D108&lt;&gt;"Feature",".",
IF(VLOOKUP($B108,Feature_List!$A:$AM,MATCH(CV$1,  Feature_List!$A$1:$AM$1,0),0)=AN108,".","NO"))</f>
        <v>.</v>
      </c>
      <c r="CW108" s="136" t="str">
        <f>IF($D108&lt;&gt;"Feature",".",
IF(VLOOKUP($B108,Feature_List!$A:$AM,MATCH(CW$1,  Feature_List!$A$1:$AM$1,0),0)=AO108,".","NO"))</f>
        <v>.</v>
      </c>
      <c r="CX108" s="136" t="str">
        <f>IF($D108&lt;&gt;"Feature",".",
IF(VLOOKUP($B108,Feature_List!$A:$AM,MATCH(CX$1,  Feature_List!$A$1:$AM$1,0),0)=AP108,".","NO"))</f>
        <v>.</v>
      </c>
      <c r="CY108" s="136" t="str">
        <f>IF($D108&lt;&gt;"Feature",".",
IF(VLOOKUP($B108,Feature_List!$A:$AM,MATCH(CY$1,  Feature_List!$A$1:$AM$1,0),0)=AQ108,".","NO"))</f>
        <v>.</v>
      </c>
      <c r="CZ108" s="136" t="str">
        <f>IF($D108&lt;&gt;"Feature",".",
IF(VLOOKUP($B108,Feature_List!$A:$AM,MATCH(CZ$1,  Feature_List!$A$1:$AM$1,0),0)=AR108,".","NO"))</f>
        <v>.</v>
      </c>
      <c r="DA108" s="136" t="str">
        <f>IF($D108&lt;&gt;"Feature",".",
IF(VLOOKUP($B108,Feature_List!$A:$AM,MATCH(DA$1,  Feature_List!$A$1:$AM$1,0),0)=AS108,".","NO"))</f>
        <v>.</v>
      </c>
      <c r="DB108" s="136" t="str">
        <f>IF($D108&lt;&gt;"Feature",".",
IF(VLOOKUP($B108,Feature_List!$A:$AM,MATCH(DB$1,  Feature_List!$A$1:$AM$1,0),0)=AT108,".","NO"))</f>
        <v>.</v>
      </c>
      <c r="DC108" s="136" t="str">
        <f>IF($D108&lt;&gt;"Feature",".",
IF(VLOOKUP($B108,Feature_List!$A:$AM,MATCH(DC$1,  Feature_List!$A$1:$AM$1,0),0)=AU108,".","NO"))</f>
        <v>.</v>
      </c>
      <c r="DD108" s="136" t="str">
        <f>IF($D108&lt;&gt;"Feature",".",
IF(VLOOKUP($B108,Feature_List!$A:$AM,MATCH(DD$1,  Feature_List!$A$1:$AM$1,0),0)=AV108,".","NO"))</f>
        <v>.</v>
      </c>
      <c r="DE108" s="136" t="str">
        <f>IF($D108&lt;&gt;"Feature",".",
IF(VLOOKUP($B108,Feature_List!$A:$AM,MATCH(DE$1,  Feature_List!$A$1:$AM$1,0),0)=AW108,".","NO"))</f>
        <v>.</v>
      </c>
      <c r="DF108" s="136" t="str">
        <f>IF($D108&lt;&gt;"Feature",".",
IF(VLOOKUP($B108,Feature_List!$A:$AM,MATCH(DF$1,  Feature_List!$A$1:$AM$1,0),0)=AX108,".","NO"))</f>
        <v>.</v>
      </c>
      <c r="DG108" s="136" t="str">
        <f>IF($D108&lt;&gt;"Feature",".",
IF(VLOOKUP($B108,Feature_List!$A:$AM,MATCH(DG$1,  Feature_List!$A$1:$AM$1,0),0)=AY108,".","NO"))</f>
        <v>.</v>
      </c>
      <c r="DH108" s="136" t="str">
        <f>IF($D108&lt;&gt;"Feature",".",
IF(VLOOKUP($B108,Feature_List!$A:$AM,MATCH(DH$1,  Feature_List!$A$1:$AM$1,0),0)=AZ108,".","NO"))</f>
        <v>.</v>
      </c>
      <c r="DI108" s="136" t="str">
        <f>IF($D108&lt;&gt;"Feature",".",
IF(VLOOKUP($B108,Feature_List!$A:$AM,MATCH(DI$1,  Feature_List!$A$1:$AM$1,0),0)=BA108,".","NO"))</f>
        <v>.</v>
      </c>
      <c r="DJ108" s="136" t="str">
        <f>IF($D108&lt;&gt;"Feature",".",
IF(VLOOKUP($B108,Feature_List!$A:$AM,MATCH(DJ$1,  Feature_List!$A$1:$AM$1,0),0)=BB108,".","NO"))</f>
        <v>.</v>
      </c>
      <c r="DK108" s="136"/>
      <c r="DL108" s="136"/>
      <c r="DM108" s="136"/>
      <c r="DN108" s="136" t="str">
        <f>IF($D108&lt;&gt;"Feature",".",
IF(VLOOKUP($B108,Feature_List!$A:$AM,MATCH(DN$1,  Feature_List!$A$1:$AM$1,0),0)=BC108,".","NO"))</f>
        <v>.</v>
      </c>
      <c r="DO108" s="136" t="str">
        <f>IF($D108&lt;&gt;"Feature",".",
IF(VLOOKUP($B108,Feature_List!$A:$AM,MATCH(DO$1,  Feature_List!$A$1:$AM$1,0),0)=BD108,".","NO"))</f>
        <v>.</v>
      </c>
    </row>
    <row r="109" spans="2:119" x14ac:dyDescent="0.3">
      <c r="B109" s="121"/>
      <c r="C109" s="122"/>
      <c r="D109" s="122"/>
      <c r="E109" s="122"/>
      <c r="F109" s="138"/>
      <c r="G109" s="123"/>
      <c r="H109" s="122"/>
      <c r="I109" s="124"/>
      <c r="J109" s="138"/>
      <c r="K109" s="123"/>
      <c r="L109" s="122"/>
      <c r="M109" s="122"/>
      <c r="N109" s="125"/>
      <c r="O109" s="123">
        <f t="shared" si="38"/>
        <v>0</v>
      </c>
      <c r="P109" s="123">
        <f t="shared" si="39"/>
        <v>0</v>
      </c>
      <c r="Q109" s="122" t="str">
        <f t="shared" si="61"/>
        <v>ZeroEntry</v>
      </c>
      <c r="R109" s="126" t="str">
        <f t="shared" si="40"/>
        <v>ZeroEntry</v>
      </c>
      <c r="S109" s="127" t="str">
        <f t="shared" si="41"/>
        <v>ZeroEntry</v>
      </c>
      <c r="T109" s="128" t="str">
        <f>IF($Q109="ZeroEntry", "",VLOOKUP($I109,'Ranking Lookup'!#REF!,2,FALSE))</f>
        <v/>
      </c>
      <c r="U109" s="129" t="str">
        <f t="shared" si="42"/>
        <v/>
      </c>
      <c r="V109" s="129" t="str">
        <f t="shared" si="43"/>
        <v/>
      </c>
      <c r="W109" s="129" t="str">
        <f t="shared" si="44"/>
        <v/>
      </c>
      <c r="X109" s="129" t="str">
        <f t="shared" si="45"/>
        <v/>
      </c>
      <c r="Y109" s="129" t="str">
        <f t="shared" si="46"/>
        <v/>
      </c>
      <c r="Z109" s="129" t="str">
        <f t="shared" si="47"/>
        <v/>
      </c>
      <c r="AA109" s="130"/>
      <c r="AB109" s="130" t="str">
        <f t="shared" si="48"/>
        <v>Unassigned</v>
      </c>
      <c r="AC109" s="131" t="str">
        <f t="shared" si="62"/>
        <v/>
      </c>
      <c r="AD109" s="131" t="str">
        <f t="shared" si="63"/>
        <v/>
      </c>
      <c r="AE109" s="132">
        <f t="shared" si="49"/>
        <v>0</v>
      </c>
      <c r="AF109" s="133" t="str">
        <f t="shared" si="64"/>
        <v/>
      </c>
      <c r="AG109" s="134">
        <f t="shared" si="50"/>
        <v>0</v>
      </c>
      <c r="AH109" s="54" t="str">
        <f t="shared" si="51"/>
        <v/>
      </c>
      <c r="AI109" s="54" t="str">
        <f t="shared" si="69"/>
        <v/>
      </c>
      <c r="AJ109" s="54" t="str">
        <f t="shared" si="69"/>
        <v/>
      </c>
      <c r="AK109" s="54" t="str">
        <f t="shared" si="69"/>
        <v/>
      </c>
      <c r="AL109" s="54" t="str">
        <f t="shared" si="69"/>
        <v/>
      </c>
      <c r="AM109" s="54" t="str">
        <f t="shared" si="69"/>
        <v/>
      </c>
      <c r="AN109" s="54" t="str">
        <f t="shared" si="69"/>
        <v/>
      </c>
      <c r="AO109" s="54" t="str">
        <f t="shared" si="69"/>
        <v/>
      </c>
      <c r="AP109" s="54" t="str">
        <f t="shared" si="69"/>
        <v/>
      </c>
      <c r="AQ109" s="54" t="str">
        <f t="shared" si="69"/>
        <v/>
      </c>
      <c r="AR109" s="54" t="str">
        <f t="shared" si="69"/>
        <v/>
      </c>
      <c r="AS109" s="54" t="str">
        <f t="shared" si="69"/>
        <v/>
      </c>
      <c r="AT109" s="54" t="str">
        <f t="shared" si="69"/>
        <v/>
      </c>
      <c r="AU109" s="54" t="str">
        <f t="shared" si="69"/>
        <v/>
      </c>
      <c r="AV109" s="54" t="str">
        <f t="shared" si="69"/>
        <v/>
      </c>
      <c r="AW109" s="54" t="str">
        <f t="shared" si="69"/>
        <v/>
      </c>
      <c r="AX109" s="54" t="str">
        <f t="shared" si="69"/>
        <v/>
      </c>
      <c r="AY109" s="54" t="str">
        <f t="shared" si="53"/>
        <v/>
      </c>
      <c r="AZ109" s="54" t="str">
        <f t="shared" si="54"/>
        <v/>
      </c>
      <c r="BA109" s="54" t="str">
        <f t="shared" si="55"/>
        <v/>
      </c>
      <c r="BB109" s="135" t="str">
        <f t="shared" si="56"/>
        <v/>
      </c>
      <c r="BC109" s="54" t="str">
        <f t="shared" si="70"/>
        <v/>
      </c>
      <c r="BD109" s="54" t="str">
        <f t="shared" si="70"/>
        <v/>
      </c>
      <c r="BE109" s="54" t="str">
        <f t="shared" si="70"/>
        <v/>
      </c>
      <c r="BF109" s="54" t="str">
        <f t="shared" si="57"/>
        <v/>
      </c>
      <c r="BG109" s="54" t="str">
        <f t="shared" si="58"/>
        <v/>
      </c>
      <c r="BH109" s="34" t="str">
        <f t="shared" si="59"/>
        <v>Bad</v>
      </c>
      <c r="BI109" s="34" t="str">
        <f t="shared" si="60"/>
        <v>No</v>
      </c>
      <c r="BJ109" s="136" t="str">
        <f>IF($D109&lt;&gt;"Feature",".",
IF(VLOOKUP($B109,Feature_List!$A:$AM,MATCH(BJ$1,  Feature_List!$A$1:$AM$1,0),0)=B109,".","NO"))</f>
        <v>.</v>
      </c>
      <c r="BK109" s="136"/>
      <c r="BL109" s="136"/>
      <c r="BM109" s="136" t="str">
        <f>IF($D109&lt;&gt;"Feature",".",
IF(VLOOKUP($B109,Feature_List!$A:$AM,MATCH(BM$1,  Feature_List!$A$1:$AM$1,0),0)=E109,".","NO"))</f>
        <v>.</v>
      </c>
      <c r="BN109" s="136" t="str">
        <f>IF($D109&lt;&gt;"Feature",".",
IF(VLOOKUP($B109,Feature_List!$A:$AM,MATCH(BN$1,  Feature_List!$A$1:$AM$1,0),0)=F109,".","NO"))</f>
        <v>.</v>
      </c>
      <c r="BO109" s="136" t="str">
        <f>IF($D109&lt;&gt;"Feature",".",
IF(VLOOKUP($B109,Feature_List!$A:$AM,MATCH(BO$1,  Feature_List!$A$1:$AM$1,0),0)=G109,".","NO"))</f>
        <v>.</v>
      </c>
      <c r="BP109" s="136" t="str">
        <f>IF($D109&lt;&gt;"Feature",".",
IF(VLOOKUP($B109,Feature_List!$A:$AM,MATCH(BP$1,  Feature_List!$A$1:$AM$1,0),0)=H109,".","NO"))</f>
        <v>.</v>
      </c>
      <c r="BQ109" s="136"/>
      <c r="BR109" s="136" t="str">
        <f>IF($D109&lt;&gt;"Feature",".",
IF(VLOOKUP($B109,Feature_List!$A:$AM,MATCH(BR$1,  Feature_List!$A$1:$AM$1,0),0)=J109,".","NO"))</f>
        <v>.</v>
      </c>
      <c r="BS109" s="136"/>
      <c r="BT109" s="136"/>
      <c r="BU109" s="136" t="str">
        <f>IF($D109&lt;&gt;"Feature",".",
IF(VLOOKUP($B109,Feature_List!$A:$AM,MATCH(BU$1,  Feature_List!$A$1:$AM$1,0),0)=M109,".","NO"))</f>
        <v>.</v>
      </c>
      <c r="BV109" s="136" t="str">
        <f>IF($D109&lt;&gt;"Feature",".",
IF(VLOOKUP($B109,Feature_List!$A:$AM,MATCH(BV$1,  Feature_List!$A$1:$AM$1,0),0)=N109,".","NO"))</f>
        <v>.</v>
      </c>
      <c r="BW109" s="136"/>
      <c r="BX109" s="136"/>
      <c r="BY109" s="136"/>
      <c r="BZ109" s="136"/>
      <c r="CA109" s="136"/>
      <c r="CB109" s="136" t="str">
        <f>IF($D109&lt;&gt;"Feature",".",
IF(VLOOKUP($B109,Feature_List!$A:$AM,MATCH(CB$1,  Feature_List!$A$1:$AM$1,0),0)=T109,".","NO"))</f>
        <v>.</v>
      </c>
      <c r="CC109" s="136"/>
      <c r="CD109" s="136"/>
      <c r="CE109" s="136"/>
      <c r="CF109" s="136"/>
      <c r="CG109" s="136"/>
      <c r="CH109" s="136"/>
      <c r="CI109" s="136"/>
      <c r="CJ109" s="136"/>
      <c r="CK109" s="136"/>
      <c r="CL109" s="136"/>
      <c r="CM109" s="136"/>
      <c r="CN109" s="136"/>
      <c r="CO109" s="136" t="str">
        <f>IF($D109&lt;&gt;"Feature",".",
IF(VLOOKUP($B109,Feature_List!$A:$AM,MATCH(CO$1,  Feature_List!$A$1:$AM$1,0),0)=AG109,".","NO"))</f>
        <v>.</v>
      </c>
      <c r="CP109" s="136" t="str">
        <f>IF($D109&lt;&gt;"Feature",".",
IF(VLOOKUP($B109,Feature_List!$A:$AM,MATCH(CP$1,  Feature_List!$A$1:$AM$1,0),0)=AH109,".","NO"))</f>
        <v>.</v>
      </c>
      <c r="CQ109" s="136" t="str">
        <f>IF($D109&lt;&gt;"Feature",".",
IF(VLOOKUP($B109,Feature_List!$A:$AM,MATCH(CQ$1,  Feature_List!$A$1:$AM$1,0),0)=AI109,".","NO"))</f>
        <v>.</v>
      </c>
      <c r="CR109" s="136" t="str">
        <f>IF($D109&lt;&gt;"Feature",".",
IF(VLOOKUP($B109,Feature_List!$A:$AM,MATCH(CR$1,  Feature_List!$A$1:$AM$1,0),0)=AJ109,".","NO"))</f>
        <v>.</v>
      </c>
      <c r="CS109" s="136" t="str">
        <f>IF($D109&lt;&gt;"Feature",".",
IF(VLOOKUP($B109,Feature_List!$A:$AM,MATCH(CS$1,  Feature_List!$A$1:$AM$1,0),0)=AK109,".","NO"))</f>
        <v>.</v>
      </c>
      <c r="CT109" s="136" t="str">
        <f>IF($D109&lt;&gt;"Feature",".",
IF(VLOOKUP($B109,Feature_List!$A:$AM,MATCH(CT$1,  Feature_List!$A$1:$AM$1,0),0)=AL109,".","NO"))</f>
        <v>.</v>
      </c>
      <c r="CU109" s="136" t="str">
        <f>IF($D109&lt;&gt;"Feature",".",
IF(VLOOKUP($B109,Feature_List!$A:$AM,MATCH(CU$1,  Feature_List!$A$1:$AM$1,0),0)=AM109,".","NO"))</f>
        <v>.</v>
      </c>
      <c r="CV109" s="136" t="str">
        <f>IF($D109&lt;&gt;"Feature",".",
IF(VLOOKUP($B109,Feature_List!$A:$AM,MATCH(CV$1,  Feature_List!$A$1:$AM$1,0),0)=AN109,".","NO"))</f>
        <v>.</v>
      </c>
      <c r="CW109" s="136" t="str">
        <f>IF($D109&lt;&gt;"Feature",".",
IF(VLOOKUP($B109,Feature_List!$A:$AM,MATCH(CW$1,  Feature_List!$A$1:$AM$1,0),0)=AO109,".","NO"))</f>
        <v>.</v>
      </c>
      <c r="CX109" s="136" t="str">
        <f>IF($D109&lt;&gt;"Feature",".",
IF(VLOOKUP($B109,Feature_List!$A:$AM,MATCH(CX$1,  Feature_List!$A$1:$AM$1,0),0)=AP109,".","NO"))</f>
        <v>.</v>
      </c>
      <c r="CY109" s="136" t="str">
        <f>IF($D109&lt;&gt;"Feature",".",
IF(VLOOKUP($B109,Feature_List!$A:$AM,MATCH(CY$1,  Feature_List!$A$1:$AM$1,0),0)=AQ109,".","NO"))</f>
        <v>.</v>
      </c>
      <c r="CZ109" s="136" t="str">
        <f>IF($D109&lt;&gt;"Feature",".",
IF(VLOOKUP($B109,Feature_List!$A:$AM,MATCH(CZ$1,  Feature_List!$A$1:$AM$1,0),0)=AR109,".","NO"))</f>
        <v>.</v>
      </c>
      <c r="DA109" s="136" t="str">
        <f>IF($D109&lt;&gt;"Feature",".",
IF(VLOOKUP($B109,Feature_List!$A:$AM,MATCH(DA$1,  Feature_List!$A$1:$AM$1,0),0)=AS109,".","NO"))</f>
        <v>.</v>
      </c>
      <c r="DB109" s="136" t="str">
        <f>IF($D109&lt;&gt;"Feature",".",
IF(VLOOKUP($B109,Feature_List!$A:$AM,MATCH(DB$1,  Feature_List!$A$1:$AM$1,0),0)=AT109,".","NO"))</f>
        <v>.</v>
      </c>
      <c r="DC109" s="136" t="str">
        <f>IF($D109&lt;&gt;"Feature",".",
IF(VLOOKUP($B109,Feature_List!$A:$AM,MATCH(DC$1,  Feature_List!$A$1:$AM$1,0),0)=AU109,".","NO"))</f>
        <v>.</v>
      </c>
      <c r="DD109" s="136" t="str">
        <f>IF($D109&lt;&gt;"Feature",".",
IF(VLOOKUP($B109,Feature_List!$A:$AM,MATCH(DD$1,  Feature_List!$A$1:$AM$1,0),0)=AV109,".","NO"))</f>
        <v>.</v>
      </c>
      <c r="DE109" s="136" t="str">
        <f>IF($D109&lt;&gt;"Feature",".",
IF(VLOOKUP($B109,Feature_List!$A:$AM,MATCH(DE$1,  Feature_List!$A$1:$AM$1,0),0)=AW109,".","NO"))</f>
        <v>.</v>
      </c>
      <c r="DF109" s="136" t="str">
        <f>IF($D109&lt;&gt;"Feature",".",
IF(VLOOKUP($B109,Feature_List!$A:$AM,MATCH(DF$1,  Feature_List!$A$1:$AM$1,0),0)=AX109,".","NO"))</f>
        <v>.</v>
      </c>
      <c r="DG109" s="136" t="str">
        <f>IF($D109&lt;&gt;"Feature",".",
IF(VLOOKUP($B109,Feature_List!$A:$AM,MATCH(DG$1,  Feature_List!$A$1:$AM$1,0),0)=AY109,".","NO"))</f>
        <v>.</v>
      </c>
      <c r="DH109" s="136" t="str">
        <f>IF($D109&lt;&gt;"Feature",".",
IF(VLOOKUP($B109,Feature_List!$A:$AM,MATCH(DH$1,  Feature_List!$A$1:$AM$1,0),0)=AZ109,".","NO"))</f>
        <v>.</v>
      </c>
      <c r="DI109" s="136" t="str">
        <f>IF($D109&lt;&gt;"Feature",".",
IF(VLOOKUP($B109,Feature_List!$A:$AM,MATCH(DI$1,  Feature_List!$A$1:$AM$1,0),0)=BA109,".","NO"))</f>
        <v>.</v>
      </c>
      <c r="DJ109" s="136" t="str">
        <f>IF($D109&lt;&gt;"Feature",".",
IF(VLOOKUP($B109,Feature_List!$A:$AM,MATCH(DJ$1,  Feature_List!$A$1:$AM$1,0),0)=BB109,".","NO"))</f>
        <v>.</v>
      </c>
      <c r="DK109" s="136"/>
      <c r="DL109" s="136"/>
      <c r="DM109" s="136"/>
      <c r="DN109" s="136" t="str">
        <f>IF($D109&lt;&gt;"Feature",".",
IF(VLOOKUP($B109,Feature_List!$A:$AM,MATCH(DN$1,  Feature_List!$A$1:$AM$1,0),0)=BC109,".","NO"))</f>
        <v>.</v>
      </c>
      <c r="DO109" s="136" t="str">
        <f>IF($D109&lt;&gt;"Feature",".",
IF(VLOOKUP($B109,Feature_List!$A:$AM,MATCH(DO$1,  Feature_List!$A$1:$AM$1,0),0)=BD109,".","NO"))</f>
        <v>.</v>
      </c>
    </row>
    <row r="110" spans="2:119" x14ac:dyDescent="0.3">
      <c r="B110" s="121"/>
      <c r="C110" s="123"/>
      <c r="D110" s="122"/>
      <c r="E110" s="122"/>
      <c r="F110" s="138"/>
      <c r="G110" s="123"/>
      <c r="H110" s="122"/>
      <c r="I110" s="124"/>
      <c r="J110" s="138"/>
      <c r="K110" s="123"/>
      <c r="L110" s="122"/>
      <c r="M110" s="122"/>
      <c r="N110" s="125"/>
      <c r="O110" s="123">
        <f t="shared" si="38"/>
        <v>0</v>
      </c>
      <c r="P110" s="123">
        <f t="shared" si="39"/>
        <v>0</v>
      </c>
      <c r="Q110" s="122" t="str">
        <f t="shared" si="61"/>
        <v>ZeroEntry</v>
      </c>
      <c r="R110" s="126" t="str">
        <f t="shared" si="40"/>
        <v>ZeroEntry</v>
      </c>
      <c r="S110" s="127" t="str">
        <f t="shared" si="41"/>
        <v>ZeroEntry</v>
      </c>
      <c r="T110" s="128" t="str">
        <f>IF($Q110="ZeroEntry", "",VLOOKUP($I110,'Ranking Lookup'!#REF!,2,FALSE))</f>
        <v/>
      </c>
      <c r="U110" s="129" t="str">
        <f t="shared" si="42"/>
        <v/>
      </c>
      <c r="V110" s="129" t="str">
        <f t="shared" si="43"/>
        <v/>
      </c>
      <c r="W110" s="129" t="str">
        <f t="shared" si="44"/>
        <v/>
      </c>
      <c r="X110" s="129" t="str">
        <f t="shared" si="45"/>
        <v/>
      </c>
      <c r="Y110" s="129" t="str">
        <f t="shared" si="46"/>
        <v/>
      </c>
      <c r="Z110" s="129" t="str">
        <f t="shared" si="47"/>
        <v/>
      </c>
      <c r="AA110" s="130"/>
      <c r="AB110" s="130" t="str">
        <f t="shared" si="48"/>
        <v>Unassigned</v>
      </c>
      <c r="AC110" s="131" t="str">
        <f t="shared" si="62"/>
        <v/>
      </c>
      <c r="AD110" s="131" t="str">
        <f t="shared" si="63"/>
        <v/>
      </c>
      <c r="AE110" s="132">
        <f t="shared" si="49"/>
        <v>0</v>
      </c>
      <c r="AF110" s="133" t="str">
        <f t="shared" si="64"/>
        <v/>
      </c>
      <c r="AG110" s="134">
        <f t="shared" si="50"/>
        <v>0</v>
      </c>
      <c r="AH110" s="54" t="str">
        <f t="shared" si="51"/>
        <v/>
      </c>
      <c r="AI110" s="54" t="str">
        <f t="shared" si="69"/>
        <v/>
      </c>
      <c r="AJ110" s="54" t="str">
        <f t="shared" si="69"/>
        <v/>
      </c>
      <c r="AK110" s="54" t="str">
        <f t="shared" si="69"/>
        <v/>
      </c>
      <c r="AL110" s="54" t="str">
        <f t="shared" si="69"/>
        <v/>
      </c>
      <c r="AM110" s="54" t="str">
        <f t="shared" si="69"/>
        <v/>
      </c>
      <c r="AN110" s="54" t="str">
        <f t="shared" si="69"/>
        <v/>
      </c>
      <c r="AO110" s="54" t="str">
        <f t="shared" si="69"/>
        <v/>
      </c>
      <c r="AP110" s="54" t="str">
        <f t="shared" si="69"/>
        <v/>
      </c>
      <c r="AQ110" s="54" t="str">
        <f t="shared" si="69"/>
        <v/>
      </c>
      <c r="AR110" s="54" t="str">
        <f t="shared" si="69"/>
        <v/>
      </c>
      <c r="AS110" s="54" t="str">
        <f t="shared" si="69"/>
        <v/>
      </c>
      <c r="AT110" s="54" t="str">
        <f t="shared" si="69"/>
        <v/>
      </c>
      <c r="AU110" s="54" t="str">
        <f t="shared" si="69"/>
        <v/>
      </c>
      <c r="AV110" s="54" t="str">
        <f t="shared" si="69"/>
        <v/>
      </c>
      <c r="AW110" s="54" t="str">
        <f t="shared" si="69"/>
        <v/>
      </c>
      <c r="AX110" s="54" t="str">
        <f t="shared" si="69"/>
        <v/>
      </c>
      <c r="AY110" s="54" t="str">
        <f t="shared" si="53"/>
        <v/>
      </c>
      <c r="AZ110" s="54" t="str">
        <f t="shared" si="54"/>
        <v/>
      </c>
      <c r="BA110" s="54" t="str">
        <f t="shared" si="55"/>
        <v/>
      </c>
      <c r="BB110" s="135" t="str">
        <f t="shared" si="56"/>
        <v/>
      </c>
      <c r="BC110" s="54" t="str">
        <f t="shared" si="70"/>
        <v/>
      </c>
      <c r="BD110" s="54" t="str">
        <f t="shared" si="70"/>
        <v/>
      </c>
      <c r="BE110" s="54" t="str">
        <f t="shared" si="70"/>
        <v/>
      </c>
      <c r="BF110" s="54" t="str">
        <f t="shared" si="57"/>
        <v/>
      </c>
      <c r="BG110" s="54" t="str">
        <f t="shared" si="58"/>
        <v/>
      </c>
      <c r="BH110" s="34" t="str">
        <f t="shared" si="59"/>
        <v>Bad</v>
      </c>
      <c r="BI110" s="34" t="str">
        <f t="shared" si="60"/>
        <v>No</v>
      </c>
      <c r="BJ110" s="136" t="str">
        <f>IF($D110&lt;&gt;"Feature",".",
IF(VLOOKUP($B110,Feature_List!$A:$AM,MATCH(BJ$1,  Feature_List!$A$1:$AM$1,0),0)=B110,".","NO"))</f>
        <v>.</v>
      </c>
      <c r="BK110" s="136"/>
      <c r="BL110" s="136"/>
      <c r="BM110" s="136" t="str">
        <f>IF($D110&lt;&gt;"Feature",".",
IF(VLOOKUP($B110,Feature_List!$A:$AM,MATCH(BM$1,  Feature_List!$A$1:$AM$1,0),0)=E110,".","NO"))</f>
        <v>.</v>
      </c>
      <c r="BN110" s="136" t="str">
        <f>IF($D110&lt;&gt;"Feature",".",
IF(VLOOKUP($B110,Feature_List!$A:$AM,MATCH(BN$1,  Feature_List!$A$1:$AM$1,0),0)=F110,".","NO"))</f>
        <v>.</v>
      </c>
      <c r="BO110" s="136" t="str">
        <f>IF($D110&lt;&gt;"Feature",".",
IF(VLOOKUP($B110,Feature_List!$A:$AM,MATCH(BO$1,  Feature_List!$A$1:$AM$1,0),0)=G110,".","NO"))</f>
        <v>.</v>
      </c>
      <c r="BP110" s="136" t="str">
        <f>IF($D110&lt;&gt;"Feature",".",
IF(VLOOKUP($B110,Feature_List!$A:$AM,MATCH(BP$1,  Feature_List!$A$1:$AM$1,0),0)=H110,".","NO"))</f>
        <v>.</v>
      </c>
      <c r="BQ110" s="136"/>
      <c r="BR110" s="136" t="str">
        <f>IF($D110&lt;&gt;"Feature",".",
IF(VLOOKUP($B110,Feature_List!$A:$AM,MATCH(BR$1,  Feature_List!$A$1:$AM$1,0),0)=J110,".","NO"))</f>
        <v>.</v>
      </c>
      <c r="BS110" s="136"/>
      <c r="BT110" s="136"/>
      <c r="BU110" s="136" t="str">
        <f>IF($D110&lt;&gt;"Feature",".",
IF(VLOOKUP($B110,Feature_List!$A:$AM,MATCH(BU$1,  Feature_List!$A$1:$AM$1,0),0)=M110,".","NO"))</f>
        <v>.</v>
      </c>
      <c r="BV110" s="136" t="str">
        <f>IF($D110&lt;&gt;"Feature",".",
IF(VLOOKUP($B110,Feature_List!$A:$AM,MATCH(BV$1,  Feature_List!$A$1:$AM$1,0),0)=N110,".","NO"))</f>
        <v>.</v>
      </c>
      <c r="BW110" s="136"/>
      <c r="BX110" s="136"/>
      <c r="BY110" s="136"/>
      <c r="BZ110" s="136"/>
      <c r="CA110" s="136"/>
      <c r="CB110" s="136" t="str">
        <f>IF($D110&lt;&gt;"Feature",".",
IF(VLOOKUP($B110,Feature_List!$A:$AM,MATCH(CB$1,  Feature_List!$A$1:$AM$1,0),0)=T110,".","NO"))</f>
        <v>.</v>
      </c>
      <c r="CC110" s="136"/>
      <c r="CD110" s="136"/>
      <c r="CE110" s="136"/>
      <c r="CF110" s="136"/>
      <c r="CG110" s="136"/>
      <c r="CH110" s="136"/>
      <c r="CI110" s="136"/>
      <c r="CJ110" s="136"/>
      <c r="CK110" s="136"/>
      <c r="CL110" s="136"/>
      <c r="CM110" s="136"/>
      <c r="CN110" s="136"/>
      <c r="CO110" s="136" t="str">
        <f>IF($D110&lt;&gt;"Feature",".",
IF(VLOOKUP($B110,Feature_List!$A:$AM,MATCH(CO$1,  Feature_List!$A$1:$AM$1,0),0)=AG110,".","NO"))</f>
        <v>.</v>
      </c>
      <c r="CP110" s="136" t="str">
        <f>IF($D110&lt;&gt;"Feature",".",
IF(VLOOKUP($B110,Feature_List!$A:$AM,MATCH(CP$1,  Feature_List!$A$1:$AM$1,0),0)=AH110,".","NO"))</f>
        <v>.</v>
      </c>
      <c r="CQ110" s="136" t="str">
        <f>IF($D110&lt;&gt;"Feature",".",
IF(VLOOKUP($B110,Feature_List!$A:$AM,MATCH(CQ$1,  Feature_List!$A$1:$AM$1,0),0)=AI110,".","NO"))</f>
        <v>.</v>
      </c>
      <c r="CR110" s="136" t="str">
        <f>IF($D110&lt;&gt;"Feature",".",
IF(VLOOKUP($B110,Feature_List!$A:$AM,MATCH(CR$1,  Feature_List!$A$1:$AM$1,0),0)=AJ110,".","NO"))</f>
        <v>.</v>
      </c>
      <c r="CS110" s="136" t="str">
        <f>IF($D110&lt;&gt;"Feature",".",
IF(VLOOKUP($B110,Feature_List!$A:$AM,MATCH(CS$1,  Feature_List!$A$1:$AM$1,0),0)=AK110,".","NO"))</f>
        <v>.</v>
      </c>
      <c r="CT110" s="136" t="str">
        <f>IF($D110&lt;&gt;"Feature",".",
IF(VLOOKUP($B110,Feature_List!$A:$AM,MATCH(CT$1,  Feature_List!$A$1:$AM$1,0),0)=AL110,".","NO"))</f>
        <v>.</v>
      </c>
      <c r="CU110" s="136" t="str">
        <f>IF($D110&lt;&gt;"Feature",".",
IF(VLOOKUP($B110,Feature_List!$A:$AM,MATCH(CU$1,  Feature_List!$A$1:$AM$1,0),0)=AM110,".","NO"))</f>
        <v>.</v>
      </c>
      <c r="CV110" s="136" t="str">
        <f>IF($D110&lt;&gt;"Feature",".",
IF(VLOOKUP($B110,Feature_List!$A:$AM,MATCH(CV$1,  Feature_List!$A$1:$AM$1,0),0)=AN110,".","NO"))</f>
        <v>.</v>
      </c>
      <c r="CW110" s="136" t="str">
        <f>IF($D110&lt;&gt;"Feature",".",
IF(VLOOKUP($B110,Feature_List!$A:$AM,MATCH(CW$1,  Feature_List!$A$1:$AM$1,0),0)=AO110,".","NO"))</f>
        <v>.</v>
      </c>
      <c r="CX110" s="136" t="str">
        <f>IF($D110&lt;&gt;"Feature",".",
IF(VLOOKUP($B110,Feature_List!$A:$AM,MATCH(CX$1,  Feature_List!$A$1:$AM$1,0),0)=AP110,".","NO"))</f>
        <v>.</v>
      </c>
      <c r="CY110" s="136" t="str">
        <f>IF($D110&lt;&gt;"Feature",".",
IF(VLOOKUP($B110,Feature_List!$A:$AM,MATCH(CY$1,  Feature_List!$A$1:$AM$1,0),0)=AQ110,".","NO"))</f>
        <v>.</v>
      </c>
      <c r="CZ110" s="136" t="str">
        <f>IF($D110&lt;&gt;"Feature",".",
IF(VLOOKUP($B110,Feature_List!$A:$AM,MATCH(CZ$1,  Feature_List!$A$1:$AM$1,0),0)=AR110,".","NO"))</f>
        <v>.</v>
      </c>
      <c r="DA110" s="136" t="str">
        <f>IF($D110&lt;&gt;"Feature",".",
IF(VLOOKUP($B110,Feature_List!$A:$AM,MATCH(DA$1,  Feature_List!$A$1:$AM$1,0),0)=AS110,".","NO"))</f>
        <v>.</v>
      </c>
      <c r="DB110" s="136" t="str">
        <f>IF($D110&lt;&gt;"Feature",".",
IF(VLOOKUP($B110,Feature_List!$A:$AM,MATCH(DB$1,  Feature_List!$A$1:$AM$1,0),0)=AT110,".","NO"))</f>
        <v>.</v>
      </c>
      <c r="DC110" s="136" t="str">
        <f>IF($D110&lt;&gt;"Feature",".",
IF(VLOOKUP($B110,Feature_List!$A:$AM,MATCH(DC$1,  Feature_List!$A$1:$AM$1,0),0)=AU110,".","NO"))</f>
        <v>.</v>
      </c>
      <c r="DD110" s="136" t="str">
        <f>IF($D110&lt;&gt;"Feature",".",
IF(VLOOKUP($B110,Feature_List!$A:$AM,MATCH(DD$1,  Feature_List!$A$1:$AM$1,0),0)=AV110,".","NO"))</f>
        <v>.</v>
      </c>
      <c r="DE110" s="136" t="str">
        <f>IF($D110&lt;&gt;"Feature",".",
IF(VLOOKUP($B110,Feature_List!$A:$AM,MATCH(DE$1,  Feature_List!$A$1:$AM$1,0),0)=AW110,".","NO"))</f>
        <v>.</v>
      </c>
      <c r="DF110" s="136" t="str">
        <f>IF($D110&lt;&gt;"Feature",".",
IF(VLOOKUP($B110,Feature_List!$A:$AM,MATCH(DF$1,  Feature_List!$A$1:$AM$1,0),0)=AX110,".","NO"))</f>
        <v>.</v>
      </c>
      <c r="DG110" s="136" t="str">
        <f>IF($D110&lt;&gt;"Feature",".",
IF(VLOOKUP($B110,Feature_List!$A:$AM,MATCH(DG$1,  Feature_List!$A$1:$AM$1,0),0)=AY110,".","NO"))</f>
        <v>.</v>
      </c>
      <c r="DH110" s="136" t="str">
        <f>IF($D110&lt;&gt;"Feature",".",
IF(VLOOKUP($B110,Feature_List!$A:$AM,MATCH(DH$1,  Feature_List!$A$1:$AM$1,0),0)=AZ110,".","NO"))</f>
        <v>.</v>
      </c>
      <c r="DI110" s="136" t="str">
        <f>IF($D110&lt;&gt;"Feature",".",
IF(VLOOKUP($B110,Feature_List!$A:$AM,MATCH(DI$1,  Feature_List!$A$1:$AM$1,0),0)=BA110,".","NO"))</f>
        <v>.</v>
      </c>
      <c r="DJ110" s="136" t="str">
        <f>IF($D110&lt;&gt;"Feature",".",
IF(VLOOKUP($B110,Feature_List!$A:$AM,MATCH(DJ$1,  Feature_List!$A$1:$AM$1,0),0)=BB110,".","NO"))</f>
        <v>.</v>
      </c>
      <c r="DK110" s="136"/>
      <c r="DL110" s="136"/>
      <c r="DM110" s="136"/>
      <c r="DN110" s="136" t="str">
        <f>IF($D110&lt;&gt;"Feature",".",
IF(VLOOKUP($B110,Feature_List!$A:$AM,MATCH(DN$1,  Feature_List!$A$1:$AM$1,0),0)=BC110,".","NO"))</f>
        <v>.</v>
      </c>
      <c r="DO110" s="136" t="str">
        <f>IF($D110&lt;&gt;"Feature",".",
IF(VLOOKUP($B110,Feature_List!$A:$AM,MATCH(DO$1,  Feature_List!$A$1:$AM$1,0),0)=BD110,".","NO"))</f>
        <v>.</v>
      </c>
    </row>
    <row r="111" spans="2:119" x14ac:dyDescent="0.3">
      <c r="B111" s="121"/>
      <c r="C111" s="122"/>
      <c r="D111" s="122"/>
      <c r="E111" s="122"/>
      <c r="F111" s="138"/>
      <c r="G111" s="123"/>
      <c r="H111" s="122"/>
      <c r="I111" s="124"/>
      <c r="J111" s="138"/>
      <c r="K111" s="123"/>
      <c r="L111" s="122"/>
      <c r="M111" s="122"/>
      <c r="N111" s="125"/>
      <c r="O111" s="123">
        <f t="shared" si="38"/>
        <v>0</v>
      </c>
      <c r="P111" s="123">
        <f t="shared" si="39"/>
        <v>0</v>
      </c>
      <c r="Q111" s="122" t="str">
        <f t="shared" si="61"/>
        <v>ZeroEntry</v>
      </c>
      <c r="R111" s="126" t="str">
        <f t="shared" si="40"/>
        <v>ZeroEntry</v>
      </c>
      <c r="S111" s="127" t="str">
        <f t="shared" si="41"/>
        <v>ZeroEntry</v>
      </c>
      <c r="T111" s="128" t="str">
        <f>IF($Q111="ZeroEntry", "",VLOOKUP($I111,'Ranking Lookup'!#REF!,2,FALSE))</f>
        <v/>
      </c>
      <c r="U111" s="129" t="str">
        <f t="shared" si="42"/>
        <v/>
      </c>
      <c r="V111" s="129" t="str">
        <f t="shared" si="43"/>
        <v/>
      </c>
      <c r="W111" s="129" t="str">
        <f t="shared" si="44"/>
        <v/>
      </c>
      <c r="X111" s="129" t="str">
        <f t="shared" si="45"/>
        <v/>
      </c>
      <c r="Y111" s="129" t="str">
        <f t="shared" si="46"/>
        <v/>
      </c>
      <c r="Z111" s="129" t="str">
        <f t="shared" si="47"/>
        <v/>
      </c>
      <c r="AA111" s="130"/>
      <c r="AB111" s="130" t="str">
        <f t="shared" si="48"/>
        <v>Unassigned</v>
      </c>
      <c r="AC111" s="131" t="str">
        <f t="shared" si="62"/>
        <v/>
      </c>
      <c r="AD111" s="131" t="str">
        <f t="shared" si="63"/>
        <v/>
      </c>
      <c r="AE111" s="132">
        <f t="shared" si="49"/>
        <v>0</v>
      </c>
      <c r="AF111" s="133" t="str">
        <f t="shared" si="64"/>
        <v/>
      </c>
      <c r="AG111" s="134">
        <f t="shared" si="50"/>
        <v>0</v>
      </c>
      <c r="AH111" s="54" t="str">
        <f t="shared" si="51"/>
        <v/>
      </c>
      <c r="AI111" s="54" t="str">
        <f t="shared" si="69"/>
        <v/>
      </c>
      <c r="AJ111" s="54" t="str">
        <f t="shared" si="69"/>
        <v/>
      </c>
      <c r="AK111" s="54" t="str">
        <f t="shared" si="69"/>
        <v/>
      </c>
      <c r="AL111" s="54" t="str">
        <f t="shared" si="69"/>
        <v/>
      </c>
      <c r="AM111" s="54" t="str">
        <f t="shared" si="69"/>
        <v/>
      </c>
      <c r="AN111" s="54" t="str">
        <f t="shared" si="69"/>
        <v/>
      </c>
      <c r="AO111" s="54" t="str">
        <f t="shared" si="69"/>
        <v/>
      </c>
      <c r="AP111" s="54" t="str">
        <f t="shared" si="69"/>
        <v/>
      </c>
      <c r="AQ111" s="54" t="str">
        <f t="shared" si="69"/>
        <v/>
      </c>
      <c r="AR111" s="54" t="str">
        <f t="shared" si="69"/>
        <v/>
      </c>
      <c r="AS111" s="54" t="str">
        <f t="shared" si="69"/>
        <v/>
      </c>
      <c r="AT111" s="54" t="str">
        <f t="shared" si="69"/>
        <v/>
      </c>
      <c r="AU111" s="54" t="str">
        <f t="shared" si="69"/>
        <v/>
      </c>
      <c r="AV111" s="54" t="str">
        <f t="shared" si="69"/>
        <v/>
      </c>
      <c r="AW111" s="54" t="str">
        <f t="shared" si="69"/>
        <v/>
      </c>
      <c r="AX111" s="54" t="str">
        <f t="shared" si="69"/>
        <v/>
      </c>
      <c r="AY111" s="54" t="str">
        <f t="shared" si="53"/>
        <v/>
      </c>
      <c r="AZ111" s="54" t="str">
        <f t="shared" si="54"/>
        <v/>
      </c>
      <c r="BA111" s="54" t="str">
        <f t="shared" si="55"/>
        <v/>
      </c>
      <c r="BB111" s="135" t="str">
        <f t="shared" si="56"/>
        <v/>
      </c>
      <c r="BC111" s="54" t="str">
        <f t="shared" si="70"/>
        <v/>
      </c>
      <c r="BD111" s="54" t="str">
        <f t="shared" si="70"/>
        <v/>
      </c>
      <c r="BE111" s="54" t="str">
        <f t="shared" si="70"/>
        <v/>
      </c>
      <c r="BF111" s="54" t="str">
        <f t="shared" si="57"/>
        <v/>
      </c>
      <c r="BG111" s="54" t="str">
        <f t="shared" si="58"/>
        <v/>
      </c>
      <c r="BH111" s="34" t="str">
        <f t="shared" si="59"/>
        <v>Bad</v>
      </c>
      <c r="BI111" s="34" t="str">
        <f t="shared" si="60"/>
        <v>No</v>
      </c>
      <c r="BJ111" s="136" t="str">
        <f>IF($D111&lt;&gt;"Feature",".",
IF(VLOOKUP($B111,Feature_List!$A:$AM,MATCH(BJ$1,  Feature_List!$A$1:$AM$1,0),0)=B111,".","NO"))</f>
        <v>.</v>
      </c>
      <c r="BK111" s="136"/>
      <c r="BL111" s="136"/>
      <c r="BM111" s="136" t="str">
        <f>IF($D111&lt;&gt;"Feature",".",
IF(VLOOKUP($B111,Feature_List!$A:$AM,MATCH(BM$1,  Feature_List!$A$1:$AM$1,0),0)=E111,".","NO"))</f>
        <v>.</v>
      </c>
      <c r="BN111" s="136" t="str">
        <f>IF($D111&lt;&gt;"Feature",".",
IF(VLOOKUP($B111,Feature_List!$A:$AM,MATCH(BN$1,  Feature_List!$A$1:$AM$1,0),0)=F111,".","NO"))</f>
        <v>.</v>
      </c>
      <c r="BO111" s="136" t="str">
        <f>IF($D111&lt;&gt;"Feature",".",
IF(VLOOKUP($B111,Feature_List!$A:$AM,MATCH(BO$1,  Feature_List!$A$1:$AM$1,0),0)=G111,".","NO"))</f>
        <v>.</v>
      </c>
      <c r="BP111" s="136" t="str">
        <f>IF($D111&lt;&gt;"Feature",".",
IF(VLOOKUP($B111,Feature_List!$A:$AM,MATCH(BP$1,  Feature_List!$A$1:$AM$1,0),0)=H111,".","NO"))</f>
        <v>.</v>
      </c>
      <c r="BQ111" s="136"/>
      <c r="BR111" s="136" t="str">
        <f>IF($D111&lt;&gt;"Feature",".",
IF(VLOOKUP($B111,Feature_List!$A:$AM,MATCH(BR$1,  Feature_List!$A$1:$AM$1,0),0)=J111,".","NO"))</f>
        <v>.</v>
      </c>
      <c r="BS111" s="136"/>
      <c r="BT111" s="136"/>
      <c r="BU111" s="136" t="str">
        <f>IF($D111&lt;&gt;"Feature",".",
IF(VLOOKUP($B111,Feature_List!$A:$AM,MATCH(BU$1,  Feature_List!$A$1:$AM$1,0),0)=M111,".","NO"))</f>
        <v>.</v>
      </c>
      <c r="BV111" s="136" t="str">
        <f>IF($D111&lt;&gt;"Feature",".",
IF(VLOOKUP($B111,Feature_List!$A:$AM,MATCH(BV$1,  Feature_List!$A$1:$AM$1,0),0)=N111,".","NO"))</f>
        <v>.</v>
      </c>
      <c r="BW111" s="136"/>
      <c r="BX111" s="136"/>
      <c r="BY111" s="136"/>
      <c r="BZ111" s="136"/>
      <c r="CA111" s="136"/>
      <c r="CB111" s="136" t="str">
        <f>IF($D111&lt;&gt;"Feature",".",
IF(VLOOKUP($B111,Feature_List!$A:$AM,MATCH(CB$1,  Feature_List!$A$1:$AM$1,0),0)=T111,".","NO"))</f>
        <v>.</v>
      </c>
      <c r="CC111" s="136"/>
      <c r="CD111" s="136"/>
      <c r="CE111" s="136"/>
      <c r="CF111" s="136"/>
      <c r="CG111" s="136"/>
      <c r="CH111" s="136"/>
      <c r="CI111" s="136"/>
      <c r="CJ111" s="136"/>
      <c r="CK111" s="136"/>
      <c r="CL111" s="136"/>
      <c r="CM111" s="136"/>
      <c r="CN111" s="136"/>
      <c r="CO111" s="136" t="str">
        <f>IF($D111&lt;&gt;"Feature",".",
IF(VLOOKUP($B111,Feature_List!$A:$AM,MATCH(CO$1,  Feature_List!$A$1:$AM$1,0),0)=AG111,".","NO"))</f>
        <v>.</v>
      </c>
      <c r="CP111" s="136" t="str">
        <f>IF($D111&lt;&gt;"Feature",".",
IF(VLOOKUP($B111,Feature_List!$A:$AM,MATCH(CP$1,  Feature_List!$A$1:$AM$1,0),0)=AH111,".","NO"))</f>
        <v>.</v>
      </c>
      <c r="CQ111" s="136" t="str">
        <f>IF($D111&lt;&gt;"Feature",".",
IF(VLOOKUP($B111,Feature_List!$A:$AM,MATCH(CQ$1,  Feature_List!$A$1:$AM$1,0),0)=AI111,".","NO"))</f>
        <v>.</v>
      </c>
      <c r="CR111" s="136" t="str">
        <f>IF($D111&lt;&gt;"Feature",".",
IF(VLOOKUP($B111,Feature_List!$A:$AM,MATCH(CR$1,  Feature_List!$A$1:$AM$1,0),0)=AJ111,".","NO"))</f>
        <v>.</v>
      </c>
      <c r="CS111" s="136" t="str">
        <f>IF($D111&lt;&gt;"Feature",".",
IF(VLOOKUP($B111,Feature_List!$A:$AM,MATCH(CS$1,  Feature_List!$A$1:$AM$1,0),0)=AK111,".","NO"))</f>
        <v>.</v>
      </c>
      <c r="CT111" s="136" t="str">
        <f>IF($D111&lt;&gt;"Feature",".",
IF(VLOOKUP($B111,Feature_List!$A:$AM,MATCH(CT$1,  Feature_List!$A$1:$AM$1,0),0)=AL111,".","NO"))</f>
        <v>.</v>
      </c>
      <c r="CU111" s="136" t="str">
        <f>IF($D111&lt;&gt;"Feature",".",
IF(VLOOKUP($B111,Feature_List!$A:$AM,MATCH(CU$1,  Feature_List!$A$1:$AM$1,0),0)=AM111,".","NO"))</f>
        <v>.</v>
      </c>
      <c r="CV111" s="136" t="str">
        <f>IF($D111&lt;&gt;"Feature",".",
IF(VLOOKUP($B111,Feature_List!$A:$AM,MATCH(CV$1,  Feature_List!$A$1:$AM$1,0),0)=AN111,".","NO"))</f>
        <v>.</v>
      </c>
      <c r="CW111" s="136" t="str">
        <f>IF($D111&lt;&gt;"Feature",".",
IF(VLOOKUP($B111,Feature_List!$A:$AM,MATCH(CW$1,  Feature_List!$A$1:$AM$1,0),0)=AO111,".","NO"))</f>
        <v>.</v>
      </c>
      <c r="CX111" s="136" t="str">
        <f>IF($D111&lt;&gt;"Feature",".",
IF(VLOOKUP($B111,Feature_List!$A:$AM,MATCH(CX$1,  Feature_List!$A$1:$AM$1,0),0)=AP111,".","NO"))</f>
        <v>.</v>
      </c>
      <c r="CY111" s="136" t="str">
        <f>IF($D111&lt;&gt;"Feature",".",
IF(VLOOKUP($B111,Feature_List!$A:$AM,MATCH(CY$1,  Feature_List!$A$1:$AM$1,0),0)=AQ111,".","NO"))</f>
        <v>.</v>
      </c>
      <c r="CZ111" s="136" t="str">
        <f>IF($D111&lt;&gt;"Feature",".",
IF(VLOOKUP($B111,Feature_List!$A:$AM,MATCH(CZ$1,  Feature_List!$A$1:$AM$1,0),0)=AR111,".","NO"))</f>
        <v>.</v>
      </c>
      <c r="DA111" s="136" t="str">
        <f>IF($D111&lt;&gt;"Feature",".",
IF(VLOOKUP($B111,Feature_List!$A:$AM,MATCH(DA$1,  Feature_List!$A$1:$AM$1,0),0)=AS111,".","NO"))</f>
        <v>.</v>
      </c>
      <c r="DB111" s="136" t="str">
        <f>IF($D111&lt;&gt;"Feature",".",
IF(VLOOKUP($B111,Feature_List!$A:$AM,MATCH(DB$1,  Feature_List!$A$1:$AM$1,0),0)=AT111,".","NO"))</f>
        <v>.</v>
      </c>
      <c r="DC111" s="136" t="str">
        <f>IF($D111&lt;&gt;"Feature",".",
IF(VLOOKUP($B111,Feature_List!$A:$AM,MATCH(DC$1,  Feature_List!$A$1:$AM$1,0),0)=AU111,".","NO"))</f>
        <v>.</v>
      </c>
      <c r="DD111" s="136" t="str">
        <f>IF($D111&lt;&gt;"Feature",".",
IF(VLOOKUP($B111,Feature_List!$A:$AM,MATCH(DD$1,  Feature_List!$A$1:$AM$1,0),0)=AV111,".","NO"))</f>
        <v>.</v>
      </c>
      <c r="DE111" s="136" t="str">
        <f>IF($D111&lt;&gt;"Feature",".",
IF(VLOOKUP($B111,Feature_List!$A:$AM,MATCH(DE$1,  Feature_List!$A$1:$AM$1,0),0)=AW111,".","NO"))</f>
        <v>.</v>
      </c>
      <c r="DF111" s="136" t="str">
        <f>IF($D111&lt;&gt;"Feature",".",
IF(VLOOKUP($B111,Feature_List!$A:$AM,MATCH(DF$1,  Feature_List!$A$1:$AM$1,0),0)=AX111,".","NO"))</f>
        <v>.</v>
      </c>
      <c r="DG111" s="136" t="str">
        <f>IF($D111&lt;&gt;"Feature",".",
IF(VLOOKUP($B111,Feature_List!$A:$AM,MATCH(DG$1,  Feature_List!$A$1:$AM$1,0),0)=AY111,".","NO"))</f>
        <v>.</v>
      </c>
      <c r="DH111" s="136" t="str">
        <f>IF($D111&lt;&gt;"Feature",".",
IF(VLOOKUP($B111,Feature_List!$A:$AM,MATCH(DH$1,  Feature_List!$A$1:$AM$1,0),0)=AZ111,".","NO"))</f>
        <v>.</v>
      </c>
      <c r="DI111" s="136" t="str">
        <f>IF($D111&lt;&gt;"Feature",".",
IF(VLOOKUP($B111,Feature_List!$A:$AM,MATCH(DI$1,  Feature_List!$A$1:$AM$1,0),0)=BA111,".","NO"))</f>
        <v>.</v>
      </c>
      <c r="DJ111" s="136" t="str">
        <f>IF($D111&lt;&gt;"Feature",".",
IF(VLOOKUP($B111,Feature_List!$A:$AM,MATCH(DJ$1,  Feature_List!$A$1:$AM$1,0),0)=BB111,".","NO"))</f>
        <v>.</v>
      </c>
      <c r="DK111" s="136"/>
      <c r="DL111" s="136"/>
      <c r="DM111" s="136"/>
      <c r="DN111" s="136" t="str">
        <f>IF($D111&lt;&gt;"Feature",".",
IF(VLOOKUP($B111,Feature_List!$A:$AM,MATCH(DN$1,  Feature_List!$A$1:$AM$1,0),0)=BC111,".","NO"))</f>
        <v>.</v>
      </c>
      <c r="DO111" s="136" t="str">
        <f>IF($D111&lt;&gt;"Feature",".",
IF(VLOOKUP($B111,Feature_List!$A:$AM,MATCH(DO$1,  Feature_List!$A$1:$AM$1,0),0)=BD111,".","NO"))</f>
        <v>.</v>
      </c>
    </row>
    <row r="112" spans="2:119" x14ac:dyDescent="0.3">
      <c r="B112" s="121"/>
      <c r="C112" s="123"/>
      <c r="D112" s="122"/>
      <c r="E112" s="122"/>
      <c r="F112" s="138"/>
      <c r="G112" s="123"/>
      <c r="H112" s="122"/>
      <c r="I112" s="124"/>
      <c r="J112" s="138"/>
      <c r="K112" s="123"/>
      <c r="L112" s="122"/>
      <c r="M112" s="122"/>
      <c r="N112" s="125"/>
      <c r="O112" s="123">
        <f t="shared" si="38"/>
        <v>0</v>
      </c>
      <c r="P112" s="123">
        <f t="shared" si="39"/>
        <v>0</v>
      </c>
      <c r="Q112" s="122" t="str">
        <f t="shared" si="61"/>
        <v>ZeroEntry</v>
      </c>
      <c r="R112" s="126" t="str">
        <f t="shared" si="40"/>
        <v>ZeroEntry</v>
      </c>
      <c r="S112" s="127" t="str">
        <f t="shared" si="41"/>
        <v>ZeroEntry</v>
      </c>
      <c r="T112" s="128" t="str">
        <f>IF($Q112="ZeroEntry", "",VLOOKUP($I112,'Ranking Lookup'!#REF!,2,FALSE))</f>
        <v/>
      </c>
      <c r="U112" s="129" t="str">
        <f t="shared" si="42"/>
        <v/>
      </c>
      <c r="V112" s="129" t="str">
        <f t="shared" si="43"/>
        <v/>
      </c>
      <c r="W112" s="129" t="str">
        <f t="shared" si="44"/>
        <v/>
      </c>
      <c r="X112" s="129" t="str">
        <f t="shared" si="45"/>
        <v/>
      </c>
      <c r="Y112" s="129" t="str">
        <f t="shared" si="46"/>
        <v/>
      </c>
      <c r="Z112" s="129" t="str">
        <f t="shared" si="47"/>
        <v/>
      </c>
      <c r="AA112" s="130"/>
      <c r="AB112" s="130" t="str">
        <f t="shared" si="48"/>
        <v>Unassigned</v>
      </c>
      <c r="AC112" s="131" t="str">
        <f t="shared" si="62"/>
        <v/>
      </c>
      <c r="AD112" s="131" t="str">
        <f t="shared" si="63"/>
        <v/>
      </c>
      <c r="AE112" s="132">
        <f t="shared" si="49"/>
        <v>0</v>
      </c>
      <c r="AF112" s="133" t="str">
        <f t="shared" si="64"/>
        <v/>
      </c>
      <c r="AG112" s="134">
        <f t="shared" si="50"/>
        <v>0</v>
      </c>
      <c r="AH112" s="54" t="str">
        <f t="shared" si="51"/>
        <v/>
      </c>
      <c r="AI112" s="54" t="str">
        <f t="shared" si="69"/>
        <v/>
      </c>
      <c r="AJ112" s="54" t="str">
        <f t="shared" si="69"/>
        <v/>
      </c>
      <c r="AK112" s="54" t="str">
        <f t="shared" si="69"/>
        <v/>
      </c>
      <c r="AL112" s="54" t="str">
        <f t="shared" si="69"/>
        <v/>
      </c>
      <c r="AM112" s="54" t="str">
        <f t="shared" si="69"/>
        <v/>
      </c>
      <c r="AN112" s="54" t="str">
        <f t="shared" si="69"/>
        <v/>
      </c>
      <c r="AO112" s="54" t="str">
        <f t="shared" si="69"/>
        <v/>
      </c>
      <c r="AP112" s="54" t="str">
        <f t="shared" si="69"/>
        <v/>
      </c>
      <c r="AQ112" s="54" t="str">
        <f t="shared" si="69"/>
        <v/>
      </c>
      <c r="AR112" s="54" t="str">
        <f t="shared" si="69"/>
        <v/>
      </c>
      <c r="AS112" s="54" t="str">
        <f t="shared" si="69"/>
        <v/>
      </c>
      <c r="AT112" s="54" t="str">
        <f t="shared" si="69"/>
        <v/>
      </c>
      <c r="AU112" s="54" t="str">
        <f t="shared" si="69"/>
        <v/>
      </c>
      <c r="AV112" s="54" t="str">
        <f t="shared" si="69"/>
        <v/>
      </c>
      <c r="AW112" s="54" t="str">
        <f t="shared" si="69"/>
        <v/>
      </c>
      <c r="AX112" s="54" t="str">
        <f t="shared" si="69"/>
        <v/>
      </c>
      <c r="AY112" s="54" t="str">
        <f t="shared" si="53"/>
        <v/>
      </c>
      <c r="AZ112" s="54" t="str">
        <f t="shared" si="54"/>
        <v/>
      </c>
      <c r="BA112" s="54" t="str">
        <f t="shared" si="55"/>
        <v/>
      </c>
      <c r="BB112" s="135" t="str">
        <f t="shared" si="56"/>
        <v/>
      </c>
      <c r="BC112" s="54" t="str">
        <f t="shared" si="70"/>
        <v/>
      </c>
      <c r="BD112" s="54" t="str">
        <f t="shared" si="70"/>
        <v/>
      </c>
      <c r="BE112" s="54" t="str">
        <f t="shared" si="70"/>
        <v/>
      </c>
      <c r="BF112" s="54" t="str">
        <f t="shared" si="57"/>
        <v/>
      </c>
      <c r="BG112" s="54" t="str">
        <f t="shared" si="58"/>
        <v/>
      </c>
      <c r="BH112" s="34" t="str">
        <f t="shared" si="59"/>
        <v>Bad</v>
      </c>
      <c r="BI112" s="34" t="str">
        <f t="shared" si="60"/>
        <v>No</v>
      </c>
      <c r="BJ112" s="136" t="str">
        <f>IF($D112&lt;&gt;"Feature",".",
IF(VLOOKUP($B112,Feature_List!$A:$AM,MATCH(BJ$1,  Feature_List!$A$1:$AM$1,0),0)=B112,".","NO"))</f>
        <v>.</v>
      </c>
      <c r="BK112" s="136"/>
      <c r="BL112" s="136"/>
      <c r="BM112" s="136" t="str">
        <f>IF($D112&lt;&gt;"Feature",".",
IF(VLOOKUP($B112,Feature_List!$A:$AM,MATCH(BM$1,  Feature_List!$A$1:$AM$1,0),0)=E112,".","NO"))</f>
        <v>.</v>
      </c>
      <c r="BN112" s="136" t="str">
        <f>IF($D112&lt;&gt;"Feature",".",
IF(VLOOKUP($B112,Feature_List!$A:$AM,MATCH(BN$1,  Feature_List!$A$1:$AM$1,0),0)=F112,".","NO"))</f>
        <v>.</v>
      </c>
      <c r="BO112" s="136" t="str">
        <f>IF($D112&lt;&gt;"Feature",".",
IF(VLOOKUP($B112,Feature_List!$A:$AM,MATCH(BO$1,  Feature_List!$A$1:$AM$1,0),0)=G112,".","NO"))</f>
        <v>.</v>
      </c>
      <c r="BP112" s="136" t="str">
        <f>IF($D112&lt;&gt;"Feature",".",
IF(VLOOKUP($B112,Feature_List!$A:$AM,MATCH(BP$1,  Feature_List!$A$1:$AM$1,0),0)=H112,".","NO"))</f>
        <v>.</v>
      </c>
      <c r="BQ112" s="136"/>
      <c r="BR112" s="136" t="str">
        <f>IF($D112&lt;&gt;"Feature",".",
IF(VLOOKUP($B112,Feature_List!$A:$AM,MATCH(BR$1,  Feature_List!$A$1:$AM$1,0),0)=J112,".","NO"))</f>
        <v>.</v>
      </c>
      <c r="BS112" s="136"/>
      <c r="BT112" s="136"/>
      <c r="BU112" s="136" t="str">
        <f>IF($D112&lt;&gt;"Feature",".",
IF(VLOOKUP($B112,Feature_List!$A:$AM,MATCH(BU$1,  Feature_List!$A$1:$AM$1,0),0)=M112,".","NO"))</f>
        <v>.</v>
      </c>
      <c r="BV112" s="136" t="str">
        <f>IF($D112&lt;&gt;"Feature",".",
IF(VLOOKUP($B112,Feature_List!$A:$AM,MATCH(BV$1,  Feature_List!$A$1:$AM$1,0),0)=N112,".","NO"))</f>
        <v>.</v>
      </c>
      <c r="BW112" s="136"/>
      <c r="BX112" s="136"/>
      <c r="BY112" s="136"/>
      <c r="BZ112" s="136"/>
      <c r="CA112" s="136"/>
      <c r="CB112" s="136" t="str">
        <f>IF($D112&lt;&gt;"Feature",".",
IF(VLOOKUP($B112,Feature_List!$A:$AM,MATCH(CB$1,  Feature_List!$A$1:$AM$1,0),0)=T112,".","NO"))</f>
        <v>.</v>
      </c>
      <c r="CC112" s="136"/>
      <c r="CD112" s="136"/>
      <c r="CE112" s="136"/>
      <c r="CF112" s="136"/>
      <c r="CG112" s="136"/>
      <c r="CH112" s="136"/>
      <c r="CI112" s="136"/>
      <c r="CJ112" s="136"/>
      <c r="CK112" s="136"/>
      <c r="CL112" s="136"/>
      <c r="CM112" s="136"/>
      <c r="CN112" s="136"/>
      <c r="CO112" s="136" t="str">
        <f>IF($D112&lt;&gt;"Feature",".",
IF(VLOOKUP($B112,Feature_List!$A:$AM,MATCH(CO$1,  Feature_List!$A$1:$AM$1,0),0)=AG112,".","NO"))</f>
        <v>.</v>
      </c>
      <c r="CP112" s="136" t="str">
        <f>IF($D112&lt;&gt;"Feature",".",
IF(VLOOKUP($B112,Feature_List!$A:$AM,MATCH(CP$1,  Feature_List!$A$1:$AM$1,0),0)=AH112,".","NO"))</f>
        <v>.</v>
      </c>
      <c r="CQ112" s="136" t="str">
        <f>IF($D112&lt;&gt;"Feature",".",
IF(VLOOKUP($B112,Feature_List!$A:$AM,MATCH(CQ$1,  Feature_List!$A$1:$AM$1,0),0)=AI112,".","NO"))</f>
        <v>.</v>
      </c>
      <c r="CR112" s="136" t="str">
        <f>IF($D112&lt;&gt;"Feature",".",
IF(VLOOKUP($B112,Feature_List!$A:$AM,MATCH(CR$1,  Feature_List!$A$1:$AM$1,0),0)=AJ112,".","NO"))</f>
        <v>.</v>
      </c>
      <c r="CS112" s="136" t="str">
        <f>IF($D112&lt;&gt;"Feature",".",
IF(VLOOKUP($B112,Feature_List!$A:$AM,MATCH(CS$1,  Feature_List!$A$1:$AM$1,0),0)=AK112,".","NO"))</f>
        <v>.</v>
      </c>
      <c r="CT112" s="136" t="str">
        <f>IF($D112&lt;&gt;"Feature",".",
IF(VLOOKUP($B112,Feature_List!$A:$AM,MATCH(CT$1,  Feature_List!$A$1:$AM$1,0),0)=AL112,".","NO"))</f>
        <v>.</v>
      </c>
      <c r="CU112" s="136" t="str">
        <f>IF($D112&lt;&gt;"Feature",".",
IF(VLOOKUP($B112,Feature_List!$A:$AM,MATCH(CU$1,  Feature_List!$A$1:$AM$1,0),0)=AM112,".","NO"))</f>
        <v>.</v>
      </c>
      <c r="CV112" s="136" t="str">
        <f>IF($D112&lt;&gt;"Feature",".",
IF(VLOOKUP($B112,Feature_List!$A:$AM,MATCH(CV$1,  Feature_List!$A$1:$AM$1,0),0)=AN112,".","NO"))</f>
        <v>.</v>
      </c>
      <c r="CW112" s="136" t="str">
        <f>IF($D112&lt;&gt;"Feature",".",
IF(VLOOKUP($B112,Feature_List!$A:$AM,MATCH(CW$1,  Feature_List!$A$1:$AM$1,0),0)=AO112,".","NO"))</f>
        <v>.</v>
      </c>
      <c r="CX112" s="136" t="str">
        <f>IF($D112&lt;&gt;"Feature",".",
IF(VLOOKUP($B112,Feature_List!$A:$AM,MATCH(CX$1,  Feature_List!$A$1:$AM$1,0),0)=AP112,".","NO"))</f>
        <v>.</v>
      </c>
      <c r="CY112" s="136" t="str">
        <f>IF($D112&lt;&gt;"Feature",".",
IF(VLOOKUP($B112,Feature_List!$A:$AM,MATCH(CY$1,  Feature_List!$A$1:$AM$1,0),0)=AQ112,".","NO"))</f>
        <v>.</v>
      </c>
      <c r="CZ112" s="136" t="str">
        <f>IF($D112&lt;&gt;"Feature",".",
IF(VLOOKUP($B112,Feature_List!$A:$AM,MATCH(CZ$1,  Feature_List!$A$1:$AM$1,0),0)=AR112,".","NO"))</f>
        <v>.</v>
      </c>
      <c r="DA112" s="136" t="str">
        <f>IF($D112&lt;&gt;"Feature",".",
IF(VLOOKUP($B112,Feature_List!$A:$AM,MATCH(DA$1,  Feature_List!$A$1:$AM$1,0),0)=AS112,".","NO"))</f>
        <v>.</v>
      </c>
      <c r="DB112" s="136" t="str">
        <f>IF($D112&lt;&gt;"Feature",".",
IF(VLOOKUP($B112,Feature_List!$A:$AM,MATCH(DB$1,  Feature_List!$A$1:$AM$1,0),0)=AT112,".","NO"))</f>
        <v>.</v>
      </c>
      <c r="DC112" s="136" t="str">
        <f>IF($D112&lt;&gt;"Feature",".",
IF(VLOOKUP($B112,Feature_List!$A:$AM,MATCH(DC$1,  Feature_List!$A$1:$AM$1,0),0)=AU112,".","NO"))</f>
        <v>.</v>
      </c>
      <c r="DD112" s="136" t="str">
        <f>IF($D112&lt;&gt;"Feature",".",
IF(VLOOKUP($B112,Feature_List!$A:$AM,MATCH(DD$1,  Feature_List!$A$1:$AM$1,0),0)=AV112,".","NO"))</f>
        <v>.</v>
      </c>
      <c r="DE112" s="136" t="str">
        <f>IF($D112&lt;&gt;"Feature",".",
IF(VLOOKUP($B112,Feature_List!$A:$AM,MATCH(DE$1,  Feature_List!$A$1:$AM$1,0),0)=AW112,".","NO"))</f>
        <v>.</v>
      </c>
      <c r="DF112" s="136" t="str">
        <f>IF($D112&lt;&gt;"Feature",".",
IF(VLOOKUP($B112,Feature_List!$A:$AM,MATCH(DF$1,  Feature_List!$A$1:$AM$1,0),0)=AX112,".","NO"))</f>
        <v>.</v>
      </c>
      <c r="DG112" s="136" t="str">
        <f>IF($D112&lt;&gt;"Feature",".",
IF(VLOOKUP($B112,Feature_List!$A:$AM,MATCH(DG$1,  Feature_List!$A$1:$AM$1,0),0)=AY112,".","NO"))</f>
        <v>.</v>
      </c>
      <c r="DH112" s="136" t="str">
        <f>IF($D112&lt;&gt;"Feature",".",
IF(VLOOKUP($B112,Feature_List!$A:$AM,MATCH(DH$1,  Feature_List!$A$1:$AM$1,0),0)=AZ112,".","NO"))</f>
        <v>.</v>
      </c>
      <c r="DI112" s="136" t="str">
        <f>IF($D112&lt;&gt;"Feature",".",
IF(VLOOKUP($B112,Feature_List!$A:$AM,MATCH(DI$1,  Feature_List!$A$1:$AM$1,0),0)=BA112,".","NO"))</f>
        <v>.</v>
      </c>
      <c r="DJ112" s="136" t="str">
        <f>IF($D112&lt;&gt;"Feature",".",
IF(VLOOKUP($B112,Feature_List!$A:$AM,MATCH(DJ$1,  Feature_List!$A$1:$AM$1,0),0)=BB112,".","NO"))</f>
        <v>.</v>
      </c>
      <c r="DK112" s="136"/>
      <c r="DL112" s="136"/>
      <c r="DM112" s="136"/>
      <c r="DN112" s="136" t="str">
        <f>IF($D112&lt;&gt;"Feature",".",
IF(VLOOKUP($B112,Feature_List!$A:$AM,MATCH(DN$1,  Feature_List!$A$1:$AM$1,0),0)=BC112,".","NO"))</f>
        <v>.</v>
      </c>
      <c r="DO112" s="136" t="str">
        <f>IF($D112&lt;&gt;"Feature",".",
IF(VLOOKUP($B112,Feature_List!$A:$AM,MATCH(DO$1,  Feature_List!$A$1:$AM$1,0),0)=BD112,".","NO"))</f>
        <v>.</v>
      </c>
    </row>
    <row r="113" spans="2:119" x14ac:dyDescent="0.3">
      <c r="B113" s="121"/>
      <c r="C113" s="122"/>
      <c r="D113" s="122"/>
      <c r="E113" s="122"/>
      <c r="F113" s="138"/>
      <c r="G113" s="123"/>
      <c r="H113" s="122"/>
      <c r="I113" s="124"/>
      <c r="J113" s="138"/>
      <c r="K113" s="123"/>
      <c r="L113" s="122"/>
      <c r="M113" s="122"/>
      <c r="N113" s="125"/>
      <c r="O113" s="123">
        <f t="shared" si="38"/>
        <v>0</v>
      </c>
      <c r="P113" s="123">
        <f t="shared" si="39"/>
        <v>0</v>
      </c>
      <c r="Q113" s="122" t="str">
        <f t="shared" si="61"/>
        <v>ZeroEntry</v>
      </c>
      <c r="R113" s="126" t="str">
        <f t="shared" si="40"/>
        <v>ZeroEntry</v>
      </c>
      <c r="S113" s="127" t="str">
        <f t="shared" si="41"/>
        <v>ZeroEntry</v>
      </c>
      <c r="T113" s="128" t="str">
        <f>IF($Q113="ZeroEntry", "",VLOOKUP($I113,'Ranking Lookup'!#REF!,2,FALSE))</f>
        <v/>
      </c>
      <c r="U113" s="129" t="str">
        <f t="shared" si="42"/>
        <v/>
      </c>
      <c r="V113" s="129" t="str">
        <f t="shared" si="43"/>
        <v/>
      </c>
      <c r="W113" s="129" t="str">
        <f t="shared" si="44"/>
        <v/>
      </c>
      <c r="X113" s="129" t="str">
        <f t="shared" si="45"/>
        <v/>
      </c>
      <c r="Y113" s="129" t="str">
        <f t="shared" si="46"/>
        <v/>
      </c>
      <c r="Z113" s="129" t="str">
        <f t="shared" si="47"/>
        <v/>
      </c>
      <c r="AA113" s="130"/>
      <c r="AB113" s="130" t="str">
        <f t="shared" si="48"/>
        <v>Unassigned</v>
      </c>
      <c r="AC113" s="131" t="str">
        <f t="shared" si="62"/>
        <v/>
      </c>
      <c r="AD113" s="131" t="str">
        <f t="shared" si="63"/>
        <v/>
      </c>
      <c r="AE113" s="132">
        <f t="shared" si="49"/>
        <v>0</v>
      </c>
      <c r="AF113" s="133" t="str">
        <f t="shared" si="64"/>
        <v/>
      </c>
      <c r="AG113" s="134">
        <f t="shared" si="50"/>
        <v>0</v>
      </c>
      <c r="AH113" s="54" t="str">
        <f t="shared" si="51"/>
        <v/>
      </c>
      <c r="AI113" s="54" t="str">
        <f t="shared" si="69"/>
        <v/>
      </c>
      <c r="AJ113" s="54" t="str">
        <f t="shared" si="69"/>
        <v/>
      </c>
      <c r="AK113" s="54" t="str">
        <f t="shared" si="69"/>
        <v/>
      </c>
      <c r="AL113" s="54" t="str">
        <f t="shared" si="69"/>
        <v/>
      </c>
      <c r="AM113" s="54" t="str">
        <f t="shared" si="69"/>
        <v/>
      </c>
      <c r="AN113" s="54" t="str">
        <f t="shared" si="69"/>
        <v/>
      </c>
      <c r="AO113" s="54" t="str">
        <f t="shared" si="69"/>
        <v/>
      </c>
      <c r="AP113" s="54" t="str">
        <f t="shared" si="69"/>
        <v/>
      </c>
      <c r="AQ113" s="54" t="str">
        <f t="shared" si="69"/>
        <v/>
      </c>
      <c r="AR113" s="54" t="str">
        <f t="shared" si="69"/>
        <v/>
      </c>
      <c r="AS113" s="54" t="str">
        <f t="shared" si="69"/>
        <v/>
      </c>
      <c r="AT113" s="54" t="str">
        <f t="shared" si="69"/>
        <v/>
      </c>
      <c r="AU113" s="54" t="str">
        <f t="shared" si="69"/>
        <v/>
      </c>
      <c r="AV113" s="54" t="str">
        <f t="shared" si="69"/>
        <v/>
      </c>
      <c r="AW113" s="54" t="str">
        <f t="shared" si="69"/>
        <v/>
      </c>
      <c r="AX113" s="54" t="str">
        <f t="shared" ref="AX113" si="71">IF(AND($Q113="Feature",LEFT($AB113,2)="PI"),
IF(AND(COUNTIF($R:$R,$B113)=1,$T113=AX$1), IF($AB113=$A$10,$AF113,0),
IF(OR($AD113&lt;1,RIGHT($G113,8)="Progress",$AH113&gt;0),SUMIFS($O:$O,$R:$R,$B113,$T:$T,AX$1,$P:$P,"&lt;&gt;Done",$AB:$AB,$A$10),
IF($T113=AX$1,IF($AB113=$A$10,$AD113,0)+SUMIFS($O:$O,$R:$R,$B113,$T:$T,AX$1,$P:$P,"&lt;&gt;Done",$AB:$AB,$A$10),SUMIFS($O:$O,$R:$R,$B113,$T:$T,AX$1,$P:$P,"&lt;&gt;Done",$AB:$AB,$A$10)))),
IF(AND(OR($Q113="Story",$Q113="Problem",$Q113="Enhancement"),$AB113=$A$10,$R113=0,$T113=AX$1,$P113&lt;&gt;"Done"),$O113,""))</f>
        <v/>
      </c>
      <c r="AY113" s="54" t="str">
        <f t="shared" si="53"/>
        <v/>
      </c>
      <c r="AZ113" s="54" t="str">
        <f t="shared" si="54"/>
        <v/>
      </c>
      <c r="BA113" s="54" t="str">
        <f t="shared" si="55"/>
        <v/>
      </c>
      <c r="BB113" s="135" t="str">
        <f t="shared" si="56"/>
        <v/>
      </c>
      <c r="BC113" s="54" t="str">
        <f t="shared" si="70"/>
        <v/>
      </c>
      <c r="BD113" s="54" t="str">
        <f t="shared" si="70"/>
        <v/>
      </c>
      <c r="BE113" s="54" t="str">
        <f t="shared" si="70"/>
        <v/>
      </c>
      <c r="BF113" s="54" t="str">
        <f t="shared" si="57"/>
        <v/>
      </c>
      <c r="BG113" s="54" t="str">
        <f t="shared" si="58"/>
        <v/>
      </c>
      <c r="BH113" s="34" t="str">
        <f t="shared" si="59"/>
        <v>Bad</v>
      </c>
      <c r="BI113" s="34" t="str">
        <f t="shared" si="60"/>
        <v>No</v>
      </c>
      <c r="BJ113" s="136" t="str">
        <f>IF($D113&lt;&gt;"Feature",".",
IF(VLOOKUP($B113,Feature_List!$A:$AM,MATCH(BJ$1,  Feature_List!$A$1:$AM$1,0),0)=B113,".","NO"))</f>
        <v>.</v>
      </c>
      <c r="BK113" s="136"/>
      <c r="BL113" s="136"/>
      <c r="BM113" s="136" t="str">
        <f>IF($D113&lt;&gt;"Feature",".",
IF(VLOOKUP($B113,Feature_List!$A:$AM,MATCH(BM$1,  Feature_List!$A$1:$AM$1,0),0)=E113,".","NO"))</f>
        <v>.</v>
      </c>
      <c r="BN113" s="136" t="str">
        <f>IF($D113&lt;&gt;"Feature",".",
IF(VLOOKUP($B113,Feature_List!$A:$AM,MATCH(BN$1,  Feature_List!$A$1:$AM$1,0),0)=F113,".","NO"))</f>
        <v>.</v>
      </c>
      <c r="BO113" s="136" t="str">
        <f>IF($D113&lt;&gt;"Feature",".",
IF(VLOOKUP($B113,Feature_List!$A:$AM,MATCH(BO$1,  Feature_List!$A$1:$AM$1,0),0)=G113,".","NO"))</f>
        <v>.</v>
      </c>
      <c r="BP113" s="136" t="str">
        <f>IF($D113&lt;&gt;"Feature",".",
IF(VLOOKUP($B113,Feature_List!$A:$AM,MATCH(BP$1,  Feature_List!$A$1:$AM$1,0),0)=H113,".","NO"))</f>
        <v>.</v>
      </c>
      <c r="BQ113" s="136"/>
      <c r="BR113" s="136" t="str">
        <f>IF($D113&lt;&gt;"Feature",".",
IF(VLOOKUP($B113,Feature_List!$A:$AM,MATCH(BR$1,  Feature_List!$A$1:$AM$1,0),0)=J113,".","NO"))</f>
        <v>.</v>
      </c>
      <c r="BS113" s="136"/>
      <c r="BT113" s="136"/>
      <c r="BU113" s="136" t="str">
        <f>IF($D113&lt;&gt;"Feature",".",
IF(VLOOKUP($B113,Feature_List!$A:$AM,MATCH(BU$1,  Feature_List!$A$1:$AM$1,0),0)=M113,".","NO"))</f>
        <v>.</v>
      </c>
      <c r="BV113" s="136" t="str">
        <f>IF($D113&lt;&gt;"Feature",".",
IF(VLOOKUP($B113,Feature_List!$A:$AM,MATCH(BV$1,  Feature_List!$A$1:$AM$1,0),0)=N113,".","NO"))</f>
        <v>.</v>
      </c>
      <c r="BW113" s="136"/>
      <c r="BX113" s="136"/>
      <c r="BY113" s="136"/>
      <c r="BZ113" s="136"/>
      <c r="CA113" s="136"/>
      <c r="CB113" s="136" t="str">
        <f>IF($D113&lt;&gt;"Feature",".",
IF(VLOOKUP($B113,Feature_List!$A:$AM,MATCH(CB$1,  Feature_List!$A$1:$AM$1,0),0)=T113,".","NO"))</f>
        <v>.</v>
      </c>
      <c r="CC113" s="136"/>
      <c r="CD113" s="136"/>
      <c r="CE113" s="136"/>
      <c r="CF113" s="136"/>
      <c r="CG113" s="136"/>
      <c r="CH113" s="136"/>
      <c r="CI113" s="136"/>
      <c r="CJ113" s="136"/>
      <c r="CK113" s="136"/>
      <c r="CL113" s="136"/>
      <c r="CM113" s="136"/>
      <c r="CN113" s="136"/>
      <c r="CO113" s="136" t="str">
        <f>IF($D113&lt;&gt;"Feature",".",
IF(VLOOKUP($B113,Feature_List!$A:$AM,MATCH(CO$1,  Feature_List!$A$1:$AM$1,0),0)=AG113,".","NO"))</f>
        <v>.</v>
      </c>
      <c r="CP113" s="136" t="str">
        <f>IF($D113&lt;&gt;"Feature",".",
IF(VLOOKUP($B113,Feature_List!$A:$AM,MATCH(CP$1,  Feature_List!$A$1:$AM$1,0),0)=AH113,".","NO"))</f>
        <v>.</v>
      </c>
      <c r="CQ113" s="136" t="str">
        <f>IF($D113&lt;&gt;"Feature",".",
IF(VLOOKUP($B113,Feature_List!$A:$AM,MATCH(CQ$1,  Feature_List!$A$1:$AM$1,0),0)=AI113,".","NO"))</f>
        <v>.</v>
      </c>
      <c r="CR113" s="136" t="str">
        <f>IF($D113&lt;&gt;"Feature",".",
IF(VLOOKUP($B113,Feature_List!$A:$AM,MATCH(CR$1,  Feature_List!$A$1:$AM$1,0),0)=AJ113,".","NO"))</f>
        <v>.</v>
      </c>
      <c r="CS113" s="136" t="str">
        <f>IF($D113&lt;&gt;"Feature",".",
IF(VLOOKUP($B113,Feature_List!$A:$AM,MATCH(CS$1,  Feature_List!$A$1:$AM$1,0),0)=AK113,".","NO"))</f>
        <v>.</v>
      </c>
      <c r="CT113" s="136" t="str">
        <f>IF($D113&lt;&gt;"Feature",".",
IF(VLOOKUP($B113,Feature_List!$A:$AM,MATCH(CT$1,  Feature_List!$A$1:$AM$1,0),0)=AL113,".","NO"))</f>
        <v>.</v>
      </c>
      <c r="CU113" s="136" t="str">
        <f>IF($D113&lt;&gt;"Feature",".",
IF(VLOOKUP($B113,Feature_List!$A:$AM,MATCH(CU$1,  Feature_List!$A$1:$AM$1,0),0)=AM113,".","NO"))</f>
        <v>.</v>
      </c>
      <c r="CV113" s="136" t="str">
        <f>IF($D113&lt;&gt;"Feature",".",
IF(VLOOKUP($B113,Feature_List!$A:$AM,MATCH(CV$1,  Feature_List!$A$1:$AM$1,0),0)=AN113,".","NO"))</f>
        <v>.</v>
      </c>
      <c r="CW113" s="136" t="str">
        <f>IF($D113&lt;&gt;"Feature",".",
IF(VLOOKUP($B113,Feature_List!$A:$AM,MATCH(CW$1,  Feature_List!$A$1:$AM$1,0),0)=AO113,".","NO"))</f>
        <v>.</v>
      </c>
      <c r="CX113" s="136" t="str">
        <f>IF($D113&lt;&gt;"Feature",".",
IF(VLOOKUP($B113,Feature_List!$A:$AM,MATCH(CX$1,  Feature_List!$A$1:$AM$1,0),0)=AP113,".","NO"))</f>
        <v>.</v>
      </c>
      <c r="CY113" s="136" t="str">
        <f>IF($D113&lt;&gt;"Feature",".",
IF(VLOOKUP($B113,Feature_List!$A:$AM,MATCH(CY$1,  Feature_List!$A$1:$AM$1,0),0)=AQ113,".","NO"))</f>
        <v>.</v>
      </c>
      <c r="CZ113" s="136" t="str">
        <f>IF($D113&lt;&gt;"Feature",".",
IF(VLOOKUP($B113,Feature_List!$A:$AM,MATCH(CZ$1,  Feature_List!$A$1:$AM$1,0),0)=AR113,".","NO"))</f>
        <v>.</v>
      </c>
      <c r="DA113" s="136" t="str">
        <f>IF($D113&lt;&gt;"Feature",".",
IF(VLOOKUP($B113,Feature_List!$A:$AM,MATCH(DA$1,  Feature_List!$A$1:$AM$1,0),0)=AS113,".","NO"))</f>
        <v>.</v>
      </c>
      <c r="DB113" s="136" t="str">
        <f>IF($D113&lt;&gt;"Feature",".",
IF(VLOOKUP($B113,Feature_List!$A:$AM,MATCH(DB$1,  Feature_List!$A$1:$AM$1,0),0)=AT113,".","NO"))</f>
        <v>.</v>
      </c>
      <c r="DC113" s="136" t="str">
        <f>IF($D113&lt;&gt;"Feature",".",
IF(VLOOKUP($B113,Feature_List!$A:$AM,MATCH(DC$1,  Feature_List!$A$1:$AM$1,0),0)=AU113,".","NO"))</f>
        <v>.</v>
      </c>
      <c r="DD113" s="136" t="str">
        <f>IF($D113&lt;&gt;"Feature",".",
IF(VLOOKUP($B113,Feature_List!$A:$AM,MATCH(DD$1,  Feature_List!$A$1:$AM$1,0),0)=AV113,".","NO"))</f>
        <v>.</v>
      </c>
      <c r="DE113" s="136" t="str">
        <f>IF($D113&lt;&gt;"Feature",".",
IF(VLOOKUP($B113,Feature_List!$A:$AM,MATCH(DE$1,  Feature_List!$A$1:$AM$1,0),0)=AW113,".","NO"))</f>
        <v>.</v>
      </c>
      <c r="DF113" s="136" t="str">
        <f>IF($D113&lt;&gt;"Feature",".",
IF(VLOOKUP($B113,Feature_List!$A:$AM,MATCH(DF$1,  Feature_List!$A$1:$AM$1,0),0)=AX113,".","NO"))</f>
        <v>.</v>
      </c>
      <c r="DG113" s="136" t="str">
        <f>IF($D113&lt;&gt;"Feature",".",
IF(VLOOKUP($B113,Feature_List!$A:$AM,MATCH(DG$1,  Feature_List!$A$1:$AM$1,0),0)=AY113,".","NO"))</f>
        <v>.</v>
      </c>
      <c r="DH113" s="136" t="str">
        <f>IF($D113&lt;&gt;"Feature",".",
IF(VLOOKUP($B113,Feature_List!$A:$AM,MATCH(DH$1,  Feature_List!$A$1:$AM$1,0),0)=AZ113,".","NO"))</f>
        <v>.</v>
      </c>
      <c r="DI113" s="136" t="str">
        <f>IF($D113&lt;&gt;"Feature",".",
IF(VLOOKUP($B113,Feature_List!$A:$AM,MATCH(DI$1,  Feature_List!$A$1:$AM$1,0),0)=BA113,".","NO"))</f>
        <v>.</v>
      </c>
      <c r="DJ113" s="136" t="str">
        <f>IF($D113&lt;&gt;"Feature",".",
IF(VLOOKUP($B113,Feature_List!$A:$AM,MATCH(DJ$1,  Feature_List!$A$1:$AM$1,0),0)=BB113,".","NO"))</f>
        <v>.</v>
      </c>
      <c r="DK113" s="136"/>
      <c r="DL113" s="136"/>
      <c r="DM113" s="136"/>
      <c r="DN113" s="136" t="str">
        <f>IF($D113&lt;&gt;"Feature",".",
IF(VLOOKUP($B113,Feature_List!$A:$AM,MATCH(DN$1,  Feature_List!$A$1:$AM$1,0),0)=BC113,".","NO"))</f>
        <v>.</v>
      </c>
      <c r="DO113" s="136" t="str">
        <f>IF($D113&lt;&gt;"Feature",".",
IF(VLOOKUP($B113,Feature_List!$A:$AM,MATCH(DO$1,  Feature_List!$A$1:$AM$1,0),0)=BD113,".","NO"))</f>
        <v>.</v>
      </c>
    </row>
    <row r="114" spans="2:119" x14ac:dyDescent="0.3">
      <c r="B114" s="121"/>
      <c r="C114" s="122"/>
      <c r="D114" s="122"/>
      <c r="E114" s="122"/>
      <c r="F114" s="138"/>
      <c r="G114" s="123"/>
      <c r="H114" s="122"/>
      <c r="I114" s="124"/>
      <c r="J114" s="138"/>
      <c r="K114" s="123"/>
      <c r="L114" s="122"/>
      <c r="M114" s="122"/>
      <c r="N114" s="125"/>
      <c r="O114" s="123">
        <f t="shared" si="38"/>
        <v>0</v>
      </c>
      <c r="P114" s="123">
        <f t="shared" si="39"/>
        <v>0</v>
      </c>
      <c r="Q114" s="122" t="str">
        <f t="shared" si="61"/>
        <v>ZeroEntry</v>
      </c>
      <c r="R114" s="126" t="str">
        <f t="shared" si="40"/>
        <v>ZeroEntry</v>
      </c>
      <c r="S114" s="127" t="str">
        <f t="shared" si="41"/>
        <v>ZeroEntry</v>
      </c>
      <c r="T114" s="128" t="str">
        <f>IF($Q114="ZeroEntry", "",VLOOKUP($I114,'Ranking Lookup'!#REF!,2,FALSE))</f>
        <v/>
      </c>
      <c r="U114" s="129" t="str">
        <f t="shared" si="42"/>
        <v/>
      </c>
      <c r="V114" s="129" t="str">
        <f t="shared" si="43"/>
        <v/>
      </c>
      <c r="W114" s="129" t="str">
        <f t="shared" si="44"/>
        <v/>
      </c>
      <c r="X114" s="129" t="str">
        <f t="shared" si="45"/>
        <v/>
      </c>
      <c r="Y114" s="129" t="str">
        <f t="shared" si="46"/>
        <v/>
      </c>
      <c r="Z114" s="129" t="str">
        <f t="shared" si="47"/>
        <v/>
      </c>
      <c r="AA114" s="130"/>
      <c r="AB114" s="130" t="str">
        <f t="shared" si="48"/>
        <v>Unassigned</v>
      </c>
      <c r="AC114" s="131" t="str">
        <f t="shared" si="62"/>
        <v/>
      </c>
      <c r="AD114" s="131" t="str">
        <f t="shared" si="63"/>
        <v/>
      </c>
      <c r="AE114" s="132">
        <f t="shared" si="49"/>
        <v>0</v>
      </c>
      <c r="AF114" s="133" t="str">
        <f t="shared" si="64"/>
        <v/>
      </c>
      <c r="AG114" s="134">
        <f t="shared" si="50"/>
        <v>0</v>
      </c>
      <c r="AH114" s="54" t="str">
        <f t="shared" si="51"/>
        <v/>
      </c>
      <c r="AI114" s="54" t="str">
        <f t="shared" ref="AI114:AX129" si="72">IF(AND($Q114="Feature",LEFT($AB114,2)="PI"),
IF(AND(COUNTIF($R:$R,$B114)=1,$T114=AI$1), IF($AB114=$A$10,$AF114,0),
IF(OR($AD114&lt;1,RIGHT($G114,8)="Progress",$AH114&gt;0),SUMIFS($O:$O,$R:$R,$B114,$T:$T,AI$1,$P:$P,"&lt;&gt;Done",$AB:$AB,$A$10),
IF($T114=AI$1,IF($AB114=$A$10,$AD114,0)+SUMIFS($O:$O,$R:$R,$B114,$T:$T,AI$1,$P:$P,"&lt;&gt;Done",$AB:$AB,$A$10),SUMIFS($O:$O,$R:$R,$B114,$T:$T,AI$1,$P:$P,"&lt;&gt;Done",$AB:$AB,$A$10)))),
IF(AND(OR($Q114="Story",$Q114="Problem",$Q114="Enhancement"),$AB114=$A$10,$R114=0,$T114=AI$1,$P114&lt;&gt;"Done"),$O114,""))</f>
        <v/>
      </c>
      <c r="AJ114" s="54" t="str">
        <f t="shared" si="72"/>
        <v/>
      </c>
      <c r="AK114" s="54" t="str">
        <f t="shared" si="72"/>
        <v/>
      </c>
      <c r="AL114" s="54" t="str">
        <f t="shared" si="72"/>
        <v/>
      </c>
      <c r="AM114" s="54" t="str">
        <f t="shared" si="72"/>
        <v/>
      </c>
      <c r="AN114" s="54" t="str">
        <f t="shared" si="72"/>
        <v/>
      </c>
      <c r="AO114" s="54" t="str">
        <f t="shared" si="72"/>
        <v/>
      </c>
      <c r="AP114" s="54" t="str">
        <f t="shared" si="72"/>
        <v/>
      </c>
      <c r="AQ114" s="54" t="str">
        <f t="shared" si="72"/>
        <v/>
      </c>
      <c r="AR114" s="54" t="str">
        <f t="shared" si="72"/>
        <v/>
      </c>
      <c r="AS114" s="54" t="str">
        <f t="shared" si="72"/>
        <v/>
      </c>
      <c r="AT114" s="54" t="str">
        <f t="shared" si="72"/>
        <v/>
      </c>
      <c r="AU114" s="54" t="str">
        <f t="shared" si="72"/>
        <v/>
      </c>
      <c r="AV114" s="54" t="str">
        <f t="shared" si="72"/>
        <v/>
      </c>
      <c r="AW114" s="54" t="str">
        <f t="shared" si="72"/>
        <v/>
      </c>
      <c r="AX114" s="54" t="str">
        <f t="shared" si="72"/>
        <v/>
      </c>
      <c r="AY114" s="54" t="str">
        <f t="shared" si="53"/>
        <v/>
      </c>
      <c r="AZ114" s="54" t="str">
        <f t="shared" si="54"/>
        <v/>
      </c>
      <c r="BA114" s="54" t="str">
        <f t="shared" si="55"/>
        <v/>
      </c>
      <c r="BB114" s="135" t="str">
        <f t="shared" si="56"/>
        <v/>
      </c>
      <c r="BC114" s="54" t="str">
        <f t="shared" si="70"/>
        <v/>
      </c>
      <c r="BD114" s="54" t="str">
        <f t="shared" si="70"/>
        <v/>
      </c>
      <c r="BE114" s="54" t="str">
        <f t="shared" si="70"/>
        <v/>
      </c>
      <c r="BF114" s="54" t="str">
        <f t="shared" si="57"/>
        <v/>
      </c>
      <c r="BG114" s="54" t="str">
        <f t="shared" si="58"/>
        <v/>
      </c>
      <c r="BH114" s="34" t="str">
        <f t="shared" si="59"/>
        <v>Bad</v>
      </c>
      <c r="BI114" s="34" t="str">
        <f t="shared" si="60"/>
        <v>No</v>
      </c>
      <c r="BJ114" s="136" t="str">
        <f>IF($D114&lt;&gt;"Feature",".",
IF(VLOOKUP($B114,Feature_List!$A:$AM,MATCH(BJ$1,  Feature_List!$A$1:$AM$1,0),0)=B114,".","NO"))</f>
        <v>.</v>
      </c>
      <c r="BK114" s="136"/>
      <c r="BL114" s="136"/>
      <c r="BM114" s="136" t="str">
        <f>IF($D114&lt;&gt;"Feature",".",
IF(VLOOKUP($B114,Feature_List!$A:$AM,MATCH(BM$1,  Feature_List!$A$1:$AM$1,0),0)=E114,".","NO"))</f>
        <v>.</v>
      </c>
      <c r="BN114" s="136" t="str">
        <f>IF($D114&lt;&gt;"Feature",".",
IF(VLOOKUP($B114,Feature_List!$A:$AM,MATCH(BN$1,  Feature_List!$A$1:$AM$1,0),0)=F114,".","NO"))</f>
        <v>.</v>
      </c>
      <c r="BO114" s="136" t="str">
        <f>IF($D114&lt;&gt;"Feature",".",
IF(VLOOKUP($B114,Feature_List!$A:$AM,MATCH(BO$1,  Feature_List!$A$1:$AM$1,0),0)=G114,".","NO"))</f>
        <v>.</v>
      </c>
      <c r="BP114" s="136" t="str">
        <f>IF($D114&lt;&gt;"Feature",".",
IF(VLOOKUP($B114,Feature_List!$A:$AM,MATCH(BP$1,  Feature_List!$A$1:$AM$1,0),0)=H114,".","NO"))</f>
        <v>.</v>
      </c>
      <c r="BQ114" s="136"/>
      <c r="BR114" s="136" t="str">
        <f>IF($D114&lt;&gt;"Feature",".",
IF(VLOOKUP($B114,Feature_List!$A:$AM,MATCH(BR$1,  Feature_List!$A$1:$AM$1,0),0)=J114,".","NO"))</f>
        <v>.</v>
      </c>
      <c r="BS114" s="136"/>
      <c r="BT114" s="136"/>
      <c r="BU114" s="136" t="str">
        <f>IF($D114&lt;&gt;"Feature",".",
IF(VLOOKUP($B114,Feature_List!$A:$AM,MATCH(BU$1,  Feature_List!$A$1:$AM$1,0),0)=M114,".","NO"))</f>
        <v>.</v>
      </c>
      <c r="BV114" s="136" t="str">
        <f>IF($D114&lt;&gt;"Feature",".",
IF(VLOOKUP($B114,Feature_List!$A:$AM,MATCH(BV$1,  Feature_List!$A$1:$AM$1,0),0)=N114,".","NO"))</f>
        <v>.</v>
      </c>
      <c r="BW114" s="136"/>
      <c r="BX114" s="136"/>
      <c r="BY114" s="136"/>
      <c r="BZ114" s="136"/>
      <c r="CA114" s="136"/>
      <c r="CB114" s="136" t="str">
        <f>IF($D114&lt;&gt;"Feature",".",
IF(VLOOKUP($B114,Feature_List!$A:$AM,MATCH(CB$1,  Feature_List!$A$1:$AM$1,0),0)=T114,".","NO"))</f>
        <v>.</v>
      </c>
      <c r="CC114" s="136"/>
      <c r="CD114" s="136"/>
      <c r="CE114" s="136"/>
      <c r="CF114" s="136"/>
      <c r="CG114" s="136"/>
      <c r="CH114" s="136"/>
      <c r="CI114" s="136"/>
      <c r="CJ114" s="136"/>
      <c r="CK114" s="136"/>
      <c r="CL114" s="136"/>
      <c r="CM114" s="136"/>
      <c r="CN114" s="136"/>
      <c r="CO114" s="136" t="str">
        <f>IF($D114&lt;&gt;"Feature",".",
IF(VLOOKUP($B114,Feature_List!$A:$AM,MATCH(CO$1,  Feature_List!$A$1:$AM$1,0),0)=AG114,".","NO"))</f>
        <v>.</v>
      </c>
      <c r="CP114" s="136" t="str">
        <f>IF($D114&lt;&gt;"Feature",".",
IF(VLOOKUP($B114,Feature_List!$A:$AM,MATCH(CP$1,  Feature_List!$A$1:$AM$1,0),0)=AH114,".","NO"))</f>
        <v>.</v>
      </c>
      <c r="CQ114" s="136" t="str">
        <f>IF($D114&lt;&gt;"Feature",".",
IF(VLOOKUP($B114,Feature_List!$A:$AM,MATCH(CQ$1,  Feature_List!$A$1:$AM$1,0),0)=AI114,".","NO"))</f>
        <v>.</v>
      </c>
      <c r="CR114" s="136" t="str">
        <f>IF($D114&lt;&gt;"Feature",".",
IF(VLOOKUP($B114,Feature_List!$A:$AM,MATCH(CR$1,  Feature_List!$A$1:$AM$1,0),0)=AJ114,".","NO"))</f>
        <v>.</v>
      </c>
      <c r="CS114" s="136" t="str">
        <f>IF($D114&lt;&gt;"Feature",".",
IF(VLOOKUP($B114,Feature_List!$A:$AM,MATCH(CS$1,  Feature_List!$A$1:$AM$1,0),0)=AK114,".","NO"))</f>
        <v>.</v>
      </c>
      <c r="CT114" s="136" t="str">
        <f>IF($D114&lt;&gt;"Feature",".",
IF(VLOOKUP($B114,Feature_List!$A:$AM,MATCH(CT$1,  Feature_List!$A$1:$AM$1,0),0)=AL114,".","NO"))</f>
        <v>.</v>
      </c>
      <c r="CU114" s="136" t="str">
        <f>IF($D114&lt;&gt;"Feature",".",
IF(VLOOKUP($B114,Feature_List!$A:$AM,MATCH(CU$1,  Feature_List!$A$1:$AM$1,0),0)=AM114,".","NO"))</f>
        <v>.</v>
      </c>
      <c r="CV114" s="136" t="str">
        <f>IF($D114&lt;&gt;"Feature",".",
IF(VLOOKUP($B114,Feature_List!$A:$AM,MATCH(CV$1,  Feature_List!$A$1:$AM$1,0),0)=AN114,".","NO"))</f>
        <v>.</v>
      </c>
      <c r="CW114" s="136" t="str">
        <f>IF($D114&lt;&gt;"Feature",".",
IF(VLOOKUP($B114,Feature_List!$A:$AM,MATCH(CW$1,  Feature_List!$A$1:$AM$1,0),0)=AO114,".","NO"))</f>
        <v>.</v>
      </c>
      <c r="CX114" s="136" t="str">
        <f>IF($D114&lt;&gt;"Feature",".",
IF(VLOOKUP($B114,Feature_List!$A:$AM,MATCH(CX$1,  Feature_List!$A$1:$AM$1,0),0)=AP114,".","NO"))</f>
        <v>.</v>
      </c>
      <c r="CY114" s="136" t="str">
        <f>IF($D114&lt;&gt;"Feature",".",
IF(VLOOKUP($B114,Feature_List!$A:$AM,MATCH(CY$1,  Feature_List!$A$1:$AM$1,0),0)=AQ114,".","NO"))</f>
        <v>.</v>
      </c>
      <c r="CZ114" s="136" t="str">
        <f>IF($D114&lt;&gt;"Feature",".",
IF(VLOOKUP($B114,Feature_List!$A:$AM,MATCH(CZ$1,  Feature_List!$A$1:$AM$1,0),0)=AR114,".","NO"))</f>
        <v>.</v>
      </c>
      <c r="DA114" s="136" t="str">
        <f>IF($D114&lt;&gt;"Feature",".",
IF(VLOOKUP($B114,Feature_List!$A:$AM,MATCH(DA$1,  Feature_List!$A$1:$AM$1,0),0)=AS114,".","NO"))</f>
        <v>.</v>
      </c>
      <c r="DB114" s="136" t="str">
        <f>IF($D114&lt;&gt;"Feature",".",
IF(VLOOKUP($B114,Feature_List!$A:$AM,MATCH(DB$1,  Feature_List!$A$1:$AM$1,0),0)=AT114,".","NO"))</f>
        <v>.</v>
      </c>
      <c r="DC114" s="136" t="str">
        <f>IF($D114&lt;&gt;"Feature",".",
IF(VLOOKUP($B114,Feature_List!$A:$AM,MATCH(DC$1,  Feature_List!$A$1:$AM$1,0),0)=AU114,".","NO"))</f>
        <v>.</v>
      </c>
      <c r="DD114" s="136" t="str">
        <f>IF($D114&lt;&gt;"Feature",".",
IF(VLOOKUP($B114,Feature_List!$A:$AM,MATCH(DD$1,  Feature_List!$A$1:$AM$1,0),0)=AV114,".","NO"))</f>
        <v>.</v>
      </c>
      <c r="DE114" s="136" t="str">
        <f>IF($D114&lt;&gt;"Feature",".",
IF(VLOOKUP($B114,Feature_List!$A:$AM,MATCH(DE$1,  Feature_List!$A$1:$AM$1,0),0)=AW114,".","NO"))</f>
        <v>.</v>
      </c>
      <c r="DF114" s="136" t="str">
        <f>IF($D114&lt;&gt;"Feature",".",
IF(VLOOKUP($B114,Feature_List!$A:$AM,MATCH(DF$1,  Feature_List!$A$1:$AM$1,0),0)=AX114,".","NO"))</f>
        <v>.</v>
      </c>
      <c r="DG114" s="136" t="str">
        <f>IF($D114&lt;&gt;"Feature",".",
IF(VLOOKUP($B114,Feature_List!$A:$AM,MATCH(DG$1,  Feature_List!$A$1:$AM$1,0),0)=AY114,".","NO"))</f>
        <v>.</v>
      </c>
      <c r="DH114" s="136" t="str">
        <f>IF($D114&lt;&gt;"Feature",".",
IF(VLOOKUP($B114,Feature_List!$A:$AM,MATCH(DH$1,  Feature_List!$A$1:$AM$1,0),0)=AZ114,".","NO"))</f>
        <v>.</v>
      </c>
      <c r="DI114" s="136" t="str">
        <f>IF($D114&lt;&gt;"Feature",".",
IF(VLOOKUP($B114,Feature_List!$A:$AM,MATCH(DI$1,  Feature_List!$A$1:$AM$1,0),0)=BA114,".","NO"))</f>
        <v>.</v>
      </c>
      <c r="DJ114" s="136" t="str">
        <f>IF($D114&lt;&gt;"Feature",".",
IF(VLOOKUP($B114,Feature_List!$A:$AM,MATCH(DJ$1,  Feature_List!$A$1:$AM$1,0),0)=BB114,".","NO"))</f>
        <v>.</v>
      </c>
      <c r="DK114" s="136"/>
      <c r="DL114" s="136"/>
      <c r="DM114" s="136"/>
      <c r="DN114" s="136" t="str">
        <f>IF($D114&lt;&gt;"Feature",".",
IF(VLOOKUP($B114,Feature_List!$A:$AM,MATCH(DN$1,  Feature_List!$A$1:$AM$1,0),0)=BC114,".","NO"))</f>
        <v>.</v>
      </c>
      <c r="DO114" s="136" t="str">
        <f>IF($D114&lt;&gt;"Feature",".",
IF(VLOOKUP($B114,Feature_List!$A:$AM,MATCH(DO$1,  Feature_List!$A$1:$AM$1,0),0)=BD114,".","NO"))</f>
        <v>.</v>
      </c>
    </row>
    <row r="115" spans="2:119" x14ac:dyDescent="0.3">
      <c r="B115" s="121"/>
      <c r="C115" s="122"/>
      <c r="D115" s="122"/>
      <c r="E115" s="122"/>
      <c r="F115" s="138"/>
      <c r="G115" s="123"/>
      <c r="H115" s="122"/>
      <c r="I115" s="124"/>
      <c r="J115" s="138"/>
      <c r="K115" s="123"/>
      <c r="L115" s="122"/>
      <c r="M115" s="122"/>
      <c r="N115" s="125"/>
      <c r="O115" s="123">
        <f t="shared" si="38"/>
        <v>0</v>
      </c>
      <c r="P115" s="123">
        <f t="shared" si="39"/>
        <v>0</v>
      </c>
      <c r="Q115" s="122" t="str">
        <f t="shared" si="61"/>
        <v>ZeroEntry</v>
      </c>
      <c r="R115" s="126" t="str">
        <f t="shared" si="40"/>
        <v>ZeroEntry</v>
      </c>
      <c r="S115" s="127" t="str">
        <f t="shared" si="41"/>
        <v>ZeroEntry</v>
      </c>
      <c r="T115" s="128" t="str">
        <f>IF($Q115="ZeroEntry", "",VLOOKUP($I115,'Ranking Lookup'!#REF!,2,FALSE))</f>
        <v/>
      </c>
      <c r="U115" s="129" t="str">
        <f t="shared" si="42"/>
        <v/>
      </c>
      <c r="V115" s="129" t="str">
        <f t="shared" si="43"/>
        <v/>
      </c>
      <c r="W115" s="129" t="str">
        <f t="shared" si="44"/>
        <v/>
      </c>
      <c r="X115" s="129" t="str">
        <f t="shared" si="45"/>
        <v/>
      </c>
      <c r="Y115" s="129" t="str">
        <f t="shared" si="46"/>
        <v/>
      </c>
      <c r="Z115" s="129" t="str">
        <f t="shared" si="47"/>
        <v/>
      </c>
      <c r="AA115" s="130"/>
      <c r="AB115" s="130" t="str">
        <f t="shared" si="48"/>
        <v>Unassigned</v>
      </c>
      <c r="AC115" s="131" t="str">
        <f t="shared" si="62"/>
        <v/>
      </c>
      <c r="AD115" s="131" t="str">
        <f t="shared" si="63"/>
        <v/>
      </c>
      <c r="AE115" s="132">
        <f t="shared" si="49"/>
        <v>0</v>
      </c>
      <c r="AF115" s="133" t="str">
        <f t="shared" si="64"/>
        <v/>
      </c>
      <c r="AG115" s="134">
        <f t="shared" si="50"/>
        <v>0</v>
      </c>
      <c r="AH115" s="54" t="str">
        <f t="shared" si="51"/>
        <v/>
      </c>
      <c r="AI115" s="54" t="str">
        <f t="shared" si="72"/>
        <v/>
      </c>
      <c r="AJ115" s="54" t="str">
        <f t="shared" si="72"/>
        <v/>
      </c>
      <c r="AK115" s="54" t="str">
        <f t="shared" si="72"/>
        <v/>
      </c>
      <c r="AL115" s="54" t="str">
        <f t="shared" si="72"/>
        <v/>
      </c>
      <c r="AM115" s="54" t="str">
        <f t="shared" si="72"/>
        <v/>
      </c>
      <c r="AN115" s="54" t="str">
        <f t="shared" si="72"/>
        <v/>
      </c>
      <c r="AO115" s="54" t="str">
        <f t="shared" si="72"/>
        <v/>
      </c>
      <c r="AP115" s="54" t="str">
        <f t="shared" si="72"/>
        <v/>
      </c>
      <c r="AQ115" s="54" t="str">
        <f t="shared" si="72"/>
        <v/>
      </c>
      <c r="AR115" s="54" t="str">
        <f t="shared" si="72"/>
        <v/>
      </c>
      <c r="AS115" s="54" t="str">
        <f t="shared" si="72"/>
        <v/>
      </c>
      <c r="AT115" s="54" t="str">
        <f t="shared" si="72"/>
        <v/>
      </c>
      <c r="AU115" s="54" t="str">
        <f t="shared" si="72"/>
        <v/>
      </c>
      <c r="AV115" s="54" t="str">
        <f t="shared" si="72"/>
        <v/>
      </c>
      <c r="AW115" s="54" t="str">
        <f t="shared" si="72"/>
        <v/>
      </c>
      <c r="AX115" s="54" t="str">
        <f t="shared" si="72"/>
        <v/>
      </c>
      <c r="AY115" s="54" t="str">
        <f t="shared" si="53"/>
        <v/>
      </c>
      <c r="AZ115" s="54" t="str">
        <f t="shared" si="54"/>
        <v/>
      </c>
      <c r="BA115" s="54" t="str">
        <f t="shared" si="55"/>
        <v/>
      </c>
      <c r="BB115" s="135" t="str">
        <f t="shared" si="56"/>
        <v/>
      </c>
      <c r="BC115" s="54" t="str">
        <f t="shared" si="70"/>
        <v/>
      </c>
      <c r="BD115" s="54" t="str">
        <f t="shared" si="70"/>
        <v/>
      </c>
      <c r="BE115" s="54" t="str">
        <f t="shared" si="70"/>
        <v/>
      </c>
      <c r="BF115" s="54" t="str">
        <f t="shared" si="57"/>
        <v/>
      </c>
      <c r="BG115" s="54" t="str">
        <f t="shared" si="58"/>
        <v/>
      </c>
      <c r="BH115" s="34" t="str">
        <f t="shared" si="59"/>
        <v>Bad</v>
      </c>
      <c r="BI115" s="34" t="str">
        <f t="shared" si="60"/>
        <v>No</v>
      </c>
      <c r="BJ115" s="136" t="str">
        <f>IF($D115&lt;&gt;"Feature",".",
IF(VLOOKUP($B115,Feature_List!$A:$AM,MATCH(BJ$1,  Feature_List!$A$1:$AM$1,0),0)=B115,".","NO"))</f>
        <v>.</v>
      </c>
      <c r="BK115" s="136"/>
      <c r="BL115" s="136"/>
      <c r="BM115" s="136" t="str">
        <f>IF($D115&lt;&gt;"Feature",".",
IF(VLOOKUP($B115,Feature_List!$A:$AM,MATCH(BM$1,  Feature_List!$A$1:$AM$1,0),0)=E115,".","NO"))</f>
        <v>.</v>
      </c>
      <c r="BN115" s="136" t="str">
        <f>IF($D115&lt;&gt;"Feature",".",
IF(VLOOKUP($B115,Feature_List!$A:$AM,MATCH(BN$1,  Feature_List!$A$1:$AM$1,0),0)=F115,".","NO"))</f>
        <v>.</v>
      </c>
      <c r="BO115" s="136" t="str">
        <f>IF($D115&lt;&gt;"Feature",".",
IF(VLOOKUP($B115,Feature_List!$A:$AM,MATCH(BO$1,  Feature_List!$A$1:$AM$1,0),0)=G115,".","NO"))</f>
        <v>.</v>
      </c>
      <c r="BP115" s="136" t="str">
        <f>IF($D115&lt;&gt;"Feature",".",
IF(VLOOKUP($B115,Feature_List!$A:$AM,MATCH(BP$1,  Feature_List!$A$1:$AM$1,0),0)=H115,".","NO"))</f>
        <v>.</v>
      </c>
      <c r="BQ115" s="136"/>
      <c r="BR115" s="136" t="str">
        <f>IF($D115&lt;&gt;"Feature",".",
IF(VLOOKUP($B115,Feature_List!$A:$AM,MATCH(BR$1,  Feature_List!$A$1:$AM$1,0),0)=J115,".","NO"))</f>
        <v>.</v>
      </c>
      <c r="BS115" s="136"/>
      <c r="BT115" s="136"/>
      <c r="BU115" s="136" t="str">
        <f>IF($D115&lt;&gt;"Feature",".",
IF(VLOOKUP($B115,Feature_List!$A:$AM,MATCH(BU$1,  Feature_List!$A$1:$AM$1,0),0)=M115,".","NO"))</f>
        <v>.</v>
      </c>
      <c r="BV115" s="136" t="str">
        <f>IF($D115&lt;&gt;"Feature",".",
IF(VLOOKUP($B115,Feature_List!$A:$AM,MATCH(BV$1,  Feature_List!$A$1:$AM$1,0),0)=N115,".","NO"))</f>
        <v>.</v>
      </c>
      <c r="BW115" s="136"/>
      <c r="BX115" s="136"/>
      <c r="BY115" s="136"/>
      <c r="BZ115" s="136"/>
      <c r="CA115" s="136"/>
      <c r="CB115" s="136" t="str">
        <f>IF($D115&lt;&gt;"Feature",".",
IF(VLOOKUP($B115,Feature_List!$A:$AM,MATCH(CB$1,  Feature_List!$A$1:$AM$1,0),0)=T115,".","NO"))</f>
        <v>.</v>
      </c>
      <c r="CC115" s="136"/>
      <c r="CD115" s="136"/>
      <c r="CE115" s="136"/>
      <c r="CF115" s="136"/>
      <c r="CG115" s="136"/>
      <c r="CH115" s="136"/>
      <c r="CI115" s="136"/>
      <c r="CJ115" s="136"/>
      <c r="CK115" s="136"/>
      <c r="CL115" s="136"/>
      <c r="CM115" s="136"/>
      <c r="CN115" s="136"/>
      <c r="CO115" s="136" t="str">
        <f>IF($D115&lt;&gt;"Feature",".",
IF(VLOOKUP($B115,Feature_List!$A:$AM,MATCH(CO$1,  Feature_List!$A$1:$AM$1,0),0)=AG115,".","NO"))</f>
        <v>.</v>
      </c>
      <c r="CP115" s="136" t="str">
        <f>IF($D115&lt;&gt;"Feature",".",
IF(VLOOKUP($B115,Feature_List!$A:$AM,MATCH(CP$1,  Feature_List!$A$1:$AM$1,0),0)=AH115,".","NO"))</f>
        <v>.</v>
      </c>
      <c r="CQ115" s="136" t="str">
        <f>IF($D115&lt;&gt;"Feature",".",
IF(VLOOKUP($B115,Feature_List!$A:$AM,MATCH(CQ$1,  Feature_List!$A$1:$AM$1,0),0)=AI115,".","NO"))</f>
        <v>.</v>
      </c>
      <c r="CR115" s="136" t="str">
        <f>IF($D115&lt;&gt;"Feature",".",
IF(VLOOKUP($B115,Feature_List!$A:$AM,MATCH(CR$1,  Feature_List!$A$1:$AM$1,0),0)=AJ115,".","NO"))</f>
        <v>.</v>
      </c>
      <c r="CS115" s="136" t="str">
        <f>IF($D115&lt;&gt;"Feature",".",
IF(VLOOKUP($B115,Feature_List!$A:$AM,MATCH(CS$1,  Feature_List!$A$1:$AM$1,0),0)=AK115,".","NO"))</f>
        <v>.</v>
      </c>
      <c r="CT115" s="136" t="str">
        <f>IF($D115&lt;&gt;"Feature",".",
IF(VLOOKUP($B115,Feature_List!$A:$AM,MATCH(CT$1,  Feature_List!$A$1:$AM$1,0),0)=AL115,".","NO"))</f>
        <v>.</v>
      </c>
      <c r="CU115" s="136" t="str">
        <f>IF($D115&lt;&gt;"Feature",".",
IF(VLOOKUP($B115,Feature_List!$A:$AM,MATCH(CU$1,  Feature_List!$A$1:$AM$1,0),0)=AM115,".","NO"))</f>
        <v>.</v>
      </c>
      <c r="CV115" s="136" t="str">
        <f>IF($D115&lt;&gt;"Feature",".",
IF(VLOOKUP($B115,Feature_List!$A:$AM,MATCH(CV$1,  Feature_List!$A$1:$AM$1,0),0)=AN115,".","NO"))</f>
        <v>.</v>
      </c>
      <c r="CW115" s="136" t="str">
        <f>IF($D115&lt;&gt;"Feature",".",
IF(VLOOKUP($B115,Feature_List!$A:$AM,MATCH(CW$1,  Feature_List!$A$1:$AM$1,0),0)=AO115,".","NO"))</f>
        <v>.</v>
      </c>
      <c r="CX115" s="136" t="str">
        <f>IF($D115&lt;&gt;"Feature",".",
IF(VLOOKUP($B115,Feature_List!$A:$AM,MATCH(CX$1,  Feature_List!$A$1:$AM$1,0),0)=AP115,".","NO"))</f>
        <v>.</v>
      </c>
      <c r="CY115" s="136" t="str">
        <f>IF($D115&lt;&gt;"Feature",".",
IF(VLOOKUP($B115,Feature_List!$A:$AM,MATCH(CY$1,  Feature_List!$A$1:$AM$1,0),0)=AQ115,".","NO"))</f>
        <v>.</v>
      </c>
      <c r="CZ115" s="136" t="str">
        <f>IF($D115&lt;&gt;"Feature",".",
IF(VLOOKUP($B115,Feature_List!$A:$AM,MATCH(CZ$1,  Feature_List!$A$1:$AM$1,0),0)=AR115,".","NO"))</f>
        <v>.</v>
      </c>
      <c r="DA115" s="136" t="str">
        <f>IF($D115&lt;&gt;"Feature",".",
IF(VLOOKUP($B115,Feature_List!$A:$AM,MATCH(DA$1,  Feature_List!$A$1:$AM$1,0),0)=AS115,".","NO"))</f>
        <v>.</v>
      </c>
      <c r="DB115" s="136" t="str">
        <f>IF($D115&lt;&gt;"Feature",".",
IF(VLOOKUP($B115,Feature_List!$A:$AM,MATCH(DB$1,  Feature_List!$A$1:$AM$1,0),0)=AT115,".","NO"))</f>
        <v>.</v>
      </c>
      <c r="DC115" s="136" t="str">
        <f>IF($D115&lt;&gt;"Feature",".",
IF(VLOOKUP($B115,Feature_List!$A:$AM,MATCH(DC$1,  Feature_List!$A$1:$AM$1,0),0)=AU115,".","NO"))</f>
        <v>.</v>
      </c>
      <c r="DD115" s="136" t="str">
        <f>IF($D115&lt;&gt;"Feature",".",
IF(VLOOKUP($B115,Feature_List!$A:$AM,MATCH(DD$1,  Feature_List!$A$1:$AM$1,0),0)=AV115,".","NO"))</f>
        <v>.</v>
      </c>
      <c r="DE115" s="136" t="str">
        <f>IF($D115&lt;&gt;"Feature",".",
IF(VLOOKUP($B115,Feature_List!$A:$AM,MATCH(DE$1,  Feature_List!$A$1:$AM$1,0),0)=AW115,".","NO"))</f>
        <v>.</v>
      </c>
      <c r="DF115" s="136" t="str">
        <f>IF($D115&lt;&gt;"Feature",".",
IF(VLOOKUP($B115,Feature_List!$A:$AM,MATCH(DF$1,  Feature_List!$A$1:$AM$1,0),0)=AX115,".","NO"))</f>
        <v>.</v>
      </c>
      <c r="DG115" s="136" t="str">
        <f>IF($D115&lt;&gt;"Feature",".",
IF(VLOOKUP($B115,Feature_List!$A:$AM,MATCH(DG$1,  Feature_List!$A$1:$AM$1,0),0)=AY115,".","NO"))</f>
        <v>.</v>
      </c>
      <c r="DH115" s="136" t="str">
        <f>IF($D115&lt;&gt;"Feature",".",
IF(VLOOKUP($B115,Feature_List!$A:$AM,MATCH(DH$1,  Feature_List!$A$1:$AM$1,0),0)=AZ115,".","NO"))</f>
        <v>.</v>
      </c>
      <c r="DI115" s="136" t="str">
        <f>IF($D115&lt;&gt;"Feature",".",
IF(VLOOKUP($B115,Feature_List!$A:$AM,MATCH(DI$1,  Feature_List!$A$1:$AM$1,0),0)=BA115,".","NO"))</f>
        <v>.</v>
      </c>
      <c r="DJ115" s="136" t="str">
        <f>IF($D115&lt;&gt;"Feature",".",
IF(VLOOKUP($B115,Feature_List!$A:$AM,MATCH(DJ$1,  Feature_List!$A$1:$AM$1,0),0)=BB115,".","NO"))</f>
        <v>.</v>
      </c>
      <c r="DK115" s="136"/>
      <c r="DL115" s="136"/>
      <c r="DM115" s="136"/>
      <c r="DN115" s="136" t="str">
        <f>IF($D115&lt;&gt;"Feature",".",
IF(VLOOKUP($B115,Feature_List!$A:$AM,MATCH(DN$1,  Feature_List!$A$1:$AM$1,0),0)=BC115,".","NO"))</f>
        <v>.</v>
      </c>
      <c r="DO115" s="136" t="str">
        <f>IF($D115&lt;&gt;"Feature",".",
IF(VLOOKUP($B115,Feature_List!$A:$AM,MATCH(DO$1,  Feature_List!$A$1:$AM$1,0),0)=BD115,".","NO"))</f>
        <v>.</v>
      </c>
    </row>
    <row r="116" spans="2:119" x14ac:dyDescent="0.3">
      <c r="B116" s="121"/>
      <c r="C116" s="122"/>
      <c r="D116" s="122"/>
      <c r="E116" s="122"/>
      <c r="F116" s="138"/>
      <c r="G116" s="123"/>
      <c r="H116" s="122"/>
      <c r="I116" s="124"/>
      <c r="J116" s="138"/>
      <c r="K116" s="123"/>
      <c r="L116" s="122"/>
      <c r="M116" s="122"/>
      <c r="N116" s="125"/>
      <c r="O116" s="123">
        <f t="shared" si="38"/>
        <v>0</v>
      </c>
      <c r="P116" s="123">
        <f t="shared" si="39"/>
        <v>0</v>
      </c>
      <c r="Q116" s="122" t="str">
        <f t="shared" si="61"/>
        <v>ZeroEntry</v>
      </c>
      <c r="R116" s="126" t="str">
        <f t="shared" si="40"/>
        <v>ZeroEntry</v>
      </c>
      <c r="S116" s="127" t="str">
        <f t="shared" si="41"/>
        <v>ZeroEntry</v>
      </c>
      <c r="T116" s="128" t="str">
        <f>IF($Q116="ZeroEntry", "",VLOOKUP($I116,'Ranking Lookup'!#REF!,2,FALSE))</f>
        <v/>
      </c>
      <c r="U116" s="129" t="str">
        <f t="shared" si="42"/>
        <v/>
      </c>
      <c r="V116" s="129" t="str">
        <f t="shared" si="43"/>
        <v/>
      </c>
      <c r="W116" s="129" t="str">
        <f t="shared" si="44"/>
        <v/>
      </c>
      <c r="X116" s="129" t="str">
        <f t="shared" si="45"/>
        <v/>
      </c>
      <c r="Y116" s="129" t="str">
        <f t="shared" si="46"/>
        <v/>
      </c>
      <c r="Z116" s="129" t="str">
        <f t="shared" si="47"/>
        <v/>
      </c>
      <c r="AA116" s="130"/>
      <c r="AB116" s="130" t="str">
        <f t="shared" si="48"/>
        <v>Unassigned</v>
      </c>
      <c r="AC116" s="131" t="str">
        <f t="shared" si="62"/>
        <v/>
      </c>
      <c r="AD116" s="131" t="str">
        <f t="shared" si="63"/>
        <v/>
      </c>
      <c r="AE116" s="132">
        <f t="shared" si="49"/>
        <v>0</v>
      </c>
      <c r="AF116" s="133" t="str">
        <f t="shared" si="64"/>
        <v/>
      </c>
      <c r="AG116" s="134">
        <f t="shared" si="50"/>
        <v>0</v>
      </c>
      <c r="AH116" s="54" t="str">
        <f t="shared" si="51"/>
        <v/>
      </c>
      <c r="AI116" s="54" t="str">
        <f t="shared" si="72"/>
        <v/>
      </c>
      <c r="AJ116" s="54" t="str">
        <f t="shared" si="72"/>
        <v/>
      </c>
      <c r="AK116" s="54" t="str">
        <f t="shared" si="72"/>
        <v/>
      </c>
      <c r="AL116" s="54" t="str">
        <f t="shared" si="72"/>
        <v/>
      </c>
      <c r="AM116" s="54" t="str">
        <f t="shared" si="72"/>
        <v/>
      </c>
      <c r="AN116" s="54" t="str">
        <f t="shared" si="72"/>
        <v/>
      </c>
      <c r="AO116" s="54" t="str">
        <f t="shared" si="72"/>
        <v/>
      </c>
      <c r="AP116" s="54" t="str">
        <f t="shared" si="72"/>
        <v/>
      </c>
      <c r="AQ116" s="54" t="str">
        <f t="shared" si="72"/>
        <v/>
      </c>
      <c r="AR116" s="54" t="str">
        <f t="shared" si="72"/>
        <v/>
      </c>
      <c r="AS116" s="54" t="str">
        <f t="shared" si="72"/>
        <v/>
      </c>
      <c r="AT116" s="54" t="str">
        <f t="shared" si="72"/>
        <v/>
      </c>
      <c r="AU116" s="54" t="str">
        <f t="shared" si="72"/>
        <v/>
      </c>
      <c r="AV116" s="54" t="str">
        <f t="shared" si="72"/>
        <v/>
      </c>
      <c r="AW116" s="54" t="str">
        <f t="shared" si="72"/>
        <v/>
      </c>
      <c r="AX116" s="54" t="str">
        <f t="shared" si="72"/>
        <v/>
      </c>
      <c r="AY116" s="54" t="str">
        <f t="shared" si="53"/>
        <v/>
      </c>
      <c r="AZ116" s="54" t="str">
        <f t="shared" si="54"/>
        <v/>
      </c>
      <c r="BA116" s="54" t="str">
        <f t="shared" si="55"/>
        <v/>
      </c>
      <c r="BB116" s="135" t="str">
        <f t="shared" si="56"/>
        <v/>
      </c>
      <c r="BC116" s="54" t="str">
        <f t="shared" si="70"/>
        <v/>
      </c>
      <c r="BD116" s="54" t="str">
        <f t="shared" si="70"/>
        <v/>
      </c>
      <c r="BE116" s="54" t="str">
        <f t="shared" si="70"/>
        <v/>
      </c>
      <c r="BF116" s="54" t="str">
        <f t="shared" si="57"/>
        <v/>
      </c>
      <c r="BG116" s="54" t="str">
        <f t="shared" si="58"/>
        <v/>
      </c>
      <c r="BH116" s="34" t="str">
        <f t="shared" si="59"/>
        <v>Bad</v>
      </c>
      <c r="BI116" s="34" t="str">
        <f t="shared" si="60"/>
        <v>No</v>
      </c>
      <c r="BJ116" s="136" t="str">
        <f>IF($D116&lt;&gt;"Feature",".",
IF(VLOOKUP($B116,Feature_List!$A:$AM,MATCH(BJ$1,  Feature_List!$A$1:$AM$1,0),0)=B116,".","NO"))</f>
        <v>.</v>
      </c>
      <c r="BK116" s="136"/>
      <c r="BL116" s="136"/>
      <c r="BM116" s="136" t="str">
        <f>IF($D116&lt;&gt;"Feature",".",
IF(VLOOKUP($B116,Feature_List!$A:$AM,MATCH(BM$1,  Feature_List!$A$1:$AM$1,0),0)=E116,".","NO"))</f>
        <v>.</v>
      </c>
      <c r="BN116" s="136" t="str">
        <f>IF($D116&lt;&gt;"Feature",".",
IF(VLOOKUP($B116,Feature_List!$A:$AM,MATCH(BN$1,  Feature_List!$A$1:$AM$1,0),0)=F116,".","NO"))</f>
        <v>.</v>
      </c>
      <c r="BO116" s="136" t="str">
        <f>IF($D116&lt;&gt;"Feature",".",
IF(VLOOKUP($B116,Feature_List!$A:$AM,MATCH(BO$1,  Feature_List!$A$1:$AM$1,0),0)=G116,".","NO"))</f>
        <v>.</v>
      </c>
      <c r="BP116" s="136" t="str">
        <f>IF($D116&lt;&gt;"Feature",".",
IF(VLOOKUP($B116,Feature_List!$A:$AM,MATCH(BP$1,  Feature_List!$A$1:$AM$1,0),0)=H116,".","NO"))</f>
        <v>.</v>
      </c>
      <c r="BQ116" s="136"/>
      <c r="BR116" s="136" t="str">
        <f>IF($D116&lt;&gt;"Feature",".",
IF(VLOOKUP($B116,Feature_List!$A:$AM,MATCH(BR$1,  Feature_List!$A$1:$AM$1,0),0)=J116,".","NO"))</f>
        <v>.</v>
      </c>
      <c r="BS116" s="136"/>
      <c r="BT116" s="136"/>
      <c r="BU116" s="136" t="str">
        <f>IF($D116&lt;&gt;"Feature",".",
IF(VLOOKUP($B116,Feature_List!$A:$AM,MATCH(BU$1,  Feature_List!$A$1:$AM$1,0),0)=M116,".","NO"))</f>
        <v>.</v>
      </c>
      <c r="BV116" s="136" t="str">
        <f>IF($D116&lt;&gt;"Feature",".",
IF(VLOOKUP($B116,Feature_List!$A:$AM,MATCH(BV$1,  Feature_List!$A$1:$AM$1,0),0)=N116,".","NO"))</f>
        <v>.</v>
      </c>
      <c r="BW116" s="136"/>
      <c r="BX116" s="136"/>
      <c r="BY116" s="136"/>
      <c r="BZ116" s="136"/>
      <c r="CA116" s="136"/>
      <c r="CB116" s="136" t="str">
        <f>IF($D116&lt;&gt;"Feature",".",
IF(VLOOKUP($B116,Feature_List!$A:$AM,MATCH(CB$1,  Feature_List!$A$1:$AM$1,0),0)=T116,".","NO"))</f>
        <v>.</v>
      </c>
      <c r="CC116" s="136"/>
      <c r="CD116" s="136"/>
      <c r="CE116" s="136"/>
      <c r="CF116" s="136"/>
      <c r="CG116" s="136"/>
      <c r="CH116" s="136"/>
      <c r="CI116" s="136"/>
      <c r="CJ116" s="136"/>
      <c r="CK116" s="136"/>
      <c r="CL116" s="136"/>
      <c r="CM116" s="136"/>
      <c r="CN116" s="136"/>
      <c r="CO116" s="136" t="str">
        <f>IF($D116&lt;&gt;"Feature",".",
IF(VLOOKUP($B116,Feature_List!$A:$AM,MATCH(CO$1,  Feature_List!$A$1:$AM$1,0),0)=AG116,".","NO"))</f>
        <v>.</v>
      </c>
      <c r="CP116" s="136" t="str">
        <f>IF($D116&lt;&gt;"Feature",".",
IF(VLOOKUP($B116,Feature_List!$A:$AM,MATCH(CP$1,  Feature_List!$A$1:$AM$1,0),0)=AH116,".","NO"))</f>
        <v>.</v>
      </c>
      <c r="CQ116" s="136" t="str">
        <f>IF($D116&lt;&gt;"Feature",".",
IF(VLOOKUP($B116,Feature_List!$A:$AM,MATCH(CQ$1,  Feature_List!$A$1:$AM$1,0),0)=AI116,".","NO"))</f>
        <v>.</v>
      </c>
      <c r="CR116" s="136" t="str">
        <f>IF($D116&lt;&gt;"Feature",".",
IF(VLOOKUP($B116,Feature_List!$A:$AM,MATCH(CR$1,  Feature_List!$A$1:$AM$1,0),0)=AJ116,".","NO"))</f>
        <v>.</v>
      </c>
      <c r="CS116" s="136" t="str">
        <f>IF($D116&lt;&gt;"Feature",".",
IF(VLOOKUP($B116,Feature_List!$A:$AM,MATCH(CS$1,  Feature_List!$A$1:$AM$1,0),0)=AK116,".","NO"))</f>
        <v>.</v>
      </c>
      <c r="CT116" s="136" t="str">
        <f>IF($D116&lt;&gt;"Feature",".",
IF(VLOOKUP($B116,Feature_List!$A:$AM,MATCH(CT$1,  Feature_List!$A$1:$AM$1,0),0)=AL116,".","NO"))</f>
        <v>.</v>
      </c>
      <c r="CU116" s="136" t="str">
        <f>IF($D116&lt;&gt;"Feature",".",
IF(VLOOKUP($B116,Feature_List!$A:$AM,MATCH(CU$1,  Feature_List!$A$1:$AM$1,0),0)=AM116,".","NO"))</f>
        <v>.</v>
      </c>
      <c r="CV116" s="136" t="str">
        <f>IF($D116&lt;&gt;"Feature",".",
IF(VLOOKUP($B116,Feature_List!$A:$AM,MATCH(CV$1,  Feature_List!$A$1:$AM$1,0),0)=AN116,".","NO"))</f>
        <v>.</v>
      </c>
      <c r="CW116" s="136" t="str">
        <f>IF($D116&lt;&gt;"Feature",".",
IF(VLOOKUP($B116,Feature_List!$A:$AM,MATCH(CW$1,  Feature_List!$A$1:$AM$1,0),0)=AO116,".","NO"))</f>
        <v>.</v>
      </c>
      <c r="CX116" s="136" t="str">
        <f>IF($D116&lt;&gt;"Feature",".",
IF(VLOOKUP($B116,Feature_List!$A:$AM,MATCH(CX$1,  Feature_List!$A$1:$AM$1,0),0)=AP116,".","NO"))</f>
        <v>.</v>
      </c>
      <c r="CY116" s="136" t="str">
        <f>IF($D116&lt;&gt;"Feature",".",
IF(VLOOKUP($B116,Feature_List!$A:$AM,MATCH(CY$1,  Feature_List!$A$1:$AM$1,0),0)=AQ116,".","NO"))</f>
        <v>.</v>
      </c>
      <c r="CZ116" s="136" t="str">
        <f>IF($D116&lt;&gt;"Feature",".",
IF(VLOOKUP($B116,Feature_List!$A:$AM,MATCH(CZ$1,  Feature_List!$A$1:$AM$1,0),0)=AR116,".","NO"))</f>
        <v>.</v>
      </c>
      <c r="DA116" s="136" t="str">
        <f>IF($D116&lt;&gt;"Feature",".",
IF(VLOOKUP($B116,Feature_List!$A:$AM,MATCH(DA$1,  Feature_List!$A$1:$AM$1,0),0)=AS116,".","NO"))</f>
        <v>.</v>
      </c>
      <c r="DB116" s="136" t="str">
        <f>IF($D116&lt;&gt;"Feature",".",
IF(VLOOKUP($B116,Feature_List!$A:$AM,MATCH(DB$1,  Feature_List!$A$1:$AM$1,0),0)=AT116,".","NO"))</f>
        <v>.</v>
      </c>
      <c r="DC116" s="136" t="str">
        <f>IF($D116&lt;&gt;"Feature",".",
IF(VLOOKUP($B116,Feature_List!$A:$AM,MATCH(DC$1,  Feature_List!$A$1:$AM$1,0),0)=AU116,".","NO"))</f>
        <v>.</v>
      </c>
      <c r="DD116" s="136" t="str">
        <f>IF($D116&lt;&gt;"Feature",".",
IF(VLOOKUP($B116,Feature_List!$A:$AM,MATCH(DD$1,  Feature_List!$A$1:$AM$1,0),0)=AV116,".","NO"))</f>
        <v>.</v>
      </c>
      <c r="DE116" s="136" t="str">
        <f>IF($D116&lt;&gt;"Feature",".",
IF(VLOOKUP($B116,Feature_List!$A:$AM,MATCH(DE$1,  Feature_List!$A$1:$AM$1,0),0)=AW116,".","NO"))</f>
        <v>.</v>
      </c>
      <c r="DF116" s="136" t="str">
        <f>IF($D116&lt;&gt;"Feature",".",
IF(VLOOKUP($B116,Feature_List!$A:$AM,MATCH(DF$1,  Feature_List!$A$1:$AM$1,0),0)=AX116,".","NO"))</f>
        <v>.</v>
      </c>
      <c r="DG116" s="136" t="str">
        <f>IF($D116&lt;&gt;"Feature",".",
IF(VLOOKUP($B116,Feature_List!$A:$AM,MATCH(DG$1,  Feature_List!$A$1:$AM$1,0),0)=AY116,".","NO"))</f>
        <v>.</v>
      </c>
      <c r="DH116" s="136" t="str">
        <f>IF($D116&lt;&gt;"Feature",".",
IF(VLOOKUP($B116,Feature_List!$A:$AM,MATCH(DH$1,  Feature_List!$A$1:$AM$1,0),0)=AZ116,".","NO"))</f>
        <v>.</v>
      </c>
      <c r="DI116" s="136" t="str">
        <f>IF($D116&lt;&gt;"Feature",".",
IF(VLOOKUP($B116,Feature_List!$A:$AM,MATCH(DI$1,  Feature_List!$A$1:$AM$1,0),0)=BA116,".","NO"))</f>
        <v>.</v>
      </c>
      <c r="DJ116" s="136" t="str">
        <f>IF($D116&lt;&gt;"Feature",".",
IF(VLOOKUP($B116,Feature_List!$A:$AM,MATCH(DJ$1,  Feature_List!$A$1:$AM$1,0),0)=BB116,".","NO"))</f>
        <v>.</v>
      </c>
      <c r="DK116" s="136"/>
      <c r="DL116" s="136"/>
      <c r="DM116" s="136"/>
      <c r="DN116" s="136" t="str">
        <f>IF($D116&lt;&gt;"Feature",".",
IF(VLOOKUP($B116,Feature_List!$A:$AM,MATCH(DN$1,  Feature_List!$A$1:$AM$1,0),0)=BC116,".","NO"))</f>
        <v>.</v>
      </c>
      <c r="DO116" s="136" t="str">
        <f>IF($D116&lt;&gt;"Feature",".",
IF(VLOOKUP($B116,Feature_List!$A:$AM,MATCH(DO$1,  Feature_List!$A$1:$AM$1,0),0)=BD116,".","NO"))</f>
        <v>.</v>
      </c>
    </row>
    <row r="117" spans="2:119" x14ac:dyDescent="0.3">
      <c r="B117" s="121"/>
      <c r="C117" s="122"/>
      <c r="D117" s="122"/>
      <c r="E117" s="122"/>
      <c r="F117" s="138"/>
      <c r="G117" s="123"/>
      <c r="H117" s="122"/>
      <c r="I117" s="124"/>
      <c r="J117" s="138"/>
      <c r="K117" s="123"/>
      <c r="L117" s="122"/>
      <c r="M117" s="122"/>
      <c r="N117" s="125"/>
      <c r="O117" s="123">
        <f t="shared" si="38"/>
        <v>0</v>
      </c>
      <c r="P117" s="123">
        <f t="shared" si="39"/>
        <v>0</v>
      </c>
      <c r="Q117" s="122" t="str">
        <f t="shared" si="61"/>
        <v>ZeroEntry</v>
      </c>
      <c r="R117" s="126" t="str">
        <f t="shared" si="40"/>
        <v>ZeroEntry</v>
      </c>
      <c r="S117" s="127" t="str">
        <f t="shared" si="41"/>
        <v>ZeroEntry</v>
      </c>
      <c r="T117" s="128" t="str">
        <f>IF($Q117="ZeroEntry", "",VLOOKUP($I117,'Ranking Lookup'!#REF!,2,FALSE))</f>
        <v/>
      </c>
      <c r="U117" s="129" t="str">
        <f t="shared" si="42"/>
        <v/>
      </c>
      <c r="V117" s="129" t="str">
        <f t="shared" si="43"/>
        <v/>
      </c>
      <c r="W117" s="129" t="str">
        <f t="shared" si="44"/>
        <v/>
      </c>
      <c r="X117" s="129" t="str">
        <f t="shared" si="45"/>
        <v/>
      </c>
      <c r="Y117" s="129" t="str">
        <f t="shared" si="46"/>
        <v/>
      </c>
      <c r="Z117" s="129" t="str">
        <f t="shared" si="47"/>
        <v/>
      </c>
      <c r="AA117" s="130"/>
      <c r="AB117" s="130" t="str">
        <f t="shared" si="48"/>
        <v>Unassigned</v>
      </c>
      <c r="AC117" s="131" t="str">
        <f t="shared" si="62"/>
        <v/>
      </c>
      <c r="AD117" s="131" t="str">
        <f t="shared" si="63"/>
        <v/>
      </c>
      <c r="AE117" s="132">
        <f t="shared" si="49"/>
        <v>0</v>
      </c>
      <c r="AF117" s="133" t="str">
        <f t="shared" si="64"/>
        <v/>
      </c>
      <c r="AG117" s="134">
        <f t="shared" si="50"/>
        <v>0</v>
      </c>
      <c r="AH117" s="54" t="str">
        <f t="shared" si="51"/>
        <v/>
      </c>
      <c r="AI117" s="54" t="str">
        <f t="shared" si="72"/>
        <v/>
      </c>
      <c r="AJ117" s="54" t="str">
        <f t="shared" si="72"/>
        <v/>
      </c>
      <c r="AK117" s="54" t="str">
        <f t="shared" si="72"/>
        <v/>
      </c>
      <c r="AL117" s="54" t="str">
        <f t="shared" si="72"/>
        <v/>
      </c>
      <c r="AM117" s="54" t="str">
        <f t="shared" si="72"/>
        <v/>
      </c>
      <c r="AN117" s="54" t="str">
        <f t="shared" si="72"/>
        <v/>
      </c>
      <c r="AO117" s="54" t="str">
        <f t="shared" si="72"/>
        <v/>
      </c>
      <c r="AP117" s="54" t="str">
        <f t="shared" si="72"/>
        <v/>
      </c>
      <c r="AQ117" s="54" t="str">
        <f t="shared" si="72"/>
        <v/>
      </c>
      <c r="AR117" s="54" t="str">
        <f t="shared" si="72"/>
        <v/>
      </c>
      <c r="AS117" s="54" t="str">
        <f t="shared" si="72"/>
        <v/>
      </c>
      <c r="AT117" s="54" t="str">
        <f t="shared" si="72"/>
        <v/>
      </c>
      <c r="AU117" s="54" t="str">
        <f t="shared" si="72"/>
        <v/>
      </c>
      <c r="AV117" s="54" t="str">
        <f t="shared" si="72"/>
        <v/>
      </c>
      <c r="AW117" s="54" t="str">
        <f t="shared" si="72"/>
        <v/>
      </c>
      <c r="AX117" s="54" t="str">
        <f t="shared" si="72"/>
        <v/>
      </c>
      <c r="AY117" s="54" t="str">
        <f t="shared" si="53"/>
        <v/>
      </c>
      <c r="AZ117" s="54" t="str">
        <f t="shared" si="54"/>
        <v/>
      </c>
      <c r="BA117" s="54" t="str">
        <f t="shared" si="55"/>
        <v/>
      </c>
      <c r="BB117" s="135" t="str">
        <f t="shared" si="56"/>
        <v/>
      </c>
      <c r="BC117" s="54" t="str">
        <f t="shared" si="70"/>
        <v/>
      </c>
      <c r="BD117" s="54" t="str">
        <f t="shared" si="70"/>
        <v/>
      </c>
      <c r="BE117" s="54" t="str">
        <f t="shared" si="70"/>
        <v/>
      </c>
      <c r="BF117" s="54" t="str">
        <f t="shared" si="57"/>
        <v/>
      </c>
      <c r="BG117" s="54" t="str">
        <f t="shared" si="58"/>
        <v/>
      </c>
      <c r="BH117" s="34" t="str">
        <f t="shared" si="59"/>
        <v>Bad</v>
      </c>
      <c r="BI117" s="34" t="str">
        <f t="shared" si="60"/>
        <v>No</v>
      </c>
      <c r="BJ117" s="136" t="str">
        <f>IF($D117&lt;&gt;"Feature",".",
IF(VLOOKUP($B117,Feature_List!$A:$AM,MATCH(BJ$1,  Feature_List!$A$1:$AM$1,0),0)=B117,".","NO"))</f>
        <v>.</v>
      </c>
      <c r="BK117" s="136"/>
      <c r="BL117" s="136"/>
      <c r="BM117" s="136" t="str">
        <f>IF($D117&lt;&gt;"Feature",".",
IF(VLOOKUP($B117,Feature_List!$A:$AM,MATCH(BM$1,  Feature_List!$A$1:$AM$1,0),0)=E117,".","NO"))</f>
        <v>.</v>
      </c>
      <c r="BN117" s="136" t="str">
        <f>IF($D117&lt;&gt;"Feature",".",
IF(VLOOKUP($B117,Feature_List!$A:$AM,MATCH(BN$1,  Feature_List!$A$1:$AM$1,0),0)=F117,".","NO"))</f>
        <v>.</v>
      </c>
      <c r="BO117" s="136" t="str">
        <f>IF($D117&lt;&gt;"Feature",".",
IF(VLOOKUP($B117,Feature_List!$A:$AM,MATCH(BO$1,  Feature_List!$A$1:$AM$1,0),0)=G117,".","NO"))</f>
        <v>.</v>
      </c>
      <c r="BP117" s="136" t="str">
        <f>IF($D117&lt;&gt;"Feature",".",
IF(VLOOKUP($B117,Feature_List!$A:$AM,MATCH(BP$1,  Feature_List!$A$1:$AM$1,0),0)=H117,".","NO"))</f>
        <v>.</v>
      </c>
      <c r="BQ117" s="136"/>
      <c r="BR117" s="136" t="str">
        <f>IF($D117&lt;&gt;"Feature",".",
IF(VLOOKUP($B117,Feature_List!$A:$AM,MATCH(BR$1,  Feature_List!$A$1:$AM$1,0),0)=J117,".","NO"))</f>
        <v>.</v>
      </c>
      <c r="BS117" s="136"/>
      <c r="BT117" s="136"/>
      <c r="BU117" s="136" t="str">
        <f>IF($D117&lt;&gt;"Feature",".",
IF(VLOOKUP($B117,Feature_List!$A:$AM,MATCH(BU$1,  Feature_List!$A$1:$AM$1,0),0)=M117,".","NO"))</f>
        <v>.</v>
      </c>
      <c r="BV117" s="136" t="str">
        <f>IF($D117&lt;&gt;"Feature",".",
IF(VLOOKUP($B117,Feature_List!$A:$AM,MATCH(BV$1,  Feature_List!$A$1:$AM$1,0),0)=N117,".","NO"))</f>
        <v>.</v>
      </c>
      <c r="BW117" s="136"/>
      <c r="BX117" s="136"/>
      <c r="BY117" s="136"/>
      <c r="BZ117" s="136"/>
      <c r="CA117" s="136"/>
      <c r="CB117" s="136" t="str">
        <f>IF($D117&lt;&gt;"Feature",".",
IF(VLOOKUP($B117,Feature_List!$A:$AM,MATCH(CB$1,  Feature_List!$A$1:$AM$1,0),0)=T117,".","NO"))</f>
        <v>.</v>
      </c>
      <c r="CC117" s="136"/>
      <c r="CD117" s="136"/>
      <c r="CE117" s="136"/>
      <c r="CF117" s="136"/>
      <c r="CG117" s="136"/>
      <c r="CH117" s="136"/>
      <c r="CI117" s="136"/>
      <c r="CJ117" s="136"/>
      <c r="CK117" s="136"/>
      <c r="CL117" s="136"/>
      <c r="CM117" s="136"/>
      <c r="CN117" s="136"/>
      <c r="CO117" s="136" t="str">
        <f>IF($D117&lt;&gt;"Feature",".",
IF(VLOOKUP($B117,Feature_List!$A:$AM,MATCH(CO$1,  Feature_List!$A$1:$AM$1,0),0)=AG117,".","NO"))</f>
        <v>.</v>
      </c>
      <c r="CP117" s="136" t="str">
        <f>IF($D117&lt;&gt;"Feature",".",
IF(VLOOKUP($B117,Feature_List!$A:$AM,MATCH(CP$1,  Feature_List!$A$1:$AM$1,0),0)=AH117,".","NO"))</f>
        <v>.</v>
      </c>
      <c r="CQ117" s="136" t="str">
        <f>IF($D117&lt;&gt;"Feature",".",
IF(VLOOKUP($B117,Feature_List!$A:$AM,MATCH(CQ$1,  Feature_List!$A$1:$AM$1,0),0)=AI117,".","NO"))</f>
        <v>.</v>
      </c>
      <c r="CR117" s="136" t="str">
        <f>IF($D117&lt;&gt;"Feature",".",
IF(VLOOKUP($B117,Feature_List!$A:$AM,MATCH(CR$1,  Feature_List!$A$1:$AM$1,0),0)=AJ117,".","NO"))</f>
        <v>.</v>
      </c>
      <c r="CS117" s="136" t="str">
        <f>IF($D117&lt;&gt;"Feature",".",
IF(VLOOKUP($B117,Feature_List!$A:$AM,MATCH(CS$1,  Feature_List!$A$1:$AM$1,0),0)=AK117,".","NO"))</f>
        <v>.</v>
      </c>
      <c r="CT117" s="136" t="str">
        <f>IF($D117&lt;&gt;"Feature",".",
IF(VLOOKUP($B117,Feature_List!$A:$AM,MATCH(CT$1,  Feature_List!$A$1:$AM$1,0),0)=AL117,".","NO"))</f>
        <v>.</v>
      </c>
      <c r="CU117" s="136" t="str">
        <f>IF($D117&lt;&gt;"Feature",".",
IF(VLOOKUP($B117,Feature_List!$A:$AM,MATCH(CU$1,  Feature_List!$A$1:$AM$1,0),0)=AM117,".","NO"))</f>
        <v>.</v>
      </c>
      <c r="CV117" s="136" t="str">
        <f>IF($D117&lt;&gt;"Feature",".",
IF(VLOOKUP($B117,Feature_List!$A:$AM,MATCH(CV$1,  Feature_List!$A$1:$AM$1,0),0)=AN117,".","NO"))</f>
        <v>.</v>
      </c>
      <c r="CW117" s="136" t="str">
        <f>IF($D117&lt;&gt;"Feature",".",
IF(VLOOKUP($B117,Feature_List!$A:$AM,MATCH(CW$1,  Feature_List!$A$1:$AM$1,0),0)=AO117,".","NO"))</f>
        <v>.</v>
      </c>
      <c r="CX117" s="136" t="str">
        <f>IF($D117&lt;&gt;"Feature",".",
IF(VLOOKUP($B117,Feature_List!$A:$AM,MATCH(CX$1,  Feature_List!$A$1:$AM$1,0),0)=AP117,".","NO"))</f>
        <v>.</v>
      </c>
      <c r="CY117" s="136" t="str">
        <f>IF($D117&lt;&gt;"Feature",".",
IF(VLOOKUP($B117,Feature_List!$A:$AM,MATCH(CY$1,  Feature_List!$A$1:$AM$1,0),0)=AQ117,".","NO"))</f>
        <v>.</v>
      </c>
      <c r="CZ117" s="136" t="str">
        <f>IF($D117&lt;&gt;"Feature",".",
IF(VLOOKUP($B117,Feature_List!$A:$AM,MATCH(CZ$1,  Feature_List!$A$1:$AM$1,0),0)=AR117,".","NO"))</f>
        <v>.</v>
      </c>
      <c r="DA117" s="136" t="str">
        <f>IF($D117&lt;&gt;"Feature",".",
IF(VLOOKUP($B117,Feature_List!$A:$AM,MATCH(DA$1,  Feature_List!$A$1:$AM$1,0),0)=AS117,".","NO"))</f>
        <v>.</v>
      </c>
      <c r="DB117" s="136" t="str">
        <f>IF($D117&lt;&gt;"Feature",".",
IF(VLOOKUP($B117,Feature_List!$A:$AM,MATCH(DB$1,  Feature_List!$A$1:$AM$1,0),0)=AT117,".","NO"))</f>
        <v>.</v>
      </c>
      <c r="DC117" s="136" t="str">
        <f>IF($D117&lt;&gt;"Feature",".",
IF(VLOOKUP($B117,Feature_List!$A:$AM,MATCH(DC$1,  Feature_List!$A$1:$AM$1,0),0)=AU117,".","NO"))</f>
        <v>.</v>
      </c>
      <c r="DD117" s="136" t="str">
        <f>IF($D117&lt;&gt;"Feature",".",
IF(VLOOKUP($B117,Feature_List!$A:$AM,MATCH(DD$1,  Feature_List!$A$1:$AM$1,0),0)=AV117,".","NO"))</f>
        <v>.</v>
      </c>
      <c r="DE117" s="136" t="str">
        <f>IF($D117&lt;&gt;"Feature",".",
IF(VLOOKUP($B117,Feature_List!$A:$AM,MATCH(DE$1,  Feature_List!$A$1:$AM$1,0),0)=AW117,".","NO"))</f>
        <v>.</v>
      </c>
      <c r="DF117" s="136" t="str">
        <f>IF($D117&lt;&gt;"Feature",".",
IF(VLOOKUP($B117,Feature_List!$A:$AM,MATCH(DF$1,  Feature_List!$A$1:$AM$1,0),0)=AX117,".","NO"))</f>
        <v>.</v>
      </c>
      <c r="DG117" s="136" t="str">
        <f>IF($D117&lt;&gt;"Feature",".",
IF(VLOOKUP($B117,Feature_List!$A:$AM,MATCH(DG$1,  Feature_List!$A$1:$AM$1,0),0)=AY117,".","NO"))</f>
        <v>.</v>
      </c>
      <c r="DH117" s="136" t="str">
        <f>IF($D117&lt;&gt;"Feature",".",
IF(VLOOKUP($B117,Feature_List!$A:$AM,MATCH(DH$1,  Feature_List!$A$1:$AM$1,0),0)=AZ117,".","NO"))</f>
        <v>.</v>
      </c>
      <c r="DI117" s="136" t="str">
        <f>IF($D117&lt;&gt;"Feature",".",
IF(VLOOKUP($B117,Feature_List!$A:$AM,MATCH(DI$1,  Feature_List!$A$1:$AM$1,0),0)=BA117,".","NO"))</f>
        <v>.</v>
      </c>
      <c r="DJ117" s="136" t="str">
        <f>IF($D117&lt;&gt;"Feature",".",
IF(VLOOKUP($B117,Feature_List!$A:$AM,MATCH(DJ$1,  Feature_List!$A$1:$AM$1,0),0)=BB117,".","NO"))</f>
        <v>.</v>
      </c>
      <c r="DK117" s="136"/>
      <c r="DL117" s="136"/>
      <c r="DM117" s="136"/>
      <c r="DN117" s="136" t="str">
        <f>IF($D117&lt;&gt;"Feature",".",
IF(VLOOKUP($B117,Feature_List!$A:$AM,MATCH(DN$1,  Feature_List!$A$1:$AM$1,0),0)=BC117,".","NO"))</f>
        <v>.</v>
      </c>
      <c r="DO117" s="136" t="str">
        <f>IF($D117&lt;&gt;"Feature",".",
IF(VLOOKUP($B117,Feature_List!$A:$AM,MATCH(DO$1,  Feature_List!$A$1:$AM$1,0),0)=BD117,".","NO"))</f>
        <v>.</v>
      </c>
    </row>
    <row r="118" spans="2:119" x14ac:dyDescent="0.3">
      <c r="B118" s="121"/>
      <c r="C118" s="122"/>
      <c r="D118" s="122"/>
      <c r="E118" s="122"/>
      <c r="F118" s="138"/>
      <c r="G118" s="123"/>
      <c r="H118" s="122"/>
      <c r="I118" s="124"/>
      <c r="J118" s="138"/>
      <c r="K118" s="123"/>
      <c r="L118" s="122"/>
      <c r="M118" s="122"/>
      <c r="N118" s="125"/>
      <c r="O118" s="123">
        <f t="shared" si="38"/>
        <v>0</v>
      </c>
      <c r="P118" s="123">
        <f t="shared" si="39"/>
        <v>0</v>
      </c>
      <c r="Q118" s="122" t="str">
        <f t="shared" si="61"/>
        <v>ZeroEntry</v>
      </c>
      <c r="R118" s="126" t="str">
        <f t="shared" si="40"/>
        <v>ZeroEntry</v>
      </c>
      <c r="S118" s="127" t="str">
        <f t="shared" si="41"/>
        <v>ZeroEntry</v>
      </c>
      <c r="T118" s="128" t="str">
        <f>IF($Q118="ZeroEntry", "",VLOOKUP($I118,'Ranking Lookup'!#REF!,2,FALSE))</f>
        <v/>
      </c>
      <c r="U118" s="129" t="str">
        <f t="shared" si="42"/>
        <v/>
      </c>
      <c r="V118" s="129" t="str">
        <f t="shared" si="43"/>
        <v/>
      </c>
      <c r="W118" s="129" t="str">
        <f t="shared" si="44"/>
        <v/>
      </c>
      <c r="X118" s="129" t="str">
        <f t="shared" si="45"/>
        <v/>
      </c>
      <c r="Y118" s="129" t="str">
        <f t="shared" si="46"/>
        <v/>
      </c>
      <c r="Z118" s="129" t="str">
        <f t="shared" si="47"/>
        <v/>
      </c>
      <c r="AA118" s="130"/>
      <c r="AB118" s="130" t="str">
        <f t="shared" si="48"/>
        <v>Unassigned</v>
      </c>
      <c r="AC118" s="131" t="str">
        <f t="shared" si="62"/>
        <v/>
      </c>
      <c r="AD118" s="131" t="str">
        <f t="shared" si="63"/>
        <v/>
      </c>
      <c r="AE118" s="132">
        <f t="shared" si="49"/>
        <v>0</v>
      </c>
      <c r="AF118" s="133" t="str">
        <f t="shared" si="64"/>
        <v/>
      </c>
      <c r="AG118" s="134">
        <f t="shared" si="50"/>
        <v>0</v>
      </c>
      <c r="AH118" s="54" t="str">
        <f t="shared" si="51"/>
        <v/>
      </c>
      <c r="AI118" s="54" t="str">
        <f t="shared" si="72"/>
        <v/>
      </c>
      <c r="AJ118" s="54" t="str">
        <f t="shared" si="72"/>
        <v/>
      </c>
      <c r="AK118" s="54" t="str">
        <f t="shared" si="72"/>
        <v/>
      </c>
      <c r="AL118" s="54" t="str">
        <f t="shared" si="72"/>
        <v/>
      </c>
      <c r="AM118" s="54" t="str">
        <f t="shared" si="72"/>
        <v/>
      </c>
      <c r="AN118" s="54" t="str">
        <f t="shared" si="72"/>
        <v/>
      </c>
      <c r="AO118" s="54" t="str">
        <f t="shared" si="72"/>
        <v/>
      </c>
      <c r="AP118" s="54" t="str">
        <f t="shared" si="72"/>
        <v/>
      </c>
      <c r="AQ118" s="54" t="str">
        <f t="shared" si="72"/>
        <v/>
      </c>
      <c r="AR118" s="54" t="str">
        <f t="shared" si="72"/>
        <v/>
      </c>
      <c r="AS118" s="54" t="str">
        <f t="shared" si="72"/>
        <v/>
      </c>
      <c r="AT118" s="54" t="str">
        <f t="shared" si="72"/>
        <v/>
      </c>
      <c r="AU118" s="54" t="str">
        <f t="shared" si="72"/>
        <v/>
      </c>
      <c r="AV118" s="54" t="str">
        <f t="shared" si="72"/>
        <v/>
      </c>
      <c r="AW118" s="54" t="str">
        <f t="shared" si="72"/>
        <v/>
      </c>
      <c r="AX118" s="54" t="str">
        <f t="shared" si="72"/>
        <v/>
      </c>
      <c r="AY118" s="54" t="str">
        <f t="shared" si="53"/>
        <v/>
      </c>
      <c r="AZ118" s="54" t="str">
        <f t="shared" si="54"/>
        <v/>
      </c>
      <c r="BA118" s="54" t="str">
        <f t="shared" si="55"/>
        <v/>
      </c>
      <c r="BB118" s="135" t="str">
        <f t="shared" si="56"/>
        <v/>
      </c>
      <c r="BC118" s="54" t="str">
        <f t="shared" si="70"/>
        <v/>
      </c>
      <c r="BD118" s="54" t="str">
        <f t="shared" si="70"/>
        <v/>
      </c>
      <c r="BE118" s="54" t="str">
        <f t="shared" si="70"/>
        <v/>
      </c>
      <c r="BF118" s="54" t="str">
        <f t="shared" si="57"/>
        <v/>
      </c>
      <c r="BG118" s="54" t="str">
        <f t="shared" si="58"/>
        <v/>
      </c>
      <c r="BH118" s="34" t="str">
        <f t="shared" si="59"/>
        <v>Bad</v>
      </c>
      <c r="BI118" s="34" t="str">
        <f t="shared" si="60"/>
        <v>No</v>
      </c>
      <c r="BJ118" s="136" t="str">
        <f>IF($D118&lt;&gt;"Feature",".",
IF(VLOOKUP($B118,Feature_List!$A:$AM,MATCH(BJ$1,  Feature_List!$A$1:$AM$1,0),0)=B118,".","NO"))</f>
        <v>.</v>
      </c>
      <c r="BK118" s="136"/>
      <c r="BL118" s="136"/>
      <c r="BM118" s="136" t="str">
        <f>IF($D118&lt;&gt;"Feature",".",
IF(VLOOKUP($B118,Feature_List!$A:$AM,MATCH(BM$1,  Feature_List!$A$1:$AM$1,0),0)=E118,".","NO"))</f>
        <v>.</v>
      </c>
      <c r="BN118" s="136" t="str">
        <f>IF($D118&lt;&gt;"Feature",".",
IF(VLOOKUP($B118,Feature_List!$A:$AM,MATCH(BN$1,  Feature_List!$A$1:$AM$1,0),0)=F118,".","NO"))</f>
        <v>.</v>
      </c>
      <c r="BO118" s="136" t="str">
        <f>IF($D118&lt;&gt;"Feature",".",
IF(VLOOKUP($B118,Feature_List!$A:$AM,MATCH(BO$1,  Feature_List!$A$1:$AM$1,0),0)=G118,".","NO"))</f>
        <v>.</v>
      </c>
      <c r="BP118" s="136" t="str">
        <f>IF($D118&lt;&gt;"Feature",".",
IF(VLOOKUP($B118,Feature_List!$A:$AM,MATCH(BP$1,  Feature_List!$A$1:$AM$1,0),0)=H118,".","NO"))</f>
        <v>.</v>
      </c>
      <c r="BQ118" s="136"/>
      <c r="BR118" s="136" t="str">
        <f>IF($D118&lt;&gt;"Feature",".",
IF(VLOOKUP($B118,Feature_List!$A:$AM,MATCH(BR$1,  Feature_List!$A$1:$AM$1,0),0)=J118,".","NO"))</f>
        <v>.</v>
      </c>
      <c r="BS118" s="136"/>
      <c r="BT118" s="136"/>
      <c r="BU118" s="136" t="str">
        <f>IF($D118&lt;&gt;"Feature",".",
IF(VLOOKUP($B118,Feature_List!$A:$AM,MATCH(BU$1,  Feature_List!$A$1:$AM$1,0),0)=M118,".","NO"))</f>
        <v>.</v>
      </c>
      <c r="BV118" s="136" t="str">
        <f>IF($D118&lt;&gt;"Feature",".",
IF(VLOOKUP($B118,Feature_List!$A:$AM,MATCH(BV$1,  Feature_List!$A$1:$AM$1,0),0)=N118,".","NO"))</f>
        <v>.</v>
      </c>
      <c r="BW118" s="136"/>
      <c r="BX118" s="136"/>
      <c r="BY118" s="136"/>
      <c r="BZ118" s="136"/>
      <c r="CA118" s="136"/>
      <c r="CB118" s="136" t="str">
        <f>IF($D118&lt;&gt;"Feature",".",
IF(VLOOKUP($B118,Feature_List!$A:$AM,MATCH(CB$1,  Feature_List!$A$1:$AM$1,0),0)=T118,".","NO"))</f>
        <v>.</v>
      </c>
      <c r="CC118" s="136"/>
      <c r="CD118" s="136"/>
      <c r="CE118" s="136"/>
      <c r="CF118" s="136"/>
      <c r="CG118" s="136"/>
      <c r="CH118" s="136"/>
      <c r="CI118" s="136"/>
      <c r="CJ118" s="136"/>
      <c r="CK118" s="136"/>
      <c r="CL118" s="136"/>
      <c r="CM118" s="136"/>
      <c r="CN118" s="136"/>
      <c r="CO118" s="136" t="str">
        <f>IF($D118&lt;&gt;"Feature",".",
IF(VLOOKUP($B118,Feature_List!$A:$AM,MATCH(CO$1,  Feature_List!$A$1:$AM$1,0),0)=AG118,".","NO"))</f>
        <v>.</v>
      </c>
      <c r="CP118" s="136" t="str">
        <f>IF($D118&lt;&gt;"Feature",".",
IF(VLOOKUP($B118,Feature_List!$A:$AM,MATCH(CP$1,  Feature_List!$A$1:$AM$1,0),0)=AH118,".","NO"))</f>
        <v>.</v>
      </c>
      <c r="CQ118" s="136" t="str">
        <f>IF($D118&lt;&gt;"Feature",".",
IF(VLOOKUP($B118,Feature_List!$A:$AM,MATCH(CQ$1,  Feature_List!$A$1:$AM$1,0),0)=AI118,".","NO"))</f>
        <v>.</v>
      </c>
      <c r="CR118" s="136" t="str">
        <f>IF($D118&lt;&gt;"Feature",".",
IF(VLOOKUP($B118,Feature_List!$A:$AM,MATCH(CR$1,  Feature_List!$A$1:$AM$1,0),0)=AJ118,".","NO"))</f>
        <v>.</v>
      </c>
      <c r="CS118" s="136" t="str">
        <f>IF($D118&lt;&gt;"Feature",".",
IF(VLOOKUP($B118,Feature_List!$A:$AM,MATCH(CS$1,  Feature_List!$A$1:$AM$1,0),0)=AK118,".","NO"))</f>
        <v>.</v>
      </c>
      <c r="CT118" s="136" t="str">
        <f>IF($D118&lt;&gt;"Feature",".",
IF(VLOOKUP($B118,Feature_List!$A:$AM,MATCH(CT$1,  Feature_List!$A$1:$AM$1,0),0)=AL118,".","NO"))</f>
        <v>.</v>
      </c>
      <c r="CU118" s="136" t="str">
        <f>IF($D118&lt;&gt;"Feature",".",
IF(VLOOKUP($B118,Feature_List!$A:$AM,MATCH(CU$1,  Feature_List!$A$1:$AM$1,0),0)=AM118,".","NO"))</f>
        <v>.</v>
      </c>
      <c r="CV118" s="136" t="str">
        <f>IF($D118&lt;&gt;"Feature",".",
IF(VLOOKUP($B118,Feature_List!$A:$AM,MATCH(CV$1,  Feature_List!$A$1:$AM$1,0),0)=AN118,".","NO"))</f>
        <v>.</v>
      </c>
      <c r="CW118" s="136" t="str">
        <f>IF($D118&lt;&gt;"Feature",".",
IF(VLOOKUP($B118,Feature_List!$A:$AM,MATCH(CW$1,  Feature_List!$A$1:$AM$1,0),0)=AO118,".","NO"))</f>
        <v>.</v>
      </c>
      <c r="CX118" s="136" t="str">
        <f>IF($D118&lt;&gt;"Feature",".",
IF(VLOOKUP($B118,Feature_List!$A:$AM,MATCH(CX$1,  Feature_List!$A$1:$AM$1,0),0)=AP118,".","NO"))</f>
        <v>.</v>
      </c>
      <c r="CY118" s="136" t="str">
        <f>IF($D118&lt;&gt;"Feature",".",
IF(VLOOKUP($B118,Feature_List!$A:$AM,MATCH(CY$1,  Feature_List!$A$1:$AM$1,0),0)=AQ118,".","NO"))</f>
        <v>.</v>
      </c>
      <c r="CZ118" s="136" t="str">
        <f>IF($D118&lt;&gt;"Feature",".",
IF(VLOOKUP($B118,Feature_List!$A:$AM,MATCH(CZ$1,  Feature_List!$A$1:$AM$1,0),0)=AR118,".","NO"))</f>
        <v>.</v>
      </c>
      <c r="DA118" s="136" t="str">
        <f>IF($D118&lt;&gt;"Feature",".",
IF(VLOOKUP($B118,Feature_List!$A:$AM,MATCH(DA$1,  Feature_List!$A$1:$AM$1,0),0)=AS118,".","NO"))</f>
        <v>.</v>
      </c>
      <c r="DB118" s="136" t="str">
        <f>IF($D118&lt;&gt;"Feature",".",
IF(VLOOKUP($B118,Feature_List!$A:$AM,MATCH(DB$1,  Feature_List!$A$1:$AM$1,0),0)=AT118,".","NO"))</f>
        <v>.</v>
      </c>
      <c r="DC118" s="136" t="str">
        <f>IF($D118&lt;&gt;"Feature",".",
IF(VLOOKUP($B118,Feature_List!$A:$AM,MATCH(DC$1,  Feature_List!$A$1:$AM$1,0),0)=AU118,".","NO"))</f>
        <v>.</v>
      </c>
      <c r="DD118" s="136" t="str">
        <f>IF($D118&lt;&gt;"Feature",".",
IF(VLOOKUP($B118,Feature_List!$A:$AM,MATCH(DD$1,  Feature_List!$A$1:$AM$1,0),0)=AV118,".","NO"))</f>
        <v>.</v>
      </c>
      <c r="DE118" s="136" t="str">
        <f>IF($D118&lt;&gt;"Feature",".",
IF(VLOOKUP($B118,Feature_List!$A:$AM,MATCH(DE$1,  Feature_List!$A$1:$AM$1,0),0)=AW118,".","NO"))</f>
        <v>.</v>
      </c>
      <c r="DF118" s="136" t="str">
        <f>IF($D118&lt;&gt;"Feature",".",
IF(VLOOKUP($B118,Feature_List!$A:$AM,MATCH(DF$1,  Feature_List!$A$1:$AM$1,0),0)=AX118,".","NO"))</f>
        <v>.</v>
      </c>
      <c r="DG118" s="136" t="str">
        <f>IF($D118&lt;&gt;"Feature",".",
IF(VLOOKUP($B118,Feature_List!$A:$AM,MATCH(DG$1,  Feature_List!$A$1:$AM$1,0),0)=AY118,".","NO"))</f>
        <v>.</v>
      </c>
      <c r="DH118" s="136" t="str">
        <f>IF($D118&lt;&gt;"Feature",".",
IF(VLOOKUP($B118,Feature_List!$A:$AM,MATCH(DH$1,  Feature_List!$A$1:$AM$1,0),0)=AZ118,".","NO"))</f>
        <v>.</v>
      </c>
      <c r="DI118" s="136" t="str">
        <f>IF($D118&lt;&gt;"Feature",".",
IF(VLOOKUP($B118,Feature_List!$A:$AM,MATCH(DI$1,  Feature_List!$A$1:$AM$1,0),0)=BA118,".","NO"))</f>
        <v>.</v>
      </c>
      <c r="DJ118" s="136" t="str">
        <f>IF($D118&lt;&gt;"Feature",".",
IF(VLOOKUP($B118,Feature_List!$A:$AM,MATCH(DJ$1,  Feature_List!$A$1:$AM$1,0),0)=BB118,".","NO"))</f>
        <v>.</v>
      </c>
      <c r="DK118" s="136"/>
      <c r="DL118" s="136"/>
      <c r="DM118" s="136"/>
      <c r="DN118" s="136" t="str">
        <f>IF($D118&lt;&gt;"Feature",".",
IF(VLOOKUP($B118,Feature_List!$A:$AM,MATCH(DN$1,  Feature_List!$A$1:$AM$1,0),0)=BC118,".","NO"))</f>
        <v>.</v>
      </c>
      <c r="DO118" s="136" t="str">
        <f>IF($D118&lt;&gt;"Feature",".",
IF(VLOOKUP($B118,Feature_List!$A:$AM,MATCH(DO$1,  Feature_List!$A$1:$AM$1,0),0)=BD118,".","NO"))</f>
        <v>.</v>
      </c>
    </row>
    <row r="119" spans="2:119" x14ac:dyDescent="0.3">
      <c r="B119" s="121"/>
      <c r="C119" s="123"/>
      <c r="D119" s="122"/>
      <c r="E119" s="122"/>
      <c r="F119" s="138"/>
      <c r="G119" s="123"/>
      <c r="H119" s="122"/>
      <c r="I119" s="124"/>
      <c r="J119" s="138"/>
      <c r="K119" s="123"/>
      <c r="L119" s="122"/>
      <c r="M119" s="122"/>
      <c r="N119" s="125"/>
      <c r="O119" s="123">
        <f t="shared" si="38"/>
        <v>0</v>
      </c>
      <c r="P119" s="123">
        <f t="shared" si="39"/>
        <v>0</v>
      </c>
      <c r="Q119" s="122" t="str">
        <f t="shared" si="61"/>
        <v>ZeroEntry</v>
      </c>
      <c r="R119" s="126" t="str">
        <f t="shared" si="40"/>
        <v>ZeroEntry</v>
      </c>
      <c r="S119" s="127" t="str">
        <f t="shared" si="41"/>
        <v>ZeroEntry</v>
      </c>
      <c r="T119" s="128" t="str">
        <f>IF($Q119="ZeroEntry", "",VLOOKUP($I119,'Ranking Lookup'!#REF!,2,FALSE))</f>
        <v/>
      </c>
      <c r="U119" s="129" t="str">
        <f t="shared" si="42"/>
        <v/>
      </c>
      <c r="V119" s="129" t="str">
        <f t="shared" si="43"/>
        <v/>
      </c>
      <c r="W119" s="129" t="str">
        <f t="shared" si="44"/>
        <v/>
      </c>
      <c r="X119" s="129" t="str">
        <f t="shared" si="45"/>
        <v/>
      </c>
      <c r="Y119" s="129" t="str">
        <f t="shared" si="46"/>
        <v/>
      </c>
      <c r="Z119" s="129" t="str">
        <f t="shared" si="47"/>
        <v/>
      </c>
      <c r="AA119" s="130"/>
      <c r="AB119" s="130" t="str">
        <f t="shared" si="48"/>
        <v>Unassigned</v>
      </c>
      <c r="AC119" s="131" t="str">
        <f t="shared" si="62"/>
        <v/>
      </c>
      <c r="AD119" s="131" t="str">
        <f t="shared" si="63"/>
        <v/>
      </c>
      <c r="AE119" s="132">
        <f t="shared" si="49"/>
        <v>0</v>
      </c>
      <c r="AF119" s="133" t="str">
        <f t="shared" si="64"/>
        <v/>
      </c>
      <c r="AG119" s="134">
        <f t="shared" si="50"/>
        <v>0</v>
      </c>
      <c r="AH119" s="54" t="str">
        <f t="shared" si="51"/>
        <v/>
      </c>
      <c r="AI119" s="54" t="str">
        <f t="shared" si="72"/>
        <v/>
      </c>
      <c r="AJ119" s="54" t="str">
        <f t="shared" si="72"/>
        <v/>
      </c>
      <c r="AK119" s="54" t="str">
        <f t="shared" si="72"/>
        <v/>
      </c>
      <c r="AL119" s="54" t="str">
        <f t="shared" si="72"/>
        <v/>
      </c>
      <c r="AM119" s="54" t="str">
        <f t="shared" si="72"/>
        <v/>
      </c>
      <c r="AN119" s="54" t="str">
        <f t="shared" si="72"/>
        <v/>
      </c>
      <c r="AO119" s="54" t="str">
        <f t="shared" si="72"/>
        <v/>
      </c>
      <c r="AP119" s="54" t="str">
        <f t="shared" si="72"/>
        <v/>
      </c>
      <c r="AQ119" s="54" t="str">
        <f t="shared" si="72"/>
        <v/>
      </c>
      <c r="AR119" s="54" t="str">
        <f t="shared" si="72"/>
        <v/>
      </c>
      <c r="AS119" s="54" t="str">
        <f t="shared" si="72"/>
        <v/>
      </c>
      <c r="AT119" s="54" t="str">
        <f t="shared" si="72"/>
        <v/>
      </c>
      <c r="AU119" s="54" t="str">
        <f t="shared" si="72"/>
        <v/>
      </c>
      <c r="AV119" s="54" t="str">
        <f t="shared" si="72"/>
        <v/>
      </c>
      <c r="AW119" s="54" t="str">
        <f t="shared" si="72"/>
        <v/>
      </c>
      <c r="AX119" s="54" t="str">
        <f t="shared" si="72"/>
        <v/>
      </c>
      <c r="AY119" s="54" t="str">
        <f t="shared" si="53"/>
        <v/>
      </c>
      <c r="AZ119" s="54" t="str">
        <f t="shared" si="54"/>
        <v/>
      </c>
      <c r="BA119" s="54" t="str">
        <f t="shared" si="55"/>
        <v/>
      </c>
      <c r="BB119" s="135" t="str">
        <f t="shared" si="56"/>
        <v/>
      </c>
      <c r="BC119" s="54" t="str">
        <f t="shared" si="70"/>
        <v/>
      </c>
      <c r="BD119" s="54" t="str">
        <f t="shared" si="70"/>
        <v/>
      </c>
      <c r="BE119" s="54" t="str">
        <f t="shared" si="70"/>
        <v/>
      </c>
      <c r="BF119" s="54" t="str">
        <f t="shared" si="57"/>
        <v/>
      </c>
      <c r="BG119" s="54" t="str">
        <f t="shared" si="58"/>
        <v/>
      </c>
      <c r="BH119" s="34" t="str">
        <f t="shared" si="59"/>
        <v>Bad</v>
      </c>
      <c r="BI119" s="34" t="str">
        <f t="shared" si="60"/>
        <v>No</v>
      </c>
      <c r="BJ119" s="136" t="str">
        <f>IF($D119&lt;&gt;"Feature",".",
IF(VLOOKUP($B119,Feature_List!$A:$AM,MATCH(BJ$1,  Feature_List!$A$1:$AM$1,0),0)=B119,".","NO"))</f>
        <v>.</v>
      </c>
      <c r="BK119" s="136"/>
      <c r="BL119" s="136"/>
      <c r="BM119" s="136" t="str">
        <f>IF($D119&lt;&gt;"Feature",".",
IF(VLOOKUP($B119,Feature_List!$A:$AM,MATCH(BM$1,  Feature_List!$A$1:$AM$1,0),0)=E119,".","NO"))</f>
        <v>.</v>
      </c>
      <c r="BN119" s="136" t="str">
        <f>IF($D119&lt;&gt;"Feature",".",
IF(VLOOKUP($B119,Feature_List!$A:$AM,MATCH(BN$1,  Feature_List!$A$1:$AM$1,0),0)=F119,".","NO"))</f>
        <v>.</v>
      </c>
      <c r="BO119" s="136" t="str">
        <f>IF($D119&lt;&gt;"Feature",".",
IF(VLOOKUP($B119,Feature_List!$A:$AM,MATCH(BO$1,  Feature_List!$A$1:$AM$1,0),0)=G119,".","NO"))</f>
        <v>.</v>
      </c>
      <c r="BP119" s="136" t="str">
        <f>IF($D119&lt;&gt;"Feature",".",
IF(VLOOKUP($B119,Feature_List!$A:$AM,MATCH(BP$1,  Feature_List!$A$1:$AM$1,0),0)=H119,".","NO"))</f>
        <v>.</v>
      </c>
      <c r="BQ119" s="136"/>
      <c r="BR119" s="136" t="str">
        <f>IF($D119&lt;&gt;"Feature",".",
IF(VLOOKUP($B119,Feature_List!$A:$AM,MATCH(BR$1,  Feature_List!$A$1:$AM$1,0),0)=J119,".","NO"))</f>
        <v>.</v>
      </c>
      <c r="BS119" s="136"/>
      <c r="BT119" s="136"/>
      <c r="BU119" s="136" t="str">
        <f>IF($D119&lt;&gt;"Feature",".",
IF(VLOOKUP($B119,Feature_List!$A:$AM,MATCH(BU$1,  Feature_List!$A$1:$AM$1,0),0)=M119,".","NO"))</f>
        <v>.</v>
      </c>
      <c r="BV119" s="136" t="str">
        <f>IF($D119&lt;&gt;"Feature",".",
IF(VLOOKUP($B119,Feature_List!$A:$AM,MATCH(BV$1,  Feature_List!$A$1:$AM$1,0),0)=N119,".","NO"))</f>
        <v>.</v>
      </c>
      <c r="BW119" s="136"/>
      <c r="BX119" s="136"/>
      <c r="BY119" s="136"/>
      <c r="BZ119" s="136"/>
      <c r="CA119" s="136"/>
      <c r="CB119" s="136" t="str">
        <f>IF($D119&lt;&gt;"Feature",".",
IF(VLOOKUP($B119,Feature_List!$A:$AM,MATCH(CB$1,  Feature_List!$A$1:$AM$1,0),0)=T119,".","NO"))</f>
        <v>.</v>
      </c>
      <c r="CC119" s="136"/>
      <c r="CD119" s="136"/>
      <c r="CE119" s="136"/>
      <c r="CF119" s="136"/>
      <c r="CG119" s="136"/>
      <c r="CH119" s="136"/>
      <c r="CI119" s="136"/>
      <c r="CJ119" s="136"/>
      <c r="CK119" s="136"/>
      <c r="CL119" s="136"/>
      <c r="CM119" s="136"/>
      <c r="CN119" s="136"/>
      <c r="CO119" s="136" t="str">
        <f>IF($D119&lt;&gt;"Feature",".",
IF(VLOOKUP($B119,Feature_List!$A:$AM,MATCH(CO$1,  Feature_List!$A$1:$AM$1,0),0)=AG119,".","NO"))</f>
        <v>.</v>
      </c>
      <c r="CP119" s="136" t="str">
        <f>IF($D119&lt;&gt;"Feature",".",
IF(VLOOKUP($B119,Feature_List!$A:$AM,MATCH(CP$1,  Feature_List!$A$1:$AM$1,0),0)=AH119,".","NO"))</f>
        <v>.</v>
      </c>
      <c r="CQ119" s="136" t="str">
        <f>IF($D119&lt;&gt;"Feature",".",
IF(VLOOKUP($B119,Feature_List!$A:$AM,MATCH(CQ$1,  Feature_List!$A$1:$AM$1,0),0)=AI119,".","NO"))</f>
        <v>.</v>
      </c>
      <c r="CR119" s="136" t="str">
        <f>IF($D119&lt;&gt;"Feature",".",
IF(VLOOKUP($B119,Feature_List!$A:$AM,MATCH(CR$1,  Feature_List!$A$1:$AM$1,0),0)=AJ119,".","NO"))</f>
        <v>.</v>
      </c>
      <c r="CS119" s="136" t="str">
        <f>IF($D119&lt;&gt;"Feature",".",
IF(VLOOKUP($B119,Feature_List!$A:$AM,MATCH(CS$1,  Feature_List!$A$1:$AM$1,0),0)=AK119,".","NO"))</f>
        <v>.</v>
      </c>
      <c r="CT119" s="136" t="str">
        <f>IF($D119&lt;&gt;"Feature",".",
IF(VLOOKUP($B119,Feature_List!$A:$AM,MATCH(CT$1,  Feature_List!$A$1:$AM$1,0),0)=AL119,".","NO"))</f>
        <v>.</v>
      </c>
      <c r="CU119" s="136" t="str">
        <f>IF($D119&lt;&gt;"Feature",".",
IF(VLOOKUP($B119,Feature_List!$A:$AM,MATCH(CU$1,  Feature_List!$A$1:$AM$1,0),0)=AM119,".","NO"))</f>
        <v>.</v>
      </c>
      <c r="CV119" s="136" t="str">
        <f>IF($D119&lt;&gt;"Feature",".",
IF(VLOOKUP($B119,Feature_List!$A:$AM,MATCH(CV$1,  Feature_List!$A$1:$AM$1,0),0)=AN119,".","NO"))</f>
        <v>.</v>
      </c>
      <c r="CW119" s="136" t="str">
        <f>IF($D119&lt;&gt;"Feature",".",
IF(VLOOKUP($B119,Feature_List!$A:$AM,MATCH(CW$1,  Feature_List!$A$1:$AM$1,0),0)=AO119,".","NO"))</f>
        <v>.</v>
      </c>
      <c r="CX119" s="136" t="str">
        <f>IF($D119&lt;&gt;"Feature",".",
IF(VLOOKUP($B119,Feature_List!$A:$AM,MATCH(CX$1,  Feature_List!$A$1:$AM$1,0),0)=AP119,".","NO"))</f>
        <v>.</v>
      </c>
      <c r="CY119" s="136" t="str">
        <f>IF($D119&lt;&gt;"Feature",".",
IF(VLOOKUP($B119,Feature_List!$A:$AM,MATCH(CY$1,  Feature_List!$A$1:$AM$1,0),0)=AQ119,".","NO"))</f>
        <v>.</v>
      </c>
      <c r="CZ119" s="136" t="str">
        <f>IF($D119&lt;&gt;"Feature",".",
IF(VLOOKUP($B119,Feature_List!$A:$AM,MATCH(CZ$1,  Feature_List!$A$1:$AM$1,0),0)=AR119,".","NO"))</f>
        <v>.</v>
      </c>
      <c r="DA119" s="136" t="str">
        <f>IF($D119&lt;&gt;"Feature",".",
IF(VLOOKUP($B119,Feature_List!$A:$AM,MATCH(DA$1,  Feature_List!$A$1:$AM$1,0),0)=AS119,".","NO"))</f>
        <v>.</v>
      </c>
      <c r="DB119" s="136" t="str">
        <f>IF($D119&lt;&gt;"Feature",".",
IF(VLOOKUP($B119,Feature_List!$A:$AM,MATCH(DB$1,  Feature_List!$A$1:$AM$1,0),0)=AT119,".","NO"))</f>
        <v>.</v>
      </c>
      <c r="DC119" s="136" t="str">
        <f>IF($D119&lt;&gt;"Feature",".",
IF(VLOOKUP($B119,Feature_List!$A:$AM,MATCH(DC$1,  Feature_List!$A$1:$AM$1,0),0)=AU119,".","NO"))</f>
        <v>.</v>
      </c>
      <c r="DD119" s="136" t="str">
        <f>IF($D119&lt;&gt;"Feature",".",
IF(VLOOKUP($B119,Feature_List!$A:$AM,MATCH(DD$1,  Feature_List!$A$1:$AM$1,0),0)=AV119,".","NO"))</f>
        <v>.</v>
      </c>
      <c r="DE119" s="136" t="str">
        <f>IF($D119&lt;&gt;"Feature",".",
IF(VLOOKUP($B119,Feature_List!$A:$AM,MATCH(DE$1,  Feature_List!$A$1:$AM$1,0),0)=AW119,".","NO"))</f>
        <v>.</v>
      </c>
      <c r="DF119" s="136" t="str">
        <f>IF($D119&lt;&gt;"Feature",".",
IF(VLOOKUP($B119,Feature_List!$A:$AM,MATCH(DF$1,  Feature_List!$A$1:$AM$1,0),0)=AX119,".","NO"))</f>
        <v>.</v>
      </c>
      <c r="DG119" s="136" t="str">
        <f>IF($D119&lt;&gt;"Feature",".",
IF(VLOOKUP($B119,Feature_List!$A:$AM,MATCH(DG$1,  Feature_List!$A$1:$AM$1,0),0)=AY119,".","NO"))</f>
        <v>.</v>
      </c>
      <c r="DH119" s="136" t="str">
        <f>IF($D119&lt;&gt;"Feature",".",
IF(VLOOKUP($B119,Feature_List!$A:$AM,MATCH(DH$1,  Feature_List!$A$1:$AM$1,0),0)=AZ119,".","NO"))</f>
        <v>.</v>
      </c>
      <c r="DI119" s="136" t="str">
        <f>IF($D119&lt;&gt;"Feature",".",
IF(VLOOKUP($B119,Feature_List!$A:$AM,MATCH(DI$1,  Feature_List!$A$1:$AM$1,0),0)=BA119,".","NO"))</f>
        <v>.</v>
      </c>
      <c r="DJ119" s="136" t="str">
        <f>IF($D119&lt;&gt;"Feature",".",
IF(VLOOKUP($B119,Feature_List!$A:$AM,MATCH(DJ$1,  Feature_List!$A$1:$AM$1,0),0)=BB119,".","NO"))</f>
        <v>.</v>
      </c>
      <c r="DK119" s="136"/>
      <c r="DL119" s="136"/>
      <c r="DM119" s="136"/>
      <c r="DN119" s="136" t="str">
        <f>IF($D119&lt;&gt;"Feature",".",
IF(VLOOKUP($B119,Feature_List!$A:$AM,MATCH(DN$1,  Feature_List!$A$1:$AM$1,0),0)=BC119,".","NO"))</f>
        <v>.</v>
      </c>
      <c r="DO119" s="136" t="str">
        <f>IF($D119&lt;&gt;"Feature",".",
IF(VLOOKUP($B119,Feature_List!$A:$AM,MATCH(DO$1,  Feature_List!$A$1:$AM$1,0),0)=BD119,".","NO"))</f>
        <v>.</v>
      </c>
    </row>
    <row r="120" spans="2:119" x14ac:dyDescent="0.3">
      <c r="B120" s="121"/>
      <c r="C120" s="122"/>
      <c r="D120" s="122"/>
      <c r="E120" s="122"/>
      <c r="F120" s="138"/>
      <c r="G120" s="123"/>
      <c r="H120" s="122"/>
      <c r="I120" s="124"/>
      <c r="J120" s="138"/>
      <c r="K120" s="123"/>
      <c r="L120" s="122"/>
      <c r="M120" s="122"/>
      <c r="N120" s="125"/>
      <c r="O120" s="123">
        <f t="shared" si="38"/>
        <v>0</v>
      </c>
      <c r="P120" s="123">
        <f t="shared" si="39"/>
        <v>0</v>
      </c>
      <c r="Q120" s="122" t="str">
        <f t="shared" si="61"/>
        <v>ZeroEntry</v>
      </c>
      <c r="R120" s="126" t="str">
        <f t="shared" si="40"/>
        <v>ZeroEntry</v>
      </c>
      <c r="S120" s="127" t="str">
        <f t="shared" si="41"/>
        <v>ZeroEntry</v>
      </c>
      <c r="T120" s="128" t="str">
        <f>IF($Q120="ZeroEntry", "",VLOOKUP($I120,'Ranking Lookup'!#REF!,2,FALSE))</f>
        <v/>
      </c>
      <c r="U120" s="129" t="str">
        <f t="shared" si="42"/>
        <v/>
      </c>
      <c r="V120" s="129" t="str">
        <f t="shared" si="43"/>
        <v/>
      </c>
      <c r="W120" s="129" t="str">
        <f t="shared" si="44"/>
        <v/>
      </c>
      <c r="X120" s="129" t="str">
        <f t="shared" si="45"/>
        <v/>
      </c>
      <c r="Y120" s="129" t="str">
        <f t="shared" si="46"/>
        <v/>
      </c>
      <c r="Z120" s="129" t="str">
        <f t="shared" si="47"/>
        <v/>
      </c>
      <c r="AA120" s="130"/>
      <c r="AB120" s="130" t="str">
        <f t="shared" si="48"/>
        <v>Unassigned</v>
      </c>
      <c r="AC120" s="131" t="str">
        <f t="shared" si="62"/>
        <v/>
      </c>
      <c r="AD120" s="131" t="str">
        <f t="shared" si="63"/>
        <v/>
      </c>
      <c r="AE120" s="132">
        <f t="shared" si="49"/>
        <v>0</v>
      </c>
      <c r="AF120" s="133" t="str">
        <f t="shared" si="64"/>
        <v/>
      </c>
      <c r="AG120" s="134">
        <f t="shared" si="50"/>
        <v>0</v>
      </c>
      <c r="AH120" s="54" t="str">
        <f t="shared" si="51"/>
        <v/>
      </c>
      <c r="AI120" s="54" t="str">
        <f t="shared" si="72"/>
        <v/>
      </c>
      <c r="AJ120" s="54" t="str">
        <f t="shared" si="72"/>
        <v/>
      </c>
      <c r="AK120" s="54" t="str">
        <f t="shared" si="72"/>
        <v/>
      </c>
      <c r="AL120" s="54" t="str">
        <f t="shared" si="72"/>
        <v/>
      </c>
      <c r="AM120" s="54" t="str">
        <f t="shared" si="72"/>
        <v/>
      </c>
      <c r="AN120" s="54" t="str">
        <f t="shared" si="72"/>
        <v/>
      </c>
      <c r="AO120" s="54" t="str">
        <f t="shared" si="72"/>
        <v/>
      </c>
      <c r="AP120" s="54" t="str">
        <f t="shared" si="72"/>
        <v/>
      </c>
      <c r="AQ120" s="54" t="str">
        <f t="shared" si="72"/>
        <v/>
      </c>
      <c r="AR120" s="54" t="str">
        <f t="shared" si="72"/>
        <v/>
      </c>
      <c r="AS120" s="54" t="str">
        <f t="shared" si="72"/>
        <v/>
      </c>
      <c r="AT120" s="54" t="str">
        <f t="shared" si="72"/>
        <v/>
      </c>
      <c r="AU120" s="54" t="str">
        <f t="shared" si="72"/>
        <v/>
      </c>
      <c r="AV120" s="54" t="str">
        <f t="shared" si="72"/>
        <v/>
      </c>
      <c r="AW120" s="54" t="str">
        <f t="shared" si="72"/>
        <v/>
      </c>
      <c r="AX120" s="54" t="str">
        <f t="shared" si="72"/>
        <v/>
      </c>
      <c r="AY120" s="54" t="str">
        <f t="shared" si="53"/>
        <v/>
      </c>
      <c r="AZ120" s="54" t="str">
        <f t="shared" si="54"/>
        <v/>
      </c>
      <c r="BA120" s="54" t="str">
        <f t="shared" si="55"/>
        <v/>
      </c>
      <c r="BB120" s="135" t="str">
        <f t="shared" si="56"/>
        <v/>
      </c>
      <c r="BC120" s="54" t="str">
        <f t="shared" si="70"/>
        <v/>
      </c>
      <c r="BD120" s="54" t="str">
        <f t="shared" si="70"/>
        <v/>
      </c>
      <c r="BE120" s="54" t="str">
        <f t="shared" si="70"/>
        <v/>
      </c>
      <c r="BF120" s="54" t="str">
        <f t="shared" si="57"/>
        <v/>
      </c>
      <c r="BG120" s="54" t="str">
        <f t="shared" si="58"/>
        <v/>
      </c>
      <c r="BH120" s="34" t="str">
        <f t="shared" si="59"/>
        <v>Bad</v>
      </c>
      <c r="BI120" s="34" t="str">
        <f t="shared" si="60"/>
        <v>No</v>
      </c>
      <c r="BJ120" s="136" t="str">
        <f>IF($D120&lt;&gt;"Feature",".",
IF(VLOOKUP($B120,Feature_List!$A:$AM,MATCH(BJ$1,  Feature_List!$A$1:$AM$1,0),0)=B120,".","NO"))</f>
        <v>.</v>
      </c>
      <c r="BK120" s="136"/>
      <c r="BL120" s="136"/>
      <c r="BM120" s="136" t="str">
        <f>IF($D120&lt;&gt;"Feature",".",
IF(VLOOKUP($B120,Feature_List!$A:$AM,MATCH(BM$1,  Feature_List!$A$1:$AM$1,0),0)=E120,".","NO"))</f>
        <v>.</v>
      </c>
      <c r="BN120" s="136" t="str">
        <f>IF($D120&lt;&gt;"Feature",".",
IF(VLOOKUP($B120,Feature_List!$A:$AM,MATCH(BN$1,  Feature_List!$A$1:$AM$1,0),0)=F120,".","NO"))</f>
        <v>.</v>
      </c>
      <c r="BO120" s="136" t="str">
        <f>IF($D120&lt;&gt;"Feature",".",
IF(VLOOKUP($B120,Feature_List!$A:$AM,MATCH(BO$1,  Feature_List!$A$1:$AM$1,0),0)=G120,".","NO"))</f>
        <v>.</v>
      </c>
      <c r="BP120" s="136" t="str">
        <f>IF($D120&lt;&gt;"Feature",".",
IF(VLOOKUP($B120,Feature_List!$A:$AM,MATCH(BP$1,  Feature_List!$A$1:$AM$1,0),0)=H120,".","NO"))</f>
        <v>.</v>
      </c>
      <c r="BQ120" s="136"/>
      <c r="BR120" s="136" t="str">
        <f>IF($D120&lt;&gt;"Feature",".",
IF(VLOOKUP($B120,Feature_List!$A:$AM,MATCH(BR$1,  Feature_List!$A$1:$AM$1,0),0)=J120,".","NO"))</f>
        <v>.</v>
      </c>
      <c r="BS120" s="136"/>
      <c r="BT120" s="136"/>
      <c r="BU120" s="136" t="str">
        <f>IF($D120&lt;&gt;"Feature",".",
IF(VLOOKUP($B120,Feature_List!$A:$AM,MATCH(BU$1,  Feature_List!$A$1:$AM$1,0),0)=M120,".","NO"))</f>
        <v>.</v>
      </c>
      <c r="BV120" s="136" t="str">
        <f>IF($D120&lt;&gt;"Feature",".",
IF(VLOOKUP($B120,Feature_List!$A:$AM,MATCH(BV$1,  Feature_List!$A$1:$AM$1,0),0)=N120,".","NO"))</f>
        <v>.</v>
      </c>
      <c r="BW120" s="136"/>
      <c r="BX120" s="136"/>
      <c r="BY120" s="136"/>
      <c r="BZ120" s="136"/>
      <c r="CA120" s="136"/>
      <c r="CB120" s="136" t="str">
        <f>IF($D120&lt;&gt;"Feature",".",
IF(VLOOKUP($B120,Feature_List!$A:$AM,MATCH(CB$1,  Feature_List!$A$1:$AM$1,0),0)=T120,".","NO"))</f>
        <v>.</v>
      </c>
      <c r="CC120" s="136"/>
      <c r="CD120" s="136"/>
      <c r="CE120" s="136"/>
      <c r="CF120" s="136"/>
      <c r="CG120" s="136"/>
      <c r="CH120" s="136"/>
      <c r="CI120" s="136"/>
      <c r="CJ120" s="136"/>
      <c r="CK120" s="136"/>
      <c r="CL120" s="136"/>
      <c r="CM120" s="136"/>
      <c r="CN120" s="136"/>
      <c r="CO120" s="136" t="str">
        <f>IF($D120&lt;&gt;"Feature",".",
IF(VLOOKUP($B120,Feature_List!$A:$AM,MATCH(CO$1,  Feature_List!$A$1:$AM$1,0),0)=AG120,".","NO"))</f>
        <v>.</v>
      </c>
      <c r="CP120" s="136" t="str">
        <f>IF($D120&lt;&gt;"Feature",".",
IF(VLOOKUP($B120,Feature_List!$A:$AM,MATCH(CP$1,  Feature_List!$A$1:$AM$1,0),0)=AH120,".","NO"))</f>
        <v>.</v>
      </c>
      <c r="CQ120" s="136" t="str">
        <f>IF($D120&lt;&gt;"Feature",".",
IF(VLOOKUP($B120,Feature_List!$A:$AM,MATCH(CQ$1,  Feature_List!$A$1:$AM$1,0),0)=AI120,".","NO"))</f>
        <v>.</v>
      </c>
      <c r="CR120" s="136" t="str">
        <f>IF($D120&lt;&gt;"Feature",".",
IF(VLOOKUP($B120,Feature_List!$A:$AM,MATCH(CR$1,  Feature_List!$A$1:$AM$1,0),0)=AJ120,".","NO"))</f>
        <v>.</v>
      </c>
      <c r="CS120" s="136" t="str">
        <f>IF($D120&lt;&gt;"Feature",".",
IF(VLOOKUP($B120,Feature_List!$A:$AM,MATCH(CS$1,  Feature_List!$A$1:$AM$1,0),0)=AK120,".","NO"))</f>
        <v>.</v>
      </c>
      <c r="CT120" s="136" t="str">
        <f>IF($D120&lt;&gt;"Feature",".",
IF(VLOOKUP($B120,Feature_List!$A:$AM,MATCH(CT$1,  Feature_List!$A$1:$AM$1,0),0)=AL120,".","NO"))</f>
        <v>.</v>
      </c>
      <c r="CU120" s="136" t="str">
        <f>IF($D120&lt;&gt;"Feature",".",
IF(VLOOKUP($B120,Feature_List!$A:$AM,MATCH(CU$1,  Feature_List!$A$1:$AM$1,0),0)=AM120,".","NO"))</f>
        <v>.</v>
      </c>
      <c r="CV120" s="136" t="str">
        <f>IF($D120&lt;&gt;"Feature",".",
IF(VLOOKUP($B120,Feature_List!$A:$AM,MATCH(CV$1,  Feature_List!$A$1:$AM$1,0),0)=AN120,".","NO"))</f>
        <v>.</v>
      </c>
      <c r="CW120" s="136" t="str">
        <f>IF($D120&lt;&gt;"Feature",".",
IF(VLOOKUP($B120,Feature_List!$A:$AM,MATCH(CW$1,  Feature_List!$A$1:$AM$1,0),0)=AO120,".","NO"))</f>
        <v>.</v>
      </c>
      <c r="CX120" s="136" t="str">
        <f>IF($D120&lt;&gt;"Feature",".",
IF(VLOOKUP($B120,Feature_List!$A:$AM,MATCH(CX$1,  Feature_List!$A$1:$AM$1,0),0)=AP120,".","NO"))</f>
        <v>.</v>
      </c>
      <c r="CY120" s="136" t="str">
        <f>IF($D120&lt;&gt;"Feature",".",
IF(VLOOKUP($B120,Feature_List!$A:$AM,MATCH(CY$1,  Feature_List!$A$1:$AM$1,0),0)=AQ120,".","NO"))</f>
        <v>.</v>
      </c>
      <c r="CZ120" s="136" t="str">
        <f>IF($D120&lt;&gt;"Feature",".",
IF(VLOOKUP($B120,Feature_List!$A:$AM,MATCH(CZ$1,  Feature_List!$A$1:$AM$1,0),0)=AR120,".","NO"))</f>
        <v>.</v>
      </c>
      <c r="DA120" s="136" t="str">
        <f>IF($D120&lt;&gt;"Feature",".",
IF(VLOOKUP($B120,Feature_List!$A:$AM,MATCH(DA$1,  Feature_List!$A$1:$AM$1,0),0)=AS120,".","NO"))</f>
        <v>.</v>
      </c>
      <c r="DB120" s="136" t="str">
        <f>IF($D120&lt;&gt;"Feature",".",
IF(VLOOKUP($B120,Feature_List!$A:$AM,MATCH(DB$1,  Feature_List!$A$1:$AM$1,0),0)=AT120,".","NO"))</f>
        <v>.</v>
      </c>
      <c r="DC120" s="136" t="str">
        <f>IF($D120&lt;&gt;"Feature",".",
IF(VLOOKUP($B120,Feature_List!$A:$AM,MATCH(DC$1,  Feature_List!$A$1:$AM$1,0),0)=AU120,".","NO"))</f>
        <v>.</v>
      </c>
      <c r="DD120" s="136" t="str">
        <f>IF($D120&lt;&gt;"Feature",".",
IF(VLOOKUP($B120,Feature_List!$A:$AM,MATCH(DD$1,  Feature_List!$A$1:$AM$1,0),0)=AV120,".","NO"))</f>
        <v>.</v>
      </c>
      <c r="DE120" s="136" t="str">
        <f>IF($D120&lt;&gt;"Feature",".",
IF(VLOOKUP($B120,Feature_List!$A:$AM,MATCH(DE$1,  Feature_List!$A$1:$AM$1,0),0)=AW120,".","NO"))</f>
        <v>.</v>
      </c>
      <c r="DF120" s="136" t="str">
        <f>IF($D120&lt;&gt;"Feature",".",
IF(VLOOKUP($B120,Feature_List!$A:$AM,MATCH(DF$1,  Feature_List!$A$1:$AM$1,0),0)=AX120,".","NO"))</f>
        <v>.</v>
      </c>
      <c r="DG120" s="136" t="str">
        <f>IF($D120&lt;&gt;"Feature",".",
IF(VLOOKUP($B120,Feature_List!$A:$AM,MATCH(DG$1,  Feature_List!$A$1:$AM$1,0),0)=AY120,".","NO"))</f>
        <v>.</v>
      </c>
      <c r="DH120" s="136" t="str">
        <f>IF($D120&lt;&gt;"Feature",".",
IF(VLOOKUP($B120,Feature_List!$A:$AM,MATCH(DH$1,  Feature_List!$A$1:$AM$1,0),0)=AZ120,".","NO"))</f>
        <v>.</v>
      </c>
      <c r="DI120" s="136" t="str">
        <f>IF($D120&lt;&gt;"Feature",".",
IF(VLOOKUP($B120,Feature_List!$A:$AM,MATCH(DI$1,  Feature_List!$A$1:$AM$1,0),0)=BA120,".","NO"))</f>
        <v>.</v>
      </c>
      <c r="DJ120" s="136" t="str">
        <f>IF($D120&lt;&gt;"Feature",".",
IF(VLOOKUP($B120,Feature_List!$A:$AM,MATCH(DJ$1,  Feature_List!$A$1:$AM$1,0),0)=BB120,".","NO"))</f>
        <v>.</v>
      </c>
      <c r="DK120" s="136"/>
      <c r="DL120" s="136"/>
      <c r="DM120" s="136"/>
      <c r="DN120" s="136" t="str">
        <f>IF($D120&lt;&gt;"Feature",".",
IF(VLOOKUP($B120,Feature_List!$A:$AM,MATCH(DN$1,  Feature_List!$A$1:$AM$1,0),0)=BC120,".","NO"))</f>
        <v>.</v>
      </c>
      <c r="DO120" s="136" t="str">
        <f>IF($D120&lt;&gt;"Feature",".",
IF(VLOOKUP($B120,Feature_List!$A:$AM,MATCH(DO$1,  Feature_List!$A$1:$AM$1,0),0)=BD120,".","NO"))</f>
        <v>.</v>
      </c>
    </row>
    <row r="121" spans="2:119" x14ac:dyDescent="0.3">
      <c r="B121" s="121"/>
      <c r="C121" s="122"/>
      <c r="D121" s="122"/>
      <c r="E121" s="122"/>
      <c r="F121" s="138"/>
      <c r="G121" s="123"/>
      <c r="H121" s="122"/>
      <c r="I121" s="124"/>
      <c r="J121" s="138"/>
      <c r="K121" s="123"/>
      <c r="L121" s="122"/>
      <c r="M121" s="122"/>
      <c r="N121" s="125"/>
      <c r="O121" s="123">
        <f t="shared" si="38"/>
        <v>0</v>
      </c>
      <c r="P121" s="123">
        <f t="shared" si="39"/>
        <v>0</v>
      </c>
      <c r="Q121" s="122" t="str">
        <f t="shared" si="61"/>
        <v>ZeroEntry</v>
      </c>
      <c r="R121" s="126" t="str">
        <f t="shared" si="40"/>
        <v>ZeroEntry</v>
      </c>
      <c r="S121" s="127" t="str">
        <f t="shared" si="41"/>
        <v>ZeroEntry</v>
      </c>
      <c r="T121" s="128" t="str">
        <f>IF($Q121="ZeroEntry", "",VLOOKUP($I121,'Ranking Lookup'!#REF!,2,FALSE))</f>
        <v/>
      </c>
      <c r="U121" s="129" t="str">
        <f t="shared" si="42"/>
        <v/>
      </c>
      <c r="V121" s="129" t="str">
        <f t="shared" si="43"/>
        <v/>
      </c>
      <c r="W121" s="129" t="str">
        <f t="shared" si="44"/>
        <v/>
      </c>
      <c r="X121" s="129" t="str">
        <f t="shared" si="45"/>
        <v/>
      </c>
      <c r="Y121" s="129" t="str">
        <f t="shared" si="46"/>
        <v/>
      </c>
      <c r="Z121" s="129" t="str">
        <f t="shared" si="47"/>
        <v/>
      </c>
      <c r="AA121" s="130"/>
      <c r="AB121" s="130" t="str">
        <f t="shared" si="48"/>
        <v>Unassigned</v>
      </c>
      <c r="AC121" s="131" t="str">
        <f t="shared" si="62"/>
        <v/>
      </c>
      <c r="AD121" s="131" t="str">
        <f t="shared" si="63"/>
        <v/>
      </c>
      <c r="AE121" s="132">
        <f t="shared" si="49"/>
        <v>0</v>
      </c>
      <c r="AF121" s="133" t="str">
        <f t="shared" si="64"/>
        <v/>
      </c>
      <c r="AG121" s="134">
        <f t="shared" si="50"/>
        <v>0</v>
      </c>
      <c r="AH121" s="54" t="str">
        <f t="shared" si="51"/>
        <v/>
      </c>
      <c r="AI121" s="54" t="str">
        <f t="shared" si="72"/>
        <v/>
      </c>
      <c r="AJ121" s="54" t="str">
        <f t="shared" si="72"/>
        <v/>
      </c>
      <c r="AK121" s="54" t="str">
        <f t="shared" si="72"/>
        <v/>
      </c>
      <c r="AL121" s="54" t="str">
        <f t="shared" si="72"/>
        <v/>
      </c>
      <c r="AM121" s="54" t="str">
        <f t="shared" si="72"/>
        <v/>
      </c>
      <c r="AN121" s="54" t="str">
        <f t="shared" si="72"/>
        <v/>
      </c>
      <c r="AO121" s="54" t="str">
        <f t="shared" si="72"/>
        <v/>
      </c>
      <c r="AP121" s="54" t="str">
        <f t="shared" si="72"/>
        <v/>
      </c>
      <c r="AQ121" s="54" t="str">
        <f t="shared" si="72"/>
        <v/>
      </c>
      <c r="AR121" s="54" t="str">
        <f t="shared" si="72"/>
        <v/>
      </c>
      <c r="AS121" s="54" t="str">
        <f t="shared" si="72"/>
        <v/>
      </c>
      <c r="AT121" s="54" t="str">
        <f t="shared" si="72"/>
        <v/>
      </c>
      <c r="AU121" s="54" t="str">
        <f t="shared" si="72"/>
        <v/>
      </c>
      <c r="AV121" s="54" t="str">
        <f t="shared" si="72"/>
        <v/>
      </c>
      <c r="AW121" s="54" t="str">
        <f t="shared" si="72"/>
        <v/>
      </c>
      <c r="AX121" s="54" t="str">
        <f t="shared" si="72"/>
        <v/>
      </c>
      <c r="AY121" s="54" t="str">
        <f t="shared" si="53"/>
        <v/>
      </c>
      <c r="AZ121" s="54" t="str">
        <f t="shared" si="54"/>
        <v/>
      </c>
      <c r="BA121" s="54" t="str">
        <f t="shared" si="55"/>
        <v/>
      </c>
      <c r="BB121" s="135" t="str">
        <f t="shared" si="56"/>
        <v/>
      </c>
      <c r="BC121" s="54" t="str">
        <f t="shared" si="70"/>
        <v/>
      </c>
      <c r="BD121" s="54" t="str">
        <f t="shared" si="70"/>
        <v/>
      </c>
      <c r="BE121" s="54" t="str">
        <f t="shared" si="70"/>
        <v/>
      </c>
      <c r="BF121" s="54" t="str">
        <f t="shared" si="57"/>
        <v/>
      </c>
      <c r="BG121" s="54" t="str">
        <f t="shared" si="58"/>
        <v/>
      </c>
      <c r="BH121" s="34" t="str">
        <f t="shared" si="59"/>
        <v>Bad</v>
      </c>
      <c r="BI121" s="34" t="str">
        <f t="shared" si="60"/>
        <v>No</v>
      </c>
      <c r="BJ121" s="136" t="str">
        <f>IF($D121&lt;&gt;"Feature",".",
IF(VLOOKUP($B121,Feature_List!$A:$AM,MATCH(BJ$1,  Feature_List!$A$1:$AM$1,0),0)=B121,".","NO"))</f>
        <v>.</v>
      </c>
      <c r="BK121" s="136"/>
      <c r="BL121" s="136"/>
      <c r="BM121" s="136" t="str">
        <f>IF($D121&lt;&gt;"Feature",".",
IF(VLOOKUP($B121,Feature_List!$A:$AM,MATCH(BM$1,  Feature_List!$A$1:$AM$1,0),0)=E121,".","NO"))</f>
        <v>.</v>
      </c>
      <c r="BN121" s="136" t="str">
        <f>IF($D121&lt;&gt;"Feature",".",
IF(VLOOKUP($B121,Feature_List!$A:$AM,MATCH(BN$1,  Feature_List!$A$1:$AM$1,0),0)=F121,".","NO"))</f>
        <v>.</v>
      </c>
      <c r="BO121" s="136" t="str">
        <f>IF($D121&lt;&gt;"Feature",".",
IF(VLOOKUP($B121,Feature_List!$A:$AM,MATCH(BO$1,  Feature_List!$A$1:$AM$1,0),0)=G121,".","NO"))</f>
        <v>.</v>
      </c>
      <c r="BP121" s="136" t="str">
        <f>IF($D121&lt;&gt;"Feature",".",
IF(VLOOKUP($B121,Feature_List!$A:$AM,MATCH(BP$1,  Feature_List!$A$1:$AM$1,0),0)=H121,".","NO"))</f>
        <v>.</v>
      </c>
      <c r="BQ121" s="136"/>
      <c r="BR121" s="136" t="str">
        <f>IF($D121&lt;&gt;"Feature",".",
IF(VLOOKUP($B121,Feature_List!$A:$AM,MATCH(BR$1,  Feature_List!$A$1:$AM$1,0),0)=J121,".","NO"))</f>
        <v>.</v>
      </c>
      <c r="BS121" s="136"/>
      <c r="BT121" s="136"/>
      <c r="BU121" s="136" t="str">
        <f>IF($D121&lt;&gt;"Feature",".",
IF(VLOOKUP($B121,Feature_List!$A:$AM,MATCH(BU$1,  Feature_List!$A$1:$AM$1,0),0)=M121,".","NO"))</f>
        <v>.</v>
      </c>
      <c r="BV121" s="136" t="str">
        <f>IF($D121&lt;&gt;"Feature",".",
IF(VLOOKUP($B121,Feature_List!$A:$AM,MATCH(BV$1,  Feature_List!$A$1:$AM$1,0),0)=N121,".","NO"))</f>
        <v>.</v>
      </c>
      <c r="BW121" s="136"/>
      <c r="BX121" s="136"/>
      <c r="BY121" s="136"/>
      <c r="BZ121" s="136"/>
      <c r="CA121" s="136"/>
      <c r="CB121" s="136" t="str">
        <f>IF($D121&lt;&gt;"Feature",".",
IF(VLOOKUP($B121,Feature_List!$A:$AM,MATCH(CB$1,  Feature_List!$A$1:$AM$1,0),0)=T121,".","NO"))</f>
        <v>.</v>
      </c>
      <c r="CC121" s="136"/>
      <c r="CD121" s="136"/>
      <c r="CE121" s="136"/>
      <c r="CF121" s="136"/>
      <c r="CG121" s="136"/>
      <c r="CH121" s="136"/>
      <c r="CI121" s="136"/>
      <c r="CJ121" s="136"/>
      <c r="CK121" s="136"/>
      <c r="CL121" s="136"/>
      <c r="CM121" s="136"/>
      <c r="CN121" s="136"/>
      <c r="CO121" s="136" t="str">
        <f>IF($D121&lt;&gt;"Feature",".",
IF(VLOOKUP($B121,Feature_List!$A:$AM,MATCH(CO$1,  Feature_List!$A$1:$AM$1,0),0)=AG121,".","NO"))</f>
        <v>.</v>
      </c>
      <c r="CP121" s="136" t="str">
        <f>IF($D121&lt;&gt;"Feature",".",
IF(VLOOKUP($B121,Feature_List!$A:$AM,MATCH(CP$1,  Feature_List!$A$1:$AM$1,0),0)=AH121,".","NO"))</f>
        <v>.</v>
      </c>
      <c r="CQ121" s="136" t="str">
        <f>IF($D121&lt;&gt;"Feature",".",
IF(VLOOKUP($B121,Feature_List!$A:$AM,MATCH(CQ$1,  Feature_List!$A$1:$AM$1,0),0)=AI121,".","NO"))</f>
        <v>.</v>
      </c>
      <c r="CR121" s="136" t="str">
        <f>IF($D121&lt;&gt;"Feature",".",
IF(VLOOKUP($B121,Feature_List!$A:$AM,MATCH(CR$1,  Feature_List!$A$1:$AM$1,0),0)=AJ121,".","NO"))</f>
        <v>.</v>
      </c>
      <c r="CS121" s="136" t="str">
        <f>IF($D121&lt;&gt;"Feature",".",
IF(VLOOKUP($B121,Feature_List!$A:$AM,MATCH(CS$1,  Feature_List!$A$1:$AM$1,0),0)=AK121,".","NO"))</f>
        <v>.</v>
      </c>
      <c r="CT121" s="136" t="str">
        <f>IF($D121&lt;&gt;"Feature",".",
IF(VLOOKUP($B121,Feature_List!$A:$AM,MATCH(CT$1,  Feature_List!$A$1:$AM$1,0),0)=AL121,".","NO"))</f>
        <v>.</v>
      </c>
      <c r="CU121" s="136" t="str">
        <f>IF($D121&lt;&gt;"Feature",".",
IF(VLOOKUP($B121,Feature_List!$A:$AM,MATCH(CU$1,  Feature_List!$A$1:$AM$1,0),0)=AM121,".","NO"))</f>
        <v>.</v>
      </c>
      <c r="CV121" s="136" t="str">
        <f>IF($D121&lt;&gt;"Feature",".",
IF(VLOOKUP($B121,Feature_List!$A:$AM,MATCH(CV$1,  Feature_List!$A$1:$AM$1,0),0)=AN121,".","NO"))</f>
        <v>.</v>
      </c>
      <c r="CW121" s="136" t="str">
        <f>IF($D121&lt;&gt;"Feature",".",
IF(VLOOKUP($B121,Feature_List!$A:$AM,MATCH(CW$1,  Feature_List!$A$1:$AM$1,0),0)=AO121,".","NO"))</f>
        <v>.</v>
      </c>
      <c r="CX121" s="136" t="str">
        <f>IF($D121&lt;&gt;"Feature",".",
IF(VLOOKUP($B121,Feature_List!$A:$AM,MATCH(CX$1,  Feature_List!$A$1:$AM$1,0),0)=AP121,".","NO"))</f>
        <v>.</v>
      </c>
      <c r="CY121" s="136" t="str">
        <f>IF($D121&lt;&gt;"Feature",".",
IF(VLOOKUP($B121,Feature_List!$A:$AM,MATCH(CY$1,  Feature_List!$A$1:$AM$1,0),0)=AQ121,".","NO"))</f>
        <v>.</v>
      </c>
      <c r="CZ121" s="136" t="str">
        <f>IF($D121&lt;&gt;"Feature",".",
IF(VLOOKUP($B121,Feature_List!$A:$AM,MATCH(CZ$1,  Feature_List!$A$1:$AM$1,0),0)=AR121,".","NO"))</f>
        <v>.</v>
      </c>
      <c r="DA121" s="136" t="str">
        <f>IF($D121&lt;&gt;"Feature",".",
IF(VLOOKUP($B121,Feature_List!$A:$AM,MATCH(DA$1,  Feature_List!$A$1:$AM$1,0),0)=AS121,".","NO"))</f>
        <v>.</v>
      </c>
      <c r="DB121" s="136" t="str">
        <f>IF($D121&lt;&gt;"Feature",".",
IF(VLOOKUP($B121,Feature_List!$A:$AM,MATCH(DB$1,  Feature_List!$A$1:$AM$1,0),0)=AT121,".","NO"))</f>
        <v>.</v>
      </c>
      <c r="DC121" s="136" t="str">
        <f>IF($D121&lt;&gt;"Feature",".",
IF(VLOOKUP($B121,Feature_List!$A:$AM,MATCH(DC$1,  Feature_List!$A$1:$AM$1,0),0)=AU121,".","NO"))</f>
        <v>.</v>
      </c>
      <c r="DD121" s="136" t="str">
        <f>IF($D121&lt;&gt;"Feature",".",
IF(VLOOKUP($B121,Feature_List!$A:$AM,MATCH(DD$1,  Feature_List!$A$1:$AM$1,0),0)=AV121,".","NO"))</f>
        <v>.</v>
      </c>
      <c r="DE121" s="136" t="str">
        <f>IF($D121&lt;&gt;"Feature",".",
IF(VLOOKUP($B121,Feature_List!$A:$AM,MATCH(DE$1,  Feature_List!$A$1:$AM$1,0),0)=AW121,".","NO"))</f>
        <v>.</v>
      </c>
      <c r="DF121" s="136" t="str">
        <f>IF($D121&lt;&gt;"Feature",".",
IF(VLOOKUP($B121,Feature_List!$A:$AM,MATCH(DF$1,  Feature_List!$A$1:$AM$1,0),0)=AX121,".","NO"))</f>
        <v>.</v>
      </c>
      <c r="DG121" s="136" t="str">
        <f>IF($D121&lt;&gt;"Feature",".",
IF(VLOOKUP($B121,Feature_List!$A:$AM,MATCH(DG$1,  Feature_List!$A$1:$AM$1,0),0)=AY121,".","NO"))</f>
        <v>.</v>
      </c>
      <c r="DH121" s="136" t="str">
        <f>IF($D121&lt;&gt;"Feature",".",
IF(VLOOKUP($B121,Feature_List!$A:$AM,MATCH(DH$1,  Feature_List!$A$1:$AM$1,0),0)=AZ121,".","NO"))</f>
        <v>.</v>
      </c>
      <c r="DI121" s="136" t="str">
        <f>IF($D121&lt;&gt;"Feature",".",
IF(VLOOKUP($B121,Feature_List!$A:$AM,MATCH(DI$1,  Feature_List!$A$1:$AM$1,0),0)=BA121,".","NO"))</f>
        <v>.</v>
      </c>
      <c r="DJ121" s="136" t="str">
        <f>IF($D121&lt;&gt;"Feature",".",
IF(VLOOKUP($B121,Feature_List!$A:$AM,MATCH(DJ$1,  Feature_List!$A$1:$AM$1,0),0)=BB121,".","NO"))</f>
        <v>.</v>
      </c>
      <c r="DK121" s="136"/>
      <c r="DL121" s="136"/>
      <c r="DM121" s="136"/>
      <c r="DN121" s="136" t="str">
        <f>IF($D121&lt;&gt;"Feature",".",
IF(VLOOKUP($B121,Feature_List!$A:$AM,MATCH(DN$1,  Feature_List!$A$1:$AM$1,0),0)=BC121,".","NO"))</f>
        <v>.</v>
      </c>
      <c r="DO121" s="136" t="str">
        <f>IF($D121&lt;&gt;"Feature",".",
IF(VLOOKUP($B121,Feature_List!$A:$AM,MATCH(DO$1,  Feature_List!$A$1:$AM$1,0),0)=BD121,".","NO"))</f>
        <v>.</v>
      </c>
    </row>
    <row r="122" spans="2:119" x14ac:dyDescent="0.3">
      <c r="B122" s="121"/>
      <c r="C122" s="122"/>
      <c r="D122" s="122"/>
      <c r="E122" s="122"/>
      <c r="F122" s="138"/>
      <c r="G122" s="123"/>
      <c r="H122" s="122"/>
      <c r="I122" s="124"/>
      <c r="J122" s="138"/>
      <c r="K122" s="123"/>
      <c r="L122" s="122"/>
      <c r="M122" s="122"/>
      <c r="N122" s="125"/>
      <c r="O122" s="123">
        <f t="shared" si="38"/>
        <v>0</v>
      </c>
      <c r="P122" s="123">
        <f t="shared" si="39"/>
        <v>0</v>
      </c>
      <c r="Q122" s="122" t="str">
        <f t="shared" si="61"/>
        <v>ZeroEntry</v>
      </c>
      <c r="R122" s="126" t="str">
        <f t="shared" si="40"/>
        <v>ZeroEntry</v>
      </c>
      <c r="S122" s="127" t="str">
        <f t="shared" si="41"/>
        <v>ZeroEntry</v>
      </c>
      <c r="T122" s="128" t="str">
        <f>IF($Q122="ZeroEntry", "",VLOOKUP($I122,'Ranking Lookup'!#REF!,2,FALSE))</f>
        <v/>
      </c>
      <c r="U122" s="129" t="str">
        <f t="shared" si="42"/>
        <v/>
      </c>
      <c r="V122" s="129" t="str">
        <f t="shared" si="43"/>
        <v/>
      </c>
      <c r="W122" s="129" t="str">
        <f t="shared" si="44"/>
        <v/>
      </c>
      <c r="X122" s="129" t="str">
        <f t="shared" si="45"/>
        <v/>
      </c>
      <c r="Y122" s="129" t="str">
        <f t="shared" si="46"/>
        <v/>
      </c>
      <c r="Z122" s="129" t="str">
        <f t="shared" si="47"/>
        <v/>
      </c>
      <c r="AA122" s="130"/>
      <c r="AB122" s="130" t="str">
        <f t="shared" si="48"/>
        <v>Unassigned</v>
      </c>
      <c r="AC122" s="131" t="str">
        <f t="shared" si="62"/>
        <v/>
      </c>
      <c r="AD122" s="131" t="str">
        <f t="shared" si="63"/>
        <v/>
      </c>
      <c r="AE122" s="132">
        <f t="shared" si="49"/>
        <v>0</v>
      </c>
      <c r="AF122" s="133" t="str">
        <f t="shared" si="64"/>
        <v/>
      </c>
      <c r="AG122" s="134">
        <f t="shared" si="50"/>
        <v>0</v>
      </c>
      <c r="AH122" s="54" t="str">
        <f t="shared" si="51"/>
        <v/>
      </c>
      <c r="AI122" s="54" t="str">
        <f t="shared" si="72"/>
        <v/>
      </c>
      <c r="AJ122" s="54" t="str">
        <f t="shared" si="72"/>
        <v/>
      </c>
      <c r="AK122" s="54" t="str">
        <f t="shared" si="72"/>
        <v/>
      </c>
      <c r="AL122" s="54" t="str">
        <f t="shared" si="72"/>
        <v/>
      </c>
      <c r="AM122" s="54" t="str">
        <f t="shared" si="72"/>
        <v/>
      </c>
      <c r="AN122" s="54" t="str">
        <f t="shared" si="72"/>
        <v/>
      </c>
      <c r="AO122" s="54" t="str">
        <f t="shared" si="72"/>
        <v/>
      </c>
      <c r="AP122" s="54" t="str">
        <f t="shared" si="72"/>
        <v/>
      </c>
      <c r="AQ122" s="54" t="str">
        <f t="shared" si="72"/>
        <v/>
      </c>
      <c r="AR122" s="54" t="str">
        <f t="shared" si="72"/>
        <v/>
      </c>
      <c r="AS122" s="54" t="str">
        <f t="shared" si="72"/>
        <v/>
      </c>
      <c r="AT122" s="54" t="str">
        <f t="shared" si="72"/>
        <v/>
      </c>
      <c r="AU122" s="54" t="str">
        <f t="shared" si="72"/>
        <v/>
      </c>
      <c r="AV122" s="54" t="str">
        <f t="shared" si="72"/>
        <v/>
      </c>
      <c r="AW122" s="54" t="str">
        <f t="shared" si="72"/>
        <v/>
      </c>
      <c r="AX122" s="54" t="str">
        <f t="shared" si="72"/>
        <v/>
      </c>
      <c r="AY122" s="54" t="str">
        <f t="shared" si="53"/>
        <v/>
      </c>
      <c r="AZ122" s="54" t="str">
        <f t="shared" si="54"/>
        <v/>
      </c>
      <c r="BA122" s="54" t="str">
        <f t="shared" si="55"/>
        <v/>
      </c>
      <c r="BB122" s="135" t="str">
        <f t="shared" si="56"/>
        <v/>
      </c>
      <c r="BC122" s="54" t="str">
        <f t="shared" ref="BC122:BE141" si="73">IF(AND($Q122="Feature",LEFT($AB122,2)="PI"),
IF(AND(COUNTIF($R:$R,$B122)=1,$T122=BC$1), IF($AB122=$A$10,$AF122,0),
IF(OR($AD122&lt;1,RIGHT($G122,8)="Progress"),SUMIFS($O:$O,$R:$R,$B122,$T:$T,BC$1,$P:$P,"&lt;&gt;Done",$AB:$AB,$A$10),
IF($T122=BC$1, IF($AB122=$A$10,$AD122,0)+SUMIFS($O:$O,$R:$R,$B122,$T:$T,BC$1,$P:$P,"&lt;&gt;Done",$AB:$AB,$A$10),SUMIFS($O:$O,$R:$R,$B122,$T:$T,BC$1,$P:$P,"&lt;&gt;Done",$AB:$AB,$A$10)))),
IF(AND(OR($Q122="Story",$Q122="Problem",$Q122="Enhancement"),$AB122=$A$10,$R122=0,$T122=BC$1,$P122&lt;&gt;"Done"),$O122,""))</f>
        <v/>
      </c>
      <c r="BD122" s="54" t="str">
        <f t="shared" si="73"/>
        <v/>
      </c>
      <c r="BE122" s="54" t="str">
        <f t="shared" si="73"/>
        <v/>
      </c>
      <c r="BF122" s="54" t="str">
        <f t="shared" si="57"/>
        <v/>
      </c>
      <c r="BG122" s="54" t="str">
        <f t="shared" si="58"/>
        <v/>
      </c>
      <c r="BH122" s="34" t="str">
        <f t="shared" si="59"/>
        <v>Bad</v>
      </c>
      <c r="BI122" s="34" t="str">
        <f t="shared" si="60"/>
        <v>No</v>
      </c>
      <c r="BJ122" s="136" t="str">
        <f>IF($D122&lt;&gt;"Feature",".",
IF(VLOOKUP($B122,Feature_List!$A:$AM,MATCH(BJ$1,  Feature_List!$A$1:$AM$1,0),0)=B122,".","NO"))</f>
        <v>.</v>
      </c>
      <c r="BK122" s="136"/>
      <c r="BL122" s="136"/>
      <c r="BM122" s="136" t="str">
        <f>IF($D122&lt;&gt;"Feature",".",
IF(VLOOKUP($B122,Feature_List!$A:$AM,MATCH(BM$1,  Feature_List!$A$1:$AM$1,0),0)=E122,".","NO"))</f>
        <v>.</v>
      </c>
      <c r="BN122" s="136" t="str">
        <f>IF($D122&lt;&gt;"Feature",".",
IF(VLOOKUP($B122,Feature_List!$A:$AM,MATCH(BN$1,  Feature_List!$A$1:$AM$1,0),0)=F122,".","NO"))</f>
        <v>.</v>
      </c>
      <c r="BO122" s="136" t="str">
        <f>IF($D122&lt;&gt;"Feature",".",
IF(VLOOKUP($B122,Feature_List!$A:$AM,MATCH(BO$1,  Feature_List!$A$1:$AM$1,0),0)=G122,".","NO"))</f>
        <v>.</v>
      </c>
      <c r="BP122" s="136" t="str">
        <f>IF($D122&lt;&gt;"Feature",".",
IF(VLOOKUP($B122,Feature_List!$A:$AM,MATCH(BP$1,  Feature_List!$A$1:$AM$1,0),0)=H122,".","NO"))</f>
        <v>.</v>
      </c>
      <c r="BQ122" s="136"/>
      <c r="BR122" s="136" t="str">
        <f>IF($D122&lt;&gt;"Feature",".",
IF(VLOOKUP($B122,Feature_List!$A:$AM,MATCH(BR$1,  Feature_List!$A$1:$AM$1,0),0)=J122,".","NO"))</f>
        <v>.</v>
      </c>
      <c r="BS122" s="136"/>
      <c r="BT122" s="136"/>
      <c r="BU122" s="136" t="str">
        <f>IF($D122&lt;&gt;"Feature",".",
IF(VLOOKUP($B122,Feature_List!$A:$AM,MATCH(BU$1,  Feature_List!$A$1:$AM$1,0),0)=M122,".","NO"))</f>
        <v>.</v>
      </c>
      <c r="BV122" s="136" t="str">
        <f>IF($D122&lt;&gt;"Feature",".",
IF(VLOOKUP($B122,Feature_List!$A:$AM,MATCH(BV$1,  Feature_List!$A$1:$AM$1,0),0)=N122,".","NO"))</f>
        <v>.</v>
      </c>
      <c r="BW122" s="136"/>
      <c r="BX122" s="136"/>
      <c r="BY122" s="136"/>
      <c r="BZ122" s="136"/>
      <c r="CA122" s="136"/>
      <c r="CB122" s="136" t="str">
        <f>IF($D122&lt;&gt;"Feature",".",
IF(VLOOKUP($B122,Feature_List!$A:$AM,MATCH(CB$1,  Feature_List!$A$1:$AM$1,0),0)=T122,".","NO"))</f>
        <v>.</v>
      </c>
      <c r="CC122" s="136"/>
      <c r="CD122" s="136"/>
      <c r="CE122" s="136"/>
      <c r="CF122" s="136"/>
      <c r="CG122" s="136"/>
      <c r="CH122" s="136"/>
      <c r="CI122" s="136"/>
      <c r="CJ122" s="136"/>
      <c r="CK122" s="136"/>
      <c r="CL122" s="136"/>
      <c r="CM122" s="136"/>
      <c r="CN122" s="136"/>
      <c r="CO122" s="136" t="str">
        <f>IF($D122&lt;&gt;"Feature",".",
IF(VLOOKUP($B122,Feature_List!$A:$AM,MATCH(CO$1,  Feature_List!$A$1:$AM$1,0),0)=AG122,".","NO"))</f>
        <v>.</v>
      </c>
      <c r="CP122" s="136" t="str">
        <f>IF($D122&lt;&gt;"Feature",".",
IF(VLOOKUP($B122,Feature_List!$A:$AM,MATCH(CP$1,  Feature_List!$A$1:$AM$1,0),0)=AH122,".","NO"))</f>
        <v>.</v>
      </c>
      <c r="CQ122" s="136" t="str">
        <f>IF($D122&lt;&gt;"Feature",".",
IF(VLOOKUP($B122,Feature_List!$A:$AM,MATCH(CQ$1,  Feature_List!$A$1:$AM$1,0),0)=AI122,".","NO"))</f>
        <v>.</v>
      </c>
      <c r="CR122" s="136" t="str">
        <f>IF($D122&lt;&gt;"Feature",".",
IF(VLOOKUP($B122,Feature_List!$A:$AM,MATCH(CR$1,  Feature_List!$A$1:$AM$1,0),0)=AJ122,".","NO"))</f>
        <v>.</v>
      </c>
      <c r="CS122" s="136" t="str">
        <f>IF($D122&lt;&gt;"Feature",".",
IF(VLOOKUP($B122,Feature_List!$A:$AM,MATCH(CS$1,  Feature_List!$A$1:$AM$1,0),0)=AK122,".","NO"))</f>
        <v>.</v>
      </c>
      <c r="CT122" s="136" t="str">
        <f>IF($D122&lt;&gt;"Feature",".",
IF(VLOOKUP($B122,Feature_List!$A:$AM,MATCH(CT$1,  Feature_List!$A$1:$AM$1,0),0)=AL122,".","NO"))</f>
        <v>.</v>
      </c>
      <c r="CU122" s="136" t="str">
        <f>IF($D122&lt;&gt;"Feature",".",
IF(VLOOKUP($B122,Feature_List!$A:$AM,MATCH(CU$1,  Feature_List!$A$1:$AM$1,0),0)=AM122,".","NO"))</f>
        <v>.</v>
      </c>
      <c r="CV122" s="136" t="str">
        <f>IF($D122&lt;&gt;"Feature",".",
IF(VLOOKUP($B122,Feature_List!$A:$AM,MATCH(CV$1,  Feature_List!$A$1:$AM$1,0),0)=AN122,".","NO"))</f>
        <v>.</v>
      </c>
      <c r="CW122" s="136" t="str">
        <f>IF($D122&lt;&gt;"Feature",".",
IF(VLOOKUP($B122,Feature_List!$A:$AM,MATCH(CW$1,  Feature_List!$A$1:$AM$1,0),0)=AO122,".","NO"))</f>
        <v>.</v>
      </c>
      <c r="CX122" s="136" t="str">
        <f>IF($D122&lt;&gt;"Feature",".",
IF(VLOOKUP($B122,Feature_List!$A:$AM,MATCH(CX$1,  Feature_List!$A$1:$AM$1,0),0)=AP122,".","NO"))</f>
        <v>.</v>
      </c>
      <c r="CY122" s="136" t="str">
        <f>IF($D122&lt;&gt;"Feature",".",
IF(VLOOKUP($B122,Feature_List!$A:$AM,MATCH(CY$1,  Feature_List!$A$1:$AM$1,0),0)=AQ122,".","NO"))</f>
        <v>.</v>
      </c>
      <c r="CZ122" s="136" t="str">
        <f>IF($D122&lt;&gt;"Feature",".",
IF(VLOOKUP($B122,Feature_List!$A:$AM,MATCH(CZ$1,  Feature_List!$A$1:$AM$1,0),0)=AR122,".","NO"))</f>
        <v>.</v>
      </c>
      <c r="DA122" s="136" t="str">
        <f>IF($D122&lt;&gt;"Feature",".",
IF(VLOOKUP($B122,Feature_List!$A:$AM,MATCH(DA$1,  Feature_List!$A$1:$AM$1,0),0)=AS122,".","NO"))</f>
        <v>.</v>
      </c>
      <c r="DB122" s="136" t="str">
        <f>IF($D122&lt;&gt;"Feature",".",
IF(VLOOKUP($B122,Feature_List!$A:$AM,MATCH(DB$1,  Feature_List!$A$1:$AM$1,0),0)=AT122,".","NO"))</f>
        <v>.</v>
      </c>
      <c r="DC122" s="136" t="str">
        <f>IF($D122&lt;&gt;"Feature",".",
IF(VLOOKUP($B122,Feature_List!$A:$AM,MATCH(DC$1,  Feature_List!$A$1:$AM$1,0),0)=AU122,".","NO"))</f>
        <v>.</v>
      </c>
      <c r="DD122" s="136" t="str">
        <f>IF($D122&lt;&gt;"Feature",".",
IF(VLOOKUP($B122,Feature_List!$A:$AM,MATCH(DD$1,  Feature_List!$A$1:$AM$1,0),0)=AV122,".","NO"))</f>
        <v>.</v>
      </c>
      <c r="DE122" s="136" t="str">
        <f>IF($D122&lt;&gt;"Feature",".",
IF(VLOOKUP($B122,Feature_List!$A:$AM,MATCH(DE$1,  Feature_List!$A$1:$AM$1,0),0)=AW122,".","NO"))</f>
        <v>.</v>
      </c>
      <c r="DF122" s="136" t="str">
        <f>IF($D122&lt;&gt;"Feature",".",
IF(VLOOKUP($B122,Feature_List!$A:$AM,MATCH(DF$1,  Feature_List!$A$1:$AM$1,0),0)=AX122,".","NO"))</f>
        <v>.</v>
      </c>
      <c r="DG122" s="136" t="str">
        <f>IF($D122&lt;&gt;"Feature",".",
IF(VLOOKUP($B122,Feature_List!$A:$AM,MATCH(DG$1,  Feature_List!$A$1:$AM$1,0),0)=AY122,".","NO"))</f>
        <v>.</v>
      </c>
      <c r="DH122" s="136" t="str">
        <f>IF($D122&lt;&gt;"Feature",".",
IF(VLOOKUP($B122,Feature_List!$A:$AM,MATCH(DH$1,  Feature_List!$A$1:$AM$1,0),0)=AZ122,".","NO"))</f>
        <v>.</v>
      </c>
      <c r="DI122" s="136" t="str">
        <f>IF($D122&lt;&gt;"Feature",".",
IF(VLOOKUP($B122,Feature_List!$A:$AM,MATCH(DI$1,  Feature_List!$A$1:$AM$1,0),0)=BA122,".","NO"))</f>
        <v>.</v>
      </c>
      <c r="DJ122" s="136" t="str">
        <f>IF($D122&lt;&gt;"Feature",".",
IF(VLOOKUP($B122,Feature_List!$A:$AM,MATCH(DJ$1,  Feature_List!$A$1:$AM$1,0),0)=BB122,".","NO"))</f>
        <v>.</v>
      </c>
      <c r="DK122" s="136"/>
      <c r="DL122" s="136"/>
      <c r="DM122" s="136"/>
      <c r="DN122" s="136" t="str">
        <f>IF($D122&lt;&gt;"Feature",".",
IF(VLOOKUP($B122,Feature_List!$A:$AM,MATCH(DN$1,  Feature_List!$A$1:$AM$1,0),0)=BC122,".","NO"))</f>
        <v>.</v>
      </c>
      <c r="DO122" s="136" t="str">
        <f>IF($D122&lt;&gt;"Feature",".",
IF(VLOOKUP($B122,Feature_List!$A:$AM,MATCH(DO$1,  Feature_List!$A$1:$AM$1,0),0)=BD122,".","NO"))</f>
        <v>.</v>
      </c>
    </row>
    <row r="123" spans="2:119" x14ac:dyDescent="0.3">
      <c r="B123" s="121"/>
      <c r="C123" s="122"/>
      <c r="D123" s="122"/>
      <c r="E123" s="122"/>
      <c r="F123" s="138"/>
      <c r="G123" s="123"/>
      <c r="H123" s="122"/>
      <c r="I123" s="124"/>
      <c r="J123" s="138"/>
      <c r="K123" s="123"/>
      <c r="L123" s="122"/>
      <c r="M123" s="122"/>
      <c r="N123" s="125"/>
      <c r="O123" s="123">
        <f t="shared" si="38"/>
        <v>0</v>
      </c>
      <c r="P123" s="123">
        <f t="shared" si="39"/>
        <v>0</v>
      </c>
      <c r="Q123" s="122" t="str">
        <f t="shared" si="61"/>
        <v>ZeroEntry</v>
      </c>
      <c r="R123" s="126" t="str">
        <f t="shared" si="40"/>
        <v>ZeroEntry</v>
      </c>
      <c r="S123" s="127" t="str">
        <f t="shared" si="41"/>
        <v>ZeroEntry</v>
      </c>
      <c r="T123" s="128" t="str">
        <f>IF($Q123="ZeroEntry", "",VLOOKUP($I123,'Ranking Lookup'!#REF!,2,FALSE))</f>
        <v/>
      </c>
      <c r="U123" s="129" t="str">
        <f t="shared" si="42"/>
        <v/>
      </c>
      <c r="V123" s="129" t="str">
        <f t="shared" si="43"/>
        <v/>
      </c>
      <c r="W123" s="129" t="str">
        <f t="shared" si="44"/>
        <v/>
      </c>
      <c r="X123" s="129" t="str">
        <f t="shared" si="45"/>
        <v/>
      </c>
      <c r="Y123" s="129" t="str">
        <f t="shared" si="46"/>
        <v/>
      </c>
      <c r="Z123" s="129" t="str">
        <f t="shared" si="47"/>
        <v/>
      </c>
      <c r="AA123" s="130"/>
      <c r="AB123" s="130" t="str">
        <f t="shared" si="48"/>
        <v>Unassigned</v>
      </c>
      <c r="AC123" s="131" t="str">
        <f t="shared" si="62"/>
        <v/>
      </c>
      <c r="AD123" s="131" t="str">
        <f t="shared" si="63"/>
        <v/>
      </c>
      <c r="AE123" s="132">
        <f t="shared" si="49"/>
        <v>0</v>
      </c>
      <c r="AF123" s="133" t="str">
        <f t="shared" si="64"/>
        <v/>
      </c>
      <c r="AG123" s="134">
        <f t="shared" si="50"/>
        <v>0</v>
      </c>
      <c r="AH123" s="54" t="str">
        <f t="shared" si="51"/>
        <v/>
      </c>
      <c r="AI123" s="54" t="str">
        <f t="shared" si="72"/>
        <v/>
      </c>
      <c r="AJ123" s="54" t="str">
        <f t="shared" si="72"/>
        <v/>
      </c>
      <c r="AK123" s="54" t="str">
        <f t="shared" si="72"/>
        <v/>
      </c>
      <c r="AL123" s="54" t="str">
        <f t="shared" si="72"/>
        <v/>
      </c>
      <c r="AM123" s="54" t="str">
        <f t="shared" si="72"/>
        <v/>
      </c>
      <c r="AN123" s="54" t="str">
        <f t="shared" si="72"/>
        <v/>
      </c>
      <c r="AO123" s="54" t="str">
        <f t="shared" si="72"/>
        <v/>
      </c>
      <c r="AP123" s="54" t="str">
        <f t="shared" si="72"/>
        <v/>
      </c>
      <c r="AQ123" s="54" t="str">
        <f t="shared" si="72"/>
        <v/>
      </c>
      <c r="AR123" s="54" t="str">
        <f t="shared" si="72"/>
        <v/>
      </c>
      <c r="AS123" s="54" t="str">
        <f t="shared" si="72"/>
        <v/>
      </c>
      <c r="AT123" s="54" t="str">
        <f t="shared" si="72"/>
        <v/>
      </c>
      <c r="AU123" s="54" t="str">
        <f t="shared" si="72"/>
        <v/>
      </c>
      <c r="AV123" s="54" t="str">
        <f t="shared" si="72"/>
        <v/>
      </c>
      <c r="AW123" s="54" t="str">
        <f t="shared" si="72"/>
        <v/>
      </c>
      <c r="AX123" s="54" t="str">
        <f t="shared" si="72"/>
        <v/>
      </c>
      <c r="AY123" s="54" t="str">
        <f t="shared" si="53"/>
        <v/>
      </c>
      <c r="AZ123" s="54" t="str">
        <f t="shared" si="54"/>
        <v/>
      </c>
      <c r="BA123" s="54" t="str">
        <f t="shared" si="55"/>
        <v/>
      </c>
      <c r="BB123" s="135" t="str">
        <f t="shared" si="56"/>
        <v/>
      </c>
      <c r="BC123" s="54" t="str">
        <f t="shared" si="73"/>
        <v/>
      </c>
      <c r="BD123" s="54" t="str">
        <f t="shared" si="73"/>
        <v/>
      </c>
      <c r="BE123" s="54" t="str">
        <f t="shared" si="73"/>
        <v/>
      </c>
      <c r="BF123" s="54" t="str">
        <f t="shared" si="57"/>
        <v/>
      </c>
      <c r="BG123" s="54" t="str">
        <f t="shared" si="58"/>
        <v/>
      </c>
      <c r="BH123" s="34" t="str">
        <f t="shared" si="59"/>
        <v>Bad</v>
      </c>
      <c r="BI123" s="34" t="str">
        <f t="shared" si="60"/>
        <v>No</v>
      </c>
      <c r="BJ123" s="136" t="str">
        <f>IF($D123&lt;&gt;"Feature",".",
IF(VLOOKUP($B123,Feature_List!$A:$AM,MATCH(BJ$1,  Feature_List!$A$1:$AM$1,0),0)=B123,".","NO"))</f>
        <v>.</v>
      </c>
      <c r="BK123" s="136"/>
      <c r="BL123" s="136"/>
      <c r="BM123" s="136" t="str">
        <f>IF($D123&lt;&gt;"Feature",".",
IF(VLOOKUP($B123,Feature_List!$A:$AM,MATCH(BM$1,  Feature_List!$A$1:$AM$1,0),0)=E123,".","NO"))</f>
        <v>.</v>
      </c>
      <c r="BN123" s="136" t="str">
        <f>IF($D123&lt;&gt;"Feature",".",
IF(VLOOKUP($B123,Feature_List!$A:$AM,MATCH(BN$1,  Feature_List!$A$1:$AM$1,0),0)=F123,".","NO"))</f>
        <v>.</v>
      </c>
      <c r="BO123" s="136" t="str">
        <f>IF($D123&lt;&gt;"Feature",".",
IF(VLOOKUP($B123,Feature_List!$A:$AM,MATCH(BO$1,  Feature_List!$A$1:$AM$1,0),0)=G123,".","NO"))</f>
        <v>.</v>
      </c>
      <c r="BP123" s="136" t="str">
        <f>IF($D123&lt;&gt;"Feature",".",
IF(VLOOKUP($B123,Feature_List!$A:$AM,MATCH(BP$1,  Feature_List!$A$1:$AM$1,0),0)=H123,".","NO"))</f>
        <v>.</v>
      </c>
      <c r="BQ123" s="136"/>
      <c r="BR123" s="136" t="str">
        <f>IF($D123&lt;&gt;"Feature",".",
IF(VLOOKUP($B123,Feature_List!$A:$AM,MATCH(BR$1,  Feature_List!$A$1:$AM$1,0),0)=J123,".","NO"))</f>
        <v>.</v>
      </c>
      <c r="BS123" s="136"/>
      <c r="BT123" s="136"/>
      <c r="BU123" s="136" t="str">
        <f>IF($D123&lt;&gt;"Feature",".",
IF(VLOOKUP($B123,Feature_List!$A:$AM,MATCH(BU$1,  Feature_List!$A$1:$AM$1,0),0)=M123,".","NO"))</f>
        <v>.</v>
      </c>
      <c r="BV123" s="136" t="str">
        <f>IF($D123&lt;&gt;"Feature",".",
IF(VLOOKUP($B123,Feature_List!$A:$AM,MATCH(BV$1,  Feature_List!$A$1:$AM$1,0),0)=N123,".","NO"))</f>
        <v>.</v>
      </c>
      <c r="BW123" s="136"/>
      <c r="BX123" s="136"/>
      <c r="BY123" s="136"/>
      <c r="BZ123" s="136"/>
      <c r="CA123" s="136"/>
      <c r="CB123" s="136" t="str">
        <f>IF($D123&lt;&gt;"Feature",".",
IF(VLOOKUP($B123,Feature_List!$A:$AM,MATCH(CB$1,  Feature_List!$A$1:$AM$1,0),0)=T123,".","NO"))</f>
        <v>.</v>
      </c>
      <c r="CC123" s="136"/>
      <c r="CD123" s="136"/>
      <c r="CE123" s="136"/>
      <c r="CF123" s="136"/>
      <c r="CG123" s="136"/>
      <c r="CH123" s="136"/>
      <c r="CI123" s="136"/>
      <c r="CJ123" s="136"/>
      <c r="CK123" s="136"/>
      <c r="CL123" s="136"/>
      <c r="CM123" s="136"/>
      <c r="CN123" s="136"/>
      <c r="CO123" s="136" t="str">
        <f>IF($D123&lt;&gt;"Feature",".",
IF(VLOOKUP($B123,Feature_List!$A:$AM,MATCH(CO$1,  Feature_List!$A$1:$AM$1,0),0)=AG123,".","NO"))</f>
        <v>.</v>
      </c>
      <c r="CP123" s="136" t="str">
        <f>IF($D123&lt;&gt;"Feature",".",
IF(VLOOKUP($B123,Feature_List!$A:$AM,MATCH(CP$1,  Feature_List!$A$1:$AM$1,0),0)=AH123,".","NO"))</f>
        <v>.</v>
      </c>
      <c r="CQ123" s="136" t="str">
        <f>IF($D123&lt;&gt;"Feature",".",
IF(VLOOKUP($B123,Feature_List!$A:$AM,MATCH(CQ$1,  Feature_List!$A$1:$AM$1,0),0)=AI123,".","NO"))</f>
        <v>.</v>
      </c>
      <c r="CR123" s="136" t="str">
        <f>IF($D123&lt;&gt;"Feature",".",
IF(VLOOKUP($B123,Feature_List!$A:$AM,MATCH(CR$1,  Feature_List!$A$1:$AM$1,0),0)=AJ123,".","NO"))</f>
        <v>.</v>
      </c>
      <c r="CS123" s="136" t="str">
        <f>IF($D123&lt;&gt;"Feature",".",
IF(VLOOKUP($B123,Feature_List!$A:$AM,MATCH(CS$1,  Feature_List!$A$1:$AM$1,0),0)=AK123,".","NO"))</f>
        <v>.</v>
      </c>
      <c r="CT123" s="136" t="str">
        <f>IF($D123&lt;&gt;"Feature",".",
IF(VLOOKUP($B123,Feature_List!$A:$AM,MATCH(CT$1,  Feature_List!$A$1:$AM$1,0),0)=AL123,".","NO"))</f>
        <v>.</v>
      </c>
      <c r="CU123" s="136" t="str">
        <f>IF($D123&lt;&gt;"Feature",".",
IF(VLOOKUP($B123,Feature_List!$A:$AM,MATCH(CU$1,  Feature_List!$A$1:$AM$1,0),0)=AM123,".","NO"))</f>
        <v>.</v>
      </c>
      <c r="CV123" s="136" t="str">
        <f>IF($D123&lt;&gt;"Feature",".",
IF(VLOOKUP($B123,Feature_List!$A:$AM,MATCH(CV$1,  Feature_List!$A$1:$AM$1,0),0)=AN123,".","NO"))</f>
        <v>.</v>
      </c>
      <c r="CW123" s="136" t="str">
        <f>IF($D123&lt;&gt;"Feature",".",
IF(VLOOKUP($B123,Feature_List!$A:$AM,MATCH(CW$1,  Feature_List!$A$1:$AM$1,0),0)=AO123,".","NO"))</f>
        <v>.</v>
      </c>
      <c r="CX123" s="136" t="str">
        <f>IF($D123&lt;&gt;"Feature",".",
IF(VLOOKUP($B123,Feature_List!$A:$AM,MATCH(CX$1,  Feature_List!$A$1:$AM$1,0),0)=AP123,".","NO"))</f>
        <v>.</v>
      </c>
      <c r="CY123" s="136" t="str">
        <f>IF($D123&lt;&gt;"Feature",".",
IF(VLOOKUP($B123,Feature_List!$A:$AM,MATCH(CY$1,  Feature_List!$A$1:$AM$1,0),0)=AQ123,".","NO"))</f>
        <v>.</v>
      </c>
      <c r="CZ123" s="136" t="str">
        <f>IF($D123&lt;&gt;"Feature",".",
IF(VLOOKUP($B123,Feature_List!$A:$AM,MATCH(CZ$1,  Feature_List!$A$1:$AM$1,0),0)=AR123,".","NO"))</f>
        <v>.</v>
      </c>
      <c r="DA123" s="136" t="str">
        <f>IF($D123&lt;&gt;"Feature",".",
IF(VLOOKUP($B123,Feature_List!$A:$AM,MATCH(DA$1,  Feature_List!$A$1:$AM$1,0),0)=AS123,".","NO"))</f>
        <v>.</v>
      </c>
      <c r="DB123" s="136" t="str">
        <f>IF($D123&lt;&gt;"Feature",".",
IF(VLOOKUP($B123,Feature_List!$A:$AM,MATCH(DB$1,  Feature_List!$A$1:$AM$1,0),0)=AT123,".","NO"))</f>
        <v>.</v>
      </c>
      <c r="DC123" s="136" t="str">
        <f>IF($D123&lt;&gt;"Feature",".",
IF(VLOOKUP($B123,Feature_List!$A:$AM,MATCH(DC$1,  Feature_List!$A$1:$AM$1,0),0)=AU123,".","NO"))</f>
        <v>.</v>
      </c>
      <c r="DD123" s="136" t="str">
        <f>IF($D123&lt;&gt;"Feature",".",
IF(VLOOKUP($B123,Feature_List!$A:$AM,MATCH(DD$1,  Feature_List!$A$1:$AM$1,0),0)=AV123,".","NO"))</f>
        <v>.</v>
      </c>
      <c r="DE123" s="136" t="str">
        <f>IF($D123&lt;&gt;"Feature",".",
IF(VLOOKUP($B123,Feature_List!$A:$AM,MATCH(DE$1,  Feature_List!$A$1:$AM$1,0),0)=AW123,".","NO"))</f>
        <v>.</v>
      </c>
      <c r="DF123" s="136" t="str">
        <f>IF($D123&lt;&gt;"Feature",".",
IF(VLOOKUP($B123,Feature_List!$A:$AM,MATCH(DF$1,  Feature_List!$A$1:$AM$1,0),0)=AX123,".","NO"))</f>
        <v>.</v>
      </c>
      <c r="DG123" s="136" t="str">
        <f>IF($D123&lt;&gt;"Feature",".",
IF(VLOOKUP($B123,Feature_List!$A:$AM,MATCH(DG$1,  Feature_List!$A$1:$AM$1,0),0)=AY123,".","NO"))</f>
        <v>.</v>
      </c>
      <c r="DH123" s="136" t="str">
        <f>IF($D123&lt;&gt;"Feature",".",
IF(VLOOKUP($B123,Feature_List!$A:$AM,MATCH(DH$1,  Feature_List!$A$1:$AM$1,0),0)=AZ123,".","NO"))</f>
        <v>.</v>
      </c>
      <c r="DI123" s="136" t="str">
        <f>IF($D123&lt;&gt;"Feature",".",
IF(VLOOKUP($B123,Feature_List!$A:$AM,MATCH(DI$1,  Feature_List!$A$1:$AM$1,0),0)=BA123,".","NO"))</f>
        <v>.</v>
      </c>
      <c r="DJ123" s="136" t="str">
        <f>IF($D123&lt;&gt;"Feature",".",
IF(VLOOKUP($B123,Feature_List!$A:$AM,MATCH(DJ$1,  Feature_List!$A$1:$AM$1,0),0)=BB123,".","NO"))</f>
        <v>.</v>
      </c>
      <c r="DK123" s="136"/>
      <c r="DL123" s="136"/>
      <c r="DM123" s="136"/>
      <c r="DN123" s="136" t="str">
        <f>IF($D123&lt;&gt;"Feature",".",
IF(VLOOKUP($B123,Feature_List!$A:$AM,MATCH(DN$1,  Feature_List!$A$1:$AM$1,0),0)=BC123,".","NO"))</f>
        <v>.</v>
      </c>
      <c r="DO123" s="136" t="str">
        <f>IF($D123&lt;&gt;"Feature",".",
IF(VLOOKUP($B123,Feature_List!$A:$AM,MATCH(DO$1,  Feature_List!$A$1:$AM$1,0),0)=BD123,".","NO"))</f>
        <v>.</v>
      </c>
    </row>
    <row r="124" spans="2:119" x14ac:dyDescent="0.3">
      <c r="B124" s="121"/>
      <c r="C124" s="122"/>
      <c r="D124" s="122"/>
      <c r="E124" s="122"/>
      <c r="F124" s="138"/>
      <c r="G124" s="123"/>
      <c r="H124" s="122"/>
      <c r="I124" s="124"/>
      <c r="J124" s="138"/>
      <c r="K124" s="123"/>
      <c r="L124" s="122"/>
      <c r="M124" s="122"/>
      <c r="N124" s="125"/>
      <c r="O124" s="123">
        <f t="shared" si="38"/>
        <v>0</v>
      </c>
      <c r="P124" s="123">
        <f t="shared" si="39"/>
        <v>0</v>
      </c>
      <c r="Q124" s="122" t="str">
        <f t="shared" si="61"/>
        <v>ZeroEntry</v>
      </c>
      <c r="R124" s="126" t="str">
        <f t="shared" si="40"/>
        <v>ZeroEntry</v>
      </c>
      <c r="S124" s="127" t="str">
        <f t="shared" si="41"/>
        <v>ZeroEntry</v>
      </c>
      <c r="T124" s="128" t="str">
        <f>IF($Q124="ZeroEntry", "",VLOOKUP($I124,'Ranking Lookup'!#REF!,2,FALSE))</f>
        <v/>
      </c>
      <c r="U124" s="129" t="str">
        <f t="shared" si="42"/>
        <v/>
      </c>
      <c r="V124" s="129" t="str">
        <f t="shared" si="43"/>
        <v/>
      </c>
      <c r="W124" s="129" t="str">
        <f t="shared" si="44"/>
        <v/>
      </c>
      <c r="X124" s="129" t="str">
        <f t="shared" si="45"/>
        <v/>
      </c>
      <c r="Y124" s="129" t="str">
        <f t="shared" si="46"/>
        <v/>
      </c>
      <c r="Z124" s="129" t="str">
        <f t="shared" si="47"/>
        <v/>
      </c>
      <c r="AA124" s="130"/>
      <c r="AB124" s="130" t="str">
        <f t="shared" si="48"/>
        <v>Unassigned</v>
      </c>
      <c r="AC124" s="131" t="str">
        <f t="shared" si="62"/>
        <v/>
      </c>
      <c r="AD124" s="131" t="str">
        <f t="shared" si="63"/>
        <v/>
      </c>
      <c r="AE124" s="132">
        <f t="shared" si="49"/>
        <v>0</v>
      </c>
      <c r="AF124" s="133" t="str">
        <f t="shared" si="64"/>
        <v/>
      </c>
      <c r="AG124" s="134">
        <f t="shared" si="50"/>
        <v>0</v>
      </c>
      <c r="AH124" s="54" t="str">
        <f t="shared" si="51"/>
        <v/>
      </c>
      <c r="AI124" s="54" t="str">
        <f t="shared" si="72"/>
        <v/>
      </c>
      <c r="AJ124" s="54" t="str">
        <f t="shared" si="72"/>
        <v/>
      </c>
      <c r="AK124" s="54" t="str">
        <f t="shared" si="72"/>
        <v/>
      </c>
      <c r="AL124" s="54" t="str">
        <f t="shared" si="72"/>
        <v/>
      </c>
      <c r="AM124" s="54" t="str">
        <f t="shared" si="72"/>
        <v/>
      </c>
      <c r="AN124" s="54" t="str">
        <f t="shared" si="72"/>
        <v/>
      </c>
      <c r="AO124" s="54" t="str">
        <f t="shared" si="72"/>
        <v/>
      </c>
      <c r="AP124" s="54" t="str">
        <f t="shared" si="72"/>
        <v/>
      </c>
      <c r="AQ124" s="54" t="str">
        <f t="shared" si="72"/>
        <v/>
      </c>
      <c r="AR124" s="54" t="str">
        <f t="shared" si="72"/>
        <v/>
      </c>
      <c r="AS124" s="54" t="str">
        <f t="shared" si="72"/>
        <v/>
      </c>
      <c r="AT124" s="54" t="str">
        <f t="shared" si="72"/>
        <v/>
      </c>
      <c r="AU124" s="54" t="str">
        <f t="shared" si="72"/>
        <v/>
      </c>
      <c r="AV124" s="54" t="str">
        <f t="shared" si="72"/>
        <v/>
      </c>
      <c r="AW124" s="54" t="str">
        <f t="shared" si="72"/>
        <v/>
      </c>
      <c r="AX124" s="54" t="str">
        <f t="shared" si="72"/>
        <v/>
      </c>
      <c r="AY124" s="54" t="str">
        <f t="shared" si="53"/>
        <v/>
      </c>
      <c r="AZ124" s="54" t="str">
        <f t="shared" si="54"/>
        <v/>
      </c>
      <c r="BA124" s="54" t="str">
        <f t="shared" si="55"/>
        <v/>
      </c>
      <c r="BB124" s="135" t="str">
        <f t="shared" si="56"/>
        <v/>
      </c>
      <c r="BC124" s="54" t="str">
        <f t="shared" si="73"/>
        <v/>
      </c>
      <c r="BD124" s="54" t="str">
        <f t="shared" si="73"/>
        <v/>
      </c>
      <c r="BE124" s="54" t="str">
        <f t="shared" si="73"/>
        <v/>
      </c>
      <c r="BF124" s="54" t="str">
        <f t="shared" si="57"/>
        <v/>
      </c>
      <c r="BG124" s="54" t="str">
        <f t="shared" si="58"/>
        <v/>
      </c>
      <c r="BH124" s="34" t="str">
        <f t="shared" si="59"/>
        <v>Bad</v>
      </c>
      <c r="BI124" s="34" t="str">
        <f t="shared" si="60"/>
        <v>No</v>
      </c>
      <c r="BJ124" s="136" t="str">
        <f>IF($D124&lt;&gt;"Feature",".",
IF(VLOOKUP($B124,Feature_List!$A:$AM,MATCH(BJ$1,  Feature_List!$A$1:$AM$1,0),0)=B124,".","NO"))</f>
        <v>.</v>
      </c>
      <c r="BK124" s="136"/>
      <c r="BL124" s="136"/>
      <c r="BM124" s="136" t="str">
        <f>IF($D124&lt;&gt;"Feature",".",
IF(VLOOKUP($B124,Feature_List!$A:$AM,MATCH(BM$1,  Feature_List!$A$1:$AM$1,0),0)=E124,".","NO"))</f>
        <v>.</v>
      </c>
      <c r="BN124" s="136" t="str">
        <f>IF($D124&lt;&gt;"Feature",".",
IF(VLOOKUP($B124,Feature_List!$A:$AM,MATCH(BN$1,  Feature_List!$A$1:$AM$1,0),0)=F124,".","NO"))</f>
        <v>.</v>
      </c>
      <c r="BO124" s="136" t="str">
        <f>IF($D124&lt;&gt;"Feature",".",
IF(VLOOKUP($B124,Feature_List!$A:$AM,MATCH(BO$1,  Feature_List!$A$1:$AM$1,0),0)=G124,".","NO"))</f>
        <v>.</v>
      </c>
      <c r="BP124" s="136" t="str">
        <f>IF($D124&lt;&gt;"Feature",".",
IF(VLOOKUP($B124,Feature_List!$A:$AM,MATCH(BP$1,  Feature_List!$A$1:$AM$1,0),0)=H124,".","NO"))</f>
        <v>.</v>
      </c>
      <c r="BQ124" s="136"/>
      <c r="BR124" s="136" t="str">
        <f>IF($D124&lt;&gt;"Feature",".",
IF(VLOOKUP($B124,Feature_List!$A:$AM,MATCH(BR$1,  Feature_List!$A$1:$AM$1,0),0)=J124,".","NO"))</f>
        <v>.</v>
      </c>
      <c r="BS124" s="136"/>
      <c r="BT124" s="136"/>
      <c r="BU124" s="136" t="str">
        <f>IF($D124&lt;&gt;"Feature",".",
IF(VLOOKUP($B124,Feature_List!$A:$AM,MATCH(BU$1,  Feature_List!$A$1:$AM$1,0),0)=M124,".","NO"))</f>
        <v>.</v>
      </c>
      <c r="BV124" s="136" t="str">
        <f>IF($D124&lt;&gt;"Feature",".",
IF(VLOOKUP($B124,Feature_List!$A:$AM,MATCH(BV$1,  Feature_List!$A$1:$AM$1,0),0)=N124,".","NO"))</f>
        <v>.</v>
      </c>
      <c r="BW124" s="136"/>
      <c r="BX124" s="136"/>
      <c r="BY124" s="136"/>
      <c r="BZ124" s="136"/>
      <c r="CA124" s="136"/>
      <c r="CB124" s="136" t="str">
        <f>IF($D124&lt;&gt;"Feature",".",
IF(VLOOKUP($B124,Feature_List!$A:$AM,MATCH(CB$1,  Feature_List!$A$1:$AM$1,0),0)=T124,".","NO"))</f>
        <v>.</v>
      </c>
      <c r="CC124" s="136"/>
      <c r="CD124" s="136"/>
      <c r="CE124" s="136"/>
      <c r="CF124" s="136"/>
      <c r="CG124" s="136"/>
      <c r="CH124" s="136"/>
      <c r="CI124" s="136"/>
      <c r="CJ124" s="136"/>
      <c r="CK124" s="136"/>
      <c r="CL124" s="136"/>
      <c r="CM124" s="136"/>
      <c r="CN124" s="136"/>
      <c r="CO124" s="136" t="str">
        <f>IF($D124&lt;&gt;"Feature",".",
IF(VLOOKUP($B124,Feature_List!$A:$AM,MATCH(CO$1,  Feature_List!$A$1:$AM$1,0),0)=AG124,".","NO"))</f>
        <v>.</v>
      </c>
      <c r="CP124" s="136" t="str">
        <f>IF($D124&lt;&gt;"Feature",".",
IF(VLOOKUP($B124,Feature_List!$A:$AM,MATCH(CP$1,  Feature_List!$A$1:$AM$1,0),0)=AH124,".","NO"))</f>
        <v>.</v>
      </c>
      <c r="CQ124" s="136" t="str">
        <f>IF($D124&lt;&gt;"Feature",".",
IF(VLOOKUP($B124,Feature_List!$A:$AM,MATCH(CQ$1,  Feature_List!$A$1:$AM$1,0),0)=AI124,".","NO"))</f>
        <v>.</v>
      </c>
      <c r="CR124" s="136" t="str">
        <f>IF($D124&lt;&gt;"Feature",".",
IF(VLOOKUP($B124,Feature_List!$A:$AM,MATCH(CR$1,  Feature_List!$A$1:$AM$1,0),0)=AJ124,".","NO"))</f>
        <v>.</v>
      </c>
      <c r="CS124" s="136" t="str">
        <f>IF($D124&lt;&gt;"Feature",".",
IF(VLOOKUP($B124,Feature_List!$A:$AM,MATCH(CS$1,  Feature_List!$A$1:$AM$1,0),0)=AK124,".","NO"))</f>
        <v>.</v>
      </c>
      <c r="CT124" s="136" t="str">
        <f>IF($D124&lt;&gt;"Feature",".",
IF(VLOOKUP($B124,Feature_List!$A:$AM,MATCH(CT$1,  Feature_List!$A$1:$AM$1,0),0)=AL124,".","NO"))</f>
        <v>.</v>
      </c>
      <c r="CU124" s="136" t="str">
        <f>IF($D124&lt;&gt;"Feature",".",
IF(VLOOKUP($B124,Feature_List!$A:$AM,MATCH(CU$1,  Feature_List!$A$1:$AM$1,0),0)=AM124,".","NO"))</f>
        <v>.</v>
      </c>
      <c r="CV124" s="136" t="str">
        <f>IF($D124&lt;&gt;"Feature",".",
IF(VLOOKUP($B124,Feature_List!$A:$AM,MATCH(CV$1,  Feature_List!$A$1:$AM$1,0),0)=AN124,".","NO"))</f>
        <v>.</v>
      </c>
      <c r="CW124" s="136" t="str">
        <f>IF($D124&lt;&gt;"Feature",".",
IF(VLOOKUP($B124,Feature_List!$A:$AM,MATCH(CW$1,  Feature_List!$A$1:$AM$1,0),0)=AO124,".","NO"))</f>
        <v>.</v>
      </c>
      <c r="CX124" s="136" t="str">
        <f>IF($D124&lt;&gt;"Feature",".",
IF(VLOOKUP($B124,Feature_List!$A:$AM,MATCH(CX$1,  Feature_List!$A$1:$AM$1,0),0)=AP124,".","NO"))</f>
        <v>.</v>
      </c>
      <c r="CY124" s="136" t="str">
        <f>IF($D124&lt;&gt;"Feature",".",
IF(VLOOKUP($B124,Feature_List!$A:$AM,MATCH(CY$1,  Feature_List!$A$1:$AM$1,0),0)=AQ124,".","NO"))</f>
        <v>.</v>
      </c>
      <c r="CZ124" s="136" t="str">
        <f>IF($D124&lt;&gt;"Feature",".",
IF(VLOOKUP($B124,Feature_List!$A:$AM,MATCH(CZ$1,  Feature_List!$A$1:$AM$1,0),0)=AR124,".","NO"))</f>
        <v>.</v>
      </c>
      <c r="DA124" s="136" t="str">
        <f>IF($D124&lt;&gt;"Feature",".",
IF(VLOOKUP($B124,Feature_List!$A:$AM,MATCH(DA$1,  Feature_List!$A$1:$AM$1,0),0)=AS124,".","NO"))</f>
        <v>.</v>
      </c>
      <c r="DB124" s="136" t="str">
        <f>IF($D124&lt;&gt;"Feature",".",
IF(VLOOKUP($B124,Feature_List!$A:$AM,MATCH(DB$1,  Feature_List!$A$1:$AM$1,0),0)=AT124,".","NO"))</f>
        <v>.</v>
      </c>
      <c r="DC124" s="136" t="str">
        <f>IF($D124&lt;&gt;"Feature",".",
IF(VLOOKUP($B124,Feature_List!$A:$AM,MATCH(DC$1,  Feature_List!$A$1:$AM$1,0),0)=AU124,".","NO"))</f>
        <v>.</v>
      </c>
      <c r="DD124" s="136" t="str">
        <f>IF($D124&lt;&gt;"Feature",".",
IF(VLOOKUP($B124,Feature_List!$A:$AM,MATCH(DD$1,  Feature_List!$A$1:$AM$1,0),0)=AV124,".","NO"))</f>
        <v>.</v>
      </c>
      <c r="DE124" s="136" t="str">
        <f>IF($D124&lt;&gt;"Feature",".",
IF(VLOOKUP($B124,Feature_List!$A:$AM,MATCH(DE$1,  Feature_List!$A$1:$AM$1,0),0)=AW124,".","NO"))</f>
        <v>.</v>
      </c>
      <c r="DF124" s="136" t="str">
        <f>IF($D124&lt;&gt;"Feature",".",
IF(VLOOKUP($B124,Feature_List!$A:$AM,MATCH(DF$1,  Feature_List!$A$1:$AM$1,0),0)=AX124,".","NO"))</f>
        <v>.</v>
      </c>
      <c r="DG124" s="136" t="str">
        <f>IF($D124&lt;&gt;"Feature",".",
IF(VLOOKUP($B124,Feature_List!$A:$AM,MATCH(DG$1,  Feature_List!$A$1:$AM$1,0),0)=AY124,".","NO"))</f>
        <v>.</v>
      </c>
      <c r="DH124" s="136" t="str">
        <f>IF($D124&lt;&gt;"Feature",".",
IF(VLOOKUP($B124,Feature_List!$A:$AM,MATCH(DH$1,  Feature_List!$A$1:$AM$1,0),0)=AZ124,".","NO"))</f>
        <v>.</v>
      </c>
      <c r="DI124" s="136" t="str">
        <f>IF($D124&lt;&gt;"Feature",".",
IF(VLOOKUP($B124,Feature_List!$A:$AM,MATCH(DI$1,  Feature_List!$A$1:$AM$1,0),0)=BA124,".","NO"))</f>
        <v>.</v>
      </c>
      <c r="DJ124" s="136" t="str">
        <f>IF($D124&lt;&gt;"Feature",".",
IF(VLOOKUP($B124,Feature_List!$A:$AM,MATCH(DJ$1,  Feature_List!$A$1:$AM$1,0),0)=BB124,".","NO"))</f>
        <v>.</v>
      </c>
      <c r="DK124" s="136"/>
      <c r="DL124" s="136"/>
      <c r="DM124" s="136"/>
      <c r="DN124" s="136" t="str">
        <f>IF($D124&lt;&gt;"Feature",".",
IF(VLOOKUP($B124,Feature_List!$A:$AM,MATCH(DN$1,  Feature_List!$A$1:$AM$1,0),0)=BC124,".","NO"))</f>
        <v>.</v>
      </c>
      <c r="DO124" s="136" t="str">
        <f>IF($D124&lt;&gt;"Feature",".",
IF(VLOOKUP($B124,Feature_List!$A:$AM,MATCH(DO$1,  Feature_List!$A$1:$AM$1,0),0)=BD124,".","NO"))</f>
        <v>.</v>
      </c>
    </row>
    <row r="125" spans="2:119" x14ac:dyDescent="0.3">
      <c r="B125" s="121"/>
      <c r="C125" s="122"/>
      <c r="D125" s="122"/>
      <c r="E125" s="122"/>
      <c r="F125" s="138"/>
      <c r="G125" s="123"/>
      <c r="H125" s="122"/>
      <c r="I125" s="124"/>
      <c r="J125" s="138"/>
      <c r="K125" s="123"/>
      <c r="L125" s="122"/>
      <c r="M125" s="122"/>
      <c r="N125" s="125"/>
      <c r="O125" s="123">
        <f t="shared" si="38"/>
        <v>0</v>
      </c>
      <c r="P125" s="123">
        <f t="shared" si="39"/>
        <v>0</v>
      </c>
      <c r="Q125" s="122" t="str">
        <f t="shared" si="61"/>
        <v>ZeroEntry</v>
      </c>
      <c r="R125" s="126" t="str">
        <f t="shared" si="40"/>
        <v>ZeroEntry</v>
      </c>
      <c r="S125" s="127" t="str">
        <f t="shared" si="41"/>
        <v>ZeroEntry</v>
      </c>
      <c r="T125" s="128" t="str">
        <f>IF($Q125="ZeroEntry", "",VLOOKUP($I125,'Ranking Lookup'!#REF!,2,FALSE))</f>
        <v/>
      </c>
      <c r="U125" s="129" t="str">
        <f t="shared" si="42"/>
        <v/>
      </c>
      <c r="V125" s="129" t="str">
        <f t="shared" si="43"/>
        <v/>
      </c>
      <c r="W125" s="129" t="str">
        <f t="shared" si="44"/>
        <v/>
      </c>
      <c r="X125" s="129" t="str">
        <f t="shared" si="45"/>
        <v/>
      </c>
      <c r="Y125" s="129" t="str">
        <f t="shared" si="46"/>
        <v/>
      </c>
      <c r="Z125" s="129" t="str">
        <f t="shared" si="47"/>
        <v/>
      </c>
      <c r="AA125" s="130"/>
      <c r="AB125" s="130" t="str">
        <f t="shared" si="48"/>
        <v>Unassigned</v>
      </c>
      <c r="AC125" s="131" t="str">
        <f t="shared" si="62"/>
        <v/>
      </c>
      <c r="AD125" s="131" t="str">
        <f t="shared" si="63"/>
        <v/>
      </c>
      <c r="AE125" s="132">
        <f t="shared" si="49"/>
        <v>0</v>
      </c>
      <c r="AF125" s="133" t="str">
        <f t="shared" si="64"/>
        <v/>
      </c>
      <c r="AG125" s="134">
        <f t="shared" si="50"/>
        <v>0</v>
      </c>
      <c r="AH125" s="54" t="str">
        <f t="shared" si="51"/>
        <v/>
      </c>
      <c r="AI125" s="54" t="str">
        <f t="shared" si="72"/>
        <v/>
      </c>
      <c r="AJ125" s="54" t="str">
        <f t="shared" si="72"/>
        <v/>
      </c>
      <c r="AK125" s="54" t="str">
        <f t="shared" si="72"/>
        <v/>
      </c>
      <c r="AL125" s="54" t="str">
        <f t="shared" si="72"/>
        <v/>
      </c>
      <c r="AM125" s="54" t="str">
        <f t="shared" si="72"/>
        <v/>
      </c>
      <c r="AN125" s="54" t="str">
        <f t="shared" si="72"/>
        <v/>
      </c>
      <c r="AO125" s="54" t="str">
        <f t="shared" si="72"/>
        <v/>
      </c>
      <c r="AP125" s="54" t="str">
        <f t="shared" si="72"/>
        <v/>
      </c>
      <c r="AQ125" s="54" t="str">
        <f t="shared" si="72"/>
        <v/>
      </c>
      <c r="AR125" s="54" t="str">
        <f t="shared" si="72"/>
        <v/>
      </c>
      <c r="AS125" s="54" t="str">
        <f t="shared" si="72"/>
        <v/>
      </c>
      <c r="AT125" s="54" t="str">
        <f t="shared" si="72"/>
        <v/>
      </c>
      <c r="AU125" s="54" t="str">
        <f t="shared" si="72"/>
        <v/>
      </c>
      <c r="AV125" s="54" t="str">
        <f t="shared" si="72"/>
        <v/>
      </c>
      <c r="AW125" s="54" t="str">
        <f t="shared" si="72"/>
        <v/>
      </c>
      <c r="AX125" s="54" t="str">
        <f t="shared" si="72"/>
        <v/>
      </c>
      <c r="AY125" s="54" t="str">
        <f t="shared" si="53"/>
        <v/>
      </c>
      <c r="AZ125" s="54" t="str">
        <f t="shared" si="54"/>
        <v/>
      </c>
      <c r="BA125" s="54" t="str">
        <f t="shared" si="55"/>
        <v/>
      </c>
      <c r="BB125" s="135" t="str">
        <f t="shared" si="56"/>
        <v/>
      </c>
      <c r="BC125" s="54" t="str">
        <f t="shared" si="73"/>
        <v/>
      </c>
      <c r="BD125" s="54" t="str">
        <f t="shared" si="73"/>
        <v/>
      </c>
      <c r="BE125" s="54" t="str">
        <f t="shared" si="73"/>
        <v/>
      </c>
      <c r="BF125" s="54" t="str">
        <f t="shared" si="57"/>
        <v/>
      </c>
      <c r="BG125" s="54" t="str">
        <f t="shared" si="58"/>
        <v/>
      </c>
      <c r="BH125" s="34" t="str">
        <f t="shared" si="59"/>
        <v>Bad</v>
      </c>
      <c r="BI125" s="34" t="str">
        <f t="shared" si="60"/>
        <v>No</v>
      </c>
      <c r="BJ125" s="136" t="str">
        <f>IF($D125&lt;&gt;"Feature",".",
IF(VLOOKUP($B125,Feature_List!$A:$AM,MATCH(BJ$1,  Feature_List!$A$1:$AM$1,0),0)=B125,".","NO"))</f>
        <v>.</v>
      </c>
      <c r="BK125" s="136"/>
      <c r="BL125" s="136"/>
      <c r="BM125" s="136" t="str">
        <f>IF($D125&lt;&gt;"Feature",".",
IF(VLOOKUP($B125,Feature_List!$A:$AM,MATCH(BM$1,  Feature_List!$A$1:$AM$1,0),0)=E125,".","NO"))</f>
        <v>.</v>
      </c>
      <c r="BN125" s="136" t="str">
        <f>IF($D125&lt;&gt;"Feature",".",
IF(VLOOKUP($B125,Feature_List!$A:$AM,MATCH(BN$1,  Feature_List!$A$1:$AM$1,0),0)=F125,".","NO"))</f>
        <v>.</v>
      </c>
      <c r="BO125" s="136" t="str">
        <f>IF($D125&lt;&gt;"Feature",".",
IF(VLOOKUP($B125,Feature_List!$A:$AM,MATCH(BO$1,  Feature_List!$A$1:$AM$1,0),0)=G125,".","NO"))</f>
        <v>.</v>
      </c>
      <c r="BP125" s="136" t="str">
        <f>IF($D125&lt;&gt;"Feature",".",
IF(VLOOKUP($B125,Feature_List!$A:$AM,MATCH(BP$1,  Feature_List!$A$1:$AM$1,0),0)=H125,".","NO"))</f>
        <v>.</v>
      </c>
      <c r="BQ125" s="136"/>
      <c r="BR125" s="136" t="str">
        <f>IF($D125&lt;&gt;"Feature",".",
IF(VLOOKUP($B125,Feature_List!$A:$AM,MATCH(BR$1,  Feature_List!$A$1:$AM$1,0),0)=J125,".","NO"))</f>
        <v>.</v>
      </c>
      <c r="BS125" s="136"/>
      <c r="BT125" s="136"/>
      <c r="BU125" s="136" t="str">
        <f>IF($D125&lt;&gt;"Feature",".",
IF(VLOOKUP($B125,Feature_List!$A:$AM,MATCH(BU$1,  Feature_List!$A$1:$AM$1,0),0)=M125,".","NO"))</f>
        <v>.</v>
      </c>
      <c r="BV125" s="136" t="str">
        <f>IF($D125&lt;&gt;"Feature",".",
IF(VLOOKUP($B125,Feature_List!$A:$AM,MATCH(BV$1,  Feature_List!$A$1:$AM$1,0),0)=N125,".","NO"))</f>
        <v>.</v>
      </c>
      <c r="BW125" s="136"/>
      <c r="BX125" s="136"/>
      <c r="BY125" s="136"/>
      <c r="BZ125" s="136"/>
      <c r="CA125" s="136"/>
      <c r="CB125" s="136" t="str">
        <f>IF($D125&lt;&gt;"Feature",".",
IF(VLOOKUP($B125,Feature_List!$A:$AM,MATCH(CB$1,  Feature_List!$A$1:$AM$1,0),0)=T125,".","NO"))</f>
        <v>.</v>
      </c>
      <c r="CC125" s="136"/>
      <c r="CD125" s="136"/>
      <c r="CE125" s="136"/>
      <c r="CF125" s="136"/>
      <c r="CG125" s="136"/>
      <c r="CH125" s="136"/>
      <c r="CI125" s="136"/>
      <c r="CJ125" s="136"/>
      <c r="CK125" s="136"/>
      <c r="CL125" s="136"/>
      <c r="CM125" s="136"/>
      <c r="CN125" s="136"/>
      <c r="CO125" s="136" t="str">
        <f>IF($D125&lt;&gt;"Feature",".",
IF(VLOOKUP($B125,Feature_List!$A:$AM,MATCH(CO$1,  Feature_List!$A$1:$AM$1,0),0)=AG125,".","NO"))</f>
        <v>.</v>
      </c>
      <c r="CP125" s="136" t="str">
        <f>IF($D125&lt;&gt;"Feature",".",
IF(VLOOKUP($B125,Feature_List!$A:$AM,MATCH(CP$1,  Feature_List!$A$1:$AM$1,0),0)=AH125,".","NO"))</f>
        <v>.</v>
      </c>
      <c r="CQ125" s="136" t="str">
        <f>IF($D125&lt;&gt;"Feature",".",
IF(VLOOKUP($B125,Feature_List!$A:$AM,MATCH(CQ$1,  Feature_List!$A$1:$AM$1,0),0)=AI125,".","NO"))</f>
        <v>.</v>
      </c>
      <c r="CR125" s="136" t="str">
        <f>IF($D125&lt;&gt;"Feature",".",
IF(VLOOKUP($B125,Feature_List!$A:$AM,MATCH(CR$1,  Feature_List!$A$1:$AM$1,0),0)=AJ125,".","NO"))</f>
        <v>.</v>
      </c>
      <c r="CS125" s="136" t="str">
        <f>IF($D125&lt;&gt;"Feature",".",
IF(VLOOKUP($B125,Feature_List!$A:$AM,MATCH(CS$1,  Feature_List!$A$1:$AM$1,0),0)=AK125,".","NO"))</f>
        <v>.</v>
      </c>
      <c r="CT125" s="136" t="str">
        <f>IF($D125&lt;&gt;"Feature",".",
IF(VLOOKUP($B125,Feature_List!$A:$AM,MATCH(CT$1,  Feature_List!$A$1:$AM$1,0),0)=AL125,".","NO"))</f>
        <v>.</v>
      </c>
      <c r="CU125" s="136" t="str">
        <f>IF($D125&lt;&gt;"Feature",".",
IF(VLOOKUP($B125,Feature_List!$A:$AM,MATCH(CU$1,  Feature_List!$A$1:$AM$1,0),0)=AM125,".","NO"))</f>
        <v>.</v>
      </c>
      <c r="CV125" s="136" t="str">
        <f>IF($D125&lt;&gt;"Feature",".",
IF(VLOOKUP($B125,Feature_List!$A:$AM,MATCH(CV$1,  Feature_List!$A$1:$AM$1,0),0)=AN125,".","NO"))</f>
        <v>.</v>
      </c>
      <c r="CW125" s="136" t="str">
        <f>IF($D125&lt;&gt;"Feature",".",
IF(VLOOKUP($B125,Feature_List!$A:$AM,MATCH(CW$1,  Feature_List!$A$1:$AM$1,0),0)=AO125,".","NO"))</f>
        <v>.</v>
      </c>
      <c r="CX125" s="136" t="str">
        <f>IF($D125&lt;&gt;"Feature",".",
IF(VLOOKUP($B125,Feature_List!$A:$AM,MATCH(CX$1,  Feature_List!$A$1:$AM$1,0),0)=AP125,".","NO"))</f>
        <v>.</v>
      </c>
      <c r="CY125" s="136" t="str">
        <f>IF($D125&lt;&gt;"Feature",".",
IF(VLOOKUP($B125,Feature_List!$A:$AM,MATCH(CY$1,  Feature_List!$A$1:$AM$1,0),0)=AQ125,".","NO"))</f>
        <v>.</v>
      </c>
      <c r="CZ125" s="136" t="str">
        <f>IF($D125&lt;&gt;"Feature",".",
IF(VLOOKUP($B125,Feature_List!$A:$AM,MATCH(CZ$1,  Feature_List!$A$1:$AM$1,0),0)=AR125,".","NO"))</f>
        <v>.</v>
      </c>
      <c r="DA125" s="136" t="str">
        <f>IF($D125&lt;&gt;"Feature",".",
IF(VLOOKUP($B125,Feature_List!$A:$AM,MATCH(DA$1,  Feature_List!$A$1:$AM$1,0),0)=AS125,".","NO"))</f>
        <v>.</v>
      </c>
      <c r="DB125" s="136" t="str">
        <f>IF($D125&lt;&gt;"Feature",".",
IF(VLOOKUP($B125,Feature_List!$A:$AM,MATCH(DB$1,  Feature_List!$A$1:$AM$1,0),0)=AT125,".","NO"))</f>
        <v>.</v>
      </c>
      <c r="DC125" s="136" t="str">
        <f>IF($D125&lt;&gt;"Feature",".",
IF(VLOOKUP($B125,Feature_List!$A:$AM,MATCH(DC$1,  Feature_List!$A$1:$AM$1,0),0)=AU125,".","NO"))</f>
        <v>.</v>
      </c>
      <c r="DD125" s="136" t="str">
        <f>IF($D125&lt;&gt;"Feature",".",
IF(VLOOKUP($B125,Feature_List!$A:$AM,MATCH(DD$1,  Feature_List!$A$1:$AM$1,0),0)=AV125,".","NO"))</f>
        <v>.</v>
      </c>
      <c r="DE125" s="136" t="str">
        <f>IF($D125&lt;&gt;"Feature",".",
IF(VLOOKUP($B125,Feature_List!$A:$AM,MATCH(DE$1,  Feature_List!$A$1:$AM$1,0),0)=AW125,".","NO"))</f>
        <v>.</v>
      </c>
      <c r="DF125" s="136" t="str">
        <f>IF($D125&lt;&gt;"Feature",".",
IF(VLOOKUP($B125,Feature_List!$A:$AM,MATCH(DF$1,  Feature_List!$A$1:$AM$1,0),0)=AX125,".","NO"))</f>
        <v>.</v>
      </c>
      <c r="DG125" s="136" t="str">
        <f>IF($D125&lt;&gt;"Feature",".",
IF(VLOOKUP($B125,Feature_List!$A:$AM,MATCH(DG$1,  Feature_List!$A$1:$AM$1,0),0)=AY125,".","NO"))</f>
        <v>.</v>
      </c>
      <c r="DH125" s="136" t="str">
        <f>IF($D125&lt;&gt;"Feature",".",
IF(VLOOKUP($B125,Feature_List!$A:$AM,MATCH(DH$1,  Feature_List!$A$1:$AM$1,0),0)=AZ125,".","NO"))</f>
        <v>.</v>
      </c>
      <c r="DI125" s="136" t="str">
        <f>IF($D125&lt;&gt;"Feature",".",
IF(VLOOKUP($B125,Feature_List!$A:$AM,MATCH(DI$1,  Feature_List!$A$1:$AM$1,0),0)=BA125,".","NO"))</f>
        <v>.</v>
      </c>
      <c r="DJ125" s="136" t="str">
        <f>IF($D125&lt;&gt;"Feature",".",
IF(VLOOKUP($B125,Feature_List!$A:$AM,MATCH(DJ$1,  Feature_List!$A$1:$AM$1,0),0)=BB125,".","NO"))</f>
        <v>.</v>
      </c>
      <c r="DK125" s="136"/>
      <c r="DL125" s="136"/>
      <c r="DM125" s="136"/>
      <c r="DN125" s="136" t="str">
        <f>IF($D125&lt;&gt;"Feature",".",
IF(VLOOKUP($B125,Feature_List!$A:$AM,MATCH(DN$1,  Feature_List!$A$1:$AM$1,0),0)=BC125,".","NO"))</f>
        <v>.</v>
      </c>
      <c r="DO125" s="136" t="str">
        <f>IF($D125&lt;&gt;"Feature",".",
IF(VLOOKUP($B125,Feature_List!$A:$AM,MATCH(DO$1,  Feature_List!$A$1:$AM$1,0),0)=BD125,".","NO"))</f>
        <v>.</v>
      </c>
    </row>
    <row r="126" spans="2:119" x14ac:dyDescent="0.3">
      <c r="B126" s="121"/>
      <c r="C126" s="122"/>
      <c r="D126" s="122"/>
      <c r="E126" s="122"/>
      <c r="F126" s="138"/>
      <c r="G126" s="123"/>
      <c r="H126" s="122"/>
      <c r="I126" s="124"/>
      <c r="J126" s="138"/>
      <c r="K126" s="123"/>
      <c r="L126" s="122"/>
      <c r="M126" s="122"/>
      <c r="N126" s="125"/>
      <c r="O126" s="123">
        <f t="shared" si="38"/>
        <v>0</v>
      </c>
      <c r="P126" s="123">
        <f t="shared" si="39"/>
        <v>0</v>
      </c>
      <c r="Q126" s="122" t="str">
        <f t="shared" si="61"/>
        <v>ZeroEntry</v>
      </c>
      <c r="R126" s="126" t="str">
        <f t="shared" si="40"/>
        <v>ZeroEntry</v>
      </c>
      <c r="S126" s="127" t="str">
        <f t="shared" si="41"/>
        <v>ZeroEntry</v>
      </c>
      <c r="T126" s="128" t="str">
        <f>IF($Q126="ZeroEntry", "",VLOOKUP($I126,'Ranking Lookup'!#REF!,2,FALSE))</f>
        <v/>
      </c>
      <c r="U126" s="129" t="str">
        <f t="shared" si="42"/>
        <v/>
      </c>
      <c r="V126" s="129" t="str">
        <f t="shared" si="43"/>
        <v/>
      </c>
      <c r="W126" s="129" t="str">
        <f t="shared" si="44"/>
        <v/>
      </c>
      <c r="X126" s="129" t="str">
        <f t="shared" si="45"/>
        <v/>
      </c>
      <c r="Y126" s="129" t="str">
        <f t="shared" si="46"/>
        <v/>
      </c>
      <c r="Z126" s="129" t="str">
        <f t="shared" si="47"/>
        <v/>
      </c>
      <c r="AA126" s="130"/>
      <c r="AB126" s="130" t="str">
        <f t="shared" si="48"/>
        <v>Unassigned</v>
      </c>
      <c r="AC126" s="131" t="str">
        <f t="shared" si="62"/>
        <v/>
      </c>
      <c r="AD126" s="131" t="str">
        <f t="shared" si="63"/>
        <v/>
      </c>
      <c r="AE126" s="132">
        <f t="shared" si="49"/>
        <v>0</v>
      </c>
      <c r="AF126" s="133" t="str">
        <f t="shared" si="64"/>
        <v/>
      </c>
      <c r="AG126" s="134">
        <f t="shared" si="50"/>
        <v>0</v>
      </c>
      <c r="AH126" s="54" t="str">
        <f t="shared" si="51"/>
        <v/>
      </c>
      <c r="AI126" s="54" t="str">
        <f t="shared" si="72"/>
        <v/>
      </c>
      <c r="AJ126" s="54" t="str">
        <f t="shared" si="72"/>
        <v/>
      </c>
      <c r="AK126" s="54" t="str">
        <f t="shared" si="72"/>
        <v/>
      </c>
      <c r="AL126" s="54" t="str">
        <f t="shared" si="72"/>
        <v/>
      </c>
      <c r="AM126" s="54" t="str">
        <f t="shared" si="72"/>
        <v/>
      </c>
      <c r="AN126" s="54" t="str">
        <f t="shared" si="72"/>
        <v/>
      </c>
      <c r="AO126" s="54" t="str">
        <f t="shared" si="72"/>
        <v/>
      </c>
      <c r="AP126" s="54" t="str">
        <f t="shared" si="72"/>
        <v/>
      </c>
      <c r="AQ126" s="54" t="str">
        <f t="shared" si="72"/>
        <v/>
      </c>
      <c r="AR126" s="54" t="str">
        <f t="shared" si="72"/>
        <v/>
      </c>
      <c r="AS126" s="54" t="str">
        <f t="shared" si="72"/>
        <v/>
      </c>
      <c r="AT126" s="54" t="str">
        <f t="shared" si="72"/>
        <v/>
      </c>
      <c r="AU126" s="54" t="str">
        <f t="shared" si="72"/>
        <v/>
      </c>
      <c r="AV126" s="54" t="str">
        <f t="shared" si="72"/>
        <v/>
      </c>
      <c r="AW126" s="54" t="str">
        <f t="shared" si="72"/>
        <v/>
      </c>
      <c r="AX126" s="54" t="str">
        <f t="shared" si="72"/>
        <v/>
      </c>
      <c r="AY126" s="54" t="str">
        <f t="shared" si="53"/>
        <v/>
      </c>
      <c r="AZ126" s="54" t="str">
        <f t="shared" si="54"/>
        <v/>
      </c>
      <c r="BA126" s="54" t="str">
        <f t="shared" si="55"/>
        <v/>
      </c>
      <c r="BB126" s="135" t="str">
        <f t="shared" si="56"/>
        <v/>
      </c>
      <c r="BC126" s="54" t="str">
        <f t="shared" si="73"/>
        <v/>
      </c>
      <c r="BD126" s="54" t="str">
        <f t="shared" si="73"/>
        <v/>
      </c>
      <c r="BE126" s="54" t="str">
        <f t="shared" si="73"/>
        <v/>
      </c>
      <c r="BF126" s="54" t="str">
        <f t="shared" si="57"/>
        <v/>
      </c>
      <c r="BG126" s="54" t="str">
        <f t="shared" si="58"/>
        <v/>
      </c>
      <c r="BH126" s="34" t="str">
        <f t="shared" si="59"/>
        <v>Bad</v>
      </c>
      <c r="BI126" s="34" t="str">
        <f t="shared" si="60"/>
        <v>No</v>
      </c>
      <c r="BJ126" s="136" t="str">
        <f>IF($D126&lt;&gt;"Feature",".",
IF(VLOOKUP($B126,Feature_List!$A:$AM,MATCH(BJ$1,  Feature_List!$A$1:$AM$1,0),0)=B126,".","NO"))</f>
        <v>.</v>
      </c>
      <c r="BK126" s="136"/>
      <c r="BL126" s="136"/>
      <c r="BM126" s="136" t="str">
        <f>IF($D126&lt;&gt;"Feature",".",
IF(VLOOKUP($B126,Feature_List!$A:$AM,MATCH(BM$1,  Feature_List!$A$1:$AM$1,0),0)=E126,".","NO"))</f>
        <v>.</v>
      </c>
      <c r="BN126" s="136" t="str">
        <f>IF($D126&lt;&gt;"Feature",".",
IF(VLOOKUP($B126,Feature_List!$A:$AM,MATCH(BN$1,  Feature_List!$A$1:$AM$1,0),0)=F126,".","NO"))</f>
        <v>.</v>
      </c>
      <c r="BO126" s="136" t="str">
        <f>IF($D126&lt;&gt;"Feature",".",
IF(VLOOKUP($B126,Feature_List!$A:$AM,MATCH(BO$1,  Feature_List!$A$1:$AM$1,0),0)=G126,".","NO"))</f>
        <v>.</v>
      </c>
      <c r="BP126" s="136" t="str">
        <f>IF($D126&lt;&gt;"Feature",".",
IF(VLOOKUP($B126,Feature_List!$A:$AM,MATCH(BP$1,  Feature_List!$A$1:$AM$1,0),0)=H126,".","NO"))</f>
        <v>.</v>
      </c>
      <c r="BQ126" s="136"/>
      <c r="BR126" s="136" t="str">
        <f>IF($D126&lt;&gt;"Feature",".",
IF(VLOOKUP($B126,Feature_List!$A:$AM,MATCH(BR$1,  Feature_List!$A$1:$AM$1,0),0)=J126,".","NO"))</f>
        <v>.</v>
      </c>
      <c r="BS126" s="136"/>
      <c r="BT126" s="136"/>
      <c r="BU126" s="136" t="str">
        <f>IF($D126&lt;&gt;"Feature",".",
IF(VLOOKUP($B126,Feature_List!$A:$AM,MATCH(BU$1,  Feature_List!$A$1:$AM$1,0),0)=M126,".","NO"))</f>
        <v>.</v>
      </c>
      <c r="BV126" s="136" t="str">
        <f>IF($D126&lt;&gt;"Feature",".",
IF(VLOOKUP($B126,Feature_List!$A:$AM,MATCH(BV$1,  Feature_List!$A$1:$AM$1,0),0)=N126,".","NO"))</f>
        <v>.</v>
      </c>
      <c r="BW126" s="136"/>
      <c r="BX126" s="136"/>
      <c r="BY126" s="136"/>
      <c r="BZ126" s="136"/>
      <c r="CA126" s="136"/>
      <c r="CB126" s="136" t="str">
        <f>IF($D126&lt;&gt;"Feature",".",
IF(VLOOKUP($B126,Feature_List!$A:$AM,MATCH(CB$1,  Feature_List!$A$1:$AM$1,0),0)=T126,".","NO"))</f>
        <v>.</v>
      </c>
      <c r="CC126" s="136"/>
      <c r="CD126" s="136"/>
      <c r="CE126" s="136"/>
      <c r="CF126" s="136"/>
      <c r="CG126" s="136"/>
      <c r="CH126" s="136"/>
      <c r="CI126" s="136"/>
      <c r="CJ126" s="136"/>
      <c r="CK126" s="136"/>
      <c r="CL126" s="136"/>
      <c r="CM126" s="136"/>
      <c r="CN126" s="136"/>
      <c r="CO126" s="136" t="str">
        <f>IF($D126&lt;&gt;"Feature",".",
IF(VLOOKUP($B126,Feature_List!$A:$AM,MATCH(CO$1,  Feature_List!$A$1:$AM$1,0),0)=AG126,".","NO"))</f>
        <v>.</v>
      </c>
      <c r="CP126" s="136" t="str">
        <f>IF($D126&lt;&gt;"Feature",".",
IF(VLOOKUP($B126,Feature_List!$A:$AM,MATCH(CP$1,  Feature_List!$A$1:$AM$1,0),0)=AH126,".","NO"))</f>
        <v>.</v>
      </c>
      <c r="CQ126" s="136" t="str">
        <f>IF($D126&lt;&gt;"Feature",".",
IF(VLOOKUP($B126,Feature_List!$A:$AM,MATCH(CQ$1,  Feature_List!$A$1:$AM$1,0),0)=AI126,".","NO"))</f>
        <v>.</v>
      </c>
      <c r="CR126" s="136" t="str">
        <f>IF($D126&lt;&gt;"Feature",".",
IF(VLOOKUP($B126,Feature_List!$A:$AM,MATCH(CR$1,  Feature_List!$A$1:$AM$1,0),0)=AJ126,".","NO"))</f>
        <v>.</v>
      </c>
      <c r="CS126" s="136" t="str">
        <f>IF($D126&lt;&gt;"Feature",".",
IF(VLOOKUP($B126,Feature_List!$A:$AM,MATCH(CS$1,  Feature_List!$A$1:$AM$1,0),0)=AK126,".","NO"))</f>
        <v>.</v>
      </c>
      <c r="CT126" s="136" t="str">
        <f>IF($D126&lt;&gt;"Feature",".",
IF(VLOOKUP($B126,Feature_List!$A:$AM,MATCH(CT$1,  Feature_List!$A$1:$AM$1,0),0)=AL126,".","NO"))</f>
        <v>.</v>
      </c>
      <c r="CU126" s="136" t="str">
        <f>IF($D126&lt;&gt;"Feature",".",
IF(VLOOKUP($B126,Feature_List!$A:$AM,MATCH(CU$1,  Feature_List!$A$1:$AM$1,0),0)=AM126,".","NO"))</f>
        <v>.</v>
      </c>
      <c r="CV126" s="136" t="str">
        <f>IF($D126&lt;&gt;"Feature",".",
IF(VLOOKUP($B126,Feature_List!$A:$AM,MATCH(CV$1,  Feature_List!$A$1:$AM$1,0),0)=AN126,".","NO"))</f>
        <v>.</v>
      </c>
      <c r="CW126" s="136" t="str">
        <f>IF($D126&lt;&gt;"Feature",".",
IF(VLOOKUP($B126,Feature_List!$A:$AM,MATCH(CW$1,  Feature_List!$A$1:$AM$1,0),0)=AO126,".","NO"))</f>
        <v>.</v>
      </c>
      <c r="CX126" s="136" t="str">
        <f>IF($D126&lt;&gt;"Feature",".",
IF(VLOOKUP($B126,Feature_List!$A:$AM,MATCH(CX$1,  Feature_List!$A$1:$AM$1,0),0)=AP126,".","NO"))</f>
        <v>.</v>
      </c>
      <c r="CY126" s="136" t="str">
        <f>IF($D126&lt;&gt;"Feature",".",
IF(VLOOKUP($B126,Feature_List!$A:$AM,MATCH(CY$1,  Feature_List!$A$1:$AM$1,0),0)=AQ126,".","NO"))</f>
        <v>.</v>
      </c>
      <c r="CZ126" s="136" t="str">
        <f>IF($D126&lt;&gt;"Feature",".",
IF(VLOOKUP($B126,Feature_List!$A:$AM,MATCH(CZ$1,  Feature_List!$A$1:$AM$1,0),0)=AR126,".","NO"))</f>
        <v>.</v>
      </c>
      <c r="DA126" s="136" t="str">
        <f>IF($D126&lt;&gt;"Feature",".",
IF(VLOOKUP($B126,Feature_List!$A:$AM,MATCH(DA$1,  Feature_List!$A$1:$AM$1,0),0)=AS126,".","NO"))</f>
        <v>.</v>
      </c>
      <c r="DB126" s="136" t="str">
        <f>IF($D126&lt;&gt;"Feature",".",
IF(VLOOKUP($B126,Feature_List!$A:$AM,MATCH(DB$1,  Feature_List!$A$1:$AM$1,0),0)=AT126,".","NO"))</f>
        <v>.</v>
      </c>
      <c r="DC126" s="136" t="str">
        <f>IF($D126&lt;&gt;"Feature",".",
IF(VLOOKUP($B126,Feature_List!$A:$AM,MATCH(DC$1,  Feature_List!$A$1:$AM$1,0),0)=AU126,".","NO"))</f>
        <v>.</v>
      </c>
      <c r="DD126" s="136" t="str">
        <f>IF($D126&lt;&gt;"Feature",".",
IF(VLOOKUP($B126,Feature_List!$A:$AM,MATCH(DD$1,  Feature_List!$A$1:$AM$1,0),0)=AV126,".","NO"))</f>
        <v>.</v>
      </c>
      <c r="DE126" s="136" t="str">
        <f>IF($D126&lt;&gt;"Feature",".",
IF(VLOOKUP($B126,Feature_List!$A:$AM,MATCH(DE$1,  Feature_List!$A$1:$AM$1,0),0)=AW126,".","NO"))</f>
        <v>.</v>
      </c>
      <c r="DF126" s="136" t="str">
        <f>IF($D126&lt;&gt;"Feature",".",
IF(VLOOKUP($B126,Feature_List!$A:$AM,MATCH(DF$1,  Feature_List!$A$1:$AM$1,0),0)=AX126,".","NO"))</f>
        <v>.</v>
      </c>
      <c r="DG126" s="136" t="str">
        <f>IF($D126&lt;&gt;"Feature",".",
IF(VLOOKUP($B126,Feature_List!$A:$AM,MATCH(DG$1,  Feature_List!$A$1:$AM$1,0),0)=AY126,".","NO"))</f>
        <v>.</v>
      </c>
      <c r="DH126" s="136" t="str">
        <f>IF($D126&lt;&gt;"Feature",".",
IF(VLOOKUP($B126,Feature_List!$A:$AM,MATCH(DH$1,  Feature_List!$A$1:$AM$1,0),0)=AZ126,".","NO"))</f>
        <v>.</v>
      </c>
      <c r="DI126" s="136" t="str">
        <f>IF($D126&lt;&gt;"Feature",".",
IF(VLOOKUP($B126,Feature_List!$A:$AM,MATCH(DI$1,  Feature_List!$A$1:$AM$1,0),0)=BA126,".","NO"))</f>
        <v>.</v>
      </c>
      <c r="DJ126" s="136" t="str">
        <f>IF($D126&lt;&gt;"Feature",".",
IF(VLOOKUP($B126,Feature_List!$A:$AM,MATCH(DJ$1,  Feature_List!$A$1:$AM$1,0),0)=BB126,".","NO"))</f>
        <v>.</v>
      </c>
      <c r="DK126" s="136"/>
      <c r="DL126" s="136"/>
      <c r="DM126" s="136"/>
      <c r="DN126" s="136" t="str">
        <f>IF($D126&lt;&gt;"Feature",".",
IF(VLOOKUP($B126,Feature_List!$A:$AM,MATCH(DN$1,  Feature_List!$A$1:$AM$1,0),0)=BC126,".","NO"))</f>
        <v>.</v>
      </c>
      <c r="DO126" s="136" t="str">
        <f>IF($D126&lt;&gt;"Feature",".",
IF(VLOOKUP($B126,Feature_List!$A:$AM,MATCH(DO$1,  Feature_List!$A$1:$AM$1,0),0)=BD126,".","NO"))</f>
        <v>.</v>
      </c>
    </row>
    <row r="127" spans="2:119" x14ac:dyDescent="0.3">
      <c r="B127" s="121"/>
      <c r="C127" s="122"/>
      <c r="D127" s="122"/>
      <c r="E127" s="122"/>
      <c r="F127" s="138"/>
      <c r="G127" s="123"/>
      <c r="H127" s="122"/>
      <c r="I127" s="124"/>
      <c r="J127" s="138"/>
      <c r="K127" s="123"/>
      <c r="L127" s="122"/>
      <c r="M127" s="122"/>
      <c r="N127" s="125"/>
      <c r="O127" s="123">
        <f t="shared" si="38"/>
        <v>0</v>
      </c>
      <c r="P127" s="123">
        <f t="shared" si="39"/>
        <v>0</v>
      </c>
      <c r="Q127" s="122" t="str">
        <f t="shared" si="61"/>
        <v>ZeroEntry</v>
      </c>
      <c r="R127" s="126" t="str">
        <f t="shared" si="40"/>
        <v>ZeroEntry</v>
      </c>
      <c r="S127" s="127" t="str">
        <f t="shared" si="41"/>
        <v>ZeroEntry</v>
      </c>
      <c r="T127" s="128" t="str">
        <f>IF($Q127="ZeroEntry", "",VLOOKUP($I127,'Ranking Lookup'!#REF!,2,FALSE))</f>
        <v/>
      </c>
      <c r="U127" s="129" t="str">
        <f t="shared" si="42"/>
        <v/>
      </c>
      <c r="V127" s="129" t="str">
        <f t="shared" si="43"/>
        <v/>
      </c>
      <c r="W127" s="129" t="str">
        <f t="shared" si="44"/>
        <v/>
      </c>
      <c r="X127" s="129" t="str">
        <f t="shared" si="45"/>
        <v/>
      </c>
      <c r="Y127" s="129" t="str">
        <f t="shared" si="46"/>
        <v/>
      </c>
      <c r="Z127" s="129" t="str">
        <f t="shared" si="47"/>
        <v/>
      </c>
      <c r="AA127" s="130"/>
      <c r="AB127" s="130" t="str">
        <f t="shared" si="48"/>
        <v>Unassigned</v>
      </c>
      <c r="AC127" s="131" t="str">
        <f t="shared" si="62"/>
        <v/>
      </c>
      <c r="AD127" s="131" t="str">
        <f t="shared" si="63"/>
        <v/>
      </c>
      <c r="AE127" s="132">
        <f t="shared" si="49"/>
        <v>0</v>
      </c>
      <c r="AF127" s="133" t="str">
        <f t="shared" si="64"/>
        <v/>
      </c>
      <c r="AG127" s="134">
        <f t="shared" si="50"/>
        <v>0</v>
      </c>
      <c r="AH127" s="54" t="str">
        <f t="shared" si="51"/>
        <v/>
      </c>
      <c r="AI127" s="54" t="str">
        <f t="shared" si="72"/>
        <v/>
      </c>
      <c r="AJ127" s="54" t="str">
        <f t="shared" si="72"/>
        <v/>
      </c>
      <c r="AK127" s="54" t="str">
        <f t="shared" si="72"/>
        <v/>
      </c>
      <c r="AL127" s="54" t="str">
        <f t="shared" si="72"/>
        <v/>
      </c>
      <c r="AM127" s="54" t="str">
        <f t="shared" si="72"/>
        <v/>
      </c>
      <c r="AN127" s="54" t="str">
        <f t="shared" si="72"/>
        <v/>
      </c>
      <c r="AO127" s="54" t="str">
        <f t="shared" si="72"/>
        <v/>
      </c>
      <c r="AP127" s="54" t="str">
        <f t="shared" si="72"/>
        <v/>
      </c>
      <c r="AQ127" s="54" t="str">
        <f t="shared" si="72"/>
        <v/>
      </c>
      <c r="AR127" s="54" t="str">
        <f t="shared" si="72"/>
        <v/>
      </c>
      <c r="AS127" s="54" t="str">
        <f t="shared" si="72"/>
        <v/>
      </c>
      <c r="AT127" s="54" t="str">
        <f t="shared" si="72"/>
        <v/>
      </c>
      <c r="AU127" s="54" t="str">
        <f t="shared" si="72"/>
        <v/>
      </c>
      <c r="AV127" s="54" t="str">
        <f t="shared" si="72"/>
        <v/>
      </c>
      <c r="AW127" s="54" t="str">
        <f t="shared" si="72"/>
        <v/>
      </c>
      <c r="AX127" s="54" t="str">
        <f t="shared" si="72"/>
        <v/>
      </c>
      <c r="AY127" s="54" t="str">
        <f t="shared" si="53"/>
        <v/>
      </c>
      <c r="AZ127" s="54" t="str">
        <f t="shared" si="54"/>
        <v/>
      </c>
      <c r="BA127" s="54" t="str">
        <f t="shared" si="55"/>
        <v/>
      </c>
      <c r="BB127" s="135" t="str">
        <f t="shared" si="56"/>
        <v/>
      </c>
      <c r="BC127" s="54" t="str">
        <f t="shared" si="73"/>
        <v/>
      </c>
      <c r="BD127" s="54" t="str">
        <f t="shared" si="73"/>
        <v/>
      </c>
      <c r="BE127" s="54" t="str">
        <f t="shared" si="73"/>
        <v/>
      </c>
      <c r="BF127" s="54" t="str">
        <f t="shared" si="57"/>
        <v/>
      </c>
      <c r="BG127" s="54" t="str">
        <f t="shared" si="58"/>
        <v/>
      </c>
      <c r="BH127" s="34" t="str">
        <f t="shared" si="59"/>
        <v>Bad</v>
      </c>
      <c r="BI127" s="34" t="str">
        <f t="shared" si="60"/>
        <v>No</v>
      </c>
      <c r="BJ127" s="136" t="str">
        <f>IF($D127&lt;&gt;"Feature",".",
IF(VLOOKUP($B127,Feature_List!$A:$AM,MATCH(BJ$1,  Feature_List!$A$1:$AM$1,0),0)=B127,".","NO"))</f>
        <v>.</v>
      </c>
      <c r="BK127" s="136"/>
      <c r="BL127" s="136"/>
      <c r="BM127" s="136" t="str">
        <f>IF($D127&lt;&gt;"Feature",".",
IF(VLOOKUP($B127,Feature_List!$A:$AM,MATCH(BM$1,  Feature_List!$A$1:$AM$1,0),0)=E127,".","NO"))</f>
        <v>.</v>
      </c>
      <c r="BN127" s="136" t="str">
        <f>IF($D127&lt;&gt;"Feature",".",
IF(VLOOKUP($B127,Feature_List!$A:$AM,MATCH(BN$1,  Feature_List!$A$1:$AM$1,0),0)=F127,".","NO"))</f>
        <v>.</v>
      </c>
      <c r="BO127" s="136" t="str">
        <f>IF($D127&lt;&gt;"Feature",".",
IF(VLOOKUP($B127,Feature_List!$A:$AM,MATCH(BO$1,  Feature_List!$A$1:$AM$1,0),0)=G127,".","NO"))</f>
        <v>.</v>
      </c>
      <c r="BP127" s="136" t="str">
        <f>IF($D127&lt;&gt;"Feature",".",
IF(VLOOKUP($B127,Feature_List!$A:$AM,MATCH(BP$1,  Feature_List!$A$1:$AM$1,0),0)=H127,".","NO"))</f>
        <v>.</v>
      </c>
      <c r="BQ127" s="136"/>
      <c r="BR127" s="136" t="str">
        <f>IF($D127&lt;&gt;"Feature",".",
IF(VLOOKUP($B127,Feature_List!$A:$AM,MATCH(BR$1,  Feature_List!$A$1:$AM$1,0),0)=J127,".","NO"))</f>
        <v>.</v>
      </c>
      <c r="BS127" s="136"/>
      <c r="BT127" s="136"/>
      <c r="BU127" s="136" t="str">
        <f>IF($D127&lt;&gt;"Feature",".",
IF(VLOOKUP($B127,Feature_List!$A:$AM,MATCH(BU$1,  Feature_List!$A$1:$AM$1,0),0)=M127,".","NO"))</f>
        <v>.</v>
      </c>
      <c r="BV127" s="136" t="str">
        <f>IF($D127&lt;&gt;"Feature",".",
IF(VLOOKUP($B127,Feature_List!$A:$AM,MATCH(BV$1,  Feature_List!$A$1:$AM$1,0),0)=N127,".","NO"))</f>
        <v>.</v>
      </c>
      <c r="BW127" s="136"/>
      <c r="BX127" s="136"/>
      <c r="BY127" s="136"/>
      <c r="BZ127" s="136"/>
      <c r="CA127" s="136"/>
      <c r="CB127" s="136" t="str">
        <f>IF($D127&lt;&gt;"Feature",".",
IF(VLOOKUP($B127,Feature_List!$A:$AM,MATCH(CB$1,  Feature_List!$A$1:$AM$1,0),0)=T127,".","NO"))</f>
        <v>.</v>
      </c>
      <c r="CC127" s="136"/>
      <c r="CD127" s="136"/>
      <c r="CE127" s="136"/>
      <c r="CF127" s="136"/>
      <c r="CG127" s="136"/>
      <c r="CH127" s="136"/>
      <c r="CI127" s="136"/>
      <c r="CJ127" s="136"/>
      <c r="CK127" s="136"/>
      <c r="CL127" s="136"/>
      <c r="CM127" s="136"/>
      <c r="CN127" s="136"/>
      <c r="CO127" s="136" t="str">
        <f>IF($D127&lt;&gt;"Feature",".",
IF(VLOOKUP($B127,Feature_List!$A:$AM,MATCH(CO$1,  Feature_List!$A$1:$AM$1,0),0)=AG127,".","NO"))</f>
        <v>.</v>
      </c>
      <c r="CP127" s="136" t="str">
        <f>IF($D127&lt;&gt;"Feature",".",
IF(VLOOKUP($B127,Feature_List!$A:$AM,MATCH(CP$1,  Feature_List!$A$1:$AM$1,0),0)=AH127,".","NO"))</f>
        <v>.</v>
      </c>
      <c r="CQ127" s="136" t="str">
        <f>IF($D127&lt;&gt;"Feature",".",
IF(VLOOKUP($B127,Feature_List!$A:$AM,MATCH(CQ$1,  Feature_List!$A$1:$AM$1,0),0)=AI127,".","NO"))</f>
        <v>.</v>
      </c>
      <c r="CR127" s="136" t="str">
        <f>IF($D127&lt;&gt;"Feature",".",
IF(VLOOKUP($B127,Feature_List!$A:$AM,MATCH(CR$1,  Feature_List!$A$1:$AM$1,0),0)=AJ127,".","NO"))</f>
        <v>.</v>
      </c>
      <c r="CS127" s="136" t="str">
        <f>IF($D127&lt;&gt;"Feature",".",
IF(VLOOKUP($B127,Feature_List!$A:$AM,MATCH(CS$1,  Feature_List!$A$1:$AM$1,0),0)=AK127,".","NO"))</f>
        <v>.</v>
      </c>
      <c r="CT127" s="136" t="str">
        <f>IF($D127&lt;&gt;"Feature",".",
IF(VLOOKUP($B127,Feature_List!$A:$AM,MATCH(CT$1,  Feature_List!$A$1:$AM$1,0),0)=AL127,".","NO"))</f>
        <v>.</v>
      </c>
      <c r="CU127" s="136" t="str">
        <f>IF($D127&lt;&gt;"Feature",".",
IF(VLOOKUP($B127,Feature_List!$A:$AM,MATCH(CU$1,  Feature_List!$A$1:$AM$1,0),0)=AM127,".","NO"))</f>
        <v>.</v>
      </c>
      <c r="CV127" s="136" t="str">
        <f>IF($D127&lt;&gt;"Feature",".",
IF(VLOOKUP($B127,Feature_List!$A:$AM,MATCH(CV$1,  Feature_List!$A$1:$AM$1,0),0)=AN127,".","NO"))</f>
        <v>.</v>
      </c>
      <c r="CW127" s="136" t="str">
        <f>IF($D127&lt;&gt;"Feature",".",
IF(VLOOKUP($B127,Feature_List!$A:$AM,MATCH(CW$1,  Feature_List!$A$1:$AM$1,0),0)=AO127,".","NO"))</f>
        <v>.</v>
      </c>
      <c r="CX127" s="136" t="str">
        <f>IF($D127&lt;&gt;"Feature",".",
IF(VLOOKUP($B127,Feature_List!$A:$AM,MATCH(CX$1,  Feature_List!$A$1:$AM$1,0),0)=AP127,".","NO"))</f>
        <v>.</v>
      </c>
      <c r="CY127" s="136" t="str">
        <f>IF($D127&lt;&gt;"Feature",".",
IF(VLOOKUP($B127,Feature_List!$A:$AM,MATCH(CY$1,  Feature_List!$A$1:$AM$1,0),0)=AQ127,".","NO"))</f>
        <v>.</v>
      </c>
      <c r="CZ127" s="136" t="str">
        <f>IF($D127&lt;&gt;"Feature",".",
IF(VLOOKUP($B127,Feature_List!$A:$AM,MATCH(CZ$1,  Feature_List!$A$1:$AM$1,0),0)=AR127,".","NO"))</f>
        <v>.</v>
      </c>
      <c r="DA127" s="136" t="str">
        <f>IF($D127&lt;&gt;"Feature",".",
IF(VLOOKUP($B127,Feature_List!$A:$AM,MATCH(DA$1,  Feature_List!$A$1:$AM$1,0),0)=AS127,".","NO"))</f>
        <v>.</v>
      </c>
      <c r="DB127" s="136" t="str">
        <f>IF($D127&lt;&gt;"Feature",".",
IF(VLOOKUP($B127,Feature_List!$A:$AM,MATCH(DB$1,  Feature_List!$A$1:$AM$1,0),0)=AT127,".","NO"))</f>
        <v>.</v>
      </c>
      <c r="DC127" s="136" t="str">
        <f>IF($D127&lt;&gt;"Feature",".",
IF(VLOOKUP($B127,Feature_List!$A:$AM,MATCH(DC$1,  Feature_List!$A$1:$AM$1,0),0)=AU127,".","NO"))</f>
        <v>.</v>
      </c>
      <c r="DD127" s="136" t="str">
        <f>IF($D127&lt;&gt;"Feature",".",
IF(VLOOKUP($B127,Feature_List!$A:$AM,MATCH(DD$1,  Feature_List!$A$1:$AM$1,0),0)=AV127,".","NO"))</f>
        <v>.</v>
      </c>
      <c r="DE127" s="136" t="str">
        <f>IF($D127&lt;&gt;"Feature",".",
IF(VLOOKUP($B127,Feature_List!$A:$AM,MATCH(DE$1,  Feature_List!$A$1:$AM$1,0),0)=AW127,".","NO"))</f>
        <v>.</v>
      </c>
      <c r="DF127" s="136" t="str">
        <f>IF($D127&lt;&gt;"Feature",".",
IF(VLOOKUP($B127,Feature_List!$A:$AM,MATCH(DF$1,  Feature_List!$A$1:$AM$1,0),0)=AX127,".","NO"))</f>
        <v>.</v>
      </c>
      <c r="DG127" s="136" t="str">
        <f>IF($D127&lt;&gt;"Feature",".",
IF(VLOOKUP($B127,Feature_List!$A:$AM,MATCH(DG$1,  Feature_List!$A$1:$AM$1,0),0)=AY127,".","NO"))</f>
        <v>.</v>
      </c>
      <c r="DH127" s="136" t="str">
        <f>IF($D127&lt;&gt;"Feature",".",
IF(VLOOKUP($B127,Feature_List!$A:$AM,MATCH(DH$1,  Feature_List!$A$1:$AM$1,0),0)=AZ127,".","NO"))</f>
        <v>.</v>
      </c>
      <c r="DI127" s="136" t="str">
        <f>IF($D127&lt;&gt;"Feature",".",
IF(VLOOKUP($B127,Feature_List!$A:$AM,MATCH(DI$1,  Feature_List!$A$1:$AM$1,0),0)=BA127,".","NO"))</f>
        <v>.</v>
      </c>
      <c r="DJ127" s="136" t="str">
        <f>IF($D127&lt;&gt;"Feature",".",
IF(VLOOKUP($B127,Feature_List!$A:$AM,MATCH(DJ$1,  Feature_List!$A$1:$AM$1,0),0)=BB127,".","NO"))</f>
        <v>.</v>
      </c>
      <c r="DK127" s="136"/>
      <c r="DL127" s="136"/>
      <c r="DM127" s="136"/>
      <c r="DN127" s="136" t="str">
        <f>IF($D127&lt;&gt;"Feature",".",
IF(VLOOKUP($B127,Feature_List!$A:$AM,MATCH(DN$1,  Feature_List!$A$1:$AM$1,0),0)=BC127,".","NO"))</f>
        <v>.</v>
      </c>
      <c r="DO127" s="136" t="str">
        <f>IF($D127&lt;&gt;"Feature",".",
IF(VLOOKUP($B127,Feature_List!$A:$AM,MATCH(DO$1,  Feature_List!$A$1:$AM$1,0),0)=BD127,".","NO"))</f>
        <v>.</v>
      </c>
    </row>
    <row r="128" spans="2:119" x14ac:dyDescent="0.3">
      <c r="B128" s="121"/>
      <c r="C128" s="122"/>
      <c r="D128" s="122"/>
      <c r="E128" s="122"/>
      <c r="F128" s="138"/>
      <c r="G128" s="123"/>
      <c r="H128" s="122"/>
      <c r="I128" s="124"/>
      <c r="J128" s="138"/>
      <c r="K128" s="123"/>
      <c r="L128" s="122"/>
      <c r="M128" s="122"/>
      <c r="N128" s="125"/>
      <c r="O128" s="123">
        <f t="shared" si="38"/>
        <v>0</v>
      </c>
      <c r="P128" s="123">
        <f t="shared" si="39"/>
        <v>0</v>
      </c>
      <c r="Q128" s="122" t="str">
        <f t="shared" si="61"/>
        <v>ZeroEntry</v>
      </c>
      <c r="R128" s="126" t="str">
        <f t="shared" si="40"/>
        <v>ZeroEntry</v>
      </c>
      <c r="S128" s="127" t="str">
        <f t="shared" si="41"/>
        <v>ZeroEntry</v>
      </c>
      <c r="T128" s="128" t="str">
        <f>IF($Q128="ZeroEntry", "",VLOOKUP($I128,'Ranking Lookup'!#REF!,2,FALSE))</f>
        <v/>
      </c>
      <c r="U128" s="129" t="str">
        <f t="shared" si="42"/>
        <v/>
      </c>
      <c r="V128" s="129" t="str">
        <f t="shared" si="43"/>
        <v/>
      </c>
      <c r="W128" s="129" t="str">
        <f t="shared" si="44"/>
        <v/>
      </c>
      <c r="X128" s="129" t="str">
        <f t="shared" si="45"/>
        <v/>
      </c>
      <c r="Y128" s="129" t="str">
        <f t="shared" si="46"/>
        <v/>
      </c>
      <c r="Z128" s="129" t="str">
        <f t="shared" si="47"/>
        <v/>
      </c>
      <c r="AA128" s="130"/>
      <c r="AB128" s="130" t="str">
        <f t="shared" si="48"/>
        <v>Unassigned</v>
      </c>
      <c r="AC128" s="131" t="str">
        <f t="shared" si="62"/>
        <v/>
      </c>
      <c r="AD128" s="131" t="str">
        <f t="shared" si="63"/>
        <v/>
      </c>
      <c r="AE128" s="132">
        <f t="shared" si="49"/>
        <v>0</v>
      </c>
      <c r="AF128" s="133" t="str">
        <f t="shared" si="64"/>
        <v/>
      </c>
      <c r="AG128" s="134">
        <f t="shared" si="50"/>
        <v>0</v>
      </c>
      <c r="AH128" s="54" t="str">
        <f t="shared" si="51"/>
        <v/>
      </c>
      <c r="AI128" s="54" t="str">
        <f t="shared" si="72"/>
        <v/>
      </c>
      <c r="AJ128" s="54" t="str">
        <f t="shared" si="72"/>
        <v/>
      </c>
      <c r="AK128" s="54" t="str">
        <f t="shared" si="72"/>
        <v/>
      </c>
      <c r="AL128" s="54" t="str">
        <f t="shared" si="72"/>
        <v/>
      </c>
      <c r="AM128" s="54" t="str">
        <f t="shared" si="72"/>
        <v/>
      </c>
      <c r="AN128" s="54" t="str">
        <f t="shared" si="72"/>
        <v/>
      </c>
      <c r="AO128" s="54" t="str">
        <f t="shared" si="72"/>
        <v/>
      </c>
      <c r="AP128" s="54" t="str">
        <f t="shared" si="72"/>
        <v/>
      </c>
      <c r="AQ128" s="54" t="str">
        <f t="shared" si="72"/>
        <v/>
      </c>
      <c r="AR128" s="54" t="str">
        <f t="shared" si="72"/>
        <v/>
      </c>
      <c r="AS128" s="54" t="str">
        <f t="shared" si="72"/>
        <v/>
      </c>
      <c r="AT128" s="54" t="str">
        <f t="shared" si="72"/>
        <v/>
      </c>
      <c r="AU128" s="54" t="str">
        <f t="shared" si="72"/>
        <v/>
      </c>
      <c r="AV128" s="54" t="str">
        <f t="shared" si="72"/>
        <v/>
      </c>
      <c r="AW128" s="54" t="str">
        <f t="shared" si="72"/>
        <v/>
      </c>
      <c r="AX128" s="54" t="str">
        <f t="shared" si="72"/>
        <v/>
      </c>
      <c r="AY128" s="54" t="str">
        <f t="shared" si="53"/>
        <v/>
      </c>
      <c r="AZ128" s="54" t="str">
        <f t="shared" si="54"/>
        <v/>
      </c>
      <c r="BA128" s="54" t="str">
        <f t="shared" si="55"/>
        <v/>
      </c>
      <c r="BB128" s="135" t="str">
        <f t="shared" si="56"/>
        <v/>
      </c>
      <c r="BC128" s="54" t="str">
        <f t="shared" si="73"/>
        <v/>
      </c>
      <c r="BD128" s="54" t="str">
        <f t="shared" si="73"/>
        <v/>
      </c>
      <c r="BE128" s="54" t="str">
        <f t="shared" si="73"/>
        <v/>
      </c>
      <c r="BF128" s="54" t="str">
        <f t="shared" si="57"/>
        <v/>
      </c>
      <c r="BG128" s="54" t="str">
        <f t="shared" si="58"/>
        <v/>
      </c>
      <c r="BH128" s="34" t="str">
        <f t="shared" si="59"/>
        <v>Bad</v>
      </c>
      <c r="BI128" s="34" t="str">
        <f t="shared" si="60"/>
        <v>No</v>
      </c>
      <c r="BJ128" s="136" t="str">
        <f>IF($D128&lt;&gt;"Feature",".",
IF(VLOOKUP($B128,Feature_List!$A:$AM,MATCH(BJ$1,  Feature_List!$A$1:$AM$1,0),0)=B128,".","NO"))</f>
        <v>.</v>
      </c>
      <c r="BK128" s="136"/>
      <c r="BL128" s="136"/>
      <c r="BM128" s="136" t="str">
        <f>IF($D128&lt;&gt;"Feature",".",
IF(VLOOKUP($B128,Feature_List!$A:$AM,MATCH(BM$1,  Feature_List!$A$1:$AM$1,0),0)=E128,".","NO"))</f>
        <v>.</v>
      </c>
      <c r="BN128" s="136" t="str">
        <f>IF($D128&lt;&gt;"Feature",".",
IF(VLOOKUP($B128,Feature_List!$A:$AM,MATCH(BN$1,  Feature_List!$A$1:$AM$1,0),0)=F128,".","NO"))</f>
        <v>.</v>
      </c>
      <c r="BO128" s="136" t="str">
        <f>IF($D128&lt;&gt;"Feature",".",
IF(VLOOKUP($B128,Feature_List!$A:$AM,MATCH(BO$1,  Feature_List!$A$1:$AM$1,0),0)=G128,".","NO"))</f>
        <v>.</v>
      </c>
      <c r="BP128" s="136" t="str">
        <f>IF($D128&lt;&gt;"Feature",".",
IF(VLOOKUP($B128,Feature_List!$A:$AM,MATCH(BP$1,  Feature_List!$A$1:$AM$1,0),0)=H128,".","NO"))</f>
        <v>.</v>
      </c>
      <c r="BQ128" s="136"/>
      <c r="BR128" s="136" t="str">
        <f>IF($D128&lt;&gt;"Feature",".",
IF(VLOOKUP($B128,Feature_List!$A:$AM,MATCH(BR$1,  Feature_List!$A$1:$AM$1,0),0)=J128,".","NO"))</f>
        <v>.</v>
      </c>
      <c r="BS128" s="136"/>
      <c r="BT128" s="136"/>
      <c r="BU128" s="136" t="str">
        <f>IF($D128&lt;&gt;"Feature",".",
IF(VLOOKUP($B128,Feature_List!$A:$AM,MATCH(BU$1,  Feature_List!$A$1:$AM$1,0),0)=M128,".","NO"))</f>
        <v>.</v>
      </c>
      <c r="BV128" s="136" t="str">
        <f>IF($D128&lt;&gt;"Feature",".",
IF(VLOOKUP($B128,Feature_List!$A:$AM,MATCH(BV$1,  Feature_List!$A$1:$AM$1,0),0)=N128,".","NO"))</f>
        <v>.</v>
      </c>
      <c r="BW128" s="136"/>
      <c r="BX128" s="136"/>
      <c r="BY128" s="136"/>
      <c r="BZ128" s="136"/>
      <c r="CA128" s="136"/>
      <c r="CB128" s="136" t="str">
        <f>IF($D128&lt;&gt;"Feature",".",
IF(VLOOKUP($B128,Feature_List!$A:$AM,MATCH(CB$1,  Feature_List!$A$1:$AM$1,0),0)=T128,".","NO"))</f>
        <v>.</v>
      </c>
      <c r="CC128" s="136"/>
      <c r="CD128" s="136"/>
      <c r="CE128" s="136"/>
      <c r="CF128" s="136"/>
      <c r="CG128" s="136"/>
      <c r="CH128" s="136"/>
      <c r="CI128" s="136"/>
      <c r="CJ128" s="136"/>
      <c r="CK128" s="136"/>
      <c r="CL128" s="136"/>
      <c r="CM128" s="136"/>
      <c r="CN128" s="136"/>
      <c r="CO128" s="136" t="str">
        <f>IF($D128&lt;&gt;"Feature",".",
IF(VLOOKUP($B128,Feature_List!$A:$AM,MATCH(CO$1,  Feature_List!$A$1:$AM$1,0),0)=AG128,".","NO"))</f>
        <v>.</v>
      </c>
      <c r="CP128" s="136" t="str">
        <f>IF($D128&lt;&gt;"Feature",".",
IF(VLOOKUP($B128,Feature_List!$A:$AM,MATCH(CP$1,  Feature_List!$A$1:$AM$1,0),0)=AH128,".","NO"))</f>
        <v>.</v>
      </c>
      <c r="CQ128" s="136" t="str">
        <f>IF($D128&lt;&gt;"Feature",".",
IF(VLOOKUP($B128,Feature_List!$A:$AM,MATCH(CQ$1,  Feature_List!$A$1:$AM$1,0),0)=AI128,".","NO"))</f>
        <v>.</v>
      </c>
      <c r="CR128" s="136" t="str">
        <f>IF($D128&lt;&gt;"Feature",".",
IF(VLOOKUP($B128,Feature_List!$A:$AM,MATCH(CR$1,  Feature_List!$A$1:$AM$1,0),0)=AJ128,".","NO"))</f>
        <v>.</v>
      </c>
      <c r="CS128" s="136" t="str">
        <f>IF($D128&lt;&gt;"Feature",".",
IF(VLOOKUP($B128,Feature_List!$A:$AM,MATCH(CS$1,  Feature_List!$A$1:$AM$1,0),0)=AK128,".","NO"))</f>
        <v>.</v>
      </c>
      <c r="CT128" s="136" t="str">
        <f>IF($D128&lt;&gt;"Feature",".",
IF(VLOOKUP($B128,Feature_List!$A:$AM,MATCH(CT$1,  Feature_List!$A$1:$AM$1,0),0)=AL128,".","NO"))</f>
        <v>.</v>
      </c>
      <c r="CU128" s="136" t="str">
        <f>IF($D128&lt;&gt;"Feature",".",
IF(VLOOKUP($B128,Feature_List!$A:$AM,MATCH(CU$1,  Feature_List!$A$1:$AM$1,0),0)=AM128,".","NO"))</f>
        <v>.</v>
      </c>
      <c r="CV128" s="136" t="str">
        <f>IF($D128&lt;&gt;"Feature",".",
IF(VLOOKUP($B128,Feature_List!$A:$AM,MATCH(CV$1,  Feature_List!$A$1:$AM$1,0),0)=AN128,".","NO"))</f>
        <v>.</v>
      </c>
      <c r="CW128" s="136" t="str">
        <f>IF($D128&lt;&gt;"Feature",".",
IF(VLOOKUP($B128,Feature_List!$A:$AM,MATCH(CW$1,  Feature_List!$A$1:$AM$1,0),0)=AO128,".","NO"))</f>
        <v>.</v>
      </c>
      <c r="CX128" s="136" t="str">
        <f>IF($D128&lt;&gt;"Feature",".",
IF(VLOOKUP($B128,Feature_List!$A:$AM,MATCH(CX$1,  Feature_List!$A$1:$AM$1,0),0)=AP128,".","NO"))</f>
        <v>.</v>
      </c>
      <c r="CY128" s="136" t="str">
        <f>IF($D128&lt;&gt;"Feature",".",
IF(VLOOKUP($B128,Feature_List!$A:$AM,MATCH(CY$1,  Feature_List!$A$1:$AM$1,0),0)=AQ128,".","NO"))</f>
        <v>.</v>
      </c>
      <c r="CZ128" s="136" t="str">
        <f>IF($D128&lt;&gt;"Feature",".",
IF(VLOOKUP($B128,Feature_List!$A:$AM,MATCH(CZ$1,  Feature_List!$A$1:$AM$1,0),0)=AR128,".","NO"))</f>
        <v>.</v>
      </c>
      <c r="DA128" s="136" t="str">
        <f>IF($D128&lt;&gt;"Feature",".",
IF(VLOOKUP($B128,Feature_List!$A:$AM,MATCH(DA$1,  Feature_List!$A$1:$AM$1,0),0)=AS128,".","NO"))</f>
        <v>.</v>
      </c>
      <c r="DB128" s="136" t="str">
        <f>IF($D128&lt;&gt;"Feature",".",
IF(VLOOKUP($B128,Feature_List!$A:$AM,MATCH(DB$1,  Feature_List!$A$1:$AM$1,0),0)=AT128,".","NO"))</f>
        <v>.</v>
      </c>
      <c r="DC128" s="136" t="str">
        <f>IF($D128&lt;&gt;"Feature",".",
IF(VLOOKUP($B128,Feature_List!$A:$AM,MATCH(DC$1,  Feature_List!$A$1:$AM$1,0),0)=AU128,".","NO"))</f>
        <v>.</v>
      </c>
      <c r="DD128" s="136" t="str">
        <f>IF($D128&lt;&gt;"Feature",".",
IF(VLOOKUP($B128,Feature_List!$A:$AM,MATCH(DD$1,  Feature_List!$A$1:$AM$1,0),0)=AV128,".","NO"))</f>
        <v>.</v>
      </c>
      <c r="DE128" s="136" t="str">
        <f>IF($D128&lt;&gt;"Feature",".",
IF(VLOOKUP($B128,Feature_List!$A:$AM,MATCH(DE$1,  Feature_List!$A$1:$AM$1,0),0)=AW128,".","NO"))</f>
        <v>.</v>
      </c>
      <c r="DF128" s="136" t="str">
        <f>IF($D128&lt;&gt;"Feature",".",
IF(VLOOKUP($B128,Feature_List!$A:$AM,MATCH(DF$1,  Feature_List!$A$1:$AM$1,0),0)=AX128,".","NO"))</f>
        <v>.</v>
      </c>
      <c r="DG128" s="136" t="str">
        <f>IF($D128&lt;&gt;"Feature",".",
IF(VLOOKUP($B128,Feature_List!$A:$AM,MATCH(DG$1,  Feature_List!$A$1:$AM$1,0),0)=AY128,".","NO"))</f>
        <v>.</v>
      </c>
      <c r="DH128" s="136" t="str">
        <f>IF($D128&lt;&gt;"Feature",".",
IF(VLOOKUP($B128,Feature_List!$A:$AM,MATCH(DH$1,  Feature_List!$A$1:$AM$1,0),0)=AZ128,".","NO"))</f>
        <v>.</v>
      </c>
      <c r="DI128" s="136" t="str">
        <f>IF($D128&lt;&gt;"Feature",".",
IF(VLOOKUP($B128,Feature_List!$A:$AM,MATCH(DI$1,  Feature_List!$A$1:$AM$1,0),0)=BA128,".","NO"))</f>
        <v>.</v>
      </c>
      <c r="DJ128" s="136" t="str">
        <f>IF($D128&lt;&gt;"Feature",".",
IF(VLOOKUP($B128,Feature_List!$A:$AM,MATCH(DJ$1,  Feature_List!$A$1:$AM$1,0),0)=BB128,".","NO"))</f>
        <v>.</v>
      </c>
      <c r="DK128" s="136"/>
      <c r="DL128" s="136"/>
      <c r="DM128" s="136"/>
      <c r="DN128" s="136" t="str">
        <f>IF($D128&lt;&gt;"Feature",".",
IF(VLOOKUP($B128,Feature_List!$A:$AM,MATCH(DN$1,  Feature_List!$A$1:$AM$1,0),0)=BC128,".","NO"))</f>
        <v>.</v>
      </c>
      <c r="DO128" s="136" t="str">
        <f>IF($D128&lt;&gt;"Feature",".",
IF(VLOOKUP($B128,Feature_List!$A:$AM,MATCH(DO$1,  Feature_List!$A$1:$AM$1,0),0)=BD128,".","NO"))</f>
        <v>.</v>
      </c>
    </row>
    <row r="129" spans="2:119" x14ac:dyDescent="0.3">
      <c r="B129" s="121"/>
      <c r="C129" s="123"/>
      <c r="D129" s="122"/>
      <c r="E129" s="122"/>
      <c r="F129" s="138"/>
      <c r="G129" s="123"/>
      <c r="H129" s="122"/>
      <c r="I129" s="124"/>
      <c r="J129" s="138"/>
      <c r="K129" s="123"/>
      <c r="L129" s="122"/>
      <c r="M129" s="122"/>
      <c r="N129" s="125"/>
      <c r="O129" s="123">
        <f t="shared" si="38"/>
        <v>0</v>
      </c>
      <c r="P129" s="123">
        <f t="shared" si="39"/>
        <v>0</v>
      </c>
      <c r="Q129" s="122" t="str">
        <f t="shared" si="61"/>
        <v>ZeroEntry</v>
      </c>
      <c r="R129" s="126" t="str">
        <f t="shared" si="40"/>
        <v>ZeroEntry</v>
      </c>
      <c r="S129" s="127" t="str">
        <f t="shared" si="41"/>
        <v>ZeroEntry</v>
      </c>
      <c r="T129" s="128" t="str">
        <f>IF($Q129="ZeroEntry", "",VLOOKUP($I129,'Ranking Lookup'!#REF!,2,FALSE))</f>
        <v/>
      </c>
      <c r="U129" s="129" t="str">
        <f t="shared" si="42"/>
        <v/>
      </c>
      <c r="V129" s="129" t="str">
        <f t="shared" si="43"/>
        <v/>
      </c>
      <c r="W129" s="129" t="str">
        <f t="shared" si="44"/>
        <v/>
      </c>
      <c r="X129" s="129" t="str">
        <f t="shared" si="45"/>
        <v/>
      </c>
      <c r="Y129" s="129" t="str">
        <f t="shared" si="46"/>
        <v/>
      </c>
      <c r="Z129" s="129" t="str">
        <f t="shared" si="47"/>
        <v/>
      </c>
      <c r="AA129" s="130"/>
      <c r="AB129" s="130" t="str">
        <f t="shared" si="48"/>
        <v>Unassigned</v>
      </c>
      <c r="AC129" s="131" t="str">
        <f t="shared" si="62"/>
        <v/>
      </c>
      <c r="AD129" s="131" t="str">
        <f t="shared" si="63"/>
        <v/>
      </c>
      <c r="AE129" s="132">
        <f t="shared" si="49"/>
        <v>0</v>
      </c>
      <c r="AF129" s="133" t="str">
        <f t="shared" si="64"/>
        <v/>
      </c>
      <c r="AG129" s="134">
        <f t="shared" si="50"/>
        <v>0</v>
      </c>
      <c r="AH129" s="54" t="str">
        <f t="shared" si="51"/>
        <v/>
      </c>
      <c r="AI129" s="54" t="str">
        <f t="shared" si="72"/>
        <v/>
      </c>
      <c r="AJ129" s="54" t="str">
        <f t="shared" si="72"/>
        <v/>
      </c>
      <c r="AK129" s="54" t="str">
        <f t="shared" si="72"/>
        <v/>
      </c>
      <c r="AL129" s="54" t="str">
        <f t="shared" si="72"/>
        <v/>
      </c>
      <c r="AM129" s="54" t="str">
        <f t="shared" si="72"/>
        <v/>
      </c>
      <c r="AN129" s="54" t="str">
        <f t="shared" si="72"/>
        <v/>
      </c>
      <c r="AO129" s="54" t="str">
        <f t="shared" si="72"/>
        <v/>
      </c>
      <c r="AP129" s="54" t="str">
        <f t="shared" si="72"/>
        <v/>
      </c>
      <c r="AQ129" s="54" t="str">
        <f t="shared" si="72"/>
        <v/>
      </c>
      <c r="AR129" s="54" t="str">
        <f t="shared" si="72"/>
        <v/>
      </c>
      <c r="AS129" s="54" t="str">
        <f t="shared" si="72"/>
        <v/>
      </c>
      <c r="AT129" s="54" t="str">
        <f t="shared" si="72"/>
        <v/>
      </c>
      <c r="AU129" s="54" t="str">
        <f t="shared" si="72"/>
        <v/>
      </c>
      <c r="AV129" s="54" t="str">
        <f t="shared" si="72"/>
        <v/>
      </c>
      <c r="AW129" s="54" t="str">
        <f t="shared" si="72"/>
        <v/>
      </c>
      <c r="AX129" s="54" t="str">
        <f t="shared" ref="AX129" si="74">IF(AND($Q129="Feature",LEFT($AB129,2)="PI"),
IF(AND(COUNTIF($R:$R,$B129)=1,$T129=AX$1), IF($AB129=$A$10,$AF129,0),
IF(OR($AD129&lt;1,RIGHT($G129,8)="Progress",$AH129&gt;0),SUMIFS($O:$O,$R:$R,$B129,$T:$T,AX$1,$P:$P,"&lt;&gt;Done",$AB:$AB,$A$10),
IF($T129=AX$1,IF($AB129=$A$10,$AD129,0)+SUMIFS($O:$O,$R:$R,$B129,$T:$T,AX$1,$P:$P,"&lt;&gt;Done",$AB:$AB,$A$10),SUMIFS($O:$O,$R:$R,$B129,$T:$T,AX$1,$P:$P,"&lt;&gt;Done",$AB:$AB,$A$10)))),
IF(AND(OR($Q129="Story",$Q129="Problem",$Q129="Enhancement"),$AB129=$A$10,$R129=0,$T129=AX$1,$P129&lt;&gt;"Done"),$O129,""))</f>
        <v/>
      </c>
      <c r="AY129" s="54" t="str">
        <f t="shared" si="53"/>
        <v/>
      </c>
      <c r="AZ129" s="54" t="str">
        <f t="shared" si="54"/>
        <v/>
      </c>
      <c r="BA129" s="54" t="str">
        <f t="shared" si="55"/>
        <v/>
      </c>
      <c r="BB129" s="135" t="str">
        <f t="shared" si="56"/>
        <v/>
      </c>
      <c r="BC129" s="54" t="str">
        <f t="shared" si="73"/>
        <v/>
      </c>
      <c r="BD129" s="54" t="str">
        <f t="shared" si="73"/>
        <v/>
      </c>
      <c r="BE129" s="54" t="str">
        <f t="shared" si="73"/>
        <v/>
      </c>
      <c r="BF129" s="54" t="str">
        <f t="shared" si="57"/>
        <v/>
      </c>
      <c r="BG129" s="54" t="str">
        <f t="shared" si="58"/>
        <v/>
      </c>
      <c r="BH129" s="34" t="str">
        <f t="shared" si="59"/>
        <v>Bad</v>
      </c>
      <c r="BI129" s="34" t="str">
        <f t="shared" si="60"/>
        <v>No</v>
      </c>
      <c r="BJ129" s="136" t="str">
        <f>IF($D129&lt;&gt;"Feature",".",
IF(VLOOKUP($B129,Feature_List!$A:$AM,MATCH(BJ$1,  Feature_List!$A$1:$AM$1,0),0)=B129,".","NO"))</f>
        <v>.</v>
      </c>
      <c r="BK129" s="136"/>
      <c r="BL129" s="136"/>
      <c r="BM129" s="136" t="str">
        <f>IF($D129&lt;&gt;"Feature",".",
IF(VLOOKUP($B129,Feature_List!$A:$AM,MATCH(BM$1,  Feature_List!$A$1:$AM$1,0),0)=E129,".","NO"))</f>
        <v>.</v>
      </c>
      <c r="BN129" s="136" t="str">
        <f>IF($D129&lt;&gt;"Feature",".",
IF(VLOOKUP($B129,Feature_List!$A:$AM,MATCH(BN$1,  Feature_List!$A$1:$AM$1,0),0)=F129,".","NO"))</f>
        <v>.</v>
      </c>
      <c r="BO129" s="136" t="str">
        <f>IF($D129&lt;&gt;"Feature",".",
IF(VLOOKUP($B129,Feature_List!$A:$AM,MATCH(BO$1,  Feature_List!$A$1:$AM$1,0),0)=G129,".","NO"))</f>
        <v>.</v>
      </c>
      <c r="BP129" s="136" t="str">
        <f>IF($D129&lt;&gt;"Feature",".",
IF(VLOOKUP($B129,Feature_List!$A:$AM,MATCH(BP$1,  Feature_List!$A$1:$AM$1,0),0)=H129,".","NO"))</f>
        <v>.</v>
      </c>
      <c r="BQ129" s="136"/>
      <c r="BR129" s="136" t="str">
        <f>IF($D129&lt;&gt;"Feature",".",
IF(VLOOKUP($B129,Feature_List!$A:$AM,MATCH(BR$1,  Feature_List!$A$1:$AM$1,0),0)=J129,".","NO"))</f>
        <v>.</v>
      </c>
      <c r="BS129" s="136"/>
      <c r="BT129" s="136"/>
      <c r="BU129" s="136" t="str">
        <f>IF($D129&lt;&gt;"Feature",".",
IF(VLOOKUP($B129,Feature_List!$A:$AM,MATCH(BU$1,  Feature_List!$A$1:$AM$1,0),0)=M129,".","NO"))</f>
        <v>.</v>
      </c>
      <c r="BV129" s="136" t="str">
        <f>IF($D129&lt;&gt;"Feature",".",
IF(VLOOKUP($B129,Feature_List!$A:$AM,MATCH(BV$1,  Feature_List!$A$1:$AM$1,0),0)=N129,".","NO"))</f>
        <v>.</v>
      </c>
      <c r="BW129" s="136"/>
      <c r="BX129" s="136"/>
      <c r="BY129" s="136"/>
      <c r="BZ129" s="136"/>
      <c r="CA129" s="136"/>
      <c r="CB129" s="136" t="str">
        <f>IF($D129&lt;&gt;"Feature",".",
IF(VLOOKUP($B129,Feature_List!$A:$AM,MATCH(CB$1,  Feature_List!$A$1:$AM$1,0),0)=T129,".","NO"))</f>
        <v>.</v>
      </c>
      <c r="CC129" s="136"/>
      <c r="CD129" s="136"/>
      <c r="CE129" s="136"/>
      <c r="CF129" s="136"/>
      <c r="CG129" s="136"/>
      <c r="CH129" s="136"/>
      <c r="CI129" s="136"/>
      <c r="CJ129" s="136"/>
      <c r="CK129" s="136"/>
      <c r="CL129" s="136"/>
      <c r="CM129" s="136"/>
      <c r="CN129" s="136"/>
      <c r="CO129" s="136" t="str">
        <f>IF($D129&lt;&gt;"Feature",".",
IF(VLOOKUP($B129,Feature_List!$A:$AM,MATCH(CO$1,  Feature_List!$A$1:$AM$1,0),0)=AG129,".","NO"))</f>
        <v>.</v>
      </c>
      <c r="CP129" s="136" t="str">
        <f>IF($D129&lt;&gt;"Feature",".",
IF(VLOOKUP($B129,Feature_List!$A:$AM,MATCH(CP$1,  Feature_List!$A$1:$AM$1,0),0)=AH129,".","NO"))</f>
        <v>.</v>
      </c>
      <c r="CQ129" s="136" t="str">
        <f>IF($D129&lt;&gt;"Feature",".",
IF(VLOOKUP($B129,Feature_List!$A:$AM,MATCH(CQ$1,  Feature_List!$A$1:$AM$1,0),0)=AI129,".","NO"))</f>
        <v>.</v>
      </c>
      <c r="CR129" s="136" t="str">
        <f>IF($D129&lt;&gt;"Feature",".",
IF(VLOOKUP($B129,Feature_List!$A:$AM,MATCH(CR$1,  Feature_List!$A$1:$AM$1,0),0)=AJ129,".","NO"))</f>
        <v>.</v>
      </c>
      <c r="CS129" s="136" t="str">
        <f>IF($D129&lt;&gt;"Feature",".",
IF(VLOOKUP($B129,Feature_List!$A:$AM,MATCH(CS$1,  Feature_List!$A$1:$AM$1,0),0)=AK129,".","NO"))</f>
        <v>.</v>
      </c>
      <c r="CT129" s="136" t="str">
        <f>IF($D129&lt;&gt;"Feature",".",
IF(VLOOKUP($B129,Feature_List!$A:$AM,MATCH(CT$1,  Feature_List!$A$1:$AM$1,0),0)=AL129,".","NO"))</f>
        <v>.</v>
      </c>
      <c r="CU129" s="136" t="str">
        <f>IF($D129&lt;&gt;"Feature",".",
IF(VLOOKUP($B129,Feature_List!$A:$AM,MATCH(CU$1,  Feature_List!$A$1:$AM$1,0),0)=AM129,".","NO"))</f>
        <v>.</v>
      </c>
      <c r="CV129" s="136" t="str">
        <f>IF($D129&lt;&gt;"Feature",".",
IF(VLOOKUP($B129,Feature_List!$A:$AM,MATCH(CV$1,  Feature_List!$A$1:$AM$1,0),0)=AN129,".","NO"))</f>
        <v>.</v>
      </c>
      <c r="CW129" s="136" t="str">
        <f>IF($D129&lt;&gt;"Feature",".",
IF(VLOOKUP($B129,Feature_List!$A:$AM,MATCH(CW$1,  Feature_List!$A$1:$AM$1,0),0)=AO129,".","NO"))</f>
        <v>.</v>
      </c>
      <c r="CX129" s="136" t="str">
        <f>IF($D129&lt;&gt;"Feature",".",
IF(VLOOKUP($B129,Feature_List!$A:$AM,MATCH(CX$1,  Feature_List!$A$1:$AM$1,0),0)=AP129,".","NO"))</f>
        <v>.</v>
      </c>
      <c r="CY129" s="136" t="str">
        <f>IF($D129&lt;&gt;"Feature",".",
IF(VLOOKUP($B129,Feature_List!$A:$AM,MATCH(CY$1,  Feature_List!$A$1:$AM$1,0),0)=AQ129,".","NO"))</f>
        <v>.</v>
      </c>
      <c r="CZ129" s="136" t="str">
        <f>IF($D129&lt;&gt;"Feature",".",
IF(VLOOKUP($B129,Feature_List!$A:$AM,MATCH(CZ$1,  Feature_List!$A$1:$AM$1,0),0)=AR129,".","NO"))</f>
        <v>.</v>
      </c>
      <c r="DA129" s="136" t="str">
        <f>IF($D129&lt;&gt;"Feature",".",
IF(VLOOKUP($B129,Feature_List!$A:$AM,MATCH(DA$1,  Feature_List!$A$1:$AM$1,0),0)=AS129,".","NO"))</f>
        <v>.</v>
      </c>
      <c r="DB129" s="136" t="str">
        <f>IF($D129&lt;&gt;"Feature",".",
IF(VLOOKUP($B129,Feature_List!$A:$AM,MATCH(DB$1,  Feature_List!$A$1:$AM$1,0),0)=AT129,".","NO"))</f>
        <v>.</v>
      </c>
      <c r="DC129" s="136" t="str">
        <f>IF($D129&lt;&gt;"Feature",".",
IF(VLOOKUP($B129,Feature_List!$A:$AM,MATCH(DC$1,  Feature_List!$A$1:$AM$1,0),0)=AU129,".","NO"))</f>
        <v>.</v>
      </c>
      <c r="DD129" s="136" t="str">
        <f>IF($D129&lt;&gt;"Feature",".",
IF(VLOOKUP($B129,Feature_List!$A:$AM,MATCH(DD$1,  Feature_List!$A$1:$AM$1,0),0)=AV129,".","NO"))</f>
        <v>.</v>
      </c>
      <c r="DE129" s="136" t="str">
        <f>IF($D129&lt;&gt;"Feature",".",
IF(VLOOKUP($B129,Feature_List!$A:$AM,MATCH(DE$1,  Feature_List!$A$1:$AM$1,0),0)=AW129,".","NO"))</f>
        <v>.</v>
      </c>
      <c r="DF129" s="136" t="str">
        <f>IF($D129&lt;&gt;"Feature",".",
IF(VLOOKUP($B129,Feature_List!$A:$AM,MATCH(DF$1,  Feature_List!$A$1:$AM$1,0),0)=AX129,".","NO"))</f>
        <v>.</v>
      </c>
      <c r="DG129" s="136" t="str">
        <f>IF($D129&lt;&gt;"Feature",".",
IF(VLOOKUP($B129,Feature_List!$A:$AM,MATCH(DG$1,  Feature_List!$A$1:$AM$1,0),0)=AY129,".","NO"))</f>
        <v>.</v>
      </c>
      <c r="DH129" s="136" t="str">
        <f>IF($D129&lt;&gt;"Feature",".",
IF(VLOOKUP($B129,Feature_List!$A:$AM,MATCH(DH$1,  Feature_List!$A$1:$AM$1,0),0)=AZ129,".","NO"))</f>
        <v>.</v>
      </c>
      <c r="DI129" s="136" t="str">
        <f>IF($D129&lt;&gt;"Feature",".",
IF(VLOOKUP($B129,Feature_List!$A:$AM,MATCH(DI$1,  Feature_List!$A$1:$AM$1,0),0)=BA129,".","NO"))</f>
        <v>.</v>
      </c>
      <c r="DJ129" s="136" t="str">
        <f>IF($D129&lt;&gt;"Feature",".",
IF(VLOOKUP($B129,Feature_List!$A:$AM,MATCH(DJ$1,  Feature_List!$A$1:$AM$1,0),0)=BB129,".","NO"))</f>
        <v>.</v>
      </c>
      <c r="DK129" s="136"/>
      <c r="DL129" s="136"/>
      <c r="DM129" s="136"/>
      <c r="DN129" s="136" t="str">
        <f>IF($D129&lt;&gt;"Feature",".",
IF(VLOOKUP($B129,Feature_List!$A:$AM,MATCH(DN$1,  Feature_List!$A$1:$AM$1,0),0)=BC129,".","NO"))</f>
        <v>.</v>
      </c>
      <c r="DO129" s="136" t="str">
        <f>IF($D129&lt;&gt;"Feature",".",
IF(VLOOKUP($B129,Feature_List!$A:$AM,MATCH(DO$1,  Feature_List!$A$1:$AM$1,0),0)=BD129,".","NO"))</f>
        <v>.</v>
      </c>
    </row>
    <row r="130" spans="2:119" x14ac:dyDescent="0.3">
      <c r="B130" s="121"/>
      <c r="C130" s="122"/>
      <c r="D130" s="122"/>
      <c r="E130" s="122"/>
      <c r="F130" s="138"/>
      <c r="G130" s="123"/>
      <c r="H130" s="122"/>
      <c r="I130" s="124"/>
      <c r="J130" s="138"/>
      <c r="K130" s="123"/>
      <c r="L130" s="122"/>
      <c r="M130" s="122"/>
      <c r="N130" s="125"/>
      <c r="O130" s="123">
        <f t="shared" ref="O130:O193" si="75">IF(Q130="Story",K130,
 IF(OR(Q130="Problem",Q130="Enhancement"),IFERROR(ROUNDUP(VALUE(LEFT(L130,FIND(" hour",L130)))/8,0),0),0))</f>
        <v>0</v>
      </c>
      <c r="P130" s="123">
        <f t="shared" ref="P130:P193" si="76">IF(H130="Closed","Done",H130)</f>
        <v>0</v>
      </c>
      <c r="Q130" s="122" t="str">
        <f t="shared" si="61"/>
        <v>ZeroEntry</v>
      </c>
      <c r="R130" s="126" t="str">
        <f t="shared" ref="R130:R193" si="77">IF($D130="","ZeroEntry",
IF($D130="Program Epic",0,
IF($Q130="Feature",$B130,
IF($Y130="Feature", RIGHT($C130,6)+0,
IF($X130="Feature", RIGHT(VLOOKUP(RIGHT($C130,6)+0,$B:$C,2,FALSE),6)+0, 0)))) )</f>
        <v>ZeroEntry</v>
      </c>
      <c r="S130" s="127" t="str">
        <f t="shared" ref="S130:S193" si="78">IF($D130="","ZeroEntry",
IF(OR($D130="Story",$D130="Problem",$D130="Enhancement"),$B130,0))</f>
        <v>ZeroEntry</v>
      </c>
      <c r="T130" s="128" t="str">
        <f>IF($Q130="ZeroEntry", "",VLOOKUP($I130,'Ranking Lookup'!#REF!,2,FALSE))</f>
        <v/>
      </c>
      <c r="U130" s="129" t="str">
        <f t="shared" ref="U130:U193" si="79">IFERROR(
   VLOOKUP(RIGHT(
        VLOOKUP(RIGHT(
             VLOOKUP(RIGHT(
                 VLOOKUP(RIGHT(
                     VLOOKUP(RIGHT($C130,6)+0,$B:$C,2,FALSE),6)+0,$B:$C,2,FALSE),6)+0,$B:$C,2,FALSE),6)+0,$B:$C,2,FALSE),6)+0,$B:$D,3,FALSE),
"")</f>
        <v/>
      </c>
      <c r="V130" s="129" t="str">
        <f t="shared" ref="V130:V193" si="80">IFERROR(
   VLOOKUP(RIGHT(
        VLOOKUP(RIGHT(
             VLOOKUP(RIGHT(
                  VLOOKUP(RIGHT($C130,6)+0,$B:$C,2,FALSE),6)+0,$B:$C,2,FALSE),6)+0,$B:$C,2,FALSE),6)+0,$B:$D,3,FALSE),
"")</f>
        <v/>
      </c>
      <c r="W130" s="129" t="str">
        <f t="shared" ref="W130:W193" si="81">IFERROR(
    VLOOKUP(RIGHT(
         VLOOKUP(RIGHT(
                 VLOOKUP(RIGHT($C130,6)+0,$B:$C,2,FALSE),6)+0,$B:$C,2,FALSE),6)+0,$B:$D,3,FALSE),
"")</f>
        <v/>
      </c>
      <c r="X130" s="129" t="str">
        <f t="shared" ref="X130:X193" si="82">IFERROR(
   VLOOKUP(RIGHT(
         VLOOKUP(RIGHT($C130,6)+0,$B:$C,2,FALSE),6)+0,$B:$D,3,FALSE),
"")</f>
        <v/>
      </c>
      <c r="Y130" s="129" t="str">
        <f t="shared" ref="Y130:Y193" si="83">IFERROR(VLOOKUP(RIGHT($C130,6)+0,$B:$D,3,FALSE),"")</f>
        <v/>
      </c>
      <c r="Z130" s="129" t="str">
        <f t="shared" ref="Z130:Z193" si="84">IF(ISERROR(VLOOKUP("#"&amp;$B130,$C:$D,2,FALSE)),"",VLOOKUP("#"&amp;$B130,$C:$D,2,FALSE))</f>
        <v/>
      </c>
      <c r="AA130" s="130"/>
      <c r="AB130" s="130" t="str">
        <f t="shared" ref="AB130:AB193" si="85">IF(LEFT($G130,2)="PI",LEFT($G130,5),
IF(OR(RIGHT($G130,2)="RR",$G130="Future"),$G130,
IF(LEFT($G130,3)="EA ",CONCATENATE("PI ",TEXT(VALUE(MID($G130,4,2)),"00")),
IF($R130=0,"Unassigned",
IF(NOT(OR($Q130="Story",$Q130="Problem",$Q130="Enhancement")),"Unassigned",
IF(AND($G130="Unassigned",RIGHT(VLOOKUP(VALUE(RIGHT($C130,6)),B:G,6,0),5)&lt;&gt;"gress",LEFT(VLOOKUP(VALUE(RIGHT($C130,6)),B:G,6,0),2)="PI"),LEFT(VLOOKUP(VALUE(RIGHT($C130,6)),B:G,6,0),5),
"Unassigned"))))))</f>
        <v>Unassigned</v>
      </c>
      <c r="AC130" s="131" t="str">
        <f t="shared" si="62"/>
        <v/>
      </c>
      <c r="AD130" s="131" t="str">
        <f t="shared" si="63"/>
        <v/>
      </c>
      <c r="AE130" s="132">
        <f t="shared" ref="AE130:AE193" si="86">IF(AND($Q130="Feature",$AD130&lt;&gt;0,$AC130&gt;$J130),($AC130/$J130)-1,0)</f>
        <v>0</v>
      </c>
      <c r="AF130" s="133" t="str">
        <f t="shared" si="64"/>
        <v/>
      </c>
      <c r="AG130" s="134">
        <f t="shared" ref="AG130:AG193" si="87">COUNTIF(AI130:AY130,"&gt;0")</f>
        <v>0</v>
      </c>
      <c r="AH130" s="54" t="str">
        <f t="shared" ref="AH130:AH193" si="88">IF($Q130="Feature",SUMIFS($O:$O,$R:$R,$B130,$P:$P,"Done"),
IF(  AND(OR($Q130="Story",$Q130="Problem",$Q130="Enhancement"),$R130=0,$P130="Done"),$O130,""))</f>
        <v/>
      </c>
      <c r="AI130" s="54" t="str">
        <f t="shared" ref="AI130:AX145" si="89">IF(AND($Q130="Feature",LEFT($AB130,2)="PI"),
IF(AND(COUNTIF($R:$R,$B130)=1,$T130=AI$1), IF($AB130=$A$10,$AF130,0),
IF(OR($AD130&lt;1,RIGHT($G130,8)="Progress",$AH130&gt;0),SUMIFS($O:$O,$R:$R,$B130,$T:$T,AI$1,$P:$P,"&lt;&gt;Done",$AB:$AB,$A$10),
IF($T130=AI$1,IF($AB130=$A$10,$AD130,0)+SUMIFS($O:$O,$R:$R,$B130,$T:$T,AI$1,$P:$P,"&lt;&gt;Done",$AB:$AB,$A$10),SUMIFS($O:$O,$R:$R,$B130,$T:$T,AI$1,$P:$P,"&lt;&gt;Done",$AB:$AB,$A$10)))),
IF(AND(OR($Q130="Story",$Q130="Problem",$Q130="Enhancement"),$AB130=$A$10,$R130=0,$T130=AI$1,$P130&lt;&gt;"Done"),$O130,""))</f>
        <v/>
      </c>
      <c r="AJ130" s="54" t="str">
        <f t="shared" si="89"/>
        <v/>
      </c>
      <c r="AK130" s="54" t="str">
        <f t="shared" si="89"/>
        <v/>
      </c>
      <c r="AL130" s="54" t="str">
        <f t="shared" si="89"/>
        <v/>
      </c>
      <c r="AM130" s="54" t="str">
        <f t="shared" si="89"/>
        <v/>
      </c>
      <c r="AN130" s="54" t="str">
        <f t="shared" si="89"/>
        <v/>
      </c>
      <c r="AO130" s="54" t="str">
        <f t="shared" si="89"/>
        <v/>
      </c>
      <c r="AP130" s="54" t="str">
        <f t="shared" si="89"/>
        <v/>
      </c>
      <c r="AQ130" s="54" t="str">
        <f t="shared" si="89"/>
        <v/>
      </c>
      <c r="AR130" s="54" t="str">
        <f t="shared" si="89"/>
        <v/>
      </c>
      <c r="AS130" s="54" t="str">
        <f t="shared" si="89"/>
        <v/>
      </c>
      <c r="AT130" s="54" t="str">
        <f t="shared" si="89"/>
        <v/>
      </c>
      <c r="AU130" s="54" t="str">
        <f t="shared" si="89"/>
        <v/>
      </c>
      <c r="AV130" s="54" t="str">
        <f t="shared" si="89"/>
        <v/>
      </c>
      <c r="AW130" s="54" t="str">
        <f t="shared" si="89"/>
        <v/>
      </c>
      <c r="AX130" s="54" t="str">
        <f t="shared" si="89"/>
        <v/>
      </c>
      <c r="AY130" s="54" t="str">
        <f t="shared" ref="AY130:AY193" si="90">IF(OR($Q130="Feature",BI130="Yes"), SUM(BC130:BE130),"")</f>
        <v/>
      </c>
      <c r="AZ130" s="54" t="str">
        <f t="shared" ref="AZ130:AZ193" si="91">IF($Q130="Feature",SUMIFS($O:$O,$R:$R,$B130,$P:$P,"&lt;&gt;Done",$AB:$AB,$A$14),
IF(AND(OR($Q130="Story",$Q130="Problem",$Q130="Enhancement"),$R130=0,$P130="&lt;&gt;Done", $AB130=$A$14),$O130,""))</f>
        <v/>
      </c>
      <c r="BA130" s="54" t="str">
        <f t="shared" ref="BA130:BA193" si="92">IF(OR($Q130="Feature",$BI130="Yes"), SUM(AI130:AY130),"")</f>
        <v/>
      </c>
      <c r="BB130" s="135" t="str">
        <f t="shared" ref="BB130:BB193" si="93">IF($Q130="Feature",SUMIFS($O:$O,$R:$R,$B130,$P:$P,"&lt;&gt;Done",$AB:$AB,BB$1),
IF(AND(OR($Q130="Story",$Q130="Problem",$Q130="Enhancement"),$R130=0,$P130="&lt;&gt;Done",$AB130=BB$1),$O130,""))</f>
        <v/>
      </c>
      <c r="BC130" s="54" t="str">
        <f t="shared" si="73"/>
        <v/>
      </c>
      <c r="BD130" s="54" t="str">
        <f t="shared" si="73"/>
        <v/>
      </c>
      <c r="BE130" s="54" t="str">
        <f t="shared" si="73"/>
        <v/>
      </c>
      <c r="BF130" s="54" t="str">
        <f t="shared" ref="BF130:BF193" si="94">IF($Q130="Feature",
COUNTIFS($Q:$Q,"Problem",$R:$R,$B130),"")</f>
        <v/>
      </c>
      <c r="BG130" s="54" t="str">
        <f t="shared" ref="BG130:BG193" si="95">IF($Q130="Feature",
COUNTIFS($Q:$Q,"Enhancement",$R:$R,$B130),"")</f>
        <v/>
      </c>
      <c r="BH130" s="34" t="str">
        <f t="shared" ref="BH130:BH193" si="96">IF(OR($Q130="Strategy",$Q130="Sub-Strategy"),"",
IF(AND($Q130="Feature",AH130&gt;0),"NA_InProgress",
IF(AND($Q130="Feature",SUM(AZ130:BB130)=J130),"Good",
IF(AND($Q130="Feature",RIGHT($G130,8)="Progress"),"NA_InProgress",
IF(AND(OR($Q130="Story",$Q130="Problem",$Q130="Enhancement"),$R130=0,SUM(AH130:BB130)=K130),"Good",
IF(AND(OR($Q130="Story",$Q130="Problem",$Q130="Enhancement"),$R130&lt;&gt;0),"","Bad"))))))</f>
        <v>Bad</v>
      </c>
      <c r="BI130" s="34" t="str">
        <f t="shared" ref="BI130:BI193" si="97">IF(AND(
      OR(AND(OR(Q130="Problem",Q130="Enhancement"),H130&lt;&gt;"Assessing",H130&lt;&gt;"Triage"),
             AND(Q130="Story",O130&lt;&gt;0)),
      R130=0,
      T130&lt;&gt;"Process"),"Add_Scope","No")</f>
        <v>No</v>
      </c>
      <c r="BJ130" s="136" t="str">
        <f>IF($D130&lt;&gt;"Feature",".",
IF(VLOOKUP($B130,Feature_List!$A:$AM,MATCH(BJ$1,  Feature_List!$A$1:$AM$1,0),0)=B130,".","NO"))</f>
        <v>.</v>
      </c>
      <c r="BK130" s="136"/>
      <c r="BL130" s="136"/>
      <c r="BM130" s="136" t="str">
        <f>IF($D130&lt;&gt;"Feature",".",
IF(VLOOKUP($B130,Feature_List!$A:$AM,MATCH(BM$1,  Feature_List!$A$1:$AM$1,0),0)=E130,".","NO"))</f>
        <v>.</v>
      </c>
      <c r="BN130" s="136" t="str">
        <f>IF($D130&lt;&gt;"Feature",".",
IF(VLOOKUP($B130,Feature_List!$A:$AM,MATCH(BN$1,  Feature_List!$A$1:$AM$1,0),0)=F130,".","NO"))</f>
        <v>.</v>
      </c>
      <c r="BO130" s="136" t="str">
        <f>IF($D130&lt;&gt;"Feature",".",
IF(VLOOKUP($B130,Feature_List!$A:$AM,MATCH(BO$1,  Feature_List!$A$1:$AM$1,0),0)=G130,".","NO"))</f>
        <v>.</v>
      </c>
      <c r="BP130" s="136" t="str">
        <f>IF($D130&lt;&gt;"Feature",".",
IF(VLOOKUP($B130,Feature_List!$A:$AM,MATCH(BP$1,  Feature_List!$A$1:$AM$1,0),0)=H130,".","NO"))</f>
        <v>.</v>
      </c>
      <c r="BQ130" s="136"/>
      <c r="BR130" s="136" t="str">
        <f>IF($D130&lt;&gt;"Feature",".",
IF(VLOOKUP($B130,Feature_List!$A:$AM,MATCH(BR$1,  Feature_List!$A$1:$AM$1,0),0)=J130,".","NO"))</f>
        <v>.</v>
      </c>
      <c r="BS130" s="136"/>
      <c r="BT130" s="136"/>
      <c r="BU130" s="136" t="str">
        <f>IF($D130&lt;&gt;"Feature",".",
IF(VLOOKUP($B130,Feature_List!$A:$AM,MATCH(BU$1,  Feature_List!$A$1:$AM$1,0),0)=M130,".","NO"))</f>
        <v>.</v>
      </c>
      <c r="BV130" s="136" t="str">
        <f>IF($D130&lt;&gt;"Feature",".",
IF(VLOOKUP($B130,Feature_List!$A:$AM,MATCH(BV$1,  Feature_List!$A$1:$AM$1,0),0)=N130,".","NO"))</f>
        <v>.</v>
      </c>
      <c r="BW130" s="136"/>
      <c r="BX130" s="136"/>
      <c r="BY130" s="136"/>
      <c r="BZ130" s="136"/>
      <c r="CA130" s="136"/>
      <c r="CB130" s="136" t="str">
        <f>IF($D130&lt;&gt;"Feature",".",
IF(VLOOKUP($B130,Feature_List!$A:$AM,MATCH(CB$1,  Feature_List!$A$1:$AM$1,0),0)=T130,".","NO"))</f>
        <v>.</v>
      </c>
      <c r="CC130" s="136"/>
      <c r="CD130" s="136"/>
      <c r="CE130" s="136"/>
      <c r="CF130" s="136"/>
      <c r="CG130" s="136"/>
      <c r="CH130" s="136"/>
      <c r="CI130" s="136"/>
      <c r="CJ130" s="136"/>
      <c r="CK130" s="136"/>
      <c r="CL130" s="136"/>
      <c r="CM130" s="136"/>
      <c r="CN130" s="136"/>
      <c r="CO130" s="136" t="str">
        <f>IF($D130&lt;&gt;"Feature",".",
IF(VLOOKUP($B130,Feature_List!$A:$AM,MATCH(CO$1,  Feature_List!$A$1:$AM$1,0),0)=AG130,".","NO"))</f>
        <v>.</v>
      </c>
      <c r="CP130" s="136" t="str">
        <f>IF($D130&lt;&gt;"Feature",".",
IF(VLOOKUP($B130,Feature_List!$A:$AM,MATCH(CP$1,  Feature_List!$A$1:$AM$1,0),0)=AH130,".","NO"))</f>
        <v>.</v>
      </c>
      <c r="CQ130" s="136" t="str">
        <f>IF($D130&lt;&gt;"Feature",".",
IF(VLOOKUP($B130,Feature_List!$A:$AM,MATCH(CQ$1,  Feature_List!$A$1:$AM$1,0),0)=AI130,".","NO"))</f>
        <v>.</v>
      </c>
      <c r="CR130" s="136" t="str">
        <f>IF($D130&lt;&gt;"Feature",".",
IF(VLOOKUP($B130,Feature_List!$A:$AM,MATCH(CR$1,  Feature_List!$A$1:$AM$1,0),0)=AJ130,".","NO"))</f>
        <v>.</v>
      </c>
      <c r="CS130" s="136" t="str">
        <f>IF($D130&lt;&gt;"Feature",".",
IF(VLOOKUP($B130,Feature_List!$A:$AM,MATCH(CS$1,  Feature_List!$A$1:$AM$1,0),0)=AK130,".","NO"))</f>
        <v>.</v>
      </c>
      <c r="CT130" s="136" t="str">
        <f>IF($D130&lt;&gt;"Feature",".",
IF(VLOOKUP($B130,Feature_List!$A:$AM,MATCH(CT$1,  Feature_List!$A$1:$AM$1,0),0)=AL130,".","NO"))</f>
        <v>.</v>
      </c>
      <c r="CU130" s="136" t="str">
        <f>IF($D130&lt;&gt;"Feature",".",
IF(VLOOKUP($B130,Feature_List!$A:$AM,MATCH(CU$1,  Feature_List!$A$1:$AM$1,0),0)=AM130,".","NO"))</f>
        <v>.</v>
      </c>
      <c r="CV130" s="136" t="str">
        <f>IF($D130&lt;&gt;"Feature",".",
IF(VLOOKUP($B130,Feature_List!$A:$AM,MATCH(CV$1,  Feature_List!$A$1:$AM$1,0),0)=AN130,".","NO"))</f>
        <v>.</v>
      </c>
      <c r="CW130" s="136" t="str">
        <f>IF($D130&lt;&gt;"Feature",".",
IF(VLOOKUP($B130,Feature_List!$A:$AM,MATCH(CW$1,  Feature_List!$A$1:$AM$1,0),0)=AO130,".","NO"))</f>
        <v>.</v>
      </c>
      <c r="CX130" s="136" t="str">
        <f>IF($D130&lt;&gt;"Feature",".",
IF(VLOOKUP($B130,Feature_List!$A:$AM,MATCH(CX$1,  Feature_List!$A$1:$AM$1,0),0)=AP130,".","NO"))</f>
        <v>.</v>
      </c>
      <c r="CY130" s="136" t="str">
        <f>IF($D130&lt;&gt;"Feature",".",
IF(VLOOKUP($B130,Feature_List!$A:$AM,MATCH(CY$1,  Feature_List!$A$1:$AM$1,0),0)=AQ130,".","NO"))</f>
        <v>.</v>
      </c>
      <c r="CZ130" s="136" t="str">
        <f>IF($D130&lt;&gt;"Feature",".",
IF(VLOOKUP($B130,Feature_List!$A:$AM,MATCH(CZ$1,  Feature_List!$A$1:$AM$1,0),0)=AR130,".","NO"))</f>
        <v>.</v>
      </c>
      <c r="DA130" s="136" t="str">
        <f>IF($D130&lt;&gt;"Feature",".",
IF(VLOOKUP($B130,Feature_List!$A:$AM,MATCH(DA$1,  Feature_List!$A$1:$AM$1,0),0)=AS130,".","NO"))</f>
        <v>.</v>
      </c>
      <c r="DB130" s="136" t="str">
        <f>IF($D130&lt;&gt;"Feature",".",
IF(VLOOKUP($B130,Feature_List!$A:$AM,MATCH(DB$1,  Feature_List!$A$1:$AM$1,0),0)=AT130,".","NO"))</f>
        <v>.</v>
      </c>
      <c r="DC130" s="136" t="str">
        <f>IF($D130&lt;&gt;"Feature",".",
IF(VLOOKUP($B130,Feature_List!$A:$AM,MATCH(DC$1,  Feature_List!$A$1:$AM$1,0),0)=AU130,".","NO"))</f>
        <v>.</v>
      </c>
      <c r="DD130" s="136" t="str">
        <f>IF($D130&lt;&gt;"Feature",".",
IF(VLOOKUP($B130,Feature_List!$A:$AM,MATCH(DD$1,  Feature_List!$A$1:$AM$1,0),0)=AV130,".","NO"))</f>
        <v>.</v>
      </c>
      <c r="DE130" s="136" t="str">
        <f>IF($D130&lt;&gt;"Feature",".",
IF(VLOOKUP($B130,Feature_List!$A:$AM,MATCH(DE$1,  Feature_List!$A$1:$AM$1,0),0)=AW130,".","NO"))</f>
        <v>.</v>
      </c>
      <c r="DF130" s="136" t="str">
        <f>IF($D130&lt;&gt;"Feature",".",
IF(VLOOKUP($B130,Feature_List!$A:$AM,MATCH(DF$1,  Feature_List!$A$1:$AM$1,0),0)=AX130,".","NO"))</f>
        <v>.</v>
      </c>
      <c r="DG130" s="136" t="str">
        <f>IF($D130&lt;&gt;"Feature",".",
IF(VLOOKUP($B130,Feature_List!$A:$AM,MATCH(DG$1,  Feature_List!$A$1:$AM$1,0),0)=AY130,".","NO"))</f>
        <v>.</v>
      </c>
      <c r="DH130" s="136" t="str">
        <f>IF($D130&lt;&gt;"Feature",".",
IF(VLOOKUP($B130,Feature_List!$A:$AM,MATCH(DH$1,  Feature_List!$A$1:$AM$1,0),0)=AZ130,".","NO"))</f>
        <v>.</v>
      </c>
      <c r="DI130" s="136" t="str">
        <f>IF($D130&lt;&gt;"Feature",".",
IF(VLOOKUP($B130,Feature_List!$A:$AM,MATCH(DI$1,  Feature_List!$A$1:$AM$1,0),0)=BA130,".","NO"))</f>
        <v>.</v>
      </c>
      <c r="DJ130" s="136" t="str">
        <f>IF($D130&lt;&gt;"Feature",".",
IF(VLOOKUP($B130,Feature_List!$A:$AM,MATCH(DJ$1,  Feature_List!$A$1:$AM$1,0),0)=BB130,".","NO"))</f>
        <v>.</v>
      </c>
      <c r="DK130" s="136"/>
      <c r="DL130" s="136"/>
      <c r="DM130" s="136"/>
      <c r="DN130" s="136" t="str">
        <f>IF($D130&lt;&gt;"Feature",".",
IF(VLOOKUP($B130,Feature_List!$A:$AM,MATCH(DN$1,  Feature_List!$A$1:$AM$1,0),0)=BC130,".","NO"))</f>
        <v>.</v>
      </c>
      <c r="DO130" s="136" t="str">
        <f>IF($D130&lt;&gt;"Feature",".",
IF(VLOOKUP($B130,Feature_List!$A:$AM,MATCH(DO$1,  Feature_List!$A$1:$AM$1,0),0)=BD130,".","NO"))</f>
        <v>.</v>
      </c>
    </row>
    <row r="131" spans="2:119" x14ac:dyDescent="0.3">
      <c r="B131" s="121"/>
      <c r="C131" s="122"/>
      <c r="D131" s="122"/>
      <c r="E131" s="122"/>
      <c r="F131" s="138"/>
      <c r="G131" s="123"/>
      <c r="H131" s="122"/>
      <c r="I131" s="124"/>
      <c r="J131" s="138"/>
      <c r="K131" s="123"/>
      <c r="L131" s="122"/>
      <c r="M131" s="122"/>
      <c r="N131" s="125"/>
      <c r="O131" s="123">
        <f t="shared" si="75"/>
        <v>0</v>
      </c>
      <c r="P131" s="123">
        <f t="shared" si="76"/>
        <v>0</v>
      </c>
      <c r="Q131" s="122" t="str">
        <f t="shared" ref="Q131:Q194" si="98">IF($D131="","ZeroEntry",
IF($D131="Story","Story",
IF($D131="Feature","Feature",
IF($D131="Problem","Problem",
IF($D131="Enhancement","Enhancement",
"Program Epic")))))</f>
        <v>ZeroEntry</v>
      </c>
      <c r="R131" s="126" t="str">
        <f t="shared" si="77"/>
        <v>ZeroEntry</v>
      </c>
      <c r="S131" s="127" t="str">
        <f t="shared" si="78"/>
        <v>ZeroEntry</v>
      </c>
      <c r="T131" s="128" t="str">
        <f>IF($Q131="ZeroEntry", "",VLOOKUP($I131,'Ranking Lookup'!#REF!,2,FALSE))</f>
        <v/>
      </c>
      <c r="U131" s="129" t="str">
        <f t="shared" si="79"/>
        <v/>
      </c>
      <c r="V131" s="129" t="str">
        <f t="shared" si="80"/>
        <v/>
      </c>
      <c r="W131" s="129" t="str">
        <f t="shared" si="81"/>
        <v/>
      </c>
      <c r="X131" s="129" t="str">
        <f t="shared" si="82"/>
        <v/>
      </c>
      <c r="Y131" s="129" t="str">
        <f t="shared" si="83"/>
        <v/>
      </c>
      <c r="Z131" s="129" t="str">
        <f t="shared" si="84"/>
        <v/>
      </c>
      <c r="AA131" s="130"/>
      <c r="AB131" s="130" t="str">
        <f t="shared" si="85"/>
        <v>Unassigned</v>
      </c>
      <c r="AC131" s="131" t="str">
        <f t="shared" ref="AC131:AC194" si="99">IF($Q131="Feature",SUMIFS($O:$O,$R:$R,$B131),
IF(OR($Q131="Story",$Q131="Problem",$Q131="Enhancement"),$O131,""))</f>
        <v/>
      </c>
      <c r="AD131" s="131" t="str">
        <f t="shared" ref="AD131:AD194" si="100">IF($Q131="Feature",
IF(COUNTIF($R:$R,$B131)=1,$J131,$J131-$AC131),
IF(OR($Q131="Story",$Q131="Problem",$Q131="Enhancement"),$O131-$AC131,""))</f>
        <v/>
      </c>
      <c r="AE131" s="132">
        <f t="shared" si="86"/>
        <v>0</v>
      </c>
      <c r="AF131" s="133" t="str">
        <f t="shared" ref="AF131:AF194" si="101">IF($P131="Done", 0,
IF(AND($Q131="Feature",COUNTIF($R:$R,$B131)=1),$J131,
IF($Q131="Feature",MAX($J131-SUMIFS($O:$O,$P:$P,"Done",$R:$R,$B131),0),
IF(AND(OR($Q131="Story",$Q131="Problem",$Q131="Enhancement"),$R131=0),$O131,""))))</f>
        <v/>
      </c>
      <c r="AG131" s="134">
        <f t="shared" si="87"/>
        <v>0</v>
      </c>
      <c r="AH131" s="54" t="str">
        <f t="shared" si="88"/>
        <v/>
      </c>
      <c r="AI131" s="54" t="str">
        <f t="shared" si="89"/>
        <v/>
      </c>
      <c r="AJ131" s="54" t="str">
        <f t="shared" si="89"/>
        <v/>
      </c>
      <c r="AK131" s="54" t="str">
        <f t="shared" si="89"/>
        <v/>
      </c>
      <c r="AL131" s="54" t="str">
        <f t="shared" si="89"/>
        <v/>
      </c>
      <c r="AM131" s="54" t="str">
        <f t="shared" si="89"/>
        <v/>
      </c>
      <c r="AN131" s="54" t="str">
        <f t="shared" si="89"/>
        <v/>
      </c>
      <c r="AO131" s="54" t="str">
        <f t="shared" si="89"/>
        <v/>
      </c>
      <c r="AP131" s="54" t="str">
        <f t="shared" si="89"/>
        <v/>
      </c>
      <c r="AQ131" s="54" t="str">
        <f t="shared" si="89"/>
        <v/>
      </c>
      <c r="AR131" s="54" t="str">
        <f t="shared" si="89"/>
        <v/>
      </c>
      <c r="AS131" s="54" t="str">
        <f t="shared" si="89"/>
        <v/>
      </c>
      <c r="AT131" s="54" t="str">
        <f t="shared" si="89"/>
        <v/>
      </c>
      <c r="AU131" s="54" t="str">
        <f t="shared" si="89"/>
        <v/>
      </c>
      <c r="AV131" s="54" t="str">
        <f t="shared" si="89"/>
        <v/>
      </c>
      <c r="AW131" s="54" t="str">
        <f t="shared" si="89"/>
        <v/>
      </c>
      <c r="AX131" s="54" t="str">
        <f t="shared" si="89"/>
        <v/>
      </c>
      <c r="AY131" s="54" t="str">
        <f t="shared" si="90"/>
        <v/>
      </c>
      <c r="AZ131" s="54" t="str">
        <f t="shared" si="91"/>
        <v/>
      </c>
      <c r="BA131" s="54" t="str">
        <f t="shared" si="92"/>
        <v/>
      </c>
      <c r="BB131" s="135" t="str">
        <f t="shared" si="93"/>
        <v/>
      </c>
      <c r="BC131" s="54" t="str">
        <f t="shared" si="73"/>
        <v/>
      </c>
      <c r="BD131" s="54" t="str">
        <f t="shared" si="73"/>
        <v/>
      </c>
      <c r="BE131" s="54" t="str">
        <f t="shared" si="73"/>
        <v/>
      </c>
      <c r="BF131" s="54" t="str">
        <f t="shared" si="94"/>
        <v/>
      </c>
      <c r="BG131" s="54" t="str">
        <f t="shared" si="95"/>
        <v/>
      </c>
      <c r="BH131" s="34" t="str">
        <f t="shared" si="96"/>
        <v>Bad</v>
      </c>
      <c r="BI131" s="34" t="str">
        <f t="shared" si="97"/>
        <v>No</v>
      </c>
      <c r="BJ131" s="136" t="str">
        <f>IF($D131&lt;&gt;"Feature",".",
IF(VLOOKUP($B131,Feature_List!$A:$AM,MATCH(BJ$1,  Feature_List!$A$1:$AM$1,0),0)=B131,".","NO"))</f>
        <v>.</v>
      </c>
      <c r="BK131" s="136"/>
      <c r="BL131" s="136"/>
      <c r="BM131" s="136" t="str">
        <f>IF($D131&lt;&gt;"Feature",".",
IF(VLOOKUP($B131,Feature_List!$A:$AM,MATCH(BM$1,  Feature_List!$A$1:$AM$1,0),0)=E131,".","NO"))</f>
        <v>.</v>
      </c>
      <c r="BN131" s="136" t="str">
        <f>IF($D131&lt;&gt;"Feature",".",
IF(VLOOKUP($B131,Feature_List!$A:$AM,MATCH(BN$1,  Feature_List!$A$1:$AM$1,0),0)=F131,".","NO"))</f>
        <v>.</v>
      </c>
      <c r="BO131" s="136" t="str">
        <f>IF($D131&lt;&gt;"Feature",".",
IF(VLOOKUP($B131,Feature_List!$A:$AM,MATCH(BO$1,  Feature_List!$A$1:$AM$1,0),0)=G131,".","NO"))</f>
        <v>.</v>
      </c>
      <c r="BP131" s="136" t="str">
        <f>IF($D131&lt;&gt;"Feature",".",
IF(VLOOKUP($B131,Feature_List!$A:$AM,MATCH(BP$1,  Feature_List!$A$1:$AM$1,0),0)=H131,".","NO"))</f>
        <v>.</v>
      </c>
      <c r="BQ131" s="136"/>
      <c r="BR131" s="136" t="str">
        <f>IF($D131&lt;&gt;"Feature",".",
IF(VLOOKUP($B131,Feature_List!$A:$AM,MATCH(BR$1,  Feature_List!$A$1:$AM$1,0),0)=J131,".","NO"))</f>
        <v>.</v>
      </c>
      <c r="BS131" s="136"/>
      <c r="BT131" s="136"/>
      <c r="BU131" s="136" t="str">
        <f>IF($D131&lt;&gt;"Feature",".",
IF(VLOOKUP($B131,Feature_List!$A:$AM,MATCH(BU$1,  Feature_List!$A$1:$AM$1,0),0)=M131,".","NO"))</f>
        <v>.</v>
      </c>
      <c r="BV131" s="136" t="str">
        <f>IF($D131&lt;&gt;"Feature",".",
IF(VLOOKUP($B131,Feature_List!$A:$AM,MATCH(BV$1,  Feature_List!$A$1:$AM$1,0),0)=N131,".","NO"))</f>
        <v>.</v>
      </c>
      <c r="BW131" s="136"/>
      <c r="BX131" s="136"/>
      <c r="BY131" s="136"/>
      <c r="BZ131" s="136"/>
      <c r="CA131" s="136"/>
      <c r="CB131" s="136" t="str">
        <f>IF($D131&lt;&gt;"Feature",".",
IF(VLOOKUP($B131,Feature_List!$A:$AM,MATCH(CB$1,  Feature_List!$A$1:$AM$1,0),0)=T131,".","NO"))</f>
        <v>.</v>
      </c>
      <c r="CC131" s="136"/>
      <c r="CD131" s="136"/>
      <c r="CE131" s="136"/>
      <c r="CF131" s="136"/>
      <c r="CG131" s="136"/>
      <c r="CH131" s="136"/>
      <c r="CI131" s="136"/>
      <c r="CJ131" s="136"/>
      <c r="CK131" s="136"/>
      <c r="CL131" s="136"/>
      <c r="CM131" s="136"/>
      <c r="CN131" s="136"/>
      <c r="CO131" s="136" t="str">
        <f>IF($D131&lt;&gt;"Feature",".",
IF(VLOOKUP($B131,Feature_List!$A:$AM,MATCH(CO$1,  Feature_List!$A$1:$AM$1,0),0)=AG131,".","NO"))</f>
        <v>.</v>
      </c>
      <c r="CP131" s="136" t="str">
        <f>IF($D131&lt;&gt;"Feature",".",
IF(VLOOKUP($B131,Feature_List!$A:$AM,MATCH(CP$1,  Feature_List!$A$1:$AM$1,0),0)=AH131,".","NO"))</f>
        <v>.</v>
      </c>
      <c r="CQ131" s="136" t="str">
        <f>IF($D131&lt;&gt;"Feature",".",
IF(VLOOKUP($B131,Feature_List!$A:$AM,MATCH(CQ$1,  Feature_List!$A$1:$AM$1,0),0)=AI131,".","NO"))</f>
        <v>.</v>
      </c>
      <c r="CR131" s="136" t="str">
        <f>IF($D131&lt;&gt;"Feature",".",
IF(VLOOKUP($B131,Feature_List!$A:$AM,MATCH(CR$1,  Feature_List!$A$1:$AM$1,0),0)=AJ131,".","NO"))</f>
        <v>.</v>
      </c>
      <c r="CS131" s="136" t="str">
        <f>IF($D131&lt;&gt;"Feature",".",
IF(VLOOKUP($B131,Feature_List!$A:$AM,MATCH(CS$1,  Feature_List!$A$1:$AM$1,0),0)=AK131,".","NO"))</f>
        <v>.</v>
      </c>
      <c r="CT131" s="136" t="str">
        <f>IF($D131&lt;&gt;"Feature",".",
IF(VLOOKUP($B131,Feature_List!$A:$AM,MATCH(CT$1,  Feature_List!$A$1:$AM$1,0),0)=AL131,".","NO"))</f>
        <v>.</v>
      </c>
      <c r="CU131" s="136" t="str">
        <f>IF($D131&lt;&gt;"Feature",".",
IF(VLOOKUP($B131,Feature_List!$A:$AM,MATCH(CU$1,  Feature_List!$A$1:$AM$1,0),0)=AM131,".","NO"))</f>
        <v>.</v>
      </c>
      <c r="CV131" s="136" t="str">
        <f>IF($D131&lt;&gt;"Feature",".",
IF(VLOOKUP($B131,Feature_List!$A:$AM,MATCH(CV$1,  Feature_List!$A$1:$AM$1,0),0)=AN131,".","NO"))</f>
        <v>.</v>
      </c>
      <c r="CW131" s="136" t="str">
        <f>IF($D131&lt;&gt;"Feature",".",
IF(VLOOKUP($B131,Feature_List!$A:$AM,MATCH(CW$1,  Feature_List!$A$1:$AM$1,0),0)=AO131,".","NO"))</f>
        <v>.</v>
      </c>
      <c r="CX131" s="136" t="str">
        <f>IF($D131&lt;&gt;"Feature",".",
IF(VLOOKUP($B131,Feature_List!$A:$AM,MATCH(CX$1,  Feature_List!$A$1:$AM$1,0),0)=AP131,".","NO"))</f>
        <v>.</v>
      </c>
      <c r="CY131" s="136" t="str">
        <f>IF($D131&lt;&gt;"Feature",".",
IF(VLOOKUP($B131,Feature_List!$A:$AM,MATCH(CY$1,  Feature_List!$A$1:$AM$1,0),0)=AQ131,".","NO"))</f>
        <v>.</v>
      </c>
      <c r="CZ131" s="136" t="str">
        <f>IF($D131&lt;&gt;"Feature",".",
IF(VLOOKUP($B131,Feature_List!$A:$AM,MATCH(CZ$1,  Feature_List!$A$1:$AM$1,0),0)=AR131,".","NO"))</f>
        <v>.</v>
      </c>
      <c r="DA131" s="136" t="str">
        <f>IF($D131&lt;&gt;"Feature",".",
IF(VLOOKUP($B131,Feature_List!$A:$AM,MATCH(DA$1,  Feature_List!$A$1:$AM$1,0),0)=AS131,".","NO"))</f>
        <v>.</v>
      </c>
      <c r="DB131" s="136" t="str">
        <f>IF($D131&lt;&gt;"Feature",".",
IF(VLOOKUP($B131,Feature_List!$A:$AM,MATCH(DB$1,  Feature_List!$A$1:$AM$1,0),0)=AT131,".","NO"))</f>
        <v>.</v>
      </c>
      <c r="DC131" s="136" t="str">
        <f>IF($D131&lt;&gt;"Feature",".",
IF(VLOOKUP($B131,Feature_List!$A:$AM,MATCH(DC$1,  Feature_List!$A$1:$AM$1,0),0)=AU131,".","NO"))</f>
        <v>.</v>
      </c>
      <c r="DD131" s="136" t="str">
        <f>IF($D131&lt;&gt;"Feature",".",
IF(VLOOKUP($B131,Feature_List!$A:$AM,MATCH(DD$1,  Feature_List!$A$1:$AM$1,0),0)=AV131,".","NO"))</f>
        <v>.</v>
      </c>
      <c r="DE131" s="136" t="str">
        <f>IF($D131&lt;&gt;"Feature",".",
IF(VLOOKUP($B131,Feature_List!$A:$AM,MATCH(DE$1,  Feature_List!$A$1:$AM$1,0),0)=AW131,".","NO"))</f>
        <v>.</v>
      </c>
      <c r="DF131" s="136" t="str">
        <f>IF($D131&lt;&gt;"Feature",".",
IF(VLOOKUP($B131,Feature_List!$A:$AM,MATCH(DF$1,  Feature_List!$A$1:$AM$1,0),0)=AX131,".","NO"))</f>
        <v>.</v>
      </c>
      <c r="DG131" s="136" t="str">
        <f>IF($D131&lt;&gt;"Feature",".",
IF(VLOOKUP($B131,Feature_List!$A:$AM,MATCH(DG$1,  Feature_List!$A$1:$AM$1,0),0)=AY131,".","NO"))</f>
        <v>.</v>
      </c>
      <c r="DH131" s="136" t="str">
        <f>IF($D131&lt;&gt;"Feature",".",
IF(VLOOKUP($B131,Feature_List!$A:$AM,MATCH(DH$1,  Feature_List!$A$1:$AM$1,0),0)=AZ131,".","NO"))</f>
        <v>.</v>
      </c>
      <c r="DI131" s="136" t="str">
        <f>IF($D131&lt;&gt;"Feature",".",
IF(VLOOKUP($B131,Feature_List!$A:$AM,MATCH(DI$1,  Feature_List!$A$1:$AM$1,0),0)=BA131,".","NO"))</f>
        <v>.</v>
      </c>
      <c r="DJ131" s="136" t="str">
        <f>IF($D131&lt;&gt;"Feature",".",
IF(VLOOKUP($B131,Feature_List!$A:$AM,MATCH(DJ$1,  Feature_List!$A$1:$AM$1,0),0)=BB131,".","NO"))</f>
        <v>.</v>
      </c>
      <c r="DK131" s="136"/>
      <c r="DL131" s="136"/>
      <c r="DM131" s="136"/>
      <c r="DN131" s="136" t="str">
        <f>IF($D131&lt;&gt;"Feature",".",
IF(VLOOKUP($B131,Feature_List!$A:$AM,MATCH(DN$1,  Feature_List!$A$1:$AM$1,0),0)=BC131,".","NO"))</f>
        <v>.</v>
      </c>
      <c r="DO131" s="136" t="str">
        <f>IF($D131&lt;&gt;"Feature",".",
IF(VLOOKUP($B131,Feature_List!$A:$AM,MATCH(DO$1,  Feature_List!$A$1:$AM$1,0),0)=BD131,".","NO"))</f>
        <v>.</v>
      </c>
    </row>
    <row r="132" spans="2:119" x14ac:dyDescent="0.3">
      <c r="B132" s="121"/>
      <c r="C132" s="122"/>
      <c r="D132" s="122"/>
      <c r="E132" s="122"/>
      <c r="F132" s="138"/>
      <c r="G132" s="123"/>
      <c r="H132" s="122"/>
      <c r="I132" s="124"/>
      <c r="J132" s="138"/>
      <c r="K132" s="123"/>
      <c r="L132" s="122"/>
      <c r="M132" s="122"/>
      <c r="N132" s="125"/>
      <c r="O132" s="123">
        <f t="shared" si="75"/>
        <v>0</v>
      </c>
      <c r="P132" s="123">
        <f t="shared" si="76"/>
        <v>0</v>
      </c>
      <c r="Q132" s="122" t="str">
        <f t="shared" si="98"/>
        <v>ZeroEntry</v>
      </c>
      <c r="R132" s="126" t="str">
        <f t="shared" si="77"/>
        <v>ZeroEntry</v>
      </c>
      <c r="S132" s="127" t="str">
        <f t="shared" si="78"/>
        <v>ZeroEntry</v>
      </c>
      <c r="T132" s="128" t="str">
        <f>IF($Q132="ZeroEntry", "",VLOOKUP($I132,'Ranking Lookup'!#REF!,2,FALSE))</f>
        <v/>
      </c>
      <c r="U132" s="129" t="str">
        <f t="shared" si="79"/>
        <v/>
      </c>
      <c r="V132" s="129" t="str">
        <f t="shared" si="80"/>
        <v/>
      </c>
      <c r="W132" s="129" t="str">
        <f t="shared" si="81"/>
        <v/>
      </c>
      <c r="X132" s="129" t="str">
        <f t="shared" si="82"/>
        <v/>
      </c>
      <c r="Y132" s="129" t="str">
        <f t="shared" si="83"/>
        <v/>
      </c>
      <c r="Z132" s="129" t="str">
        <f t="shared" si="84"/>
        <v/>
      </c>
      <c r="AA132" s="130"/>
      <c r="AB132" s="130" t="str">
        <f t="shared" si="85"/>
        <v>Unassigned</v>
      </c>
      <c r="AC132" s="131" t="str">
        <f t="shared" si="99"/>
        <v/>
      </c>
      <c r="AD132" s="131" t="str">
        <f t="shared" si="100"/>
        <v/>
      </c>
      <c r="AE132" s="132">
        <f t="shared" si="86"/>
        <v>0</v>
      </c>
      <c r="AF132" s="133" t="str">
        <f t="shared" si="101"/>
        <v/>
      </c>
      <c r="AG132" s="134">
        <f t="shared" si="87"/>
        <v>0</v>
      </c>
      <c r="AH132" s="54" t="str">
        <f t="shared" si="88"/>
        <v/>
      </c>
      <c r="AI132" s="54" t="str">
        <f t="shared" si="89"/>
        <v/>
      </c>
      <c r="AJ132" s="54" t="str">
        <f t="shared" si="89"/>
        <v/>
      </c>
      <c r="AK132" s="54" t="str">
        <f t="shared" si="89"/>
        <v/>
      </c>
      <c r="AL132" s="54" t="str">
        <f t="shared" si="89"/>
        <v/>
      </c>
      <c r="AM132" s="54" t="str">
        <f t="shared" si="89"/>
        <v/>
      </c>
      <c r="AN132" s="54" t="str">
        <f t="shared" si="89"/>
        <v/>
      </c>
      <c r="AO132" s="54" t="str">
        <f t="shared" si="89"/>
        <v/>
      </c>
      <c r="AP132" s="54" t="str">
        <f t="shared" si="89"/>
        <v/>
      </c>
      <c r="AQ132" s="54" t="str">
        <f t="shared" si="89"/>
        <v/>
      </c>
      <c r="AR132" s="54" t="str">
        <f t="shared" si="89"/>
        <v/>
      </c>
      <c r="AS132" s="54" t="str">
        <f t="shared" si="89"/>
        <v/>
      </c>
      <c r="AT132" s="54" t="str">
        <f t="shared" si="89"/>
        <v/>
      </c>
      <c r="AU132" s="54" t="str">
        <f t="shared" si="89"/>
        <v/>
      </c>
      <c r="AV132" s="54" t="str">
        <f t="shared" si="89"/>
        <v/>
      </c>
      <c r="AW132" s="54" t="str">
        <f t="shared" si="89"/>
        <v/>
      </c>
      <c r="AX132" s="54" t="str">
        <f t="shared" si="89"/>
        <v/>
      </c>
      <c r="AY132" s="54" t="str">
        <f t="shared" si="90"/>
        <v/>
      </c>
      <c r="AZ132" s="54" t="str">
        <f t="shared" si="91"/>
        <v/>
      </c>
      <c r="BA132" s="54" t="str">
        <f t="shared" si="92"/>
        <v/>
      </c>
      <c r="BB132" s="135" t="str">
        <f t="shared" si="93"/>
        <v/>
      </c>
      <c r="BC132" s="54" t="str">
        <f t="shared" si="73"/>
        <v/>
      </c>
      <c r="BD132" s="54" t="str">
        <f t="shared" si="73"/>
        <v/>
      </c>
      <c r="BE132" s="54" t="str">
        <f t="shared" si="73"/>
        <v/>
      </c>
      <c r="BF132" s="54" t="str">
        <f t="shared" si="94"/>
        <v/>
      </c>
      <c r="BG132" s="54" t="str">
        <f t="shared" si="95"/>
        <v/>
      </c>
      <c r="BH132" s="34" t="str">
        <f t="shared" si="96"/>
        <v>Bad</v>
      </c>
      <c r="BI132" s="34" t="str">
        <f t="shared" si="97"/>
        <v>No</v>
      </c>
      <c r="BJ132" s="136" t="str">
        <f>IF($D132&lt;&gt;"Feature",".",
IF(VLOOKUP($B132,Feature_List!$A:$AM,MATCH(BJ$1,  Feature_List!$A$1:$AM$1,0),0)=B132,".","NO"))</f>
        <v>.</v>
      </c>
      <c r="BK132" s="136"/>
      <c r="BL132" s="136"/>
      <c r="BM132" s="136" t="str">
        <f>IF($D132&lt;&gt;"Feature",".",
IF(VLOOKUP($B132,Feature_List!$A:$AM,MATCH(BM$1,  Feature_List!$A$1:$AM$1,0),0)=E132,".","NO"))</f>
        <v>.</v>
      </c>
      <c r="BN132" s="136" t="str">
        <f>IF($D132&lt;&gt;"Feature",".",
IF(VLOOKUP($B132,Feature_List!$A:$AM,MATCH(BN$1,  Feature_List!$A$1:$AM$1,0),0)=F132,".","NO"))</f>
        <v>.</v>
      </c>
      <c r="BO132" s="136" t="str">
        <f>IF($D132&lt;&gt;"Feature",".",
IF(VLOOKUP($B132,Feature_List!$A:$AM,MATCH(BO$1,  Feature_List!$A$1:$AM$1,0),0)=G132,".","NO"))</f>
        <v>.</v>
      </c>
      <c r="BP132" s="136" t="str">
        <f>IF($D132&lt;&gt;"Feature",".",
IF(VLOOKUP($B132,Feature_List!$A:$AM,MATCH(BP$1,  Feature_List!$A$1:$AM$1,0),0)=H132,".","NO"))</f>
        <v>.</v>
      </c>
      <c r="BQ132" s="136"/>
      <c r="BR132" s="136" t="str">
        <f>IF($D132&lt;&gt;"Feature",".",
IF(VLOOKUP($B132,Feature_List!$A:$AM,MATCH(BR$1,  Feature_List!$A$1:$AM$1,0),0)=J132,".","NO"))</f>
        <v>.</v>
      </c>
      <c r="BS132" s="136"/>
      <c r="BT132" s="136"/>
      <c r="BU132" s="136" t="str">
        <f>IF($D132&lt;&gt;"Feature",".",
IF(VLOOKUP($B132,Feature_List!$A:$AM,MATCH(BU$1,  Feature_List!$A$1:$AM$1,0),0)=M132,".","NO"))</f>
        <v>.</v>
      </c>
      <c r="BV132" s="136" t="str">
        <f>IF($D132&lt;&gt;"Feature",".",
IF(VLOOKUP($B132,Feature_List!$A:$AM,MATCH(BV$1,  Feature_List!$A$1:$AM$1,0),0)=N132,".","NO"))</f>
        <v>.</v>
      </c>
      <c r="BW132" s="136"/>
      <c r="BX132" s="136"/>
      <c r="BY132" s="136"/>
      <c r="BZ132" s="136"/>
      <c r="CA132" s="136"/>
      <c r="CB132" s="136" t="str">
        <f>IF($D132&lt;&gt;"Feature",".",
IF(VLOOKUP($B132,Feature_List!$A:$AM,MATCH(CB$1,  Feature_List!$A$1:$AM$1,0),0)=T132,".","NO"))</f>
        <v>.</v>
      </c>
      <c r="CC132" s="136"/>
      <c r="CD132" s="136"/>
      <c r="CE132" s="136"/>
      <c r="CF132" s="136"/>
      <c r="CG132" s="136"/>
      <c r="CH132" s="136"/>
      <c r="CI132" s="136"/>
      <c r="CJ132" s="136"/>
      <c r="CK132" s="136"/>
      <c r="CL132" s="136"/>
      <c r="CM132" s="136"/>
      <c r="CN132" s="136"/>
      <c r="CO132" s="136" t="str">
        <f>IF($D132&lt;&gt;"Feature",".",
IF(VLOOKUP($B132,Feature_List!$A:$AM,MATCH(CO$1,  Feature_List!$A$1:$AM$1,0),0)=AG132,".","NO"))</f>
        <v>.</v>
      </c>
      <c r="CP132" s="136" t="str">
        <f>IF($D132&lt;&gt;"Feature",".",
IF(VLOOKUP($B132,Feature_List!$A:$AM,MATCH(CP$1,  Feature_List!$A$1:$AM$1,0),0)=AH132,".","NO"))</f>
        <v>.</v>
      </c>
      <c r="CQ132" s="136" t="str">
        <f>IF($D132&lt;&gt;"Feature",".",
IF(VLOOKUP($B132,Feature_List!$A:$AM,MATCH(CQ$1,  Feature_List!$A$1:$AM$1,0),0)=AI132,".","NO"))</f>
        <v>.</v>
      </c>
      <c r="CR132" s="136" t="str">
        <f>IF($D132&lt;&gt;"Feature",".",
IF(VLOOKUP($B132,Feature_List!$A:$AM,MATCH(CR$1,  Feature_List!$A$1:$AM$1,0),0)=AJ132,".","NO"))</f>
        <v>.</v>
      </c>
      <c r="CS132" s="136" t="str">
        <f>IF($D132&lt;&gt;"Feature",".",
IF(VLOOKUP($B132,Feature_List!$A:$AM,MATCH(CS$1,  Feature_List!$A$1:$AM$1,0),0)=AK132,".","NO"))</f>
        <v>.</v>
      </c>
      <c r="CT132" s="136" t="str">
        <f>IF($D132&lt;&gt;"Feature",".",
IF(VLOOKUP($B132,Feature_List!$A:$AM,MATCH(CT$1,  Feature_List!$A$1:$AM$1,0),0)=AL132,".","NO"))</f>
        <v>.</v>
      </c>
      <c r="CU132" s="136" t="str">
        <f>IF($D132&lt;&gt;"Feature",".",
IF(VLOOKUP($B132,Feature_List!$A:$AM,MATCH(CU$1,  Feature_List!$A$1:$AM$1,0),0)=AM132,".","NO"))</f>
        <v>.</v>
      </c>
      <c r="CV132" s="136" t="str">
        <f>IF($D132&lt;&gt;"Feature",".",
IF(VLOOKUP($B132,Feature_List!$A:$AM,MATCH(CV$1,  Feature_List!$A$1:$AM$1,0),0)=AN132,".","NO"))</f>
        <v>.</v>
      </c>
      <c r="CW132" s="136" t="str">
        <f>IF($D132&lt;&gt;"Feature",".",
IF(VLOOKUP($B132,Feature_List!$A:$AM,MATCH(CW$1,  Feature_List!$A$1:$AM$1,0),0)=AO132,".","NO"))</f>
        <v>.</v>
      </c>
      <c r="CX132" s="136" t="str">
        <f>IF($D132&lt;&gt;"Feature",".",
IF(VLOOKUP($B132,Feature_List!$A:$AM,MATCH(CX$1,  Feature_List!$A$1:$AM$1,0),0)=AP132,".","NO"))</f>
        <v>.</v>
      </c>
      <c r="CY132" s="136" t="str">
        <f>IF($D132&lt;&gt;"Feature",".",
IF(VLOOKUP($B132,Feature_List!$A:$AM,MATCH(CY$1,  Feature_List!$A$1:$AM$1,0),0)=AQ132,".","NO"))</f>
        <v>.</v>
      </c>
      <c r="CZ132" s="136" t="str">
        <f>IF($D132&lt;&gt;"Feature",".",
IF(VLOOKUP($B132,Feature_List!$A:$AM,MATCH(CZ$1,  Feature_List!$A$1:$AM$1,0),0)=AR132,".","NO"))</f>
        <v>.</v>
      </c>
      <c r="DA132" s="136" t="str">
        <f>IF($D132&lt;&gt;"Feature",".",
IF(VLOOKUP($B132,Feature_List!$A:$AM,MATCH(DA$1,  Feature_List!$A$1:$AM$1,0),0)=AS132,".","NO"))</f>
        <v>.</v>
      </c>
      <c r="DB132" s="136" t="str">
        <f>IF($D132&lt;&gt;"Feature",".",
IF(VLOOKUP($B132,Feature_List!$A:$AM,MATCH(DB$1,  Feature_List!$A$1:$AM$1,0),0)=AT132,".","NO"))</f>
        <v>.</v>
      </c>
      <c r="DC132" s="136" t="str">
        <f>IF($D132&lt;&gt;"Feature",".",
IF(VLOOKUP($B132,Feature_List!$A:$AM,MATCH(DC$1,  Feature_List!$A$1:$AM$1,0),0)=AU132,".","NO"))</f>
        <v>.</v>
      </c>
      <c r="DD132" s="136" t="str">
        <f>IF($D132&lt;&gt;"Feature",".",
IF(VLOOKUP($B132,Feature_List!$A:$AM,MATCH(DD$1,  Feature_List!$A$1:$AM$1,0),0)=AV132,".","NO"))</f>
        <v>.</v>
      </c>
      <c r="DE132" s="136" t="str">
        <f>IF($D132&lt;&gt;"Feature",".",
IF(VLOOKUP($B132,Feature_List!$A:$AM,MATCH(DE$1,  Feature_List!$A$1:$AM$1,0),0)=AW132,".","NO"))</f>
        <v>.</v>
      </c>
      <c r="DF132" s="136" t="str">
        <f>IF($D132&lt;&gt;"Feature",".",
IF(VLOOKUP($B132,Feature_List!$A:$AM,MATCH(DF$1,  Feature_List!$A$1:$AM$1,0),0)=AX132,".","NO"))</f>
        <v>.</v>
      </c>
      <c r="DG132" s="136" t="str">
        <f>IF($D132&lt;&gt;"Feature",".",
IF(VLOOKUP($B132,Feature_List!$A:$AM,MATCH(DG$1,  Feature_List!$A$1:$AM$1,0),0)=AY132,".","NO"))</f>
        <v>.</v>
      </c>
      <c r="DH132" s="136" t="str">
        <f>IF($D132&lt;&gt;"Feature",".",
IF(VLOOKUP($B132,Feature_List!$A:$AM,MATCH(DH$1,  Feature_List!$A$1:$AM$1,0),0)=AZ132,".","NO"))</f>
        <v>.</v>
      </c>
      <c r="DI132" s="136" t="str">
        <f>IF($D132&lt;&gt;"Feature",".",
IF(VLOOKUP($B132,Feature_List!$A:$AM,MATCH(DI$1,  Feature_List!$A$1:$AM$1,0),0)=BA132,".","NO"))</f>
        <v>.</v>
      </c>
      <c r="DJ132" s="136" t="str">
        <f>IF($D132&lt;&gt;"Feature",".",
IF(VLOOKUP($B132,Feature_List!$A:$AM,MATCH(DJ$1,  Feature_List!$A$1:$AM$1,0),0)=BB132,".","NO"))</f>
        <v>.</v>
      </c>
      <c r="DK132" s="136"/>
      <c r="DL132" s="136"/>
      <c r="DM132" s="136"/>
      <c r="DN132" s="136" t="str">
        <f>IF($D132&lt;&gt;"Feature",".",
IF(VLOOKUP($B132,Feature_List!$A:$AM,MATCH(DN$1,  Feature_List!$A$1:$AM$1,0),0)=BC132,".","NO"))</f>
        <v>.</v>
      </c>
      <c r="DO132" s="136" t="str">
        <f>IF($D132&lt;&gt;"Feature",".",
IF(VLOOKUP($B132,Feature_List!$A:$AM,MATCH(DO$1,  Feature_List!$A$1:$AM$1,0),0)=BD132,".","NO"))</f>
        <v>.</v>
      </c>
    </row>
    <row r="133" spans="2:119" x14ac:dyDescent="0.3">
      <c r="B133" s="121"/>
      <c r="C133" s="123"/>
      <c r="D133" s="122"/>
      <c r="E133" s="122"/>
      <c r="F133" s="138"/>
      <c r="G133" s="123"/>
      <c r="H133" s="122"/>
      <c r="I133" s="124"/>
      <c r="J133" s="138"/>
      <c r="K133" s="123"/>
      <c r="L133" s="122"/>
      <c r="M133" s="122"/>
      <c r="N133" s="125"/>
      <c r="O133" s="123">
        <f t="shared" si="75"/>
        <v>0</v>
      </c>
      <c r="P133" s="123">
        <f t="shared" si="76"/>
        <v>0</v>
      </c>
      <c r="Q133" s="122" t="str">
        <f t="shared" si="98"/>
        <v>ZeroEntry</v>
      </c>
      <c r="R133" s="126" t="str">
        <f t="shared" si="77"/>
        <v>ZeroEntry</v>
      </c>
      <c r="S133" s="127" t="str">
        <f t="shared" si="78"/>
        <v>ZeroEntry</v>
      </c>
      <c r="T133" s="128" t="str">
        <f>IF($Q133="ZeroEntry", "",VLOOKUP($I133,'Ranking Lookup'!#REF!,2,FALSE))</f>
        <v/>
      </c>
      <c r="U133" s="129" t="str">
        <f t="shared" si="79"/>
        <v/>
      </c>
      <c r="V133" s="129" t="str">
        <f t="shared" si="80"/>
        <v/>
      </c>
      <c r="W133" s="129" t="str">
        <f t="shared" si="81"/>
        <v/>
      </c>
      <c r="X133" s="129" t="str">
        <f t="shared" si="82"/>
        <v/>
      </c>
      <c r="Y133" s="129" t="str">
        <f t="shared" si="83"/>
        <v/>
      </c>
      <c r="Z133" s="129" t="str">
        <f t="shared" si="84"/>
        <v/>
      </c>
      <c r="AA133" s="130"/>
      <c r="AB133" s="130" t="str">
        <f t="shared" si="85"/>
        <v>Unassigned</v>
      </c>
      <c r="AC133" s="131" t="str">
        <f t="shared" si="99"/>
        <v/>
      </c>
      <c r="AD133" s="131" t="str">
        <f t="shared" si="100"/>
        <v/>
      </c>
      <c r="AE133" s="132">
        <f t="shared" si="86"/>
        <v>0</v>
      </c>
      <c r="AF133" s="133" t="str">
        <f t="shared" si="101"/>
        <v/>
      </c>
      <c r="AG133" s="134">
        <f t="shared" si="87"/>
        <v>0</v>
      </c>
      <c r="AH133" s="54" t="str">
        <f t="shared" si="88"/>
        <v/>
      </c>
      <c r="AI133" s="54" t="str">
        <f t="shared" si="89"/>
        <v/>
      </c>
      <c r="AJ133" s="54" t="str">
        <f t="shared" si="89"/>
        <v/>
      </c>
      <c r="AK133" s="54" t="str">
        <f t="shared" si="89"/>
        <v/>
      </c>
      <c r="AL133" s="54" t="str">
        <f t="shared" si="89"/>
        <v/>
      </c>
      <c r="AM133" s="54" t="str">
        <f t="shared" si="89"/>
        <v/>
      </c>
      <c r="AN133" s="54" t="str">
        <f t="shared" si="89"/>
        <v/>
      </c>
      <c r="AO133" s="54" t="str">
        <f t="shared" si="89"/>
        <v/>
      </c>
      <c r="AP133" s="54" t="str">
        <f t="shared" si="89"/>
        <v/>
      </c>
      <c r="AQ133" s="54" t="str">
        <f t="shared" si="89"/>
        <v/>
      </c>
      <c r="AR133" s="54" t="str">
        <f t="shared" si="89"/>
        <v/>
      </c>
      <c r="AS133" s="54" t="str">
        <f t="shared" si="89"/>
        <v/>
      </c>
      <c r="AT133" s="54" t="str">
        <f t="shared" si="89"/>
        <v/>
      </c>
      <c r="AU133" s="54" t="str">
        <f t="shared" si="89"/>
        <v/>
      </c>
      <c r="AV133" s="54" t="str">
        <f t="shared" si="89"/>
        <v/>
      </c>
      <c r="AW133" s="54" t="str">
        <f t="shared" si="89"/>
        <v/>
      </c>
      <c r="AX133" s="54" t="str">
        <f t="shared" si="89"/>
        <v/>
      </c>
      <c r="AY133" s="54" t="str">
        <f t="shared" si="90"/>
        <v/>
      </c>
      <c r="AZ133" s="54" t="str">
        <f t="shared" si="91"/>
        <v/>
      </c>
      <c r="BA133" s="54" t="str">
        <f t="shared" si="92"/>
        <v/>
      </c>
      <c r="BB133" s="135" t="str">
        <f t="shared" si="93"/>
        <v/>
      </c>
      <c r="BC133" s="54" t="str">
        <f t="shared" si="73"/>
        <v/>
      </c>
      <c r="BD133" s="54" t="str">
        <f t="shared" si="73"/>
        <v/>
      </c>
      <c r="BE133" s="54" t="str">
        <f t="shared" si="73"/>
        <v/>
      </c>
      <c r="BF133" s="54" t="str">
        <f t="shared" si="94"/>
        <v/>
      </c>
      <c r="BG133" s="54" t="str">
        <f t="shared" si="95"/>
        <v/>
      </c>
      <c r="BH133" s="34" t="str">
        <f t="shared" si="96"/>
        <v>Bad</v>
      </c>
      <c r="BI133" s="34" t="str">
        <f t="shared" si="97"/>
        <v>No</v>
      </c>
      <c r="BJ133" s="136" t="str">
        <f>IF($D133&lt;&gt;"Feature",".",
IF(VLOOKUP($B133,Feature_List!$A:$AM,MATCH(BJ$1,  Feature_List!$A$1:$AM$1,0),0)=B133,".","NO"))</f>
        <v>.</v>
      </c>
      <c r="BK133" s="136"/>
      <c r="BL133" s="136"/>
      <c r="BM133" s="136" t="str">
        <f>IF($D133&lt;&gt;"Feature",".",
IF(VLOOKUP($B133,Feature_List!$A:$AM,MATCH(BM$1,  Feature_List!$A$1:$AM$1,0),0)=E133,".","NO"))</f>
        <v>.</v>
      </c>
      <c r="BN133" s="136" t="str">
        <f>IF($D133&lt;&gt;"Feature",".",
IF(VLOOKUP($B133,Feature_List!$A:$AM,MATCH(BN$1,  Feature_List!$A$1:$AM$1,0),0)=F133,".","NO"))</f>
        <v>.</v>
      </c>
      <c r="BO133" s="136" t="str">
        <f>IF($D133&lt;&gt;"Feature",".",
IF(VLOOKUP($B133,Feature_List!$A:$AM,MATCH(BO$1,  Feature_List!$A$1:$AM$1,0),0)=G133,".","NO"))</f>
        <v>.</v>
      </c>
      <c r="BP133" s="136" t="str">
        <f>IF($D133&lt;&gt;"Feature",".",
IF(VLOOKUP($B133,Feature_List!$A:$AM,MATCH(BP$1,  Feature_List!$A$1:$AM$1,0),0)=H133,".","NO"))</f>
        <v>.</v>
      </c>
      <c r="BQ133" s="136"/>
      <c r="BR133" s="136" t="str">
        <f>IF($D133&lt;&gt;"Feature",".",
IF(VLOOKUP($B133,Feature_List!$A:$AM,MATCH(BR$1,  Feature_List!$A$1:$AM$1,0),0)=J133,".","NO"))</f>
        <v>.</v>
      </c>
      <c r="BS133" s="136"/>
      <c r="BT133" s="136"/>
      <c r="BU133" s="136" t="str">
        <f>IF($D133&lt;&gt;"Feature",".",
IF(VLOOKUP($B133,Feature_List!$A:$AM,MATCH(BU$1,  Feature_List!$A$1:$AM$1,0),0)=M133,".","NO"))</f>
        <v>.</v>
      </c>
      <c r="BV133" s="136" t="str">
        <f>IF($D133&lt;&gt;"Feature",".",
IF(VLOOKUP($B133,Feature_List!$A:$AM,MATCH(BV$1,  Feature_List!$A$1:$AM$1,0),0)=N133,".","NO"))</f>
        <v>.</v>
      </c>
      <c r="BW133" s="136"/>
      <c r="BX133" s="136"/>
      <c r="BY133" s="136"/>
      <c r="BZ133" s="136"/>
      <c r="CA133" s="136"/>
      <c r="CB133" s="136" t="str">
        <f>IF($D133&lt;&gt;"Feature",".",
IF(VLOOKUP($B133,Feature_List!$A:$AM,MATCH(CB$1,  Feature_List!$A$1:$AM$1,0),0)=T133,".","NO"))</f>
        <v>.</v>
      </c>
      <c r="CC133" s="136"/>
      <c r="CD133" s="136"/>
      <c r="CE133" s="136"/>
      <c r="CF133" s="136"/>
      <c r="CG133" s="136"/>
      <c r="CH133" s="136"/>
      <c r="CI133" s="136"/>
      <c r="CJ133" s="136"/>
      <c r="CK133" s="136"/>
      <c r="CL133" s="136"/>
      <c r="CM133" s="136"/>
      <c r="CN133" s="136"/>
      <c r="CO133" s="136" t="str">
        <f>IF($D133&lt;&gt;"Feature",".",
IF(VLOOKUP($B133,Feature_List!$A:$AM,MATCH(CO$1,  Feature_List!$A$1:$AM$1,0),0)=AG133,".","NO"))</f>
        <v>.</v>
      </c>
      <c r="CP133" s="136" t="str">
        <f>IF($D133&lt;&gt;"Feature",".",
IF(VLOOKUP($B133,Feature_List!$A:$AM,MATCH(CP$1,  Feature_List!$A$1:$AM$1,0),0)=AH133,".","NO"))</f>
        <v>.</v>
      </c>
      <c r="CQ133" s="136" t="str">
        <f>IF($D133&lt;&gt;"Feature",".",
IF(VLOOKUP($B133,Feature_List!$A:$AM,MATCH(CQ$1,  Feature_List!$A$1:$AM$1,0),0)=AI133,".","NO"))</f>
        <v>.</v>
      </c>
      <c r="CR133" s="136" t="str">
        <f>IF($D133&lt;&gt;"Feature",".",
IF(VLOOKUP($B133,Feature_List!$A:$AM,MATCH(CR$1,  Feature_List!$A$1:$AM$1,0),0)=AJ133,".","NO"))</f>
        <v>.</v>
      </c>
      <c r="CS133" s="136" t="str">
        <f>IF($D133&lt;&gt;"Feature",".",
IF(VLOOKUP($B133,Feature_List!$A:$AM,MATCH(CS$1,  Feature_List!$A$1:$AM$1,0),0)=AK133,".","NO"))</f>
        <v>.</v>
      </c>
      <c r="CT133" s="136" t="str">
        <f>IF($D133&lt;&gt;"Feature",".",
IF(VLOOKUP($B133,Feature_List!$A:$AM,MATCH(CT$1,  Feature_List!$A$1:$AM$1,0),0)=AL133,".","NO"))</f>
        <v>.</v>
      </c>
      <c r="CU133" s="136" t="str">
        <f>IF($D133&lt;&gt;"Feature",".",
IF(VLOOKUP($B133,Feature_List!$A:$AM,MATCH(CU$1,  Feature_List!$A$1:$AM$1,0),0)=AM133,".","NO"))</f>
        <v>.</v>
      </c>
      <c r="CV133" s="136" t="str">
        <f>IF($D133&lt;&gt;"Feature",".",
IF(VLOOKUP($B133,Feature_List!$A:$AM,MATCH(CV$1,  Feature_List!$A$1:$AM$1,0),0)=AN133,".","NO"))</f>
        <v>.</v>
      </c>
      <c r="CW133" s="136" t="str">
        <f>IF($D133&lt;&gt;"Feature",".",
IF(VLOOKUP($B133,Feature_List!$A:$AM,MATCH(CW$1,  Feature_List!$A$1:$AM$1,0),0)=AO133,".","NO"))</f>
        <v>.</v>
      </c>
      <c r="CX133" s="136" t="str">
        <f>IF($D133&lt;&gt;"Feature",".",
IF(VLOOKUP($B133,Feature_List!$A:$AM,MATCH(CX$1,  Feature_List!$A$1:$AM$1,0),0)=AP133,".","NO"))</f>
        <v>.</v>
      </c>
      <c r="CY133" s="136" t="str">
        <f>IF($D133&lt;&gt;"Feature",".",
IF(VLOOKUP($B133,Feature_List!$A:$AM,MATCH(CY$1,  Feature_List!$A$1:$AM$1,0),0)=AQ133,".","NO"))</f>
        <v>.</v>
      </c>
      <c r="CZ133" s="136" t="str">
        <f>IF($D133&lt;&gt;"Feature",".",
IF(VLOOKUP($B133,Feature_List!$A:$AM,MATCH(CZ$1,  Feature_List!$A$1:$AM$1,0),0)=AR133,".","NO"))</f>
        <v>.</v>
      </c>
      <c r="DA133" s="136" t="str">
        <f>IF($D133&lt;&gt;"Feature",".",
IF(VLOOKUP($B133,Feature_List!$A:$AM,MATCH(DA$1,  Feature_List!$A$1:$AM$1,0),0)=AS133,".","NO"))</f>
        <v>.</v>
      </c>
      <c r="DB133" s="136" t="str">
        <f>IF($D133&lt;&gt;"Feature",".",
IF(VLOOKUP($B133,Feature_List!$A:$AM,MATCH(DB$1,  Feature_List!$A$1:$AM$1,0),0)=AT133,".","NO"))</f>
        <v>.</v>
      </c>
      <c r="DC133" s="136" t="str">
        <f>IF($D133&lt;&gt;"Feature",".",
IF(VLOOKUP($B133,Feature_List!$A:$AM,MATCH(DC$1,  Feature_List!$A$1:$AM$1,0),0)=AU133,".","NO"))</f>
        <v>.</v>
      </c>
      <c r="DD133" s="136" t="str">
        <f>IF($D133&lt;&gt;"Feature",".",
IF(VLOOKUP($B133,Feature_List!$A:$AM,MATCH(DD$1,  Feature_List!$A$1:$AM$1,0),0)=AV133,".","NO"))</f>
        <v>.</v>
      </c>
      <c r="DE133" s="136" t="str">
        <f>IF($D133&lt;&gt;"Feature",".",
IF(VLOOKUP($B133,Feature_List!$A:$AM,MATCH(DE$1,  Feature_List!$A$1:$AM$1,0),0)=AW133,".","NO"))</f>
        <v>.</v>
      </c>
      <c r="DF133" s="136" t="str">
        <f>IF($D133&lt;&gt;"Feature",".",
IF(VLOOKUP($B133,Feature_List!$A:$AM,MATCH(DF$1,  Feature_List!$A$1:$AM$1,0),0)=AX133,".","NO"))</f>
        <v>.</v>
      </c>
      <c r="DG133" s="136" t="str">
        <f>IF($D133&lt;&gt;"Feature",".",
IF(VLOOKUP($B133,Feature_List!$A:$AM,MATCH(DG$1,  Feature_List!$A$1:$AM$1,0),0)=AY133,".","NO"))</f>
        <v>.</v>
      </c>
      <c r="DH133" s="136" t="str">
        <f>IF($D133&lt;&gt;"Feature",".",
IF(VLOOKUP($B133,Feature_List!$A:$AM,MATCH(DH$1,  Feature_List!$A$1:$AM$1,0),0)=AZ133,".","NO"))</f>
        <v>.</v>
      </c>
      <c r="DI133" s="136" t="str">
        <f>IF($D133&lt;&gt;"Feature",".",
IF(VLOOKUP($B133,Feature_List!$A:$AM,MATCH(DI$1,  Feature_List!$A$1:$AM$1,0),0)=BA133,".","NO"))</f>
        <v>.</v>
      </c>
      <c r="DJ133" s="136" t="str">
        <f>IF($D133&lt;&gt;"Feature",".",
IF(VLOOKUP($B133,Feature_List!$A:$AM,MATCH(DJ$1,  Feature_List!$A$1:$AM$1,0),0)=BB133,".","NO"))</f>
        <v>.</v>
      </c>
      <c r="DK133" s="136"/>
      <c r="DL133" s="136"/>
      <c r="DM133" s="136"/>
      <c r="DN133" s="136" t="str">
        <f>IF($D133&lt;&gt;"Feature",".",
IF(VLOOKUP($B133,Feature_List!$A:$AM,MATCH(DN$1,  Feature_List!$A$1:$AM$1,0),0)=BC133,".","NO"))</f>
        <v>.</v>
      </c>
      <c r="DO133" s="136" t="str">
        <f>IF($D133&lt;&gt;"Feature",".",
IF(VLOOKUP($B133,Feature_List!$A:$AM,MATCH(DO$1,  Feature_List!$A$1:$AM$1,0),0)=BD133,".","NO"))</f>
        <v>.</v>
      </c>
    </row>
    <row r="134" spans="2:119" x14ac:dyDescent="0.3">
      <c r="B134" s="121"/>
      <c r="C134" s="122"/>
      <c r="D134" s="122"/>
      <c r="E134" s="122"/>
      <c r="F134" s="138"/>
      <c r="G134" s="123"/>
      <c r="H134" s="122"/>
      <c r="I134" s="124"/>
      <c r="J134" s="138"/>
      <c r="K134" s="123"/>
      <c r="L134" s="122"/>
      <c r="M134" s="122"/>
      <c r="N134" s="125"/>
      <c r="O134" s="123">
        <f t="shared" si="75"/>
        <v>0</v>
      </c>
      <c r="P134" s="123">
        <f t="shared" si="76"/>
        <v>0</v>
      </c>
      <c r="Q134" s="122" t="str">
        <f t="shared" si="98"/>
        <v>ZeroEntry</v>
      </c>
      <c r="R134" s="126" t="str">
        <f t="shared" si="77"/>
        <v>ZeroEntry</v>
      </c>
      <c r="S134" s="127" t="str">
        <f t="shared" si="78"/>
        <v>ZeroEntry</v>
      </c>
      <c r="T134" s="128" t="str">
        <f>IF($Q134="ZeroEntry", "",VLOOKUP($I134,'Ranking Lookup'!#REF!,2,FALSE))</f>
        <v/>
      </c>
      <c r="U134" s="129" t="str">
        <f t="shared" si="79"/>
        <v/>
      </c>
      <c r="V134" s="129" t="str">
        <f t="shared" si="80"/>
        <v/>
      </c>
      <c r="W134" s="129" t="str">
        <f t="shared" si="81"/>
        <v/>
      </c>
      <c r="X134" s="129" t="str">
        <f t="shared" si="82"/>
        <v/>
      </c>
      <c r="Y134" s="129" t="str">
        <f t="shared" si="83"/>
        <v/>
      </c>
      <c r="Z134" s="129" t="str">
        <f t="shared" si="84"/>
        <v/>
      </c>
      <c r="AA134" s="130"/>
      <c r="AB134" s="130" t="str">
        <f t="shared" si="85"/>
        <v>Unassigned</v>
      </c>
      <c r="AC134" s="131" t="str">
        <f t="shared" si="99"/>
        <v/>
      </c>
      <c r="AD134" s="131" t="str">
        <f t="shared" si="100"/>
        <v/>
      </c>
      <c r="AE134" s="132">
        <f t="shared" si="86"/>
        <v>0</v>
      </c>
      <c r="AF134" s="133" t="str">
        <f t="shared" si="101"/>
        <v/>
      </c>
      <c r="AG134" s="134">
        <f t="shared" si="87"/>
        <v>0</v>
      </c>
      <c r="AH134" s="54" t="str">
        <f t="shared" si="88"/>
        <v/>
      </c>
      <c r="AI134" s="54" t="str">
        <f t="shared" si="89"/>
        <v/>
      </c>
      <c r="AJ134" s="54" t="str">
        <f t="shared" si="89"/>
        <v/>
      </c>
      <c r="AK134" s="54" t="str">
        <f t="shared" si="89"/>
        <v/>
      </c>
      <c r="AL134" s="54" t="str">
        <f t="shared" si="89"/>
        <v/>
      </c>
      <c r="AM134" s="54" t="str">
        <f t="shared" si="89"/>
        <v/>
      </c>
      <c r="AN134" s="54" t="str">
        <f t="shared" si="89"/>
        <v/>
      </c>
      <c r="AO134" s="54" t="str">
        <f t="shared" si="89"/>
        <v/>
      </c>
      <c r="AP134" s="54" t="str">
        <f t="shared" si="89"/>
        <v/>
      </c>
      <c r="AQ134" s="54" t="str">
        <f t="shared" si="89"/>
        <v/>
      </c>
      <c r="AR134" s="54" t="str">
        <f t="shared" si="89"/>
        <v/>
      </c>
      <c r="AS134" s="54" t="str">
        <f t="shared" si="89"/>
        <v/>
      </c>
      <c r="AT134" s="54" t="str">
        <f t="shared" si="89"/>
        <v/>
      </c>
      <c r="AU134" s="54" t="str">
        <f t="shared" si="89"/>
        <v/>
      </c>
      <c r="AV134" s="54" t="str">
        <f t="shared" si="89"/>
        <v/>
      </c>
      <c r="AW134" s="54" t="str">
        <f t="shared" si="89"/>
        <v/>
      </c>
      <c r="AX134" s="54" t="str">
        <f t="shared" si="89"/>
        <v/>
      </c>
      <c r="AY134" s="54" t="str">
        <f t="shared" si="90"/>
        <v/>
      </c>
      <c r="AZ134" s="54" t="str">
        <f t="shared" si="91"/>
        <v/>
      </c>
      <c r="BA134" s="54" t="str">
        <f t="shared" si="92"/>
        <v/>
      </c>
      <c r="BB134" s="135" t="str">
        <f t="shared" si="93"/>
        <v/>
      </c>
      <c r="BC134" s="54" t="str">
        <f t="shared" si="73"/>
        <v/>
      </c>
      <c r="BD134" s="54" t="str">
        <f t="shared" si="73"/>
        <v/>
      </c>
      <c r="BE134" s="54" t="str">
        <f t="shared" si="73"/>
        <v/>
      </c>
      <c r="BF134" s="54" t="str">
        <f t="shared" si="94"/>
        <v/>
      </c>
      <c r="BG134" s="54" t="str">
        <f t="shared" si="95"/>
        <v/>
      </c>
      <c r="BH134" s="34" t="str">
        <f t="shared" si="96"/>
        <v>Bad</v>
      </c>
      <c r="BI134" s="34" t="str">
        <f t="shared" si="97"/>
        <v>No</v>
      </c>
      <c r="BJ134" s="136" t="str">
        <f>IF($D134&lt;&gt;"Feature",".",
IF(VLOOKUP($B134,Feature_List!$A:$AM,MATCH(BJ$1,  Feature_List!$A$1:$AM$1,0),0)=B134,".","NO"))</f>
        <v>.</v>
      </c>
      <c r="BK134" s="136"/>
      <c r="BL134" s="136"/>
      <c r="BM134" s="136" t="str">
        <f>IF($D134&lt;&gt;"Feature",".",
IF(VLOOKUP($B134,Feature_List!$A:$AM,MATCH(BM$1,  Feature_List!$A$1:$AM$1,0),0)=E134,".","NO"))</f>
        <v>.</v>
      </c>
      <c r="BN134" s="136" t="str">
        <f>IF($D134&lt;&gt;"Feature",".",
IF(VLOOKUP($B134,Feature_List!$A:$AM,MATCH(BN$1,  Feature_List!$A$1:$AM$1,0),0)=F134,".","NO"))</f>
        <v>.</v>
      </c>
      <c r="BO134" s="136" t="str">
        <f>IF($D134&lt;&gt;"Feature",".",
IF(VLOOKUP($B134,Feature_List!$A:$AM,MATCH(BO$1,  Feature_List!$A$1:$AM$1,0),0)=G134,".","NO"))</f>
        <v>.</v>
      </c>
      <c r="BP134" s="136" t="str">
        <f>IF($D134&lt;&gt;"Feature",".",
IF(VLOOKUP($B134,Feature_List!$A:$AM,MATCH(BP$1,  Feature_List!$A$1:$AM$1,0),0)=H134,".","NO"))</f>
        <v>.</v>
      </c>
      <c r="BQ134" s="136"/>
      <c r="BR134" s="136" t="str">
        <f>IF($D134&lt;&gt;"Feature",".",
IF(VLOOKUP($B134,Feature_List!$A:$AM,MATCH(BR$1,  Feature_List!$A$1:$AM$1,0),0)=J134,".","NO"))</f>
        <v>.</v>
      </c>
      <c r="BS134" s="136"/>
      <c r="BT134" s="136"/>
      <c r="BU134" s="136" t="str">
        <f>IF($D134&lt;&gt;"Feature",".",
IF(VLOOKUP($B134,Feature_List!$A:$AM,MATCH(BU$1,  Feature_List!$A$1:$AM$1,0),0)=M134,".","NO"))</f>
        <v>.</v>
      </c>
      <c r="BV134" s="136" t="str">
        <f>IF($D134&lt;&gt;"Feature",".",
IF(VLOOKUP($B134,Feature_List!$A:$AM,MATCH(BV$1,  Feature_List!$A$1:$AM$1,0),0)=N134,".","NO"))</f>
        <v>.</v>
      </c>
      <c r="BW134" s="136"/>
      <c r="BX134" s="136"/>
      <c r="BY134" s="136"/>
      <c r="BZ134" s="136"/>
      <c r="CA134" s="136"/>
      <c r="CB134" s="136" t="str">
        <f>IF($D134&lt;&gt;"Feature",".",
IF(VLOOKUP($B134,Feature_List!$A:$AM,MATCH(CB$1,  Feature_List!$A$1:$AM$1,0),0)=T134,".","NO"))</f>
        <v>.</v>
      </c>
      <c r="CC134" s="136"/>
      <c r="CD134" s="136"/>
      <c r="CE134" s="136"/>
      <c r="CF134" s="136"/>
      <c r="CG134" s="136"/>
      <c r="CH134" s="136"/>
      <c r="CI134" s="136"/>
      <c r="CJ134" s="136"/>
      <c r="CK134" s="136"/>
      <c r="CL134" s="136"/>
      <c r="CM134" s="136"/>
      <c r="CN134" s="136"/>
      <c r="CO134" s="136" t="str">
        <f>IF($D134&lt;&gt;"Feature",".",
IF(VLOOKUP($B134,Feature_List!$A:$AM,MATCH(CO$1,  Feature_List!$A$1:$AM$1,0),0)=AG134,".","NO"))</f>
        <v>.</v>
      </c>
      <c r="CP134" s="136" t="str">
        <f>IF($D134&lt;&gt;"Feature",".",
IF(VLOOKUP($B134,Feature_List!$A:$AM,MATCH(CP$1,  Feature_List!$A$1:$AM$1,0),0)=AH134,".","NO"))</f>
        <v>.</v>
      </c>
      <c r="CQ134" s="136" t="str">
        <f>IF($D134&lt;&gt;"Feature",".",
IF(VLOOKUP($B134,Feature_List!$A:$AM,MATCH(CQ$1,  Feature_List!$A$1:$AM$1,0),0)=AI134,".","NO"))</f>
        <v>.</v>
      </c>
      <c r="CR134" s="136" t="str">
        <f>IF($D134&lt;&gt;"Feature",".",
IF(VLOOKUP($B134,Feature_List!$A:$AM,MATCH(CR$1,  Feature_List!$A$1:$AM$1,0),0)=AJ134,".","NO"))</f>
        <v>.</v>
      </c>
      <c r="CS134" s="136" t="str">
        <f>IF($D134&lt;&gt;"Feature",".",
IF(VLOOKUP($B134,Feature_List!$A:$AM,MATCH(CS$1,  Feature_List!$A$1:$AM$1,0),0)=AK134,".","NO"))</f>
        <v>.</v>
      </c>
      <c r="CT134" s="136" t="str">
        <f>IF($D134&lt;&gt;"Feature",".",
IF(VLOOKUP($B134,Feature_List!$A:$AM,MATCH(CT$1,  Feature_List!$A$1:$AM$1,0),0)=AL134,".","NO"))</f>
        <v>.</v>
      </c>
      <c r="CU134" s="136" t="str">
        <f>IF($D134&lt;&gt;"Feature",".",
IF(VLOOKUP($B134,Feature_List!$A:$AM,MATCH(CU$1,  Feature_List!$A$1:$AM$1,0),0)=AM134,".","NO"))</f>
        <v>.</v>
      </c>
      <c r="CV134" s="136" t="str">
        <f>IF($D134&lt;&gt;"Feature",".",
IF(VLOOKUP($B134,Feature_List!$A:$AM,MATCH(CV$1,  Feature_List!$A$1:$AM$1,0),0)=AN134,".","NO"))</f>
        <v>.</v>
      </c>
      <c r="CW134" s="136" t="str">
        <f>IF($D134&lt;&gt;"Feature",".",
IF(VLOOKUP($B134,Feature_List!$A:$AM,MATCH(CW$1,  Feature_List!$A$1:$AM$1,0),0)=AO134,".","NO"))</f>
        <v>.</v>
      </c>
      <c r="CX134" s="136" t="str">
        <f>IF($D134&lt;&gt;"Feature",".",
IF(VLOOKUP($B134,Feature_List!$A:$AM,MATCH(CX$1,  Feature_List!$A$1:$AM$1,0),0)=AP134,".","NO"))</f>
        <v>.</v>
      </c>
      <c r="CY134" s="136" t="str">
        <f>IF($D134&lt;&gt;"Feature",".",
IF(VLOOKUP($B134,Feature_List!$A:$AM,MATCH(CY$1,  Feature_List!$A$1:$AM$1,0),0)=AQ134,".","NO"))</f>
        <v>.</v>
      </c>
      <c r="CZ134" s="136" t="str">
        <f>IF($D134&lt;&gt;"Feature",".",
IF(VLOOKUP($B134,Feature_List!$A:$AM,MATCH(CZ$1,  Feature_List!$A$1:$AM$1,0),0)=AR134,".","NO"))</f>
        <v>.</v>
      </c>
      <c r="DA134" s="136" t="str">
        <f>IF($D134&lt;&gt;"Feature",".",
IF(VLOOKUP($B134,Feature_List!$A:$AM,MATCH(DA$1,  Feature_List!$A$1:$AM$1,0),0)=AS134,".","NO"))</f>
        <v>.</v>
      </c>
      <c r="DB134" s="136" t="str">
        <f>IF($D134&lt;&gt;"Feature",".",
IF(VLOOKUP($B134,Feature_List!$A:$AM,MATCH(DB$1,  Feature_List!$A$1:$AM$1,0),0)=AT134,".","NO"))</f>
        <v>.</v>
      </c>
      <c r="DC134" s="136" t="str">
        <f>IF($D134&lt;&gt;"Feature",".",
IF(VLOOKUP($B134,Feature_List!$A:$AM,MATCH(DC$1,  Feature_List!$A$1:$AM$1,0),0)=AU134,".","NO"))</f>
        <v>.</v>
      </c>
      <c r="DD134" s="136" t="str">
        <f>IF($D134&lt;&gt;"Feature",".",
IF(VLOOKUP($B134,Feature_List!$A:$AM,MATCH(DD$1,  Feature_List!$A$1:$AM$1,0),0)=AV134,".","NO"))</f>
        <v>.</v>
      </c>
      <c r="DE134" s="136" t="str">
        <f>IF($D134&lt;&gt;"Feature",".",
IF(VLOOKUP($B134,Feature_List!$A:$AM,MATCH(DE$1,  Feature_List!$A$1:$AM$1,0),0)=AW134,".","NO"))</f>
        <v>.</v>
      </c>
      <c r="DF134" s="136" t="str">
        <f>IF($D134&lt;&gt;"Feature",".",
IF(VLOOKUP($B134,Feature_List!$A:$AM,MATCH(DF$1,  Feature_List!$A$1:$AM$1,0),0)=AX134,".","NO"))</f>
        <v>.</v>
      </c>
      <c r="DG134" s="136" t="str">
        <f>IF($D134&lt;&gt;"Feature",".",
IF(VLOOKUP($B134,Feature_List!$A:$AM,MATCH(DG$1,  Feature_List!$A$1:$AM$1,0),0)=AY134,".","NO"))</f>
        <v>.</v>
      </c>
      <c r="DH134" s="136" t="str">
        <f>IF($D134&lt;&gt;"Feature",".",
IF(VLOOKUP($B134,Feature_List!$A:$AM,MATCH(DH$1,  Feature_List!$A$1:$AM$1,0),0)=AZ134,".","NO"))</f>
        <v>.</v>
      </c>
      <c r="DI134" s="136" t="str">
        <f>IF($D134&lt;&gt;"Feature",".",
IF(VLOOKUP($B134,Feature_List!$A:$AM,MATCH(DI$1,  Feature_List!$A$1:$AM$1,0),0)=BA134,".","NO"))</f>
        <v>.</v>
      </c>
      <c r="DJ134" s="136" t="str">
        <f>IF($D134&lt;&gt;"Feature",".",
IF(VLOOKUP($B134,Feature_List!$A:$AM,MATCH(DJ$1,  Feature_List!$A$1:$AM$1,0),0)=BB134,".","NO"))</f>
        <v>.</v>
      </c>
      <c r="DK134" s="136"/>
      <c r="DL134" s="136"/>
      <c r="DM134" s="136"/>
      <c r="DN134" s="136" t="str">
        <f>IF($D134&lt;&gt;"Feature",".",
IF(VLOOKUP($B134,Feature_List!$A:$AM,MATCH(DN$1,  Feature_List!$A$1:$AM$1,0),0)=BC134,".","NO"))</f>
        <v>.</v>
      </c>
      <c r="DO134" s="136" t="str">
        <f>IF($D134&lt;&gt;"Feature",".",
IF(VLOOKUP($B134,Feature_List!$A:$AM,MATCH(DO$1,  Feature_List!$A$1:$AM$1,0),0)=BD134,".","NO"))</f>
        <v>.</v>
      </c>
    </row>
    <row r="135" spans="2:119" x14ac:dyDescent="0.3">
      <c r="B135" s="121"/>
      <c r="C135" s="122"/>
      <c r="D135" s="122"/>
      <c r="E135" s="122"/>
      <c r="F135" s="138"/>
      <c r="G135" s="123"/>
      <c r="H135" s="122"/>
      <c r="I135" s="124"/>
      <c r="J135" s="138"/>
      <c r="K135" s="123"/>
      <c r="L135" s="122"/>
      <c r="M135" s="122"/>
      <c r="N135" s="125"/>
      <c r="O135" s="123">
        <f t="shared" si="75"/>
        <v>0</v>
      </c>
      <c r="P135" s="123">
        <f t="shared" si="76"/>
        <v>0</v>
      </c>
      <c r="Q135" s="122" t="str">
        <f t="shared" si="98"/>
        <v>ZeroEntry</v>
      </c>
      <c r="R135" s="126" t="str">
        <f t="shared" si="77"/>
        <v>ZeroEntry</v>
      </c>
      <c r="S135" s="127" t="str">
        <f t="shared" si="78"/>
        <v>ZeroEntry</v>
      </c>
      <c r="T135" s="128" t="str">
        <f>IF($Q135="ZeroEntry", "",VLOOKUP($I135,'Ranking Lookup'!#REF!,2,FALSE))</f>
        <v/>
      </c>
      <c r="U135" s="129" t="str">
        <f t="shared" si="79"/>
        <v/>
      </c>
      <c r="V135" s="129" t="str">
        <f t="shared" si="80"/>
        <v/>
      </c>
      <c r="W135" s="129" t="str">
        <f t="shared" si="81"/>
        <v/>
      </c>
      <c r="X135" s="129" t="str">
        <f t="shared" si="82"/>
        <v/>
      </c>
      <c r="Y135" s="129" t="str">
        <f t="shared" si="83"/>
        <v/>
      </c>
      <c r="Z135" s="129" t="str">
        <f t="shared" si="84"/>
        <v/>
      </c>
      <c r="AA135" s="130"/>
      <c r="AB135" s="130" t="str">
        <f t="shared" si="85"/>
        <v>Unassigned</v>
      </c>
      <c r="AC135" s="131" t="str">
        <f t="shared" si="99"/>
        <v/>
      </c>
      <c r="AD135" s="131" t="str">
        <f t="shared" si="100"/>
        <v/>
      </c>
      <c r="AE135" s="132">
        <f t="shared" si="86"/>
        <v>0</v>
      </c>
      <c r="AF135" s="133" t="str">
        <f t="shared" si="101"/>
        <v/>
      </c>
      <c r="AG135" s="134">
        <f t="shared" si="87"/>
        <v>0</v>
      </c>
      <c r="AH135" s="54" t="str">
        <f t="shared" si="88"/>
        <v/>
      </c>
      <c r="AI135" s="54" t="str">
        <f t="shared" si="89"/>
        <v/>
      </c>
      <c r="AJ135" s="54" t="str">
        <f t="shared" si="89"/>
        <v/>
      </c>
      <c r="AK135" s="54" t="str">
        <f t="shared" si="89"/>
        <v/>
      </c>
      <c r="AL135" s="54" t="str">
        <f t="shared" si="89"/>
        <v/>
      </c>
      <c r="AM135" s="54" t="str">
        <f t="shared" si="89"/>
        <v/>
      </c>
      <c r="AN135" s="54" t="str">
        <f t="shared" si="89"/>
        <v/>
      </c>
      <c r="AO135" s="54" t="str">
        <f t="shared" si="89"/>
        <v/>
      </c>
      <c r="AP135" s="54" t="str">
        <f t="shared" si="89"/>
        <v/>
      </c>
      <c r="AQ135" s="54" t="str">
        <f t="shared" si="89"/>
        <v/>
      </c>
      <c r="AR135" s="54" t="str">
        <f t="shared" si="89"/>
        <v/>
      </c>
      <c r="AS135" s="54" t="str">
        <f t="shared" si="89"/>
        <v/>
      </c>
      <c r="AT135" s="54" t="str">
        <f t="shared" si="89"/>
        <v/>
      </c>
      <c r="AU135" s="54" t="str">
        <f t="shared" si="89"/>
        <v/>
      </c>
      <c r="AV135" s="54" t="str">
        <f t="shared" si="89"/>
        <v/>
      </c>
      <c r="AW135" s="54" t="str">
        <f t="shared" si="89"/>
        <v/>
      </c>
      <c r="AX135" s="54" t="str">
        <f t="shared" si="89"/>
        <v/>
      </c>
      <c r="AY135" s="54" t="str">
        <f t="shared" si="90"/>
        <v/>
      </c>
      <c r="AZ135" s="54" t="str">
        <f t="shared" si="91"/>
        <v/>
      </c>
      <c r="BA135" s="54" t="str">
        <f t="shared" si="92"/>
        <v/>
      </c>
      <c r="BB135" s="135" t="str">
        <f t="shared" si="93"/>
        <v/>
      </c>
      <c r="BC135" s="54" t="str">
        <f t="shared" si="73"/>
        <v/>
      </c>
      <c r="BD135" s="54" t="str">
        <f t="shared" si="73"/>
        <v/>
      </c>
      <c r="BE135" s="54" t="str">
        <f t="shared" si="73"/>
        <v/>
      </c>
      <c r="BF135" s="54" t="str">
        <f t="shared" si="94"/>
        <v/>
      </c>
      <c r="BG135" s="54" t="str">
        <f t="shared" si="95"/>
        <v/>
      </c>
      <c r="BH135" s="34" t="str">
        <f t="shared" si="96"/>
        <v>Bad</v>
      </c>
      <c r="BI135" s="34" t="str">
        <f t="shared" si="97"/>
        <v>No</v>
      </c>
      <c r="BJ135" s="136" t="str">
        <f>IF($D135&lt;&gt;"Feature",".",
IF(VLOOKUP($B135,Feature_List!$A:$AM,MATCH(BJ$1,  Feature_List!$A$1:$AM$1,0),0)=B135,".","NO"))</f>
        <v>.</v>
      </c>
      <c r="BK135" s="136"/>
      <c r="BL135" s="136"/>
      <c r="BM135" s="136" t="str">
        <f>IF($D135&lt;&gt;"Feature",".",
IF(VLOOKUP($B135,Feature_List!$A:$AM,MATCH(BM$1,  Feature_List!$A$1:$AM$1,0),0)=E135,".","NO"))</f>
        <v>.</v>
      </c>
      <c r="BN135" s="136" t="str">
        <f>IF($D135&lt;&gt;"Feature",".",
IF(VLOOKUP($B135,Feature_List!$A:$AM,MATCH(BN$1,  Feature_List!$A$1:$AM$1,0),0)=F135,".","NO"))</f>
        <v>.</v>
      </c>
      <c r="BO135" s="136" t="str">
        <f>IF($D135&lt;&gt;"Feature",".",
IF(VLOOKUP($B135,Feature_List!$A:$AM,MATCH(BO$1,  Feature_List!$A$1:$AM$1,0),0)=G135,".","NO"))</f>
        <v>.</v>
      </c>
      <c r="BP135" s="136" t="str">
        <f>IF($D135&lt;&gt;"Feature",".",
IF(VLOOKUP($B135,Feature_List!$A:$AM,MATCH(BP$1,  Feature_List!$A$1:$AM$1,0),0)=H135,".","NO"))</f>
        <v>.</v>
      </c>
      <c r="BQ135" s="136"/>
      <c r="BR135" s="136" t="str">
        <f>IF($D135&lt;&gt;"Feature",".",
IF(VLOOKUP($B135,Feature_List!$A:$AM,MATCH(BR$1,  Feature_List!$A$1:$AM$1,0),0)=J135,".","NO"))</f>
        <v>.</v>
      </c>
      <c r="BS135" s="136"/>
      <c r="BT135" s="136"/>
      <c r="BU135" s="136" t="str">
        <f>IF($D135&lt;&gt;"Feature",".",
IF(VLOOKUP($B135,Feature_List!$A:$AM,MATCH(BU$1,  Feature_List!$A$1:$AM$1,0),0)=M135,".","NO"))</f>
        <v>.</v>
      </c>
      <c r="BV135" s="136" t="str">
        <f>IF($D135&lt;&gt;"Feature",".",
IF(VLOOKUP($B135,Feature_List!$A:$AM,MATCH(BV$1,  Feature_List!$A$1:$AM$1,0),0)=N135,".","NO"))</f>
        <v>.</v>
      </c>
      <c r="BW135" s="136"/>
      <c r="BX135" s="136"/>
      <c r="BY135" s="136"/>
      <c r="BZ135" s="136"/>
      <c r="CA135" s="136"/>
      <c r="CB135" s="136" t="str">
        <f>IF($D135&lt;&gt;"Feature",".",
IF(VLOOKUP($B135,Feature_List!$A:$AM,MATCH(CB$1,  Feature_List!$A$1:$AM$1,0),0)=T135,".","NO"))</f>
        <v>.</v>
      </c>
      <c r="CC135" s="136"/>
      <c r="CD135" s="136"/>
      <c r="CE135" s="136"/>
      <c r="CF135" s="136"/>
      <c r="CG135" s="136"/>
      <c r="CH135" s="136"/>
      <c r="CI135" s="136"/>
      <c r="CJ135" s="136"/>
      <c r="CK135" s="136"/>
      <c r="CL135" s="136"/>
      <c r="CM135" s="136"/>
      <c r="CN135" s="136"/>
      <c r="CO135" s="136" t="str">
        <f>IF($D135&lt;&gt;"Feature",".",
IF(VLOOKUP($B135,Feature_List!$A:$AM,MATCH(CO$1,  Feature_List!$A$1:$AM$1,0),0)=AG135,".","NO"))</f>
        <v>.</v>
      </c>
      <c r="CP135" s="136" t="str">
        <f>IF($D135&lt;&gt;"Feature",".",
IF(VLOOKUP($B135,Feature_List!$A:$AM,MATCH(CP$1,  Feature_List!$A$1:$AM$1,0),0)=AH135,".","NO"))</f>
        <v>.</v>
      </c>
      <c r="CQ135" s="136" t="str">
        <f>IF($D135&lt;&gt;"Feature",".",
IF(VLOOKUP($B135,Feature_List!$A:$AM,MATCH(CQ$1,  Feature_List!$A$1:$AM$1,0),0)=AI135,".","NO"))</f>
        <v>.</v>
      </c>
      <c r="CR135" s="136" t="str">
        <f>IF($D135&lt;&gt;"Feature",".",
IF(VLOOKUP($B135,Feature_List!$A:$AM,MATCH(CR$1,  Feature_List!$A$1:$AM$1,0),0)=AJ135,".","NO"))</f>
        <v>.</v>
      </c>
      <c r="CS135" s="136" t="str">
        <f>IF($D135&lt;&gt;"Feature",".",
IF(VLOOKUP($B135,Feature_List!$A:$AM,MATCH(CS$1,  Feature_List!$A$1:$AM$1,0),0)=AK135,".","NO"))</f>
        <v>.</v>
      </c>
      <c r="CT135" s="136" t="str">
        <f>IF($D135&lt;&gt;"Feature",".",
IF(VLOOKUP($B135,Feature_List!$A:$AM,MATCH(CT$1,  Feature_List!$A$1:$AM$1,0),0)=AL135,".","NO"))</f>
        <v>.</v>
      </c>
      <c r="CU135" s="136" t="str">
        <f>IF($D135&lt;&gt;"Feature",".",
IF(VLOOKUP($B135,Feature_List!$A:$AM,MATCH(CU$1,  Feature_List!$A$1:$AM$1,0),0)=AM135,".","NO"))</f>
        <v>.</v>
      </c>
      <c r="CV135" s="136" t="str">
        <f>IF($D135&lt;&gt;"Feature",".",
IF(VLOOKUP($B135,Feature_List!$A:$AM,MATCH(CV$1,  Feature_List!$A$1:$AM$1,0),0)=AN135,".","NO"))</f>
        <v>.</v>
      </c>
      <c r="CW135" s="136" t="str">
        <f>IF($D135&lt;&gt;"Feature",".",
IF(VLOOKUP($B135,Feature_List!$A:$AM,MATCH(CW$1,  Feature_List!$A$1:$AM$1,0),0)=AO135,".","NO"))</f>
        <v>.</v>
      </c>
      <c r="CX135" s="136" t="str">
        <f>IF($D135&lt;&gt;"Feature",".",
IF(VLOOKUP($B135,Feature_List!$A:$AM,MATCH(CX$1,  Feature_List!$A$1:$AM$1,0),0)=AP135,".","NO"))</f>
        <v>.</v>
      </c>
      <c r="CY135" s="136" t="str">
        <f>IF($D135&lt;&gt;"Feature",".",
IF(VLOOKUP($B135,Feature_List!$A:$AM,MATCH(CY$1,  Feature_List!$A$1:$AM$1,0),0)=AQ135,".","NO"))</f>
        <v>.</v>
      </c>
      <c r="CZ135" s="136" t="str">
        <f>IF($D135&lt;&gt;"Feature",".",
IF(VLOOKUP($B135,Feature_List!$A:$AM,MATCH(CZ$1,  Feature_List!$A$1:$AM$1,0),0)=AR135,".","NO"))</f>
        <v>.</v>
      </c>
      <c r="DA135" s="136" t="str">
        <f>IF($D135&lt;&gt;"Feature",".",
IF(VLOOKUP($B135,Feature_List!$A:$AM,MATCH(DA$1,  Feature_List!$A$1:$AM$1,0),0)=AS135,".","NO"))</f>
        <v>.</v>
      </c>
      <c r="DB135" s="136" t="str">
        <f>IF($D135&lt;&gt;"Feature",".",
IF(VLOOKUP($B135,Feature_List!$A:$AM,MATCH(DB$1,  Feature_List!$A$1:$AM$1,0),0)=AT135,".","NO"))</f>
        <v>.</v>
      </c>
      <c r="DC135" s="136" t="str">
        <f>IF($D135&lt;&gt;"Feature",".",
IF(VLOOKUP($B135,Feature_List!$A:$AM,MATCH(DC$1,  Feature_List!$A$1:$AM$1,0),0)=AU135,".","NO"))</f>
        <v>.</v>
      </c>
      <c r="DD135" s="136" t="str">
        <f>IF($D135&lt;&gt;"Feature",".",
IF(VLOOKUP($B135,Feature_List!$A:$AM,MATCH(DD$1,  Feature_List!$A$1:$AM$1,0),0)=AV135,".","NO"))</f>
        <v>.</v>
      </c>
      <c r="DE135" s="136" t="str">
        <f>IF($D135&lt;&gt;"Feature",".",
IF(VLOOKUP($B135,Feature_List!$A:$AM,MATCH(DE$1,  Feature_List!$A$1:$AM$1,0),0)=AW135,".","NO"))</f>
        <v>.</v>
      </c>
      <c r="DF135" s="136" t="str">
        <f>IF($D135&lt;&gt;"Feature",".",
IF(VLOOKUP($B135,Feature_List!$A:$AM,MATCH(DF$1,  Feature_List!$A$1:$AM$1,0),0)=AX135,".","NO"))</f>
        <v>.</v>
      </c>
      <c r="DG135" s="136" t="str">
        <f>IF($D135&lt;&gt;"Feature",".",
IF(VLOOKUP($B135,Feature_List!$A:$AM,MATCH(DG$1,  Feature_List!$A$1:$AM$1,0),0)=AY135,".","NO"))</f>
        <v>.</v>
      </c>
      <c r="DH135" s="136" t="str">
        <f>IF($D135&lt;&gt;"Feature",".",
IF(VLOOKUP($B135,Feature_List!$A:$AM,MATCH(DH$1,  Feature_List!$A$1:$AM$1,0),0)=AZ135,".","NO"))</f>
        <v>.</v>
      </c>
      <c r="DI135" s="136" t="str">
        <f>IF($D135&lt;&gt;"Feature",".",
IF(VLOOKUP($B135,Feature_List!$A:$AM,MATCH(DI$1,  Feature_List!$A$1:$AM$1,0),0)=BA135,".","NO"))</f>
        <v>.</v>
      </c>
      <c r="DJ135" s="136" t="str">
        <f>IF($D135&lt;&gt;"Feature",".",
IF(VLOOKUP($B135,Feature_List!$A:$AM,MATCH(DJ$1,  Feature_List!$A$1:$AM$1,0),0)=BB135,".","NO"))</f>
        <v>.</v>
      </c>
      <c r="DK135" s="136"/>
      <c r="DL135" s="136"/>
      <c r="DM135" s="136"/>
      <c r="DN135" s="136" t="str">
        <f>IF($D135&lt;&gt;"Feature",".",
IF(VLOOKUP($B135,Feature_List!$A:$AM,MATCH(DN$1,  Feature_List!$A$1:$AM$1,0),0)=BC135,".","NO"))</f>
        <v>.</v>
      </c>
      <c r="DO135" s="136" t="str">
        <f>IF($D135&lt;&gt;"Feature",".",
IF(VLOOKUP($B135,Feature_List!$A:$AM,MATCH(DO$1,  Feature_List!$A$1:$AM$1,0),0)=BD135,".","NO"))</f>
        <v>.</v>
      </c>
    </row>
    <row r="136" spans="2:119" x14ac:dyDescent="0.3">
      <c r="B136" s="121"/>
      <c r="C136" s="122"/>
      <c r="D136" s="122"/>
      <c r="E136" s="122"/>
      <c r="F136" s="138"/>
      <c r="G136" s="123"/>
      <c r="H136" s="122"/>
      <c r="I136" s="124"/>
      <c r="J136" s="138"/>
      <c r="K136" s="123"/>
      <c r="L136" s="122"/>
      <c r="M136" s="122"/>
      <c r="N136" s="125"/>
      <c r="O136" s="123">
        <f t="shared" si="75"/>
        <v>0</v>
      </c>
      <c r="P136" s="123">
        <f t="shared" si="76"/>
        <v>0</v>
      </c>
      <c r="Q136" s="122" t="str">
        <f t="shared" si="98"/>
        <v>ZeroEntry</v>
      </c>
      <c r="R136" s="126" t="str">
        <f t="shared" si="77"/>
        <v>ZeroEntry</v>
      </c>
      <c r="S136" s="127" t="str">
        <f t="shared" si="78"/>
        <v>ZeroEntry</v>
      </c>
      <c r="T136" s="128" t="str">
        <f>IF($Q136="ZeroEntry", "",VLOOKUP($I136,'Ranking Lookup'!#REF!,2,FALSE))</f>
        <v/>
      </c>
      <c r="U136" s="129" t="str">
        <f t="shared" si="79"/>
        <v/>
      </c>
      <c r="V136" s="129" t="str">
        <f t="shared" si="80"/>
        <v/>
      </c>
      <c r="W136" s="129" t="str">
        <f t="shared" si="81"/>
        <v/>
      </c>
      <c r="X136" s="129" t="str">
        <f t="shared" si="82"/>
        <v/>
      </c>
      <c r="Y136" s="129" t="str">
        <f t="shared" si="83"/>
        <v/>
      </c>
      <c r="Z136" s="129" t="str">
        <f t="shared" si="84"/>
        <v/>
      </c>
      <c r="AA136" s="130"/>
      <c r="AB136" s="130" t="str">
        <f t="shared" si="85"/>
        <v>Unassigned</v>
      </c>
      <c r="AC136" s="131" t="str">
        <f t="shared" si="99"/>
        <v/>
      </c>
      <c r="AD136" s="131" t="str">
        <f t="shared" si="100"/>
        <v/>
      </c>
      <c r="AE136" s="132">
        <f t="shared" si="86"/>
        <v>0</v>
      </c>
      <c r="AF136" s="133" t="str">
        <f t="shared" si="101"/>
        <v/>
      </c>
      <c r="AG136" s="134">
        <f t="shared" si="87"/>
        <v>0</v>
      </c>
      <c r="AH136" s="54" t="str">
        <f t="shared" si="88"/>
        <v/>
      </c>
      <c r="AI136" s="54" t="str">
        <f t="shared" si="89"/>
        <v/>
      </c>
      <c r="AJ136" s="54" t="str">
        <f t="shared" si="89"/>
        <v/>
      </c>
      <c r="AK136" s="54" t="str">
        <f t="shared" si="89"/>
        <v/>
      </c>
      <c r="AL136" s="54" t="str">
        <f t="shared" si="89"/>
        <v/>
      </c>
      <c r="AM136" s="54" t="str">
        <f t="shared" si="89"/>
        <v/>
      </c>
      <c r="AN136" s="54" t="str">
        <f t="shared" si="89"/>
        <v/>
      </c>
      <c r="AO136" s="54" t="str">
        <f t="shared" si="89"/>
        <v/>
      </c>
      <c r="AP136" s="54" t="str">
        <f t="shared" si="89"/>
        <v/>
      </c>
      <c r="AQ136" s="54" t="str">
        <f t="shared" si="89"/>
        <v/>
      </c>
      <c r="AR136" s="54" t="str">
        <f t="shared" si="89"/>
        <v/>
      </c>
      <c r="AS136" s="54" t="str">
        <f t="shared" si="89"/>
        <v/>
      </c>
      <c r="AT136" s="54" t="str">
        <f t="shared" si="89"/>
        <v/>
      </c>
      <c r="AU136" s="54" t="str">
        <f t="shared" si="89"/>
        <v/>
      </c>
      <c r="AV136" s="54" t="str">
        <f t="shared" si="89"/>
        <v/>
      </c>
      <c r="AW136" s="54" t="str">
        <f t="shared" si="89"/>
        <v/>
      </c>
      <c r="AX136" s="54" t="str">
        <f t="shared" si="89"/>
        <v/>
      </c>
      <c r="AY136" s="54" t="str">
        <f t="shared" si="90"/>
        <v/>
      </c>
      <c r="AZ136" s="54" t="str">
        <f t="shared" si="91"/>
        <v/>
      </c>
      <c r="BA136" s="54" t="str">
        <f t="shared" si="92"/>
        <v/>
      </c>
      <c r="BB136" s="135" t="str">
        <f t="shared" si="93"/>
        <v/>
      </c>
      <c r="BC136" s="54" t="str">
        <f t="shared" si="73"/>
        <v/>
      </c>
      <c r="BD136" s="54" t="str">
        <f t="shared" si="73"/>
        <v/>
      </c>
      <c r="BE136" s="54" t="str">
        <f t="shared" si="73"/>
        <v/>
      </c>
      <c r="BF136" s="54" t="str">
        <f t="shared" si="94"/>
        <v/>
      </c>
      <c r="BG136" s="54" t="str">
        <f t="shared" si="95"/>
        <v/>
      </c>
      <c r="BH136" s="34" t="str">
        <f t="shared" si="96"/>
        <v>Bad</v>
      </c>
      <c r="BI136" s="34" t="str">
        <f t="shared" si="97"/>
        <v>No</v>
      </c>
      <c r="BJ136" s="136" t="str">
        <f>IF($D136&lt;&gt;"Feature",".",
IF(VLOOKUP($B136,Feature_List!$A:$AM,MATCH(BJ$1,  Feature_List!$A$1:$AM$1,0),0)=B136,".","NO"))</f>
        <v>.</v>
      </c>
      <c r="BK136" s="136"/>
      <c r="BL136" s="136"/>
      <c r="BM136" s="136" t="str">
        <f>IF($D136&lt;&gt;"Feature",".",
IF(VLOOKUP($B136,Feature_List!$A:$AM,MATCH(BM$1,  Feature_List!$A$1:$AM$1,0),0)=E136,".","NO"))</f>
        <v>.</v>
      </c>
      <c r="BN136" s="136" t="str">
        <f>IF($D136&lt;&gt;"Feature",".",
IF(VLOOKUP($B136,Feature_List!$A:$AM,MATCH(BN$1,  Feature_List!$A$1:$AM$1,0),0)=F136,".","NO"))</f>
        <v>.</v>
      </c>
      <c r="BO136" s="136" t="str">
        <f>IF($D136&lt;&gt;"Feature",".",
IF(VLOOKUP($B136,Feature_List!$A:$AM,MATCH(BO$1,  Feature_List!$A$1:$AM$1,0),0)=G136,".","NO"))</f>
        <v>.</v>
      </c>
      <c r="BP136" s="136" t="str">
        <f>IF($D136&lt;&gt;"Feature",".",
IF(VLOOKUP($B136,Feature_List!$A:$AM,MATCH(BP$1,  Feature_List!$A$1:$AM$1,0),0)=H136,".","NO"))</f>
        <v>.</v>
      </c>
      <c r="BQ136" s="136"/>
      <c r="BR136" s="136" t="str">
        <f>IF($D136&lt;&gt;"Feature",".",
IF(VLOOKUP($B136,Feature_List!$A:$AM,MATCH(BR$1,  Feature_List!$A$1:$AM$1,0),0)=J136,".","NO"))</f>
        <v>.</v>
      </c>
      <c r="BS136" s="136"/>
      <c r="BT136" s="136"/>
      <c r="BU136" s="136" t="str">
        <f>IF($D136&lt;&gt;"Feature",".",
IF(VLOOKUP($B136,Feature_List!$A:$AM,MATCH(BU$1,  Feature_List!$A$1:$AM$1,0),0)=M136,".","NO"))</f>
        <v>.</v>
      </c>
      <c r="BV136" s="136" t="str">
        <f>IF($D136&lt;&gt;"Feature",".",
IF(VLOOKUP($B136,Feature_List!$A:$AM,MATCH(BV$1,  Feature_List!$A$1:$AM$1,0),0)=N136,".","NO"))</f>
        <v>.</v>
      </c>
      <c r="BW136" s="136"/>
      <c r="BX136" s="136"/>
      <c r="BY136" s="136"/>
      <c r="BZ136" s="136"/>
      <c r="CA136" s="136"/>
      <c r="CB136" s="136" t="str">
        <f>IF($D136&lt;&gt;"Feature",".",
IF(VLOOKUP($B136,Feature_List!$A:$AM,MATCH(CB$1,  Feature_List!$A$1:$AM$1,0),0)=T136,".","NO"))</f>
        <v>.</v>
      </c>
      <c r="CC136" s="136"/>
      <c r="CD136" s="136"/>
      <c r="CE136" s="136"/>
      <c r="CF136" s="136"/>
      <c r="CG136" s="136"/>
      <c r="CH136" s="136"/>
      <c r="CI136" s="136"/>
      <c r="CJ136" s="136"/>
      <c r="CK136" s="136"/>
      <c r="CL136" s="136"/>
      <c r="CM136" s="136"/>
      <c r="CN136" s="136"/>
      <c r="CO136" s="136" t="str">
        <f>IF($D136&lt;&gt;"Feature",".",
IF(VLOOKUP($B136,Feature_List!$A:$AM,MATCH(CO$1,  Feature_List!$A$1:$AM$1,0),0)=AG136,".","NO"))</f>
        <v>.</v>
      </c>
      <c r="CP136" s="136" t="str">
        <f>IF($D136&lt;&gt;"Feature",".",
IF(VLOOKUP($B136,Feature_List!$A:$AM,MATCH(CP$1,  Feature_List!$A$1:$AM$1,0),0)=AH136,".","NO"))</f>
        <v>.</v>
      </c>
      <c r="CQ136" s="136" t="str">
        <f>IF($D136&lt;&gt;"Feature",".",
IF(VLOOKUP($B136,Feature_List!$A:$AM,MATCH(CQ$1,  Feature_List!$A$1:$AM$1,0),0)=AI136,".","NO"))</f>
        <v>.</v>
      </c>
      <c r="CR136" s="136" t="str">
        <f>IF($D136&lt;&gt;"Feature",".",
IF(VLOOKUP($B136,Feature_List!$A:$AM,MATCH(CR$1,  Feature_List!$A$1:$AM$1,0),0)=AJ136,".","NO"))</f>
        <v>.</v>
      </c>
      <c r="CS136" s="136" t="str">
        <f>IF($D136&lt;&gt;"Feature",".",
IF(VLOOKUP($B136,Feature_List!$A:$AM,MATCH(CS$1,  Feature_List!$A$1:$AM$1,0),0)=AK136,".","NO"))</f>
        <v>.</v>
      </c>
      <c r="CT136" s="136" t="str">
        <f>IF($D136&lt;&gt;"Feature",".",
IF(VLOOKUP($B136,Feature_List!$A:$AM,MATCH(CT$1,  Feature_List!$A$1:$AM$1,0),0)=AL136,".","NO"))</f>
        <v>.</v>
      </c>
      <c r="CU136" s="136" t="str">
        <f>IF($D136&lt;&gt;"Feature",".",
IF(VLOOKUP($B136,Feature_List!$A:$AM,MATCH(CU$1,  Feature_List!$A$1:$AM$1,0),0)=AM136,".","NO"))</f>
        <v>.</v>
      </c>
      <c r="CV136" s="136" t="str">
        <f>IF($D136&lt;&gt;"Feature",".",
IF(VLOOKUP($B136,Feature_List!$A:$AM,MATCH(CV$1,  Feature_List!$A$1:$AM$1,0),0)=AN136,".","NO"))</f>
        <v>.</v>
      </c>
      <c r="CW136" s="136" t="str">
        <f>IF($D136&lt;&gt;"Feature",".",
IF(VLOOKUP($B136,Feature_List!$A:$AM,MATCH(CW$1,  Feature_List!$A$1:$AM$1,0),0)=AO136,".","NO"))</f>
        <v>.</v>
      </c>
      <c r="CX136" s="136" t="str">
        <f>IF($D136&lt;&gt;"Feature",".",
IF(VLOOKUP($B136,Feature_List!$A:$AM,MATCH(CX$1,  Feature_List!$A$1:$AM$1,0),0)=AP136,".","NO"))</f>
        <v>.</v>
      </c>
      <c r="CY136" s="136" t="str">
        <f>IF($D136&lt;&gt;"Feature",".",
IF(VLOOKUP($B136,Feature_List!$A:$AM,MATCH(CY$1,  Feature_List!$A$1:$AM$1,0),0)=AQ136,".","NO"))</f>
        <v>.</v>
      </c>
      <c r="CZ136" s="136" t="str">
        <f>IF($D136&lt;&gt;"Feature",".",
IF(VLOOKUP($B136,Feature_List!$A:$AM,MATCH(CZ$1,  Feature_List!$A$1:$AM$1,0),0)=AR136,".","NO"))</f>
        <v>.</v>
      </c>
      <c r="DA136" s="136" t="str">
        <f>IF($D136&lt;&gt;"Feature",".",
IF(VLOOKUP($B136,Feature_List!$A:$AM,MATCH(DA$1,  Feature_List!$A$1:$AM$1,0),0)=AS136,".","NO"))</f>
        <v>.</v>
      </c>
      <c r="DB136" s="136" t="str">
        <f>IF($D136&lt;&gt;"Feature",".",
IF(VLOOKUP($B136,Feature_List!$A:$AM,MATCH(DB$1,  Feature_List!$A$1:$AM$1,0),0)=AT136,".","NO"))</f>
        <v>.</v>
      </c>
      <c r="DC136" s="136" t="str">
        <f>IF($D136&lt;&gt;"Feature",".",
IF(VLOOKUP($B136,Feature_List!$A:$AM,MATCH(DC$1,  Feature_List!$A$1:$AM$1,0),0)=AU136,".","NO"))</f>
        <v>.</v>
      </c>
      <c r="DD136" s="136" t="str">
        <f>IF($D136&lt;&gt;"Feature",".",
IF(VLOOKUP($B136,Feature_List!$A:$AM,MATCH(DD$1,  Feature_List!$A$1:$AM$1,0),0)=AV136,".","NO"))</f>
        <v>.</v>
      </c>
      <c r="DE136" s="136" t="str">
        <f>IF($D136&lt;&gt;"Feature",".",
IF(VLOOKUP($B136,Feature_List!$A:$AM,MATCH(DE$1,  Feature_List!$A$1:$AM$1,0),0)=AW136,".","NO"))</f>
        <v>.</v>
      </c>
      <c r="DF136" s="136" t="str">
        <f>IF($D136&lt;&gt;"Feature",".",
IF(VLOOKUP($B136,Feature_List!$A:$AM,MATCH(DF$1,  Feature_List!$A$1:$AM$1,0),0)=AX136,".","NO"))</f>
        <v>.</v>
      </c>
      <c r="DG136" s="136" t="str">
        <f>IF($D136&lt;&gt;"Feature",".",
IF(VLOOKUP($B136,Feature_List!$A:$AM,MATCH(DG$1,  Feature_List!$A$1:$AM$1,0),0)=AY136,".","NO"))</f>
        <v>.</v>
      </c>
      <c r="DH136" s="136" t="str">
        <f>IF($D136&lt;&gt;"Feature",".",
IF(VLOOKUP($B136,Feature_List!$A:$AM,MATCH(DH$1,  Feature_List!$A$1:$AM$1,0),0)=AZ136,".","NO"))</f>
        <v>.</v>
      </c>
      <c r="DI136" s="136" t="str">
        <f>IF($D136&lt;&gt;"Feature",".",
IF(VLOOKUP($B136,Feature_List!$A:$AM,MATCH(DI$1,  Feature_List!$A$1:$AM$1,0),0)=BA136,".","NO"))</f>
        <v>.</v>
      </c>
      <c r="DJ136" s="136" t="str">
        <f>IF($D136&lt;&gt;"Feature",".",
IF(VLOOKUP($B136,Feature_List!$A:$AM,MATCH(DJ$1,  Feature_List!$A$1:$AM$1,0),0)=BB136,".","NO"))</f>
        <v>.</v>
      </c>
      <c r="DK136" s="136"/>
      <c r="DL136" s="136"/>
      <c r="DM136" s="136"/>
      <c r="DN136" s="136" t="str">
        <f>IF($D136&lt;&gt;"Feature",".",
IF(VLOOKUP($B136,Feature_List!$A:$AM,MATCH(DN$1,  Feature_List!$A$1:$AM$1,0),0)=BC136,".","NO"))</f>
        <v>.</v>
      </c>
      <c r="DO136" s="136" t="str">
        <f>IF($D136&lt;&gt;"Feature",".",
IF(VLOOKUP($B136,Feature_List!$A:$AM,MATCH(DO$1,  Feature_List!$A$1:$AM$1,0),0)=BD136,".","NO"))</f>
        <v>.</v>
      </c>
    </row>
    <row r="137" spans="2:119" x14ac:dyDescent="0.3">
      <c r="B137" s="121"/>
      <c r="C137" s="122"/>
      <c r="D137" s="122"/>
      <c r="E137" s="122"/>
      <c r="F137" s="138"/>
      <c r="G137" s="123"/>
      <c r="H137" s="122"/>
      <c r="I137" s="124"/>
      <c r="J137" s="138"/>
      <c r="K137" s="123"/>
      <c r="L137" s="122"/>
      <c r="M137" s="122"/>
      <c r="N137" s="125"/>
      <c r="O137" s="123">
        <f t="shared" si="75"/>
        <v>0</v>
      </c>
      <c r="P137" s="123">
        <f t="shared" si="76"/>
        <v>0</v>
      </c>
      <c r="Q137" s="122" t="str">
        <f t="shared" si="98"/>
        <v>ZeroEntry</v>
      </c>
      <c r="R137" s="126" t="str">
        <f t="shared" si="77"/>
        <v>ZeroEntry</v>
      </c>
      <c r="S137" s="127" t="str">
        <f t="shared" si="78"/>
        <v>ZeroEntry</v>
      </c>
      <c r="T137" s="128" t="str">
        <f>IF($Q137="ZeroEntry", "",VLOOKUP($I137,'Ranking Lookup'!#REF!,2,FALSE))</f>
        <v/>
      </c>
      <c r="U137" s="129" t="str">
        <f t="shared" si="79"/>
        <v/>
      </c>
      <c r="V137" s="129" t="str">
        <f t="shared" si="80"/>
        <v/>
      </c>
      <c r="W137" s="129" t="str">
        <f t="shared" si="81"/>
        <v/>
      </c>
      <c r="X137" s="129" t="str">
        <f t="shared" si="82"/>
        <v/>
      </c>
      <c r="Y137" s="129" t="str">
        <f t="shared" si="83"/>
        <v/>
      </c>
      <c r="Z137" s="129" t="str">
        <f t="shared" si="84"/>
        <v/>
      </c>
      <c r="AA137" s="130"/>
      <c r="AB137" s="130" t="str">
        <f t="shared" si="85"/>
        <v>Unassigned</v>
      </c>
      <c r="AC137" s="131" t="str">
        <f t="shared" si="99"/>
        <v/>
      </c>
      <c r="AD137" s="131" t="str">
        <f t="shared" si="100"/>
        <v/>
      </c>
      <c r="AE137" s="132">
        <f t="shared" si="86"/>
        <v>0</v>
      </c>
      <c r="AF137" s="133" t="str">
        <f t="shared" si="101"/>
        <v/>
      </c>
      <c r="AG137" s="134">
        <f t="shared" si="87"/>
        <v>0</v>
      </c>
      <c r="AH137" s="54" t="str">
        <f t="shared" si="88"/>
        <v/>
      </c>
      <c r="AI137" s="54" t="str">
        <f t="shared" si="89"/>
        <v/>
      </c>
      <c r="AJ137" s="54" t="str">
        <f t="shared" si="89"/>
        <v/>
      </c>
      <c r="AK137" s="54" t="str">
        <f t="shared" si="89"/>
        <v/>
      </c>
      <c r="AL137" s="54" t="str">
        <f t="shared" si="89"/>
        <v/>
      </c>
      <c r="AM137" s="54" t="str">
        <f t="shared" si="89"/>
        <v/>
      </c>
      <c r="AN137" s="54" t="str">
        <f t="shared" si="89"/>
        <v/>
      </c>
      <c r="AO137" s="54" t="str">
        <f t="shared" si="89"/>
        <v/>
      </c>
      <c r="AP137" s="54" t="str">
        <f t="shared" si="89"/>
        <v/>
      </c>
      <c r="AQ137" s="54" t="str">
        <f t="shared" si="89"/>
        <v/>
      </c>
      <c r="AR137" s="54" t="str">
        <f t="shared" si="89"/>
        <v/>
      </c>
      <c r="AS137" s="54" t="str">
        <f t="shared" si="89"/>
        <v/>
      </c>
      <c r="AT137" s="54" t="str">
        <f t="shared" si="89"/>
        <v/>
      </c>
      <c r="AU137" s="54" t="str">
        <f t="shared" si="89"/>
        <v/>
      </c>
      <c r="AV137" s="54" t="str">
        <f t="shared" si="89"/>
        <v/>
      </c>
      <c r="AW137" s="54" t="str">
        <f t="shared" si="89"/>
        <v/>
      </c>
      <c r="AX137" s="54" t="str">
        <f t="shared" si="89"/>
        <v/>
      </c>
      <c r="AY137" s="54" t="str">
        <f t="shared" si="90"/>
        <v/>
      </c>
      <c r="AZ137" s="54" t="str">
        <f t="shared" si="91"/>
        <v/>
      </c>
      <c r="BA137" s="54" t="str">
        <f t="shared" si="92"/>
        <v/>
      </c>
      <c r="BB137" s="135" t="str">
        <f t="shared" si="93"/>
        <v/>
      </c>
      <c r="BC137" s="54" t="str">
        <f t="shared" si="73"/>
        <v/>
      </c>
      <c r="BD137" s="54" t="str">
        <f t="shared" si="73"/>
        <v/>
      </c>
      <c r="BE137" s="54" t="str">
        <f t="shared" si="73"/>
        <v/>
      </c>
      <c r="BF137" s="54" t="str">
        <f t="shared" si="94"/>
        <v/>
      </c>
      <c r="BG137" s="54" t="str">
        <f t="shared" si="95"/>
        <v/>
      </c>
      <c r="BH137" s="34" t="str">
        <f t="shared" si="96"/>
        <v>Bad</v>
      </c>
      <c r="BI137" s="34" t="str">
        <f t="shared" si="97"/>
        <v>No</v>
      </c>
      <c r="BJ137" s="136" t="str">
        <f>IF($D137&lt;&gt;"Feature",".",
IF(VLOOKUP($B137,Feature_List!$A:$AM,MATCH(BJ$1,  Feature_List!$A$1:$AM$1,0),0)=B137,".","NO"))</f>
        <v>.</v>
      </c>
      <c r="BK137" s="136"/>
      <c r="BL137" s="136"/>
      <c r="BM137" s="136" t="str">
        <f>IF($D137&lt;&gt;"Feature",".",
IF(VLOOKUP($B137,Feature_List!$A:$AM,MATCH(BM$1,  Feature_List!$A$1:$AM$1,0),0)=E137,".","NO"))</f>
        <v>.</v>
      </c>
      <c r="BN137" s="136" t="str">
        <f>IF($D137&lt;&gt;"Feature",".",
IF(VLOOKUP($B137,Feature_List!$A:$AM,MATCH(BN$1,  Feature_List!$A$1:$AM$1,0),0)=F137,".","NO"))</f>
        <v>.</v>
      </c>
      <c r="BO137" s="136" t="str">
        <f>IF($D137&lt;&gt;"Feature",".",
IF(VLOOKUP($B137,Feature_List!$A:$AM,MATCH(BO$1,  Feature_List!$A$1:$AM$1,0),0)=G137,".","NO"))</f>
        <v>.</v>
      </c>
      <c r="BP137" s="136" t="str">
        <f>IF($D137&lt;&gt;"Feature",".",
IF(VLOOKUP($B137,Feature_List!$A:$AM,MATCH(BP$1,  Feature_List!$A$1:$AM$1,0),0)=H137,".","NO"))</f>
        <v>.</v>
      </c>
      <c r="BQ137" s="136"/>
      <c r="BR137" s="136" t="str">
        <f>IF($D137&lt;&gt;"Feature",".",
IF(VLOOKUP($B137,Feature_List!$A:$AM,MATCH(BR$1,  Feature_List!$A$1:$AM$1,0),0)=J137,".","NO"))</f>
        <v>.</v>
      </c>
      <c r="BS137" s="136"/>
      <c r="BT137" s="136"/>
      <c r="BU137" s="136" t="str">
        <f>IF($D137&lt;&gt;"Feature",".",
IF(VLOOKUP($B137,Feature_List!$A:$AM,MATCH(BU$1,  Feature_List!$A$1:$AM$1,0),0)=M137,".","NO"))</f>
        <v>.</v>
      </c>
      <c r="BV137" s="136" t="str">
        <f>IF($D137&lt;&gt;"Feature",".",
IF(VLOOKUP($B137,Feature_List!$A:$AM,MATCH(BV$1,  Feature_List!$A$1:$AM$1,0),0)=N137,".","NO"))</f>
        <v>.</v>
      </c>
      <c r="BW137" s="136"/>
      <c r="BX137" s="136"/>
      <c r="BY137" s="136"/>
      <c r="BZ137" s="136"/>
      <c r="CA137" s="136"/>
      <c r="CB137" s="136" t="str">
        <f>IF($D137&lt;&gt;"Feature",".",
IF(VLOOKUP($B137,Feature_List!$A:$AM,MATCH(CB$1,  Feature_List!$A$1:$AM$1,0),0)=T137,".","NO"))</f>
        <v>.</v>
      </c>
      <c r="CC137" s="136"/>
      <c r="CD137" s="136"/>
      <c r="CE137" s="136"/>
      <c r="CF137" s="136"/>
      <c r="CG137" s="136"/>
      <c r="CH137" s="136"/>
      <c r="CI137" s="136"/>
      <c r="CJ137" s="136"/>
      <c r="CK137" s="136"/>
      <c r="CL137" s="136"/>
      <c r="CM137" s="136"/>
      <c r="CN137" s="136"/>
      <c r="CO137" s="136" t="str">
        <f>IF($D137&lt;&gt;"Feature",".",
IF(VLOOKUP($B137,Feature_List!$A:$AM,MATCH(CO$1,  Feature_List!$A$1:$AM$1,0),0)=AG137,".","NO"))</f>
        <v>.</v>
      </c>
      <c r="CP137" s="136" t="str">
        <f>IF($D137&lt;&gt;"Feature",".",
IF(VLOOKUP($B137,Feature_List!$A:$AM,MATCH(CP$1,  Feature_List!$A$1:$AM$1,0),0)=AH137,".","NO"))</f>
        <v>.</v>
      </c>
      <c r="CQ137" s="136" t="str">
        <f>IF($D137&lt;&gt;"Feature",".",
IF(VLOOKUP($B137,Feature_List!$A:$AM,MATCH(CQ$1,  Feature_List!$A$1:$AM$1,0),0)=AI137,".","NO"))</f>
        <v>.</v>
      </c>
      <c r="CR137" s="136" t="str">
        <f>IF($D137&lt;&gt;"Feature",".",
IF(VLOOKUP($B137,Feature_List!$A:$AM,MATCH(CR$1,  Feature_List!$A$1:$AM$1,0),0)=AJ137,".","NO"))</f>
        <v>.</v>
      </c>
      <c r="CS137" s="136" t="str">
        <f>IF($D137&lt;&gt;"Feature",".",
IF(VLOOKUP($B137,Feature_List!$A:$AM,MATCH(CS$1,  Feature_List!$A$1:$AM$1,0),0)=AK137,".","NO"))</f>
        <v>.</v>
      </c>
      <c r="CT137" s="136" t="str">
        <f>IF($D137&lt;&gt;"Feature",".",
IF(VLOOKUP($B137,Feature_List!$A:$AM,MATCH(CT$1,  Feature_List!$A$1:$AM$1,0),0)=AL137,".","NO"))</f>
        <v>.</v>
      </c>
      <c r="CU137" s="136" t="str">
        <f>IF($D137&lt;&gt;"Feature",".",
IF(VLOOKUP($B137,Feature_List!$A:$AM,MATCH(CU$1,  Feature_List!$A$1:$AM$1,0),0)=AM137,".","NO"))</f>
        <v>.</v>
      </c>
      <c r="CV137" s="136" t="str">
        <f>IF($D137&lt;&gt;"Feature",".",
IF(VLOOKUP($B137,Feature_List!$A:$AM,MATCH(CV$1,  Feature_List!$A$1:$AM$1,0),0)=AN137,".","NO"))</f>
        <v>.</v>
      </c>
      <c r="CW137" s="136" t="str">
        <f>IF($D137&lt;&gt;"Feature",".",
IF(VLOOKUP($B137,Feature_List!$A:$AM,MATCH(CW$1,  Feature_List!$A$1:$AM$1,0),0)=AO137,".","NO"))</f>
        <v>.</v>
      </c>
      <c r="CX137" s="136" t="str">
        <f>IF($D137&lt;&gt;"Feature",".",
IF(VLOOKUP($B137,Feature_List!$A:$AM,MATCH(CX$1,  Feature_List!$A$1:$AM$1,0),0)=AP137,".","NO"))</f>
        <v>.</v>
      </c>
      <c r="CY137" s="136" t="str">
        <f>IF($D137&lt;&gt;"Feature",".",
IF(VLOOKUP($B137,Feature_List!$A:$AM,MATCH(CY$1,  Feature_List!$A$1:$AM$1,0),0)=AQ137,".","NO"))</f>
        <v>.</v>
      </c>
      <c r="CZ137" s="136" t="str">
        <f>IF($D137&lt;&gt;"Feature",".",
IF(VLOOKUP($B137,Feature_List!$A:$AM,MATCH(CZ$1,  Feature_List!$A$1:$AM$1,0),0)=AR137,".","NO"))</f>
        <v>.</v>
      </c>
      <c r="DA137" s="136" t="str">
        <f>IF($D137&lt;&gt;"Feature",".",
IF(VLOOKUP($B137,Feature_List!$A:$AM,MATCH(DA$1,  Feature_List!$A$1:$AM$1,0),0)=AS137,".","NO"))</f>
        <v>.</v>
      </c>
      <c r="DB137" s="136" t="str">
        <f>IF($D137&lt;&gt;"Feature",".",
IF(VLOOKUP($B137,Feature_List!$A:$AM,MATCH(DB$1,  Feature_List!$A$1:$AM$1,0),0)=AT137,".","NO"))</f>
        <v>.</v>
      </c>
      <c r="DC137" s="136" t="str">
        <f>IF($D137&lt;&gt;"Feature",".",
IF(VLOOKUP($B137,Feature_List!$A:$AM,MATCH(DC$1,  Feature_List!$A$1:$AM$1,0),0)=AU137,".","NO"))</f>
        <v>.</v>
      </c>
      <c r="DD137" s="136" t="str">
        <f>IF($D137&lt;&gt;"Feature",".",
IF(VLOOKUP($B137,Feature_List!$A:$AM,MATCH(DD$1,  Feature_List!$A$1:$AM$1,0),0)=AV137,".","NO"))</f>
        <v>.</v>
      </c>
      <c r="DE137" s="136" t="str">
        <f>IF($D137&lt;&gt;"Feature",".",
IF(VLOOKUP($B137,Feature_List!$A:$AM,MATCH(DE$1,  Feature_List!$A$1:$AM$1,0),0)=AW137,".","NO"))</f>
        <v>.</v>
      </c>
      <c r="DF137" s="136" t="str">
        <f>IF($D137&lt;&gt;"Feature",".",
IF(VLOOKUP($B137,Feature_List!$A:$AM,MATCH(DF$1,  Feature_List!$A$1:$AM$1,0),0)=AX137,".","NO"))</f>
        <v>.</v>
      </c>
      <c r="DG137" s="136" t="str">
        <f>IF($D137&lt;&gt;"Feature",".",
IF(VLOOKUP($B137,Feature_List!$A:$AM,MATCH(DG$1,  Feature_List!$A$1:$AM$1,0),0)=AY137,".","NO"))</f>
        <v>.</v>
      </c>
      <c r="DH137" s="136" t="str">
        <f>IF($D137&lt;&gt;"Feature",".",
IF(VLOOKUP($B137,Feature_List!$A:$AM,MATCH(DH$1,  Feature_List!$A$1:$AM$1,0),0)=AZ137,".","NO"))</f>
        <v>.</v>
      </c>
      <c r="DI137" s="136" t="str">
        <f>IF($D137&lt;&gt;"Feature",".",
IF(VLOOKUP($B137,Feature_List!$A:$AM,MATCH(DI$1,  Feature_List!$A$1:$AM$1,0),0)=BA137,".","NO"))</f>
        <v>.</v>
      </c>
      <c r="DJ137" s="136" t="str">
        <f>IF($D137&lt;&gt;"Feature",".",
IF(VLOOKUP($B137,Feature_List!$A:$AM,MATCH(DJ$1,  Feature_List!$A$1:$AM$1,0),0)=BB137,".","NO"))</f>
        <v>.</v>
      </c>
      <c r="DK137" s="136"/>
      <c r="DL137" s="136"/>
      <c r="DM137" s="136"/>
      <c r="DN137" s="136" t="str">
        <f>IF($D137&lt;&gt;"Feature",".",
IF(VLOOKUP($B137,Feature_List!$A:$AM,MATCH(DN$1,  Feature_List!$A$1:$AM$1,0),0)=BC137,".","NO"))</f>
        <v>.</v>
      </c>
      <c r="DO137" s="136" t="str">
        <f>IF($D137&lt;&gt;"Feature",".",
IF(VLOOKUP($B137,Feature_List!$A:$AM,MATCH(DO$1,  Feature_List!$A$1:$AM$1,0),0)=BD137,".","NO"))</f>
        <v>.</v>
      </c>
    </row>
    <row r="138" spans="2:119" x14ac:dyDescent="0.3">
      <c r="B138" s="121"/>
      <c r="C138" s="123"/>
      <c r="D138" s="122"/>
      <c r="E138" s="122"/>
      <c r="F138" s="138"/>
      <c r="G138" s="123"/>
      <c r="H138" s="122"/>
      <c r="I138" s="124"/>
      <c r="J138" s="138"/>
      <c r="K138" s="123"/>
      <c r="L138" s="122"/>
      <c r="M138" s="122"/>
      <c r="N138" s="125"/>
      <c r="O138" s="123">
        <f t="shared" si="75"/>
        <v>0</v>
      </c>
      <c r="P138" s="123">
        <f t="shared" si="76"/>
        <v>0</v>
      </c>
      <c r="Q138" s="122" t="str">
        <f t="shared" si="98"/>
        <v>ZeroEntry</v>
      </c>
      <c r="R138" s="126" t="str">
        <f t="shared" si="77"/>
        <v>ZeroEntry</v>
      </c>
      <c r="S138" s="127" t="str">
        <f t="shared" si="78"/>
        <v>ZeroEntry</v>
      </c>
      <c r="T138" s="128" t="str">
        <f>IF($Q138="ZeroEntry", "",VLOOKUP($I138,'Ranking Lookup'!#REF!,2,FALSE))</f>
        <v/>
      </c>
      <c r="U138" s="129" t="str">
        <f t="shared" si="79"/>
        <v/>
      </c>
      <c r="V138" s="129" t="str">
        <f t="shared" si="80"/>
        <v/>
      </c>
      <c r="W138" s="129" t="str">
        <f t="shared" si="81"/>
        <v/>
      </c>
      <c r="X138" s="129" t="str">
        <f t="shared" si="82"/>
        <v/>
      </c>
      <c r="Y138" s="129" t="str">
        <f t="shared" si="83"/>
        <v/>
      </c>
      <c r="Z138" s="129" t="str">
        <f t="shared" si="84"/>
        <v/>
      </c>
      <c r="AA138" s="130"/>
      <c r="AB138" s="130" t="str">
        <f t="shared" si="85"/>
        <v>Unassigned</v>
      </c>
      <c r="AC138" s="131" t="str">
        <f t="shared" si="99"/>
        <v/>
      </c>
      <c r="AD138" s="131" t="str">
        <f t="shared" si="100"/>
        <v/>
      </c>
      <c r="AE138" s="132">
        <f t="shared" si="86"/>
        <v>0</v>
      </c>
      <c r="AF138" s="133" t="str">
        <f t="shared" si="101"/>
        <v/>
      </c>
      <c r="AG138" s="134">
        <f t="shared" si="87"/>
        <v>0</v>
      </c>
      <c r="AH138" s="54" t="str">
        <f t="shared" si="88"/>
        <v/>
      </c>
      <c r="AI138" s="54" t="str">
        <f t="shared" si="89"/>
        <v/>
      </c>
      <c r="AJ138" s="54" t="str">
        <f t="shared" si="89"/>
        <v/>
      </c>
      <c r="AK138" s="54" t="str">
        <f t="shared" si="89"/>
        <v/>
      </c>
      <c r="AL138" s="54" t="str">
        <f t="shared" si="89"/>
        <v/>
      </c>
      <c r="AM138" s="54" t="str">
        <f t="shared" si="89"/>
        <v/>
      </c>
      <c r="AN138" s="54" t="str">
        <f t="shared" si="89"/>
        <v/>
      </c>
      <c r="AO138" s="54" t="str">
        <f t="shared" si="89"/>
        <v/>
      </c>
      <c r="AP138" s="54" t="str">
        <f t="shared" si="89"/>
        <v/>
      </c>
      <c r="AQ138" s="54" t="str">
        <f t="shared" si="89"/>
        <v/>
      </c>
      <c r="AR138" s="54" t="str">
        <f t="shared" si="89"/>
        <v/>
      </c>
      <c r="AS138" s="54" t="str">
        <f t="shared" si="89"/>
        <v/>
      </c>
      <c r="AT138" s="54" t="str">
        <f t="shared" si="89"/>
        <v/>
      </c>
      <c r="AU138" s="54" t="str">
        <f t="shared" si="89"/>
        <v/>
      </c>
      <c r="AV138" s="54" t="str">
        <f t="shared" si="89"/>
        <v/>
      </c>
      <c r="AW138" s="54" t="str">
        <f t="shared" si="89"/>
        <v/>
      </c>
      <c r="AX138" s="54" t="str">
        <f t="shared" si="89"/>
        <v/>
      </c>
      <c r="AY138" s="54" t="str">
        <f t="shared" si="90"/>
        <v/>
      </c>
      <c r="AZ138" s="54" t="str">
        <f t="shared" si="91"/>
        <v/>
      </c>
      <c r="BA138" s="54" t="str">
        <f t="shared" si="92"/>
        <v/>
      </c>
      <c r="BB138" s="135" t="str">
        <f t="shared" si="93"/>
        <v/>
      </c>
      <c r="BC138" s="54" t="str">
        <f t="shared" si="73"/>
        <v/>
      </c>
      <c r="BD138" s="54" t="str">
        <f t="shared" si="73"/>
        <v/>
      </c>
      <c r="BE138" s="54" t="str">
        <f t="shared" si="73"/>
        <v/>
      </c>
      <c r="BF138" s="54" t="str">
        <f t="shared" si="94"/>
        <v/>
      </c>
      <c r="BG138" s="54" t="str">
        <f t="shared" si="95"/>
        <v/>
      </c>
      <c r="BH138" s="34" t="str">
        <f t="shared" si="96"/>
        <v>Bad</v>
      </c>
      <c r="BI138" s="34" t="str">
        <f t="shared" si="97"/>
        <v>No</v>
      </c>
      <c r="BJ138" s="136" t="str">
        <f>IF($D138&lt;&gt;"Feature",".",
IF(VLOOKUP($B138,Feature_List!$A:$AM,MATCH(BJ$1,  Feature_List!$A$1:$AM$1,0),0)=B138,".","NO"))</f>
        <v>.</v>
      </c>
      <c r="BK138" s="136"/>
      <c r="BL138" s="136"/>
      <c r="BM138" s="136" t="str">
        <f>IF($D138&lt;&gt;"Feature",".",
IF(VLOOKUP($B138,Feature_List!$A:$AM,MATCH(BM$1,  Feature_List!$A$1:$AM$1,0),0)=E138,".","NO"))</f>
        <v>.</v>
      </c>
      <c r="BN138" s="136" t="str">
        <f>IF($D138&lt;&gt;"Feature",".",
IF(VLOOKUP($B138,Feature_List!$A:$AM,MATCH(BN$1,  Feature_List!$A$1:$AM$1,0),0)=F138,".","NO"))</f>
        <v>.</v>
      </c>
      <c r="BO138" s="136" t="str">
        <f>IF($D138&lt;&gt;"Feature",".",
IF(VLOOKUP($B138,Feature_List!$A:$AM,MATCH(BO$1,  Feature_List!$A$1:$AM$1,0),0)=G138,".","NO"))</f>
        <v>.</v>
      </c>
      <c r="BP138" s="136" t="str">
        <f>IF($D138&lt;&gt;"Feature",".",
IF(VLOOKUP($B138,Feature_List!$A:$AM,MATCH(BP$1,  Feature_List!$A$1:$AM$1,0),0)=H138,".","NO"))</f>
        <v>.</v>
      </c>
      <c r="BQ138" s="136"/>
      <c r="BR138" s="136" t="str">
        <f>IF($D138&lt;&gt;"Feature",".",
IF(VLOOKUP($B138,Feature_List!$A:$AM,MATCH(BR$1,  Feature_List!$A$1:$AM$1,0),0)=J138,".","NO"))</f>
        <v>.</v>
      </c>
      <c r="BS138" s="136"/>
      <c r="BT138" s="136"/>
      <c r="BU138" s="136" t="str">
        <f>IF($D138&lt;&gt;"Feature",".",
IF(VLOOKUP($B138,Feature_List!$A:$AM,MATCH(BU$1,  Feature_List!$A$1:$AM$1,0),0)=M138,".","NO"))</f>
        <v>.</v>
      </c>
      <c r="BV138" s="136" t="str">
        <f>IF($D138&lt;&gt;"Feature",".",
IF(VLOOKUP($B138,Feature_List!$A:$AM,MATCH(BV$1,  Feature_List!$A$1:$AM$1,0),0)=N138,".","NO"))</f>
        <v>.</v>
      </c>
      <c r="BW138" s="136"/>
      <c r="BX138" s="136"/>
      <c r="BY138" s="136"/>
      <c r="BZ138" s="136"/>
      <c r="CA138" s="136"/>
      <c r="CB138" s="136" t="str">
        <f>IF($D138&lt;&gt;"Feature",".",
IF(VLOOKUP($B138,Feature_List!$A:$AM,MATCH(CB$1,  Feature_List!$A$1:$AM$1,0),0)=T138,".","NO"))</f>
        <v>.</v>
      </c>
      <c r="CC138" s="136"/>
      <c r="CD138" s="136"/>
      <c r="CE138" s="136"/>
      <c r="CF138" s="136"/>
      <c r="CG138" s="136"/>
      <c r="CH138" s="136"/>
      <c r="CI138" s="136"/>
      <c r="CJ138" s="136"/>
      <c r="CK138" s="136"/>
      <c r="CL138" s="136"/>
      <c r="CM138" s="136"/>
      <c r="CN138" s="136"/>
      <c r="CO138" s="136" t="str">
        <f>IF($D138&lt;&gt;"Feature",".",
IF(VLOOKUP($B138,Feature_List!$A:$AM,MATCH(CO$1,  Feature_List!$A$1:$AM$1,0),0)=AG138,".","NO"))</f>
        <v>.</v>
      </c>
      <c r="CP138" s="136" t="str">
        <f>IF($D138&lt;&gt;"Feature",".",
IF(VLOOKUP($B138,Feature_List!$A:$AM,MATCH(CP$1,  Feature_List!$A$1:$AM$1,0),0)=AH138,".","NO"))</f>
        <v>.</v>
      </c>
      <c r="CQ138" s="136" t="str">
        <f>IF($D138&lt;&gt;"Feature",".",
IF(VLOOKUP($B138,Feature_List!$A:$AM,MATCH(CQ$1,  Feature_List!$A$1:$AM$1,0),0)=AI138,".","NO"))</f>
        <v>.</v>
      </c>
      <c r="CR138" s="136" t="str">
        <f>IF($D138&lt;&gt;"Feature",".",
IF(VLOOKUP($B138,Feature_List!$A:$AM,MATCH(CR$1,  Feature_List!$A$1:$AM$1,0),0)=AJ138,".","NO"))</f>
        <v>.</v>
      </c>
      <c r="CS138" s="136" t="str">
        <f>IF($D138&lt;&gt;"Feature",".",
IF(VLOOKUP($B138,Feature_List!$A:$AM,MATCH(CS$1,  Feature_List!$A$1:$AM$1,0),0)=AK138,".","NO"))</f>
        <v>.</v>
      </c>
      <c r="CT138" s="136" t="str">
        <f>IF($D138&lt;&gt;"Feature",".",
IF(VLOOKUP($B138,Feature_List!$A:$AM,MATCH(CT$1,  Feature_List!$A$1:$AM$1,0),0)=AL138,".","NO"))</f>
        <v>.</v>
      </c>
      <c r="CU138" s="136" t="str">
        <f>IF($D138&lt;&gt;"Feature",".",
IF(VLOOKUP($B138,Feature_List!$A:$AM,MATCH(CU$1,  Feature_List!$A$1:$AM$1,0),0)=AM138,".","NO"))</f>
        <v>.</v>
      </c>
      <c r="CV138" s="136" t="str">
        <f>IF($D138&lt;&gt;"Feature",".",
IF(VLOOKUP($B138,Feature_List!$A:$AM,MATCH(CV$1,  Feature_List!$A$1:$AM$1,0),0)=AN138,".","NO"))</f>
        <v>.</v>
      </c>
      <c r="CW138" s="136" t="str">
        <f>IF($D138&lt;&gt;"Feature",".",
IF(VLOOKUP($B138,Feature_List!$A:$AM,MATCH(CW$1,  Feature_List!$A$1:$AM$1,0),0)=AO138,".","NO"))</f>
        <v>.</v>
      </c>
      <c r="CX138" s="136" t="str">
        <f>IF($D138&lt;&gt;"Feature",".",
IF(VLOOKUP($B138,Feature_List!$A:$AM,MATCH(CX$1,  Feature_List!$A$1:$AM$1,0),0)=AP138,".","NO"))</f>
        <v>.</v>
      </c>
      <c r="CY138" s="136" t="str">
        <f>IF($D138&lt;&gt;"Feature",".",
IF(VLOOKUP($B138,Feature_List!$A:$AM,MATCH(CY$1,  Feature_List!$A$1:$AM$1,0),0)=AQ138,".","NO"))</f>
        <v>.</v>
      </c>
      <c r="CZ138" s="136" t="str">
        <f>IF($D138&lt;&gt;"Feature",".",
IF(VLOOKUP($B138,Feature_List!$A:$AM,MATCH(CZ$1,  Feature_List!$A$1:$AM$1,0),0)=AR138,".","NO"))</f>
        <v>.</v>
      </c>
      <c r="DA138" s="136" t="str">
        <f>IF($D138&lt;&gt;"Feature",".",
IF(VLOOKUP($B138,Feature_List!$A:$AM,MATCH(DA$1,  Feature_List!$A$1:$AM$1,0),0)=AS138,".","NO"))</f>
        <v>.</v>
      </c>
      <c r="DB138" s="136" t="str">
        <f>IF($D138&lt;&gt;"Feature",".",
IF(VLOOKUP($B138,Feature_List!$A:$AM,MATCH(DB$1,  Feature_List!$A$1:$AM$1,0),0)=AT138,".","NO"))</f>
        <v>.</v>
      </c>
      <c r="DC138" s="136" t="str">
        <f>IF($D138&lt;&gt;"Feature",".",
IF(VLOOKUP($B138,Feature_List!$A:$AM,MATCH(DC$1,  Feature_List!$A$1:$AM$1,0),0)=AU138,".","NO"))</f>
        <v>.</v>
      </c>
      <c r="DD138" s="136" t="str">
        <f>IF($D138&lt;&gt;"Feature",".",
IF(VLOOKUP($B138,Feature_List!$A:$AM,MATCH(DD$1,  Feature_List!$A$1:$AM$1,0),0)=AV138,".","NO"))</f>
        <v>.</v>
      </c>
      <c r="DE138" s="136" t="str">
        <f>IF($D138&lt;&gt;"Feature",".",
IF(VLOOKUP($B138,Feature_List!$A:$AM,MATCH(DE$1,  Feature_List!$A$1:$AM$1,0),0)=AW138,".","NO"))</f>
        <v>.</v>
      </c>
      <c r="DF138" s="136" t="str">
        <f>IF($D138&lt;&gt;"Feature",".",
IF(VLOOKUP($B138,Feature_List!$A:$AM,MATCH(DF$1,  Feature_List!$A$1:$AM$1,0),0)=AX138,".","NO"))</f>
        <v>.</v>
      </c>
      <c r="DG138" s="136" t="str">
        <f>IF($D138&lt;&gt;"Feature",".",
IF(VLOOKUP($B138,Feature_List!$A:$AM,MATCH(DG$1,  Feature_List!$A$1:$AM$1,0),0)=AY138,".","NO"))</f>
        <v>.</v>
      </c>
      <c r="DH138" s="136" t="str">
        <f>IF($D138&lt;&gt;"Feature",".",
IF(VLOOKUP($B138,Feature_List!$A:$AM,MATCH(DH$1,  Feature_List!$A$1:$AM$1,0),0)=AZ138,".","NO"))</f>
        <v>.</v>
      </c>
      <c r="DI138" s="136" t="str">
        <f>IF($D138&lt;&gt;"Feature",".",
IF(VLOOKUP($B138,Feature_List!$A:$AM,MATCH(DI$1,  Feature_List!$A$1:$AM$1,0),0)=BA138,".","NO"))</f>
        <v>.</v>
      </c>
      <c r="DJ138" s="136" t="str">
        <f>IF($D138&lt;&gt;"Feature",".",
IF(VLOOKUP($B138,Feature_List!$A:$AM,MATCH(DJ$1,  Feature_List!$A$1:$AM$1,0),0)=BB138,".","NO"))</f>
        <v>.</v>
      </c>
      <c r="DK138" s="136"/>
      <c r="DL138" s="136"/>
      <c r="DM138" s="136"/>
      <c r="DN138" s="136" t="str">
        <f>IF($D138&lt;&gt;"Feature",".",
IF(VLOOKUP($B138,Feature_List!$A:$AM,MATCH(DN$1,  Feature_List!$A$1:$AM$1,0),0)=BC138,".","NO"))</f>
        <v>.</v>
      </c>
      <c r="DO138" s="136" t="str">
        <f>IF($D138&lt;&gt;"Feature",".",
IF(VLOOKUP($B138,Feature_List!$A:$AM,MATCH(DO$1,  Feature_List!$A$1:$AM$1,0),0)=BD138,".","NO"))</f>
        <v>.</v>
      </c>
    </row>
    <row r="139" spans="2:119" x14ac:dyDescent="0.3">
      <c r="B139" s="121"/>
      <c r="C139" s="122"/>
      <c r="D139" s="122"/>
      <c r="E139" s="122"/>
      <c r="F139" s="138"/>
      <c r="G139" s="123"/>
      <c r="H139" s="122"/>
      <c r="I139" s="124"/>
      <c r="J139" s="138"/>
      <c r="K139" s="123"/>
      <c r="L139" s="122"/>
      <c r="M139" s="122"/>
      <c r="N139" s="125"/>
      <c r="O139" s="123">
        <f t="shared" si="75"/>
        <v>0</v>
      </c>
      <c r="P139" s="123">
        <f t="shared" si="76"/>
        <v>0</v>
      </c>
      <c r="Q139" s="122" t="str">
        <f t="shared" si="98"/>
        <v>ZeroEntry</v>
      </c>
      <c r="R139" s="126" t="str">
        <f t="shared" si="77"/>
        <v>ZeroEntry</v>
      </c>
      <c r="S139" s="127" t="str">
        <f t="shared" si="78"/>
        <v>ZeroEntry</v>
      </c>
      <c r="T139" s="128" t="str">
        <f>IF($Q139="ZeroEntry", "",VLOOKUP($I139,'Ranking Lookup'!#REF!,2,FALSE))</f>
        <v/>
      </c>
      <c r="U139" s="129" t="str">
        <f t="shared" si="79"/>
        <v/>
      </c>
      <c r="V139" s="129" t="str">
        <f t="shared" si="80"/>
        <v/>
      </c>
      <c r="W139" s="129" t="str">
        <f t="shared" si="81"/>
        <v/>
      </c>
      <c r="X139" s="129" t="str">
        <f t="shared" si="82"/>
        <v/>
      </c>
      <c r="Y139" s="129" t="str">
        <f t="shared" si="83"/>
        <v/>
      </c>
      <c r="Z139" s="129" t="str">
        <f t="shared" si="84"/>
        <v/>
      </c>
      <c r="AA139" s="130"/>
      <c r="AB139" s="130" t="str">
        <f t="shared" si="85"/>
        <v>Unassigned</v>
      </c>
      <c r="AC139" s="131" t="str">
        <f t="shared" si="99"/>
        <v/>
      </c>
      <c r="AD139" s="131" t="str">
        <f t="shared" si="100"/>
        <v/>
      </c>
      <c r="AE139" s="132">
        <f t="shared" si="86"/>
        <v>0</v>
      </c>
      <c r="AF139" s="133" t="str">
        <f t="shared" si="101"/>
        <v/>
      </c>
      <c r="AG139" s="134">
        <f t="shared" si="87"/>
        <v>0</v>
      </c>
      <c r="AH139" s="54" t="str">
        <f t="shared" si="88"/>
        <v/>
      </c>
      <c r="AI139" s="54" t="str">
        <f t="shared" si="89"/>
        <v/>
      </c>
      <c r="AJ139" s="54" t="str">
        <f t="shared" si="89"/>
        <v/>
      </c>
      <c r="AK139" s="54" t="str">
        <f t="shared" si="89"/>
        <v/>
      </c>
      <c r="AL139" s="54" t="str">
        <f t="shared" si="89"/>
        <v/>
      </c>
      <c r="AM139" s="54" t="str">
        <f t="shared" si="89"/>
        <v/>
      </c>
      <c r="AN139" s="54" t="str">
        <f t="shared" si="89"/>
        <v/>
      </c>
      <c r="AO139" s="54" t="str">
        <f t="shared" si="89"/>
        <v/>
      </c>
      <c r="AP139" s="54" t="str">
        <f t="shared" si="89"/>
        <v/>
      </c>
      <c r="AQ139" s="54" t="str">
        <f t="shared" si="89"/>
        <v/>
      </c>
      <c r="AR139" s="54" t="str">
        <f t="shared" si="89"/>
        <v/>
      </c>
      <c r="AS139" s="54" t="str">
        <f t="shared" si="89"/>
        <v/>
      </c>
      <c r="AT139" s="54" t="str">
        <f t="shared" si="89"/>
        <v/>
      </c>
      <c r="AU139" s="54" t="str">
        <f t="shared" si="89"/>
        <v/>
      </c>
      <c r="AV139" s="54" t="str">
        <f t="shared" si="89"/>
        <v/>
      </c>
      <c r="AW139" s="54" t="str">
        <f t="shared" si="89"/>
        <v/>
      </c>
      <c r="AX139" s="54" t="str">
        <f t="shared" si="89"/>
        <v/>
      </c>
      <c r="AY139" s="54" t="str">
        <f t="shared" si="90"/>
        <v/>
      </c>
      <c r="AZ139" s="54" t="str">
        <f t="shared" si="91"/>
        <v/>
      </c>
      <c r="BA139" s="54" t="str">
        <f t="shared" si="92"/>
        <v/>
      </c>
      <c r="BB139" s="135" t="str">
        <f t="shared" si="93"/>
        <v/>
      </c>
      <c r="BC139" s="54" t="str">
        <f t="shared" si="73"/>
        <v/>
      </c>
      <c r="BD139" s="54" t="str">
        <f t="shared" si="73"/>
        <v/>
      </c>
      <c r="BE139" s="54" t="str">
        <f t="shared" si="73"/>
        <v/>
      </c>
      <c r="BF139" s="54" t="str">
        <f t="shared" si="94"/>
        <v/>
      </c>
      <c r="BG139" s="54" t="str">
        <f t="shared" si="95"/>
        <v/>
      </c>
      <c r="BH139" s="34" t="str">
        <f t="shared" si="96"/>
        <v>Bad</v>
      </c>
      <c r="BI139" s="34" t="str">
        <f t="shared" si="97"/>
        <v>No</v>
      </c>
      <c r="BJ139" s="136" t="str">
        <f>IF($D139&lt;&gt;"Feature",".",
IF(VLOOKUP($B139,Feature_List!$A:$AM,MATCH(BJ$1,  Feature_List!$A$1:$AM$1,0),0)=B139,".","NO"))</f>
        <v>.</v>
      </c>
      <c r="BK139" s="136"/>
      <c r="BL139" s="136"/>
      <c r="BM139" s="136" t="str">
        <f>IF($D139&lt;&gt;"Feature",".",
IF(VLOOKUP($B139,Feature_List!$A:$AM,MATCH(BM$1,  Feature_List!$A$1:$AM$1,0),0)=E139,".","NO"))</f>
        <v>.</v>
      </c>
      <c r="BN139" s="136" t="str">
        <f>IF($D139&lt;&gt;"Feature",".",
IF(VLOOKUP($B139,Feature_List!$A:$AM,MATCH(BN$1,  Feature_List!$A$1:$AM$1,0),0)=F139,".","NO"))</f>
        <v>.</v>
      </c>
      <c r="BO139" s="136" t="str">
        <f>IF($D139&lt;&gt;"Feature",".",
IF(VLOOKUP($B139,Feature_List!$A:$AM,MATCH(BO$1,  Feature_List!$A$1:$AM$1,0),0)=G139,".","NO"))</f>
        <v>.</v>
      </c>
      <c r="BP139" s="136" t="str">
        <f>IF($D139&lt;&gt;"Feature",".",
IF(VLOOKUP($B139,Feature_List!$A:$AM,MATCH(BP$1,  Feature_List!$A$1:$AM$1,0),0)=H139,".","NO"))</f>
        <v>.</v>
      </c>
      <c r="BQ139" s="136"/>
      <c r="BR139" s="136" t="str">
        <f>IF($D139&lt;&gt;"Feature",".",
IF(VLOOKUP($B139,Feature_List!$A:$AM,MATCH(BR$1,  Feature_List!$A$1:$AM$1,0),0)=J139,".","NO"))</f>
        <v>.</v>
      </c>
      <c r="BS139" s="136"/>
      <c r="BT139" s="136"/>
      <c r="BU139" s="136" t="str">
        <f>IF($D139&lt;&gt;"Feature",".",
IF(VLOOKUP($B139,Feature_List!$A:$AM,MATCH(BU$1,  Feature_List!$A$1:$AM$1,0),0)=M139,".","NO"))</f>
        <v>.</v>
      </c>
      <c r="BV139" s="136" t="str">
        <f>IF($D139&lt;&gt;"Feature",".",
IF(VLOOKUP($B139,Feature_List!$A:$AM,MATCH(BV$1,  Feature_List!$A$1:$AM$1,0),0)=N139,".","NO"))</f>
        <v>.</v>
      </c>
      <c r="BW139" s="136"/>
      <c r="BX139" s="136"/>
      <c r="BY139" s="136"/>
      <c r="BZ139" s="136"/>
      <c r="CA139" s="136"/>
      <c r="CB139" s="136" t="str">
        <f>IF($D139&lt;&gt;"Feature",".",
IF(VLOOKUP($B139,Feature_List!$A:$AM,MATCH(CB$1,  Feature_List!$A$1:$AM$1,0),0)=T139,".","NO"))</f>
        <v>.</v>
      </c>
      <c r="CC139" s="136"/>
      <c r="CD139" s="136"/>
      <c r="CE139" s="136"/>
      <c r="CF139" s="136"/>
      <c r="CG139" s="136"/>
      <c r="CH139" s="136"/>
      <c r="CI139" s="136"/>
      <c r="CJ139" s="136"/>
      <c r="CK139" s="136"/>
      <c r="CL139" s="136"/>
      <c r="CM139" s="136"/>
      <c r="CN139" s="136"/>
      <c r="CO139" s="136" t="str">
        <f>IF($D139&lt;&gt;"Feature",".",
IF(VLOOKUP($B139,Feature_List!$A:$AM,MATCH(CO$1,  Feature_List!$A$1:$AM$1,0),0)=AG139,".","NO"))</f>
        <v>.</v>
      </c>
      <c r="CP139" s="136" t="str">
        <f>IF($D139&lt;&gt;"Feature",".",
IF(VLOOKUP($B139,Feature_List!$A:$AM,MATCH(CP$1,  Feature_List!$A$1:$AM$1,0),0)=AH139,".","NO"))</f>
        <v>.</v>
      </c>
      <c r="CQ139" s="136" t="str">
        <f>IF($D139&lt;&gt;"Feature",".",
IF(VLOOKUP($B139,Feature_List!$A:$AM,MATCH(CQ$1,  Feature_List!$A$1:$AM$1,0),0)=AI139,".","NO"))</f>
        <v>.</v>
      </c>
      <c r="CR139" s="136" t="str">
        <f>IF($D139&lt;&gt;"Feature",".",
IF(VLOOKUP($B139,Feature_List!$A:$AM,MATCH(CR$1,  Feature_List!$A$1:$AM$1,0),0)=AJ139,".","NO"))</f>
        <v>.</v>
      </c>
      <c r="CS139" s="136" t="str">
        <f>IF($D139&lt;&gt;"Feature",".",
IF(VLOOKUP($B139,Feature_List!$A:$AM,MATCH(CS$1,  Feature_List!$A$1:$AM$1,0),0)=AK139,".","NO"))</f>
        <v>.</v>
      </c>
      <c r="CT139" s="136" t="str">
        <f>IF($D139&lt;&gt;"Feature",".",
IF(VLOOKUP($B139,Feature_List!$A:$AM,MATCH(CT$1,  Feature_List!$A$1:$AM$1,0),0)=AL139,".","NO"))</f>
        <v>.</v>
      </c>
      <c r="CU139" s="136" t="str">
        <f>IF($D139&lt;&gt;"Feature",".",
IF(VLOOKUP($B139,Feature_List!$A:$AM,MATCH(CU$1,  Feature_List!$A$1:$AM$1,0),0)=AM139,".","NO"))</f>
        <v>.</v>
      </c>
      <c r="CV139" s="136" t="str">
        <f>IF($D139&lt;&gt;"Feature",".",
IF(VLOOKUP($B139,Feature_List!$A:$AM,MATCH(CV$1,  Feature_List!$A$1:$AM$1,0),0)=AN139,".","NO"))</f>
        <v>.</v>
      </c>
      <c r="CW139" s="136" t="str">
        <f>IF($D139&lt;&gt;"Feature",".",
IF(VLOOKUP($B139,Feature_List!$A:$AM,MATCH(CW$1,  Feature_List!$A$1:$AM$1,0),0)=AO139,".","NO"))</f>
        <v>.</v>
      </c>
      <c r="CX139" s="136" t="str">
        <f>IF($D139&lt;&gt;"Feature",".",
IF(VLOOKUP($B139,Feature_List!$A:$AM,MATCH(CX$1,  Feature_List!$A$1:$AM$1,0),0)=AP139,".","NO"))</f>
        <v>.</v>
      </c>
      <c r="CY139" s="136" t="str">
        <f>IF($D139&lt;&gt;"Feature",".",
IF(VLOOKUP($B139,Feature_List!$A:$AM,MATCH(CY$1,  Feature_List!$A$1:$AM$1,0),0)=AQ139,".","NO"))</f>
        <v>.</v>
      </c>
      <c r="CZ139" s="136" t="str">
        <f>IF($D139&lt;&gt;"Feature",".",
IF(VLOOKUP($B139,Feature_List!$A:$AM,MATCH(CZ$1,  Feature_List!$A$1:$AM$1,0),0)=AR139,".","NO"))</f>
        <v>.</v>
      </c>
      <c r="DA139" s="136" t="str">
        <f>IF($D139&lt;&gt;"Feature",".",
IF(VLOOKUP($B139,Feature_List!$A:$AM,MATCH(DA$1,  Feature_List!$A$1:$AM$1,0),0)=AS139,".","NO"))</f>
        <v>.</v>
      </c>
      <c r="DB139" s="136" t="str">
        <f>IF($D139&lt;&gt;"Feature",".",
IF(VLOOKUP($B139,Feature_List!$A:$AM,MATCH(DB$1,  Feature_List!$A$1:$AM$1,0),0)=AT139,".","NO"))</f>
        <v>.</v>
      </c>
      <c r="DC139" s="136" t="str">
        <f>IF($D139&lt;&gt;"Feature",".",
IF(VLOOKUP($B139,Feature_List!$A:$AM,MATCH(DC$1,  Feature_List!$A$1:$AM$1,0),0)=AU139,".","NO"))</f>
        <v>.</v>
      </c>
      <c r="DD139" s="136" t="str">
        <f>IF($D139&lt;&gt;"Feature",".",
IF(VLOOKUP($B139,Feature_List!$A:$AM,MATCH(DD$1,  Feature_List!$A$1:$AM$1,0),0)=AV139,".","NO"))</f>
        <v>.</v>
      </c>
      <c r="DE139" s="136" t="str">
        <f>IF($D139&lt;&gt;"Feature",".",
IF(VLOOKUP($B139,Feature_List!$A:$AM,MATCH(DE$1,  Feature_List!$A$1:$AM$1,0),0)=AW139,".","NO"))</f>
        <v>.</v>
      </c>
      <c r="DF139" s="136" t="str">
        <f>IF($D139&lt;&gt;"Feature",".",
IF(VLOOKUP($B139,Feature_List!$A:$AM,MATCH(DF$1,  Feature_List!$A$1:$AM$1,0),0)=AX139,".","NO"))</f>
        <v>.</v>
      </c>
      <c r="DG139" s="136" t="str">
        <f>IF($D139&lt;&gt;"Feature",".",
IF(VLOOKUP($B139,Feature_List!$A:$AM,MATCH(DG$1,  Feature_List!$A$1:$AM$1,0),0)=AY139,".","NO"))</f>
        <v>.</v>
      </c>
      <c r="DH139" s="136" t="str">
        <f>IF($D139&lt;&gt;"Feature",".",
IF(VLOOKUP($B139,Feature_List!$A:$AM,MATCH(DH$1,  Feature_List!$A$1:$AM$1,0),0)=AZ139,".","NO"))</f>
        <v>.</v>
      </c>
      <c r="DI139" s="136" t="str">
        <f>IF($D139&lt;&gt;"Feature",".",
IF(VLOOKUP($B139,Feature_List!$A:$AM,MATCH(DI$1,  Feature_List!$A$1:$AM$1,0),0)=BA139,".","NO"))</f>
        <v>.</v>
      </c>
      <c r="DJ139" s="136" t="str">
        <f>IF($D139&lt;&gt;"Feature",".",
IF(VLOOKUP($B139,Feature_List!$A:$AM,MATCH(DJ$1,  Feature_List!$A$1:$AM$1,0),0)=BB139,".","NO"))</f>
        <v>.</v>
      </c>
      <c r="DK139" s="136"/>
      <c r="DL139" s="136"/>
      <c r="DM139" s="136"/>
      <c r="DN139" s="136" t="str">
        <f>IF($D139&lt;&gt;"Feature",".",
IF(VLOOKUP($B139,Feature_List!$A:$AM,MATCH(DN$1,  Feature_List!$A$1:$AM$1,0),0)=BC139,".","NO"))</f>
        <v>.</v>
      </c>
      <c r="DO139" s="136" t="str">
        <f>IF($D139&lt;&gt;"Feature",".",
IF(VLOOKUP($B139,Feature_List!$A:$AM,MATCH(DO$1,  Feature_List!$A$1:$AM$1,0),0)=BD139,".","NO"))</f>
        <v>.</v>
      </c>
    </row>
    <row r="140" spans="2:119" x14ac:dyDescent="0.3">
      <c r="B140" s="121"/>
      <c r="C140" s="122"/>
      <c r="D140" s="122"/>
      <c r="E140" s="122"/>
      <c r="F140" s="138"/>
      <c r="G140" s="123"/>
      <c r="H140" s="122"/>
      <c r="I140" s="124"/>
      <c r="J140" s="138"/>
      <c r="K140" s="123"/>
      <c r="L140" s="122"/>
      <c r="M140" s="122"/>
      <c r="N140" s="125"/>
      <c r="O140" s="123">
        <f t="shared" si="75"/>
        <v>0</v>
      </c>
      <c r="P140" s="123">
        <f t="shared" si="76"/>
        <v>0</v>
      </c>
      <c r="Q140" s="122" t="str">
        <f t="shared" si="98"/>
        <v>ZeroEntry</v>
      </c>
      <c r="R140" s="126" t="str">
        <f t="shared" si="77"/>
        <v>ZeroEntry</v>
      </c>
      <c r="S140" s="127" t="str">
        <f t="shared" si="78"/>
        <v>ZeroEntry</v>
      </c>
      <c r="T140" s="128" t="str">
        <f>IF($Q140="ZeroEntry", "",VLOOKUP($I140,'Ranking Lookup'!#REF!,2,FALSE))</f>
        <v/>
      </c>
      <c r="U140" s="129" t="str">
        <f t="shared" si="79"/>
        <v/>
      </c>
      <c r="V140" s="129" t="str">
        <f t="shared" si="80"/>
        <v/>
      </c>
      <c r="W140" s="129" t="str">
        <f t="shared" si="81"/>
        <v/>
      </c>
      <c r="X140" s="129" t="str">
        <f t="shared" si="82"/>
        <v/>
      </c>
      <c r="Y140" s="129" t="str">
        <f t="shared" si="83"/>
        <v/>
      </c>
      <c r="Z140" s="129" t="str">
        <f t="shared" si="84"/>
        <v/>
      </c>
      <c r="AA140" s="130"/>
      <c r="AB140" s="130" t="str">
        <f t="shared" si="85"/>
        <v>Unassigned</v>
      </c>
      <c r="AC140" s="131" t="str">
        <f t="shared" si="99"/>
        <v/>
      </c>
      <c r="AD140" s="131" t="str">
        <f t="shared" si="100"/>
        <v/>
      </c>
      <c r="AE140" s="132">
        <f t="shared" si="86"/>
        <v>0</v>
      </c>
      <c r="AF140" s="133" t="str">
        <f t="shared" si="101"/>
        <v/>
      </c>
      <c r="AG140" s="134">
        <f t="shared" si="87"/>
        <v>0</v>
      </c>
      <c r="AH140" s="54" t="str">
        <f t="shared" si="88"/>
        <v/>
      </c>
      <c r="AI140" s="54" t="str">
        <f t="shared" si="89"/>
        <v/>
      </c>
      <c r="AJ140" s="54" t="str">
        <f t="shared" si="89"/>
        <v/>
      </c>
      <c r="AK140" s="54" t="str">
        <f t="shared" si="89"/>
        <v/>
      </c>
      <c r="AL140" s="54" t="str">
        <f t="shared" si="89"/>
        <v/>
      </c>
      <c r="AM140" s="54" t="str">
        <f t="shared" si="89"/>
        <v/>
      </c>
      <c r="AN140" s="54" t="str">
        <f t="shared" si="89"/>
        <v/>
      </c>
      <c r="AO140" s="54" t="str">
        <f t="shared" si="89"/>
        <v/>
      </c>
      <c r="AP140" s="54" t="str">
        <f t="shared" si="89"/>
        <v/>
      </c>
      <c r="AQ140" s="54" t="str">
        <f t="shared" si="89"/>
        <v/>
      </c>
      <c r="AR140" s="54" t="str">
        <f t="shared" si="89"/>
        <v/>
      </c>
      <c r="AS140" s="54" t="str">
        <f t="shared" si="89"/>
        <v/>
      </c>
      <c r="AT140" s="54" t="str">
        <f t="shared" si="89"/>
        <v/>
      </c>
      <c r="AU140" s="54" t="str">
        <f t="shared" si="89"/>
        <v/>
      </c>
      <c r="AV140" s="54" t="str">
        <f t="shared" si="89"/>
        <v/>
      </c>
      <c r="AW140" s="54" t="str">
        <f t="shared" si="89"/>
        <v/>
      </c>
      <c r="AX140" s="54" t="str">
        <f t="shared" si="89"/>
        <v/>
      </c>
      <c r="AY140" s="54" t="str">
        <f t="shared" si="90"/>
        <v/>
      </c>
      <c r="AZ140" s="54" t="str">
        <f t="shared" si="91"/>
        <v/>
      </c>
      <c r="BA140" s="54" t="str">
        <f t="shared" si="92"/>
        <v/>
      </c>
      <c r="BB140" s="135" t="str">
        <f t="shared" si="93"/>
        <v/>
      </c>
      <c r="BC140" s="54" t="str">
        <f t="shared" si="73"/>
        <v/>
      </c>
      <c r="BD140" s="54" t="str">
        <f t="shared" si="73"/>
        <v/>
      </c>
      <c r="BE140" s="54" t="str">
        <f t="shared" si="73"/>
        <v/>
      </c>
      <c r="BF140" s="54" t="str">
        <f t="shared" si="94"/>
        <v/>
      </c>
      <c r="BG140" s="54" t="str">
        <f t="shared" si="95"/>
        <v/>
      </c>
      <c r="BH140" s="34" t="str">
        <f t="shared" si="96"/>
        <v>Bad</v>
      </c>
      <c r="BI140" s="34" t="str">
        <f t="shared" si="97"/>
        <v>No</v>
      </c>
      <c r="BJ140" s="136" t="str">
        <f>IF($D140&lt;&gt;"Feature",".",
IF(VLOOKUP($B140,Feature_List!$A:$AM,MATCH(BJ$1,  Feature_List!$A$1:$AM$1,0),0)=B140,".","NO"))</f>
        <v>.</v>
      </c>
      <c r="BK140" s="136"/>
      <c r="BL140" s="136"/>
      <c r="BM140" s="136" t="str">
        <f>IF($D140&lt;&gt;"Feature",".",
IF(VLOOKUP($B140,Feature_List!$A:$AM,MATCH(BM$1,  Feature_List!$A$1:$AM$1,0),0)=E140,".","NO"))</f>
        <v>.</v>
      </c>
      <c r="BN140" s="136" t="str">
        <f>IF($D140&lt;&gt;"Feature",".",
IF(VLOOKUP($B140,Feature_List!$A:$AM,MATCH(BN$1,  Feature_List!$A$1:$AM$1,0),0)=F140,".","NO"))</f>
        <v>.</v>
      </c>
      <c r="BO140" s="136" t="str">
        <f>IF($D140&lt;&gt;"Feature",".",
IF(VLOOKUP($B140,Feature_List!$A:$AM,MATCH(BO$1,  Feature_List!$A$1:$AM$1,0),0)=G140,".","NO"))</f>
        <v>.</v>
      </c>
      <c r="BP140" s="136" t="str">
        <f>IF($D140&lt;&gt;"Feature",".",
IF(VLOOKUP($B140,Feature_List!$A:$AM,MATCH(BP$1,  Feature_List!$A$1:$AM$1,0),0)=H140,".","NO"))</f>
        <v>.</v>
      </c>
      <c r="BQ140" s="136"/>
      <c r="BR140" s="136" t="str">
        <f>IF($D140&lt;&gt;"Feature",".",
IF(VLOOKUP($B140,Feature_List!$A:$AM,MATCH(BR$1,  Feature_List!$A$1:$AM$1,0),0)=J140,".","NO"))</f>
        <v>.</v>
      </c>
      <c r="BS140" s="136"/>
      <c r="BT140" s="136"/>
      <c r="BU140" s="136" t="str">
        <f>IF($D140&lt;&gt;"Feature",".",
IF(VLOOKUP($B140,Feature_List!$A:$AM,MATCH(BU$1,  Feature_List!$A$1:$AM$1,0),0)=M140,".","NO"))</f>
        <v>.</v>
      </c>
      <c r="BV140" s="136" t="str">
        <f>IF($D140&lt;&gt;"Feature",".",
IF(VLOOKUP($B140,Feature_List!$A:$AM,MATCH(BV$1,  Feature_List!$A$1:$AM$1,0),0)=N140,".","NO"))</f>
        <v>.</v>
      </c>
      <c r="BW140" s="136"/>
      <c r="BX140" s="136"/>
      <c r="BY140" s="136"/>
      <c r="BZ140" s="136"/>
      <c r="CA140" s="136"/>
      <c r="CB140" s="136" t="str">
        <f>IF($D140&lt;&gt;"Feature",".",
IF(VLOOKUP($B140,Feature_List!$A:$AM,MATCH(CB$1,  Feature_List!$A$1:$AM$1,0),0)=T140,".","NO"))</f>
        <v>.</v>
      </c>
      <c r="CC140" s="136"/>
      <c r="CD140" s="136"/>
      <c r="CE140" s="136"/>
      <c r="CF140" s="136"/>
      <c r="CG140" s="136"/>
      <c r="CH140" s="136"/>
      <c r="CI140" s="136"/>
      <c r="CJ140" s="136"/>
      <c r="CK140" s="136"/>
      <c r="CL140" s="136"/>
      <c r="CM140" s="136"/>
      <c r="CN140" s="136"/>
      <c r="CO140" s="136" t="str">
        <f>IF($D140&lt;&gt;"Feature",".",
IF(VLOOKUP($B140,Feature_List!$A:$AM,MATCH(CO$1,  Feature_List!$A$1:$AM$1,0),0)=AG140,".","NO"))</f>
        <v>.</v>
      </c>
      <c r="CP140" s="136" t="str">
        <f>IF($D140&lt;&gt;"Feature",".",
IF(VLOOKUP($B140,Feature_List!$A:$AM,MATCH(CP$1,  Feature_List!$A$1:$AM$1,0),0)=AH140,".","NO"))</f>
        <v>.</v>
      </c>
      <c r="CQ140" s="136" t="str">
        <f>IF($D140&lt;&gt;"Feature",".",
IF(VLOOKUP($B140,Feature_List!$A:$AM,MATCH(CQ$1,  Feature_List!$A$1:$AM$1,0),0)=AI140,".","NO"))</f>
        <v>.</v>
      </c>
      <c r="CR140" s="136" t="str">
        <f>IF($D140&lt;&gt;"Feature",".",
IF(VLOOKUP($B140,Feature_List!$A:$AM,MATCH(CR$1,  Feature_List!$A$1:$AM$1,0),0)=AJ140,".","NO"))</f>
        <v>.</v>
      </c>
      <c r="CS140" s="136" t="str">
        <f>IF($D140&lt;&gt;"Feature",".",
IF(VLOOKUP($B140,Feature_List!$A:$AM,MATCH(CS$1,  Feature_List!$A$1:$AM$1,0),0)=AK140,".","NO"))</f>
        <v>.</v>
      </c>
      <c r="CT140" s="136" t="str">
        <f>IF($D140&lt;&gt;"Feature",".",
IF(VLOOKUP($B140,Feature_List!$A:$AM,MATCH(CT$1,  Feature_List!$A$1:$AM$1,0),0)=AL140,".","NO"))</f>
        <v>.</v>
      </c>
      <c r="CU140" s="136" t="str">
        <f>IF($D140&lt;&gt;"Feature",".",
IF(VLOOKUP($B140,Feature_List!$A:$AM,MATCH(CU$1,  Feature_List!$A$1:$AM$1,0),0)=AM140,".","NO"))</f>
        <v>.</v>
      </c>
      <c r="CV140" s="136" t="str">
        <f>IF($D140&lt;&gt;"Feature",".",
IF(VLOOKUP($B140,Feature_List!$A:$AM,MATCH(CV$1,  Feature_List!$A$1:$AM$1,0),0)=AN140,".","NO"))</f>
        <v>.</v>
      </c>
      <c r="CW140" s="136" t="str">
        <f>IF($D140&lt;&gt;"Feature",".",
IF(VLOOKUP($B140,Feature_List!$A:$AM,MATCH(CW$1,  Feature_List!$A$1:$AM$1,0),0)=AO140,".","NO"))</f>
        <v>.</v>
      </c>
      <c r="CX140" s="136" t="str">
        <f>IF($D140&lt;&gt;"Feature",".",
IF(VLOOKUP($B140,Feature_List!$A:$AM,MATCH(CX$1,  Feature_List!$A$1:$AM$1,0),0)=AP140,".","NO"))</f>
        <v>.</v>
      </c>
      <c r="CY140" s="136" t="str">
        <f>IF($D140&lt;&gt;"Feature",".",
IF(VLOOKUP($B140,Feature_List!$A:$AM,MATCH(CY$1,  Feature_List!$A$1:$AM$1,0),0)=AQ140,".","NO"))</f>
        <v>.</v>
      </c>
      <c r="CZ140" s="136" t="str">
        <f>IF($D140&lt;&gt;"Feature",".",
IF(VLOOKUP($B140,Feature_List!$A:$AM,MATCH(CZ$1,  Feature_List!$A$1:$AM$1,0),0)=AR140,".","NO"))</f>
        <v>.</v>
      </c>
      <c r="DA140" s="136" t="str">
        <f>IF($D140&lt;&gt;"Feature",".",
IF(VLOOKUP($B140,Feature_List!$A:$AM,MATCH(DA$1,  Feature_List!$A$1:$AM$1,0),0)=AS140,".","NO"))</f>
        <v>.</v>
      </c>
      <c r="DB140" s="136" t="str">
        <f>IF($D140&lt;&gt;"Feature",".",
IF(VLOOKUP($B140,Feature_List!$A:$AM,MATCH(DB$1,  Feature_List!$A$1:$AM$1,0),0)=AT140,".","NO"))</f>
        <v>.</v>
      </c>
      <c r="DC140" s="136" t="str">
        <f>IF($D140&lt;&gt;"Feature",".",
IF(VLOOKUP($B140,Feature_List!$A:$AM,MATCH(DC$1,  Feature_List!$A$1:$AM$1,0),0)=AU140,".","NO"))</f>
        <v>.</v>
      </c>
      <c r="DD140" s="136" t="str">
        <f>IF($D140&lt;&gt;"Feature",".",
IF(VLOOKUP($B140,Feature_List!$A:$AM,MATCH(DD$1,  Feature_List!$A$1:$AM$1,0),0)=AV140,".","NO"))</f>
        <v>.</v>
      </c>
      <c r="DE140" s="136" t="str">
        <f>IF($D140&lt;&gt;"Feature",".",
IF(VLOOKUP($B140,Feature_List!$A:$AM,MATCH(DE$1,  Feature_List!$A$1:$AM$1,0),0)=AW140,".","NO"))</f>
        <v>.</v>
      </c>
      <c r="DF140" s="136" t="str">
        <f>IF($D140&lt;&gt;"Feature",".",
IF(VLOOKUP($B140,Feature_List!$A:$AM,MATCH(DF$1,  Feature_List!$A$1:$AM$1,0),0)=AX140,".","NO"))</f>
        <v>.</v>
      </c>
      <c r="DG140" s="136" t="str">
        <f>IF($D140&lt;&gt;"Feature",".",
IF(VLOOKUP($B140,Feature_List!$A:$AM,MATCH(DG$1,  Feature_List!$A$1:$AM$1,0),0)=AY140,".","NO"))</f>
        <v>.</v>
      </c>
      <c r="DH140" s="136" t="str">
        <f>IF($D140&lt;&gt;"Feature",".",
IF(VLOOKUP($B140,Feature_List!$A:$AM,MATCH(DH$1,  Feature_List!$A$1:$AM$1,0),0)=AZ140,".","NO"))</f>
        <v>.</v>
      </c>
      <c r="DI140" s="136" t="str">
        <f>IF($D140&lt;&gt;"Feature",".",
IF(VLOOKUP($B140,Feature_List!$A:$AM,MATCH(DI$1,  Feature_List!$A$1:$AM$1,0),0)=BA140,".","NO"))</f>
        <v>.</v>
      </c>
      <c r="DJ140" s="136" t="str">
        <f>IF($D140&lt;&gt;"Feature",".",
IF(VLOOKUP($B140,Feature_List!$A:$AM,MATCH(DJ$1,  Feature_List!$A$1:$AM$1,0),0)=BB140,".","NO"))</f>
        <v>.</v>
      </c>
      <c r="DK140" s="136"/>
      <c r="DL140" s="136"/>
      <c r="DM140" s="136"/>
      <c r="DN140" s="136" t="str">
        <f>IF($D140&lt;&gt;"Feature",".",
IF(VLOOKUP($B140,Feature_List!$A:$AM,MATCH(DN$1,  Feature_List!$A$1:$AM$1,0),0)=BC140,".","NO"))</f>
        <v>.</v>
      </c>
      <c r="DO140" s="136" t="str">
        <f>IF($D140&lt;&gt;"Feature",".",
IF(VLOOKUP($B140,Feature_List!$A:$AM,MATCH(DO$1,  Feature_List!$A$1:$AM$1,0),0)=BD140,".","NO"))</f>
        <v>.</v>
      </c>
    </row>
    <row r="141" spans="2:119" x14ac:dyDescent="0.3">
      <c r="B141" s="121"/>
      <c r="C141" s="122"/>
      <c r="D141" s="122"/>
      <c r="E141" s="122"/>
      <c r="F141" s="138"/>
      <c r="G141" s="123"/>
      <c r="H141" s="122"/>
      <c r="I141" s="124"/>
      <c r="J141" s="138"/>
      <c r="K141" s="123"/>
      <c r="L141" s="122"/>
      <c r="M141" s="122"/>
      <c r="N141" s="125"/>
      <c r="O141" s="123">
        <f t="shared" si="75"/>
        <v>0</v>
      </c>
      <c r="P141" s="123">
        <f t="shared" si="76"/>
        <v>0</v>
      </c>
      <c r="Q141" s="122" t="str">
        <f t="shared" si="98"/>
        <v>ZeroEntry</v>
      </c>
      <c r="R141" s="126" t="str">
        <f t="shared" si="77"/>
        <v>ZeroEntry</v>
      </c>
      <c r="S141" s="127" t="str">
        <f t="shared" si="78"/>
        <v>ZeroEntry</v>
      </c>
      <c r="T141" s="128" t="str">
        <f>IF($Q141="ZeroEntry", "",VLOOKUP($I141,'Ranking Lookup'!#REF!,2,FALSE))</f>
        <v/>
      </c>
      <c r="U141" s="129" t="str">
        <f t="shared" si="79"/>
        <v/>
      </c>
      <c r="V141" s="129" t="str">
        <f t="shared" si="80"/>
        <v/>
      </c>
      <c r="W141" s="129" t="str">
        <f t="shared" si="81"/>
        <v/>
      </c>
      <c r="X141" s="129" t="str">
        <f t="shared" si="82"/>
        <v/>
      </c>
      <c r="Y141" s="129" t="str">
        <f t="shared" si="83"/>
        <v/>
      </c>
      <c r="Z141" s="129" t="str">
        <f t="shared" si="84"/>
        <v/>
      </c>
      <c r="AA141" s="130"/>
      <c r="AB141" s="130" t="str">
        <f t="shared" si="85"/>
        <v>Unassigned</v>
      </c>
      <c r="AC141" s="131" t="str">
        <f t="shared" si="99"/>
        <v/>
      </c>
      <c r="AD141" s="131" t="str">
        <f t="shared" si="100"/>
        <v/>
      </c>
      <c r="AE141" s="132">
        <f t="shared" si="86"/>
        <v>0</v>
      </c>
      <c r="AF141" s="133" t="str">
        <f t="shared" si="101"/>
        <v/>
      </c>
      <c r="AG141" s="134">
        <f t="shared" si="87"/>
        <v>0</v>
      </c>
      <c r="AH141" s="54" t="str">
        <f t="shared" si="88"/>
        <v/>
      </c>
      <c r="AI141" s="54" t="str">
        <f t="shared" si="89"/>
        <v/>
      </c>
      <c r="AJ141" s="54" t="str">
        <f t="shared" si="89"/>
        <v/>
      </c>
      <c r="AK141" s="54" t="str">
        <f t="shared" si="89"/>
        <v/>
      </c>
      <c r="AL141" s="54" t="str">
        <f t="shared" si="89"/>
        <v/>
      </c>
      <c r="AM141" s="54" t="str">
        <f t="shared" si="89"/>
        <v/>
      </c>
      <c r="AN141" s="54" t="str">
        <f t="shared" si="89"/>
        <v/>
      </c>
      <c r="AO141" s="54" t="str">
        <f t="shared" si="89"/>
        <v/>
      </c>
      <c r="AP141" s="54" t="str">
        <f t="shared" si="89"/>
        <v/>
      </c>
      <c r="AQ141" s="54" t="str">
        <f t="shared" si="89"/>
        <v/>
      </c>
      <c r="AR141" s="54" t="str">
        <f t="shared" si="89"/>
        <v/>
      </c>
      <c r="AS141" s="54" t="str">
        <f t="shared" si="89"/>
        <v/>
      </c>
      <c r="AT141" s="54" t="str">
        <f t="shared" si="89"/>
        <v/>
      </c>
      <c r="AU141" s="54" t="str">
        <f t="shared" si="89"/>
        <v/>
      </c>
      <c r="AV141" s="54" t="str">
        <f t="shared" si="89"/>
        <v/>
      </c>
      <c r="AW141" s="54" t="str">
        <f t="shared" si="89"/>
        <v/>
      </c>
      <c r="AX141" s="54" t="str">
        <f t="shared" si="89"/>
        <v/>
      </c>
      <c r="AY141" s="54" t="str">
        <f t="shared" si="90"/>
        <v/>
      </c>
      <c r="AZ141" s="54" t="str">
        <f t="shared" si="91"/>
        <v/>
      </c>
      <c r="BA141" s="54" t="str">
        <f t="shared" si="92"/>
        <v/>
      </c>
      <c r="BB141" s="135" t="str">
        <f t="shared" si="93"/>
        <v/>
      </c>
      <c r="BC141" s="54" t="str">
        <f t="shared" si="73"/>
        <v/>
      </c>
      <c r="BD141" s="54" t="str">
        <f t="shared" si="73"/>
        <v/>
      </c>
      <c r="BE141" s="54" t="str">
        <f t="shared" si="73"/>
        <v/>
      </c>
      <c r="BF141" s="54" t="str">
        <f t="shared" si="94"/>
        <v/>
      </c>
      <c r="BG141" s="54" t="str">
        <f t="shared" si="95"/>
        <v/>
      </c>
      <c r="BH141" s="34" t="str">
        <f t="shared" si="96"/>
        <v>Bad</v>
      </c>
      <c r="BI141" s="34" t="str">
        <f t="shared" si="97"/>
        <v>No</v>
      </c>
      <c r="BJ141" s="136" t="str">
        <f>IF($D141&lt;&gt;"Feature",".",
IF(VLOOKUP($B141,Feature_List!$A:$AM,MATCH(BJ$1,  Feature_List!$A$1:$AM$1,0),0)=B141,".","NO"))</f>
        <v>.</v>
      </c>
      <c r="BK141" s="136"/>
      <c r="BL141" s="136"/>
      <c r="BM141" s="136" t="str">
        <f>IF($D141&lt;&gt;"Feature",".",
IF(VLOOKUP($B141,Feature_List!$A:$AM,MATCH(BM$1,  Feature_List!$A$1:$AM$1,0),0)=E141,".","NO"))</f>
        <v>.</v>
      </c>
      <c r="BN141" s="136" t="str">
        <f>IF($D141&lt;&gt;"Feature",".",
IF(VLOOKUP($B141,Feature_List!$A:$AM,MATCH(BN$1,  Feature_List!$A$1:$AM$1,0),0)=F141,".","NO"))</f>
        <v>.</v>
      </c>
      <c r="BO141" s="136" t="str">
        <f>IF($D141&lt;&gt;"Feature",".",
IF(VLOOKUP($B141,Feature_List!$A:$AM,MATCH(BO$1,  Feature_List!$A$1:$AM$1,0),0)=G141,".","NO"))</f>
        <v>.</v>
      </c>
      <c r="BP141" s="136" t="str">
        <f>IF($D141&lt;&gt;"Feature",".",
IF(VLOOKUP($B141,Feature_List!$A:$AM,MATCH(BP$1,  Feature_List!$A$1:$AM$1,0),0)=H141,".","NO"))</f>
        <v>.</v>
      </c>
      <c r="BQ141" s="136"/>
      <c r="BR141" s="136" t="str">
        <f>IF($D141&lt;&gt;"Feature",".",
IF(VLOOKUP($B141,Feature_List!$A:$AM,MATCH(BR$1,  Feature_List!$A$1:$AM$1,0),0)=J141,".","NO"))</f>
        <v>.</v>
      </c>
      <c r="BS141" s="136"/>
      <c r="BT141" s="136"/>
      <c r="BU141" s="136" t="str">
        <f>IF($D141&lt;&gt;"Feature",".",
IF(VLOOKUP($B141,Feature_List!$A:$AM,MATCH(BU$1,  Feature_List!$A$1:$AM$1,0),0)=M141,".","NO"))</f>
        <v>.</v>
      </c>
      <c r="BV141" s="136" t="str">
        <f>IF($D141&lt;&gt;"Feature",".",
IF(VLOOKUP($B141,Feature_List!$A:$AM,MATCH(BV$1,  Feature_List!$A$1:$AM$1,0),0)=N141,".","NO"))</f>
        <v>.</v>
      </c>
      <c r="BW141" s="136"/>
      <c r="BX141" s="136"/>
      <c r="BY141" s="136"/>
      <c r="BZ141" s="136"/>
      <c r="CA141" s="136"/>
      <c r="CB141" s="136" t="str">
        <f>IF($D141&lt;&gt;"Feature",".",
IF(VLOOKUP($B141,Feature_List!$A:$AM,MATCH(CB$1,  Feature_List!$A$1:$AM$1,0),0)=T141,".","NO"))</f>
        <v>.</v>
      </c>
      <c r="CC141" s="136"/>
      <c r="CD141" s="136"/>
      <c r="CE141" s="136"/>
      <c r="CF141" s="136"/>
      <c r="CG141" s="136"/>
      <c r="CH141" s="136"/>
      <c r="CI141" s="136"/>
      <c r="CJ141" s="136"/>
      <c r="CK141" s="136"/>
      <c r="CL141" s="136"/>
      <c r="CM141" s="136"/>
      <c r="CN141" s="136"/>
      <c r="CO141" s="136" t="str">
        <f>IF($D141&lt;&gt;"Feature",".",
IF(VLOOKUP($B141,Feature_List!$A:$AM,MATCH(CO$1,  Feature_List!$A$1:$AM$1,0),0)=AG141,".","NO"))</f>
        <v>.</v>
      </c>
      <c r="CP141" s="136" t="str">
        <f>IF($D141&lt;&gt;"Feature",".",
IF(VLOOKUP($B141,Feature_List!$A:$AM,MATCH(CP$1,  Feature_List!$A$1:$AM$1,0),0)=AH141,".","NO"))</f>
        <v>.</v>
      </c>
      <c r="CQ141" s="136" t="str">
        <f>IF($D141&lt;&gt;"Feature",".",
IF(VLOOKUP($B141,Feature_List!$A:$AM,MATCH(CQ$1,  Feature_List!$A$1:$AM$1,0),0)=AI141,".","NO"))</f>
        <v>.</v>
      </c>
      <c r="CR141" s="136" t="str">
        <f>IF($D141&lt;&gt;"Feature",".",
IF(VLOOKUP($B141,Feature_List!$A:$AM,MATCH(CR$1,  Feature_List!$A$1:$AM$1,0),0)=AJ141,".","NO"))</f>
        <v>.</v>
      </c>
      <c r="CS141" s="136" t="str">
        <f>IF($D141&lt;&gt;"Feature",".",
IF(VLOOKUP($B141,Feature_List!$A:$AM,MATCH(CS$1,  Feature_List!$A$1:$AM$1,0),0)=AK141,".","NO"))</f>
        <v>.</v>
      </c>
      <c r="CT141" s="136" t="str">
        <f>IF($D141&lt;&gt;"Feature",".",
IF(VLOOKUP($B141,Feature_List!$A:$AM,MATCH(CT$1,  Feature_List!$A$1:$AM$1,0),0)=AL141,".","NO"))</f>
        <v>.</v>
      </c>
      <c r="CU141" s="136" t="str">
        <f>IF($D141&lt;&gt;"Feature",".",
IF(VLOOKUP($B141,Feature_List!$A:$AM,MATCH(CU$1,  Feature_List!$A$1:$AM$1,0),0)=AM141,".","NO"))</f>
        <v>.</v>
      </c>
      <c r="CV141" s="136" t="str">
        <f>IF($D141&lt;&gt;"Feature",".",
IF(VLOOKUP($B141,Feature_List!$A:$AM,MATCH(CV$1,  Feature_List!$A$1:$AM$1,0),0)=AN141,".","NO"))</f>
        <v>.</v>
      </c>
      <c r="CW141" s="136" t="str">
        <f>IF($D141&lt;&gt;"Feature",".",
IF(VLOOKUP($B141,Feature_List!$A:$AM,MATCH(CW$1,  Feature_List!$A$1:$AM$1,0),0)=AO141,".","NO"))</f>
        <v>.</v>
      </c>
      <c r="CX141" s="136" t="str">
        <f>IF($D141&lt;&gt;"Feature",".",
IF(VLOOKUP($B141,Feature_List!$A:$AM,MATCH(CX$1,  Feature_List!$A$1:$AM$1,0),0)=AP141,".","NO"))</f>
        <v>.</v>
      </c>
      <c r="CY141" s="136" t="str">
        <f>IF($D141&lt;&gt;"Feature",".",
IF(VLOOKUP($B141,Feature_List!$A:$AM,MATCH(CY$1,  Feature_List!$A$1:$AM$1,0),0)=AQ141,".","NO"))</f>
        <v>.</v>
      </c>
      <c r="CZ141" s="136" t="str">
        <f>IF($D141&lt;&gt;"Feature",".",
IF(VLOOKUP($B141,Feature_List!$A:$AM,MATCH(CZ$1,  Feature_List!$A$1:$AM$1,0),0)=AR141,".","NO"))</f>
        <v>.</v>
      </c>
      <c r="DA141" s="136" t="str">
        <f>IF($D141&lt;&gt;"Feature",".",
IF(VLOOKUP($B141,Feature_List!$A:$AM,MATCH(DA$1,  Feature_List!$A$1:$AM$1,0),0)=AS141,".","NO"))</f>
        <v>.</v>
      </c>
      <c r="DB141" s="136" t="str">
        <f>IF($D141&lt;&gt;"Feature",".",
IF(VLOOKUP($B141,Feature_List!$A:$AM,MATCH(DB$1,  Feature_List!$A$1:$AM$1,0),0)=AT141,".","NO"))</f>
        <v>.</v>
      </c>
      <c r="DC141" s="136" t="str">
        <f>IF($D141&lt;&gt;"Feature",".",
IF(VLOOKUP($B141,Feature_List!$A:$AM,MATCH(DC$1,  Feature_List!$A$1:$AM$1,0),0)=AU141,".","NO"))</f>
        <v>.</v>
      </c>
      <c r="DD141" s="136" t="str">
        <f>IF($D141&lt;&gt;"Feature",".",
IF(VLOOKUP($B141,Feature_List!$A:$AM,MATCH(DD$1,  Feature_List!$A$1:$AM$1,0),0)=AV141,".","NO"))</f>
        <v>.</v>
      </c>
      <c r="DE141" s="136" t="str">
        <f>IF($D141&lt;&gt;"Feature",".",
IF(VLOOKUP($B141,Feature_List!$A:$AM,MATCH(DE$1,  Feature_List!$A$1:$AM$1,0),0)=AW141,".","NO"))</f>
        <v>.</v>
      </c>
      <c r="DF141" s="136" t="str">
        <f>IF($D141&lt;&gt;"Feature",".",
IF(VLOOKUP($B141,Feature_List!$A:$AM,MATCH(DF$1,  Feature_List!$A$1:$AM$1,0),0)=AX141,".","NO"))</f>
        <v>.</v>
      </c>
      <c r="DG141" s="136" t="str">
        <f>IF($D141&lt;&gt;"Feature",".",
IF(VLOOKUP($B141,Feature_List!$A:$AM,MATCH(DG$1,  Feature_List!$A$1:$AM$1,0),0)=AY141,".","NO"))</f>
        <v>.</v>
      </c>
      <c r="DH141" s="136" t="str">
        <f>IF($D141&lt;&gt;"Feature",".",
IF(VLOOKUP($B141,Feature_List!$A:$AM,MATCH(DH$1,  Feature_List!$A$1:$AM$1,0),0)=AZ141,".","NO"))</f>
        <v>.</v>
      </c>
      <c r="DI141" s="136" t="str">
        <f>IF($D141&lt;&gt;"Feature",".",
IF(VLOOKUP($B141,Feature_List!$A:$AM,MATCH(DI$1,  Feature_List!$A$1:$AM$1,0),0)=BA141,".","NO"))</f>
        <v>.</v>
      </c>
      <c r="DJ141" s="136" t="str">
        <f>IF($D141&lt;&gt;"Feature",".",
IF(VLOOKUP($B141,Feature_List!$A:$AM,MATCH(DJ$1,  Feature_List!$A$1:$AM$1,0),0)=BB141,".","NO"))</f>
        <v>.</v>
      </c>
      <c r="DK141" s="136"/>
      <c r="DL141" s="136"/>
      <c r="DM141" s="136"/>
      <c r="DN141" s="136" t="str">
        <f>IF($D141&lt;&gt;"Feature",".",
IF(VLOOKUP($B141,Feature_List!$A:$AM,MATCH(DN$1,  Feature_List!$A$1:$AM$1,0),0)=BC141,".","NO"))</f>
        <v>.</v>
      </c>
      <c r="DO141" s="136" t="str">
        <f>IF($D141&lt;&gt;"Feature",".",
IF(VLOOKUP($B141,Feature_List!$A:$AM,MATCH(DO$1,  Feature_List!$A$1:$AM$1,0),0)=BD141,".","NO"))</f>
        <v>.</v>
      </c>
    </row>
    <row r="142" spans="2:119" x14ac:dyDescent="0.3">
      <c r="B142" s="121"/>
      <c r="C142" s="122"/>
      <c r="D142" s="122"/>
      <c r="E142" s="122"/>
      <c r="F142" s="138"/>
      <c r="G142" s="123"/>
      <c r="H142" s="122"/>
      <c r="I142" s="124"/>
      <c r="J142" s="138"/>
      <c r="K142" s="123"/>
      <c r="L142" s="122"/>
      <c r="M142" s="122"/>
      <c r="N142" s="125"/>
      <c r="O142" s="123">
        <f t="shared" si="75"/>
        <v>0</v>
      </c>
      <c r="P142" s="123">
        <f t="shared" si="76"/>
        <v>0</v>
      </c>
      <c r="Q142" s="122" t="str">
        <f t="shared" si="98"/>
        <v>ZeroEntry</v>
      </c>
      <c r="R142" s="126" t="str">
        <f t="shared" si="77"/>
        <v>ZeroEntry</v>
      </c>
      <c r="S142" s="127" t="str">
        <f t="shared" si="78"/>
        <v>ZeroEntry</v>
      </c>
      <c r="T142" s="128" t="str">
        <f>IF($Q142="ZeroEntry", "",VLOOKUP($I142,'Ranking Lookup'!#REF!,2,FALSE))</f>
        <v/>
      </c>
      <c r="U142" s="129" t="str">
        <f t="shared" si="79"/>
        <v/>
      </c>
      <c r="V142" s="129" t="str">
        <f t="shared" si="80"/>
        <v/>
      </c>
      <c r="W142" s="129" t="str">
        <f t="shared" si="81"/>
        <v/>
      </c>
      <c r="X142" s="129" t="str">
        <f t="shared" si="82"/>
        <v/>
      </c>
      <c r="Y142" s="129" t="str">
        <f t="shared" si="83"/>
        <v/>
      </c>
      <c r="Z142" s="129" t="str">
        <f t="shared" si="84"/>
        <v/>
      </c>
      <c r="AA142" s="130"/>
      <c r="AB142" s="130" t="str">
        <f t="shared" si="85"/>
        <v>Unassigned</v>
      </c>
      <c r="AC142" s="131" t="str">
        <f t="shared" si="99"/>
        <v/>
      </c>
      <c r="AD142" s="131" t="str">
        <f t="shared" si="100"/>
        <v/>
      </c>
      <c r="AE142" s="132">
        <f t="shared" si="86"/>
        <v>0</v>
      </c>
      <c r="AF142" s="133" t="str">
        <f t="shared" si="101"/>
        <v/>
      </c>
      <c r="AG142" s="134">
        <f t="shared" si="87"/>
        <v>0</v>
      </c>
      <c r="AH142" s="54" t="str">
        <f t="shared" si="88"/>
        <v/>
      </c>
      <c r="AI142" s="54" t="str">
        <f t="shared" si="89"/>
        <v/>
      </c>
      <c r="AJ142" s="54" t="str">
        <f t="shared" si="89"/>
        <v/>
      </c>
      <c r="AK142" s="54" t="str">
        <f t="shared" si="89"/>
        <v/>
      </c>
      <c r="AL142" s="54" t="str">
        <f t="shared" si="89"/>
        <v/>
      </c>
      <c r="AM142" s="54" t="str">
        <f t="shared" si="89"/>
        <v/>
      </c>
      <c r="AN142" s="54" t="str">
        <f t="shared" si="89"/>
        <v/>
      </c>
      <c r="AO142" s="54" t="str">
        <f t="shared" si="89"/>
        <v/>
      </c>
      <c r="AP142" s="54" t="str">
        <f t="shared" si="89"/>
        <v/>
      </c>
      <c r="AQ142" s="54" t="str">
        <f t="shared" si="89"/>
        <v/>
      </c>
      <c r="AR142" s="54" t="str">
        <f t="shared" si="89"/>
        <v/>
      </c>
      <c r="AS142" s="54" t="str">
        <f t="shared" si="89"/>
        <v/>
      </c>
      <c r="AT142" s="54" t="str">
        <f t="shared" si="89"/>
        <v/>
      </c>
      <c r="AU142" s="54" t="str">
        <f t="shared" si="89"/>
        <v/>
      </c>
      <c r="AV142" s="54" t="str">
        <f t="shared" si="89"/>
        <v/>
      </c>
      <c r="AW142" s="54" t="str">
        <f t="shared" si="89"/>
        <v/>
      </c>
      <c r="AX142" s="54" t="str">
        <f t="shared" si="89"/>
        <v/>
      </c>
      <c r="AY142" s="54" t="str">
        <f t="shared" si="90"/>
        <v/>
      </c>
      <c r="AZ142" s="54" t="str">
        <f t="shared" si="91"/>
        <v/>
      </c>
      <c r="BA142" s="54" t="str">
        <f t="shared" si="92"/>
        <v/>
      </c>
      <c r="BB142" s="135" t="str">
        <f t="shared" si="93"/>
        <v/>
      </c>
      <c r="BC142" s="54" t="str">
        <f t="shared" ref="BC142:BE161" si="102">IF(AND($Q142="Feature",LEFT($AB142,2)="PI"),
IF(AND(COUNTIF($R:$R,$B142)=1,$T142=BC$1), IF($AB142=$A$10,$AF142,0),
IF(OR($AD142&lt;1,RIGHT($G142,8)="Progress"),SUMIFS($O:$O,$R:$R,$B142,$T:$T,BC$1,$P:$P,"&lt;&gt;Done",$AB:$AB,$A$10),
IF($T142=BC$1, IF($AB142=$A$10,$AD142,0)+SUMIFS($O:$O,$R:$R,$B142,$T:$T,BC$1,$P:$P,"&lt;&gt;Done",$AB:$AB,$A$10),SUMIFS($O:$O,$R:$R,$B142,$T:$T,BC$1,$P:$P,"&lt;&gt;Done",$AB:$AB,$A$10)))),
IF(AND(OR($Q142="Story",$Q142="Problem",$Q142="Enhancement"),$AB142=$A$10,$R142=0,$T142=BC$1,$P142&lt;&gt;"Done"),$O142,""))</f>
        <v/>
      </c>
      <c r="BD142" s="54" t="str">
        <f t="shared" si="102"/>
        <v/>
      </c>
      <c r="BE142" s="54" t="str">
        <f t="shared" si="102"/>
        <v/>
      </c>
      <c r="BF142" s="54" t="str">
        <f t="shared" si="94"/>
        <v/>
      </c>
      <c r="BG142" s="54" t="str">
        <f t="shared" si="95"/>
        <v/>
      </c>
      <c r="BH142" s="34" t="str">
        <f t="shared" si="96"/>
        <v>Bad</v>
      </c>
      <c r="BI142" s="34" t="str">
        <f t="shared" si="97"/>
        <v>No</v>
      </c>
      <c r="BJ142" s="136" t="str">
        <f>IF($D142&lt;&gt;"Feature",".",
IF(VLOOKUP($B142,Feature_List!$A:$AM,MATCH(BJ$1,  Feature_List!$A$1:$AM$1,0),0)=B142,".","NO"))</f>
        <v>.</v>
      </c>
      <c r="BK142" s="136"/>
      <c r="BL142" s="136"/>
      <c r="BM142" s="136" t="str">
        <f>IF($D142&lt;&gt;"Feature",".",
IF(VLOOKUP($B142,Feature_List!$A:$AM,MATCH(BM$1,  Feature_List!$A$1:$AM$1,0),0)=E142,".","NO"))</f>
        <v>.</v>
      </c>
      <c r="BN142" s="136" t="str">
        <f>IF($D142&lt;&gt;"Feature",".",
IF(VLOOKUP($B142,Feature_List!$A:$AM,MATCH(BN$1,  Feature_List!$A$1:$AM$1,0),0)=F142,".","NO"))</f>
        <v>.</v>
      </c>
      <c r="BO142" s="136" t="str">
        <f>IF($D142&lt;&gt;"Feature",".",
IF(VLOOKUP($B142,Feature_List!$A:$AM,MATCH(BO$1,  Feature_List!$A$1:$AM$1,0),0)=G142,".","NO"))</f>
        <v>.</v>
      </c>
      <c r="BP142" s="136" t="str">
        <f>IF($D142&lt;&gt;"Feature",".",
IF(VLOOKUP($B142,Feature_List!$A:$AM,MATCH(BP$1,  Feature_List!$A$1:$AM$1,0),0)=H142,".","NO"))</f>
        <v>.</v>
      </c>
      <c r="BQ142" s="136"/>
      <c r="BR142" s="136" t="str">
        <f>IF($D142&lt;&gt;"Feature",".",
IF(VLOOKUP($B142,Feature_List!$A:$AM,MATCH(BR$1,  Feature_List!$A$1:$AM$1,0),0)=J142,".","NO"))</f>
        <v>.</v>
      </c>
      <c r="BS142" s="136"/>
      <c r="BT142" s="136"/>
      <c r="BU142" s="136" t="str">
        <f>IF($D142&lt;&gt;"Feature",".",
IF(VLOOKUP($B142,Feature_List!$A:$AM,MATCH(BU$1,  Feature_List!$A$1:$AM$1,0),0)=M142,".","NO"))</f>
        <v>.</v>
      </c>
      <c r="BV142" s="136" t="str">
        <f>IF($D142&lt;&gt;"Feature",".",
IF(VLOOKUP($B142,Feature_List!$A:$AM,MATCH(BV$1,  Feature_List!$A$1:$AM$1,0),0)=N142,".","NO"))</f>
        <v>.</v>
      </c>
      <c r="BW142" s="136"/>
      <c r="BX142" s="136"/>
      <c r="BY142" s="136"/>
      <c r="BZ142" s="136"/>
      <c r="CA142" s="136"/>
      <c r="CB142" s="136" t="str">
        <f>IF($D142&lt;&gt;"Feature",".",
IF(VLOOKUP($B142,Feature_List!$A:$AM,MATCH(CB$1,  Feature_List!$A$1:$AM$1,0),0)=T142,".","NO"))</f>
        <v>.</v>
      </c>
      <c r="CC142" s="136"/>
      <c r="CD142" s="136"/>
      <c r="CE142" s="136"/>
      <c r="CF142" s="136"/>
      <c r="CG142" s="136"/>
      <c r="CH142" s="136"/>
      <c r="CI142" s="136"/>
      <c r="CJ142" s="136"/>
      <c r="CK142" s="136"/>
      <c r="CL142" s="136"/>
      <c r="CM142" s="136"/>
      <c r="CN142" s="136"/>
      <c r="CO142" s="136" t="str">
        <f>IF($D142&lt;&gt;"Feature",".",
IF(VLOOKUP($B142,Feature_List!$A:$AM,MATCH(CO$1,  Feature_List!$A$1:$AM$1,0),0)=AG142,".","NO"))</f>
        <v>.</v>
      </c>
      <c r="CP142" s="136" t="str">
        <f>IF($D142&lt;&gt;"Feature",".",
IF(VLOOKUP($B142,Feature_List!$A:$AM,MATCH(CP$1,  Feature_List!$A$1:$AM$1,0),0)=AH142,".","NO"))</f>
        <v>.</v>
      </c>
      <c r="CQ142" s="136" t="str">
        <f>IF($D142&lt;&gt;"Feature",".",
IF(VLOOKUP($B142,Feature_List!$A:$AM,MATCH(CQ$1,  Feature_List!$A$1:$AM$1,0),0)=AI142,".","NO"))</f>
        <v>.</v>
      </c>
      <c r="CR142" s="136" t="str">
        <f>IF($D142&lt;&gt;"Feature",".",
IF(VLOOKUP($B142,Feature_List!$A:$AM,MATCH(CR$1,  Feature_List!$A$1:$AM$1,0),0)=AJ142,".","NO"))</f>
        <v>.</v>
      </c>
      <c r="CS142" s="136" t="str">
        <f>IF($D142&lt;&gt;"Feature",".",
IF(VLOOKUP($B142,Feature_List!$A:$AM,MATCH(CS$1,  Feature_List!$A$1:$AM$1,0),0)=AK142,".","NO"))</f>
        <v>.</v>
      </c>
      <c r="CT142" s="136" t="str">
        <f>IF($D142&lt;&gt;"Feature",".",
IF(VLOOKUP($B142,Feature_List!$A:$AM,MATCH(CT$1,  Feature_List!$A$1:$AM$1,0),0)=AL142,".","NO"))</f>
        <v>.</v>
      </c>
      <c r="CU142" s="136" t="str">
        <f>IF($D142&lt;&gt;"Feature",".",
IF(VLOOKUP($B142,Feature_List!$A:$AM,MATCH(CU$1,  Feature_List!$A$1:$AM$1,0),0)=AM142,".","NO"))</f>
        <v>.</v>
      </c>
      <c r="CV142" s="136" t="str">
        <f>IF($D142&lt;&gt;"Feature",".",
IF(VLOOKUP($B142,Feature_List!$A:$AM,MATCH(CV$1,  Feature_List!$A$1:$AM$1,0),0)=AN142,".","NO"))</f>
        <v>.</v>
      </c>
      <c r="CW142" s="136" t="str">
        <f>IF($D142&lt;&gt;"Feature",".",
IF(VLOOKUP($B142,Feature_List!$A:$AM,MATCH(CW$1,  Feature_List!$A$1:$AM$1,0),0)=AO142,".","NO"))</f>
        <v>.</v>
      </c>
      <c r="CX142" s="136" t="str">
        <f>IF($D142&lt;&gt;"Feature",".",
IF(VLOOKUP($B142,Feature_List!$A:$AM,MATCH(CX$1,  Feature_List!$A$1:$AM$1,0),0)=AP142,".","NO"))</f>
        <v>.</v>
      </c>
      <c r="CY142" s="136" t="str">
        <f>IF($D142&lt;&gt;"Feature",".",
IF(VLOOKUP($B142,Feature_List!$A:$AM,MATCH(CY$1,  Feature_List!$A$1:$AM$1,0),0)=AQ142,".","NO"))</f>
        <v>.</v>
      </c>
      <c r="CZ142" s="136" t="str">
        <f>IF($D142&lt;&gt;"Feature",".",
IF(VLOOKUP($B142,Feature_List!$A:$AM,MATCH(CZ$1,  Feature_List!$A$1:$AM$1,0),0)=AR142,".","NO"))</f>
        <v>.</v>
      </c>
      <c r="DA142" s="136" t="str">
        <f>IF($D142&lt;&gt;"Feature",".",
IF(VLOOKUP($B142,Feature_List!$A:$AM,MATCH(DA$1,  Feature_List!$A$1:$AM$1,0),0)=AS142,".","NO"))</f>
        <v>.</v>
      </c>
      <c r="DB142" s="136" t="str">
        <f>IF($D142&lt;&gt;"Feature",".",
IF(VLOOKUP($B142,Feature_List!$A:$AM,MATCH(DB$1,  Feature_List!$A$1:$AM$1,0),0)=AT142,".","NO"))</f>
        <v>.</v>
      </c>
      <c r="DC142" s="136" t="str">
        <f>IF($D142&lt;&gt;"Feature",".",
IF(VLOOKUP($B142,Feature_List!$A:$AM,MATCH(DC$1,  Feature_List!$A$1:$AM$1,0),0)=AU142,".","NO"))</f>
        <v>.</v>
      </c>
      <c r="DD142" s="136" t="str">
        <f>IF($D142&lt;&gt;"Feature",".",
IF(VLOOKUP($B142,Feature_List!$A:$AM,MATCH(DD$1,  Feature_List!$A$1:$AM$1,0),0)=AV142,".","NO"))</f>
        <v>.</v>
      </c>
      <c r="DE142" s="136" t="str">
        <f>IF($D142&lt;&gt;"Feature",".",
IF(VLOOKUP($B142,Feature_List!$A:$AM,MATCH(DE$1,  Feature_List!$A$1:$AM$1,0),0)=AW142,".","NO"))</f>
        <v>.</v>
      </c>
      <c r="DF142" s="136" t="str">
        <f>IF($D142&lt;&gt;"Feature",".",
IF(VLOOKUP($B142,Feature_List!$A:$AM,MATCH(DF$1,  Feature_List!$A$1:$AM$1,0),0)=AX142,".","NO"))</f>
        <v>.</v>
      </c>
      <c r="DG142" s="136" t="str">
        <f>IF($D142&lt;&gt;"Feature",".",
IF(VLOOKUP($B142,Feature_List!$A:$AM,MATCH(DG$1,  Feature_List!$A$1:$AM$1,0),0)=AY142,".","NO"))</f>
        <v>.</v>
      </c>
      <c r="DH142" s="136" t="str">
        <f>IF($D142&lt;&gt;"Feature",".",
IF(VLOOKUP($B142,Feature_List!$A:$AM,MATCH(DH$1,  Feature_List!$A$1:$AM$1,0),0)=AZ142,".","NO"))</f>
        <v>.</v>
      </c>
      <c r="DI142" s="136" t="str">
        <f>IF($D142&lt;&gt;"Feature",".",
IF(VLOOKUP($B142,Feature_List!$A:$AM,MATCH(DI$1,  Feature_List!$A$1:$AM$1,0),0)=BA142,".","NO"))</f>
        <v>.</v>
      </c>
      <c r="DJ142" s="136" t="str">
        <f>IF($D142&lt;&gt;"Feature",".",
IF(VLOOKUP($B142,Feature_List!$A:$AM,MATCH(DJ$1,  Feature_List!$A$1:$AM$1,0),0)=BB142,".","NO"))</f>
        <v>.</v>
      </c>
      <c r="DK142" s="136"/>
      <c r="DL142" s="136"/>
      <c r="DM142" s="136"/>
      <c r="DN142" s="136" t="str">
        <f>IF($D142&lt;&gt;"Feature",".",
IF(VLOOKUP($B142,Feature_List!$A:$AM,MATCH(DN$1,  Feature_List!$A$1:$AM$1,0),0)=BC142,".","NO"))</f>
        <v>.</v>
      </c>
      <c r="DO142" s="136" t="str">
        <f>IF($D142&lt;&gt;"Feature",".",
IF(VLOOKUP($B142,Feature_List!$A:$AM,MATCH(DO$1,  Feature_List!$A$1:$AM$1,0),0)=BD142,".","NO"))</f>
        <v>.</v>
      </c>
    </row>
    <row r="143" spans="2:119" x14ac:dyDescent="0.3">
      <c r="B143" s="121"/>
      <c r="C143" s="123"/>
      <c r="D143" s="122"/>
      <c r="E143" s="122"/>
      <c r="F143" s="138"/>
      <c r="G143" s="123"/>
      <c r="H143" s="122"/>
      <c r="I143" s="124"/>
      <c r="J143" s="138"/>
      <c r="K143" s="123"/>
      <c r="L143" s="122"/>
      <c r="M143" s="122"/>
      <c r="N143" s="125"/>
      <c r="O143" s="123">
        <f t="shared" si="75"/>
        <v>0</v>
      </c>
      <c r="P143" s="123">
        <f t="shared" si="76"/>
        <v>0</v>
      </c>
      <c r="Q143" s="122" t="str">
        <f t="shared" si="98"/>
        <v>ZeroEntry</v>
      </c>
      <c r="R143" s="126" t="str">
        <f t="shared" si="77"/>
        <v>ZeroEntry</v>
      </c>
      <c r="S143" s="127" t="str">
        <f t="shared" si="78"/>
        <v>ZeroEntry</v>
      </c>
      <c r="T143" s="128" t="str">
        <f>IF($Q143="ZeroEntry", "",VLOOKUP($I143,'Ranking Lookup'!#REF!,2,FALSE))</f>
        <v/>
      </c>
      <c r="U143" s="129" t="str">
        <f t="shared" si="79"/>
        <v/>
      </c>
      <c r="V143" s="129" t="str">
        <f t="shared" si="80"/>
        <v/>
      </c>
      <c r="W143" s="129" t="str">
        <f t="shared" si="81"/>
        <v/>
      </c>
      <c r="X143" s="129" t="str">
        <f t="shared" si="82"/>
        <v/>
      </c>
      <c r="Y143" s="129" t="str">
        <f t="shared" si="83"/>
        <v/>
      </c>
      <c r="Z143" s="129" t="str">
        <f t="shared" si="84"/>
        <v/>
      </c>
      <c r="AA143" s="130"/>
      <c r="AB143" s="130" t="str">
        <f t="shared" si="85"/>
        <v>Unassigned</v>
      </c>
      <c r="AC143" s="131" t="str">
        <f t="shared" si="99"/>
        <v/>
      </c>
      <c r="AD143" s="131" t="str">
        <f t="shared" si="100"/>
        <v/>
      </c>
      <c r="AE143" s="132">
        <f t="shared" si="86"/>
        <v>0</v>
      </c>
      <c r="AF143" s="133" t="str">
        <f t="shared" si="101"/>
        <v/>
      </c>
      <c r="AG143" s="134">
        <f t="shared" si="87"/>
        <v>0</v>
      </c>
      <c r="AH143" s="54" t="str">
        <f t="shared" si="88"/>
        <v/>
      </c>
      <c r="AI143" s="54" t="str">
        <f t="shared" si="89"/>
        <v/>
      </c>
      <c r="AJ143" s="54" t="str">
        <f t="shared" si="89"/>
        <v/>
      </c>
      <c r="AK143" s="54" t="str">
        <f t="shared" si="89"/>
        <v/>
      </c>
      <c r="AL143" s="54" t="str">
        <f t="shared" si="89"/>
        <v/>
      </c>
      <c r="AM143" s="54" t="str">
        <f t="shared" si="89"/>
        <v/>
      </c>
      <c r="AN143" s="54" t="str">
        <f t="shared" si="89"/>
        <v/>
      </c>
      <c r="AO143" s="54" t="str">
        <f t="shared" si="89"/>
        <v/>
      </c>
      <c r="AP143" s="54" t="str">
        <f t="shared" si="89"/>
        <v/>
      </c>
      <c r="AQ143" s="54" t="str">
        <f t="shared" si="89"/>
        <v/>
      </c>
      <c r="AR143" s="54" t="str">
        <f t="shared" si="89"/>
        <v/>
      </c>
      <c r="AS143" s="54" t="str">
        <f t="shared" si="89"/>
        <v/>
      </c>
      <c r="AT143" s="54" t="str">
        <f t="shared" si="89"/>
        <v/>
      </c>
      <c r="AU143" s="54" t="str">
        <f t="shared" si="89"/>
        <v/>
      </c>
      <c r="AV143" s="54" t="str">
        <f t="shared" si="89"/>
        <v/>
      </c>
      <c r="AW143" s="54" t="str">
        <f t="shared" si="89"/>
        <v/>
      </c>
      <c r="AX143" s="54" t="str">
        <f t="shared" si="89"/>
        <v/>
      </c>
      <c r="AY143" s="54" t="str">
        <f t="shared" si="90"/>
        <v/>
      </c>
      <c r="AZ143" s="54" t="str">
        <f t="shared" si="91"/>
        <v/>
      </c>
      <c r="BA143" s="54" t="str">
        <f t="shared" si="92"/>
        <v/>
      </c>
      <c r="BB143" s="135" t="str">
        <f t="shared" si="93"/>
        <v/>
      </c>
      <c r="BC143" s="54" t="str">
        <f t="shared" si="102"/>
        <v/>
      </c>
      <c r="BD143" s="54" t="str">
        <f t="shared" si="102"/>
        <v/>
      </c>
      <c r="BE143" s="54" t="str">
        <f t="shared" si="102"/>
        <v/>
      </c>
      <c r="BF143" s="54" t="str">
        <f t="shared" si="94"/>
        <v/>
      </c>
      <c r="BG143" s="54" t="str">
        <f t="shared" si="95"/>
        <v/>
      </c>
      <c r="BH143" s="34" t="str">
        <f t="shared" si="96"/>
        <v>Bad</v>
      </c>
      <c r="BI143" s="34" t="str">
        <f t="shared" si="97"/>
        <v>No</v>
      </c>
      <c r="BJ143" s="136" t="str">
        <f>IF($D143&lt;&gt;"Feature",".",
IF(VLOOKUP($B143,Feature_List!$A:$AM,MATCH(BJ$1,  Feature_List!$A$1:$AM$1,0),0)=B143,".","NO"))</f>
        <v>.</v>
      </c>
      <c r="BK143" s="136"/>
      <c r="BL143" s="136"/>
      <c r="BM143" s="136" t="str">
        <f>IF($D143&lt;&gt;"Feature",".",
IF(VLOOKUP($B143,Feature_List!$A:$AM,MATCH(BM$1,  Feature_List!$A$1:$AM$1,0),0)=E143,".","NO"))</f>
        <v>.</v>
      </c>
      <c r="BN143" s="136" t="str">
        <f>IF($D143&lt;&gt;"Feature",".",
IF(VLOOKUP($B143,Feature_List!$A:$AM,MATCH(BN$1,  Feature_List!$A$1:$AM$1,0),0)=F143,".","NO"))</f>
        <v>.</v>
      </c>
      <c r="BO143" s="136" t="str">
        <f>IF($D143&lt;&gt;"Feature",".",
IF(VLOOKUP($B143,Feature_List!$A:$AM,MATCH(BO$1,  Feature_List!$A$1:$AM$1,0),0)=G143,".","NO"))</f>
        <v>.</v>
      </c>
      <c r="BP143" s="136" t="str">
        <f>IF($D143&lt;&gt;"Feature",".",
IF(VLOOKUP($B143,Feature_List!$A:$AM,MATCH(BP$1,  Feature_List!$A$1:$AM$1,0),0)=H143,".","NO"))</f>
        <v>.</v>
      </c>
      <c r="BQ143" s="136"/>
      <c r="BR143" s="136" t="str">
        <f>IF($D143&lt;&gt;"Feature",".",
IF(VLOOKUP($B143,Feature_List!$A:$AM,MATCH(BR$1,  Feature_List!$A$1:$AM$1,0),0)=J143,".","NO"))</f>
        <v>.</v>
      </c>
      <c r="BS143" s="136"/>
      <c r="BT143" s="136"/>
      <c r="BU143" s="136" t="str">
        <f>IF($D143&lt;&gt;"Feature",".",
IF(VLOOKUP($B143,Feature_List!$A:$AM,MATCH(BU$1,  Feature_List!$A$1:$AM$1,0),0)=M143,".","NO"))</f>
        <v>.</v>
      </c>
      <c r="BV143" s="136" t="str">
        <f>IF($D143&lt;&gt;"Feature",".",
IF(VLOOKUP($B143,Feature_List!$A:$AM,MATCH(BV$1,  Feature_List!$A$1:$AM$1,0),0)=N143,".","NO"))</f>
        <v>.</v>
      </c>
      <c r="BW143" s="136"/>
      <c r="BX143" s="136"/>
      <c r="BY143" s="136"/>
      <c r="BZ143" s="136"/>
      <c r="CA143" s="136"/>
      <c r="CB143" s="136" t="str">
        <f>IF($D143&lt;&gt;"Feature",".",
IF(VLOOKUP($B143,Feature_List!$A:$AM,MATCH(CB$1,  Feature_List!$A$1:$AM$1,0),0)=T143,".","NO"))</f>
        <v>.</v>
      </c>
      <c r="CC143" s="136"/>
      <c r="CD143" s="136"/>
      <c r="CE143" s="136"/>
      <c r="CF143" s="136"/>
      <c r="CG143" s="136"/>
      <c r="CH143" s="136"/>
      <c r="CI143" s="136"/>
      <c r="CJ143" s="136"/>
      <c r="CK143" s="136"/>
      <c r="CL143" s="136"/>
      <c r="CM143" s="136"/>
      <c r="CN143" s="136"/>
      <c r="CO143" s="136" t="str">
        <f>IF($D143&lt;&gt;"Feature",".",
IF(VLOOKUP($B143,Feature_List!$A:$AM,MATCH(CO$1,  Feature_List!$A$1:$AM$1,0),0)=AG143,".","NO"))</f>
        <v>.</v>
      </c>
      <c r="CP143" s="136" t="str">
        <f>IF($D143&lt;&gt;"Feature",".",
IF(VLOOKUP($B143,Feature_List!$A:$AM,MATCH(CP$1,  Feature_List!$A$1:$AM$1,0),0)=AH143,".","NO"))</f>
        <v>.</v>
      </c>
      <c r="CQ143" s="136" t="str">
        <f>IF($D143&lt;&gt;"Feature",".",
IF(VLOOKUP($B143,Feature_List!$A:$AM,MATCH(CQ$1,  Feature_List!$A$1:$AM$1,0),0)=AI143,".","NO"))</f>
        <v>.</v>
      </c>
      <c r="CR143" s="136" t="str">
        <f>IF($D143&lt;&gt;"Feature",".",
IF(VLOOKUP($B143,Feature_List!$A:$AM,MATCH(CR$1,  Feature_List!$A$1:$AM$1,0),0)=AJ143,".","NO"))</f>
        <v>.</v>
      </c>
      <c r="CS143" s="136" t="str">
        <f>IF($D143&lt;&gt;"Feature",".",
IF(VLOOKUP($B143,Feature_List!$A:$AM,MATCH(CS$1,  Feature_List!$A$1:$AM$1,0),0)=AK143,".","NO"))</f>
        <v>.</v>
      </c>
      <c r="CT143" s="136" t="str">
        <f>IF($D143&lt;&gt;"Feature",".",
IF(VLOOKUP($B143,Feature_List!$A:$AM,MATCH(CT$1,  Feature_List!$A$1:$AM$1,0),0)=AL143,".","NO"))</f>
        <v>.</v>
      </c>
      <c r="CU143" s="136" t="str">
        <f>IF($D143&lt;&gt;"Feature",".",
IF(VLOOKUP($B143,Feature_List!$A:$AM,MATCH(CU$1,  Feature_List!$A$1:$AM$1,0),0)=AM143,".","NO"))</f>
        <v>.</v>
      </c>
      <c r="CV143" s="136" t="str">
        <f>IF($D143&lt;&gt;"Feature",".",
IF(VLOOKUP($B143,Feature_List!$A:$AM,MATCH(CV$1,  Feature_List!$A$1:$AM$1,0),0)=AN143,".","NO"))</f>
        <v>.</v>
      </c>
      <c r="CW143" s="136" t="str">
        <f>IF($D143&lt;&gt;"Feature",".",
IF(VLOOKUP($B143,Feature_List!$A:$AM,MATCH(CW$1,  Feature_List!$A$1:$AM$1,0),0)=AO143,".","NO"))</f>
        <v>.</v>
      </c>
      <c r="CX143" s="136" t="str">
        <f>IF($D143&lt;&gt;"Feature",".",
IF(VLOOKUP($B143,Feature_List!$A:$AM,MATCH(CX$1,  Feature_List!$A$1:$AM$1,0),0)=AP143,".","NO"))</f>
        <v>.</v>
      </c>
      <c r="CY143" s="136" t="str">
        <f>IF($D143&lt;&gt;"Feature",".",
IF(VLOOKUP($B143,Feature_List!$A:$AM,MATCH(CY$1,  Feature_List!$A$1:$AM$1,0),0)=AQ143,".","NO"))</f>
        <v>.</v>
      </c>
      <c r="CZ143" s="136" t="str">
        <f>IF($D143&lt;&gt;"Feature",".",
IF(VLOOKUP($B143,Feature_List!$A:$AM,MATCH(CZ$1,  Feature_List!$A$1:$AM$1,0),0)=AR143,".","NO"))</f>
        <v>.</v>
      </c>
      <c r="DA143" s="136" t="str">
        <f>IF($D143&lt;&gt;"Feature",".",
IF(VLOOKUP($B143,Feature_List!$A:$AM,MATCH(DA$1,  Feature_List!$A$1:$AM$1,0),0)=AS143,".","NO"))</f>
        <v>.</v>
      </c>
      <c r="DB143" s="136" t="str">
        <f>IF($D143&lt;&gt;"Feature",".",
IF(VLOOKUP($B143,Feature_List!$A:$AM,MATCH(DB$1,  Feature_List!$A$1:$AM$1,0),0)=AT143,".","NO"))</f>
        <v>.</v>
      </c>
      <c r="DC143" s="136" t="str">
        <f>IF($D143&lt;&gt;"Feature",".",
IF(VLOOKUP($B143,Feature_List!$A:$AM,MATCH(DC$1,  Feature_List!$A$1:$AM$1,0),0)=AU143,".","NO"))</f>
        <v>.</v>
      </c>
      <c r="DD143" s="136" t="str">
        <f>IF($D143&lt;&gt;"Feature",".",
IF(VLOOKUP($B143,Feature_List!$A:$AM,MATCH(DD$1,  Feature_List!$A$1:$AM$1,0),0)=AV143,".","NO"))</f>
        <v>.</v>
      </c>
      <c r="DE143" s="136" t="str">
        <f>IF($D143&lt;&gt;"Feature",".",
IF(VLOOKUP($B143,Feature_List!$A:$AM,MATCH(DE$1,  Feature_List!$A$1:$AM$1,0),0)=AW143,".","NO"))</f>
        <v>.</v>
      </c>
      <c r="DF143" s="136" t="str">
        <f>IF($D143&lt;&gt;"Feature",".",
IF(VLOOKUP($B143,Feature_List!$A:$AM,MATCH(DF$1,  Feature_List!$A$1:$AM$1,0),0)=AX143,".","NO"))</f>
        <v>.</v>
      </c>
      <c r="DG143" s="136" t="str">
        <f>IF($D143&lt;&gt;"Feature",".",
IF(VLOOKUP($B143,Feature_List!$A:$AM,MATCH(DG$1,  Feature_List!$A$1:$AM$1,0),0)=AY143,".","NO"))</f>
        <v>.</v>
      </c>
      <c r="DH143" s="136" t="str">
        <f>IF($D143&lt;&gt;"Feature",".",
IF(VLOOKUP($B143,Feature_List!$A:$AM,MATCH(DH$1,  Feature_List!$A$1:$AM$1,0),0)=AZ143,".","NO"))</f>
        <v>.</v>
      </c>
      <c r="DI143" s="136" t="str">
        <f>IF($D143&lt;&gt;"Feature",".",
IF(VLOOKUP($B143,Feature_List!$A:$AM,MATCH(DI$1,  Feature_List!$A$1:$AM$1,0),0)=BA143,".","NO"))</f>
        <v>.</v>
      </c>
      <c r="DJ143" s="136" t="str">
        <f>IF($D143&lt;&gt;"Feature",".",
IF(VLOOKUP($B143,Feature_List!$A:$AM,MATCH(DJ$1,  Feature_List!$A$1:$AM$1,0),0)=BB143,".","NO"))</f>
        <v>.</v>
      </c>
      <c r="DK143" s="136"/>
      <c r="DL143" s="136"/>
      <c r="DM143" s="136"/>
      <c r="DN143" s="136" t="str">
        <f>IF($D143&lt;&gt;"Feature",".",
IF(VLOOKUP($B143,Feature_List!$A:$AM,MATCH(DN$1,  Feature_List!$A$1:$AM$1,0),0)=BC143,".","NO"))</f>
        <v>.</v>
      </c>
      <c r="DO143" s="136" t="str">
        <f>IF($D143&lt;&gt;"Feature",".",
IF(VLOOKUP($B143,Feature_List!$A:$AM,MATCH(DO$1,  Feature_List!$A$1:$AM$1,0),0)=BD143,".","NO"))</f>
        <v>.</v>
      </c>
    </row>
    <row r="144" spans="2:119" x14ac:dyDescent="0.3">
      <c r="B144" s="121"/>
      <c r="C144" s="122"/>
      <c r="D144" s="122"/>
      <c r="E144" s="122"/>
      <c r="F144" s="138"/>
      <c r="G144" s="123"/>
      <c r="H144" s="122"/>
      <c r="I144" s="124"/>
      <c r="J144" s="138"/>
      <c r="K144" s="123"/>
      <c r="L144" s="122"/>
      <c r="M144" s="122"/>
      <c r="N144" s="125"/>
      <c r="O144" s="123">
        <f t="shared" si="75"/>
        <v>0</v>
      </c>
      <c r="P144" s="123">
        <f t="shared" si="76"/>
        <v>0</v>
      </c>
      <c r="Q144" s="122" t="str">
        <f t="shared" si="98"/>
        <v>ZeroEntry</v>
      </c>
      <c r="R144" s="126" t="str">
        <f t="shared" si="77"/>
        <v>ZeroEntry</v>
      </c>
      <c r="S144" s="127" t="str">
        <f t="shared" si="78"/>
        <v>ZeroEntry</v>
      </c>
      <c r="T144" s="128" t="str">
        <f>IF($Q144="ZeroEntry", "",VLOOKUP($I144,'Ranking Lookup'!#REF!,2,FALSE))</f>
        <v/>
      </c>
      <c r="U144" s="129" t="str">
        <f t="shared" si="79"/>
        <v/>
      </c>
      <c r="V144" s="129" t="str">
        <f t="shared" si="80"/>
        <v/>
      </c>
      <c r="W144" s="129" t="str">
        <f t="shared" si="81"/>
        <v/>
      </c>
      <c r="X144" s="129" t="str">
        <f t="shared" si="82"/>
        <v/>
      </c>
      <c r="Y144" s="129" t="str">
        <f t="shared" si="83"/>
        <v/>
      </c>
      <c r="Z144" s="129" t="str">
        <f t="shared" si="84"/>
        <v/>
      </c>
      <c r="AA144" s="130"/>
      <c r="AB144" s="130" t="str">
        <f t="shared" si="85"/>
        <v>Unassigned</v>
      </c>
      <c r="AC144" s="131" t="str">
        <f t="shared" si="99"/>
        <v/>
      </c>
      <c r="AD144" s="131" t="str">
        <f t="shared" si="100"/>
        <v/>
      </c>
      <c r="AE144" s="132">
        <f t="shared" si="86"/>
        <v>0</v>
      </c>
      <c r="AF144" s="133" t="str">
        <f t="shared" si="101"/>
        <v/>
      </c>
      <c r="AG144" s="134">
        <f t="shared" si="87"/>
        <v>0</v>
      </c>
      <c r="AH144" s="54" t="str">
        <f t="shared" si="88"/>
        <v/>
      </c>
      <c r="AI144" s="54" t="str">
        <f t="shared" si="89"/>
        <v/>
      </c>
      <c r="AJ144" s="54" t="str">
        <f t="shared" si="89"/>
        <v/>
      </c>
      <c r="AK144" s="54" t="str">
        <f t="shared" si="89"/>
        <v/>
      </c>
      <c r="AL144" s="54" t="str">
        <f t="shared" si="89"/>
        <v/>
      </c>
      <c r="AM144" s="54" t="str">
        <f t="shared" si="89"/>
        <v/>
      </c>
      <c r="AN144" s="54" t="str">
        <f t="shared" si="89"/>
        <v/>
      </c>
      <c r="AO144" s="54" t="str">
        <f t="shared" si="89"/>
        <v/>
      </c>
      <c r="AP144" s="54" t="str">
        <f t="shared" si="89"/>
        <v/>
      </c>
      <c r="AQ144" s="54" t="str">
        <f t="shared" si="89"/>
        <v/>
      </c>
      <c r="AR144" s="54" t="str">
        <f t="shared" si="89"/>
        <v/>
      </c>
      <c r="AS144" s="54" t="str">
        <f t="shared" si="89"/>
        <v/>
      </c>
      <c r="AT144" s="54" t="str">
        <f t="shared" si="89"/>
        <v/>
      </c>
      <c r="AU144" s="54" t="str">
        <f t="shared" si="89"/>
        <v/>
      </c>
      <c r="AV144" s="54" t="str">
        <f t="shared" si="89"/>
        <v/>
      </c>
      <c r="AW144" s="54" t="str">
        <f t="shared" si="89"/>
        <v/>
      </c>
      <c r="AX144" s="54" t="str">
        <f t="shared" si="89"/>
        <v/>
      </c>
      <c r="AY144" s="54" t="str">
        <f t="shared" si="90"/>
        <v/>
      </c>
      <c r="AZ144" s="54" t="str">
        <f t="shared" si="91"/>
        <v/>
      </c>
      <c r="BA144" s="54" t="str">
        <f t="shared" si="92"/>
        <v/>
      </c>
      <c r="BB144" s="135" t="str">
        <f t="shared" si="93"/>
        <v/>
      </c>
      <c r="BC144" s="54" t="str">
        <f t="shared" si="102"/>
        <v/>
      </c>
      <c r="BD144" s="54" t="str">
        <f t="shared" si="102"/>
        <v/>
      </c>
      <c r="BE144" s="54" t="str">
        <f t="shared" si="102"/>
        <v/>
      </c>
      <c r="BF144" s="54" t="str">
        <f t="shared" si="94"/>
        <v/>
      </c>
      <c r="BG144" s="54" t="str">
        <f t="shared" si="95"/>
        <v/>
      </c>
      <c r="BH144" s="34" t="str">
        <f t="shared" si="96"/>
        <v>Bad</v>
      </c>
      <c r="BI144" s="34" t="str">
        <f t="shared" si="97"/>
        <v>No</v>
      </c>
      <c r="BJ144" s="136" t="str">
        <f>IF($D144&lt;&gt;"Feature",".",
IF(VLOOKUP($B144,Feature_List!$A:$AM,MATCH(BJ$1,  Feature_List!$A$1:$AM$1,0),0)=B144,".","NO"))</f>
        <v>.</v>
      </c>
      <c r="BK144" s="136"/>
      <c r="BL144" s="136"/>
      <c r="BM144" s="136" t="str">
        <f>IF($D144&lt;&gt;"Feature",".",
IF(VLOOKUP($B144,Feature_List!$A:$AM,MATCH(BM$1,  Feature_List!$A$1:$AM$1,0),0)=E144,".","NO"))</f>
        <v>.</v>
      </c>
      <c r="BN144" s="136" t="str">
        <f>IF($D144&lt;&gt;"Feature",".",
IF(VLOOKUP($B144,Feature_List!$A:$AM,MATCH(BN$1,  Feature_List!$A$1:$AM$1,0),0)=F144,".","NO"))</f>
        <v>.</v>
      </c>
      <c r="BO144" s="136" t="str">
        <f>IF($D144&lt;&gt;"Feature",".",
IF(VLOOKUP($B144,Feature_List!$A:$AM,MATCH(BO$1,  Feature_List!$A$1:$AM$1,0),0)=G144,".","NO"))</f>
        <v>.</v>
      </c>
      <c r="BP144" s="136" t="str">
        <f>IF($D144&lt;&gt;"Feature",".",
IF(VLOOKUP($B144,Feature_List!$A:$AM,MATCH(BP$1,  Feature_List!$A$1:$AM$1,0),0)=H144,".","NO"))</f>
        <v>.</v>
      </c>
      <c r="BQ144" s="136"/>
      <c r="BR144" s="136" t="str">
        <f>IF($D144&lt;&gt;"Feature",".",
IF(VLOOKUP($B144,Feature_List!$A:$AM,MATCH(BR$1,  Feature_List!$A$1:$AM$1,0),0)=J144,".","NO"))</f>
        <v>.</v>
      </c>
      <c r="BS144" s="136"/>
      <c r="BT144" s="136"/>
      <c r="BU144" s="136" t="str">
        <f>IF($D144&lt;&gt;"Feature",".",
IF(VLOOKUP($B144,Feature_List!$A:$AM,MATCH(BU$1,  Feature_List!$A$1:$AM$1,0),0)=M144,".","NO"))</f>
        <v>.</v>
      </c>
      <c r="BV144" s="136" t="str">
        <f>IF($D144&lt;&gt;"Feature",".",
IF(VLOOKUP($B144,Feature_List!$A:$AM,MATCH(BV$1,  Feature_List!$A$1:$AM$1,0),0)=N144,".","NO"))</f>
        <v>.</v>
      </c>
      <c r="BW144" s="136"/>
      <c r="BX144" s="136"/>
      <c r="BY144" s="136"/>
      <c r="BZ144" s="136"/>
      <c r="CA144" s="136"/>
      <c r="CB144" s="136" t="str">
        <f>IF($D144&lt;&gt;"Feature",".",
IF(VLOOKUP($B144,Feature_List!$A:$AM,MATCH(CB$1,  Feature_List!$A$1:$AM$1,0),0)=T144,".","NO"))</f>
        <v>.</v>
      </c>
      <c r="CC144" s="136"/>
      <c r="CD144" s="136"/>
      <c r="CE144" s="136"/>
      <c r="CF144" s="136"/>
      <c r="CG144" s="136"/>
      <c r="CH144" s="136"/>
      <c r="CI144" s="136"/>
      <c r="CJ144" s="136"/>
      <c r="CK144" s="136"/>
      <c r="CL144" s="136"/>
      <c r="CM144" s="136"/>
      <c r="CN144" s="136"/>
      <c r="CO144" s="136" t="str">
        <f>IF($D144&lt;&gt;"Feature",".",
IF(VLOOKUP($B144,Feature_List!$A:$AM,MATCH(CO$1,  Feature_List!$A$1:$AM$1,0),0)=AG144,".","NO"))</f>
        <v>.</v>
      </c>
      <c r="CP144" s="136" t="str">
        <f>IF($D144&lt;&gt;"Feature",".",
IF(VLOOKUP($B144,Feature_List!$A:$AM,MATCH(CP$1,  Feature_List!$A$1:$AM$1,0),0)=AH144,".","NO"))</f>
        <v>.</v>
      </c>
      <c r="CQ144" s="136" t="str">
        <f>IF($D144&lt;&gt;"Feature",".",
IF(VLOOKUP($B144,Feature_List!$A:$AM,MATCH(CQ$1,  Feature_List!$A$1:$AM$1,0),0)=AI144,".","NO"))</f>
        <v>.</v>
      </c>
      <c r="CR144" s="136" t="str">
        <f>IF($D144&lt;&gt;"Feature",".",
IF(VLOOKUP($B144,Feature_List!$A:$AM,MATCH(CR$1,  Feature_List!$A$1:$AM$1,0),0)=AJ144,".","NO"))</f>
        <v>.</v>
      </c>
      <c r="CS144" s="136" t="str">
        <f>IF($D144&lt;&gt;"Feature",".",
IF(VLOOKUP($B144,Feature_List!$A:$AM,MATCH(CS$1,  Feature_List!$A$1:$AM$1,0),0)=AK144,".","NO"))</f>
        <v>.</v>
      </c>
      <c r="CT144" s="136" t="str">
        <f>IF($D144&lt;&gt;"Feature",".",
IF(VLOOKUP($B144,Feature_List!$A:$AM,MATCH(CT$1,  Feature_List!$A$1:$AM$1,0),0)=AL144,".","NO"))</f>
        <v>.</v>
      </c>
      <c r="CU144" s="136" t="str">
        <f>IF($D144&lt;&gt;"Feature",".",
IF(VLOOKUP($B144,Feature_List!$A:$AM,MATCH(CU$1,  Feature_List!$A$1:$AM$1,0),0)=AM144,".","NO"))</f>
        <v>.</v>
      </c>
      <c r="CV144" s="136" t="str">
        <f>IF($D144&lt;&gt;"Feature",".",
IF(VLOOKUP($B144,Feature_List!$A:$AM,MATCH(CV$1,  Feature_List!$A$1:$AM$1,0),0)=AN144,".","NO"))</f>
        <v>.</v>
      </c>
      <c r="CW144" s="136" t="str">
        <f>IF($D144&lt;&gt;"Feature",".",
IF(VLOOKUP($B144,Feature_List!$A:$AM,MATCH(CW$1,  Feature_List!$A$1:$AM$1,0),0)=AO144,".","NO"))</f>
        <v>.</v>
      </c>
      <c r="CX144" s="136" t="str">
        <f>IF($D144&lt;&gt;"Feature",".",
IF(VLOOKUP($B144,Feature_List!$A:$AM,MATCH(CX$1,  Feature_List!$A$1:$AM$1,0),0)=AP144,".","NO"))</f>
        <v>.</v>
      </c>
      <c r="CY144" s="136" t="str">
        <f>IF($D144&lt;&gt;"Feature",".",
IF(VLOOKUP($B144,Feature_List!$A:$AM,MATCH(CY$1,  Feature_List!$A$1:$AM$1,0),0)=AQ144,".","NO"))</f>
        <v>.</v>
      </c>
      <c r="CZ144" s="136" t="str">
        <f>IF($D144&lt;&gt;"Feature",".",
IF(VLOOKUP($B144,Feature_List!$A:$AM,MATCH(CZ$1,  Feature_List!$A$1:$AM$1,0),0)=AR144,".","NO"))</f>
        <v>.</v>
      </c>
      <c r="DA144" s="136" t="str">
        <f>IF($D144&lt;&gt;"Feature",".",
IF(VLOOKUP($B144,Feature_List!$A:$AM,MATCH(DA$1,  Feature_List!$A$1:$AM$1,0),0)=AS144,".","NO"))</f>
        <v>.</v>
      </c>
      <c r="DB144" s="136" t="str">
        <f>IF($D144&lt;&gt;"Feature",".",
IF(VLOOKUP($B144,Feature_List!$A:$AM,MATCH(DB$1,  Feature_List!$A$1:$AM$1,0),0)=AT144,".","NO"))</f>
        <v>.</v>
      </c>
      <c r="DC144" s="136" t="str">
        <f>IF($D144&lt;&gt;"Feature",".",
IF(VLOOKUP($B144,Feature_List!$A:$AM,MATCH(DC$1,  Feature_List!$A$1:$AM$1,0),0)=AU144,".","NO"))</f>
        <v>.</v>
      </c>
      <c r="DD144" s="136" t="str">
        <f>IF($D144&lt;&gt;"Feature",".",
IF(VLOOKUP($B144,Feature_List!$A:$AM,MATCH(DD$1,  Feature_List!$A$1:$AM$1,0),0)=AV144,".","NO"))</f>
        <v>.</v>
      </c>
      <c r="DE144" s="136" t="str">
        <f>IF($D144&lt;&gt;"Feature",".",
IF(VLOOKUP($B144,Feature_List!$A:$AM,MATCH(DE$1,  Feature_List!$A$1:$AM$1,0),0)=AW144,".","NO"))</f>
        <v>.</v>
      </c>
      <c r="DF144" s="136" t="str">
        <f>IF($D144&lt;&gt;"Feature",".",
IF(VLOOKUP($B144,Feature_List!$A:$AM,MATCH(DF$1,  Feature_List!$A$1:$AM$1,0),0)=AX144,".","NO"))</f>
        <v>.</v>
      </c>
      <c r="DG144" s="136" t="str">
        <f>IF($D144&lt;&gt;"Feature",".",
IF(VLOOKUP($B144,Feature_List!$A:$AM,MATCH(DG$1,  Feature_List!$A$1:$AM$1,0),0)=AY144,".","NO"))</f>
        <v>.</v>
      </c>
      <c r="DH144" s="136" t="str">
        <f>IF($D144&lt;&gt;"Feature",".",
IF(VLOOKUP($B144,Feature_List!$A:$AM,MATCH(DH$1,  Feature_List!$A$1:$AM$1,0),0)=AZ144,".","NO"))</f>
        <v>.</v>
      </c>
      <c r="DI144" s="136" t="str">
        <f>IF($D144&lt;&gt;"Feature",".",
IF(VLOOKUP($B144,Feature_List!$A:$AM,MATCH(DI$1,  Feature_List!$A$1:$AM$1,0),0)=BA144,".","NO"))</f>
        <v>.</v>
      </c>
      <c r="DJ144" s="136" t="str">
        <f>IF($D144&lt;&gt;"Feature",".",
IF(VLOOKUP($B144,Feature_List!$A:$AM,MATCH(DJ$1,  Feature_List!$A$1:$AM$1,0),0)=BB144,".","NO"))</f>
        <v>.</v>
      </c>
      <c r="DK144" s="136"/>
      <c r="DL144" s="136"/>
      <c r="DM144" s="136"/>
      <c r="DN144" s="136" t="str">
        <f>IF($D144&lt;&gt;"Feature",".",
IF(VLOOKUP($B144,Feature_List!$A:$AM,MATCH(DN$1,  Feature_List!$A$1:$AM$1,0),0)=BC144,".","NO"))</f>
        <v>.</v>
      </c>
      <c r="DO144" s="136" t="str">
        <f>IF($D144&lt;&gt;"Feature",".",
IF(VLOOKUP($B144,Feature_List!$A:$AM,MATCH(DO$1,  Feature_List!$A$1:$AM$1,0),0)=BD144,".","NO"))</f>
        <v>.</v>
      </c>
    </row>
    <row r="145" spans="2:119" x14ac:dyDescent="0.3">
      <c r="B145" s="121"/>
      <c r="C145" s="122"/>
      <c r="D145" s="122"/>
      <c r="E145" s="122"/>
      <c r="F145" s="138"/>
      <c r="G145" s="123"/>
      <c r="H145" s="122"/>
      <c r="I145" s="124"/>
      <c r="J145" s="138"/>
      <c r="K145" s="123"/>
      <c r="L145" s="122"/>
      <c r="M145" s="122"/>
      <c r="N145" s="125"/>
      <c r="O145" s="123">
        <f t="shared" si="75"/>
        <v>0</v>
      </c>
      <c r="P145" s="123">
        <f t="shared" si="76"/>
        <v>0</v>
      </c>
      <c r="Q145" s="122" t="str">
        <f t="shared" si="98"/>
        <v>ZeroEntry</v>
      </c>
      <c r="R145" s="126" t="str">
        <f t="shared" si="77"/>
        <v>ZeroEntry</v>
      </c>
      <c r="S145" s="127" t="str">
        <f t="shared" si="78"/>
        <v>ZeroEntry</v>
      </c>
      <c r="T145" s="128" t="str">
        <f>IF($Q145="ZeroEntry", "",VLOOKUP($I145,'Ranking Lookup'!#REF!,2,FALSE))</f>
        <v/>
      </c>
      <c r="U145" s="129" t="str">
        <f t="shared" si="79"/>
        <v/>
      </c>
      <c r="V145" s="129" t="str">
        <f t="shared" si="80"/>
        <v/>
      </c>
      <c r="W145" s="129" t="str">
        <f t="shared" si="81"/>
        <v/>
      </c>
      <c r="X145" s="129" t="str">
        <f t="shared" si="82"/>
        <v/>
      </c>
      <c r="Y145" s="129" t="str">
        <f t="shared" si="83"/>
        <v/>
      </c>
      <c r="Z145" s="129" t="str">
        <f t="shared" si="84"/>
        <v/>
      </c>
      <c r="AA145" s="130"/>
      <c r="AB145" s="130" t="str">
        <f t="shared" si="85"/>
        <v>Unassigned</v>
      </c>
      <c r="AC145" s="131" t="str">
        <f t="shared" si="99"/>
        <v/>
      </c>
      <c r="AD145" s="131" t="str">
        <f t="shared" si="100"/>
        <v/>
      </c>
      <c r="AE145" s="132">
        <f t="shared" si="86"/>
        <v>0</v>
      </c>
      <c r="AF145" s="133" t="str">
        <f t="shared" si="101"/>
        <v/>
      </c>
      <c r="AG145" s="134">
        <f t="shared" si="87"/>
        <v>0</v>
      </c>
      <c r="AH145" s="54" t="str">
        <f t="shared" si="88"/>
        <v/>
      </c>
      <c r="AI145" s="54" t="str">
        <f t="shared" si="89"/>
        <v/>
      </c>
      <c r="AJ145" s="54" t="str">
        <f t="shared" si="89"/>
        <v/>
      </c>
      <c r="AK145" s="54" t="str">
        <f t="shared" si="89"/>
        <v/>
      </c>
      <c r="AL145" s="54" t="str">
        <f t="shared" si="89"/>
        <v/>
      </c>
      <c r="AM145" s="54" t="str">
        <f t="shared" si="89"/>
        <v/>
      </c>
      <c r="AN145" s="54" t="str">
        <f t="shared" si="89"/>
        <v/>
      </c>
      <c r="AO145" s="54" t="str">
        <f t="shared" si="89"/>
        <v/>
      </c>
      <c r="AP145" s="54" t="str">
        <f t="shared" si="89"/>
        <v/>
      </c>
      <c r="AQ145" s="54" t="str">
        <f t="shared" si="89"/>
        <v/>
      </c>
      <c r="AR145" s="54" t="str">
        <f t="shared" si="89"/>
        <v/>
      </c>
      <c r="AS145" s="54" t="str">
        <f t="shared" si="89"/>
        <v/>
      </c>
      <c r="AT145" s="54" t="str">
        <f t="shared" si="89"/>
        <v/>
      </c>
      <c r="AU145" s="54" t="str">
        <f t="shared" si="89"/>
        <v/>
      </c>
      <c r="AV145" s="54" t="str">
        <f t="shared" si="89"/>
        <v/>
      </c>
      <c r="AW145" s="54" t="str">
        <f t="shared" si="89"/>
        <v/>
      </c>
      <c r="AX145" s="54" t="str">
        <f t="shared" ref="AX145" si="103">IF(AND($Q145="Feature",LEFT($AB145,2)="PI"),
IF(AND(COUNTIF($R:$R,$B145)=1,$T145=AX$1), IF($AB145=$A$10,$AF145,0),
IF(OR($AD145&lt;1,RIGHT($G145,8)="Progress",$AH145&gt;0),SUMIFS($O:$O,$R:$R,$B145,$T:$T,AX$1,$P:$P,"&lt;&gt;Done",$AB:$AB,$A$10),
IF($T145=AX$1,IF($AB145=$A$10,$AD145,0)+SUMIFS($O:$O,$R:$R,$B145,$T:$T,AX$1,$P:$P,"&lt;&gt;Done",$AB:$AB,$A$10),SUMIFS($O:$O,$R:$R,$B145,$T:$T,AX$1,$P:$P,"&lt;&gt;Done",$AB:$AB,$A$10)))),
IF(AND(OR($Q145="Story",$Q145="Problem",$Q145="Enhancement"),$AB145=$A$10,$R145=0,$T145=AX$1,$P145&lt;&gt;"Done"),$O145,""))</f>
        <v/>
      </c>
      <c r="AY145" s="54" t="str">
        <f t="shared" si="90"/>
        <v/>
      </c>
      <c r="AZ145" s="54" t="str">
        <f t="shared" si="91"/>
        <v/>
      </c>
      <c r="BA145" s="54" t="str">
        <f t="shared" si="92"/>
        <v/>
      </c>
      <c r="BB145" s="135" t="str">
        <f t="shared" si="93"/>
        <v/>
      </c>
      <c r="BC145" s="54" t="str">
        <f t="shared" si="102"/>
        <v/>
      </c>
      <c r="BD145" s="54" t="str">
        <f t="shared" si="102"/>
        <v/>
      </c>
      <c r="BE145" s="54" t="str">
        <f t="shared" si="102"/>
        <v/>
      </c>
      <c r="BF145" s="54" t="str">
        <f t="shared" si="94"/>
        <v/>
      </c>
      <c r="BG145" s="54" t="str">
        <f t="shared" si="95"/>
        <v/>
      </c>
      <c r="BH145" s="34" t="str">
        <f t="shared" si="96"/>
        <v>Bad</v>
      </c>
      <c r="BI145" s="34" t="str">
        <f t="shared" si="97"/>
        <v>No</v>
      </c>
      <c r="BJ145" s="136" t="str">
        <f>IF($D145&lt;&gt;"Feature",".",
IF(VLOOKUP($B145,Feature_List!$A:$AM,MATCH(BJ$1,  Feature_List!$A$1:$AM$1,0),0)=B145,".","NO"))</f>
        <v>.</v>
      </c>
      <c r="BK145" s="136"/>
      <c r="BL145" s="136"/>
      <c r="BM145" s="136" t="str">
        <f>IF($D145&lt;&gt;"Feature",".",
IF(VLOOKUP($B145,Feature_List!$A:$AM,MATCH(BM$1,  Feature_List!$A$1:$AM$1,0),0)=E145,".","NO"))</f>
        <v>.</v>
      </c>
      <c r="BN145" s="136" t="str">
        <f>IF($D145&lt;&gt;"Feature",".",
IF(VLOOKUP($B145,Feature_List!$A:$AM,MATCH(BN$1,  Feature_List!$A$1:$AM$1,0),0)=F145,".","NO"))</f>
        <v>.</v>
      </c>
      <c r="BO145" s="136" t="str">
        <f>IF($D145&lt;&gt;"Feature",".",
IF(VLOOKUP($B145,Feature_List!$A:$AM,MATCH(BO$1,  Feature_List!$A$1:$AM$1,0),0)=G145,".","NO"))</f>
        <v>.</v>
      </c>
      <c r="BP145" s="136" t="str">
        <f>IF($D145&lt;&gt;"Feature",".",
IF(VLOOKUP($B145,Feature_List!$A:$AM,MATCH(BP$1,  Feature_List!$A$1:$AM$1,0),0)=H145,".","NO"))</f>
        <v>.</v>
      </c>
      <c r="BQ145" s="136"/>
      <c r="BR145" s="136" t="str">
        <f>IF($D145&lt;&gt;"Feature",".",
IF(VLOOKUP($B145,Feature_List!$A:$AM,MATCH(BR$1,  Feature_List!$A$1:$AM$1,0),0)=J145,".","NO"))</f>
        <v>.</v>
      </c>
      <c r="BS145" s="136"/>
      <c r="BT145" s="136"/>
      <c r="BU145" s="136" t="str">
        <f>IF($D145&lt;&gt;"Feature",".",
IF(VLOOKUP($B145,Feature_List!$A:$AM,MATCH(BU$1,  Feature_List!$A$1:$AM$1,0),0)=M145,".","NO"))</f>
        <v>.</v>
      </c>
      <c r="BV145" s="136" t="str">
        <f>IF($D145&lt;&gt;"Feature",".",
IF(VLOOKUP($B145,Feature_List!$A:$AM,MATCH(BV$1,  Feature_List!$A$1:$AM$1,0),0)=N145,".","NO"))</f>
        <v>.</v>
      </c>
      <c r="BW145" s="136"/>
      <c r="BX145" s="136"/>
      <c r="BY145" s="136"/>
      <c r="BZ145" s="136"/>
      <c r="CA145" s="136"/>
      <c r="CB145" s="136" t="str">
        <f>IF($D145&lt;&gt;"Feature",".",
IF(VLOOKUP($B145,Feature_List!$A:$AM,MATCH(CB$1,  Feature_List!$A$1:$AM$1,0),0)=T145,".","NO"))</f>
        <v>.</v>
      </c>
      <c r="CC145" s="136"/>
      <c r="CD145" s="136"/>
      <c r="CE145" s="136"/>
      <c r="CF145" s="136"/>
      <c r="CG145" s="136"/>
      <c r="CH145" s="136"/>
      <c r="CI145" s="136"/>
      <c r="CJ145" s="136"/>
      <c r="CK145" s="136"/>
      <c r="CL145" s="136"/>
      <c r="CM145" s="136"/>
      <c r="CN145" s="136"/>
      <c r="CO145" s="136" t="str">
        <f>IF($D145&lt;&gt;"Feature",".",
IF(VLOOKUP($B145,Feature_List!$A:$AM,MATCH(CO$1,  Feature_List!$A$1:$AM$1,0),0)=AG145,".","NO"))</f>
        <v>.</v>
      </c>
      <c r="CP145" s="136" t="str">
        <f>IF($D145&lt;&gt;"Feature",".",
IF(VLOOKUP($B145,Feature_List!$A:$AM,MATCH(CP$1,  Feature_List!$A$1:$AM$1,0),0)=AH145,".","NO"))</f>
        <v>.</v>
      </c>
      <c r="CQ145" s="136" t="str">
        <f>IF($D145&lt;&gt;"Feature",".",
IF(VLOOKUP($B145,Feature_List!$A:$AM,MATCH(CQ$1,  Feature_List!$A$1:$AM$1,0),0)=AI145,".","NO"))</f>
        <v>.</v>
      </c>
      <c r="CR145" s="136" t="str">
        <f>IF($D145&lt;&gt;"Feature",".",
IF(VLOOKUP($B145,Feature_List!$A:$AM,MATCH(CR$1,  Feature_List!$A$1:$AM$1,0),0)=AJ145,".","NO"))</f>
        <v>.</v>
      </c>
      <c r="CS145" s="136" t="str">
        <f>IF($D145&lt;&gt;"Feature",".",
IF(VLOOKUP($B145,Feature_List!$A:$AM,MATCH(CS$1,  Feature_List!$A$1:$AM$1,0),0)=AK145,".","NO"))</f>
        <v>.</v>
      </c>
      <c r="CT145" s="136" t="str">
        <f>IF($D145&lt;&gt;"Feature",".",
IF(VLOOKUP($B145,Feature_List!$A:$AM,MATCH(CT$1,  Feature_List!$A$1:$AM$1,0),0)=AL145,".","NO"))</f>
        <v>.</v>
      </c>
      <c r="CU145" s="136" t="str">
        <f>IF($D145&lt;&gt;"Feature",".",
IF(VLOOKUP($B145,Feature_List!$A:$AM,MATCH(CU$1,  Feature_List!$A$1:$AM$1,0),0)=AM145,".","NO"))</f>
        <v>.</v>
      </c>
      <c r="CV145" s="136" t="str">
        <f>IF($D145&lt;&gt;"Feature",".",
IF(VLOOKUP($B145,Feature_List!$A:$AM,MATCH(CV$1,  Feature_List!$A$1:$AM$1,0),0)=AN145,".","NO"))</f>
        <v>.</v>
      </c>
      <c r="CW145" s="136" t="str">
        <f>IF($D145&lt;&gt;"Feature",".",
IF(VLOOKUP($B145,Feature_List!$A:$AM,MATCH(CW$1,  Feature_List!$A$1:$AM$1,0),0)=AO145,".","NO"))</f>
        <v>.</v>
      </c>
      <c r="CX145" s="136" t="str">
        <f>IF($D145&lt;&gt;"Feature",".",
IF(VLOOKUP($B145,Feature_List!$A:$AM,MATCH(CX$1,  Feature_List!$A$1:$AM$1,0),0)=AP145,".","NO"))</f>
        <v>.</v>
      </c>
      <c r="CY145" s="136" t="str">
        <f>IF($D145&lt;&gt;"Feature",".",
IF(VLOOKUP($B145,Feature_List!$A:$AM,MATCH(CY$1,  Feature_List!$A$1:$AM$1,0),0)=AQ145,".","NO"))</f>
        <v>.</v>
      </c>
      <c r="CZ145" s="136" t="str">
        <f>IF($D145&lt;&gt;"Feature",".",
IF(VLOOKUP($B145,Feature_List!$A:$AM,MATCH(CZ$1,  Feature_List!$A$1:$AM$1,0),0)=AR145,".","NO"))</f>
        <v>.</v>
      </c>
      <c r="DA145" s="136" t="str">
        <f>IF($D145&lt;&gt;"Feature",".",
IF(VLOOKUP($B145,Feature_List!$A:$AM,MATCH(DA$1,  Feature_List!$A$1:$AM$1,0),0)=AS145,".","NO"))</f>
        <v>.</v>
      </c>
      <c r="DB145" s="136" t="str">
        <f>IF($D145&lt;&gt;"Feature",".",
IF(VLOOKUP($B145,Feature_List!$A:$AM,MATCH(DB$1,  Feature_List!$A$1:$AM$1,0),0)=AT145,".","NO"))</f>
        <v>.</v>
      </c>
      <c r="DC145" s="136" t="str">
        <f>IF($D145&lt;&gt;"Feature",".",
IF(VLOOKUP($B145,Feature_List!$A:$AM,MATCH(DC$1,  Feature_List!$A$1:$AM$1,0),0)=AU145,".","NO"))</f>
        <v>.</v>
      </c>
      <c r="DD145" s="136" t="str">
        <f>IF($D145&lt;&gt;"Feature",".",
IF(VLOOKUP($B145,Feature_List!$A:$AM,MATCH(DD$1,  Feature_List!$A$1:$AM$1,0),0)=AV145,".","NO"))</f>
        <v>.</v>
      </c>
      <c r="DE145" s="136" t="str">
        <f>IF($D145&lt;&gt;"Feature",".",
IF(VLOOKUP($B145,Feature_List!$A:$AM,MATCH(DE$1,  Feature_List!$A$1:$AM$1,0),0)=AW145,".","NO"))</f>
        <v>.</v>
      </c>
      <c r="DF145" s="136" t="str">
        <f>IF($D145&lt;&gt;"Feature",".",
IF(VLOOKUP($B145,Feature_List!$A:$AM,MATCH(DF$1,  Feature_List!$A$1:$AM$1,0),0)=AX145,".","NO"))</f>
        <v>.</v>
      </c>
      <c r="DG145" s="136" t="str">
        <f>IF($D145&lt;&gt;"Feature",".",
IF(VLOOKUP($B145,Feature_List!$A:$AM,MATCH(DG$1,  Feature_List!$A$1:$AM$1,0),0)=AY145,".","NO"))</f>
        <v>.</v>
      </c>
      <c r="DH145" s="136" t="str">
        <f>IF($D145&lt;&gt;"Feature",".",
IF(VLOOKUP($B145,Feature_List!$A:$AM,MATCH(DH$1,  Feature_List!$A$1:$AM$1,0),0)=AZ145,".","NO"))</f>
        <v>.</v>
      </c>
      <c r="DI145" s="136" t="str">
        <f>IF($D145&lt;&gt;"Feature",".",
IF(VLOOKUP($B145,Feature_List!$A:$AM,MATCH(DI$1,  Feature_List!$A$1:$AM$1,0),0)=BA145,".","NO"))</f>
        <v>.</v>
      </c>
      <c r="DJ145" s="136" t="str">
        <f>IF($D145&lt;&gt;"Feature",".",
IF(VLOOKUP($B145,Feature_List!$A:$AM,MATCH(DJ$1,  Feature_List!$A$1:$AM$1,0),0)=BB145,".","NO"))</f>
        <v>.</v>
      </c>
      <c r="DK145" s="136"/>
      <c r="DL145" s="136"/>
      <c r="DM145" s="136"/>
      <c r="DN145" s="136" t="str">
        <f>IF($D145&lt;&gt;"Feature",".",
IF(VLOOKUP($B145,Feature_List!$A:$AM,MATCH(DN$1,  Feature_List!$A$1:$AM$1,0),0)=BC145,".","NO"))</f>
        <v>.</v>
      </c>
      <c r="DO145" s="136" t="str">
        <f>IF($D145&lt;&gt;"Feature",".",
IF(VLOOKUP($B145,Feature_List!$A:$AM,MATCH(DO$1,  Feature_List!$A$1:$AM$1,0),0)=BD145,".","NO"))</f>
        <v>.</v>
      </c>
    </row>
    <row r="146" spans="2:119" x14ac:dyDescent="0.3">
      <c r="B146" s="121"/>
      <c r="C146" s="122"/>
      <c r="D146" s="122"/>
      <c r="E146" s="122"/>
      <c r="F146" s="138"/>
      <c r="G146" s="123"/>
      <c r="H146" s="122"/>
      <c r="I146" s="124"/>
      <c r="J146" s="138"/>
      <c r="K146" s="123"/>
      <c r="L146" s="122"/>
      <c r="M146" s="122"/>
      <c r="N146" s="125"/>
      <c r="O146" s="123">
        <f t="shared" si="75"/>
        <v>0</v>
      </c>
      <c r="P146" s="123">
        <f t="shared" si="76"/>
        <v>0</v>
      </c>
      <c r="Q146" s="122" t="str">
        <f t="shared" si="98"/>
        <v>ZeroEntry</v>
      </c>
      <c r="R146" s="126" t="str">
        <f t="shared" si="77"/>
        <v>ZeroEntry</v>
      </c>
      <c r="S146" s="127" t="str">
        <f t="shared" si="78"/>
        <v>ZeroEntry</v>
      </c>
      <c r="T146" s="128" t="str">
        <f>IF($Q146="ZeroEntry", "",VLOOKUP($I146,'Ranking Lookup'!#REF!,2,FALSE))</f>
        <v/>
      </c>
      <c r="U146" s="129" t="str">
        <f t="shared" si="79"/>
        <v/>
      </c>
      <c r="V146" s="129" t="str">
        <f t="shared" si="80"/>
        <v/>
      </c>
      <c r="W146" s="129" t="str">
        <f t="shared" si="81"/>
        <v/>
      </c>
      <c r="X146" s="129" t="str">
        <f t="shared" si="82"/>
        <v/>
      </c>
      <c r="Y146" s="129" t="str">
        <f t="shared" si="83"/>
        <v/>
      </c>
      <c r="Z146" s="129" t="str">
        <f t="shared" si="84"/>
        <v/>
      </c>
      <c r="AA146" s="130"/>
      <c r="AB146" s="130" t="str">
        <f t="shared" si="85"/>
        <v>Unassigned</v>
      </c>
      <c r="AC146" s="131" t="str">
        <f t="shared" si="99"/>
        <v/>
      </c>
      <c r="AD146" s="131" t="str">
        <f t="shared" si="100"/>
        <v/>
      </c>
      <c r="AE146" s="132">
        <f t="shared" si="86"/>
        <v>0</v>
      </c>
      <c r="AF146" s="133" t="str">
        <f t="shared" si="101"/>
        <v/>
      </c>
      <c r="AG146" s="134">
        <f t="shared" si="87"/>
        <v>0</v>
      </c>
      <c r="AH146" s="54" t="str">
        <f t="shared" si="88"/>
        <v/>
      </c>
      <c r="AI146" s="54" t="str">
        <f t="shared" ref="AI146:AX161" si="104">IF(AND($Q146="Feature",LEFT($AB146,2)="PI"),
IF(AND(COUNTIF($R:$R,$B146)=1,$T146=AI$1), IF($AB146=$A$10,$AF146,0),
IF(OR($AD146&lt;1,RIGHT($G146,8)="Progress",$AH146&gt;0),SUMIFS($O:$O,$R:$R,$B146,$T:$T,AI$1,$P:$P,"&lt;&gt;Done",$AB:$AB,$A$10),
IF($T146=AI$1,IF($AB146=$A$10,$AD146,0)+SUMIFS($O:$O,$R:$R,$B146,$T:$T,AI$1,$P:$P,"&lt;&gt;Done",$AB:$AB,$A$10),SUMIFS($O:$O,$R:$R,$B146,$T:$T,AI$1,$P:$P,"&lt;&gt;Done",$AB:$AB,$A$10)))),
IF(AND(OR($Q146="Story",$Q146="Problem",$Q146="Enhancement"),$AB146=$A$10,$R146=0,$T146=AI$1,$P146&lt;&gt;"Done"),$O146,""))</f>
        <v/>
      </c>
      <c r="AJ146" s="54" t="str">
        <f t="shared" si="104"/>
        <v/>
      </c>
      <c r="AK146" s="54" t="str">
        <f t="shared" si="104"/>
        <v/>
      </c>
      <c r="AL146" s="54" t="str">
        <f t="shared" si="104"/>
        <v/>
      </c>
      <c r="AM146" s="54" t="str">
        <f t="shared" si="104"/>
        <v/>
      </c>
      <c r="AN146" s="54" t="str">
        <f t="shared" si="104"/>
        <v/>
      </c>
      <c r="AO146" s="54" t="str">
        <f t="shared" si="104"/>
        <v/>
      </c>
      <c r="AP146" s="54" t="str">
        <f t="shared" si="104"/>
        <v/>
      </c>
      <c r="AQ146" s="54" t="str">
        <f t="shared" si="104"/>
        <v/>
      </c>
      <c r="AR146" s="54" t="str">
        <f t="shared" si="104"/>
        <v/>
      </c>
      <c r="AS146" s="54" t="str">
        <f t="shared" si="104"/>
        <v/>
      </c>
      <c r="AT146" s="54" t="str">
        <f t="shared" si="104"/>
        <v/>
      </c>
      <c r="AU146" s="54" t="str">
        <f t="shared" si="104"/>
        <v/>
      </c>
      <c r="AV146" s="54" t="str">
        <f t="shared" si="104"/>
        <v/>
      </c>
      <c r="AW146" s="54" t="str">
        <f t="shared" si="104"/>
        <v/>
      </c>
      <c r="AX146" s="54" t="str">
        <f t="shared" si="104"/>
        <v/>
      </c>
      <c r="AY146" s="54" t="str">
        <f t="shared" si="90"/>
        <v/>
      </c>
      <c r="AZ146" s="54" t="str">
        <f t="shared" si="91"/>
        <v/>
      </c>
      <c r="BA146" s="54" t="str">
        <f t="shared" si="92"/>
        <v/>
      </c>
      <c r="BB146" s="135" t="str">
        <f t="shared" si="93"/>
        <v/>
      </c>
      <c r="BC146" s="54" t="str">
        <f t="shared" si="102"/>
        <v/>
      </c>
      <c r="BD146" s="54" t="str">
        <f t="shared" si="102"/>
        <v/>
      </c>
      <c r="BE146" s="54" t="str">
        <f t="shared" si="102"/>
        <v/>
      </c>
      <c r="BF146" s="54" t="str">
        <f t="shared" si="94"/>
        <v/>
      </c>
      <c r="BG146" s="54" t="str">
        <f t="shared" si="95"/>
        <v/>
      </c>
      <c r="BH146" s="34" t="str">
        <f t="shared" si="96"/>
        <v>Bad</v>
      </c>
      <c r="BI146" s="34" t="str">
        <f t="shared" si="97"/>
        <v>No</v>
      </c>
      <c r="BJ146" s="136" t="str">
        <f>IF($D146&lt;&gt;"Feature",".",
IF(VLOOKUP($B146,Feature_List!$A:$AM,MATCH(BJ$1,  Feature_List!$A$1:$AM$1,0),0)=B146,".","NO"))</f>
        <v>.</v>
      </c>
      <c r="BK146" s="136"/>
      <c r="BL146" s="136"/>
      <c r="BM146" s="136" t="str">
        <f>IF($D146&lt;&gt;"Feature",".",
IF(VLOOKUP($B146,Feature_List!$A:$AM,MATCH(BM$1,  Feature_List!$A$1:$AM$1,0),0)=E146,".","NO"))</f>
        <v>.</v>
      </c>
      <c r="BN146" s="136" t="str">
        <f>IF($D146&lt;&gt;"Feature",".",
IF(VLOOKUP($B146,Feature_List!$A:$AM,MATCH(BN$1,  Feature_List!$A$1:$AM$1,0),0)=F146,".","NO"))</f>
        <v>.</v>
      </c>
      <c r="BO146" s="136" t="str">
        <f>IF($D146&lt;&gt;"Feature",".",
IF(VLOOKUP($B146,Feature_List!$A:$AM,MATCH(BO$1,  Feature_List!$A$1:$AM$1,0),0)=G146,".","NO"))</f>
        <v>.</v>
      </c>
      <c r="BP146" s="136" t="str">
        <f>IF($D146&lt;&gt;"Feature",".",
IF(VLOOKUP($B146,Feature_List!$A:$AM,MATCH(BP$1,  Feature_List!$A$1:$AM$1,0),0)=H146,".","NO"))</f>
        <v>.</v>
      </c>
      <c r="BQ146" s="136"/>
      <c r="BR146" s="136" t="str">
        <f>IF($D146&lt;&gt;"Feature",".",
IF(VLOOKUP($B146,Feature_List!$A:$AM,MATCH(BR$1,  Feature_List!$A$1:$AM$1,0),0)=J146,".","NO"))</f>
        <v>.</v>
      </c>
      <c r="BS146" s="136"/>
      <c r="BT146" s="136"/>
      <c r="BU146" s="136" t="str">
        <f>IF($D146&lt;&gt;"Feature",".",
IF(VLOOKUP($B146,Feature_List!$A:$AM,MATCH(BU$1,  Feature_List!$A$1:$AM$1,0),0)=M146,".","NO"))</f>
        <v>.</v>
      </c>
      <c r="BV146" s="136" t="str">
        <f>IF($D146&lt;&gt;"Feature",".",
IF(VLOOKUP($B146,Feature_List!$A:$AM,MATCH(BV$1,  Feature_List!$A$1:$AM$1,0),0)=N146,".","NO"))</f>
        <v>.</v>
      </c>
      <c r="BW146" s="136"/>
      <c r="BX146" s="136"/>
      <c r="BY146" s="136"/>
      <c r="BZ146" s="136"/>
      <c r="CA146" s="136"/>
      <c r="CB146" s="136" t="str">
        <f>IF($D146&lt;&gt;"Feature",".",
IF(VLOOKUP($B146,Feature_List!$A:$AM,MATCH(CB$1,  Feature_List!$A$1:$AM$1,0),0)=T146,".","NO"))</f>
        <v>.</v>
      </c>
      <c r="CC146" s="136"/>
      <c r="CD146" s="136"/>
      <c r="CE146" s="136"/>
      <c r="CF146" s="136"/>
      <c r="CG146" s="136"/>
      <c r="CH146" s="136"/>
      <c r="CI146" s="136"/>
      <c r="CJ146" s="136"/>
      <c r="CK146" s="136"/>
      <c r="CL146" s="136"/>
      <c r="CM146" s="136"/>
      <c r="CN146" s="136"/>
      <c r="CO146" s="136" t="str">
        <f>IF($D146&lt;&gt;"Feature",".",
IF(VLOOKUP($B146,Feature_List!$A:$AM,MATCH(CO$1,  Feature_List!$A$1:$AM$1,0),0)=AG146,".","NO"))</f>
        <v>.</v>
      </c>
      <c r="CP146" s="136" t="str">
        <f>IF($D146&lt;&gt;"Feature",".",
IF(VLOOKUP($B146,Feature_List!$A:$AM,MATCH(CP$1,  Feature_List!$A$1:$AM$1,0),0)=AH146,".","NO"))</f>
        <v>.</v>
      </c>
      <c r="CQ146" s="136" t="str">
        <f>IF($D146&lt;&gt;"Feature",".",
IF(VLOOKUP($B146,Feature_List!$A:$AM,MATCH(CQ$1,  Feature_List!$A$1:$AM$1,0),0)=AI146,".","NO"))</f>
        <v>.</v>
      </c>
      <c r="CR146" s="136" t="str">
        <f>IF($D146&lt;&gt;"Feature",".",
IF(VLOOKUP($B146,Feature_List!$A:$AM,MATCH(CR$1,  Feature_List!$A$1:$AM$1,0),0)=AJ146,".","NO"))</f>
        <v>.</v>
      </c>
      <c r="CS146" s="136" t="str">
        <f>IF($D146&lt;&gt;"Feature",".",
IF(VLOOKUP($B146,Feature_List!$A:$AM,MATCH(CS$1,  Feature_List!$A$1:$AM$1,0),0)=AK146,".","NO"))</f>
        <v>.</v>
      </c>
      <c r="CT146" s="136" t="str">
        <f>IF($D146&lt;&gt;"Feature",".",
IF(VLOOKUP($B146,Feature_List!$A:$AM,MATCH(CT$1,  Feature_List!$A$1:$AM$1,0),0)=AL146,".","NO"))</f>
        <v>.</v>
      </c>
      <c r="CU146" s="136" t="str">
        <f>IF($D146&lt;&gt;"Feature",".",
IF(VLOOKUP($B146,Feature_List!$A:$AM,MATCH(CU$1,  Feature_List!$A$1:$AM$1,0),0)=AM146,".","NO"))</f>
        <v>.</v>
      </c>
      <c r="CV146" s="136" t="str">
        <f>IF($D146&lt;&gt;"Feature",".",
IF(VLOOKUP($B146,Feature_List!$A:$AM,MATCH(CV$1,  Feature_List!$A$1:$AM$1,0),0)=AN146,".","NO"))</f>
        <v>.</v>
      </c>
      <c r="CW146" s="136" t="str">
        <f>IF($D146&lt;&gt;"Feature",".",
IF(VLOOKUP($B146,Feature_List!$A:$AM,MATCH(CW$1,  Feature_List!$A$1:$AM$1,0),0)=AO146,".","NO"))</f>
        <v>.</v>
      </c>
      <c r="CX146" s="136" t="str">
        <f>IF($D146&lt;&gt;"Feature",".",
IF(VLOOKUP($B146,Feature_List!$A:$AM,MATCH(CX$1,  Feature_List!$A$1:$AM$1,0),0)=AP146,".","NO"))</f>
        <v>.</v>
      </c>
      <c r="CY146" s="136" t="str">
        <f>IF($D146&lt;&gt;"Feature",".",
IF(VLOOKUP($B146,Feature_List!$A:$AM,MATCH(CY$1,  Feature_List!$A$1:$AM$1,0),0)=AQ146,".","NO"))</f>
        <v>.</v>
      </c>
      <c r="CZ146" s="136" t="str">
        <f>IF($D146&lt;&gt;"Feature",".",
IF(VLOOKUP($B146,Feature_List!$A:$AM,MATCH(CZ$1,  Feature_List!$A$1:$AM$1,0),0)=AR146,".","NO"))</f>
        <v>.</v>
      </c>
      <c r="DA146" s="136" t="str">
        <f>IF($D146&lt;&gt;"Feature",".",
IF(VLOOKUP($B146,Feature_List!$A:$AM,MATCH(DA$1,  Feature_List!$A$1:$AM$1,0),0)=AS146,".","NO"))</f>
        <v>.</v>
      </c>
      <c r="DB146" s="136" t="str">
        <f>IF($D146&lt;&gt;"Feature",".",
IF(VLOOKUP($B146,Feature_List!$A:$AM,MATCH(DB$1,  Feature_List!$A$1:$AM$1,0),0)=AT146,".","NO"))</f>
        <v>.</v>
      </c>
      <c r="DC146" s="136" t="str">
        <f>IF($D146&lt;&gt;"Feature",".",
IF(VLOOKUP($B146,Feature_List!$A:$AM,MATCH(DC$1,  Feature_List!$A$1:$AM$1,0),0)=AU146,".","NO"))</f>
        <v>.</v>
      </c>
      <c r="DD146" s="136" t="str">
        <f>IF($D146&lt;&gt;"Feature",".",
IF(VLOOKUP($B146,Feature_List!$A:$AM,MATCH(DD$1,  Feature_List!$A$1:$AM$1,0),0)=AV146,".","NO"))</f>
        <v>.</v>
      </c>
      <c r="DE146" s="136" t="str">
        <f>IF($D146&lt;&gt;"Feature",".",
IF(VLOOKUP($B146,Feature_List!$A:$AM,MATCH(DE$1,  Feature_List!$A$1:$AM$1,0),0)=AW146,".","NO"))</f>
        <v>.</v>
      </c>
      <c r="DF146" s="136" t="str">
        <f>IF($D146&lt;&gt;"Feature",".",
IF(VLOOKUP($B146,Feature_List!$A:$AM,MATCH(DF$1,  Feature_List!$A$1:$AM$1,0),0)=AX146,".","NO"))</f>
        <v>.</v>
      </c>
      <c r="DG146" s="136" t="str">
        <f>IF($D146&lt;&gt;"Feature",".",
IF(VLOOKUP($B146,Feature_List!$A:$AM,MATCH(DG$1,  Feature_List!$A$1:$AM$1,0),0)=AY146,".","NO"))</f>
        <v>.</v>
      </c>
      <c r="DH146" s="136" t="str">
        <f>IF($D146&lt;&gt;"Feature",".",
IF(VLOOKUP($B146,Feature_List!$A:$AM,MATCH(DH$1,  Feature_List!$A$1:$AM$1,0),0)=AZ146,".","NO"))</f>
        <v>.</v>
      </c>
      <c r="DI146" s="136" t="str">
        <f>IF($D146&lt;&gt;"Feature",".",
IF(VLOOKUP($B146,Feature_List!$A:$AM,MATCH(DI$1,  Feature_List!$A$1:$AM$1,0),0)=BA146,".","NO"))</f>
        <v>.</v>
      </c>
      <c r="DJ146" s="136" t="str">
        <f>IF($D146&lt;&gt;"Feature",".",
IF(VLOOKUP($B146,Feature_List!$A:$AM,MATCH(DJ$1,  Feature_List!$A$1:$AM$1,0),0)=BB146,".","NO"))</f>
        <v>.</v>
      </c>
      <c r="DK146" s="136"/>
      <c r="DL146" s="136"/>
      <c r="DM146" s="136"/>
      <c r="DN146" s="136" t="str">
        <f>IF($D146&lt;&gt;"Feature",".",
IF(VLOOKUP($B146,Feature_List!$A:$AM,MATCH(DN$1,  Feature_List!$A$1:$AM$1,0),0)=BC146,".","NO"))</f>
        <v>.</v>
      </c>
      <c r="DO146" s="136" t="str">
        <f>IF($D146&lt;&gt;"Feature",".",
IF(VLOOKUP($B146,Feature_List!$A:$AM,MATCH(DO$1,  Feature_List!$A$1:$AM$1,0),0)=BD146,".","NO"))</f>
        <v>.</v>
      </c>
    </row>
    <row r="147" spans="2:119" x14ac:dyDescent="0.3">
      <c r="B147" s="121"/>
      <c r="C147" s="122"/>
      <c r="D147" s="122"/>
      <c r="E147" s="122"/>
      <c r="F147" s="138"/>
      <c r="G147" s="123"/>
      <c r="H147" s="122"/>
      <c r="I147" s="124"/>
      <c r="J147" s="138"/>
      <c r="K147" s="123"/>
      <c r="L147" s="122"/>
      <c r="M147" s="122"/>
      <c r="N147" s="125"/>
      <c r="O147" s="123">
        <f t="shared" si="75"/>
        <v>0</v>
      </c>
      <c r="P147" s="123">
        <f t="shared" si="76"/>
        <v>0</v>
      </c>
      <c r="Q147" s="122" t="str">
        <f t="shared" si="98"/>
        <v>ZeroEntry</v>
      </c>
      <c r="R147" s="126" t="str">
        <f t="shared" si="77"/>
        <v>ZeroEntry</v>
      </c>
      <c r="S147" s="127" t="str">
        <f t="shared" si="78"/>
        <v>ZeroEntry</v>
      </c>
      <c r="T147" s="128" t="str">
        <f>IF($Q147="ZeroEntry", "",VLOOKUP($I147,'Ranking Lookup'!#REF!,2,FALSE))</f>
        <v/>
      </c>
      <c r="U147" s="129" t="str">
        <f t="shared" si="79"/>
        <v/>
      </c>
      <c r="V147" s="129" t="str">
        <f t="shared" si="80"/>
        <v/>
      </c>
      <c r="W147" s="129" t="str">
        <f t="shared" si="81"/>
        <v/>
      </c>
      <c r="X147" s="129" t="str">
        <f t="shared" si="82"/>
        <v/>
      </c>
      <c r="Y147" s="129" t="str">
        <f t="shared" si="83"/>
        <v/>
      </c>
      <c r="Z147" s="129" t="str">
        <f t="shared" si="84"/>
        <v/>
      </c>
      <c r="AA147" s="130"/>
      <c r="AB147" s="130" t="str">
        <f t="shared" si="85"/>
        <v>Unassigned</v>
      </c>
      <c r="AC147" s="131" t="str">
        <f t="shared" si="99"/>
        <v/>
      </c>
      <c r="AD147" s="131" t="str">
        <f t="shared" si="100"/>
        <v/>
      </c>
      <c r="AE147" s="132">
        <f t="shared" si="86"/>
        <v>0</v>
      </c>
      <c r="AF147" s="133" t="str">
        <f t="shared" si="101"/>
        <v/>
      </c>
      <c r="AG147" s="134">
        <f t="shared" si="87"/>
        <v>0</v>
      </c>
      <c r="AH147" s="54" t="str">
        <f t="shared" si="88"/>
        <v/>
      </c>
      <c r="AI147" s="54" t="str">
        <f t="shared" si="104"/>
        <v/>
      </c>
      <c r="AJ147" s="54" t="str">
        <f t="shared" si="104"/>
        <v/>
      </c>
      <c r="AK147" s="54" t="str">
        <f t="shared" si="104"/>
        <v/>
      </c>
      <c r="AL147" s="54" t="str">
        <f t="shared" si="104"/>
        <v/>
      </c>
      <c r="AM147" s="54" t="str">
        <f t="shared" si="104"/>
        <v/>
      </c>
      <c r="AN147" s="54" t="str">
        <f t="shared" si="104"/>
        <v/>
      </c>
      <c r="AO147" s="54" t="str">
        <f t="shared" si="104"/>
        <v/>
      </c>
      <c r="AP147" s="54" t="str">
        <f t="shared" si="104"/>
        <v/>
      </c>
      <c r="AQ147" s="54" t="str">
        <f t="shared" si="104"/>
        <v/>
      </c>
      <c r="AR147" s="54" t="str">
        <f t="shared" si="104"/>
        <v/>
      </c>
      <c r="AS147" s="54" t="str">
        <f t="shared" si="104"/>
        <v/>
      </c>
      <c r="AT147" s="54" t="str">
        <f t="shared" si="104"/>
        <v/>
      </c>
      <c r="AU147" s="54" t="str">
        <f t="shared" si="104"/>
        <v/>
      </c>
      <c r="AV147" s="54" t="str">
        <f t="shared" si="104"/>
        <v/>
      </c>
      <c r="AW147" s="54" t="str">
        <f t="shared" si="104"/>
        <v/>
      </c>
      <c r="AX147" s="54" t="str">
        <f t="shared" si="104"/>
        <v/>
      </c>
      <c r="AY147" s="54" t="str">
        <f t="shared" si="90"/>
        <v/>
      </c>
      <c r="AZ147" s="54" t="str">
        <f t="shared" si="91"/>
        <v/>
      </c>
      <c r="BA147" s="54" t="str">
        <f t="shared" si="92"/>
        <v/>
      </c>
      <c r="BB147" s="135" t="str">
        <f t="shared" si="93"/>
        <v/>
      </c>
      <c r="BC147" s="54" t="str">
        <f t="shared" si="102"/>
        <v/>
      </c>
      <c r="BD147" s="54" t="str">
        <f t="shared" si="102"/>
        <v/>
      </c>
      <c r="BE147" s="54" t="str">
        <f t="shared" si="102"/>
        <v/>
      </c>
      <c r="BF147" s="54" t="str">
        <f t="shared" si="94"/>
        <v/>
      </c>
      <c r="BG147" s="54" t="str">
        <f t="shared" si="95"/>
        <v/>
      </c>
      <c r="BH147" s="34" t="str">
        <f t="shared" si="96"/>
        <v>Bad</v>
      </c>
      <c r="BI147" s="34" t="str">
        <f t="shared" si="97"/>
        <v>No</v>
      </c>
      <c r="BJ147" s="136" t="str">
        <f>IF($D147&lt;&gt;"Feature",".",
IF(VLOOKUP($B147,Feature_List!$A:$AM,MATCH(BJ$1,  Feature_List!$A$1:$AM$1,0),0)=B147,".","NO"))</f>
        <v>.</v>
      </c>
      <c r="BK147" s="136"/>
      <c r="BL147" s="136"/>
      <c r="BM147" s="136" t="str">
        <f>IF($D147&lt;&gt;"Feature",".",
IF(VLOOKUP($B147,Feature_List!$A:$AM,MATCH(BM$1,  Feature_List!$A$1:$AM$1,0),0)=E147,".","NO"))</f>
        <v>.</v>
      </c>
      <c r="BN147" s="136" t="str">
        <f>IF($D147&lt;&gt;"Feature",".",
IF(VLOOKUP($B147,Feature_List!$A:$AM,MATCH(BN$1,  Feature_List!$A$1:$AM$1,0),0)=F147,".","NO"))</f>
        <v>.</v>
      </c>
      <c r="BO147" s="136" t="str">
        <f>IF($D147&lt;&gt;"Feature",".",
IF(VLOOKUP($B147,Feature_List!$A:$AM,MATCH(BO$1,  Feature_List!$A$1:$AM$1,0),0)=G147,".","NO"))</f>
        <v>.</v>
      </c>
      <c r="BP147" s="136" t="str">
        <f>IF($D147&lt;&gt;"Feature",".",
IF(VLOOKUP($B147,Feature_List!$A:$AM,MATCH(BP$1,  Feature_List!$A$1:$AM$1,0),0)=H147,".","NO"))</f>
        <v>.</v>
      </c>
      <c r="BQ147" s="136"/>
      <c r="BR147" s="136" t="str">
        <f>IF($D147&lt;&gt;"Feature",".",
IF(VLOOKUP($B147,Feature_List!$A:$AM,MATCH(BR$1,  Feature_List!$A$1:$AM$1,0),0)=J147,".","NO"))</f>
        <v>.</v>
      </c>
      <c r="BS147" s="136"/>
      <c r="BT147" s="136"/>
      <c r="BU147" s="136" t="str">
        <f>IF($D147&lt;&gt;"Feature",".",
IF(VLOOKUP($B147,Feature_List!$A:$AM,MATCH(BU$1,  Feature_List!$A$1:$AM$1,0),0)=M147,".","NO"))</f>
        <v>.</v>
      </c>
      <c r="BV147" s="136" t="str">
        <f>IF($D147&lt;&gt;"Feature",".",
IF(VLOOKUP($B147,Feature_List!$A:$AM,MATCH(BV$1,  Feature_List!$A$1:$AM$1,0),0)=N147,".","NO"))</f>
        <v>.</v>
      </c>
      <c r="BW147" s="136"/>
      <c r="BX147" s="136"/>
      <c r="BY147" s="136"/>
      <c r="BZ147" s="136"/>
      <c r="CA147" s="136"/>
      <c r="CB147" s="136" t="str">
        <f>IF($D147&lt;&gt;"Feature",".",
IF(VLOOKUP($B147,Feature_List!$A:$AM,MATCH(CB$1,  Feature_List!$A$1:$AM$1,0),0)=T147,".","NO"))</f>
        <v>.</v>
      </c>
      <c r="CC147" s="136"/>
      <c r="CD147" s="136"/>
      <c r="CE147" s="136"/>
      <c r="CF147" s="136"/>
      <c r="CG147" s="136"/>
      <c r="CH147" s="136"/>
      <c r="CI147" s="136"/>
      <c r="CJ147" s="136"/>
      <c r="CK147" s="136"/>
      <c r="CL147" s="136"/>
      <c r="CM147" s="136"/>
      <c r="CN147" s="136"/>
      <c r="CO147" s="136" t="str">
        <f>IF($D147&lt;&gt;"Feature",".",
IF(VLOOKUP($B147,Feature_List!$A:$AM,MATCH(CO$1,  Feature_List!$A$1:$AM$1,0),0)=AG147,".","NO"))</f>
        <v>.</v>
      </c>
      <c r="CP147" s="136" t="str">
        <f>IF($D147&lt;&gt;"Feature",".",
IF(VLOOKUP($B147,Feature_List!$A:$AM,MATCH(CP$1,  Feature_List!$A$1:$AM$1,0),0)=AH147,".","NO"))</f>
        <v>.</v>
      </c>
      <c r="CQ147" s="136" t="str">
        <f>IF($D147&lt;&gt;"Feature",".",
IF(VLOOKUP($B147,Feature_List!$A:$AM,MATCH(CQ$1,  Feature_List!$A$1:$AM$1,0),0)=AI147,".","NO"))</f>
        <v>.</v>
      </c>
      <c r="CR147" s="136" t="str">
        <f>IF($D147&lt;&gt;"Feature",".",
IF(VLOOKUP($B147,Feature_List!$A:$AM,MATCH(CR$1,  Feature_List!$A$1:$AM$1,0),0)=AJ147,".","NO"))</f>
        <v>.</v>
      </c>
      <c r="CS147" s="136" t="str">
        <f>IF($D147&lt;&gt;"Feature",".",
IF(VLOOKUP($B147,Feature_List!$A:$AM,MATCH(CS$1,  Feature_List!$A$1:$AM$1,0),0)=AK147,".","NO"))</f>
        <v>.</v>
      </c>
      <c r="CT147" s="136" t="str">
        <f>IF($D147&lt;&gt;"Feature",".",
IF(VLOOKUP($B147,Feature_List!$A:$AM,MATCH(CT$1,  Feature_List!$A$1:$AM$1,0),0)=AL147,".","NO"))</f>
        <v>.</v>
      </c>
      <c r="CU147" s="136" t="str">
        <f>IF($D147&lt;&gt;"Feature",".",
IF(VLOOKUP($B147,Feature_List!$A:$AM,MATCH(CU$1,  Feature_List!$A$1:$AM$1,0),0)=AM147,".","NO"))</f>
        <v>.</v>
      </c>
      <c r="CV147" s="136" t="str">
        <f>IF($D147&lt;&gt;"Feature",".",
IF(VLOOKUP($B147,Feature_List!$A:$AM,MATCH(CV$1,  Feature_List!$A$1:$AM$1,0),0)=AN147,".","NO"))</f>
        <v>.</v>
      </c>
      <c r="CW147" s="136" t="str">
        <f>IF($D147&lt;&gt;"Feature",".",
IF(VLOOKUP($B147,Feature_List!$A:$AM,MATCH(CW$1,  Feature_List!$A$1:$AM$1,0),0)=AO147,".","NO"))</f>
        <v>.</v>
      </c>
      <c r="CX147" s="136" t="str">
        <f>IF($D147&lt;&gt;"Feature",".",
IF(VLOOKUP($B147,Feature_List!$A:$AM,MATCH(CX$1,  Feature_List!$A$1:$AM$1,0),0)=AP147,".","NO"))</f>
        <v>.</v>
      </c>
      <c r="CY147" s="136" t="str">
        <f>IF($D147&lt;&gt;"Feature",".",
IF(VLOOKUP($B147,Feature_List!$A:$AM,MATCH(CY$1,  Feature_List!$A$1:$AM$1,0),0)=AQ147,".","NO"))</f>
        <v>.</v>
      </c>
      <c r="CZ147" s="136" t="str">
        <f>IF($D147&lt;&gt;"Feature",".",
IF(VLOOKUP($B147,Feature_List!$A:$AM,MATCH(CZ$1,  Feature_List!$A$1:$AM$1,0),0)=AR147,".","NO"))</f>
        <v>.</v>
      </c>
      <c r="DA147" s="136" t="str">
        <f>IF($D147&lt;&gt;"Feature",".",
IF(VLOOKUP($B147,Feature_List!$A:$AM,MATCH(DA$1,  Feature_List!$A$1:$AM$1,0),0)=AS147,".","NO"))</f>
        <v>.</v>
      </c>
      <c r="DB147" s="136" t="str">
        <f>IF($D147&lt;&gt;"Feature",".",
IF(VLOOKUP($B147,Feature_List!$A:$AM,MATCH(DB$1,  Feature_List!$A$1:$AM$1,0),0)=AT147,".","NO"))</f>
        <v>.</v>
      </c>
      <c r="DC147" s="136" t="str">
        <f>IF($D147&lt;&gt;"Feature",".",
IF(VLOOKUP($B147,Feature_List!$A:$AM,MATCH(DC$1,  Feature_List!$A$1:$AM$1,0),0)=AU147,".","NO"))</f>
        <v>.</v>
      </c>
      <c r="DD147" s="136" t="str">
        <f>IF($D147&lt;&gt;"Feature",".",
IF(VLOOKUP($B147,Feature_List!$A:$AM,MATCH(DD$1,  Feature_List!$A$1:$AM$1,0),0)=AV147,".","NO"))</f>
        <v>.</v>
      </c>
      <c r="DE147" s="136" t="str">
        <f>IF($D147&lt;&gt;"Feature",".",
IF(VLOOKUP($B147,Feature_List!$A:$AM,MATCH(DE$1,  Feature_List!$A$1:$AM$1,0),0)=AW147,".","NO"))</f>
        <v>.</v>
      </c>
      <c r="DF147" s="136" t="str">
        <f>IF($D147&lt;&gt;"Feature",".",
IF(VLOOKUP($B147,Feature_List!$A:$AM,MATCH(DF$1,  Feature_List!$A$1:$AM$1,0),0)=AX147,".","NO"))</f>
        <v>.</v>
      </c>
      <c r="DG147" s="136" t="str">
        <f>IF($D147&lt;&gt;"Feature",".",
IF(VLOOKUP($B147,Feature_List!$A:$AM,MATCH(DG$1,  Feature_List!$A$1:$AM$1,0),0)=AY147,".","NO"))</f>
        <v>.</v>
      </c>
      <c r="DH147" s="136" t="str">
        <f>IF($D147&lt;&gt;"Feature",".",
IF(VLOOKUP($B147,Feature_List!$A:$AM,MATCH(DH$1,  Feature_List!$A$1:$AM$1,0),0)=AZ147,".","NO"))</f>
        <v>.</v>
      </c>
      <c r="DI147" s="136" t="str">
        <f>IF($D147&lt;&gt;"Feature",".",
IF(VLOOKUP($B147,Feature_List!$A:$AM,MATCH(DI$1,  Feature_List!$A$1:$AM$1,0),0)=BA147,".","NO"))</f>
        <v>.</v>
      </c>
      <c r="DJ147" s="136" t="str">
        <f>IF($D147&lt;&gt;"Feature",".",
IF(VLOOKUP($B147,Feature_List!$A:$AM,MATCH(DJ$1,  Feature_List!$A$1:$AM$1,0),0)=BB147,".","NO"))</f>
        <v>.</v>
      </c>
      <c r="DK147" s="136"/>
      <c r="DL147" s="136"/>
      <c r="DM147" s="136"/>
      <c r="DN147" s="136" t="str">
        <f>IF($D147&lt;&gt;"Feature",".",
IF(VLOOKUP($B147,Feature_List!$A:$AM,MATCH(DN$1,  Feature_List!$A$1:$AM$1,0),0)=BC147,".","NO"))</f>
        <v>.</v>
      </c>
      <c r="DO147" s="136" t="str">
        <f>IF($D147&lt;&gt;"Feature",".",
IF(VLOOKUP($B147,Feature_List!$A:$AM,MATCH(DO$1,  Feature_List!$A$1:$AM$1,0),0)=BD147,".","NO"))</f>
        <v>.</v>
      </c>
    </row>
    <row r="148" spans="2:119" x14ac:dyDescent="0.3">
      <c r="B148" s="121"/>
      <c r="C148" s="122"/>
      <c r="D148" s="122"/>
      <c r="E148" s="122"/>
      <c r="F148" s="138"/>
      <c r="G148" s="123"/>
      <c r="H148" s="122"/>
      <c r="I148" s="124"/>
      <c r="J148" s="138"/>
      <c r="K148" s="123"/>
      <c r="L148" s="122"/>
      <c r="M148" s="122"/>
      <c r="N148" s="125"/>
      <c r="O148" s="123">
        <f t="shared" si="75"/>
        <v>0</v>
      </c>
      <c r="P148" s="123">
        <f t="shared" si="76"/>
        <v>0</v>
      </c>
      <c r="Q148" s="122" t="str">
        <f t="shared" si="98"/>
        <v>ZeroEntry</v>
      </c>
      <c r="R148" s="126" t="str">
        <f t="shared" si="77"/>
        <v>ZeroEntry</v>
      </c>
      <c r="S148" s="127" t="str">
        <f t="shared" si="78"/>
        <v>ZeroEntry</v>
      </c>
      <c r="T148" s="128" t="str">
        <f>IF($Q148="ZeroEntry", "",VLOOKUP($I148,'Ranking Lookup'!#REF!,2,FALSE))</f>
        <v/>
      </c>
      <c r="U148" s="129" t="str">
        <f t="shared" si="79"/>
        <v/>
      </c>
      <c r="V148" s="129" t="str">
        <f t="shared" si="80"/>
        <v/>
      </c>
      <c r="W148" s="129" t="str">
        <f t="shared" si="81"/>
        <v/>
      </c>
      <c r="X148" s="129" t="str">
        <f t="shared" si="82"/>
        <v/>
      </c>
      <c r="Y148" s="129" t="str">
        <f t="shared" si="83"/>
        <v/>
      </c>
      <c r="Z148" s="129" t="str">
        <f t="shared" si="84"/>
        <v/>
      </c>
      <c r="AA148" s="130"/>
      <c r="AB148" s="130" t="str">
        <f t="shared" si="85"/>
        <v>Unassigned</v>
      </c>
      <c r="AC148" s="131" t="str">
        <f t="shared" si="99"/>
        <v/>
      </c>
      <c r="AD148" s="131" t="str">
        <f t="shared" si="100"/>
        <v/>
      </c>
      <c r="AE148" s="132">
        <f t="shared" si="86"/>
        <v>0</v>
      </c>
      <c r="AF148" s="133" t="str">
        <f t="shared" si="101"/>
        <v/>
      </c>
      <c r="AG148" s="134">
        <f t="shared" si="87"/>
        <v>0</v>
      </c>
      <c r="AH148" s="54" t="str">
        <f t="shared" si="88"/>
        <v/>
      </c>
      <c r="AI148" s="54" t="str">
        <f t="shared" si="104"/>
        <v/>
      </c>
      <c r="AJ148" s="54" t="str">
        <f t="shared" si="104"/>
        <v/>
      </c>
      <c r="AK148" s="54" t="str">
        <f t="shared" si="104"/>
        <v/>
      </c>
      <c r="AL148" s="54" t="str">
        <f t="shared" si="104"/>
        <v/>
      </c>
      <c r="AM148" s="54" t="str">
        <f t="shared" si="104"/>
        <v/>
      </c>
      <c r="AN148" s="54" t="str">
        <f t="shared" si="104"/>
        <v/>
      </c>
      <c r="AO148" s="54" t="str">
        <f t="shared" si="104"/>
        <v/>
      </c>
      <c r="AP148" s="54" t="str">
        <f t="shared" si="104"/>
        <v/>
      </c>
      <c r="AQ148" s="54" t="str">
        <f t="shared" si="104"/>
        <v/>
      </c>
      <c r="AR148" s="54" t="str">
        <f t="shared" si="104"/>
        <v/>
      </c>
      <c r="AS148" s="54" t="str">
        <f t="shared" si="104"/>
        <v/>
      </c>
      <c r="AT148" s="54" t="str">
        <f t="shared" si="104"/>
        <v/>
      </c>
      <c r="AU148" s="54" t="str">
        <f t="shared" si="104"/>
        <v/>
      </c>
      <c r="AV148" s="54" t="str">
        <f t="shared" si="104"/>
        <v/>
      </c>
      <c r="AW148" s="54" t="str">
        <f t="shared" si="104"/>
        <v/>
      </c>
      <c r="AX148" s="54" t="str">
        <f t="shared" si="104"/>
        <v/>
      </c>
      <c r="AY148" s="54" t="str">
        <f t="shared" si="90"/>
        <v/>
      </c>
      <c r="AZ148" s="54" t="str">
        <f t="shared" si="91"/>
        <v/>
      </c>
      <c r="BA148" s="54" t="str">
        <f t="shared" si="92"/>
        <v/>
      </c>
      <c r="BB148" s="135" t="str">
        <f t="shared" si="93"/>
        <v/>
      </c>
      <c r="BC148" s="54" t="str">
        <f t="shared" si="102"/>
        <v/>
      </c>
      <c r="BD148" s="54" t="str">
        <f t="shared" si="102"/>
        <v/>
      </c>
      <c r="BE148" s="54" t="str">
        <f t="shared" si="102"/>
        <v/>
      </c>
      <c r="BF148" s="54" t="str">
        <f t="shared" si="94"/>
        <v/>
      </c>
      <c r="BG148" s="54" t="str">
        <f t="shared" si="95"/>
        <v/>
      </c>
      <c r="BH148" s="34" t="str">
        <f t="shared" si="96"/>
        <v>Bad</v>
      </c>
      <c r="BI148" s="34" t="str">
        <f t="shared" si="97"/>
        <v>No</v>
      </c>
      <c r="BJ148" s="136" t="str">
        <f>IF($D148&lt;&gt;"Feature",".",
IF(VLOOKUP($B148,Feature_List!$A:$AM,MATCH(BJ$1,  Feature_List!$A$1:$AM$1,0),0)=B148,".","NO"))</f>
        <v>.</v>
      </c>
      <c r="BK148" s="136"/>
      <c r="BL148" s="136"/>
      <c r="BM148" s="136" t="str">
        <f>IF($D148&lt;&gt;"Feature",".",
IF(VLOOKUP($B148,Feature_List!$A:$AM,MATCH(BM$1,  Feature_List!$A$1:$AM$1,0),0)=E148,".","NO"))</f>
        <v>.</v>
      </c>
      <c r="BN148" s="136" t="str">
        <f>IF($D148&lt;&gt;"Feature",".",
IF(VLOOKUP($B148,Feature_List!$A:$AM,MATCH(BN$1,  Feature_List!$A$1:$AM$1,0),0)=F148,".","NO"))</f>
        <v>.</v>
      </c>
      <c r="BO148" s="136" t="str">
        <f>IF($D148&lt;&gt;"Feature",".",
IF(VLOOKUP($B148,Feature_List!$A:$AM,MATCH(BO$1,  Feature_List!$A$1:$AM$1,0),0)=G148,".","NO"))</f>
        <v>.</v>
      </c>
      <c r="BP148" s="136" t="str">
        <f>IF($D148&lt;&gt;"Feature",".",
IF(VLOOKUP($B148,Feature_List!$A:$AM,MATCH(BP$1,  Feature_List!$A$1:$AM$1,0),0)=H148,".","NO"))</f>
        <v>.</v>
      </c>
      <c r="BQ148" s="136"/>
      <c r="BR148" s="136" t="str">
        <f>IF($D148&lt;&gt;"Feature",".",
IF(VLOOKUP($B148,Feature_List!$A:$AM,MATCH(BR$1,  Feature_List!$A$1:$AM$1,0),0)=J148,".","NO"))</f>
        <v>.</v>
      </c>
      <c r="BS148" s="136"/>
      <c r="BT148" s="136"/>
      <c r="BU148" s="136" t="str">
        <f>IF($D148&lt;&gt;"Feature",".",
IF(VLOOKUP($B148,Feature_List!$A:$AM,MATCH(BU$1,  Feature_List!$A$1:$AM$1,0),0)=M148,".","NO"))</f>
        <v>.</v>
      </c>
      <c r="BV148" s="136" t="str">
        <f>IF($D148&lt;&gt;"Feature",".",
IF(VLOOKUP($B148,Feature_List!$A:$AM,MATCH(BV$1,  Feature_List!$A$1:$AM$1,0),0)=N148,".","NO"))</f>
        <v>.</v>
      </c>
      <c r="BW148" s="136"/>
      <c r="BX148" s="136"/>
      <c r="BY148" s="136"/>
      <c r="BZ148" s="136"/>
      <c r="CA148" s="136"/>
      <c r="CB148" s="136" t="str">
        <f>IF($D148&lt;&gt;"Feature",".",
IF(VLOOKUP($B148,Feature_List!$A:$AM,MATCH(CB$1,  Feature_List!$A$1:$AM$1,0),0)=T148,".","NO"))</f>
        <v>.</v>
      </c>
      <c r="CC148" s="136"/>
      <c r="CD148" s="136"/>
      <c r="CE148" s="136"/>
      <c r="CF148" s="136"/>
      <c r="CG148" s="136"/>
      <c r="CH148" s="136"/>
      <c r="CI148" s="136"/>
      <c r="CJ148" s="136"/>
      <c r="CK148" s="136"/>
      <c r="CL148" s="136"/>
      <c r="CM148" s="136"/>
      <c r="CN148" s="136"/>
      <c r="CO148" s="136" t="str">
        <f>IF($D148&lt;&gt;"Feature",".",
IF(VLOOKUP($B148,Feature_List!$A:$AM,MATCH(CO$1,  Feature_List!$A$1:$AM$1,0),0)=AG148,".","NO"))</f>
        <v>.</v>
      </c>
      <c r="CP148" s="136" t="str">
        <f>IF($D148&lt;&gt;"Feature",".",
IF(VLOOKUP($B148,Feature_List!$A:$AM,MATCH(CP$1,  Feature_List!$A$1:$AM$1,0),0)=AH148,".","NO"))</f>
        <v>.</v>
      </c>
      <c r="CQ148" s="136" t="str">
        <f>IF($D148&lt;&gt;"Feature",".",
IF(VLOOKUP($B148,Feature_List!$A:$AM,MATCH(CQ$1,  Feature_List!$A$1:$AM$1,0),0)=AI148,".","NO"))</f>
        <v>.</v>
      </c>
      <c r="CR148" s="136" t="str">
        <f>IF($D148&lt;&gt;"Feature",".",
IF(VLOOKUP($B148,Feature_List!$A:$AM,MATCH(CR$1,  Feature_List!$A$1:$AM$1,0),0)=AJ148,".","NO"))</f>
        <v>.</v>
      </c>
      <c r="CS148" s="136" t="str">
        <f>IF($D148&lt;&gt;"Feature",".",
IF(VLOOKUP($B148,Feature_List!$A:$AM,MATCH(CS$1,  Feature_List!$A$1:$AM$1,0),0)=AK148,".","NO"))</f>
        <v>.</v>
      </c>
      <c r="CT148" s="136" t="str">
        <f>IF($D148&lt;&gt;"Feature",".",
IF(VLOOKUP($B148,Feature_List!$A:$AM,MATCH(CT$1,  Feature_List!$A$1:$AM$1,0),0)=AL148,".","NO"))</f>
        <v>.</v>
      </c>
      <c r="CU148" s="136" t="str">
        <f>IF($D148&lt;&gt;"Feature",".",
IF(VLOOKUP($B148,Feature_List!$A:$AM,MATCH(CU$1,  Feature_List!$A$1:$AM$1,0),0)=AM148,".","NO"))</f>
        <v>.</v>
      </c>
      <c r="CV148" s="136" t="str">
        <f>IF($D148&lt;&gt;"Feature",".",
IF(VLOOKUP($B148,Feature_List!$A:$AM,MATCH(CV$1,  Feature_List!$A$1:$AM$1,0),0)=AN148,".","NO"))</f>
        <v>.</v>
      </c>
      <c r="CW148" s="136" t="str">
        <f>IF($D148&lt;&gt;"Feature",".",
IF(VLOOKUP($B148,Feature_List!$A:$AM,MATCH(CW$1,  Feature_List!$A$1:$AM$1,0),0)=AO148,".","NO"))</f>
        <v>.</v>
      </c>
      <c r="CX148" s="136" t="str">
        <f>IF($D148&lt;&gt;"Feature",".",
IF(VLOOKUP($B148,Feature_List!$A:$AM,MATCH(CX$1,  Feature_List!$A$1:$AM$1,0),0)=AP148,".","NO"))</f>
        <v>.</v>
      </c>
      <c r="CY148" s="136" t="str">
        <f>IF($D148&lt;&gt;"Feature",".",
IF(VLOOKUP($B148,Feature_List!$A:$AM,MATCH(CY$1,  Feature_List!$A$1:$AM$1,0),0)=AQ148,".","NO"))</f>
        <v>.</v>
      </c>
      <c r="CZ148" s="136" t="str">
        <f>IF($D148&lt;&gt;"Feature",".",
IF(VLOOKUP($B148,Feature_List!$A:$AM,MATCH(CZ$1,  Feature_List!$A$1:$AM$1,0),0)=AR148,".","NO"))</f>
        <v>.</v>
      </c>
      <c r="DA148" s="136" t="str">
        <f>IF($D148&lt;&gt;"Feature",".",
IF(VLOOKUP($B148,Feature_List!$A:$AM,MATCH(DA$1,  Feature_List!$A$1:$AM$1,0),0)=AS148,".","NO"))</f>
        <v>.</v>
      </c>
      <c r="DB148" s="136" t="str">
        <f>IF($D148&lt;&gt;"Feature",".",
IF(VLOOKUP($B148,Feature_List!$A:$AM,MATCH(DB$1,  Feature_List!$A$1:$AM$1,0),0)=AT148,".","NO"))</f>
        <v>.</v>
      </c>
      <c r="DC148" s="136" t="str">
        <f>IF($D148&lt;&gt;"Feature",".",
IF(VLOOKUP($B148,Feature_List!$A:$AM,MATCH(DC$1,  Feature_List!$A$1:$AM$1,0),0)=AU148,".","NO"))</f>
        <v>.</v>
      </c>
      <c r="DD148" s="136" t="str">
        <f>IF($D148&lt;&gt;"Feature",".",
IF(VLOOKUP($B148,Feature_List!$A:$AM,MATCH(DD$1,  Feature_List!$A$1:$AM$1,0),0)=AV148,".","NO"))</f>
        <v>.</v>
      </c>
      <c r="DE148" s="136" t="str">
        <f>IF($D148&lt;&gt;"Feature",".",
IF(VLOOKUP($B148,Feature_List!$A:$AM,MATCH(DE$1,  Feature_List!$A$1:$AM$1,0),0)=AW148,".","NO"))</f>
        <v>.</v>
      </c>
      <c r="DF148" s="136" t="str">
        <f>IF($D148&lt;&gt;"Feature",".",
IF(VLOOKUP($B148,Feature_List!$A:$AM,MATCH(DF$1,  Feature_List!$A$1:$AM$1,0),0)=AX148,".","NO"))</f>
        <v>.</v>
      </c>
      <c r="DG148" s="136" t="str">
        <f>IF($D148&lt;&gt;"Feature",".",
IF(VLOOKUP($B148,Feature_List!$A:$AM,MATCH(DG$1,  Feature_List!$A$1:$AM$1,0),0)=AY148,".","NO"))</f>
        <v>.</v>
      </c>
      <c r="DH148" s="136" t="str">
        <f>IF($D148&lt;&gt;"Feature",".",
IF(VLOOKUP($B148,Feature_List!$A:$AM,MATCH(DH$1,  Feature_List!$A$1:$AM$1,0),0)=AZ148,".","NO"))</f>
        <v>.</v>
      </c>
      <c r="DI148" s="136" t="str">
        <f>IF($D148&lt;&gt;"Feature",".",
IF(VLOOKUP($B148,Feature_List!$A:$AM,MATCH(DI$1,  Feature_List!$A$1:$AM$1,0),0)=BA148,".","NO"))</f>
        <v>.</v>
      </c>
      <c r="DJ148" s="136" t="str">
        <f>IF($D148&lt;&gt;"Feature",".",
IF(VLOOKUP($B148,Feature_List!$A:$AM,MATCH(DJ$1,  Feature_List!$A$1:$AM$1,0),0)=BB148,".","NO"))</f>
        <v>.</v>
      </c>
      <c r="DK148" s="136"/>
      <c r="DL148" s="136"/>
      <c r="DM148" s="136"/>
      <c r="DN148" s="136" t="str">
        <f>IF($D148&lt;&gt;"Feature",".",
IF(VLOOKUP($B148,Feature_List!$A:$AM,MATCH(DN$1,  Feature_List!$A$1:$AM$1,0),0)=BC148,".","NO"))</f>
        <v>.</v>
      </c>
      <c r="DO148" s="136" t="str">
        <f>IF($D148&lt;&gt;"Feature",".",
IF(VLOOKUP($B148,Feature_List!$A:$AM,MATCH(DO$1,  Feature_List!$A$1:$AM$1,0),0)=BD148,".","NO"))</f>
        <v>.</v>
      </c>
    </row>
    <row r="149" spans="2:119" x14ac:dyDescent="0.3">
      <c r="B149" s="121"/>
      <c r="C149" s="122"/>
      <c r="D149" s="122"/>
      <c r="E149" s="122"/>
      <c r="F149" s="138"/>
      <c r="G149" s="123"/>
      <c r="H149" s="122"/>
      <c r="I149" s="124"/>
      <c r="J149" s="138"/>
      <c r="K149" s="123"/>
      <c r="L149" s="122"/>
      <c r="M149" s="122"/>
      <c r="N149" s="125"/>
      <c r="O149" s="123">
        <f t="shared" si="75"/>
        <v>0</v>
      </c>
      <c r="P149" s="123">
        <f t="shared" si="76"/>
        <v>0</v>
      </c>
      <c r="Q149" s="122" t="str">
        <f t="shared" si="98"/>
        <v>ZeroEntry</v>
      </c>
      <c r="R149" s="126" t="str">
        <f t="shared" si="77"/>
        <v>ZeroEntry</v>
      </c>
      <c r="S149" s="127" t="str">
        <f t="shared" si="78"/>
        <v>ZeroEntry</v>
      </c>
      <c r="T149" s="128" t="str">
        <f>IF($Q149="ZeroEntry", "",VLOOKUP($I149,'Ranking Lookup'!#REF!,2,FALSE))</f>
        <v/>
      </c>
      <c r="U149" s="129" t="str">
        <f t="shared" si="79"/>
        <v/>
      </c>
      <c r="V149" s="129" t="str">
        <f t="shared" si="80"/>
        <v/>
      </c>
      <c r="W149" s="129" t="str">
        <f t="shared" si="81"/>
        <v/>
      </c>
      <c r="X149" s="129" t="str">
        <f t="shared" si="82"/>
        <v/>
      </c>
      <c r="Y149" s="129" t="str">
        <f t="shared" si="83"/>
        <v/>
      </c>
      <c r="Z149" s="129" t="str">
        <f t="shared" si="84"/>
        <v/>
      </c>
      <c r="AA149" s="130"/>
      <c r="AB149" s="130" t="str">
        <f t="shared" si="85"/>
        <v>Unassigned</v>
      </c>
      <c r="AC149" s="131" t="str">
        <f t="shared" si="99"/>
        <v/>
      </c>
      <c r="AD149" s="131" t="str">
        <f t="shared" si="100"/>
        <v/>
      </c>
      <c r="AE149" s="132">
        <f t="shared" si="86"/>
        <v>0</v>
      </c>
      <c r="AF149" s="133" t="str">
        <f t="shared" si="101"/>
        <v/>
      </c>
      <c r="AG149" s="134">
        <f t="shared" si="87"/>
        <v>0</v>
      </c>
      <c r="AH149" s="54" t="str">
        <f t="shared" si="88"/>
        <v/>
      </c>
      <c r="AI149" s="54" t="str">
        <f t="shared" si="104"/>
        <v/>
      </c>
      <c r="AJ149" s="54" t="str">
        <f t="shared" si="104"/>
        <v/>
      </c>
      <c r="AK149" s="54" t="str">
        <f t="shared" si="104"/>
        <v/>
      </c>
      <c r="AL149" s="54" t="str">
        <f t="shared" si="104"/>
        <v/>
      </c>
      <c r="AM149" s="54" t="str">
        <f t="shared" si="104"/>
        <v/>
      </c>
      <c r="AN149" s="54" t="str">
        <f t="shared" si="104"/>
        <v/>
      </c>
      <c r="AO149" s="54" t="str">
        <f t="shared" si="104"/>
        <v/>
      </c>
      <c r="AP149" s="54" t="str">
        <f t="shared" si="104"/>
        <v/>
      </c>
      <c r="AQ149" s="54" t="str">
        <f t="shared" si="104"/>
        <v/>
      </c>
      <c r="AR149" s="54" t="str">
        <f t="shared" si="104"/>
        <v/>
      </c>
      <c r="AS149" s="54" t="str">
        <f t="shared" si="104"/>
        <v/>
      </c>
      <c r="AT149" s="54" t="str">
        <f t="shared" si="104"/>
        <v/>
      </c>
      <c r="AU149" s="54" t="str">
        <f t="shared" si="104"/>
        <v/>
      </c>
      <c r="AV149" s="54" t="str">
        <f t="shared" si="104"/>
        <v/>
      </c>
      <c r="AW149" s="54" t="str">
        <f t="shared" si="104"/>
        <v/>
      </c>
      <c r="AX149" s="54" t="str">
        <f t="shared" si="104"/>
        <v/>
      </c>
      <c r="AY149" s="54" t="str">
        <f t="shared" si="90"/>
        <v/>
      </c>
      <c r="AZ149" s="54" t="str">
        <f t="shared" si="91"/>
        <v/>
      </c>
      <c r="BA149" s="54" t="str">
        <f t="shared" si="92"/>
        <v/>
      </c>
      <c r="BB149" s="135" t="str">
        <f t="shared" si="93"/>
        <v/>
      </c>
      <c r="BC149" s="54" t="str">
        <f t="shared" si="102"/>
        <v/>
      </c>
      <c r="BD149" s="54" t="str">
        <f t="shared" si="102"/>
        <v/>
      </c>
      <c r="BE149" s="54" t="str">
        <f t="shared" si="102"/>
        <v/>
      </c>
      <c r="BF149" s="54" t="str">
        <f t="shared" si="94"/>
        <v/>
      </c>
      <c r="BG149" s="54" t="str">
        <f t="shared" si="95"/>
        <v/>
      </c>
      <c r="BH149" s="34" t="str">
        <f t="shared" si="96"/>
        <v>Bad</v>
      </c>
      <c r="BI149" s="34" t="str">
        <f t="shared" si="97"/>
        <v>No</v>
      </c>
      <c r="BJ149" s="136" t="str">
        <f>IF($D149&lt;&gt;"Feature",".",
IF(VLOOKUP($B149,Feature_List!$A:$AM,MATCH(BJ$1,  Feature_List!$A$1:$AM$1,0),0)=B149,".","NO"))</f>
        <v>.</v>
      </c>
      <c r="BK149" s="136"/>
      <c r="BL149" s="136"/>
      <c r="BM149" s="136" t="str">
        <f>IF($D149&lt;&gt;"Feature",".",
IF(VLOOKUP($B149,Feature_List!$A:$AM,MATCH(BM$1,  Feature_List!$A$1:$AM$1,0),0)=E149,".","NO"))</f>
        <v>.</v>
      </c>
      <c r="BN149" s="136" t="str">
        <f>IF($D149&lt;&gt;"Feature",".",
IF(VLOOKUP($B149,Feature_List!$A:$AM,MATCH(BN$1,  Feature_List!$A$1:$AM$1,0),0)=F149,".","NO"))</f>
        <v>.</v>
      </c>
      <c r="BO149" s="136" t="str">
        <f>IF($D149&lt;&gt;"Feature",".",
IF(VLOOKUP($B149,Feature_List!$A:$AM,MATCH(BO$1,  Feature_List!$A$1:$AM$1,0),0)=G149,".","NO"))</f>
        <v>.</v>
      </c>
      <c r="BP149" s="136" t="str">
        <f>IF($D149&lt;&gt;"Feature",".",
IF(VLOOKUP($B149,Feature_List!$A:$AM,MATCH(BP$1,  Feature_List!$A$1:$AM$1,0),0)=H149,".","NO"))</f>
        <v>.</v>
      </c>
      <c r="BQ149" s="136"/>
      <c r="BR149" s="136" t="str">
        <f>IF($D149&lt;&gt;"Feature",".",
IF(VLOOKUP($B149,Feature_List!$A:$AM,MATCH(BR$1,  Feature_List!$A$1:$AM$1,0),0)=J149,".","NO"))</f>
        <v>.</v>
      </c>
      <c r="BS149" s="136"/>
      <c r="BT149" s="136"/>
      <c r="BU149" s="136" t="str">
        <f>IF($D149&lt;&gt;"Feature",".",
IF(VLOOKUP($B149,Feature_List!$A:$AM,MATCH(BU$1,  Feature_List!$A$1:$AM$1,0),0)=M149,".","NO"))</f>
        <v>.</v>
      </c>
      <c r="BV149" s="136" t="str">
        <f>IF($D149&lt;&gt;"Feature",".",
IF(VLOOKUP($B149,Feature_List!$A:$AM,MATCH(BV$1,  Feature_List!$A$1:$AM$1,0),0)=N149,".","NO"))</f>
        <v>.</v>
      </c>
      <c r="BW149" s="136"/>
      <c r="BX149" s="136"/>
      <c r="BY149" s="136"/>
      <c r="BZ149" s="136"/>
      <c r="CA149" s="136"/>
      <c r="CB149" s="136" t="str">
        <f>IF($D149&lt;&gt;"Feature",".",
IF(VLOOKUP($B149,Feature_List!$A:$AM,MATCH(CB$1,  Feature_List!$A$1:$AM$1,0),0)=T149,".","NO"))</f>
        <v>.</v>
      </c>
      <c r="CC149" s="136"/>
      <c r="CD149" s="136"/>
      <c r="CE149" s="136"/>
      <c r="CF149" s="136"/>
      <c r="CG149" s="136"/>
      <c r="CH149" s="136"/>
      <c r="CI149" s="136"/>
      <c r="CJ149" s="136"/>
      <c r="CK149" s="136"/>
      <c r="CL149" s="136"/>
      <c r="CM149" s="136"/>
      <c r="CN149" s="136"/>
      <c r="CO149" s="136" t="str">
        <f>IF($D149&lt;&gt;"Feature",".",
IF(VLOOKUP($B149,Feature_List!$A:$AM,MATCH(CO$1,  Feature_List!$A$1:$AM$1,0),0)=AG149,".","NO"))</f>
        <v>.</v>
      </c>
      <c r="CP149" s="136" t="str">
        <f>IF($D149&lt;&gt;"Feature",".",
IF(VLOOKUP($B149,Feature_List!$A:$AM,MATCH(CP$1,  Feature_List!$A$1:$AM$1,0),0)=AH149,".","NO"))</f>
        <v>.</v>
      </c>
      <c r="CQ149" s="136" t="str">
        <f>IF($D149&lt;&gt;"Feature",".",
IF(VLOOKUP($B149,Feature_List!$A:$AM,MATCH(CQ$1,  Feature_List!$A$1:$AM$1,0),0)=AI149,".","NO"))</f>
        <v>.</v>
      </c>
      <c r="CR149" s="136" t="str">
        <f>IF($D149&lt;&gt;"Feature",".",
IF(VLOOKUP($B149,Feature_List!$A:$AM,MATCH(CR$1,  Feature_List!$A$1:$AM$1,0),0)=AJ149,".","NO"))</f>
        <v>.</v>
      </c>
      <c r="CS149" s="136" t="str">
        <f>IF($D149&lt;&gt;"Feature",".",
IF(VLOOKUP($B149,Feature_List!$A:$AM,MATCH(CS$1,  Feature_List!$A$1:$AM$1,0),0)=AK149,".","NO"))</f>
        <v>.</v>
      </c>
      <c r="CT149" s="136" t="str">
        <f>IF($D149&lt;&gt;"Feature",".",
IF(VLOOKUP($B149,Feature_List!$A:$AM,MATCH(CT$1,  Feature_List!$A$1:$AM$1,0),0)=AL149,".","NO"))</f>
        <v>.</v>
      </c>
      <c r="CU149" s="136" t="str">
        <f>IF($D149&lt;&gt;"Feature",".",
IF(VLOOKUP($B149,Feature_List!$A:$AM,MATCH(CU$1,  Feature_List!$A$1:$AM$1,0),0)=AM149,".","NO"))</f>
        <v>.</v>
      </c>
      <c r="CV149" s="136" t="str">
        <f>IF($D149&lt;&gt;"Feature",".",
IF(VLOOKUP($B149,Feature_List!$A:$AM,MATCH(CV$1,  Feature_List!$A$1:$AM$1,0),0)=AN149,".","NO"))</f>
        <v>.</v>
      </c>
      <c r="CW149" s="136" t="str">
        <f>IF($D149&lt;&gt;"Feature",".",
IF(VLOOKUP($B149,Feature_List!$A:$AM,MATCH(CW$1,  Feature_List!$A$1:$AM$1,0),0)=AO149,".","NO"))</f>
        <v>.</v>
      </c>
      <c r="CX149" s="136" t="str">
        <f>IF($D149&lt;&gt;"Feature",".",
IF(VLOOKUP($B149,Feature_List!$A:$AM,MATCH(CX$1,  Feature_List!$A$1:$AM$1,0),0)=AP149,".","NO"))</f>
        <v>.</v>
      </c>
      <c r="CY149" s="136" t="str">
        <f>IF($D149&lt;&gt;"Feature",".",
IF(VLOOKUP($B149,Feature_List!$A:$AM,MATCH(CY$1,  Feature_List!$A$1:$AM$1,0),0)=AQ149,".","NO"))</f>
        <v>.</v>
      </c>
      <c r="CZ149" s="136" t="str">
        <f>IF($D149&lt;&gt;"Feature",".",
IF(VLOOKUP($B149,Feature_List!$A:$AM,MATCH(CZ$1,  Feature_List!$A$1:$AM$1,0),0)=AR149,".","NO"))</f>
        <v>.</v>
      </c>
      <c r="DA149" s="136" t="str">
        <f>IF($D149&lt;&gt;"Feature",".",
IF(VLOOKUP($B149,Feature_List!$A:$AM,MATCH(DA$1,  Feature_List!$A$1:$AM$1,0),0)=AS149,".","NO"))</f>
        <v>.</v>
      </c>
      <c r="DB149" s="136" t="str">
        <f>IF($D149&lt;&gt;"Feature",".",
IF(VLOOKUP($B149,Feature_List!$A:$AM,MATCH(DB$1,  Feature_List!$A$1:$AM$1,0),0)=AT149,".","NO"))</f>
        <v>.</v>
      </c>
      <c r="DC149" s="136" t="str">
        <f>IF($D149&lt;&gt;"Feature",".",
IF(VLOOKUP($B149,Feature_List!$A:$AM,MATCH(DC$1,  Feature_List!$A$1:$AM$1,0),0)=AU149,".","NO"))</f>
        <v>.</v>
      </c>
      <c r="DD149" s="136" t="str">
        <f>IF($D149&lt;&gt;"Feature",".",
IF(VLOOKUP($B149,Feature_List!$A:$AM,MATCH(DD$1,  Feature_List!$A$1:$AM$1,0),0)=AV149,".","NO"))</f>
        <v>.</v>
      </c>
      <c r="DE149" s="136" t="str">
        <f>IF($D149&lt;&gt;"Feature",".",
IF(VLOOKUP($B149,Feature_List!$A:$AM,MATCH(DE$1,  Feature_List!$A$1:$AM$1,0),0)=AW149,".","NO"))</f>
        <v>.</v>
      </c>
      <c r="DF149" s="136" t="str">
        <f>IF($D149&lt;&gt;"Feature",".",
IF(VLOOKUP($B149,Feature_List!$A:$AM,MATCH(DF$1,  Feature_List!$A$1:$AM$1,0),0)=AX149,".","NO"))</f>
        <v>.</v>
      </c>
      <c r="DG149" s="136" t="str">
        <f>IF($D149&lt;&gt;"Feature",".",
IF(VLOOKUP($B149,Feature_List!$A:$AM,MATCH(DG$1,  Feature_List!$A$1:$AM$1,0),0)=AY149,".","NO"))</f>
        <v>.</v>
      </c>
      <c r="DH149" s="136" t="str">
        <f>IF($D149&lt;&gt;"Feature",".",
IF(VLOOKUP($B149,Feature_List!$A:$AM,MATCH(DH$1,  Feature_List!$A$1:$AM$1,0),0)=AZ149,".","NO"))</f>
        <v>.</v>
      </c>
      <c r="DI149" s="136" t="str">
        <f>IF($D149&lt;&gt;"Feature",".",
IF(VLOOKUP($B149,Feature_List!$A:$AM,MATCH(DI$1,  Feature_List!$A$1:$AM$1,0),0)=BA149,".","NO"))</f>
        <v>.</v>
      </c>
      <c r="DJ149" s="136" t="str">
        <f>IF($D149&lt;&gt;"Feature",".",
IF(VLOOKUP($B149,Feature_List!$A:$AM,MATCH(DJ$1,  Feature_List!$A$1:$AM$1,0),0)=BB149,".","NO"))</f>
        <v>.</v>
      </c>
      <c r="DK149" s="136"/>
      <c r="DL149" s="136"/>
      <c r="DM149" s="136"/>
      <c r="DN149" s="136" t="str">
        <f>IF($D149&lt;&gt;"Feature",".",
IF(VLOOKUP($B149,Feature_List!$A:$AM,MATCH(DN$1,  Feature_List!$A$1:$AM$1,0),0)=BC149,".","NO"))</f>
        <v>.</v>
      </c>
      <c r="DO149" s="136" t="str">
        <f>IF($D149&lt;&gt;"Feature",".",
IF(VLOOKUP($B149,Feature_List!$A:$AM,MATCH(DO$1,  Feature_List!$A$1:$AM$1,0),0)=BD149,".","NO"))</f>
        <v>.</v>
      </c>
    </row>
    <row r="150" spans="2:119" x14ac:dyDescent="0.3">
      <c r="B150" s="121"/>
      <c r="C150" s="122"/>
      <c r="D150" s="122"/>
      <c r="E150" s="122"/>
      <c r="F150" s="138"/>
      <c r="G150" s="123"/>
      <c r="H150" s="122"/>
      <c r="I150" s="124"/>
      <c r="J150" s="138"/>
      <c r="K150" s="123"/>
      <c r="L150" s="122"/>
      <c r="M150" s="122"/>
      <c r="N150" s="125"/>
      <c r="O150" s="123">
        <f t="shared" si="75"/>
        <v>0</v>
      </c>
      <c r="P150" s="123">
        <f t="shared" si="76"/>
        <v>0</v>
      </c>
      <c r="Q150" s="122" t="str">
        <f t="shared" si="98"/>
        <v>ZeroEntry</v>
      </c>
      <c r="R150" s="126" t="str">
        <f t="shared" si="77"/>
        <v>ZeroEntry</v>
      </c>
      <c r="S150" s="127" t="str">
        <f t="shared" si="78"/>
        <v>ZeroEntry</v>
      </c>
      <c r="T150" s="128" t="str">
        <f>IF($Q150="ZeroEntry", "",VLOOKUP($I150,'Ranking Lookup'!#REF!,2,FALSE))</f>
        <v/>
      </c>
      <c r="U150" s="129" t="str">
        <f t="shared" si="79"/>
        <v/>
      </c>
      <c r="V150" s="129" t="str">
        <f t="shared" si="80"/>
        <v/>
      </c>
      <c r="W150" s="129" t="str">
        <f t="shared" si="81"/>
        <v/>
      </c>
      <c r="X150" s="129" t="str">
        <f t="shared" si="82"/>
        <v/>
      </c>
      <c r="Y150" s="129" t="str">
        <f t="shared" si="83"/>
        <v/>
      </c>
      <c r="Z150" s="129" t="str">
        <f t="shared" si="84"/>
        <v/>
      </c>
      <c r="AA150" s="130"/>
      <c r="AB150" s="130" t="str">
        <f t="shared" si="85"/>
        <v>Unassigned</v>
      </c>
      <c r="AC150" s="131" t="str">
        <f t="shared" si="99"/>
        <v/>
      </c>
      <c r="AD150" s="131" t="str">
        <f t="shared" si="100"/>
        <v/>
      </c>
      <c r="AE150" s="132">
        <f t="shared" si="86"/>
        <v>0</v>
      </c>
      <c r="AF150" s="133" t="str">
        <f t="shared" si="101"/>
        <v/>
      </c>
      <c r="AG150" s="134">
        <f t="shared" si="87"/>
        <v>0</v>
      </c>
      <c r="AH150" s="54" t="str">
        <f t="shared" si="88"/>
        <v/>
      </c>
      <c r="AI150" s="54" t="str">
        <f t="shared" si="104"/>
        <v/>
      </c>
      <c r="AJ150" s="54" t="str">
        <f t="shared" si="104"/>
        <v/>
      </c>
      <c r="AK150" s="54" t="str">
        <f t="shared" si="104"/>
        <v/>
      </c>
      <c r="AL150" s="54" t="str">
        <f t="shared" si="104"/>
        <v/>
      </c>
      <c r="AM150" s="54" t="str">
        <f t="shared" si="104"/>
        <v/>
      </c>
      <c r="AN150" s="54" t="str">
        <f t="shared" si="104"/>
        <v/>
      </c>
      <c r="AO150" s="54" t="str">
        <f t="shared" si="104"/>
        <v/>
      </c>
      <c r="AP150" s="54" t="str">
        <f t="shared" si="104"/>
        <v/>
      </c>
      <c r="AQ150" s="54" t="str">
        <f t="shared" si="104"/>
        <v/>
      </c>
      <c r="AR150" s="54" t="str">
        <f t="shared" si="104"/>
        <v/>
      </c>
      <c r="AS150" s="54" t="str">
        <f t="shared" si="104"/>
        <v/>
      </c>
      <c r="AT150" s="54" t="str">
        <f t="shared" si="104"/>
        <v/>
      </c>
      <c r="AU150" s="54" t="str">
        <f t="shared" si="104"/>
        <v/>
      </c>
      <c r="AV150" s="54" t="str">
        <f t="shared" si="104"/>
        <v/>
      </c>
      <c r="AW150" s="54" t="str">
        <f t="shared" si="104"/>
        <v/>
      </c>
      <c r="AX150" s="54" t="str">
        <f t="shared" si="104"/>
        <v/>
      </c>
      <c r="AY150" s="54" t="str">
        <f t="shared" si="90"/>
        <v/>
      </c>
      <c r="AZ150" s="54" t="str">
        <f t="shared" si="91"/>
        <v/>
      </c>
      <c r="BA150" s="54" t="str">
        <f t="shared" si="92"/>
        <v/>
      </c>
      <c r="BB150" s="135" t="str">
        <f t="shared" si="93"/>
        <v/>
      </c>
      <c r="BC150" s="54" t="str">
        <f t="shared" si="102"/>
        <v/>
      </c>
      <c r="BD150" s="54" t="str">
        <f t="shared" si="102"/>
        <v/>
      </c>
      <c r="BE150" s="54" t="str">
        <f t="shared" si="102"/>
        <v/>
      </c>
      <c r="BF150" s="54" t="str">
        <f t="shared" si="94"/>
        <v/>
      </c>
      <c r="BG150" s="54" t="str">
        <f t="shared" si="95"/>
        <v/>
      </c>
      <c r="BH150" s="34" t="str">
        <f t="shared" si="96"/>
        <v>Bad</v>
      </c>
      <c r="BI150" s="34" t="str">
        <f t="shared" si="97"/>
        <v>No</v>
      </c>
      <c r="BJ150" s="136" t="str">
        <f>IF($D150&lt;&gt;"Feature",".",
IF(VLOOKUP($B150,Feature_List!$A:$AM,MATCH(BJ$1,  Feature_List!$A$1:$AM$1,0),0)=B150,".","NO"))</f>
        <v>.</v>
      </c>
      <c r="BK150" s="136"/>
      <c r="BL150" s="136"/>
      <c r="BM150" s="136" t="str">
        <f>IF($D150&lt;&gt;"Feature",".",
IF(VLOOKUP($B150,Feature_List!$A:$AM,MATCH(BM$1,  Feature_List!$A$1:$AM$1,0),0)=E150,".","NO"))</f>
        <v>.</v>
      </c>
      <c r="BN150" s="136" t="str">
        <f>IF($D150&lt;&gt;"Feature",".",
IF(VLOOKUP($B150,Feature_List!$A:$AM,MATCH(BN$1,  Feature_List!$A$1:$AM$1,0),0)=F150,".","NO"))</f>
        <v>.</v>
      </c>
      <c r="BO150" s="136" t="str">
        <f>IF($D150&lt;&gt;"Feature",".",
IF(VLOOKUP($B150,Feature_List!$A:$AM,MATCH(BO$1,  Feature_List!$A$1:$AM$1,0),0)=G150,".","NO"))</f>
        <v>.</v>
      </c>
      <c r="BP150" s="136" t="str">
        <f>IF($D150&lt;&gt;"Feature",".",
IF(VLOOKUP($B150,Feature_List!$A:$AM,MATCH(BP$1,  Feature_List!$A$1:$AM$1,0),0)=H150,".","NO"))</f>
        <v>.</v>
      </c>
      <c r="BQ150" s="136"/>
      <c r="BR150" s="136" t="str">
        <f>IF($D150&lt;&gt;"Feature",".",
IF(VLOOKUP($B150,Feature_List!$A:$AM,MATCH(BR$1,  Feature_List!$A$1:$AM$1,0),0)=J150,".","NO"))</f>
        <v>.</v>
      </c>
      <c r="BS150" s="136"/>
      <c r="BT150" s="136"/>
      <c r="BU150" s="136" t="str">
        <f>IF($D150&lt;&gt;"Feature",".",
IF(VLOOKUP($B150,Feature_List!$A:$AM,MATCH(BU$1,  Feature_List!$A$1:$AM$1,0),0)=M150,".","NO"))</f>
        <v>.</v>
      </c>
      <c r="BV150" s="136" t="str">
        <f>IF($D150&lt;&gt;"Feature",".",
IF(VLOOKUP($B150,Feature_List!$A:$AM,MATCH(BV$1,  Feature_List!$A$1:$AM$1,0),0)=N150,".","NO"))</f>
        <v>.</v>
      </c>
      <c r="BW150" s="136"/>
      <c r="BX150" s="136"/>
      <c r="BY150" s="136"/>
      <c r="BZ150" s="136"/>
      <c r="CA150" s="136"/>
      <c r="CB150" s="136" t="str">
        <f>IF($D150&lt;&gt;"Feature",".",
IF(VLOOKUP($B150,Feature_List!$A:$AM,MATCH(CB$1,  Feature_List!$A$1:$AM$1,0),0)=T150,".","NO"))</f>
        <v>.</v>
      </c>
      <c r="CC150" s="136"/>
      <c r="CD150" s="136"/>
      <c r="CE150" s="136"/>
      <c r="CF150" s="136"/>
      <c r="CG150" s="136"/>
      <c r="CH150" s="136"/>
      <c r="CI150" s="136"/>
      <c r="CJ150" s="136"/>
      <c r="CK150" s="136"/>
      <c r="CL150" s="136"/>
      <c r="CM150" s="136"/>
      <c r="CN150" s="136"/>
      <c r="CO150" s="136" t="str">
        <f>IF($D150&lt;&gt;"Feature",".",
IF(VLOOKUP($B150,Feature_List!$A:$AM,MATCH(CO$1,  Feature_List!$A$1:$AM$1,0),0)=AG150,".","NO"))</f>
        <v>.</v>
      </c>
      <c r="CP150" s="136" t="str">
        <f>IF($D150&lt;&gt;"Feature",".",
IF(VLOOKUP($B150,Feature_List!$A:$AM,MATCH(CP$1,  Feature_List!$A$1:$AM$1,0),0)=AH150,".","NO"))</f>
        <v>.</v>
      </c>
      <c r="CQ150" s="136" t="str">
        <f>IF($D150&lt;&gt;"Feature",".",
IF(VLOOKUP($B150,Feature_List!$A:$AM,MATCH(CQ$1,  Feature_List!$A$1:$AM$1,0),0)=AI150,".","NO"))</f>
        <v>.</v>
      </c>
      <c r="CR150" s="136" t="str">
        <f>IF($D150&lt;&gt;"Feature",".",
IF(VLOOKUP($B150,Feature_List!$A:$AM,MATCH(CR$1,  Feature_List!$A$1:$AM$1,0),0)=AJ150,".","NO"))</f>
        <v>.</v>
      </c>
      <c r="CS150" s="136" t="str">
        <f>IF($D150&lt;&gt;"Feature",".",
IF(VLOOKUP($B150,Feature_List!$A:$AM,MATCH(CS$1,  Feature_List!$A$1:$AM$1,0),0)=AK150,".","NO"))</f>
        <v>.</v>
      </c>
      <c r="CT150" s="136" t="str">
        <f>IF($D150&lt;&gt;"Feature",".",
IF(VLOOKUP($B150,Feature_List!$A:$AM,MATCH(CT$1,  Feature_List!$A$1:$AM$1,0),0)=AL150,".","NO"))</f>
        <v>.</v>
      </c>
      <c r="CU150" s="136" t="str">
        <f>IF($D150&lt;&gt;"Feature",".",
IF(VLOOKUP($B150,Feature_List!$A:$AM,MATCH(CU$1,  Feature_List!$A$1:$AM$1,0),0)=AM150,".","NO"))</f>
        <v>.</v>
      </c>
      <c r="CV150" s="136" t="str">
        <f>IF($D150&lt;&gt;"Feature",".",
IF(VLOOKUP($B150,Feature_List!$A:$AM,MATCH(CV$1,  Feature_List!$A$1:$AM$1,0),0)=AN150,".","NO"))</f>
        <v>.</v>
      </c>
      <c r="CW150" s="136" t="str">
        <f>IF($D150&lt;&gt;"Feature",".",
IF(VLOOKUP($B150,Feature_List!$A:$AM,MATCH(CW$1,  Feature_List!$A$1:$AM$1,0),0)=AO150,".","NO"))</f>
        <v>.</v>
      </c>
      <c r="CX150" s="136" t="str">
        <f>IF($D150&lt;&gt;"Feature",".",
IF(VLOOKUP($B150,Feature_List!$A:$AM,MATCH(CX$1,  Feature_List!$A$1:$AM$1,0),0)=AP150,".","NO"))</f>
        <v>.</v>
      </c>
      <c r="CY150" s="136" t="str">
        <f>IF($D150&lt;&gt;"Feature",".",
IF(VLOOKUP($B150,Feature_List!$A:$AM,MATCH(CY$1,  Feature_List!$A$1:$AM$1,0),0)=AQ150,".","NO"))</f>
        <v>.</v>
      </c>
      <c r="CZ150" s="136" t="str">
        <f>IF($D150&lt;&gt;"Feature",".",
IF(VLOOKUP($B150,Feature_List!$A:$AM,MATCH(CZ$1,  Feature_List!$A$1:$AM$1,0),0)=AR150,".","NO"))</f>
        <v>.</v>
      </c>
      <c r="DA150" s="136" t="str">
        <f>IF($D150&lt;&gt;"Feature",".",
IF(VLOOKUP($B150,Feature_List!$A:$AM,MATCH(DA$1,  Feature_List!$A$1:$AM$1,0),0)=AS150,".","NO"))</f>
        <v>.</v>
      </c>
      <c r="DB150" s="136" t="str">
        <f>IF($D150&lt;&gt;"Feature",".",
IF(VLOOKUP($B150,Feature_List!$A:$AM,MATCH(DB$1,  Feature_List!$A$1:$AM$1,0),0)=AT150,".","NO"))</f>
        <v>.</v>
      </c>
      <c r="DC150" s="136" t="str">
        <f>IF($D150&lt;&gt;"Feature",".",
IF(VLOOKUP($B150,Feature_List!$A:$AM,MATCH(DC$1,  Feature_List!$A$1:$AM$1,0),0)=AU150,".","NO"))</f>
        <v>.</v>
      </c>
      <c r="DD150" s="136" t="str">
        <f>IF($D150&lt;&gt;"Feature",".",
IF(VLOOKUP($B150,Feature_List!$A:$AM,MATCH(DD$1,  Feature_List!$A$1:$AM$1,0),0)=AV150,".","NO"))</f>
        <v>.</v>
      </c>
      <c r="DE150" s="136" t="str">
        <f>IF($D150&lt;&gt;"Feature",".",
IF(VLOOKUP($B150,Feature_List!$A:$AM,MATCH(DE$1,  Feature_List!$A$1:$AM$1,0),0)=AW150,".","NO"))</f>
        <v>.</v>
      </c>
      <c r="DF150" s="136" t="str">
        <f>IF($D150&lt;&gt;"Feature",".",
IF(VLOOKUP($B150,Feature_List!$A:$AM,MATCH(DF$1,  Feature_List!$A$1:$AM$1,0),0)=AX150,".","NO"))</f>
        <v>.</v>
      </c>
      <c r="DG150" s="136" t="str">
        <f>IF($D150&lt;&gt;"Feature",".",
IF(VLOOKUP($B150,Feature_List!$A:$AM,MATCH(DG$1,  Feature_List!$A$1:$AM$1,0),0)=AY150,".","NO"))</f>
        <v>.</v>
      </c>
      <c r="DH150" s="136" t="str">
        <f>IF($D150&lt;&gt;"Feature",".",
IF(VLOOKUP($B150,Feature_List!$A:$AM,MATCH(DH$1,  Feature_List!$A$1:$AM$1,0),0)=AZ150,".","NO"))</f>
        <v>.</v>
      </c>
      <c r="DI150" s="136" t="str">
        <f>IF($D150&lt;&gt;"Feature",".",
IF(VLOOKUP($B150,Feature_List!$A:$AM,MATCH(DI$1,  Feature_List!$A$1:$AM$1,0),0)=BA150,".","NO"))</f>
        <v>.</v>
      </c>
      <c r="DJ150" s="136" t="str">
        <f>IF($D150&lt;&gt;"Feature",".",
IF(VLOOKUP($B150,Feature_List!$A:$AM,MATCH(DJ$1,  Feature_List!$A$1:$AM$1,0),0)=BB150,".","NO"))</f>
        <v>.</v>
      </c>
      <c r="DK150" s="136"/>
      <c r="DL150" s="136"/>
      <c r="DM150" s="136"/>
      <c r="DN150" s="136" t="str">
        <f>IF($D150&lt;&gt;"Feature",".",
IF(VLOOKUP($B150,Feature_List!$A:$AM,MATCH(DN$1,  Feature_List!$A$1:$AM$1,0),0)=BC150,".","NO"))</f>
        <v>.</v>
      </c>
      <c r="DO150" s="136" t="str">
        <f>IF($D150&lt;&gt;"Feature",".",
IF(VLOOKUP($B150,Feature_List!$A:$AM,MATCH(DO$1,  Feature_List!$A$1:$AM$1,0),0)=BD150,".","NO"))</f>
        <v>.</v>
      </c>
    </row>
    <row r="151" spans="2:119" x14ac:dyDescent="0.3">
      <c r="B151" s="121"/>
      <c r="C151" s="122"/>
      <c r="D151" s="122"/>
      <c r="E151" s="122"/>
      <c r="F151" s="138"/>
      <c r="G151" s="123"/>
      <c r="H151" s="122"/>
      <c r="I151" s="124"/>
      <c r="J151" s="138"/>
      <c r="K151" s="123"/>
      <c r="L151" s="122"/>
      <c r="M151" s="122"/>
      <c r="N151" s="125"/>
      <c r="O151" s="123">
        <f t="shared" si="75"/>
        <v>0</v>
      </c>
      <c r="P151" s="123">
        <f t="shared" si="76"/>
        <v>0</v>
      </c>
      <c r="Q151" s="122" t="str">
        <f t="shared" si="98"/>
        <v>ZeroEntry</v>
      </c>
      <c r="R151" s="126" t="str">
        <f t="shared" si="77"/>
        <v>ZeroEntry</v>
      </c>
      <c r="S151" s="127" t="str">
        <f t="shared" si="78"/>
        <v>ZeroEntry</v>
      </c>
      <c r="T151" s="128" t="str">
        <f>IF($Q151="ZeroEntry", "",VLOOKUP($I151,'Ranking Lookup'!#REF!,2,FALSE))</f>
        <v/>
      </c>
      <c r="U151" s="129" t="str">
        <f t="shared" si="79"/>
        <v/>
      </c>
      <c r="V151" s="129" t="str">
        <f t="shared" si="80"/>
        <v/>
      </c>
      <c r="W151" s="129" t="str">
        <f t="shared" si="81"/>
        <v/>
      </c>
      <c r="X151" s="129" t="str">
        <f t="shared" si="82"/>
        <v/>
      </c>
      <c r="Y151" s="129" t="str">
        <f t="shared" si="83"/>
        <v/>
      </c>
      <c r="Z151" s="129" t="str">
        <f t="shared" si="84"/>
        <v/>
      </c>
      <c r="AA151" s="130"/>
      <c r="AB151" s="130" t="str">
        <f t="shared" si="85"/>
        <v>Unassigned</v>
      </c>
      <c r="AC151" s="131" t="str">
        <f t="shared" si="99"/>
        <v/>
      </c>
      <c r="AD151" s="131" t="str">
        <f t="shared" si="100"/>
        <v/>
      </c>
      <c r="AE151" s="132">
        <f t="shared" si="86"/>
        <v>0</v>
      </c>
      <c r="AF151" s="133" t="str">
        <f t="shared" si="101"/>
        <v/>
      </c>
      <c r="AG151" s="134">
        <f t="shared" si="87"/>
        <v>0</v>
      </c>
      <c r="AH151" s="54" t="str">
        <f t="shared" si="88"/>
        <v/>
      </c>
      <c r="AI151" s="54" t="str">
        <f t="shared" si="104"/>
        <v/>
      </c>
      <c r="AJ151" s="54" t="str">
        <f t="shared" si="104"/>
        <v/>
      </c>
      <c r="AK151" s="54" t="str">
        <f t="shared" si="104"/>
        <v/>
      </c>
      <c r="AL151" s="54" t="str">
        <f t="shared" si="104"/>
        <v/>
      </c>
      <c r="AM151" s="54" t="str">
        <f t="shared" si="104"/>
        <v/>
      </c>
      <c r="AN151" s="54" t="str">
        <f t="shared" si="104"/>
        <v/>
      </c>
      <c r="AO151" s="54" t="str">
        <f t="shared" si="104"/>
        <v/>
      </c>
      <c r="AP151" s="54" t="str">
        <f t="shared" si="104"/>
        <v/>
      </c>
      <c r="AQ151" s="54" t="str">
        <f t="shared" si="104"/>
        <v/>
      </c>
      <c r="AR151" s="54" t="str">
        <f t="shared" si="104"/>
        <v/>
      </c>
      <c r="AS151" s="54" t="str">
        <f t="shared" si="104"/>
        <v/>
      </c>
      <c r="AT151" s="54" t="str">
        <f t="shared" si="104"/>
        <v/>
      </c>
      <c r="AU151" s="54" t="str">
        <f t="shared" si="104"/>
        <v/>
      </c>
      <c r="AV151" s="54" t="str">
        <f t="shared" si="104"/>
        <v/>
      </c>
      <c r="AW151" s="54" t="str">
        <f t="shared" si="104"/>
        <v/>
      </c>
      <c r="AX151" s="54" t="str">
        <f t="shared" si="104"/>
        <v/>
      </c>
      <c r="AY151" s="54" t="str">
        <f t="shared" si="90"/>
        <v/>
      </c>
      <c r="AZ151" s="54" t="str">
        <f t="shared" si="91"/>
        <v/>
      </c>
      <c r="BA151" s="54" t="str">
        <f t="shared" si="92"/>
        <v/>
      </c>
      <c r="BB151" s="135" t="str">
        <f t="shared" si="93"/>
        <v/>
      </c>
      <c r="BC151" s="54" t="str">
        <f t="shared" si="102"/>
        <v/>
      </c>
      <c r="BD151" s="54" t="str">
        <f t="shared" si="102"/>
        <v/>
      </c>
      <c r="BE151" s="54" t="str">
        <f t="shared" si="102"/>
        <v/>
      </c>
      <c r="BF151" s="54" t="str">
        <f t="shared" si="94"/>
        <v/>
      </c>
      <c r="BG151" s="54" t="str">
        <f t="shared" si="95"/>
        <v/>
      </c>
      <c r="BH151" s="34" t="str">
        <f t="shared" si="96"/>
        <v>Bad</v>
      </c>
      <c r="BI151" s="34" t="str">
        <f t="shared" si="97"/>
        <v>No</v>
      </c>
      <c r="BJ151" s="136" t="str">
        <f>IF($D151&lt;&gt;"Feature",".",
IF(VLOOKUP($B151,Feature_List!$A:$AM,MATCH(BJ$1,  Feature_List!$A$1:$AM$1,0),0)=B151,".","NO"))</f>
        <v>.</v>
      </c>
      <c r="BK151" s="136"/>
      <c r="BL151" s="136"/>
      <c r="BM151" s="136" t="str">
        <f>IF($D151&lt;&gt;"Feature",".",
IF(VLOOKUP($B151,Feature_List!$A:$AM,MATCH(BM$1,  Feature_List!$A$1:$AM$1,0),0)=E151,".","NO"))</f>
        <v>.</v>
      </c>
      <c r="BN151" s="136" t="str">
        <f>IF($D151&lt;&gt;"Feature",".",
IF(VLOOKUP($B151,Feature_List!$A:$AM,MATCH(BN$1,  Feature_List!$A$1:$AM$1,0),0)=F151,".","NO"))</f>
        <v>.</v>
      </c>
      <c r="BO151" s="136" t="str">
        <f>IF($D151&lt;&gt;"Feature",".",
IF(VLOOKUP($B151,Feature_List!$A:$AM,MATCH(BO$1,  Feature_List!$A$1:$AM$1,0),0)=G151,".","NO"))</f>
        <v>.</v>
      </c>
      <c r="BP151" s="136" t="str">
        <f>IF($D151&lt;&gt;"Feature",".",
IF(VLOOKUP($B151,Feature_List!$A:$AM,MATCH(BP$1,  Feature_List!$A$1:$AM$1,0),0)=H151,".","NO"))</f>
        <v>.</v>
      </c>
      <c r="BQ151" s="136"/>
      <c r="BR151" s="136" t="str">
        <f>IF($D151&lt;&gt;"Feature",".",
IF(VLOOKUP($B151,Feature_List!$A:$AM,MATCH(BR$1,  Feature_List!$A$1:$AM$1,0),0)=J151,".","NO"))</f>
        <v>.</v>
      </c>
      <c r="BS151" s="136"/>
      <c r="BT151" s="136"/>
      <c r="BU151" s="136" t="str">
        <f>IF($D151&lt;&gt;"Feature",".",
IF(VLOOKUP($B151,Feature_List!$A:$AM,MATCH(BU$1,  Feature_List!$A$1:$AM$1,0),0)=M151,".","NO"))</f>
        <v>.</v>
      </c>
      <c r="BV151" s="136" t="str">
        <f>IF($D151&lt;&gt;"Feature",".",
IF(VLOOKUP($B151,Feature_List!$A:$AM,MATCH(BV$1,  Feature_List!$A$1:$AM$1,0),0)=N151,".","NO"))</f>
        <v>.</v>
      </c>
      <c r="BW151" s="136"/>
      <c r="BX151" s="136"/>
      <c r="BY151" s="136"/>
      <c r="BZ151" s="136"/>
      <c r="CA151" s="136"/>
      <c r="CB151" s="136" t="str">
        <f>IF($D151&lt;&gt;"Feature",".",
IF(VLOOKUP($B151,Feature_List!$A:$AM,MATCH(CB$1,  Feature_List!$A$1:$AM$1,0),0)=T151,".","NO"))</f>
        <v>.</v>
      </c>
      <c r="CC151" s="136"/>
      <c r="CD151" s="136"/>
      <c r="CE151" s="136"/>
      <c r="CF151" s="136"/>
      <c r="CG151" s="136"/>
      <c r="CH151" s="136"/>
      <c r="CI151" s="136"/>
      <c r="CJ151" s="136"/>
      <c r="CK151" s="136"/>
      <c r="CL151" s="136"/>
      <c r="CM151" s="136"/>
      <c r="CN151" s="136"/>
      <c r="CO151" s="136" t="str">
        <f>IF($D151&lt;&gt;"Feature",".",
IF(VLOOKUP($B151,Feature_List!$A:$AM,MATCH(CO$1,  Feature_List!$A$1:$AM$1,0),0)=AG151,".","NO"))</f>
        <v>.</v>
      </c>
      <c r="CP151" s="136" t="str">
        <f>IF($D151&lt;&gt;"Feature",".",
IF(VLOOKUP($B151,Feature_List!$A:$AM,MATCH(CP$1,  Feature_List!$A$1:$AM$1,0),0)=AH151,".","NO"))</f>
        <v>.</v>
      </c>
      <c r="CQ151" s="136" t="str">
        <f>IF($D151&lt;&gt;"Feature",".",
IF(VLOOKUP($B151,Feature_List!$A:$AM,MATCH(CQ$1,  Feature_List!$A$1:$AM$1,0),0)=AI151,".","NO"))</f>
        <v>.</v>
      </c>
      <c r="CR151" s="136" t="str">
        <f>IF($D151&lt;&gt;"Feature",".",
IF(VLOOKUP($B151,Feature_List!$A:$AM,MATCH(CR$1,  Feature_List!$A$1:$AM$1,0),0)=AJ151,".","NO"))</f>
        <v>.</v>
      </c>
      <c r="CS151" s="136" t="str">
        <f>IF($D151&lt;&gt;"Feature",".",
IF(VLOOKUP($B151,Feature_List!$A:$AM,MATCH(CS$1,  Feature_List!$A$1:$AM$1,0),0)=AK151,".","NO"))</f>
        <v>.</v>
      </c>
      <c r="CT151" s="136" t="str">
        <f>IF($D151&lt;&gt;"Feature",".",
IF(VLOOKUP($B151,Feature_List!$A:$AM,MATCH(CT$1,  Feature_List!$A$1:$AM$1,0),0)=AL151,".","NO"))</f>
        <v>.</v>
      </c>
      <c r="CU151" s="136" t="str">
        <f>IF($D151&lt;&gt;"Feature",".",
IF(VLOOKUP($B151,Feature_List!$A:$AM,MATCH(CU$1,  Feature_List!$A$1:$AM$1,0),0)=AM151,".","NO"))</f>
        <v>.</v>
      </c>
      <c r="CV151" s="136" t="str">
        <f>IF($D151&lt;&gt;"Feature",".",
IF(VLOOKUP($B151,Feature_List!$A:$AM,MATCH(CV$1,  Feature_List!$A$1:$AM$1,0),0)=AN151,".","NO"))</f>
        <v>.</v>
      </c>
      <c r="CW151" s="136" t="str">
        <f>IF($D151&lt;&gt;"Feature",".",
IF(VLOOKUP($B151,Feature_List!$A:$AM,MATCH(CW$1,  Feature_List!$A$1:$AM$1,0),0)=AO151,".","NO"))</f>
        <v>.</v>
      </c>
      <c r="CX151" s="136" t="str">
        <f>IF($D151&lt;&gt;"Feature",".",
IF(VLOOKUP($B151,Feature_List!$A:$AM,MATCH(CX$1,  Feature_List!$A$1:$AM$1,0),0)=AP151,".","NO"))</f>
        <v>.</v>
      </c>
      <c r="CY151" s="136" t="str">
        <f>IF($D151&lt;&gt;"Feature",".",
IF(VLOOKUP($B151,Feature_List!$A:$AM,MATCH(CY$1,  Feature_List!$A$1:$AM$1,0),0)=AQ151,".","NO"))</f>
        <v>.</v>
      </c>
      <c r="CZ151" s="136" t="str">
        <f>IF($D151&lt;&gt;"Feature",".",
IF(VLOOKUP($B151,Feature_List!$A:$AM,MATCH(CZ$1,  Feature_List!$A$1:$AM$1,0),0)=AR151,".","NO"))</f>
        <v>.</v>
      </c>
      <c r="DA151" s="136" t="str">
        <f>IF($D151&lt;&gt;"Feature",".",
IF(VLOOKUP($B151,Feature_List!$A:$AM,MATCH(DA$1,  Feature_List!$A$1:$AM$1,0),0)=AS151,".","NO"))</f>
        <v>.</v>
      </c>
      <c r="DB151" s="136" t="str">
        <f>IF($D151&lt;&gt;"Feature",".",
IF(VLOOKUP($B151,Feature_List!$A:$AM,MATCH(DB$1,  Feature_List!$A$1:$AM$1,0),0)=AT151,".","NO"))</f>
        <v>.</v>
      </c>
      <c r="DC151" s="136" t="str">
        <f>IF($D151&lt;&gt;"Feature",".",
IF(VLOOKUP($B151,Feature_List!$A:$AM,MATCH(DC$1,  Feature_List!$A$1:$AM$1,0),0)=AU151,".","NO"))</f>
        <v>.</v>
      </c>
      <c r="DD151" s="136" t="str">
        <f>IF($D151&lt;&gt;"Feature",".",
IF(VLOOKUP($B151,Feature_List!$A:$AM,MATCH(DD$1,  Feature_List!$A$1:$AM$1,0),0)=AV151,".","NO"))</f>
        <v>.</v>
      </c>
      <c r="DE151" s="136" t="str">
        <f>IF($D151&lt;&gt;"Feature",".",
IF(VLOOKUP($B151,Feature_List!$A:$AM,MATCH(DE$1,  Feature_List!$A$1:$AM$1,0),0)=AW151,".","NO"))</f>
        <v>.</v>
      </c>
      <c r="DF151" s="136" t="str">
        <f>IF($D151&lt;&gt;"Feature",".",
IF(VLOOKUP($B151,Feature_List!$A:$AM,MATCH(DF$1,  Feature_List!$A$1:$AM$1,0),0)=AX151,".","NO"))</f>
        <v>.</v>
      </c>
      <c r="DG151" s="136" t="str">
        <f>IF($D151&lt;&gt;"Feature",".",
IF(VLOOKUP($B151,Feature_List!$A:$AM,MATCH(DG$1,  Feature_List!$A$1:$AM$1,0),0)=AY151,".","NO"))</f>
        <v>.</v>
      </c>
      <c r="DH151" s="136" t="str">
        <f>IF($D151&lt;&gt;"Feature",".",
IF(VLOOKUP($B151,Feature_List!$A:$AM,MATCH(DH$1,  Feature_List!$A$1:$AM$1,0),0)=AZ151,".","NO"))</f>
        <v>.</v>
      </c>
      <c r="DI151" s="136" t="str">
        <f>IF($D151&lt;&gt;"Feature",".",
IF(VLOOKUP($B151,Feature_List!$A:$AM,MATCH(DI$1,  Feature_List!$A$1:$AM$1,0),0)=BA151,".","NO"))</f>
        <v>.</v>
      </c>
      <c r="DJ151" s="136" t="str">
        <f>IF($D151&lt;&gt;"Feature",".",
IF(VLOOKUP($B151,Feature_List!$A:$AM,MATCH(DJ$1,  Feature_List!$A$1:$AM$1,0),0)=BB151,".","NO"))</f>
        <v>.</v>
      </c>
      <c r="DK151" s="136"/>
      <c r="DL151" s="136"/>
      <c r="DM151" s="136"/>
      <c r="DN151" s="136" t="str">
        <f>IF($D151&lt;&gt;"Feature",".",
IF(VLOOKUP($B151,Feature_List!$A:$AM,MATCH(DN$1,  Feature_List!$A$1:$AM$1,0),0)=BC151,".","NO"))</f>
        <v>.</v>
      </c>
      <c r="DO151" s="136" t="str">
        <f>IF($D151&lt;&gt;"Feature",".",
IF(VLOOKUP($B151,Feature_List!$A:$AM,MATCH(DO$1,  Feature_List!$A$1:$AM$1,0),0)=BD151,".","NO"))</f>
        <v>.</v>
      </c>
    </row>
    <row r="152" spans="2:119" x14ac:dyDescent="0.3">
      <c r="B152" s="121"/>
      <c r="C152" s="123"/>
      <c r="D152" s="122"/>
      <c r="E152" s="122"/>
      <c r="F152" s="138"/>
      <c r="G152" s="123"/>
      <c r="H152" s="122"/>
      <c r="I152" s="122"/>
      <c r="J152" s="138"/>
      <c r="K152" s="123"/>
      <c r="L152" s="122"/>
      <c r="M152" s="122"/>
      <c r="N152" s="125"/>
      <c r="O152" s="123">
        <f t="shared" si="75"/>
        <v>0</v>
      </c>
      <c r="P152" s="123">
        <f t="shared" si="76"/>
        <v>0</v>
      </c>
      <c r="Q152" s="122" t="str">
        <f t="shared" si="98"/>
        <v>ZeroEntry</v>
      </c>
      <c r="R152" s="126" t="str">
        <f t="shared" si="77"/>
        <v>ZeroEntry</v>
      </c>
      <c r="S152" s="127" t="str">
        <f t="shared" si="78"/>
        <v>ZeroEntry</v>
      </c>
      <c r="T152" s="128" t="str">
        <f>IF($Q152="ZeroEntry", "",VLOOKUP($I152,'Ranking Lookup'!#REF!,2,FALSE))</f>
        <v/>
      </c>
      <c r="U152" s="129" t="str">
        <f t="shared" si="79"/>
        <v/>
      </c>
      <c r="V152" s="129" t="str">
        <f t="shared" si="80"/>
        <v/>
      </c>
      <c r="W152" s="129" t="str">
        <f t="shared" si="81"/>
        <v/>
      </c>
      <c r="X152" s="129" t="str">
        <f t="shared" si="82"/>
        <v/>
      </c>
      <c r="Y152" s="129" t="str">
        <f t="shared" si="83"/>
        <v/>
      </c>
      <c r="Z152" s="129" t="str">
        <f t="shared" si="84"/>
        <v/>
      </c>
      <c r="AA152" s="130"/>
      <c r="AB152" s="130" t="str">
        <f t="shared" si="85"/>
        <v>Unassigned</v>
      </c>
      <c r="AC152" s="131" t="str">
        <f t="shared" si="99"/>
        <v/>
      </c>
      <c r="AD152" s="131" t="str">
        <f t="shared" si="100"/>
        <v/>
      </c>
      <c r="AE152" s="132">
        <f t="shared" si="86"/>
        <v>0</v>
      </c>
      <c r="AF152" s="133" t="str">
        <f t="shared" si="101"/>
        <v/>
      </c>
      <c r="AG152" s="134">
        <f t="shared" si="87"/>
        <v>0</v>
      </c>
      <c r="AH152" s="54" t="str">
        <f t="shared" si="88"/>
        <v/>
      </c>
      <c r="AI152" s="54" t="str">
        <f t="shared" si="104"/>
        <v/>
      </c>
      <c r="AJ152" s="54" t="str">
        <f t="shared" si="104"/>
        <v/>
      </c>
      <c r="AK152" s="54" t="str">
        <f t="shared" si="104"/>
        <v/>
      </c>
      <c r="AL152" s="54" t="str">
        <f t="shared" si="104"/>
        <v/>
      </c>
      <c r="AM152" s="54" t="str">
        <f t="shared" si="104"/>
        <v/>
      </c>
      <c r="AN152" s="54" t="str">
        <f t="shared" si="104"/>
        <v/>
      </c>
      <c r="AO152" s="54" t="str">
        <f t="shared" si="104"/>
        <v/>
      </c>
      <c r="AP152" s="54" t="str">
        <f t="shared" si="104"/>
        <v/>
      </c>
      <c r="AQ152" s="54" t="str">
        <f t="shared" si="104"/>
        <v/>
      </c>
      <c r="AR152" s="54" t="str">
        <f t="shared" si="104"/>
        <v/>
      </c>
      <c r="AS152" s="54" t="str">
        <f t="shared" si="104"/>
        <v/>
      </c>
      <c r="AT152" s="54" t="str">
        <f t="shared" si="104"/>
        <v/>
      </c>
      <c r="AU152" s="54" t="str">
        <f t="shared" si="104"/>
        <v/>
      </c>
      <c r="AV152" s="54" t="str">
        <f t="shared" si="104"/>
        <v/>
      </c>
      <c r="AW152" s="54" t="str">
        <f t="shared" si="104"/>
        <v/>
      </c>
      <c r="AX152" s="54" t="str">
        <f t="shared" si="104"/>
        <v/>
      </c>
      <c r="AY152" s="54" t="str">
        <f t="shared" si="90"/>
        <v/>
      </c>
      <c r="AZ152" s="54" t="str">
        <f t="shared" si="91"/>
        <v/>
      </c>
      <c r="BA152" s="54" t="str">
        <f t="shared" si="92"/>
        <v/>
      </c>
      <c r="BB152" s="135" t="str">
        <f t="shared" si="93"/>
        <v/>
      </c>
      <c r="BC152" s="54" t="str">
        <f t="shared" si="102"/>
        <v/>
      </c>
      <c r="BD152" s="54" t="str">
        <f t="shared" si="102"/>
        <v/>
      </c>
      <c r="BE152" s="54" t="str">
        <f t="shared" si="102"/>
        <v/>
      </c>
      <c r="BF152" s="54" t="str">
        <f t="shared" si="94"/>
        <v/>
      </c>
      <c r="BG152" s="54" t="str">
        <f t="shared" si="95"/>
        <v/>
      </c>
      <c r="BH152" s="34" t="str">
        <f t="shared" si="96"/>
        <v>Bad</v>
      </c>
      <c r="BI152" s="34" t="str">
        <f t="shared" si="97"/>
        <v>No</v>
      </c>
      <c r="BJ152" s="136" t="str">
        <f>IF($D152&lt;&gt;"Feature",".",
IF(VLOOKUP($B152,Feature_List!$A:$AM,MATCH(BJ$1,  Feature_List!$A$1:$AM$1,0),0)=B152,".","NO"))</f>
        <v>.</v>
      </c>
      <c r="BK152" s="136"/>
      <c r="BL152" s="136"/>
      <c r="BM152" s="136" t="str">
        <f>IF($D152&lt;&gt;"Feature",".",
IF(VLOOKUP($B152,Feature_List!$A:$AM,MATCH(BM$1,  Feature_List!$A$1:$AM$1,0),0)=E152,".","NO"))</f>
        <v>.</v>
      </c>
      <c r="BN152" s="136" t="str">
        <f>IF($D152&lt;&gt;"Feature",".",
IF(VLOOKUP($B152,Feature_List!$A:$AM,MATCH(BN$1,  Feature_List!$A$1:$AM$1,0),0)=F152,".","NO"))</f>
        <v>.</v>
      </c>
      <c r="BO152" s="136" t="str">
        <f>IF($D152&lt;&gt;"Feature",".",
IF(VLOOKUP($B152,Feature_List!$A:$AM,MATCH(BO$1,  Feature_List!$A$1:$AM$1,0),0)=G152,".","NO"))</f>
        <v>.</v>
      </c>
      <c r="BP152" s="136" t="str">
        <f>IF($D152&lt;&gt;"Feature",".",
IF(VLOOKUP($B152,Feature_List!$A:$AM,MATCH(BP$1,  Feature_List!$A$1:$AM$1,0),0)=H152,".","NO"))</f>
        <v>.</v>
      </c>
      <c r="BQ152" s="136"/>
      <c r="BR152" s="136" t="str">
        <f>IF($D152&lt;&gt;"Feature",".",
IF(VLOOKUP($B152,Feature_List!$A:$AM,MATCH(BR$1,  Feature_List!$A$1:$AM$1,0),0)=J152,".","NO"))</f>
        <v>.</v>
      </c>
      <c r="BS152" s="136"/>
      <c r="BT152" s="136"/>
      <c r="BU152" s="136" t="str">
        <f>IF($D152&lt;&gt;"Feature",".",
IF(VLOOKUP($B152,Feature_List!$A:$AM,MATCH(BU$1,  Feature_List!$A$1:$AM$1,0),0)=M152,".","NO"))</f>
        <v>.</v>
      </c>
      <c r="BV152" s="136" t="str">
        <f>IF($D152&lt;&gt;"Feature",".",
IF(VLOOKUP($B152,Feature_List!$A:$AM,MATCH(BV$1,  Feature_List!$A$1:$AM$1,0),0)=N152,".","NO"))</f>
        <v>.</v>
      </c>
      <c r="BW152" s="136"/>
      <c r="BX152" s="136"/>
      <c r="BY152" s="136"/>
      <c r="BZ152" s="136"/>
      <c r="CA152" s="136"/>
      <c r="CB152" s="136" t="str">
        <f>IF($D152&lt;&gt;"Feature",".",
IF(VLOOKUP($B152,Feature_List!$A:$AM,MATCH(CB$1,  Feature_List!$A$1:$AM$1,0),0)=T152,".","NO"))</f>
        <v>.</v>
      </c>
      <c r="CC152" s="136"/>
      <c r="CD152" s="136"/>
      <c r="CE152" s="136"/>
      <c r="CF152" s="136"/>
      <c r="CG152" s="136"/>
      <c r="CH152" s="136"/>
      <c r="CI152" s="136"/>
      <c r="CJ152" s="136"/>
      <c r="CK152" s="136"/>
      <c r="CL152" s="136"/>
      <c r="CM152" s="136"/>
      <c r="CN152" s="136"/>
      <c r="CO152" s="136" t="str">
        <f>IF($D152&lt;&gt;"Feature",".",
IF(VLOOKUP($B152,Feature_List!$A:$AM,MATCH(CO$1,  Feature_List!$A$1:$AM$1,0),0)=AG152,".","NO"))</f>
        <v>.</v>
      </c>
      <c r="CP152" s="136" t="str">
        <f>IF($D152&lt;&gt;"Feature",".",
IF(VLOOKUP($B152,Feature_List!$A:$AM,MATCH(CP$1,  Feature_List!$A$1:$AM$1,0),0)=AH152,".","NO"))</f>
        <v>.</v>
      </c>
      <c r="CQ152" s="136" t="str">
        <f>IF($D152&lt;&gt;"Feature",".",
IF(VLOOKUP($B152,Feature_List!$A:$AM,MATCH(CQ$1,  Feature_List!$A$1:$AM$1,0),0)=AI152,".","NO"))</f>
        <v>.</v>
      </c>
      <c r="CR152" s="136" t="str">
        <f>IF($D152&lt;&gt;"Feature",".",
IF(VLOOKUP($B152,Feature_List!$A:$AM,MATCH(CR$1,  Feature_List!$A$1:$AM$1,0),0)=AJ152,".","NO"))</f>
        <v>.</v>
      </c>
      <c r="CS152" s="136" t="str">
        <f>IF($D152&lt;&gt;"Feature",".",
IF(VLOOKUP($B152,Feature_List!$A:$AM,MATCH(CS$1,  Feature_List!$A$1:$AM$1,0),0)=AK152,".","NO"))</f>
        <v>.</v>
      </c>
      <c r="CT152" s="136" t="str">
        <f>IF($D152&lt;&gt;"Feature",".",
IF(VLOOKUP($B152,Feature_List!$A:$AM,MATCH(CT$1,  Feature_List!$A$1:$AM$1,0),0)=AL152,".","NO"))</f>
        <v>.</v>
      </c>
      <c r="CU152" s="136" t="str">
        <f>IF($D152&lt;&gt;"Feature",".",
IF(VLOOKUP($B152,Feature_List!$A:$AM,MATCH(CU$1,  Feature_List!$A$1:$AM$1,0),0)=AM152,".","NO"))</f>
        <v>.</v>
      </c>
      <c r="CV152" s="136" t="str">
        <f>IF($D152&lt;&gt;"Feature",".",
IF(VLOOKUP($B152,Feature_List!$A:$AM,MATCH(CV$1,  Feature_List!$A$1:$AM$1,0),0)=AN152,".","NO"))</f>
        <v>.</v>
      </c>
      <c r="CW152" s="136" t="str">
        <f>IF($D152&lt;&gt;"Feature",".",
IF(VLOOKUP($B152,Feature_List!$A:$AM,MATCH(CW$1,  Feature_List!$A$1:$AM$1,0),0)=AO152,".","NO"))</f>
        <v>.</v>
      </c>
      <c r="CX152" s="136" t="str">
        <f>IF($D152&lt;&gt;"Feature",".",
IF(VLOOKUP($B152,Feature_List!$A:$AM,MATCH(CX$1,  Feature_List!$A$1:$AM$1,0),0)=AP152,".","NO"))</f>
        <v>.</v>
      </c>
      <c r="CY152" s="136" t="str">
        <f>IF($D152&lt;&gt;"Feature",".",
IF(VLOOKUP($B152,Feature_List!$A:$AM,MATCH(CY$1,  Feature_List!$A$1:$AM$1,0),0)=AQ152,".","NO"))</f>
        <v>.</v>
      </c>
      <c r="CZ152" s="136" t="str">
        <f>IF($D152&lt;&gt;"Feature",".",
IF(VLOOKUP($B152,Feature_List!$A:$AM,MATCH(CZ$1,  Feature_List!$A$1:$AM$1,0),0)=AR152,".","NO"))</f>
        <v>.</v>
      </c>
      <c r="DA152" s="136" t="str">
        <f>IF($D152&lt;&gt;"Feature",".",
IF(VLOOKUP($B152,Feature_List!$A:$AM,MATCH(DA$1,  Feature_List!$A$1:$AM$1,0),0)=AS152,".","NO"))</f>
        <v>.</v>
      </c>
      <c r="DB152" s="136" t="str">
        <f>IF($D152&lt;&gt;"Feature",".",
IF(VLOOKUP($B152,Feature_List!$A:$AM,MATCH(DB$1,  Feature_List!$A$1:$AM$1,0),0)=AT152,".","NO"))</f>
        <v>.</v>
      </c>
      <c r="DC152" s="136" t="str">
        <f>IF($D152&lt;&gt;"Feature",".",
IF(VLOOKUP($B152,Feature_List!$A:$AM,MATCH(DC$1,  Feature_List!$A$1:$AM$1,0),0)=AU152,".","NO"))</f>
        <v>.</v>
      </c>
      <c r="DD152" s="136" t="str">
        <f>IF($D152&lt;&gt;"Feature",".",
IF(VLOOKUP($B152,Feature_List!$A:$AM,MATCH(DD$1,  Feature_List!$A$1:$AM$1,0),0)=AV152,".","NO"))</f>
        <v>.</v>
      </c>
      <c r="DE152" s="136" t="str">
        <f>IF($D152&lt;&gt;"Feature",".",
IF(VLOOKUP($B152,Feature_List!$A:$AM,MATCH(DE$1,  Feature_List!$A$1:$AM$1,0),0)=AW152,".","NO"))</f>
        <v>.</v>
      </c>
      <c r="DF152" s="136" t="str">
        <f>IF($D152&lt;&gt;"Feature",".",
IF(VLOOKUP($B152,Feature_List!$A:$AM,MATCH(DF$1,  Feature_List!$A$1:$AM$1,0),0)=AX152,".","NO"))</f>
        <v>.</v>
      </c>
      <c r="DG152" s="136" t="str">
        <f>IF($D152&lt;&gt;"Feature",".",
IF(VLOOKUP($B152,Feature_List!$A:$AM,MATCH(DG$1,  Feature_List!$A$1:$AM$1,0),0)=AY152,".","NO"))</f>
        <v>.</v>
      </c>
      <c r="DH152" s="136" t="str">
        <f>IF($D152&lt;&gt;"Feature",".",
IF(VLOOKUP($B152,Feature_List!$A:$AM,MATCH(DH$1,  Feature_List!$A$1:$AM$1,0),0)=AZ152,".","NO"))</f>
        <v>.</v>
      </c>
      <c r="DI152" s="136" t="str">
        <f>IF($D152&lt;&gt;"Feature",".",
IF(VLOOKUP($B152,Feature_List!$A:$AM,MATCH(DI$1,  Feature_List!$A$1:$AM$1,0),0)=BA152,".","NO"))</f>
        <v>.</v>
      </c>
      <c r="DJ152" s="136" t="str">
        <f>IF($D152&lt;&gt;"Feature",".",
IF(VLOOKUP($B152,Feature_List!$A:$AM,MATCH(DJ$1,  Feature_List!$A$1:$AM$1,0),0)=BB152,".","NO"))</f>
        <v>.</v>
      </c>
      <c r="DK152" s="136"/>
      <c r="DL152" s="136"/>
      <c r="DM152" s="136"/>
      <c r="DN152" s="136" t="str">
        <f>IF($D152&lt;&gt;"Feature",".",
IF(VLOOKUP($B152,Feature_List!$A:$AM,MATCH(DN$1,  Feature_List!$A$1:$AM$1,0),0)=BC152,".","NO"))</f>
        <v>.</v>
      </c>
      <c r="DO152" s="136" t="str">
        <f>IF($D152&lt;&gt;"Feature",".",
IF(VLOOKUP($B152,Feature_List!$A:$AM,MATCH(DO$1,  Feature_List!$A$1:$AM$1,0),0)=BD152,".","NO"))</f>
        <v>.</v>
      </c>
    </row>
    <row r="153" spans="2:119" x14ac:dyDescent="0.3">
      <c r="B153" s="121"/>
      <c r="C153" s="122"/>
      <c r="D153" s="122"/>
      <c r="E153" s="122"/>
      <c r="F153" s="138"/>
      <c r="G153" s="123"/>
      <c r="H153" s="122"/>
      <c r="I153" s="124"/>
      <c r="J153" s="138"/>
      <c r="K153" s="123"/>
      <c r="L153" s="122"/>
      <c r="M153" s="122"/>
      <c r="N153" s="125"/>
      <c r="O153" s="123">
        <f t="shared" si="75"/>
        <v>0</v>
      </c>
      <c r="P153" s="123">
        <f t="shared" si="76"/>
        <v>0</v>
      </c>
      <c r="Q153" s="122" t="str">
        <f t="shared" si="98"/>
        <v>ZeroEntry</v>
      </c>
      <c r="R153" s="126" t="str">
        <f t="shared" si="77"/>
        <v>ZeroEntry</v>
      </c>
      <c r="S153" s="127" t="str">
        <f t="shared" si="78"/>
        <v>ZeroEntry</v>
      </c>
      <c r="T153" s="128" t="str">
        <f>IF($Q153="ZeroEntry", "",VLOOKUP($I153,'Ranking Lookup'!#REF!,2,FALSE))</f>
        <v/>
      </c>
      <c r="U153" s="129" t="str">
        <f t="shared" si="79"/>
        <v/>
      </c>
      <c r="V153" s="129" t="str">
        <f t="shared" si="80"/>
        <v/>
      </c>
      <c r="W153" s="129" t="str">
        <f t="shared" si="81"/>
        <v/>
      </c>
      <c r="X153" s="129" t="str">
        <f t="shared" si="82"/>
        <v/>
      </c>
      <c r="Y153" s="129" t="str">
        <f t="shared" si="83"/>
        <v/>
      </c>
      <c r="Z153" s="129" t="str">
        <f t="shared" si="84"/>
        <v/>
      </c>
      <c r="AA153" s="130"/>
      <c r="AB153" s="130" t="str">
        <f t="shared" si="85"/>
        <v>Unassigned</v>
      </c>
      <c r="AC153" s="131" t="str">
        <f t="shared" si="99"/>
        <v/>
      </c>
      <c r="AD153" s="131" t="str">
        <f t="shared" si="100"/>
        <v/>
      </c>
      <c r="AE153" s="132">
        <f t="shared" si="86"/>
        <v>0</v>
      </c>
      <c r="AF153" s="133" t="str">
        <f t="shared" si="101"/>
        <v/>
      </c>
      <c r="AG153" s="134">
        <f t="shared" si="87"/>
        <v>0</v>
      </c>
      <c r="AH153" s="54" t="str">
        <f t="shared" si="88"/>
        <v/>
      </c>
      <c r="AI153" s="54" t="str">
        <f t="shared" si="104"/>
        <v/>
      </c>
      <c r="AJ153" s="54" t="str">
        <f t="shared" si="104"/>
        <v/>
      </c>
      <c r="AK153" s="54" t="str">
        <f t="shared" si="104"/>
        <v/>
      </c>
      <c r="AL153" s="54" t="str">
        <f t="shared" si="104"/>
        <v/>
      </c>
      <c r="AM153" s="54" t="str">
        <f t="shared" si="104"/>
        <v/>
      </c>
      <c r="AN153" s="54" t="str">
        <f t="shared" si="104"/>
        <v/>
      </c>
      <c r="AO153" s="54" t="str">
        <f t="shared" si="104"/>
        <v/>
      </c>
      <c r="AP153" s="54" t="str">
        <f t="shared" si="104"/>
        <v/>
      </c>
      <c r="AQ153" s="54" t="str">
        <f t="shared" si="104"/>
        <v/>
      </c>
      <c r="AR153" s="54" t="str">
        <f t="shared" si="104"/>
        <v/>
      </c>
      <c r="AS153" s="54" t="str">
        <f t="shared" si="104"/>
        <v/>
      </c>
      <c r="AT153" s="54" t="str">
        <f t="shared" si="104"/>
        <v/>
      </c>
      <c r="AU153" s="54" t="str">
        <f t="shared" si="104"/>
        <v/>
      </c>
      <c r="AV153" s="54" t="str">
        <f t="shared" si="104"/>
        <v/>
      </c>
      <c r="AW153" s="54" t="str">
        <f t="shared" si="104"/>
        <v/>
      </c>
      <c r="AX153" s="54" t="str">
        <f t="shared" si="104"/>
        <v/>
      </c>
      <c r="AY153" s="54" t="str">
        <f t="shared" si="90"/>
        <v/>
      </c>
      <c r="AZ153" s="54" t="str">
        <f t="shared" si="91"/>
        <v/>
      </c>
      <c r="BA153" s="54" t="str">
        <f t="shared" si="92"/>
        <v/>
      </c>
      <c r="BB153" s="135" t="str">
        <f t="shared" si="93"/>
        <v/>
      </c>
      <c r="BC153" s="54" t="str">
        <f t="shared" si="102"/>
        <v/>
      </c>
      <c r="BD153" s="54" t="str">
        <f t="shared" si="102"/>
        <v/>
      </c>
      <c r="BE153" s="54" t="str">
        <f t="shared" si="102"/>
        <v/>
      </c>
      <c r="BF153" s="54" t="str">
        <f t="shared" si="94"/>
        <v/>
      </c>
      <c r="BG153" s="54" t="str">
        <f t="shared" si="95"/>
        <v/>
      </c>
      <c r="BH153" s="34" t="str">
        <f t="shared" si="96"/>
        <v>Bad</v>
      </c>
      <c r="BI153" s="34" t="str">
        <f t="shared" si="97"/>
        <v>No</v>
      </c>
      <c r="BJ153" s="136" t="str">
        <f>IF($D153&lt;&gt;"Feature",".",
IF(VLOOKUP($B153,Feature_List!$A:$AM,MATCH(BJ$1,  Feature_List!$A$1:$AM$1,0),0)=B153,".","NO"))</f>
        <v>.</v>
      </c>
      <c r="BK153" s="136"/>
      <c r="BL153" s="136"/>
      <c r="BM153" s="136" t="str">
        <f>IF($D153&lt;&gt;"Feature",".",
IF(VLOOKUP($B153,Feature_List!$A:$AM,MATCH(BM$1,  Feature_List!$A$1:$AM$1,0),0)=E153,".","NO"))</f>
        <v>.</v>
      </c>
      <c r="BN153" s="136" t="str">
        <f>IF($D153&lt;&gt;"Feature",".",
IF(VLOOKUP($B153,Feature_List!$A:$AM,MATCH(BN$1,  Feature_List!$A$1:$AM$1,0),0)=F153,".","NO"))</f>
        <v>.</v>
      </c>
      <c r="BO153" s="136" t="str">
        <f>IF($D153&lt;&gt;"Feature",".",
IF(VLOOKUP($B153,Feature_List!$A:$AM,MATCH(BO$1,  Feature_List!$A$1:$AM$1,0),0)=G153,".","NO"))</f>
        <v>.</v>
      </c>
      <c r="BP153" s="136" t="str">
        <f>IF($D153&lt;&gt;"Feature",".",
IF(VLOOKUP($B153,Feature_List!$A:$AM,MATCH(BP$1,  Feature_List!$A$1:$AM$1,0),0)=H153,".","NO"))</f>
        <v>.</v>
      </c>
      <c r="BQ153" s="136"/>
      <c r="BR153" s="136" t="str">
        <f>IF($D153&lt;&gt;"Feature",".",
IF(VLOOKUP($B153,Feature_List!$A:$AM,MATCH(BR$1,  Feature_List!$A$1:$AM$1,0),0)=J153,".","NO"))</f>
        <v>.</v>
      </c>
      <c r="BS153" s="136"/>
      <c r="BT153" s="136"/>
      <c r="BU153" s="136" t="str">
        <f>IF($D153&lt;&gt;"Feature",".",
IF(VLOOKUP($B153,Feature_List!$A:$AM,MATCH(BU$1,  Feature_List!$A$1:$AM$1,0),0)=M153,".","NO"))</f>
        <v>.</v>
      </c>
      <c r="BV153" s="136" t="str">
        <f>IF($D153&lt;&gt;"Feature",".",
IF(VLOOKUP($B153,Feature_List!$A:$AM,MATCH(BV$1,  Feature_List!$A$1:$AM$1,0),0)=N153,".","NO"))</f>
        <v>.</v>
      </c>
      <c r="BW153" s="136"/>
      <c r="BX153" s="136"/>
      <c r="BY153" s="136"/>
      <c r="BZ153" s="136"/>
      <c r="CA153" s="136"/>
      <c r="CB153" s="136" t="str">
        <f>IF($D153&lt;&gt;"Feature",".",
IF(VLOOKUP($B153,Feature_List!$A:$AM,MATCH(CB$1,  Feature_List!$A$1:$AM$1,0),0)=T153,".","NO"))</f>
        <v>.</v>
      </c>
      <c r="CC153" s="136"/>
      <c r="CD153" s="136"/>
      <c r="CE153" s="136"/>
      <c r="CF153" s="136"/>
      <c r="CG153" s="136"/>
      <c r="CH153" s="136"/>
      <c r="CI153" s="136"/>
      <c r="CJ153" s="136"/>
      <c r="CK153" s="136"/>
      <c r="CL153" s="136"/>
      <c r="CM153" s="136"/>
      <c r="CN153" s="136"/>
      <c r="CO153" s="136" t="str">
        <f>IF($D153&lt;&gt;"Feature",".",
IF(VLOOKUP($B153,Feature_List!$A:$AM,MATCH(CO$1,  Feature_List!$A$1:$AM$1,0),0)=AG153,".","NO"))</f>
        <v>.</v>
      </c>
      <c r="CP153" s="136" t="str">
        <f>IF($D153&lt;&gt;"Feature",".",
IF(VLOOKUP($B153,Feature_List!$A:$AM,MATCH(CP$1,  Feature_List!$A$1:$AM$1,0),0)=AH153,".","NO"))</f>
        <v>.</v>
      </c>
      <c r="CQ153" s="136" t="str">
        <f>IF($D153&lt;&gt;"Feature",".",
IF(VLOOKUP($B153,Feature_List!$A:$AM,MATCH(CQ$1,  Feature_List!$A$1:$AM$1,0),0)=AI153,".","NO"))</f>
        <v>.</v>
      </c>
      <c r="CR153" s="136" t="str">
        <f>IF($D153&lt;&gt;"Feature",".",
IF(VLOOKUP($B153,Feature_List!$A:$AM,MATCH(CR$1,  Feature_List!$A$1:$AM$1,0),0)=AJ153,".","NO"))</f>
        <v>.</v>
      </c>
      <c r="CS153" s="136" t="str">
        <f>IF($D153&lt;&gt;"Feature",".",
IF(VLOOKUP($B153,Feature_List!$A:$AM,MATCH(CS$1,  Feature_List!$A$1:$AM$1,0),0)=AK153,".","NO"))</f>
        <v>.</v>
      </c>
      <c r="CT153" s="136" t="str">
        <f>IF($D153&lt;&gt;"Feature",".",
IF(VLOOKUP($B153,Feature_List!$A:$AM,MATCH(CT$1,  Feature_List!$A$1:$AM$1,0),0)=AL153,".","NO"))</f>
        <v>.</v>
      </c>
      <c r="CU153" s="136" t="str">
        <f>IF($D153&lt;&gt;"Feature",".",
IF(VLOOKUP($B153,Feature_List!$A:$AM,MATCH(CU$1,  Feature_List!$A$1:$AM$1,0),0)=AM153,".","NO"))</f>
        <v>.</v>
      </c>
      <c r="CV153" s="136" t="str">
        <f>IF($D153&lt;&gt;"Feature",".",
IF(VLOOKUP($B153,Feature_List!$A:$AM,MATCH(CV$1,  Feature_List!$A$1:$AM$1,0),0)=AN153,".","NO"))</f>
        <v>.</v>
      </c>
      <c r="CW153" s="136" t="str">
        <f>IF($D153&lt;&gt;"Feature",".",
IF(VLOOKUP($B153,Feature_List!$A:$AM,MATCH(CW$1,  Feature_List!$A$1:$AM$1,0),0)=AO153,".","NO"))</f>
        <v>.</v>
      </c>
      <c r="CX153" s="136" t="str">
        <f>IF($D153&lt;&gt;"Feature",".",
IF(VLOOKUP($B153,Feature_List!$A:$AM,MATCH(CX$1,  Feature_List!$A$1:$AM$1,0),0)=AP153,".","NO"))</f>
        <v>.</v>
      </c>
      <c r="CY153" s="136" t="str">
        <f>IF($D153&lt;&gt;"Feature",".",
IF(VLOOKUP($B153,Feature_List!$A:$AM,MATCH(CY$1,  Feature_List!$A$1:$AM$1,0),0)=AQ153,".","NO"))</f>
        <v>.</v>
      </c>
      <c r="CZ153" s="136" t="str">
        <f>IF($D153&lt;&gt;"Feature",".",
IF(VLOOKUP($B153,Feature_List!$A:$AM,MATCH(CZ$1,  Feature_List!$A$1:$AM$1,0),0)=AR153,".","NO"))</f>
        <v>.</v>
      </c>
      <c r="DA153" s="136" t="str">
        <f>IF($D153&lt;&gt;"Feature",".",
IF(VLOOKUP($B153,Feature_List!$A:$AM,MATCH(DA$1,  Feature_List!$A$1:$AM$1,0),0)=AS153,".","NO"))</f>
        <v>.</v>
      </c>
      <c r="DB153" s="136" t="str">
        <f>IF($D153&lt;&gt;"Feature",".",
IF(VLOOKUP($B153,Feature_List!$A:$AM,MATCH(DB$1,  Feature_List!$A$1:$AM$1,0),0)=AT153,".","NO"))</f>
        <v>.</v>
      </c>
      <c r="DC153" s="136" t="str">
        <f>IF($D153&lt;&gt;"Feature",".",
IF(VLOOKUP($B153,Feature_List!$A:$AM,MATCH(DC$1,  Feature_List!$A$1:$AM$1,0),0)=AU153,".","NO"))</f>
        <v>.</v>
      </c>
      <c r="DD153" s="136" t="str">
        <f>IF($D153&lt;&gt;"Feature",".",
IF(VLOOKUP($B153,Feature_List!$A:$AM,MATCH(DD$1,  Feature_List!$A$1:$AM$1,0),0)=AV153,".","NO"))</f>
        <v>.</v>
      </c>
      <c r="DE153" s="136" t="str">
        <f>IF($D153&lt;&gt;"Feature",".",
IF(VLOOKUP($B153,Feature_List!$A:$AM,MATCH(DE$1,  Feature_List!$A$1:$AM$1,0),0)=AW153,".","NO"))</f>
        <v>.</v>
      </c>
      <c r="DF153" s="136" t="str">
        <f>IF($D153&lt;&gt;"Feature",".",
IF(VLOOKUP($B153,Feature_List!$A:$AM,MATCH(DF$1,  Feature_List!$A$1:$AM$1,0),0)=AX153,".","NO"))</f>
        <v>.</v>
      </c>
      <c r="DG153" s="136" t="str">
        <f>IF($D153&lt;&gt;"Feature",".",
IF(VLOOKUP($B153,Feature_List!$A:$AM,MATCH(DG$1,  Feature_List!$A$1:$AM$1,0),0)=AY153,".","NO"))</f>
        <v>.</v>
      </c>
      <c r="DH153" s="136" t="str">
        <f>IF($D153&lt;&gt;"Feature",".",
IF(VLOOKUP($B153,Feature_List!$A:$AM,MATCH(DH$1,  Feature_List!$A$1:$AM$1,0),0)=AZ153,".","NO"))</f>
        <v>.</v>
      </c>
      <c r="DI153" s="136" t="str">
        <f>IF($D153&lt;&gt;"Feature",".",
IF(VLOOKUP($B153,Feature_List!$A:$AM,MATCH(DI$1,  Feature_List!$A$1:$AM$1,0),0)=BA153,".","NO"))</f>
        <v>.</v>
      </c>
      <c r="DJ153" s="136" t="str">
        <f>IF($D153&lt;&gt;"Feature",".",
IF(VLOOKUP($B153,Feature_List!$A:$AM,MATCH(DJ$1,  Feature_List!$A$1:$AM$1,0),0)=BB153,".","NO"))</f>
        <v>.</v>
      </c>
      <c r="DK153" s="136"/>
      <c r="DL153" s="136"/>
      <c r="DM153" s="136"/>
      <c r="DN153" s="136" t="str">
        <f>IF($D153&lt;&gt;"Feature",".",
IF(VLOOKUP($B153,Feature_List!$A:$AM,MATCH(DN$1,  Feature_List!$A$1:$AM$1,0),0)=BC153,".","NO"))</f>
        <v>.</v>
      </c>
      <c r="DO153" s="136" t="str">
        <f>IF($D153&lt;&gt;"Feature",".",
IF(VLOOKUP($B153,Feature_List!$A:$AM,MATCH(DO$1,  Feature_List!$A$1:$AM$1,0),0)=BD153,".","NO"))</f>
        <v>.</v>
      </c>
    </row>
    <row r="154" spans="2:119" x14ac:dyDescent="0.3">
      <c r="B154" s="121"/>
      <c r="C154" s="122"/>
      <c r="D154" s="122"/>
      <c r="E154" s="122"/>
      <c r="F154" s="138"/>
      <c r="G154" s="123"/>
      <c r="H154" s="122"/>
      <c r="I154" s="124"/>
      <c r="J154" s="138"/>
      <c r="K154" s="123"/>
      <c r="L154" s="122"/>
      <c r="M154" s="122"/>
      <c r="N154" s="125"/>
      <c r="O154" s="123">
        <f t="shared" si="75"/>
        <v>0</v>
      </c>
      <c r="P154" s="123">
        <f t="shared" si="76"/>
        <v>0</v>
      </c>
      <c r="Q154" s="122" t="str">
        <f t="shared" si="98"/>
        <v>ZeroEntry</v>
      </c>
      <c r="R154" s="126" t="str">
        <f t="shared" si="77"/>
        <v>ZeroEntry</v>
      </c>
      <c r="S154" s="127" t="str">
        <f t="shared" si="78"/>
        <v>ZeroEntry</v>
      </c>
      <c r="T154" s="128" t="str">
        <f>IF($Q154="ZeroEntry", "",VLOOKUP($I154,'Ranking Lookup'!#REF!,2,FALSE))</f>
        <v/>
      </c>
      <c r="U154" s="129" t="str">
        <f t="shared" si="79"/>
        <v/>
      </c>
      <c r="V154" s="129" t="str">
        <f t="shared" si="80"/>
        <v/>
      </c>
      <c r="W154" s="129" t="str">
        <f t="shared" si="81"/>
        <v/>
      </c>
      <c r="X154" s="129" t="str">
        <f t="shared" si="82"/>
        <v/>
      </c>
      <c r="Y154" s="129" t="str">
        <f t="shared" si="83"/>
        <v/>
      </c>
      <c r="Z154" s="129" t="str">
        <f t="shared" si="84"/>
        <v/>
      </c>
      <c r="AA154" s="130"/>
      <c r="AB154" s="130" t="str">
        <f t="shared" si="85"/>
        <v>Unassigned</v>
      </c>
      <c r="AC154" s="131" t="str">
        <f t="shared" si="99"/>
        <v/>
      </c>
      <c r="AD154" s="131" t="str">
        <f t="shared" si="100"/>
        <v/>
      </c>
      <c r="AE154" s="132">
        <f t="shared" si="86"/>
        <v>0</v>
      </c>
      <c r="AF154" s="133" t="str">
        <f t="shared" si="101"/>
        <v/>
      </c>
      <c r="AG154" s="134">
        <f t="shared" si="87"/>
        <v>0</v>
      </c>
      <c r="AH154" s="54" t="str">
        <f t="shared" si="88"/>
        <v/>
      </c>
      <c r="AI154" s="54" t="str">
        <f t="shared" si="104"/>
        <v/>
      </c>
      <c r="AJ154" s="54" t="str">
        <f t="shared" si="104"/>
        <v/>
      </c>
      <c r="AK154" s="54" t="str">
        <f t="shared" si="104"/>
        <v/>
      </c>
      <c r="AL154" s="54" t="str">
        <f t="shared" si="104"/>
        <v/>
      </c>
      <c r="AM154" s="54" t="str">
        <f t="shared" si="104"/>
        <v/>
      </c>
      <c r="AN154" s="54" t="str">
        <f t="shared" si="104"/>
        <v/>
      </c>
      <c r="AO154" s="54" t="str">
        <f t="shared" si="104"/>
        <v/>
      </c>
      <c r="AP154" s="54" t="str">
        <f t="shared" si="104"/>
        <v/>
      </c>
      <c r="AQ154" s="54" t="str">
        <f t="shared" si="104"/>
        <v/>
      </c>
      <c r="AR154" s="54" t="str">
        <f t="shared" si="104"/>
        <v/>
      </c>
      <c r="AS154" s="54" t="str">
        <f t="shared" si="104"/>
        <v/>
      </c>
      <c r="AT154" s="54" t="str">
        <f t="shared" si="104"/>
        <v/>
      </c>
      <c r="AU154" s="54" t="str">
        <f t="shared" si="104"/>
        <v/>
      </c>
      <c r="AV154" s="54" t="str">
        <f t="shared" si="104"/>
        <v/>
      </c>
      <c r="AW154" s="54" t="str">
        <f t="shared" si="104"/>
        <v/>
      </c>
      <c r="AX154" s="54" t="str">
        <f t="shared" si="104"/>
        <v/>
      </c>
      <c r="AY154" s="54" t="str">
        <f t="shared" si="90"/>
        <v/>
      </c>
      <c r="AZ154" s="54" t="str">
        <f t="shared" si="91"/>
        <v/>
      </c>
      <c r="BA154" s="54" t="str">
        <f t="shared" si="92"/>
        <v/>
      </c>
      <c r="BB154" s="135" t="str">
        <f t="shared" si="93"/>
        <v/>
      </c>
      <c r="BC154" s="54" t="str">
        <f t="shared" si="102"/>
        <v/>
      </c>
      <c r="BD154" s="54" t="str">
        <f t="shared" si="102"/>
        <v/>
      </c>
      <c r="BE154" s="54" t="str">
        <f t="shared" si="102"/>
        <v/>
      </c>
      <c r="BF154" s="54" t="str">
        <f t="shared" si="94"/>
        <v/>
      </c>
      <c r="BG154" s="54" t="str">
        <f t="shared" si="95"/>
        <v/>
      </c>
      <c r="BH154" s="34" t="str">
        <f t="shared" si="96"/>
        <v>Bad</v>
      </c>
      <c r="BI154" s="34" t="str">
        <f t="shared" si="97"/>
        <v>No</v>
      </c>
      <c r="BJ154" s="136" t="str">
        <f>IF($D154&lt;&gt;"Feature",".",
IF(VLOOKUP($B154,Feature_List!$A:$AM,MATCH(BJ$1,  Feature_List!$A$1:$AM$1,0),0)=B154,".","NO"))</f>
        <v>.</v>
      </c>
      <c r="BK154" s="136"/>
      <c r="BL154" s="136"/>
      <c r="BM154" s="136" t="str">
        <f>IF($D154&lt;&gt;"Feature",".",
IF(VLOOKUP($B154,Feature_List!$A:$AM,MATCH(BM$1,  Feature_List!$A$1:$AM$1,0),0)=E154,".","NO"))</f>
        <v>.</v>
      </c>
      <c r="BN154" s="136" t="str">
        <f>IF($D154&lt;&gt;"Feature",".",
IF(VLOOKUP($B154,Feature_List!$A:$AM,MATCH(BN$1,  Feature_List!$A$1:$AM$1,0),0)=F154,".","NO"))</f>
        <v>.</v>
      </c>
      <c r="BO154" s="136" t="str">
        <f>IF($D154&lt;&gt;"Feature",".",
IF(VLOOKUP($B154,Feature_List!$A:$AM,MATCH(BO$1,  Feature_List!$A$1:$AM$1,0),0)=G154,".","NO"))</f>
        <v>.</v>
      </c>
      <c r="BP154" s="136" t="str">
        <f>IF($D154&lt;&gt;"Feature",".",
IF(VLOOKUP($B154,Feature_List!$A:$AM,MATCH(BP$1,  Feature_List!$A$1:$AM$1,0),0)=H154,".","NO"))</f>
        <v>.</v>
      </c>
      <c r="BQ154" s="136"/>
      <c r="BR154" s="136" t="str">
        <f>IF($D154&lt;&gt;"Feature",".",
IF(VLOOKUP($B154,Feature_List!$A:$AM,MATCH(BR$1,  Feature_List!$A$1:$AM$1,0),0)=J154,".","NO"))</f>
        <v>.</v>
      </c>
      <c r="BS154" s="136"/>
      <c r="BT154" s="136"/>
      <c r="BU154" s="136" t="str">
        <f>IF($D154&lt;&gt;"Feature",".",
IF(VLOOKUP($B154,Feature_List!$A:$AM,MATCH(BU$1,  Feature_List!$A$1:$AM$1,0),0)=M154,".","NO"))</f>
        <v>.</v>
      </c>
      <c r="BV154" s="136" t="str">
        <f>IF($D154&lt;&gt;"Feature",".",
IF(VLOOKUP($B154,Feature_List!$A:$AM,MATCH(BV$1,  Feature_List!$A$1:$AM$1,0),0)=N154,".","NO"))</f>
        <v>.</v>
      </c>
      <c r="BW154" s="136"/>
      <c r="BX154" s="136"/>
      <c r="BY154" s="136"/>
      <c r="BZ154" s="136"/>
      <c r="CA154" s="136"/>
      <c r="CB154" s="136" t="str">
        <f>IF($D154&lt;&gt;"Feature",".",
IF(VLOOKUP($B154,Feature_List!$A:$AM,MATCH(CB$1,  Feature_List!$A$1:$AM$1,0),0)=T154,".","NO"))</f>
        <v>.</v>
      </c>
      <c r="CC154" s="136"/>
      <c r="CD154" s="136"/>
      <c r="CE154" s="136"/>
      <c r="CF154" s="136"/>
      <c r="CG154" s="136"/>
      <c r="CH154" s="136"/>
      <c r="CI154" s="136"/>
      <c r="CJ154" s="136"/>
      <c r="CK154" s="136"/>
      <c r="CL154" s="136"/>
      <c r="CM154" s="136"/>
      <c r="CN154" s="136"/>
      <c r="CO154" s="136" t="str">
        <f>IF($D154&lt;&gt;"Feature",".",
IF(VLOOKUP($B154,Feature_List!$A:$AM,MATCH(CO$1,  Feature_List!$A$1:$AM$1,0),0)=AG154,".","NO"))</f>
        <v>.</v>
      </c>
      <c r="CP154" s="136" t="str">
        <f>IF($D154&lt;&gt;"Feature",".",
IF(VLOOKUP($B154,Feature_List!$A:$AM,MATCH(CP$1,  Feature_List!$A$1:$AM$1,0),0)=AH154,".","NO"))</f>
        <v>.</v>
      </c>
      <c r="CQ154" s="136" t="str">
        <f>IF($D154&lt;&gt;"Feature",".",
IF(VLOOKUP($B154,Feature_List!$A:$AM,MATCH(CQ$1,  Feature_List!$A$1:$AM$1,0),0)=AI154,".","NO"))</f>
        <v>.</v>
      </c>
      <c r="CR154" s="136" t="str">
        <f>IF($D154&lt;&gt;"Feature",".",
IF(VLOOKUP($B154,Feature_List!$A:$AM,MATCH(CR$1,  Feature_List!$A$1:$AM$1,0),0)=AJ154,".","NO"))</f>
        <v>.</v>
      </c>
      <c r="CS154" s="136" t="str">
        <f>IF($D154&lt;&gt;"Feature",".",
IF(VLOOKUP($B154,Feature_List!$A:$AM,MATCH(CS$1,  Feature_List!$A$1:$AM$1,0),0)=AK154,".","NO"))</f>
        <v>.</v>
      </c>
      <c r="CT154" s="136" t="str">
        <f>IF($D154&lt;&gt;"Feature",".",
IF(VLOOKUP($B154,Feature_List!$A:$AM,MATCH(CT$1,  Feature_List!$A$1:$AM$1,0),0)=AL154,".","NO"))</f>
        <v>.</v>
      </c>
      <c r="CU154" s="136" t="str">
        <f>IF($D154&lt;&gt;"Feature",".",
IF(VLOOKUP($B154,Feature_List!$A:$AM,MATCH(CU$1,  Feature_List!$A$1:$AM$1,0),0)=AM154,".","NO"))</f>
        <v>.</v>
      </c>
      <c r="CV154" s="136" t="str">
        <f>IF($D154&lt;&gt;"Feature",".",
IF(VLOOKUP($B154,Feature_List!$A:$AM,MATCH(CV$1,  Feature_List!$A$1:$AM$1,0),0)=AN154,".","NO"))</f>
        <v>.</v>
      </c>
      <c r="CW154" s="136" t="str">
        <f>IF($D154&lt;&gt;"Feature",".",
IF(VLOOKUP($B154,Feature_List!$A:$AM,MATCH(CW$1,  Feature_List!$A$1:$AM$1,0),0)=AO154,".","NO"))</f>
        <v>.</v>
      </c>
      <c r="CX154" s="136" t="str">
        <f>IF($D154&lt;&gt;"Feature",".",
IF(VLOOKUP($B154,Feature_List!$A:$AM,MATCH(CX$1,  Feature_List!$A$1:$AM$1,0),0)=AP154,".","NO"))</f>
        <v>.</v>
      </c>
      <c r="CY154" s="136" t="str">
        <f>IF($D154&lt;&gt;"Feature",".",
IF(VLOOKUP($B154,Feature_List!$A:$AM,MATCH(CY$1,  Feature_List!$A$1:$AM$1,0),0)=AQ154,".","NO"))</f>
        <v>.</v>
      </c>
      <c r="CZ154" s="136" t="str">
        <f>IF($D154&lt;&gt;"Feature",".",
IF(VLOOKUP($B154,Feature_List!$A:$AM,MATCH(CZ$1,  Feature_List!$A$1:$AM$1,0),0)=AR154,".","NO"))</f>
        <v>.</v>
      </c>
      <c r="DA154" s="136" t="str">
        <f>IF($D154&lt;&gt;"Feature",".",
IF(VLOOKUP($B154,Feature_List!$A:$AM,MATCH(DA$1,  Feature_List!$A$1:$AM$1,0),0)=AS154,".","NO"))</f>
        <v>.</v>
      </c>
      <c r="DB154" s="136" t="str">
        <f>IF($D154&lt;&gt;"Feature",".",
IF(VLOOKUP($B154,Feature_List!$A:$AM,MATCH(DB$1,  Feature_List!$A$1:$AM$1,0),0)=AT154,".","NO"))</f>
        <v>.</v>
      </c>
      <c r="DC154" s="136" t="str">
        <f>IF($D154&lt;&gt;"Feature",".",
IF(VLOOKUP($B154,Feature_List!$A:$AM,MATCH(DC$1,  Feature_List!$A$1:$AM$1,0),0)=AU154,".","NO"))</f>
        <v>.</v>
      </c>
      <c r="DD154" s="136" t="str">
        <f>IF($D154&lt;&gt;"Feature",".",
IF(VLOOKUP($B154,Feature_List!$A:$AM,MATCH(DD$1,  Feature_List!$A$1:$AM$1,0),0)=AV154,".","NO"))</f>
        <v>.</v>
      </c>
      <c r="DE154" s="136" t="str">
        <f>IF($D154&lt;&gt;"Feature",".",
IF(VLOOKUP($B154,Feature_List!$A:$AM,MATCH(DE$1,  Feature_List!$A$1:$AM$1,0),0)=AW154,".","NO"))</f>
        <v>.</v>
      </c>
      <c r="DF154" s="136" t="str">
        <f>IF($D154&lt;&gt;"Feature",".",
IF(VLOOKUP($B154,Feature_List!$A:$AM,MATCH(DF$1,  Feature_List!$A$1:$AM$1,0),0)=AX154,".","NO"))</f>
        <v>.</v>
      </c>
      <c r="DG154" s="136" t="str">
        <f>IF($D154&lt;&gt;"Feature",".",
IF(VLOOKUP($B154,Feature_List!$A:$AM,MATCH(DG$1,  Feature_List!$A$1:$AM$1,0),0)=AY154,".","NO"))</f>
        <v>.</v>
      </c>
      <c r="DH154" s="136" t="str">
        <f>IF($D154&lt;&gt;"Feature",".",
IF(VLOOKUP($B154,Feature_List!$A:$AM,MATCH(DH$1,  Feature_List!$A$1:$AM$1,0),0)=AZ154,".","NO"))</f>
        <v>.</v>
      </c>
      <c r="DI154" s="136" t="str">
        <f>IF($D154&lt;&gt;"Feature",".",
IF(VLOOKUP($B154,Feature_List!$A:$AM,MATCH(DI$1,  Feature_List!$A$1:$AM$1,0),0)=BA154,".","NO"))</f>
        <v>.</v>
      </c>
      <c r="DJ154" s="136" t="str">
        <f>IF($D154&lt;&gt;"Feature",".",
IF(VLOOKUP($B154,Feature_List!$A:$AM,MATCH(DJ$1,  Feature_List!$A$1:$AM$1,0),0)=BB154,".","NO"))</f>
        <v>.</v>
      </c>
      <c r="DK154" s="136"/>
      <c r="DL154" s="136"/>
      <c r="DM154" s="136"/>
      <c r="DN154" s="136" t="str">
        <f>IF($D154&lt;&gt;"Feature",".",
IF(VLOOKUP($B154,Feature_List!$A:$AM,MATCH(DN$1,  Feature_List!$A$1:$AM$1,0),0)=BC154,".","NO"))</f>
        <v>.</v>
      </c>
      <c r="DO154" s="136" t="str">
        <f>IF($D154&lt;&gt;"Feature",".",
IF(VLOOKUP($B154,Feature_List!$A:$AM,MATCH(DO$1,  Feature_List!$A$1:$AM$1,0),0)=BD154,".","NO"))</f>
        <v>.</v>
      </c>
    </row>
    <row r="155" spans="2:119" x14ac:dyDescent="0.3">
      <c r="B155" s="121"/>
      <c r="C155" s="122"/>
      <c r="D155" s="122"/>
      <c r="E155" s="122"/>
      <c r="F155" s="138"/>
      <c r="G155" s="123"/>
      <c r="H155" s="122"/>
      <c r="I155" s="124"/>
      <c r="J155" s="138"/>
      <c r="K155" s="123"/>
      <c r="L155" s="122"/>
      <c r="M155" s="122"/>
      <c r="N155" s="125"/>
      <c r="O155" s="123">
        <f t="shared" si="75"/>
        <v>0</v>
      </c>
      <c r="P155" s="123">
        <f t="shared" si="76"/>
        <v>0</v>
      </c>
      <c r="Q155" s="122" t="str">
        <f t="shared" si="98"/>
        <v>ZeroEntry</v>
      </c>
      <c r="R155" s="126" t="str">
        <f t="shared" si="77"/>
        <v>ZeroEntry</v>
      </c>
      <c r="S155" s="127" t="str">
        <f t="shared" si="78"/>
        <v>ZeroEntry</v>
      </c>
      <c r="T155" s="128" t="str">
        <f>IF($Q155="ZeroEntry", "",VLOOKUP($I155,'Ranking Lookup'!#REF!,2,FALSE))</f>
        <v/>
      </c>
      <c r="U155" s="129" t="str">
        <f t="shared" si="79"/>
        <v/>
      </c>
      <c r="V155" s="129" t="str">
        <f t="shared" si="80"/>
        <v/>
      </c>
      <c r="W155" s="129" t="str">
        <f t="shared" si="81"/>
        <v/>
      </c>
      <c r="X155" s="129" t="str">
        <f t="shared" si="82"/>
        <v/>
      </c>
      <c r="Y155" s="129" t="str">
        <f t="shared" si="83"/>
        <v/>
      </c>
      <c r="Z155" s="129" t="str">
        <f t="shared" si="84"/>
        <v/>
      </c>
      <c r="AA155" s="130"/>
      <c r="AB155" s="130" t="str">
        <f t="shared" si="85"/>
        <v>Unassigned</v>
      </c>
      <c r="AC155" s="131" t="str">
        <f t="shared" si="99"/>
        <v/>
      </c>
      <c r="AD155" s="131" t="str">
        <f t="shared" si="100"/>
        <v/>
      </c>
      <c r="AE155" s="132">
        <f t="shared" si="86"/>
        <v>0</v>
      </c>
      <c r="AF155" s="133" t="str">
        <f t="shared" si="101"/>
        <v/>
      </c>
      <c r="AG155" s="134">
        <f t="shared" si="87"/>
        <v>0</v>
      </c>
      <c r="AH155" s="54" t="str">
        <f t="shared" si="88"/>
        <v/>
      </c>
      <c r="AI155" s="54" t="str">
        <f t="shared" si="104"/>
        <v/>
      </c>
      <c r="AJ155" s="54" t="str">
        <f t="shared" si="104"/>
        <v/>
      </c>
      <c r="AK155" s="54" t="str">
        <f t="shared" si="104"/>
        <v/>
      </c>
      <c r="AL155" s="54" t="str">
        <f t="shared" si="104"/>
        <v/>
      </c>
      <c r="AM155" s="54" t="str">
        <f t="shared" si="104"/>
        <v/>
      </c>
      <c r="AN155" s="54" t="str">
        <f t="shared" si="104"/>
        <v/>
      </c>
      <c r="AO155" s="54" t="str">
        <f t="shared" si="104"/>
        <v/>
      </c>
      <c r="AP155" s="54" t="str">
        <f t="shared" si="104"/>
        <v/>
      </c>
      <c r="AQ155" s="54" t="str">
        <f t="shared" si="104"/>
        <v/>
      </c>
      <c r="AR155" s="54" t="str">
        <f t="shared" si="104"/>
        <v/>
      </c>
      <c r="AS155" s="54" t="str">
        <f t="shared" si="104"/>
        <v/>
      </c>
      <c r="AT155" s="54" t="str">
        <f t="shared" si="104"/>
        <v/>
      </c>
      <c r="AU155" s="54" t="str">
        <f t="shared" si="104"/>
        <v/>
      </c>
      <c r="AV155" s="54" t="str">
        <f t="shared" si="104"/>
        <v/>
      </c>
      <c r="AW155" s="54" t="str">
        <f t="shared" si="104"/>
        <v/>
      </c>
      <c r="AX155" s="54" t="str">
        <f t="shared" si="104"/>
        <v/>
      </c>
      <c r="AY155" s="54" t="str">
        <f t="shared" si="90"/>
        <v/>
      </c>
      <c r="AZ155" s="54" t="str">
        <f t="shared" si="91"/>
        <v/>
      </c>
      <c r="BA155" s="54" t="str">
        <f t="shared" si="92"/>
        <v/>
      </c>
      <c r="BB155" s="135" t="str">
        <f t="shared" si="93"/>
        <v/>
      </c>
      <c r="BC155" s="54" t="str">
        <f t="shared" si="102"/>
        <v/>
      </c>
      <c r="BD155" s="54" t="str">
        <f t="shared" si="102"/>
        <v/>
      </c>
      <c r="BE155" s="54" t="str">
        <f t="shared" si="102"/>
        <v/>
      </c>
      <c r="BF155" s="54" t="str">
        <f t="shared" si="94"/>
        <v/>
      </c>
      <c r="BG155" s="54" t="str">
        <f t="shared" si="95"/>
        <v/>
      </c>
      <c r="BH155" s="34" t="str">
        <f t="shared" si="96"/>
        <v>Bad</v>
      </c>
      <c r="BI155" s="34" t="str">
        <f t="shared" si="97"/>
        <v>No</v>
      </c>
      <c r="BJ155" s="136" t="str">
        <f>IF($D155&lt;&gt;"Feature",".",
IF(VLOOKUP($B155,Feature_List!$A:$AM,MATCH(BJ$1,  Feature_List!$A$1:$AM$1,0),0)=B155,".","NO"))</f>
        <v>.</v>
      </c>
      <c r="BK155" s="136"/>
      <c r="BL155" s="136"/>
      <c r="BM155" s="136" t="str">
        <f>IF($D155&lt;&gt;"Feature",".",
IF(VLOOKUP($B155,Feature_List!$A:$AM,MATCH(BM$1,  Feature_List!$A$1:$AM$1,0),0)=E155,".","NO"))</f>
        <v>.</v>
      </c>
      <c r="BN155" s="136" t="str">
        <f>IF($D155&lt;&gt;"Feature",".",
IF(VLOOKUP($B155,Feature_List!$A:$AM,MATCH(BN$1,  Feature_List!$A$1:$AM$1,0),0)=F155,".","NO"))</f>
        <v>.</v>
      </c>
      <c r="BO155" s="136" t="str">
        <f>IF($D155&lt;&gt;"Feature",".",
IF(VLOOKUP($B155,Feature_List!$A:$AM,MATCH(BO$1,  Feature_List!$A$1:$AM$1,0),0)=G155,".","NO"))</f>
        <v>.</v>
      </c>
      <c r="BP155" s="136" t="str">
        <f>IF($D155&lt;&gt;"Feature",".",
IF(VLOOKUP($B155,Feature_List!$A:$AM,MATCH(BP$1,  Feature_List!$A$1:$AM$1,0),0)=H155,".","NO"))</f>
        <v>.</v>
      </c>
      <c r="BQ155" s="136"/>
      <c r="BR155" s="136" t="str">
        <f>IF($D155&lt;&gt;"Feature",".",
IF(VLOOKUP($B155,Feature_List!$A:$AM,MATCH(BR$1,  Feature_List!$A$1:$AM$1,0),0)=J155,".","NO"))</f>
        <v>.</v>
      </c>
      <c r="BS155" s="136"/>
      <c r="BT155" s="136"/>
      <c r="BU155" s="136" t="str">
        <f>IF($D155&lt;&gt;"Feature",".",
IF(VLOOKUP($B155,Feature_List!$A:$AM,MATCH(BU$1,  Feature_List!$A$1:$AM$1,0),0)=M155,".","NO"))</f>
        <v>.</v>
      </c>
      <c r="BV155" s="136" t="str">
        <f>IF($D155&lt;&gt;"Feature",".",
IF(VLOOKUP($B155,Feature_List!$A:$AM,MATCH(BV$1,  Feature_List!$A$1:$AM$1,0),0)=N155,".","NO"))</f>
        <v>.</v>
      </c>
      <c r="BW155" s="136"/>
      <c r="BX155" s="136"/>
      <c r="BY155" s="136"/>
      <c r="BZ155" s="136"/>
      <c r="CA155" s="136"/>
      <c r="CB155" s="136" t="str">
        <f>IF($D155&lt;&gt;"Feature",".",
IF(VLOOKUP($B155,Feature_List!$A:$AM,MATCH(CB$1,  Feature_List!$A$1:$AM$1,0),0)=T155,".","NO"))</f>
        <v>.</v>
      </c>
      <c r="CC155" s="136"/>
      <c r="CD155" s="136"/>
      <c r="CE155" s="136"/>
      <c r="CF155" s="136"/>
      <c r="CG155" s="136"/>
      <c r="CH155" s="136"/>
      <c r="CI155" s="136"/>
      <c r="CJ155" s="136"/>
      <c r="CK155" s="136"/>
      <c r="CL155" s="136"/>
      <c r="CM155" s="136"/>
      <c r="CN155" s="136"/>
      <c r="CO155" s="136" t="str">
        <f>IF($D155&lt;&gt;"Feature",".",
IF(VLOOKUP($B155,Feature_List!$A:$AM,MATCH(CO$1,  Feature_List!$A$1:$AM$1,0),0)=AG155,".","NO"))</f>
        <v>.</v>
      </c>
      <c r="CP155" s="136" t="str">
        <f>IF($D155&lt;&gt;"Feature",".",
IF(VLOOKUP($B155,Feature_List!$A:$AM,MATCH(CP$1,  Feature_List!$A$1:$AM$1,0),0)=AH155,".","NO"))</f>
        <v>.</v>
      </c>
      <c r="CQ155" s="136" t="str">
        <f>IF($D155&lt;&gt;"Feature",".",
IF(VLOOKUP($B155,Feature_List!$A:$AM,MATCH(CQ$1,  Feature_List!$A$1:$AM$1,0),0)=AI155,".","NO"))</f>
        <v>.</v>
      </c>
      <c r="CR155" s="136" t="str">
        <f>IF($D155&lt;&gt;"Feature",".",
IF(VLOOKUP($B155,Feature_List!$A:$AM,MATCH(CR$1,  Feature_List!$A$1:$AM$1,0),0)=AJ155,".","NO"))</f>
        <v>.</v>
      </c>
      <c r="CS155" s="136" t="str">
        <f>IF($D155&lt;&gt;"Feature",".",
IF(VLOOKUP($B155,Feature_List!$A:$AM,MATCH(CS$1,  Feature_List!$A$1:$AM$1,0),0)=AK155,".","NO"))</f>
        <v>.</v>
      </c>
      <c r="CT155" s="136" t="str">
        <f>IF($D155&lt;&gt;"Feature",".",
IF(VLOOKUP($B155,Feature_List!$A:$AM,MATCH(CT$1,  Feature_List!$A$1:$AM$1,0),0)=AL155,".","NO"))</f>
        <v>.</v>
      </c>
      <c r="CU155" s="136" t="str">
        <f>IF($D155&lt;&gt;"Feature",".",
IF(VLOOKUP($B155,Feature_List!$A:$AM,MATCH(CU$1,  Feature_List!$A$1:$AM$1,0),0)=AM155,".","NO"))</f>
        <v>.</v>
      </c>
      <c r="CV155" s="136" t="str">
        <f>IF($D155&lt;&gt;"Feature",".",
IF(VLOOKUP($B155,Feature_List!$A:$AM,MATCH(CV$1,  Feature_List!$A$1:$AM$1,0),0)=AN155,".","NO"))</f>
        <v>.</v>
      </c>
      <c r="CW155" s="136" t="str">
        <f>IF($D155&lt;&gt;"Feature",".",
IF(VLOOKUP($B155,Feature_List!$A:$AM,MATCH(CW$1,  Feature_List!$A$1:$AM$1,0),0)=AO155,".","NO"))</f>
        <v>.</v>
      </c>
      <c r="CX155" s="136" t="str">
        <f>IF($D155&lt;&gt;"Feature",".",
IF(VLOOKUP($B155,Feature_List!$A:$AM,MATCH(CX$1,  Feature_List!$A$1:$AM$1,0),0)=AP155,".","NO"))</f>
        <v>.</v>
      </c>
      <c r="CY155" s="136" t="str">
        <f>IF($D155&lt;&gt;"Feature",".",
IF(VLOOKUP($B155,Feature_List!$A:$AM,MATCH(CY$1,  Feature_List!$A$1:$AM$1,0),0)=AQ155,".","NO"))</f>
        <v>.</v>
      </c>
      <c r="CZ155" s="136" t="str">
        <f>IF($D155&lt;&gt;"Feature",".",
IF(VLOOKUP($B155,Feature_List!$A:$AM,MATCH(CZ$1,  Feature_List!$A$1:$AM$1,0),0)=AR155,".","NO"))</f>
        <v>.</v>
      </c>
      <c r="DA155" s="136" t="str">
        <f>IF($D155&lt;&gt;"Feature",".",
IF(VLOOKUP($B155,Feature_List!$A:$AM,MATCH(DA$1,  Feature_List!$A$1:$AM$1,0),0)=AS155,".","NO"))</f>
        <v>.</v>
      </c>
      <c r="DB155" s="136" t="str">
        <f>IF($D155&lt;&gt;"Feature",".",
IF(VLOOKUP($B155,Feature_List!$A:$AM,MATCH(DB$1,  Feature_List!$A$1:$AM$1,0),0)=AT155,".","NO"))</f>
        <v>.</v>
      </c>
      <c r="DC155" s="136" t="str">
        <f>IF($D155&lt;&gt;"Feature",".",
IF(VLOOKUP($B155,Feature_List!$A:$AM,MATCH(DC$1,  Feature_List!$A$1:$AM$1,0),0)=AU155,".","NO"))</f>
        <v>.</v>
      </c>
      <c r="DD155" s="136" t="str">
        <f>IF($D155&lt;&gt;"Feature",".",
IF(VLOOKUP($B155,Feature_List!$A:$AM,MATCH(DD$1,  Feature_List!$A$1:$AM$1,0),0)=AV155,".","NO"))</f>
        <v>.</v>
      </c>
      <c r="DE155" s="136" t="str">
        <f>IF($D155&lt;&gt;"Feature",".",
IF(VLOOKUP($B155,Feature_List!$A:$AM,MATCH(DE$1,  Feature_List!$A$1:$AM$1,0),0)=AW155,".","NO"))</f>
        <v>.</v>
      </c>
      <c r="DF155" s="136" t="str">
        <f>IF($D155&lt;&gt;"Feature",".",
IF(VLOOKUP($B155,Feature_List!$A:$AM,MATCH(DF$1,  Feature_List!$A$1:$AM$1,0),0)=AX155,".","NO"))</f>
        <v>.</v>
      </c>
      <c r="DG155" s="136" t="str">
        <f>IF($D155&lt;&gt;"Feature",".",
IF(VLOOKUP($B155,Feature_List!$A:$AM,MATCH(DG$1,  Feature_List!$A$1:$AM$1,0),0)=AY155,".","NO"))</f>
        <v>.</v>
      </c>
      <c r="DH155" s="136" t="str">
        <f>IF($D155&lt;&gt;"Feature",".",
IF(VLOOKUP($B155,Feature_List!$A:$AM,MATCH(DH$1,  Feature_List!$A$1:$AM$1,0),0)=AZ155,".","NO"))</f>
        <v>.</v>
      </c>
      <c r="DI155" s="136" t="str">
        <f>IF($D155&lt;&gt;"Feature",".",
IF(VLOOKUP($B155,Feature_List!$A:$AM,MATCH(DI$1,  Feature_List!$A$1:$AM$1,0),0)=BA155,".","NO"))</f>
        <v>.</v>
      </c>
      <c r="DJ155" s="136" t="str">
        <f>IF($D155&lt;&gt;"Feature",".",
IF(VLOOKUP($B155,Feature_List!$A:$AM,MATCH(DJ$1,  Feature_List!$A$1:$AM$1,0),0)=BB155,".","NO"))</f>
        <v>.</v>
      </c>
      <c r="DK155" s="136"/>
      <c r="DL155" s="136"/>
      <c r="DM155" s="136"/>
      <c r="DN155" s="136" t="str">
        <f>IF($D155&lt;&gt;"Feature",".",
IF(VLOOKUP($B155,Feature_List!$A:$AM,MATCH(DN$1,  Feature_List!$A$1:$AM$1,0),0)=BC155,".","NO"))</f>
        <v>.</v>
      </c>
      <c r="DO155" s="136" t="str">
        <f>IF($D155&lt;&gt;"Feature",".",
IF(VLOOKUP($B155,Feature_List!$A:$AM,MATCH(DO$1,  Feature_List!$A$1:$AM$1,0),0)=BD155,".","NO"))</f>
        <v>.</v>
      </c>
    </row>
    <row r="156" spans="2:119" x14ac:dyDescent="0.3">
      <c r="B156" s="121"/>
      <c r="C156" s="122"/>
      <c r="D156" s="122"/>
      <c r="E156" s="122"/>
      <c r="F156" s="138"/>
      <c r="G156" s="123"/>
      <c r="H156" s="122"/>
      <c r="I156" s="124"/>
      <c r="J156" s="138"/>
      <c r="K156" s="123"/>
      <c r="L156" s="122"/>
      <c r="M156" s="122"/>
      <c r="N156" s="125"/>
      <c r="O156" s="123">
        <f t="shared" si="75"/>
        <v>0</v>
      </c>
      <c r="P156" s="123">
        <f t="shared" si="76"/>
        <v>0</v>
      </c>
      <c r="Q156" s="122" t="str">
        <f t="shared" si="98"/>
        <v>ZeroEntry</v>
      </c>
      <c r="R156" s="126" t="str">
        <f t="shared" si="77"/>
        <v>ZeroEntry</v>
      </c>
      <c r="S156" s="127" t="str">
        <f t="shared" si="78"/>
        <v>ZeroEntry</v>
      </c>
      <c r="T156" s="128" t="str">
        <f>IF($Q156="ZeroEntry", "",VLOOKUP($I156,'Ranking Lookup'!#REF!,2,FALSE))</f>
        <v/>
      </c>
      <c r="U156" s="129" t="str">
        <f t="shared" si="79"/>
        <v/>
      </c>
      <c r="V156" s="129" t="str">
        <f t="shared" si="80"/>
        <v/>
      </c>
      <c r="W156" s="129" t="str">
        <f t="shared" si="81"/>
        <v/>
      </c>
      <c r="X156" s="129" t="str">
        <f t="shared" si="82"/>
        <v/>
      </c>
      <c r="Y156" s="129" t="str">
        <f t="shared" si="83"/>
        <v/>
      </c>
      <c r="Z156" s="129" t="str">
        <f t="shared" si="84"/>
        <v/>
      </c>
      <c r="AA156" s="130"/>
      <c r="AB156" s="130" t="str">
        <f t="shared" si="85"/>
        <v>Unassigned</v>
      </c>
      <c r="AC156" s="131" t="str">
        <f t="shared" si="99"/>
        <v/>
      </c>
      <c r="AD156" s="131" t="str">
        <f t="shared" si="100"/>
        <v/>
      </c>
      <c r="AE156" s="132">
        <f t="shared" si="86"/>
        <v>0</v>
      </c>
      <c r="AF156" s="133" t="str">
        <f t="shared" si="101"/>
        <v/>
      </c>
      <c r="AG156" s="134">
        <f t="shared" si="87"/>
        <v>0</v>
      </c>
      <c r="AH156" s="54" t="str">
        <f t="shared" si="88"/>
        <v/>
      </c>
      <c r="AI156" s="54" t="str">
        <f t="shared" si="104"/>
        <v/>
      </c>
      <c r="AJ156" s="54" t="str">
        <f t="shared" si="104"/>
        <v/>
      </c>
      <c r="AK156" s="54" t="str">
        <f t="shared" si="104"/>
        <v/>
      </c>
      <c r="AL156" s="54" t="str">
        <f t="shared" si="104"/>
        <v/>
      </c>
      <c r="AM156" s="54" t="str">
        <f t="shared" si="104"/>
        <v/>
      </c>
      <c r="AN156" s="54" t="str">
        <f t="shared" si="104"/>
        <v/>
      </c>
      <c r="AO156" s="54" t="str">
        <f t="shared" si="104"/>
        <v/>
      </c>
      <c r="AP156" s="54" t="str">
        <f t="shared" si="104"/>
        <v/>
      </c>
      <c r="AQ156" s="54" t="str">
        <f t="shared" si="104"/>
        <v/>
      </c>
      <c r="AR156" s="54" t="str">
        <f t="shared" si="104"/>
        <v/>
      </c>
      <c r="AS156" s="54" t="str">
        <f t="shared" si="104"/>
        <v/>
      </c>
      <c r="AT156" s="54" t="str">
        <f t="shared" si="104"/>
        <v/>
      </c>
      <c r="AU156" s="54" t="str">
        <f t="shared" si="104"/>
        <v/>
      </c>
      <c r="AV156" s="54" t="str">
        <f t="shared" si="104"/>
        <v/>
      </c>
      <c r="AW156" s="54" t="str">
        <f t="shared" si="104"/>
        <v/>
      </c>
      <c r="AX156" s="54" t="str">
        <f t="shared" si="104"/>
        <v/>
      </c>
      <c r="AY156" s="54" t="str">
        <f t="shared" si="90"/>
        <v/>
      </c>
      <c r="AZ156" s="54" t="str">
        <f t="shared" si="91"/>
        <v/>
      </c>
      <c r="BA156" s="54" t="str">
        <f t="shared" si="92"/>
        <v/>
      </c>
      <c r="BB156" s="135" t="str">
        <f t="shared" si="93"/>
        <v/>
      </c>
      <c r="BC156" s="54" t="str">
        <f t="shared" si="102"/>
        <v/>
      </c>
      <c r="BD156" s="54" t="str">
        <f t="shared" si="102"/>
        <v/>
      </c>
      <c r="BE156" s="54" t="str">
        <f t="shared" si="102"/>
        <v/>
      </c>
      <c r="BF156" s="54" t="str">
        <f t="shared" si="94"/>
        <v/>
      </c>
      <c r="BG156" s="54" t="str">
        <f t="shared" si="95"/>
        <v/>
      </c>
      <c r="BH156" s="34" t="str">
        <f t="shared" si="96"/>
        <v>Bad</v>
      </c>
      <c r="BI156" s="34" t="str">
        <f t="shared" si="97"/>
        <v>No</v>
      </c>
      <c r="BJ156" s="136" t="str">
        <f>IF($D156&lt;&gt;"Feature",".",
IF(VLOOKUP($B156,Feature_List!$A:$AM,MATCH(BJ$1,  Feature_List!$A$1:$AM$1,0),0)=B156,".","NO"))</f>
        <v>.</v>
      </c>
      <c r="BK156" s="136"/>
      <c r="BL156" s="136"/>
      <c r="BM156" s="136" t="str">
        <f>IF($D156&lt;&gt;"Feature",".",
IF(VLOOKUP($B156,Feature_List!$A:$AM,MATCH(BM$1,  Feature_List!$A$1:$AM$1,0),0)=E156,".","NO"))</f>
        <v>.</v>
      </c>
      <c r="BN156" s="136" t="str">
        <f>IF($D156&lt;&gt;"Feature",".",
IF(VLOOKUP($B156,Feature_List!$A:$AM,MATCH(BN$1,  Feature_List!$A$1:$AM$1,0),0)=F156,".","NO"))</f>
        <v>.</v>
      </c>
      <c r="BO156" s="136" t="str">
        <f>IF($D156&lt;&gt;"Feature",".",
IF(VLOOKUP($B156,Feature_List!$A:$AM,MATCH(BO$1,  Feature_List!$A$1:$AM$1,0),0)=G156,".","NO"))</f>
        <v>.</v>
      </c>
      <c r="BP156" s="136" t="str">
        <f>IF($D156&lt;&gt;"Feature",".",
IF(VLOOKUP($B156,Feature_List!$A:$AM,MATCH(BP$1,  Feature_List!$A$1:$AM$1,0),0)=H156,".","NO"))</f>
        <v>.</v>
      </c>
      <c r="BQ156" s="136"/>
      <c r="BR156" s="136" t="str">
        <f>IF($D156&lt;&gt;"Feature",".",
IF(VLOOKUP($B156,Feature_List!$A:$AM,MATCH(BR$1,  Feature_List!$A$1:$AM$1,0),0)=J156,".","NO"))</f>
        <v>.</v>
      </c>
      <c r="BS156" s="136"/>
      <c r="BT156" s="136"/>
      <c r="BU156" s="136" t="str">
        <f>IF($D156&lt;&gt;"Feature",".",
IF(VLOOKUP($B156,Feature_List!$A:$AM,MATCH(BU$1,  Feature_List!$A$1:$AM$1,0),0)=M156,".","NO"))</f>
        <v>.</v>
      </c>
      <c r="BV156" s="136" t="str">
        <f>IF($D156&lt;&gt;"Feature",".",
IF(VLOOKUP($B156,Feature_List!$A:$AM,MATCH(BV$1,  Feature_List!$A$1:$AM$1,0),0)=N156,".","NO"))</f>
        <v>.</v>
      </c>
      <c r="BW156" s="136"/>
      <c r="BX156" s="136"/>
      <c r="BY156" s="136"/>
      <c r="BZ156" s="136"/>
      <c r="CA156" s="136"/>
      <c r="CB156" s="136" t="str">
        <f>IF($D156&lt;&gt;"Feature",".",
IF(VLOOKUP($B156,Feature_List!$A:$AM,MATCH(CB$1,  Feature_List!$A$1:$AM$1,0),0)=T156,".","NO"))</f>
        <v>.</v>
      </c>
      <c r="CC156" s="136"/>
      <c r="CD156" s="136"/>
      <c r="CE156" s="136"/>
      <c r="CF156" s="136"/>
      <c r="CG156" s="136"/>
      <c r="CH156" s="136"/>
      <c r="CI156" s="136"/>
      <c r="CJ156" s="136"/>
      <c r="CK156" s="136"/>
      <c r="CL156" s="136"/>
      <c r="CM156" s="136"/>
      <c r="CN156" s="136"/>
      <c r="CO156" s="136" t="str">
        <f>IF($D156&lt;&gt;"Feature",".",
IF(VLOOKUP($B156,Feature_List!$A:$AM,MATCH(CO$1,  Feature_List!$A$1:$AM$1,0),0)=AG156,".","NO"))</f>
        <v>.</v>
      </c>
      <c r="CP156" s="136" t="str">
        <f>IF($D156&lt;&gt;"Feature",".",
IF(VLOOKUP($B156,Feature_List!$A:$AM,MATCH(CP$1,  Feature_List!$A$1:$AM$1,0),0)=AH156,".","NO"))</f>
        <v>.</v>
      </c>
      <c r="CQ156" s="136" t="str">
        <f>IF($D156&lt;&gt;"Feature",".",
IF(VLOOKUP($B156,Feature_List!$A:$AM,MATCH(CQ$1,  Feature_List!$A$1:$AM$1,0),0)=AI156,".","NO"))</f>
        <v>.</v>
      </c>
      <c r="CR156" s="136" t="str">
        <f>IF($D156&lt;&gt;"Feature",".",
IF(VLOOKUP($B156,Feature_List!$A:$AM,MATCH(CR$1,  Feature_List!$A$1:$AM$1,0),0)=AJ156,".","NO"))</f>
        <v>.</v>
      </c>
      <c r="CS156" s="136" t="str">
        <f>IF($D156&lt;&gt;"Feature",".",
IF(VLOOKUP($B156,Feature_List!$A:$AM,MATCH(CS$1,  Feature_List!$A$1:$AM$1,0),0)=AK156,".","NO"))</f>
        <v>.</v>
      </c>
      <c r="CT156" s="136" t="str">
        <f>IF($D156&lt;&gt;"Feature",".",
IF(VLOOKUP($B156,Feature_List!$A:$AM,MATCH(CT$1,  Feature_List!$A$1:$AM$1,0),0)=AL156,".","NO"))</f>
        <v>.</v>
      </c>
      <c r="CU156" s="136" t="str">
        <f>IF($D156&lt;&gt;"Feature",".",
IF(VLOOKUP($B156,Feature_List!$A:$AM,MATCH(CU$1,  Feature_List!$A$1:$AM$1,0),0)=AM156,".","NO"))</f>
        <v>.</v>
      </c>
      <c r="CV156" s="136" t="str">
        <f>IF($D156&lt;&gt;"Feature",".",
IF(VLOOKUP($B156,Feature_List!$A:$AM,MATCH(CV$1,  Feature_List!$A$1:$AM$1,0),0)=AN156,".","NO"))</f>
        <v>.</v>
      </c>
      <c r="CW156" s="136" t="str">
        <f>IF($D156&lt;&gt;"Feature",".",
IF(VLOOKUP($B156,Feature_List!$A:$AM,MATCH(CW$1,  Feature_List!$A$1:$AM$1,0),0)=AO156,".","NO"))</f>
        <v>.</v>
      </c>
      <c r="CX156" s="136" t="str">
        <f>IF($D156&lt;&gt;"Feature",".",
IF(VLOOKUP($B156,Feature_List!$A:$AM,MATCH(CX$1,  Feature_List!$A$1:$AM$1,0),0)=AP156,".","NO"))</f>
        <v>.</v>
      </c>
      <c r="CY156" s="136" t="str">
        <f>IF($D156&lt;&gt;"Feature",".",
IF(VLOOKUP($B156,Feature_List!$A:$AM,MATCH(CY$1,  Feature_List!$A$1:$AM$1,0),0)=AQ156,".","NO"))</f>
        <v>.</v>
      </c>
      <c r="CZ156" s="136" t="str">
        <f>IF($D156&lt;&gt;"Feature",".",
IF(VLOOKUP($B156,Feature_List!$A:$AM,MATCH(CZ$1,  Feature_List!$A$1:$AM$1,0),0)=AR156,".","NO"))</f>
        <v>.</v>
      </c>
      <c r="DA156" s="136" t="str">
        <f>IF($D156&lt;&gt;"Feature",".",
IF(VLOOKUP($B156,Feature_List!$A:$AM,MATCH(DA$1,  Feature_List!$A$1:$AM$1,0),0)=AS156,".","NO"))</f>
        <v>.</v>
      </c>
      <c r="DB156" s="136" t="str">
        <f>IF($D156&lt;&gt;"Feature",".",
IF(VLOOKUP($B156,Feature_List!$A:$AM,MATCH(DB$1,  Feature_List!$A$1:$AM$1,0),0)=AT156,".","NO"))</f>
        <v>.</v>
      </c>
      <c r="DC156" s="136" t="str">
        <f>IF($D156&lt;&gt;"Feature",".",
IF(VLOOKUP($B156,Feature_List!$A:$AM,MATCH(DC$1,  Feature_List!$A$1:$AM$1,0),0)=AU156,".","NO"))</f>
        <v>.</v>
      </c>
      <c r="DD156" s="136" t="str">
        <f>IF($D156&lt;&gt;"Feature",".",
IF(VLOOKUP($B156,Feature_List!$A:$AM,MATCH(DD$1,  Feature_List!$A$1:$AM$1,0),0)=AV156,".","NO"))</f>
        <v>.</v>
      </c>
      <c r="DE156" s="136" t="str">
        <f>IF($D156&lt;&gt;"Feature",".",
IF(VLOOKUP($B156,Feature_List!$A:$AM,MATCH(DE$1,  Feature_List!$A$1:$AM$1,0),0)=AW156,".","NO"))</f>
        <v>.</v>
      </c>
      <c r="DF156" s="136" t="str">
        <f>IF($D156&lt;&gt;"Feature",".",
IF(VLOOKUP($B156,Feature_List!$A:$AM,MATCH(DF$1,  Feature_List!$A$1:$AM$1,0),0)=AX156,".","NO"))</f>
        <v>.</v>
      </c>
      <c r="DG156" s="136" t="str">
        <f>IF($D156&lt;&gt;"Feature",".",
IF(VLOOKUP($B156,Feature_List!$A:$AM,MATCH(DG$1,  Feature_List!$A$1:$AM$1,0),0)=AY156,".","NO"))</f>
        <v>.</v>
      </c>
      <c r="DH156" s="136" t="str">
        <f>IF($D156&lt;&gt;"Feature",".",
IF(VLOOKUP($B156,Feature_List!$A:$AM,MATCH(DH$1,  Feature_List!$A$1:$AM$1,0),0)=AZ156,".","NO"))</f>
        <v>.</v>
      </c>
      <c r="DI156" s="136" t="str">
        <f>IF($D156&lt;&gt;"Feature",".",
IF(VLOOKUP($B156,Feature_List!$A:$AM,MATCH(DI$1,  Feature_List!$A$1:$AM$1,0),0)=BA156,".","NO"))</f>
        <v>.</v>
      </c>
      <c r="DJ156" s="136" t="str">
        <f>IF($D156&lt;&gt;"Feature",".",
IF(VLOOKUP($B156,Feature_List!$A:$AM,MATCH(DJ$1,  Feature_List!$A$1:$AM$1,0),0)=BB156,".","NO"))</f>
        <v>.</v>
      </c>
      <c r="DK156" s="136"/>
      <c r="DL156" s="136"/>
      <c r="DM156" s="136"/>
      <c r="DN156" s="136" t="str">
        <f>IF($D156&lt;&gt;"Feature",".",
IF(VLOOKUP($B156,Feature_List!$A:$AM,MATCH(DN$1,  Feature_List!$A$1:$AM$1,0),0)=BC156,".","NO"))</f>
        <v>.</v>
      </c>
      <c r="DO156" s="136" t="str">
        <f>IF($D156&lt;&gt;"Feature",".",
IF(VLOOKUP($B156,Feature_List!$A:$AM,MATCH(DO$1,  Feature_List!$A$1:$AM$1,0),0)=BD156,".","NO"))</f>
        <v>.</v>
      </c>
    </row>
    <row r="157" spans="2:119" x14ac:dyDescent="0.3">
      <c r="B157" s="121"/>
      <c r="C157" s="122"/>
      <c r="D157" s="122"/>
      <c r="E157" s="122"/>
      <c r="F157" s="138"/>
      <c r="G157" s="123"/>
      <c r="H157" s="122"/>
      <c r="I157" s="124"/>
      <c r="J157" s="138"/>
      <c r="K157" s="123"/>
      <c r="L157" s="122"/>
      <c r="M157" s="122"/>
      <c r="N157" s="125"/>
      <c r="O157" s="123">
        <f t="shared" si="75"/>
        <v>0</v>
      </c>
      <c r="P157" s="123">
        <f t="shared" si="76"/>
        <v>0</v>
      </c>
      <c r="Q157" s="122" t="str">
        <f t="shared" si="98"/>
        <v>ZeroEntry</v>
      </c>
      <c r="R157" s="126" t="str">
        <f t="shared" si="77"/>
        <v>ZeroEntry</v>
      </c>
      <c r="S157" s="127" t="str">
        <f t="shared" si="78"/>
        <v>ZeroEntry</v>
      </c>
      <c r="T157" s="128" t="str">
        <f>IF($Q157="ZeroEntry", "",VLOOKUP($I157,'Ranking Lookup'!#REF!,2,FALSE))</f>
        <v/>
      </c>
      <c r="U157" s="129" t="str">
        <f t="shared" si="79"/>
        <v/>
      </c>
      <c r="V157" s="129" t="str">
        <f t="shared" si="80"/>
        <v/>
      </c>
      <c r="W157" s="129" t="str">
        <f t="shared" si="81"/>
        <v/>
      </c>
      <c r="X157" s="129" t="str">
        <f t="shared" si="82"/>
        <v/>
      </c>
      <c r="Y157" s="129" t="str">
        <f t="shared" si="83"/>
        <v/>
      </c>
      <c r="Z157" s="129" t="str">
        <f t="shared" si="84"/>
        <v/>
      </c>
      <c r="AA157" s="130"/>
      <c r="AB157" s="130" t="str">
        <f t="shared" si="85"/>
        <v>Unassigned</v>
      </c>
      <c r="AC157" s="131" t="str">
        <f t="shared" si="99"/>
        <v/>
      </c>
      <c r="AD157" s="131" t="str">
        <f t="shared" si="100"/>
        <v/>
      </c>
      <c r="AE157" s="132">
        <f t="shared" si="86"/>
        <v>0</v>
      </c>
      <c r="AF157" s="133" t="str">
        <f t="shared" si="101"/>
        <v/>
      </c>
      <c r="AG157" s="134">
        <f t="shared" si="87"/>
        <v>0</v>
      </c>
      <c r="AH157" s="54" t="str">
        <f t="shared" si="88"/>
        <v/>
      </c>
      <c r="AI157" s="54" t="str">
        <f t="shared" si="104"/>
        <v/>
      </c>
      <c r="AJ157" s="54" t="str">
        <f t="shared" si="104"/>
        <v/>
      </c>
      <c r="AK157" s="54" t="str">
        <f t="shared" si="104"/>
        <v/>
      </c>
      <c r="AL157" s="54" t="str">
        <f t="shared" si="104"/>
        <v/>
      </c>
      <c r="AM157" s="54" t="str">
        <f t="shared" si="104"/>
        <v/>
      </c>
      <c r="AN157" s="54" t="str">
        <f t="shared" si="104"/>
        <v/>
      </c>
      <c r="AO157" s="54" t="str">
        <f t="shared" si="104"/>
        <v/>
      </c>
      <c r="AP157" s="54" t="str">
        <f t="shared" si="104"/>
        <v/>
      </c>
      <c r="AQ157" s="54" t="str">
        <f t="shared" si="104"/>
        <v/>
      </c>
      <c r="AR157" s="54" t="str">
        <f t="shared" si="104"/>
        <v/>
      </c>
      <c r="AS157" s="54" t="str">
        <f t="shared" si="104"/>
        <v/>
      </c>
      <c r="AT157" s="54" t="str">
        <f t="shared" si="104"/>
        <v/>
      </c>
      <c r="AU157" s="54" t="str">
        <f t="shared" si="104"/>
        <v/>
      </c>
      <c r="AV157" s="54" t="str">
        <f t="shared" si="104"/>
        <v/>
      </c>
      <c r="AW157" s="54" t="str">
        <f t="shared" si="104"/>
        <v/>
      </c>
      <c r="AX157" s="54" t="str">
        <f t="shared" si="104"/>
        <v/>
      </c>
      <c r="AY157" s="54" t="str">
        <f t="shared" si="90"/>
        <v/>
      </c>
      <c r="AZ157" s="54" t="str">
        <f t="shared" si="91"/>
        <v/>
      </c>
      <c r="BA157" s="54" t="str">
        <f t="shared" si="92"/>
        <v/>
      </c>
      <c r="BB157" s="135" t="str">
        <f t="shared" si="93"/>
        <v/>
      </c>
      <c r="BC157" s="54" t="str">
        <f t="shared" si="102"/>
        <v/>
      </c>
      <c r="BD157" s="54" t="str">
        <f t="shared" si="102"/>
        <v/>
      </c>
      <c r="BE157" s="54" t="str">
        <f t="shared" si="102"/>
        <v/>
      </c>
      <c r="BF157" s="54" t="str">
        <f t="shared" si="94"/>
        <v/>
      </c>
      <c r="BG157" s="54" t="str">
        <f t="shared" si="95"/>
        <v/>
      </c>
      <c r="BH157" s="34" t="str">
        <f t="shared" si="96"/>
        <v>Bad</v>
      </c>
      <c r="BI157" s="34" t="str">
        <f t="shared" si="97"/>
        <v>No</v>
      </c>
      <c r="BJ157" s="136" t="str">
        <f>IF($D157&lt;&gt;"Feature",".",
IF(VLOOKUP($B157,Feature_List!$A:$AM,MATCH(BJ$1,  Feature_List!$A$1:$AM$1,0),0)=B157,".","NO"))</f>
        <v>.</v>
      </c>
      <c r="BK157" s="136"/>
      <c r="BL157" s="136"/>
      <c r="BM157" s="136" t="str">
        <f>IF($D157&lt;&gt;"Feature",".",
IF(VLOOKUP($B157,Feature_List!$A:$AM,MATCH(BM$1,  Feature_List!$A$1:$AM$1,0),0)=E157,".","NO"))</f>
        <v>.</v>
      </c>
      <c r="BN157" s="136" t="str">
        <f>IF($D157&lt;&gt;"Feature",".",
IF(VLOOKUP($B157,Feature_List!$A:$AM,MATCH(BN$1,  Feature_List!$A$1:$AM$1,0),0)=F157,".","NO"))</f>
        <v>.</v>
      </c>
      <c r="BO157" s="136" t="str">
        <f>IF($D157&lt;&gt;"Feature",".",
IF(VLOOKUP($B157,Feature_List!$A:$AM,MATCH(BO$1,  Feature_List!$A$1:$AM$1,0),0)=G157,".","NO"))</f>
        <v>.</v>
      </c>
      <c r="BP157" s="136" t="str">
        <f>IF($D157&lt;&gt;"Feature",".",
IF(VLOOKUP($B157,Feature_List!$A:$AM,MATCH(BP$1,  Feature_List!$A$1:$AM$1,0),0)=H157,".","NO"))</f>
        <v>.</v>
      </c>
      <c r="BQ157" s="136"/>
      <c r="BR157" s="136" t="str">
        <f>IF($D157&lt;&gt;"Feature",".",
IF(VLOOKUP($B157,Feature_List!$A:$AM,MATCH(BR$1,  Feature_List!$A$1:$AM$1,0),0)=J157,".","NO"))</f>
        <v>.</v>
      </c>
      <c r="BS157" s="136"/>
      <c r="BT157" s="136"/>
      <c r="BU157" s="136" t="str">
        <f>IF($D157&lt;&gt;"Feature",".",
IF(VLOOKUP($B157,Feature_List!$A:$AM,MATCH(BU$1,  Feature_List!$A$1:$AM$1,0),0)=M157,".","NO"))</f>
        <v>.</v>
      </c>
      <c r="BV157" s="136" t="str">
        <f>IF($D157&lt;&gt;"Feature",".",
IF(VLOOKUP($B157,Feature_List!$A:$AM,MATCH(BV$1,  Feature_List!$A$1:$AM$1,0),0)=N157,".","NO"))</f>
        <v>.</v>
      </c>
      <c r="BW157" s="136"/>
      <c r="BX157" s="136"/>
      <c r="BY157" s="136"/>
      <c r="BZ157" s="136"/>
      <c r="CA157" s="136"/>
      <c r="CB157" s="136" t="str">
        <f>IF($D157&lt;&gt;"Feature",".",
IF(VLOOKUP($B157,Feature_List!$A:$AM,MATCH(CB$1,  Feature_List!$A$1:$AM$1,0),0)=T157,".","NO"))</f>
        <v>.</v>
      </c>
      <c r="CC157" s="136"/>
      <c r="CD157" s="136"/>
      <c r="CE157" s="136"/>
      <c r="CF157" s="136"/>
      <c r="CG157" s="136"/>
      <c r="CH157" s="136"/>
      <c r="CI157" s="136"/>
      <c r="CJ157" s="136"/>
      <c r="CK157" s="136"/>
      <c r="CL157" s="136"/>
      <c r="CM157" s="136"/>
      <c r="CN157" s="136"/>
      <c r="CO157" s="136" t="str">
        <f>IF($D157&lt;&gt;"Feature",".",
IF(VLOOKUP($B157,Feature_List!$A:$AM,MATCH(CO$1,  Feature_List!$A$1:$AM$1,0),0)=AG157,".","NO"))</f>
        <v>.</v>
      </c>
      <c r="CP157" s="136" t="str">
        <f>IF($D157&lt;&gt;"Feature",".",
IF(VLOOKUP($B157,Feature_List!$A:$AM,MATCH(CP$1,  Feature_List!$A$1:$AM$1,0),0)=AH157,".","NO"))</f>
        <v>.</v>
      </c>
      <c r="CQ157" s="136" t="str">
        <f>IF($D157&lt;&gt;"Feature",".",
IF(VLOOKUP($B157,Feature_List!$A:$AM,MATCH(CQ$1,  Feature_List!$A$1:$AM$1,0),0)=AI157,".","NO"))</f>
        <v>.</v>
      </c>
      <c r="CR157" s="136" t="str">
        <f>IF($D157&lt;&gt;"Feature",".",
IF(VLOOKUP($B157,Feature_List!$A:$AM,MATCH(CR$1,  Feature_List!$A$1:$AM$1,0),0)=AJ157,".","NO"))</f>
        <v>.</v>
      </c>
      <c r="CS157" s="136" t="str">
        <f>IF($D157&lt;&gt;"Feature",".",
IF(VLOOKUP($B157,Feature_List!$A:$AM,MATCH(CS$1,  Feature_List!$A$1:$AM$1,0),0)=AK157,".","NO"))</f>
        <v>.</v>
      </c>
      <c r="CT157" s="136" t="str">
        <f>IF($D157&lt;&gt;"Feature",".",
IF(VLOOKUP($B157,Feature_List!$A:$AM,MATCH(CT$1,  Feature_List!$A$1:$AM$1,0),0)=AL157,".","NO"))</f>
        <v>.</v>
      </c>
      <c r="CU157" s="136" t="str">
        <f>IF($D157&lt;&gt;"Feature",".",
IF(VLOOKUP($B157,Feature_List!$A:$AM,MATCH(CU$1,  Feature_List!$A$1:$AM$1,0),0)=AM157,".","NO"))</f>
        <v>.</v>
      </c>
      <c r="CV157" s="136" t="str">
        <f>IF($D157&lt;&gt;"Feature",".",
IF(VLOOKUP($B157,Feature_List!$A:$AM,MATCH(CV$1,  Feature_List!$A$1:$AM$1,0),0)=AN157,".","NO"))</f>
        <v>.</v>
      </c>
      <c r="CW157" s="136" t="str">
        <f>IF($D157&lt;&gt;"Feature",".",
IF(VLOOKUP($B157,Feature_List!$A:$AM,MATCH(CW$1,  Feature_List!$A$1:$AM$1,0),0)=AO157,".","NO"))</f>
        <v>.</v>
      </c>
      <c r="CX157" s="136" t="str">
        <f>IF($D157&lt;&gt;"Feature",".",
IF(VLOOKUP($B157,Feature_List!$A:$AM,MATCH(CX$1,  Feature_List!$A$1:$AM$1,0),0)=AP157,".","NO"))</f>
        <v>.</v>
      </c>
      <c r="CY157" s="136" t="str">
        <f>IF($D157&lt;&gt;"Feature",".",
IF(VLOOKUP($B157,Feature_List!$A:$AM,MATCH(CY$1,  Feature_List!$A$1:$AM$1,0),0)=AQ157,".","NO"))</f>
        <v>.</v>
      </c>
      <c r="CZ157" s="136" t="str">
        <f>IF($D157&lt;&gt;"Feature",".",
IF(VLOOKUP($B157,Feature_List!$A:$AM,MATCH(CZ$1,  Feature_List!$A$1:$AM$1,0),0)=AR157,".","NO"))</f>
        <v>.</v>
      </c>
      <c r="DA157" s="136" t="str">
        <f>IF($D157&lt;&gt;"Feature",".",
IF(VLOOKUP($B157,Feature_List!$A:$AM,MATCH(DA$1,  Feature_List!$A$1:$AM$1,0),0)=AS157,".","NO"))</f>
        <v>.</v>
      </c>
      <c r="DB157" s="136" t="str">
        <f>IF($D157&lt;&gt;"Feature",".",
IF(VLOOKUP($B157,Feature_List!$A:$AM,MATCH(DB$1,  Feature_List!$A$1:$AM$1,0),0)=AT157,".","NO"))</f>
        <v>.</v>
      </c>
      <c r="DC157" s="136" t="str">
        <f>IF($D157&lt;&gt;"Feature",".",
IF(VLOOKUP($B157,Feature_List!$A:$AM,MATCH(DC$1,  Feature_List!$A$1:$AM$1,0),0)=AU157,".","NO"))</f>
        <v>.</v>
      </c>
      <c r="DD157" s="136" t="str">
        <f>IF($D157&lt;&gt;"Feature",".",
IF(VLOOKUP($B157,Feature_List!$A:$AM,MATCH(DD$1,  Feature_List!$A$1:$AM$1,0),0)=AV157,".","NO"))</f>
        <v>.</v>
      </c>
      <c r="DE157" s="136" t="str">
        <f>IF($D157&lt;&gt;"Feature",".",
IF(VLOOKUP($B157,Feature_List!$A:$AM,MATCH(DE$1,  Feature_List!$A$1:$AM$1,0),0)=AW157,".","NO"))</f>
        <v>.</v>
      </c>
      <c r="DF157" s="136" t="str">
        <f>IF($D157&lt;&gt;"Feature",".",
IF(VLOOKUP($B157,Feature_List!$A:$AM,MATCH(DF$1,  Feature_List!$A$1:$AM$1,0),0)=AX157,".","NO"))</f>
        <v>.</v>
      </c>
      <c r="DG157" s="136" t="str">
        <f>IF($D157&lt;&gt;"Feature",".",
IF(VLOOKUP($B157,Feature_List!$A:$AM,MATCH(DG$1,  Feature_List!$A$1:$AM$1,0),0)=AY157,".","NO"))</f>
        <v>.</v>
      </c>
      <c r="DH157" s="136" t="str">
        <f>IF($D157&lt;&gt;"Feature",".",
IF(VLOOKUP($B157,Feature_List!$A:$AM,MATCH(DH$1,  Feature_List!$A$1:$AM$1,0),0)=AZ157,".","NO"))</f>
        <v>.</v>
      </c>
      <c r="DI157" s="136" t="str">
        <f>IF($D157&lt;&gt;"Feature",".",
IF(VLOOKUP($B157,Feature_List!$A:$AM,MATCH(DI$1,  Feature_List!$A$1:$AM$1,0),0)=BA157,".","NO"))</f>
        <v>.</v>
      </c>
      <c r="DJ157" s="136" t="str">
        <f>IF($D157&lt;&gt;"Feature",".",
IF(VLOOKUP($B157,Feature_List!$A:$AM,MATCH(DJ$1,  Feature_List!$A$1:$AM$1,0),0)=BB157,".","NO"))</f>
        <v>.</v>
      </c>
      <c r="DK157" s="136"/>
      <c r="DL157" s="136"/>
      <c r="DM157" s="136"/>
      <c r="DN157" s="136" t="str">
        <f>IF($D157&lt;&gt;"Feature",".",
IF(VLOOKUP($B157,Feature_List!$A:$AM,MATCH(DN$1,  Feature_List!$A$1:$AM$1,0),0)=BC157,".","NO"))</f>
        <v>.</v>
      </c>
      <c r="DO157" s="136" t="str">
        <f>IF($D157&lt;&gt;"Feature",".",
IF(VLOOKUP($B157,Feature_List!$A:$AM,MATCH(DO$1,  Feature_List!$A$1:$AM$1,0),0)=BD157,".","NO"))</f>
        <v>.</v>
      </c>
    </row>
    <row r="158" spans="2:119" x14ac:dyDescent="0.3">
      <c r="B158" s="121"/>
      <c r="C158" s="122"/>
      <c r="D158" s="122"/>
      <c r="E158" s="122"/>
      <c r="F158" s="138"/>
      <c r="G158" s="123"/>
      <c r="H158" s="122"/>
      <c r="I158" s="124"/>
      <c r="J158" s="138"/>
      <c r="K158" s="123"/>
      <c r="L158" s="122"/>
      <c r="M158" s="122"/>
      <c r="N158" s="125"/>
      <c r="O158" s="123">
        <f t="shared" si="75"/>
        <v>0</v>
      </c>
      <c r="P158" s="123">
        <f t="shared" si="76"/>
        <v>0</v>
      </c>
      <c r="Q158" s="122" t="str">
        <f t="shared" si="98"/>
        <v>ZeroEntry</v>
      </c>
      <c r="R158" s="126" t="str">
        <f t="shared" si="77"/>
        <v>ZeroEntry</v>
      </c>
      <c r="S158" s="127" t="str">
        <f t="shared" si="78"/>
        <v>ZeroEntry</v>
      </c>
      <c r="T158" s="128" t="str">
        <f>IF($Q158="ZeroEntry", "",VLOOKUP($I158,'Ranking Lookup'!#REF!,2,FALSE))</f>
        <v/>
      </c>
      <c r="U158" s="129" t="str">
        <f t="shared" si="79"/>
        <v/>
      </c>
      <c r="V158" s="129" t="str">
        <f t="shared" si="80"/>
        <v/>
      </c>
      <c r="W158" s="129" t="str">
        <f t="shared" si="81"/>
        <v/>
      </c>
      <c r="X158" s="129" t="str">
        <f t="shared" si="82"/>
        <v/>
      </c>
      <c r="Y158" s="129" t="str">
        <f t="shared" si="83"/>
        <v/>
      </c>
      <c r="Z158" s="129" t="str">
        <f t="shared" si="84"/>
        <v/>
      </c>
      <c r="AA158" s="130"/>
      <c r="AB158" s="130" t="str">
        <f t="shared" si="85"/>
        <v>Unassigned</v>
      </c>
      <c r="AC158" s="131" t="str">
        <f t="shared" si="99"/>
        <v/>
      </c>
      <c r="AD158" s="131" t="str">
        <f t="shared" si="100"/>
        <v/>
      </c>
      <c r="AE158" s="132">
        <f t="shared" si="86"/>
        <v>0</v>
      </c>
      <c r="AF158" s="133" t="str">
        <f t="shared" si="101"/>
        <v/>
      </c>
      <c r="AG158" s="134">
        <f t="shared" si="87"/>
        <v>0</v>
      </c>
      <c r="AH158" s="54" t="str">
        <f t="shared" si="88"/>
        <v/>
      </c>
      <c r="AI158" s="54" t="str">
        <f t="shared" si="104"/>
        <v/>
      </c>
      <c r="AJ158" s="54" t="str">
        <f t="shared" si="104"/>
        <v/>
      </c>
      <c r="AK158" s="54" t="str">
        <f t="shared" si="104"/>
        <v/>
      </c>
      <c r="AL158" s="54" t="str">
        <f t="shared" si="104"/>
        <v/>
      </c>
      <c r="AM158" s="54" t="str">
        <f t="shared" si="104"/>
        <v/>
      </c>
      <c r="AN158" s="54" t="str">
        <f t="shared" si="104"/>
        <v/>
      </c>
      <c r="AO158" s="54" t="str">
        <f t="shared" si="104"/>
        <v/>
      </c>
      <c r="AP158" s="54" t="str">
        <f t="shared" si="104"/>
        <v/>
      </c>
      <c r="AQ158" s="54" t="str">
        <f t="shared" si="104"/>
        <v/>
      </c>
      <c r="AR158" s="54" t="str">
        <f t="shared" si="104"/>
        <v/>
      </c>
      <c r="AS158" s="54" t="str">
        <f t="shared" si="104"/>
        <v/>
      </c>
      <c r="AT158" s="54" t="str">
        <f t="shared" si="104"/>
        <v/>
      </c>
      <c r="AU158" s="54" t="str">
        <f t="shared" si="104"/>
        <v/>
      </c>
      <c r="AV158" s="54" t="str">
        <f t="shared" si="104"/>
        <v/>
      </c>
      <c r="AW158" s="54" t="str">
        <f t="shared" si="104"/>
        <v/>
      </c>
      <c r="AX158" s="54" t="str">
        <f t="shared" si="104"/>
        <v/>
      </c>
      <c r="AY158" s="54" t="str">
        <f t="shared" si="90"/>
        <v/>
      </c>
      <c r="AZ158" s="54" t="str">
        <f t="shared" si="91"/>
        <v/>
      </c>
      <c r="BA158" s="54" t="str">
        <f t="shared" si="92"/>
        <v/>
      </c>
      <c r="BB158" s="135" t="str">
        <f t="shared" si="93"/>
        <v/>
      </c>
      <c r="BC158" s="54" t="str">
        <f t="shared" si="102"/>
        <v/>
      </c>
      <c r="BD158" s="54" t="str">
        <f t="shared" si="102"/>
        <v/>
      </c>
      <c r="BE158" s="54" t="str">
        <f t="shared" si="102"/>
        <v/>
      </c>
      <c r="BF158" s="54" t="str">
        <f t="shared" si="94"/>
        <v/>
      </c>
      <c r="BG158" s="54" t="str">
        <f t="shared" si="95"/>
        <v/>
      </c>
      <c r="BH158" s="34" t="str">
        <f t="shared" si="96"/>
        <v>Bad</v>
      </c>
      <c r="BI158" s="34" t="str">
        <f t="shared" si="97"/>
        <v>No</v>
      </c>
      <c r="BJ158" s="136" t="str">
        <f>IF($D158&lt;&gt;"Feature",".",
IF(VLOOKUP($B158,Feature_List!$A:$AM,MATCH(BJ$1,  Feature_List!$A$1:$AM$1,0),0)=B158,".","NO"))</f>
        <v>.</v>
      </c>
      <c r="BK158" s="136"/>
      <c r="BL158" s="136"/>
      <c r="BM158" s="136" t="str">
        <f>IF($D158&lt;&gt;"Feature",".",
IF(VLOOKUP($B158,Feature_List!$A:$AM,MATCH(BM$1,  Feature_List!$A$1:$AM$1,0),0)=E158,".","NO"))</f>
        <v>.</v>
      </c>
      <c r="BN158" s="136" t="str">
        <f>IF($D158&lt;&gt;"Feature",".",
IF(VLOOKUP($B158,Feature_List!$A:$AM,MATCH(BN$1,  Feature_List!$A$1:$AM$1,0),0)=F158,".","NO"))</f>
        <v>.</v>
      </c>
      <c r="BO158" s="136" t="str">
        <f>IF($D158&lt;&gt;"Feature",".",
IF(VLOOKUP($B158,Feature_List!$A:$AM,MATCH(BO$1,  Feature_List!$A$1:$AM$1,0),0)=G158,".","NO"))</f>
        <v>.</v>
      </c>
      <c r="BP158" s="136" t="str">
        <f>IF($D158&lt;&gt;"Feature",".",
IF(VLOOKUP($B158,Feature_List!$A:$AM,MATCH(BP$1,  Feature_List!$A$1:$AM$1,0),0)=H158,".","NO"))</f>
        <v>.</v>
      </c>
      <c r="BQ158" s="136"/>
      <c r="BR158" s="136" t="str">
        <f>IF($D158&lt;&gt;"Feature",".",
IF(VLOOKUP($B158,Feature_List!$A:$AM,MATCH(BR$1,  Feature_List!$A$1:$AM$1,0),0)=J158,".","NO"))</f>
        <v>.</v>
      </c>
      <c r="BS158" s="136"/>
      <c r="BT158" s="136"/>
      <c r="BU158" s="136" t="str">
        <f>IF($D158&lt;&gt;"Feature",".",
IF(VLOOKUP($B158,Feature_List!$A:$AM,MATCH(BU$1,  Feature_List!$A$1:$AM$1,0),0)=M158,".","NO"))</f>
        <v>.</v>
      </c>
      <c r="BV158" s="136" t="str">
        <f>IF($D158&lt;&gt;"Feature",".",
IF(VLOOKUP($B158,Feature_List!$A:$AM,MATCH(BV$1,  Feature_List!$A$1:$AM$1,0),0)=N158,".","NO"))</f>
        <v>.</v>
      </c>
      <c r="BW158" s="136"/>
      <c r="BX158" s="136"/>
      <c r="BY158" s="136"/>
      <c r="BZ158" s="136"/>
      <c r="CA158" s="136"/>
      <c r="CB158" s="136" t="str">
        <f>IF($D158&lt;&gt;"Feature",".",
IF(VLOOKUP($B158,Feature_List!$A:$AM,MATCH(CB$1,  Feature_List!$A$1:$AM$1,0),0)=T158,".","NO"))</f>
        <v>.</v>
      </c>
      <c r="CC158" s="136"/>
      <c r="CD158" s="136"/>
      <c r="CE158" s="136"/>
      <c r="CF158" s="136"/>
      <c r="CG158" s="136"/>
      <c r="CH158" s="136"/>
      <c r="CI158" s="136"/>
      <c r="CJ158" s="136"/>
      <c r="CK158" s="136"/>
      <c r="CL158" s="136"/>
      <c r="CM158" s="136"/>
      <c r="CN158" s="136"/>
      <c r="CO158" s="136" t="str">
        <f>IF($D158&lt;&gt;"Feature",".",
IF(VLOOKUP($B158,Feature_List!$A:$AM,MATCH(CO$1,  Feature_List!$A$1:$AM$1,0),0)=AG158,".","NO"))</f>
        <v>.</v>
      </c>
      <c r="CP158" s="136" t="str">
        <f>IF($D158&lt;&gt;"Feature",".",
IF(VLOOKUP($B158,Feature_List!$A:$AM,MATCH(CP$1,  Feature_List!$A$1:$AM$1,0),0)=AH158,".","NO"))</f>
        <v>.</v>
      </c>
      <c r="CQ158" s="136" t="str">
        <f>IF($D158&lt;&gt;"Feature",".",
IF(VLOOKUP($B158,Feature_List!$A:$AM,MATCH(CQ$1,  Feature_List!$A$1:$AM$1,0),0)=AI158,".","NO"))</f>
        <v>.</v>
      </c>
      <c r="CR158" s="136" t="str">
        <f>IF($D158&lt;&gt;"Feature",".",
IF(VLOOKUP($B158,Feature_List!$A:$AM,MATCH(CR$1,  Feature_List!$A$1:$AM$1,0),0)=AJ158,".","NO"))</f>
        <v>.</v>
      </c>
      <c r="CS158" s="136" t="str">
        <f>IF($D158&lt;&gt;"Feature",".",
IF(VLOOKUP($B158,Feature_List!$A:$AM,MATCH(CS$1,  Feature_List!$A$1:$AM$1,0),0)=AK158,".","NO"))</f>
        <v>.</v>
      </c>
      <c r="CT158" s="136" t="str">
        <f>IF($D158&lt;&gt;"Feature",".",
IF(VLOOKUP($B158,Feature_List!$A:$AM,MATCH(CT$1,  Feature_List!$A$1:$AM$1,0),0)=AL158,".","NO"))</f>
        <v>.</v>
      </c>
      <c r="CU158" s="136" t="str">
        <f>IF($D158&lt;&gt;"Feature",".",
IF(VLOOKUP($B158,Feature_List!$A:$AM,MATCH(CU$1,  Feature_List!$A$1:$AM$1,0),0)=AM158,".","NO"))</f>
        <v>.</v>
      </c>
      <c r="CV158" s="136" t="str">
        <f>IF($D158&lt;&gt;"Feature",".",
IF(VLOOKUP($B158,Feature_List!$A:$AM,MATCH(CV$1,  Feature_List!$A$1:$AM$1,0),0)=AN158,".","NO"))</f>
        <v>.</v>
      </c>
      <c r="CW158" s="136" t="str">
        <f>IF($D158&lt;&gt;"Feature",".",
IF(VLOOKUP($B158,Feature_List!$A:$AM,MATCH(CW$1,  Feature_List!$A$1:$AM$1,0),0)=AO158,".","NO"))</f>
        <v>.</v>
      </c>
      <c r="CX158" s="136" t="str">
        <f>IF($D158&lt;&gt;"Feature",".",
IF(VLOOKUP($B158,Feature_List!$A:$AM,MATCH(CX$1,  Feature_List!$A$1:$AM$1,0),0)=AP158,".","NO"))</f>
        <v>.</v>
      </c>
      <c r="CY158" s="136" t="str">
        <f>IF($D158&lt;&gt;"Feature",".",
IF(VLOOKUP($B158,Feature_List!$A:$AM,MATCH(CY$1,  Feature_List!$A$1:$AM$1,0),0)=AQ158,".","NO"))</f>
        <v>.</v>
      </c>
      <c r="CZ158" s="136" t="str">
        <f>IF($D158&lt;&gt;"Feature",".",
IF(VLOOKUP($B158,Feature_List!$A:$AM,MATCH(CZ$1,  Feature_List!$A$1:$AM$1,0),0)=AR158,".","NO"))</f>
        <v>.</v>
      </c>
      <c r="DA158" s="136" t="str">
        <f>IF($D158&lt;&gt;"Feature",".",
IF(VLOOKUP($B158,Feature_List!$A:$AM,MATCH(DA$1,  Feature_List!$A$1:$AM$1,0),0)=AS158,".","NO"))</f>
        <v>.</v>
      </c>
      <c r="DB158" s="136" t="str">
        <f>IF($D158&lt;&gt;"Feature",".",
IF(VLOOKUP($B158,Feature_List!$A:$AM,MATCH(DB$1,  Feature_List!$A$1:$AM$1,0),0)=AT158,".","NO"))</f>
        <v>.</v>
      </c>
      <c r="DC158" s="136" t="str">
        <f>IF($D158&lt;&gt;"Feature",".",
IF(VLOOKUP($B158,Feature_List!$A:$AM,MATCH(DC$1,  Feature_List!$A$1:$AM$1,0),0)=AU158,".","NO"))</f>
        <v>.</v>
      </c>
      <c r="DD158" s="136" t="str">
        <f>IF($D158&lt;&gt;"Feature",".",
IF(VLOOKUP($B158,Feature_List!$A:$AM,MATCH(DD$1,  Feature_List!$A$1:$AM$1,0),0)=AV158,".","NO"))</f>
        <v>.</v>
      </c>
      <c r="DE158" s="136" t="str">
        <f>IF($D158&lt;&gt;"Feature",".",
IF(VLOOKUP($B158,Feature_List!$A:$AM,MATCH(DE$1,  Feature_List!$A$1:$AM$1,0),0)=AW158,".","NO"))</f>
        <v>.</v>
      </c>
      <c r="DF158" s="136" t="str">
        <f>IF($D158&lt;&gt;"Feature",".",
IF(VLOOKUP($B158,Feature_List!$A:$AM,MATCH(DF$1,  Feature_List!$A$1:$AM$1,0),0)=AX158,".","NO"))</f>
        <v>.</v>
      </c>
      <c r="DG158" s="136" t="str">
        <f>IF($D158&lt;&gt;"Feature",".",
IF(VLOOKUP($B158,Feature_List!$A:$AM,MATCH(DG$1,  Feature_List!$A$1:$AM$1,0),0)=AY158,".","NO"))</f>
        <v>.</v>
      </c>
      <c r="DH158" s="136" t="str">
        <f>IF($D158&lt;&gt;"Feature",".",
IF(VLOOKUP($B158,Feature_List!$A:$AM,MATCH(DH$1,  Feature_List!$A$1:$AM$1,0),0)=AZ158,".","NO"))</f>
        <v>.</v>
      </c>
      <c r="DI158" s="136" t="str">
        <f>IF($D158&lt;&gt;"Feature",".",
IF(VLOOKUP($B158,Feature_List!$A:$AM,MATCH(DI$1,  Feature_List!$A$1:$AM$1,0),0)=BA158,".","NO"))</f>
        <v>.</v>
      </c>
      <c r="DJ158" s="136" t="str">
        <f>IF($D158&lt;&gt;"Feature",".",
IF(VLOOKUP($B158,Feature_List!$A:$AM,MATCH(DJ$1,  Feature_List!$A$1:$AM$1,0),0)=BB158,".","NO"))</f>
        <v>.</v>
      </c>
      <c r="DK158" s="136"/>
      <c r="DL158" s="136"/>
      <c r="DM158" s="136"/>
      <c r="DN158" s="136" t="str">
        <f>IF($D158&lt;&gt;"Feature",".",
IF(VLOOKUP($B158,Feature_List!$A:$AM,MATCH(DN$1,  Feature_List!$A$1:$AM$1,0),0)=BC158,".","NO"))</f>
        <v>.</v>
      </c>
      <c r="DO158" s="136" t="str">
        <f>IF($D158&lt;&gt;"Feature",".",
IF(VLOOKUP($B158,Feature_List!$A:$AM,MATCH(DO$1,  Feature_List!$A$1:$AM$1,0),0)=BD158,".","NO"))</f>
        <v>.</v>
      </c>
    </row>
    <row r="159" spans="2:119" x14ac:dyDescent="0.3">
      <c r="B159" s="121"/>
      <c r="C159" s="122"/>
      <c r="D159" s="122"/>
      <c r="E159" s="122"/>
      <c r="F159" s="138"/>
      <c r="G159" s="123"/>
      <c r="H159" s="122"/>
      <c r="I159" s="124"/>
      <c r="J159" s="138"/>
      <c r="K159" s="123"/>
      <c r="L159" s="122"/>
      <c r="M159" s="122"/>
      <c r="N159" s="125"/>
      <c r="O159" s="123">
        <f t="shared" si="75"/>
        <v>0</v>
      </c>
      <c r="P159" s="123">
        <f t="shared" si="76"/>
        <v>0</v>
      </c>
      <c r="Q159" s="122" t="str">
        <f t="shared" si="98"/>
        <v>ZeroEntry</v>
      </c>
      <c r="R159" s="126" t="str">
        <f t="shared" si="77"/>
        <v>ZeroEntry</v>
      </c>
      <c r="S159" s="127" t="str">
        <f t="shared" si="78"/>
        <v>ZeroEntry</v>
      </c>
      <c r="T159" s="128" t="str">
        <f>IF($Q159="ZeroEntry", "",VLOOKUP($I159,'Ranking Lookup'!#REF!,2,FALSE))</f>
        <v/>
      </c>
      <c r="U159" s="129" t="str">
        <f t="shared" si="79"/>
        <v/>
      </c>
      <c r="V159" s="129" t="str">
        <f t="shared" si="80"/>
        <v/>
      </c>
      <c r="W159" s="129" t="str">
        <f t="shared" si="81"/>
        <v/>
      </c>
      <c r="X159" s="129" t="str">
        <f t="shared" si="82"/>
        <v/>
      </c>
      <c r="Y159" s="129" t="str">
        <f t="shared" si="83"/>
        <v/>
      </c>
      <c r="Z159" s="129" t="str">
        <f t="shared" si="84"/>
        <v/>
      </c>
      <c r="AA159" s="130"/>
      <c r="AB159" s="130" t="str">
        <f t="shared" si="85"/>
        <v>Unassigned</v>
      </c>
      <c r="AC159" s="131" t="str">
        <f t="shared" si="99"/>
        <v/>
      </c>
      <c r="AD159" s="131" t="str">
        <f t="shared" si="100"/>
        <v/>
      </c>
      <c r="AE159" s="132">
        <f t="shared" si="86"/>
        <v>0</v>
      </c>
      <c r="AF159" s="133" t="str">
        <f t="shared" si="101"/>
        <v/>
      </c>
      <c r="AG159" s="134">
        <f t="shared" si="87"/>
        <v>0</v>
      </c>
      <c r="AH159" s="54" t="str">
        <f t="shared" si="88"/>
        <v/>
      </c>
      <c r="AI159" s="54" t="str">
        <f t="shared" si="104"/>
        <v/>
      </c>
      <c r="AJ159" s="54" t="str">
        <f t="shared" si="104"/>
        <v/>
      </c>
      <c r="AK159" s="54" t="str">
        <f t="shared" si="104"/>
        <v/>
      </c>
      <c r="AL159" s="54" t="str">
        <f t="shared" si="104"/>
        <v/>
      </c>
      <c r="AM159" s="54" t="str">
        <f t="shared" si="104"/>
        <v/>
      </c>
      <c r="AN159" s="54" t="str">
        <f t="shared" si="104"/>
        <v/>
      </c>
      <c r="AO159" s="54" t="str">
        <f t="shared" si="104"/>
        <v/>
      </c>
      <c r="AP159" s="54" t="str">
        <f t="shared" si="104"/>
        <v/>
      </c>
      <c r="AQ159" s="54" t="str">
        <f t="shared" si="104"/>
        <v/>
      </c>
      <c r="AR159" s="54" t="str">
        <f t="shared" si="104"/>
        <v/>
      </c>
      <c r="AS159" s="54" t="str">
        <f t="shared" si="104"/>
        <v/>
      </c>
      <c r="AT159" s="54" t="str">
        <f t="shared" si="104"/>
        <v/>
      </c>
      <c r="AU159" s="54" t="str">
        <f t="shared" si="104"/>
        <v/>
      </c>
      <c r="AV159" s="54" t="str">
        <f t="shared" si="104"/>
        <v/>
      </c>
      <c r="AW159" s="54" t="str">
        <f t="shared" si="104"/>
        <v/>
      </c>
      <c r="AX159" s="54" t="str">
        <f t="shared" si="104"/>
        <v/>
      </c>
      <c r="AY159" s="54" t="str">
        <f t="shared" si="90"/>
        <v/>
      </c>
      <c r="AZ159" s="54" t="str">
        <f t="shared" si="91"/>
        <v/>
      </c>
      <c r="BA159" s="54" t="str">
        <f t="shared" si="92"/>
        <v/>
      </c>
      <c r="BB159" s="135" t="str">
        <f t="shared" si="93"/>
        <v/>
      </c>
      <c r="BC159" s="54" t="str">
        <f t="shared" si="102"/>
        <v/>
      </c>
      <c r="BD159" s="54" t="str">
        <f t="shared" si="102"/>
        <v/>
      </c>
      <c r="BE159" s="54" t="str">
        <f t="shared" si="102"/>
        <v/>
      </c>
      <c r="BF159" s="54" t="str">
        <f t="shared" si="94"/>
        <v/>
      </c>
      <c r="BG159" s="54" t="str">
        <f t="shared" si="95"/>
        <v/>
      </c>
      <c r="BH159" s="34" t="str">
        <f t="shared" si="96"/>
        <v>Bad</v>
      </c>
      <c r="BI159" s="34" t="str">
        <f t="shared" si="97"/>
        <v>No</v>
      </c>
      <c r="BJ159" s="136" t="str">
        <f>IF($D159&lt;&gt;"Feature",".",
IF(VLOOKUP($B159,Feature_List!$A:$AM,MATCH(BJ$1,  Feature_List!$A$1:$AM$1,0),0)=B159,".","NO"))</f>
        <v>.</v>
      </c>
      <c r="BK159" s="136"/>
      <c r="BL159" s="136"/>
      <c r="BM159" s="136" t="str">
        <f>IF($D159&lt;&gt;"Feature",".",
IF(VLOOKUP($B159,Feature_List!$A:$AM,MATCH(BM$1,  Feature_List!$A$1:$AM$1,0),0)=E159,".","NO"))</f>
        <v>.</v>
      </c>
      <c r="BN159" s="136" t="str">
        <f>IF($D159&lt;&gt;"Feature",".",
IF(VLOOKUP($B159,Feature_List!$A:$AM,MATCH(BN$1,  Feature_List!$A$1:$AM$1,0),0)=F159,".","NO"))</f>
        <v>.</v>
      </c>
      <c r="BO159" s="136" t="str">
        <f>IF($D159&lt;&gt;"Feature",".",
IF(VLOOKUP($B159,Feature_List!$A:$AM,MATCH(BO$1,  Feature_List!$A$1:$AM$1,0),0)=G159,".","NO"))</f>
        <v>.</v>
      </c>
      <c r="BP159" s="136" t="str">
        <f>IF($D159&lt;&gt;"Feature",".",
IF(VLOOKUP($B159,Feature_List!$A:$AM,MATCH(BP$1,  Feature_List!$A$1:$AM$1,0),0)=H159,".","NO"))</f>
        <v>.</v>
      </c>
      <c r="BQ159" s="136"/>
      <c r="BR159" s="136" t="str">
        <f>IF($D159&lt;&gt;"Feature",".",
IF(VLOOKUP($B159,Feature_List!$A:$AM,MATCH(BR$1,  Feature_List!$A$1:$AM$1,0),0)=J159,".","NO"))</f>
        <v>.</v>
      </c>
      <c r="BS159" s="136"/>
      <c r="BT159" s="136"/>
      <c r="BU159" s="136" t="str">
        <f>IF($D159&lt;&gt;"Feature",".",
IF(VLOOKUP($B159,Feature_List!$A:$AM,MATCH(BU$1,  Feature_List!$A$1:$AM$1,0),0)=M159,".","NO"))</f>
        <v>.</v>
      </c>
      <c r="BV159" s="136" t="str">
        <f>IF($D159&lt;&gt;"Feature",".",
IF(VLOOKUP($B159,Feature_List!$A:$AM,MATCH(BV$1,  Feature_List!$A$1:$AM$1,0),0)=N159,".","NO"))</f>
        <v>.</v>
      </c>
      <c r="BW159" s="136"/>
      <c r="BX159" s="136"/>
      <c r="BY159" s="136"/>
      <c r="BZ159" s="136"/>
      <c r="CA159" s="136"/>
      <c r="CB159" s="136" t="str">
        <f>IF($D159&lt;&gt;"Feature",".",
IF(VLOOKUP($B159,Feature_List!$A:$AM,MATCH(CB$1,  Feature_List!$A$1:$AM$1,0),0)=T159,".","NO"))</f>
        <v>.</v>
      </c>
      <c r="CC159" s="136"/>
      <c r="CD159" s="136"/>
      <c r="CE159" s="136"/>
      <c r="CF159" s="136"/>
      <c r="CG159" s="136"/>
      <c r="CH159" s="136"/>
      <c r="CI159" s="136"/>
      <c r="CJ159" s="136"/>
      <c r="CK159" s="136"/>
      <c r="CL159" s="136"/>
      <c r="CM159" s="136"/>
      <c r="CN159" s="136"/>
      <c r="CO159" s="136" t="str">
        <f>IF($D159&lt;&gt;"Feature",".",
IF(VLOOKUP($B159,Feature_List!$A:$AM,MATCH(CO$1,  Feature_List!$A$1:$AM$1,0),0)=AG159,".","NO"))</f>
        <v>.</v>
      </c>
      <c r="CP159" s="136" t="str">
        <f>IF($D159&lt;&gt;"Feature",".",
IF(VLOOKUP($B159,Feature_List!$A:$AM,MATCH(CP$1,  Feature_List!$A$1:$AM$1,0),0)=AH159,".","NO"))</f>
        <v>.</v>
      </c>
      <c r="CQ159" s="136" t="str">
        <f>IF($D159&lt;&gt;"Feature",".",
IF(VLOOKUP($B159,Feature_List!$A:$AM,MATCH(CQ$1,  Feature_List!$A$1:$AM$1,0),0)=AI159,".","NO"))</f>
        <v>.</v>
      </c>
      <c r="CR159" s="136" t="str">
        <f>IF($D159&lt;&gt;"Feature",".",
IF(VLOOKUP($B159,Feature_List!$A:$AM,MATCH(CR$1,  Feature_List!$A$1:$AM$1,0),0)=AJ159,".","NO"))</f>
        <v>.</v>
      </c>
      <c r="CS159" s="136" t="str">
        <f>IF($D159&lt;&gt;"Feature",".",
IF(VLOOKUP($B159,Feature_List!$A:$AM,MATCH(CS$1,  Feature_List!$A$1:$AM$1,0),0)=AK159,".","NO"))</f>
        <v>.</v>
      </c>
      <c r="CT159" s="136" t="str">
        <f>IF($D159&lt;&gt;"Feature",".",
IF(VLOOKUP($B159,Feature_List!$A:$AM,MATCH(CT$1,  Feature_List!$A$1:$AM$1,0),0)=AL159,".","NO"))</f>
        <v>.</v>
      </c>
      <c r="CU159" s="136" t="str">
        <f>IF($D159&lt;&gt;"Feature",".",
IF(VLOOKUP($B159,Feature_List!$A:$AM,MATCH(CU$1,  Feature_List!$A$1:$AM$1,0),0)=AM159,".","NO"))</f>
        <v>.</v>
      </c>
      <c r="CV159" s="136" t="str">
        <f>IF($D159&lt;&gt;"Feature",".",
IF(VLOOKUP($B159,Feature_List!$A:$AM,MATCH(CV$1,  Feature_List!$A$1:$AM$1,0),0)=AN159,".","NO"))</f>
        <v>.</v>
      </c>
      <c r="CW159" s="136" t="str">
        <f>IF($D159&lt;&gt;"Feature",".",
IF(VLOOKUP($B159,Feature_List!$A:$AM,MATCH(CW$1,  Feature_List!$A$1:$AM$1,0),0)=AO159,".","NO"))</f>
        <v>.</v>
      </c>
      <c r="CX159" s="136" t="str">
        <f>IF($D159&lt;&gt;"Feature",".",
IF(VLOOKUP($B159,Feature_List!$A:$AM,MATCH(CX$1,  Feature_List!$A$1:$AM$1,0),0)=AP159,".","NO"))</f>
        <v>.</v>
      </c>
      <c r="CY159" s="136" t="str">
        <f>IF($D159&lt;&gt;"Feature",".",
IF(VLOOKUP($B159,Feature_List!$A:$AM,MATCH(CY$1,  Feature_List!$A$1:$AM$1,0),0)=AQ159,".","NO"))</f>
        <v>.</v>
      </c>
      <c r="CZ159" s="136" t="str">
        <f>IF($D159&lt;&gt;"Feature",".",
IF(VLOOKUP($B159,Feature_List!$A:$AM,MATCH(CZ$1,  Feature_List!$A$1:$AM$1,0),0)=AR159,".","NO"))</f>
        <v>.</v>
      </c>
      <c r="DA159" s="136" t="str">
        <f>IF($D159&lt;&gt;"Feature",".",
IF(VLOOKUP($B159,Feature_List!$A:$AM,MATCH(DA$1,  Feature_List!$A$1:$AM$1,0),0)=AS159,".","NO"))</f>
        <v>.</v>
      </c>
      <c r="DB159" s="136" t="str">
        <f>IF($D159&lt;&gt;"Feature",".",
IF(VLOOKUP($B159,Feature_List!$A:$AM,MATCH(DB$1,  Feature_List!$A$1:$AM$1,0),0)=AT159,".","NO"))</f>
        <v>.</v>
      </c>
      <c r="DC159" s="136" t="str">
        <f>IF($D159&lt;&gt;"Feature",".",
IF(VLOOKUP($B159,Feature_List!$A:$AM,MATCH(DC$1,  Feature_List!$A$1:$AM$1,0),0)=AU159,".","NO"))</f>
        <v>.</v>
      </c>
      <c r="DD159" s="136" t="str">
        <f>IF($D159&lt;&gt;"Feature",".",
IF(VLOOKUP($B159,Feature_List!$A:$AM,MATCH(DD$1,  Feature_List!$A$1:$AM$1,0),0)=AV159,".","NO"))</f>
        <v>.</v>
      </c>
      <c r="DE159" s="136" t="str">
        <f>IF($D159&lt;&gt;"Feature",".",
IF(VLOOKUP($B159,Feature_List!$A:$AM,MATCH(DE$1,  Feature_List!$A$1:$AM$1,0),0)=AW159,".","NO"))</f>
        <v>.</v>
      </c>
      <c r="DF159" s="136" t="str">
        <f>IF($D159&lt;&gt;"Feature",".",
IF(VLOOKUP($B159,Feature_List!$A:$AM,MATCH(DF$1,  Feature_List!$A$1:$AM$1,0),0)=AX159,".","NO"))</f>
        <v>.</v>
      </c>
      <c r="DG159" s="136" t="str">
        <f>IF($D159&lt;&gt;"Feature",".",
IF(VLOOKUP($B159,Feature_List!$A:$AM,MATCH(DG$1,  Feature_List!$A$1:$AM$1,0),0)=AY159,".","NO"))</f>
        <v>.</v>
      </c>
      <c r="DH159" s="136" t="str">
        <f>IF($D159&lt;&gt;"Feature",".",
IF(VLOOKUP($B159,Feature_List!$A:$AM,MATCH(DH$1,  Feature_List!$A$1:$AM$1,0),0)=AZ159,".","NO"))</f>
        <v>.</v>
      </c>
      <c r="DI159" s="136" t="str">
        <f>IF($D159&lt;&gt;"Feature",".",
IF(VLOOKUP($B159,Feature_List!$A:$AM,MATCH(DI$1,  Feature_List!$A$1:$AM$1,0),0)=BA159,".","NO"))</f>
        <v>.</v>
      </c>
      <c r="DJ159" s="136" t="str">
        <f>IF($D159&lt;&gt;"Feature",".",
IF(VLOOKUP($B159,Feature_List!$A:$AM,MATCH(DJ$1,  Feature_List!$A$1:$AM$1,0),0)=BB159,".","NO"))</f>
        <v>.</v>
      </c>
      <c r="DK159" s="136"/>
      <c r="DL159" s="136"/>
      <c r="DM159" s="136"/>
      <c r="DN159" s="136" t="str">
        <f>IF($D159&lt;&gt;"Feature",".",
IF(VLOOKUP($B159,Feature_List!$A:$AM,MATCH(DN$1,  Feature_List!$A$1:$AM$1,0),0)=BC159,".","NO"))</f>
        <v>.</v>
      </c>
      <c r="DO159" s="136" t="str">
        <f>IF($D159&lt;&gt;"Feature",".",
IF(VLOOKUP($B159,Feature_List!$A:$AM,MATCH(DO$1,  Feature_List!$A$1:$AM$1,0),0)=BD159,".","NO"))</f>
        <v>.</v>
      </c>
    </row>
    <row r="160" spans="2:119" x14ac:dyDescent="0.3">
      <c r="B160" s="121"/>
      <c r="C160" s="123"/>
      <c r="D160" s="122"/>
      <c r="E160" s="122"/>
      <c r="F160" s="138"/>
      <c r="G160" s="123"/>
      <c r="H160" s="122"/>
      <c r="I160" s="124"/>
      <c r="J160" s="138"/>
      <c r="K160" s="123"/>
      <c r="L160" s="122"/>
      <c r="M160" s="122"/>
      <c r="N160" s="125"/>
      <c r="O160" s="123">
        <f t="shared" si="75"/>
        <v>0</v>
      </c>
      <c r="P160" s="123">
        <f t="shared" si="76"/>
        <v>0</v>
      </c>
      <c r="Q160" s="122" t="str">
        <f t="shared" si="98"/>
        <v>ZeroEntry</v>
      </c>
      <c r="R160" s="126" t="str">
        <f t="shared" si="77"/>
        <v>ZeroEntry</v>
      </c>
      <c r="S160" s="127" t="str">
        <f t="shared" si="78"/>
        <v>ZeroEntry</v>
      </c>
      <c r="T160" s="128" t="str">
        <f>IF($Q160="ZeroEntry", "",VLOOKUP($I160,'Ranking Lookup'!#REF!,2,FALSE))</f>
        <v/>
      </c>
      <c r="U160" s="129" t="str">
        <f t="shared" si="79"/>
        <v/>
      </c>
      <c r="V160" s="129" t="str">
        <f t="shared" si="80"/>
        <v/>
      </c>
      <c r="W160" s="129" t="str">
        <f t="shared" si="81"/>
        <v/>
      </c>
      <c r="X160" s="129" t="str">
        <f t="shared" si="82"/>
        <v/>
      </c>
      <c r="Y160" s="129" t="str">
        <f t="shared" si="83"/>
        <v/>
      </c>
      <c r="Z160" s="129" t="str">
        <f t="shared" si="84"/>
        <v/>
      </c>
      <c r="AA160" s="130"/>
      <c r="AB160" s="130" t="str">
        <f t="shared" si="85"/>
        <v>Unassigned</v>
      </c>
      <c r="AC160" s="131" t="str">
        <f t="shared" si="99"/>
        <v/>
      </c>
      <c r="AD160" s="131" t="str">
        <f t="shared" si="100"/>
        <v/>
      </c>
      <c r="AE160" s="132">
        <f t="shared" si="86"/>
        <v>0</v>
      </c>
      <c r="AF160" s="133" t="str">
        <f t="shared" si="101"/>
        <v/>
      </c>
      <c r="AG160" s="134">
        <f t="shared" si="87"/>
        <v>0</v>
      </c>
      <c r="AH160" s="54" t="str">
        <f t="shared" si="88"/>
        <v/>
      </c>
      <c r="AI160" s="54" t="str">
        <f t="shared" si="104"/>
        <v/>
      </c>
      <c r="AJ160" s="54" t="str">
        <f t="shared" si="104"/>
        <v/>
      </c>
      <c r="AK160" s="54" t="str">
        <f t="shared" si="104"/>
        <v/>
      </c>
      <c r="AL160" s="54" t="str">
        <f t="shared" si="104"/>
        <v/>
      </c>
      <c r="AM160" s="54" t="str">
        <f t="shared" si="104"/>
        <v/>
      </c>
      <c r="AN160" s="54" t="str">
        <f t="shared" si="104"/>
        <v/>
      </c>
      <c r="AO160" s="54" t="str">
        <f t="shared" si="104"/>
        <v/>
      </c>
      <c r="AP160" s="54" t="str">
        <f t="shared" si="104"/>
        <v/>
      </c>
      <c r="AQ160" s="54" t="str">
        <f t="shared" si="104"/>
        <v/>
      </c>
      <c r="AR160" s="54" t="str">
        <f t="shared" si="104"/>
        <v/>
      </c>
      <c r="AS160" s="54" t="str">
        <f t="shared" si="104"/>
        <v/>
      </c>
      <c r="AT160" s="54" t="str">
        <f t="shared" si="104"/>
        <v/>
      </c>
      <c r="AU160" s="54" t="str">
        <f t="shared" si="104"/>
        <v/>
      </c>
      <c r="AV160" s="54" t="str">
        <f t="shared" si="104"/>
        <v/>
      </c>
      <c r="AW160" s="54" t="str">
        <f t="shared" si="104"/>
        <v/>
      </c>
      <c r="AX160" s="54" t="str">
        <f t="shared" si="104"/>
        <v/>
      </c>
      <c r="AY160" s="54" t="str">
        <f t="shared" si="90"/>
        <v/>
      </c>
      <c r="AZ160" s="54" t="str">
        <f t="shared" si="91"/>
        <v/>
      </c>
      <c r="BA160" s="54" t="str">
        <f t="shared" si="92"/>
        <v/>
      </c>
      <c r="BB160" s="135" t="str">
        <f t="shared" si="93"/>
        <v/>
      </c>
      <c r="BC160" s="54" t="str">
        <f t="shared" si="102"/>
        <v/>
      </c>
      <c r="BD160" s="54" t="str">
        <f t="shared" si="102"/>
        <v/>
      </c>
      <c r="BE160" s="54" t="str">
        <f t="shared" si="102"/>
        <v/>
      </c>
      <c r="BF160" s="54" t="str">
        <f t="shared" si="94"/>
        <v/>
      </c>
      <c r="BG160" s="54" t="str">
        <f t="shared" si="95"/>
        <v/>
      </c>
      <c r="BH160" s="34" t="str">
        <f t="shared" si="96"/>
        <v>Bad</v>
      </c>
      <c r="BI160" s="34" t="str">
        <f t="shared" si="97"/>
        <v>No</v>
      </c>
      <c r="BJ160" s="136" t="str">
        <f>IF($D160&lt;&gt;"Feature",".",
IF(VLOOKUP($B160,Feature_List!$A:$AM,MATCH(BJ$1,  Feature_List!$A$1:$AM$1,0),0)=B160,".","NO"))</f>
        <v>.</v>
      </c>
      <c r="BK160" s="136"/>
      <c r="BL160" s="136"/>
      <c r="BM160" s="136" t="str">
        <f>IF($D160&lt;&gt;"Feature",".",
IF(VLOOKUP($B160,Feature_List!$A:$AM,MATCH(BM$1,  Feature_List!$A$1:$AM$1,0),0)=E160,".","NO"))</f>
        <v>.</v>
      </c>
      <c r="BN160" s="136" t="str">
        <f>IF($D160&lt;&gt;"Feature",".",
IF(VLOOKUP($B160,Feature_List!$A:$AM,MATCH(BN$1,  Feature_List!$A$1:$AM$1,0),0)=F160,".","NO"))</f>
        <v>.</v>
      </c>
      <c r="BO160" s="136" t="str">
        <f>IF($D160&lt;&gt;"Feature",".",
IF(VLOOKUP($B160,Feature_List!$A:$AM,MATCH(BO$1,  Feature_List!$A$1:$AM$1,0),0)=G160,".","NO"))</f>
        <v>.</v>
      </c>
      <c r="BP160" s="136" t="str">
        <f>IF($D160&lt;&gt;"Feature",".",
IF(VLOOKUP($B160,Feature_List!$A:$AM,MATCH(BP$1,  Feature_List!$A$1:$AM$1,0),0)=H160,".","NO"))</f>
        <v>.</v>
      </c>
      <c r="BQ160" s="136"/>
      <c r="BR160" s="136" t="str">
        <f>IF($D160&lt;&gt;"Feature",".",
IF(VLOOKUP($B160,Feature_List!$A:$AM,MATCH(BR$1,  Feature_List!$A$1:$AM$1,0),0)=J160,".","NO"))</f>
        <v>.</v>
      </c>
      <c r="BS160" s="136"/>
      <c r="BT160" s="136"/>
      <c r="BU160" s="136" t="str">
        <f>IF($D160&lt;&gt;"Feature",".",
IF(VLOOKUP($B160,Feature_List!$A:$AM,MATCH(BU$1,  Feature_List!$A$1:$AM$1,0),0)=M160,".","NO"))</f>
        <v>.</v>
      </c>
      <c r="BV160" s="136" t="str">
        <f>IF($D160&lt;&gt;"Feature",".",
IF(VLOOKUP($B160,Feature_List!$A:$AM,MATCH(BV$1,  Feature_List!$A$1:$AM$1,0),0)=N160,".","NO"))</f>
        <v>.</v>
      </c>
      <c r="BW160" s="136"/>
      <c r="BX160" s="136"/>
      <c r="BY160" s="136"/>
      <c r="BZ160" s="136"/>
      <c r="CA160" s="136"/>
      <c r="CB160" s="136" t="str">
        <f>IF($D160&lt;&gt;"Feature",".",
IF(VLOOKUP($B160,Feature_List!$A:$AM,MATCH(CB$1,  Feature_List!$A$1:$AM$1,0),0)=T160,".","NO"))</f>
        <v>.</v>
      </c>
      <c r="CC160" s="136"/>
      <c r="CD160" s="136"/>
      <c r="CE160" s="136"/>
      <c r="CF160" s="136"/>
      <c r="CG160" s="136"/>
      <c r="CH160" s="136"/>
      <c r="CI160" s="136"/>
      <c r="CJ160" s="136"/>
      <c r="CK160" s="136"/>
      <c r="CL160" s="136"/>
      <c r="CM160" s="136"/>
      <c r="CN160" s="136"/>
      <c r="CO160" s="136" t="str">
        <f>IF($D160&lt;&gt;"Feature",".",
IF(VLOOKUP($B160,Feature_List!$A:$AM,MATCH(CO$1,  Feature_List!$A$1:$AM$1,0),0)=AG160,".","NO"))</f>
        <v>.</v>
      </c>
      <c r="CP160" s="136" t="str">
        <f>IF($D160&lt;&gt;"Feature",".",
IF(VLOOKUP($B160,Feature_List!$A:$AM,MATCH(CP$1,  Feature_List!$A$1:$AM$1,0),0)=AH160,".","NO"))</f>
        <v>.</v>
      </c>
      <c r="CQ160" s="136" t="str">
        <f>IF($D160&lt;&gt;"Feature",".",
IF(VLOOKUP($B160,Feature_List!$A:$AM,MATCH(CQ$1,  Feature_List!$A$1:$AM$1,0),0)=AI160,".","NO"))</f>
        <v>.</v>
      </c>
      <c r="CR160" s="136" t="str">
        <f>IF($D160&lt;&gt;"Feature",".",
IF(VLOOKUP($B160,Feature_List!$A:$AM,MATCH(CR$1,  Feature_List!$A$1:$AM$1,0),0)=AJ160,".","NO"))</f>
        <v>.</v>
      </c>
      <c r="CS160" s="136" t="str">
        <f>IF($D160&lt;&gt;"Feature",".",
IF(VLOOKUP($B160,Feature_List!$A:$AM,MATCH(CS$1,  Feature_List!$A$1:$AM$1,0),0)=AK160,".","NO"))</f>
        <v>.</v>
      </c>
      <c r="CT160" s="136" t="str">
        <f>IF($D160&lt;&gt;"Feature",".",
IF(VLOOKUP($B160,Feature_List!$A:$AM,MATCH(CT$1,  Feature_List!$A$1:$AM$1,0),0)=AL160,".","NO"))</f>
        <v>.</v>
      </c>
      <c r="CU160" s="136" t="str">
        <f>IF($D160&lt;&gt;"Feature",".",
IF(VLOOKUP($B160,Feature_List!$A:$AM,MATCH(CU$1,  Feature_List!$A$1:$AM$1,0),0)=AM160,".","NO"))</f>
        <v>.</v>
      </c>
      <c r="CV160" s="136" t="str">
        <f>IF($D160&lt;&gt;"Feature",".",
IF(VLOOKUP($B160,Feature_List!$A:$AM,MATCH(CV$1,  Feature_List!$A$1:$AM$1,0),0)=AN160,".","NO"))</f>
        <v>.</v>
      </c>
      <c r="CW160" s="136" t="str">
        <f>IF($D160&lt;&gt;"Feature",".",
IF(VLOOKUP($B160,Feature_List!$A:$AM,MATCH(CW$1,  Feature_List!$A$1:$AM$1,0),0)=AO160,".","NO"))</f>
        <v>.</v>
      </c>
      <c r="CX160" s="136" t="str">
        <f>IF($D160&lt;&gt;"Feature",".",
IF(VLOOKUP($B160,Feature_List!$A:$AM,MATCH(CX$1,  Feature_List!$A$1:$AM$1,0),0)=AP160,".","NO"))</f>
        <v>.</v>
      </c>
      <c r="CY160" s="136" t="str">
        <f>IF($D160&lt;&gt;"Feature",".",
IF(VLOOKUP($B160,Feature_List!$A:$AM,MATCH(CY$1,  Feature_List!$A$1:$AM$1,0),0)=AQ160,".","NO"))</f>
        <v>.</v>
      </c>
      <c r="CZ160" s="136" t="str">
        <f>IF($D160&lt;&gt;"Feature",".",
IF(VLOOKUP($B160,Feature_List!$A:$AM,MATCH(CZ$1,  Feature_List!$A$1:$AM$1,0),0)=AR160,".","NO"))</f>
        <v>.</v>
      </c>
      <c r="DA160" s="136" t="str">
        <f>IF($D160&lt;&gt;"Feature",".",
IF(VLOOKUP($B160,Feature_List!$A:$AM,MATCH(DA$1,  Feature_List!$A$1:$AM$1,0),0)=AS160,".","NO"))</f>
        <v>.</v>
      </c>
      <c r="DB160" s="136" t="str">
        <f>IF($D160&lt;&gt;"Feature",".",
IF(VLOOKUP($B160,Feature_List!$A:$AM,MATCH(DB$1,  Feature_List!$A$1:$AM$1,0),0)=AT160,".","NO"))</f>
        <v>.</v>
      </c>
      <c r="DC160" s="136" t="str">
        <f>IF($D160&lt;&gt;"Feature",".",
IF(VLOOKUP($B160,Feature_List!$A:$AM,MATCH(DC$1,  Feature_List!$A$1:$AM$1,0),0)=AU160,".","NO"))</f>
        <v>.</v>
      </c>
      <c r="DD160" s="136" t="str">
        <f>IF($D160&lt;&gt;"Feature",".",
IF(VLOOKUP($B160,Feature_List!$A:$AM,MATCH(DD$1,  Feature_List!$A$1:$AM$1,0),0)=AV160,".","NO"))</f>
        <v>.</v>
      </c>
      <c r="DE160" s="136" t="str">
        <f>IF($D160&lt;&gt;"Feature",".",
IF(VLOOKUP($B160,Feature_List!$A:$AM,MATCH(DE$1,  Feature_List!$A$1:$AM$1,0),0)=AW160,".","NO"))</f>
        <v>.</v>
      </c>
      <c r="DF160" s="136" t="str">
        <f>IF($D160&lt;&gt;"Feature",".",
IF(VLOOKUP($B160,Feature_List!$A:$AM,MATCH(DF$1,  Feature_List!$A$1:$AM$1,0),0)=AX160,".","NO"))</f>
        <v>.</v>
      </c>
      <c r="DG160" s="136" t="str">
        <f>IF($D160&lt;&gt;"Feature",".",
IF(VLOOKUP($B160,Feature_List!$A:$AM,MATCH(DG$1,  Feature_List!$A$1:$AM$1,0),0)=AY160,".","NO"))</f>
        <v>.</v>
      </c>
      <c r="DH160" s="136" t="str">
        <f>IF($D160&lt;&gt;"Feature",".",
IF(VLOOKUP($B160,Feature_List!$A:$AM,MATCH(DH$1,  Feature_List!$A$1:$AM$1,0),0)=AZ160,".","NO"))</f>
        <v>.</v>
      </c>
      <c r="DI160" s="136" t="str">
        <f>IF($D160&lt;&gt;"Feature",".",
IF(VLOOKUP($B160,Feature_List!$A:$AM,MATCH(DI$1,  Feature_List!$A$1:$AM$1,0),0)=BA160,".","NO"))</f>
        <v>.</v>
      </c>
      <c r="DJ160" s="136" t="str">
        <f>IF($D160&lt;&gt;"Feature",".",
IF(VLOOKUP($B160,Feature_List!$A:$AM,MATCH(DJ$1,  Feature_List!$A$1:$AM$1,0),0)=BB160,".","NO"))</f>
        <v>.</v>
      </c>
      <c r="DK160" s="136"/>
      <c r="DL160" s="136"/>
      <c r="DM160" s="136"/>
      <c r="DN160" s="136" t="str">
        <f>IF($D160&lt;&gt;"Feature",".",
IF(VLOOKUP($B160,Feature_List!$A:$AM,MATCH(DN$1,  Feature_List!$A$1:$AM$1,0),0)=BC160,".","NO"))</f>
        <v>.</v>
      </c>
      <c r="DO160" s="136" t="str">
        <f>IF($D160&lt;&gt;"Feature",".",
IF(VLOOKUP($B160,Feature_List!$A:$AM,MATCH(DO$1,  Feature_List!$A$1:$AM$1,0),0)=BD160,".","NO"))</f>
        <v>.</v>
      </c>
    </row>
    <row r="161" spans="2:119" x14ac:dyDescent="0.3">
      <c r="B161" s="121"/>
      <c r="C161" s="122"/>
      <c r="D161" s="122"/>
      <c r="E161" s="122"/>
      <c r="F161" s="138"/>
      <c r="G161" s="123"/>
      <c r="H161" s="122"/>
      <c r="I161" s="124"/>
      <c r="J161" s="138"/>
      <c r="K161" s="123"/>
      <c r="L161" s="122"/>
      <c r="M161" s="122"/>
      <c r="N161" s="125"/>
      <c r="O161" s="123">
        <f t="shared" si="75"/>
        <v>0</v>
      </c>
      <c r="P161" s="123">
        <f t="shared" si="76"/>
        <v>0</v>
      </c>
      <c r="Q161" s="122" t="str">
        <f t="shared" si="98"/>
        <v>ZeroEntry</v>
      </c>
      <c r="R161" s="126" t="str">
        <f t="shared" si="77"/>
        <v>ZeroEntry</v>
      </c>
      <c r="S161" s="127" t="str">
        <f t="shared" si="78"/>
        <v>ZeroEntry</v>
      </c>
      <c r="T161" s="128" t="str">
        <f>IF($Q161="ZeroEntry", "",VLOOKUP($I161,'Ranking Lookup'!#REF!,2,FALSE))</f>
        <v/>
      </c>
      <c r="U161" s="129" t="str">
        <f t="shared" si="79"/>
        <v/>
      </c>
      <c r="V161" s="129" t="str">
        <f t="shared" si="80"/>
        <v/>
      </c>
      <c r="W161" s="129" t="str">
        <f t="shared" si="81"/>
        <v/>
      </c>
      <c r="X161" s="129" t="str">
        <f t="shared" si="82"/>
        <v/>
      </c>
      <c r="Y161" s="129" t="str">
        <f t="shared" si="83"/>
        <v/>
      </c>
      <c r="Z161" s="129" t="str">
        <f t="shared" si="84"/>
        <v/>
      </c>
      <c r="AA161" s="130"/>
      <c r="AB161" s="130" t="str">
        <f t="shared" si="85"/>
        <v>Unassigned</v>
      </c>
      <c r="AC161" s="131" t="str">
        <f t="shared" si="99"/>
        <v/>
      </c>
      <c r="AD161" s="131" t="str">
        <f t="shared" si="100"/>
        <v/>
      </c>
      <c r="AE161" s="132">
        <f t="shared" si="86"/>
        <v>0</v>
      </c>
      <c r="AF161" s="133" t="str">
        <f t="shared" si="101"/>
        <v/>
      </c>
      <c r="AG161" s="134">
        <f t="shared" si="87"/>
        <v>0</v>
      </c>
      <c r="AH161" s="54" t="str">
        <f t="shared" si="88"/>
        <v/>
      </c>
      <c r="AI161" s="54" t="str">
        <f t="shared" si="104"/>
        <v/>
      </c>
      <c r="AJ161" s="54" t="str">
        <f t="shared" si="104"/>
        <v/>
      </c>
      <c r="AK161" s="54" t="str">
        <f t="shared" si="104"/>
        <v/>
      </c>
      <c r="AL161" s="54" t="str">
        <f t="shared" si="104"/>
        <v/>
      </c>
      <c r="AM161" s="54" t="str">
        <f t="shared" si="104"/>
        <v/>
      </c>
      <c r="AN161" s="54" t="str">
        <f t="shared" si="104"/>
        <v/>
      </c>
      <c r="AO161" s="54" t="str">
        <f t="shared" si="104"/>
        <v/>
      </c>
      <c r="AP161" s="54" t="str">
        <f t="shared" si="104"/>
        <v/>
      </c>
      <c r="AQ161" s="54" t="str">
        <f t="shared" si="104"/>
        <v/>
      </c>
      <c r="AR161" s="54" t="str">
        <f t="shared" si="104"/>
        <v/>
      </c>
      <c r="AS161" s="54" t="str">
        <f t="shared" si="104"/>
        <v/>
      </c>
      <c r="AT161" s="54" t="str">
        <f t="shared" si="104"/>
        <v/>
      </c>
      <c r="AU161" s="54" t="str">
        <f t="shared" si="104"/>
        <v/>
      </c>
      <c r="AV161" s="54" t="str">
        <f t="shared" si="104"/>
        <v/>
      </c>
      <c r="AW161" s="54" t="str">
        <f t="shared" si="104"/>
        <v/>
      </c>
      <c r="AX161" s="54" t="str">
        <f t="shared" ref="AX161" si="105">IF(AND($Q161="Feature",LEFT($AB161,2)="PI"),
IF(AND(COUNTIF($R:$R,$B161)=1,$T161=AX$1), IF($AB161=$A$10,$AF161,0),
IF(OR($AD161&lt;1,RIGHT($G161,8)="Progress",$AH161&gt;0),SUMIFS($O:$O,$R:$R,$B161,$T:$T,AX$1,$P:$P,"&lt;&gt;Done",$AB:$AB,$A$10),
IF($T161=AX$1,IF($AB161=$A$10,$AD161,0)+SUMIFS($O:$O,$R:$R,$B161,$T:$T,AX$1,$P:$P,"&lt;&gt;Done",$AB:$AB,$A$10),SUMIFS($O:$O,$R:$R,$B161,$T:$T,AX$1,$P:$P,"&lt;&gt;Done",$AB:$AB,$A$10)))),
IF(AND(OR($Q161="Story",$Q161="Problem",$Q161="Enhancement"),$AB161=$A$10,$R161=0,$T161=AX$1,$P161&lt;&gt;"Done"),$O161,""))</f>
        <v/>
      </c>
      <c r="AY161" s="54" t="str">
        <f t="shared" si="90"/>
        <v/>
      </c>
      <c r="AZ161" s="54" t="str">
        <f t="shared" si="91"/>
        <v/>
      </c>
      <c r="BA161" s="54" t="str">
        <f t="shared" si="92"/>
        <v/>
      </c>
      <c r="BB161" s="135" t="str">
        <f t="shared" si="93"/>
        <v/>
      </c>
      <c r="BC161" s="54" t="str">
        <f t="shared" si="102"/>
        <v/>
      </c>
      <c r="BD161" s="54" t="str">
        <f t="shared" si="102"/>
        <v/>
      </c>
      <c r="BE161" s="54" t="str">
        <f t="shared" si="102"/>
        <v/>
      </c>
      <c r="BF161" s="54" t="str">
        <f t="shared" si="94"/>
        <v/>
      </c>
      <c r="BG161" s="54" t="str">
        <f t="shared" si="95"/>
        <v/>
      </c>
      <c r="BH161" s="34" t="str">
        <f t="shared" si="96"/>
        <v>Bad</v>
      </c>
      <c r="BI161" s="34" t="str">
        <f t="shared" si="97"/>
        <v>No</v>
      </c>
      <c r="BJ161" s="136" t="str">
        <f>IF($D161&lt;&gt;"Feature",".",
IF(VLOOKUP($B161,Feature_List!$A:$AM,MATCH(BJ$1,  Feature_List!$A$1:$AM$1,0),0)=B161,".","NO"))</f>
        <v>.</v>
      </c>
      <c r="BK161" s="136"/>
      <c r="BL161" s="136"/>
      <c r="BM161" s="136" t="str">
        <f>IF($D161&lt;&gt;"Feature",".",
IF(VLOOKUP($B161,Feature_List!$A:$AM,MATCH(BM$1,  Feature_List!$A$1:$AM$1,0),0)=E161,".","NO"))</f>
        <v>.</v>
      </c>
      <c r="BN161" s="136" t="str">
        <f>IF($D161&lt;&gt;"Feature",".",
IF(VLOOKUP($B161,Feature_List!$A:$AM,MATCH(BN$1,  Feature_List!$A$1:$AM$1,0),0)=F161,".","NO"))</f>
        <v>.</v>
      </c>
      <c r="BO161" s="136" t="str">
        <f>IF($D161&lt;&gt;"Feature",".",
IF(VLOOKUP($B161,Feature_List!$A:$AM,MATCH(BO$1,  Feature_List!$A$1:$AM$1,0),0)=G161,".","NO"))</f>
        <v>.</v>
      </c>
      <c r="BP161" s="136" t="str">
        <f>IF($D161&lt;&gt;"Feature",".",
IF(VLOOKUP($B161,Feature_List!$A:$AM,MATCH(BP$1,  Feature_List!$A$1:$AM$1,0),0)=H161,".","NO"))</f>
        <v>.</v>
      </c>
      <c r="BQ161" s="136"/>
      <c r="BR161" s="136" t="str">
        <f>IF($D161&lt;&gt;"Feature",".",
IF(VLOOKUP($B161,Feature_List!$A:$AM,MATCH(BR$1,  Feature_List!$A$1:$AM$1,0),0)=J161,".","NO"))</f>
        <v>.</v>
      </c>
      <c r="BS161" s="136"/>
      <c r="BT161" s="136"/>
      <c r="BU161" s="136" t="str">
        <f>IF($D161&lt;&gt;"Feature",".",
IF(VLOOKUP($B161,Feature_List!$A:$AM,MATCH(BU$1,  Feature_List!$A$1:$AM$1,0),0)=M161,".","NO"))</f>
        <v>.</v>
      </c>
      <c r="BV161" s="136" t="str">
        <f>IF($D161&lt;&gt;"Feature",".",
IF(VLOOKUP($B161,Feature_List!$A:$AM,MATCH(BV$1,  Feature_List!$A$1:$AM$1,0),0)=N161,".","NO"))</f>
        <v>.</v>
      </c>
      <c r="BW161" s="136"/>
      <c r="BX161" s="136"/>
      <c r="BY161" s="136"/>
      <c r="BZ161" s="136"/>
      <c r="CA161" s="136"/>
      <c r="CB161" s="136" t="str">
        <f>IF($D161&lt;&gt;"Feature",".",
IF(VLOOKUP($B161,Feature_List!$A:$AM,MATCH(CB$1,  Feature_List!$A$1:$AM$1,0),0)=T161,".","NO"))</f>
        <v>.</v>
      </c>
      <c r="CC161" s="136"/>
      <c r="CD161" s="136"/>
      <c r="CE161" s="136"/>
      <c r="CF161" s="136"/>
      <c r="CG161" s="136"/>
      <c r="CH161" s="136"/>
      <c r="CI161" s="136"/>
      <c r="CJ161" s="136"/>
      <c r="CK161" s="136"/>
      <c r="CL161" s="136"/>
      <c r="CM161" s="136"/>
      <c r="CN161" s="136"/>
      <c r="CO161" s="136" t="str">
        <f>IF($D161&lt;&gt;"Feature",".",
IF(VLOOKUP($B161,Feature_List!$A:$AM,MATCH(CO$1,  Feature_List!$A$1:$AM$1,0),0)=AG161,".","NO"))</f>
        <v>.</v>
      </c>
      <c r="CP161" s="136" t="str">
        <f>IF($D161&lt;&gt;"Feature",".",
IF(VLOOKUP($B161,Feature_List!$A:$AM,MATCH(CP$1,  Feature_List!$A$1:$AM$1,0),0)=AH161,".","NO"))</f>
        <v>.</v>
      </c>
      <c r="CQ161" s="136" t="str">
        <f>IF($D161&lt;&gt;"Feature",".",
IF(VLOOKUP($B161,Feature_List!$A:$AM,MATCH(CQ$1,  Feature_List!$A$1:$AM$1,0),0)=AI161,".","NO"))</f>
        <v>.</v>
      </c>
      <c r="CR161" s="136" t="str">
        <f>IF($D161&lt;&gt;"Feature",".",
IF(VLOOKUP($B161,Feature_List!$A:$AM,MATCH(CR$1,  Feature_List!$A$1:$AM$1,0),0)=AJ161,".","NO"))</f>
        <v>.</v>
      </c>
      <c r="CS161" s="136" t="str">
        <f>IF($D161&lt;&gt;"Feature",".",
IF(VLOOKUP($B161,Feature_List!$A:$AM,MATCH(CS$1,  Feature_List!$A$1:$AM$1,0),0)=AK161,".","NO"))</f>
        <v>.</v>
      </c>
      <c r="CT161" s="136" t="str">
        <f>IF($D161&lt;&gt;"Feature",".",
IF(VLOOKUP($B161,Feature_List!$A:$AM,MATCH(CT$1,  Feature_List!$A$1:$AM$1,0),0)=AL161,".","NO"))</f>
        <v>.</v>
      </c>
      <c r="CU161" s="136" t="str">
        <f>IF($D161&lt;&gt;"Feature",".",
IF(VLOOKUP($B161,Feature_List!$A:$AM,MATCH(CU$1,  Feature_List!$A$1:$AM$1,0),0)=AM161,".","NO"))</f>
        <v>.</v>
      </c>
      <c r="CV161" s="136" t="str">
        <f>IF($D161&lt;&gt;"Feature",".",
IF(VLOOKUP($B161,Feature_List!$A:$AM,MATCH(CV$1,  Feature_List!$A$1:$AM$1,0),0)=AN161,".","NO"))</f>
        <v>.</v>
      </c>
      <c r="CW161" s="136" t="str">
        <f>IF($D161&lt;&gt;"Feature",".",
IF(VLOOKUP($B161,Feature_List!$A:$AM,MATCH(CW$1,  Feature_List!$A$1:$AM$1,0),0)=AO161,".","NO"))</f>
        <v>.</v>
      </c>
      <c r="CX161" s="136" t="str">
        <f>IF($D161&lt;&gt;"Feature",".",
IF(VLOOKUP($B161,Feature_List!$A:$AM,MATCH(CX$1,  Feature_List!$A$1:$AM$1,0),0)=AP161,".","NO"))</f>
        <v>.</v>
      </c>
      <c r="CY161" s="136" t="str">
        <f>IF($D161&lt;&gt;"Feature",".",
IF(VLOOKUP($B161,Feature_List!$A:$AM,MATCH(CY$1,  Feature_List!$A$1:$AM$1,0),0)=AQ161,".","NO"))</f>
        <v>.</v>
      </c>
      <c r="CZ161" s="136" t="str">
        <f>IF($D161&lt;&gt;"Feature",".",
IF(VLOOKUP($B161,Feature_List!$A:$AM,MATCH(CZ$1,  Feature_List!$A$1:$AM$1,0),0)=AR161,".","NO"))</f>
        <v>.</v>
      </c>
      <c r="DA161" s="136" t="str">
        <f>IF($D161&lt;&gt;"Feature",".",
IF(VLOOKUP($B161,Feature_List!$A:$AM,MATCH(DA$1,  Feature_List!$A$1:$AM$1,0),0)=AS161,".","NO"))</f>
        <v>.</v>
      </c>
      <c r="DB161" s="136" t="str">
        <f>IF($D161&lt;&gt;"Feature",".",
IF(VLOOKUP($B161,Feature_List!$A:$AM,MATCH(DB$1,  Feature_List!$A$1:$AM$1,0),0)=AT161,".","NO"))</f>
        <v>.</v>
      </c>
      <c r="DC161" s="136" t="str">
        <f>IF($D161&lt;&gt;"Feature",".",
IF(VLOOKUP($B161,Feature_List!$A:$AM,MATCH(DC$1,  Feature_List!$A$1:$AM$1,0),0)=AU161,".","NO"))</f>
        <v>.</v>
      </c>
      <c r="DD161" s="136" t="str">
        <f>IF($D161&lt;&gt;"Feature",".",
IF(VLOOKUP($B161,Feature_List!$A:$AM,MATCH(DD$1,  Feature_List!$A$1:$AM$1,0),0)=AV161,".","NO"))</f>
        <v>.</v>
      </c>
      <c r="DE161" s="136" t="str">
        <f>IF($D161&lt;&gt;"Feature",".",
IF(VLOOKUP($B161,Feature_List!$A:$AM,MATCH(DE$1,  Feature_List!$A$1:$AM$1,0),0)=AW161,".","NO"))</f>
        <v>.</v>
      </c>
      <c r="DF161" s="136" t="str">
        <f>IF($D161&lt;&gt;"Feature",".",
IF(VLOOKUP($B161,Feature_List!$A:$AM,MATCH(DF$1,  Feature_List!$A$1:$AM$1,0),0)=AX161,".","NO"))</f>
        <v>.</v>
      </c>
      <c r="DG161" s="136" t="str">
        <f>IF($D161&lt;&gt;"Feature",".",
IF(VLOOKUP($B161,Feature_List!$A:$AM,MATCH(DG$1,  Feature_List!$A$1:$AM$1,0),0)=AY161,".","NO"))</f>
        <v>.</v>
      </c>
      <c r="DH161" s="136" t="str">
        <f>IF($D161&lt;&gt;"Feature",".",
IF(VLOOKUP($B161,Feature_List!$A:$AM,MATCH(DH$1,  Feature_List!$A$1:$AM$1,0),0)=AZ161,".","NO"))</f>
        <v>.</v>
      </c>
      <c r="DI161" s="136" t="str">
        <f>IF($D161&lt;&gt;"Feature",".",
IF(VLOOKUP($B161,Feature_List!$A:$AM,MATCH(DI$1,  Feature_List!$A$1:$AM$1,0),0)=BA161,".","NO"))</f>
        <v>.</v>
      </c>
      <c r="DJ161" s="136" t="str">
        <f>IF($D161&lt;&gt;"Feature",".",
IF(VLOOKUP($B161,Feature_List!$A:$AM,MATCH(DJ$1,  Feature_List!$A$1:$AM$1,0),0)=BB161,".","NO"))</f>
        <v>.</v>
      </c>
      <c r="DK161" s="136"/>
      <c r="DL161" s="136"/>
      <c r="DM161" s="136"/>
      <c r="DN161" s="136" t="str">
        <f>IF($D161&lt;&gt;"Feature",".",
IF(VLOOKUP($B161,Feature_List!$A:$AM,MATCH(DN$1,  Feature_List!$A$1:$AM$1,0),0)=BC161,".","NO"))</f>
        <v>.</v>
      </c>
      <c r="DO161" s="136" t="str">
        <f>IF($D161&lt;&gt;"Feature",".",
IF(VLOOKUP($B161,Feature_List!$A:$AM,MATCH(DO$1,  Feature_List!$A$1:$AM$1,0),0)=BD161,".","NO"))</f>
        <v>.</v>
      </c>
    </row>
    <row r="162" spans="2:119" x14ac:dyDescent="0.3">
      <c r="B162" s="121"/>
      <c r="C162" s="122"/>
      <c r="D162" s="122"/>
      <c r="E162" s="122"/>
      <c r="F162" s="138"/>
      <c r="G162" s="123"/>
      <c r="H162" s="122"/>
      <c r="I162" s="124"/>
      <c r="J162" s="138"/>
      <c r="K162" s="123"/>
      <c r="L162" s="122"/>
      <c r="M162" s="122"/>
      <c r="N162" s="125"/>
      <c r="O162" s="123">
        <f t="shared" si="75"/>
        <v>0</v>
      </c>
      <c r="P162" s="123">
        <f t="shared" si="76"/>
        <v>0</v>
      </c>
      <c r="Q162" s="122" t="str">
        <f t="shared" si="98"/>
        <v>ZeroEntry</v>
      </c>
      <c r="R162" s="126" t="str">
        <f t="shared" si="77"/>
        <v>ZeroEntry</v>
      </c>
      <c r="S162" s="127" t="str">
        <f t="shared" si="78"/>
        <v>ZeroEntry</v>
      </c>
      <c r="T162" s="128" t="str">
        <f>IF($Q162="ZeroEntry", "",VLOOKUP($I162,'Ranking Lookup'!#REF!,2,FALSE))</f>
        <v/>
      </c>
      <c r="U162" s="129" t="str">
        <f t="shared" si="79"/>
        <v/>
      </c>
      <c r="V162" s="129" t="str">
        <f t="shared" si="80"/>
        <v/>
      </c>
      <c r="W162" s="129" t="str">
        <f t="shared" si="81"/>
        <v/>
      </c>
      <c r="X162" s="129" t="str">
        <f t="shared" si="82"/>
        <v/>
      </c>
      <c r="Y162" s="129" t="str">
        <f t="shared" si="83"/>
        <v/>
      </c>
      <c r="Z162" s="129" t="str">
        <f t="shared" si="84"/>
        <v/>
      </c>
      <c r="AA162" s="130"/>
      <c r="AB162" s="130" t="str">
        <f t="shared" si="85"/>
        <v>Unassigned</v>
      </c>
      <c r="AC162" s="131" t="str">
        <f t="shared" si="99"/>
        <v/>
      </c>
      <c r="AD162" s="131" t="str">
        <f t="shared" si="100"/>
        <v/>
      </c>
      <c r="AE162" s="132">
        <f t="shared" si="86"/>
        <v>0</v>
      </c>
      <c r="AF162" s="133" t="str">
        <f t="shared" si="101"/>
        <v/>
      </c>
      <c r="AG162" s="134">
        <f t="shared" si="87"/>
        <v>0</v>
      </c>
      <c r="AH162" s="54" t="str">
        <f t="shared" si="88"/>
        <v/>
      </c>
      <c r="AI162" s="54" t="str">
        <f t="shared" ref="AI162:AX177" si="106">IF(AND($Q162="Feature",LEFT($AB162,2)="PI"),
IF(AND(COUNTIF($R:$R,$B162)=1,$T162=AI$1), IF($AB162=$A$10,$AF162,0),
IF(OR($AD162&lt;1,RIGHT($G162,8)="Progress",$AH162&gt;0),SUMIFS($O:$O,$R:$R,$B162,$T:$T,AI$1,$P:$P,"&lt;&gt;Done",$AB:$AB,$A$10),
IF($T162=AI$1,IF($AB162=$A$10,$AD162,0)+SUMIFS($O:$O,$R:$R,$B162,$T:$T,AI$1,$P:$P,"&lt;&gt;Done",$AB:$AB,$A$10),SUMIFS($O:$O,$R:$R,$B162,$T:$T,AI$1,$P:$P,"&lt;&gt;Done",$AB:$AB,$A$10)))),
IF(AND(OR($Q162="Story",$Q162="Problem",$Q162="Enhancement"),$AB162=$A$10,$R162=0,$T162=AI$1,$P162&lt;&gt;"Done"),$O162,""))</f>
        <v/>
      </c>
      <c r="AJ162" s="54" t="str">
        <f t="shared" si="106"/>
        <v/>
      </c>
      <c r="AK162" s="54" t="str">
        <f t="shared" si="106"/>
        <v/>
      </c>
      <c r="AL162" s="54" t="str">
        <f t="shared" si="106"/>
        <v/>
      </c>
      <c r="AM162" s="54" t="str">
        <f t="shared" si="106"/>
        <v/>
      </c>
      <c r="AN162" s="54" t="str">
        <f t="shared" si="106"/>
        <v/>
      </c>
      <c r="AO162" s="54" t="str">
        <f t="shared" si="106"/>
        <v/>
      </c>
      <c r="AP162" s="54" t="str">
        <f t="shared" si="106"/>
        <v/>
      </c>
      <c r="AQ162" s="54" t="str">
        <f t="shared" si="106"/>
        <v/>
      </c>
      <c r="AR162" s="54" t="str">
        <f t="shared" si="106"/>
        <v/>
      </c>
      <c r="AS162" s="54" t="str">
        <f t="shared" si="106"/>
        <v/>
      </c>
      <c r="AT162" s="54" t="str">
        <f t="shared" si="106"/>
        <v/>
      </c>
      <c r="AU162" s="54" t="str">
        <f t="shared" si="106"/>
        <v/>
      </c>
      <c r="AV162" s="54" t="str">
        <f t="shared" si="106"/>
        <v/>
      </c>
      <c r="AW162" s="54" t="str">
        <f t="shared" si="106"/>
        <v/>
      </c>
      <c r="AX162" s="54" t="str">
        <f t="shared" si="106"/>
        <v/>
      </c>
      <c r="AY162" s="54" t="str">
        <f t="shared" si="90"/>
        <v/>
      </c>
      <c r="AZ162" s="54" t="str">
        <f t="shared" si="91"/>
        <v/>
      </c>
      <c r="BA162" s="54" t="str">
        <f t="shared" si="92"/>
        <v/>
      </c>
      <c r="BB162" s="135" t="str">
        <f t="shared" si="93"/>
        <v/>
      </c>
      <c r="BC162" s="54" t="str">
        <f t="shared" ref="BC162:BE181" si="107">IF(AND($Q162="Feature",LEFT($AB162,2)="PI"),
IF(AND(COUNTIF($R:$R,$B162)=1,$T162=BC$1), IF($AB162=$A$10,$AF162,0),
IF(OR($AD162&lt;1,RIGHT($G162,8)="Progress"),SUMIFS($O:$O,$R:$R,$B162,$T:$T,BC$1,$P:$P,"&lt;&gt;Done",$AB:$AB,$A$10),
IF($T162=BC$1, IF($AB162=$A$10,$AD162,0)+SUMIFS($O:$O,$R:$R,$B162,$T:$T,BC$1,$P:$P,"&lt;&gt;Done",$AB:$AB,$A$10),SUMIFS($O:$O,$R:$R,$B162,$T:$T,BC$1,$P:$P,"&lt;&gt;Done",$AB:$AB,$A$10)))),
IF(AND(OR($Q162="Story",$Q162="Problem",$Q162="Enhancement"),$AB162=$A$10,$R162=0,$T162=BC$1,$P162&lt;&gt;"Done"),$O162,""))</f>
        <v/>
      </c>
      <c r="BD162" s="54" t="str">
        <f t="shared" si="107"/>
        <v/>
      </c>
      <c r="BE162" s="54" t="str">
        <f t="shared" si="107"/>
        <v/>
      </c>
      <c r="BF162" s="54" t="str">
        <f t="shared" si="94"/>
        <v/>
      </c>
      <c r="BG162" s="54" t="str">
        <f t="shared" si="95"/>
        <v/>
      </c>
      <c r="BH162" s="34" t="str">
        <f t="shared" si="96"/>
        <v>Bad</v>
      </c>
      <c r="BI162" s="34" t="str">
        <f t="shared" si="97"/>
        <v>No</v>
      </c>
      <c r="BJ162" s="136" t="str">
        <f>IF($D162&lt;&gt;"Feature",".",
IF(VLOOKUP($B162,Feature_List!$A:$AM,MATCH(BJ$1,  Feature_List!$A$1:$AM$1,0),0)=B162,".","NO"))</f>
        <v>.</v>
      </c>
      <c r="BK162" s="136"/>
      <c r="BL162" s="136"/>
      <c r="BM162" s="136" t="str">
        <f>IF($D162&lt;&gt;"Feature",".",
IF(VLOOKUP($B162,Feature_List!$A:$AM,MATCH(BM$1,  Feature_List!$A$1:$AM$1,0),0)=E162,".","NO"))</f>
        <v>.</v>
      </c>
      <c r="BN162" s="136" t="str">
        <f>IF($D162&lt;&gt;"Feature",".",
IF(VLOOKUP($B162,Feature_List!$A:$AM,MATCH(BN$1,  Feature_List!$A$1:$AM$1,0),0)=F162,".","NO"))</f>
        <v>.</v>
      </c>
      <c r="BO162" s="136" t="str">
        <f>IF($D162&lt;&gt;"Feature",".",
IF(VLOOKUP($B162,Feature_List!$A:$AM,MATCH(BO$1,  Feature_List!$A$1:$AM$1,0),0)=G162,".","NO"))</f>
        <v>.</v>
      </c>
      <c r="BP162" s="136" t="str">
        <f>IF($D162&lt;&gt;"Feature",".",
IF(VLOOKUP($B162,Feature_List!$A:$AM,MATCH(BP$1,  Feature_List!$A$1:$AM$1,0),0)=H162,".","NO"))</f>
        <v>.</v>
      </c>
      <c r="BQ162" s="136"/>
      <c r="BR162" s="136" t="str">
        <f>IF($D162&lt;&gt;"Feature",".",
IF(VLOOKUP($B162,Feature_List!$A:$AM,MATCH(BR$1,  Feature_List!$A$1:$AM$1,0),0)=J162,".","NO"))</f>
        <v>.</v>
      </c>
      <c r="BS162" s="136"/>
      <c r="BT162" s="136"/>
      <c r="BU162" s="136" t="str">
        <f>IF($D162&lt;&gt;"Feature",".",
IF(VLOOKUP($B162,Feature_List!$A:$AM,MATCH(BU$1,  Feature_List!$A$1:$AM$1,0),0)=M162,".","NO"))</f>
        <v>.</v>
      </c>
      <c r="BV162" s="136" t="str">
        <f>IF($D162&lt;&gt;"Feature",".",
IF(VLOOKUP($B162,Feature_List!$A:$AM,MATCH(BV$1,  Feature_List!$A$1:$AM$1,0),0)=N162,".","NO"))</f>
        <v>.</v>
      </c>
      <c r="BW162" s="136"/>
      <c r="BX162" s="136"/>
      <c r="BY162" s="136"/>
      <c r="BZ162" s="136"/>
      <c r="CA162" s="136"/>
      <c r="CB162" s="136" t="str">
        <f>IF($D162&lt;&gt;"Feature",".",
IF(VLOOKUP($B162,Feature_List!$A:$AM,MATCH(CB$1,  Feature_List!$A$1:$AM$1,0),0)=T162,".","NO"))</f>
        <v>.</v>
      </c>
      <c r="CC162" s="136"/>
      <c r="CD162" s="136"/>
      <c r="CE162" s="136"/>
      <c r="CF162" s="136"/>
      <c r="CG162" s="136"/>
      <c r="CH162" s="136"/>
      <c r="CI162" s="136"/>
      <c r="CJ162" s="136"/>
      <c r="CK162" s="136"/>
      <c r="CL162" s="136"/>
      <c r="CM162" s="136"/>
      <c r="CN162" s="136"/>
      <c r="CO162" s="136" t="str">
        <f>IF($D162&lt;&gt;"Feature",".",
IF(VLOOKUP($B162,Feature_List!$A:$AM,MATCH(CO$1,  Feature_List!$A$1:$AM$1,0),0)=AG162,".","NO"))</f>
        <v>.</v>
      </c>
      <c r="CP162" s="136" t="str">
        <f>IF($D162&lt;&gt;"Feature",".",
IF(VLOOKUP($B162,Feature_List!$A:$AM,MATCH(CP$1,  Feature_List!$A$1:$AM$1,0),0)=AH162,".","NO"))</f>
        <v>.</v>
      </c>
      <c r="CQ162" s="136" t="str">
        <f>IF($D162&lt;&gt;"Feature",".",
IF(VLOOKUP($B162,Feature_List!$A:$AM,MATCH(CQ$1,  Feature_List!$A$1:$AM$1,0),0)=AI162,".","NO"))</f>
        <v>.</v>
      </c>
      <c r="CR162" s="136" t="str">
        <f>IF($D162&lt;&gt;"Feature",".",
IF(VLOOKUP($B162,Feature_List!$A:$AM,MATCH(CR$1,  Feature_List!$A$1:$AM$1,0),0)=AJ162,".","NO"))</f>
        <v>.</v>
      </c>
      <c r="CS162" s="136" t="str">
        <f>IF($D162&lt;&gt;"Feature",".",
IF(VLOOKUP($B162,Feature_List!$A:$AM,MATCH(CS$1,  Feature_List!$A$1:$AM$1,0),0)=AK162,".","NO"))</f>
        <v>.</v>
      </c>
      <c r="CT162" s="136" t="str">
        <f>IF($D162&lt;&gt;"Feature",".",
IF(VLOOKUP($B162,Feature_List!$A:$AM,MATCH(CT$1,  Feature_List!$A$1:$AM$1,0),0)=AL162,".","NO"))</f>
        <v>.</v>
      </c>
      <c r="CU162" s="136" t="str">
        <f>IF($D162&lt;&gt;"Feature",".",
IF(VLOOKUP($B162,Feature_List!$A:$AM,MATCH(CU$1,  Feature_List!$A$1:$AM$1,0),0)=AM162,".","NO"))</f>
        <v>.</v>
      </c>
      <c r="CV162" s="136" t="str">
        <f>IF($D162&lt;&gt;"Feature",".",
IF(VLOOKUP($B162,Feature_List!$A:$AM,MATCH(CV$1,  Feature_List!$A$1:$AM$1,0),0)=AN162,".","NO"))</f>
        <v>.</v>
      </c>
      <c r="CW162" s="136" t="str">
        <f>IF($D162&lt;&gt;"Feature",".",
IF(VLOOKUP($B162,Feature_List!$A:$AM,MATCH(CW$1,  Feature_List!$A$1:$AM$1,0),0)=AO162,".","NO"))</f>
        <v>.</v>
      </c>
      <c r="CX162" s="136" t="str">
        <f>IF($D162&lt;&gt;"Feature",".",
IF(VLOOKUP($B162,Feature_List!$A:$AM,MATCH(CX$1,  Feature_List!$A$1:$AM$1,0),0)=AP162,".","NO"))</f>
        <v>.</v>
      </c>
      <c r="CY162" s="136" t="str">
        <f>IF($D162&lt;&gt;"Feature",".",
IF(VLOOKUP($B162,Feature_List!$A:$AM,MATCH(CY$1,  Feature_List!$A$1:$AM$1,0),0)=AQ162,".","NO"))</f>
        <v>.</v>
      </c>
      <c r="CZ162" s="136" t="str">
        <f>IF($D162&lt;&gt;"Feature",".",
IF(VLOOKUP($B162,Feature_List!$A:$AM,MATCH(CZ$1,  Feature_List!$A$1:$AM$1,0),0)=AR162,".","NO"))</f>
        <v>.</v>
      </c>
      <c r="DA162" s="136" t="str">
        <f>IF($D162&lt;&gt;"Feature",".",
IF(VLOOKUP($B162,Feature_List!$A:$AM,MATCH(DA$1,  Feature_List!$A$1:$AM$1,0),0)=AS162,".","NO"))</f>
        <v>.</v>
      </c>
      <c r="DB162" s="136" t="str">
        <f>IF($D162&lt;&gt;"Feature",".",
IF(VLOOKUP($B162,Feature_List!$A:$AM,MATCH(DB$1,  Feature_List!$A$1:$AM$1,0),0)=AT162,".","NO"))</f>
        <v>.</v>
      </c>
      <c r="DC162" s="136" t="str">
        <f>IF($D162&lt;&gt;"Feature",".",
IF(VLOOKUP($B162,Feature_List!$A:$AM,MATCH(DC$1,  Feature_List!$A$1:$AM$1,0),0)=AU162,".","NO"))</f>
        <v>.</v>
      </c>
      <c r="DD162" s="136" t="str">
        <f>IF($D162&lt;&gt;"Feature",".",
IF(VLOOKUP($B162,Feature_List!$A:$AM,MATCH(DD$1,  Feature_List!$A$1:$AM$1,0),0)=AV162,".","NO"))</f>
        <v>.</v>
      </c>
      <c r="DE162" s="136" t="str">
        <f>IF($D162&lt;&gt;"Feature",".",
IF(VLOOKUP($B162,Feature_List!$A:$AM,MATCH(DE$1,  Feature_List!$A$1:$AM$1,0),0)=AW162,".","NO"))</f>
        <v>.</v>
      </c>
      <c r="DF162" s="136" t="str">
        <f>IF($D162&lt;&gt;"Feature",".",
IF(VLOOKUP($B162,Feature_List!$A:$AM,MATCH(DF$1,  Feature_List!$A$1:$AM$1,0),0)=AX162,".","NO"))</f>
        <v>.</v>
      </c>
      <c r="DG162" s="136" t="str">
        <f>IF($D162&lt;&gt;"Feature",".",
IF(VLOOKUP($B162,Feature_List!$A:$AM,MATCH(DG$1,  Feature_List!$A$1:$AM$1,0),0)=AY162,".","NO"))</f>
        <v>.</v>
      </c>
      <c r="DH162" s="136" t="str">
        <f>IF($D162&lt;&gt;"Feature",".",
IF(VLOOKUP($B162,Feature_List!$A:$AM,MATCH(DH$1,  Feature_List!$A$1:$AM$1,0),0)=AZ162,".","NO"))</f>
        <v>.</v>
      </c>
      <c r="DI162" s="136" t="str">
        <f>IF($D162&lt;&gt;"Feature",".",
IF(VLOOKUP($B162,Feature_List!$A:$AM,MATCH(DI$1,  Feature_List!$A$1:$AM$1,0),0)=BA162,".","NO"))</f>
        <v>.</v>
      </c>
      <c r="DJ162" s="136" t="str">
        <f>IF($D162&lt;&gt;"Feature",".",
IF(VLOOKUP($B162,Feature_List!$A:$AM,MATCH(DJ$1,  Feature_List!$A$1:$AM$1,0),0)=BB162,".","NO"))</f>
        <v>.</v>
      </c>
      <c r="DK162" s="136"/>
      <c r="DL162" s="136"/>
      <c r="DM162" s="136"/>
      <c r="DN162" s="136" t="str">
        <f>IF($D162&lt;&gt;"Feature",".",
IF(VLOOKUP($B162,Feature_List!$A:$AM,MATCH(DN$1,  Feature_List!$A$1:$AM$1,0),0)=BC162,".","NO"))</f>
        <v>.</v>
      </c>
      <c r="DO162" s="136" t="str">
        <f>IF($D162&lt;&gt;"Feature",".",
IF(VLOOKUP($B162,Feature_List!$A:$AM,MATCH(DO$1,  Feature_List!$A$1:$AM$1,0),0)=BD162,".","NO"))</f>
        <v>.</v>
      </c>
    </row>
    <row r="163" spans="2:119" x14ac:dyDescent="0.3">
      <c r="B163" s="121"/>
      <c r="C163" s="123"/>
      <c r="D163" s="122"/>
      <c r="E163" s="122"/>
      <c r="F163" s="138"/>
      <c r="G163" s="123"/>
      <c r="H163" s="122"/>
      <c r="I163" s="124"/>
      <c r="J163" s="138"/>
      <c r="K163" s="123"/>
      <c r="L163" s="122"/>
      <c r="M163" s="122"/>
      <c r="N163" s="125"/>
      <c r="O163" s="123">
        <f t="shared" si="75"/>
        <v>0</v>
      </c>
      <c r="P163" s="123">
        <f t="shared" si="76"/>
        <v>0</v>
      </c>
      <c r="Q163" s="122" t="str">
        <f t="shared" si="98"/>
        <v>ZeroEntry</v>
      </c>
      <c r="R163" s="126" t="str">
        <f t="shared" si="77"/>
        <v>ZeroEntry</v>
      </c>
      <c r="S163" s="127" t="str">
        <f t="shared" si="78"/>
        <v>ZeroEntry</v>
      </c>
      <c r="T163" s="128" t="str">
        <f>IF($Q163="ZeroEntry", "",VLOOKUP($I163,'Ranking Lookup'!#REF!,2,FALSE))</f>
        <v/>
      </c>
      <c r="U163" s="129" t="str">
        <f t="shared" si="79"/>
        <v/>
      </c>
      <c r="V163" s="129" t="str">
        <f t="shared" si="80"/>
        <v/>
      </c>
      <c r="W163" s="129" t="str">
        <f t="shared" si="81"/>
        <v/>
      </c>
      <c r="X163" s="129" t="str">
        <f t="shared" si="82"/>
        <v/>
      </c>
      <c r="Y163" s="129" t="str">
        <f t="shared" si="83"/>
        <v/>
      </c>
      <c r="Z163" s="129" t="str">
        <f t="shared" si="84"/>
        <v/>
      </c>
      <c r="AA163" s="130"/>
      <c r="AB163" s="130" t="str">
        <f t="shared" si="85"/>
        <v>Unassigned</v>
      </c>
      <c r="AC163" s="131" t="str">
        <f t="shared" si="99"/>
        <v/>
      </c>
      <c r="AD163" s="131" t="str">
        <f t="shared" si="100"/>
        <v/>
      </c>
      <c r="AE163" s="132">
        <f t="shared" si="86"/>
        <v>0</v>
      </c>
      <c r="AF163" s="133" t="str">
        <f t="shared" si="101"/>
        <v/>
      </c>
      <c r="AG163" s="134">
        <f t="shared" si="87"/>
        <v>0</v>
      </c>
      <c r="AH163" s="54" t="str">
        <f t="shared" si="88"/>
        <v/>
      </c>
      <c r="AI163" s="54" t="str">
        <f t="shared" si="106"/>
        <v/>
      </c>
      <c r="AJ163" s="54" t="str">
        <f t="shared" si="106"/>
        <v/>
      </c>
      <c r="AK163" s="54" t="str">
        <f t="shared" si="106"/>
        <v/>
      </c>
      <c r="AL163" s="54" t="str">
        <f t="shared" si="106"/>
        <v/>
      </c>
      <c r="AM163" s="54" t="str">
        <f t="shared" si="106"/>
        <v/>
      </c>
      <c r="AN163" s="54" t="str">
        <f t="shared" si="106"/>
        <v/>
      </c>
      <c r="AO163" s="54" t="str">
        <f t="shared" si="106"/>
        <v/>
      </c>
      <c r="AP163" s="54" t="str">
        <f t="shared" si="106"/>
        <v/>
      </c>
      <c r="AQ163" s="54" t="str">
        <f t="shared" si="106"/>
        <v/>
      </c>
      <c r="AR163" s="54" t="str">
        <f t="shared" si="106"/>
        <v/>
      </c>
      <c r="AS163" s="54" t="str">
        <f t="shared" si="106"/>
        <v/>
      </c>
      <c r="AT163" s="54" t="str">
        <f t="shared" si="106"/>
        <v/>
      </c>
      <c r="AU163" s="54" t="str">
        <f t="shared" si="106"/>
        <v/>
      </c>
      <c r="AV163" s="54" t="str">
        <f t="shared" si="106"/>
        <v/>
      </c>
      <c r="AW163" s="54" t="str">
        <f t="shared" si="106"/>
        <v/>
      </c>
      <c r="AX163" s="54" t="str">
        <f t="shared" si="106"/>
        <v/>
      </c>
      <c r="AY163" s="54" t="str">
        <f t="shared" si="90"/>
        <v/>
      </c>
      <c r="AZ163" s="54" t="str">
        <f t="shared" si="91"/>
        <v/>
      </c>
      <c r="BA163" s="54" t="str">
        <f t="shared" si="92"/>
        <v/>
      </c>
      <c r="BB163" s="135" t="str">
        <f t="shared" si="93"/>
        <v/>
      </c>
      <c r="BC163" s="54" t="str">
        <f t="shared" si="107"/>
        <v/>
      </c>
      <c r="BD163" s="54" t="str">
        <f t="shared" si="107"/>
        <v/>
      </c>
      <c r="BE163" s="54" t="str">
        <f t="shared" si="107"/>
        <v/>
      </c>
      <c r="BF163" s="54" t="str">
        <f t="shared" si="94"/>
        <v/>
      </c>
      <c r="BG163" s="54" t="str">
        <f t="shared" si="95"/>
        <v/>
      </c>
      <c r="BH163" s="34" t="str">
        <f t="shared" si="96"/>
        <v>Bad</v>
      </c>
      <c r="BI163" s="34" t="str">
        <f t="shared" si="97"/>
        <v>No</v>
      </c>
      <c r="BJ163" s="136" t="str">
        <f>IF($D163&lt;&gt;"Feature",".",
IF(VLOOKUP($B163,Feature_List!$A:$AM,MATCH(BJ$1,  Feature_List!$A$1:$AM$1,0),0)=B163,".","NO"))</f>
        <v>.</v>
      </c>
      <c r="BK163" s="136"/>
      <c r="BL163" s="136"/>
      <c r="BM163" s="136" t="str">
        <f>IF($D163&lt;&gt;"Feature",".",
IF(VLOOKUP($B163,Feature_List!$A:$AM,MATCH(BM$1,  Feature_List!$A$1:$AM$1,0),0)=E163,".","NO"))</f>
        <v>.</v>
      </c>
      <c r="BN163" s="136" t="str">
        <f>IF($D163&lt;&gt;"Feature",".",
IF(VLOOKUP($B163,Feature_List!$A:$AM,MATCH(BN$1,  Feature_List!$A$1:$AM$1,0),0)=F163,".","NO"))</f>
        <v>.</v>
      </c>
      <c r="BO163" s="136" t="str">
        <f>IF($D163&lt;&gt;"Feature",".",
IF(VLOOKUP($B163,Feature_List!$A:$AM,MATCH(BO$1,  Feature_List!$A$1:$AM$1,0),0)=G163,".","NO"))</f>
        <v>.</v>
      </c>
      <c r="BP163" s="136" t="str">
        <f>IF($D163&lt;&gt;"Feature",".",
IF(VLOOKUP($B163,Feature_List!$A:$AM,MATCH(BP$1,  Feature_List!$A$1:$AM$1,0),0)=H163,".","NO"))</f>
        <v>.</v>
      </c>
      <c r="BQ163" s="136"/>
      <c r="BR163" s="136" t="str">
        <f>IF($D163&lt;&gt;"Feature",".",
IF(VLOOKUP($B163,Feature_List!$A:$AM,MATCH(BR$1,  Feature_List!$A$1:$AM$1,0),0)=J163,".","NO"))</f>
        <v>.</v>
      </c>
      <c r="BS163" s="136"/>
      <c r="BT163" s="136"/>
      <c r="BU163" s="136" t="str">
        <f>IF($D163&lt;&gt;"Feature",".",
IF(VLOOKUP($B163,Feature_List!$A:$AM,MATCH(BU$1,  Feature_List!$A$1:$AM$1,0),0)=M163,".","NO"))</f>
        <v>.</v>
      </c>
      <c r="BV163" s="136" t="str">
        <f>IF($D163&lt;&gt;"Feature",".",
IF(VLOOKUP($B163,Feature_List!$A:$AM,MATCH(BV$1,  Feature_List!$A$1:$AM$1,0),0)=N163,".","NO"))</f>
        <v>.</v>
      </c>
      <c r="BW163" s="136"/>
      <c r="BX163" s="136"/>
      <c r="BY163" s="136"/>
      <c r="BZ163" s="136"/>
      <c r="CA163" s="136"/>
      <c r="CB163" s="136" t="str">
        <f>IF($D163&lt;&gt;"Feature",".",
IF(VLOOKUP($B163,Feature_List!$A:$AM,MATCH(CB$1,  Feature_List!$A$1:$AM$1,0),0)=T163,".","NO"))</f>
        <v>.</v>
      </c>
      <c r="CC163" s="136"/>
      <c r="CD163" s="136"/>
      <c r="CE163" s="136"/>
      <c r="CF163" s="136"/>
      <c r="CG163" s="136"/>
      <c r="CH163" s="136"/>
      <c r="CI163" s="136"/>
      <c r="CJ163" s="136"/>
      <c r="CK163" s="136"/>
      <c r="CL163" s="136"/>
      <c r="CM163" s="136"/>
      <c r="CN163" s="136"/>
      <c r="CO163" s="136" t="str">
        <f>IF($D163&lt;&gt;"Feature",".",
IF(VLOOKUP($B163,Feature_List!$A:$AM,MATCH(CO$1,  Feature_List!$A$1:$AM$1,0),0)=AG163,".","NO"))</f>
        <v>.</v>
      </c>
      <c r="CP163" s="136" t="str">
        <f>IF($D163&lt;&gt;"Feature",".",
IF(VLOOKUP($B163,Feature_List!$A:$AM,MATCH(CP$1,  Feature_List!$A$1:$AM$1,0),0)=AH163,".","NO"))</f>
        <v>.</v>
      </c>
      <c r="CQ163" s="136" t="str">
        <f>IF($D163&lt;&gt;"Feature",".",
IF(VLOOKUP($B163,Feature_List!$A:$AM,MATCH(CQ$1,  Feature_List!$A$1:$AM$1,0),0)=AI163,".","NO"))</f>
        <v>.</v>
      </c>
      <c r="CR163" s="136" t="str">
        <f>IF($D163&lt;&gt;"Feature",".",
IF(VLOOKUP($B163,Feature_List!$A:$AM,MATCH(CR$1,  Feature_List!$A$1:$AM$1,0),0)=AJ163,".","NO"))</f>
        <v>.</v>
      </c>
      <c r="CS163" s="136" t="str">
        <f>IF($D163&lt;&gt;"Feature",".",
IF(VLOOKUP($B163,Feature_List!$A:$AM,MATCH(CS$1,  Feature_List!$A$1:$AM$1,0),0)=AK163,".","NO"))</f>
        <v>.</v>
      </c>
      <c r="CT163" s="136" t="str">
        <f>IF($D163&lt;&gt;"Feature",".",
IF(VLOOKUP($B163,Feature_List!$A:$AM,MATCH(CT$1,  Feature_List!$A$1:$AM$1,0),0)=AL163,".","NO"))</f>
        <v>.</v>
      </c>
      <c r="CU163" s="136" t="str">
        <f>IF($D163&lt;&gt;"Feature",".",
IF(VLOOKUP($B163,Feature_List!$A:$AM,MATCH(CU$1,  Feature_List!$A$1:$AM$1,0),0)=AM163,".","NO"))</f>
        <v>.</v>
      </c>
      <c r="CV163" s="136" t="str">
        <f>IF($D163&lt;&gt;"Feature",".",
IF(VLOOKUP($B163,Feature_List!$A:$AM,MATCH(CV$1,  Feature_List!$A$1:$AM$1,0),0)=AN163,".","NO"))</f>
        <v>.</v>
      </c>
      <c r="CW163" s="136" t="str">
        <f>IF($D163&lt;&gt;"Feature",".",
IF(VLOOKUP($B163,Feature_List!$A:$AM,MATCH(CW$1,  Feature_List!$A$1:$AM$1,0),0)=AO163,".","NO"))</f>
        <v>.</v>
      </c>
      <c r="CX163" s="136" t="str">
        <f>IF($D163&lt;&gt;"Feature",".",
IF(VLOOKUP($B163,Feature_List!$A:$AM,MATCH(CX$1,  Feature_List!$A$1:$AM$1,0),0)=AP163,".","NO"))</f>
        <v>.</v>
      </c>
      <c r="CY163" s="136" t="str">
        <f>IF($D163&lt;&gt;"Feature",".",
IF(VLOOKUP($B163,Feature_List!$A:$AM,MATCH(CY$1,  Feature_List!$A$1:$AM$1,0),0)=AQ163,".","NO"))</f>
        <v>.</v>
      </c>
      <c r="CZ163" s="136" t="str">
        <f>IF($D163&lt;&gt;"Feature",".",
IF(VLOOKUP($B163,Feature_List!$A:$AM,MATCH(CZ$1,  Feature_List!$A$1:$AM$1,0),0)=AR163,".","NO"))</f>
        <v>.</v>
      </c>
      <c r="DA163" s="136" t="str">
        <f>IF($D163&lt;&gt;"Feature",".",
IF(VLOOKUP($B163,Feature_List!$A:$AM,MATCH(DA$1,  Feature_List!$A$1:$AM$1,0),0)=AS163,".","NO"))</f>
        <v>.</v>
      </c>
      <c r="DB163" s="136" t="str">
        <f>IF($D163&lt;&gt;"Feature",".",
IF(VLOOKUP($B163,Feature_List!$A:$AM,MATCH(DB$1,  Feature_List!$A$1:$AM$1,0),0)=AT163,".","NO"))</f>
        <v>.</v>
      </c>
      <c r="DC163" s="136" t="str">
        <f>IF($D163&lt;&gt;"Feature",".",
IF(VLOOKUP($B163,Feature_List!$A:$AM,MATCH(DC$1,  Feature_List!$A$1:$AM$1,0),0)=AU163,".","NO"))</f>
        <v>.</v>
      </c>
      <c r="DD163" s="136" t="str">
        <f>IF($D163&lt;&gt;"Feature",".",
IF(VLOOKUP($B163,Feature_List!$A:$AM,MATCH(DD$1,  Feature_List!$A$1:$AM$1,0),0)=AV163,".","NO"))</f>
        <v>.</v>
      </c>
      <c r="DE163" s="136" t="str">
        <f>IF($D163&lt;&gt;"Feature",".",
IF(VLOOKUP($B163,Feature_List!$A:$AM,MATCH(DE$1,  Feature_List!$A$1:$AM$1,0),0)=AW163,".","NO"))</f>
        <v>.</v>
      </c>
      <c r="DF163" s="136" t="str">
        <f>IF($D163&lt;&gt;"Feature",".",
IF(VLOOKUP($B163,Feature_List!$A:$AM,MATCH(DF$1,  Feature_List!$A$1:$AM$1,0),0)=AX163,".","NO"))</f>
        <v>.</v>
      </c>
      <c r="DG163" s="136" t="str">
        <f>IF($D163&lt;&gt;"Feature",".",
IF(VLOOKUP($B163,Feature_List!$A:$AM,MATCH(DG$1,  Feature_List!$A$1:$AM$1,0),0)=AY163,".","NO"))</f>
        <v>.</v>
      </c>
      <c r="DH163" s="136" t="str">
        <f>IF($D163&lt;&gt;"Feature",".",
IF(VLOOKUP($B163,Feature_List!$A:$AM,MATCH(DH$1,  Feature_List!$A$1:$AM$1,0),0)=AZ163,".","NO"))</f>
        <v>.</v>
      </c>
      <c r="DI163" s="136" t="str">
        <f>IF($D163&lt;&gt;"Feature",".",
IF(VLOOKUP($B163,Feature_List!$A:$AM,MATCH(DI$1,  Feature_List!$A$1:$AM$1,0),0)=BA163,".","NO"))</f>
        <v>.</v>
      </c>
      <c r="DJ163" s="136" t="str">
        <f>IF($D163&lt;&gt;"Feature",".",
IF(VLOOKUP($B163,Feature_List!$A:$AM,MATCH(DJ$1,  Feature_List!$A$1:$AM$1,0),0)=BB163,".","NO"))</f>
        <v>.</v>
      </c>
      <c r="DK163" s="136"/>
      <c r="DL163" s="136"/>
      <c r="DM163" s="136"/>
      <c r="DN163" s="136" t="str">
        <f>IF($D163&lt;&gt;"Feature",".",
IF(VLOOKUP($B163,Feature_List!$A:$AM,MATCH(DN$1,  Feature_List!$A$1:$AM$1,0),0)=BC163,".","NO"))</f>
        <v>.</v>
      </c>
      <c r="DO163" s="136" t="str">
        <f>IF($D163&lt;&gt;"Feature",".",
IF(VLOOKUP($B163,Feature_List!$A:$AM,MATCH(DO$1,  Feature_List!$A$1:$AM$1,0),0)=BD163,".","NO"))</f>
        <v>.</v>
      </c>
    </row>
    <row r="164" spans="2:119" x14ac:dyDescent="0.3">
      <c r="B164" s="121"/>
      <c r="C164" s="123"/>
      <c r="D164" s="122"/>
      <c r="E164" s="122"/>
      <c r="F164" s="138"/>
      <c r="G164" s="123"/>
      <c r="H164" s="122"/>
      <c r="I164" s="124"/>
      <c r="J164" s="138"/>
      <c r="K164" s="123"/>
      <c r="L164" s="122"/>
      <c r="M164" s="122"/>
      <c r="N164" s="125"/>
      <c r="O164" s="123">
        <f t="shared" si="75"/>
        <v>0</v>
      </c>
      <c r="P164" s="123">
        <f t="shared" si="76"/>
        <v>0</v>
      </c>
      <c r="Q164" s="122" t="str">
        <f t="shared" si="98"/>
        <v>ZeroEntry</v>
      </c>
      <c r="R164" s="126" t="str">
        <f t="shared" si="77"/>
        <v>ZeroEntry</v>
      </c>
      <c r="S164" s="127" t="str">
        <f t="shared" si="78"/>
        <v>ZeroEntry</v>
      </c>
      <c r="T164" s="128" t="str">
        <f>IF($Q164="ZeroEntry", "",VLOOKUP($I164,'Ranking Lookup'!#REF!,2,FALSE))</f>
        <v/>
      </c>
      <c r="U164" s="129" t="str">
        <f t="shared" si="79"/>
        <v/>
      </c>
      <c r="V164" s="129" t="str">
        <f t="shared" si="80"/>
        <v/>
      </c>
      <c r="W164" s="129" t="str">
        <f t="shared" si="81"/>
        <v/>
      </c>
      <c r="X164" s="129" t="str">
        <f t="shared" si="82"/>
        <v/>
      </c>
      <c r="Y164" s="129" t="str">
        <f t="shared" si="83"/>
        <v/>
      </c>
      <c r="Z164" s="129" t="str">
        <f t="shared" si="84"/>
        <v/>
      </c>
      <c r="AA164" s="130"/>
      <c r="AB164" s="130" t="str">
        <f t="shared" si="85"/>
        <v>Unassigned</v>
      </c>
      <c r="AC164" s="131" t="str">
        <f t="shared" si="99"/>
        <v/>
      </c>
      <c r="AD164" s="131" t="str">
        <f t="shared" si="100"/>
        <v/>
      </c>
      <c r="AE164" s="132">
        <f t="shared" si="86"/>
        <v>0</v>
      </c>
      <c r="AF164" s="133" t="str">
        <f t="shared" si="101"/>
        <v/>
      </c>
      <c r="AG164" s="134">
        <f t="shared" si="87"/>
        <v>0</v>
      </c>
      <c r="AH164" s="54" t="str">
        <f t="shared" si="88"/>
        <v/>
      </c>
      <c r="AI164" s="54" t="str">
        <f t="shared" si="106"/>
        <v/>
      </c>
      <c r="AJ164" s="54" t="str">
        <f t="shared" si="106"/>
        <v/>
      </c>
      <c r="AK164" s="54" t="str">
        <f t="shared" si="106"/>
        <v/>
      </c>
      <c r="AL164" s="54" t="str">
        <f t="shared" si="106"/>
        <v/>
      </c>
      <c r="AM164" s="54" t="str">
        <f t="shared" si="106"/>
        <v/>
      </c>
      <c r="AN164" s="54" t="str">
        <f t="shared" si="106"/>
        <v/>
      </c>
      <c r="AO164" s="54" t="str">
        <f t="shared" si="106"/>
        <v/>
      </c>
      <c r="AP164" s="54" t="str">
        <f t="shared" si="106"/>
        <v/>
      </c>
      <c r="AQ164" s="54" t="str">
        <f t="shared" si="106"/>
        <v/>
      </c>
      <c r="AR164" s="54" t="str">
        <f t="shared" si="106"/>
        <v/>
      </c>
      <c r="AS164" s="54" t="str">
        <f t="shared" si="106"/>
        <v/>
      </c>
      <c r="AT164" s="54" t="str">
        <f t="shared" si="106"/>
        <v/>
      </c>
      <c r="AU164" s="54" t="str">
        <f t="shared" si="106"/>
        <v/>
      </c>
      <c r="AV164" s="54" t="str">
        <f t="shared" si="106"/>
        <v/>
      </c>
      <c r="AW164" s="54" t="str">
        <f t="shared" si="106"/>
        <v/>
      </c>
      <c r="AX164" s="54" t="str">
        <f t="shared" si="106"/>
        <v/>
      </c>
      <c r="AY164" s="54" t="str">
        <f t="shared" si="90"/>
        <v/>
      </c>
      <c r="AZ164" s="54" t="str">
        <f t="shared" si="91"/>
        <v/>
      </c>
      <c r="BA164" s="54" t="str">
        <f t="shared" si="92"/>
        <v/>
      </c>
      <c r="BB164" s="135" t="str">
        <f t="shared" si="93"/>
        <v/>
      </c>
      <c r="BC164" s="54" t="str">
        <f t="shared" si="107"/>
        <v/>
      </c>
      <c r="BD164" s="54" t="str">
        <f t="shared" si="107"/>
        <v/>
      </c>
      <c r="BE164" s="54" t="str">
        <f t="shared" si="107"/>
        <v/>
      </c>
      <c r="BF164" s="54" t="str">
        <f t="shared" si="94"/>
        <v/>
      </c>
      <c r="BG164" s="54" t="str">
        <f t="shared" si="95"/>
        <v/>
      </c>
      <c r="BH164" s="34" t="str">
        <f t="shared" si="96"/>
        <v>Bad</v>
      </c>
      <c r="BI164" s="34" t="str">
        <f t="shared" si="97"/>
        <v>No</v>
      </c>
      <c r="BJ164" s="136" t="str">
        <f>IF($D164&lt;&gt;"Feature",".",
IF(VLOOKUP($B164,Feature_List!$A:$AM,MATCH(BJ$1,  Feature_List!$A$1:$AM$1,0),0)=B164,".","NO"))</f>
        <v>.</v>
      </c>
      <c r="BK164" s="136"/>
      <c r="BL164" s="136"/>
      <c r="BM164" s="136" t="str">
        <f>IF($D164&lt;&gt;"Feature",".",
IF(VLOOKUP($B164,Feature_List!$A:$AM,MATCH(BM$1,  Feature_List!$A$1:$AM$1,0),0)=E164,".","NO"))</f>
        <v>.</v>
      </c>
      <c r="BN164" s="136" t="str">
        <f>IF($D164&lt;&gt;"Feature",".",
IF(VLOOKUP($B164,Feature_List!$A:$AM,MATCH(BN$1,  Feature_List!$A$1:$AM$1,0),0)=F164,".","NO"))</f>
        <v>.</v>
      </c>
      <c r="BO164" s="136" t="str">
        <f>IF($D164&lt;&gt;"Feature",".",
IF(VLOOKUP($B164,Feature_List!$A:$AM,MATCH(BO$1,  Feature_List!$A$1:$AM$1,0),0)=G164,".","NO"))</f>
        <v>.</v>
      </c>
      <c r="BP164" s="136" t="str">
        <f>IF($D164&lt;&gt;"Feature",".",
IF(VLOOKUP($B164,Feature_List!$A:$AM,MATCH(BP$1,  Feature_List!$A$1:$AM$1,0),0)=H164,".","NO"))</f>
        <v>.</v>
      </c>
      <c r="BQ164" s="136"/>
      <c r="BR164" s="136" t="str">
        <f>IF($D164&lt;&gt;"Feature",".",
IF(VLOOKUP($B164,Feature_List!$A:$AM,MATCH(BR$1,  Feature_List!$A$1:$AM$1,0),0)=J164,".","NO"))</f>
        <v>.</v>
      </c>
      <c r="BS164" s="136"/>
      <c r="BT164" s="136"/>
      <c r="BU164" s="136" t="str">
        <f>IF($D164&lt;&gt;"Feature",".",
IF(VLOOKUP($B164,Feature_List!$A:$AM,MATCH(BU$1,  Feature_List!$A$1:$AM$1,0),0)=M164,".","NO"))</f>
        <v>.</v>
      </c>
      <c r="BV164" s="136" t="str">
        <f>IF($D164&lt;&gt;"Feature",".",
IF(VLOOKUP($B164,Feature_List!$A:$AM,MATCH(BV$1,  Feature_List!$A$1:$AM$1,0),0)=N164,".","NO"))</f>
        <v>.</v>
      </c>
      <c r="BW164" s="136"/>
      <c r="BX164" s="136"/>
      <c r="BY164" s="136"/>
      <c r="BZ164" s="136"/>
      <c r="CA164" s="136"/>
      <c r="CB164" s="136" t="str">
        <f>IF($D164&lt;&gt;"Feature",".",
IF(VLOOKUP($B164,Feature_List!$A:$AM,MATCH(CB$1,  Feature_List!$A$1:$AM$1,0),0)=T164,".","NO"))</f>
        <v>.</v>
      </c>
      <c r="CC164" s="136"/>
      <c r="CD164" s="136"/>
      <c r="CE164" s="136"/>
      <c r="CF164" s="136"/>
      <c r="CG164" s="136"/>
      <c r="CH164" s="136"/>
      <c r="CI164" s="136"/>
      <c r="CJ164" s="136"/>
      <c r="CK164" s="136"/>
      <c r="CL164" s="136"/>
      <c r="CM164" s="136"/>
      <c r="CN164" s="136"/>
      <c r="CO164" s="136" t="str">
        <f>IF($D164&lt;&gt;"Feature",".",
IF(VLOOKUP($B164,Feature_List!$A:$AM,MATCH(CO$1,  Feature_List!$A$1:$AM$1,0),0)=AG164,".","NO"))</f>
        <v>.</v>
      </c>
      <c r="CP164" s="136" t="str">
        <f>IF($D164&lt;&gt;"Feature",".",
IF(VLOOKUP($B164,Feature_List!$A:$AM,MATCH(CP$1,  Feature_List!$A$1:$AM$1,0),0)=AH164,".","NO"))</f>
        <v>.</v>
      </c>
      <c r="CQ164" s="136" t="str">
        <f>IF($D164&lt;&gt;"Feature",".",
IF(VLOOKUP($B164,Feature_List!$A:$AM,MATCH(CQ$1,  Feature_List!$A$1:$AM$1,0),0)=AI164,".","NO"))</f>
        <v>.</v>
      </c>
      <c r="CR164" s="136" t="str">
        <f>IF($D164&lt;&gt;"Feature",".",
IF(VLOOKUP($B164,Feature_List!$A:$AM,MATCH(CR$1,  Feature_List!$A$1:$AM$1,0),0)=AJ164,".","NO"))</f>
        <v>.</v>
      </c>
      <c r="CS164" s="136" t="str">
        <f>IF($D164&lt;&gt;"Feature",".",
IF(VLOOKUP($B164,Feature_List!$A:$AM,MATCH(CS$1,  Feature_List!$A$1:$AM$1,0),0)=AK164,".","NO"))</f>
        <v>.</v>
      </c>
      <c r="CT164" s="136" t="str">
        <f>IF($D164&lt;&gt;"Feature",".",
IF(VLOOKUP($B164,Feature_List!$A:$AM,MATCH(CT$1,  Feature_List!$A$1:$AM$1,0),0)=AL164,".","NO"))</f>
        <v>.</v>
      </c>
      <c r="CU164" s="136" t="str">
        <f>IF($D164&lt;&gt;"Feature",".",
IF(VLOOKUP($B164,Feature_List!$A:$AM,MATCH(CU$1,  Feature_List!$A$1:$AM$1,0),0)=AM164,".","NO"))</f>
        <v>.</v>
      </c>
      <c r="CV164" s="136" t="str">
        <f>IF($D164&lt;&gt;"Feature",".",
IF(VLOOKUP($B164,Feature_List!$A:$AM,MATCH(CV$1,  Feature_List!$A$1:$AM$1,0),0)=AN164,".","NO"))</f>
        <v>.</v>
      </c>
      <c r="CW164" s="136" t="str">
        <f>IF($D164&lt;&gt;"Feature",".",
IF(VLOOKUP($B164,Feature_List!$A:$AM,MATCH(CW$1,  Feature_List!$A$1:$AM$1,0),0)=AO164,".","NO"))</f>
        <v>.</v>
      </c>
      <c r="CX164" s="136" t="str">
        <f>IF($D164&lt;&gt;"Feature",".",
IF(VLOOKUP($B164,Feature_List!$A:$AM,MATCH(CX$1,  Feature_List!$A$1:$AM$1,0),0)=AP164,".","NO"))</f>
        <v>.</v>
      </c>
      <c r="CY164" s="136" t="str">
        <f>IF($D164&lt;&gt;"Feature",".",
IF(VLOOKUP($B164,Feature_List!$A:$AM,MATCH(CY$1,  Feature_List!$A$1:$AM$1,0),0)=AQ164,".","NO"))</f>
        <v>.</v>
      </c>
      <c r="CZ164" s="136" t="str">
        <f>IF($D164&lt;&gt;"Feature",".",
IF(VLOOKUP($B164,Feature_List!$A:$AM,MATCH(CZ$1,  Feature_List!$A$1:$AM$1,0),0)=AR164,".","NO"))</f>
        <v>.</v>
      </c>
      <c r="DA164" s="136" t="str">
        <f>IF($D164&lt;&gt;"Feature",".",
IF(VLOOKUP($B164,Feature_List!$A:$AM,MATCH(DA$1,  Feature_List!$A$1:$AM$1,0),0)=AS164,".","NO"))</f>
        <v>.</v>
      </c>
      <c r="DB164" s="136" t="str">
        <f>IF($D164&lt;&gt;"Feature",".",
IF(VLOOKUP($B164,Feature_List!$A:$AM,MATCH(DB$1,  Feature_List!$A$1:$AM$1,0),0)=AT164,".","NO"))</f>
        <v>.</v>
      </c>
      <c r="DC164" s="136" t="str">
        <f>IF($D164&lt;&gt;"Feature",".",
IF(VLOOKUP($B164,Feature_List!$A:$AM,MATCH(DC$1,  Feature_List!$A$1:$AM$1,0),0)=AU164,".","NO"))</f>
        <v>.</v>
      </c>
      <c r="DD164" s="136" t="str">
        <f>IF($D164&lt;&gt;"Feature",".",
IF(VLOOKUP($B164,Feature_List!$A:$AM,MATCH(DD$1,  Feature_List!$A$1:$AM$1,0),0)=AV164,".","NO"))</f>
        <v>.</v>
      </c>
      <c r="DE164" s="136" t="str">
        <f>IF($D164&lt;&gt;"Feature",".",
IF(VLOOKUP($B164,Feature_List!$A:$AM,MATCH(DE$1,  Feature_List!$A$1:$AM$1,0),0)=AW164,".","NO"))</f>
        <v>.</v>
      </c>
      <c r="DF164" s="136" t="str">
        <f>IF($D164&lt;&gt;"Feature",".",
IF(VLOOKUP($B164,Feature_List!$A:$AM,MATCH(DF$1,  Feature_List!$A$1:$AM$1,0),0)=AX164,".","NO"))</f>
        <v>.</v>
      </c>
      <c r="DG164" s="136" t="str">
        <f>IF($D164&lt;&gt;"Feature",".",
IF(VLOOKUP($B164,Feature_List!$A:$AM,MATCH(DG$1,  Feature_List!$A$1:$AM$1,0),0)=AY164,".","NO"))</f>
        <v>.</v>
      </c>
      <c r="DH164" s="136" t="str">
        <f>IF($D164&lt;&gt;"Feature",".",
IF(VLOOKUP($B164,Feature_List!$A:$AM,MATCH(DH$1,  Feature_List!$A$1:$AM$1,0),0)=AZ164,".","NO"))</f>
        <v>.</v>
      </c>
      <c r="DI164" s="136" t="str">
        <f>IF($D164&lt;&gt;"Feature",".",
IF(VLOOKUP($B164,Feature_List!$A:$AM,MATCH(DI$1,  Feature_List!$A$1:$AM$1,0),0)=BA164,".","NO"))</f>
        <v>.</v>
      </c>
      <c r="DJ164" s="136" t="str">
        <f>IF($D164&lt;&gt;"Feature",".",
IF(VLOOKUP($B164,Feature_List!$A:$AM,MATCH(DJ$1,  Feature_List!$A$1:$AM$1,0),0)=BB164,".","NO"))</f>
        <v>.</v>
      </c>
      <c r="DK164" s="136"/>
      <c r="DL164" s="136"/>
      <c r="DM164" s="136"/>
      <c r="DN164" s="136" t="str">
        <f>IF($D164&lt;&gt;"Feature",".",
IF(VLOOKUP($B164,Feature_List!$A:$AM,MATCH(DN$1,  Feature_List!$A$1:$AM$1,0),0)=BC164,".","NO"))</f>
        <v>.</v>
      </c>
      <c r="DO164" s="136" t="str">
        <f>IF($D164&lt;&gt;"Feature",".",
IF(VLOOKUP($B164,Feature_List!$A:$AM,MATCH(DO$1,  Feature_List!$A$1:$AM$1,0),0)=BD164,".","NO"))</f>
        <v>.</v>
      </c>
    </row>
    <row r="165" spans="2:119" x14ac:dyDescent="0.3">
      <c r="B165" s="121"/>
      <c r="C165" s="122"/>
      <c r="D165" s="122"/>
      <c r="E165" s="122"/>
      <c r="F165" s="138"/>
      <c r="G165" s="123"/>
      <c r="H165" s="122"/>
      <c r="I165" s="124"/>
      <c r="J165" s="138"/>
      <c r="K165" s="123"/>
      <c r="L165" s="122"/>
      <c r="M165" s="122"/>
      <c r="N165" s="125"/>
      <c r="O165" s="123">
        <f t="shared" si="75"/>
        <v>0</v>
      </c>
      <c r="P165" s="123">
        <f t="shared" si="76"/>
        <v>0</v>
      </c>
      <c r="Q165" s="122" t="str">
        <f t="shared" si="98"/>
        <v>ZeroEntry</v>
      </c>
      <c r="R165" s="126" t="str">
        <f t="shared" si="77"/>
        <v>ZeroEntry</v>
      </c>
      <c r="S165" s="127" t="str">
        <f t="shared" si="78"/>
        <v>ZeroEntry</v>
      </c>
      <c r="T165" s="128" t="str">
        <f>IF($Q165="ZeroEntry", "",VLOOKUP($I165,'Ranking Lookup'!#REF!,2,FALSE))</f>
        <v/>
      </c>
      <c r="U165" s="129" t="str">
        <f t="shared" si="79"/>
        <v/>
      </c>
      <c r="V165" s="129" t="str">
        <f t="shared" si="80"/>
        <v/>
      </c>
      <c r="W165" s="129" t="str">
        <f t="shared" si="81"/>
        <v/>
      </c>
      <c r="X165" s="129" t="str">
        <f t="shared" si="82"/>
        <v/>
      </c>
      <c r="Y165" s="129" t="str">
        <f t="shared" si="83"/>
        <v/>
      </c>
      <c r="Z165" s="129" t="str">
        <f t="shared" si="84"/>
        <v/>
      </c>
      <c r="AA165" s="130"/>
      <c r="AB165" s="130" t="str">
        <f t="shared" si="85"/>
        <v>Unassigned</v>
      </c>
      <c r="AC165" s="131" t="str">
        <f t="shared" si="99"/>
        <v/>
      </c>
      <c r="AD165" s="131" t="str">
        <f t="shared" si="100"/>
        <v/>
      </c>
      <c r="AE165" s="132">
        <f t="shared" si="86"/>
        <v>0</v>
      </c>
      <c r="AF165" s="133" t="str">
        <f t="shared" si="101"/>
        <v/>
      </c>
      <c r="AG165" s="134">
        <f t="shared" si="87"/>
        <v>0</v>
      </c>
      <c r="AH165" s="54" t="str">
        <f t="shared" si="88"/>
        <v/>
      </c>
      <c r="AI165" s="54" t="str">
        <f t="shared" si="106"/>
        <v/>
      </c>
      <c r="AJ165" s="54" t="str">
        <f t="shared" si="106"/>
        <v/>
      </c>
      <c r="AK165" s="54" t="str">
        <f t="shared" si="106"/>
        <v/>
      </c>
      <c r="AL165" s="54" t="str">
        <f t="shared" si="106"/>
        <v/>
      </c>
      <c r="AM165" s="54" t="str">
        <f t="shared" si="106"/>
        <v/>
      </c>
      <c r="AN165" s="54" t="str">
        <f t="shared" si="106"/>
        <v/>
      </c>
      <c r="AO165" s="54" t="str">
        <f t="shared" si="106"/>
        <v/>
      </c>
      <c r="AP165" s="54" t="str">
        <f t="shared" si="106"/>
        <v/>
      </c>
      <c r="AQ165" s="54" t="str">
        <f t="shared" si="106"/>
        <v/>
      </c>
      <c r="AR165" s="54" t="str">
        <f t="shared" si="106"/>
        <v/>
      </c>
      <c r="AS165" s="54" t="str">
        <f t="shared" si="106"/>
        <v/>
      </c>
      <c r="AT165" s="54" t="str">
        <f t="shared" si="106"/>
        <v/>
      </c>
      <c r="AU165" s="54" t="str">
        <f t="shared" si="106"/>
        <v/>
      </c>
      <c r="AV165" s="54" t="str">
        <f t="shared" si="106"/>
        <v/>
      </c>
      <c r="AW165" s="54" t="str">
        <f t="shared" si="106"/>
        <v/>
      </c>
      <c r="AX165" s="54" t="str">
        <f t="shared" si="106"/>
        <v/>
      </c>
      <c r="AY165" s="54" t="str">
        <f t="shared" si="90"/>
        <v/>
      </c>
      <c r="AZ165" s="54" t="str">
        <f t="shared" si="91"/>
        <v/>
      </c>
      <c r="BA165" s="54" t="str">
        <f t="shared" si="92"/>
        <v/>
      </c>
      <c r="BB165" s="135" t="str">
        <f t="shared" si="93"/>
        <v/>
      </c>
      <c r="BC165" s="54" t="str">
        <f t="shared" si="107"/>
        <v/>
      </c>
      <c r="BD165" s="54" t="str">
        <f t="shared" si="107"/>
        <v/>
      </c>
      <c r="BE165" s="54" t="str">
        <f t="shared" si="107"/>
        <v/>
      </c>
      <c r="BF165" s="54" t="str">
        <f t="shared" si="94"/>
        <v/>
      </c>
      <c r="BG165" s="54" t="str">
        <f t="shared" si="95"/>
        <v/>
      </c>
      <c r="BH165" s="34" t="str">
        <f t="shared" si="96"/>
        <v>Bad</v>
      </c>
      <c r="BI165" s="34" t="str">
        <f t="shared" si="97"/>
        <v>No</v>
      </c>
      <c r="BJ165" s="136" t="str">
        <f>IF($D165&lt;&gt;"Feature",".",
IF(VLOOKUP($B165,Feature_List!$A:$AM,MATCH(BJ$1,  Feature_List!$A$1:$AM$1,0),0)=B165,".","NO"))</f>
        <v>.</v>
      </c>
      <c r="BK165" s="136"/>
      <c r="BL165" s="136"/>
      <c r="BM165" s="136" t="str">
        <f>IF($D165&lt;&gt;"Feature",".",
IF(VLOOKUP($B165,Feature_List!$A:$AM,MATCH(BM$1,  Feature_List!$A$1:$AM$1,0),0)=E165,".","NO"))</f>
        <v>.</v>
      </c>
      <c r="BN165" s="136" t="str">
        <f>IF($D165&lt;&gt;"Feature",".",
IF(VLOOKUP($B165,Feature_List!$A:$AM,MATCH(BN$1,  Feature_List!$A$1:$AM$1,0),0)=F165,".","NO"))</f>
        <v>.</v>
      </c>
      <c r="BO165" s="136" t="str">
        <f>IF($D165&lt;&gt;"Feature",".",
IF(VLOOKUP($B165,Feature_List!$A:$AM,MATCH(BO$1,  Feature_List!$A$1:$AM$1,0),0)=G165,".","NO"))</f>
        <v>.</v>
      </c>
      <c r="BP165" s="136" t="str">
        <f>IF($D165&lt;&gt;"Feature",".",
IF(VLOOKUP($B165,Feature_List!$A:$AM,MATCH(BP$1,  Feature_List!$A$1:$AM$1,0),0)=H165,".","NO"))</f>
        <v>.</v>
      </c>
      <c r="BQ165" s="136"/>
      <c r="BR165" s="136" t="str">
        <f>IF($D165&lt;&gt;"Feature",".",
IF(VLOOKUP($B165,Feature_List!$A:$AM,MATCH(BR$1,  Feature_List!$A$1:$AM$1,0),0)=J165,".","NO"))</f>
        <v>.</v>
      </c>
      <c r="BS165" s="136"/>
      <c r="BT165" s="136"/>
      <c r="BU165" s="136" t="str">
        <f>IF($D165&lt;&gt;"Feature",".",
IF(VLOOKUP($B165,Feature_List!$A:$AM,MATCH(BU$1,  Feature_List!$A$1:$AM$1,0),0)=M165,".","NO"))</f>
        <v>.</v>
      </c>
      <c r="BV165" s="136" t="str">
        <f>IF($D165&lt;&gt;"Feature",".",
IF(VLOOKUP($B165,Feature_List!$A:$AM,MATCH(BV$1,  Feature_List!$A$1:$AM$1,0),0)=N165,".","NO"))</f>
        <v>.</v>
      </c>
      <c r="BW165" s="136"/>
      <c r="BX165" s="136"/>
      <c r="BY165" s="136"/>
      <c r="BZ165" s="136"/>
      <c r="CA165" s="136"/>
      <c r="CB165" s="136" t="str">
        <f>IF($D165&lt;&gt;"Feature",".",
IF(VLOOKUP($B165,Feature_List!$A:$AM,MATCH(CB$1,  Feature_List!$A$1:$AM$1,0),0)=T165,".","NO"))</f>
        <v>.</v>
      </c>
      <c r="CC165" s="136"/>
      <c r="CD165" s="136"/>
      <c r="CE165" s="136"/>
      <c r="CF165" s="136"/>
      <c r="CG165" s="136"/>
      <c r="CH165" s="136"/>
      <c r="CI165" s="136"/>
      <c r="CJ165" s="136"/>
      <c r="CK165" s="136"/>
      <c r="CL165" s="136"/>
      <c r="CM165" s="136"/>
      <c r="CN165" s="136"/>
      <c r="CO165" s="136" t="str">
        <f>IF($D165&lt;&gt;"Feature",".",
IF(VLOOKUP($B165,Feature_List!$A:$AM,MATCH(CO$1,  Feature_List!$A$1:$AM$1,0),0)=AG165,".","NO"))</f>
        <v>.</v>
      </c>
      <c r="CP165" s="136" t="str">
        <f>IF($D165&lt;&gt;"Feature",".",
IF(VLOOKUP($B165,Feature_List!$A:$AM,MATCH(CP$1,  Feature_List!$A$1:$AM$1,0),0)=AH165,".","NO"))</f>
        <v>.</v>
      </c>
      <c r="CQ165" s="136" t="str">
        <f>IF($D165&lt;&gt;"Feature",".",
IF(VLOOKUP($B165,Feature_List!$A:$AM,MATCH(CQ$1,  Feature_List!$A$1:$AM$1,0),0)=AI165,".","NO"))</f>
        <v>.</v>
      </c>
      <c r="CR165" s="136" t="str">
        <f>IF($D165&lt;&gt;"Feature",".",
IF(VLOOKUP($B165,Feature_List!$A:$AM,MATCH(CR$1,  Feature_List!$A$1:$AM$1,0),0)=AJ165,".","NO"))</f>
        <v>.</v>
      </c>
      <c r="CS165" s="136" t="str">
        <f>IF($D165&lt;&gt;"Feature",".",
IF(VLOOKUP($B165,Feature_List!$A:$AM,MATCH(CS$1,  Feature_List!$A$1:$AM$1,0),0)=AK165,".","NO"))</f>
        <v>.</v>
      </c>
      <c r="CT165" s="136" t="str">
        <f>IF($D165&lt;&gt;"Feature",".",
IF(VLOOKUP($B165,Feature_List!$A:$AM,MATCH(CT$1,  Feature_List!$A$1:$AM$1,0),0)=AL165,".","NO"))</f>
        <v>.</v>
      </c>
      <c r="CU165" s="136" t="str">
        <f>IF($D165&lt;&gt;"Feature",".",
IF(VLOOKUP($B165,Feature_List!$A:$AM,MATCH(CU$1,  Feature_List!$A$1:$AM$1,0),0)=AM165,".","NO"))</f>
        <v>.</v>
      </c>
      <c r="CV165" s="136" t="str">
        <f>IF($D165&lt;&gt;"Feature",".",
IF(VLOOKUP($B165,Feature_List!$A:$AM,MATCH(CV$1,  Feature_List!$A$1:$AM$1,0),0)=AN165,".","NO"))</f>
        <v>.</v>
      </c>
      <c r="CW165" s="136" t="str">
        <f>IF($D165&lt;&gt;"Feature",".",
IF(VLOOKUP($B165,Feature_List!$A:$AM,MATCH(CW$1,  Feature_List!$A$1:$AM$1,0),0)=AO165,".","NO"))</f>
        <v>.</v>
      </c>
      <c r="CX165" s="136" t="str">
        <f>IF($D165&lt;&gt;"Feature",".",
IF(VLOOKUP($B165,Feature_List!$A:$AM,MATCH(CX$1,  Feature_List!$A$1:$AM$1,0),0)=AP165,".","NO"))</f>
        <v>.</v>
      </c>
      <c r="CY165" s="136" t="str">
        <f>IF($D165&lt;&gt;"Feature",".",
IF(VLOOKUP($B165,Feature_List!$A:$AM,MATCH(CY$1,  Feature_List!$A$1:$AM$1,0),0)=AQ165,".","NO"))</f>
        <v>.</v>
      </c>
      <c r="CZ165" s="136" t="str">
        <f>IF($D165&lt;&gt;"Feature",".",
IF(VLOOKUP($B165,Feature_List!$A:$AM,MATCH(CZ$1,  Feature_List!$A$1:$AM$1,0),0)=AR165,".","NO"))</f>
        <v>.</v>
      </c>
      <c r="DA165" s="136" t="str">
        <f>IF($D165&lt;&gt;"Feature",".",
IF(VLOOKUP($B165,Feature_List!$A:$AM,MATCH(DA$1,  Feature_List!$A$1:$AM$1,0),0)=AS165,".","NO"))</f>
        <v>.</v>
      </c>
      <c r="DB165" s="136" t="str">
        <f>IF($D165&lt;&gt;"Feature",".",
IF(VLOOKUP($B165,Feature_List!$A:$AM,MATCH(DB$1,  Feature_List!$A$1:$AM$1,0),0)=AT165,".","NO"))</f>
        <v>.</v>
      </c>
      <c r="DC165" s="136" t="str">
        <f>IF($D165&lt;&gt;"Feature",".",
IF(VLOOKUP($B165,Feature_List!$A:$AM,MATCH(DC$1,  Feature_List!$A$1:$AM$1,0),0)=AU165,".","NO"))</f>
        <v>.</v>
      </c>
      <c r="DD165" s="136" t="str">
        <f>IF($D165&lt;&gt;"Feature",".",
IF(VLOOKUP($B165,Feature_List!$A:$AM,MATCH(DD$1,  Feature_List!$A$1:$AM$1,0),0)=AV165,".","NO"))</f>
        <v>.</v>
      </c>
      <c r="DE165" s="136" t="str">
        <f>IF($D165&lt;&gt;"Feature",".",
IF(VLOOKUP($B165,Feature_List!$A:$AM,MATCH(DE$1,  Feature_List!$A$1:$AM$1,0),0)=AW165,".","NO"))</f>
        <v>.</v>
      </c>
      <c r="DF165" s="136" t="str">
        <f>IF($D165&lt;&gt;"Feature",".",
IF(VLOOKUP($B165,Feature_List!$A:$AM,MATCH(DF$1,  Feature_List!$A$1:$AM$1,0),0)=AX165,".","NO"))</f>
        <v>.</v>
      </c>
      <c r="DG165" s="136" t="str">
        <f>IF($D165&lt;&gt;"Feature",".",
IF(VLOOKUP($B165,Feature_List!$A:$AM,MATCH(DG$1,  Feature_List!$A$1:$AM$1,0),0)=AY165,".","NO"))</f>
        <v>.</v>
      </c>
      <c r="DH165" s="136" t="str">
        <f>IF($D165&lt;&gt;"Feature",".",
IF(VLOOKUP($B165,Feature_List!$A:$AM,MATCH(DH$1,  Feature_List!$A$1:$AM$1,0),0)=AZ165,".","NO"))</f>
        <v>.</v>
      </c>
      <c r="DI165" s="136" t="str">
        <f>IF($D165&lt;&gt;"Feature",".",
IF(VLOOKUP($B165,Feature_List!$A:$AM,MATCH(DI$1,  Feature_List!$A$1:$AM$1,0),0)=BA165,".","NO"))</f>
        <v>.</v>
      </c>
      <c r="DJ165" s="136" t="str">
        <f>IF($D165&lt;&gt;"Feature",".",
IF(VLOOKUP($B165,Feature_List!$A:$AM,MATCH(DJ$1,  Feature_List!$A$1:$AM$1,0),0)=BB165,".","NO"))</f>
        <v>.</v>
      </c>
      <c r="DK165" s="136"/>
      <c r="DL165" s="136"/>
      <c r="DM165" s="136"/>
      <c r="DN165" s="136" t="str">
        <f>IF($D165&lt;&gt;"Feature",".",
IF(VLOOKUP($B165,Feature_List!$A:$AM,MATCH(DN$1,  Feature_List!$A$1:$AM$1,0),0)=BC165,".","NO"))</f>
        <v>.</v>
      </c>
      <c r="DO165" s="136" t="str">
        <f>IF($D165&lt;&gt;"Feature",".",
IF(VLOOKUP($B165,Feature_List!$A:$AM,MATCH(DO$1,  Feature_List!$A$1:$AM$1,0),0)=BD165,".","NO"))</f>
        <v>.</v>
      </c>
    </row>
    <row r="166" spans="2:119" x14ac:dyDescent="0.3">
      <c r="B166" s="121"/>
      <c r="C166" s="123"/>
      <c r="D166" s="122"/>
      <c r="E166" s="122"/>
      <c r="F166" s="138"/>
      <c r="G166" s="123"/>
      <c r="H166" s="122"/>
      <c r="I166" s="122"/>
      <c r="J166" s="138"/>
      <c r="K166" s="123"/>
      <c r="L166" s="122"/>
      <c r="M166" s="122"/>
      <c r="N166" s="125"/>
      <c r="O166" s="123">
        <f t="shared" si="75"/>
        <v>0</v>
      </c>
      <c r="P166" s="123">
        <f t="shared" si="76"/>
        <v>0</v>
      </c>
      <c r="Q166" s="122" t="str">
        <f t="shared" si="98"/>
        <v>ZeroEntry</v>
      </c>
      <c r="R166" s="126" t="str">
        <f t="shared" si="77"/>
        <v>ZeroEntry</v>
      </c>
      <c r="S166" s="127" t="str">
        <f t="shared" si="78"/>
        <v>ZeroEntry</v>
      </c>
      <c r="T166" s="128" t="str">
        <f>IF($Q166="ZeroEntry", "",VLOOKUP($I166,'Ranking Lookup'!#REF!,2,FALSE))</f>
        <v/>
      </c>
      <c r="U166" s="129" t="str">
        <f t="shared" si="79"/>
        <v/>
      </c>
      <c r="V166" s="129" t="str">
        <f t="shared" si="80"/>
        <v/>
      </c>
      <c r="W166" s="129" t="str">
        <f t="shared" si="81"/>
        <v/>
      </c>
      <c r="X166" s="129" t="str">
        <f t="shared" si="82"/>
        <v/>
      </c>
      <c r="Y166" s="129" t="str">
        <f t="shared" si="83"/>
        <v/>
      </c>
      <c r="Z166" s="129" t="str">
        <f t="shared" si="84"/>
        <v/>
      </c>
      <c r="AA166" s="130"/>
      <c r="AB166" s="130" t="str">
        <f t="shared" si="85"/>
        <v>Unassigned</v>
      </c>
      <c r="AC166" s="131" t="str">
        <f t="shared" si="99"/>
        <v/>
      </c>
      <c r="AD166" s="131" t="str">
        <f t="shared" si="100"/>
        <v/>
      </c>
      <c r="AE166" s="132">
        <f t="shared" si="86"/>
        <v>0</v>
      </c>
      <c r="AF166" s="133" t="str">
        <f t="shared" si="101"/>
        <v/>
      </c>
      <c r="AG166" s="134">
        <f t="shared" si="87"/>
        <v>0</v>
      </c>
      <c r="AH166" s="54" t="str">
        <f t="shared" si="88"/>
        <v/>
      </c>
      <c r="AI166" s="54" t="str">
        <f t="shared" si="106"/>
        <v/>
      </c>
      <c r="AJ166" s="54" t="str">
        <f t="shared" si="106"/>
        <v/>
      </c>
      <c r="AK166" s="54" t="str">
        <f t="shared" si="106"/>
        <v/>
      </c>
      <c r="AL166" s="54" t="str">
        <f t="shared" si="106"/>
        <v/>
      </c>
      <c r="AM166" s="54" t="str">
        <f t="shared" si="106"/>
        <v/>
      </c>
      <c r="AN166" s="54" t="str">
        <f t="shared" si="106"/>
        <v/>
      </c>
      <c r="AO166" s="54" t="str">
        <f t="shared" si="106"/>
        <v/>
      </c>
      <c r="AP166" s="54" t="str">
        <f t="shared" si="106"/>
        <v/>
      </c>
      <c r="AQ166" s="54" t="str">
        <f t="shared" si="106"/>
        <v/>
      </c>
      <c r="AR166" s="54" t="str">
        <f t="shared" si="106"/>
        <v/>
      </c>
      <c r="AS166" s="54" t="str">
        <f t="shared" si="106"/>
        <v/>
      </c>
      <c r="AT166" s="54" t="str">
        <f t="shared" si="106"/>
        <v/>
      </c>
      <c r="AU166" s="54" t="str">
        <f t="shared" si="106"/>
        <v/>
      </c>
      <c r="AV166" s="54" t="str">
        <f t="shared" si="106"/>
        <v/>
      </c>
      <c r="AW166" s="54" t="str">
        <f t="shared" si="106"/>
        <v/>
      </c>
      <c r="AX166" s="54" t="str">
        <f t="shared" si="106"/>
        <v/>
      </c>
      <c r="AY166" s="54" t="str">
        <f t="shared" si="90"/>
        <v/>
      </c>
      <c r="AZ166" s="54" t="str">
        <f t="shared" si="91"/>
        <v/>
      </c>
      <c r="BA166" s="54" t="str">
        <f t="shared" si="92"/>
        <v/>
      </c>
      <c r="BB166" s="135" t="str">
        <f t="shared" si="93"/>
        <v/>
      </c>
      <c r="BC166" s="54" t="str">
        <f t="shared" si="107"/>
        <v/>
      </c>
      <c r="BD166" s="54" t="str">
        <f t="shared" si="107"/>
        <v/>
      </c>
      <c r="BE166" s="54" t="str">
        <f t="shared" si="107"/>
        <v/>
      </c>
      <c r="BF166" s="54" t="str">
        <f t="shared" si="94"/>
        <v/>
      </c>
      <c r="BG166" s="54" t="str">
        <f t="shared" si="95"/>
        <v/>
      </c>
      <c r="BH166" s="34" t="str">
        <f t="shared" si="96"/>
        <v>Bad</v>
      </c>
      <c r="BI166" s="34" t="str">
        <f t="shared" si="97"/>
        <v>No</v>
      </c>
      <c r="BJ166" s="136" t="str">
        <f>IF($D166&lt;&gt;"Feature",".",
IF(VLOOKUP($B166,Feature_List!$A:$AM,MATCH(BJ$1,  Feature_List!$A$1:$AM$1,0),0)=B166,".","NO"))</f>
        <v>.</v>
      </c>
      <c r="BK166" s="136"/>
      <c r="BL166" s="136"/>
      <c r="BM166" s="136" t="str">
        <f>IF($D166&lt;&gt;"Feature",".",
IF(VLOOKUP($B166,Feature_List!$A:$AM,MATCH(BM$1,  Feature_List!$A$1:$AM$1,0),0)=E166,".","NO"))</f>
        <v>.</v>
      </c>
      <c r="BN166" s="136" t="str">
        <f>IF($D166&lt;&gt;"Feature",".",
IF(VLOOKUP($B166,Feature_List!$A:$AM,MATCH(BN$1,  Feature_List!$A$1:$AM$1,0),0)=F166,".","NO"))</f>
        <v>.</v>
      </c>
      <c r="BO166" s="136" t="str">
        <f>IF($D166&lt;&gt;"Feature",".",
IF(VLOOKUP($B166,Feature_List!$A:$AM,MATCH(BO$1,  Feature_List!$A$1:$AM$1,0),0)=G166,".","NO"))</f>
        <v>.</v>
      </c>
      <c r="BP166" s="136" t="str">
        <f>IF($D166&lt;&gt;"Feature",".",
IF(VLOOKUP($B166,Feature_List!$A:$AM,MATCH(BP$1,  Feature_List!$A$1:$AM$1,0),0)=H166,".","NO"))</f>
        <v>.</v>
      </c>
      <c r="BQ166" s="136"/>
      <c r="BR166" s="136" t="str">
        <f>IF($D166&lt;&gt;"Feature",".",
IF(VLOOKUP($B166,Feature_List!$A:$AM,MATCH(BR$1,  Feature_List!$A$1:$AM$1,0),0)=J166,".","NO"))</f>
        <v>.</v>
      </c>
      <c r="BS166" s="136"/>
      <c r="BT166" s="136"/>
      <c r="BU166" s="136" t="str">
        <f>IF($D166&lt;&gt;"Feature",".",
IF(VLOOKUP($B166,Feature_List!$A:$AM,MATCH(BU$1,  Feature_List!$A$1:$AM$1,0),0)=M166,".","NO"))</f>
        <v>.</v>
      </c>
      <c r="BV166" s="136" t="str">
        <f>IF($D166&lt;&gt;"Feature",".",
IF(VLOOKUP($B166,Feature_List!$A:$AM,MATCH(BV$1,  Feature_List!$A$1:$AM$1,0),0)=N166,".","NO"))</f>
        <v>.</v>
      </c>
      <c r="BW166" s="136"/>
      <c r="BX166" s="136"/>
      <c r="BY166" s="136"/>
      <c r="BZ166" s="136"/>
      <c r="CA166" s="136"/>
      <c r="CB166" s="136" t="str">
        <f>IF($D166&lt;&gt;"Feature",".",
IF(VLOOKUP($B166,Feature_List!$A:$AM,MATCH(CB$1,  Feature_List!$A$1:$AM$1,0),0)=T166,".","NO"))</f>
        <v>.</v>
      </c>
      <c r="CC166" s="136"/>
      <c r="CD166" s="136"/>
      <c r="CE166" s="136"/>
      <c r="CF166" s="136"/>
      <c r="CG166" s="136"/>
      <c r="CH166" s="136"/>
      <c r="CI166" s="136"/>
      <c r="CJ166" s="136"/>
      <c r="CK166" s="136"/>
      <c r="CL166" s="136"/>
      <c r="CM166" s="136"/>
      <c r="CN166" s="136"/>
      <c r="CO166" s="136" t="str">
        <f>IF($D166&lt;&gt;"Feature",".",
IF(VLOOKUP($B166,Feature_List!$A:$AM,MATCH(CO$1,  Feature_List!$A$1:$AM$1,0),0)=AG166,".","NO"))</f>
        <v>.</v>
      </c>
      <c r="CP166" s="136" t="str">
        <f>IF($D166&lt;&gt;"Feature",".",
IF(VLOOKUP($B166,Feature_List!$A:$AM,MATCH(CP$1,  Feature_List!$A$1:$AM$1,0),0)=AH166,".","NO"))</f>
        <v>.</v>
      </c>
      <c r="CQ166" s="136" t="str">
        <f>IF($D166&lt;&gt;"Feature",".",
IF(VLOOKUP($B166,Feature_List!$A:$AM,MATCH(CQ$1,  Feature_List!$A$1:$AM$1,0),0)=AI166,".","NO"))</f>
        <v>.</v>
      </c>
      <c r="CR166" s="136" t="str">
        <f>IF($D166&lt;&gt;"Feature",".",
IF(VLOOKUP($B166,Feature_List!$A:$AM,MATCH(CR$1,  Feature_List!$A$1:$AM$1,0),0)=AJ166,".","NO"))</f>
        <v>.</v>
      </c>
      <c r="CS166" s="136" t="str">
        <f>IF($D166&lt;&gt;"Feature",".",
IF(VLOOKUP($B166,Feature_List!$A:$AM,MATCH(CS$1,  Feature_List!$A$1:$AM$1,0),0)=AK166,".","NO"))</f>
        <v>.</v>
      </c>
      <c r="CT166" s="136" t="str">
        <f>IF($D166&lt;&gt;"Feature",".",
IF(VLOOKUP($B166,Feature_List!$A:$AM,MATCH(CT$1,  Feature_List!$A$1:$AM$1,0),0)=AL166,".","NO"))</f>
        <v>.</v>
      </c>
      <c r="CU166" s="136" t="str">
        <f>IF($D166&lt;&gt;"Feature",".",
IF(VLOOKUP($B166,Feature_List!$A:$AM,MATCH(CU$1,  Feature_List!$A$1:$AM$1,0),0)=AM166,".","NO"))</f>
        <v>.</v>
      </c>
      <c r="CV166" s="136" t="str">
        <f>IF($D166&lt;&gt;"Feature",".",
IF(VLOOKUP($B166,Feature_List!$A:$AM,MATCH(CV$1,  Feature_List!$A$1:$AM$1,0),0)=AN166,".","NO"))</f>
        <v>.</v>
      </c>
      <c r="CW166" s="136" t="str">
        <f>IF($D166&lt;&gt;"Feature",".",
IF(VLOOKUP($B166,Feature_List!$A:$AM,MATCH(CW$1,  Feature_List!$A$1:$AM$1,0),0)=AO166,".","NO"))</f>
        <v>.</v>
      </c>
      <c r="CX166" s="136" t="str">
        <f>IF($D166&lt;&gt;"Feature",".",
IF(VLOOKUP($B166,Feature_List!$A:$AM,MATCH(CX$1,  Feature_List!$A$1:$AM$1,0),0)=AP166,".","NO"))</f>
        <v>.</v>
      </c>
      <c r="CY166" s="136" t="str">
        <f>IF($D166&lt;&gt;"Feature",".",
IF(VLOOKUP($B166,Feature_List!$A:$AM,MATCH(CY$1,  Feature_List!$A$1:$AM$1,0),0)=AQ166,".","NO"))</f>
        <v>.</v>
      </c>
      <c r="CZ166" s="136" t="str">
        <f>IF($D166&lt;&gt;"Feature",".",
IF(VLOOKUP($B166,Feature_List!$A:$AM,MATCH(CZ$1,  Feature_List!$A$1:$AM$1,0),0)=AR166,".","NO"))</f>
        <v>.</v>
      </c>
      <c r="DA166" s="136" t="str">
        <f>IF($D166&lt;&gt;"Feature",".",
IF(VLOOKUP($B166,Feature_List!$A:$AM,MATCH(DA$1,  Feature_List!$A$1:$AM$1,0),0)=AS166,".","NO"))</f>
        <v>.</v>
      </c>
      <c r="DB166" s="136" t="str">
        <f>IF($D166&lt;&gt;"Feature",".",
IF(VLOOKUP($B166,Feature_List!$A:$AM,MATCH(DB$1,  Feature_List!$A$1:$AM$1,0),0)=AT166,".","NO"))</f>
        <v>.</v>
      </c>
      <c r="DC166" s="136" t="str">
        <f>IF($D166&lt;&gt;"Feature",".",
IF(VLOOKUP($B166,Feature_List!$A:$AM,MATCH(DC$1,  Feature_List!$A$1:$AM$1,0),0)=AU166,".","NO"))</f>
        <v>.</v>
      </c>
      <c r="DD166" s="136" t="str">
        <f>IF($D166&lt;&gt;"Feature",".",
IF(VLOOKUP($B166,Feature_List!$A:$AM,MATCH(DD$1,  Feature_List!$A$1:$AM$1,0),0)=AV166,".","NO"))</f>
        <v>.</v>
      </c>
      <c r="DE166" s="136" t="str">
        <f>IF($D166&lt;&gt;"Feature",".",
IF(VLOOKUP($B166,Feature_List!$A:$AM,MATCH(DE$1,  Feature_List!$A$1:$AM$1,0),0)=AW166,".","NO"))</f>
        <v>.</v>
      </c>
      <c r="DF166" s="136" t="str">
        <f>IF($D166&lt;&gt;"Feature",".",
IF(VLOOKUP($B166,Feature_List!$A:$AM,MATCH(DF$1,  Feature_List!$A$1:$AM$1,0),0)=AX166,".","NO"))</f>
        <v>.</v>
      </c>
      <c r="DG166" s="136" t="str">
        <f>IF($D166&lt;&gt;"Feature",".",
IF(VLOOKUP($B166,Feature_List!$A:$AM,MATCH(DG$1,  Feature_List!$A$1:$AM$1,0),0)=AY166,".","NO"))</f>
        <v>.</v>
      </c>
      <c r="DH166" s="136" t="str">
        <f>IF($D166&lt;&gt;"Feature",".",
IF(VLOOKUP($B166,Feature_List!$A:$AM,MATCH(DH$1,  Feature_List!$A$1:$AM$1,0),0)=AZ166,".","NO"))</f>
        <v>.</v>
      </c>
      <c r="DI166" s="136" t="str">
        <f>IF($D166&lt;&gt;"Feature",".",
IF(VLOOKUP($B166,Feature_List!$A:$AM,MATCH(DI$1,  Feature_List!$A$1:$AM$1,0),0)=BA166,".","NO"))</f>
        <v>.</v>
      </c>
      <c r="DJ166" s="136" t="str">
        <f>IF($D166&lt;&gt;"Feature",".",
IF(VLOOKUP($B166,Feature_List!$A:$AM,MATCH(DJ$1,  Feature_List!$A$1:$AM$1,0),0)=BB166,".","NO"))</f>
        <v>.</v>
      </c>
      <c r="DK166" s="136"/>
      <c r="DL166" s="136"/>
      <c r="DM166" s="136"/>
      <c r="DN166" s="136" t="str">
        <f>IF($D166&lt;&gt;"Feature",".",
IF(VLOOKUP($B166,Feature_List!$A:$AM,MATCH(DN$1,  Feature_List!$A$1:$AM$1,0),0)=BC166,".","NO"))</f>
        <v>.</v>
      </c>
      <c r="DO166" s="136" t="str">
        <f>IF($D166&lt;&gt;"Feature",".",
IF(VLOOKUP($B166,Feature_List!$A:$AM,MATCH(DO$1,  Feature_List!$A$1:$AM$1,0),0)=BD166,".","NO"))</f>
        <v>.</v>
      </c>
    </row>
    <row r="167" spans="2:119" x14ac:dyDescent="0.3">
      <c r="B167" s="121"/>
      <c r="C167" s="123"/>
      <c r="D167" s="122"/>
      <c r="E167" s="122"/>
      <c r="F167" s="138"/>
      <c r="G167" s="123"/>
      <c r="H167" s="122"/>
      <c r="I167" s="122"/>
      <c r="J167" s="138"/>
      <c r="K167" s="123"/>
      <c r="L167" s="122"/>
      <c r="M167" s="122"/>
      <c r="N167" s="125"/>
      <c r="O167" s="123">
        <f t="shared" si="75"/>
        <v>0</v>
      </c>
      <c r="P167" s="123">
        <f t="shared" si="76"/>
        <v>0</v>
      </c>
      <c r="Q167" s="122" t="str">
        <f t="shared" si="98"/>
        <v>ZeroEntry</v>
      </c>
      <c r="R167" s="126" t="str">
        <f t="shared" si="77"/>
        <v>ZeroEntry</v>
      </c>
      <c r="S167" s="127" t="str">
        <f t="shared" si="78"/>
        <v>ZeroEntry</v>
      </c>
      <c r="T167" s="128" t="str">
        <f>IF($Q167="ZeroEntry", "",VLOOKUP($I167,'Ranking Lookup'!#REF!,2,FALSE))</f>
        <v/>
      </c>
      <c r="U167" s="129" t="str">
        <f t="shared" si="79"/>
        <v/>
      </c>
      <c r="V167" s="129" t="str">
        <f t="shared" si="80"/>
        <v/>
      </c>
      <c r="W167" s="129" t="str">
        <f t="shared" si="81"/>
        <v/>
      </c>
      <c r="X167" s="129" t="str">
        <f t="shared" si="82"/>
        <v/>
      </c>
      <c r="Y167" s="129" t="str">
        <f t="shared" si="83"/>
        <v/>
      </c>
      <c r="Z167" s="129" t="str">
        <f t="shared" si="84"/>
        <v/>
      </c>
      <c r="AA167" s="130"/>
      <c r="AB167" s="130" t="str">
        <f t="shared" si="85"/>
        <v>Unassigned</v>
      </c>
      <c r="AC167" s="131" t="str">
        <f t="shared" si="99"/>
        <v/>
      </c>
      <c r="AD167" s="131" t="str">
        <f t="shared" si="100"/>
        <v/>
      </c>
      <c r="AE167" s="132">
        <f t="shared" si="86"/>
        <v>0</v>
      </c>
      <c r="AF167" s="133" t="str">
        <f t="shared" si="101"/>
        <v/>
      </c>
      <c r="AG167" s="134">
        <f t="shared" si="87"/>
        <v>0</v>
      </c>
      <c r="AH167" s="54" t="str">
        <f t="shared" si="88"/>
        <v/>
      </c>
      <c r="AI167" s="54" t="str">
        <f t="shared" si="106"/>
        <v/>
      </c>
      <c r="AJ167" s="54" t="str">
        <f t="shared" si="106"/>
        <v/>
      </c>
      <c r="AK167" s="54" t="str">
        <f t="shared" si="106"/>
        <v/>
      </c>
      <c r="AL167" s="54" t="str">
        <f t="shared" si="106"/>
        <v/>
      </c>
      <c r="AM167" s="54" t="str">
        <f t="shared" si="106"/>
        <v/>
      </c>
      <c r="AN167" s="54" t="str">
        <f t="shared" si="106"/>
        <v/>
      </c>
      <c r="AO167" s="54" t="str">
        <f t="shared" si="106"/>
        <v/>
      </c>
      <c r="AP167" s="54" t="str">
        <f t="shared" si="106"/>
        <v/>
      </c>
      <c r="AQ167" s="54" t="str">
        <f t="shared" si="106"/>
        <v/>
      </c>
      <c r="AR167" s="54" t="str">
        <f t="shared" si="106"/>
        <v/>
      </c>
      <c r="AS167" s="54" t="str">
        <f t="shared" si="106"/>
        <v/>
      </c>
      <c r="AT167" s="54" t="str">
        <f t="shared" si="106"/>
        <v/>
      </c>
      <c r="AU167" s="54" t="str">
        <f t="shared" si="106"/>
        <v/>
      </c>
      <c r="AV167" s="54" t="str">
        <f t="shared" si="106"/>
        <v/>
      </c>
      <c r="AW167" s="54" t="str">
        <f t="shared" si="106"/>
        <v/>
      </c>
      <c r="AX167" s="54" t="str">
        <f t="shared" si="106"/>
        <v/>
      </c>
      <c r="AY167" s="54" t="str">
        <f t="shared" si="90"/>
        <v/>
      </c>
      <c r="AZ167" s="54" t="str">
        <f t="shared" si="91"/>
        <v/>
      </c>
      <c r="BA167" s="54" t="str">
        <f t="shared" si="92"/>
        <v/>
      </c>
      <c r="BB167" s="135" t="str">
        <f t="shared" si="93"/>
        <v/>
      </c>
      <c r="BC167" s="54" t="str">
        <f t="shared" si="107"/>
        <v/>
      </c>
      <c r="BD167" s="54" t="str">
        <f t="shared" si="107"/>
        <v/>
      </c>
      <c r="BE167" s="54" t="str">
        <f t="shared" si="107"/>
        <v/>
      </c>
      <c r="BF167" s="54" t="str">
        <f t="shared" si="94"/>
        <v/>
      </c>
      <c r="BG167" s="54" t="str">
        <f t="shared" si="95"/>
        <v/>
      </c>
      <c r="BH167" s="34" t="str">
        <f t="shared" si="96"/>
        <v>Bad</v>
      </c>
      <c r="BI167" s="34" t="str">
        <f t="shared" si="97"/>
        <v>No</v>
      </c>
      <c r="BJ167" s="136" t="str">
        <f>IF($D167&lt;&gt;"Feature",".",
IF(VLOOKUP($B167,Feature_List!$A:$AM,MATCH(BJ$1,  Feature_List!$A$1:$AM$1,0),0)=B167,".","NO"))</f>
        <v>.</v>
      </c>
      <c r="BK167" s="136"/>
      <c r="BL167" s="136"/>
      <c r="BM167" s="136" t="str">
        <f>IF($D167&lt;&gt;"Feature",".",
IF(VLOOKUP($B167,Feature_List!$A:$AM,MATCH(BM$1,  Feature_List!$A$1:$AM$1,0),0)=E167,".","NO"))</f>
        <v>.</v>
      </c>
      <c r="BN167" s="136" t="str">
        <f>IF($D167&lt;&gt;"Feature",".",
IF(VLOOKUP($B167,Feature_List!$A:$AM,MATCH(BN$1,  Feature_List!$A$1:$AM$1,0),0)=F167,".","NO"))</f>
        <v>.</v>
      </c>
      <c r="BO167" s="136" t="str">
        <f>IF($D167&lt;&gt;"Feature",".",
IF(VLOOKUP($B167,Feature_List!$A:$AM,MATCH(BO$1,  Feature_List!$A$1:$AM$1,0),0)=G167,".","NO"))</f>
        <v>.</v>
      </c>
      <c r="BP167" s="136" t="str">
        <f>IF($D167&lt;&gt;"Feature",".",
IF(VLOOKUP($B167,Feature_List!$A:$AM,MATCH(BP$1,  Feature_List!$A$1:$AM$1,0),0)=H167,".","NO"))</f>
        <v>.</v>
      </c>
      <c r="BQ167" s="136"/>
      <c r="BR167" s="136" t="str">
        <f>IF($D167&lt;&gt;"Feature",".",
IF(VLOOKUP($B167,Feature_List!$A:$AM,MATCH(BR$1,  Feature_List!$A$1:$AM$1,0),0)=J167,".","NO"))</f>
        <v>.</v>
      </c>
      <c r="BS167" s="136"/>
      <c r="BT167" s="136"/>
      <c r="BU167" s="136" t="str">
        <f>IF($D167&lt;&gt;"Feature",".",
IF(VLOOKUP($B167,Feature_List!$A:$AM,MATCH(BU$1,  Feature_List!$A$1:$AM$1,0),0)=M167,".","NO"))</f>
        <v>.</v>
      </c>
      <c r="BV167" s="136" t="str">
        <f>IF($D167&lt;&gt;"Feature",".",
IF(VLOOKUP($B167,Feature_List!$A:$AM,MATCH(BV$1,  Feature_List!$A$1:$AM$1,0),0)=N167,".","NO"))</f>
        <v>.</v>
      </c>
      <c r="BW167" s="136"/>
      <c r="BX167" s="136"/>
      <c r="BY167" s="136"/>
      <c r="BZ167" s="136"/>
      <c r="CA167" s="136"/>
      <c r="CB167" s="136" t="str">
        <f>IF($D167&lt;&gt;"Feature",".",
IF(VLOOKUP($B167,Feature_List!$A:$AM,MATCH(CB$1,  Feature_List!$A$1:$AM$1,0),0)=T167,".","NO"))</f>
        <v>.</v>
      </c>
      <c r="CC167" s="136"/>
      <c r="CD167" s="136"/>
      <c r="CE167" s="136"/>
      <c r="CF167" s="136"/>
      <c r="CG167" s="136"/>
      <c r="CH167" s="136"/>
      <c r="CI167" s="136"/>
      <c r="CJ167" s="136"/>
      <c r="CK167" s="136"/>
      <c r="CL167" s="136"/>
      <c r="CM167" s="136"/>
      <c r="CN167" s="136"/>
      <c r="CO167" s="136" t="str">
        <f>IF($D167&lt;&gt;"Feature",".",
IF(VLOOKUP($B167,Feature_List!$A:$AM,MATCH(CO$1,  Feature_List!$A$1:$AM$1,0),0)=AG167,".","NO"))</f>
        <v>.</v>
      </c>
      <c r="CP167" s="136" t="str">
        <f>IF($D167&lt;&gt;"Feature",".",
IF(VLOOKUP($B167,Feature_List!$A:$AM,MATCH(CP$1,  Feature_List!$A$1:$AM$1,0),0)=AH167,".","NO"))</f>
        <v>.</v>
      </c>
      <c r="CQ167" s="136" t="str">
        <f>IF($D167&lt;&gt;"Feature",".",
IF(VLOOKUP($B167,Feature_List!$A:$AM,MATCH(CQ$1,  Feature_List!$A$1:$AM$1,0),0)=AI167,".","NO"))</f>
        <v>.</v>
      </c>
      <c r="CR167" s="136" t="str">
        <f>IF($D167&lt;&gt;"Feature",".",
IF(VLOOKUP($B167,Feature_List!$A:$AM,MATCH(CR$1,  Feature_List!$A$1:$AM$1,0),0)=AJ167,".","NO"))</f>
        <v>.</v>
      </c>
      <c r="CS167" s="136" t="str">
        <f>IF($D167&lt;&gt;"Feature",".",
IF(VLOOKUP($B167,Feature_List!$A:$AM,MATCH(CS$1,  Feature_List!$A$1:$AM$1,0),0)=AK167,".","NO"))</f>
        <v>.</v>
      </c>
      <c r="CT167" s="136" t="str">
        <f>IF($D167&lt;&gt;"Feature",".",
IF(VLOOKUP($B167,Feature_List!$A:$AM,MATCH(CT$1,  Feature_List!$A$1:$AM$1,0),0)=AL167,".","NO"))</f>
        <v>.</v>
      </c>
      <c r="CU167" s="136" t="str">
        <f>IF($D167&lt;&gt;"Feature",".",
IF(VLOOKUP($B167,Feature_List!$A:$AM,MATCH(CU$1,  Feature_List!$A$1:$AM$1,0),0)=AM167,".","NO"))</f>
        <v>.</v>
      </c>
      <c r="CV167" s="136" t="str">
        <f>IF($D167&lt;&gt;"Feature",".",
IF(VLOOKUP($B167,Feature_List!$A:$AM,MATCH(CV$1,  Feature_List!$A$1:$AM$1,0),0)=AN167,".","NO"))</f>
        <v>.</v>
      </c>
      <c r="CW167" s="136" t="str">
        <f>IF($D167&lt;&gt;"Feature",".",
IF(VLOOKUP($B167,Feature_List!$A:$AM,MATCH(CW$1,  Feature_List!$A$1:$AM$1,0),0)=AO167,".","NO"))</f>
        <v>.</v>
      </c>
      <c r="CX167" s="136" t="str">
        <f>IF($D167&lt;&gt;"Feature",".",
IF(VLOOKUP($B167,Feature_List!$A:$AM,MATCH(CX$1,  Feature_List!$A$1:$AM$1,0),0)=AP167,".","NO"))</f>
        <v>.</v>
      </c>
      <c r="CY167" s="136" t="str">
        <f>IF($D167&lt;&gt;"Feature",".",
IF(VLOOKUP($B167,Feature_List!$A:$AM,MATCH(CY$1,  Feature_List!$A$1:$AM$1,0),0)=AQ167,".","NO"))</f>
        <v>.</v>
      </c>
      <c r="CZ167" s="136" t="str">
        <f>IF($D167&lt;&gt;"Feature",".",
IF(VLOOKUP($B167,Feature_List!$A:$AM,MATCH(CZ$1,  Feature_List!$A$1:$AM$1,0),0)=AR167,".","NO"))</f>
        <v>.</v>
      </c>
      <c r="DA167" s="136" t="str">
        <f>IF($D167&lt;&gt;"Feature",".",
IF(VLOOKUP($B167,Feature_List!$A:$AM,MATCH(DA$1,  Feature_List!$A$1:$AM$1,0),0)=AS167,".","NO"))</f>
        <v>.</v>
      </c>
      <c r="DB167" s="136" t="str">
        <f>IF($D167&lt;&gt;"Feature",".",
IF(VLOOKUP($B167,Feature_List!$A:$AM,MATCH(DB$1,  Feature_List!$A$1:$AM$1,0),0)=AT167,".","NO"))</f>
        <v>.</v>
      </c>
      <c r="DC167" s="136" t="str">
        <f>IF($D167&lt;&gt;"Feature",".",
IF(VLOOKUP($B167,Feature_List!$A:$AM,MATCH(DC$1,  Feature_List!$A$1:$AM$1,0),0)=AU167,".","NO"))</f>
        <v>.</v>
      </c>
      <c r="DD167" s="136" t="str">
        <f>IF($D167&lt;&gt;"Feature",".",
IF(VLOOKUP($B167,Feature_List!$A:$AM,MATCH(DD$1,  Feature_List!$A$1:$AM$1,0),0)=AV167,".","NO"))</f>
        <v>.</v>
      </c>
      <c r="DE167" s="136" t="str">
        <f>IF($D167&lt;&gt;"Feature",".",
IF(VLOOKUP($B167,Feature_List!$A:$AM,MATCH(DE$1,  Feature_List!$A$1:$AM$1,0),0)=AW167,".","NO"))</f>
        <v>.</v>
      </c>
      <c r="DF167" s="136" t="str">
        <f>IF($D167&lt;&gt;"Feature",".",
IF(VLOOKUP($B167,Feature_List!$A:$AM,MATCH(DF$1,  Feature_List!$A$1:$AM$1,0),0)=AX167,".","NO"))</f>
        <v>.</v>
      </c>
      <c r="DG167" s="136" t="str">
        <f>IF($D167&lt;&gt;"Feature",".",
IF(VLOOKUP($B167,Feature_List!$A:$AM,MATCH(DG$1,  Feature_List!$A$1:$AM$1,0),0)=AY167,".","NO"))</f>
        <v>.</v>
      </c>
      <c r="DH167" s="136" t="str">
        <f>IF($D167&lt;&gt;"Feature",".",
IF(VLOOKUP($B167,Feature_List!$A:$AM,MATCH(DH$1,  Feature_List!$A$1:$AM$1,0),0)=AZ167,".","NO"))</f>
        <v>.</v>
      </c>
      <c r="DI167" s="136" t="str">
        <f>IF($D167&lt;&gt;"Feature",".",
IF(VLOOKUP($B167,Feature_List!$A:$AM,MATCH(DI$1,  Feature_List!$A$1:$AM$1,0),0)=BA167,".","NO"))</f>
        <v>.</v>
      </c>
      <c r="DJ167" s="136" t="str">
        <f>IF($D167&lt;&gt;"Feature",".",
IF(VLOOKUP($B167,Feature_List!$A:$AM,MATCH(DJ$1,  Feature_List!$A$1:$AM$1,0),0)=BB167,".","NO"))</f>
        <v>.</v>
      </c>
      <c r="DK167" s="136"/>
      <c r="DL167" s="136"/>
      <c r="DM167" s="136"/>
      <c r="DN167" s="136" t="str">
        <f>IF($D167&lt;&gt;"Feature",".",
IF(VLOOKUP($B167,Feature_List!$A:$AM,MATCH(DN$1,  Feature_List!$A$1:$AM$1,0),0)=BC167,".","NO"))</f>
        <v>.</v>
      </c>
      <c r="DO167" s="136" t="str">
        <f>IF($D167&lt;&gt;"Feature",".",
IF(VLOOKUP($B167,Feature_List!$A:$AM,MATCH(DO$1,  Feature_List!$A$1:$AM$1,0),0)=BD167,".","NO"))</f>
        <v>.</v>
      </c>
    </row>
    <row r="168" spans="2:119" x14ac:dyDescent="0.3">
      <c r="B168" s="121"/>
      <c r="C168" s="122"/>
      <c r="D168" s="122"/>
      <c r="E168" s="122"/>
      <c r="F168" s="138"/>
      <c r="G168" s="123"/>
      <c r="H168" s="122"/>
      <c r="I168" s="124"/>
      <c r="J168" s="138"/>
      <c r="K168" s="123"/>
      <c r="L168" s="122"/>
      <c r="M168" s="122"/>
      <c r="N168" s="125"/>
      <c r="O168" s="123">
        <f t="shared" si="75"/>
        <v>0</v>
      </c>
      <c r="P168" s="123">
        <f t="shared" si="76"/>
        <v>0</v>
      </c>
      <c r="Q168" s="122" t="str">
        <f t="shared" si="98"/>
        <v>ZeroEntry</v>
      </c>
      <c r="R168" s="126" t="str">
        <f t="shared" si="77"/>
        <v>ZeroEntry</v>
      </c>
      <c r="S168" s="127" t="str">
        <f t="shared" si="78"/>
        <v>ZeroEntry</v>
      </c>
      <c r="T168" s="128" t="str">
        <f>IF($Q168="ZeroEntry", "",VLOOKUP($I168,'Ranking Lookup'!#REF!,2,FALSE))</f>
        <v/>
      </c>
      <c r="U168" s="129" t="str">
        <f t="shared" si="79"/>
        <v/>
      </c>
      <c r="V168" s="129" t="str">
        <f t="shared" si="80"/>
        <v/>
      </c>
      <c r="W168" s="129" t="str">
        <f t="shared" si="81"/>
        <v/>
      </c>
      <c r="X168" s="129" t="str">
        <f t="shared" si="82"/>
        <v/>
      </c>
      <c r="Y168" s="129" t="str">
        <f t="shared" si="83"/>
        <v/>
      </c>
      <c r="Z168" s="129" t="str">
        <f t="shared" si="84"/>
        <v/>
      </c>
      <c r="AA168" s="130"/>
      <c r="AB168" s="130" t="str">
        <f t="shared" si="85"/>
        <v>Unassigned</v>
      </c>
      <c r="AC168" s="131" t="str">
        <f t="shared" si="99"/>
        <v/>
      </c>
      <c r="AD168" s="131" t="str">
        <f t="shared" si="100"/>
        <v/>
      </c>
      <c r="AE168" s="132">
        <f t="shared" si="86"/>
        <v>0</v>
      </c>
      <c r="AF168" s="133" t="str">
        <f t="shared" si="101"/>
        <v/>
      </c>
      <c r="AG168" s="134">
        <f t="shared" si="87"/>
        <v>0</v>
      </c>
      <c r="AH168" s="54" t="str">
        <f t="shared" si="88"/>
        <v/>
      </c>
      <c r="AI168" s="54" t="str">
        <f t="shared" si="106"/>
        <v/>
      </c>
      <c r="AJ168" s="54" t="str">
        <f t="shared" si="106"/>
        <v/>
      </c>
      <c r="AK168" s="54" t="str">
        <f t="shared" si="106"/>
        <v/>
      </c>
      <c r="AL168" s="54" t="str">
        <f t="shared" si="106"/>
        <v/>
      </c>
      <c r="AM168" s="54" t="str">
        <f t="shared" si="106"/>
        <v/>
      </c>
      <c r="AN168" s="54" t="str">
        <f t="shared" si="106"/>
        <v/>
      </c>
      <c r="AO168" s="54" t="str">
        <f t="shared" si="106"/>
        <v/>
      </c>
      <c r="AP168" s="54" t="str">
        <f t="shared" si="106"/>
        <v/>
      </c>
      <c r="AQ168" s="54" t="str">
        <f t="shared" si="106"/>
        <v/>
      </c>
      <c r="AR168" s="54" t="str">
        <f t="shared" si="106"/>
        <v/>
      </c>
      <c r="AS168" s="54" t="str">
        <f t="shared" si="106"/>
        <v/>
      </c>
      <c r="AT168" s="54" t="str">
        <f t="shared" si="106"/>
        <v/>
      </c>
      <c r="AU168" s="54" t="str">
        <f t="shared" si="106"/>
        <v/>
      </c>
      <c r="AV168" s="54" t="str">
        <f t="shared" si="106"/>
        <v/>
      </c>
      <c r="AW168" s="54" t="str">
        <f t="shared" si="106"/>
        <v/>
      </c>
      <c r="AX168" s="54" t="str">
        <f t="shared" si="106"/>
        <v/>
      </c>
      <c r="AY168" s="54" t="str">
        <f t="shared" si="90"/>
        <v/>
      </c>
      <c r="AZ168" s="54" t="str">
        <f t="shared" si="91"/>
        <v/>
      </c>
      <c r="BA168" s="54" t="str">
        <f t="shared" si="92"/>
        <v/>
      </c>
      <c r="BB168" s="135" t="str">
        <f t="shared" si="93"/>
        <v/>
      </c>
      <c r="BC168" s="54" t="str">
        <f t="shared" si="107"/>
        <v/>
      </c>
      <c r="BD168" s="54" t="str">
        <f t="shared" si="107"/>
        <v/>
      </c>
      <c r="BE168" s="54" t="str">
        <f t="shared" si="107"/>
        <v/>
      </c>
      <c r="BF168" s="54" t="str">
        <f t="shared" si="94"/>
        <v/>
      </c>
      <c r="BG168" s="54" t="str">
        <f t="shared" si="95"/>
        <v/>
      </c>
      <c r="BH168" s="34" t="str">
        <f t="shared" si="96"/>
        <v>Bad</v>
      </c>
      <c r="BI168" s="34" t="str">
        <f t="shared" si="97"/>
        <v>No</v>
      </c>
      <c r="BJ168" s="136" t="str">
        <f>IF($D168&lt;&gt;"Feature",".",
IF(VLOOKUP($B168,Feature_List!$A:$AM,MATCH(BJ$1,  Feature_List!$A$1:$AM$1,0),0)=B168,".","NO"))</f>
        <v>.</v>
      </c>
      <c r="BK168" s="136"/>
      <c r="BL168" s="136"/>
      <c r="BM168" s="136" t="str">
        <f>IF($D168&lt;&gt;"Feature",".",
IF(VLOOKUP($B168,Feature_List!$A:$AM,MATCH(BM$1,  Feature_List!$A$1:$AM$1,0),0)=E168,".","NO"))</f>
        <v>.</v>
      </c>
      <c r="BN168" s="136" t="str">
        <f>IF($D168&lt;&gt;"Feature",".",
IF(VLOOKUP($B168,Feature_List!$A:$AM,MATCH(BN$1,  Feature_List!$A$1:$AM$1,0),0)=F168,".","NO"))</f>
        <v>.</v>
      </c>
      <c r="BO168" s="136" t="str">
        <f>IF($D168&lt;&gt;"Feature",".",
IF(VLOOKUP($B168,Feature_List!$A:$AM,MATCH(BO$1,  Feature_List!$A$1:$AM$1,0),0)=G168,".","NO"))</f>
        <v>.</v>
      </c>
      <c r="BP168" s="136" t="str">
        <f>IF($D168&lt;&gt;"Feature",".",
IF(VLOOKUP($B168,Feature_List!$A:$AM,MATCH(BP$1,  Feature_List!$A$1:$AM$1,0),0)=H168,".","NO"))</f>
        <v>.</v>
      </c>
      <c r="BQ168" s="136"/>
      <c r="BR168" s="136" t="str">
        <f>IF($D168&lt;&gt;"Feature",".",
IF(VLOOKUP($B168,Feature_List!$A:$AM,MATCH(BR$1,  Feature_List!$A$1:$AM$1,0),0)=J168,".","NO"))</f>
        <v>.</v>
      </c>
      <c r="BS168" s="136"/>
      <c r="BT168" s="136"/>
      <c r="BU168" s="136" t="str">
        <f>IF($D168&lt;&gt;"Feature",".",
IF(VLOOKUP($B168,Feature_List!$A:$AM,MATCH(BU$1,  Feature_List!$A$1:$AM$1,0),0)=M168,".","NO"))</f>
        <v>.</v>
      </c>
      <c r="BV168" s="136" t="str">
        <f>IF($D168&lt;&gt;"Feature",".",
IF(VLOOKUP($B168,Feature_List!$A:$AM,MATCH(BV$1,  Feature_List!$A$1:$AM$1,0),0)=N168,".","NO"))</f>
        <v>.</v>
      </c>
      <c r="BW168" s="136"/>
      <c r="BX168" s="136"/>
      <c r="BY168" s="136"/>
      <c r="BZ168" s="136"/>
      <c r="CA168" s="136"/>
      <c r="CB168" s="136" t="str">
        <f>IF($D168&lt;&gt;"Feature",".",
IF(VLOOKUP($B168,Feature_List!$A:$AM,MATCH(CB$1,  Feature_List!$A$1:$AM$1,0),0)=T168,".","NO"))</f>
        <v>.</v>
      </c>
      <c r="CC168" s="136"/>
      <c r="CD168" s="136"/>
      <c r="CE168" s="136"/>
      <c r="CF168" s="136"/>
      <c r="CG168" s="136"/>
      <c r="CH168" s="136"/>
      <c r="CI168" s="136"/>
      <c r="CJ168" s="136"/>
      <c r="CK168" s="136"/>
      <c r="CL168" s="136"/>
      <c r="CM168" s="136"/>
      <c r="CN168" s="136"/>
      <c r="CO168" s="136" t="str">
        <f>IF($D168&lt;&gt;"Feature",".",
IF(VLOOKUP($B168,Feature_List!$A:$AM,MATCH(CO$1,  Feature_List!$A$1:$AM$1,0),0)=AG168,".","NO"))</f>
        <v>.</v>
      </c>
      <c r="CP168" s="136" t="str">
        <f>IF($D168&lt;&gt;"Feature",".",
IF(VLOOKUP($B168,Feature_List!$A:$AM,MATCH(CP$1,  Feature_List!$A$1:$AM$1,0),0)=AH168,".","NO"))</f>
        <v>.</v>
      </c>
      <c r="CQ168" s="136" t="str">
        <f>IF($D168&lt;&gt;"Feature",".",
IF(VLOOKUP($B168,Feature_List!$A:$AM,MATCH(CQ$1,  Feature_List!$A$1:$AM$1,0),0)=AI168,".","NO"))</f>
        <v>.</v>
      </c>
      <c r="CR168" s="136" t="str">
        <f>IF($D168&lt;&gt;"Feature",".",
IF(VLOOKUP($B168,Feature_List!$A:$AM,MATCH(CR$1,  Feature_List!$A$1:$AM$1,0),0)=AJ168,".","NO"))</f>
        <v>.</v>
      </c>
      <c r="CS168" s="136" t="str">
        <f>IF($D168&lt;&gt;"Feature",".",
IF(VLOOKUP($B168,Feature_List!$A:$AM,MATCH(CS$1,  Feature_List!$A$1:$AM$1,0),0)=AK168,".","NO"))</f>
        <v>.</v>
      </c>
      <c r="CT168" s="136" t="str">
        <f>IF($D168&lt;&gt;"Feature",".",
IF(VLOOKUP($B168,Feature_List!$A:$AM,MATCH(CT$1,  Feature_List!$A$1:$AM$1,0),0)=AL168,".","NO"))</f>
        <v>.</v>
      </c>
      <c r="CU168" s="136" t="str">
        <f>IF($D168&lt;&gt;"Feature",".",
IF(VLOOKUP($B168,Feature_List!$A:$AM,MATCH(CU$1,  Feature_List!$A$1:$AM$1,0),0)=AM168,".","NO"))</f>
        <v>.</v>
      </c>
      <c r="CV168" s="136" t="str">
        <f>IF($D168&lt;&gt;"Feature",".",
IF(VLOOKUP($B168,Feature_List!$A:$AM,MATCH(CV$1,  Feature_List!$A$1:$AM$1,0),0)=AN168,".","NO"))</f>
        <v>.</v>
      </c>
      <c r="CW168" s="136" t="str">
        <f>IF($D168&lt;&gt;"Feature",".",
IF(VLOOKUP($B168,Feature_List!$A:$AM,MATCH(CW$1,  Feature_List!$A$1:$AM$1,0),0)=AO168,".","NO"))</f>
        <v>.</v>
      </c>
      <c r="CX168" s="136" t="str">
        <f>IF($D168&lt;&gt;"Feature",".",
IF(VLOOKUP($B168,Feature_List!$A:$AM,MATCH(CX$1,  Feature_List!$A$1:$AM$1,0),0)=AP168,".","NO"))</f>
        <v>.</v>
      </c>
      <c r="CY168" s="136" t="str">
        <f>IF($D168&lt;&gt;"Feature",".",
IF(VLOOKUP($B168,Feature_List!$A:$AM,MATCH(CY$1,  Feature_List!$A$1:$AM$1,0),0)=AQ168,".","NO"))</f>
        <v>.</v>
      </c>
      <c r="CZ168" s="136" t="str">
        <f>IF($D168&lt;&gt;"Feature",".",
IF(VLOOKUP($B168,Feature_List!$A:$AM,MATCH(CZ$1,  Feature_List!$A$1:$AM$1,0),0)=AR168,".","NO"))</f>
        <v>.</v>
      </c>
      <c r="DA168" s="136" t="str">
        <f>IF($D168&lt;&gt;"Feature",".",
IF(VLOOKUP($B168,Feature_List!$A:$AM,MATCH(DA$1,  Feature_List!$A$1:$AM$1,0),0)=AS168,".","NO"))</f>
        <v>.</v>
      </c>
      <c r="DB168" s="136" t="str">
        <f>IF($D168&lt;&gt;"Feature",".",
IF(VLOOKUP($B168,Feature_List!$A:$AM,MATCH(DB$1,  Feature_List!$A$1:$AM$1,0),0)=AT168,".","NO"))</f>
        <v>.</v>
      </c>
      <c r="DC168" s="136" t="str">
        <f>IF($D168&lt;&gt;"Feature",".",
IF(VLOOKUP($B168,Feature_List!$A:$AM,MATCH(DC$1,  Feature_List!$A$1:$AM$1,0),0)=AU168,".","NO"))</f>
        <v>.</v>
      </c>
      <c r="DD168" s="136" t="str">
        <f>IF($D168&lt;&gt;"Feature",".",
IF(VLOOKUP($B168,Feature_List!$A:$AM,MATCH(DD$1,  Feature_List!$A$1:$AM$1,0),0)=AV168,".","NO"))</f>
        <v>.</v>
      </c>
      <c r="DE168" s="136" t="str">
        <f>IF($D168&lt;&gt;"Feature",".",
IF(VLOOKUP($B168,Feature_List!$A:$AM,MATCH(DE$1,  Feature_List!$A$1:$AM$1,0),0)=AW168,".","NO"))</f>
        <v>.</v>
      </c>
      <c r="DF168" s="136" t="str">
        <f>IF($D168&lt;&gt;"Feature",".",
IF(VLOOKUP($B168,Feature_List!$A:$AM,MATCH(DF$1,  Feature_List!$A$1:$AM$1,0),0)=AX168,".","NO"))</f>
        <v>.</v>
      </c>
      <c r="DG168" s="136" t="str">
        <f>IF($D168&lt;&gt;"Feature",".",
IF(VLOOKUP($B168,Feature_List!$A:$AM,MATCH(DG$1,  Feature_List!$A$1:$AM$1,0),0)=AY168,".","NO"))</f>
        <v>.</v>
      </c>
      <c r="DH168" s="136" t="str">
        <f>IF($D168&lt;&gt;"Feature",".",
IF(VLOOKUP($B168,Feature_List!$A:$AM,MATCH(DH$1,  Feature_List!$A$1:$AM$1,0),0)=AZ168,".","NO"))</f>
        <v>.</v>
      </c>
      <c r="DI168" s="136" t="str">
        <f>IF($D168&lt;&gt;"Feature",".",
IF(VLOOKUP($B168,Feature_List!$A:$AM,MATCH(DI$1,  Feature_List!$A$1:$AM$1,0),0)=BA168,".","NO"))</f>
        <v>.</v>
      </c>
      <c r="DJ168" s="136" t="str">
        <f>IF($D168&lt;&gt;"Feature",".",
IF(VLOOKUP($B168,Feature_List!$A:$AM,MATCH(DJ$1,  Feature_List!$A$1:$AM$1,0),0)=BB168,".","NO"))</f>
        <v>.</v>
      </c>
      <c r="DK168" s="136"/>
      <c r="DL168" s="136"/>
      <c r="DM168" s="136"/>
      <c r="DN168" s="136" t="str">
        <f>IF($D168&lt;&gt;"Feature",".",
IF(VLOOKUP($B168,Feature_List!$A:$AM,MATCH(DN$1,  Feature_List!$A$1:$AM$1,0),0)=BC168,".","NO"))</f>
        <v>.</v>
      </c>
      <c r="DO168" s="136" t="str">
        <f>IF($D168&lt;&gt;"Feature",".",
IF(VLOOKUP($B168,Feature_List!$A:$AM,MATCH(DO$1,  Feature_List!$A$1:$AM$1,0),0)=BD168,".","NO"))</f>
        <v>.</v>
      </c>
    </row>
    <row r="169" spans="2:119" x14ac:dyDescent="0.3">
      <c r="B169" s="121"/>
      <c r="C169" s="122"/>
      <c r="D169" s="122"/>
      <c r="E169" s="122"/>
      <c r="F169" s="138"/>
      <c r="G169" s="123"/>
      <c r="H169" s="122"/>
      <c r="I169" s="124"/>
      <c r="J169" s="138"/>
      <c r="K169" s="123"/>
      <c r="L169" s="122"/>
      <c r="M169" s="122"/>
      <c r="N169" s="125"/>
      <c r="O169" s="123">
        <f t="shared" si="75"/>
        <v>0</v>
      </c>
      <c r="P169" s="123">
        <f t="shared" si="76"/>
        <v>0</v>
      </c>
      <c r="Q169" s="122" t="str">
        <f t="shared" si="98"/>
        <v>ZeroEntry</v>
      </c>
      <c r="R169" s="126" t="str">
        <f t="shared" si="77"/>
        <v>ZeroEntry</v>
      </c>
      <c r="S169" s="127" t="str">
        <f t="shared" si="78"/>
        <v>ZeroEntry</v>
      </c>
      <c r="T169" s="128" t="str">
        <f>IF($Q169="ZeroEntry", "",VLOOKUP($I169,'Ranking Lookup'!#REF!,2,FALSE))</f>
        <v/>
      </c>
      <c r="U169" s="129" t="str">
        <f t="shared" si="79"/>
        <v/>
      </c>
      <c r="V169" s="129" t="str">
        <f t="shared" si="80"/>
        <v/>
      </c>
      <c r="W169" s="129" t="str">
        <f t="shared" si="81"/>
        <v/>
      </c>
      <c r="X169" s="129" t="str">
        <f t="shared" si="82"/>
        <v/>
      </c>
      <c r="Y169" s="129" t="str">
        <f t="shared" si="83"/>
        <v/>
      </c>
      <c r="Z169" s="129" t="str">
        <f t="shared" si="84"/>
        <v/>
      </c>
      <c r="AA169" s="130"/>
      <c r="AB169" s="130" t="str">
        <f t="shared" si="85"/>
        <v>Unassigned</v>
      </c>
      <c r="AC169" s="131" t="str">
        <f t="shared" si="99"/>
        <v/>
      </c>
      <c r="AD169" s="131" t="str">
        <f t="shared" si="100"/>
        <v/>
      </c>
      <c r="AE169" s="132">
        <f t="shared" si="86"/>
        <v>0</v>
      </c>
      <c r="AF169" s="133" t="str">
        <f t="shared" si="101"/>
        <v/>
      </c>
      <c r="AG169" s="134">
        <f t="shared" si="87"/>
        <v>0</v>
      </c>
      <c r="AH169" s="54" t="str">
        <f t="shared" si="88"/>
        <v/>
      </c>
      <c r="AI169" s="54" t="str">
        <f t="shared" si="106"/>
        <v/>
      </c>
      <c r="AJ169" s="54" t="str">
        <f t="shared" si="106"/>
        <v/>
      </c>
      <c r="AK169" s="54" t="str">
        <f t="shared" si="106"/>
        <v/>
      </c>
      <c r="AL169" s="54" t="str">
        <f t="shared" si="106"/>
        <v/>
      </c>
      <c r="AM169" s="54" t="str">
        <f t="shared" si="106"/>
        <v/>
      </c>
      <c r="AN169" s="54" t="str">
        <f t="shared" si="106"/>
        <v/>
      </c>
      <c r="AO169" s="54" t="str">
        <f t="shared" si="106"/>
        <v/>
      </c>
      <c r="AP169" s="54" t="str">
        <f t="shared" si="106"/>
        <v/>
      </c>
      <c r="AQ169" s="54" t="str">
        <f t="shared" si="106"/>
        <v/>
      </c>
      <c r="AR169" s="54" t="str">
        <f t="shared" si="106"/>
        <v/>
      </c>
      <c r="AS169" s="54" t="str">
        <f t="shared" si="106"/>
        <v/>
      </c>
      <c r="AT169" s="54" t="str">
        <f t="shared" si="106"/>
        <v/>
      </c>
      <c r="AU169" s="54" t="str">
        <f t="shared" si="106"/>
        <v/>
      </c>
      <c r="AV169" s="54" t="str">
        <f t="shared" si="106"/>
        <v/>
      </c>
      <c r="AW169" s="54" t="str">
        <f t="shared" si="106"/>
        <v/>
      </c>
      <c r="AX169" s="54" t="str">
        <f t="shared" si="106"/>
        <v/>
      </c>
      <c r="AY169" s="54" t="str">
        <f t="shared" si="90"/>
        <v/>
      </c>
      <c r="AZ169" s="54" t="str">
        <f t="shared" si="91"/>
        <v/>
      </c>
      <c r="BA169" s="54" t="str">
        <f t="shared" si="92"/>
        <v/>
      </c>
      <c r="BB169" s="135" t="str">
        <f t="shared" si="93"/>
        <v/>
      </c>
      <c r="BC169" s="54" t="str">
        <f t="shared" si="107"/>
        <v/>
      </c>
      <c r="BD169" s="54" t="str">
        <f t="shared" si="107"/>
        <v/>
      </c>
      <c r="BE169" s="54" t="str">
        <f t="shared" si="107"/>
        <v/>
      </c>
      <c r="BF169" s="54" t="str">
        <f t="shared" si="94"/>
        <v/>
      </c>
      <c r="BG169" s="54" t="str">
        <f t="shared" si="95"/>
        <v/>
      </c>
      <c r="BH169" s="34" t="str">
        <f t="shared" si="96"/>
        <v>Bad</v>
      </c>
      <c r="BI169" s="34" t="str">
        <f t="shared" si="97"/>
        <v>No</v>
      </c>
      <c r="BJ169" s="136" t="str">
        <f>IF($D169&lt;&gt;"Feature",".",
IF(VLOOKUP($B169,Feature_List!$A:$AM,MATCH(BJ$1,  Feature_List!$A$1:$AM$1,0),0)=B169,".","NO"))</f>
        <v>.</v>
      </c>
      <c r="BK169" s="136"/>
      <c r="BL169" s="136"/>
      <c r="BM169" s="136" t="str">
        <f>IF($D169&lt;&gt;"Feature",".",
IF(VLOOKUP($B169,Feature_List!$A:$AM,MATCH(BM$1,  Feature_List!$A$1:$AM$1,0),0)=E169,".","NO"))</f>
        <v>.</v>
      </c>
      <c r="BN169" s="136" t="str">
        <f>IF($D169&lt;&gt;"Feature",".",
IF(VLOOKUP($B169,Feature_List!$A:$AM,MATCH(BN$1,  Feature_List!$A$1:$AM$1,0),0)=F169,".","NO"))</f>
        <v>.</v>
      </c>
      <c r="BO169" s="136" t="str">
        <f>IF($D169&lt;&gt;"Feature",".",
IF(VLOOKUP($B169,Feature_List!$A:$AM,MATCH(BO$1,  Feature_List!$A$1:$AM$1,0),0)=G169,".","NO"))</f>
        <v>.</v>
      </c>
      <c r="BP169" s="136" t="str">
        <f>IF($D169&lt;&gt;"Feature",".",
IF(VLOOKUP($B169,Feature_List!$A:$AM,MATCH(BP$1,  Feature_List!$A$1:$AM$1,0),0)=H169,".","NO"))</f>
        <v>.</v>
      </c>
      <c r="BQ169" s="136"/>
      <c r="BR169" s="136" t="str">
        <f>IF($D169&lt;&gt;"Feature",".",
IF(VLOOKUP($B169,Feature_List!$A:$AM,MATCH(BR$1,  Feature_List!$A$1:$AM$1,0),0)=J169,".","NO"))</f>
        <v>.</v>
      </c>
      <c r="BS169" s="136"/>
      <c r="BT169" s="136"/>
      <c r="BU169" s="136" t="str">
        <f>IF($D169&lt;&gt;"Feature",".",
IF(VLOOKUP($B169,Feature_List!$A:$AM,MATCH(BU$1,  Feature_List!$A$1:$AM$1,0),0)=M169,".","NO"))</f>
        <v>.</v>
      </c>
      <c r="BV169" s="136" t="str">
        <f>IF($D169&lt;&gt;"Feature",".",
IF(VLOOKUP($B169,Feature_List!$A:$AM,MATCH(BV$1,  Feature_List!$A$1:$AM$1,0),0)=N169,".","NO"))</f>
        <v>.</v>
      </c>
      <c r="BW169" s="136"/>
      <c r="BX169" s="136"/>
      <c r="BY169" s="136"/>
      <c r="BZ169" s="136"/>
      <c r="CA169" s="136"/>
      <c r="CB169" s="136" t="str">
        <f>IF($D169&lt;&gt;"Feature",".",
IF(VLOOKUP($B169,Feature_List!$A:$AM,MATCH(CB$1,  Feature_List!$A$1:$AM$1,0),0)=T169,".","NO"))</f>
        <v>.</v>
      </c>
      <c r="CC169" s="136"/>
      <c r="CD169" s="136"/>
      <c r="CE169" s="136"/>
      <c r="CF169" s="136"/>
      <c r="CG169" s="136"/>
      <c r="CH169" s="136"/>
      <c r="CI169" s="136"/>
      <c r="CJ169" s="136"/>
      <c r="CK169" s="136"/>
      <c r="CL169" s="136"/>
      <c r="CM169" s="136"/>
      <c r="CN169" s="136"/>
      <c r="CO169" s="136" t="str">
        <f>IF($D169&lt;&gt;"Feature",".",
IF(VLOOKUP($B169,Feature_List!$A:$AM,MATCH(CO$1,  Feature_List!$A$1:$AM$1,0),0)=AG169,".","NO"))</f>
        <v>.</v>
      </c>
      <c r="CP169" s="136" t="str">
        <f>IF($D169&lt;&gt;"Feature",".",
IF(VLOOKUP($B169,Feature_List!$A:$AM,MATCH(CP$1,  Feature_List!$A$1:$AM$1,0),0)=AH169,".","NO"))</f>
        <v>.</v>
      </c>
      <c r="CQ169" s="136" t="str">
        <f>IF($D169&lt;&gt;"Feature",".",
IF(VLOOKUP($B169,Feature_List!$A:$AM,MATCH(CQ$1,  Feature_List!$A$1:$AM$1,0),0)=AI169,".","NO"))</f>
        <v>.</v>
      </c>
      <c r="CR169" s="136" t="str">
        <f>IF($D169&lt;&gt;"Feature",".",
IF(VLOOKUP($B169,Feature_List!$A:$AM,MATCH(CR$1,  Feature_List!$A$1:$AM$1,0),0)=AJ169,".","NO"))</f>
        <v>.</v>
      </c>
      <c r="CS169" s="136" t="str">
        <f>IF($D169&lt;&gt;"Feature",".",
IF(VLOOKUP($B169,Feature_List!$A:$AM,MATCH(CS$1,  Feature_List!$A$1:$AM$1,0),0)=AK169,".","NO"))</f>
        <v>.</v>
      </c>
      <c r="CT169" s="136" t="str">
        <f>IF($D169&lt;&gt;"Feature",".",
IF(VLOOKUP($B169,Feature_List!$A:$AM,MATCH(CT$1,  Feature_List!$A$1:$AM$1,0),0)=AL169,".","NO"))</f>
        <v>.</v>
      </c>
      <c r="CU169" s="136" t="str">
        <f>IF($D169&lt;&gt;"Feature",".",
IF(VLOOKUP($B169,Feature_List!$A:$AM,MATCH(CU$1,  Feature_List!$A$1:$AM$1,0),0)=AM169,".","NO"))</f>
        <v>.</v>
      </c>
      <c r="CV169" s="136" t="str">
        <f>IF($D169&lt;&gt;"Feature",".",
IF(VLOOKUP($B169,Feature_List!$A:$AM,MATCH(CV$1,  Feature_List!$A$1:$AM$1,0),0)=AN169,".","NO"))</f>
        <v>.</v>
      </c>
      <c r="CW169" s="136" t="str">
        <f>IF($D169&lt;&gt;"Feature",".",
IF(VLOOKUP($B169,Feature_List!$A:$AM,MATCH(CW$1,  Feature_List!$A$1:$AM$1,0),0)=AO169,".","NO"))</f>
        <v>.</v>
      </c>
      <c r="CX169" s="136" t="str">
        <f>IF($D169&lt;&gt;"Feature",".",
IF(VLOOKUP($B169,Feature_List!$A:$AM,MATCH(CX$1,  Feature_List!$A$1:$AM$1,0),0)=AP169,".","NO"))</f>
        <v>.</v>
      </c>
      <c r="CY169" s="136" t="str">
        <f>IF($D169&lt;&gt;"Feature",".",
IF(VLOOKUP($B169,Feature_List!$A:$AM,MATCH(CY$1,  Feature_List!$A$1:$AM$1,0),0)=AQ169,".","NO"))</f>
        <v>.</v>
      </c>
      <c r="CZ169" s="136" t="str">
        <f>IF($D169&lt;&gt;"Feature",".",
IF(VLOOKUP($B169,Feature_List!$A:$AM,MATCH(CZ$1,  Feature_List!$A$1:$AM$1,0),0)=AR169,".","NO"))</f>
        <v>.</v>
      </c>
      <c r="DA169" s="136" t="str">
        <f>IF($D169&lt;&gt;"Feature",".",
IF(VLOOKUP($B169,Feature_List!$A:$AM,MATCH(DA$1,  Feature_List!$A$1:$AM$1,0),0)=AS169,".","NO"))</f>
        <v>.</v>
      </c>
      <c r="DB169" s="136" t="str">
        <f>IF($D169&lt;&gt;"Feature",".",
IF(VLOOKUP($B169,Feature_List!$A:$AM,MATCH(DB$1,  Feature_List!$A$1:$AM$1,0),0)=AT169,".","NO"))</f>
        <v>.</v>
      </c>
      <c r="DC169" s="136" t="str">
        <f>IF($D169&lt;&gt;"Feature",".",
IF(VLOOKUP($B169,Feature_List!$A:$AM,MATCH(DC$1,  Feature_List!$A$1:$AM$1,0),0)=AU169,".","NO"))</f>
        <v>.</v>
      </c>
      <c r="DD169" s="136" t="str">
        <f>IF($D169&lt;&gt;"Feature",".",
IF(VLOOKUP($B169,Feature_List!$A:$AM,MATCH(DD$1,  Feature_List!$A$1:$AM$1,0),0)=AV169,".","NO"))</f>
        <v>.</v>
      </c>
      <c r="DE169" s="136" t="str">
        <f>IF($D169&lt;&gt;"Feature",".",
IF(VLOOKUP($B169,Feature_List!$A:$AM,MATCH(DE$1,  Feature_List!$A$1:$AM$1,0),0)=AW169,".","NO"))</f>
        <v>.</v>
      </c>
      <c r="DF169" s="136" t="str">
        <f>IF($D169&lt;&gt;"Feature",".",
IF(VLOOKUP($B169,Feature_List!$A:$AM,MATCH(DF$1,  Feature_List!$A$1:$AM$1,0),0)=AX169,".","NO"))</f>
        <v>.</v>
      </c>
      <c r="DG169" s="136" t="str">
        <f>IF($D169&lt;&gt;"Feature",".",
IF(VLOOKUP($B169,Feature_List!$A:$AM,MATCH(DG$1,  Feature_List!$A$1:$AM$1,0),0)=AY169,".","NO"))</f>
        <v>.</v>
      </c>
      <c r="DH169" s="136" t="str">
        <f>IF($D169&lt;&gt;"Feature",".",
IF(VLOOKUP($B169,Feature_List!$A:$AM,MATCH(DH$1,  Feature_List!$A$1:$AM$1,0),0)=AZ169,".","NO"))</f>
        <v>.</v>
      </c>
      <c r="DI169" s="136" t="str">
        <f>IF($D169&lt;&gt;"Feature",".",
IF(VLOOKUP($B169,Feature_List!$A:$AM,MATCH(DI$1,  Feature_List!$A$1:$AM$1,0),0)=BA169,".","NO"))</f>
        <v>.</v>
      </c>
      <c r="DJ169" s="136" t="str">
        <f>IF($D169&lt;&gt;"Feature",".",
IF(VLOOKUP($B169,Feature_List!$A:$AM,MATCH(DJ$1,  Feature_List!$A$1:$AM$1,0),0)=BB169,".","NO"))</f>
        <v>.</v>
      </c>
      <c r="DK169" s="136"/>
      <c r="DL169" s="136"/>
      <c r="DM169" s="136"/>
      <c r="DN169" s="136" t="str">
        <f>IF($D169&lt;&gt;"Feature",".",
IF(VLOOKUP($B169,Feature_List!$A:$AM,MATCH(DN$1,  Feature_List!$A$1:$AM$1,0),0)=BC169,".","NO"))</f>
        <v>.</v>
      </c>
      <c r="DO169" s="136" t="str">
        <f>IF($D169&lt;&gt;"Feature",".",
IF(VLOOKUP($B169,Feature_List!$A:$AM,MATCH(DO$1,  Feature_List!$A$1:$AM$1,0),0)=BD169,".","NO"))</f>
        <v>.</v>
      </c>
    </row>
    <row r="170" spans="2:119" x14ac:dyDescent="0.3">
      <c r="B170" s="121"/>
      <c r="C170" s="122"/>
      <c r="D170" s="122"/>
      <c r="E170" s="122"/>
      <c r="F170" s="138"/>
      <c r="G170" s="123"/>
      <c r="H170" s="122"/>
      <c r="I170" s="124"/>
      <c r="J170" s="138"/>
      <c r="K170" s="123"/>
      <c r="L170" s="122"/>
      <c r="M170" s="122"/>
      <c r="N170" s="125"/>
      <c r="O170" s="123">
        <f t="shared" si="75"/>
        <v>0</v>
      </c>
      <c r="P170" s="123">
        <f t="shared" si="76"/>
        <v>0</v>
      </c>
      <c r="Q170" s="122" t="str">
        <f t="shared" si="98"/>
        <v>ZeroEntry</v>
      </c>
      <c r="R170" s="126" t="str">
        <f t="shared" si="77"/>
        <v>ZeroEntry</v>
      </c>
      <c r="S170" s="127" t="str">
        <f t="shared" si="78"/>
        <v>ZeroEntry</v>
      </c>
      <c r="T170" s="128" t="str">
        <f>IF($Q170="ZeroEntry", "",VLOOKUP($I170,'Ranking Lookup'!#REF!,2,FALSE))</f>
        <v/>
      </c>
      <c r="U170" s="129" t="str">
        <f t="shared" si="79"/>
        <v/>
      </c>
      <c r="V170" s="129" t="str">
        <f t="shared" si="80"/>
        <v/>
      </c>
      <c r="W170" s="129" t="str">
        <f t="shared" si="81"/>
        <v/>
      </c>
      <c r="X170" s="129" t="str">
        <f t="shared" si="82"/>
        <v/>
      </c>
      <c r="Y170" s="129" t="str">
        <f t="shared" si="83"/>
        <v/>
      </c>
      <c r="Z170" s="129" t="str">
        <f t="shared" si="84"/>
        <v/>
      </c>
      <c r="AA170" s="130"/>
      <c r="AB170" s="130" t="str">
        <f t="shared" si="85"/>
        <v>Unassigned</v>
      </c>
      <c r="AC170" s="131" t="str">
        <f t="shared" si="99"/>
        <v/>
      </c>
      <c r="AD170" s="131" t="str">
        <f t="shared" si="100"/>
        <v/>
      </c>
      <c r="AE170" s="132">
        <f t="shared" si="86"/>
        <v>0</v>
      </c>
      <c r="AF170" s="133" t="str">
        <f t="shared" si="101"/>
        <v/>
      </c>
      <c r="AG170" s="134">
        <f t="shared" si="87"/>
        <v>0</v>
      </c>
      <c r="AH170" s="54" t="str">
        <f t="shared" si="88"/>
        <v/>
      </c>
      <c r="AI170" s="54" t="str">
        <f t="shared" si="106"/>
        <v/>
      </c>
      <c r="AJ170" s="54" t="str">
        <f t="shared" si="106"/>
        <v/>
      </c>
      <c r="AK170" s="54" t="str">
        <f t="shared" si="106"/>
        <v/>
      </c>
      <c r="AL170" s="54" t="str">
        <f t="shared" si="106"/>
        <v/>
      </c>
      <c r="AM170" s="54" t="str">
        <f t="shared" si="106"/>
        <v/>
      </c>
      <c r="AN170" s="54" t="str">
        <f t="shared" si="106"/>
        <v/>
      </c>
      <c r="AO170" s="54" t="str">
        <f t="shared" si="106"/>
        <v/>
      </c>
      <c r="AP170" s="54" t="str">
        <f t="shared" si="106"/>
        <v/>
      </c>
      <c r="AQ170" s="54" t="str">
        <f t="shared" si="106"/>
        <v/>
      </c>
      <c r="AR170" s="54" t="str">
        <f t="shared" si="106"/>
        <v/>
      </c>
      <c r="AS170" s="54" t="str">
        <f t="shared" si="106"/>
        <v/>
      </c>
      <c r="AT170" s="54" t="str">
        <f t="shared" si="106"/>
        <v/>
      </c>
      <c r="AU170" s="54" t="str">
        <f t="shared" si="106"/>
        <v/>
      </c>
      <c r="AV170" s="54" t="str">
        <f t="shared" si="106"/>
        <v/>
      </c>
      <c r="AW170" s="54" t="str">
        <f t="shared" si="106"/>
        <v/>
      </c>
      <c r="AX170" s="54" t="str">
        <f t="shared" si="106"/>
        <v/>
      </c>
      <c r="AY170" s="54" t="str">
        <f t="shared" si="90"/>
        <v/>
      </c>
      <c r="AZ170" s="54" t="str">
        <f t="shared" si="91"/>
        <v/>
      </c>
      <c r="BA170" s="54" t="str">
        <f t="shared" si="92"/>
        <v/>
      </c>
      <c r="BB170" s="135" t="str">
        <f t="shared" si="93"/>
        <v/>
      </c>
      <c r="BC170" s="54" t="str">
        <f t="shared" si="107"/>
        <v/>
      </c>
      <c r="BD170" s="54" t="str">
        <f t="shared" si="107"/>
        <v/>
      </c>
      <c r="BE170" s="54" t="str">
        <f t="shared" si="107"/>
        <v/>
      </c>
      <c r="BF170" s="54" t="str">
        <f t="shared" si="94"/>
        <v/>
      </c>
      <c r="BG170" s="54" t="str">
        <f t="shared" si="95"/>
        <v/>
      </c>
      <c r="BH170" s="34" t="str">
        <f t="shared" si="96"/>
        <v>Bad</v>
      </c>
      <c r="BI170" s="34" t="str">
        <f t="shared" si="97"/>
        <v>No</v>
      </c>
      <c r="BJ170" s="136" t="str">
        <f>IF($D170&lt;&gt;"Feature",".",
IF(VLOOKUP($B170,Feature_List!$A:$AM,MATCH(BJ$1,  Feature_List!$A$1:$AM$1,0),0)=B170,".","NO"))</f>
        <v>.</v>
      </c>
      <c r="BK170" s="136"/>
      <c r="BL170" s="136"/>
      <c r="BM170" s="136" t="str">
        <f>IF($D170&lt;&gt;"Feature",".",
IF(VLOOKUP($B170,Feature_List!$A:$AM,MATCH(BM$1,  Feature_List!$A$1:$AM$1,0),0)=E170,".","NO"))</f>
        <v>.</v>
      </c>
      <c r="BN170" s="136" t="str">
        <f>IF($D170&lt;&gt;"Feature",".",
IF(VLOOKUP($B170,Feature_List!$A:$AM,MATCH(BN$1,  Feature_List!$A$1:$AM$1,0),0)=F170,".","NO"))</f>
        <v>.</v>
      </c>
      <c r="BO170" s="136" t="str">
        <f>IF($D170&lt;&gt;"Feature",".",
IF(VLOOKUP($B170,Feature_List!$A:$AM,MATCH(BO$1,  Feature_List!$A$1:$AM$1,0),0)=G170,".","NO"))</f>
        <v>.</v>
      </c>
      <c r="BP170" s="136" t="str">
        <f>IF($D170&lt;&gt;"Feature",".",
IF(VLOOKUP($B170,Feature_List!$A:$AM,MATCH(BP$1,  Feature_List!$A$1:$AM$1,0),0)=H170,".","NO"))</f>
        <v>.</v>
      </c>
      <c r="BQ170" s="136"/>
      <c r="BR170" s="136" t="str">
        <f>IF($D170&lt;&gt;"Feature",".",
IF(VLOOKUP($B170,Feature_List!$A:$AM,MATCH(BR$1,  Feature_List!$A$1:$AM$1,0),0)=J170,".","NO"))</f>
        <v>.</v>
      </c>
      <c r="BS170" s="136"/>
      <c r="BT170" s="136"/>
      <c r="BU170" s="136" t="str">
        <f>IF($D170&lt;&gt;"Feature",".",
IF(VLOOKUP($B170,Feature_List!$A:$AM,MATCH(BU$1,  Feature_List!$A$1:$AM$1,0),0)=M170,".","NO"))</f>
        <v>.</v>
      </c>
      <c r="BV170" s="136" t="str">
        <f>IF($D170&lt;&gt;"Feature",".",
IF(VLOOKUP($B170,Feature_List!$A:$AM,MATCH(BV$1,  Feature_List!$A$1:$AM$1,0),0)=N170,".","NO"))</f>
        <v>.</v>
      </c>
      <c r="BW170" s="136"/>
      <c r="BX170" s="136"/>
      <c r="BY170" s="136"/>
      <c r="BZ170" s="136"/>
      <c r="CA170" s="136"/>
      <c r="CB170" s="136" t="str">
        <f>IF($D170&lt;&gt;"Feature",".",
IF(VLOOKUP($B170,Feature_List!$A:$AM,MATCH(CB$1,  Feature_List!$A$1:$AM$1,0),0)=T170,".","NO"))</f>
        <v>.</v>
      </c>
      <c r="CC170" s="136"/>
      <c r="CD170" s="136"/>
      <c r="CE170" s="136"/>
      <c r="CF170" s="136"/>
      <c r="CG170" s="136"/>
      <c r="CH170" s="136"/>
      <c r="CI170" s="136"/>
      <c r="CJ170" s="136"/>
      <c r="CK170" s="136"/>
      <c r="CL170" s="136"/>
      <c r="CM170" s="136"/>
      <c r="CN170" s="136"/>
      <c r="CO170" s="136" t="str">
        <f>IF($D170&lt;&gt;"Feature",".",
IF(VLOOKUP($B170,Feature_List!$A:$AM,MATCH(CO$1,  Feature_List!$A$1:$AM$1,0),0)=AG170,".","NO"))</f>
        <v>.</v>
      </c>
      <c r="CP170" s="136" t="str">
        <f>IF($D170&lt;&gt;"Feature",".",
IF(VLOOKUP($B170,Feature_List!$A:$AM,MATCH(CP$1,  Feature_List!$A$1:$AM$1,0),0)=AH170,".","NO"))</f>
        <v>.</v>
      </c>
      <c r="CQ170" s="136" t="str">
        <f>IF($D170&lt;&gt;"Feature",".",
IF(VLOOKUP($B170,Feature_List!$A:$AM,MATCH(CQ$1,  Feature_List!$A$1:$AM$1,0),0)=AI170,".","NO"))</f>
        <v>.</v>
      </c>
      <c r="CR170" s="136" t="str">
        <f>IF($D170&lt;&gt;"Feature",".",
IF(VLOOKUP($B170,Feature_List!$A:$AM,MATCH(CR$1,  Feature_List!$A$1:$AM$1,0),0)=AJ170,".","NO"))</f>
        <v>.</v>
      </c>
      <c r="CS170" s="136" t="str">
        <f>IF($D170&lt;&gt;"Feature",".",
IF(VLOOKUP($B170,Feature_List!$A:$AM,MATCH(CS$1,  Feature_List!$A$1:$AM$1,0),0)=AK170,".","NO"))</f>
        <v>.</v>
      </c>
      <c r="CT170" s="136" t="str">
        <f>IF($D170&lt;&gt;"Feature",".",
IF(VLOOKUP($B170,Feature_List!$A:$AM,MATCH(CT$1,  Feature_List!$A$1:$AM$1,0),0)=AL170,".","NO"))</f>
        <v>.</v>
      </c>
      <c r="CU170" s="136" t="str">
        <f>IF($D170&lt;&gt;"Feature",".",
IF(VLOOKUP($B170,Feature_List!$A:$AM,MATCH(CU$1,  Feature_List!$A$1:$AM$1,0),0)=AM170,".","NO"))</f>
        <v>.</v>
      </c>
      <c r="CV170" s="136" t="str">
        <f>IF($D170&lt;&gt;"Feature",".",
IF(VLOOKUP($B170,Feature_List!$A:$AM,MATCH(CV$1,  Feature_List!$A$1:$AM$1,0),0)=AN170,".","NO"))</f>
        <v>.</v>
      </c>
      <c r="CW170" s="136" t="str">
        <f>IF($D170&lt;&gt;"Feature",".",
IF(VLOOKUP($B170,Feature_List!$A:$AM,MATCH(CW$1,  Feature_List!$A$1:$AM$1,0),0)=AO170,".","NO"))</f>
        <v>.</v>
      </c>
      <c r="CX170" s="136" t="str">
        <f>IF($D170&lt;&gt;"Feature",".",
IF(VLOOKUP($B170,Feature_List!$A:$AM,MATCH(CX$1,  Feature_List!$A$1:$AM$1,0),0)=AP170,".","NO"))</f>
        <v>.</v>
      </c>
      <c r="CY170" s="136" t="str">
        <f>IF($D170&lt;&gt;"Feature",".",
IF(VLOOKUP($B170,Feature_List!$A:$AM,MATCH(CY$1,  Feature_List!$A$1:$AM$1,0),0)=AQ170,".","NO"))</f>
        <v>.</v>
      </c>
      <c r="CZ170" s="136" t="str">
        <f>IF($D170&lt;&gt;"Feature",".",
IF(VLOOKUP($B170,Feature_List!$A:$AM,MATCH(CZ$1,  Feature_List!$A$1:$AM$1,0),0)=AR170,".","NO"))</f>
        <v>.</v>
      </c>
      <c r="DA170" s="136" t="str">
        <f>IF($D170&lt;&gt;"Feature",".",
IF(VLOOKUP($B170,Feature_List!$A:$AM,MATCH(DA$1,  Feature_List!$A$1:$AM$1,0),0)=AS170,".","NO"))</f>
        <v>.</v>
      </c>
      <c r="DB170" s="136" t="str">
        <f>IF($D170&lt;&gt;"Feature",".",
IF(VLOOKUP($B170,Feature_List!$A:$AM,MATCH(DB$1,  Feature_List!$A$1:$AM$1,0),0)=AT170,".","NO"))</f>
        <v>.</v>
      </c>
      <c r="DC170" s="136" t="str">
        <f>IF($D170&lt;&gt;"Feature",".",
IF(VLOOKUP($B170,Feature_List!$A:$AM,MATCH(DC$1,  Feature_List!$A$1:$AM$1,0),0)=AU170,".","NO"))</f>
        <v>.</v>
      </c>
      <c r="DD170" s="136" t="str">
        <f>IF($D170&lt;&gt;"Feature",".",
IF(VLOOKUP($B170,Feature_List!$A:$AM,MATCH(DD$1,  Feature_List!$A$1:$AM$1,0),0)=AV170,".","NO"))</f>
        <v>.</v>
      </c>
      <c r="DE170" s="136" t="str">
        <f>IF($D170&lt;&gt;"Feature",".",
IF(VLOOKUP($B170,Feature_List!$A:$AM,MATCH(DE$1,  Feature_List!$A$1:$AM$1,0),0)=AW170,".","NO"))</f>
        <v>.</v>
      </c>
      <c r="DF170" s="136" t="str">
        <f>IF($D170&lt;&gt;"Feature",".",
IF(VLOOKUP($B170,Feature_List!$A:$AM,MATCH(DF$1,  Feature_List!$A$1:$AM$1,0),0)=AX170,".","NO"))</f>
        <v>.</v>
      </c>
      <c r="DG170" s="136" t="str">
        <f>IF($D170&lt;&gt;"Feature",".",
IF(VLOOKUP($B170,Feature_List!$A:$AM,MATCH(DG$1,  Feature_List!$A$1:$AM$1,0),0)=AY170,".","NO"))</f>
        <v>.</v>
      </c>
      <c r="DH170" s="136" t="str">
        <f>IF($D170&lt;&gt;"Feature",".",
IF(VLOOKUP($B170,Feature_List!$A:$AM,MATCH(DH$1,  Feature_List!$A$1:$AM$1,0),0)=AZ170,".","NO"))</f>
        <v>.</v>
      </c>
      <c r="DI170" s="136" t="str">
        <f>IF($D170&lt;&gt;"Feature",".",
IF(VLOOKUP($B170,Feature_List!$A:$AM,MATCH(DI$1,  Feature_List!$A$1:$AM$1,0),0)=BA170,".","NO"))</f>
        <v>.</v>
      </c>
      <c r="DJ170" s="136" t="str">
        <f>IF($D170&lt;&gt;"Feature",".",
IF(VLOOKUP($B170,Feature_List!$A:$AM,MATCH(DJ$1,  Feature_List!$A$1:$AM$1,0),0)=BB170,".","NO"))</f>
        <v>.</v>
      </c>
      <c r="DK170" s="136"/>
      <c r="DL170" s="136"/>
      <c r="DM170" s="136"/>
      <c r="DN170" s="136" t="str">
        <f>IF($D170&lt;&gt;"Feature",".",
IF(VLOOKUP($B170,Feature_List!$A:$AM,MATCH(DN$1,  Feature_List!$A$1:$AM$1,0),0)=BC170,".","NO"))</f>
        <v>.</v>
      </c>
      <c r="DO170" s="136" t="str">
        <f>IF($D170&lt;&gt;"Feature",".",
IF(VLOOKUP($B170,Feature_List!$A:$AM,MATCH(DO$1,  Feature_List!$A$1:$AM$1,0),0)=BD170,".","NO"))</f>
        <v>.</v>
      </c>
    </row>
    <row r="171" spans="2:119" x14ac:dyDescent="0.3">
      <c r="B171" s="121"/>
      <c r="C171" s="123"/>
      <c r="D171" s="122"/>
      <c r="E171" s="122"/>
      <c r="F171" s="138"/>
      <c r="G171" s="123"/>
      <c r="H171" s="122"/>
      <c r="I171" s="124"/>
      <c r="J171" s="138"/>
      <c r="K171" s="123"/>
      <c r="L171" s="122"/>
      <c r="M171" s="122"/>
      <c r="N171" s="125"/>
      <c r="O171" s="123">
        <f t="shared" si="75"/>
        <v>0</v>
      </c>
      <c r="P171" s="123">
        <f t="shared" si="76"/>
        <v>0</v>
      </c>
      <c r="Q171" s="122" t="str">
        <f t="shared" si="98"/>
        <v>ZeroEntry</v>
      </c>
      <c r="R171" s="126" t="str">
        <f t="shared" si="77"/>
        <v>ZeroEntry</v>
      </c>
      <c r="S171" s="127" t="str">
        <f t="shared" si="78"/>
        <v>ZeroEntry</v>
      </c>
      <c r="T171" s="128" t="str">
        <f>IF($Q171="ZeroEntry", "",VLOOKUP($I171,'Ranking Lookup'!#REF!,2,FALSE))</f>
        <v/>
      </c>
      <c r="U171" s="129" t="str">
        <f t="shared" si="79"/>
        <v/>
      </c>
      <c r="V171" s="129" t="str">
        <f t="shared" si="80"/>
        <v/>
      </c>
      <c r="W171" s="129" t="str">
        <f t="shared" si="81"/>
        <v/>
      </c>
      <c r="X171" s="129" t="str">
        <f t="shared" si="82"/>
        <v/>
      </c>
      <c r="Y171" s="129" t="str">
        <f t="shared" si="83"/>
        <v/>
      </c>
      <c r="Z171" s="129" t="str">
        <f t="shared" si="84"/>
        <v/>
      </c>
      <c r="AA171" s="130"/>
      <c r="AB171" s="130" t="str">
        <f t="shared" si="85"/>
        <v>Unassigned</v>
      </c>
      <c r="AC171" s="131" t="str">
        <f t="shared" si="99"/>
        <v/>
      </c>
      <c r="AD171" s="131" t="str">
        <f t="shared" si="100"/>
        <v/>
      </c>
      <c r="AE171" s="132">
        <f t="shared" si="86"/>
        <v>0</v>
      </c>
      <c r="AF171" s="133" t="str">
        <f t="shared" si="101"/>
        <v/>
      </c>
      <c r="AG171" s="134">
        <f t="shared" si="87"/>
        <v>0</v>
      </c>
      <c r="AH171" s="54" t="str">
        <f t="shared" si="88"/>
        <v/>
      </c>
      <c r="AI171" s="54" t="str">
        <f t="shared" si="106"/>
        <v/>
      </c>
      <c r="AJ171" s="54" t="str">
        <f t="shared" si="106"/>
        <v/>
      </c>
      <c r="AK171" s="54" t="str">
        <f t="shared" si="106"/>
        <v/>
      </c>
      <c r="AL171" s="54" t="str">
        <f t="shared" si="106"/>
        <v/>
      </c>
      <c r="AM171" s="54" t="str">
        <f t="shared" si="106"/>
        <v/>
      </c>
      <c r="AN171" s="54" t="str">
        <f t="shared" si="106"/>
        <v/>
      </c>
      <c r="AO171" s="54" t="str">
        <f t="shared" si="106"/>
        <v/>
      </c>
      <c r="AP171" s="54" t="str">
        <f t="shared" si="106"/>
        <v/>
      </c>
      <c r="AQ171" s="54" t="str">
        <f t="shared" si="106"/>
        <v/>
      </c>
      <c r="AR171" s="54" t="str">
        <f t="shared" si="106"/>
        <v/>
      </c>
      <c r="AS171" s="54" t="str">
        <f t="shared" si="106"/>
        <v/>
      </c>
      <c r="AT171" s="54" t="str">
        <f t="shared" si="106"/>
        <v/>
      </c>
      <c r="AU171" s="54" t="str">
        <f t="shared" si="106"/>
        <v/>
      </c>
      <c r="AV171" s="54" t="str">
        <f t="shared" si="106"/>
        <v/>
      </c>
      <c r="AW171" s="54" t="str">
        <f t="shared" si="106"/>
        <v/>
      </c>
      <c r="AX171" s="54" t="str">
        <f t="shared" si="106"/>
        <v/>
      </c>
      <c r="AY171" s="54" t="str">
        <f t="shared" si="90"/>
        <v/>
      </c>
      <c r="AZ171" s="54" t="str">
        <f t="shared" si="91"/>
        <v/>
      </c>
      <c r="BA171" s="54" t="str">
        <f t="shared" si="92"/>
        <v/>
      </c>
      <c r="BB171" s="135" t="str">
        <f t="shared" si="93"/>
        <v/>
      </c>
      <c r="BC171" s="54" t="str">
        <f t="shared" si="107"/>
        <v/>
      </c>
      <c r="BD171" s="54" t="str">
        <f t="shared" si="107"/>
        <v/>
      </c>
      <c r="BE171" s="54" t="str">
        <f t="shared" si="107"/>
        <v/>
      </c>
      <c r="BF171" s="54" t="str">
        <f t="shared" si="94"/>
        <v/>
      </c>
      <c r="BG171" s="54" t="str">
        <f t="shared" si="95"/>
        <v/>
      </c>
      <c r="BH171" s="34" t="str">
        <f t="shared" si="96"/>
        <v>Bad</v>
      </c>
      <c r="BI171" s="34" t="str">
        <f t="shared" si="97"/>
        <v>No</v>
      </c>
      <c r="BJ171" s="136" t="str">
        <f>IF($D171&lt;&gt;"Feature",".",
IF(VLOOKUP($B171,Feature_List!$A:$AM,MATCH(BJ$1,  Feature_List!$A$1:$AM$1,0),0)=B171,".","NO"))</f>
        <v>.</v>
      </c>
      <c r="BK171" s="136"/>
      <c r="BL171" s="136"/>
      <c r="BM171" s="136" t="str">
        <f>IF($D171&lt;&gt;"Feature",".",
IF(VLOOKUP($B171,Feature_List!$A:$AM,MATCH(BM$1,  Feature_List!$A$1:$AM$1,0),0)=E171,".","NO"))</f>
        <v>.</v>
      </c>
      <c r="BN171" s="136" t="str">
        <f>IF($D171&lt;&gt;"Feature",".",
IF(VLOOKUP($B171,Feature_List!$A:$AM,MATCH(BN$1,  Feature_List!$A$1:$AM$1,0),0)=F171,".","NO"))</f>
        <v>.</v>
      </c>
      <c r="BO171" s="136" t="str">
        <f>IF($D171&lt;&gt;"Feature",".",
IF(VLOOKUP($B171,Feature_List!$A:$AM,MATCH(BO$1,  Feature_List!$A$1:$AM$1,0),0)=G171,".","NO"))</f>
        <v>.</v>
      </c>
      <c r="BP171" s="136" t="str">
        <f>IF($D171&lt;&gt;"Feature",".",
IF(VLOOKUP($B171,Feature_List!$A:$AM,MATCH(BP$1,  Feature_List!$A$1:$AM$1,0),0)=H171,".","NO"))</f>
        <v>.</v>
      </c>
      <c r="BQ171" s="136"/>
      <c r="BR171" s="136" t="str">
        <f>IF($D171&lt;&gt;"Feature",".",
IF(VLOOKUP($B171,Feature_List!$A:$AM,MATCH(BR$1,  Feature_List!$A$1:$AM$1,0),0)=J171,".","NO"))</f>
        <v>.</v>
      </c>
      <c r="BS171" s="136"/>
      <c r="BT171" s="136"/>
      <c r="BU171" s="136" t="str">
        <f>IF($D171&lt;&gt;"Feature",".",
IF(VLOOKUP($B171,Feature_List!$A:$AM,MATCH(BU$1,  Feature_List!$A$1:$AM$1,0),0)=M171,".","NO"))</f>
        <v>.</v>
      </c>
      <c r="BV171" s="136" t="str">
        <f>IF($D171&lt;&gt;"Feature",".",
IF(VLOOKUP($B171,Feature_List!$A:$AM,MATCH(BV$1,  Feature_List!$A$1:$AM$1,0),0)=N171,".","NO"))</f>
        <v>.</v>
      </c>
      <c r="BW171" s="136"/>
      <c r="BX171" s="136"/>
      <c r="BY171" s="136"/>
      <c r="BZ171" s="136"/>
      <c r="CA171" s="136"/>
      <c r="CB171" s="136" t="str">
        <f>IF($D171&lt;&gt;"Feature",".",
IF(VLOOKUP($B171,Feature_List!$A:$AM,MATCH(CB$1,  Feature_List!$A$1:$AM$1,0),0)=T171,".","NO"))</f>
        <v>.</v>
      </c>
      <c r="CC171" s="136"/>
      <c r="CD171" s="136"/>
      <c r="CE171" s="136"/>
      <c r="CF171" s="136"/>
      <c r="CG171" s="136"/>
      <c r="CH171" s="136"/>
      <c r="CI171" s="136"/>
      <c r="CJ171" s="136"/>
      <c r="CK171" s="136"/>
      <c r="CL171" s="136"/>
      <c r="CM171" s="136"/>
      <c r="CN171" s="136"/>
      <c r="CO171" s="136" t="str">
        <f>IF($D171&lt;&gt;"Feature",".",
IF(VLOOKUP($B171,Feature_List!$A:$AM,MATCH(CO$1,  Feature_List!$A$1:$AM$1,0),0)=AG171,".","NO"))</f>
        <v>.</v>
      </c>
      <c r="CP171" s="136" t="str">
        <f>IF($D171&lt;&gt;"Feature",".",
IF(VLOOKUP($B171,Feature_List!$A:$AM,MATCH(CP$1,  Feature_List!$A$1:$AM$1,0),0)=AH171,".","NO"))</f>
        <v>.</v>
      </c>
      <c r="CQ171" s="136" t="str">
        <f>IF($D171&lt;&gt;"Feature",".",
IF(VLOOKUP($B171,Feature_List!$A:$AM,MATCH(CQ$1,  Feature_List!$A$1:$AM$1,0),0)=AI171,".","NO"))</f>
        <v>.</v>
      </c>
      <c r="CR171" s="136" t="str">
        <f>IF($D171&lt;&gt;"Feature",".",
IF(VLOOKUP($B171,Feature_List!$A:$AM,MATCH(CR$1,  Feature_List!$A$1:$AM$1,0),0)=AJ171,".","NO"))</f>
        <v>.</v>
      </c>
      <c r="CS171" s="136" t="str">
        <f>IF($D171&lt;&gt;"Feature",".",
IF(VLOOKUP($B171,Feature_List!$A:$AM,MATCH(CS$1,  Feature_List!$A$1:$AM$1,0),0)=AK171,".","NO"))</f>
        <v>.</v>
      </c>
      <c r="CT171" s="136" t="str">
        <f>IF($D171&lt;&gt;"Feature",".",
IF(VLOOKUP($B171,Feature_List!$A:$AM,MATCH(CT$1,  Feature_List!$A$1:$AM$1,0),0)=AL171,".","NO"))</f>
        <v>.</v>
      </c>
      <c r="CU171" s="136" t="str">
        <f>IF($D171&lt;&gt;"Feature",".",
IF(VLOOKUP($B171,Feature_List!$A:$AM,MATCH(CU$1,  Feature_List!$A$1:$AM$1,0),0)=AM171,".","NO"))</f>
        <v>.</v>
      </c>
      <c r="CV171" s="136" t="str">
        <f>IF($D171&lt;&gt;"Feature",".",
IF(VLOOKUP($B171,Feature_List!$A:$AM,MATCH(CV$1,  Feature_List!$A$1:$AM$1,0),0)=AN171,".","NO"))</f>
        <v>.</v>
      </c>
      <c r="CW171" s="136" t="str">
        <f>IF($D171&lt;&gt;"Feature",".",
IF(VLOOKUP($B171,Feature_List!$A:$AM,MATCH(CW$1,  Feature_List!$A$1:$AM$1,0),0)=AO171,".","NO"))</f>
        <v>.</v>
      </c>
      <c r="CX171" s="136" t="str">
        <f>IF($D171&lt;&gt;"Feature",".",
IF(VLOOKUP($B171,Feature_List!$A:$AM,MATCH(CX$1,  Feature_List!$A$1:$AM$1,0),0)=AP171,".","NO"))</f>
        <v>.</v>
      </c>
      <c r="CY171" s="136" t="str">
        <f>IF($D171&lt;&gt;"Feature",".",
IF(VLOOKUP($B171,Feature_List!$A:$AM,MATCH(CY$1,  Feature_List!$A$1:$AM$1,0),0)=AQ171,".","NO"))</f>
        <v>.</v>
      </c>
      <c r="CZ171" s="136" t="str">
        <f>IF($D171&lt;&gt;"Feature",".",
IF(VLOOKUP($B171,Feature_List!$A:$AM,MATCH(CZ$1,  Feature_List!$A$1:$AM$1,0),0)=AR171,".","NO"))</f>
        <v>.</v>
      </c>
      <c r="DA171" s="136" t="str">
        <f>IF($D171&lt;&gt;"Feature",".",
IF(VLOOKUP($B171,Feature_List!$A:$AM,MATCH(DA$1,  Feature_List!$A$1:$AM$1,0),0)=AS171,".","NO"))</f>
        <v>.</v>
      </c>
      <c r="DB171" s="136" t="str">
        <f>IF($D171&lt;&gt;"Feature",".",
IF(VLOOKUP($B171,Feature_List!$A:$AM,MATCH(DB$1,  Feature_List!$A$1:$AM$1,0),0)=AT171,".","NO"))</f>
        <v>.</v>
      </c>
      <c r="DC171" s="136" t="str">
        <f>IF($D171&lt;&gt;"Feature",".",
IF(VLOOKUP($B171,Feature_List!$A:$AM,MATCH(DC$1,  Feature_List!$A$1:$AM$1,0),0)=AU171,".","NO"))</f>
        <v>.</v>
      </c>
      <c r="DD171" s="136" t="str">
        <f>IF($D171&lt;&gt;"Feature",".",
IF(VLOOKUP($B171,Feature_List!$A:$AM,MATCH(DD$1,  Feature_List!$A$1:$AM$1,0),0)=AV171,".","NO"))</f>
        <v>.</v>
      </c>
      <c r="DE171" s="136" t="str">
        <f>IF($D171&lt;&gt;"Feature",".",
IF(VLOOKUP($B171,Feature_List!$A:$AM,MATCH(DE$1,  Feature_List!$A$1:$AM$1,0),0)=AW171,".","NO"))</f>
        <v>.</v>
      </c>
      <c r="DF171" s="136" t="str">
        <f>IF($D171&lt;&gt;"Feature",".",
IF(VLOOKUP($B171,Feature_List!$A:$AM,MATCH(DF$1,  Feature_List!$A$1:$AM$1,0),0)=AX171,".","NO"))</f>
        <v>.</v>
      </c>
      <c r="DG171" s="136" t="str">
        <f>IF($D171&lt;&gt;"Feature",".",
IF(VLOOKUP($B171,Feature_List!$A:$AM,MATCH(DG$1,  Feature_List!$A$1:$AM$1,0),0)=AY171,".","NO"))</f>
        <v>.</v>
      </c>
      <c r="DH171" s="136" t="str">
        <f>IF($D171&lt;&gt;"Feature",".",
IF(VLOOKUP($B171,Feature_List!$A:$AM,MATCH(DH$1,  Feature_List!$A$1:$AM$1,0),0)=AZ171,".","NO"))</f>
        <v>.</v>
      </c>
      <c r="DI171" s="136" t="str">
        <f>IF($D171&lt;&gt;"Feature",".",
IF(VLOOKUP($B171,Feature_List!$A:$AM,MATCH(DI$1,  Feature_List!$A$1:$AM$1,0),0)=BA171,".","NO"))</f>
        <v>.</v>
      </c>
      <c r="DJ171" s="136" t="str">
        <f>IF($D171&lt;&gt;"Feature",".",
IF(VLOOKUP($B171,Feature_List!$A:$AM,MATCH(DJ$1,  Feature_List!$A$1:$AM$1,0),0)=BB171,".","NO"))</f>
        <v>.</v>
      </c>
      <c r="DK171" s="136"/>
      <c r="DL171" s="136"/>
      <c r="DM171" s="136"/>
      <c r="DN171" s="136" t="str">
        <f>IF($D171&lt;&gt;"Feature",".",
IF(VLOOKUP($B171,Feature_List!$A:$AM,MATCH(DN$1,  Feature_List!$A$1:$AM$1,0),0)=BC171,".","NO"))</f>
        <v>.</v>
      </c>
      <c r="DO171" s="136" t="str">
        <f>IF($D171&lt;&gt;"Feature",".",
IF(VLOOKUP($B171,Feature_List!$A:$AM,MATCH(DO$1,  Feature_List!$A$1:$AM$1,0),0)=BD171,".","NO"))</f>
        <v>.</v>
      </c>
    </row>
    <row r="172" spans="2:119" x14ac:dyDescent="0.3">
      <c r="B172" s="121"/>
      <c r="C172" s="123"/>
      <c r="D172" s="122"/>
      <c r="E172" s="122"/>
      <c r="F172" s="138"/>
      <c r="G172" s="123"/>
      <c r="H172" s="122"/>
      <c r="I172" s="122"/>
      <c r="J172" s="138"/>
      <c r="K172" s="123"/>
      <c r="L172" s="122"/>
      <c r="M172" s="122"/>
      <c r="N172" s="125"/>
      <c r="O172" s="123">
        <f t="shared" si="75"/>
        <v>0</v>
      </c>
      <c r="P172" s="123">
        <f t="shared" si="76"/>
        <v>0</v>
      </c>
      <c r="Q172" s="122" t="str">
        <f t="shared" si="98"/>
        <v>ZeroEntry</v>
      </c>
      <c r="R172" s="126" t="str">
        <f t="shared" si="77"/>
        <v>ZeroEntry</v>
      </c>
      <c r="S172" s="127" t="str">
        <f t="shared" si="78"/>
        <v>ZeroEntry</v>
      </c>
      <c r="T172" s="128" t="str">
        <f>IF($Q172="ZeroEntry", "",VLOOKUP($I172,'Ranking Lookup'!#REF!,2,FALSE))</f>
        <v/>
      </c>
      <c r="U172" s="129" t="str">
        <f t="shared" si="79"/>
        <v/>
      </c>
      <c r="V172" s="129" t="str">
        <f t="shared" si="80"/>
        <v/>
      </c>
      <c r="W172" s="129" t="str">
        <f t="shared" si="81"/>
        <v/>
      </c>
      <c r="X172" s="129" t="str">
        <f t="shared" si="82"/>
        <v/>
      </c>
      <c r="Y172" s="129" t="str">
        <f t="shared" si="83"/>
        <v/>
      </c>
      <c r="Z172" s="129" t="str">
        <f t="shared" si="84"/>
        <v/>
      </c>
      <c r="AA172" s="130"/>
      <c r="AB172" s="130" t="str">
        <f t="shared" si="85"/>
        <v>Unassigned</v>
      </c>
      <c r="AC172" s="131" t="str">
        <f t="shared" si="99"/>
        <v/>
      </c>
      <c r="AD172" s="131" t="str">
        <f t="shared" si="100"/>
        <v/>
      </c>
      <c r="AE172" s="132">
        <f t="shared" si="86"/>
        <v>0</v>
      </c>
      <c r="AF172" s="133" t="str">
        <f t="shared" si="101"/>
        <v/>
      </c>
      <c r="AG172" s="134">
        <f t="shared" si="87"/>
        <v>0</v>
      </c>
      <c r="AH172" s="54" t="str">
        <f t="shared" si="88"/>
        <v/>
      </c>
      <c r="AI172" s="54" t="str">
        <f t="shared" si="106"/>
        <v/>
      </c>
      <c r="AJ172" s="54" t="str">
        <f t="shared" si="106"/>
        <v/>
      </c>
      <c r="AK172" s="54" t="str">
        <f t="shared" si="106"/>
        <v/>
      </c>
      <c r="AL172" s="54" t="str">
        <f t="shared" si="106"/>
        <v/>
      </c>
      <c r="AM172" s="54" t="str">
        <f t="shared" si="106"/>
        <v/>
      </c>
      <c r="AN172" s="54" t="str">
        <f t="shared" si="106"/>
        <v/>
      </c>
      <c r="AO172" s="54" t="str">
        <f t="shared" si="106"/>
        <v/>
      </c>
      <c r="AP172" s="54" t="str">
        <f t="shared" si="106"/>
        <v/>
      </c>
      <c r="AQ172" s="54" t="str">
        <f t="shared" si="106"/>
        <v/>
      </c>
      <c r="AR172" s="54" t="str">
        <f t="shared" si="106"/>
        <v/>
      </c>
      <c r="AS172" s="54" t="str">
        <f t="shared" si="106"/>
        <v/>
      </c>
      <c r="AT172" s="54" t="str">
        <f t="shared" si="106"/>
        <v/>
      </c>
      <c r="AU172" s="54" t="str">
        <f t="shared" si="106"/>
        <v/>
      </c>
      <c r="AV172" s="54" t="str">
        <f t="shared" si="106"/>
        <v/>
      </c>
      <c r="AW172" s="54" t="str">
        <f t="shared" si="106"/>
        <v/>
      </c>
      <c r="AX172" s="54" t="str">
        <f t="shared" si="106"/>
        <v/>
      </c>
      <c r="AY172" s="54" t="str">
        <f t="shared" si="90"/>
        <v/>
      </c>
      <c r="AZ172" s="54" t="str">
        <f t="shared" si="91"/>
        <v/>
      </c>
      <c r="BA172" s="54" t="str">
        <f t="shared" si="92"/>
        <v/>
      </c>
      <c r="BB172" s="135" t="str">
        <f t="shared" si="93"/>
        <v/>
      </c>
      <c r="BC172" s="54" t="str">
        <f t="shared" si="107"/>
        <v/>
      </c>
      <c r="BD172" s="54" t="str">
        <f t="shared" si="107"/>
        <v/>
      </c>
      <c r="BE172" s="54" t="str">
        <f t="shared" si="107"/>
        <v/>
      </c>
      <c r="BF172" s="54" t="str">
        <f t="shared" si="94"/>
        <v/>
      </c>
      <c r="BG172" s="54" t="str">
        <f t="shared" si="95"/>
        <v/>
      </c>
      <c r="BH172" s="34" t="str">
        <f t="shared" si="96"/>
        <v>Bad</v>
      </c>
      <c r="BI172" s="34" t="str">
        <f t="shared" si="97"/>
        <v>No</v>
      </c>
      <c r="BJ172" s="136" t="str">
        <f>IF($D172&lt;&gt;"Feature",".",
IF(VLOOKUP($B172,Feature_List!$A:$AM,MATCH(BJ$1,  Feature_List!$A$1:$AM$1,0),0)=B172,".","NO"))</f>
        <v>.</v>
      </c>
      <c r="BK172" s="136"/>
      <c r="BL172" s="136"/>
      <c r="BM172" s="136" t="str">
        <f>IF($D172&lt;&gt;"Feature",".",
IF(VLOOKUP($B172,Feature_List!$A:$AM,MATCH(BM$1,  Feature_List!$A$1:$AM$1,0),0)=E172,".","NO"))</f>
        <v>.</v>
      </c>
      <c r="BN172" s="136" t="str">
        <f>IF($D172&lt;&gt;"Feature",".",
IF(VLOOKUP($B172,Feature_List!$A:$AM,MATCH(BN$1,  Feature_List!$A$1:$AM$1,0),0)=F172,".","NO"))</f>
        <v>.</v>
      </c>
      <c r="BO172" s="136" t="str">
        <f>IF($D172&lt;&gt;"Feature",".",
IF(VLOOKUP($B172,Feature_List!$A:$AM,MATCH(BO$1,  Feature_List!$A$1:$AM$1,0),0)=G172,".","NO"))</f>
        <v>.</v>
      </c>
      <c r="BP172" s="136" t="str">
        <f>IF($D172&lt;&gt;"Feature",".",
IF(VLOOKUP($B172,Feature_List!$A:$AM,MATCH(BP$1,  Feature_List!$A$1:$AM$1,0),0)=H172,".","NO"))</f>
        <v>.</v>
      </c>
      <c r="BQ172" s="136"/>
      <c r="BR172" s="136" t="str">
        <f>IF($D172&lt;&gt;"Feature",".",
IF(VLOOKUP($B172,Feature_List!$A:$AM,MATCH(BR$1,  Feature_List!$A$1:$AM$1,0),0)=J172,".","NO"))</f>
        <v>.</v>
      </c>
      <c r="BS172" s="136"/>
      <c r="BT172" s="136"/>
      <c r="BU172" s="136" t="str">
        <f>IF($D172&lt;&gt;"Feature",".",
IF(VLOOKUP($B172,Feature_List!$A:$AM,MATCH(BU$1,  Feature_List!$A$1:$AM$1,0),0)=M172,".","NO"))</f>
        <v>.</v>
      </c>
      <c r="BV172" s="136" t="str">
        <f>IF($D172&lt;&gt;"Feature",".",
IF(VLOOKUP($B172,Feature_List!$A:$AM,MATCH(BV$1,  Feature_List!$A$1:$AM$1,0),0)=N172,".","NO"))</f>
        <v>.</v>
      </c>
      <c r="BW172" s="136"/>
      <c r="BX172" s="136"/>
      <c r="BY172" s="136"/>
      <c r="BZ172" s="136"/>
      <c r="CA172" s="136"/>
      <c r="CB172" s="136" t="str">
        <f>IF($D172&lt;&gt;"Feature",".",
IF(VLOOKUP($B172,Feature_List!$A:$AM,MATCH(CB$1,  Feature_List!$A$1:$AM$1,0),0)=T172,".","NO"))</f>
        <v>.</v>
      </c>
      <c r="CC172" s="136"/>
      <c r="CD172" s="136"/>
      <c r="CE172" s="136"/>
      <c r="CF172" s="136"/>
      <c r="CG172" s="136"/>
      <c r="CH172" s="136"/>
      <c r="CI172" s="136"/>
      <c r="CJ172" s="136"/>
      <c r="CK172" s="136"/>
      <c r="CL172" s="136"/>
      <c r="CM172" s="136"/>
      <c r="CN172" s="136"/>
      <c r="CO172" s="136" t="str">
        <f>IF($D172&lt;&gt;"Feature",".",
IF(VLOOKUP($B172,Feature_List!$A:$AM,MATCH(CO$1,  Feature_List!$A$1:$AM$1,0),0)=AG172,".","NO"))</f>
        <v>.</v>
      </c>
      <c r="CP172" s="136" t="str">
        <f>IF($D172&lt;&gt;"Feature",".",
IF(VLOOKUP($B172,Feature_List!$A:$AM,MATCH(CP$1,  Feature_List!$A$1:$AM$1,0),0)=AH172,".","NO"))</f>
        <v>.</v>
      </c>
      <c r="CQ172" s="136" t="str">
        <f>IF($D172&lt;&gt;"Feature",".",
IF(VLOOKUP($B172,Feature_List!$A:$AM,MATCH(CQ$1,  Feature_List!$A$1:$AM$1,0),0)=AI172,".","NO"))</f>
        <v>.</v>
      </c>
      <c r="CR172" s="136" t="str">
        <f>IF($D172&lt;&gt;"Feature",".",
IF(VLOOKUP($B172,Feature_List!$A:$AM,MATCH(CR$1,  Feature_List!$A$1:$AM$1,0),0)=AJ172,".","NO"))</f>
        <v>.</v>
      </c>
      <c r="CS172" s="136" t="str">
        <f>IF($D172&lt;&gt;"Feature",".",
IF(VLOOKUP($B172,Feature_List!$A:$AM,MATCH(CS$1,  Feature_List!$A$1:$AM$1,0),0)=AK172,".","NO"))</f>
        <v>.</v>
      </c>
      <c r="CT172" s="136" t="str">
        <f>IF($D172&lt;&gt;"Feature",".",
IF(VLOOKUP($B172,Feature_List!$A:$AM,MATCH(CT$1,  Feature_List!$A$1:$AM$1,0),0)=AL172,".","NO"))</f>
        <v>.</v>
      </c>
      <c r="CU172" s="136" t="str">
        <f>IF($D172&lt;&gt;"Feature",".",
IF(VLOOKUP($B172,Feature_List!$A:$AM,MATCH(CU$1,  Feature_List!$A$1:$AM$1,0),0)=AM172,".","NO"))</f>
        <v>.</v>
      </c>
      <c r="CV172" s="136" t="str">
        <f>IF($D172&lt;&gt;"Feature",".",
IF(VLOOKUP($B172,Feature_List!$A:$AM,MATCH(CV$1,  Feature_List!$A$1:$AM$1,0),0)=AN172,".","NO"))</f>
        <v>.</v>
      </c>
      <c r="CW172" s="136" t="str">
        <f>IF($D172&lt;&gt;"Feature",".",
IF(VLOOKUP($B172,Feature_List!$A:$AM,MATCH(CW$1,  Feature_List!$A$1:$AM$1,0),0)=AO172,".","NO"))</f>
        <v>.</v>
      </c>
      <c r="CX172" s="136" t="str">
        <f>IF($D172&lt;&gt;"Feature",".",
IF(VLOOKUP($B172,Feature_List!$A:$AM,MATCH(CX$1,  Feature_List!$A$1:$AM$1,0),0)=AP172,".","NO"))</f>
        <v>.</v>
      </c>
      <c r="CY172" s="136" t="str">
        <f>IF($D172&lt;&gt;"Feature",".",
IF(VLOOKUP($B172,Feature_List!$A:$AM,MATCH(CY$1,  Feature_List!$A$1:$AM$1,0),0)=AQ172,".","NO"))</f>
        <v>.</v>
      </c>
      <c r="CZ172" s="136" t="str">
        <f>IF($D172&lt;&gt;"Feature",".",
IF(VLOOKUP($B172,Feature_List!$A:$AM,MATCH(CZ$1,  Feature_List!$A$1:$AM$1,0),0)=AR172,".","NO"))</f>
        <v>.</v>
      </c>
      <c r="DA172" s="136" t="str">
        <f>IF($D172&lt;&gt;"Feature",".",
IF(VLOOKUP($B172,Feature_List!$A:$AM,MATCH(DA$1,  Feature_List!$A$1:$AM$1,0),0)=AS172,".","NO"))</f>
        <v>.</v>
      </c>
      <c r="DB172" s="136" t="str">
        <f>IF($D172&lt;&gt;"Feature",".",
IF(VLOOKUP($B172,Feature_List!$A:$AM,MATCH(DB$1,  Feature_List!$A$1:$AM$1,0),0)=AT172,".","NO"))</f>
        <v>.</v>
      </c>
      <c r="DC172" s="136" t="str">
        <f>IF($D172&lt;&gt;"Feature",".",
IF(VLOOKUP($B172,Feature_List!$A:$AM,MATCH(DC$1,  Feature_List!$A$1:$AM$1,0),0)=AU172,".","NO"))</f>
        <v>.</v>
      </c>
      <c r="DD172" s="136" t="str">
        <f>IF($D172&lt;&gt;"Feature",".",
IF(VLOOKUP($B172,Feature_List!$A:$AM,MATCH(DD$1,  Feature_List!$A$1:$AM$1,0),0)=AV172,".","NO"))</f>
        <v>.</v>
      </c>
      <c r="DE172" s="136" t="str">
        <f>IF($D172&lt;&gt;"Feature",".",
IF(VLOOKUP($B172,Feature_List!$A:$AM,MATCH(DE$1,  Feature_List!$A$1:$AM$1,0),0)=AW172,".","NO"))</f>
        <v>.</v>
      </c>
      <c r="DF172" s="136" t="str">
        <f>IF($D172&lt;&gt;"Feature",".",
IF(VLOOKUP($B172,Feature_List!$A:$AM,MATCH(DF$1,  Feature_List!$A$1:$AM$1,0),0)=AX172,".","NO"))</f>
        <v>.</v>
      </c>
      <c r="DG172" s="136" t="str">
        <f>IF($D172&lt;&gt;"Feature",".",
IF(VLOOKUP($B172,Feature_List!$A:$AM,MATCH(DG$1,  Feature_List!$A$1:$AM$1,0),0)=AY172,".","NO"))</f>
        <v>.</v>
      </c>
      <c r="DH172" s="136" t="str">
        <f>IF($D172&lt;&gt;"Feature",".",
IF(VLOOKUP($B172,Feature_List!$A:$AM,MATCH(DH$1,  Feature_List!$A$1:$AM$1,0),0)=AZ172,".","NO"))</f>
        <v>.</v>
      </c>
      <c r="DI172" s="136" t="str">
        <f>IF($D172&lt;&gt;"Feature",".",
IF(VLOOKUP($B172,Feature_List!$A:$AM,MATCH(DI$1,  Feature_List!$A$1:$AM$1,0),0)=BA172,".","NO"))</f>
        <v>.</v>
      </c>
      <c r="DJ172" s="136" t="str">
        <f>IF($D172&lt;&gt;"Feature",".",
IF(VLOOKUP($B172,Feature_List!$A:$AM,MATCH(DJ$1,  Feature_List!$A$1:$AM$1,0),0)=BB172,".","NO"))</f>
        <v>.</v>
      </c>
      <c r="DK172" s="136"/>
      <c r="DL172" s="136"/>
      <c r="DM172" s="136"/>
      <c r="DN172" s="136" t="str">
        <f>IF($D172&lt;&gt;"Feature",".",
IF(VLOOKUP($B172,Feature_List!$A:$AM,MATCH(DN$1,  Feature_List!$A$1:$AM$1,0),0)=BC172,".","NO"))</f>
        <v>.</v>
      </c>
      <c r="DO172" s="136" t="str">
        <f>IF($D172&lt;&gt;"Feature",".",
IF(VLOOKUP($B172,Feature_List!$A:$AM,MATCH(DO$1,  Feature_List!$A$1:$AM$1,0),0)=BD172,".","NO"))</f>
        <v>.</v>
      </c>
    </row>
    <row r="173" spans="2:119" x14ac:dyDescent="0.3">
      <c r="B173" s="121"/>
      <c r="C173" s="122"/>
      <c r="D173" s="122"/>
      <c r="E173" s="122"/>
      <c r="F173" s="138"/>
      <c r="G173" s="123"/>
      <c r="H173" s="122"/>
      <c r="I173" s="124"/>
      <c r="J173" s="138"/>
      <c r="K173" s="123"/>
      <c r="L173" s="122"/>
      <c r="M173" s="122"/>
      <c r="N173" s="125"/>
      <c r="O173" s="123">
        <f t="shared" si="75"/>
        <v>0</v>
      </c>
      <c r="P173" s="123">
        <f t="shared" si="76"/>
        <v>0</v>
      </c>
      <c r="Q173" s="122" t="str">
        <f t="shared" si="98"/>
        <v>ZeroEntry</v>
      </c>
      <c r="R173" s="126" t="str">
        <f t="shared" si="77"/>
        <v>ZeroEntry</v>
      </c>
      <c r="S173" s="127" t="str">
        <f t="shared" si="78"/>
        <v>ZeroEntry</v>
      </c>
      <c r="T173" s="128" t="str">
        <f>IF($Q173="ZeroEntry", "",VLOOKUP($I173,'Ranking Lookup'!#REF!,2,FALSE))</f>
        <v/>
      </c>
      <c r="U173" s="129" t="str">
        <f t="shared" si="79"/>
        <v/>
      </c>
      <c r="V173" s="129" t="str">
        <f t="shared" si="80"/>
        <v/>
      </c>
      <c r="W173" s="129" t="str">
        <f t="shared" si="81"/>
        <v/>
      </c>
      <c r="X173" s="129" t="str">
        <f t="shared" si="82"/>
        <v/>
      </c>
      <c r="Y173" s="129" t="str">
        <f t="shared" si="83"/>
        <v/>
      </c>
      <c r="Z173" s="129" t="str">
        <f t="shared" si="84"/>
        <v/>
      </c>
      <c r="AA173" s="130"/>
      <c r="AB173" s="130" t="str">
        <f t="shared" si="85"/>
        <v>Unassigned</v>
      </c>
      <c r="AC173" s="131" t="str">
        <f t="shared" si="99"/>
        <v/>
      </c>
      <c r="AD173" s="131" t="str">
        <f t="shared" si="100"/>
        <v/>
      </c>
      <c r="AE173" s="132">
        <f t="shared" si="86"/>
        <v>0</v>
      </c>
      <c r="AF173" s="133" t="str">
        <f t="shared" si="101"/>
        <v/>
      </c>
      <c r="AG173" s="134">
        <f t="shared" si="87"/>
        <v>0</v>
      </c>
      <c r="AH173" s="54" t="str">
        <f t="shared" si="88"/>
        <v/>
      </c>
      <c r="AI173" s="54" t="str">
        <f t="shared" si="106"/>
        <v/>
      </c>
      <c r="AJ173" s="54" t="str">
        <f t="shared" si="106"/>
        <v/>
      </c>
      <c r="AK173" s="54" t="str">
        <f t="shared" si="106"/>
        <v/>
      </c>
      <c r="AL173" s="54" t="str">
        <f t="shared" si="106"/>
        <v/>
      </c>
      <c r="AM173" s="54" t="str">
        <f t="shared" si="106"/>
        <v/>
      </c>
      <c r="AN173" s="54" t="str">
        <f t="shared" si="106"/>
        <v/>
      </c>
      <c r="AO173" s="54" t="str">
        <f t="shared" si="106"/>
        <v/>
      </c>
      <c r="AP173" s="54" t="str">
        <f t="shared" si="106"/>
        <v/>
      </c>
      <c r="AQ173" s="54" t="str">
        <f t="shared" si="106"/>
        <v/>
      </c>
      <c r="AR173" s="54" t="str">
        <f t="shared" si="106"/>
        <v/>
      </c>
      <c r="AS173" s="54" t="str">
        <f t="shared" si="106"/>
        <v/>
      </c>
      <c r="AT173" s="54" t="str">
        <f t="shared" si="106"/>
        <v/>
      </c>
      <c r="AU173" s="54" t="str">
        <f t="shared" si="106"/>
        <v/>
      </c>
      <c r="AV173" s="54" t="str">
        <f t="shared" si="106"/>
        <v/>
      </c>
      <c r="AW173" s="54" t="str">
        <f t="shared" si="106"/>
        <v/>
      </c>
      <c r="AX173" s="54" t="str">
        <f t="shared" si="106"/>
        <v/>
      </c>
      <c r="AY173" s="54" t="str">
        <f t="shared" si="90"/>
        <v/>
      </c>
      <c r="AZ173" s="54" t="str">
        <f t="shared" si="91"/>
        <v/>
      </c>
      <c r="BA173" s="54" t="str">
        <f t="shared" si="92"/>
        <v/>
      </c>
      <c r="BB173" s="135" t="str">
        <f t="shared" si="93"/>
        <v/>
      </c>
      <c r="BC173" s="54" t="str">
        <f t="shared" si="107"/>
        <v/>
      </c>
      <c r="BD173" s="54" t="str">
        <f t="shared" si="107"/>
        <v/>
      </c>
      <c r="BE173" s="54" t="str">
        <f t="shared" si="107"/>
        <v/>
      </c>
      <c r="BF173" s="54" t="str">
        <f t="shared" si="94"/>
        <v/>
      </c>
      <c r="BG173" s="54" t="str">
        <f t="shared" si="95"/>
        <v/>
      </c>
      <c r="BH173" s="34" t="str">
        <f t="shared" si="96"/>
        <v>Bad</v>
      </c>
      <c r="BI173" s="34" t="str">
        <f t="shared" si="97"/>
        <v>No</v>
      </c>
      <c r="BJ173" s="136" t="str">
        <f>IF($D173&lt;&gt;"Feature",".",
IF(VLOOKUP($B173,Feature_List!$A:$AM,MATCH(BJ$1,  Feature_List!$A$1:$AM$1,0),0)=B173,".","NO"))</f>
        <v>.</v>
      </c>
      <c r="BK173" s="136"/>
      <c r="BL173" s="136"/>
      <c r="BM173" s="136" t="str">
        <f>IF($D173&lt;&gt;"Feature",".",
IF(VLOOKUP($B173,Feature_List!$A:$AM,MATCH(BM$1,  Feature_List!$A$1:$AM$1,0),0)=E173,".","NO"))</f>
        <v>.</v>
      </c>
      <c r="BN173" s="136" t="str">
        <f>IF($D173&lt;&gt;"Feature",".",
IF(VLOOKUP($B173,Feature_List!$A:$AM,MATCH(BN$1,  Feature_List!$A$1:$AM$1,0),0)=F173,".","NO"))</f>
        <v>.</v>
      </c>
      <c r="BO173" s="136" t="str">
        <f>IF($D173&lt;&gt;"Feature",".",
IF(VLOOKUP($B173,Feature_List!$A:$AM,MATCH(BO$1,  Feature_List!$A$1:$AM$1,0),0)=G173,".","NO"))</f>
        <v>.</v>
      </c>
      <c r="BP173" s="136" t="str">
        <f>IF($D173&lt;&gt;"Feature",".",
IF(VLOOKUP($B173,Feature_List!$A:$AM,MATCH(BP$1,  Feature_List!$A$1:$AM$1,0),0)=H173,".","NO"))</f>
        <v>.</v>
      </c>
      <c r="BQ173" s="136"/>
      <c r="BR173" s="136" t="str">
        <f>IF($D173&lt;&gt;"Feature",".",
IF(VLOOKUP($B173,Feature_List!$A:$AM,MATCH(BR$1,  Feature_List!$A$1:$AM$1,0),0)=J173,".","NO"))</f>
        <v>.</v>
      </c>
      <c r="BS173" s="136"/>
      <c r="BT173" s="136"/>
      <c r="BU173" s="136" t="str">
        <f>IF($D173&lt;&gt;"Feature",".",
IF(VLOOKUP($B173,Feature_List!$A:$AM,MATCH(BU$1,  Feature_List!$A$1:$AM$1,0),0)=M173,".","NO"))</f>
        <v>.</v>
      </c>
      <c r="BV173" s="136" t="str">
        <f>IF($D173&lt;&gt;"Feature",".",
IF(VLOOKUP($B173,Feature_List!$A:$AM,MATCH(BV$1,  Feature_List!$A$1:$AM$1,0),0)=N173,".","NO"))</f>
        <v>.</v>
      </c>
      <c r="BW173" s="136"/>
      <c r="BX173" s="136"/>
      <c r="BY173" s="136"/>
      <c r="BZ173" s="136"/>
      <c r="CA173" s="136"/>
      <c r="CB173" s="136" t="str">
        <f>IF($D173&lt;&gt;"Feature",".",
IF(VLOOKUP($B173,Feature_List!$A:$AM,MATCH(CB$1,  Feature_List!$A$1:$AM$1,0),0)=T173,".","NO"))</f>
        <v>.</v>
      </c>
      <c r="CC173" s="136"/>
      <c r="CD173" s="136"/>
      <c r="CE173" s="136"/>
      <c r="CF173" s="136"/>
      <c r="CG173" s="136"/>
      <c r="CH173" s="136"/>
      <c r="CI173" s="136"/>
      <c r="CJ173" s="136"/>
      <c r="CK173" s="136"/>
      <c r="CL173" s="136"/>
      <c r="CM173" s="136"/>
      <c r="CN173" s="136"/>
      <c r="CO173" s="136" t="str">
        <f>IF($D173&lt;&gt;"Feature",".",
IF(VLOOKUP($B173,Feature_List!$A:$AM,MATCH(CO$1,  Feature_List!$A$1:$AM$1,0),0)=AG173,".","NO"))</f>
        <v>.</v>
      </c>
      <c r="CP173" s="136" t="str">
        <f>IF($D173&lt;&gt;"Feature",".",
IF(VLOOKUP($B173,Feature_List!$A:$AM,MATCH(CP$1,  Feature_List!$A$1:$AM$1,0),0)=AH173,".","NO"))</f>
        <v>.</v>
      </c>
      <c r="CQ173" s="136" t="str">
        <f>IF($D173&lt;&gt;"Feature",".",
IF(VLOOKUP($B173,Feature_List!$A:$AM,MATCH(CQ$1,  Feature_List!$A$1:$AM$1,0),0)=AI173,".","NO"))</f>
        <v>.</v>
      </c>
      <c r="CR173" s="136" t="str">
        <f>IF($D173&lt;&gt;"Feature",".",
IF(VLOOKUP($B173,Feature_List!$A:$AM,MATCH(CR$1,  Feature_List!$A$1:$AM$1,0),0)=AJ173,".","NO"))</f>
        <v>.</v>
      </c>
      <c r="CS173" s="136" t="str">
        <f>IF($D173&lt;&gt;"Feature",".",
IF(VLOOKUP($B173,Feature_List!$A:$AM,MATCH(CS$1,  Feature_List!$A$1:$AM$1,0),0)=AK173,".","NO"))</f>
        <v>.</v>
      </c>
      <c r="CT173" s="136" t="str">
        <f>IF($D173&lt;&gt;"Feature",".",
IF(VLOOKUP($B173,Feature_List!$A:$AM,MATCH(CT$1,  Feature_List!$A$1:$AM$1,0),0)=AL173,".","NO"))</f>
        <v>.</v>
      </c>
      <c r="CU173" s="136" t="str">
        <f>IF($D173&lt;&gt;"Feature",".",
IF(VLOOKUP($B173,Feature_List!$A:$AM,MATCH(CU$1,  Feature_List!$A$1:$AM$1,0),0)=AM173,".","NO"))</f>
        <v>.</v>
      </c>
      <c r="CV173" s="136" t="str">
        <f>IF($D173&lt;&gt;"Feature",".",
IF(VLOOKUP($B173,Feature_List!$A:$AM,MATCH(CV$1,  Feature_List!$A$1:$AM$1,0),0)=AN173,".","NO"))</f>
        <v>.</v>
      </c>
      <c r="CW173" s="136" t="str">
        <f>IF($D173&lt;&gt;"Feature",".",
IF(VLOOKUP($B173,Feature_List!$A:$AM,MATCH(CW$1,  Feature_List!$A$1:$AM$1,0),0)=AO173,".","NO"))</f>
        <v>.</v>
      </c>
      <c r="CX173" s="136" t="str">
        <f>IF($D173&lt;&gt;"Feature",".",
IF(VLOOKUP($B173,Feature_List!$A:$AM,MATCH(CX$1,  Feature_List!$A$1:$AM$1,0),0)=AP173,".","NO"))</f>
        <v>.</v>
      </c>
      <c r="CY173" s="136" t="str">
        <f>IF($D173&lt;&gt;"Feature",".",
IF(VLOOKUP($B173,Feature_List!$A:$AM,MATCH(CY$1,  Feature_List!$A$1:$AM$1,0),0)=AQ173,".","NO"))</f>
        <v>.</v>
      </c>
      <c r="CZ173" s="136" t="str">
        <f>IF($D173&lt;&gt;"Feature",".",
IF(VLOOKUP($B173,Feature_List!$A:$AM,MATCH(CZ$1,  Feature_List!$A$1:$AM$1,0),0)=AR173,".","NO"))</f>
        <v>.</v>
      </c>
      <c r="DA173" s="136" t="str">
        <f>IF($D173&lt;&gt;"Feature",".",
IF(VLOOKUP($B173,Feature_List!$A:$AM,MATCH(DA$1,  Feature_List!$A$1:$AM$1,0),0)=AS173,".","NO"))</f>
        <v>.</v>
      </c>
      <c r="DB173" s="136" t="str">
        <f>IF($D173&lt;&gt;"Feature",".",
IF(VLOOKUP($B173,Feature_List!$A:$AM,MATCH(DB$1,  Feature_List!$A$1:$AM$1,0),0)=AT173,".","NO"))</f>
        <v>.</v>
      </c>
      <c r="DC173" s="136" t="str">
        <f>IF($D173&lt;&gt;"Feature",".",
IF(VLOOKUP($B173,Feature_List!$A:$AM,MATCH(DC$1,  Feature_List!$A$1:$AM$1,0),0)=AU173,".","NO"))</f>
        <v>.</v>
      </c>
      <c r="DD173" s="136" t="str">
        <f>IF($D173&lt;&gt;"Feature",".",
IF(VLOOKUP($B173,Feature_List!$A:$AM,MATCH(DD$1,  Feature_List!$A$1:$AM$1,0),0)=AV173,".","NO"))</f>
        <v>.</v>
      </c>
      <c r="DE173" s="136" t="str">
        <f>IF($D173&lt;&gt;"Feature",".",
IF(VLOOKUP($B173,Feature_List!$A:$AM,MATCH(DE$1,  Feature_List!$A$1:$AM$1,0),0)=AW173,".","NO"))</f>
        <v>.</v>
      </c>
      <c r="DF173" s="136" t="str">
        <f>IF($D173&lt;&gt;"Feature",".",
IF(VLOOKUP($B173,Feature_List!$A:$AM,MATCH(DF$1,  Feature_List!$A$1:$AM$1,0),0)=AX173,".","NO"))</f>
        <v>.</v>
      </c>
      <c r="DG173" s="136" t="str">
        <f>IF($D173&lt;&gt;"Feature",".",
IF(VLOOKUP($B173,Feature_List!$A:$AM,MATCH(DG$1,  Feature_List!$A$1:$AM$1,0),0)=AY173,".","NO"))</f>
        <v>.</v>
      </c>
      <c r="DH173" s="136" t="str">
        <f>IF($D173&lt;&gt;"Feature",".",
IF(VLOOKUP($B173,Feature_List!$A:$AM,MATCH(DH$1,  Feature_List!$A$1:$AM$1,0),0)=AZ173,".","NO"))</f>
        <v>.</v>
      </c>
      <c r="DI173" s="136" t="str">
        <f>IF($D173&lt;&gt;"Feature",".",
IF(VLOOKUP($B173,Feature_List!$A:$AM,MATCH(DI$1,  Feature_List!$A$1:$AM$1,0),0)=BA173,".","NO"))</f>
        <v>.</v>
      </c>
      <c r="DJ173" s="136" t="str">
        <f>IF($D173&lt;&gt;"Feature",".",
IF(VLOOKUP($B173,Feature_List!$A:$AM,MATCH(DJ$1,  Feature_List!$A$1:$AM$1,0),0)=BB173,".","NO"))</f>
        <v>.</v>
      </c>
      <c r="DK173" s="136"/>
      <c r="DL173" s="136"/>
      <c r="DM173" s="136"/>
      <c r="DN173" s="136" t="str">
        <f>IF($D173&lt;&gt;"Feature",".",
IF(VLOOKUP($B173,Feature_List!$A:$AM,MATCH(DN$1,  Feature_List!$A$1:$AM$1,0),0)=BC173,".","NO"))</f>
        <v>.</v>
      </c>
      <c r="DO173" s="136" t="str">
        <f>IF($D173&lt;&gt;"Feature",".",
IF(VLOOKUP($B173,Feature_List!$A:$AM,MATCH(DO$1,  Feature_List!$A$1:$AM$1,0),0)=BD173,".","NO"))</f>
        <v>.</v>
      </c>
    </row>
    <row r="174" spans="2:119" x14ac:dyDescent="0.3">
      <c r="B174" s="121"/>
      <c r="C174" s="122"/>
      <c r="D174" s="122"/>
      <c r="E174" s="122"/>
      <c r="F174" s="138"/>
      <c r="G174" s="123"/>
      <c r="H174" s="122"/>
      <c r="I174" s="124"/>
      <c r="J174" s="138"/>
      <c r="K174" s="123"/>
      <c r="L174" s="122"/>
      <c r="M174" s="122"/>
      <c r="N174" s="125"/>
      <c r="O174" s="123">
        <f t="shared" si="75"/>
        <v>0</v>
      </c>
      <c r="P174" s="123">
        <f t="shared" si="76"/>
        <v>0</v>
      </c>
      <c r="Q174" s="122" t="str">
        <f t="shared" si="98"/>
        <v>ZeroEntry</v>
      </c>
      <c r="R174" s="126" t="str">
        <f t="shared" si="77"/>
        <v>ZeroEntry</v>
      </c>
      <c r="S174" s="127" t="str">
        <f t="shared" si="78"/>
        <v>ZeroEntry</v>
      </c>
      <c r="T174" s="128" t="str">
        <f>IF($Q174="ZeroEntry", "",VLOOKUP($I174,'Ranking Lookup'!#REF!,2,FALSE))</f>
        <v/>
      </c>
      <c r="U174" s="129" t="str">
        <f t="shared" si="79"/>
        <v/>
      </c>
      <c r="V174" s="129" t="str">
        <f t="shared" si="80"/>
        <v/>
      </c>
      <c r="W174" s="129" t="str">
        <f t="shared" si="81"/>
        <v/>
      </c>
      <c r="X174" s="129" t="str">
        <f t="shared" si="82"/>
        <v/>
      </c>
      <c r="Y174" s="129" t="str">
        <f t="shared" si="83"/>
        <v/>
      </c>
      <c r="Z174" s="129" t="str">
        <f t="shared" si="84"/>
        <v/>
      </c>
      <c r="AA174" s="130"/>
      <c r="AB174" s="130" t="str">
        <f t="shared" si="85"/>
        <v>Unassigned</v>
      </c>
      <c r="AC174" s="131" t="str">
        <f t="shared" si="99"/>
        <v/>
      </c>
      <c r="AD174" s="131" t="str">
        <f t="shared" si="100"/>
        <v/>
      </c>
      <c r="AE174" s="132">
        <f t="shared" si="86"/>
        <v>0</v>
      </c>
      <c r="AF174" s="133" t="str">
        <f t="shared" si="101"/>
        <v/>
      </c>
      <c r="AG174" s="134">
        <f t="shared" si="87"/>
        <v>0</v>
      </c>
      <c r="AH174" s="54" t="str">
        <f t="shared" si="88"/>
        <v/>
      </c>
      <c r="AI174" s="54" t="str">
        <f t="shared" si="106"/>
        <v/>
      </c>
      <c r="AJ174" s="54" t="str">
        <f t="shared" si="106"/>
        <v/>
      </c>
      <c r="AK174" s="54" t="str">
        <f t="shared" si="106"/>
        <v/>
      </c>
      <c r="AL174" s="54" t="str">
        <f t="shared" si="106"/>
        <v/>
      </c>
      <c r="AM174" s="54" t="str">
        <f t="shared" si="106"/>
        <v/>
      </c>
      <c r="AN174" s="54" t="str">
        <f t="shared" si="106"/>
        <v/>
      </c>
      <c r="AO174" s="54" t="str">
        <f t="shared" si="106"/>
        <v/>
      </c>
      <c r="AP174" s="54" t="str">
        <f t="shared" si="106"/>
        <v/>
      </c>
      <c r="AQ174" s="54" t="str">
        <f t="shared" si="106"/>
        <v/>
      </c>
      <c r="AR174" s="54" t="str">
        <f t="shared" si="106"/>
        <v/>
      </c>
      <c r="AS174" s="54" t="str">
        <f t="shared" si="106"/>
        <v/>
      </c>
      <c r="AT174" s="54" t="str">
        <f t="shared" si="106"/>
        <v/>
      </c>
      <c r="AU174" s="54" t="str">
        <f t="shared" si="106"/>
        <v/>
      </c>
      <c r="AV174" s="54" t="str">
        <f t="shared" si="106"/>
        <v/>
      </c>
      <c r="AW174" s="54" t="str">
        <f t="shared" si="106"/>
        <v/>
      </c>
      <c r="AX174" s="54" t="str">
        <f t="shared" si="106"/>
        <v/>
      </c>
      <c r="AY174" s="54" t="str">
        <f t="shared" si="90"/>
        <v/>
      </c>
      <c r="AZ174" s="54" t="str">
        <f t="shared" si="91"/>
        <v/>
      </c>
      <c r="BA174" s="54" t="str">
        <f t="shared" si="92"/>
        <v/>
      </c>
      <c r="BB174" s="135" t="str">
        <f t="shared" si="93"/>
        <v/>
      </c>
      <c r="BC174" s="54" t="str">
        <f t="shared" si="107"/>
        <v/>
      </c>
      <c r="BD174" s="54" t="str">
        <f t="shared" si="107"/>
        <v/>
      </c>
      <c r="BE174" s="54" t="str">
        <f t="shared" si="107"/>
        <v/>
      </c>
      <c r="BF174" s="54" t="str">
        <f t="shared" si="94"/>
        <v/>
      </c>
      <c r="BG174" s="54" t="str">
        <f t="shared" si="95"/>
        <v/>
      </c>
      <c r="BH174" s="34" t="str">
        <f t="shared" si="96"/>
        <v>Bad</v>
      </c>
      <c r="BI174" s="34" t="str">
        <f t="shared" si="97"/>
        <v>No</v>
      </c>
      <c r="BJ174" s="136" t="str">
        <f>IF($D174&lt;&gt;"Feature",".",
IF(VLOOKUP($B174,Feature_List!$A:$AM,MATCH(BJ$1,  Feature_List!$A$1:$AM$1,0),0)=B174,".","NO"))</f>
        <v>.</v>
      </c>
      <c r="BK174" s="136"/>
      <c r="BL174" s="136"/>
      <c r="BM174" s="136" t="str">
        <f>IF($D174&lt;&gt;"Feature",".",
IF(VLOOKUP($B174,Feature_List!$A:$AM,MATCH(BM$1,  Feature_List!$A$1:$AM$1,0),0)=E174,".","NO"))</f>
        <v>.</v>
      </c>
      <c r="BN174" s="136" t="str">
        <f>IF($D174&lt;&gt;"Feature",".",
IF(VLOOKUP($B174,Feature_List!$A:$AM,MATCH(BN$1,  Feature_List!$A$1:$AM$1,0),0)=F174,".","NO"))</f>
        <v>.</v>
      </c>
      <c r="BO174" s="136" t="str">
        <f>IF($D174&lt;&gt;"Feature",".",
IF(VLOOKUP($B174,Feature_List!$A:$AM,MATCH(BO$1,  Feature_List!$A$1:$AM$1,0),0)=G174,".","NO"))</f>
        <v>.</v>
      </c>
      <c r="BP174" s="136" t="str">
        <f>IF($D174&lt;&gt;"Feature",".",
IF(VLOOKUP($B174,Feature_List!$A:$AM,MATCH(BP$1,  Feature_List!$A$1:$AM$1,0),0)=H174,".","NO"))</f>
        <v>.</v>
      </c>
      <c r="BQ174" s="136"/>
      <c r="BR174" s="136" t="str">
        <f>IF($D174&lt;&gt;"Feature",".",
IF(VLOOKUP($B174,Feature_List!$A:$AM,MATCH(BR$1,  Feature_List!$A$1:$AM$1,0),0)=J174,".","NO"))</f>
        <v>.</v>
      </c>
      <c r="BS174" s="136"/>
      <c r="BT174" s="136"/>
      <c r="BU174" s="136" t="str">
        <f>IF($D174&lt;&gt;"Feature",".",
IF(VLOOKUP($B174,Feature_List!$A:$AM,MATCH(BU$1,  Feature_List!$A$1:$AM$1,0),0)=M174,".","NO"))</f>
        <v>.</v>
      </c>
      <c r="BV174" s="136" t="str">
        <f>IF($D174&lt;&gt;"Feature",".",
IF(VLOOKUP($B174,Feature_List!$A:$AM,MATCH(BV$1,  Feature_List!$A$1:$AM$1,0),0)=N174,".","NO"))</f>
        <v>.</v>
      </c>
      <c r="BW174" s="136"/>
      <c r="BX174" s="136"/>
      <c r="BY174" s="136"/>
      <c r="BZ174" s="136"/>
      <c r="CA174" s="136"/>
      <c r="CB174" s="136" t="str">
        <f>IF($D174&lt;&gt;"Feature",".",
IF(VLOOKUP($B174,Feature_List!$A:$AM,MATCH(CB$1,  Feature_List!$A$1:$AM$1,0),0)=T174,".","NO"))</f>
        <v>.</v>
      </c>
      <c r="CC174" s="136"/>
      <c r="CD174" s="136"/>
      <c r="CE174" s="136"/>
      <c r="CF174" s="136"/>
      <c r="CG174" s="136"/>
      <c r="CH174" s="136"/>
      <c r="CI174" s="136"/>
      <c r="CJ174" s="136"/>
      <c r="CK174" s="136"/>
      <c r="CL174" s="136"/>
      <c r="CM174" s="136"/>
      <c r="CN174" s="136"/>
      <c r="CO174" s="136" t="str">
        <f>IF($D174&lt;&gt;"Feature",".",
IF(VLOOKUP($B174,Feature_List!$A:$AM,MATCH(CO$1,  Feature_List!$A$1:$AM$1,0),0)=AG174,".","NO"))</f>
        <v>.</v>
      </c>
      <c r="CP174" s="136" t="str">
        <f>IF($D174&lt;&gt;"Feature",".",
IF(VLOOKUP($B174,Feature_List!$A:$AM,MATCH(CP$1,  Feature_List!$A$1:$AM$1,0),0)=AH174,".","NO"))</f>
        <v>.</v>
      </c>
      <c r="CQ174" s="136" t="str">
        <f>IF($D174&lt;&gt;"Feature",".",
IF(VLOOKUP($B174,Feature_List!$A:$AM,MATCH(CQ$1,  Feature_List!$A$1:$AM$1,0),0)=AI174,".","NO"))</f>
        <v>.</v>
      </c>
      <c r="CR174" s="136" t="str">
        <f>IF($D174&lt;&gt;"Feature",".",
IF(VLOOKUP($B174,Feature_List!$A:$AM,MATCH(CR$1,  Feature_List!$A$1:$AM$1,0),0)=AJ174,".","NO"))</f>
        <v>.</v>
      </c>
      <c r="CS174" s="136" t="str">
        <f>IF($D174&lt;&gt;"Feature",".",
IF(VLOOKUP($B174,Feature_List!$A:$AM,MATCH(CS$1,  Feature_List!$A$1:$AM$1,0),0)=AK174,".","NO"))</f>
        <v>.</v>
      </c>
      <c r="CT174" s="136" t="str">
        <f>IF($D174&lt;&gt;"Feature",".",
IF(VLOOKUP($B174,Feature_List!$A:$AM,MATCH(CT$1,  Feature_List!$A$1:$AM$1,0),0)=AL174,".","NO"))</f>
        <v>.</v>
      </c>
      <c r="CU174" s="136" t="str">
        <f>IF($D174&lt;&gt;"Feature",".",
IF(VLOOKUP($B174,Feature_List!$A:$AM,MATCH(CU$1,  Feature_List!$A$1:$AM$1,0),0)=AM174,".","NO"))</f>
        <v>.</v>
      </c>
      <c r="CV174" s="136" t="str">
        <f>IF($D174&lt;&gt;"Feature",".",
IF(VLOOKUP($B174,Feature_List!$A:$AM,MATCH(CV$1,  Feature_List!$A$1:$AM$1,0),0)=AN174,".","NO"))</f>
        <v>.</v>
      </c>
      <c r="CW174" s="136" t="str">
        <f>IF($D174&lt;&gt;"Feature",".",
IF(VLOOKUP($B174,Feature_List!$A:$AM,MATCH(CW$1,  Feature_List!$A$1:$AM$1,0),0)=AO174,".","NO"))</f>
        <v>.</v>
      </c>
      <c r="CX174" s="136" t="str">
        <f>IF($D174&lt;&gt;"Feature",".",
IF(VLOOKUP($B174,Feature_List!$A:$AM,MATCH(CX$1,  Feature_List!$A$1:$AM$1,0),0)=AP174,".","NO"))</f>
        <v>.</v>
      </c>
      <c r="CY174" s="136" t="str">
        <f>IF($D174&lt;&gt;"Feature",".",
IF(VLOOKUP($B174,Feature_List!$A:$AM,MATCH(CY$1,  Feature_List!$A$1:$AM$1,0),0)=AQ174,".","NO"))</f>
        <v>.</v>
      </c>
      <c r="CZ174" s="136" t="str">
        <f>IF($D174&lt;&gt;"Feature",".",
IF(VLOOKUP($B174,Feature_List!$A:$AM,MATCH(CZ$1,  Feature_List!$A$1:$AM$1,0),0)=AR174,".","NO"))</f>
        <v>.</v>
      </c>
      <c r="DA174" s="136" t="str">
        <f>IF($D174&lt;&gt;"Feature",".",
IF(VLOOKUP($B174,Feature_List!$A:$AM,MATCH(DA$1,  Feature_List!$A$1:$AM$1,0),0)=AS174,".","NO"))</f>
        <v>.</v>
      </c>
      <c r="DB174" s="136" t="str">
        <f>IF($D174&lt;&gt;"Feature",".",
IF(VLOOKUP($B174,Feature_List!$A:$AM,MATCH(DB$1,  Feature_List!$A$1:$AM$1,0),0)=AT174,".","NO"))</f>
        <v>.</v>
      </c>
      <c r="DC174" s="136" t="str">
        <f>IF($D174&lt;&gt;"Feature",".",
IF(VLOOKUP($B174,Feature_List!$A:$AM,MATCH(DC$1,  Feature_List!$A$1:$AM$1,0),0)=AU174,".","NO"))</f>
        <v>.</v>
      </c>
      <c r="DD174" s="136" t="str">
        <f>IF($D174&lt;&gt;"Feature",".",
IF(VLOOKUP($B174,Feature_List!$A:$AM,MATCH(DD$1,  Feature_List!$A$1:$AM$1,0),0)=AV174,".","NO"))</f>
        <v>.</v>
      </c>
      <c r="DE174" s="136" t="str">
        <f>IF($D174&lt;&gt;"Feature",".",
IF(VLOOKUP($B174,Feature_List!$A:$AM,MATCH(DE$1,  Feature_List!$A$1:$AM$1,0),0)=AW174,".","NO"))</f>
        <v>.</v>
      </c>
      <c r="DF174" s="136" t="str">
        <f>IF($D174&lt;&gt;"Feature",".",
IF(VLOOKUP($B174,Feature_List!$A:$AM,MATCH(DF$1,  Feature_List!$A$1:$AM$1,0),0)=AX174,".","NO"))</f>
        <v>.</v>
      </c>
      <c r="DG174" s="136" t="str">
        <f>IF($D174&lt;&gt;"Feature",".",
IF(VLOOKUP($B174,Feature_List!$A:$AM,MATCH(DG$1,  Feature_List!$A$1:$AM$1,0),0)=AY174,".","NO"))</f>
        <v>.</v>
      </c>
      <c r="DH174" s="136" t="str">
        <f>IF($D174&lt;&gt;"Feature",".",
IF(VLOOKUP($B174,Feature_List!$A:$AM,MATCH(DH$1,  Feature_List!$A$1:$AM$1,0),0)=AZ174,".","NO"))</f>
        <v>.</v>
      </c>
      <c r="DI174" s="136" t="str">
        <f>IF($D174&lt;&gt;"Feature",".",
IF(VLOOKUP($B174,Feature_List!$A:$AM,MATCH(DI$1,  Feature_List!$A$1:$AM$1,0),0)=BA174,".","NO"))</f>
        <v>.</v>
      </c>
      <c r="DJ174" s="136" t="str">
        <f>IF($D174&lt;&gt;"Feature",".",
IF(VLOOKUP($B174,Feature_List!$A:$AM,MATCH(DJ$1,  Feature_List!$A$1:$AM$1,0),0)=BB174,".","NO"))</f>
        <v>.</v>
      </c>
      <c r="DK174" s="136"/>
      <c r="DL174" s="136"/>
      <c r="DM174" s="136"/>
      <c r="DN174" s="136" t="str">
        <f>IF($D174&lt;&gt;"Feature",".",
IF(VLOOKUP($B174,Feature_List!$A:$AM,MATCH(DN$1,  Feature_List!$A$1:$AM$1,0),0)=BC174,".","NO"))</f>
        <v>.</v>
      </c>
      <c r="DO174" s="136" t="str">
        <f>IF($D174&lt;&gt;"Feature",".",
IF(VLOOKUP($B174,Feature_List!$A:$AM,MATCH(DO$1,  Feature_List!$A$1:$AM$1,0),0)=BD174,".","NO"))</f>
        <v>.</v>
      </c>
    </row>
    <row r="175" spans="2:119" x14ac:dyDescent="0.3">
      <c r="B175" s="121"/>
      <c r="C175" s="122"/>
      <c r="D175" s="122"/>
      <c r="E175" s="122"/>
      <c r="F175" s="138"/>
      <c r="G175" s="123"/>
      <c r="H175" s="122"/>
      <c r="I175" s="124"/>
      <c r="J175" s="138"/>
      <c r="K175" s="123"/>
      <c r="L175" s="122"/>
      <c r="M175" s="122"/>
      <c r="N175" s="125"/>
      <c r="O175" s="123">
        <f t="shared" si="75"/>
        <v>0</v>
      </c>
      <c r="P175" s="123">
        <f t="shared" si="76"/>
        <v>0</v>
      </c>
      <c r="Q175" s="122" t="str">
        <f t="shared" si="98"/>
        <v>ZeroEntry</v>
      </c>
      <c r="R175" s="126" t="str">
        <f t="shared" si="77"/>
        <v>ZeroEntry</v>
      </c>
      <c r="S175" s="127" t="str">
        <f t="shared" si="78"/>
        <v>ZeroEntry</v>
      </c>
      <c r="T175" s="128" t="str">
        <f>IF($Q175="ZeroEntry", "",VLOOKUP($I175,'Ranking Lookup'!#REF!,2,FALSE))</f>
        <v/>
      </c>
      <c r="U175" s="129" t="str">
        <f t="shared" si="79"/>
        <v/>
      </c>
      <c r="V175" s="129" t="str">
        <f t="shared" si="80"/>
        <v/>
      </c>
      <c r="W175" s="129" t="str">
        <f t="shared" si="81"/>
        <v/>
      </c>
      <c r="X175" s="129" t="str">
        <f t="shared" si="82"/>
        <v/>
      </c>
      <c r="Y175" s="129" t="str">
        <f t="shared" si="83"/>
        <v/>
      </c>
      <c r="Z175" s="129" t="str">
        <f t="shared" si="84"/>
        <v/>
      </c>
      <c r="AA175" s="130"/>
      <c r="AB175" s="130" t="str">
        <f t="shared" si="85"/>
        <v>Unassigned</v>
      </c>
      <c r="AC175" s="131" t="str">
        <f t="shared" si="99"/>
        <v/>
      </c>
      <c r="AD175" s="131" t="str">
        <f t="shared" si="100"/>
        <v/>
      </c>
      <c r="AE175" s="132">
        <f t="shared" si="86"/>
        <v>0</v>
      </c>
      <c r="AF175" s="133" t="str">
        <f t="shared" si="101"/>
        <v/>
      </c>
      <c r="AG175" s="134">
        <f t="shared" si="87"/>
        <v>0</v>
      </c>
      <c r="AH175" s="54" t="str">
        <f t="shared" si="88"/>
        <v/>
      </c>
      <c r="AI175" s="54" t="str">
        <f t="shared" si="106"/>
        <v/>
      </c>
      <c r="AJ175" s="54" t="str">
        <f t="shared" si="106"/>
        <v/>
      </c>
      <c r="AK175" s="54" t="str">
        <f t="shared" si="106"/>
        <v/>
      </c>
      <c r="AL175" s="54" t="str">
        <f t="shared" si="106"/>
        <v/>
      </c>
      <c r="AM175" s="54" t="str">
        <f t="shared" si="106"/>
        <v/>
      </c>
      <c r="AN175" s="54" t="str">
        <f t="shared" si="106"/>
        <v/>
      </c>
      <c r="AO175" s="54" t="str">
        <f t="shared" si="106"/>
        <v/>
      </c>
      <c r="AP175" s="54" t="str">
        <f t="shared" si="106"/>
        <v/>
      </c>
      <c r="AQ175" s="54" t="str">
        <f t="shared" si="106"/>
        <v/>
      </c>
      <c r="AR175" s="54" t="str">
        <f t="shared" si="106"/>
        <v/>
      </c>
      <c r="AS175" s="54" t="str">
        <f t="shared" si="106"/>
        <v/>
      </c>
      <c r="AT175" s="54" t="str">
        <f t="shared" si="106"/>
        <v/>
      </c>
      <c r="AU175" s="54" t="str">
        <f t="shared" si="106"/>
        <v/>
      </c>
      <c r="AV175" s="54" t="str">
        <f t="shared" si="106"/>
        <v/>
      </c>
      <c r="AW175" s="54" t="str">
        <f t="shared" si="106"/>
        <v/>
      </c>
      <c r="AX175" s="54" t="str">
        <f t="shared" si="106"/>
        <v/>
      </c>
      <c r="AY175" s="54" t="str">
        <f t="shared" si="90"/>
        <v/>
      </c>
      <c r="AZ175" s="54" t="str">
        <f t="shared" si="91"/>
        <v/>
      </c>
      <c r="BA175" s="54" t="str">
        <f t="shared" si="92"/>
        <v/>
      </c>
      <c r="BB175" s="135" t="str">
        <f t="shared" si="93"/>
        <v/>
      </c>
      <c r="BC175" s="54" t="str">
        <f t="shared" si="107"/>
        <v/>
      </c>
      <c r="BD175" s="54" t="str">
        <f t="shared" si="107"/>
        <v/>
      </c>
      <c r="BE175" s="54" t="str">
        <f t="shared" si="107"/>
        <v/>
      </c>
      <c r="BF175" s="54" t="str">
        <f t="shared" si="94"/>
        <v/>
      </c>
      <c r="BG175" s="54" t="str">
        <f t="shared" si="95"/>
        <v/>
      </c>
      <c r="BH175" s="34" t="str">
        <f t="shared" si="96"/>
        <v>Bad</v>
      </c>
      <c r="BI175" s="34" t="str">
        <f t="shared" si="97"/>
        <v>No</v>
      </c>
      <c r="BJ175" s="136" t="str">
        <f>IF($D175&lt;&gt;"Feature",".",
IF(VLOOKUP($B175,Feature_List!$A:$AM,MATCH(BJ$1,  Feature_List!$A$1:$AM$1,0),0)=B175,".","NO"))</f>
        <v>.</v>
      </c>
      <c r="BK175" s="136"/>
      <c r="BL175" s="136"/>
      <c r="BM175" s="136" t="str">
        <f>IF($D175&lt;&gt;"Feature",".",
IF(VLOOKUP($B175,Feature_List!$A:$AM,MATCH(BM$1,  Feature_List!$A$1:$AM$1,0),0)=E175,".","NO"))</f>
        <v>.</v>
      </c>
      <c r="BN175" s="136" t="str">
        <f>IF($D175&lt;&gt;"Feature",".",
IF(VLOOKUP($B175,Feature_List!$A:$AM,MATCH(BN$1,  Feature_List!$A$1:$AM$1,0),0)=F175,".","NO"))</f>
        <v>.</v>
      </c>
      <c r="BO175" s="136" t="str">
        <f>IF($D175&lt;&gt;"Feature",".",
IF(VLOOKUP($B175,Feature_List!$A:$AM,MATCH(BO$1,  Feature_List!$A$1:$AM$1,0),0)=G175,".","NO"))</f>
        <v>.</v>
      </c>
      <c r="BP175" s="136" t="str">
        <f>IF($D175&lt;&gt;"Feature",".",
IF(VLOOKUP($B175,Feature_List!$A:$AM,MATCH(BP$1,  Feature_List!$A$1:$AM$1,0),0)=H175,".","NO"))</f>
        <v>.</v>
      </c>
      <c r="BQ175" s="136"/>
      <c r="BR175" s="136" t="str">
        <f>IF($D175&lt;&gt;"Feature",".",
IF(VLOOKUP($B175,Feature_List!$A:$AM,MATCH(BR$1,  Feature_List!$A$1:$AM$1,0),0)=J175,".","NO"))</f>
        <v>.</v>
      </c>
      <c r="BS175" s="136"/>
      <c r="BT175" s="136"/>
      <c r="BU175" s="136" t="str">
        <f>IF($D175&lt;&gt;"Feature",".",
IF(VLOOKUP($B175,Feature_List!$A:$AM,MATCH(BU$1,  Feature_List!$A$1:$AM$1,0),0)=M175,".","NO"))</f>
        <v>.</v>
      </c>
      <c r="BV175" s="136" t="str">
        <f>IF($D175&lt;&gt;"Feature",".",
IF(VLOOKUP($B175,Feature_List!$A:$AM,MATCH(BV$1,  Feature_List!$A$1:$AM$1,0),0)=N175,".","NO"))</f>
        <v>.</v>
      </c>
      <c r="BW175" s="136"/>
      <c r="BX175" s="136"/>
      <c r="BY175" s="136"/>
      <c r="BZ175" s="136"/>
      <c r="CA175" s="136"/>
      <c r="CB175" s="136" t="str">
        <f>IF($D175&lt;&gt;"Feature",".",
IF(VLOOKUP($B175,Feature_List!$A:$AM,MATCH(CB$1,  Feature_List!$A$1:$AM$1,0),0)=T175,".","NO"))</f>
        <v>.</v>
      </c>
      <c r="CC175" s="136"/>
      <c r="CD175" s="136"/>
      <c r="CE175" s="136"/>
      <c r="CF175" s="136"/>
      <c r="CG175" s="136"/>
      <c r="CH175" s="136"/>
      <c r="CI175" s="136"/>
      <c r="CJ175" s="136"/>
      <c r="CK175" s="136"/>
      <c r="CL175" s="136"/>
      <c r="CM175" s="136"/>
      <c r="CN175" s="136"/>
      <c r="CO175" s="136" t="str">
        <f>IF($D175&lt;&gt;"Feature",".",
IF(VLOOKUP($B175,Feature_List!$A:$AM,MATCH(CO$1,  Feature_List!$A$1:$AM$1,0),0)=AG175,".","NO"))</f>
        <v>.</v>
      </c>
      <c r="CP175" s="136" t="str">
        <f>IF($D175&lt;&gt;"Feature",".",
IF(VLOOKUP($B175,Feature_List!$A:$AM,MATCH(CP$1,  Feature_List!$A$1:$AM$1,0),0)=AH175,".","NO"))</f>
        <v>.</v>
      </c>
      <c r="CQ175" s="136" t="str">
        <f>IF($D175&lt;&gt;"Feature",".",
IF(VLOOKUP($B175,Feature_List!$A:$AM,MATCH(CQ$1,  Feature_List!$A$1:$AM$1,0),0)=AI175,".","NO"))</f>
        <v>.</v>
      </c>
      <c r="CR175" s="136" t="str">
        <f>IF($D175&lt;&gt;"Feature",".",
IF(VLOOKUP($B175,Feature_List!$A:$AM,MATCH(CR$1,  Feature_List!$A$1:$AM$1,0),0)=AJ175,".","NO"))</f>
        <v>.</v>
      </c>
      <c r="CS175" s="136" t="str">
        <f>IF($D175&lt;&gt;"Feature",".",
IF(VLOOKUP($B175,Feature_List!$A:$AM,MATCH(CS$1,  Feature_List!$A$1:$AM$1,0),0)=AK175,".","NO"))</f>
        <v>.</v>
      </c>
      <c r="CT175" s="136" t="str">
        <f>IF($D175&lt;&gt;"Feature",".",
IF(VLOOKUP($B175,Feature_List!$A:$AM,MATCH(CT$1,  Feature_List!$A$1:$AM$1,0),0)=AL175,".","NO"))</f>
        <v>.</v>
      </c>
      <c r="CU175" s="136" t="str">
        <f>IF($D175&lt;&gt;"Feature",".",
IF(VLOOKUP($B175,Feature_List!$A:$AM,MATCH(CU$1,  Feature_List!$A$1:$AM$1,0),0)=AM175,".","NO"))</f>
        <v>.</v>
      </c>
      <c r="CV175" s="136" t="str">
        <f>IF($D175&lt;&gt;"Feature",".",
IF(VLOOKUP($B175,Feature_List!$A:$AM,MATCH(CV$1,  Feature_List!$A$1:$AM$1,0),0)=AN175,".","NO"))</f>
        <v>.</v>
      </c>
      <c r="CW175" s="136" t="str">
        <f>IF($D175&lt;&gt;"Feature",".",
IF(VLOOKUP($B175,Feature_List!$A:$AM,MATCH(CW$1,  Feature_List!$A$1:$AM$1,0),0)=AO175,".","NO"))</f>
        <v>.</v>
      </c>
      <c r="CX175" s="136" t="str">
        <f>IF($D175&lt;&gt;"Feature",".",
IF(VLOOKUP($B175,Feature_List!$A:$AM,MATCH(CX$1,  Feature_List!$A$1:$AM$1,0),0)=AP175,".","NO"))</f>
        <v>.</v>
      </c>
      <c r="CY175" s="136" t="str">
        <f>IF($D175&lt;&gt;"Feature",".",
IF(VLOOKUP($B175,Feature_List!$A:$AM,MATCH(CY$1,  Feature_List!$A$1:$AM$1,0),0)=AQ175,".","NO"))</f>
        <v>.</v>
      </c>
      <c r="CZ175" s="136" t="str">
        <f>IF($D175&lt;&gt;"Feature",".",
IF(VLOOKUP($B175,Feature_List!$A:$AM,MATCH(CZ$1,  Feature_List!$A$1:$AM$1,0),0)=AR175,".","NO"))</f>
        <v>.</v>
      </c>
      <c r="DA175" s="136" t="str">
        <f>IF($D175&lt;&gt;"Feature",".",
IF(VLOOKUP($B175,Feature_List!$A:$AM,MATCH(DA$1,  Feature_List!$A$1:$AM$1,0),0)=AS175,".","NO"))</f>
        <v>.</v>
      </c>
      <c r="DB175" s="136" t="str">
        <f>IF($D175&lt;&gt;"Feature",".",
IF(VLOOKUP($B175,Feature_List!$A:$AM,MATCH(DB$1,  Feature_List!$A$1:$AM$1,0),0)=AT175,".","NO"))</f>
        <v>.</v>
      </c>
      <c r="DC175" s="136" t="str">
        <f>IF($D175&lt;&gt;"Feature",".",
IF(VLOOKUP($B175,Feature_List!$A:$AM,MATCH(DC$1,  Feature_List!$A$1:$AM$1,0),0)=AU175,".","NO"))</f>
        <v>.</v>
      </c>
      <c r="DD175" s="136" t="str">
        <f>IF($D175&lt;&gt;"Feature",".",
IF(VLOOKUP($B175,Feature_List!$A:$AM,MATCH(DD$1,  Feature_List!$A$1:$AM$1,0),0)=AV175,".","NO"))</f>
        <v>.</v>
      </c>
      <c r="DE175" s="136" t="str">
        <f>IF($D175&lt;&gt;"Feature",".",
IF(VLOOKUP($B175,Feature_List!$A:$AM,MATCH(DE$1,  Feature_List!$A$1:$AM$1,0),0)=AW175,".","NO"))</f>
        <v>.</v>
      </c>
      <c r="DF175" s="136" t="str">
        <f>IF($D175&lt;&gt;"Feature",".",
IF(VLOOKUP($B175,Feature_List!$A:$AM,MATCH(DF$1,  Feature_List!$A$1:$AM$1,0),0)=AX175,".","NO"))</f>
        <v>.</v>
      </c>
      <c r="DG175" s="136" t="str">
        <f>IF($D175&lt;&gt;"Feature",".",
IF(VLOOKUP($B175,Feature_List!$A:$AM,MATCH(DG$1,  Feature_List!$A$1:$AM$1,0),0)=AY175,".","NO"))</f>
        <v>.</v>
      </c>
      <c r="DH175" s="136" t="str">
        <f>IF($D175&lt;&gt;"Feature",".",
IF(VLOOKUP($B175,Feature_List!$A:$AM,MATCH(DH$1,  Feature_List!$A$1:$AM$1,0),0)=AZ175,".","NO"))</f>
        <v>.</v>
      </c>
      <c r="DI175" s="136" t="str">
        <f>IF($D175&lt;&gt;"Feature",".",
IF(VLOOKUP($B175,Feature_List!$A:$AM,MATCH(DI$1,  Feature_List!$A$1:$AM$1,0),0)=BA175,".","NO"))</f>
        <v>.</v>
      </c>
      <c r="DJ175" s="136" t="str">
        <f>IF($D175&lt;&gt;"Feature",".",
IF(VLOOKUP($B175,Feature_List!$A:$AM,MATCH(DJ$1,  Feature_List!$A$1:$AM$1,0),0)=BB175,".","NO"))</f>
        <v>.</v>
      </c>
      <c r="DK175" s="136"/>
      <c r="DL175" s="136"/>
      <c r="DM175" s="136"/>
      <c r="DN175" s="136" t="str">
        <f>IF($D175&lt;&gt;"Feature",".",
IF(VLOOKUP($B175,Feature_List!$A:$AM,MATCH(DN$1,  Feature_List!$A$1:$AM$1,0),0)=BC175,".","NO"))</f>
        <v>.</v>
      </c>
      <c r="DO175" s="136" t="str">
        <f>IF($D175&lt;&gt;"Feature",".",
IF(VLOOKUP($B175,Feature_List!$A:$AM,MATCH(DO$1,  Feature_List!$A$1:$AM$1,0),0)=BD175,".","NO"))</f>
        <v>.</v>
      </c>
    </row>
    <row r="176" spans="2:119" x14ac:dyDescent="0.3">
      <c r="B176" s="121"/>
      <c r="C176" s="123"/>
      <c r="D176" s="122"/>
      <c r="E176" s="122"/>
      <c r="F176" s="138"/>
      <c r="G176" s="123"/>
      <c r="H176" s="122"/>
      <c r="I176" s="124"/>
      <c r="J176" s="138"/>
      <c r="K176" s="123"/>
      <c r="L176" s="122"/>
      <c r="M176" s="122"/>
      <c r="N176" s="125"/>
      <c r="O176" s="123">
        <f t="shared" si="75"/>
        <v>0</v>
      </c>
      <c r="P176" s="123">
        <f t="shared" si="76"/>
        <v>0</v>
      </c>
      <c r="Q176" s="122" t="str">
        <f t="shared" si="98"/>
        <v>ZeroEntry</v>
      </c>
      <c r="R176" s="126" t="str">
        <f t="shared" si="77"/>
        <v>ZeroEntry</v>
      </c>
      <c r="S176" s="127" t="str">
        <f t="shared" si="78"/>
        <v>ZeroEntry</v>
      </c>
      <c r="T176" s="128" t="str">
        <f>IF($Q176="ZeroEntry", "",VLOOKUP($I176,'Ranking Lookup'!#REF!,2,FALSE))</f>
        <v/>
      </c>
      <c r="U176" s="129" t="str">
        <f t="shared" si="79"/>
        <v/>
      </c>
      <c r="V176" s="129" t="str">
        <f t="shared" si="80"/>
        <v/>
      </c>
      <c r="W176" s="129" t="str">
        <f t="shared" si="81"/>
        <v/>
      </c>
      <c r="X176" s="129" t="str">
        <f t="shared" si="82"/>
        <v/>
      </c>
      <c r="Y176" s="129" t="str">
        <f t="shared" si="83"/>
        <v/>
      </c>
      <c r="Z176" s="129" t="str">
        <f t="shared" si="84"/>
        <v/>
      </c>
      <c r="AA176" s="130"/>
      <c r="AB176" s="130" t="str">
        <f t="shared" si="85"/>
        <v>Unassigned</v>
      </c>
      <c r="AC176" s="131" t="str">
        <f t="shared" si="99"/>
        <v/>
      </c>
      <c r="AD176" s="131" t="str">
        <f t="shared" si="100"/>
        <v/>
      </c>
      <c r="AE176" s="132">
        <f t="shared" si="86"/>
        <v>0</v>
      </c>
      <c r="AF176" s="133" t="str">
        <f t="shared" si="101"/>
        <v/>
      </c>
      <c r="AG176" s="134">
        <f t="shared" si="87"/>
        <v>0</v>
      </c>
      <c r="AH176" s="54" t="str">
        <f t="shared" si="88"/>
        <v/>
      </c>
      <c r="AI176" s="54" t="str">
        <f t="shared" si="106"/>
        <v/>
      </c>
      <c r="AJ176" s="54" t="str">
        <f t="shared" si="106"/>
        <v/>
      </c>
      <c r="AK176" s="54" t="str">
        <f t="shared" si="106"/>
        <v/>
      </c>
      <c r="AL176" s="54" t="str">
        <f t="shared" si="106"/>
        <v/>
      </c>
      <c r="AM176" s="54" t="str">
        <f t="shared" si="106"/>
        <v/>
      </c>
      <c r="AN176" s="54" t="str">
        <f t="shared" si="106"/>
        <v/>
      </c>
      <c r="AO176" s="54" t="str">
        <f t="shared" si="106"/>
        <v/>
      </c>
      <c r="AP176" s="54" t="str">
        <f t="shared" si="106"/>
        <v/>
      </c>
      <c r="AQ176" s="54" t="str">
        <f t="shared" si="106"/>
        <v/>
      </c>
      <c r="AR176" s="54" t="str">
        <f t="shared" si="106"/>
        <v/>
      </c>
      <c r="AS176" s="54" t="str">
        <f t="shared" si="106"/>
        <v/>
      </c>
      <c r="AT176" s="54" t="str">
        <f t="shared" si="106"/>
        <v/>
      </c>
      <c r="AU176" s="54" t="str">
        <f t="shared" si="106"/>
        <v/>
      </c>
      <c r="AV176" s="54" t="str">
        <f t="shared" si="106"/>
        <v/>
      </c>
      <c r="AW176" s="54" t="str">
        <f t="shared" si="106"/>
        <v/>
      </c>
      <c r="AX176" s="54" t="str">
        <f t="shared" si="106"/>
        <v/>
      </c>
      <c r="AY176" s="54" t="str">
        <f t="shared" si="90"/>
        <v/>
      </c>
      <c r="AZ176" s="54" t="str">
        <f t="shared" si="91"/>
        <v/>
      </c>
      <c r="BA176" s="54" t="str">
        <f t="shared" si="92"/>
        <v/>
      </c>
      <c r="BB176" s="135" t="str">
        <f t="shared" si="93"/>
        <v/>
      </c>
      <c r="BC176" s="54" t="str">
        <f t="shared" si="107"/>
        <v/>
      </c>
      <c r="BD176" s="54" t="str">
        <f t="shared" si="107"/>
        <v/>
      </c>
      <c r="BE176" s="54" t="str">
        <f t="shared" si="107"/>
        <v/>
      </c>
      <c r="BF176" s="54" t="str">
        <f t="shared" si="94"/>
        <v/>
      </c>
      <c r="BG176" s="54" t="str">
        <f t="shared" si="95"/>
        <v/>
      </c>
      <c r="BH176" s="34" t="str">
        <f t="shared" si="96"/>
        <v>Bad</v>
      </c>
      <c r="BI176" s="34" t="str">
        <f t="shared" si="97"/>
        <v>No</v>
      </c>
      <c r="BJ176" s="136" t="str">
        <f>IF($D176&lt;&gt;"Feature",".",
IF(VLOOKUP($B176,Feature_List!$A:$AM,MATCH(BJ$1,  Feature_List!$A$1:$AM$1,0),0)=B176,".","NO"))</f>
        <v>.</v>
      </c>
      <c r="BK176" s="136"/>
      <c r="BL176" s="136"/>
      <c r="BM176" s="136" t="str">
        <f>IF($D176&lt;&gt;"Feature",".",
IF(VLOOKUP($B176,Feature_List!$A:$AM,MATCH(BM$1,  Feature_List!$A$1:$AM$1,0),0)=E176,".","NO"))</f>
        <v>.</v>
      </c>
      <c r="BN176" s="136" t="str">
        <f>IF($D176&lt;&gt;"Feature",".",
IF(VLOOKUP($B176,Feature_List!$A:$AM,MATCH(BN$1,  Feature_List!$A$1:$AM$1,0),0)=F176,".","NO"))</f>
        <v>.</v>
      </c>
      <c r="BO176" s="136" t="str">
        <f>IF($D176&lt;&gt;"Feature",".",
IF(VLOOKUP($B176,Feature_List!$A:$AM,MATCH(BO$1,  Feature_List!$A$1:$AM$1,0),0)=G176,".","NO"))</f>
        <v>.</v>
      </c>
      <c r="BP176" s="136" t="str">
        <f>IF($D176&lt;&gt;"Feature",".",
IF(VLOOKUP($B176,Feature_List!$A:$AM,MATCH(BP$1,  Feature_List!$A$1:$AM$1,0),0)=H176,".","NO"))</f>
        <v>.</v>
      </c>
      <c r="BQ176" s="136"/>
      <c r="BR176" s="136" t="str">
        <f>IF($D176&lt;&gt;"Feature",".",
IF(VLOOKUP($B176,Feature_List!$A:$AM,MATCH(BR$1,  Feature_List!$A$1:$AM$1,0),0)=J176,".","NO"))</f>
        <v>.</v>
      </c>
      <c r="BS176" s="136"/>
      <c r="BT176" s="136"/>
      <c r="BU176" s="136" t="str">
        <f>IF($D176&lt;&gt;"Feature",".",
IF(VLOOKUP($B176,Feature_List!$A:$AM,MATCH(BU$1,  Feature_List!$A$1:$AM$1,0),0)=M176,".","NO"))</f>
        <v>.</v>
      </c>
      <c r="BV176" s="136" t="str">
        <f>IF($D176&lt;&gt;"Feature",".",
IF(VLOOKUP($B176,Feature_List!$A:$AM,MATCH(BV$1,  Feature_List!$A$1:$AM$1,0),0)=N176,".","NO"))</f>
        <v>.</v>
      </c>
      <c r="BW176" s="136"/>
      <c r="BX176" s="136"/>
      <c r="BY176" s="136"/>
      <c r="BZ176" s="136"/>
      <c r="CA176" s="136"/>
      <c r="CB176" s="136" t="str">
        <f>IF($D176&lt;&gt;"Feature",".",
IF(VLOOKUP($B176,Feature_List!$A:$AM,MATCH(CB$1,  Feature_List!$A$1:$AM$1,0),0)=T176,".","NO"))</f>
        <v>.</v>
      </c>
      <c r="CC176" s="136"/>
      <c r="CD176" s="136"/>
      <c r="CE176" s="136"/>
      <c r="CF176" s="136"/>
      <c r="CG176" s="136"/>
      <c r="CH176" s="136"/>
      <c r="CI176" s="136"/>
      <c r="CJ176" s="136"/>
      <c r="CK176" s="136"/>
      <c r="CL176" s="136"/>
      <c r="CM176" s="136"/>
      <c r="CN176" s="136"/>
      <c r="CO176" s="136" t="str">
        <f>IF($D176&lt;&gt;"Feature",".",
IF(VLOOKUP($B176,Feature_List!$A:$AM,MATCH(CO$1,  Feature_List!$A$1:$AM$1,0),0)=AG176,".","NO"))</f>
        <v>.</v>
      </c>
      <c r="CP176" s="136" t="str">
        <f>IF($D176&lt;&gt;"Feature",".",
IF(VLOOKUP($B176,Feature_List!$A:$AM,MATCH(CP$1,  Feature_List!$A$1:$AM$1,0),0)=AH176,".","NO"))</f>
        <v>.</v>
      </c>
      <c r="CQ176" s="136" t="str">
        <f>IF($D176&lt;&gt;"Feature",".",
IF(VLOOKUP($B176,Feature_List!$A:$AM,MATCH(CQ$1,  Feature_List!$A$1:$AM$1,0),0)=AI176,".","NO"))</f>
        <v>.</v>
      </c>
      <c r="CR176" s="136" t="str">
        <f>IF($D176&lt;&gt;"Feature",".",
IF(VLOOKUP($B176,Feature_List!$A:$AM,MATCH(CR$1,  Feature_List!$A$1:$AM$1,0),0)=AJ176,".","NO"))</f>
        <v>.</v>
      </c>
      <c r="CS176" s="136" t="str">
        <f>IF($D176&lt;&gt;"Feature",".",
IF(VLOOKUP($B176,Feature_List!$A:$AM,MATCH(CS$1,  Feature_List!$A$1:$AM$1,0),0)=AK176,".","NO"))</f>
        <v>.</v>
      </c>
      <c r="CT176" s="136" t="str">
        <f>IF($D176&lt;&gt;"Feature",".",
IF(VLOOKUP($B176,Feature_List!$A:$AM,MATCH(CT$1,  Feature_List!$A$1:$AM$1,0),0)=AL176,".","NO"))</f>
        <v>.</v>
      </c>
      <c r="CU176" s="136" t="str">
        <f>IF($D176&lt;&gt;"Feature",".",
IF(VLOOKUP($B176,Feature_List!$A:$AM,MATCH(CU$1,  Feature_List!$A$1:$AM$1,0),0)=AM176,".","NO"))</f>
        <v>.</v>
      </c>
      <c r="CV176" s="136" t="str">
        <f>IF($D176&lt;&gt;"Feature",".",
IF(VLOOKUP($B176,Feature_List!$A:$AM,MATCH(CV$1,  Feature_List!$A$1:$AM$1,0),0)=AN176,".","NO"))</f>
        <v>.</v>
      </c>
      <c r="CW176" s="136" t="str">
        <f>IF($D176&lt;&gt;"Feature",".",
IF(VLOOKUP($B176,Feature_List!$A:$AM,MATCH(CW$1,  Feature_List!$A$1:$AM$1,0),0)=AO176,".","NO"))</f>
        <v>.</v>
      </c>
      <c r="CX176" s="136" t="str">
        <f>IF($D176&lt;&gt;"Feature",".",
IF(VLOOKUP($B176,Feature_List!$A:$AM,MATCH(CX$1,  Feature_List!$A$1:$AM$1,0),0)=AP176,".","NO"))</f>
        <v>.</v>
      </c>
      <c r="CY176" s="136" t="str">
        <f>IF($D176&lt;&gt;"Feature",".",
IF(VLOOKUP($B176,Feature_List!$A:$AM,MATCH(CY$1,  Feature_List!$A$1:$AM$1,0),0)=AQ176,".","NO"))</f>
        <v>.</v>
      </c>
      <c r="CZ176" s="136" t="str">
        <f>IF($D176&lt;&gt;"Feature",".",
IF(VLOOKUP($B176,Feature_List!$A:$AM,MATCH(CZ$1,  Feature_List!$A$1:$AM$1,0),0)=AR176,".","NO"))</f>
        <v>.</v>
      </c>
      <c r="DA176" s="136" t="str">
        <f>IF($D176&lt;&gt;"Feature",".",
IF(VLOOKUP($B176,Feature_List!$A:$AM,MATCH(DA$1,  Feature_List!$A$1:$AM$1,0),0)=AS176,".","NO"))</f>
        <v>.</v>
      </c>
      <c r="DB176" s="136" t="str">
        <f>IF($D176&lt;&gt;"Feature",".",
IF(VLOOKUP($B176,Feature_List!$A:$AM,MATCH(DB$1,  Feature_List!$A$1:$AM$1,0),0)=AT176,".","NO"))</f>
        <v>.</v>
      </c>
      <c r="DC176" s="136" t="str">
        <f>IF($D176&lt;&gt;"Feature",".",
IF(VLOOKUP($B176,Feature_List!$A:$AM,MATCH(DC$1,  Feature_List!$A$1:$AM$1,0),0)=AU176,".","NO"))</f>
        <v>.</v>
      </c>
      <c r="DD176" s="136" t="str">
        <f>IF($D176&lt;&gt;"Feature",".",
IF(VLOOKUP($B176,Feature_List!$A:$AM,MATCH(DD$1,  Feature_List!$A$1:$AM$1,0),0)=AV176,".","NO"))</f>
        <v>.</v>
      </c>
      <c r="DE176" s="136" t="str">
        <f>IF($D176&lt;&gt;"Feature",".",
IF(VLOOKUP($B176,Feature_List!$A:$AM,MATCH(DE$1,  Feature_List!$A$1:$AM$1,0),0)=AW176,".","NO"))</f>
        <v>.</v>
      </c>
      <c r="DF176" s="136" t="str">
        <f>IF($D176&lt;&gt;"Feature",".",
IF(VLOOKUP($B176,Feature_List!$A:$AM,MATCH(DF$1,  Feature_List!$A$1:$AM$1,0),0)=AX176,".","NO"))</f>
        <v>.</v>
      </c>
      <c r="DG176" s="136" t="str">
        <f>IF($D176&lt;&gt;"Feature",".",
IF(VLOOKUP($B176,Feature_List!$A:$AM,MATCH(DG$1,  Feature_List!$A$1:$AM$1,0),0)=AY176,".","NO"))</f>
        <v>.</v>
      </c>
      <c r="DH176" s="136" t="str">
        <f>IF($D176&lt;&gt;"Feature",".",
IF(VLOOKUP($B176,Feature_List!$A:$AM,MATCH(DH$1,  Feature_List!$A$1:$AM$1,0),0)=AZ176,".","NO"))</f>
        <v>.</v>
      </c>
      <c r="DI176" s="136" t="str">
        <f>IF($D176&lt;&gt;"Feature",".",
IF(VLOOKUP($B176,Feature_List!$A:$AM,MATCH(DI$1,  Feature_List!$A$1:$AM$1,0),0)=BA176,".","NO"))</f>
        <v>.</v>
      </c>
      <c r="DJ176" s="136" t="str">
        <f>IF($D176&lt;&gt;"Feature",".",
IF(VLOOKUP($B176,Feature_List!$A:$AM,MATCH(DJ$1,  Feature_List!$A$1:$AM$1,0),0)=BB176,".","NO"))</f>
        <v>.</v>
      </c>
      <c r="DK176" s="136"/>
      <c r="DL176" s="136"/>
      <c r="DM176" s="136"/>
      <c r="DN176" s="136" t="str">
        <f>IF($D176&lt;&gt;"Feature",".",
IF(VLOOKUP($B176,Feature_List!$A:$AM,MATCH(DN$1,  Feature_List!$A$1:$AM$1,0),0)=BC176,".","NO"))</f>
        <v>.</v>
      </c>
      <c r="DO176" s="136" t="str">
        <f>IF($D176&lt;&gt;"Feature",".",
IF(VLOOKUP($B176,Feature_List!$A:$AM,MATCH(DO$1,  Feature_List!$A$1:$AM$1,0),0)=BD176,".","NO"))</f>
        <v>.</v>
      </c>
    </row>
    <row r="177" spans="2:119" x14ac:dyDescent="0.3">
      <c r="B177" s="121"/>
      <c r="C177" s="122"/>
      <c r="D177" s="122"/>
      <c r="E177" s="122"/>
      <c r="F177" s="138"/>
      <c r="G177" s="123"/>
      <c r="H177" s="122"/>
      <c r="I177" s="124"/>
      <c r="J177" s="138"/>
      <c r="K177" s="123"/>
      <c r="L177" s="122"/>
      <c r="M177" s="122"/>
      <c r="N177" s="125"/>
      <c r="O177" s="123">
        <f t="shared" si="75"/>
        <v>0</v>
      </c>
      <c r="P177" s="123">
        <f t="shared" si="76"/>
        <v>0</v>
      </c>
      <c r="Q177" s="122" t="str">
        <f t="shared" si="98"/>
        <v>ZeroEntry</v>
      </c>
      <c r="R177" s="126" t="str">
        <f t="shared" si="77"/>
        <v>ZeroEntry</v>
      </c>
      <c r="S177" s="127" t="str">
        <f t="shared" si="78"/>
        <v>ZeroEntry</v>
      </c>
      <c r="T177" s="128" t="str">
        <f>IF($Q177="ZeroEntry", "",VLOOKUP($I177,'Ranking Lookup'!#REF!,2,FALSE))</f>
        <v/>
      </c>
      <c r="U177" s="129" t="str">
        <f t="shared" si="79"/>
        <v/>
      </c>
      <c r="V177" s="129" t="str">
        <f t="shared" si="80"/>
        <v/>
      </c>
      <c r="W177" s="129" t="str">
        <f t="shared" si="81"/>
        <v/>
      </c>
      <c r="X177" s="129" t="str">
        <f t="shared" si="82"/>
        <v/>
      </c>
      <c r="Y177" s="129" t="str">
        <f t="shared" si="83"/>
        <v/>
      </c>
      <c r="Z177" s="129" t="str">
        <f t="shared" si="84"/>
        <v/>
      </c>
      <c r="AA177" s="130"/>
      <c r="AB177" s="130" t="str">
        <f t="shared" si="85"/>
        <v>Unassigned</v>
      </c>
      <c r="AC177" s="131" t="str">
        <f t="shared" si="99"/>
        <v/>
      </c>
      <c r="AD177" s="131" t="str">
        <f t="shared" si="100"/>
        <v/>
      </c>
      <c r="AE177" s="132">
        <f t="shared" si="86"/>
        <v>0</v>
      </c>
      <c r="AF177" s="133" t="str">
        <f t="shared" si="101"/>
        <v/>
      </c>
      <c r="AG177" s="134">
        <f t="shared" si="87"/>
        <v>0</v>
      </c>
      <c r="AH177" s="54" t="str">
        <f t="shared" si="88"/>
        <v/>
      </c>
      <c r="AI177" s="54" t="str">
        <f t="shared" si="106"/>
        <v/>
      </c>
      <c r="AJ177" s="54" t="str">
        <f t="shared" si="106"/>
        <v/>
      </c>
      <c r="AK177" s="54" t="str">
        <f t="shared" si="106"/>
        <v/>
      </c>
      <c r="AL177" s="54" t="str">
        <f t="shared" si="106"/>
        <v/>
      </c>
      <c r="AM177" s="54" t="str">
        <f t="shared" si="106"/>
        <v/>
      </c>
      <c r="AN177" s="54" t="str">
        <f t="shared" si="106"/>
        <v/>
      </c>
      <c r="AO177" s="54" t="str">
        <f t="shared" si="106"/>
        <v/>
      </c>
      <c r="AP177" s="54" t="str">
        <f t="shared" si="106"/>
        <v/>
      </c>
      <c r="AQ177" s="54" t="str">
        <f t="shared" si="106"/>
        <v/>
      </c>
      <c r="AR177" s="54" t="str">
        <f t="shared" si="106"/>
        <v/>
      </c>
      <c r="AS177" s="54" t="str">
        <f t="shared" si="106"/>
        <v/>
      </c>
      <c r="AT177" s="54" t="str">
        <f t="shared" si="106"/>
        <v/>
      </c>
      <c r="AU177" s="54" t="str">
        <f t="shared" si="106"/>
        <v/>
      </c>
      <c r="AV177" s="54" t="str">
        <f t="shared" si="106"/>
        <v/>
      </c>
      <c r="AW177" s="54" t="str">
        <f t="shared" si="106"/>
        <v/>
      </c>
      <c r="AX177" s="54" t="str">
        <f t="shared" ref="AX177" si="108">IF(AND($Q177="Feature",LEFT($AB177,2)="PI"),
IF(AND(COUNTIF($R:$R,$B177)=1,$T177=AX$1), IF($AB177=$A$10,$AF177,0),
IF(OR($AD177&lt;1,RIGHT($G177,8)="Progress",$AH177&gt;0),SUMIFS($O:$O,$R:$R,$B177,$T:$T,AX$1,$P:$P,"&lt;&gt;Done",$AB:$AB,$A$10),
IF($T177=AX$1,IF($AB177=$A$10,$AD177,0)+SUMIFS($O:$O,$R:$R,$B177,$T:$T,AX$1,$P:$P,"&lt;&gt;Done",$AB:$AB,$A$10),SUMIFS($O:$O,$R:$R,$B177,$T:$T,AX$1,$P:$P,"&lt;&gt;Done",$AB:$AB,$A$10)))),
IF(AND(OR($Q177="Story",$Q177="Problem",$Q177="Enhancement"),$AB177=$A$10,$R177=0,$T177=AX$1,$P177&lt;&gt;"Done"),$O177,""))</f>
        <v/>
      </c>
      <c r="AY177" s="54" t="str">
        <f t="shared" si="90"/>
        <v/>
      </c>
      <c r="AZ177" s="54" t="str">
        <f t="shared" si="91"/>
        <v/>
      </c>
      <c r="BA177" s="54" t="str">
        <f t="shared" si="92"/>
        <v/>
      </c>
      <c r="BB177" s="135" t="str">
        <f t="shared" si="93"/>
        <v/>
      </c>
      <c r="BC177" s="54" t="str">
        <f t="shared" si="107"/>
        <v/>
      </c>
      <c r="BD177" s="54" t="str">
        <f t="shared" si="107"/>
        <v/>
      </c>
      <c r="BE177" s="54" t="str">
        <f t="shared" si="107"/>
        <v/>
      </c>
      <c r="BF177" s="54" t="str">
        <f t="shared" si="94"/>
        <v/>
      </c>
      <c r="BG177" s="54" t="str">
        <f t="shared" si="95"/>
        <v/>
      </c>
      <c r="BH177" s="34" t="str">
        <f t="shared" si="96"/>
        <v>Bad</v>
      </c>
      <c r="BI177" s="34" t="str">
        <f t="shared" si="97"/>
        <v>No</v>
      </c>
      <c r="BJ177" s="136" t="str">
        <f>IF($D177&lt;&gt;"Feature",".",
IF(VLOOKUP($B177,Feature_List!$A:$AM,MATCH(BJ$1,  Feature_List!$A$1:$AM$1,0),0)=B177,".","NO"))</f>
        <v>.</v>
      </c>
      <c r="BK177" s="136"/>
      <c r="BL177" s="136"/>
      <c r="BM177" s="136" t="str">
        <f>IF($D177&lt;&gt;"Feature",".",
IF(VLOOKUP($B177,Feature_List!$A:$AM,MATCH(BM$1,  Feature_List!$A$1:$AM$1,0),0)=E177,".","NO"))</f>
        <v>.</v>
      </c>
      <c r="BN177" s="136" t="str">
        <f>IF($D177&lt;&gt;"Feature",".",
IF(VLOOKUP($B177,Feature_List!$A:$AM,MATCH(BN$1,  Feature_List!$A$1:$AM$1,0),0)=F177,".","NO"))</f>
        <v>.</v>
      </c>
      <c r="BO177" s="136" t="str">
        <f>IF($D177&lt;&gt;"Feature",".",
IF(VLOOKUP($B177,Feature_List!$A:$AM,MATCH(BO$1,  Feature_List!$A$1:$AM$1,0),0)=G177,".","NO"))</f>
        <v>.</v>
      </c>
      <c r="BP177" s="136" t="str">
        <f>IF($D177&lt;&gt;"Feature",".",
IF(VLOOKUP($B177,Feature_List!$A:$AM,MATCH(BP$1,  Feature_List!$A$1:$AM$1,0),0)=H177,".","NO"))</f>
        <v>.</v>
      </c>
      <c r="BQ177" s="136"/>
      <c r="BR177" s="136" t="str">
        <f>IF($D177&lt;&gt;"Feature",".",
IF(VLOOKUP($B177,Feature_List!$A:$AM,MATCH(BR$1,  Feature_List!$A$1:$AM$1,0),0)=J177,".","NO"))</f>
        <v>.</v>
      </c>
      <c r="BS177" s="136"/>
      <c r="BT177" s="136"/>
      <c r="BU177" s="136" t="str">
        <f>IF($D177&lt;&gt;"Feature",".",
IF(VLOOKUP($B177,Feature_List!$A:$AM,MATCH(BU$1,  Feature_List!$A$1:$AM$1,0),0)=M177,".","NO"))</f>
        <v>.</v>
      </c>
      <c r="BV177" s="136" t="str">
        <f>IF($D177&lt;&gt;"Feature",".",
IF(VLOOKUP($B177,Feature_List!$A:$AM,MATCH(BV$1,  Feature_List!$A$1:$AM$1,0),0)=N177,".","NO"))</f>
        <v>.</v>
      </c>
      <c r="BW177" s="136"/>
      <c r="BX177" s="136"/>
      <c r="BY177" s="136"/>
      <c r="BZ177" s="136"/>
      <c r="CA177" s="136"/>
      <c r="CB177" s="136" t="str">
        <f>IF($D177&lt;&gt;"Feature",".",
IF(VLOOKUP($B177,Feature_List!$A:$AM,MATCH(CB$1,  Feature_List!$A$1:$AM$1,0),0)=T177,".","NO"))</f>
        <v>.</v>
      </c>
      <c r="CC177" s="136"/>
      <c r="CD177" s="136"/>
      <c r="CE177" s="136"/>
      <c r="CF177" s="136"/>
      <c r="CG177" s="136"/>
      <c r="CH177" s="136"/>
      <c r="CI177" s="136"/>
      <c r="CJ177" s="136"/>
      <c r="CK177" s="136"/>
      <c r="CL177" s="136"/>
      <c r="CM177" s="136"/>
      <c r="CN177" s="136"/>
      <c r="CO177" s="136" t="str">
        <f>IF($D177&lt;&gt;"Feature",".",
IF(VLOOKUP($B177,Feature_List!$A:$AM,MATCH(CO$1,  Feature_List!$A$1:$AM$1,0),0)=AG177,".","NO"))</f>
        <v>.</v>
      </c>
      <c r="CP177" s="136" t="str">
        <f>IF($D177&lt;&gt;"Feature",".",
IF(VLOOKUP($B177,Feature_List!$A:$AM,MATCH(CP$1,  Feature_List!$A$1:$AM$1,0),0)=AH177,".","NO"))</f>
        <v>.</v>
      </c>
      <c r="CQ177" s="136" t="str">
        <f>IF($D177&lt;&gt;"Feature",".",
IF(VLOOKUP($B177,Feature_List!$A:$AM,MATCH(CQ$1,  Feature_List!$A$1:$AM$1,0),0)=AI177,".","NO"))</f>
        <v>.</v>
      </c>
      <c r="CR177" s="136" t="str">
        <f>IF($D177&lt;&gt;"Feature",".",
IF(VLOOKUP($B177,Feature_List!$A:$AM,MATCH(CR$1,  Feature_List!$A$1:$AM$1,0),0)=AJ177,".","NO"))</f>
        <v>.</v>
      </c>
      <c r="CS177" s="136" t="str">
        <f>IF($D177&lt;&gt;"Feature",".",
IF(VLOOKUP($B177,Feature_List!$A:$AM,MATCH(CS$1,  Feature_List!$A$1:$AM$1,0),0)=AK177,".","NO"))</f>
        <v>.</v>
      </c>
      <c r="CT177" s="136" t="str">
        <f>IF($D177&lt;&gt;"Feature",".",
IF(VLOOKUP($B177,Feature_List!$A:$AM,MATCH(CT$1,  Feature_List!$A$1:$AM$1,0),0)=AL177,".","NO"))</f>
        <v>.</v>
      </c>
      <c r="CU177" s="136" t="str">
        <f>IF($D177&lt;&gt;"Feature",".",
IF(VLOOKUP($B177,Feature_List!$A:$AM,MATCH(CU$1,  Feature_List!$A$1:$AM$1,0),0)=AM177,".","NO"))</f>
        <v>.</v>
      </c>
      <c r="CV177" s="136" t="str">
        <f>IF($D177&lt;&gt;"Feature",".",
IF(VLOOKUP($B177,Feature_List!$A:$AM,MATCH(CV$1,  Feature_List!$A$1:$AM$1,0),0)=AN177,".","NO"))</f>
        <v>.</v>
      </c>
      <c r="CW177" s="136" t="str">
        <f>IF($D177&lt;&gt;"Feature",".",
IF(VLOOKUP($B177,Feature_List!$A:$AM,MATCH(CW$1,  Feature_List!$A$1:$AM$1,0),0)=AO177,".","NO"))</f>
        <v>.</v>
      </c>
      <c r="CX177" s="136" t="str">
        <f>IF($D177&lt;&gt;"Feature",".",
IF(VLOOKUP($B177,Feature_List!$A:$AM,MATCH(CX$1,  Feature_List!$A$1:$AM$1,0),0)=AP177,".","NO"))</f>
        <v>.</v>
      </c>
      <c r="CY177" s="136" t="str">
        <f>IF($D177&lt;&gt;"Feature",".",
IF(VLOOKUP($B177,Feature_List!$A:$AM,MATCH(CY$1,  Feature_List!$A$1:$AM$1,0),0)=AQ177,".","NO"))</f>
        <v>.</v>
      </c>
      <c r="CZ177" s="136" t="str">
        <f>IF($D177&lt;&gt;"Feature",".",
IF(VLOOKUP($B177,Feature_List!$A:$AM,MATCH(CZ$1,  Feature_List!$A$1:$AM$1,0),0)=AR177,".","NO"))</f>
        <v>.</v>
      </c>
      <c r="DA177" s="136" t="str">
        <f>IF($D177&lt;&gt;"Feature",".",
IF(VLOOKUP($B177,Feature_List!$A:$AM,MATCH(DA$1,  Feature_List!$A$1:$AM$1,0),0)=AS177,".","NO"))</f>
        <v>.</v>
      </c>
      <c r="DB177" s="136" t="str">
        <f>IF($D177&lt;&gt;"Feature",".",
IF(VLOOKUP($B177,Feature_List!$A:$AM,MATCH(DB$1,  Feature_List!$A$1:$AM$1,0),0)=AT177,".","NO"))</f>
        <v>.</v>
      </c>
      <c r="DC177" s="136" t="str">
        <f>IF($D177&lt;&gt;"Feature",".",
IF(VLOOKUP($B177,Feature_List!$A:$AM,MATCH(DC$1,  Feature_List!$A$1:$AM$1,0),0)=AU177,".","NO"))</f>
        <v>.</v>
      </c>
      <c r="DD177" s="136" t="str">
        <f>IF($D177&lt;&gt;"Feature",".",
IF(VLOOKUP($B177,Feature_List!$A:$AM,MATCH(DD$1,  Feature_List!$A$1:$AM$1,0),0)=AV177,".","NO"))</f>
        <v>.</v>
      </c>
      <c r="DE177" s="136" t="str">
        <f>IF($D177&lt;&gt;"Feature",".",
IF(VLOOKUP($B177,Feature_List!$A:$AM,MATCH(DE$1,  Feature_List!$A$1:$AM$1,0),0)=AW177,".","NO"))</f>
        <v>.</v>
      </c>
      <c r="DF177" s="136" t="str">
        <f>IF($D177&lt;&gt;"Feature",".",
IF(VLOOKUP($B177,Feature_List!$A:$AM,MATCH(DF$1,  Feature_List!$A$1:$AM$1,0),0)=AX177,".","NO"))</f>
        <v>.</v>
      </c>
      <c r="DG177" s="136" t="str">
        <f>IF($D177&lt;&gt;"Feature",".",
IF(VLOOKUP($B177,Feature_List!$A:$AM,MATCH(DG$1,  Feature_List!$A$1:$AM$1,0),0)=AY177,".","NO"))</f>
        <v>.</v>
      </c>
      <c r="DH177" s="136" t="str">
        <f>IF($D177&lt;&gt;"Feature",".",
IF(VLOOKUP($B177,Feature_List!$A:$AM,MATCH(DH$1,  Feature_List!$A$1:$AM$1,0),0)=AZ177,".","NO"))</f>
        <v>.</v>
      </c>
      <c r="DI177" s="136" t="str">
        <f>IF($D177&lt;&gt;"Feature",".",
IF(VLOOKUP($B177,Feature_List!$A:$AM,MATCH(DI$1,  Feature_List!$A$1:$AM$1,0),0)=BA177,".","NO"))</f>
        <v>.</v>
      </c>
      <c r="DJ177" s="136" t="str">
        <f>IF($D177&lt;&gt;"Feature",".",
IF(VLOOKUP($B177,Feature_List!$A:$AM,MATCH(DJ$1,  Feature_List!$A$1:$AM$1,0),0)=BB177,".","NO"))</f>
        <v>.</v>
      </c>
      <c r="DK177" s="136"/>
      <c r="DL177" s="136"/>
      <c r="DM177" s="136"/>
      <c r="DN177" s="136" t="str">
        <f>IF($D177&lt;&gt;"Feature",".",
IF(VLOOKUP($B177,Feature_List!$A:$AM,MATCH(DN$1,  Feature_List!$A$1:$AM$1,0),0)=BC177,".","NO"))</f>
        <v>.</v>
      </c>
      <c r="DO177" s="136" t="str">
        <f>IF($D177&lt;&gt;"Feature",".",
IF(VLOOKUP($B177,Feature_List!$A:$AM,MATCH(DO$1,  Feature_List!$A$1:$AM$1,0),0)=BD177,".","NO"))</f>
        <v>.</v>
      </c>
    </row>
    <row r="178" spans="2:119" x14ac:dyDescent="0.3">
      <c r="B178" s="121"/>
      <c r="C178" s="122"/>
      <c r="D178" s="122"/>
      <c r="E178" s="122"/>
      <c r="F178" s="138"/>
      <c r="G178" s="123"/>
      <c r="H178" s="122"/>
      <c r="I178" s="124"/>
      <c r="J178" s="138"/>
      <c r="K178" s="123"/>
      <c r="L178" s="122"/>
      <c r="M178" s="122"/>
      <c r="N178" s="125"/>
      <c r="O178" s="123">
        <f t="shared" si="75"/>
        <v>0</v>
      </c>
      <c r="P178" s="123">
        <f t="shared" si="76"/>
        <v>0</v>
      </c>
      <c r="Q178" s="122" t="str">
        <f t="shared" si="98"/>
        <v>ZeroEntry</v>
      </c>
      <c r="R178" s="126" t="str">
        <f t="shared" si="77"/>
        <v>ZeroEntry</v>
      </c>
      <c r="S178" s="127" t="str">
        <f t="shared" si="78"/>
        <v>ZeroEntry</v>
      </c>
      <c r="T178" s="128" t="str">
        <f>IF($Q178="ZeroEntry", "",VLOOKUP($I178,'Ranking Lookup'!#REF!,2,FALSE))</f>
        <v/>
      </c>
      <c r="U178" s="129" t="str">
        <f t="shared" si="79"/>
        <v/>
      </c>
      <c r="V178" s="129" t="str">
        <f t="shared" si="80"/>
        <v/>
      </c>
      <c r="W178" s="129" t="str">
        <f t="shared" si="81"/>
        <v/>
      </c>
      <c r="X178" s="129" t="str">
        <f t="shared" si="82"/>
        <v/>
      </c>
      <c r="Y178" s="129" t="str">
        <f t="shared" si="83"/>
        <v/>
      </c>
      <c r="Z178" s="129" t="str">
        <f t="shared" si="84"/>
        <v/>
      </c>
      <c r="AA178" s="130"/>
      <c r="AB178" s="130" t="str">
        <f t="shared" si="85"/>
        <v>Unassigned</v>
      </c>
      <c r="AC178" s="131" t="str">
        <f t="shared" si="99"/>
        <v/>
      </c>
      <c r="AD178" s="131" t="str">
        <f t="shared" si="100"/>
        <v/>
      </c>
      <c r="AE178" s="132">
        <f t="shared" si="86"/>
        <v>0</v>
      </c>
      <c r="AF178" s="133" t="str">
        <f t="shared" si="101"/>
        <v/>
      </c>
      <c r="AG178" s="134">
        <f t="shared" si="87"/>
        <v>0</v>
      </c>
      <c r="AH178" s="54" t="str">
        <f t="shared" si="88"/>
        <v/>
      </c>
      <c r="AI178" s="54" t="str">
        <f t="shared" ref="AI178:AX193" si="109">IF(AND($Q178="Feature",LEFT($AB178,2)="PI"),
IF(AND(COUNTIF($R:$R,$B178)=1,$T178=AI$1), IF($AB178=$A$10,$AF178,0),
IF(OR($AD178&lt;1,RIGHT($G178,8)="Progress",$AH178&gt;0),SUMIFS($O:$O,$R:$R,$B178,$T:$T,AI$1,$P:$P,"&lt;&gt;Done",$AB:$AB,$A$10),
IF($T178=AI$1,IF($AB178=$A$10,$AD178,0)+SUMIFS($O:$O,$R:$R,$B178,$T:$T,AI$1,$P:$P,"&lt;&gt;Done",$AB:$AB,$A$10),SUMIFS($O:$O,$R:$R,$B178,$T:$T,AI$1,$P:$P,"&lt;&gt;Done",$AB:$AB,$A$10)))),
IF(AND(OR($Q178="Story",$Q178="Problem",$Q178="Enhancement"),$AB178=$A$10,$R178=0,$T178=AI$1,$P178&lt;&gt;"Done"),$O178,""))</f>
        <v/>
      </c>
      <c r="AJ178" s="54" t="str">
        <f t="shared" si="109"/>
        <v/>
      </c>
      <c r="AK178" s="54" t="str">
        <f t="shared" si="109"/>
        <v/>
      </c>
      <c r="AL178" s="54" t="str">
        <f t="shared" si="109"/>
        <v/>
      </c>
      <c r="AM178" s="54" t="str">
        <f t="shared" si="109"/>
        <v/>
      </c>
      <c r="AN178" s="54" t="str">
        <f t="shared" si="109"/>
        <v/>
      </c>
      <c r="AO178" s="54" t="str">
        <f t="shared" si="109"/>
        <v/>
      </c>
      <c r="AP178" s="54" t="str">
        <f t="shared" si="109"/>
        <v/>
      </c>
      <c r="AQ178" s="54" t="str">
        <f t="shared" si="109"/>
        <v/>
      </c>
      <c r="AR178" s="54" t="str">
        <f t="shared" si="109"/>
        <v/>
      </c>
      <c r="AS178" s="54" t="str">
        <f t="shared" si="109"/>
        <v/>
      </c>
      <c r="AT178" s="54" t="str">
        <f t="shared" si="109"/>
        <v/>
      </c>
      <c r="AU178" s="54" t="str">
        <f t="shared" si="109"/>
        <v/>
      </c>
      <c r="AV178" s="54" t="str">
        <f t="shared" si="109"/>
        <v/>
      </c>
      <c r="AW178" s="54" t="str">
        <f t="shared" si="109"/>
        <v/>
      </c>
      <c r="AX178" s="54" t="str">
        <f t="shared" si="109"/>
        <v/>
      </c>
      <c r="AY178" s="54" t="str">
        <f t="shared" si="90"/>
        <v/>
      </c>
      <c r="AZ178" s="54" t="str">
        <f t="shared" si="91"/>
        <v/>
      </c>
      <c r="BA178" s="54" t="str">
        <f t="shared" si="92"/>
        <v/>
      </c>
      <c r="BB178" s="135" t="str">
        <f t="shared" si="93"/>
        <v/>
      </c>
      <c r="BC178" s="54" t="str">
        <f t="shared" si="107"/>
        <v/>
      </c>
      <c r="BD178" s="54" t="str">
        <f t="shared" si="107"/>
        <v/>
      </c>
      <c r="BE178" s="54" t="str">
        <f t="shared" si="107"/>
        <v/>
      </c>
      <c r="BF178" s="54" t="str">
        <f t="shared" si="94"/>
        <v/>
      </c>
      <c r="BG178" s="54" t="str">
        <f t="shared" si="95"/>
        <v/>
      </c>
      <c r="BH178" s="34" t="str">
        <f t="shared" si="96"/>
        <v>Bad</v>
      </c>
      <c r="BI178" s="34" t="str">
        <f t="shared" si="97"/>
        <v>No</v>
      </c>
      <c r="BJ178" s="136" t="str">
        <f>IF($D178&lt;&gt;"Feature",".",
IF(VLOOKUP($B178,Feature_List!$A:$AM,MATCH(BJ$1,  Feature_List!$A$1:$AM$1,0),0)=B178,".","NO"))</f>
        <v>.</v>
      </c>
      <c r="BK178" s="136"/>
      <c r="BL178" s="136"/>
      <c r="BM178" s="136" t="str">
        <f>IF($D178&lt;&gt;"Feature",".",
IF(VLOOKUP($B178,Feature_List!$A:$AM,MATCH(BM$1,  Feature_List!$A$1:$AM$1,0),0)=E178,".","NO"))</f>
        <v>.</v>
      </c>
      <c r="BN178" s="136" t="str">
        <f>IF($D178&lt;&gt;"Feature",".",
IF(VLOOKUP($B178,Feature_List!$A:$AM,MATCH(BN$1,  Feature_List!$A$1:$AM$1,0),0)=F178,".","NO"))</f>
        <v>.</v>
      </c>
      <c r="BO178" s="136" t="str">
        <f>IF($D178&lt;&gt;"Feature",".",
IF(VLOOKUP($B178,Feature_List!$A:$AM,MATCH(BO$1,  Feature_List!$A$1:$AM$1,0),0)=G178,".","NO"))</f>
        <v>.</v>
      </c>
      <c r="BP178" s="136" t="str">
        <f>IF($D178&lt;&gt;"Feature",".",
IF(VLOOKUP($B178,Feature_List!$A:$AM,MATCH(BP$1,  Feature_List!$A$1:$AM$1,0),0)=H178,".","NO"))</f>
        <v>.</v>
      </c>
      <c r="BQ178" s="136"/>
      <c r="BR178" s="136" t="str">
        <f>IF($D178&lt;&gt;"Feature",".",
IF(VLOOKUP($B178,Feature_List!$A:$AM,MATCH(BR$1,  Feature_List!$A$1:$AM$1,0),0)=J178,".","NO"))</f>
        <v>.</v>
      </c>
      <c r="BS178" s="136"/>
      <c r="BT178" s="136"/>
      <c r="BU178" s="136" t="str">
        <f>IF($D178&lt;&gt;"Feature",".",
IF(VLOOKUP($B178,Feature_List!$A:$AM,MATCH(BU$1,  Feature_List!$A$1:$AM$1,0),0)=M178,".","NO"))</f>
        <v>.</v>
      </c>
      <c r="BV178" s="136" t="str">
        <f>IF($D178&lt;&gt;"Feature",".",
IF(VLOOKUP($B178,Feature_List!$A:$AM,MATCH(BV$1,  Feature_List!$A$1:$AM$1,0),0)=N178,".","NO"))</f>
        <v>.</v>
      </c>
      <c r="BW178" s="136"/>
      <c r="BX178" s="136"/>
      <c r="BY178" s="136"/>
      <c r="BZ178" s="136"/>
      <c r="CA178" s="136"/>
      <c r="CB178" s="136" t="str">
        <f>IF($D178&lt;&gt;"Feature",".",
IF(VLOOKUP($B178,Feature_List!$A:$AM,MATCH(CB$1,  Feature_List!$A$1:$AM$1,0),0)=T178,".","NO"))</f>
        <v>.</v>
      </c>
      <c r="CC178" s="136"/>
      <c r="CD178" s="136"/>
      <c r="CE178" s="136"/>
      <c r="CF178" s="136"/>
      <c r="CG178" s="136"/>
      <c r="CH178" s="136"/>
      <c r="CI178" s="136"/>
      <c r="CJ178" s="136"/>
      <c r="CK178" s="136"/>
      <c r="CL178" s="136"/>
      <c r="CM178" s="136"/>
      <c r="CN178" s="136"/>
      <c r="CO178" s="136" t="str">
        <f>IF($D178&lt;&gt;"Feature",".",
IF(VLOOKUP($B178,Feature_List!$A:$AM,MATCH(CO$1,  Feature_List!$A$1:$AM$1,0),0)=AG178,".","NO"))</f>
        <v>.</v>
      </c>
      <c r="CP178" s="136" t="str">
        <f>IF($D178&lt;&gt;"Feature",".",
IF(VLOOKUP($B178,Feature_List!$A:$AM,MATCH(CP$1,  Feature_List!$A$1:$AM$1,0),0)=AH178,".","NO"))</f>
        <v>.</v>
      </c>
      <c r="CQ178" s="136" t="str">
        <f>IF($D178&lt;&gt;"Feature",".",
IF(VLOOKUP($B178,Feature_List!$A:$AM,MATCH(CQ$1,  Feature_List!$A$1:$AM$1,0),0)=AI178,".","NO"))</f>
        <v>.</v>
      </c>
      <c r="CR178" s="136" t="str">
        <f>IF($D178&lt;&gt;"Feature",".",
IF(VLOOKUP($B178,Feature_List!$A:$AM,MATCH(CR$1,  Feature_List!$A$1:$AM$1,0),0)=AJ178,".","NO"))</f>
        <v>.</v>
      </c>
      <c r="CS178" s="136" t="str">
        <f>IF($D178&lt;&gt;"Feature",".",
IF(VLOOKUP($B178,Feature_List!$A:$AM,MATCH(CS$1,  Feature_List!$A$1:$AM$1,0),0)=AK178,".","NO"))</f>
        <v>.</v>
      </c>
      <c r="CT178" s="136" t="str">
        <f>IF($D178&lt;&gt;"Feature",".",
IF(VLOOKUP($B178,Feature_List!$A:$AM,MATCH(CT$1,  Feature_List!$A$1:$AM$1,0),0)=AL178,".","NO"))</f>
        <v>.</v>
      </c>
      <c r="CU178" s="136" t="str">
        <f>IF($D178&lt;&gt;"Feature",".",
IF(VLOOKUP($B178,Feature_List!$A:$AM,MATCH(CU$1,  Feature_List!$A$1:$AM$1,0),0)=AM178,".","NO"))</f>
        <v>.</v>
      </c>
      <c r="CV178" s="136" t="str">
        <f>IF($D178&lt;&gt;"Feature",".",
IF(VLOOKUP($B178,Feature_List!$A:$AM,MATCH(CV$1,  Feature_List!$A$1:$AM$1,0),0)=AN178,".","NO"))</f>
        <v>.</v>
      </c>
      <c r="CW178" s="136" t="str">
        <f>IF($D178&lt;&gt;"Feature",".",
IF(VLOOKUP($B178,Feature_List!$A:$AM,MATCH(CW$1,  Feature_List!$A$1:$AM$1,0),0)=AO178,".","NO"))</f>
        <v>.</v>
      </c>
      <c r="CX178" s="136" t="str">
        <f>IF($D178&lt;&gt;"Feature",".",
IF(VLOOKUP($B178,Feature_List!$A:$AM,MATCH(CX$1,  Feature_List!$A$1:$AM$1,0),0)=AP178,".","NO"))</f>
        <v>.</v>
      </c>
      <c r="CY178" s="136" t="str">
        <f>IF($D178&lt;&gt;"Feature",".",
IF(VLOOKUP($B178,Feature_List!$A:$AM,MATCH(CY$1,  Feature_List!$A$1:$AM$1,0),0)=AQ178,".","NO"))</f>
        <v>.</v>
      </c>
      <c r="CZ178" s="136" t="str">
        <f>IF($D178&lt;&gt;"Feature",".",
IF(VLOOKUP($B178,Feature_List!$A:$AM,MATCH(CZ$1,  Feature_List!$A$1:$AM$1,0),0)=AR178,".","NO"))</f>
        <v>.</v>
      </c>
      <c r="DA178" s="136" t="str">
        <f>IF($D178&lt;&gt;"Feature",".",
IF(VLOOKUP($B178,Feature_List!$A:$AM,MATCH(DA$1,  Feature_List!$A$1:$AM$1,0),0)=AS178,".","NO"))</f>
        <v>.</v>
      </c>
      <c r="DB178" s="136" t="str">
        <f>IF($D178&lt;&gt;"Feature",".",
IF(VLOOKUP($B178,Feature_List!$A:$AM,MATCH(DB$1,  Feature_List!$A$1:$AM$1,0),0)=AT178,".","NO"))</f>
        <v>.</v>
      </c>
      <c r="DC178" s="136" t="str">
        <f>IF($D178&lt;&gt;"Feature",".",
IF(VLOOKUP($B178,Feature_List!$A:$AM,MATCH(DC$1,  Feature_List!$A$1:$AM$1,0),0)=AU178,".","NO"))</f>
        <v>.</v>
      </c>
      <c r="DD178" s="136" t="str">
        <f>IF($D178&lt;&gt;"Feature",".",
IF(VLOOKUP($B178,Feature_List!$A:$AM,MATCH(DD$1,  Feature_List!$A$1:$AM$1,0),0)=AV178,".","NO"))</f>
        <v>.</v>
      </c>
      <c r="DE178" s="136" t="str">
        <f>IF($D178&lt;&gt;"Feature",".",
IF(VLOOKUP($B178,Feature_List!$A:$AM,MATCH(DE$1,  Feature_List!$A$1:$AM$1,0),0)=AW178,".","NO"))</f>
        <v>.</v>
      </c>
      <c r="DF178" s="136" t="str">
        <f>IF($D178&lt;&gt;"Feature",".",
IF(VLOOKUP($B178,Feature_List!$A:$AM,MATCH(DF$1,  Feature_List!$A$1:$AM$1,0),0)=AX178,".","NO"))</f>
        <v>.</v>
      </c>
      <c r="DG178" s="136" t="str">
        <f>IF($D178&lt;&gt;"Feature",".",
IF(VLOOKUP($B178,Feature_List!$A:$AM,MATCH(DG$1,  Feature_List!$A$1:$AM$1,0),0)=AY178,".","NO"))</f>
        <v>.</v>
      </c>
      <c r="DH178" s="136" t="str">
        <f>IF($D178&lt;&gt;"Feature",".",
IF(VLOOKUP($B178,Feature_List!$A:$AM,MATCH(DH$1,  Feature_List!$A$1:$AM$1,0),0)=AZ178,".","NO"))</f>
        <v>.</v>
      </c>
      <c r="DI178" s="136" t="str">
        <f>IF($D178&lt;&gt;"Feature",".",
IF(VLOOKUP($B178,Feature_List!$A:$AM,MATCH(DI$1,  Feature_List!$A$1:$AM$1,0),0)=BA178,".","NO"))</f>
        <v>.</v>
      </c>
      <c r="DJ178" s="136" t="str">
        <f>IF($D178&lt;&gt;"Feature",".",
IF(VLOOKUP($B178,Feature_List!$A:$AM,MATCH(DJ$1,  Feature_List!$A$1:$AM$1,0),0)=BB178,".","NO"))</f>
        <v>.</v>
      </c>
      <c r="DK178" s="136"/>
      <c r="DL178" s="136"/>
      <c r="DM178" s="136"/>
      <c r="DN178" s="136" t="str">
        <f>IF($D178&lt;&gt;"Feature",".",
IF(VLOOKUP($B178,Feature_List!$A:$AM,MATCH(DN$1,  Feature_List!$A$1:$AM$1,0),0)=BC178,".","NO"))</f>
        <v>.</v>
      </c>
      <c r="DO178" s="136" t="str">
        <f>IF($D178&lt;&gt;"Feature",".",
IF(VLOOKUP($B178,Feature_List!$A:$AM,MATCH(DO$1,  Feature_List!$A$1:$AM$1,0),0)=BD178,".","NO"))</f>
        <v>.</v>
      </c>
    </row>
    <row r="179" spans="2:119" x14ac:dyDescent="0.3">
      <c r="B179" s="121"/>
      <c r="C179" s="123"/>
      <c r="D179" s="122"/>
      <c r="E179" s="122"/>
      <c r="F179" s="138"/>
      <c r="G179" s="123"/>
      <c r="H179" s="122"/>
      <c r="I179" s="124"/>
      <c r="J179" s="138"/>
      <c r="K179" s="123"/>
      <c r="L179" s="122"/>
      <c r="M179" s="122"/>
      <c r="N179" s="125"/>
      <c r="O179" s="123">
        <f t="shared" si="75"/>
        <v>0</v>
      </c>
      <c r="P179" s="123">
        <f t="shared" si="76"/>
        <v>0</v>
      </c>
      <c r="Q179" s="122" t="str">
        <f t="shared" si="98"/>
        <v>ZeroEntry</v>
      </c>
      <c r="R179" s="126" t="str">
        <f t="shared" si="77"/>
        <v>ZeroEntry</v>
      </c>
      <c r="S179" s="127" t="str">
        <f t="shared" si="78"/>
        <v>ZeroEntry</v>
      </c>
      <c r="T179" s="128" t="str">
        <f>IF($Q179="ZeroEntry", "",VLOOKUP($I179,'Ranking Lookup'!#REF!,2,FALSE))</f>
        <v/>
      </c>
      <c r="U179" s="129" t="str">
        <f t="shared" si="79"/>
        <v/>
      </c>
      <c r="V179" s="129" t="str">
        <f t="shared" si="80"/>
        <v/>
      </c>
      <c r="W179" s="129" t="str">
        <f t="shared" si="81"/>
        <v/>
      </c>
      <c r="X179" s="129" t="str">
        <f t="shared" si="82"/>
        <v/>
      </c>
      <c r="Y179" s="129" t="str">
        <f t="shared" si="83"/>
        <v/>
      </c>
      <c r="Z179" s="129" t="str">
        <f t="shared" si="84"/>
        <v/>
      </c>
      <c r="AA179" s="130"/>
      <c r="AB179" s="130" t="str">
        <f t="shared" si="85"/>
        <v>Unassigned</v>
      </c>
      <c r="AC179" s="131" t="str">
        <f t="shared" si="99"/>
        <v/>
      </c>
      <c r="AD179" s="131" t="str">
        <f t="shared" si="100"/>
        <v/>
      </c>
      <c r="AE179" s="132">
        <f t="shared" si="86"/>
        <v>0</v>
      </c>
      <c r="AF179" s="133" t="str">
        <f t="shared" si="101"/>
        <v/>
      </c>
      <c r="AG179" s="134">
        <f t="shared" si="87"/>
        <v>0</v>
      </c>
      <c r="AH179" s="54" t="str">
        <f t="shared" si="88"/>
        <v/>
      </c>
      <c r="AI179" s="54" t="str">
        <f t="shared" si="109"/>
        <v/>
      </c>
      <c r="AJ179" s="54" t="str">
        <f t="shared" si="109"/>
        <v/>
      </c>
      <c r="AK179" s="54" t="str">
        <f t="shared" si="109"/>
        <v/>
      </c>
      <c r="AL179" s="54" t="str">
        <f t="shared" si="109"/>
        <v/>
      </c>
      <c r="AM179" s="54" t="str">
        <f t="shared" si="109"/>
        <v/>
      </c>
      <c r="AN179" s="54" t="str">
        <f t="shared" si="109"/>
        <v/>
      </c>
      <c r="AO179" s="54" t="str">
        <f t="shared" si="109"/>
        <v/>
      </c>
      <c r="AP179" s="54" t="str">
        <f t="shared" si="109"/>
        <v/>
      </c>
      <c r="AQ179" s="54" t="str">
        <f t="shared" si="109"/>
        <v/>
      </c>
      <c r="AR179" s="54" t="str">
        <f t="shared" si="109"/>
        <v/>
      </c>
      <c r="AS179" s="54" t="str">
        <f t="shared" si="109"/>
        <v/>
      </c>
      <c r="AT179" s="54" t="str">
        <f t="shared" si="109"/>
        <v/>
      </c>
      <c r="AU179" s="54" t="str">
        <f t="shared" si="109"/>
        <v/>
      </c>
      <c r="AV179" s="54" t="str">
        <f t="shared" si="109"/>
        <v/>
      </c>
      <c r="AW179" s="54" t="str">
        <f t="shared" si="109"/>
        <v/>
      </c>
      <c r="AX179" s="54" t="str">
        <f t="shared" si="109"/>
        <v/>
      </c>
      <c r="AY179" s="54" t="str">
        <f t="shared" si="90"/>
        <v/>
      </c>
      <c r="AZ179" s="54" t="str">
        <f t="shared" si="91"/>
        <v/>
      </c>
      <c r="BA179" s="54" t="str">
        <f t="shared" si="92"/>
        <v/>
      </c>
      <c r="BB179" s="135" t="str">
        <f t="shared" si="93"/>
        <v/>
      </c>
      <c r="BC179" s="54" t="str">
        <f t="shared" si="107"/>
        <v/>
      </c>
      <c r="BD179" s="54" t="str">
        <f t="shared" si="107"/>
        <v/>
      </c>
      <c r="BE179" s="54" t="str">
        <f t="shared" si="107"/>
        <v/>
      </c>
      <c r="BF179" s="54" t="str">
        <f t="shared" si="94"/>
        <v/>
      </c>
      <c r="BG179" s="54" t="str">
        <f t="shared" si="95"/>
        <v/>
      </c>
      <c r="BH179" s="34" t="str">
        <f t="shared" si="96"/>
        <v>Bad</v>
      </c>
      <c r="BI179" s="34" t="str">
        <f t="shared" si="97"/>
        <v>No</v>
      </c>
      <c r="BJ179" s="136" t="str">
        <f>IF($D179&lt;&gt;"Feature",".",
IF(VLOOKUP($B179,Feature_List!$A:$AM,MATCH(BJ$1,  Feature_List!$A$1:$AM$1,0),0)=B179,".","NO"))</f>
        <v>.</v>
      </c>
      <c r="BK179" s="136"/>
      <c r="BL179" s="136"/>
      <c r="BM179" s="136" t="str">
        <f>IF($D179&lt;&gt;"Feature",".",
IF(VLOOKUP($B179,Feature_List!$A:$AM,MATCH(BM$1,  Feature_List!$A$1:$AM$1,0),0)=E179,".","NO"))</f>
        <v>.</v>
      </c>
      <c r="BN179" s="136" t="str">
        <f>IF($D179&lt;&gt;"Feature",".",
IF(VLOOKUP($B179,Feature_List!$A:$AM,MATCH(BN$1,  Feature_List!$A$1:$AM$1,0),0)=F179,".","NO"))</f>
        <v>.</v>
      </c>
      <c r="BO179" s="136" t="str">
        <f>IF($D179&lt;&gt;"Feature",".",
IF(VLOOKUP($B179,Feature_List!$A:$AM,MATCH(BO$1,  Feature_List!$A$1:$AM$1,0),0)=G179,".","NO"))</f>
        <v>.</v>
      </c>
      <c r="BP179" s="136" t="str">
        <f>IF($D179&lt;&gt;"Feature",".",
IF(VLOOKUP($B179,Feature_List!$A:$AM,MATCH(BP$1,  Feature_List!$A$1:$AM$1,0),0)=H179,".","NO"))</f>
        <v>.</v>
      </c>
      <c r="BQ179" s="136"/>
      <c r="BR179" s="136" t="str">
        <f>IF($D179&lt;&gt;"Feature",".",
IF(VLOOKUP($B179,Feature_List!$A:$AM,MATCH(BR$1,  Feature_List!$A$1:$AM$1,0),0)=J179,".","NO"))</f>
        <v>.</v>
      </c>
      <c r="BS179" s="136"/>
      <c r="BT179" s="136"/>
      <c r="BU179" s="136" t="str">
        <f>IF($D179&lt;&gt;"Feature",".",
IF(VLOOKUP($B179,Feature_List!$A:$AM,MATCH(BU$1,  Feature_List!$A$1:$AM$1,0),0)=M179,".","NO"))</f>
        <v>.</v>
      </c>
      <c r="BV179" s="136" t="str">
        <f>IF($D179&lt;&gt;"Feature",".",
IF(VLOOKUP($B179,Feature_List!$A:$AM,MATCH(BV$1,  Feature_List!$A$1:$AM$1,0),0)=N179,".","NO"))</f>
        <v>.</v>
      </c>
      <c r="BW179" s="136"/>
      <c r="BX179" s="136"/>
      <c r="BY179" s="136"/>
      <c r="BZ179" s="136"/>
      <c r="CA179" s="136"/>
      <c r="CB179" s="136" t="str">
        <f>IF($D179&lt;&gt;"Feature",".",
IF(VLOOKUP($B179,Feature_List!$A:$AM,MATCH(CB$1,  Feature_List!$A$1:$AM$1,0),0)=T179,".","NO"))</f>
        <v>.</v>
      </c>
      <c r="CC179" s="136"/>
      <c r="CD179" s="136"/>
      <c r="CE179" s="136"/>
      <c r="CF179" s="136"/>
      <c r="CG179" s="136"/>
      <c r="CH179" s="136"/>
      <c r="CI179" s="136"/>
      <c r="CJ179" s="136"/>
      <c r="CK179" s="136"/>
      <c r="CL179" s="136"/>
      <c r="CM179" s="136"/>
      <c r="CN179" s="136"/>
      <c r="CO179" s="136" t="str">
        <f>IF($D179&lt;&gt;"Feature",".",
IF(VLOOKUP($B179,Feature_List!$A:$AM,MATCH(CO$1,  Feature_List!$A$1:$AM$1,0),0)=AG179,".","NO"))</f>
        <v>.</v>
      </c>
      <c r="CP179" s="136" t="str">
        <f>IF($D179&lt;&gt;"Feature",".",
IF(VLOOKUP($B179,Feature_List!$A:$AM,MATCH(CP$1,  Feature_List!$A$1:$AM$1,0),0)=AH179,".","NO"))</f>
        <v>.</v>
      </c>
      <c r="CQ179" s="136" t="str">
        <f>IF($D179&lt;&gt;"Feature",".",
IF(VLOOKUP($B179,Feature_List!$A:$AM,MATCH(CQ$1,  Feature_List!$A$1:$AM$1,0),0)=AI179,".","NO"))</f>
        <v>.</v>
      </c>
      <c r="CR179" s="136" t="str">
        <f>IF($D179&lt;&gt;"Feature",".",
IF(VLOOKUP($B179,Feature_List!$A:$AM,MATCH(CR$1,  Feature_List!$A$1:$AM$1,0),0)=AJ179,".","NO"))</f>
        <v>.</v>
      </c>
      <c r="CS179" s="136" t="str">
        <f>IF($D179&lt;&gt;"Feature",".",
IF(VLOOKUP($B179,Feature_List!$A:$AM,MATCH(CS$1,  Feature_List!$A$1:$AM$1,0),0)=AK179,".","NO"))</f>
        <v>.</v>
      </c>
      <c r="CT179" s="136" t="str">
        <f>IF($D179&lt;&gt;"Feature",".",
IF(VLOOKUP($B179,Feature_List!$A:$AM,MATCH(CT$1,  Feature_List!$A$1:$AM$1,0),0)=AL179,".","NO"))</f>
        <v>.</v>
      </c>
      <c r="CU179" s="136" t="str">
        <f>IF($D179&lt;&gt;"Feature",".",
IF(VLOOKUP($B179,Feature_List!$A:$AM,MATCH(CU$1,  Feature_List!$A$1:$AM$1,0),0)=AM179,".","NO"))</f>
        <v>.</v>
      </c>
      <c r="CV179" s="136" t="str">
        <f>IF($D179&lt;&gt;"Feature",".",
IF(VLOOKUP($B179,Feature_List!$A:$AM,MATCH(CV$1,  Feature_List!$A$1:$AM$1,0),0)=AN179,".","NO"))</f>
        <v>.</v>
      </c>
      <c r="CW179" s="136" t="str">
        <f>IF($D179&lt;&gt;"Feature",".",
IF(VLOOKUP($B179,Feature_List!$A:$AM,MATCH(CW$1,  Feature_List!$A$1:$AM$1,0),0)=AO179,".","NO"))</f>
        <v>.</v>
      </c>
      <c r="CX179" s="136" t="str">
        <f>IF($D179&lt;&gt;"Feature",".",
IF(VLOOKUP($B179,Feature_List!$A:$AM,MATCH(CX$1,  Feature_List!$A$1:$AM$1,0),0)=AP179,".","NO"))</f>
        <v>.</v>
      </c>
      <c r="CY179" s="136" t="str">
        <f>IF($D179&lt;&gt;"Feature",".",
IF(VLOOKUP($B179,Feature_List!$A:$AM,MATCH(CY$1,  Feature_List!$A$1:$AM$1,0),0)=AQ179,".","NO"))</f>
        <v>.</v>
      </c>
      <c r="CZ179" s="136" t="str">
        <f>IF($D179&lt;&gt;"Feature",".",
IF(VLOOKUP($B179,Feature_List!$A:$AM,MATCH(CZ$1,  Feature_List!$A$1:$AM$1,0),0)=AR179,".","NO"))</f>
        <v>.</v>
      </c>
      <c r="DA179" s="136" t="str">
        <f>IF($D179&lt;&gt;"Feature",".",
IF(VLOOKUP($B179,Feature_List!$A:$AM,MATCH(DA$1,  Feature_List!$A$1:$AM$1,0),0)=AS179,".","NO"))</f>
        <v>.</v>
      </c>
      <c r="DB179" s="136" t="str">
        <f>IF($D179&lt;&gt;"Feature",".",
IF(VLOOKUP($B179,Feature_List!$A:$AM,MATCH(DB$1,  Feature_List!$A$1:$AM$1,0),0)=AT179,".","NO"))</f>
        <v>.</v>
      </c>
      <c r="DC179" s="136" t="str">
        <f>IF($D179&lt;&gt;"Feature",".",
IF(VLOOKUP($B179,Feature_List!$A:$AM,MATCH(DC$1,  Feature_List!$A$1:$AM$1,0),0)=AU179,".","NO"))</f>
        <v>.</v>
      </c>
      <c r="DD179" s="136" t="str">
        <f>IF($D179&lt;&gt;"Feature",".",
IF(VLOOKUP($B179,Feature_List!$A:$AM,MATCH(DD$1,  Feature_List!$A$1:$AM$1,0),0)=AV179,".","NO"))</f>
        <v>.</v>
      </c>
      <c r="DE179" s="136" t="str">
        <f>IF($D179&lt;&gt;"Feature",".",
IF(VLOOKUP($B179,Feature_List!$A:$AM,MATCH(DE$1,  Feature_List!$A$1:$AM$1,0),0)=AW179,".","NO"))</f>
        <v>.</v>
      </c>
      <c r="DF179" s="136" t="str">
        <f>IF($D179&lt;&gt;"Feature",".",
IF(VLOOKUP($B179,Feature_List!$A:$AM,MATCH(DF$1,  Feature_List!$A$1:$AM$1,0),0)=AX179,".","NO"))</f>
        <v>.</v>
      </c>
      <c r="DG179" s="136" t="str">
        <f>IF($D179&lt;&gt;"Feature",".",
IF(VLOOKUP($B179,Feature_List!$A:$AM,MATCH(DG$1,  Feature_List!$A$1:$AM$1,0),0)=AY179,".","NO"))</f>
        <v>.</v>
      </c>
      <c r="DH179" s="136" t="str">
        <f>IF($D179&lt;&gt;"Feature",".",
IF(VLOOKUP($B179,Feature_List!$A:$AM,MATCH(DH$1,  Feature_List!$A$1:$AM$1,0),0)=AZ179,".","NO"))</f>
        <v>.</v>
      </c>
      <c r="DI179" s="136" t="str">
        <f>IF($D179&lt;&gt;"Feature",".",
IF(VLOOKUP($B179,Feature_List!$A:$AM,MATCH(DI$1,  Feature_List!$A$1:$AM$1,0),0)=BA179,".","NO"))</f>
        <v>.</v>
      </c>
      <c r="DJ179" s="136" t="str">
        <f>IF($D179&lt;&gt;"Feature",".",
IF(VLOOKUP($B179,Feature_List!$A:$AM,MATCH(DJ$1,  Feature_List!$A$1:$AM$1,0),0)=BB179,".","NO"))</f>
        <v>.</v>
      </c>
      <c r="DK179" s="136"/>
      <c r="DL179" s="136"/>
      <c r="DM179" s="136"/>
      <c r="DN179" s="136" t="str">
        <f>IF($D179&lt;&gt;"Feature",".",
IF(VLOOKUP($B179,Feature_List!$A:$AM,MATCH(DN$1,  Feature_List!$A$1:$AM$1,0),0)=BC179,".","NO"))</f>
        <v>.</v>
      </c>
      <c r="DO179" s="136" t="str">
        <f>IF($D179&lt;&gt;"Feature",".",
IF(VLOOKUP($B179,Feature_List!$A:$AM,MATCH(DO$1,  Feature_List!$A$1:$AM$1,0),0)=BD179,".","NO"))</f>
        <v>.</v>
      </c>
    </row>
    <row r="180" spans="2:119" x14ac:dyDescent="0.3">
      <c r="B180" s="121"/>
      <c r="C180" s="122"/>
      <c r="D180" s="122"/>
      <c r="E180" s="122"/>
      <c r="F180" s="138"/>
      <c r="G180" s="123"/>
      <c r="H180" s="122"/>
      <c r="I180" s="124"/>
      <c r="J180" s="138"/>
      <c r="K180" s="123"/>
      <c r="L180" s="122"/>
      <c r="M180" s="122"/>
      <c r="N180" s="125"/>
      <c r="O180" s="123">
        <f t="shared" si="75"/>
        <v>0</v>
      </c>
      <c r="P180" s="123">
        <f t="shared" si="76"/>
        <v>0</v>
      </c>
      <c r="Q180" s="122" t="str">
        <f t="shared" si="98"/>
        <v>ZeroEntry</v>
      </c>
      <c r="R180" s="126" t="str">
        <f t="shared" si="77"/>
        <v>ZeroEntry</v>
      </c>
      <c r="S180" s="127" t="str">
        <f t="shared" si="78"/>
        <v>ZeroEntry</v>
      </c>
      <c r="T180" s="128" t="str">
        <f>IF($Q180="ZeroEntry", "",VLOOKUP($I180,'Ranking Lookup'!#REF!,2,FALSE))</f>
        <v/>
      </c>
      <c r="U180" s="129" t="str">
        <f t="shared" si="79"/>
        <v/>
      </c>
      <c r="V180" s="129" t="str">
        <f t="shared" si="80"/>
        <v/>
      </c>
      <c r="W180" s="129" t="str">
        <f t="shared" si="81"/>
        <v/>
      </c>
      <c r="X180" s="129" t="str">
        <f t="shared" si="82"/>
        <v/>
      </c>
      <c r="Y180" s="129" t="str">
        <f t="shared" si="83"/>
        <v/>
      </c>
      <c r="Z180" s="129" t="str">
        <f t="shared" si="84"/>
        <v/>
      </c>
      <c r="AA180" s="130"/>
      <c r="AB180" s="130" t="str">
        <f t="shared" si="85"/>
        <v>Unassigned</v>
      </c>
      <c r="AC180" s="131" t="str">
        <f t="shared" si="99"/>
        <v/>
      </c>
      <c r="AD180" s="131" t="str">
        <f t="shared" si="100"/>
        <v/>
      </c>
      <c r="AE180" s="132">
        <f t="shared" si="86"/>
        <v>0</v>
      </c>
      <c r="AF180" s="133" t="str">
        <f t="shared" si="101"/>
        <v/>
      </c>
      <c r="AG180" s="134">
        <f t="shared" si="87"/>
        <v>0</v>
      </c>
      <c r="AH180" s="54" t="str">
        <f t="shared" si="88"/>
        <v/>
      </c>
      <c r="AI180" s="54" t="str">
        <f t="shared" si="109"/>
        <v/>
      </c>
      <c r="AJ180" s="54" t="str">
        <f t="shared" si="109"/>
        <v/>
      </c>
      <c r="AK180" s="54" t="str">
        <f t="shared" si="109"/>
        <v/>
      </c>
      <c r="AL180" s="54" t="str">
        <f t="shared" si="109"/>
        <v/>
      </c>
      <c r="AM180" s="54" t="str">
        <f t="shared" si="109"/>
        <v/>
      </c>
      <c r="AN180" s="54" t="str">
        <f t="shared" si="109"/>
        <v/>
      </c>
      <c r="AO180" s="54" t="str">
        <f t="shared" si="109"/>
        <v/>
      </c>
      <c r="AP180" s="54" t="str">
        <f t="shared" si="109"/>
        <v/>
      </c>
      <c r="AQ180" s="54" t="str">
        <f t="shared" si="109"/>
        <v/>
      </c>
      <c r="AR180" s="54" t="str">
        <f t="shared" si="109"/>
        <v/>
      </c>
      <c r="AS180" s="54" t="str">
        <f t="shared" si="109"/>
        <v/>
      </c>
      <c r="AT180" s="54" t="str">
        <f t="shared" si="109"/>
        <v/>
      </c>
      <c r="AU180" s="54" t="str">
        <f t="shared" si="109"/>
        <v/>
      </c>
      <c r="AV180" s="54" t="str">
        <f t="shared" si="109"/>
        <v/>
      </c>
      <c r="AW180" s="54" t="str">
        <f t="shared" si="109"/>
        <v/>
      </c>
      <c r="AX180" s="54" t="str">
        <f t="shared" si="109"/>
        <v/>
      </c>
      <c r="AY180" s="54" t="str">
        <f t="shared" si="90"/>
        <v/>
      </c>
      <c r="AZ180" s="54" t="str">
        <f t="shared" si="91"/>
        <v/>
      </c>
      <c r="BA180" s="54" t="str">
        <f t="shared" si="92"/>
        <v/>
      </c>
      <c r="BB180" s="135" t="str">
        <f t="shared" si="93"/>
        <v/>
      </c>
      <c r="BC180" s="54" t="str">
        <f t="shared" si="107"/>
        <v/>
      </c>
      <c r="BD180" s="54" t="str">
        <f t="shared" si="107"/>
        <v/>
      </c>
      <c r="BE180" s="54" t="str">
        <f t="shared" si="107"/>
        <v/>
      </c>
      <c r="BF180" s="54" t="str">
        <f t="shared" si="94"/>
        <v/>
      </c>
      <c r="BG180" s="54" t="str">
        <f t="shared" si="95"/>
        <v/>
      </c>
      <c r="BH180" s="34" t="str">
        <f t="shared" si="96"/>
        <v>Bad</v>
      </c>
      <c r="BI180" s="34" t="str">
        <f t="shared" si="97"/>
        <v>No</v>
      </c>
      <c r="BJ180" s="136" t="str">
        <f>IF($D180&lt;&gt;"Feature",".",
IF(VLOOKUP($B180,Feature_List!$A:$AM,MATCH(BJ$1,  Feature_List!$A$1:$AM$1,0),0)=B180,".","NO"))</f>
        <v>.</v>
      </c>
      <c r="BK180" s="136"/>
      <c r="BL180" s="136"/>
      <c r="BM180" s="136" t="str">
        <f>IF($D180&lt;&gt;"Feature",".",
IF(VLOOKUP($B180,Feature_List!$A:$AM,MATCH(BM$1,  Feature_List!$A$1:$AM$1,0),0)=E180,".","NO"))</f>
        <v>.</v>
      </c>
      <c r="BN180" s="136" t="str">
        <f>IF($D180&lt;&gt;"Feature",".",
IF(VLOOKUP($B180,Feature_List!$A:$AM,MATCH(BN$1,  Feature_List!$A$1:$AM$1,0),0)=F180,".","NO"))</f>
        <v>.</v>
      </c>
      <c r="BO180" s="136" t="str">
        <f>IF($D180&lt;&gt;"Feature",".",
IF(VLOOKUP($B180,Feature_List!$A:$AM,MATCH(BO$1,  Feature_List!$A$1:$AM$1,0),0)=G180,".","NO"))</f>
        <v>.</v>
      </c>
      <c r="BP180" s="136" t="str">
        <f>IF($D180&lt;&gt;"Feature",".",
IF(VLOOKUP($B180,Feature_List!$A:$AM,MATCH(BP$1,  Feature_List!$A$1:$AM$1,0),0)=H180,".","NO"))</f>
        <v>.</v>
      </c>
      <c r="BQ180" s="136"/>
      <c r="BR180" s="136" t="str">
        <f>IF($D180&lt;&gt;"Feature",".",
IF(VLOOKUP($B180,Feature_List!$A:$AM,MATCH(BR$1,  Feature_List!$A$1:$AM$1,0),0)=J180,".","NO"))</f>
        <v>.</v>
      </c>
      <c r="BS180" s="136"/>
      <c r="BT180" s="136"/>
      <c r="BU180" s="136" t="str">
        <f>IF($D180&lt;&gt;"Feature",".",
IF(VLOOKUP($B180,Feature_List!$A:$AM,MATCH(BU$1,  Feature_List!$A$1:$AM$1,0),0)=M180,".","NO"))</f>
        <v>.</v>
      </c>
      <c r="BV180" s="136" t="str">
        <f>IF($D180&lt;&gt;"Feature",".",
IF(VLOOKUP($B180,Feature_List!$A:$AM,MATCH(BV$1,  Feature_List!$A$1:$AM$1,0),0)=N180,".","NO"))</f>
        <v>.</v>
      </c>
      <c r="BW180" s="136"/>
      <c r="BX180" s="136"/>
      <c r="BY180" s="136"/>
      <c r="BZ180" s="136"/>
      <c r="CA180" s="136"/>
      <c r="CB180" s="136" t="str">
        <f>IF($D180&lt;&gt;"Feature",".",
IF(VLOOKUP($B180,Feature_List!$A:$AM,MATCH(CB$1,  Feature_List!$A$1:$AM$1,0),0)=T180,".","NO"))</f>
        <v>.</v>
      </c>
      <c r="CC180" s="136"/>
      <c r="CD180" s="136"/>
      <c r="CE180" s="136"/>
      <c r="CF180" s="136"/>
      <c r="CG180" s="136"/>
      <c r="CH180" s="136"/>
      <c r="CI180" s="136"/>
      <c r="CJ180" s="136"/>
      <c r="CK180" s="136"/>
      <c r="CL180" s="136"/>
      <c r="CM180" s="136"/>
      <c r="CN180" s="136"/>
      <c r="CO180" s="136" t="str">
        <f>IF($D180&lt;&gt;"Feature",".",
IF(VLOOKUP($B180,Feature_List!$A:$AM,MATCH(CO$1,  Feature_List!$A$1:$AM$1,0),0)=AG180,".","NO"))</f>
        <v>.</v>
      </c>
      <c r="CP180" s="136" t="str">
        <f>IF($D180&lt;&gt;"Feature",".",
IF(VLOOKUP($B180,Feature_List!$A:$AM,MATCH(CP$1,  Feature_List!$A$1:$AM$1,0),0)=AH180,".","NO"))</f>
        <v>.</v>
      </c>
      <c r="CQ180" s="136" t="str">
        <f>IF($D180&lt;&gt;"Feature",".",
IF(VLOOKUP($B180,Feature_List!$A:$AM,MATCH(CQ$1,  Feature_List!$A$1:$AM$1,0),0)=AI180,".","NO"))</f>
        <v>.</v>
      </c>
      <c r="CR180" s="136" t="str">
        <f>IF($D180&lt;&gt;"Feature",".",
IF(VLOOKUP($B180,Feature_List!$A:$AM,MATCH(CR$1,  Feature_List!$A$1:$AM$1,0),0)=AJ180,".","NO"))</f>
        <v>.</v>
      </c>
      <c r="CS180" s="136" t="str">
        <f>IF($D180&lt;&gt;"Feature",".",
IF(VLOOKUP($B180,Feature_List!$A:$AM,MATCH(CS$1,  Feature_List!$A$1:$AM$1,0),0)=AK180,".","NO"))</f>
        <v>.</v>
      </c>
      <c r="CT180" s="136" t="str">
        <f>IF($D180&lt;&gt;"Feature",".",
IF(VLOOKUP($B180,Feature_List!$A:$AM,MATCH(CT$1,  Feature_List!$A$1:$AM$1,0),0)=AL180,".","NO"))</f>
        <v>.</v>
      </c>
      <c r="CU180" s="136" t="str">
        <f>IF($D180&lt;&gt;"Feature",".",
IF(VLOOKUP($B180,Feature_List!$A:$AM,MATCH(CU$1,  Feature_List!$A$1:$AM$1,0),0)=AM180,".","NO"))</f>
        <v>.</v>
      </c>
      <c r="CV180" s="136" t="str">
        <f>IF($D180&lt;&gt;"Feature",".",
IF(VLOOKUP($B180,Feature_List!$A:$AM,MATCH(CV$1,  Feature_List!$A$1:$AM$1,0),0)=AN180,".","NO"))</f>
        <v>.</v>
      </c>
      <c r="CW180" s="136" t="str">
        <f>IF($D180&lt;&gt;"Feature",".",
IF(VLOOKUP($B180,Feature_List!$A:$AM,MATCH(CW$1,  Feature_List!$A$1:$AM$1,0),0)=AO180,".","NO"))</f>
        <v>.</v>
      </c>
      <c r="CX180" s="136" t="str">
        <f>IF($D180&lt;&gt;"Feature",".",
IF(VLOOKUP($B180,Feature_List!$A:$AM,MATCH(CX$1,  Feature_List!$A$1:$AM$1,0),0)=AP180,".","NO"))</f>
        <v>.</v>
      </c>
      <c r="CY180" s="136" t="str">
        <f>IF($D180&lt;&gt;"Feature",".",
IF(VLOOKUP($B180,Feature_List!$A:$AM,MATCH(CY$1,  Feature_List!$A$1:$AM$1,0),0)=AQ180,".","NO"))</f>
        <v>.</v>
      </c>
      <c r="CZ180" s="136" t="str">
        <f>IF($D180&lt;&gt;"Feature",".",
IF(VLOOKUP($B180,Feature_List!$A:$AM,MATCH(CZ$1,  Feature_List!$A$1:$AM$1,0),0)=AR180,".","NO"))</f>
        <v>.</v>
      </c>
      <c r="DA180" s="136" t="str">
        <f>IF($D180&lt;&gt;"Feature",".",
IF(VLOOKUP($B180,Feature_List!$A:$AM,MATCH(DA$1,  Feature_List!$A$1:$AM$1,0),0)=AS180,".","NO"))</f>
        <v>.</v>
      </c>
      <c r="DB180" s="136" t="str">
        <f>IF($D180&lt;&gt;"Feature",".",
IF(VLOOKUP($B180,Feature_List!$A:$AM,MATCH(DB$1,  Feature_List!$A$1:$AM$1,0),0)=AT180,".","NO"))</f>
        <v>.</v>
      </c>
      <c r="DC180" s="136" t="str">
        <f>IF($D180&lt;&gt;"Feature",".",
IF(VLOOKUP($B180,Feature_List!$A:$AM,MATCH(DC$1,  Feature_List!$A$1:$AM$1,0),0)=AU180,".","NO"))</f>
        <v>.</v>
      </c>
      <c r="DD180" s="136" t="str">
        <f>IF($D180&lt;&gt;"Feature",".",
IF(VLOOKUP($B180,Feature_List!$A:$AM,MATCH(DD$1,  Feature_List!$A$1:$AM$1,0),0)=AV180,".","NO"))</f>
        <v>.</v>
      </c>
      <c r="DE180" s="136" t="str">
        <f>IF($D180&lt;&gt;"Feature",".",
IF(VLOOKUP($B180,Feature_List!$A:$AM,MATCH(DE$1,  Feature_List!$A$1:$AM$1,0),0)=AW180,".","NO"))</f>
        <v>.</v>
      </c>
      <c r="DF180" s="136" t="str">
        <f>IF($D180&lt;&gt;"Feature",".",
IF(VLOOKUP($B180,Feature_List!$A:$AM,MATCH(DF$1,  Feature_List!$A$1:$AM$1,0),0)=AX180,".","NO"))</f>
        <v>.</v>
      </c>
      <c r="DG180" s="136" t="str">
        <f>IF($D180&lt;&gt;"Feature",".",
IF(VLOOKUP($B180,Feature_List!$A:$AM,MATCH(DG$1,  Feature_List!$A$1:$AM$1,0),0)=AY180,".","NO"))</f>
        <v>.</v>
      </c>
      <c r="DH180" s="136" t="str">
        <f>IF($D180&lt;&gt;"Feature",".",
IF(VLOOKUP($B180,Feature_List!$A:$AM,MATCH(DH$1,  Feature_List!$A$1:$AM$1,0),0)=AZ180,".","NO"))</f>
        <v>.</v>
      </c>
      <c r="DI180" s="136" t="str">
        <f>IF($D180&lt;&gt;"Feature",".",
IF(VLOOKUP($B180,Feature_List!$A:$AM,MATCH(DI$1,  Feature_List!$A$1:$AM$1,0),0)=BA180,".","NO"))</f>
        <v>.</v>
      </c>
      <c r="DJ180" s="136" t="str">
        <f>IF($D180&lt;&gt;"Feature",".",
IF(VLOOKUP($B180,Feature_List!$A:$AM,MATCH(DJ$1,  Feature_List!$A$1:$AM$1,0),0)=BB180,".","NO"))</f>
        <v>.</v>
      </c>
      <c r="DK180" s="136"/>
      <c r="DL180" s="136"/>
      <c r="DM180" s="136"/>
      <c r="DN180" s="136" t="str">
        <f>IF($D180&lt;&gt;"Feature",".",
IF(VLOOKUP($B180,Feature_List!$A:$AM,MATCH(DN$1,  Feature_List!$A$1:$AM$1,0),0)=BC180,".","NO"))</f>
        <v>.</v>
      </c>
      <c r="DO180" s="136" t="str">
        <f>IF($D180&lt;&gt;"Feature",".",
IF(VLOOKUP($B180,Feature_List!$A:$AM,MATCH(DO$1,  Feature_List!$A$1:$AM$1,0),0)=BD180,".","NO"))</f>
        <v>.</v>
      </c>
    </row>
    <row r="181" spans="2:119" x14ac:dyDescent="0.3">
      <c r="B181" s="121"/>
      <c r="C181" s="122"/>
      <c r="D181" s="122"/>
      <c r="E181" s="122"/>
      <c r="F181" s="138"/>
      <c r="G181" s="123"/>
      <c r="H181" s="122"/>
      <c r="I181" s="124"/>
      <c r="J181" s="138"/>
      <c r="K181" s="123"/>
      <c r="L181" s="122"/>
      <c r="M181" s="122"/>
      <c r="N181" s="125"/>
      <c r="O181" s="123">
        <f t="shared" si="75"/>
        <v>0</v>
      </c>
      <c r="P181" s="123">
        <f t="shared" si="76"/>
        <v>0</v>
      </c>
      <c r="Q181" s="122" t="str">
        <f t="shared" si="98"/>
        <v>ZeroEntry</v>
      </c>
      <c r="R181" s="126" t="str">
        <f t="shared" si="77"/>
        <v>ZeroEntry</v>
      </c>
      <c r="S181" s="127" t="str">
        <f t="shared" si="78"/>
        <v>ZeroEntry</v>
      </c>
      <c r="T181" s="128" t="str">
        <f>IF($Q181="ZeroEntry", "",VLOOKUP($I181,'Ranking Lookup'!#REF!,2,FALSE))</f>
        <v/>
      </c>
      <c r="U181" s="129" t="str">
        <f t="shared" si="79"/>
        <v/>
      </c>
      <c r="V181" s="129" t="str">
        <f t="shared" si="80"/>
        <v/>
      </c>
      <c r="W181" s="129" t="str">
        <f t="shared" si="81"/>
        <v/>
      </c>
      <c r="X181" s="129" t="str">
        <f t="shared" si="82"/>
        <v/>
      </c>
      <c r="Y181" s="129" t="str">
        <f t="shared" si="83"/>
        <v/>
      </c>
      <c r="Z181" s="129" t="str">
        <f t="shared" si="84"/>
        <v/>
      </c>
      <c r="AA181" s="130"/>
      <c r="AB181" s="130" t="str">
        <f t="shared" si="85"/>
        <v>Unassigned</v>
      </c>
      <c r="AC181" s="131" t="str">
        <f t="shared" si="99"/>
        <v/>
      </c>
      <c r="AD181" s="131" t="str">
        <f t="shared" si="100"/>
        <v/>
      </c>
      <c r="AE181" s="132">
        <f t="shared" si="86"/>
        <v>0</v>
      </c>
      <c r="AF181" s="133" t="str">
        <f t="shared" si="101"/>
        <v/>
      </c>
      <c r="AG181" s="134">
        <f t="shared" si="87"/>
        <v>0</v>
      </c>
      <c r="AH181" s="54" t="str">
        <f t="shared" si="88"/>
        <v/>
      </c>
      <c r="AI181" s="54" t="str">
        <f t="shared" si="109"/>
        <v/>
      </c>
      <c r="AJ181" s="54" t="str">
        <f t="shared" si="109"/>
        <v/>
      </c>
      <c r="AK181" s="54" t="str">
        <f t="shared" si="109"/>
        <v/>
      </c>
      <c r="AL181" s="54" t="str">
        <f t="shared" si="109"/>
        <v/>
      </c>
      <c r="AM181" s="54" t="str">
        <f t="shared" si="109"/>
        <v/>
      </c>
      <c r="AN181" s="54" t="str">
        <f t="shared" si="109"/>
        <v/>
      </c>
      <c r="AO181" s="54" t="str">
        <f t="shared" si="109"/>
        <v/>
      </c>
      <c r="AP181" s="54" t="str">
        <f t="shared" si="109"/>
        <v/>
      </c>
      <c r="AQ181" s="54" t="str">
        <f t="shared" si="109"/>
        <v/>
      </c>
      <c r="AR181" s="54" t="str">
        <f t="shared" si="109"/>
        <v/>
      </c>
      <c r="AS181" s="54" t="str">
        <f t="shared" si="109"/>
        <v/>
      </c>
      <c r="AT181" s="54" t="str">
        <f t="shared" si="109"/>
        <v/>
      </c>
      <c r="AU181" s="54" t="str">
        <f t="shared" si="109"/>
        <v/>
      </c>
      <c r="AV181" s="54" t="str">
        <f t="shared" si="109"/>
        <v/>
      </c>
      <c r="AW181" s="54" t="str">
        <f t="shared" si="109"/>
        <v/>
      </c>
      <c r="AX181" s="54" t="str">
        <f t="shared" si="109"/>
        <v/>
      </c>
      <c r="AY181" s="54" t="str">
        <f t="shared" si="90"/>
        <v/>
      </c>
      <c r="AZ181" s="54" t="str">
        <f t="shared" si="91"/>
        <v/>
      </c>
      <c r="BA181" s="54" t="str">
        <f t="shared" si="92"/>
        <v/>
      </c>
      <c r="BB181" s="135" t="str">
        <f t="shared" si="93"/>
        <v/>
      </c>
      <c r="BC181" s="54" t="str">
        <f t="shared" si="107"/>
        <v/>
      </c>
      <c r="BD181" s="54" t="str">
        <f t="shared" si="107"/>
        <v/>
      </c>
      <c r="BE181" s="54" t="str">
        <f t="shared" si="107"/>
        <v/>
      </c>
      <c r="BF181" s="54" t="str">
        <f t="shared" si="94"/>
        <v/>
      </c>
      <c r="BG181" s="54" t="str">
        <f t="shared" si="95"/>
        <v/>
      </c>
      <c r="BH181" s="34" t="str">
        <f t="shared" si="96"/>
        <v>Bad</v>
      </c>
      <c r="BI181" s="34" t="str">
        <f t="shared" si="97"/>
        <v>No</v>
      </c>
      <c r="BJ181" s="136" t="str">
        <f>IF($D181&lt;&gt;"Feature",".",
IF(VLOOKUP($B181,Feature_List!$A:$AM,MATCH(BJ$1,  Feature_List!$A$1:$AM$1,0),0)=B181,".","NO"))</f>
        <v>.</v>
      </c>
      <c r="BK181" s="136"/>
      <c r="BL181" s="136"/>
      <c r="BM181" s="136" t="str">
        <f>IF($D181&lt;&gt;"Feature",".",
IF(VLOOKUP($B181,Feature_List!$A:$AM,MATCH(BM$1,  Feature_List!$A$1:$AM$1,0),0)=E181,".","NO"))</f>
        <v>.</v>
      </c>
      <c r="BN181" s="136" t="str">
        <f>IF($D181&lt;&gt;"Feature",".",
IF(VLOOKUP($B181,Feature_List!$A:$AM,MATCH(BN$1,  Feature_List!$A$1:$AM$1,0),0)=F181,".","NO"))</f>
        <v>.</v>
      </c>
      <c r="BO181" s="136" t="str">
        <f>IF($D181&lt;&gt;"Feature",".",
IF(VLOOKUP($B181,Feature_List!$A:$AM,MATCH(BO$1,  Feature_List!$A$1:$AM$1,0),0)=G181,".","NO"))</f>
        <v>.</v>
      </c>
      <c r="BP181" s="136" t="str">
        <f>IF($D181&lt;&gt;"Feature",".",
IF(VLOOKUP($B181,Feature_List!$A:$AM,MATCH(BP$1,  Feature_List!$A$1:$AM$1,0),0)=H181,".","NO"))</f>
        <v>.</v>
      </c>
      <c r="BQ181" s="136"/>
      <c r="BR181" s="136" t="str">
        <f>IF($D181&lt;&gt;"Feature",".",
IF(VLOOKUP($B181,Feature_List!$A:$AM,MATCH(BR$1,  Feature_List!$A$1:$AM$1,0),0)=J181,".","NO"))</f>
        <v>.</v>
      </c>
      <c r="BS181" s="136"/>
      <c r="BT181" s="136"/>
      <c r="BU181" s="136" t="str">
        <f>IF($D181&lt;&gt;"Feature",".",
IF(VLOOKUP($B181,Feature_List!$A:$AM,MATCH(BU$1,  Feature_List!$A$1:$AM$1,0),0)=M181,".","NO"))</f>
        <v>.</v>
      </c>
      <c r="BV181" s="136" t="str">
        <f>IF($D181&lt;&gt;"Feature",".",
IF(VLOOKUP($B181,Feature_List!$A:$AM,MATCH(BV$1,  Feature_List!$A$1:$AM$1,0),0)=N181,".","NO"))</f>
        <v>.</v>
      </c>
      <c r="BW181" s="136"/>
      <c r="BX181" s="136"/>
      <c r="BY181" s="136"/>
      <c r="BZ181" s="136"/>
      <c r="CA181" s="136"/>
      <c r="CB181" s="136" t="str">
        <f>IF($D181&lt;&gt;"Feature",".",
IF(VLOOKUP($B181,Feature_List!$A:$AM,MATCH(CB$1,  Feature_List!$A$1:$AM$1,0),0)=T181,".","NO"))</f>
        <v>.</v>
      </c>
      <c r="CC181" s="136"/>
      <c r="CD181" s="136"/>
      <c r="CE181" s="136"/>
      <c r="CF181" s="136"/>
      <c r="CG181" s="136"/>
      <c r="CH181" s="136"/>
      <c r="CI181" s="136"/>
      <c r="CJ181" s="136"/>
      <c r="CK181" s="136"/>
      <c r="CL181" s="136"/>
      <c r="CM181" s="136"/>
      <c r="CN181" s="136"/>
      <c r="CO181" s="136" t="str">
        <f>IF($D181&lt;&gt;"Feature",".",
IF(VLOOKUP($B181,Feature_List!$A:$AM,MATCH(CO$1,  Feature_List!$A$1:$AM$1,0),0)=AG181,".","NO"))</f>
        <v>.</v>
      </c>
      <c r="CP181" s="136" t="str">
        <f>IF($D181&lt;&gt;"Feature",".",
IF(VLOOKUP($B181,Feature_List!$A:$AM,MATCH(CP$1,  Feature_List!$A$1:$AM$1,0),0)=AH181,".","NO"))</f>
        <v>.</v>
      </c>
      <c r="CQ181" s="136" t="str">
        <f>IF($D181&lt;&gt;"Feature",".",
IF(VLOOKUP($B181,Feature_List!$A:$AM,MATCH(CQ$1,  Feature_List!$A$1:$AM$1,0),0)=AI181,".","NO"))</f>
        <v>.</v>
      </c>
      <c r="CR181" s="136" t="str">
        <f>IF($D181&lt;&gt;"Feature",".",
IF(VLOOKUP($B181,Feature_List!$A:$AM,MATCH(CR$1,  Feature_List!$A$1:$AM$1,0),0)=AJ181,".","NO"))</f>
        <v>.</v>
      </c>
      <c r="CS181" s="136" t="str">
        <f>IF($D181&lt;&gt;"Feature",".",
IF(VLOOKUP($B181,Feature_List!$A:$AM,MATCH(CS$1,  Feature_List!$A$1:$AM$1,0),0)=AK181,".","NO"))</f>
        <v>.</v>
      </c>
      <c r="CT181" s="136" t="str">
        <f>IF($D181&lt;&gt;"Feature",".",
IF(VLOOKUP($B181,Feature_List!$A:$AM,MATCH(CT$1,  Feature_List!$A$1:$AM$1,0),0)=AL181,".","NO"))</f>
        <v>.</v>
      </c>
      <c r="CU181" s="136" t="str">
        <f>IF($D181&lt;&gt;"Feature",".",
IF(VLOOKUP($B181,Feature_List!$A:$AM,MATCH(CU$1,  Feature_List!$A$1:$AM$1,0),0)=AM181,".","NO"))</f>
        <v>.</v>
      </c>
      <c r="CV181" s="136" t="str">
        <f>IF($D181&lt;&gt;"Feature",".",
IF(VLOOKUP($B181,Feature_List!$A:$AM,MATCH(CV$1,  Feature_List!$A$1:$AM$1,0),0)=AN181,".","NO"))</f>
        <v>.</v>
      </c>
      <c r="CW181" s="136" t="str">
        <f>IF($D181&lt;&gt;"Feature",".",
IF(VLOOKUP($B181,Feature_List!$A:$AM,MATCH(CW$1,  Feature_List!$A$1:$AM$1,0),0)=AO181,".","NO"))</f>
        <v>.</v>
      </c>
      <c r="CX181" s="136" t="str">
        <f>IF($D181&lt;&gt;"Feature",".",
IF(VLOOKUP($B181,Feature_List!$A:$AM,MATCH(CX$1,  Feature_List!$A$1:$AM$1,0),0)=AP181,".","NO"))</f>
        <v>.</v>
      </c>
      <c r="CY181" s="136" t="str">
        <f>IF($D181&lt;&gt;"Feature",".",
IF(VLOOKUP($B181,Feature_List!$A:$AM,MATCH(CY$1,  Feature_List!$A$1:$AM$1,0),0)=AQ181,".","NO"))</f>
        <v>.</v>
      </c>
      <c r="CZ181" s="136" t="str">
        <f>IF($D181&lt;&gt;"Feature",".",
IF(VLOOKUP($B181,Feature_List!$A:$AM,MATCH(CZ$1,  Feature_List!$A$1:$AM$1,0),0)=AR181,".","NO"))</f>
        <v>.</v>
      </c>
      <c r="DA181" s="136" t="str">
        <f>IF($D181&lt;&gt;"Feature",".",
IF(VLOOKUP($B181,Feature_List!$A:$AM,MATCH(DA$1,  Feature_List!$A$1:$AM$1,0),0)=AS181,".","NO"))</f>
        <v>.</v>
      </c>
      <c r="DB181" s="136" t="str">
        <f>IF($D181&lt;&gt;"Feature",".",
IF(VLOOKUP($B181,Feature_List!$A:$AM,MATCH(DB$1,  Feature_List!$A$1:$AM$1,0),0)=AT181,".","NO"))</f>
        <v>.</v>
      </c>
      <c r="DC181" s="136" t="str">
        <f>IF($D181&lt;&gt;"Feature",".",
IF(VLOOKUP($B181,Feature_List!$A:$AM,MATCH(DC$1,  Feature_List!$A$1:$AM$1,0),0)=AU181,".","NO"))</f>
        <v>.</v>
      </c>
      <c r="DD181" s="136" t="str">
        <f>IF($D181&lt;&gt;"Feature",".",
IF(VLOOKUP($B181,Feature_List!$A:$AM,MATCH(DD$1,  Feature_List!$A$1:$AM$1,0),0)=AV181,".","NO"))</f>
        <v>.</v>
      </c>
      <c r="DE181" s="136" t="str">
        <f>IF($D181&lt;&gt;"Feature",".",
IF(VLOOKUP($B181,Feature_List!$A:$AM,MATCH(DE$1,  Feature_List!$A$1:$AM$1,0),0)=AW181,".","NO"))</f>
        <v>.</v>
      </c>
      <c r="DF181" s="136" t="str">
        <f>IF($D181&lt;&gt;"Feature",".",
IF(VLOOKUP($B181,Feature_List!$A:$AM,MATCH(DF$1,  Feature_List!$A$1:$AM$1,0),0)=AX181,".","NO"))</f>
        <v>.</v>
      </c>
      <c r="DG181" s="136" t="str">
        <f>IF($D181&lt;&gt;"Feature",".",
IF(VLOOKUP($B181,Feature_List!$A:$AM,MATCH(DG$1,  Feature_List!$A$1:$AM$1,0),0)=AY181,".","NO"))</f>
        <v>.</v>
      </c>
      <c r="DH181" s="136" t="str">
        <f>IF($D181&lt;&gt;"Feature",".",
IF(VLOOKUP($B181,Feature_List!$A:$AM,MATCH(DH$1,  Feature_List!$A$1:$AM$1,0),0)=AZ181,".","NO"))</f>
        <v>.</v>
      </c>
      <c r="DI181" s="136" t="str">
        <f>IF($D181&lt;&gt;"Feature",".",
IF(VLOOKUP($B181,Feature_List!$A:$AM,MATCH(DI$1,  Feature_List!$A$1:$AM$1,0),0)=BA181,".","NO"))</f>
        <v>.</v>
      </c>
      <c r="DJ181" s="136" t="str">
        <f>IF($D181&lt;&gt;"Feature",".",
IF(VLOOKUP($B181,Feature_List!$A:$AM,MATCH(DJ$1,  Feature_List!$A$1:$AM$1,0),0)=BB181,".","NO"))</f>
        <v>.</v>
      </c>
      <c r="DK181" s="136"/>
      <c r="DL181" s="136"/>
      <c r="DM181" s="136"/>
      <c r="DN181" s="136" t="str">
        <f>IF($D181&lt;&gt;"Feature",".",
IF(VLOOKUP($B181,Feature_List!$A:$AM,MATCH(DN$1,  Feature_List!$A$1:$AM$1,0),0)=BC181,".","NO"))</f>
        <v>.</v>
      </c>
      <c r="DO181" s="136" t="str">
        <f>IF($D181&lt;&gt;"Feature",".",
IF(VLOOKUP($B181,Feature_List!$A:$AM,MATCH(DO$1,  Feature_List!$A$1:$AM$1,0),0)=BD181,".","NO"))</f>
        <v>.</v>
      </c>
    </row>
    <row r="182" spans="2:119" x14ac:dyDescent="0.3">
      <c r="B182" s="121"/>
      <c r="C182" s="123"/>
      <c r="D182" s="122"/>
      <c r="E182" s="122"/>
      <c r="F182" s="138"/>
      <c r="G182" s="123"/>
      <c r="H182" s="122"/>
      <c r="I182" s="124"/>
      <c r="J182" s="138"/>
      <c r="K182" s="123"/>
      <c r="L182" s="122"/>
      <c r="M182" s="122"/>
      <c r="N182" s="125"/>
      <c r="O182" s="123">
        <f t="shared" si="75"/>
        <v>0</v>
      </c>
      <c r="P182" s="123">
        <f t="shared" si="76"/>
        <v>0</v>
      </c>
      <c r="Q182" s="122" t="str">
        <f t="shared" si="98"/>
        <v>ZeroEntry</v>
      </c>
      <c r="R182" s="126" t="str">
        <f t="shared" si="77"/>
        <v>ZeroEntry</v>
      </c>
      <c r="S182" s="127" t="str">
        <f t="shared" si="78"/>
        <v>ZeroEntry</v>
      </c>
      <c r="T182" s="128" t="str">
        <f>IF($Q182="ZeroEntry", "",VLOOKUP($I182,'Ranking Lookup'!#REF!,2,FALSE))</f>
        <v/>
      </c>
      <c r="U182" s="129" t="str">
        <f t="shared" si="79"/>
        <v/>
      </c>
      <c r="V182" s="129" t="str">
        <f t="shared" si="80"/>
        <v/>
      </c>
      <c r="W182" s="129" t="str">
        <f t="shared" si="81"/>
        <v/>
      </c>
      <c r="X182" s="129" t="str">
        <f t="shared" si="82"/>
        <v/>
      </c>
      <c r="Y182" s="129" t="str">
        <f t="shared" si="83"/>
        <v/>
      </c>
      <c r="Z182" s="129" t="str">
        <f t="shared" si="84"/>
        <v/>
      </c>
      <c r="AA182" s="130"/>
      <c r="AB182" s="130" t="str">
        <f t="shared" si="85"/>
        <v>Unassigned</v>
      </c>
      <c r="AC182" s="131" t="str">
        <f t="shared" si="99"/>
        <v/>
      </c>
      <c r="AD182" s="131" t="str">
        <f t="shared" si="100"/>
        <v/>
      </c>
      <c r="AE182" s="132">
        <f t="shared" si="86"/>
        <v>0</v>
      </c>
      <c r="AF182" s="133" t="str">
        <f t="shared" si="101"/>
        <v/>
      </c>
      <c r="AG182" s="134">
        <f t="shared" si="87"/>
        <v>0</v>
      </c>
      <c r="AH182" s="54" t="str">
        <f t="shared" si="88"/>
        <v/>
      </c>
      <c r="AI182" s="54" t="str">
        <f t="shared" si="109"/>
        <v/>
      </c>
      <c r="AJ182" s="54" t="str">
        <f t="shared" si="109"/>
        <v/>
      </c>
      <c r="AK182" s="54" t="str">
        <f t="shared" si="109"/>
        <v/>
      </c>
      <c r="AL182" s="54" t="str">
        <f t="shared" si="109"/>
        <v/>
      </c>
      <c r="AM182" s="54" t="str">
        <f t="shared" si="109"/>
        <v/>
      </c>
      <c r="AN182" s="54" t="str">
        <f t="shared" si="109"/>
        <v/>
      </c>
      <c r="AO182" s="54" t="str">
        <f t="shared" si="109"/>
        <v/>
      </c>
      <c r="AP182" s="54" t="str">
        <f t="shared" si="109"/>
        <v/>
      </c>
      <c r="AQ182" s="54" t="str">
        <f t="shared" si="109"/>
        <v/>
      </c>
      <c r="AR182" s="54" t="str">
        <f t="shared" si="109"/>
        <v/>
      </c>
      <c r="AS182" s="54" t="str">
        <f t="shared" si="109"/>
        <v/>
      </c>
      <c r="AT182" s="54" t="str">
        <f t="shared" si="109"/>
        <v/>
      </c>
      <c r="AU182" s="54" t="str">
        <f t="shared" si="109"/>
        <v/>
      </c>
      <c r="AV182" s="54" t="str">
        <f t="shared" si="109"/>
        <v/>
      </c>
      <c r="AW182" s="54" t="str">
        <f t="shared" si="109"/>
        <v/>
      </c>
      <c r="AX182" s="54" t="str">
        <f t="shared" si="109"/>
        <v/>
      </c>
      <c r="AY182" s="54" t="str">
        <f t="shared" si="90"/>
        <v/>
      </c>
      <c r="AZ182" s="54" t="str">
        <f t="shared" si="91"/>
        <v/>
      </c>
      <c r="BA182" s="54" t="str">
        <f t="shared" si="92"/>
        <v/>
      </c>
      <c r="BB182" s="135" t="str">
        <f t="shared" si="93"/>
        <v/>
      </c>
      <c r="BC182" s="54" t="str">
        <f t="shared" ref="BC182:BE201" si="110">IF(AND($Q182="Feature",LEFT($AB182,2)="PI"),
IF(AND(COUNTIF($R:$R,$B182)=1,$T182=BC$1), IF($AB182=$A$10,$AF182,0),
IF(OR($AD182&lt;1,RIGHT($G182,8)="Progress"),SUMIFS($O:$O,$R:$R,$B182,$T:$T,BC$1,$P:$P,"&lt;&gt;Done",$AB:$AB,$A$10),
IF($T182=BC$1, IF($AB182=$A$10,$AD182,0)+SUMIFS($O:$O,$R:$R,$B182,$T:$T,BC$1,$P:$P,"&lt;&gt;Done",$AB:$AB,$A$10),SUMIFS($O:$O,$R:$R,$B182,$T:$T,BC$1,$P:$P,"&lt;&gt;Done",$AB:$AB,$A$10)))),
IF(AND(OR($Q182="Story",$Q182="Problem",$Q182="Enhancement"),$AB182=$A$10,$R182=0,$T182=BC$1,$P182&lt;&gt;"Done"),$O182,""))</f>
        <v/>
      </c>
      <c r="BD182" s="54" t="str">
        <f t="shared" si="110"/>
        <v/>
      </c>
      <c r="BE182" s="54" t="str">
        <f t="shared" si="110"/>
        <v/>
      </c>
      <c r="BF182" s="54" t="str">
        <f t="shared" si="94"/>
        <v/>
      </c>
      <c r="BG182" s="54" t="str">
        <f t="shared" si="95"/>
        <v/>
      </c>
      <c r="BH182" s="34" t="str">
        <f t="shared" si="96"/>
        <v>Bad</v>
      </c>
      <c r="BI182" s="34" t="str">
        <f t="shared" si="97"/>
        <v>No</v>
      </c>
      <c r="BJ182" s="136" t="str">
        <f>IF($D182&lt;&gt;"Feature",".",
IF(VLOOKUP($B182,Feature_List!$A:$AM,MATCH(BJ$1,  Feature_List!$A$1:$AM$1,0),0)=B182,".","NO"))</f>
        <v>.</v>
      </c>
      <c r="BK182" s="136"/>
      <c r="BL182" s="136"/>
      <c r="BM182" s="136" t="str">
        <f>IF($D182&lt;&gt;"Feature",".",
IF(VLOOKUP($B182,Feature_List!$A:$AM,MATCH(BM$1,  Feature_List!$A$1:$AM$1,0),0)=E182,".","NO"))</f>
        <v>.</v>
      </c>
      <c r="BN182" s="136" t="str">
        <f>IF($D182&lt;&gt;"Feature",".",
IF(VLOOKUP($B182,Feature_List!$A:$AM,MATCH(BN$1,  Feature_List!$A$1:$AM$1,0),0)=F182,".","NO"))</f>
        <v>.</v>
      </c>
      <c r="BO182" s="136" t="str">
        <f>IF($D182&lt;&gt;"Feature",".",
IF(VLOOKUP($B182,Feature_List!$A:$AM,MATCH(BO$1,  Feature_List!$A$1:$AM$1,0),0)=G182,".","NO"))</f>
        <v>.</v>
      </c>
      <c r="BP182" s="136" t="str">
        <f>IF($D182&lt;&gt;"Feature",".",
IF(VLOOKUP($B182,Feature_List!$A:$AM,MATCH(BP$1,  Feature_List!$A$1:$AM$1,0),0)=H182,".","NO"))</f>
        <v>.</v>
      </c>
      <c r="BQ182" s="136"/>
      <c r="BR182" s="136" t="str">
        <f>IF($D182&lt;&gt;"Feature",".",
IF(VLOOKUP($B182,Feature_List!$A:$AM,MATCH(BR$1,  Feature_List!$A$1:$AM$1,0),0)=J182,".","NO"))</f>
        <v>.</v>
      </c>
      <c r="BS182" s="136"/>
      <c r="BT182" s="136"/>
      <c r="BU182" s="136" t="str">
        <f>IF($D182&lt;&gt;"Feature",".",
IF(VLOOKUP($B182,Feature_List!$A:$AM,MATCH(BU$1,  Feature_List!$A$1:$AM$1,0),0)=M182,".","NO"))</f>
        <v>.</v>
      </c>
      <c r="BV182" s="136" t="str">
        <f>IF($D182&lt;&gt;"Feature",".",
IF(VLOOKUP($B182,Feature_List!$A:$AM,MATCH(BV$1,  Feature_List!$A$1:$AM$1,0),0)=N182,".","NO"))</f>
        <v>.</v>
      </c>
      <c r="BW182" s="136"/>
      <c r="BX182" s="136"/>
      <c r="BY182" s="136"/>
      <c r="BZ182" s="136"/>
      <c r="CA182" s="136"/>
      <c r="CB182" s="136" t="str">
        <f>IF($D182&lt;&gt;"Feature",".",
IF(VLOOKUP($B182,Feature_List!$A:$AM,MATCH(CB$1,  Feature_List!$A$1:$AM$1,0),0)=T182,".","NO"))</f>
        <v>.</v>
      </c>
      <c r="CC182" s="136"/>
      <c r="CD182" s="136"/>
      <c r="CE182" s="136"/>
      <c r="CF182" s="136"/>
      <c r="CG182" s="136"/>
      <c r="CH182" s="136"/>
      <c r="CI182" s="136"/>
      <c r="CJ182" s="136"/>
      <c r="CK182" s="136"/>
      <c r="CL182" s="136"/>
      <c r="CM182" s="136"/>
      <c r="CN182" s="136"/>
      <c r="CO182" s="136" t="str">
        <f>IF($D182&lt;&gt;"Feature",".",
IF(VLOOKUP($B182,Feature_List!$A:$AM,MATCH(CO$1,  Feature_List!$A$1:$AM$1,0),0)=AG182,".","NO"))</f>
        <v>.</v>
      </c>
      <c r="CP182" s="136" t="str">
        <f>IF($D182&lt;&gt;"Feature",".",
IF(VLOOKUP($B182,Feature_List!$A:$AM,MATCH(CP$1,  Feature_List!$A$1:$AM$1,0),0)=AH182,".","NO"))</f>
        <v>.</v>
      </c>
      <c r="CQ182" s="136" t="str">
        <f>IF($D182&lt;&gt;"Feature",".",
IF(VLOOKUP($B182,Feature_List!$A:$AM,MATCH(CQ$1,  Feature_List!$A$1:$AM$1,0),0)=AI182,".","NO"))</f>
        <v>.</v>
      </c>
      <c r="CR182" s="136" t="str">
        <f>IF($D182&lt;&gt;"Feature",".",
IF(VLOOKUP($B182,Feature_List!$A:$AM,MATCH(CR$1,  Feature_List!$A$1:$AM$1,0),0)=AJ182,".","NO"))</f>
        <v>.</v>
      </c>
      <c r="CS182" s="136" t="str">
        <f>IF($D182&lt;&gt;"Feature",".",
IF(VLOOKUP($B182,Feature_List!$A:$AM,MATCH(CS$1,  Feature_List!$A$1:$AM$1,0),0)=AK182,".","NO"))</f>
        <v>.</v>
      </c>
      <c r="CT182" s="136" t="str">
        <f>IF($D182&lt;&gt;"Feature",".",
IF(VLOOKUP($B182,Feature_List!$A:$AM,MATCH(CT$1,  Feature_List!$A$1:$AM$1,0),0)=AL182,".","NO"))</f>
        <v>.</v>
      </c>
      <c r="CU182" s="136" t="str">
        <f>IF($D182&lt;&gt;"Feature",".",
IF(VLOOKUP($B182,Feature_List!$A:$AM,MATCH(CU$1,  Feature_List!$A$1:$AM$1,0),0)=AM182,".","NO"))</f>
        <v>.</v>
      </c>
      <c r="CV182" s="136" t="str">
        <f>IF($D182&lt;&gt;"Feature",".",
IF(VLOOKUP($B182,Feature_List!$A:$AM,MATCH(CV$1,  Feature_List!$A$1:$AM$1,0),0)=AN182,".","NO"))</f>
        <v>.</v>
      </c>
      <c r="CW182" s="136" t="str">
        <f>IF($D182&lt;&gt;"Feature",".",
IF(VLOOKUP($B182,Feature_List!$A:$AM,MATCH(CW$1,  Feature_List!$A$1:$AM$1,0),0)=AO182,".","NO"))</f>
        <v>.</v>
      </c>
      <c r="CX182" s="136" t="str">
        <f>IF($D182&lt;&gt;"Feature",".",
IF(VLOOKUP($B182,Feature_List!$A:$AM,MATCH(CX$1,  Feature_List!$A$1:$AM$1,0),0)=AP182,".","NO"))</f>
        <v>.</v>
      </c>
      <c r="CY182" s="136" t="str">
        <f>IF($D182&lt;&gt;"Feature",".",
IF(VLOOKUP($B182,Feature_List!$A:$AM,MATCH(CY$1,  Feature_List!$A$1:$AM$1,0),0)=AQ182,".","NO"))</f>
        <v>.</v>
      </c>
      <c r="CZ182" s="136" t="str">
        <f>IF($D182&lt;&gt;"Feature",".",
IF(VLOOKUP($B182,Feature_List!$A:$AM,MATCH(CZ$1,  Feature_List!$A$1:$AM$1,0),0)=AR182,".","NO"))</f>
        <v>.</v>
      </c>
      <c r="DA182" s="136" t="str">
        <f>IF($D182&lt;&gt;"Feature",".",
IF(VLOOKUP($B182,Feature_List!$A:$AM,MATCH(DA$1,  Feature_List!$A$1:$AM$1,0),0)=AS182,".","NO"))</f>
        <v>.</v>
      </c>
      <c r="DB182" s="136" t="str">
        <f>IF($D182&lt;&gt;"Feature",".",
IF(VLOOKUP($B182,Feature_List!$A:$AM,MATCH(DB$1,  Feature_List!$A$1:$AM$1,0),0)=AT182,".","NO"))</f>
        <v>.</v>
      </c>
      <c r="DC182" s="136" t="str">
        <f>IF($D182&lt;&gt;"Feature",".",
IF(VLOOKUP($B182,Feature_List!$A:$AM,MATCH(DC$1,  Feature_List!$A$1:$AM$1,0),0)=AU182,".","NO"))</f>
        <v>.</v>
      </c>
      <c r="DD182" s="136" t="str">
        <f>IF($D182&lt;&gt;"Feature",".",
IF(VLOOKUP($B182,Feature_List!$A:$AM,MATCH(DD$1,  Feature_List!$A$1:$AM$1,0),0)=AV182,".","NO"))</f>
        <v>.</v>
      </c>
      <c r="DE182" s="136" t="str">
        <f>IF($D182&lt;&gt;"Feature",".",
IF(VLOOKUP($B182,Feature_List!$A:$AM,MATCH(DE$1,  Feature_List!$A$1:$AM$1,0),0)=AW182,".","NO"))</f>
        <v>.</v>
      </c>
      <c r="DF182" s="136" t="str">
        <f>IF($D182&lt;&gt;"Feature",".",
IF(VLOOKUP($B182,Feature_List!$A:$AM,MATCH(DF$1,  Feature_List!$A$1:$AM$1,0),0)=AX182,".","NO"))</f>
        <v>.</v>
      </c>
      <c r="DG182" s="136" t="str">
        <f>IF($D182&lt;&gt;"Feature",".",
IF(VLOOKUP($B182,Feature_List!$A:$AM,MATCH(DG$1,  Feature_List!$A$1:$AM$1,0),0)=AY182,".","NO"))</f>
        <v>.</v>
      </c>
      <c r="DH182" s="136" t="str">
        <f>IF($D182&lt;&gt;"Feature",".",
IF(VLOOKUP($B182,Feature_List!$A:$AM,MATCH(DH$1,  Feature_List!$A$1:$AM$1,0),0)=AZ182,".","NO"))</f>
        <v>.</v>
      </c>
      <c r="DI182" s="136" t="str">
        <f>IF($D182&lt;&gt;"Feature",".",
IF(VLOOKUP($B182,Feature_List!$A:$AM,MATCH(DI$1,  Feature_List!$A$1:$AM$1,0),0)=BA182,".","NO"))</f>
        <v>.</v>
      </c>
      <c r="DJ182" s="136" t="str">
        <f>IF($D182&lt;&gt;"Feature",".",
IF(VLOOKUP($B182,Feature_List!$A:$AM,MATCH(DJ$1,  Feature_List!$A$1:$AM$1,0),0)=BB182,".","NO"))</f>
        <v>.</v>
      </c>
      <c r="DK182" s="136"/>
      <c r="DL182" s="136"/>
      <c r="DM182" s="136"/>
      <c r="DN182" s="136" t="str">
        <f>IF($D182&lt;&gt;"Feature",".",
IF(VLOOKUP($B182,Feature_List!$A:$AM,MATCH(DN$1,  Feature_List!$A$1:$AM$1,0),0)=BC182,".","NO"))</f>
        <v>.</v>
      </c>
      <c r="DO182" s="136" t="str">
        <f>IF($D182&lt;&gt;"Feature",".",
IF(VLOOKUP($B182,Feature_List!$A:$AM,MATCH(DO$1,  Feature_List!$A$1:$AM$1,0),0)=BD182,".","NO"))</f>
        <v>.</v>
      </c>
    </row>
    <row r="183" spans="2:119" x14ac:dyDescent="0.3">
      <c r="B183" s="121"/>
      <c r="C183" s="122"/>
      <c r="D183" s="122"/>
      <c r="E183" s="122"/>
      <c r="F183" s="138"/>
      <c r="G183" s="123"/>
      <c r="H183" s="122"/>
      <c r="I183" s="124"/>
      <c r="J183" s="138"/>
      <c r="K183" s="123"/>
      <c r="L183" s="122"/>
      <c r="M183" s="122"/>
      <c r="N183" s="125"/>
      <c r="O183" s="123">
        <f t="shared" si="75"/>
        <v>0</v>
      </c>
      <c r="P183" s="123">
        <f t="shared" si="76"/>
        <v>0</v>
      </c>
      <c r="Q183" s="122" t="str">
        <f t="shared" si="98"/>
        <v>ZeroEntry</v>
      </c>
      <c r="R183" s="126" t="str">
        <f t="shared" si="77"/>
        <v>ZeroEntry</v>
      </c>
      <c r="S183" s="127" t="str">
        <f t="shared" si="78"/>
        <v>ZeroEntry</v>
      </c>
      <c r="T183" s="128" t="str">
        <f>IF($Q183="ZeroEntry", "",VLOOKUP($I183,'Ranking Lookup'!#REF!,2,FALSE))</f>
        <v/>
      </c>
      <c r="U183" s="129" t="str">
        <f t="shared" si="79"/>
        <v/>
      </c>
      <c r="V183" s="129" t="str">
        <f t="shared" si="80"/>
        <v/>
      </c>
      <c r="W183" s="129" t="str">
        <f t="shared" si="81"/>
        <v/>
      </c>
      <c r="X183" s="129" t="str">
        <f t="shared" si="82"/>
        <v/>
      </c>
      <c r="Y183" s="129" t="str">
        <f t="shared" si="83"/>
        <v/>
      </c>
      <c r="Z183" s="129" t="str">
        <f t="shared" si="84"/>
        <v/>
      </c>
      <c r="AA183" s="130"/>
      <c r="AB183" s="130" t="str">
        <f t="shared" si="85"/>
        <v>Unassigned</v>
      </c>
      <c r="AC183" s="131" t="str">
        <f t="shared" si="99"/>
        <v/>
      </c>
      <c r="AD183" s="131" t="str">
        <f t="shared" si="100"/>
        <v/>
      </c>
      <c r="AE183" s="132">
        <f t="shared" si="86"/>
        <v>0</v>
      </c>
      <c r="AF183" s="133" t="str">
        <f t="shared" si="101"/>
        <v/>
      </c>
      <c r="AG183" s="134">
        <f t="shared" si="87"/>
        <v>0</v>
      </c>
      <c r="AH183" s="54" t="str">
        <f t="shared" si="88"/>
        <v/>
      </c>
      <c r="AI183" s="54" t="str">
        <f t="shared" si="109"/>
        <v/>
      </c>
      <c r="AJ183" s="54" t="str">
        <f t="shared" si="109"/>
        <v/>
      </c>
      <c r="AK183" s="54" t="str">
        <f t="shared" si="109"/>
        <v/>
      </c>
      <c r="AL183" s="54" t="str">
        <f t="shared" si="109"/>
        <v/>
      </c>
      <c r="AM183" s="54" t="str">
        <f t="shared" si="109"/>
        <v/>
      </c>
      <c r="AN183" s="54" t="str">
        <f t="shared" si="109"/>
        <v/>
      </c>
      <c r="AO183" s="54" t="str">
        <f t="shared" si="109"/>
        <v/>
      </c>
      <c r="AP183" s="54" t="str">
        <f t="shared" si="109"/>
        <v/>
      </c>
      <c r="AQ183" s="54" t="str">
        <f t="shared" si="109"/>
        <v/>
      </c>
      <c r="AR183" s="54" t="str">
        <f t="shared" si="109"/>
        <v/>
      </c>
      <c r="AS183" s="54" t="str">
        <f t="shared" si="109"/>
        <v/>
      </c>
      <c r="AT183" s="54" t="str">
        <f t="shared" si="109"/>
        <v/>
      </c>
      <c r="AU183" s="54" t="str">
        <f t="shared" si="109"/>
        <v/>
      </c>
      <c r="AV183" s="54" t="str">
        <f t="shared" si="109"/>
        <v/>
      </c>
      <c r="AW183" s="54" t="str">
        <f t="shared" si="109"/>
        <v/>
      </c>
      <c r="AX183" s="54" t="str">
        <f t="shared" si="109"/>
        <v/>
      </c>
      <c r="AY183" s="54" t="str">
        <f t="shared" si="90"/>
        <v/>
      </c>
      <c r="AZ183" s="54" t="str">
        <f t="shared" si="91"/>
        <v/>
      </c>
      <c r="BA183" s="54" t="str">
        <f t="shared" si="92"/>
        <v/>
      </c>
      <c r="BB183" s="135" t="str">
        <f t="shared" si="93"/>
        <v/>
      </c>
      <c r="BC183" s="54" t="str">
        <f t="shared" si="110"/>
        <v/>
      </c>
      <c r="BD183" s="54" t="str">
        <f t="shared" si="110"/>
        <v/>
      </c>
      <c r="BE183" s="54" t="str">
        <f t="shared" si="110"/>
        <v/>
      </c>
      <c r="BF183" s="54" t="str">
        <f t="shared" si="94"/>
        <v/>
      </c>
      <c r="BG183" s="54" t="str">
        <f t="shared" si="95"/>
        <v/>
      </c>
      <c r="BH183" s="34" t="str">
        <f t="shared" si="96"/>
        <v>Bad</v>
      </c>
      <c r="BI183" s="34" t="str">
        <f t="shared" si="97"/>
        <v>No</v>
      </c>
      <c r="BJ183" s="136" t="str">
        <f>IF($D183&lt;&gt;"Feature",".",
IF(VLOOKUP($B183,Feature_List!$A:$AM,MATCH(BJ$1,  Feature_List!$A$1:$AM$1,0),0)=B183,".","NO"))</f>
        <v>.</v>
      </c>
      <c r="BK183" s="136"/>
      <c r="BL183" s="136"/>
      <c r="BM183" s="136" t="str">
        <f>IF($D183&lt;&gt;"Feature",".",
IF(VLOOKUP($B183,Feature_List!$A:$AM,MATCH(BM$1,  Feature_List!$A$1:$AM$1,0),0)=E183,".","NO"))</f>
        <v>.</v>
      </c>
      <c r="BN183" s="136" t="str">
        <f>IF($D183&lt;&gt;"Feature",".",
IF(VLOOKUP($B183,Feature_List!$A:$AM,MATCH(BN$1,  Feature_List!$A$1:$AM$1,0),0)=F183,".","NO"))</f>
        <v>.</v>
      </c>
      <c r="BO183" s="136" t="str">
        <f>IF($D183&lt;&gt;"Feature",".",
IF(VLOOKUP($B183,Feature_List!$A:$AM,MATCH(BO$1,  Feature_List!$A$1:$AM$1,0),0)=G183,".","NO"))</f>
        <v>.</v>
      </c>
      <c r="BP183" s="136" t="str">
        <f>IF($D183&lt;&gt;"Feature",".",
IF(VLOOKUP($B183,Feature_List!$A:$AM,MATCH(BP$1,  Feature_List!$A$1:$AM$1,0),0)=H183,".","NO"))</f>
        <v>.</v>
      </c>
      <c r="BQ183" s="136"/>
      <c r="BR183" s="136" t="str">
        <f>IF($D183&lt;&gt;"Feature",".",
IF(VLOOKUP($B183,Feature_List!$A:$AM,MATCH(BR$1,  Feature_List!$A$1:$AM$1,0),0)=J183,".","NO"))</f>
        <v>.</v>
      </c>
      <c r="BS183" s="136"/>
      <c r="BT183" s="136"/>
      <c r="BU183" s="136" t="str">
        <f>IF($D183&lt;&gt;"Feature",".",
IF(VLOOKUP($B183,Feature_List!$A:$AM,MATCH(BU$1,  Feature_List!$A$1:$AM$1,0),0)=M183,".","NO"))</f>
        <v>.</v>
      </c>
      <c r="BV183" s="136" t="str">
        <f>IF($D183&lt;&gt;"Feature",".",
IF(VLOOKUP($B183,Feature_List!$A:$AM,MATCH(BV$1,  Feature_List!$A$1:$AM$1,0),0)=N183,".","NO"))</f>
        <v>.</v>
      </c>
      <c r="BW183" s="136"/>
      <c r="BX183" s="136"/>
      <c r="BY183" s="136"/>
      <c r="BZ183" s="136"/>
      <c r="CA183" s="136"/>
      <c r="CB183" s="136" t="str">
        <f>IF($D183&lt;&gt;"Feature",".",
IF(VLOOKUP($B183,Feature_List!$A:$AM,MATCH(CB$1,  Feature_List!$A$1:$AM$1,0),0)=T183,".","NO"))</f>
        <v>.</v>
      </c>
      <c r="CC183" s="136"/>
      <c r="CD183" s="136"/>
      <c r="CE183" s="136"/>
      <c r="CF183" s="136"/>
      <c r="CG183" s="136"/>
      <c r="CH183" s="136"/>
      <c r="CI183" s="136"/>
      <c r="CJ183" s="136"/>
      <c r="CK183" s="136"/>
      <c r="CL183" s="136"/>
      <c r="CM183" s="136"/>
      <c r="CN183" s="136"/>
      <c r="CO183" s="136" t="str">
        <f>IF($D183&lt;&gt;"Feature",".",
IF(VLOOKUP($B183,Feature_List!$A:$AM,MATCH(CO$1,  Feature_List!$A$1:$AM$1,0),0)=AG183,".","NO"))</f>
        <v>.</v>
      </c>
      <c r="CP183" s="136" t="str">
        <f>IF($D183&lt;&gt;"Feature",".",
IF(VLOOKUP($B183,Feature_List!$A:$AM,MATCH(CP$1,  Feature_List!$A$1:$AM$1,0),0)=AH183,".","NO"))</f>
        <v>.</v>
      </c>
      <c r="CQ183" s="136" t="str">
        <f>IF($D183&lt;&gt;"Feature",".",
IF(VLOOKUP($B183,Feature_List!$A:$AM,MATCH(CQ$1,  Feature_List!$A$1:$AM$1,0),0)=AI183,".","NO"))</f>
        <v>.</v>
      </c>
      <c r="CR183" s="136" t="str">
        <f>IF($D183&lt;&gt;"Feature",".",
IF(VLOOKUP($B183,Feature_List!$A:$AM,MATCH(CR$1,  Feature_List!$A$1:$AM$1,0),0)=AJ183,".","NO"))</f>
        <v>.</v>
      </c>
      <c r="CS183" s="136" t="str">
        <f>IF($D183&lt;&gt;"Feature",".",
IF(VLOOKUP($B183,Feature_List!$A:$AM,MATCH(CS$1,  Feature_List!$A$1:$AM$1,0),0)=AK183,".","NO"))</f>
        <v>.</v>
      </c>
      <c r="CT183" s="136" t="str">
        <f>IF($D183&lt;&gt;"Feature",".",
IF(VLOOKUP($B183,Feature_List!$A:$AM,MATCH(CT$1,  Feature_List!$A$1:$AM$1,0),0)=AL183,".","NO"))</f>
        <v>.</v>
      </c>
      <c r="CU183" s="136" t="str">
        <f>IF($D183&lt;&gt;"Feature",".",
IF(VLOOKUP($B183,Feature_List!$A:$AM,MATCH(CU$1,  Feature_List!$A$1:$AM$1,0),0)=AM183,".","NO"))</f>
        <v>.</v>
      </c>
      <c r="CV183" s="136" t="str">
        <f>IF($D183&lt;&gt;"Feature",".",
IF(VLOOKUP($B183,Feature_List!$A:$AM,MATCH(CV$1,  Feature_List!$A$1:$AM$1,0),0)=AN183,".","NO"))</f>
        <v>.</v>
      </c>
      <c r="CW183" s="136" t="str">
        <f>IF($D183&lt;&gt;"Feature",".",
IF(VLOOKUP($B183,Feature_List!$A:$AM,MATCH(CW$1,  Feature_List!$A$1:$AM$1,0),0)=AO183,".","NO"))</f>
        <v>.</v>
      </c>
      <c r="CX183" s="136" t="str">
        <f>IF($D183&lt;&gt;"Feature",".",
IF(VLOOKUP($B183,Feature_List!$A:$AM,MATCH(CX$1,  Feature_List!$A$1:$AM$1,0),0)=AP183,".","NO"))</f>
        <v>.</v>
      </c>
      <c r="CY183" s="136" t="str">
        <f>IF($D183&lt;&gt;"Feature",".",
IF(VLOOKUP($B183,Feature_List!$A:$AM,MATCH(CY$1,  Feature_List!$A$1:$AM$1,0),0)=AQ183,".","NO"))</f>
        <v>.</v>
      </c>
      <c r="CZ183" s="136" t="str">
        <f>IF($D183&lt;&gt;"Feature",".",
IF(VLOOKUP($B183,Feature_List!$A:$AM,MATCH(CZ$1,  Feature_List!$A$1:$AM$1,0),0)=AR183,".","NO"))</f>
        <v>.</v>
      </c>
      <c r="DA183" s="136" t="str">
        <f>IF($D183&lt;&gt;"Feature",".",
IF(VLOOKUP($B183,Feature_List!$A:$AM,MATCH(DA$1,  Feature_List!$A$1:$AM$1,0),0)=AS183,".","NO"))</f>
        <v>.</v>
      </c>
      <c r="DB183" s="136" t="str">
        <f>IF($D183&lt;&gt;"Feature",".",
IF(VLOOKUP($B183,Feature_List!$A:$AM,MATCH(DB$1,  Feature_List!$A$1:$AM$1,0),0)=AT183,".","NO"))</f>
        <v>.</v>
      </c>
      <c r="DC183" s="136" t="str">
        <f>IF($D183&lt;&gt;"Feature",".",
IF(VLOOKUP($B183,Feature_List!$A:$AM,MATCH(DC$1,  Feature_List!$A$1:$AM$1,0),0)=AU183,".","NO"))</f>
        <v>.</v>
      </c>
      <c r="DD183" s="136" t="str">
        <f>IF($D183&lt;&gt;"Feature",".",
IF(VLOOKUP($B183,Feature_List!$A:$AM,MATCH(DD$1,  Feature_List!$A$1:$AM$1,0),0)=AV183,".","NO"))</f>
        <v>.</v>
      </c>
      <c r="DE183" s="136" t="str">
        <f>IF($D183&lt;&gt;"Feature",".",
IF(VLOOKUP($B183,Feature_List!$A:$AM,MATCH(DE$1,  Feature_List!$A$1:$AM$1,0),0)=AW183,".","NO"))</f>
        <v>.</v>
      </c>
      <c r="DF183" s="136" t="str">
        <f>IF($D183&lt;&gt;"Feature",".",
IF(VLOOKUP($B183,Feature_List!$A:$AM,MATCH(DF$1,  Feature_List!$A$1:$AM$1,0),0)=AX183,".","NO"))</f>
        <v>.</v>
      </c>
      <c r="DG183" s="136" t="str">
        <f>IF($D183&lt;&gt;"Feature",".",
IF(VLOOKUP($B183,Feature_List!$A:$AM,MATCH(DG$1,  Feature_List!$A$1:$AM$1,0),0)=AY183,".","NO"))</f>
        <v>.</v>
      </c>
      <c r="DH183" s="136" t="str">
        <f>IF($D183&lt;&gt;"Feature",".",
IF(VLOOKUP($B183,Feature_List!$A:$AM,MATCH(DH$1,  Feature_List!$A$1:$AM$1,0),0)=AZ183,".","NO"))</f>
        <v>.</v>
      </c>
      <c r="DI183" s="136" t="str">
        <f>IF($D183&lt;&gt;"Feature",".",
IF(VLOOKUP($B183,Feature_List!$A:$AM,MATCH(DI$1,  Feature_List!$A$1:$AM$1,0),0)=BA183,".","NO"))</f>
        <v>.</v>
      </c>
      <c r="DJ183" s="136" t="str">
        <f>IF($D183&lt;&gt;"Feature",".",
IF(VLOOKUP($B183,Feature_List!$A:$AM,MATCH(DJ$1,  Feature_List!$A$1:$AM$1,0),0)=BB183,".","NO"))</f>
        <v>.</v>
      </c>
      <c r="DK183" s="136"/>
      <c r="DL183" s="136"/>
      <c r="DM183" s="136"/>
      <c r="DN183" s="136" t="str">
        <f>IF($D183&lt;&gt;"Feature",".",
IF(VLOOKUP($B183,Feature_List!$A:$AM,MATCH(DN$1,  Feature_List!$A$1:$AM$1,0),0)=BC183,".","NO"))</f>
        <v>.</v>
      </c>
      <c r="DO183" s="136" t="str">
        <f>IF($D183&lt;&gt;"Feature",".",
IF(VLOOKUP($B183,Feature_List!$A:$AM,MATCH(DO$1,  Feature_List!$A$1:$AM$1,0),0)=BD183,".","NO"))</f>
        <v>.</v>
      </c>
    </row>
    <row r="184" spans="2:119" x14ac:dyDescent="0.3">
      <c r="B184" s="121"/>
      <c r="C184" s="122"/>
      <c r="D184" s="122"/>
      <c r="E184" s="122"/>
      <c r="F184" s="138"/>
      <c r="G184" s="123"/>
      <c r="H184" s="122"/>
      <c r="I184" s="124"/>
      <c r="J184" s="138"/>
      <c r="K184" s="123"/>
      <c r="L184" s="122"/>
      <c r="M184" s="122"/>
      <c r="N184" s="125"/>
      <c r="O184" s="123">
        <f t="shared" si="75"/>
        <v>0</v>
      </c>
      <c r="P184" s="123">
        <f t="shared" si="76"/>
        <v>0</v>
      </c>
      <c r="Q184" s="122" t="str">
        <f t="shared" si="98"/>
        <v>ZeroEntry</v>
      </c>
      <c r="R184" s="126" t="str">
        <f t="shared" si="77"/>
        <v>ZeroEntry</v>
      </c>
      <c r="S184" s="127" t="str">
        <f t="shared" si="78"/>
        <v>ZeroEntry</v>
      </c>
      <c r="T184" s="128" t="str">
        <f>IF($Q184="ZeroEntry", "",VLOOKUP($I184,'Ranking Lookup'!#REF!,2,FALSE))</f>
        <v/>
      </c>
      <c r="U184" s="129" t="str">
        <f t="shared" si="79"/>
        <v/>
      </c>
      <c r="V184" s="129" t="str">
        <f t="shared" si="80"/>
        <v/>
      </c>
      <c r="W184" s="129" t="str">
        <f t="shared" si="81"/>
        <v/>
      </c>
      <c r="X184" s="129" t="str">
        <f t="shared" si="82"/>
        <v/>
      </c>
      <c r="Y184" s="129" t="str">
        <f t="shared" si="83"/>
        <v/>
      </c>
      <c r="Z184" s="129" t="str">
        <f t="shared" si="84"/>
        <v/>
      </c>
      <c r="AA184" s="130"/>
      <c r="AB184" s="130" t="str">
        <f t="shared" si="85"/>
        <v>Unassigned</v>
      </c>
      <c r="AC184" s="131" t="str">
        <f t="shared" si="99"/>
        <v/>
      </c>
      <c r="AD184" s="131" t="str">
        <f t="shared" si="100"/>
        <v/>
      </c>
      <c r="AE184" s="132">
        <f t="shared" si="86"/>
        <v>0</v>
      </c>
      <c r="AF184" s="133" t="str">
        <f t="shared" si="101"/>
        <v/>
      </c>
      <c r="AG184" s="134">
        <f t="shared" si="87"/>
        <v>0</v>
      </c>
      <c r="AH184" s="54" t="str">
        <f t="shared" si="88"/>
        <v/>
      </c>
      <c r="AI184" s="54" t="str">
        <f t="shared" si="109"/>
        <v/>
      </c>
      <c r="AJ184" s="54" t="str">
        <f t="shared" si="109"/>
        <v/>
      </c>
      <c r="AK184" s="54" t="str">
        <f t="shared" si="109"/>
        <v/>
      </c>
      <c r="AL184" s="54" t="str">
        <f t="shared" si="109"/>
        <v/>
      </c>
      <c r="AM184" s="54" t="str">
        <f t="shared" si="109"/>
        <v/>
      </c>
      <c r="AN184" s="54" t="str">
        <f t="shared" si="109"/>
        <v/>
      </c>
      <c r="AO184" s="54" t="str">
        <f t="shared" si="109"/>
        <v/>
      </c>
      <c r="AP184" s="54" t="str">
        <f t="shared" si="109"/>
        <v/>
      </c>
      <c r="AQ184" s="54" t="str">
        <f t="shared" si="109"/>
        <v/>
      </c>
      <c r="AR184" s="54" t="str">
        <f t="shared" si="109"/>
        <v/>
      </c>
      <c r="AS184" s="54" t="str">
        <f t="shared" si="109"/>
        <v/>
      </c>
      <c r="AT184" s="54" t="str">
        <f t="shared" si="109"/>
        <v/>
      </c>
      <c r="AU184" s="54" t="str">
        <f t="shared" si="109"/>
        <v/>
      </c>
      <c r="AV184" s="54" t="str">
        <f t="shared" si="109"/>
        <v/>
      </c>
      <c r="AW184" s="54" t="str">
        <f t="shared" si="109"/>
        <v/>
      </c>
      <c r="AX184" s="54" t="str">
        <f t="shared" si="109"/>
        <v/>
      </c>
      <c r="AY184" s="54" t="str">
        <f t="shared" si="90"/>
        <v/>
      </c>
      <c r="AZ184" s="54" t="str">
        <f t="shared" si="91"/>
        <v/>
      </c>
      <c r="BA184" s="54" t="str">
        <f t="shared" si="92"/>
        <v/>
      </c>
      <c r="BB184" s="135" t="str">
        <f t="shared" si="93"/>
        <v/>
      </c>
      <c r="BC184" s="54" t="str">
        <f t="shared" si="110"/>
        <v/>
      </c>
      <c r="BD184" s="54" t="str">
        <f t="shared" si="110"/>
        <v/>
      </c>
      <c r="BE184" s="54" t="str">
        <f t="shared" si="110"/>
        <v/>
      </c>
      <c r="BF184" s="54" t="str">
        <f t="shared" si="94"/>
        <v/>
      </c>
      <c r="BG184" s="54" t="str">
        <f t="shared" si="95"/>
        <v/>
      </c>
      <c r="BH184" s="34" t="str">
        <f t="shared" si="96"/>
        <v>Bad</v>
      </c>
      <c r="BI184" s="34" t="str">
        <f t="shared" si="97"/>
        <v>No</v>
      </c>
      <c r="BJ184" s="136" t="str">
        <f>IF($D184&lt;&gt;"Feature",".",
IF(VLOOKUP($B184,Feature_List!$A:$AM,MATCH(BJ$1,  Feature_List!$A$1:$AM$1,0),0)=B184,".","NO"))</f>
        <v>.</v>
      </c>
      <c r="BK184" s="136"/>
      <c r="BL184" s="136"/>
      <c r="BM184" s="136" t="str">
        <f>IF($D184&lt;&gt;"Feature",".",
IF(VLOOKUP($B184,Feature_List!$A:$AM,MATCH(BM$1,  Feature_List!$A$1:$AM$1,0),0)=E184,".","NO"))</f>
        <v>.</v>
      </c>
      <c r="BN184" s="136" t="str">
        <f>IF($D184&lt;&gt;"Feature",".",
IF(VLOOKUP($B184,Feature_List!$A:$AM,MATCH(BN$1,  Feature_List!$A$1:$AM$1,0),0)=F184,".","NO"))</f>
        <v>.</v>
      </c>
      <c r="BO184" s="136" t="str">
        <f>IF($D184&lt;&gt;"Feature",".",
IF(VLOOKUP($B184,Feature_List!$A:$AM,MATCH(BO$1,  Feature_List!$A$1:$AM$1,0),0)=G184,".","NO"))</f>
        <v>.</v>
      </c>
      <c r="BP184" s="136" t="str">
        <f>IF($D184&lt;&gt;"Feature",".",
IF(VLOOKUP($B184,Feature_List!$A:$AM,MATCH(BP$1,  Feature_List!$A$1:$AM$1,0),0)=H184,".","NO"))</f>
        <v>.</v>
      </c>
      <c r="BQ184" s="136"/>
      <c r="BR184" s="136" t="str">
        <f>IF($D184&lt;&gt;"Feature",".",
IF(VLOOKUP($B184,Feature_List!$A:$AM,MATCH(BR$1,  Feature_List!$A$1:$AM$1,0),0)=J184,".","NO"))</f>
        <v>.</v>
      </c>
      <c r="BS184" s="136"/>
      <c r="BT184" s="136"/>
      <c r="BU184" s="136" t="str">
        <f>IF($D184&lt;&gt;"Feature",".",
IF(VLOOKUP($B184,Feature_List!$A:$AM,MATCH(BU$1,  Feature_List!$A$1:$AM$1,0),0)=M184,".","NO"))</f>
        <v>.</v>
      </c>
      <c r="BV184" s="136" t="str">
        <f>IF($D184&lt;&gt;"Feature",".",
IF(VLOOKUP($B184,Feature_List!$A:$AM,MATCH(BV$1,  Feature_List!$A$1:$AM$1,0),0)=N184,".","NO"))</f>
        <v>.</v>
      </c>
      <c r="BW184" s="136"/>
      <c r="BX184" s="136"/>
      <c r="BY184" s="136"/>
      <c r="BZ184" s="136"/>
      <c r="CA184" s="136"/>
      <c r="CB184" s="136" t="str">
        <f>IF($D184&lt;&gt;"Feature",".",
IF(VLOOKUP($B184,Feature_List!$A:$AM,MATCH(CB$1,  Feature_List!$A$1:$AM$1,0),0)=T184,".","NO"))</f>
        <v>.</v>
      </c>
      <c r="CC184" s="136"/>
      <c r="CD184" s="136"/>
      <c r="CE184" s="136"/>
      <c r="CF184" s="136"/>
      <c r="CG184" s="136"/>
      <c r="CH184" s="136"/>
      <c r="CI184" s="136"/>
      <c r="CJ184" s="136"/>
      <c r="CK184" s="136"/>
      <c r="CL184" s="136"/>
      <c r="CM184" s="136"/>
      <c r="CN184" s="136"/>
      <c r="CO184" s="136" t="str">
        <f>IF($D184&lt;&gt;"Feature",".",
IF(VLOOKUP($B184,Feature_List!$A:$AM,MATCH(CO$1,  Feature_List!$A$1:$AM$1,0),0)=AG184,".","NO"))</f>
        <v>.</v>
      </c>
      <c r="CP184" s="136" t="str">
        <f>IF($D184&lt;&gt;"Feature",".",
IF(VLOOKUP($B184,Feature_List!$A:$AM,MATCH(CP$1,  Feature_List!$A$1:$AM$1,0),0)=AH184,".","NO"))</f>
        <v>.</v>
      </c>
      <c r="CQ184" s="136" t="str">
        <f>IF($D184&lt;&gt;"Feature",".",
IF(VLOOKUP($B184,Feature_List!$A:$AM,MATCH(CQ$1,  Feature_List!$A$1:$AM$1,0),0)=AI184,".","NO"))</f>
        <v>.</v>
      </c>
      <c r="CR184" s="136" t="str">
        <f>IF($D184&lt;&gt;"Feature",".",
IF(VLOOKUP($B184,Feature_List!$A:$AM,MATCH(CR$1,  Feature_List!$A$1:$AM$1,0),0)=AJ184,".","NO"))</f>
        <v>.</v>
      </c>
      <c r="CS184" s="136" t="str">
        <f>IF($D184&lt;&gt;"Feature",".",
IF(VLOOKUP($B184,Feature_List!$A:$AM,MATCH(CS$1,  Feature_List!$A$1:$AM$1,0),0)=AK184,".","NO"))</f>
        <v>.</v>
      </c>
      <c r="CT184" s="136" t="str">
        <f>IF($D184&lt;&gt;"Feature",".",
IF(VLOOKUP($B184,Feature_List!$A:$AM,MATCH(CT$1,  Feature_List!$A$1:$AM$1,0),0)=AL184,".","NO"))</f>
        <v>.</v>
      </c>
      <c r="CU184" s="136" t="str">
        <f>IF($D184&lt;&gt;"Feature",".",
IF(VLOOKUP($B184,Feature_List!$A:$AM,MATCH(CU$1,  Feature_List!$A$1:$AM$1,0),0)=AM184,".","NO"))</f>
        <v>.</v>
      </c>
      <c r="CV184" s="136" t="str">
        <f>IF($D184&lt;&gt;"Feature",".",
IF(VLOOKUP($B184,Feature_List!$A:$AM,MATCH(CV$1,  Feature_List!$A$1:$AM$1,0),0)=AN184,".","NO"))</f>
        <v>.</v>
      </c>
      <c r="CW184" s="136" t="str">
        <f>IF($D184&lt;&gt;"Feature",".",
IF(VLOOKUP($B184,Feature_List!$A:$AM,MATCH(CW$1,  Feature_List!$A$1:$AM$1,0),0)=AO184,".","NO"))</f>
        <v>.</v>
      </c>
      <c r="CX184" s="136" t="str">
        <f>IF($D184&lt;&gt;"Feature",".",
IF(VLOOKUP($B184,Feature_List!$A:$AM,MATCH(CX$1,  Feature_List!$A$1:$AM$1,0),0)=AP184,".","NO"))</f>
        <v>.</v>
      </c>
      <c r="CY184" s="136" t="str">
        <f>IF($D184&lt;&gt;"Feature",".",
IF(VLOOKUP($B184,Feature_List!$A:$AM,MATCH(CY$1,  Feature_List!$A$1:$AM$1,0),0)=AQ184,".","NO"))</f>
        <v>.</v>
      </c>
      <c r="CZ184" s="136" t="str">
        <f>IF($D184&lt;&gt;"Feature",".",
IF(VLOOKUP($B184,Feature_List!$A:$AM,MATCH(CZ$1,  Feature_List!$A$1:$AM$1,0),0)=AR184,".","NO"))</f>
        <v>.</v>
      </c>
      <c r="DA184" s="136" t="str">
        <f>IF($D184&lt;&gt;"Feature",".",
IF(VLOOKUP($B184,Feature_List!$A:$AM,MATCH(DA$1,  Feature_List!$A$1:$AM$1,0),0)=AS184,".","NO"))</f>
        <v>.</v>
      </c>
      <c r="DB184" s="136" t="str">
        <f>IF($D184&lt;&gt;"Feature",".",
IF(VLOOKUP($B184,Feature_List!$A:$AM,MATCH(DB$1,  Feature_List!$A$1:$AM$1,0),0)=AT184,".","NO"))</f>
        <v>.</v>
      </c>
      <c r="DC184" s="136" t="str">
        <f>IF($D184&lt;&gt;"Feature",".",
IF(VLOOKUP($B184,Feature_List!$A:$AM,MATCH(DC$1,  Feature_List!$A$1:$AM$1,0),0)=AU184,".","NO"))</f>
        <v>.</v>
      </c>
      <c r="DD184" s="136" t="str">
        <f>IF($D184&lt;&gt;"Feature",".",
IF(VLOOKUP($B184,Feature_List!$A:$AM,MATCH(DD$1,  Feature_List!$A$1:$AM$1,0),0)=AV184,".","NO"))</f>
        <v>.</v>
      </c>
      <c r="DE184" s="136" t="str">
        <f>IF($D184&lt;&gt;"Feature",".",
IF(VLOOKUP($B184,Feature_List!$A:$AM,MATCH(DE$1,  Feature_List!$A$1:$AM$1,0),0)=AW184,".","NO"))</f>
        <v>.</v>
      </c>
      <c r="DF184" s="136" t="str">
        <f>IF($D184&lt;&gt;"Feature",".",
IF(VLOOKUP($B184,Feature_List!$A:$AM,MATCH(DF$1,  Feature_List!$A$1:$AM$1,0),0)=AX184,".","NO"))</f>
        <v>.</v>
      </c>
      <c r="DG184" s="136" t="str">
        <f>IF($D184&lt;&gt;"Feature",".",
IF(VLOOKUP($B184,Feature_List!$A:$AM,MATCH(DG$1,  Feature_List!$A$1:$AM$1,0),0)=AY184,".","NO"))</f>
        <v>.</v>
      </c>
      <c r="DH184" s="136" t="str">
        <f>IF($D184&lt;&gt;"Feature",".",
IF(VLOOKUP($B184,Feature_List!$A:$AM,MATCH(DH$1,  Feature_List!$A$1:$AM$1,0),0)=AZ184,".","NO"))</f>
        <v>.</v>
      </c>
      <c r="DI184" s="136" t="str">
        <f>IF($D184&lt;&gt;"Feature",".",
IF(VLOOKUP($B184,Feature_List!$A:$AM,MATCH(DI$1,  Feature_List!$A$1:$AM$1,0),0)=BA184,".","NO"))</f>
        <v>.</v>
      </c>
      <c r="DJ184" s="136" t="str">
        <f>IF($D184&lt;&gt;"Feature",".",
IF(VLOOKUP($B184,Feature_List!$A:$AM,MATCH(DJ$1,  Feature_List!$A$1:$AM$1,0),0)=BB184,".","NO"))</f>
        <v>.</v>
      </c>
      <c r="DK184" s="136"/>
      <c r="DL184" s="136"/>
      <c r="DM184" s="136"/>
      <c r="DN184" s="136" t="str">
        <f>IF($D184&lt;&gt;"Feature",".",
IF(VLOOKUP($B184,Feature_List!$A:$AM,MATCH(DN$1,  Feature_List!$A$1:$AM$1,0),0)=BC184,".","NO"))</f>
        <v>.</v>
      </c>
      <c r="DO184" s="136" t="str">
        <f>IF($D184&lt;&gt;"Feature",".",
IF(VLOOKUP($B184,Feature_List!$A:$AM,MATCH(DO$1,  Feature_List!$A$1:$AM$1,0),0)=BD184,".","NO"))</f>
        <v>.</v>
      </c>
    </row>
    <row r="185" spans="2:119" x14ac:dyDescent="0.3">
      <c r="B185" s="121"/>
      <c r="C185" s="122"/>
      <c r="D185" s="122"/>
      <c r="E185" s="122"/>
      <c r="F185" s="138"/>
      <c r="G185" s="123"/>
      <c r="H185" s="122"/>
      <c r="I185" s="124"/>
      <c r="J185" s="138"/>
      <c r="K185" s="123"/>
      <c r="L185" s="122"/>
      <c r="M185" s="122"/>
      <c r="N185" s="125"/>
      <c r="O185" s="123">
        <f t="shared" si="75"/>
        <v>0</v>
      </c>
      <c r="P185" s="123">
        <f t="shared" si="76"/>
        <v>0</v>
      </c>
      <c r="Q185" s="122" t="str">
        <f t="shared" si="98"/>
        <v>ZeroEntry</v>
      </c>
      <c r="R185" s="126" t="str">
        <f t="shared" si="77"/>
        <v>ZeroEntry</v>
      </c>
      <c r="S185" s="127" t="str">
        <f t="shared" si="78"/>
        <v>ZeroEntry</v>
      </c>
      <c r="T185" s="128" t="str">
        <f>IF($Q185="ZeroEntry", "",VLOOKUP($I185,'Ranking Lookup'!#REF!,2,FALSE))</f>
        <v/>
      </c>
      <c r="U185" s="129" t="str">
        <f t="shared" si="79"/>
        <v/>
      </c>
      <c r="V185" s="129" t="str">
        <f t="shared" si="80"/>
        <v/>
      </c>
      <c r="W185" s="129" t="str">
        <f t="shared" si="81"/>
        <v/>
      </c>
      <c r="X185" s="129" t="str">
        <f t="shared" si="82"/>
        <v/>
      </c>
      <c r="Y185" s="129" t="str">
        <f t="shared" si="83"/>
        <v/>
      </c>
      <c r="Z185" s="129" t="str">
        <f t="shared" si="84"/>
        <v/>
      </c>
      <c r="AA185" s="130"/>
      <c r="AB185" s="130" t="str">
        <f t="shared" si="85"/>
        <v>Unassigned</v>
      </c>
      <c r="AC185" s="131" t="str">
        <f t="shared" si="99"/>
        <v/>
      </c>
      <c r="AD185" s="131" t="str">
        <f t="shared" si="100"/>
        <v/>
      </c>
      <c r="AE185" s="132">
        <f t="shared" si="86"/>
        <v>0</v>
      </c>
      <c r="AF185" s="133" t="str">
        <f t="shared" si="101"/>
        <v/>
      </c>
      <c r="AG185" s="134">
        <f t="shared" si="87"/>
        <v>0</v>
      </c>
      <c r="AH185" s="54" t="str">
        <f t="shared" si="88"/>
        <v/>
      </c>
      <c r="AI185" s="54" t="str">
        <f t="shared" si="109"/>
        <v/>
      </c>
      <c r="AJ185" s="54" t="str">
        <f t="shared" si="109"/>
        <v/>
      </c>
      <c r="AK185" s="54" t="str">
        <f t="shared" si="109"/>
        <v/>
      </c>
      <c r="AL185" s="54" t="str">
        <f t="shared" si="109"/>
        <v/>
      </c>
      <c r="AM185" s="54" t="str">
        <f t="shared" si="109"/>
        <v/>
      </c>
      <c r="AN185" s="54" t="str">
        <f t="shared" si="109"/>
        <v/>
      </c>
      <c r="AO185" s="54" t="str">
        <f t="shared" si="109"/>
        <v/>
      </c>
      <c r="AP185" s="54" t="str">
        <f t="shared" si="109"/>
        <v/>
      </c>
      <c r="AQ185" s="54" t="str">
        <f t="shared" si="109"/>
        <v/>
      </c>
      <c r="AR185" s="54" t="str">
        <f t="shared" si="109"/>
        <v/>
      </c>
      <c r="AS185" s="54" t="str">
        <f t="shared" si="109"/>
        <v/>
      </c>
      <c r="AT185" s="54" t="str">
        <f t="shared" si="109"/>
        <v/>
      </c>
      <c r="AU185" s="54" t="str">
        <f t="shared" si="109"/>
        <v/>
      </c>
      <c r="AV185" s="54" t="str">
        <f t="shared" si="109"/>
        <v/>
      </c>
      <c r="AW185" s="54" t="str">
        <f t="shared" si="109"/>
        <v/>
      </c>
      <c r="AX185" s="54" t="str">
        <f t="shared" si="109"/>
        <v/>
      </c>
      <c r="AY185" s="54" t="str">
        <f t="shared" si="90"/>
        <v/>
      </c>
      <c r="AZ185" s="54" t="str">
        <f t="shared" si="91"/>
        <v/>
      </c>
      <c r="BA185" s="54" t="str">
        <f t="shared" si="92"/>
        <v/>
      </c>
      <c r="BB185" s="135" t="str">
        <f t="shared" si="93"/>
        <v/>
      </c>
      <c r="BC185" s="54" t="str">
        <f t="shared" si="110"/>
        <v/>
      </c>
      <c r="BD185" s="54" t="str">
        <f t="shared" si="110"/>
        <v/>
      </c>
      <c r="BE185" s="54" t="str">
        <f t="shared" si="110"/>
        <v/>
      </c>
      <c r="BF185" s="54" t="str">
        <f t="shared" si="94"/>
        <v/>
      </c>
      <c r="BG185" s="54" t="str">
        <f t="shared" si="95"/>
        <v/>
      </c>
      <c r="BH185" s="34" t="str">
        <f t="shared" si="96"/>
        <v>Bad</v>
      </c>
      <c r="BI185" s="34" t="str">
        <f t="shared" si="97"/>
        <v>No</v>
      </c>
      <c r="BJ185" s="136" t="str">
        <f>IF($D185&lt;&gt;"Feature",".",
IF(VLOOKUP($B185,Feature_List!$A:$AM,MATCH(BJ$1,  Feature_List!$A$1:$AM$1,0),0)=B185,".","NO"))</f>
        <v>.</v>
      </c>
      <c r="BK185" s="136"/>
      <c r="BL185" s="136"/>
      <c r="BM185" s="136" t="str">
        <f>IF($D185&lt;&gt;"Feature",".",
IF(VLOOKUP($B185,Feature_List!$A:$AM,MATCH(BM$1,  Feature_List!$A$1:$AM$1,0),0)=E185,".","NO"))</f>
        <v>.</v>
      </c>
      <c r="BN185" s="136" t="str">
        <f>IF($D185&lt;&gt;"Feature",".",
IF(VLOOKUP($B185,Feature_List!$A:$AM,MATCH(BN$1,  Feature_List!$A$1:$AM$1,0),0)=F185,".","NO"))</f>
        <v>.</v>
      </c>
      <c r="BO185" s="136" t="str">
        <f>IF($D185&lt;&gt;"Feature",".",
IF(VLOOKUP($B185,Feature_List!$A:$AM,MATCH(BO$1,  Feature_List!$A$1:$AM$1,0),0)=G185,".","NO"))</f>
        <v>.</v>
      </c>
      <c r="BP185" s="136" t="str">
        <f>IF($D185&lt;&gt;"Feature",".",
IF(VLOOKUP($B185,Feature_List!$A:$AM,MATCH(BP$1,  Feature_List!$A$1:$AM$1,0),0)=H185,".","NO"))</f>
        <v>.</v>
      </c>
      <c r="BQ185" s="136"/>
      <c r="BR185" s="136" t="str">
        <f>IF($D185&lt;&gt;"Feature",".",
IF(VLOOKUP($B185,Feature_List!$A:$AM,MATCH(BR$1,  Feature_List!$A$1:$AM$1,0),0)=J185,".","NO"))</f>
        <v>.</v>
      </c>
      <c r="BS185" s="136"/>
      <c r="BT185" s="136"/>
      <c r="BU185" s="136" t="str">
        <f>IF($D185&lt;&gt;"Feature",".",
IF(VLOOKUP($B185,Feature_List!$A:$AM,MATCH(BU$1,  Feature_List!$A$1:$AM$1,0),0)=M185,".","NO"))</f>
        <v>.</v>
      </c>
      <c r="BV185" s="136" t="str">
        <f>IF($D185&lt;&gt;"Feature",".",
IF(VLOOKUP($B185,Feature_List!$A:$AM,MATCH(BV$1,  Feature_List!$A$1:$AM$1,0),0)=N185,".","NO"))</f>
        <v>.</v>
      </c>
      <c r="BW185" s="136"/>
      <c r="BX185" s="136"/>
      <c r="BY185" s="136"/>
      <c r="BZ185" s="136"/>
      <c r="CA185" s="136"/>
      <c r="CB185" s="136" t="str">
        <f>IF($D185&lt;&gt;"Feature",".",
IF(VLOOKUP($B185,Feature_List!$A:$AM,MATCH(CB$1,  Feature_List!$A$1:$AM$1,0),0)=T185,".","NO"))</f>
        <v>.</v>
      </c>
      <c r="CC185" s="136"/>
      <c r="CD185" s="136"/>
      <c r="CE185" s="136"/>
      <c r="CF185" s="136"/>
      <c r="CG185" s="136"/>
      <c r="CH185" s="136"/>
      <c r="CI185" s="136"/>
      <c r="CJ185" s="136"/>
      <c r="CK185" s="136"/>
      <c r="CL185" s="136"/>
      <c r="CM185" s="136"/>
      <c r="CN185" s="136"/>
      <c r="CO185" s="136" t="str">
        <f>IF($D185&lt;&gt;"Feature",".",
IF(VLOOKUP($B185,Feature_List!$A:$AM,MATCH(CO$1,  Feature_List!$A$1:$AM$1,0),0)=AG185,".","NO"))</f>
        <v>.</v>
      </c>
      <c r="CP185" s="136" t="str">
        <f>IF($D185&lt;&gt;"Feature",".",
IF(VLOOKUP($B185,Feature_List!$A:$AM,MATCH(CP$1,  Feature_List!$A$1:$AM$1,0),0)=AH185,".","NO"))</f>
        <v>.</v>
      </c>
      <c r="CQ185" s="136" t="str">
        <f>IF($D185&lt;&gt;"Feature",".",
IF(VLOOKUP($B185,Feature_List!$A:$AM,MATCH(CQ$1,  Feature_List!$A$1:$AM$1,0),0)=AI185,".","NO"))</f>
        <v>.</v>
      </c>
      <c r="CR185" s="136" t="str">
        <f>IF($D185&lt;&gt;"Feature",".",
IF(VLOOKUP($B185,Feature_List!$A:$AM,MATCH(CR$1,  Feature_List!$A$1:$AM$1,0),0)=AJ185,".","NO"))</f>
        <v>.</v>
      </c>
      <c r="CS185" s="136" t="str">
        <f>IF($D185&lt;&gt;"Feature",".",
IF(VLOOKUP($B185,Feature_List!$A:$AM,MATCH(CS$1,  Feature_List!$A$1:$AM$1,0),0)=AK185,".","NO"))</f>
        <v>.</v>
      </c>
      <c r="CT185" s="136" t="str">
        <f>IF($D185&lt;&gt;"Feature",".",
IF(VLOOKUP($B185,Feature_List!$A:$AM,MATCH(CT$1,  Feature_List!$A$1:$AM$1,0),0)=AL185,".","NO"))</f>
        <v>.</v>
      </c>
      <c r="CU185" s="136" t="str">
        <f>IF($D185&lt;&gt;"Feature",".",
IF(VLOOKUP($B185,Feature_List!$A:$AM,MATCH(CU$1,  Feature_List!$A$1:$AM$1,0),0)=AM185,".","NO"))</f>
        <v>.</v>
      </c>
      <c r="CV185" s="136" t="str">
        <f>IF($D185&lt;&gt;"Feature",".",
IF(VLOOKUP($B185,Feature_List!$A:$AM,MATCH(CV$1,  Feature_List!$A$1:$AM$1,0),0)=AN185,".","NO"))</f>
        <v>.</v>
      </c>
      <c r="CW185" s="136" t="str">
        <f>IF($D185&lt;&gt;"Feature",".",
IF(VLOOKUP($B185,Feature_List!$A:$AM,MATCH(CW$1,  Feature_List!$A$1:$AM$1,0),0)=AO185,".","NO"))</f>
        <v>.</v>
      </c>
      <c r="CX185" s="136" t="str">
        <f>IF($D185&lt;&gt;"Feature",".",
IF(VLOOKUP($B185,Feature_List!$A:$AM,MATCH(CX$1,  Feature_List!$A$1:$AM$1,0),0)=AP185,".","NO"))</f>
        <v>.</v>
      </c>
      <c r="CY185" s="136" t="str">
        <f>IF($D185&lt;&gt;"Feature",".",
IF(VLOOKUP($B185,Feature_List!$A:$AM,MATCH(CY$1,  Feature_List!$A$1:$AM$1,0),0)=AQ185,".","NO"))</f>
        <v>.</v>
      </c>
      <c r="CZ185" s="136" t="str">
        <f>IF($D185&lt;&gt;"Feature",".",
IF(VLOOKUP($B185,Feature_List!$A:$AM,MATCH(CZ$1,  Feature_List!$A$1:$AM$1,0),0)=AR185,".","NO"))</f>
        <v>.</v>
      </c>
      <c r="DA185" s="136" t="str">
        <f>IF($D185&lt;&gt;"Feature",".",
IF(VLOOKUP($B185,Feature_List!$A:$AM,MATCH(DA$1,  Feature_List!$A$1:$AM$1,0),0)=AS185,".","NO"))</f>
        <v>.</v>
      </c>
      <c r="DB185" s="136" t="str">
        <f>IF($D185&lt;&gt;"Feature",".",
IF(VLOOKUP($B185,Feature_List!$A:$AM,MATCH(DB$1,  Feature_List!$A$1:$AM$1,0),0)=AT185,".","NO"))</f>
        <v>.</v>
      </c>
      <c r="DC185" s="136" t="str">
        <f>IF($D185&lt;&gt;"Feature",".",
IF(VLOOKUP($B185,Feature_List!$A:$AM,MATCH(DC$1,  Feature_List!$A$1:$AM$1,0),0)=AU185,".","NO"))</f>
        <v>.</v>
      </c>
      <c r="DD185" s="136" t="str">
        <f>IF($D185&lt;&gt;"Feature",".",
IF(VLOOKUP($B185,Feature_List!$A:$AM,MATCH(DD$1,  Feature_List!$A$1:$AM$1,0),0)=AV185,".","NO"))</f>
        <v>.</v>
      </c>
      <c r="DE185" s="136" t="str">
        <f>IF($D185&lt;&gt;"Feature",".",
IF(VLOOKUP($B185,Feature_List!$A:$AM,MATCH(DE$1,  Feature_List!$A$1:$AM$1,0),0)=AW185,".","NO"))</f>
        <v>.</v>
      </c>
      <c r="DF185" s="136" t="str">
        <f>IF($D185&lt;&gt;"Feature",".",
IF(VLOOKUP($B185,Feature_List!$A:$AM,MATCH(DF$1,  Feature_List!$A$1:$AM$1,0),0)=AX185,".","NO"))</f>
        <v>.</v>
      </c>
      <c r="DG185" s="136" t="str">
        <f>IF($D185&lt;&gt;"Feature",".",
IF(VLOOKUP($B185,Feature_List!$A:$AM,MATCH(DG$1,  Feature_List!$A$1:$AM$1,0),0)=AY185,".","NO"))</f>
        <v>.</v>
      </c>
      <c r="DH185" s="136" t="str">
        <f>IF($D185&lt;&gt;"Feature",".",
IF(VLOOKUP($B185,Feature_List!$A:$AM,MATCH(DH$1,  Feature_List!$A$1:$AM$1,0),0)=AZ185,".","NO"))</f>
        <v>.</v>
      </c>
      <c r="DI185" s="136" t="str">
        <f>IF($D185&lt;&gt;"Feature",".",
IF(VLOOKUP($B185,Feature_List!$A:$AM,MATCH(DI$1,  Feature_List!$A$1:$AM$1,0),0)=BA185,".","NO"))</f>
        <v>.</v>
      </c>
      <c r="DJ185" s="136" t="str">
        <f>IF($D185&lt;&gt;"Feature",".",
IF(VLOOKUP($B185,Feature_List!$A:$AM,MATCH(DJ$1,  Feature_List!$A$1:$AM$1,0),0)=BB185,".","NO"))</f>
        <v>.</v>
      </c>
      <c r="DK185" s="136"/>
      <c r="DL185" s="136"/>
      <c r="DM185" s="136"/>
      <c r="DN185" s="136" t="str">
        <f>IF($D185&lt;&gt;"Feature",".",
IF(VLOOKUP($B185,Feature_List!$A:$AM,MATCH(DN$1,  Feature_List!$A$1:$AM$1,0),0)=BC185,".","NO"))</f>
        <v>.</v>
      </c>
      <c r="DO185" s="136" t="str">
        <f>IF($D185&lt;&gt;"Feature",".",
IF(VLOOKUP($B185,Feature_List!$A:$AM,MATCH(DO$1,  Feature_List!$A$1:$AM$1,0),0)=BD185,".","NO"))</f>
        <v>.</v>
      </c>
    </row>
    <row r="186" spans="2:119" x14ac:dyDescent="0.3">
      <c r="B186" s="121"/>
      <c r="C186" s="122"/>
      <c r="D186" s="122"/>
      <c r="E186" s="122"/>
      <c r="F186" s="138"/>
      <c r="G186" s="123"/>
      <c r="H186" s="122"/>
      <c r="I186" s="124"/>
      <c r="J186" s="138"/>
      <c r="K186" s="123"/>
      <c r="L186" s="122"/>
      <c r="M186" s="122"/>
      <c r="N186" s="125"/>
      <c r="O186" s="123">
        <f t="shared" si="75"/>
        <v>0</v>
      </c>
      <c r="P186" s="123">
        <f t="shared" si="76"/>
        <v>0</v>
      </c>
      <c r="Q186" s="122" t="str">
        <f t="shared" si="98"/>
        <v>ZeroEntry</v>
      </c>
      <c r="R186" s="126" t="str">
        <f t="shared" si="77"/>
        <v>ZeroEntry</v>
      </c>
      <c r="S186" s="127" t="str">
        <f t="shared" si="78"/>
        <v>ZeroEntry</v>
      </c>
      <c r="T186" s="128" t="str">
        <f>IF($Q186="ZeroEntry", "",VLOOKUP($I186,'Ranking Lookup'!#REF!,2,FALSE))</f>
        <v/>
      </c>
      <c r="U186" s="129" t="str">
        <f t="shared" si="79"/>
        <v/>
      </c>
      <c r="V186" s="129" t="str">
        <f t="shared" si="80"/>
        <v/>
      </c>
      <c r="W186" s="129" t="str">
        <f t="shared" si="81"/>
        <v/>
      </c>
      <c r="X186" s="129" t="str">
        <f t="shared" si="82"/>
        <v/>
      </c>
      <c r="Y186" s="129" t="str">
        <f t="shared" si="83"/>
        <v/>
      </c>
      <c r="Z186" s="129" t="str">
        <f t="shared" si="84"/>
        <v/>
      </c>
      <c r="AA186" s="130"/>
      <c r="AB186" s="130" t="str">
        <f t="shared" si="85"/>
        <v>Unassigned</v>
      </c>
      <c r="AC186" s="131" t="str">
        <f t="shared" si="99"/>
        <v/>
      </c>
      <c r="AD186" s="131" t="str">
        <f t="shared" si="100"/>
        <v/>
      </c>
      <c r="AE186" s="132">
        <f t="shared" si="86"/>
        <v>0</v>
      </c>
      <c r="AF186" s="133" t="str">
        <f t="shared" si="101"/>
        <v/>
      </c>
      <c r="AG186" s="134">
        <f t="shared" si="87"/>
        <v>0</v>
      </c>
      <c r="AH186" s="54" t="str">
        <f t="shared" si="88"/>
        <v/>
      </c>
      <c r="AI186" s="54" t="str">
        <f t="shared" si="109"/>
        <v/>
      </c>
      <c r="AJ186" s="54" t="str">
        <f t="shared" si="109"/>
        <v/>
      </c>
      <c r="AK186" s="54" t="str">
        <f t="shared" si="109"/>
        <v/>
      </c>
      <c r="AL186" s="54" t="str">
        <f t="shared" si="109"/>
        <v/>
      </c>
      <c r="AM186" s="54" t="str">
        <f t="shared" si="109"/>
        <v/>
      </c>
      <c r="AN186" s="54" t="str">
        <f t="shared" si="109"/>
        <v/>
      </c>
      <c r="AO186" s="54" t="str">
        <f t="shared" si="109"/>
        <v/>
      </c>
      <c r="AP186" s="54" t="str">
        <f t="shared" si="109"/>
        <v/>
      </c>
      <c r="AQ186" s="54" t="str">
        <f t="shared" si="109"/>
        <v/>
      </c>
      <c r="AR186" s="54" t="str">
        <f t="shared" si="109"/>
        <v/>
      </c>
      <c r="AS186" s="54" t="str">
        <f t="shared" si="109"/>
        <v/>
      </c>
      <c r="AT186" s="54" t="str">
        <f t="shared" si="109"/>
        <v/>
      </c>
      <c r="AU186" s="54" t="str">
        <f t="shared" si="109"/>
        <v/>
      </c>
      <c r="AV186" s="54" t="str">
        <f t="shared" si="109"/>
        <v/>
      </c>
      <c r="AW186" s="54" t="str">
        <f t="shared" si="109"/>
        <v/>
      </c>
      <c r="AX186" s="54" t="str">
        <f t="shared" si="109"/>
        <v/>
      </c>
      <c r="AY186" s="54" t="str">
        <f t="shared" si="90"/>
        <v/>
      </c>
      <c r="AZ186" s="54" t="str">
        <f t="shared" si="91"/>
        <v/>
      </c>
      <c r="BA186" s="54" t="str">
        <f t="shared" si="92"/>
        <v/>
      </c>
      <c r="BB186" s="135" t="str">
        <f t="shared" si="93"/>
        <v/>
      </c>
      <c r="BC186" s="54" t="str">
        <f t="shared" si="110"/>
        <v/>
      </c>
      <c r="BD186" s="54" t="str">
        <f t="shared" si="110"/>
        <v/>
      </c>
      <c r="BE186" s="54" t="str">
        <f t="shared" si="110"/>
        <v/>
      </c>
      <c r="BF186" s="54" t="str">
        <f t="shared" si="94"/>
        <v/>
      </c>
      <c r="BG186" s="54" t="str">
        <f t="shared" si="95"/>
        <v/>
      </c>
      <c r="BH186" s="34" t="str">
        <f t="shared" si="96"/>
        <v>Bad</v>
      </c>
      <c r="BI186" s="34" t="str">
        <f t="shared" si="97"/>
        <v>No</v>
      </c>
      <c r="BJ186" s="136" t="str">
        <f>IF($D186&lt;&gt;"Feature",".",
IF(VLOOKUP($B186,Feature_List!$A:$AM,MATCH(BJ$1,  Feature_List!$A$1:$AM$1,0),0)=B186,".","NO"))</f>
        <v>.</v>
      </c>
      <c r="BK186" s="136"/>
      <c r="BL186" s="136"/>
      <c r="BM186" s="136" t="str">
        <f>IF($D186&lt;&gt;"Feature",".",
IF(VLOOKUP($B186,Feature_List!$A:$AM,MATCH(BM$1,  Feature_List!$A$1:$AM$1,0),0)=E186,".","NO"))</f>
        <v>.</v>
      </c>
      <c r="BN186" s="136" t="str">
        <f>IF($D186&lt;&gt;"Feature",".",
IF(VLOOKUP($B186,Feature_List!$A:$AM,MATCH(BN$1,  Feature_List!$A$1:$AM$1,0),0)=F186,".","NO"))</f>
        <v>.</v>
      </c>
      <c r="BO186" s="136" t="str">
        <f>IF($D186&lt;&gt;"Feature",".",
IF(VLOOKUP($B186,Feature_List!$A:$AM,MATCH(BO$1,  Feature_List!$A$1:$AM$1,0),0)=G186,".","NO"))</f>
        <v>.</v>
      </c>
      <c r="BP186" s="136" t="str">
        <f>IF($D186&lt;&gt;"Feature",".",
IF(VLOOKUP($B186,Feature_List!$A:$AM,MATCH(BP$1,  Feature_List!$A$1:$AM$1,0),0)=H186,".","NO"))</f>
        <v>.</v>
      </c>
      <c r="BQ186" s="136"/>
      <c r="BR186" s="136" t="str">
        <f>IF($D186&lt;&gt;"Feature",".",
IF(VLOOKUP($B186,Feature_List!$A:$AM,MATCH(BR$1,  Feature_List!$A$1:$AM$1,0),0)=J186,".","NO"))</f>
        <v>.</v>
      </c>
      <c r="BS186" s="136"/>
      <c r="BT186" s="136"/>
      <c r="BU186" s="136" t="str">
        <f>IF($D186&lt;&gt;"Feature",".",
IF(VLOOKUP($B186,Feature_List!$A:$AM,MATCH(BU$1,  Feature_List!$A$1:$AM$1,0),0)=M186,".","NO"))</f>
        <v>.</v>
      </c>
      <c r="BV186" s="136" t="str">
        <f>IF($D186&lt;&gt;"Feature",".",
IF(VLOOKUP($B186,Feature_List!$A:$AM,MATCH(BV$1,  Feature_List!$A$1:$AM$1,0),0)=N186,".","NO"))</f>
        <v>.</v>
      </c>
      <c r="BW186" s="136"/>
      <c r="BX186" s="136"/>
      <c r="BY186" s="136"/>
      <c r="BZ186" s="136"/>
      <c r="CA186" s="136"/>
      <c r="CB186" s="136" t="str">
        <f>IF($D186&lt;&gt;"Feature",".",
IF(VLOOKUP($B186,Feature_List!$A:$AM,MATCH(CB$1,  Feature_List!$A$1:$AM$1,0),0)=T186,".","NO"))</f>
        <v>.</v>
      </c>
      <c r="CC186" s="136"/>
      <c r="CD186" s="136"/>
      <c r="CE186" s="136"/>
      <c r="CF186" s="136"/>
      <c r="CG186" s="136"/>
      <c r="CH186" s="136"/>
      <c r="CI186" s="136"/>
      <c r="CJ186" s="136"/>
      <c r="CK186" s="136"/>
      <c r="CL186" s="136"/>
      <c r="CM186" s="136"/>
      <c r="CN186" s="136"/>
      <c r="CO186" s="136" t="str">
        <f>IF($D186&lt;&gt;"Feature",".",
IF(VLOOKUP($B186,Feature_List!$A:$AM,MATCH(CO$1,  Feature_List!$A$1:$AM$1,0),0)=AG186,".","NO"))</f>
        <v>.</v>
      </c>
      <c r="CP186" s="136" t="str">
        <f>IF($D186&lt;&gt;"Feature",".",
IF(VLOOKUP($B186,Feature_List!$A:$AM,MATCH(CP$1,  Feature_List!$A$1:$AM$1,0),0)=AH186,".","NO"))</f>
        <v>.</v>
      </c>
      <c r="CQ186" s="136" t="str">
        <f>IF($D186&lt;&gt;"Feature",".",
IF(VLOOKUP($B186,Feature_List!$A:$AM,MATCH(CQ$1,  Feature_List!$A$1:$AM$1,0),0)=AI186,".","NO"))</f>
        <v>.</v>
      </c>
      <c r="CR186" s="136" t="str">
        <f>IF($D186&lt;&gt;"Feature",".",
IF(VLOOKUP($B186,Feature_List!$A:$AM,MATCH(CR$1,  Feature_List!$A$1:$AM$1,0),0)=AJ186,".","NO"))</f>
        <v>.</v>
      </c>
      <c r="CS186" s="136" t="str">
        <f>IF($D186&lt;&gt;"Feature",".",
IF(VLOOKUP($B186,Feature_List!$A:$AM,MATCH(CS$1,  Feature_List!$A$1:$AM$1,0),0)=AK186,".","NO"))</f>
        <v>.</v>
      </c>
      <c r="CT186" s="136" t="str">
        <f>IF($D186&lt;&gt;"Feature",".",
IF(VLOOKUP($B186,Feature_List!$A:$AM,MATCH(CT$1,  Feature_List!$A$1:$AM$1,0),0)=AL186,".","NO"))</f>
        <v>.</v>
      </c>
      <c r="CU186" s="136" t="str">
        <f>IF($D186&lt;&gt;"Feature",".",
IF(VLOOKUP($B186,Feature_List!$A:$AM,MATCH(CU$1,  Feature_List!$A$1:$AM$1,0),0)=AM186,".","NO"))</f>
        <v>.</v>
      </c>
      <c r="CV186" s="136" t="str">
        <f>IF($D186&lt;&gt;"Feature",".",
IF(VLOOKUP($B186,Feature_List!$A:$AM,MATCH(CV$1,  Feature_List!$A$1:$AM$1,0),0)=AN186,".","NO"))</f>
        <v>.</v>
      </c>
      <c r="CW186" s="136" t="str">
        <f>IF($D186&lt;&gt;"Feature",".",
IF(VLOOKUP($B186,Feature_List!$A:$AM,MATCH(CW$1,  Feature_List!$A$1:$AM$1,0),0)=AO186,".","NO"))</f>
        <v>.</v>
      </c>
      <c r="CX186" s="136" t="str">
        <f>IF($D186&lt;&gt;"Feature",".",
IF(VLOOKUP($B186,Feature_List!$A:$AM,MATCH(CX$1,  Feature_List!$A$1:$AM$1,0),0)=AP186,".","NO"))</f>
        <v>.</v>
      </c>
      <c r="CY186" s="136" t="str">
        <f>IF($D186&lt;&gt;"Feature",".",
IF(VLOOKUP($B186,Feature_List!$A:$AM,MATCH(CY$1,  Feature_List!$A$1:$AM$1,0),0)=AQ186,".","NO"))</f>
        <v>.</v>
      </c>
      <c r="CZ186" s="136" t="str">
        <f>IF($D186&lt;&gt;"Feature",".",
IF(VLOOKUP($B186,Feature_List!$A:$AM,MATCH(CZ$1,  Feature_List!$A$1:$AM$1,0),0)=AR186,".","NO"))</f>
        <v>.</v>
      </c>
      <c r="DA186" s="136" t="str">
        <f>IF($D186&lt;&gt;"Feature",".",
IF(VLOOKUP($B186,Feature_List!$A:$AM,MATCH(DA$1,  Feature_List!$A$1:$AM$1,0),0)=AS186,".","NO"))</f>
        <v>.</v>
      </c>
      <c r="DB186" s="136" t="str">
        <f>IF($D186&lt;&gt;"Feature",".",
IF(VLOOKUP($B186,Feature_List!$A:$AM,MATCH(DB$1,  Feature_List!$A$1:$AM$1,0),0)=AT186,".","NO"))</f>
        <v>.</v>
      </c>
      <c r="DC186" s="136" t="str">
        <f>IF($D186&lt;&gt;"Feature",".",
IF(VLOOKUP($B186,Feature_List!$A:$AM,MATCH(DC$1,  Feature_List!$A$1:$AM$1,0),0)=AU186,".","NO"))</f>
        <v>.</v>
      </c>
      <c r="DD186" s="136" t="str">
        <f>IF($D186&lt;&gt;"Feature",".",
IF(VLOOKUP($B186,Feature_List!$A:$AM,MATCH(DD$1,  Feature_List!$A$1:$AM$1,0),0)=AV186,".","NO"))</f>
        <v>.</v>
      </c>
      <c r="DE186" s="136" t="str">
        <f>IF($D186&lt;&gt;"Feature",".",
IF(VLOOKUP($B186,Feature_List!$A:$AM,MATCH(DE$1,  Feature_List!$A$1:$AM$1,0),0)=AW186,".","NO"))</f>
        <v>.</v>
      </c>
      <c r="DF186" s="136" t="str">
        <f>IF($D186&lt;&gt;"Feature",".",
IF(VLOOKUP($B186,Feature_List!$A:$AM,MATCH(DF$1,  Feature_List!$A$1:$AM$1,0),0)=AX186,".","NO"))</f>
        <v>.</v>
      </c>
      <c r="DG186" s="136" t="str">
        <f>IF($D186&lt;&gt;"Feature",".",
IF(VLOOKUP($B186,Feature_List!$A:$AM,MATCH(DG$1,  Feature_List!$A$1:$AM$1,0),0)=AY186,".","NO"))</f>
        <v>.</v>
      </c>
      <c r="DH186" s="136" t="str">
        <f>IF($D186&lt;&gt;"Feature",".",
IF(VLOOKUP($B186,Feature_List!$A:$AM,MATCH(DH$1,  Feature_List!$A$1:$AM$1,0),0)=AZ186,".","NO"))</f>
        <v>.</v>
      </c>
      <c r="DI186" s="136" t="str">
        <f>IF($D186&lt;&gt;"Feature",".",
IF(VLOOKUP($B186,Feature_List!$A:$AM,MATCH(DI$1,  Feature_List!$A$1:$AM$1,0),0)=BA186,".","NO"))</f>
        <v>.</v>
      </c>
      <c r="DJ186" s="136" t="str">
        <f>IF($D186&lt;&gt;"Feature",".",
IF(VLOOKUP($B186,Feature_List!$A:$AM,MATCH(DJ$1,  Feature_List!$A$1:$AM$1,0),0)=BB186,".","NO"))</f>
        <v>.</v>
      </c>
      <c r="DK186" s="136"/>
      <c r="DL186" s="136"/>
      <c r="DM186" s="136"/>
      <c r="DN186" s="136" t="str">
        <f>IF($D186&lt;&gt;"Feature",".",
IF(VLOOKUP($B186,Feature_List!$A:$AM,MATCH(DN$1,  Feature_List!$A$1:$AM$1,0),0)=BC186,".","NO"))</f>
        <v>.</v>
      </c>
      <c r="DO186" s="136" t="str">
        <f>IF($D186&lt;&gt;"Feature",".",
IF(VLOOKUP($B186,Feature_List!$A:$AM,MATCH(DO$1,  Feature_List!$A$1:$AM$1,0),0)=BD186,".","NO"))</f>
        <v>.</v>
      </c>
    </row>
    <row r="187" spans="2:119" x14ac:dyDescent="0.3">
      <c r="B187" s="121"/>
      <c r="C187" s="123"/>
      <c r="D187" s="122"/>
      <c r="E187" s="122"/>
      <c r="F187" s="138"/>
      <c r="G187" s="123"/>
      <c r="H187" s="122"/>
      <c r="I187" s="124"/>
      <c r="J187" s="138"/>
      <c r="K187" s="123"/>
      <c r="L187" s="122"/>
      <c r="M187" s="122"/>
      <c r="N187" s="125"/>
      <c r="O187" s="123">
        <f t="shared" si="75"/>
        <v>0</v>
      </c>
      <c r="P187" s="123">
        <f t="shared" si="76"/>
        <v>0</v>
      </c>
      <c r="Q187" s="122" t="str">
        <f t="shared" si="98"/>
        <v>ZeroEntry</v>
      </c>
      <c r="R187" s="126" t="str">
        <f t="shared" si="77"/>
        <v>ZeroEntry</v>
      </c>
      <c r="S187" s="127" t="str">
        <f t="shared" si="78"/>
        <v>ZeroEntry</v>
      </c>
      <c r="T187" s="128" t="str">
        <f>IF($Q187="ZeroEntry", "",VLOOKUP($I187,'Ranking Lookup'!#REF!,2,FALSE))</f>
        <v/>
      </c>
      <c r="U187" s="129" t="str">
        <f t="shared" si="79"/>
        <v/>
      </c>
      <c r="V187" s="129" t="str">
        <f t="shared" si="80"/>
        <v/>
      </c>
      <c r="W187" s="129" t="str">
        <f t="shared" si="81"/>
        <v/>
      </c>
      <c r="X187" s="129" t="str">
        <f t="shared" si="82"/>
        <v/>
      </c>
      <c r="Y187" s="129" t="str">
        <f t="shared" si="83"/>
        <v/>
      </c>
      <c r="Z187" s="129" t="str">
        <f t="shared" si="84"/>
        <v/>
      </c>
      <c r="AA187" s="130"/>
      <c r="AB187" s="130" t="str">
        <f t="shared" si="85"/>
        <v>Unassigned</v>
      </c>
      <c r="AC187" s="131" t="str">
        <f t="shared" si="99"/>
        <v/>
      </c>
      <c r="AD187" s="131" t="str">
        <f t="shared" si="100"/>
        <v/>
      </c>
      <c r="AE187" s="132">
        <f t="shared" si="86"/>
        <v>0</v>
      </c>
      <c r="AF187" s="133" t="str">
        <f t="shared" si="101"/>
        <v/>
      </c>
      <c r="AG187" s="134">
        <f t="shared" si="87"/>
        <v>0</v>
      </c>
      <c r="AH187" s="54" t="str">
        <f t="shared" si="88"/>
        <v/>
      </c>
      <c r="AI187" s="54" t="str">
        <f t="shared" si="109"/>
        <v/>
      </c>
      <c r="AJ187" s="54" t="str">
        <f t="shared" si="109"/>
        <v/>
      </c>
      <c r="AK187" s="54" t="str">
        <f t="shared" si="109"/>
        <v/>
      </c>
      <c r="AL187" s="54" t="str">
        <f t="shared" si="109"/>
        <v/>
      </c>
      <c r="AM187" s="54" t="str">
        <f t="shared" si="109"/>
        <v/>
      </c>
      <c r="AN187" s="54" t="str">
        <f t="shared" si="109"/>
        <v/>
      </c>
      <c r="AO187" s="54" t="str">
        <f t="shared" si="109"/>
        <v/>
      </c>
      <c r="AP187" s="54" t="str">
        <f t="shared" si="109"/>
        <v/>
      </c>
      <c r="AQ187" s="54" t="str">
        <f t="shared" si="109"/>
        <v/>
      </c>
      <c r="AR187" s="54" t="str">
        <f t="shared" si="109"/>
        <v/>
      </c>
      <c r="AS187" s="54" t="str">
        <f t="shared" si="109"/>
        <v/>
      </c>
      <c r="AT187" s="54" t="str">
        <f t="shared" si="109"/>
        <v/>
      </c>
      <c r="AU187" s="54" t="str">
        <f t="shared" si="109"/>
        <v/>
      </c>
      <c r="AV187" s="54" t="str">
        <f t="shared" si="109"/>
        <v/>
      </c>
      <c r="AW187" s="54" t="str">
        <f t="shared" si="109"/>
        <v/>
      </c>
      <c r="AX187" s="54" t="str">
        <f t="shared" si="109"/>
        <v/>
      </c>
      <c r="AY187" s="54" t="str">
        <f t="shared" si="90"/>
        <v/>
      </c>
      <c r="AZ187" s="54" t="str">
        <f t="shared" si="91"/>
        <v/>
      </c>
      <c r="BA187" s="54" t="str">
        <f t="shared" si="92"/>
        <v/>
      </c>
      <c r="BB187" s="135" t="str">
        <f t="shared" si="93"/>
        <v/>
      </c>
      <c r="BC187" s="54" t="str">
        <f t="shared" si="110"/>
        <v/>
      </c>
      <c r="BD187" s="54" t="str">
        <f t="shared" si="110"/>
        <v/>
      </c>
      <c r="BE187" s="54" t="str">
        <f t="shared" si="110"/>
        <v/>
      </c>
      <c r="BF187" s="54" t="str">
        <f t="shared" si="94"/>
        <v/>
      </c>
      <c r="BG187" s="54" t="str">
        <f t="shared" si="95"/>
        <v/>
      </c>
      <c r="BH187" s="34" t="str">
        <f t="shared" si="96"/>
        <v>Bad</v>
      </c>
      <c r="BI187" s="34" t="str">
        <f t="shared" si="97"/>
        <v>No</v>
      </c>
      <c r="BJ187" s="136" t="str">
        <f>IF($D187&lt;&gt;"Feature",".",
IF(VLOOKUP($B187,Feature_List!$A:$AM,MATCH(BJ$1,  Feature_List!$A$1:$AM$1,0),0)=B187,".","NO"))</f>
        <v>.</v>
      </c>
      <c r="BK187" s="136"/>
      <c r="BL187" s="136"/>
      <c r="BM187" s="136" t="str">
        <f>IF($D187&lt;&gt;"Feature",".",
IF(VLOOKUP($B187,Feature_List!$A:$AM,MATCH(BM$1,  Feature_List!$A$1:$AM$1,0),0)=E187,".","NO"))</f>
        <v>.</v>
      </c>
      <c r="BN187" s="136" t="str">
        <f>IF($D187&lt;&gt;"Feature",".",
IF(VLOOKUP($B187,Feature_List!$A:$AM,MATCH(BN$1,  Feature_List!$A$1:$AM$1,0),0)=F187,".","NO"))</f>
        <v>.</v>
      </c>
      <c r="BO187" s="136" t="str">
        <f>IF($D187&lt;&gt;"Feature",".",
IF(VLOOKUP($B187,Feature_List!$A:$AM,MATCH(BO$1,  Feature_List!$A$1:$AM$1,0),0)=G187,".","NO"))</f>
        <v>.</v>
      </c>
      <c r="BP187" s="136" t="str">
        <f>IF($D187&lt;&gt;"Feature",".",
IF(VLOOKUP($B187,Feature_List!$A:$AM,MATCH(BP$1,  Feature_List!$A$1:$AM$1,0),0)=H187,".","NO"))</f>
        <v>.</v>
      </c>
      <c r="BQ187" s="136"/>
      <c r="BR187" s="136" t="str">
        <f>IF($D187&lt;&gt;"Feature",".",
IF(VLOOKUP($B187,Feature_List!$A:$AM,MATCH(BR$1,  Feature_List!$A$1:$AM$1,0),0)=J187,".","NO"))</f>
        <v>.</v>
      </c>
      <c r="BS187" s="136"/>
      <c r="BT187" s="136"/>
      <c r="BU187" s="136" t="str">
        <f>IF($D187&lt;&gt;"Feature",".",
IF(VLOOKUP($B187,Feature_List!$A:$AM,MATCH(BU$1,  Feature_List!$A$1:$AM$1,0),0)=M187,".","NO"))</f>
        <v>.</v>
      </c>
      <c r="BV187" s="136" t="str">
        <f>IF($D187&lt;&gt;"Feature",".",
IF(VLOOKUP($B187,Feature_List!$A:$AM,MATCH(BV$1,  Feature_List!$A$1:$AM$1,0),0)=N187,".","NO"))</f>
        <v>.</v>
      </c>
      <c r="BW187" s="136"/>
      <c r="BX187" s="136"/>
      <c r="BY187" s="136"/>
      <c r="BZ187" s="136"/>
      <c r="CA187" s="136"/>
      <c r="CB187" s="136" t="str">
        <f>IF($D187&lt;&gt;"Feature",".",
IF(VLOOKUP($B187,Feature_List!$A:$AM,MATCH(CB$1,  Feature_List!$A$1:$AM$1,0),0)=T187,".","NO"))</f>
        <v>.</v>
      </c>
      <c r="CC187" s="136"/>
      <c r="CD187" s="136"/>
      <c r="CE187" s="136"/>
      <c r="CF187" s="136"/>
      <c r="CG187" s="136"/>
      <c r="CH187" s="136"/>
      <c r="CI187" s="136"/>
      <c r="CJ187" s="136"/>
      <c r="CK187" s="136"/>
      <c r="CL187" s="136"/>
      <c r="CM187" s="136"/>
      <c r="CN187" s="136"/>
      <c r="CO187" s="136" t="str">
        <f>IF($D187&lt;&gt;"Feature",".",
IF(VLOOKUP($B187,Feature_List!$A:$AM,MATCH(CO$1,  Feature_List!$A$1:$AM$1,0),0)=AG187,".","NO"))</f>
        <v>.</v>
      </c>
      <c r="CP187" s="136" t="str">
        <f>IF($D187&lt;&gt;"Feature",".",
IF(VLOOKUP($B187,Feature_List!$A:$AM,MATCH(CP$1,  Feature_List!$A$1:$AM$1,0),0)=AH187,".","NO"))</f>
        <v>.</v>
      </c>
      <c r="CQ187" s="136" t="str">
        <f>IF($D187&lt;&gt;"Feature",".",
IF(VLOOKUP($B187,Feature_List!$A:$AM,MATCH(CQ$1,  Feature_List!$A$1:$AM$1,0),0)=AI187,".","NO"))</f>
        <v>.</v>
      </c>
      <c r="CR187" s="136" t="str">
        <f>IF($D187&lt;&gt;"Feature",".",
IF(VLOOKUP($B187,Feature_List!$A:$AM,MATCH(CR$1,  Feature_List!$A$1:$AM$1,0),0)=AJ187,".","NO"))</f>
        <v>.</v>
      </c>
      <c r="CS187" s="136" t="str">
        <f>IF($D187&lt;&gt;"Feature",".",
IF(VLOOKUP($B187,Feature_List!$A:$AM,MATCH(CS$1,  Feature_List!$A$1:$AM$1,0),0)=AK187,".","NO"))</f>
        <v>.</v>
      </c>
      <c r="CT187" s="136" t="str">
        <f>IF($D187&lt;&gt;"Feature",".",
IF(VLOOKUP($B187,Feature_List!$A:$AM,MATCH(CT$1,  Feature_List!$A$1:$AM$1,0),0)=AL187,".","NO"))</f>
        <v>.</v>
      </c>
      <c r="CU187" s="136" t="str">
        <f>IF($D187&lt;&gt;"Feature",".",
IF(VLOOKUP($B187,Feature_List!$A:$AM,MATCH(CU$1,  Feature_List!$A$1:$AM$1,0),0)=AM187,".","NO"))</f>
        <v>.</v>
      </c>
      <c r="CV187" s="136" t="str">
        <f>IF($D187&lt;&gt;"Feature",".",
IF(VLOOKUP($B187,Feature_List!$A:$AM,MATCH(CV$1,  Feature_List!$A$1:$AM$1,0),0)=AN187,".","NO"))</f>
        <v>.</v>
      </c>
      <c r="CW187" s="136" t="str">
        <f>IF($D187&lt;&gt;"Feature",".",
IF(VLOOKUP($B187,Feature_List!$A:$AM,MATCH(CW$1,  Feature_List!$A$1:$AM$1,0),0)=AO187,".","NO"))</f>
        <v>.</v>
      </c>
      <c r="CX187" s="136" t="str">
        <f>IF($D187&lt;&gt;"Feature",".",
IF(VLOOKUP($B187,Feature_List!$A:$AM,MATCH(CX$1,  Feature_List!$A$1:$AM$1,0),0)=AP187,".","NO"))</f>
        <v>.</v>
      </c>
      <c r="CY187" s="136" t="str">
        <f>IF($D187&lt;&gt;"Feature",".",
IF(VLOOKUP($B187,Feature_List!$A:$AM,MATCH(CY$1,  Feature_List!$A$1:$AM$1,0),0)=AQ187,".","NO"))</f>
        <v>.</v>
      </c>
      <c r="CZ187" s="136" t="str">
        <f>IF($D187&lt;&gt;"Feature",".",
IF(VLOOKUP($B187,Feature_List!$A:$AM,MATCH(CZ$1,  Feature_List!$A$1:$AM$1,0),0)=AR187,".","NO"))</f>
        <v>.</v>
      </c>
      <c r="DA187" s="136" t="str">
        <f>IF($D187&lt;&gt;"Feature",".",
IF(VLOOKUP($B187,Feature_List!$A:$AM,MATCH(DA$1,  Feature_List!$A$1:$AM$1,0),0)=AS187,".","NO"))</f>
        <v>.</v>
      </c>
      <c r="DB187" s="136" t="str">
        <f>IF($D187&lt;&gt;"Feature",".",
IF(VLOOKUP($B187,Feature_List!$A:$AM,MATCH(DB$1,  Feature_List!$A$1:$AM$1,0),0)=AT187,".","NO"))</f>
        <v>.</v>
      </c>
      <c r="DC187" s="136" t="str">
        <f>IF($D187&lt;&gt;"Feature",".",
IF(VLOOKUP($B187,Feature_List!$A:$AM,MATCH(DC$1,  Feature_List!$A$1:$AM$1,0),0)=AU187,".","NO"))</f>
        <v>.</v>
      </c>
      <c r="DD187" s="136" t="str">
        <f>IF($D187&lt;&gt;"Feature",".",
IF(VLOOKUP($B187,Feature_List!$A:$AM,MATCH(DD$1,  Feature_List!$A$1:$AM$1,0),0)=AV187,".","NO"))</f>
        <v>.</v>
      </c>
      <c r="DE187" s="136" t="str">
        <f>IF($D187&lt;&gt;"Feature",".",
IF(VLOOKUP($B187,Feature_List!$A:$AM,MATCH(DE$1,  Feature_List!$A$1:$AM$1,0),0)=AW187,".","NO"))</f>
        <v>.</v>
      </c>
      <c r="DF187" s="136" t="str">
        <f>IF($D187&lt;&gt;"Feature",".",
IF(VLOOKUP($B187,Feature_List!$A:$AM,MATCH(DF$1,  Feature_List!$A$1:$AM$1,0),0)=AX187,".","NO"))</f>
        <v>.</v>
      </c>
      <c r="DG187" s="136" t="str">
        <f>IF($D187&lt;&gt;"Feature",".",
IF(VLOOKUP($B187,Feature_List!$A:$AM,MATCH(DG$1,  Feature_List!$A$1:$AM$1,0),0)=AY187,".","NO"))</f>
        <v>.</v>
      </c>
      <c r="DH187" s="136" t="str">
        <f>IF($D187&lt;&gt;"Feature",".",
IF(VLOOKUP($B187,Feature_List!$A:$AM,MATCH(DH$1,  Feature_List!$A$1:$AM$1,0),0)=AZ187,".","NO"))</f>
        <v>.</v>
      </c>
      <c r="DI187" s="136" t="str">
        <f>IF($D187&lt;&gt;"Feature",".",
IF(VLOOKUP($B187,Feature_List!$A:$AM,MATCH(DI$1,  Feature_List!$A$1:$AM$1,0),0)=BA187,".","NO"))</f>
        <v>.</v>
      </c>
      <c r="DJ187" s="136" t="str">
        <f>IF($D187&lt;&gt;"Feature",".",
IF(VLOOKUP($B187,Feature_List!$A:$AM,MATCH(DJ$1,  Feature_List!$A$1:$AM$1,0),0)=BB187,".","NO"))</f>
        <v>.</v>
      </c>
      <c r="DK187" s="136"/>
      <c r="DL187" s="136"/>
      <c r="DM187" s="136"/>
      <c r="DN187" s="136" t="str">
        <f>IF($D187&lt;&gt;"Feature",".",
IF(VLOOKUP($B187,Feature_List!$A:$AM,MATCH(DN$1,  Feature_List!$A$1:$AM$1,0),0)=BC187,".","NO"))</f>
        <v>.</v>
      </c>
      <c r="DO187" s="136" t="str">
        <f>IF($D187&lt;&gt;"Feature",".",
IF(VLOOKUP($B187,Feature_List!$A:$AM,MATCH(DO$1,  Feature_List!$A$1:$AM$1,0),0)=BD187,".","NO"))</f>
        <v>.</v>
      </c>
    </row>
    <row r="188" spans="2:119" x14ac:dyDescent="0.3">
      <c r="B188" s="121"/>
      <c r="C188" s="123"/>
      <c r="D188" s="122"/>
      <c r="E188" s="122"/>
      <c r="F188" s="138"/>
      <c r="G188" s="123"/>
      <c r="H188" s="122"/>
      <c r="I188" s="122"/>
      <c r="J188" s="138"/>
      <c r="K188" s="123"/>
      <c r="L188" s="122"/>
      <c r="M188" s="122"/>
      <c r="N188" s="125"/>
      <c r="O188" s="123">
        <f t="shared" si="75"/>
        <v>0</v>
      </c>
      <c r="P188" s="123">
        <f t="shared" si="76"/>
        <v>0</v>
      </c>
      <c r="Q188" s="122" t="str">
        <f t="shared" si="98"/>
        <v>ZeroEntry</v>
      </c>
      <c r="R188" s="126" t="str">
        <f t="shared" si="77"/>
        <v>ZeroEntry</v>
      </c>
      <c r="S188" s="127" t="str">
        <f t="shared" si="78"/>
        <v>ZeroEntry</v>
      </c>
      <c r="T188" s="128" t="str">
        <f>IF($Q188="ZeroEntry", "",VLOOKUP($I188,'Ranking Lookup'!#REF!,2,FALSE))</f>
        <v/>
      </c>
      <c r="U188" s="129" t="str">
        <f t="shared" si="79"/>
        <v/>
      </c>
      <c r="V188" s="129" t="str">
        <f t="shared" si="80"/>
        <v/>
      </c>
      <c r="W188" s="129" t="str">
        <f t="shared" si="81"/>
        <v/>
      </c>
      <c r="X188" s="129" t="str">
        <f t="shared" si="82"/>
        <v/>
      </c>
      <c r="Y188" s="129" t="str">
        <f t="shared" si="83"/>
        <v/>
      </c>
      <c r="Z188" s="129" t="str">
        <f t="shared" si="84"/>
        <v/>
      </c>
      <c r="AA188" s="130"/>
      <c r="AB188" s="130" t="str">
        <f t="shared" si="85"/>
        <v>Unassigned</v>
      </c>
      <c r="AC188" s="131" t="str">
        <f t="shared" si="99"/>
        <v/>
      </c>
      <c r="AD188" s="131" t="str">
        <f t="shared" si="100"/>
        <v/>
      </c>
      <c r="AE188" s="132">
        <f t="shared" si="86"/>
        <v>0</v>
      </c>
      <c r="AF188" s="133" t="str">
        <f t="shared" si="101"/>
        <v/>
      </c>
      <c r="AG188" s="134">
        <f t="shared" si="87"/>
        <v>0</v>
      </c>
      <c r="AH188" s="54" t="str">
        <f t="shared" si="88"/>
        <v/>
      </c>
      <c r="AI188" s="54" t="str">
        <f t="shared" si="109"/>
        <v/>
      </c>
      <c r="AJ188" s="54" t="str">
        <f t="shared" si="109"/>
        <v/>
      </c>
      <c r="AK188" s="54" t="str">
        <f t="shared" si="109"/>
        <v/>
      </c>
      <c r="AL188" s="54" t="str">
        <f t="shared" si="109"/>
        <v/>
      </c>
      <c r="AM188" s="54" t="str">
        <f t="shared" si="109"/>
        <v/>
      </c>
      <c r="AN188" s="54" t="str">
        <f t="shared" si="109"/>
        <v/>
      </c>
      <c r="AO188" s="54" t="str">
        <f t="shared" si="109"/>
        <v/>
      </c>
      <c r="AP188" s="54" t="str">
        <f t="shared" si="109"/>
        <v/>
      </c>
      <c r="AQ188" s="54" t="str">
        <f t="shared" si="109"/>
        <v/>
      </c>
      <c r="AR188" s="54" t="str">
        <f t="shared" si="109"/>
        <v/>
      </c>
      <c r="AS188" s="54" t="str">
        <f t="shared" si="109"/>
        <v/>
      </c>
      <c r="AT188" s="54" t="str">
        <f t="shared" si="109"/>
        <v/>
      </c>
      <c r="AU188" s="54" t="str">
        <f t="shared" si="109"/>
        <v/>
      </c>
      <c r="AV188" s="54" t="str">
        <f t="shared" si="109"/>
        <v/>
      </c>
      <c r="AW188" s="54" t="str">
        <f t="shared" si="109"/>
        <v/>
      </c>
      <c r="AX188" s="54" t="str">
        <f t="shared" si="109"/>
        <v/>
      </c>
      <c r="AY188" s="54" t="str">
        <f t="shared" si="90"/>
        <v/>
      </c>
      <c r="AZ188" s="54" t="str">
        <f t="shared" si="91"/>
        <v/>
      </c>
      <c r="BA188" s="54" t="str">
        <f t="shared" si="92"/>
        <v/>
      </c>
      <c r="BB188" s="135" t="str">
        <f t="shared" si="93"/>
        <v/>
      </c>
      <c r="BC188" s="54" t="str">
        <f t="shared" si="110"/>
        <v/>
      </c>
      <c r="BD188" s="54" t="str">
        <f t="shared" si="110"/>
        <v/>
      </c>
      <c r="BE188" s="54" t="str">
        <f t="shared" si="110"/>
        <v/>
      </c>
      <c r="BF188" s="54" t="str">
        <f t="shared" si="94"/>
        <v/>
      </c>
      <c r="BG188" s="54" t="str">
        <f t="shared" si="95"/>
        <v/>
      </c>
      <c r="BH188" s="34" t="str">
        <f t="shared" si="96"/>
        <v>Bad</v>
      </c>
      <c r="BI188" s="34" t="str">
        <f t="shared" si="97"/>
        <v>No</v>
      </c>
      <c r="BJ188" s="136" t="str">
        <f>IF($D188&lt;&gt;"Feature",".",
IF(VLOOKUP($B188,Feature_List!$A:$AM,MATCH(BJ$1,  Feature_List!$A$1:$AM$1,0),0)=B188,".","NO"))</f>
        <v>.</v>
      </c>
      <c r="BK188" s="136"/>
      <c r="BL188" s="136"/>
      <c r="BM188" s="136" t="str">
        <f>IF($D188&lt;&gt;"Feature",".",
IF(VLOOKUP($B188,Feature_List!$A:$AM,MATCH(BM$1,  Feature_List!$A$1:$AM$1,0),0)=E188,".","NO"))</f>
        <v>.</v>
      </c>
      <c r="BN188" s="136" t="str">
        <f>IF($D188&lt;&gt;"Feature",".",
IF(VLOOKUP($B188,Feature_List!$A:$AM,MATCH(BN$1,  Feature_List!$A$1:$AM$1,0),0)=F188,".","NO"))</f>
        <v>.</v>
      </c>
      <c r="BO188" s="136" t="str">
        <f>IF($D188&lt;&gt;"Feature",".",
IF(VLOOKUP($B188,Feature_List!$A:$AM,MATCH(BO$1,  Feature_List!$A$1:$AM$1,0),0)=G188,".","NO"))</f>
        <v>.</v>
      </c>
      <c r="BP188" s="136" t="str">
        <f>IF($D188&lt;&gt;"Feature",".",
IF(VLOOKUP($B188,Feature_List!$A:$AM,MATCH(BP$1,  Feature_List!$A$1:$AM$1,0),0)=H188,".","NO"))</f>
        <v>.</v>
      </c>
      <c r="BQ188" s="136"/>
      <c r="BR188" s="136" t="str">
        <f>IF($D188&lt;&gt;"Feature",".",
IF(VLOOKUP($B188,Feature_List!$A:$AM,MATCH(BR$1,  Feature_List!$A$1:$AM$1,0),0)=J188,".","NO"))</f>
        <v>.</v>
      </c>
      <c r="BS188" s="136"/>
      <c r="BT188" s="136"/>
      <c r="BU188" s="136" t="str">
        <f>IF($D188&lt;&gt;"Feature",".",
IF(VLOOKUP($B188,Feature_List!$A:$AM,MATCH(BU$1,  Feature_List!$A$1:$AM$1,0),0)=M188,".","NO"))</f>
        <v>.</v>
      </c>
      <c r="BV188" s="136" t="str">
        <f>IF($D188&lt;&gt;"Feature",".",
IF(VLOOKUP($B188,Feature_List!$A:$AM,MATCH(BV$1,  Feature_List!$A$1:$AM$1,0),0)=N188,".","NO"))</f>
        <v>.</v>
      </c>
      <c r="BW188" s="136"/>
      <c r="BX188" s="136"/>
      <c r="BY188" s="136"/>
      <c r="BZ188" s="136"/>
      <c r="CA188" s="136"/>
      <c r="CB188" s="136" t="str">
        <f>IF($D188&lt;&gt;"Feature",".",
IF(VLOOKUP($B188,Feature_List!$A:$AM,MATCH(CB$1,  Feature_List!$A$1:$AM$1,0),0)=T188,".","NO"))</f>
        <v>.</v>
      </c>
      <c r="CC188" s="136"/>
      <c r="CD188" s="136"/>
      <c r="CE188" s="136"/>
      <c r="CF188" s="136"/>
      <c r="CG188" s="136"/>
      <c r="CH188" s="136"/>
      <c r="CI188" s="136"/>
      <c r="CJ188" s="136"/>
      <c r="CK188" s="136"/>
      <c r="CL188" s="136"/>
      <c r="CM188" s="136"/>
      <c r="CN188" s="136"/>
      <c r="CO188" s="136" t="str">
        <f>IF($D188&lt;&gt;"Feature",".",
IF(VLOOKUP($B188,Feature_List!$A:$AM,MATCH(CO$1,  Feature_List!$A$1:$AM$1,0),0)=AG188,".","NO"))</f>
        <v>.</v>
      </c>
      <c r="CP188" s="136" t="str">
        <f>IF($D188&lt;&gt;"Feature",".",
IF(VLOOKUP($B188,Feature_List!$A:$AM,MATCH(CP$1,  Feature_List!$A$1:$AM$1,0),0)=AH188,".","NO"))</f>
        <v>.</v>
      </c>
      <c r="CQ188" s="136" t="str">
        <f>IF($D188&lt;&gt;"Feature",".",
IF(VLOOKUP($B188,Feature_List!$A:$AM,MATCH(CQ$1,  Feature_List!$A$1:$AM$1,0),0)=AI188,".","NO"))</f>
        <v>.</v>
      </c>
      <c r="CR188" s="136" t="str">
        <f>IF($D188&lt;&gt;"Feature",".",
IF(VLOOKUP($B188,Feature_List!$A:$AM,MATCH(CR$1,  Feature_List!$A$1:$AM$1,0),0)=AJ188,".","NO"))</f>
        <v>.</v>
      </c>
      <c r="CS188" s="136" t="str">
        <f>IF($D188&lt;&gt;"Feature",".",
IF(VLOOKUP($B188,Feature_List!$A:$AM,MATCH(CS$1,  Feature_List!$A$1:$AM$1,0),0)=AK188,".","NO"))</f>
        <v>.</v>
      </c>
      <c r="CT188" s="136" t="str">
        <f>IF($D188&lt;&gt;"Feature",".",
IF(VLOOKUP($B188,Feature_List!$A:$AM,MATCH(CT$1,  Feature_List!$A$1:$AM$1,0),0)=AL188,".","NO"))</f>
        <v>.</v>
      </c>
      <c r="CU188" s="136" t="str">
        <f>IF($D188&lt;&gt;"Feature",".",
IF(VLOOKUP($B188,Feature_List!$A:$AM,MATCH(CU$1,  Feature_List!$A$1:$AM$1,0),0)=AM188,".","NO"))</f>
        <v>.</v>
      </c>
      <c r="CV188" s="136" t="str">
        <f>IF($D188&lt;&gt;"Feature",".",
IF(VLOOKUP($B188,Feature_List!$A:$AM,MATCH(CV$1,  Feature_List!$A$1:$AM$1,0),0)=AN188,".","NO"))</f>
        <v>.</v>
      </c>
      <c r="CW188" s="136" t="str">
        <f>IF($D188&lt;&gt;"Feature",".",
IF(VLOOKUP($B188,Feature_List!$A:$AM,MATCH(CW$1,  Feature_List!$A$1:$AM$1,0),0)=AO188,".","NO"))</f>
        <v>.</v>
      </c>
      <c r="CX188" s="136" t="str">
        <f>IF($D188&lt;&gt;"Feature",".",
IF(VLOOKUP($B188,Feature_List!$A:$AM,MATCH(CX$1,  Feature_List!$A$1:$AM$1,0),0)=AP188,".","NO"))</f>
        <v>.</v>
      </c>
      <c r="CY188" s="136" t="str">
        <f>IF($D188&lt;&gt;"Feature",".",
IF(VLOOKUP($B188,Feature_List!$A:$AM,MATCH(CY$1,  Feature_List!$A$1:$AM$1,0),0)=AQ188,".","NO"))</f>
        <v>.</v>
      </c>
      <c r="CZ188" s="136" t="str">
        <f>IF($D188&lt;&gt;"Feature",".",
IF(VLOOKUP($B188,Feature_List!$A:$AM,MATCH(CZ$1,  Feature_List!$A$1:$AM$1,0),0)=AR188,".","NO"))</f>
        <v>.</v>
      </c>
      <c r="DA188" s="136" t="str">
        <f>IF($D188&lt;&gt;"Feature",".",
IF(VLOOKUP($B188,Feature_List!$A:$AM,MATCH(DA$1,  Feature_List!$A$1:$AM$1,0),0)=AS188,".","NO"))</f>
        <v>.</v>
      </c>
      <c r="DB188" s="136" t="str">
        <f>IF($D188&lt;&gt;"Feature",".",
IF(VLOOKUP($B188,Feature_List!$A:$AM,MATCH(DB$1,  Feature_List!$A$1:$AM$1,0),0)=AT188,".","NO"))</f>
        <v>.</v>
      </c>
      <c r="DC188" s="136" t="str">
        <f>IF($D188&lt;&gt;"Feature",".",
IF(VLOOKUP($B188,Feature_List!$A:$AM,MATCH(DC$1,  Feature_List!$A$1:$AM$1,0),0)=AU188,".","NO"))</f>
        <v>.</v>
      </c>
      <c r="DD188" s="136" t="str">
        <f>IF($D188&lt;&gt;"Feature",".",
IF(VLOOKUP($B188,Feature_List!$A:$AM,MATCH(DD$1,  Feature_List!$A$1:$AM$1,0),0)=AV188,".","NO"))</f>
        <v>.</v>
      </c>
      <c r="DE188" s="136" t="str">
        <f>IF($D188&lt;&gt;"Feature",".",
IF(VLOOKUP($B188,Feature_List!$A:$AM,MATCH(DE$1,  Feature_List!$A$1:$AM$1,0),0)=AW188,".","NO"))</f>
        <v>.</v>
      </c>
      <c r="DF188" s="136" t="str">
        <f>IF($D188&lt;&gt;"Feature",".",
IF(VLOOKUP($B188,Feature_List!$A:$AM,MATCH(DF$1,  Feature_List!$A$1:$AM$1,0),0)=AX188,".","NO"))</f>
        <v>.</v>
      </c>
      <c r="DG188" s="136" t="str">
        <f>IF($D188&lt;&gt;"Feature",".",
IF(VLOOKUP($B188,Feature_List!$A:$AM,MATCH(DG$1,  Feature_List!$A$1:$AM$1,0),0)=AY188,".","NO"))</f>
        <v>.</v>
      </c>
      <c r="DH188" s="136" t="str">
        <f>IF($D188&lt;&gt;"Feature",".",
IF(VLOOKUP($B188,Feature_List!$A:$AM,MATCH(DH$1,  Feature_List!$A$1:$AM$1,0),0)=AZ188,".","NO"))</f>
        <v>.</v>
      </c>
      <c r="DI188" s="136" t="str">
        <f>IF($D188&lt;&gt;"Feature",".",
IF(VLOOKUP($B188,Feature_List!$A:$AM,MATCH(DI$1,  Feature_List!$A$1:$AM$1,0),0)=BA188,".","NO"))</f>
        <v>.</v>
      </c>
      <c r="DJ188" s="136" t="str">
        <f>IF($D188&lt;&gt;"Feature",".",
IF(VLOOKUP($B188,Feature_List!$A:$AM,MATCH(DJ$1,  Feature_List!$A$1:$AM$1,0),0)=BB188,".","NO"))</f>
        <v>.</v>
      </c>
      <c r="DK188" s="136"/>
      <c r="DL188" s="136"/>
      <c r="DM188" s="136"/>
      <c r="DN188" s="136" t="str">
        <f>IF($D188&lt;&gt;"Feature",".",
IF(VLOOKUP($B188,Feature_List!$A:$AM,MATCH(DN$1,  Feature_List!$A$1:$AM$1,0),0)=BC188,".","NO"))</f>
        <v>.</v>
      </c>
      <c r="DO188" s="136" t="str">
        <f>IF($D188&lt;&gt;"Feature",".",
IF(VLOOKUP($B188,Feature_List!$A:$AM,MATCH(DO$1,  Feature_List!$A$1:$AM$1,0),0)=BD188,".","NO"))</f>
        <v>.</v>
      </c>
    </row>
    <row r="189" spans="2:119" x14ac:dyDescent="0.3">
      <c r="B189" s="121"/>
      <c r="C189" s="122"/>
      <c r="D189" s="122"/>
      <c r="E189" s="122"/>
      <c r="F189" s="138"/>
      <c r="G189" s="123"/>
      <c r="H189" s="122"/>
      <c r="I189" s="124"/>
      <c r="J189" s="138"/>
      <c r="K189" s="123"/>
      <c r="L189" s="122"/>
      <c r="M189" s="122"/>
      <c r="N189" s="125"/>
      <c r="O189" s="123">
        <f t="shared" si="75"/>
        <v>0</v>
      </c>
      <c r="P189" s="123">
        <f t="shared" si="76"/>
        <v>0</v>
      </c>
      <c r="Q189" s="122" t="str">
        <f t="shared" si="98"/>
        <v>ZeroEntry</v>
      </c>
      <c r="R189" s="126" t="str">
        <f t="shared" si="77"/>
        <v>ZeroEntry</v>
      </c>
      <c r="S189" s="127" t="str">
        <f t="shared" si="78"/>
        <v>ZeroEntry</v>
      </c>
      <c r="T189" s="128" t="str">
        <f>IF($Q189="ZeroEntry", "",VLOOKUP($I189,'Ranking Lookup'!#REF!,2,FALSE))</f>
        <v/>
      </c>
      <c r="U189" s="129" t="str">
        <f t="shared" si="79"/>
        <v/>
      </c>
      <c r="V189" s="129" t="str">
        <f t="shared" si="80"/>
        <v/>
      </c>
      <c r="W189" s="129" t="str">
        <f t="shared" si="81"/>
        <v/>
      </c>
      <c r="X189" s="129" t="str">
        <f t="shared" si="82"/>
        <v/>
      </c>
      <c r="Y189" s="129" t="str">
        <f t="shared" si="83"/>
        <v/>
      </c>
      <c r="Z189" s="129" t="str">
        <f t="shared" si="84"/>
        <v/>
      </c>
      <c r="AA189" s="130"/>
      <c r="AB189" s="130" t="str">
        <f t="shared" si="85"/>
        <v>Unassigned</v>
      </c>
      <c r="AC189" s="131" t="str">
        <f t="shared" si="99"/>
        <v/>
      </c>
      <c r="AD189" s="131" t="str">
        <f t="shared" si="100"/>
        <v/>
      </c>
      <c r="AE189" s="132">
        <f t="shared" si="86"/>
        <v>0</v>
      </c>
      <c r="AF189" s="133" t="str">
        <f t="shared" si="101"/>
        <v/>
      </c>
      <c r="AG189" s="134">
        <f t="shared" si="87"/>
        <v>0</v>
      </c>
      <c r="AH189" s="54" t="str">
        <f t="shared" si="88"/>
        <v/>
      </c>
      <c r="AI189" s="54" t="str">
        <f t="shared" si="109"/>
        <v/>
      </c>
      <c r="AJ189" s="54" t="str">
        <f t="shared" si="109"/>
        <v/>
      </c>
      <c r="AK189" s="54" t="str">
        <f t="shared" si="109"/>
        <v/>
      </c>
      <c r="AL189" s="54" t="str">
        <f t="shared" si="109"/>
        <v/>
      </c>
      <c r="AM189" s="54" t="str">
        <f t="shared" si="109"/>
        <v/>
      </c>
      <c r="AN189" s="54" t="str">
        <f t="shared" si="109"/>
        <v/>
      </c>
      <c r="AO189" s="54" t="str">
        <f t="shared" si="109"/>
        <v/>
      </c>
      <c r="AP189" s="54" t="str">
        <f t="shared" si="109"/>
        <v/>
      </c>
      <c r="AQ189" s="54" t="str">
        <f t="shared" si="109"/>
        <v/>
      </c>
      <c r="AR189" s="54" t="str">
        <f t="shared" si="109"/>
        <v/>
      </c>
      <c r="AS189" s="54" t="str">
        <f t="shared" si="109"/>
        <v/>
      </c>
      <c r="AT189" s="54" t="str">
        <f t="shared" si="109"/>
        <v/>
      </c>
      <c r="AU189" s="54" t="str">
        <f t="shared" si="109"/>
        <v/>
      </c>
      <c r="AV189" s="54" t="str">
        <f t="shared" si="109"/>
        <v/>
      </c>
      <c r="AW189" s="54" t="str">
        <f t="shared" si="109"/>
        <v/>
      </c>
      <c r="AX189" s="54" t="str">
        <f t="shared" si="109"/>
        <v/>
      </c>
      <c r="AY189" s="54" t="str">
        <f t="shared" si="90"/>
        <v/>
      </c>
      <c r="AZ189" s="54" t="str">
        <f t="shared" si="91"/>
        <v/>
      </c>
      <c r="BA189" s="54" t="str">
        <f t="shared" si="92"/>
        <v/>
      </c>
      <c r="BB189" s="135" t="str">
        <f t="shared" si="93"/>
        <v/>
      </c>
      <c r="BC189" s="54" t="str">
        <f t="shared" si="110"/>
        <v/>
      </c>
      <c r="BD189" s="54" t="str">
        <f t="shared" si="110"/>
        <v/>
      </c>
      <c r="BE189" s="54" t="str">
        <f t="shared" si="110"/>
        <v/>
      </c>
      <c r="BF189" s="54" t="str">
        <f t="shared" si="94"/>
        <v/>
      </c>
      <c r="BG189" s="54" t="str">
        <f t="shared" si="95"/>
        <v/>
      </c>
      <c r="BH189" s="34" t="str">
        <f t="shared" si="96"/>
        <v>Bad</v>
      </c>
      <c r="BI189" s="34" t="str">
        <f t="shared" si="97"/>
        <v>No</v>
      </c>
      <c r="BJ189" s="136" t="str">
        <f>IF($D189&lt;&gt;"Feature",".",
IF(VLOOKUP($B189,Feature_List!$A:$AM,MATCH(BJ$1,  Feature_List!$A$1:$AM$1,0),0)=B189,".","NO"))</f>
        <v>.</v>
      </c>
      <c r="BK189" s="136"/>
      <c r="BL189" s="136"/>
      <c r="BM189" s="136" t="str">
        <f>IF($D189&lt;&gt;"Feature",".",
IF(VLOOKUP($B189,Feature_List!$A:$AM,MATCH(BM$1,  Feature_List!$A$1:$AM$1,0),0)=E189,".","NO"))</f>
        <v>.</v>
      </c>
      <c r="BN189" s="136" t="str">
        <f>IF($D189&lt;&gt;"Feature",".",
IF(VLOOKUP($B189,Feature_List!$A:$AM,MATCH(BN$1,  Feature_List!$A$1:$AM$1,0),0)=F189,".","NO"))</f>
        <v>.</v>
      </c>
      <c r="BO189" s="136" t="str">
        <f>IF($D189&lt;&gt;"Feature",".",
IF(VLOOKUP($B189,Feature_List!$A:$AM,MATCH(BO$1,  Feature_List!$A$1:$AM$1,0),0)=G189,".","NO"))</f>
        <v>.</v>
      </c>
      <c r="BP189" s="136" t="str">
        <f>IF($D189&lt;&gt;"Feature",".",
IF(VLOOKUP($B189,Feature_List!$A:$AM,MATCH(BP$1,  Feature_List!$A$1:$AM$1,0),0)=H189,".","NO"))</f>
        <v>.</v>
      </c>
      <c r="BQ189" s="136"/>
      <c r="BR189" s="136" t="str">
        <f>IF($D189&lt;&gt;"Feature",".",
IF(VLOOKUP($B189,Feature_List!$A:$AM,MATCH(BR$1,  Feature_List!$A$1:$AM$1,0),0)=J189,".","NO"))</f>
        <v>.</v>
      </c>
      <c r="BS189" s="136"/>
      <c r="BT189" s="136"/>
      <c r="BU189" s="136" t="str">
        <f>IF($D189&lt;&gt;"Feature",".",
IF(VLOOKUP($B189,Feature_List!$A:$AM,MATCH(BU$1,  Feature_List!$A$1:$AM$1,0),0)=M189,".","NO"))</f>
        <v>.</v>
      </c>
      <c r="BV189" s="136" t="str">
        <f>IF($D189&lt;&gt;"Feature",".",
IF(VLOOKUP($B189,Feature_List!$A:$AM,MATCH(BV$1,  Feature_List!$A$1:$AM$1,0),0)=N189,".","NO"))</f>
        <v>.</v>
      </c>
      <c r="BW189" s="136"/>
      <c r="BX189" s="136"/>
      <c r="BY189" s="136"/>
      <c r="BZ189" s="136"/>
      <c r="CA189" s="136"/>
      <c r="CB189" s="136" t="str">
        <f>IF($D189&lt;&gt;"Feature",".",
IF(VLOOKUP($B189,Feature_List!$A:$AM,MATCH(CB$1,  Feature_List!$A$1:$AM$1,0),0)=T189,".","NO"))</f>
        <v>.</v>
      </c>
      <c r="CC189" s="136"/>
      <c r="CD189" s="136"/>
      <c r="CE189" s="136"/>
      <c r="CF189" s="136"/>
      <c r="CG189" s="136"/>
      <c r="CH189" s="136"/>
      <c r="CI189" s="136"/>
      <c r="CJ189" s="136"/>
      <c r="CK189" s="136"/>
      <c r="CL189" s="136"/>
      <c r="CM189" s="136"/>
      <c r="CN189" s="136"/>
      <c r="CO189" s="136" t="str">
        <f>IF($D189&lt;&gt;"Feature",".",
IF(VLOOKUP($B189,Feature_List!$A:$AM,MATCH(CO$1,  Feature_List!$A$1:$AM$1,0),0)=AG189,".","NO"))</f>
        <v>.</v>
      </c>
      <c r="CP189" s="136" t="str">
        <f>IF($D189&lt;&gt;"Feature",".",
IF(VLOOKUP($B189,Feature_List!$A:$AM,MATCH(CP$1,  Feature_List!$A$1:$AM$1,0),0)=AH189,".","NO"))</f>
        <v>.</v>
      </c>
      <c r="CQ189" s="136" t="str">
        <f>IF($D189&lt;&gt;"Feature",".",
IF(VLOOKUP($B189,Feature_List!$A:$AM,MATCH(CQ$1,  Feature_List!$A$1:$AM$1,0),0)=AI189,".","NO"))</f>
        <v>.</v>
      </c>
      <c r="CR189" s="136" t="str">
        <f>IF($D189&lt;&gt;"Feature",".",
IF(VLOOKUP($B189,Feature_List!$A:$AM,MATCH(CR$1,  Feature_List!$A$1:$AM$1,0),0)=AJ189,".","NO"))</f>
        <v>.</v>
      </c>
      <c r="CS189" s="136" t="str">
        <f>IF($D189&lt;&gt;"Feature",".",
IF(VLOOKUP($B189,Feature_List!$A:$AM,MATCH(CS$1,  Feature_List!$A$1:$AM$1,0),0)=AK189,".","NO"))</f>
        <v>.</v>
      </c>
      <c r="CT189" s="136" t="str">
        <f>IF($D189&lt;&gt;"Feature",".",
IF(VLOOKUP($B189,Feature_List!$A:$AM,MATCH(CT$1,  Feature_List!$A$1:$AM$1,0),0)=AL189,".","NO"))</f>
        <v>.</v>
      </c>
      <c r="CU189" s="136" t="str">
        <f>IF($D189&lt;&gt;"Feature",".",
IF(VLOOKUP($B189,Feature_List!$A:$AM,MATCH(CU$1,  Feature_List!$A$1:$AM$1,0),0)=AM189,".","NO"))</f>
        <v>.</v>
      </c>
      <c r="CV189" s="136" t="str">
        <f>IF($D189&lt;&gt;"Feature",".",
IF(VLOOKUP($B189,Feature_List!$A:$AM,MATCH(CV$1,  Feature_List!$A$1:$AM$1,0),0)=AN189,".","NO"))</f>
        <v>.</v>
      </c>
      <c r="CW189" s="136" t="str">
        <f>IF($D189&lt;&gt;"Feature",".",
IF(VLOOKUP($B189,Feature_List!$A:$AM,MATCH(CW$1,  Feature_List!$A$1:$AM$1,0),0)=AO189,".","NO"))</f>
        <v>.</v>
      </c>
      <c r="CX189" s="136" t="str">
        <f>IF($D189&lt;&gt;"Feature",".",
IF(VLOOKUP($B189,Feature_List!$A:$AM,MATCH(CX$1,  Feature_List!$A$1:$AM$1,0),0)=AP189,".","NO"))</f>
        <v>.</v>
      </c>
      <c r="CY189" s="136" t="str">
        <f>IF($D189&lt;&gt;"Feature",".",
IF(VLOOKUP($B189,Feature_List!$A:$AM,MATCH(CY$1,  Feature_List!$A$1:$AM$1,0),0)=AQ189,".","NO"))</f>
        <v>.</v>
      </c>
      <c r="CZ189" s="136" t="str">
        <f>IF($D189&lt;&gt;"Feature",".",
IF(VLOOKUP($B189,Feature_List!$A:$AM,MATCH(CZ$1,  Feature_List!$A$1:$AM$1,0),0)=AR189,".","NO"))</f>
        <v>.</v>
      </c>
      <c r="DA189" s="136" t="str">
        <f>IF($D189&lt;&gt;"Feature",".",
IF(VLOOKUP($B189,Feature_List!$A:$AM,MATCH(DA$1,  Feature_List!$A$1:$AM$1,0),0)=AS189,".","NO"))</f>
        <v>.</v>
      </c>
      <c r="DB189" s="136" t="str">
        <f>IF($D189&lt;&gt;"Feature",".",
IF(VLOOKUP($B189,Feature_List!$A:$AM,MATCH(DB$1,  Feature_List!$A$1:$AM$1,0),0)=AT189,".","NO"))</f>
        <v>.</v>
      </c>
      <c r="DC189" s="136" t="str">
        <f>IF($D189&lt;&gt;"Feature",".",
IF(VLOOKUP($B189,Feature_List!$A:$AM,MATCH(DC$1,  Feature_List!$A$1:$AM$1,0),0)=AU189,".","NO"))</f>
        <v>.</v>
      </c>
      <c r="DD189" s="136" t="str">
        <f>IF($D189&lt;&gt;"Feature",".",
IF(VLOOKUP($B189,Feature_List!$A:$AM,MATCH(DD$1,  Feature_List!$A$1:$AM$1,0),0)=AV189,".","NO"))</f>
        <v>.</v>
      </c>
      <c r="DE189" s="136" t="str">
        <f>IF($D189&lt;&gt;"Feature",".",
IF(VLOOKUP($B189,Feature_List!$A:$AM,MATCH(DE$1,  Feature_List!$A$1:$AM$1,0),0)=AW189,".","NO"))</f>
        <v>.</v>
      </c>
      <c r="DF189" s="136" t="str">
        <f>IF($D189&lt;&gt;"Feature",".",
IF(VLOOKUP($B189,Feature_List!$A:$AM,MATCH(DF$1,  Feature_List!$A$1:$AM$1,0),0)=AX189,".","NO"))</f>
        <v>.</v>
      </c>
      <c r="DG189" s="136" t="str">
        <f>IF($D189&lt;&gt;"Feature",".",
IF(VLOOKUP($B189,Feature_List!$A:$AM,MATCH(DG$1,  Feature_List!$A$1:$AM$1,0),0)=AY189,".","NO"))</f>
        <v>.</v>
      </c>
      <c r="DH189" s="136" t="str">
        <f>IF($D189&lt;&gt;"Feature",".",
IF(VLOOKUP($B189,Feature_List!$A:$AM,MATCH(DH$1,  Feature_List!$A$1:$AM$1,0),0)=AZ189,".","NO"))</f>
        <v>.</v>
      </c>
      <c r="DI189" s="136" t="str">
        <f>IF($D189&lt;&gt;"Feature",".",
IF(VLOOKUP($B189,Feature_List!$A:$AM,MATCH(DI$1,  Feature_List!$A$1:$AM$1,0),0)=BA189,".","NO"))</f>
        <v>.</v>
      </c>
      <c r="DJ189" s="136" t="str">
        <f>IF($D189&lt;&gt;"Feature",".",
IF(VLOOKUP($B189,Feature_List!$A:$AM,MATCH(DJ$1,  Feature_List!$A$1:$AM$1,0),0)=BB189,".","NO"))</f>
        <v>.</v>
      </c>
      <c r="DK189" s="136"/>
      <c r="DL189" s="136"/>
      <c r="DM189" s="136"/>
      <c r="DN189" s="136" t="str">
        <f>IF($D189&lt;&gt;"Feature",".",
IF(VLOOKUP($B189,Feature_List!$A:$AM,MATCH(DN$1,  Feature_List!$A$1:$AM$1,0),0)=BC189,".","NO"))</f>
        <v>.</v>
      </c>
      <c r="DO189" s="136" t="str">
        <f>IF($D189&lt;&gt;"Feature",".",
IF(VLOOKUP($B189,Feature_List!$A:$AM,MATCH(DO$1,  Feature_List!$A$1:$AM$1,0),0)=BD189,".","NO"))</f>
        <v>.</v>
      </c>
    </row>
    <row r="190" spans="2:119" x14ac:dyDescent="0.3">
      <c r="B190" s="121"/>
      <c r="C190" s="122"/>
      <c r="D190" s="122"/>
      <c r="E190" s="122"/>
      <c r="F190" s="138"/>
      <c r="G190" s="123"/>
      <c r="H190" s="122"/>
      <c r="I190" s="124"/>
      <c r="J190" s="138"/>
      <c r="K190" s="123"/>
      <c r="L190" s="122"/>
      <c r="M190" s="122"/>
      <c r="N190" s="125"/>
      <c r="O190" s="123">
        <f t="shared" si="75"/>
        <v>0</v>
      </c>
      <c r="P190" s="123">
        <f t="shared" si="76"/>
        <v>0</v>
      </c>
      <c r="Q190" s="122" t="str">
        <f t="shared" si="98"/>
        <v>ZeroEntry</v>
      </c>
      <c r="R190" s="126" t="str">
        <f t="shared" si="77"/>
        <v>ZeroEntry</v>
      </c>
      <c r="S190" s="127" t="str">
        <f t="shared" si="78"/>
        <v>ZeroEntry</v>
      </c>
      <c r="T190" s="128" t="str">
        <f>IF($Q190="ZeroEntry", "",VLOOKUP($I190,'Ranking Lookup'!#REF!,2,FALSE))</f>
        <v/>
      </c>
      <c r="U190" s="129" t="str">
        <f t="shared" si="79"/>
        <v/>
      </c>
      <c r="V190" s="129" t="str">
        <f t="shared" si="80"/>
        <v/>
      </c>
      <c r="W190" s="129" t="str">
        <f t="shared" si="81"/>
        <v/>
      </c>
      <c r="X190" s="129" t="str">
        <f t="shared" si="82"/>
        <v/>
      </c>
      <c r="Y190" s="129" t="str">
        <f t="shared" si="83"/>
        <v/>
      </c>
      <c r="Z190" s="129" t="str">
        <f t="shared" si="84"/>
        <v/>
      </c>
      <c r="AA190" s="130"/>
      <c r="AB190" s="130" t="str">
        <f t="shared" si="85"/>
        <v>Unassigned</v>
      </c>
      <c r="AC190" s="131" t="str">
        <f t="shared" si="99"/>
        <v/>
      </c>
      <c r="AD190" s="131" t="str">
        <f t="shared" si="100"/>
        <v/>
      </c>
      <c r="AE190" s="132">
        <f t="shared" si="86"/>
        <v>0</v>
      </c>
      <c r="AF190" s="133" t="str">
        <f t="shared" si="101"/>
        <v/>
      </c>
      <c r="AG190" s="134">
        <f t="shared" si="87"/>
        <v>0</v>
      </c>
      <c r="AH190" s="54" t="str">
        <f t="shared" si="88"/>
        <v/>
      </c>
      <c r="AI190" s="54" t="str">
        <f t="shared" si="109"/>
        <v/>
      </c>
      <c r="AJ190" s="54" t="str">
        <f t="shared" si="109"/>
        <v/>
      </c>
      <c r="AK190" s="54" t="str">
        <f t="shared" si="109"/>
        <v/>
      </c>
      <c r="AL190" s="54" t="str">
        <f t="shared" si="109"/>
        <v/>
      </c>
      <c r="AM190" s="54" t="str">
        <f t="shared" si="109"/>
        <v/>
      </c>
      <c r="AN190" s="54" t="str">
        <f t="shared" si="109"/>
        <v/>
      </c>
      <c r="AO190" s="54" t="str">
        <f t="shared" si="109"/>
        <v/>
      </c>
      <c r="AP190" s="54" t="str">
        <f t="shared" si="109"/>
        <v/>
      </c>
      <c r="AQ190" s="54" t="str">
        <f t="shared" si="109"/>
        <v/>
      </c>
      <c r="AR190" s="54" t="str">
        <f t="shared" si="109"/>
        <v/>
      </c>
      <c r="AS190" s="54" t="str">
        <f t="shared" si="109"/>
        <v/>
      </c>
      <c r="AT190" s="54" t="str">
        <f t="shared" si="109"/>
        <v/>
      </c>
      <c r="AU190" s="54" t="str">
        <f t="shared" si="109"/>
        <v/>
      </c>
      <c r="AV190" s="54" t="str">
        <f t="shared" si="109"/>
        <v/>
      </c>
      <c r="AW190" s="54" t="str">
        <f t="shared" si="109"/>
        <v/>
      </c>
      <c r="AX190" s="54" t="str">
        <f t="shared" si="109"/>
        <v/>
      </c>
      <c r="AY190" s="54" t="str">
        <f t="shared" si="90"/>
        <v/>
      </c>
      <c r="AZ190" s="54" t="str">
        <f t="shared" si="91"/>
        <v/>
      </c>
      <c r="BA190" s="54" t="str">
        <f t="shared" si="92"/>
        <v/>
      </c>
      <c r="BB190" s="135" t="str">
        <f t="shared" si="93"/>
        <v/>
      </c>
      <c r="BC190" s="54" t="str">
        <f t="shared" si="110"/>
        <v/>
      </c>
      <c r="BD190" s="54" t="str">
        <f t="shared" si="110"/>
        <v/>
      </c>
      <c r="BE190" s="54" t="str">
        <f t="shared" si="110"/>
        <v/>
      </c>
      <c r="BF190" s="54" t="str">
        <f t="shared" si="94"/>
        <v/>
      </c>
      <c r="BG190" s="54" t="str">
        <f t="shared" si="95"/>
        <v/>
      </c>
      <c r="BH190" s="34" t="str">
        <f t="shared" si="96"/>
        <v>Bad</v>
      </c>
      <c r="BI190" s="34" t="str">
        <f t="shared" si="97"/>
        <v>No</v>
      </c>
      <c r="BJ190" s="136" t="str">
        <f>IF($D190&lt;&gt;"Feature",".",
IF(VLOOKUP($B190,Feature_List!$A:$AM,MATCH(BJ$1,  Feature_List!$A$1:$AM$1,0),0)=B190,".","NO"))</f>
        <v>.</v>
      </c>
      <c r="BK190" s="136"/>
      <c r="BL190" s="136"/>
      <c r="BM190" s="136" t="str">
        <f>IF($D190&lt;&gt;"Feature",".",
IF(VLOOKUP($B190,Feature_List!$A:$AM,MATCH(BM$1,  Feature_List!$A$1:$AM$1,0),0)=E190,".","NO"))</f>
        <v>.</v>
      </c>
      <c r="BN190" s="136" t="str">
        <f>IF($D190&lt;&gt;"Feature",".",
IF(VLOOKUP($B190,Feature_List!$A:$AM,MATCH(BN$1,  Feature_List!$A$1:$AM$1,0),0)=F190,".","NO"))</f>
        <v>.</v>
      </c>
      <c r="BO190" s="136" t="str">
        <f>IF($D190&lt;&gt;"Feature",".",
IF(VLOOKUP($B190,Feature_List!$A:$AM,MATCH(BO$1,  Feature_List!$A$1:$AM$1,0),0)=G190,".","NO"))</f>
        <v>.</v>
      </c>
      <c r="BP190" s="136" t="str">
        <f>IF($D190&lt;&gt;"Feature",".",
IF(VLOOKUP($B190,Feature_List!$A:$AM,MATCH(BP$1,  Feature_List!$A$1:$AM$1,0),0)=H190,".","NO"))</f>
        <v>.</v>
      </c>
      <c r="BQ190" s="136"/>
      <c r="BR190" s="136" t="str">
        <f>IF($D190&lt;&gt;"Feature",".",
IF(VLOOKUP($B190,Feature_List!$A:$AM,MATCH(BR$1,  Feature_List!$A$1:$AM$1,0),0)=J190,".","NO"))</f>
        <v>.</v>
      </c>
      <c r="BS190" s="136"/>
      <c r="BT190" s="136"/>
      <c r="BU190" s="136" t="str">
        <f>IF($D190&lt;&gt;"Feature",".",
IF(VLOOKUP($B190,Feature_List!$A:$AM,MATCH(BU$1,  Feature_List!$A$1:$AM$1,0),0)=M190,".","NO"))</f>
        <v>.</v>
      </c>
      <c r="BV190" s="136" t="str">
        <f>IF($D190&lt;&gt;"Feature",".",
IF(VLOOKUP($B190,Feature_List!$A:$AM,MATCH(BV$1,  Feature_List!$A$1:$AM$1,0),0)=N190,".","NO"))</f>
        <v>.</v>
      </c>
      <c r="BW190" s="136"/>
      <c r="BX190" s="136"/>
      <c r="BY190" s="136"/>
      <c r="BZ190" s="136"/>
      <c r="CA190" s="136"/>
      <c r="CB190" s="136" t="str">
        <f>IF($D190&lt;&gt;"Feature",".",
IF(VLOOKUP($B190,Feature_List!$A:$AM,MATCH(CB$1,  Feature_List!$A$1:$AM$1,0),0)=T190,".","NO"))</f>
        <v>.</v>
      </c>
      <c r="CC190" s="136"/>
      <c r="CD190" s="136"/>
      <c r="CE190" s="136"/>
      <c r="CF190" s="136"/>
      <c r="CG190" s="136"/>
      <c r="CH190" s="136"/>
      <c r="CI190" s="136"/>
      <c r="CJ190" s="136"/>
      <c r="CK190" s="136"/>
      <c r="CL190" s="136"/>
      <c r="CM190" s="136"/>
      <c r="CN190" s="136"/>
      <c r="CO190" s="136" t="str">
        <f>IF($D190&lt;&gt;"Feature",".",
IF(VLOOKUP($B190,Feature_List!$A:$AM,MATCH(CO$1,  Feature_List!$A$1:$AM$1,0),0)=AG190,".","NO"))</f>
        <v>.</v>
      </c>
      <c r="CP190" s="136" t="str">
        <f>IF($D190&lt;&gt;"Feature",".",
IF(VLOOKUP($B190,Feature_List!$A:$AM,MATCH(CP$1,  Feature_List!$A$1:$AM$1,0),0)=AH190,".","NO"))</f>
        <v>.</v>
      </c>
      <c r="CQ190" s="136" t="str">
        <f>IF($D190&lt;&gt;"Feature",".",
IF(VLOOKUP($B190,Feature_List!$A:$AM,MATCH(CQ$1,  Feature_List!$A$1:$AM$1,0),0)=AI190,".","NO"))</f>
        <v>.</v>
      </c>
      <c r="CR190" s="136" t="str">
        <f>IF($D190&lt;&gt;"Feature",".",
IF(VLOOKUP($B190,Feature_List!$A:$AM,MATCH(CR$1,  Feature_List!$A$1:$AM$1,0),0)=AJ190,".","NO"))</f>
        <v>.</v>
      </c>
      <c r="CS190" s="136" t="str">
        <f>IF($D190&lt;&gt;"Feature",".",
IF(VLOOKUP($B190,Feature_List!$A:$AM,MATCH(CS$1,  Feature_List!$A$1:$AM$1,0),0)=AK190,".","NO"))</f>
        <v>.</v>
      </c>
      <c r="CT190" s="136" t="str">
        <f>IF($D190&lt;&gt;"Feature",".",
IF(VLOOKUP($B190,Feature_List!$A:$AM,MATCH(CT$1,  Feature_List!$A$1:$AM$1,0),0)=AL190,".","NO"))</f>
        <v>.</v>
      </c>
      <c r="CU190" s="136" t="str">
        <f>IF($D190&lt;&gt;"Feature",".",
IF(VLOOKUP($B190,Feature_List!$A:$AM,MATCH(CU$1,  Feature_List!$A$1:$AM$1,0),0)=AM190,".","NO"))</f>
        <v>.</v>
      </c>
      <c r="CV190" s="136" t="str">
        <f>IF($D190&lt;&gt;"Feature",".",
IF(VLOOKUP($B190,Feature_List!$A:$AM,MATCH(CV$1,  Feature_List!$A$1:$AM$1,0),0)=AN190,".","NO"))</f>
        <v>.</v>
      </c>
      <c r="CW190" s="136" t="str">
        <f>IF($D190&lt;&gt;"Feature",".",
IF(VLOOKUP($B190,Feature_List!$A:$AM,MATCH(CW$1,  Feature_List!$A$1:$AM$1,0),0)=AO190,".","NO"))</f>
        <v>.</v>
      </c>
      <c r="CX190" s="136" t="str">
        <f>IF($D190&lt;&gt;"Feature",".",
IF(VLOOKUP($B190,Feature_List!$A:$AM,MATCH(CX$1,  Feature_List!$A$1:$AM$1,0),0)=AP190,".","NO"))</f>
        <v>.</v>
      </c>
      <c r="CY190" s="136" t="str">
        <f>IF($D190&lt;&gt;"Feature",".",
IF(VLOOKUP($B190,Feature_List!$A:$AM,MATCH(CY$1,  Feature_List!$A$1:$AM$1,0),0)=AQ190,".","NO"))</f>
        <v>.</v>
      </c>
      <c r="CZ190" s="136" t="str">
        <f>IF($D190&lt;&gt;"Feature",".",
IF(VLOOKUP($B190,Feature_List!$A:$AM,MATCH(CZ$1,  Feature_List!$A$1:$AM$1,0),0)=AR190,".","NO"))</f>
        <v>.</v>
      </c>
      <c r="DA190" s="136" t="str">
        <f>IF($D190&lt;&gt;"Feature",".",
IF(VLOOKUP($B190,Feature_List!$A:$AM,MATCH(DA$1,  Feature_List!$A$1:$AM$1,0),0)=AS190,".","NO"))</f>
        <v>.</v>
      </c>
      <c r="DB190" s="136" t="str">
        <f>IF($D190&lt;&gt;"Feature",".",
IF(VLOOKUP($B190,Feature_List!$A:$AM,MATCH(DB$1,  Feature_List!$A$1:$AM$1,0),0)=AT190,".","NO"))</f>
        <v>.</v>
      </c>
      <c r="DC190" s="136" t="str">
        <f>IF($D190&lt;&gt;"Feature",".",
IF(VLOOKUP($B190,Feature_List!$A:$AM,MATCH(DC$1,  Feature_List!$A$1:$AM$1,0),0)=AU190,".","NO"))</f>
        <v>.</v>
      </c>
      <c r="DD190" s="136" t="str">
        <f>IF($D190&lt;&gt;"Feature",".",
IF(VLOOKUP($B190,Feature_List!$A:$AM,MATCH(DD$1,  Feature_List!$A$1:$AM$1,0),0)=AV190,".","NO"))</f>
        <v>.</v>
      </c>
      <c r="DE190" s="136" t="str">
        <f>IF($D190&lt;&gt;"Feature",".",
IF(VLOOKUP($B190,Feature_List!$A:$AM,MATCH(DE$1,  Feature_List!$A$1:$AM$1,0),0)=AW190,".","NO"))</f>
        <v>.</v>
      </c>
      <c r="DF190" s="136" t="str">
        <f>IF($D190&lt;&gt;"Feature",".",
IF(VLOOKUP($B190,Feature_List!$A:$AM,MATCH(DF$1,  Feature_List!$A$1:$AM$1,0),0)=AX190,".","NO"))</f>
        <v>.</v>
      </c>
      <c r="DG190" s="136" t="str">
        <f>IF($D190&lt;&gt;"Feature",".",
IF(VLOOKUP($B190,Feature_List!$A:$AM,MATCH(DG$1,  Feature_List!$A$1:$AM$1,0),0)=AY190,".","NO"))</f>
        <v>.</v>
      </c>
      <c r="DH190" s="136" t="str">
        <f>IF($D190&lt;&gt;"Feature",".",
IF(VLOOKUP($B190,Feature_List!$A:$AM,MATCH(DH$1,  Feature_List!$A$1:$AM$1,0),0)=AZ190,".","NO"))</f>
        <v>.</v>
      </c>
      <c r="DI190" s="136" t="str">
        <f>IF($D190&lt;&gt;"Feature",".",
IF(VLOOKUP($B190,Feature_List!$A:$AM,MATCH(DI$1,  Feature_List!$A$1:$AM$1,0),0)=BA190,".","NO"))</f>
        <v>.</v>
      </c>
      <c r="DJ190" s="136" t="str">
        <f>IF($D190&lt;&gt;"Feature",".",
IF(VLOOKUP($B190,Feature_List!$A:$AM,MATCH(DJ$1,  Feature_List!$A$1:$AM$1,0),0)=BB190,".","NO"))</f>
        <v>.</v>
      </c>
      <c r="DK190" s="136"/>
      <c r="DL190" s="136"/>
      <c r="DM190" s="136"/>
      <c r="DN190" s="136" t="str">
        <f>IF($D190&lt;&gt;"Feature",".",
IF(VLOOKUP($B190,Feature_List!$A:$AM,MATCH(DN$1,  Feature_List!$A$1:$AM$1,0),0)=BC190,".","NO"))</f>
        <v>.</v>
      </c>
      <c r="DO190" s="136" t="str">
        <f>IF($D190&lt;&gt;"Feature",".",
IF(VLOOKUP($B190,Feature_List!$A:$AM,MATCH(DO$1,  Feature_List!$A$1:$AM$1,0),0)=BD190,".","NO"))</f>
        <v>.</v>
      </c>
    </row>
    <row r="191" spans="2:119" x14ac:dyDescent="0.3">
      <c r="B191" s="121"/>
      <c r="C191" s="122"/>
      <c r="D191" s="122"/>
      <c r="E191" s="122"/>
      <c r="F191" s="138"/>
      <c r="G191" s="123"/>
      <c r="H191" s="122"/>
      <c r="I191" s="124"/>
      <c r="J191" s="138"/>
      <c r="K191" s="123"/>
      <c r="L191" s="122"/>
      <c r="M191" s="122"/>
      <c r="N191" s="125"/>
      <c r="O191" s="123">
        <f t="shared" si="75"/>
        <v>0</v>
      </c>
      <c r="P191" s="123">
        <f t="shared" si="76"/>
        <v>0</v>
      </c>
      <c r="Q191" s="122" t="str">
        <f t="shared" si="98"/>
        <v>ZeroEntry</v>
      </c>
      <c r="R191" s="126" t="str">
        <f t="shared" si="77"/>
        <v>ZeroEntry</v>
      </c>
      <c r="S191" s="127" t="str">
        <f t="shared" si="78"/>
        <v>ZeroEntry</v>
      </c>
      <c r="T191" s="128" t="str">
        <f>IF($Q191="ZeroEntry", "",VLOOKUP($I191,'Ranking Lookup'!#REF!,2,FALSE))</f>
        <v/>
      </c>
      <c r="U191" s="129" t="str">
        <f t="shared" si="79"/>
        <v/>
      </c>
      <c r="V191" s="129" t="str">
        <f t="shared" si="80"/>
        <v/>
      </c>
      <c r="W191" s="129" t="str">
        <f t="shared" si="81"/>
        <v/>
      </c>
      <c r="X191" s="129" t="str">
        <f t="shared" si="82"/>
        <v/>
      </c>
      <c r="Y191" s="129" t="str">
        <f t="shared" si="83"/>
        <v/>
      </c>
      <c r="Z191" s="129" t="str">
        <f t="shared" si="84"/>
        <v/>
      </c>
      <c r="AA191" s="130"/>
      <c r="AB191" s="130" t="str">
        <f t="shared" si="85"/>
        <v>Unassigned</v>
      </c>
      <c r="AC191" s="131" t="str">
        <f t="shared" si="99"/>
        <v/>
      </c>
      <c r="AD191" s="131" t="str">
        <f t="shared" si="100"/>
        <v/>
      </c>
      <c r="AE191" s="132">
        <f t="shared" si="86"/>
        <v>0</v>
      </c>
      <c r="AF191" s="133" t="str">
        <f t="shared" si="101"/>
        <v/>
      </c>
      <c r="AG191" s="134">
        <f t="shared" si="87"/>
        <v>0</v>
      </c>
      <c r="AH191" s="54" t="str">
        <f t="shared" si="88"/>
        <v/>
      </c>
      <c r="AI191" s="54" t="str">
        <f t="shared" si="109"/>
        <v/>
      </c>
      <c r="AJ191" s="54" t="str">
        <f t="shared" si="109"/>
        <v/>
      </c>
      <c r="AK191" s="54" t="str">
        <f t="shared" si="109"/>
        <v/>
      </c>
      <c r="AL191" s="54" t="str">
        <f t="shared" si="109"/>
        <v/>
      </c>
      <c r="AM191" s="54" t="str">
        <f t="shared" si="109"/>
        <v/>
      </c>
      <c r="AN191" s="54" t="str">
        <f t="shared" si="109"/>
        <v/>
      </c>
      <c r="AO191" s="54" t="str">
        <f t="shared" si="109"/>
        <v/>
      </c>
      <c r="AP191" s="54" t="str">
        <f t="shared" si="109"/>
        <v/>
      </c>
      <c r="AQ191" s="54" t="str">
        <f t="shared" si="109"/>
        <v/>
      </c>
      <c r="AR191" s="54" t="str">
        <f t="shared" si="109"/>
        <v/>
      </c>
      <c r="AS191" s="54" t="str">
        <f t="shared" si="109"/>
        <v/>
      </c>
      <c r="AT191" s="54" t="str">
        <f t="shared" si="109"/>
        <v/>
      </c>
      <c r="AU191" s="54" t="str">
        <f t="shared" si="109"/>
        <v/>
      </c>
      <c r="AV191" s="54" t="str">
        <f t="shared" si="109"/>
        <v/>
      </c>
      <c r="AW191" s="54" t="str">
        <f t="shared" si="109"/>
        <v/>
      </c>
      <c r="AX191" s="54" t="str">
        <f t="shared" si="109"/>
        <v/>
      </c>
      <c r="AY191" s="54" t="str">
        <f t="shared" si="90"/>
        <v/>
      </c>
      <c r="AZ191" s="54" t="str">
        <f t="shared" si="91"/>
        <v/>
      </c>
      <c r="BA191" s="54" t="str">
        <f t="shared" si="92"/>
        <v/>
      </c>
      <c r="BB191" s="135" t="str">
        <f t="shared" si="93"/>
        <v/>
      </c>
      <c r="BC191" s="54" t="str">
        <f t="shared" si="110"/>
        <v/>
      </c>
      <c r="BD191" s="54" t="str">
        <f t="shared" si="110"/>
        <v/>
      </c>
      <c r="BE191" s="54" t="str">
        <f t="shared" si="110"/>
        <v/>
      </c>
      <c r="BF191" s="54" t="str">
        <f t="shared" si="94"/>
        <v/>
      </c>
      <c r="BG191" s="54" t="str">
        <f t="shared" si="95"/>
        <v/>
      </c>
      <c r="BH191" s="34" t="str">
        <f t="shared" si="96"/>
        <v>Bad</v>
      </c>
      <c r="BI191" s="34" t="str">
        <f t="shared" si="97"/>
        <v>No</v>
      </c>
      <c r="BJ191" s="136" t="str">
        <f>IF($D191&lt;&gt;"Feature",".",
IF(VLOOKUP($B191,Feature_List!$A:$AM,MATCH(BJ$1,  Feature_List!$A$1:$AM$1,0),0)=B191,".","NO"))</f>
        <v>.</v>
      </c>
      <c r="BK191" s="136"/>
      <c r="BL191" s="136"/>
      <c r="BM191" s="136" t="str">
        <f>IF($D191&lt;&gt;"Feature",".",
IF(VLOOKUP($B191,Feature_List!$A:$AM,MATCH(BM$1,  Feature_List!$A$1:$AM$1,0),0)=E191,".","NO"))</f>
        <v>.</v>
      </c>
      <c r="BN191" s="136" t="str">
        <f>IF($D191&lt;&gt;"Feature",".",
IF(VLOOKUP($B191,Feature_List!$A:$AM,MATCH(BN$1,  Feature_List!$A$1:$AM$1,0),0)=F191,".","NO"))</f>
        <v>.</v>
      </c>
      <c r="BO191" s="136" t="str">
        <f>IF($D191&lt;&gt;"Feature",".",
IF(VLOOKUP($B191,Feature_List!$A:$AM,MATCH(BO$1,  Feature_List!$A$1:$AM$1,0),0)=G191,".","NO"))</f>
        <v>.</v>
      </c>
      <c r="BP191" s="136" t="str">
        <f>IF($D191&lt;&gt;"Feature",".",
IF(VLOOKUP($B191,Feature_List!$A:$AM,MATCH(BP$1,  Feature_List!$A$1:$AM$1,0),0)=H191,".","NO"))</f>
        <v>.</v>
      </c>
      <c r="BQ191" s="136"/>
      <c r="BR191" s="136" t="str">
        <f>IF($D191&lt;&gt;"Feature",".",
IF(VLOOKUP($B191,Feature_List!$A:$AM,MATCH(BR$1,  Feature_List!$A$1:$AM$1,0),0)=J191,".","NO"))</f>
        <v>.</v>
      </c>
      <c r="BS191" s="136"/>
      <c r="BT191" s="136"/>
      <c r="BU191" s="136" t="str">
        <f>IF($D191&lt;&gt;"Feature",".",
IF(VLOOKUP($B191,Feature_List!$A:$AM,MATCH(BU$1,  Feature_List!$A$1:$AM$1,0),0)=M191,".","NO"))</f>
        <v>.</v>
      </c>
      <c r="BV191" s="136" t="str">
        <f>IF($D191&lt;&gt;"Feature",".",
IF(VLOOKUP($B191,Feature_List!$A:$AM,MATCH(BV$1,  Feature_List!$A$1:$AM$1,0),0)=N191,".","NO"))</f>
        <v>.</v>
      </c>
      <c r="BW191" s="136"/>
      <c r="BX191" s="136"/>
      <c r="BY191" s="136"/>
      <c r="BZ191" s="136"/>
      <c r="CA191" s="136"/>
      <c r="CB191" s="136" t="str">
        <f>IF($D191&lt;&gt;"Feature",".",
IF(VLOOKUP($B191,Feature_List!$A:$AM,MATCH(CB$1,  Feature_List!$A$1:$AM$1,0),0)=T191,".","NO"))</f>
        <v>.</v>
      </c>
      <c r="CC191" s="136"/>
      <c r="CD191" s="136"/>
      <c r="CE191" s="136"/>
      <c r="CF191" s="136"/>
      <c r="CG191" s="136"/>
      <c r="CH191" s="136"/>
      <c r="CI191" s="136"/>
      <c r="CJ191" s="136"/>
      <c r="CK191" s="136"/>
      <c r="CL191" s="136"/>
      <c r="CM191" s="136"/>
      <c r="CN191" s="136"/>
      <c r="CO191" s="136" t="str">
        <f>IF($D191&lt;&gt;"Feature",".",
IF(VLOOKUP($B191,Feature_List!$A:$AM,MATCH(CO$1,  Feature_List!$A$1:$AM$1,0),0)=AG191,".","NO"))</f>
        <v>.</v>
      </c>
      <c r="CP191" s="136" t="str">
        <f>IF($D191&lt;&gt;"Feature",".",
IF(VLOOKUP($B191,Feature_List!$A:$AM,MATCH(CP$1,  Feature_List!$A$1:$AM$1,0),0)=AH191,".","NO"))</f>
        <v>.</v>
      </c>
      <c r="CQ191" s="136" t="str">
        <f>IF($D191&lt;&gt;"Feature",".",
IF(VLOOKUP($B191,Feature_List!$A:$AM,MATCH(CQ$1,  Feature_List!$A$1:$AM$1,0),0)=AI191,".","NO"))</f>
        <v>.</v>
      </c>
      <c r="CR191" s="136" t="str">
        <f>IF($D191&lt;&gt;"Feature",".",
IF(VLOOKUP($B191,Feature_List!$A:$AM,MATCH(CR$1,  Feature_List!$A$1:$AM$1,0),0)=AJ191,".","NO"))</f>
        <v>.</v>
      </c>
      <c r="CS191" s="136" t="str">
        <f>IF($D191&lt;&gt;"Feature",".",
IF(VLOOKUP($B191,Feature_List!$A:$AM,MATCH(CS$1,  Feature_List!$A$1:$AM$1,0),0)=AK191,".","NO"))</f>
        <v>.</v>
      </c>
      <c r="CT191" s="136" t="str">
        <f>IF($D191&lt;&gt;"Feature",".",
IF(VLOOKUP($B191,Feature_List!$A:$AM,MATCH(CT$1,  Feature_List!$A$1:$AM$1,0),0)=AL191,".","NO"))</f>
        <v>.</v>
      </c>
      <c r="CU191" s="136" t="str">
        <f>IF($D191&lt;&gt;"Feature",".",
IF(VLOOKUP($B191,Feature_List!$A:$AM,MATCH(CU$1,  Feature_List!$A$1:$AM$1,0),0)=AM191,".","NO"))</f>
        <v>.</v>
      </c>
      <c r="CV191" s="136" t="str">
        <f>IF($D191&lt;&gt;"Feature",".",
IF(VLOOKUP($B191,Feature_List!$A:$AM,MATCH(CV$1,  Feature_List!$A$1:$AM$1,0),0)=AN191,".","NO"))</f>
        <v>.</v>
      </c>
      <c r="CW191" s="136" t="str">
        <f>IF($D191&lt;&gt;"Feature",".",
IF(VLOOKUP($B191,Feature_List!$A:$AM,MATCH(CW$1,  Feature_List!$A$1:$AM$1,0),0)=AO191,".","NO"))</f>
        <v>.</v>
      </c>
      <c r="CX191" s="136" t="str">
        <f>IF($D191&lt;&gt;"Feature",".",
IF(VLOOKUP($B191,Feature_List!$A:$AM,MATCH(CX$1,  Feature_List!$A$1:$AM$1,0),0)=AP191,".","NO"))</f>
        <v>.</v>
      </c>
      <c r="CY191" s="136" t="str">
        <f>IF($D191&lt;&gt;"Feature",".",
IF(VLOOKUP($B191,Feature_List!$A:$AM,MATCH(CY$1,  Feature_List!$A$1:$AM$1,0),0)=AQ191,".","NO"))</f>
        <v>.</v>
      </c>
      <c r="CZ191" s="136" t="str">
        <f>IF($D191&lt;&gt;"Feature",".",
IF(VLOOKUP($B191,Feature_List!$A:$AM,MATCH(CZ$1,  Feature_List!$A$1:$AM$1,0),0)=AR191,".","NO"))</f>
        <v>.</v>
      </c>
      <c r="DA191" s="136" t="str">
        <f>IF($D191&lt;&gt;"Feature",".",
IF(VLOOKUP($B191,Feature_List!$A:$AM,MATCH(DA$1,  Feature_List!$A$1:$AM$1,0),0)=AS191,".","NO"))</f>
        <v>.</v>
      </c>
      <c r="DB191" s="136" t="str">
        <f>IF($D191&lt;&gt;"Feature",".",
IF(VLOOKUP($B191,Feature_List!$A:$AM,MATCH(DB$1,  Feature_List!$A$1:$AM$1,0),0)=AT191,".","NO"))</f>
        <v>.</v>
      </c>
      <c r="DC191" s="136" t="str">
        <f>IF($D191&lt;&gt;"Feature",".",
IF(VLOOKUP($B191,Feature_List!$A:$AM,MATCH(DC$1,  Feature_List!$A$1:$AM$1,0),0)=AU191,".","NO"))</f>
        <v>.</v>
      </c>
      <c r="DD191" s="136" t="str">
        <f>IF($D191&lt;&gt;"Feature",".",
IF(VLOOKUP($B191,Feature_List!$A:$AM,MATCH(DD$1,  Feature_List!$A$1:$AM$1,0),0)=AV191,".","NO"))</f>
        <v>.</v>
      </c>
      <c r="DE191" s="136" t="str">
        <f>IF($D191&lt;&gt;"Feature",".",
IF(VLOOKUP($B191,Feature_List!$A:$AM,MATCH(DE$1,  Feature_List!$A$1:$AM$1,0),0)=AW191,".","NO"))</f>
        <v>.</v>
      </c>
      <c r="DF191" s="136" t="str">
        <f>IF($D191&lt;&gt;"Feature",".",
IF(VLOOKUP($B191,Feature_List!$A:$AM,MATCH(DF$1,  Feature_List!$A$1:$AM$1,0),0)=AX191,".","NO"))</f>
        <v>.</v>
      </c>
      <c r="DG191" s="136" t="str">
        <f>IF($D191&lt;&gt;"Feature",".",
IF(VLOOKUP($B191,Feature_List!$A:$AM,MATCH(DG$1,  Feature_List!$A$1:$AM$1,0),0)=AY191,".","NO"))</f>
        <v>.</v>
      </c>
      <c r="DH191" s="136" t="str">
        <f>IF($D191&lt;&gt;"Feature",".",
IF(VLOOKUP($B191,Feature_List!$A:$AM,MATCH(DH$1,  Feature_List!$A$1:$AM$1,0),0)=AZ191,".","NO"))</f>
        <v>.</v>
      </c>
      <c r="DI191" s="136" t="str">
        <f>IF($D191&lt;&gt;"Feature",".",
IF(VLOOKUP($B191,Feature_List!$A:$AM,MATCH(DI$1,  Feature_List!$A$1:$AM$1,0),0)=BA191,".","NO"))</f>
        <v>.</v>
      </c>
      <c r="DJ191" s="136" t="str">
        <f>IF($D191&lt;&gt;"Feature",".",
IF(VLOOKUP($B191,Feature_List!$A:$AM,MATCH(DJ$1,  Feature_List!$A$1:$AM$1,0),0)=BB191,".","NO"))</f>
        <v>.</v>
      </c>
      <c r="DK191" s="136"/>
      <c r="DL191" s="136"/>
      <c r="DM191" s="136"/>
      <c r="DN191" s="136" t="str">
        <f>IF($D191&lt;&gt;"Feature",".",
IF(VLOOKUP($B191,Feature_List!$A:$AM,MATCH(DN$1,  Feature_List!$A$1:$AM$1,0),0)=BC191,".","NO"))</f>
        <v>.</v>
      </c>
      <c r="DO191" s="136" t="str">
        <f>IF($D191&lt;&gt;"Feature",".",
IF(VLOOKUP($B191,Feature_List!$A:$AM,MATCH(DO$1,  Feature_List!$A$1:$AM$1,0),0)=BD191,".","NO"))</f>
        <v>.</v>
      </c>
    </row>
    <row r="192" spans="2:119" x14ac:dyDescent="0.3">
      <c r="B192" s="144"/>
      <c r="C192" s="144"/>
      <c r="D192" s="144"/>
      <c r="E192" s="144"/>
      <c r="F192" s="145"/>
      <c r="G192" s="144"/>
      <c r="H192" s="144"/>
      <c r="I192" s="144"/>
      <c r="J192" s="145"/>
      <c r="K192" s="144"/>
      <c r="L192" s="144"/>
      <c r="M192" s="144"/>
      <c r="N192" s="145"/>
      <c r="O192" s="123">
        <f t="shared" si="75"/>
        <v>0</v>
      </c>
      <c r="P192" s="123">
        <f t="shared" si="76"/>
        <v>0</v>
      </c>
      <c r="Q192" s="122" t="str">
        <f t="shared" si="98"/>
        <v>ZeroEntry</v>
      </c>
      <c r="R192" s="126" t="str">
        <f t="shared" si="77"/>
        <v>ZeroEntry</v>
      </c>
      <c r="S192" s="127" t="str">
        <f t="shared" si="78"/>
        <v>ZeroEntry</v>
      </c>
      <c r="T192" s="128" t="str">
        <f>IF($Q192="ZeroEntry", "",VLOOKUP($I192,'Ranking Lookup'!#REF!,2,FALSE))</f>
        <v/>
      </c>
      <c r="U192" s="129" t="str">
        <f t="shared" si="79"/>
        <v/>
      </c>
      <c r="V192" s="129" t="str">
        <f t="shared" si="80"/>
        <v/>
      </c>
      <c r="W192" s="129" t="str">
        <f t="shared" si="81"/>
        <v/>
      </c>
      <c r="X192" s="129" t="str">
        <f t="shared" si="82"/>
        <v/>
      </c>
      <c r="Y192" s="129" t="str">
        <f t="shared" si="83"/>
        <v/>
      </c>
      <c r="Z192" s="129" t="str">
        <f t="shared" si="84"/>
        <v/>
      </c>
      <c r="AA192" s="130"/>
      <c r="AB192" s="130" t="str">
        <f t="shared" si="85"/>
        <v>Unassigned</v>
      </c>
      <c r="AC192" s="131" t="str">
        <f t="shared" si="99"/>
        <v/>
      </c>
      <c r="AD192" s="131" t="str">
        <f t="shared" si="100"/>
        <v/>
      </c>
      <c r="AE192" s="132">
        <f t="shared" si="86"/>
        <v>0</v>
      </c>
      <c r="AF192" s="133" t="str">
        <f t="shared" si="101"/>
        <v/>
      </c>
      <c r="AG192" s="134">
        <f t="shared" si="87"/>
        <v>0</v>
      </c>
      <c r="AH192" s="54" t="str">
        <f t="shared" si="88"/>
        <v/>
      </c>
      <c r="AI192" s="54" t="str">
        <f t="shared" si="109"/>
        <v/>
      </c>
      <c r="AJ192" s="54" t="str">
        <f t="shared" si="109"/>
        <v/>
      </c>
      <c r="AK192" s="54" t="str">
        <f t="shared" si="109"/>
        <v/>
      </c>
      <c r="AL192" s="54" t="str">
        <f t="shared" si="109"/>
        <v/>
      </c>
      <c r="AM192" s="54" t="str">
        <f t="shared" si="109"/>
        <v/>
      </c>
      <c r="AN192" s="54" t="str">
        <f t="shared" si="109"/>
        <v/>
      </c>
      <c r="AO192" s="54" t="str">
        <f t="shared" si="109"/>
        <v/>
      </c>
      <c r="AP192" s="54" t="str">
        <f t="shared" si="109"/>
        <v/>
      </c>
      <c r="AQ192" s="54" t="str">
        <f t="shared" si="109"/>
        <v/>
      </c>
      <c r="AR192" s="54" t="str">
        <f t="shared" si="109"/>
        <v/>
      </c>
      <c r="AS192" s="54" t="str">
        <f t="shared" si="109"/>
        <v/>
      </c>
      <c r="AT192" s="54" t="str">
        <f t="shared" si="109"/>
        <v/>
      </c>
      <c r="AU192" s="54" t="str">
        <f t="shared" si="109"/>
        <v/>
      </c>
      <c r="AV192" s="54" t="str">
        <f t="shared" si="109"/>
        <v/>
      </c>
      <c r="AW192" s="54" t="str">
        <f t="shared" si="109"/>
        <v/>
      </c>
      <c r="AX192" s="54" t="str">
        <f t="shared" si="109"/>
        <v/>
      </c>
      <c r="AY192" s="54" t="str">
        <f t="shared" si="90"/>
        <v/>
      </c>
      <c r="AZ192" s="54" t="str">
        <f t="shared" si="91"/>
        <v/>
      </c>
      <c r="BA192" s="54" t="str">
        <f t="shared" si="92"/>
        <v/>
      </c>
      <c r="BB192" s="135" t="str">
        <f t="shared" si="93"/>
        <v/>
      </c>
      <c r="BC192" s="54" t="str">
        <f t="shared" si="110"/>
        <v/>
      </c>
      <c r="BD192" s="54" t="str">
        <f t="shared" si="110"/>
        <v/>
      </c>
      <c r="BE192" s="54" t="str">
        <f t="shared" si="110"/>
        <v/>
      </c>
      <c r="BF192" s="54" t="str">
        <f t="shared" si="94"/>
        <v/>
      </c>
      <c r="BG192" s="54" t="str">
        <f t="shared" si="95"/>
        <v/>
      </c>
      <c r="BH192" s="34" t="str">
        <f t="shared" si="96"/>
        <v>Bad</v>
      </c>
      <c r="BI192" s="34" t="str">
        <f t="shared" si="97"/>
        <v>No</v>
      </c>
      <c r="BJ192" s="136" t="str">
        <f>IF($D192&lt;&gt;"Feature",".",
IF(VLOOKUP($B192,Feature_List!$A:$AM,MATCH(BJ$1,  Feature_List!$A$1:$AM$1,0),0)=B192,".","NO"))</f>
        <v>.</v>
      </c>
      <c r="BK192" s="136"/>
      <c r="BL192" s="136"/>
      <c r="BM192" s="136" t="str">
        <f>IF($D192&lt;&gt;"Feature",".",
IF(VLOOKUP($B192,Feature_List!$A:$AM,MATCH(BM$1,  Feature_List!$A$1:$AM$1,0),0)=E192,".","NO"))</f>
        <v>.</v>
      </c>
      <c r="BN192" s="136" t="str">
        <f>IF($D192&lt;&gt;"Feature",".",
IF(VLOOKUP($B192,Feature_List!$A:$AM,MATCH(BN$1,  Feature_List!$A$1:$AM$1,0),0)=F192,".","NO"))</f>
        <v>.</v>
      </c>
      <c r="BO192" s="136" t="str">
        <f>IF($D192&lt;&gt;"Feature",".",
IF(VLOOKUP($B192,Feature_List!$A:$AM,MATCH(BO$1,  Feature_List!$A$1:$AM$1,0),0)=G192,".","NO"))</f>
        <v>.</v>
      </c>
      <c r="BP192" s="136" t="str">
        <f>IF($D192&lt;&gt;"Feature",".",
IF(VLOOKUP($B192,Feature_List!$A:$AM,MATCH(BP$1,  Feature_List!$A$1:$AM$1,0),0)=H192,".","NO"))</f>
        <v>.</v>
      </c>
      <c r="BQ192" s="136"/>
      <c r="BR192" s="136" t="str">
        <f>IF($D192&lt;&gt;"Feature",".",
IF(VLOOKUP($B192,Feature_List!$A:$AM,MATCH(BR$1,  Feature_List!$A$1:$AM$1,0),0)=J192,".","NO"))</f>
        <v>.</v>
      </c>
      <c r="BS192" s="136"/>
      <c r="BT192" s="136"/>
      <c r="BU192" s="136" t="str">
        <f>IF($D192&lt;&gt;"Feature",".",
IF(VLOOKUP($B192,Feature_List!$A:$AM,MATCH(BU$1,  Feature_List!$A$1:$AM$1,0),0)=M192,".","NO"))</f>
        <v>.</v>
      </c>
      <c r="BV192" s="136" t="str">
        <f>IF($D192&lt;&gt;"Feature",".",
IF(VLOOKUP($B192,Feature_List!$A:$AM,MATCH(BV$1,  Feature_List!$A$1:$AM$1,0),0)=N192,".","NO"))</f>
        <v>.</v>
      </c>
      <c r="BW192" s="136"/>
      <c r="BX192" s="136"/>
      <c r="BY192" s="136"/>
      <c r="BZ192" s="136"/>
      <c r="CA192" s="136"/>
      <c r="CB192" s="136" t="str">
        <f>IF($D192&lt;&gt;"Feature",".",
IF(VLOOKUP($B192,Feature_List!$A:$AM,MATCH(CB$1,  Feature_List!$A$1:$AM$1,0),0)=T192,".","NO"))</f>
        <v>.</v>
      </c>
      <c r="CC192" s="136"/>
      <c r="CD192" s="136"/>
      <c r="CE192" s="136"/>
      <c r="CF192" s="136"/>
      <c r="CG192" s="136"/>
      <c r="CH192" s="136"/>
      <c r="CI192" s="136"/>
      <c r="CJ192" s="136"/>
      <c r="CK192" s="136"/>
      <c r="CL192" s="136"/>
      <c r="CM192" s="136"/>
      <c r="CN192" s="136"/>
      <c r="CO192" s="136" t="str">
        <f>IF($D192&lt;&gt;"Feature",".",
IF(VLOOKUP($B192,Feature_List!$A:$AM,MATCH(CO$1,  Feature_List!$A$1:$AM$1,0),0)=AG192,".","NO"))</f>
        <v>.</v>
      </c>
      <c r="CP192" s="136" t="str">
        <f>IF($D192&lt;&gt;"Feature",".",
IF(VLOOKUP($B192,Feature_List!$A:$AM,MATCH(CP$1,  Feature_List!$A$1:$AM$1,0),0)=AH192,".","NO"))</f>
        <v>.</v>
      </c>
      <c r="CQ192" s="136" t="str">
        <f>IF($D192&lt;&gt;"Feature",".",
IF(VLOOKUP($B192,Feature_List!$A:$AM,MATCH(CQ$1,  Feature_List!$A$1:$AM$1,0),0)=AI192,".","NO"))</f>
        <v>.</v>
      </c>
      <c r="CR192" s="136" t="str">
        <f>IF($D192&lt;&gt;"Feature",".",
IF(VLOOKUP($B192,Feature_List!$A:$AM,MATCH(CR$1,  Feature_List!$A$1:$AM$1,0),0)=AJ192,".","NO"))</f>
        <v>.</v>
      </c>
      <c r="CS192" s="136" t="str">
        <f>IF($D192&lt;&gt;"Feature",".",
IF(VLOOKUP($B192,Feature_List!$A:$AM,MATCH(CS$1,  Feature_List!$A$1:$AM$1,0),0)=AK192,".","NO"))</f>
        <v>.</v>
      </c>
      <c r="CT192" s="136" t="str">
        <f>IF($D192&lt;&gt;"Feature",".",
IF(VLOOKUP($B192,Feature_List!$A:$AM,MATCH(CT$1,  Feature_List!$A$1:$AM$1,0),0)=AL192,".","NO"))</f>
        <v>.</v>
      </c>
      <c r="CU192" s="136" t="str">
        <f>IF($D192&lt;&gt;"Feature",".",
IF(VLOOKUP($B192,Feature_List!$A:$AM,MATCH(CU$1,  Feature_List!$A$1:$AM$1,0),0)=AM192,".","NO"))</f>
        <v>.</v>
      </c>
      <c r="CV192" s="136" t="str">
        <f>IF($D192&lt;&gt;"Feature",".",
IF(VLOOKUP($B192,Feature_List!$A:$AM,MATCH(CV$1,  Feature_List!$A$1:$AM$1,0),0)=AN192,".","NO"))</f>
        <v>.</v>
      </c>
      <c r="CW192" s="136" t="str">
        <f>IF($D192&lt;&gt;"Feature",".",
IF(VLOOKUP($B192,Feature_List!$A:$AM,MATCH(CW$1,  Feature_List!$A$1:$AM$1,0),0)=AO192,".","NO"))</f>
        <v>.</v>
      </c>
      <c r="CX192" s="136" t="str">
        <f>IF($D192&lt;&gt;"Feature",".",
IF(VLOOKUP($B192,Feature_List!$A:$AM,MATCH(CX$1,  Feature_List!$A$1:$AM$1,0),0)=AP192,".","NO"))</f>
        <v>.</v>
      </c>
      <c r="CY192" s="136" t="str">
        <f>IF($D192&lt;&gt;"Feature",".",
IF(VLOOKUP($B192,Feature_List!$A:$AM,MATCH(CY$1,  Feature_List!$A$1:$AM$1,0),0)=AQ192,".","NO"))</f>
        <v>.</v>
      </c>
      <c r="CZ192" s="136" t="str">
        <f>IF($D192&lt;&gt;"Feature",".",
IF(VLOOKUP($B192,Feature_List!$A:$AM,MATCH(CZ$1,  Feature_List!$A$1:$AM$1,0),0)=AR192,".","NO"))</f>
        <v>.</v>
      </c>
      <c r="DA192" s="136" t="str">
        <f>IF($D192&lt;&gt;"Feature",".",
IF(VLOOKUP($B192,Feature_List!$A:$AM,MATCH(DA$1,  Feature_List!$A$1:$AM$1,0),0)=AS192,".","NO"))</f>
        <v>.</v>
      </c>
      <c r="DB192" s="136" t="str">
        <f>IF($D192&lt;&gt;"Feature",".",
IF(VLOOKUP($B192,Feature_List!$A:$AM,MATCH(DB$1,  Feature_List!$A$1:$AM$1,0),0)=AT192,".","NO"))</f>
        <v>.</v>
      </c>
      <c r="DC192" s="136" t="str">
        <f>IF($D192&lt;&gt;"Feature",".",
IF(VLOOKUP($B192,Feature_List!$A:$AM,MATCH(DC$1,  Feature_List!$A$1:$AM$1,0),0)=AU192,".","NO"))</f>
        <v>.</v>
      </c>
      <c r="DD192" s="136" t="str">
        <f>IF($D192&lt;&gt;"Feature",".",
IF(VLOOKUP($B192,Feature_List!$A:$AM,MATCH(DD$1,  Feature_List!$A$1:$AM$1,0),0)=AV192,".","NO"))</f>
        <v>.</v>
      </c>
      <c r="DE192" s="136" t="str">
        <f>IF($D192&lt;&gt;"Feature",".",
IF(VLOOKUP($B192,Feature_List!$A:$AM,MATCH(DE$1,  Feature_List!$A$1:$AM$1,0),0)=AW192,".","NO"))</f>
        <v>.</v>
      </c>
      <c r="DF192" s="136" t="str">
        <f>IF($D192&lt;&gt;"Feature",".",
IF(VLOOKUP($B192,Feature_List!$A:$AM,MATCH(DF$1,  Feature_List!$A$1:$AM$1,0),0)=AX192,".","NO"))</f>
        <v>.</v>
      </c>
      <c r="DG192" s="136" t="str">
        <f>IF($D192&lt;&gt;"Feature",".",
IF(VLOOKUP($B192,Feature_List!$A:$AM,MATCH(DG$1,  Feature_List!$A$1:$AM$1,0),0)=AY192,".","NO"))</f>
        <v>.</v>
      </c>
      <c r="DH192" s="136" t="str">
        <f>IF($D192&lt;&gt;"Feature",".",
IF(VLOOKUP($B192,Feature_List!$A:$AM,MATCH(DH$1,  Feature_List!$A$1:$AM$1,0),0)=AZ192,".","NO"))</f>
        <v>.</v>
      </c>
      <c r="DI192" s="136" t="str">
        <f>IF($D192&lt;&gt;"Feature",".",
IF(VLOOKUP($B192,Feature_List!$A:$AM,MATCH(DI$1,  Feature_List!$A$1:$AM$1,0),0)=BA192,".","NO"))</f>
        <v>.</v>
      </c>
      <c r="DJ192" s="136" t="str">
        <f>IF($D192&lt;&gt;"Feature",".",
IF(VLOOKUP($B192,Feature_List!$A:$AM,MATCH(DJ$1,  Feature_List!$A$1:$AM$1,0),0)=BB192,".","NO"))</f>
        <v>.</v>
      </c>
      <c r="DK192" s="136"/>
      <c r="DL192" s="136"/>
      <c r="DM192" s="136"/>
      <c r="DN192" s="136" t="str">
        <f>IF($D192&lt;&gt;"Feature",".",
IF(VLOOKUP($B192,Feature_List!$A:$AM,MATCH(DN$1,  Feature_List!$A$1:$AM$1,0),0)=BC192,".","NO"))</f>
        <v>.</v>
      </c>
      <c r="DO192" s="136" t="str">
        <f>IF($D192&lt;&gt;"Feature",".",
IF(VLOOKUP($B192,Feature_List!$A:$AM,MATCH(DO$1,  Feature_List!$A$1:$AM$1,0),0)=BD192,".","NO"))</f>
        <v>.</v>
      </c>
    </row>
    <row r="193" spans="2:119" x14ac:dyDescent="0.3">
      <c r="B193" s="121"/>
      <c r="C193" s="122"/>
      <c r="D193" s="122"/>
      <c r="E193" s="122"/>
      <c r="F193" s="138"/>
      <c r="G193" s="123"/>
      <c r="H193" s="122"/>
      <c r="I193" s="124"/>
      <c r="J193" s="138"/>
      <c r="K193" s="123"/>
      <c r="L193" s="122"/>
      <c r="M193" s="122"/>
      <c r="N193" s="125"/>
      <c r="O193" s="123">
        <f t="shared" si="75"/>
        <v>0</v>
      </c>
      <c r="P193" s="123">
        <f t="shared" si="76"/>
        <v>0</v>
      </c>
      <c r="Q193" s="122" t="str">
        <f t="shared" si="98"/>
        <v>ZeroEntry</v>
      </c>
      <c r="R193" s="126" t="str">
        <f t="shared" si="77"/>
        <v>ZeroEntry</v>
      </c>
      <c r="S193" s="127" t="str">
        <f t="shared" si="78"/>
        <v>ZeroEntry</v>
      </c>
      <c r="T193" s="128" t="str">
        <f>IF($Q193="ZeroEntry", "",VLOOKUP($I193,'Ranking Lookup'!#REF!,2,FALSE))</f>
        <v/>
      </c>
      <c r="U193" s="129" t="str">
        <f t="shared" si="79"/>
        <v/>
      </c>
      <c r="V193" s="129" t="str">
        <f t="shared" si="80"/>
        <v/>
      </c>
      <c r="W193" s="129" t="str">
        <f t="shared" si="81"/>
        <v/>
      </c>
      <c r="X193" s="129" t="str">
        <f t="shared" si="82"/>
        <v/>
      </c>
      <c r="Y193" s="129" t="str">
        <f t="shared" si="83"/>
        <v/>
      </c>
      <c r="Z193" s="129" t="str">
        <f t="shared" si="84"/>
        <v/>
      </c>
      <c r="AA193" s="130"/>
      <c r="AB193" s="130" t="str">
        <f t="shared" si="85"/>
        <v>Unassigned</v>
      </c>
      <c r="AC193" s="131" t="str">
        <f t="shared" si="99"/>
        <v/>
      </c>
      <c r="AD193" s="131" t="str">
        <f t="shared" si="100"/>
        <v/>
      </c>
      <c r="AE193" s="132">
        <f t="shared" si="86"/>
        <v>0</v>
      </c>
      <c r="AF193" s="133" t="str">
        <f t="shared" si="101"/>
        <v/>
      </c>
      <c r="AG193" s="134">
        <f t="shared" si="87"/>
        <v>0</v>
      </c>
      <c r="AH193" s="54" t="str">
        <f t="shared" si="88"/>
        <v/>
      </c>
      <c r="AI193" s="54" t="str">
        <f t="shared" si="109"/>
        <v/>
      </c>
      <c r="AJ193" s="54" t="str">
        <f t="shared" si="109"/>
        <v/>
      </c>
      <c r="AK193" s="54" t="str">
        <f t="shared" si="109"/>
        <v/>
      </c>
      <c r="AL193" s="54" t="str">
        <f t="shared" si="109"/>
        <v/>
      </c>
      <c r="AM193" s="54" t="str">
        <f t="shared" si="109"/>
        <v/>
      </c>
      <c r="AN193" s="54" t="str">
        <f t="shared" si="109"/>
        <v/>
      </c>
      <c r="AO193" s="54" t="str">
        <f t="shared" si="109"/>
        <v/>
      </c>
      <c r="AP193" s="54" t="str">
        <f t="shared" si="109"/>
        <v/>
      </c>
      <c r="AQ193" s="54" t="str">
        <f t="shared" si="109"/>
        <v/>
      </c>
      <c r="AR193" s="54" t="str">
        <f t="shared" si="109"/>
        <v/>
      </c>
      <c r="AS193" s="54" t="str">
        <f t="shared" si="109"/>
        <v/>
      </c>
      <c r="AT193" s="54" t="str">
        <f t="shared" si="109"/>
        <v/>
      </c>
      <c r="AU193" s="54" t="str">
        <f t="shared" si="109"/>
        <v/>
      </c>
      <c r="AV193" s="54" t="str">
        <f t="shared" si="109"/>
        <v/>
      </c>
      <c r="AW193" s="54" t="str">
        <f t="shared" si="109"/>
        <v/>
      </c>
      <c r="AX193" s="54" t="str">
        <f t="shared" ref="AX193" si="111">IF(AND($Q193="Feature",LEFT($AB193,2)="PI"),
IF(AND(COUNTIF($R:$R,$B193)=1,$T193=AX$1), IF($AB193=$A$10,$AF193,0),
IF(OR($AD193&lt;1,RIGHT($G193,8)="Progress",$AH193&gt;0),SUMIFS($O:$O,$R:$R,$B193,$T:$T,AX$1,$P:$P,"&lt;&gt;Done",$AB:$AB,$A$10),
IF($T193=AX$1,IF($AB193=$A$10,$AD193,0)+SUMIFS($O:$O,$R:$R,$B193,$T:$T,AX$1,$P:$P,"&lt;&gt;Done",$AB:$AB,$A$10),SUMIFS($O:$O,$R:$R,$B193,$T:$T,AX$1,$P:$P,"&lt;&gt;Done",$AB:$AB,$A$10)))),
IF(AND(OR($Q193="Story",$Q193="Problem",$Q193="Enhancement"),$AB193=$A$10,$R193=0,$T193=AX$1,$P193&lt;&gt;"Done"),$O193,""))</f>
        <v/>
      </c>
      <c r="AY193" s="54" t="str">
        <f t="shared" si="90"/>
        <v/>
      </c>
      <c r="AZ193" s="54" t="str">
        <f t="shared" si="91"/>
        <v/>
      </c>
      <c r="BA193" s="54" t="str">
        <f t="shared" si="92"/>
        <v/>
      </c>
      <c r="BB193" s="135" t="str">
        <f t="shared" si="93"/>
        <v/>
      </c>
      <c r="BC193" s="54" t="str">
        <f t="shared" si="110"/>
        <v/>
      </c>
      <c r="BD193" s="54" t="str">
        <f t="shared" si="110"/>
        <v/>
      </c>
      <c r="BE193" s="54" t="str">
        <f t="shared" si="110"/>
        <v/>
      </c>
      <c r="BF193" s="54" t="str">
        <f t="shared" si="94"/>
        <v/>
      </c>
      <c r="BG193" s="54" t="str">
        <f t="shared" si="95"/>
        <v/>
      </c>
      <c r="BH193" s="34" t="str">
        <f t="shared" si="96"/>
        <v>Bad</v>
      </c>
      <c r="BI193" s="34" t="str">
        <f t="shared" si="97"/>
        <v>No</v>
      </c>
      <c r="BJ193" s="136" t="str">
        <f>IF($D193&lt;&gt;"Feature",".",
IF(VLOOKUP($B193,Feature_List!$A:$AM,MATCH(BJ$1,  Feature_List!$A$1:$AM$1,0),0)=B193,".","NO"))</f>
        <v>.</v>
      </c>
      <c r="BK193" s="136"/>
      <c r="BL193" s="136"/>
      <c r="BM193" s="136" t="str">
        <f>IF($D193&lt;&gt;"Feature",".",
IF(VLOOKUP($B193,Feature_List!$A:$AM,MATCH(BM$1,  Feature_List!$A$1:$AM$1,0),0)=E193,".","NO"))</f>
        <v>.</v>
      </c>
      <c r="BN193" s="136" t="str">
        <f>IF($D193&lt;&gt;"Feature",".",
IF(VLOOKUP($B193,Feature_List!$A:$AM,MATCH(BN$1,  Feature_List!$A$1:$AM$1,0),0)=F193,".","NO"))</f>
        <v>.</v>
      </c>
      <c r="BO193" s="136" t="str">
        <f>IF($D193&lt;&gt;"Feature",".",
IF(VLOOKUP($B193,Feature_List!$A:$AM,MATCH(BO$1,  Feature_List!$A$1:$AM$1,0),0)=G193,".","NO"))</f>
        <v>.</v>
      </c>
      <c r="BP193" s="136" t="str">
        <f>IF($D193&lt;&gt;"Feature",".",
IF(VLOOKUP($B193,Feature_List!$A:$AM,MATCH(BP$1,  Feature_List!$A$1:$AM$1,0),0)=H193,".","NO"))</f>
        <v>.</v>
      </c>
      <c r="BQ193" s="136"/>
      <c r="BR193" s="136" t="str">
        <f>IF($D193&lt;&gt;"Feature",".",
IF(VLOOKUP($B193,Feature_List!$A:$AM,MATCH(BR$1,  Feature_List!$A$1:$AM$1,0),0)=J193,".","NO"))</f>
        <v>.</v>
      </c>
      <c r="BS193" s="136"/>
      <c r="BT193" s="136"/>
      <c r="BU193" s="136" t="str">
        <f>IF($D193&lt;&gt;"Feature",".",
IF(VLOOKUP($B193,Feature_List!$A:$AM,MATCH(BU$1,  Feature_List!$A$1:$AM$1,0),0)=M193,".","NO"))</f>
        <v>.</v>
      </c>
      <c r="BV193" s="136" t="str">
        <f>IF($D193&lt;&gt;"Feature",".",
IF(VLOOKUP($B193,Feature_List!$A:$AM,MATCH(BV$1,  Feature_List!$A$1:$AM$1,0),0)=N193,".","NO"))</f>
        <v>.</v>
      </c>
      <c r="BW193" s="136"/>
      <c r="BX193" s="136"/>
      <c r="BY193" s="136"/>
      <c r="BZ193" s="136"/>
      <c r="CA193" s="136"/>
      <c r="CB193" s="136" t="str">
        <f>IF($D193&lt;&gt;"Feature",".",
IF(VLOOKUP($B193,Feature_List!$A:$AM,MATCH(CB$1,  Feature_List!$A$1:$AM$1,0),0)=T193,".","NO"))</f>
        <v>.</v>
      </c>
      <c r="CC193" s="136"/>
      <c r="CD193" s="136"/>
      <c r="CE193" s="136"/>
      <c r="CF193" s="136"/>
      <c r="CG193" s="136"/>
      <c r="CH193" s="136"/>
      <c r="CI193" s="136"/>
      <c r="CJ193" s="136"/>
      <c r="CK193" s="136"/>
      <c r="CL193" s="136"/>
      <c r="CM193" s="136"/>
      <c r="CN193" s="136"/>
      <c r="CO193" s="136" t="str">
        <f>IF($D193&lt;&gt;"Feature",".",
IF(VLOOKUP($B193,Feature_List!$A:$AM,MATCH(CO$1,  Feature_List!$A$1:$AM$1,0),0)=AG193,".","NO"))</f>
        <v>.</v>
      </c>
      <c r="CP193" s="136" t="str">
        <f>IF($D193&lt;&gt;"Feature",".",
IF(VLOOKUP($B193,Feature_List!$A:$AM,MATCH(CP$1,  Feature_List!$A$1:$AM$1,0),0)=AH193,".","NO"))</f>
        <v>.</v>
      </c>
      <c r="CQ193" s="136" t="str">
        <f>IF($D193&lt;&gt;"Feature",".",
IF(VLOOKUP($B193,Feature_List!$A:$AM,MATCH(CQ$1,  Feature_List!$A$1:$AM$1,0),0)=AI193,".","NO"))</f>
        <v>.</v>
      </c>
      <c r="CR193" s="136" t="str">
        <f>IF($D193&lt;&gt;"Feature",".",
IF(VLOOKUP($B193,Feature_List!$A:$AM,MATCH(CR$1,  Feature_List!$A$1:$AM$1,0),0)=AJ193,".","NO"))</f>
        <v>.</v>
      </c>
      <c r="CS193" s="136" t="str">
        <f>IF($D193&lt;&gt;"Feature",".",
IF(VLOOKUP($B193,Feature_List!$A:$AM,MATCH(CS$1,  Feature_List!$A$1:$AM$1,0),0)=AK193,".","NO"))</f>
        <v>.</v>
      </c>
      <c r="CT193" s="136" t="str">
        <f>IF($D193&lt;&gt;"Feature",".",
IF(VLOOKUP($B193,Feature_List!$A:$AM,MATCH(CT$1,  Feature_List!$A$1:$AM$1,0),0)=AL193,".","NO"))</f>
        <v>.</v>
      </c>
      <c r="CU193" s="136" t="str">
        <f>IF($D193&lt;&gt;"Feature",".",
IF(VLOOKUP($B193,Feature_List!$A:$AM,MATCH(CU$1,  Feature_List!$A$1:$AM$1,0),0)=AM193,".","NO"))</f>
        <v>.</v>
      </c>
      <c r="CV193" s="136" t="str">
        <f>IF($D193&lt;&gt;"Feature",".",
IF(VLOOKUP($B193,Feature_List!$A:$AM,MATCH(CV$1,  Feature_List!$A$1:$AM$1,0),0)=AN193,".","NO"))</f>
        <v>.</v>
      </c>
      <c r="CW193" s="136" t="str">
        <f>IF($D193&lt;&gt;"Feature",".",
IF(VLOOKUP($B193,Feature_List!$A:$AM,MATCH(CW$1,  Feature_List!$A$1:$AM$1,0),0)=AO193,".","NO"))</f>
        <v>.</v>
      </c>
      <c r="CX193" s="136" t="str">
        <f>IF($D193&lt;&gt;"Feature",".",
IF(VLOOKUP($B193,Feature_List!$A:$AM,MATCH(CX$1,  Feature_List!$A$1:$AM$1,0),0)=AP193,".","NO"))</f>
        <v>.</v>
      </c>
      <c r="CY193" s="136" t="str">
        <f>IF($D193&lt;&gt;"Feature",".",
IF(VLOOKUP($B193,Feature_List!$A:$AM,MATCH(CY$1,  Feature_List!$A$1:$AM$1,0),0)=AQ193,".","NO"))</f>
        <v>.</v>
      </c>
      <c r="CZ193" s="136" t="str">
        <f>IF($D193&lt;&gt;"Feature",".",
IF(VLOOKUP($B193,Feature_List!$A:$AM,MATCH(CZ$1,  Feature_List!$A$1:$AM$1,0),0)=AR193,".","NO"))</f>
        <v>.</v>
      </c>
      <c r="DA193" s="136" t="str">
        <f>IF($D193&lt;&gt;"Feature",".",
IF(VLOOKUP($B193,Feature_List!$A:$AM,MATCH(DA$1,  Feature_List!$A$1:$AM$1,0),0)=AS193,".","NO"))</f>
        <v>.</v>
      </c>
      <c r="DB193" s="136" t="str">
        <f>IF($D193&lt;&gt;"Feature",".",
IF(VLOOKUP($B193,Feature_List!$A:$AM,MATCH(DB$1,  Feature_List!$A$1:$AM$1,0),0)=AT193,".","NO"))</f>
        <v>.</v>
      </c>
      <c r="DC193" s="136" t="str">
        <f>IF($D193&lt;&gt;"Feature",".",
IF(VLOOKUP($B193,Feature_List!$A:$AM,MATCH(DC$1,  Feature_List!$A$1:$AM$1,0),0)=AU193,".","NO"))</f>
        <v>.</v>
      </c>
      <c r="DD193" s="136" t="str">
        <f>IF($D193&lt;&gt;"Feature",".",
IF(VLOOKUP($B193,Feature_List!$A:$AM,MATCH(DD$1,  Feature_List!$A$1:$AM$1,0),0)=AV193,".","NO"))</f>
        <v>.</v>
      </c>
      <c r="DE193" s="136" t="str">
        <f>IF($D193&lt;&gt;"Feature",".",
IF(VLOOKUP($B193,Feature_List!$A:$AM,MATCH(DE$1,  Feature_List!$A$1:$AM$1,0),0)=AW193,".","NO"))</f>
        <v>.</v>
      </c>
      <c r="DF193" s="136" t="str">
        <f>IF($D193&lt;&gt;"Feature",".",
IF(VLOOKUP($B193,Feature_List!$A:$AM,MATCH(DF$1,  Feature_List!$A$1:$AM$1,0),0)=AX193,".","NO"))</f>
        <v>.</v>
      </c>
      <c r="DG193" s="136" t="str">
        <f>IF($D193&lt;&gt;"Feature",".",
IF(VLOOKUP($B193,Feature_List!$A:$AM,MATCH(DG$1,  Feature_List!$A$1:$AM$1,0),0)=AY193,".","NO"))</f>
        <v>.</v>
      </c>
      <c r="DH193" s="136" t="str">
        <f>IF($D193&lt;&gt;"Feature",".",
IF(VLOOKUP($B193,Feature_List!$A:$AM,MATCH(DH$1,  Feature_List!$A$1:$AM$1,0),0)=AZ193,".","NO"))</f>
        <v>.</v>
      </c>
      <c r="DI193" s="136" t="str">
        <f>IF($D193&lt;&gt;"Feature",".",
IF(VLOOKUP($B193,Feature_List!$A:$AM,MATCH(DI$1,  Feature_List!$A$1:$AM$1,0),0)=BA193,".","NO"))</f>
        <v>.</v>
      </c>
      <c r="DJ193" s="136" t="str">
        <f>IF($D193&lt;&gt;"Feature",".",
IF(VLOOKUP($B193,Feature_List!$A:$AM,MATCH(DJ$1,  Feature_List!$A$1:$AM$1,0),0)=BB193,".","NO"))</f>
        <v>.</v>
      </c>
      <c r="DK193" s="136"/>
      <c r="DL193" s="136"/>
      <c r="DM193" s="136"/>
      <c r="DN193" s="136" t="str">
        <f>IF($D193&lt;&gt;"Feature",".",
IF(VLOOKUP($B193,Feature_List!$A:$AM,MATCH(DN$1,  Feature_List!$A$1:$AM$1,0),0)=BC193,".","NO"))</f>
        <v>.</v>
      </c>
      <c r="DO193" s="136" t="str">
        <f>IF($D193&lt;&gt;"Feature",".",
IF(VLOOKUP($B193,Feature_List!$A:$AM,MATCH(DO$1,  Feature_List!$A$1:$AM$1,0),0)=BD193,".","NO"))</f>
        <v>.</v>
      </c>
    </row>
    <row r="194" spans="2:119" x14ac:dyDescent="0.3">
      <c r="B194" s="121"/>
      <c r="C194" s="122"/>
      <c r="D194" s="122"/>
      <c r="E194" s="122"/>
      <c r="F194" s="138"/>
      <c r="G194" s="123"/>
      <c r="H194" s="122"/>
      <c r="I194" s="124"/>
      <c r="J194" s="138"/>
      <c r="K194" s="123"/>
      <c r="L194" s="122"/>
      <c r="M194" s="122"/>
      <c r="N194" s="125"/>
      <c r="O194" s="123">
        <f t="shared" ref="O194:O257" si="112">IF(Q194="Story",K194,
 IF(OR(Q194="Problem",Q194="Enhancement"),IFERROR(ROUNDUP(VALUE(LEFT(L194,FIND(" hour",L194)))/8,0),0),0))</f>
        <v>0</v>
      </c>
      <c r="P194" s="123">
        <f t="shared" ref="P194:P257" si="113">IF(H194="Closed","Done",H194)</f>
        <v>0</v>
      </c>
      <c r="Q194" s="122" t="str">
        <f t="shared" si="98"/>
        <v>ZeroEntry</v>
      </c>
      <c r="R194" s="126" t="str">
        <f t="shared" ref="R194:R257" si="114">IF($D194="","ZeroEntry",
IF($D194="Program Epic",0,
IF($Q194="Feature",$B194,
IF($Y194="Feature", RIGHT($C194,6)+0,
IF($X194="Feature", RIGHT(VLOOKUP(RIGHT($C194,6)+0,$B:$C,2,FALSE),6)+0, 0)))) )</f>
        <v>ZeroEntry</v>
      </c>
      <c r="S194" s="127" t="str">
        <f t="shared" ref="S194:S257" si="115">IF($D194="","ZeroEntry",
IF(OR($D194="Story",$D194="Problem",$D194="Enhancement"),$B194,0))</f>
        <v>ZeroEntry</v>
      </c>
      <c r="T194" s="128" t="str">
        <f>IF($Q194="ZeroEntry", "",VLOOKUP($I194,'Ranking Lookup'!#REF!,2,FALSE))</f>
        <v/>
      </c>
      <c r="U194" s="129" t="str">
        <f t="shared" ref="U194:U257" si="116">IFERROR(
   VLOOKUP(RIGHT(
        VLOOKUP(RIGHT(
             VLOOKUP(RIGHT(
                 VLOOKUP(RIGHT(
                     VLOOKUP(RIGHT($C194,6)+0,$B:$C,2,FALSE),6)+0,$B:$C,2,FALSE),6)+0,$B:$C,2,FALSE),6)+0,$B:$C,2,FALSE),6)+0,$B:$D,3,FALSE),
"")</f>
        <v/>
      </c>
      <c r="V194" s="129" t="str">
        <f t="shared" ref="V194:V257" si="117">IFERROR(
   VLOOKUP(RIGHT(
        VLOOKUP(RIGHT(
             VLOOKUP(RIGHT(
                  VLOOKUP(RIGHT($C194,6)+0,$B:$C,2,FALSE),6)+0,$B:$C,2,FALSE),6)+0,$B:$C,2,FALSE),6)+0,$B:$D,3,FALSE),
"")</f>
        <v/>
      </c>
      <c r="W194" s="129" t="str">
        <f t="shared" ref="W194:W257" si="118">IFERROR(
    VLOOKUP(RIGHT(
         VLOOKUP(RIGHT(
                 VLOOKUP(RIGHT($C194,6)+0,$B:$C,2,FALSE),6)+0,$B:$C,2,FALSE),6)+0,$B:$D,3,FALSE),
"")</f>
        <v/>
      </c>
      <c r="X194" s="129" t="str">
        <f t="shared" ref="X194:X257" si="119">IFERROR(
   VLOOKUP(RIGHT(
         VLOOKUP(RIGHT($C194,6)+0,$B:$C,2,FALSE),6)+0,$B:$D,3,FALSE),
"")</f>
        <v/>
      </c>
      <c r="Y194" s="129" t="str">
        <f t="shared" ref="Y194:Y257" si="120">IFERROR(VLOOKUP(RIGHT($C194,6)+0,$B:$D,3,FALSE),"")</f>
        <v/>
      </c>
      <c r="Z194" s="129" t="str">
        <f t="shared" ref="Z194:Z257" si="121">IF(ISERROR(VLOOKUP("#"&amp;$B194,$C:$D,2,FALSE)),"",VLOOKUP("#"&amp;$B194,$C:$D,2,FALSE))</f>
        <v/>
      </c>
      <c r="AA194" s="130"/>
      <c r="AB194" s="130" t="str">
        <f t="shared" ref="AB194:AB257" si="122">IF(LEFT($G194,2)="PI",LEFT($G194,5),
IF(OR(RIGHT($G194,2)="RR",$G194="Future"),$G194,
IF(LEFT($G194,3)="EA ",CONCATENATE("PI ",TEXT(VALUE(MID($G194,4,2)),"00")),
IF($R194=0,"Unassigned",
IF(NOT(OR($Q194="Story",$Q194="Problem",$Q194="Enhancement")),"Unassigned",
IF(AND($G194="Unassigned",RIGHT(VLOOKUP(VALUE(RIGHT($C194,6)),B:G,6,0),5)&lt;&gt;"gress",LEFT(VLOOKUP(VALUE(RIGHT($C194,6)),B:G,6,0),2)="PI"),LEFT(VLOOKUP(VALUE(RIGHT($C194,6)),B:G,6,0),5),
"Unassigned"))))))</f>
        <v>Unassigned</v>
      </c>
      <c r="AC194" s="131" t="str">
        <f t="shared" si="99"/>
        <v/>
      </c>
      <c r="AD194" s="131" t="str">
        <f t="shared" si="100"/>
        <v/>
      </c>
      <c r="AE194" s="132">
        <f t="shared" ref="AE194:AE257" si="123">IF(AND($Q194="Feature",$AD194&lt;&gt;0,$AC194&gt;$J194),($AC194/$J194)-1,0)</f>
        <v>0</v>
      </c>
      <c r="AF194" s="133" t="str">
        <f t="shared" si="101"/>
        <v/>
      </c>
      <c r="AG194" s="134">
        <f t="shared" ref="AG194:AG257" si="124">COUNTIF(AI194:AY194,"&gt;0")</f>
        <v>0</v>
      </c>
      <c r="AH194" s="54" t="str">
        <f t="shared" ref="AH194:AH257" si="125">IF($Q194="Feature",SUMIFS($O:$O,$R:$R,$B194,$P:$P,"Done"),
IF(  AND(OR($Q194="Story",$Q194="Problem",$Q194="Enhancement"),$R194=0,$P194="Done"),$O194,""))</f>
        <v/>
      </c>
      <c r="AI194" s="54" t="str">
        <f t="shared" ref="AI194:AX209" si="126">IF(AND($Q194="Feature",LEFT($AB194,2)="PI"),
IF(AND(COUNTIF($R:$R,$B194)=1,$T194=AI$1), IF($AB194=$A$10,$AF194,0),
IF(OR($AD194&lt;1,RIGHT($G194,8)="Progress",$AH194&gt;0),SUMIFS($O:$O,$R:$R,$B194,$T:$T,AI$1,$P:$P,"&lt;&gt;Done",$AB:$AB,$A$10),
IF($T194=AI$1,IF($AB194=$A$10,$AD194,0)+SUMIFS($O:$O,$R:$R,$B194,$T:$T,AI$1,$P:$P,"&lt;&gt;Done",$AB:$AB,$A$10),SUMIFS($O:$O,$R:$R,$B194,$T:$T,AI$1,$P:$P,"&lt;&gt;Done",$AB:$AB,$A$10)))),
IF(AND(OR($Q194="Story",$Q194="Problem",$Q194="Enhancement"),$AB194=$A$10,$R194=0,$T194=AI$1,$P194&lt;&gt;"Done"),$O194,""))</f>
        <v/>
      </c>
      <c r="AJ194" s="54" t="str">
        <f t="shared" si="126"/>
        <v/>
      </c>
      <c r="AK194" s="54" t="str">
        <f t="shared" si="126"/>
        <v/>
      </c>
      <c r="AL194" s="54" t="str">
        <f t="shared" si="126"/>
        <v/>
      </c>
      <c r="AM194" s="54" t="str">
        <f t="shared" si="126"/>
        <v/>
      </c>
      <c r="AN194" s="54" t="str">
        <f t="shared" si="126"/>
        <v/>
      </c>
      <c r="AO194" s="54" t="str">
        <f t="shared" si="126"/>
        <v/>
      </c>
      <c r="AP194" s="54" t="str">
        <f t="shared" si="126"/>
        <v/>
      </c>
      <c r="AQ194" s="54" t="str">
        <f t="shared" si="126"/>
        <v/>
      </c>
      <c r="AR194" s="54" t="str">
        <f t="shared" si="126"/>
        <v/>
      </c>
      <c r="AS194" s="54" t="str">
        <f t="shared" si="126"/>
        <v/>
      </c>
      <c r="AT194" s="54" t="str">
        <f t="shared" si="126"/>
        <v/>
      </c>
      <c r="AU194" s="54" t="str">
        <f t="shared" si="126"/>
        <v/>
      </c>
      <c r="AV194" s="54" t="str">
        <f t="shared" si="126"/>
        <v/>
      </c>
      <c r="AW194" s="54" t="str">
        <f t="shared" si="126"/>
        <v/>
      </c>
      <c r="AX194" s="54" t="str">
        <f t="shared" si="126"/>
        <v/>
      </c>
      <c r="AY194" s="54" t="str">
        <f t="shared" ref="AY194:AY201" si="127">IF(OR($Q194="Feature",BI194="Yes"), SUM(BC194:BE194),"")</f>
        <v/>
      </c>
      <c r="AZ194" s="54" t="str">
        <f t="shared" ref="AZ194:AZ257" si="128">IF($Q194="Feature",SUMIFS($O:$O,$R:$R,$B194,$P:$P,"&lt;&gt;Done",$AB:$AB,$A$14),
IF(AND(OR($Q194="Story",$Q194="Problem",$Q194="Enhancement"),$R194=0,$P194="&lt;&gt;Done", $AB194=$A$14),$O194,""))</f>
        <v/>
      </c>
      <c r="BA194" s="54" t="str">
        <f t="shared" ref="BA194:BA257" si="129">IF(OR($Q194="Feature",$BI194="Yes"), SUM(AI194:AY194),"")</f>
        <v/>
      </c>
      <c r="BB194" s="135" t="str">
        <f t="shared" ref="BB194:BB257" si="130">IF($Q194="Feature",SUMIFS($O:$O,$R:$R,$B194,$P:$P,"&lt;&gt;Done",$AB:$AB,BB$1),
IF(AND(OR($Q194="Story",$Q194="Problem",$Q194="Enhancement"),$R194=0,$P194="&lt;&gt;Done",$AB194=BB$1),$O194,""))</f>
        <v/>
      </c>
      <c r="BC194" s="54" t="str">
        <f t="shared" si="110"/>
        <v/>
      </c>
      <c r="BD194" s="54" t="str">
        <f t="shared" si="110"/>
        <v/>
      </c>
      <c r="BE194" s="54" t="str">
        <f t="shared" si="110"/>
        <v/>
      </c>
      <c r="BF194" s="54" t="str">
        <f t="shared" ref="BF194:BF257" si="131">IF($Q194="Feature",
COUNTIFS($Q:$Q,"Problem",$R:$R,$B194),"")</f>
        <v/>
      </c>
      <c r="BG194" s="54" t="str">
        <f t="shared" ref="BG194:BG257" si="132">IF($Q194="Feature",
COUNTIFS($Q:$Q,"Enhancement",$R:$R,$B194),"")</f>
        <v/>
      </c>
      <c r="BH194" s="34" t="str">
        <f t="shared" ref="BH194:BH257" si="133">IF(OR($Q194="Strategy",$Q194="Sub-Strategy"),"",
IF(AND($Q194="Feature",AH194&gt;0),"NA_InProgress",
IF(AND($Q194="Feature",SUM(AZ194:BB194)=J194),"Good",
IF(AND($Q194="Feature",RIGHT($G194,8)="Progress"),"NA_InProgress",
IF(AND(OR($Q194="Story",$Q194="Problem",$Q194="Enhancement"),$R194=0,SUM(AH194:BB194)=K194),"Good",
IF(AND(OR($Q194="Story",$Q194="Problem",$Q194="Enhancement"),$R194&lt;&gt;0),"","Bad"))))))</f>
        <v>Bad</v>
      </c>
      <c r="BI194" s="34" t="str">
        <f t="shared" ref="BI194:BI257" si="134">IF(AND(
      OR(AND(OR(Q194="Problem",Q194="Enhancement"),H194&lt;&gt;"Assessing",H194&lt;&gt;"Triage"),
             AND(Q194="Story",O194&lt;&gt;0)),
      R194=0,
      T194&lt;&gt;"Process"),"Add_Scope","No")</f>
        <v>No</v>
      </c>
      <c r="BJ194" s="136" t="str">
        <f>IF($D194&lt;&gt;"Feature",".",
IF(VLOOKUP($B194,Feature_List!$A:$AM,MATCH(BJ$1,  Feature_List!$A$1:$AM$1,0),0)=B194,".","NO"))</f>
        <v>.</v>
      </c>
      <c r="BK194" s="136"/>
      <c r="BL194" s="136"/>
      <c r="BM194" s="136" t="str">
        <f>IF($D194&lt;&gt;"Feature",".",
IF(VLOOKUP($B194,Feature_List!$A:$AM,MATCH(BM$1,  Feature_List!$A$1:$AM$1,0),0)=E194,".","NO"))</f>
        <v>.</v>
      </c>
      <c r="BN194" s="136" t="str">
        <f>IF($D194&lt;&gt;"Feature",".",
IF(VLOOKUP($B194,Feature_List!$A:$AM,MATCH(BN$1,  Feature_List!$A$1:$AM$1,0),0)=F194,".","NO"))</f>
        <v>.</v>
      </c>
      <c r="BO194" s="136" t="str">
        <f>IF($D194&lt;&gt;"Feature",".",
IF(VLOOKUP($B194,Feature_List!$A:$AM,MATCH(BO$1,  Feature_List!$A$1:$AM$1,0),0)=G194,".","NO"))</f>
        <v>.</v>
      </c>
      <c r="BP194" s="136" t="str">
        <f>IF($D194&lt;&gt;"Feature",".",
IF(VLOOKUP($B194,Feature_List!$A:$AM,MATCH(BP$1,  Feature_List!$A$1:$AM$1,0),0)=H194,".","NO"))</f>
        <v>.</v>
      </c>
      <c r="BQ194" s="136"/>
      <c r="BR194" s="136" t="str">
        <f>IF($D194&lt;&gt;"Feature",".",
IF(VLOOKUP($B194,Feature_List!$A:$AM,MATCH(BR$1,  Feature_List!$A$1:$AM$1,0),0)=J194,".","NO"))</f>
        <v>.</v>
      </c>
      <c r="BS194" s="136"/>
      <c r="BT194" s="136"/>
      <c r="BU194" s="136" t="str">
        <f>IF($D194&lt;&gt;"Feature",".",
IF(VLOOKUP($B194,Feature_List!$A:$AM,MATCH(BU$1,  Feature_List!$A$1:$AM$1,0),0)=M194,".","NO"))</f>
        <v>.</v>
      </c>
      <c r="BV194" s="136" t="str">
        <f>IF($D194&lt;&gt;"Feature",".",
IF(VLOOKUP($B194,Feature_List!$A:$AM,MATCH(BV$1,  Feature_List!$A$1:$AM$1,0),0)=N194,".","NO"))</f>
        <v>.</v>
      </c>
      <c r="BW194" s="136"/>
      <c r="BX194" s="136"/>
      <c r="BY194" s="136"/>
      <c r="BZ194" s="136"/>
      <c r="CA194" s="136"/>
      <c r="CB194" s="136" t="str">
        <f>IF($D194&lt;&gt;"Feature",".",
IF(VLOOKUP($B194,Feature_List!$A:$AM,MATCH(CB$1,  Feature_List!$A$1:$AM$1,0),0)=T194,".","NO"))</f>
        <v>.</v>
      </c>
      <c r="CC194" s="136"/>
      <c r="CD194" s="136"/>
      <c r="CE194" s="136"/>
      <c r="CF194" s="136"/>
      <c r="CG194" s="136"/>
      <c r="CH194" s="136"/>
      <c r="CI194" s="136"/>
      <c r="CJ194" s="136"/>
      <c r="CK194" s="136"/>
      <c r="CL194" s="136"/>
      <c r="CM194" s="136"/>
      <c r="CN194" s="136"/>
      <c r="CO194" s="136" t="str">
        <f>IF($D194&lt;&gt;"Feature",".",
IF(VLOOKUP($B194,Feature_List!$A:$AM,MATCH(CO$1,  Feature_List!$A$1:$AM$1,0),0)=AG194,".","NO"))</f>
        <v>.</v>
      </c>
      <c r="CP194" s="136" t="str">
        <f>IF($D194&lt;&gt;"Feature",".",
IF(VLOOKUP($B194,Feature_List!$A:$AM,MATCH(CP$1,  Feature_List!$A$1:$AM$1,0),0)=AH194,".","NO"))</f>
        <v>.</v>
      </c>
      <c r="CQ194" s="136" t="str">
        <f>IF($D194&lt;&gt;"Feature",".",
IF(VLOOKUP($B194,Feature_List!$A:$AM,MATCH(CQ$1,  Feature_List!$A$1:$AM$1,0),0)=AI194,".","NO"))</f>
        <v>.</v>
      </c>
      <c r="CR194" s="136" t="str">
        <f>IF($D194&lt;&gt;"Feature",".",
IF(VLOOKUP($B194,Feature_List!$A:$AM,MATCH(CR$1,  Feature_List!$A$1:$AM$1,0),0)=AJ194,".","NO"))</f>
        <v>.</v>
      </c>
      <c r="CS194" s="136" t="str">
        <f>IF($D194&lt;&gt;"Feature",".",
IF(VLOOKUP($B194,Feature_List!$A:$AM,MATCH(CS$1,  Feature_List!$A$1:$AM$1,0),0)=AK194,".","NO"))</f>
        <v>.</v>
      </c>
      <c r="CT194" s="136" t="str">
        <f>IF($D194&lt;&gt;"Feature",".",
IF(VLOOKUP($B194,Feature_List!$A:$AM,MATCH(CT$1,  Feature_List!$A$1:$AM$1,0),0)=AL194,".","NO"))</f>
        <v>.</v>
      </c>
      <c r="CU194" s="136" t="str">
        <f>IF($D194&lt;&gt;"Feature",".",
IF(VLOOKUP($B194,Feature_List!$A:$AM,MATCH(CU$1,  Feature_List!$A$1:$AM$1,0),0)=AM194,".","NO"))</f>
        <v>.</v>
      </c>
      <c r="CV194" s="136" t="str">
        <f>IF($D194&lt;&gt;"Feature",".",
IF(VLOOKUP($B194,Feature_List!$A:$AM,MATCH(CV$1,  Feature_List!$A$1:$AM$1,0),0)=AN194,".","NO"))</f>
        <v>.</v>
      </c>
      <c r="CW194" s="136" t="str">
        <f>IF($D194&lt;&gt;"Feature",".",
IF(VLOOKUP($B194,Feature_List!$A:$AM,MATCH(CW$1,  Feature_List!$A$1:$AM$1,0),0)=AO194,".","NO"))</f>
        <v>.</v>
      </c>
      <c r="CX194" s="136" t="str">
        <f>IF($D194&lt;&gt;"Feature",".",
IF(VLOOKUP($B194,Feature_List!$A:$AM,MATCH(CX$1,  Feature_List!$A$1:$AM$1,0),0)=AP194,".","NO"))</f>
        <v>.</v>
      </c>
      <c r="CY194" s="136" t="str">
        <f>IF($D194&lt;&gt;"Feature",".",
IF(VLOOKUP($B194,Feature_List!$A:$AM,MATCH(CY$1,  Feature_List!$A$1:$AM$1,0),0)=AQ194,".","NO"))</f>
        <v>.</v>
      </c>
      <c r="CZ194" s="136" t="str">
        <f>IF($D194&lt;&gt;"Feature",".",
IF(VLOOKUP($B194,Feature_List!$A:$AM,MATCH(CZ$1,  Feature_List!$A$1:$AM$1,0),0)=AR194,".","NO"))</f>
        <v>.</v>
      </c>
      <c r="DA194" s="136" t="str">
        <f>IF($D194&lt;&gt;"Feature",".",
IF(VLOOKUP($B194,Feature_List!$A:$AM,MATCH(DA$1,  Feature_List!$A$1:$AM$1,0),0)=AS194,".","NO"))</f>
        <v>.</v>
      </c>
      <c r="DB194" s="136" t="str">
        <f>IF($D194&lt;&gt;"Feature",".",
IF(VLOOKUP($B194,Feature_List!$A:$AM,MATCH(DB$1,  Feature_List!$A$1:$AM$1,0),0)=AT194,".","NO"))</f>
        <v>.</v>
      </c>
      <c r="DC194" s="136" t="str">
        <f>IF($D194&lt;&gt;"Feature",".",
IF(VLOOKUP($B194,Feature_List!$A:$AM,MATCH(DC$1,  Feature_List!$A$1:$AM$1,0),0)=AU194,".","NO"))</f>
        <v>.</v>
      </c>
      <c r="DD194" s="136" t="str">
        <f>IF($D194&lt;&gt;"Feature",".",
IF(VLOOKUP($B194,Feature_List!$A:$AM,MATCH(DD$1,  Feature_List!$A$1:$AM$1,0),0)=AV194,".","NO"))</f>
        <v>.</v>
      </c>
      <c r="DE194" s="136" t="str">
        <f>IF($D194&lt;&gt;"Feature",".",
IF(VLOOKUP($B194,Feature_List!$A:$AM,MATCH(DE$1,  Feature_List!$A$1:$AM$1,0),0)=AW194,".","NO"))</f>
        <v>.</v>
      </c>
      <c r="DF194" s="136" t="str">
        <f>IF($D194&lt;&gt;"Feature",".",
IF(VLOOKUP($B194,Feature_List!$A:$AM,MATCH(DF$1,  Feature_List!$A$1:$AM$1,0),0)=AX194,".","NO"))</f>
        <v>.</v>
      </c>
      <c r="DG194" s="136" t="str">
        <f>IF($D194&lt;&gt;"Feature",".",
IF(VLOOKUP($B194,Feature_List!$A:$AM,MATCH(DG$1,  Feature_List!$A$1:$AM$1,0),0)=AY194,".","NO"))</f>
        <v>.</v>
      </c>
      <c r="DH194" s="136" t="str">
        <f>IF($D194&lt;&gt;"Feature",".",
IF(VLOOKUP($B194,Feature_List!$A:$AM,MATCH(DH$1,  Feature_List!$A$1:$AM$1,0),0)=AZ194,".","NO"))</f>
        <v>.</v>
      </c>
      <c r="DI194" s="136" t="str">
        <f>IF($D194&lt;&gt;"Feature",".",
IF(VLOOKUP($B194,Feature_List!$A:$AM,MATCH(DI$1,  Feature_List!$A$1:$AM$1,0),0)=BA194,".","NO"))</f>
        <v>.</v>
      </c>
      <c r="DJ194" s="136" t="str">
        <f>IF($D194&lt;&gt;"Feature",".",
IF(VLOOKUP($B194,Feature_List!$A:$AM,MATCH(DJ$1,  Feature_List!$A$1:$AM$1,0),0)=BB194,".","NO"))</f>
        <v>.</v>
      </c>
      <c r="DK194" s="136"/>
      <c r="DL194" s="136"/>
      <c r="DM194" s="136"/>
      <c r="DN194" s="136" t="str">
        <f>IF($D194&lt;&gt;"Feature",".",
IF(VLOOKUP($B194,Feature_List!$A:$AM,MATCH(DN$1,  Feature_List!$A$1:$AM$1,0),0)=BC194,".","NO"))</f>
        <v>.</v>
      </c>
      <c r="DO194" s="136" t="str">
        <f>IF($D194&lt;&gt;"Feature",".",
IF(VLOOKUP($B194,Feature_List!$A:$AM,MATCH(DO$1,  Feature_List!$A$1:$AM$1,0),0)=BD194,".","NO"))</f>
        <v>.</v>
      </c>
    </row>
    <row r="195" spans="2:119" x14ac:dyDescent="0.3">
      <c r="B195" s="121"/>
      <c r="C195" s="122"/>
      <c r="D195" s="122"/>
      <c r="E195" s="122"/>
      <c r="F195" s="138"/>
      <c r="G195" s="123"/>
      <c r="H195" s="122"/>
      <c r="I195" s="124"/>
      <c r="J195" s="138"/>
      <c r="K195" s="123"/>
      <c r="L195" s="122"/>
      <c r="M195" s="122"/>
      <c r="N195" s="125"/>
      <c r="O195" s="123">
        <f t="shared" si="112"/>
        <v>0</v>
      </c>
      <c r="P195" s="123">
        <f t="shared" si="113"/>
        <v>0</v>
      </c>
      <c r="Q195" s="122" t="str">
        <f t="shared" ref="Q195:Q258" si="135">IF($D195="","ZeroEntry",
IF($D195="Story","Story",
IF($D195="Feature","Feature",
IF($D195="Problem","Problem",
IF($D195="Enhancement","Enhancement",
"Program Epic")))))</f>
        <v>ZeroEntry</v>
      </c>
      <c r="R195" s="126" t="str">
        <f t="shared" si="114"/>
        <v>ZeroEntry</v>
      </c>
      <c r="S195" s="127" t="str">
        <f t="shared" si="115"/>
        <v>ZeroEntry</v>
      </c>
      <c r="T195" s="128" t="str">
        <f>IF($Q195="ZeroEntry", "",VLOOKUP($I195,'Ranking Lookup'!#REF!,2,FALSE))</f>
        <v/>
      </c>
      <c r="U195" s="129" t="str">
        <f t="shared" si="116"/>
        <v/>
      </c>
      <c r="V195" s="129" t="str">
        <f t="shared" si="117"/>
        <v/>
      </c>
      <c r="W195" s="129" t="str">
        <f t="shared" si="118"/>
        <v/>
      </c>
      <c r="X195" s="129" t="str">
        <f t="shared" si="119"/>
        <v/>
      </c>
      <c r="Y195" s="129" t="str">
        <f t="shared" si="120"/>
        <v/>
      </c>
      <c r="Z195" s="129" t="str">
        <f t="shared" si="121"/>
        <v/>
      </c>
      <c r="AA195" s="130"/>
      <c r="AB195" s="130" t="str">
        <f t="shared" si="122"/>
        <v>Unassigned</v>
      </c>
      <c r="AC195" s="131" t="str">
        <f t="shared" ref="AC195:AC258" si="136">IF($Q195="Feature",SUMIFS($O:$O,$R:$R,$B195),
IF(OR($Q195="Story",$Q195="Problem",$Q195="Enhancement"),$O195,""))</f>
        <v/>
      </c>
      <c r="AD195" s="131" t="str">
        <f t="shared" ref="AD195:AD258" si="137">IF($Q195="Feature",
IF(COUNTIF($R:$R,$B195)=1,$J195,$J195-$AC195),
IF(OR($Q195="Story",$Q195="Problem",$Q195="Enhancement"),$O195-$AC195,""))</f>
        <v/>
      </c>
      <c r="AE195" s="132">
        <f t="shared" si="123"/>
        <v>0</v>
      </c>
      <c r="AF195" s="133" t="str">
        <f t="shared" ref="AF195:AF258" si="138">IF($P195="Done", 0,
IF(AND($Q195="Feature",COUNTIF($R:$R,$B195)=1),$J195,
IF($Q195="Feature",MAX($J195-SUMIFS($O:$O,$P:$P,"Done",$R:$R,$B195),0),
IF(AND(OR($Q195="Story",$Q195="Problem",$Q195="Enhancement"),$R195=0),$O195,""))))</f>
        <v/>
      </c>
      <c r="AG195" s="134">
        <f t="shared" si="124"/>
        <v>0</v>
      </c>
      <c r="AH195" s="54" t="str">
        <f t="shared" si="125"/>
        <v/>
      </c>
      <c r="AI195" s="54" t="str">
        <f t="shared" si="126"/>
        <v/>
      </c>
      <c r="AJ195" s="54" t="str">
        <f t="shared" si="126"/>
        <v/>
      </c>
      <c r="AK195" s="54" t="str">
        <f t="shared" si="126"/>
        <v/>
      </c>
      <c r="AL195" s="54" t="str">
        <f t="shared" si="126"/>
        <v/>
      </c>
      <c r="AM195" s="54" t="str">
        <f t="shared" si="126"/>
        <v/>
      </c>
      <c r="AN195" s="54" t="str">
        <f t="shared" si="126"/>
        <v/>
      </c>
      <c r="AO195" s="54" t="str">
        <f t="shared" si="126"/>
        <v/>
      </c>
      <c r="AP195" s="54" t="str">
        <f t="shared" si="126"/>
        <v/>
      </c>
      <c r="AQ195" s="54" t="str">
        <f t="shared" si="126"/>
        <v/>
      </c>
      <c r="AR195" s="54" t="str">
        <f t="shared" si="126"/>
        <v/>
      </c>
      <c r="AS195" s="54" t="str">
        <f t="shared" si="126"/>
        <v/>
      </c>
      <c r="AT195" s="54" t="str">
        <f t="shared" si="126"/>
        <v/>
      </c>
      <c r="AU195" s="54" t="str">
        <f t="shared" si="126"/>
        <v/>
      </c>
      <c r="AV195" s="54" t="str">
        <f t="shared" si="126"/>
        <v/>
      </c>
      <c r="AW195" s="54" t="str">
        <f t="shared" si="126"/>
        <v/>
      </c>
      <c r="AX195" s="54" t="str">
        <f t="shared" si="126"/>
        <v/>
      </c>
      <c r="AY195" s="54" t="str">
        <f t="shared" si="127"/>
        <v/>
      </c>
      <c r="AZ195" s="54" t="str">
        <f t="shared" si="128"/>
        <v/>
      </c>
      <c r="BA195" s="54" t="str">
        <f t="shared" si="129"/>
        <v/>
      </c>
      <c r="BB195" s="135" t="str">
        <f t="shared" si="130"/>
        <v/>
      </c>
      <c r="BC195" s="54" t="str">
        <f t="shared" si="110"/>
        <v/>
      </c>
      <c r="BD195" s="54" t="str">
        <f t="shared" si="110"/>
        <v/>
      </c>
      <c r="BE195" s="54" t="str">
        <f t="shared" si="110"/>
        <v/>
      </c>
      <c r="BF195" s="54" t="str">
        <f t="shared" si="131"/>
        <v/>
      </c>
      <c r="BG195" s="54" t="str">
        <f t="shared" si="132"/>
        <v/>
      </c>
      <c r="BH195" s="34" t="str">
        <f t="shared" si="133"/>
        <v>Bad</v>
      </c>
      <c r="BI195" s="34" t="str">
        <f t="shared" si="134"/>
        <v>No</v>
      </c>
      <c r="BJ195" s="136" t="str">
        <f>IF($D195&lt;&gt;"Feature",".",
IF(VLOOKUP($B195,Feature_List!$A:$AM,MATCH(BJ$1,  Feature_List!$A$1:$AM$1,0),0)=B195,".","NO"))</f>
        <v>.</v>
      </c>
      <c r="BK195" s="136"/>
      <c r="BL195" s="136"/>
      <c r="BM195" s="136" t="str">
        <f>IF($D195&lt;&gt;"Feature",".",
IF(VLOOKUP($B195,Feature_List!$A:$AM,MATCH(BM$1,  Feature_List!$A$1:$AM$1,0),0)=E195,".","NO"))</f>
        <v>.</v>
      </c>
      <c r="BN195" s="136" t="str">
        <f>IF($D195&lt;&gt;"Feature",".",
IF(VLOOKUP($B195,Feature_List!$A:$AM,MATCH(BN$1,  Feature_List!$A$1:$AM$1,0),0)=F195,".","NO"))</f>
        <v>.</v>
      </c>
      <c r="BO195" s="136" t="str">
        <f>IF($D195&lt;&gt;"Feature",".",
IF(VLOOKUP($B195,Feature_List!$A:$AM,MATCH(BO$1,  Feature_List!$A$1:$AM$1,0),0)=G195,".","NO"))</f>
        <v>.</v>
      </c>
      <c r="BP195" s="136" t="str">
        <f>IF($D195&lt;&gt;"Feature",".",
IF(VLOOKUP($B195,Feature_List!$A:$AM,MATCH(BP$1,  Feature_List!$A$1:$AM$1,0),0)=H195,".","NO"))</f>
        <v>.</v>
      </c>
      <c r="BQ195" s="136"/>
      <c r="BR195" s="136" t="str">
        <f>IF($D195&lt;&gt;"Feature",".",
IF(VLOOKUP($B195,Feature_List!$A:$AM,MATCH(BR$1,  Feature_List!$A$1:$AM$1,0),0)=J195,".","NO"))</f>
        <v>.</v>
      </c>
      <c r="BS195" s="136"/>
      <c r="BT195" s="136"/>
      <c r="BU195" s="136" t="str">
        <f>IF($D195&lt;&gt;"Feature",".",
IF(VLOOKUP($B195,Feature_List!$A:$AM,MATCH(BU$1,  Feature_List!$A$1:$AM$1,0),0)=M195,".","NO"))</f>
        <v>.</v>
      </c>
      <c r="BV195" s="136" t="str">
        <f>IF($D195&lt;&gt;"Feature",".",
IF(VLOOKUP($B195,Feature_List!$A:$AM,MATCH(BV$1,  Feature_List!$A$1:$AM$1,0),0)=N195,".","NO"))</f>
        <v>.</v>
      </c>
      <c r="BW195" s="136"/>
      <c r="BX195" s="136"/>
      <c r="BY195" s="136"/>
      <c r="BZ195" s="136"/>
      <c r="CA195" s="136"/>
      <c r="CB195" s="136" t="str">
        <f>IF($D195&lt;&gt;"Feature",".",
IF(VLOOKUP($B195,Feature_List!$A:$AM,MATCH(CB$1,  Feature_List!$A$1:$AM$1,0),0)=T195,".","NO"))</f>
        <v>.</v>
      </c>
      <c r="CC195" s="136"/>
      <c r="CD195" s="136"/>
      <c r="CE195" s="136"/>
      <c r="CF195" s="136"/>
      <c r="CG195" s="136"/>
      <c r="CH195" s="136"/>
      <c r="CI195" s="136"/>
      <c r="CJ195" s="136"/>
      <c r="CK195" s="136"/>
      <c r="CL195" s="136"/>
      <c r="CM195" s="136"/>
      <c r="CN195" s="136"/>
      <c r="CO195" s="136" t="str">
        <f>IF($D195&lt;&gt;"Feature",".",
IF(VLOOKUP($B195,Feature_List!$A:$AM,MATCH(CO$1,  Feature_List!$A$1:$AM$1,0),0)=AG195,".","NO"))</f>
        <v>.</v>
      </c>
      <c r="CP195" s="136" t="str">
        <f>IF($D195&lt;&gt;"Feature",".",
IF(VLOOKUP($B195,Feature_List!$A:$AM,MATCH(CP$1,  Feature_List!$A$1:$AM$1,0),0)=AH195,".","NO"))</f>
        <v>.</v>
      </c>
      <c r="CQ195" s="136" t="str">
        <f>IF($D195&lt;&gt;"Feature",".",
IF(VLOOKUP($B195,Feature_List!$A:$AM,MATCH(CQ$1,  Feature_List!$A$1:$AM$1,0),0)=AI195,".","NO"))</f>
        <v>.</v>
      </c>
      <c r="CR195" s="136" t="str">
        <f>IF($D195&lt;&gt;"Feature",".",
IF(VLOOKUP($B195,Feature_List!$A:$AM,MATCH(CR$1,  Feature_List!$A$1:$AM$1,0),0)=AJ195,".","NO"))</f>
        <v>.</v>
      </c>
      <c r="CS195" s="136" t="str">
        <f>IF($D195&lt;&gt;"Feature",".",
IF(VLOOKUP($B195,Feature_List!$A:$AM,MATCH(CS$1,  Feature_List!$A$1:$AM$1,0),0)=AK195,".","NO"))</f>
        <v>.</v>
      </c>
      <c r="CT195" s="136" t="str">
        <f>IF($D195&lt;&gt;"Feature",".",
IF(VLOOKUP($B195,Feature_List!$A:$AM,MATCH(CT$1,  Feature_List!$A$1:$AM$1,0),0)=AL195,".","NO"))</f>
        <v>.</v>
      </c>
      <c r="CU195" s="136" t="str">
        <f>IF($D195&lt;&gt;"Feature",".",
IF(VLOOKUP($B195,Feature_List!$A:$AM,MATCH(CU$1,  Feature_List!$A$1:$AM$1,0),0)=AM195,".","NO"))</f>
        <v>.</v>
      </c>
      <c r="CV195" s="136" t="str">
        <f>IF($D195&lt;&gt;"Feature",".",
IF(VLOOKUP($B195,Feature_List!$A:$AM,MATCH(CV$1,  Feature_List!$A$1:$AM$1,0),0)=AN195,".","NO"))</f>
        <v>.</v>
      </c>
      <c r="CW195" s="136" t="str">
        <f>IF($D195&lt;&gt;"Feature",".",
IF(VLOOKUP($B195,Feature_List!$A:$AM,MATCH(CW$1,  Feature_List!$A$1:$AM$1,0),0)=AO195,".","NO"))</f>
        <v>.</v>
      </c>
      <c r="CX195" s="136" t="str">
        <f>IF($D195&lt;&gt;"Feature",".",
IF(VLOOKUP($B195,Feature_List!$A:$AM,MATCH(CX$1,  Feature_List!$A$1:$AM$1,0),0)=AP195,".","NO"))</f>
        <v>.</v>
      </c>
      <c r="CY195" s="136" t="str">
        <f>IF($D195&lt;&gt;"Feature",".",
IF(VLOOKUP($B195,Feature_List!$A:$AM,MATCH(CY$1,  Feature_List!$A$1:$AM$1,0),0)=AQ195,".","NO"))</f>
        <v>.</v>
      </c>
      <c r="CZ195" s="136" t="str">
        <f>IF($D195&lt;&gt;"Feature",".",
IF(VLOOKUP($B195,Feature_List!$A:$AM,MATCH(CZ$1,  Feature_List!$A$1:$AM$1,0),0)=AR195,".","NO"))</f>
        <v>.</v>
      </c>
      <c r="DA195" s="136" t="str">
        <f>IF($D195&lt;&gt;"Feature",".",
IF(VLOOKUP($B195,Feature_List!$A:$AM,MATCH(DA$1,  Feature_List!$A$1:$AM$1,0),0)=AS195,".","NO"))</f>
        <v>.</v>
      </c>
      <c r="DB195" s="136" t="str">
        <f>IF($D195&lt;&gt;"Feature",".",
IF(VLOOKUP($B195,Feature_List!$A:$AM,MATCH(DB$1,  Feature_List!$A$1:$AM$1,0),0)=AT195,".","NO"))</f>
        <v>.</v>
      </c>
      <c r="DC195" s="136" t="str">
        <f>IF($D195&lt;&gt;"Feature",".",
IF(VLOOKUP($B195,Feature_List!$A:$AM,MATCH(DC$1,  Feature_List!$A$1:$AM$1,0),0)=AU195,".","NO"))</f>
        <v>.</v>
      </c>
      <c r="DD195" s="136" t="str">
        <f>IF($D195&lt;&gt;"Feature",".",
IF(VLOOKUP($B195,Feature_List!$A:$AM,MATCH(DD$1,  Feature_List!$A$1:$AM$1,0),0)=AV195,".","NO"))</f>
        <v>.</v>
      </c>
      <c r="DE195" s="136" t="str">
        <f>IF($D195&lt;&gt;"Feature",".",
IF(VLOOKUP($B195,Feature_List!$A:$AM,MATCH(DE$1,  Feature_List!$A$1:$AM$1,0),0)=AW195,".","NO"))</f>
        <v>.</v>
      </c>
      <c r="DF195" s="136" t="str">
        <f>IF($D195&lt;&gt;"Feature",".",
IF(VLOOKUP($B195,Feature_List!$A:$AM,MATCH(DF$1,  Feature_List!$A$1:$AM$1,0),0)=AX195,".","NO"))</f>
        <v>.</v>
      </c>
      <c r="DG195" s="136" t="str">
        <f>IF($D195&lt;&gt;"Feature",".",
IF(VLOOKUP($B195,Feature_List!$A:$AM,MATCH(DG$1,  Feature_List!$A$1:$AM$1,0),0)=AY195,".","NO"))</f>
        <v>.</v>
      </c>
      <c r="DH195" s="136" t="str">
        <f>IF($D195&lt;&gt;"Feature",".",
IF(VLOOKUP($B195,Feature_List!$A:$AM,MATCH(DH$1,  Feature_List!$A$1:$AM$1,0),0)=AZ195,".","NO"))</f>
        <v>.</v>
      </c>
      <c r="DI195" s="136" t="str">
        <f>IF($D195&lt;&gt;"Feature",".",
IF(VLOOKUP($B195,Feature_List!$A:$AM,MATCH(DI$1,  Feature_List!$A$1:$AM$1,0),0)=BA195,".","NO"))</f>
        <v>.</v>
      </c>
      <c r="DJ195" s="136" t="str">
        <f>IF($D195&lt;&gt;"Feature",".",
IF(VLOOKUP($B195,Feature_List!$A:$AM,MATCH(DJ$1,  Feature_List!$A$1:$AM$1,0),0)=BB195,".","NO"))</f>
        <v>.</v>
      </c>
      <c r="DK195" s="136"/>
      <c r="DL195" s="136"/>
      <c r="DM195" s="136"/>
      <c r="DN195" s="136" t="str">
        <f>IF($D195&lt;&gt;"Feature",".",
IF(VLOOKUP($B195,Feature_List!$A:$AM,MATCH(DN$1,  Feature_List!$A$1:$AM$1,0),0)=BC195,".","NO"))</f>
        <v>.</v>
      </c>
      <c r="DO195" s="136" t="str">
        <f>IF($D195&lt;&gt;"Feature",".",
IF(VLOOKUP($B195,Feature_List!$A:$AM,MATCH(DO$1,  Feature_List!$A$1:$AM$1,0),0)=BD195,".","NO"))</f>
        <v>.</v>
      </c>
    </row>
    <row r="196" spans="2:119" x14ac:dyDescent="0.3">
      <c r="B196" s="121"/>
      <c r="C196" s="122"/>
      <c r="D196" s="122"/>
      <c r="E196" s="122"/>
      <c r="F196" s="138"/>
      <c r="G196" s="123"/>
      <c r="H196" s="122"/>
      <c r="I196" s="124"/>
      <c r="J196" s="138"/>
      <c r="K196" s="123"/>
      <c r="L196" s="122"/>
      <c r="M196" s="122"/>
      <c r="N196" s="125"/>
      <c r="O196" s="123">
        <f t="shared" si="112"/>
        <v>0</v>
      </c>
      <c r="P196" s="123">
        <f t="shared" si="113"/>
        <v>0</v>
      </c>
      <c r="Q196" s="122" t="str">
        <f t="shared" si="135"/>
        <v>ZeroEntry</v>
      </c>
      <c r="R196" s="126" t="str">
        <f t="shared" si="114"/>
        <v>ZeroEntry</v>
      </c>
      <c r="S196" s="127" t="str">
        <f t="shared" si="115"/>
        <v>ZeroEntry</v>
      </c>
      <c r="T196" s="128" t="str">
        <f>IF($Q196="ZeroEntry", "",VLOOKUP($I196,'Ranking Lookup'!#REF!,2,FALSE))</f>
        <v/>
      </c>
      <c r="U196" s="129" t="str">
        <f t="shared" si="116"/>
        <v/>
      </c>
      <c r="V196" s="129" t="str">
        <f t="shared" si="117"/>
        <v/>
      </c>
      <c r="W196" s="129" t="str">
        <f t="shared" si="118"/>
        <v/>
      </c>
      <c r="X196" s="129" t="str">
        <f t="shared" si="119"/>
        <v/>
      </c>
      <c r="Y196" s="129" t="str">
        <f t="shared" si="120"/>
        <v/>
      </c>
      <c r="Z196" s="129" t="str">
        <f t="shared" si="121"/>
        <v/>
      </c>
      <c r="AA196" s="130"/>
      <c r="AB196" s="130" t="str">
        <f t="shared" si="122"/>
        <v>Unassigned</v>
      </c>
      <c r="AC196" s="131" t="str">
        <f t="shared" si="136"/>
        <v/>
      </c>
      <c r="AD196" s="131" t="str">
        <f t="shared" si="137"/>
        <v/>
      </c>
      <c r="AE196" s="132">
        <f t="shared" si="123"/>
        <v>0</v>
      </c>
      <c r="AF196" s="133" t="str">
        <f t="shared" si="138"/>
        <v/>
      </c>
      <c r="AG196" s="134">
        <f t="shared" si="124"/>
        <v>0</v>
      </c>
      <c r="AH196" s="54" t="str">
        <f t="shared" si="125"/>
        <v/>
      </c>
      <c r="AI196" s="54" t="str">
        <f t="shared" si="126"/>
        <v/>
      </c>
      <c r="AJ196" s="54" t="str">
        <f t="shared" si="126"/>
        <v/>
      </c>
      <c r="AK196" s="54" t="str">
        <f t="shared" si="126"/>
        <v/>
      </c>
      <c r="AL196" s="54" t="str">
        <f t="shared" si="126"/>
        <v/>
      </c>
      <c r="AM196" s="54" t="str">
        <f t="shared" si="126"/>
        <v/>
      </c>
      <c r="AN196" s="54" t="str">
        <f t="shared" si="126"/>
        <v/>
      </c>
      <c r="AO196" s="54" t="str">
        <f t="shared" si="126"/>
        <v/>
      </c>
      <c r="AP196" s="54" t="str">
        <f t="shared" si="126"/>
        <v/>
      </c>
      <c r="AQ196" s="54" t="str">
        <f t="shared" si="126"/>
        <v/>
      </c>
      <c r="AR196" s="54" t="str">
        <f t="shared" si="126"/>
        <v/>
      </c>
      <c r="AS196" s="54" t="str">
        <f t="shared" si="126"/>
        <v/>
      </c>
      <c r="AT196" s="54" t="str">
        <f t="shared" si="126"/>
        <v/>
      </c>
      <c r="AU196" s="54" t="str">
        <f t="shared" si="126"/>
        <v/>
      </c>
      <c r="AV196" s="54" t="str">
        <f t="shared" si="126"/>
        <v/>
      </c>
      <c r="AW196" s="54" t="str">
        <f t="shared" si="126"/>
        <v/>
      </c>
      <c r="AX196" s="54" t="str">
        <f t="shared" si="126"/>
        <v/>
      </c>
      <c r="AY196" s="54" t="str">
        <f t="shared" si="127"/>
        <v/>
      </c>
      <c r="AZ196" s="54" t="str">
        <f t="shared" si="128"/>
        <v/>
      </c>
      <c r="BA196" s="54" t="str">
        <f t="shared" si="129"/>
        <v/>
      </c>
      <c r="BB196" s="135" t="str">
        <f t="shared" si="130"/>
        <v/>
      </c>
      <c r="BC196" s="54" t="str">
        <f t="shared" si="110"/>
        <v/>
      </c>
      <c r="BD196" s="54" t="str">
        <f t="shared" si="110"/>
        <v/>
      </c>
      <c r="BE196" s="54" t="str">
        <f t="shared" si="110"/>
        <v/>
      </c>
      <c r="BF196" s="54" t="str">
        <f t="shared" si="131"/>
        <v/>
      </c>
      <c r="BG196" s="54" t="str">
        <f t="shared" si="132"/>
        <v/>
      </c>
      <c r="BH196" s="34" t="str">
        <f t="shared" si="133"/>
        <v>Bad</v>
      </c>
      <c r="BI196" s="34" t="str">
        <f t="shared" si="134"/>
        <v>No</v>
      </c>
      <c r="BJ196" s="136" t="str">
        <f>IF($D196&lt;&gt;"Feature",".",
IF(VLOOKUP($B196,Feature_List!$A:$AM,MATCH(BJ$1,  Feature_List!$A$1:$AM$1,0),0)=B196,".","NO"))</f>
        <v>.</v>
      </c>
      <c r="BK196" s="136"/>
      <c r="BL196" s="136"/>
      <c r="BM196" s="136" t="str">
        <f>IF($D196&lt;&gt;"Feature",".",
IF(VLOOKUP($B196,Feature_List!$A:$AM,MATCH(BM$1,  Feature_List!$A$1:$AM$1,0),0)=E196,".","NO"))</f>
        <v>.</v>
      </c>
      <c r="BN196" s="136" t="str">
        <f>IF($D196&lt;&gt;"Feature",".",
IF(VLOOKUP($B196,Feature_List!$A:$AM,MATCH(BN$1,  Feature_List!$A$1:$AM$1,0),0)=F196,".","NO"))</f>
        <v>.</v>
      </c>
      <c r="BO196" s="136" t="str">
        <f>IF($D196&lt;&gt;"Feature",".",
IF(VLOOKUP($B196,Feature_List!$A:$AM,MATCH(BO$1,  Feature_List!$A$1:$AM$1,0),0)=G196,".","NO"))</f>
        <v>.</v>
      </c>
      <c r="BP196" s="136" t="str">
        <f>IF($D196&lt;&gt;"Feature",".",
IF(VLOOKUP($B196,Feature_List!$A:$AM,MATCH(BP$1,  Feature_List!$A$1:$AM$1,0),0)=H196,".","NO"))</f>
        <v>.</v>
      </c>
      <c r="BQ196" s="136"/>
      <c r="BR196" s="136" t="str">
        <f>IF($D196&lt;&gt;"Feature",".",
IF(VLOOKUP($B196,Feature_List!$A:$AM,MATCH(BR$1,  Feature_List!$A$1:$AM$1,0),0)=J196,".","NO"))</f>
        <v>.</v>
      </c>
      <c r="BS196" s="136"/>
      <c r="BT196" s="136"/>
      <c r="BU196" s="136" t="str">
        <f>IF($D196&lt;&gt;"Feature",".",
IF(VLOOKUP($B196,Feature_List!$A:$AM,MATCH(BU$1,  Feature_List!$A$1:$AM$1,0),0)=M196,".","NO"))</f>
        <v>.</v>
      </c>
      <c r="BV196" s="136" t="str">
        <f>IF($D196&lt;&gt;"Feature",".",
IF(VLOOKUP($B196,Feature_List!$A:$AM,MATCH(BV$1,  Feature_List!$A$1:$AM$1,0),0)=N196,".","NO"))</f>
        <v>.</v>
      </c>
      <c r="BW196" s="136"/>
      <c r="BX196" s="136"/>
      <c r="BY196" s="136"/>
      <c r="BZ196" s="136"/>
      <c r="CA196" s="136"/>
      <c r="CB196" s="136" t="str">
        <f>IF($D196&lt;&gt;"Feature",".",
IF(VLOOKUP($B196,Feature_List!$A:$AM,MATCH(CB$1,  Feature_List!$A$1:$AM$1,0),0)=T196,".","NO"))</f>
        <v>.</v>
      </c>
      <c r="CC196" s="136"/>
      <c r="CD196" s="136"/>
      <c r="CE196" s="136"/>
      <c r="CF196" s="136"/>
      <c r="CG196" s="136"/>
      <c r="CH196" s="136"/>
      <c r="CI196" s="136"/>
      <c r="CJ196" s="136"/>
      <c r="CK196" s="136"/>
      <c r="CL196" s="136"/>
      <c r="CM196" s="136"/>
      <c r="CN196" s="136"/>
      <c r="CO196" s="136" t="str">
        <f>IF($D196&lt;&gt;"Feature",".",
IF(VLOOKUP($B196,Feature_List!$A:$AM,MATCH(CO$1,  Feature_List!$A$1:$AM$1,0),0)=AG196,".","NO"))</f>
        <v>.</v>
      </c>
      <c r="CP196" s="136" t="str">
        <f>IF($D196&lt;&gt;"Feature",".",
IF(VLOOKUP($B196,Feature_List!$A:$AM,MATCH(CP$1,  Feature_List!$A$1:$AM$1,0),0)=AH196,".","NO"))</f>
        <v>.</v>
      </c>
      <c r="CQ196" s="136" t="str">
        <f>IF($D196&lt;&gt;"Feature",".",
IF(VLOOKUP($B196,Feature_List!$A:$AM,MATCH(CQ$1,  Feature_List!$A$1:$AM$1,0),0)=AI196,".","NO"))</f>
        <v>.</v>
      </c>
      <c r="CR196" s="136" t="str">
        <f>IF($D196&lt;&gt;"Feature",".",
IF(VLOOKUP($B196,Feature_List!$A:$AM,MATCH(CR$1,  Feature_List!$A$1:$AM$1,0),0)=AJ196,".","NO"))</f>
        <v>.</v>
      </c>
      <c r="CS196" s="136" t="str">
        <f>IF($D196&lt;&gt;"Feature",".",
IF(VLOOKUP($B196,Feature_List!$A:$AM,MATCH(CS$1,  Feature_List!$A$1:$AM$1,0),0)=AK196,".","NO"))</f>
        <v>.</v>
      </c>
      <c r="CT196" s="136" t="str">
        <f>IF($D196&lt;&gt;"Feature",".",
IF(VLOOKUP($B196,Feature_List!$A:$AM,MATCH(CT$1,  Feature_List!$A$1:$AM$1,0),0)=AL196,".","NO"))</f>
        <v>.</v>
      </c>
      <c r="CU196" s="136" t="str">
        <f>IF($D196&lt;&gt;"Feature",".",
IF(VLOOKUP($B196,Feature_List!$A:$AM,MATCH(CU$1,  Feature_List!$A$1:$AM$1,0),0)=AM196,".","NO"))</f>
        <v>.</v>
      </c>
      <c r="CV196" s="136" t="str">
        <f>IF($D196&lt;&gt;"Feature",".",
IF(VLOOKUP($B196,Feature_List!$A:$AM,MATCH(CV$1,  Feature_List!$A$1:$AM$1,0),0)=AN196,".","NO"))</f>
        <v>.</v>
      </c>
      <c r="CW196" s="136" t="str">
        <f>IF($D196&lt;&gt;"Feature",".",
IF(VLOOKUP($B196,Feature_List!$A:$AM,MATCH(CW$1,  Feature_List!$A$1:$AM$1,0),0)=AO196,".","NO"))</f>
        <v>.</v>
      </c>
      <c r="CX196" s="136" t="str">
        <f>IF($D196&lt;&gt;"Feature",".",
IF(VLOOKUP($B196,Feature_List!$A:$AM,MATCH(CX$1,  Feature_List!$A$1:$AM$1,0),0)=AP196,".","NO"))</f>
        <v>.</v>
      </c>
      <c r="CY196" s="136" t="str">
        <f>IF($D196&lt;&gt;"Feature",".",
IF(VLOOKUP($B196,Feature_List!$A:$AM,MATCH(CY$1,  Feature_List!$A$1:$AM$1,0),0)=AQ196,".","NO"))</f>
        <v>.</v>
      </c>
      <c r="CZ196" s="136" t="str">
        <f>IF($D196&lt;&gt;"Feature",".",
IF(VLOOKUP($B196,Feature_List!$A:$AM,MATCH(CZ$1,  Feature_List!$A$1:$AM$1,0),0)=AR196,".","NO"))</f>
        <v>.</v>
      </c>
      <c r="DA196" s="136" t="str">
        <f>IF($D196&lt;&gt;"Feature",".",
IF(VLOOKUP($B196,Feature_List!$A:$AM,MATCH(DA$1,  Feature_List!$A$1:$AM$1,0),0)=AS196,".","NO"))</f>
        <v>.</v>
      </c>
      <c r="DB196" s="136" t="str">
        <f>IF($D196&lt;&gt;"Feature",".",
IF(VLOOKUP($B196,Feature_List!$A:$AM,MATCH(DB$1,  Feature_List!$A$1:$AM$1,0),0)=AT196,".","NO"))</f>
        <v>.</v>
      </c>
      <c r="DC196" s="136" t="str">
        <f>IF($D196&lt;&gt;"Feature",".",
IF(VLOOKUP($B196,Feature_List!$A:$AM,MATCH(DC$1,  Feature_List!$A$1:$AM$1,0),0)=AU196,".","NO"))</f>
        <v>.</v>
      </c>
      <c r="DD196" s="136" t="str">
        <f>IF($D196&lt;&gt;"Feature",".",
IF(VLOOKUP($B196,Feature_List!$A:$AM,MATCH(DD$1,  Feature_List!$A$1:$AM$1,0),0)=AV196,".","NO"))</f>
        <v>.</v>
      </c>
      <c r="DE196" s="136" t="str">
        <f>IF($D196&lt;&gt;"Feature",".",
IF(VLOOKUP($B196,Feature_List!$A:$AM,MATCH(DE$1,  Feature_List!$A$1:$AM$1,0),0)=AW196,".","NO"))</f>
        <v>.</v>
      </c>
      <c r="DF196" s="136" t="str">
        <f>IF($D196&lt;&gt;"Feature",".",
IF(VLOOKUP($B196,Feature_List!$A:$AM,MATCH(DF$1,  Feature_List!$A$1:$AM$1,0),0)=AX196,".","NO"))</f>
        <v>.</v>
      </c>
      <c r="DG196" s="136" t="str">
        <f>IF($D196&lt;&gt;"Feature",".",
IF(VLOOKUP($B196,Feature_List!$A:$AM,MATCH(DG$1,  Feature_List!$A$1:$AM$1,0),0)=AY196,".","NO"))</f>
        <v>.</v>
      </c>
      <c r="DH196" s="136" t="str">
        <f>IF($D196&lt;&gt;"Feature",".",
IF(VLOOKUP($B196,Feature_List!$A:$AM,MATCH(DH$1,  Feature_List!$A$1:$AM$1,0),0)=AZ196,".","NO"))</f>
        <v>.</v>
      </c>
      <c r="DI196" s="136" t="str">
        <f>IF($D196&lt;&gt;"Feature",".",
IF(VLOOKUP($B196,Feature_List!$A:$AM,MATCH(DI$1,  Feature_List!$A$1:$AM$1,0),0)=BA196,".","NO"))</f>
        <v>.</v>
      </c>
      <c r="DJ196" s="136" t="str">
        <f>IF($D196&lt;&gt;"Feature",".",
IF(VLOOKUP($B196,Feature_List!$A:$AM,MATCH(DJ$1,  Feature_List!$A$1:$AM$1,0),0)=BB196,".","NO"))</f>
        <v>.</v>
      </c>
      <c r="DK196" s="136"/>
      <c r="DL196" s="136"/>
      <c r="DM196" s="136"/>
      <c r="DN196" s="136" t="str">
        <f>IF($D196&lt;&gt;"Feature",".",
IF(VLOOKUP($B196,Feature_List!$A:$AM,MATCH(DN$1,  Feature_List!$A$1:$AM$1,0),0)=BC196,".","NO"))</f>
        <v>.</v>
      </c>
      <c r="DO196" s="136" t="str">
        <f>IF($D196&lt;&gt;"Feature",".",
IF(VLOOKUP($B196,Feature_List!$A:$AM,MATCH(DO$1,  Feature_List!$A$1:$AM$1,0),0)=BD196,".","NO"))</f>
        <v>.</v>
      </c>
    </row>
    <row r="197" spans="2:119" x14ac:dyDescent="0.3">
      <c r="B197" s="121"/>
      <c r="C197" s="122"/>
      <c r="D197" s="122"/>
      <c r="E197" s="122"/>
      <c r="F197" s="138"/>
      <c r="G197" s="123"/>
      <c r="H197" s="122"/>
      <c r="I197" s="124"/>
      <c r="J197" s="138"/>
      <c r="K197" s="123"/>
      <c r="L197" s="122"/>
      <c r="M197" s="122"/>
      <c r="N197" s="125"/>
      <c r="O197" s="123">
        <f t="shared" si="112"/>
        <v>0</v>
      </c>
      <c r="P197" s="123">
        <f t="shared" si="113"/>
        <v>0</v>
      </c>
      <c r="Q197" s="122" t="str">
        <f t="shared" si="135"/>
        <v>ZeroEntry</v>
      </c>
      <c r="R197" s="126" t="str">
        <f t="shared" si="114"/>
        <v>ZeroEntry</v>
      </c>
      <c r="S197" s="127" t="str">
        <f t="shared" si="115"/>
        <v>ZeroEntry</v>
      </c>
      <c r="T197" s="128" t="str">
        <f>IF($Q197="ZeroEntry", "",VLOOKUP($I197,'Ranking Lookup'!#REF!,2,FALSE))</f>
        <v/>
      </c>
      <c r="U197" s="129" t="str">
        <f t="shared" si="116"/>
        <v/>
      </c>
      <c r="V197" s="129" t="str">
        <f t="shared" si="117"/>
        <v/>
      </c>
      <c r="W197" s="129" t="str">
        <f t="shared" si="118"/>
        <v/>
      </c>
      <c r="X197" s="129" t="str">
        <f t="shared" si="119"/>
        <v/>
      </c>
      <c r="Y197" s="129" t="str">
        <f t="shared" si="120"/>
        <v/>
      </c>
      <c r="Z197" s="129" t="str">
        <f t="shared" si="121"/>
        <v/>
      </c>
      <c r="AA197" s="130"/>
      <c r="AB197" s="130" t="str">
        <f t="shared" si="122"/>
        <v>Unassigned</v>
      </c>
      <c r="AC197" s="131" t="str">
        <f t="shared" si="136"/>
        <v/>
      </c>
      <c r="AD197" s="131" t="str">
        <f t="shared" si="137"/>
        <v/>
      </c>
      <c r="AE197" s="132">
        <f t="shared" si="123"/>
        <v>0</v>
      </c>
      <c r="AF197" s="133" t="str">
        <f t="shared" si="138"/>
        <v/>
      </c>
      <c r="AG197" s="134">
        <f t="shared" si="124"/>
        <v>0</v>
      </c>
      <c r="AH197" s="54" t="str">
        <f t="shared" si="125"/>
        <v/>
      </c>
      <c r="AI197" s="54" t="str">
        <f t="shared" si="126"/>
        <v/>
      </c>
      <c r="AJ197" s="54" t="str">
        <f t="shared" si="126"/>
        <v/>
      </c>
      <c r="AK197" s="54" t="str">
        <f t="shared" si="126"/>
        <v/>
      </c>
      <c r="AL197" s="54" t="str">
        <f t="shared" si="126"/>
        <v/>
      </c>
      <c r="AM197" s="54" t="str">
        <f t="shared" si="126"/>
        <v/>
      </c>
      <c r="AN197" s="54" t="str">
        <f t="shared" si="126"/>
        <v/>
      </c>
      <c r="AO197" s="54" t="str">
        <f t="shared" si="126"/>
        <v/>
      </c>
      <c r="AP197" s="54" t="str">
        <f t="shared" si="126"/>
        <v/>
      </c>
      <c r="AQ197" s="54" t="str">
        <f t="shared" si="126"/>
        <v/>
      </c>
      <c r="AR197" s="54" t="str">
        <f t="shared" si="126"/>
        <v/>
      </c>
      <c r="AS197" s="54" t="str">
        <f t="shared" si="126"/>
        <v/>
      </c>
      <c r="AT197" s="54" t="str">
        <f t="shared" si="126"/>
        <v/>
      </c>
      <c r="AU197" s="54" t="str">
        <f t="shared" si="126"/>
        <v/>
      </c>
      <c r="AV197" s="54" t="str">
        <f t="shared" si="126"/>
        <v/>
      </c>
      <c r="AW197" s="54" t="str">
        <f t="shared" si="126"/>
        <v/>
      </c>
      <c r="AX197" s="54" t="str">
        <f t="shared" si="126"/>
        <v/>
      </c>
      <c r="AY197" s="54" t="str">
        <f t="shared" si="127"/>
        <v/>
      </c>
      <c r="AZ197" s="54" t="str">
        <f t="shared" si="128"/>
        <v/>
      </c>
      <c r="BA197" s="54" t="str">
        <f t="shared" si="129"/>
        <v/>
      </c>
      <c r="BB197" s="135" t="str">
        <f t="shared" si="130"/>
        <v/>
      </c>
      <c r="BC197" s="54" t="str">
        <f t="shared" si="110"/>
        <v/>
      </c>
      <c r="BD197" s="54" t="str">
        <f t="shared" si="110"/>
        <v/>
      </c>
      <c r="BE197" s="54" t="str">
        <f t="shared" si="110"/>
        <v/>
      </c>
      <c r="BF197" s="54" t="str">
        <f t="shared" si="131"/>
        <v/>
      </c>
      <c r="BG197" s="54" t="str">
        <f t="shared" si="132"/>
        <v/>
      </c>
      <c r="BH197" s="34" t="str">
        <f t="shared" si="133"/>
        <v>Bad</v>
      </c>
      <c r="BI197" s="34" t="str">
        <f t="shared" si="134"/>
        <v>No</v>
      </c>
      <c r="BJ197" s="136" t="str">
        <f>IF($D197&lt;&gt;"Feature",".",
IF(VLOOKUP($B197,Feature_List!$A:$AM,MATCH(BJ$1,  Feature_List!$A$1:$AM$1,0),0)=B197,".","NO"))</f>
        <v>.</v>
      </c>
      <c r="BK197" s="136"/>
      <c r="BL197" s="136"/>
      <c r="BM197" s="136" t="str">
        <f>IF($D197&lt;&gt;"Feature",".",
IF(VLOOKUP($B197,Feature_List!$A:$AM,MATCH(BM$1,  Feature_List!$A$1:$AM$1,0),0)=E197,".","NO"))</f>
        <v>.</v>
      </c>
      <c r="BN197" s="136" t="str">
        <f>IF($D197&lt;&gt;"Feature",".",
IF(VLOOKUP($B197,Feature_List!$A:$AM,MATCH(BN$1,  Feature_List!$A$1:$AM$1,0),0)=F197,".","NO"))</f>
        <v>.</v>
      </c>
      <c r="BO197" s="136" t="str">
        <f>IF($D197&lt;&gt;"Feature",".",
IF(VLOOKUP($B197,Feature_List!$A:$AM,MATCH(BO$1,  Feature_List!$A$1:$AM$1,0),0)=G197,".","NO"))</f>
        <v>.</v>
      </c>
      <c r="BP197" s="136" t="str">
        <f>IF($D197&lt;&gt;"Feature",".",
IF(VLOOKUP($B197,Feature_List!$A:$AM,MATCH(BP$1,  Feature_List!$A$1:$AM$1,0),0)=H197,".","NO"))</f>
        <v>.</v>
      </c>
      <c r="BQ197" s="136"/>
      <c r="BR197" s="136" t="str">
        <f>IF($D197&lt;&gt;"Feature",".",
IF(VLOOKUP($B197,Feature_List!$A:$AM,MATCH(BR$1,  Feature_List!$A$1:$AM$1,0),0)=J197,".","NO"))</f>
        <v>.</v>
      </c>
      <c r="BS197" s="136"/>
      <c r="BT197" s="136"/>
      <c r="BU197" s="136" t="str">
        <f>IF($D197&lt;&gt;"Feature",".",
IF(VLOOKUP($B197,Feature_List!$A:$AM,MATCH(BU$1,  Feature_List!$A$1:$AM$1,0),0)=M197,".","NO"))</f>
        <v>.</v>
      </c>
      <c r="BV197" s="136" t="str">
        <f>IF($D197&lt;&gt;"Feature",".",
IF(VLOOKUP($B197,Feature_List!$A:$AM,MATCH(BV$1,  Feature_List!$A$1:$AM$1,0),0)=N197,".","NO"))</f>
        <v>.</v>
      </c>
      <c r="BW197" s="136"/>
      <c r="BX197" s="136"/>
      <c r="BY197" s="136"/>
      <c r="BZ197" s="136"/>
      <c r="CA197" s="136"/>
      <c r="CB197" s="136" t="str">
        <f>IF($D197&lt;&gt;"Feature",".",
IF(VLOOKUP($B197,Feature_List!$A:$AM,MATCH(CB$1,  Feature_List!$A$1:$AM$1,0),0)=T197,".","NO"))</f>
        <v>.</v>
      </c>
      <c r="CC197" s="136"/>
      <c r="CD197" s="136"/>
      <c r="CE197" s="136"/>
      <c r="CF197" s="136"/>
      <c r="CG197" s="136"/>
      <c r="CH197" s="136"/>
      <c r="CI197" s="136"/>
      <c r="CJ197" s="136"/>
      <c r="CK197" s="136"/>
      <c r="CL197" s="136"/>
      <c r="CM197" s="136"/>
      <c r="CN197" s="136"/>
      <c r="CO197" s="136" t="str">
        <f>IF($D197&lt;&gt;"Feature",".",
IF(VLOOKUP($B197,Feature_List!$A:$AM,MATCH(CO$1,  Feature_List!$A$1:$AM$1,0),0)=AG197,".","NO"))</f>
        <v>.</v>
      </c>
      <c r="CP197" s="136" t="str">
        <f>IF($D197&lt;&gt;"Feature",".",
IF(VLOOKUP($B197,Feature_List!$A:$AM,MATCH(CP$1,  Feature_List!$A$1:$AM$1,0),0)=AH197,".","NO"))</f>
        <v>.</v>
      </c>
      <c r="CQ197" s="136" t="str">
        <f>IF($D197&lt;&gt;"Feature",".",
IF(VLOOKUP($B197,Feature_List!$A:$AM,MATCH(CQ$1,  Feature_List!$A$1:$AM$1,0),0)=AI197,".","NO"))</f>
        <v>.</v>
      </c>
      <c r="CR197" s="136" t="str">
        <f>IF($D197&lt;&gt;"Feature",".",
IF(VLOOKUP($B197,Feature_List!$A:$AM,MATCH(CR$1,  Feature_List!$A$1:$AM$1,0),0)=AJ197,".","NO"))</f>
        <v>.</v>
      </c>
      <c r="CS197" s="136" t="str">
        <f>IF($D197&lt;&gt;"Feature",".",
IF(VLOOKUP($B197,Feature_List!$A:$AM,MATCH(CS$1,  Feature_List!$A$1:$AM$1,0),0)=AK197,".","NO"))</f>
        <v>.</v>
      </c>
      <c r="CT197" s="136" t="str">
        <f>IF($D197&lt;&gt;"Feature",".",
IF(VLOOKUP($B197,Feature_List!$A:$AM,MATCH(CT$1,  Feature_List!$A$1:$AM$1,0),0)=AL197,".","NO"))</f>
        <v>.</v>
      </c>
      <c r="CU197" s="136" t="str">
        <f>IF($D197&lt;&gt;"Feature",".",
IF(VLOOKUP($B197,Feature_List!$A:$AM,MATCH(CU$1,  Feature_List!$A$1:$AM$1,0),0)=AM197,".","NO"))</f>
        <v>.</v>
      </c>
      <c r="CV197" s="136" t="str">
        <f>IF($D197&lt;&gt;"Feature",".",
IF(VLOOKUP($B197,Feature_List!$A:$AM,MATCH(CV$1,  Feature_List!$A$1:$AM$1,0),0)=AN197,".","NO"))</f>
        <v>.</v>
      </c>
      <c r="CW197" s="136" t="str">
        <f>IF($D197&lt;&gt;"Feature",".",
IF(VLOOKUP($B197,Feature_List!$A:$AM,MATCH(CW$1,  Feature_List!$A$1:$AM$1,0),0)=AO197,".","NO"))</f>
        <v>.</v>
      </c>
      <c r="CX197" s="136" t="str">
        <f>IF($D197&lt;&gt;"Feature",".",
IF(VLOOKUP($B197,Feature_List!$A:$AM,MATCH(CX$1,  Feature_List!$A$1:$AM$1,0),0)=AP197,".","NO"))</f>
        <v>.</v>
      </c>
      <c r="CY197" s="136" t="str">
        <f>IF($D197&lt;&gt;"Feature",".",
IF(VLOOKUP($B197,Feature_List!$A:$AM,MATCH(CY$1,  Feature_List!$A$1:$AM$1,0),0)=AQ197,".","NO"))</f>
        <v>.</v>
      </c>
      <c r="CZ197" s="136" t="str">
        <f>IF($D197&lt;&gt;"Feature",".",
IF(VLOOKUP($B197,Feature_List!$A:$AM,MATCH(CZ$1,  Feature_List!$A$1:$AM$1,0),0)=AR197,".","NO"))</f>
        <v>.</v>
      </c>
      <c r="DA197" s="136" t="str">
        <f>IF($D197&lt;&gt;"Feature",".",
IF(VLOOKUP($B197,Feature_List!$A:$AM,MATCH(DA$1,  Feature_List!$A$1:$AM$1,0),0)=AS197,".","NO"))</f>
        <v>.</v>
      </c>
      <c r="DB197" s="136" t="str">
        <f>IF($D197&lt;&gt;"Feature",".",
IF(VLOOKUP($B197,Feature_List!$A:$AM,MATCH(DB$1,  Feature_List!$A$1:$AM$1,0),0)=AT197,".","NO"))</f>
        <v>.</v>
      </c>
      <c r="DC197" s="136" t="str">
        <f>IF($D197&lt;&gt;"Feature",".",
IF(VLOOKUP($B197,Feature_List!$A:$AM,MATCH(DC$1,  Feature_List!$A$1:$AM$1,0),0)=AU197,".","NO"))</f>
        <v>.</v>
      </c>
      <c r="DD197" s="136" t="str">
        <f>IF($D197&lt;&gt;"Feature",".",
IF(VLOOKUP($B197,Feature_List!$A:$AM,MATCH(DD$1,  Feature_List!$A$1:$AM$1,0),0)=AV197,".","NO"))</f>
        <v>.</v>
      </c>
      <c r="DE197" s="136" t="str">
        <f>IF($D197&lt;&gt;"Feature",".",
IF(VLOOKUP($B197,Feature_List!$A:$AM,MATCH(DE$1,  Feature_List!$A$1:$AM$1,0),0)=AW197,".","NO"))</f>
        <v>.</v>
      </c>
      <c r="DF197" s="136" t="str">
        <f>IF($D197&lt;&gt;"Feature",".",
IF(VLOOKUP($B197,Feature_List!$A:$AM,MATCH(DF$1,  Feature_List!$A$1:$AM$1,0),0)=AX197,".","NO"))</f>
        <v>.</v>
      </c>
      <c r="DG197" s="136" t="str">
        <f>IF($D197&lt;&gt;"Feature",".",
IF(VLOOKUP($B197,Feature_List!$A:$AM,MATCH(DG$1,  Feature_List!$A$1:$AM$1,0),0)=AY197,".","NO"))</f>
        <v>.</v>
      </c>
      <c r="DH197" s="136" t="str">
        <f>IF($D197&lt;&gt;"Feature",".",
IF(VLOOKUP($B197,Feature_List!$A:$AM,MATCH(DH$1,  Feature_List!$A$1:$AM$1,0),0)=AZ197,".","NO"))</f>
        <v>.</v>
      </c>
      <c r="DI197" s="136" t="str">
        <f>IF($D197&lt;&gt;"Feature",".",
IF(VLOOKUP($B197,Feature_List!$A:$AM,MATCH(DI$1,  Feature_List!$A$1:$AM$1,0),0)=BA197,".","NO"))</f>
        <v>.</v>
      </c>
      <c r="DJ197" s="136" t="str">
        <f>IF($D197&lt;&gt;"Feature",".",
IF(VLOOKUP($B197,Feature_List!$A:$AM,MATCH(DJ$1,  Feature_List!$A$1:$AM$1,0),0)=BB197,".","NO"))</f>
        <v>.</v>
      </c>
      <c r="DK197" s="136"/>
      <c r="DL197" s="136"/>
      <c r="DM197" s="136"/>
      <c r="DN197" s="136" t="str">
        <f>IF($D197&lt;&gt;"Feature",".",
IF(VLOOKUP($B197,Feature_List!$A:$AM,MATCH(DN$1,  Feature_List!$A$1:$AM$1,0),0)=BC197,".","NO"))</f>
        <v>.</v>
      </c>
      <c r="DO197" s="136" t="str">
        <f>IF($D197&lt;&gt;"Feature",".",
IF(VLOOKUP($B197,Feature_List!$A:$AM,MATCH(DO$1,  Feature_List!$A$1:$AM$1,0),0)=BD197,".","NO"))</f>
        <v>.</v>
      </c>
    </row>
    <row r="198" spans="2:119" x14ac:dyDescent="0.3">
      <c r="B198" s="121"/>
      <c r="C198" s="122"/>
      <c r="D198" s="122"/>
      <c r="E198" s="122"/>
      <c r="F198" s="138"/>
      <c r="G198" s="123"/>
      <c r="H198" s="122"/>
      <c r="I198" s="124"/>
      <c r="J198" s="138"/>
      <c r="K198" s="123"/>
      <c r="L198" s="122"/>
      <c r="M198" s="122"/>
      <c r="N198" s="125"/>
      <c r="O198" s="123">
        <f t="shared" si="112"/>
        <v>0</v>
      </c>
      <c r="P198" s="123">
        <f t="shared" si="113"/>
        <v>0</v>
      </c>
      <c r="Q198" s="122" t="str">
        <f t="shared" si="135"/>
        <v>ZeroEntry</v>
      </c>
      <c r="R198" s="126" t="str">
        <f t="shared" si="114"/>
        <v>ZeroEntry</v>
      </c>
      <c r="S198" s="127" t="str">
        <f t="shared" si="115"/>
        <v>ZeroEntry</v>
      </c>
      <c r="T198" s="128" t="str">
        <f>IF($Q198="ZeroEntry", "",VLOOKUP($I198,'Ranking Lookup'!#REF!,2,FALSE))</f>
        <v/>
      </c>
      <c r="U198" s="129" t="str">
        <f t="shared" si="116"/>
        <v/>
      </c>
      <c r="V198" s="129" t="str">
        <f t="shared" si="117"/>
        <v/>
      </c>
      <c r="W198" s="129" t="str">
        <f t="shared" si="118"/>
        <v/>
      </c>
      <c r="X198" s="129" t="str">
        <f t="shared" si="119"/>
        <v/>
      </c>
      <c r="Y198" s="129" t="str">
        <f t="shared" si="120"/>
        <v/>
      </c>
      <c r="Z198" s="129" t="str">
        <f t="shared" si="121"/>
        <v/>
      </c>
      <c r="AA198" s="130"/>
      <c r="AB198" s="130" t="str">
        <f t="shared" si="122"/>
        <v>Unassigned</v>
      </c>
      <c r="AC198" s="131" t="str">
        <f t="shared" si="136"/>
        <v/>
      </c>
      <c r="AD198" s="131" t="str">
        <f t="shared" si="137"/>
        <v/>
      </c>
      <c r="AE198" s="132">
        <f t="shared" si="123"/>
        <v>0</v>
      </c>
      <c r="AF198" s="133" t="str">
        <f t="shared" si="138"/>
        <v/>
      </c>
      <c r="AG198" s="134">
        <f t="shared" si="124"/>
        <v>0</v>
      </c>
      <c r="AH198" s="54" t="str">
        <f t="shared" si="125"/>
        <v/>
      </c>
      <c r="AI198" s="54" t="str">
        <f t="shared" si="126"/>
        <v/>
      </c>
      <c r="AJ198" s="54" t="str">
        <f t="shared" si="126"/>
        <v/>
      </c>
      <c r="AK198" s="54" t="str">
        <f t="shared" si="126"/>
        <v/>
      </c>
      <c r="AL198" s="54" t="str">
        <f t="shared" si="126"/>
        <v/>
      </c>
      <c r="AM198" s="54" t="str">
        <f t="shared" si="126"/>
        <v/>
      </c>
      <c r="AN198" s="54" t="str">
        <f t="shared" si="126"/>
        <v/>
      </c>
      <c r="AO198" s="54" t="str">
        <f t="shared" si="126"/>
        <v/>
      </c>
      <c r="AP198" s="54" t="str">
        <f t="shared" si="126"/>
        <v/>
      </c>
      <c r="AQ198" s="54" t="str">
        <f t="shared" si="126"/>
        <v/>
      </c>
      <c r="AR198" s="54" t="str">
        <f t="shared" si="126"/>
        <v/>
      </c>
      <c r="AS198" s="54" t="str">
        <f t="shared" si="126"/>
        <v/>
      </c>
      <c r="AT198" s="54" t="str">
        <f t="shared" si="126"/>
        <v/>
      </c>
      <c r="AU198" s="54" t="str">
        <f t="shared" si="126"/>
        <v/>
      </c>
      <c r="AV198" s="54" t="str">
        <f t="shared" si="126"/>
        <v/>
      </c>
      <c r="AW198" s="54" t="str">
        <f t="shared" si="126"/>
        <v/>
      </c>
      <c r="AX198" s="54" t="str">
        <f t="shared" si="126"/>
        <v/>
      </c>
      <c r="AY198" s="54" t="str">
        <f t="shared" si="127"/>
        <v/>
      </c>
      <c r="AZ198" s="54" t="str">
        <f t="shared" si="128"/>
        <v/>
      </c>
      <c r="BA198" s="54" t="str">
        <f t="shared" si="129"/>
        <v/>
      </c>
      <c r="BB198" s="135" t="str">
        <f t="shared" si="130"/>
        <v/>
      </c>
      <c r="BC198" s="54" t="str">
        <f t="shared" si="110"/>
        <v/>
      </c>
      <c r="BD198" s="54" t="str">
        <f t="shared" si="110"/>
        <v/>
      </c>
      <c r="BE198" s="54" t="str">
        <f t="shared" si="110"/>
        <v/>
      </c>
      <c r="BF198" s="54" t="str">
        <f t="shared" si="131"/>
        <v/>
      </c>
      <c r="BG198" s="54" t="str">
        <f t="shared" si="132"/>
        <v/>
      </c>
      <c r="BH198" s="34" t="str">
        <f t="shared" si="133"/>
        <v>Bad</v>
      </c>
      <c r="BI198" s="34" t="str">
        <f t="shared" si="134"/>
        <v>No</v>
      </c>
      <c r="BJ198" s="136" t="str">
        <f>IF($D198&lt;&gt;"Feature",".",
IF(VLOOKUP($B198,Feature_List!$A:$AM,MATCH(BJ$1,  Feature_List!$A$1:$AM$1,0),0)=B198,".","NO"))</f>
        <v>.</v>
      </c>
      <c r="BK198" s="136"/>
      <c r="BL198" s="136"/>
      <c r="BM198" s="136" t="str">
        <f>IF($D198&lt;&gt;"Feature",".",
IF(VLOOKUP($B198,Feature_List!$A:$AM,MATCH(BM$1,  Feature_List!$A$1:$AM$1,0),0)=E198,".","NO"))</f>
        <v>.</v>
      </c>
      <c r="BN198" s="136" t="str">
        <f>IF($D198&lt;&gt;"Feature",".",
IF(VLOOKUP($B198,Feature_List!$A:$AM,MATCH(BN$1,  Feature_List!$A$1:$AM$1,0),0)=F198,".","NO"))</f>
        <v>.</v>
      </c>
      <c r="BO198" s="136" t="str">
        <f>IF($D198&lt;&gt;"Feature",".",
IF(VLOOKUP($B198,Feature_List!$A:$AM,MATCH(BO$1,  Feature_List!$A$1:$AM$1,0),0)=G198,".","NO"))</f>
        <v>.</v>
      </c>
      <c r="BP198" s="136" t="str">
        <f>IF($D198&lt;&gt;"Feature",".",
IF(VLOOKUP($B198,Feature_List!$A:$AM,MATCH(BP$1,  Feature_List!$A$1:$AM$1,0),0)=H198,".","NO"))</f>
        <v>.</v>
      </c>
      <c r="BQ198" s="136"/>
      <c r="BR198" s="136" t="str">
        <f>IF($D198&lt;&gt;"Feature",".",
IF(VLOOKUP($B198,Feature_List!$A:$AM,MATCH(BR$1,  Feature_List!$A$1:$AM$1,0),0)=J198,".","NO"))</f>
        <v>.</v>
      </c>
      <c r="BS198" s="136"/>
      <c r="BT198" s="136"/>
      <c r="BU198" s="136" t="str">
        <f>IF($D198&lt;&gt;"Feature",".",
IF(VLOOKUP($B198,Feature_List!$A:$AM,MATCH(BU$1,  Feature_List!$A$1:$AM$1,0),0)=M198,".","NO"))</f>
        <v>.</v>
      </c>
      <c r="BV198" s="136" t="str">
        <f>IF($D198&lt;&gt;"Feature",".",
IF(VLOOKUP($B198,Feature_List!$A:$AM,MATCH(BV$1,  Feature_List!$A$1:$AM$1,0),0)=N198,".","NO"))</f>
        <v>.</v>
      </c>
      <c r="BW198" s="136"/>
      <c r="BX198" s="136"/>
      <c r="BY198" s="136"/>
      <c r="BZ198" s="136"/>
      <c r="CA198" s="136"/>
      <c r="CB198" s="136" t="str">
        <f>IF($D198&lt;&gt;"Feature",".",
IF(VLOOKUP($B198,Feature_List!$A:$AM,MATCH(CB$1,  Feature_List!$A$1:$AM$1,0),0)=T198,".","NO"))</f>
        <v>.</v>
      </c>
      <c r="CC198" s="136"/>
      <c r="CD198" s="136"/>
      <c r="CE198" s="136"/>
      <c r="CF198" s="136"/>
      <c r="CG198" s="136"/>
      <c r="CH198" s="136"/>
      <c r="CI198" s="136"/>
      <c r="CJ198" s="136"/>
      <c r="CK198" s="136"/>
      <c r="CL198" s="136"/>
      <c r="CM198" s="136"/>
      <c r="CN198" s="136"/>
      <c r="CO198" s="136" t="str">
        <f>IF($D198&lt;&gt;"Feature",".",
IF(VLOOKUP($B198,Feature_List!$A:$AM,MATCH(CO$1,  Feature_List!$A$1:$AM$1,0),0)=AG198,".","NO"))</f>
        <v>.</v>
      </c>
      <c r="CP198" s="136" t="str">
        <f>IF($D198&lt;&gt;"Feature",".",
IF(VLOOKUP($B198,Feature_List!$A:$AM,MATCH(CP$1,  Feature_List!$A$1:$AM$1,0),0)=AH198,".","NO"))</f>
        <v>.</v>
      </c>
      <c r="CQ198" s="136" t="str">
        <f>IF($D198&lt;&gt;"Feature",".",
IF(VLOOKUP($B198,Feature_List!$A:$AM,MATCH(CQ$1,  Feature_List!$A$1:$AM$1,0),0)=AI198,".","NO"))</f>
        <v>.</v>
      </c>
      <c r="CR198" s="136" t="str">
        <f>IF($D198&lt;&gt;"Feature",".",
IF(VLOOKUP($B198,Feature_List!$A:$AM,MATCH(CR$1,  Feature_List!$A$1:$AM$1,0),0)=AJ198,".","NO"))</f>
        <v>.</v>
      </c>
      <c r="CS198" s="136" t="str">
        <f>IF($D198&lt;&gt;"Feature",".",
IF(VLOOKUP($B198,Feature_List!$A:$AM,MATCH(CS$1,  Feature_List!$A$1:$AM$1,0),0)=AK198,".","NO"))</f>
        <v>.</v>
      </c>
      <c r="CT198" s="136" t="str">
        <f>IF($D198&lt;&gt;"Feature",".",
IF(VLOOKUP($B198,Feature_List!$A:$AM,MATCH(CT$1,  Feature_List!$A$1:$AM$1,0),0)=AL198,".","NO"))</f>
        <v>.</v>
      </c>
      <c r="CU198" s="136" t="str">
        <f>IF($D198&lt;&gt;"Feature",".",
IF(VLOOKUP($B198,Feature_List!$A:$AM,MATCH(CU$1,  Feature_List!$A$1:$AM$1,0),0)=AM198,".","NO"))</f>
        <v>.</v>
      </c>
      <c r="CV198" s="136" t="str">
        <f>IF($D198&lt;&gt;"Feature",".",
IF(VLOOKUP($B198,Feature_List!$A:$AM,MATCH(CV$1,  Feature_List!$A$1:$AM$1,0),0)=AN198,".","NO"))</f>
        <v>.</v>
      </c>
      <c r="CW198" s="136" t="str">
        <f>IF($D198&lt;&gt;"Feature",".",
IF(VLOOKUP($B198,Feature_List!$A:$AM,MATCH(CW$1,  Feature_List!$A$1:$AM$1,0),0)=AO198,".","NO"))</f>
        <v>.</v>
      </c>
      <c r="CX198" s="136" t="str">
        <f>IF($D198&lt;&gt;"Feature",".",
IF(VLOOKUP($B198,Feature_List!$A:$AM,MATCH(CX$1,  Feature_List!$A$1:$AM$1,0),0)=AP198,".","NO"))</f>
        <v>.</v>
      </c>
      <c r="CY198" s="136" t="str">
        <f>IF($D198&lt;&gt;"Feature",".",
IF(VLOOKUP($B198,Feature_List!$A:$AM,MATCH(CY$1,  Feature_List!$A$1:$AM$1,0),0)=AQ198,".","NO"))</f>
        <v>.</v>
      </c>
      <c r="CZ198" s="136" t="str">
        <f>IF($D198&lt;&gt;"Feature",".",
IF(VLOOKUP($B198,Feature_List!$A:$AM,MATCH(CZ$1,  Feature_List!$A$1:$AM$1,0),0)=AR198,".","NO"))</f>
        <v>.</v>
      </c>
      <c r="DA198" s="136" t="str">
        <f>IF($D198&lt;&gt;"Feature",".",
IF(VLOOKUP($B198,Feature_List!$A:$AM,MATCH(DA$1,  Feature_List!$A$1:$AM$1,0),0)=AS198,".","NO"))</f>
        <v>.</v>
      </c>
      <c r="DB198" s="136" t="str">
        <f>IF($D198&lt;&gt;"Feature",".",
IF(VLOOKUP($B198,Feature_List!$A:$AM,MATCH(DB$1,  Feature_List!$A$1:$AM$1,0),0)=AT198,".","NO"))</f>
        <v>.</v>
      </c>
      <c r="DC198" s="136" t="str">
        <f>IF($D198&lt;&gt;"Feature",".",
IF(VLOOKUP($B198,Feature_List!$A:$AM,MATCH(DC$1,  Feature_List!$A$1:$AM$1,0),0)=AU198,".","NO"))</f>
        <v>.</v>
      </c>
      <c r="DD198" s="136" t="str">
        <f>IF($D198&lt;&gt;"Feature",".",
IF(VLOOKUP($B198,Feature_List!$A:$AM,MATCH(DD$1,  Feature_List!$A$1:$AM$1,0),0)=AV198,".","NO"))</f>
        <v>.</v>
      </c>
      <c r="DE198" s="136" t="str">
        <f>IF($D198&lt;&gt;"Feature",".",
IF(VLOOKUP($B198,Feature_List!$A:$AM,MATCH(DE$1,  Feature_List!$A$1:$AM$1,0),0)=AW198,".","NO"))</f>
        <v>.</v>
      </c>
      <c r="DF198" s="136" t="str">
        <f>IF($D198&lt;&gt;"Feature",".",
IF(VLOOKUP($B198,Feature_List!$A:$AM,MATCH(DF$1,  Feature_List!$A$1:$AM$1,0),0)=AX198,".","NO"))</f>
        <v>.</v>
      </c>
      <c r="DG198" s="136" t="str">
        <f>IF($D198&lt;&gt;"Feature",".",
IF(VLOOKUP($B198,Feature_List!$A:$AM,MATCH(DG$1,  Feature_List!$A$1:$AM$1,0),0)=AY198,".","NO"))</f>
        <v>.</v>
      </c>
      <c r="DH198" s="136" t="str">
        <f>IF($D198&lt;&gt;"Feature",".",
IF(VLOOKUP($B198,Feature_List!$A:$AM,MATCH(DH$1,  Feature_List!$A$1:$AM$1,0),0)=AZ198,".","NO"))</f>
        <v>.</v>
      </c>
      <c r="DI198" s="136" t="str">
        <f>IF($D198&lt;&gt;"Feature",".",
IF(VLOOKUP($B198,Feature_List!$A:$AM,MATCH(DI$1,  Feature_List!$A$1:$AM$1,0),0)=BA198,".","NO"))</f>
        <v>.</v>
      </c>
      <c r="DJ198" s="136" t="str">
        <f>IF($D198&lt;&gt;"Feature",".",
IF(VLOOKUP($B198,Feature_List!$A:$AM,MATCH(DJ$1,  Feature_List!$A$1:$AM$1,0),0)=BB198,".","NO"))</f>
        <v>.</v>
      </c>
      <c r="DK198" s="136"/>
      <c r="DL198" s="136"/>
      <c r="DM198" s="136"/>
      <c r="DN198" s="136" t="str">
        <f>IF($D198&lt;&gt;"Feature",".",
IF(VLOOKUP($B198,Feature_List!$A:$AM,MATCH(DN$1,  Feature_List!$A$1:$AM$1,0),0)=BC198,".","NO"))</f>
        <v>.</v>
      </c>
      <c r="DO198" s="136" t="str">
        <f>IF($D198&lt;&gt;"Feature",".",
IF(VLOOKUP($B198,Feature_List!$A:$AM,MATCH(DO$1,  Feature_List!$A$1:$AM$1,0),0)=BD198,".","NO"))</f>
        <v>.</v>
      </c>
    </row>
    <row r="199" spans="2:119" x14ac:dyDescent="0.3">
      <c r="B199" s="121"/>
      <c r="C199" s="122"/>
      <c r="D199" s="122"/>
      <c r="E199" s="122"/>
      <c r="F199" s="138"/>
      <c r="G199" s="123"/>
      <c r="H199" s="122"/>
      <c r="I199" s="124"/>
      <c r="J199" s="138"/>
      <c r="K199" s="123"/>
      <c r="L199" s="122"/>
      <c r="M199" s="122"/>
      <c r="N199" s="125"/>
      <c r="O199" s="123">
        <f t="shared" si="112"/>
        <v>0</v>
      </c>
      <c r="P199" s="123">
        <f t="shared" si="113"/>
        <v>0</v>
      </c>
      <c r="Q199" s="122" t="str">
        <f t="shared" si="135"/>
        <v>ZeroEntry</v>
      </c>
      <c r="R199" s="126" t="str">
        <f t="shared" si="114"/>
        <v>ZeroEntry</v>
      </c>
      <c r="S199" s="127" t="str">
        <f t="shared" si="115"/>
        <v>ZeroEntry</v>
      </c>
      <c r="T199" s="128" t="str">
        <f>IF($Q199="ZeroEntry", "",VLOOKUP($I199,'Ranking Lookup'!#REF!,2,FALSE))</f>
        <v/>
      </c>
      <c r="U199" s="129" t="str">
        <f t="shared" si="116"/>
        <v/>
      </c>
      <c r="V199" s="129" t="str">
        <f t="shared" si="117"/>
        <v/>
      </c>
      <c r="W199" s="129" t="str">
        <f t="shared" si="118"/>
        <v/>
      </c>
      <c r="X199" s="129" t="str">
        <f t="shared" si="119"/>
        <v/>
      </c>
      <c r="Y199" s="129" t="str">
        <f t="shared" si="120"/>
        <v/>
      </c>
      <c r="Z199" s="129" t="str">
        <f t="shared" si="121"/>
        <v/>
      </c>
      <c r="AA199" s="130"/>
      <c r="AB199" s="130" t="str">
        <f t="shared" si="122"/>
        <v>Unassigned</v>
      </c>
      <c r="AC199" s="131" t="str">
        <f t="shared" si="136"/>
        <v/>
      </c>
      <c r="AD199" s="131" t="str">
        <f t="shared" si="137"/>
        <v/>
      </c>
      <c r="AE199" s="132">
        <f t="shared" si="123"/>
        <v>0</v>
      </c>
      <c r="AF199" s="133" t="str">
        <f t="shared" si="138"/>
        <v/>
      </c>
      <c r="AG199" s="134">
        <f t="shared" si="124"/>
        <v>0</v>
      </c>
      <c r="AH199" s="54" t="str">
        <f t="shared" si="125"/>
        <v/>
      </c>
      <c r="AI199" s="54" t="str">
        <f t="shared" si="126"/>
        <v/>
      </c>
      <c r="AJ199" s="54" t="str">
        <f t="shared" si="126"/>
        <v/>
      </c>
      <c r="AK199" s="54" t="str">
        <f t="shared" si="126"/>
        <v/>
      </c>
      <c r="AL199" s="54" t="str">
        <f t="shared" si="126"/>
        <v/>
      </c>
      <c r="AM199" s="54" t="str">
        <f t="shared" si="126"/>
        <v/>
      </c>
      <c r="AN199" s="54" t="str">
        <f t="shared" si="126"/>
        <v/>
      </c>
      <c r="AO199" s="54" t="str">
        <f t="shared" si="126"/>
        <v/>
      </c>
      <c r="AP199" s="54" t="str">
        <f t="shared" si="126"/>
        <v/>
      </c>
      <c r="AQ199" s="54" t="str">
        <f t="shared" si="126"/>
        <v/>
      </c>
      <c r="AR199" s="54" t="str">
        <f t="shared" si="126"/>
        <v/>
      </c>
      <c r="AS199" s="54" t="str">
        <f t="shared" si="126"/>
        <v/>
      </c>
      <c r="AT199" s="54" t="str">
        <f t="shared" si="126"/>
        <v/>
      </c>
      <c r="AU199" s="54" t="str">
        <f t="shared" si="126"/>
        <v/>
      </c>
      <c r="AV199" s="54" t="str">
        <f t="shared" si="126"/>
        <v/>
      </c>
      <c r="AW199" s="54" t="str">
        <f t="shared" si="126"/>
        <v/>
      </c>
      <c r="AX199" s="54" t="str">
        <f t="shared" si="126"/>
        <v/>
      </c>
      <c r="AY199" s="54" t="str">
        <f t="shared" si="127"/>
        <v/>
      </c>
      <c r="AZ199" s="54" t="str">
        <f t="shared" si="128"/>
        <v/>
      </c>
      <c r="BA199" s="54" t="str">
        <f t="shared" si="129"/>
        <v/>
      </c>
      <c r="BB199" s="135" t="str">
        <f t="shared" si="130"/>
        <v/>
      </c>
      <c r="BC199" s="54" t="str">
        <f t="shared" si="110"/>
        <v/>
      </c>
      <c r="BD199" s="54" t="str">
        <f t="shared" si="110"/>
        <v/>
      </c>
      <c r="BE199" s="54" t="str">
        <f t="shared" si="110"/>
        <v/>
      </c>
      <c r="BF199" s="54" t="str">
        <f t="shared" si="131"/>
        <v/>
      </c>
      <c r="BG199" s="54" t="str">
        <f t="shared" si="132"/>
        <v/>
      </c>
      <c r="BH199" s="34" t="str">
        <f t="shared" si="133"/>
        <v>Bad</v>
      </c>
      <c r="BI199" s="34" t="str">
        <f t="shared" si="134"/>
        <v>No</v>
      </c>
      <c r="BJ199" s="136" t="str">
        <f>IF($D199&lt;&gt;"Feature",".",
IF(VLOOKUP($B199,Feature_List!$A:$AM,MATCH(BJ$1,  Feature_List!$A$1:$AM$1,0),0)=B199,".","NO"))</f>
        <v>.</v>
      </c>
      <c r="BK199" s="136"/>
      <c r="BL199" s="136"/>
      <c r="BM199" s="136" t="str">
        <f>IF($D199&lt;&gt;"Feature",".",
IF(VLOOKUP($B199,Feature_List!$A:$AM,MATCH(BM$1,  Feature_List!$A$1:$AM$1,0),0)=E199,".","NO"))</f>
        <v>.</v>
      </c>
      <c r="BN199" s="136" t="str">
        <f>IF($D199&lt;&gt;"Feature",".",
IF(VLOOKUP($B199,Feature_List!$A:$AM,MATCH(BN$1,  Feature_List!$A$1:$AM$1,0),0)=F199,".","NO"))</f>
        <v>.</v>
      </c>
      <c r="BO199" s="136" t="str">
        <f>IF($D199&lt;&gt;"Feature",".",
IF(VLOOKUP($B199,Feature_List!$A:$AM,MATCH(BO$1,  Feature_List!$A$1:$AM$1,0),0)=G199,".","NO"))</f>
        <v>.</v>
      </c>
      <c r="BP199" s="136" t="str">
        <f>IF($D199&lt;&gt;"Feature",".",
IF(VLOOKUP($B199,Feature_List!$A:$AM,MATCH(BP$1,  Feature_List!$A$1:$AM$1,0),0)=H199,".","NO"))</f>
        <v>.</v>
      </c>
      <c r="BQ199" s="136"/>
      <c r="BR199" s="136" t="str">
        <f>IF($D199&lt;&gt;"Feature",".",
IF(VLOOKUP($B199,Feature_List!$A:$AM,MATCH(BR$1,  Feature_List!$A$1:$AM$1,0),0)=J199,".","NO"))</f>
        <v>.</v>
      </c>
      <c r="BS199" s="136"/>
      <c r="BT199" s="136"/>
      <c r="BU199" s="136" t="str">
        <f>IF($D199&lt;&gt;"Feature",".",
IF(VLOOKUP($B199,Feature_List!$A:$AM,MATCH(BU$1,  Feature_List!$A$1:$AM$1,0),0)=M199,".","NO"))</f>
        <v>.</v>
      </c>
      <c r="BV199" s="136" t="str">
        <f>IF($D199&lt;&gt;"Feature",".",
IF(VLOOKUP($B199,Feature_List!$A:$AM,MATCH(BV$1,  Feature_List!$A$1:$AM$1,0),0)=N199,".","NO"))</f>
        <v>.</v>
      </c>
      <c r="BW199" s="136"/>
      <c r="BX199" s="136"/>
      <c r="BY199" s="136"/>
      <c r="BZ199" s="136"/>
      <c r="CA199" s="136"/>
      <c r="CB199" s="136" t="str">
        <f>IF($D199&lt;&gt;"Feature",".",
IF(VLOOKUP($B199,Feature_List!$A:$AM,MATCH(CB$1,  Feature_List!$A$1:$AM$1,0),0)=T199,".","NO"))</f>
        <v>.</v>
      </c>
      <c r="CC199" s="136"/>
      <c r="CD199" s="136"/>
      <c r="CE199" s="136"/>
      <c r="CF199" s="136"/>
      <c r="CG199" s="136"/>
      <c r="CH199" s="136"/>
      <c r="CI199" s="136"/>
      <c r="CJ199" s="136"/>
      <c r="CK199" s="136"/>
      <c r="CL199" s="136"/>
      <c r="CM199" s="136"/>
      <c r="CN199" s="136"/>
      <c r="CO199" s="136" t="str">
        <f>IF($D199&lt;&gt;"Feature",".",
IF(VLOOKUP($B199,Feature_List!$A:$AM,MATCH(CO$1,  Feature_List!$A$1:$AM$1,0),0)=AG199,".","NO"))</f>
        <v>.</v>
      </c>
      <c r="CP199" s="136" t="str">
        <f>IF($D199&lt;&gt;"Feature",".",
IF(VLOOKUP($B199,Feature_List!$A:$AM,MATCH(CP$1,  Feature_List!$A$1:$AM$1,0),0)=AH199,".","NO"))</f>
        <v>.</v>
      </c>
      <c r="CQ199" s="136" t="str">
        <f>IF($D199&lt;&gt;"Feature",".",
IF(VLOOKUP($B199,Feature_List!$A:$AM,MATCH(CQ$1,  Feature_List!$A$1:$AM$1,0),0)=AI199,".","NO"))</f>
        <v>.</v>
      </c>
      <c r="CR199" s="136" t="str">
        <f>IF($D199&lt;&gt;"Feature",".",
IF(VLOOKUP($B199,Feature_List!$A:$AM,MATCH(CR$1,  Feature_List!$A$1:$AM$1,0),0)=AJ199,".","NO"))</f>
        <v>.</v>
      </c>
      <c r="CS199" s="136" t="str">
        <f>IF($D199&lt;&gt;"Feature",".",
IF(VLOOKUP($B199,Feature_List!$A:$AM,MATCH(CS$1,  Feature_List!$A$1:$AM$1,0),0)=AK199,".","NO"))</f>
        <v>.</v>
      </c>
      <c r="CT199" s="136" t="str">
        <f>IF($D199&lt;&gt;"Feature",".",
IF(VLOOKUP($B199,Feature_List!$A:$AM,MATCH(CT$1,  Feature_List!$A$1:$AM$1,0),0)=AL199,".","NO"))</f>
        <v>.</v>
      </c>
      <c r="CU199" s="136" t="str">
        <f>IF($D199&lt;&gt;"Feature",".",
IF(VLOOKUP($B199,Feature_List!$A:$AM,MATCH(CU$1,  Feature_List!$A$1:$AM$1,0),0)=AM199,".","NO"))</f>
        <v>.</v>
      </c>
      <c r="CV199" s="136" t="str">
        <f>IF($D199&lt;&gt;"Feature",".",
IF(VLOOKUP($B199,Feature_List!$A:$AM,MATCH(CV$1,  Feature_List!$A$1:$AM$1,0),0)=AN199,".","NO"))</f>
        <v>.</v>
      </c>
      <c r="CW199" s="136" t="str">
        <f>IF($D199&lt;&gt;"Feature",".",
IF(VLOOKUP($B199,Feature_List!$A:$AM,MATCH(CW$1,  Feature_List!$A$1:$AM$1,0),0)=AO199,".","NO"))</f>
        <v>.</v>
      </c>
      <c r="CX199" s="136" t="str">
        <f>IF($D199&lt;&gt;"Feature",".",
IF(VLOOKUP($B199,Feature_List!$A:$AM,MATCH(CX$1,  Feature_List!$A$1:$AM$1,0),0)=AP199,".","NO"))</f>
        <v>.</v>
      </c>
      <c r="CY199" s="136" t="str">
        <f>IF($D199&lt;&gt;"Feature",".",
IF(VLOOKUP($B199,Feature_List!$A:$AM,MATCH(CY$1,  Feature_List!$A$1:$AM$1,0),0)=AQ199,".","NO"))</f>
        <v>.</v>
      </c>
      <c r="CZ199" s="136" t="str">
        <f>IF($D199&lt;&gt;"Feature",".",
IF(VLOOKUP($B199,Feature_List!$A:$AM,MATCH(CZ$1,  Feature_List!$A$1:$AM$1,0),0)=AR199,".","NO"))</f>
        <v>.</v>
      </c>
      <c r="DA199" s="136" t="str">
        <f>IF($D199&lt;&gt;"Feature",".",
IF(VLOOKUP($B199,Feature_List!$A:$AM,MATCH(DA$1,  Feature_List!$A$1:$AM$1,0),0)=AS199,".","NO"))</f>
        <v>.</v>
      </c>
      <c r="DB199" s="136" t="str">
        <f>IF($D199&lt;&gt;"Feature",".",
IF(VLOOKUP($B199,Feature_List!$A:$AM,MATCH(DB$1,  Feature_List!$A$1:$AM$1,0),0)=AT199,".","NO"))</f>
        <v>.</v>
      </c>
      <c r="DC199" s="136" t="str">
        <f>IF($D199&lt;&gt;"Feature",".",
IF(VLOOKUP($B199,Feature_List!$A:$AM,MATCH(DC$1,  Feature_List!$A$1:$AM$1,0),0)=AU199,".","NO"))</f>
        <v>.</v>
      </c>
      <c r="DD199" s="136" t="str">
        <f>IF($D199&lt;&gt;"Feature",".",
IF(VLOOKUP($B199,Feature_List!$A:$AM,MATCH(DD$1,  Feature_List!$A$1:$AM$1,0),0)=AV199,".","NO"))</f>
        <v>.</v>
      </c>
      <c r="DE199" s="136" t="str">
        <f>IF($D199&lt;&gt;"Feature",".",
IF(VLOOKUP($B199,Feature_List!$A:$AM,MATCH(DE$1,  Feature_List!$A$1:$AM$1,0),0)=AW199,".","NO"))</f>
        <v>.</v>
      </c>
      <c r="DF199" s="136" t="str">
        <f>IF($D199&lt;&gt;"Feature",".",
IF(VLOOKUP($B199,Feature_List!$A:$AM,MATCH(DF$1,  Feature_List!$A$1:$AM$1,0),0)=AX199,".","NO"))</f>
        <v>.</v>
      </c>
      <c r="DG199" s="136" t="str">
        <f>IF($D199&lt;&gt;"Feature",".",
IF(VLOOKUP($B199,Feature_List!$A:$AM,MATCH(DG$1,  Feature_List!$A$1:$AM$1,0),0)=AY199,".","NO"))</f>
        <v>.</v>
      </c>
      <c r="DH199" s="136" t="str">
        <f>IF($D199&lt;&gt;"Feature",".",
IF(VLOOKUP($B199,Feature_List!$A:$AM,MATCH(DH$1,  Feature_List!$A$1:$AM$1,0),0)=AZ199,".","NO"))</f>
        <v>.</v>
      </c>
      <c r="DI199" s="136" t="str">
        <f>IF($D199&lt;&gt;"Feature",".",
IF(VLOOKUP($B199,Feature_List!$A:$AM,MATCH(DI$1,  Feature_List!$A$1:$AM$1,0),0)=BA199,".","NO"))</f>
        <v>.</v>
      </c>
      <c r="DJ199" s="136" t="str">
        <f>IF($D199&lt;&gt;"Feature",".",
IF(VLOOKUP($B199,Feature_List!$A:$AM,MATCH(DJ$1,  Feature_List!$A$1:$AM$1,0),0)=BB199,".","NO"))</f>
        <v>.</v>
      </c>
      <c r="DK199" s="136"/>
      <c r="DL199" s="136"/>
      <c r="DM199" s="136"/>
      <c r="DN199" s="136" t="str">
        <f>IF($D199&lt;&gt;"Feature",".",
IF(VLOOKUP($B199,Feature_List!$A:$AM,MATCH(DN$1,  Feature_List!$A$1:$AM$1,0),0)=BC199,".","NO"))</f>
        <v>.</v>
      </c>
      <c r="DO199" s="136" t="str">
        <f>IF($D199&lt;&gt;"Feature",".",
IF(VLOOKUP($B199,Feature_List!$A:$AM,MATCH(DO$1,  Feature_List!$A$1:$AM$1,0),0)=BD199,".","NO"))</f>
        <v>.</v>
      </c>
    </row>
    <row r="200" spans="2:119" x14ac:dyDescent="0.3">
      <c r="B200" s="121"/>
      <c r="C200" s="123"/>
      <c r="D200" s="122"/>
      <c r="E200" s="122"/>
      <c r="F200" s="138"/>
      <c r="G200" s="123"/>
      <c r="H200" s="122"/>
      <c r="I200" s="122"/>
      <c r="J200" s="138"/>
      <c r="K200" s="123"/>
      <c r="L200" s="122"/>
      <c r="M200" s="122"/>
      <c r="N200" s="125"/>
      <c r="O200" s="123">
        <f t="shared" si="112"/>
        <v>0</v>
      </c>
      <c r="P200" s="123">
        <f t="shared" si="113"/>
        <v>0</v>
      </c>
      <c r="Q200" s="122" t="str">
        <f t="shared" si="135"/>
        <v>ZeroEntry</v>
      </c>
      <c r="R200" s="126" t="str">
        <f t="shared" si="114"/>
        <v>ZeroEntry</v>
      </c>
      <c r="S200" s="127" t="str">
        <f t="shared" si="115"/>
        <v>ZeroEntry</v>
      </c>
      <c r="T200" s="128" t="str">
        <f>IF($Q200="ZeroEntry", "",VLOOKUP($I200,'Ranking Lookup'!#REF!,2,FALSE))</f>
        <v/>
      </c>
      <c r="U200" s="129" t="str">
        <f t="shared" si="116"/>
        <v/>
      </c>
      <c r="V200" s="129" t="str">
        <f t="shared" si="117"/>
        <v/>
      </c>
      <c r="W200" s="129" t="str">
        <f t="shared" si="118"/>
        <v/>
      </c>
      <c r="X200" s="129" t="str">
        <f t="shared" si="119"/>
        <v/>
      </c>
      <c r="Y200" s="129" t="str">
        <f t="shared" si="120"/>
        <v/>
      </c>
      <c r="Z200" s="129" t="str">
        <f t="shared" si="121"/>
        <v/>
      </c>
      <c r="AA200" s="130"/>
      <c r="AB200" s="130" t="str">
        <f t="shared" si="122"/>
        <v>Unassigned</v>
      </c>
      <c r="AC200" s="131" t="str">
        <f t="shared" si="136"/>
        <v/>
      </c>
      <c r="AD200" s="131" t="str">
        <f t="shared" si="137"/>
        <v/>
      </c>
      <c r="AE200" s="132">
        <f t="shared" si="123"/>
        <v>0</v>
      </c>
      <c r="AF200" s="133" t="str">
        <f t="shared" si="138"/>
        <v/>
      </c>
      <c r="AG200" s="134">
        <f t="shared" si="124"/>
        <v>0</v>
      </c>
      <c r="AH200" s="54" t="str">
        <f t="shared" si="125"/>
        <v/>
      </c>
      <c r="AI200" s="54" t="str">
        <f t="shared" si="126"/>
        <v/>
      </c>
      <c r="AJ200" s="54" t="str">
        <f t="shared" si="126"/>
        <v/>
      </c>
      <c r="AK200" s="54" t="str">
        <f t="shared" si="126"/>
        <v/>
      </c>
      <c r="AL200" s="54" t="str">
        <f t="shared" si="126"/>
        <v/>
      </c>
      <c r="AM200" s="54" t="str">
        <f t="shared" si="126"/>
        <v/>
      </c>
      <c r="AN200" s="54" t="str">
        <f t="shared" si="126"/>
        <v/>
      </c>
      <c r="AO200" s="54" t="str">
        <f t="shared" si="126"/>
        <v/>
      </c>
      <c r="AP200" s="54" t="str">
        <f t="shared" si="126"/>
        <v/>
      </c>
      <c r="AQ200" s="54" t="str">
        <f t="shared" si="126"/>
        <v/>
      </c>
      <c r="AR200" s="54" t="str">
        <f t="shared" si="126"/>
        <v/>
      </c>
      <c r="AS200" s="54" t="str">
        <f t="shared" si="126"/>
        <v/>
      </c>
      <c r="AT200" s="54" t="str">
        <f t="shared" si="126"/>
        <v/>
      </c>
      <c r="AU200" s="54" t="str">
        <f t="shared" si="126"/>
        <v/>
      </c>
      <c r="AV200" s="54" t="str">
        <f t="shared" si="126"/>
        <v/>
      </c>
      <c r="AW200" s="54" t="str">
        <f t="shared" si="126"/>
        <v/>
      </c>
      <c r="AX200" s="54" t="str">
        <f t="shared" si="126"/>
        <v/>
      </c>
      <c r="AY200" s="54" t="str">
        <f t="shared" si="127"/>
        <v/>
      </c>
      <c r="AZ200" s="54" t="str">
        <f t="shared" si="128"/>
        <v/>
      </c>
      <c r="BA200" s="54" t="str">
        <f t="shared" si="129"/>
        <v/>
      </c>
      <c r="BB200" s="135" t="str">
        <f t="shared" si="130"/>
        <v/>
      </c>
      <c r="BC200" s="54" t="str">
        <f t="shared" si="110"/>
        <v/>
      </c>
      <c r="BD200" s="54" t="str">
        <f t="shared" si="110"/>
        <v/>
      </c>
      <c r="BE200" s="54" t="str">
        <f t="shared" si="110"/>
        <v/>
      </c>
      <c r="BF200" s="54" t="str">
        <f t="shared" si="131"/>
        <v/>
      </c>
      <c r="BG200" s="54" t="str">
        <f t="shared" si="132"/>
        <v/>
      </c>
      <c r="BH200" s="34" t="str">
        <f t="shared" si="133"/>
        <v>Bad</v>
      </c>
      <c r="BI200" s="34" t="str">
        <f t="shared" si="134"/>
        <v>No</v>
      </c>
      <c r="BJ200" s="136" t="str">
        <f>IF($D200&lt;&gt;"Feature",".",
IF(VLOOKUP($B200,Feature_List!$A:$AM,MATCH(BJ$1,  Feature_List!$A$1:$AM$1,0),0)=B200,".","NO"))</f>
        <v>.</v>
      </c>
      <c r="BK200" s="136"/>
      <c r="BL200" s="136"/>
      <c r="BM200" s="136" t="str">
        <f>IF($D200&lt;&gt;"Feature",".",
IF(VLOOKUP($B200,Feature_List!$A:$AM,MATCH(BM$1,  Feature_List!$A$1:$AM$1,0),0)=E200,".","NO"))</f>
        <v>.</v>
      </c>
      <c r="BN200" s="136" t="str">
        <f>IF($D200&lt;&gt;"Feature",".",
IF(VLOOKUP($B200,Feature_List!$A:$AM,MATCH(BN$1,  Feature_List!$A$1:$AM$1,0),0)=F200,".","NO"))</f>
        <v>.</v>
      </c>
      <c r="BO200" s="136" t="str">
        <f>IF($D200&lt;&gt;"Feature",".",
IF(VLOOKUP($B200,Feature_List!$A:$AM,MATCH(BO$1,  Feature_List!$A$1:$AM$1,0),0)=G200,".","NO"))</f>
        <v>.</v>
      </c>
      <c r="BP200" s="136" t="str">
        <f>IF($D200&lt;&gt;"Feature",".",
IF(VLOOKUP($B200,Feature_List!$A:$AM,MATCH(BP$1,  Feature_List!$A$1:$AM$1,0),0)=H200,".","NO"))</f>
        <v>.</v>
      </c>
      <c r="BQ200" s="136"/>
      <c r="BR200" s="136" t="str">
        <f>IF($D200&lt;&gt;"Feature",".",
IF(VLOOKUP($B200,Feature_List!$A:$AM,MATCH(BR$1,  Feature_List!$A$1:$AM$1,0),0)=J200,".","NO"))</f>
        <v>.</v>
      </c>
      <c r="BS200" s="136"/>
      <c r="BT200" s="136"/>
      <c r="BU200" s="136" t="str">
        <f>IF($D200&lt;&gt;"Feature",".",
IF(VLOOKUP($B200,Feature_List!$A:$AM,MATCH(BU$1,  Feature_List!$A$1:$AM$1,0),0)=M200,".","NO"))</f>
        <v>.</v>
      </c>
      <c r="BV200" s="136" t="str">
        <f>IF($D200&lt;&gt;"Feature",".",
IF(VLOOKUP($B200,Feature_List!$A:$AM,MATCH(BV$1,  Feature_List!$A$1:$AM$1,0),0)=N200,".","NO"))</f>
        <v>.</v>
      </c>
      <c r="BW200" s="136"/>
      <c r="BX200" s="136"/>
      <c r="BY200" s="136"/>
      <c r="BZ200" s="136"/>
      <c r="CA200" s="136"/>
      <c r="CB200" s="136" t="str">
        <f>IF($D200&lt;&gt;"Feature",".",
IF(VLOOKUP($B200,Feature_List!$A:$AM,MATCH(CB$1,  Feature_List!$A$1:$AM$1,0),0)=T200,".","NO"))</f>
        <v>.</v>
      </c>
      <c r="CC200" s="136"/>
      <c r="CD200" s="136"/>
      <c r="CE200" s="136"/>
      <c r="CF200" s="136"/>
      <c r="CG200" s="136"/>
      <c r="CH200" s="136"/>
      <c r="CI200" s="136"/>
      <c r="CJ200" s="136"/>
      <c r="CK200" s="136"/>
      <c r="CL200" s="136"/>
      <c r="CM200" s="136"/>
      <c r="CN200" s="136"/>
      <c r="CO200" s="136" t="str">
        <f>IF($D200&lt;&gt;"Feature",".",
IF(VLOOKUP($B200,Feature_List!$A:$AM,MATCH(CO$1,  Feature_List!$A$1:$AM$1,0),0)=AG200,".","NO"))</f>
        <v>.</v>
      </c>
      <c r="CP200" s="136" t="str">
        <f>IF($D200&lt;&gt;"Feature",".",
IF(VLOOKUP($B200,Feature_List!$A:$AM,MATCH(CP$1,  Feature_List!$A$1:$AM$1,0),0)=AH200,".","NO"))</f>
        <v>.</v>
      </c>
      <c r="CQ200" s="136" t="str">
        <f>IF($D200&lt;&gt;"Feature",".",
IF(VLOOKUP($B200,Feature_List!$A:$AM,MATCH(CQ$1,  Feature_List!$A$1:$AM$1,0),0)=AI200,".","NO"))</f>
        <v>.</v>
      </c>
      <c r="CR200" s="136" t="str">
        <f>IF($D200&lt;&gt;"Feature",".",
IF(VLOOKUP($B200,Feature_List!$A:$AM,MATCH(CR$1,  Feature_List!$A$1:$AM$1,0),0)=AJ200,".","NO"))</f>
        <v>.</v>
      </c>
      <c r="CS200" s="136" t="str">
        <f>IF($D200&lt;&gt;"Feature",".",
IF(VLOOKUP($B200,Feature_List!$A:$AM,MATCH(CS$1,  Feature_List!$A$1:$AM$1,0),0)=AK200,".","NO"))</f>
        <v>.</v>
      </c>
      <c r="CT200" s="136" t="str">
        <f>IF($D200&lt;&gt;"Feature",".",
IF(VLOOKUP($B200,Feature_List!$A:$AM,MATCH(CT$1,  Feature_List!$A$1:$AM$1,0),0)=AL200,".","NO"))</f>
        <v>.</v>
      </c>
      <c r="CU200" s="136" t="str">
        <f>IF($D200&lt;&gt;"Feature",".",
IF(VLOOKUP($B200,Feature_List!$A:$AM,MATCH(CU$1,  Feature_List!$A$1:$AM$1,0),0)=AM200,".","NO"))</f>
        <v>.</v>
      </c>
      <c r="CV200" s="136" t="str">
        <f>IF($D200&lt;&gt;"Feature",".",
IF(VLOOKUP($B200,Feature_List!$A:$AM,MATCH(CV$1,  Feature_List!$A$1:$AM$1,0),0)=AN200,".","NO"))</f>
        <v>.</v>
      </c>
      <c r="CW200" s="136" t="str">
        <f>IF($D200&lt;&gt;"Feature",".",
IF(VLOOKUP($B200,Feature_List!$A:$AM,MATCH(CW$1,  Feature_List!$A$1:$AM$1,0),0)=AO200,".","NO"))</f>
        <v>.</v>
      </c>
      <c r="CX200" s="136" t="str">
        <f>IF($D200&lt;&gt;"Feature",".",
IF(VLOOKUP($B200,Feature_List!$A:$AM,MATCH(CX$1,  Feature_List!$A$1:$AM$1,0),0)=AP200,".","NO"))</f>
        <v>.</v>
      </c>
      <c r="CY200" s="136" t="str">
        <f>IF($D200&lt;&gt;"Feature",".",
IF(VLOOKUP($B200,Feature_List!$A:$AM,MATCH(CY$1,  Feature_List!$A$1:$AM$1,0),0)=AQ200,".","NO"))</f>
        <v>.</v>
      </c>
      <c r="CZ200" s="136" t="str">
        <f>IF($D200&lt;&gt;"Feature",".",
IF(VLOOKUP($B200,Feature_List!$A:$AM,MATCH(CZ$1,  Feature_List!$A$1:$AM$1,0),0)=AR200,".","NO"))</f>
        <v>.</v>
      </c>
      <c r="DA200" s="136" t="str">
        <f>IF($D200&lt;&gt;"Feature",".",
IF(VLOOKUP($B200,Feature_List!$A:$AM,MATCH(DA$1,  Feature_List!$A$1:$AM$1,0),0)=AS200,".","NO"))</f>
        <v>.</v>
      </c>
      <c r="DB200" s="136" t="str">
        <f>IF($D200&lt;&gt;"Feature",".",
IF(VLOOKUP($B200,Feature_List!$A:$AM,MATCH(DB$1,  Feature_List!$A$1:$AM$1,0),0)=AT200,".","NO"))</f>
        <v>.</v>
      </c>
      <c r="DC200" s="136" t="str">
        <f>IF($D200&lt;&gt;"Feature",".",
IF(VLOOKUP($B200,Feature_List!$A:$AM,MATCH(DC$1,  Feature_List!$A$1:$AM$1,0),0)=AU200,".","NO"))</f>
        <v>.</v>
      </c>
      <c r="DD200" s="136" t="str">
        <f>IF($D200&lt;&gt;"Feature",".",
IF(VLOOKUP($B200,Feature_List!$A:$AM,MATCH(DD$1,  Feature_List!$A$1:$AM$1,0),0)=AV200,".","NO"))</f>
        <v>.</v>
      </c>
      <c r="DE200" s="136" t="str">
        <f>IF($D200&lt;&gt;"Feature",".",
IF(VLOOKUP($B200,Feature_List!$A:$AM,MATCH(DE$1,  Feature_List!$A$1:$AM$1,0),0)=AW200,".","NO"))</f>
        <v>.</v>
      </c>
      <c r="DF200" s="136" t="str">
        <f>IF($D200&lt;&gt;"Feature",".",
IF(VLOOKUP($B200,Feature_List!$A:$AM,MATCH(DF$1,  Feature_List!$A$1:$AM$1,0),0)=AX200,".","NO"))</f>
        <v>.</v>
      </c>
      <c r="DG200" s="136" t="str">
        <f>IF($D200&lt;&gt;"Feature",".",
IF(VLOOKUP($B200,Feature_List!$A:$AM,MATCH(DG$1,  Feature_List!$A$1:$AM$1,0),0)=AY200,".","NO"))</f>
        <v>.</v>
      </c>
      <c r="DH200" s="136" t="str">
        <f>IF($D200&lt;&gt;"Feature",".",
IF(VLOOKUP($B200,Feature_List!$A:$AM,MATCH(DH$1,  Feature_List!$A$1:$AM$1,0),0)=AZ200,".","NO"))</f>
        <v>.</v>
      </c>
      <c r="DI200" s="136" t="str">
        <f>IF($D200&lt;&gt;"Feature",".",
IF(VLOOKUP($B200,Feature_List!$A:$AM,MATCH(DI$1,  Feature_List!$A$1:$AM$1,0),0)=BA200,".","NO"))</f>
        <v>.</v>
      </c>
      <c r="DJ200" s="136" t="str">
        <f>IF($D200&lt;&gt;"Feature",".",
IF(VLOOKUP($B200,Feature_List!$A:$AM,MATCH(DJ$1,  Feature_List!$A$1:$AM$1,0),0)=BB200,".","NO"))</f>
        <v>.</v>
      </c>
      <c r="DK200" s="136"/>
      <c r="DL200" s="136"/>
      <c r="DM200" s="136"/>
      <c r="DN200" s="136" t="str">
        <f>IF($D200&lt;&gt;"Feature",".",
IF(VLOOKUP($B200,Feature_List!$A:$AM,MATCH(DN$1,  Feature_List!$A$1:$AM$1,0),0)=BC200,".","NO"))</f>
        <v>.</v>
      </c>
      <c r="DO200" s="136" t="str">
        <f>IF($D200&lt;&gt;"Feature",".",
IF(VLOOKUP($B200,Feature_List!$A:$AM,MATCH(DO$1,  Feature_List!$A$1:$AM$1,0),0)=BD200,".","NO"))</f>
        <v>.</v>
      </c>
    </row>
    <row r="201" spans="2:119" x14ac:dyDescent="0.3">
      <c r="B201" s="121"/>
      <c r="C201" s="122"/>
      <c r="D201" s="122"/>
      <c r="E201" s="122"/>
      <c r="F201" s="138"/>
      <c r="G201" s="123"/>
      <c r="H201" s="122"/>
      <c r="I201" s="124"/>
      <c r="J201" s="138"/>
      <c r="K201" s="123"/>
      <c r="L201" s="122"/>
      <c r="M201" s="122"/>
      <c r="N201" s="125"/>
      <c r="O201" s="123">
        <f t="shared" si="112"/>
        <v>0</v>
      </c>
      <c r="P201" s="123">
        <f t="shared" si="113"/>
        <v>0</v>
      </c>
      <c r="Q201" s="122" t="str">
        <f t="shared" si="135"/>
        <v>ZeroEntry</v>
      </c>
      <c r="R201" s="126" t="str">
        <f t="shared" si="114"/>
        <v>ZeroEntry</v>
      </c>
      <c r="S201" s="127" t="str">
        <f t="shared" si="115"/>
        <v>ZeroEntry</v>
      </c>
      <c r="T201" s="128" t="str">
        <f>IF($Q201="ZeroEntry", "",VLOOKUP($I201,'Ranking Lookup'!#REF!,2,FALSE))</f>
        <v/>
      </c>
      <c r="U201" s="129" t="str">
        <f t="shared" si="116"/>
        <v/>
      </c>
      <c r="V201" s="129" t="str">
        <f t="shared" si="117"/>
        <v/>
      </c>
      <c r="W201" s="129" t="str">
        <f t="shared" si="118"/>
        <v/>
      </c>
      <c r="X201" s="129" t="str">
        <f t="shared" si="119"/>
        <v/>
      </c>
      <c r="Y201" s="129" t="str">
        <f t="shared" si="120"/>
        <v/>
      </c>
      <c r="Z201" s="129" t="str">
        <f t="shared" si="121"/>
        <v/>
      </c>
      <c r="AA201" s="130"/>
      <c r="AB201" s="130" t="str">
        <f t="shared" si="122"/>
        <v>Unassigned</v>
      </c>
      <c r="AC201" s="131" t="str">
        <f t="shared" si="136"/>
        <v/>
      </c>
      <c r="AD201" s="131" t="str">
        <f t="shared" si="137"/>
        <v/>
      </c>
      <c r="AE201" s="132">
        <f t="shared" si="123"/>
        <v>0</v>
      </c>
      <c r="AF201" s="133" t="str">
        <f t="shared" si="138"/>
        <v/>
      </c>
      <c r="AG201" s="134">
        <f t="shared" si="124"/>
        <v>0</v>
      </c>
      <c r="AH201" s="54" t="str">
        <f t="shared" si="125"/>
        <v/>
      </c>
      <c r="AI201" s="54" t="str">
        <f t="shared" si="126"/>
        <v/>
      </c>
      <c r="AJ201" s="54" t="str">
        <f t="shared" si="126"/>
        <v/>
      </c>
      <c r="AK201" s="54" t="str">
        <f t="shared" si="126"/>
        <v/>
      </c>
      <c r="AL201" s="54" t="str">
        <f t="shared" si="126"/>
        <v/>
      </c>
      <c r="AM201" s="54" t="str">
        <f t="shared" si="126"/>
        <v/>
      </c>
      <c r="AN201" s="54" t="str">
        <f t="shared" si="126"/>
        <v/>
      </c>
      <c r="AO201" s="54" t="str">
        <f t="shared" si="126"/>
        <v/>
      </c>
      <c r="AP201" s="54" t="str">
        <f t="shared" si="126"/>
        <v/>
      </c>
      <c r="AQ201" s="54" t="str">
        <f t="shared" si="126"/>
        <v/>
      </c>
      <c r="AR201" s="54" t="str">
        <f t="shared" si="126"/>
        <v/>
      </c>
      <c r="AS201" s="54" t="str">
        <f t="shared" si="126"/>
        <v/>
      </c>
      <c r="AT201" s="54" t="str">
        <f t="shared" si="126"/>
        <v/>
      </c>
      <c r="AU201" s="54" t="str">
        <f t="shared" si="126"/>
        <v/>
      </c>
      <c r="AV201" s="54" t="str">
        <f t="shared" si="126"/>
        <v/>
      </c>
      <c r="AW201" s="54" t="str">
        <f t="shared" si="126"/>
        <v/>
      </c>
      <c r="AX201" s="54" t="str">
        <f t="shared" si="126"/>
        <v/>
      </c>
      <c r="AY201" s="54" t="str">
        <f t="shared" si="127"/>
        <v/>
      </c>
      <c r="AZ201" s="54" t="str">
        <f t="shared" si="128"/>
        <v/>
      </c>
      <c r="BA201" s="54" t="str">
        <f t="shared" si="129"/>
        <v/>
      </c>
      <c r="BB201" s="135" t="str">
        <f t="shared" si="130"/>
        <v/>
      </c>
      <c r="BC201" s="54" t="str">
        <f t="shared" si="110"/>
        <v/>
      </c>
      <c r="BD201" s="54" t="str">
        <f t="shared" si="110"/>
        <v/>
      </c>
      <c r="BE201" s="54" t="str">
        <f t="shared" si="110"/>
        <v/>
      </c>
      <c r="BF201" s="54" t="str">
        <f t="shared" si="131"/>
        <v/>
      </c>
      <c r="BG201" s="54" t="str">
        <f t="shared" si="132"/>
        <v/>
      </c>
      <c r="BH201" s="34" t="str">
        <f t="shared" si="133"/>
        <v>Bad</v>
      </c>
      <c r="BI201" s="34" t="str">
        <f t="shared" si="134"/>
        <v>No</v>
      </c>
      <c r="BJ201" s="136" t="str">
        <f>IF($D201&lt;&gt;"Feature",".",
IF(VLOOKUP($B201,Feature_List!$A:$AM,MATCH(BJ$1,  Feature_List!$A$1:$AM$1,0),0)=B201,".","NO"))</f>
        <v>.</v>
      </c>
      <c r="BK201" s="136"/>
      <c r="BL201" s="136"/>
      <c r="BM201" s="136" t="str">
        <f>IF($D201&lt;&gt;"Feature",".",
IF(VLOOKUP($B201,Feature_List!$A:$AM,MATCH(BM$1,  Feature_List!$A$1:$AM$1,0),0)=E201,".","NO"))</f>
        <v>.</v>
      </c>
      <c r="BN201" s="136" t="str">
        <f>IF($D201&lt;&gt;"Feature",".",
IF(VLOOKUP($B201,Feature_List!$A:$AM,MATCH(BN$1,  Feature_List!$A$1:$AM$1,0),0)=F201,".","NO"))</f>
        <v>.</v>
      </c>
      <c r="BO201" s="136" t="str">
        <f>IF($D201&lt;&gt;"Feature",".",
IF(VLOOKUP($B201,Feature_List!$A:$AM,MATCH(BO$1,  Feature_List!$A$1:$AM$1,0),0)=G201,".","NO"))</f>
        <v>.</v>
      </c>
      <c r="BP201" s="136" t="str">
        <f>IF($D201&lt;&gt;"Feature",".",
IF(VLOOKUP($B201,Feature_List!$A:$AM,MATCH(BP$1,  Feature_List!$A$1:$AM$1,0),0)=H201,".","NO"))</f>
        <v>.</v>
      </c>
      <c r="BQ201" s="136"/>
      <c r="BR201" s="136" t="str">
        <f>IF($D201&lt;&gt;"Feature",".",
IF(VLOOKUP($B201,Feature_List!$A:$AM,MATCH(BR$1,  Feature_List!$A$1:$AM$1,0),0)=J201,".","NO"))</f>
        <v>.</v>
      </c>
      <c r="BS201" s="136"/>
      <c r="BT201" s="136"/>
      <c r="BU201" s="136" t="str">
        <f>IF($D201&lt;&gt;"Feature",".",
IF(VLOOKUP($B201,Feature_List!$A:$AM,MATCH(BU$1,  Feature_List!$A$1:$AM$1,0),0)=M201,".","NO"))</f>
        <v>.</v>
      </c>
      <c r="BV201" s="136" t="str">
        <f>IF($D201&lt;&gt;"Feature",".",
IF(VLOOKUP($B201,Feature_List!$A:$AM,MATCH(BV$1,  Feature_List!$A$1:$AM$1,0),0)=N201,".","NO"))</f>
        <v>.</v>
      </c>
      <c r="BW201" s="136"/>
      <c r="BX201" s="136"/>
      <c r="BY201" s="136"/>
      <c r="BZ201" s="136"/>
      <c r="CA201" s="136"/>
      <c r="CB201" s="136" t="str">
        <f>IF($D201&lt;&gt;"Feature",".",
IF(VLOOKUP($B201,Feature_List!$A:$AM,MATCH(CB$1,  Feature_List!$A$1:$AM$1,0),0)=T201,".","NO"))</f>
        <v>.</v>
      </c>
      <c r="CC201" s="136"/>
      <c r="CD201" s="136"/>
      <c r="CE201" s="136"/>
      <c r="CF201" s="136"/>
      <c r="CG201" s="136"/>
      <c r="CH201" s="136"/>
      <c r="CI201" s="136"/>
      <c r="CJ201" s="136"/>
      <c r="CK201" s="136"/>
      <c r="CL201" s="136"/>
      <c r="CM201" s="136"/>
      <c r="CN201" s="136"/>
      <c r="CO201" s="136" t="str">
        <f>IF($D201&lt;&gt;"Feature",".",
IF(VLOOKUP($B201,Feature_List!$A:$AM,MATCH(CO$1,  Feature_List!$A$1:$AM$1,0),0)=AG201,".","NO"))</f>
        <v>.</v>
      </c>
      <c r="CP201" s="136" t="str">
        <f>IF($D201&lt;&gt;"Feature",".",
IF(VLOOKUP($B201,Feature_List!$A:$AM,MATCH(CP$1,  Feature_List!$A$1:$AM$1,0),0)=AH201,".","NO"))</f>
        <v>.</v>
      </c>
      <c r="CQ201" s="136" t="str">
        <f>IF($D201&lt;&gt;"Feature",".",
IF(VLOOKUP($B201,Feature_List!$A:$AM,MATCH(CQ$1,  Feature_List!$A$1:$AM$1,0),0)=AI201,".","NO"))</f>
        <v>.</v>
      </c>
      <c r="CR201" s="136" t="str">
        <f>IF($D201&lt;&gt;"Feature",".",
IF(VLOOKUP($B201,Feature_List!$A:$AM,MATCH(CR$1,  Feature_List!$A$1:$AM$1,0),0)=AJ201,".","NO"))</f>
        <v>.</v>
      </c>
      <c r="CS201" s="136" t="str">
        <f>IF($D201&lt;&gt;"Feature",".",
IF(VLOOKUP($B201,Feature_List!$A:$AM,MATCH(CS$1,  Feature_List!$A$1:$AM$1,0),0)=AK201,".","NO"))</f>
        <v>.</v>
      </c>
      <c r="CT201" s="136" t="str">
        <f>IF($D201&lt;&gt;"Feature",".",
IF(VLOOKUP($B201,Feature_List!$A:$AM,MATCH(CT$1,  Feature_List!$A$1:$AM$1,0),0)=AL201,".","NO"))</f>
        <v>.</v>
      </c>
      <c r="CU201" s="136" t="str">
        <f>IF($D201&lt;&gt;"Feature",".",
IF(VLOOKUP($B201,Feature_List!$A:$AM,MATCH(CU$1,  Feature_List!$A$1:$AM$1,0),0)=AM201,".","NO"))</f>
        <v>.</v>
      </c>
      <c r="CV201" s="136" t="str">
        <f>IF($D201&lt;&gt;"Feature",".",
IF(VLOOKUP($B201,Feature_List!$A:$AM,MATCH(CV$1,  Feature_List!$A$1:$AM$1,0),0)=AN201,".","NO"))</f>
        <v>.</v>
      </c>
      <c r="CW201" s="136" t="str">
        <f>IF($D201&lt;&gt;"Feature",".",
IF(VLOOKUP($B201,Feature_List!$A:$AM,MATCH(CW$1,  Feature_List!$A$1:$AM$1,0),0)=AO201,".","NO"))</f>
        <v>.</v>
      </c>
      <c r="CX201" s="136" t="str">
        <f>IF($D201&lt;&gt;"Feature",".",
IF(VLOOKUP($B201,Feature_List!$A:$AM,MATCH(CX$1,  Feature_List!$A$1:$AM$1,0),0)=AP201,".","NO"))</f>
        <v>.</v>
      </c>
      <c r="CY201" s="136" t="str">
        <f>IF($D201&lt;&gt;"Feature",".",
IF(VLOOKUP($B201,Feature_List!$A:$AM,MATCH(CY$1,  Feature_List!$A$1:$AM$1,0),0)=AQ201,".","NO"))</f>
        <v>.</v>
      </c>
      <c r="CZ201" s="136" t="str">
        <f>IF($D201&lt;&gt;"Feature",".",
IF(VLOOKUP($B201,Feature_List!$A:$AM,MATCH(CZ$1,  Feature_List!$A$1:$AM$1,0),0)=AR201,".","NO"))</f>
        <v>.</v>
      </c>
      <c r="DA201" s="136" t="str">
        <f>IF($D201&lt;&gt;"Feature",".",
IF(VLOOKUP($B201,Feature_List!$A:$AM,MATCH(DA$1,  Feature_List!$A$1:$AM$1,0),0)=AS201,".","NO"))</f>
        <v>.</v>
      </c>
      <c r="DB201" s="136" t="str">
        <f>IF($D201&lt;&gt;"Feature",".",
IF(VLOOKUP($B201,Feature_List!$A:$AM,MATCH(DB$1,  Feature_List!$A$1:$AM$1,0),0)=AT201,".","NO"))</f>
        <v>.</v>
      </c>
      <c r="DC201" s="136" t="str">
        <f>IF($D201&lt;&gt;"Feature",".",
IF(VLOOKUP($B201,Feature_List!$A:$AM,MATCH(DC$1,  Feature_List!$A$1:$AM$1,0),0)=AU201,".","NO"))</f>
        <v>.</v>
      </c>
      <c r="DD201" s="136" t="str">
        <f>IF($D201&lt;&gt;"Feature",".",
IF(VLOOKUP($B201,Feature_List!$A:$AM,MATCH(DD$1,  Feature_List!$A$1:$AM$1,0),0)=AV201,".","NO"))</f>
        <v>.</v>
      </c>
      <c r="DE201" s="136" t="str">
        <f>IF($D201&lt;&gt;"Feature",".",
IF(VLOOKUP($B201,Feature_List!$A:$AM,MATCH(DE$1,  Feature_List!$A$1:$AM$1,0),0)=AW201,".","NO"))</f>
        <v>.</v>
      </c>
      <c r="DF201" s="136" t="str">
        <f>IF($D201&lt;&gt;"Feature",".",
IF(VLOOKUP($B201,Feature_List!$A:$AM,MATCH(DF$1,  Feature_List!$A$1:$AM$1,0),0)=AX201,".","NO"))</f>
        <v>.</v>
      </c>
      <c r="DG201" s="136" t="str">
        <f>IF($D201&lt;&gt;"Feature",".",
IF(VLOOKUP($B201,Feature_List!$A:$AM,MATCH(DG$1,  Feature_List!$A$1:$AM$1,0),0)=AY201,".","NO"))</f>
        <v>.</v>
      </c>
      <c r="DH201" s="136" t="str">
        <f>IF($D201&lt;&gt;"Feature",".",
IF(VLOOKUP($B201,Feature_List!$A:$AM,MATCH(DH$1,  Feature_List!$A$1:$AM$1,0),0)=AZ201,".","NO"))</f>
        <v>.</v>
      </c>
      <c r="DI201" s="136" t="str">
        <f>IF($D201&lt;&gt;"Feature",".",
IF(VLOOKUP($B201,Feature_List!$A:$AM,MATCH(DI$1,  Feature_List!$A$1:$AM$1,0),0)=BA201,".","NO"))</f>
        <v>.</v>
      </c>
      <c r="DJ201" s="136" t="str">
        <f>IF($D201&lt;&gt;"Feature",".",
IF(VLOOKUP($B201,Feature_List!$A:$AM,MATCH(DJ$1,  Feature_List!$A$1:$AM$1,0),0)=BB201,".","NO"))</f>
        <v>.</v>
      </c>
      <c r="DK201" s="136"/>
      <c r="DL201" s="136"/>
      <c r="DM201" s="136"/>
      <c r="DN201" s="136" t="str">
        <f>IF($D201&lt;&gt;"Feature",".",
IF(VLOOKUP($B201,Feature_List!$A:$AM,MATCH(DN$1,  Feature_List!$A$1:$AM$1,0),0)=BC201,".","NO"))</f>
        <v>.</v>
      </c>
      <c r="DO201" s="136" t="str">
        <f>IF($D201&lt;&gt;"Feature",".",
IF(VLOOKUP($B201,Feature_List!$A:$AM,MATCH(DO$1,  Feature_List!$A$1:$AM$1,0),0)=BD201,".","NO"))</f>
        <v>.</v>
      </c>
    </row>
    <row r="202" spans="2:119" x14ac:dyDescent="0.3">
      <c r="B202" s="121"/>
      <c r="C202" s="123"/>
      <c r="D202" s="122"/>
      <c r="E202" s="122"/>
      <c r="F202" s="123"/>
      <c r="G202" s="123"/>
      <c r="H202" s="122"/>
      <c r="I202" s="124"/>
      <c r="J202" s="123"/>
      <c r="K202" s="123"/>
      <c r="L202" s="122"/>
      <c r="M202" s="122"/>
      <c r="N202" s="122"/>
      <c r="O202" s="123">
        <f t="shared" si="112"/>
        <v>0</v>
      </c>
      <c r="P202" s="123">
        <f t="shared" si="113"/>
        <v>0</v>
      </c>
      <c r="Q202" s="122" t="str">
        <f t="shared" si="135"/>
        <v>ZeroEntry</v>
      </c>
      <c r="R202" s="126" t="str">
        <f t="shared" si="114"/>
        <v>ZeroEntry</v>
      </c>
      <c r="S202" s="127" t="str">
        <f t="shared" si="115"/>
        <v>ZeroEntry</v>
      </c>
      <c r="T202" s="128" t="str">
        <f>IF($Q202="ZeroEntry", "",VLOOKUP($I202,'Ranking Lookup'!#REF!,2,FALSE))</f>
        <v/>
      </c>
      <c r="U202" s="129" t="str">
        <f t="shared" si="116"/>
        <v/>
      </c>
      <c r="V202" s="129" t="str">
        <f t="shared" si="117"/>
        <v/>
      </c>
      <c r="W202" s="129" t="str">
        <f t="shared" si="118"/>
        <v/>
      </c>
      <c r="X202" s="129" t="str">
        <f t="shared" si="119"/>
        <v/>
      </c>
      <c r="Y202" s="129" t="str">
        <f t="shared" si="120"/>
        <v/>
      </c>
      <c r="Z202" s="129" t="str">
        <f t="shared" si="121"/>
        <v/>
      </c>
      <c r="AA202" s="130"/>
      <c r="AB202" s="130" t="str">
        <f t="shared" si="122"/>
        <v>Unassigned</v>
      </c>
      <c r="AC202" s="131" t="str">
        <f t="shared" si="136"/>
        <v/>
      </c>
      <c r="AD202" s="131" t="str">
        <f t="shared" si="137"/>
        <v/>
      </c>
      <c r="AE202" s="132">
        <f t="shared" si="123"/>
        <v>0</v>
      </c>
      <c r="AF202" s="133" t="str">
        <f t="shared" si="138"/>
        <v/>
      </c>
      <c r="AG202" s="134">
        <f t="shared" si="124"/>
        <v>0</v>
      </c>
      <c r="AH202" s="54" t="str">
        <f t="shared" si="125"/>
        <v/>
      </c>
      <c r="AI202" s="54" t="str">
        <f t="shared" si="126"/>
        <v/>
      </c>
      <c r="AJ202" s="54" t="str">
        <f t="shared" si="126"/>
        <v/>
      </c>
      <c r="AK202" s="54" t="str">
        <f t="shared" si="126"/>
        <v/>
      </c>
      <c r="AL202" s="54" t="str">
        <f t="shared" si="126"/>
        <v/>
      </c>
      <c r="AM202" s="54" t="str">
        <f t="shared" si="126"/>
        <v/>
      </c>
      <c r="AN202" s="54" t="str">
        <f t="shared" si="126"/>
        <v/>
      </c>
      <c r="AO202" s="54" t="str">
        <f t="shared" si="126"/>
        <v/>
      </c>
      <c r="AP202" s="54" t="str">
        <f t="shared" si="126"/>
        <v/>
      </c>
      <c r="AQ202" s="54" t="str">
        <f t="shared" si="126"/>
        <v/>
      </c>
      <c r="AR202" s="54" t="str">
        <f t="shared" si="126"/>
        <v/>
      </c>
      <c r="AS202" s="54" t="str">
        <f t="shared" si="126"/>
        <v/>
      </c>
      <c r="AT202" s="54" t="str">
        <f t="shared" si="126"/>
        <v/>
      </c>
      <c r="AU202" s="54" t="str">
        <f t="shared" si="126"/>
        <v/>
      </c>
      <c r="AV202" s="54" t="str">
        <f t="shared" si="126"/>
        <v/>
      </c>
      <c r="AW202" s="54" t="str">
        <f t="shared" si="126"/>
        <v/>
      </c>
      <c r="AX202" s="54" t="str">
        <f t="shared" si="126"/>
        <v/>
      </c>
      <c r="AY202" s="54" t="str">
        <f t="shared" ref="AY202:AY265" si="139">IF(OR($Q202="Feature",BI202="Yes"), SUM(BC202:BE202),"")</f>
        <v/>
      </c>
      <c r="AZ202" s="54" t="str">
        <f t="shared" si="128"/>
        <v/>
      </c>
      <c r="BA202" s="54" t="str">
        <f t="shared" si="129"/>
        <v/>
      </c>
      <c r="BB202" s="135" t="str">
        <f t="shared" si="130"/>
        <v/>
      </c>
      <c r="BC202" s="54" t="str">
        <f t="shared" ref="BC202:BE221" si="140">IF(AND($Q202="Feature",LEFT($AB202,2)="PI"),
IF(AND(COUNTIF($R:$R,$B202)=1,$T202=BC$1), IF($AB202=$A$10,$AF202,0),
IF(OR($AD202&lt;1,RIGHT($G202,8)="Progress"),SUMIFS($O:$O,$R:$R,$B202,$T:$T,BC$1,$P:$P,"&lt;&gt;Done",$AB:$AB,$A$10),
IF($T202=BC$1, IF($AB202=$A$10,$AD202,0)+SUMIFS($O:$O,$R:$R,$B202,$T:$T,BC$1,$P:$P,"&lt;&gt;Done",$AB:$AB,$A$10),SUMIFS($O:$O,$R:$R,$B202,$T:$T,BC$1,$P:$P,"&lt;&gt;Done",$AB:$AB,$A$10)))),
IF(AND(OR($Q202="Story",$Q202="Problem",$Q202="Enhancement"),$AB202=$A$10,$R202=0,$T202=BC$1,$P202&lt;&gt;"Done"),$O202,""))</f>
        <v/>
      </c>
      <c r="BD202" s="54" t="str">
        <f t="shared" si="140"/>
        <v/>
      </c>
      <c r="BE202" s="54" t="str">
        <f t="shared" si="140"/>
        <v/>
      </c>
      <c r="BF202" s="54" t="str">
        <f t="shared" si="131"/>
        <v/>
      </c>
      <c r="BG202" s="54" t="str">
        <f t="shared" si="132"/>
        <v/>
      </c>
      <c r="BH202" s="34" t="str">
        <f t="shared" si="133"/>
        <v>Bad</v>
      </c>
      <c r="BI202" s="34" t="str">
        <f t="shared" si="134"/>
        <v>No</v>
      </c>
      <c r="BJ202" s="136" t="str">
        <f>IF($D202&lt;&gt;"Feature",".",
IF(VLOOKUP($B202,Feature_List!$A:$AM,MATCH(BJ$1,  Feature_List!$A$1:$AM$1,0),0)=B202,".","NO"))</f>
        <v>.</v>
      </c>
      <c r="BK202" s="136"/>
      <c r="BL202" s="136"/>
      <c r="BM202" s="136" t="str">
        <f>IF($D202&lt;&gt;"Feature",".",
IF(VLOOKUP($B202,Feature_List!$A:$AM,MATCH(BM$1,  Feature_List!$A$1:$AM$1,0),0)=E202,".","NO"))</f>
        <v>.</v>
      </c>
      <c r="BN202" s="136" t="str">
        <f>IF($D202&lt;&gt;"Feature",".",
IF(VLOOKUP($B202,Feature_List!$A:$AM,MATCH(BN$1,  Feature_List!$A$1:$AM$1,0),0)=F202,".","NO"))</f>
        <v>.</v>
      </c>
      <c r="BO202" s="136" t="str">
        <f>IF($D202&lt;&gt;"Feature",".",
IF(VLOOKUP($B202,Feature_List!$A:$AM,MATCH(BO$1,  Feature_List!$A$1:$AM$1,0),0)=G202,".","NO"))</f>
        <v>.</v>
      </c>
      <c r="BP202" s="136" t="str">
        <f>IF($D202&lt;&gt;"Feature",".",
IF(VLOOKUP($B202,Feature_List!$A:$AM,MATCH(BP$1,  Feature_List!$A$1:$AM$1,0),0)=H202,".","NO"))</f>
        <v>.</v>
      </c>
      <c r="BQ202" s="136"/>
      <c r="BR202" s="136" t="str">
        <f>IF($D202&lt;&gt;"Feature",".",
IF(VLOOKUP($B202,Feature_List!$A:$AM,MATCH(BR$1,  Feature_List!$A$1:$AM$1,0),0)=J202,".","NO"))</f>
        <v>.</v>
      </c>
      <c r="BS202" s="136"/>
      <c r="BT202" s="136"/>
      <c r="BU202" s="136" t="str">
        <f>IF($D202&lt;&gt;"Feature",".",
IF(VLOOKUP($B202,Feature_List!$A:$AM,MATCH(BU$1,  Feature_List!$A$1:$AM$1,0),0)=M202,".","NO"))</f>
        <v>.</v>
      </c>
      <c r="BV202" s="136" t="str">
        <f>IF($D202&lt;&gt;"Feature",".",
IF(VLOOKUP($B202,Feature_List!$A:$AM,MATCH(BV$1,  Feature_List!$A$1:$AM$1,0),0)=N202,".","NO"))</f>
        <v>.</v>
      </c>
      <c r="BW202" s="136"/>
      <c r="BX202" s="136"/>
      <c r="BY202" s="136"/>
      <c r="BZ202" s="136"/>
      <c r="CA202" s="136"/>
      <c r="CB202" s="136" t="str">
        <f>IF($D202&lt;&gt;"Feature",".",
IF(VLOOKUP($B202,Feature_List!$A:$AM,MATCH(CB$1,  Feature_List!$A$1:$AM$1,0),0)=T202,".","NO"))</f>
        <v>.</v>
      </c>
      <c r="CC202" s="136"/>
      <c r="CD202" s="136"/>
      <c r="CE202" s="136"/>
      <c r="CF202" s="136"/>
      <c r="CG202" s="136"/>
      <c r="CH202" s="136"/>
      <c r="CI202" s="136"/>
      <c r="CJ202" s="136"/>
      <c r="CK202" s="136"/>
      <c r="CL202" s="136"/>
      <c r="CM202" s="136"/>
      <c r="CN202" s="136"/>
      <c r="CO202" s="136" t="str">
        <f>IF($D202&lt;&gt;"Feature",".",
IF(VLOOKUP($B202,Feature_List!$A:$AM,MATCH(CO$1,  Feature_List!$A$1:$AM$1,0),0)=AG202,".","NO"))</f>
        <v>.</v>
      </c>
      <c r="CP202" s="136" t="str">
        <f>IF($D202&lt;&gt;"Feature",".",
IF(VLOOKUP($B202,Feature_List!$A:$AM,MATCH(CP$1,  Feature_List!$A$1:$AM$1,0),0)=AH202,".","NO"))</f>
        <v>.</v>
      </c>
      <c r="CQ202" s="136" t="str">
        <f>IF($D202&lt;&gt;"Feature",".",
IF(VLOOKUP($B202,Feature_List!$A:$AM,MATCH(CQ$1,  Feature_List!$A$1:$AM$1,0),0)=AI202,".","NO"))</f>
        <v>.</v>
      </c>
      <c r="CR202" s="136" t="str">
        <f>IF($D202&lt;&gt;"Feature",".",
IF(VLOOKUP($B202,Feature_List!$A:$AM,MATCH(CR$1,  Feature_List!$A$1:$AM$1,0),0)=AJ202,".","NO"))</f>
        <v>.</v>
      </c>
      <c r="CS202" s="136" t="str">
        <f>IF($D202&lt;&gt;"Feature",".",
IF(VLOOKUP($B202,Feature_List!$A:$AM,MATCH(CS$1,  Feature_List!$A$1:$AM$1,0),0)=AK202,".","NO"))</f>
        <v>.</v>
      </c>
      <c r="CT202" s="136" t="str">
        <f>IF($D202&lt;&gt;"Feature",".",
IF(VLOOKUP($B202,Feature_List!$A:$AM,MATCH(CT$1,  Feature_List!$A$1:$AM$1,0),0)=AL202,".","NO"))</f>
        <v>.</v>
      </c>
      <c r="CU202" s="136" t="str">
        <f>IF($D202&lt;&gt;"Feature",".",
IF(VLOOKUP($B202,Feature_List!$A:$AM,MATCH(CU$1,  Feature_List!$A$1:$AM$1,0),0)=AM202,".","NO"))</f>
        <v>.</v>
      </c>
      <c r="CV202" s="136" t="str">
        <f>IF($D202&lt;&gt;"Feature",".",
IF(VLOOKUP($B202,Feature_List!$A:$AM,MATCH(CV$1,  Feature_List!$A$1:$AM$1,0),0)=AN202,".","NO"))</f>
        <v>.</v>
      </c>
      <c r="CW202" s="136" t="str">
        <f>IF($D202&lt;&gt;"Feature",".",
IF(VLOOKUP($B202,Feature_List!$A:$AM,MATCH(CW$1,  Feature_List!$A$1:$AM$1,0),0)=AO202,".","NO"))</f>
        <v>.</v>
      </c>
      <c r="CX202" s="136" t="str">
        <f>IF($D202&lt;&gt;"Feature",".",
IF(VLOOKUP($B202,Feature_List!$A:$AM,MATCH(CX$1,  Feature_List!$A$1:$AM$1,0),0)=AP202,".","NO"))</f>
        <v>.</v>
      </c>
      <c r="CY202" s="136" t="str">
        <f>IF($D202&lt;&gt;"Feature",".",
IF(VLOOKUP($B202,Feature_List!$A:$AM,MATCH(CY$1,  Feature_List!$A$1:$AM$1,0),0)=AQ202,".","NO"))</f>
        <v>.</v>
      </c>
      <c r="CZ202" s="136" t="str">
        <f>IF($D202&lt;&gt;"Feature",".",
IF(VLOOKUP($B202,Feature_List!$A:$AM,MATCH(CZ$1,  Feature_List!$A$1:$AM$1,0),0)=AR202,".","NO"))</f>
        <v>.</v>
      </c>
      <c r="DA202" s="136" t="str">
        <f>IF($D202&lt;&gt;"Feature",".",
IF(VLOOKUP($B202,Feature_List!$A:$AM,MATCH(DA$1,  Feature_List!$A$1:$AM$1,0),0)=AS202,".","NO"))</f>
        <v>.</v>
      </c>
      <c r="DB202" s="136" t="str">
        <f>IF($D202&lt;&gt;"Feature",".",
IF(VLOOKUP($B202,Feature_List!$A:$AM,MATCH(DB$1,  Feature_List!$A$1:$AM$1,0),0)=AT202,".","NO"))</f>
        <v>.</v>
      </c>
      <c r="DC202" s="136" t="str">
        <f>IF($D202&lt;&gt;"Feature",".",
IF(VLOOKUP($B202,Feature_List!$A:$AM,MATCH(DC$1,  Feature_List!$A$1:$AM$1,0),0)=AU202,".","NO"))</f>
        <v>.</v>
      </c>
      <c r="DD202" s="136" t="str">
        <f>IF($D202&lt;&gt;"Feature",".",
IF(VLOOKUP($B202,Feature_List!$A:$AM,MATCH(DD$1,  Feature_List!$A$1:$AM$1,0),0)=AV202,".","NO"))</f>
        <v>.</v>
      </c>
      <c r="DE202" s="136" t="str">
        <f>IF($D202&lt;&gt;"Feature",".",
IF(VLOOKUP($B202,Feature_List!$A:$AM,MATCH(DE$1,  Feature_List!$A$1:$AM$1,0),0)=AW202,".","NO"))</f>
        <v>.</v>
      </c>
      <c r="DF202" s="136" t="str">
        <f>IF($D202&lt;&gt;"Feature",".",
IF(VLOOKUP($B202,Feature_List!$A:$AM,MATCH(DF$1,  Feature_List!$A$1:$AM$1,0),0)=AX202,".","NO"))</f>
        <v>.</v>
      </c>
      <c r="DG202" s="136" t="str">
        <f>IF($D202&lt;&gt;"Feature",".",
IF(VLOOKUP($B202,Feature_List!$A:$AM,MATCH(DG$1,  Feature_List!$A$1:$AM$1,0),0)=AY202,".","NO"))</f>
        <v>.</v>
      </c>
      <c r="DH202" s="136" t="str">
        <f>IF($D202&lt;&gt;"Feature",".",
IF(VLOOKUP($B202,Feature_List!$A:$AM,MATCH(DH$1,  Feature_List!$A$1:$AM$1,0),0)=AZ202,".","NO"))</f>
        <v>.</v>
      </c>
      <c r="DI202" s="136" t="str">
        <f>IF($D202&lt;&gt;"Feature",".",
IF(VLOOKUP($B202,Feature_List!$A:$AM,MATCH(DI$1,  Feature_List!$A$1:$AM$1,0),0)=BA202,".","NO"))</f>
        <v>.</v>
      </c>
      <c r="DJ202" s="136" t="str">
        <f>IF($D202&lt;&gt;"Feature",".",
IF(VLOOKUP($B202,Feature_List!$A:$AM,MATCH(DJ$1,  Feature_List!$A$1:$AM$1,0),0)=BB202,".","NO"))</f>
        <v>.</v>
      </c>
      <c r="DK202" s="136"/>
      <c r="DL202" s="136"/>
      <c r="DM202" s="136"/>
      <c r="DN202" s="136" t="str">
        <f>IF($D202&lt;&gt;"Feature",".",
IF(VLOOKUP($B202,Feature_List!$A:$AM,MATCH(DN$1,  Feature_List!$A$1:$AM$1,0),0)=BC202,".","NO"))</f>
        <v>.</v>
      </c>
      <c r="DO202" s="136" t="str">
        <f>IF($D202&lt;&gt;"Feature",".",
IF(VLOOKUP($B202,Feature_List!$A:$AM,MATCH(DO$1,  Feature_List!$A$1:$AM$1,0),0)=BD202,".","NO"))</f>
        <v>.</v>
      </c>
    </row>
    <row r="203" spans="2:119" x14ac:dyDescent="0.3">
      <c r="B203" s="121"/>
      <c r="C203" s="122"/>
      <c r="D203" s="122"/>
      <c r="E203" s="122"/>
      <c r="F203" s="123"/>
      <c r="G203" s="123"/>
      <c r="H203" s="122"/>
      <c r="I203" s="124"/>
      <c r="J203" s="123"/>
      <c r="K203" s="123"/>
      <c r="L203" s="122"/>
      <c r="M203" s="122"/>
      <c r="N203" s="122"/>
      <c r="O203" s="123">
        <f t="shared" si="112"/>
        <v>0</v>
      </c>
      <c r="P203" s="123">
        <f t="shared" si="113"/>
        <v>0</v>
      </c>
      <c r="Q203" s="122" t="str">
        <f t="shared" si="135"/>
        <v>ZeroEntry</v>
      </c>
      <c r="R203" s="126" t="str">
        <f t="shared" si="114"/>
        <v>ZeroEntry</v>
      </c>
      <c r="S203" s="127" t="str">
        <f t="shared" si="115"/>
        <v>ZeroEntry</v>
      </c>
      <c r="T203" s="128" t="str">
        <f>IF($Q203="ZeroEntry", "",VLOOKUP($I203,'Ranking Lookup'!#REF!,2,FALSE))</f>
        <v/>
      </c>
      <c r="U203" s="129" t="str">
        <f t="shared" si="116"/>
        <v/>
      </c>
      <c r="V203" s="129" t="str">
        <f t="shared" si="117"/>
        <v/>
      </c>
      <c r="W203" s="129" t="str">
        <f t="shared" si="118"/>
        <v/>
      </c>
      <c r="X203" s="129" t="str">
        <f t="shared" si="119"/>
        <v/>
      </c>
      <c r="Y203" s="129" t="str">
        <f t="shared" si="120"/>
        <v/>
      </c>
      <c r="Z203" s="129" t="str">
        <f t="shared" si="121"/>
        <v/>
      </c>
      <c r="AA203" s="130"/>
      <c r="AB203" s="130" t="str">
        <f t="shared" si="122"/>
        <v>Unassigned</v>
      </c>
      <c r="AC203" s="131" t="str">
        <f t="shared" si="136"/>
        <v/>
      </c>
      <c r="AD203" s="131" t="str">
        <f t="shared" si="137"/>
        <v/>
      </c>
      <c r="AE203" s="132">
        <f t="shared" si="123"/>
        <v>0</v>
      </c>
      <c r="AF203" s="133" t="str">
        <f t="shared" si="138"/>
        <v/>
      </c>
      <c r="AG203" s="134">
        <f t="shared" si="124"/>
        <v>0</v>
      </c>
      <c r="AH203" s="54" t="str">
        <f t="shared" si="125"/>
        <v/>
      </c>
      <c r="AI203" s="54" t="str">
        <f t="shared" si="126"/>
        <v/>
      </c>
      <c r="AJ203" s="54" t="str">
        <f t="shared" si="126"/>
        <v/>
      </c>
      <c r="AK203" s="54" t="str">
        <f t="shared" si="126"/>
        <v/>
      </c>
      <c r="AL203" s="54" t="str">
        <f t="shared" si="126"/>
        <v/>
      </c>
      <c r="AM203" s="54" t="str">
        <f t="shared" si="126"/>
        <v/>
      </c>
      <c r="AN203" s="54" t="str">
        <f t="shared" si="126"/>
        <v/>
      </c>
      <c r="AO203" s="54" t="str">
        <f t="shared" si="126"/>
        <v/>
      </c>
      <c r="AP203" s="54" t="str">
        <f t="shared" si="126"/>
        <v/>
      </c>
      <c r="AQ203" s="54" t="str">
        <f t="shared" si="126"/>
        <v/>
      </c>
      <c r="AR203" s="54" t="str">
        <f t="shared" si="126"/>
        <v/>
      </c>
      <c r="AS203" s="54" t="str">
        <f t="shared" si="126"/>
        <v/>
      </c>
      <c r="AT203" s="54" t="str">
        <f t="shared" si="126"/>
        <v/>
      </c>
      <c r="AU203" s="54" t="str">
        <f t="shared" si="126"/>
        <v/>
      </c>
      <c r="AV203" s="54" t="str">
        <f t="shared" si="126"/>
        <v/>
      </c>
      <c r="AW203" s="54" t="str">
        <f t="shared" si="126"/>
        <v/>
      </c>
      <c r="AX203" s="54" t="str">
        <f t="shared" si="126"/>
        <v/>
      </c>
      <c r="AY203" s="54" t="str">
        <f t="shared" si="139"/>
        <v/>
      </c>
      <c r="AZ203" s="54" t="str">
        <f t="shared" si="128"/>
        <v/>
      </c>
      <c r="BA203" s="54" t="str">
        <f t="shared" si="129"/>
        <v/>
      </c>
      <c r="BB203" s="135" t="str">
        <f t="shared" si="130"/>
        <v/>
      </c>
      <c r="BC203" s="54" t="str">
        <f t="shared" si="140"/>
        <v/>
      </c>
      <c r="BD203" s="54" t="str">
        <f t="shared" si="140"/>
        <v/>
      </c>
      <c r="BE203" s="54" t="str">
        <f t="shared" si="140"/>
        <v/>
      </c>
      <c r="BF203" s="54" t="str">
        <f t="shared" si="131"/>
        <v/>
      </c>
      <c r="BG203" s="54" t="str">
        <f t="shared" si="132"/>
        <v/>
      </c>
      <c r="BH203" s="34" t="str">
        <f t="shared" si="133"/>
        <v>Bad</v>
      </c>
      <c r="BI203" s="34" t="str">
        <f t="shared" si="134"/>
        <v>No</v>
      </c>
      <c r="BJ203" s="136" t="str">
        <f>IF($D203&lt;&gt;"Feature",".",
IF(VLOOKUP($B203,Feature_List!$A:$AM,MATCH(BJ$1,  Feature_List!$A$1:$AM$1,0),0)=B203,".","NO"))</f>
        <v>.</v>
      </c>
      <c r="BK203" s="136"/>
      <c r="BL203" s="136"/>
      <c r="BM203" s="136" t="str">
        <f>IF($D203&lt;&gt;"Feature",".",
IF(VLOOKUP($B203,Feature_List!$A:$AM,MATCH(BM$1,  Feature_List!$A$1:$AM$1,0),0)=E203,".","NO"))</f>
        <v>.</v>
      </c>
      <c r="BN203" s="136" t="str">
        <f>IF($D203&lt;&gt;"Feature",".",
IF(VLOOKUP($B203,Feature_List!$A:$AM,MATCH(BN$1,  Feature_List!$A$1:$AM$1,0),0)=F203,".","NO"))</f>
        <v>.</v>
      </c>
      <c r="BO203" s="136" t="str">
        <f>IF($D203&lt;&gt;"Feature",".",
IF(VLOOKUP($B203,Feature_List!$A:$AM,MATCH(BO$1,  Feature_List!$A$1:$AM$1,0),0)=G203,".","NO"))</f>
        <v>.</v>
      </c>
      <c r="BP203" s="136" t="str">
        <f>IF($D203&lt;&gt;"Feature",".",
IF(VLOOKUP($B203,Feature_List!$A:$AM,MATCH(BP$1,  Feature_List!$A$1:$AM$1,0),0)=H203,".","NO"))</f>
        <v>.</v>
      </c>
      <c r="BQ203" s="136"/>
      <c r="BR203" s="136" t="str">
        <f>IF($D203&lt;&gt;"Feature",".",
IF(VLOOKUP($B203,Feature_List!$A:$AM,MATCH(BR$1,  Feature_List!$A$1:$AM$1,0),0)=J203,".","NO"))</f>
        <v>.</v>
      </c>
      <c r="BS203" s="136"/>
      <c r="BT203" s="136"/>
      <c r="BU203" s="136" t="str">
        <f>IF($D203&lt;&gt;"Feature",".",
IF(VLOOKUP($B203,Feature_List!$A:$AM,MATCH(BU$1,  Feature_List!$A$1:$AM$1,0),0)=M203,".","NO"))</f>
        <v>.</v>
      </c>
      <c r="BV203" s="136" t="str">
        <f>IF($D203&lt;&gt;"Feature",".",
IF(VLOOKUP($B203,Feature_List!$A:$AM,MATCH(BV$1,  Feature_List!$A$1:$AM$1,0),0)=N203,".","NO"))</f>
        <v>.</v>
      </c>
      <c r="BW203" s="136"/>
      <c r="BX203" s="136"/>
      <c r="BY203" s="136"/>
      <c r="BZ203" s="136"/>
      <c r="CA203" s="136"/>
      <c r="CB203" s="136" t="str">
        <f>IF($D203&lt;&gt;"Feature",".",
IF(VLOOKUP($B203,Feature_List!$A:$AM,MATCH(CB$1,  Feature_List!$A$1:$AM$1,0),0)=T203,".","NO"))</f>
        <v>.</v>
      </c>
      <c r="CC203" s="136"/>
      <c r="CD203" s="136"/>
      <c r="CE203" s="136"/>
      <c r="CF203" s="136"/>
      <c r="CG203" s="136"/>
      <c r="CH203" s="136"/>
      <c r="CI203" s="136"/>
      <c r="CJ203" s="136"/>
      <c r="CK203" s="136"/>
      <c r="CL203" s="136"/>
      <c r="CM203" s="136"/>
      <c r="CN203" s="136"/>
      <c r="CO203" s="136" t="str">
        <f>IF($D203&lt;&gt;"Feature",".",
IF(VLOOKUP($B203,Feature_List!$A:$AM,MATCH(CO$1,  Feature_List!$A$1:$AM$1,0),0)=AG203,".","NO"))</f>
        <v>.</v>
      </c>
      <c r="CP203" s="136" t="str">
        <f>IF($D203&lt;&gt;"Feature",".",
IF(VLOOKUP($B203,Feature_List!$A:$AM,MATCH(CP$1,  Feature_List!$A$1:$AM$1,0),0)=AH203,".","NO"))</f>
        <v>.</v>
      </c>
      <c r="CQ203" s="136" t="str">
        <f>IF($D203&lt;&gt;"Feature",".",
IF(VLOOKUP($B203,Feature_List!$A:$AM,MATCH(CQ$1,  Feature_List!$A$1:$AM$1,0),0)=AI203,".","NO"))</f>
        <v>.</v>
      </c>
      <c r="CR203" s="136" t="str">
        <f>IF($D203&lt;&gt;"Feature",".",
IF(VLOOKUP($B203,Feature_List!$A:$AM,MATCH(CR$1,  Feature_List!$A$1:$AM$1,0),0)=AJ203,".","NO"))</f>
        <v>.</v>
      </c>
      <c r="CS203" s="136" t="str">
        <f>IF($D203&lt;&gt;"Feature",".",
IF(VLOOKUP($B203,Feature_List!$A:$AM,MATCH(CS$1,  Feature_List!$A$1:$AM$1,0),0)=AK203,".","NO"))</f>
        <v>.</v>
      </c>
      <c r="CT203" s="136" t="str">
        <f>IF($D203&lt;&gt;"Feature",".",
IF(VLOOKUP($B203,Feature_List!$A:$AM,MATCH(CT$1,  Feature_List!$A$1:$AM$1,0),0)=AL203,".","NO"))</f>
        <v>.</v>
      </c>
      <c r="CU203" s="136" t="str">
        <f>IF($D203&lt;&gt;"Feature",".",
IF(VLOOKUP($B203,Feature_List!$A:$AM,MATCH(CU$1,  Feature_List!$A$1:$AM$1,0),0)=AM203,".","NO"))</f>
        <v>.</v>
      </c>
      <c r="CV203" s="136" t="str">
        <f>IF($D203&lt;&gt;"Feature",".",
IF(VLOOKUP($B203,Feature_List!$A:$AM,MATCH(CV$1,  Feature_List!$A$1:$AM$1,0),0)=AN203,".","NO"))</f>
        <v>.</v>
      </c>
      <c r="CW203" s="136" t="str">
        <f>IF($D203&lt;&gt;"Feature",".",
IF(VLOOKUP($B203,Feature_List!$A:$AM,MATCH(CW$1,  Feature_List!$A$1:$AM$1,0),0)=AO203,".","NO"))</f>
        <v>.</v>
      </c>
      <c r="CX203" s="136" t="str">
        <f>IF($D203&lt;&gt;"Feature",".",
IF(VLOOKUP($B203,Feature_List!$A:$AM,MATCH(CX$1,  Feature_List!$A$1:$AM$1,0),0)=AP203,".","NO"))</f>
        <v>.</v>
      </c>
      <c r="CY203" s="136" t="str">
        <f>IF($D203&lt;&gt;"Feature",".",
IF(VLOOKUP($B203,Feature_List!$A:$AM,MATCH(CY$1,  Feature_List!$A$1:$AM$1,0),0)=AQ203,".","NO"))</f>
        <v>.</v>
      </c>
      <c r="CZ203" s="136" t="str">
        <f>IF($D203&lt;&gt;"Feature",".",
IF(VLOOKUP($B203,Feature_List!$A:$AM,MATCH(CZ$1,  Feature_List!$A$1:$AM$1,0),0)=AR203,".","NO"))</f>
        <v>.</v>
      </c>
      <c r="DA203" s="136" t="str">
        <f>IF($D203&lt;&gt;"Feature",".",
IF(VLOOKUP($B203,Feature_List!$A:$AM,MATCH(DA$1,  Feature_List!$A$1:$AM$1,0),0)=AS203,".","NO"))</f>
        <v>.</v>
      </c>
      <c r="DB203" s="136" t="str">
        <f>IF($D203&lt;&gt;"Feature",".",
IF(VLOOKUP($B203,Feature_List!$A:$AM,MATCH(DB$1,  Feature_List!$A$1:$AM$1,0),0)=AT203,".","NO"))</f>
        <v>.</v>
      </c>
      <c r="DC203" s="136" t="str">
        <f>IF($D203&lt;&gt;"Feature",".",
IF(VLOOKUP($B203,Feature_List!$A:$AM,MATCH(DC$1,  Feature_List!$A$1:$AM$1,0),0)=AU203,".","NO"))</f>
        <v>.</v>
      </c>
      <c r="DD203" s="136" t="str">
        <f>IF($D203&lt;&gt;"Feature",".",
IF(VLOOKUP($B203,Feature_List!$A:$AM,MATCH(DD$1,  Feature_List!$A$1:$AM$1,0),0)=AV203,".","NO"))</f>
        <v>.</v>
      </c>
      <c r="DE203" s="136" t="str">
        <f>IF($D203&lt;&gt;"Feature",".",
IF(VLOOKUP($B203,Feature_List!$A:$AM,MATCH(DE$1,  Feature_List!$A$1:$AM$1,0),0)=AW203,".","NO"))</f>
        <v>.</v>
      </c>
      <c r="DF203" s="136" t="str">
        <f>IF($D203&lt;&gt;"Feature",".",
IF(VLOOKUP($B203,Feature_List!$A:$AM,MATCH(DF$1,  Feature_List!$A$1:$AM$1,0),0)=AX203,".","NO"))</f>
        <v>.</v>
      </c>
      <c r="DG203" s="136" t="str">
        <f>IF($D203&lt;&gt;"Feature",".",
IF(VLOOKUP($B203,Feature_List!$A:$AM,MATCH(DG$1,  Feature_List!$A$1:$AM$1,0),0)=AY203,".","NO"))</f>
        <v>.</v>
      </c>
      <c r="DH203" s="136" t="str">
        <f>IF($D203&lt;&gt;"Feature",".",
IF(VLOOKUP($B203,Feature_List!$A:$AM,MATCH(DH$1,  Feature_List!$A$1:$AM$1,0),0)=AZ203,".","NO"))</f>
        <v>.</v>
      </c>
      <c r="DI203" s="136" t="str">
        <f>IF($D203&lt;&gt;"Feature",".",
IF(VLOOKUP($B203,Feature_List!$A:$AM,MATCH(DI$1,  Feature_List!$A$1:$AM$1,0),0)=BA203,".","NO"))</f>
        <v>.</v>
      </c>
      <c r="DJ203" s="136" t="str">
        <f>IF($D203&lt;&gt;"Feature",".",
IF(VLOOKUP($B203,Feature_List!$A:$AM,MATCH(DJ$1,  Feature_List!$A$1:$AM$1,0),0)=BB203,".","NO"))</f>
        <v>.</v>
      </c>
      <c r="DK203" s="136"/>
      <c r="DL203" s="136"/>
      <c r="DM203" s="136"/>
      <c r="DN203" s="136" t="str">
        <f>IF($D203&lt;&gt;"Feature",".",
IF(VLOOKUP($B203,Feature_List!$A:$AM,MATCH(DN$1,  Feature_List!$A$1:$AM$1,0),0)=BC203,".","NO"))</f>
        <v>.</v>
      </c>
      <c r="DO203" s="136" t="str">
        <f>IF($D203&lt;&gt;"Feature",".",
IF(VLOOKUP($B203,Feature_List!$A:$AM,MATCH(DO$1,  Feature_List!$A$1:$AM$1,0),0)=BD203,".","NO"))</f>
        <v>.</v>
      </c>
    </row>
    <row r="204" spans="2:119" x14ac:dyDescent="0.3">
      <c r="B204" s="121"/>
      <c r="C204" s="122"/>
      <c r="D204" s="122"/>
      <c r="E204" s="122"/>
      <c r="F204" s="123"/>
      <c r="G204" s="123"/>
      <c r="H204" s="122"/>
      <c r="I204" s="124"/>
      <c r="J204" s="123"/>
      <c r="K204" s="123"/>
      <c r="L204" s="122"/>
      <c r="M204" s="122"/>
      <c r="N204" s="122"/>
      <c r="O204" s="123">
        <f t="shared" si="112"/>
        <v>0</v>
      </c>
      <c r="P204" s="123">
        <f t="shared" si="113"/>
        <v>0</v>
      </c>
      <c r="Q204" s="122" t="str">
        <f t="shared" si="135"/>
        <v>ZeroEntry</v>
      </c>
      <c r="R204" s="126" t="str">
        <f t="shared" si="114"/>
        <v>ZeroEntry</v>
      </c>
      <c r="S204" s="127" t="str">
        <f t="shared" si="115"/>
        <v>ZeroEntry</v>
      </c>
      <c r="T204" s="128" t="str">
        <f>IF($Q204="ZeroEntry", "",VLOOKUP($I204,'Ranking Lookup'!#REF!,2,FALSE))</f>
        <v/>
      </c>
      <c r="U204" s="129" t="str">
        <f t="shared" si="116"/>
        <v/>
      </c>
      <c r="V204" s="129" t="str">
        <f t="shared" si="117"/>
        <v/>
      </c>
      <c r="W204" s="129" t="str">
        <f t="shared" si="118"/>
        <v/>
      </c>
      <c r="X204" s="129" t="str">
        <f t="shared" si="119"/>
        <v/>
      </c>
      <c r="Y204" s="129" t="str">
        <f t="shared" si="120"/>
        <v/>
      </c>
      <c r="Z204" s="129" t="str">
        <f t="shared" si="121"/>
        <v/>
      </c>
      <c r="AA204" s="130"/>
      <c r="AB204" s="130" t="str">
        <f t="shared" si="122"/>
        <v>Unassigned</v>
      </c>
      <c r="AC204" s="131" t="str">
        <f t="shared" si="136"/>
        <v/>
      </c>
      <c r="AD204" s="131" t="str">
        <f t="shared" si="137"/>
        <v/>
      </c>
      <c r="AE204" s="132">
        <f t="shared" si="123"/>
        <v>0</v>
      </c>
      <c r="AF204" s="133" t="str">
        <f t="shared" si="138"/>
        <v/>
      </c>
      <c r="AG204" s="134">
        <f t="shared" si="124"/>
        <v>0</v>
      </c>
      <c r="AH204" s="54" t="str">
        <f t="shared" si="125"/>
        <v/>
      </c>
      <c r="AI204" s="54" t="str">
        <f t="shared" si="126"/>
        <v/>
      </c>
      <c r="AJ204" s="54" t="str">
        <f t="shared" si="126"/>
        <v/>
      </c>
      <c r="AK204" s="54" t="str">
        <f t="shared" si="126"/>
        <v/>
      </c>
      <c r="AL204" s="54" t="str">
        <f t="shared" si="126"/>
        <v/>
      </c>
      <c r="AM204" s="54" t="str">
        <f t="shared" si="126"/>
        <v/>
      </c>
      <c r="AN204" s="54" t="str">
        <f t="shared" si="126"/>
        <v/>
      </c>
      <c r="AO204" s="54" t="str">
        <f t="shared" si="126"/>
        <v/>
      </c>
      <c r="AP204" s="54" t="str">
        <f t="shared" si="126"/>
        <v/>
      </c>
      <c r="AQ204" s="54" t="str">
        <f t="shared" si="126"/>
        <v/>
      </c>
      <c r="AR204" s="54" t="str">
        <f t="shared" si="126"/>
        <v/>
      </c>
      <c r="AS204" s="54" t="str">
        <f t="shared" si="126"/>
        <v/>
      </c>
      <c r="AT204" s="54" t="str">
        <f t="shared" si="126"/>
        <v/>
      </c>
      <c r="AU204" s="54" t="str">
        <f t="shared" si="126"/>
        <v/>
      </c>
      <c r="AV204" s="54" t="str">
        <f t="shared" si="126"/>
        <v/>
      </c>
      <c r="AW204" s="54" t="str">
        <f t="shared" si="126"/>
        <v/>
      </c>
      <c r="AX204" s="54" t="str">
        <f t="shared" si="126"/>
        <v/>
      </c>
      <c r="AY204" s="54" t="str">
        <f t="shared" si="139"/>
        <v/>
      </c>
      <c r="AZ204" s="54" t="str">
        <f t="shared" si="128"/>
        <v/>
      </c>
      <c r="BA204" s="54" t="str">
        <f t="shared" si="129"/>
        <v/>
      </c>
      <c r="BB204" s="135" t="str">
        <f t="shared" si="130"/>
        <v/>
      </c>
      <c r="BC204" s="54" t="str">
        <f t="shared" si="140"/>
        <v/>
      </c>
      <c r="BD204" s="54" t="str">
        <f t="shared" si="140"/>
        <v/>
      </c>
      <c r="BE204" s="54" t="str">
        <f t="shared" si="140"/>
        <v/>
      </c>
      <c r="BF204" s="54" t="str">
        <f t="shared" si="131"/>
        <v/>
      </c>
      <c r="BG204" s="54" t="str">
        <f t="shared" si="132"/>
        <v/>
      </c>
      <c r="BH204" s="34" t="str">
        <f t="shared" si="133"/>
        <v>Bad</v>
      </c>
      <c r="BI204" s="34" t="str">
        <f t="shared" si="134"/>
        <v>No</v>
      </c>
      <c r="BJ204" s="136" t="str">
        <f>IF($D204&lt;&gt;"Feature",".",
IF(VLOOKUP($B204,Feature_List!$A:$AM,MATCH(BJ$1,  Feature_List!$A$1:$AM$1,0),0)=B204,".","NO"))</f>
        <v>.</v>
      </c>
      <c r="BK204" s="136"/>
      <c r="BL204" s="136"/>
      <c r="BM204" s="136" t="str">
        <f>IF($D204&lt;&gt;"Feature",".",
IF(VLOOKUP($B204,Feature_List!$A:$AM,MATCH(BM$1,  Feature_List!$A$1:$AM$1,0),0)=E204,".","NO"))</f>
        <v>.</v>
      </c>
      <c r="BN204" s="136" t="str">
        <f>IF($D204&lt;&gt;"Feature",".",
IF(VLOOKUP($B204,Feature_List!$A:$AM,MATCH(BN$1,  Feature_List!$A$1:$AM$1,0),0)=F204,".","NO"))</f>
        <v>.</v>
      </c>
      <c r="BO204" s="136" t="str">
        <f>IF($D204&lt;&gt;"Feature",".",
IF(VLOOKUP($B204,Feature_List!$A:$AM,MATCH(BO$1,  Feature_List!$A$1:$AM$1,0),0)=G204,".","NO"))</f>
        <v>.</v>
      </c>
      <c r="BP204" s="136" t="str">
        <f>IF($D204&lt;&gt;"Feature",".",
IF(VLOOKUP($B204,Feature_List!$A:$AM,MATCH(BP$1,  Feature_List!$A$1:$AM$1,0),0)=H204,".","NO"))</f>
        <v>.</v>
      </c>
      <c r="BQ204" s="136"/>
      <c r="BR204" s="136" t="str">
        <f>IF($D204&lt;&gt;"Feature",".",
IF(VLOOKUP($B204,Feature_List!$A:$AM,MATCH(BR$1,  Feature_List!$A$1:$AM$1,0),0)=J204,".","NO"))</f>
        <v>.</v>
      </c>
      <c r="BS204" s="136"/>
      <c r="BT204" s="136"/>
      <c r="BU204" s="136" t="str">
        <f>IF($D204&lt;&gt;"Feature",".",
IF(VLOOKUP($B204,Feature_List!$A:$AM,MATCH(BU$1,  Feature_List!$A$1:$AM$1,0),0)=M204,".","NO"))</f>
        <v>.</v>
      </c>
      <c r="BV204" s="136" t="str">
        <f>IF($D204&lt;&gt;"Feature",".",
IF(VLOOKUP($B204,Feature_List!$A:$AM,MATCH(BV$1,  Feature_List!$A$1:$AM$1,0),0)=N204,".","NO"))</f>
        <v>.</v>
      </c>
      <c r="BW204" s="136"/>
      <c r="BX204" s="136"/>
      <c r="BY204" s="136"/>
      <c r="BZ204" s="136"/>
      <c r="CA204" s="136"/>
      <c r="CB204" s="136" t="str">
        <f>IF($D204&lt;&gt;"Feature",".",
IF(VLOOKUP($B204,Feature_List!$A:$AM,MATCH(CB$1,  Feature_List!$A$1:$AM$1,0),0)=T204,".","NO"))</f>
        <v>.</v>
      </c>
      <c r="CC204" s="136"/>
      <c r="CD204" s="136"/>
      <c r="CE204" s="136"/>
      <c r="CF204" s="136"/>
      <c r="CG204" s="136"/>
      <c r="CH204" s="136"/>
      <c r="CI204" s="136"/>
      <c r="CJ204" s="136"/>
      <c r="CK204" s="136"/>
      <c r="CL204" s="136"/>
      <c r="CM204" s="136"/>
      <c r="CN204" s="136"/>
      <c r="CO204" s="136" t="str">
        <f>IF($D204&lt;&gt;"Feature",".",
IF(VLOOKUP($B204,Feature_List!$A:$AM,MATCH(CO$1,  Feature_List!$A$1:$AM$1,0),0)=AG204,".","NO"))</f>
        <v>.</v>
      </c>
      <c r="CP204" s="136" t="str">
        <f>IF($D204&lt;&gt;"Feature",".",
IF(VLOOKUP($B204,Feature_List!$A:$AM,MATCH(CP$1,  Feature_List!$A$1:$AM$1,0),0)=AH204,".","NO"))</f>
        <v>.</v>
      </c>
      <c r="CQ204" s="136" t="str">
        <f>IF($D204&lt;&gt;"Feature",".",
IF(VLOOKUP($B204,Feature_List!$A:$AM,MATCH(CQ$1,  Feature_List!$A$1:$AM$1,0),0)=AI204,".","NO"))</f>
        <v>.</v>
      </c>
      <c r="CR204" s="136" t="str">
        <f>IF($D204&lt;&gt;"Feature",".",
IF(VLOOKUP($B204,Feature_List!$A:$AM,MATCH(CR$1,  Feature_List!$A$1:$AM$1,0),0)=AJ204,".","NO"))</f>
        <v>.</v>
      </c>
      <c r="CS204" s="136" t="str">
        <f>IF($D204&lt;&gt;"Feature",".",
IF(VLOOKUP($B204,Feature_List!$A:$AM,MATCH(CS$1,  Feature_List!$A$1:$AM$1,0),0)=AK204,".","NO"))</f>
        <v>.</v>
      </c>
      <c r="CT204" s="136" t="str">
        <f>IF($D204&lt;&gt;"Feature",".",
IF(VLOOKUP($B204,Feature_List!$A:$AM,MATCH(CT$1,  Feature_List!$A$1:$AM$1,0),0)=AL204,".","NO"))</f>
        <v>.</v>
      </c>
      <c r="CU204" s="136" t="str">
        <f>IF($D204&lt;&gt;"Feature",".",
IF(VLOOKUP($B204,Feature_List!$A:$AM,MATCH(CU$1,  Feature_List!$A$1:$AM$1,0),0)=AM204,".","NO"))</f>
        <v>.</v>
      </c>
      <c r="CV204" s="136" t="str">
        <f>IF($D204&lt;&gt;"Feature",".",
IF(VLOOKUP($B204,Feature_List!$A:$AM,MATCH(CV$1,  Feature_List!$A$1:$AM$1,0),0)=AN204,".","NO"))</f>
        <v>.</v>
      </c>
      <c r="CW204" s="136" t="str">
        <f>IF($D204&lt;&gt;"Feature",".",
IF(VLOOKUP($B204,Feature_List!$A:$AM,MATCH(CW$1,  Feature_List!$A$1:$AM$1,0),0)=AO204,".","NO"))</f>
        <v>.</v>
      </c>
      <c r="CX204" s="136" t="str">
        <f>IF($D204&lt;&gt;"Feature",".",
IF(VLOOKUP($B204,Feature_List!$A:$AM,MATCH(CX$1,  Feature_List!$A$1:$AM$1,0),0)=AP204,".","NO"))</f>
        <v>.</v>
      </c>
      <c r="CY204" s="136" t="str">
        <f>IF($D204&lt;&gt;"Feature",".",
IF(VLOOKUP($B204,Feature_List!$A:$AM,MATCH(CY$1,  Feature_List!$A$1:$AM$1,0),0)=AQ204,".","NO"))</f>
        <v>.</v>
      </c>
      <c r="CZ204" s="136" t="str">
        <f>IF($D204&lt;&gt;"Feature",".",
IF(VLOOKUP($B204,Feature_List!$A:$AM,MATCH(CZ$1,  Feature_List!$A$1:$AM$1,0),0)=AR204,".","NO"))</f>
        <v>.</v>
      </c>
      <c r="DA204" s="136" t="str">
        <f>IF($D204&lt;&gt;"Feature",".",
IF(VLOOKUP($B204,Feature_List!$A:$AM,MATCH(DA$1,  Feature_List!$A$1:$AM$1,0),0)=AS204,".","NO"))</f>
        <v>.</v>
      </c>
      <c r="DB204" s="136" t="str">
        <f>IF($D204&lt;&gt;"Feature",".",
IF(VLOOKUP($B204,Feature_List!$A:$AM,MATCH(DB$1,  Feature_List!$A$1:$AM$1,0),0)=AT204,".","NO"))</f>
        <v>.</v>
      </c>
      <c r="DC204" s="136" t="str">
        <f>IF($D204&lt;&gt;"Feature",".",
IF(VLOOKUP($B204,Feature_List!$A:$AM,MATCH(DC$1,  Feature_List!$A$1:$AM$1,0),0)=AU204,".","NO"))</f>
        <v>.</v>
      </c>
      <c r="DD204" s="136" t="str">
        <f>IF($D204&lt;&gt;"Feature",".",
IF(VLOOKUP($B204,Feature_List!$A:$AM,MATCH(DD$1,  Feature_List!$A$1:$AM$1,0),0)=AV204,".","NO"))</f>
        <v>.</v>
      </c>
      <c r="DE204" s="136" t="str">
        <f>IF($D204&lt;&gt;"Feature",".",
IF(VLOOKUP($B204,Feature_List!$A:$AM,MATCH(DE$1,  Feature_List!$A$1:$AM$1,0),0)=AW204,".","NO"))</f>
        <v>.</v>
      </c>
      <c r="DF204" s="136" t="str">
        <f>IF($D204&lt;&gt;"Feature",".",
IF(VLOOKUP($B204,Feature_List!$A:$AM,MATCH(DF$1,  Feature_List!$A$1:$AM$1,0),0)=AX204,".","NO"))</f>
        <v>.</v>
      </c>
      <c r="DG204" s="136" t="str">
        <f>IF($D204&lt;&gt;"Feature",".",
IF(VLOOKUP($B204,Feature_List!$A:$AM,MATCH(DG$1,  Feature_List!$A$1:$AM$1,0),0)=AY204,".","NO"))</f>
        <v>.</v>
      </c>
      <c r="DH204" s="136" t="str">
        <f>IF($D204&lt;&gt;"Feature",".",
IF(VLOOKUP($B204,Feature_List!$A:$AM,MATCH(DH$1,  Feature_List!$A$1:$AM$1,0),0)=AZ204,".","NO"))</f>
        <v>.</v>
      </c>
      <c r="DI204" s="136" t="str">
        <f>IF($D204&lt;&gt;"Feature",".",
IF(VLOOKUP($B204,Feature_List!$A:$AM,MATCH(DI$1,  Feature_List!$A$1:$AM$1,0),0)=BA204,".","NO"))</f>
        <v>.</v>
      </c>
      <c r="DJ204" s="136" t="str">
        <f>IF($D204&lt;&gt;"Feature",".",
IF(VLOOKUP($B204,Feature_List!$A:$AM,MATCH(DJ$1,  Feature_List!$A$1:$AM$1,0),0)=BB204,".","NO"))</f>
        <v>.</v>
      </c>
      <c r="DK204" s="136"/>
      <c r="DL204" s="136"/>
      <c r="DM204" s="136"/>
      <c r="DN204" s="136" t="str">
        <f>IF($D204&lt;&gt;"Feature",".",
IF(VLOOKUP($B204,Feature_List!$A:$AM,MATCH(DN$1,  Feature_List!$A$1:$AM$1,0),0)=BC204,".","NO"))</f>
        <v>.</v>
      </c>
      <c r="DO204" s="136" t="str">
        <f>IF($D204&lt;&gt;"Feature",".",
IF(VLOOKUP($B204,Feature_List!$A:$AM,MATCH(DO$1,  Feature_List!$A$1:$AM$1,0),0)=BD204,".","NO"))</f>
        <v>.</v>
      </c>
    </row>
    <row r="205" spans="2:119" x14ac:dyDescent="0.3">
      <c r="B205" s="121"/>
      <c r="C205" s="122"/>
      <c r="D205" s="122"/>
      <c r="E205" s="122"/>
      <c r="F205" s="123"/>
      <c r="G205" s="123"/>
      <c r="H205" s="122"/>
      <c r="I205" s="124"/>
      <c r="J205" s="123"/>
      <c r="K205" s="123"/>
      <c r="L205" s="122"/>
      <c r="M205" s="122"/>
      <c r="N205" s="122"/>
      <c r="O205" s="123">
        <f t="shared" si="112"/>
        <v>0</v>
      </c>
      <c r="P205" s="123">
        <f t="shared" si="113"/>
        <v>0</v>
      </c>
      <c r="Q205" s="122" t="str">
        <f t="shared" si="135"/>
        <v>ZeroEntry</v>
      </c>
      <c r="R205" s="126" t="str">
        <f t="shared" si="114"/>
        <v>ZeroEntry</v>
      </c>
      <c r="S205" s="127" t="str">
        <f t="shared" si="115"/>
        <v>ZeroEntry</v>
      </c>
      <c r="T205" s="128" t="str">
        <f>IF($Q205="ZeroEntry", "",VLOOKUP($I205,'Ranking Lookup'!#REF!,2,FALSE))</f>
        <v/>
      </c>
      <c r="U205" s="129" t="str">
        <f t="shared" si="116"/>
        <v/>
      </c>
      <c r="V205" s="129" t="str">
        <f t="shared" si="117"/>
        <v/>
      </c>
      <c r="W205" s="129" t="str">
        <f t="shared" si="118"/>
        <v/>
      </c>
      <c r="X205" s="129" t="str">
        <f t="shared" si="119"/>
        <v/>
      </c>
      <c r="Y205" s="129" t="str">
        <f t="shared" si="120"/>
        <v/>
      </c>
      <c r="Z205" s="129" t="str">
        <f t="shared" si="121"/>
        <v/>
      </c>
      <c r="AA205" s="130"/>
      <c r="AB205" s="130" t="str">
        <f t="shared" si="122"/>
        <v>Unassigned</v>
      </c>
      <c r="AC205" s="131" t="str">
        <f t="shared" si="136"/>
        <v/>
      </c>
      <c r="AD205" s="131" t="str">
        <f t="shared" si="137"/>
        <v/>
      </c>
      <c r="AE205" s="132">
        <f t="shared" si="123"/>
        <v>0</v>
      </c>
      <c r="AF205" s="133" t="str">
        <f t="shared" si="138"/>
        <v/>
      </c>
      <c r="AG205" s="134">
        <f t="shared" si="124"/>
        <v>0</v>
      </c>
      <c r="AH205" s="54" t="str">
        <f t="shared" si="125"/>
        <v/>
      </c>
      <c r="AI205" s="54" t="str">
        <f t="shared" si="126"/>
        <v/>
      </c>
      <c r="AJ205" s="54" t="str">
        <f t="shared" si="126"/>
        <v/>
      </c>
      <c r="AK205" s="54" t="str">
        <f t="shared" si="126"/>
        <v/>
      </c>
      <c r="AL205" s="54" t="str">
        <f t="shared" si="126"/>
        <v/>
      </c>
      <c r="AM205" s="54" t="str">
        <f t="shared" si="126"/>
        <v/>
      </c>
      <c r="AN205" s="54" t="str">
        <f t="shared" si="126"/>
        <v/>
      </c>
      <c r="AO205" s="54" t="str">
        <f t="shared" si="126"/>
        <v/>
      </c>
      <c r="AP205" s="54" t="str">
        <f t="shared" si="126"/>
        <v/>
      </c>
      <c r="AQ205" s="54" t="str">
        <f t="shared" si="126"/>
        <v/>
      </c>
      <c r="AR205" s="54" t="str">
        <f t="shared" si="126"/>
        <v/>
      </c>
      <c r="AS205" s="54" t="str">
        <f t="shared" si="126"/>
        <v/>
      </c>
      <c r="AT205" s="54" t="str">
        <f t="shared" si="126"/>
        <v/>
      </c>
      <c r="AU205" s="54" t="str">
        <f t="shared" si="126"/>
        <v/>
      </c>
      <c r="AV205" s="54" t="str">
        <f t="shared" si="126"/>
        <v/>
      </c>
      <c r="AW205" s="54" t="str">
        <f t="shared" si="126"/>
        <v/>
      </c>
      <c r="AX205" s="54" t="str">
        <f t="shared" si="126"/>
        <v/>
      </c>
      <c r="AY205" s="54" t="str">
        <f t="shared" si="139"/>
        <v/>
      </c>
      <c r="AZ205" s="54" t="str">
        <f t="shared" si="128"/>
        <v/>
      </c>
      <c r="BA205" s="54" t="str">
        <f t="shared" si="129"/>
        <v/>
      </c>
      <c r="BB205" s="135" t="str">
        <f t="shared" si="130"/>
        <v/>
      </c>
      <c r="BC205" s="54" t="str">
        <f t="shared" si="140"/>
        <v/>
      </c>
      <c r="BD205" s="54" t="str">
        <f t="shared" si="140"/>
        <v/>
      </c>
      <c r="BE205" s="54" t="str">
        <f t="shared" si="140"/>
        <v/>
      </c>
      <c r="BF205" s="54" t="str">
        <f t="shared" si="131"/>
        <v/>
      </c>
      <c r="BG205" s="54" t="str">
        <f t="shared" si="132"/>
        <v/>
      </c>
      <c r="BH205" s="34" t="str">
        <f t="shared" si="133"/>
        <v>Bad</v>
      </c>
      <c r="BI205" s="34" t="str">
        <f t="shared" si="134"/>
        <v>No</v>
      </c>
      <c r="BJ205" s="136" t="str">
        <f>IF($D205&lt;&gt;"Feature",".",
IF(VLOOKUP($B205,Feature_List!$A:$AM,MATCH(BJ$1,  Feature_List!$A$1:$AM$1,0),0)=B205,".","NO"))</f>
        <v>.</v>
      </c>
      <c r="BK205" s="136"/>
      <c r="BL205" s="136"/>
      <c r="BM205" s="136" t="str">
        <f>IF($D205&lt;&gt;"Feature",".",
IF(VLOOKUP($B205,Feature_List!$A:$AM,MATCH(BM$1,  Feature_List!$A$1:$AM$1,0),0)=E205,".","NO"))</f>
        <v>.</v>
      </c>
      <c r="BN205" s="136" t="str">
        <f>IF($D205&lt;&gt;"Feature",".",
IF(VLOOKUP($B205,Feature_List!$A:$AM,MATCH(BN$1,  Feature_List!$A$1:$AM$1,0),0)=F205,".","NO"))</f>
        <v>.</v>
      </c>
      <c r="BO205" s="136" t="str">
        <f>IF($D205&lt;&gt;"Feature",".",
IF(VLOOKUP($B205,Feature_List!$A:$AM,MATCH(BO$1,  Feature_List!$A$1:$AM$1,0),0)=G205,".","NO"))</f>
        <v>.</v>
      </c>
      <c r="BP205" s="136" t="str">
        <f>IF($D205&lt;&gt;"Feature",".",
IF(VLOOKUP($B205,Feature_List!$A:$AM,MATCH(BP$1,  Feature_List!$A$1:$AM$1,0),0)=H205,".","NO"))</f>
        <v>.</v>
      </c>
      <c r="BQ205" s="136"/>
      <c r="BR205" s="136" t="str">
        <f>IF($D205&lt;&gt;"Feature",".",
IF(VLOOKUP($B205,Feature_List!$A:$AM,MATCH(BR$1,  Feature_List!$A$1:$AM$1,0),0)=J205,".","NO"))</f>
        <v>.</v>
      </c>
      <c r="BS205" s="136"/>
      <c r="BT205" s="136"/>
      <c r="BU205" s="136" t="str">
        <f>IF($D205&lt;&gt;"Feature",".",
IF(VLOOKUP($B205,Feature_List!$A:$AM,MATCH(BU$1,  Feature_List!$A$1:$AM$1,0),0)=M205,".","NO"))</f>
        <v>.</v>
      </c>
      <c r="BV205" s="136" t="str">
        <f>IF($D205&lt;&gt;"Feature",".",
IF(VLOOKUP($B205,Feature_List!$A:$AM,MATCH(BV$1,  Feature_List!$A$1:$AM$1,0),0)=N205,".","NO"))</f>
        <v>.</v>
      </c>
      <c r="BW205" s="136"/>
      <c r="BX205" s="136"/>
      <c r="BY205" s="136"/>
      <c r="BZ205" s="136"/>
      <c r="CA205" s="136"/>
      <c r="CB205" s="136" t="str">
        <f>IF($D205&lt;&gt;"Feature",".",
IF(VLOOKUP($B205,Feature_List!$A:$AM,MATCH(CB$1,  Feature_List!$A$1:$AM$1,0),0)=T205,".","NO"))</f>
        <v>.</v>
      </c>
      <c r="CC205" s="136"/>
      <c r="CD205" s="136"/>
      <c r="CE205" s="136"/>
      <c r="CF205" s="136"/>
      <c r="CG205" s="136"/>
      <c r="CH205" s="136"/>
      <c r="CI205" s="136"/>
      <c r="CJ205" s="136"/>
      <c r="CK205" s="136"/>
      <c r="CL205" s="136"/>
      <c r="CM205" s="136"/>
      <c r="CN205" s="136"/>
      <c r="CO205" s="136" t="str">
        <f>IF($D205&lt;&gt;"Feature",".",
IF(VLOOKUP($B205,Feature_List!$A:$AM,MATCH(CO$1,  Feature_List!$A$1:$AM$1,0),0)=AG205,".","NO"))</f>
        <v>.</v>
      </c>
      <c r="CP205" s="136" t="str">
        <f>IF($D205&lt;&gt;"Feature",".",
IF(VLOOKUP($B205,Feature_List!$A:$AM,MATCH(CP$1,  Feature_List!$A$1:$AM$1,0),0)=AH205,".","NO"))</f>
        <v>.</v>
      </c>
      <c r="CQ205" s="136" t="str">
        <f>IF($D205&lt;&gt;"Feature",".",
IF(VLOOKUP($B205,Feature_List!$A:$AM,MATCH(CQ$1,  Feature_List!$A$1:$AM$1,0),0)=AI205,".","NO"))</f>
        <v>.</v>
      </c>
      <c r="CR205" s="136" t="str">
        <f>IF($D205&lt;&gt;"Feature",".",
IF(VLOOKUP($B205,Feature_List!$A:$AM,MATCH(CR$1,  Feature_List!$A$1:$AM$1,0),0)=AJ205,".","NO"))</f>
        <v>.</v>
      </c>
      <c r="CS205" s="136" t="str">
        <f>IF($D205&lt;&gt;"Feature",".",
IF(VLOOKUP($B205,Feature_List!$A:$AM,MATCH(CS$1,  Feature_List!$A$1:$AM$1,0),0)=AK205,".","NO"))</f>
        <v>.</v>
      </c>
      <c r="CT205" s="136" t="str">
        <f>IF($D205&lt;&gt;"Feature",".",
IF(VLOOKUP($B205,Feature_List!$A:$AM,MATCH(CT$1,  Feature_List!$A$1:$AM$1,0),0)=AL205,".","NO"))</f>
        <v>.</v>
      </c>
      <c r="CU205" s="136" t="str">
        <f>IF($D205&lt;&gt;"Feature",".",
IF(VLOOKUP($B205,Feature_List!$A:$AM,MATCH(CU$1,  Feature_List!$A$1:$AM$1,0),0)=AM205,".","NO"))</f>
        <v>.</v>
      </c>
      <c r="CV205" s="136" t="str">
        <f>IF($D205&lt;&gt;"Feature",".",
IF(VLOOKUP($B205,Feature_List!$A:$AM,MATCH(CV$1,  Feature_List!$A$1:$AM$1,0),0)=AN205,".","NO"))</f>
        <v>.</v>
      </c>
      <c r="CW205" s="136" t="str">
        <f>IF($D205&lt;&gt;"Feature",".",
IF(VLOOKUP($B205,Feature_List!$A:$AM,MATCH(CW$1,  Feature_List!$A$1:$AM$1,0),0)=AO205,".","NO"))</f>
        <v>.</v>
      </c>
      <c r="CX205" s="136" t="str">
        <f>IF($D205&lt;&gt;"Feature",".",
IF(VLOOKUP($B205,Feature_List!$A:$AM,MATCH(CX$1,  Feature_List!$A$1:$AM$1,0),0)=AP205,".","NO"))</f>
        <v>.</v>
      </c>
      <c r="CY205" s="136" t="str">
        <f>IF($D205&lt;&gt;"Feature",".",
IF(VLOOKUP($B205,Feature_List!$A:$AM,MATCH(CY$1,  Feature_List!$A$1:$AM$1,0),0)=AQ205,".","NO"))</f>
        <v>.</v>
      </c>
      <c r="CZ205" s="136" t="str">
        <f>IF($D205&lt;&gt;"Feature",".",
IF(VLOOKUP($B205,Feature_List!$A:$AM,MATCH(CZ$1,  Feature_List!$A$1:$AM$1,0),0)=AR205,".","NO"))</f>
        <v>.</v>
      </c>
      <c r="DA205" s="136" t="str">
        <f>IF($D205&lt;&gt;"Feature",".",
IF(VLOOKUP($B205,Feature_List!$A:$AM,MATCH(DA$1,  Feature_List!$A$1:$AM$1,0),0)=AS205,".","NO"))</f>
        <v>.</v>
      </c>
      <c r="DB205" s="136" t="str">
        <f>IF($D205&lt;&gt;"Feature",".",
IF(VLOOKUP($B205,Feature_List!$A:$AM,MATCH(DB$1,  Feature_List!$A$1:$AM$1,0),0)=AT205,".","NO"))</f>
        <v>.</v>
      </c>
      <c r="DC205" s="136" t="str">
        <f>IF($D205&lt;&gt;"Feature",".",
IF(VLOOKUP($B205,Feature_List!$A:$AM,MATCH(DC$1,  Feature_List!$A$1:$AM$1,0),0)=AU205,".","NO"))</f>
        <v>.</v>
      </c>
      <c r="DD205" s="136" t="str">
        <f>IF($D205&lt;&gt;"Feature",".",
IF(VLOOKUP($B205,Feature_List!$A:$AM,MATCH(DD$1,  Feature_List!$A$1:$AM$1,0),0)=AV205,".","NO"))</f>
        <v>.</v>
      </c>
      <c r="DE205" s="136" t="str">
        <f>IF($D205&lt;&gt;"Feature",".",
IF(VLOOKUP($B205,Feature_List!$A:$AM,MATCH(DE$1,  Feature_List!$A$1:$AM$1,0),0)=AW205,".","NO"))</f>
        <v>.</v>
      </c>
      <c r="DF205" s="136" t="str">
        <f>IF($D205&lt;&gt;"Feature",".",
IF(VLOOKUP($B205,Feature_List!$A:$AM,MATCH(DF$1,  Feature_List!$A$1:$AM$1,0),0)=AX205,".","NO"))</f>
        <v>.</v>
      </c>
      <c r="DG205" s="136" t="str">
        <f>IF($D205&lt;&gt;"Feature",".",
IF(VLOOKUP($B205,Feature_List!$A:$AM,MATCH(DG$1,  Feature_List!$A$1:$AM$1,0),0)=AY205,".","NO"))</f>
        <v>.</v>
      </c>
      <c r="DH205" s="136" t="str">
        <f>IF($D205&lt;&gt;"Feature",".",
IF(VLOOKUP($B205,Feature_List!$A:$AM,MATCH(DH$1,  Feature_List!$A$1:$AM$1,0),0)=AZ205,".","NO"))</f>
        <v>.</v>
      </c>
      <c r="DI205" s="136" t="str">
        <f>IF($D205&lt;&gt;"Feature",".",
IF(VLOOKUP($B205,Feature_List!$A:$AM,MATCH(DI$1,  Feature_List!$A$1:$AM$1,0),0)=BA205,".","NO"))</f>
        <v>.</v>
      </c>
      <c r="DJ205" s="136" t="str">
        <f>IF($D205&lt;&gt;"Feature",".",
IF(VLOOKUP($B205,Feature_List!$A:$AM,MATCH(DJ$1,  Feature_List!$A$1:$AM$1,0),0)=BB205,".","NO"))</f>
        <v>.</v>
      </c>
      <c r="DK205" s="136"/>
      <c r="DL205" s="136"/>
      <c r="DM205" s="136"/>
      <c r="DN205" s="136" t="str">
        <f>IF($D205&lt;&gt;"Feature",".",
IF(VLOOKUP($B205,Feature_List!$A:$AM,MATCH(DN$1,  Feature_List!$A$1:$AM$1,0),0)=BC205,".","NO"))</f>
        <v>.</v>
      </c>
      <c r="DO205" s="136" t="str">
        <f>IF($D205&lt;&gt;"Feature",".",
IF(VLOOKUP($B205,Feature_List!$A:$AM,MATCH(DO$1,  Feature_List!$A$1:$AM$1,0),0)=BD205,".","NO"))</f>
        <v>.</v>
      </c>
    </row>
    <row r="206" spans="2:119" x14ac:dyDescent="0.3">
      <c r="B206" s="121"/>
      <c r="C206" s="122"/>
      <c r="D206" s="122"/>
      <c r="E206" s="122"/>
      <c r="F206" s="123"/>
      <c r="G206" s="123"/>
      <c r="H206" s="122"/>
      <c r="I206" s="124"/>
      <c r="J206" s="123"/>
      <c r="K206" s="123"/>
      <c r="L206" s="122"/>
      <c r="M206" s="122"/>
      <c r="N206" s="122"/>
      <c r="O206" s="123">
        <f t="shared" si="112"/>
        <v>0</v>
      </c>
      <c r="P206" s="123">
        <f t="shared" si="113"/>
        <v>0</v>
      </c>
      <c r="Q206" s="122" t="str">
        <f t="shared" si="135"/>
        <v>ZeroEntry</v>
      </c>
      <c r="R206" s="126" t="str">
        <f t="shared" si="114"/>
        <v>ZeroEntry</v>
      </c>
      <c r="S206" s="127" t="str">
        <f t="shared" si="115"/>
        <v>ZeroEntry</v>
      </c>
      <c r="T206" s="128" t="str">
        <f>IF($Q206="ZeroEntry", "",VLOOKUP($I206,'Ranking Lookup'!#REF!,2,FALSE))</f>
        <v/>
      </c>
      <c r="U206" s="129" t="str">
        <f t="shared" si="116"/>
        <v/>
      </c>
      <c r="V206" s="129" t="str">
        <f t="shared" si="117"/>
        <v/>
      </c>
      <c r="W206" s="129" t="str">
        <f t="shared" si="118"/>
        <v/>
      </c>
      <c r="X206" s="129" t="str">
        <f t="shared" si="119"/>
        <v/>
      </c>
      <c r="Y206" s="129" t="str">
        <f t="shared" si="120"/>
        <v/>
      </c>
      <c r="Z206" s="129" t="str">
        <f t="shared" si="121"/>
        <v/>
      </c>
      <c r="AA206" s="130"/>
      <c r="AB206" s="130" t="str">
        <f t="shared" si="122"/>
        <v>Unassigned</v>
      </c>
      <c r="AC206" s="131" t="str">
        <f t="shared" si="136"/>
        <v/>
      </c>
      <c r="AD206" s="131" t="str">
        <f t="shared" si="137"/>
        <v/>
      </c>
      <c r="AE206" s="132">
        <f t="shared" si="123"/>
        <v>0</v>
      </c>
      <c r="AF206" s="133" t="str">
        <f t="shared" si="138"/>
        <v/>
      </c>
      <c r="AG206" s="134">
        <f t="shared" si="124"/>
        <v>0</v>
      </c>
      <c r="AH206" s="54" t="str">
        <f t="shared" si="125"/>
        <v/>
      </c>
      <c r="AI206" s="54" t="str">
        <f t="shared" si="126"/>
        <v/>
      </c>
      <c r="AJ206" s="54" t="str">
        <f t="shared" si="126"/>
        <v/>
      </c>
      <c r="AK206" s="54" t="str">
        <f t="shared" si="126"/>
        <v/>
      </c>
      <c r="AL206" s="54" t="str">
        <f t="shared" si="126"/>
        <v/>
      </c>
      <c r="AM206" s="54" t="str">
        <f t="shared" si="126"/>
        <v/>
      </c>
      <c r="AN206" s="54" t="str">
        <f t="shared" si="126"/>
        <v/>
      </c>
      <c r="AO206" s="54" t="str">
        <f t="shared" si="126"/>
        <v/>
      </c>
      <c r="AP206" s="54" t="str">
        <f t="shared" si="126"/>
        <v/>
      </c>
      <c r="AQ206" s="54" t="str">
        <f t="shared" si="126"/>
        <v/>
      </c>
      <c r="AR206" s="54" t="str">
        <f t="shared" si="126"/>
        <v/>
      </c>
      <c r="AS206" s="54" t="str">
        <f t="shared" si="126"/>
        <v/>
      </c>
      <c r="AT206" s="54" t="str">
        <f t="shared" si="126"/>
        <v/>
      </c>
      <c r="AU206" s="54" t="str">
        <f t="shared" si="126"/>
        <v/>
      </c>
      <c r="AV206" s="54" t="str">
        <f t="shared" si="126"/>
        <v/>
      </c>
      <c r="AW206" s="54" t="str">
        <f t="shared" si="126"/>
        <v/>
      </c>
      <c r="AX206" s="54" t="str">
        <f t="shared" si="126"/>
        <v/>
      </c>
      <c r="AY206" s="54" t="str">
        <f t="shared" si="139"/>
        <v/>
      </c>
      <c r="AZ206" s="54" t="str">
        <f t="shared" si="128"/>
        <v/>
      </c>
      <c r="BA206" s="54" t="str">
        <f t="shared" si="129"/>
        <v/>
      </c>
      <c r="BB206" s="135" t="str">
        <f t="shared" si="130"/>
        <v/>
      </c>
      <c r="BC206" s="54" t="str">
        <f t="shared" si="140"/>
        <v/>
      </c>
      <c r="BD206" s="54" t="str">
        <f t="shared" si="140"/>
        <v/>
      </c>
      <c r="BE206" s="54" t="str">
        <f t="shared" si="140"/>
        <v/>
      </c>
      <c r="BF206" s="54" t="str">
        <f t="shared" si="131"/>
        <v/>
      </c>
      <c r="BG206" s="54" t="str">
        <f t="shared" si="132"/>
        <v/>
      </c>
      <c r="BH206" s="34" t="str">
        <f t="shared" si="133"/>
        <v>Bad</v>
      </c>
      <c r="BI206" s="34" t="str">
        <f t="shared" si="134"/>
        <v>No</v>
      </c>
      <c r="BJ206" s="136" t="str">
        <f>IF($D206&lt;&gt;"Feature",".",
IF(VLOOKUP($B206,Feature_List!$A:$AM,MATCH(BJ$1,  Feature_List!$A$1:$AM$1,0),0)=B206,".","NO"))</f>
        <v>.</v>
      </c>
      <c r="BK206" s="136"/>
      <c r="BL206" s="136"/>
      <c r="BM206" s="136" t="str">
        <f>IF($D206&lt;&gt;"Feature",".",
IF(VLOOKUP($B206,Feature_List!$A:$AM,MATCH(BM$1,  Feature_List!$A$1:$AM$1,0),0)=E206,".","NO"))</f>
        <v>.</v>
      </c>
      <c r="BN206" s="136" t="str">
        <f>IF($D206&lt;&gt;"Feature",".",
IF(VLOOKUP($B206,Feature_List!$A:$AM,MATCH(BN$1,  Feature_List!$A$1:$AM$1,0),0)=F206,".","NO"))</f>
        <v>.</v>
      </c>
      <c r="BO206" s="136" t="str">
        <f>IF($D206&lt;&gt;"Feature",".",
IF(VLOOKUP($B206,Feature_List!$A:$AM,MATCH(BO$1,  Feature_List!$A$1:$AM$1,0),0)=G206,".","NO"))</f>
        <v>.</v>
      </c>
      <c r="BP206" s="136" t="str">
        <f>IF($D206&lt;&gt;"Feature",".",
IF(VLOOKUP($B206,Feature_List!$A:$AM,MATCH(BP$1,  Feature_List!$A$1:$AM$1,0),0)=H206,".","NO"))</f>
        <v>.</v>
      </c>
      <c r="BQ206" s="136"/>
      <c r="BR206" s="136" t="str">
        <f>IF($D206&lt;&gt;"Feature",".",
IF(VLOOKUP($B206,Feature_List!$A:$AM,MATCH(BR$1,  Feature_List!$A$1:$AM$1,0),0)=J206,".","NO"))</f>
        <v>.</v>
      </c>
      <c r="BS206" s="136"/>
      <c r="BT206" s="136"/>
      <c r="BU206" s="136" t="str">
        <f>IF($D206&lt;&gt;"Feature",".",
IF(VLOOKUP($B206,Feature_List!$A:$AM,MATCH(BU$1,  Feature_List!$A$1:$AM$1,0),0)=M206,".","NO"))</f>
        <v>.</v>
      </c>
      <c r="BV206" s="136" t="str">
        <f>IF($D206&lt;&gt;"Feature",".",
IF(VLOOKUP($B206,Feature_List!$A:$AM,MATCH(BV$1,  Feature_List!$A$1:$AM$1,0),0)=N206,".","NO"))</f>
        <v>.</v>
      </c>
      <c r="BW206" s="136"/>
      <c r="BX206" s="136"/>
      <c r="BY206" s="136"/>
      <c r="BZ206" s="136"/>
      <c r="CA206" s="136"/>
      <c r="CB206" s="136" t="str">
        <f>IF($D206&lt;&gt;"Feature",".",
IF(VLOOKUP($B206,Feature_List!$A:$AM,MATCH(CB$1,  Feature_List!$A$1:$AM$1,0),0)=T206,".","NO"))</f>
        <v>.</v>
      </c>
      <c r="CC206" s="136"/>
      <c r="CD206" s="136"/>
      <c r="CE206" s="136"/>
      <c r="CF206" s="136"/>
      <c r="CG206" s="136"/>
      <c r="CH206" s="136"/>
      <c r="CI206" s="136"/>
      <c r="CJ206" s="136"/>
      <c r="CK206" s="136"/>
      <c r="CL206" s="136"/>
      <c r="CM206" s="136"/>
      <c r="CN206" s="136"/>
      <c r="CO206" s="136" t="str">
        <f>IF($D206&lt;&gt;"Feature",".",
IF(VLOOKUP($B206,Feature_List!$A:$AM,MATCH(CO$1,  Feature_List!$A$1:$AM$1,0),0)=AG206,".","NO"))</f>
        <v>.</v>
      </c>
      <c r="CP206" s="136" t="str">
        <f>IF($D206&lt;&gt;"Feature",".",
IF(VLOOKUP($B206,Feature_List!$A:$AM,MATCH(CP$1,  Feature_List!$A$1:$AM$1,0),0)=AH206,".","NO"))</f>
        <v>.</v>
      </c>
      <c r="CQ206" s="136" t="str">
        <f>IF($D206&lt;&gt;"Feature",".",
IF(VLOOKUP($B206,Feature_List!$A:$AM,MATCH(CQ$1,  Feature_List!$A$1:$AM$1,0),0)=AI206,".","NO"))</f>
        <v>.</v>
      </c>
      <c r="CR206" s="136" t="str">
        <f>IF($D206&lt;&gt;"Feature",".",
IF(VLOOKUP($B206,Feature_List!$A:$AM,MATCH(CR$1,  Feature_List!$A$1:$AM$1,0),0)=AJ206,".","NO"))</f>
        <v>.</v>
      </c>
      <c r="CS206" s="136" t="str">
        <f>IF($D206&lt;&gt;"Feature",".",
IF(VLOOKUP($B206,Feature_List!$A:$AM,MATCH(CS$1,  Feature_List!$A$1:$AM$1,0),0)=AK206,".","NO"))</f>
        <v>.</v>
      </c>
      <c r="CT206" s="136" t="str">
        <f>IF($D206&lt;&gt;"Feature",".",
IF(VLOOKUP($B206,Feature_List!$A:$AM,MATCH(CT$1,  Feature_List!$A$1:$AM$1,0),0)=AL206,".","NO"))</f>
        <v>.</v>
      </c>
      <c r="CU206" s="136" t="str">
        <f>IF($D206&lt;&gt;"Feature",".",
IF(VLOOKUP($B206,Feature_List!$A:$AM,MATCH(CU$1,  Feature_List!$A$1:$AM$1,0),0)=AM206,".","NO"))</f>
        <v>.</v>
      </c>
      <c r="CV206" s="136" t="str">
        <f>IF($D206&lt;&gt;"Feature",".",
IF(VLOOKUP($B206,Feature_List!$A:$AM,MATCH(CV$1,  Feature_List!$A$1:$AM$1,0),0)=AN206,".","NO"))</f>
        <v>.</v>
      </c>
      <c r="CW206" s="136" t="str">
        <f>IF($D206&lt;&gt;"Feature",".",
IF(VLOOKUP($B206,Feature_List!$A:$AM,MATCH(CW$1,  Feature_List!$A$1:$AM$1,0),0)=AO206,".","NO"))</f>
        <v>.</v>
      </c>
      <c r="CX206" s="136" t="str">
        <f>IF($D206&lt;&gt;"Feature",".",
IF(VLOOKUP($B206,Feature_List!$A:$AM,MATCH(CX$1,  Feature_List!$A$1:$AM$1,0),0)=AP206,".","NO"))</f>
        <v>.</v>
      </c>
      <c r="CY206" s="136" t="str">
        <f>IF($D206&lt;&gt;"Feature",".",
IF(VLOOKUP($B206,Feature_List!$A:$AM,MATCH(CY$1,  Feature_List!$A$1:$AM$1,0),0)=AQ206,".","NO"))</f>
        <v>.</v>
      </c>
      <c r="CZ206" s="136" t="str">
        <f>IF($D206&lt;&gt;"Feature",".",
IF(VLOOKUP($B206,Feature_List!$A:$AM,MATCH(CZ$1,  Feature_List!$A$1:$AM$1,0),0)=AR206,".","NO"))</f>
        <v>.</v>
      </c>
      <c r="DA206" s="136" t="str">
        <f>IF($D206&lt;&gt;"Feature",".",
IF(VLOOKUP($B206,Feature_List!$A:$AM,MATCH(DA$1,  Feature_List!$A$1:$AM$1,0),0)=AS206,".","NO"))</f>
        <v>.</v>
      </c>
      <c r="DB206" s="136" t="str">
        <f>IF($D206&lt;&gt;"Feature",".",
IF(VLOOKUP($B206,Feature_List!$A:$AM,MATCH(DB$1,  Feature_List!$A$1:$AM$1,0),0)=AT206,".","NO"))</f>
        <v>.</v>
      </c>
      <c r="DC206" s="136" t="str">
        <f>IF($D206&lt;&gt;"Feature",".",
IF(VLOOKUP($B206,Feature_List!$A:$AM,MATCH(DC$1,  Feature_List!$A$1:$AM$1,0),0)=AU206,".","NO"))</f>
        <v>.</v>
      </c>
      <c r="DD206" s="136" t="str">
        <f>IF($D206&lt;&gt;"Feature",".",
IF(VLOOKUP($B206,Feature_List!$A:$AM,MATCH(DD$1,  Feature_List!$A$1:$AM$1,0),0)=AV206,".","NO"))</f>
        <v>.</v>
      </c>
      <c r="DE206" s="136" t="str">
        <f>IF($D206&lt;&gt;"Feature",".",
IF(VLOOKUP($B206,Feature_List!$A:$AM,MATCH(DE$1,  Feature_List!$A$1:$AM$1,0),0)=AW206,".","NO"))</f>
        <v>.</v>
      </c>
      <c r="DF206" s="136" t="str">
        <f>IF($D206&lt;&gt;"Feature",".",
IF(VLOOKUP($B206,Feature_List!$A:$AM,MATCH(DF$1,  Feature_List!$A$1:$AM$1,0),0)=AX206,".","NO"))</f>
        <v>.</v>
      </c>
      <c r="DG206" s="136" t="str">
        <f>IF($D206&lt;&gt;"Feature",".",
IF(VLOOKUP($B206,Feature_List!$A:$AM,MATCH(DG$1,  Feature_List!$A$1:$AM$1,0),0)=AY206,".","NO"))</f>
        <v>.</v>
      </c>
      <c r="DH206" s="136" t="str">
        <f>IF($D206&lt;&gt;"Feature",".",
IF(VLOOKUP($B206,Feature_List!$A:$AM,MATCH(DH$1,  Feature_List!$A$1:$AM$1,0),0)=AZ206,".","NO"))</f>
        <v>.</v>
      </c>
      <c r="DI206" s="136" t="str">
        <f>IF($D206&lt;&gt;"Feature",".",
IF(VLOOKUP($B206,Feature_List!$A:$AM,MATCH(DI$1,  Feature_List!$A$1:$AM$1,0),0)=BA206,".","NO"))</f>
        <v>.</v>
      </c>
      <c r="DJ206" s="136" t="str">
        <f>IF($D206&lt;&gt;"Feature",".",
IF(VLOOKUP($B206,Feature_List!$A:$AM,MATCH(DJ$1,  Feature_List!$A$1:$AM$1,0),0)=BB206,".","NO"))</f>
        <v>.</v>
      </c>
      <c r="DK206" s="136"/>
      <c r="DL206" s="136"/>
      <c r="DM206" s="136"/>
      <c r="DN206" s="136" t="str">
        <f>IF($D206&lt;&gt;"Feature",".",
IF(VLOOKUP($B206,Feature_List!$A:$AM,MATCH(DN$1,  Feature_List!$A$1:$AM$1,0),0)=BC206,".","NO"))</f>
        <v>.</v>
      </c>
      <c r="DO206" s="136" t="str">
        <f>IF($D206&lt;&gt;"Feature",".",
IF(VLOOKUP($B206,Feature_List!$A:$AM,MATCH(DO$1,  Feature_List!$A$1:$AM$1,0),0)=BD206,".","NO"))</f>
        <v>.</v>
      </c>
    </row>
    <row r="207" spans="2:119" x14ac:dyDescent="0.3">
      <c r="B207" s="121"/>
      <c r="C207" s="122"/>
      <c r="D207" s="122"/>
      <c r="E207" s="122"/>
      <c r="F207" s="123"/>
      <c r="G207" s="123"/>
      <c r="H207" s="122"/>
      <c r="I207" s="124"/>
      <c r="J207" s="123"/>
      <c r="K207" s="123"/>
      <c r="L207" s="122"/>
      <c r="M207" s="122"/>
      <c r="N207" s="122"/>
      <c r="O207" s="123">
        <f t="shared" si="112"/>
        <v>0</v>
      </c>
      <c r="P207" s="123">
        <f t="shared" si="113"/>
        <v>0</v>
      </c>
      <c r="Q207" s="122" t="str">
        <f t="shared" si="135"/>
        <v>ZeroEntry</v>
      </c>
      <c r="R207" s="126" t="str">
        <f t="shared" si="114"/>
        <v>ZeroEntry</v>
      </c>
      <c r="S207" s="127" t="str">
        <f t="shared" si="115"/>
        <v>ZeroEntry</v>
      </c>
      <c r="T207" s="128" t="str">
        <f>IF($Q207="ZeroEntry", "",VLOOKUP($I207,'Ranking Lookup'!#REF!,2,FALSE))</f>
        <v/>
      </c>
      <c r="U207" s="129" t="str">
        <f t="shared" si="116"/>
        <v/>
      </c>
      <c r="V207" s="129" t="str">
        <f t="shared" si="117"/>
        <v/>
      </c>
      <c r="W207" s="129" t="str">
        <f t="shared" si="118"/>
        <v/>
      </c>
      <c r="X207" s="129" t="str">
        <f t="shared" si="119"/>
        <v/>
      </c>
      <c r="Y207" s="129" t="str">
        <f t="shared" si="120"/>
        <v/>
      </c>
      <c r="Z207" s="129" t="str">
        <f t="shared" si="121"/>
        <v/>
      </c>
      <c r="AA207" s="130"/>
      <c r="AB207" s="130" t="str">
        <f t="shared" si="122"/>
        <v>Unassigned</v>
      </c>
      <c r="AC207" s="131" t="str">
        <f t="shared" si="136"/>
        <v/>
      </c>
      <c r="AD207" s="131" t="str">
        <f t="shared" si="137"/>
        <v/>
      </c>
      <c r="AE207" s="132">
        <f t="shared" si="123"/>
        <v>0</v>
      </c>
      <c r="AF207" s="133" t="str">
        <f t="shared" si="138"/>
        <v/>
      </c>
      <c r="AG207" s="134">
        <f t="shared" si="124"/>
        <v>0</v>
      </c>
      <c r="AH207" s="54" t="str">
        <f t="shared" si="125"/>
        <v/>
      </c>
      <c r="AI207" s="54" t="str">
        <f t="shared" si="126"/>
        <v/>
      </c>
      <c r="AJ207" s="54" t="str">
        <f t="shared" si="126"/>
        <v/>
      </c>
      <c r="AK207" s="54" t="str">
        <f t="shared" si="126"/>
        <v/>
      </c>
      <c r="AL207" s="54" t="str">
        <f t="shared" si="126"/>
        <v/>
      </c>
      <c r="AM207" s="54" t="str">
        <f t="shared" si="126"/>
        <v/>
      </c>
      <c r="AN207" s="54" t="str">
        <f t="shared" si="126"/>
        <v/>
      </c>
      <c r="AO207" s="54" t="str">
        <f t="shared" si="126"/>
        <v/>
      </c>
      <c r="AP207" s="54" t="str">
        <f t="shared" si="126"/>
        <v/>
      </c>
      <c r="AQ207" s="54" t="str">
        <f t="shared" si="126"/>
        <v/>
      </c>
      <c r="AR207" s="54" t="str">
        <f t="shared" si="126"/>
        <v/>
      </c>
      <c r="AS207" s="54" t="str">
        <f t="shared" si="126"/>
        <v/>
      </c>
      <c r="AT207" s="54" t="str">
        <f t="shared" si="126"/>
        <v/>
      </c>
      <c r="AU207" s="54" t="str">
        <f t="shared" si="126"/>
        <v/>
      </c>
      <c r="AV207" s="54" t="str">
        <f t="shared" si="126"/>
        <v/>
      </c>
      <c r="AW207" s="54" t="str">
        <f t="shared" si="126"/>
        <v/>
      </c>
      <c r="AX207" s="54" t="str">
        <f t="shared" si="126"/>
        <v/>
      </c>
      <c r="AY207" s="54" t="str">
        <f t="shared" si="139"/>
        <v/>
      </c>
      <c r="AZ207" s="54" t="str">
        <f t="shared" si="128"/>
        <v/>
      </c>
      <c r="BA207" s="54" t="str">
        <f t="shared" si="129"/>
        <v/>
      </c>
      <c r="BB207" s="135" t="str">
        <f t="shared" si="130"/>
        <v/>
      </c>
      <c r="BC207" s="54" t="str">
        <f t="shared" si="140"/>
        <v/>
      </c>
      <c r="BD207" s="54" t="str">
        <f t="shared" si="140"/>
        <v/>
      </c>
      <c r="BE207" s="54" t="str">
        <f t="shared" si="140"/>
        <v/>
      </c>
      <c r="BF207" s="54" t="str">
        <f t="shared" si="131"/>
        <v/>
      </c>
      <c r="BG207" s="54" t="str">
        <f t="shared" si="132"/>
        <v/>
      </c>
      <c r="BH207" s="34" t="str">
        <f t="shared" si="133"/>
        <v>Bad</v>
      </c>
      <c r="BI207" s="34" t="str">
        <f t="shared" si="134"/>
        <v>No</v>
      </c>
      <c r="BJ207" s="136" t="str">
        <f>IF($D207&lt;&gt;"Feature",".",
IF(VLOOKUP($B207,Feature_List!$A:$AM,MATCH(BJ$1,  Feature_List!$A$1:$AM$1,0),0)=B207,".","NO"))</f>
        <v>.</v>
      </c>
      <c r="BK207" s="136"/>
      <c r="BL207" s="136"/>
      <c r="BM207" s="136" t="str">
        <f>IF($D207&lt;&gt;"Feature",".",
IF(VLOOKUP($B207,Feature_List!$A:$AM,MATCH(BM$1,  Feature_List!$A$1:$AM$1,0),0)=E207,".","NO"))</f>
        <v>.</v>
      </c>
      <c r="BN207" s="136" t="str">
        <f>IF($D207&lt;&gt;"Feature",".",
IF(VLOOKUP($B207,Feature_List!$A:$AM,MATCH(BN$1,  Feature_List!$A$1:$AM$1,0),0)=F207,".","NO"))</f>
        <v>.</v>
      </c>
      <c r="BO207" s="136" t="str">
        <f>IF($D207&lt;&gt;"Feature",".",
IF(VLOOKUP($B207,Feature_List!$A:$AM,MATCH(BO$1,  Feature_List!$A$1:$AM$1,0),0)=G207,".","NO"))</f>
        <v>.</v>
      </c>
      <c r="BP207" s="136" t="str">
        <f>IF($D207&lt;&gt;"Feature",".",
IF(VLOOKUP($B207,Feature_List!$A:$AM,MATCH(BP$1,  Feature_List!$A$1:$AM$1,0),0)=H207,".","NO"))</f>
        <v>.</v>
      </c>
      <c r="BQ207" s="136"/>
      <c r="BR207" s="136" t="str">
        <f>IF($D207&lt;&gt;"Feature",".",
IF(VLOOKUP($B207,Feature_List!$A:$AM,MATCH(BR$1,  Feature_List!$A$1:$AM$1,0),0)=J207,".","NO"))</f>
        <v>.</v>
      </c>
      <c r="BS207" s="136"/>
      <c r="BT207" s="136"/>
      <c r="BU207" s="136" t="str">
        <f>IF($D207&lt;&gt;"Feature",".",
IF(VLOOKUP($B207,Feature_List!$A:$AM,MATCH(BU$1,  Feature_List!$A$1:$AM$1,0),0)=M207,".","NO"))</f>
        <v>.</v>
      </c>
      <c r="BV207" s="136" t="str">
        <f>IF($D207&lt;&gt;"Feature",".",
IF(VLOOKUP($B207,Feature_List!$A:$AM,MATCH(BV$1,  Feature_List!$A$1:$AM$1,0),0)=N207,".","NO"))</f>
        <v>.</v>
      </c>
      <c r="BW207" s="136"/>
      <c r="BX207" s="136"/>
      <c r="BY207" s="136"/>
      <c r="BZ207" s="136"/>
      <c r="CA207" s="136"/>
      <c r="CB207" s="136" t="str">
        <f>IF($D207&lt;&gt;"Feature",".",
IF(VLOOKUP($B207,Feature_List!$A:$AM,MATCH(CB$1,  Feature_List!$A$1:$AM$1,0),0)=T207,".","NO"))</f>
        <v>.</v>
      </c>
      <c r="CC207" s="136"/>
      <c r="CD207" s="136"/>
      <c r="CE207" s="136"/>
      <c r="CF207" s="136"/>
      <c r="CG207" s="136"/>
      <c r="CH207" s="136"/>
      <c r="CI207" s="136"/>
      <c r="CJ207" s="136"/>
      <c r="CK207" s="136"/>
      <c r="CL207" s="136"/>
      <c r="CM207" s="136"/>
      <c r="CN207" s="136"/>
      <c r="CO207" s="136" t="str">
        <f>IF($D207&lt;&gt;"Feature",".",
IF(VLOOKUP($B207,Feature_List!$A:$AM,MATCH(CO$1,  Feature_List!$A$1:$AM$1,0),0)=AG207,".","NO"))</f>
        <v>.</v>
      </c>
      <c r="CP207" s="136" t="str">
        <f>IF($D207&lt;&gt;"Feature",".",
IF(VLOOKUP($B207,Feature_List!$A:$AM,MATCH(CP$1,  Feature_List!$A$1:$AM$1,0),0)=AH207,".","NO"))</f>
        <v>.</v>
      </c>
      <c r="CQ207" s="136" t="str">
        <f>IF($D207&lt;&gt;"Feature",".",
IF(VLOOKUP($B207,Feature_List!$A:$AM,MATCH(CQ$1,  Feature_List!$A$1:$AM$1,0),0)=AI207,".","NO"))</f>
        <v>.</v>
      </c>
      <c r="CR207" s="136" t="str">
        <f>IF($D207&lt;&gt;"Feature",".",
IF(VLOOKUP($B207,Feature_List!$A:$AM,MATCH(CR$1,  Feature_List!$A$1:$AM$1,0),0)=AJ207,".","NO"))</f>
        <v>.</v>
      </c>
      <c r="CS207" s="136" t="str">
        <f>IF($D207&lt;&gt;"Feature",".",
IF(VLOOKUP($B207,Feature_List!$A:$AM,MATCH(CS$1,  Feature_List!$A$1:$AM$1,0),0)=AK207,".","NO"))</f>
        <v>.</v>
      </c>
      <c r="CT207" s="136" t="str">
        <f>IF($D207&lt;&gt;"Feature",".",
IF(VLOOKUP($B207,Feature_List!$A:$AM,MATCH(CT$1,  Feature_List!$A$1:$AM$1,0),0)=AL207,".","NO"))</f>
        <v>.</v>
      </c>
      <c r="CU207" s="136" t="str">
        <f>IF($D207&lt;&gt;"Feature",".",
IF(VLOOKUP($B207,Feature_List!$A:$AM,MATCH(CU$1,  Feature_List!$A$1:$AM$1,0),0)=AM207,".","NO"))</f>
        <v>.</v>
      </c>
      <c r="CV207" s="136" t="str">
        <f>IF($D207&lt;&gt;"Feature",".",
IF(VLOOKUP($B207,Feature_List!$A:$AM,MATCH(CV$1,  Feature_List!$A$1:$AM$1,0),0)=AN207,".","NO"))</f>
        <v>.</v>
      </c>
      <c r="CW207" s="136" t="str">
        <f>IF($D207&lt;&gt;"Feature",".",
IF(VLOOKUP($B207,Feature_List!$A:$AM,MATCH(CW$1,  Feature_List!$A$1:$AM$1,0),0)=AO207,".","NO"))</f>
        <v>.</v>
      </c>
      <c r="CX207" s="136" t="str">
        <f>IF($D207&lt;&gt;"Feature",".",
IF(VLOOKUP($B207,Feature_List!$A:$AM,MATCH(CX$1,  Feature_List!$A$1:$AM$1,0),0)=AP207,".","NO"))</f>
        <v>.</v>
      </c>
      <c r="CY207" s="136" t="str">
        <f>IF($D207&lt;&gt;"Feature",".",
IF(VLOOKUP($B207,Feature_List!$A:$AM,MATCH(CY$1,  Feature_List!$A$1:$AM$1,0),0)=AQ207,".","NO"))</f>
        <v>.</v>
      </c>
      <c r="CZ207" s="136" t="str">
        <f>IF($D207&lt;&gt;"Feature",".",
IF(VLOOKUP($B207,Feature_List!$A:$AM,MATCH(CZ$1,  Feature_List!$A$1:$AM$1,0),0)=AR207,".","NO"))</f>
        <v>.</v>
      </c>
      <c r="DA207" s="136" t="str">
        <f>IF($D207&lt;&gt;"Feature",".",
IF(VLOOKUP($B207,Feature_List!$A:$AM,MATCH(DA$1,  Feature_List!$A$1:$AM$1,0),0)=AS207,".","NO"))</f>
        <v>.</v>
      </c>
      <c r="DB207" s="136" t="str">
        <f>IF($D207&lt;&gt;"Feature",".",
IF(VLOOKUP($B207,Feature_List!$A:$AM,MATCH(DB$1,  Feature_List!$A$1:$AM$1,0),0)=AT207,".","NO"))</f>
        <v>.</v>
      </c>
      <c r="DC207" s="136" t="str">
        <f>IF($D207&lt;&gt;"Feature",".",
IF(VLOOKUP($B207,Feature_List!$A:$AM,MATCH(DC$1,  Feature_List!$A$1:$AM$1,0),0)=AU207,".","NO"))</f>
        <v>.</v>
      </c>
      <c r="DD207" s="136" t="str">
        <f>IF($D207&lt;&gt;"Feature",".",
IF(VLOOKUP($B207,Feature_List!$A:$AM,MATCH(DD$1,  Feature_List!$A$1:$AM$1,0),0)=AV207,".","NO"))</f>
        <v>.</v>
      </c>
      <c r="DE207" s="136" t="str">
        <f>IF($D207&lt;&gt;"Feature",".",
IF(VLOOKUP($B207,Feature_List!$A:$AM,MATCH(DE$1,  Feature_List!$A$1:$AM$1,0),0)=AW207,".","NO"))</f>
        <v>.</v>
      </c>
      <c r="DF207" s="136" t="str">
        <f>IF($D207&lt;&gt;"Feature",".",
IF(VLOOKUP($B207,Feature_List!$A:$AM,MATCH(DF$1,  Feature_List!$A$1:$AM$1,0),0)=AX207,".","NO"))</f>
        <v>.</v>
      </c>
      <c r="DG207" s="136" t="str">
        <f>IF($D207&lt;&gt;"Feature",".",
IF(VLOOKUP($B207,Feature_List!$A:$AM,MATCH(DG$1,  Feature_List!$A$1:$AM$1,0),0)=AY207,".","NO"))</f>
        <v>.</v>
      </c>
      <c r="DH207" s="136" t="str">
        <f>IF($D207&lt;&gt;"Feature",".",
IF(VLOOKUP($B207,Feature_List!$A:$AM,MATCH(DH$1,  Feature_List!$A$1:$AM$1,0),0)=AZ207,".","NO"))</f>
        <v>.</v>
      </c>
      <c r="DI207" s="136" t="str">
        <f>IF($D207&lt;&gt;"Feature",".",
IF(VLOOKUP($B207,Feature_List!$A:$AM,MATCH(DI$1,  Feature_List!$A$1:$AM$1,0),0)=BA207,".","NO"))</f>
        <v>.</v>
      </c>
      <c r="DJ207" s="136" t="str">
        <f>IF($D207&lt;&gt;"Feature",".",
IF(VLOOKUP($B207,Feature_List!$A:$AM,MATCH(DJ$1,  Feature_List!$A$1:$AM$1,0),0)=BB207,".","NO"))</f>
        <v>.</v>
      </c>
      <c r="DK207" s="136"/>
      <c r="DL207" s="136"/>
      <c r="DM207" s="136"/>
      <c r="DN207" s="136" t="str">
        <f>IF($D207&lt;&gt;"Feature",".",
IF(VLOOKUP($B207,Feature_List!$A:$AM,MATCH(DN$1,  Feature_List!$A$1:$AM$1,0),0)=BC207,".","NO"))</f>
        <v>.</v>
      </c>
      <c r="DO207" s="136" t="str">
        <f>IF($D207&lt;&gt;"Feature",".",
IF(VLOOKUP($B207,Feature_List!$A:$AM,MATCH(DO$1,  Feature_List!$A$1:$AM$1,0),0)=BD207,".","NO"))</f>
        <v>.</v>
      </c>
    </row>
    <row r="208" spans="2:119" x14ac:dyDescent="0.3">
      <c r="B208" s="121"/>
      <c r="C208" s="123"/>
      <c r="D208" s="122"/>
      <c r="E208" s="122"/>
      <c r="F208" s="123"/>
      <c r="G208" s="123"/>
      <c r="H208" s="122"/>
      <c r="I208" s="124"/>
      <c r="J208" s="123"/>
      <c r="K208" s="123"/>
      <c r="L208" s="122"/>
      <c r="M208" s="122"/>
      <c r="N208" s="122"/>
      <c r="O208" s="123">
        <f t="shared" si="112"/>
        <v>0</v>
      </c>
      <c r="P208" s="123">
        <f t="shared" si="113"/>
        <v>0</v>
      </c>
      <c r="Q208" s="122" t="str">
        <f t="shared" si="135"/>
        <v>ZeroEntry</v>
      </c>
      <c r="R208" s="126" t="str">
        <f t="shared" si="114"/>
        <v>ZeroEntry</v>
      </c>
      <c r="S208" s="127" t="str">
        <f t="shared" si="115"/>
        <v>ZeroEntry</v>
      </c>
      <c r="T208" s="128" t="str">
        <f>IF($Q208="ZeroEntry", "",VLOOKUP($I208,'Ranking Lookup'!#REF!,2,FALSE))</f>
        <v/>
      </c>
      <c r="U208" s="129" t="str">
        <f t="shared" si="116"/>
        <v/>
      </c>
      <c r="V208" s="129" t="str">
        <f t="shared" si="117"/>
        <v/>
      </c>
      <c r="W208" s="129" t="str">
        <f t="shared" si="118"/>
        <v/>
      </c>
      <c r="X208" s="129" t="str">
        <f t="shared" si="119"/>
        <v/>
      </c>
      <c r="Y208" s="129" t="str">
        <f t="shared" si="120"/>
        <v/>
      </c>
      <c r="Z208" s="129" t="str">
        <f t="shared" si="121"/>
        <v/>
      </c>
      <c r="AA208" s="130"/>
      <c r="AB208" s="130" t="str">
        <f t="shared" si="122"/>
        <v>Unassigned</v>
      </c>
      <c r="AC208" s="131" t="str">
        <f t="shared" si="136"/>
        <v/>
      </c>
      <c r="AD208" s="131" t="str">
        <f t="shared" si="137"/>
        <v/>
      </c>
      <c r="AE208" s="132">
        <f t="shared" si="123"/>
        <v>0</v>
      </c>
      <c r="AF208" s="133" t="str">
        <f t="shared" si="138"/>
        <v/>
      </c>
      <c r="AG208" s="134">
        <f t="shared" si="124"/>
        <v>0</v>
      </c>
      <c r="AH208" s="54" t="str">
        <f t="shared" si="125"/>
        <v/>
      </c>
      <c r="AI208" s="54" t="str">
        <f t="shared" si="126"/>
        <v/>
      </c>
      <c r="AJ208" s="54" t="str">
        <f t="shared" si="126"/>
        <v/>
      </c>
      <c r="AK208" s="54" t="str">
        <f t="shared" si="126"/>
        <v/>
      </c>
      <c r="AL208" s="54" t="str">
        <f t="shared" si="126"/>
        <v/>
      </c>
      <c r="AM208" s="54" t="str">
        <f t="shared" si="126"/>
        <v/>
      </c>
      <c r="AN208" s="54" t="str">
        <f t="shared" si="126"/>
        <v/>
      </c>
      <c r="AO208" s="54" t="str">
        <f t="shared" si="126"/>
        <v/>
      </c>
      <c r="AP208" s="54" t="str">
        <f t="shared" si="126"/>
        <v/>
      </c>
      <c r="AQ208" s="54" t="str">
        <f t="shared" si="126"/>
        <v/>
      </c>
      <c r="AR208" s="54" t="str">
        <f t="shared" si="126"/>
        <v/>
      </c>
      <c r="AS208" s="54" t="str">
        <f t="shared" si="126"/>
        <v/>
      </c>
      <c r="AT208" s="54" t="str">
        <f t="shared" si="126"/>
        <v/>
      </c>
      <c r="AU208" s="54" t="str">
        <f t="shared" si="126"/>
        <v/>
      </c>
      <c r="AV208" s="54" t="str">
        <f t="shared" si="126"/>
        <v/>
      </c>
      <c r="AW208" s="54" t="str">
        <f t="shared" si="126"/>
        <v/>
      </c>
      <c r="AX208" s="54" t="str">
        <f t="shared" si="126"/>
        <v/>
      </c>
      <c r="AY208" s="54" t="str">
        <f t="shared" si="139"/>
        <v/>
      </c>
      <c r="AZ208" s="54" t="str">
        <f t="shared" si="128"/>
        <v/>
      </c>
      <c r="BA208" s="54" t="str">
        <f t="shared" si="129"/>
        <v/>
      </c>
      <c r="BB208" s="135" t="str">
        <f t="shared" si="130"/>
        <v/>
      </c>
      <c r="BC208" s="54" t="str">
        <f t="shared" si="140"/>
        <v/>
      </c>
      <c r="BD208" s="54" t="str">
        <f t="shared" si="140"/>
        <v/>
      </c>
      <c r="BE208" s="54" t="str">
        <f t="shared" si="140"/>
        <v/>
      </c>
      <c r="BF208" s="54" t="str">
        <f t="shared" si="131"/>
        <v/>
      </c>
      <c r="BG208" s="54" t="str">
        <f t="shared" si="132"/>
        <v/>
      </c>
      <c r="BH208" s="34" t="str">
        <f t="shared" si="133"/>
        <v>Bad</v>
      </c>
      <c r="BI208" s="34" t="str">
        <f t="shared" si="134"/>
        <v>No</v>
      </c>
      <c r="BJ208" s="136" t="str">
        <f>IF($D208&lt;&gt;"Feature",".",
IF(VLOOKUP($B208,Feature_List!$A:$AM,MATCH(BJ$1,  Feature_List!$A$1:$AM$1,0),0)=B208,".","NO"))</f>
        <v>.</v>
      </c>
      <c r="BK208" s="136"/>
      <c r="BL208" s="136"/>
      <c r="BM208" s="136" t="str">
        <f>IF($D208&lt;&gt;"Feature",".",
IF(VLOOKUP($B208,Feature_List!$A:$AM,MATCH(BM$1,  Feature_List!$A$1:$AM$1,0),0)=E208,".","NO"))</f>
        <v>.</v>
      </c>
      <c r="BN208" s="136" t="str">
        <f>IF($D208&lt;&gt;"Feature",".",
IF(VLOOKUP($B208,Feature_List!$A:$AM,MATCH(BN$1,  Feature_List!$A$1:$AM$1,0),0)=F208,".","NO"))</f>
        <v>.</v>
      </c>
      <c r="BO208" s="136" t="str">
        <f>IF($D208&lt;&gt;"Feature",".",
IF(VLOOKUP($B208,Feature_List!$A:$AM,MATCH(BO$1,  Feature_List!$A$1:$AM$1,0),0)=G208,".","NO"))</f>
        <v>.</v>
      </c>
      <c r="BP208" s="136" t="str">
        <f>IF($D208&lt;&gt;"Feature",".",
IF(VLOOKUP($B208,Feature_List!$A:$AM,MATCH(BP$1,  Feature_List!$A$1:$AM$1,0),0)=H208,".","NO"))</f>
        <v>.</v>
      </c>
      <c r="BQ208" s="136"/>
      <c r="BR208" s="136" t="str">
        <f>IF($D208&lt;&gt;"Feature",".",
IF(VLOOKUP($B208,Feature_List!$A:$AM,MATCH(BR$1,  Feature_List!$A$1:$AM$1,0),0)=J208,".","NO"))</f>
        <v>.</v>
      </c>
      <c r="BS208" s="136"/>
      <c r="BT208" s="136"/>
      <c r="BU208" s="136" t="str">
        <f>IF($D208&lt;&gt;"Feature",".",
IF(VLOOKUP($B208,Feature_List!$A:$AM,MATCH(BU$1,  Feature_List!$A$1:$AM$1,0),0)=M208,".","NO"))</f>
        <v>.</v>
      </c>
      <c r="BV208" s="136" t="str">
        <f>IF($D208&lt;&gt;"Feature",".",
IF(VLOOKUP($B208,Feature_List!$A:$AM,MATCH(BV$1,  Feature_List!$A$1:$AM$1,0),0)=N208,".","NO"))</f>
        <v>.</v>
      </c>
      <c r="BW208" s="136"/>
      <c r="BX208" s="136"/>
      <c r="BY208" s="136"/>
      <c r="BZ208" s="136"/>
      <c r="CA208" s="136"/>
      <c r="CB208" s="136" t="str">
        <f>IF($D208&lt;&gt;"Feature",".",
IF(VLOOKUP($B208,Feature_List!$A:$AM,MATCH(CB$1,  Feature_List!$A$1:$AM$1,0),0)=T208,".","NO"))</f>
        <v>.</v>
      </c>
      <c r="CC208" s="136"/>
      <c r="CD208" s="136"/>
      <c r="CE208" s="136"/>
      <c r="CF208" s="136"/>
      <c r="CG208" s="136"/>
      <c r="CH208" s="136"/>
      <c r="CI208" s="136"/>
      <c r="CJ208" s="136"/>
      <c r="CK208" s="136"/>
      <c r="CL208" s="136"/>
      <c r="CM208" s="136"/>
      <c r="CN208" s="136"/>
      <c r="CO208" s="136" t="str">
        <f>IF($D208&lt;&gt;"Feature",".",
IF(VLOOKUP($B208,Feature_List!$A:$AM,MATCH(CO$1,  Feature_List!$A$1:$AM$1,0),0)=AG208,".","NO"))</f>
        <v>.</v>
      </c>
      <c r="CP208" s="136" t="str">
        <f>IF($D208&lt;&gt;"Feature",".",
IF(VLOOKUP($B208,Feature_List!$A:$AM,MATCH(CP$1,  Feature_List!$A$1:$AM$1,0),0)=AH208,".","NO"))</f>
        <v>.</v>
      </c>
      <c r="CQ208" s="136" t="str">
        <f>IF($D208&lt;&gt;"Feature",".",
IF(VLOOKUP($B208,Feature_List!$A:$AM,MATCH(CQ$1,  Feature_List!$A$1:$AM$1,0),0)=AI208,".","NO"))</f>
        <v>.</v>
      </c>
      <c r="CR208" s="136" t="str">
        <f>IF($D208&lt;&gt;"Feature",".",
IF(VLOOKUP($B208,Feature_List!$A:$AM,MATCH(CR$1,  Feature_List!$A$1:$AM$1,0),0)=AJ208,".","NO"))</f>
        <v>.</v>
      </c>
      <c r="CS208" s="136" t="str">
        <f>IF($D208&lt;&gt;"Feature",".",
IF(VLOOKUP($B208,Feature_List!$A:$AM,MATCH(CS$1,  Feature_List!$A$1:$AM$1,0),0)=AK208,".","NO"))</f>
        <v>.</v>
      </c>
      <c r="CT208" s="136" t="str">
        <f>IF($D208&lt;&gt;"Feature",".",
IF(VLOOKUP($B208,Feature_List!$A:$AM,MATCH(CT$1,  Feature_List!$A$1:$AM$1,0),0)=AL208,".","NO"))</f>
        <v>.</v>
      </c>
      <c r="CU208" s="136" t="str">
        <f>IF($D208&lt;&gt;"Feature",".",
IF(VLOOKUP($B208,Feature_List!$A:$AM,MATCH(CU$1,  Feature_List!$A$1:$AM$1,0),0)=AM208,".","NO"))</f>
        <v>.</v>
      </c>
      <c r="CV208" s="136" t="str">
        <f>IF($D208&lt;&gt;"Feature",".",
IF(VLOOKUP($B208,Feature_List!$A:$AM,MATCH(CV$1,  Feature_List!$A$1:$AM$1,0),0)=AN208,".","NO"))</f>
        <v>.</v>
      </c>
      <c r="CW208" s="136" t="str">
        <f>IF($D208&lt;&gt;"Feature",".",
IF(VLOOKUP($B208,Feature_List!$A:$AM,MATCH(CW$1,  Feature_List!$A$1:$AM$1,0),0)=AO208,".","NO"))</f>
        <v>.</v>
      </c>
      <c r="CX208" s="136" t="str">
        <f>IF($D208&lt;&gt;"Feature",".",
IF(VLOOKUP($B208,Feature_List!$A:$AM,MATCH(CX$1,  Feature_List!$A$1:$AM$1,0),0)=AP208,".","NO"))</f>
        <v>.</v>
      </c>
      <c r="CY208" s="136" t="str">
        <f>IF($D208&lt;&gt;"Feature",".",
IF(VLOOKUP($B208,Feature_List!$A:$AM,MATCH(CY$1,  Feature_List!$A$1:$AM$1,0),0)=AQ208,".","NO"))</f>
        <v>.</v>
      </c>
      <c r="CZ208" s="136" t="str">
        <f>IF($D208&lt;&gt;"Feature",".",
IF(VLOOKUP($B208,Feature_List!$A:$AM,MATCH(CZ$1,  Feature_List!$A$1:$AM$1,0),0)=AR208,".","NO"))</f>
        <v>.</v>
      </c>
      <c r="DA208" s="136" t="str">
        <f>IF($D208&lt;&gt;"Feature",".",
IF(VLOOKUP($B208,Feature_List!$A:$AM,MATCH(DA$1,  Feature_List!$A$1:$AM$1,0),0)=AS208,".","NO"))</f>
        <v>.</v>
      </c>
      <c r="DB208" s="136" t="str">
        <f>IF($D208&lt;&gt;"Feature",".",
IF(VLOOKUP($B208,Feature_List!$A:$AM,MATCH(DB$1,  Feature_List!$A$1:$AM$1,0),0)=AT208,".","NO"))</f>
        <v>.</v>
      </c>
      <c r="DC208" s="136" t="str">
        <f>IF($D208&lt;&gt;"Feature",".",
IF(VLOOKUP($B208,Feature_List!$A:$AM,MATCH(DC$1,  Feature_List!$A$1:$AM$1,0),0)=AU208,".","NO"))</f>
        <v>.</v>
      </c>
      <c r="DD208" s="136" t="str">
        <f>IF($D208&lt;&gt;"Feature",".",
IF(VLOOKUP($B208,Feature_List!$A:$AM,MATCH(DD$1,  Feature_List!$A$1:$AM$1,0),0)=AV208,".","NO"))</f>
        <v>.</v>
      </c>
      <c r="DE208" s="136" t="str">
        <f>IF($D208&lt;&gt;"Feature",".",
IF(VLOOKUP($B208,Feature_List!$A:$AM,MATCH(DE$1,  Feature_List!$A$1:$AM$1,0),0)=AW208,".","NO"))</f>
        <v>.</v>
      </c>
      <c r="DF208" s="136" t="str">
        <f>IF($D208&lt;&gt;"Feature",".",
IF(VLOOKUP($B208,Feature_List!$A:$AM,MATCH(DF$1,  Feature_List!$A$1:$AM$1,0),0)=AX208,".","NO"))</f>
        <v>.</v>
      </c>
      <c r="DG208" s="136" t="str">
        <f>IF($D208&lt;&gt;"Feature",".",
IF(VLOOKUP($B208,Feature_List!$A:$AM,MATCH(DG$1,  Feature_List!$A$1:$AM$1,0),0)=AY208,".","NO"))</f>
        <v>.</v>
      </c>
      <c r="DH208" s="136" t="str">
        <f>IF($D208&lt;&gt;"Feature",".",
IF(VLOOKUP($B208,Feature_List!$A:$AM,MATCH(DH$1,  Feature_List!$A$1:$AM$1,0),0)=AZ208,".","NO"))</f>
        <v>.</v>
      </c>
      <c r="DI208" s="136" t="str">
        <f>IF($D208&lt;&gt;"Feature",".",
IF(VLOOKUP($B208,Feature_List!$A:$AM,MATCH(DI$1,  Feature_List!$A$1:$AM$1,0),0)=BA208,".","NO"))</f>
        <v>.</v>
      </c>
      <c r="DJ208" s="136" t="str">
        <f>IF($D208&lt;&gt;"Feature",".",
IF(VLOOKUP($B208,Feature_List!$A:$AM,MATCH(DJ$1,  Feature_List!$A$1:$AM$1,0),0)=BB208,".","NO"))</f>
        <v>.</v>
      </c>
      <c r="DK208" s="136"/>
      <c r="DL208" s="136"/>
      <c r="DM208" s="136"/>
      <c r="DN208" s="136" t="str">
        <f>IF($D208&lt;&gt;"Feature",".",
IF(VLOOKUP($B208,Feature_List!$A:$AM,MATCH(DN$1,  Feature_List!$A$1:$AM$1,0),0)=BC208,".","NO"))</f>
        <v>.</v>
      </c>
      <c r="DO208" s="136" t="str">
        <f>IF($D208&lt;&gt;"Feature",".",
IF(VLOOKUP($B208,Feature_List!$A:$AM,MATCH(DO$1,  Feature_List!$A$1:$AM$1,0),0)=BD208,".","NO"))</f>
        <v>.</v>
      </c>
    </row>
    <row r="209" spans="2:119" x14ac:dyDescent="0.3">
      <c r="B209" s="121"/>
      <c r="C209" s="122"/>
      <c r="D209" s="122"/>
      <c r="E209" s="122"/>
      <c r="F209" s="123"/>
      <c r="G209" s="123"/>
      <c r="H209" s="122"/>
      <c r="I209" s="124"/>
      <c r="J209" s="123"/>
      <c r="K209" s="123"/>
      <c r="L209" s="122"/>
      <c r="M209" s="122"/>
      <c r="N209" s="122"/>
      <c r="O209" s="123">
        <f t="shared" si="112"/>
        <v>0</v>
      </c>
      <c r="P209" s="123">
        <f t="shared" si="113"/>
        <v>0</v>
      </c>
      <c r="Q209" s="122" t="str">
        <f t="shared" si="135"/>
        <v>ZeroEntry</v>
      </c>
      <c r="R209" s="126" t="str">
        <f t="shared" si="114"/>
        <v>ZeroEntry</v>
      </c>
      <c r="S209" s="127" t="str">
        <f t="shared" si="115"/>
        <v>ZeroEntry</v>
      </c>
      <c r="T209" s="128" t="str">
        <f>IF($Q209="ZeroEntry", "",VLOOKUP($I209,'Ranking Lookup'!#REF!,2,FALSE))</f>
        <v/>
      </c>
      <c r="U209" s="129" t="str">
        <f t="shared" si="116"/>
        <v/>
      </c>
      <c r="V209" s="129" t="str">
        <f t="shared" si="117"/>
        <v/>
      </c>
      <c r="W209" s="129" t="str">
        <f t="shared" si="118"/>
        <v/>
      </c>
      <c r="X209" s="129" t="str">
        <f t="shared" si="119"/>
        <v/>
      </c>
      <c r="Y209" s="129" t="str">
        <f t="shared" si="120"/>
        <v/>
      </c>
      <c r="Z209" s="129" t="str">
        <f t="shared" si="121"/>
        <v/>
      </c>
      <c r="AA209" s="130"/>
      <c r="AB209" s="130" t="str">
        <f t="shared" si="122"/>
        <v>Unassigned</v>
      </c>
      <c r="AC209" s="131" t="str">
        <f t="shared" si="136"/>
        <v/>
      </c>
      <c r="AD209" s="131" t="str">
        <f t="shared" si="137"/>
        <v/>
      </c>
      <c r="AE209" s="132">
        <f t="shared" si="123"/>
        <v>0</v>
      </c>
      <c r="AF209" s="133" t="str">
        <f t="shared" si="138"/>
        <v/>
      </c>
      <c r="AG209" s="134">
        <f t="shared" si="124"/>
        <v>0</v>
      </c>
      <c r="AH209" s="54" t="str">
        <f t="shared" si="125"/>
        <v/>
      </c>
      <c r="AI209" s="54" t="str">
        <f t="shared" si="126"/>
        <v/>
      </c>
      <c r="AJ209" s="54" t="str">
        <f t="shared" si="126"/>
        <v/>
      </c>
      <c r="AK209" s="54" t="str">
        <f t="shared" si="126"/>
        <v/>
      </c>
      <c r="AL209" s="54" t="str">
        <f t="shared" si="126"/>
        <v/>
      </c>
      <c r="AM209" s="54" t="str">
        <f t="shared" si="126"/>
        <v/>
      </c>
      <c r="AN209" s="54" t="str">
        <f t="shared" si="126"/>
        <v/>
      </c>
      <c r="AO209" s="54" t="str">
        <f t="shared" si="126"/>
        <v/>
      </c>
      <c r="AP209" s="54" t="str">
        <f t="shared" si="126"/>
        <v/>
      </c>
      <c r="AQ209" s="54" t="str">
        <f t="shared" si="126"/>
        <v/>
      </c>
      <c r="AR209" s="54" t="str">
        <f t="shared" si="126"/>
        <v/>
      </c>
      <c r="AS209" s="54" t="str">
        <f t="shared" si="126"/>
        <v/>
      </c>
      <c r="AT209" s="54" t="str">
        <f t="shared" si="126"/>
        <v/>
      </c>
      <c r="AU209" s="54" t="str">
        <f t="shared" si="126"/>
        <v/>
      </c>
      <c r="AV209" s="54" t="str">
        <f t="shared" si="126"/>
        <v/>
      </c>
      <c r="AW209" s="54" t="str">
        <f t="shared" si="126"/>
        <v/>
      </c>
      <c r="AX209" s="54" t="str">
        <f t="shared" ref="AX209" si="141">IF(AND($Q209="Feature",LEFT($AB209,2)="PI"),
IF(AND(COUNTIF($R:$R,$B209)=1,$T209=AX$1), IF($AB209=$A$10,$AF209,0),
IF(OR($AD209&lt;1,RIGHT($G209,8)="Progress",$AH209&gt;0),SUMIFS($O:$O,$R:$R,$B209,$T:$T,AX$1,$P:$P,"&lt;&gt;Done",$AB:$AB,$A$10),
IF($T209=AX$1,IF($AB209=$A$10,$AD209,0)+SUMIFS($O:$O,$R:$R,$B209,$T:$T,AX$1,$P:$P,"&lt;&gt;Done",$AB:$AB,$A$10),SUMIFS($O:$O,$R:$R,$B209,$T:$T,AX$1,$P:$P,"&lt;&gt;Done",$AB:$AB,$A$10)))),
IF(AND(OR($Q209="Story",$Q209="Problem",$Q209="Enhancement"),$AB209=$A$10,$R209=0,$T209=AX$1,$P209&lt;&gt;"Done"),$O209,""))</f>
        <v/>
      </c>
      <c r="AY209" s="54" t="str">
        <f t="shared" si="139"/>
        <v/>
      </c>
      <c r="AZ209" s="54" t="str">
        <f t="shared" si="128"/>
        <v/>
      </c>
      <c r="BA209" s="54" t="str">
        <f t="shared" si="129"/>
        <v/>
      </c>
      <c r="BB209" s="135" t="str">
        <f t="shared" si="130"/>
        <v/>
      </c>
      <c r="BC209" s="54" t="str">
        <f t="shared" si="140"/>
        <v/>
      </c>
      <c r="BD209" s="54" t="str">
        <f t="shared" si="140"/>
        <v/>
      </c>
      <c r="BE209" s="54" t="str">
        <f t="shared" si="140"/>
        <v/>
      </c>
      <c r="BF209" s="54" t="str">
        <f t="shared" si="131"/>
        <v/>
      </c>
      <c r="BG209" s="54" t="str">
        <f t="shared" si="132"/>
        <v/>
      </c>
      <c r="BH209" s="34" t="str">
        <f t="shared" si="133"/>
        <v>Bad</v>
      </c>
      <c r="BI209" s="34" t="str">
        <f t="shared" si="134"/>
        <v>No</v>
      </c>
      <c r="BJ209" s="136" t="str">
        <f>IF($D209&lt;&gt;"Feature",".",
IF(VLOOKUP($B209,Feature_List!$A:$AM,MATCH(BJ$1,  Feature_List!$A$1:$AM$1,0),0)=B209,".","NO"))</f>
        <v>.</v>
      </c>
      <c r="BK209" s="136"/>
      <c r="BL209" s="136"/>
      <c r="BM209" s="136" t="str">
        <f>IF($D209&lt;&gt;"Feature",".",
IF(VLOOKUP($B209,Feature_List!$A:$AM,MATCH(BM$1,  Feature_List!$A$1:$AM$1,0),0)=E209,".","NO"))</f>
        <v>.</v>
      </c>
      <c r="BN209" s="136" t="str">
        <f>IF($D209&lt;&gt;"Feature",".",
IF(VLOOKUP($B209,Feature_List!$A:$AM,MATCH(BN$1,  Feature_List!$A$1:$AM$1,0),0)=F209,".","NO"))</f>
        <v>.</v>
      </c>
      <c r="BO209" s="136" t="str">
        <f>IF($D209&lt;&gt;"Feature",".",
IF(VLOOKUP($B209,Feature_List!$A:$AM,MATCH(BO$1,  Feature_List!$A$1:$AM$1,0),0)=G209,".","NO"))</f>
        <v>.</v>
      </c>
      <c r="BP209" s="136" t="str">
        <f>IF($D209&lt;&gt;"Feature",".",
IF(VLOOKUP($B209,Feature_List!$A:$AM,MATCH(BP$1,  Feature_List!$A$1:$AM$1,0),0)=H209,".","NO"))</f>
        <v>.</v>
      </c>
      <c r="BQ209" s="136"/>
      <c r="BR209" s="136" t="str">
        <f>IF($D209&lt;&gt;"Feature",".",
IF(VLOOKUP($B209,Feature_List!$A:$AM,MATCH(BR$1,  Feature_List!$A$1:$AM$1,0),0)=J209,".","NO"))</f>
        <v>.</v>
      </c>
      <c r="BS209" s="136"/>
      <c r="BT209" s="136"/>
      <c r="BU209" s="136" t="str">
        <f>IF($D209&lt;&gt;"Feature",".",
IF(VLOOKUP($B209,Feature_List!$A:$AM,MATCH(BU$1,  Feature_List!$A$1:$AM$1,0),0)=M209,".","NO"))</f>
        <v>.</v>
      </c>
      <c r="BV209" s="136" t="str">
        <f>IF($D209&lt;&gt;"Feature",".",
IF(VLOOKUP($B209,Feature_List!$A:$AM,MATCH(BV$1,  Feature_List!$A$1:$AM$1,0),0)=N209,".","NO"))</f>
        <v>.</v>
      </c>
      <c r="BW209" s="136"/>
      <c r="BX209" s="136"/>
      <c r="BY209" s="136"/>
      <c r="BZ209" s="136"/>
      <c r="CA209" s="136"/>
      <c r="CB209" s="136" t="str">
        <f>IF($D209&lt;&gt;"Feature",".",
IF(VLOOKUP($B209,Feature_List!$A:$AM,MATCH(CB$1,  Feature_List!$A$1:$AM$1,0),0)=T209,".","NO"))</f>
        <v>.</v>
      </c>
      <c r="CC209" s="136"/>
      <c r="CD209" s="136"/>
      <c r="CE209" s="136"/>
      <c r="CF209" s="136"/>
      <c r="CG209" s="136"/>
      <c r="CH209" s="136"/>
      <c r="CI209" s="136"/>
      <c r="CJ209" s="136"/>
      <c r="CK209" s="136"/>
      <c r="CL209" s="136"/>
      <c r="CM209" s="136"/>
      <c r="CN209" s="136"/>
      <c r="CO209" s="136" t="str">
        <f>IF($D209&lt;&gt;"Feature",".",
IF(VLOOKUP($B209,Feature_List!$A:$AM,MATCH(CO$1,  Feature_List!$A$1:$AM$1,0),0)=AG209,".","NO"))</f>
        <v>.</v>
      </c>
      <c r="CP209" s="136" t="str">
        <f>IF($D209&lt;&gt;"Feature",".",
IF(VLOOKUP($B209,Feature_List!$A:$AM,MATCH(CP$1,  Feature_List!$A$1:$AM$1,0),0)=AH209,".","NO"))</f>
        <v>.</v>
      </c>
      <c r="CQ209" s="136" t="str">
        <f>IF($D209&lt;&gt;"Feature",".",
IF(VLOOKUP($B209,Feature_List!$A:$AM,MATCH(CQ$1,  Feature_List!$A$1:$AM$1,0),0)=AI209,".","NO"))</f>
        <v>.</v>
      </c>
      <c r="CR209" s="136" t="str">
        <f>IF($D209&lt;&gt;"Feature",".",
IF(VLOOKUP($B209,Feature_List!$A:$AM,MATCH(CR$1,  Feature_List!$A$1:$AM$1,0),0)=AJ209,".","NO"))</f>
        <v>.</v>
      </c>
      <c r="CS209" s="136" t="str">
        <f>IF($D209&lt;&gt;"Feature",".",
IF(VLOOKUP($B209,Feature_List!$A:$AM,MATCH(CS$1,  Feature_List!$A$1:$AM$1,0),0)=AK209,".","NO"))</f>
        <v>.</v>
      </c>
      <c r="CT209" s="136" t="str">
        <f>IF($D209&lt;&gt;"Feature",".",
IF(VLOOKUP($B209,Feature_List!$A:$AM,MATCH(CT$1,  Feature_List!$A$1:$AM$1,0),0)=AL209,".","NO"))</f>
        <v>.</v>
      </c>
      <c r="CU209" s="136" t="str">
        <f>IF($D209&lt;&gt;"Feature",".",
IF(VLOOKUP($B209,Feature_List!$A:$AM,MATCH(CU$1,  Feature_List!$A$1:$AM$1,0),0)=AM209,".","NO"))</f>
        <v>.</v>
      </c>
      <c r="CV209" s="136" t="str">
        <f>IF($D209&lt;&gt;"Feature",".",
IF(VLOOKUP($B209,Feature_List!$A:$AM,MATCH(CV$1,  Feature_List!$A$1:$AM$1,0),0)=AN209,".","NO"))</f>
        <v>.</v>
      </c>
      <c r="CW209" s="136" t="str">
        <f>IF($D209&lt;&gt;"Feature",".",
IF(VLOOKUP($B209,Feature_List!$A:$AM,MATCH(CW$1,  Feature_List!$A$1:$AM$1,0),0)=AO209,".","NO"))</f>
        <v>.</v>
      </c>
      <c r="CX209" s="136" t="str">
        <f>IF($D209&lt;&gt;"Feature",".",
IF(VLOOKUP($B209,Feature_List!$A:$AM,MATCH(CX$1,  Feature_List!$A$1:$AM$1,0),0)=AP209,".","NO"))</f>
        <v>.</v>
      </c>
      <c r="CY209" s="136" t="str">
        <f>IF($D209&lt;&gt;"Feature",".",
IF(VLOOKUP($B209,Feature_List!$A:$AM,MATCH(CY$1,  Feature_List!$A$1:$AM$1,0),0)=AQ209,".","NO"))</f>
        <v>.</v>
      </c>
      <c r="CZ209" s="136" t="str">
        <f>IF($D209&lt;&gt;"Feature",".",
IF(VLOOKUP($B209,Feature_List!$A:$AM,MATCH(CZ$1,  Feature_List!$A$1:$AM$1,0),0)=AR209,".","NO"))</f>
        <v>.</v>
      </c>
      <c r="DA209" s="136" t="str">
        <f>IF($D209&lt;&gt;"Feature",".",
IF(VLOOKUP($B209,Feature_List!$A:$AM,MATCH(DA$1,  Feature_List!$A$1:$AM$1,0),0)=AS209,".","NO"))</f>
        <v>.</v>
      </c>
      <c r="DB209" s="136" t="str">
        <f>IF($D209&lt;&gt;"Feature",".",
IF(VLOOKUP($B209,Feature_List!$A:$AM,MATCH(DB$1,  Feature_List!$A$1:$AM$1,0),0)=AT209,".","NO"))</f>
        <v>.</v>
      </c>
      <c r="DC209" s="136" t="str">
        <f>IF($D209&lt;&gt;"Feature",".",
IF(VLOOKUP($B209,Feature_List!$A:$AM,MATCH(DC$1,  Feature_List!$A$1:$AM$1,0),0)=AU209,".","NO"))</f>
        <v>.</v>
      </c>
      <c r="DD209" s="136" t="str">
        <f>IF($D209&lt;&gt;"Feature",".",
IF(VLOOKUP($B209,Feature_List!$A:$AM,MATCH(DD$1,  Feature_List!$A$1:$AM$1,0),0)=AV209,".","NO"))</f>
        <v>.</v>
      </c>
      <c r="DE209" s="136" t="str">
        <f>IF($D209&lt;&gt;"Feature",".",
IF(VLOOKUP($B209,Feature_List!$A:$AM,MATCH(DE$1,  Feature_List!$A$1:$AM$1,0),0)=AW209,".","NO"))</f>
        <v>.</v>
      </c>
      <c r="DF209" s="136" t="str">
        <f>IF($D209&lt;&gt;"Feature",".",
IF(VLOOKUP($B209,Feature_List!$A:$AM,MATCH(DF$1,  Feature_List!$A$1:$AM$1,0),0)=AX209,".","NO"))</f>
        <v>.</v>
      </c>
      <c r="DG209" s="136" t="str">
        <f>IF($D209&lt;&gt;"Feature",".",
IF(VLOOKUP($B209,Feature_List!$A:$AM,MATCH(DG$1,  Feature_List!$A$1:$AM$1,0),0)=AY209,".","NO"))</f>
        <v>.</v>
      </c>
      <c r="DH209" s="136" t="str">
        <f>IF($D209&lt;&gt;"Feature",".",
IF(VLOOKUP($B209,Feature_List!$A:$AM,MATCH(DH$1,  Feature_List!$A$1:$AM$1,0),0)=AZ209,".","NO"))</f>
        <v>.</v>
      </c>
      <c r="DI209" s="136" t="str">
        <f>IF($D209&lt;&gt;"Feature",".",
IF(VLOOKUP($B209,Feature_List!$A:$AM,MATCH(DI$1,  Feature_List!$A$1:$AM$1,0),0)=BA209,".","NO"))</f>
        <v>.</v>
      </c>
      <c r="DJ209" s="136" t="str">
        <f>IF($D209&lt;&gt;"Feature",".",
IF(VLOOKUP($B209,Feature_List!$A:$AM,MATCH(DJ$1,  Feature_List!$A$1:$AM$1,0),0)=BB209,".","NO"))</f>
        <v>.</v>
      </c>
      <c r="DK209" s="136"/>
      <c r="DL209" s="136"/>
      <c r="DM209" s="136"/>
      <c r="DN209" s="136" t="str">
        <f>IF($D209&lt;&gt;"Feature",".",
IF(VLOOKUP($B209,Feature_List!$A:$AM,MATCH(DN$1,  Feature_List!$A$1:$AM$1,0),0)=BC209,".","NO"))</f>
        <v>.</v>
      </c>
      <c r="DO209" s="136" t="str">
        <f>IF($D209&lt;&gt;"Feature",".",
IF(VLOOKUP($B209,Feature_List!$A:$AM,MATCH(DO$1,  Feature_List!$A$1:$AM$1,0),0)=BD209,".","NO"))</f>
        <v>.</v>
      </c>
    </row>
    <row r="210" spans="2:119" x14ac:dyDescent="0.3">
      <c r="B210" s="121"/>
      <c r="C210" s="122"/>
      <c r="D210" s="122"/>
      <c r="E210" s="122"/>
      <c r="F210" s="123"/>
      <c r="G210" s="123"/>
      <c r="H210" s="122"/>
      <c r="I210" s="124"/>
      <c r="J210" s="123"/>
      <c r="K210" s="123"/>
      <c r="L210" s="122"/>
      <c r="M210" s="122"/>
      <c r="N210" s="122"/>
      <c r="O210" s="123">
        <f t="shared" si="112"/>
        <v>0</v>
      </c>
      <c r="P210" s="123">
        <f t="shared" si="113"/>
        <v>0</v>
      </c>
      <c r="Q210" s="122" t="str">
        <f t="shared" si="135"/>
        <v>ZeroEntry</v>
      </c>
      <c r="R210" s="126" t="str">
        <f t="shared" si="114"/>
        <v>ZeroEntry</v>
      </c>
      <c r="S210" s="127" t="str">
        <f t="shared" si="115"/>
        <v>ZeroEntry</v>
      </c>
      <c r="T210" s="128" t="str">
        <f>IF($Q210="ZeroEntry", "",VLOOKUP($I210,'Ranking Lookup'!#REF!,2,FALSE))</f>
        <v/>
      </c>
      <c r="U210" s="129" t="str">
        <f t="shared" si="116"/>
        <v/>
      </c>
      <c r="V210" s="129" t="str">
        <f t="shared" si="117"/>
        <v/>
      </c>
      <c r="W210" s="129" t="str">
        <f t="shared" si="118"/>
        <v/>
      </c>
      <c r="X210" s="129" t="str">
        <f t="shared" si="119"/>
        <v/>
      </c>
      <c r="Y210" s="129" t="str">
        <f t="shared" si="120"/>
        <v/>
      </c>
      <c r="Z210" s="129" t="str">
        <f t="shared" si="121"/>
        <v/>
      </c>
      <c r="AA210" s="130"/>
      <c r="AB210" s="130" t="str">
        <f t="shared" si="122"/>
        <v>Unassigned</v>
      </c>
      <c r="AC210" s="131" t="str">
        <f t="shared" si="136"/>
        <v/>
      </c>
      <c r="AD210" s="131" t="str">
        <f t="shared" si="137"/>
        <v/>
      </c>
      <c r="AE210" s="132">
        <f t="shared" si="123"/>
        <v>0</v>
      </c>
      <c r="AF210" s="133" t="str">
        <f t="shared" si="138"/>
        <v/>
      </c>
      <c r="AG210" s="134">
        <f t="shared" si="124"/>
        <v>0</v>
      </c>
      <c r="AH210" s="54" t="str">
        <f t="shared" si="125"/>
        <v/>
      </c>
      <c r="AI210" s="54" t="str">
        <f t="shared" ref="AI210:AX225" si="142">IF(AND($Q210="Feature",LEFT($AB210,2)="PI"),
IF(AND(COUNTIF($R:$R,$B210)=1,$T210=AI$1), IF($AB210=$A$10,$AF210,0),
IF(OR($AD210&lt;1,RIGHT($G210,8)="Progress",$AH210&gt;0),SUMIFS($O:$O,$R:$R,$B210,$T:$T,AI$1,$P:$P,"&lt;&gt;Done",$AB:$AB,$A$10),
IF($T210=AI$1,IF($AB210=$A$10,$AD210,0)+SUMIFS($O:$O,$R:$R,$B210,$T:$T,AI$1,$P:$P,"&lt;&gt;Done",$AB:$AB,$A$10),SUMIFS($O:$O,$R:$R,$B210,$T:$T,AI$1,$P:$P,"&lt;&gt;Done",$AB:$AB,$A$10)))),
IF(AND(OR($Q210="Story",$Q210="Problem",$Q210="Enhancement"),$AB210=$A$10,$R210=0,$T210=AI$1,$P210&lt;&gt;"Done"),$O210,""))</f>
        <v/>
      </c>
      <c r="AJ210" s="54" t="str">
        <f t="shared" si="142"/>
        <v/>
      </c>
      <c r="AK210" s="54" t="str">
        <f t="shared" si="142"/>
        <v/>
      </c>
      <c r="AL210" s="54" t="str">
        <f t="shared" si="142"/>
        <v/>
      </c>
      <c r="AM210" s="54" t="str">
        <f t="shared" si="142"/>
        <v/>
      </c>
      <c r="AN210" s="54" t="str">
        <f t="shared" si="142"/>
        <v/>
      </c>
      <c r="AO210" s="54" t="str">
        <f t="shared" si="142"/>
        <v/>
      </c>
      <c r="AP210" s="54" t="str">
        <f t="shared" si="142"/>
        <v/>
      </c>
      <c r="AQ210" s="54" t="str">
        <f t="shared" si="142"/>
        <v/>
      </c>
      <c r="AR210" s="54" t="str">
        <f t="shared" si="142"/>
        <v/>
      </c>
      <c r="AS210" s="54" t="str">
        <f t="shared" si="142"/>
        <v/>
      </c>
      <c r="AT210" s="54" t="str">
        <f t="shared" si="142"/>
        <v/>
      </c>
      <c r="AU210" s="54" t="str">
        <f t="shared" si="142"/>
        <v/>
      </c>
      <c r="AV210" s="54" t="str">
        <f t="shared" si="142"/>
        <v/>
      </c>
      <c r="AW210" s="54" t="str">
        <f t="shared" si="142"/>
        <v/>
      </c>
      <c r="AX210" s="54" t="str">
        <f t="shared" si="142"/>
        <v/>
      </c>
      <c r="AY210" s="54" t="str">
        <f t="shared" si="139"/>
        <v/>
      </c>
      <c r="AZ210" s="54" t="str">
        <f t="shared" si="128"/>
        <v/>
      </c>
      <c r="BA210" s="54" t="str">
        <f t="shared" si="129"/>
        <v/>
      </c>
      <c r="BB210" s="135" t="str">
        <f t="shared" si="130"/>
        <v/>
      </c>
      <c r="BC210" s="54" t="str">
        <f t="shared" si="140"/>
        <v/>
      </c>
      <c r="BD210" s="54" t="str">
        <f t="shared" si="140"/>
        <v/>
      </c>
      <c r="BE210" s="54" t="str">
        <f t="shared" si="140"/>
        <v/>
      </c>
      <c r="BF210" s="54" t="str">
        <f t="shared" si="131"/>
        <v/>
      </c>
      <c r="BG210" s="54" t="str">
        <f t="shared" si="132"/>
        <v/>
      </c>
      <c r="BH210" s="34" t="str">
        <f t="shared" si="133"/>
        <v>Bad</v>
      </c>
      <c r="BI210" s="34" t="str">
        <f t="shared" si="134"/>
        <v>No</v>
      </c>
      <c r="BJ210" s="136" t="str">
        <f>IF($D210&lt;&gt;"Feature",".",
IF(VLOOKUP($B210,Feature_List!$A:$AM,MATCH(BJ$1,  Feature_List!$A$1:$AM$1,0),0)=B210,".","NO"))</f>
        <v>.</v>
      </c>
      <c r="BK210" s="136"/>
      <c r="BL210" s="136"/>
      <c r="BM210" s="136" t="str">
        <f>IF($D210&lt;&gt;"Feature",".",
IF(VLOOKUP($B210,Feature_List!$A:$AM,MATCH(BM$1,  Feature_List!$A$1:$AM$1,0),0)=E210,".","NO"))</f>
        <v>.</v>
      </c>
      <c r="BN210" s="136" t="str">
        <f>IF($D210&lt;&gt;"Feature",".",
IF(VLOOKUP($B210,Feature_List!$A:$AM,MATCH(BN$1,  Feature_List!$A$1:$AM$1,0),0)=F210,".","NO"))</f>
        <v>.</v>
      </c>
      <c r="BO210" s="136" t="str">
        <f>IF($D210&lt;&gt;"Feature",".",
IF(VLOOKUP($B210,Feature_List!$A:$AM,MATCH(BO$1,  Feature_List!$A$1:$AM$1,0),0)=G210,".","NO"))</f>
        <v>.</v>
      </c>
      <c r="BP210" s="136" t="str">
        <f>IF($D210&lt;&gt;"Feature",".",
IF(VLOOKUP($B210,Feature_List!$A:$AM,MATCH(BP$1,  Feature_List!$A$1:$AM$1,0),0)=H210,".","NO"))</f>
        <v>.</v>
      </c>
      <c r="BQ210" s="136"/>
      <c r="BR210" s="136" t="str">
        <f>IF($D210&lt;&gt;"Feature",".",
IF(VLOOKUP($B210,Feature_List!$A:$AM,MATCH(BR$1,  Feature_List!$A$1:$AM$1,0),0)=J210,".","NO"))</f>
        <v>.</v>
      </c>
      <c r="BS210" s="136"/>
      <c r="BT210" s="136"/>
      <c r="BU210" s="136" t="str">
        <f>IF($D210&lt;&gt;"Feature",".",
IF(VLOOKUP($B210,Feature_List!$A:$AM,MATCH(BU$1,  Feature_List!$A$1:$AM$1,0),0)=M210,".","NO"))</f>
        <v>.</v>
      </c>
      <c r="BV210" s="136" t="str">
        <f>IF($D210&lt;&gt;"Feature",".",
IF(VLOOKUP($B210,Feature_List!$A:$AM,MATCH(BV$1,  Feature_List!$A$1:$AM$1,0),0)=N210,".","NO"))</f>
        <v>.</v>
      </c>
      <c r="BW210" s="136"/>
      <c r="BX210" s="136"/>
      <c r="BY210" s="136"/>
      <c r="BZ210" s="136"/>
      <c r="CA210" s="136"/>
      <c r="CB210" s="136" t="str">
        <f>IF($D210&lt;&gt;"Feature",".",
IF(VLOOKUP($B210,Feature_List!$A:$AM,MATCH(CB$1,  Feature_List!$A$1:$AM$1,0),0)=T210,".","NO"))</f>
        <v>.</v>
      </c>
      <c r="CC210" s="136"/>
      <c r="CD210" s="136"/>
      <c r="CE210" s="136"/>
      <c r="CF210" s="136"/>
      <c r="CG210" s="136"/>
      <c r="CH210" s="136"/>
      <c r="CI210" s="136"/>
      <c r="CJ210" s="136"/>
      <c r="CK210" s="136"/>
      <c r="CL210" s="136"/>
      <c r="CM210" s="136"/>
      <c r="CN210" s="136"/>
      <c r="CO210" s="136" t="str">
        <f>IF($D210&lt;&gt;"Feature",".",
IF(VLOOKUP($B210,Feature_List!$A:$AM,MATCH(CO$1,  Feature_List!$A$1:$AM$1,0),0)=AG210,".","NO"))</f>
        <v>.</v>
      </c>
      <c r="CP210" s="136" t="str">
        <f>IF($D210&lt;&gt;"Feature",".",
IF(VLOOKUP($B210,Feature_List!$A:$AM,MATCH(CP$1,  Feature_List!$A$1:$AM$1,0),0)=AH210,".","NO"))</f>
        <v>.</v>
      </c>
      <c r="CQ210" s="136" t="str">
        <f>IF($D210&lt;&gt;"Feature",".",
IF(VLOOKUP($B210,Feature_List!$A:$AM,MATCH(CQ$1,  Feature_List!$A$1:$AM$1,0),0)=AI210,".","NO"))</f>
        <v>.</v>
      </c>
      <c r="CR210" s="136" t="str">
        <f>IF($D210&lt;&gt;"Feature",".",
IF(VLOOKUP($B210,Feature_List!$A:$AM,MATCH(CR$1,  Feature_List!$A$1:$AM$1,0),0)=AJ210,".","NO"))</f>
        <v>.</v>
      </c>
      <c r="CS210" s="136" t="str">
        <f>IF($D210&lt;&gt;"Feature",".",
IF(VLOOKUP($B210,Feature_List!$A:$AM,MATCH(CS$1,  Feature_List!$A$1:$AM$1,0),0)=AK210,".","NO"))</f>
        <v>.</v>
      </c>
      <c r="CT210" s="136" t="str">
        <f>IF($D210&lt;&gt;"Feature",".",
IF(VLOOKUP($B210,Feature_List!$A:$AM,MATCH(CT$1,  Feature_List!$A$1:$AM$1,0),0)=AL210,".","NO"))</f>
        <v>.</v>
      </c>
      <c r="CU210" s="136" t="str">
        <f>IF($D210&lt;&gt;"Feature",".",
IF(VLOOKUP($B210,Feature_List!$A:$AM,MATCH(CU$1,  Feature_List!$A$1:$AM$1,0),0)=AM210,".","NO"))</f>
        <v>.</v>
      </c>
      <c r="CV210" s="136" t="str">
        <f>IF($D210&lt;&gt;"Feature",".",
IF(VLOOKUP($B210,Feature_List!$A:$AM,MATCH(CV$1,  Feature_List!$A$1:$AM$1,0),0)=AN210,".","NO"))</f>
        <v>.</v>
      </c>
      <c r="CW210" s="136" t="str">
        <f>IF($D210&lt;&gt;"Feature",".",
IF(VLOOKUP($B210,Feature_List!$A:$AM,MATCH(CW$1,  Feature_List!$A$1:$AM$1,0),0)=AO210,".","NO"))</f>
        <v>.</v>
      </c>
      <c r="CX210" s="136" t="str">
        <f>IF($D210&lt;&gt;"Feature",".",
IF(VLOOKUP($B210,Feature_List!$A:$AM,MATCH(CX$1,  Feature_List!$A$1:$AM$1,0),0)=AP210,".","NO"))</f>
        <v>.</v>
      </c>
      <c r="CY210" s="136" t="str">
        <f>IF($D210&lt;&gt;"Feature",".",
IF(VLOOKUP($B210,Feature_List!$A:$AM,MATCH(CY$1,  Feature_List!$A$1:$AM$1,0),0)=AQ210,".","NO"))</f>
        <v>.</v>
      </c>
      <c r="CZ210" s="136" t="str">
        <f>IF($D210&lt;&gt;"Feature",".",
IF(VLOOKUP($B210,Feature_List!$A:$AM,MATCH(CZ$1,  Feature_List!$A$1:$AM$1,0),0)=AR210,".","NO"))</f>
        <v>.</v>
      </c>
      <c r="DA210" s="136" t="str">
        <f>IF($D210&lt;&gt;"Feature",".",
IF(VLOOKUP($B210,Feature_List!$A:$AM,MATCH(DA$1,  Feature_List!$A$1:$AM$1,0),0)=AS210,".","NO"))</f>
        <v>.</v>
      </c>
      <c r="DB210" s="136" t="str">
        <f>IF($D210&lt;&gt;"Feature",".",
IF(VLOOKUP($B210,Feature_List!$A:$AM,MATCH(DB$1,  Feature_List!$A$1:$AM$1,0),0)=AT210,".","NO"))</f>
        <v>.</v>
      </c>
      <c r="DC210" s="136" t="str">
        <f>IF($D210&lt;&gt;"Feature",".",
IF(VLOOKUP($B210,Feature_List!$A:$AM,MATCH(DC$1,  Feature_List!$A$1:$AM$1,0),0)=AU210,".","NO"))</f>
        <v>.</v>
      </c>
      <c r="DD210" s="136" t="str">
        <f>IF($D210&lt;&gt;"Feature",".",
IF(VLOOKUP($B210,Feature_List!$A:$AM,MATCH(DD$1,  Feature_List!$A$1:$AM$1,0),0)=AV210,".","NO"))</f>
        <v>.</v>
      </c>
      <c r="DE210" s="136" t="str">
        <f>IF($D210&lt;&gt;"Feature",".",
IF(VLOOKUP($B210,Feature_List!$A:$AM,MATCH(DE$1,  Feature_List!$A$1:$AM$1,0),0)=AW210,".","NO"))</f>
        <v>.</v>
      </c>
      <c r="DF210" s="136" t="str">
        <f>IF($D210&lt;&gt;"Feature",".",
IF(VLOOKUP($B210,Feature_List!$A:$AM,MATCH(DF$1,  Feature_List!$A$1:$AM$1,0),0)=AX210,".","NO"))</f>
        <v>.</v>
      </c>
      <c r="DG210" s="136" t="str">
        <f>IF($D210&lt;&gt;"Feature",".",
IF(VLOOKUP($B210,Feature_List!$A:$AM,MATCH(DG$1,  Feature_List!$A$1:$AM$1,0),0)=AY210,".","NO"))</f>
        <v>.</v>
      </c>
      <c r="DH210" s="136" t="str">
        <f>IF($D210&lt;&gt;"Feature",".",
IF(VLOOKUP($B210,Feature_List!$A:$AM,MATCH(DH$1,  Feature_List!$A$1:$AM$1,0),0)=AZ210,".","NO"))</f>
        <v>.</v>
      </c>
      <c r="DI210" s="136" t="str">
        <f>IF($D210&lt;&gt;"Feature",".",
IF(VLOOKUP($B210,Feature_List!$A:$AM,MATCH(DI$1,  Feature_List!$A$1:$AM$1,0),0)=BA210,".","NO"))</f>
        <v>.</v>
      </c>
      <c r="DJ210" s="136" t="str">
        <f>IF($D210&lt;&gt;"Feature",".",
IF(VLOOKUP($B210,Feature_List!$A:$AM,MATCH(DJ$1,  Feature_List!$A$1:$AM$1,0),0)=BB210,".","NO"))</f>
        <v>.</v>
      </c>
      <c r="DK210" s="136"/>
      <c r="DL210" s="136"/>
      <c r="DM210" s="136"/>
      <c r="DN210" s="136" t="str">
        <f>IF($D210&lt;&gt;"Feature",".",
IF(VLOOKUP($B210,Feature_List!$A:$AM,MATCH(DN$1,  Feature_List!$A$1:$AM$1,0),0)=BC210,".","NO"))</f>
        <v>.</v>
      </c>
      <c r="DO210" s="136" t="str">
        <f>IF($D210&lt;&gt;"Feature",".",
IF(VLOOKUP($B210,Feature_List!$A:$AM,MATCH(DO$1,  Feature_List!$A$1:$AM$1,0),0)=BD210,".","NO"))</f>
        <v>.</v>
      </c>
    </row>
    <row r="211" spans="2:119" x14ac:dyDescent="0.3">
      <c r="B211" s="121"/>
      <c r="C211" s="122"/>
      <c r="D211" s="122"/>
      <c r="E211" s="122"/>
      <c r="F211" s="123"/>
      <c r="G211" s="123"/>
      <c r="H211" s="122"/>
      <c r="I211" s="124"/>
      <c r="J211" s="123"/>
      <c r="K211" s="123"/>
      <c r="L211" s="122"/>
      <c r="M211" s="122"/>
      <c r="N211" s="122"/>
      <c r="O211" s="123">
        <f t="shared" si="112"/>
        <v>0</v>
      </c>
      <c r="P211" s="123">
        <f t="shared" si="113"/>
        <v>0</v>
      </c>
      <c r="Q211" s="122" t="str">
        <f t="shared" si="135"/>
        <v>ZeroEntry</v>
      </c>
      <c r="R211" s="126" t="str">
        <f t="shared" si="114"/>
        <v>ZeroEntry</v>
      </c>
      <c r="S211" s="127" t="str">
        <f t="shared" si="115"/>
        <v>ZeroEntry</v>
      </c>
      <c r="T211" s="128" t="str">
        <f>IF($Q211="ZeroEntry", "",VLOOKUP($I211,'Ranking Lookup'!#REF!,2,FALSE))</f>
        <v/>
      </c>
      <c r="U211" s="129" t="str">
        <f t="shared" si="116"/>
        <v/>
      </c>
      <c r="V211" s="129" t="str">
        <f t="shared" si="117"/>
        <v/>
      </c>
      <c r="W211" s="129" t="str">
        <f t="shared" si="118"/>
        <v/>
      </c>
      <c r="X211" s="129" t="str">
        <f t="shared" si="119"/>
        <v/>
      </c>
      <c r="Y211" s="129" t="str">
        <f t="shared" si="120"/>
        <v/>
      </c>
      <c r="Z211" s="129" t="str">
        <f t="shared" si="121"/>
        <v/>
      </c>
      <c r="AA211" s="130"/>
      <c r="AB211" s="130" t="str">
        <f t="shared" si="122"/>
        <v>Unassigned</v>
      </c>
      <c r="AC211" s="131" t="str">
        <f t="shared" si="136"/>
        <v/>
      </c>
      <c r="AD211" s="131" t="str">
        <f t="shared" si="137"/>
        <v/>
      </c>
      <c r="AE211" s="132">
        <f t="shared" si="123"/>
        <v>0</v>
      </c>
      <c r="AF211" s="133" t="str">
        <f t="shared" si="138"/>
        <v/>
      </c>
      <c r="AG211" s="134">
        <f t="shared" si="124"/>
        <v>0</v>
      </c>
      <c r="AH211" s="54" t="str">
        <f t="shared" si="125"/>
        <v/>
      </c>
      <c r="AI211" s="54" t="str">
        <f t="shared" si="142"/>
        <v/>
      </c>
      <c r="AJ211" s="54" t="str">
        <f t="shared" si="142"/>
        <v/>
      </c>
      <c r="AK211" s="54" t="str">
        <f t="shared" si="142"/>
        <v/>
      </c>
      <c r="AL211" s="54" t="str">
        <f t="shared" si="142"/>
        <v/>
      </c>
      <c r="AM211" s="54" t="str">
        <f t="shared" si="142"/>
        <v/>
      </c>
      <c r="AN211" s="54" t="str">
        <f t="shared" si="142"/>
        <v/>
      </c>
      <c r="AO211" s="54" t="str">
        <f t="shared" si="142"/>
        <v/>
      </c>
      <c r="AP211" s="54" t="str">
        <f t="shared" si="142"/>
        <v/>
      </c>
      <c r="AQ211" s="54" t="str">
        <f t="shared" si="142"/>
        <v/>
      </c>
      <c r="AR211" s="54" t="str">
        <f t="shared" si="142"/>
        <v/>
      </c>
      <c r="AS211" s="54" t="str">
        <f t="shared" si="142"/>
        <v/>
      </c>
      <c r="AT211" s="54" t="str">
        <f t="shared" si="142"/>
        <v/>
      </c>
      <c r="AU211" s="54" t="str">
        <f t="shared" si="142"/>
        <v/>
      </c>
      <c r="AV211" s="54" t="str">
        <f t="shared" si="142"/>
        <v/>
      </c>
      <c r="AW211" s="54" t="str">
        <f t="shared" si="142"/>
        <v/>
      </c>
      <c r="AX211" s="54" t="str">
        <f t="shared" si="142"/>
        <v/>
      </c>
      <c r="AY211" s="54" t="str">
        <f t="shared" si="139"/>
        <v/>
      </c>
      <c r="AZ211" s="54" t="str">
        <f t="shared" si="128"/>
        <v/>
      </c>
      <c r="BA211" s="54" t="str">
        <f t="shared" si="129"/>
        <v/>
      </c>
      <c r="BB211" s="135" t="str">
        <f t="shared" si="130"/>
        <v/>
      </c>
      <c r="BC211" s="54" t="str">
        <f t="shared" si="140"/>
        <v/>
      </c>
      <c r="BD211" s="54" t="str">
        <f t="shared" si="140"/>
        <v/>
      </c>
      <c r="BE211" s="54" t="str">
        <f t="shared" si="140"/>
        <v/>
      </c>
      <c r="BF211" s="54" t="str">
        <f t="shared" si="131"/>
        <v/>
      </c>
      <c r="BG211" s="54" t="str">
        <f t="shared" si="132"/>
        <v/>
      </c>
      <c r="BH211" s="34" t="str">
        <f t="shared" si="133"/>
        <v>Bad</v>
      </c>
      <c r="BI211" s="34" t="str">
        <f t="shared" si="134"/>
        <v>No</v>
      </c>
      <c r="BJ211" s="136" t="str">
        <f>IF($D211&lt;&gt;"Feature",".",
IF(VLOOKUP($B211,Feature_List!$A:$AM,MATCH(BJ$1,  Feature_List!$A$1:$AM$1,0),0)=B211,".","NO"))</f>
        <v>.</v>
      </c>
      <c r="BK211" s="136"/>
      <c r="BL211" s="136"/>
      <c r="BM211" s="136" t="str">
        <f>IF($D211&lt;&gt;"Feature",".",
IF(VLOOKUP($B211,Feature_List!$A:$AM,MATCH(BM$1,  Feature_List!$A$1:$AM$1,0),0)=E211,".","NO"))</f>
        <v>.</v>
      </c>
      <c r="BN211" s="136" t="str">
        <f>IF($D211&lt;&gt;"Feature",".",
IF(VLOOKUP($B211,Feature_List!$A:$AM,MATCH(BN$1,  Feature_List!$A$1:$AM$1,0),0)=F211,".","NO"))</f>
        <v>.</v>
      </c>
      <c r="BO211" s="136" t="str">
        <f>IF($D211&lt;&gt;"Feature",".",
IF(VLOOKUP($B211,Feature_List!$A:$AM,MATCH(BO$1,  Feature_List!$A$1:$AM$1,0),0)=G211,".","NO"))</f>
        <v>.</v>
      </c>
      <c r="BP211" s="136" t="str">
        <f>IF($D211&lt;&gt;"Feature",".",
IF(VLOOKUP($B211,Feature_List!$A:$AM,MATCH(BP$1,  Feature_List!$A$1:$AM$1,0),0)=H211,".","NO"))</f>
        <v>.</v>
      </c>
      <c r="BQ211" s="136"/>
      <c r="BR211" s="136" t="str">
        <f>IF($D211&lt;&gt;"Feature",".",
IF(VLOOKUP($B211,Feature_List!$A:$AM,MATCH(BR$1,  Feature_List!$A$1:$AM$1,0),0)=J211,".","NO"))</f>
        <v>.</v>
      </c>
      <c r="BS211" s="136"/>
      <c r="BT211" s="136"/>
      <c r="BU211" s="136" t="str">
        <f>IF($D211&lt;&gt;"Feature",".",
IF(VLOOKUP($B211,Feature_List!$A:$AM,MATCH(BU$1,  Feature_List!$A$1:$AM$1,0),0)=M211,".","NO"))</f>
        <v>.</v>
      </c>
      <c r="BV211" s="136" t="str">
        <f>IF($D211&lt;&gt;"Feature",".",
IF(VLOOKUP($B211,Feature_List!$A:$AM,MATCH(BV$1,  Feature_List!$A$1:$AM$1,0),0)=N211,".","NO"))</f>
        <v>.</v>
      </c>
      <c r="BW211" s="136"/>
      <c r="BX211" s="136"/>
      <c r="BY211" s="136"/>
      <c r="BZ211" s="136"/>
      <c r="CA211" s="136"/>
      <c r="CB211" s="136" t="str">
        <f>IF($D211&lt;&gt;"Feature",".",
IF(VLOOKUP($B211,Feature_List!$A:$AM,MATCH(CB$1,  Feature_List!$A$1:$AM$1,0),0)=T211,".","NO"))</f>
        <v>.</v>
      </c>
      <c r="CC211" s="136"/>
      <c r="CD211" s="136"/>
      <c r="CE211" s="136"/>
      <c r="CF211" s="136"/>
      <c r="CG211" s="136"/>
      <c r="CH211" s="136"/>
      <c r="CI211" s="136"/>
      <c r="CJ211" s="136"/>
      <c r="CK211" s="136"/>
      <c r="CL211" s="136"/>
      <c r="CM211" s="136"/>
      <c r="CN211" s="136"/>
      <c r="CO211" s="136" t="str">
        <f>IF($D211&lt;&gt;"Feature",".",
IF(VLOOKUP($B211,Feature_List!$A:$AM,MATCH(CO$1,  Feature_List!$A$1:$AM$1,0),0)=AG211,".","NO"))</f>
        <v>.</v>
      </c>
      <c r="CP211" s="136" t="str">
        <f>IF($D211&lt;&gt;"Feature",".",
IF(VLOOKUP($B211,Feature_List!$A:$AM,MATCH(CP$1,  Feature_List!$A$1:$AM$1,0),0)=AH211,".","NO"))</f>
        <v>.</v>
      </c>
      <c r="CQ211" s="136" t="str">
        <f>IF($D211&lt;&gt;"Feature",".",
IF(VLOOKUP($B211,Feature_List!$A:$AM,MATCH(CQ$1,  Feature_List!$A$1:$AM$1,0),0)=AI211,".","NO"))</f>
        <v>.</v>
      </c>
      <c r="CR211" s="136" t="str">
        <f>IF($D211&lt;&gt;"Feature",".",
IF(VLOOKUP($B211,Feature_List!$A:$AM,MATCH(CR$1,  Feature_List!$A$1:$AM$1,0),0)=AJ211,".","NO"))</f>
        <v>.</v>
      </c>
      <c r="CS211" s="136" t="str">
        <f>IF($D211&lt;&gt;"Feature",".",
IF(VLOOKUP($B211,Feature_List!$A:$AM,MATCH(CS$1,  Feature_List!$A$1:$AM$1,0),0)=AK211,".","NO"))</f>
        <v>.</v>
      </c>
      <c r="CT211" s="136" t="str">
        <f>IF($D211&lt;&gt;"Feature",".",
IF(VLOOKUP($B211,Feature_List!$A:$AM,MATCH(CT$1,  Feature_List!$A$1:$AM$1,0),0)=AL211,".","NO"))</f>
        <v>.</v>
      </c>
      <c r="CU211" s="136" t="str">
        <f>IF($D211&lt;&gt;"Feature",".",
IF(VLOOKUP($B211,Feature_List!$A:$AM,MATCH(CU$1,  Feature_List!$A$1:$AM$1,0),0)=AM211,".","NO"))</f>
        <v>.</v>
      </c>
      <c r="CV211" s="136" t="str">
        <f>IF($D211&lt;&gt;"Feature",".",
IF(VLOOKUP($B211,Feature_List!$A:$AM,MATCH(CV$1,  Feature_List!$A$1:$AM$1,0),0)=AN211,".","NO"))</f>
        <v>.</v>
      </c>
      <c r="CW211" s="136" t="str">
        <f>IF($D211&lt;&gt;"Feature",".",
IF(VLOOKUP($B211,Feature_List!$A:$AM,MATCH(CW$1,  Feature_List!$A$1:$AM$1,0),0)=AO211,".","NO"))</f>
        <v>.</v>
      </c>
      <c r="CX211" s="136" t="str">
        <f>IF($D211&lt;&gt;"Feature",".",
IF(VLOOKUP($B211,Feature_List!$A:$AM,MATCH(CX$1,  Feature_List!$A$1:$AM$1,0),0)=AP211,".","NO"))</f>
        <v>.</v>
      </c>
      <c r="CY211" s="136" t="str">
        <f>IF($D211&lt;&gt;"Feature",".",
IF(VLOOKUP($B211,Feature_List!$A:$AM,MATCH(CY$1,  Feature_List!$A$1:$AM$1,0),0)=AQ211,".","NO"))</f>
        <v>.</v>
      </c>
      <c r="CZ211" s="136" t="str">
        <f>IF($D211&lt;&gt;"Feature",".",
IF(VLOOKUP($B211,Feature_List!$A:$AM,MATCH(CZ$1,  Feature_List!$A$1:$AM$1,0),0)=AR211,".","NO"))</f>
        <v>.</v>
      </c>
      <c r="DA211" s="136" t="str">
        <f>IF($D211&lt;&gt;"Feature",".",
IF(VLOOKUP($B211,Feature_List!$A:$AM,MATCH(DA$1,  Feature_List!$A$1:$AM$1,0),0)=AS211,".","NO"))</f>
        <v>.</v>
      </c>
      <c r="DB211" s="136" t="str">
        <f>IF($D211&lt;&gt;"Feature",".",
IF(VLOOKUP($B211,Feature_List!$A:$AM,MATCH(DB$1,  Feature_List!$A$1:$AM$1,0),0)=AT211,".","NO"))</f>
        <v>.</v>
      </c>
      <c r="DC211" s="136" t="str">
        <f>IF($D211&lt;&gt;"Feature",".",
IF(VLOOKUP($B211,Feature_List!$A:$AM,MATCH(DC$1,  Feature_List!$A$1:$AM$1,0),0)=AU211,".","NO"))</f>
        <v>.</v>
      </c>
      <c r="DD211" s="136" t="str">
        <f>IF($D211&lt;&gt;"Feature",".",
IF(VLOOKUP($B211,Feature_List!$A:$AM,MATCH(DD$1,  Feature_List!$A$1:$AM$1,0),0)=AV211,".","NO"))</f>
        <v>.</v>
      </c>
      <c r="DE211" s="136" t="str">
        <f>IF($D211&lt;&gt;"Feature",".",
IF(VLOOKUP($B211,Feature_List!$A:$AM,MATCH(DE$1,  Feature_List!$A$1:$AM$1,0),0)=AW211,".","NO"))</f>
        <v>.</v>
      </c>
      <c r="DF211" s="136" t="str">
        <f>IF($D211&lt;&gt;"Feature",".",
IF(VLOOKUP($B211,Feature_List!$A:$AM,MATCH(DF$1,  Feature_List!$A$1:$AM$1,0),0)=AX211,".","NO"))</f>
        <v>.</v>
      </c>
      <c r="DG211" s="136" t="str">
        <f>IF($D211&lt;&gt;"Feature",".",
IF(VLOOKUP($B211,Feature_List!$A:$AM,MATCH(DG$1,  Feature_List!$A$1:$AM$1,0),0)=AY211,".","NO"))</f>
        <v>.</v>
      </c>
      <c r="DH211" s="136" t="str">
        <f>IF($D211&lt;&gt;"Feature",".",
IF(VLOOKUP($B211,Feature_List!$A:$AM,MATCH(DH$1,  Feature_List!$A$1:$AM$1,0),0)=AZ211,".","NO"))</f>
        <v>.</v>
      </c>
      <c r="DI211" s="136" t="str">
        <f>IF($D211&lt;&gt;"Feature",".",
IF(VLOOKUP($B211,Feature_List!$A:$AM,MATCH(DI$1,  Feature_List!$A$1:$AM$1,0),0)=BA211,".","NO"))</f>
        <v>.</v>
      </c>
      <c r="DJ211" s="136" t="str">
        <f>IF($D211&lt;&gt;"Feature",".",
IF(VLOOKUP($B211,Feature_List!$A:$AM,MATCH(DJ$1,  Feature_List!$A$1:$AM$1,0),0)=BB211,".","NO"))</f>
        <v>.</v>
      </c>
      <c r="DK211" s="136"/>
      <c r="DL211" s="136"/>
      <c r="DM211" s="136"/>
      <c r="DN211" s="136" t="str">
        <f>IF($D211&lt;&gt;"Feature",".",
IF(VLOOKUP($B211,Feature_List!$A:$AM,MATCH(DN$1,  Feature_List!$A$1:$AM$1,0),0)=BC211,".","NO"))</f>
        <v>.</v>
      </c>
      <c r="DO211" s="136" t="str">
        <f>IF($D211&lt;&gt;"Feature",".",
IF(VLOOKUP($B211,Feature_List!$A:$AM,MATCH(DO$1,  Feature_List!$A$1:$AM$1,0),0)=BD211,".","NO"))</f>
        <v>.</v>
      </c>
    </row>
    <row r="212" spans="2:119" x14ac:dyDescent="0.3">
      <c r="B212" s="121"/>
      <c r="C212" s="123"/>
      <c r="D212" s="122"/>
      <c r="E212" s="122"/>
      <c r="F212" s="123"/>
      <c r="G212" s="123"/>
      <c r="H212" s="122"/>
      <c r="I212" s="124"/>
      <c r="J212" s="123"/>
      <c r="K212" s="123"/>
      <c r="L212" s="122"/>
      <c r="M212" s="122"/>
      <c r="N212" s="122"/>
      <c r="O212" s="123">
        <f t="shared" si="112"/>
        <v>0</v>
      </c>
      <c r="P212" s="123">
        <f t="shared" si="113"/>
        <v>0</v>
      </c>
      <c r="Q212" s="122" t="str">
        <f t="shared" si="135"/>
        <v>ZeroEntry</v>
      </c>
      <c r="R212" s="126" t="str">
        <f t="shared" si="114"/>
        <v>ZeroEntry</v>
      </c>
      <c r="S212" s="127" t="str">
        <f t="shared" si="115"/>
        <v>ZeroEntry</v>
      </c>
      <c r="T212" s="128" t="str">
        <f>IF($Q212="ZeroEntry", "",VLOOKUP($I212,'Ranking Lookup'!#REF!,2,FALSE))</f>
        <v/>
      </c>
      <c r="U212" s="129" t="str">
        <f t="shared" si="116"/>
        <v/>
      </c>
      <c r="V212" s="129" t="str">
        <f t="shared" si="117"/>
        <v/>
      </c>
      <c r="W212" s="129" t="str">
        <f t="shared" si="118"/>
        <v/>
      </c>
      <c r="X212" s="129" t="str">
        <f t="shared" si="119"/>
        <v/>
      </c>
      <c r="Y212" s="129" t="str">
        <f t="shared" si="120"/>
        <v/>
      </c>
      <c r="Z212" s="129" t="str">
        <f t="shared" si="121"/>
        <v/>
      </c>
      <c r="AA212" s="130"/>
      <c r="AB212" s="130" t="str">
        <f t="shared" si="122"/>
        <v>Unassigned</v>
      </c>
      <c r="AC212" s="131" t="str">
        <f t="shared" si="136"/>
        <v/>
      </c>
      <c r="AD212" s="131" t="str">
        <f t="shared" si="137"/>
        <v/>
      </c>
      <c r="AE212" s="132">
        <f t="shared" si="123"/>
        <v>0</v>
      </c>
      <c r="AF212" s="133" t="str">
        <f t="shared" si="138"/>
        <v/>
      </c>
      <c r="AG212" s="134">
        <f t="shared" si="124"/>
        <v>0</v>
      </c>
      <c r="AH212" s="54" t="str">
        <f t="shared" si="125"/>
        <v/>
      </c>
      <c r="AI212" s="54" t="str">
        <f t="shared" si="142"/>
        <v/>
      </c>
      <c r="AJ212" s="54" t="str">
        <f t="shared" si="142"/>
        <v/>
      </c>
      <c r="AK212" s="54" t="str">
        <f t="shared" si="142"/>
        <v/>
      </c>
      <c r="AL212" s="54" t="str">
        <f t="shared" si="142"/>
        <v/>
      </c>
      <c r="AM212" s="54" t="str">
        <f t="shared" si="142"/>
        <v/>
      </c>
      <c r="AN212" s="54" t="str">
        <f t="shared" si="142"/>
        <v/>
      </c>
      <c r="AO212" s="54" t="str">
        <f t="shared" si="142"/>
        <v/>
      </c>
      <c r="AP212" s="54" t="str">
        <f t="shared" si="142"/>
        <v/>
      </c>
      <c r="AQ212" s="54" t="str">
        <f t="shared" si="142"/>
        <v/>
      </c>
      <c r="AR212" s="54" t="str">
        <f t="shared" si="142"/>
        <v/>
      </c>
      <c r="AS212" s="54" t="str">
        <f t="shared" si="142"/>
        <v/>
      </c>
      <c r="AT212" s="54" t="str">
        <f t="shared" si="142"/>
        <v/>
      </c>
      <c r="AU212" s="54" t="str">
        <f t="shared" si="142"/>
        <v/>
      </c>
      <c r="AV212" s="54" t="str">
        <f t="shared" si="142"/>
        <v/>
      </c>
      <c r="AW212" s="54" t="str">
        <f t="shared" si="142"/>
        <v/>
      </c>
      <c r="AX212" s="54" t="str">
        <f t="shared" si="142"/>
        <v/>
      </c>
      <c r="AY212" s="54" t="str">
        <f t="shared" si="139"/>
        <v/>
      </c>
      <c r="AZ212" s="54" t="str">
        <f t="shared" si="128"/>
        <v/>
      </c>
      <c r="BA212" s="54" t="str">
        <f t="shared" si="129"/>
        <v/>
      </c>
      <c r="BB212" s="135" t="str">
        <f t="shared" si="130"/>
        <v/>
      </c>
      <c r="BC212" s="54" t="str">
        <f t="shared" si="140"/>
        <v/>
      </c>
      <c r="BD212" s="54" t="str">
        <f t="shared" si="140"/>
        <v/>
      </c>
      <c r="BE212" s="54" t="str">
        <f t="shared" si="140"/>
        <v/>
      </c>
      <c r="BF212" s="54" t="str">
        <f t="shared" si="131"/>
        <v/>
      </c>
      <c r="BG212" s="54" t="str">
        <f t="shared" si="132"/>
        <v/>
      </c>
      <c r="BH212" s="34" t="str">
        <f t="shared" si="133"/>
        <v>Bad</v>
      </c>
      <c r="BI212" s="34" t="str">
        <f t="shared" si="134"/>
        <v>No</v>
      </c>
      <c r="BJ212" s="136" t="str">
        <f>IF($D212&lt;&gt;"Feature",".",
IF(VLOOKUP($B212,Feature_List!$A:$AM,MATCH(BJ$1,  Feature_List!$A$1:$AM$1,0),0)=B212,".","NO"))</f>
        <v>.</v>
      </c>
      <c r="BK212" s="136"/>
      <c r="BL212" s="136"/>
      <c r="BM212" s="136" t="str">
        <f>IF($D212&lt;&gt;"Feature",".",
IF(VLOOKUP($B212,Feature_List!$A:$AM,MATCH(BM$1,  Feature_List!$A$1:$AM$1,0),0)=E212,".","NO"))</f>
        <v>.</v>
      </c>
      <c r="BN212" s="136" t="str">
        <f>IF($D212&lt;&gt;"Feature",".",
IF(VLOOKUP($B212,Feature_List!$A:$AM,MATCH(BN$1,  Feature_List!$A$1:$AM$1,0),0)=F212,".","NO"))</f>
        <v>.</v>
      </c>
      <c r="BO212" s="136" t="str">
        <f>IF($D212&lt;&gt;"Feature",".",
IF(VLOOKUP($B212,Feature_List!$A:$AM,MATCH(BO$1,  Feature_List!$A$1:$AM$1,0),0)=G212,".","NO"))</f>
        <v>.</v>
      </c>
      <c r="BP212" s="136" t="str">
        <f>IF($D212&lt;&gt;"Feature",".",
IF(VLOOKUP($B212,Feature_List!$A:$AM,MATCH(BP$1,  Feature_List!$A$1:$AM$1,0),0)=H212,".","NO"))</f>
        <v>.</v>
      </c>
      <c r="BQ212" s="136"/>
      <c r="BR212" s="136" t="str">
        <f>IF($D212&lt;&gt;"Feature",".",
IF(VLOOKUP($B212,Feature_List!$A:$AM,MATCH(BR$1,  Feature_List!$A$1:$AM$1,0),0)=J212,".","NO"))</f>
        <v>.</v>
      </c>
      <c r="BS212" s="136"/>
      <c r="BT212" s="136"/>
      <c r="BU212" s="136" t="str">
        <f>IF($D212&lt;&gt;"Feature",".",
IF(VLOOKUP($B212,Feature_List!$A:$AM,MATCH(BU$1,  Feature_List!$A$1:$AM$1,0),0)=M212,".","NO"))</f>
        <v>.</v>
      </c>
      <c r="BV212" s="136" t="str">
        <f>IF($D212&lt;&gt;"Feature",".",
IF(VLOOKUP($B212,Feature_List!$A:$AM,MATCH(BV$1,  Feature_List!$A$1:$AM$1,0),0)=N212,".","NO"))</f>
        <v>.</v>
      </c>
      <c r="BW212" s="136"/>
      <c r="BX212" s="136"/>
      <c r="BY212" s="136"/>
      <c r="BZ212" s="136"/>
      <c r="CA212" s="136"/>
      <c r="CB212" s="136" t="str">
        <f>IF($D212&lt;&gt;"Feature",".",
IF(VLOOKUP($B212,Feature_List!$A:$AM,MATCH(CB$1,  Feature_List!$A$1:$AM$1,0),0)=T212,".","NO"))</f>
        <v>.</v>
      </c>
      <c r="CC212" s="136"/>
      <c r="CD212" s="136"/>
      <c r="CE212" s="136"/>
      <c r="CF212" s="136"/>
      <c r="CG212" s="136"/>
      <c r="CH212" s="136"/>
      <c r="CI212" s="136"/>
      <c r="CJ212" s="136"/>
      <c r="CK212" s="136"/>
      <c r="CL212" s="136"/>
      <c r="CM212" s="136"/>
      <c r="CN212" s="136"/>
      <c r="CO212" s="136" t="str">
        <f>IF($D212&lt;&gt;"Feature",".",
IF(VLOOKUP($B212,Feature_List!$A:$AM,MATCH(CO$1,  Feature_List!$A$1:$AM$1,0),0)=AG212,".","NO"))</f>
        <v>.</v>
      </c>
      <c r="CP212" s="136" t="str">
        <f>IF($D212&lt;&gt;"Feature",".",
IF(VLOOKUP($B212,Feature_List!$A:$AM,MATCH(CP$1,  Feature_List!$A$1:$AM$1,0),0)=AH212,".","NO"))</f>
        <v>.</v>
      </c>
      <c r="CQ212" s="136" t="str">
        <f>IF($D212&lt;&gt;"Feature",".",
IF(VLOOKUP($B212,Feature_List!$A:$AM,MATCH(CQ$1,  Feature_List!$A$1:$AM$1,0),0)=AI212,".","NO"))</f>
        <v>.</v>
      </c>
      <c r="CR212" s="136" t="str">
        <f>IF($D212&lt;&gt;"Feature",".",
IF(VLOOKUP($B212,Feature_List!$A:$AM,MATCH(CR$1,  Feature_List!$A$1:$AM$1,0),0)=AJ212,".","NO"))</f>
        <v>.</v>
      </c>
      <c r="CS212" s="136" t="str">
        <f>IF($D212&lt;&gt;"Feature",".",
IF(VLOOKUP($B212,Feature_List!$A:$AM,MATCH(CS$1,  Feature_List!$A$1:$AM$1,0),0)=AK212,".","NO"))</f>
        <v>.</v>
      </c>
      <c r="CT212" s="136" t="str">
        <f>IF($D212&lt;&gt;"Feature",".",
IF(VLOOKUP($B212,Feature_List!$A:$AM,MATCH(CT$1,  Feature_List!$A$1:$AM$1,0),0)=AL212,".","NO"))</f>
        <v>.</v>
      </c>
      <c r="CU212" s="136" t="str">
        <f>IF($D212&lt;&gt;"Feature",".",
IF(VLOOKUP($B212,Feature_List!$A:$AM,MATCH(CU$1,  Feature_List!$A$1:$AM$1,0),0)=AM212,".","NO"))</f>
        <v>.</v>
      </c>
      <c r="CV212" s="136" t="str">
        <f>IF($D212&lt;&gt;"Feature",".",
IF(VLOOKUP($B212,Feature_List!$A:$AM,MATCH(CV$1,  Feature_List!$A$1:$AM$1,0),0)=AN212,".","NO"))</f>
        <v>.</v>
      </c>
      <c r="CW212" s="136" t="str">
        <f>IF($D212&lt;&gt;"Feature",".",
IF(VLOOKUP($B212,Feature_List!$A:$AM,MATCH(CW$1,  Feature_List!$A$1:$AM$1,0),0)=AO212,".","NO"))</f>
        <v>.</v>
      </c>
      <c r="CX212" s="136" t="str">
        <f>IF($D212&lt;&gt;"Feature",".",
IF(VLOOKUP($B212,Feature_List!$A:$AM,MATCH(CX$1,  Feature_List!$A$1:$AM$1,0),0)=AP212,".","NO"))</f>
        <v>.</v>
      </c>
      <c r="CY212" s="136" t="str">
        <f>IF($D212&lt;&gt;"Feature",".",
IF(VLOOKUP($B212,Feature_List!$A:$AM,MATCH(CY$1,  Feature_List!$A$1:$AM$1,0),0)=AQ212,".","NO"))</f>
        <v>.</v>
      </c>
      <c r="CZ212" s="136" t="str">
        <f>IF($D212&lt;&gt;"Feature",".",
IF(VLOOKUP($B212,Feature_List!$A:$AM,MATCH(CZ$1,  Feature_List!$A$1:$AM$1,0),0)=AR212,".","NO"))</f>
        <v>.</v>
      </c>
      <c r="DA212" s="136" t="str">
        <f>IF($D212&lt;&gt;"Feature",".",
IF(VLOOKUP($B212,Feature_List!$A:$AM,MATCH(DA$1,  Feature_List!$A$1:$AM$1,0),0)=AS212,".","NO"))</f>
        <v>.</v>
      </c>
      <c r="DB212" s="136" t="str">
        <f>IF($D212&lt;&gt;"Feature",".",
IF(VLOOKUP($B212,Feature_List!$A:$AM,MATCH(DB$1,  Feature_List!$A$1:$AM$1,0),0)=AT212,".","NO"))</f>
        <v>.</v>
      </c>
      <c r="DC212" s="136" t="str">
        <f>IF($D212&lt;&gt;"Feature",".",
IF(VLOOKUP($B212,Feature_List!$A:$AM,MATCH(DC$1,  Feature_List!$A$1:$AM$1,0),0)=AU212,".","NO"))</f>
        <v>.</v>
      </c>
      <c r="DD212" s="136" t="str">
        <f>IF($D212&lt;&gt;"Feature",".",
IF(VLOOKUP($B212,Feature_List!$A:$AM,MATCH(DD$1,  Feature_List!$A$1:$AM$1,0),0)=AV212,".","NO"))</f>
        <v>.</v>
      </c>
      <c r="DE212" s="136" t="str">
        <f>IF($D212&lt;&gt;"Feature",".",
IF(VLOOKUP($B212,Feature_List!$A:$AM,MATCH(DE$1,  Feature_List!$A$1:$AM$1,0),0)=AW212,".","NO"))</f>
        <v>.</v>
      </c>
      <c r="DF212" s="136" t="str">
        <f>IF($D212&lt;&gt;"Feature",".",
IF(VLOOKUP($B212,Feature_List!$A:$AM,MATCH(DF$1,  Feature_List!$A$1:$AM$1,0),0)=AX212,".","NO"))</f>
        <v>.</v>
      </c>
      <c r="DG212" s="136" t="str">
        <f>IF($D212&lt;&gt;"Feature",".",
IF(VLOOKUP($B212,Feature_List!$A:$AM,MATCH(DG$1,  Feature_List!$A$1:$AM$1,0),0)=AY212,".","NO"))</f>
        <v>.</v>
      </c>
      <c r="DH212" s="136" t="str">
        <f>IF($D212&lt;&gt;"Feature",".",
IF(VLOOKUP($B212,Feature_List!$A:$AM,MATCH(DH$1,  Feature_List!$A$1:$AM$1,0),0)=AZ212,".","NO"))</f>
        <v>.</v>
      </c>
      <c r="DI212" s="136" t="str">
        <f>IF($D212&lt;&gt;"Feature",".",
IF(VLOOKUP($B212,Feature_List!$A:$AM,MATCH(DI$1,  Feature_List!$A$1:$AM$1,0),0)=BA212,".","NO"))</f>
        <v>.</v>
      </c>
      <c r="DJ212" s="136" t="str">
        <f>IF($D212&lt;&gt;"Feature",".",
IF(VLOOKUP($B212,Feature_List!$A:$AM,MATCH(DJ$1,  Feature_List!$A$1:$AM$1,0),0)=BB212,".","NO"))</f>
        <v>.</v>
      </c>
      <c r="DK212" s="136"/>
      <c r="DL212" s="136"/>
      <c r="DM212" s="136"/>
      <c r="DN212" s="136" t="str">
        <f>IF($D212&lt;&gt;"Feature",".",
IF(VLOOKUP($B212,Feature_List!$A:$AM,MATCH(DN$1,  Feature_List!$A$1:$AM$1,0),0)=BC212,".","NO"))</f>
        <v>.</v>
      </c>
      <c r="DO212" s="136" t="str">
        <f>IF($D212&lt;&gt;"Feature",".",
IF(VLOOKUP($B212,Feature_List!$A:$AM,MATCH(DO$1,  Feature_List!$A$1:$AM$1,0),0)=BD212,".","NO"))</f>
        <v>.</v>
      </c>
    </row>
    <row r="213" spans="2:119" x14ac:dyDescent="0.3">
      <c r="B213" s="121"/>
      <c r="C213" s="122"/>
      <c r="D213" s="122"/>
      <c r="E213" s="122"/>
      <c r="F213" s="123"/>
      <c r="G213" s="123"/>
      <c r="H213" s="122"/>
      <c r="I213" s="124"/>
      <c r="J213" s="123"/>
      <c r="K213" s="123"/>
      <c r="L213" s="122"/>
      <c r="M213" s="122"/>
      <c r="N213" s="122"/>
      <c r="O213" s="123">
        <f t="shared" si="112"/>
        <v>0</v>
      </c>
      <c r="P213" s="123">
        <f t="shared" si="113"/>
        <v>0</v>
      </c>
      <c r="Q213" s="122" t="str">
        <f t="shared" si="135"/>
        <v>ZeroEntry</v>
      </c>
      <c r="R213" s="126" t="str">
        <f t="shared" si="114"/>
        <v>ZeroEntry</v>
      </c>
      <c r="S213" s="127" t="str">
        <f t="shared" si="115"/>
        <v>ZeroEntry</v>
      </c>
      <c r="T213" s="128" t="str">
        <f>IF($Q213="ZeroEntry", "",VLOOKUP($I213,'Ranking Lookup'!#REF!,2,FALSE))</f>
        <v/>
      </c>
      <c r="U213" s="129" t="str">
        <f t="shared" si="116"/>
        <v/>
      </c>
      <c r="V213" s="129" t="str">
        <f t="shared" si="117"/>
        <v/>
      </c>
      <c r="W213" s="129" t="str">
        <f t="shared" si="118"/>
        <v/>
      </c>
      <c r="X213" s="129" t="str">
        <f t="shared" si="119"/>
        <v/>
      </c>
      <c r="Y213" s="129" t="str">
        <f t="shared" si="120"/>
        <v/>
      </c>
      <c r="Z213" s="129" t="str">
        <f t="shared" si="121"/>
        <v/>
      </c>
      <c r="AA213" s="130"/>
      <c r="AB213" s="130" t="str">
        <f t="shared" si="122"/>
        <v>Unassigned</v>
      </c>
      <c r="AC213" s="131" t="str">
        <f t="shared" si="136"/>
        <v/>
      </c>
      <c r="AD213" s="131" t="str">
        <f t="shared" si="137"/>
        <v/>
      </c>
      <c r="AE213" s="132">
        <f t="shared" si="123"/>
        <v>0</v>
      </c>
      <c r="AF213" s="133" t="str">
        <f t="shared" si="138"/>
        <v/>
      </c>
      <c r="AG213" s="134">
        <f t="shared" si="124"/>
        <v>0</v>
      </c>
      <c r="AH213" s="54" t="str">
        <f t="shared" si="125"/>
        <v/>
      </c>
      <c r="AI213" s="54" t="str">
        <f t="shared" si="142"/>
        <v/>
      </c>
      <c r="AJ213" s="54" t="str">
        <f t="shared" si="142"/>
        <v/>
      </c>
      <c r="AK213" s="54" t="str">
        <f t="shared" si="142"/>
        <v/>
      </c>
      <c r="AL213" s="54" t="str">
        <f t="shared" si="142"/>
        <v/>
      </c>
      <c r="AM213" s="54" t="str">
        <f t="shared" si="142"/>
        <v/>
      </c>
      <c r="AN213" s="54" t="str">
        <f t="shared" si="142"/>
        <v/>
      </c>
      <c r="AO213" s="54" t="str">
        <f t="shared" si="142"/>
        <v/>
      </c>
      <c r="AP213" s="54" t="str">
        <f t="shared" si="142"/>
        <v/>
      </c>
      <c r="AQ213" s="54" t="str">
        <f t="shared" si="142"/>
        <v/>
      </c>
      <c r="AR213" s="54" t="str">
        <f t="shared" si="142"/>
        <v/>
      </c>
      <c r="AS213" s="54" t="str">
        <f t="shared" si="142"/>
        <v/>
      </c>
      <c r="AT213" s="54" t="str">
        <f t="shared" si="142"/>
        <v/>
      </c>
      <c r="AU213" s="54" t="str">
        <f t="shared" si="142"/>
        <v/>
      </c>
      <c r="AV213" s="54" t="str">
        <f t="shared" si="142"/>
        <v/>
      </c>
      <c r="AW213" s="54" t="str">
        <f t="shared" si="142"/>
        <v/>
      </c>
      <c r="AX213" s="54" t="str">
        <f t="shared" si="142"/>
        <v/>
      </c>
      <c r="AY213" s="54" t="str">
        <f t="shared" si="139"/>
        <v/>
      </c>
      <c r="AZ213" s="54" t="str">
        <f t="shared" si="128"/>
        <v/>
      </c>
      <c r="BA213" s="54" t="str">
        <f t="shared" si="129"/>
        <v/>
      </c>
      <c r="BB213" s="135" t="str">
        <f t="shared" si="130"/>
        <v/>
      </c>
      <c r="BC213" s="54" t="str">
        <f t="shared" si="140"/>
        <v/>
      </c>
      <c r="BD213" s="54" t="str">
        <f t="shared" si="140"/>
        <v/>
      </c>
      <c r="BE213" s="54" t="str">
        <f t="shared" si="140"/>
        <v/>
      </c>
      <c r="BF213" s="54" t="str">
        <f t="shared" si="131"/>
        <v/>
      </c>
      <c r="BG213" s="54" t="str">
        <f t="shared" si="132"/>
        <v/>
      </c>
      <c r="BH213" s="34" t="str">
        <f t="shared" si="133"/>
        <v>Bad</v>
      </c>
      <c r="BI213" s="34" t="str">
        <f t="shared" si="134"/>
        <v>No</v>
      </c>
      <c r="BJ213" s="136" t="str">
        <f>IF($D213&lt;&gt;"Feature",".",
IF(VLOOKUP($B213,Feature_List!$A:$AM,MATCH(BJ$1,  Feature_List!$A$1:$AM$1,0),0)=B213,".","NO"))</f>
        <v>.</v>
      </c>
      <c r="BK213" s="136"/>
      <c r="BL213" s="136"/>
      <c r="BM213" s="136" t="str">
        <f>IF($D213&lt;&gt;"Feature",".",
IF(VLOOKUP($B213,Feature_List!$A:$AM,MATCH(BM$1,  Feature_List!$A$1:$AM$1,0),0)=E213,".","NO"))</f>
        <v>.</v>
      </c>
      <c r="BN213" s="136" t="str">
        <f>IF($D213&lt;&gt;"Feature",".",
IF(VLOOKUP($B213,Feature_List!$A:$AM,MATCH(BN$1,  Feature_List!$A$1:$AM$1,0),0)=F213,".","NO"))</f>
        <v>.</v>
      </c>
      <c r="BO213" s="136" t="str">
        <f>IF($D213&lt;&gt;"Feature",".",
IF(VLOOKUP($B213,Feature_List!$A:$AM,MATCH(BO$1,  Feature_List!$A$1:$AM$1,0),0)=G213,".","NO"))</f>
        <v>.</v>
      </c>
      <c r="BP213" s="136" t="str">
        <f>IF($D213&lt;&gt;"Feature",".",
IF(VLOOKUP($B213,Feature_List!$A:$AM,MATCH(BP$1,  Feature_List!$A$1:$AM$1,0),0)=H213,".","NO"))</f>
        <v>.</v>
      </c>
      <c r="BQ213" s="136"/>
      <c r="BR213" s="136" t="str">
        <f>IF($D213&lt;&gt;"Feature",".",
IF(VLOOKUP($B213,Feature_List!$A:$AM,MATCH(BR$1,  Feature_List!$A$1:$AM$1,0),0)=J213,".","NO"))</f>
        <v>.</v>
      </c>
      <c r="BS213" s="136"/>
      <c r="BT213" s="136"/>
      <c r="BU213" s="136" t="str">
        <f>IF($D213&lt;&gt;"Feature",".",
IF(VLOOKUP($B213,Feature_List!$A:$AM,MATCH(BU$1,  Feature_List!$A$1:$AM$1,0),0)=M213,".","NO"))</f>
        <v>.</v>
      </c>
      <c r="BV213" s="136" t="str">
        <f>IF($D213&lt;&gt;"Feature",".",
IF(VLOOKUP($B213,Feature_List!$A:$AM,MATCH(BV$1,  Feature_List!$A$1:$AM$1,0),0)=N213,".","NO"))</f>
        <v>.</v>
      </c>
      <c r="BW213" s="136"/>
      <c r="BX213" s="136"/>
      <c r="BY213" s="136"/>
      <c r="BZ213" s="136"/>
      <c r="CA213" s="136"/>
      <c r="CB213" s="136" t="str">
        <f>IF($D213&lt;&gt;"Feature",".",
IF(VLOOKUP($B213,Feature_List!$A:$AM,MATCH(CB$1,  Feature_List!$A$1:$AM$1,0),0)=T213,".","NO"))</f>
        <v>.</v>
      </c>
      <c r="CC213" s="136"/>
      <c r="CD213" s="136"/>
      <c r="CE213" s="136"/>
      <c r="CF213" s="136"/>
      <c r="CG213" s="136"/>
      <c r="CH213" s="136"/>
      <c r="CI213" s="136"/>
      <c r="CJ213" s="136"/>
      <c r="CK213" s="136"/>
      <c r="CL213" s="136"/>
      <c r="CM213" s="136"/>
      <c r="CN213" s="136"/>
      <c r="CO213" s="136" t="str">
        <f>IF($D213&lt;&gt;"Feature",".",
IF(VLOOKUP($B213,Feature_List!$A:$AM,MATCH(CO$1,  Feature_List!$A$1:$AM$1,0),0)=AG213,".","NO"))</f>
        <v>.</v>
      </c>
      <c r="CP213" s="136" t="str">
        <f>IF($D213&lt;&gt;"Feature",".",
IF(VLOOKUP($B213,Feature_List!$A:$AM,MATCH(CP$1,  Feature_List!$A$1:$AM$1,0),0)=AH213,".","NO"))</f>
        <v>.</v>
      </c>
      <c r="CQ213" s="136" t="str">
        <f>IF($D213&lt;&gt;"Feature",".",
IF(VLOOKUP($B213,Feature_List!$A:$AM,MATCH(CQ$1,  Feature_List!$A$1:$AM$1,0),0)=AI213,".","NO"))</f>
        <v>.</v>
      </c>
      <c r="CR213" s="136" t="str">
        <f>IF($D213&lt;&gt;"Feature",".",
IF(VLOOKUP($B213,Feature_List!$A:$AM,MATCH(CR$1,  Feature_List!$A$1:$AM$1,0),0)=AJ213,".","NO"))</f>
        <v>.</v>
      </c>
      <c r="CS213" s="136" t="str">
        <f>IF($D213&lt;&gt;"Feature",".",
IF(VLOOKUP($B213,Feature_List!$A:$AM,MATCH(CS$1,  Feature_List!$A$1:$AM$1,0),0)=AK213,".","NO"))</f>
        <v>.</v>
      </c>
      <c r="CT213" s="136" t="str">
        <f>IF($D213&lt;&gt;"Feature",".",
IF(VLOOKUP($B213,Feature_List!$A:$AM,MATCH(CT$1,  Feature_List!$A$1:$AM$1,0),0)=AL213,".","NO"))</f>
        <v>.</v>
      </c>
      <c r="CU213" s="136" t="str">
        <f>IF($D213&lt;&gt;"Feature",".",
IF(VLOOKUP($B213,Feature_List!$A:$AM,MATCH(CU$1,  Feature_List!$A$1:$AM$1,0),0)=AM213,".","NO"))</f>
        <v>.</v>
      </c>
      <c r="CV213" s="136" t="str">
        <f>IF($D213&lt;&gt;"Feature",".",
IF(VLOOKUP($B213,Feature_List!$A:$AM,MATCH(CV$1,  Feature_List!$A$1:$AM$1,0),0)=AN213,".","NO"))</f>
        <v>.</v>
      </c>
      <c r="CW213" s="136" t="str">
        <f>IF($D213&lt;&gt;"Feature",".",
IF(VLOOKUP($B213,Feature_List!$A:$AM,MATCH(CW$1,  Feature_List!$A$1:$AM$1,0),0)=AO213,".","NO"))</f>
        <v>.</v>
      </c>
      <c r="CX213" s="136" t="str">
        <f>IF($D213&lt;&gt;"Feature",".",
IF(VLOOKUP($B213,Feature_List!$A:$AM,MATCH(CX$1,  Feature_List!$A$1:$AM$1,0),0)=AP213,".","NO"))</f>
        <v>.</v>
      </c>
      <c r="CY213" s="136" t="str">
        <f>IF($D213&lt;&gt;"Feature",".",
IF(VLOOKUP($B213,Feature_List!$A:$AM,MATCH(CY$1,  Feature_List!$A$1:$AM$1,0),0)=AQ213,".","NO"))</f>
        <v>.</v>
      </c>
      <c r="CZ213" s="136" t="str">
        <f>IF($D213&lt;&gt;"Feature",".",
IF(VLOOKUP($B213,Feature_List!$A:$AM,MATCH(CZ$1,  Feature_List!$A$1:$AM$1,0),0)=AR213,".","NO"))</f>
        <v>.</v>
      </c>
      <c r="DA213" s="136" t="str">
        <f>IF($D213&lt;&gt;"Feature",".",
IF(VLOOKUP($B213,Feature_List!$A:$AM,MATCH(DA$1,  Feature_List!$A$1:$AM$1,0),0)=AS213,".","NO"))</f>
        <v>.</v>
      </c>
      <c r="DB213" s="136" t="str">
        <f>IF($D213&lt;&gt;"Feature",".",
IF(VLOOKUP($B213,Feature_List!$A:$AM,MATCH(DB$1,  Feature_List!$A$1:$AM$1,0),0)=AT213,".","NO"))</f>
        <v>.</v>
      </c>
      <c r="DC213" s="136" t="str">
        <f>IF($D213&lt;&gt;"Feature",".",
IF(VLOOKUP($B213,Feature_List!$A:$AM,MATCH(DC$1,  Feature_List!$A$1:$AM$1,0),0)=AU213,".","NO"))</f>
        <v>.</v>
      </c>
      <c r="DD213" s="136" t="str">
        <f>IF($D213&lt;&gt;"Feature",".",
IF(VLOOKUP($B213,Feature_List!$A:$AM,MATCH(DD$1,  Feature_List!$A$1:$AM$1,0),0)=AV213,".","NO"))</f>
        <v>.</v>
      </c>
      <c r="DE213" s="136" t="str">
        <f>IF($D213&lt;&gt;"Feature",".",
IF(VLOOKUP($B213,Feature_List!$A:$AM,MATCH(DE$1,  Feature_List!$A$1:$AM$1,0),0)=AW213,".","NO"))</f>
        <v>.</v>
      </c>
      <c r="DF213" s="136" t="str">
        <f>IF($D213&lt;&gt;"Feature",".",
IF(VLOOKUP($B213,Feature_List!$A:$AM,MATCH(DF$1,  Feature_List!$A$1:$AM$1,0),0)=AX213,".","NO"))</f>
        <v>.</v>
      </c>
      <c r="DG213" s="136" t="str">
        <f>IF($D213&lt;&gt;"Feature",".",
IF(VLOOKUP($B213,Feature_List!$A:$AM,MATCH(DG$1,  Feature_List!$A$1:$AM$1,0),0)=AY213,".","NO"))</f>
        <v>.</v>
      </c>
      <c r="DH213" s="136" t="str">
        <f>IF($D213&lt;&gt;"Feature",".",
IF(VLOOKUP($B213,Feature_List!$A:$AM,MATCH(DH$1,  Feature_List!$A$1:$AM$1,0),0)=AZ213,".","NO"))</f>
        <v>.</v>
      </c>
      <c r="DI213" s="136" t="str">
        <f>IF($D213&lt;&gt;"Feature",".",
IF(VLOOKUP($B213,Feature_List!$A:$AM,MATCH(DI$1,  Feature_List!$A$1:$AM$1,0),0)=BA213,".","NO"))</f>
        <v>.</v>
      </c>
      <c r="DJ213" s="136" t="str">
        <f>IF($D213&lt;&gt;"Feature",".",
IF(VLOOKUP($B213,Feature_List!$A:$AM,MATCH(DJ$1,  Feature_List!$A$1:$AM$1,0),0)=BB213,".","NO"))</f>
        <v>.</v>
      </c>
      <c r="DK213" s="136"/>
      <c r="DL213" s="136"/>
      <c r="DM213" s="136"/>
      <c r="DN213" s="136" t="str">
        <f>IF($D213&lt;&gt;"Feature",".",
IF(VLOOKUP($B213,Feature_List!$A:$AM,MATCH(DN$1,  Feature_List!$A$1:$AM$1,0),0)=BC213,".","NO"))</f>
        <v>.</v>
      </c>
      <c r="DO213" s="136" t="str">
        <f>IF($D213&lt;&gt;"Feature",".",
IF(VLOOKUP($B213,Feature_List!$A:$AM,MATCH(DO$1,  Feature_List!$A$1:$AM$1,0),0)=BD213,".","NO"))</f>
        <v>.</v>
      </c>
    </row>
    <row r="214" spans="2:119" x14ac:dyDescent="0.3">
      <c r="B214" s="121"/>
      <c r="C214" s="122"/>
      <c r="D214" s="122"/>
      <c r="E214" s="122"/>
      <c r="F214" s="123"/>
      <c r="G214" s="123"/>
      <c r="H214" s="122"/>
      <c r="I214" s="124"/>
      <c r="J214" s="123"/>
      <c r="K214" s="123"/>
      <c r="L214" s="122"/>
      <c r="M214" s="122"/>
      <c r="N214" s="122"/>
      <c r="O214" s="123">
        <f t="shared" si="112"/>
        <v>0</v>
      </c>
      <c r="P214" s="123">
        <f t="shared" si="113"/>
        <v>0</v>
      </c>
      <c r="Q214" s="122" t="str">
        <f t="shared" si="135"/>
        <v>ZeroEntry</v>
      </c>
      <c r="R214" s="126" t="str">
        <f t="shared" si="114"/>
        <v>ZeroEntry</v>
      </c>
      <c r="S214" s="127" t="str">
        <f t="shared" si="115"/>
        <v>ZeroEntry</v>
      </c>
      <c r="T214" s="128" t="str">
        <f>IF($Q214="ZeroEntry", "",VLOOKUP($I214,'Ranking Lookup'!#REF!,2,FALSE))</f>
        <v/>
      </c>
      <c r="U214" s="129" t="str">
        <f t="shared" si="116"/>
        <v/>
      </c>
      <c r="V214" s="129" t="str">
        <f t="shared" si="117"/>
        <v/>
      </c>
      <c r="W214" s="129" t="str">
        <f t="shared" si="118"/>
        <v/>
      </c>
      <c r="X214" s="129" t="str">
        <f t="shared" si="119"/>
        <v/>
      </c>
      <c r="Y214" s="129" t="str">
        <f t="shared" si="120"/>
        <v/>
      </c>
      <c r="Z214" s="129" t="str">
        <f t="shared" si="121"/>
        <v/>
      </c>
      <c r="AA214" s="130"/>
      <c r="AB214" s="130" t="str">
        <f t="shared" si="122"/>
        <v>Unassigned</v>
      </c>
      <c r="AC214" s="131" t="str">
        <f t="shared" si="136"/>
        <v/>
      </c>
      <c r="AD214" s="131" t="str">
        <f t="shared" si="137"/>
        <v/>
      </c>
      <c r="AE214" s="132">
        <f t="shared" si="123"/>
        <v>0</v>
      </c>
      <c r="AF214" s="133" t="str">
        <f t="shared" si="138"/>
        <v/>
      </c>
      <c r="AG214" s="134">
        <f t="shared" si="124"/>
        <v>0</v>
      </c>
      <c r="AH214" s="54" t="str">
        <f t="shared" si="125"/>
        <v/>
      </c>
      <c r="AI214" s="54" t="str">
        <f t="shared" si="142"/>
        <v/>
      </c>
      <c r="AJ214" s="54" t="str">
        <f t="shared" si="142"/>
        <v/>
      </c>
      <c r="AK214" s="54" t="str">
        <f t="shared" si="142"/>
        <v/>
      </c>
      <c r="AL214" s="54" t="str">
        <f t="shared" si="142"/>
        <v/>
      </c>
      <c r="AM214" s="54" t="str">
        <f t="shared" si="142"/>
        <v/>
      </c>
      <c r="AN214" s="54" t="str">
        <f t="shared" si="142"/>
        <v/>
      </c>
      <c r="AO214" s="54" t="str">
        <f t="shared" si="142"/>
        <v/>
      </c>
      <c r="AP214" s="54" t="str">
        <f t="shared" si="142"/>
        <v/>
      </c>
      <c r="AQ214" s="54" t="str">
        <f t="shared" si="142"/>
        <v/>
      </c>
      <c r="AR214" s="54" t="str">
        <f t="shared" si="142"/>
        <v/>
      </c>
      <c r="AS214" s="54" t="str">
        <f t="shared" si="142"/>
        <v/>
      </c>
      <c r="AT214" s="54" t="str">
        <f t="shared" si="142"/>
        <v/>
      </c>
      <c r="AU214" s="54" t="str">
        <f t="shared" si="142"/>
        <v/>
      </c>
      <c r="AV214" s="54" t="str">
        <f t="shared" si="142"/>
        <v/>
      </c>
      <c r="AW214" s="54" t="str">
        <f t="shared" si="142"/>
        <v/>
      </c>
      <c r="AX214" s="54" t="str">
        <f t="shared" si="142"/>
        <v/>
      </c>
      <c r="AY214" s="54" t="str">
        <f t="shared" si="139"/>
        <v/>
      </c>
      <c r="AZ214" s="54" t="str">
        <f t="shared" si="128"/>
        <v/>
      </c>
      <c r="BA214" s="54" t="str">
        <f t="shared" si="129"/>
        <v/>
      </c>
      <c r="BB214" s="135" t="str">
        <f t="shared" si="130"/>
        <v/>
      </c>
      <c r="BC214" s="54" t="str">
        <f t="shared" si="140"/>
        <v/>
      </c>
      <c r="BD214" s="54" t="str">
        <f t="shared" si="140"/>
        <v/>
      </c>
      <c r="BE214" s="54" t="str">
        <f t="shared" si="140"/>
        <v/>
      </c>
      <c r="BF214" s="54" t="str">
        <f t="shared" si="131"/>
        <v/>
      </c>
      <c r="BG214" s="54" t="str">
        <f t="shared" si="132"/>
        <v/>
      </c>
      <c r="BH214" s="34" t="str">
        <f t="shared" si="133"/>
        <v>Bad</v>
      </c>
      <c r="BI214" s="34" t="str">
        <f t="shared" si="134"/>
        <v>No</v>
      </c>
      <c r="BJ214" s="136" t="str">
        <f>IF($D214&lt;&gt;"Feature",".",
IF(VLOOKUP($B214,Feature_List!$A:$AM,MATCH(BJ$1,  Feature_List!$A$1:$AM$1,0),0)=B214,".","NO"))</f>
        <v>.</v>
      </c>
      <c r="BK214" s="136"/>
      <c r="BL214" s="136"/>
      <c r="BM214" s="136" t="str">
        <f>IF($D214&lt;&gt;"Feature",".",
IF(VLOOKUP($B214,Feature_List!$A:$AM,MATCH(BM$1,  Feature_List!$A$1:$AM$1,0),0)=E214,".","NO"))</f>
        <v>.</v>
      </c>
      <c r="BN214" s="136" t="str">
        <f>IF($D214&lt;&gt;"Feature",".",
IF(VLOOKUP($B214,Feature_List!$A:$AM,MATCH(BN$1,  Feature_List!$A$1:$AM$1,0),0)=F214,".","NO"))</f>
        <v>.</v>
      </c>
      <c r="BO214" s="136" t="str">
        <f>IF($D214&lt;&gt;"Feature",".",
IF(VLOOKUP($B214,Feature_List!$A:$AM,MATCH(BO$1,  Feature_List!$A$1:$AM$1,0),0)=G214,".","NO"))</f>
        <v>.</v>
      </c>
      <c r="BP214" s="136" t="str">
        <f>IF($D214&lt;&gt;"Feature",".",
IF(VLOOKUP($B214,Feature_List!$A:$AM,MATCH(BP$1,  Feature_List!$A$1:$AM$1,0),0)=H214,".","NO"))</f>
        <v>.</v>
      </c>
      <c r="BQ214" s="136"/>
      <c r="BR214" s="136" t="str">
        <f>IF($D214&lt;&gt;"Feature",".",
IF(VLOOKUP($B214,Feature_List!$A:$AM,MATCH(BR$1,  Feature_List!$A$1:$AM$1,0),0)=J214,".","NO"))</f>
        <v>.</v>
      </c>
      <c r="BS214" s="136"/>
      <c r="BT214" s="136"/>
      <c r="BU214" s="136" t="str">
        <f>IF($D214&lt;&gt;"Feature",".",
IF(VLOOKUP($B214,Feature_List!$A:$AM,MATCH(BU$1,  Feature_List!$A$1:$AM$1,0),0)=M214,".","NO"))</f>
        <v>.</v>
      </c>
      <c r="BV214" s="136" t="str">
        <f>IF($D214&lt;&gt;"Feature",".",
IF(VLOOKUP($B214,Feature_List!$A:$AM,MATCH(BV$1,  Feature_List!$A$1:$AM$1,0),0)=N214,".","NO"))</f>
        <v>.</v>
      </c>
      <c r="BW214" s="136"/>
      <c r="BX214" s="136"/>
      <c r="BY214" s="136"/>
      <c r="BZ214" s="136"/>
      <c r="CA214" s="136"/>
      <c r="CB214" s="136" t="str">
        <f>IF($D214&lt;&gt;"Feature",".",
IF(VLOOKUP($B214,Feature_List!$A:$AM,MATCH(CB$1,  Feature_List!$A$1:$AM$1,0),0)=T214,".","NO"))</f>
        <v>.</v>
      </c>
      <c r="CC214" s="136"/>
      <c r="CD214" s="136"/>
      <c r="CE214" s="136"/>
      <c r="CF214" s="136"/>
      <c r="CG214" s="136"/>
      <c r="CH214" s="136"/>
      <c r="CI214" s="136"/>
      <c r="CJ214" s="136"/>
      <c r="CK214" s="136"/>
      <c r="CL214" s="136"/>
      <c r="CM214" s="136"/>
      <c r="CN214" s="136"/>
      <c r="CO214" s="136" t="str">
        <f>IF($D214&lt;&gt;"Feature",".",
IF(VLOOKUP($B214,Feature_List!$A:$AM,MATCH(CO$1,  Feature_List!$A$1:$AM$1,0),0)=AG214,".","NO"))</f>
        <v>.</v>
      </c>
      <c r="CP214" s="136" t="str">
        <f>IF($D214&lt;&gt;"Feature",".",
IF(VLOOKUP($B214,Feature_List!$A:$AM,MATCH(CP$1,  Feature_List!$A$1:$AM$1,0),0)=AH214,".","NO"))</f>
        <v>.</v>
      </c>
      <c r="CQ214" s="136" t="str">
        <f>IF($D214&lt;&gt;"Feature",".",
IF(VLOOKUP($B214,Feature_List!$A:$AM,MATCH(CQ$1,  Feature_List!$A$1:$AM$1,0),0)=AI214,".","NO"))</f>
        <v>.</v>
      </c>
      <c r="CR214" s="136" t="str">
        <f>IF($D214&lt;&gt;"Feature",".",
IF(VLOOKUP($B214,Feature_List!$A:$AM,MATCH(CR$1,  Feature_List!$A$1:$AM$1,0),0)=AJ214,".","NO"))</f>
        <v>.</v>
      </c>
      <c r="CS214" s="136" t="str">
        <f>IF($D214&lt;&gt;"Feature",".",
IF(VLOOKUP($B214,Feature_List!$A:$AM,MATCH(CS$1,  Feature_List!$A$1:$AM$1,0),0)=AK214,".","NO"))</f>
        <v>.</v>
      </c>
      <c r="CT214" s="136" t="str">
        <f>IF($D214&lt;&gt;"Feature",".",
IF(VLOOKUP($B214,Feature_List!$A:$AM,MATCH(CT$1,  Feature_List!$A$1:$AM$1,0),0)=AL214,".","NO"))</f>
        <v>.</v>
      </c>
      <c r="CU214" s="136" t="str">
        <f>IF($D214&lt;&gt;"Feature",".",
IF(VLOOKUP($B214,Feature_List!$A:$AM,MATCH(CU$1,  Feature_List!$A$1:$AM$1,0),0)=AM214,".","NO"))</f>
        <v>.</v>
      </c>
      <c r="CV214" s="136" t="str">
        <f>IF($D214&lt;&gt;"Feature",".",
IF(VLOOKUP($B214,Feature_List!$A:$AM,MATCH(CV$1,  Feature_List!$A$1:$AM$1,0),0)=AN214,".","NO"))</f>
        <v>.</v>
      </c>
      <c r="CW214" s="136" t="str">
        <f>IF($D214&lt;&gt;"Feature",".",
IF(VLOOKUP($B214,Feature_List!$A:$AM,MATCH(CW$1,  Feature_List!$A$1:$AM$1,0),0)=AO214,".","NO"))</f>
        <v>.</v>
      </c>
      <c r="CX214" s="136" t="str">
        <f>IF($D214&lt;&gt;"Feature",".",
IF(VLOOKUP($B214,Feature_List!$A:$AM,MATCH(CX$1,  Feature_List!$A$1:$AM$1,0),0)=AP214,".","NO"))</f>
        <v>.</v>
      </c>
      <c r="CY214" s="136" t="str">
        <f>IF($D214&lt;&gt;"Feature",".",
IF(VLOOKUP($B214,Feature_List!$A:$AM,MATCH(CY$1,  Feature_List!$A$1:$AM$1,0),0)=AQ214,".","NO"))</f>
        <v>.</v>
      </c>
      <c r="CZ214" s="136" t="str">
        <f>IF($D214&lt;&gt;"Feature",".",
IF(VLOOKUP($B214,Feature_List!$A:$AM,MATCH(CZ$1,  Feature_List!$A$1:$AM$1,0),0)=AR214,".","NO"))</f>
        <v>.</v>
      </c>
      <c r="DA214" s="136" t="str">
        <f>IF($D214&lt;&gt;"Feature",".",
IF(VLOOKUP($B214,Feature_List!$A:$AM,MATCH(DA$1,  Feature_List!$A$1:$AM$1,0),0)=AS214,".","NO"))</f>
        <v>.</v>
      </c>
      <c r="DB214" s="136" t="str">
        <f>IF($D214&lt;&gt;"Feature",".",
IF(VLOOKUP($B214,Feature_List!$A:$AM,MATCH(DB$1,  Feature_List!$A$1:$AM$1,0),0)=AT214,".","NO"))</f>
        <v>.</v>
      </c>
      <c r="DC214" s="136" t="str">
        <f>IF($D214&lt;&gt;"Feature",".",
IF(VLOOKUP($B214,Feature_List!$A:$AM,MATCH(DC$1,  Feature_List!$A$1:$AM$1,0),0)=AU214,".","NO"))</f>
        <v>.</v>
      </c>
      <c r="DD214" s="136" t="str">
        <f>IF($D214&lt;&gt;"Feature",".",
IF(VLOOKUP($B214,Feature_List!$A:$AM,MATCH(DD$1,  Feature_List!$A$1:$AM$1,0),0)=AV214,".","NO"))</f>
        <v>.</v>
      </c>
      <c r="DE214" s="136" t="str">
        <f>IF($D214&lt;&gt;"Feature",".",
IF(VLOOKUP($B214,Feature_List!$A:$AM,MATCH(DE$1,  Feature_List!$A$1:$AM$1,0),0)=AW214,".","NO"))</f>
        <v>.</v>
      </c>
      <c r="DF214" s="136" t="str">
        <f>IF($D214&lt;&gt;"Feature",".",
IF(VLOOKUP($B214,Feature_List!$A:$AM,MATCH(DF$1,  Feature_List!$A$1:$AM$1,0),0)=AX214,".","NO"))</f>
        <v>.</v>
      </c>
      <c r="DG214" s="136" t="str">
        <f>IF($D214&lt;&gt;"Feature",".",
IF(VLOOKUP($B214,Feature_List!$A:$AM,MATCH(DG$1,  Feature_List!$A$1:$AM$1,0),0)=AY214,".","NO"))</f>
        <v>.</v>
      </c>
      <c r="DH214" s="136" t="str">
        <f>IF($D214&lt;&gt;"Feature",".",
IF(VLOOKUP($B214,Feature_List!$A:$AM,MATCH(DH$1,  Feature_List!$A$1:$AM$1,0),0)=AZ214,".","NO"))</f>
        <v>.</v>
      </c>
      <c r="DI214" s="136" t="str">
        <f>IF($D214&lt;&gt;"Feature",".",
IF(VLOOKUP($B214,Feature_List!$A:$AM,MATCH(DI$1,  Feature_List!$A$1:$AM$1,0),0)=BA214,".","NO"))</f>
        <v>.</v>
      </c>
      <c r="DJ214" s="136" t="str">
        <f>IF($D214&lt;&gt;"Feature",".",
IF(VLOOKUP($B214,Feature_List!$A:$AM,MATCH(DJ$1,  Feature_List!$A$1:$AM$1,0),0)=BB214,".","NO"))</f>
        <v>.</v>
      </c>
      <c r="DK214" s="136"/>
      <c r="DL214" s="136"/>
      <c r="DM214" s="136"/>
      <c r="DN214" s="136" t="str">
        <f>IF($D214&lt;&gt;"Feature",".",
IF(VLOOKUP($B214,Feature_List!$A:$AM,MATCH(DN$1,  Feature_List!$A$1:$AM$1,0),0)=BC214,".","NO"))</f>
        <v>.</v>
      </c>
      <c r="DO214" s="136" t="str">
        <f>IF($D214&lt;&gt;"Feature",".",
IF(VLOOKUP($B214,Feature_List!$A:$AM,MATCH(DO$1,  Feature_List!$A$1:$AM$1,0),0)=BD214,".","NO"))</f>
        <v>.</v>
      </c>
    </row>
    <row r="215" spans="2:119" x14ac:dyDescent="0.3">
      <c r="B215" s="121"/>
      <c r="C215" s="123"/>
      <c r="D215" s="122"/>
      <c r="E215" s="122"/>
      <c r="F215" s="123"/>
      <c r="G215" s="123"/>
      <c r="H215" s="122"/>
      <c r="I215" s="124"/>
      <c r="J215" s="123"/>
      <c r="K215" s="123"/>
      <c r="L215" s="122"/>
      <c r="M215" s="122"/>
      <c r="N215" s="122"/>
      <c r="O215" s="123">
        <f t="shared" si="112"/>
        <v>0</v>
      </c>
      <c r="P215" s="123">
        <f t="shared" si="113"/>
        <v>0</v>
      </c>
      <c r="Q215" s="122" t="str">
        <f t="shared" si="135"/>
        <v>ZeroEntry</v>
      </c>
      <c r="R215" s="126" t="str">
        <f t="shared" si="114"/>
        <v>ZeroEntry</v>
      </c>
      <c r="S215" s="127" t="str">
        <f t="shared" si="115"/>
        <v>ZeroEntry</v>
      </c>
      <c r="T215" s="128" t="str">
        <f>IF($Q215="ZeroEntry", "",VLOOKUP($I215,'Ranking Lookup'!#REF!,2,FALSE))</f>
        <v/>
      </c>
      <c r="U215" s="129" t="str">
        <f t="shared" si="116"/>
        <v/>
      </c>
      <c r="V215" s="129" t="str">
        <f t="shared" si="117"/>
        <v/>
      </c>
      <c r="W215" s="129" t="str">
        <f t="shared" si="118"/>
        <v/>
      </c>
      <c r="X215" s="129" t="str">
        <f t="shared" si="119"/>
        <v/>
      </c>
      <c r="Y215" s="129" t="str">
        <f t="shared" si="120"/>
        <v/>
      </c>
      <c r="Z215" s="129" t="str">
        <f t="shared" si="121"/>
        <v/>
      </c>
      <c r="AA215" s="130"/>
      <c r="AB215" s="130" t="str">
        <f t="shared" si="122"/>
        <v>Unassigned</v>
      </c>
      <c r="AC215" s="131" t="str">
        <f t="shared" si="136"/>
        <v/>
      </c>
      <c r="AD215" s="131" t="str">
        <f t="shared" si="137"/>
        <v/>
      </c>
      <c r="AE215" s="132">
        <f t="shared" si="123"/>
        <v>0</v>
      </c>
      <c r="AF215" s="133" t="str">
        <f t="shared" si="138"/>
        <v/>
      </c>
      <c r="AG215" s="134">
        <f t="shared" si="124"/>
        <v>0</v>
      </c>
      <c r="AH215" s="54" t="str">
        <f t="shared" si="125"/>
        <v/>
      </c>
      <c r="AI215" s="54" t="str">
        <f t="shared" si="142"/>
        <v/>
      </c>
      <c r="AJ215" s="54" t="str">
        <f t="shared" si="142"/>
        <v/>
      </c>
      <c r="AK215" s="54" t="str">
        <f t="shared" si="142"/>
        <v/>
      </c>
      <c r="AL215" s="54" t="str">
        <f t="shared" si="142"/>
        <v/>
      </c>
      <c r="AM215" s="54" t="str">
        <f t="shared" si="142"/>
        <v/>
      </c>
      <c r="AN215" s="54" t="str">
        <f t="shared" si="142"/>
        <v/>
      </c>
      <c r="AO215" s="54" t="str">
        <f t="shared" si="142"/>
        <v/>
      </c>
      <c r="AP215" s="54" t="str">
        <f t="shared" si="142"/>
        <v/>
      </c>
      <c r="AQ215" s="54" t="str">
        <f t="shared" si="142"/>
        <v/>
      </c>
      <c r="AR215" s="54" t="str">
        <f t="shared" si="142"/>
        <v/>
      </c>
      <c r="AS215" s="54" t="str">
        <f t="shared" si="142"/>
        <v/>
      </c>
      <c r="AT215" s="54" t="str">
        <f t="shared" si="142"/>
        <v/>
      </c>
      <c r="AU215" s="54" t="str">
        <f t="shared" si="142"/>
        <v/>
      </c>
      <c r="AV215" s="54" t="str">
        <f t="shared" si="142"/>
        <v/>
      </c>
      <c r="AW215" s="54" t="str">
        <f t="shared" si="142"/>
        <v/>
      </c>
      <c r="AX215" s="54" t="str">
        <f t="shared" si="142"/>
        <v/>
      </c>
      <c r="AY215" s="54" t="str">
        <f t="shared" si="139"/>
        <v/>
      </c>
      <c r="AZ215" s="54" t="str">
        <f t="shared" si="128"/>
        <v/>
      </c>
      <c r="BA215" s="54" t="str">
        <f t="shared" si="129"/>
        <v/>
      </c>
      <c r="BB215" s="135" t="str">
        <f t="shared" si="130"/>
        <v/>
      </c>
      <c r="BC215" s="54" t="str">
        <f t="shared" si="140"/>
        <v/>
      </c>
      <c r="BD215" s="54" t="str">
        <f t="shared" si="140"/>
        <v/>
      </c>
      <c r="BE215" s="54" t="str">
        <f t="shared" si="140"/>
        <v/>
      </c>
      <c r="BF215" s="54" t="str">
        <f t="shared" si="131"/>
        <v/>
      </c>
      <c r="BG215" s="54" t="str">
        <f t="shared" si="132"/>
        <v/>
      </c>
      <c r="BH215" s="34" t="str">
        <f t="shared" si="133"/>
        <v>Bad</v>
      </c>
      <c r="BI215" s="34" t="str">
        <f t="shared" si="134"/>
        <v>No</v>
      </c>
      <c r="BJ215" s="136" t="str">
        <f>IF($D215&lt;&gt;"Feature",".",
IF(VLOOKUP($B215,Feature_List!$A:$AM,MATCH(BJ$1,  Feature_List!$A$1:$AM$1,0),0)=B215,".","NO"))</f>
        <v>.</v>
      </c>
      <c r="BK215" s="136"/>
      <c r="BL215" s="136"/>
      <c r="BM215" s="136" t="str">
        <f>IF($D215&lt;&gt;"Feature",".",
IF(VLOOKUP($B215,Feature_List!$A:$AM,MATCH(BM$1,  Feature_List!$A$1:$AM$1,0),0)=E215,".","NO"))</f>
        <v>.</v>
      </c>
      <c r="BN215" s="136" t="str">
        <f>IF($D215&lt;&gt;"Feature",".",
IF(VLOOKUP($B215,Feature_List!$A:$AM,MATCH(BN$1,  Feature_List!$A$1:$AM$1,0),0)=F215,".","NO"))</f>
        <v>.</v>
      </c>
      <c r="BO215" s="136" t="str">
        <f>IF($D215&lt;&gt;"Feature",".",
IF(VLOOKUP($B215,Feature_List!$A:$AM,MATCH(BO$1,  Feature_List!$A$1:$AM$1,0),0)=G215,".","NO"))</f>
        <v>.</v>
      </c>
      <c r="BP215" s="136" t="str">
        <f>IF($D215&lt;&gt;"Feature",".",
IF(VLOOKUP($B215,Feature_List!$A:$AM,MATCH(BP$1,  Feature_List!$A$1:$AM$1,0),0)=H215,".","NO"))</f>
        <v>.</v>
      </c>
      <c r="BQ215" s="136"/>
      <c r="BR215" s="136" t="str">
        <f>IF($D215&lt;&gt;"Feature",".",
IF(VLOOKUP($B215,Feature_List!$A:$AM,MATCH(BR$1,  Feature_List!$A$1:$AM$1,0),0)=J215,".","NO"))</f>
        <v>.</v>
      </c>
      <c r="BS215" s="136"/>
      <c r="BT215" s="136"/>
      <c r="BU215" s="136" t="str">
        <f>IF($D215&lt;&gt;"Feature",".",
IF(VLOOKUP($B215,Feature_List!$A:$AM,MATCH(BU$1,  Feature_List!$A$1:$AM$1,0),0)=M215,".","NO"))</f>
        <v>.</v>
      </c>
      <c r="BV215" s="136" t="str">
        <f>IF($D215&lt;&gt;"Feature",".",
IF(VLOOKUP($B215,Feature_List!$A:$AM,MATCH(BV$1,  Feature_List!$A$1:$AM$1,0),0)=N215,".","NO"))</f>
        <v>.</v>
      </c>
      <c r="BW215" s="136"/>
      <c r="BX215" s="136"/>
      <c r="BY215" s="136"/>
      <c r="BZ215" s="136"/>
      <c r="CA215" s="136"/>
      <c r="CB215" s="136" t="str">
        <f>IF($D215&lt;&gt;"Feature",".",
IF(VLOOKUP($B215,Feature_List!$A:$AM,MATCH(CB$1,  Feature_List!$A$1:$AM$1,0),0)=T215,".","NO"))</f>
        <v>.</v>
      </c>
      <c r="CC215" s="136"/>
      <c r="CD215" s="136"/>
      <c r="CE215" s="136"/>
      <c r="CF215" s="136"/>
      <c r="CG215" s="136"/>
      <c r="CH215" s="136"/>
      <c r="CI215" s="136"/>
      <c r="CJ215" s="136"/>
      <c r="CK215" s="136"/>
      <c r="CL215" s="136"/>
      <c r="CM215" s="136"/>
      <c r="CN215" s="136"/>
      <c r="CO215" s="136" t="str">
        <f>IF($D215&lt;&gt;"Feature",".",
IF(VLOOKUP($B215,Feature_List!$A:$AM,MATCH(CO$1,  Feature_List!$A$1:$AM$1,0),0)=AG215,".","NO"))</f>
        <v>.</v>
      </c>
      <c r="CP215" s="136" t="str">
        <f>IF($D215&lt;&gt;"Feature",".",
IF(VLOOKUP($B215,Feature_List!$A:$AM,MATCH(CP$1,  Feature_List!$A$1:$AM$1,0),0)=AH215,".","NO"))</f>
        <v>.</v>
      </c>
      <c r="CQ215" s="136" t="str">
        <f>IF($D215&lt;&gt;"Feature",".",
IF(VLOOKUP($B215,Feature_List!$A:$AM,MATCH(CQ$1,  Feature_List!$A$1:$AM$1,0),0)=AI215,".","NO"))</f>
        <v>.</v>
      </c>
      <c r="CR215" s="136" t="str">
        <f>IF($D215&lt;&gt;"Feature",".",
IF(VLOOKUP($B215,Feature_List!$A:$AM,MATCH(CR$1,  Feature_List!$A$1:$AM$1,0),0)=AJ215,".","NO"))</f>
        <v>.</v>
      </c>
      <c r="CS215" s="136" t="str">
        <f>IF($D215&lt;&gt;"Feature",".",
IF(VLOOKUP($B215,Feature_List!$A:$AM,MATCH(CS$1,  Feature_List!$A$1:$AM$1,0),0)=AK215,".","NO"))</f>
        <v>.</v>
      </c>
      <c r="CT215" s="136" t="str">
        <f>IF($D215&lt;&gt;"Feature",".",
IF(VLOOKUP($B215,Feature_List!$A:$AM,MATCH(CT$1,  Feature_List!$A$1:$AM$1,0),0)=AL215,".","NO"))</f>
        <v>.</v>
      </c>
      <c r="CU215" s="136" t="str">
        <f>IF($D215&lt;&gt;"Feature",".",
IF(VLOOKUP($B215,Feature_List!$A:$AM,MATCH(CU$1,  Feature_List!$A$1:$AM$1,0),0)=AM215,".","NO"))</f>
        <v>.</v>
      </c>
      <c r="CV215" s="136" t="str">
        <f>IF($D215&lt;&gt;"Feature",".",
IF(VLOOKUP($B215,Feature_List!$A:$AM,MATCH(CV$1,  Feature_List!$A$1:$AM$1,0),0)=AN215,".","NO"))</f>
        <v>.</v>
      </c>
      <c r="CW215" s="136" t="str">
        <f>IF($D215&lt;&gt;"Feature",".",
IF(VLOOKUP($B215,Feature_List!$A:$AM,MATCH(CW$1,  Feature_List!$A$1:$AM$1,0),0)=AO215,".","NO"))</f>
        <v>.</v>
      </c>
      <c r="CX215" s="136" t="str">
        <f>IF($D215&lt;&gt;"Feature",".",
IF(VLOOKUP($B215,Feature_List!$A:$AM,MATCH(CX$1,  Feature_List!$A$1:$AM$1,0),0)=AP215,".","NO"))</f>
        <v>.</v>
      </c>
      <c r="CY215" s="136" t="str">
        <f>IF($D215&lt;&gt;"Feature",".",
IF(VLOOKUP($B215,Feature_List!$A:$AM,MATCH(CY$1,  Feature_List!$A$1:$AM$1,0),0)=AQ215,".","NO"))</f>
        <v>.</v>
      </c>
      <c r="CZ215" s="136" t="str">
        <f>IF($D215&lt;&gt;"Feature",".",
IF(VLOOKUP($B215,Feature_List!$A:$AM,MATCH(CZ$1,  Feature_List!$A$1:$AM$1,0),0)=AR215,".","NO"))</f>
        <v>.</v>
      </c>
      <c r="DA215" s="136" t="str">
        <f>IF($D215&lt;&gt;"Feature",".",
IF(VLOOKUP($B215,Feature_List!$A:$AM,MATCH(DA$1,  Feature_List!$A$1:$AM$1,0),0)=AS215,".","NO"))</f>
        <v>.</v>
      </c>
      <c r="DB215" s="136" t="str">
        <f>IF($D215&lt;&gt;"Feature",".",
IF(VLOOKUP($B215,Feature_List!$A:$AM,MATCH(DB$1,  Feature_List!$A$1:$AM$1,0),0)=AT215,".","NO"))</f>
        <v>.</v>
      </c>
      <c r="DC215" s="136" t="str">
        <f>IF($D215&lt;&gt;"Feature",".",
IF(VLOOKUP($B215,Feature_List!$A:$AM,MATCH(DC$1,  Feature_List!$A$1:$AM$1,0),0)=AU215,".","NO"))</f>
        <v>.</v>
      </c>
      <c r="DD215" s="136" t="str">
        <f>IF($D215&lt;&gt;"Feature",".",
IF(VLOOKUP($B215,Feature_List!$A:$AM,MATCH(DD$1,  Feature_List!$A$1:$AM$1,0),0)=AV215,".","NO"))</f>
        <v>.</v>
      </c>
      <c r="DE215" s="136" t="str">
        <f>IF($D215&lt;&gt;"Feature",".",
IF(VLOOKUP($B215,Feature_List!$A:$AM,MATCH(DE$1,  Feature_List!$A$1:$AM$1,0),0)=AW215,".","NO"))</f>
        <v>.</v>
      </c>
      <c r="DF215" s="136" t="str">
        <f>IF($D215&lt;&gt;"Feature",".",
IF(VLOOKUP($B215,Feature_List!$A:$AM,MATCH(DF$1,  Feature_List!$A$1:$AM$1,0),0)=AX215,".","NO"))</f>
        <v>.</v>
      </c>
      <c r="DG215" s="136" t="str">
        <f>IF($D215&lt;&gt;"Feature",".",
IF(VLOOKUP($B215,Feature_List!$A:$AM,MATCH(DG$1,  Feature_List!$A$1:$AM$1,0),0)=AY215,".","NO"))</f>
        <v>.</v>
      </c>
      <c r="DH215" s="136" t="str">
        <f>IF($D215&lt;&gt;"Feature",".",
IF(VLOOKUP($B215,Feature_List!$A:$AM,MATCH(DH$1,  Feature_List!$A$1:$AM$1,0),0)=AZ215,".","NO"))</f>
        <v>.</v>
      </c>
      <c r="DI215" s="136" t="str">
        <f>IF($D215&lt;&gt;"Feature",".",
IF(VLOOKUP($B215,Feature_List!$A:$AM,MATCH(DI$1,  Feature_List!$A$1:$AM$1,0),0)=BA215,".","NO"))</f>
        <v>.</v>
      </c>
      <c r="DJ215" s="136" t="str">
        <f>IF($D215&lt;&gt;"Feature",".",
IF(VLOOKUP($B215,Feature_List!$A:$AM,MATCH(DJ$1,  Feature_List!$A$1:$AM$1,0),0)=BB215,".","NO"))</f>
        <v>.</v>
      </c>
      <c r="DK215" s="136"/>
      <c r="DL215" s="136"/>
      <c r="DM215" s="136"/>
      <c r="DN215" s="136" t="str">
        <f>IF($D215&lt;&gt;"Feature",".",
IF(VLOOKUP($B215,Feature_List!$A:$AM,MATCH(DN$1,  Feature_List!$A$1:$AM$1,0),0)=BC215,".","NO"))</f>
        <v>.</v>
      </c>
      <c r="DO215" s="136" t="str">
        <f>IF($D215&lt;&gt;"Feature",".",
IF(VLOOKUP($B215,Feature_List!$A:$AM,MATCH(DO$1,  Feature_List!$A$1:$AM$1,0),0)=BD215,".","NO"))</f>
        <v>.</v>
      </c>
    </row>
    <row r="216" spans="2:119" x14ac:dyDescent="0.3">
      <c r="B216" s="121"/>
      <c r="C216" s="122"/>
      <c r="D216" s="122"/>
      <c r="E216" s="122"/>
      <c r="F216" s="123"/>
      <c r="G216" s="123"/>
      <c r="H216" s="122"/>
      <c r="I216" s="124"/>
      <c r="J216" s="123"/>
      <c r="K216" s="123"/>
      <c r="L216" s="122"/>
      <c r="M216" s="122"/>
      <c r="N216" s="122"/>
      <c r="O216" s="123">
        <f t="shared" si="112"/>
        <v>0</v>
      </c>
      <c r="P216" s="123">
        <f t="shared" si="113"/>
        <v>0</v>
      </c>
      <c r="Q216" s="122" t="str">
        <f t="shared" si="135"/>
        <v>ZeroEntry</v>
      </c>
      <c r="R216" s="126" t="str">
        <f t="shared" si="114"/>
        <v>ZeroEntry</v>
      </c>
      <c r="S216" s="127" t="str">
        <f t="shared" si="115"/>
        <v>ZeroEntry</v>
      </c>
      <c r="T216" s="128" t="str">
        <f>IF($Q216="ZeroEntry", "",VLOOKUP($I216,'Ranking Lookup'!#REF!,2,FALSE))</f>
        <v/>
      </c>
      <c r="U216" s="129" t="str">
        <f t="shared" si="116"/>
        <v/>
      </c>
      <c r="V216" s="129" t="str">
        <f t="shared" si="117"/>
        <v/>
      </c>
      <c r="W216" s="129" t="str">
        <f t="shared" si="118"/>
        <v/>
      </c>
      <c r="X216" s="129" t="str">
        <f t="shared" si="119"/>
        <v/>
      </c>
      <c r="Y216" s="129" t="str">
        <f t="shared" si="120"/>
        <v/>
      </c>
      <c r="Z216" s="129" t="str">
        <f t="shared" si="121"/>
        <v/>
      </c>
      <c r="AA216" s="130"/>
      <c r="AB216" s="130" t="str">
        <f t="shared" si="122"/>
        <v>Unassigned</v>
      </c>
      <c r="AC216" s="131" t="str">
        <f t="shared" si="136"/>
        <v/>
      </c>
      <c r="AD216" s="131" t="str">
        <f t="shared" si="137"/>
        <v/>
      </c>
      <c r="AE216" s="132">
        <f t="shared" si="123"/>
        <v>0</v>
      </c>
      <c r="AF216" s="133" t="str">
        <f t="shared" si="138"/>
        <v/>
      </c>
      <c r="AG216" s="134">
        <f t="shared" si="124"/>
        <v>0</v>
      </c>
      <c r="AH216" s="54" t="str">
        <f t="shared" si="125"/>
        <v/>
      </c>
      <c r="AI216" s="54" t="str">
        <f t="shared" si="142"/>
        <v/>
      </c>
      <c r="AJ216" s="54" t="str">
        <f t="shared" si="142"/>
        <v/>
      </c>
      <c r="AK216" s="54" t="str">
        <f t="shared" si="142"/>
        <v/>
      </c>
      <c r="AL216" s="54" t="str">
        <f t="shared" si="142"/>
        <v/>
      </c>
      <c r="AM216" s="54" t="str">
        <f t="shared" si="142"/>
        <v/>
      </c>
      <c r="AN216" s="54" t="str">
        <f t="shared" si="142"/>
        <v/>
      </c>
      <c r="AO216" s="54" t="str">
        <f t="shared" si="142"/>
        <v/>
      </c>
      <c r="AP216" s="54" t="str">
        <f t="shared" si="142"/>
        <v/>
      </c>
      <c r="AQ216" s="54" t="str">
        <f t="shared" si="142"/>
        <v/>
      </c>
      <c r="AR216" s="54" t="str">
        <f t="shared" si="142"/>
        <v/>
      </c>
      <c r="AS216" s="54" t="str">
        <f t="shared" si="142"/>
        <v/>
      </c>
      <c r="AT216" s="54" t="str">
        <f t="shared" si="142"/>
        <v/>
      </c>
      <c r="AU216" s="54" t="str">
        <f t="shared" si="142"/>
        <v/>
      </c>
      <c r="AV216" s="54" t="str">
        <f t="shared" si="142"/>
        <v/>
      </c>
      <c r="AW216" s="54" t="str">
        <f t="shared" si="142"/>
        <v/>
      </c>
      <c r="AX216" s="54" t="str">
        <f t="shared" si="142"/>
        <v/>
      </c>
      <c r="AY216" s="54" t="str">
        <f t="shared" si="139"/>
        <v/>
      </c>
      <c r="AZ216" s="54" t="str">
        <f t="shared" si="128"/>
        <v/>
      </c>
      <c r="BA216" s="54" t="str">
        <f t="shared" si="129"/>
        <v/>
      </c>
      <c r="BB216" s="135" t="str">
        <f t="shared" si="130"/>
        <v/>
      </c>
      <c r="BC216" s="54" t="str">
        <f t="shared" si="140"/>
        <v/>
      </c>
      <c r="BD216" s="54" t="str">
        <f t="shared" si="140"/>
        <v/>
      </c>
      <c r="BE216" s="54" t="str">
        <f t="shared" si="140"/>
        <v/>
      </c>
      <c r="BF216" s="54" t="str">
        <f t="shared" si="131"/>
        <v/>
      </c>
      <c r="BG216" s="54" t="str">
        <f t="shared" si="132"/>
        <v/>
      </c>
      <c r="BH216" s="34" t="str">
        <f t="shared" si="133"/>
        <v>Bad</v>
      </c>
      <c r="BI216" s="34" t="str">
        <f t="shared" si="134"/>
        <v>No</v>
      </c>
      <c r="BJ216" s="136" t="str">
        <f>IF($D216&lt;&gt;"Feature",".",
IF(VLOOKUP($B216,Feature_List!$A:$AM,MATCH(BJ$1,  Feature_List!$A$1:$AM$1,0),0)=B216,".","NO"))</f>
        <v>.</v>
      </c>
      <c r="BK216" s="136"/>
      <c r="BL216" s="136"/>
      <c r="BM216" s="136" t="str">
        <f>IF($D216&lt;&gt;"Feature",".",
IF(VLOOKUP($B216,Feature_List!$A:$AM,MATCH(BM$1,  Feature_List!$A$1:$AM$1,0),0)=E216,".","NO"))</f>
        <v>.</v>
      </c>
      <c r="BN216" s="136" t="str">
        <f>IF($D216&lt;&gt;"Feature",".",
IF(VLOOKUP($B216,Feature_List!$A:$AM,MATCH(BN$1,  Feature_List!$A$1:$AM$1,0),0)=F216,".","NO"))</f>
        <v>.</v>
      </c>
      <c r="BO216" s="136" t="str">
        <f>IF($D216&lt;&gt;"Feature",".",
IF(VLOOKUP($B216,Feature_List!$A:$AM,MATCH(BO$1,  Feature_List!$A$1:$AM$1,0),0)=G216,".","NO"))</f>
        <v>.</v>
      </c>
      <c r="BP216" s="136" t="str">
        <f>IF($D216&lt;&gt;"Feature",".",
IF(VLOOKUP($B216,Feature_List!$A:$AM,MATCH(BP$1,  Feature_List!$A$1:$AM$1,0),0)=H216,".","NO"))</f>
        <v>.</v>
      </c>
      <c r="BQ216" s="136"/>
      <c r="BR216" s="136" t="str">
        <f>IF($D216&lt;&gt;"Feature",".",
IF(VLOOKUP($B216,Feature_List!$A:$AM,MATCH(BR$1,  Feature_List!$A$1:$AM$1,0),0)=J216,".","NO"))</f>
        <v>.</v>
      </c>
      <c r="BS216" s="136"/>
      <c r="BT216" s="136"/>
      <c r="BU216" s="136" t="str">
        <f>IF($D216&lt;&gt;"Feature",".",
IF(VLOOKUP($B216,Feature_List!$A:$AM,MATCH(BU$1,  Feature_List!$A$1:$AM$1,0),0)=M216,".","NO"))</f>
        <v>.</v>
      </c>
      <c r="BV216" s="136" t="str">
        <f>IF($D216&lt;&gt;"Feature",".",
IF(VLOOKUP($B216,Feature_List!$A:$AM,MATCH(BV$1,  Feature_List!$A$1:$AM$1,0),0)=N216,".","NO"))</f>
        <v>.</v>
      </c>
      <c r="BW216" s="136"/>
      <c r="BX216" s="136"/>
      <c r="BY216" s="136"/>
      <c r="BZ216" s="136"/>
      <c r="CA216" s="136"/>
      <c r="CB216" s="136" t="str">
        <f>IF($D216&lt;&gt;"Feature",".",
IF(VLOOKUP($B216,Feature_List!$A:$AM,MATCH(CB$1,  Feature_List!$A$1:$AM$1,0),0)=T216,".","NO"))</f>
        <v>.</v>
      </c>
      <c r="CC216" s="136"/>
      <c r="CD216" s="136"/>
      <c r="CE216" s="136"/>
      <c r="CF216" s="136"/>
      <c r="CG216" s="136"/>
      <c r="CH216" s="136"/>
      <c r="CI216" s="136"/>
      <c r="CJ216" s="136"/>
      <c r="CK216" s="136"/>
      <c r="CL216" s="136"/>
      <c r="CM216" s="136"/>
      <c r="CN216" s="136"/>
      <c r="CO216" s="136" t="str">
        <f>IF($D216&lt;&gt;"Feature",".",
IF(VLOOKUP($B216,Feature_List!$A:$AM,MATCH(CO$1,  Feature_List!$A$1:$AM$1,0),0)=AG216,".","NO"))</f>
        <v>.</v>
      </c>
      <c r="CP216" s="136" t="str">
        <f>IF($D216&lt;&gt;"Feature",".",
IF(VLOOKUP($B216,Feature_List!$A:$AM,MATCH(CP$1,  Feature_List!$A$1:$AM$1,0),0)=AH216,".","NO"))</f>
        <v>.</v>
      </c>
      <c r="CQ216" s="136" t="str">
        <f>IF($D216&lt;&gt;"Feature",".",
IF(VLOOKUP($B216,Feature_List!$A:$AM,MATCH(CQ$1,  Feature_List!$A$1:$AM$1,0),0)=AI216,".","NO"))</f>
        <v>.</v>
      </c>
      <c r="CR216" s="136" t="str">
        <f>IF($D216&lt;&gt;"Feature",".",
IF(VLOOKUP($B216,Feature_List!$A:$AM,MATCH(CR$1,  Feature_List!$A$1:$AM$1,0),0)=AJ216,".","NO"))</f>
        <v>.</v>
      </c>
      <c r="CS216" s="136" t="str">
        <f>IF($D216&lt;&gt;"Feature",".",
IF(VLOOKUP($B216,Feature_List!$A:$AM,MATCH(CS$1,  Feature_List!$A$1:$AM$1,0),0)=AK216,".","NO"))</f>
        <v>.</v>
      </c>
      <c r="CT216" s="136" t="str">
        <f>IF($D216&lt;&gt;"Feature",".",
IF(VLOOKUP($B216,Feature_List!$A:$AM,MATCH(CT$1,  Feature_List!$A$1:$AM$1,0),0)=AL216,".","NO"))</f>
        <v>.</v>
      </c>
      <c r="CU216" s="136" t="str">
        <f>IF($D216&lt;&gt;"Feature",".",
IF(VLOOKUP($B216,Feature_List!$A:$AM,MATCH(CU$1,  Feature_List!$A$1:$AM$1,0),0)=AM216,".","NO"))</f>
        <v>.</v>
      </c>
      <c r="CV216" s="136" t="str">
        <f>IF($D216&lt;&gt;"Feature",".",
IF(VLOOKUP($B216,Feature_List!$A:$AM,MATCH(CV$1,  Feature_List!$A$1:$AM$1,0),0)=AN216,".","NO"))</f>
        <v>.</v>
      </c>
      <c r="CW216" s="136" t="str">
        <f>IF($D216&lt;&gt;"Feature",".",
IF(VLOOKUP($B216,Feature_List!$A:$AM,MATCH(CW$1,  Feature_List!$A$1:$AM$1,0),0)=AO216,".","NO"))</f>
        <v>.</v>
      </c>
      <c r="CX216" s="136" t="str">
        <f>IF($D216&lt;&gt;"Feature",".",
IF(VLOOKUP($B216,Feature_List!$A:$AM,MATCH(CX$1,  Feature_List!$A$1:$AM$1,0),0)=AP216,".","NO"))</f>
        <v>.</v>
      </c>
      <c r="CY216" s="136" t="str">
        <f>IF($D216&lt;&gt;"Feature",".",
IF(VLOOKUP($B216,Feature_List!$A:$AM,MATCH(CY$1,  Feature_List!$A$1:$AM$1,0),0)=AQ216,".","NO"))</f>
        <v>.</v>
      </c>
      <c r="CZ216" s="136" t="str">
        <f>IF($D216&lt;&gt;"Feature",".",
IF(VLOOKUP($B216,Feature_List!$A:$AM,MATCH(CZ$1,  Feature_List!$A$1:$AM$1,0),0)=AR216,".","NO"))</f>
        <v>.</v>
      </c>
      <c r="DA216" s="136" t="str">
        <f>IF($D216&lt;&gt;"Feature",".",
IF(VLOOKUP($B216,Feature_List!$A:$AM,MATCH(DA$1,  Feature_List!$A$1:$AM$1,0),0)=AS216,".","NO"))</f>
        <v>.</v>
      </c>
      <c r="DB216" s="136" t="str">
        <f>IF($D216&lt;&gt;"Feature",".",
IF(VLOOKUP($B216,Feature_List!$A:$AM,MATCH(DB$1,  Feature_List!$A$1:$AM$1,0),0)=AT216,".","NO"))</f>
        <v>.</v>
      </c>
      <c r="DC216" s="136" t="str">
        <f>IF($D216&lt;&gt;"Feature",".",
IF(VLOOKUP($B216,Feature_List!$A:$AM,MATCH(DC$1,  Feature_List!$A$1:$AM$1,0),0)=AU216,".","NO"))</f>
        <v>.</v>
      </c>
      <c r="DD216" s="136" t="str">
        <f>IF($D216&lt;&gt;"Feature",".",
IF(VLOOKUP($B216,Feature_List!$A:$AM,MATCH(DD$1,  Feature_List!$A$1:$AM$1,0),0)=AV216,".","NO"))</f>
        <v>.</v>
      </c>
      <c r="DE216" s="136" t="str">
        <f>IF($D216&lt;&gt;"Feature",".",
IF(VLOOKUP($B216,Feature_List!$A:$AM,MATCH(DE$1,  Feature_List!$A$1:$AM$1,0),0)=AW216,".","NO"))</f>
        <v>.</v>
      </c>
      <c r="DF216" s="136" t="str">
        <f>IF($D216&lt;&gt;"Feature",".",
IF(VLOOKUP($B216,Feature_List!$A:$AM,MATCH(DF$1,  Feature_List!$A$1:$AM$1,0),0)=AX216,".","NO"))</f>
        <v>.</v>
      </c>
      <c r="DG216" s="136" t="str">
        <f>IF($D216&lt;&gt;"Feature",".",
IF(VLOOKUP($B216,Feature_List!$A:$AM,MATCH(DG$1,  Feature_List!$A$1:$AM$1,0),0)=AY216,".","NO"))</f>
        <v>.</v>
      </c>
      <c r="DH216" s="136" t="str">
        <f>IF($D216&lt;&gt;"Feature",".",
IF(VLOOKUP($B216,Feature_List!$A:$AM,MATCH(DH$1,  Feature_List!$A$1:$AM$1,0),0)=AZ216,".","NO"))</f>
        <v>.</v>
      </c>
      <c r="DI216" s="136" t="str">
        <f>IF($D216&lt;&gt;"Feature",".",
IF(VLOOKUP($B216,Feature_List!$A:$AM,MATCH(DI$1,  Feature_List!$A$1:$AM$1,0),0)=BA216,".","NO"))</f>
        <v>.</v>
      </c>
      <c r="DJ216" s="136" t="str">
        <f>IF($D216&lt;&gt;"Feature",".",
IF(VLOOKUP($B216,Feature_List!$A:$AM,MATCH(DJ$1,  Feature_List!$A$1:$AM$1,0),0)=BB216,".","NO"))</f>
        <v>.</v>
      </c>
      <c r="DK216" s="136"/>
      <c r="DL216" s="136"/>
      <c r="DM216" s="136"/>
      <c r="DN216" s="136" t="str">
        <f>IF($D216&lt;&gt;"Feature",".",
IF(VLOOKUP($B216,Feature_List!$A:$AM,MATCH(DN$1,  Feature_List!$A$1:$AM$1,0),0)=BC216,".","NO"))</f>
        <v>.</v>
      </c>
      <c r="DO216" s="136" t="str">
        <f>IF($D216&lt;&gt;"Feature",".",
IF(VLOOKUP($B216,Feature_List!$A:$AM,MATCH(DO$1,  Feature_List!$A$1:$AM$1,0),0)=BD216,".","NO"))</f>
        <v>.</v>
      </c>
    </row>
    <row r="217" spans="2:119" x14ac:dyDescent="0.3">
      <c r="B217" s="121"/>
      <c r="C217" s="122"/>
      <c r="D217" s="122"/>
      <c r="E217" s="122"/>
      <c r="F217" s="123"/>
      <c r="G217" s="123"/>
      <c r="H217" s="122"/>
      <c r="I217" s="124"/>
      <c r="J217" s="123"/>
      <c r="K217" s="123"/>
      <c r="L217" s="122"/>
      <c r="M217" s="122"/>
      <c r="N217" s="122"/>
      <c r="O217" s="123">
        <f t="shared" si="112"/>
        <v>0</v>
      </c>
      <c r="P217" s="123">
        <f t="shared" si="113"/>
        <v>0</v>
      </c>
      <c r="Q217" s="122" t="str">
        <f t="shared" si="135"/>
        <v>ZeroEntry</v>
      </c>
      <c r="R217" s="126" t="str">
        <f t="shared" si="114"/>
        <v>ZeroEntry</v>
      </c>
      <c r="S217" s="127" t="str">
        <f t="shared" si="115"/>
        <v>ZeroEntry</v>
      </c>
      <c r="T217" s="128" t="str">
        <f>IF($Q217="ZeroEntry", "",VLOOKUP($I217,'Ranking Lookup'!#REF!,2,FALSE))</f>
        <v/>
      </c>
      <c r="U217" s="129" t="str">
        <f t="shared" si="116"/>
        <v/>
      </c>
      <c r="V217" s="129" t="str">
        <f t="shared" si="117"/>
        <v/>
      </c>
      <c r="W217" s="129" t="str">
        <f t="shared" si="118"/>
        <v/>
      </c>
      <c r="X217" s="129" t="str">
        <f t="shared" si="119"/>
        <v/>
      </c>
      <c r="Y217" s="129" t="str">
        <f t="shared" si="120"/>
        <v/>
      </c>
      <c r="Z217" s="129" t="str">
        <f t="shared" si="121"/>
        <v/>
      </c>
      <c r="AA217" s="130"/>
      <c r="AB217" s="130" t="str">
        <f t="shared" si="122"/>
        <v>Unassigned</v>
      </c>
      <c r="AC217" s="131" t="str">
        <f t="shared" si="136"/>
        <v/>
      </c>
      <c r="AD217" s="131" t="str">
        <f t="shared" si="137"/>
        <v/>
      </c>
      <c r="AE217" s="132">
        <f t="shared" si="123"/>
        <v>0</v>
      </c>
      <c r="AF217" s="133" t="str">
        <f t="shared" si="138"/>
        <v/>
      </c>
      <c r="AG217" s="134">
        <f t="shared" si="124"/>
        <v>0</v>
      </c>
      <c r="AH217" s="54" t="str">
        <f t="shared" si="125"/>
        <v/>
      </c>
      <c r="AI217" s="54" t="str">
        <f t="shared" si="142"/>
        <v/>
      </c>
      <c r="AJ217" s="54" t="str">
        <f t="shared" si="142"/>
        <v/>
      </c>
      <c r="AK217" s="54" t="str">
        <f t="shared" si="142"/>
        <v/>
      </c>
      <c r="AL217" s="54" t="str">
        <f t="shared" si="142"/>
        <v/>
      </c>
      <c r="AM217" s="54" t="str">
        <f t="shared" si="142"/>
        <v/>
      </c>
      <c r="AN217" s="54" t="str">
        <f t="shared" si="142"/>
        <v/>
      </c>
      <c r="AO217" s="54" t="str">
        <f t="shared" si="142"/>
        <v/>
      </c>
      <c r="AP217" s="54" t="str">
        <f t="shared" si="142"/>
        <v/>
      </c>
      <c r="AQ217" s="54" t="str">
        <f t="shared" si="142"/>
        <v/>
      </c>
      <c r="AR217" s="54" t="str">
        <f t="shared" si="142"/>
        <v/>
      </c>
      <c r="AS217" s="54" t="str">
        <f t="shared" si="142"/>
        <v/>
      </c>
      <c r="AT217" s="54" t="str">
        <f t="shared" si="142"/>
        <v/>
      </c>
      <c r="AU217" s="54" t="str">
        <f t="shared" si="142"/>
        <v/>
      </c>
      <c r="AV217" s="54" t="str">
        <f t="shared" si="142"/>
        <v/>
      </c>
      <c r="AW217" s="54" t="str">
        <f t="shared" si="142"/>
        <v/>
      </c>
      <c r="AX217" s="54" t="str">
        <f t="shared" si="142"/>
        <v/>
      </c>
      <c r="AY217" s="54" t="str">
        <f t="shared" si="139"/>
        <v/>
      </c>
      <c r="AZ217" s="54" t="str">
        <f t="shared" si="128"/>
        <v/>
      </c>
      <c r="BA217" s="54" t="str">
        <f t="shared" si="129"/>
        <v/>
      </c>
      <c r="BB217" s="135" t="str">
        <f t="shared" si="130"/>
        <v/>
      </c>
      <c r="BC217" s="54" t="str">
        <f t="shared" si="140"/>
        <v/>
      </c>
      <c r="BD217" s="54" t="str">
        <f t="shared" si="140"/>
        <v/>
      </c>
      <c r="BE217" s="54" t="str">
        <f t="shared" si="140"/>
        <v/>
      </c>
      <c r="BF217" s="54" t="str">
        <f t="shared" si="131"/>
        <v/>
      </c>
      <c r="BG217" s="54" t="str">
        <f t="shared" si="132"/>
        <v/>
      </c>
      <c r="BH217" s="34" t="str">
        <f t="shared" si="133"/>
        <v>Bad</v>
      </c>
      <c r="BI217" s="34" t="str">
        <f t="shared" si="134"/>
        <v>No</v>
      </c>
      <c r="BJ217" s="136" t="str">
        <f>IF($D217&lt;&gt;"Feature",".",
IF(VLOOKUP($B217,Feature_List!$A:$AM,MATCH(BJ$1,  Feature_List!$A$1:$AM$1,0),0)=B217,".","NO"))</f>
        <v>.</v>
      </c>
      <c r="BK217" s="136"/>
      <c r="BL217" s="136"/>
      <c r="BM217" s="136" t="str">
        <f>IF($D217&lt;&gt;"Feature",".",
IF(VLOOKUP($B217,Feature_List!$A:$AM,MATCH(BM$1,  Feature_List!$A$1:$AM$1,0),0)=E217,".","NO"))</f>
        <v>.</v>
      </c>
      <c r="BN217" s="136" t="str">
        <f>IF($D217&lt;&gt;"Feature",".",
IF(VLOOKUP($B217,Feature_List!$A:$AM,MATCH(BN$1,  Feature_List!$A$1:$AM$1,0),0)=F217,".","NO"))</f>
        <v>.</v>
      </c>
      <c r="BO217" s="136" t="str">
        <f>IF($D217&lt;&gt;"Feature",".",
IF(VLOOKUP($B217,Feature_List!$A:$AM,MATCH(BO$1,  Feature_List!$A$1:$AM$1,0),0)=G217,".","NO"))</f>
        <v>.</v>
      </c>
      <c r="BP217" s="136" t="str">
        <f>IF($D217&lt;&gt;"Feature",".",
IF(VLOOKUP($B217,Feature_List!$A:$AM,MATCH(BP$1,  Feature_List!$A$1:$AM$1,0),0)=H217,".","NO"))</f>
        <v>.</v>
      </c>
      <c r="BQ217" s="136"/>
      <c r="BR217" s="136" t="str">
        <f>IF($D217&lt;&gt;"Feature",".",
IF(VLOOKUP($B217,Feature_List!$A:$AM,MATCH(BR$1,  Feature_List!$A$1:$AM$1,0),0)=J217,".","NO"))</f>
        <v>.</v>
      </c>
      <c r="BS217" s="136"/>
      <c r="BT217" s="136"/>
      <c r="BU217" s="136" t="str">
        <f>IF($D217&lt;&gt;"Feature",".",
IF(VLOOKUP($B217,Feature_List!$A:$AM,MATCH(BU$1,  Feature_List!$A$1:$AM$1,0),0)=M217,".","NO"))</f>
        <v>.</v>
      </c>
      <c r="BV217" s="136" t="str">
        <f>IF($D217&lt;&gt;"Feature",".",
IF(VLOOKUP($B217,Feature_List!$A:$AM,MATCH(BV$1,  Feature_List!$A$1:$AM$1,0),0)=N217,".","NO"))</f>
        <v>.</v>
      </c>
      <c r="BW217" s="136"/>
      <c r="BX217" s="136"/>
      <c r="BY217" s="136"/>
      <c r="BZ217" s="136"/>
      <c r="CA217" s="136"/>
      <c r="CB217" s="136" t="str">
        <f>IF($D217&lt;&gt;"Feature",".",
IF(VLOOKUP($B217,Feature_List!$A:$AM,MATCH(CB$1,  Feature_List!$A$1:$AM$1,0),0)=T217,".","NO"))</f>
        <v>.</v>
      </c>
      <c r="CC217" s="136"/>
      <c r="CD217" s="136"/>
      <c r="CE217" s="136"/>
      <c r="CF217" s="136"/>
      <c r="CG217" s="136"/>
      <c r="CH217" s="136"/>
      <c r="CI217" s="136"/>
      <c r="CJ217" s="136"/>
      <c r="CK217" s="136"/>
      <c r="CL217" s="136"/>
      <c r="CM217" s="136"/>
      <c r="CN217" s="136"/>
      <c r="CO217" s="136" t="str">
        <f>IF($D217&lt;&gt;"Feature",".",
IF(VLOOKUP($B217,Feature_List!$A:$AM,MATCH(CO$1,  Feature_List!$A$1:$AM$1,0),0)=AG217,".","NO"))</f>
        <v>.</v>
      </c>
      <c r="CP217" s="136" t="str">
        <f>IF($D217&lt;&gt;"Feature",".",
IF(VLOOKUP($B217,Feature_List!$A:$AM,MATCH(CP$1,  Feature_List!$A$1:$AM$1,0),0)=AH217,".","NO"))</f>
        <v>.</v>
      </c>
      <c r="CQ217" s="136" t="str">
        <f>IF($D217&lt;&gt;"Feature",".",
IF(VLOOKUP($B217,Feature_List!$A:$AM,MATCH(CQ$1,  Feature_List!$A$1:$AM$1,0),0)=AI217,".","NO"))</f>
        <v>.</v>
      </c>
      <c r="CR217" s="136" t="str">
        <f>IF($D217&lt;&gt;"Feature",".",
IF(VLOOKUP($B217,Feature_List!$A:$AM,MATCH(CR$1,  Feature_List!$A$1:$AM$1,0),0)=AJ217,".","NO"))</f>
        <v>.</v>
      </c>
      <c r="CS217" s="136" t="str">
        <f>IF($D217&lt;&gt;"Feature",".",
IF(VLOOKUP($B217,Feature_List!$A:$AM,MATCH(CS$1,  Feature_List!$A$1:$AM$1,0),0)=AK217,".","NO"))</f>
        <v>.</v>
      </c>
      <c r="CT217" s="136" t="str">
        <f>IF($D217&lt;&gt;"Feature",".",
IF(VLOOKUP($B217,Feature_List!$A:$AM,MATCH(CT$1,  Feature_List!$A$1:$AM$1,0),0)=AL217,".","NO"))</f>
        <v>.</v>
      </c>
      <c r="CU217" s="136" t="str">
        <f>IF($D217&lt;&gt;"Feature",".",
IF(VLOOKUP($B217,Feature_List!$A:$AM,MATCH(CU$1,  Feature_List!$A$1:$AM$1,0),0)=AM217,".","NO"))</f>
        <v>.</v>
      </c>
      <c r="CV217" s="136" t="str">
        <f>IF($D217&lt;&gt;"Feature",".",
IF(VLOOKUP($B217,Feature_List!$A:$AM,MATCH(CV$1,  Feature_List!$A$1:$AM$1,0),0)=AN217,".","NO"))</f>
        <v>.</v>
      </c>
      <c r="CW217" s="136" t="str">
        <f>IF($D217&lt;&gt;"Feature",".",
IF(VLOOKUP($B217,Feature_List!$A:$AM,MATCH(CW$1,  Feature_List!$A$1:$AM$1,0),0)=AO217,".","NO"))</f>
        <v>.</v>
      </c>
      <c r="CX217" s="136" t="str">
        <f>IF($D217&lt;&gt;"Feature",".",
IF(VLOOKUP($B217,Feature_List!$A:$AM,MATCH(CX$1,  Feature_List!$A$1:$AM$1,0),0)=AP217,".","NO"))</f>
        <v>.</v>
      </c>
      <c r="CY217" s="136" t="str">
        <f>IF($D217&lt;&gt;"Feature",".",
IF(VLOOKUP($B217,Feature_List!$A:$AM,MATCH(CY$1,  Feature_List!$A$1:$AM$1,0),0)=AQ217,".","NO"))</f>
        <v>.</v>
      </c>
      <c r="CZ217" s="136" t="str">
        <f>IF($D217&lt;&gt;"Feature",".",
IF(VLOOKUP($B217,Feature_List!$A:$AM,MATCH(CZ$1,  Feature_List!$A$1:$AM$1,0),0)=AR217,".","NO"))</f>
        <v>.</v>
      </c>
      <c r="DA217" s="136" t="str">
        <f>IF($D217&lt;&gt;"Feature",".",
IF(VLOOKUP($B217,Feature_List!$A:$AM,MATCH(DA$1,  Feature_List!$A$1:$AM$1,0),0)=AS217,".","NO"))</f>
        <v>.</v>
      </c>
      <c r="DB217" s="136" t="str">
        <f>IF($D217&lt;&gt;"Feature",".",
IF(VLOOKUP($B217,Feature_List!$A:$AM,MATCH(DB$1,  Feature_List!$A$1:$AM$1,0),0)=AT217,".","NO"))</f>
        <v>.</v>
      </c>
      <c r="DC217" s="136" t="str">
        <f>IF($D217&lt;&gt;"Feature",".",
IF(VLOOKUP($B217,Feature_List!$A:$AM,MATCH(DC$1,  Feature_List!$A$1:$AM$1,0),0)=AU217,".","NO"))</f>
        <v>.</v>
      </c>
      <c r="DD217" s="136" t="str">
        <f>IF($D217&lt;&gt;"Feature",".",
IF(VLOOKUP($B217,Feature_List!$A:$AM,MATCH(DD$1,  Feature_List!$A$1:$AM$1,0),0)=AV217,".","NO"))</f>
        <v>.</v>
      </c>
      <c r="DE217" s="136" t="str">
        <f>IF($D217&lt;&gt;"Feature",".",
IF(VLOOKUP($B217,Feature_List!$A:$AM,MATCH(DE$1,  Feature_List!$A$1:$AM$1,0),0)=AW217,".","NO"))</f>
        <v>.</v>
      </c>
      <c r="DF217" s="136" t="str">
        <f>IF($D217&lt;&gt;"Feature",".",
IF(VLOOKUP($B217,Feature_List!$A:$AM,MATCH(DF$1,  Feature_List!$A$1:$AM$1,0),0)=AX217,".","NO"))</f>
        <v>.</v>
      </c>
      <c r="DG217" s="136" t="str">
        <f>IF($D217&lt;&gt;"Feature",".",
IF(VLOOKUP($B217,Feature_List!$A:$AM,MATCH(DG$1,  Feature_List!$A$1:$AM$1,0),0)=AY217,".","NO"))</f>
        <v>.</v>
      </c>
      <c r="DH217" s="136" t="str">
        <f>IF($D217&lt;&gt;"Feature",".",
IF(VLOOKUP($B217,Feature_List!$A:$AM,MATCH(DH$1,  Feature_List!$A$1:$AM$1,0),0)=AZ217,".","NO"))</f>
        <v>.</v>
      </c>
      <c r="DI217" s="136" t="str">
        <f>IF($D217&lt;&gt;"Feature",".",
IF(VLOOKUP($B217,Feature_List!$A:$AM,MATCH(DI$1,  Feature_List!$A$1:$AM$1,0),0)=BA217,".","NO"))</f>
        <v>.</v>
      </c>
      <c r="DJ217" s="136" t="str">
        <f>IF($D217&lt;&gt;"Feature",".",
IF(VLOOKUP($B217,Feature_List!$A:$AM,MATCH(DJ$1,  Feature_List!$A$1:$AM$1,0),0)=BB217,".","NO"))</f>
        <v>.</v>
      </c>
      <c r="DK217" s="136"/>
      <c r="DL217" s="136"/>
      <c r="DM217" s="136"/>
      <c r="DN217" s="136" t="str">
        <f>IF($D217&lt;&gt;"Feature",".",
IF(VLOOKUP($B217,Feature_List!$A:$AM,MATCH(DN$1,  Feature_List!$A$1:$AM$1,0),0)=BC217,".","NO"))</f>
        <v>.</v>
      </c>
      <c r="DO217" s="136" t="str">
        <f>IF($D217&lt;&gt;"Feature",".",
IF(VLOOKUP($B217,Feature_List!$A:$AM,MATCH(DO$1,  Feature_List!$A$1:$AM$1,0),0)=BD217,".","NO"))</f>
        <v>.</v>
      </c>
    </row>
    <row r="218" spans="2:119" x14ac:dyDescent="0.3">
      <c r="B218" s="121"/>
      <c r="C218" s="122"/>
      <c r="D218" s="122"/>
      <c r="E218" s="122"/>
      <c r="F218" s="123"/>
      <c r="G218" s="123"/>
      <c r="H218" s="122"/>
      <c r="I218" s="124"/>
      <c r="J218" s="123"/>
      <c r="K218" s="123"/>
      <c r="L218" s="122"/>
      <c r="M218" s="122"/>
      <c r="N218" s="122"/>
      <c r="O218" s="123">
        <f t="shared" si="112"/>
        <v>0</v>
      </c>
      <c r="P218" s="123">
        <f t="shared" si="113"/>
        <v>0</v>
      </c>
      <c r="Q218" s="122" t="str">
        <f t="shared" si="135"/>
        <v>ZeroEntry</v>
      </c>
      <c r="R218" s="126" t="str">
        <f t="shared" si="114"/>
        <v>ZeroEntry</v>
      </c>
      <c r="S218" s="127" t="str">
        <f t="shared" si="115"/>
        <v>ZeroEntry</v>
      </c>
      <c r="T218" s="128" t="str">
        <f>IF($Q218="ZeroEntry", "",VLOOKUP($I218,'Ranking Lookup'!#REF!,2,FALSE))</f>
        <v/>
      </c>
      <c r="U218" s="129" t="str">
        <f t="shared" si="116"/>
        <v/>
      </c>
      <c r="V218" s="129" t="str">
        <f t="shared" si="117"/>
        <v/>
      </c>
      <c r="W218" s="129" t="str">
        <f t="shared" si="118"/>
        <v/>
      </c>
      <c r="X218" s="129" t="str">
        <f t="shared" si="119"/>
        <v/>
      </c>
      <c r="Y218" s="129" t="str">
        <f t="shared" si="120"/>
        <v/>
      </c>
      <c r="Z218" s="129" t="str">
        <f t="shared" si="121"/>
        <v/>
      </c>
      <c r="AA218" s="130"/>
      <c r="AB218" s="130" t="str">
        <f t="shared" si="122"/>
        <v>Unassigned</v>
      </c>
      <c r="AC218" s="131" t="str">
        <f t="shared" si="136"/>
        <v/>
      </c>
      <c r="AD218" s="131" t="str">
        <f t="shared" si="137"/>
        <v/>
      </c>
      <c r="AE218" s="132">
        <f t="shared" si="123"/>
        <v>0</v>
      </c>
      <c r="AF218" s="133" t="str">
        <f t="shared" si="138"/>
        <v/>
      </c>
      <c r="AG218" s="134">
        <f t="shared" si="124"/>
        <v>0</v>
      </c>
      <c r="AH218" s="54" t="str">
        <f t="shared" si="125"/>
        <v/>
      </c>
      <c r="AI218" s="54" t="str">
        <f t="shared" si="142"/>
        <v/>
      </c>
      <c r="AJ218" s="54" t="str">
        <f t="shared" si="142"/>
        <v/>
      </c>
      <c r="AK218" s="54" t="str">
        <f t="shared" si="142"/>
        <v/>
      </c>
      <c r="AL218" s="54" t="str">
        <f t="shared" si="142"/>
        <v/>
      </c>
      <c r="AM218" s="54" t="str">
        <f t="shared" si="142"/>
        <v/>
      </c>
      <c r="AN218" s="54" t="str">
        <f t="shared" si="142"/>
        <v/>
      </c>
      <c r="AO218" s="54" t="str">
        <f t="shared" si="142"/>
        <v/>
      </c>
      <c r="AP218" s="54" t="str">
        <f t="shared" si="142"/>
        <v/>
      </c>
      <c r="AQ218" s="54" t="str">
        <f t="shared" si="142"/>
        <v/>
      </c>
      <c r="AR218" s="54" t="str">
        <f t="shared" si="142"/>
        <v/>
      </c>
      <c r="AS218" s="54" t="str">
        <f t="shared" si="142"/>
        <v/>
      </c>
      <c r="AT218" s="54" t="str">
        <f t="shared" si="142"/>
        <v/>
      </c>
      <c r="AU218" s="54" t="str">
        <f t="shared" si="142"/>
        <v/>
      </c>
      <c r="AV218" s="54" t="str">
        <f t="shared" si="142"/>
        <v/>
      </c>
      <c r="AW218" s="54" t="str">
        <f t="shared" si="142"/>
        <v/>
      </c>
      <c r="AX218" s="54" t="str">
        <f t="shared" si="142"/>
        <v/>
      </c>
      <c r="AY218" s="54" t="str">
        <f t="shared" si="139"/>
        <v/>
      </c>
      <c r="AZ218" s="54" t="str">
        <f t="shared" si="128"/>
        <v/>
      </c>
      <c r="BA218" s="54" t="str">
        <f t="shared" si="129"/>
        <v/>
      </c>
      <c r="BB218" s="135" t="str">
        <f t="shared" si="130"/>
        <v/>
      </c>
      <c r="BC218" s="54" t="str">
        <f t="shared" si="140"/>
        <v/>
      </c>
      <c r="BD218" s="54" t="str">
        <f t="shared" si="140"/>
        <v/>
      </c>
      <c r="BE218" s="54" t="str">
        <f t="shared" si="140"/>
        <v/>
      </c>
      <c r="BF218" s="54" t="str">
        <f t="shared" si="131"/>
        <v/>
      </c>
      <c r="BG218" s="54" t="str">
        <f t="shared" si="132"/>
        <v/>
      </c>
      <c r="BH218" s="34" t="str">
        <f t="shared" si="133"/>
        <v>Bad</v>
      </c>
      <c r="BI218" s="34" t="str">
        <f t="shared" si="134"/>
        <v>No</v>
      </c>
      <c r="BJ218" s="136" t="str">
        <f>IF($D218&lt;&gt;"Feature",".",
IF(VLOOKUP($B218,Feature_List!$A:$AM,MATCH(BJ$1,  Feature_List!$A$1:$AM$1,0),0)=B218,".","NO"))</f>
        <v>.</v>
      </c>
      <c r="BK218" s="136"/>
      <c r="BL218" s="136"/>
      <c r="BM218" s="136" t="str">
        <f>IF($D218&lt;&gt;"Feature",".",
IF(VLOOKUP($B218,Feature_List!$A:$AM,MATCH(BM$1,  Feature_List!$A$1:$AM$1,0),0)=E218,".","NO"))</f>
        <v>.</v>
      </c>
      <c r="BN218" s="136" t="str">
        <f>IF($D218&lt;&gt;"Feature",".",
IF(VLOOKUP($B218,Feature_List!$A:$AM,MATCH(BN$1,  Feature_List!$A$1:$AM$1,0),0)=F218,".","NO"))</f>
        <v>.</v>
      </c>
      <c r="BO218" s="136" t="str">
        <f>IF($D218&lt;&gt;"Feature",".",
IF(VLOOKUP($B218,Feature_List!$A:$AM,MATCH(BO$1,  Feature_List!$A$1:$AM$1,0),0)=G218,".","NO"))</f>
        <v>.</v>
      </c>
      <c r="BP218" s="136" t="str">
        <f>IF($D218&lt;&gt;"Feature",".",
IF(VLOOKUP($B218,Feature_List!$A:$AM,MATCH(BP$1,  Feature_List!$A$1:$AM$1,0),0)=H218,".","NO"))</f>
        <v>.</v>
      </c>
      <c r="BQ218" s="136"/>
      <c r="BR218" s="136" t="str">
        <f>IF($D218&lt;&gt;"Feature",".",
IF(VLOOKUP($B218,Feature_List!$A:$AM,MATCH(BR$1,  Feature_List!$A$1:$AM$1,0),0)=J218,".","NO"))</f>
        <v>.</v>
      </c>
      <c r="BS218" s="136"/>
      <c r="BT218" s="136"/>
      <c r="BU218" s="136" t="str">
        <f>IF($D218&lt;&gt;"Feature",".",
IF(VLOOKUP($B218,Feature_List!$A:$AM,MATCH(BU$1,  Feature_List!$A$1:$AM$1,0),0)=M218,".","NO"))</f>
        <v>.</v>
      </c>
      <c r="BV218" s="136" t="str">
        <f>IF($D218&lt;&gt;"Feature",".",
IF(VLOOKUP($B218,Feature_List!$A:$AM,MATCH(BV$1,  Feature_List!$A$1:$AM$1,0),0)=N218,".","NO"))</f>
        <v>.</v>
      </c>
      <c r="BW218" s="136"/>
      <c r="BX218" s="136"/>
      <c r="BY218" s="136"/>
      <c r="BZ218" s="136"/>
      <c r="CA218" s="136"/>
      <c r="CB218" s="136" t="str">
        <f>IF($D218&lt;&gt;"Feature",".",
IF(VLOOKUP($B218,Feature_List!$A:$AM,MATCH(CB$1,  Feature_List!$A$1:$AM$1,0),0)=T218,".","NO"))</f>
        <v>.</v>
      </c>
      <c r="CC218" s="136"/>
      <c r="CD218" s="136"/>
      <c r="CE218" s="136"/>
      <c r="CF218" s="136"/>
      <c r="CG218" s="136"/>
      <c r="CH218" s="136"/>
      <c r="CI218" s="136"/>
      <c r="CJ218" s="136"/>
      <c r="CK218" s="136"/>
      <c r="CL218" s="136"/>
      <c r="CM218" s="136"/>
      <c r="CN218" s="136"/>
      <c r="CO218" s="136" t="str">
        <f>IF($D218&lt;&gt;"Feature",".",
IF(VLOOKUP($B218,Feature_List!$A:$AM,MATCH(CO$1,  Feature_List!$A$1:$AM$1,0),0)=AG218,".","NO"))</f>
        <v>.</v>
      </c>
      <c r="CP218" s="136" t="str">
        <f>IF($D218&lt;&gt;"Feature",".",
IF(VLOOKUP($B218,Feature_List!$A:$AM,MATCH(CP$1,  Feature_List!$A$1:$AM$1,0),0)=AH218,".","NO"))</f>
        <v>.</v>
      </c>
      <c r="CQ218" s="136" t="str">
        <f>IF($D218&lt;&gt;"Feature",".",
IF(VLOOKUP($B218,Feature_List!$A:$AM,MATCH(CQ$1,  Feature_List!$A$1:$AM$1,0),0)=AI218,".","NO"))</f>
        <v>.</v>
      </c>
      <c r="CR218" s="136" t="str">
        <f>IF($D218&lt;&gt;"Feature",".",
IF(VLOOKUP($B218,Feature_List!$A:$AM,MATCH(CR$1,  Feature_List!$A$1:$AM$1,0),0)=AJ218,".","NO"))</f>
        <v>.</v>
      </c>
      <c r="CS218" s="136" t="str">
        <f>IF($D218&lt;&gt;"Feature",".",
IF(VLOOKUP($B218,Feature_List!$A:$AM,MATCH(CS$1,  Feature_List!$A$1:$AM$1,0),0)=AK218,".","NO"))</f>
        <v>.</v>
      </c>
      <c r="CT218" s="136" t="str">
        <f>IF($D218&lt;&gt;"Feature",".",
IF(VLOOKUP($B218,Feature_List!$A:$AM,MATCH(CT$1,  Feature_List!$A$1:$AM$1,0),0)=AL218,".","NO"))</f>
        <v>.</v>
      </c>
      <c r="CU218" s="136" t="str">
        <f>IF($D218&lt;&gt;"Feature",".",
IF(VLOOKUP($B218,Feature_List!$A:$AM,MATCH(CU$1,  Feature_List!$A$1:$AM$1,0),0)=AM218,".","NO"))</f>
        <v>.</v>
      </c>
      <c r="CV218" s="136" t="str">
        <f>IF($D218&lt;&gt;"Feature",".",
IF(VLOOKUP($B218,Feature_List!$A:$AM,MATCH(CV$1,  Feature_List!$A$1:$AM$1,0),0)=AN218,".","NO"))</f>
        <v>.</v>
      </c>
      <c r="CW218" s="136" t="str">
        <f>IF($D218&lt;&gt;"Feature",".",
IF(VLOOKUP($B218,Feature_List!$A:$AM,MATCH(CW$1,  Feature_List!$A$1:$AM$1,0),0)=AO218,".","NO"))</f>
        <v>.</v>
      </c>
      <c r="CX218" s="136" t="str">
        <f>IF($D218&lt;&gt;"Feature",".",
IF(VLOOKUP($B218,Feature_List!$A:$AM,MATCH(CX$1,  Feature_List!$A$1:$AM$1,0),0)=AP218,".","NO"))</f>
        <v>.</v>
      </c>
      <c r="CY218" s="136" t="str">
        <f>IF($D218&lt;&gt;"Feature",".",
IF(VLOOKUP($B218,Feature_List!$A:$AM,MATCH(CY$1,  Feature_List!$A$1:$AM$1,0),0)=AQ218,".","NO"))</f>
        <v>.</v>
      </c>
      <c r="CZ218" s="136" t="str">
        <f>IF($D218&lt;&gt;"Feature",".",
IF(VLOOKUP($B218,Feature_List!$A:$AM,MATCH(CZ$1,  Feature_List!$A$1:$AM$1,0),0)=AR218,".","NO"))</f>
        <v>.</v>
      </c>
      <c r="DA218" s="136" t="str">
        <f>IF($D218&lt;&gt;"Feature",".",
IF(VLOOKUP($B218,Feature_List!$A:$AM,MATCH(DA$1,  Feature_List!$A$1:$AM$1,0),0)=AS218,".","NO"))</f>
        <v>.</v>
      </c>
      <c r="DB218" s="136" t="str">
        <f>IF($D218&lt;&gt;"Feature",".",
IF(VLOOKUP($B218,Feature_List!$A:$AM,MATCH(DB$1,  Feature_List!$A$1:$AM$1,0),0)=AT218,".","NO"))</f>
        <v>.</v>
      </c>
      <c r="DC218" s="136" t="str">
        <f>IF($D218&lt;&gt;"Feature",".",
IF(VLOOKUP($B218,Feature_List!$A:$AM,MATCH(DC$1,  Feature_List!$A$1:$AM$1,0),0)=AU218,".","NO"))</f>
        <v>.</v>
      </c>
      <c r="DD218" s="136" t="str">
        <f>IF($D218&lt;&gt;"Feature",".",
IF(VLOOKUP($B218,Feature_List!$A:$AM,MATCH(DD$1,  Feature_List!$A$1:$AM$1,0),0)=AV218,".","NO"))</f>
        <v>.</v>
      </c>
      <c r="DE218" s="136" t="str">
        <f>IF($D218&lt;&gt;"Feature",".",
IF(VLOOKUP($B218,Feature_List!$A:$AM,MATCH(DE$1,  Feature_List!$A$1:$AM$1,0),0)=AW218,".","NO"))</f>
        <v>.</v>
      </c>
      <c r="DF218" s="136" t="str">
        <f>IF($D218&lt;&gt;"Feature",".",
IF(VLOOKUP($B218,Feature_List!$A:$AM,MATCH(DF$1,  Feature_List!$A$1:$AM$1,0),0)=AX218,".","NO"))</f>
        <v>.</v>
      </c>
      <c r="DG218" s="136" t="str">
        <f>IF($D218&lt;&gt;"Feature",".",
IF(VLOOKUP($B218,Feature_List!$A:$AM,MATCH(DG$1,  Feature_List!$A$1:$AM$1,0),0)=AY218,".","NO"))</f>
        <v>.</v>
      </c>
      <c r="DH218" s="136" t="str">
        <f>IF($D218&lt;&gt;"Feature",".",
IF(VLOOKUP($B218,Feature_List!$A:$AM,MATCH(DH$1,  Feature_List!$A$1:$AM$1,0),0)=AZ218,".","NO"))</f>
        <v>.</v>
      </c>
      <c r="DI218" s="136" t="str">
        <f>IF($D218&lt;&gt;"Feature",".",
IF(VLOOKUP($B218,Feature_List!$A:$AM,MATCH(DI$1,  Feature_List!$A$1:$AM$1,0),0)=BA218,".","NO"))</f>
        <v>.</v>
      </c>
      <c r="DJ218" s="136" t="str">
        <f>IF($D218&lt;&gt;"Feature",".",
IF(VLOOKUP($B218,Feature_List!$A:$AM,MATCH(DJ$1,  Feature_List!$A$1:$AM$1,0),0)=BB218,".","NO"))</f>
        <v>.</v>
      </c>
      <c r="DK218" s="136"/>
      <c r="DL218" s="136"/>
      <c r="DM218" s="136"/>
      <c r="DN218" s="136" t="str">
        <f>IF($D218&lt;&gt;"Feature",".",
IF(VLOOKUP($B218,Feature_List!$A:$AM,MATCH(DN$1,  Feature_List!$A$1:$AM$1,0),0)=BC218,".","NO"))</f>
        <v>.</v>
      </c>
      <c r="DO218" s="136" t="str">
        <f>IF($D218&lt;&gt;"Feature",".",
IF(VLOOKUP($B218,Feature_List!$A:$AM,MATCH(DO$1,  Feature_List!$A$1:$AM$1,0),0)=BD218,".","NO"))</f>
        <v>.</v>
      </c>
    </row>
    <row r="219" spans="2:119" x14ac:dyDescent="0.3">
      <c r="B219" s="121"/>
      <c r="C219" s="122"/>
      <c r="D219" s="122"/>
      <c r="E219" s="122"/>
      <c r="F219" s="123"/>
      <c r="G219" s="123"/>
      <c r="H219" s="122"/>
      <c r="I219" s="124"/>
      <c r="J219" s="123"/>
      <c r="K219" s="123"/>
      <c r="L219" s="122"/>
      <c r="M219" s="122"/>
      <c r="N219" s="122"/>
      <c r="O219" s="123">
        <f t="shared" si="112"/>
        <v>0</v>
      </c>
      <c r="P219" s="123">
        <f t="shared" si="113"/>
        <v>0</v>
      </c>
      <c r="Q219" s="122" t="str">
        <f t="shared" si="135"/>
        <v>ZeroEntry</v>
      </c>
      <c r="R219" s="126" t="str">
        <f t="shared" si="114"/>
        <v>ZeroEntry</v>
      </c>
      <c r="S219" s="127" t="str">
        <f t="shared" si="115"/>
        <v>ZeroEntry</v>
      </c>
      <c r="T219" s="128" t="str">
        <f>IF($Q219="ZeroEntry", "",VLOOKUP($I219,'Ranking Lookup'!#REF!,2,FALSE))</f>
        <v/>
      </c>
      <c r="U219" s="129" t="str">
        <f t="shared" si="116"/>
        <v/>
      </c>
      <c r="V219" s="129" t="str">
        <f t="shared" si="117"/>
        <v/>
      </c>
      <c r="W219" s="129" t="str">
        <f t="shared" si="118"/>
        <v/>
      </c>
      <c r="X219" s="129" t="str">
        <f t="shared" si="119"/>
        <v/>
      </c>
      <c r="Y219" s="129" t="str">
        <f t="shared" si="120"/>
        <v/>
      </c>
      <c r="Z219" s="129" t="str">
        <f t="shared" si="121"/>
        <v/>
      </c>
      <c r="AA219" s="130"/>
      <c r="AB219" s="130" t="str">
        <f t="shared" si="122"/>
        <v>Unassigned</v>
      </c>
      <c r="AC219" s="131" t="str">
        <f t="shared" si="136"/>
        <v/>
      </c>
      <c r="AD219" s="131" t="str">
        <f t="shared" si="137"/>
        <v/>
      </c>
      <c r="AE219" s="132">
        <f t="shared" si="123"/>
        <v>0</v>
      </c>
      <c r="AF219" s="133" t="str">
        <f t="shared" si="138"/>
        <v/>
      </c>
      <c r="AG219" s="134">
        <f t="shared" si="124"/>
        <v>0</v>
      </c>
      <c r="AH219" s="54" t="str">
        <f t="shared" si="125"/>
        <v/>
      </c>
      <c r="AI219" s="54" t="str">
        <f t="shared" si="142"/>
        <v/>
      </c>
      <c r="AJ219" s="54" t="str">
        <f t="shared" si="142"/>
        <v/>
      </c>
      <c r="AK219" s="54" t="str">
        <f t="shared" si="142"/>
        <v/>
      </c>
      <c r="AL219" s="54" t="str">
        <f t="shared" si="142"/>
        <v/>
      </c>
      <c r="AM219" s="54" t="str">
        <f t="shared" si="142"/>
        <v/>
      </c>
      <c r="AN219" s="54" t="str">
        <f t="shared" si="142"/>
        <v/>
      </c>
      <c r="AO219" s="54" t="str">
        <f t="shared" si="142"/>
        <v/>
      </c>
      <c r="AP219" s="54" t="str">
        <f t="shared" si="142"/>
        <v/>
      </c>
      <c r="AQ219" s="54" t="str">
        <f t="shared" si="142"/>
        <v/>
      </c>
      <c r="AR219" s="54" t="str">
        <f t="shared" si="142"/>
        <v/>
      </c>
      <c r="AS219" s="54" t="str">
        <f t="shared" si="142"/>
        <v/>
      </c>
      <c r="AT219" s="54" t="str">
        <f t="shared" si="142"/>
        <v/>
      </c>
      <c r="AU219" s="54" t="str">
        <f t="shared" si="142"/>
        <v/>
      </c>
      <c r="AV219" s="54" t="str">
        <f t="shared" si="142"/>
        <v/>
      </c>
      <c r="AW219" s="54" t="str">
        <f t="shared" si="142"/>
        <v/>
      </c>
      <c r="AX219" s="54" t="str">
        <f t="shared" si="142"/>
        <v/>
      </c>
      <c r="AY219" s="54" t="str">
        <f t="shared" si="139"/>
        <v/>
      </c>
      <c r="AZ219" s="54" t="str">
        <f t="shared" si="128"/>
        <v/>
      </c>
      <c r="BA219" s="54" t="str">
        <f t="shared" si="129"/>
        <v/>
      </c>
      <c r="BB219" s="135" t="str">
        <f t="shared" si="130"/>
        <v/>
      </c>
      <c r="BC219" s="54" t="str">
        <f t="shared" si="140"/>
        <v/>
      </c>
      <c r="BD219" s="54" t="str">
        <f t="shared" si="140"/>
        <v/>
      </c>
      <c r="BE219" s="54" t="str">
        <f t="shared" si="140"/>
        <v/>
      </c>
      <c r="BF219" s="54" t="str">
        <f t="shared" si="131"/>
        <v/>
      </c>
      <c r="BG219" s="54" t="str">
        <f t="shared" si="132"/>
        <v/>
      </c>
      <c r="BH219" s="34" t="str">
        <f t="shared" si="133"/>
        <v>Bad</v>
      </c>
      <c r="BI219" s="34" t="str">
        <f t="shared" si="134"/>
        <v>No</v>
      </c>
      <c r="BJ219" s="136" t="str">
        <f>IF($D219&lt;&gt;"Feature",".",
IF(VLOOKUP($B219,Feature_List!$A:$AM,MATCH(BJ$1,  Feature_List!$A$1:$AM$1,0),0)=B219,".","NO"))</f>
        <v>.</v>
      </c>
      <c r="BK219" s="136"/>
      <c r="BL219" s="136"/>
      <c r="BM219" s="136" t="str">
        <f>IF($D219&lt;&gt;"Feature",".",
IF(VLOOKUP($B219,Feature_List!$A:$AM,MATCH(BM$1,  Feature_List!$A$1:$AM$1,0),0)=E219,".","NO"))</f>
        <v>.</v>
      </c>
      <c r="BN219" s="136" t="str">
        <f>IF($D219&lt;&gt;"Feature",".",
IF(VLOOKUP($B219,Feature_List!$A:$AM,MATCH(BN$1,  Feature_List!$A$1:$AM$1,0),0)=F219,".","NO"))</f>
        <v>.</v>
      </c>
      <c r="BO219" s="136" t="str">
        <f>IF($D219&lt;&gt;"Feature",".",
IF(VLOOKUP($B219,Feature_List!$A:$AM,MATCH(BO$1,  Feature_List!$A$1:$AM$1,0),0)=G219,".","NO"))</f>
        <v>.</v>
      </c>
      <c r="BP219" s="136" t="str">
        <f>IF($D219&lt;&gt;"Feature",".",
IF(VLOOKUP($B219,Feature_List!$A:$AM,MATCH(BP$1,  Feature_List!$A$1:$AM$1,0),0)=H219,".","NO"))</f>
        <v>.</v>
      </c>
      <c r="BQ219" s="136"/>
      <c r="BR219" s="136" t="str">
        <f>IF($D219&lt;&gt;"Feature",".",
IF(VLOOKUP($B219,Feature_List!$A:$AM,MATCH(BR$1,  Feature_List!$A$1:$AM$1,0),0)=J219,".","NO"))</f>
        <v>.</v>
      </c>
      <c r="BS219" s="136"/>
      <c r="BT219" s="136"/>
      <c r="BU219" s="136" t="str">
        <f>IF($D219&lt;&gt;"Feature",".",
IF(VLOOKUP($B219,Feature_List!$A:$AM,MATCH(BU$1,  Feature_List!$A$1:$AM$1,0),0)=M219,".","NO"))</f>
        <v>.</v>
      </c>
      <c r="BV219" s="136" t="str">
        <f>IF($D219&lt;&gt;"Feature",".",
IF(VLOOKUP($B219,Feature_List!$A:$AM,MATCH(BV$1,  Feature_List!$A$1:$AM$1,0),0)=N219,".","NO"))</f>
        <v>.</v>
      </c>
      <c r="BW219" s="136"/>
      <c r="BX219" s="136"/>
      <c r="BY219" s="136"/>
      <c r="BZ219" s="136"/>
      <c r="CA219" s="136"/>
      <c r="CB219" s="136" t="str">
        <f>IF($D219&lt;&gt;"Feature",".",
IF(VLOOKUP($B219,Feature_List!$A:$AM,MATCH(CB$1,  Feature_List!$A$1:$AM$1,0),0)=T219,".","NO"))</f>
        <v>.</v>
      </c>
      <c r="CC219" s="136"/>
      <c r="CD219" s="136"/>
      <c r="CE219" s="136"/>
      <c r="CF219" s="136"/>
      <c r="CG219" s="136"/>
      <c r="CH219" s="136"/>
      <c r="CI219" s="136"/>
      <c r="CJ219" s="136"/>
      <c r="CK219" s="136"/>
      <c r="CL219" s="136"/>
      <c r="CM219" s="136"/>
      <c r="CN219" s="136"/>
      <c r="CO219" s="136" t="str">
        <f>IF($D219&lt;&gt;"Feature",".",
IF(VLOOKUP($B219,Feature_List!$A:$AM,MATCH(CO$1,  Feature_List!$A$1:$AM$1,0),0)=AG219,".","NO"))</f>
        <v>.</v>
      </c>
      <c r="CP219" s="136" t="str">
        <f>IF($D219&lt;&gt;"Feature",".",
IF(VLOOKUP($B219,Feature_List!$A:$AM,MATCH(CP$1,  Feature_List!$A$1:$AM$1,0),0)=AH219,".","NO"))</f>
        <v>.</v>
      </c>
      <c r="CQ219" s="136" t="str">
        <f>IF($D219&lt;&gt;"Feature",".",
IF(VLOOKUP($B219,Feature_List!$A:$AM,MATCH(CQ$1,  Feature_List!$A$1:$AM$1,0),0)=AI219,".","NO"))</f>
        <v>.</v>
      </c>
      <c r="CR219" s="136" t="str">
        <f>IF($D219&lt;&gt;"Feature",".",
IF(VLOOKUP($B219,Feature_List!$A:$AM,MATCH(CR$1,  Feature_List!$A$1:$AM$1,0),0)=AJ219,".","NO"))</f>
        <v>.</v>
      </c>
      <c r="CS219" s="136" t="str">
        <f>IF($D219&lt;&gt;"Feature",".",
IF(VLOOKUP($B219,Feature_List!$A:$AM,MATCH(CS$1,  Feature_List!$A$1:$AM$1,0),0)=AK219,".","NO"))</f>
        <v>.</v>
      </c>
      <c r="CT219" s="136" t="str">
        <f>IF($D219&lt;&gt;"Feature",".",
IF(VLOOKUP($B219,Feature_List!$A:$AM,MATCH(CT$1,  Feature_List!$A$1:$AM$1,0),0)=AL219,".","NO"))</f>
        <v>.</v>
      </c>
      <c r="CU219" s="136" t="str">
        <f>IF($D219&lt;&gt;"Feature",".",
IF(VLOOKUP($B219,Feature_List!$A:$AM,MATCH(CU$1,  Feature_List!$A$1:$AM$1,0),0)=AM219,".","NO"))</f>
        <v>.</v>
      </c>
      <c r="CV219" s="136" t="str">
        <f>IF($D219&lt;&gt;"Feature",".",
IF(VLOOKUP($B219,Feature_List!$A:$AM,MATCH(CV$1,  Feature_List!$A$1:$AM$1,0),0)=AN219,".","NO"))</f>
        <v>.</v>
      </c>
      <c r="CW219" s="136" t="str">
        <f>IF($D219&lt;&gt;"Feature",".",
IF(VLOOKUP($B219,Feature_List!$A:$AM,MATCH(CW$1,  Feature_List!$A$1:$AM$1,0),0)=AO219,".","NO"))</f>
        <v>.</v>
      </c>
      <c r="CX219" s="136" t="str">
        <f>IF($D219&lt;&gt;"Feature",".",
IF(VLOOKUP($B219,Feature_List!$A:$AM,MATCH(CX$1,  Feature_List!$A$1:$AM$1,0),0)=AP219,".","NO"))</f>
        <v>.</v>
      </c>
      <c r="CY219" s="136" t="str">
        <f>IF($D219&lt;&gt;"Feature",".",
IF(VLOOKUP($B219,Feature_List!$A:$AM,MATCH(CY$1,  Feature_List!$A$1:$AM$1,0),0)=AQ219,".","NO"))</f>
        <v>.</v>
      </c>
      <c r="CZ219" s="136" t="str">
        <f>IF($D219&lt;&gt;"Feature",".",
IF(VLOOKUP($B219,Feature_List!$A:$AM,MATCH(CZ$1,  Feature_List!$A$1:$AM$1,0),0)=AR219,".","NO"))</f>
        <v>.</v>
      </c>
      <c r="DA219" s="136" t="str">
        <f>IF($D219&lt;&gt;"Feature",".",
IF(VLOOKUP($B219,Feature_List!$A:$AM,MATCH(DA$1,  Feature_List!$A$1:$AM$1,0),0)=AS219,".","NO"))</f>
        <v>.</v>
      </c>
      <c r="DB219" s="136" t="str">
        <f>IF($D219&lt;&gt;"Feature",".",
IF(VLOOKUP($B219,Feature_List!$A:$AM,MATCH(DB$1,  Feature_List!$A$1:$AM$1,0),0)=AT219,".","NO"))</f>
        <v>.</v>
      </c>
      <c r="DC219" s="136" t="str">
        <f>IF($D219&lt;&gt;"Feature",".",
IF(VLOOKUP($B219,Feature_List!$A:$AM,MATCH(DC$1,  Feature_List!$A$1:$AM$1,0),0)=AU219,".","NO"))</f>
        <v>.</v>
      </c>
      <c r="DD219" s="136" t="str">
        <f>IF($D219&lt;&gt;"Feature",".",
IF(VLOOKUP($B219,Feature_List!$A:$AM,MATCH(DD$1,  Feature_List!$A$1:$AM$1,0),0)=AV219,".","NO"))</f>
        <v>.</v>
      </c>
      <c r="DE219" s="136" t="str">
        <f>IF($D219&lt;&gt;"Feature",".",
IF(VLOOKUP($B219,Feature_List!$A:$AM,MATCH(DE$1,  Feature_List!$A$1:$AM$1,0),0)=AW219,".","NO"))</f>
        <v>.</v>
      </c>
      <c r="DF219" s="136" t="str">
        <f>IF($D219&lt;&gt;"Feature",".",
IF(VLOOKUP($B219,Feature_List!$A:$AM,MATCH(DF$1,  Feature_List!$A$1:$AM$1,0),0)=AX219,".","NO"))</f>
        <v>.</v>
      </c>
      <c r="DG219" s="136" t="str">
        <f>IF($D219&lt;&gt;"Feature",".",
IF(VLOOKUP($B219,Feature_List!$A:$AM,MATCH(DG$1,  Feature_List!$A$1:$AM$1,0),0)=AY219,".","NO"))</f>
        <v>.</v>
      </c>
      <c r="DH219" s="136" t="str">
        <f>IF($D219&lt;&gt;"Feature",".",
IF(VLOOKUP($B219,Feature_List!$A:$AM,MATCH(DH$1,  Feature_List!$A$1:$AM$1,0),0)=AZ219,".","NO"))</f>
        <v>.</v>
      </c>
      <c r="DI219" s="136" t="str">
        <f>IF($D219&lt;&gt;"Feature",".",
IF(VLOOKUP($B219,Feature_List!$A:$AM,MATCH(DI$1,  Feature_List!$A$1:$AM$1,0),0)=BA219,".","NO"))</f>
        <v>.</v>
      </c>
      <c r="DJ219" s="136" t="str">
        <f>IF($D219&lt;&gt;"Feature",".",
IF(VLOOKUP($B219,Feature_List!$A:$AM,MATCH(DJ$1,  Feature_List!$A$1:$AM$1,0),0)=BB219,".","NO"))</f>
        <v>.</v>
      </c>
      <c r="DK219" s="136"/>
      <c r="DL219" s="136"/>
      <c r="DM219" s="136"/>
      <c r="DN219" s="136" t="str">
        <f>IF($D219&lt;&gt;"Feature",".",
IF(VLOOKUP($B219,Feature_List!$A:$AM,MATCH(DN$1,  Feature_List!$A$1:$AM$1,0),0)=BC219,".","NO"))</f>
        <v>.</v>
      </c>
      <c r="DO219" s="136" t="str">
        <f>IF($D219&lt;&gt;"Feature",".",
IF(VLOOKUP($B219,Feature_List!$A:$AM,MATCH(DO$1,  Feature_List!$A$1:$AM$1,0),0)=BD219,".","NO"))</f>
        <v>.</v>
      </c>
    </row>
    <row r="220" spans="2:119" x14ac:dyDescent="0.3">
      <c r="B220" s="121"/>
      <c r="C220" s="122"/>
      <c r="D220" s="122"/>
      <c r="E220" s="122"/>
      <c r="F220" s="123"/>
      <c r="G220" s="123"/>
      <c r="H220" s="122"/>
      <c r="I220" s="124"/>
      <c r="J220" s="123"/>
      <c r="K220" s="123"/>
      <c r="L220" s="122"/>
      <c r="M220" s="122"/>
      <c r="N220" s="122"/>
      <c r="O220" s="123">
        <f t="shared" si="112"/>
        <v>0</v>
      </c>
      <c r="P220" s="123">
        <f t="shared" si="113"/>
        <v>0</v>
      </c>
      <c r="Q220" s="122" t="str">
        <f t="shared" si="135"/>
        <v>ZeroEntry</v>
      </c>
      <c r="R220" s="126" t="str">
        <f t="shared" si="114"/>
        <v>ZeroEntry</v>
      </c>
      <c r="S220" s="127" t="str">
        <f t="shared" si="115"/>
        <v>ZeroEntry</v>
      </c>
      <c r="T220" s="128" t="str">
        <f>IF($Q220="ZeroEntry", "",VLOOKUP($I220,'Ranking Lookup'!#REF!,2,FALSE))</f>
        <v/>
      </c>
      <c r="U220" s="129" t="str">
        <f t="shared" si="116"/>
        <v/>
      </c>
      <c r="V220" s="129" t="str">
        <f t="shared" si="117"/>
        <v/>
      </c>
      <c r="W220" s="129" t="str">
        <f t="shared" si="118"/>
        <v/>
      </c>
      <c r="X220" s="129" t="str">
        <f t="shared" si="119"/>
        <v/>
      </c>
      <c r="Y220" s="129" t="str">
        <f t="shared" si="120"/>
        <v/>
      </c>
      <c r="Z220" s="129" t="str">
        <f t="shared" si="121"/>
        <v/>
      </c>
      <c r="AA220" s="130"/>
      <c r="AB220" s="130" t="str">
        <f t="shared" si="122"/>
        <v>Unassigned</v>
      </c>
      <c r="AC220" s="131" t="str">
        <f t="shared" si="136"/>
        <v/>
      </c>
      <c r="AD220" s="131" t="str">
        <f t="shared" si="137"/>
        <v/>
      </c>
      <c r="AE220" s="132">
        <f t="shared" si="123"/>
        <v>0</v>
      </c>
      <c r="AF220" s="133" t="str">
        <f t="shared" si="138"/>
        <v/>
      </c>
      <c r="AG220" s="134">
        <f t="shared" si="124"/>
        <v>0</v>
      </c>
      <c r="AH220" s="54" t="str">
        <f t="shared" si="125"/>
        <v/>
      </c>
      <c r="AI220" s="54" t="str">
        <f t="shared" si="142"/>
        <v/>
      </c>
      <c r="AJ220" s="54" t="str">
        <f t="shared" si="142"/>
        <v/>
      </c>
      <c r="AK220" s="54" t="str">
        <f t="shared" si="142"/>
        <v/>
      </c>
      <c r="AL220" s="54" t="str">
        <f t="shared" si="142"/>
        <v/>
      </c>
      <c r="AM220" s="54" t="str">
        <f t="shared" si="142"/>
        <v/>
      </c>
      <c r="AN220" s="54" t="str">
        <f t="shared" si="142"/>
        <v/>
      </c>
      <c r="AO220" s="54" t="str">
        <f t="shared" si="142"/>
        <v/>
      </c>
      <c r="AP220" s="54" t="str">
        <f t="shared" si="142"/>
        <v/>
      </c>
      <c r="AQ220" s="54" t="str">
        <f t="shared" si="142"/>
        <v/>
      </c>
      <c r="AR220" s="54" t="str">
        <f t="shared" si="142"/>
        <v/>
      </c>
      <c r="AS220" s="54" t="str">
        <f t="shared" si="142"/>
        <v/>
      </c>
      <c r="AT220" s="54" t="str">
        <f t="shared" si="142"/>
        <v/>
      </c>
      <c r="AU220" s="54" t="str">
        <f t="shared" si="142"/>
        <v/>
      </c>
      <c r="AV220" s="54" t="str">
        <f t="shared" si="142"/>
        <v/>
      </c>
      <c r="AW220" s="54" t="str">
        <f t="shared" si="142"/>
        <v/>
      </c>
      <c r="AX220" s="54" t="str">
        <f t="shared" si="142"/>
        <v/>
      </c>
      <c r="AY220" s="54" t="str">
        <f t="shared" si="139"/>
        <v/>
      </c>
      <c r="AZ220" s="54" t="str">
        <f t="shared" si="128"/>
        <v/>
      </c>
      <c r="BA220" s="54" t="str">
        <f t="shared" si="129"/>
        <v/>
      </c>
      <c r="BB220" s="135" t="str">
        <f t="shared" si="130"/>
        <v/>
      </c>
      <c r="BC220" s="54" t="str">
        <f t="shared" si="140"/>
        <v/>
      </c>
      <c r="BD220" s="54" t="str">
        <f t="shared" si="140"/>
        <v/>
      </c>
      <c r="BE220" s="54" t="str">
        <f t="shared" si="140"/>
        <v/>
      </c>
      <c r="BF220" s="54" t="str">
        <f t="shared" si="131"/>
        <v/>
      </c>
      <c r="BG220" s="54" t="str">
        <f t="shared" si="132"/>
        <v/>
      </c>
      <c r="BH220" s="34" t="str">
        <f t="shared" si="133"/>
        <v>Bad</v>
      </c>
      <c r="BI220" s="34" t="str">
        <f t="shared" si="134"/>
        <v>No</v>
      </c>
      <c r="BJ220" s="136" t="str">
        <f>IF($D220&lt;&gt;"Feature",".",
IF(VLOOKUP($B220,Feature_List!$A:$AM,MATCH(BJ$1,  Feature_List!$A$1:$AM$1,0),0)=B220,".","NO"))</f>
        <v>.</v>
      </c>
      <c r="BK220" s="136"/>
      <c r="BL220" s="136"/>
      <c r="BM220" s="136" t="str">
        <f>IF($D220&lt;&gt;"Feature",".",
IF(VLOOKUP($B220,Feature_List!$A:$AM,MATCH(BM$1,  Feature_List!$A$1:$AM$1,0),0)=E220,".","NO"))</f>
        <v>.</v>
      </c>
      <c r="BN220" s="136" t="str">
        <f>IF($D220&lt;&gt;"Feature",".",
IF(VLOOKUP($B220,Feature_List!$A:$AM,MATCH(BN$1,  Feature_List!$A$1:$AM$1,0),0)=F220,".","NO"))</f>
        <v>.</v>
      </c>
      <c r="BO220" s="136" t="str">
        <f>IF($D220&lt;&gt;"Feature",".",
IF(VLOOKUP($B220,Feature_List!$A:$AM,MATCH(BO$1,  Feature_List!$A$1:$AM$1,0),0)=G220,".","NO"))</f>
        <v>.</v>
      </c>
      <c r="BP220" s="136" t="str">
        <f>IF($D220&lt;&gt;"Feature",".",
IF(VLOOKUP($B220,Feature_List!$A:$AM,MATCH(BP$1,  Feature_List!$A$1:$AM$1,0),0)=H220,".","NO"))</f>
        <v>.</v>
      </c>
      <c r="BQ220" s="136"/>
      <c r="BR220" s="136" t="str">
        <f>IF($D220&lt;&gt;"Feature",".",
IF(VLOOKUP($B220,Feature_List!$A:$AM,MATCH(BR$1,  Feature_List!$A$1:$AM$1,0),0)=J220,".","NO"))</f>
        <v>.</v>
      </c>
      <c r="BS220" s="136"/>
      <c r="BT220" s="136"/>
      <c r="BU220" s="136" t="str">
        <f>IF($D220&lt;&gt;"Feature",".",
IF(VLOOKUP($B220,Feature_List!$A:$AM,MATCH(BU$1,  Feature_List!$A$1:$AM$1,0),0)=M220,".","NO"))</f>
        <v>.</v>
      </c>
      <c r="BV220" s="136" t="str">
        <f>IF($D220&lt;&gt;"Feature",".",
IF(VLOOKUP($B220,Feature_List!$A:$AM,MATCH(BV$1,  Feature_List!$A$1:$AM$1,0),0)=N220,".","NO"))</f>
        <v>.</v>
      </c>
      <c r="BW220" s="136"/>
      <c r="BX220" s="136"/>
      <c r="BY220" s="136"/>
      <c r="BZ220" s="136"/>
      <c r="CA220" s="136"/>
      <c r="CB220" s="136" t="str">
        <f>IF($D220&lt;&gt;"Feature",".",
IF(VLOOKUP($B220,Feature_List!$A:$AM,MATCH(CB$1,  Feature_List!$A$1:$AM$1,0),0)=T220,".","NO"))</f>
        <v>.</v>
      </c>
      <c r="CC220" s="136"/>
      <c r="CD220" s="136"/>
      <c r="CE220" s="136"/>
      <c r="CF220" s="136"/>
      <c r="CG220" s="136"/>
      <c r="CH220" s="136"/>
      <c r="CI220" s="136"/>
      <c r="CJ220" s="136"/>
      <c r="CK220" s="136"/>
      <c r="CL220" s="136"/>
      <c r="CM220" s="136"/>
      <c r="CN220" s="136"/>
      <c r="CO220" s="136" t="str">
        <f>IF($D220&lt;&gt;"Feature",".",
IF(VLOOKUP($B220,Feature_List!$A:$AM,MATCH(CO$1,  Feature_List!$A$1:$AM$1,0),0)=AG220,".","NO"))</f>
        <v>.</v>
      </c>
      <c r="CP220" s="136" t="str">
        <f>IF($D220&lt;&gt;"Feature",".",
IF(VLOOKUP($B220,Feature_List!$A:$AM,MATCH(CP$1,  Feature_List!$A$1:$AM$1,0),0)=AH220,".","NO"))</f>
        <v>.</v>
      </c>
      <c r="CQ220" s="136" t="str">
        <f>IF($D220&lt;&gt;"Feature",".",
IF(VLOOKUP($B220,Feature_List!$A:$AM,MATCH(CQ$1,  Feature_List!$A$1:$AM$1,0),0)=AI220,".","NO"))</f>
        <v>.</v>
      </c>
      <c r="CR220" s="136" t="str">
        <f>IF($D220&lt;&gt;"Feature",".",
IF(VLOOKUP($B220,Feature_List!$A:$AM,MATCH(CR$1,  Feature_List!$A$1:$AM$1,0),0)=AJ220,".","NO"))</f>
        <v>.</v>
      </c>
      <c r="CS220" s="136" t="str">
        <f>IF($D220&lt;&gt;"Feature",".",
IF(VLOOKUP($B220,Feature_List!$A:$AM,MATCH(CS$1,  Feature_List!$A$1:$AM$1,0),0)=AK220,".","NO"))</f>
        <v>.</v>
      </c>
      <c r="CT220" s="136" t="str">
        <f>IF($D220&lt;&gt;"Feature",".",
IF(VLOOKUP($B220,Feature_List!$A:$AM,MATCH(CT$1,  Feature_List!$A$1:$AM$1,0),0)=AL220,".","NO"))</f>
        <v>.</v>
      </c>
      <c r="CU220" s="136" t="str">
        <f>IF($D220&lt;&gt;"Feature",".",
IF(VLOOKUP($B220,Feature_List!$A:$AM,MATCH(CU$1,  Feature_List!$A$1:$AM$1,0),0)=AM220,".","NO"))</f>
        <v>.</v>
      </c>
      <c r="CV220" s="136" t="str">
        <f>IF($D220&lt;&gt;"Feature",".",
IF(VLOOKUP($B220,Feature_List!$A:$AM,MATCH(CV$1,  Feature_List!$A$1:$AM$1,0),0)=AN220,".","NO"))</f>
        <v>.</v>
      </c>
      <c r="CW220" s="136" t="str">
        <f>IF($D220&lt;&gt;"Feature",".",
IF(VLOOKUP($B220,Feature_List!$A:$AM,MATCH(CW$1,  Feature_List!$A$1:$AM$1,0),0)=AO220,".","NO"))</f>
        <v>.</v>
      </c>
      <c r="CX220" s="136" t="str">
        <f>IF($D220&lt;&gt;"Feature",".",
IF(VLOOKUP($B220,Feature_List!$A:$AM,MATCH(CX$1,  Feature_List!$A$1:$AM$1,0),0)=AP220,".","NO"))</f>
        <v>.</v>
      </c>
      <c r="CY220" s="136" t="str">
        <f>IF($D220&lt;&gt;"Feature",".",
IF(VLOOKUP($B220,Feature_List!$A:$AM,MATCH(CY$1,  Feature_List!$A$1:$AM$1,0),0)=AQ220,".","NO"))</f>
        <v>.</v>
      </c>
      <c r="CZ220" s="136" t="str">
        <f>IF($D220&lt;&gt;"Feature",".",
IF(VLOOKUP($B220,Feature_List!$A:$AM,MATCH(CZ$1,  Feature_List!$A$1:$AM$1,0),0)=AR220,".","NO"))</f>
        <v>.</v>
      </c>
      <c r="DA220" s="136" t="str">
        <f>IF($D220&lt;&gt;"Feature",".",
IF(VLOOKUP($B220,Feature_List!$A:$AM,MATCH(DA$1,  Feature_List!$A$1:$AM$1,0),0)=AS220,".","NO"))</f>
        <v>.</v>
      </c>
      <c r="DB220" s="136" t="str">
        <f>IF($D220&lt;&gt;"Feature",".",
IF(VLOOKUP($B220,Feature_List!$A:$AM,MATCH(DB$1,  Feature_List!$A$1:$AM$1,0),0)=AT220,".","NO"))</f>
        <v>.</v>
      </c>
      <c r="DC220" s="136" t="str">
        <f>IF($D220&lt;&gt;"Feature",".",
IF(VLOOKUP($B220,Feature_List!$A:$AM,MATCH(DC$1,  Feature_List!$A$1:$AM$1,0),0)=AU220,".","NO"))</f>
        <v>.</v>
      </c>
      <c r="DD220" s="136" t="str">
        <f>IF($D220&lt;&gt;"Feature",".",
IF(VLOOKUP($B220,Feature_List!$A:$AM,MATCH(DD$1,  Feature_List!$A$1:$AM$1,0),0)=AV220,".","NO"))</f>
        <v>.</v>
      </c>
      <c r="DE220" s="136" t="str">
        <f>IF($D220&lt;&gt;"Feature",".",
IF(VLOOKUP($B220,Feature_List!$A:$AM,MATCH(DE$1,  Feature_List!$A$1:$AM$1,0),0)=AW220,".","NO"))</f>
        <v>.</v>
      </c>
      <c r="DF220" s="136" t="str">
        <f>IF($D220&lt;&gt;"Feature",".",
IF(VLOOKUP($B220,Feature_List!$A:$AM,MATCH(DF$1,  Feature_List!$A$1:$AM$1,0),0)=AX220,".","NO"))</f>
        <v>.</v>
      </c>
      <c r="DG220" s="136" t="str">
        <f>IF($D220&lt;&gt;"Feature",".",
IF(VLOOKUP($B220,Feature_List!$A:$AM,MATCH(DG$1,  Feature_List!$A$1:$AM$1,0),0)=AY220,".","NO"))</f>
        <v>.</v>
      </c>
      <c r="DH220" s="136" t="str">
        <f>IF($D220&lt;&gt;"Feature",".",
IF(VLOOKUP($B220,Feature_List!$A:$AM,MATCH(DH$1,  Feature_List!$A$1:$AM$1,0),0)=AZ220,".","NO"))</f>
        <v>.</v>
      </c>
      <c r="DI220" s="136" t="str">
        <f>IF($D220&lt;&gt;"Feature",".",
IF(VLOOKUP($B220,Feature_List!$A:$AM,MATCH(DI$1,  Feature_List!$A$1:$AM$1,0),0)=BA220,".","NO"))</f>
        <v>.</v>
      </c>
      <c r="DJ220" s="136" t="str">
        <f>IF($D220&lt;&gt;"Feature",".",
IF(VLOOKUP($B220,Feature_List!$A:$AM,MATCH(DJ$1,  Feature_List!$A$1:$AM$1,0),0)=BB220,".","NO"))</f>
        <v>.</v>
      </c>
      <c r="DK220" s="136"/>
      <c r="DL220" s="136"/>
      <c r="DM220" s="136"/>
      <c r="DN220" s="136" t="str">
        <f>IF($D220&lt;&gt;"Feature",".",
IF(VLOOKUP($B220,Feature_List!$A:$AM,MATCH(DN$1,  Feature_List!$A$1:$AM$1,0),0)=BC220,".","NO"))</f>
        <v>.</v>
      </c>
      <c r="DO220" s="136" t="str">
        <f>IF($D220&lt;&gt;"Feature",".",
IF(VLOOKUP($B220,Feature_List!$A:$AM,MATCH(DO$1,  Feature_List!$A$1:$AM$1,0),0)=BD220,".","NO"))</f>
        <v>.</v>
      </c>
    </row>
    <row r="221" spans="2:119" x14ac:dyDescent="0.3">
      <c r="B221" s="121"/>
      <c r="C221" s="122"/>
      <c r="D221" s="122"/>
      <c r="E221" s="122"/>
      <c r="F221" s="123"/>
      <c r="G221" s="123"/>
      <c r="H221" s="122"/>
      <c r="I221" s="124"/>
      <c r="J221" s="123"/>
      <c r="K221" s="123"/>
      <c r="L221" s="122"/>
      <c r="M221" s="122"/>
      <c r="N221" s="122"/>
      <c r="O221" s="123">
        <f t="shared" si="112"/>
        <v>0</v>
      </c>
      <c r="P221" s="123">
        <f t="shared" si="113"/>
        <v>0</v>
      </c>
      <c r="Q221" s="122" t="str">
        <f t="shared" si="135"/>
        <v>ZeroEntry</v>
      </c>
      <c r="R221" s="126" t="str">
        <f t="shared" si="114"/>
        <v>ZeroEntry</v>
      </c>
      <c r="S221" s="127" t="str">
        <f t="shared" si="115"/>
        <v>ZeroEntry</v>
      </c>
      <c r="T221" s="128" t="str">
        <f>IF($Q221="ZeroEntry", "",VLOOKUP($I221,'Ranking Lookup'!#REF!,2,FALSE))</f>
        <v/>
      </c>
      <c r="U221" s="129" t="str">
        <f t="shared" si="116"/>
        <v/>
      </c>
      <c r="V221" s="129" t="str">
        <f t="shared" si="117"/>
        <v/>
      </c>
      <c r="W221" s="129" t="str">
        <f t="shared" si="118"/>
        <v/>
      </c>
      <c r="X221" s="129" t="str">
        <f t="shared" si="119"/>
        <v/>
      </c>
      <c r="Y221" s="129" t="str">
        <f t="shared" si="120"/>
        <v/>
      </c>
      <c r="Z221" s="129" t="str">
        <f t="shared" si="121"/>
        <v/>
      </c>
      <c r="AA221" s="130"/>
      <c r="AB221" s="130" t="str">
        <f t="shared" si="122"/>
        <v>Unassigned</v>
      </c>
      <c r="AC221" s="131" t="str">
        <f t="shared" si="136"/>
        <v/>
      </c>
      <c r="AD221" s="131" t="str">
        <f t="shared" si="137"/>
        <v/>
      </c>
      <c r="AE221" s="132">
        <f t="shared" si="123"/>
        <v>0</v>
      </c>
      <c r="AF221" s="133" t="str">
        <f t="shared" si="138"/>
        <v/>
      </c>
      <c r="AG221" s="134">
        <f t="shared" si="124"/>
        <v>0</v>
      </c>
      <c r="AH221" s="54" t="str">
        <f t="shared" si="125"/>
        <v/>
      </c>
      <c r="AI221" s="54" t="str">
        <f t="shared" si="142"/>
        <v/>
      </c>
      <c r="AJ221" s="54" t="str">
        <f t="shared" si="142"/>
        <v/>
      </c>
      <c r="AK221" s="54" t="str">
        <f t="shared" si="142"/>
        <v/>
      </c>
      <c r="AL221" s="54" t="str">
        <f t="shared" si="142"/>
        <v/>
      </c>
      <c r="AM221" s="54" t="str">
        <f t="shared" si="142"/>
        <v/>
      </c>
      <c r="AN221" s="54" t="str">
        <f t="shared" si="142"/>
        <v/>
      </c>
      <c r="AO221" s="54" t="str">
        <f t="shared" si="142"/>
        <v/>
      </c>
      <c r="AP221" s="54" t="str">
        <f t="shared" si="142"/>
        <v/>
      </c>
      <c r="AQ221" s="54" t="str">
        <f t="shared" si="142"/>
        <v/>
      </c>
      <c r="AR221" s="54" t="str">
        <f t="shared" si="142"/>
        <v/>
      </c>
      <c r="AS221" s="54" t="str">
        <f t="shared" si="142"/>
        <v/>
      </c>
      <c r="AT221" s="54" t="str">
        <f t="shared" si="142"/>
        <v/>
      </c>
      <c r="AU221" s="54" t="str">
        <f t="shared" si="142"/>
        <v/>
      </c>
      <c r="AV221" s="54" t="str">
        <f t="shared" si="142"/>
        <v/>
      </c>
      <c r="AW221" s="54" t="str">
        <f t="shared" si="142"/>
        <v/>
      </c>
      <c r="AX221" s="54" t="str">
        <f t="shared" si="142"/>
        <v/>
      </c>
      <c r="AY221" s="54" t="str">
        <f t="shared" si="139"/>
        <v/>
      </c>
      <c r="AZ221" s="54" t="str">
        <f t="shared" si="128"/>
        <v/>
      </c>
      <c r="BA221" s="54" t="str">
        <f t="shared" si="129"/>
        <v/>
      </c>
      <c r="BB221" s="135" t="str">
        <f t="shared" si="130"/>
        <v/>
      </c>
      <c r="BC221" s="54" t="str">
        <f t="shared" si="140"/>
        <v/>
      </c>
      <c r="BD221" s="54" t="str">
        <f t="shared" si="140"/>
        <v/>
      </c>
      <c r="BE221" s="54" t="str">
        <f t="shared" si="140"/>
        <v/>
      </c>
      <c r="BF221" s="54" t="str">
        <f t="shared" si="131"/>
        <v/>
      </c>
      <c r="BG221" s="54" t="str">
        <f t="shared" si="132"/>
        <v/>
      </c>
      <c r="BH221" s="34" t="str">
        <f t="shared" si="133"/>
        <v>Bad</v>
      </c>
      <c r="BI221" s="34" t="str">
        <f t="shared" si="134"/>
        <v>No</v>
      </c>
      <c r="BJ221" s="136" t="str">
        <f>IF($D221&lt;&gt;"Feature",".",
IF(VLOOKUP($B221,Feature_List!$A:$AM,MATCH(BJ$1,  Feature_List!$A$1:$AM$1,0),0)=B221,".","NO"))</f>
        <v>.</v>
      </c>
      <c r="BK221" s="136"/>
      <c r="BL221" s="136"/>
      <c r="BM221" s="136" t="str">
        <f>IF($D221&lt;&gt;"Feature",".",
IF(VLOOKUP($B221,Feature_List!$A:$AM,MATCH(BM$1,  Feature_List!$A$1:$AM$1,0),0)=E221,".","NO"))</f>
        <v>.</v>
      </c>
      <c r="BN221" s="136" t="str">
        <f>IF($D221&lt;&gt;"Feature",".",
IF(VLOOKUP($B221,Feature_List!$A:$AM,MATCH(BN$1,  Feature_List!$A$1:$AM$1,0),0)=F221,".","NO"))</f>
        <v>.</v>
      </c>
      <c r="BO221" s="136" t="str">
        <f>IF($D221&lt;&gt;"Feature",".",
IF(VLOOKUP($B221,Feature_List!$A:$AM,MATCH(BO$1,  Feature_List!$A$1:$AM$1,0),0)=G221,".","NO"))</f>
        <v>.</v>
      </c>
      <c r="BP221" s="136" t="str">
        <f>IF($D221&lt;&gt;"Feature",".",
IF(VLOOKUP($B221,Feature_List!$A:$AM,MATCH(BP$1,  Feature_List!$A$1:$AM$1,0),0)=H221,".","NO"))</f>
        <v>.</v>
      </c>
      <c r="BQ221" s="136"/>
      <c r="BR221" s="136" t="str">
        <f>IF($D221&lt;&gt;"Feature",".",
IF(VLOOKUP($B221,Feature_List!$A:$AM,MATCH(BR$1,  Feature_List!$A$1:$AM$1,0),0)=J221,".","NO"))</f>
        <v>.</v>
      </c>
      <c r="BS221" s="136"/>
      <c r="BT221" s="136"/>
      <c r="BU221" s="136" t="str">
        <f>IF($D221&lt;&gt;"Feature",".",
IF(VLOOKUP($B221,Feature_List!$A:$AM,MATCH(BU$1,  Feature_List!$A$1:$AM$1,0),0)=M221,".","NO"))</f>
        <v>.</v>
      </c>
      <c r="BV221" s="136" t="str">
        <f>IF($D221&lt;&gt;"Feature",".",
IF(VLOOKUP($B221,Feature_List!$A:$AM,MATCH(BV$1,  Feature_List!$A$1:$AM$1,0),0)=N221,".","NO"))</f>
        <v>.</v>
      </c>
      <c r="BW221" s="136"/>
      <c r="BX221" s="136"/>
      <c r="BY221" s="136"/>
      <c r="BZ221" s="136"/>
      <c r="CA221" s="136"/>
      <c r="CB221" s="136" t="str">
        <f>IF($D221&lt;&gt;"Feature",".",
IF(VLOOKUP($B221,Feature_List!$A:$AM,MATCH(CB$1,  Feature_List!$A$1:$AM$1,0),0)=T221,".","NO"))</f>
        <v>.</v>
      </c>
      <c r="CC221" s="136"/>
      <c r="CD221" s="136"/>
      <c r="CE221" s="136"/>
      <c r="CF221" s="136"/>
      <c r="CG221" s="136"/>
      <c r="CH221" s="136"/>
      <c r="CI221" s="136"/>
      <c r="CJ221" s="136"/>
      <c r="CK221" s="136"/>
      <c r="CL221" s="136"/>
      <c r="CM221" s="136"/>
      <c r="CN221" s="136"/>
      <c r="CO221" s="136" t="str">
        <f>IF($D221&lt;&gt;"Feature",".",
IF(VLOOKUP($B221,Feature_List!$A:$AM,MATCH(CO$1,  Feature_List!$A$1:$AM$1,0),0)=AG221,".","NO"))</f>
        <v>.</v>
      </c>
      <c r="CP221" s="136" t="str">
        <f>IF($D221&lt;&gt;"Feature",".",
IF(VLOOKUP($B221,Feature_List!$A:$AM,MATCH(CP$1,  Feature_List!$A$1:$AM$1,0),0)=AH221,".","NO"))</f>
        <v>.</v>
      </c>
      <c r="CQ221" s="136" t="str">
        <f>IF($D221&lt;&gt;"Feature",".",
IF(VLOOKUP($B221,Feature_List!$A:$AM,MATCH(CQ$1,  Feature_List!$A$1:$AM$1,0),0)=AI221,".","NO"))</f>
        <v>.</v>
      </c>
      <c r="CR221" s="136" t="str">
        <f>IF($D221&lt;&gt;"Feature",".",
IF(VLOOKUP($B221,Feature_List!$A:$AM,MATCH(CR$1,  Feature_List!$A$1:$AM$1,0),0)=AJ221,".","NO"))</f>
        <v>.</v>
      </c>
      <c r="CS221" s="136" t="str">
        <f>IF($D221&lt;&gt;"Feature",".",
IF(VLOOKUP($B221,Feature_List!$A:$AM,MATCH(CS$1,  Feature_List!$A$1:$AM$1,0),0)=AK221,".","NO"))</f>
        <v>.</v>
      </c>
      <c r="CT221" s="136" t="str">
        <f>IF($D221&lt;&gt;"Feature",".",
IF(VLOOKUP($B221,Feature_List!$A:$AM,MATCH(CT$1,  Feature_List!$A$1:$AM$1,0),0)=AL221,".","NO"))</f>
        <v>.</v>
      </c>
      <c r="CU221" s="136" t="str">
        <f>IF($D221&lt;&gt;"Feature",".",
IF(VLOOKUP($B221,Feature_List!$A:$AM,MATCH(CU$1,  Feature_List!$A$1:$AM$1,0),0)=AM221,".","NO"))</f>
        <v>.</v>
      </c>
      <c r="CV221" s="136" t="str">
        <f>IF($D221&lt;&gt;"Feature",".",
IF(VLOOKUP($B221,Feature_List!$A:$AM,MATCH(CV$1,  Feature_List!$A$1:$AM$1,0),0)=AN221,".","NO"))</f>
        <v>.</v>
      </c>
      <c r="CW221" s="136" t="str">
        <f>IF($D221&lt;&gt;"Feature",".",
IF(VLOOKUP($B221,Feature_List!$A:$AM,MATCH(CW$1,  Feature_List!$A$1:$AM$1,0),0)=AO221,".","NO"))</f>
        <v>.</v>
      </c>
      <c r="CX221" s="136" t="str">
        <f>IF($D221&lt;&gt;"Feature",".",
IF(VLOOKUP($B221,Feature_List!$A:$AM,MATCH(CX$1,  Feature_List!$A$1:$AM$1,0),0)=AP221,".","NO"))</f>
        <v>.</v>
      </c>
      <c r="CY221" s="136" t="str">
        <f>IF($D221&lt;&gt;"Feature",".",
IF(VLOOKUP($B221,Feature_List!$A:$AM,MATCH(CY$1,  Feature_List!$A$1:$AM$1,0),0)=AQ221,".","NO"))</f>
        <v>.</v>
      </c>
      <c r="CZ221" s="136" t="str">
        <f>IF($D221&lt;&gt;"Feature",".",
IF(VLOOKUP($B221,Feature_List!$A:$AM,MATCH(CZ$1,  Feature_List!$A$1:$AM$1,0),0)=AR221,".","NO"))</f>
        <v>.</v>
      </c>
      <c r="DA221" s="136" t="str">
        <f>IF($D221&lt;&gt;"Feature",".",
IF(VLOOKUP($B221,Feature_List!$A:$AM,MATCH(DA$1,  Feature_List!$A$1:$AM$1,0),0)=AS221,".","NO"))</f>
        <v>.</v>
      </c>
      <c r="DB221" s="136" t="str">
        <f>IF($D221&lt;&gt;"Feature",".",
IF(VLOOKUP($B221,Feature_List!$A:$AM,MATCH(DB$1,  Feature_List!$A$1:$AM$1,0),0)=AT221,".","NO"))</f>
        <v>.</v>
      </c>
      <c r="DC221" s="136" t="str">
        <f>IF($D221&lt;&gt;"Feature",".",
IF(VLOOKUP($B221,Feature_List!$A:$AM,MATCH(DC$1,  Feature_List!$A$1:$AM$1,0),0)=AU221,".","NO"))</f>
        <v>.</v>
      </c>
      <c r="DD221" s="136" t="str">
        <f>IF($D221&lt;&gt;"Feature",".",
IF(VLOOKUP($B221,Feature_List!$A:$AM,MATCH(DD$1,  Feature_List!$A$1:$AM$1,0),0)=AV221,".","NO"))</f>
        <v>.</v>
      </c>
      <c r="DE221" s="136" t="str">
        <f>IF($D221&lt;&gt;"Feature",".",
IF(VLOOKUP($B221,Feature_List!$A:$AM,MATCH(DE$1,  Feature_List!$A$1:$AM$1,0),0)=AW221,".","NO"))</f>
        <v>.</v>
      </c>
      <c r="DF221" s="136" t="str">
        <f>IF($D221&lt;&gt;"Feature",".",
IF(VLOOKUP($B221,Feature_List!$A:$AM,MATCH(DF$1,  Feature_List!$A$1:$AM$1,0),0)=AX221,".","NO"))</f>
        <v>.</v>
      </c>
      <c r="DG221" s="136" t="str">
        <f>IF($D221&lt;&gt;"Feature",".",
IF(VLOOKUP($B221,Feature_List!$A:$AM,MATCH(DG$1,  Feature_List!$A$1:$AM$1,0),0)=AY221,".","NO"))</f>
        <v>.</v>
      </c>
      <c r="DH221" s="136" t="str">
        <f>IF($D221&lt;&gt;"Feature",".",
IF(VLOOKUP($B221,Feature_List!$A:$AM,MATCH(DH$1,  Feature_List!$A$1:$AM$1,0),0)=AZ221,".","NO"))</f>
        <v>.</v>
      </c>
      <c r="DI221" s="136" t="str">
        <f>IF($D221&lt;&gt;"Feature",".",
IF(VLOOKUP($B221,Feature_List!$A:$AM,MATCH(DI$1,  Feature_List!$A$1:$AM$1,0),0)=BA221,".","NO"))</f>
        <v>.</v>
      </c>
      <c r="DJ221" s="136" t="str">
        <f>IF($D221&lt;&gt;"Feature",".",
IF(VLOOKUP($B221,Feature_List!$A:$AM,MATCH(DJ$1,  Feature_List!$A$1:$AM$1,0),0)=BB221,".","NO"))</f>
        <v>.</v>
      </c>
      <c r="DK221" s="136"/>
      <c r="DL221" s="136"/>
      <c r="DM221" s="136"/>
      <c r="DN221" s="136" t="str">
        <f>IF($D221&lt;&gt;"Feature",".",
IF(VLOOKUP($B221,Feature_List!$A:$AM,MATCH(DN$1,  Feature_List!$A$1:$AM$1,0),0)=BC221,".","NO"))</f>
        <v>.</v>
      </c>
      <c r="DO221" s="136" t="str">
        <f>IF($D221&lt;&gt;"Feature",".",
IF(VLOOKUP($B221,Feature_List!$A:$AM,MATCH(DO$1,  Feature_List!$A$1:$AM$1,0),0)=BD221,".","NO"))</f>
        <v>.</v>
      </c>
    </row>
    <row r="222" spans="2:119" x14ac:dyDescent="0.3">
      <c r="B222" s="121"/>
      <c r="C222" s="123"/>
      <c r="D222" s="122"/>
      <c r="E222" s="122"/>
      <c r="F222" s="123"/>
      <c r="G222" s="123"/>
      <c r="H222" s="122"/>
      <c r="I222" s="122"/>
      <c r="J222" s="123"/>
      <c r="K222" s="123"/>
      <c r="L222" s="122"/>
      <c r="M222" s="122"/>
      <c r="N222" s="122"/>
      <c r="O222" s="123">
        <f t="shared" si="112"/>
        <v>0</v>
      </c>
      <c r="P222" s="123">
        <f t="shared" si="113"/>
        <v>0</v>
      </c>
      <c r="Q222" s="122" t="str">
        <f t="shared" si="135"/>
        <v>ZeroEntry</v>
      </c>
      <c r="R222" s="126" t="str">
        <f t="shared" si="114"/>
        <v>ZeroEntry</v>
      </c>
      <c r="S222" s="127" t="str">
        <f t="shared" si="115"/>
        <v>ZeroEntry</v>
      </c>
      <c r="T222" s="128" t="str">
        <f>IF($Q222="ZeroEntry", "",VLOOKUP($I222,'Ranking Lookup'!#REF!,2,FALSE))</f>
        <v/>
      </c>
      <c r="U222" s="129" t="str">
        <f t="shared" si="116"/>
        <v/>
      </c>
      <c r="V222" s="129" t="str">
        <f t="shared" si="117"/>
        <v/>
      </c>
      <c r="W222" s="129" t="str">
        <f t="shared" si="118"/>
        <v/>
      </c>
      <c r="X222" s="129" t="str">
        <f t="shared" si="119"/>
        <v/>
      </c>
      <c r="Y222" s="129" t="str">
        <f t="shared" si="120"/>
        <v/>
      </c>
      <c r="Z222" s="129" t="str">
        <f t="shared" si="121"/>
        <v/>
      </c>
      <c r="AA222" s="130"/>
      <c r="AB222" s="130" t="str">
        <f t="shared" si="122"/>
        <v>Unassigned</v>
      </c>
      <c r="AC222" s="131" t="str">
        <f t="shared" si="136"/>
        <v/>
      </c>
      <c r="AD222" s="131" t="str">
        <f t="shared" si="137"/>
        <v/>
      </c>
      <c r="AE222" s="132">
        <f t="shared" si="123"/>
        <v>0</v>
      </c>
      <c r="AF222" s="133" t="str">
        <f t="shared" si="138"/>
        <v/>
      </c>
      <c r="AG222" s="134">
        <f t="shared" si="124"/>
        <v>0</v>
      </c>
      <c r="AH222" s="54" t="str">
        <f t="shared" si="125"/>
        <v/>
      </c>
      <c r="AI222" s="54" t="str">
        <f t="shared" si="142"/>
        <v/>
      </c>
      <c r="AJ222" s="54" t="str">
        <f t="shared" si="142"/>
        <v/>
      </c>
      <c r="AK222" s="54" t="str">
        <f t="shared" si="142"/>
        <v/>
      </c>
      <c r="AL222" s="54" t="str">
        <f t="shared" si="142"/>
        <v/>
      </c>
      <c r="AM222" s="54" t="str">
        <f t="shared" si="142"/>
        <v/>
      </c>
      <c r="AN222" s="54" t="str">
        <f t="shared" si="142"/>
        <v/>
      </c>
      <c r="AO222" s="54" t="str">
        <f t="shared" si="142"/>
        <v/>
      </c>
      <c r="AP222" s="54" t="str">
        <f t="shared" si="142"/>
        <v/>
      </c>
      <c r="AQ222" s="54" t="str">
        <f t="shared" si="142"/>
        <v/>
      </c>
      <c r="AR222" s="54" t="str">
        <f t="shared" si="142"/>
        <v/>
      </c>
      <c r="AS222" s="54" t="str">
        <f t="shared" si="142"/>
        <v/>
      </c>
      <c r="AT222" s="54" t="str">
        <f t="shared" si="142"/>
        <v/>
      </c>
      <c r="AU222" s="54" t="str">
        <f t="shared" si="142"/>
        <v/>
      </c>
      <c r="AV222" s="54" t="str">
        <f t="shared" si="142"/>
        <v/>
      </c>
      <c r="AW222" s="54" t="str">
        <f t="shared" si="142"/>
        <v/>
      </c>
      <c r="AX222" s="54" t="str">
        <f t="shared" si="142"/>
        <v/>
      </c>
      <c r="AY222" s="54" t="str">
        <f t="shared" si="139"/>
        <v/>
      </c>
      <c r="AZ222" s="54" t="str">
        <f t="shared" si="128"/>
        <v/>
      </c>
      <c r="BA222" s="54" t="str">
        <f t="shared" si="129"/>
        <v/>
      </c>
      <c r="BB222" s="135" t="str">
        <f t="shared" si="130"/>
        <v/>
      </c>
      <c r="BC222" s="54" t="str">
        <f t="shared" ref="BC222:BE241" si="143">IF(AND($Q222="Feature",LEFT($AB222,2)="PI"),
IF(AND(COUNTIF($R:$R,$B222)=1,$T222=BC$1), IF($AB222=$A$10,$AF222,0),
IF(OR($AD222&lt;1,RIGHT($G222,8)="Progress"),SUMIFS($O:$O,$R:$R,$B222,$T:$T,BC$1,$P:$P,"&lt;&gt;Done",$AB:$AB,$A$10),
IF($T222=BC$1, IF($AB222=$A$10,$AD222,0)+SUMIFS($O:$O,$R:$R,$B222,$T:$T,BC$1,$P:$P,"&lt;&gt;Done",$AB:$AB,$A$10),SUMIFS($O:$O,$R:$R,$B222,$T:$T,BC$1,$P:$P,"&lt;&gt;Done",$AB:$AB,$A$10)))),
IF(AND(OR($Q222="Story",$Q222="Problem",$Q222="Enhancement"),$AB222=$A$10,$R222=0,$T222=BC$1,$P222&lt;&gt;"Done"),$O222,""))</f>
        <v/>
      </c>
      <c r="BD222" s="54" t="str">
        <f t="shared" si="143"/>
        <v/>
      </c>
      <c r="BE222" s="54" t="str">
        <f t="shared" si="143"/>
        <v/>
      </c>
      <c r="BF222" s="54" t="str">
        <f t="shared" si="131"/>
        <v/>
      </c>
      <c r="BG222" s="54" t="str">
        <f t="shared" si="132"/>
        <v/>
      </c>
      <c r="BH222" s="34" t="str">
        <f t="shared" si="133"/>
        <v>Bad</v>
      </c>
      <c r="BI222" s="34" t="str">
        <f t="shared" si="134"/>
        <v>No</v>
      </c>
      <c r="BJ222" s="136" t="str">
        <f>IF($D222&lt;&gt;"Feature",".",
IF(VLOOKUP($B222,Feature_List!$A:$AM,MATCH(BJ$1,  Feature_List!$A$1:$AM$1,0),0)=B222,".","NO"))</f>
        <v>.</v>
      </c>
      <c r="BK222" s="136"/>
      <c r="BL222" s="136"/>
      <c r="BM222" s="136" t="str">
        <f>IF($D222&lt;&gt;"Feature",".",
IF(VLOOKUP($B222,Feature_List!$A:$AM,MATCH(BM$1,  Feature_List!$A$1:$AM$1,0),0)=E222,".","NO"))</f>
        <v>.</v>
      </c>
      <c r="BN222" s="136" t="str">
        <f>IF($D222&lt;&gt;"Feature",".",
IF(VLOOKUP($B222,Feature_List!$A:$AM,MATCH(BN$1,  Feature_List!$A$1:$AM$1,0),0)=F222,".","NO"))</f>
        <v>.</v>
      </c>
      <c r="BO222" s="136" t="str">
        <f>IF($D222&lt;&gt;"Feature",".",
IF(VLOOKUP($B222,Feature_List!$A:$AM,MATCH(BO$1,  Feature_List!$A$1:$AM$1,0),0)=G222,".","NO"))</f>
        <v>.</v>
      </c>
      <c r="BP222" s="136" t="str">
        <f>IF($D222&lt;&gt;"Feature",".",
IF(VLOOKUP($B222,Feature_List!$A:$AM,MATCH(BP$1,  Feature_List!$A$1:$AM$1,0),0)=H222,".","NO"))</f>
        <v>.</v>
      </c>
      <c r="BQ222" s="136"/>
      <c r="BR222" s="136" t="str">
        <f>IF($D222&lt;&gt;"Feature",".",
IF(VLOOKUP($B222,Feature_List!$A:$AM,MATCH(BR$1,  Feature_List!$A$1:$AM$1,0),0)=J222,".","NO"))</f>
        <v>.</v>
      </c>
      <c r="BS222" s="136"/>
      <c r="BT222" s="136"/>
      <c r="BU222" s="136" t="str">
        <f>IF($D222&lt;&gt;"Feature",".",
IF(VLOOKUP($B222,Feature_List!$A:$AM,MATCH(BU$1,  Feature_List!$A$1:$AM$1,0),0)=M222,".","NO"))</f>
        <v>.</v>
      </c>
      <c r="BV222" s="136" t="str">
        <f>IF($D222&lt;&gt;"Feature",".",
IF(VLOOKUP($B222,Feature_List!$A:$AM,MATCH(BV$1,  Feature_List!$A$1:$AM$1,0),0)=N222,".","NO"))</f>
        <v>.</v>
      </c>
      <c r="BW222" s="136"/>
      <c r="BX222" s="136"/>
      <c r="BY222" s="136"/>
      <c r="BZ222" s="136"/>
      <c r="CA222" s="136"/>
      <c r="CB222" s="136" t="str">
        <f>IF($D222&lt;&gt;"Feature",".",
IF(VLOOKUP($B222,Feature_List!$A:$AM,MATCH(CB$1,  Feature_List!$A$1:$AM$1,0),0)=T222,".","NO"))</f>
        <v>.</v>
      </c>
      <c r="CC222" s="136"/>
      <c r="CD222" s="136"/>
      <c r="CE222" s="136"/>
      <c r="CF222" s="136"/>
      <c r="CG222" s="136"/>
      <c r="CH222" s="136"/>
      <c r="CI222" s="136"/>
      <c r="CJ222" s="136"/>
      <c r="CK222" s="136"/>
      <c r="CL222" s="136"/>
      <c r="CM222" s="136"/>
      <c r="CN222" s="136"/>
      <c r="CO222" s="136" t="str">
        <f>IF($D222&lt;&gt;"Feature",".",
IF(VLOOKUP($B222,Feature_List!$A:$AM,MATCH(CO$1,  Feature_List!$A$1:$AM$1,0),0)=AG222,".","NO"))</f>
        <v>.</v>
      </c>
      <c r="CP222" s="136" t="str">
        <f>IF($D222&lt;&gt;"Feature",".",
IF(VLOOKUP($B222,Feature_List!$A:$AM,MATCH(CP$1,  Feature_List!$A$1:$AM$1,0),0)=AH222,".","NO"))</f>
        <v>.</v>
      </c>
      <c r="CQ222" s="136" t="str">
        <f>IF($D222&lt;&gt;"Feature",".",
IF(VLOOKUP($B222,Feature_List!$A:$AM,MATCH(CQ$1,  Feature_List!$A$1:$AM$1,0),0)=AI222,".","NO"))</f>
        <v>.</v>
      </c>
      <c r="CR222" s="136" t="str">
        <f>IF($D222&lt;&gt;"Feature",".",
IF(VLOOKUP($B222,Feature_List!$A:$AM,MATCH(CR$1,  Feature_List!$A$1:$AM$1,0),0)=AJ222,".","NO"))</f>
        <v>.</v>
      </c>
      <c r="CS222" s="136" t="str">
        <f>IF($D222&lt;&gt;"Feature",".",
IF(VLOOKUP($B222,Feature_List!$A:$AM,MATCH(CS$1,  Feature_List!$A$1:$AM$1,0),0)=AK222,".","NO"))</f>
        <v>.</v>
      </c>
      <c r="CT222" s="136" t="str">
        <f>IF($D222&lt;&gt;"Feature",".",
IF(VLOOKUP($B222,Feature_List!$A:$AM,MATCH(CT$1,  Feature_List!$A$1:$AM$1,0),0)=AL222,".","NO"))</f>
        <v>.</v>
      </c>
      <c r="CU222" s="136" t="str">
        <f>IF($D222&lt;&gt;"Feature",".",
IF(VLOOKUP($B222,Feature_List!$A:$AM,MATCH(CU$1,  Feature_List!$A$1:$AM$1,0),0)=AM222,".","NO"))</f>
        <v>.</v>
      </c>
      <c r="CV222" s="136" t="str">
        <f>IF($D222&lt;&gt;"Feature",".",
IF(VLOOKUP($B222,Feature_List!$A:$AM,MATCH(CV$1,  Feature_List!$A$1:$AM$1,0),0)=AN222,".","NO"))</f>
        <v>.</v>
      </c>
      <c r="CW222" s="136" t="str">
        <f>IF($D222&lt;&gt;"Feature",".",
IF(VLOOKUP($B222,Feature_List!$A:$AM,MATCH(CW$1,  Feature_List!$A$1:$AM$1,0),0)=AO222,".","NO"))</f>
        <v>.</v>
      </c>
      <c r="CX222" s="136" t="str">
        <f>IF($D222&lt;&gt;"Feature",".",
IF(VLOOKUP($B222,Feature_List!$A:$AM,MATCH(CX$1,  Feature_List!$A$1:$AM$1,0),0)=AP222,".","NO"))</f>
        <v>.</v>
      </c>
      <c r="CY222" s="136" t="str">
        <f>IF($D222&lt;&gt;"Feature",".",
IF(VLOOKUP($B222,Feature_List!$A:$AM,MATCH(CY$1,  Feature_List!$A$1:$AM$1,0),0)=AQ222,".","NO"))</f>
        <v>.</v>
      </c>
      <c r="CZ222" s="136" t="str">
        <f>IF($D222&lt;&gt;"Feature",".",
IF(VLOOKUP($B222,Feature_List!$A:$AM,MATCH(CZ$1,  Feature_List!$A$1:$AM$1,0),0)=AR222,".","NO"))</f>
        <v>.</v>
      </c>
      <c r="DA222" s="136" t="str">
        <f>IF($D222&lt;&gt;"Feature",".",
IF(VLOOKUP($B222,Feature_List!$A:$AM,MATCH(DA$1,  Feature_List!$A$1:$AM$1,0),0)=AS222,".","NO"))</f>
        <v>.</v>
      </c>
      <c r="DB222" s="136" t="str">
        <f>IF($D222&lt;&gt;"Feature",".",
IF(VLOOKUP($B222,Feature_List!$A:$AM,MATCH(DB$1,  Feature_List!$A$1:$AM$1,0),0)=AT222,".","NO"))</f>
        <v>.</v>
      </c>
      <c r="DC222" s="136" t="str">
        <f>IF($D222&lt;&gt;"Feature",".",
IF(VLOOKUP($B222,Feature_List!$A:$AM,MATCH(DC$1,  Feature_List!$A$1:$AM$1,0),0)=AU222,".","NO"))</f>
        <v>.</v>
      </c>
      <c r="DD222" s="136" t="str">
        <f>IF($D222&lt;&gt;"Feature",".",
IF(VLOOKUP($B222,Feature_List!$A:$AM,MATCH(DD$1,  Feature_List!$A$1:$AM$1,0),0)=AV222,".","NO"))</f>
        <v>.</v>
      </c>
      <c r="DE222" s="136" t="str">
        <f>IF($D222&lt;&gt;"Feature",".",
IF(VLOOKUP($B222,Feature_List!$A:$AM,MATCH(DE$1,  Feature_List!$A$1:$AM$1,0),0)=AW222,".","NO"))</f>
        <v>.</v>
      </c>
      <c r="DF222" s="136" t="str">
        <f>IF($D222&lt;&gt;"Feature",".",
IF(VLOOKUP($B222,Feature_List!$A:$AM,MATCH(DF$1,  Feature_List!$A$1:$AM$1,0),0)=AX222,".","NO"))</f>
        <v>.</v>
      </c>
      <c r="DG222" s="136" t="str">
        <f>IF($D222&lt;&gt;"Feature",".",
IF(VLOOKUP($B222,Feature_List!$A:$AM,MATCH(DG$1,  Feature_List!$A$1:$AM$1,0),0)=AY222,".","NO"))</f>
        <v>.</v>
      </c>
      <c r="DH222" s="136" t="str">
        <f>IF($D222&lt;&gt;"Feature",".",
IF(VLOOKUP($B222,Feature_List!$A:$AM,MATCH(DH$1,  Feature_List!$A$1:$AM$1,0),0)=AZ222,".","NO"))</f>
        <v>.</v>
      </c>
      <c r="DI222" s="136" t="str">
        <f>IF($D222&lt;&gt;"Feature",".",
IF(VLOOKUP($B222,Feature_List!$A:$AM,MATCH(DI$1,  Feature_List!$A$1:$AM$1,0),0)=BA222,".","NO"))</f>
        <v>.</v>
      </c>
      <c r="DJ222" s="136" t="str">
        <f>IF($D222&lt;&gt;"Feature",".",
IF(VLOOKUP($B222,Feature_List!$A:$AM,MATCH(DJ$1,  Feature_List!$A$1:$AM$1,0),0)=BB222,".","NO"))</f>
        <v>.</v>
      </c>
      <c r="DK222" s="136"/>
      <c r="DL222" s="136"/>
      <c r="DM222" s="136"/>
      <c r="DN222" s="136" t="str">
        <f>IF($D222&lt;&gt;"Feature",".",
IF(VLOOKUP($B222,Feature_List!$A:$AM,MATCH(DN$1,  Feature_List!$A$1:$AM$1,0),0)=BC222,".","NO"))</f>
        <v>.</v>
      </c>
      <c r="DO222" s="136" t="str">
        <f>IF($D222&lt;&gt;"Feature",".",
IF(VLOOKUP($B222,Feature_List!$A:$AM,MATCH(DO$1,  Feature_List!$A$1:$AM$1,0),0)=BD222,".","NO"))</f>
        <v>.</v>
      </c>
    </row>
    <row r="223" spans="2:119" x14ac:dyDescent="0.3">
      <c r="B223" s="121"/>
      <c r="C223" s="123"/>
      <c r="D223" s="122"/>
      <c r="E223" s="122"/>
      <c r="F223" s="123"/>
      <c r="G223" s="123"/>
      <c r="H223" s="122"/>
      <c r="I223" s="124"/>
      <c r="J223" s="123"/>
      <c r="K223" s="123"/>
      <c r="L223" s="122"/>
      <c r="M223" s="122"/>
      <c r="N223" s="122"/>
      <c r="O223" s="123">
        <f t="shared" si="112"/>
        <v>0</v>
      </c>
      <c r="P223" s="123">
        <f t="shared" si="113"/>
        <v>0</v>
      </c>
      <c r="Q223" s="122" t="str">
        <f t="shared" si="135"/>
        <v>ZeroEntry</v>
      </c>
      <c r="R223" s="126" t="str">
        <f t="shared" si="114"/>
        <v>ZeroEntry</v>
      </c>
      <c r="S223" s="127" t="str">
        <f t="shared" si="115"/>
        <v>ZeroEntry</v>
      </c>
      <c r="T223" s="128" t="str">
        <f>IF($Q223="ZeroEntry", "",VLOOKUP($I223,'Ranking Lookup'!#REF!,2,FALSE))</f>
        <v/>
      </c>
      <c r="U223" s="129" t="str">
        <f t="shared" si="116"/>
        <v/>
      </c>
      <c r="V223" s="129" t="str">
        <f t="shared" si="117"/>
        <v/>
      </c>
      <c r="W223" s="129" t="str">
        <f t="shared" si="118"/>
        <v/>
      </c>
      <c r="X223" s="129" t="str">
        <f t="shared" si="119"/>
        <v/>
      </c>
      <c r="Y223" s="129" t="str">
        <f t="shared" si="120"/>
        <v/>
      </c>
      <c r="Z223" s="129" t="str">
        <f t="shared" si="121"/>
        <v/>
      </c>
      <c r="AA223" s="130"/>
      <c r="AB223" s="130" t="str">
        <f t="shared" si="122"/>
        <v>Unassigned</v>
      </c>
      <c r="AC223" s="131" t="str">
        <f t="shared" si="136"/>
        <v/>
      </c>
      <c r="AD223" s="131" t="str">
        <f t="shared" si="137"/>
        <v/>
      </c>
      <c r="AE223" s="132">
        <f t="shared" si="123"/>
        <v>0</v>
      </c>
      <c r="AF223" s="133" t="str">
        <f t="shared" si="138"/>
        <v/>
      </c>
      <c r="AG223" s="134">
        <f t="shared" si="124"/>
        <v>0</v>
      </c>
      <c r="AH223" s="54" t="str">
        <f t="shared" si="125"/>
        <v/>
      </c>
      <c r="AI223" s="54" t="str">
        <f t="shared" si="142"/>
        <v/>
      </c>
      <c r="AJ223" s="54" t="str">
        <f t="shared" si="142"/>
        <v/>
      </c>
      <c r="AK223" s="54" t="str">
        <f t="shared" si="142"/>
        <v/>
      </c>
      <c r="AL223" s="54" t="str">
        <f t="shared" si="142"/>
        <v/>
      </c>
      <c r="AM223" s="54" t="str">
        <f t="shared" si="142"/>
        <v/>
      </c>
      <c r="AN223" s="54" t="str">
        <f t="shared" si="142"/>
        <v/>
      </c>
      <c r="AO223" s="54" t="str">
        <f t="shared" si="142"/>
        <v/>
      </c>
      <c r="AP223" s="54" t="str">
        <f t="shared" si="142"/>
        <v/>
      </c>
      <c r="AQ223" s="54" t="str">
        <f t="shared" si="142"/>
        <v/>
      </c>
      <c r="AR223" s="54" t="str">
        <f t="shared" si="142"/>
        <v/>
      </c>
      <c r="AS223" s="54" t="str">
        <f t="shared" si="142"/>
        <v/>
      </c>
      <c r="AT223" s="54" t="str">
        <f t="shared" si="142"/>
        <v/>
      </c>
      <c r="AU223" s="54" t="str">
        <f t="shared" si="142"/>
        <v/>
      </c>
      <c r="AV223" s="54" t="str">
        <f t="shared" si="142"/>
        <v/>
      </c>
      <c r="AW223" s="54" t="str">
        <f t="shared" si="142"/>
        <v/>
      </c>
      <c r="AX223" s="54" t="str">
        <f t="shared" si="142"/>
        <v/>
      </c>
      <c r="AY223" s="54" t="str">
        <f t="shared" si="139"/>
        <v/>
      </c>
      <c r="AZ223" s="54" t="str">
        <f t="shared" si="128"/>
        <v/>
      </c>
      <c r="BA223" s="54" t="str">
        <f t="shared" si="129"/>
        <v/>
      </c>
      <c r="BB223" s="135" t="str">
        <f t="shared" si="130"/>
        <v/>
      </c>
      <c r="BC223" s="54" t="str">
        <f t="shared" si="143"/>
        <v/>
      </c>
      <c r="BD223" s="54" t="str">
        <f t="shared" si="143"/>
        <v/>
      </c>
      <c r="BE223" s="54" t="str">
        <f t="shared" si="143"/>
        <v/>
      </c>
      <c r="BF223" s="54" t="str">
        <f t="shared" si="131"/>
        <v/>
      </c>
      <c r="BG223" s="54" t="str">
        <f t="shared" si="132"/>
        <v/>
      </c>
      <c r="BH223" s="34" t="str">
        <f t="shared" si="133"/>
        <v>Bad</v>
      </c>
      <c r="BI223" s="34" t="str">
        <f t="shared" si="134"/>
        <v>No</v>
      </c>
      <c r="BJ223" s="136" t="str">
        <f>IF($D223&lt;&gt;"Feature",".",
IF(VLOOKUP($B223,Feature_List!$A:$AM,MATCH(BJ$1,  Feature_List!$A$1:$AM$1,0),0)=B223,".","NO"))</f>
        <v>.</v>
      </c>
      <c r="BK223" s="136"/>
      <c r="BL223" s="136"/>
      <c r="BM223" s="136" t="str">
        <f>IF($D223&lt;&gt;"Feature",".",
IF(VLOOKUP($B223,Feature_List!$A:$AM,MATCH(BM$1,  Feature_List!$A$1:$AM$1,0),0)=E223,".","NO"))</f>
        <v>.</v>
      </c>
      <c r="BN223" s="136" t="str">
        <f>IF($D223&lt;&gt;"Feature",".",
IF(VLOOKUP($B223,Feature_List!$A:$AM,MATCH(BN$1,  Feature_List!$A$1:$AM$1,0),0)=F223,".","NO"))</f>
        <v>.</v>
      </c>
      <c r="BO223" s="136" t="str">
        <f>IF($D223&lt;&gt;"Feature",".",
IF(VLOOKUP($B223,Feature_List!$A:$AM,MATCH(BO$1,  Feature_List!$A$1:$AM$1,0),0)=G223,".","NO"))</f>
        <v>.</v>
      </c>
      <c r="BP223" s="136" t="str">
        <f>IF($D223&lt;&gt;"Feature",".",
IF(VLOOKUP($B223,Feature_List!$A:$AM,MATCH(BP$1,  Feature_List!$A$1:$AM$1,0),0)=H223,".","NO"))</f>
        <v>.</v>
      </c>
      <c r="BQ223" s="136"/>
      <c r="BR223" s="136" t="str">
        <f>IF($D223&lt;&gt;"Feature",".",
IF(VLOOKUP($B223,Feature_List!$A:$AM,MATCH(BR$1,  Feature_List!$A$1:$AM$1,0),0)=J223,".","NO"))</f>
        <v>.</v>
      </c>
      <c r="BS223" s="136"/>
      <c r="BT223" s="136"/>
      <c r="BU223" s="136" t="str">
        <f>IF($D223&lt;&gt;"Feature",".",
IF(VLOOKUP($B223,Feature_List!$A:$AM,MATCH(BU$1,  Feature_List!$A$1:$AM$1,0),0)=M223,".","NO"))</f>
        <v>.</v>
      </c>
      <c r="BV223" s="136" t="str">
        <f>IF($D223&lt;&gt;"Feature",".",
IF(VLOOKUP($B223,Feature_List!$A:$AM,MATCH(BV$1,  Feature_List!$A$1:$AM$1,0),0)=N223,".","NO"))</f>
        <v>.</v>
      </c>
      <c r="BW223" s="136"/>
      <c r="BX223" s="136"/>
      <c r="BY223" s="136"/>
      <c r="BZ223" s="136"/>
      <c r="CA223" s="136"/>
      <c r="CB223" s="136" t="str">
        <f>IF($D223&lt;&gt;"Feature",".",
IF(VLOOKUP($B223,Feature_List!$A:$AM,MATCH(CB$1,  Feature_List!$A$1:$AM$1,0),0)=T223,".","NO"))</f>
        <v>.</v>
      </c>
      <c r="CC223" s="136"/>
      <c r="CD223" s="136"/>
      <c r="CE223" s="136"/>
      <c r="CF223" s="136"/>
      <c r="CG223" s="136"/>
      <c r="CH223" s="136"/>
      <c r="CI223" s="136"/>
      <c r="CJ223" s="136"/>
      <c r="CK223" s="136"/>
      <c r="CL223" s="136"/>
      <c r="CM223" s="136"/>
      <c r="CN223" s="136"/>
      <c r="CO223" s="136" t="str">
        <f>IF($D223&lt;&gt;"Feature",".",
IF(VLOOKUP($B223,Feature_List!$A:$AM,MATCH(CO$1,  Feature_List!$A$1:$AM$1,0),0)=AG223,".","NO"))</f>
        <v>.</v>
      </c>
      <c r="CP223" s="136" t="str">
        <f>IF($D223&lt;&gt;"Feature",".",
IF(VLOOKUP($B223,Feature_List!$A:$AM,MATCH(CP$1,  Feature_List!$A$1:$AM$1,0),0)=AH223,".","NO"))</f>
        <v>.</v>
      </c>
      <c r="CQ223" s="136" t="str">
        <f>IF($D223&lt;&gt;"Feature",".",
IF(VLOOKUP($B223,Feature_List!$A:$AM,MATCH(CQ$1,  Feature_List!$A$1:$AM$1,0),0)=AI223,".","NO"))</f>
        <v>.</v>
      </c>
      <c r="CR223" s="136" t="str">
        <f>IF($D223&lt;&gt;"Feature",".",
IF(VLOOKUP($B223,Feature_List!$A:$AM,MATCH(CR$1,  Feature_List!$A$1:$AM$1,0),0)=AJ223,".","NO"))</f>
        <v>.</v>
      </c>
      <c r="CS223" s="136" t="str">
        <f>IF($D223&lt;&gt;"Feature",".",
IF(VLOOKUP($B223,Feature_List!$A:$AM,MATCH(CS$1,  Feature_List!$A$1:$AM$1,0),0)=AK223,".","NO"))</f>
        <v>.</v>
      </c>
      <c r="CT223" s="136" t="str">
        <f>IF($D223&lt;&gt;"Feature",".",
IF(VLOOKUP($B223,Feature_List!$A:$AM,MATCH(CT$1,  Feature_List!$A$1:$AM$1,0),0)=AL223,".","NO"))</f>
        <v>.</v>
      </c>
      <c r="CU223" s="136" t="str">
        <f>IF($D223&lt;&gt;"Feature",".",
IF(VLOOKUP($B223,Feature_List!$A:$AM,MATCH(CU$1,  Feature_List!$A$1:$AM$1,0),0)=AM223,".","NO"))</f>
        <v>.</v>
      </c>
      <c r="CV223" s="136" t="str">
        <f>IF($D223&lt;&gt;"Feature",".",
IF(VLOOKUP($B223,Feature_List!$A:$AM,MATCH(CV$1,  Feature_List!$A$1:$AM$1,0),0)=AN223,".","NO"))</f>
        <v>.</v>
      </c>
      <c r="CW223" s="136" t="str">
        <f>IF($D223&lt;&gt;"Feature",".",
IF(VLOOKUP($B223,Feature_List!$A:$AM,MATCH(CW$1,  Feature_List!$A$1:$AM$1,0),0)=AO223,".","NO"))</f>
        <v>.</v>
      </c>
      <c r="CX223" s="136" t="str">
        <f>IF($D223&lt;&gt;"Feature",".",
IF(VLOOKUP($B223,Feature_List!$A:$AM,MATCH(CX$1,  Feature_List!$A$1:$AM$1,0),0)=AP223,".","NO"))</f>
        <v>.</v>
      </c>
      <c r="CY223" s="136" t="str">
        <f>IF($D223&lt;&gt;"Feature",".",
IF(VLOOKUP($B223,Feature_List!$A:$AM,MATCH(CY$1,  Feature_List!$A$1:$AM$1,0),0)=AQ223,".","NO"))</f>
        <v>.</v>
      </c>
      <c r="CZ223" s="136" t="str">
        <f>IF($D223&lt;&gt;"Feature",".",
IF(VLOOKUP($B223,Feature_List!$A:$AM,MATCH(CZ$1,  Feature_List!$A$1:$AM$1,0),0)=AR223,".","NO"))</f>
        <v>.</v>
      </c>
      <c r="DA223" s="136" t="str">
        <f>IF($D223&lt;&gt;"Feature",".",
IF(VLOOKUP($B223,Feature_List!$A:$AM,MATCH(DA$1,  Feature_List!$A$1:$AM$1,0),0)=AS223,".","NO"))</f>
        <v>.</v>
      </c>
      <c r="DB223" s="136" t="str">
        <f>IF($D223&lt;&gt;"Feature",".",
IF(VLOOKUP($B223,Feature_List!$A:$AM,MATCH(DB$1,  Feature_List!$A$1:$AM$1,0),0)=AT223,".","NO"))</f>
        <v>.</v>
      </c>
      <c r="DC223" s="136" t="str">
        <f>IF($D223&lt;&gt;"Feature",".",
IF(VLOOKUP($B223,Feature_List!$A:$AM,MATCH(DC$1,  Feature_List!$A$1:$AM$1,0),0)=AU223,".","NO"))</f>
        <v>.</v>
      </c>
      <c r="DD223" s="136" t="str">
        <f>IF($D223&lt;&gt;"Feature",".",
IF(VLOOKUP($B223,Feature_List!$A:$AM,MATCH(DD$1,  Feature_List!$A$1:$AM$1,0),0)=AV223,".","NO"))</f>
        <v>.</v>
      </c>
      <c r="DE223" s="136" t="str">
        <f>IF($D223&lt;&gt;"Feature",".",
IF(VLOOKUP($B223,Feature_List!$A:$AM,MATCH(DE$1,  Feature_List!$A$1:$AM$1,0),0)=AW223,".","NO"))</f>
        <v>.</v>
      </c>
      <c r="DF223" s="136" t="str">
        <f>IF($D223&lt;&gt;"Feature",".",
IF(VLOOKUP($B223,Feature_List!$A:$AM,MATCH(DF$1,  Feature_List!$A$1:$AM$1,0),0)=AX223,".","NO"))</f>
        <v>.</v>
      </c>
      <c r="DG223" s="136" t="str">
        <f>IF($D223&lt;&gt;"Feature",".",
IF(VLOOKUP($B223,Feature_List!$A:$AM,MATCH(DG$1,  Feature_List!$A$1:$AM$1,0),0)=AY223,".","NO"))</f>
        <v>.</v>
      </c>
      <c r="DH223" s="136" t="str">
        <f>IF($D223&lt;&gt;"Feature",".",
IF(VLOOKUP($B223,Feature_List!$A:$AM,MATCH(DH$1,  Feature_List!$A$1:$AM$1,0),0)=AZ223,".","NO"))</f>
        <v>.</v>
      </c>
      <c r="DI223" s="136" t="str">
        <f>IF($D223&lt;&gt;"Feature",".",
IF(VLOOKUP($B223,Feature_List!$A:$AM,MATCH(DI$1,  Feature_List!$A$1:$AM$1,0),0)=BA223,".","NO"))</f>
        <v>.</v>
      </c>
      <c r="DJ223" s="136" t="str">
        <f>IF($D223&lt;&gt;"Feature",".",
IF(VLOOKUP($B223,Feature_List!$A:$AM,MATCH(DJ$1,  Feature_List!$A$1:$AM$1,0),0)=BB223,".","NO"))</f>
        <v>.</v>
      </c>
      <c r="DK223" s="136"/>
      <c r="DL223" s="136"/>
      <c r="DM223" s="136"/>
      <c r="DN223" s="136" t="str">
        <f>IF($D223&lt;&gt;"Feature",".",
IF(VLOOKUP($B223,Feature_List!$A:$AM,MATCH(DN$1,  Feature_List!$A$1:$AM$1,0),0)=BC223,".","NO"))</f>
        <v>.</v>
      </c>
      <c r="DO223" s="136" t="str">
        <f>IF($D223&lt;&gt;"Feature",".",
IF(VLOOKUP($B223,Feature_List!$A:$AM,MATCH(DO$1,  Feature_List!$A$1:$AM$1,0),0)=BD223,".","NO"))</f>
        <v>.</v>
      </c>
    </row>
    <row r="224" spans="2:119" x14ac:dyDescent="0.3">
      <c r="B224" s="121"/>
      <c r="C224" s="123"/>
      <c r="D224" s="122"/>
      <c r="E224" s="122"/>
      <c r="F224" s="123"/>
      <c r="G224" s="123"/>
      <c r="H224" s="122"/>
      <c r="I224" s="124"/>
      <c r="J224" s="123"/>
      <c r="K224" s="123"/>
      <c r="L224" s="122"/>
      <c r="M224" s="122"/>
      <c r="N224" s="122"/>
      <c r="O224" s="123">
        <f t="shared" si="112"/>
        <v>0</v>
      </c>
      <c r="P224" s="123">
        <f t="shared" si="113"/>
        <v>0</v>
      </c>
      <c r="Q224" s="122" t="str">
        <f t="shared" si="135"/>
        <v>ZeroEntry</v>
      </c>
      <c r="R224" s="126" t="str">
        <f t="shared" si="114"/>
        <v>ZeroEntry</v>
      </c>
      <c r="S224" s="127" t="str">
        <f t="shared" si="115"/>
        <v>ZeroEntry</v>
      </c>
      <c r="T224" s="128" t="str">
        <f>IF($Q224="ZeroEntry", "",VLOOKUP($I224,'Ranking Lookup'!#REF!,2,FALSE))</f>
        <v/>
      </c>
      <c r="U224" s="129" t="str">
        <f t="shared" si="116"/>
        <v/>
      </c>
      <c r="V224" s="129" t="str">
        <f t="shared" si="117"/>
        <v/>
      </c>
      <c r="W224" s="129" t="str">
        <f t="shared" si="118"/>
        <v/>
      </c>
      <c r="X224" s="129" t="str">
        <f t="shared" si="119"/>
        <v/>
      </c>
      <c r="Y224" s="129" t="str">
        <f t="shared" si="120"/>
        <v/>
      </c>
      <c r="Z224" s="129" t="str">
        <f t="shared" si="121"/>
        <v/>
      </c>
      <c r="AA224" s="130"/>
      <c r="AB224" s="130" t="str">
        <f t="shared" si="122"/>
        <v>Unassigned</v>
      </c>
      <c r="AC224" s="131" t="str">
        <f t="shared" si="136"/>
        <v/>
      </c>
      <c r="AD224" s="131" t="str">
        <f t="shared" si="137"/>
        <v/>
      </c>
      <c r="AE224" s="132">
        <f t="shared" si="123"/>
        <v>0</v>
      </c>
      <c r="AF224" s="133" t="str">
        <f t="shared" si="138"/>
        <v/>
      </c>
      <c r="AG224" s="134">
        <f t="shared" si="124"/>
        <v>0</v>
      </c>
      <c r="AH224" s="54" t="str">
        <f t="shared" si="125"/>
        <v/>
      </c>
      <c r="AI224" s="54" t="str">
        <f t="shared" si="142"/>
        <v/>
      </c>
      <c r="AJ224" s="54" t="str">
        <f t="shared" si="142"/>
        <v/>
      </c>
      <c r="AK224" s="54" t="str">
        <f t="shared" si="142"/>
        <v/>
      </c>
      <c r="AL224" s="54" t="str">
        <f t="shared" si="142"/>
        <v/>
      </c>
      <c r="AM224" s="54" t="str">
        <f t="shared" si="142"/>
        <v/>
      </c>
      <c r="AN224" s="54" t="str">
        <f t="shared" si="142"/>
        <v/>
      </c>
      <c r="AO224" s="54" t="str">
        <f t="shared" si="142"/>
        <v/>
      </c>
      <c r="AP224" s="54" t="str">
        <f t="shared" si="142"/>
        <v/>
      </c>
      <c r="AQ224" s="54" t="str">
        <f t="shared" si="142"/>
        <v/>
      </c>
      <c r="AR224" s="54" t="str">
        <f t="shared" si="142"/>
        <v/>
      </c>
      <c r="AS224" s="54" t="str">
        <f t="shared" si="142"/>
        <v/>
      </c>
      <c r="AT224" s="54" t="str">
        <f t="shared" si="142"/>
        <v/>
      </c>
      <c r="AU224" s="54" t="str">
        <f t="shared" si="142"/>
        <v/>
      </c>
      <c r="AV224" s="54" t="str">
        <f t="shared" si="142"/>
        <v/>
      </c>
      <c r="AW224" s="54" t="str">
        <f t="shared" si="142"/>
        <v/>
      </c>
      <c r="AX224" s="54" t="str">
        <f t="shared" si="142"/>
        <v/>
      </c>
      <c r="AY224" s="54" t="str">
        <f t="shared" si="139"/>
        <v/>
      </c>
      <c r="AZ224" s="54" t="str">
        <f t="shared" si="128"/>
        <v/>
      </c>
      <c r="BA224" s="54" t="str">
        <f t="shared" si="129"/>
        <v/>
      </c>
      <c r="BB224" s="135" t="str">
        <f t="shared" si="130"/>
        <v/>
      </c>
      <c r="BC224" s="54" t="str">
        <f t="shared" si="143"/>
        <v/>
      </c>
      <c r="BD224" s="54" t="str">
        <f t="shared" si="143"/>
        <v/>
      </c>
      <c r="BE224" s="54" t="str">
        <f t="shared" si="143"/>
        <v/>
      </c>
      <c r="BF224" s="54" t="str">
        <f t="shared" si="131"/>
        <v/>
      </c>
      <c r="BG224" s="54" t="str">
        <f t="shared" si="132"/>
        <v/>
      </c>
      <c r="BH224" s="34" t="str">
        <f t="shared" si="133"/>
        <v>Bad</v>
      </c>
      <c r="BI224" s="34" t="str">
        <f t="shared" si="134"/>
        <v>No</v>
      </c>
      <c r="BJ224" s="136" t="str">
        <f>IF($D224&lt;&gt;"Feature",".",
IF(VLOOKUP($B224,Feature_List!$A:$AM,MATCH(BJ$1,  Feature_List!$A$1:$AM$1,0),0)=B224,".","NO"))</f>
        <v>.</v>
      </c>
      <c r="BK224" s="136"/>
      <c r="BL224" s="136"/>
      <c r="BM224" s="136" t="str">
        <f>IF($D224&lt;&gt;"Feature",".",
IF(VLOOKUP($B224,Feature_List!$A:$AM,MATCH(BM$1,  Feature_List!$A$1:$AM$1,0),0)=E224,".","NO"))</f>
        <v>.</v>
      </c>
      <c r="BN224" s="136" t="str">
        <f>IF($D224&lt;&gt;"Feature",".",
IF(VLOOKUP($B224,Feature_List!$A:$AM,MATCH(BN$1,  Feature_List!$A$1:$AM$1,0),0)=F224,".","NO"))</f>
        <v>.</v>
      </c>
      <c r="BO224" s="136" t="str">
        <f>IF($D224&lt;&gt;"Feature",".",
IF(VLOOKUP($B224,Feature_List!$A:$AM,MATCH(BO$1,  Feature_List!$A$1:$AM$1,0),0)=G224,".","NO"))</f>
        <v>.</v>
      </c>
      <c r="BP224" s="136" t="str">
        <f>IF($D224&lt;&gt;"Feature",".",
IF(VLOOKUP($B224,Feature_List!$A:$AM,MATCH(BP$1,  Feature_List!$A$1:$AM$1,0),0)=H224,".","NO"))</f>
        <v>.</v>
      </c>
      <c r="BQ224" s="136"/>
      <c r="BR224" s="136" t="str">
        <f>IF($D224&lt;&gt;"Feature",".",
IF(VLOOKUP($B224,Feature_List!$A:$AM,MATCH(BR$1,  Feature_List!$A$1:$AM$1,0),0)=J224,".","NO"))</f>
        <v>.</v>
      </c>
      <c r="BS224" s="136"/>
      <c r="BT224" s="136"/>
      <c r="BU224" s="136" t="str">
        <f>IF($D224&lt;&gt;"Feature",".",
IF(VLOOKUP($B224,Feature_List!$A:$AM,MATCH(BU$1,  Feature_List!$A$1:$AM$1,0),0)=M224,".","NO"))</f>
        <v>.</v>
      </c>
      <c r="BV224" s="136" t="str">
        <f>IF($D224&lt;&gt;"Feature",".",
IF(VLOOKUP($B224,Feature_List!$A:$AM,MATCH(BV$1,  Feature_List!$A$1:$AM$1,0),0)=N224,".","NO"))</f>
        <v>.</v>
      </c>
      <c r="BW224" s="136"/>
      <c r="BX224" s="136"/>
      <c r="BY224" s="136"/>
      <c r="BZ224" s="136"/>
      <c r="CA224" s="136"/>
      <c r="CB224" s="136" t="str">
        <f>IF($D224&lt;&gt;"Feature",".",
IF(VLOOKUP($B224,Feature_List!$A:$AM,MATCH(CB$1,  Feature_List!$A$1:$AM$1,0),0)=T224,".","NO"))</f>
        <v>.</v>
      </c>
      <c r="CC224" s="136"/>
      <c r="CD224" s="136"/>
      <c r="CE224" s="136"/>
      <c r="CF224" s="136"/>
      <c r="CG224" s="136"/>
      <c r="CH224" s="136"/>
      <c r="CI224" s="136"/>
      <c r="CJ224" s="136"/>
      <c r="CK224" s="136"/>
      <c r="CL224" s="136"/>
      <c r="CM224" s="136"/>
      <c r="CN224" s="136"/>
      <c r="CO224" s="136" t="str">
        <f>IF($D224&lt;&gt;"Feature",".",
IF(VLOOKUP($B224,Feature_List!$A:$AM,MATCH(CO$1,  Feature_List!$A$1:$AM$1,0),0)=AG224,".","NO"))</f>
        <v>.</v>
      </c>
      <c r="CP224" s="136" t="str">
        <f>IF($D224&lt;&gt;"Feature",".",
IF(VLOOKUP($B224,Feature_List!$A:$AM,MATCH(CP$1,  Feature_List!$A$1:$AM$1,0),0)=AH224,".","NO"))</f>
        <v>.</v>
      </c>
      <c r="CQ224" s="136" t="str">
        <f>IF($D224&lt;&gt;"Feature",".",
IF(VLOOKUP($B224,Feature_List!$A:$AM,MATCH(CQ$1,  Feature_List!$A$1:$AM$1,0),0)=AI224,".","NO"))</f>
        <v>.</v>
      </c>
      <c r="CR224" s="136" t="str">
        <f>IF($D224&lt;&gt;"Feature",".",
IF(VLOOKUP($B224,Feature_List!$A:$AM,MATCH(CR$1,  Feature_List!$A$1:$AM$1,0),0)=AJ224,".","NO"))</f>
        <v>.</v>
      </c>
      <c r="CS224" s="136" t="str">
        <f>IF($D224&lt;&gt;"Feature",".",
IF(VLOOKUP($B224,Feature_List!$A:$AM,MATCH(CS$1,  Feature_List!$A$1:$AM$1,0),0)=AK224,".","NO"))</f>
        <v>.</v>
      </c>
      <c r="CT224" s="136" t="str">
        <f>IF($D224&lt;&gt;"Feature",".",
IF(VLOOKUP($B224,Feature_List!$A:$AM,MATCH(CT$1,  Feature_List!$A$1:$AM$1,0),0)=AL224,".","NO"))</f>
        <v>.</v>
      </c>
      <c r="CU224" s="136" t="str">
        <f>IF($D224&lt;&gt;"Feature",".",
IF(VLOOKUP($B224,Feature_List!$A:$AM,MATCH(CU$1,  Feature_List!$A$1:$AM$1,0),0)=AM224,".","NO"))</f>
        <v>.</v>
      </c>
      <c r="CV224" s="136" t="str">
        <f>IF($D224&lt;&gt;"Feature",".",
IF(VLOOKUP($B224,Feature_List!$A:$AM,MATCH(CV$1,  Feature_List!$A$1:$AM$1,0),0)=AN224,".","NO"))</f>
        <v>.</v>
      </c>
      <c r="CW224" s="136" t="str">
        <f>IF($D224&lt;&gt;"Feature",".",
IF(VLOOKUP($B224,Feature_List!$A:$AM,MATCH(CW$1,  Feature_List!$A$1:$AM$1,0),0)=AO224,".","NO"))</f>
        <v>.</v>
      </c>
      <c r="CX224" s="136" t="str">
        <f>IF($D224&lt;&gt;"Feature",".",
IF(VLOOKUP($B224,Feature_List!$A:$AM,MATCH(CX$1,  Feature_List!$A$1:$AM$1,0),0)=AP224,".","NO"))</f>
        <v>.</v>
      </c>
      <c r="CY224" s="136" t="str">
        <f>IF($D224&lt;&gt;"Feature",".",
IF(VLOOKUP($B224,Feature_List!$A:$AM,MATCH(CY$1,  Feature_List!$A$1:$AM$1,0),0)=AQ224,".","NO"))</f>
        <v>.</v>
      </c>
      <c r="CZ224" s="136" t="str">
        <f>IF($D224&lt;&gt;"Feature",".",
IF(VLOOKUP($B224,Feature_List!$A:$AM,MATCH(CZ$1,  Feature_List!$A$1:$AM$1,0),0)=AR224,".","NO"))</f>
        <v>.</v>
      </c>
      <c r="DA224" s="136" t="str">
        <f>IF($D224&lt;&gt;"Feature",".",
IF(VLOOKUP($B224,Feature_List!$A:$AM,MATCH(DA$1,  Feature_List!$A$1:$AM$1,0),0)=AS224,".","NO"))</f>
        <v>.</v>
      </c>
      <c r="DB224" s="136" t="str">
        <f>IF($D224&lt;&gt;"Feature",".",
IF(VLOOKUP($B224,Feature_List!$A:$AM,MATCH(DB$1,  Feature_List!$A$1:$AM$1,0),0)=AT224,".","NO"))</f>
        <v>.</v>
      </c>
      <c r="DC224" s="136" t="str">
        <f>IF($D224&lt;&gt;"Feature",".",
IF(VLOOKUP($B224,Feature_List!$A:$AM,MATCH(DC$1,  Feature_List!$A$1:$AM$1,0),0)=AU224,".","NO"))</f>
        <v>.</v>
      </c>
      <c r="DD224" s="136" t="str">
        <f>IF($D224&lt;&gt;"Feature",".",
IF(VLOOKUP($B224,Feature_List!$A:$AM,MATCH(DD$1,  Feature_List!$A$1:$AM$1,0),0)=AV224,".","NO"))</f>
        <v>.</v>
      </c>
      <c r="DE224" s="136" t="str">
        <f>IF($D224&lt;&gt;"Feature",".",
IF(VLOOKUP($B224,Feature_List!$A:$AM,MATCH(DE$1,  Feature_List!$A$1:$AM$1,0),0)=AW224,".","NO"))</f>
        <v>.</v>
      </c>
      <c r="DF224" s="136" t="str">
        <f>IF($D224&lt;&gt;"Feature",".",
IF(VLOOKUP($B224,Feature_List!$A:$AM,MATCH(DF$1,  Feature_List!$A$1:$AM$1,0),0)=AX224,".","NO"))</f>
        <v>.</v>
      </c>
      <c r="DG224" s="136" t="str">
        <f>IF($D224&lt;&gt;"Feature",".",
IF(VLOOKUP($B224,Feature_List!$A:$AM,MATCH(DG$1,  Feature_List!$A$1:$AM$1,0),0)=AY224,".","NO"))</f>
        <v>.</v>
      </c>
      <c r="DH224" s="136" t="str">
        <f>IF($D224&lt;&gt;"Feature",".",
IF(VLOOKUP($B224,Feature_List!$A:$AM,MATCH(DH$1,  Feature_List!$A$1:$AM$1,0),0)=AZ224,".","NO"))</f>
        <v>.</v>
      </c>
      <c r="DI224" s="136" t="str">
        <f>IF($D224&lt;&gt;"Feature",".",
IF(VLOOKUP($B224,Feature_List!$A:$AM,MATCH(DI$1,  Feature_List!$A$1:$AM$1,0),0)=BA224,".","NO"))</f>
        <v>.</v>
      </c>
      <c r="DJ224" s="136" t="str">
        <f>IF($D224&lt;&gt;"Feature",".",
IF(VLOOKUP($B224,Feature_List!$A:$AM,MATCH(DJ$1,  Feature_List!$A$1:$AM$1,0),0)=BB224,".","NO"))</f>
        <v>.</v>
      </c>
      <c r="DK224" s="136"/>
      <c r="DL224" s="136"/>
      <c r="DM224" s="136"/>
      <c r="DN224" s="136" t="str">
        <f>IF($D224&lt;&gt;"Feature",".",
IF(VLOOKUP($B224,Feature_List!$A:$AM,MATCH(DN$1,  Feature_List!$A$1:$AM$1,0),0)=BC224,".","NO"))</f>
        <v>.</v>
      </c>
      <c r="DO224" s="136" t="str">
        <f>IF($D224&lt;&gt;"Feature",".",
IF(VLOOKUP($B224,Feature_List!$A:$AM,MATCH(DO$1,  Feature_List!$A$1:$AM$1,0),0)=BD224,".","NO"))</f>
        <v>.</v>
      </c>
    </row>
    <row r="225" spans="2:119" x14ac:dyDescent="0.3">
      <c r="B225" s="121"/>
      <c r="C225" s="122"/>
      <c r="D225" s="122"/>
      <c r="E225" s="122"/>
      <c r="F225" s="123"/>
      <c r="G225" s="123"/>
      <c r="H225" s="122"/>
      <c r="I225" s="124"/>
      <c r="J225" s="123"/>
      <c r="K225" s="123"/>
      <c r="L225" s="122"/>
      <c r="M225" s="122"/>
      <c r="N225" s="122"/>
      <c r="O225" s="123">
        <f t="shared" si="112"/>
        <v>0</v>
      </c>
      <c r="P225" s="123">
        <f t="shared" si="113"/>
        <v>0</v>
      </c>
      <c r="Q225" s="122" t="str">
        <f t="shared" si="135"/>
        <v>ZeroEntry</v>
      </c>
      <c r="R225" s="126" t="str">
        <f t="shared" si="114"/>
        <v>ZeroEntry</v>
      </c>
      <c r="S225" s="127" t="str">
        <f t="shared" si="115"/>
        <v>ZeroEntry</v>
      </c>
      <c r="T225" s="128" t="str">
        <f>IF($Q225="ZeroEntry", "",VLOOKUP($I225,'Ranking Lookup'!#REF!,2,FALSE))</f>
        <v/>
      </c>
      <c r="U225" s="129" t="str">
        <f t="shared" si="116"/>
        <v/>
      </c>
      <c r="V225" s="129" t="str">
        <f t="shared" si="117"/>
        <v/>
      </c>
      <c r="W225" s="129" t="str">
        <f t="shared" si="118"/>
        <v/>
      </c>
      <c r="X225" s="129" t="str">
        <f t="shared" si="119"/>
        <v/>
      </c>
      <c r="Y225" s="129" t="str">
        <f t="shared" si="120"/>
        <v/>
      </c>
      <c r="Z225" s="129" t="str">
        <f t="shared" si="121"/>
        <v/>
      </c>
      <c r="AA225" s="130"/>
      <c r="AB225" s="130" t="str">
        <f t="shared" si="122"/>
        <v>Unassigned</v>
      </c>
      <c r="AC225" s="131" t="str">
        <f t="shared" si="136"/>
        <v/>
      </c>
      <c r="AD225" s="131" t="str">
        <f t="shared" si="137"/>
        <v/>
      </c>
      <c r="AE225" s="132">
        <f t="shared" si="123"/>
        <v>0</v>
      </c>
      <c r="AF225" s="133" t="str">
        <f t="shared" si="138"/>
        <v/>
      </c>
      <c r="AG225" s="134">
        <f t="shared" si="124"/>
        <v>0</v>
      </c>
      <c r="AH225" s="54" t="str">
        <f t="shared" si="125"/>
        <v/>
      </c>
      <c r="AI225" s="54" t="str">
        <f t="shared" si="142"/>
        <v/>
      </c>
      <c r="AJ225" s="54" t="str">
        <f t="shared" si="142"/>
        <v/>
      </c>
      <c r="AK225" s="54" t="str">
        <f t="shared" si="142"/>
        <v/>
      </c>
      <c r="AL225" s="54" t="str">
        <f t="shared" si="142"/>
        <v/>
      </c>
      <c r="AM225" s="54" t="str">
        <f t="shared" si="142"/>
        <v/>
      </c>
      <c r="AN225" s="54" t="str">
        <f t="shared" si="142"/>
        <v/>
      </c>
      <c r="AO225" s="54" t="str">
        <f t="shared" si="142"/>
        <v/>
      </c>
      <c r="AP225" s="54" t="str">
        <f t="shared" si="142"/>
        <v/>
      </c>
      <c r="AQ225" s="54" t="str">
        <f t="shared" si="142"/>
        <v/>
      </c>
      <c r="AR225" s="54" t="str">
        <f t="shared" si="142"/>
        <v/>
      </c>
      <c r="AS225" s="54" t="str">
        <f t="shared" si="142"/>
        <v/>
      </c>
      <c r="AT225" s="54" t="str">
        <f t="shared" si="142"/>
        <v/>
      </c>
      <c r="AU225" s="54" t="str">
        <f t="shared" si="142"/>
        <v/>
      </c>
      <c r="AV225" s="54" t="str">
        <f t="shared" si="142"/>
        <v/>
      </c>
      <c r="AW225" s="54" t="str">
        <f t="shared" si="142"/>
        <v/>
      </c>
      <c r="AX225" s="54" t="str">
        <f t="shared" ref="AX225" si="144">IF(AND($Q225="Feature",LEFT($AB225,2)="PI"),
IF(AND(COUNTIF($R:$R,$B225)=1,$T225=AX$1), IF($AB225=$A$10,$AF225,0),
IF(OR($AD225&lt;1,RIGHT($G225,8)="Progress",$AH225&gt;0),SUMIFS($O:$O,$R:$R,$B225,$T:$T,AX$1,$P:$P,"&lt;&gt;Done",$AB:$AB,$A$10),
IF($T225=AX$1,IF($AB225=$A$10,$AD225,0)+SUMIFS($O:$O,$R:$R,$B225,$T:$T,AX$1,$P:$P,"&lt;&gt;Done",$AB:$AB,$A$10),SUMIFS($O:$O,$R:$R,$B225,$T:$T,AX$1,$P:$P,"&lt;&gt;Done",$AB:$AB,$A$10)))),
IF(AND(OR($Q225="Story",$Q225="Problem",$Q225="Enhancement"),$AB225=$A$10,$R225=0,$T225=AX$1,$P225&lt;&gt;"Done"),$O225,""))</f>
        <v/>
      </c>
      <c r="AY225" s="54" t="str">
        <f t="shared" si="139"/>
        <v/>
      </c>
      <c r="AZ225" s="54" t="str">
        <f t="shared" si="128"/>
        <v/>
      </c>
      <c r="BA225" s="54" t="str">
        <f t="shared" si="129"/>
        <v/>
      </c>
      <c r="BB225" s="135" t="str">
        <f t="shared" si="130"/>
        <v/>
      </c>
      <c r="BC225" s="54" t="str">
        <f t="shared" si="143"/>
        <v/>
      </c>
      <c r="BD225" s="54" t="str">
        <f t="shared" si="143"/>
        <v/>
      </c>
      <c r="BE225" s="54" t="str">
        <f t="shared" si="143"/>
        <v/>
      </c>
      <c r="BF225" s="54" t="str">
        <f t="shared" si="131"/>
        <v/>
      </c>
      <c r="BG225" s="54" t="str">
        <f t="shared" si="132"/>
        <v/>
      </c>
      <c r="BH225" s="34" t="str">
        <f t="shared" si="133"/>
        <v>Bad</v>
      </c>
      <c r="BI225" s="34" t="str">
        <f t="shared" si="134"/>
        <v>No</v>
      </c>
      <c r="BJ225" s="136" t="str">
        <f>IF($D225&lt;&gt;"Feature",".",
IF(VLOOKUP($B225,Feature_List!$A:$AM,MATCH(BJ$1,  Feature_List!$A$1:$AM$1,0),0)=B225,".","NO"))</f>
        <v>.</v>
      </c>
      <c r="BK225" s="136"/>
      <c r="BL225" s="136"/>
      <c r="BM225" s="136" t="str">
        <f>IF($D225&lt;&gt;"Feature",".",
IF(VLOOKUP($B225,Feature_List!$A:$AM,MATCH(BM$1,  Feature_List!$A$1:$AM$1,0),0)=E225,".","NO"))</f>
        <v>.</v>
      </c>
      <c r="BN225" s="136" t="str">
        <f>IF($D225&lt;&gt;"Feature",".",
IF(VLOOKUP($B225,Feature_List!$A:$AM,MATCH(BN$1,  Feature_List!$A$1:$AM$1,0),0)=F225,".","NO"))</f>
        <v>.</v>
      </c>
      <c r="BO225" s="136" t="str">
        <f>IF($D225&lt;&gt;"Feature",".",
IF(VLOOKUP($B225,Feature_List!$A:$AM,MATCH(BO$1,  Feature_List!$A$1:$AM$1,0),0)=G225,".","NO"))</f>
        <v>.</v>
      </c>
      <c r="BP225" s="136" t="str">
        <f>IF($D225&lt;&gt;"Feature",".",
IF(VLOOKUP($B225,Feature_List!$A:$AM,MATCH(BP$1,  Feature_List!$A$1:$AM$1,0),0)=H225,".","NO"))</f>
        <v>.</v>
      </c>
      <c r="BQ225" s="136"/>
      <c r="BR225" s="136" t="str">
        <f>IF($D225&lt;&gt;"Feature",".",
IF(VLOOKUP($B225,Feature_List!$A:$AM,MATCH(BR$1,  Feature_List!$A$1:$AM$1,0),0)=J225,".","NO"))</f>
        <v>.</v>
      </c>
      <c r="BS225" s="136"/>
      <c r="BT225" s="136"/>
      <c r="BU225" s="136" t="str">
        <f>IF($D225&lt;&gt;"Feature",".",
IF(VLOOKUP($B225,Feature_List!$A:$AM,MATCH(BU$1,  Feature_List!$A$1:$AM$1,0),0)=M225,".","NO"))</f>
        <v>.</v>
      </c>
      <c r="BV225" s="136" t="str">
        <f>IF($D225&lt;&gt;"Feature",".",
IF(VLOOKUP($B225,Feature_List!$A:$AM,MATCH(BV$1,  Feature_List!$A$1:$AM$1,0),0)=N225,".","NO"))</f>
        <v>.</v>
      </c>
      <c r="BW225" s="136"/>
      <c r="BX225" s="136"/>
      <c r="BY225" s="136"/>
      <c r="BZ225" s="136"/>
      <c r="CA225" s="136"/>
      <c r="CB225" s="136" t="str">
        <f>IF($D225&lt;&gt;"Feature",".",
IF(VLOOKUP($B225,Feature_List!$A:$AM,MATCH(CB$1,  Feature_List!$A$1:$AM$1,0),0)=T225,".","NO"))</f>
        <v>.</v>
      </c>
      <c r="CC225" s="136"/>
      <c r="CD225" s="136"/>
      <c r="CE225" s="136"/>
      <c r="CF225" s="136"/>
      <c r="CG225" s="136"/>
      <c r="CH225" s="136"/>
      <c r="CI225" s="136"/>
      <c r="CJ225" s="136"/>
      <c r="CK225" s="136"/>
      <c r="CL225" s="136"/>
      <c r="CM225" s="136"/>
      <c r="CN225" s="136"/>
      <c r="CO225" s="136" t="str">
        <f>IF($D225&lt;&gt;"Feature",".",
IF(VLOOKUP($B225,Feature_List!$A:$AM,MATCH(CO$1,  Feature_List!$A$1:$AM$1,0),0)=AG225,".","NO"))</f>
        <v>.</v>
      </c>
      <c r="CP225" s="136" t="str">
        <f>IF($D225&lt;&gt;"Feature",".",
IF(VLOOKUP($B225,Feature_List!$A:$AM,MATCH(CP$1,  Feature_List!$A$1:$AM$1,0),0)=AH225,".","NO"))</f>
        <v>.</v>
      </c>
      <c r="CQ225" s="136" t="str">
        <f>IF($D225&lt;&gt;"Feature",".",
IF(VLOOKUP($B225,Feature_List!$A:$AM,MATCH(CQ$1,  Feature_List!$A$1:$AM$1,0),0)=AI225,".","NO"))</f>
        <v>.</v>
      </c>
      <c r="CR225" s="136" t="str">
        <f>IF($D225&lt;&gt;"Feature",".",
IF(VLOOKUP($B225,Feature_List!$A:$AM,MATCH(CR$1,  Feature_List!$A$1:$AM$1,0),0)=AJ225,".","NO"))</f>
        <v>.</v>
      </c>
      <c r="CS225" s="136" t="str">
        <f>IF($D225&lt;&gt;"Feature",".",
IF(VLOOKUP($B225,Feature_List!$A:$AM,MATCH(CS$1,  Feature_List!$A$1:$AM$1,0),0)=AK225,".","NO"))</f>
        <v>.</v>
      </c>
      <c r="CT225" s="136" t="str">
        <f>IF($D225&lt;&gt;"Feature",".",
IF(VLOOKUP($B225,Feature_List!$A:$AM,MATCH(CT$1,  Feature_List!$A$1:$AM$1,0),0)=AL225,".","NO"))</f>
        <v>.</v>
      </c>
      <c r="CU225" s="136" t="str">
        <f>IF($D225&lt;&gt;"Feature",".",
IF(VLOOKUP($B225,Feature_List!$A:$AM,MATCH(CU$1,  Feature_List!$A$1:$AM$1,0),0)=AM225,".","NO"))</f>
        <v>.</v>
      </c>
      <c r="CV225" s="136" t="str">
        <f>IF($D225&lt;&gt;"Feature",".",
IF(VLOOKUP($B225,Feature_List!$A:$AM,MATCH(CV$1,  Feature_List!$A$1:$AM$1,0),0)=AN225,".","NO"))</f>
        <v>.</v>
      </c>
      <c r="CW225" s="136" t="str">
        <f>IF($D225&lt;&gt;"Feature",".",
IF(VLOOKUP($B225,Feature_List!$A:$AM,MATCH(CW$1,  Feature_List!$A$1:$AM$1,0),0)=AO225,".","NO"))</f>
        <v>.</v>
      </c>
      <c r="CX225" s="136" t="str">
        <f>IF($D225&lt;&gt;"Feature",".",
IF(VLOOKUP($B225,Feature_List!$A:$AM,MATCH(CX$1,  Feature_List!$A$1:$AM$1,0),0)=AP225,".","NO"))</f>
        <v>.</v>
      </c>
      <c r="CY225" s="136" t="str">
        <f>IF($D225&lt;&gt;"Feature",".",
IF(VLOOKUP($B225,Feature_List!$A:$AM,MATCH(CY$1,  Feature_List!$A$1:$AM$1,0),0)=AQ225,".","NO"))</f>
        <v>.</v>
      </c>
      <c r="CZ225" s="136" t="str">
        <f>IF($D225&lt;&gt;"Feature",".",
IF(VLOOKUP($B225,Feature_List!$A:$AM,MATCH(CZ$1,  Feature_List!$A$1:$AM$1,0),0)=AR225,".","NO"))</f>
        <v>.</v>
      </c>
      <c r="DA225" s="136" t="str">
        <f>IF($D225&lt;&gt;"Feature",".",
IF(VLOOKUP($B225,Feature_List!$A:$AM,MATCH(DA$1,  Feature_List!$A$1:$AM$1,0),0)=AS225,".","NO"))</f>
        <v>.</v>
      </c>
      <c r="DB225" s="136" t="str">
        <f>IF($D225&lt;&gt;"Feature",".",
IF(VLOOKUP($B225,Feature_List!$A:$AM,MATCH(DB$1,  Feature_List!$A$1:$AM$1,0),0)=AT225,".","NO"))</f>
        <v>.</v>
      </c>
      <c r="DC225" s="136" t="str">
        <f>IF($D225&lt;&gt;"Feature",".",
IF(VLOOKUP($B225,Feature_List!$A:$AM,MATCH(DC$1,  Feature_List!$A$1:$AM$1,0),0)=AU225,".","NO"))</f>
        <v>.</v>
      </c>
      <c r="DD225" s="136" t="str">
        <f>IF($D225&lt;&gt;"Feature",".",
IF(VLOOKUP($B225,Feature_List!$A:$AM,MATCH(DD$1,  Feature_List!$A$1:$AM$1,0),0)=AV225,".","NO"))</f>
        <v>.</v>
      </c>
      <c r="DE225" s="136" t="str">
        <f>IF($D225&lt;&gt;"Feature",".",
IF(VLOOKUP($B225,Feature_List!$A:$AM,MATCH(DE$1,  Feature_List!$A$1:$AM$1,0),0)=AW225,".","NO"))</f>
        <v>.</v>
      </c>
      <c r="DF225" s="136" t="str">
        <f>IF($D225&lt;&gt;"Feature",".",
IF(VLOOKUP($B225,Feature_List!$A:$AM,MATCH(DF$1,  Feature_List!$A$1:$AM$1,0),0)=AX225,".","NO"))</f>
        <v>.</v>
      </c>
      <c r="DG225" s="136" t="str">
        <f>IF($D225&lt;&gt;"Feature",".",
IF(VLOOKUP($B225,Feature_List!$A:$AM,MATCH(DG$1,  Feature_List!$A$1:$AM$1,0),0)=AY225,".","NO"))</f>
        <v>.</v>
      </c>
      <c r="DH225" s="136" t="str">
        <f>IF($D225&lt;&gt;"Feature",".",
IF(VLOOKUP($B225,Feature_List!$A:$AM,MATCH(DH$1,  Feature_List!$A$1:$AM$1,0),0)=AZ225,".","NO"))</f>
        <v>.</v>
      </c>
      <c r="DI225" s="136" t="str">
        <f>IF($D225&lt;&gt;"Feature",".",
IF(VLOOKUP($B225,Feature_List!$A:$AM,MATCH(DI$1,  Feature_List!$A$1:$AM$1,0),0)=BA225,".","NO"))</f>
        <v>.</v>
      </c>
      <c r="DJ225" s="136" t="str">
        <f>IF($D225&lt;&gt;"Feature",".",
IF(VLOOKUP($B225,Feature_List!$A:$AM,MATCH(DJ$1,  Feature_List!$A$1:$AM$1,0),0)=BB225,".","NO"))</f>
        <v>.</v>
      </c>
      <c r="DK225" s="136"/>
      <c r="DL225" s="136"/>
      <c r="DM225" s="136"/>
      <c r="DN225" s="136" t="str">
        <f>IF($D225&lt;&gt;"Feature",".",
IF(VLOOKUP($B225,Feature_List!$A:$AM,MATCH(DN$1,  Feature_List!$A$1:$AM$1,0),0)=BC225,".","NO"))</f>
        <v>.</v>
      </c>
      <c r="DO225" s="136" t="str">
        <f>IF($D225&lt;&gt;"Feature",".",
IF(VLOOKUP($B225,Feature_List!$A:$AM,MATCH(DO$1,  Feature_List!$A$1:$AM$1,0),0)=BD225,".","NO"))</f>
        <v>.</v>
      </c>
    </row>
    <row r="226" spans="2:119" x14ac:dyDescent="0.3">
      <c r="B226" s="121"/>
      <c r="C226" s="122"/>
      <c r="D226" s="122"/>
      <c r="E226" s="122"/>
      <c r="F226" s="123"/>
      <c r="G226" s="123"/>
      <c r="H226" s="122"/>
      <c r="I226" s="124"/>
      <c r="J226" s="123"/>
      <c r="K226" s="123"/>
      <c r="L226" s="122"/>
      <c r="M226" s="122"/>
      <c r="N226" s="122"/>
      <c r="O226" s="123">
        <f t="shared" si="112"/>
        <v>0</v>
      </c>
      <c r="P226" s="123">
        <f t="shared" si="113"/>
        <v>0</v>
      </c>
      <c r="Q226" s="122" t="str">
        <f t="shared" si="135"/>
        <v>ZeroEntry</v>
      </c>
      <c r="R226" s="126" t="str">
        <f t="shared" si="114"/>
        <v>ZeroEntry</v>
      </c>
      <c r="S226" s="127" t="str">
        <f t="shared" si="115"/>
        <v>ZeroEntry</v>
      </c>
      <c r="T226" s="128" t="str">
        <f>IF($Q226="ZeroEntry", "",VLOOKUP($I226,'Ranking Lookup'!#REF!,2,FALSE))</f>
        <v/>
      </c>
      <c r="U226" s="129" t="str">
        <f t="shared" si="116"/>
        <v/>
      </c>
      <c r="V226" s="129" t="str">
        <f t="shared" si="117"/>
        <v/>
      </c>
      <c r="W226" s="129" t="str">
        <f t="shared" si="118"/>
        <v/>
      </c>
      <c r="X226" s="129" t="str">
        <f t="shared" si="119"/>
        <v/>
      </c>
      <c r="Y226" s="129" t="str">
        <f t="shared" si="120"/>
        <v/>
      </c>
      <c r="Z226" s="129" t="str">
        <f t="shared" si="121"/>
        <v/>
      </c>
      <c r="AA226" s="130"/>
      <c r="AB226" s="130" t="str">
        <f t="shared" si="122"/>
        <v>Unassigned</v>
      </c>
      <c r="AC226" s="131" t="str">
        <f t="shared" si="136"/>
        <v/>
      </c>
      <c r="AD226" s="131" t="str">
        <f t="shared" si="137"/>
        <v/>
      </c>
      <c r="AE226" s="132">
        <f t="shared" si="123"/>
        <v>0</v>
      </c>
      <c r="AF226" s="133" t="str">
        <f t="shared" si="138"/>
        <v/>
      </c>
      <c r="AG226" s="134">
        <f t="shared" si="124"/>
        <v>0</v>
      </c>
      <c r="AH226" s="54" t="str">
        <f t="shared" si="125"/>
        <v/>
      </c>
      <c r="AI226" s="54" t="str">
        <f t="shared" ref="AI226:AX241" si="145">IF(AND($Q226="Feature",LEFT($AB226,2)="PI"),
IF(AND(COUNTIF($R:$R,$B226)=1,$T226=AI$1), IF($AB226=$A$10,$AF226,0),
IF(OR($AD226&lt;1,RIGHT($G226,8)="Progress",$AH226&gt;0),SUMIFS($O:$O,$R:$R,$B226,$T:$T,AI$1,$P:$P,"&lt;&gt;Done",$AB:$AB,$A$10),
IF($T226=AI$1,IF($AB226=$A$10,$AD226,0)+SUMIFS($O:$O,$R:$R,$B226,$T:$T,AI$1,$P:$P,"&lt;&gt;Done",$AB:$AB,$A$10),SUMIFS($O:$O,$R:$R,$B226,$T:$T,AI$1,$P:$P,"&lt;&gt;Done",$AB:$AB,$A$10)))),
IF(AND(OR($Q226="Story",$Q226="Problem",$Q226="Enhancement"),$AB226=$A$10,$R226=0,$T226=AI$1,$P226&lt;&gt;"Done"),$O226,""))</f>
        <v/>
      </c>
      <c r="AJ226" s="54" t="str">
        <f t="shared" si="145"/>
        <v/>
      </c>
      <c r="AK226" s="54" t="str">
        <f t="shared" si="145"/>
        <v/>
      </c>
      <c r="AL226" s="54" t="str">
        <f t="shared" si="145"/>
        <v/>
      </c>
      <c r="AM226" s="54" t="str">
        <f t="shared" si="145"/>
        <v/>
      </c>
      <c r="AN226" s="54" t="str">
        <f t="shared" si="145"/>
        <v/>
      </c>
      <c r="AO226" s="54" t="str">
        <f t="shared" si="145"/>
        <v/>
      </c>
      <c r="AP226" s="54" t="str">
        <f t="shared" si="145"/>
        <v/>
      </c>
      <c r="AQ226" s="54" t="str">
        <f t="shared" si="145"/>
        <v/>
      </c>
      <c r="AR226" s="54" t="str">
        <f t="shared" si="145"/>
        <v/>
      </c>
      <c r="AS226" s="54" t="str">
        <f t="shared" si="145"/>
        <v/>
      </c>
      <c r="AT226" s="54" t="str">
        <f t="shared" si="145"/>
        <v/>
      </c>
      <c r="AU226" s="54" t="str">
        <f t="shared" si="145"/>
        <v/>
      </c>
      <c r="AV226" s="54" t="str">
        <f t="shared" si="145"/>
        <v/>
      </c>
      <c r="AW226" s="54" t="str">
        <f t="shared" si="145"/>
        <v/>
      </c>
      <c r="AX226" s="54" t="str">
        <f t="shared" si="145"/>
        <v/>
      </c>
      <c r="AY226" s="54" t="str">
        <f t="shared" si="139"/>
        <v/>
      </c>
      <c r="AZ226" s="54" t="str">
        <f t="shared" si="128"/>
        <v/>
      </c>
      <c r="BA226" s="54" t="str">
        <f t="shared" si="129"/>
        <v/>
      </c>
      <c r="BB226" s="135" t="str">
        <f t="shared" si="130"/>
        <v/>
      </c>
      <c r="BC226" s="54" t="str">
        <f t="shared" si="143"/>
        <v/>
      </c>
      <c r="BD226" s="54" t="str">
        <f t="shared" si="143"/>
        <v/>
      </c>
      <c r="BE226" s="54" t="str">
        <f t="shared" si="143"/>
        <v/>
      </c>
      <c r="BF226" s="54" t="str">
        <f t="shared" si="131"/>
        <v/>
      </c>
      <c r="BG226" s="54" t="str">
        <f t="shared" si="132"/>
        <v/>
      </c>
      <c r="BH226" s="34" t="str">
        <f t="shared" si="133"/>
        <v>Bad</v>
      </c>
      <c r="BI226" s="34" t="str">
        <f t="shared" si="134"/>
        <v>No</v>
      </c>
      <c r="BJ226" s="136" t="str">
        <f>IF($D226&lt;&gt;"Feature",".",
IF(VLOOKUP($B226,Feature_List!$A:$AM,MATCH(BJ$1,  Feature_List!$A$1:$AM$1,0),0)=B226,".","NO"))</f>
        <v>.</v>
      </c>
      <c r="BK226" s="136"/>
      <c r="BL226" s="136"/>
      <c r="BM226" s="136" t="str">
        <f>IF($D226&lt;&gt;"Feature",".",
IF(VLOOKUP($B226,Feature_List!$A:$AM,MATCH(BM$1,  Feature_List!$A$1:$AM$1,0),0)=E226,".","NO"))</f>
        <v>.</v>
      </c>
      <c r="BN226" s="136" t="str">
        <f>IF($D226&lt;&gt;"Feature",".",
IF(VLOOKUP($B226,Feature_List!$A:$AM,MATCH(BN$1,  Feature_List!$A$1:$AM$1,0),0)=F226,".","NO"))</f>
        <v>.</v>
      </c>
      <c r="BO226" s="136" t="str">
        <f>IF($D226&lt;&gt;"Feature",".",
IF(VLOOKUP($B226,Feature_List!$A:$AM,MATCH(BO$1,  Feature_List!$A$1:$AM$1,0),0)=G226,".","NO"))</f>
        <v>.</v>
      </c>
      <c r="BP226" s="136" t="str">
        <f>IF($D226&lt;&gt;"Feature",".",
IF(VLOOKUP($B226,Feature_List!$A:$AM,MATCH(BP$1,  Feature_List!$A$1:$AM$1,0),0)=H226,".","NO"))</f>
        <v>.</v>
      </c>
      <c r="BQ226" s="136"/>
      <c r="BR226" s="136" t="str">
        <f>IF($D226&lt;&gt;"Feature",".",
IF(VLOOKUP($B226,Feature_List!$A:$AM,MATCH(BR$1,  Feature_List!$A$1:$AM$1,0),0)=J226,".","NO"))</f>
        <v>.</v>
      </c>
      <c r="BS226" s="136"/>
      <c r="BT226" s="136"/>
      <c r="BU226" s="136" t="str">
        <f>IF($D226&lt;&gt;"Feature",".",
IF(VLOOKUP($B226,Feature_List!$A:$AM,MATCH(BU$1,  Feature_List!$A$1:$AM$1,0),0)=M226,".","NO"))</f>
        <v>.</v>
      </c>
      <c r="BV226" s="136" t="str">
        <f>IF($D226&lt;&gt;"Feature",".",
IF(VLOOKUP($B226,Feature_List!$A:$AM,MATCH(BV$1,  Feature_List!$A$1:$AM$1,0),0)=N226,".","NO"))</f>
        <v>.</v>
      </c>
      <c r="BW226" s="136"/>
      <c r="BX226" s="136"/>
      <c r="BY226" s="136"/>
      <c r="BZ226" s="136"/>
      <c r="CA226" s="136"/>
      <c r="CB226" s="136" t="str">
        <f>IF($D226&lt;&gt;"Feature",".",
IF(VLOOKUP($B226,Feature_List!$A:$AM,MATCH(CB$1,  Feature_List!$A$1:$AM$1,0),0)=T226,".","NO"))</f>
        <v>.</v>
      </c>
      <c r="CC226" s="136"/>
      <c r="CD226" s="136"/>
      <c r="CE226" s="136"/>
      <c r="CF226" s="136"/>
      <c r="CG226" s="136"/>
      <c r="CH226" s="136"/>
      <c r="CI226" s="136"/>
      <c r="CJ226" s="136"/>
      <c r="CK226" s="136"/>
      <c r="CL226" s="136"/>
      <c r="CM226" s="136"/>
      <c r="CN226" s="136"/>
      <c r="CO226" s="136" t="str">
        <f>IF($D226&lt;&gt;"Feature",".",
IF(VLOOKUP($B226,Feature_List!$A:$AM,MATCH(CO$1,  Feature_List!$A$1:$AM$1,0),0)=AG226,".","NO"))</f>
        <v>.</v>
      </c>
      <c r="CP226" s="136" t="str">
        <f>IF($D226&lt;&gt;"Feature",".",
IF(VLOOKUP($B226,Feature_List!$A:$AM,MATCH(CP$1,  Feature_List!$A$1:$AM$1,0),0)=AH226,".","NO"))</f>
        <v>.</v>
      </c>
      <c r="CQ226" s="136" t="str">
        <f>IF($D226&lt;&gt;"Feature",".",
IF(VLOOKUP($B226,Feature_List!$A:$AM,MATCH(CQ$1,  Feature_List!$A$1:$AM$1,0),0)=AI226,".","NO"))</f>
        <v>.</v>
      </c>
      <c r="CR226" s="136" t="str">
        <f>IF($D226&lt;&gt;"Feature",".",
IF(VLOOKUP($B226,Feature_List!$A:$AM,MATCH(CR$1,  Feature_List!$A$1:$AM$1,0),0)=AJ226,".","NO"))</f>
        <v>.</v>
      </c>
      <c r="CS226" s="136" t="str">
        <f>IF($D226&lt;&gt;"Feature",".",
IF(VLOOKUP($B226,Feature_List!$A:$AM,MATCH(CS$1,  Feature_List!$A$1:$AM$1,0),0)=AK226,".","NO"))</f>
        <v>.</v>
      </c>
      <c r="CT226" s="136" t="str">
        <f>IF($D226&lt;&gt;"Feature",".",
IF(VLOOKUP($B226,Feature_List!$A:$AM,MATCH(CT$1,  Feature_List!$A$1:$AM$1,0),0)=AL226,".","NO"))</f>
        <v>.</v>
      </c>
      <c r="CU226" s="136" t="str">
        <f>IF($D226&lt;&gt;"Feature",".",
IF(VLOOKUP($B226,Feature_List!$A:$AM,MATCH(CU$1,  Feature_List!$A$1:$AM$1,0),0)=AM226,".","NO"))</f>
        <v>.</v>
      </c>
      <c r="CV226" s="136" t="str">
        <f>IF($D226&lt;&gt;"Feature",".",
IF(VLOOKUP($B226,Feature_List!$A:$AM,MATCH(CV$1,  Feature_List!$A$1:$AM$1,0),0)=AN226,".","NO"))</f>
        <v>.</v>
      </c>
      <c r="CW226" s="136" t="str">
        <f>IF($D226&lt;&gt;"Feature",".",
IF(VLOOKUP($B226,Feature_List!$A:$AM,MATCH(CW$1,  Feature_List!$A$1:$AM$1,0),0)=AO226,".","NO"))</f>
        <v>.</v>
      </c>
      <c r="CX226" s="136" t="str">
        <f>IF($D226&lt;&gt;"Feature",".",
IF(VLOOKUP($B226,Feature_List!$A:$AM,MATCH(CX$1,  Feature_List!$A$1:$AM$1,0),0)=AP226,".","NO"))</f>
        <v>.</v>
      </c>
      <c r="CY226" s="136" t="str">
        <f>IF($D226&lt;&gt;"Feature",".",
IF(VLOOKUP($B226,Feature_List!$A:$AM,MATCH(CY$1,  Feature_List!$A$1:$AM$1,0),0)=AQ226,".","NO"))</f>
        <v>.</v>
      </c>
      <c r="CZ226" s="136" t="str">
        <f>IF($D226&lt;&gt;"Feature",".",
IF(VLOOKUP($B226,Feature_List!$A:$AM,MATCH(CZ$1,  Feature_List!$A$1:$AM$1,0),0)=AR226,".","NO"))</f>
        <v>.</v>
      </c>
      <c r="DA226" s="136" t="str">
        <f>IF($D226&lt;&gt;"Feature",".",
IF(VLOOKUP($B226,Feature_List!$A:$AM,MATCH(DA$1,  Feature_List!$A$1:$AM$1,0),0)=AS226,".","NO"))</f>
        <v>.</v>
      </c>
      <c r="DB226" s="136" t="str">
        <f>IF($D226&lt;&gt;"Feature",".",
IF(VLOOKUP($B226,Feature_List!$A:$AM,MATCH(DB$1,  Feature_List!$A$1:$AM$1,0),0)=AT226,".","NO"))</f>
        <v>.</v>
      </c>
      <c r="DC226" s="136" t="str">
        <f>IF($D226&lt;&gt;"Feature",".",
IF(VLOOKUP($B226,Feature_List!$A:$AM,MATCH(DC$1,  Feature_List!$A$1:$AM$1,0),0)=AU226,".","NO"))</f>
        <v>.</v>
      </c>
      <c r="DD226" s="136" t="str">
        <f>IF($D226&lt;&gt;"Feature",".",
IF(VLOOKUP($B226,Feature_List!$A:$AM,MATCH(DD$1,  Feature_List!$A$1:$AM$1,0),0)=AV226,".","NO"))</f>
        <v>.</v>
      </c>
      <c r="DE226" s="136" t="str">
        <f>IF($D226&lt;&gt;"Feature",".",
IF(VLOOKUP($B226,Feature_List!$A:$AM,MATCH(DE$1,  Feature_List!$A$1:$AM$1,0),0)=AW226,".","NO"))</f>
        <v>.</v>
      </c>
      <c r="DF226" s="136" t="str">
        <f>IF($D226&lt;&gt;"Feature",".",
IF(VLOOKUP($B226,Feature_List!$A:$AM,MATCH(DF$1,  Feature_List!$A$1:$AM$1,0),0)=AX226,".","NO"))</f>
        <v>.</v>
      </c>
      <c r="DG226" s="136" t="str">
        <f>IF($D226&lt;&gt;"Feature",".",
IF(VLOOKUP($B226,Feature_List!$A:$AM,MATCH(DG$1,  Feature_List!$A$1:$AM$1,0),0)=AY226,".","NO"))</f>
        <v>.</v>
      </c>
      <c r="DH226" s="136" t="str">
        <f>IF($D226&lt;&gt;"Feature",".",
IF(VLOOKUP($B226,Feature_List!$A:$AM,MATCH(DH$1,  Feature_List!$A$1:$AM$1,0),0)=AZ226,".","NO"))</f>
        <v>.</v>
      </c>
      <c r="DI226" s="136" t="str">
        <f>IF($D226&lt;&gt;"Feature",".",
IF(VLOOKUP($B226,Feature_List!$A:$AM,MATCH(DI$1,  Feature_List!$A$1:$AM$1,0),0)=BA226,".","NO"))</f>
        <v>.</v>
      </c>
      <c r="DJ226" s="136" t="str">
        <f>IF($D226&lt;&gt;"Feature",".",
IF(VLOOKUP($B226,Feature_List!$A:$AM,MATCH(DJ$1,  Feature_List!$A$1:$AM$1,0),0)=BB226,".","NO"))</f>
        <v>.</v>
      </c>
      <c r="DK226" s="136"/>
      <c r="DL226" s="136"/>
      <c r="DM226" s="136"/>
      <c r="DN226" s="136" t="str">
        <f>IF($D226&lt;&gt;"Feature",".",
IF(VLOOKUP($B226,Feature_List!$A:$AM,MATCH(DN$1,  Feature_List!$A$1:$AM$1,0),0)=BC226,".","NO"))</f>
        <v>.</v>
      </c>
      <c r="DO226" s="136" t="str">
        <f>IF($D226&lt;&gt;"Feature",".",
IF(VLOOKUP($B226,Feature_List!$A:$AM,MATCH(DO$1,  Feature_List!$A$1:$AM$1,0),0)=BD226,".","NO"))</f>
        <v>.</v>
      </c>
    </row>
    <row r="227" spans="2:119" x14ac:dyDescent="0.3">
      <c r="B227" s="121"/>
      <c r="C227" s="122"/>
      <c r="D227" s="122"/>
      <c r="E227" s="122"/>
      <c r="F227" s="123"/>
      <c r="G227" s="123"/>
      <c r="H227" s="122"/>
      <c r="I227" s="124"/>
      <c r="J227" s="123"/>
      <c r="K227" s="123"/>
      <c r="L227" s="122"/>
      <c r="M227" s="122"/>
      <c r="N227" s="122"/>
      <c r="O227" s="123">
        <f t="shared" si="112"/>
        <v>0</v>
      </c>
      <c r="P227" s="123">
        <f t="shared" si="113"/>
        <v>0</v>
      </c>
      <c r="Q227" s="122" t="str">
        <f t="shared" si="135"/>
        <v>ZeroEntry</v>
      </c>
      <c r="R227" s="126" t="str">
        <f t="shared" si="114"/>
        <v>ZeroEntry</v>
      </c>
      <c r="S227" s="127" t="str">
        <f t="shared" si="115"/>
        <v>ZeroEntry</v>
      </c>
      <c r="T227" s="128" t="str">
        <f>IF($Q227="ZeroEntry", "",VLOOKUP($I227,'Ranking Lookup'!#REF!,2,FALSE))</f>
        <v/>
      </c>
      <c r="U227" s="129" t="str">
        <f t="shared" si="116"/>
        <v/>
      </c>
      <c r="V227" s="129" t="str">
        <f t="shared" si="117"/>
        <v/>
      </c>
      <c r="W227" s="129" t="str">
        <f t="shared" si="118"/>
        <v/>
      </c>
      <c r="X227" s="129" t="str">
        <f t="shared" si="119"/>
        <v/>
      </c>
      <c r="Y227" s="129" t="str">
        <f t="shared" si="120"/>
        <v/>
      </c>
      <c r="Z227" s="129" t="str">
        <f t="shared" si="121"/>
        <v/>
      </c>
      <c r="AA227" s="130"/>
      <c r="AB227" s="130" t="str">
        <f t="shared" si="122"/>
        <v>Unassigned</v>
      </c>
      <c r="AC227" s="131" t="str">
        <f t="shared" si="136"/>
        <v/>
      </c>
      <c r="AD227" s="131" t="str">
        <f t="shared" si="137"/>
        <v/>
      </c>
      <c r="AE227" s="132">
        <f t="shared" si="123"/>
        <v>0</v>
      </c>
      <c r="AF227" s="133" t="str">
        <f t="shared" si="138"/>
        <v/>
      </c>
      <c r="AG227" s="134">
        <f t="shared" si="124"/>
        <v>0</v>
      </c>
      <c r="AH227" s="54" t="str">
        <f t="shared" si="125"/>
        <v/>
      </c>
      <c r="AI227" s="54" t="str">
        <f t="shared" si="145"/>
        <v/>
      </c>
      <c r="AJ227" s="54" t="str">
        <f t="shared" si="145"/>
        <v/>
      </c>
      <c r="AK227" s="54" t="str">
        <f t="shared" si="145"/>
        <v/>
      </c>
      <c r="AL227" s="54" t="str">
        <f t="shared" si="145"/>
        <v/>
      </c>
      <c r="AM227" s="54" t="str">
        <f t="shared" si="145"/>
        <v/>
      </c>
      <c r="AN227" s="54" t="str">
        <f t="shared" si="145"/>
        <v/>
      </c>
      <c r="AO227" s="54" t="str">
        <f t="shared" si="145"/>
        <v/>
      </c>
      <c r="AP227" s="54" t="str">
        <f t="shared" si="145"/>
        <v/>
      </c>
      <c r="AQ227" s="54" t="str">
        <f t="shared" si="145"/>
        <v/>
      </c>
      <c r="AR227" s="54" t="str">
        <f t="shared" si="145"/>
        <v/>
      </c>
      <c r="AS227" s="54" t="str">
        <f t="shared" si="145"/>
        <v/>
      </c>
      <c r="AT227" s="54" t="str">
        <f t="shared" si="145"/>
        <v/>
      </c>
      <c r="AU227" s="54" t="str">
        <f t="shared" si="145"/>
        <v/>
      </c>
      <c r="AV227" s="54" t="str">
        <f t="shared" si="145"/>
        <v/>
      </c>
      <c r="AW227" s="54" t="str">
        <f t="shared" si="145"/>
        <v/>
      </c>
      <c r="AX227" s="54" t="str">
        <f t="shared" si="145"/>
        <v/>
      </c>
      <c r="AY227" s="54" t="str">
        <f t="shared" si="139"/>
        <v/>
      </c>
      <c r="AZ227" s="54" t="str">
        <f t="shared" si="128"/>
        <v/>
      </c>
      <c r="BA227" s="54" t="str">
        <f t="shared" si="129"/>
        <v/>
      </c>
      <c r="BB227" s="135" t="str">
        <f t="shared" si="130"/>
        <v/>
      </c>
      <c r="BC227" s="54" t="str">
        <f t="shared" si="143"/>
        <v/>
      </c>
      <c r="BD227" s="54" t="str">
        <f t="shared" si="143"/>
        <v/>
      </c>
      <c r="BE227" s="54" t="str">
        <f t="shared" si="143"/>
        <v/>
      </c>
      <c r="BF227" s="54" t="str">
        <f t="shared" si="131"/>
        <v/>
      </c>
      <c r="BG227" s="54" t="str">
        <f t="shared" si="132"/>
        <v/>
      </c>
      <c r="BH227" s="34" t="str">
        <f t="shared" si="133"/>
        <v>Bad</v>
      </c>
      <c r="BI227" s="34" t="str">
        <f t="shared" si="134"/>
        <v>No</v>
      </c>
      <c r="BJ227" s="136" t="str">
        <f>IF($D227&lt;&gt;"Feature",".",
IF(VLOOKUP($B227,Feature_List!$A:$AM,MATCH(BJ$1,  Feature_List!$A$1:$AM$1,0),0)=B227,".","NO"))</f>
        <v>.</v>
      </c>
      <c r="BK227" s="136"/>
      <c r="BL227" s="136"/>
      <c r="BM227" s="136" t="str">
        <f>IF($D227&lt;&gt;"Feature",".",
IF(VLOOKUP($B227,Feature_List!$A:$AM,MATCH(BM$1,  Feature_List!$A$1:$AM$1,0),0)=E227,".","NO"))</f>
        <v>.</v>
      </c>
      <c r="BN227" s="136" t="str">
        <f>IF($D227&lt;&gt;"Feature",".",
IF(VLOOKUP($B227,Feature_List!$A:$AM,MATCH(BN$1,  Feature_List!$A$1:$AM$1,0),0)=F227,".","NO"))</f>
        <v>.</v>
      </c>
      <c r="BO227" s="136" t="str">
        <f>IF($D227&lt;&gt;"Feature",".",
IF(VLOOKUP($B227,Feature_List!$A:$AM,MATCH(BO$1,  Feature_List!$A$1:$AM$1,0),0)=G227,".","NO"))</f>
        <v>.</v>
      </c>
      <c r="BP227" s="136" t="str">
        <f>IF($D227&lt;&gt;"Feature",".",
IF(VLOOKUP($B227,Feature_List!$A:$AM,MATCH(BP$1,  Feature_List!$A$1:$AM$1,0),0)=H227,".","NO"))</f>
        <v>.</v>
      </c>
      <c r="BQ227" s="136"/>
      <c r="BR227" s="136" t="str">
        <f>IF($D227&lt;&gt;"Feature",".",
IF(VLOOKUP($B227,Feature_List!$A:$AM,MATCH(BR$1,  Feature_List!$A$1:$AM$1,0),0)=J227,".","NO"))</f>
        <v>.</v>
      </c>
      <c r="BS227" s="136"/>
      <c r="BT227" s="136"/>
      <c r="BU227" s="136" t="str">
        <f>IF($D227&lt;&gt;"Feature",".",
IF(VLOOKUP($B227,Feature_List!$A:$AM,MATCH(BU$1,  Feature_List!$A$1:$AM$1,0),0)=M227,".","NO"))</f>
        <v>.</v>
      </c>
      <c r="BV227" s="136" t="str">
        <f>IF($D227&lt;&gt;"Feature",".",
IF(VLOOKUP($B227,Feature_List!$A:$AM,MATCH(BV$1,  Feature_List!$A$1:$AM$1,0),0)=N227,".","NO"))</f>
        <v>.</v>
      </c>
      <c r="BW227" s="136"/>
      <c r="BX227" s="136"/>
      <c r="BY227" s="136"/>
      <c r="BZ227" s="136"/>
      <c r="CA227" s="136"/>
      <c r="CB227" s="136" t="str">
        <f>IF($D227&lt;&gt;"Feature",".",
IF(VLOOKUP($B227,Feature_List!$A:$AM,MATCH(CB$1,  Feature_List!$A$1:$AM$1,0),0)=T227,".","NO"))</f>
        <v>.</v>
      </c>
      <c r="CC227" s="136"/>
      <c r="CD227" s="136"/>
      <c r="CE227" s="136"/>
      <c r="CF227" s="136"/>
      <c r="CG227" s="136"/>
      <c r="CH227" s="136"/>
      <c r="CI227" s="136"/>
      <c r="CJ227" s="136"/>
      <c r="CK227" s="136"/>
      <c r="CL227" s="136"/>
      <c r="CM227" s="136"/>
      <c r="CN227" s="136"/>
      <c r="CO227" s="136" t="str">
        <f>IF($D227&lt;&gt;"Feature",".",
IF(VLOOKUP($B227,Feature_List!$A:$AM,MATCH(CO$1,  Feature_List!$A$1:$AM$1,0),0)=AG227,".","NO"))</f>
        <v>.</v>
      </c>
      <c r="CP227" s="136" t="str">
        <f>IF($D227&lt;&gt;"Feature",".",
IF(VLOOKUP($B227,Feature_List!$A:$AM,MATCH(CP$1,  Feature_List!$A$1:$AM$1,0),0)=AH227,".","NO"))</f>
        <v>.</v>
      </c>
      <c r="CQ227" s="136" t="str">
        <f>IF($D227&lt;&gt;"Feature",".",
IF(VLOOKUP($B227,Feature_List!$A:$AM,MATCH(CQ$1,  Feature_List!$A$1:$AM$1,0),0)=AI227,".","NO"))</f>
        <v>.</v>
      </c>
      <c r="CR227" s="136" t="str">
        <f>IF($D227&lt;&gt;"Feature",".",
IF(VLOOKUP($B227,Feature_List!$A:$AM,MATCH(CR$1,  Feature_List!$A$1:$AM$1,0),0)=AJ227,".","NO"))</f>
        <v>.</v>
      </c>
      <c r="CS227" s="136" t="str">
        <f>IF($D227&lt;&gt;"Feature",".",
IF(VLOOKUP($B227,Feature_List!$A:$AM,MATCH(CS$1,  Feature_List!$A$1:$AM$1,0),0)=AK227,".","NO"))</f>
        <v>.</v>
      </c>
      <c r="CT227" s="136" t="str">
        <f>IF($D227&lt;&gt;"Feature",".",
IF(VLOOKUP($B227,Feature_List!$A:$AM,MATCH(CT$1,  Feature_List!$A$1:$AM$1,0),0)=AL227,".","NO"))</f>
        <v>.</v>
      </c>
      <c r="CU227" s="136" t="str">
        <f>IF($D227&lt;&gt;"Feature",".",
IF(VLOOKUP($B227,Feature_List!$A:$AM,MATCH(CU$1,  Feature_List!$A$1:$AM$1,0),0)=AM227,".","NO"))</f>
        <v>.</v>
      </c>
      <c r="CV227" s="136" t="str">
        <f>IF($D227&lt;&gt;"Feature",".",
IF(VLOOKUP($B227,Feature_List!$A:$AM,MATCH(CV$1,  Feature_List!$A$1:$AM$1,0),0)=AN227,".","NO"))</f>
        <v>.</v>
      </c>
      <c r="CW227" s="136" t="str">
        <f>IF($D227&lt;&gt;"Feature",".",
IF(VLOOKUP($B227,Feature_List!$A:$AM,MATCH(CW$1,  Feature_List!$A$1:$AM$1,0),0)=AO227,".","NO"))</f>
        <v>.</v>
      </c>
      <c r="CX227" s="136" t="str">
        <f>IF($D227&lt;&gt;"Feature",".",
IF(VLOOKUP($B227,Feature_List!$A:$AM,MATCH(CX$1,  Feature_List!$A$1:$AM$1,0),0)=AP227,".","NO"))</f>
        <v>.</v>
      </c>
      <c r="CY227" s="136" t="str">
        <f>IF($D227&lt;&gt;"Feature",".",
IF(VLOOKUP($B227,Feature_List!$A:$AM,MATCH(CY$1,  Feature_List!$A$1:$AM$1,0),0)=AQ227,".","NO"))</f>
        <v>.</v>
      </c>
      <c r="CZ227" s="136" t="str">
        <f>IF($D227&lt;&gt;"Feature",".",
IF(VLOOKUP($B227,Feature_List!$A:$AM,MATCH(CZ$1,  Feature_List!$A$1:$AM$1,0),0)=AR227,".","NO"))</f>
        <v>.</v>
      </c>
      <c r="DA227" s="136" t="str">
        <f>IF($D227&lt;&gt;"Feature",".",
IF(VLOOKUP($B227,Feature_List!$A:$AM,MATCH(DA$1,  Feature_List!$A$1:$AM$1,0),0)=AS227,".","NO"))</f>
        <v>.</v>
      </c>
      <c r="DB227" s="136" t="str">
        <f>IF($D227&lt;&gt;"Feature",".",
IF(VLOOKUP($B227,Feature_List!$A:$AM,MATCH(DB$1,  Feature_List!$A$1:$AM$1,0),0)=AT227,".","NO"))</f>
        <v>.</v>
      </c>
      <c r="DC227" s="136" t="str">
        <f>IF($D227&lt;&gt;"Feature",".",
IF(VLOOKUP($B227,Feature_List!$A:$AM,MATCH(DC$1,  Feature_List!$A$1:$AM$1,0),0)=AU227,".","NO"))</f>
        <v>.</v>
      </c>
      <c r="DD227" s="136" t="str">
        <f>IF($D227&lt;&gt;"Feature",".",
IF(VLOOKUP($B227,Feature_List!$A:$AM,MATCH(DD$1,  Feature_List!$A$1:$AM$1,0),0)=AV227,".","NO"))</f>
        <v>.</v>
      </c>
      <c r="DE227" s="136" t="str">
        <f>IF($D227&lt;&gt;"Feature",".",
IF(VLOOKUP($B227,Feature_List!$A:$AM,MATCH(DE$1,  Feature_List!$A$1:$AM$1,0),0)=AW227,".","NO"))</f>
        <v>.</v>
      </c>
      <c r="DF227" s="136" t="str">
        <f>IF($D227&lt;&gt;"Feature",".",
IF(VLOOKUP($B227,Feature_List!$A:$AM,MATCH(DF$1,  Feature_List!$A$1:$AM$1,0),0)=AX227,".","NO"))</f>
        <v>.</v>
      </c>
      <c r="DG227" s="136" t="str">
        <f>IF($D227&lt;&gt;"Feature",".",
IF(VLOOKUP($B227,Feature_List!$A:$AM,MATCH(DG$1,  Feature_List!$A$1:$AM$1,0),0)=AY227,".","NO"))</f>
        <v>.</v>
      </c>
      <c r="DH227" s="136" t="str">
        <f>IF($D227&lt;&gt;"Feature",".",
IF(VLOOKUP($B227,Feature_List!$A:$AM,MATCH(DH$1,  Feature_List!$A$1:$AM$1,0),0)=AZ227,".","NO"))</f>
        <v>.</v>
      </c>
      <c r="DI227" s="136" t="str">
        <f>IF($D227&lt;&gt;"Feature",".",
IF(VLOOKUP($B227,Feature_List!$A:$AM,MATCH(DI$1,  Feature_List!$A$1:$AM$1,0),0)=BA227,".","NO"))</f>
        <v>.</v>
      </c>
      <c r="DJ227" s="136" t="str">
        <f>IF($D227&lt;&gt;"Feature",".",
IF(VLOOKUP($B227,Feature_List!$A:$AM,MATCH(DJ$1,  Feature_List!$A$1:$AM$1,0),0)=BB227,".","NO"))</f>
        <v>.</v>
      </c>
      <c r="DK227" s="136"/>
      <c r="DL227" s="136"/>
      <c r="DM227" s="136"/>
      <c r="DN227" s="136" t="str">
        <f>IF($D227&lt;&gt;"Feature",".",
IF(VLOOKUP($B227,Feature_List!$A:$AM,MATCH(DN$1,  Feature_List!$A$1:$AM$1,0),0)=BC227,".","NO"))</f>
        <v>.</v>
      </c>
      <c r="DO227" s="136" t="str">
        <f>IF($D227&lt;&gt;"Feature",".",
IF(VLOOKUP($B227,Feature_List!$A:$AM,MATCH(DO$1,  Feature_List!$A$1:$AM$1,0),0)=BD227,".","NO"))</f>
        <v>.</v>
      </c>
    </row>
    <row r="228" spans="2:119" x14ac:dyDescent="0.3">
      <c r="B228" s="121"/>
      <c r="C228" s="122"/>
      <c r="D228" s="122"/>
      <c r="E228" s="122"/>
      <c r="F228" s="123"/>
      <c r="G228" s="123"/>
      <c r="H228" s="122"/>
      <c r="I228" s="124"/>
      <c r="J228" s="123"/>
      <c r="K228" s="123"/>
      <c r="L228" s="122"/>
      <c r="M228" s="122"/>
      <c r="N228" s="122"/>
      <c r="O228" s="123">
        <f t="shared" si="112"/>
        <v>0</v>
      </c>
      <c r="P228" s="123">
        <f t="shared" si="113"/>
        <v>0</v>
      </c>
      <c r="Q228" s="122" t="str">
        <f t="shared" si="135"/>
        <v>ZeroEntry</v>
      </c>
      <c r="R228" s="126" t="str">
        <f t="shared" si="114"/>
        <v>ZeroEntry</v>
      </c>
      <c r="S228" s="127" t="str">
        <f t="shared" si="115"/>
        <v>ZeroEntry</v>
      </c>
      <c r="T228" s="128" t="str">
        <f>IF($Q228="ZeroEntry", "",VLOOKUP($I228,'Ranking Lookup'!#REF!,2,FALSE))</f>
        <v/>
      </c>
      <c r="U228" s="129" t="str">
        <f t="shared" si="116"/>
        <v/>
      </c>
      <c r="V228" s="129" t="str">
        <f t="shared" si="117"/>
        <v/>
      </c>
      <c r="W228" s="129" t="str">
        <f t="shared" si="118"/>
        <v/>
      </c>
      <c r="X228" s="129" t="str">
        <f t="shared" si="119"/>
        <v/>
      </c>
      <c r="Y228" s="129" t="str">
        <f t="shared" si="120"/>
        <v/>
      </c>
      <c r="Z228" s="129" t="str">
        <f t="shared" si="121"/>
        <v/>
      </c>
      <c r="AA228" s="130"/>
      <c r="AB228" s="130" t="str">
        <f t="shared" si="122"/>
        <v>Unassigned</v>
      </c>
      <c r="AC228" s="131" t="str">
        <f t="shared" si="136"/>
        <v/>
      </c>
      <c r="AD228" s="131" t="str">
        <f t="shared" si="137"/>
        <v/>
      </c>
      <c r="AE228" s="132">
        <f t="shared" si="123"/>
        <v>0</v>
      </c>
      <c r="AF228" s="133" t="str">
        <f t="shared" si="138"/>
        <v/>
      </c>
      <c r="AG228" s="134">
        <f t="shared" si="124"/>
        <v>0</v>
      </c>
      <c r="AH228" s="54" t="str">
        <f t="shared" si="125"/>
        <v/>
      </c>
      <c r="AI228" s="54" t="str">
        <f t="shared" si="145"/>
        <v/>
      </c>
      <c r="AJ228" s="54" t="str">
        <f t="shared" si="145"/>
        <v/>
      </c>
      <c r="AK228" s="54" t="str">
        <f t="shared" si="145"/>
        <v/>
      </c>
      <c r="AL228" s="54" t="str">
        <f t="shared" si="145"/>
        <v/>
      </c>
      <c r="AM228" s="54" t="str">
        <f t="shared" si="145"/>
        <v/>
      </c>
      <c r="AN228" s="54" t="str">
        <f t="shared" si="145"/>
        <v/>
      </c>
      <c r="AO228" s="54" t="str">
        <f t="shared" si="145"/>
        <v/>
      </c>
      <c r="AP228" s="54" t="str">
        <f t="shared" si="145"/>
        <v/>
      </c>
      <c r="AQ228" s="54" t="str">
        <f t="shared" si="145"/>
        <v/>
      </c>
      <c r="AR228" s="54" t="str">
        <f t="shared" si="145"/>
        <v/>
      </c>
      <c r="AS228" s="54" t="str">
        <f t="shared" si="145"/>
        <v/>
      </c>
      <c r="AT228" s="54" t="str">
        <f t="shared" si="145"/>
        <v/>
      </c>
      <c r="AU228" s="54" t="str">
        <f t="shared" si="145"/>
        <v/>
      </c>
      <c r="AV228" s="54" t="str">
        <f t="shared" si="145"/>
        <v/>
      </c>
      <c r="AW228" s="54" t="str">
        <f t="shared" si="145"/>
        <v/>
      </c>
      <c r="AX228" s="54" t="str">
        <f t="shared" si="145"/>
        <v/>
      </c>
      <c r="AY228" s="54" t="str">
        <f t="shared" si="139"/>
        <v/>
      </c>
      <c r="AZ228" s="54" t="str">
        <f t="shared" si="128"/>
        <v/>
      </c>
      <c r="BA228" s="54" t="str">
        <f t="shared" si="129"/>
        <v/>
      </c>
      <c r="BB228" s="135" t="str">
        <f t="shared" si="130"/>
        <v/>
      </c>
      <c r="BC228" s="54" t="str">
        <f t="shared" si="143"/>
        <v/>
      </c>
      <c r="BD228" s="54" t="str">
        <f t="shared" si="143"/>
        <v/>
      </c>
      <c r="BE228" s="54" t="str">
        <f t="shared" si="143"/>
        <v/>
      </c>
      <c r="BF228" s="54" t="str">
        <f t="shared" si="131"/>
        <v/>
      </c>
      <c r="BG228" s="54" t="str">
        <f t="shared" si="132"/>
        <v/>
      </c>
      <c r="BH228" s="34" t="str">
        <f t="shared" si="133"/>
        <v>Bad</v>
      </c>
      <c r="BI228" s="34" t="str">
        <f t="shared" si="134"/>
        <v>No</v>
      </c>
      <c r="BJ228" s="136" t="str">
        <f>IF($D228&lt;&gt;"Feature",".",
IF(VLOOKUP($B228,Feature_List!$A:$AM,MATCH(BJ$1,  Feature_List!$A$1:$AM$1,0),0)=B228,".","NO"))</f>
        <v>.</v>
      </c>
      <c r="BK228" s="136"/>
      <c r="BL228" s="136"/>
      <c r="BM228" s="136" t="str">
        <f>IF($D228&lt;&gt;"Feature",".",
IF(VLOOKUP($B228,Feature_List!$A:$AM,MATCH(BM$1,  Feature_List!$A$1:$AM$1,0),0)=E228,".","NO"))</f>
        <v>.</v>
      </c>
      <c r="BN228" s="136" t="str">
        <f>IF($D228&lt;&gt;"Feature",".",
IF(VLOOKUP($B228,Feature_List!$A:$AM,MATCH(BN$1,  Feature_List!$A$1:$AM$1,0),0)=F228,".","NO"))</f>
        <v>.</v>
      </c>
      <c r="BO228" s="136" t="str">
        <f>IF($D228&lt;&gt;"Feature",".",
IF(VLOOKUP($B228,Feature_List!$A:$AM,MATCH(BO$1,  Feature_List!$A$1:$AM$1,0),0)=G228,".","NO"))</f>
        <v>.</v>
      </c>
      <c r="BP228" s="136" t="str">
        <f>IF($D228&lt;&gt;"Feature",".",
IF(VLOOKUP($B228,Feature_List!$A:$AM,MATCH(BP$1,  Feature_List!$A$1:$AM$1,0),0)=H228,".","NO"))</f>
        <v>.</v>
      </c>
      <c r="BQ228" s="136"/>
      <c r="BR228" s="136" t="str">
        <f>IF($D228&lt;&gt;"Feature",".",
IF(VLOOKUP($B228,Feature_List!$A:$AM,MATCH(BR$1,  Feature_List!$A$1:$AM$1,0),0)=J228,".","NO"))</f>
        <v>.</v>
      </c>
      <c r="BS228" s="136"/>
      <c r="BT228" s="136"/>
      <c r="BU228" s="136" t="str">
        <f>IF($D228&lt;&gt;"Feature",".",
IF(VLOOKUP($B228,Feature_List!$A:$AM,MATCH(BU$1,  Feature_List!$A$1:$AM$1,0),0)=M228,".","NO"))</f>
        <v>.</v>
      </c>
      <c r="BV228" s="136" t="str">
        <f>IF($D228&lt;&gt;"Feature",".",
IF(VLOOKUP($B228,Feature_List!$A:$AM,MATCH(BV$1,  Feature_List!$A$1:$AM$1,0),0)=N228,".","NO"))</f>
        <v>.</v>
      </c>
      <c r="BW228" s="136"/>
      <c r="BX228" s="136"/>
      <c r="BY228" s="136"/>
      <c r="BZ228" s="136"/>
      <c r="CA228" s="136"/>
      <c r="CB228" s="136" t="str">
        <f>IF($D228&lt;&gt;"Feature",".",
IF(VLOOKUP($B228,Feature_List!$A:$AM,MATCH(CB$1,  Feature_List!$A$1:$AM$1,0),0)=T228,".","NO"))</f>
        <v>.</v>
      </c>
      <c r="CC228" s="136"/>
      <c r="CD228" s="136"/>
      <c r="CE228" s="136"/>
      <c r="CF228" s="136"/>
      <c r="CG228" s="136"/>
      <c r="CH228" s="136"/>
      <c r="CI228" s="136"/>
      <c r="CJ228" s="136"/>
      <c r="CK228" s="136"/>
      <c r="CL228" s="136"/>
      <c r="CM228" s="136"/>
      <c r="CN228" s="136"/>
      <c r="CO228" s="136" t="str">
        <f>IF($D228&lt;&gt;"Feature",".",
IF(VLOOKUP($B228,Feature_List!$A:$AM,MATCH(CO$1,  Feature_List!$A$1:$AM$1,0),0)=AG228,".","NO"))</f>
        <v>.</v>
      </c>
      <c r="CP228" s="136" t="str">
        <f>IF($D228&lt;&gt;"Feature",".",
IF(VLOOKUP($B228,Feature_List!$A:$AM,MATCH(CP$1,  Feature_List!$A$1:$AM$1,0),0)=AH228,".","NO"))</f>
        <v>.</v>
      </c>
      <c r="CQ228" s="136" t="str">
        <f>IF($D228&lt;&gt;"Feature",".",
IF(VLOOKUP($B228,Feature_List!$A:$AM,MATCH(CQ$1,  Feature_List!$A$1:$AM$1,0),0)=AI228,".","NO"))</f>
        <v>.</v>
      </c>
      <c r="CR228" s="136" t="str">
        <f>IF($D228&lt;&gt;"Feature",".",
IF(VLOOKUP($B228,Feature_List!$A:$AM,MATCH(CR$1,  Feature_List!$A$1:$AM$1,0),0)=AJ228,".","NO"))</f>
        <v>.</v>
      </c>
      <c r="CS228" s="136" t="str">
        <f>IF($D228&lt;&gt;"Feature",".",
IF(VLOOKUP($B228,Feature_List!$A:$AM,MATCH(CS$1,  Feature_List!$A$1:$AM$1,0),0)=AK228,".","NO"))</f>
        <v>.</v>
      </c>
      <c r="CT228" s="136" t="str">
        <f>IF($D228&lt;&gt;"Feature",".",
IF(VLOOKUP($B228,Feature_List!$A:$AM,MATCH(CT$1,  Feature_List!$A$1:$AM$1,0),0)=AL228,".","NO"))</f>
        <v>.</v>
      </c>
      <c r="CU228" s="136" t="str">
        <f>IF($D228&lt;&gt;"Feature",".",
IF(VLOOKUP($B228,Feature_List!$A:$AM,MATCH(CU$1,  Feature_List!$A$1:$AM$1,0),0)=AM228,".","NO"))</f>
        <v>.</v>
      </c>
      <c r="CV228" s="136" t="str">
        <f>IF($D228&lt;&gt;"Feature",".",
IF(VLOOKUP($B228,Feature_List!$A:$AM,MATCH(CV$1,  Feature_List!$A$1:$AM$1,0),0)=AN228,".","NO"))</f>
        <v>.</v>
      </c>
      <c r="CW228" s="136" t="str">
        <f>IF($D228&lt;&gt;"Feature",".",
IF(VLOOKUP($B228,Feature_List!$A:$AM,MATCH(CW$1,  Feature_List!$A$1:$AM$1,0),0)=AO228,".","NO"))</f>
        <v>.</v>
      </c>
      <c r="CX228" s="136" t="str">
        <f>IF($D228&lt;&gt;"Feature",".",
IF(VLOOKUP($B228,Feature_List!$A:$AM,MATCH(CX$1,  Feature_List!$A$1:$AM$1,0),0)=AP228,".","NO"))</f>
        <v>.</v>
      </c>
      <c r="CY228" s="136" t="str">
        <f>IF($D228&lt;&gt;"Feature",".",
IF(VLOOKUP($B228,Feature_List!$A:$AM,MATCH(CY$1,  Feature_List!$A$1:$AM$1,0),0)=AQ228,".","NO"))</f>
        <v>.</v>
      </c>
      <c r="CZ228" s="136" t="str">
        <f>IF($D228&lt;&gt;"Feature",".",
IF(VLOOKUP($B228,Feature_List!$A:$AM,MATCH(CZ$1,  Feature_List!$A$1:$AM$1,0),0)=AR228,".","NO"))</f>
        <v>.</v>
      </c>
      <c r="DA228" s="136" t="str">
        <f>IF($D228&lt;&gt;"Feature",".",
IF(VLOOKUP($B228,Feature_List!$A:$AM,MATCH(DA$1,  Feature_List!$A$1:$AM$1,0),0)=AS228,".","NO"))</f>
        <v>.</v>
      </c>
      <c r="DB228" s="136" t="str">
        <f>IF($D228&lt;&gt;"Feature",".",
IF(VLOOKUP($B228,Feature_List!$A:$AM,MATCH(DB$1,  Feature_List!$A$1:$AM$1,0),0)=AT228,".","NO"))</f>
        <v>.</v>
      </c>
      <c r="DC228" s="136" t="str">
        <f>IF($D228&lt;&gt;"Feature",".",
IF(VLOOKUP($B228,Feature_List!$A:$AM,MATCH(DC$1,  Feature_List!$A$1:$AM$1,0),0)=AU228,".","NO"))</f>
        <v>.</v>
      </c>
      <c r="DD228" s="136" t="str">
        <f>IF($D228&lt;&gt;"Feature",".",
IF(VLOOKUP($B228,Feature_List!$A:$AM,MATCH(DD$1,  Feature_List!$A$1:$AM$1,0),0)=AV228,".","NO"))</f>
        <v>.</v>
      </c>
      <c r="DE228" s="136" t="str">
        <f>IF($D228&lt;&gt;"Feature",".",
IF(VLOOKUP($B228,Feature_List!$A:$AM,MATCH(DE$1,  Feature_List!$A$1:$AM$1,0),0)=AW228,".","NO"))</f>
        <v>.</v>
      </c>
      <c r="DF228" s="136" t="str">
        <f>IF($D228&lt;&gt;"Feature",".",
IF(VLOOKUP($B228,Feature_List!$A:$AM,MATCH(DF$1,  Feature_List!$A$1:$AM$1,0),0)=AX228,".","NO"))</f>
        <v>.</v>
      </c>
      <c r="DG228" s="136" t="str">
        <f>IF($D228&lt;&gt;"Feature",".",
IF(VLOOKUP($B228,Feature_List!$A:$AM,MATCH(DG$1,  Feature_List!$A$1:$AM$1,0),0)=AY228,".","NO"))</f>
        <v>.</v>
      </c>
      <c r="DH228" s="136" t="str">
        <f>IF($D228&lt;&gt;"Feature",".",
IF(VLOOKUP($B228,Feature_List!$A:$AM,MATCH(DH$1,  Feature_List!$A$1:$AM$1,0),0)=AZ228,".","NO"))</f>
        <v>.</v>
      </c>
      <c r="DI228" s="136" t="str">
        <f>IF($D228&lt;&gt;"Feature",".",
IF(VLOOKUP($B228,Feature_List!$A:$AM,MATCH(DI$1,  Feature_List!$A$1:$AM$1,0),0)=BA228,".","NO"))</f>
        <v>.</v>
      </c>
      <c r="DJ228" s="136" t="str">
        <f>IF($D228&lt;&gt;"Feature",".",
IF(VLOOKUP($B228,Feature_List!$A:$AM,MATCH(DJ$1,  Feature_List!$A$1:$AM$1,0),0)=BB228,".","NO"))</f>
        <v>.</v>
      </c>
      <c r="DK228" s="136"/>
      <c r="DL228" s="136"/>
      <c r="DM228" s="136"/>
      <c r="DN228" s="136" t="str">
        <f>IF($D228&lt;&gt;"Feature",".",
IF(VLOOKUP($B228,Feature_List!$A:$AM,MATCH(DN$1,  Feature_List!$A$1:$AM$1,0),0)=BC228,".","NO"))</f>
        <v>.</v>
      </c>
      <c r="DO228" s="136" t="str">
        <f>IF($D228&lt;&gt;"Feature",".",
IF(VLOOKUP($B228,Feature_List!$A:$AM,MATCH(DO$1,  Feature_List!$A$1:$AM$1,0),0)=BD228,".","NO"))</f>
        <v>.</v>
      </c>
    </row>
    <row r="229" spans="2:119" x14ac:dyDescent="0.3">
      <c r="B229" s="144"/>
      <c r="C229" s="144"/>
      <c r="D229" s="144"/>
      <c r="E229" s="144"/>
      <c r="F229" s="144"/>
      <c r="G229" s="144"/>
      <c r="H229" s="144"/>
      <c r="I229" s="144"/>
      <c r="J229" s="144"/>
      <c r="K229" s="144"/>
      <c r="L229" s="144"/>
      <c r="M229" s="144"/>
      <c r="N229" s="144"/>
      <c r="O229" s="123">
        <f t="shared" si="112"/>
        <v>0</v>
      </c>
      <c r="P229" s="123">
        <f t="shared" si="113"/>
        <v>0</v>
      </c>
      <c r="Q229" s="122" t="str">
        <f t="shared" si="135"/>
        <v>ZeroEntry</v>
      </c>
      <c r="R229" s="126" t="str">
        <f t="shared" si="114"/>
        <v>ZeroEntry</v>
      </c>
      <c r="S229" s="127" t="str">
        <f t="shared" si="115"/>
        <v>ZeroEntry</v>
      </c>
      <c r="T229" s="128" t="str">
        <f>IF($Q229="ZeroEntry", "",VLOOKUP($I229,'Ranking Lookup'!#REF!,2,FALSE))</f>
        <v/>
      </c>
      <c r="U229" s="129" t="str">
        <f t="shared" si="116"/>
        <v/>
      </c>
      <c r="V229" s="129" t="str">
        <f t="shared" si="117"/>
        <v/>
      </c>
      <c r="W229" s="129" t="str">
        <f t="shared" si="118"/>
        <v/>
      </c>
      <c r="X229" s="129" t="str">
        <f t="shared" si="119"/>
        <v/>
      </c>
      <c r="Y229" s="129" t="str">
        <f t="shared" si="120"/>
        <v/>
      </c>
      <c r="Z229" s="129" t="str">
        <f t="shared" si="121"/>
        <v/>
      </c>
      <c r="AA229" s="130"/>
      <c r="AB229" s="130" t="str">
        <f t="shared" si="122"/>
        <v>Unassigned</v>
      </c>
      <c r="AC229" s="131" t="str">
        <f t="shared" si="136"/>
        <v/>
      </c>
      <c r="AD229" s="131" t="str">
        <f t="shared" si="137"/>
        <v/>
      </c>
      <c r="AE229" s="132">
        <f t="shared" si="123"/>
        <v>0</v>
      </c>
      <c r="AF229" s="133" t="str">
        <f t="shared" si="138"/>
        <v/>
      </c>
      <c r="AG229" s="134">
        <f t="shared" si="124"/>
        <v>0</v>
      </c>
      <c r="AH229" s="54" t="str">
        <f t="shared" si="125"/>
        <v/>
      </c>
      <c r="AI229" s="54" t="str">
        <f t="shared" si="145"/>
        <v/>
      </c>
      <c r="AJ229" s="54" t="str">
        <f t="shared" si="145"/>
        <v/>
      </c>
      <c r="AK229" s="54" t="str">
        <f t="shared" si="145"/>
        <v/>
      </c>
      <c r="AL229" s="54" t="str">
        <f t="shared" si="145"/>
        <v/>
      </c>
      <c r="AM229" s="54" t="str">
        <f t="shared" si="145"/>
        <v/>
      </c>
      <c r="AN229" s="54" t="str">
        <f t="shared" si="145"/>
        <v/>
      </c>
      <c r="AO229" s="54" t="str">
        <f t="shared" si="145"/>
        <v/>
      </c>
      <c r="AP229" s="54" t="str">
        <f t="shared" si="145"/>
        <v/>
      </c>
      <c r="AQ229" s="54" t="str">
        <f t="shared" si="145"/>
        <v/>
      </c>
      <c r="AR229" s="54" t="str">
        <f t="shared" si="145"/>
        <v/>
      </c>
      <c r="AS229" s="54" t="str">
        <f t="shared" si="145"/>
        <v/>
      </c>
      <c r="AT229" s="54" t="str">
        <f t="shared" si="145"/>
        <v/>
      </c>
      <c r="AU229" s="54" t="str">
        <f t="shared" si="145"/>
        <v/>
      </c>
      <c r="AV229" s="54" t="str">
        <f t="shared" si="145"/>
        <v/>
      </c>
      <c r="AW229" s="54" t="str">
        <f t="shared" si="145"/>
        <v/>
      </c>
      <c r="AX229" s="54" t="str">
        <f t="shared" si="145"/>
        <v/>
      </c>
      <c r="AY229" s="54" t="str">
        <f t="shared" si="139"/>
        <v/>
      </c>
      <c r="AZ229" s="54" t="str">
        <f t="shared" si="128"/>
        <v/>
      </c>
      <c r="BA229" s="54" t="str">
        <f t="shared" si="129"/>
        <v/>
      </c>
      <c r="BB229" s="135" t="str">
        <f t="shared" si="130"/>
        <v/>
      </c>
      <c r="BC229" s="54" t="str">
        <f t="shared" si="143"/>
        <v/>
      </c>
      <c r="BD229" s="54" t="str">
        <f t="shared" si="143"/>
        <v/>
      </c>
      <c r="BE229" s="54" t="str">
        <f t="shared" si="143"/>
        <v/>
      </c>
      <c r="BF229" s="54" t="str">
        <f t="shared" si="131"/>
        <v/>
      </c>
      <c r="BG229" s="54" t="str">
        <f t="shared" si="132"/>
        <v/>
      </c>
      <c r="BH229" s="34" t="str">
        <f t="shared" si="133"/>
        <v>Bad</v>
      </c>
      <c r="BI229" s="34" t="str">
        <f t="shared" si="134"/>
        <v>No</v>
      </c>
      <c r="BJ229" s="136" t="str">
        <f>IF($D229&lt;&gt;"Feature",".",
IF(VLOOKUP($B229,Feature_List!$A:$AM,MATCH(BJ$1,  Feature_List!$A$1:$AM$1,0),0)=B229,".","NO"))</f>
        <v>.</v>
      </c>
      <c r="BK229" s="136"/>
      <c r="BL229" s="136"/>
      <c r="BM229" s="136" t="str">
        <f>IF($D229&lt;&gt;"Feature",".",
IF(VLOOKUP($B229,Feature_List!$A:$AM,MATCH(BM$1,  Feature_List!$A$1:$AM$1,0),0)=E229,".","NO"))</f>
        <v>.</v>
      </c>
      <c r="BN229" s="136" t="str">
        <f>IF($D229&lt;&gt;"Feature",".",
IF(VLOOKUP($B229,Feature_List!$A:$AM,MATCH(BN$1,  Feature_List!$A$1:$AM$1,0),0)=F229,".","NO"))</f>
        <v>.</v>
      </c>
      <c r="BO229" s="136" t="str">
        <f>IF($D229&lt;&gt;"Feature",".",
IF(VLOOKUP($B229,Feature_List!$A:$AM,MATCH(BO$1,  Feature_List!$A$1:$AM$1,0),0)=G229,".","NO"))</f>
        <v>.</v>
      </c>
      <c r="BP229" s="136" t="str">
        <f>IF($D229&lt;&gt;"Feature",".",
IF(VLOOKUP($B229,Feature_List!$A:$AM,MATCH(BP$1,  Feature_List!$A$1:$AM$1,0),0)=H229,".","NO"))</f>
        <v>.</v>
      </c>
      <c r="BQ229" s="136"/>
      <c r="BR229" s="136" t="str">
        <f>IF($D229&lt;&gt;"Feature",".",
IF(VLOOKUP($B229,Feature_List!$A:$AM,MATCH(BR$1,  Feature_List!$A$1:$AM$1,0),0)=J229,".","NO"))</f>
        <v>.</v>
      </c>
      <c r="BS229" s="136"/>
      <c r="BT229" s="136"/>
      <c r="BU229" s="136" t="str">
        <f>IF($D229&lt;&gt;"Feature",".",
IF(VLOOKUP($B229,Feature_List!$A:$AM,MATCH(BU$1,  Feature_List!$A$1:$AM$1,0),0)=M229,".","NO"))</f>
        <v>.</v>
      </c>
      <c r="BV229" s="136" t="str">
        <f>IF($D229&lt;&gt;"Feature",".",
IF(VLOOKUP($B229,Feature_List!$A:$AM,MATCH(BV$1,  Feature_List!$A$1:$AM$1,0),0)=N229,".","NO"))</f>
        <v>.</v>
      </c>
      <c r="BW229" s="136"/>
      <c r="BX229" s="136"/>
      <c r="BY229" s="136"/>
      <c r="BZ229" s="136"/>
      <c r="CA229" s="136"/>
      <c r="CB229" s="136" t="str">
        <f>IF($D229&lt;&gt;"Feature",".",
IF(VLOOKUP($B229,Feature_List!$A:$AM,MATCH(CB$1,  Feature_List!$A$1:$AM$1,0),0)=T229,".","NO"))</f>
        <v>.</v>
      </c>
      <c r="CC229" s="136"/>
      <c r="CD229" s="136"/>
      <c r="CE229" s="136"/>
      <c r="CF229" s="136"/>
      <c r="CG229" s="136"/>
      <c r="CH229" s="136"/>
      <c r="CI229" s="136"/>
      <c r="CJ229" s="136"/>
      <c r="CK229" s="136"/>
      <c r="CL229" s="136"/>
      <c r="CM229" s="136"/>
      <c r="CN229" s="136"/>
      <c r="CO229" s="136" t="str">
        <f>IF($D229&lt;&gt;"Feature",".",
IF(VLOOKUP($B229,Feature_List!$A:$AM,MATCH(CO$1,  Feature_List!$A$1:$AM$1,0),0)=AG229,".","NO"))</f>
        <v>.</v>
      </c>
      <c r="CP229" s="136" t="str">
        <f>IF($D229&lt;&gt;"Feature",".",
IF(VLOOKUP($B229,Feature_List!$A:$AM,MATCH(CP$1,  Feature_List!$A$1:$AM$1,0),0)=AH229,".","NO"))</f>
        <v>.</v>
      </c>
      <c r="CQ229" s="136" t="str">
        <f>IF($D229&lt;&gt;"Feature",".",
IF(VLOOKUP($B229,Feature_List!$A:$AM,MATCH(CQ$1,  Feature_List!$A$1:$AM$1,0),0)=AI229,".","NO"))</f>
        <v>.</v>
      </c>
      <c r="CR229" s="136" t="str">
        <f>IF($D229&lt;&gt;"Feature",".",
IF(VLOOKUP($B229,Feature_List!$A:$AM,MATCH(CR$1,  Feature_List!$A$1:$AM$1,0),0)=AJ229,".","NO"))</f>
        <v>.</v>
      </c>
      <c r="CS229" s="136" t="str">
        <f>IF($D229&lt;&gt;"Feature",".",
IF(VLOOKUP($B229,Feature_List!$A:$AM,MATCH(CS$1,  Feature_List!$A$1:$AM$1,0),0)=AK229,".","NO"))</f>
        <v>.</v>
      </c>
      <c r="CT229" s="136" t="str">
        <f>IF($D229&lt;&gt;"Feature",".",
IF(VLOOKUP($B229,Feature_List!$A:$AM,MATCH(CT$1,  Feature_List!$A$1:$AM$1,0),0)=AL229,".","NO"))</f>
        <v>.</v>
      </c>
      <c r="CU229" s="136" t="str">
        <f>IF($D229&lt;&gt;"Feature",".",
IF(VLOOKUP($B229,Feature_List!$A:$AM,MATCH(CU$1,  Feature_List!$A$1:$AM$1,0),0)=AM229,".","NO"))</f>
        <v>.</v>
      </c>
      <c r="CV229" s="136" t="str">
        <f>IF($D229&lt;&gt;"Feature",".",
IF(VLOOKUP($B229,Feature_List!$A:$AM,MATCH(CV$1,  Feature_List!$A$1:$AM$1,0),0)=AN229,".","NO"))</f>
        <v>.</v>
      </c>
      <c r="CW229" s="136" t="str">
        <f>IF($D229&lt;&gt;"Feature",".",
IF(VLOOKUP($B229,Feature_List!$A:$AM,MATCH(CW$1,  Feature_List!$A$1:$AM$1,0),0)=AO229,".","NO"))</f>
        <v>.</v>
      </c>
      <c r="CX229" s="136" t="str">
        <f>IF($D229&lt;&gt;"Feature",".",
IF(VLOOKUP($B229,Feature_List!$A:$AM,MATCH(CX$1,  Feature_List!$A$1:$AM$1,0),0)=AP229,".","NO"))</f>
        <v>.</v>
      </c>
      <c r="CY229" s="136" t="str">
        <f>IF($D229&lt;&gt;"Feature",".",
IF(VLOOKUP($B229,Feature_List!$A:$AM,MATCH(CY$1,  Feature_List!$A$1:$AM$1,0),0)=AQ229,".","NO"))</f>
        <v>.</v>
      </c>
      <c r="CZ229" s="136" t="str">
        <f>IF($D229&lt;&gt;"Feature",".",
IF(VLOOKUP($B229,Feature_List!$A:$AM,MATCH(CZ$1,  Feature_List!$A$1:$AM$1,0),0)=AR229,".","NO"))</f>
        <v>.</v>
      </c>
      <c r="DA229" s="136" t="str">
        <f>IF($D229&lt;&gt;"Feature",".",
IF(VLOOKUP($B229,Feature_List!$A:$AM,MATCH(DA$1,  Feature_List!$A$1:$AM$1,0),0)=AS229,".","NO"))</f>
        <v>.</v>
      </c>
      <c r="DB229" s="136" t="str">
        <f>IF($D229&lt;&gt;"Feature",".",
IF(VLOOKUP($B229,Feature_List!$A:$AM,MATCH(DB$1,  Feature_List!$A$1:$AM$1,0),0)=AT229,".","NO"))</f>
        <v>.</v>
      </c>
      <c r="DC229" s="136" t="str">
        <f>IF($D229&lt;&gt;"Feature",".",
IF(VLOOKUP($B229,Feature_List!$A:$AM,MATCH(DC$1,  Feature_List!$A$1:$AM$1,0),0)=AU229,".","NO"))</f>
        <v>.</v>
      </c>
      <c r="DD229" s="136" t="str">
        <f>IF($D229&lt;&gt;"Feature",".",
IF(VLOOKUP($B229,Feature_List!$A:$AM,MATCH(DD$1,  Feature_List!$A$1:$AM$1,0),0)=AV229,".","NO"))</f>
        <v>.</v>
      </c>
      <c r="DE229" s="136" t="str">
        <f>IF($D229&lt;&gt;"Feature",".",
IF(VLOOKUP($B229,Feature_List!$A:$AM,MATCH(DE$1,  Feature_List!$A$1:$AM$1,0),0)=AW229,".","NO"))</f>
        <v>.</v>
      </c>
      <c r="DF229" s="136" t="str">
        <f>IF($D229&lt;&gt;"Feature",".",
IF(VLOOKUP($B229,Feature_List!$A:$AM,MATCH(DF$1,  Feature_List!$A$1:$AM$1,0),0)=AX229,".","NO"))</f>
        <v>.</v>
      </c>
      <c r="DG229" s="136" t="str">
        <f>IF($D229&lt;&gt;"Feature",".",
IF(VLOOKUP($B229,Feature_List!$A:$AM,MATCH(DG$1,  Feature_List!$A$1:$AM$1,0),0)=AY229,".","NO"))</f>
        <v>.</v>
      </c>
      <c r="DH229" s="136" t="str">
        <f>IF($D229&lt;&gt;"Feature",".",
IF(VLOOKUP($B229,Feature_List!$A:$AM,MATCH(DH$1,  Feature_List!$A$1:$AM$1,0),0)=AZ229,".","NO"))</f>
        <v>.</v>
      </c>
      <c r="DI229" s="136" t="str">
        <f>IF($D229&lt;&gt;"Feature",".",
IF(VLOOKUP($B229,Feature_List!$A:$AM,MATCH(DI$1,  Feature_List!$A$1:$AM$1,0),0)=BA229,".","NO"))</f>
        <v>.</v>
      </c>
      <c r="DJ229" s="136" t="str">
        <f>IF($D229&lt;&gt;"Feature",".",
IF(VLOOKUP($B229,Feature_List!$A:$AM,MATCH(DJ$1,  Feature_List!$A$1:$AM$1,0),0)=BB229,".","NO"))</f>
        <v>.</v>
      </c>
      <c r="DK229" s="136"/>
      <c r="DL229" s="136"/>
      <c r="DM229" s="136"/>
      <c r="DN229" s="136" t="str">
        <f>IF($D229&lt;&gt;"Feature",".",
IF(VLOOKUP($B229,Feature_List!$A:$AM,MATCH(DN$1,  Feature_List!$A$1:$AM$1,0),0)=BC229,".","NO"))</f>
        <v>.</v>
      </c>
      <c r="DO229" s="136" t="str">
        <f>IF($D229&lt;&gt;"Feature",".",
IF(VLOOKUP($B229,Feature_List!$A:$AM,MATCH(DO$1,  Feature_List!$A$1:$AM$1,0),0)=BD229,".","NO"))</f>
        <v>.</v>
      </c>
    </row>
    <row r="230" spans="2:119" x14ac:dyDescent="0.3">
      <c r="B230" s="121"/>
      <c r="C230" s="123"/>
      <c r="D230" s="122"/>
      <c r="E230" s="122"/>
      <c r="F230" s="123"/>
      <c r="G230" s="123"/>
      <c r="H230" s="122"/>
      <c r="I230" s="124"/>
      <c r="J230" s="123"/>
      <c r="K230" s="123"/>
      <c r="L230" s="122"/>
      <c r="M230" s="122"/>
      <c r="N230" s="122"/>
      <c r="O230" s="123">
        <f t="shared" si="112"/>
        <v>0</v>
      </c>
      <c r="P230" s="123">
        <f t="shared" si="113"/>
        <v>0</v>
      </c>
      <c r="Q230" s="122" t="str">
        <f t="shared" si="135"/>
        <v>ZeroEntry</v>
      </c>
      <c r="R230" s="126" t="str">
        <f t="shared" si="114"/>
        <v>ZeroEntry</v>
      </c>
      <c r="S230" s="127" t="str">
        <f t="shared" si="115"/>
        <v>ZeroEntry</v>
      </c>
      <c r="T230" s="128" t="str">
        <f>IF($Q230="ZeroEntry", "",VLOOKUP($I230,'Ranking Lookup'!#REF!,2,FALSE))</f>
        <v/>
      </c>
      <c r="U230" s="129" t="str">
        <f t="shared" si="116"/>
        <v/>
      </c>
      <c r="V230" s="129" t="str">
        <f t="shared" si="117"/>
        <v/>
      </c>
      <c r="W230" s="129" t="str">
        <f t="shared" si="118"/>
        <v/>
      </c>
      <c r="X230" s="129" t="str">
        <f t="shared" si="119"/>
        <v/>
      </c>
      <c r="Y230" s="129" t="str">
        <f t="shared" si="120"/>
        <v/>
      </c>
      <c r="Z230" s="129" t="str">
        <f t="shared" si="121"/>
        <v/>
      </c>
      <c r="AA230" s="130"/>
      <c r="AB230" s="130" t="str">
        <f t="shared" si="122"/>
        <v>Unassigned</v>
      </c>
      <c r="AC230" s="131" t="str">
        <f t="shared" si="136"/>
        <v/>
      </c>
      <c r="AD230" s="131" t="str">
        <f t="shared" si="137"/>
        <v/>
      </c>
      <c r="AE230" s="132">
        <f t="shared" si="123"/>
        <v>0</v>
      </c>
      <c r="AF230" s="133" t="str">
        <f t="shared" si="138"/>
        <v/>
      </c>
      <c r="AG230" s="134">
        <f t="shared" si="124"/>
        <v>0</v>
      </c>
      <c r="AH230" s="54" t="str">
        <f t="shared" si="125"/>
        <v/>
      </c>
      <c r="AI230" s="54" t="str">
        <f t="shared" si="145"/>
        <v/>
      </c>
      <c r="AJ230" s="54" t="str">
        <f t="shared" si="145"/>
        <v/>
      </c>
      <c r="AK230" s="54" t="str">
        <f t="shared" si="145"/>
        <v/>
      </c>
      <c r="AL230" s="54" t="str">
        <f t="shared" si="145"/>
        <v/>
      </c>
      <c r="AM230" s="54" t="str">
        <f t="shared" si="145"/>
        <v/>
      </c>
      <c r="AN230" s="54" t="str">
        <f t="shared" si="145"/>
        <v/>
      </c>
      <c r="AO230" s="54" t="str">
        <f t="shared" si="145"/>
        <v/>
      </c>
      <c r="AP230" s="54" t="str">
        <f t="shared" si="145"/>
        <v/>
      </c>
      <c r="AQ230" s="54" t="str">
        <f t="shared" si="145"/>
        <v/>
      </c>
      <c r="AR230" s="54" t="str">
        <f t="shared" si="145"/>
        <v/>
      </c>
      <c r="AS230" s="54" t="str">
        <f t="shared" si="145"/>
        <v/>
      </c>
      <c r="AT230" s="54" t="str">
        <f t="shared" si="145"/>
        <v/>
      </c>
      <c r="AU230" s="54" t="str">
        <f t="shared" si="145"/>
        <v/>
      </c>
      <c r="AV230" s="54" t="str">
        <f t="shared" si="145"/>
        <v/>
      </c>
      <c r="AW230" s="54" t="str">
        <f t="shared" si="145"/>
        <v/>
      </c>
      <c r="AX230" s="54" t="str">
        <f t="shared" si="145"/>
        <v/>
      </c>
      <c r="AY230" s="54" t="str">
        <f t="shared" si="139"/>
        <v/>
      </c>
      <c r="AZ230" s="54" t="str">
        <f t="shared" si="128"/>
        <v/>
      </c>
      <c r="BA230" s="54" t="str">
        <f t="shared" si="129"/>
        <v/>
      </c>
      <c r="BB230" s="135" t="str">
        <f t="shared" si="130"/>
        <v/>
      </c>
      <c r="BC230" s="54" t="str">
        <f t="shared" si="143"/>
        <v/>
      </c>
      <c r="BD230" s="54" t="str">
        <f t="shared" si="143"/>
        <v/>
      </c>
      <c r="BE230" s="54" t="str">
        <f t="shared" si="143"/>
        <v/>
      </c>
      <c r="BF230" s="54" t="str">
        <f t="shared" si="131"/>
        <v/>
      </c>
      <c r="BG230" s="54" t="str">
        <f t="shared" si="132"/>
        <v/>
      </c>
      <c r="BH230" s="34" t="str">
        <f t="shared" si="133"/>
        <v>Bad</v>
      </c>
      <c r="BI230" s="34" t="str">
        <f t="shared" si="134"/>
        <v>No</v>
      </c>
      <c r="BJ230" s="136" t="str">
        <f>IF($D230&lt;&gt;"Feature",".",
IF(VLOOKUP($B230,Feature_List!$A:$AM,MATCH(BJ$1,  Feature_List!$A$1:$AM$1,0),0)=B230,".","NO"))</f>
        <v>.</v>
      </c>
      <c r="BK230" s="136"/>
      <c r="BL230" s="136"/>
      <c r="BM230" s="136" t="str">
        <f>IF($D230&lt;&gt;"Feature",".",
IF(VLOOKUP($B230,Feature_List!$A:$AM,MATCH(BM$1,  Feature_List!$A$1:$AM$1,0),0)=E230,".","NO"))</f>
        <v>.</v>
      </c>
      <c r="BN230" s="136" t="str">
        <f>IF($D230&lt;&gt;"Feature",".",
IF(VLOOKUP($B230,Feature_List!$A:$AM,MATCH(BN$1,  Feature_List!$A$1:$AM$1,0),0)=F230,".","NO"))</f>
        <v>.</v>
      </c>
      <c r="BO230" s="136" t="str">
        <f>IF($D230&lt;&gt;"Feature",".",
IF(VLOOKUP($B230,Feature_List!$A:$AM,MATCH(BO$1,  Feature_List!$A$1:$AM$1,0),0)=G230,".","NO"))</f>
        <v>.</v>
      </c>
      <c r="BP230" s="136" t="str">
        <f>IF($D230&lt;&gt;"Feature",".",
IF(VLOOKUP($B230,Feature_List!$A:$AM,MATCH(BP$1,  Feature_List!$A$1:$AM$1,0),0)=H230,".","NO"))</f>
        <v>.</v>
      </c>
      <c r="BQ230" s="136"/>
      <c r="BR230" s="136" t="str">
        <f>IF($D230&lt;&gt;"Feature",".",
IF(VLOOKUP($B230,Feature_List!$A:$AM,MATCH(BR$1,  Feature_List!$A$1:$AM$1,0),0)=J230,".","NO"))</f>
        <v>.</v>
      </c>
      <c r="BS230" s="136"/>
      <c r="BT230" s="136"/>
      <c r="BU230" s="136" t="str">
        <f>IF($D230&lt;&gt;"Feature",".",
IF(VLOOKUP($B230,Feature_List!$A:$AM,MATCH(BU$1,  Feature_List!$A$1:$AM$1,0),0)=M230,".","NO"))</f>
        <v>.</v>
      </c>
      <c r="BV230" s="136" t="str">
        <f>IF($D230&lt;&gt;"Feature",".",
IF(VLOOKUP($B230,Feature_List!$A:$AM,MATCH(BV$1,  Feature_List!$A$1:$AM$1,0),0)=N230,".","NO"))</f>
        <v>.</v>
      </c>
      <c r="BW230" s="136"/>
      <c r="BX230" s="136"/>
      <c r="BY230" s="136"/>
      <c r="BZ230" s="136"/>
      <c r="CA230" s="136"/>
      <c r="CB230" s="136" t="str">
        <f>IF($D230&lt;&gt;"Feature",".",
IF(VLOOKUP($B230,Feature_List!$A:$AM,MATCH(CB$1,  Feature_List!$A$1:$AM$1,0),0)=T230,".","NO"))</f>
        <v>.</v>
      </c>
      <c r="CC230" s="136"/>
      <c r="CD230" s="136"/>
      <c r="CE230" s="136"/>
      <c r="CF230" s="136"/>
      <c r="CG230" s="136"/>
      <c r="CH230" s="136"/>
      <c r="CI230" s="136"/>
      <c r="CJ230" s="136"/>
      <c r="CK230" s="136"/>
      <c r="CL230" s="136"/>
      <c r="CM230" s="136"/>
      <c r="CN230" s="136"/>
      <c r="CO230" s="136" t="str">
        <f>IF($D230&lt;&gt;"Feature",".",
IF(VLOOKUP($B230,Feature_List!$A:$AM,MATCH(CO$1,  Feature_List!$A$1:$AM$1,0),0)=AG230,".","NO"))</f>
        <v>.</v>
      </c>
      <c r="CP230" s="136" t="str">
        <f>IF($D230&lt;&gt;"Feature",".",
IF(VLOOKUP($B230,Feature_List!$A:$AM,MATCH(CP$1,  Feature_List!$A$1:$AM$1,0),0)=AH230,".","NO"))</f>
        <v>.</v>
      </c>
      <c r="CQ230" s="136" t="str">
        <f>IF($D230&lt;&gt;"Feature",".",
IF(VLOOKUP($B230,Feature_List!$A:$AM,MATCH(CQ$1,  Feature_List!$A$1:$AM$1,0),0)=AI230,".","NO"))</f>
        <v>.</v>
      </c>
      <c r="CR230" s="136" t="str">
        <f>IF($D230&lt;&gt;"Feature",".",
IF(VLOOKUP($B230,Feature_List!$A:$AM,MATCH(CR$1,  Feature_List!$A$1:$AM$1,0),0)=AJ230,".","NO"))</f>
        <v>.</v>
      </c>
      <c r="CS230" s="136" t="str">
        <f>IF($D230&lt;&gt;"Feature",".",
IF(VLOOKUP($B230,Feature_List!$A:$AM,MATCH(CS$1,  Feature_List!$A$1:$AM$1,0),0)=AK230,".","NO"))</f>
        <v>.</v>
      </c>
      <c r="CT230" s="136" t="str">
        <f>IF($D230&lt;&gt;"Feature",".",
IF(VLOOKUP($B230,Feature_List!$A:$AM,MATCH(CT$1,  Feature_List!$A$1:$AM$1,0),0)=AL230,".","NO"))</f>
        <v>.</v>
      </c>
      <c r="CU230" s="136" t="str">
        <f>IF($D230&lt;&gt;"Feature",".",
IF(VLOOKUP($B230,Feature_List!$A:$AM,MATCH(CU$1,  Feature_List!$A$1:$AM$1,0),0)=AM230,".","NO"))</f>
        <v>.</v>
      </c>
      <c r="CV230" s="136" t="str">
        <f>IF($D230&lt;&gt;"Feature",".",
IF(VLOOKUP($B230,Feature_List!$A:$AM,MATCH(CV$1,  Feature_List!$A$1:$AM$1,0),0)=AN230,".","NO"))</f>
        <v>.</v>
      </c>
      <c r="CW230" s="136" t="str">
        <f>IF($D230&lt;&gt;"Feature",".",
IF(VLOOKUP($B230,Feature_List!$A:$AM,MATCH(CW$1,  Feature_List!$A$1:$AM$1,0),0)=AO230,".","NO"))</f>
        <v>.</v>
      </c>
      <c r="CX230" s="136" t="str">
        <f>IF($D230&lt;&gt;"Feature",".",
IF(VLOOKUP($B230,Feature_List!$A:$AM,MATCH(CX$1,  Feature_List!$A$1:$AM$1,0),0)=AP230,".","NO"))</f>
        <v>.</v>
      </c>
      <c r="CY230" s="136" t="str">
        <f>IF($D230&lt;&gt;"Feature",".",
IF(VLOOKUP($B230,Feature_List!$A:$AM,MATCH(CY$1,  Feature_List!$A$1:$AM$1,0),0)=AQ230,".","NO"))</f>
        <v>.</v>
      </c>
      <c r="CZ230" s="136" t="str">
        <f>IF($D230&lt;&gt;"Feature",".",
IF(VLOOKUP($B230,Feature_List!$A:$AM,MATCH(CZ$1,  Feature_List!$A$1:$AM$1,0),0)=AR230,".","NO"))</f>
        <v>.</v>
      </c>
      <c r="DA230" s="136" t="str">
        <f>IF($D230&lt;&gt;"Feature",".",
IF(VLOOKUP($B230,Feature_List!$A:$AM,MATCH(DA$1,  Feature_List!$A$1:$AM$1,0),0)=AS230,".","NO"))</f>
        <v>.</v>
      </c>
      <c r="DB230" s="136" t="str">
        <f>IF($D230&lt;&gt;"Feature",".",
IF(VLOOKUP($B230,Feature_List!$A:$AM,MATCH(DB$1,  Feature_List!$A$1:$AM$1,0),0)=AT230,".","NO"))</f>
        <v>.</v>
      </c>
      <c r="DC230" s="136" t="str">
        <f>IF($D230&lt;&gt;"Feature",".",
IF(VLOOKUP($B230,Feature_List!$A:$AM,MATCH(DC$1,  Feature_List!$A$1:$AM$1,0),0)=AU230,".","NO"))</f>
        <v>.</v>
      </c>
      <c r="DD230" s="136" t="str">
        <f>IF($D230&lt;&gt;"Feature",".",
IF(VLOOKUP($B230,Feature_List!$A:$AM,MATCH(DD$1,  Feature_List!$A$1:$AM$1,0),0)=AV230,".","NO"))</f>
        <v>.</v>
      </c>
      <c r="DE230" s="136" t="str">
        <f>IF($D230&lt;&gt;"Feature",".",
IF(VLOOKUP($B230,Feature_List!$A:$AM,MATCH(DE$1,  Feature_List!$A$1:$AM$1,0),0)=AW230,".","NO"))</f>
        <v>.</v>
      </c>
      <c r="DF230" s="136" t="str">
        <f>IF($D230&lt;&gt;"Feature",".",
IF(VLOOKUP($B230,Feature_List!$A:$AM,MATCH(DF$1,  Feature_List!$A$1:$AM$1,0),0)=AX230,".","NO"))</f>
        <v>.</v>
      </c>
      <c r="DG230" s="136" t="str">
        <f>IF($D230&lt;&gt;"Feature",".",
IF(VLOOKUP($B230,Feature_List!$A:$AM,MATCH(DG$1,  Feature_List!$A$1:$AM$1,0),0)=AY230,".","NO"))</f>
        <v>.</v>
      </c>
      <c r="DH230" s="136" t="str">
        <f>IF($D230&lt;&gt;"Feature",".",
IF(VLOOKUP($B230,Feature_List!$A:$AM,MATCH(DH$1,  Feature_List!$A$1:$AM$1,0),0)=AZ230,".","NO"))</f>
        <v>.</v>
      </c>
      <c r="DI230" s="136" t="str">
        <f>IF($D230&lt;&gt;"Feature",".",
IF(VLOOKUP($B230,Feature_List!$A:$AM,MATCH(DI$1,  Feature_List!$A$1:$AM$1,0),0)=BA230,".","NO"))</f>
        <v>.</v>
      </c>
      <c r="DJ230" s="136" t="str">
        <f>IF($D230&lt;&gt;"Feature",".",
IF(VLOOKUP($B230,Feature_List!$A:$AM,MATCH(DJ$1,  Feature_List!$A$1:$AM$1,0),0)=BB230,".","NO"))</f>
        <v>.</v>
      </c>
      <c r="DK230" s="136"/>
      <c r="DL230" s="136"/>
      <c r="DM230" s="136"/>
      <c r="DN230" s="136" t="str">
        <f>IF($D230&lt;&gt;"Feature",".",
IF(VLOOKUP($B230,Feature_List!$A:$AM,MATCH(DN$1,  Feature_List!$A$1:$AM$1,0),0)=BC230,".","NO"))</f>
        <v>.</v>
      </c>
      <c r="DO230" s="136" t="str">
        <f>IF($D230&lt;&gt;"Feature",".",
IF(VLOOKUP($B230,Feature_List!$A:$AM,MATCH(DO$1,  Feature_List!$A$1:$AM$1,0),0)=BD230,".","NO"))</f>
        <v>.</v>
      </c>
    </row>
    <row r="231" spans="2:119" x14ac:dyDescent="0.3">
      <c r="B231" s="121"/>
      <c r="C231" s="122"/>
      <c r="D231" s="122"/>
      <c r="E231" s="122"/>
      <c r="F231" s="123"/>
      <c r="G231" s="123"/>
      <c r="H231" s="122"/>
      <c r="I231" s="124"/>
      <c r="J231" s="123"/>
      <c r="K231" s="123"/>
      <c r="L231" s="122"/>
      <c r="M231" s="122"/>
      <c r="N231" s="122"/>
      <c r="O231" s="123">
        <f t="shared" si="112"/>
        <v>0</v>
      </c>
      <c r="P231" s="123">
        <f t="shared" si="113"/>
        <v>0</v>
      </c>
      <c r="Q231" s="122" t="str">
        <f t="shared" si="135"/>
        <v>ZeroEntry</v>
      </c>
      <c r="R231" s="126" t="str">
        <f t="shared" si="114"/>
        <v>ZeroEntry</v>
      </c>
      <c r="S231" s="127" t="str">
        <f t="shared" si="115"/>
        <v>ZeroEntry</v>
      </c>
      <c r="T231" s="128" t="str">
        <f>IF($Q231="ZeroEntry", "",VLOOKUP($I231,'Ranking Lookup'!#REF!,2,FALSE))</f>
        <v/>
      </c>
      <c r="U231" s="129" t="str">
        <f t="shared" si="116"/>
        <v/>
      </c>
      <c r="V231" s="129" t="str">
        <f t="shared" si="117"/>
        <v/>
      </c>
      <c r="W231" s="129" t="str">
        <f t="shared" si="118"/>
        <v/>
      </c>
      <c r="X231" s="129" t="str">
        <f t="shared" si="119"/>
        <v/>
      </c>
      <c r="Y231" s="129" t="str">
        <f t="shared" si="120"/>
        <v/>
      </c>
      <c r="Z231" s="129" t="str">
        <f t="shared" si="121"/>
        <v/>
      </c>
      <c r="AA231" s="130"/>
      <c r="AB231" s="130" t="str">
        <f t="shared" si="122"/>
        <v>Unassigned</v>
      </c>
      <c r="AC231" s="131" t="str">
        <f t="shared" si="136"/>
        <v/>
      </c>
      <c r="AD231" s="131" t="str">
        <f t="shared" si="137"/>
        <v/>
      </c>
      <c r="AE231" s="132">
        <f t="shared" si="123"/>
        <v>0</v>
      </c>
      <c r="AF231" s="133" t="str">
        <f t="shared" si="138"/>
        <v/>
      </c>
      <c r="AG231" s="134">
        <f t="shared" si="124"/>
        <v>0</v>
      </c>
      <c r="AH231" s="54" t="str">
        <f t="shared" si="125"/>
        <v/>
      </c>
      <c r="AI231" s="54" t="str">
        <f t="shared" si="145"/>
        <v/>
      </c>
      <c r="AJ231" s="54" t="str">
        <f t="shared" si="145"/>
        <v/>
      </c>
      <c r="AK231" s="54" t="str">
        <f t="shared" si="145"/>
        <v/>
      </c>
      <c r="AL231" s="54" t="str">
        <f t="shared" si="145"/>
        <v/>
      </c>
      <c r="AM231" s="54" t="str">
        <f t="shared" si="145"/>
        <v/>
      </c>
      <c r="AN231" s="54" t="str">
        <f t="shared" si="145"/>
        <v/>
      </c>
      <c r="AO231" s="54" t="str">
        <f t="shared" si="145"/>
        <v/>
      </c>
      <c r="AP231" s="54" t="str">
        <f t="shared" si="145"/>
        <v/>
      </c>
      <c r="AQ231" s="54" t="str">
        <f t="shared" si="145"/>
        <v/>
      </c>
      <c r="AR231" s="54" t="str">
        <f t="shared" si="145"/>
        <v/>
      </c>
      <c r="AS231" s="54" t="str">
        <f t="shared" si="145"/>
        <v/>
      </c>
      <c r="AT231" s="54" t="str">
        <f t="shared" si="145"/>
        <v/>
      </c>
      <c r="AU231" s="54" t="str">
        <f t="shared" si="145"/>
        <v/>
      </c>
      <c r="AV231" s="54" t="str">
        <f t="shared" si="145"/>
        <v/>
      </c>
      <c r="AW231" s="54" t="str">
        <f t="shared" si="145"/>
        <v/>
      </c>
      <c r="AX231" s="54" t="str">
        <f t="shared" si="145"/>
        <v/>
      </c>
      <c r="AY231" s="54" t="str">
        <f t="shared" si="139"/>
        <v/>
      </c>
      <c r="AZ231" s="54" t="str">
        <f t="shared" si="128"/>
        <v/>
      </c>
      <c r="BA231" s="54" t="str">
        <f t="shared" si="129"/>
        <v/>
      </c>
      <c r="BB231" s="135" t="str">
        <f t="shared" si="130"/>
        <v/>
      </c>
      <c r="BC231" s="54" t="str">
        <f t="shared" si="143"/>
        <v/>
      </c>
      <c r="BD231" s="54" t="str">
        <f t="shared" si="143"/>
        <v/>
      </c>
      <c r="BE231" s="54" t="str">
        <f t="shared" si="143"/>
        <v/>
      </c>
      <c r="BF231" s="54" t="str">
        <f t="shared" si="131"/>
        <v/>
      </c>
      <c r="BG231" s="54" t="str">
        <f t="shared" si="132"/>
        <v/>
      </c>
      <c r="BH231" s="34" t="str">
        <f t="shared" si="133"/>
        <v>Bad</v>
      </c>
      <c r="BI231" s="34" t="str">
        <f t="shared" si="134"/>
        <v>No</v>
      </c>
      <c r="BJ231" s="136" t="str">
        <f>IF($D231&lt;&gt;"Feature",".",
IF(VLOOKUP($B231,Feature_List!$A:$AM,MATCH(BJ$1,  Feature_List!$A$1:$AM$1,0),0)=B231,".","NO"))</f>
        <v>.</v>
      </c>
      <c r="BK231" s="136"/>
      <c r="BL231" s="136"/>
      <c r="BM231" s="136" t="str">
        <f>IF($D231&lt;&gt;"Feature",".",
IF(VLOOKUP($B231,Feature_List!$A:$AM,MATCH(BM$1,  Feature_List!$A$1:$AM$1,0),0)=E231,".","NO"))</f>
        <v>.</v>
      </c>
      <c r="BN231" s="136" t="str">
        <f>IF($D231&lt;&gt;"Feature",".",
IF(VLOOKUP($B231,Feature_List!$A:$AM,MATCH(BN$1,  Feature_List!$A$1:$AM$1,0),0)=F231,".","NO"))</f>
        <v>.</v>
      </c>
      <c r="BO231" s="136" t="str">
        <f>IF($D231&lt;&gt;"Feature",".",
IF(VLOOKUP($B231,Feature_List!$A:$AM,MATCH(BO$1,  Feature_List!$A$1:$AM$1,0),0)=G231,".","NO"))</f>
        <v>.</v>
      </c>
      <c r="BP231" s="136" t="str">
        <f>IF($D231&lt;&gt;"Feature",".",
IF(VLOOKUP($B231,Feature_List!$A:$AM,MATCH(BP$1,  Feature_List!$A$1:$AM$1,0),0)=H231,".","NO"))</f>
        <v>.</v>
      </c>
      <c r="BQ231" s="136"/>
      <c r="BR231" s="136" t="str">
        <f>IF($D231&lt;&gt;"Feature",".",
IF(VLOOKUP($B231,Feature_List!$A:$AM,MATCH(BR$1,  Feature_List!$A$1:$AM$1,0),0)=J231,".","NO"))</f>
        <v>.</v>
      </c>
      <c r="BS231" s="136"/>
      <c r="BT231" s="136"/>
      <c r="BU231" s="136" t="str">
        <f>IF($D231&lt;&gt;"Feature",".",
IF(VLOOKUP($B231,Feature_List!$A:$AM,MATCH(BU$1,  Feature_List!$A$1:$AM$1,0),0)=M231,".","NO"))</f>
        <v>.</v>
      </c>
      <c r="BV231" s="136" t="str">
        <f>IF($D231&lt;&gt;"Feature",".",
IF(VLOOKUP($B231,Feature_List!$A:$AM,MATCH(BV$1,  Feature_List!$A$1:$AM$1,0),0)=N231,".","NO"))</f>
        <v>.</v>
      </c>
      <c r="BW231" s="136"/>
      <c r="BX231" s="136"/>
      <c r="BY231" s="136"/>
      <c r="BZ231" s="136"/>
      <c r="CA231" s="136"/>
      <c r="CB231" s="136" t="str">
        <f>IF($D231&lt;&gt;"Feature",".",
IF(VLOOKUP($B231,Feature_List!$A:$AM,MATCH(CB$1,  Feature_List!$A$1:$AM$1,0),0)=T231,".","NO"))</f>
        <v>.</v>
      </c>
      <c r="CC231" s="136"/>
      <c r="CD231" s="136"/>
      <c r="CE231" s="136"/>
      <c r="CF231" s="136"/>
      <c r="CG231" s="136"/>
      <c r="CH231" s="136"/>
      <c r="CI231" s="136"/>
      <c r="CJ231" s="136"/>
      <c r="CK231" s="136"/>
      <c r="CL231" s="136"/>
      <c r="CM231" s="136"/>
      <c r="CN231" s="136"/>
      <c r="CO231" s="136" t="str">
        <f>IF($D231&lt;&gt;"Feature",".",
IF(VLOOKUP($B231,Feature_List!$A:$AM,MATCH(CO$1,  Feature_List!$A$1:$AM$1,0),0)=AG231,".","NO"))</f>
        <v>.</v>
      </c>
      <c r="CP231" s="136" t="str">
        <f>IF($D231&lt;&gt;"Feature",".",
IF(VLOOKUP($B231,Feature_List!$A:$AM,MATCH(CP$1,  Feature_List!$A$1:$AM$1,0),0)=AH231,".","NO"))</f>
        <v>.</v>
      </c>
      <c r="CQ231" s="136" t="str">
        <f>IF($D231&lt;&gt;"Feature",".",
IF(VLOOKUP($B231,Feature_List!$A:$AM,MATCH(CQ$1,  Feature_List!$A$1:$AM$1,0),0)=AI231,".","NO"))</f>
        <v>.</v>
      </c>
      <c r="CR231" s="136" t="str">
        <f>IF($D231&lt;&gt;"Feature",".",
IF(VLOOKUP($B231,Feature_List!$A:$AM,MATCH(CR$1,  Feature_List!$A$1:$AM$1,0),0)=AJ231,".","NO"))</f>
        <v>.</v>
      </c>
      <c r="CS231" s="136" t="str">
        <f>IF($D231&lt;&gt;"Feature",".",
IF(VLOOKUP($B231,Feature_List!$A:$AM,MATCH(CS$1,  Feature_List!$A$1:$AM$1,0),0)=AK231,".","NO"))</f>
        <v>.</v>
      </c>
      <c r="CT231" s="136" t="str">
        <f>IF($D231&lt;&gt;"Feature",".",
IF(VLOOKUP($B231,Feature_List!$A:$AM,MATCH(CT$1,  Feature_List!$A$1:$AM$1,0),0)=AL231,".","NO"))</f>
        <v>.</v>
      </c>
      <c r="CU231" s="136" t="str">
        <f>IF($D231&lt;&gt;"Feature",".",
IF(VLOOKUP($B231,Feature_List!$A:$AM,MATCH(CU$1,  Feature_List!$A$1:$AM$1,0),0)=AM231,".","NO"))</f>
        <v>.</v>
      </c>
      <c r="CV231" s="136" t="str">
        <f>IF($D231&lt;&gt;"Feature",".",
IF(VLOOKUP($B231,Feature_List!$A:$AM,MATCH(CV$1,  Feature_List!$A$1:$AM$1,0),0)=AN231,".","NO"))</f>
        <v>.</v>
      </c>
      <c r="CW231" s="136" t="str">
        <f>IF($D231&lt;&gt;"Feature",".",
IF(VLOOKUP($B231,Feature_List!$A:$AM,MATCH(CW$1,  Feature_List!$A$1:$AM$1,0),0)=AO231,".","NO"))</f>
        <v>.</v>
      </c>
      <c r="CX231" s="136" t="str">
        <f>IF($D231&lt;&gt;"Feature",".",
IF(VLOOKUP($B231,Feature_List!$A:$AM,MATCH(CX$1,  Feature_List!$A$1:$AM$1,0),0)=AP231,".","NO"))</f>
        <v>.</v>
      </c>
      <c r="CY231" s="136" t="str">
        <f>IF($D231&lt;&gt;"Feature",".",
IF(VLOOKUP($B231,Feature_List!$A:$AM,MATCH(CY$1,  Feature_List!$A$1:$AM$1,0),0)=AQ231,".","NO"))</f>
        <v>.</v>
      </c>
      <c r="CZ231" s="136" t="str">
        <f>IF($D231&lt;&gt;"Feature",".",
IF(VLOOKUP($B231,Feature_List!$A:$AM,MATCH(CZ$1,  Feature_List!$A$1:$AM$1,0),0)=AR231,".","NO"))</f>
        <v>.</v>
      </c>
      <c r="DA231" s="136" t="str">
        <f>IF($D231&lt;&gt;"Feature",".",
IF(VLOOKUP($B231,Feature_List!$A:$AM,MATCH(DA$1,  Feature_List!$A$1:$AM$1,0),0)=AS231,".","NO"))</f>
        <v>.</v>
      </c>
      <c r="DB231" s="136" t="str">
        <f>IF($D231&lt;&gt;"Feature",".",
IF(VLOOKUP($B231,Feature_List!$A:$AM,MATCH(DB$1,  Feature_List!$A$1:$AM$1,0),0)=AT231,".","NO"))</f>
        <v>.</v>
      </c>
      <c r="DC231" s="136" t="str">
        <f>IF($D231&lt;&gt;"Feature",".",
IF(VLOOKUP($B231,Feature_List!$A:$AM,MATCH(DC$1,  Feature_List!$A$1:$AM$1,0),0)=AU231,".","NO"))</f>
        <v>.</v>
      </c>
      <c r="DD231" s="136" t="str">
        <f>IF($D231&lt;&gt;"Feature",".",
IF(VLOOKUP($B231,Feature_List!$A:$AM,MATCH(DD$1,  Feature_List!$A$1:$AM$1,0),0)=AV231,".","NO"))</f>
        <v>.</v>
      </c>
      <c r="DE231" s="136" t="str">
        <f>IF($D231&lt;&gt;"Feature",".",
IF(VLOOKUP($B231,Feature_List!$A:$AM,MATCH(DE$1,  Feature_List!$A$1:$AM$1,0),0)=AW231,".","NO"))</f>
        <v>.</v>
      </c>
      <c r="DF231" s="136" t="str">
        <f>IF($D231&lt;&gt;"Feature",".",
IF(VLOOKUP($B231,Feature_List!$A:$AM,MATCH(DF$1,  Feature_List!$A$1:$AM$1,0),0)=AX231,".","NO"))</f>
        <v>.</v>
      </c>
      <c r="DG231" s="136" t="str">
        <f>IF($D231&lt;&gt;"Feature",".",
IF(VLOOKUP($B231,Feature_List!$A:$AM,MATCH(DG$1,  Feature_List!$A$1:$AM$1,0),0)=AY231,".","NO"))</f>
        <v>.</v>
      </c>
      <c r="DH231" s="136" t="str">
        <f>IF($D231&lt;&gt;"Feature",".",
IF(VLOOKUP($B231,Feature_List!$A:$AM,MATCH(DH$1,  Feature_List!$A$1:$AM$1,0),0)=AZ231,".","NO"))</f>
        <v>.</v>
      </c>
      <c r="DI231" s="136" t="str">
        <f>IF($D231&lt;&gt;"Feature",".",
IF(VLOOKUP($B231,Feature_List!$A:$AM,MATCH(DI$1,  Feature_List!$A$1:$AM$1,0),0)=BA231,".","NO"))</f>
        <v>.</v>
      </c>
      <c r="DJ231" s="136" t="str">
        <f>IF($D231&lt;&gt;"Feature",".",
IF(VLOOKUP($B231,Feature_List!$A:$AM,MATCH(DJ$1,  Feature_List!$A$1:$AM$1,0),0)=BB231,".","NO"))</f>
        <v>.</v>
      </c>
      <c r="DK231" s="136"/>
      <c r="DL231" s="136"/>
      <c r="DM231" s="136"/>
      <c r="DN231" s="136" t="str">
        <f>IF($D231&lt;&gt;"Feature",".",
IF(VLOOKUP($B231,Feature_List!$A:$AM,MATCH(DN$1,  Feature_List!$A$1:$AM$1,0),0)=BC231,".","NO"))</f>
        <v>.</v>
      </c>
      <c r="DO231" s="136" t="str">
        <f>IF($D231&lt;&gt;"Feature",".",
IF(VLOOKUP($B231,Feature_List!$A:$AM,MATCH(DO$1,  Feature_List!$A$1:$AM$1,0),0)=BD231,".","NO"))</f>
        <v>.</v>
      </c>
    </row>
    <row r="232" spans="2:119" x14ac:dyDescent="0.3">
      <c r="B232" s="121"/>
      <c r="C232" s="123"/>
      <c r="D232" s="122"/>
      <c r="E232" s="122"/>
      <c r="F232" s="123"/>
      <c r="G232" s="123"/>
      <c r="H232" s="122"/>
      <c r="I232" s="124"/>
      <c r="J232" s="123"/>
      <c r="K232" s="123"/>
      <c r="L232" s="122"/>
      <c r="M232" s="122"/>
      <c r="N232" s="122"/>
      <c r="O232" s="123">
        <f t="shared" si="112"/>
        <v>0</v>
      </c>
      <c r="P232" s="123">
        <f t="shared" si="113"/>
        <v>0</v>
      </c>
      <c r="Q232" s="122" t="str">
        <f t="shared" si="135"/>
        <v>ZeroEntry</v>
      </c>
      <c r="R232" s="126" t="str">
        <f t="shared" si="114"/>
        <v>ZeroEntry</v>
      </c>
      <c r="S232" s="127" t="str">
        <f t="shared" si="115"/>
        <v>ZeroEntry</v>
      </c>
      <c r="T232" s="128" t="str">
        <f>IF($Q232="ZeroEntry", "",VLOOKUP($I232,'Ranking Lookup'!#REF!,2,FALSE))</f>
        <v/>
      </c>
      <c r="U232" s="129" t="str">
        <f t="shared" si="116"/>
        <v/>
      </c>
      <c r="V232" s="129" t="str">
        <f t="shared" si="117"/>
        <v/>
      </c>
      <c r="W232" s="129" t="str">
        <f t="shared" si="118"/>
        <v/>
      </c>
      <c r="X232" s="129" t="str">
        <f t="shared" si="119"/>
        <v/>
      </c>
      <c r="Y232" s="129" t="str">
        <f t="shared" si="120"/>
        <v/>
      </c>
      <c r="Z232" s="129" t="str">
        <f t="shared" si="121"/>
        <v/>
      </c>
      <c r="AA232" s="130"/>
      <c r="AB232" s="130" t="str">
        <f t="shared" si="122"/>
        <v>Unassigned</v>
      </c>
      <c r="AC232" s="131" t="str">
        <f t="shared" si="136"/>
        <v/>
      </c>
      <c r="AD232" s="131" t="str">
        <f t="shared" si="137"/>
        <v/>
      </c>
      <c r="AE232" s="132">
        <f t="shared" si="123"/>
        <v>0</v>
      </c>
      <c r="AF232" s="133" t="str">
        <f t="shared" si="138"/>
        <v/>
      </c>
      <c r="AG232" s="134">
        <f t="shared" si="124"/>
        <v>0</v>
      </c>
      <c r="AH232" s="54" t="str">
        <f t="shared" si="125"/>
        <v/>
      </c>
      <c r="AI232" s="54" t="str">
        <f t="shared" si="145"/>
        <v/>
      </c>
      <c r="AJ232" s="54" t="str">
        <f t="shared" si="145"/>
        <v/>
      </c>
      <c r="AK232" s="54" t="str">
        <f t="shared" si="145"/>
        <v/>
      </c>
      <c r="AL232" s="54" t="str">
        <f t="shared" si="145"/>
        <v/>
      </c>
      <c r="AM232" s="54" t="str">
        <f t="shared" si="145"/>
        <v/>
      </c>
      <c r="AN232" s="54" t="str">
        <f t="shared" si="145"/>
        <v/>
      </c>
      <c r="AO232" s="54" t="str">
        <f t="shared" si="145"/>
        <v/>
      </c>
      <c r="AP232" s="54" t="str">
        <f t="shared" si="145"/>
        <v/>
      </c>
      <c r="AQ232" s="54" t="str">
        <f t="shared" si="145"/>
        <v/>
      </c>
      <c r="AR232" s="54" t="str">
        <f t="shared" si="145"/>
        <v/>
      </c>
      <c r="AS232" s="54" t="str">
        <f t="shared" si="145"/>
        <v/>
      </c>
      <c r="AT232" s="54" t="str">
        <f t="shared" si="145"/>
        <v/>
      </c>
      <c r="AU232" s="54" t="str">
        <f t="shared" si="145"/>
        <v/>
      </c>
      <c r="AV232" s="54" t="str">
        <f t="shared" si="145"/>
        <v/>
      </c>
      <c r="AW232" s="54" t="str">
        <f t="shared" si="145"/>
        <v/>
      </c>
      <c r="AX232" s="54" t="str">
        <f t="shared" si="145"/>
        <v/>
      </c>
      <c r="AY232" s="54" t="str">
        <f t="shared" si="139"/>
        <v/>
      </c>
      <c r="AZ232" s="54" t="str">
        <f t="shared" si="128"/>
        <v/>
      </c>
      <c r="BA232" s="54" t="str">
        <f t="shared" si="129"/>
        <v/>
      </c>
      <c r="BB232" s="135" t="str">
        <f t="shared" si="130"/>
        <v/>
      </c>
      <c r="BC232" s="54" t="str">
        <f t="shared" si="143"/>
        <v/>
      </c>
      <c r="BD232" s="54" t="str">
        <f t="shared" si="143"/>
        <v/>
      </c>
      <c r="BE232" s="54" t="str">
        <f t="shared" si="143"/>
        <v/>
      </c>
      <c r="BF232" s="54" t="str">
        <f t="shared" si="131"/>
        <v/>
      </c>
      <c r="BG232" s="54" t="str">
        <f t="shared" si="132"/>
        <v/>
      </c>
      <c r="BH232" s="34" t="str">
        <f t="shared" si="133"/>
        <v>Bad</v>
      </c>
      <c r="BI232" s="34" t="str">
        <f t="shared" si="134"/>
        <v>No</v>
      </c>
      <c r="BJ232" s="136" t="str">
        <f>IF($D232&lt;&gt;"Feature",".",
IF(VLOOKUP($B232,Feature_List!$A:$AM,MATCH(BJ$1,  Feature_List!$A$1:$AM$1,0),0)=B232,".","NO"))</f>
        <v>.</v>
      </c>
      <c r="BK232" s="136"/>
      <c r="BL232" s="136"/>
      <c r="BM232" s="136" t="str">
        <f>IF($D232&lt;&gt;"Feature",".",
IF(VLOOKUP($B232,Feature_List!$A:$AM,MATCH(BM$1,  Feature_List!$A$1:$AM$1,0),0)=E232,".","NO"))</f>
        <v>.</v>
      </c>
      <c r="BN232" s="136" t="str">
        <f>IF($D232&lt;&gt;"Feature",".",
IF(VLOOKUP($B232,Feature_List!$A:$AM,MATCH(BN$1,  Feature_List!$A$1:$AM$1,0),0)=F232,".","NO"))</f>
        <v>.</v>
      </c>
      <c r="BO232" s="136" t="str">
        <f>IF($D232&lt;&gt;"Feature",".",
IF(VLOOKUP($B232,Feature_List!$A:$AM,MATCH(BO$1,  Feature_List!$A$1:$AM$1,0),0)=G232,".","NO"))</f>
        <v>.</v>
      </c>
      <c r="BP232" s="136" t="str">
        <f>IF($D232&lt;&gt;"Feature",".",
IF(VLOOKUP($B232,Feature_List!$A:$AM,MATCH(BP$1,  Feature_List!$A$1:$AM$1,0),0)=H232,".","NO"))</f>
        <v>.</v>
      </c>
      <c r="BQ232" s="136"/>
      <c r="BR232" s="136" t="str">
        <f>IF($D232&lt;&gt;"Feature",".",
IF(VLOOKUP($B232,Feature_List!$A:$AM,MATCH(BR$1,  Feature_List!$A$1:$AM$1,0),0)=J232,".","NO"))</f>
        <v>.</v>
      </c>
      <c r="BS232" s="136"/>
      <c r="BT232" s="136"/>
      <c r="BU232" s="136" t="str">
        <f>IF($D232&lt;&gt;"Feature",".",
IF(VLOOKUP($B232,Feature_List!$A:$AM,MATCH(BU$1,  Feature_List!$A$1:$AM$1,0),0)=M232,".","NO"))</f>
        <v>.</v>
      </c>
      <c r="BV232" s="136" t="str">
        <f>IF($D232&lt;&gt;"Feature",".",
IF(VLOOKUP($B232,Feature_List!$A:$AM,MATCH(BV$1,  Feature_List!$A$1:$AM$1,0),0)=N232,".","NO"))</f>
        <v>.</v>
      </c>
      <c r="BW232" s="136"/>
      <c r="BX232" s="136"/>
      <c r="BY232" s="136"/>
      <c r="BZ232" s="136"/>
      <c r="CA232" s="136"/>
      <c r="CB232" s="136" t="str">
        <f>IF($D232&lt;&gt;"Feature",".",
IF(VLOOKUP($B232,Feature_List!$A:$AM,MATCH(CB$1,  Feature_List!$A$1:$AM$1,0),0)=T232,".","NO"))</f>
        <v>.</v>
      </c>
      <c r="CC232" s="136"/>
      <c r="CD232" s="136"/>
      <c r="CE232" s="136"/>
      <c r="CF232" s="136"/>
      <c r="CG232" s="136"/>
      <c r="CH232" s="136"/>
      <c r="CI232" s="136"/>
      <c r="CJ232" s="136"/>
      <c r="CK232" s="136"/>
      <c r="CL232" s="136"/>
      <c r="CM232" s="136"/>
      <c r="CN232" s="136"/>
      <c r="CO232" s="136" t="str">
        <f>IF($D232&lt;&gt;"Feature",".",
IF(VLOOKUP($B232,Feature_List!$A:$AM,MATCH(CO$1,  Feature_List!$A$1:$AM$1,0),0)=AG232,".","NO"))</f>
        <v>.</v>
      </c>
      <c r="CP232" s="136" t="str">
        <f>IF($D232&lt;&gt;"Feature",".",
IF(VLOOKUP($B232,Feature_List!$A:$AM,MATCH(CP$1,  Feature_List!$A$1:$AM$1,0),0)=AH232,".","NO"))</f>
        <v>.</v>
      </c>
      <c r="CQ232" s="136" t="str">
        <f>IF($D232&lt;&gt;"Feature",".",
IF(VLOOKUP($B232,Feature_List!$A:$AM,MATCH(CQ$1,  Feature_List!$A$1:$AM$1,0),0)=AI232,".","NO"))</f>
        <v>.</v>
      </c>
      <c r="CR232" s="136" t="str">
        <f>IF($D232&lt;&gt;"Feature",".",
IF(VLOOKUP($B232,Feature_List!$A:$AM,MATCH(CR$1,  Feature_List!$A$1:$AM$1,0),0)=AJ232,".","NO"))</f>
        <v>.</v>
      </c>
      <c r="CS232" s="136" t="str">
        <f>IF($D232&lt;&gt;"Feature",".",
IF(VLOOKUP($B232,Feature_List!$A:$AM,MATCH(CS$1,  Feature_List!$A$1:$AM$1,0),0)=AK232,".","NO"))</f>
        <v>.</v>
      </c>
      <c r="CT232" s="136" t="str">
        <f>IF($D232&lt;&gt;"Feature",".",
IF(VLOOKUP($B232,Feature_List!$A:$AM,MATCH(CT$1,  Feature_List!$A$1:$AM$1,0),0)=AL232,".","NO"))</f>
        <v>.</v>
      </c>
      <c r="CU232" s="136" t="str">
        <f>IF($D232&lt;&gt;"Feature",".",
IF(VLOOKUP($B232,Feature_List!$A:$AM,MATCH(CU$1,  Feature_List!$A$1:$AM$1,0),0)=AM232,".","NO"))</f>
        <v>.</v>
      </c>
      <c r="CV232" s="136" t="str">
        <f>IF($D232&lt;&gt;"Feature",".",
IF(VLOOKUP($B232,Feature_List!$A:$AM,MATCH(CV$1,  Feature_List!$A$1:$AM$1,0),0)=AN232,".","NO"))</f>
        <v>.</v>
      </c>
      <c r="CW232" s="136" t="str">
        <f>IF($D232&lt;&gt;"Feature",".",
IF(VLOOKUP($B232,Feature_List!$A:$AM,MATCH(CW$1,  Feature_List!$A$1:$AM$1,0),0)=AO232,".","NO"))</f>
        <v>.</v>
      </c>
      <c r="CX232" s="136" t="str">
        <f>IF($D232&lt;&gt;"Feature",".",
IF(VLOOKUP($B232,Feature_List!$A:$AM,MATCH(CX$1,  Feature_List!$A$1:$AM$1,0),0)=AP232,".","NO"))</f>
        <v>.</v>
      </c>
      <c r="CY232" s="136" t="str">
        <f>IF($D232&lt;&gt;"Feature",".",
IF(VLOOKUP($B232,Feature_List!$A:$AM,MATCH(CY$1,  Feature_List!$A$1:$AM$1,0),0)=AQ232,".","NO"))</f>
        <v>.</v>
      </c>
      <c r="CZ232" s="136" t="str">
        <f>IF($D232&lt;&gt;"Feature",".",
IF(VLOOKUP($B232,Feature_List!$A:$AM,MATCH(CZ$1,  Feature_List!$A$1:$AM$1,0),0)=AR232,".","NO"))</f>
        <v>.</v>
      </c>
      <c r="DA232" s="136" t="str">
        <f>IF($D232&lt;&gt;"Feature",".",
IF(VLOOKUP($B232,Feature_List!$A:$AM,MATCH(DA$1,  Feature_List!$A$1:$AM$1,0),0)=AS232,".","NO"))</f>
        <v>.</v>
      </c>
      <c r="DB232" s="136" t="str">
        <f>IF($D232&lt;&gt;"Feature",".",
IF(VLOOKUP($B232,Feature_List!$A:$AM,MATCH(DB$1,  Feature_List!$A$1:$AM$1,0),0)=AT232,".","NO"))</f>
        <v>.</v>
      </c>
      <c r="DC232" s="136" t="str">
        <f>IF($D232&lt;&gt;"Feature",".",
IF(VLOOKUP($B232,Feature_List!$A:$AM,MATCH(DC$1,  Feature_List!$A$1:$AM$1,0),0)=AU232,".","NO"))</f>
        <v>.</v>
      </c>
      <c r="DD232" s="136" t="str">
        <f>IF($D232&lt;&gt;"Feature",".",
IF(VLOOKUP($B232,Feature_List!$A:$AM,MATCH(DD$1,  Feature_List!$A$1:$AM$1,0),0)=AV232,".","NO"))</f>
        <v>.</v>
      </c>
      <c r="DE232" s="136" t="str">
        <f>IF($D232&lt;&gt;"Feature",".",
IF(VLOOKUP($B232,Feature_List!$A:$AM,MATCH(DE$1,  Feature_List!$A$1:$AM$1,0),0)=AW232,".","NO"))</f>
        <v>.</v>
      </c>
      <c r="DF232" s="136" t="str">
        <f>IF($D232&lt;&gt;"Feature",".",
IF(VLOOKUP($B232,Feature_List!$A:$AM,MATCH(DF$1,  Feature_List!$A$1:$AM$1,0),0)=AX232,".","NO"))</f>
        <v>.</v>
      </c>
      <c r="DG232" s="136" t="str">
        <f>IF($D232&lt;&gt;"Feature",".",
IF(VLOOKUP($B232,Feature_List!$A:$AM,MATCH(DG$1,  Feature_List!$A$1:$AM$1,0),0)=AY232,".","NO"))</f>
        <v>.</v>
      </c>
      <c r="DH232" s="136" t="str">
        <f>IF($D232&lt;&gt;"Feature",".",
IF(VLOOKUP($B232,Feature_List!$A:$AM,MATCH(DH$1,  Feature_List!$A$1:$AM$1,0),0)=AZ232,".","NO"))</f>
        <v>.</v>
      </c>
      <c r="DI232" s="136" t="str">
        <f>IF($D232&lt;&gt;"Feature",".",
IF(VLOOKUP($B232,Feature_List!$A:$AM,MATCH(DI$1,  Feature_List!$A$1:$AM$1,0),0)=BA232,".","NO"))</f>
        <v>.</v>
      </c>
      <c r="DJ232" s="136" t="str">
        <f>IF($D232&lt;&gt;"Feature",".",
IF(VLOOKUP($B232,Feature_List!$A:$AM,MATCH(DJ$1,  Feature_List!$A$1:$AM$1,0),0)=BB232,".","NO"))</f>
        <v>.</v>
      </c>
      <c r="DK232" s="136"/>
      <c r="DL232" s="136"/>
      <c r="DM232" s="136"/>
      <c r="DN232" s="136" t="str">
        <f>IF($D232&lt;&gt;"Feature",".",
IF(VLOOKUP($B232,Feature_List!$A:$AM,MATCH(DN$1,  Feature_List!$A$1:$AM$1,0),0)=BC232,".","NO"))</f>
        <v>.</v>
      </c>
      <c r="DO232" s="136" t="str">
        <f>IF($D232&lt;&gt;"Feature",".",
IF(VLOOKUP($B232,Feature_List!$A:$AM,MATCH(DO$1,  Feature_List!$A$1:$AM$1,0),0)=BD232,".","NO"))</f>
        <v>.</v>
      </c>
    </row>
    <row r="233" spans="2:119" x14ac:dyDescent="0.3">
      <c r="B233" s="121"/>
      <c r="C233" s="122"/>
      <c r="D233" s="122"/>
      <c r="E233" s="122"/>
      <c r="F233" s="123"/>
      <c r="G233" s="123"/>
      <c r="H233" s="122"/>
      <c r="I233" s="124"/>
      <c r="J233" s="123"/>
      <c r="K233" s="123"/>
      <c r="L233" s="122"/>
      <c r="M233" s="122"/>
      <c r="N233" s="122"/>
      <c r="O233" s="123">
        <f t="shared" si="112"/>
        <v>0</v>
      </c>
      <c r="P233" s="123">
        <f t="shared" si="113"/>
        <v>0</v>
      </c>
      <c r="Q233" s="122" t="str">
        <f t="shared" si="135"/>
        <v>ZeroEntry</v>
      </c>
      <c r="R233" s="126" t="str">
        <f t="shared" si="114"/>
        <v>ZeroEntry</v>
      </c>
      <c r="S233" s="127" t="str">
        <f t="shared" si="115"/>
        <v>ZeroEntry</v>
      </c>
      <c r="T233" s="128" t="str">
        <f>IF($Q233="ZeroEntry", "",VLOOKUP($I233,'Ranking Lookup'!#REF!,2,FALSE))</f>
        <v/>
      </c>
      <c r="U233" s="129" t="str">
        <f t="shared" si="116"/>
        <v/>
      </c>
      <c r="V233" s="129" t="str">
        <f t="shared" si="117"/>
        <v/>
      </c>
      <c r="W233" s="129" t="str">
        <f t="shared" si="118"/>
        <v/>
      </c>
      <c r="X233" s="129" t="str">
        <f t="shared" si="119"/>
        <v/>
      </c>
      <c r="Y233" s="129" t="str">
        <f t="shared" si="120"/>
        <v/>
      </c>
      <c r="Z233" s="129" t="str">
        <f t="shared" si="121"/>
        <v/>
      </c>
      <c r="AA233" s="130"/>
      <c r="AB233" s="130" t="str">
        <f t="shared" si="122"/>
        <v>Unassigned</v>
      </c>
      <c r="AC233" s="131" t="str">
        <f t="shared" si="136"/>
        <v/>
      </c>
      <c r="AD233" s="131" t="str">
        <f t="shared" si="137"/>
        <v/>
      </c>
      <c r="AE233" s="132">
        <f t="shared" si="123"/>
        <v>0</v>
      </c>
      <c r="AF233" s="133" t="str">
        <f t="shared" si="138"/>
        <v/>
      </c>
      <c r="AG233" s="134">
        <f t="shared" si="124"/>
        <v>0</v>
      </c>
      <c r="AH233" s="54" t="str">
        <f t="shared" si="125"/>
        <v/>
      </c>
      <c r="AI233" s="54" t="str">
        <f t="shared" si="145"/>
        <v/>
      </c>
      <c r="AJ233" s="54" t="str">
        <f t="shared" si="145"/>
        <v/>
      </c>
      <c r="AK233" s="54" t="str">
        <f t="shared" si="145"/>
        <v/>
      </c>
      <c r="AL233" s="54" t="str">
        <f t="shared" si="145"/>
        <v/>
      </c>
      <c r="AM233" s="54" t="str">
        <f t="shared" si="145"/>
        <v/>
      </c>
      <c r="AN233" s="54" t="str">
        <f t="shared" si="145"/>
        <v/>
      </c>
      <c r="AO233" s="54" t="str">
        <f t="shared" si="145"/>
        <v/>
      </c>
      <c r="AP233" s="54" t="str">
        <f t="shared" si="145"/>
        <v/>
      </c>
      <c r="AQ233" s="54" t="str">
        <f t="shared" si="145"/>
        <v/>
      </c>
      <c r="AR233" s="54" t="str">
        <f t="shared" si="145"/>
        <v/>
      </c>
      <c r="AS233" s="54" t="str">
        <f t="shared" si="145"/>
        <v/>
      </c>
      <c r="AT233" s="54" t="str">
        <f t="shared" si="145"/>
        <v/>
      </c>
      <c r="AU233" s="54" t="str">
        <f t="shared" si="145"/>
        <v/>
      </c>
      <c r="AV233" s="54" t="str">
        <f t="shared" si="145"/>
        <v/>
      </c>
      <c r="AW233" s="54" t="str">
        <f t="shared" si="145"/>
        <v/>
      </c>
      <c r="AX233" s="54" t="str">
        <f t="shared" si="145"/>
        <v/>
      </c>
      <c r="AY233" s="54" t="str">
        <f t="shared" si="139"/>
        <v/>
      </c>
      <c r="AZ233" s="54" t="str">
        <f t="shared" si="128"/>
        <v/>
      </c>
      <c r="BA233" s="54" t="str">
        <f t="shared" si="129"/>
        <v/>
      </c>
      <c r="BB233" s="135" t="str">
        <f t="shared" si="130"/>
        <v/>
      </c>
      <c r="BC233" s="54" t="str">
        <f t="shared" si="143"/>
        <v/>
      </c>
      <c r="BD233" s="54" t="str">
        <f t="shared" si="143"/>
        <v/>
      </c>
      <c r="BE233" s="54" t="str">
        <f t="shared" si="143"/>
        <v/>
      </c>
      <c r="BF233" s="54" t="str">
        <f t="shared" si="131"/>
        <v/>
      </c>
      <c r="BG233" s="54" t="str">
        <f t="shared" si="132"/>
        <v/>
      </c>
      <c r="BH233" s="34" t="str">
        <f t="shared" si="133"/>
        <v>Bad</v>
      </c>
      <c r="BI233" s="34" t="str">
        <f t="shared" si="134"/>
        <v>No</v>
      </c>
      <c r="BJ233" s="136" t="str">
        <f>IF($D233&lt;&gt;"Feature",".",
IF(VLOOKUP($B233,Feature_List!$A:$AM,MATCH(BJ$1,  Feature_List!$A$1:$AM$1,0),0)=B233,".","NO"))</f>
        <v>.</v>
      </c>
      <c r="BK233" s="136"/>
      <c r="BL233" s="136"/>
      <c r="BM233" s="136" t="str">
        <f>IF($D233&lt;&gt;"Feature",".",
IF(VLOOKUP($B233,Feature_List!$A:$AM,MATCH(BM$1,  Feature_List!$A$1:$AM$1,0),0)=E233,".","NO"))</f>
        <v>.</v>
      </c>
      <c r="BN233" s="136" t="str">
        <f>IF($D233&lt;&gt;"Feature",".",
IF(VLOOKUP($B233,Feature_List!$A:$AM,MATCH(BN$1,  Feature_List!$A$1:$AM$1,0),0)=F233,".","NO"))</f>
        <v>.</v>
      </c>
      <c r="BO233" s="136" t="str">
        <f>IF($D233&lt;&gt;"Feature",".",
IF(VLOOKUP($B233,Feature_List!$A:$AM,MATCH(BO$1,  Feature_List!$A$1:$AM$1,0),0)=G233,".","NO"))</f>
        <v>.</v>
      </c>
      <c r="BP233" s="136" t="str">
        <f>IF($D233&lt;&gt;"Feature",".",
IF(VLOOKUP($B233,Feature_List!$A:$AM,MATCH(BP$1,  Feature_List!$A$1:$AM$1,0),0)=H233,".","NO"))</f>
        <v>.</v>
      </c>
      <c r="BQ233" s="136"/>
      <c r="BR233" s="136" t="str">
        <f>IF($D233&lt;&gt;"Feature",".",
IF(VLOOKUP($B233,Feature_List!$A:$AM,MATCH(BR$1,  Feature_List!$A$1:$AM$1,0),0)=J233,".","NO"))</f>
        <v>.</v>
      </c>
      <c r="BS233" s="136"/>
      <c r="BT233" s="136"/>
      <c r="BU233" s="136" t="str">
        <f>IF($D233&lt;&gt;"Feature",".",
IF(VLOOKUP($B233,Feature_List!$A:$AM,MATCH(BU$1,  Feature_List!$A$1:$AM$1,0),0)=M233,".","NO"))</f>
        <v>.</v>
      </c>
      <c r="BV233" s="136" t="str">
        <f>IF($D233&lt;&gt;"Feature",".",
IF(VLOOKUP($B233,Feature_List!$A:$AM,MATCH(BV$1,  Feature_List!$A$1:$AM$1,0),0)=N233,".","NO"))</f>
        <v>.</v>
      </c>
      <c r="BW233" s="136"/>
      <c r="BX233" s="136"/>
      <c r="BY233" s="136"/>
      <c r="BZ233" s="136"/>
      <c r="CA233" s="136"/>
      <c r="CB233" s="136" t="str">
        <f>IF($D233&lt;&gt;"Feature",".",
IF(VLOOKUP($B233,Feature_List!$A:$AM,MATCH(CB$1,  Feature_List!$A$1:$AM$1,0),0)=T233,".","NO"))</f>
        <v>.</v>
      </c>
      <c r="CC233" s="136"/>
      <c r="CD233" s="136"/>
      <c r="CE233" s="136"/>
      <c r="CF233" s="136"/>
      <c r="CG233" s="136"/>
      <c r="CH233" s="136"/>
      <c r="CI233" s="136"/>
      <c r="CJ233" s="136"/>
      <c r="CK233" s="136"/>
      <c r="CL233" s="136"/>
      <c r="CM233" s="136"/>
      <c r="CN233" s="136"/>
      <c r="CO233" s="136" t="str">
        <f>IF($D233&lt;&gt;"Feature",".",
IF(VLOOKUP($B233,Feature_List!$A:$AM,MATCH(CO$1,  Feature_List!$A$1:$AM$1,0),0)=AG233,".","NO"))</f>
        <v>.</v>
      </c>
      <c r="CP233" s="136" t="str">
        <f>IF($D233&lt;&gt;"Feature",".",
IF(VLOOKUP($B233,Feature_List!$A:$AM,MATCH(CP$1,  Feature_List!$A$1:$AM$1,0),0)=AH233,".","NO"))</f>
        <v>.</v>
      </c>
      <c r="CQ233" s="136" t="str">
        <f>IF($D233&lt;&gt;"Feature",".",
IF(VLOOKUP($B233,Feature_List!$A:$AM,MATCH(CQ$1,  Feature_List!$A$1:$AM$1,0),0)=AI233,".","NO"))</f>
        <v>.</v>
      </c>
      <c r="CR233" s="136" t="str">
        <f>IF($D233&lt;&gt;"Feature",".",
IF(VLOOKUP($B233,Feature_List!$A:$AM,MATCH(CR$1,  Feature_List!$A$1:$AM$1,0),0)=AJ233,".","NO"))</f>
        <v>.</v>
      </c>
      <c r="CS233" s="136" t="str">
        <f>IF($D233&lt;&gt;"Feature",".",
IF(VLOOKUP($B233,Feature_List!$A:$AM,MATCH(CS$1,  Feature_List!$A$1:$AM$1,0),0)=AK233,".","NO"))</f>
        <v>.</v>
      </c>
      <c r="CT233" s="136" t="str">
        <f>IF($D233&lt;&gt;"Feature",".",
IF(VLOOKUP($B233,Feature_List!$A:$AM,MATCH(CT$1,  Feature_List!$A$1:$AM$1,0),0)=AL233,".","NO"))</f>
        <v>.</v>
      </c>
      <c r="CU233" s="136" t="str">
        <f>IF($D233&lt;&gt;"Feature",".",
IF(VLOOKUP($B233,Feature_List!$A:$AM,MATCH(CU$1,  Feature_List!$A$1:$AM$1,0),0)=AM233,".","NO"))</f>
        <v>.</v>
      </c>
      <c r="CV233" s="136" t="str">
        <f>IF($D233&lt;&gt;"Feature",".",
IF(VLOOKUP($B233,Feature_List!$A:$AM,MATCH(CV$1,  Feature_List!$A$1:$AM$1,0),0)=AN233,".","NO"))</f>
        <v>.</v>
      </c>
      <c r="CW233" s="136" t="str">
        <f>IF($D233&lt;&gt;"Feature",".",
IF(VLOOKUP($B233,Feature_List!$A:$AM,MATCH(CW$1,  Feature_List!$A$1:$AM$1,0),0)=AO233,".","NO"))</f>
        <v>.</v>
      </c>
      <c r="CX233" s="136" t="str">
        <f>IF($D233&lt;&gt;"Feature",".",
IF(VLOOKUP($B233,Feature_List!$A:$AM,MATCH(CX$1,  Feature_List!$A$1:$AM$1,0),0)=AP233,".","NO"))</f>
        <v>.</v>
      </c>
      <c r="CY233" s="136" t="str">
        <f>IF($D233&lt;&gt;"Feature",".",
IF(VLOOKUP($B233,Feature_List!$A:$AM,MATCH(CY$1,  Feature_List!$A$1:$AM$1,0),0)=AQ233,".","NO"))</f>
        <v>.</v>
      </c>
      <c r="CZ233" s="136" t="str">
        <f>IF($D233&lt;&gt;"Feature",".",
IF(VLOOKUP($B233,Feature_List!$A:$AM,MATCH(CZ$1,  Feature_List!$A$1:$AM$1,0),0)=AR233,".","NO"))</f>
        <v>.</v>
      </c>
      <c r="DA233" s="136" t="str">
        <f>IF($D233&lt;&gt;"Feature",".",
IF(VLOOKUP($B233,Feature_List!$A:$AM,MATCH(DA$1,  Feature_List!$A$1:$AM$1,0),0)=AS233,".","NO"))</f>
        <v>.</v>
      </c>
      <c r="DB233" s="136" t="str">
        <f>IF($D233&lt;&gt;"Feature",".",
IF(VLOOKUP($B233,Feature_List!$A:$AM,MATCH(DB$1,  Feature_List!$A$1:$AM$1,0),0)=AT233,".","NO"))</f>
        <v>.</v>
      </c>
      <c r="DC233" s="136" t="str">
        <f>IF($D233&lt;&gt;"Feature",".",
IF(VLOOKUP($B233,Feature_List!$A:$AM,MATCH(DC$1,  Feature_List!$A$1:$AM$1,0),0)=AU233,".","NO"))</f>
        <v>.</v>
      </c>
      <c r="DD233" s="136" t="str">
        <f>IF($D233&lt;&gt;"Feature",".",
IF(VLOOKUP($B233,Feature_List!$A:$AM,MATCH(DD$1,  Feature_List!$A$1:$AM$1,0),0)=AV233,".","NO"))</f>
        <v>.</v>
      </c>
      <c r="DE233" s="136" t="str">
        <f>IF($D233&lt;&gt;"Feature",".",
IF(VLOOKUP($B233,Feature_List!$A:$AM,MATCH(DE$1,  Feature_List!$A$1:$AM$1,0),0)=AW233,".","NO"))</f>
        <v>.</v>
      </c>
      <c r="DF233" s="136" t="str">
        <f>IF($D233&lt;&gt;"Feature",".",
IF(VLOOKUP($B233,Feature_List!$A:$AM,MATCH(DF$1,  Feature_List!$A$1:$AM$1,0),0)=AX233,".","NO"))</f>
        <v>.</v>
      </c>
      <c r="DG233" s="136" t="str">
        <f>IF($D233&lt;&gt;"Feature",".",
IF(VLOOKUP($B233,Feature_List!$A:$AM,MATCH(DG$1,  Feature_List!$A$1:$AM$1,0),0)=AY233,".","NO"))</f>
        <v>.</v>
      </c>
      <c r="DH233" s="136" t="str">
        <f>IF($D233&lt;&gt;"Feature",".",
IF(VLOOKUP($B233,Feature_List!$A:$AM,MATCH(DH$1,  Feature_List!$A$1:$AM$1,0),0)=AZ233,".","NO"))</f>
        <v>.</v>
      </c>
      <c r="DI233" s="136" t="str">
        <f>IF($D233&lt;&gt;"Feature",".",
IF(VLOOKUP($B233,Feature_List!$A:$AM,MATCH(DI$1,  Feature_List!$A$1:$AM$1,0),0)=BA233,".","NO"))</f>
        <v>.</v>
      </c>
      <c r="DJ233" s="136" t="str">
        <f>IF($D233&lt;&gt;"Feature",".",
IF(VLOOKUP($B233,Feature_List!$A:$AM,MATCH(DJ$1,  Feature_List!$A$1:$AM$1,0),0)=BB233,".","NO"))</f>
        <v>.</v>
      </c>
      <c r="DK233" s="136"/>
      <c r="DL233" s="136"/>
      <c r="DM233" s="136"/>
      <c r="DN233" s="136" t="str">
        <f>IF($D233&lt;&gt;"Feature",".",
IF(VLOOKUP($B233,Feature_List!$A:$AM,MATCH(DN$1,  Feature_List!$A$1:$AM$1,0),0)=BC233,".","NO"))</f>
        <v>.</v>
      </c>
      <c r="DO233" s="136" t="str">
        <f>IF($D233&lt;&gt;"Feature",".",
IF(VLOOKUP($B233,Feature_List!$A:$AM,MATCH(DO$1,  Feature_List!$A$1:$AM$1,0),0)=BD233,".","NO"))</f>
        <v>.</v>
      </c>
    </row>
    <row r="234" spans="2:119" x14ac:dyDescent="0.3">
      <c r="B234" s="121"/>
      <c r="C234" s="122"/>
      <c r="D234" s="122"/>
      <c r="E234" s="122"/>
      <c r="F234" s="123"/>
      <c r="G234" s="123"/>
      <c r="H234" s="122"/>
      <c r="I234" s="124"/>
      <c r="J234" s="123"/>
      <c r="K234" s="123"/>
      <c r="L234" s="122"/>
      <c r="M234" s="122"/>
      <c r="N234" s="122"/>
      <c r="O234" s="123">
        <f t="shared" si="112"/>
        <v>0</v>
      </c>
      <c r="P234" s="123">
        <f t="shared" si="113"/>
        <v>0</v>
      </c>
      <c r="Q234" s="122" t="str">
        <f t="shared" si="135"/>
        <v>ZeroEntry</v>
      </c>
      <c r="R234" s="126" t="str">
        <f t="shared" si="114"/>
        <v>ZeroEntry</v>
      </c>
      <c r="S234" s="127" t="str">
        <f t="shared" si="115"/>
        <v>ZeroEntry</v>
      </c>
      <c r="T234" s="128" t="str">
        <f>IF($Q234="ZeroEntry", "",VLOOKUP($I234,'Ranking Lookup'!#REF!,2,FALSE))</f>
        <v/>
      </c>
      <c r="U234" s="129" t="str">
        <f t="shared" si="116"/>
        <v/>
      </c>
      <c r="V234" s="129" t="str">
        <f t="shared" si="117"/>
        <v/>
      </c>
      <c r="W234" s="129" t="str">
        <f t="shared" si="118"/>
        <v/>
      </c>
      <c r="X234" s="129" t="str">
        <f t="shared" si="119"/>
        <v/>
      </c>
      <c r="Y234" s="129" t="str">
        <f t="shared" si="120"/>
        <v/>
      </c>
      <c r="Z234" s="129" t="str">
        <f t="shared" si="121"/>
        <v/>
      </c>
      <c r="AA234" s="130"/>
      <c r="AB234" s="130" t="str">
        <f t="shared" si="122"/>
        <v>Unassigned</v>
      </c>
      <c r="AC234" s="131" t="str">
        <f t="shared" si="136"/>
        <v/>
      </c>
      <c r="AD234" s="131" t="str">
        <f t="shared" si="137"/>
        <v/>
      </c>
      <c r="AE234" s="132">
        <f t="shared" si="123"/>
        <v>0</v>
      </c>
      <c r="AF234" s="133" t="str">
        <f t="shared" si="138"/>
        <v/>
      </c>
      <c r="AG234" s="134">
        <f t="shared" si="124"/>
        <v>0</v>
      </c>
      <c r="AH234" s="54" t="str">
        <f t="shared" si="125"/>
        <v/>
      </c>
      <c r="AI234" s="54" t="str">
        <f t="shared" si="145"/>
        <v/>
      </c>
      <c r="AJ234" s="54" t="str">
        <f t="shared" si="145"/>
        <v/>
      </c>
      <c r="AK234" s="54" t="str">
        <f t="shared" si="145"/>
        <v/>
      </c>
      <c r="AL234" s="54" t="str">
        <f t="shared" si="145"/>
        <v/>
      </c>
      <c r="AM234" s="54" t="str">
        <f t="shared" si="145"/>
        <v/>
      </c>
      <c r="AN234" s="54" t="str">
        <f t="shared" si="145"/>
        <v/>
      </c>
      <c r="AO234" s="54" t="str">
        <f t="shared" si="145"/>
        <v/>
      </c>
      <c r="AP234" s="54" t="str">
        <f t="shared" si="145"/>
        <v/>
      </c>
      <c r="AQ234" s="54" t="str">
        <f t="shared" si="145"/>
        <v/>
      </c>
      <c r="AR234" s="54" t="str">
        <f t="shared" si="145"/>
        <v/>
      </c>
      <c r="AS234" s="54" t="str">
        <f t="shared" si="145"/>
        <v/>
      </c>
      <c r="AT234" s="54" t="str">
        <f t="shared" si="145"/>
        <v/>
      </c>
      <c r="AU234" s="54" t="str">
        <f t="shared" si="145"/>
        <v/>
      </c>
      <c r="AV234" s="54" t="str">
        <f t="shared" si="145"/>
        <v/>
      </c>
      <c r="AW234" s="54" t="str">
        <f t="shared" si="145"/>
        <v/>
      </c>
      <c r="AX234" s="54" t="str">
        <f t="shared" si="145"/>
        <v/>
      </c>
      <c r="AY234" s="54" t="str">
        <f t="shared" si="139"/>
        <v/>
      </c>
      <c r="AZ234" s="54" t="str">
        <f t="shared" si="128"/>
        <v/>
      </c>
      <c r="BA234" s="54" t="str">
        <f t="shared" si="129"/>
        <v/>
      </c>
      <c r="BB234" s="135" t="str">
        <f t="shared" si="130"/>
        <v/>
      </c>
      <c r="BC234" s="54" t="str">
        <f t="shared" si="143"/>
        <v/>
      </c>
      <c r="BD234" s="54" t="str">
        <f t="shared" si="143"/>
        <v/>
      </c>
      <c r="BE234" s="54" t="str">
        <f t="shared" si="143"/>
        <v/>
      </c>
      <c r="BF234" s="54" t="str">
        <f t="shared" si="131"/>
        <v/>
      </c>
      <c r="BG234" s="54" t="str">
        <f t="shared" si="132"/>
        <v/>
      </c>
      <c r="BH234" s="34" t="str">
        <f t="shared" si="133"/>
        <v>Bad</v>
      </c>
      <c r="BI234" s="34" t="str">
        <f t="shared" si="134"/>
        <v>No</v>
      </c>
      <c r="BJ234" s="136" t="str">
        <f>IF($D234&lt;&gt;"Feature",".",
IF(VLOOKUP($B234,Feature_List!$A:$AM,MATCH(BJ$1,  Feature_List!$A$1:$AM$1,0),0)=B234,".","NO"))</f>
        <v>.</v>
      </c>
      <c r="BK234" s="136"/>
      <c r="BL234" s="136"/>
      <c r="BM234" s="136" t="str">
        <f>IF($D234&lt;&gt;"Feature",".",
IF(VLOOKUP($B234,Feature_List!$A:$AM,MATCH(BM$1,  Feature_List!$A$1:$AM$1,0),0)=E234,".","NO"))</f>
        <v>.</v>
      </c>
      <c r="BN234" s="136" t="str">
        <f>IF($D234&lt;&gt;"Feature",".",
IF(VLOOKUP($B234,Feature_List!$A:$AM,MATCH(BN$1,  Feature_List!$A$1:$AM$1,0),0)=F234,".","NO"))</f>
        <v>.</v>
      </c>
      <c r="BO234" s="136" t="str">
        <f>IF($D234&lt;&gt;"Feature",".",
IF(VLOOKUP($B234,Feature_List!$A:$AM,MATCH(BO$1,  Feature_List!$A$1:$AM$1,0),0)=G234,".","NO"))</f>
        <v>.</v>
      </c>
      <c r="BP234" s="136" t="str">
        <f>IF($D234&lt;&gt;"Feature",".",
IF(VLOOKUP($B234,Feature_List!$A:$AM,MATCH(BP$1,  Feature_List!$A$1:$AM$1,0),0)=H234,".","NO"))</f>
        <v>.</v>
      </c>
      <c r="BQ234" s="136"/>
      <c r="BR234" s="136" t="str">
        <f>IF($D234&lt;&gt;"Feature",".",
IF(VLOOKUP($B234,Feature_List!$A:$AM,MATCH(BR$1,  Feature_List!$A$1:$AM$1,0),0)=J234,".","NO"))</f>
        <v>.</v>
      </c>
      <c r="BS234" s="136"/>
      <c r="BT234" s="136"/>
      <c r="BU234" s="136" t="str">
        <f>IF($D234&lt;&gt;"Feature",".",
IF(VLOOKUP($B234,Feature_List!$A:$AM,MATCH(BU$1,  Feature_List!$A$1:$AM$1,0),0)=M234,".","NO"))</f>
        <v>.</v>
      </c>
      <c r="BV234" s="136" t="str">
        <f>IF($D234&lt;&gt;"Feature",".",
IF(VLOOKUP($B234,Feature_List!$A:$AM,MATCH(BV$1,  Feature_List!$A$1:$AM$1,0),0)=N234,".","NO"))</f>
        <v>.</v>
      </c>
      <c r="BW234" s="136"/>
      <c r="BX234" s="136"/>
      <c r="BY234" s="136"/>
      <c r="BZ234" s="136"/>
      <c r="CA234" s="136"/>
      <c r="CB234" s="136" t="str">
        <f>IF($D234&lt;&gt;"Feature",".",
IF(VLOOKUP($B234,Feature_List!$A:$AM,MATCH(CB$1,  Feature_List!$A$1:$AM$1,0),0)=T234,".","NO"))</f>
        <v>.</v>
      </c>
      <c r="CC234" s="136"/>
      <c r="CD234" s="136"/>
      <c r="CE234" s="136"/>
      <c r="CF234" s="136"/>
      <c r="CG234" s="136"/>
      <c r="CH234" s="136"/>
      <c r="CI234" s="136"/>
      <c r="CJ234" s="136"/>
      <c r="CK234" s="136"/>
      <c r="CL234" s="136"/>
      <c r="CM234" s="136"/>
      <c r="CN234" s="136"/>
      <c r="CO234" s="136" t="str">
        <f>IF($D234&lt;&gt;"Feature",".",
IF(VLOOKUP($B234,Feature_List!$A:$AM,MATCH(CO$1,  Feature_List!$A$1:$AM$1,0),0)=AG234,".","NO"))</f>
        <v>.</v>
      </c>
      <c r="CP234" s="136" t="str">
        <f>IF($D234&lt;&gt;"Feature",".",
IF(VLOOKUP($B234,Feature_List!$A:$AM,MATCH(CP$1,  Feature_List!$A$1:$AM$1,0),0)=AH234,".","NO"))</f>
        <v>.</v>
      </c>
      <c r="CQ234" s="136" t="str">
        <f>IF($D234&lt;&gt;"Feature",".",
IF(VLOOKUP($B234,Feature_List!$A:$AM,MATCH(CQ$1,  Feature_List!$A$1:$AM$1,0),0)=AI234,".","NO"))</f>
        <v>.</v>
      </c>
      <c r="CR234" s="136" t="str">
        <f>IF($D234&lt;&gt;"Feature",".",
IF(VLOOKUP($B234,Feature_List!$A:$AM,MATCH(CR$1,  Feature_List!$A$1:$AM$1,0),0)=AJ234,".","NO"))</f>
        <v>.</v>
      </c>
      <c r="CS234" s="136" t="str">
        <f>IF($D234&lt;&gt;"Feature",".",
IF(VLOOKUP($B234,Feature_List!$A:$AM,MATCH(CS$1,  Feature_List!$A$1:$AM$1,0),0)=AK234,".","NO"))</f>
        <v>.</v>
      </c>
      <c r="CT234" s="136" t="str">
        <f>IF($D234&lt;&gt;"Feature",".",
IF(VLOOKUP($B234,Feature_List!$A:$AM,MATCH(CT$1,  Feature_List!$A$1:$AM$1,0),0)=AL234,".","NO"))</f>
        <v>.</v>
      </c>
      <c r="CU234" s="136" t="str">
        <f>IF($D234&lt;&gt;"Feature",".",
IF(VLOOKUP($B234,Feature_List!$A:$AM,MATCH(CU$1,  Feature_List!$A$1:$AM$1,0),0)=AM234,".","NO"))</f>
        <v>.</v>
      </c>
      <c r="CV234" s="136" t="str">
        <f>IF($D234&lt;&gt;"Feature",".",
IF(VLOOKUP($B234,Feature_List!$A:$AM,MATCH(CV$1,  Feature_List!$A$1:$AM$1,0),0)=AN234,".","NO"))</f>
        <v>.</v>
      </c>
      <c r="CW234" s="136" t="str">
        <f>IF($D234&lt;&gt;"Feature",".",
IF(VLOOKUP($B234,Feature_List!$A:$AM,MATCH(CW$1,  Feature_List!$A$1:$AM$1,0),0)=AO234,".","NO"))</f>
        <v>.</v>
      </c>
      <c r="CX234" s="136" t="str">
        <f>IF($D234&lt;&gt;"Feature",".",
IF(VLOOKUP($B234,Feature_List!$A:$AM,MATCH(CX$1,  Feature_List!$A$1:$AM$1,0),0)=AP234,".","NO"))</f>
        <v>.</v>
      </c>
      <c r="CY234" s="136" t="str">
        <f>IF($D234&lt;&gt;"Feature",".",
IF(VLOOKUP($B234,Feature_List!$A:$AM,MATCH(CY$1,  Feature_List!$A$1:$AM$1,0),0)=AQ234,".","NO"))</f>
        <v>.</v>
      </c>
      <c r="CZ234" s="136" t="str">
        <f>IF($D234&lt;&gt;"Feature",".",
IF(VLOOKUP($B234,Feature_List!$A:$AM,MATCH(CZ$1,  Feature_List!$A$1:$AM$1,0),0)=AR234,".","NO"))</f>
        <v>.</v>
      </c>
      <c r="DA234" s="136" t="str">
        <f>IF($D234&lt;&gt;"Feature",".",
IF(VLOOKUP($B234,Feature_List!$A:$AM,MATCH(DA$1,  Feature_List!$A$1:$AM$1,0),0)=AS234,".","NO"))</f>
        <v>.</v>
      </c>
      <c r="DB234" s="136" t="str">
        <f>IF($D234&lt;&gt;"Feature",".",
IF(VLOOKUP($B234,Feature_List!$A:$AM,MATCH(DB$1,  Feature_List!$A$1:$AM$1,0),0)=AT234,".","NO"))</f>
        <v>.</v>
      </c>
      <c r="DC234" s="136" t="str">
        <f>IF($D234&lt;&gt;"Feature",".",
IF(VLOOKUP($B234,Feature_List!$A:$AM,MATCH(DC$1,  Feature_List!$A$1:$AM$1,0),0)=AU234,".","NO"))</f>
        <v>.</v>
      </c>
      <c r="DD234" s="136" t="str">
        <f>IF($D234&lt;&gt;"Feature",".",
IF(VLOOKUP($B234,Feature_List!$A:$AM,MATCH(DD$1,  Feature_List!$A$1:$AM$1,0),0)=AV234,".","NO"))</f>
        <v>.</v>
      </c>
      <c r="DE234" s="136" t="str">
        <f>IF($D234&lt;&gt;"Feature",".",
IF(VLOOKUP($B234,Feature_List!$A:$AM,MATCH(DE$1,  Feature_List!$A$1:$AM$1,0),0)=AW234,".","NO"))</f>
        <v>.</v>
      </c>
      <c r="DF234" s="136" t="str">
        <f>IF($D234&lt;&gt;"Feature",".",
IF(VLOOKUP($B234,Feature_List!$A:$AM,MATCH(DF$1,  Feature_List!$A$1:$AM$1,0),0)=AX234,".","NO"))</f>
        <v>.</v>
      </c>
      <c r="DG234" s="136" t="str">
        <f>IF($D234&lt;&gt;"Feature",".",
IF(VLOOKUP($B234,Feature_List!$A:$AM,MATCH(DG$1,  Feature_List!$A$1:$AM$1,0),0)=AY234,".","NO"))</f>
        <v>.</v>
      </c>
      <c r="DH234" s="136" t="str">
        <f>IF($D234&lt;&gt;"Feature",".",
IF(VLOOKUP($B234,Feature_List!$A:$AM,MATCH(DH$1,  Feature_List!$A$1:$AM$1,0),0)=AZ234,".","NO"))</f>
        <v>.</v>
      </c>
      <c r="DI234" s="136" t="str">
        <f>IF($D234&lt;&gt;"Feature",".",
IF(VLOOKUP($B234,Feature_List!$A:$AM,MATCH(DI$1,  Feature_List!$A$1:$AM$1,0),0)=BA234,".","NO"))</f>
        <v>.</v>
      </c>
      <c r="DJ234" s="136" t="str">
        <f>IF($D234&lt;&gt;"Feature",".",
IF(VLOOKUP($B234,Feature_List!$A:$AM,MATCH(DJ$1,  Feature_List!$A$1:$AM$1,0),0)=BB234,".","NO"))</f>
        <v>.</v>
      </c>
      <c r="DK234" s="136"/>
      <c r="DL234" s="136"/>
      <c r="DM234" s="136"/>
      <c r="DN234" s="136" t="str">
        <f>IF($D234&lt;&gt;"Feature",".",
IF(VLOOKUP($B234,Feature_List!$A:$AM,MATCH(DN$1,  Feature_List!$A$1:$AM$1,0),0)=BC234,".","NO"))</f>
        <v>.</v>
      </c>
      <c r="DO234" s="136" t="str">
        <f>IF($D234&lt;&gt;"Feature",".",
IF(VLOOKUP($B234,Feature_List!$A:$AM,MATCH(DO$1,  Feature_List!$A$1:$AM$1,0),0)=BD234,".","NO"))</f>
        <v>.</v>
      </c>
    </row>
    <row r="235" spans="2:119" x14ac:dyDescent="0.3">
      <c r="B235" s="121"/>
      <c r="C235" s="122"/>
      <c r="D235" s="122"/>
      <c r="E235" s="122"/>
      <c r="F235" s="123"/>
      <c r="G235" s="123"/>
      <c r="H235" s="122"/>
      <c r="I235" s="124"/>
      <c r="J235" s="123"/>
      <c r="K235" s="123"/>
      <c r="L235" s="122"/>
      <c r="M235" s="122"/>
      <c r="N235" s="122"/>
      <c r="O235" s="123">
        <f t="shared" si="112"/>
        <v>0</v>
      </c>
      <c r="P235" s="123">
        <f t="shared" si="113"/>
        <v>0</v>
      </c>
      <c r="Q235" s="122" t="str">
        <f t="shared" si="135"/>
        <v>ZeroEntry</v>
      </c>
      <c r="R235" s="126" t="str">
        <f t="shared" si="114"/>
        <v>ZeroEntry</v>
      </c>
      <c r="S235" s="127" t="str">
        <f t="shared" si="115"/>
        <v>ZeroEntry</v>
      </c>
      <c r="T235" s="128" t="str">
        <f>IF($Q235="ZeroEntry", "",VLOOKUP($I235,'Ranking Lookup'!#REF!,2,FALSE))</f>
        <v/>
      </c>
      <c r="U235" s="129" t="str">
        <f t="shared" si="116"/>
        <v/>
      </c>
      <c r="V235" s="129" t="str">
        <f t="shared" si="117"/>
        <v/>
      </c>
      <c r="W235" s="129" t="str">
        <f t="shared" si="118"/>
        <v/>
      </c>
      <c r="X235" s="129" t="str">
        <f t="shared" si="119"/>
        <v/>
      </c>
      <c r="Y235" s="129" t="str">
        <f t="shared" si="120"/>
        <v/>
      </c>
      <c r="Z235" s="129" t="str">
        <f t="shared" si="121"/>
        <v/>
      </c>
      <c r="AA235" s="130"/>
      <c r="AB235" s="130" t="str">
        <f t="shared" si="122"/>
        <v>Unassigned</v>
      </c>
      <c r="AC235" s="131" t="str">
        <f t="shared" si="136"/>
        <v/>
      </c>
      <c r="AD235" s="131" t="str">
        <f t="shared" si="137"/>
        <v/>
      </c>
      <c r="AE235" s="132">
        <f t="shared" si="123"/>
        <v>0</v>
      </c>
      <c r="AF235" s="133" t="str">
        <f t="shared" si="138"/>
        <v/>
      </c>
      <c r="AG235" s="134">
        <f t="shared" si="124"/>
        <v>0</v>
      </c>
      <c r="AH235" s="54" t="str">
        <f t="shared" si="125"/>
        <v/>
      </c>
      <c r="AI235" s="54" t="str">
        <f t="shared" si="145"/>
        <v/>
      </c>
      <c r="AJ235" s="54" t="str">
        <f t="shared" si="145"/>
        <v/>
      </c>
      <c r="AK235" s="54" t="str">
        <f t="shared" si="145"/>
        <v/>
      </c>
      <c r="AL235" s="54" t="str">
        <f t="shared" si="145"/>
        <v/>
      </c>
      <c r="AM235" s="54" t="str">
        <f t="shared" si="145"/>
        <v/>
      </c>
      <c r="AN235" s="54" t="str">
        <f t="shared" si="145"/>
        <v/>
      </c>
      <c r="AO235" s="54" t="str">
        <f t="shared" si="145"/>
        <v/>
      </c>
      <c r="AP235" s="54" t="str">
        <f t="shared" si="145"/>
        <v/>
      </c>
      <c r="AQ235" s="54" t="str">
        <f t="shared" si="145"/>
        <v/>
      </c>
      <c r="AR235" s="54" t="str">
        <f t="shared" si="145"/>
        <v/>
      </c>
      <c r="AS235" s="54" t="str">
        <f t="shared" si="145"/>
        <v/>
      </c>
      <c r="AT235" s="54" t="str">
        <f t="shared" si="145"/>
        <v/>
      </c>
      <c r="AU235" s="54" t="str">
        <f t="shared" si="145"/>
        <v/>
      </c>
      <c r="AV235" s="54" t="str">
        <f t="shared" si="145"/>
        <v/>
      </c>
      <c r="AW235" s="54" t="str">
        <f t="shared" si="145"/>
        <v/>
      </c>
      <c r="AX235" s="54" t="str">
        <f t="shared" si="145"/>
        <v/>
      </c>
      <c r="AY235" s="54" t="str">
        <f t="shared" si="139"/>
        <v/>
      </c>
      <c r="AZ235" s="54" t="str">
        <f t="shared" si="128"/>
        <v/>
      </c>
      <c r="BA235" s="54" t="str">
        <f t="shared" si="129"/>
        <v/>
      </c>
      <c r="BB235" s="135" t="str">
        <f t="shared" si="130"/>
        <v/>
      </c>
      <c r="BC235" s="54" t="str">
        <f t="shared" si="143"/>
        <v/>
      </c>
      <c r="BD235" s="54" t="str">
        <f t="shared" si="143"/>
        <v/>
      </c>
      <c r="BE235" s="54" t="str">
        <f t="shared" si="143"/>
        <v/>
      </c>
      <c r="BF235" s="54" t="str">
        <f t="shared" si="131"/>
        <v/>
      </c>
      <c r="BG235" s="54" t="str">
        <f t="shared" si="132"/>
        <v/>
      </c>
      <c r="BH235" s="34" t="str">
        <f t="shared" si="133"/>
        <v>Bad</v>
      </c>
      <c r="BI235" s="34" t="str">
        <f t="shared" si="134"/>
        <v>No</v>
      </c>
      <c r="BJ235" s="136" t="str">
        <f>IF($D235&lt;&gt;"Feature",".",
IF(VLOOKUP($B235,Feature_List!$A:$AM,MATCH(BJ$1,  Feature_List!$A$1:$AM$1,0),0)=B235,".","NO"))</f>
        <v>.</v>
      </c>
      <c r="BK235" s="136"/>
      <c r="BL235" s="136"/>
      <c r="BM235" s="136" t="str">
        <f>IF($D235&lt;&gt;"Feature",".",
IF(VLOOKUP($B235,Feature_List!$A:$AM,MATCH(BM$1,  Feature_List!$A$1:$AM$1,0),0)=E235,".","NO"))</f>
        <v>.</v>
      </c>
      <c r="BN235" s="136" t="str">
        <f>IF($D235&lt;&gt;"Feature",".",
IF(VLOOKUP($B235,Feature_List!$A:$AM,MATCH(BN$1,  Feature_List!$A$1:$AM$1,0),0)=F235,".","NO"))</f>
        <v>.</v>
      </c>
      <c r="BO235" s="136" t="str">
        <f>IF($D235&lt;&gt;"Feature",".",
IF(VLOOKUP($B235,Feature_List!$A:$AM,MATCH(BO$1,  Feature_List!$A$1:$AM$1,0),0)=G235,".","NO"))</f>
        <v>.</v>
      </c>
      <c r="BP235" s="136" t="str">
        <f>IF($D235&lt;&gt;"Feature",".",
IF(VLOOKUP($B235,Feature_List!$A:$AM,MATCH(BP$1,  Feature_List!$A$1:$AM$1,0),0)=H235,".","NO"))</f>
        <v>.</v>
      </c>
      <c r="BQ235" s="136"/>
      <c r="BR235" s="136" t="str">
        <f>IF($D235&lt;&gt;"Feature",".",
IF(VLOOKUP($B235,Feature_List!$A:$AM,MATCH(BR$1,  Feature_List!$A$1:$AM$1,0),0)=J235,".","NO"))</f>
        <v>.</v>
      </c>
      <c r="BS235" s="136"/>
      <c r="BT235" s="136"/>
      <c r="BU235" s="136" t="str">
        <f>IF($D235&lt;&gt;"Feature",".",
IF(VLOOKUP($B235,Feature_List!$A:$AM,MATCH(BU$1,  Feature_List!$A$1:$AM$1,0),0)=M235,".","NO"))</f>
        <v>.</v>
      </c>
      <c r="BV235" s="136" t="str">
        <f>IF($D235&lt;&gt;"Feature",".",
IF(VLOOKUP($B235,Feature_List!$A:$AM,MATCH(BV$1,  Feature_List!$A$1:$AM$1,0),0)=N235,".","NO"))</f>
        <v>.</v>
      </c>
      <c r="BW235" s="136"/>
      <c r="BX235" s="136"/>
      <c r="BY235" s="136"/>
      <c r="BZ235" s="136"/>
      <c r="CA235" s="136"/>
      <c r="CB235" s="136" t="str">
        <f>IF($D235&lt;&gt;"Feature",".",
IF(VLOOKUP($B235,Feature_List!$A:$AM,MATCH(CB$1,  Feature_List!$A$1:$AM$1,0),0)=T235,".","NO"))</f>
        <v>.</v>
      </c>
      <c r="CC235" s="136"/>
      <c r="CD235" s="136"/>
      <c r="CE235" s="136"/>
      <c r="CF235" s="136"/>
      <c r="CG235" s="136"/>
      <c r="CH235" s="136"/>
      <c r="CI235" s="136"/>
      <c r="CJ235" s="136"/>
      <c r="CK235" s="136"/>
      <c r="CL235" s="136"/>
      <c r="CM235" s="136"/>
      <c r="CN235" s="136"/>
      <c r="CO235" s="136" t="str">
        <f>IF($D235&lt;&gt;"Feature",".",
IF(VLOOKUP($B235,Feature_List!$A:$AM,MATCH(CO$1,  Feature_List!$A$1:$AM$1,0),0)=AG235,".","NO"))</f>
        <v>.</v>
      </c>
      <c r="CP235" s="136" t="str">
        <f>IF($D235&lt;&gt;"Feature",".",
IF(VLOOKUP($B235,Feature_List!$A:$AM,MATCH(CP$1,  Feature_List!$A$1:$AM$1,0),0)=AH235,".","NO"))</f>
        <v>.</v>
      </c>
      <c r="CQ235" s="136" t="str">
        <f>IF($D235&lt;&gt;"Feature",".",
IF(VLOOKUP($B235,Feature_List!$A:$AM,MATCH(CQ$1,  Feature_List!$A$1:$AM$1,0),0)=AI235,".","NO"))</f>
        <v>.</v>
      </c>
      <c r="CR235" s="136" t="str">
        <f>IF($D235&lt;&gt;"Feature",".",
IF(VLOOKUP($B235,Feature_List!$A:$AM,MATCH(CR$1,  Feature_List!$A$1:$AM$1,0),0)=AJ235,".","NO"))</f>
        <v>.</v>
      </c>
      <c r="CS235" s="136" t="str">
        <f>IF($D235&lt;&gt;"Feature",".",
IF(VLOOKUP($B235,Feature_List!$A:$AM,MATCH(CS$1,  Feature_List!$A$1:$AM$1,0),0)=AK235,".","NO"))</f>
        <v>.</v>
      </c>
      <c r="CT235" s="136" t="str">
        <f>IF($D235&lt;&gt;"Feature",".",
IF(VLOOKUP($B235,Feature_List!$A:$AM,MATCH(CT$1,  Feature_List!$A$1:$AM$1,0),0)=AL235,".","NO"))</f>
        <v>.</v>
      </c>
      <c r="CU235" s="136" t="str">
        <f>IF($D235&lt;&gt;"Feature",".",
IF(VLOOKUP($B235,Feature_List!$A:$AM,MATCH(CU$1,  Feature_List!$A$1:$AM$1,0),0)=AM235,".","NO"))</f>
        <v>.</v>
      </c>
      <c r="CV235" s="136" t="str">
        <f>IF($D235&lt;&gt;"Feature",".",
IF(VLOOKUP($B235,Feature_List!$A:$AM,MATCH(CV$1,  Feature_List!$A$1:$AM$1,0),0)=AN235,".","NO"))</f>
        <v>.</v>
      </c>
      <c r="CW235" s="136" t="str">
        <f>IF($D235&lt;&gt;"Feature",".",
IF(VLOOKUP($B235,Feature_List!$A:$AM,MATCH(CW$1,  Feature_List!$A$1:$AM$1,0),0)=AO235,".","NO"))</f>
        <v>.</v>
      </c>
      <c r="CX235" s="136" t="str">
        <f>IF($D235&lt;&gt;"Feature",".",
IF(VLOOKUP($B235,Feature_List!$A:$AM,MATCH(CX$1,  Feature_List!$A$1:$AM$1,0),0)=AP235,".","NO"))</f>
        <v>.</v>
      </c>
      <c r="CY235" s="136" t="str">
        <f>IF($D235&lt;&gt;"Feature",".",
IF(VLOOKUP($B235,Feature_List!$A:$AM,MATCH(CY$1,  Feature_List!$A$1:$AM$1,0),0)=AQ235,".","NO"))</f>
        <v>.</v>
      </c>
      <c r="CZ235" s="136" t="str">
        <f>IF($D235&lt;&gt;"Feature",".",
IF(VLOOKUP($B235,Feature_List!$A:$AM,MATCH(CZ$1,  Feature_List!$A$1:$AM$1,0),0)=AR235,".","NO"))</f>
        <v>.</v>
      </c>
      <c r="DA235" s="136" t="str">
        <f>IF($D235&lt;&gt;"Feature",".",
IF(VLOOKUP($B235,Feature_List!$A:$AM,MATCH(DA$1,  Feature_List!$A$1:$AM$1,0),0)=AS235,".","NO"))</f>
        <v>.</v>
      </c>
      <c r="DB235" s="136" t="str">
        <f>IF($D235&lt;&gt;"Feature",".",
IF(VLOOKUP($B235,Feature_List!$A:$AM,MATCH(DB$1,  Feature_List!$A$1:$AM$1,0),0)=AT235,".","NO"))</f>
        <v>.</v>
      </c>
      <c r="DC235" s="136" t="str">
        <f>IF($D235&lt;&gt;"Feature",".",
IF(VLOOKUP($B235,Feature_List!$A:$AM,MATCH(DC$1,  Feature_List!$A$1:$AM$1,0),0)=AU235,".","NO"))</f>
        <v>.</v>
      </c>
      <c r="DD235" s="136" t="str">
        <f>IF($D235&lt;&gt;"Feature",".",
IF(VLOOKUP($B235,Feature_List!$A:$AM,MATCH(DD$1,  Feature_List!$A$1:$AM$1,0),0)=AV235,".","NO"))</f>
        <v>.</v>
      </c>
      <c r="DE235" s="136" t="str">
        <f>IF($D235&lt;&gt;"Feature",".",
IF(VLOOKUP($B235,Feature_List!$A:$AM,MATCH(DE$1,  Feature_List!$A$1:$AM$1,0),0)=AW235,".","NO"))</f>
        <v>.</v>
      </c>
      <c r="DF235" s="136" t="str">
        <f>IF($D235&lt;&gt;"Feature",".",
IF(VLOOKUP($B235,Feature_List!$A:$AM,MATCH(DF$1,  Feature_List!$A$1:$AM$1,0),0)=AX235,".","NO"))</f>
        <v>.</v>
      </c>
      <c r="DG235" s="136" t="str">
        <f>IF($D235&lt;&gt;"Feature",".",
IF(VLOOKUP($B235,Feature_List!$A:$AM,MATCH(DG$1,  Feature_List!$A$1:$AM$1,0),0)=AY235,".","NO"))</f>
        <v>.</v>
      </c>
      <c r="DH235" s="136" t="str">
        <f>IF($D235&lt;&gt;"Feature",".",
IF(VLOOKUP($B235,Feature_List!$A:$AM,MATCH(DH$1,  Feature_List!$A$1:$AM$1,0),0)=AZ235,".","NO"))</f>
        <v>.</v>
      </c>
      <c r="DI235" s="136" t="str">
        <f>IF($D235&lt;&gt;"Feature",".",
IF(VLOOKUP($B235,Feature_List!$A:$AM,MATCH(DI$1,  Feature_List!$A$1:$AM$1,0),0)=BA235,".","NO"))</f>
        <v>.</v>
      </c>
      <c r="DJ235" s="136" t="str">
        <f>IF($D235&lt;&gt;"Feature",".",
IF(VLOOKUP($B235,Feature_List!$A:$AM,MATCH(DJ$1,  Feature_List!$A$1:$AM$1,0),0)=BB235,".","NO"))</f>
        <v>.</v>
      </c>
      <c r="DK235" s="136"/>
      <c r="DL235" s="136"/>
      <c r="DM235" s="136"/>
      <c r="DN235" s="136" t="str">
        <f>IF($D235&lt;&gt;"Feature",".",
IF(VLOOKUP($B235,Feature_List!$A:$AM,MATCH(DN$1,  Feature_List!$A$1:$AM$1,0),0)=BC235,".","NO"))</f>
        <v>.</v>
      </c>
      <c r="DO235" s="136" t="str">
        <f>IF($D235&lt;&gt;"Feature",".",
IF(VLOOKUP($B235,Feature_List!$A:$AM,MATCH(DO$1,  Feature_List!$A$1:$AM$1,0),0)=BD235,".","NO"))</f>
        <v>.</v>
      </c>
    </row>
    <row r="236" spans="2:119" x14ac:dyDescent="0.3">
      <c r="B236" s="121"/>
      <c r="C236" s="122"/>
      <c r="D236" s="122"/>
      <c r="E236" s="122"/>
      <c r="F236" s="123"/>
      <c r="G236" s="123"/>
      <c r="H236" s="122"/>
      <c r="I236" s="124"/>
      <c r="J236" s="123"/>
      <c r="K236" s="123"/>
      <c r="L236" s="122"/>
      <c r="M236" s="122"/>
      <c r="N236" s="122"/>
      <c r="O236" s="123">
        <f t="shared" si="112"/>
        <v>0</v>
      </c>
      <c r="P236" s="123">
        <f t="shared" si="113"/>
        <v>0</v>
      </c>
      <c r="Q236" s="122" t="str">
        <f t="shared" si="135"/>
        <v>ZeroEntry</v>
      </c>
      <c r="R236" s="126" t="str">
        <f t="shared" si="114"/>
        <v>ZeroEntry</v>
      </c>
      <c r="S236" s="127" t="str">
        <f t="shared" si="115"/>
        <v>ZeroEntry</v>
      </c>
      <c r="T236" s="128" t="str">
        <f>IF($Q236="ZeroEntry", "",VLOOKUP($I236,'Ranking Lookup'!#REF!,2,FALSE))</f>
        <v/>
      </c>
      <c r="U236" s="129" t="str">
        <f t="shared" si="116"/>
        <v/>
      </c>
      <c r="V236" s="129" t="str">
        <f t="shared" si="117"/>
        <v/>
      </c>
      <c r="W236" s="129" t="str">
        <f t="shared" si="118"/>
        <v/>
      </c>
      <c r="X236" s="129" t="str">
        <f t="shared" si="119"/>
        <v/>
      </c>
      <c r="Y236" s="129" t="str">
        <f t="shared" si="120"/>
        <v/>
      </c>
      <c r="Z236" s="129" t="str">
        <f t="shared" si="121"/>
        <v/>
      </c>
      <c r="AA236" s="130"/>
      <c r="AB236" s="130" t="str">
        <f t="shared" si="122"/>
        <v>Unassigned</v>
      </c>
      <c r="AC236" s="131" t="str">
        <f t="shared" si="136"/>
        <v/>
      </c>
      <c r="AD236" s="131" t="str">
        <f t="shared" si="137"/>
        <v/>
      </c>
      <c r="AE236" s="132">
        <f t="shared" si="123"/>
        <v>0</v>
      </c>
      <c r="AF236" s="133" t="str">
        <f t="shared" si="138"/>
        <v/>
      </c>
      <c r="AG236" s="134">
        <f t="shared" si="124"/>
        <v>0</v>
      </c>
      <c r="AH236" s="54" t="str">
        <f t="shared" si="125"/>
        <v/>
      </c>
      <c r="AI236" s="54" t="str">
        <f t="shared" si="145"/>
        <v/>
      </c>
      <c r="AJ236" s="54" t="str">
        <f t="shared" si="145"/>
        <v/>
      </c>
      <c r="AK236" s="54" t="str">
        <f t="shared" si="145"/>
        <v/>
      </c>
      <c r="AL236" s="54" t="str">
        <f t="shared" si="145"/>
        <v/>
      </c>
      <c r="AM236" s="54" t="str">
        <f t="shared" si="145"/>
        <v/>
      </c>
      <c r="AN236" s="54" t="str">
        <f t="shared" si="145"/>
        <v/>
      </c>
      <c r="AO236" s="54" t="str">
        <f t="shared" si="145"/>
        <v/>
      </c>
      <c r="AP236" s="54" t="str">
        <f t="shared" si="145"/>
        <v/>
      </c>
      <c r="AQ236" s="54" t="str">
        <f t="shared" si="145"/>
        <v/>
      </c>
      <c r="AR236" s="54" t="str">
        <f t="shared" si="145"/>
        <v/>
      </c>
      <c r="AS236" s="54" t="str">
        <f t="shared" si="145"/>
        <v/>
      </c>
      <c r="AT236" s="54" t="str">
        <f t="shared" si="145"/>
        <v/>
      </c>
      <c r="AU236" s="54" t="str">
        <f t="shared" si="145"/>
        <v/>
      </c>
      <c r="AV236" s="54" t="str">
        <f t="shared" si="145"/>
        <v/>
      </c>
      <c r="AW236" s="54" t="str">
        <f t="shared" si="145"/>
        <v/>
      </c>
      <c r="AX236" s="54" t="str">
        <f t="shared" si="145"/>
        <v/>
      </c>
      <c r="AY236" s="54" t="str">
        <f t="shared" si="139"/>
        <v/>
      </c>
      <c r="AZ236" s="54" t="str">
        <f t="shared" si="128"/>
        <v/>
      </c>
      <c r="BA236" s="54" t="str">
        <f t="shared" si="129"/>
        <v/>
      </c>
      <c r="BB236" s="135" t="str">
        <f t="shared" si="130"/>
        <v/>
      </c>
      <c r="BC236" s="54" t="str">
        <f t="shared" si="143"/>
        <v/>
      </c>
      <c r="BD236" s="54" t="str">
        <f t="shared" si="143"/>
        <v/>
      </c>
      <c r="BE236" s="54" t="str">
        <f t="shared" si="143"/>
        <v/>
      </c>
      <c r="BF236" s="54" t="str">
        <f t="shared" si="131"/>
        <v/>
      </c>
      <c r="BG236" s="54" t="str">
        <f t="shared" si="132"/>
        <v/>
      </c>
      <c r="BH236" s="34" t="str">
        <f t="shared" si="133"/>
        <v>Bad</v>
      </c>
      <c r="BI236" s="34" t="str">
        <f t="shared" si="134"/>
        <v>No</v>
      </c>
      <c r="BJ236" s="136" t="str">
        <f>IF($D236&lt;&gt;"Feature",".",
IF(VLOOKUP($B236,Feature_List!$A:$AM,MATCH(BJ$1,  Feature_List!$A$1:$AM$1,0),0)=B236,".","NO"))</f>
        <v>.</v>
      </c>
      <c r="BK236" s="136"/>
      <c r="BL236" s="136"/>
      <c r="BM236" s="136" t="str">
        <f>IF($D236&lt;&gt;"Feature",".",
IF(VLOOKUP($B236,Feature_List!$A:$AM,MATCH(BM$1,  Feature_List!$A$1:$AM$1,0),0)=E236,".","NO"))</f>
        <v>.</v>
      </c>
      <c r="BN236" s="136" t="str">
        <f>IF($D236&lt;&gt;"Feature",".",
IF(VLOOKUP($B236,Feature_List!$A:$AM,MATCH(BN$1,  Feature_List!$A$1:$AM$1,0),0)=F236,".","NO"))</f>
        <v>.</v>
      </c>
      <c r="BO236" s="136" t="str">
        <f>IF($D236&lt;&gt;"Feature",".",
IF(VLOOKUP($B236,Feature_List!$A:$AM,MATCH(BO$1,  Feature_List!$A$1:$AM$1,0),0)=G236,".","NO"))</f>
        <v>.</v>
      </c>
      <c r="BP236" s="136" t="str">
        <f>IF($D236&lt;&gt;"Feature",".",
IF(VLOOKUP($B236,Feature_List!$A:$AM,MATCH(BP$1,  Feature_List!$A$1:$AM$1,0),0)=H236,".","NO"))</f>
        <v>.</v>
      </c>
      <c r="BQ236" s="136"/>
      <c r="BR236" s="136" t="str">
        <f>IF($D236&lt;&gt;"Feature",".",
IF(VLOOKUP($B236,Feature_List!$A:$AM,MATCH(BR$1,  Feature_List!$A$1:$AM$1,0),0)=J236,".","NO"))</f>
        <v>.</v>
      </c>
      <c r="BS236" s="136"/>
      <c r="BT236" s="136"/>
      <c r="BU236" s="136" t="str">
        <f>IF($D236&lt;&gt;"Feature",".",
IF(VLOOKUP($B236,Feature_List!$A:$AM,MATCH(BU$1,  Feature_List!$A$1:$AM$1,0),0)=M236,".","NO"))</f>
        <v>.</v>
      </c>
      <c r="BV236" s="136" t="str">
        <f>IF($D236&lt;&gt;"Feature",".",
IF(VLOOKUP($B236,Feature_List!$A:$AM,MATCH(BV$1,  Feature_List!$A$1:$AM$1,0),0)=N236,".","NO"))</f>
        <v>.</v>
      </c>
      <c r="BW236" s="136"/>
      <c r="BX236" s="136"/>
      <c r="BY236" s="136"/>
      <c r="BZ236" s="136"/>
      <c r="CA236" s="136"/>
      <c r="CB236" s="136" t="str">
        <f>IF($D236&lt;&gt;"Feature",".",
IF(VLOOKUP($B236,Feature_List!$A:$AM,MATCH(CB$1,  Feature_List!$A$1:$AM$1,0),0)=T236,".","NO"))</f>
        <v>.</v>
      </c>
      <c r="CC236" s="136"/>
      <c r="CD236" s="136"/>
      <c r="CE236" s="136"/>
      <c r="CF236" s="136"/>
      <c r="CG236" s="136"/>
      <c r="CH236" s="136"/>
      <c r="CI236" s="136"/>
      <c r="CJ236" s="136"/>
      <c r="CK236" s="136"/>
      <c r="CL236" s="136"/>
      <c r="CM236" s="136"/>
      <c r="CN236" s="136"/>
      <c r="CO236" s="136" t="str">
        <f>IF($D236&lt;&gt;"Feature",".",
IF(VLOOKUP($B236,Feature_List!$A:$AM,MATCH(CO$1,  Feature_List!$A$1:$AM$1,0),0)=AG236,".","NO"))</f>
        <v>.</v>
      </c>
      <c r="CP236" s="136" t="str">
        <f>IF($D236&lt;&gt;"Feature",".",
IF(VLOOKUP($B236,Feature_List!$A:$AM,MATCH(CP$1,  Feature_List!$A$1:$AM$1,0),0)=AH236,".","NO"))</f>
        <v>.</v>
      </c>
      <c r="CQ236" s="136" t="str">
        <f>IF($D236&lt;&gt;"Feature",".",
IF(VLOOKUP($B236,Feature_List!$A:$AM,MATCH(CQ$1,  Feature_List!$A$1:$AM$1,0),0)=AI236,".","NO"))</f>
        <v>.</v>
      </c>
      <c r="CR236" s="136" t="str">
        <f>IF($D236&lt;&gt;"Feature",".",
IF(VLOOKUP($B236,Feature_List!$A:$AM,MATCH(CR$1,  Feature_List!$A$1:$AM$1,0),0)=AJ236,".","NO"))</f>
        <v>.</v>
      </c>
      <c r="CS236" s="136" t="str">
        <f>IF($D236&lt;&gt;"Feature",".",
IF(VLOOKUP($B236,Feature_List!$A:$AM,MATCH(CS$1,  Feature_List!$A$1:$AM$1,0),0)=AK236,".","NO"))</f>
        <v>.</v>
      </c>
      <c r="CT236" s="136" t="str">
        <f>IF($D236&lt;&gt;"Feature",".",
IF(VLOOKUP($B236,Feature_List!$A:$AM,MATCH(CT$1,  Feature_List!$A$1:$AM$1,0),0)=AL236,".","NO"))</f>
        <v>.</v>
      </c>
      <c r="CU236" s="136" t="str">
        <f>IF($D236&lt;&gt;"Feature",".",
IF(VLOOKUP($B236,Feature_List!$A:$AM,MATCH(CU$1,  Feature_List!$A$1:$AM$1,0),0)=AM236,".","NO"))</f>
        <v>.</v>
      </c>
      <c r="CV236" s="136" t="str">
        <f>IF($D236&lt;&gt;"Feature",".",
IF(VLOOKUP($B236,Feature_List!$A:$AM,MATCH(CV$1,  Feature_List!$A$1:$AM$1,0),0)=AN236,".","NO"))</f>
        <v>.</v>
      </c>
      <c r="CW236" s="136" t="str">
        <f>IF($D236&lt;&gt;"Feature",".",
IF(VLOOKUP($B236,Feature_List!$A:$AM,MATCH(CW$1,  Feature_List!$A$1:$AM$1,0),0)=AO236,".","NO"))</f>
        <v>.</v>
      </c>
      <c r="CX236" s="136" t="str">
        <f>IF($D236&lt;&gt;"Feature",".",
IF(VLOOKUP($B236,Feature_List!$A:$AM,MATCH(CX$1,  Feature_List!$A$1:$AM$1,0),0)=AP236,".","NO"))</f>
        <v>.</v>
      </c>
      <c r="CY236" s="136" t="str">
        <f>IF($D236&lt;&gt;"Feature",".",
IF(VLOOKUP($B236,Feature_List!$A:$AM,MATCH(CY$1,  Feature_List!$A$1:$AM$1,0),0)=AQ236,".","NO"))</f>
        <v>.</v>
      </c>
      <c r="CZ236" s="136" t="str">
        <f>IF($D236&lt;&gt;"Feature",".",
IF(VLOOKUP($B236,Feature_List!$A:$AM,MATCH(CZ$1,  Feature_List!$A$1:$AM$1,0),0)=AR236,".","NO"))</f>
        <v>.</v>
      </c>
      <c r="DA236" s="136" t="str">
        <f>IF($D236&lt;&gt;"Feature",".",
IF(VLOOKUP($B236,Feature_List!$A:$AM,MATCH(DA$1,  Feature_List!$A$1:$AM$1,0),0)=AS236,".","NO"))</f>
        <v>.</v>
      </c>
      <c r="DB236" s="136" t="str">
        <f>IF($D236&lt;&gt;"Feature",".",
IF(VLOOKUP($B236,Feature_List!$A:$AM,MATCH(DB$1,  Feature_List!$A$1:$AM$1,0),0)=AT236,".","NO"))</f>
        <v>.</v>
      </c>
      <c r="DC236" s="136" t="str">
        <f>IF($D236&lt;&gt;"Feature",".",
IF(VLOOKUP($B236,Feature_List!$A:$AM,MATCH(DC$1,  Feature_List!$A$1:$AM$1,0),0)=AU236,".","NO"))</f>
        <v>.</v>
      </c>
      <c r="DD236" s="136" t="str">
        <f>IF($D236&lt;&gt;"Feature",".",
IF(VLOOKUP($B236,Feature_List!$A:$AM,MATCH(DD$1,  Feature_List!$A$1:$AM$1,0),0)=AV236,".","NO"))</f>
        <v>.</v>
      </c>
      <c r="DE236" s="136" t="str">
        <f>IF($D236&lt;&gt;"Feature",".",
IF(VLOOKUP($B236,Feature_List!$A:$AM,MATCH(DE$1,  Feature_List!$A$1:$AM$1,0),0)=AW236,".","NO"))</f>
        <v>.</v>
      </c>
      <c r="DF236" s="136" t="str">
        <f>IF($D236&lt;&gt;"Feature",".",
IF(VLOOKUP($B236,Feature_List!$A:$AM,MATCH(DF$1,  Feature_List!$A$1:$AM$1,0),0)=AX236,".","NO"))</f>
        <v>.</v>
      </c>
      <c r="DG236" s="136" t="str">
        <f>IF($D236&lt;&gt;"Feature",".",
IF(VLOOKUP($B236,Feature_List!$A:$AM,MATCH(DG$1,  Feature_List!$A$1:$AM$1,0),0)=AY236,".","NO"))</f>
        <v>.</v>
      </c>
      <c r="DH236" s="136" t="str">
        <f>IF($D236&lt;&gt;"Feature",".",
IF(VLOOKUP($B236,Feature_List!$A:$AM,MATCH(DH$1,  Feature_List!$A$1:$AM$1,0),0)=AZ236,".","NO"))</f>
        <v>.</v>
      </c>
      <c r="DI236" s="136" t="str">
        <f>IF($D236&lt;&gt;"Feature",".",
IF(VLOOKUP($B236,Feature_List!$A:$AM,MATCH(DI$1,  Feature_List!$A$1:$AM$1,0),0)=BA236,".","NO"))</f>
        <v>.</v>
      </c>
      <c r="DJ236" s="136" t="str">
        <f>IF($D236&lt;&gt;"Feature",".",
IF(VLOOKUP($B236,Feature_List!$A:$AM,MATCH(DJ$1,  Feature_List!$A$1:$AM$1,0),0)=BB236,".","NO"))</f>
        <v>.</v>
      </c>
      <c r="DK236" s="136"/>
      <c r="DL236" s="136"/>
      <c r="DM236" s="136"/>
      <c r="DN236" s="136" t="str">
        <f>IF($D236&lt;&gt;"Feature",".",
IF(VLOOKUP($B236,Feature_List!$A:$AM,MATCH(DN$1,  Feature_List!$A$1:$AM$1,0),0)=BC236,".","NO"))</f>
        <v>.</v>
      </c>
      <c r="DO236" s="136" t="str">
        <f>IF($D236&lt;&gt;"Feature",".",
IF(VLOOKUP($B236,Feature_List!$A:$AM,MATCH(DO$1,  Feature_List!$A$1:$AM$1,0),0)=BD236,".","NO"))</f>
        <v>.</v>
      </c>
    </row>
    <row r="237" spans="2:119" x14ac:dyDescent="0.3">
      <c r="B237" s="121"/>
      <c r="C237" s="122"/>
      <c r="D237" s="122"/>
      <c r="E237" s="122"/>
      <c r="F237" s="123"/>
      <c r="G237" s="123"/>
      <c r="H237" s="122"/>
      <c r="I237" s="124"/>
      <c r="J237" s="123"/>
      <c r="K237" s="123"/>
      <c r="L237" s="122"/>
      <c r="M237" s="122"/>
      <c r="N237" s="122"/>
      <c r="O237" s="123">
        <f t="shared" si="112"/>
        <v>0</v>
      </c>
      <c r="P237" s="123">
        <f t="shared" si="113"/>
        <v>0</v>
      </c>
      <c r="Q237" s="122" t="str">
        <f t="shared" si="135"/>
        <v>ZeroEntry</v>
      </c>
      <c r="R237" s="126" t="str">
        <f t="shared" si="114"/>
        <v>ZeroEntry</v>
      </c>
      <c r="S237" s="127" t="str">
        <f t="shared" si="115"/>
        <v>ZeroEntry</v>
      </c>
      <c r="T237" s="128" t="str">
        <f>IF($Q237="ZeroEntry", "",VLOOKUP($I237,'Ranking Lookup'!#REF!,2,FALSE))</f>
        <v/>
      </c>
      <c r="U237" s="129" t="str">
        <f t="shared" si="116"/>
        <v/>
      </c>
      <c r="V237" s="129" t="str">
        <f t="shared" si="117"/>
        <v/>
      </c>
      <c r="W237" s="129" t="str">
        <f t="shared" si="118"/>
        <v/>
      </c>
      <c r="X237" s="129" t="str">
        <f t="shared" si="119"/>
        <v/>
      </c>
      <c r="Y237" s="129" t="str">
        <f t="shared" si="120"/>
        <v/>
      </c>
      <c r="Z237" s="129" t="str">
        <f t="shared" si="121"/>
        <v/>
      </c>
      <c r="AA237" s="130"/>
      <c r="AB237" s="130" t="str">
        <f t="shared" si="122"/>
        <v>Unassigned</v>
      </c>
      <c r="AC237" s="131" t="str">
        <f t="shared" si="136"/>
        <v/>
      </c>
      <c r="AD237" s="131" t="str">
        <f t="shared" si="137"/>
        <v/>
      </c>
      <c r="AE237" s="132">
        <f t="shared" si="123"/>
        <v>0</v>
      </c>
      <c r="AF237" s="133" t="str">
        <f t="shared" si="138"/>
        <v/>
      </c>
      <c r="AG237" s="134">
        <f t="shared" si="124"/>
        <v>0</v>
      </c>
      <c r="AH237" s="54" t="str">
        <f t="shared" si="125"/>
        <v/>
      </c>
      <c r="AI237" s="54" t="str">
        <f t="shared" si="145"/>
        <v/>
      </c>
      <c r="AJ237" s="54" t="str">
        <f t="shared" si="145"/>
        <v/>
      </c>
      <c r="AK237" s="54" t="str">
        <f t="shared" si="145"/>
        <v/>
      </c>
      <c r="AL237" s="54" t="str">
        <f t="shared" si="145"/>
        <v/>
      </c>
      <c r="AM237" s="54" t="str">
        <f t="shared" si="145"/>
        <v/>
      </c>
      <c r="AN237" s="54" t="str">
        <f t="shared" si="145"/>
        <v/>
      </c>
      <c r="AO237" s="54" t="str">
        <f t="shared" si="145"/>
        <v/>
      </c>
      <c r="AP237" s="54" t="str">
        <f t="shared" si="145"/>
        <v/>
      </c>
      <c r="AQ237" s="54" t="str">
        <f t="shared" si="145"/>
        <v/>
      </c>
      <c r="AR237" s="54" t="str">
        <f t="shared" si="145"/>
        <v/>
      </c>
      <c r="AS237" s="54" t="str">
        <f t="shared" si="145"/>
        <v/>
      </c>
      <c r="AT237" s="54" t="str">
        <f t="shared" si="145"/>
        <v/>
      </c>
      <c r="AU237" s="54" t="str">
        <f t="shared" si="145"/>
        <v/>
      </c>
      <c r="AV237" s="54" t="str">
        <f t="shared" si="145"/>
        <v/>
      </c>
      <c r="AW237" s="54" t="str">
        <f t="shared" si="145"/>
        <v/>
      </c>
      <c r="AX237" s="54" t="str">
        <f t="shared" si="145"/>
        <v/>
      </c>
      <c r="AY237" s="54" t="str">
        <f t="shared" si="139"/>
        <v/>
      </c>
      <c r="AZ237" s="54" t="str">
        <f t="shared" si="128"/>
        <v/>
      </c>
      <c r="BA237" s="54" t="str">
        <f t="shared" si="129"/>
        <v/>
      </c>
      <c r="BB237" s="135" t="str">
        <f t="shared" si="130"/>
        <v/>
      </c>
      <c r="BC237" s="54" t="str">
        <f t="shared" si="143"/>
        <v/>
      </c>
      <c r="BD237" s="54" t="str">
        <f t="shared" si="143"/>
        <v/>
      </c>
      <c r="BE237" s="54" t="str">
        <f t="shared" si="143"/>
        <v/>
      </c>
      <c r="BF237" s="54" t="str">
        <f t="shared" si="131"/>
        <v/>
      </c>
      <c r="BG237" s="54" t="str">
        <f t="shared" si="132"/>
        <v/>
      </c>
      <c r="BH237" s="34" t="str">
        <f t="shared" si="133"/>
        <v>Bad</v>
      </c>
      <c r="BI237" s="34" t="str">
        <f t="shared" si="134"/>
        <v>No</v>
      </c>
      <c r="BJ237" s="136" t="str">
        <f>IF($D237&lt;&gt;"Feature",".",
IF(VLOOKUP($B237,Feature_List!$A:$AM,MATCH(BJ$1,  Feature_List!$A$1:$AM$1,0),0)=B237,".","NO"))</f>
        <v>.</v>
      </c>
      <c r="BK237" s="136"/>
      <c r="BL237" s="136"/>
      <c r="BM237" s="136" t="str">
        <f>IF($D237&lt;&gt;"Feature",".",
IF(VLOOKUP($B237,Feature_List!$A:$AM,MATCH(BM$1,  Feature_List!$A$1:$AM$1,0),0)=E237,".","NO"))</f>
        <v>.</v>
      </c>
      <c r="BN237" s="136" t="str">
        <f>IF($D237&lt;&gt;"Feature",".",
IF(VLOOKUP($B237,Feature_List!$A:$AM,MATCH(BN$1,  Feature_List!$A$1:$AM$1,0),0)=F237,".","NO"))</f>
        <v>.</v>
      </c>
      <c r="BO237" s="136" t="str">
        <f>IF($D237&lt;&gt;"Feature",".",
IF(VLOOKUP($B237,Feature_List!$A:$AM,MATCH(BO$1,  Feature_List!$A$1:$AM$1,0),0)=G237,".","NO"))</f>
        <v>.</v>
      </c>
      <c r="BP237" s="136" t="str">
        <f>IF($D237&lt;&gt;"Feature",".",
IF(VLOOKUP($B237,Feature_List!$A:$AM,MATCH(BP$1,  Feature_List!$A$1:$AM$1,0),0)=H237,".","NO"))</f>
        <v>.</v>
      </c>
      <c r="BQ237" s="136"/>
      <c r="BR237" s="136" t="str">
        <f>IF($D237&lt;&gt;"Feature",".",
IF(VLOOKUP($B237,Feature_List!$A:$AM,MATCH(BR$1,  Feature_List!$A$1:$AM$1,0),0)=J237,".","NO"))</f>
        <v>.</v>
      </c>
      <c r="BS237" s="136"/>
      <c r="BT237" s="136"/>
      <c r="BU237" s="136" t="str">
        <f>IF($D237&lt;&gt;"Feature",".",
IF(VLOOKUP($B237,Feature_List!$A:$AM,MATCH(BU$1,  Feature_List!$A$1:$AM$1,0),0)=M237,".","NO"))</f>
        <v>.</v>
      </c>
      <c r="BV237" s="136" t="str">
        <f>IF($D237&lt;&gt;"Feature",".",
IF(VLOOKUP($B237,Feature_List!$A:$AM,MATCH(BV$1,  Feature_List!$A$1:$AM$1,0),0)=N237,".","NO"))</f>
        <v>.</v>
      </c>
      <c r="BW237" s="136"/>
      <c r="BX237" s="136"/>
      <c r="BY237" s="136"/>
      <c r="BZ237" s="136"/>
      <c r="CA237" s="136"/>
      <c r="CB237" s="136" t="str">
        <f>IF($D237&lt;&gt;"Feature",".",
IF(VLOOKUP($B237,Feature_List!$A:$AM,MATCH(CB$1,  Feature_List!$A$1:$AM$1,0),0)=T237,".","NO"))</f>
        <v>.</v>
      </c>
      <c r="CC237" s="136"/>
      <c r="CD237" s="136"/>
      <c r="CE237" s="136"/>
      <c r="CF237" s="136"/>
      <c r="CG237" s="136"/>
      <c r="CH237" s="136"/>
      <c r="CI237" s="136"/>
      <c r="CJ237" s="136"/>
      <c r="CK237" s="136"/>
      <c r="CL237" s="136"/>
      <c r="CM237" s="136"/>
      <c r="CN237" s="136"/>
      <c r="CO237" s="136" t="str">
        <f>IF($D237&lt;&gt;"Feature",".",
IF(VLOOKUP($B237,Feature_List!$A:$AM,MATCH(CO$1,  Feature_List!$A$1:$AM$1,0),0)=AG237,".","NO"))</f>
        <v>.</v>
      </c>
      <c r="CP237" s="136" t="str">
        <f>IF($D237&lt;&gt;"Feature",".",
IF(VLOOKUP($B237,Feature_List!$A:$AM,MATCH(CP$1,  Feature_List!$A$1:$AM$1,0),0)=AH237,".","NO"))</f>
        <v>.</v>
      </c>
      <c r="CQ237" s="136" t="str">
        <f>IF($D237&lt;&gt;"Feature",".",
IF(VLOOKUP($B237,Feature_List!$A:$AM,MATCH(CQ$1,  Feature_List!$A$1:$AM$1,0),0)=AI237,".","NO"))</f>
        <v>.</v>
      </c>
      <c r="CR237" s="136" t="str">
        <f>IF($D237&lt;&gt;"Feature",".",
IF(VLOOKUP($B237,Feature_List!$A:$AM,MATCH(CR$1,  Feature_List!$A$1:$AM$1,0),0)=AJ237,".","NO"))</f>
        <v>.</v>
      </c>
      <c r="CS237" s="136" t="str">
        <f>IF($D237&lt;&gt;"Feature",".",
IF(VLOOKUP($B237,Feature_List!$A:$AM,MATCH(CS$1,  Feature_List!$A$1:$AM$1,0),0)=AK237,".","NO"))</f>
        <v>.</v>
      </c>
      <c r="CT237" s="136" t="str">
        <f>IF($D237&lt;&gt;"Feature",".",
IF(VLOOKUP($B237,Feature_List!$A:$AM,MATCH(CT$1,  Feature_List!$A$1:$AM$1,0),0)=AL237,".","NO"))</f>
        <v>.</v>
      </c>
      <c r="CU237" s="136" t="str">
        <f>IF($D237&lt;&gt;"Feature",".",
IF(VLOOKUP($B237,Feature_List!$A:$AM,MATCH(CU$1,  Feature_List!$A$1:$AM$1,0),0)=AM237,".","NO"))</f>
        <v>.</v>
      </c>
      <c r="CV237" s="136" t="str">
        <f>IF($D237&lt;&gt;"Feature",".",
IF(VLOOKUP($B237,Feature_List!$A:$AM,MATCH(CV$1,  Feature_List!$A$1:$AM$1,0),0)=AN237,".","NO"))</f>
        <v>.</v>
      </c>
      <c r="CW237" s="136" t="str">
        <f>IF($D237&lt;&gt;"Feature",".",
IF(VLOOKUP($B237,Feature_List!$A:$AM,MATCH(CW$1,  Feature_List!$A$1:$AM$1,0),0)=AO237,".","NO"))</f>
        <v>.</v>
      </c>
      <c r="CX237" s="136" t="str">
        <f>IF($D237&lt;&gt;"Feature",".",
IF(VLOOKUP($B237,Feature_List!$A:$AM,MATCH(CX$1,  Feature_List!$A$1:$AM$1,0),0)=AP237,".","NO"))</f>
        <v>.</v>
      </c>
      <c r="CY237" s="136" t="str">
        <f>IF($D237&lt;&gt;"Feature",".",
IF(VLOOKUP($B237,Feature_List!$A:$AM,MATCH(CY$1,  Feature_List!$A$1:$AM$1,0),0)=AQ237,".","NO"))</f>
        <v>.</v>
      </c>
      <c r="CZ237" s="136" t="str">
        <f>IF($D237&lt;&gt;"Feature",".",
IF(VLOOKUP($B237,Feature_List!$A:$AM,MATCH(CZ$1,  Feature_List!$A$1:$AM$1,0),0)=AR237,".","NO"))</f>
        <v>.</v>
      </c>
      <c r="DA237" s="136" t="str">
        <f>IF($D237&lt;&gt;"Feature",".",
IF(VLOOKUP($B237,Feature_List!$A:$AM,MATCH(DA$1,  Feature_List!$A$1:$AM$1,0),0)=AS237,".","NO"))</f>
        <v>.</v>
      </c>
      <c r="DB237" s="136" t="str">
        <f>IF($D237&lt;&gt;"Feature",".",
IF(VLOOKUP($B237,Feature_List!$A:$AM,MATCH(DB$1,  Feature_List!$A$1:$AM$1,0),0)=AT237,".","NO"))</f>
        <v>.</v>
      </c>
      <c r="DC237" s="136" t="str">
        <f>IF($D237&lt;&gt;"Feature",".",
IF(VLOOKUP($B237,Feature_List!$A:$AM,MATCH(DC$1,  Feature_List!$A$1:$AM$1,0),0)=AU237,".","NO"))</f>
        <v>.</v>
      </c>
      <c r="DD237" s="136" t="str">
        <f>IF($D237&lt;&gt;"Feature",".",
IF(VLOOKUP($B237,Feature_List!$A:$AM,MATCH(DD$1,  Feature_List!$A$1:$AM$1,0),0)=AV237,".","NO"))</f>
        <v>.</v>
      </c>
      <c r="DE237" s="136" t="str">
        <f>IF($D237&lt;&gt;"Feature",".",
IF(VLOOKUP($B237,Feature_List!$A:$AM,MATCH(DE$1,  Feature_List!$A$1:$AM$1,0),0)=AW237,".","NO"))</f>
        <v>.</v>
      </c>
      <c r="DF237" s="136" t="str">
        <f>IF($D237&lt;&gt;"Feature",".",
IF(VLOOKUP($B237,Feature_List!$A:$AM,MATCH(DF$1,  Feature_List!$A$1:$AM$1,0),0)=AX237,".","NO"))</f>
        <v>.</v>
      </c>
      <c r="DG237" s="136" t="str">
        <f>IF($D237&lt;&gt;"Feature",".",
IF(VLOOKUP($B237,Feature_List!$A:$AM,MATCH(DG$1,  Feature_List!$A$1:$AM$1,0),0)=AY237,".","NO"))</f>
        <v>.</v>
      </c>
      <c r="DH237" s="136" t="str">
        <f>IF($D237&lt;&gt;"Feature",".",
IF(VLOOKUP($B237,Feature_List!$A:$AM,MATCH(DH$1,  Feature_List!$A$1:$AM$1,0),0)=AZ237,".","NO"))</f>
        <v>.</v>
      </c>
      <c r="DI237" s="136" t="str">
        <f>IF($D237&lt;&gt;"Feature",".",
IF(VLOOKUP($B237,Feature_List!$A:$AM,MATCH(DI$1,  Feature_List!$A$1:$AM$1,0),0)=BA237,".","NO"))</f>
        <v>.</v>
      </c>
      <c r="DJ237" s="136" t="str">
        <f>IF($D237&lt;&gt;"Feature",".",
IF(VLOOKUP($B237,Feature_List!$A:$AM,MATCH(DJ$1,  Feature_List!$A$1:$AM$1,0),0)=BB237,".","NO"))</f>
        <v>.</v>
      </c>
      <c r="DK237" s="136"/>
      <c r="DL237" s="136"/>
      <c r="DM237" s="136"/>
      <c r="DN237" s="136" t="str">
        <f>IF($D237&lt;&gt;"Feature",".",
IF(VLOOKUP($B237,Feature_List!$A:$AM,MATCH(DN$1,  Feature_List!$A$1:$AM$1,0),0)=BC237,".","NO"))</f>
        <v>.</v>
      </c>
      <c r="DO237" s="136" t="str">
        <f>IF($D237&lt;&gt;"Feature",".",
IF(VLOOKUP($B237,Feature_List!$A:$AM,MATCH(DO$1,  Feature_List!$A$1:$AM$1,0),0)=BD237,".","NO"))</f>
        <v>.</v>
      </c>
    </row>
    <row r="238" spans="2:119" x14ac:dyDescent="0.3">
      <c r="B238" s="121"/>
      <c r="C238" s="122"/>
      <c r="D238" s="122"/>
      <c r="E238" s="122"/>
      <c r="F238" s="123"/>
      <c r="G238" s="123"/>
      <c r="H238" s="122"/>
      <c r="I238" s="124"/>
      <c r="J238" s="123"/>
      <c r="K238" s="123"/>
      <c r="L238" s="122"/>
      <c r="M238" s="122"/>
      <c r="N238" s="122"/>
      <c r="O238" s="123">
        <f t="shared" si="112"/>
        <v>0</v>
      </c>
      <c r="P238" s="123">
        <f t="shared" si="113"/>
        <v>0</v>
      </c>
      <c r="Q238" s="122" t="str">
        <f t="shared" si="135"/>
        <v>ZeroEntry</v>
      </c>
      <c r="R238" s="126" t="str">
        <f t="shared" si="114"/>
        <v>ZeroEntry</v>
      </c>
      <c r="S238" s="127" t="str">
        <f t="shared" si="115"/>
        <v>ZeroEntry</v>
      </c>
      <c r="T238" s="128" t="str">
        <f>IF($Q238="ZeroEntry", "",VLOOKUP($I238,'Ranking Lookup'!#REF!,2,FALSE))</f>
        <v/>
      </c>
      <c r="U238" s="129" t="str">
        <f t="shared" si="116"/>
        <v/>
      </c>
      <c r="V238" s="129" t="str">
        <f t="shared" si="117"/>
        <v/>
      </c>
      <c r="W238" s="129" t="str">
        <f t="shared" si="118"/>
        <v/>
      </c>
      <c r="X238" s="129" t="str">
        <f t="shared" si="119"/>
        <v/>
      </c>
      <c r="Y238" s="129" t="str">
        <f t="shared" si="120"/>
        <v/>
      </c>
      <c r="Z238" s="129" t="str">
        <f t="shared" si="121"/>
        <v/>
      </c>
      <c r="AA238" s="130"/>
      <c r="AB238" s="130" t="str">
        <f t="shared" si="122"/>
        <v>Unassigned</v>
      </c>
      <c r="AC238" s="131" t="str">
        <f t="shared" si="136"/>
        <v/>
      </c>
      <c r="AD238" s="131" t="str">
        <f t="shared" si="137"/>
        <v/>
      </c>
      <c r="AE238" s="132">
        <f t="shared" si="123"/>
        <v>0</v>
      </c>
      <c r="AF238" s="133" t="str">
        <f t="shared" si="138"/>
        <v/>
      </c>
      <c r="AG238" s="134">
        <f t="shared" si="124"/>
        <v>0</v>
      </c>
      <c r="AH238" s="54" t="str">
        <f t="shared" si="125"/>
        <v/>
      </c>
      <c r="AI238" s="54" t="str">
        <f t="shared" si="145"/>
        <v/>
      </c>
      <c r="AJ238" s="54" t="str">
        <f t="shared" si="145"/>
        <v/>
      </c>
      <c r="AK238" s="54" t="str">
        <f t="shared" si="145"/>
        <v/>
      </c>
      <c r="AL238" s="54" t="str">
        <f t="shared" si="145"/>
        <v/>
      </c>
      <c r="AM238" s="54" t="str">
        <f t="shared" si="145"/>
        <v/>
      </c>
      <c r="AN238" s="54" t="str">
        <f t="shared" si="145"/>
        <v/>
      </c>
      <c r="AO238" s="54" t="str">
        <f t="shared" si="145"/>
        <v/>
      </c>
      <c r="AP238" s="54" t="str">
        <f t="shared" si="145"/>
        <v/>
      </c>
      <c r="AQ238" s="54" t="str">
        <f t="shared" si="145"/>
        <v/>
      </c>
      <c r="AR238" s="54" t="str">
        <f t="shared" si="145"/>
        <v/>
      </c>
      <c r="AS238" s="54" t="str">
        <f t="shared" si="145"/>
        <v/>
      </c>
      <c r="AT238" s="54" t="str">
        <f t="shared" si="145"/>
        <v/>
      </c>
      <c r="AU238" s="54" t="str">
        <f t="shared" si="145"/>
        <v/>
      </c>
      <c r="AV238" s="54" t="str">
        <f t="shared" si="145"/>
        <v/>
      </c>
      <c r="AW238" s="54" t="str">
        <f t="shared" si="145"/>
        <v/>
      </c>
      <c r="AX238" s="54" t="str">
        <f t="shared" si="145"/>
        <v/>
      </c>
      <c r="AY238" s="54" t="str">
        <f t="shared" si="139"/>
        <v/>
      </c>
      <c r="AZ238" s="54" t="str">
        <f t="shared" si="128"/>
        <v/>
      </c>
      <c r="BA238" s="54" t="str">
        <f t="shared" si="129"/>
        <v/>
      </c>
      <c r="BB238" s="135" t="str">
        <f t="shared" si="130"/>
        <v/>
      </c>
      <c r="BC238" s="54" t="str">
        <f t="shared" si="143"/>
        <v/>
      </c>
      <c r="BD238" s="54" t="str">
        <f t="shared" si="143"/>
        <v/>
      </c>
      <c r="BE238" s="54" t="str">
        <f t="shared" si="143"/>
        <v/>
      </c>
      <c r="BF238" s="54" t="str">
        <f t="shared" si="131"/>
        <v/>
      </c>
      <c r="BG238" s="54" t="str">
        <f t="shared" si="132"/>
        <v/>
      </c>
      <c r="BH238" s="34" t="str">
        <f t="shared" si="133"/>
        <v>Bad</v>
      </c>
      <c r="BI238" s="34" t="str">
        <f t="shared" si="134"/>
        <v>No</v>
      </c>
      <c r="BJ238" s="136" t="str">
        <f>IF($D238&lt;&gt;"Feature",".",
IF(VLOOKUP($B238,Feature_List!$A:$AM,MATCH(BJ$1,  Feature_List!$A$1:$AM$1,0),0)=B238,".","NO"))</f>
        <v>.</v>
      </c>
      <c r="BK238" s="136"/>
      <c r="BL238" s="136"/>
      <c r="BM238" s="136" t="str">
        <f>IF($D238&lt;&gt;"Feature",".",
IF(VLOOKUP($B238,Feature_List!$A:$AM,MATCH(BM$1,  Feature_List!$A$1:$AM$1,0),0)=E238,".","NO"))</f>
        <v>.</v>
      </c>
      <c r="BN238" s="136" t="str">
        <f>IF($D238&lt;&gt;"Feature",".",
IF(VLOOKUP($B238,Feature_List!$A:$AM,MATCH(BN$1,  Feature_List!$A$1:$AM$1,0),0)=F238,".","NO"))</f>
        <v>.</v>
      </c>
      <c r="BO238" s="136" t="str">
        <f>IF($D238&lt;&gt;"Feature",".",
IF(VLOOKUP($B238,Feature_List!$A:$AM,MATCH(BO$1,  Feature_List!$A$1:$AM$1,0),0)=G238,".","NO"))</f>
        <v>.</v>
      </c>
      <c r="BP238" s="136" t="str">
        <f>IF($D238&lt;&gt;"Feature",".",
IF(VLOOKUP($B238,Feature_List!$A:$AM,MATCH(BP$1,  Feature_List!$A$1:$AM$1,0),0)=H238,".","NO"))</f>
        <v>.</v>
      </c>
      <c r="BQ238" s="136"/>
      <c r="BR238" s="136" t="str">
        <f>IF($D238&lt;&gt;"Feature",".",
IF(VLOOKUP($B238,Feature_List!$A:$AM,MATCH(BR$1,  Feature_List!$A$1:$AM$1,0),0)=J238,".","NO"))</f>
        <v>.</v>
      </c>
      <c r="BS238" s="136"/>
      <c r="BT238" s="136"/>
      <c r="BU238" s="136" t="str">
        <f>IF($D238&lt;&gt;"Feature",".",
IF(VLOOKUP($B238,Feature_List!$A:$AM,MATCH(BU$1,  Feature_List!$A$1:$AM$1,0),0)=M238,".","NO"))</f>
        <v>.</v>
      </c>
      <c r="BV238" s="136" t="str">
        <f>IF($D238&lt;&gt;"Feature",".",
IF(VLOOKUP($B238,Feature_List!$A:$AM,MATCH(BV$1,  Feature_List!$A$1:$AM$1,0),0)=N238,".","NO"))</f>
        <v>.</v>
      </c>
      <c r="BW238" s="136"/>
      <c r="BX238" s="136"/>
      <c r="BY238" s="136"/>
      <c r="BZ238" s="136"/>
      <c r="CA238" s="136"/>
      <c r="CB238" s="136" t="str">
        <f>IF($D238&lt;&gt;"Feature",".",
IF(VLOOKUP($B238,Feature_List!$A:$AM,MATCH(CB$1,  Feature_List!$A$1:$AM$1,0),0)=T238,".","NO"))</f>
        <v>.</v>
      </c>
      <c r="CC238" s="136"/>
      <c r="CD238" s="136"/>
      <c r="CE238" s="136"/>
      <c r="CF238" s="136"/>
      <c r="CG238" s="136"/>
      <c r="CH238" s="136"/>
      <c r="CI238" s="136"/>
      <c r="CJ238" s="136"/>
      <c r="CK238" s="136"/>
      <c r="CL238" s="136"/>
      <c r="CM238" s="136"/>
      <c r="CN238" s="136"/>
      <c r="CO238" s="136" t="str">
        <f>IF($D238&lt;&gt;"Feature",".",
IF(VLOOKUP($B238,Feature_List!$A:$AM,MATCH(CO$1,  Feature_List!$A$1:$AM$1,0),0)=AG238,".","NO"))</f>
        <v>.</v>
      </c>
      <c r="CP238" s="136" t="str">
        <f>IF($D238&lt;&gt;"Feature",".",
IF(VLOOKUP($B238,Feature_List!$A:$AM,MATCH(CP$1,  Feature_List!$A$1:$AM$1,0),0)=AH238,".","NO"))</f>
        <v>.</v>
      </c>
      <c r="CQ238" s="136" t="str">
        <f>IF($D238&lt;&gt;"Feature",".",
IF(VLOOKUP($B238,Feature_List!$A:$AM,MATCH(CQ$1,  Feature_List!$A$1:$AM$1,0),0)=AI238,".","NO"))</f>
        <v>.</v>
      </c>
      <c r="CR238" s="136" t="str">
        <f>IF($D238&lt;&gt;"Feature",".",
IF(VLOOKUP($B238,Feature_List!$A:$AM,MATCH(CR$1,  Feature_List!$A$1:$AM$1,0),0)=AJ238,".","NO"))</f>
        <v>.</v>
      </c>
      <c r="CS238" s="136" t="str">
        <f>IF($D238&lt;&gt;"Feature",".",
IF(VLOOKUP($B238,Feature_List!$A:$AM,MATCH(CS$1,  Feature_List!$A$1:$AM$1,0),0)=AK238,".","NO"))</f>
        <v>.</v>
      </c>
      <c r="CT238" s="136" t="str">
        <f>IF($D238&lt;&gt;"Feature",".",
IF(VLOOKUP($B238,Feature_List!$A:$AM,MATCH(CT$1,  Feature_List!$A$1:$AM$1,0),0)=AL238,".","NO"))</f>
        <v>.</v>
      </c>
      <c r="CU238" s="136" t="str">
        <f>IF($D238&lt;&gt;"Feature",".",
IF(VLOOKUP($B238,Feature_List!$A:$AM,MATCH(CU$1,  Feature_List!$A$1:$AM$1,0),0)=AM238,".","NO"))</f>
        <v>.</v>
      </c>
      <c r="CV238" s="136" t="str">
        <f>IF($D238&lt;&gt;"Feature",".",
IF(VLOOKUP($B238,Feature_List!$A:$AM,MATCH(CV$1,  Feature_List!$A$1:$AM$1,0),0)=AN238,".","NO"))</f>
        <v>.</v>
      </c>
      <c r="CW238" s="136" t="str">
        <f>IF($D238&lt;&gt;"Feature",".",
IF(VLOOKUP($B238,Feature_List!$A:$AM,MATCH(CW$1,  Feature_List!$A$1:$AM$1,0),0)=AO238,".","NO"))</f>
        <v>.</v>
      </c>
      <c r="CX238" s="136" t="str">
        <f>IF($D238&lt;&gt;"Feature",".",
IF(VLOOKUP($B238,Feature_List!$A:$AM,MATCH(CX$1,  Feature_List!$A$1:$AM$1,0),0)=AP238,".","NO"))</f>
        <v>.</v>
      </c>
      <c r="CY238" s="136" t="str">
        <f>IF($D238&lt;&gt;"Feature",".",
IF(VLOOKUP($B238,Feature_List!$A:$AM,MATCH(CY$1,  Feature_List!$A$1:$AM$1,0),0)=AQ238,".","NO"))</f>
        <v>.</v>
      </c>
      <c r="CZ238" s="136" t="str">
        <f>IF($D238&lt;&gt;"Feature",".",
IF(VLOOKUP($B238,Feature_List!$A:$AM,MATCH(CZ$1,  Feature_List!$A$1:$AM$1,0),0)=AR238,".","NO"))</f>
        <v>.</v>
      </c>
      <c r="DA238" s="136" t="str">
        <f>IF($D238&lt;&gt;"Feature",".",
IF(VLOOKUP($B238,Feature_List!$A:$AM,MATCH(DA$1,  Feature_List!$A$1:$AM$1,0),0)=AS238,".","NO"))</f>
        <v>.</v>
      </c>
      <c r="DB238" s="136" t="str">
        <f>IF($D238&lt;&gt;"Feature",".",
IF(VLOOKUP($B238,Feature_List!$A:$AM,MATCH(DB$1,  Feature_List!$A$1:$AM$1,0),0)=AT238,".","NO"))</f>
        <v>.</v>
      </c>
      <c r="DC238" s="136" t="str">
        <f>IF($D238&lt;&gt;"Feature",".",
IF(VLOOKUP($B238,Feature_List!$A:$AM,MATCH(DC$1,  Feature_List!$A$1:$AM$1,0),0)=AU238,".","NO"))</f>
        <v>.</v>
      </c>
      <c r="DD238" s="136" t="str">
        <f>IF($D238&lt;&gt;"Feature",".",
IF(VLOOKUP($B238,Feature_List!$A:$AM,MATCH(DD$1,  Feature_List!$A$1:$AM$1,0),0)=AV238,".","NO"))</f>
        <v>.</v>
      </c>
      <c r="DE238" s="136" t="str">
        <f>IF($D238&lt;&gt;"Feature",".",
IF(VLOOKUP($B238,Feature_List!$A:$AM,MATCH(DE$1,  Feature_List!$A$1:$AM$1,0),0)=AW238,".","NO"))</f>
        <v>.</v>
      </c>
      <c r="DF238" s="136" t="str">
        <f>IF($D238&lt;&gt;"Feature",".",
IF(VLOOKUP($B238,Feature_List!$A:$AM,MATCH(DF$1,  Feature_List!$A$1:$AM$1,0),0)=AX238,".","NO"))</f>
        <v>.</v>
      </c>
      <c r="DG238" s="136" t="str">
        <f>IF($D238&lt;&gt;"Feature",".",
IF(VLOOKUP($B238,Feature_List!$A:$AM,MATCH(DG$1,  Feature_List!$A$1:$AM$1,0),0)=AY238,".","NO"))</f>
        <v>.</v>
      </c>
      <c r="DH238" s="136" t="str">
        <f>IF($D238&lt;&gt;"Feature",".",
IF(VLOOKUP($B238,Feature_List!$A:$AM,MATCH(DH$1,  Feature_List!$A$1:$AM$1,0),0)=AZ238,".","NO"))</f>
        <v>.</v>
      </c>
      <c r="DI238" s="136" t="str">
        <f>IF($D238&lt;&gt;"Feature",".",
IF(VLOOKUP($B238,Feature_List!$A:$AM,MATCH(DI$1,  Feature_List!$A$1:$AM$1,0),0)=BA238,".","NO"))</f>
        <v>.</v>
      </c>
      <c r="DJ238" s="136" t="str">
        <f>IF($D238&lt;&gt;"Feature",".",
IF(VLOOKUP($B238,Feature_List!$A:$AM,MATCH(DJ$1,  Feature_List!$A$1:$AM$1,0),0)=BB238,".","NO"))</f>
        <v>.</v>
      </c>
      <c r="DK238" s="136"/>
      <c r="DL238" s="136"/>
      <c r="DM238" s="136"/>
      <c r="DN238" s="136" t="str">
        <f>IF($D238&lt;&gt;"Feature",".",
IF(VLOOKUP($B238,Feature_List!$A:$AM,MATCH(DN$1,  Feature_List!$A$1:$AM$1,0),0)=BC238,".","NO"))</f>
        <v>.</v>
      </c>
      <c r="DO238" s="136" t="str">
        <f>IF($D238&lt;&gt;"Feature",".",
IF(VLOOKUP($B238,Feature_List!$A:$AM,MATCH(DO$1,  Feature_List!$A$1:$AM$1,0),0)=BD238,".","NO"))</f>
        <v>.</v>
      </c>
    </row>
    <row r="239" spans="2:119" x14ac:dyDescent="0.3">
      <c r="B239" s="121"/>
      <c r="C239" s="122"/>
      <c r="D239" s="122"/>
      <c r="E239" s="122"/>
      <c r="F239" s="123"/>
      <c r="G239" s="123"/>
      <c r="H239" s="122"/>
      <c r="I239" s="124"/>
      <c r="J239" s="123"/>
      <c r="K239" s="123"/>
      <c r="L239" s="122"/>
      <c r="M239" s="122"/>
      <c r="N239" s="122"/>
      <c r="O239" s="123">
        <f t="shared" si="112"/>
        <v>0</v>
      </c>
      <c r="P239" s="123">
        <f t="shared" si="113"/>
        <v>0</v>
      </c>
      <c r="Q239" s="122" t="str">
        <f t="shared" si="135"/>
        <v>ZeroEntry</v>
      </c>
      <c r="R239" s="126" t="str">
        <f t="shared" si="114"/>
        <v>ZeroEntry</v>
      </c>
      <c r="S239" s="127" t="str">
        <f t="shared" si="115"/>
        <v>ZeroEntry</v>
      </c>
      <c r="T239" s="128" t="str">
        <f>IF($Q239="ZeroEntry", "",VLOOKUP($I239,'Ranking Lookup'!#REF!,2,FALSE))</f>
        <v/>
      </c>
      <c r="U239" s="129" t="str">
        <f t="shared" si="116"/>
        <v/>
      </c>
      <c r="V239" s="129" t="str">
        <f t="shared" si="117"/>
        <v/>
      </c>
      <c r="W239" s="129" t="str">
        <f t="shared" si="118"/>
        <v/>
      </c>
      <c r="X239" s="129" t="str">
        <f t="shared" si="119"/>
        <v/>
      </c>
      <c r="Y239" s="129" t="str">
        <f t="shared" si="120"/>
        <v/>
      </c>
      <c r="Z239" s="129" t="str">
        <f t="shared" si="121"/>
        <v/>
      </c>
      <c r="AA239" s="130"/>
      <c r="AB239" s="130" t="str">
        <f t="shared" si="122"/>
        <v>Unassigned</v>
      </c>
      <c r="AC239" s="131" t="str">
        <f t="shared" si="136"/>
        <v/>
      </c>
      <c r="AD239" s="131" t="str">
        <f t="shared" si="137"/>
        <v/>
      </c>
      <c r="AE239" s="132">
        <f t="shared" si="123"/>
        <v>0</v>
      </c>
      <c r="AF239" s="133" t="str">
        <f t="shared" si="138"/>
        <v/>
      </c>
      <c r="AG239" s="134">
        <f t="shared" si="124"/>
        <v>0</v>
      </c>
      <c r="AH239" s="54" t="str">
        <f t="shared" si="125"/>
        <v/>
      </c>
      <c r="AI239" s="54" t="str">
        <f t="shared" si="145"/>
        <v/>
      </c>
      <c r="AJ239" s="54" t="str">
        <f t="shared" si="145"/>
        <v/>
      </c>
      <c r="AK239" s="54" t="str">
        <f t="shared" si="145"/>
        <v/>
      </c>
      <c r="AL239" s="54" t="str">
        <f t="shared" si="145"/>
        <v/>
      </c>
      <c r="AM239" s="54" t="str">
        <f t="shared" si="145"/>
        <v/>
      </c>
      <c r="AN239" s="54" t="str">
        <f t="shared" si="145"/>
        <v/>
      </c>
      <c r="AO239" s="54" t="str">
        <f t="shared" si="145"/>
        <v/>
      </c>
      <c r="AP239" s="54" t="str">
        <f t="shared" si="145"/>
        <v/>
      </c>
      <c r="AQ239" s="54" t="str">
        <f t="shared" si="145"/>
        <v/>
      </c>
      <c r="AR239" s="54" t="str">
        <f t="shared" si="145"/>
        <v/>
      </c>
      <c r="AS239" s="54" t="str">
        <f t="shared" si="145"/>
        <v/>
      </c>
      <c r="AT239" s="54" t="str">
        <f t="shared" si="145"/>
        <v/>
      </c>
      <c r="AU239" s="54" t="str">
        <f t="shared" si="145"/>
        <v/>
      </c>
      <c r="AV239" s="54" t="str">
        <f t="shared" si="145"/>
        <v/>
      </c>
      <c r="AW239" s="54" t="str">
        <f t="shared" si="145"/>
        <v/>
      </c>
      <c r="AX239" s="54" t="str">
        <f t="shared" si="145"/>
        <v/>
      </c>
      <c r="AY239" s="54" t="str">
        <f t="shared" si="139"/>
        <v/>
      </c>
      <c r="AZ239" s="54" t="str">
        <f t="shared" si="128"/>
        <v/>
      </c>
      <c r="BA239" s="54" t="str">
        <f t="shared" si="129"/>
        <v/>
      </c>
      <c r="BB239" s="135" t="str">
        <f t="shared" si="130"/>
        <v/>
      </c>
      <c r="BC239" s="54" t="str">
        <f t="shared" si="143"/>
        <v/>
      </c>
      <c r="BD239" s="54" t="str">
        <f t="shared" si="143"/>
        <v/>
      </c>
      <c r="BE239" s="54" t="str">
        <f t="shared" si="143"/>
        <v/>
      </c>
      <c r="BF239" s="54" t="str">
        <f t="shared" si="131"/>
        <v/>
      </c>
      <c r="BG239" s="54" t="str">
        <f t="shared" si="132"/>
        <v/>
      </c>
      <c r="BH239" s="34" t="str">
        <f t="shared" si="133"/>
        <v>Bad</v>
      </c>
      <c r="BI239" s="34" t="str">
        <f t="shared" si="134"/>
        <v>No</v>
      </c>
      <c r="BJ239" s="136" t="str">
        <f>IF($D239&lt;&gt;"Feature",".",
IF(VLOOKUP($B239,Feature_List!$A:$AM,MATCH(BJ$1,  Feature_List!$A$1:$AM$1,0),0)=B239,".","NO"))</f>
        <v>.</v>
      </c>
      <c r="BK239" s="136"/>
      <c r="BL239" s="136"/>
      <c r="BM239" s="136" t="str">
        <f>IF($D239&lt;&gt;"Feature",".",
IF(VLOOKUP($B239,Feature_List!$A:$AM,MATCH(BM$1,  Feature_List!$A$1:$AM$1,0),0)=E239,".","NO"))</f>
        <v>.</v>
      </c>
      <c r="BN239" s="136" t="str">
        <f>IF($D239&lt;&gt;"Feature",".",
IF(VLOOKUP($B239,Feature_List!$A:$AM,MATCH(BN$1,  Feature_List!$A$1:$AM$1,0),0)=F239,".","NO"))</f>
        <v>.</v>
      </c>
      <c r="BO239" s="136" t="str">
        <f>IF($D239&lt;&gt;"Feature",".",
IF(VLOOKUP($B239,Feature_List!$A:$AM,MATCH(BO$1,  Feature_List!$A$1:$AM$1,0),0)=G239,".","NO"))</f>
        <v>.</v>
      </c>
      <c r="BP239" s="136" t="str">
        <f>IF($D239&lt;&gt;"Feature",".",
IF(VLOOKUP($B239,Feature_List!$A:$AM,MATCH(BP$1,  Feature_List!$A$1:$AM$1,0),0)=H239,".","NO"))</f>
        <v>.</v>
      </c>
      <c r="BQ239" s="136"/>
      <c r="BR239" s="136" t="str">
        <f>IF($D239&lt;&gt;"Feature",".",
IF(VLOOKUP($B239,Feature_List!$A:$AM,MATCH(BR$1,  Feature_List!$A$1:$AM$1,0),0)=J239,".","NO"))</f>
        <v>.</v>
      </c>
      <c r="BS239" s="136"/>
      <c r="BT239" s="136"/>
      <c r="BU239" s="136" t="str">
        <f>IF($D239&lt;&gt;"Feature",".",
IF(VLOOKUP($B239,Feature_List!$A:$AM,MATCH(BU$1,  Feature_List!$A$1:$AM$1,0),0)=M239,".","NO"))</f>
        <v>.</v>
      </c>
      <c r="BV239" s="136" t="str">
        <f>IF($D239&lt;&gt;"Feature",".",
IF(VLOOKUP($B239,Feature_List!$A:$AM,MATCH(BV$1,  Feature_List!$A$1:$AM$1,0),0)=N239,".","NO"))</f>
        <v>.</v>
      </c>
      <c r="BW239" s="136"/>
      <c r="BX239" s="136"/>
      <c r="BY239" s="136"/>
      <c r="BZ239" s="136"/>
      <c r="CA239" s="136"/>
      <c r="CB239" s="136" t="str">
        <f>IF($D239&lt;&gt;"Feature",".",
IF(VLOOKUP($B239,Feature_List!$A:$AM,MATCH(CB$1,  Feature_List!$A$1:$AM$1,0),0)=T239,".","NO"))</f>
        <v>.</v>
      </c>
      <c r="CC239" s="136"/>
      <c r="CD239" s="136"/>
      <c r="CE239" s="136"/>
      <c r="CF239" s="136"/>
      <c r="CG239" s="136"/>
      <c r="CH239" s="136"/>
      <c r="CI239" s="136"/>
      <c r="CJ239" s="136"/>
      <c r="CK239" s="136"/>
      <c r="CL239" s="136"/>
      <c r="CM239" s="136"/>
      <c r="CN239" s="136"/>
      <c r="CO239" s="136" t="str">
        <f>IF($D239&lt;&gt;"Feature",".",
IF(VLOOKUP($B239,Feature_List!$A:$AM,MATCH(CO$1,  Feature_List!$A$1:$AM$1,0),0)=AG239,".","NO"))</f>
        <v>.</v>
      </c>
      <c r="CP239" s="136" t="str">
        <f>IF($D239&lt;&gt;"Feature",".",
IF(VLOOKUP($B239,Feature_List!$A:$AM,MATCH(CP$1,  Feature_List!$A$1:$AM$1,0),0)=AH239,".","NO"))</f>
        <v>.</v>
      </c>
      <c r="CQ239" s="136" t="str">
        <f>IF($D239&lt;&gt;"Feature",".",
IF(VLOOKUP($B239,Feature_List!$A:$AM,MATCH(CQ$1,  Feature_List!$A$1:$AM$1,0),0)=AI239,".","NO"))</f>
        <v>.</v>
      </c>
      <c r="CR239" s="136" t="str">
        <f>IF($D239&lt;&gt;"Feature",".",
IF(VLOOKUP($B239,Feature_List!$A:$AM,MATCH(CR$1,  Feature_List!$A$1:$AM$1,0),0)=AJ239,".","NO"))</f>
        <v>.</v>
      </c>
      <c r="CS239" s="136" t="str">
        <f>IF($D239&lt;&gt;"Feature",".",
IF(VLOOKUP($B239,Feature_List!$A:$AM,MATCH(CS$1,  Feature_List!$A$1:$AM$1,0),0)=AK239,".","NO"))</f>
        <v>.</v>
      </c>
      <c r="CT239" s="136" t="str">
        <f>IF($D239&lt;&gt;"Feature",".",
IF(VLOOKUP($B239,Feature_List!$A:$AM,MATCH(CT$1,  Feature_List!$A$1:$AM$1,0),0)=AL239,".","NO"))</f>
        <v>.</v>
      </c>
      <c r="CU239" s="136" t="str">
        <f>IF($D239&lt;&gt;"Feature",".",
IF(VLOOKUP($B239,Feature_List!$A:$AM,MATCH(CU$1,  Feature_List!$A$1:$AM$1,0),0)=AM239,".","NO"))</f>
        <v>.</v>
      </c>
      <c r="CV239" s="136" t="str">
        <f>IF($D239&lt;&gt;"Feature",".",
IF(VLOOKUP($B239,Feature_List!$A:$AM,MATCH(CV$1,  Feature_List!$A$1:$AM$1,0),0)=AN239,".","NO"))</f>
        <v>.</v>
      </c>
      <c r="CW239" s="136" t="str">
        <f>IF($D239&lt;&gt;"Feature",".",
IF(VLOOKUP($B239,Feature_List!$A:$AM,MATCH(CW$1,  Feature_List!$A$1:$AM$1,0),0)=AO239,".","NO"))</f>
        <v>.</v>
      </c>
      <c r="CX239" s="136" t="str">
        <f>IF($D239&lt;&gt;"Feature",".",
IF(VLOOKUP($B239,Feature_List!$A:$AM,MATCH(CX$1,  Feature_List!$A$1:$AM$1,0),0)=AP239,".","NO"))</f>
        <v>.</v>
      </c>
      <c r="CY239" s="136" t="str">
        <f>IF($D239&lt;&gt;"Feature",".",
IF(VLOOKUP($B239,Feature_List!$A:$AM,MATCH(CY$1,  Feature_List!$A$1:$AM$1,0),0)=AQ239,".","NO"))</f>
        <v>.</v>
      </c>
      <c r="CZ239" s="136" t="str">
        <f>IF($D239&lt;&gt;"Feature",".",
IF(VLOOKUP($B239,Feature_List!$A:$AM,MATCH(CZ$1,  Feature_List!$A$1:$AM$1,0),0)=AR239,".","NO"))</f>
        <v>.</v>
      </c>
      <c r="DA239" s="136" t="str">
        <f>IF($D239&lt;&gt;"Feature",".",
IF(VLOOKUP($B239,Feature_List!$A:$AM,MATCH(DA$1,  Feature_List!$A$1:$AM$1,0),0)=AS239,".","NO"))</f>
        <v>.</v>
      </c>
      <c r="DB239" s="136" t="str">
        <f>IF($D239&lt;&gt;"Feature",".",
IF(VLOOKUP($B239,Feature_List!$A:$AM,MATCH(DB$1,  Feature_List!$A$1:$AM$1,0),0)=AT239,".","NO"))</f>
        <v>.</v>
      </c>
      <c r="DC239" s="136" t="str">
        <f>IF($D239&lt;&gt;"Feature",".",
IF(VLOOKUP($B239,Feature_List!$A:$AM,MATCH(DC$1,  Feature_List!$A$1:$AM$1,0),0)=AU239,".","NO"))</f>
        <v>.</v>
      </c>
      <c r="DD239" s="136" t="str">
        <f>IF($D239&lt;&gt;"Feature",".",
IF(VLOOKUP($B239,Feature_List!$A:$AM,MATCH(DD$1,  Feature_List!$A$1:$AM$1,0),0)=AV239,".","NO"))</f>
        <v>.</v>
      </c>
      <c r="DE239" s="136" t="str">
        <f>IF($D239&lt;&gt;"Feature",".",
IF(VLOOKUP($B239,Feature_List!$A:$AM,MATCH(DE$1,  Feature_List!$A$1:$AM$1,0),0)=AW239,".","NO"))</f>
        <v>.</v>
      </c>
      <c r="DF239" s="136" t="str">
        <f>IF($D239&lt;&gt;"Feature",".",
IF(VLOOKUP($B239,Feature_List!$A:$AM,MATCH(DF$1,  Feature_List!$A$1:$AM$1,0),0)=AX239,".","NO"))</f>
        <v>.</v>
      </c>
      <c r="DG239" s="136" t="str">
        <f>IF($D239&lt;&gt;"Feature",".",
IF(VLOOKUP($B239,Feature_List!$A:$AM,MATCH(DG$1,  Feature_List!$A$1:$AM$1,0),0)=AY239,".","NO"))</f>
        <v>.</v>
      </c>
      <c r="DH239" s="136" t="str">
        <f>IF($D239&lt;&gt;"Feature",".",
IF(VLOOKUP($B239,Feature_List!$A:$AM,MATCH(DH$1,  Feature_List!$A$1:$AM$1,0),0)=AZ239,".","NO"))</f>
        <v>.</v>
      </c>
      <c r="DI239" s="136" t="str">
        <f>IF($D239&lt;&gt;"Feature",".",
IF(VLOOKUP($B239,Feature_List!$A:$AM,MATCH(DI$1,  Feature_List!$A$1:$AM$1,0),0)=BA239,".","NO"))</f>
        <v>.</v>
      </c>
      <c r="DJ239" s="136" t="str">
        <f>IF($D239&lt;&gt;"Feature",".",
IF(VLOOKUP($B239,Feature_List!$A:$AM,MATCH(DJ$1,  Feature_List!$A$1:$AM$1,0),0)=BB239,".","NO"))</f>
        <v>.</v>
      </c>
      <c r="DK239" s="136"/>
      <c r="DL239" s="136"/>
      <c r="DM239" s="136"/>
      <c r="DN239" s="136" t="str">
        <f>IF($D239&lt;&gt;"Feature",".",
IF(VLOOKUP($B239,Feature_List!$A:$AM,MATCH(DN$1,  Feature_List!$A$1:$AM$1,0),0)=BC239,".","NO"))</f>
        <v>.</v>
      </c>
      <c r="DO239" s="136" t="str">
        <f>IF($D239&lt;&gt;"Feature",".",
IF(VLOOKUP($B239,Feature_List!$A:$AM,MATCH(DO$1,  Feature_List!$A$1:$AM$1,0),0)=BD239,".","NO"))</f>
        <v>.</v>
      </c>
    </row>
    <row r="240" spans="2:119" x14ac:dyDescent="0.3">
      <c r="B240" s="121"/>
      <c r="C240" s="122"/>
      <c r="D240" s="122"/>
      <c r="E240" s="122"/>
      <c r="F240" s="123"/>
      <c r="G240" s="123"/>
      <c r="H240" s="122"/>
      <c r="I240" s="124"/>
      <c r="J240" s="123"/>
      <c r="K240" s="123"/>
      <c r="L240" s="122"/>
      <c r="M240" s="122"/>
      <c r="N240" s="122"/>
      <c r="O240" s="123">
        <f t="shared" si="112"/>
        <v>0</v>
      </c>
      <c r="P240" s="123">
        <f t="shared" si="113"/>
        <v>0</v>
      </c>
      <c r="Q240" s="122" t="str">
        <f t="shared" si="135"/>
        <v>ZeroEntry</v>
      </c>
      <c r="R240" s="126" t="str">
        <f t="shared" si="114"/>
        <v>ZeroEntry</v>
      </c>
      <c r="S240" s="127" t="str">
        <f t="shared" si="115"/>
        <v>ZeroEntry</v>
      </c>
      <c r="T240" s="128" t="str">
        <f>IF($Q240="ZeroEntry", "",VLOOKUP($I240,'Ranking Lookup'!#REF!,2,FALSE))</f>
        <v/>
      </c>
      <c r="U240" s="129" t="str">
        <f t="shared" si="116"/>
        <v/>
      </c>
      <c r="V240" s="129" t="str">
        <f t="shared" si="117"/>
        <v/>
      </c>
      <c r="W240" s="129" t="str">
        <f t="shared" si="118"/>
        <v/>
      </c>
      <c r="X240" s="129" t="str">
        <f t="shared" si="119"/>
        <v/>
      </c>
      <c r="Y240" s="129" t="str">
        <f t="shared" si="120"/>
        <v/>
      </c>
      <c r="Z240" s="129" t="str">
        <f t="shared" si="121"/>
        <v/>
      </c>
      <c r="AA240" s="130"/>
      <c r="AB240" s="130" t="str">
        <f t="shared" si="122"/>
        <v>Unassigned</v>
      </c>
      <c r="AC240" s="131" t="str">
        <f t="shared" si="136"/>
        <v/>
      </c>
      <c r="AD240" s="131" t="str">
        <f t="shared" si="137"/>
        <v/>
      </c>
      <c r="AE240" s="132">
        <f t="shared" si="123"/>
        <v>0</v>
      </c>
      <c r="AF240" s="133" t="str">
        <f t="shared" si="138"/>
        <v/>
      </c>
      <c r="AG240" s="134">
        <f t="shared" si="124"/>
        <v>0</v>
      </c>
      <c r="AH240" s="54" t="str">
        <f t="shared" si="125"/>
        <v/>
      </c>
      <c r="AI240" s="54" t="str">
        <f t="shared" si="145"/>
        <v/>
      </c>
      <c r="AJ240" s="54" t="str">
        <f t="shared" si="145"/>
        <v/>
      </c>
      <c r="AK240" s="54" t="str">
        <f t="shared" si="145"/>
        <v/>
      </c>
      <c r="AL240" s="54" t="str">
        <f t="shared" si="145"/>
        <v/>
      </c>
      <c r="AM240" s="54" t="str">
        <f t="shared" si="145"/>
        <v/>
      </c>
      <c r="AN240" s="54" t="str">
        <f t="shared" si="145"/>
        <v/>
      </c>
      <c r="AO240" s="54" t="str">
        <f t="shared" si="145"/>
        <v/>
      </c>
      <c r="AP240" s="54" t="str">
        <f t="shared" si="145"/>
        <v/>
      </c>
      <c r="AQ240" s="54" t="str">
        <f t="shared" si="145"/>
        <v/>
      </c>
      <c r="AR240" s="54" t="str">
        <f t="shared" si="145"/>
        <v/>
      </c>
      <c r="AS240" s="54" t="str">
        <f t="shared" si="145"/>
        <v/>
      </c>
      <c r="AT240" s="54" t="str">
        <f t="shared" si="145"/>
        <v/>
      </c>
      <c r="AU240" s="54" t="str">
        <f t="shared" si="145"/>
        <v/>
      </c>
      <c r="AV240" s="54" t="str">
        <f t="shared" si="145"/>
        <v/>
      </c>
      <c r="AW240" s="54" t="str">
        <f t="shared" si="145"/>
        <v/>
      </c>
      <c r="AX240" s="54" t="str">
        <f t="shared" si="145"/>
        <v/>
      </c>
      <c r="AY240" s="54" t="str">
        <f t="shared" si="139"/>
        <v/>
      </c>
      <c r="AZ240" s="54" t="str">
        <f t="shared" si="128"/>
        <v/>
      </c>
      <c r="BA240" s="54" t="str">
        <f t="shared" si="129"/>
        <v/>
      </c>
      <c r="BB240" s="135" t="str">
        <f t="shared" si="130"/>
        <v/>
      </c>
      <c r="BC240" s="54" t="str">
        <f t="shared" si="143"/>
        <v/>
      </c>
      <c r="BD240" s="54" t="str">
        <f t="shared" si="143"/>
        <v/>
      </c>
      <c r="BE240" s="54" t="str">
        <f t="shared" si="143"/>
        <v/>
      </c>
      <c r="BF240" s="54" t="str">
        <f t="shared" si="131"/>
        <v/>
      </c>
      <c r="BG240" s="54" t="str">
        <f t="shared" si="132"/>
        <v/>
      </c>
      <c r="BH240" s="34" t="str">
        <f t="shared" si="133"/>
        <v>Bad</v>
      </c>
      <c r="BI240" s="34" t="str">
        <f t="shared" si="134"/>
        <v>No</v>
      </c>
      <c r="BJ240" s="136" t="str">
        <f>IF($D240&lt;&gt;"Feature",".",
IF(VLOOKUP($B240,Feature_List!$A:$AM,MATCH(BJ$1,  Feature_List!$A$1:$AM$1,0),0)=B240,".","NO"))</f>
        <v>.</v>
      </c>
      <c r="BK240" s="136"/>
      <c r="BL240" s="136"/>
      <c r="BM240" s="136" t="str">
        <f>IF($D240&lt;&gt;"Feature",".",
IF(VLOOKUP($B240,Feature_List!$A:$AM,MATCH(BM$1,  Feature_List!$A$1:$AM$1,0),0)=E240,".","NO"))</f>
        <v>.</v>
      </c>
      <c r="BN240" s="136" t="str">
        <f>IF($D240&lt;&gt;"Feature",".",
IF(VLOOKUP($B240,Feature_List!$A:$AM,MATCH(BN$1,  Feature_List!$A$1:$AM$1,0),0)=F240,".","NO"))</f>
        <v>.</v>
      </c>
      <c r="BO240" s="136" t="str">
        <f>IF($D240&lt;&gt;"Feature",".",
IF(VLOOKUP($B240,Feature_List!$A:$AM,MATCH(BO$1,  Feature_List!$A$1:$AM$1,0),0)=G240,".","NO"))</f>
        <v>.</v>
      </c>
      <c r="BP240" s="136" t="str">
        <f>IF($D240&lt;&gt;"Feature",".",
IF(VLOOKUP($B240,Feature_List!$A:$AM,MATCH(BP$1,  Feature_List!$A$1:$AM$1,0),0)=H240,".","NO"))</f>
        <v>.</v>
      </c>
      <c r="BQ240" s="136"/>
      <c r="BR240" s="136" t="str">
        <f>IF($D240&lt;&gt;"Feature",".",
IF(VLOOKUP($B240,Feature_List!$A:$AM,MATCH(BR$1,  Feature_List!$A$1:$AM$1,0),0)=J240,".","NO"))</f>
        <v>.</v>
      </c>
      <c r="BS240" s="136"/>
      <c r="BT240" s="136"/>
      <c r="BU240" s="136" t="str">
        <f>IF($D240&lt;&gt;"Feature",".",
IF(VLOOKUP($B240,Feature_List!$A:$AM,MATCH(BU$1,  Feature_List!$A$1:$AM$1,0),0)=M240,".","NO"))</f>
        <v>.</v>
      </c>
      <c r="BV240" s="136" t="str">
        <f>IF($D240&lt;&gt;"Feature",".",
IF(VLOOKUP($B240,Feature_List!$A:$AM,MATCH(BV$1,  Feature_List!$A$1:$AM$1,0),0)=N240,".","NO"))</f>
        <v>.</v>
      </c>
      <c r="BW240" s="136"/>
      <c r="BX240" s="136"/>
      <c r="BY240" s="136"/>
      <c r="BZ240" s="136"/>
      <c r="CA240" s="136"/>
      <c r="CB240" s="136" t="str">
        <f>IF($D240&lt;&gt;"Feature",".",
IF(VLOOKUP($B240,Feature_List!$A:$AM,MATCH(CB$1,  Feature_List!$A$1:$AM$1,0),0)=T240,".","NO"))</f>
        <v>.</v>
      </c>
      <c r="CC240" s="136"/>
      <c r="CD240" s="136"/>
      <c r="CE240" s="136"/>
      <c r="CF240" s="136"/>
      <c r="CG240" s="136"/>
      <c r="CH240" s="136"/>
      <c r="CI240" s="136"/>
      <c r="CJ240" s="136"/>
      <c r="CK240" s="136"/>
      <c r="CL240" s="136"/>
      <c r="CM240" s="136"/>
      <c r="CN240" s="136"/>
      <c r="CO240" s="136" t="str">
        <f>IF($D240&lt;&gt;"Feature",".",
IF(VLOOKUP($B240,Feature_List!$A:$AM,MATCH(CO$1,  Feature_List!$A$1:$AM$1,0),0)=AG240,".","NO"))</f>
        <v>.</v>
      </c>
      <c r="CP240" s="136" t="str">
        <f>IF($D240&lt;&gt;"Feature",".",
IF(VLOOKUP($B240,Feature_List!$A:$AM,MATCH(CP$1,  Feature_List!$A$1:$AM$1,0),0)=AH240,".","NO"))</f>
        <v>.</v>
      </c>
      <c r="CQ240" s="136" t="str">
        <f>IF($D240&lt;&gt;"Feature",".",
IF(VLOOKUP($B240,Feature_List!$A:$AM,MATCH(CQ$1,  Feature_List!$A$1:$AM$1,0),0)=AI240,".","NO"))</f>
        <v>.</v>
      </c>
      <c r="CR240" s="136" t="str">
        <f>IF($D240&lt;&gt;"Feature",".",
IF(VLOOKUP($B240,Feature_List!$A:$AM,MATCH(CR$1,  Feature_List!$A$1:$AM$1,0),0)=AJ240,".","NO"))</f>
        <v>.</v>
      </c>
      <c r="CS240" s="136" t="str">
        <f>IF($D240&lt;&gt;"Feature",".",
IF(VLOOKUP($B240,Feature_List!$A:$AM,MATCH(CS$1,  Feature_List!$A$1:$AM$1,0),0)=AK240,".","NO"))</f>
        <v>.</v>
      </c>
      <c r="CT240" s="136" t="str">
        <f>IF($D240&lt;&gt;"Feature",".",
IF(VLOOKUP($B240,Feature_List!$A:$AM,MATCH(CT$1,  Feature_List!$A$1:$AM$1,0),0)=AL240,".","NO"))</f>
        <v>.</v>
      </c>
      <c r="CU240" s="136" t="str">
        <f>IF($D240&lt;&gt;"Feature",".",
IF(VLOOKUP($B240,Feature_List!$A:$AM,MATCH(CU$1,  Feature_List!$A$1:$AM$1,0),0)=AM240,".","NO"))</f>
        <v>.</v>
      </c>
      <c r="CV240" s="136" t="str">
        <f>IF($D240&lt;&gt;"Feature",".",
IF(VLOOKUP($B240,Feature_List!$A:$AM,MATCH(CV$1,  Feature_List!$A$1:$AM$1,0),0)=AN240,".","NO"))</f>
        <v>.</v>
      </c>
      <c r="CW240" s="136" t="str">
        <f>IF($D240&lt;&gt;"Feature",".",
IF(VLOOKUP($B240,Feature_List!$A:$AM,MATCH(CW$1,  Feature_List!$A$1:$AM$1,0),0)=AO240,".","NO"))</f>
        <v>.</v>
      </c>
      <c r="CX240" s="136" t="str">
        <f>IF($D240&lt;&gt;"Feature",".",
IF(VLOOKUP($B240,Feature_List!$A:$AM,MATCH(CX$1,  Feature_List!$A$1:$AM$1,0),0)=AP240,".","NO"))</f>
        <v>.</v>
      </c>
      <c r="CY240" s="136" t="str">
        <f>IF($D240&lt;&gt;"Feature",".",
IF(VLOOKUP($B240,Feature_List!$A:$AM,MATCH(CY$1,  Feature_List!$A$1:$AM$1,0),0)=AQ240,".","NO"))</f>
        <v>.</v>
      </c>
      <c r="CZ240" s="136" t="str">
        <f>IF($D240&lt;&gt;"Feature",".",
IF(VLOOKUP($B240,Feature_List!$A:$AM,MATCH(CZ$1,  Feature_List!$A$1:$AM$1,0),0)=AR240,".","NO"))</f>
        <v>.</v>
      </c>
      <c r="DA240" s="136" t="str">
        <f>IF($D240&lt;&gt;"Feature",".",
IF(VLOOKUP($B240,Feature_List!$A:$AM,MATCH(DA$1,  Feature_List!$A$1:$AM$1,0),0)=AS240,".","NO"))</f>
        <v>.</v>
      </c>
      <c r="DB240" s="136" t="str">
        <f>IF($D240&lt;&gt;"Feature",".",
IF(VLOOKUP($B240,Feature_List!$A:$AM,MATCH(DB$1,  Feature_List!$A$1:$AM$1,0),0)=AT240,".","NO"))</f>
        <v>.</v>
      </c>
      <c r="DC240" s="136" t="str">
        <f>IF($D240&lt;&gt;"Feature",".",
IF(VLOOKUP($B240,Feature_List!$A:$AM,MATCH(DC$1,  Feature_List!$A$1:$AM$1,0),0)=AU240,".","NO"))</f>
        <v>.</v>
      </c>
      <c r="DD240" s="136" t="str">
        <f>IF($D240&lt;&gt;"Feature",".",
IF(VLOOKUP($B240,Feature_List!$A:$AM,MATCH(DD$1,  Feature_List!$A$1:$AM$1,0),0)=AV240,".","NO"))</f>
        <v>.</v>
      </c>
      <c r="DE240" s="136" t="str">
        <f>IF($D240&lt;&gt;"Feature",".",
IF(VLOOKUP($B240,Feature_List!$A:$AM,MATCH(DE$1,  Feature_List!$A$1:$AM$1,0),0)=AW240,".","NO"))</f>
        <v>.</v>
      </c>
      <c r="DF240" s="136" t="str">
        <f>IF($D240&lt;&gt;"Feature",".",
IF(VLOOKUP($B240,Feature_List!$A:$AM,MATCH(DF$1,  Feature_List!$A$1:$AM$1,0),0)=AX240,".","NO"))</f>
        <v>.</v>
      </c>
      <c r="DG240" s="136" t="str">
        <f>IF($D240&lt;&gt;"Feature",".",
IF(VLOOKUP($B240,Feature_List!$A:$AM,MATCH(DG$1,  Feature_List!$A$1:$AM$1,0),0)=AY240,".","NO"))</f>
        <v>.</v>
      </c>
      <c r="DH240" s="136" t="str">
        <f>IF($D240&lt;&gt;"Feature",".",
IF(VLOOKUP($B240,Feature_List!$A:$AM,MATCH(DH$1,  Feature_List!$A$1:$AM$1,0),0)=AZ240,".","NO"))</f>
        <v>.</v>
      </c>
      <c r="DI240" s="136" t="str">
        <f>IF($D240&lt;&gt;"Feature",".",
IF(VLOOKUP($B240,Feature_List!$A:$AM,MATCH(DI$1,  Feature_List!$A$1:$AM$1,0),0)=BA240,".","NO"))</f>
        <v>.</v>
      </c>
      <c r="DJ240" s="136" t="str">
        <f>IF($D240&lt;&gt;"Feature",".",
IF(VLOOKUP($B240,Feature_List!$A:$AM,MATCH(DJ$1,  Feature_List!$A$1:$AM$1,0),0)=BB240,".","NO"))</f>
        <v>.</v>
      </c>
      <c r="DK240" s="136"/>
      <c r="DL240" s="136"/>
      <c r="DM240" s="136"/>
      <c r="DN240" s="136" t="str">
        <f>IF($D240&lt;&gt;"Feature",".",
IF(VLOOKUP($B240,Feature_List!$A:$AM,MATCH(DN$1,  Feature_List!$A$1:$AM$1,0),0)=BC240,".","NO"))</f>
        <v>.</v>
      </c>
      <c r="DO240" s="136" t="str">
        <f>IF($D240&lt;&gt;"Feature",".",
IF(VLOOKUP($B240,Feature_List!$A:$AM,MATCH(DO$1,  Feature_List!$A$1:$AM$1,0),0)=BD240,".","NO"))</f>
        <v>.</v>
      </c>
    </row>
    <row r="241" spans="2:119" x14ac:dyDescent="0.3">
      <c r="B241" s="121"/>
      <c r="C241" s="122"/>
      <c r="D241" s="122"/>
      <c r="E241" s="122"/>
      <c r="F241" s="123"/>
      <c r="G241" s="123"/>
      <c r="H241" s="122"/>
      <c r="I241" s="124"/>
      <c r="J241" s="123"/>
      <c r="K241" s="123"/>
      <c r="L241" s="122"/>
      <c r="M241" s="122"/>
      <c r="N241" s="122"/>
      <c r="O241" s="123">
        <f t="shared" si="112"/>
        <v>0</v>
      </c>
      <c r="P241" s="123">
        <f t="shared" si="113"/>
        <v>0</v>
      </c>
      <c r="Q241" s="122" t="str">
        <f t="shared" si="135"/>
        <v>ZeroEntry</v>
      </c>
      <c r="R241" s="126" t="str">
        <f t="shared" si="114"/>
        <v>ZeroEntry</v>
      </c>
      <c r="S241" s="127" t="str">
        <f t="shared" si="115"/>
        <v>ZeroEntry</v>
      </c>
      <c r="T241" s="128" t="str">
        <f>IF($Q241="ZeroEntry", "",VLOOKUP($I241,'Ranking Lookup'!#REF!,2,FALSE))</f>
        <v/>
      </c>
      <c r="U241" s="129" t="str">
        <f t="shared" si="116"/>
        <v/>
      </c>
      <c r="V241" s="129" t="str">
        <f t="shared" si="117"/>
        <v/>
      </c>
      <c r="W241" s="129" t="str">
        <f t="shared" si="118"/>
        <v/>
      </c>
      <c r="X241" s="129" t="str">
        <f t="shared" si="119"/>
        <v/>
      </c>
      <c r="Y241" s="129" t="str">
        <f t="shared" si="120"/>
        <v/>
      </c>
      <c r="Z241" s="129" t="str">
        <f t="shared" si="121"/>
        <v/>
      </c>
      <c r="AA241" s="130"/>
      <c r="AB241" s="130" t="str">
        <f t="shared" si="122"/>
        <v>Unassigned</v>
      </c>
      <c r="AC241" s="131" t="str">
        <f t="shared" si="136"/>
        <v/>
      </c>
      <c r="AD241" s="131" t="str">
        <f t="shared" si="137"/>
        <v/>
      </c>
      <c r="AE241" s="132">
        <f t="shared" si="123"/>
        <v>0</v>
      </c>
      <c r="AF241" s="133" t="str">
        <f t="shared" si="138"/>
        <v/>
      </c>
      <c r="AG241" s="134">
        <f t="shared" si="124"/>
        <v>0</v>
      </c>
      <c r="AH241" s="54" t="str">
        <f t="shared" si="125"/>
        <v/>
      </c>
      <c r="AI241" s="54" t="str">
        <f t="shared" si="145"/>
        <v/>
      </c>
      <c r="AJ241" s="54" t="str">
        <f t="shared" si="145"/>
        <v/>
      </c>
      <c r="AK241" s="54" t="str">
        <f t="shared" si="145"/>
        <v/>
      </c>
      <c r="AL241" s="54" t="str">
        <f t="shared" si="145"/>
        <v/>
      </c>
      <c r="AM241" s="54" t="str">
        <f t="shared" si="145"/>
        <v/>
      </c>
      <c r="AN241" s="54" t="str">
        <f t="shared" si="145"/>
        <v/>
      </c>
      <c r="AO241" s="54" t="str">
        <f t="shared" si="145"/>
        <v/>
      </c>
      <c r="AP241" s="54" t="str">
        <f t="shared" si="145"/>
        <v/>
      </c>
      <c r="AQ241" s="54" t="str">
        <f t="shared" si="145"/>
        <v/>
      </c>
      <c r="AR241" s="54" t="str">
        <f t="shared" si="145"/>
        <v/>
      </c>
      <c r="AS241" s="54" t="str">
        <f t="shared" si="145"/>
        <v/>
      </c>
      <c r="AT241" s="54" t="str">
        <f t="shared" si="145"/>
        <v/>
      </c>
      <c r="AU241" s="54" t="str">
        <f t="shared" si="145"/>
        <v/>
      </c>
      <c r="AV241" s="54" t="str">
        <f t="shared" si="145"/>
        <v/>
      </c>
      <c r="AW241" s="54" t="str">
        <f t="shared" si="145"/>
        <v/>
      </c>
      <c r="AX241" s="54" t="str">
        <f t="shared" ref="AX241" si="146">IF(AND($Q241="Feature",LEFT($AB241,2)="PI"),
IF(AND(COUNTIF($R:$R,$B241)=1,$T241=AX$1), IF($AB241=$A$10,$AF241,0),
IF(OR($AD241&lt;1,RIGHT($G241,8)="Progress",$AH241&gt;0),SUMIFS($O:$O,$R:$R,$B241,$T:$T,AX$1,$P:$P,"&lt;&gt;Done",$AB:$AB,$A$10),
IF($T241=AX$1,IF($AB241=$A$10,$AD241,0)+SUMIFS($O:$O,$R:$R,$B241,$T:$T,AX$1,$P:$P,"&lt;&gt;Done",$AB:$AB,$A$10),SUMIFS($O:$O,$R:$R,$B241,$T:$T,AX$1,$P:$P,"&lt;&gt;Done",$AB:$AB,$A$10)))),
IF(AND(OR($Q241="Story",$Q241="Problem",$Q241="Enhancement"),$AB241=$A$10,$R241=0,$T241=AX$1,$P241&lt;&gt;"Done"),$O241,""))</f>
        <v/>
      </c>
      <c r="AY241" s="54" t="str">
        <f t="shared" si="139"/>
        <v/>
      </c>
      <c r="AZ241" s="54" t="str">
        <f t="shared" si="128"/>
        <v/>
      </c>
      <c r="BA241" s="54" t="str">
        <f t="shared" si="129"/>
        <v/>
      </c>
      <c r="BB241" s="135" t="str">
        <f t="shared" si="130"/>
        <v/>
      </c>
      <c r="BC241" s="54" t="str">
        <f t="shared" si="143"/>
        <v/>
      </c>
      <c r="BD241" s="54" t="str">
        <f t="shared" si="143"/>
        <v/>
      </c>
      <c r="BE241" s="54" t="str">
        <f t="shared" si="143"/>
        <v/>
      </c>
      <c r="BF241" s="54" t="str">
        <f t="shared" si="131"/>
        <v/>
      </c>
      <c r="BG241" s="54" t="str">
        <f t="shared" si="132"/>
        <v/>
      </c>
      <c r="BH241" s="34" t="str">
        <f t="shared" si="133"/>
        <v>Bad</v>
      </c>
      <c r="BI241" s="34" t="str">
        <f t="shared" si="134"/>
        <v>No</v>
      </c>
      <c r="BJ241" s="136" t="str">
        <f>IF($D241&lt;&gt;"Feature",".",
IF(VLOOKUP($B241,Feature_List!$A:$AM,MATCH(BJ$1,  Feature_List!$A$1:$AM$1,0),0)=B241,".","NO"))</f>
        <v>.</v>
      </c>
      <c r="BK241" s="136"/>
      <c r="BL241" s="136"/>
      <c r="BM241" s="136" t="str">
        <f>IF($D241&lt;&gt;"Feature",".",
IF(VLOOKUP($B241,Feature_List!$A:$AM,MATCH(BM$1,  Feature_List!$A$1:$AM$1,0),0)=E241,".","NO"))</f>
        <v>.</v>
      </c>
      <c r="BN241" s="136" t="str">
        <f>IF($D241&lt;&gt;"Feature",".",
IF(VLOOKUP($B241,Feature_List!$A:$AM,MATCH(BN$1,  Feature_List!$A$1:$AM$1,0),0)=F241,".","NO"))</f>
        <v>.</v>
      </c>
      <c r="BO241" s="136" t="str">
        <f>IF($D241&lt;&gt;"Feature",".",
IF(VLOOKUP($B241,Feature_List!$A:$AM,MATCH(BO$1,  Feature_List!$A$1:$AM$1,0),0)=G241,".","NO"))</f>
        <v>.</v>
      </c>
      <c r="BP241" s="136" t="str">
        <f>IF($D241&lt;&gt;"Feature",".",
IF(VLOOKUP($B241,Feature_List!$A:$AM,MATCH(BP$1,  Feature_List!$A$1:$AM$1,0),0)=H241,".","NO"))</f>
        <v>.</v>
      </c>
      <c r="BQ241" s="136"/>
      <c r="BR241" s="136" t="str">
        <f>IF($D241&lt;&gt;"Feature",".",
IF(VLOOKUP($B241,Feature_List!$A:$AM,MATCH(BR$1,  Feature_List!$A$1:$AM$1,0),0)=J241,".","NO"))</f>
        <v>.</v>
      </c>
      <c r="BS241" s="136"/>
      <c r="BT241" s="136"/>
      <c r="BU241" s="136" t="str">
        <f>IF($D241&lt;&gt;"Feature",".",
IF(VLOOKUP($B241,Feature_List!$A:$AM,MATCH(BU$1,  Feature_List!$A$1:$AM$1,0),0)=M241,".","NO"))</f>
        <v>.</v>
      </c>
      <c r="BV241" s="136" t="str">
        <f>IF($D241&lt;&gt;"Feature",".",
IF(VLOOKUP($B241,Feature_List!$A:$AM,MATCH(BV$1,  Feature_List!$A$1:$AM$1,0),0)=N241,".","NO"))</f>
        <v>.</v>
      </c>
      <c r="BW241" s="136"/>
      <c r="BX241" s="136"/>
      <c r="BY241" s="136"/>
      <c r="BZ241" s="136"/>
      <c r="CA241" s="136"/>
      <c r="CB241" s="136" t="str">
        <f>IF($D241&lt;&gt;"Feature",".",
IF(VLOOKUP($B241,Feature_List!$A:$AM,MATCH(CB$1,  Feature_List!$A$1:$AM$1,0),0)=T241,".","NO"))</f>
        <v>.</v>
      </c>
      <c r="CC241" s="136"/>
      <c r="CD241" s="136"/>
      <c r="CE241" s="136"/>
      <c r="CF241" s="136"/>
      <c r="CG241" s="136"/>
      <c r="CH241" s="136"/>
      <c r="CI241" s="136"/>
      <c r="CJ241" s="136"/>
      <c r="CK241" s="136"/>
      <c r="CL241" s="136"/>
      <c r="CM241" s="136"/>
      <c r="CN241" s="136"/>
      <c r="CO241" s="136" t="str">
        <f>IF($D241&lt;&gt;"Feature",".",
IF(VLOOKUP($B241,Feature_List!$A:$AM,MATCH(CO$1,  Feature_List!$A$1:$AM$1,0),0)=AG241,".","NO"))</f>
        <v>.</v>
      </c>
      <c r="CP241" s="136" t="str">
        <f>IF($D241&lt;&gt;"Feature",".",
IF(VLOOKUP($B241,Feature_List!$A:$AM,MATCH(CP$1,  Feature_List!$A$1:$AM$1,0),0)=AH241,".","NO"))</f>
        <v>.</v>
      </c>
      <c r="CQ241" s="136" t="str">
        <f>IF($D241&lt;&gt;"Feature",".",
IF(VLOOKUP($B241,Feature_List!$A:$AM,MATCH(CQ$1,  Feature_List!$A$1:$AM$1,0),0)=AI241,".","NO"))</f>
        <v>.</v>
      </c>
      <c r="CR241" s="136" t="str">
        <f>IF($D241&lt;&gt;"Feature",".",
IF(VLOOKUP($B241,Feature_List!$A:$AM,MATCH(CR$1,  Feature_List!$A$1:$AM$1,0),0)=AJ241,".","NO"))</f>
        <v>.</v>
      </c>
      <c r="CS241" s="136" t="str">
        <f>IF($D241&lt;&gt;"Feature",".",
IF(VLOOKUP($B241,Feature_List!$A:$AM,MATCH(CS$1,  Feature_List!$A$1:$AM$1,0),0)=AK241,".","NO"))</f>
        <v>.</v>
      </c>
      <c r="CT241" s="136" t="str">
        <f>IF($D241&lt;&gt;"Feature",".",
IF(VLOOKUP($B241,Feature_List!$A:$AM,MATCH(CT$1,  Feature_List!$A$1:$AM$1,0),0)=AL241,".","NO"))</f>
        <v>.</v>
      </c>
      <c r="CU241" s="136" t="str">
        <f>IF($D241&lt;&gt;"Feature",".",
IF(VLOOKUP($B241,Feature_List!$A:$AM,MATCH(CU$1,  Feature_List!$A$1:$AM$1,0),0)=AM241,".","NO"))</f>
        <v>.</v>
      </c>
      <c r="CV241" s="136" t="str">
        <f>IF($D241&lt;&gt;"Feature",".",
IF(VLOOKUP($B241,Feature_List!$A:$AM,MATCH(CV$1,  Feature_List!$A$1:$AM$1,0),0)=AN241,".","NO"))</f>
        <v>.</v>
      </c>
      <c r="CW241" s="136" t="str">
        <f>IF($D241&lt;&gt;"Feature",".",
IF(VLOOKUP($B241,Feature_List!$A:$AM,MATCH(CW$1,  Feature_List!$A$1:$AM$1,0),0)=AO241,".","NO"))</f>
        <v>.</v>
      </c>
      <c r="CX241" s="136" t="str">
        <f>IF($D241&lt;&gt;"Feature",".",
IF(VLOOKUP($B241,Feature_List!$A:$AM,MATCH(CX$1,  Feature_List!$A$1:$AM$1,0),0)=AP241,".","NO"))</f>
        <v>.</v>
      </c>
      <c r="CY241" s="136" t="str">
        <f>IF($D241&lt;&gt;"Feature",".",
IF(VLOOKUP($B241,Feature_List!$A:$AM,MATCH(CY$1,  Feature_List!$A$1:$AM$1,0),0)=AQ241,".","NO"))</f>
        <v>.</v>
      </c>
      <c r="CZ241" s="136" t="str">
        <f>IF($D241&lt;&gt;"Feature",".",
IF(VLOOKUP($B241,Feature_List!$A:$AM,MATCH(CZ$1,  Feature_List!$A$1:$AM$1,0),0)=AR241,".","NO"))</f>
        <v>.</v>
      </c>
      <c r="DA241" s="136" t="str">
        <f>IF($D241&lt;&gt;"Feature",".",
IF(VLOOKUP($B241,Feature_List!$A:$AM,MATCH(DA$1,  Feature_List!$A$1:$AM$1,0),0)=AS241,".","NO"))</f>
        <v>.</v>
      </c>
      <c r="DB241" s="136" t="str">
        <f>IF($D241&lt;&gt;"Feature",".",
IF(VLOOKUP($B241,Feature_List!$A:$AM,MATCH(DB$1,  Feature_List!$A$1:$AM$1,0),0)=AT241,".","NO"))</f>
        <v>.</v>
      </c>
      <c r="DC241" s="136" t="str">
        <f>IF($D241&lt;&gt;"Feature",".",
IF(VLOOKUP($B241,Feature_List!$A:$AM,MATCH(DC$1,  Feature_List!$A$1:$AM$1,0),0)=AU241,".","NO"))</f>
        <v>.</v>
      </c>
      <c r="DD241" s="136" t="str">
        <f>IF($D241&lt;&gt;"Feature",".",
IF(VLOOKUP($B241,Feature_List!$A:$AM,MATCH(DD$1,  Feature_List!$A$1:$AM$1,0),0)=AV241,".","NO"))</f>
        <v>.</v>
      </c>
      <c r="DE241" s="136" t="str">
        <f>IF($D241&lt;&gt;"Feature",".",
IF(VLOOKUP($B241,Feature_List!$A:$AM,MATCH(DE$1,  Feature_List!$A$1:$AM$1,0),0)=AW241,".","NO"))</f>
        <v>.</v>
      </c>
      <c r="DF241" s="136" t="str">
        <f>IF($D241&lt;&gt;"Feature",".",
IF(VLOOKUP($B241,Feature_List!$A:$AM,MATCH(DF$1,  Feature_List!$A$1:$AM$1,0),0)=AX241,".","NO"))</f>
        <v>.</v>
      </c>
      <c r="DG241" s="136" t="str">
        <f>IF($D241&lt;&gt;"Feature",".",
IF(VLOOKUP($B241,Feature_List!$A:$AM,MATCH(DG$1,  Feature_List!$A$1:$AM$1,0),0)=AY241,".","NO"))</f>
        <v>.</v>
      </c>
      <c r="DH241" s="136" t="str">
        <f>IF($D241&lt;&gt;"Feature",".",
IF(VLOOKUP($B241,Feature_List!$A:$AM,MATCH(DH$1,  Feature_List!$A$1:$AM$1,0),0)=AZ241,".","NO"))</f>
        <v>.</v>
      </c>
      <c r="DI241" s="136" t="str">
        <f>IF($D241&lt;&gt;"Feature",".",
IF(VLOOKUP($B241,Feature_List!$A:$AM,MATCH(DI$1,  Feature_List!$A$1:$AM$1,0),0)=BA241,".","NO"))</f>
        <v>.</v>
      </c>
      <c r="DJ241" s="136" t="str">
        <f>IF($D241&lt;&gt;"Feature",".",
IF(VLOOKUP($B241,Feature_List!$A:$AM,MATCH(DJ$1,  Feature_List!$A$1:$AM$1,0),0)=BB241,".","NO"))</f>
        <v>.</v>
      </c>
      <c r="DK241" s="136"/>
      <c r="DL241" s="136"/>
      <c r="DM241" s="136"/>
      <c r="DN241" s="136" t="str">
        <f>IF($D241&lt;&gt;"Feature",".",
IF(VLOOKUP($B241,Feature_List!$A:$AM,MATCH(DN$1,  Feature_List!$A$1:$AM$1,0),0)=BC241,".","NO"))</f>
        <v>.</v>
      </c>
      <c r="DO241" s="136" t="str">
        <f>IF($D241&lt;&gt;"Feature",".",
IF(VLOOKUP($B241,Feature_List!$A:$AM,MATCH(DO$1,  Feature_List!$A$1:$AM$1,0),0)=BD241,".","NO"))</f>
        <v>.</v>
      </c>
    </row>
    <row r="242" spans="2:119" x14ac:dyDescent="0.3">
      <c r="B242" s="121"/>
      <c r="C242" s="122"/>
      <c r="D242" s="122"/>
      <c r="E242" s="122"/>
      <c r="F242" s="123"/>
      <c r="G242" s="123"/>
      <c r="H242" s="122"/>
      <c r="I242" s="124"/>
      <c r="J242" s="123"/>
      <c r="K242" s="123"/>
      <c r="L242" s="122"/>
      <c r="M242" s="122"/>
      <c r="N242" s="122"/>
      <c r="O242" s="123">
        <f t="shared" si="112"/>
        <v>0</v>
      </c>
      <c r="P242" s="123">
        <f t="shared" si="113"/>
        <v>0</v>
      </c>
      <c r="Q242" s="122" t="str">
        <f t="shared" si="135"/>
        <v>ZeroEntry</v>
      </c>
      <c r="R242" s="126" t="str">
        <f t="shared" si="114"/>
        <v>ZeroEntry</v>
      </c>
      <c r="S242" s="127" t="str">
        <f t="shared" si="115"/>
        <v>ZeroEntry</v>
      </c>
      <c r="T242" s="128" t="str">
        <f>IF($Q242="ZeroEntry", "",VLOOKUP($I242,'Ranking Lookup'!#REF!,2,FALSE))</f>
        <v/>
      </c>
      <c r="U242" s="129" t="str">
        <f t="shared" si="116"/>
        <v/>
      </c>
      <c r="V242" s="129" t="str">
        <f t="shared" si="117"/>
        <v/>
      </c>
      <c r="W242" s="129" t="str">
        <f t="shared" si="118"/>
        <v/>
      </c>
      <c r="X242" s="129" t="str">
        <f t="shared" si="119"/>
        <v/>
      </c>
      <c r="Y242" s="129" t="str">
        <f t="shared" si="120"/>
        <v/>
      </c>
      <c r="Z242" s="129" t="str">
        <f t="shared" si="121"/>
        <v/>
      </c>
      <c r="AA242" s="130"/>
      <c r="AB242" s="130" t="str">
        <f t="shared" si="122"/>
        <v>Unassigned</v>
      </c>
      <c r="AC242" s="131" t="str">
        <f t="shared" si="136"/>
        <v/>
      </c>
      <c r="AD242" s="131" t="str">
        <f t="shared" si="137"/>
        <v/>
      </c>
      <c r="AE242" s="132">
        <f t="shared" si="123"/>
        <v>0</v>
      </c>
      <c r="AF242" s="133" t="str">
        <f t="shared" si="138"/>
        <v/>
      </c>
      <c r="AG242" s="134">
        <f t="shared" si="124"/>
        <v>0</v>
      </c>
      <c r="AH242" s="54" t="str">
        <f t="shared" si="125"/>
        <v/>
      </c>
      <c r="AI242" s="54" t="str">
        <f t="shared" ref="AI242:AX257" si="147">IF(AND($Q242="Feature",LEFT($AB242,2)="PI"),
IF(AND(COUNTIF($R:$R,$B242)=1,$T242=AI$1), IF($AB242=$A$10,$AF242,0),
IF(OR($AD242&lt;1,RIGHT($G242,8)="Progress",$AH242&gt;0),SUMIFS($O:$O,$R:$R,$B242,$T:$T,AI$1,$P:$P,"&lt;&gt;Done",$AB:$AB,$A$10),
IF($T242=AI$1,IF($AB242=$A$10,$AD242,0)+SUMIFS($O:$O,$R:$R,$B242,$T:$T,AI$1,$P:$P,"&lt;&gt;Done",$AB:$AB,$A$10),SUMIFS($O:$O,$R:$R,$B242,$T:$T,AI$1,$P:$P,"&lt;&gt;Done",$AB:$AB,$A$10)))),
IF(AND(OR($Q242="Story",$Q242="Problem",$Q242="Enhancement"),$AB242=$A$10,$R242=0,$T242=AI$1,$P242&lt;&gt;"Done"),$O242,""))</f>
        <v/>
      </c>
      <c r="AJ242" s="54" t="str">
        <f t="shared" si="147"/>
        <v/>
      </c>
      <c r="AK242" s="54" t="str">
        <f t="shared" si="147"/>
        <v/>
      </c>
      <c r="AL242" s="54" t="str">
        <f t="shared" si="147"/>
        <v/>
      </c>
      <c r="AM242" s="54" t="str">
        <f t="shared" si="147"/>
        <v/>
      </c>
      <c r="AN242" s="54" t="str">
        <f t="shared" si="147"/>
        <v/>
      </c>
      <c r="AO242" s="54" t="str">
        <f t="shared" si="147"/>
        <v/>
      </c>
      <c r="AP242" s="54" t="str">
        <f t="shared" si="147"/>
        <v/>
      </c>
      <c r="AQ242" s="54" t="str">
        <f t="shared" si="147"/>
        <v/>
      </c>
      <c r="AR242" s="54" t="str">
        <f t="shared" si="147"/>
        <v/>
      </c>
      <c r="AS242" s="54" t="str">
        <f t="shared" si="147"/>
        <v/>
      </c>
      <c r="AT242" s="54" t="str">
        <f t="shared" si="147"/>
        <v/>
      </c>
      <c r="AU242" s="54" t="str">
        <f t="shared" si="147"/>
        <v/>
      </c>
      <c r="AV242" s="54" t="str">
        <f t="shared" si="147"/>
        <v/>
      </c>
      <c r="AW242" s="54" t="str">
        <f t="shared" si="147"/>
        <v/>
      </c>
      <c r="AX242" s="54" t="str">
        <f t="shared" si="147"/>
        <v/>
      </c>
      <c r="AY242" s="54" t="str">
        <f t="shared" si="139"/>
        <v/>
      </c>
      <c r="AZ242" s="54" t="str">
        <f t="shared" si="128"/>
        <v/>
      </c>
      <c r="BA242" s="54" t="str">
        <f t="shared" si="129"/>
        <v/>
      </c>
      <c r="BB242" s="135" t="str">
        <f t="shared" si="130"/>
        <v/>
      </c>
      <c r="BC242" s="54" t="str">
        <f t="shared" ref="BC242:BE261" si="148">IF(AND($Q242="Feature",LEFT($AB242,2)="PI"),
IF(AND(COUNTIF($R:$R,$B242)=1,$T242=BC$1), IF($AB242=$A$10,$AF242,0),
IF(OR($AD242&lt;1,RIGHT($G242,8)="Progress"),SUMIFS($O:$O,$R:$R,$B242,$T:$T,BC$1,$P:$P,"&lt;&gt;Done",$AB:$AB,$A$10),
IF($T242=BC$1, IF($AB242=$A$10,$AD242,0)+SUMIFS($O:$O,$R:$R,$B242,$T:$T,BC$1,$P:$P,"&lt;&gt;Done",$AB:$AB,$A$10),SUMIFS($O:$O,$R:$R,$B242,$T:$T,BC$1,$P:$P,"&lt;&gt;Done",$AB:$AB,$A$10)))),
IF(AND(OR($Q242="Story",$Q242="Problem",$Q242="Enhancement"),$AB242=$A$10,$R242=0,$T242=BC$1,$P242&lt;&gt;"Done"),$O242,""))</f>
        <v/>
      </c>
      <c r="BD242" s="54" t="str">
        <f t="shared" si="148"/>
        <v/>
      </c>
      <c r="BE242" s="54" t="str">
        <f t="shared" si="148"/>
        <v/>
      </c>
      <c r="BF242" s="54" t="str">
        <f t="shared" si="131"/>
        <v/>
      </c>
      <c r="BG242" s="54" t="str">
        <f t="shared" si="132"/>
        <v/>
      </c>
      <c r="BH242" s="34" t="str">
        <f t="shared" si="133"/>
        <v>Bad</v>
      </c>
      <c r="BI242" s="34" t="str">
        <f t="shared" si="134"/>
        <v>No</v>
      </c>
      <c r="BJ242" s="136" t="str">
        <f>IF($D242&lt;&gt;"Feature",".",
IF(VLOOKUP($B242,Feature_List!$A:$AM,MATCH(BJ$1,  Feature_List!$A$1:$AM$1,0),0)=B242,".","NO"))</f>
        <v>.</v>
      </c>
      <c r="BK242" s="136"/>
      <c r="BL242" s="136"/>
      <c r="BM242" s="136" t="str">
        <f>IF($D242&lt;&gt;"Feature",".",
IF(VLOOKUP($B242,Feature_List!$A:$AM,MATCH(BM$1,  Feature_List!$A$1:$AM$1,0),0)=E242,".","NO"))</f>
        <v>.</v>
      </c>
      <c r="BN242" s="136" t="str">
        <f>IF($D242&lt;&gt;"Feature",".",
IF(VLOOKUP($B242,Feature_List!$A:$AM,MATCH(BN$1,  Feature_List!$A$1:$AM$1,0),0)=F242,".","NO"))</f>
        <v>.</v>
      </c>
      <c r="BO242" s="136" t="str">
        <f>IF($D242&lt;&gt;"Feature",".",
IF(VLOOKUP($B242,Feature_List!$A:$AM,MATCH(BO$1,  Feature_List!$A$1:$AM$1,0),0)=G242,".","NO"))</f>
        <v>.</v>
      </c>
      <c r="BP242" s="136" t="str">
        <f>IF($D242&lt;&gt;"Feature",".",
IF(VLOOKUP($B242,Feature_List!$A:$AM,MATCH(BP$1,  Feature_List!$A$1:$AM$1,0),0)=H242,".","NO"))</f>
        <v>.</v>
      </c>
      <c r="BQ242" s="136"/>
      <c r="BR242" s="136" t="str">
        <f>IF($D242&lt;&gt;"Feature",".",
IF(VLOOKUP($B242,Feature_List!$A:$AM,MATCH(BR$1,  Feature_List!$A$1:$AM$1,0),0)=J242,".","NO"))</f>
        <v>.</v>
      </c>
      <c r="BS242" s="136"/>
      <c r="BT242" s="136"/>
      <c r="BU242" s="136" t="str">
        <f>IF($D242&lt;&gt;"Feature",".",
IF(VLOOKUP($B242,Feature_List!$A:$AM,MATCH(BU$1,  Feature_List!$A$1:$AM$1,0),0)=M242,".","NO"))</f>
        <v>.</v>
      </c>
      <c r="BV242" s="136" t="str">
        <f>IF($D242&lt;&gt;"Feature",".",
IF(VLOOKUP($B242,Feature_List!$A:$AM,MATCH(BV$1,  Feature_List!$A$1:$AM$1,0),0)=N242,".","NO"))</f>
        <v>.</v>
      </c>
      <c r="BW242" s="136"/>
      <c r="BX242" s="136"/>
      <c r="BY242" s="136"/>
      <c r="BZ242" s="136"/>
      <c r="CA242" s="136"/>
      <c r="CB242" s="136" t="str">
        <f>IF($D242&lt;&gt;"Feature",".",
IF(VLOOKUP($B242,Feature_List!$A:$AM,MATCH(CB$1,  Feature_List!$A$1:$AM$1,0),0)=T242,".","NO"))</f>
        <v>.</v>
      </c>
      <c r="CC242" s="136"/>
      <c r="CD242" s="136"/>
      <c r="CE242" s="136"/>
      <c r="CF242" s="136"/>
      <c r="CG242" s="136"/>
      <c r="CH242" s="136"/>
      <c r="CI242" s="136"/>
      <c r="CJ242" s="136"/>
      <c r="CK242" s="136"/>
      <c r="CL242" s="136"/>
      <c r="CM242" s="136"/>
      <c r="CN242" s="136"/>
      <c r="CO242" s="136" t="str">
        <f>IF($D242&lt;&gt;"Feature",".",
IF(VLOOKUP($B242,Feature_List!$A:$AM,MATCH(CO$1,  Feature_List!$A$1:$AM$1,0),0)=AG242,".","NO"))</f>
        <v>.</v>
      </c>
      <c r="CP242" s="136" t="str">
        <f>IF($D242&lt;&gt;"Feature",".",
IF(VLOOKUP($B242,Feature_List!$A:$AM,MATCH(CP$1,  Feature_List!$A$1:$AM$1,0),0)=AH242,".","NO"))</f>
        <v>.</v>
      </c>
      <c r="CQ242" s="136" t="str">
        <f>IF($D242&lt;&gt;"Feature",".",
IF(VLOOKUP($B242,Feature_List!$A:$AM,MATCH(CQ$1,  Feature_List!$A$1:$AM$1,0),0)=AI242,".","NO"))</f>
        <v>.</v>
      </c>
      <c r="CR242" s="136" t="str">
        <f>IF($D242&lt;&gt;"Feature",".",
IF(VLOOKUP($B242,Feature_List!$A:$AM,MATCH(CR$1,  Feature_List!$A$1:$AM$1,0),0)=AJ242,".","NO"))</f>
        <v>.</v>
      </c>
      <c r="CS242" s="136" t="str">
        <f>IF($D242&lt;&gt;"Feature",".",
IF(VLOOKUP($B242,Feature_List!$A:$AM,MATCH(CS$1,  Feature_List!$A$1:$AM$1,0),0)=AK242,".","NO"))</f>
        <v>.</v>
      </c>
      <c r="CT242" s="136" t="str">
        <f>IF($D242&lt;&gt;"Feature",".",
IF(VLOOKUP($B242,Feature_List!$A:$AM,MATCH(CT$1,  Feature_List!$A$1:$AM$1,0),0)=AL242,".","NO"))</f>
        <v>.</v>
      </c>
      <c r="CU242" s="136" t="str">
        <f>IF($D242&lt;&gt;"Feature",".",
IF(VLOOKUP($B242,Feature_List!$A:$AM,MATCH(CU$1,  Feature_List!$A$1:$AM$1,0),0)=AM242,".","NO"))</f>
        <v>.</v>
      </c>
      <c r="CV242" s="136" t="str">
        <f>IF($D242&lt;&gt;"Feature",".",
IF(VLOOKUP($B242,Feature_List!$A:$AM,MATCH(CV$1,  Feature_List!$A$1:$AM$1,0),0)=AN242,".","NO"))</f>
        <v>.</v>
      </c>
      <c r="CW242" s="136" t="str">
        <f>IF($D242&lt;&gt;"Feature",".",
IF(VLOOKUP($B242,Feature_List!$A:$AM,MATCH(CW$1,  Feature_List!$A$1:$AM$1,0),0)=AO242,".","NO"))</f>
        <v>.</v>
      </c>
      <c r="CX242" s="136" t="str">
        <f>IF($D242&lt;&gt;"Feature",".",
IF(VLOOKUP($B242,Feature_List!$A:$AM,MATCH(CX$1,  Feature_List!$A$1:$AM$1,0),0)=AP242,".","NO"))</f>
        <v>.</v>
      </c>
      <c r="CY242" s="136" t="str">
        <f>IF($D242&lt;&gt;"Feature",".",
IF(VLOOKUP($B242,Feature_List!$A:$AM,MATCH(CY$1,  Feature_List!$A$1:$AM$1,0),0)=AQ242,".","NO"))</f>
        <v>.</v>
      </c>
      <c r="CZ242" s="136" t="str">
        <f>IF($D242&lt;&gt;"Feature",".",
IF(VLOOKUP($B242,Feature_List!$A:$AM,MATCH(CZ$1,  Feature_List!$A$1:$AM$1,0),0)=AR242,".","NO"))</f>
        <v>.</v>
      </c>
      <c r="DA242" s="136" t="str">
        <f>IF($D242&lt;&gt;"Feature",".",
IF(VLOOKUP($B242,Feature_List!$A:$AM,MATCH(DA$1,  Feature_List!$A$1:$AM$1,0),0)=AS242,".","NO"))</f>
        <v>.</v>
      </c>
      <c r="DB242" s="136" t="str">
        <f>IF($D242&lt;&gt;"Feature",".",
IF(VLOOKUP($B242,Feature_List!$A:$AM,MATCH(DB$1,  Feature_List!$A$1:$AM$1,0),0)=AT242,".","NO"))</f>
        <v>.</v>
      </c>
      <c r="DC242" s="136" t="str">
        <f>IF($D242&lt;&gt;"Feature",".",
IF(VLOOKUP($B242,Feature_List!$A:$AM,MATCH(DC$1,  Feature_List!$A$1:$AM$1,0),0)=AU242,".","NO"))</f>
        <v>.</v>
      </c>
      <c r="DD242" s="136" t="str">
        <f>IF($D242&lt;&gt;"Feature",".",
IF(VLOOKUP($B242,Feature_List!$A:$AM,MATCH(DD$1,  Feature_List!$A$1:$AM$1,0),0)=AV242,".","NO"))</f>
        <v>.</v>
      </c>
      <c r="DE242" s="136" t="str">
        <f>IF($D242&lt;&gt;"Feature",".",
IF(VLOOKUP($B242,Feature_List!$A:$AM,MATCH(DE$1,  Feature_List!$A$1:$AM$1,0),0)=AW242,".","NO"))</f>
        <v>.</v>
      </c>
      <c r="DF242" s="136" t="str">
        <f>IF($D242&lt;&gt;"Feature",".",
IF(VLOOKUP($B242,Feature_List!$A:$AM,MATCH(DF$1,  Feature_List!$A$1:$AM$1,0),0)=AX242,".","NO"))</f>
        <v>.</v>
      </c>
      <c r="DG242" s="136" t="str">
        <f>IF($D242&lt;&gt;"Feature",".",
IF(VLOOKUP($B242,Feature_List!$A:$AM,MATCH(DG$1,  Feature_List!$A$1:$AM$1,0),0)=AY242,".","NO"))</f>
        <v>.</v>
      </c>
      <c r="DH242" s="136" t="str">
        <f>IF($D242&lt;&gt;"Feature",".",
IF(VLOOKUP($B242,Feature_List!$A:$AM,MATCH(DH$1,  Feature_List!$A$1:$AM$1,0),0)=AZ242,".","NO"))</f>
        <v>.</v>
      </c>
      <c r="DI242" s="136" t="str">
        <f>IF($D242&lt;&gt;"Feature",".",
IF(VLOOKUP($B242,Feature_List!$A:$AM,MATCH(DI$1,  Feature_List!$A$1:$AM$1,0),0)=BA242,".","NO"))</f>
        <v>.</v>
      </c>
      <c r="DJ242" s="136" t="str">
        <f>IF($D242&lt;&gt;"Feature",".",
IF(VLOOKUP($B242,Feature_List!$A:$AM,MATCH(DJ$1,  Feature_List!$A$1:$AM$1,0),0)=BB242,".","NO"))</f>
        <v>.</v>
      </c>
      <c r="DK242" s="136"/>
      <c r="DL242" s="136"/>
      <c r="DM242" s="136"/>
      <c r="DN242" s="136" t="str">
        <f>IF($D242&lt;&gt;"Feature",".",
IF(VLOOKUP($B242,Feature_List!$A:$AM,MATCH(DN$1,  Feature_List!$A$1:$AM$1,0),0)=BC242,".","NO"))</f>
        <v>.</v>
      </c>
      <c r="DO242" s="136" t="str">
        <f>IF($D242&lt;&gt;"Feature",".",
IF(VLOOKUP($B242,Feature_List!$A:$AM,MATCH(DO$1,  Feature_List!$A$1:$AM$1,0),0)=BD242,".","NO"))</f>
        <v>.</v>
      </c>
    </row>
    <row r="243" spans="2:119" x14ac:dyDescent="0.3">
      <c r="B243" s="121"/>
      <c r="C243" s="122"/>
      <c r="D243" s="122"/>
      <c r="E243" s="122"/>
      <c r="F243" s="123"/>
      <c r="G243" s="123"/>
      <c r="H243" s="122"/>
      <c r="I243" s="124"/>
      <c r="J243" s="123"/>
      <c r="K243" s="123"/>
      <c r="L243" s="122"/>
      <c r="M243" s="122"/>
      <c r="N243" s="122"/>
      <c r="O243" s="123">
        <f t="shared" si="112"/>
        <v>0</v>
      </c>
      <c r="P243" s="123">
        <f t="shared" si="113"/>
        <v>0</v>
      </c>
      <c r="Q243" s="122" t="str">
        <f t="shared" si="135"/>
        <v>ZeroEntry</v>
      </c>
      <c r="R243" s="126" t="str">
        <f t="shared" si="114"/>
        <v>ZeroEntry</v>
      </c>
      <c r="S243" s="127" t="str">
        <f t="shared" si="115"/>
        <v>ZeroEntry</v>
      </c>
      <c r="T243" s="128" t="str">
        <f>IF($Q243="ZeroEntry", "",VLOOKUP($I243,'Ranking Lookup'!#REF!,2,FALSE))</f>
        <v/>
      </c>
      <c r="U243" s="129" t="str">
        <f t="shared" si="116"/>
        <v/>
      </c>
      <c r="V243" s="129" t="str">
        <f t="shared" si="117"/>
        <v/>
      </c>
      <c r="W243" s="129" t="str">
        <f t="shared" si="118"/>
        <v/>
      </c>
      <c r="X243" s="129" t="str">
        <f t="shared" si="119"/>
        <v/>
      </c>
      <c r="Y243" s="129" t="str">
        <f t="shared" si="120"/>
        <v/>
      </c>
      <c r="Z243" s="129" t="str">
        <f t="shared" si="121"/>
        <v/>
      </c>
      <c r="AA243" s="130"/>
      <c r="AB243" s="130" t="str">
        <f t="shared" si="122"/>
        <v>Unassigned</v>
      </c>
      <c r="AC243" s="131" t="str">
        <f t="shared" si="136"/>
        <v/>
      </c>
      <c r="AD243" s="131" t="str">
        <f t="shared" si="137"/>
        <v/>
      </c>
      <c r="AE243" s="132">
        <f t="shared" si="123"/>
        <v>0</v>
      </c>
      <c r="AF243" s="133" t="str">
        <f t="shared" si="138"/>
        <v/>
      </c>
      <c r="AG243" s="134">
        <f t="shared" si="124"/>
        <v>0</v>
      </c>
      <c r="AH243" s="54" t="str">
        <f t="shared" si="125"/>
        <v/>
      </c>
      <c r="AI243" s="54" t="str">
        <f t="shared" si="147"/>
        <v/>
      </c>
      <c r="AJ243" s="54" t="str">
        <f t="shared" si="147"/>
        <v/>
      </c>
      <c r="AK243" s="54" t="str">
        <f t="shared" si="147"/>
        <v/>
      </c>
      <c r="AL243" s="54" t="str">
        <f t="shared" si="147"/>
        <v/>
      </c>
      <c r="AM243" s="54" t="str">
        <f t="shared" si="147"/>
        <v/>
      </c>
      <c r="AN243" s="54" t="str">
        <f t="shared" si="147"/>
        <v/>
      </c>
      <c r="AO243" s="54" t="str">
        <f t="shared" si="147"/>
        <v/>
      </c>
      <c r="AP243" s="54" t="str">
        <f t="shared" si="147"/>
        <v/>
      </c>
      <c r="AQ243" s="54" t="str">
        <f t="shared" si="147"/>
        <v/>
      </c>
      <c r="AR243" s="54" t="str">
        <f t="shared" si="147"/>
        <v/>
      </c>
      <c r="AS243" s="54" t="str">
        <f t="shared" si="147"/>
        <v/>
      </c>
      <c r="AT243" s="54" t="str">
        <f t="shared" si="147"/>
        <v/>
      </c>
      <c r="AU243" s="54" t="str">
        <f t="shared" si="147"/>
        <v/>
      </c>
      <c r="AV243" s="54" t="str">
        <f t="shared" si="147"/>
        <v/>
      </c>
      <c r="AW243" s="54" t="str">
        <f t="shared" si="147"/>
        <v/>
      </c>
      <c r="AX243" s="54" t="str">
        <f t="shared" si="147"/>
        <v/>
      </c>
      <c r="AY243" s="54" t="str">
        <f t="shared" si="139"/>
        <v/>
      </c>
      <c r="AZ243" s="54" t="str">
        <f t="shared" si="128"/>
        <v/>
      </c>
      <c r="BA243" s="54" t="str">
        <f t="shared" si="129"/>
        <v/>
      </c>
      <c r="BB243" s="135" t="str">
        <f t="shared" si="130"/>
        <v/>
      </c>
      <c r="BC243" s="54" t="str">
        <f t="shared" si="148"/>
        <v/>
      </c>
      <c r="BD243" s="54" t="str">
        <f t="shared" si="148"/>
        <v/>
      </c>
      <c r="BE243" s="54" t="str">
        <f t="shared" si="148"/>
        <v/>
      </c>
      <c r="BF243" s="54" t="str">
        <f t="shared" si="131"/>
        <v/>
      </c>
      <c r="BG243" s="54" t="str">
        <f t="shared" si="132"/>
        <v/>
      </c>
      <c r="BH243" s="34" t="str">
        <f t="shared" si="133"/>
        <v>Bad</v>
      </c>
      <c r="BI243" s="34" t="str">
        <f t="shared" si="134"/>
        <v>No</v>
      </c>
      <c r="BJ243" s="136" t="str">
        <f>IF($D243&lt;&gt;"Feature",".",
IF(VLOOKUP($B243,Feature_List!$A:$AM,MATCH(BJ$1,  Feature_List!$A$1:$AM$1,0),0)=B243,".","NO"))</f>
        <v>.</v>
      </c>
      <c r="BK243" s="136"/>
      <c r="BL243" s="136"/>
      <c r="BM243" s="136" t="str">
        <f>IF($D243&lt;&gt;"Feature",".",
IF(VLOOKUP($B243,Feature_List!$A:$AM,MATCH(BM$1,  Feature_List!$A$1:$AM$1,0),0)=E243,".","NO"))</f>
        <v>.</v>
      </c>
      <c r="BN243" s="136" t="str">
        <f>IF($D243&lt;&gt;"Feature",".",
IF(VLOOKUP($B243,Feature_List!$A:$AM,MATCH(BN$1,  Feature_List!$A$1:$AM$1,0),0)=F243,".","NO"))</f>
        <v>.</v>
      </c>
      <c r="BO243" s="136" t="str">
        <f>IF($D243&lt;&gt;"Feature",".",
IF(VLOOKUP($B243,Feature_List!$A:$AM,MATCH(BO$1,  Feature_List!$A$1:$AM$1,0),0)=G243,".","NO"))</f>
        <v>.</v>
      </c>
      <c r="BP243" s="136" t="str">
        <f>IF($D243&lt;&gt;"Feature",".",
IF(VLOOKUP($B243,Feature_List!$A:$AM,MATCH(BP$1,  Feature_List!$A$1:$AM$1,0),0)=H243,".","NO"))</f>
        <v>.</v>
      </c>
      <c r="BQ243" s="136"/>
      <c r="BR243" s="136" t="str">
        <f>IF($D243&lt;&gt;"Feature",".",
IF(VLOOKUP($B243,Feature_List!$A:$AM,MATCH(BR$1,  Feature_List!$A$1:$AM$1,0),0)=J243,".","NO"))</f>
        <v>.</v>
      </c>
      <c r="BS243" s="136"/>
      <c r="BT243" s="136"/>
      <c r="BU243" s="136" t="str">
        <f>IF($D243&lt;&gt;"Feature",".",
IF(VLOOKUP($B243,Feature_List!$A:$AM,MATCH(BU$1,  Feature_List!$A$1:$AM$1,0),0)=M243,".","NO"))</f>
        <v>.</v>
      </c>
      <c r="BV243" s="136" t="str">
        <f>IF($D243&lt;&gt;"Feature",".",
IF(VLOOKUP($B243,Feature_List!$A:$AM,MATCH(BV$1,  Feature_List!$A$1:$AM$1,0),0)=N243,".","NO"))</f>
        <v>.</v>
      </c>
      <c r="BW243" s="136"/>
      <c r="BX243" s="136"/>
      <c r="BY243" s="136"/>
      <c r="BZ243" s="136"/>
      <c r="CA243" s="136"/>
      <c r="CB243" s="136" t="str">
        <f>IF($D243&lt;&gt;"Feature",".",
IF(VLOOKUP($B243,Feature_List!$A:$AM,MATCH(CB$1,  Feature_List!$A$1:$AM$1,0),0)=T243,".","NO"))</f>
        <v>.</v>
      </c>
      <c r="CC243" s="136"/>
      <c r="CD243" s="136"/>
      <c r="CE243" s="136"/>
      <c r="CF243" s="136"/>
      <c r="CG243" s="136"/>
      <c r="CH243" s="136"/>
      <c r="CI243" s="136"/>
      <c r="CJ243" s="136"/>
      <c r="CK243" s="136"/>
      <c r="CL243" s="136"/>
      <c r="CM243" s="136"/>
      <c r="CN243" s="136"/>
      <c r="CO243" s="136" t="str">
        <f>IF($D243&lt;&gt;"Feature",".",
IF(VLOOKUP($B243,Feature_List!$A:$AM,MATCH(CO$1,  Feature_List!$A$1:$AM$1,0),0)=AG243,".","NO"))</f>
        <v>.</v>
      </c>
      <c r="CP243" s="136" t="str">
        <f>IF($D243&lt;&gt;"Feature",".",
IF(VLOOKUP($B243,Feature_List!$A:$AM,MATCH(CP$1,  Feature_List!$A$1:$AM$1,0),0)=AH243,".","NO"))</f>
        <v>.</v>
      </c>
      <c r="CQ243" s="136" t="str">
        <f>IF($D243&lt;&gt;"Feature",".",
IF(VLOOKUP($B243,Feature_List!$A:$AM,MATCH(CQ$1,  Feature_List!$A$1:$AM$1,0),0)=AI243,".","NO"))</f>
        <v>.</v>
      </c>
      <c r="CR243" s="136" t="str">
        <f>IF($D243&lt;&gt;"Feature",".",
IF(VLOOKUP($B243,Feature_List!$A:$AM,MATCH(CR$1,  Feature_List!$A$1:$AM$1,0),0)=AJ243,".","NO"))</f>
        <v>.</v>
      </c>
      <c r="CS243" s="136" t="str">
        <f>IF($D243&lt;&gt;"Feature",".",
IF(VLOOKUP($B243,Feature_List!$A:$AM,MATCH(CS$1,  Feature_List!$A$1:$AM$1,0),0)=AK243,".","NO"))</f>
        <v>.</v>
      </c>
      <c r="CT243" s="136" t="str">
        <f>IF($D243&lt;&gt;"Feature",".",
IF(VLOOKUP($B243,Feature_List!$A:$AM,MATCH(CT$1,  Feature_List!$A$1:$AM$1,0),0)=AL243,".","NO"))</f>
        <v>.</v>
      </c>
      <c r="CU243" s="136" t="str">
        <f>IF($D243&lt;&gt;"Feature",".",
IF(VLOOKUP($B243,Feature_List!$A:$AM,MATCH(CU$1,  Feature_List!$A$1:$AM$1,0),0)=AM243,".","NO"))</f>
        <v>.</v>
      </c>
      <c r="CV243" s="136" t="str">
        <f>IF($D243&lt;&gt;"Feature",".",
IF(VLOOKUP($B243,Feature_List!$A:$AM,MATCH(CV$1,  Feature_List!$A$1:$AM$1,0),0)=AN243,".","NO"))</f>
        <v>.</v>
      </c>
      <c r="CW243" s="136" t="str">
        <f>IF($D243&lt;&gt;"Feature",".",
IF(VLOOKUP($B243,Feature_List!$A:$AM,MATCH(CW$1,  Feature_List!$A$1:$AM$1,0),0)=AO243,".","NO"))</f>
        <v>.</v>
      </c>
      <c r="CX243" s="136" t="str">
        <f>IF($D243&lt;&gt;"Feature",".",
IF(VLOOKUP($B243,Feature_List!$A:$AM,MATCH(CX$1,  Feature_List!$A$1:$AM$1,0),0)=AP243,".","NO"))</f>
        <v>.</v>
      </c>
      <c r="CY243" s="136" t="str">
        <f>IF($D243&lt;&gt;"Feature",".",
IF(VLOOKUP($B243,Feature_List!$A:$AM,MATCH(CY$1,  Feature_List!$A$1:$AM$1,0),0)=AQ243,".","NO"))</f>
        <v>.</v>
      </c>
      <c r="CZ243" s="136" t="str">
        <f>IF($D243&lt;&gt;"Feature",".",
IF(VLOOKUP($B243,Feature_List!$A:$AM,MATCH(CZ$1,  Feature_List!$A$1:$AM$1,0),0)=AR243,".","NO"))</f>
        <v>.</v>
      </c>
      <c r="DA243" s="136" t="str">
        <f>IF($D243&lt;&gt;"Feature",".",
IF(VLOOKUP($B243,Feature_List!$A:$AM,MATCH(DA$1,  Feature_List!$A$1:$AM$1,0),0)=AS243,".","NO"))</f>
        <v>.</v>
      </c>
      <c r="DB243" s="136" t="str">
        <f>IF($D243&lt;&gt;"Feature",".",
IF(VLOOKUP($B243,Feature_List!$A:$AM,MATCH(DB$1,  Feature_List!$A$1:$AM$1,0),0)=AT243,".","NO"))</f>
        <v>.</v>
      </c>
      <c r="DC243" s="136" t="str">
        <f>IF($D243&lt;&gt;"Feature",".",
IF(VLOOKUP($B243,Feature_List!$A:$AM,MATCH(DC$1,  Feature_List!$A$1:$AM$1,0),0)=AU243,".","NO"))</f>
        <v>.</v>
      </c>
      <c r="DD243" s="136" t="str">
        <f>IF($D243&lt;&gt;"Feature",".",
IF(VLOOKUP($B243,Feature_List!$A:$AM,MATCH(DD$1,  Feature_List!$A$1:$AM$1,0),0)=AV243,".","NO"))</f>
        <v>.</v>
      </c>
      <c r="DE243" s="136" t="str">
        <f>IF($D243&lt;&gt;"Feature",".",
IF(VLOOKUP($B243,Feature_List!$A:$AM,MATCH(DE$1,  Feature_List!$A$1:$AM$1,0),0)=AW243,".","NO"))</f>
        <v>.</v>
      </c>
      <c r="DF243" s="136" t="str">
        <f>IF($D243&lt;&gt;"Feature",".",
IF(VLOOKUP($B243,Feature_List!$A:$AM,MATCH(DF$1,  Feature_List!$A$1:$AM$1,0),0)=AX243,".","NO"))</f>
        <v>.</v>
      </c>
      <c r="DG243" s="136" t="str">
        <f>IF($D243&lt;&gt;"Feature",".",
IF(VLOOKUP($B243,Feature_List!$A:$AM,MATCH(DG$1,  Feature_List!$A$1:$AM$1,0),0)=AY243,".","NO"))</f>
        <v>.</v>
      </c>
      <c r="DH243" s="136" t="str">
        <f>IF($D243&lt;&gt;"Feature",".",
IF(VLOOKUP($B243,Feature_List!$A:$AM,MATCH(DH$1,  Feature_List!$A$1:$AM$1,0),0)=AZ243,".","NO"))</f>
        <v>.</v>
      </c>
      <c r="DI243" s="136" t="str">
        <f>IF($D243&lt;&gt;"Feature",".",
IF(VLOOKUP($B243,Feature_List!$A:$AM,MATCH(DI$1,  Feature_List!$A$1:$AM$1,0),0)=BA243,".","NO"))</f>
        <v>.</v>
      </c>
      <c r="DJ243" s="136" t="str">
        <f>IF($D243&lt;&gt;"Feature",".",
IF(VLOOKUP($B243,Feature_List!$A:$AM,MATCH(DJ$1,  Feature_List!$A$1:$AM$1,0),0)=BB243,".","NO"))</f>
        <v>.</v>
      </c>
      <c r="DK243" s="136"/>
      <c r="DL243" s="136"/>
      <c r="DM243" s="136"/>
      <c r="DN243" s="136" t="str">
        <f>IF($D243&lt;&gt;"Feature",".",
IF(VLOOKUP($B243,Feature_List!$A:$AM,MATCH(DN$1,  Feature_List!$A$1:$AM$1,0),0)=BC243,".","NO"))</f>
        <v>.</v>
      </c>
      <c r="DO243" s="136" t="str">
        <f>IF($D243&lt;&gt;"Feature",".",
IF(VLOOKUP($B243,Feature_List!$A:$AM,MATCH(DO$1,  Feature_List!$A$1:$AM$1,0),0)=BD243,".","NO"))</f>
        <v>.</v>
      </c>
    </row>
    <row r="244" spans="2:119" x14ac:dyDescent="0.3">
      <c r="B244" s="121"/>
      <c r="C244" s="122"/>
      <c r="D244" s="122"/>
      <c r="E244" s="122"/>
      <c r="F244" s="123"/>
      <c r="G244" s="123"/>
      <c r="H244" s="122"/>
      <c r="I244" s="124"/>
      <c r="J244" s="123"/>
      <c r="K244" s="123"/>
      <c r="L244" s="122"/>
      <c r="M244" s="122"/>
      <c r="N244" s="122"/>
      <c r="O244" s="123">
        <f t="shared" si="112"/>
        <v>0</v>
      </c>
      <c r="P244" s="123">
        <f t="shared" si="113"/>
        <v>0</v>
      </c>
      <c r="Q244" s="122" t="str">
        <f t="shared" si="135"/>
        <v>ZeroEntry</v>
      </c>
      <c r="R244" s="126" t="str">
        <f t="shared" si="114"/>
        <v>ZeroEntry</v>
      </c>
      <c r="S244" s="127" t="str">
        <f t="shared" si="115"/>
        <v>ZeroEntry</v>
      </c>
      <c r="T244" s="128" t="str">
        <f>IF($Q244="ZeroEntry", "",VLOOKUP($I244,'Ranking Lookup'!#REF!,2,FALSE))</f>
        <v/>
      </c>
      <c r="U244" s="129" t="str">
        <f t="shared" si="116"/>
        <v/>
      </c>
      <c r="V244" s="129" t="str">
        <f t="shared" si="117"/>
        <v/>
      </c>
      <c r="W244" s="129" t="str">
        <f t="shared" si="118"/>
        <v/>
      </c>
      <c r="X244" s="129" t="str">
        <f t="shared" si="119"/>
        <v/>
      </c>
      <c r="Y244" s="129" t="str">
        <f t="shared" si="120"/>
        <v/>
      </c>
      <c r="Z244" s="129" t="str">
        <f t="shared" si="121"/>
        <v/>
      </c>
      <c r="AA244" s="130"/>
      <c r="AB244" s="130" t="str">
        <f t="shared" si="122"/>
        <v>Unassigned</v>
      </c>
      <c r="AC244" s="131" t="str">
        <f t="shared" si="136"/>
        <v/>
      </c>
      <c r="AD244" s="131" t="str">
        <f t="shared" si="137"/>
        <v/>
      </c>
      <c r="AE244" s="132">
        <f t="shared" si="123"/>
        <v>0</v>
      </c>
      <c r="AF244" s="133" t="str">
        <f t="shared" si="138"/>
        <v/>
      </c>
      <c r="AG244" s="134">
        <f t="shared" si="124"/>
        <v>0</v>
      </c>
      <c r="AH244" s="54" t="str">
        <f t="shared" si="125"/>
        <v/>
      </c>
      <c r="AI244" s="54" t="str">
        <f t="shared" si="147"/>
        <v/>
      </c>
      <c r="AJ244" s="54" t="str">
        <f t="shared" si="147"/>
        <v/>
      </c>
      <c r="AK244" s="54" t="str">
        <f t="shared" si="147"/>
        <v/>
      </c>
      <c r="AL244" s="54" t="str">
        <f t="shared" si="147"/>
        <v/>
      </c>
      <c r="AM244" s="54" t="str">
        <f t="shared" si="147"/>
        <v/>
      </c>
      <c r="AN244" s="54" t="str">
        <f t="shared" si="147"/>
        <v/>
      </c>
      <c r="AO244" s="54" t="str">
        <f t="shared" si="147"/>
        <v/>
      </c>
      <c r="AP244" s="54" t="str">
        <f t="shared" si="147"/>
        <v/>
      </c>
      <c r="AQ244" s="54" t="str">
        <f t="shared" si="147"/>
        <v/>
      </c>
      <c r="AR244" s="54" t="str">
        <f t="shared" si="147"/>
        <v/>
      </c>
      <c r="AS244" s="54" t="str">
        <f t="shared" si="147"/>
        <v/>
      </c>
      <c r="AT244" s="54" t="str">
        <f t="shared" si="147"/>
        <v/>
      </c>
      <c r="AU244" s="54" t="str">
        <f t="shared" si="147"/>
        <v/>
      </c>
      <c r="AV244" s="54" t="str">
        <f t="shared" si="147"/>
        <v/>
      </c>
      <c r="AW244" s="54" t="str">
        <f t="shared" si="147"/>
        <v/>
      </c>
      <c r="AX244" s="54" t="str">
        <f t="shared" si="147"/>
        <v/>
      </c>
      <c r="AY244" s="54" t="str">
        <f t="shared" si="139"/>
        <v/>
      </c>
      <c r="AZ244" s="54" t="str">
        <f t="shared" si="128"/>
        <v/>
      </c>
      <c r="BA244" s="54" t="str">
        <f t="shared" si="129"/>
        <v/>
      </c>
      <c r="BB244" s="135" t="str">
        <f t="shared" si="130"/>
        <v/>
      </c>
      <c r="BC244" s="54" t="str">
        <f t="shared" si="148"/>
        <v/>
      </c>
      <c r="BD244" s="54" t="str">
        <f t="shared" si="148"/>
        <v/>
      </c>
      <c r="BE244" s="54" t="str">
        <f t="shared" si="148"/>
        <v/>
      </c>
      <c r="BF244" s="54" t="str">
        <f t="shared" si="131"/>
        <v/>
      </c>
      <c r="BG244" s="54" t="str">
        <f t="shared" si="132"/>
        <v/>
      </c>
      <c r="BH244" s="34" t="str">
        <f t="shared" si="133"/>
        <v>Bad</v>
      </c>
      <c r="BI244" s="34" t="str">
        <f t="shared" si="134"/>
        <v>No</v>
      </c>
      <c r="BJ244" s="136" t="str">
        <f>IF($D244&lt;&gt;"Feature",".",
IF(VLOOKUP($B244,Feature_List!$A:$AM,MATCH(BJ$1,  Feature_List!$A$1:$AM$1,0),0)=B244,".","NO"))</f>
        <v>.</v>
      </c>
      <c r="BK244" s="136"/>
      <c r="BL244" s="136"/>
      <c r="BM244" s="136" t="str">
        <f>IF($D244&lt;&gt;"Feature",".",
IF(VLOOKUP($B244,Feature_List!$A:$AM,MATCH(BM$1,  Feature_List!$A$1:$AM$1,0),0)=E244,".","NO"))</f>
        <v>.</v>
      </c>
      <c r="BN244" s="136" t="str">
        <f>IF($D244&lt;&gt;"Feature",".",
IF(VLOOKUP($B244,Feature_List!$A:$AM,MATCH(BN$1,  Feature_List!$A$1:$AM$1,0),0)=F244,".","NO"))</f>
        <v>.</v>
      </c>
      <c r="BO244" s="136" t="str">
        <f>IF($D244&lt;&gt;"Feature",".",
IF(VLOOKUP($B244,Feature_List!$A:$AM,MATCH(BO$1,  Feature_List!$A$1:$AM$1,0),0)=G244,".","NO"))</f>
        <v>.</v>
      </c>
      <c r="BP244" s="136" t="str">
        <f>IF($D244&lt;&gt;"Feature",".",
IF(VLOOKUP($B244,Feature_List!$A:$AM,MATCH(BP$1,  Feature_List!$A$1:$AM$1,0),0)=H244,".","NO"))</f>
        <v>.</v>
      </c>
      <c r="BQ244" s="136"/>
      <c r="BR244" s="136" t="str">
        <f>IF($D244&lt;&gt;"Feature",".",
IF(VLOOKUP($B244,Feature_List!$A:$AM,MATCH(BR$1,  Feature_List!$A$1:$AM$1,0),0)=J244,".","NO"))</f>
        <v>.</v>
      </c>
      <c r="BS244" s="136"/>
      <c r="BT244" s="136"/>
      <c r="BU244" s="136" t="str">
        <f>IF($D244&lt;&gt;"Feature",".",
IF(VLOOKUP($B244,Feature_List!$A:$AM,MATCH(BU$1,  Feature_List!$A$1:$AM$1,0),0)=M244,".","NO"))</f>
        <v>.</v>
      </c>
      <c r="BV244" s="136" t="str">
        <f>IF($D244&lt;&gt;"Feature",".",
IF(VLOOKUP($B244,Feature_List!$A:$AM,MATCH(BV$1,  Feature_List!$A$1:$AM$1,0),0)=N244,".","NO"))</f>
        <v>.</v>
      </c>
      <c r="BW244" s="136"/>
      <c r="BX244" s="136"/>
      <c r="BY244" s="136"/>
      <c r="BZ244" s="136"/>
      <c r="CA244" s="136"/>
      <c r="CB244" s="136" t="str">
        <f>IF($D244&lt;&gt;"Feature",".",
IF(VLOOKUP($B244,Feature_List!$A:$AM,MATCH(CB$1,  Feature_List!$A$1:$AM$1,0),0)=T244,".","NO"))</f>
        <v>.</v>
      </c>
      <c r="CC244" s="136"/>
      <c r="CD244" s="136"/>
      <c r="CE244" s="136"/>
      <c r="CF244" s="136"/>
      <c r="CG244" s="136"/>
      <c r="CH244" s="136"/>
      <c r="CI244" s="136"/>
      <c r="CJ244" s="136"/>
      <c r="CK244" s="136"/>
      <c r="CL244" s="136"/>
      <c r="CM244" s="136"/>
      <c r="CN244" s="136"/>
      <c r="CO244" s="136" t="str">
        <f>IF($D244&lt;&gt;"Feature",".",
IF(VLOOKUP($B244,Feature_List!$A:$AM,MATCH(CO$1,  Feature_List!$A$1:$AM$1,0),0)=AG244,".","NO"))</f>
        <v>.</v>
      </c>
      <c r="CP244" s="136" t="str">
        <f>IF($D244&lt;&gt;"Feature",".",
IF(VLOOKUP($B244,Feature_List!$A:$AM,MATCH(CP$1,  Feature_List!$A$1:$AM$1,0),0)=AH244,".","NO"))</f>
        <v>.</v>
      </c>
      <c r="CQ244" s="136" t="str">
        <f>IF($D244&lt;&gt;"Feature",".",
IF(VLOOKUP($B244,Feature_List!$A:$AM,MATCH(CQ$1,  Feature_List!$A$1:$AM$1,0),0)=AI244,".","NO"))</f>
        <v>.</v>
      </c>
      <c r="CR244" s="136" t="str">
        <f>IF($D244&lt;&gt;"Feature",".",
IF(VLOOKUP($B244,Feature_List!$A:$AM,MATCH(CR$1,  Feature_List!$A$1:$AM$1,0),0)=AJ244,".","NO"))</f>
        <v>.</v>
      </c>
      <c r="CS244" s="136" t="str">
        <f>IF($D244&lt;&gt;"Feature",".",
IF(VLOOKUP($B244,Feature_List!$A:$AM,MATCH(CS$1,  Feature_List!$A$1:$AM$1,0),0)=AK244,".","NO"))</f>
        <v>.</v>
      </c>
      <c r="CT244" s="136" t="str">
        <f>IF($D244&lt;&gt;"Feature",".",
IF(VLOOKUP($B244,Feature_List!$A:$AM,MATCH(CT$1,  Feature_List!$A$1:$AM$1,0),0)=AL244,".","NO"))</f>
        <v>.</v>
      </c>
      <c r="CU244" s="136" t="str">
        <f>IF($D244&lt;&gt;"Feature",".",
IF(VLOOKUP($B244,Feature_List!$A:$AM,MATCH(CU$1,  Feature_List!$A$1:$AM$1,0),0)=AM244,".","NO"))</f>
        <v>.</v>
      </c>
      <c r="CV244" s="136" t="str">
        <f>IF($D244&lt;&gt;"Feature",".",
IF(VLOOKUP($B244,Feature_List!$A:$AM,MATCH(CV$1,  Feature_List!$A$1:$AM$1,0),0)=AN244,".","NO"))</f>
        <v>.</v>
      </c>
      <c r="CW244" s="136" t="str">
        <f>IF($D244&lt;&gt;"Feature",".",
IF(VLOOKUP($B244,Feature_List!$A:$AM,MATCH(CW$1,  Feature_List!$A$1:$AM$1,0),0)=AO244,".","NO"))</f>
        <v>.</v>
      </c>
      <c r="CX244" s="136" t="str">
        <f>IF($D244&lt;&gt;"Feature",".",
IF(VLOOKUP($B244,Feature_List!$A:$AM,MATCH(CX$1,  Feature_List!$A$1:$AM$1,0),0)=AP244,".","NO"))</f>
        <v>.</v>
      </c>
      <c r="CY244" s="136" t="str">
        <f>IF($D244&lt;&gt;"Feature",".",
IF(VLOOKUP($B244,Feature_List!$A:$AM,MATCH(CY$1,  Feature_List!$A$1:$AM$1,0),0)=AQ244,".","NO"))</f>
        <v>.</v>
      </c>
      <c r="CZ244" s="136" t="str">
        <f>IF($D244&lt;&gt;"Feature",".",
IF(VLOOKUP($B244,Feature_List!$A:$AM,MATCH(CZ$1,  Feature_List!$A$1:$AM$1,0),0)=AR244,".","NO"))</f>
        <v>.</v>
      </c>
      <c r="DA244" s="136" t="str">
        <f>IF($D244&lt;&gt;"Feature",".",
IF(VLOOKUP($B244,Feature_List!$A:$AM,MATCH(DA$1,  Feature_List!$A$1:$AM$1,0),0)=AS244,".","NO"))</f>
        <v>.</v>
      </c>
      <c r="DB244" s="136" t="str">
        <f>IF($D244&lt;&gt;"Feature",".",
IF(VLOOKUP($B244,Feature_List!$A:$AM,MATCH(DB$1,  Feature_List!$A$1:$AM$1,0),0)=AT244,".","NO"))</f>
        <v>.</v>
      </c>
      <c r="DC244" s="136" t="str">
        <f>IF($D244&lt;&gt;"Feature",".",
IF(VLOOKUP($B244,Feature_List!$A:$AM,MATCH(DC$1,  Feature_List!$A$1:$AM$1,0),0)=AU244,".","NO"))</f>
        <v>.</v>
      </c>
      <c r="DD244" s="136" t="str">
        <f>IF($D244&lt;&gt;"Feature",".",
IF(VLOOKUP($B244,Feature_List!$A:$AM,MATCH(DD$1,  Feature_List!$A$1:$AM$1,0),0)=AV244,".","NO"))</f>
        <v>.</v>
      </c>
      <c r="DE244" s="136" t="str">
        <f>IF($D244&lt;&gt;"Feature",".",
IF(VLOOKUP($B244,Feature_List!$A:$AM,MATCH(DE$1,  Feature_List!$A$1:$AM$1,0),0)=AW244,".","NO"))</f>
        <v>.</v>
      </c>
      <c r="DF244" s="136" t="str">
        <f>IF($D244&lt;&gt;"Feature",".",
IF(VLOOKUP($B244,Feature_List!$A:$AM,MATCH(DF$1,  Feature_List!$A$1:$AM$1,0),0)=AX244,".","NO"))</f>
        <v>.</v>
      </c>
      <c r="DG244" s="136" t="str">
        <f>IF($D244&lt;&gt;"Feature",".",
IF(VLOOKUP($B244,Feature_List!$A:$AM,MATCH(DG$1,  Feature_List!$A$1:$AM$1,0),0)=AY244,".","NO"))</f>
        <v>.</v>
      </c>
      <c r="DH244" s="136" t="str">
        <f>IF($D244&lt;&gt;"Feature",".",
IF(VLOOKUP($B244,Feature_List!$A:$AM,MATCH(DH$1,  Feature_List!$A$1:$AM$1,0),0)=AZ244,".","NO"))</f>
        <v>.</v>
      </c>
      <c r="DI244" s="136" t="str">
        <f>IF($D244&lt;&gt;"Feature",".",
IF(VLOOKUP($B244,Feature_List!$A:$AM,MATCH(DI$1,  Feature_List!$A$1:$AM$1,0),0)=BA244,".","NO"))</f>
        <v>.</v>
      </c>
      <c r="DJ244" s="136" t="str">
        <f>IF($D244&lt;&gt;"Feature",".",
IF(VLOOKUP($B244,Feature_List!$A:$AM,MATCH(DJ$1,  Feature_List!$A$1:$AM$1,0),0)=BB244,".","NO"))</f>
        <v>.</v>
      </c>
      <c r="DK244" s="136"/>
      <c r="DL244" s="136"/>
      <c r="DM244" s="136"/>
      <c r="DN244" s="136" t="str">
        <f>IF($D244&lt;&gt;"Feature",".",
IF(VLOOKUP($B244,Feature_List!$A:$AM,MATCH(DN$1,  Feature_List!$A$1:$AM$1,0),0)=BC244,".","NO"))</f>
        <v>.</v>
      </c>
      <c r="DO244" s="136" t="str">
        <f>IF($D244&lt;&gt;"Feature",".",
IF(VLOOKUP($B244,Feature_List!$A:$AM,MATCH(DO$1,  Feature_List!$A$1:$AM$1,0),0)=BD244,".","NO"))</f>
        <v>.</v>
      </c>
    </row>
    <row r="245" spans="2:119" x14ac:dyDescent="0.3">
      <c r="B245" s="144"/>
      <c r="C245" s="144"/>
      <c r="D245" s="144"/>
      <c r="E245" s="144"/>
      <c r="F245" s="144"/>
      <c r="G245" s="144"/>
      <c r="H245" s="144"/>
      <c r="I245" s="144"/>
      <c r="J245" s="144"/>
      <c r="K245" s="144"/>
      <c r="L245" s="144"/>
      <c r="M245" s="144"/>
      <c r="N245" s="144"/>
      <c r="O245" s="123">
        <f t="shared" si="112"/>
        <v>0</v>
      </c>
      <c r="P245" s="123">
        <f t="shared" si="113"/>
        <v>0</v>
      </c>
      <c r="Q245" s="122" t="str">
        <f t="shared" si="135"/>
        <v>ZeroEntry</v>
      </c>
      <c r="R245" s="126" t="str">
        <f t="shared" si="114"/>
        <v>ZeroEntry</v>
      </c>
      <c r="S245" s="127" t="str">
        <f t="shared" si="115"/>
        <v>ZeroEntry</v>
      </c>
      <c r="T245" s="128" t="str">
        <f>IF($Q245="ZeroEntry", "",VLOOKUP($I245,'Ranking Lookup'!#REF!,2,FALSE))</f>
        <v/>
      </c>
      <c r="U245" s="129" t="str">
        <f t="shared" si="116"/>
        <v/>
      </c>
      <c r="V245" s="129" t="str">
        <f t="shared" si="117"/>
        <v/>
      </c>
      <c r="W245" s="129" t="str">
        <f t="shared" si="118"/>
        <v/>
      </c>
      <c r="X245" s="129" t="str">
        <f t="shared" si="119"/>
        <v/>
      </c>
      <c r="Y245" s="129" t="str">
        <f t="shared" si="120"/>
        <v/>
      </c>
      <c r="Z245" s="129" t="str">
        <f t="shared" si="121"/>
        <v/>
      </c>
      <c r="AA245" s="130"/>
      <c r="AB245" s="130" t="str">
        <f t="shared" si="122"/>
        <v>Unassigned</v>
      </c>
      <c r="AC245" s="131" t="str">
        <f t="shared" si="136"/>
        <v/>
      </c>
      <c r="AD245" s="131" t="str">
        <f t="shared" si="137"/>
        <v/>
      </c>
      <c r="AE245" s="132">
        <f t="shared" si="123"/>
        <v>0</v>
      </c>
      <c r="AF245" s="133" t="str">
        <f t="shared" si="138"/>
        <v/>
      </c>
      <c r="AG245" s="134">
        <f t="shared" si="124"/>
        <v>0</v>
      </c>
      <c r="AH245" s="54" t="str">
        <f t="shared" si="125"/>
        <v/>
      </c>
      <c r="AI245" s="54" t="str">
        <f t="shared" si="147"/>
        <v/>
      </c>
      <c r="AJ245" s="54" t="str">
        <f t="shared" si="147"/>
        <v/>
      </c>
      <c r="AK245" s="54" t="str">
        <f t="shared" si="147"/>
        <v/>
      </c>
      <c r="AL245" s="54" t="str">
        <f t="shared" si="147"/>
        <v/>
      </c>
      <c r="AM245" s="54" t="str">
        <f t="shared" si="147"/>
        <v/>
      </c>
      <c r="AN245" s="54" t="str">
        <f t="shared" si="147"/>
        <v/>
      </c>
      <c r="AO245" s="54" t="str">
        <f t="shared" si="147"/>
        <v/>
      </c>
      <c r="AP245" s="54" t="str">
        <f t="shared" si="147"/>
        <v/>
      </c>
      <c r="AQ245" s="54" t="str">
        <f t="shared" si="147"/>
        <v/>
      </c>
      <c r="AR245" s="54" t="str">
        <f t="shared" si="147"/>
        <v/>
      </c>
      <c r="AS245" s="54" t="str">
        <f t="shared" si="147"/>
        <v/>
      </c>
      <c r="AT245" s="54" t="str">
        <f t="shared" si="147"/>
        <v/>
      </c>
      <c r="AU245" s="54" t="str">
        <f t="shared" si="147"/>
        <v/>
      </c>
      <c r="AV245" s="54" t="str">
        <f t="shared" si="147"/>
        <v/>
      </c>
      <c r="AW245" s="54" t="str">
        <f t="shared" si="147"/>
        <v/>
      </c>
      <c r="AX245" s="54" t="str">
        <f t="shared" si="147"/>
        <v/>
      </c>
      <c r="AY245" s="54" t="str">
        <f t="shared" si="139"/>
        <v/>
      </c>
      <c r="AZ245" s="54" t="str">
        <f t="shared" si="128"/>
        <v/>
      </c>
      <c r="BA245" s="54" t="str">
        <f t="shared" si="129"/>
        <v/>
      </c>
      <c r="BB245" s="135" t="str">
        <f t="shared" si="130"/>
        <v/>
      </c>
      <c r="BC245" s="54" t="str">
        <f t="shared" si="148"/>
        <v/>
      </c>
      <c r="BD245" s="54" t="str">
        <f t="shared" si="148"/>
        <v/>
      </c>
      <c r="BE245" s="54" t="str">
        <f t="shared" si="148"/>
        <v/>
      </c>
      <c r="BF245" s="54" t="str">
        <f t="shared" si="131"/>
        <v/>
      </c>
      <c r="BG245" s="54" t="str">
        <f t="shared" si="132"/>
        <v/>
      </c>
      <c r="BH245" s="34" t="str">
        <f t="shared" si="133"/>
        <v>Bad</v>
      </c>
      <c r="BI245" s="34" t="str">
        <f t="shared" si="134"/>
        <v>No</v>
      </c>
      <c r="BJ245" s="136" t="str">
        <f>IF($D245&lt;&gt;"Feature",".",
IF(VLOOKUP($B245,Feature_List!$A:$AM,MATCH(BJ$1,  Feature_List!$A$1:$AM$1,0),0)=B245,".","NO"))</f>
        <v>.</v>
      </c>
      <c r="BK245" s="136"/>
      <c r="BL245" s="136"/>
      <c r="BM245" s="136" t="str">
        <f>IF($D245&lt;&gt;"Feature",".",
IF(VLOOKUP($B245,Feature_List!$A:$AM,MATCH(BM$1,  Feature_List!$A$1:$AM$1,0),0)=E245,".","NO"))</f>
        <v>.</v>
      </c>
      <c r="BN245" s="136" t="str">
        <f>IF($D245&lt;&gt;"Feature",".",
IF(VLOOKUP($B245,Feature_List!$A:$AM,MATCH(BN$1,  Feature_List!$A$1:$AM$1,0),0)=F245,".","NO"))</f>
        <v>.</v>
      </c>
      <c r="BO245" s="136" t="str">
        <f>IF($D245&lt;&gt;"Feature",".",
IF(VLOOKUP($B245,Feature_List!$A:$AM,MATCH(BO$1,  Feature_List!$A$1:$AM$1,0),0)=G245,".","NO"))</f>
        <v>.</v>
      </c>
      <c r="BP245" s="136" t="str">
        <f>IF($D245&lt;&gt;"Feature",".",
IF(VLOOKUP($B245,Feature_List!$A:$AM,MATCH(BP$1,  Feature_List!$A$1:$AM$1,0),0)=H245,".","NO"))</f>
        <v>.</v>
      </c>
      <c r="BQ245" s="136"/>
      <c r="BR245" s="136" t="str">
        <f>IF($D245&lt;&gt;"Feature",".",
IF(VLOOKUP($B245,Feature_List!$A:$AM,MATCH(BR$1,  Feature_List!$A$1:$AM$1,0),0)=J245,".","NO"))</f>
        <v>.</v>
      </c>
      <c r="BS245" s="136"/>
      <c r="BT245" s="136"/>
      <c r="BU245" s="136" t="str">
        <f>IF($D245&lt;&gt;"Feature",".",
IF(VLOOKUP($B245,Feature_List!$A:$AM,MATCH(BU$1,  Feature_List!$A$1:$AM$1,0),0)=M245,".","NO"))</f>
        <v>.</v>
      </c>
      <c r="BV245" s="136" t="str">
        <f>IF($D245&lt;&gt;"Feature",".",
IF(VLOOKUP($B245,Feature_List!$A:$AM,MATCH(BV$1,  Feature_List!$A$1:$AM$1,0),0)=N245,".","NO"))</f>
        <v>.</v>
      </c>
      <c r="BW245" s="136"/>
      <c r="BX245" s="136"/>
      <c r="BY245" s="136"/>
      <c r="BZ245" s="136"/>
      <c r="CA245" s="136"/>
      <c r="CB245" s="136" t="str">
        <f>IF($D245&lt;&gt;"Feature",".",
IF(VLOOKUP($B245,Feature_List!$A:$AM,MATCH(CB$1,  Feature_List!$A$1:$AM$1,0),0)=T245,".","NO"))</f>
        <v>.</v>
      </c>
      <c r="CC245" s="136"/>
      <c r="CD245" s="136"/>
      <c r="CE245" s="136"/>
      <c r="CF245" s="136"/>
      <c r="CG245" s="136"/>
      <c r="CH245" s="136"/>
      <c r="CI245" s="136"/>
      <c r="CJ245" s="136"/>
      <c r="CK245" s="136"/>
      <c r="CL245" s="136"/>
      <c r="CM245" s="136"/>
      <c r="CN245" s="136"/>
      <c r="CO245" s="136" t="str">
        <f>IF($D245&lt;&gt;"Feature",".",
IF(VLOOKUP($B245,Feature_List!$A:$AM,MATCH(CO$1,  Feature_List!$A$1:$AM$1,0),0)=AG245,".","NO"))</f>
        <v>.</v>
      </c>
      <c r="CP245" s="136" t="str">
        <f>IF($D245&lt;&gt;"Feature",".",
IF(VLOOKUP($B245,Feature_List!$A:$AM,MATCH(CP$1,  Feature_List!$A$1:$AM$1,0),0)=AH245,".","NO"))</f>
        <v>.</v>
      </c>
      <c r="CQ245" s="136" t="str">
        <f>IF($D245&lt;&gt;"Feature",".",
IF(VLOOKUP($B245,Feature_List!$A:$AM,MATCH(CQ$1,  Feature_List!$A$1:$AM$1,0),0)=AI245,".","NO"))</f>
        <v>.</v>
      </c>
      <c r="CR245" s="136" t="str">
        <f>IF($D245&lt;&gt;"Feature",".",
IF(VLOOKUP($B245,Feature_List!$A:$AM,MATCH(CR$1,  Feature_List!$A$1:$AM$1,0),0)=AJ245,".","NO"))</f>
        <v>.</v>
      </c>
      <c r="CS245" s="136" t="str">
        <f>IF($D245&lt;&gt;"Feature",".",
IF(VLOOKUP($B245,Feature_List!$A:$AM,MATCH(CS$1,  Feature_List!$A$1:$AM$1,0),0)=AK245,".","NO"))</f>
        <v>.</v>
      </c>
      <c r="CT245" s="136" t="str">
        <f>IF($D245&lt;&gt;"Feature",".",
IF(VLOOKUP($B245,Feature_List!$A:$AM,MATCH(CT$1,  Feature_List!$A$1:$AM$1,0),0)=AL245,".","NO"))</f>
        <v>.</v>
      </c>
      <c r="CU245" s="136" t="str">
        <f>IF($D245&lt;&gt;"Feature",".",
IF(VLOOKUP($B245,Feature_List!$A:$AM,MATCH(CU$1,  Feature_List!$A$1:$AM$1,0),0)=AM245,".","NO"))</f>
        <v>.</v>
      </c>
      <c r="CV245" s="136" t="str">
        <f>IF($D245&lt;&gt;"Feature",".",
IF(VLOOKUP($B245,Feature_List!$A:$AM,MATCH(CV$1,  Feature_List!$A$1:$AM$1,0),0)=AN245,".","NO"))</f>
        <v>.</v>
      </c>
      <c r="CW245" s="136" t="str">
        <f>IF($D245&lt;&gt;"Feature",".",
IF(VLOOKUP($B245,Feature_List!$A:$AM,MATCH(CW$1,  Feature_List!$A$1:$AM$1,0),0)=AO245,".","NO"))</f>
        <v>.</v>
      </c>
      <c r="CX245" s="136" t="str">
        <f>IF($D245&lt;&gt;"Feature",".",
IF(VLOOKUP($B245,Feature_List!$A:$AM,MATCH(CX$1,  Feature_List!$A$1:$AM$1,0),0)=AP245,".","NO"))</f>
        <v>.</v>
      </c>
      <c r="CY245" s="136" t="str">
        <f>IF($D245&lt;&gt;"Feature",".",
IF(VLOOKUP($B245,Feature_List!$A:$AM,MATCH(CY$1,  Feature_List!$A$1:$AM$1,0),0)=AQ245,".","NO"))</f>
        <v>.</v>
      </c>
      <c r="CZ245" s="136" t="str">
        <f>IF($D245&lt;&gt;"Feature",".",
IF(VLOOKUP($B245,Feature_List!$A:$AM,MATCH(CZ$1,  Feature_List!$A$1:$AM$1,0),0)=AR245,".","NO"))</f>
        <v>.</v>
      </c>
      <c r="DA245" s="136" t="str">
        <f>IF($D245&lt;&gt;"Feature",".",
IF(VLOOKUP($B245,Feature_List!$A:$AM,MATCH(DA$1,  Feature_List!$A$1:$AM$1,0),0)=AS245,".","NO"))</f>
        <v>.</v>
      </c>
      <c r="DB245" s="136" t="str">
        <f>IF($D245&lt;&gt;"Feature",".",
IF(VLOOKUP($B245,Feature_List!$A:$AM,MATCH(DB$1,  Feature_List!$A$1:$AM$1,0),0)=AT245,".","NO"))</f>
        <v>.</v>
      </c>
      <c r="DC245" s="136" t="str">
        <f>IF($D245&lt;&gt;"Feature",".",
IF(VLOOKUP($B245,Feature_List!$A:$AM,MATCH(DC$1,  Feature_List!$A$1:$AM$1,0),0)=AU245,".","NO"))</f>
        <v>.</v>
      </c>
      <c r="DD245" s="136" t="str">
        <f>IF($D245&lt;&gt;"Feature",".",
IF(VLOOKUP($B245,Feature_List!$A:$AM,MATCH(DD$1,  Feature_List!$A$1:$AM$1,0),0)=AV245,".","NO"))</f>
        <v>.</v>
      </c>
      <c r="DE245" s="136" t="str">
        <f>IF($D245&lt;&gt;"Feature",".",
IF(VLOOKUP($B245,Feature_List!$A:$AM,MATCH(DE$1,  Feature_List!$A$1:$AM$1,0),0)=AW245,".","NO"))</f>
        <v>.</v>
      </c>
      <c r="DF245" s="136" t="str">
        <f>IF($D245&lt;&gt;"Feature",".",
IF(VLOOKUP($B245,Feature_List!$A:$AM,MATCH(DF$1,  Feature_List!$A$1:$AM$1,0),0)=AX245,".","NO"))</f>
        <v>.</v>
      </c>
      <c r="DG245" s="136" t="str">
        <f>IF($D245&lt;&gt;"Feature",".",
IF(VLOOKUP($B245,Feature_List!$A:$AM,MATCH(DG$1,  Feature_List!$A$1:$AM$1,0),0)=AY245,".","NO"))</f>
        <v>.</v>
      </c>
      <c r="DH245" s="136" t="str">
        <f>IF($D245&lt;&gt;"Feature",".",
IF(VLOOKUP($B245,Feature_List!$A:$AM,MATCH(DH$1,  Feature_List!$A$1:$AM$1,0),0)=AZ245,".","NO"))</f>
        <v>.</v>
      </c>
      <c r="DI245" s="136" t="str">
        <f>IF($D245&lt;&gt;"Feature",".",
IF(VLOOKUP($B245,Feature_List!$A:$AM,MATCH(DI$1,  Feature_List!$A$1:$AM$1,0),0)=BA245,".","NO"))</f>
        <v>.</v>
      </c>
      <c r="DJ245" s="136" t="str">
        <f>IF($D245&lt;&gt;"Feature",".",
IF(VLOOKUP($B245,Feature_List!$A:$AM,MATCH(DJ$1,  Feature_List!$A$1:$AM$1,0),0)=BB245,".","NO"))</f>
        <v>.</v>
      </c>
      <c r="DK245" s="136"/>
      <c r="DL245" s="136"/>
      <c r="DM245" s="136"/>
      <c r="DN245" s="136" t="str">
        <f>IF($D245&lt;&gt;"Feature",".",
IF(VLOOKUP($B245,Feature_List!$A:$AM,MATCH(DN$1,  Feature_List!$A$1:$AM$1,0),0)=BC245,".","NO"))</f>
        <v>.</v>
      </c>
      <c r="DO245" s="136" t="str">
        <f>IF($D245&lt;&gt;"Feature",".",
IF(VLOOKUP($B245,Feature_List!$A:$AM,MATCH(DO$1,  Feature_List!$A$1:$AM$1,0),0)=BD245,".","NO"))</f>
        <v>.</v>
      </c>
    </row>
    <row r="246" spans="2:119" x14ac:dyDescent="0.3">
      <c r="B246" s="121"/>
      <c r="C246" s="122"/>
      <c r="D246" s="122"/>
      <c r="E246" s="122"/>
      <c r="F246" s="123"/>
      <c r="G246" s="123"/>
      <c r="H246" s="122"/>
      <c r="I246" s="124"/>
      <c r="J246" s="123"/>
      <c r="K246" s="123"/>
      <c r="L246" s="122"/>
      <c r="M246" s="122"/>
      <c r="N246" s="122"/>
      <c r="O246" s="123">
        <f t="shared" si="112"/>
        <v>0</v>
      </c>
      <c r="P246" s="123">
        <f t="shared" si="113"/>
        <v>0</v>
      </c>
      <c r="Q246" s="122" t="str">
        <f t="shared" si="135"/>
        <v>ZeroEntry</v>
      </c>
      <c r="R246" s="126" t="str">
        <f t="shared" si="114"/>
        <v>ZeroEntry</v>
      </c>
      <c r="S246" s="127" t="str">
        <f t="shared" si="115"/>
        <v>ZeroEntry</v>
      </c>
      <c r="T246" s="128" t="str">
        <f>IF($Q246="ZeroEntry", "",VLOOKUP($I246,'Ranking Lookup'!#REF!,2,FALSE))</f>
        <v/>
      </c>
      <c r="U246" s="129" t="str">
        <f t="shared" si="116"/>
        <v/>
      </c>
      <c r="V246" s="129" t="str">
        <f t="shared" si="117"/>
        <v/>
      </c>
      <c r="W246" s="129" t="str">
        <f t="shared" si="118"/>
        <v/>
      </c>
      <c r="X246" s="129" t="str">
        <f t="shared" si="119"/>
        <v/>
      </c>
      <c r="Y246" s="129" t="str">
        <f t="shared" si="120"/>
        <v/>
      </c>
      <c r="Z246" s="129" t="str">
        <f t="shared" si="121"/>
        <v/>
      </c>
      <c r="AA246" s="130"/>
      <c r="AB246" s="130" t="str">
        <f t="shared" si="122"/>
        <v>Unassigned</v>
      </c>
      <c r="AC246" s="131" t="str">
        <f t="shared" si="136"/>
        <v/>
      </c>
      <c r="AD246" s="131" t="str">
        <f t="shared" si="137"/>
        <v/>
      </c>
      <c r="AE246" s="132">
        <f t="shared" si="123"/>
        <v>0</v>
      </c>
      <c r="AF246" s="133" t="str">
        <f t="shared" si="138"/>
        <v/>
      </c>
      <c r="AG246" s="134">
        <f t="shared" si="124"/>
        <v>0</v>
      </c>
      <c r="AH246" s="54" t="str">
        <f t="shared" si="125"/>
        <v/>
      </c>
      <c r="AI246" s="54" t="str">
        <f t="shared" si="147"/>
        <v/>
      </c>
      <c r="AJ246" s="54" t="str">
        <f t="shared" si="147"/>
        <v/>
      </c>
      <c r="AK246" s="54" t="str">
        <f t="shared" si="147"/>
        <v/>
      </c>
      <c r="AL246" s="54" t="str">
        <f t="shared" si="147"/>
        <v/>
      </c>
      <c r="AM246" s="54" t="str">
        <f t="shared" si="147"/>
        <v/>
      </c>
      <c r="AN246" s="54" t="str">
        <f t="shared" si="147"/>
        <v/>
      </c>
      <c r="AO246" s="54" t="str">
        <f t="shared" si="147"/>
        <v/>
      </c>
      <c r="AP246" s="54" t="str">
        <f t="shared" si="147"/>
        <v/>
      </c>
      <c r="AQ246" s="54" t="str">
        <f t="shared" si="147"/>
        <v/>
      </c>
      <c r="AR246" s="54" t="str">
        <f t="shared" si="147"/>
        <v/>
      </c>
      <c r="AS246" s="54" t="str">
        <f t="shared" si="147"/>
        <v/>
      </c>
      <c r="AT246" s="54" t="str">
        <f t="shared" si="147"/>
        <v/>
      </c>
      <c r="AU246" s="54" t="str">
        <f t="shared" si="147"/>
        <v/>
      </c>
      <c r="AV246" s="54" t="str">
        <f t="shared" si="147"/>
        <v/>
      </c>
      <c r="AW246" s="54" t="str">
        <f t="shared" si="147"/>
        <v/>
      </c>
      <c r="AX246" s="54" t="str">
        <f t="shared" si="147"/>
        <v/>
      </c>
      <c r="AY246" s="54" t="str">
        <f t="shared" si="139"/>
        <v/>
      </c>
      <c r="AZ246" s="54" t="str">
        <f t="shared" si="128"/>
        <v/>
      </c>
      <c r="BA246" s="54" t="str">
        <f t="shared" si="129"/>
        <v/>
      </c>
      <c r="BB246" s="135" t="str">
        <f t="shared" si="130"/>
        <v/>
      </c>
      <c r="BC246" s="54" t="str">
        <f t="shared" si="148"/>
        <v/>
      </c>
      <c r="BD246" s="54" t="str">
        <f t="shared" si="148"/>
        <v/>
      </c>
      <c r="BE246" s="54" t="str">
        <f t="shared" si="148"/>
        <v/>
      </c>
      <c r="BF246" s="54" t="str">
        <f t="shared" si="131"/>
        <v/>
      </c>
      <c r="BG246" s="54" t="str">
        <f t="shared" si="132"/>
        <v/>
      </c>
      <c r="BH246" s="34" t="str">
        <f t="shared" si="133"/>
        <v>Bad</v>
      </c>
      <c r="BI246" s="34" t="str">
        <f t="shared" si="134"/>
        <v>No</v>
      </c>
      <c r="BJ246" s="136" t="str">
        <f>IF($D246&lt;&gt;"Feature",".",
IF(VLOOKUP($B246,Feature_List!$A:$AM,MATCH(BJ$1,  Feature_List!$A$1:$AM$1,0),0)=B246,".","NO"))</f>
        <v>.</v>
      </c>
      <c r="BK246" s="136"/>
      <c r="BL246" s="136"/>
      <c r="BM246" s="136" t="str">
        <f>IF($D246&lt;&gt;"Feature",".",
IF(VLOOKUP($B246,Feature_List!$A:$AM,MATCH(BM$1,  Feature_List!$A$1:$AM$1,0),0)=E246,".","NO"))</f>
        <v>.</v>
      </c>
      <c r="BN246" s="136" t="str">
        <f>IF($D246&lt;&gt;"Feature",".",
IF(VLOOKUP($B246,Feature_List!$A:$AM,MATCH(BN$1,  Feature_List!$A$1:$AM$1,0),0)=F246,".","NO"))</f>
        <v>.</v>
      </c>
      <c r="BO246" s="136" t="str">
        <f>IF($D246&lt;&gt;"Feature",".",
IF(VLOOKUP($B246,Feature_List!$A:$AM,MATCH(BO$1,  Feature_List!$A$1:$AM$1,0),0)=G246,".","NO"))</f>
        <v>.</v>
      </c>
      <c r="BP246" s="136" t="str">
        <f>IF($D246&lt;&gt;"Feature",".",
IF(VLOOKUP($B246,Feature_List!$A:$AM,MATCH(BP$1,  Feature_List!$A$1:$AM$1,0),0)=H246,".","NO"))</f>
        <v>.</v>
      </c>
      <c r="BQ246" s="136"/>
      <c r="BR246" s="136" t="str">
        <f>IF($D246&lt;&gt;"Feature",".",
IF(VLOOKUP($B246,Feature_List!$A:$AM,MATCH(BR$1,  Feature_List!$A$1:$AM$1,0),0)=J246,".","NO"))</f>
        <v>.</v>
      </c>
      <c r="BS246" s="136"/>
      <c r="BT246" s="136"/>
      <c r="BU246" s="136" t="str">
        <f>IF($D246&lt;&gt;"Feature",".",
IF(VLOOKUP($B246,Feature_List!$A:$AM,MATCH(BU$1,  Feature_List!$A$1:$AM$1,0),0)=M246,".","NO"))</f>
        <v>.</v>
      </c>
      <c r="BV246" s="136" t="str">
        <f>IF($D246&lt;&gt;"Feature",".",
IF(VLOOKUP($B246,Feature_List!$A:$AM,MATCH(BV$1,  Feature_List!$A$1:$AM$1,0),0)=N246,".","NO"))</f>
        <v>.</v>
      </c>
      <c r="BW246" s="136"/>
      <c r="BX246" s="136"/>
      <c r="BY246" s="136"/>
      <c r="BZ246" s="136"/>
      <c r="CA246" s="136"/>
      <c r="CB246" s="136" t="str">
        <f>IF($D246&lt;&gt;"Feature",".",
IF(VLOOKUP($B246,Feature_List!$A:$AM,MATCH(CB$1,  Feature_List!$A$1:$AM$1,0),0)=T246,".","NO"))</f>
        <v>.</v>
      </c>
      <c r="CC246" s="136"/>
      <c r="CD246" s="136"/>
      <c r="CE246" s="136"/>
      <c r="CF246" s="136"/>
      <c r="CG246" s="136"/>
      <c r="CH246" s="136"/>
      <c r="CI246" s="136"/>
      <c r="CJ246" s="136"/>
      <c r="CK246" s="136"/>
      <c r="CL246" s="136"/>
      <c r="CM246" s="136"/>
      <c r="CN246" s="136"/>
      <c r="CO246" s="136" t="str">
        <f>IF($D246&lt;&gt;"Feature",".",
IF(VLOOKUP($B246,Feature_List!$A:$AM,MATCH(CO$1,  Feature_List!$A$1:$AM$1,0),0)=AG246,".","NO"))</f>
        <v>.</v>
      </c>
      <c r="CP246" s="136" t="str">
        <f>IF($D246&lt;&gt;"Feature",".",
IF(VLOOKUP($B246,Feature_List!$A:$AM,MATCH(CP$1,  Feature_List!$A$1:$AM$1,0),0)=AH246,".","NO"))</f>
        <v>.</v>
      </c>
      <c r="CQ246" s="136" t="str">
        <f>IF($D246&lt;&gt;"Feature",".",
IF(VLOOKUP($B246,Feature_List!$A:$AM,MATCH(CQ$1,  Feature_List!$A$1:$AM$1,0),0)=AI246,".","NO"))</f>
        <v>.</v>
      </c>
      <c r="CR246" s="136" t="str">
        <f>IF($D246&lt;&gt;"Feature",".",
IF(VLOOKUP($B246,Feature_List!$A:$AM,MATCH(CR$1,  Feature_List!$A$1:$AM$1,0),0)=AJ246,".","NO"))</f>
        <v>.</v>
      </c>
      <c r="CS246" s="136" t="str">
        <f>IF($D246&lt;&gt;"Feature",".",
IF(VLOOKUP($B246,Feature_List!$A:$AM,MATCH(CS$1,  Feature_List!$A$1:$AM$1,0),0)=AK246,".","NO"))</f>
        <v>.</v>
      </c>
      <c r="CT246" s="136" t="str">
        <f>IF($D246&lt;&gt;"Feature",".",
IF(VLOOKUP($B246,Feature_List!$A:$AM,MATCH(CT$1,  Feature_List!$A$1:$AM$1,0),0)=AL246,".","NO"))</f>
        <v>.</v>
      </c>
      <c r="CU246" s="136" t="str">
        <f>IF($D246&lt;&gt;"Feature",".",
IF(VLOOKUP($B246,Feature_List!$A:$AM,MATCH(CU$1,  Feature_List!$A$1:$AM$1,0),0)=AM246,".","NO"))</f>
        <v>.</v>
      </c>
      <c r="CV246" s="136" t="str">
        <f>IF($D246&lt;&gt;"Feature",".",
IF(VLOOKUP($B246,Feature_List!$A:$AM,MATCH(CV$1,  Feature_List!$A$1:$AM$1,0),0)=AN246,".","NO"))</f>
        <v>.</v>
      </c>
      <c r="CW246" s="136" t="str">
        <f>IF($D246&lt;&gt;"Feature",".",
IF(VLOOKUP($B246,Feature_List!$A:$AM,MATCH(CW$1,  Feature_List!$A$1:$AM$1,0),0)=AO246,".","NO"))</f>
        <v>.</v>
      </c>
      <c r="CX246" s="136" t="str">
        <f>IF($D246&lt;&gt;"Feature",".",
IF(VLOOKUP($B246,Feature_List!$A:$AM,MATCH(CX$1,  Feature_List!$A$1:$AM$1,0),0)=AP246,".","NO"))</f>
        <v>.</v>
      </c>
      <c r="CY246" s="136" t="str">
        <f>IF($D246&lt;&gt;"Feature",".",
IF(VLOOKUP($B246,Feature_List!$A:$AM,MATCH(CY$1,  Feature_List!$A$1:$AM$1,0),0)=AQ246,".","NO"))</f>
        <v>.</v>
      </c>
      <c r="CZ246" s="136" t="str">
        <f>IF($D246&lt;&gt;"Feature",".",
IF(VLOOKUP($B246,Feature_List!$A:$AM,MATCH(CZ$1,  Feature_List!$A$1:$AM$1,0),0)=AR246,".","NO"))</f>
        <v>.</v>
      </c>
      <c r="DA246" s="136" t="str">
        <f>IF($D246&lt;&gt;"Feature",".",
IF(VLOOKUP($B246,Feature_List!$A:$AM,MATCH(DA$1,  Feature_List!$A$1:$AM$1,0),0)=AS246,".","NO"))</f>
        <v>.</v>
      </c>
      <c r="DB246" s="136" t="str">
        <f>IF($D246&lt;&gt;"Feature",".",
IF(VLOOKUP($B246,Feature_List!$A:$AM,MATCH(DB$1,  Feature_List!$A$1:$AM$1,0),0)=AT246,".","NO"))</f>
        <v>.</v>
      </c>
      <c r="DC246" s="136" t="str">
        <f>IF($D246&lt;&gt;"Feature",".",
IF(VLOOKUP($B246,Feature_List!$A:$AM,MATCH(DC$1,  Feature_List!$A$1:$AM$1,0),0)=AU246,".","NO"))</f>
        <v>.</v>
      </c>
      <c r="DD246" s="136" t="str">
        <f>IF($D246&lt;&gt;"Feature",".",
IF(VLOOKUP($B246,Feature_List!$A:$AM,MATCH(DD$1,  Feature_List!$A$1:$AM$1,0),0)=AV246,".","NO"))</f>
        <v>.</v>
      </c>
      <c r="DE246" s="136" t="str">
        <f>IF($D246&lt;&gt;"Feature",".",
IF(VLOOKUP($B246,Feature_List!$A:$AM,MATCH(DE$1,  Feature_List!$A$1:$AM$1,0),0)=AW246,".","NO"))</f>
        <v>.</v>
      </c>
      <c r="DF246" s="136" t="str">
        <f>IF($D246&lt;&gt;"Feature",".",
IF(VLOOKUP($B246,Feature_List!$A:$AM,MATCH(DF$1,  Feature_List!$A$1:$AM$1,0),0)=AX246,".","NO"))</f>
        <v>.</v>
      </c>
      <c r="DG246" s="136" t="str">
        <f>IF($D246&lt;&gt;"Feature",".",
IF(VLOOKUP($B246,Feature_List!$A:$AM,MATCH(DG$1,  Feature_List!$A$1:$AM$1,0),0)=AY246,".","NO"))</f>
        <v>.</v>
      </c>
      <c r="DH246" s="136" t="str">
        <f>IF($D246&lt;&gt;"Feature",".",
IF(VLOOKUP($B246,Feature_List!$A:$AM,MATCH(DH$1,  Feature_List!$A$1:$AM$1,0),0)=AZ246,".","NO"))</f>
        <v>.</v>
      </c>
      <c r="DI246" s="136" t="str">
        <f>IF($D246&lt;&gt;"Feature",".",
IF(VLOOKUP($B246,Feature_List!$A:$AM,MATCH(DI$1,  Feature_List!$A$1:$AM$1,0),0)=BA246,".","NO"))</f>
        <v>.</v>
      </c>
      <c r="DJ246" s="136" t="str">
        <f>IF($D246&lt;&gt;"Feature",".",
IF(VLOOKUP($B246,Feature_List!$A:$AM,MATCH(DJ$1,  Feature_List!$A$1:$AM$1,0),0)=BB246,".","NO"))</f>
        <v>.</v>
      </c>
      <c r="DK246" s="136"/>
      <c r="DL246" s="136"/>
      <c r="DM246" s="136"/>
      <c r="DN246" s="136" t="str">
        <f>IF($D246&lt;&gt;"Feature",".",
IF(VLOOKUP($B246,Feature_List!$A:$AM,MATCH(DN$1,  Feature_List!$A$1:$AM$1,0),0)=BC246,".","NO"))</f>
        <v>.</v>
      </c>
      <c r="DO246" s="136" t="str">
        <f>IF($D246&lt;&gt;"Feature",".",
IF(VLOOKUP($B246,Feature_List!$A:$AM,MATCH(DO$1,  Feature_List!$A$1:$AM$1,0),0)=BD246,".","NO"))</f>
        <v>.</v>
      </c>
    </row>
    <row r="247" spans="2:119" x14ac:dyDescent="0.3">
      <c r="B247" s="121"/>
      <c r="C247" s="122"/>
      <c r="D247" s="122"/>
      <c r="E247" s="122"/>
      <c r="F247" s="123"/>
      <c r="G247" s="123"/>
      <c r="H247" s="122"/>
      <c r="I247" s="124"/>
      <c r="J247" s="123"/>
      <c r="K247" s="123"/>
      <c r="L247" s="122"/>
      <c r="M247" s="122"/>
      <c r="N247" s="122"/>
      <c r="O247" s="123">
        <f t="shared" si="112"/>
        <v>0</v>
      </c>
      <c r="P247" s="123">
        <f t="shared" si="113"/>
        <v>0</v>
      </c>
      <c r="Q247" s="122" t="str">
        <f t="shared" si="135"/>
        <v>ZeroEntry</v>
      </c>
      <c r="R247" s="126" t="str">
        <f t="shared" si="114"/>
        <v>ZeroEntry</v>
      </c>
      <c r="S247" s="127" t="str">
        <f t="shared" si="115"/>
        <v>ZeroEntry</v>
      </c>
      <c r="T247" s="128" t="str">
        <f>IF($Q247="ZeroEntry", "",VLOOKUP($I247,'Ranking Lookup'!#REF!,2,FALSE))</f>
        <v/>
      </c>
      <c r="U247" s="129" t="str">
        <f t="shared" si="116"/>
        <v/>
      </c>
      <c r="V247" s="129" t="str">
        <f t="shared" si="117"/>
        <v/>
      </c>
      <c r="W247" s="129" t="str">
        <f t="shared" si="118"/>
        <v/>
      </c>
      <c r="X247" s="129" t="str">
        <f t="shared" si="119"/>
        <v/>
      </c>
      <c r="Y247" s="129" t="str">
        <f t="shared" si="120"/>
        <v/>
      </c>
      <c r="Z247" s="129" t="str">
        <f t="shared" si="121"/>
        <v/>
      </c>
      <c r="AA247" s="130"/>
      <c r="AB247" s="130" t="str">
        <f t="shared" si="122"/>
        <v>Unassigned</v>
      </c>
      <c r="AC247" s="131" t="str">
        <f t="shared" si="136"/>
        <v/>
      </c>
      <c r="AD247" s="131" t="str">
        <f t="shared" si="137"/>
        <v/>
      </c>
      <c r="AE247" s="132">
        <f t="shared" si="123"/>
        <v>0</v>
      </c>
      <c r="AF247" s="133" t="str">
        <f t="shared" si="138"/>
        <v/>
      </c>
      <c r="AG247" s="134">
        <f t="shared" si="124"/>
        <v>0</v>
      </c>
      <c r="AH247" s="54" t="str">
        <f t="shared" si="125"/>
        <v/>
      </c>
      <c r="AI247" s="54" t="str">
        <f t="shared" si="147"/>
        <v/>
      </c>
      <c r="AJ247" s="54" t="str">
        <f t="shared" si="147"/>
        <v/>
      </c>
      <c r="AK247" s="54" t="str">
        <f t="shared" si="147"/>
        <v/>
      </c>
      <c r="AL247" s="54" t="str">
        <f t="shared" si="147"/>
        <v/>
      </c>
      <c r="AM247" s="54" t="str">
        <f t="shared" si="147"/>
        <v/>
      </c>
      <c r="AN247" s="54" t="str">
        <f t="shared" si="147"/>
        <v/>
      </c>
      <c r="AO247" s="54" t="str">
        <f t="shared" si="147"/>
        <v/>
      </c>
      <c r="AP247" s="54" t="str">
        <f t="shared" si="147"/>
        <v/>
      </c>
      <c r="AQ247" s="54" t="str">
        <f t="shared" si="147"/>
        <v/>
      </c>
      <c r="AR247" s="54" t="str">
        <f t="shared" si="147"/>
        <v/>
      </c>
      <c r="AS247" s="54" t="str">
        <f t="shared" si="147"/>
        <v/>
      </c>
      <c r="AT247" s="54" t="str">
        <f t="shared" si="147"/>
        <v/>
      </c>
      <c r="AU247" s="54" t="str">
        <f t="shared" si="147"/>
        <v/>
      </c>
      <c r="AV247" s="54" t="str">
        <f t="shared" si="147"/>
        <v/>
      </c>
      <c r="AW247" s="54" t="str">
        <f t="shared" si="147"/>
        <v/>
      </c>
      <c r="AX247" s="54" t="str">
        <f t="shared" si="147"/>
        <v/>
      </c>
      <c r="AY247" s="54" t="str">
        <f t="shared" si="139"/>
        <v/>
      </c>
      <c r="AZ247" s="54" t="str">
        <f t="shared" si="128"/>
        <v/>
      </c>
      <c r="BA247" s="54" t="str">
        <f t="shared" si="129"/>
        <v/>
      </c>
      <c r="BB247" s="135" t="str">
        <f t="shared" si="130"/>
        <v/>
      </c>
      <c r="BC247" s="54" t="str">
        <f t="shared" si="148"/>
        <v/>
      </c>
      <c r="BD247" s="54" t="str">
        <f t="shared" si="148"/>
        <v/>
      </c>
      <c r="BE247" s="54" t="str">
        <f t="shared" si="148"/>
        <v/>
      </c>
      <c r="BF247" s="54" t="str">
        <f t="shared" si="131"/>
        <v/>
      </c>
      <c r="BG247" s="54" t="str">
        <f t="shared" si="132"/>
        <v/>
      </c>
      <c r="BH247" s="34" t="str">
        <f t="shared" si="133"/>
        <v>Bad</v>
      </c>
      <c r="BI247" s="34" t="str">
        <f t="shared" si="134"/>
        <v>No</v>
      </c>
      <c r="BJ247" s="136" t="str">
        <f>IF($D247&lt;&gt;"Feature",".",
IF(VLOOKUP($B247,Feature_List!$A:$AM,MATCH(BJ$1,  Feature_List!$A$1:$AM$1,0),0)=B247,".","NO"))</f>
        <v>.</v>
      </c>
      <c r="BK247" s="136"/>
      <c r="BL247" s="136"/>
      <c r="BM247" s="136" t="str">
        <f>IF($D247&lt;&gt;"Feature",".",
IF(VLOOKUP($B247,Feature_List!$A:$AM,MATCH(BM$1,  Feature_List!$A$1:$AM$1,0),0)=E247,".","NO"))</f>
        <v>.</v>
      </c>
      <c r="BN247" s="136" t="str">
        <f>IF($D247&lt;&gt;"Feature",".",
IF(VLOOKUP($B247,Feature_List!$A:$AM,MATCH(BN$1,  Feature_List!$A$1:$AM$1,0),0)=F247,".","NO"))</f>
        <v>.</v>
      </c>
      <c r="BO247" s="136" t="str">
        <f>IF($D247&lt;&gt;"Feature",".",
IF(VLOOKUP($B247,Feature_List!$A:$AM,MATCH(BO$1,  Feature_List!$A$1:$AM$1,0),0)=G247,".","NO"))</f>
        <v>.</v>
      </c>
      <c r="BP247" s="136" t="str">
        <f>IF($D247&lt;&gt;"Feature",".",
IF(VLOOKUP($B247,Feature_List!$A:$AM,MATCH(BP$1,  Feature_List!$A$1:$AM$1,0),0)=H247,".","NO"))</f>
        <v>.</v>
      </c>
      <c r="BQ247" s="136"/>
      <c r="BR247" s="136" t="str">
        <f>IF($D247&lt;&gt;"Feature",".",
IF(VLOOKUP($B247,Feature_List!$A:$AM,MATCH(BR$1,  Feature_List!$A$1:$AM$1,0),0)=J247,".","NO"))</f>
        <v>.</v>
      </c>
      <c r="BS247" s="136"/>
      <c r="BT247" s="136"/>
      <c r="BU247" s="136" t="str">
        <f>IF($D247&lt;&gt;"Feature",".",
IF(VLOOKUP($B247,Feature_List!$A:$AM,MATCH(BU$1,  Feature_List!$A$1:$AM$1,0),0)=M247,".","NO"))</f>
        <v>.</v>
      </c>
      <c r="BV247" s="136" t="str">
        <f>IF($D247&lt;&gt;"Feature",".",
IF(VLOOKUP($B247,Feature_List!$A:$AM,MATCH(BV$1,  Feature_List!$A$1:$AM$1,0),0)=N247,".","NO"))</f>
        <v>.</v>
      </c>
      <c r="BW247" s="136"/>
      <c r="BX247" s="136"/>
      <c r="BY247" s="136"/>
      <c r="BZ247" s="136"/>
      <c r="CA247" s="136"/>
      <c r="CB247" s="136" t="str">
        <f>IF($D247&lt;&gt;"Feature",".",
IF(VLOOKUP($B247,Feature_List!$A:$AM,MATCH(CB$1,  Feature_List!$A$1:$AM$1,0),0)=T247,".","NO"))</f>
        <v>.</v>
      </c>
      <c r="CC247" s="136"/>
      <c r="CD247" s="136"/>
      <c r="CE247" s="136"/>
      <c r="CF247" s="136"/>
      <c r="CG247" s="136"/>
      <c r="CH247" s="136"/>
      <c r="CI247" s="136"/>
      <c r="CJ247" s="136"/>
      <c r="CK247" s="136"/>
      <c r="CL247" s="136"/>
      <c r="CM247" s="136"/>
      <c r="CN247" s="136"/>
      <c r="CO247" s="136" t="str">
        <f>IF($D247&lt;&gt;"Feature",".",
IF(VLOOKUP($B247,Feature_List!$A:$AM,MATCH(CO$1,  Feature_List!$A$1:$AM$1,0),0)=AG247,".","NO"))</f>
        <v>.</v>
      </c>
      <c r="CP247" s="136" t="str">
        <f>IF($D247&lt;&gt;"Feature",".",
IF(VLOOKUP($B247,Feature_List!$A:$AM,MATCH(CP$1,  Feature_List!$A$1:$AM$1,0),0)=AH247,".","NO"))</f>
        <v>.</v>
      </c>
      <c r="CQ247" s="136" t="str">
        <f>IF($D247&lt;&gt;"Feature",".",
IF(VLOOKUP($B247,Feature_List!$A:$AM,MATCH(CQ$1,  Feature_List!$A$1:$AM$1,0),0)=AI247,".","NO"))</f>
        <v>.</v>
      </c>
      <c r="CR247" s="136" t="str">
        <f>IF($D247&lt;&gt;"Feature",".",
IF(VLOOKUP($B247,Feature_List!$A:$AM,MATCH(CR$1,  Feature_List!$A$1:$AM$1,0),0)=AJ247,".","NO"))</f>
        <v>.</v>
      </c>
      <c r="CS247" s="136" t="str">
        <f>IF($D247&lt;&gt;"Feature",".",
IF(VLOOKUP($B247,Feature_List!$A:$AM,MATCH(CS$1,  Feature_List!$A$1:$AM$1,0),0)=AK247,".","NO"))</f>
        <v>.</v>
      </c>
      <c r="CT247" s="136" t="str">
        <f>IF($D247&lt;&gt;"Feature",".",
IF(VLOOKUP($B247,Feature_List!$A:$AM,MATCH(CT$1,  Feature_List!$A$1:$AM$1,0),0)=AL247,".","NO"))</f>
        <v>.</v>
      </c>
      <c r="CU247" s="136" t="str">
        <f>IF($D247&lt;&gt;"Feature",".",
IF(VLOOKUP($B247,Feature_List!$A:$AM,MATCH(CU$1,  Feature_List!$A$1:$AM$1,0),0)=AM247,".","NO"))</f>
        <v>.</v>
      </c>
      <c r="CV247" s="136" t="str">
        <f>IF($D247&lt;&gt;"Feature",".",
IF(VLOOKUP($B247,Feature_List!$A:$AM,MATCH(CV$1,  Feature_List!$A$1:$AM$1,0),0)=AN247,".","NO"))</f>
        <v>.</v>
      </c>
      <c r="CW247" s="136" t="str">
        <f>IF($D247&lt;&gt;"Feature",".",
IF(VLOOKUP($B247,Feature_List!$A:$AM,MATCH(CW$1,  Feature_List!$A$1:$AM$1,0),0)=AO247,".","NO"))</f>
        <v>.</v>
      </c>
      <c r="CX247" s="136" t="str">
        <f>IF($D247&lt;&gt;"Feature",".",
IF(VLOOKUP($B247,Feature_List!$A:$AM,MATCH(CX$1,  Feature_List!$A$1:$AM$1,0),0)=AP247,".","NO"))</f>
        <v>.</v>
      </c>
      <c r="CY247" s="136" t="str">
        <f>IF($D247&lt;&gt;"Feature",".",
IF(VLOOKUP($B247,Feature_List!$A:$AM,MATCH(CY$1,  Feature_List!$A$1:$AM$1,0),0)=AQ247,".","NO"))</f>
        <v>.</v>
      </c>
      <c r="CZ247" s="136" t="str">
        <f>IF($D247&lt;&gt;"Feature",".",
IF(VLOOKUP($B247,Feature_List!$A:$AM,MATCH(CZ$1,  Feature_List!$A$1:$AM$1,0),0)=AR247,".","NO"))</f>
        <v>.</v>
      </c>
      <c r="DA247" s="136" t="str">
        <f>IF($D247&lt;&gt;"Feature",".",
IF(VLOOKUP($B247,Feature_List!$A:$AM,MATCH(DA$1,  Feature_List!$A$1:$AM$1,0),0)=AS247,".","NO"))</f>
        <v>.</v>
      </c>
      <c r="DB247" s="136" t="str">
        <f>IF($D247&lt;&gt;"Feature",".",
IF(VLOOKUP($B247,Feature_List!$A:$AM,MATCH(DB$1,  Feature_List!$A$1:$AM$1,0),0)=AT247,".","NO"))</f>
        <v>.</v>
      </c>
      <c r="DC247" s="136" t="str">
        <f>IF($D247&lt;&gt;"Feature",".",
IF(VLOOKUP($B247,Feature_List!$A:$AM,MATCH(DC$1,  Feature_List!$A$1:$AM$1,0),0)=AU247,".","NO"))</f>
        <v>.</v>
      </c>
      <c r="DD247" s="136" t="str">
        <f>IF($D247&lt;&gt;"Feature",".",
IF(VLOOKUP($B247,Feature_List!$A:$AM,MATCH(DD$1,  Feature_List!$A$1:$AM$1,0),0)=AV247,".","NO"))</f>
        <v>.</v>
      </c>
      <c r="DE247" s="136" t="str">
        <f>IF($D247&lt;&gt;"Feature",".",
IF(VLOOKUP($B247,Feature_List!$A:$AM,MATCH(DE$1,  Feature_List!$A$1:$AM$1,0),0)=AW247,".","NO"))</f>
        <v>.</v>
      </c>
      <c r="DF247" s="136" t="str">
        <f>IF($D247&lt;&gt;"Feature",".",
IF(VLOOKUP($B247,Feature_List!$A:$AM,MATCH(DF$1,  Feature_List!$A$1:$AM$1,0),0)=AX247,".","NO"))</f>
        <v>.</v>
      </c>
      <c r="DG247" s="136" t="str">
        <f>IF($D247&lt;&gt;"Feature",".",
IF(VLOOKUP($B247,Feature_List!$A:$AM,MATCH(DG$1,  Feature_List!$A$1:$AM$1,0),0)=AY247,".","NO"))</f>
        <v>.</v>
      </c>
      <c r="DH247" s="136" t="str">
        <f>IF($D247&lt;&gt;"Feature",".",
IF(VLOOKUP($B247,Feature_List!$A:$AM,MATCH(DH$1,  Feature_List!$A$1:$AM$1,0),0)=AZ247,".","NO"))</f>
        <v>.</v>
      </c>
      <c r="DI247" s="136" t="str">
        <f>IF($D247&lt;&gt;"Feature",".",
IF(VLOOKUP($B247,Feature_List!$A:$AM,MATCH(DI$1,  Feature_List!$A$1:$AM$1,0),0)=BA247,".","NO"))</f>
        <v>.</v>
      </c>
      <c r="DJ247" s="136" t="str">
        <f>IF($D247&lt;&gt;"Feature",".",
IF(VLOOKUP($B247,Feature_List!$A:$AM,MATCH(DJ$1,  Feature_List!$A$1:$AM$1,0),0)=BB247,".","NO"))</f>
        <v>.</v>
      </c>
      <c r="DK247" s="136"/>
      <c r="DL247" s="136"/>
      <c r="DM247" s="136"/>
      <c r="DN247" s="136" t="str">
        <f>IF($D247&lt;&gt;"Feature",".",
IF(VLOOKUP($B247,Feature_List!$A:$AM,MATCH(DN$1,  Feature_List!$A$1:$AM$1,0),0)=BC247,".","NO"))</f>
        <v>.</v>
      </c>
      <c r="DO247" s="136" t="str">
        <f>IF($D247&lt;&gt;"Feature",".",
IF(VLOOKUP($B247,Feature_List!$A:$AM,MATCH(DO$1,  Feature_List!$A$1:$AM$1,0),0)=BD247,".","NO"))</f>
        <v>.</v>
      </c>
    </row>
    <row r="248" spans="2:119" x14ac:dyDescent="0.3">
      <c r="B248" s="121"/>
      <c r="C248" s="123"/>
      <c r="D248" s="122"/>
      <c r="E248" s="122"/>
      <c r="F248" s="123"/>
      <c r="G248" s="123"/>
      <c r="H248" s="122"/>
      <c r="I248" s="124"/>
      <c r="J248" s="123"/>
      <c r="K248" s="123"/>
      <c r="L248" s="122"/>
      <c r="M248" s="122"/>
      <c r="N248" s="122"/>
      <c r="O248" s="123">
        <f t="shared" si="112"/>
        <v>0</v>
      </c>
      <c r="P248" s="123">
        <f t="shared" si="113"/>
        <v>0</v>
      </c>
      <c r="Q248" s="122" t="str">
        <f t="shared" si="135"/>
        <v>ZeroEntry</v>
      </c>
      <c r="R248" s="126" t="str">
        <f t="shared" si="114"/>
        <v>ZeroEntry</v>
      </c>
      <c r="S248" s="127" t="str">
        <f t="shared" si="115"/>
        <v>ZeroEntry</v>
      </c>
      <c r="T248" s="128" t="str">
        <f>IF($Q248="ZeroEntry", "",VLOOKUP($I248,'Ranking Lookup'!#REF!,2,FALSE))</f>
        <v/>
      </c>
      <c r="U248" s="129" t="str">
        <f t="shared" si="116"/>
        <v/>
      </c>
      <c r="V248" s="129" t="str">
        <f t="shared" si="117"/>
        <v/>
      </c>
      <c r="W248" s="129" t="str">
        <f t="shared" si="118"/>
        <v/>
      </c>
      <c r="X248" s="129" t="str">
        <f t="shared" si="119"/>
        <v/>
      </c>
      <c r="Y248" s="129" t="str">
        <f t="shared" si="120"/>
        <v/>
      </c>
      <c r="Z248" s="129" t="str">
        <f t="shared" si="121"/>
        <v/>
      </c>
      <c r="AA248" s="130"/>
      <c r="AB248" s="130" t="str">
        <f t="shared" si="122"/>
        <v>Unassigned</v>
      </c>
      <c r="AC248" s="131" t="str">
        <f t="shared" si="136"/>
        <v/>
      </c>
      <c r="AD248" s="131" t="str">
        <f t="shared" si="137"/>
        <v/>
      </c>
      <c r="AE248" s="132">
        <f t="shared" si="123"/>
        <v>0</v>
      </c>
      <c r="AF248" s="133" t="str">
        <f t="shared" si="138"/>
        <v/>
      </c>
      <c r="AG248" s="134">
        <f t="shared" si="124"/>
        <v>0</v>
      </c>
      <c r="AH248" s="54" t="str">
        <f t="shared" si="125"/>
        <v/>
      </c>
      <c r="AI248" s="54" t="str">
        <f t="shared" si="147"/>
        <v/>
      </c>
      <c r="AJ248" s="54" t="str">
        <f t="shared" si="147"/>
        <v/>
      </c>
      <c r="AK248" s="54" t="str">
        <f t="shared" si="147"/>
        <v/>
      </c>
      <c r="AL248" s="54" t="str">
        <f t="shared" si="147"/>
        <v/>
      </c>
      <c r="AM248" s="54" t="str">
        <f t="shared" si="147"/>
        <v/>
      </c>
      <c r="AN248" s="54" t="str">
        <f t="shared" si="147"/>
        <v/>
      </c>
      <c r="AO248" s="54" t="str">
        <f t="shared" si="147"/>
        <v/>
      </c>
      <c r="AP248" s="54" t="str">
        <f t="shared" si="147"/>
        <v/>
      </c>
      <c r="AQ248" s="54" t="str">
        <f t="shared" si="147"/>
        <v/>
      </c>
      <c r="AR248" s="54" t="str">
        <f t="shared" si="147"/>
        <v/>
      </c>
      <c r="AS248" s="54" t="str">
        <f t="shared" si="147"/>
        <v/>
      </c>
      <c r="AT248" s="54" t="str">
        <f t="shared" si="147"/>
        <v/>
      </c>
      <c r="AU248" s="54" t="str">
        <f t="shared" si="147"/>
        <v/>
      </c>
      <c r="AV248" s="54" t="str">
        <f t="shared" si="147"/>
        <v/>
      </c>
      <c r="AW248" s="54" t="str">
        <f t="shared" si="147"/>
        <v/>
      </c>
      <c r="AX248" s="54" t="str">
        <f t="shared" si="147"/>
        <v/>
      </c>
      <c r="AY248" s="54" t="str">
        <f t="shared" si="139"/>
        <v/>
      </c>
      <c r="AZ248" s="54" t="str">
        <f t="shared" si="128"/>
        <v/>
      </c>
      <c r="BA248" s="54" t="str">
        <f t="shared" si="129"/>
        <v/>
      </c>
      <c r="BB248" s="135" t="str">
        <f t="shared" si="130"/>
        <v/>
      </c>
      <c r="BC248" s="54" t="str">
        <f t="shared" si="148"/>
        <v/>
      </c>
      <c r="BD248" s="54" t="str">
        <f t="shared" si="148"/>
        <v/>
      </c>
      <c r="BE248" s="54" t="str">
        <f t="shared" si="148"/>
        <v/>
      </c>
      <c r="BF248" s="54" t="str">
        <f t="shared" si="131"/>
        <v/>
      </c>
      <c r="BG248" s="54" t="str">
        <f t="shared" si="132"/>
        <v/>
      </c>
      <c r="BH248" s="34" t="str">
        <f t="shared" si="133"/>
        <v>Bad</v>
      </c>
      <c r="BI248" s="34" t="str">
        <f t="shared" si="134"/>
        <v>No</v>
      </c>
      <c r="BJ248" s="136" t="str">
        <f>IF($D248&lt;&gt;"Feature",".",
IF(VLOOKUP($B248,Feature_List!$A:$AM,MATCH(BJ$1,  Feature_List!$A$1:$AM$1,0),0)=B248,".","NO"))</f>
        <v>.</v>
      </c>
      <c r="BK248" s="136"/>
      <c r="BL248" s="136"/>
      <c r="BM248" s="136" t="str">
        <f>IF($D248&lt;&gt;"Feature",".",
IF(VLOOKUP($B248,Feature_List!$A:$AM,MATCH(BM$1,  Feature_List!$A$1:$AM$1,0),0)=E248,".","NO"))</f>
        <v>.</v>
      </c>
      <c r="BN248" s="136" t="str">
        <f>IF($D248&lt;&gt;"Feature",".",
IF(VLOOKUP($B248,Feature_List!$A:$AM,MATCH(BN$1,  Feature_List!$A$1:$AM$1,0),0)=F248,".","NO"))</f>
        <v>.</v>
      </c>
      <c r="BO248" s="136" t="str">
        <f>IF($D248&lt;&gt;"Feature",".",
IF(VLOOKUP($B248,Feature_List!$A:$AM,MATCH(BO$1,  Feature_List!$A$1:$AM$1,0),0)=G248,".","NO"))</f>
        <v>.</v>
      </c>
      <c r="BP248" s="136" t="str">
        <f>IF($D248&lt;&gt;"Feature",".",
IF(VLOOKUP($B248,Feature_List!$A:$AM,MATCH(BP$1,  Feature_List!$A$1:$AM$1,0),0)=H248,".","NO"))</f>
        <v>.</v>
      </c>
      <c r="BQ248" s="136"/>
      <c r="BR248" s="136" t="str">
        <f>IF($D248&lt;&gt;"Feature",".",
IF(VLOOKUP($B248,Feature_List!$A:$AM,MATCH(BR$1,  Feature_List!$A$1:$AM$1,0),0)=J248,".","NO"))</f>
        <v>.</v>
      </c>
      <c r="BS248" s="136"/>
      <c r="BT248" s="136"/>
      <c r="BU248" s="136" t="str">
        <f>IF($D248&lt;&gt;"Feature",".",
IF(VLOOKUP($B248,Feature_List!$A:$AM,MATCH(BU$1,  Feature_List!$A$1:$AM$1,0),0)=M248,".","NO"))</f>
        <v>.</v>
      </c>
      <c r="BV248" s="136" t="str">
        <f>IF($D248&lt;&gt;"Feature",".",
IF(VLOOKUP($B248,Feature_List!$A:$AM,MATCH(BV$1,  Feature_List!$A$1:$AM$1,0),0)=N248,".","NO"))</f>
        <v>.</v>
      </c>
      <c r="BW248" s="136"/>
      <c r="BX248" s="136"/>
      <c r="BY248" s="136"/>
      <c r="BZ248" s="136"/>
      <c r="CA248" s="136"/>
      <c r="CB248" s="136" t="str">
        <f>IF($D248&lt;&gt;"Feature",".",
IF(VLOOKUP($B248,Feature_List!$A:$AM,MATCH(CB$1,  Feature_List!$A$1:$AM$1,0),0)=T248,".","NO"))</f>
        <v>.</v>
      </c>
      <c r="CC248" s="136"/>
      <c r="CD248" s="136"/>
      <c r="CE248" s="136"/>
      <c r="CF248" s="136"/>
      <c r="CG248" s="136"/>
      <c r="CH248" s="136"/>
      <c r="CI248" s="136"/>
      <c r="CJ248" s="136"/>
      <c r="CK248" s="136"/>
      <c r="CL248" s="136"/>
      <c r="CM248" s="136"/>
      <c r="CN248" s="136"/>
      <c r="CO248" s="136" t="str">
        <f>IF($D248&lt;&gt;"Feature",".",
IF(VLOOKUP($B248,Feature_List!$A:$AM,MATCH(CO$1,  Feature_List!$A$1:$AM$1,0),0)=AG248,".","NO"))</f>
        <v>.</v>
      </c>
      <c r="CP248" s="136" t="str">
        <f>IF($D248&lt;&gt;"Feature",".",
IF(VLOOKUP($B248,Feature_List!$A:$AM,MATCH(CP$1,  Feature_List!$A$1:$AM$1,0),0)=AH248,".","NO"))</f>
        <v>.</v>
      </c>
      <c r="CQ248" s="136" t="str">
        <f>IF($D248&lt;&gt;"Feature",".",
IF(VLOOKUP($B248,Feature_List!$A:$AM,MATCH(CQ$1,  Feature_List!$A$1:$AM$1,0),0)=AI248,".","NO"))</f>
        <v>.</v>
      </c>
      <c r="CR248" s="136" t="str">
        <f>IF($D248&lt;&gt;"Feature",".",
IF(VLOOKUP($B248,Feature_List!$A:$AM,MATCH(CR$1,  Feature_List!$A$1:$AM$1,0),0)=AJ248,".","NO"))</f>
        <v>.</v>
      </c>
      <c r="CS248" s="136" t="str">
        <f>IF($D248&lt;&gt;"Feature",".",
IF(VLOOKUP($B248,Feature_List!$A:$AM,MATCH(CS$1,  Feature_List!$A$1:$AM$1,0),0)=AK248,".","NO"))</f>
        <v>.</v>
      </c>
      <c r="CT248" s="136" t="str">
        <f>IF($D248&lt;&gt;"Feature",".",
IF(VLOOKUP($B248,Feature_List!$A:$AM,MATCH(CT$1,  Feature_List!$A$1:$AM$1,0),0)=AL248,".","NO"))</f>
        <v>.</v>
      </c>
      <c r="CU248" s="136" t="str">
        <f>IF($D248&lt;&gt;"Feature",".",
IF(VLOOKUP($B248,Feature_List!$A:$AM,MATCH(CU$1,  Feature_List!$A$1:$AM$1,0),0)=AM248,".","NO"))</f>
        <v>.</v>
      </c>
      <c r="CV248" s="136" t="str">
        <f>IF($D248&lt;&gt;"Feature",".",
IF(VLOOKUP($B248,Feature_List!$A:$AM,MATCH(CV$1,  Feature_List!$A$1:$AM$1,0),0)=AN248,".","NO"))</f>
        <v>.</v>
      </c>
      <c r="CW248" s="136" t="str">
        <f>IF($D248&lt;&gt;"Feature",".",
IF(VLOOKUP($B248,Feature_List!$A:$AM,MATCH(CW$1,  Feature_List!$A$1:$AM$1,0),0)=AO248,".","NO"))</f>
        <v>.</v>
      </c>
      <c r="CX248" s="136" t="str">
        <f>IF($D248&lt;&gt;"Feature",".",
IF(VLOOKUP($B248,Feature_List!$A:$AM,MATCH(CX$1,  Feature_List!$A$1:$AM$1,0),0)=AP248,".","NO"))</f>
        <v>.</v>
      </c>
      <c r="CY248" s="136" t="str">
        <f>IF($D248&lt;&gt;"Feature",".",
IF(VLOOKUP($B248,Feature_List!$A:$AM,MATCH(CY$1,  Feature_List!$A$1:$AM$1,0),0)=AQ248,".","NO"))</f>
        <v>.</v>
      </c>
      <c r="CZ248" s="136" t="str">
        <f>IF($D248&lt;&gt;"Feature",".",
IF(VLOOKUP($B248,Feature_List!$A:$AM,MATCH(CZ$1,  Feature_List!$A$1:$AM$1,0),0)=AR248,".","NO"))</f>
        <v>.</v>
      </c>
      <c r="DA248" s="136" t="str">
        <f>IF($D248&lt;&gt;"Feature",".",
IF(VLOOKUP($B248,Feature_List!$A:$AM,MATCH(DA$1,  Feature_List!$A$1:$AM$1,0),0)=AS248,".","NO"))</f>
        <v>.</v>
      </c>
      <c r="DB248" s="136" t="str">
        <f>IF($D248&lt;&gt;"Feature",".",
IF(VLOOKUP($B248,Feature_List!$A:$AM,MATCH(DB$1,  Feature_List!$A$1:$AM$1,0),0)=AT248,".","NO"))</f>
        <v>.</v>
      </c>
      <c r="DC248" s="136" t="str">
        <f>IF($D248&lt;&gt;"Feature",".",
IF(VLOOKUP($B248,Feature_List!$A:$AM,MATCH(DC$1,  Feature_List!$A$1:$AM$1,0),0)=AU248,".","NO"))</f>
        <v>.</v>
      </c>
      <c r="DD248" s="136" t="str">
        <f>IF($D248&lt;&gt;"Feature",".",
IF(VLOOKUP($B248,Feature_List!$A:$AM,MATCH(DD$1,  Feature_List!$A$1:$AM$1,0),0)=AV248,".","NO"))</f>
        <v>.</v>
      </c>
      <c r="DE248" s="136" t="str">
        <f>IF($D248&lt;&gt;"Feature",".",
IF(VLOOKUP($B248,Feature_List!$A:$AM,MATCH(DE$1,  Feature_List!$A$1:$AM$1,0),0)=AW248,".","NO"))</f>
        <v>.</v>
      </c>
      <c r="DF248" s="136" t="str">
        <f>IF($D248&lt;&gt;"Feature",".",
IF(VLOOKUP($B248,Feature_List!$A:$AM,MATCH(DF$1,  Feature_List!$A$1:$AM$1,0),0)=AX248,".","NO"))</f>
        <v>.</v>
      </c>
      <c r="DG248" s="136" t="str">
        <f>IF($D248&lt;&gt;"Feature",".",
IF(VLOOKUP($B248,Feature_List!$A:$AM,MATCH(DG$1,  Feature_List!$A$1:$AM$1,0),0)=AY248,".","NO"))</f>
        <v>.</v>
      </c>
      <c r="DH248" s="136" t="str">
        <f>IF($D248&lt;&gt;"Feature",".",
IF(VLOOKUP($B248,Feature_List!$A:$AM,MATCH(DH$1,  Feature_List!$A$1:$AM$1,0),0)=AZ248,".","NO"))</f>
        <v>.</v>
      </c>
      <c r="DI248" s="136" t="str">
        <f>IF($D248&lt;&gt;"Feature",".",
IF(VLOOKUP($B248,Feature_List!$A:$AM,MATCH(DI$1,  Feature_List!$A$1:$AM$1,0),0)=BA248,".","NO"))</f>
        <v>.</v>
      </c>
      <c r="DJ248" s="136" t="str">
        <f>IF($D248&lt;&gt;"Feature",".",
IF(VLOOKUP($B248,Feature_List!$A:$AM,MATCH(DJ$1,  Feature_List!$A$1:$AM$1,0),0)=BB248,".","NO"))</f>
        <v>.</v>
      </c>
      <c r="DK248" s="136"/>
      <c r="DL248" s="136"/>
      <c r="DM248" s="136"/>
      <c r="DN248" s="136" t="str">
        <f>IF($D248&lt;&gt;"Feature",".",
IF(VLOOKUP($B248,Feature_List!$A:$AM,MATCH(DN$1,  Feature_List!$A$1:$AM$1,0),0)=BC248,".","NO"))</f>
        <v>.</v>
      </c>
      <c r="DO248" s="136" t="str">
        <f>IF($D248&lt;&gt;"Feature",".",
IF(VLOOKUP($B248,Feature_List!$A:$AM,MATCH(DO$1,  Feature_List!$A$1:$AM$1,0),0)=BD248,".","NO"))</f>
        <v>.</v>
      </c>
    </row>
    <row r="249" spans="2:119" x14ac:dyDescent="0.3">
      <c r="B249" s="121"/>
      <c r="C249" s="122"/>
      <c r="D249" s="122"/>
      <c r="E249" s="122"/>
      <c r="F249" s="123"/>
      <c r="G249" s="123"/>
      <c r="H249" s="122"/>
      <c r="I249" s="124"/>
      <c r="J249" s="123"/>
      <c r="K249" s="123"/>
      <c r="L249" s="122"/>
      <c r="M249" s="122"/>
      <c r="N249" s="122"/>
      <c r="O249" s="123">
        <f t="shared" si="112"/>
        <v>0</v>
      </c>
      <c r="P249" s="123">
        <f t="shared" si="113"/>
        <v>0</v>
      </c>
      <c r="Q249" s="122" t="str">
        <f t="shared" si="135"/>
        <v>ZeroEntry</v>
      </c>
      <c r="R249" s="126" t="str">
        <f t="shared" si="114"/>
        <v>ZeroEntry</v>
      </c>
      <c r="S249" s="127" t="str">
        <f t="shared" si="115"/>
        <v>ZeroEntry</v>
      </c>
      <c r="T249" s="128" t="str">
        <f>IF($Q249="ZeroEntry", "",VLOOKUP($I249,'Ranking Lookup'!#REF!,2,FALSE))</f>
        <v/>
      </c>
      <c r="U249" s="129" t="str">
        <f t="shared" si="116"/>
        <v/>
      </c>
      <c r="V249" s="129" t="str">
        <f t="shared" si="117"/>
        <v/>
      </c>
      <c r="W249" s="129" t="str">
        <f t="shared" si="118"/>
        <v/>
      </c>
      <c r="X249" s="129" t="str">
        <f t="shared" si="119"/>
        <v/>
      </c>
      <c r="Y249" s="129" t="str">
        <f t="shared" si="120"/>
        <v/>
      </c>
      <c r="Z249" s="129" t="str">
        <f t="shared" si="121"/>
        <v/>
      </c>
      <c r="AA249" s="130"/>
      <c r="AB249" s="130" t="str">
        <f t="shared" si="122"/>
        <v>Unassigned</v>
      </c>
      <c r="AC249" s="131" t="str">
        <f t="shared" si="136"/>
        <v/>
      </c>
      <c r="AD249" s="131" t="str">
        <f t="shared" si="137"/>
        <v/>
      </c>
      <c r="AE249" s="132">
        <f t="shared" si="123"/>
        <v>0</v>
      </c>
      <c r="AF249" s="133" t="str">
        <f t="shared" si="138"/>
        <v/>
      </c>
      <c r="AG249" s="134">
        <f t="shared" si="124"/>
        <v>0</v>
      </c>
      <c r="AH249" s="54" t="str">
        <f t="shared" si="125"/>
        <v/>
      </c>
      <c r="AI249" s="54" t="str">
        <f t="shared" si="147"/>
        <v/>
      </c>
      <c r="AJ249" s="54" t="str">
        <f t="shared" si="147"/>
        <v/>
      </c>
      <c r="AK249" s="54" t="str">
        <f t="shared" si="147"/>
        <v/>
      </c>
      <c r="AL249" s="54" t="str">
        <f t="shared" si="147"/>
        <v/>
      </c>
      <c r="AM249" s="54" t="str">
        <f t="shared" si="147"/>
        <v/>
      </c>
      <c r="AN249" s="54" t="str">
        <f t="shared" si="147"/>
        <v/>
      </c>
      <c r="AO249" s="54" t="str">
        <f t="shared" si="147"/>
        <v/>
      </c>
      <c r="AP249" s="54" t="str">
        <f t="shared" si="147"/>
        <v/>
      </c>
      <c r="AQ249" s="54" t="str">
        <f t="shared" si="147"/>
        <v/>
      </c>
      <c r="AR249" s="54" t="str">
        <f t="shared" si="147"/>
        <v/>
      </c>
      <c r="AS249" s="54" t="str">
        <f t="shared" si="147"/>
        <v/>
      </c>
      <c r="AT249" s="54" t="str">
        <f t="shared" si="147"/>
        <v/>
      </c>
      <c r="AU249" s="54" t="str">
        <f t="shared" si="147"/>
        <v/>
      </c>
      <c r="AV249" s="54" t="str">
        <f t="shared" si="147"/>
        <v/>
      </c>
      <c r="AW249" s="54" t="str">
        <f t="shared" si="147"/>
        <v/>
      </c>
      <c r="AX249" s="54" t="str">
        <f t="shared" si="147"/>
        <v/>
      </c>
      <c r="AY249" s="54" t="str">
        <f t="shared" si="139"/>
        <v/>
      </c>
      <c r="AZ249" s="54" t="str">
        <f t="shared" si="128"/>
        <v/>
      </c>
      <c r="BA249" s="54" t="str">
        <f t="shared" si="129"/>
        <v/>
      </c>
      <c r="BB249" s="135" t="str">
        <f t="shared" si="130"/>
        <v/>
      </c>
      <c r="BC249" s="54" t="str">
        <f t="shared" si="148"/>
        <v/>
      </c>
      <c r="BD249" s="54" t="str">
        <f t="shared" si="148"/>
        <v/>
      </c>
      <c r="BE249" s="54" t="str">
        <f t="shared" si="148"/>
        <v/>
      </c>
      <c r="BF249" s="54" t="str">
        <f t="shared" si="131"/>
        <v/>
      </c>
      <c r="BG249" s="54" t="str">
        <f t="shared" si="132"/>
        <v/>
      </c>
      <c r="BH249" s="34" t="str">
        <f t="shared" si="133"/>
        <v>Bad</v>
      </c>
      <c r="BI249" s="34" t="str">
        <f t="shared" si="134"/>
        <v>No</v>
      </c>
      <c r="BJ249" s="136" t="str">
        <f>IF($D249&lt;&gt;"Feature",".",
IF(VLOOKUP($B249,Feature_List!$A:$AM,MATCH(BJ$1,  Feature_List!$A$1:$AM$1,0),0)=B249,".","NO"))</f>
        <v>.</v>
      </c>
      <c r="BK249" s="136"/>
      <c r="BL249" s="136"/>
      <c r="BM249" s="136" t="str">
        <f>IF($D249&lt;&gt;"Feature",".",
IF(VLOOKUP($B249,Feature_List!$A:$AM,MATCH(BM$1,  Feature_List!$A$1:$AM$1,0),0)=E249,".","NO"))</f>
        <v>.</v>
      </c>
      <c r="BN249" s="136" t="str">
        <f>IF($D249&lt;&gt;"Feature",".",
IF(VLOOKUP($B249,Feature_List!$A:$AM,MATCH(BN$1,  Feature_List!$A$1:$AM$1,0),0)=F249,".","NO"))</f>
        <v>.</v>
      </c>
      <c r="BO249" s="136" t="str">
        <f>IF($D249&lt;&gt;"Feature",".",
IF(VLOOKUP($B249,Feature_List!$A:$AM,MATCH(BO$1,  Feature_List!$A$1:$AM$1,0),0)=G249,".","NO"))</f>
        <v>.</v>
      </c>
      <c r="BP249" s="136" t="str">
        <f>IF($D249&lt;&gt;"Feature",".",
IF(VLOOKUP($B249,Feature_List!$A:$AM,MATCH(BP$1,  Feature_List!$A$1:$AM$1,0),0)=H249,".","NO"))</f>
        <v>.</v>
      </c>
      <c r="BQ249" s="136"/>
      <c r="BR249" s="136" t="str">
        <f>IF($D249&lt;&gt;"Feature",".",
IF(VLOOKUP($B249,Feature_List!$A:$AM,MATCH(BR$1,  Feature_List!$A$1:$AM$1,0),0)=J249,".","NO"))</f>
        <v>.</v>
      </c>
      <c r="BS249" s="136"/>
      <c r="BT249" s="136"/>
      <c r="BU249" s="136" t="str">
        <f>IF($D249&lt;&gt;"Feature",".",
IF(VLOOKUP($B249,Feature_List!$A:$AM,MATCH(BU$1,  Feature_List!$A$1:$AM$1,0),0)=M249,".","NO"))</f>
        <v>.</v>
      </c>
      <c r="BV249" s="136" t="str">
        <f>IF($D249&lt;&gt;"Feature",".",
IF(VLOOKUP($B249,Feature_List!$A:$AM,MATCH(BV$1,  Feature_List!$A$1:$AM$1,0),0)=N249,".","NO"))</f>
        <v>.</v>
      </c>
      <c r="BW249" s="136"/>
      <c r="BX249" s="136"/>
      <c r="BY249" s="136"/>
      <c r="BZ249" s="136"/>
      <c r="CA249" s="136"/>
      <c r="CB249" s="136" t="str">
        <f>IF($D249&lt;&gt;"Feature",".",
IF(VLOOKUP($B249,Feature_List!$A:$AM,MATCH(CB$1,  Feature_List!$A$1:$AM$1,0),0)=T249,".","NO"))</f>
        <v>.</v>
      </c>
      <c r="CC249" s="136"/>
      <c r="CD249" s="136"/>
      <c r="CE249" s="136"/>
      <c r="CF249" s="136"/>
      <c r="CG249" s="136"/>
      <c r="CH249" s="136"/>
      <c r="CI249" s="136"/>
      <c r="CJ249" s="136"/>
      <c r="CK249" s="136"/>
      <c r="CL249" s="136"/>
      <c r="CM249" s="136"/>
      <c r="CN249" s="136"/>
      <c r="CO249" s="136" t="str">
        <f>IF($D249&lt;&gt;"Feature",".",
IF(VLOOKUP($B249,Feature_List!$A:$AM,MATCH(CO$1,  Feature_List!$A$1:$AM$1,0),0)=AG249,".","NO"))</f>
        <v>.</v>
      </c>
      <c r="CP249" s="136" t="str">
        <f>IF($D249&lt;&gt;"Feature",".",
IF(VLOOKUP($B249,Feature_List!$A:$AM,MATCH(CP$1,  Feature_List!$A$1:$AM$1,0),0)=AH249,".","NO"))</f>
        <v>.</v>
      </c>
      <c r="CQ249" s="136" t="str">
        <f>IF($D249&lt;&gt;"Feature",".",
IF(VLOOKUP($B249,Feature_List!$A:$AM,MATCH(CQ$1,  Feature_List!$A$1:$AM$1,0),0)=AI249,".","NO"))</f>
        <v>.</v>
      </c>
      <c r="CR249" s="136" t="str">
        <f>IF($D249&lt;&gt;"Feature",".",
IF(VLOOKUP($B249,Feature_List!$A:$AM,MATCH(CR$1,  Feature_List!$A$1:$AM$1,0),0)=AJ249,".","NO"))</f>
        <v>.</v>
      </c>
      <c r="CS249" s="136" t="str">
        <f>IF($D249&lt;&gt;"Feature",".",
IF(VLOOKUP($B249,Feature_List!$A:$AM,MATCH(CS$1,  Feature_List!$A$1:$AM$1,0),0)=AK249,".","NO"))</f>
        <v>.</v>
      </c>
      <c r="CT249" s="136" t="str">
        <f>IF($D249&lt;&gt;"Feature",".",
IF(VLOOKUP($B249,Feature_List!$A:$AM,MATCH(CT$1,  Feature_List!$A$1:$AM$1,0),0)=AL249,".","NO"))</f>
        <v>.</v>
      </c>
      <c r="CU249" s="136" t="str">
        <f>IF($D249&lt;&gt;"Feature",".",
IF(VLOOKUP($B249,Feature_List!$A:$AM,MATCH(CU$1,  Feature_List!$A$1:$AM$1,0),0)=AM249,".","NO"))</f>
        <v>.</v>
      </c>
      <c r="CV249" s="136" t="str">
        <f>IF($D249&lt;&gt;"Feature",".",
IF(VLOOKUP($B249,Feature_List!$A:$AM,MATCH(CV$1,  Feature_List!$A$1:$AM$1,0),0)=AN249,".","NO"))</f>
        <v>.</v>
      </c>
      <c r="CW249" s="136" t="str">
        <f>IF($D249&lt;&gt;"Feature",".",
IF(VLOOKUP($B249,Feature_List!$A:$AM,MATCH(CW$1,  Feature_List!$A$1:$AM$1,0),0)=AO249,".","NO"))</f>
        <v>.</v>
      </c>
      <c r="CX249" s="136" t="str">
        <f>IF($D249&lt;&gt;"Feature",".",
IF(VLOOKUP($B249,Feature_List!$A:$AM,MATCH(CX$1,  Feature_List!$A$1:$AM$1,0),0)=AP249,".","NO"))</f>
        <v>.</v>
      </c>
      <c r="CY249" s="136" t="str">
        <f>IF($D249&lt;&gt;"Feature",".",
IF(VLOOKUP($B249,Feature_List!$A:$AM,MATCH(CY$1,  Feature_List!$A$1:$AM$1,0),0)=AQ249,".","NO"))</f>
        <v>.</v>
      </c>
      <c r="CZ249" s="136" t="str">
        <f>IF($D249&lt;&gt;"Feature",".",
IF(VLOOKUP($B249,Feature_List!$A:$AM,MATCH(CZ$1,  Feature_List!$A$1:$AM$1,0),0)=AR249,".","NO"))</f>
        <v>.</v>
      </c>
      <c r="DA249" s="136" t="str">
        <f>IF($D249&lt;&gt;"Feature",".",
IF(VLOOKUP($B249,Feature_List!$A:$AM,MATCH(DA$1,  Feature_List!$A$1:$AM$1,0),0)=AS249,".","NO"))</f>
        <v>.</v>
      </c>
      <c r="DB249" s="136" t="str">
        <f>IF($D249&lt;&gt;"Feature",".",
IF(VLOOKUP($B249,Feature_List!$A:$AM,MATCH(DB$1,  Feature_List!$A$1:$AM$1,0),0)=AT249,".","NO"))</f>
        <v>.</v>
      </c>
      <c r="DC249" s="136" t="str">
        <f>IF($D249&lt;&gt;"Feature",".",
IF(VLOOKUP($B249,Feature_List!$A:$AM,MATCH(DC$1,  Feature_List!$A$1:$AM$1,0),0)=AU249,".","NO"))</f>
        <v>.</v>
      </c>
      <c r="DD249" s="136" t="str">
        <f>IF($D249&lt;&gt;"Feature",".",
IF(VLOOKUP($B249,Feature_List!$A:$AM,MATCH(DD$1,  Feature_List!$A$1:$AM$1,0),0)=AV249,".","NO"))</f>
        <v>.</v>
      </c>
      <c r="DE249" s="136" t="str">
        <f>IF($D249&lt;&gt;"Feature",".",
IF(VLOOKUP($B249,Feature_List!$A:$AM,MATCH(DE$1,  Feature_List!$A$1:$AM$1,0),0)=AW249,".","NO"))</f>
        <v>.</v>
      </c>
      <c r="DF249" s="136" t="str">
        <f>IF($D249&lt;&gt;"Feature",".",
IF(VLOOKUP($B249,Feature_List!$A:$AM,MATCH(DF$1,  Feature_List!$A$1:$AM$1,0),0)=AX249,".","NO"))</f>
        <v>.</v>
      </c>
      <c r="DG249" s="136" t="str">
        <f>IF($D249&lt;&gt;"Feature",".",
IF(VLOOKUP($B249,Feature_List!$A:$AM,MATCH(DG$1,  Feature_List!$A$1:$AM$1,0),0)=AY249,".","NO"))</f>
        <v>.</v>
      </c>
      <c r="DH249" s="136" t="str">
        <f>IF($D249&lt;&gt;"Feature",".",
IF(VLOOKUP($B249,Feature_List!$A:$AM,MATCH(DH$1,  Feature_List!$A$1:$AM$1,0),0)=AZ249,".","NO"))</f>
        <v>.</v>
      </c>
      <c r="DI249" s="136" t="str">
        <f>IF($D249&lt;&gt;"Feature",".",
IF(VLOOKUP($B249,Feature_List!$A:$AM,MATCH(DI$1,  Feature_List!$A$1:$AM$1,0),0)=BA249,".","NO"))</f>
        <v>.</v>
      </c>
      <c r="DJ249" s="136" t="str">
        <f>IF($D249&lt;&gt;"Feature",".",
IF(VLOOKUP($B249,Feature_List!$A:$AM,MATCH(DJ$1,  Feature_List!$A$1:$AM$1,0),0)=BB249,".","NO"))</f>
        <v>.</v>
      </c>
      <c r="DK249" s="136"/>
      <c r="DL249" s="136"/>
      <c r="DM249" s="136"/>
      <c r="DN249" s="136" t="str">
        <f>IF($D249&lt;&gt;"Feature",".",
IF(VLOOKUP($B249,Feature_List!$A:$AM,MATCH(DN$1,  Feature_List!$A$1:$AM$1,0),0)=BC249,".","NO"))</f>
        <v>.</v>
      </c>
      <c r="DO249" s="136" t="str">
        <f>IF($D249&lt;&gt;"Feature",".",
IF(VLOOKUP($B249,Feature_List!$A:$AM,MATCH(DO$1,  Feature_List!$A$1:$AM$1,0),0)=BD249,".","NO"))</f>
        <v>.</v>
      </c>
    </row>
    <row r="250" spans="2:119" x14ac:dyDescent="0.3">
      <c r="B250" s="121"/>
      <c r="C250" s="122"/>
      <c r="D250" s="122"/>
      <c r="E250" s="122"/>
      <c r="F250" s="123"/>
      <c r="G250" s="123"/>
      <c r="H250" s="122"/>
      <c r="I250" s="124"/>
      <c r="J250" s="123"/>
      <c r="K250" s="123"/>
      <c r="L250" s="122"/>
      <c r="M250" s="122"/>
      <c r="N250" s="122"/>
      <c r="O250" s="123">
        <f t="shared" si="112"/>
        <v>0</v>
      </c>
      <c r="P250" s="123">
        <f t="shared" si="113"/>
        <v>0</v>
      </c>
      <c r="Q250" s="122" t="str">
        <f t="shared" si="135"/>
        <v>ZeroEntry</v>
      </c>
      <c r="R250" s="126" t="str">
        <f t="shared" si="114"/>
        <v>ZeroEntry</v>
      </c>
      <c r="S250" s="127" t="str">
        <f t="shared" si="115"/>
        <v>ZeroEntry</v>
      </c>
      <c r="T250" s="128" t="str">
        <f>IF($Q250="ZeroEntry", "",VLOOKUP($I250,'Ranking Lookup'!#REF!,2,FALSE))</f>
        <v/>
      </c>
      <c r="U250" s="129" t="str">
        <f t="shared" si="116"/>
        <v/>
      </c>
      <c r="V250" s="129" t="str">
        <f t="shared" si="117"/>
        <v/>
      </c>
      <c r="W250" s="129" t="str">
        <f t="shared" si="118"/>
        <v/>
      </c>
      <c r="X250" s="129" t="str">
        <f t="shared" si="119"/>
        <v/>
      </c>
      <c r="Y250" s="129" t="str">
        <f t="shared" si="120"/>
        <v/>
      </c>
      <c r="Z250" s="129" t="str">
        <f t="shared" si="121"/>
        <v/>
      </c>
      <c r="AA250" s="130"/>
      <c r="AB250" s="130" t="str">
        <f t="shared" si="122"/>
        <v>Unassigned</v>
      </c>
      <c r="AC250" s="131" t="str">
        <f t="shared" si="136"/>
        <v/>
      </c>
      <c r="AD250" s="131" t="str">
        <f t="shared" si="137"/>
        <v/>
      </c>
      <c r="AE250" s="132">
        <f t="shared" si="123"/>
        <v>0</v>
      </c>
      <c r="AF250" s="133" t="str">
        <f t="shared" si="138"/>
        <v/>
      </c>
      <c r="AG250" s="134">
        <f t="shared" si="124"/>
        <v>0</v>
      </c>
      <c r="AH250" s="54" t="str">
        <f t="shared" si="125"/>
        <v/>
      </c>
      <c r="AI250" s="54" t="str">
        <f t="shared" si="147"/>
        <v/>
      </c>
      <c r="AJ250" s="54" t="str">
        <f t="shared" si="147"/>
        <v/>
      </c>
      <c r="AK250" s="54" t="str">
        <f t="shared" si="147"/>
        <v/>
      </c>
      <c r="AL250" s="54" t="str">
        <f t="shared" si="147"/>
        <v/>
      </c>
      <c r="AM250" s="54" t="str">
        <f t="shared" si="147"/>
        <v/>
      </c>
      <c r="AN250" s="54" t="str">
        <f t="shared" si="147"/>
        <v/>
      </c>
      <c r="AO250" s="54" t="str">
        <f t="shared" si="147"/>
        <v/>
      </c>
      <c r="AP250" s="54" t="str">
        <f t="shared" si="147"/>
        <v/>
      </c>
      <c r="AQ250" s="54" t="str">
        <f t="shared" si="147"/>
        <v/>
      </c>
      <c r="AR250" s="54" t="str">
        <f t="shared" si="147"/>
        <v/>
      </c>
      <c r="AS250" s="54" t="str">
        <f t="shared" si="147"/>
        <v/>
      </c>
      <c r="AT250" s="54" t="str">
        <f t="shared" si="147"/>
        <v/>
      </c>
      <c r="AU250" s="54" t="str">
        <f t="shared" si="147"/>
        <v/>
      </c>
      <c r="AV250" s="54" t="str">
        <f t="shared" si="147"/>
        <v/>
      </c>
      <c r="AW250" s="54" t="str">
        <f t="shared" si="147"/>
        <v/>
      </c>
      <c r="AX250" s="54" t="str">
        <f t="shared" si="147"/>
        <v/>
      </c>
      <c r="AY250" s="54" t="str">
        <f t="shared" si="139"/>
        <v/>
      </c>
      <c r="AZ250" s="54" t="str">
        <f t="shared" si="128"/>
        <v/>
      </c>
      <c r="BA250" s="54" t="str">
        <f t="shared" si="129"/>
        <v/>
      </c>
      <c r="BB250" s="135" t="str">
        <f t="shared" si="130"/>
        <v/>
      </c>
      <c r="BC250" s="54" t="str">
        <f t="shared" si="148"/>
        <v/>
      </c>
      <c r="BD250" s="54" t="str">
        <f t="shared" si="148"/>
        <v/>
      </c>
      <c r="BE250" s="54" t="str">
        <f t="shared" si="148"/>
        <v/>
      </c>
      <c r="BF250" s="54" t="str">
        <f t="shared" si="131"/>
        <v/>
      </c>
      <c r="BG250" s="54" t="str">
        <f t="shared" si="132"/>
        <v/>
      </c>
      <c r="BH250" s="34" t="str">
        <f t="shared" si="133"/>
        <v>Bad</v>
      </c>
      <c r="BI250" s="34" t="str">
        <f t="shared" si="134"/>
        <v>No</v>
      </c>
      <c r="BJ250" s="136" t="str">
        <f>IF($D250&lt;&gt;"Feature",".",
IF(VLOOKUP($B250,Feature_List!$A:$AM,MATCH(BJ$1,  Feature_List!$A$1:$AM$1,0),0)=B250,".","NO"))</f>
        <v>.</v>
      </c>
      <c r="BK250" s="136"/>
      <c r="BL250" s="136"/>
      <c r="BM250" s="136" t="str">
        <f>IF($D250&lt;&gt;"Feature",".",
IF(VLOOKUP($B250,Feature_List!$A:$AM,MATCH(BM$1,  Feature_List!$A$1:$AM$1,0),0)=E250,".","NO"))</f>
        <v>.</v>
      </c>
      <c r="BN250" s="136" t="str">
        <f>IF($D250&lt;&gt;"Feature",".",
IF(VLOOKUP($B250,Feature_List!$A:$AM,MATCH(BN$1,  Feature_List!$A$1:$AM$1,0),0)=F250,".","NO"))</f>
        <v>.</v>
      </c>
      <c r="BO250" s="136" t="str">
        <f>IF($D250&lt;&gt;"Feature",".",
IF(VLOOKUP($B250,Feature_List!$A:$AM,MATCH(BO$1,  Feature_List!$A$1:$AM$1,0),0)=G250,".","NO"))</f>
        <v>.</v>
      </c>
      <c r="BP250" s="136" t="str">
        <f>IF($D250&lt;&gt;"Feature",".",
IF(VLOOKUP($B250,Feature_List!$A:$AM,MATCH(BP$1,  Feature_List!$A$1:$AM$1,0),0)=H250,".","NO"))</f>
        <v>.</v>
      </c>
      <c r="BQ250" s="136"/>
      <c r="BR250" s="136" t="str">
        <f>IF($D250&lt;&gt;"Feature",".",
IF(VLOOKUP($B250,Feature_List!$A:$AM,MATCH(BR$1,  Feature_List!$A$1:$AM$1,0),0)=J250,".","NO"))</f>
        <v>.</v>
      </c>
      <c r="BS250" s="136"/>
      <c r="BT250" s="136"/>
      <c r="BU250" s="136" t="str">
        <f>IF($D250&lt;&gt;"Feature",".",
IF(VLOOKUP($B250,Feature_List!$A:$AM,MATCH(BU$1,  Feature_List!$A$1:$AM$1,0),0)=M250,".","NO"))</f>
        <v>.</v>
      </c>
      <c r="BV250" s="136" t="str">
        <f>IF($D250&lt;&gt;"Feature",".",
IF(VLOOKUP($B250,Feature_List!$A:$AM,MATCH(BV$1,  Feature_List!$A$1:$AM$1,0),0)=N250,".","NO"))</f>
        <v>.</v>
      </c>
      <c r="BW250" s="136"/>
      <c r="BX250" s="136"/>
      <c r="BY250" s="136"/>
      <c r="BZ250" s="136"/>
      <c r="CA250" s="136"/>
      <c r="CB250" s="136" t="str">
        <f>IF($D250&lt;&gt;"Feature",".",
IF(VLOOKUP($B250,Feature_List!$A:$AM,MATCH(CB$1,  Feature_List!$A$1:$AM$1,0),0)=T250,".","NO"))</f>
        <v>.</v>
      </c>
      <c r="CC250" s="136"/>
      <c r="CD250" s="136"/>
      <c r="CE250" s="136"/>
      <c r="CF250" s="136"/>
      <c r="CG250" s="136"/>
      <c r="CH250" s="136"/>
      <c r="CI250" s="136"/>
      <c r="CJ250" s="136"/>
      <c r="CK250" s="136"/>
      <c r="CL250" s="136"/>
      <c r="CM250" s="136"/>
      <c r="CN250" s="136"/>
      <c r="CO250" s="136" t="str">
        <f>IF($D250&lt;&gt;"Feature",".",
IF(VLOOKUP($B250,Feature_List!$A:$AM,MATCH(CO$1,  Feature_List!$A$1:$AM$1,0),0)=AG250,".","NO"))</f>
        <v>.</v>
      </c>
      <c r="CP250" s="136" t="str">
        <f>IF($D250&lt;&gt;"Feature",".",
IF(VLOOKUP($B250,Feature_List!$A:$AM,MATCH(CP$1,  Feature_List!$A$1:$AM$1,0),0)=AH250,".","NO"))</f>
        <v>.</v>
      </c>
      <c r="CQ250" s="136" t="str">
        <f>IF($D250&lt;&gt;"Feature",".",
IF(VLOOKUP($B250,Feature_List!$A:$AM,MATCH(CQ$1,  Feature_List!$A$1:$AM$1,0),0)=AI250,".","NO"))</f>
        <v>.</v>
      </c>
      <c r="CR250" s="136" t="str">
        <f>IF($D250&lt;&gt;"Feature",".",
IF(VLOOKUP($B250,Feature_List!$A:$AM,MATCH(CR$1,  Feature_List!$A$1:$AM$1,0),0)=AJ250,".","NO"))</f>
        <v>.</v>
      </c>
      <c r="CS250" s="136" t="str">
        <f>IF($D250&lt;&gt;"Feature",".",
IF(VLOOKUP($B250,Feature_List!$A:$AM,MATCH(CS$1,  Feature_List!$A$1:$AM$1,0),0)=AK250,".","NO"))</f>
        <v>.</v>
      </c>
      <c r="CT250" s="136" t="str">
        <f>IF($D250&lt;&gt;"Feature",".",
IF(VLOOKUP($B250,Feature_List!$A:$AM,MATCH(CT$1,  Feature_List!$A$1:$AM$1,0),0)=AL250,".","NO"))</f>
        <v>.</v>
      </c>
      <c r="CU250" s="136" t="str">
        <f>IF($D250&lt;&gt;"Feature",".",
IF(VLOOKUP($B250,Feature_List!$A:$AM,MATCH(CU$1,  Feature_List!$A$1:$AM$1,0),0)=AM250,".","NO"))</f>
        <v>.</v>
      </c>
      <c r="CV250" s="136" t="str">
        <f>IF($D250&lt;&gt;"Feature",".",
IF(VLOOKUP($B250,Feature_List!$A:$AM,MATCH(CV$1,  Feature_List!$A$1:$AM$1,0),0)=AN250,".","NO"))</f>
        <v>.</v>
      </c>
      <c r="CW250" s="136" t="str">
        <f>IF($D250&lt;&gt;"Feature",".",
IF(VLOOKUP($B250,Feature_List!$A:$AM,MATCH(CW$1,  Feature_List!$A$1:$AM$1,0),0)=AO250,".","NO"))</f>
        <v>.</v>
      </c>
      <c r="CX250" s="136" t="str">
        <f>IF($D250&lt;&gt;"Feature",".",
IF(VLOOKUP($B250,Feature_List!$A:$AM,MATCH(CX$1,  Feature_List!$A$1:$AM$1,0),0)=AP250,".","NO"))</f>
        <v>.</v>
      </c>
      <c r="CY250" s="136" t="str">
        <f>IF($D250&lt;&gt;"Feature",".",
IF(VLOOKUP($B250,Feature_List!$A:$AM,MATCH(CY$1,  Feature_List!$A$1:$AM$1,0),0)=AQ250,".","NO"))</f>
        <v>.</v>
      </c>
      <c r="CZ250" s="136" t="str">
        <f>IF($D250&lt;&gt;"Feature",".",
IF(VLOOKUP($B250,Feature_List!$A:$AM,MATCH(CZ$1,  Feature_List!$A$1:$AM$1,0),0)=AR250,".","NO"))</f>
        <v>.</v>
      </c>
      <c r="DA250" s="136" t="str">
        <f>IF($D250&lt;&gt;"Feature",".",
IF(VLOOKUP($B250,Feature_List!$A:$AM,MATCH(DA$1,  Feature_List!$A$1:$AM$1,0),0)=AS250,".","NO"))</f>
        <v>.</v>
      </c>
      <c r="DB250" s="136" t="str">
        <f>IF($D250&lt;&gt;"Feature",".",
IF(VLOOKUP($B250,Feature_List!$A:$AM,MATCH(DB$1,  Feature_List!$A$1:$AM$1,0),0)=AT250,".","NO"))</f>
        <v>.</v>
      </c>
      <c r="DC250" s="136" t="str">
        <f>IF($D250&lt;&gt;"Feature",".",
IF(VLOOKUP($B250,Feature_List!$A:$AM,MATCH(DC$1,  Feature_List!$A$1:$AM$1,0),0)=AU250,".","NO"))</f>
        <v>.</v>
      </c>
      <c r="DD250" s="136" t="str">
        <f>IF($D250&lt;&gt;"Feature",".",
IF(VLOOKUP($B250,Feature_List!$A:$AM,MATCH(DD$1,  Feature_List!$A$1:$AM$1,0),0)=AV250,".","NO"))</f>
        <v>.</v>
      </c>
      <c r="DE250" s="136" t="str">
        <f>IF($D250&lt;&gt;"Feature",".",
IF(VLOOKUP($B250,Feature_List!$A:$AM,MATCH(DE$1,  Feature_List!$A$1:$AM$1,0),0)=AW250,".","NO"))</f>
        <v>.</v>
      </c>
      <c r="DF250" s="136" t="str">
        <f>IF($D250&lt;&gt;"Feature",".",
IF(VLOOKUP($B250,Feature_List!$A:$AM,MATCH(DF$1,  Feature_List!$A$1:$AM$1,0),0)=AX250,".","NO"))</f>
        <v>.</v>
      </c>
      <c r="DG250" s="136" t="str">
        <f>IF($D250&lt;&gt;"Feature",".",
IF(VLOOKUP($B250,Feature_List!$A:$AM,MATCH(DG$1,  Feature_List!$A$1:$AM$1,0),0)=AY250,".","NO"))</f>
        <v>.</v>
      </c>
      <c r="DH250" s="136" t="str">
        <f>IF($D250&lt;&gt;"Feature",".",
IF(VLOOKUP($B250,Feature_List!$A:$AM,MATCH(DH$1,  Feature_List!$A$1:$AM$1,0),0)=AZ250,".","NO"))</f>
        <v>.</v>
      </c>
      <c r="DI250" s="136" t="str">
        <f>IF($D250&lt;&gt;"Feature",".",
IF(VLOOKUP($B250,Feature_List!$A:$AM,MATCH(DI$1,  Feature_List!$A$1:$AM$1,0),0)=BA250,".","NO"))</f>
        <v>.</v>
      </c>
      <c r="DJ250" s="136" t="str">
        <f>IF($D250&lt;&gt;"Feature",".",
IF(VLOOKUP($B250,Feature_List!$A:$AM,MATCH(DJ$1,  Feature_List!$A$1:$AM$1,0),0)=BB250,".","NO"))</f>
        <v>.</v>
      </c>
      <c r="DK250" s="136"/>
      <c r="DL250" s="136"/>
      <c r="DM250" s="136"/>
      <c r="DN250" s="136" t="str">
        <f>IF($D250&lt;&gt;"Feature",".",
IF(VLOOKUP($B250,Feature_List!$A:$AM,MATCH(DN$1,  Feature_List!$A$1:$AM$1,0),0)=BC250,".","NO"))</f>
        <v>.</v>
      </c>
      <c r="DO250" s="136" t="str">
        <f>IF($D250&lt;&gt;"Feature",".",
IF(VLOOKUP($B250,Feature_List!$A:$AM,MATCH(DO$1,  Feature_List!$A$1:$AM$1,0),0)=BD250,".","NO"))</f>
        <v>.</v>
      </c>
    </row>
    <row r="251" spans="2:119" x14ac:dyDescent="0.3">
      <c r="B251" s="121"/>
      <c r="C251" s="123"/>
      <c r="D251" s="122"/>
      <c r="E251" s="122"/>
      <c r="F251" s="123"/>
      <c r="G251" s="123"/>
      <c r="H251" s="122"/>
      <c r="I251" s="124"/>
      <c r="J251" s="123"/>
      <c r="K251" s="123"/>
      <c r="L251" s="122"/>
      <c r="M251" s="122"/>
      <c r="N251" s="122"/>
      <c r="O251" s="123">
        <f t="shared" si="112"/>
        <v>0</v>
      </c>
      <c r="P251" s="123">
        <f t="shared" si="113"/>
        <v>0</v>
      </c>
      <c r="Q251" s="122" t="str">
        <f t="shared" si="135"/>
        <v>ZeroEntry</v>
      </c>
      <c r="R251" s="126" t="str">
        <f t="shared" si="114"/>
        <v>ZeroEntry</v>
      </c>
      <c r="S251" s="127" t="str">
        <f t="shared" si="115"/>
        <v>ZeroEntry</v>
      </c>
      <c r="T251" s="128" t="str">
        <f>IF($Q251="ZeroEntry", "",VLOOKUP($I251,'Ranking Lookup'!#REF!,2,FALSE))</f>
        <v/>
      </c>
      <c r="U251" s="129" t="str">
        <f t="shared" si="116"/>
        <v/>
      </c>
      <c r="V251" s="129" t="str">
        <f t="shared" si="117"/>
        <v/>
      </c>
      <c r="W251" s="129" t="str">
        <f t="shared" si="118"/>
        <v/>
      </c>
      <c r="X251" s="129" t="str">
        <f t="shared" si="119"/>
        <v/>
      </c>
      <c r="Y251" s="129" t="str">
        <f t="shared" si="120"/>
        <v/>
      </c>
      <c r="Z251" s="129" t="str">
        <f t="shared" si="121"/>
        <v/>
      </c>
      <c r="AA251" s="130"/>
      <c r="AB251" s="130" t="str">
        <f t="shared" si="122"/>
        <v>Unassigned</v>
      </c>
      <c r="AC251" s="131" t="str">
        <f t="shared" si="136"/>
        <v/>
      </c>
      <c r="AD251" s="131" t="str">
        <f t="shared" si="137"/>
        <v/>
      </c>
      <c r="AE251" s="132">
        <f t="shared" si="123"/>
        <v>0</v>
      </c>
      <c r="AF251" s="133" t="str">
        <f t="shared" si="138"/>
        <v/>
      </c>
      <c r="AG251" s="134">
        <f t="shared" si="124"/>
        <v>0</v>
      </c>
      <c r="AH251" s="54" t="str">
        <f t="shared" si="125"/>
        <v/>
      </c>
      <c r="AI251" s="54" t="str">
        <f t="shared" si="147"/>
        <v/>
      </c>
      <c r="AJ251" s="54" t="str">
        <f t="shared" si="147"/>
        <v/>
      </c>
      <c r="AK251" s="54" t="str">
        <f t="shared" si="147"/>
        <v/>
      </c>
      <c r="AL251" s="54" t="str">
        <f t="shared" si="147"/>
        <v/>
      </c>
      <c r="AM251" s="54" t="str">
        <f t="shared" si="147"/>
        <v/>
      </c>
      <c r="AN251" s="54" t="str">
        <f t="shared" si="147"/>
        <v/>
      </c>
      <c r="AO251" s="54" t="str">
        <f t="shared" si="147"/>
        <v/>
      </c>
      <c r="AP251" s="54" t="str">
        <f t="shared" si="147"/>
        <v/>
      </c>
      <c r="AQ251" s="54" t="str">
        <f t="shared" si="147"/>
        <v/>
      </c>
      <c r="AR251" s="54" t="str">
        <f t="shared" si="147"/>
        <v/>
      </c>
      <c r="AS251" s="54" t="str">
        <f t="shared" si="147"/>
        <v/>
      </c>
      <c r="AT251" s="54" t="str">
        <f t="shared" si="147"/>
        <v/>
      </c>
      <c r="AU251" s="54" t="str">
        <f t="shared" si="147"/>
        <v/>
      </c>
      <c r="AV251" s="54" t="str">
        <f t="shared" si="147"/>
        <v/>
      </c>
      <c r="AW251" s="54" t="str">
        <f t="shared" si="147"/>
        <v/>
      </c>
      <c r="AX251" s="54" t="str">
        <f t="shared" si="147"/>
        <v/>
      </c>
      <c r="AY251" s="54" t="str">
        <f t="shared" si="139"/>
        <v/>
      </c>
      <c r="AZ251" s="54" t="str">
        <f t="shared" si="128"/>
        <v/>
      </c>
      <c r="BA251" s="54" t="str">
        <f t="shared" si="129"/>
        <v/>
      </c>
      <c r="BB251" s="135" t="str">
        <f t="shared" si="130"/>
        <v/>
      </c>
      <c r="BC251" s="54" t="str">
        <f t="shared" si="148"/>
        <v/>
      </c>
      <c r="BD251" s="54" t="str">
        <f t="shared" si="148"/>
        <v/>
      </c>
      <c r="BE251" s="54" t="str">
        <f t="shared" si="148"/>
        <v/>
      </c>
      <c r="BF251" s="54" t="str">
        <f t="shared" si="131"/>
        <v/>
      </c>
      <c r="BG251" s="54" t="str">
        <f t="shared" si="132"/>
        <v/>
      </c>
      <c r="BH251" s="34" t="str">
        <f t="shared" si="133"/>
        <v>Bad</v>
      </c>
      <c r="BI251" s="34" t="str">
        <f t="shared" si="134"/>
        <v>No</v>
      </c>
      <c r="BJ251" s="136" t="str">
        <f>IF($D251&lt;&gt;"Feature",".",
IF(VLOOKUP($B251,Feature_List!$A:$AM,MATCH(BJ$1,  Feature_List!$A$1:$AM$1,0),0)=B251,".","NO"))</f>
        <v>.</v>
      </c>
      <c r="BK251" s="136"/>
      <c r="BL251" s="136"/>
      <c r="BM251" s="136" t="str">
        <f>IF($D251&lt;&gt;"Feature",".",
IF(VLOOKUP($B251,Feature_List!$A:$AM,MATCH(BM$1,  Feature_List!$A$1:$AM$1,0),0)=E251,".","NO"))</f>
        <v>.</v>
      </c>
      <c r="BN251" s="136" t="str">
        <f>IF($D251&lt;&gt;"Feature",".",
IF(VLOOKUP($B251,Feature_List!$A:$AM,MATCH(BN$1,  Feature_List!$A$1:$AM$1,0),0)=F251,".","NO"))</f>
        <v>.</v>
      </c>
      <c r="BO251" s="136" t="str">
        <f>IF($D251&lt;&gt;"Feature",".",
IF(VLOOKUP($B251,Feature_List!$A:$AM,MATCH(BO$1,  Feature_List!$A$1:$AM$1,0),0)=G251,".","NO"))</f>
        <v>.</v>
      </c>
      <c r="BP251" s="136" t="str">
        <f>IF($D251&lt;&gt;"Feature",".",
IF(VLOOKUP($B251,Feature_List!$A:$AM,MATCH(BP$1,  Feature_List!$A$1:$AM$1,0),0)=H251,".","NO"))</f>
        <v>.</v>
      </c>
      <c r="BQ251" s="136"/>
      <c r="BR251" s="136" t="str">
        <f>IF($D251&lt;&gt;"Feature",".",
IF(VLOOKUP($B251,Feature_List!$A:$AM,MATCH(BR$1,  Feature_List!$A$1:$AM$1,0),0)=J251,".","NO"))</f>
        <v>.</v>
      </c>
      <c r="BS251" s="136"/>
      <c r="BT251" s="136"/>
      <c r="BU251" s="136" t="str">
        <f>IF($D251&lt;&gt;"Feature",".",
IF(VLOOKUP($B251,Feature_List!$A:$AM,MATCH(BU$1,  Feature_List!$A$1:$AM$1,0),0)=M251,".","NO"))</f>
        <v>.</v>
      </c>
      <c r="BV251" s="136" t="str">
        <f>IF($D251&lt;&gt;"Feature",".",
IF(VLOOKUP($B251,Feature_List!$A:$AM,MATCH(BV$1,  Feature_List!$A$1:$AM$1,0),0)=N251,".","NO"))</f>
        <v>.</v>
      </c>
      <c r="BW251" s="136"/>
      <c r="BX251" s="136"/>
      <c r="BY251" s="136"/>
      <c r="BZ251" s="136"/>
      <c r="CA251" s="136"/>
      <c r="CB251" s="136" t="str">
        <f>IF($D251&lt;&gt;"Feature",".",
IF(VLOOKUP($B251,Feature_List!$A:$AM,MATCH(CB$1,  Feature_List!$A$1:$AM$1,0),0)=T251,".","NO"))</f>
        <v>.</v>
      </c>
      <c r="CC251" s="136"/>
      <c r="CD251" s="136"/>
      <c r="CE251" s="136"/>
      <c r="CF251" s="136"/>
      <c r="CG251" s="136"/>
      <c r="CH251" s="136"/>
      <c r="CI251" s="136"/>
      <c r="CJ251" s="136"/>
      <c r="CK251" s="136"/>
      <c r="CL251" s="136"/>
      <c r="CM251" s="136"/>
      <c r="CN251" s="136"/>
      <c r="CO251" s="136" t="str">
        <f>IF($D251&lt;&gt;"Feature",".",
IF(VLOOKUP($B251,Feature_List!$A:$AM,MATCH(CO$1,  Feature_List!$A$1:$AM$1,0),0)=AG251,".","NO"))</f>
        <v>.</v>
      </c>
      <c r="CP251" s="136" t="str">
        <f>IF($D251&lt;&gt;"Feature",".",
IF(VLOOKUP($B251,Feature_List!$A:$AM,MATCH(CP$1,  Feature_List!$A$1:$AM$1,0),0)=AH251,".","NO"))</f>
        <v>.</v>
      </c>
      <c r="CQ251" s="136" t="str">
        <f>IF($D251&lt;&gt;"Feature",".",
IF(VLOOKUP($B251,Feature_List!$A:$AM,MATCH(CQ$1,  Feature_List!$A$1:$AM$1,0),0)=AI251,".","NO"))</f>
        <v>.</v>
      </c>
      <c r="CR251" s="136" t="str">
        <f>IF($D251&lt;&gt;"Feature",".",
IF(VLOOKUP($B251,Feature_List!$A:$AM,MATCH(CR$1,  Feature_List!$A$1:$AM$1,0),0)=AJ251,".","NO"))</f>
        <v>.</v>
      </c>
      <c r="CS251" s="136" t="str">
        <f>IF($D251&lt;&gt;"Feature",".",
IF(VLOOKUP($B251,Feature_List!$A:$AM,MATCH(CS$1,  Feature_List!$A$1:$AM$1,0),0)=AK251,".","NO"))</f>
        <v>.</v>
      </c>
      <c r="CT251" s="136" t="str">
        <f>IF($D251&lt;&gt;"Feature",".",
IF(VLOOKUP($B251,Feature_List!$A:$AM,MATCH(CT$1,  Feature_List!$A$1:$AM$1,0),0)=AL251,".","NO"))</f>
        <v>.</v>
      </c>
      <c r="CU251" s="136" t="str">
        <f>IF($D251&lt;&gt;"Feature",".",
IF(VLOOKUP($B251,Feature_List!$A:$AM,MATCH(CU$1,  Feature_List!$A$1:$AM$1,0),0)=AM251,".","NO"))</f>
        <v>.</v>
      </c>
      <c r="CV251" s="136" t="str">
        <f>IF($D251&lt;&gt;"Feature",".",
IF(VLOOKUP($B251,Feature_List!$A:$AM,MATCH(CV$1,  Feature_List!$A$1:$AM$1,0),0)=AN251,".","NO"))</f>
        <v>.</v>
      </c>
      <c r="CW251" s="136" t="str">
        <f>IF($D251&lt;&gt;"Feature",".",
IF(VLOOKUP($B251,Feature_List!$A:$AM,MATCH(CW$1,  Feature_List!$A$1:$AM$1,0),0)=AO251,".","NO"))</f>
        <v>.</v>
      </c>
      <c r="CX251" s="136" t="str">
        <f>IF($D251&lt;&gt;"Feature",".",
IF(VLOOKUP($B251,Feature_List!$A:$AM,MATCH(CX$1,  Feature_List!$A$1:$AM$1,0),0)=AP251,".","NO"))</f>
        <v>.</v>
      </c>
      <c r="CY251" s="136" t="str">
        <f>IF($D251&lt;&gt;"Feature",".",
IF(VLOOKUP($B251,Feature_List!$A:$AM,MATCH(CY$1,  Feature_List!$A$1:$AM$1,0),0)=AQ251,".","NO"))</f>
        <v>.</v>
      </c>
      <c r="CZ251" s="136" t="str">
        <f>IF($D251&lt;&gt;"Feature",".",
IF(VLOOKUP($B251,Feature_List!$A:$AM,MATCH(CZ$1,  Feature_List!$A$1:$AM$1,0),0)=AR251,".","NO"))</f>
        <v>.</v>
      </c>
      <c r="DA251" s="136" t="str">
        <f>IF($D251&lt;&gt;"Feature",".",
IF(VLOOKUP($B251,Feature_List!$A:$AM,MATCH(DA$1,  Feature_List!$A$1:$AM$1,0),0)=AS251,".","NO"))</f>
        <v>.</v>
      </c>
      <c r="DB251" s="136" t="str">
        <f>IF($D251&lt;&gt;"Feature",".",
IF(VLOOKUP($B251,Feature_List!$A:$AM,MATCH(DB$1,  Feature_List!$A$1:$AM$1,0),0)=AT251,".","NO"))</f>
        <v>.</v>
      </c>
      <c r="DC251" s="136" t="str">
        <f>IF($D251&lt;&gt;"Feature",".",
IF(VLOOKUP($B251,Feature_List!$A:$AM,MATCH(DC$1,  Feature_List!$A$1:$AM$1,0),0)=AU251,".","NO"))</f>
        <v>.</v>
      </c>
      <c r="DD251" s="136" t="str">
        <f>IF($D251&lt;&gt;"Feature",".",
IF(VLOOKUP($B251,Feature_List!$A:$AM,MATCH(DD$1,  Feature_List!$A$1:$AM$1,0),0)=AV251,".","NO"))</f>
        <v>.</v>
      </c>
      <c r="DE251" s="136" t="str">
        <f>IF($D251&lt;&gt;"Feature",".",
IF(VLOOKUP($B251,Feature_List!$A:$AM,MATCH(DE$1,  Feature_List!$A$1:$AM$1,0),0)=AW251,".","NO"))</f>
        <v>.</v>
      </c>
      <c r="DF251" s="136" t="str">
        <f>IF($D251&lt;&gt;"Feature",".",
IF(VLOOKUP($B251,Feature_List!$A:$AM,MATCH(DF$1,  Feature_List!$A$1:$AM$1,0),0)=AX251,".","NO"))</f>
        <v>.</v>
      </c>
      <c r="DG251" s="136" t="str">
        <f>IF($D251&lt;&gt;"Feature",".",
IF(VLOOKUP($B251,Feature_List!$A:$AM,MATCH(DG$1,  Feature_List!$A$1:$AM$1,0),0)=AY251,".","NO"))</f>
        <v>.</v>
      </c>
      <c r="DH251" s="136" t="str">
        <f>IF($D251&lt;&gt;"Feature",".",
IF(VLOOKUP($B251,Feature_List!$A:$AM,MATCH(DH$1,  Feature_List!$A$1:$AM$1,0),0)=AZ251,".","NO"))</f>
        <v>.</v>
      </c>
      <c r="DI251" s="136" t="str">
        <f>IF($D251&lt;&gt;"Feature",".",
IF(VLOOKUP($B251,Feature_List!$A:$AM,MATCH(DI$1,  Feature_List!$A$1:$AM$1,0),0)=BA251,".","NO"))</f>
        <v>.</v>
      </c>
      <c r="DJ251" s="136" t="str">
        <f>IF($D251&lt;&gt;"Feature",".",
IF(VLOOKUP($B251,Feature_List!$A:$AM,MATCH(DJ$1,  Feature_List!$A$1:$AM$1,0),0)=BB251,".","NO"))</f>
        <v>.</v>
      </c>
      <c r="DK251" s="136"/>
      <c r="DL251" s="136"/>
      <c r="DM251" s="136"/>
      <c r="DN251" s="136" t="str">
        <f>IF($D251&lt;&gt;"Feature",".",
IF(VLOOKUP($B251,Feature_List!$A:$AM,MATCH(DN$1,  Feature_List!$A$1:$AM$1,0),0)=BC251,".","NO"))</f>
        <v>.</v>
      </c>
      <c r="DO251" s="136" t="str">
        <f>IF($D251&lt;&gt;"Feature",".",
IF(VLOOKUP($B251,Feature_List!$A:$AM,MATCH(DO$1,  Feature_List!$A$1:$AM$1,0),0)=BD251,".","NO"))</f>
        <v>.</v>
      </c>
    </row>
    <row r="252" spans="2:119" x14ac:dyDescent="0.3">
      <c r="B252" s="121"/>
      <c r="C252" s="122"/>
      <c r="D252" s="122"/>
      <c r="E252" s="122"/>
      <c r="F252" s="123"/>
      <c r="G252" s="123"/>
      <c r="H252" s="122"/>
      <c r="I252" s="124"/>
      <c r="J252" s="123"/>
      <c r="K252" s="123"/>
      <c r="L252" s="122"/>
      <c r="M252" s="122"/>
      <c r="N252" s="122"/>
      <c r="O252" s="123">
        <f t="shared" si="112"/>
        <v>0</v>
      </c>
      <c r="P252" s="123">
        <f t="shared" si="113"/>
        <v>0</v>
      </c>
      <c r="Q252" s="122" t="str">
        <f t="shared" si="135"/>
        <v>ZeroEntry</v>
      </c>
      <c r="R252" s="126" t="str">
        <f t="shared" si="114"/>
        <v>ZeroEntry</v>
      </c>
      <c r="S252" s="127" t="str">
        <f t="shared" si="115"/>
        <v>ZeroEntry</v>
      </c>
      <c r="T252" s="128" t="str">
        <f>IF($Q252="ZeroEntry", "",VLOOKUP($I252,'Ranking Lookup'!#REF!,2,FALSE))</f>
        <v/>
      </c>
      <c r="U252" s="129" t="str">
        <f t="shared" si="116"/>
        <v/>
      </c>
      <c r="V252" s="129" t="str">
        <f t="shared" si="117"/>
        <v/>
      </c>
      <c r="W252" s="129" t="str">
        <f t="shared" si="118"/>
        <v/>
      </c>
      <c r="X252" s="129" t="str">
        <f t="shared" si="119"/>
        <v/>
      </c>
      <c r="Y252" s="129" t="str">
        <f t="shared" si="120"/>
        <v/>
      </c>
      <c r="Z252" s="129" t="str">
        <f t="shared" si="121"/>
        <v/>
      </c>
      <c r="AA252" s="130"/>
      <c r="AB252" s="130" t="str">
        <f t="shared" si="122"/>
        <v>Unassigned</v>
      </c>
      <c r="AC252" s="131" t="str">
        <f t="shared" si="136"/>
        <v/>
      </c>
      <c r="AD252" s="131" t="str">
        <f t="shared" si="137"/>
        <v/>
      </c>
      <c r="AE252" s="132">
        <f t="shared" si="123"/>
        <v>0</v>
      </c>
      <c r="AF252" s="133" t="str">
        <f t="shared" si="138"/>
        <v/>
      </c>
      <c r="AG252" s="134">
        <f t="shared" si="124"/>
        <v>0</v>
      </c>
      <c r="AH252" s="54" t="str">
        <f t="shared" si="125"/>
        <v/>
      </c>
      <c r="AI252" s="54" t="str">
        <f t="shared" si="147"/>
        <v/>
      </c>
      <c r="AJ252" s="54" t="str">
        <f t="shared" si="147"/>
        <v/>
      </c>
      <c r="AK252" s="54" t="str">
        <f t="shared" si="147"/>
        <v/>
      </c>
      <c r="AL252" s="54" t="str">
        <f t="shared" si="147"/>
        <v/>
      </c>
      <c r="AM252" s="54" t="str">
        <f t="shared" si="147"/>
        <v/>
      </c>
      <c r="AN252" s="54" t="str">
        <f t="shared" si="147"/>
        <v/>
      </c>
      <c r="AO252" s="54" t="str">
        <f t="shared" si="147"/>
        <v/>
      </c>
      <c r="AP252" s="54" t="str">
        <f t="shared" si="147"/>
        <v/>
      </c>
      <c r="AQ252" s="54" t="str">
        <f t="shared" si="147"/>
        <v/>
      </c>
      <c r="AR252" s="54" t="str">
        <f t="shared" si="147"/>
        <v/>
      </c>
      <c r="AS252" s="54" t="str">
        <f t="shared" si="147"/>
        <v/>
      </c>
      <c r="AT252" s="54" t="str">
        <f t="shared" si="147"/>
        <v/>
      </c>
      <c r="AU252" s="54" t="str">
        <f t="shared" si="147"/>
        <v/>
      </c>
      <c r="AV252" s="54" t="str">
        <f t="shared" si="147"/>
        <v/>
      </c>
      <c r="AW252" s="54" t="str">
        <f t="shared" si="147"/>
        <v/>
      </c>
      <c r="AX252" s="54" t="str">
        <f t="shared" si="147"/>
        <v/>
      </c>
      <c r="AY252" s="54" t="str">
        <f t="shared" si="139"/>
        <v/>
      </c>
      <c r="AZ252" s="54" t="str">
        <f t="shared" si="128"/>
        <v/>
      </c>
      <c r="BA252" s="54" t="str">
        <f t="shared" si="129"/>
        <v/>
      </c>
      <c r="BB252" s="135" t="str">
        <f t="shared" si="130"/>
        <v/>
      </c>
      <c r="BC252" s="54" t="str">
        <f t="shared" si="148"/>
        <v/>
      </c>
      <c r="BD252" s="54" t="str">
        <f t="shared" si="148"/>
        <v/>
      </c>
      <c r="BE252" s="54" t="str">
        <f t="shared" si="148"/>
        <v/>
      </c>
      <c r="BF252" s="54" t="str">
        <f t="shared" si="131"/>
        <v/>
      </c>
      <c r="BG252" s="54" t="str">
        <f t="shared" si="132"/>
        <v/>
      </c>
      <c r="BH252" s="34" t="str">
        <f t="shared" si="133"/>
        <v>Bad</v>
      </c>
      <c r="BI252" s="34" t="str">
        <f t="shared" si="134"/>
        <v>No</v>
      </c>
      <c r="BJ252" s="136" t="str">
        <f>IF($D252&lt;&gt;"Feature",".",
IF(VLOOKUP($B252,Feature_List!$A:$AM,MATCH(BJ$1,  Feature_List!$A$1:$AM$1,0),0)=B252,".","NO"))</f>
        <v>.</v>
      </c>
      <c r="BK252" s="136"/>
      <c r="BL252" s="136"/>
      <c r="BM252" s="136" t="str">
        <f>IF($D252&lt;&gt;"Feature",".",
IF(VLOOKUP($B252,Feature_List!$A:$AM,MATCH(BM$1,  Feature_List!$A$1:$AM$1,0),0)=E252,".","NO"))</f>
        <v>.</v>
      </c>
      <c r="BN252" s="136" t="str">
        <f>IF($D252&lt;&gt;"Feature",".",
IF(VLOOKUP($B252,Feature_List!$A:$AM,MATCH(BN$1,  Feature_List!$A$1:$AM$1,0),0)=F252,".","NO"))</f>
        <v>.</v>
      </c>
      <c r="BO252" s="136" t="str">
        <f>IF($D252&lt;&gt;"Feature",".",
IF(VLOOKUP($B252,Feature_List!$A:$AM,MATCH(BO$1,  Feature_List!$A$1:$AM$1,0),0)=G252,".","NO"))</f>
        <v>.</v>
      </c>
      <c r="BP252" s="136" t="str">
        <f>IF($D252&lt;&gt;"Feature",".",
IF(VLOOKUP($B252,Feature_List!$A:$AM,MATCH(BP$1,  Feature_List!$A$1:$AM$1,0),0)=H252,".","NO"))</f>
        <v>.</v>
      </c>
      <c r="BQ252" s="136"/>
      <c r="BR252" s="136" t="str">
        <f>IF($D252&lt;&gt;"Feature",".",
IF(VLOOKUP($B252,Feature_List!$A:$AM,MATCH(BR$1,  Feature_List!$A$1:$AM$1,0),0)=J252,".","NO"))</f>
        <v>.</v>
      </c>
      <c r="BS252" s="136"/>
      <c r="BT252" s="136"/>
      <c r="BU252" s="136" t="str">
        <f>IF($D252&lt;&gt;"Feature",".",
IF(VLOOKUP($B252,Feature_List!$A:$AM,MATCH(BU$1,  Feature_List!$A$1:$AM$1,0),0)=M252,".","NO"))</f>
        <v>.</v>
      </c>
      <c r="BV252" s="136" t="str">
        <f>IF($D252&lt;&gt;"Feature",".",
IF(VLOOKUP($B252,Feature_List!$A:$AM,MATCH(BV$1,  Feature_List!$A$1:$AM$1,0),0)=N252,".","NO"))</f>
        <v>.</v>
      </c>
      <c r="BW252" s="136"/>
      <c r="BX252" s="136"/>
      <c r="BY252" s="136"/>
      <c r="BZ252" s="136"/>
      <c r="CA252" s="136"/>
      <c r="CB252" s="136" t="str">
        <f>IF($D252&lt;&gt;"Feature",".",
IF(VLOOKUP($B252,Feature_List!$A:$AM,MATCH(CB$1,  Feature_List!$A$1:$AM$1,0),0)=T252,".","NO"))</f>
        <v>.</v>
      </c>
      <c r="CC252" s="136"/>
      <c r="CD252" s="136"/>
      <c r="CE252" s="136"/>
      <c r="CF252" s="136"/>
      <c r="CG252" s="136"/>
      <c r="CH252" s="136"/>
      <c r="CI252" s="136"/>
      <c r="CJ252" s="136"/>
      <c r="CK252" s="136"/>
      <c r="CL252" s="136"/>
      <c r="CM252" s="136"/>
      <c r="CN252" s="136"/>
      <c r="CO252" s="136" t="str">
        <f>IF($D252&lt;&gt;"Feature",".",
IF(VLOOKUP($B252,Feature_List!$A:$AM,MATCH(CO$1,  Feature_List!$A$1:$AM$1,0),0)=AG252,".","NO"))</f>
        <v>.</v>
      </c>
      <c r="CP252" s="136" t="str">
        <f>IF($D252&lt;&gt;"Feature",".",
IF(VLOOKUP($B252,Feature_List!$A:$AM,MATCH(CP$1,  Feature_List!$A$1:$AM$1,0),0)=AH252,".","NO"))</f>
        <v>.</v>
      </c>
      <c r="CQ252" s="136" t="str">
        <f>IF($D252&lt;&gt;"Feature",".",
IF(VLOOKUP($B252,Feature_List!$A:$AM,MATCH(CQ$1,  Feature_List!$A$1:$AM$1,0),0)=AI252,".","NO"))</f>
        <v>.</v>
      </c>
      <c r="CR252" s="136" t="str">
        <f>IF($D252&lt;&gt;"Feature",".",
IF(VLOOKUP($B252,Feature_List!$A:$AM,MATCH(CR$1,  Feature_List!$A$1:$AM$1,0),0)=AJ252,".","NO"))</f>
        <v>.</v>
      </c>
      <c r="CS252" s="136" t="str">
        <f>IF($D252&lt;&gt;"Feature",".",
IF(VLOOKUP($B252,Feature_List!$A:$AM,MATCH(CS$1,  Feature_List!$A$1:$AM$1,0),0)=AK252,".","NO"))</f>
        <v>.</v>
      </c>
      <c r="CT252" s="136" t="str">
        <f>IF($D252&lt;&gt;"Feature",".",
IF(VLOOKUP($B252,Feature_List!$A:$AM,MATCH(CT$1,  Feature_List!$A$1:$AM$1,0),0)=AL252,".","NO"))</f>
        <v>.</v>
      </c>
      <c r="CU252" s="136" t="str">
        <f>IF($D252&lt;&gt;"Feature",".",
IF(VLOOKUP($B252,Feature_List!$A:$AM,MATCH(CU$1,  Feature_List!$A$1:$AM$1,0),0)=AM252,".","NO"))</f>
        <v>.</v>
      </c>
      <c r="CV252" s="136" t="str">
        <f>IF($D252&lt;&gt;"Feature",".",
IF(VLOOKUP($B252,Feature_List!$A:$AM,MATCH(CV$1,  Feature_List!$A$1:$AM$1,0),0)=AN252,".","NO"))</f>
        <v>.</v>
      </c>
      <c r="CW252" s="136" t="str">
        <f>IF($D252&lt;&gt;"Feature",".",
IF(VLOOKUP($B252,Feature_List!$A:$AM,MATCH(CW$1,  Feature_List!$A$1:$AM$1,0),0)=AO252,".","NO"))</f>
        <v>.</v>
      </c>
      <c r="CX252" s="136" t="str">
        <f>IF($D252&lt;&gt;"Feature",".",
IF(VLOOKUP($B252,Feature_List!$A:$AM,MATCH(CX$1,  Feature_List!$A$1:$AM$1,0),0)=AP252,".","NO"))</f>
        <v>.</v>
      </c>
      <c r="CY252" s="136" t="str">
        <f>IF($D252&lt;&gt;"Feature",".",
IF(VLOOKUP($B252,Feature_List!$A:$AM,MATCH(CY$1,  Feature_List!$A$1:$AM$1,0),0)=AQ252,".","NO"))</f>
        <v>.</v>
      </c>
      <c r="CZ252" s="136" t="str">
        <f>IF($D252&lt;&gt;"Feature",".",
IF(VLOOKUP($B252,Feature_List!$A:$AM,MATCH(CZ$1,  Feature_List!$A$1:$AM$1,0),0)=AR252,".","NO"))</f>
        <v>.</v>
      </c>
      <c r="DA252" s="136" t="str">
        <f>IF($D252&lt;&gt;"Feature",".",
IF(VLOOKUP($B252,Feature_List!$A:$AM,MATCH(DA$1,  Feature_List!$A$1:$AM$1,0),0)=AS252,".","NO"))</f>
        <v>.</v>
      </c>
      <c r="DB252" s="136" t="str">
        <f>IF($D252&lt;&gt;"Feature",".",
IF(VLOOKUP($B252,Feature_List!$A:$AM,MATCH(DB$1,  Feature_List!$A$1:$AM$1,0),0)=AT252,".","NO"))</f>
        <v>.</v>
      </c>
      <c r="DC252" s="136" t="str">
        <f>IF($D252&lt;&gt;"Feature",".",
IF(VLOOKUP($B252,Feature_List!$A:$AM,MATCH(DC$1,  Feature_List!$A$1:$AM$1,0),0)=AU252,".","NO"))</f>
        <v>.</v>
      </c>
      <c r="DD252" s="136" t="str">
        <f>IF($D252&lt;&gt;"Feature",".",
IF(VLOOKUP($B252,Feature_List!$A:$AM,MATCH(DD$1,  Feature_List!$A$1:$AM$1,0),0)=AV252,".","NO"))</f>
        <v>.</v>
      </c>
      <c r="DE252" s="136" t="str">
        <f>IF($D252&lt;&gt;"Feature",".",
IF(VLOOKUP($B252,Feature_List!$A:$AM,MATCH(DE$1,  Feature_List!$A$1:$AM$1,0),0)=AW252,".","NO"))</f>
        <v>.</v>
      </c>
      <c r="DF252" s="136" t="str">
        <f>IF($D252&lt;&gt;"Feature",".",
IF(VLOOKUP($B252,Feature_List!$A:$AM,MATCH(DF$1,  Feature_List!$A$1:$AM$1,0),0)=AX252,".","NO"))</f>
        <v>.</v>
      </c>
      <c r="DG252" s="136" t="str">
        <f>IF($D252&lt;&gt;"Feature",".",
IF(VLOOKUP($B252,Feature_List!$A:$AM,MATCH(DG$1,  Feature_List!$A$1:$AM$1,0),0)=AY252,".","NO"))</f>
        <v>.</v>
      </c>
      <c r="DH252" s="136" t="str">
        <f>IF($D252&lt;&gt;"Feature",".",
IF(VLOOKUP($B252,Feature_List!$A:$AM,MATCH(DH$1,  Feature_List!$A$1:$AM$1,0),0)=AZ252,".","NO"))</f>
        <v>.</v>
      </c>
      <c r="DI252" s="136" t="str">
        <f>IF($D252&lt;&gt;"Feature",".",
IF(VLOOKUP($B252,Feature_List!$A:$AM,MATCH(DI$1,  Feature_List!$A$1:$AM$1,0),0)=BA252,".","NO"))</f>
        <v>.</v>
      </c>
      <c r="DJ252" s="136" t="str">
        <f>IF($D252&lt;&gt;"Feature",".",
IF(VLOOKUP($B252,Feature_List!$A:$AM,MATCH(DJ$1,  Feature_List!$A$1:$AM$1,0),0)=BB252,".","NO"))</f>
        <v>.</v>
      </c>
      <c r="DK252" s="136"/>
      <c r="DL252" s="136"/>
      <c r="DM252" s="136"/>
      <c r="DN252" s="136" t="str">
        <f>IF($D252&lt;&gt;"Feature",".",
IF(VLOOKUP($B252,Feature_List!$A:$AM,MATCH(DN$1,  Feature_List!$A$1:$AM$1,0),0)=BC252,".","NO"))</f>
        <v>.</v>
      </c>
      <c r="DO252" s="136" t="str">
        <f>IF($D252&lt;&gt;"Feature",".",
IF(VLOOKUP($B252,Feature_List!$A:$AM,MATCH(DO$1,  Feature_List!$A$1:$AM$1,0),0)=BD252,".","NO"))</f>
        <v>.</v>
      </c>
    </row>
    <row r="253" spans="2:119" x14ac:dyDescent="0.3">
      <c r="B253" s="121"/>
      <c r="C253" s="122"/>
      <c r="D253" s="122"/>
      <c r="E253" s="122"/>
      <c r="F253" s="123"/>
      <c r="G253" s="123"/>
      <c r="H253" s="122"/>
      <c r="I253" s="124"/>
      <c r="J253" s="123"/>
      <c r="K253" s="123"/>
      <c r="L253" s="122"/>
      <c r="M253" s="122"/>
      <c r="N253" s="122"/>
      <c r="O253" s="123">
        <f t="shared" si="112"/>
        <v>0</v>
      </c>
      <c r="P253" s="123">
        <f t="shared" si="113"/>
        <v>0</v>
      </c>
      <c r="Q253" s="122" t="str">
        <f t="shared" si="135"/>
        <v>ZeroEntry</v>
      </c>
      <c r="R253" s="126" t="str">
        <f t="shared" si="114"/>
        <v>ZeroEntry</v>
      </c>
      <c r="S253" s="127" t="str">
        <f t="shared" si="115"/>
        <v>ZeroEntry</v>
      </c>
      <c r="T253" s="128" t="str">
        <f>IF($Q253="ZeroEntry", "",VLOOKUP($I253,'Ranking Lookup'!#REF!,2,FALSE))</f>
        <v/>
      </c>
      <c r="U253" s="129" t="str">
        <f t="shared" si="116"/>
        <v/>
      </c>
      <c r="V253" s="129" t="str">
        <f t="shared" si="117"/>
        <v/>
      </c>
      <c r="W253" s="129" t="str">
        <f t="shared" si="118"/>
        <v/>
      </c>
      <c r="X253" s="129" t="str">
        <f t="shared" si="119"/>
        <v/>
      </c>
      <c r="Y253" s="129" t="str">
        <f t="shared" si="120"/>
        <v/>
      </c>
      <c r="Z253" s="129" t="str">
        <f t="shared" si="121"/>
        <v/>
      </c>
      <c r="AA253" s="130"/>
      <c r="AB253" s="130" t="str">
        <f t="shared" si="122"/>
        <v>Unassigned</v>
      </c>
      <c r="AC253" s="131" t="str">
        <f t="shared" si="136"/>
        <v/>
      </c>
      <c r="AD253" s="131" t="str">
        <f t="shared" si="137"/>
        <v/>
      </c>
      <c r="AE253" s="132">
        <f t="shared" si="123"/>
        <v>0</v>
      </c>
      <c r="AF253" s="133" t="str">
        <f t="shared" si="138"/>
        <v/>
      </c>
      <c r="AG253" s="134">
        <f t="shared" si="124"/>
        <v>0</v>
      </c>
      <c r="AH253" s="54" t="str">
        <f t="shared" si="125"/>
        <v/>
      </c>
      <c r="AI253" s="54" t="str">
        <f t="shared" si="147"/>
        <v/>
      </c>
      <c r="AJ253" s="54" t="str">
        <f t="shared" si="147"/>
        <v/>
      </c>
      <c r="AK253" s="54" t="str">
        <f t="shared" si="147"/>
        <v/>
      </c>
      <c r="AL253" s="54" t="str">
        <f t="shared" si="147"/>
        <v/>
      </c>
      <c r="AM253" s="54" t="str">
        <f t="shared" si="147"/>
        <v/>
      </c>
      <c r="AN253" s="54" t="str">
        <f t="shared" si="147"/>
        <v/>
      </c>
      <c r="AO253" s="54" t="str">
        <f t="shared" si="147"/>
        <v/>
      </c>
      <c r="AP253" s="54" t="str">
        <f t="shared" si="147"/>
        <v/>
      </c>
      <c r="AQ253" s="54" t="str">
        <f t="shared" si="147"/>
        <v/>
      </c>
      <c r="AR253" s="54" t="str">
        <f t="shared" si="147"/>
        <v/>
      </c>
      <c r="AS253" s="54" t="str">
        <f t="shared" si="147"/>
        <v/>
      </c>
      <c r="AT253" s="54" t="str">
        <f t="shared" si="147"/>
        <v/>
      </c>
      <c r="AU253" s="54" t="str">
        <f t="shared" si="147"/>
        <v/>
      </c>
      <c r="AV253" s="54" t="str">
        <f t="shared" si="147"/>
        <v/>
      </c>
      <c r="AW253" s="54" t="str">
        <f t="shared" si="147"/>
        <v/>
      </c>
      <c r="AX253" s="54" t="str">
        <f t="shared" si="147"/>
        <v/>
      </c>
      <c r="AY253" s="54" t="str">
        <f t="shared" si="139"/>
        <v/>
      </c>
      <c r="AZ253" s="54" t="str">
        <f t="shared" si="128"/>
        <v/>
      </c>
      <c r="BA253" s="54" t="str">
        <f t="shared" si="129"/>
        <v/>
      </c>
      <c r="BB253" s="135" t="str">
        <f t="shared" si="130"/>
        <v/>
      </c>
      <c r="BC253" s="54" t="str">
        <f t="shared" si="148"/>
        <v/>
      </c>
      <c r="BD253" s="54" t="str">
        <f t="shared" si="148"/>
        <v/>
      </c>
      <c r="BE253" s="54" t="str">
        <f t="shared" si="148"/>
        <v/>
      </c>
      <c r="BF253" s="54" t="str">
        <f t="shared" si="131"/>
        <v/>
      </c>
      <c r="BG253" s="54" t="str">
        <f t="shared" si="132"/>
        <v/>
      </c>
      <c r="BH253" s="34" t="str">
        <f t="shared" si="133"/>
        <v>Bad</v>
      </c>
      <c r="BI253" s="34" t="str">
        <f t="shared" si="134"/>
        <v>No</v>
      </c>
      <c r="BJ253" s="136" t="str">
        <f>IF($D253&lt;&gt;"Feature",".",
IF(VLOOKUP($B253,Feature_List!$A:$AM,MATCH(BJ$1,  Feature_List!$A$1:$AM$1,0),0)=B253,".","NO"))</f>
        <v>.</v>
      </c>
      <c r="BK253" s="136"/>
      <c r="BL253" s="136"/>
      <c r="BM253" s="136" t="str">
        <f>IF($D253&lt;&gt;"Feature",".",
IF(VLOOKUP($B253,Feature_List!$A:$AM,MATCH(BM$1,  Feature_List!$A$1:$AM$1,0),0)=E253,".","NO"))</f>
        <v>.</v>
      </c>
      <c r="BN253" s="136" t="str">
        <f>IF($D253&lt;&gt;"Feature",".",
IF(VLOOKUP($B253,Feature_List!$A:$AM,MATCH(BN$1,  Feature_List!$A$1:$AM$1,0),0)=F253,".","NO"))</f>
        <v>.</v>
      </c>
      <c r="BO253" s="136" t="str">
        <f>IF($D253&lt;&gt;"Feature",".",
IF(VLOOKUP($B253,Feature_List!$A:$AM,MATCH(BO$1,  Feature_List!$A$1:$AM$1,0),0)=G253,".","NO"))</f>
        <v>.</v>
      </c>
      <c r="BP253" s="136" t="str">
        <f>IF($D253&lt;&gt;"Feature",".",
IF(VLOOKUP($B253,Feature_List!$A:$AM,MATCH(BP$1,  Feature_List!$A$1:$AM$1,0),0)=H253,".","NO"))</f>
        <v>.</v>
      </c>
      <c r="BQ253" s="136"/>
      <c r="BR253" s="136" t="str">
        <f>IF($D253&lt;&gt;"Feature",".",
IF(VLOOKUP($B253,Feature_List!$A:$AM,MATCH(BR$1,  Feature_List!$A$1:$AM$1,0),0)=J253,".","NO"))</f>
        <v>.</v>
      </c>
      <c r="BS253" s="136"/>
      <c r="BT253" s="136"/>
      <c r="BU253" s="136" t="str">
        <f>IF($D253&lt;&gt;"Feature",".",
IF(VLOOKUP($B253,Feature_List!$A:$AM,MATCH(BU$1,  Feature_List!$A$1:$AM$1,0),0)=M253,".","NO"))</f>
        <v>.</v>
      </c>
      <c r="BV253" s="136" t="str">
        <f>IF($D253&lt;&gt;"Feature",".",
IF(VLOOKUP($B253,Feature_List!$A:$AM,MATCH(BV$1,  Feature_List!$A$1:$AM$1,0),0)=N253,".","NO"))</f>
        <v>.</v>
      </c>
      <c r="BW253" s="136"/>
      <c r="BX253" s="136"/>
      <c r="BY253" s="136"/>
      <c r="BZ253" s="136"/>
      <c r="CA253" s="136"/>
      <c r="CB253" s="136" t="str">
        <f>IF($D253&lt;&gt;"Feature",".",
IF(VLOOKUP($B253,Feature_List!$A:$AM,MATCH(CB$1,  Feature_List!$A$1:$AM$1,0),0)=T253,".","NO"))</f>
        <v>.</v>
      </c>
      <c r="CC253" s="136"/>
      <c r="CD253" s="136"/>
      <c r="CE253" s="136"/>
      <c r="CF253" s="136"/>
      <c r="CG253" s="136"/>
      <c r="CH253" s="136"/>
      <c r="CI253" s="136"/>
      <c r="CJ253" s="136"/>
      <c r="CK253" s="136"/>
      <c r="CL253" s="136"/>
      <c r="CM253" s="136"/>
      <c r="CN253" s="136"/>
      <c r="CO253" s="136" t="str">
        <f>IF($D253&lt;&gt;"Feature",".",
IF(VLOOKUP($B253,Feature_List!$A:$AM,MATCH(CO$1,  Feature_List!$A$1:$AM$1,0),0)=AG253,".","NO"))</f>
        <v>.</v>
      </c>
      <c r="CP253" s="136" t="str">
        <f>IF($D253&lt;&gt;"Feature",".",
IF(VLOOKUP($B253,Feature_List!$A:$AM,MATCH(CP$1,  Feature_List!$A$1:$AM$1,0),0)=AH253,".","NO"))</f>
        <v>.</v>
      </c>
      <c r="CQ253" s="136" t="str">
        <f>IF($D253&lt;&gt;"Feature",".",
IF(VLOOKUP($B253,Feature_List!$A:$AM,MATCH(CQ$1,  Feature_List!$A$1:$AM$1,0),0)=AI253,".","NO"))</f>
        <v>.</v>
      </c>
      <c r="CR253" s="136" t="str">
        <f>IF($D253&lt;&gt;"Feature",".",
IF(VLOOKUP($B253,Feature_List!$A:$AM,MATCH(CR$1,  Feature_List!$A$1:$AM$1,0),0)=AJ253,".","NO"))</f>
        <v>.</v>
      </c>
      <c r="CS253" s="136" t="str">
        <f>IF($D253&lt;&gt;"Feature",".",
IF(VLOOKUP($B253,Feature_List!$A:$AM,MATCH(CS$1,  Feature_List!$A$1:$AM$1,0),0)=AK253,".","NO"))</f>
        <v>.</v>
      </c>
      <c r="CT253" s="136" t="str">
        <f>IF($D253&lt;&gt;"Feature",".",
IF(VLOOKUP($B253,Feature_List!$A:$AM,MATCH(CT$1,  Feature_List!$A$1:$AM$1,0),0)=AL253,".","NO"))</f>
        <v>.</v>
      </c>
      <c r="CU253" s="136" t="str">
        <f>IF($D253&lt;&gt;"Feature",".",
IF(VLOOKUP($B253,Feature_List!$A:$AM,MATCH(CU$1,  Feature_List!$A$1:$AM$1,0),0)=AM253,".","NO"))</f>
        <v>.</v>
      </c>
      <c r="CV253" s="136" t="str">
        <f>IF($D253&lt;&gt;"Feature",".",
IF(VLOOKUP($B253,Feature_List!$A:$AM,MATCH(CV$1,  Feature_List!$A$1:$AM$1,0),0)=AN253,".","NO"))</f>
        <v>.</v>
      </c>
      <c r="CW253" s="136" t="str">
        <f>IF($D253&lt;&gt;"Feature",".",
IF(VLOOKUP($B253,Feature_List!$A:$AM,MATCH(CW$1,  Feature_List!$A$1:$AM$1,0),0)=AO253,".","NO"))</f>
        <v>.</v>
      </c>
      <c r="CX253" s="136" t="str">
        <f>IF($D253&lt;&gt;"Feature",".",
IF(VLOOKUP($B253,Feature_List!$A:$AM,MATCH(CX$1,  Feature_List!$A$1:$AM$1,0),0)=AP253,".","NO"))</f>
        <v>.</v>
      </c>
      <c r="CY253" s="136" t="str">
        <f>IF($D253&lt;&gt;"Feature",".",
IF(VLOOKUP($B253,Feature_List!$A:$AM,MATCH(CY$1,  Feature_List!$A$1:$AM$1,0),0)=AQ253,".","NO"))</f>
        <v>.</v>
      </c>
      <c r="CZ253" s="136" t="str">
        <f>IF($D253&lt;&gt;"Feature",".",
IF(VLOOKUP($B253,Feature_List!$A:$AM,MATCH(CZ$1,  Feature_List!$A$1:$AM$1,0),0)=AR253,".","NO"))</f>
        <v>.</v>
      </c>
      <c r="DA253" s="136" t="str">
        <f>IF($D253&lt;&gt;"Feature",".",
IF(VLOOKUP($B253,Feature_List!$A:$AM,MATCH(DA$1,  Feature_List!$A$1:$AM$1,0),0)=AS253,".","NO"))</f>
        <v>.</v>
      </c>
      <c r="DB253" s="136" t="str">
        <f>IF($D253&lt;&gt;"Feature",".",
IF(VLOOKUP($B253,Feature_List!$A:$AM,MATCH(DB$1,  Feature_List!$A$1:$AM$1,0),0)=AT253,".","NO"))</f>
        <v>.</v>
      </c>
      <c r="DC253" s="136" t="str">
        <f>IF($D253&lt;&gt;"Feature",".",
IF(VLOOKUP($B253,Feature_List!$A:$AM,MATCH(DC$1,  Feature_List!$A$1:$AM$1,0),0)=AU253,".","NO"))</f>
        <v>.</v>
      </c>
      <c r="DD253" s="136" t="str">
        <f>IF($D253&lt;&gt;"Feature",".",
IF(VLOOKUP($B253,Feature_List!$A:$AM,MATCH(DD$1,  Feature_List!$A$1:$AM$1,0),0)=AV253,".","NO"))</f>
        <v>.</v>
      </c>
      <c r="DE253" s="136" t="str">
        <f>IF($D253&lt;&gt;"Feature",".",
IF(VLOOKUP($B253,Feature_List!$A:$AM,MATCH(DE$1,  Feature_List!$A$1:$AM$1,0),0)=AW253,".","NO"))</f>
        <v>.</v>
      </c>
      <c r="DF253" s="136" t="str">
        <f>IF($D253&lt;&gt;"Feature",".",
IF(VLOOKUP($B253,Feature_List!$A:$AM,MATCH(DF$1,  Feature_List!$A$1:$AM$1,0),0)=AX253,".","NO"))</f>
        <v>.</v>
      </c>
      <c r="DG253" s="136" t="str">
        <f>IF($D253&lt;&gt;"Feature",".",
IF(VLOOKUP($B253,Feature_List!$A:$AM,MATCH(DG$1,  Feature_List!$A$1:$AM$1,0),0)=AY253,".","NO"))</f>
        <v>.</v>
      </c>
      <c r="DH253" s="136" t="str">
        <f>IF($D253&lt;&gt;"Feature",".",
IF(VLOOKUP($B253,Feature_List!$A:$AM,MATCH(DH$1,  Feature_List!$A$1:$AM$1,0),0)=AZ253,".","NO"))</f>
        <v>.</v>
      </c>
      <c r="DI253" s="136" t="str">
        <f>IF($D253&lt;&gt;"Feature",".",
IF(VLOOKUP($B253,Feature_List!$A:$AM,MATCH(DI$1,  Feature_List!$A$1:$AM$1,0),0)=BA253,".","NO"))</f>
        <v>.</v>
      </c>
      <c r="DJ253" s="136" t="str">
        <f>IF($D253&lt;&gt;"Feature",".",
IF(VLOOKUP($B253,Feature_List!$A:$AM,MATCH(DJ$1,  Feature_List!$A$1:$AM$1,0),0)=BB253,".","NO"))</f>
        <v>.</v>
      </c>
      <c r="DK253" s="136"/>
      <c r="DL253" s="136"/>
      <c r="DM253" s="136"/>
      <c r="DN253" s="136" t="str">
        <f>IF($D253&lt;&gt;"Feature",".",
IF(VLOOKUP($B253,Feature_List!$A:$AM,MATCH(DN$1,  Feature_List!$A$1:$AM$1,0),0)=BC253,".","NO"))</f>
        <v>.</v>
      </c>
      <c r="DO253" s="136" t="str">
        <f>IF($D253&lt;&gt;"Feature",".",
IF(VLOOKUP($B253,Feature_List!$A:$AM,MATCH(DO$1,  Feature_List!$A$1:$AM$1,0),0)=BD253,".","NO"))</f>
        <v>.</v>
      </c>
    </row>
    <row r="254" spans="2:119" x14ac:dyDescent="0.3">
      <c r="B254" s="121"/>
      <c r="C254" s="122"/>
      <c r="D254" s="122"/>
      <c r="E254" s="122"/>
      <c r="F254" s="123"/>
      <c r="G254" s="123"/>
      <c r="H254" s="122"/>
      <c r="I254" s="124"/>
      <c r="J254" s="123"/>
      <c r="K254" s="123"/>
      <c r="L254" s="122"/>
      <c r="M254" s="122"/>
      <c r="N254" s="122"/>
      <c r="O254" s="123">
        <f t="shared" si="112"/>
        <v>0</v>
      </c>
      <c r="P254" s="123">
        <f t="shared" si="113"/>
        <v>0</v>
      </c>
      <c r="Q254" s="122" t="str">
        <f t="shared" si="135"/>
        <v>ZeroEntry</v>
      </c>
      <c r="R254" s="126" t="str">
        <f t="shared" si="114"/>
        <v>ZeroEntry</v>
      </c>
      <c r="S254" s="127" t="str">
        <f t="shared" si="115"/>
        <v>ZeroEntry</v>
      </c>
      <c r="T254" s="128" t="str">
        <f>IF($Q254="ZeroEntry", "",VLOOKUP($I254,'Ranking Lookup'!#REF!,2,FALSE))</f>
        <v/>
      </c>
      <c r="U254" s="129" t="str">
        <f t="shared" si="116"/>
        <v/>
      </c>
      <c r="V254" s="129" t="str">
        <f t="shared" si="117"/>
        <v/>
      </c>
      <c r="W254" s="129" t="str">
        <f t="shared" si="118"/>
        <v/>
      </c>
      <c r="X254" s="129" t="str">
        <f t="shared" si="119"/>
        <v/>
      </c>
      <c r="Y254" s="129" t="str">
        <f t="shared" si="120"/>
        <v/>
      </c>
      <c r="Z254" s="129" t="str">
        <f t="shared" si="121"/>
        <v/>
      </c>
      <c r="AA254" s="130"/>
      <c r="AB254" s="130" t="str">
        <f t="shared" si="122"/>
        <v>Unassigned</v>
      </c>
      <c r="AC254" s="131" t="str">
        <f t="shared" si="136"/>
        <v/>
      </c>
      <c r="AD254" s="131" t="str">
        <f t="shared" si="137"/>
        <v/>
      </c>
      <c r="AE254" s="132">
        <f t="shared" si="123"/>
        <v>0</v>
      </c>
      <c r="AF254" s="133" t="str">
        <f t="shared" si="138"/>
        <v/>
      </c>
      <c r="AG254" s="134">
        <f t="shared" si="124"/>
        <v>0</v>
      </c>
      <c r="AH254" s="54" t="str">
        <f t="shared" si="125"/>
        <v/>
      </c>
      <c r="AI254" s="54" t="str">
        <f t="shared" si="147"/>
        <v/>
      </c>
      <c r="AJ254" s="54" t="str">
        <f t="shared" si="147"/>
        <v/>
      </c>
      <c r="AK254" s="54" t="str">
        <f t="shared" si="147"/>
        <v/>
      </c>
      <c r="AL254" s="54" t="str">
        <f t="shared" si="147"/>
        <v/>
      </c>
      <c r="AM254" s="54" t="str">
        <f t="shared" si="147"/>
        <v/>
      </c>
      <c r="AN254" s="54" t="str">
        <f t="shared" si="147"/>
        <v/>
      </c>
      <c r="AO254" s="54" t="str">
        <f t="shared" si="147"/>
        <v/>
      </c>
      <c r="AP254" s="54" t="str">
        <f t="shared" si="147"/>
        <v/>
      </c>
      <c r="AQ254" s="54" t="str">
        <f t="shared" si="147"/>
        <v/>
      </c>
      <c r="AR254" s="54" t="str">
        <f t="shared" si="147"/>
        <v/>
      </c>
      <c r="AS254" s="54" t="str">
        <f t="shared" si="147"/>
        <v/>
      </c>
      <c r="AT254" s="54" t="str">
        <f t="shared" si="147"/>
        <v/>
      </c>
      <c r="AU254" s="54" t="str">
        <f t="shared" si="147"/>
        <v/>
      </c>
      <c r="AV254" s="54" t="str">
        <f t="shared" si="147"/>
        <v/>
      </c>
      <c r="AW254" s="54" t="str">
        <f t="shared" si="147"/>
        <v/>
      </c>
      <c r="AX254" s="54" t="str">
        <f t="shared" si="147"/>
        <v/>
      </c>
      <c r="AY254" s="54" t="str">
        <f t="shared" si="139"/>
        <v/>
      </c>
      <c r="AZ254" s="54" t="str">
        <f t="shared" si="128"/>
        <v/>
      </c>
      <c r="BA254" s="54" t="str">
        <f t="shared" si="129"/>
        <v/>
      </c>
      <c r="BB254" s="135" t="str">
        <f t="shared" si="130"/>
        <v/>
      </c>
      <c r="BC254" s="54" t="str">
        <f t="shared" si="148"/>
        <v/>
      </c>
      <c r="BD254" s="54" t="str">
        <f t="shared" si="148"/>
        <v/>
      </c>
      <c r="BE254" s="54" t="str">
        <f t="shared" si="148"/>
        <v/>
      </c>
      <c r="BF254" s="54" t="str">
        <f t="shared" si="131"/>
        <v/>
      </c>
      <c r="BG254" s="54" t="str">
        <f t="shared" si="132"/>
        <v/>
      </c>
      <c r="BH254" s="34" t="str">
        <f t="shared" si="133"/>
        <v>Bad</v>
      </c>
      <c r="BI254" s="34" t="str">
        <f t="shared" si="134"/>
        <v>No</v>
      </c>
      <c r="BJ254" s="136" t="str">
        <f>IF($D254&lt;&gt;"Feature",".",
IF(VLOOKUP($B254,Feature_List!$A:$AM,MATCH(BJ$1,  Feature_List!$A$1:$AM$1,0),0)=B254,".","NO"))</f>
        <v>.</v>
      </c>
      <c r="BK254" s="136"/>
      <c r="BL254" s="136"/>
      <c r="BM254" s="136" t="str">
        <f>IF($D254&lt;&gt;"Feature",".",
IF(VLOOKUP($B254,Feature_List!$A:$AM,MATCH(BM$1,  Feature_List!$A$1:$AM$1,0),0)=E254,".","NO"))</f>
        <v>.</v>
      </c>
      <c r="BN254" s="136" t="str">
        <f>IF($D254&lt;&gt;"Feature",".",
IF(VLOOKUP($B254,Feature_List!$A:$AM,MATCH(BN$1,  Feature_List!$A$1:$AM$1,0),0)=F254,".","NO"))</f>
        <v>.</v>
      </c>
      <c r="BO254" s="136" t="str">
        <f>IF($D254&lt;&gt;"Feature",".",
IF(VLOOKUP($B254,Feature_List!$A:$AM,MATCH(BO$1,  Feature_List!$A$1:$AM$1,0),0)=G254,".","NO"))</f>
        <v>.</v>
      </c>
      <c r="BP254" s="136" t="str">
        <f>IF($D254&lt;&gt;"Feature",".",
IF(VLOOKUP($B254,Feature_List!$A:$AM,MATCH(BP$1,  Feature_List!$A$1:$AM$1,0),0)=H254,".","NO"))</f>
        <v>.</v>
      </c>
      <c r="BQ254" s="136"/>
      <c r="BR254" s="136" t="str">
        <f>IF($D254&lt;&gt;"Feature",".",
IF(VLOOKUP($B254,Feature_List!$A:$AM,MATCH(BR$1,  Feature_List!$A$1:$AM$1,0),0)=J254,".","NO"))</f>
        <v>.</v>
      </c>
      <c r="BS254" s="136"/>
      <c r="BT254" s="136"/>
      <c r="BU254" s="136" t="str">
        <f>IF($D254&lt;&gt;"Feature",".",
IF(VLOOKUP($B254,Feature_List!$A:$AM,MATCH(BU$1,  Feature_List!$A$1:$AM$1,0),0)=M254,".","NO"))</f>
        <v>.</v>
      </c>
      <c r="BV254" s="136" t="str">
        <f>IF($D254&lt;&gt;"Feature",".",
IF(VLOOKUP($B254,Feature_List!$A:$AM,MATCH(BV$1,  Feature_List!$A$1:$AM$1,0),0)=N254,".","NO"))</f>
        <v>.</v>
      </c>
      <c r="BW254" s="136"/>
      <c r="BX254" s="136"/>
      <c r="BY254" s="136"/>
      <c r="BZ254" s="136"/>
      <c r="CA254" s="136"/>
      <c r="CB254" s="136" t="str">
        <f>IF($D254&lt;&gt;"Feature",".",
IF(VLOOKUP($B254,Feature_List!$A:$AM,MATCH(CB$1,  Feature_List!$A$1:$AM$1,0),0)=T254,".","NO"))</f>
        <v>.</v>
      </c>
      <c r="CC254" s="136"/>
      <c r="CD254" s="136"/>
      <c r="CE254" s="136"/>
      <c r="CF254" s="136"/>
      <c r="CG254" s="136"/>
      <c r="CH254" s="136"/>
      <c r="CI254" s="136"/>
      <c r="CJ254" s="136"/>
      <c r="CK254" s="136"/>
      <c r="CL254" s="136"/>
      <c r="CM254" s="136"/>
      <c r="CN254" s="136"/>
      <c r="CO254" s="136" t="str">
        <f>IF($D254&lt;&gt;"Feature",".",
IF(VLOOKUP($B254,Feature_List!$A:$AM,MATCH(CO$1,  Feature_List!$A$1:$AM$1,0),0)=AG254,".","NO"))</f>
        <v>.</v>
      </c>
      <c r="CP254" s="136" t="str">
        <f>IF($D254&lt;&gt;"Feature",".",
IF(VLOOKUP($B254,Feature_List!$A:$AM,MATCH(CP$1,  Feature_List!$A$1:$AM$1,0),0)=AH254,".","NO"))</f>
        <v>.</v>
      </c>
      <c r="CQ254" s="136" t="str">
        <f>IF($D254&lt;&gt;"Feature",".",
IF(VLOOKUP($B254,Feature_List!$A:$AM,MATCH(CQ$1,  Feature_List!$A$1:$AM$1,0),0)=AI254,".","NO"))</f>
        <v>.</v>
      </c>
      <c r="CR254" s="136" t="str">
        <f>IF($D254&lt;&gt;"Feature",".",
IF(VLOOKUP($B254,Feature_List!$A:$AM,MATCH(CR$1,  Feature_List!$A$1:$AM$1,0),0)=AJ254,".","NO"))</f>
        <v>.</v>
      </c>
      <c r="CS254" s="136" t="str">
        <f>IF($D254&lt;&gt;"Feature",".",
IF(VLOOKUP($B254,Feature_List!$A:$AM,MATCH(CS$1,  Feature_List!$A$1:$AM$1,0),0)=AK254,".","NO"))</f>
        <v>.</v>
      </c>
      <c r="CT254" s="136" t="str">
        <f>IF($D254&lt;&gt;"Feature",".",
IF(VLOOKUP($B254,Feature_List!$A:$AM,MATCH(CT$1,  Feature_List!$A$1:$AM$1,0),0)=AL254,".","NO"))</f>
        <v>.</v>
      </c>
      <c r="CU254" s="136" t="str">
        <f>IF($D254&lt;&gt;"Feature",".",
IF(VLOOKUP($B254,Feature_List!$A:$AM,MATCH(CU$1,  Feature_List!$A$1:$AM$1,0),0)=AM254,".","NO"))</f>
        <v>.</v>
      </c>
      <c r="CV254" s="136" t="str">
        <f>IF($D254&lt;&gt;"Feature",".",
IF(VLOOKUP($B254,Feature_List!$A:$AM,MATCH(CV$1,  Feature_List!$A$1:$AM$1,0),0)=AN254,".","NO"))</f>
        <v>.</v>
      </c>
      <c r="CW254" s="136" t="str">
        <f>IF($D254&lt;&gt;"Feature",".",
IF(VLOOKUP($B254,Feature_List!$A:$AM,MATCH(CW$1,  Feature_List!$A$1:$AM$1,0),0)=AO254,".","NO"))</f>
        <v>.</v>
      </c>
      <c r="CX254" s="136" t="str">
        <f>IF($D254&lt;&gt;"Feature",".",
IF(VLOOKUP($B254,Feature_List!$A:$AM,MATCH(CX$1,  Feature_List!$A$1:$AM$1,0),0)=AP254,".","NO"))</f>
        <v>.</v>
      </c>
      <c r="CY254" s="136" t="str">
        <f>IF($D254&lt;&gt;"Feature",".",
IF(VLOOKUP($B254,Feature_List!$A:$AM,MATCH(CY$1,  Feature_List!$A$1:$AM$1,0),0)=AQ254,".","NO"))</f>
        <v>.</v>
      </c>
      <c r="CZ254" s="136" t="str">
        <f>IF($D254&lt;&gt;"Feature",".",
IF(VLOOKUP($B254,Feature_List!$A:$AM,MATCH(CZ$1,  Feature_List!$A$1:$AM$1,0),0)=AR254,".","NO"))</f>
        <v>.</v>
      </c>
      <c r="DA254" s="136" t="str">
        <f>IF($D254&lt;&gt;"Feature",".",
IF(VLOOKUP($B254,Feature_List!$A:$AM,MATCH(DA$1,  Feature_List!$A$1:$AM$1,0),0)=AS254,".","NO"))</f>
        <v>.</v>
      </c>
      <c r="DB254" s="136" t="str">
        <f>IF($D254&lt;&gt;"Feature",".",
IF(VLOOKUP($B254,Feature_List!$A:$AM,MATCH(DB$1,  Feature_List!$A$1:$AM$1,0),0)=AT254,".","NO"))</f>
        <v>.</v>
      </c>
      <c r="DC254" s="136" t="str">
        <f>IF($D254&lt;&gt;"Feature",".",
IF(VLOOKUP($B254,Feature_List!$A:$AM,MATCH(DC$1,  Feature_List!$A$1:$AM$1,0),0)=AU254,".","NO"))</f>
        <v>.</v>
      </c>
      <c r="DD254" s="136" t="str">
        <f>IF($D254&lt;&gt;"Feature",".",
IF(VLOOKUP($B254,Feature_List!$A:$AM,MATCH(DD$1,  Feature_List!$A$1:$AM$1,0),0)=AV254,".","NO"))</f>
        <v>.</v>
      </c>
      <c r="DE254" s="136" t="str">
        <f>IF($D254&lt;&gt;"Feature",".",
IF(VLOOKUP($B254,Feature_List!$A:$AM,MATCH(DE$1,  Feature_List!$A$1:$AM$1,0),0)=AW254,".","NO"))</f>
        <v>.</v>
      </c>
      <c r="DF254" s="136" t="str">
        <f>IF($D254&lt;&gt;"Feature",".",
IF(VLOOKUP($B254,Feature_List!$A:$AM,MATCH(DF$1,  Feature_List!$A$1:$AM$1,0),0)=AX254,".","NO"))</f>
        <v>.</v>
      </c>
      <c r="DG254" s="136" t="str">
        <f>IF($D254&lt;&gt;"Feature",".",
IF(VLOOKUP($B254,Feature_List!$A:$AM,MATCH(DG$1,  Feature_List!$A$1:$AM$1,0),0)=AY254,".","NO"))</f>
        <v>.</v>
      </c>
      <c r="DH254" s="136" t="str">
        <f>IF($D254&lt;&gt;"Feature",".",
IF(VLOOKUP($B254,Feature_List!$A:$AM,MATCH(DH$1,  Feature_List!$A$1:$AM$1,0),0)=AZ254,".","NO"))</f>
        <v>.</v>
      </c>
      <c r="DI254" s="136" t="str">
        <f>IF($D254&lt;&gt;"Feature",".",
IF(VLOOKUP($B254,Feature_List!$A:$AM,MATCH(DI$1,  Feature_List!$A$1:$AM$1,0),0)=BA254,".","NO"))</f>
        <v>.</v>
      </c>
      <c r="DJ254" s="136" t="str">
        <f>IF($D254&lt;&gt;"Feature",".",
IF(VLOOKUP($B254,Feature_List!$A:$AM,MATCH(DJ$1,  Feature_List!$A$1:$AM$1,0),0)=BB254,".","NO"))</f>
        <v>.</v>
      </c>
      <c r="DK254" s="136"/>
      <c r="DL254" s="136"/>
      <c r="DM254" s="136"/>
      <c r="DN254" s="136" t="str">
        <f>IF($D254&lt;&gt;"Feature",".",
IF(VLOOKUP($B254,Feature_List!$A:$AM,MATCH(DN$1,  Feature_List!$A$1:$AM$1,0),0)=BC254,".","NO"))</f>
        <v>.</v>
      </c>
      <c r="DO254" s="136" t="str">
        <f>IF($D254&lt;&gt;"Feature",".",
IF(VLOOKUP($B254,Feature_List!$A:$AM,MATCH(DO$1,  Feature_List!$A$1:$AM$1,0),0)=BD254,".","NO"))</f>
        <v>.</v>
      </c>
    </row>
    <row r="255" spans="2:119" x14ac:dyDescent="0.3">
      <c r="B255" s="121"/>
      <c r="C255" s="122"/>
      <c r="D255" s="122"/>
      <c r="E255" s="122"/>
      <c r="F255" s="123"/>
      <c r="G255" s="123"/>
      <c r="H255" s="122"/>
      <c r="I255" s="124"/>
      <c r="J255" s="123"/>
      <c r="K255" s="123"/>
      <c r="L255" s="122"/>
      <c r="M255" s="122"/>
      <c r="N255" s="122"/>
      <c r="O255" s="123">
        <f t="shared" si="112"/>
        <v>0</v>
      </c>
      <c r="P255" s="123">
        <f t="shared" si="113"/>
        <v>0</v>
      </c>
      <c r="Q255" s="122" t="str">
        <f t="shared" si="135"/>
        <v>ZeroEntry</v>
      </c>
      <c r="R255" s="126" t="str">
        <f t="shared" si="114"/>
        <v>ZeroEntry</v>
      </c>
      <c r="S255" s="127" t="str">
        <f t="shared" si="115"/>
        <v>ZeroEntry</v>
      </c>
      <c r="T255" s="128" t="str">
        <f>IF($Q255="ZeroEntry", "",VLOOKUP($I255,'Ranking Lookup'!#REF!,2,FALSE))</f>
        <v/>
      </c>
      <c r="U255" s="129" t="str">
        <f t="shared" si="116"/>
        <v/>
      </c>
      <c r="V255" s="129" t="str">
        <f t="shared" si="117"/>
        <v/>
      </c>
      <c r="W255" s="129" t="str">
        <f t="shared" si="118"/>
        <v/>
      </c>
      <c r="X255" s="129" t="str">
        <f t="shared" si="119"/>
        <v/>
      </c>
      <c r="Y255" s="129" t="str">
        <f t="shared" si="120"/>
        <v/>
      </c>
      <c r="Z255" s="129" t="str">
        <f t="shared" si="121"/>
        <v/>
      </c>
      <c r="AA255" s="130"/>
      <c r="AB255" s="130" t="str">
        <f t="shared" si="122"/>
        <v>Unassigned</v>
      </c>
      <c r="AC255" s="131" t="str">
        <f t="shared" si="136"/>
        <v/>
      </c>
      <c r="AD255" s="131" t="str">
        <f t="shared" si="137"/>
        <v/>
      </c>
      <c r="AE255" s="132">
        <f t="shared" si="123"/>
        <v>0</v>
      </c>
      <c r="AF255" s="133" t="str">
        <f t="shared" si="138"/>
        <v/>
      </c>
      <c r="AG255" s="134">
        <f t="shared" si="124"/>
        <v>0</v>
      </c>
      <c r="AH255" s="54" t="str">
        <f t="shared" si="125"/>
        <v/>
      </c>
      <c r="AI255" s="54" t="str">
        <f t="shared" si="147"/>
        <v/>
      </c>
      <c r="AJ255" s="54" t="str">
        <f t="shared" si="147"/>
        <v/>
      </c>
      <c r="AK255" s="54" t="str">
        <f t="shared" si="147"/>
        <v/>
      </c>
      <c r="AL255" s="54" t="str">
        <f t="shared" si="147"/>
        <v/>
      </c>
      <c r="AM255" s="54" t="str">
        <f t="shared" si="147"/>
        <v/>
      </c>
      <c r="AN255" s="54" t="str">
        <f t="shared" si="147"/>
        <v/>
      </c>
      <c r="AO255" s="54" t="str">
        <f t="shared" si="147"/>
        <v/>
      </c>
      <c r="AP255" s="54" t="str">
        <f t="shared" si="147"/>
        <v/>
      </c>
      <c r="AQ255" s="54" t="str">
        <f t="shared" si="147"/>
        <v/>
      </c>
      <c r="AR255" s="54" t="str">
        <f t="shared" si="147"/>
        <v/>
      </c>
      <c r="AS255" s="54" t="str">
        <f t="shared" si="147"/>
        <v/>
      </c>
      <c r="AT255" s="54" t="str">
        <f t="shared" si="147"/>
        <v/>
      </c>
      <c r="AU255" s="54" t="str">
        <f t="shared" si="147"/>
        <v/>
      </c>
      <c r="AV255" s="54" t="str">
        <f t="shared" si="147"/>
        <v/>
      </c>
      <c r="AW255" s="54" t="str">
        <f t="shared" si="147"/>
        <v/>
      </c>
      <c r="AX255" s="54" t="str">
        <f t="shared" si="147"/>
        <v/>
      </c>
      <c r="AY255" s="54" t="str">
        <f t="shared" si="139"/>
        <v/>
      </c>
      <c r="AZ255" s="54" t="str">
        <f t="shared" si="128"/>
        <v/>
      </c>
      <c r="BA255" s="54" t="str">
        <f t="shared" si="129"/>
        <v/>
      </c>
      <c r="BB255" s="135" t="str">
        <f t="shared" si="130"/>
        <v/>
      </c>
      <c r="BC255" s="54" t="str">
        <f t="shared" si="148"/>
        <v/>
      </c>
      <c r="BD255" s="54" t="str">
        <f t="shared" si="148"/>
        <v/>
      </c>
      <c r="BE255" s="54" t="str">
        <f t="shared" si="148"/>
        <v/>
      </c>
      <c r="BF255" s="54" t="str">
        <f t="shared" si="131"/>
        <v/>
      </c>
      <c r="BG255" s="54" t="str">
        <f t="shared" si="132"/>
        <v/>
      </c>
      <c r="BH255" s="34" t="str">
        <f t="shared" si="133"/>
        <v>Bad</v>
      </c>
      <c r="BI255" s="34" t="str">
        <f t="shared" si="134"/>
        <v>No</v>
      </c>
      <c r="BJ255" s="136" t="str">
        <f>IF($D255&lt;&gt;"Feature",".",
IF(VLOOKUP($B255,Feature_List!$A:$AM,MATCH(BJ$1,  Feature_List!$A$1:$AM$1,0),0)=B255,".","NO"))</f>
        <v>.</v>
      </c>
      <c r="BK255" s="136"/>
      <c r="BL255" s="136"/>
      <c r="BM255" s="136" t="str">
        <f>IF($D255&lt;&gt;"Feature",".",
IF(VLOOKUP($B255,Feature_List!$A:$AM,MATCH(BM$1,  Feature_List!$A$1:$AM$1,0),0)=E255,".","NO"))</f>
        <v>.</v>
      </c>
      <c r="BN255" s="136" t="str">
        <f>IF($D255&lt;&gt;"Feature",".",
IF(VLOOKUP($B255,Feature_List!$A:$AM,MATCH(BN$1,  Feature_List!$A$1:$AM$1,0),0)=F255,".","NO"))</f>
        <v>.</v>
      </c>
      <c r="BO255" s="136" t="str">
        <f>IF($D255&lt;&gt;"Feature",".",
IF(VLOOKUP($B255,Feature_List!$A:$AM,MATCH(BO$1,  Feature_List!$A$1:$AM$1,0),0)=G255,".","NO"))</f>
        <v>.</v>
      </c>
      <c r="BP255" s="136" t="str">
        <f>IF($D255&lt;&gt;"Feature",".",
IF(VLOOKUP($B255,Feature_List!$A:$AM,MATCH(BP$1,  Feature_List!$A$1:$AM$1,0),0)=H255,".","NO"))</f>
        <v>.</v>
      </c>
      <c r="BQ255" s="136"/>
      <c r="BR255" s="136" t="str">
        <f>IF($D255&lt;&gt;"Feature",".",
IF(VLOOKUP($B255,Feature_List!$A:$AM,MATCH(BR$1,  Feature_List!$A$1:$AM$1,0),0)=J255,".","NO"))</f>
        <v>.</v>
      </c>
      <c r="BS255" s="136"/>
      <c r="BT255" s="136"/>
      <c r="BU255" s="136" t="str">
        <f>IF($D255&lt;&gt;"Feature",".",
IF(VLOOKUP($B255,Feature_List!$A:$AM,MATCH(BU$1,  Feature_List!$A$1:$AM$1,0),0)=M255,".","NO"))</f>
        <v>.</v>
      </c>
      <c r="BV255" s="136" t="str">
        <f>IF($D255&lt;&gt;"Feature",".",
IF(VLOOKUP($B255,Feature_List!$A:$AM,MATCH(BV$1,  Feature_List!$A$1:$AM$1,0),0)=N255,".","NO"))</f>
        <v>.</v>
      </c>
      <c r="BW255" s="136"/>
      <c r="BX255" s="136"/>
      <c r="BY255" s="136"/>
      <c r="BZ255" s="136"/>
      <c r="CA255" s="136"/>
      <c r="CB255" s="136" t="str">
        <f>IF($D255&lt;&gt;"Feature",".",
IF(VLOOKUP($B255,Feature_List!$A:$AM,MATCH(CB$1,  Feature_List!$A$1:$AM$1,0),0)=T255,".","NO"))</f>
        <v>.</v>
      </c>
      <c r="CC255" s="136"/>
      <c r="CD255" s="136"/>
      <c r="CE255" s="136"/>
      <c r="CF255" s="136"/>
      <c r="CG255" s="136"/>
      <c r="CH255" s="136"/>
      <c r="CI255" s="136"/>
      <c r="CJ255" s="136"/>
      <c r="CK255" s="136"/>
      <c r="CL255" s="136"/>
      <c r="CM255" s="136"/>
      <c r="CN255" s="136"/>
      <c r="CO255" s="136" t="str">
        <f>IF($D255&lt;&gt;"Feature",".",
IF(VLOOKUP($B255,Feature_List!$A:$AM,MATCH(CO$1,  Feature_List!$A$1:$AM$1,0),0)=AG255,".","NO"))</f>
        <v>.</v>
      </c>
      <c r="CP255" s="136" t="str">
        <f>IF($D255&lt;&gt;"Feature",".",
IF(VLOOKUP($B255,Feature_List!$A:$AM,MATCH(CP$1,  Feature_List!$A$1:$AM$1,0),0)=AH255,".","NO"))</f>
        <v>.</v>
      </c>
      <c r="CQ255" s="136" t="str">
        <f>IF($D255&lt;&gt;"Feature",".",
IF(VLOOKUP($B255,Feature_List!$A:$AM,MATCH(CQ$1,  Feature_List!$A$1:$AM$1,0),0)=AI255,".","NO"))</f>
        <v>.</v>
      </c>
      <c r="CR255" s="136" t="str">
        <f>IF($D255&lt;&gt;"Feature",".",
IF(VLOOKUP($B255,Feature_List!$A:$AM,MATCH(CR$1,  Feature_List!$A$1:$AM$1,0),0)=AJ255,".","NO"))</f>
        <v>.</v>
      </c>
      <c r="CS255" s="136" t="str">
        <f>IF($D255&lt;&gt;"Feature",".",
IF(VLOOKUP($B255,Feature_List!$A:$AM,MATCH(CS$1,  Feature_List!$A$1:$AM$1,0),0)=AK255,".","NO"))</f>
        <v>.</v>
      </c>
      <c r="CT255" s="136" t="str">
        <f>IF($D255&lt;&gt;"Feature",".",
IF(VLOOKUP($B255,Feature_List!$A:$AM,MATCH(CT$1,  Feature_List!$A$1:$AM$1,0),0)=AL255,".","NO"))</f>
        <v>.</v>
      </c>
      <c r="CU255" s="136" t="str">
        <f>IF($D255&lt;&gt;"Feature",".",
IF(VLOOKUP($B255,Feature_List!$A:$AM,MATCH(CU$1,  Feature_List!$A$1:$AM$1,0),0)=AM255,".","NO"))</f>
        <v>.</v>
      </c>
      <c r="CV255" s="136" t="str">
        <f>IF($D255&lt;&gt;"Feature",".",
IF(VLOOKUP($B255,Feature_List!$A:$AM,MATCH(CV$1,  Feature_List!$A$1:$AM$1,0),0)=AN255,".","NO"))</f>
        <v>.</v>
      </c>
      <c r="CW255" s="136" t="str">
        <f>IF($D255&lt;&gt;"Feature",".",
IF(VLOOKUP($B255,Feature_List!$A:$AM,MATCH(CW$1,  Feature_List!$A$1:$AM$1,0),0)=AO255,".","NO"))</f>
        <v>.</v>
      </c>
      <c r="CX255" s="136" t="str">
        <f>IF($D255&lt;&gt;"Feature",".",
IF(VLOOKUP($B255,Feature_List!$A:$AM,MATCH(CX$1,  Feature_List!$A$1:$AM$1,0),0)=AP255,".","NO"))</f>
        <v>.</v>
      </c>
      <c r="CY255" s="136" t="str">
        <f>IF($D255&lt;&gt;"Feature",".",
IF(VLOOKUP($B255,Feature_List!$A:$AM,MATCH(CY$1,  Feature_List!$A$1:$AM$1,0),0)=AQ255,".","NO"))</f>
        <v>.</v>
      </c>
      <c r="CZ255" s="136" t="str">
        <f>IF($D255&lt;&gt;"Feature",".",
IF(VLOOKUP($B255,Feature_List!$A:$AM,MATCH(CZ$1,  Feature_List!$A$1:$AM$1,0),0)=AR255,".","NO"))</f>
        <v>.</v>
      </c>
      <c r="DA255" s="136" t="str">
        <f>IF($D255&lt;&gt;"Feature",".",
IF(VLOOKUP($B255,Feature_List!$A:$AM,MATCH(DA$1,  Feature_List!$A$1:$AM$1,0),0)=AS255,".","NO"))</f>
        <v>.</v>
      </c>
      <c r="DB255" s="136" t="str">
        <f>IF($D255&lt;&gt;"Feature",".",
IF(VLOOKUP($B255,Feature_List!$A:$AM,MATCH(DB$1,  Feature_List!$A$1:$AM$1,0),0)=AT255,".","NO"))</f>
        <v>.</v>
      </c>
      <c r="DC255" s="136" t="str">
        <f>IF($D255&lt;&gt;"Feature",".",
IF(VLOOKUP($B255,Feature_List!$A:$AM,MATCH(DC$1,  Feature_List!$A$1:$AM$1,0),0)=AU255,".","NO"))</f>
        <v>.</v>
      </c>
      <c r="DD255" s="136" t="str">
        <f>IF($D255&lt;&gt;"Feature",".",
IF(VLOOKUP($B255,Feature_List!$A:$AM,MATCH(DD$1,  Feature_List!$A$1:$AM$1,0),0)=AV255,".","NO"))</f>
        <v>.</v>
      </c>
      <c r="DE255" s="136" t="str">
        <f>IF($D255&lt;&gt;"Feature",".",
IF(VLOOKUP($B255,Feature_List!$A:$AM,MATCH(DE$1,  Feature_List!$A$1:$AM$1,0),0)=AW255,".","NO"))</f>
        <v>.</v>
      </c>
      <c r="DF255" s="136" t="str">
        <f>IF($D255&lt;&gt;"Feature",".",
IF(VLOOKUP($B255,Feature_List!$A:$AM,MATCH(DF$1,  Feature_List!$A$1:$AM$1,0),0)=AX255,".","NO"))</f>
        <v>.</v>
      </c>
      <c r="DG255" s="136" t="str">
        <f>IF($D255&lt;&gt;"Feature",".",
IF(VLOOKUP($B255,Feature_List!$A:$AM,MATCH(DG$1,  Feature_List!$A$1:$AM$1,0),0)=AY255,".","NO"))</f>
        <v>.</v>
      </c>
      <c r="DH255" s="136" t="str">
        <f>IF($D255&lt;&gt;"Feature",".",
IF(VLOOKUP($B255,Feature_List!$A:$AM,MATCH(DH$1,  Feature_List!$A$1:$AM$1,0),0)=AZ255,".","NO"))</f>
        <v>.</v>
      </c>
      <c r="DI255" s="136" t="str">
        <f>IF($D255&lt;&gt;"Feature",".",
IF(VLOOKUP($B255,Feature_List!$A:$AM,MATCH(DI$1,  Feature_List!$A$1:$AM$1,0),0)=BA255,".","NO"))</f>
        <v>.</v>
      </c>
      <c r="DJ255" s="136" t="str">
        <f>IF($D255&lt;&gt;"Feature",".",
IF(VLOOKUP($B255,Feature_List!$A:$AM,MATCH(DJ$1,  Feature_List!$A$1:$AM$1,0),0)=BB255,".","NO"))</f>
        <v>.</v>
      </c>
      <c r="DK255" s="136"/>
      <c r="DL255" s="136"/>
      <c r="DM255" s="136"/>
      <c r="DN255" s="136" t="str">
        <f>IF($D255&lt;&gt;"Feature",".",
IF(VLOOKUP($B255,Feature_List!$A:$AM,MATCH(DN$1,  Feature_List!$A$1:$AM$1,0),0)=BC255,".","NO"))</f>
        <v>.</v>
      </c>
      <c r="DO255" s="136" t="str">
        <f>IF($D255&lt;&gt;"Feature",".",
IF(VLOOKUP($B255,Feature_List!$A:$AM,MATCH(DO$1,  Feature_List!$A$1:$AM$1,0),0)=BD255,".","NO"))</f>
        <v>.</v>
      </c>
    </row>
    <row r="256" spans="2:119" x14ac:dyDescent="0.3">
      <c r="B256" s="121"/>
      <c r="C256" s="122"/>
      <c r="D256" s="122"/>
      <c r="E256" s="122"/>
      <c r="F256" s="123"/>
      <c r="G256" s="123"/>
      <c r="H256" s="122"/>
      <c r="I256" s="124"/>
      <c r="J256" s="123"/>
      <c r="K256" s="123"/>
      <c r="L256" s="122"/>
      <c r="M256" s="122"/>
      <c r="N256" s="122"/>
      <c r="O256" s="123">
        <f t="shared" si="112"/>
        <v>0</v>
      </c>
      <c r="P256" s="123">
        <f t="shared" si="113"/>
        <v>0</v>
      </c>
      <c r="Q256" s="122" t="str">
        <f t="shared" si="135"/>
        <v>ZeroEntry</v>
      </c>
      <c r="R256" s="126" t="str">
        <f t="shared" si="114"/>
        <v>ZeroEntry</v>
      </c>
      <c r="S256" s="127" t="str">
        <f t="shared" si="115"/>
        <v>ZeroEntry</v>
      </c>
      <c r="T256" s="128" t="str">
        <f>IF($Q256="ZeroEntry", "",VLOOKUP($I256,'Ranking Lookup'!#REF!,2,FALSE))</f>
        <v/>
      </c>
      <c r="U256" s="129" t="str">
        <f t="shared" si="116"/>
        <v/>
      </c>
      <c r="V256" s="129" t="str">
        <f t="shared" si="117"/>
        <v/>
      </c>
      <c r="W256" s="129" t="str">
        <f t="shared" si="118"/>
        <v/>
      </c>
      <c r="X256" s="129" t="str">
        <f t="shared" si="119"/>
        <v/>
      </c>
      <c r="Y256" s="129" t="str">
        <f t="shared" si="120"/>
        <v/>
      </c>
      <c r="Z256" s="129" t="str">
        <f t="shared" si="121"/>
        <v/>
      </c>
      <c r="AA256" s="130"/>
      <c r="AB256" s="130" t="str">
        <f t="shared" si="122"/>
        <v>Unassigned</v>
      </c>
      <c r="AC256" s="131" t="str">
        <f t="shared" si="136"/>
        <v/>
      </c>
      <c r="AD256" s="131" t="str">
        <f t="shared" si="137"/>
        <v/>
      </c>
      <c r="AE256" s="132">
        <f t="shared" si="123"/>
        <v>0</v>
      </c>
      <c r="AF256" s="133" t="str">
        <f t="shared" si="138"/>
        <v/>
      </c>
      <c r="AG256" s="134">
        <f t="shared" si="124"/>
        <v>0</v>
      </c>
      <c r="AH256" s="54" t="str">
        <f t="shared" si="125"/>
        <v/>
      </c>
      <c r="AI256" s="54" t="str">
        <f t="shared" si="147"/>
        <v/>
      </c>
      <c r="AJ256" s="54" t="str">
        <f t="shared" si="147"/>
        <v/>
      </c>
      <c r="AK256" s="54" t="str">
        <f t="shared" si="147"/>
        <v/>
      </c>
      <c r="AL256" s="54" t="str">
        <f t="shared" si="147"/>
        <v/>
      </c>
      <c r="AM256" s="54" t="str">
        <f t="shared" si="147"/>
        <v/>
      </c>
      <c r="AN256" s="54" t="str">
        <f t="shared" si="147"/>
        <v/>
      </c>
      <c r="AO256" s="54" t="str">
        <f t="shared" si="147"/>
        <v/>
      </c>
      <c r="AP256" s="54" t="str">
        <f t="shared" si="147"/>
        <v/>
      </c>
      <c r="AQ256" s="54" t="str">
        <f t="shared" si="147"/>
        <v/>
      </c>
      <c r="AR256" s="54" t="str">
        <f t="shared" si="147"/>
        <v/>
      </c>
      <c r="AS256" s="54" t="str">
        <f t="shared" si="147"/>
        <v/>
      </c>
      <c r="AT256" s="54" t="str">
        <f t="shared" si="147"/>
        <v/>
      </c>
      <c r="AU256" s="54" t="str">
        <f t="shared" si="147"/>
        <v/>
      </c>
      <c r="AV256" s="54" t="str">
        <f t="shared" si="147"/>
        <v/>
      </c>
      <c r="AW256" s="54" t="str">
        <f t="shared" si="147"/>
        <v/>
      </c>
      <c r="AX256" s="54" t="str">
        <f t="shared" si="147"/>
        <v/>
      </c>
      <c r="AY256" s="54" t="str">
        <f t="shared" si="139"/>
        <v/>
      </c>
      <c r="AZ256" s="54" t="str">
        <f t="shared" si="128"/>
        <v/>
      </c>
      <c r="BA256" s="54" t="str">
        <f t="shared" si="129"/>
        <v/>
      </c>
      <c r="BB256" s="135" t="str">
        <f t="shared" si="130"/>
        <v/>
      </c>
      <c r="BC256" s="54" t="str">
        <f t="shared" si="148"/>
        <v/>
      </c>
      <c r="BD256" s="54" t="str">
        <f t="shared" si="148"/>
        <v/>
      </c>
      <c r="BE256" s="54" t="str">
        <f t="shared" si="148"/>
        <v/>
      </c>
      <c r="BF256" s="54" t="str">
        <f t="shared" si="131"/>
        <v/>
      </c>
      <c r="BG256" s="54" t="str">
        <f t="shared" si="132"/>
        <v/>
      </c>
      <c r="BH256" s="34" t="str">
        <f t="shared" si="133"/>
        <v>Bad</v>
      </c>
      <c r="BI256" s="34" t="str">
        <f t="shared" si="134"/>
        <v>No</v>
      </c>
      <c r="BJ256" s="136" t="str">
        <f>IF($D256&lt;&gt;"Feature",".",
IF(VLOOKUP($B256,Feature_List!$A:$AM,MATCH(BJ$1,  Feature_List!$A$1:$AM$1,0),0)=B256,".","NO"))</f>
        <v>.</v>
      </c>
      <c r="BK256" s="136"/>
      <c r="BL256" s="136"/>
      <c r="BM256" s="136" t="str">
        <f>IF($D256&lt;&gt;"Feature",".",
IF(VLOOKUP($B256,Feature_List!$A:$AM,MATCH(BM$1,  Feature_List!$A$1:$AM$1,0),0)=E256,".","NO"))</f>
        <v>.</v>
      </c>
      <c r="BN256" s="136" t="str">
        <f>IF($D256&lt;&gt;"Feature",".",
IF(VLOOKUP($B256,Feature_List!$A:$AM,MATCH(BN$1,  Feature_List!$A$1:$AM$1,0),0)=F256,".","NO"))</f>
        <v>.</v>
      </c>
      <c r="BO256" s="136" t="str">
        <f>IF($D256&lt;&gt;"Feature",".",
IF(VLOOKUP($B256,Feature_List!$A:$AM,MATCH(BO$1,  Feature_List!$A$1:$AM$1,0),0)=G256,".","NO"))</f>
        <v>.</v>
      </c>
      <c r="BP256" s="136" t="str">
        <f>IF($D256&lt;&gt;"Feature",".",
IF(VLOOKUP($B256,Feature_List!$A:$AM,MATCH(BP$1,  Feature_List!$A$1:$AM$1,0),0)=H256,".","NO"))</f>
        <v>.</v>
      </c>
      <c r="BQ256" s="136"/>
      <c r="BR256" s="136" t="str">
        <f>IF($D256&lt;&gt;"Feature",".",
IF(VLOOKUP($B256,Feature_List!$A:$AM,MATCH(BR$1,  Feature_List!$A$1:$AM$1,0),0)=J256,".","NO"))</f>
        <v>.</v>
      </c>
      <c r="BS256" s="136"/>
      <c r="BT256" s="136"/>
      <c r="BU256" s="136" t="str">
        <f>IF($D256&lt;&gt;"Feature",".",
IF(VLOOKUP($B256,Feature_List!$A:$AM,MATCH(BU$1,  Feature_List!$A$1:$AM$1,0),0)=M256,".","NO"))</f>
        <v>.</v>
      </c>
      <c r="BV256" s="136" t="str">
        <f>IF($D256&lt;&gt;"Feature",".",
IF(VLOOKUP($B256,Feature_List!$A:$AM,MATCH(BV$1,  Feature_List!$A$1:$AM$1,0),0)=N256,".","NO"))</f>
        <v>.</v>
      </c>
      <c r="BW256" s="136"/>
      <c r="BX256" s="136"/>
      <c r="BY256" s="136"/>
      <c r="BZ256" s="136"/>
      <c r="CA256" s="136"/>
      <c r="CB256" s="136" t="str">
        <f>IF($D256&lt;&gt;"Feature",".",
IF(VLOOKUP($B256,Feature_List!$A:$AM,MATCH(CB$1,  Feature_List!$A$1:$AM$1,0),0)=T256,".","NO"))</f>
        <v>.</v>
      </c>
      <c r="CC256" s="136"/>
      <c r="CD256" s="136"/>
      <c r="CE256" s="136"/>
      <c r="CF256" s="136"/>
      <c r="CG256" s="136"/>
      <c r="CH256" s="136"/>
      <c r="CI256" s="136"/>
      <c r="CJ256" s="136"/>
      <c r="CK256" s="136"/>
      <c r="CL256" s="136"/>
      <c r="CM256" s="136"/>
      <c r="CN256" s="136"/>
      <c r="CO256" s="136" t="str">
        <f>IF($D256&lt;&gt;"Feature",".",
IF(VLOOKUP($B256,Feature_List!$A:$AM,MATCH(CO$1,  Feature_List!$A$1:$AM$1,0),0)=AG256,".","NO"))</f>
        <v>.</v>
      </c>
      <c r="CP256" s="136" t="str">
        <f>IF($D256&lt;&gt;"Feature",".",
IF(VLOOKUP($B256,Feature_List!$A:$AM,MATCH(CP$1,  Feature_List!$A$1:$AM$1,0),0)=AH256,".","NO"))</f>
        <v>.</v>
      </c>
      <c r="CQ256" s="136" t="str">
        <f>IF($D256&lt;&gt;"Feature",".",
IF(VLOOKUP($B256,Feature_List!$A:$AM,MATCH(CQ$1,  Feature_List!$A$1:$AM$1,0),0)=AI256,".","NO"))</f>
        <v>.</v>
      </c>
      <c r="CR256" s="136" t="str">
        <f>IF($D256&lt;&gt;"Feature",".",
IF(VLOOKUP($B256,Feature_List!$A:$AM,MATCH(CR$1,  Feature_List!$A$1:$AM$1,0),0)=AJ256,".","NO"))</f>
        <v>.</v>
      </c>
      <c r="CS256" s="136" t="str">
        <f>IF($D256&lt;&gt;"Feature",".",
IF(VLOOKUP($B256,Feature_List!$A:$AM,MATCH(CS$1,  Feature_List!$A$1:$AM$1,0),0)=AK256,".","NO"))</f>
        <v>.</v>
      </c>
      <c r="CT256" s="136" t="str">
        <f>IF($D256&lt;&gt;"Feature",".",
IF(VLOOKUP($B256,Feature_List!$A:$AM,MATCH(CT$1,  Feature_List!$A$1:$AM$1,0),0)=AL256,".","NO"))</f>
        <v>.</v>
      </c>
      <c r="CU256" s="136" t="str">
        <f>IF($D256&lt;&gt;"Feature",".",
IF(VLOOKUP($B256,Feature_List!$A:$AM,MATCH(CU$1,  Feature_List!$A$1:$AM$1,0),0)=AM256,".","NO"))</f>
        <v>.</v>
      </c>
      <c r="CV256" s="136" t="str">
        <f>IF($D256&lt;&gt;"Feature",".",
IF(VLOOKUP($B256,Feature_List!$A:$AM,MATCH(CV$1,  Feature_List!$A$1:$AM$1,0),0)=AN256,".","NO"))</f>
        <v>.</v>
      </c>
      <c r="CW256" s="136" t="str">
        <f>IF($D256&lt;&gt;"Feature",".",
IF(VLOOKUP($B256,Feature_List!$A:$AM,MATCH(CW$1,  Feature_List!$A$1:$AM$1,0),0)=AO256,".","NO"))</f>
        <v>.</v>
      </c>
      <c r="CX256" s="136" t="str">
        <f>IF($D256&lt;&gt;"Feature",".",
IF(VLOOKUP($B256,Feature_List!$A:$AM,MATCH(CX$1,  Feature_List!$A$1:$AM$1,0),0)=AP256,".","NO"))</f>
        <v>.</v>
      </c>
      <c r="CY256" s="136" t="str">
        <f>IF($D256&lt;&gt;"Feature",".",
IF(VLOOKUP($B256,Feature_List!$A:$AM,MATCH(CY$1,  Feature_List!$A$1:$AM$1,0),0)=AQ256,".","NO"))</f>
        <v>.</v>
      </c>
      <c r="CZ256" s="136" t="str">
        <f>IF($D256&lt;&gt;"Feature",".",
IF(VLOOKUP($B256,Feature_List!$A:$AM,MATCH(CZ$1,  Feature_List!$A$1:$AM$1,0),0)=AR256,".","NO"))</f>
        <v>.</v>
      </c>
      <c r="DA256" s="136" t="str">
        <f>IF($D256&lt;&gt;"Feature",".",
IF(VLOOKUP($B256,Feature_List!$A:$AM,MATCH(DA$1,  Feature_List!$A$1:$AM$1,0),0)=AS256,".","NO"))</f>
        <v>.</v>
      </c>
      <c r="DB256" s="136" t="str">
        <f>IF($D256&lt;&gt;"Feature",".",
IF(VLOOKUP($B256,Feature_List!$A:$AM,MATCH(DB$1,  Feature_List!$A$1:$AM$1,0),0)=AT256,".","NO"))</f>
        <v>.</v>
      </c>
      <c r="DC256" s="136" t="str">
        <f>IF($D256&lt;&gt;"Feature",".",
IF(VLOOKUP($B256,Feature_List!$A:$AM,MATCH(DC$1,  Feature_List!$A$1:$AM$1,0),0)=AU256,".","NO"))</f>
        <v>.</v>
      </c>
      <c r="DD256" s="136" t="str">
        <f>IF($D256&lt;&gt;"Feature",".",
IF(VLOOKUP($B256,Feature_List!$A:$AM,MATCH(DD$1,  Feature_List!$A$1:$AM$1,0),0)=AV256,".","NO"))</f>
        <v>.</v>
      </c>
      <c r="DE256" s="136" t="str">
        <f>IF($D256&lt;&gt;"Feature",".",
IF(VLOOKUP($B256,Feature_List!$A:$AM,MATCH(DE$1,  Feature_List!$A$1:$AM$1,0),0)=AW256,".","NO"))</f>
        <v>.</v>
      </c>
      <c r="DF256" s="136" t="str">
        <f>IF($D256&lt;&gt;"Feature",".",
IF(VLOOKUP($B256,Feature_List!$A:$AM,MATCH(DF$1,  Feature_List!$A$1:$AM$1,0),0)=AX256,".","NO"))</f>
        <v>.</v>
      </c>
      <c r="DG256" s="136" t="str">
        <f>IF($D256&lt;&gt;"Feature",".",
IF(VLOOKUP($B256,Feature_List!$A:$AM,MATCH(DG$1,  Feature_List!$A$1:$AM$1,0),0)=AY256,".","NO"))</f>
        <v>.</v>
      </c>
      <c r="DH256" s="136" t="str">
        <f>IF($D256&lt;&gt;"Feature",".",
IF(VLOOKUP($B256,Feature_List!$A:$AM,MATCH(DH$1,  Feature_List!$A$1:$AM$1,0),0)=AZ256,".","NO"))</f>
        <v>.</v>
      </c>
      <c r="DI256" s="136" t="str">
        <f>IF($D256&lt;&gt;"Feature",".",
IF(VLOOKUP($B256,Feature_List!$A:$AM,MATCH(DI$1,  Feature_List!$A$1:$AM$1,0),0)=BA256,".","NO"))</f>
        <v>.</v>
      </c>
      <c r="DJ256" s="136" t="str">
        <f>IF($D256&lt;&gt;"Feature",".",
IF(VLOOKUP($B256,Feature_List!$A:$AM,MATCH(DJ$1,  Feature_List!$A$1:$AM$1,0),0)=BB256,".","NO"))</f>
        <v>.</v>
      </c>
      <c r="DK256" s="136"/>
      <c r="DL256" s="136"/>
      <c r="DM256" s="136"/>
      <c r="DN256" s="136" t="str">
        <f>IF($D256&lt;&gt;"Feature",".",
IF(VLOOKUP($B256,Feature_List!$A:$AM,MATCH(DN$1,  Feature_List!$A$1:$AM$1,0),0)=BC256,".","NO"))</f>
        <v>.</v>
      </c>
      <c r="DO256" s="136" t="str">
        <f>IF($D256&lt;&gt;"Feature",".",
IF(VLOOKUP($B256,Feature_List!$A:$AM,MATCH(DO$1,  Feature_List!$A$1:$AM$1,0),0)=BD256,".","NO"))</f>
        <v>.</v>
      </c>
    </row>
    <row r="257" spans="2:119" x14ac:dyDescent="0.3">
      <c r="B257" s="121"/>
      <c r="C257" s="122"/>
      <c r="D257" s="122"/>
      <c r="E257" s="122"/>
      <c r="F257" s="123"/>
      <c r="G257" s="123"/>
      <c r="H257" s="122"/>
      <c r="I257" s="124"/>
      <c r="J257" s="123"/>
      <c r="K257" s="123"/>
      <c r="L257" s="122"/>
      <c r="M257" s="122"/>
      <c r="N257" s="122"/>
      <c r="O257" s="123">
        <f t="shared" si="112"/>
        <v>0</v>
      </c>
      <c r="P257" s="123">
        <f t="shared" si="113"/>
        <v>0</v>
      </c>
      <c r="Q257" s="122" t="str">
        <f t="shared" si="135"/>
        <v>ZeroEntry</v>
      </c>
      <c r="R257" s="126" t="str">
        <f t="shared" si="114"/>
        <v>ZeroEntry</v>
      </c>
      <c r="S257" s="127" t="str">
        <f t="shared" si="115"/>
        <v>ZeroEntry</v>
      </c>
      <c r="T257" s="128" t="str">
        <f>IF($Q257="ZeroEntry", "",VLOOKUP($I257,'Ranking Lookup'!#REF!,2,FALSE))</f>
        <v/>
      </c>
      <c r="U257" s="129" t="str">
        <f t="shared" si="116"/>
        <v/>
      </c>
      <c r="V257" s="129" t="str">
        <f t="shared" si="117"/>
        <v/>
      </c>
      <c r="W257" s="129" t="str">
        <f t="shared" si="118"/>
        <v/>
      </c>
      <c r="X257" s="129" t="str">
        <f t="shared" si="119"/>
        <v/>
      </c>
      <c r="Y257" s="129" t="str">
        <f t="shared" si="120"/>
        <v/>
      </c>
      <c r="Z257" s="129" t="str">
        <f t="shared" si="121"/>
        <v/>
      </c>
      <c r="AA257" s="130"/>
      <c r="AB257" s="130" t="str">
        <f t="shared" si="122"/>
        <v>Unassigned</v>
      </c>
      <c r="AC257" s="131" t="str">
        <f t="shared" si="136"/>
        <v/>
      </c>
      <c r="AD257" s="131" t="str">
        <f t="shared" si="137"/>
        <v/>
      </c>
      <c r="AE257" s="132">
        <f t="shared" si="123"/>
        <v>0</v>
      </c>
      <c r="AF257" s="133" t="str">
        <f t="shared" si="138"/>
        <v/>
      </c>
      <c r="AG257" s="134">
        <f t="shared" si="124"/>
        <v>0</v>
      </c>
      <c r="AH257" s="54" t="str">
        <f t="shared" si="125"/>
        <v/>
      </c>
      <c r="AI257" s="54" t="str">
        <f t="shared" si="147"/>
        <v/>
      </c>
      <c r="AJ257" s="54" t="str">
        <f t="shared" si="147"/>
        <v/>
      </c>
      <c r="AK257" s="54" t="str">
        <f t="shared" si="147"/>
        <v/>
      </c>
      <c r="AL257" s="54" t="str">
        <f t="shared" si="147"/>
        <v/>
      </c>
      <c r="AM257" s="54" t="str">
        <f t="shared" si="147"/>
        <v/>
      </c>
      <c r="AN257" s="54" t="str">
        <f t="shared" si="147"/>
        <v/>
      </c>
      <c r="AO257" s="54" t="str">
        <f t="shared" si="147"/>
        <v/>
      </c>
      <c r="AP257" s="54" t="str">
        <f t="shared" si="147"/>
        <v/>
      </c>
      <c r="AQ257" s="54" t="str">
        <f t="shared" si="147"/>
        <v/>
      </c>
      <c r="AR257" s="54" t="str">
        <f t="shared" si="147"/>
        <v/>
      </c>
      <c r="AS257" s="54" t="str">
        <f t="shared" si="147"/>
        <v/>
      </c>
      <c r="AT257" s="54" t="str">
        <f t="shared" si="147"/>
        <v/>
      </c>
      <c r="AU257" s="54" t="str">
        <f t="shared" si="147"/>
        <v/>
      </c>
      <c r="AV257" s="54" t="str">
        <f t="shared" si="147"/>
        <v/>
      </c>
      <c r="AW257" s="54" t="str">
        <f t="shared" si="147"/>
        <v/>
      </c>
      <c r="AX257" s="54" t="str">
        <f t="shared" ref="AX257" si="149">IF(AND($Q257="Feature",LEFT($AB257,2)="PI"),
IF(AND(COUNTIF($R:$R,$B257)=1,$T257=AX$1), IF($AB257=$A$10,$AF257,0),
IF(OR($AD257&lt;1,RIGHT($G257,8)="Progress",$AH257&gt;0),SUMIFS($O:$O,$R:$R,$B257,$T:$T,AX$1,$P:$P,"&lt;&gt;Done",$AB:$AB,$A$10),
IF($T257=AX$1,IF($AB257=$A$10,$AD257,0)+SUMIFS($O:$O,$R:$R,$B257,$T:$T,AX$1,$P:$P,"&lt;&gt;Done",$AB:$AB,$A$10),SUMIFS($O:$O,$R:$R,$B257,$T:$T,AX$1,$P:$P,"&lt;&gt;Done",$AB:$AB,$A$10)))),
IF(AND(OR($Q257="Story",$Q257="Problem",$Q257="Enhancement"),$AB257=$A$10,$R257=0,$T257=AX$1,$P257&lt;&gt;"Done"),$O257,""))</f>
        <v/>
      </c>
      <c r="AY257" s="54" t="str">
        <f t="shared" si="139"/>
        <v/>
      </c>
      <c r="AZ257" s="54" t="str">
        <f t="shared" si="128"/>
        <v/>
      </c>
      <c r="BA257" s="54" t="str">
        <f t="shared" si="129"/>
        <v/>
      </c>
      <c r="BB257" s="135" t="str">
        <f t="shared" si="130"/>
        <v/>
      </c>
      <c r="BC257" s="54" t="str">
        <f t="shared" si="148"/>
        <v/>
      </c>
      <c r="BD257" s="54" t="str">
        <f t="shared" si="148"/>
        <v/>
      </c>
      <c r="BE257" s="54" t="str">
        <f t="shared" si="148"/>
        <v/>
      </c>
      <c r="BF257" s="54" t="str">
        <f t="shared" si="131"/>
        <v/>
      </c>
      <c r="BG257" s="54" t="str">
        <f t="shared" si="132"/>
        <v/>
      </c>
      <c r="BH257" s="34" t="str">
        <f t="shared" si="133"/>
        <v>Bad</v>
      </c>
      <c r="BI257" s="34" t="str">
        <f t="shared" si="134"/>
        <v>No</v>
      </c>
      <c r="BJ257" s="136" t="str">
        <f>IF($D257&lt;&gt;"Feature",".",
IF(VLOOKUP($B257,Feature_List!$A:$AM,MATCH(BJ$1,  Feature_List!$A$1:$AM$1,0),0)=B257,".","NO"))</f>
        <v>.</v>
      </c>
      <c r="BK257" s="136"/>
      <c r="BL257" s="136"/>
      <c r="BM257" s="136" t="str">
        <f>IF($D257&lt;&gt;"Feature",".",
IF(VLOOKUP($B257,Feature_List!$A:$AM,MATCH(BM$1,  Feature_List!$A$1:$AM$1,0),0)=E257,".","NO"))</f>
        <v>.</v>
      </c>
      <c r="BN257" s="136" t="str">
        <f>IF($D257&lt;&gt;"Feature",".",
IF(VLOOKUP($B257,Feature_List!$A:$AM,MATCH(BN$1,  Feature_List!$A$1:$AM$1,0),0)=F257,".","NO"))</f>
        <v>.</v>
      </c>
      <c r="BO257" s="136" t="str">
        <f>IF($D257&lt;&gt;"Feature",".",
IF(VLOOKUP($B257,Feature_List!$A:$AM,MATCH(BO$1,  Feature_List!$A$1:$AM$1,0),0)=G257,".","NO"))</f>
        <v>.</v>
      </c>
      <c r="BP257" s="136" t="str">
        <f>IF($D257&lt;&gt;"Feature",".",
IF(VLOOKUP($B257,Feature_List!$A:$AM,MATCH(BP$1,  Feature_List!$A$1:$AM$1,0),0)=H257,".","NO"))</f>
        <v>.</v>
      </c>
      <c r="BQ257" s="136"/>
      <c r="BR257" s="136" t="str">
        <f>IF($D257&lt;&gt;"Feature",".",
IF(VLOOKUP($B257,Feature_List!$A:$AM,MATCH(BR$1,  Feature_List!$A$1:$AM$1,0),0)=J257,".","NO"))</f>
        <v>.</v>
      </c>
      <c r="BS257" s="136"/>
      <c r="BT257" s="136"/>
      <c r="BU257" s="136" t="str">
        <f>IF($D257&lt;&gt;"Feature",".",
IF(VLOOKUP($B257,Feature_List!$A:$AM,MATCH(BU$1,  Feature_List!$A$1:$AM$1,0),0)=M257,".","NO"))</f>
        <v>.</v>
      </c>
      <c r="BV257" s="136" t="str">
        <f>IF($D257&lt;&gt;"Feature",".",
IF(VLOOKUP($B257,Feature_List!$A:$AM,MATCH(BV$1,  Feature_List!$A$1:$AM$1,0),0)=N257,".","NO"))</f>
        <v>.</v>
      </c>
      <c r="BW257" s="136"/>
      <c r="BX257" s="136"/>
      <c r="BY257" s="136"/>
      <c r="BZ257" s="136"/>
      <c r="CA257" s="136"/>
      <c r="CB257" s="136" t="str">
        <f>IF($D257&lt;&gt;"Feature",".",
IF(VLOOKUP($B257,Feature_List!$A:$AM,MATCH(CB$1,  Feature_List!$A$1:$AM$1,0),0)=T257,".","NO"))</f>
        <v>.</v>
      </c>
      <c r="CC257" s="136"/>
      <c r="CD257" s="136"/>
      <c r="CE257" s="136"/>
      <c r="CF257" s="136"/>
      <c r="CG257" s="136"/>
      <c r="CH257" s="136"/>
      <c r="CI257" s="136"/>
      <c r="CJ257" s="136"/>
      <c r="CK257" s="136"/>
      <c r="CL257" s="136"/>
      <c r="CM257" s="136"/>
      <c r="CN257" s="136"/>
      <c r="CO257" s="136" t="str">
        <f>IF($D257&lt;&gt;"Feature",".",
IF(VLOOKUP($B257,Feature_List!$A:$AM,MATCH(CO$1,  Feature_List!$A$1:$AM$1,0),0)=AG257,".","NO"))</f>
        <v>.</v>
      </c>
      <c r="CP257" s="136" t="str">
        <f>IF($D257&lt;&gt;"Feature",".",
IF(VLOOKUP($B257,Feature_List!$A:$AM,MATCH(CP$1,  Feature_List!$A$1:$AM$1,0),0)=AH257,".","NO"))</f>
        <v>.</v>
      </c>
      <c r="CQ257" s="136" t="str">
        <f>IF($D257&lt;&gt;"Feature",".",
IF(VLOOKUP($B257,Feature_List!$A:$AM,MATCH(CQ$1,  Feature_List!$A$1:$AM$1,0),0)=AI257,".","NO"))</f>
        <v>.</v>
      </c>
      <c r="CR257" s="136" t="str">
        <f>IF($D257&lt;&gt;"Feature",".",
IF(VLOOKUP($B257,Feature_List!$A:$AM,MATCH(CR$1,  Feature_List!$A$1:$AM$1,0),0)=AJ257,".","NO"))</f>
        <v>.</v>
      </c>
      <c r="CS257" s="136" t="str">
        <f>IF($D257&lt;&gt;"Feature",".",
IF(VLOOKUP($B257,Feature_List!$A:$AM,MATCH(CS$1,  Feature_List!$A$1:$AM$1,0),0)=AK257,".","NO"))</f>
        <v>.</v>
      </c>
      <c r="CT257" s="136" t="str">
        <f>IF($D257&lt;&gt;"Feature",".",
IF(VLOOKUP($B257,Feature_List!$A:$AM,MATCH(CT$1,  Feature_List!$A$1:$AM$1,0),0)=AL257,".","NO"))</f>
        <v>.</v>
      </c>
      <c r="CU257" s="136" t="str">
        <f>IF($D257&lt;&gt;"Feature",".",
IF(VLOOKUP($B257,Feature_List!$A:$AM,MATCH(CU$1,  Feature_List!$A$1:$AM$1,0),0)=AM257,".","NO"))</f>
        <v>.</v>
      </c>
      <c r="CV257" s="136" t="str">
        <f>IF($D257&lt;&gt;"Feature",".",
IF(VLOOKUP($B257,Feature_List!$A:$AM,MATCH(CV$1,  Feature_List!$A$1:$AM$1,0),0)=AN257,".","NO"))</f>
        <v>.</v>
      </c>
      <c r="CW257" s="136" t="str">
        <f>IF($D257&lt;&gt;"Feature",".",
IF(VLOOKUP($B257,Feature_List!$A:$AM,MATCH(CW$1,  Feature_List!$A$1:$AM$1,0),0)=AO257,".","NO"))</f>
        <v>.</v>
      </c>
      <c r="CX257" s="136" t="str">
        <f>IF($D257&lt;&gt;"Feature",".",
IF(VLOOKUP($B257,Feature_List!$A:$AM,MATCH(CX$1,  Feature_List!$A$1:$AM$1,0),0)=AP257,".","NO"))</f>
        <v>.</v>
      </c>
      <c r="CY257" s="136" t="str">
        <f>IF($D257&lt;&gt;"Feature",".",
IF(VLOOKUP($B257,Feature_List!$A:$AM,MATCH(CY$1,  Feature_List!$A$1:$AM$1,0),0)=AQ257,".","NO"))</f>
        <v>.</v>
      </c>
      <c r="CZ257" s="136" t="str">
        <f>IF($D257&lt;&gt;"Feature",".",
IF(VLOOKUP($B257,Feature_List!$A:$AM,MATCH(CZ$1,  Feature_List!$A$1:$AM$1,0),0)=AR257,".","NO"))</f>
        <v>.</v>
      </c>
      <c r="DA257" s="136" t="str">
        <f>IF($D257&lt;&gt;"Feature",".",
IF(VLOOKUP($B257,Feature_List!$A:$AM,MATCH(DA$1,  Feature_List!$A$1:$AM$1,0),0)=AS257,".","NO"))</f>
        <v>.</v>
      </c>
      <c r="DB257" s="136" t="str">
        <f>IF($D257&lt;&gt;"Feature",".",
IF(VLOOKUP($B257,Feature_List!$A:$AM,MATCH(DB$1,  Feature_List!$A$1:$AM$1,0),0)=AT257,".","NO"))</f>
        <v>.</v>
      </c>
      <c r="DC257" s="136" t="str">
        <f>IF($D257&lt;&gt;"Feature",".",
IF(VLOOKUP($B257,Feature_List!$A:$AM,MATCH(DC$1,  Feature_List!$A$1:$AM$1,0),0)=AU257,".","NO"))</f>
        <v>.</v>
      </c>
      <c r="DD257" s="136" t="str">
        <f>IF($D257&lt;&gt;"Feature",".",
IF(VLOOKUP($B257,Feature_List!$A:$AM,MATCH(DD$1,  Feature_List!$A$1:$AM$1,0),0)=AV257,".","NO"))</f>
        <v>.</v>
      </c>
      <c r="DE257" s="136" t="str">
        <f>IF($D257&lt;&gt;"Feature",".",
IF(VLOOKUP($B257,Feature_List!$A:$AM,MATCH(DE$1,  Feature_List!$A$1:$AM$1,0),0)=AW257,".","NO"))</f>
        <v>.</v>
      </c>
      <c r="DF257" s="136" t="str">
        <f>IF($D257&lt;&gt;"Feature",".",
IF(VLOOKUP($B257,Feature_List!$A:$AM,MATCH(DF$1,  Feature_List!$A$1:$AM$1,0),0)=AX257,".","NO"))</f>
        <v>.</v>
      </c>
      <c r="DG257" s="136" t="str">
        <f>IF($D257&lt;&gt;"Feature",".",
IF(VLOOKUP($B257,Feature_List!$A:$AM,MATCH(DG$1,  Feature_List!$A$1:$AM$1,0),0)=AY257,".","NO"))</f>
        <v>.</v>
      </c>
      <c r="DH257" s="136" t="str">
        <f>IF($D257&lt;&gt;"Feature",".",
IF(VLOOKUP($B257,Feature_List!$A:$AM,MATCH(DH$1,  Feature_List!$A$1:$AM$1,0),0)=AZ257,".","NO"))</f>
        <v>.</v>
      </c>
      <c r="DI257" s="136" t="str">
        <f>IF($D257&lt;&gt;"Feature",".",
IF(VLOOKUP($B257,Feature_List!$A:$AM,MATCH(DI$1,  Feature_List!$A$1:$AM$1,0),0)=BA257,".","NO"))</f>
        <v>.</v>
      </c>
      <c r="DJ257" s="136" t="str">
        <f>IF($D257&lt;&gt;"Feature",".",
IF(VLOOKUP($B257,Feature_List!$A:$AM,MATCH(DJ$1,  Feature_List!$A$1:$AM$1,0),0)=BB257,".","NO"))</f>
        <v>.</v>
      </c>
      <c r="DK257" s="136"/>
      <c r="DL257" s="136"/>
      <c r="DM257" s="136"/>
      <c r="DN257" s="136" t="str">
        <f>IF($D257&lt;&gt;"Feature",".",
IF(VLOOKUP($B257,Feature_List!$A:$AM,MATCH(DN$1,  Feature_List!$A$1:$AM$1,0),0)=BC257,".","NO"))</f>
        <v>.</v>
      </c>
      <c r="DO257" s="136" t="str">
        <f>IF($D257&lt;&gt;"Feature",".",
IF(VLOOKUP($B257,Feature_List!$A:$AM,MATCH(DO$1,  Feature_List!$A$1:$AM$1,0),0)=BD257,".","NO"))</f>
        <v>.</v>
      </c>
    </row>
    <row r="258" spans="2:119" x14ac:dyDescent="0.3">
      <c r="B258" s="121"/>
      <c r="C258" s="122"/>
      <c r="D258" s="122"/>
      <c r="E258" s="122"/>
      <c r="F258" s="123"/>
      <c r="G258" s="123"/>
      <c r="H258" s="122"/>
      <c r="I258" s="124"/>
      <c r="J258" s="123"/>
      <c r="K258" s="123"/>
      <c r="L258" s="122"/>
      <c r="M258" s="122"/>
      <c r="N258" s="122"/>
      <c r="O258" s="123">
        <f t="shared" ref="O258:O321" si="150">IF(Q258="Story",K258,
 IF(OR(Q258="Problem",Q258="Enhancement"),IFERROR(ROUNDUP(VALUE(LEFT(L258,FIND(" hour",L258)))/8,0),0),0))</f>
        <v>0</v>
      </c>
      <c r="P258" s="123">
        <f t="shared" ref="P258:P321" si="151">IF(H258="Closed","Done",H258)</f>
        <v>0</v>
      </c>
      <c r="Q258" s="122" t="str">
        <f t="shared" si="135"/>
        <v>ZeroEntry</v>
      </c>
      <c r="R258" s="126" t="str">
        <f t="shared" ref="R258:R321" si="152">IF($D258="","ZeroEntry",
IF($D258="Program Epic",0,
IF($Q258="Feature",$B258,
IF($Y258="Feature", RIGHT($C258,6)+0,
IF($X258="Feature", RIGHT(VLOOKUP(RIGHT($C258,6)+0,$B:$C,2,FALSE),6)+0, 0)))) )</f>
        <v>ZeroEntry</v>
      </c>
      <c r="S258" s="127" t="str">
        <f t="shared" ref="S258:S321" si="153">IF($D258="","ZeroEntry",
IF(OR($D258="Story",$D258="Problem",$D258="Enhancement"),$B258,0))</f>
        <v>ZeroEntry</v>
      </c>
      <c r="T258" s="128" t="str">
        <f>IF($Q258="ZeroEntry", "",VLOOKUP($I258,'Ranking Lookup'!#REF!,2,FALSE))</f>
        <v/>
      </c>
      <c r="U258" s="129" t="str">
        <f t="shared" ref="U258:U321" si="154">IFERROR(
   VLOOKUP(RIGHT(
        VLOOKUP(RIGHT(
             VLOOKUP(RIGHT(
                 VLOOKUP(RIGHT(
                     VLOOKUP(RIGHT($C258,6)+0,$B:$C,2,FALSE),6)+0,$B:$C,2,FALSE),6)+0,$B:$C,2,FALSE),6)+0,$B:$C,2,FALSE),6)+0,$B:$D,3,FALSE),
"")</f>
        <v/>
      </c>
      <c r="V258" s="129" t="str">
        <f t="shared" ref="V258:V321" si="155">IFERROR(
   VLOOKUP(RIGHT(
        VLOOKUP(RIGHT(
             VLOOKUP(RIGHT(
                  VLOOKUP(RIGHT($C258,6)+0,$B:$C,2,FALSE),6)+0,$B:$C,2,FALSE),6)+0,$B:$C,2,FALSE),6)+0,$B:$D,3,FALSE),
"")</f>
        <v/>
      </c>
      <c r="W258" s="129" t="str">
        <f t="shared" ref="W258:W321" si="156">IFERROR(
    VLOOKUP(RIGHT(
         VLOOKUP(RIGHT(
                 VLOOKUP(RIGHT($C258,6)+0,$B:$C,2,FALSE),6)+0,$B:$C,2,FALSE),6)+0,$B:$D,3,FALSE),
"")</f>
        <v/>
      </c>
      <c r="X258" s="129" t="str">
        <f t="shared" ref="X258:X321" si="157">IFERROR(
   VLOOKUP(RIGHT(
         VLOOKUP(RIGHT($C258,6)+0,$B:$C,2,FALSE),6)+0,$B:$D,3,FALSE),
"")</f>
        <v/>
      </c>
      <c r="Y258" s="129" t="str">
        <f t="shared" ref="Y258:Y321" si="158">IFERROR(VLOOKUP(RIGHT($C258,6)+0,$B:$D,3,FALSE),"")</f>
        <v/>
      </c>
      <c r="Z258" s="129" t="str">
        <f t="shared" ref="Z258:Z321" si="159">IF(ISERROR(VLOOKUP("#"&amp;$B258,$C:$D,2,FALSE)),"",VLOOKUP("#"&amp;$B258,$C:$D,2,FALSE))</f>
        <v/>
      </c>
      <c r="AA258" s="130"/>
      <c r="AB258" s="130" t="str">
        <f t="shared" ref="AB258:AB321" si="160">IF(LEFT($G258,2)="PI",LEFT($G258,5),
IF(OR(RIGHT($G258,2)="RR",$G258="Future"),$G258,
IF(LEFT($G258,3)="EA ",CONCATENATE("PI ",TEXT(VALUE(MID($G258,4,2)),"00")),
IF($R258=0,"Unassigned",
IF(NOT(OR($Q258="Story",$Q258="Problem",$Q258="Enhancement")),"Unassigned",
IF(AND($G258="Unassigned",RIGHT(VLOOKUP(VALUE(RIGHT($C258,6)),B:G,6,0),5)&lt;&gt;"gress",LEFT(VLOOKUP(VALUE(RIGHT($C258,6)),B:G,6,0),2)="PI"),LEFT(VLOOKUP(VALUE(RIGHT($C258,6)),B:G,6,0),5),
"Unassigned"))))))</f>
        <v>Unassigned</v>
      </c>
      <c r="AC258" s="131" t="str">
        <f t="shared" si="136"/>
        <v/>
      </c>
      <c r="AD258" s="131" t="str">
        <f t="shared" si="137"/>
        <v/>
      </c>
      <c r="AE258" s="132">
        <f t="shared" ref="AE258:AE321" si="161">IF(AND($Q258="Feature",$AD258&lt;&gt;0,$AC258&gt;$J258),($AC258/$J258)-1,0)</f>
        <v>0</v>
      </c>
      <c r="AF258" s="133" t="str">
        <f t="shared" si="138"/>
        <v/>
      </c>
      <c r="AG258" s="134">
        <f t="shared" ref="AG258:AG321" si="162">COUNTIF(AI258:AY258,"&gt;0")</f>
        <v>0</v>
      </c>
      <c r="AH258" s="54" t="str">
        <f t="shared" ref="AH258:AH321" si="163">IF($Q258="Feature",SUMIFS($O:$O,$R:$R,$B258,$P:$P,"Done"),
IF(  AND(OR($Q258="Story",$Q258="Problem",$Q258="Enhancement"),$R258=0,$P258="Done"),$O258,""))</f>
        <v/>
      </c>
      <c r="AI258" s="54" t="str">
        <f t="shared" ref="AI258:AX273" si="164">IF(AND($Q258="Feature",LEFT($AB258,2)="PI"),
IF(AND(COUNTIF($R:$R,$B258)=1,$T258=AI$1), IF($AB258=$A$10,$AF258,0),
IF(OR($AD258&lt;1,RIGHT($G258,8)="Progress",$AH258&gt;0),SUMIFS($O:$O,$R:$R,$B258,$T:$T,AI$1,$P:$P,"&lt;&gt;Done",$AB:$AB,$A$10),
IF($T258=AI$1,IF($AB258=$A$10,$AD258,0)+SUMIFS($O:$O,$R:$R,$B258,$T:$T,AI$1,$P:$P,"&lt;&gt;Done",$AB:$AB,$A$10),SUMIFS($O:$O,$R:$R,$B258,$T:$T,AI$1,$P:$P,"&lt;&gt;Done",$AB:$AB,$A$10)))),
IF(AND(OR($Q258="Story",$Q258="Problem",$Q258="Enhancement"),$AB258=$A$10,$R258=0,$T258=AI$1,$P258&lt;&gt;"Done"),$O258,""))</f>
        <v/>
      </c>
      <c r="AJ258" s="54" t="str">
        <f t="shared" si="164"/>
        <v/>
      </c>
      <c r="AK258" s="54" t="str">
        <f t="shared" si="164"/>
        <v/>
      </c>
      <c r="AL258" s="54" t="str">
        <f t="shared" si="164"/>
        <v/>
      </c>
      <c r="AM258" s="54" t="str">
        <f t="shared" si="164"/>
        <v/>
      </c>
      <c r="AN258" s="54" t="str">
        <f t="shared" si="164"/>
        <v/>
      </c>
      <c r="AO258" s="54" t="str">
        <f t="shared" si="164"/>
        <v/>
      </c>
      <c r="AP258" s="54" t="str">
        <f t="shared" si="164"/>
        <v/>
      </c>
      <c r="AQ258" s="54" t="str">
        <f t="shared" si="164"/>
        <v/>
      </c>
      <c r="AR258" s="54" t="str">
        <f t="shared" si="164"/>
        <v/>
      </c>
      <c r="AS258" s="54" t="str">
        <f t="shared" si="164"/>
        <v/>
      </c>
      <c r="AT258" s="54" t="str">
        <f t="shared" si="164"/>
        <v/>
      </c>
      <c r="AU258" s="54" t="str">
        <f t="shared" si="164"/>
        <v/>
      </c>
      <c r="AV258" s="54" t="str">
        <f t="shared" si="164"/>
        <v/>
      </c>
      <c r="AW258" s="54" t="str">
        <f t="shared" si="164"/>
        <v/>
      </c>
      <c r="AX258" s="54" t="str">
        <f t="shared" si="164"/>
        <v/>
      </c>
      <c r="AY258" s="54" t="str">
        <f t="shared" si="139"/>
        <v/>
      </c>
      <c r="AZ258" s="54" t="str">
        <f t="shared" ref="AZ258:AZ321" si="165">IF($Q258="Feature",SUMIFS($O:$O,$R:$R,$B258,$P:$P,"&lt;&gt;Done",$AB:$AB,$A$14),
IF(AND(OR($Q258="Story",$Q258="Problem",$Q258="Enhancement"),$R258=0,$P258="&lt;&gt;Done", $AB258=$A$14),$O258,""))</f>
        <v/>
      </c>
      <c r="BA258" s="54" t="str">
        <f t="shared" ref="BA258:BA321" si="166">IF(OR($Q258="Feature",$BI258="Yes"), SUM(AI258:AY258),"")</f>
        <v/>
      </c>
      <c r="BB258" s="135" t="str">
        <f t="shared" ref="BB258:BB321" si="167">IF($Q258="Feature",SUMIFS($O:$O,$R:$R,$B258,$P:$P,"&lt;&gt;Done",$AB:$AB,BB$1),
IF(AND(OR($Q258="Story",$Q258="Problem",$Q258="Enhancement"),$R258=0,$P258="&lt;&gt;Done",$AB258=BB$1),$O258,""))</f>
        <v/>
      </c>
      <c r="BC258" s="54" t="str">
        <f t="shared" si="148"/>
        <v/>
      </c>
      <c r="BD258" s="54" t="str">
        <f t="shared" si="148"/>
        <v/>
      </c>
      <c r="BE258" s="54" t="str">
        <f t="shared" si="148"/>
        <v/>
      </c>
      <c r="BF258" s="54" t="str">
        <f t="shared" ref="BF258:BF321" si="168">IF($Q258="Feature",
COUNTIFS($Q:$Q,"Problem",$R:$R,$B258),"")</f>
        <v/>
      </c>
      <c r="BG258" s="54" t="str">
        <f t="shared" ref="BG258:BG321" si="169">IF($Q258="Feature",
COUNTIFS($Q:$Q,"Enhancement",$R:$R,$B258),"")</f>
        <v/>
      </c>
      <c r="BH258" s="34" t="str">
        <f t="shared" ref="BH258:BH321" si="170">IF(OR($Q258="Strategy",$Q258="Sub-Strategy"),"",
IF(AND($Q258="Feature",AH258&gt;0),"NA_InProgress",
IF(AND($Q258="Feature",SUM(AZ258:BB258)=J258),"Good",
IF(AND($Q258="Feature",RIGHT($G258,8)="Progress"),"NA_InProgress",
IF(AND(OR($Q258="Story",$Q258="Problem",$Q258="Enhancement"),$R258=0,SUM(AH258:BB258)=K258),"Good",
IF(AND(OR($Q258="Story",$Q258="Problem",$Q258="Enhancement"),$R258&lt;&gt;0),"","Bad"))))))</f>
        <v>Bad</v>
      </c>
      <c r="BI258" s="34" t="str">
        <f t="shared" ref="BI258:BI321" si="171">IF(AND(
      OR(AND(OR(Q258="Problem",Q258="Enhancement"),H258&lt;&gt;"Assessing",H258&lt;&gt;"Triage"),
             AND(Q258="Story",O258&lt;&gt;0)),
      R258=0,
      T258&lt;&gt;"Process"),"Add_Scope","No")</f>
        <v>No</v>
      </c>
      <c r="BJ258" s="136" t="str">
        <f>IF($D258&lt;&gt;"Feature",".",
IF(VLOOKUP($B258,Feature_List!$A:$AM,MATCH(BJ$1,  Feature_List!$A$1:$AM$1,0),0)=B258,".","NO"))</f>
        <v>.</v>
      </c>
      <c r="BK258" s="136"/>
      <c r="BL258" s="136"/>
      <c r="BM258" s="136" t="str">
        <f>IF($D258&lt;&gt;"Feature",".",
IF(VLOOKUP($B258,Feature_List!$A:$AM,MATCH(BM$1,  Feature_List!$A$1:$AM$1,0),0)=E258,".","NO"))</f>
        <v>.</v>
      </c>
      <c r="BN258" s="136" t="str">
        <f>IF($D258&lt;&gt;"Feature",".",
IF(VLOOKUP($B258,Feature_List!$A:$AM,MATCH(BN$1,  Feature_List!$A$1:$AM$1,0),0)=F258,".","NO"))</f>
        <v>.</v>
      </c>
      <c r="BO258" s="136" t="str">
        <f>IF($D258&lt;&gt;"Feature",".",
IF(VLOOKUP($B258,Feature_List!$A:$AM,MATCH(BO$1,  Feature_List!$A$1:$AM$1,0),0)=G258,".","NO"))</f>
        <v>.</v>
      </c>
      <c r="BP258" s="136" t="str">
        <f>IF($D258&lt;&gt;"Feature",".",
IF(VLOOKUP($B258,Feature_List!$A:$AM,MATCH(BP$1,  Feature_List!$A$1:$AM$1,0),0)=H258,".","NO"))</f>
        <v>.</v>
      </c>
      <c r="BQ258" s="136"/>
      <c r="BR258" s="136" t="str">
        <f>IF($D258&lt;&gt;"Feature",".",
IF(VLOOKUP($B258,Feature_List!$A:$AM,MATCH(BR$1,  Feature_List!$A$1:$AM$1,0),0)=J258,".","NO"))</f>
        <v>.</v>
      </c>
      <c r="BS258" s="136"/>
      <c r="BT258" s="136"/>
      <c r="BU258" s="136" t="str">
        <f>IF($D258&lt;&gt;"Feature",".",
IF(VLOOKUP($B258,Feature_List!$A:$AM,MATCH(BU$1,  Feature_List!$A$1:$AM$1,0),0)=M258,".","NO"))</f>
        <v>.</v>
      </c>
      <c r="BV258" s="136" t="str">
        <f>IF($D258&lt;&gt;"Feature",".",
IF(VLOOKUP($B258,Feature_List!$A:$AM,MATCH(BV$1,  Feature_List!$A$1:$AM$1,0),0)=N258,".","NO"))</f>
        <v>.</v>
      </c>
      <c r="BW258" s="136"/>
      <c r="BX258" s="136"/>
      <c r="BY258" s="136"/>
      <c r="BZ258" s="136"/>
      <c r="CA258" s="136"/>
      <c r="CB258" s="136" t="str">
        <f>IF($D258&lt;&gt;"Feature",".",
IF(VLOOKUP($B258,Feature_List!$A:$AM,MATCH(CB$1,  Feature_List!$A$1:$AM$1,0),0)=T258,".","NO"))</f>
        <v>.</v>
      </c>
      <c r="CC258" s="136"/>
      <c r="CD258" s="136"/>
      <c r="CE258" s="136"/>
      <c r="CF258" s="136"/>
      <c r="CG258" s="136"/>
      <c r="CH258" s="136"/>
      <c r="CI258" s="136"/>
      <c r="CJ258" s="136"/>
      <c r="CK258" s="136"/>
      <c r="CL258" s="136"/>
      <c r="CM258" s="136"/>
      <c r="CN258" s="136"/>
      <c r="CO258" s="136" t="str">
        <f>IF($D258&lt;&gt;"Feature",".",
IF(VLOOKUP($B258,Feature_List!$A:$AM,MATCH(CO$1,  Feature_List!$A$1:$AM$1,0),0)=AG258,".","NO"))</f>
        <v>.</v>
      </c>
      <c r="CP258" s="136" t="str">
        <f>IF($D258&lt;&gt;"Feature",".",
IF(VLOOKUP($B258,Feature_List!$A:$AM,MATCH(CP$1,  Feature_List!$A$1:$AM$1,0),0)=AH258,".","NO"))</f>
        <v>.</v>
      </c>
      <c r="CQ258" s="136" t="str">
        <f>IF($D258&lt;&gt;"Feature",".",
IF(VLOOKUP($B258,Feature_List!$A:$AM,MATCH(CQ$1,  Feature_List!$A$1:$AM$1,0),0)=AI258,".","NO"))</f>
        <v>.</v>
      </c>
      <c r="CR258" s="136" t="str">
        <f>IF($D258&lt;&gt;"Feature",".",
IF(VLOOKUP($B258,Feature_List!$A:$AM,MATCH(CR$1,  Feature_List!$A$1:$AM$1,0),0)=AJ258,".","NO"))</f>
        <v>.</v>
      </c>
      <c r="CS258" s="136" t="str">
        <f>IF($D258&lt;&gt;"Feature",".",
IF(VLOOKUP($B258,Feature_List!$A:$AM,MATCH(CS$1,  Feature_List!$A$1:$AM$1,0),0)=AK258,".","NO"))</f>
        <v>.</v>
      </c>
      <c r="CT258" s="136" t="str">
        <f>IF($D258&lt;&gt;"Feature",".",
IF(VLOOKUP($B258,Feature_List!$A:$AM,MATCH(CT$1,  Feature_List!$A$1:$AM$1,0),0)=AL258,".","NO"))</f>
        <v>.</v>
      </c>
      <c r="CU258" s="136" t="str">
        <f>IF($D258&lt;&gt;"Feature",".",
IF(VLOOKUP($B258,Feature_List!$A:$AM,MATCH(CU$1,  Feature_List!$A$1:$AM$1,0),0)=AM258,".","NO"))</f>
        <v>.</v>
      </c>
      <c r="CV258" s="136" t="str">
        <f>IF($D258&lt;&gt;"Feature",".",
IF(VLOOKUP($B258,Feature_List!$A:$AM,MATCH(CV$1,  Feature_List!$A$1:$AM$1,0),0)=AN258,".","NO"))</f>
        <v>.</v>
      </c>
      <c r="CW258" s="136" t="str">
        <f>IF($D258&lt;&gt;"Feature",".",
IF(VLOOKUP($B258,Feature_List!$A:$AM,MATCH(CW$1,  Feature_List!$A$1:$AM$1,0),0)=AO258,".","NO"))</f>
        <v>.</v>
      </c>
      <c r="CX258" s="136" t="str">
        <f>IF($D258&lt;&gt;"Feature",".",
IF(VLOOKUP($B258,Feature_List!$A:$AM,MATCH(CX$1,  Feature_List!$A$1:$AM$1,0),0)=AP258,".","NO"))</f>
        <v>.</v>
      </c>
      <c r="CY258" s="136" t="str">
        <f>IF($D258&lt;&gt;"Feature",".",
IF(VLOOKUP($B258,Feature_List!$A:$AM,MATCH(CY$1,  Feature_List!$A$1:$AM$1,0),0)=AQ258,".","NO"))</f>
        <v>.</v>
      </c>
      <c r="CZ258" s="136" t="str">
        <f>IF($D258&lt;&gt;"Feature",".",
IF(VLOOKUP($B258,Feature_List!$A:$AM,MATCH(CZ$1,  Feature_List!$A$1:$AM$1,0),0)=AR258,".","NO"))</f>
        <v>.</v>
      </c>
      <c r="DA258" s="136" t="str">
        <f>IF($D258&lt;&gt;"Feature",".",
IF(VLOOKUP($B258,Feature_List!$A:$AM,MATCH(DA$1,  Feature_List!$A$1:$AM$1,0),0)=AS258,".","NO"))</f>
        <v>.</v>
      </c>
      <c r="DB258" s="136" t="str">
        <f>IF($D258&lt;&gt;"Feature",".",
IF(VLOOKUP($B258,Feature_List!$A:$AM,MATCH(DB$1,  Feature_List!$A$1:$AM$1,0),0)=AT258,".","NO"))</f>
        <v>.</v>
      </c>
      <c r="DC258" s="136" t="str">
        <f>IF($D258&lt;&gt;"Feature",".",
IF(VLOOKUP($B258,Feature_List!$A:$AM,MATCH(DC$1,  Feature_List!$A$1:$AM$1,0),0)=AU258,".","NO"))</f>
        <v>.</v>
      </c>
      <c r="DD258" s="136" t="str">
        <f>IF($D258&lt;&gt;"Feature",".",
IF(VLOOKUP($B258,Feature_List!$A:$AM,MATCH(DD$1,  Feature_List!$A$1:$AM$1,0),0)=AV258,".","NO"))</f>
        <v>.</v>
      </c>
      <c r="DE258" s="136" t="str">
        <f>IF($D258&lt;&gt;"Feature",".",
IF(VLOOKUP($B258,Feature_List!$A:$AM,MATCH(DE$1,  Feature_List!$A$1:$AM$1,0),0)=AW258,".","NO"))</f>
        <v>.</v>
      </c>
      <c r="DF258" s="136" t="str">
        <f>IF($D258&lt;&gt;"Feature",".",
IF(VLOOKUP($B258,Feature_List!$A:$AM,MATCH(DF$1,  Feature_List!$A$1:$AM$1,0),0)=AX258,".","NO"))</f>
        <v>.</v>
      </c>
      <c r="DG258" s="136" t="str">
        <f>IF($D258&lt;&gt;"Feature",".",
IF(VLOOKUP($B258,Feature_List!$A:$AM,MATCH(DG$1,  Feature_List!$A$1:$AM$1,0),0)=AY258,".","NO"))</f>
        <v>.</v>
      </c>
      <c r="DH258" s="136" t="str">
        <f>IF($D258&lt;&gt;"Feature",".",
IF(VLOOKUP($B258,Feature_List!$A:$AM,MATCH(DH$1,  Feature_List!$A$1:$AM$1,0),0)=AZ258,".","NO"))</f>
        <v>.</v>
      </c>
      <c r="DI258" s="136" t="str">
        <f>IF($D258&lt;&gt;"Feature",".",
IF(VLOOKUP($B258,Feature_List!$A:$AM,MATCH(DI$1,  Feature_List!$A$1:$AM$1,0),0)=BA258,".","NO"))</f>
        <v>.</v>
      </c>
      <c r="DJ258" s="136" t="str">
        <f>IF($D258&lt;&gt;"Feature",".",
IF(VLOOKUP($B258,Feature_List!$A:$AM,MATCH(DJ$1,  Feature_List!$A$1:$AM$1,0),0)=BB258,".","NO"))</f>
        <v>.</v>
      </c>
      <c r="DK258" s="136"/>
      <c r="DL258" s="136"/>
      <c r="DM258" s="136"/>
      <c r="DN258" s="136" t="str">
        <f>IF($D258&lt;&gt;"Feature",".",
IF(VLOOKUP($B258,Feature_List!$A:$AM,MATCH(DN$1,  Feature_List!$A$1:$AM$1,0),0)=BC258,".","NO"))</f>
        <v>.</v>
      </c>
      <c r="DO258" s="136" t="str">
        <f>IF($D258&lt;&gt;"Feature",".",
IF(VLOOKUP($B258,Feature_List!$A:$AM,MATCH(DO$1,  Feature_List!$A$1:$AM$1,0),0)=BD258,".","NO"))</f>
        <v>.</v>
      </c>
    </row>
    <row r="259" spans="2:119" x14ac:dyDescent="0.3">
      <c r="B259" s="121"/>
      <c r="C259" s="122"/>
      <c r="D259" s="122"/>
      <c r="E259" s="122"/>
      <c r="F259" s="123"/>
      <c r="G259" s="123"/>
      <c r="H259" s="122"/>
      <c r="I259" s="124"/>
      <c r="J259" s="123"/>
      <c r="K259" s="123"/>
      <c r="L259" s="122"/>
      <c r="M259" s="122"/>
      <c r="N259" s="122"/>
      <c r="O259" s="123">
        <f t="shared" si="150"/>
        <v>0</v>
      </c>
      <c r="P259" s="123">
        <f t="shared" si="151"/>
        <v>0</v>
      </c>
      <c r="Q259" s="122" t="str">
        <f t="shared" ref="Q259:Q322" si="172">IF($D259="","ZeroEntry",
IF($D259="Story","Story",
IF($D259="Feature","Feature",
IF($D259="Problem","Problem",
IF($D259="Enhancement","Enhancement",
"Program Epic")))))</f>
        <v>ZeroEntry</v>
      </c>
      <c r="R259" s="126" t="str">
        <f t="shared" si="152"/>
        <v>ZeroEntry</v>
      </c>
      <c r="S259" s="127" t="str">
        <f t="shared" si="153"/>
        <v>ZeroEntry</v>
      </c>
      <c r="T259" s="128" t="str">
        <f>IF($Q259="ZeroEntry", "",VLOOKUP($I259,'Ranking Lookup'!#REF!,2,FALSE))</f>
        <v/>
      </c>
      <c r="U259" s="129" t="str">
        <f t="shared" si="154"/>
        <v/>
      </c>
      <c r="V259" s="129" t="str">
        <f t="shared" si="155"/>
        <v/>
      </c>
      <c r="W259" s="129" t="str">
        <f t="shared" si="156"/>
        <v/>
      </c>
      <c r="X259" s="129" t="str">
        <f t="shared" si="157"/>
        <v/>
      </c>
      <c r="Y259" s="129" t="str">
        <f t="shared" si="158"/>
        <v/>
      </c>
      <c r="Z259" s="129" t="str">
        <f t="shared" si="159"/>
        <v/>
      </c>
      <c r="AA259" s="130"/>
      <c r="AB259" s="130" t="str">
        <f t="shared" si="160"/>
        <v>Unassigned</v>
      </c>
      <c r="AC259" s="131" t="str">
        <f t="shared" ref="AC259:AC322" si="173">IF($Q259="Feature",SUMIFS($O:$O,$R:$R,$B259),
IF(OR($Q259="Story",$Q259="Problem",$Q259="Enhancement"),$O259,""))</f>
        <v/>
      </c>
      <c r="AD259" s="131" t="str">
        <f t="shared" ref="AD259:AD322" si="174">IF($Q259="Feature",
IF(COUNTIF($R:$R,$B259)=1,$J259,$J259-$AC259),
IF(OR($Q259="Story",$Q259="Problem",$Q259="Enhancement"),$O259-$AC259,""))</f>
        <v/>
      </c>
      <c r="AE259" s="132">
        <f t="shared" si="161"/>
        <v>0</v>
      </c>
      <c r="AF259" s="133" t="str">
        <f t="shared" ref="AF259:AF322" si="175">IF($P259="Done", 0,
IF(AND($Q259="Feature",COUNTIF($R:$R,$B259)=1),$J259,
IF($Q259="Feature",MAX($J259-SUMIFS($O:$O,$P:$P,"Done",$R:$R,$B259),0),
IF(AND(OR($Q259="Story",$Q259="Problem",$Q259="Enhancement"),$R259=0),$O259,""))))</f>
        <v/>
      </c>
      <c r="AG259" s="134">
        <f t="shared" si="162"/>
        <v>0</v>
      </c>
      <c r="AH259" s="54" t="str">
        <f t="shared" si="163"/>
        <v/>
      </c>
      <c r="AI259" s="54" t="str">
        <f t="shared" si="164"/>
        <v/>
      </c>
      <c r="AJ259" s="54" t="str">
        <f t="shared" si="164"/>
        <v/>
      </c>
      <c r="AK259" s="54" t="str">
        <f t="shared" si="164"/>
        <v/>
      </c>
      <c r="AL259" s="54" t="str">
        <f t="shared" si="164"/>
        <v/>
      </c>
      <c r="AM259" s="54" t="str">
        <f t="shared" si="164"/>
        <v/>
      </c>
      <c r="AN259" s="54" t="str">
        <f t="shared" si="164"/>
        <v/>
      </c>
      <c r="AO259" s="54" t="str">
        <f t="shared" si="164"/>
        <v/>
      </c>
      <c r="AP259" s="54" t="str">
        <f t="shared" si="164"/>
        <v/>
      </c>
      <c r="AQ259" s="54" t="str">
        <f t="shared" si="164"/>
        <v/>
      </c>
      <c r="AR259" s="54" t="str">
        <f t="shared" si="164"/>
        <v/>
      </c>
      <c r="AS259" s="54" t="str">
        <f t="shared" si="164"/>
        <v/>
      </c>
      <c r="AT259" s="54" t="str">
        <f t="shared" si="164"/>
        <v/>
      </c>
      <c r="AU259" s="54" t="str">
        <f t="shared" si="164"/>
        <v/>
      </c>
      <c r="AV259" s="54" t="str">
        <f t="shared" si="164"/>
        <v/>
      </c>
      <c r="AW259" s="54" t="str">
        <f t="shared" si="164"/>
        <v/>
      </c>
      <c r="AX259" s="54" t="str">
        <f t="shared" si="164"/>
        <v/>
      </c>
      <c r="AY259" s="54" t="str">
        <f t="shared" si="139"/>
        <v/>
      </c>
      <c r="AZ259" s="54" t="str">
        <f t="shared" si="165"/>
        <v/>
      </c>
      <c r="BA259" s="54" t="str">
        <f t="shared" si="166"/>
        <v/>
      </c>
      <c r="BB259" s="135" t="str">
        <f t="shared" si="167"/>
        <v/>
      </c>
      <c r="BC259" s="54" t="str">
        <f t="shared" si="148"/>
        <v/>
      </c>
      <c r="BD259" s="54" t="str">
        <f t="shared" si="148"/>
        <v/>
      </c>
      <c r="BE259" s="54" t="str">
        <f t="shared" si="148"/>
        <v/>
      </c>
      <c r="BF259" s="54" t="str">
        <f t="shared" si="168"/>
        <v/>
      </c>
      <c r="BG259" s="54" t="str">
        <f t="shared" si="169"/>
        <v/>
      </c>
      <c r="BH259" s="34" t="str">
        <f t="shared" si="170"/>
        <v>Bad</v>
      </c>
      <c r="BI259" s="34" t="str">
        <f t="shared" si="171"/>
        <v>No</v>
      </c>
      <c r="BJ259" s="136" t="str">
        <f>IF($D259&lt;&gt;"Feature",".",
IF(VLOOKUP($B259,Feature_List!$A:$AM,MATCH(BJ$1,  Feature_List!$A$1:$AM$1,0),0)=B259,".","NO"))</f>
        <v>.</v>
      </c>
      <c r="BK259" s="136"/>
      <c r="BL259" s="136"/>
      <c r="BM259" s="136" t="str">
        <f>IF($D259&lt;&gt;"Feature",".",
IF(VLOOKUP($B259,Feature_List!$A:$AM,MATCH(BM$1,  Feature_List!$A$1:$AM$1,0),0)=E259,".","NO"))</f>
        <v>.</v>
      </c>
      <c r="BN259" s="136" t="str">
        <f>IF($D259&lt;&gt;"Feature",".",
IF(VLOOKUP($B259,Feature_List!$A:$AM,MATCH(BN$1,  Feature_List!$A$1:$AM$1,0),0)=F259,".","NO"))</f>
        <v>.</v>
      </c>
      <c r="BO259" s="136" t="str">
        <f>IF($D259&lt;&gt;"Feature",".",
IF(VLOOKUP($B259,Feature_List!$A:$AM,MATCH(BO$1,  Feature_List!$A$1:$AM$1,0),0)=G259,".","NO"))</f>
        <v>.</v>
      </c>
      <c r="BP259" s="136" t="str">
        <f>IF($D259&lt;&gt;"Feature",".",
IF(VLOOKUP($B259,Feature_List!$A:$AM,MATCH(BP$1,  Feature_List!$A$1:$AM$1,0),0)=H259,".","NO"))</f>
        <v>.</v>
      </c>
      <c r="BQ259" s="136"/>
      <c r="BR259" s="136" t="str">
        <f>IF($D259&lt;&gt;"Feature",".",
IF(VLOOKUP($B259,Feature_List!$A:$AM,MATCH(BR$1,  Feature_List!$A$1:$AM$1,0),0)=J259,".","NO"))</f>
        <v>.</v>
      </c>
      <c r="BS259" s="136"/>
      <c r="BT259" s="136"/>
      <c r="BU259" s="136" t="str">
        <f>IF($D259&lt;&gt;"Feature",".",
IF(VLOOKUP($B259,Feature_List!$A:$AM,MATCH(BU$1,  Feature_List!$A$1:$AM$1,0),0)=M259,".","NO"))</f>
        <v>.</v>
      </c>
      <c r="BV259" s="136" t="str">
        <f>IF($D259&lt;&gt;"Feature",".",
IF(VLOOKUP($B259,Feature_List!$A:$AM,MATCH(BV$1,  Feature_List!$A$1:$AM$1,0),0)=N259,".","NO"))</f>
        <v>.</v>
      </c>
      <c r="BW259" s="136"/>
      <c r="BX259" s="136"/>
      <c r="BY259" s="136"/>
      <c r="BZ259" s="136"/>
      <c r="CA259" s="136"/>
      <c r="CB259" s="136" t="str">
        <f>IF($D259&lt;&gt;"Feature",".",
IF(VLOOKUP($B259,Feature_List!$A:$AM,MATCH(CB$1,  Feature_List!$A$1:$AM$1,0),0)=T259,".","NO"))</f>
        <v>.</v>
      </c>
      <c r="CC259" s="136"/>
      <c r="CD259" s="136"/>
      <c r="CE259" s="136"/>
      <c r="CF259" s="136"/>
      <c r="CG259" s="136"/>
      <c r="CH259" s="136"/>
      <c r="CI259" s="136"/>
      <c r="CJ259" s="136"/>
      <c r="CK259" s="136"/>
      <c r="CL259" s="136"/>
      <c r="CM259" s="136"/>
      <c r="CN259" s="136"/>
      <c r="CO259" s="136" t="str">
        <f>IF($D259&lt;&gt;"Feature",".",
IF(VLOOKUP($B259,Feature_List!$A:$AM,MATCH(CO$1,  Feature_List!$A$1:$AM$1,0),0)=AG259,".","NO"))</f>
        <v>.</v>
      </c>
      <c r="CP259" s="136" t="str">
        <f>IF($D259&lt;&gt;"Feature",".",
IF(VLOOKUP($B259,Feature_List!$A:$AM,MATCH(CP$1,  Feature_List!$A$1:$AM$1,0),0)=AH259,".","NO"))</f>
        <v>.</v>
      </c>
      <c r="CQ259" s="136" t="str">
        <f>IF($D259&lt;&gt;"Feature",".",
IF(VLOOKUP($B259,Feature_List!$A:$AM,MATCH(CQ$1,  Feature_List!$A$1:$AM$1,0),0)=AI259,".","NO"))</f>
        <v>.</v>
      </c>
      <c r="CR259" s="136" t="str">
        <f>IF($D259&lt;&gt;"Feature",".",
IF(VLOOKUP($B259,Feature_List!$A:$AM,MATCH(CR$1,  Feature_List!$A$1:$AM$1,0),0)=AJ259,".","NO"))</f>
        <v>.</v>
      </c>
      <c r="CS259" s="136" t="str">
        <f>IF($D259&lt;&gt;"Feature",".",
IF(VLOOKUP($B259,Feature_List!$A:$AM,MATCH(CS$1,  Feature_List!$A$1:$AM$1,0),0)=AK259,".","NO"))</f>
        <v>.</v>
      </c>
      <c r="CT259" s="136" t="str">
        <f>IF($D259&lt;&gt;"Feature",".",
IF(VLOOKUP($B259,Feature_List!$A:$AM,MATCH(CT$1,  Feature_List!$A$1:$AM$1,0),0)=AL259,".","NO"))</f>
        <v>.</v>
      </c>
      <c r="CU259" s="136" t="str">
        <f>IF($D259&lt;&gt;"Feature",".",
IF(VLOOKUP($B259,Feature_List!$A:$AM,MATCH(CU$1,  Feature_List!$A$1:$AM$1,0),0)=AM259,".","NO"))</f>
        <v>.</v>
      </c>
      <c r="CV259" s="136" t="str">
        <f>IF($D259&lt;&gt;"Feature",".",
IF(VLOOKUP($B259,Feature_List!$A:$AM,MATCH(CV$1,  Feature_List!$A$1:$AM$1,0),0)=AN259,".","NO"))</f>
        <v>.</v>
      </c>
      <c r="CW259" s="136" t="str">
        <f>IF($D259&lt;&gt;"Feature",".",
IF(VLOOKUP($B259,Feature_List!$A:$AM,MATCH(CW$1,  Feature_List!$A$1:$AM$1,0),0)=AO259,".","NO"))</f>
        <v>.</v>
      </c>
      <c r="CX259" s="136" t="str">
        <f>IF($D259&lt;&gt;"Feature",".",
IF(VLOOKUP($B259,Feature_List!$A:$AM,MATCH(CX$1,  Feature_List!$A$1:$AM$1,0),0)=AP259,".","NO"))</f>
        <v>.</v>
      </c>
      <c r="CY259" s="136" t="str">
        <f>IF($D259&lt;&gt;"Feature",".",
IF(VLOOKUP($B259,Feature_List!$A:$AM,MATCH(CY$1,  Feature_List!$A$1:$AM$1,0),0)=AQ259,".","NO"))</f>
        <v>.</v>
      </c>
      <c r="CZ259" s="136" t="str">
        <f>IF($D259&lt;&gt;"Feature",".",
IF(VLOOKUP($B259,Feature_List!$A:$AM,MATCH(CZ$1,  Feature_List!$A$1:$AM$1,0),0)=AR259,".","NO"))</f>
        <v>.</v>
      </c>
      <c r="DA259" s="136" t="str">
        <f>IF($D259&lt;&gt;"Feature",".",
IF(VLOOKUP($B259,Feature_List!$A:$AM,MATCH(DA$1,  Feature_List!$A$1:$AM$1,0),0)=AS259,".","NO"))</f>
        <v>.</v>
      </c>
      <c r="DB259" s="136" t="str">
        <f>IF($D259&lt;&gt;"Feature",".",
IF(VLOOKUP($B259,Feature_List!$A:$AM,MATCH(DB$1,  Feature_List!$A$1:$AM$1,0),0)=AT259,".","NO"))</f>
        <v>.</v>
      </c>
      <c r="DC259" s="136" t="str">
        <f>IF($D259&lt;&gt;"Feature",".",
IF(VLOOKUP($B259,Feature_List!$A:$AM,MATCH(DC$1,  Feature_List!$A$1:$AM$1,0),0)=AU259,".","NO"))</f>
        <v>.</v>
      </c>
      <c r="DD259" s="136" t="str">
        <f>IF($D259&lt;&gt;"Feature",".",
IF(VLOOKUP($B259,Feature_List!$A:$AM,MATCH(DD$1,  Feature_List!$A$1:$AM$1,0),0)=AV259,".","NO"))</f>
        <v>.</v>
      </c>
      <c r="DE259" s="136" t="str">
        <f>IF($D259&lt;&gt;"Feature",".",
IF(VLOOKUP($B259,Feature_List!$A:$AM,MATCH(DE$1,  Feature_List!$A$1:$AM$1,0),0)=AW259,".","NO"))</f>
        <v>.</v>
      </c>
      <c r="DF259" s="136" t="str">
        <f>IF($D259&lt;&gt;"Feature",".",
IF(VLOOKUP($B259,Feature_List!$A:$AM,MATCH(DF$1,  Feature_List!$A$1:$AM$1,0),0)=AX259,".","NO"))</f>
        <v>.</v>
      </c>
      <c r="DG259" s="136" t="str">
        <f>IF($D259&lt;&gt;"Feature",".",
IF(VLOOKUP($B259,Feature_List!$A:$AM,MATCH(DG$1,  Feature_List!$A$1:$AM$1,0),0)=AY259,".","NO"))</f>
        <v>.</v>
      </c>
      <c r="DH259" s="136" t="str">
        <f>IF($D259&lt;&gt;"Feature",".",
IF(VLOOKUP($B259,Feature_List!$A:$AM,MATCH(DH$1,  Feature_List!$A$1:$AM$1,0),0)=AZ259,".","NO"))</f>
        <v>.</v>
      </c>
      <c r="DI259" s="136" t="str">
        <f>IF($D259&lt;&gt;"Feature",".",
IF(VLOOKUP($B259,Feature_List!$A:$AM,MATCH(DI$1,  Feature_List!$A$1:$AM$1,0),0)=BA259,".","NO"))</f>
        <v>.</v>
      </c>
      <c r="DJ259" s="136" t="str">
        <f>IF($D259&lt;&gt;"Feature",".",
IF(VLOOKUP($B259,Feature_List!$A:$AM,MATCH(DJ$1,  Feature_List!$A$1:$AM$1,0),0)=BB259,".","NO"))</f>
        <v>.</v>
      </c>
      <c r="DK259" s="136"/>
      <c r="DL259" s="136"/>
      <c r="DM259" s="136"/>
      <c r="DN259" s="136" t="str">
        <f>IF($D259&lt;&gt;"Feature",".",
IF(VLOOKUP($B259,Feature_List!$A:$AM,MATCH(DN$1,  Feature_List!$A$1:$AM$1,0),0)=BC259,".","NO"))</f>
        <v>.</v>
      </c>
      <c r="DO259" s="136" t="str">
        <f>IF($D259&lt;&gt;"Feature",".",
IF(VLOOKUP($B259,Feature_List!$A:$AM,MATCH(DO$1,  Feature_List!$A$1:$AM$1,0),0)=BD259,".","NO"))</f>
        <v>.</v>
      </c>
    </row>
    <row r="260" spans="2:119" x14ac:dyDescent="0.3">
      <c r="B260" s="121"/>
      <c r="C260" s="122"/>
      <c r="D260" s="122"/>
      <c r="E260" s="122"/>
      <c r="F260" s="123"/>
      <c r="G260" s="123"/>
      <c r="H260" s="122"/>
      <c r="I260" s="124"/>
      <c r="J260" s="123"/>
      <c r="K260" s="123"/>
      <c r="L260" s="122"/>
      <c r="M260" s="122"/>
      <c r="N260" s="122"/>
      <c r="O260" s="123">
        <f t="shared" si="150"/>
        <v>0</v>
      </c>
      <c r="P260" s="123">
        <f t="shared" si="151"/>
        <v>0</v>
      </c>
      <c r="Q260" s="122" t="str">
        <f t="shared" si="172"/>
        <v>ZeroEntry</v>
      </c>
      <c r="R260" s="126" t="str">
        <f t="shared" si="152"/>
        <v>ZeroEntry</v>
      </c>
      <c r="S260" s="127" t="str">
        <f t="shared" si="153"/>
        <v>ZeroEntry</v>
      </c>
      <c r="T260" s="128" t="str">
        <f>IF($Q260="ZeroEntry", "",VLOOKUP($I260,'Ranking Lookup'!#REF!,2,FALSE))</f>
        <v/>
      </c>
      <c r="U260" s="129" t="str">
        <f t="shared" si="154"/>
        <v/>
      </c>
      <c r="V260" s="129" t="str">
        <f t="shared" si="155"/>
        <v/>
      </c>
      <c r="W260" s="129" t="str">
        <f t="shared" si="156"/>
        <v/>
      </c>
      <c r="X260" s="129" t="str">
        <f t="shared" si="157"/>
        <v/>
      </c>
      <c r="Y260" s="129" t="str">
        <f t="shared" si="158"/>
        <v/>
      </c>
      <c r="Z260" s="129" t="str">
        <f t="shared" si="159"/>
        <v/>
      </c>
      <c r="AA260" s="130"/>
      <c r="AB260" s="130" t="str">
        <f t="shared" si="160"/>
        <v>Unassigned</v>
      </c>
      <c r="AC260" s="131" t="str">
        <f t="shared" si="173"/>
        <v/>
      </c>
      <c r="AD260" s="131" t="str">
        <f t="shared" si="174"/>
        <v/>
      </c>
      <c r="AE260" s="132">
        <f t="shared" si="161"/>
        <v>0</v>
      </c>
      <c r="AF260" s="133" t="str">
        <f t="shared" si="175"/>
        <v/>
      </c>
      <c r="AG260" s="134">
        <f t="shared" si="162"/>
        <v>0</v>
      </c>
      <c r="AH260" s="54" t="str">
        <f t="shared" si="163"/>
        <v/>
      </c>
      <c r="AI260" s="54" t="str">
        <f t="shared" si="164"/>
        <v/>
      </c>
      <c r="AJ260" s="54" t="str">
        <f t="shared" si="164"/>
        <v/>
      </c>
      <c r="AK260" s="54" t="str">
        <f t="shared" si="164"/>
        <v/>
      </c>
      <c r="AL260" s="54" t="str">
        <f t="shared" si="164"/>
        <v/>
      </c>
      <c r="AM260" s="54" t="str">
        <f t="shared" si="164"/>
        <v/>
      </c>
      <c r="AN260" s="54" t="str">
        <f t="shared" si="164"/>
        <v/>
      </c>
      <c r="AO260" s="54" t="str">
        <f t="shared" si="164"/>
        <v/>
      </c>
      <c r="AP260" s="54" t="str">
        <f t="shared" si="164"/>
        <v/>
      </c>
      <c r="AQ260" s="54" t="str">
        <f t="shared" si="164"/>
        <v/>
      </c>
      <c r="AR260" s="54" t="str">
        <f t="shared" si="164"/>
        <v/>
      </c>
      <c r="AS260" s="54" t="str">
        <f t="shared" si="164"/>
        <v/>
      </c>
      <c r="AT260" s="54" t="str">
        <f t="shared" si="164"/>
        <v/>
      </c>
      <c r="AU260" s="54" t="str">
        <f t="shared" si="164"/>
        <v/>
      </c>
      <c r="AV260" s="54" t="str">
        <f t="shared" si="164"/>
        <v/>
      </c>
      <c r="AW260" s="54" t="str">
        <f t="shared" si="164"/>
        <v/>
      </c>
      <c r="AX260" s="54" t="str">
        <f t="shared" si="164"/>
        <v/>
      </c>
      <c r="AY260" s="54" t="str">
        <f t="shared" si="139"/>
        <v/>
      </c>
      <c r="AZ260" s="54" t="str">
        <f t="shared" si="165"/>
        <v/>
      </c>
      <c r="BA260" s="54" t="str">
        <f t="shared" si="166"/>
        <v/>
      </c>
      <c r="BB260" s="135" t="str">
        <f t="shared" si="167"/>
        <v/>
      </c>
      <c r="BC260" s="54" t="str">
        <f t="shared" si="148"/>
        <v/>
      </c>
      <c r="BD260" s="54" t="str">
        <f t="shared" si="148"/>
        <v/>
      </c>
      <c r="BE260" s="54" t="str">
        <f t="shared" si="148"/>
        <v/>
      </c>
      <c r="BF260" s="54" t="str">
        <f t="shared" si="168"/>
        <v/>
      </c>
      <c r="BG260" s="54" t="str">
        <f t="shared" si="169"/>
        <v/>
      </c>
      <c r="BH260" s="34" t="str">
        <f t="shared" si="170"/>
        <v>Bad</v>
      </c>
      <c r="BI260" s="34" t="str">
        <f t="shared" si="171"/>
        <v>No</v>
      </c>
      <c r="BJ260" s="136" t="str">
        <f>IF($D260&lt;&gt;"Feature",".",
IF(VLOOKUP($B260,Feature_List!$A:$AM,MATCH(BJ$1,  Feature_List!$A$1:$AM$1,0),0)=B260,".","NO"))</f>
        <v>.</v>
      </c>
      <c r="BK260" s="136"/>
      <c r="BL260" s="136"/>
      <c r="BM260" s="136" t="str">
        <f>IF($D260&lt;&gt;"Feature",".",
IF(VLOOKUP($B260,Feature_List!$A:$AM,MATCH(BM$1,  Feature_List!$A$1:$AM$1,0),0)=E260,".","NO"))</f>
        <v>.</v>
      </c>
      <c r="BN260" s="136" t="str">
        <f>IF($D260&lt;&gt;"Feature",".",
IF(VLOOKUP($B260,Feature_List!$A:$AM,MATCH(BN$1,  Feature_List!$A$1:$AM$1,0),0)=F260,".","NO"))</f>
        <v>.</v>
      </c>
      <c r="BO260" s="136" t="str">
        <f>IF($D260&lt;&gt;"Feature",".",
IF(VLOOKUP($B260,Feature_List!$A:$AM,MATCH(BO$1,  Feature_List!$A$1:$AM$1,0),0)=G260,".","NO"))</f>
        <v>.</v>
      </c>
      <c r="BP260" s="136" t="str">
        <f>IF($D260&lt;&gt;"Feature",".",
IF(VLOOKUP($B260,Feature_List!$A:$AM,MATCH(BP$1,  Feature_List!$A$1:$AM$1,0),0)=H260,".","NO"))</f>
        <v>.</v>
      </c>
      <c r="BQ260" s="136"/>
      <c r="BR260" s="136" t="str">
        <f>IF($D260&lt;&gt;"Feature",".",
IF(VLOOKUP($B260,Feature_List!$A:$AM,MATCH(BR$1,  Feature_List!$A$1:$AM$1,0),0)=J260,".","NO"))</f>
        <v>.</v>
      </c>
      <c r="BS260" s="136"/>
      <c r="BT260" s="136"/>
      <c r="BU260" s="136" t="str">
        <f>IF($D260&lt;&gt;"Feature",".",
IF(VLOOKUP($B260,Feature_List!$A:$AM,MATCH(BU$1,  Feature_List!$A$1:$AM$1,0),0)=M260,".","NO"))</f>
        <v>.</v>
      </c>
      <c r="BV260" s="136" t="str">
        <f>IF($D260&lt;&gt;"Feature",".",
IF(VLOOKUP($B260,Feature_List!$A:$AM,MATCH(BV$1,  Feature_List!$A$1:$AM$1,0),0)=N260,".","NO"))</f>
        <v>.</v>
      </c>
      <c r="BW260" s="136"/>
      <c r="BX260" s="136"/>
      <c r="BY260" s="136"/>
      <c r="BZ260" s="136"/>
      <c r="CA260" s="136"/>
      <c r="CB260" s="136" t="str">
        <f>IF($D260&lt;&gt;"Feature",".",
IF(VLOOKUP($B260,Feature_List!$A:$AM,MATCH(CB$1,  Feature_List!$A$1:$AM$1,0),0)=T260,".","NO"))</f>
        <v>.</v>
      </c>
      <c r="CC260" s="136"/>
      <c r="CD260" s="136"/>
      <c r="CE260" s="136"/>
      <c r="CF260" s="136"/>
      <c r="CG260" s="136"/>
      <c r="CH260" s="136"/>
      <c r="CI260" s="136"/>
      <c r="CJ260" s="136"/>
      <c r="CK260" s="136"/>
      <c r="CL260" s="136"/>
      <c r="CM260" s="136"/>
      <c r="CN260" s="136"/>
      <c r="CO260" s="136" t="str">
        <f>IF($D260&lt;&gt;"Feature",".",
IF(VLOOKUP($B260,Feature_List!$A:$AM,MATCH(CO$1,  Feature_List!$A$1:$AM$1,0),0)=AG260,".","NO"))</f>
        <v>.</v>
      </c>
      <c r="CP260" s="136" t="str">
        <f>IF($D260&lt;&gt;"Feature",".",
IF(VLOOKUP($B260,Feature_List!$A:$AM,MATCH(CP$1,  Feature_List!$A$1:$AM$1,0),0)=AH260,".","NO"))</f>
        <v>.</v>
      </c>
      <c r="CQ260" s="136" t="str">
        <f>IF($D260&lt;&gt;"Feature",".",
IF(VLOOKUP($B260,Feature_List!$A:$AM,MATCH(CQ$1,  Feature_List!$A$1:$AM$1,0),0)=AI260,".","NO"))</f>
        <v>.</v>
      </c>
      <c r="CR260" s="136" t="str">
        <f>IF($D260&lt;&gt;"Feature",".",
IF(VLOOKUP($B260,Feature_List!$A:$AM,MATCH(CR$1,  Feature_List!$A$1:$AM$1,0),0)=AJ260,".","NO"))</f>
        <v>.</v>
      </c>
      <c r="CS260" s="136" t="str">
        <f>IF($D260&lt;&gt;"Feature",".",
IF(VLOOKUP($B260,Feature_List!$A:$AM,MATCH(CS$1,  Feature_List!$A$1:$AM$1,0),0)=AK260,".","NO"))</f>
        <v>.</v>
      </c>
      <c r="CT260" s="136" t="str">
        <f>IF($D260&lt;&gt;"Feature",".",
IF(VLOOKUP($B260,Feature_List!$A:$AM,MATCH(CT$1,  Feature_List!$A$1:$AM$1,0),0)=AL260,".","NO"))</f>
        <v>.</v>
      </c>
      <c r="CU260" s="136" t="str">
        <f>IF($D260&lt;&gt;"Feature",".",
IF(VLOOKUP($B260,Feature_List!$A:$AM,MATCH(CU$1,  Feature_List!$A$1:$AM$1,0),0)=AM260,".","NO"))</f>
        <v>.</v>
      </c>
      <c r="CV260" s="136" t="str">
        <f>IF($D260&lt;&gt;"Feature",".",
IF(VLOOKUP($B260,Feature_List!$A:$AM,MATCH(CV$1,  Feature_List!$A$1:$AM$1,0),0)=AN260,".","NO"))</f>
        <v>.</v>
      </c>
      <c r="CW260" s="136" t="str">
        <f>IF($D260&lt;&gt;"Feature",".",
IF(VLOOKUP($B260,Feature_List!$A:$AM,MATCH(CW$1,  Feature_List!$A$1:$AM$1,0),0)=AO260,".","NO"))</f>
        <v>.</v>
      </c>
      <c r="CX260" s="136" t="str">
        <f>IF($D260&lt;&gt;"Feature",".",
IF(VLOOKUP($B260,Feature_List!$A:$AM,MATCH(CX$1,  Feature_List!$A$1:$AM$1,0),0)=AP260,".","NO"))</f>
        <v>.</v>
      </c>
      <c r="CY260" s="136" t="str">
        <f>IF($D260&lt;&gt;"Feature",".",
IF(VLOOKUP($B260,Feature_List!$A:$AM,MATCH(CY$1,  Feature_List!$A$1:$AM$1,0),0)=AQ260,".","NO"))</f>
        <v>.</v>
      </c>
      <c r="CZ260" s="136" t="str">
        <f>IF($D260&lt;&gt;"Feature",".",
IF(VLOOKUP($B260,Feature_List!$A:$AM,MATCH(CZ$1,  Feature_List!$A$1:$AM$1,0),0)=AR260,".","NO"))</f>
        <v>.</v>
      </c>
      <c r="DA260" s="136" t="str">
        <f>IF($D260&lt;&gt;"Feature",".",
IF(VLOOKUP($B260,Feature_List!$A:$AM,MATCH(DA$1,  Feature_List!$A$1:$AM$1,0),0)=AS260,".","NO"))</f>
        <v>.</v>
      </c>
      <c r="DB260" s="136" t="str">
        <f>IF($D260&lt;&gt;"Feature",".",
IF(VLOOKUP($B260,Feature_List!$A:$AM,MATCH(DB$1,  Feature_List!$A$1:$AM$1,0),0)=AT260,".","NO"))</f>
        <v>.</v>
      </c>
      <c r="DC260" s="136" t="str">
        <f>IF($D260&lt;&gt;"Feature",".",
IF(VLOOKUP($B260,Feature_List!$A:$AM,MATCH(DC$1,  Feature_List!$A$1:$AM$1,0),0)=AU260,".","NO"))</f>
        <v>.</v>
      </c>
      <c r="DD260" s="136" t="str">
        <f>IF($D260&lt;&gt;"Feature",".",
IF(VLOOKUP($B260,Feature_List!$A:$AM,MATCH(DD$1,  Feature_List!$A$1:$AM$1,0),0)=AV260,".","NO"))</f>
        <v>.</v>
      </c>
      <c r="DE260" s="136" t="str">
        <f>IF($D260&lt;&gt;"Feature",".",
IF(VLOOKUP($B260,Feature_List!$A:$AM,MATCH(DE$1,  Feature_List!$A$1:$AM$1,0),0)=AW260,".","NO"))</f>
        <v>.</v>
      </c>
      <c r="DF260" s="136" t="str">
        <f>IF($D260&lt;&gt;"Feature",".",
IF(VLOOKUP($B260,Feature_List!$A:$AM,MATCH(DF$1,  Feature_List!$A$1:$AM$1,0),0)=AX260,".","NO"))</f>
        <v>.</v>
      </c>
      <c r="DG260" s="136" t="str">
        <f>IF($D260&lt;&gt;"Feature",".",
IF(VLOOKUP($B260,Feature_List!$A:$AM,MATCH(DG$1,  Feature_List!$A$1:$AM$1,0),0)=AY260,".","NO"))</f>
        <v>.</v>
      </c>
      <c r="DH260" s="136" t="str">
        <f>IF($D260&lt;&gt;"Feature",".",
IF(VLOOKUP($B260,Feature_List!$A:$AM,MATCH(DH$1,  Feature_List!$A$1:$AM$1,0),0)=AZ260,".","NO"))</f>
        <v>.</v>
      </c>
      <c r="DI260" s="136" t="str">
        <f>IF($D260&lt;&gt;"Feature",".",
IF(VLOOKUP($B260,Feature_List!$A:$AM,MATCH(DI$1,  Feature_List!$A$1:$AM$1,0),0)=BA260,".","NO"))</f>
        <v>.</v>
      </c>
      <c r="DJ260" s="136" t="str">
        <f>IF($D260&lt;&gt;"Feature",".",
IF(VLOOKUP($B260,Feature_List!$A:$AM,MATCH(DJ$1,  Feature_List!$A$1:$AM$1,0),0)=BB260,".","NO"))</f>
        <v>.</v>
      </c>
      <c r="DK260" s="136"/>
      <c r="DL260" s="136"/>
      <c r="DM260" s="136"/>
      <c r="DN260" s="136" t="str">
        <f>IF($D260&lt;&gt;"Feature",".",
IF(VLOOKUP($B260,Feature_List!$A:$AM,MATCH(DN$1,  Feature_List!$A$1:$AM$1,0),0)=BC260,".","NO"))</f>
        <v>.</v>
      </c>
      <c r="DO260" s="136" t="str">
        <f>IF($D260&lt;&gt;"Feature",".",
IF(VLOOKUP($B260,Feature_List!$A:$AM,MATCH(DO$1,  Feature_List!$A$1:$AM$1,0),0)=BD260,".","NO"))</f>
        <v>.</v>
      </c>
    </row>
    <row r="261" spans="2:119" x14ac:dyDescent="0.3">
      <c r="B261" s="121"/>
      <c r="C261" s="122"/>
      <c r="D261" s="122"/>
      <c r="E261" s="122"/>
      <c r="F261" s="123"/>
      <c r="G261" s="123"/>
      <c r="H261" s="122"/>
      <c r="I261" s="124"/>
      <c r="J261" s="123"/>
      <c r="K261" s="123"/>
      <c r="L261" s="122"/>
      <c r="M261" s="122"/>
      <c r="N261" s="122"/>
      <c r="O261" s="123">
        <f t="shared" si="150"/>
        <v>0</v>
      </c>
      <c r="P261" s="123">
        <f t="shared" si="151"/>
        <v>0</v>
      </c>
      <c r="Q261" s="122" t="str">
        <f t="shared" si="172"/>
        <v>ZeroEntry</v>
      </c>
      <c r="R261" s="126" t="str">
        <f t="shared" si="152"/>
        <v>ZeroEntry</v>
      </c>
      <c r="S261" s="127" t="str">
        <f t="shared" si="153"/>
        <v>ZeroEntry</v>
      </c>
      <c r="T261" s="128" t="str">
        <f>IF($Q261="ZeroEntry", "",VLOOKUP($I261,'Ranking Lookup'!#REF!,2,FALSE))</f>
        <v/>
      </c>
      <c r="U261" s="129" t="str">
        <f t="shared" si="154"/>
        <v/>
      </c>
      <c r="V261" s="129" t="str">
        <f t="shared" si="155"/>
        <v/>
      </c>
      <c r="W261" s="129" t="str">
        <f t="shared" si="156"/>
        <v/>
      </c>
      <c r="X261" s="129" t="str">
        <f t="shared" si="157"/>
        <v/>
      </c>
      <c r="Y261" s="129" t="str">
        <f t="shared" si="158"/>
        <v/>
      </c>
      <c r="Z261" s="129" t="str">
        <f t="shared" si="159"/>
        <v/>
      </c>
      <c r="AA261" s="130"/>
      <c r="AB261" s="130" t="str">
        <f t="shared" si="160"/>
        <v>Unassigned</v>
      </c>
      <c r="AC261" s="131" t="str">
        <f t="shared" si="173"/>
        <v/>
      </c>
      <c r="AD261" s="131" t="str">
        <f t="shared" si="174"/>
        <v/>
      </c>
      <c r="AE261" s="132">
        <f t="shared" si="161"/>
        <v>0</v>
      </c>
      <c r="AF261" s="133" t="str">
        <f t="shared" si="175"/>
        <v/>
      </c>
      <c r="AG261" s="134">
        <f t="shared" si="162"/>
        <v>0</v>
      </c>
      <c r="AH261" s="54" t="str">
        <f t="shared" si="163"/>
        <v/>
      </c>
      <c r="AI261" s="54" t="str">
        <f t="shared" si="164"/>
        <v/>
      </c>
      <c r="AJ261" s="54" t="str">
        <f t="shared" si="164"/>
        <v/>
      </c>
      <c r="AK261" s="54" t="str">
        <f t="shared" si="164"/>
        <v/>
      </c>
      <c r="AL261" s="54" t="str">
        <f t="shared" si="164"/>
        <v/>
      </c>
      <c r="AM261" s="54" t="str">
        <f t="shared" si="164"/>
        <v/>
      </c>
      <c r="AN261" s="54" t="str">
        <f t="shared" si="164"/>
        <v/>
      </c>
      <c r="AO261" s="54" t="str">
        <f t="shared" si="164"/>
        <v/>
      </c>
      <c r="AP261" s="54" t="str">
        <f t="shared" si="164"/>
        <v/>
      </c>
      <c r="AQ261" s="54" t="str">
        <f t="shared" si="164"/>
        <v/>
      </c>
      <c r="AR261" s="54" t="str">
        <f t="shared" si="164"/>
        <v/>
      </c>
      <c r="AS261" s="54" t="str">
        <f t="shared" si="164"/>
        <v/>
      </c>
      <c r="AT261" s="54" t="str">
        <f t="shared" si="164"/>
        <v/>
      </c>
      <c r="AU261" s="54" t="str">
        <f t="shared" si="164"/>
        <v/>
      </c>
      <c r="AV261" s="54" t="str">
        <f t="shared" si="164"/>
        <v/>
      </c>
      <c r="AW261" s="54" t="str">
        <f t="shared" si="164"/>
        <v/>
      </c>
      <c r="AX261" s="54" t="str">
        <f t="shared" si="164"/>
        <v/>
      </c>
      <c r="AY261" s="54" t="str">
        <f t="shared" si="139"/>
        <v/>
      </c>
      <c r="AZ261" s="54" t="str">
        <f t="shared" si="165"/>
        <v/>
      </c>
      <c r="BA261" s="54" t="str">
        <f t="shared" si="166"/>
        <v/>
      </c>
      <c r="BB261" s="135" t="str">
        <f t="shared" si="167"/>
        <v/>
      </c>
      <c r="BC261" s="54" t="str">
        <f t="shared" si="148"/>
        <v/>
      </c>
      <c r="BD261" s="54" t="str">
        <f t="shared" si="148"/>
        <v/>
      </c>
      <c r="BE261" s="54" t="str">
        <f t="shared" si="148"/>
        <v/>
      </c>
      <c r="BF261" s="54" t="str">
        <f t="shared" si="168"/>
        <v/>
      </c>
      <c r="BG261" s="54" t="str">
        <f t="shared" si="169"/>
        <v/>
      </c>
      <c r="BH261" s="34" t="str">
        <f t="shared" si="170"/>
        <v>Bad</v>
      </c>
      <c r="BI261" s="34" t="str">
        <f t="shared" si="171"/>
        <v>No</v>
      </c>
      <c r="BJ261" s="136" t="str">
        <f>IF($D261&lt;&gt;"Feature",".",
IF(VLOOKUP($B261,Feature_List!$A:$AM,MATCH(BJ$1,  Feature_List!$A$1:$AM$1,0),0)=B261,".","NO"))</f>
        <v>.</v>
      </c>
      <c r="BK261" s="136"/>
      <c r="BL261" s="136"/>
      <c r="BM261" s="136" t="str">
        <f>IF($D261&lt;&gt;"Feature",".",
IF(VLOOKUP($B261,Feature_List!$A:$AM,MATCH(BM$1,  Feature_List!$A$1:$AM$1,0),0)=E261,".","NO"))</f>
        <v>.</v>
      </c>
      <c r="BN261" s="136" t="str">
        <f>IF($D261&lt;&gt;"Feature",".",
IF(VLOOKUP($B261,Feature_List!$A:$AM,MATCH(BN$1,  Feature_List!$A$1:$AM$1,0),0)=F261,".","NO"))</f>
        <v>.</v>
      </c>
      <c r="BO261" s="136" t="str">
        <f>IF($D261&lt;&gt;"Feature",".",
IF(VLOOKUP($B261,Feature_List!$A:$AM,MATCH(BO$1,  Feature_List!$A$1:$AM$1,0),0)=G261,".","NO"))</f>
        <v>.</v>
      </c>
      <c r="BP261" s="136" t="str">
        <f>IF($D261&lt;&gt;"Feature",".",
IF(VLOOKUP($B261,Feature_List!$A:$AM,MATCH(BP$1,  Feature_List!$A$1:$AM$1,0),0)=H261,".","NO"))</f>
        <v>.</v>
      </c>
      <c r="BQ261" s="136"/>
      <c r="BR261" s="136" t="str">
        <f>IF($D261&lt;&gt;"Feature",".",
IF(VLOOKUP($B261,Feature_List!$A:$AM,MATCH(BR$1,  Feature_List!$A$1:$AM$1,0),0)=J261,".","NO"))</f>
        <v>.</v>
      </c>
      <c r="BS261" s="136"/>
      <c r="BT261" s="136"/>
      <c r="BU261" s="136" t="str">
        <f>IF($D261&lt;&gt;"Feature",".",
IF(VLOOKUP($B261,Feature_List!$A:$AM,MATCH(BU$1,  Feature_List!$A$1:$AM$1,0),0)=M261,".","NO"))</f>
        <v>.</v>
      </c>
      <c r="BV261" s="136" t="str">
        <f>IF($D261&lt;&gt;"Feature",".",
IF(VLOOKUP($B261,Feature_List!$A:$AM,MATCH(BV$1,  Feature_List!$A$1:$AM$1,0),0)=N261,".","NO"))</f>
        <v>.</v>
      </c>
      <c r="BW261" s="136"/>
      <c r="BX261" s="136"/>
      <c r="BY261" s="136"/>
      <c r="BZ261" s="136"/>
      <c r="CA261" s="136"/>
      <c r="CB261" s="136" t="str">
        <f>IF($D261&lt;&gt;"Feature",".",
IF(VLOOKUP($B261,Feature_List!$A:$AM,MATCH(CB$1,  Feature_List!$A$1:$AM$1,0),0)=T261,".","NO"))</f>
        <v>.</v>
      </c>
      <c r="CC261" s="136"/>
      <c r="CD261" s="136"/>
      <c r="CE261" s="136"/>
      <c r="CF261" s="136"/>
      <c r="CG261" s="136"/>
      <c r="CH261" s="136"/>
      <c r="CI261" s="136"/>
      <c r="CJ261" s="136"/>
      <c r="CK261" s="136"/>
      <c r="CL261" s="136"/>
      <c r="CM261" s="136"/>
      <c r="CN261" s="136"/>
      <c r="CO261" s="136" t="str">
        <f>IF($D261&lt;&gt;"Feature",".",
IF(VLOOKUP($B261,Feature_List!$A:$AM,MATCH(CO$1,  Feature_List!$A$1:$AM$1,0),0)=AG261,".","NO"))</f>
        <v>.</v>
      </c>
      <c r="CP261" s="136" t="str">
        <f>IF($D261&lt;&gt;"Feature",".",
IF(VLOOKUP($B261,Feature_List!$A:$AM,MATCH(CP$1,  Feature_List!$A$1:$AM$1,0),0)=AH261,".","NO"))</f>
        <v>.</v>
      </c>
      <c r="CQ261" s="136" t="str">
        <f>IF($D261&lt;&gt;"Feature",".",
IF(VLOOKUP($B261,Feature_List!$A:$AM,MATCH(CQ$1,  Feature_List!$A$1:$AM$1,0),0)=AI261,".","NO"))</f>
        <v>.</v>
      </c>
      <c r="CR261" s="136" t="str">
        <f>IF($D261&lt;&gt;"Feature",".",
IF(VLOOKUP($B261,Feature_List!$A:$AM,MATCH(CR$1,  Feature_List!$A$1:$AM$1,0),0)=AJ261,".","NO"))</f>
        <v>.</v>
      </c>
      <c r="CS261" s="136" t="str">
        <f>IF($D261&lt;&gt;"Feature",".",
IF(VLOOKUP($B261,Feature_List!$A:$AM,MATCH(CS$1,  Feature_List!$A$1:$AM$1,0),0)=AK261,".","NO"))</f>
        <v>.</v>
      </c>
      <c r="CT261" s="136" t="str">
        <f>IF($D261&lt;&gt;"Feature",".",
IF(VLOOKUP($B261,Feature_List!$A:$AM,MATCH(CT$1,  Feature_List!$A$1:$AM$1,0),0)=AL261,".","NO"))</f>
        <v>.</v>
      </c>
      <c r="CU261" s="136" t="str">
        <f>IF($D261&lt;&gt;"Feature",".",
IF(VLOOKUP($B261,Feature_List!$A:$AM,MATCH(CU$1,  Feature_List!$A$1:$AM$1,0),0)=AM261,".","NO"))</f>
        <v>.</v>
      </c>
      <c r="CV261" s="136" t="str">
        <f>IF($D261&lt;&gt;"Feature",".",
IF(VLOOKUP($B261,Feature_List!$A:$AM,MATCH(CV$1,  Feature_List!$A$1:$AM$1,0),0)=AN261,".","NO"))</f>
        <v>.</v>
      </c>
      <c r="CW261" s="136" t="str">
        <f>IF($D261&lt;&gt;"Feature",".",
IF(VLOOKUP($B261,Feature_List!$A:$AM,MATCH(CW$1,  Feature_List!$A$1:$AM$1,0),0)=AO261,".","NO"))</f>
        <v>.</v>
      </c>
      <c r="CX261" s="136" t="str">
        <f>IF($D261&lt;&gt;"Feature",".",
IF(VLOOKUP($B261,Feature_List!$A:$AM,MATCH(CX$1,  Feature_List!$A$1:$AM$1,0),0)=AP261,".","NO"))</f>
        <v>.</v>
      </c>
      <c r="CY261" s="136" t="str">
        <f>IF($D261&lt;&gt;"Feature",".",
IF(VLOOKUP($B261,Feature_List!$A:$AM,MATCH(CY$1,  Feature_List!$A$1:$AM$1,0),0)=AQ261,".","NO"))</f>
        <v>.</v>
      </c>
      <c r="CZ261" s="136" t="str">
        <f>IF($D261&lt;&gt;"Feature",".",
IF(VLOOKUP($B261,Feature_List!$A:$AM,MATCH(CZ$1,  Feature_List!$A$1:$AM$1,0),0)=AR261,".","NO"))</f>
        <v>.</v>
      </c>
      <c r="DA261" s="136" t="str">
        <f>IF($D261&lt;&gt;"Feature",".",
IF(VLOOKUP($B261,Feature_List!$A:$AM,MATCH(DA$1,  Feature_List!$A$1:$AM$1,0),0)=AS261,".","NO"))</f>
        <v>.</v>
      </c>
      <c r="DB261" s="136" t="str">
        <f>IF($D261&lt;&gt;"Feature",".",
IF(VLOOKUP($B261,Feature_List!$A:$AM,MATCH(DB$1,  Feature_List!$A$1:$AM$1,0),0)=AT261,".","NO"))</f>
        <v>.</v>
      </c>
      <c r="DC261" s="136" t="str">
        <f>IF($D261&lt;&gt;"Feature",".",
IF(VLOOKUP($B261,Feature_List!$A:$AM,MATCH(DC$1,  Feature_List!$A$1:$AM$1,0),0)=AU261,".","NO"))</f>
        <v>.</v>
      </c>
      <c r="DD261" s="136" t="str">
        <f>IF($D261&lt;&gt;"Feature",".",
IF(VLOOKUP($B261,Feature_List!$A:$AM,MATCH(DD$1,  Feature_List!$A$1:$AM$1,0),0)=AV261,".","NO"))</f>
        <v>.</v>
      </c>
      <c r="DE261" s="136" t="str">
        <f>IF($D261&lt;&gt;"Feature",".",
IF(VLOOKUP($B261,Feature_List!$A:$AM,MATCH(DE$1,  Feature_List!$A$1:$AM$1,0),0)=AW261,".","NO"))</f>
        <v>.</v>
      </c>
      <c r="DF261" s="136" t="str">
        <f>IF($D261&lt;&gt;"Feature",".",
IF(VLOOKUP($B261,Feature_List!$A:$AM,MATCH(DF$1,  Feature_List!$A$1:$AM$1,0),0)=AX261,".","NO"))</f>
        <v>.</v>
      </c>
      <c r="DG261" s="136" t="str">
        <f>IF($D261&lt;&gt;"Feature",".",
IF(VLOOKUP($B261,Feature_List!$A:$AM,MATCH(DG$1,  Feature_List!$A$1:$AM$1,0),0)=AY261,".","NO"))</f>
        <v>.</v>
      </c>
      <c r="DH261" s="136" t="str">
        <f>IF($D261&lt;&gt;"Feature",".",
IF(VLOOKUP($B261,Feature_List!$A:$AM,MATCH(DH$1,  Feature_List!$A$1:$AM$1,0),0)=AZ261,".","NO"))</f>
        <v>.</v>
      </c>
      <c r="DI261" s="136" t="str">
        <f>IF($D261&lt;&gt;"Feature",".",
IF(VLOOKUP($B261,Feature_List!$A:$AM,MATCH(DI$1,  Feature_List!$A$1:$AM$1,0),0)=BA261,".","NO"))</f>
        <v>.</v>
      </c>
      <c r="DJ261" s="136" t="str">
        <f>IF($D261&lt;&gt;"Feature",".",
IF(VLOOKUP($B261,Feature_List!$A:$AM,MATCH(DJ$1,  Feature_List!$A$1:$AM$1,0),0)=BB261,".","NO"))</f>
        <v>.</v>
      </c>
      <c r="DK261" s="136"/>
      <c r="DL261" s="136"/>
      <c r="DM261" s="136"/>
      <c r="DN261" s="136" t="str">
        <f>IF($D261&lt;&gt;"Feature",".",
IF(VLOOKUP($B261,Feature_List!$A:$AM,MATCH(DN$1,  Feature_List!$A$1:$AM$1,0),0)=BC261,".","NO"))</f>
        <v>.</v>
      </c>
      <c r="DO261" s="136" t="str">
        <f>IF($D261&lt;&gt;"Feature",".",
IF(VLOOKUP($B261,Feature_List!$A:$AM,MATCH(DO$1,  Feature_List!$A$1:$AM$1,0),0)=BD261,".","NO"))</f>
        <v>.</v>
      </c>
    </row>
    <row r="262" spans="2:119" x14ac:dyDescent="0.3">
      <c r="B262" s="121"/>
      <c r="C262" s="122"/>
      <c r="D262" s="122"/>
      <c r="E262" s="122"/>
      <c r="F262" s="123"/>
      <c r="G262" s="123"/>
      <c r="H262" s="122"/>
      <c r="I262" s="124"/>
      <c r="J262" s="123"/>
      <c r="K262" s="123"/>
      <c r="L262" s="122"/>
      <c r="M262" s="122"/>
      <c r="N262" s="122"/>
      <c r="O262" s="123">
        <f t="shared" si="150"/>
        <v>0</v>
      </c>
      <c r="P262" s="123">
        <f t="shared" si="151"/>
        <v>0</v>
      </c>
      <c r="Q262" s="122" t="str">
        <f t="shared" si="172"/>
        <v>ZeroEntry</v>
      </c>
      <c r="R262" s="126" t="str">
        <f t="shared" si="152"/>
        <v>ZeroEntry</v>
      </c>
      <c r="S262" s="127" t="str">
        <f t="shared" si="153"/>
        <v>ZeroEntry</v>
      </c>
      <c r="T262" s="128" t="str">
        <f>IF($Q262="ZeroEntry", "",VLOOKUP($I262,'Ranking Lookup'!#REF!,2,FALSE))</f>
        <v/>
      </c>
      <c r="U262" s="129" t="str">
        <f t="shared" si="154"/>
        <v/>
      </c>
      <c r="V262" s="129" t="str">
        <f t="shared" si="155"/>
        <v/>
      </c>
      <c r="W262" s="129" t="str">
        <f t="shared" si="156"/>
        <v/>
      </c>
      <c r="X262" s="129" t="str">
        <f t="shared" si="157"/>
        <v/>
      </c>
      <c r="Y262" s="129" t="str">
        <f t="shared" si="158"/>
        <v/>
      </c>
      <c r="Z262" s="129" t="str">
        <f t="shared" si="159"/>
        <v/>
      </c>
      <c r="AA262" s="130"/>
      <c r="AB262" s="130" t="str">
        <f t="shared" si="160"/>
        <v>Unassigned</v>
      </c>
      <c r="AC262" s="131" t="str">
        <f t="shared" si="173"/>
        <v/>
      </c>
      <c r="AD262" s="131" t="str">
        <f t="shared" si="174"/>
        <v/>
      </c>
      <c r="AE262" s="132">
        <f t="shared" si="161"/>
        <v>0</v>
      </c>
      <c r="AF262" s="133" t="str">
        <f t="shared" si="175"/>
        <v/>
      </c>
      <c r="AG262" s="134">
        <f t="shared" si="162"/>
        <v>0</v>
      </c>
      <c r="AH262" s="54" t="str">
        <f t="shared" si="163"/>
        <v/>
      </c>
      <c r="AI262" s="54" t="str">
        <f t="shared" si="164"/>
        <v/>
      </c>
      <c r="AJ262" s="54" t="str">
        <f t="shared" si="164"/>
        <v/>
      </c>
      <c r="AK262" s="54" t="str">
        <f t="shared" si="164"/>
        <v/>
      </c>
      <c r="AL262" s="54" t="str">
        <f t="shared" si="164"/>
        <v/>
      </c>
      <c r="AM262" s="54" t="str">
        <f t="shared" si="164"/>
        <v/>
      </c>
      <c r="AN262" s="54" t="str">
        <f t="shared" si="164"/>
        <v/>
      </c>
      <c r="AO262" s="54" t="str">
        <f t="shared" si="164"/>
        <v/>
      </c>
      <c r="AP262" s="54" t="str">
        <f t="shared" si="164"/>
        <v/>
      </c>
      <c r="AQ262" s="54" t="str">
        <f t="shared" si="164"/>
        <v/>
      </c>
      <c r="AR262" s="54" t="str">
        <f t="shared" si="164"/>
        <v/>
      </c>
      <c r="AS262" s="54" t="str">
        <f t="shared" si="164"/>
        <v/>
      </c>
      <c r="AT262" s="54" t="str">
        <f t="shared" si="164"/>
        <v/>
      </c>
      <c r="AU262" s="54" t="str">
        <f t="shared" si="164"/>
        <v/>
      </c>
      <c r="AV262" s="54" t="str">
        <f t="shared" si="164"/>
        <v/>
      </c>
      <c r="AW262" s="54" t="str">
        <f t="shared" si="164"/>
        <v/>
      </c>
      <c r="AX262" s="54" t="str">
        <f t="shared" si="164"/>
        <v/>
      </c>
      <c r="AY262" s="54" t="str">
        <f t="shared" si="139"/>
        <v/>
      </c>
      <c r="AZ262" s="54" t="str">
        <f t="shared" si="165"/>
        <v/>
      </c>
      <c r="BA262" s="54" t="str">
        <f t="shared" si="166"/>
        <v/>
      </c>
      <c r="BB262" s="135" t="str">
        <f t="shared" si="167"/>
        <v/>
      </c>
      <c r="BC262" s="54" t="str">
        <f t="shared" ref="BC262:BE281" si="176">IF(AND($Q262="Feature",LEFT($AB262,2)="PI"),
IF(AND(COUNTIF($R:$R,$B262)=1,$T262=BC$1), IF($AB262=$A$10,$AF262,0),
IF(OR($AD262&lt;1,RIGHT($G262,8)="Progress"),SUMIFS($O:$O,$R:$R,$B262,$T:$T,BC$1,$P:$P,"&lt;&gt;Done",$AB:$AB,$A$10),
IF($T262=BC$1, IF($AB262=$A$10,$AD262,0)+SUMIFS($O:$O,$R:$R,$B262,$T:$T,BC$1,$P:$P,"&lt;&gt;Done",$AB:$AB,$A$10),SUMIFS($O:$O,$R:$R,$B262,$T:$T,BC$1,$P:$P,"&lt;&gt;Done",$AB:$AB,$A$10)))),
IF(AND(OR($Q262="Story",$Q262="Problem",$Q262="Enhancement"),$AB262=$A$10,$R262=0,$T262=BC$1,$P262&lt;&gt;"Done"),$O262,""))</f>
        <v/>
      </c>
      <c r="BD262" s="54" t="str">
        <f t="shared" si="176"/>
        <v/>
      </c>
      <c r="BE262" s="54" t="str">
        <f t="shared" si="176"/>
        <v/>
      </c>
      <c r="BF262" s="54" t="str">
        <f t="shared" si="168"/>
        <v/>
      </c>
      <c r="BG262" s="54" t="str">
        <f t="shared" si="169"/>
        <v/>
      </c>
      <c r="BH262" s="34" t="str">
        <f t="shared" si="170"/>
        <v>Bad</v>
      </c>
      <c r="BI262" s="34" t="str">
        <f t="shared" si="171"/>
        <v>No</v>
      </c>
      <c r="BJ262" s="136" t="str">
        <f>IF($D262&lt;&gt;"Feature",".",
IF(VLOOKUP($B262,Feature_List!$A:$AM,MATCH(BJ$1,  Feature_List!$A$1:$AM$1,0),0)=B262,".","NO"))</f>
        <v>.</v>
      </c>
      <c r="BK262" s="136"/>
      <c r="BL262" s="136"/>
      <c r="BM262" s="136" t="str">
        <f>IF($D262&lt;&gt;"Feature",".",
IF(VLOOKUP($B262,Feature_List!$A:$AM,MATCH(BM$1,  Feature_List!$A$1:$AM$1,0),0)=E262,".","NO"))</f>
        <v>.</v>
      </c>
      <c r="BN262" s="136" t="str">
        <f>IF($D262&lt;&gt;"Feature",".",
IF(VLOOKUP($B262,Feature_List!$A:$AM,MATCH(BN$1,  Feature_List!$A$1:$AM$1,0),0)=F262,".","NO"))</f>
        <v>.</v>
      </c>
      <c r="BO262" s="136" t="str">
        <f>IF($D262&lt;&gt;"Feature",".",
IF(VLOOKUP($B262,Feature_List!$A:$AM,MATCH(BO$1,  Feature_List!$A$1:$AM$1,0),0)=G262,".","NO"))</f>
        <v>.</v>
      </c>
      <c r="BP262" s="136" t="str">
        <f>IF($D262&lt;&gt;"Feature",".",
IF(VLOOKUP($B262,Feature_List!$A:$AM,MATCH(BP$1,  Feature_List!$A$1:$AM$1,0),0)=H262,".","NO"))</f>
        <v>.</v>
      </c>
      <c r="BQ262" s="136"/>
      <c r="BR262" s="136" t="str">
        <f>IF($D262&lt;&gt;"Feature",".",
IF(VLOOKUP($B262,Feature_List!$A:$AM,MATCH(BR$1,  Feature_List!$A$1:$AM$1,0),0)=J262,".","NO"))</f>
        <v>.</v>
      </c>
      <c r="BS262" s="136"/>
      <c r="BT262" s="136"/>
      <c r="BU262" s="136" t="str">
        <f>IF($D262&lt;&gt;"Feature",".",
IF(VLOOKUP($B262,Feature_List!$A:$AM,MATCH(BU$1,  Feature_List!$A$1:$AM$1,0),0)=M262,".","NO"))</f>
        <v>.</v>
      </c>
      <c r="BV262" s="136" t="str">
        <f>IF($D262&lt;&gt;"Feature",".",
IF(VLOOKUP($B262,Feature_List!$A:$AM,MATCH(BV$1,  Feature_List!$A$1:$AM$1,0),0)=N262,".","NO"))</f>
        <v>.</v>
      </c>
      <c r="BW262" s="136"/>
      <c r="BX262" s="136"/>
      <c r="BY262" s="136"/>
      <c r="BZ262" s="136"/>
      <c r="CA262" s="136"/>
      <c r="CB262" s="136" t="str">
        <f>IF($D262&lt;&gt;"Feature",".",
IF(VLOOKUP($B262,Feature_List!$A:$AM,MATCH(CB$1,  Feature_List!$A$1:$AM$1,0),0)=T262,".","NO"))</f>
        <v>.</v>
      </c>
      <c r="CC262" s="136"/>
      <c r="CD262" s="136"/>
      <c r="CE262" s="136"/>
      <c r="CF262" s="136"/>
      <c r="CG262" s="136"/>
      <c r="CH262" s="136"/>
      <c r="CI262" s="136"/>
      <c r="CJ262" s="136"/>
      <c r="CK262" s="136"/>
      <c r="CL262" s="136"/>
      <c r="CM262" s="136"/>
      <c r="CN262" s="136"/>
      <c r="CO262" s="136" t="str">
        <f>IF($D262&lt;&gt;"Feature",".",
IF(VLOOKUP($B262,Feature_List!$A:$AM,MATCH(CO$1,  Feature_List!$A$1:$AM$1,0),0)=AG262,".","NO"))</f>
        <v>.</v>
      </c>
      <c r="CP262" s="136" t="str">
        <f>IF($D262&lt;&gt;"Feature",".",
IF(VLOOKUP($B262,Feature_List!$A:$AM,MATCH(CP$1,  Feature_List!$A$1:$AM$1,0),0)=AH262,".","NO"))</f>
        <v>.</v>
      </c>
      <c r="CQ262" s="136" t="str">
        <f>IF($D262&lt;&gt;"Feature",".",
IF(VLOOKUP($B262,Feature_List!$A:$AM,MATCH(CQ$1,  Feature_List!$A$1:$AM$1,0),0)=AI262,".","NO"))</f>
        <v>.</v>
      </c>
      <c r="CR262" s="136" t="str">
        <f>IF($D262&lt;&gt;"Feature",".",
IF(VLOOKUP($B262,Feature_List!$A:$AM,MATCH(CR$1,  Feature_List!$A$1:$AM$1,0),0)=AJ262,".","NO"))</f>
        <v>.</v>
      </c>
      <c r="CS262" s="136" t="str">
        <f>IF($D262&lt;&gt;"Feature",".",
IF(VLOOKUP($B262,Feature_List!$A:$AM,MATCH(CS$1,  Feature_List!$A$1:$AM$1,0),0)=AK262,".","NO"))</f>
        <v>.</v>
      </c>
      <c r="CT262" s="136" t="str">
        <f>IF($D262&lt;&gt;"Feature",".",
IF(VLOOKUP($B262,Feature_List!$A:$AM,MATCH(CT$1,  Feature_List!$A$1:$AM$1,0),0)=AL262,".","NO"))</f>
        <v>.</v>
      </c>
      <c r="CU262" s="136" t="str">
        <f>IF($D262&lt;&gt;"Feature",".",
IF(VLOOKUP($B262,Feature_List!$A:$AM,MATCH(CU$1,  Feature_List!$A$1:$AM$1,0),0)=AM262,".","NO"))</f>
        <v>.</v>
      </c>
      <c r="CV262" s="136" t="str">
        <f>IF($D262&lt;&gt;"Feature",".",
IF(VLOOKUP($B262,Feature_List!$A:$AM,MATCH(CV$1,  Feature_List!$A$1:$AM$1,0),0)=AN262,".","NO"))</f>
        <v>.</v>
      </c>
      <c r="CW262" s="136" t="str">
        <f>IF($D262&lt;&gt;"Feature",".",
IF(VLOOKUP($B262,Feature_List!$A:$AM,MATCH(CW$1,  Feature_List!$A$1:$AM$1,0),0)=AO262,".","NO"))</f>
        <v>.</v>
      </c>
      <c r="CX262" s="136" t="str">
        <f>IF($D262&lt;&gt;"Feature",".",
IF(VLOOKUP($B262,Feature_List!$A:$AM,MATCH(CX$1,  Feature_List!$A$1:$AM$1,0),0)=AP262,".","NO"))</f>
        <v>.</v>
      </c>
      <c r="CY262" s="136" t="str">
        <f>IF($D262&lt;&gt;"Feature",".",
IF(VLOOKUP($B262,Feature_List!$A:$AM,MATCH(CY$1,  Feature_List!$A$1:$AM$1,0),0)=AQ262,".","NO"))</f>
        <v>.</v>
      </c>
      <c r="CZ262" s="136" t="str">
        <f>IF($D262&lt;&gt;"Feature",".",
IF(VLOOKUP($B262,Feature_List!$A:$AM,MATCH(CZ$1,  Feature_List!$A$1:$AM$1,0),0)=AR262,".","NO"))</f>
        <v>.</v>
      </c>
      <c r="DA262" s="136" t="str">
        <f>IF($D262&lt;&gt;"Feature",".",
IF(VLOOKUP($B262,Feature_List!$A:$AM,MATCH(DA$1,  Feature_List!$A$1:$AM$1,0),0)=AS262,".","NO"))</f>
        <v>.</v>
      </c>
      <c r="DB262" s="136" t="str">
        <f>IF($D262&lt;&gt;"Feature",".",
IF(VLOOKUP($B262,Feature_List!$A:$AM,MATCH(DB$1,  Feature_List!$A$1:$AM$1,0),0)=AT262,".","NO"))</f>
        <v>.</v>
      </c>
      <c r="DC262" s="136" t="str">
        <f>IF($D262&lt;&gt;"Feature",".",
IF(VLOOKUP($B262,Feature_List!$A:$AM,MATCH(DC$1,  Feature_List!$A$1:$AM$1,0),0)=AU262,".","NO"))</f>
        <v>.</v>
      </c>
      <c r="DD262" s="136" t="str">
        <f>IF($D262&lt;&gt;"Feature",".",
IF(VLOOKUP($B262,Feature_List!$A:$AM,MATCH(DD$1,  Feature_List!$A$1:$AM$1,0),0)=AV262,".","NO"))</f>
        <v>.</v>
      </c>
      <c r="DE262" s="136" t="str">
        <f>IF($D262&lt;&gt;"Feature",".",
IF(VLOOKUP($B262,Feature_List!$A:$AM,MATCH(DE$1,  Feature_List!$A$1:$AM$1,0),0)=AW262,".","NO"))</f>
        <v>.</v>
      </c>
      <c r="DF262" s="136" t="str">
        <f>IF($D262&lt;&gt;"Feature",".",
IF(VLOOKUP($B262,Feature_List!$A:$AM,MATCH(DF$1,  Feature_List!$A$1:$AM$1,0),0)=AX262,".","NO"))</f>
        <v>.</v>
      </c>
      <c r="DG262" s="136" t="str">
        <f>IF($D262&lt;&gt;"Feature",".",
IF(VLOOKUP($B262,Feature_List!$A:$AM,MATCH(DG$1,  Feature_List!$A$1:$AM$1,0),0)=AY262,".","NO"))</f>
        <v>.</v>
      </c>
      <c r="DH262" s="136" t="str">
        <f>IF($D262&lt;&gt;"Feature",".",
IF(VLOOKUP($B262,Feature_List!$A:$AM,MATCH(DH$1,  Feature_List!$A$1:$AM$1,0),0)=AZ262,".","NO"))</f>
        <v>.</v>
      </c>
      <c r="DI262" s="136" t="str">
        <f>IF($D262&lt;&gt;"Feature",".",
IF(VLOOKUP($B262,Feature_List!$A:$AM,MATCH(DI$1,  Feature_List!$A$1:$AM$1,0),0)=BA262,".","NO"))</f>
        <v>.</v>
      </c>
      <c r="DJ262" s="136" t="str">
        <f>IF($D262&lt;&gt;"Feature",".",
IF(VLOOKUP($B262,Feature_List!$A:$AM,MATCH(DJ$1,  Feature_List!$A$1:$AM$1,0),0)=BB262,".","NO"))</f>
        <v>.</v>
      </c>
      <c r="DK262" s="136"/>
      <c r="DL262" s="136"/>
      <c r="DM262" s="136"/>
      <c r="DN262" s="136" t="str">
        <f>IF($D262&lt;&gt;"Feature",".",
IF(VLOOKUP($B262,Feature_List!$A:$AM,MATCH(DN$1,  Feature_List!$A$1:$AM$1,0),0)=BC262,".","NO"))</f>
        <v>.</v>
      </c>
      <c r="DO262" s="136" t="str">
        <f>IF($D262&lt;&gt;"Feature",".",
IF(VLOOKUP($B262,Feature_List!$A:$AM,MATCH(DO$1,  Feature_List!$A$1:$AM$1,0),0)=BD262,".","NO"))</f>
        <v>.</v>
      </c>
    </row>
    <row r="263" spans="2:119" x14ac:dyDescent="0.3">
      <c r="B263" s="121"/>
      <c r="C263" s="122"/>
      <c r="D263" s="122"/>
      <c r="E263" s="122"/>
      <c r="F263" s="123"/>
      <c r="G263" s="123"/>
      <c r="H263" s="122"/>
      <c r="I263" s="124"/>
      <c r="J263" s="123"/>
      <c r="K263" s="123"/>
      <c r="L263" s="122"/>
      <c r="M263" s="122"/>
      <c r="N263" s="122"/>
      <c r="O263" s="123">
        <f t="shared" si="150"/>
        <v>0</v>
      </c>
      <c r="P263" s="123">
        <f t="shared" si="151"/>
        <v>0</v>
      </c>
      <c r="Q263" s="122" t="str">
        <f t="shared" si="172"/>
        <v>ZeroEntry</v>
      </c>
      <c r="R263" s="126" t="str">
        <f t="shared" si="152"/>
        <v>ZeroEntry</v>
      </c>
      <c r="S263" s="127" t="str">
        <f t="shared" si="153"/>
        <v>ZeroEntry</v>
      </c>
      <c r="T263" s="128" t="str">
        <f>IF($Q263="ZeroEntry", "",VLOOKUP($I263,'Ranking Lookup'!#REF!,2,FALSE))</f>
        <v/>
      </c>
      <c r="U263" s="129" t="str">
        <f t="shared" si="154"/>
        <v/>
      </c>
      <c r="V263" s="129" t="str">
        <f t="shared" si="155"/>
        <v/>
      </c>
      <c r="W263" s="129" t="str">
        <f t="shared" si="156"/>
        <v/>
      </c>
      <c r="X263" s="129" t="str">
        <f t="shared" si="157"/>
        <v/>
      </c>
      <c r="Y263" s="129" t="str">
        <f t="shared" si="158"/>
        <v/>
      </c>
      <c r="Z263" s="129" t="str">
        <f t="shared" si="159"/>
        <v/>
      </c>
      <c r="AA263" s="130"/>
      <c r="AB263" s="130" t="str">
        <f t="shared" si="160"/>
        <v>Unassigned</v>
      </c>
      <c r="AC263" s="131" t="str">
        <f t="shared" si="173"/>
        <v/>
      </c>
      <c r="AD263" s="131" t="str">
        <f t="shared" si="174"/>
        <v/>
      </c>
      <c r="AE263" s="132">
        <f t="shared" si="161"/>
        <v>0</v>
      </c>
      <c r="AF263" s="133" t="str">
        <f t="shared" si="175"/>
        <v/>
      </c>
      <c r="AG263" s="134">
        <f t="shared" si="162"/>
        <v>0</v>
      </c>
      <c r="AH263" s="54" t="str">
        <f t="shared" si="163"/>
        <v/>
      </c>
      <c r="AI263" s="54" t="str">
        <f t="shared" si="164"/>
        <v/>
      </c>
      <c r="AJ263" s="54" t="str">
        <f t="shared" si="164"/>
        <v/>
      </c>
      <c r="AK263" s="54" t="str">
        <f t="shared" si="164"/>
        <v/>
      </c>
      <c r="AL263" s="54" t="str">
        <f t="shared" si="164"/>
        <v/>
      </c>
      <c r="AM263" s="54" t="str">
        <f t="shared" si="164"/>
        <v/>
      </c>
      <c r="AN263" s="54" t="str">
        <f t="shared" si="164"/>
        <v/>
      </c>
      <c r="AO263" s="54" t="str">
        <f t="shared" si="164"/>
        <v/>
      </c>
      <c r="AP263" s="54" t="str">
        <f t="shared" si="164"/>
        <v/>
      </c>
      <c r="AQ263" s="54" t="str">
        <f t="shared" si="164"/>
        <v/>
      </c>
      <c r="AR263" s="54" t="str">
        <f t="shared" si="164"/>
        <v/>
      </c>
      <c r="AS263" s="54" t="str">
        <f t="shared" si="164"/>
        <v/>
      </c>
      <c r="AT263" s="54" t="str">
        <f t="shared" si="164"/>
        <v/>
      </c>
      <c r="AU263" s="54" t="str">
        <f t="shared" si="164"/>
        <v/>
      </c>
      <c r="AV263" s="54" t="str">
        <f t="shared" si="164"/>
        <v/>
      </c>
      <c r="AW263" s="54" t="str">
        <f t="shared" si="164"/>
        <v/>
      </c>
      <c r="AX263" s="54" t="str">
        <f t="shared" si="164"/>
        <v/>
      </c>
      <c r="AY263" s="54" t="str">
        <f t="shared" si="139"/>
        <v/>
      </c>
      <c r="AZ263" s="54" t="str">
        <f t="shared" si="165"/>
        <v/>
      </c>
      <c r="BA263" s="54" t="str">
        <f t="shared" si="166"/>
        <v/>
      </c>
      <c r="BB263" s="135" t="str">
        <f t="shared" si="167"/>
        <v/>
      </c>
      <c r="BC263" s="54" t="str">
        <f t="shared" si="176"/>
        <v/>
      </c>
      <c r="BD263" s="54" t="str">
        <f t="shared" si="176"/>
        <v/>
      </c>
      <c r="BE263" s="54" t="str">
        <f t="shared" si="176"/>
        <v/>
      </c>
      <c r="BF263" s="54" t="str">
        <f t="shared" si="168"/>
        <v/>
      </c>
      <c r="BG263" s="54" t="str">
        <f t="shared" si="169"/>
        <v/>
      </c>
      <c r="BH263" s="34" t="str">
        <f t="shared" si="170"/>
        <v>Bad</v>
      </c>
      <c r="BI263" s="34" t="str">
        <f t="shared" si="171"/>
        <v>No</v>
      </c>
      <c r="BJ263" s="136" t="str">
        <f>IF($D263&lt;&gt;"Feature",".",
IF(VLOOKUP($B263,Feature_List!$A:$AM,MATCH(BJ$1,  Feature_List!$A$1:$AM$1,0),0)=B263,".","NO"))</f>
        <v>.</v>
      </c>
      <c r="BK263" s="136"/>
      <c r="BL263" s="136"/>
      <c r="BM263" s="136" t="str">
        <f>IF($D263&lt;&gt;"Feature",".",
IF(VLOOKUP($B263,Feature_List!$A:$AM,MATCH(BM$1,  Feature_List!$A$1:$AM$1,0),0)=E263,".","NO"))</f>
        <v>.</v>
      </c>
      <c r="BN263" s="136" t="str">
        <f>IF($D263&lt;&gt;"Feature",".",
IF(VLOOKUP($B263,Feature_List!$A:$AM,MATCH(BN$1,  Feature_List!$A$1:$AM$1,0),0)=F263,".","NO"))</f>
        <v>.</v>
      </c>
      <c r="BO263" s="136" t="str">
        <f>IF($D263&lt;&gt;"Feature",".",
IF(VLOOKUP($B263,Feature_List!$A:$AM,MATCH(BO$1,  Feature_List!$A$1:$AM$1,0),0)=G263,".","NO"))</f>
        <v>.</v>
      </c>
      <c r="BP263" s="136" t="str">
        <f>IF($D263&lt;&gt;"Feature",".",
IF(VLOOKUP($B263,Feature_List!$A:$AM,MATCH(BP$1,  Feature_List!$A$1:$AM$1,0),0)=H263,".","NO"))</f>
        <v>.</v>
      </c>
      <c r="BQ263" s="136"/>
      <c r="BR263" s="136" t="str">
        <f>IF($D263&lt;&gt;"Feature",".",
IF(VLOOKUP($B263,Feature_List!$A:$AM,MATCH(BR$1,  Feature_List!$A$1:$AM$1,0),0)=J263,".","NO"))</f>
        <v>.</v>
      </c>
      <c r="BS263" s="136"/>
      <c r="BT263" s="136"/>
      <c r="BU263" s="136" t="str">
        <f>IF($D263&lt;&gt;"Feature",".",
IF(VLOOKUP($B263,Feature_List!$A:$AM,MATCH(BU$1,  Feature_List!$A$1:$AM$1,0),0)=M263,".","NO"))</f>
        <v>.</v>
      </c>
      <c r="BV263" s="136" t="str">
        <f>IF($D263&lt;&gt;"Feature",".",
IF(VLOOKUP($B263,Feature_List!$A:$AM,MATCH(BV$1,  Feature_List!$A$1:$AM$1,0),0)=N263,".","NO"))</f>
        <v>.</v>
      </c>
      <c r="BW263" s="136"/>
      <c r="BX263" s="136"/>
      <c r="BY263" s="136"/>
      <c r="BZ263" s="136"/>
      <c r="CA263" s="136"/>
      <c r="CB263" s="136" t="str">
        <f>IF($D263&lt;&gt;"Feature",".",
IF(VLOOKUP($B263,Feature_List!$A:$AM,MATCH(CB$1,  Feature_List!$A$1:$AM$1,0),0)=T263,".","NO"))</f>
        <v>.</v>
      </c>
      <c r="CC263" s="136"/>
      <c r="CD263" s="136"/>
      <c r="CE263" s="136"/>
      <c r="CF263" s="136"/>
      <c r="CG263" s="136"/>
      <c r="CH263" s="136"/>
      <c r="CI263" s="136"/>
      <c r="CJ263" s="136"/>
      <c r="CK263" s="136"/>
      <c r="CL263" s="136"/>
      <c r="CM263" s="136"/>
      <c r="CN263" s="136"/>
      <c r="CO263" s="136" t="str">
        <f>IF($D263&lt;&gt;"Feature",".",
IF(VLOOKUP($B263,Feature_List!$A:$AM,MATCH(CO$1,  Feature_List!$A$1:$AM$1,0),0)=AG263,".","NO"))</f>
        <v>.</v>
      </c>
      <c r="CP263" s="136" t="str">
        <f>IF($D263&lt;&gt;"Feature",".",
IF(VLOOKUP($B263,Feature_List!$A:$AM,MATCH(CP$1,  Feature_List!$A$1:$AM$1,0),0)=AH263,".","NO"))</f>
        <v>.</v>
      </c>
      <c r="CQ263" s="136" t="str">
        <f>IF($D263&lt;&gt;"Feature",".",
IF(VLOOKUP($B263,Feature_List!$A:$AM,MATCH(CQ$1,  Feature_List!$A$1:$AM$1,0),0)=AI263,".","NO"))</f>
        <v>.</v>
      </c>
      <c r="CR263" s="136" t="str">
        <f>IF($D263&lt;&gt;"Feature",".",
IF(VLOOKUP($B263,Feature_List!$A:$AM,MATCH(CR$1,  Feature_List!$A$1:$AM$1,0),0)=AJ263,".","NO"))</f>
        <v>.</v>
      </c>
      <c r="CS263" s="136" t="str">
        <f>IF($D263&lt;&gt;"Feature",".",
IF(VLOOKUP($B263,Feature_List!$A:$AM,MATCH(CS$1,  Feature_List!$A$1:$AM$1,0),0)=AK263,".","NO"))</f>
        <v>.</v>
      </c>
      <c r="CT263" s="136" t="str">
        <f>IF($D263&lt;&gt;"Feature",".",
IF(VLOOKUP($B263,Feature_List!$A:$AM,MATCH(CT$1,  Feature_List!$A$1:$AM$1,0),0)=AL263,".","NO"))</f>
        <v>.</v>
      </c>
      <c r="CU263" s="136" t="str">
        <f>IF($D263&lt;&gt;"Feature",".",
IF(VLOOKUP($B263,Feature_List!$A:$AM,MATCH(CU$1,  Feature_List!$A$1:$AM$1,0),0)=AM263,".","NO"))</f>
        <v>.</v>
      </c>
      <c r="CV263" s="136" t="str">
        <f>IF($D263&lt;&gt;"Feature",".",
IF(VLOOKUP($B263,Feature_List!$A:$AM,MATCH(CV$1,  Feature_List!$A$1:$AM$1,0),0)=AN263,".","NO"))</f>
        <v>.</v>
      </c>
      <c r="CW263" s="136" t="str">
        <f>IF($D263&lt;&gt;"Feature",".",
IF(VLOOKUP($B263,Feature_List!$A:$AM,MATCH(CW$1,  Feature_List!$A$1:$AM$1,0),0)=AO263,".","NO"))</f>
        <v>.</v>
      </c>
      <c r="CX263" s="136" t="str">
        <f>IF($D263&lt;&gt;"Feature",".",
IF(VLOOKUP($B263,Feature_List!$A:$AM,MATCH(CX$1,  Feature_List!$A$1:$AM$1,0),0)=AP263,".","NO"))</f>
        <v>.</v>
      </c>
      <c r="CY263" s="136" t="str">
        <f>IF($D263&lt;&gt;"Feature",".",
IF(VLOOKUP($B263,Feature_List!$A:$AM,MATCH(CY$1,  Feature_List!$A$1:$AM$1,0),0)=AQ263,".","NO"))</f>
        <v>.</v>
      </c>
      <c r="CZ263" s="136" t="str">
        <f>IF($D263&lt;&gt;"Feature",".",
IF(VLOOKUP($B263,Feature_List!$A:$AM,MATCH(CZ$1,  Feature_List!$A$1:$AM$1,0),0)=AR263,".","NO"))</f>
        <v>.</v>
      </c>
      <c r="DA263" s="136" t="str">
        <f>IF($D263&lt;&gt;"Feature",".",
IF(VLOOKUP($B263,Feature_List!$A:$AM,MATCH(DA$1,  Feature_List!$A$1:$AM$1,0),0)=AS263,".","NO"))</f>
        <v>.</v>
      </c>
      <c r="DB263" s="136" t="str">
        <f>IF($D263&lt;&gt;"Feature",".",
IF(VLOOKUP($B263,Feature_List!$A:$AM,MATCH(DB$1,  Feature_List!$A$1:$AM$1,0),0)=AT263,".","NO"))</f>
        <v>.</v>
      </c>
      <c r="DC263" s="136" t="str">
        <f>IF($D263&lt;&gt;"Feature",".",
IF(VLOOKUP($B263,Feature_List!$A:$AM,MATCH(DC$1,  Feature_List!$A$1:$AM$1,0),0)=AU263,".","NO"))</f>
        <v>.</v>
      </c>
      <c r="DD263" s="136" t="str">
        <f>IF($D263&lt;&gt;"Feature",".",
IF(VLOOKUP($B263,Feature_List!$A:$AM,MATCH(DD$1,  Feature_List!$A$1:$AM$1,0),0)=AV263,".","NO"))</f>
        <v>.</v>
      </c>
      <c r="DE263" s="136" t="str">
        <f>IF($D263&lt;&gt;"Feature",".",
IF(VLOOKUP($B263,Feature_List!$A:$AM,MATCH(DE$1,  Feature_List!$A$1:$AM$1,0),0)=AW263,".","NO"))</f>
        <v>.</v>
      </c>
      <c r="DF263" s="136" t="str">
        <f>IF($D263&lt;&gt;"Feature",".",
IF(VLOOKUP($B263,Feature_List!$A:$AM,MATCH(DF$1,  Feature_List!$A$1:$AM$1,0),0)=AX263,".","NO"))</f>
        <v>.</v>
      </c>
      <c r="DG263" s="136" t="str">
        <f>IF($D263&lt;&gt;"Feature",".",
IF(VLOOKUP($B263,Feature_List!$A:$AM,MATCH(DG$1,  Feature_List!$A$1:$AM$1,0),0)=AY263,".","NO"))</f>
        <v>.</v>
      </c>
      <c r="DH263" s="136" t="str">
        <f>IF($D263&lt;&gt;"Feature",".",
IF(VLOOKUP($B263,Feature_List!$A:$AM,MATCH(DH$1,  Feature_List!$A$1:$AM$1,0),0)=AZ263,".","NO"))</f>
        <v>.</v>
      </c>
      <c r="DI263" s="136" t="str">
        <f>IF($D263&lt;&gt;"Feature",".",
IF(VLOOKUP($B263,Feature_List!$A:$AM,MATCH(DI$1,  Feature_List!$A$1:$AM$1,0),0)=BA263,".","NO"))</f>
        <v>.</v>
      </c>
      <c r="DJ263" s="136" t="str">
        <f>IF($D263&lt;&gt;"Feature",".",
IF(VLOOKUP($B263,Feature_List!$A:$AM,MATCH(DJ$1,  Feature_List!$A$1:$AM$1,0),0)=BB263,".","NO"))</f>
        <v>.</v>
      </c>
      <c r="DK263" s="136"/>
      <c r="DL263" s="136"/>
      <c r="DM263" s="136"/>
      <c r="DN263" s="136" t="str">
        <f>IF($D263&lt;&gt;"Feature",".",
IF(VLOOKUP($B263,Feature_List!$A:$AM,MATCH(DN$1,  Feature_List!$A$1:$AM$1,0),0)=BC263,".","NO"))</f>
        <v>.</v>
      </c>
      <c r="DO263" s="136" t="str">
        <f>IF($D263&lt;&gt;"Feature",".",
IF(VLOOKUP($B263,Feature_List!$A:$AM,MATCH(DO$1,  Feature_List!$A$1:$AM$1,0),0)=BD263,".","NO"))</f>
        <v>.</v>
      </c>
    </row>
    <row r="264" spans="2:119" x14ac:dyDescent="0.3">
      <c r="B264" s="121"/>
      <c r="C264" s="122"/>
      <c r="D264" s="122"/>
      <c r="E264" s="122"/>
      <c r="F264" s="123"/>
      <c r="G264" s="123"/>
      <c r="H264" s="122"/>
      <c r="I264" s="124"/>
      <c r="J264" s="123"/>
      <c r="K264" s="123"/>
      <c r="L264" s="122"/>
      <c r="M264" s="122"/>
      <c r="N264" s="122"/>
      <c r="O264" s="123">
        <f t="shared" si="150"/>
        <v>0</v>
      </c>
      <c r="P264" s="123">
        <f t="shared" si="151"/>
        <v>0</v>
      </c>
      <c r="Q264" s="122" t="str">
        <f t="shared" si="172"/>
        <v>ZeroEntry</v>
      </c>
      <c r="R264" s="126" t="str">
        <f t="shared" si="152"/>
        <v>ZeroEntry</v>
      </c>
      <c r="S264" s="127" t="str">
        <f t="shared" si="153"/>
        <v>ZeroEntry</v>
      </c>
      <c r="T264" s="128" t="str">
        <f>IF($Q264="ZeroEntry", "",VLOOKUP($I264,'Ranking Lookup'!#REF!,2,FALSE))</f>
        <v/>
      </c>
      <c r="U264" s="129" t="str">
        <f t="shared" si="154"/>
        <v/>
      </c>
      <c r="V264" s="129" t="str">
        <f t="shared" si="155"/>
        <v/>
      </c>
      <c r="W264" s="129" t="str">
        <f t="shared" si="156"/>
        <v/>
      </c>
      <c r="X264" s="129" t="str">
        <f t="shared" si="157"/>
        <v/>
      </c>
      <c r="Y264" s="129" t="str">
        <f t="shared" si="158"/>
        <v/>
      </c>
      <c r="Z264" s="129" t="str">
        <f t="shared" si="159"/>
        <v/>
      </c>
      <c r="AA264" s="130"/>
      <c r="AB264" s="130" t="str">
        <f t="shared" si="160"/>
        <v>Unassigned</v>
      </c>
      <c r="AC264" s="131" t="str">
        <f t="shared" si="173"/>
        <v/>
      </c>
      <c r="AD264" s="131" t="str">
        <f t="shared" si="174"/>
        <v/>
      </c>
      <c r="AE264" s="132">
        <f t="shared" si="161"/>
        <v>0</v>
      </c>
      <c r="AF264" s="133" t="str">
        <f t="shared" si="175"/>
        <v/>
      </c>
      <c r="AG264" s="134">
        <f t="shared" si="162"/>
        <v>0</v>
      </c>
      <c r="AH264" s="54" t="str">
        <f t="shared" si="163"/>
        <v/>
      </c>
      <c r="AI264" s="54" t="str">
        <f t="shared" si="164"/>
        <v/>
      </c>
      <c r="AJ264" s="54" t="str">
        <f t="shared" si="164"/>
        <v/>
      </c>
      <c r="AK264" s="54" t="str">
        <f t="shared" si="164"/>
        <v/>
      </c>
      <c r="AL264" s="54" t="str">
        <f t="shared" si="164"/>
        <v/>
      </c>
      <c r="AM264" s="54" t="str">
        <f t="shared" si="164"/>
        <v/>
      </c>
      <c r="AN264" s="54" t="str">
        <f t="shared" si="164"/>
        <v/>
      </c>
      <c r="AO264" s="54" t="str">
        <f t="shared" si="164"/>
        <v/>
      </c>
      <c r="AP264" s="54" t="str">
        <f t="shared" si="164"/>
        <v/>
      </c>
      <c r="AQ264" s="54" t="str">
        <f t="shared" si="164"/>
        <v/>
      </c>
      <c r="AR264" s="54" t="str">
        <f t="shared" si="164"/>
        <v/>
      </c>
      <c r="AS264" s="54" t="str">
        <f t="shared" si="164"/>
        <v/>
      </c>
      <c r="AT264" s="54" t="str">
        <f t="shared" si="164"/>
        <v/>
      </c>
      <c r="AU264" s="54" t="str">
        <f t="shared" si="164"/>
        <v/>
      </c>
      <c r="AV264" s="54" t="str">
        <f t="shared" si="164"/>
        <v/>
      </c>
      <c r="AW264" s="54" t="str">
        <f t="shared" si="164"/>
        <v/>
      </c>
      <c r="AX264" s="54" t="str">
        <f t="shared" si="164"/>
        <v/>
      </c>
      <c r="AY264" s="54" t="str">
        <f t="shared" si="139"/>
        <v/>
      </c>
      <c r="AZ264" s="54" t="str">
        <f t="shared" si="165"/>
        <v/>
      </c>
      <c r="BA264" s="54" t="str">
        <f t="shared" si="166"/>
        <v/>
      </c>
      <c r="BB264" s="135" t="str">
        <f t="shared" si="167"/>
        <v/>
      </c>
      <c r="BC264" s="54" t="str">
        <f t="shared" si="176"/>
        <v/>
      </c>
      <c r="BD264" s="54" t="str">
        <f t="shared" si="176"/>
        <v/>
      </c>
      <c r="BE264" s="54" t="str">
        <f t="shared" si="176"/>
        <v/>
      </c>
      <c r="BF264" s="54" t="str">
        <f t="shared" si="168"/>
        <v/>
      </c>
      <c r="BG264" s="54" t="str">
        <f t="shared" si="169"/>
        <v/>
      </c>
      <c r="BH264" s="34" t="str">
        <f t="shared" si="170"/>
        <v>Bad</v>
      </c>
      <c r="BI264" s="34" t="str">
        <f t="shared" si="171"/>
        <v>No</v>
      </c>
      <c r="BJ264" s="136" t="str">
        <f>IF($D264&lt;&gt;"Feature",".",
IF(VLOOKUP($B264,Feature_List!$A:$AM,MATCH(BJ$1,  Feature_List!$A$1:$AM$1,0),0)=B264,".","NO"))</f>
        <v>.</v>
      </c>
      <c r="BK264" s="136"/>
      <c r="BL264" s="136"/>
      <c r="BM264" s="136" t="str">
        <f>IF($D264&lt;&gt;"Feature",".",
IF(VLOOKUP($B264,Feature_List!$A:$AM,MATCH(BM$1,  Feature_List!$A$1:$AM$1,0),0)=E264,".","NO"))</f>
        <v>.</v>
      </c>
      <c r="BN264" s="136" t="str">
        <f>IF($D264&lt;&gt;"Feature",".",
IF(VLOOKUP($B264,Feature_List!$A:$AM,MATCH(BN$1,  Feature_List!$A$1:$AM$1,0),0)=F264,".","NO"))</f>
        <v>.</v>
      </c>
      <c r="BO264" s="136" t="str">
        <f>IF($D264&lt;&gt;"Feature",".",
IF(VLOOKUP($B264,Feature_List!$A:$AM,MATCH(BO$1,  Feature_List!$A$1:$AM$1,0),0)=G264,".","NO"))</f>
        <v>.</v>
      </c>
      <c r="BP264" s="136" t="str">
        <f>IF($D264&lt;&gt;"Feature",".",
IF(VLOOKUP($B264,Feature_List!$A:$AM,MATCH(BP$1,  Feature_List!$A$1:$AM$1,0),0)=H264,".","NO"))</f>
        <v>.</v>
      </c>
      <c r="BQ264" s="136"/>
      <c r="BR264" s="136" t="str">
        <f>IF($D264&lt;&gt;"Feature",".",
IF(VLOOKUP($B264,Feature_List!$A:$AM,MATCH(BR$1,  Feature_List!$A$1:$AM$1,0),0)=J264,".","NO"))</f>
        <v>.</v>
      </c>
      <c r="BS264" s="136"/>
      <c r="BT264" s="136"/>
      <c r="BU264" s="136" t="str">
        <f>IF($D264&lt;&gt;"Feature",".",
IF(VLOOKUP($B264,Feature_List!$A:$AM,MATCH(BU$1,  Feature_List!$A$1:$AM$1,0),0)=M264,".","NO"))</f>
        <v>.</v>
      </c>
      <c r="BV264" s="136" t="str">
        <f>IF($D264&lt;&gt;"Feature",".",
IF(VLOOKUP($B264,Feature_List!$A:$AM,MATCH(BV$1,  Feature_List!$A$1:$AM$1,0),0)=N264,".","NO"))</f>
        <v>.</v>
      </c>
      <c r="BW264" s="136"/>
      <c r="BX264" s="136"/>
      <c r="BY264" s="136"/>
      <c r="BZ264" s="136"/>
      <c r="CA264" s="136"/>
      <c r="CB264" s="136" t="str">
        <f>IF($D264&lt;&gt;"Feature",".",
IF(VLOOKUP($B264,Feature_List!$A:$AM,MATCH(CB$1,  Feature_List!$A$1:$AM$1,0),0)=T264,".","NO"))</f>
        <v>.</v>
      </c>
      <c r="CC264" s="136"/>
      <c r="CD264" s="136"/>
      <c r="CE264" s="136"/>
      <c r="CF264" s="136"/>
      <c r="CG264" s="136"/>
      <c r="CH264" s="136"/>
      <c r="CI264" s="136"/>
      <c r="CJ264" s="136"/>
      <c r="CK264" s="136"/>
      <c r="CL264" s="136"/>
      <c r="CM264" s="136"/>
      <c r="CN264" s="136"/>
      <c r="CO264" s="136" t="str">
        <f>IF($D264&lt;&gt;"Feature",".",
IF(VLOOKUP($B264,Feature_List!$A:$AM,MATCH(CO$1,  Feature_List!$A$1:$AM$1,0),0)=AG264,".","NO"))</f>
        <v>.</v>
      </c>
      <c r="CP264" s="136" t="str">
        <f>IF($D264&lt;&gt;"Feature",".",
IF(VLOOKUP($B264,Feature_List!$A:$AM,MATCH(CP$1,  Feature_List!$A$1:$AM$1,0),0)=AH264,".","NO"))</f>
        <v>.</v>
      </c>
      <c r="CQ264" s="136" t="str">
        <f>IF($D264&lt;&gt;"Feature",".",
IF(VLOOKUP($B264,Feature_List!$A:$AM,MATCH(CQ$1,  Feature_List!$A$1:$AM$1,0),0)=AI264,".","NO"))</f>
        <v>.</v>
      </c>
      <c r="CR264" s="136" t="str">
        <f>IF($D264&lt;&gt;"Feature",".",
IF(VLOOKUP($B264,Feature_List!$A:$AM,MATCH(CR$1,  Feature_List!$A$1:$AM$1,0),0)=AJ264,".","NO"))</f>
        <v>.</v>
      </c>
      <c r="CS264" s="136" t="str">
        <f>IF($D264&lt;&gt;"Feature",".",
IF(VLOOKUP($B264,Feature_List!$A:$AM,MATCH(CS$1,  Feature_List!$A$1:$AM$1,0),0)=AK264,".","NO"))</f>
        <v>.</v>
      </c>
      <c r="CT264" s="136" t="str">
        <f>IF($D264&lt;&gt;"Feature",".",
IF(VLOOKUP($B264,Feature_List!$A:$AM,MATCH(CT$1,  Feature_List!$A$1:$AM$1,0),0)=AL264,".","NO"))</f>
        <v>.</v>
      </c>
      <c r="CU264" s="136" t="str">
        <f>IF($D264&lt;&gt;"Feature",".",
IF(VLOOKUP($B264,Feature_List!$A:$AM,MATCH(CU$1,  Feature_List!$A$1:$AM$1,0),0)=AM264,".","NO"))</f>
        <v>.</v>
      </c>
      <c r="CV264" s="136" t="str">
        <f>IF($D264&lt;&gt;"Feature",".",
IF(VLOOKUP($B264,Feature_List!$A:$AM,MATCH(CV$1,  Feature_List!$A$1:$AM$1,0),0)=AN264,".","NO"))</f>
        <v>.</v>
      </c>
      <c r="CW264" s="136" t="str">
        <f>IF($D264&lt;&gt;"Feature",".",
IF(VLOOKUP($B264,Feature_List!$A:$AM,MATCH(CW$1,  Feature_List!$A$1:$AM$1,0),0)=AO264,".","NO"))</f>
        <v>.</v>
      </c>
      <c r="CX264" s="136" t="str">
        <f>IF($D264&lt;&gt;"Feature",".",
IF(VLOOKUP($B264,Feature_List!$A:$AM,MATCH(CX$1,  Feature_List!$A$1:$AM$1,0),0)=AP264,".","NO"))</f>
        <v>.</v>
      </c>
      <c r="CY264" s="136" t="str">
        <f>IF($D264&lt;&gt;"Feature",".",
IF(VLOOKUP($B264,Feature_List!$A:$AM,MATCH(CY$1,  Feature_List!$A$1:$AM$1,0),0)=AQ264,".","NO"))</f>
        <v>.</v>
      </c>
      <c r="CZ264" s="136" t="str">
        <f>IF($D264&lt;&gt;"Feature",".",
IF(VLOOKUP($B264,Feature_List!$A:$AM,MATCH(CZ$1,  Feature_List!$A$1:$AM$1,0),0)=AR264,".","NO"))</f>
        <v>.</v>
      </c>
      <c r="DA264" s="136" t="str">
        <f>IF($D264&lt;&gt;"Feature",".",
IF(VLOOKUP($B264,Feature_List!$A:$AM,MATCH(DA$1,  Feature_List!$A$1:$AM$1,0),0)=AS264,".","NO"))</f>
        <v>.</v>
      </c>
      <c r="DB264" s="136" t="str">
        <f>IF($D264&lt;&gt;"Feature",".",
IF(VLOOKUP($B264,Feature_List!$A:$AM,MATCH(DB$1,  Feature_List!$A$1:$AM$1,0),0)=AT264,".","NO"))</f>
        <v>.</v>
      </c>
      <c r="DC264" s="136" t="str">
        <f>IF($D264&lt;&gt;"Feature",".",
IF(VLOOKUP($B264,Feature_List!$A:$AM,MATCH(DC$1,  Feature_List!$A$1:$AM$1,0),0)=AU264,".","NO"))</f>
        <v>.</v>
      </c>
      <c r="DD264" s="136" t="str">
        <f>IF($D264&lt;&gt;"Feature",".",
IF(VLOOKUP($B264,Feature_List!$A:$AM,MATCH(DD$1,  Feature_List!$A$1:$AM$1,0),0)=AV264,".","NO"))</f>
        <v>.</v>
      </c>
      <c r="DE264" s="136" t="str">
        <f>IF($D264&lt;&gt;"Feature",".",
IF(VLOOKUP($B264,Feature_List!$A:$AM,MATCH(DE$1,  Feature_List!$A$1:$AM$1,0),0)=AW264,".","NO"))</f>
        <v>.</v>
      </c>
      <c r="DF264" s="136" t="str">
        <f>IF($D264&lt;&gt;"Feature",".",
IF(VLOOKUP($B264,Feature_List!$A:$AM,MATCH(DF$1,  Feature_List!$A$1:$AM$1,0),0)=AX264,".","NO"))</f>
        <v>.</v>
      </c>
      <c r="DG264" s="136" t="str">
        <f>IF($D264&lt;&gt;"Feature",".",
IF(VLOOKUP($B264,Feature_List!$A:$AM,MATCH(DG$1,  Feature_List!$A$1:$AM$1,0),0)=AY264,".","NO"))</f>
        <v>.</v>
      </c>
      <c r="DH264" s="136" t="str">
        <f>IF($D264&lt;&gt;"Feature",".",
IF(VLOOKUP($B264,Feature_List!$A:$AM,MATCH(DH$1,  Feature_List!$A$1:$AM$1,0),0)=AZ264,".","NO"))</f>
        <v>.</v>
      </c>
      <c r="DI264" s="136" t="str">
        <f>IF($D264&lt;&gt;"Feature",".",
IF(VLOOKUP($B264,Feature_List!$A:$AM,MATCH(DI$1,  Feature_List!$A$1:$AM$1,0),0)=BA264,".","NO"))</f>
        <v>.</v>
      </c>
      <c r="DJ264" s="136" t="str">
        <f>IF($D264&lt;&gt;"Feature",".",
IF(VLOOKUP($B264,Feature_List!$A:$AM,MATCH(DJ$1,  Feature_List!$A$1:$AM$1,0),0)=BB264,".","NO"))</f>
        <v>.</v>
      </c>
      <c r="DK264" s="136"/>
      <c r="DL264" s="136"/>
      <c r="DM264" s="136"/>
      <c r="DN264" s="136" t="str">
        <f>IF($D264&lt;&gt;"Feature",".",
IF(VLOOKUP($B264,Feature_List!$A:$AM,MATCH(DN$1,  Feature_List!$A$1:$AM$1,0),0)=BC264,".","NO"))</f>
        <v>.</v>
      </c>
      <c r="DO264" s="136" t="str">
        <f>IF($D264&lt;&gt;"Feature",".",
IF(VLOOKUP($B264,Feature_List!$A:$AM,MATCH(DO$1,  Feature_List!$A$1:$AM$1,0),0)=BD264,".","NO"))</f>
        <v>.</v>
      </c>
    </row>
    <row r="265" spans="2:119" x14ac:dyDescent="0.3">
      <c r="B265" s="121"/>
      <c r="C265" s="122"/>
      <c r="D265" s="122"/>
      <c r="E265" s="122"/>
      <c r="F265" s="123"/>
      <c r="G265" s="123"/>
      <c r="H265" s="122"/>
      <c r="I265" s="124"/>
      <c r="J265" s="123"/>
      <c r="K265" s="123"/>
      <c r="L265" s="122"/>
      <c r="M265" s="122"/>
      <c r="N265" s="122"/>
      <c r="O265" s="123">
        <f t="shared" si="150"/>
        <v>0</v>
      </c>
      <c r="P265" s="123">
        <f t="shared" si="151"/>
        <v>0</v>
      </c>
      <c r="Q265" s="122" t="str">
        <f t="shared" si="172"/>
        <v>ZeroEntry</v>
      </c>
      <c r="R265" s="126" t="str">
        <f t="shared" si="152"/>
        <v>ZeroEntry</v>
      </c>
      <c r="S265" s="127" t="str">
        <f t="shared" si="153"/>
        <v>ZeroEntry</v>
      </c>
      <c r="T265" s="128" t="str">
        <f>IF($Q265="ZeroEntry", "",VLOOKUP($I265,'Ranking Lookup'!#REF!,2,FALSE))</f>
        <v/>
      </c>
      <c r="U265" s="129" t="str">
        <f t="shared" si="154"/>
        <v/>
      </c>
      <c r="V265" s="129" t="str">
        <f t="shared" si="155"/>
        <v/>
      </c>
      <c r="W265" s="129" t="str">
        <f t="shared" si="156"/>
        <v/>
      </c>
      <c r="X265" s="129" t="str">
        <f t="shared" si="157"/>
        <v/>
      </c>
      <c r="Y265" s="129" t="str">
        <f t="shared" si="158"/>
        <v/>
      </c>
      <c r="Z265" s="129" t="str">
        <f t="shared" si="159"/>
        <v/>
      </c>
      <c r="AA265" s="130"/>
      <c r="AB265" s="130" t="str">
        <f t="shared" si="160"/>
        <v>Unassigned</v>
      </c>
      <c r="AC265" s="131" t="str">
        <f t="shared" si="173"/>
        <v/>
      </c>
      <c r="AD265" s="131" t="str">
        <f t="shared" si="174"/>
        <v/>
      </c>
      <c r="AE265" s="132">
        <f t="shared" si="161"/>
        <v>0</v>
      </c>
      <c r="AF265" s="133" t="str">
        <f t="shared" si="175"/>
        <v/>
      </c>
      <c r="AG265" s="134">
        <f t="shared" si="162"/>
        <v>0</v>
      </c>
      <c r="AH265" s="54" t="str">
        <f t="shared" si="163"/>
        <v/>
      </c>
      <c r="AI265" s="54" t="str">
        <f t="shared" si="164"/>
        <v/>
      </c>
      <c r="AJ265" s="54" t="str">
        <f t="shared" si="164"/>
        <v/>
      </c>
      <c r="AK265" s="54" t="str">
        <f t="shared" si="164"/>
        <v/>
      </c>
      <c r="AL265" s="54" t="str">
        <f t="shared" si="164"/>
        <v/>
      </c>
      <c r="AM265" s="54" t="str">
        <f t="shared" si="164"/>
        <v/>
      </c>
      <c r="AN265" s="54" t="str">
        <f t="shared" si="164"/>
        <v/>
      </c>
      <c r="AO265" s="54" t="str">
        <f t="shared" si="164"/>
        <v/>
      </c>
      <c r="AP265" s="54" t="str">
        <f t="shared" si="164"/>
        <v/>
      </c>
      <c r="AQ265" s="54" t="str">
        <f t="shared" si="164"/>
        <v/>
      </c>
      <c r="AR265" s="54" t="str">
        <f t="shared" si="164"/>
        <v/>
      </c>
      <c r="AS265" s="54" t="str">
        <f t="shared" si="164"/>
        <v/>
      </c>
      <c r="AT265" s="54" t="str">
        <f t="shared" si="164"/>
        <v/>
      </c>
      <c r="AU265" s="54" t="str">
        <f t="shared" si="164"/>
        <v/>
      </c>
      <c r="AV265" s="54" t="str">
        <f t="shared" si="164"/>
        <v/>
      </c>
      <c r="AW265" s="54" t="str">
        <f t="shared" si="164"/>
        <v/>
      </c>
      <c r="AX265" s="54" t="str">
        <f t="shared" si="164"/>
        <v/>
      </c>
      <c r="AY265" s="54" t="str">
        <f t="shared" si="139"/>
        <v/>
      </c>
      <c r="AZ265" s="54" t="str">
        <f t="shared" si="165"/>
        <v/>
      </c>
      <c r="BA265" s="54" t="str">
        <f t="shared" si="166"/>
        <v/>
      </c>
      <c r="BB265" s="135" t="str">
        <f t="shared" si="167"/>
        <v/>
      </c>
      <c r="BC265" s="54" t="str">
        <f t="shared" si="176"/>
        <v/>
      </c>
      <c r="BD265" s="54" t="str">
        <f t="shared" si="176"/>
        <v/>
      </c>
      <c r="BE265" s="54" t="str">
        <f t="shared" si="176"/>
        <v/>
      </c>
      <c r="BF265" s="54" t="str">
        <f t="shared" si="168"/>
        <v/>
      </c>
      <c r="BG265" s="54" t="str">
        <f t="shared" si="169"/>
        <v/>
      </c>
      <c r="BH265" s="34" t="str">
        <f t="shared" si="170"/>
        <v>Bad</v>
      </c>
      <c r="BI265" s="34" t="str">
        <f t="shared" si="171"/>
        <v>No</v>
      </c>
      <c r="BJ265" s="136" t="str">
        <f>IF($D265&lt;&gt;"Feature",".",
IF(VLOOKUP($B265,Feature_List!$A:$AM,MATCH(BJ$1,  Feature_List!$A$1:$AM$1,0),0)=B265,".","NO"))</f>
        <v>.</v>
      </c>
      <c r="BK265" s="136"/>
      <c r="BL265" s="136"/>
      <c r="BM265" s="136" t="str">
        <f>IF($D265&lt;&gt;"Feature",".",
IF(VLOOKUP($B265,Feature_List!$A:$AM,MATCH(BM$1,  Feature_List!$A$1:$AM$1,0),0)=E265,".","NO"))</f>
        <v>.</v>
      </c>
      <c r="BN265" s="136" t="str">
        <f>IF($D265&lt;&gt;"Feature",".",
IF(VLOOKUP($B265,Feature_List!$A:$AM,MATCH(BN$1,  Feature_List!$A$1:$AM$1,0),0)=F265,".","NO"))</f>
        <v>.</v>
      </c>
      <c r="BO265" s="136" t="str">
        <f>IF($D265&lt;&gt;"Feature",".",
IF(VLOOKUP($B265,Feature_List!$A:$AM,MATCH(BO$1,  Feature_List!$A$1:$AM$1,0),0)=G265,".","NO"))</f>
        <v>.</v>
      </c>
      <c r="BP265" s="136" t="str">
        <f>IF($D265&lt;&gt;"Feature",".",
IF(VLOOKUP($B265,Feature_List!$A:$AM,MATCH(BP$1,  Feature_List!$A$1:$AM$1,0),0)=H265,".","NO"))</f>
        <v>.</v>
      </c>
      <c r="BQ265" s="136"/>
      <c r="BR265" s="136" t="str">
        <f>IF($D265&lt;&gt;"Feature",".",
IF(VLOOKUP($B265,Feature_List!$A:$AM,MATCH(BR$1,  Feature_List!$A$1:$AM$1,0),0)=J265,".","NO"))</f>
        <v>.</v>
      </c>
      <c r="BS265" s="136"/>
      <c r="BT265" s="136"/>
      <c r="BU265" s="136" t="str">
        <f>IF($D265&lt;&gt;"Feature",".",
IF(VLOOKUP($B265,Feature_List!$A:$AM,MATCH(BU$1,  Feature_List!$A$1:$AM$1,0),0)=M265,".","NO"))</f>
        <v>.</v>
      </c>
      <c r="BV265" s="136" t="str">
        <f>IF($D265&lt;&gt;"Feature",".",
IF(VLOOKUP($B265,Feature_List!$A:$AM,MATCH(BV$1,  Feature_List!$A$1:$AM$1,0),0)=N265,".","NO"))</f>
        <v>.</v>
      </c>
      <c r="BW265" s="136"/>
      <c r="BX265" s="136"/>
      <c r="BY265" s="136"/>
      <c r="BZ265" s="136"/>
      <c r="CA265" s="136"/>
      <c r="CB265" s="136" t="str">
        <f>IF($D265&lt;&gt;"Feature",".",
IF(VLOOKUP($B265,Feature_List!$A:$AM,MATCH(CB$1,  Feature_List!$A$1:$AM$1,0),0)=T265,".","NO"))</f>
        <v>.</v>
      </c>
      <c r="CC265" s="136"/>
      <c r="CD265" s="136"/>
      <c r="CE265" s="136"/>
      <c r="CF265" s="136"/>
      <c r="CG265" s="136"/>
      <c r="CH265" s="136"/>
      <c r="CI265" s="136"/>
      <c r="CJ265" s="136"/>
      <c r="CK265" s="136"/>
      <c r="CL265" s="136"/>
      <c r="CM265" s="136"/>
      <c r="CN265" s="136"/>
      <c r="CO265" s="136" t="str">
        <f>IF($D265&lt;&gt;"Feature",".",
IF(VLOOKUP($B265,Feature_List!$A:$AM,MATCH(CO$1,  Feature_List!$A$1:$AM$1,0),0)=AG265,".","NO"))</f>
        <v>.</v>
      </c>
      <c r="CP265" s="136" t="str">
        <f>IF($D265&lt;&gt;"Feature",".",
IF(VLOOKUP($B265,Feature_List!$A:$AM,MATCH(CP$1,  Feature_List!$A$1:$AM$1,0),0)=AH265,".","NO"))</f>
        <v>.</v>
      </c>
      <c r="CQ265" s="136" t="str">
        <f>IF($D265&lt;&gt;"Feature",".",
IF(VLOOKUP($B265,Feature_List!$A:$AM,MATCH(CQ$1,  Feature_List!$A$1:$AM$1,0),0)=AI265,".","NO"))</f>
        <v>.</v>
      </c>
      <c r="CR265" s="136" t="str">
        <f>IF($D265&lt;&gt;"Feature",".",
IF(VLOOKUP($B265,Feature_List!$A:$AM,MATCH(CR$1,  Feature_List!$A$1:$AM$1,0),0)=AJ265,".","NO"))</f>
        <v>.</v>
      </c>
      <c r="CS265" s="136" t="str">
        <f>IF($D265&lt;&gt;"Feature",".",
IF(VLOOKUP($B265,Feature_List!$A:$AM,MATCH(CS$1,  Feature_List!$A$1:$AM$1,0),0)=AK265,".","NO"))</f>
        <v>.</v>
      </c>
      <c r="CT265" s="136" t="str">
        <f>IF($D265&lt;&gt;"Feature",".",
IF(VLOOKUP($B265,Feature_List!$A:$AM,MATCH(CT$1,  Feature_List!$A$1:$AM$1,0),0)=AL265,".","NO"))</f>
        <v>.</v>
      </c>
      <c r="CU265" s="136" t="str">
        <f>IF($D265&lt;&gt;"Feature",".",
IF(VLOOKUP($B265,Feature_List!$A:$AM,MATCH(CU$1,  Feature_List!$A$1:$AM$1,0),0)=AM265,".","NO"))</f>
        <v>.</v>
      </c>
      <c r="CV265" s="136" t="str">
        <f>IF($D265&lt;&gt;"Feature",".",
IF(VLOOKUP($B265,Feature_List!$A:$AM,MATCH(CV$1,  Feature_List!$A$1:$AM$1,0),0)=AN265,".","NO"))</f>
        <v>.</v>
      </c>
      <c r="CW265" s="136" t="str">
        <f>IF($D265&lt;&gt;"Feature",".",
IF(VLOOKUP($B265,Feature_List!$A:$AM,MATCH(CW$1,  Feature_List!$A$1:$AM$1,0),0)=AO265,".","NO"))</f>
        <v>.</v>
      </c>
      <c r="CX265" s="136" t="str">
        <f>IF($D265&lt;&gt;"Feature",".",
IF(VLOOKUP($B265,Feature_List!$A:$AM,MATCH(CX$1,  Feature_List!$A$1:$AM$1,0),0)=AP265,".","NO"))</f>
        <v>.</v>
      </c>
      <c r="CY265" s="136" t="str">
        <f>IF($D265&lt;&gt;"Feature",".",
IF(VLOOKUP($B265,Feature_List!$A:$AM,MATCH(CY$1,  Feature_List!$A$1:$AM$1,0),0)=AQ265,".","NO"))</f>
        <v>.</v>
      </c>
      <c r="CZ265" s="136" t="str">
        <f>IF($D265&lt;&gt;"Feature",".",
IF(VLOOKUP($B265,Feature_List!$A:$AM,MATCH(CZ$1,  Feature_List!$A$1:$AM$1,0),0)=AR265,".","NO"))</f>
        <v>.</v>
      </c>
      <c r="DA265" s="136" t="str">
        <f>IF($D265&lt;&gt;"Feature",".",
IF(VLOOKUP($B265,Feature_List!$A:$AM,MATCH(DA$1,  Feature_List!$A$1:$AM$1,0),0)=AS265,".","NO"))</f>
        <v>.</v>
      </c>
      <c r="DB265" s="136" t="str">
        <f>IF($D265&lt;&gt;"Feature",".",
IF(VLOOKUP($B265,Feature_List!$A:$AM,MATCH(DB$1,  Feature_List!$A$1:$AM$1,0),0)=AT265,".","NO"))</f>
        <v>.</v>
      </c>
      <c r="DC265" s="136" t="str">
        <f>IF($D265&lt;&gt;"Feature",".",
IF(VLOOKUP($B265,Feature_List!$A:$AM,MATCH(DC$1,  Feature_List!$A$1:$AM$1,0),0)=AU265,".","NO"))</f>
        <v>.</v>
      </c>
      <c r="DD265" s="136" t="str">
        <f>IF($D265&lt;&gt;"Feature",".",
IF(VLOOKUP($B265,Feature_List!$A:$AM,MATCH(DD$1,  Feature_List!$A$1:$AM$1,0),0)=AV265,".","NO"))</f>
        <v>.</v>
      </c>
      <c r="DE265" s="136" t="str">
        <f>IF($D265&lt;&gt;"Feature",".",
IF(VLOOKUP($B265,Feature_List!$A:$AM,MATCH(DE$1,  Feature_List!$A$1:$AM$1,0),0)=AW265,".","NO"))</f>
        <v>.</v>
      </c>
      <c r="DF265" s="136" t="str">
        <f>IF($D265&lt;&gt;"Feature",".",
IF(VLOOKUP($B265,Feature_List!$A:$AM,MATCH(DF$1,  Feature_List!$A$1:$AM$1,0),0)=AX265,".","NO"))</f>
        <v>.</v>
      </c>
      <c r="DG265" s="136" t="str">
        <f>IF($D265&lt;&gt;"Feature",".",
IF(VLOOKUP($B265,Feature_List!$A:$AM,MATCH(DG$1,  Feature_List!$A$1:$AM$1,0),0)=AY265,".","NO"))</f>
        <v>.</v>
      </c>
      <c r="DH265" s="136" t="str">
        <f>IF($D265&lt;&gt;"Feature",".",
IF(VLOOKUP($B265,Feature_List!$A:$AM,MATCH(DH$1,  Feature_List!$A$1:$AM$1,0),0)=AZ265,".","NO"))</f>
        <v>.</v>
      </c>
      <c r="DI265" s="136" t="str">
        <f>IF($D265&lt;&gt;"Feature",".",
IF(VLOOKUP($B265,Feature_List!$A:$AM,MATCH(DI$1,  Feature_List!$A$1:$AM$1,0),0)=BA265,".","NO"))</f>
        <v>.</v>
      </c>
      <c r="DJ265" s="136" t="str">
        <f>IF($D265&lt;&gt;"Feature",".",
IF(VLOOKUP($B265,Feature_List!$A:$AM,MATCH(DJ$1,  Feature_List!$A$1:$AM$1,0),0)=BB265,".","NO"))</f>
        <v>.</v>
      </c>
      <c r="DK265" s="136"/>
      <c r="DL265" s="136"/>
      <c r="DM265" s="136"/>
      <c r="DN265" s="136" t="str">
        <f>IF($D265&lt;&gt;"Feature",".",
IF(VLOOKUP($B265,Feature_List!$A:$AM,MATCH(DN$1,  Feature_List!$A$1:$AM$1,0),0)=BC265,".","NO"))</f>
        <v>.</v>
      </c>
      <c r="DO265" s="136" t="str">
        <f>IF($D265&lt;&gt;"Feature",".",
IF(VLOOKUP($B265,Feature_List!$A:$AM,MATCH(DO$1,  Feature_List!$A$1:$AM$1,0),0)=BD265,".","NO"))</f>
        <v>.</v>
      </c>
    </row>
    <row r="266" spans="2:119" x14ac:dyDescent="0.3">
      <c r="B266" s="121"/>
      <c r="C266" s="122"/>
      <c r="D266" s="122"/>
      <c r="E266" s="122"/>
      <c r="F266" s="123"/>
      <c r="G266" s="123"/>
      <c r="H266" s="122"/>
      <c r="I266" s="124"/>
      <c r="J266" s="123"/>
      <c r="K266" s="123"/>
      <c r="L266" s="122"/>
      <c r="M266" s="122"/>
      <c r="N266" s="122"/>
      <c r="O266" s="123">
        <f t="shared" si="150"/>
        <v>0</v>
      </c>
      <c r="P266" s="123">
        <f t="shared" si="151"/>
        <v>0</v>
      </c>
      <c r="Q266" s="122" t="str">
        <f t="shared" si="172"/>
        <v>ZeroEntry</v>
      </c>
      <c r="R266" s="126" t="str">
        <f t="shared" si="152"/>
        <v>ZeroEntry</v>
      </c>
      <c r="S266" s="127" t="str">
        <f t="shared" si="153"/>
        <v>ZeroEntry</v>
      </c>
      <c r="T266" s="128" t="str">
        <f>IF($Q266="ZeroEntry", "",VLOOKUP($I266,'Ranking Lookup'!#REF!,2,FALSE))</f>
        <v/>
      </c>
      <c r="U266" s="129" t="str">
        <f t="shared" si="154"/>
        <v/>
      </c>
      <c r="V266" s="129" t="str">
        <f t="shared" si="155"/>
        <v/>
      </c>
      <c r="W266" s="129" t="str">
        <f t="shared" si="156"/>
        <v/>
      </c>
      <c r="X266" s="129" t="str">
        <f t="shared" si="157"/>
        <v/>
      </c>
      <c r="Y266" s="129" t="str">
        <f t="shared" si="158"/>
        <v/>
      </c>
      <c r="Z266" s="129" t="str">
        <f t="shared" si="159"/>
        <v/>
      </c>
      <c r="AA266" s="130"/>
      <c r="AB266" s="130" t="str">
        <f t="shared" si="160"/>
        <v>Unassigned</v>
      </c>
      <c r="AC266" s="131" t="str">
        <f t="shared" si="173"/>
        <v/>
      </c>
      <c r="AD266" s="131" t="str">
        <f t="shared" si="174"/>
        <v/>
      </c>
      <c r="AE266" s="132">
        <f t="shared" si="161"/>
        <v>0</v>
      </c>
      <c r="AF266" s="133" t="str">
        <f t="shared" si="175"/>
        <v/>
      </c>
      <c r="AG266" s="134">
        <f t="shared" si="162"/>
        <v>0</v>
      </c>
      <c r="AH266" s="54" t="str">
        <f t="shared" si="163"/>
        <v/>
      </c>
      <c r="AI266" s="54" t="str">
        <f t="shared" si="164"/>
        <v/>
      </c>
      <c r="AJ266" s="54" t="str">
        <f t="shared" si="164"/>
        <v/>
      </c>
      <c r="AK266" s="54" t="str">
        <f t="shared" si="164"/>
        <v/>
      </c>
      <c r="AL266" s="54" t="str">
        <f t="shared" si="164"/>
        <v/>
      </c>
      <c r="AM266" s="54" t="str">
        <f t="shared" si="164"/>
        <v/>
      </c>
      <c r="AN266" s="54" t="str">
        <f t="shared" si="164"/>
        <v/>
      </c>
      <c r="AO266" s="54" t="str">
        <f t="shared" si="164"/>
        <v/>
      </c>
      <c r="AP266" s="54" t="str">
        <f t="shared" si="164"/>
        <v/>
      </c>
      <c r="AQ266" s="54" t="str">
        <f t="shared" si="164"/>
        <v/>
      </c>
      <c r="AR266" s="54" t="str">
        <f t="shared" si="164"/>
        <v/>
      </c>
      <c r="AS266" s="54" t="str">
        <f t="shared" si="164"/>
        <v/>
      </c>
      <c r="AT266" s="54" t="str">
        <f t="shared" si="164"/>
        <v/>
      </c>
      <c r="AU266" s="54" t="str">
        <f t="shared" si="164"/>
        <v/>
      </c>
      <c r="AV266" s="54" t="str">
        <f t="shared" si="164"/>
        <v/>
      </c>
      <c r="AW266" s="54" t="str">
        <f t="shared" si="164"/>
        <v/>
      </c>
      <c r="AX266" s="54" t="str">
        <f t="shared" si="164"/>
        <v/>
      </c>
      <c r="AY266" s="54" t="str">
        <f t="shared" ref="AY266:AY329" si="177">IF(OR($Q266="Feature",BI266="Yes"), SUM(BC266:BE266),"")</f>
        <v/>
      </c>
      <c r="AZ266" s="54" t="str">
        <f t="shared" si="165"/>
        <v/>
      </c>
      <c r="BA266" s="54" t="str">
        <f t="shared" si="166"/>
        <v/>
      </c>
      <c r="BB266" s="135" t="str">
        <f t="shared" si="167"/>
        <v/>
      </c>
      <c r="BC266" s="54" t="str">
        <f t="shared" si="176"/>
        <v/>
      </c>
      <c r="BD266" s="54" t="str">
        <f t="shared" si="176"/>
        <v/>
      </c>
      <c r="BE266" s="54" t="str">
        <f t="shared" si="176"/>
        <v/>
      </c>
      <c r="BF266" s="54" t="str">
        <f t="shared" si="168"/>
        <v/>
      </c>
      <c r="BG266" s="54" t="str">
        <f t="shared" si="169"/>
        <v/>
      </c>
      <c r="BH266" s="34" t="str">
        <f t="shared" si="170"/>
        <v>Bad</v>
      </c>
      <c r="BI266" s="34" t="str">
        <f t="shared" si="171"/>
        <v>No</v>
      </c>
      <c r="BJ266" s="136" t="str">
        <f>IF($D266&lt;&gt;"Feature",".",
IF(VLOOKUP($B266,Feature_List!$A:$AM,MATCH(BJ$1,  Feature_List!$A$1:$AM$1,0),0)=B266,".","NO"))</f>
        <v>.</v>
      </c>
      <c r="BK266" s="136"/>
      <c r="BL266" s="136"/>
      <c r="BM266" s="136" t="str">
        <f>IF($D266&lt;&gt;"Feature",".",
IF(VLOOKUP($B266,Feature_List!$A:$AM,MATCH(BM$1,  Feature_List!$A$1:$AM$1,0),0)=E266,".","NO"))</f>
        <v>.</v>
      </c>
      <c r="BN266" s="136" t="str">
        <f>IF($D266&lt;&gt;"Feature",".",
IF(VLOOKUP($B266,Feature_List!$A:$AM,MATCH(BN$1,  Feature_List!$A$1:$AM$1,0),0)=F266,".","NO"))</f>
        <v>.</v>
      </c>
      <c r="BO266" s="136" t="str">
        <f>IF($D266&lt;&gt;"Feature",".",
IF(VLOOKUP($B266,Feature_List!$A:$AM,MATCH(BO$1,  Feature_List!$A$1:$AM$1,0),0)=G266,".","NO"))</f>
        <v>.</v>
      </c>
      <c r="BP266" s="136" t="str">
        <f>IF($D266&lt;&gt;"Feature",".",
IF(VLOOKUP($B266,Feature_List!$A:$AM,MATCH(BP$1,  Feature_List!$A$1:$AM$1,0),0)=H266,".","NO"))</f>
        <v>.</v>
      </c>
      <c r="BQ266" s="136"/>
      <c r="BR266" s="136" t="str">
        <f>IF($D266&lt;&gt;"Feature",".",
IF(VLOOKUP($B266,Feature_List!$A:$AM,MATCH(BR$1,  Feature_List!$A$1:$AM$1,0),0)=J266,".","NO"))</f>
        <v>.</v>
      </c>
      <c r="BS266" s="136"/>
      <c r="BT266" s="136"/>
      <c r="BU266" s="136" t="str">
        <f>IF($D266&lt;&gt;"Feature",".",
IF(VLOOKUP($B266,Feature_List!$A:$AM,MATCH(BU$1,  Feature_List!$A$1:$AM$1,0),0)=M266,".","NO"))</f>
        <v>.</v>
      </c>
      <c r="BV266" s="136" t="str">
        <f>IF($D266&lt;&gt;"Feature",".",
IF(VLOOKUP($B266,Feature_List!$A:$AM,MATCH(BV$1,  Feature_List!$A$1:$AM$1,0),0)=N266,".","NO"))</f>
        <v>.</v>
      </c>
      <c r="BW266" s="136"/>
      <c r="BX266" s="136"/>
      <c r="BY266" s="136"/>
      <c r="BZ266" s="136"/>
      <c r="CA266" s="136"/>
      <c r="CB266" s="136" t="str">
        <f>IF($D266&lt;&gt;"Feature",".",
IF(VLOOKUP($B266,Feature_List!$A:$AM,MATCH(CB$1,  Feature_List!$A$1:$AM$1,0),0)=T266,".","NO"))</f>
        <v>.</v>
      </c>
      <c r="CC266" s="136"/>
      <c r="CD266" s="136"/>
      <c r="CE266" s="136"/>
      <c r="CF266" s="136"/>
      <c r="CG266" s="136"/>
      <c r="CH266" s="136"/>
      <c r="CI266" s="136"/>
      <c r="CJ266" s="136"/>
      <c r="CK266" s="136"/>
      <c r="CL266" s="136"/>
      <c r="CM266" s="136"/>
      <c r="CN266" s="136"/>
      <c r="CO266" s="136" t="str">
        <f>IF($D266&lt;&gt;"Feature",".",
IF(VLOOKUP($B266,Feature_List!$A:$AM,MATCH(CO$1,  Feature_List!$A$1:$AM$1,0),0)=AG266,".","NO"))</f>
        <v>.</v>
      </c>
      <c r="CP266" s="136" t="str">
        <f>IF($D266&lt;&gt;"Feature",".",
IF(VLOOKUP($B266,Feature_List!$A:$AM,MATCH(CP$1,  Feature_List!$A$1:$AM$1,0),0)=AH266,".","NO"))</f>
        <v>.</v>
      </c>
      <c r="CQ266" s="136" t="str">
        <f>IF($D266&lt;&gt;"Feature",".",
IF(VLOOKUP($B266,Feature_List!$A:$AM,MATCH(CQ$1,  Feature_List!$A$1:$AM$1,0),0)=AI266,".","NO"))</f>
        <v>.</v>
      </c>
      <c r="CR266" s="136" t="str">
        <f>IF($D266&lt;&gt;"Feature",".",
IF(VLOOKUP($B266,Feature_List!$A:$AM,MATCH(CR$1,  Feature_List!$A$1:$AM$1,0),0)=AJ266,".","NO"))</f>
        <v>.</v>
      </c>
      <c r="CS266" s="136" t="str">
        <f>IF($D266&lt;&gt;"Feature",".",
IF(VLOOKUP($B266,Feature_List!$A:$AM,MATCH(CS$1,  Feature_List!$A$1:$AM$1,0),0)=AK266,".","NO"))</f>
        <v>.</v>
      </c>
      <c r="CT266" s="136" t="str">
        <f>IF($D266&lt;&gt;"Feature",".",
IF(VLOOKUP($B266,Feature_List!$A:$AM,MATCH(CT$1,  Feature_List!$A$1:$AM$1,0),0)=AL266,".","NO"))</f>
        <v>.</v>
      </c>
      <c r="CU266" s="136" t="str">
        <f>IF($D266&lt;&gt;"Feature",".",
IF(VLOOKUP($B266,Feature_List!$A:$AM,MATCH(CU$1,  Feature_List!$A$1:$AM$1,0),0)=AM266,".","NO"))</f>
        <v>.</v>
      </c>
      <c r="CV266" s="136" t="str">
        <f>IF($D266&lt;&gt;"Feature",".",
IF(VLOOKUP($B266,Feature_List!$A:$AM,MATCH(CV$1,  Feature_List!$A$1:$AM$1,0),0)=AN266,".","NO"))</f>
        <v>.</v>
      </c>
      <c r="CW266" s="136" t="str">
        <f>IF($D266&lt;&gt;"Feature",".",
IF(VLOOKUP($B266,Feature_List!$A:$AM,MATCH(CW$1,  Feature_List!$A$1:$AM$1,0),0)=AO266,".","NO"))</f>
        <v>.</v>
      </c>
      <c r="CX266" s="136" t="str">
        <f>IF($D266&lt;&gt;"Feature",".",
IF(VLOOKUP($B266,Feature_List!$A:$AM,MATCH(CX$1,  Feature_List!$A$1:$AM$1,0),0)=AP266,".","NO"))</f>
        <v>.</v>
      </c>
      <c r="CY266" s="136" t="str">
        <f>IF($D266&lt;&gt;"Feature",".",
IF(VLOOKUP($B266,Feature_List!$A:$AM,MATCH(CY$1,  Feature_List!$A$1:$AM$1,0),0)=AQ266,".","NO"))</f>
        <v>.</v>
      </c>
      <c r="CZ266" s="136" t="str">
        <f>IF($D266&lt;&gt;"Feature",".",
IF(VLOOKUP($B266,Feature_List!$A:$AM,MATCH(CZ$1,  Feature_List!$A$1:$AM$1,0),0)=AR266,".","NO"))</f>
        <v>.</v>
      </c>
      <c r="DA266" s="136" t="str">
        <f>IF($D266&lt;&gt;"Feature",".",
IF(VLOOKUP($B266,Feature_List!$A:$AM,MATCH(DA$1,  Feature_List!$A$1:$AM$1,0),0)=AS266,".","NO"))</f>
        <v>.</v>
      </c>
      <c r="DB266" s="136" t="str">
        <f>IF($D266&lt;&gt;"Feature",".",
IF(VLOOKUP($B266,Feature_List!$A:$AM,MATCH(DB$1,  Feature_List!$A$1:$AM$1,0),0)=AT266,".","NO"))</f>
        <v>.</v>
      </c>
      <c r="DC266" s="136" t="str">
        <f>IF($D266&lt;&gt;"Feature",".",
IF(VLOOKUP($B266,Feature_List!$A:$AM,MATCH(DC$1,  Feature_List!$A$1:$AM$1,0),0)=AU266,".","NO"))</f>
        <v>.</v>
      </c>
      <c r="DD266" s="136" t="str">
        <f>IF($D266&lt;&gt;"Feature",".",
IF(VLOOKUP($B266,Feature_List!$A:$AM,MATCH(DD$1,  Feature_List!$A$1:$AM$1,0),0)=AV266,".","NO"))</f>
        <v>.</v>
      </c>
      <c r="DE266" s="136" t="str">
        <f>IF($D266&lt;&gt;"Feature",".",
IF(VLOOKUP($B266,Feature_List!$A:$AM,MATCH(DE$1,  Feature_List!$A$1:$AM$1,0),0)=AW266,".","NO"))</f>
        <v>.</v>
      </c>
      <c r="DF266" s="136" t="str">
        <f>IF($D266&lt;&gt;"Feature",".",
IF(VLOOKUP($B266,Feature_List!$A:$AM,MATCH(DF$1,  Feature_List!$A$1:$AM$1,0),0)=AX266,".","NO"))</f>
        <v>.</v>
      </c>
      <c r="DG266" s="136" t="str">
        <f>IF($D266&lt;&gt;"Feature",".",
IF(VLOOKUP($B266,Feature_List!$A:$AM,MATCH(DG$1,  Feature_List!$A$1:$AM$1,0),0)=AY266,".","NO"))</f>
        <v>.</v>
      </c>
      <c r="DH266" s="136" t="str">
        <f>IF($D266&lt;&gt;"Feature",".",
IF(VLOOKUP($B266,Feature_List!$A:$AM,MATCH(DH$1,  Feature_List!$A$1:$AM$1,0),0)=AZ266,".","NO"))</f>
        <v>.</v>
      </c>
      <c r="DI266" s="136" t="str">
        <f>IF($D266&lt;&gt;"Feature",".",
IF(VLOOKUP($B266,Feature_List!$A:$AM,MATCH(DI$1,  Feature_List!$A$1:$AM$1,0),0)=BA266,".","NO"))</f>
        <v>.</v>
      </c>
      <c r="DJ266" s="136" t="str">
        <f>IF($D266&lt;&gt;"Feature",".",
IF(VLOOKUP($B266,Feature_List!$A:$AM,MATCH(DJ$1,  Feature_List!$A$1:$AM$1,0),0)=BB266,".","NO"))</f>
        <v>.</v>
      </c>
      <c r="DK266" s="136"/>
      <c r="DL266" s="136"/>
      <c r="DM266" s="136"/>
      <c r="DN266" s="136" t="str">
        <f>IF($D266&lt;&gt;"Feature",".",
IF(VLOOKUP($B266,Feature_List!$A:$AM,MATCH(DN$1,  Feature_List!$A$1:$AM$1,0),0)=BC266,".","NO"))</f>
        <v>.</v>
      </c>
      <c r="DO266" s="136" t="str">
        <f>IF($D266&lt;&gt;"Feature",".",
IF(VLOOKUP($B266,Feature_List!$A:$AM,MATCH(DO$1,  Feature_List!$A$1:$AM$1,0),0)=BD266,".","NO"))</f>
        <v>.</v>
      </c>
    </row>
    <row r="267" spans="2:119" x14ac:dyDescent="0.3">
      <c r="B267" s="121"/>
      <c r="C267" s="122"/>
      <c r="D267" s="122"/>
      <c r="E267" s="122"/>
      <c r="F267" s="123"/>
      <c r="G267" s="123"/>
      <c r="H267" s="122"/>
      <c r="I267" s="124"/>
      <c r="J267" s="123"/>
      <c r="K267" s="123"/>
      <c r="L267" s="122"/>
      <c r="M267" s="122"/>
      <c r="N267" s="122"/>
      <c r="O267" s="123">
        <f t="shared" si="150"/>
        <v>0</v>
      </c>
      <c r="P267" s="123">
        <f t="shared" si="151"/>
        <v>0</v>
      </c>
      <c r="Q267" s="122" t="str">
        <f t="shared" si="172"/>
        <v>ZeroEntry</v>
      </c>
      <c r="R267" s="126" t="str">
        <f t="shared" si="152"/>
        <v>ZeroEntry</v>
      </c>
      <c r="S267" s="127" t="str">
        <f t="shared" si="153"/>
        <v>ZeroEntry</v>
      </c>
      <c r="T267" s="128" t="str">
        <f>IF($Q267="ZeroEntry", "",VLOOKUP($I267,'Ranking Lookup'!#REF!,2,FALSE))</f>
        <v/>
      </c>
      <c r="U267" s="129" t="str">
        <f t="shared" si="154"/>
        <v/>
      </c>
      <c r="V267" s="129" t="str">
        <f t="shared" si="155"/>
        <v/>
      </c>
      <c r="W267" s="129" t="str">
        <f t="shared" si="156"/>
        <v/>
      </c>
      <c r="X267" s="129" t="str">
        <f t="shared" si="157"/>
        <v/>
      </c>
      <c r="Y267" s="129" t="str">
        <f t="shared" si="158"/>
        <v/>
      </c>
      <c r="Z267" s="129" t="str">
        <f t="shared" si="159"/>
        <v/>
      </c>
      <c r="AA267" s="130"/>
      <c r="AB267" s="130" t="str">
        <f t="shared" si="160"/>
        <v>Unassigned</v>
      </c>
      <c r="AC267" s="131" t="str">
        <f t="shared" si="173"/>
        <v/>
      </c>
      <c r="AD267" s="131" t="str">
        <f t="shared" si="174"/>
        <v/>
      </c>
      <c r="AE267" s="132">
        <f t="shared" si="161"/>
        <v>0</v>
      </c>
      <c r="AF267" s="133" t="str">
        <f t="shared" si="175"/>
        <v/>
      </c>
      <c r="AG267" s="134">
        <f t="shared" si="162"/>
        <v>0</v>
      </c>
      <c r="AH267" s="54" t="str">
        <f t="shared" si="163"/>
        <v/>
      </c>
      <c r="AI267" s="54" t="str">
        <f t="shared" si="164"/>
        <v/>
      </c>
      <c r="AJ267" s="54" t="str">
        <f t="shared" si="164"/>
        <v/>
      </c>
      <c r="AK267" s="54" t="str">
        <f t="shared" si="164"/>
        <v/>
      </c>
      <c r="AL267" s="54" t="str">
        <f t="shared" si="164"/>
        <v/>
      </c>
      <c r="AM267" s="54" t="str">
        <f t="shared" si="164"/>
        <v/>
      </c>
      <c r="AN267" s="54" t="str">
        <f t="shared" si="164"/>
        <v/>
      </c>
      <c r="AO267" s="54" t="str">
        <f t="shared" si="164"/>
        <v/>
      </c>
      <c r="AP267" s="54" t="str">
        <f t="shared" si="164"/>
        <v/>
      </c>
      <c r="AQ267" s="54" t="str">
        <f t="shared" si="164"/>
        <v/>
      </c>
      <c r="AR267" s="54" t="str">
        <f t="shared" si="164"/>
        <v/>
      </c>
      <c r="AS267" s="54" t="str">
        <f t="shared" si="164"/>
        <v/>
      </c>
      <c r="AT267" s="54" t="str">
        <f t="shared" si="164"/>
        <v/>
      </c>
      <c r="AU267" s="54" t="str">
        <f t="shared" si="164"/>
        <v/>
      </c>
      <c r="AV267" s="54" t="str">
        <f t="shared" si="164"/>
        <v/>
      </c>
      <c r="AW267" s="54" t="str">
        <f t="shared" si="164"/>
        <v/>
      </c>
      <c r="AX267" s="54" t="str">
        <f t="shared" si="164"/>
        <v/>
      </c>
      <c r="AY267" s="54" t="str">
        <f t="shared" si="177"/>
        <v/>
      </c>
      <c r="AZ267" s="54" t="str">
        <f t="shared" si="165"/>
        <v/>
      </c>
      <c r="BA267" s="54" t="str">
        <f t="shared" si="166"/>
        <v/>
      </c>
      <c r="BB267" s="135" t="str">
        <f t="shared" si="167"/>
        <v/>
      </c>
      <c r="BC267" s="54" t="str">
        <f t="shared" si="176"/>
        <v/>
      </c>
      <c r="BD267" s="54" t="str">
        <f t="shared" si="176"/>
        <v/>
      </c>
      <c r="BE267" s="54" t="str">
        <f t="shared" si="176"/>
        <v/>
      </c>
      <c r="BF267" s="54" t="str">
        <f t="shared" si="168"/>
        <v/>
      </c>
      <c r="BG267" s="54" t="str">
        <f t="shared" si="169"/>
        <v/>
      </c>
      <c r="BH267" s="34" t="str">
        <f t="shared" si="170"/>
        <v>Bad</v>
      </c>
      <c r="BI267" s="34" t="str">
        <f t="shared" si="171"/>
        <v>No</v>
      </c>
      <c r="BJ267" s="136" t="str">
        <f>IF($D267&lt;&gt;"Feature",".",
IF(VLOOKUP($B267,Feature_List!$A:$AM,MATCH(BJ$1,  Feature_List!$A$1:$AM$1,0),0)=B267,".","NO"))</f>
        <v>.</v>
      </c>
      <c r="BK267" s="136"/>
      <c r="BL267" s="136"/>
      <c r="BM267" s="136" t="str">
        <f>IF($D267&lt;&gt;"Feature",".",
IF(VLOOKUP($B267,Feature_List!$A:$AM,MATCH(BM$1,  Feature_List!$A$1:$AM$1,0),0)=E267,".","NO"))</f>
        <v>.</v>
      </c>
      <c r="BN267" s="136" t="str">
        <f>IF($D267&lt;&gt;"Feature",".",
IF(VLOOKUP($B267,Feature_List!$A:$AM,MATCH(BN$1,  Feature_List!$A$1:$AM$1,0),0)=F267,".","NO"))</f>
        <v>.</v>
      </c>
      <c r="BO267" s="136" t="str">
        <f>IF($D267&lt;&gt;"Feature",".",
IF(VLOOKUP($B267,Feature_List!$A:$AM,MATCH(BO$1,  Feature_List!$A$1:$AM$1,0),0)=G267,".","NO"))</f>
        <v>.</v>
      </c>
      <c r="BP267" s="136" t="str">
        <f>IF($D267&lt;&gt;"Feature",".",
IF(VLOOKUP($B267,Feature_List!$A:$AM,MATCH(BP$1,  Feature_List!$A$1:$AM$1,0),0)=H267,".","NO"))</f>
        <v>.</v>
      </c>
      <c r="BQ267" s="136"/>
      <c r="BR267" s="136" t="str">
        <f>IF($D267&lt;&gt;"Feature",".",
IF(VLOOKUP($B267,Feature_List!$A:$AM,MATCH(BR$1,  Feature_List!$A$1:$AM$1,0),0)=J267,".","NO"))</f>
        <v>.</v>
      </c>
      <c r="BS267" s="136"/>
      <c r="BT267" s="136"/>
      <c r="BU267" s="136" t="str">
        <f>IF($D267&lt;&gt;"Feature",".",
IF(VLOOKUP($B267,Feature_List!$A:$AM,MATCH(BU$1,  Feature_List!$A$1:$AM$1,0),0)=M267,".","NO"))</f>
        <v>.</v>
      </c>
      <c r="BV267" s="136" t="str">
        <f>IF($D267&lt;&gt;"Feature",".",
IF(VLOOKUP($B267,Feature_List!$A:$AM,MATCH(BV$1,  Feature_List!$A$1:$AM$1,0),0)=N267,".","NO"))</f>
        <v>.</v>
      </c>
      <c r="BW267" s="136"/>
      <c r="BX267" s="136"/>
      <c r="BY267" s="136"/>
      <c r="BZ267" s="136"/>
      <c r="CA267" s="136"/>
      <c r="CB267" s="136" t="str">
        <f>IF($D267&lt;&gt;"Feature",".",
IF(VLOOKUP($B267,Feature_List!$A:$AM,MATCH(CB$1,  Feature_List!$A$1:$AM$1,0),0)=T267,".","NO"))</f>
        <v>.</v>
      </c>
      <c r="CC267" s="136"/>
      <c r="CD267" s="136"/>
      <c r="CE267" s="136"/>
      <c r="CF267" s="136"/>
      <c r="CG267" s="136"/>
      <c r="CH267" s="136"/>
      <c r="CI267" s="136"/>
      <c r="CJ267" s="136"/>
      <c r="CK267" s="136"/>
      <c r="CL267" s="136"/>
      <c r="CM267" s="136"/>
      <c r="CN267" s="136"/>
      <c r="CO267" s="136" t="str">
        <f>IF($D267&lt;&gt;"Feature",".",
IF(VLOOKUP($B267,Feature_List!$A:$AM,MATCH(CO$1,  Feature_List!$A$1:$AM$1,0),0)=AG267,".","NO"))</f>
        <v>.</v>
      </c>
      <c r="CP267" s="136" t="str">
        <f>IF($D267&lt;&gt;"Feature",".",
IF(VLOOKUP($B267,Feature_List!$A:$AM,MATCH(CP$1,  Feature_List!$A$1:$AM$1,0),0)=AH267,".","NO"))</f>
        <v>.</v>
      </c>
      <c r="CQ267" s="136" t="str">
        <f>IF($D267&lt;&gt;"Feature",".",
IF(VLOOKUP($B267,Feature_List!$A:$AM,MATCH(CQ$1,  Feature_List!$A$1:$AM$1,0),0)=AI267,".","NO"))</f>
        <v>.</v>
      </c>
      <c r="CR267" s="136" t="str">
        <f>IF($D267&lt;&gt;"Feature",".",
IF(VLOOKUP($B267,Feature_List!$A:$AM,MATCH(CR$1,  Feature_List!$A$1:$AM$1,0),0)=AJ267,".","NO"))</f>
        <v>.</v>
      </c>
      <c r="CS267" s="136" t="str">
        <f>IF($D267&lt;&gt;"Feature",".",
IF(VLOOKUP($B267,Feature_List!$A:$AM,MATCH(CS$1,  Feature_List!$A$1:$AM$1,0),0)=AK267,".","NO"))</f>
        <v>.</v>
      </c>
      <c r="CT267" s="136" t="str">
        <f>IF($D267&lt;&gt;"Feature",".",
IF(VLOOKUP($B267,Feature_List!$A:$AM,MATCH(CT$1,  Feature_List!$A$1:$AM$1,0),0)=AL267,".","NO"))</f>
        <v>.</v>
      </c>
      <c r="CU267" s="136" t="str">
        <f>IF($D267&lt;&gt;"Feature",".",
IF(VLOOKUP($B267,Feature_List!$A:$AM,MATCH(CU$1,  Feature_List!$A$1:$AM$1,0),0)=AM267,".","NO"))</f>
        <v>.</v>
      </c>
      <c r="CV267" s="136" t="str">
        <f>IF($D267&lt;&gt;"Feature",".",
IF(VLOOKUP($B267,Feature_List!$A:$AM,MATCH(CV$1,  Feature_List!$A$1:$AM$1,0),0)=AN267,".","NO"))</f>
        <v>.</v>
      </c>
      <c r="CW267" s="136" t="str">
        <f>IF($D267&lt;&gt;"Feature",".",
IF(VLOOKUP($B267,Feature_List!$A:$AM,MATCH(CW$1,  Feature_List!$A$1:$AM$1,0),0)=AO267,".","NO"))</f>
        <v>.</v>
      </c>
      <c r="CX267" s="136" t="str">
        <f>IF($D267&lt;&gt;"Feature",".",
IF(VLOOKUP($B267,Feature_List!$A:$AM,MATCH(CX$1,  Feature_List!$A$1:$AM$1,0),0)=AP267,".","NO"))</f>
        <v>.</v>
      </c>
      <c r="CY267" s="136" t="str">
        <f>IF($D267&lt;&gt;"Feature",".",
IF(VLOOKUP($B267,Feature_List!$A:$AM,MATCH(CY$1,  Feature_List!$A$1:$AM$1,0),0)=AQ267,".","NO"))</f>
        <v>.</v>
      </c>
      <c r="CZ267" s="136" t="str">
        <f>IF($D267&lt;&gt;"Feature",".",
IF(VLOOKUP($B267,Feature_List!$A:$AM,MATCH(CZ$1,  Feature_List!$A$1:$AM$1,0),0)=AR267,".","NO"))</f>
        <v>.</v>
      </c>
      <c r="DA267" s="136" t="str">
        <f>IF($D267&lt;&gt;"Feature",".",
IF(VLOOKUP($B267,Feature_List!$A:$AM,MATCH(DA$1,  Feature_List!$A$1:$AM$1,0),0)=AS267,".","NO"))</f>
        <v>.</v>
      </c>
      <c r="DB267" s="136" t="str">
        <f>IF($D267&lt;&gt;"Feature",".",
IF(VLOOKUP($B267,Feature_List!$A:$AM,MATCH(DB$1,  Feature_List!$A$1:$AM$1,0),0)=AT267,".","NO"))</f>
        <v>.</v>
      </c>
      <c r="DC267" s="136" t="str">
        <f>IF($D267&lt;&gt;"Feature",".",
IF(VLOOKUP($B267,Feature_List!$A:$AM,MATCH(DC$1,  Feature_List!$A$1:$AM$1,0),0)=AU267,".","NO"))</f>
        <v>.</v>
      </c>
      <c r="DD267" s="136" t="str">
        <f>IF($D267&lt;&gt;"Feature",".",
IF(VLOOKUP($B267,Feature_List!$A:$AM,MATCH(DD$1,  Feature_List!$A$1:$AM$1,0),0)=AV267,".","NO"))</f>
        <v>.</v>
      </c>
      <c r="DE267" s="136" t="str">
        <f>IF($D267&lt;&gt;"Feature",".",
IF(VLOOKUP($B267,Feature_List!$A:$AM,MATCH(DE$1,  Feature_List!$A$1:$AM$1,0),0)=AW267,".","NO"))</f>
        <v>.</v>
      </c>
      <c r="DF267" s="136" t="str">
        <f>IF($D267&lt;&gt;"Feature",".",
IF(VLOOKUP($B267,Feature_List!$A:$AM,MATCH(DF$1,  Feature_List!$A$1:$AM$1,0),0)=AX267,".","NO"))</f>
        <v>.</v>
      </c>
      <c r="DG267" s="136" t="str">
        <f>IF($D267&lt;&gt;"Feature",".",
IF(VLOOKUP($B267,Feature_List!$A:$AM,MATCH(DG$1,  Feature_List!$A$1:$AM$1,0),0)=AY267,".","NO"))</f>
        <v>.</v>
      </c>
      <c r="DH267" s="136" t="str">
        <f>IF($D267&lt;&gt;"Feature",".",
IF(VLOOKUP($B267,Feature_List!$A:$AM,MATCH(DH$1,  Feature_List!$A$1:$AM$1,0),0)=AZ267,".","NO"))</f>
        <v>.</v>
      </c>
      <c r="DI267" s="136" t="str">
        <f>IF($D267&lt;&gt;"Feature",".",
IF(VLOOKUP($B267,Feature_List!$A:$AM,MATCH(DI$1,  Feature_List!$A$1:$AM$1,0),0)=BA267,".","NO"))</f>
        <v>.</v>
      </c>
      <c r="DJ267" s="136" t="str">
        <f>IF($D267&lt;&gt;"Feature",".",
IF(VLOOKUP($B267,Feature_List!$A:$AM,MATCH(DJ$1,  Feature_List!$A$1:$AM$1,0),0)=BB267,".","NO"))</f>
        <v>.</v>
      </c>
      <c r="DK267" s="136"/>
      <c r="DL267" s="136"/>
      <c r="DM267" s="136"/>
      <c r="DN267" s="136" t="str">
        <f>IF($D267&lt;&gt;"Feature",".",
IF(VLOOKUP($B267,Feature_List!$A:$AM,MATCH(DN$1,  Feature_List!$A$1:$AM$1,0),0)=BC267,".","NO"))</f>
        <v>.</v>
      </c>
      <c r="DO267" s="136" t="str">
        <f>IF($D267&lt;&gt;"Feature",".",
IF(VLOOKUP($B267,Feature_List!$A:$AM,MATCH(DO$1,  Feature_List!$A$1:$AM$1,0),0)=BD267,".","NO"))</f>
        <v>.</v>
      </c>
    </row>
    <row r="268" spans="2:119" x14ac:dyDescent="0.3">
      <c r="B268" s="121"/>
      <c r="C268" s="122"/>
      <c r="D268" s="122"/>
      <c r="E268" s="122"/>
      <c r="F268" s="123"/>
      <c r="G268" s="123"/>
      <c r="H268" s="122"/>
      <c r="I268" s="124"/>
      <c r="J268" s="123"/>
      <c r="K268" s="123"/>
      <c r="L268" s="122"/>
      <c r="M268" s="122"/>
      <c r="N268" s="122"/>
      <c r="O268" s="123">
        <f t="shared" si="150"/>
        <v>0</v>
      </c>
      <c r="P268" s="123">
        <f t="shared" si="151"/>
        <v>0</v>
      </c>
      <c r="Q268" s="122" t="str">
        <f t="shared" si="172"/>
        <v>ZeroEntry</v>
      </c>
      <c r="R268" s="126" t="str">
        <f t="shared" si="152"/>
        <v>ZeroEntry</v>
      </c>
      <c r="S268" s="127" t="str">
        <f t="shared" si="153"/>
        <v>ZeroEntry</v>
      </c>
      <c r="T268" s="128" t="str">
        <f>IF($Q268="ZeroEntry", "",VLOOKUP($I268,'Ranking Lookup'!#REF!,2,FALSE))</f>
        <v/>
      </c>
      <c r="U268" s="129" t="str">
        <f t="shared" si="154"/>
        <v/>
      </c>
      <c r="V268" s="129" t="str">
        <f t="shared" si="155"/>
        <v/>
      </c>
      <c r="W268" s="129" t="str">
        <f t="shared" si="156"/>
        <v/>
      </c>
      <c r="X268" s="129" t="str">
        <f t="shared" si="157"/>
        <v/>
      </c>
      <c r="Y268" s="129" t="str">
        <f t="shared" si="158"/>
        <v/>
      </c>
      <c r="Z268" s="129" t="str">
        <f t="shared" si="159"/>
        <v/>
      </c>
      <c r="AA268" s="130"/>
      <c r="AB268" s="130" t="str">
        <f t="shared" si="160"/>
        <v>Unassigned</v>
      </c>
      <c r="AC268" s="131" t="str">
        <f t="shared" si="173"/>
        <v/>
      </c>
      <c r="AD268" s="131" t="str">
        <f t="shared" si="174"/>
        <v/>
      </c>
      <c r="AE268" s="132">
        <f t="shared" si="161"/>
        <v>0</v>
      </c>
      <c r="AF268" s="133" t="str">
        <f t="shared" si="175"/>
        <v/>
      </c>
      <c r="AG268" s="134">
        <f t="shared" si="162"/>
        <v>0</v>
      </c>
      <c r="AH268" s="54" t="str">
        <f t="shared" si="163"/>
        <v/>
      </c>
      <c r="AI268" s="54" t="str">
        <f t="shared" si="164"/>
        <v/>
      </c>
      <c r="AJ268" s="54" t="str">
        <f t="shared" si="164"/>
        <v/>
      </c>
      <c r="AK268" s="54" t="str">
        <f t="shared" si="164"/>
        <v/>
      </c>
      <c r="AL268" s="54" t="str">
        <f t="shared" si="164"/>
        <v/>
      </c>
      <c r="AM268" s="54" t="str">
        <f t="shared" si="164"/>
        <v/>
      </c>
      <c r="AN268" s="54" t="str">
        <f t="shared" si="164"/>
        <v/>
      </c>
      <c r="AO268" s="54" t="str">
        <f t="shared" si="164"/>
        <v/>
      </c>
      <c r="AP268" s="54" t="str">
        <f t="shared" si="164"/>
        <v/>
      </c>
      <c r="AQ268" s="54" t="str">
        <f t="shared" si="164"/>
        <v/>
      </c>
      <c r="AR268" s="54" t="str">
        <f t="shared" si="164"/>
        <v/>
      </c>
      <c r="AS268" s="54" t="str">
        <f t="shared" si="164"/>
        <v/>
      </c>
      <c r="AT268" s="54" t="str">
        <f t="shared" si="164"/>
        <v/>
      </c>
      <c r="AU268" s="54" t="str">
        <f t="shared" si="164"/>
        <v/>
      </c>
      <c r="AV268" s="54" t="str">
        <f t="shared" si="164"/>
        <v/>
      </c>
      <c r="AW268" s="54" t="str">
        <f t="shared" si="164"/>
        <v/>
      </c>
      <c r="AX268" s="54" t="str">
        <f t="shared" si="164"/>
        <v/>
      </c>
      <c r="AY268" s="54" t="str">
        <f t="shared" si="177"/>
        <v/>
      </c>
      <c r="AZ268" s="54" t="str">
        <f t="shared" si="165"/>
        <v/>
      </c>
      <c r="BA268" s="54" t="str">
        <f t="shared" si="166"/>
        <v/>
      </c>
      <c r="BB268" s="135" t="str">
        <f t="shared" si="167"/>
        <v/>
      </c>
      <c r="BC268" s="54" t="str">
        <f t="shared" si="176"/>
        <v/>
      </c>
      <c r="BD268" s="54" t="str">
        <f t="shared" si="176"/>
        <v/>
      </c>
      <c r="BE268" s="54" t="str">
        <f t="shared" si="176"/>
        <v/>
      </c>
      <c r="BF268" s="54" t="str">
        <f t="shared" si="168"/>
        <v/>
      </c>
      <c r="BG268" s="54" t="str">
        <f t="shared" si="169"/>
        <v/>
      </c>
      <c r="BH268" s="34" t="str">
        <f t="shared" si="170"/>
        <v>Bad</v>
      </c>
      <c r="BI268" s="34" t="str">
        <f t="shared" si="171"/>
        <v>No</v>
      </c>
      <c r="BJ268" s="136" t="str">
        <f>IF($D268&lt;&gt;"Feature",".",
IF(VLOOKUP($B268,Feature_List!$A:$AM,MATCH(BJ$1,  Feature_List!$A$1:$AM$1,0),0)=B268,".","NO"))</f>
        <v>.</v>
      </c>
      <c r="BK268" s="136"/>
      <c r="BL268" s="136"/>
      <c r="BM268" s="136" t="str">
        <f>IF($D268&lt;&gt;"Feature",".",
IF(VLOOKUP($B268,Feature_List!$A:$AM,MATCH(BM$1,  Feature_List!$A$1:$AM$1,0),0)=E268,".","NO"))</f>
        <v>.</v>
      </c>
      <c r="BN268" s="136" t="str">
        <f>IF($D268&lt;&gt;"Feature",".",
IF(VLOOKUP($B268,Feature_List!$A:$AM,MATCH(BN$1,  Feature_List!$A$1:$AM$1,0),0)=F268,".","NO"))</f>
        <v>.</v>
      </c>
      <c r="BO268" s="136" t="str">
        <f>IF($D268&lt;&gt;"Feature",".",
IF(VLOOKUP($B268,Feature_List!$A:$AM,MATCH(BO$1,  Feature_List!$A$1:$AM$1,0),0)=G268,".","NO"))</f>
        <v>.</v>
      </c>
      <c r="BP268" s="136" t="str">
        <f>IF($D268&lt;&gt;"Feature",".",
IF(VLOOKUP($B268,Feature_List!$A:$AM,MATCH(BP$1,  Feature_List!$A$1:$AM$1,0),0)=H268,".","NO"))</f>
        <v>.</v>
      </c>
      <c r="BQ268" s="136"/>
      <c r="BR268" s="136" t="str">
        <f>IF($D268&lt;&gt;"Feature",".",
IF(VLOOKUP($B268,Feature_List!$A:$AM,MATCH(BR$1,  Feature_List!$A$1:$AM$1,0),0)=J268,".","NO"))</f>
        <v>.</v>
      </c>
      <c r="BS268" s="136"/>
      <c r="BT268" s="136"/>
      <c r="BU268" s="136" t="str">
        <f>IF($D268&lt;&gt;"Feature",".",
IF(VLOOKUP($B268,Feature_List!$A:$AM,MATCH(BU$1,  Feature_List!$A$1:$AM$1,0),0)=M268,".","NO"))</f>
        <v>.</v>
      </c>
      <c r="BV268" s="136" t="str">
        <f>IF($D268&lt;&gt;"Feature",".",
IF(VLOOKUP($B268,Feature_List!$A:$AM,MATCH(BV$1,  Feature_List!$A$1:$AM$1,0),0)=N268,".","NO"))</f>
        <v>.</v>
      </c>
      <c r="BW268" s="136"/>
      <c r="BX268" s="136"/>
      <c r="BY268" s="136"/>
      <c r="BZ268" s="136"/>
      <c r="CA268" s="136"/>
      <c r="CB268" s="136" t="str">
        <f>IF($D268&lt;&gt;"Feature",".",
IF(VLOOKUP($B268,Feature_List!$A:$AM,MATCH(CB$1,  Feature_List!$A$1:$AM$1,0),0)=T268,".","NO"))</f>
        <v>.</v>
      </c>
      <c r="CC268" s="136"/>
      <c r="CD268" s="136"/>
      <c r="CE268" s="136"/>
      <c r="CF268" s="136"/>
      <c r="CG268" s="136"/>
      <c r="CH268" s="136"/>
      <c r="CI268" s="136"/>
      <c r="CJ268" s="136"/>
      <c r="CK268" s="136"/>
      <c r="CL268" s="136"/>
      <c r="CM268" s="136"/>
      <c r="CN268" s="136"/>
      <c r="CO268" s="136" t="str">
        <f>IF($D268&lt;&gt;"Feature",".",
IF(VLOOKUP($B268,Feature_List!$A:$AM,MATCH(CO$1,  Feature_List!$A$1:$AM$1,0),0)=AG268,".","NO"))</f>
        <v>.</v>
      </c>
      <c r="CP268" s="136" t="str">
        <f>IF($D268&lt;&gt;"Feature",".",
IF(VLOOKUP($B268,Feature_List!$A:$AM,MATCH(CP$1,  Feature_List!$A$1:$AM$1,0),0)=AH268,".","NO"))</f>
        <v>.</v>
      </c>
      <c r="CQ268" s="136" t="str">
        <f>IF($D268&lt;&gt;"Feature",".",
IF(VLOOKUP($B268,Feature_List!$A:$AM,MATCH(CQ$1,  Feature_List!$A$1:$AM$1,0),0)=AI268,".","NO"))</f>
        <v>.</v>
      </c>
      <c r="CR268" s="136" t="str">
        <f>IF($D268&lt;&gt;"Feature",".",
IF(VLOOKUP($B268,Feature_List!$A:$AM,MATCH(CR$1,  Feature_List!$A$1:$AM$1,0),0)=AJ268,".","NO"))</f>
        <v>.</v>
      </c>
      <c r="CS268" s="136" t="str">
        <f>IF($D268&lt;&gt;"Feature",".",
IF(VLOOKUP($B268,Feature_List!$A:$AM,MATCH(CS$1,  Feature_List!$A$1:$AM$1,0),0)=AK268,".","NO"))</f>
        <v>.</v>
      </c>
      <c r="CT268" s="136" t="str">
        <f>IF($D268&lt;&gt;"Feature",".",
IF(VLOOKUP($B268,Feature_List!$A:$AM,MATCH(CT$1,  Feature_List!$A$1:$AM$1,0),0)=AL268,".","NO"))</f>
        <v>.</v>
      </c>
      <c r="CU268" s="136" t="str">
        <f>IF($D268&lt;&gt;"Feature",".",
IF(VLOOKUP($B268,Feature_List!$A:$AM,MATCH(CU$1,  Feature_List!$A$1:$AM$1,0),0)=AM268,".","NO"))</f>
        <v>.</v>
      </c>
      <c r="CV268" s="136" t="str">
        <f>IF($D268&lt;&gt;"Feature",".",
IF(VLOOKUP($B268,Feature_List!$A:$AM,MATCH(CV$1,  Feature_List!$A$1:$AM$1,0),0)=AN268,".","NO"))</f>
        <v>.</v>
      </c>
      <c r="CW268" s="136" t="str">
        <f>IF($D268&lt;&gt;"Feature",".",
IF(VLOOKUP($B268,Feature_List!$A:$AM,MATCH(CW$1,  Feature_List!$A$1:$AM$1,0),0)=AO268,".","NO"))</f>
        <v>.</v>
      </c>
      <c r="CX268" s="136" t="str">
        <f>IF($D268&lt;&gt;"Feature",".",
IF(VLOOKUP($B268,Feature_List!$A:$AM,MATCH(CX$1,  Feature_List!$A$1:$AM$1,0),0)=AP268,".","NO"))</f>
        <v>.</v>
      </c>
      <c r="CY268" s="136" t="str">
        <f>IF($D268&lt;&gt;"Feature",".",
IF(VLOOKUP($B268,Feature_List!$A:$AM,MATCH(CY$1,  Feature_List!$A$1:$AM$1,0),0)=AQ268,".","NO"))</f>
        <v>.</v>
      </c>
      <c r="CZ268" s="136" t="str">
        <f>IF($D268&lt;&gt;"Feature",".",
IF(VLOOKUP($B268,Feature_List!$A:$AM,MATCH(CZ$1,  Feature_List!$A$1:$AM$1,0),0)=AR268,".","NO"))</f>
        <v>.</v>
      </c>
      <c r="DA268" s="136" t="str">
        <f>IF($D268&lt;&gt;"Feature",".",
IF(VLOOKUP($B268,Feature_List!$A:$AM,MATCH(DA$1,  Feature_List!$A$1:$AM$1,0),0)=AS268,".","NO"))</f>
        <v>.</v>
      </c>
      <c r="DB268" s="136" t="str">
        <f>IF($D268&lt;&gt;"Feature",".",
IF(VLOOKUP($B268,Feature_List!$A:$AM,MATCH(DB$1,  Feature_List!$A$1:$AM$1,0),0)=AT268,".","NO"))</f>
        <v>.</v>
      </c>
      <c r="DC268" s="136" t="str">
        <f>IF($D268&lt;&gt;"Feature",".",
IF(VLOOKUP($B268,Feature_List!$A:$AM,MATCH(DC$1,  Feature_List!$A$1:$AM$1,0),0)=AU268,".","NO"))</f>
        <v>.</v>
      </c>
      <c r="DD268" s="136" t="str">
        <f>IF($D268&lt;&gt;"Feature",".",
IF(VLOOKUP($B268,Feature_List!$A:$AM,MATCH(DD$1,  Feature_List!$A$1:$AM$1,0),0)=AV268,".","NO"))</f>
        <v>.</v>
      </c>
      <c r="DE268" s="136" t="str">
        <f>IF($D268&lt;&gt;"Feature",".",
IF(VLOOKUP($B268,Feature_List!$A:$AM,MATCH(DE$1,  Feature_List!$A$1:$AM$1,0),0)=AW268,".","NO"))</f>
        <v>.</v>
      </c>
      <c r="DF268" s="136" t="str">
        <f>IF($D268&lt;&gt;"Feature",".",
IF(VLOOKUP($B268,Feature_List!$A:$AM,MATCH(DF$1,  Feature_List!$A$1:$AM$1,0),0)=AX268,".","NO"))</f>
        <v>.</v>
      </c>
      <c r="DG268" s="136" t="str">
        <f>IF($D268&lt;&gt;"Feature",".",
IF(VLOOKUP($B268,Feature_List!$A:$AM,MATCH(DG$1,  Feature_List!$A$1:$AM$1,0),0)=AY268,".","NO"))</f>
        <v>.</v>
      </c>
      <c r="DH268" s="136" t="str">
        <f>IF($D268&lt;&gt;"Feature",".",
IF(VLOOKUP($B268,Feature_List!$A:$AM,MATCH(DH$1,  Feature_List!$A$1:$AM$1,0),0)=AZ268,".","NO"))</f>
        <v>.</v>
      </c>
      <c r="DI268" s="136" t="str">
        <f>IF($D268&lt;&gt;"Feature",".",
IF(VLOOKUP($B268,Feature_List!$A:$AM,MATCH(DI$1,  Feature_List!$A$1:$AM$1,0),0)=BA268,".","NO"))</f>
        <v>.</v>
      </c>
      <c r="DJ268" s="136" t="str">
        <f>IF($D268&lt;&gt;"Feature",".",
IF(VLOOKUP($B268,Feature_List!$A:$AM,MATCH(DJ$1,  Feature_List!$A$1:$AM$1,0),0)=BB268,".","NO"))</f>
        <v>.</v>
      </c>
      <c r="DK268" s="136"/>
      <c r="DL268" s="136"/>
      <c r="DM268" s="136"/>
      <c r="DN268" s="136" t="str">
        <f>IF($D268&lt;&gt;"Feature",".",
IF(VLOOKUP($B268,Feature_List!$A:$AM,MATCH(DN$1,  Feature_List!$A$1:$AM$1,0),0)=BC268,".","NO"))</f>
        <v>.</v>
      </c>
      <c r="DO268" s="136" t="str">
        <f>IF($D268&lt;&gt;"Feature",".",
IF(VLOOKUP($B268,Feature_List!$A:$AM,MATCH(DO$1,  Feature_List!$A$1:$AM$1,0),0)=BD268,".","NO"))</f>
        <v>.</v>
      </c>
    </row>
    <row r="269" spans="2:119" x14ac:dyDescent="0.3">
      <c r="B269" s="121"/>
      <c r="C269" s="122"/>
      <c r="D269" s="122"/>
      <c r="E269" s="122"/>
      <c r="F269" s="123"/>
      <c r="G269" s="123"/>
      <c r="H269" s="122"/>
      <c r="I269" s="124"/>
      <c r="J269" s="123"/>
      <c r="K269" s="123"/>
      <c r="L269" s="122"/>
      <c r="M269" s="122"/>
      <c r="N269" s="122"/>
      <c r="O269" s="123">
        <f t="shared" si="150"/>
        <v>0</v>
      </c>
      <c r="P269" s="123">
        <f t="shared" si="151"/>
        <v>0</v>
      </c>
      <c r="Q269" s="122" t="str">
        <f t="shared" si="172"/>
        <v>ZeroEntry</v>
      </c>
      <c r="R269" s="126" t="str">
        <f t="shared" si="152"/>
        <v>ZeroEntry</v>
      </c>
      <c r="S269" s="127" t="str">
        <f t="shared" si="153"/>
        <v>ZeroEntry</v>
      </c>
      <c r="T269" s="128" t="str">
        <f>IF($Q269="ZeroEntry", "",VLOOKUP($I269,'Ranking Lookup'!#REF!,2,FALSE))</f>
        <v/>
      </c>
      <c r="U269" s="129" t="str">
        <f t="shared" si="154"/>
        <v/>
      </c>
      <c r="V269" s="129" t="str">
        <f t="shared" si="155"/>
        <v/>
      </c>
      <c r="W269" s="129" t="str">
        <f t="shared" si="156"/>
        <v/>
      </c>
      <c r="X269" s="129" t="str">
        <f t="shared" si="157"/>
        <v/>
      </c>
      <c r="Y269" s="129" t="str">
        <f t="shared" si="158"/>
        <v/>
      </c>
      <c r="Z269" s="129" t="str">
        <f t="shared" si="159"/>
        <v/>
      </c>
      <c r="AA269" s="130"/>
      <c r="AB269" s="130" t="str">
        <f t="shared" si="160"/>
        <v>Unassigned</v>
      </c>
      <c r="AC269" s="131" t="str">
        <f t="shared" si="173"/>
        <v/>
      </c>
      <c r="AD269" s="131" t="str">
        <f t="shared" si="174"/>
        <v/>
      </c>
      <c r="AE269" s="132">
        <f t="shared" si="161"/>
        <v>0</v>
      </c>
      <c r="AF269" s="133" t="str">
        <f t="shared" si="175"/>
        <v/>
      </c>
      <c r="AG269" s="134">
        <f t="shared" si="162"/>
        <v>0</v>
      </c>
      <c r="AH269" s="54" t="str">
        <f t="shared" si="163"/>
        <v/>
      </c>
      <c r="AI269" s="54" t="str">
        <f t="shared" si="164"/>
        <v/>
      </c>
      <c r="AJ269" s="54" t="str">
        <f t="shared" si="164"/>
        <v/>
      </c>
      <c r="AK269" s="54" t="str">
        <f t="shared" si="164"/>
        <v/>
      </c>
      <c r="AL269" s="54" t="str">
        <f t="shared" si="164"/>
        <v/>
      </c>
      <c r="AM269" s="54" t="str">
        <f t="shared" si="164"/>
        <v/>
      </c>
      <c r="AN269" s="54" t="str">
        <f t="shared" si="164"/>
        <v/>
      </c>
      <c r="AO269" s="54" t="str">
        <f t="shared" si="164"/>
        <v/>
      </c>
      <c r="AP269" s="54" t="str">
        <f t="shared" si="164"/>
        <v/>
      </c>
      <c r="AQ269" s="54" t="str">
        <f t="shared" si="164"/>
        <v/>
      </c>
      <c r="AR269" s="54" t="str">
        <f t="shared" si="164"/>
        <v/>
      </c>
      <c r="AS269" s="54" t="str">
        <f t="shared" si="164"/>
        <v/>
      </c>
      <c r="AT269" s="54" t="str">
        <f t="shared" si="164"/>
        <v/>
      </c>
      <c r="AU269" s="54" t="str">
        <f t="shared" si="164"/>
        <v/>
      </c>
      <c r="AV269" s="54" t="str">
        <f t="shared" si="164"/>
        <v/>
      </c>
      <c r="AW269" s="54" t="str">
        <f t="shared" si="164"/>
        <v/>
      </c>
      <c r="AX269" s="54" t="str">
        <f t="shared" si="164"/>
        <v/>
      </c>
      <c r="AY269" s="54" t="str">
        <f t="shared" si="177"/>
        <v/>
      </c>
      <c r="AZ269" s="54" t="str">
        <f t="shared" si="165"/>
        <v/>
      </c>
      <c r="BA269" s="54" t="str">
        <f t="shared" si="166"/>
        <v/>
      </c>
      <c r="BB269" s="135" t="str">
        <f t="shared" si="167"/>
        <v/>
      </c>
      <c r="BC269" s="54" t="str">
        <f t="shared" si="176"/>
        <v/>
      </c>
      <c r="BD269" s="54" t="str">
        <f t="shared" si="176"/>
        <v/>
      </c>
      <c r="BE269" s="54" t="str">
        <f t="shared" si="176"/>
        <v/>
      </c>
      <c r="BF269" s="54" t="str">
        <f t="shared" si="168"/>
        <v/>
      </c>
      <c r="BG269" s="54" t="str">
        <f t="shared" si="169"/>
        <v/>
      </c>
      <c r="BH269" s="34" t="str">
        <f t="shared" si="170"/>
        <v>Bad</v>
      </c>
      <c r="BI269" s="34" t="str">
        <f t="shared" si="171"/>
        <v>No</v>
      </c>
      <c r="BJ269" s="136" t="str">
        <f>IF($D269&lt;&gt;"Feature",".",
IF(VLOOKUP($B269,Feature_List!$A:$AM,MATCH(BJ$1,  Feature_List!$A$1:$AM$1,0),0)=B269,".","NO"))</f>
        <v>.</v>
      </c>
      <c r="BK269" s="136"/>
      <c r="BL269" s="136"/>
      <c r="BM269" s="136" t="str">
        <f>IF($D269&lt;&gt;"Feature",".",
IF(VLOOKUP($B269,Feature_List!$A:$AM,MATCH(BM$1,  Feature_List!$A$1:$AM$1,0),0)=E269,".","NO"))</f>
        <v>.</v>
      </c>
      <c r="BN269" s="136" t="str">
        <f>IF($D269&lt;&gt;"Feature",".",
IF(VLOOKUP($B269,Feature_List!$A:$AM,MATCH(BN$1,  Feature_List!$A$1:$AM$1,0),0)=F269,".","NO"))</f>
        <v>.</v>
      </c>
      <c r="BO269" s="136" t="str">
        <f>IF($D269&lt;&gt;"Feature",".",
IF(VLOOKUP($B269,Feature_List!$A:$AM,MATCH(BO$1,  Feature_List!$A$1:$AM$1,0),0)=G269,".","NO"))</f>
        <v>.</v>
      </c>
      <c r="BP269" s="136" t="str">
        <f>IF($D269&lt;&gt;"Feature",".",
IF(VLOOKUP($B269,Feature_List!$A:$AM,MATCH(BP$1,  Feature_List!$A$1:$AM$1,0),0)=H269,".","NO"))</f>
        <v>.</v>
      </c>
      <c r="BQ269" s="136"/>
      <c r="BR269" s="136" t="str">
        <f>IF($D269&lt;&gt;"Feature",".",
IF(VLOOKUP($B269,Feature_List!$A:$AM,MATCH(BR$1,  Feature_List!$A$1:$AM$1,0),0)=J269,".","NO"))</f>
        <v>.</v>
      </c>
      <c r="BS269" s="136"/>
      <c r="BT269" s="136"/>
      <c r="BU269" s="136" t="str">
        <f>IF($D269&lt;&gt;"Feature",".",
IF(VLOOKUP($B269,Feature_List!$A:$AM,MATCH(BU$1,  Feature_List!$A$1:$AM$1,0),0)=M269,".","NO"))</f>
        <v>.</v>
      </c>
      <c r="BV269" s="136" t="str">
        <f>IF($D269&lt;&gt;"Feature",".",
IF(VLOOKUP($B269,Feature_List!$A:$AM,MATCH(BV$1,  Feature_List!$A$1:$AM$1,0),0)=N269,".","NO"))</f>
        <v>.</v>
      </c>
      <c r="BW269" s="136"/>
      <c r="BX269" s="136"/>
      <c r="BY269" s="136"/>
      <c r="BZ269" s="136"/>
      <c r="CA269" s="136"/>
      <c r="CB269" s="136" t="str">
        <f>IF($D269&lt;&gt;"Feature",".",
IF(VLOOKUP($B269,Feature_List!$A:$AM,MATCH(CB$1,  Feature_List!$A$1:$AM$1,0),0)=T269,".","NO"))</f>
        <v>.</v>
      </c>
      <c r="CC269" s="136"/>
      <c r="CD269" s="136"/>
      <c r="CE269" s="136"/>
      <c r="CF269" s="136"/>
      <c r="CG269" s="136"/>
      <c r="CH269" s="136"/>
      <c r="CI269" s="136"/>
      <c r="CJ269" s="136"/>
      <c r="CK269" s="136"/>
      <c r="CL269" s="136"/>
      <c r="CM269" s="136"/>
      <c r="CN269" s="136"/>
      <c r="CO269" s="136" t="str">
        <f>IF($D269&lt;&gt;"Feature",".",
IF(VLOOKUP($B269,Feature_List!$A:$AM,MATCH(CO$1,  Feature_List!$A$1:$AM$1,0),0)=AG269,".","NO"))</f>
        <v>.</v>
      </c>
      <c r="CP269" s="136" t="str">
        <f>IF($D269&lt;&gt;"Feature",".",
IF(VLOOKUP($B269,Feature_List!$A:$AM,MATCH(CP$1,  Feature_List!$A$1:$AM$1,0),0)=AH269,".","NO"))</f>
        <v>.</v>
      </c>
      <c r="CQ269" s="136" t="str">
        <f>IF($D269&lt;&gt;"Feature",".",
IF(VLOOKUP($B269,Feature_List!$A:$AM,MATCH(CQ$1,  Feature_List!$A$1:$AM$1,0),0)=AI269,".","NO"))</f>
        <v>.</v>
      </c>
      <c r="CR269" s="136" t="str">
        <f>IF($D269&lt;&gt;"Feature",".",
IF(VLOOKUP($B269,Feature_List!$A:$AM,MATCH(CR$1,  Feature_List!$A$1:$AM$1,0),0)=AJ269,".","NO"))</f>
        <v>.</v>
      </c>
      <c r="CS269" s="136" t="str">
        <f>IF($D269&lt;&gt;"Feature",".",
IF(VLOOKUP($B269,Feature_List!$A:$AM,MATCH(CS$1,  Feature_List!$A$1:$AM$1,0),0)=AK269,".","NO"))</f>
        <v>.</v>
      </c>
      <c r="CT269" s="136" t="str">
        <f>IF($D269&lt;&gt;"Feature",".",
IF(VLOOKUP($B269,Feature_List!$A:$AM,MATCH(CT$1,  Feature_List!$A$1:$AM$1,0),0)=AL269,".","NO"))</f>
        <v>.</v>
      </c>
      <c r="CU269" s="136" t="str">
        <f>IF($D269&lt;&gt;"Feature",".",
IF(VLOOKUP($B269,Feature_List!$A:$AM,MATCH(CU$1,  Feature_List!$A$1:$AM$1,0),0)=AM269,".","NO"))</f>
        <v>.</v>
      </c>
      <c r="CV269" s="136" t="str">
        <f>IF($D269&lt;&gt;"Feature",".",
IF(VLOOKUP($B269,Feature_List!$A:$AM,MATCH(CV$1,  Feature_List!$A$1:$AM$1,0),0)=AN269,".","NO"))</f>
        <v>.</v>
      </c>
      <c r="CW269" s="136" t="str">
        <f>IF($D269&lt;&gt;"Feature",".",
IF(VLOOKUP($B269,Feature_List!$A:$AM,MATCH(CW$1,  Feature_List!$A$1:$AM$1,0),0)=AO269,".","NO"))</f>
        <v>.</v>
      </c>
      <c r="CX269" s="136" t="str">
        <f>IF($D269&lt;&gt;"Feature",".",
IF(VLOOKUP($B269,Feature_List!$A:$AM,MATCH(CX$1,  Feature_List!$A$1:$AM$1,0),0)=AP269,".","NO"))</f>
        <v>.</v>
      </c>
      <c r="CY269" s="136" t="str">
        <f>IF($D269&lt;&gt;"Feature",".",
IF(VLOOKUP($B269,Feature_List!$A:$AM,MATCH(CY$1,  Feature_List!$A$1:$AM$1,0),0)=AQ269,".","NO"))</f>
        <v>.</v>
      </c>
      <c r="CZ269" s="136" t="str">
        <f>IF($D269&lt;&gt;"Feature",".",
IF(VLOOKUP($B269,Feature_List!$A:$AM,MATCH(CZ$1,  Feature_List!$A$1:$AM$1,0),0)=AR269,".","NO"))</f>
        <v>.</v>
      </c>
      <c r="DA269" s="136" t="str">
        <f>IF($D269&lt;&gt;"Feature",".",
IF(VLOOKUP($B269,Feature_List!$A:$AM,MATCH(DA$1,  Feature_List!$A$1:$AM$1,0),0)=AS269,".","NO"))</f>
        <v>.</v>
      </c>
      <c r="DB269" s="136" t="str">
        <f>IF($D269&lt;&gt;"Feature",".",
IF(VLOOKUP($B269,Feature_List!$A:$AM,MATCH(DB$1,  Feature_List!$A$1:$AM$1,0),0)=AT269,".","NO"))</f>
        <v>.</v>
      </c>
      <c r="DC269" s="136" t="str">
        <f>IF($D269&lt;&gt;"Feature",".",
IF(VLOOKUP($B269,Feature_List!$A:$AM,MATCH(DC$1,  Feature_List!$A$1:$AM$1,0),0)=AU269,".","NO"))</f>
        <v>.</v>
      </c>
      <c r="DD269" s="136" t="str">
        <f>IF($D269&lt;&gt;"Feature",".",
IF(VLOOKUP($B269,Feature_List!$A:$AM,MATCH(DD$1,  Feature_List!$A$1:$AM$1,0),0)=AV269,".","NO"))</f>
        <v>.</v>
      </c>
      <c r="DE269" s="136" t="str">
        <f>IF($D269&lt;&gt;"Feature",".",
IF(VLOOKUP($B269,Feature_List!$A:$AM,MATCH(DE$1,  Feature_List!$A$1:$AM$1,0),0)=AW269,".","NO"))</f>
        <v>.</v>
      </c>
      <c r="DF269" s="136" t="str">
        <f>IF($D269&lt;&gt;"Feature",".",
IF(VLOOKUP($B269,Feature_List!$A:$AM,MATCH(DF$1,  Feature_List!$A$1:$AM$1,0),0)=AX269,".","NO"))</f>
        <v>.</v>
      </c>
      <c r="DG269" s="136" t="str">
        <f>IF($D269&lt;&gt;"Feature",".",
IF(VLOOKUP($B269,Feature_List!$A:$AM,MATCH(DG$1,  Feature_List!$A$1:$AM$1,0),0)=AY269,".","NO"))</f>
        <v>.</v>
      </c>
      <c r="DH269" s="136" t="str">
        <f>IF($D269&lt;&gt;"Feature",".",
IF(VLOOKUP($B269,Feature_List!$A:$AM,MATCH(DH$1,  Feature_List!$A$1:$AM$1,0),0)=AZ269,".","NO"))</f>
        <v>.</v>
      </c>
      <c r="DI269" s="136" t="str">
        <f>IF($D269&lt;&gt;"Feature",".",
IF(VLOOKUP($B269,Feature_List!$A:$AM,MATCH(DI$1,  Feature_List!$A$1:$AM$1,0),0)=BA269,".","NO"))</f>
        <v>.</v>
      </c>
      <c r="DJ269" s="136" t="str">
        <f>IF($D269&lt;&gt;"Feature",".",
IF(VLOOKUP($B269,Feature_List!$A:$AM,MATCH(DJ$1,  Feature_List!$A$1:$AM$1,0),0)=BB269,".","NO"))</f>
        <v>.</v>
      </c>
      <c r="DK269" s="136"/>
      <c r="DL269" s="136"/>
      <c r="DM269" s="136"/>
      <c r="DN269" s="136" t="str">
        <f>IF($D269&lt;&gt;"Feature",".",
IF(VLOOKUP($B269,Feature_List!$A:$AM,MATCH(DN$1,  Feature_List!$A$1:$AM$1,0),0)=BC269,".","NO"))</f>
        <v>.</v>
      </c>
      <c r="DO269" s="136" t="str">
        <f>IF($D269&lt;&gt;"Feature",".",
IF(VLOOKUP($B269,Feature_List!$A:$AM,MATCH(DO$1,  Feature_List!$A$1:$AM$1,0),0)=BD269,".","NO"))</f>
        <v>.</v>
      </c>
    </row>
    <row r="270" spans="2:119" x14ac:dyDescent="0.3">
      <c r="B270" s="144"/>
      <c r="C270" s="144"/>
      <c r="D270" s="144"/>
      <c r="E270" s="144"/>
      <c r="F270" s="144"/>
      <c r="G270" s="144"/>
      <c r="H270" s="144"/>
      <c r="I270" s="144"/>
      <c r="J270" s="144"/>
      <c r="K270" s="144"/>
      <c r="L270" s="144"/>
      <c r="M270" s="144"/>
      <c r="N270" s="144"/>
      <c r="O270" s="123">
        <f t="shared" si="150"/>
        <v>0</v>
      </c>
      <c r="P270" s="123">
        <f t="shared" si="151"/>
        <v>0</v>
      </c>
      <c r="Q270" s="122" t="str">
        <f t="shared" si="172"/>
        <v>ZeroEntry</v>
      </c>
      <c r="R270" s="126" t="str">
        <f t="shared" si="152"/>
        <v>ZeroEntry</v>
      </c>
      <c r="S270" s="127" t="str">
        <f t="shared" si="153"/>
        <v>ZeroEntry</v>
      </c>
      <c r="T270" s="128" t="str">
        <f>IF($Q270="ZeroEntry", "",VLOOKUP($I270,'Ranking Lookup'!#REF!,2,FALSE))</f>
        <v/>
      </c>
      <c r="U270" s="129" t="str">
        <f t="shared" si="154"/>
        <v/>
      </c>
      <c r="V270" s="129" t="str">
        <f t="shared" si="155"/>
        <v/>
      </c>
      <c r="W270" s="129" t="str">
        <f t="shared" si="156"/>
        <v/>
      </c>
      <c r="X270" s="129" t="str">
        <f t="shared" si="157"/>
        <v/>
      </c>
      <c r="Y270" s="129" t="str">
        <f t="shared" si="158"/>
        <v/>
      </c>
      <c r="Z270" s="129" t="str">
        <f t="shared" si="159"/>
        <v/>
      </c>
      <c r="AA270" s="130"/>
      <c r="AB270" s="130" t="str">
        <f t="shared" si="160"/>
        <v>Unassigned</v>
      </c>
      <c r="AC270" s="131" t="str">
        <f t="shared" si="173"/>
        <v/>
      </c>
      <c r="AD270" s="131" t="str">
        <f t="shared" si="174"/>
        <v/>
      </c>
      <c r="AE270" s="132">
        <f t="shared" si="161"/>
        <v>0</v>
      </c>
      <c r="AF270" s="133" t="str">
        <f t="shared" si="175"/>
        <v/>
      </c>
      <c r="AG270" s="134">
        <f t="shared" si="162"/>
        <v>0</v>
      </c>
      <c r="AH270" s="54" t="str">
        <f t="shared" si="163"/>
        <v/>
      </c>
      <c r="AI270" s="54" t="str">
        <f t="shared" si="164"/>
        <v/>
      </c>
      <c r="AJ270" s="54" t="str">
        <f t="shared" si="164"/>
        <v/>
      </c>
      <c r="AK270" s="54" t="str">
        <f t="shared" si="164"/>
        <v/>
      </c>
      <c r="AL270" s="54" t="str">
        <f t="shared" si="164"/>
        <v/>
      </c>
      <c r="AM270" s="54" t="str">
        <f t="shared" si="164"/>
        <v/>
      </c>
      <c r="AN270" s="54" t="str">
        <f t="shared" si="164"/>
        <v/>
      </c>
      <c r="AO270" s="54" t="str">
        <f t="shared" si="164"/>
        <v/>
      </c>
      <c r="AP270" s="54" t="str">
        <f t="shared" si="164"/>
        <v/>
      </c>
      <c r="AQ270" s="54" t="str">
        <f t="shared" si="164"/>
        <v/>
      </c>
      <c r="AR270" s="54" t="str">
        <f t="shared" si="164"/>
        <v/>
      </c>
      <c r="AS270" s="54" t="str">
        <f t="shared" si="164"/>
        <v/>
      </c>
      <c r="AT270" s="54" t="str">
        <f t="shared" si="164"/>
        <v/>
      </c>
      <c r="AU270" s="54" t="str">
        <f t="shared" si="164"/>
        <v/>
      </c>
      <c r="AV270" s="54" t="str">
        <f t="shared" si="164"/>
        <v/>
      </c>
      <c r="AW270" s="54" t="str">
        <f t="shared" si="164"/>
        <v/>
      </c>
      <c r="AX270" s="54" t="str">
        <f t="shared" si="164"/>
        <v/>
      </c>
      <c r="AY270" s="54" t="str">
        <f t="shared" si="177"/>
        <v/>
      </c>
      <c r="AZ270" s="54" t="str">
        <f t="shared" si="165"/>
        <v/>
      </c>
      <c r="BA270" s="54" t="str">
        <f t="shared" si="166"/>
        <v/>
      </c>
      <c r="BB270" s="135" t="str">
        <f t="shared" si="167"/>
        <v/>
      </c>
      <c r="BC270" s="54" t="str">
        <f t="shared" si="176"/>
        <v/>
      </c>
      <c r="BD270" s="54" t="str">
        <f t="shared" si="176"/>
        <v/>
      </c>
      <c r="BE270" s="54" t="str">
        <f t="shared" si="176"/>
        <v/>
      </c>
      <c r="BF270" s="54" t="str">
        <f t="shared" si="168"/>
        <v/>
      </c>
      <c r="BG270" s="54" t="str">
        <f t="shared" si="169"/>
        <v/>
      </c>
      <c r="BH270" s="34" t="str">
        <f t="shared" si="170"/>
        <v>Bad</v>
      </c>
      <c r="BI270" s="34" t="str">
        <f t="shared" si="171"/>
        <v>No</v>
      </c>
      <c r="BJ270" s="136" t="str">
        <f>IF($D270&lt;&gt;"Feature",".",
IF(VLOOKUP($B270,Feature_List!$A:$AM,MATCH(BJ$1,  Feature_List!$A$1:$AM$1,0),0)=B270,".","NO"))</f>
        <v>.</v>
      </c>
      <c r="BK270" s="136"/>
      <c r="BL270" s="136"/>
      <c r="BM270" s="136" t="str">
        <f>IF($D270&lt;&gt;"Feature",".",
IF(VLOOKUP($B270,Feature_List!$A:$AM,MATCH(BM$1,  Feature_List!$A$1:$AM$1,0),0)=E270,".","NO"))</f>
        <v>.</v>
      </c>
      <c r="BN270" s="136" t="str">
        <f>IF($D270&lt;&gt;"Feature",".",
IF(VLOOKUP($B270,Feature_List!$A:$AM,MATCH(BN$1,  Feature_List!$A$1:$AM$1,0),0)=F270,".","NO"))</f>
        <v>.</v>
      </c>
      <c r="BO270" s="136" t="str">
        <f>IF($D270&lt;&gt;"Feature",".",
IF(VLOOKUP($B270,Feature_List!$A:$AM,MATCH(BO$1,  Feature_List!$A$1:$AM$1,0),0)=G270,".","NO"))</f>
        <v>.</v>
      </c>
      <c r="BP270" s="136" t="str">
        <f>IF($D270&lt;&gt;"Feature",".",
IF(VLOOKUP($B270,Feature_List!$A:$AM,MATCH(BP$1,  Feature_List!$A$1:$AM$1,0),0)=H270,".","NO"))</f>
        <v>.</v>
      </c>
      <c r="BQ270" s="136"/>
      <c r="BR270" s="136" t="str">
        <f>IF($D270&lt;&gt;"Feature",".",
IF(VLOOKUP($B270,Feature_List!$A:$AM,MATCH(BR$1,  Feature_List!$A$1:$AM$1,0),0)=J270,".","NO"))</f>
        <v>.</v>
      </c>
      <c r="BS270" s="136"/>
      <c r="BT270" s="136"/>
      <c r="BU270" s="136" t="str">
        <f>IF($D270&lt;&gt;"Feature",".",
IF(VLOOKUP($B270,Feature_List!$A:$AM,MATCH(BU$1,  Feature_List!$A$1:$AM$1,0),0)=M270,".","NO"))</f>
        <v>.</v>
      </c>
      <c r="BV270" s="136" t="str">
        <f>IF($D270&lt;&gt;"Feature",".",
IF(VLOOKUP($B270,Feature_List!$A:$AM,MATCH(BV$1,  Feature_List!$A$1:$AM$1,0),0)=N270,".","NO"))</f>
        <v>.</v>
      </c>
      <c r="BW270" s="136"/>
      <c r="BX270" s="136"/>
      <c r="BY270" s="136"/>
      <c r="BZ270" s="136"/>
      <c r="CA270" s="136"/>
      <c r="CB270" s="136" t="str">
        <f>IF($D270&lt;&gt;"Feature",".",
IF(VLOOKUP($B270,Feature_List!$A:$AM,MATCH(CB$1,  Feature_List!$A$1:$AM$1,0),0)=T270,".","NO"))</f>
        <v>.</v>
      </c>
      <c r="CC270" s="136"/>
      <c r="CD270" s="136"/>
      <c r="CE270" s="136"/>
      <c r="CF270" s="136"/>
      <c r="CG270" s="136"/>
      <c r="CH270" s="136"/>
      <c r="CI270" s="136"/>
      <c r="CJ270" s="136"/>
      <c r="CK270" s="136"/>
      <c r="CL270" s="136"/>
      <c r="CM270" s="136"/>
      <c r="CN270" s="136"/>
      <c r="CO270" s="136" t="str">
        <f>IF($D270&lt;&gt;"Feature",".",
IF(VLOOKUP($B270,Feature_List!$A:$AM,MATCH(CO$1,  Feature_List!$A$1:$AM$1,0),0)=AG270,".","NO"))</f>
        <v>.</v>
      </c>
      <c r="CP270" s="136" t="str">
        <f>IF($D270&lt;&gt;"Feature",".",
IF(VLOOKUP($B270,Feature_List!$A:$AM,MATCH(CP$1,  Feature_List!$A$1:$AM$1,0),0)=AH270,".","NO"))</f>
        <v>.</v>
      </c>
      <c r="CQ270" s="136" t="str">
        <f>IF($D270&lt;&gt;"Feature",".",
IF(VLOOKUP($B270,Feature_List!$A:$AM,MATCH(CQ$1,  Feature_List!$A$1:$AM$1,0),0)=AI270,".","NO"))</f>
        <v>.</v>
      </c>
      <c r="CR270" s="136" t="str">
        <f>IF($D270&lt;&gt;"Feature",".",
IF(VLOOKUP($B270,Feature_List!$A:$AM,MATCH(CR$1,  Feature_List!$A$1:$AM$1,0),0)=AJ270,".","NO"))</f>
        <v>.</v>
      </c>
      <c r="CS270" s="136" t="str">
        <f>IF($D270&lt;&gt;"Feature",".",
IF(VLOOKUP($B270,Feature_List!$A:$AM,MATCH(CS$1,  Feature_List!$A$1:$AM$1,0),0)=AK270,".","NO"))</f>
        <v>.</v>
      </c>
      <c r="CT270" s="136" t="str">
        <f>IF($D270&lt;&gt;"Feature",".",
IF(VLOOKUP($B270,Feature_List!$A:$AM,MATCH(CT$1,  Feature_List!$A$1:$AM$1,0),0)=AL270,".","NO"))</f>
        <v>.</v>
      </c>
      <c r="CU270" s="136" t="str">
        <f>IF($D270&lt;&gt;"Feature",".",
IF(VLOOKUP($B270,Feature_List!$A:$AM,MATCH(CU$1,  Feature_List!$A$1:$AM$1,0),0)=AM270,".","NO"))</f>
        <v>.</v>
      </c>
      <c r="CV270" s="136" t="str">
        <f>IF($D270&lt;&gt;"Feature",".",
IF(VLOOKUP($B270,Feature_List!$A:$AM,MATCH(CV$1,  Feature_List!$A$1:$AM$1,0),0)=AN270,".","NO"))</f>
        <v>.</v>
      </c>
      <c r="CW270" s="136" t="str">
        <f>IF($D270&lt;&gt;"Feature",".",
IF(VLOOKUP($B270,Feature_List!$A:$AM,MATCH(CW$1,  Feature_List!$A$1:$AM$1,0),0)=AO270,".","NO"))</f>
        <v>.</v>
      </c>
      <c r="CX270" s="136" t="str">
        <f>IF($D270&lt;&gt;"Feature",".",
IF(VLOOKUP($B270,Feature_List!$A:$AM,MATCH(CX$1,  Feature_List!$A$1:$AM$1,0),0)=AP270,".","NO"))</f>
        <v>.</v>
      </c>
      <c r="CY270" s="136" t="str">
        <f>IF($D270&lt;&gt;"Feature",".",
IF(VLOOKUP($B270,Feature_List!$A:$AM,MATCH(CY$1,  Feature_List!$A$1:$AM$1,0),0)=AQ270,".","NO"))</f>
        <v>.</v>
      </c>
      <c r="CZ270" s="136" t="str">
        <f>IF($D270&lt;&gt;"Feature",".",
IF(VLOOKUP($B270,Feature_List!$A:$AM,MATCH(CZ$1,  Feature_List!$A$1:$AM$1,0),0)=AR270,".","NO"))</f>
        <v>.</v>
      </c>
      <c r="DA270" s="136" t="str">
        <f>IF($D270&lt;&gt;"Feature",".",
IF(VLOOKUP($B270,Feature_List!$A:$AM,MATCH(DA$1,  Feature_List!$A$1:$AM$1,0),0)=AS270,".","NO"))</f>
        <v>.</v>
      </c>
      <c r="DB270" s="136" t="str">
        <f>IF($D270&lt;&gt;"Feature",".",
IF(VLOOKUP($B270,Feature_List!$A:$AM,MATCH(DB$1,  Feature_List!$A$1:$AM$1,0),0)=AT270,".","NO"))</f>
        <v>.</v>
      </c>
      <c r="DC270" s="136" t="str">
        <f>IF($D270&lt;&gt;"Feature",".",
IF(VLOOKUP($B270,Feature_List!$A:$AM,MATCH(DC$1,  Feature_List!$A$1:$AM$1,0),0)=AU270,".","NO"))</f>
        <v>.</v>
      </c>
      <c r="DD270" s="136" t="str">
        <f>IF($D270&lt;&gt;"Feature",".",
IF(VLOOKUP($B270,Feature_List!$A:$AM,MATCH(DD$1,  Feature_List!$A$1:$AM$1,0),0)=AV270,".","NO"))</f>
        <v>.</v>
      </c>
      <c r="DE270" s="136" t="str">
        <f>IF($D270&lt;&gt;"Feature",".",
IF(VLOOKUP($B270,Feature_List!$A:$AM,MATCH(DE$1,  Feature_List!$A$1:$AM$1,0),0)=AW270,".","NO"))</f>
        <v>.</v>
      </c>
      <c r="DF270" s="136" t="str">
        <f>IF($D270&lt;&gt;"Feature",".",
IF(VLOOKUP($B270,Feature_List!$A:$AM,MATCH(DF$1,  Feature_List!$A$1:$AM$1,0),0)=AX270,".","NO"))</f>
        <v>.</v>
      </c>
      <c r="DG270" s="136" t="str">
        <f>IF($D270&lt;&gt;"Feature",".",
IF(VLOOKUP($B270,Feature_List!$A:$AM,MATCH(DG$1,  Feature_List!$A$1:$AM$1,0),0)=AY270,".","NO"))</f>
        <v>.</v>
      </c>
      <c r="DH270" s="136" t="str">
        <f>IF($D270&lt;&gt;"Feature",".",
IF(VLOOKUP($B270,Feature_List!$A:$AM,MATCH(DH$1,  Feature_List!$A$1:$AM$1,0),0)=AZ270,".","NO"))</f>
        <v>.</v>
      </c>
      <c r="DI270" s="136" t="str">
        <f>IF($D270&lt;&gt;"Feature",".",
IF(VLOOKUP($B270,Feature_List!$A:$AM,MATCH(DI$1,  Feature_List!$A$1:$AM$1,0),0)=BA270,".","NO"))</f>
        <v>.</v>
      </c>
      <c r="DJ270" s="136" t="str">
        <f>IF($D270&lt;&gt;"Feature",".",
IF(VLOOKUP($B270,Feature_List!$A:$AM,MATCH(DJ$1,  Feature_List!$A$1:$AM$1,0),0)=BB270,".","NO"))</f>
        <v>.</v>
      </c>
      <c r="DK270" s="136"/>
      <c r="DL270" s="136"/>
      <c r="DM270" s="136"/>
      <c r="DN270" s="136" t="str">
        <f>IF($D270&lt;&gt;"Feature",".",
IF(VLOOKUP($B270,Feature_List!$A:$AM,MATCH(DN$1,  Feature_List!$A$1:$AM$1,0),0)=BC270,".","NO"))</f>
        <v>.</v>
      </c>
      <c r="DO270" s="136" t="str">
        <f>IF($D270&lt;&gt;"Feature",".",
IF(VLOOKUP($B270,Feature_List!$A:$AM,MATCH(DO$1,  Feature_List!$A$1:$AM$1,0),0)=BD270,".","NO"))</f>
        <v>.</v>
      </c>
    </row>
    <row r="271" spans="2:119" x14ac:dyDescent="0.3">
      <c r="B271" s="121"/>
      <c r="C271" s="122"/>
      <c r="D271" s="122"/>
      <c r="E271" s="122"/>
      <c r="F271" s="123"/>
      <c r="G271" s="123"/>
      <c r="H271" s="122"/>
      <c r="I271" s="124"/>
      <c r="J271" s="123"/>
      <c r="K271" s="123"/>
      <c r="L271" s="122"/>
      <c r="M271" s="122"/>
      <c r="N271" s="122"/>
      <c r="O271" s="123">
        <f t="shared" si="150"/>
        <v>0</v>
      </c>
      <c r="P271" s="123">
        <f t="shared" si="151"/>
        <v>0</v>
      </c>
      <c r="Q271" s="122" t="str">
        <f t="shared" si="172"/>
        <v>ZeroEntry</v>
      </c>
      <c r="R271" s="126" t="str">
        <f t="shared" si="152"/>
        <v>ZeroEntry</v>
      </c>
      <c r="S271" s="127" t="str">
        <f t="shared" si="153"/>
        <v>ZeroEntry</v>
      </c>
      <c r="T271" s="128" t="str">
        <f>IF($Q271="ZeroEntry", "",VLOOKUP($I271,'Ranking Lookup'!#REF!,2,FALSE))</f>
        <v/>
      </c>
      <c r="U271" s="129" t="str">
        <f t="shared" si="154"/>
        <v/>
      </c>
      <c r="V271" s="129" t="str">
        <f t="shared" si="155"/>
        <v/>
      </c>
      <c r="W271" s="129" t="str">
        <f t="shared" si="156"/>
        <v/>
      </c>
      <c r="X271" s="129" t="str">
        <f t="shared" si="157"/>
        <v/>
      </c>
      <c r="Y271" s="129" t="str">
        <f t="shared" si="158"/>
        <v/>
      </c>
      <c r="Z271" s="129" t="str">
        <f t="shared" si="159"/>
        <v/>
      </c>
      <c r="AA271" s="130"/>
      <c r="AB271" s="130" t="str">
        <f t="shared" si="160"/>
        <v>Unassigned</v>
      </c>
      <c r="AC271" s="131" t="str">
        <f t="shared" si="173"/>
        <v/>
      </c>
      <c r="AD271" s="131" t="str">
        <f t="shared" si="174"/>
        <v/>
      </c>
      <c r="AE271" s="132">
        <f t="shared" si="161"/>
        <v>0</v>
      </c>
      <c r="AF271" s="133" t="str">
        <f t="shared" si="175"/>
        <v/>
      </c>
      <c r="AG271" s="134">
        <f t="shared" si="162"/>
        <v>0</v>
      </c>
      <c r="AH271" s="54" t="str">
        <f t="shared" si="163"/>
        <v/>
      </c>
      <c r="AI271" s="54" t="str">
        <f t="shared" si="164"/>
        <v/>
      </c>
      <c r="AJ271" s="54" t="str">
        <f t="shared" si="164"/>
        <v/>
      </c>
      <c r="AK271" s="54" t="str">
        <f t="shared" si="164"/>
        <v/>
      </c>
      <c r="AL271" s="54" t="str">
        <f t="shared" si="164"/>
        <v/>
      </c>
      <c r="AM271" s="54" t="str">
        <f t="shared" si="164"/>
        <v/>
      </c>
      <c r="AN271" s="54" t="str">
        <f t="shared" si="164"/>
        <v/>
      </c>
      <c r="AO271" s="54" t="str">
        <f t="shared" si="164"/>
        <v/>
      </c>
      <c r="AP271" s="54" t="str">
        <f t="shared" si="164"/>
        <v/>
      </c>
      <c r="AQ271" s="54" t="str">
        <f t="shared" si="164"/>
        <v/>
      </c>
      <c r="AR271" s="54" t="str">
        <f t="shared" si="164"/>
        <v/>
      </c>
      <c r="AS271" s="54" t="str">
        <f t="shared" si="164"/>
        <v/>
      </c>
      <c r="AT271" s="54" t="str">
        <f t="shared" si="164"/>
        <v/>
      </c>
      <c r="AU271" s="54" t="str">
        <f t="shared" si="164"/>
        <v/>
      </c>
      <c r="AV271" s="54" t="str">
        <f t="shared" si="164"/>
        <v/>
      </c>
      <c r="AW271" s="54" t="str">
        <f t="shared" si="164"/>
        <v/>
      </c>
      <c r="AX271" s="54" t="str">
        <f t="shared" si="164"/>
        <v/>
      </c>
      <c r="AY271" s="54" t="str">
        <f t="shared" si="177"/>
        <v/>
      </c>
      <c r="AZ271" s="54" t="str">
        <f t="shared" si="165"/>
        <v/>
      </c>
      <c r="BA271" s="54" t="str">
        <f t="shared" si="166"/>
        <v/>
      </c>
      <c r="BB271" s="135" t="str">
        <f t="shared" si="167"/>
        <v/>
      </c>
      <c r="BC271" s="54" t="str">
        <f t="shared" si="176"/>
        <v/>
      </c>
      <c r="BD271" s="54" t="str">
        <f t="shared" si="176"/>
        <v/>
      </c>
      <c r="BE271" s="54" t="str">
        <f t="shared" si="176"/>
        <v/>
      </c>
      <c r="BF271" s="54" t="str">
        <f t="shared" si="168"/>
        <v/>
      </c>
      <c r="BG271" s="54" t="str">
        <f t="shared" si="169"/>
        <v/>
      </c>
      <c r="BH271" s="34" t="str">
        <f t="shared" si="170"/>
        <v>Bad</v>
      </c>
      <c r="BI271" s="34" t="str">
        <f t="shared" si="171"/>
        <v>No</v>
      </c>
      <c r="BJ271" s="136" t="str">
        <f>IF($D271&lt;&gt;"Feature",".",
IF(VLOOKUP($B271,Feature_List!$A:$AM,MATCH(BJ$1,  Feature_List!$A$1:$AM$1,0),0)=B271,".","NO"))</f>
        <v>.</v>
      </c>
      <c r="BK271" s="136"/>
      <c r="BL271" s="136"/>
      <c r="BM271" s="136" t="str">
        <f>IF($D271&lt;&gt;"Feature",".",
IF(VLOOKUP($B271,Feature_List!$A:$AM,MATCH(BM$1,  Feature_List!$A$1:$AM$1,0),0)=E271,".","NO"))</f>
        <v>.</v>
      </c>
      <c r="BN271" s="136" t="str">
        <f>IF($D271&lt;&gt;"Feature",".",
IF(VLOOKUP($B271,Feature_List!$A:$AM,MATCH(BN$1,  Feature_List!$A$1:$AM$1,0),0)=F271,".","NO"))</f>
        <v>.</v>
      </c>
      <c r="BO271" s="136" t="str">
        <f>IF($D271&lt;&gt;"Feature",".",
IF(VLOOKUP($B271,Feature_List!$A:$AM,MATCH(BO$1,  Feature_List!$A$1:$AM$1,0),0)=G271,".","NO"))</f>
        <v>.</v>
      </c>
      <c r="BP271" s="136" t="str">
        <f>IF($D271&lt;&gt;"Feature",".",
IF(VLOOKUP($B271,Feature_List!$A:$AM,MATCH(BP$1,  Feature_List!$A$1:$AM$1,0),0)=H271,".","NO"))</f>
        <v>.</v>
      </c>
      <c r="BQ271" s="136"/>
      <c r="BR271" s="136" t="str">
        <f>IF($D271&lt;&gt;"Feature",".",
IF(VLOOKUP($B271,Feature_List!$A:$AM,MATCH(BR$1,  Feature_List!$A$1:$AM$1,0),0)=J271,".","NO"))</f>
        <v>.</v>
      </c>
      <c r="BS271" s="136"/>
      <c r="BT271" s="136"/>
      <c r="BU271" s="136" t="str">
        <f>IF($D271&lt;&gt;"Feature",".",
IF(VLOOKUP($B271,Feature_List!$A:$AM,MATCH(BU$1,  Feature_List!$A$1:$AM$1,0),0)=M271,".","NO"))</f>
        <v>.</v>
      </c>
      <c r="BV271" s="136" t="str">
        <f>IF($D271&lt;&gt;"Feature",".",
IF(VLOOKUP($B271,Feature_List!$A:$AM,MATCH(BV$1,  Feature_List!$A$1:$AM$1,0),0)=N271,".","NO"))</f>
        <v>.</v>
      </c>
      <c r="BW271" s="136"/>
      <c r="BX271" s="136"/>
      <c r="BY271" s="136"/>
      <c r="BZ271" s="136"/>
      <c r="CA271" s="136"/>
      <c r="CB271" s="136" t="str">
        <f>IF($D271&lt;&gt;"Feature",".",
IF(VLOOKUP($B271,Feature_List!$A:$AM,MATCH(CB$1,  Feature_List!$A$1:$AM$1,0),0)=T271,".","NO"))</f>
        <v>.</v>
      </c>
      <c r="CC271" s="136"/>
      <c r="CD271" s="136"/>
      <c r="CE271" s="136"/>
      <c r="CF271" s="136"/>
      <c r="CG271" s="136"/>
      <c r="CH271" s="136"/>
      <c r="CI271" s="136"/>
      <c r="CJ271" s="136"/>
      <c r="CK271" s="136"/>
      <c r="CL271" s="136"/>
      <c r="CM271" s="136"/>
      <c r="CN271" s="136"/>
      <c r="CO271" s="136" t="str">
        <f>IF($D271&lt;&gt;"Feature",".",
IF(VLOOKUP($B271,Feature_List!$A:$AM,MATCH(CO$1,  Feature_List!$A$1:$AM$1,0),0)=AG271,".","NO"))</f>
        <v>.</v>
      </c>
      <c r="CP271" s="136" t="str">
        <f>IF($D271&lt;&gt;"Feature",".",
IF(VLOOKUP($B271,Feature_List!$A:$AM,MATCH(CP$1,  Feature_List!$A$1:$AM$1,0),0)=AH271,".","NO"))</f>
        <v>.</v>
      </c>
      <c r="CQ271" s="136" t="str">
        <f>IF($D271&lt;&gt;"Feature",".",
IF(VLOOKUP($B271,Feature_List!$A:$AM,MATCH(CQ$1,  Feature_List!$A$1:$AM$1,0),0)=AI271,".","NO"))</f>
        <v>.</v>
      </c>
      <c r="CR271" s="136" t="str">
        <f>IF($D271&lt;&gt;"Feature",".",
IF(VLOOKUP($B271,Feature_List!$A:$AM,MATCH(CR$1,  Feature_List!$A$1:$AM$1,0),0)=AJ271,".","NO"))</f>
        <v>.</v>
      </c>
      <c r="CS271" s="136" t="str">
        <f>IF($D271&lt;&gt;"Feature",".",
IF(VLOOKUP($B271,Feature_List!$A:$AM,MATCH(CS$1,  Feature_List!$A$1:$AM$1,0),0)=AK271,".","NO"))</f>
        <v>.</v>
      </c>
      <c r="CT271" s="136" t="str">
        <f>IF($D271&lt;&gt;"Feature",".",
IF(VLOOKUP($B271,Feature_List!$A:$AM,MATCH(CT$1,  Feature_List!$A$1:$AM$1,0),0)=AL271,".","NO"))</f>
        <v>.</v>
      </c>
      <c r="CU271" s="136" t="str">
        <f>IF($D271&lt;&gt;"Feature",".",
IF(VLOOKUP($B271,Feature_List!$A:$AM,MATCH(CU$1,  Feature_List!$A$1:$AM$1,0),0)=AM271,".","NO"))</f>
        <v>.</v>
      </c>
      <c r="CV271" s="136" t="str">
        <f>IF($D271&lt;&gt;"Feature",".",
IF(VLOOKUP($B271,Feature_List!$A:$AM,MATCH(CV$1,  Feature_List!$A$1:$AM$1,0),0)=AN271,".","NO"))</f>
        <v>.</v>
      </c>
      <c r="CW271" s="136" t="str">
        <f>IF($D271&lt;&gt;"Feature",".",
IF(VLOOKUP($B271,Feature_List!$A:$AM,MATCH(CW$1,  Feature_List!$A$1:$AM$1,0),0)=AO271,".","NO"))</f>
        <v>.</v>
      </c>
      <c r="CX271" s="136" t="str">
        <f>IF($D271&lt;&gt;"Feature",".",
IF(VLOOKUP($B271,Feature_List!$A:$AM,MATCH(CX$1,  Feature_List!$A$1:$AM$1,0),0)=AP271,".","NO"))</f>
        <v>.</v>
      </c>
      <c r="CY271" s="136" t="str">
        <f>IF($D271&lt;&gt;"Feature",".",
IF(VLOOKUP($B271,Feature_List!$A:$AM,MATCH(CY$1,  Feature_List!$A$1:$AM$1,0),0)=AQ271,".","NO"))</f>
        <v>.</v>
      </c>
      <c r="CZ271" s="136" t="str">
        <f>IF($D271&lt;&gt;"Feature",".",
IF(VLOOKUP($B271,Feature_List!$A:$AM,MATCH(CZ$1,  Feature_List!$A$1:$AM$1,0),0)=AR271,".","NO"))</f>
        <v>.</v>
      </c>
      <c r="DA271" s="136" t="str">
        <f>IF($D271&lt;&gt;"Feature",".",
IF(VLOOKUP($B271,Feature_List!$A:$AM,MATCH(DA$1,  Feature_List!$A$1:$AM$1,0),0)=AS271,".","NO"))</f>
        <v>.</v>
      </c>
      <c r="DB271" s="136" t="str">
        <f>IF($D271&lt;&gt;"Feature",".",
IF(VLOOKUP($B271,Feature_List!$A:$AM,MATCH(DB$1,  Feature_List!$A$1:$AM$1,0),0)=AT271,".","NO"))</f>
        <v>.</v>
      </c>
      <c r="DC271" s="136" t="str">
        <f>IF($D271&lt;&gt;"Feature",".",
IF(VLOOKUP($B271,Feature_List!$A:$AM,MATCH(DC$1,  Feature_List!$A$1:$AM$1,0),0)=AU271,".","NO"))</f>
        <v>.</v>
      </c>
      <c r="DD271" s="136" t="str">
        <f>IF($D271&lt;&gt;"Feature",".",
IF(VLOOKUP($B271,Feature_List!$A:$AM,MATCH(DD$1,  Feature_List!$A$1:$AM$1,0),0)=AV271,".","NO"))</f>
        <v>.</v>
      </c>
      <c r="DE271" s="136" t="str">
        <f>IF($D271&lt;&gt;"Feature",".",
IF(VLOOKUP($B271,Feature_List!$A:$AM,MATCH(DE$1,  Feature_List!$A$1:$AM$1,0),0)=AW271,".","NO"))</f>
        <v>.</v>
      </c>
      <c r="DF271" s="136" t="str">
        <f>IF($D271&lt;&gt;"Feature",".",
IF(VLOOKUP($B271,Feature_List!$A:$AM,MATCH(DF$1,  Feature_List!$A$1:$AM$1,0),0)=AX271,".","NO"))</f>
        <v>.</v>
      </c>
      <c r="DG271" s="136" t="str">
        <f>IF($D271&lt;&gt;"Feature",".",
IF(VLOOKUP($B271,Feature_List!$A:$AM,MATCH(DG$1,  Feature_List!$A$1:$AM$1,0),0)=AY271,".","NO"))</f>
        <v>.</v>
      </c>
      <c r="DH271" s="136" t="str">
        <f>IF($D271&lt;&gt;"Feature",".",
IF(VLOOKUP($B271,Feature_List!$A:$AM,MATCH(DH$1,  Feature_List!$A$1:$AM$1,0),0)=AZ271,".","NO"))</f>
        <v>.</v>
      </c>
      <c r="DI271" s="136" t="str">
        <f>IF($D271&lt;&gt;"Feature",".",
IF(VLOOKUP($B271,Feature_List!$A:$AM,MATCH(DI$1,  Feature_List!$A$1:$AM$1,0),0)=BA271,".","NO"))</f>
        <v>.</v>
      </c>
      <c r="DJ271" s="136" t="str">
        <f>IF($D271&lt;&gt;"Feature",".",
IF(VLOOKUP($B271,Feature_List!$A:$AM,MATCH(DJ$1,  Feature_List!$A$1:$AM$1,0),0)=BB271,".","NO"))</f>
        <v>.</v>
      </c>
      <c r="DK271" s="136"/>
      <c r="DL271" s="136"/>
      <c r="DM271" s="136"/>
      <c r="DN271" s="136" t="str">
        <f>IF($D271&lt;&gt;"Feature",".",
IF(VLOOKUP($B271,Feature_List!$A:$AM,MATCH(DN$1,  Feature_List!$A$1:$AM$1,0),0)=BC271,".","NO"))</f>
        <v>.</v>
      </c>
      <c r="DO271" s="136" t="str">
        <f>IF($D271&lt;&gt;"Feature",".",
IF(VLOOKUP($B271,Feature_List!$A:$AM,MATCH(DO$1,  Feature_List!$A$1:$AM$1,0),0)=BD271,".","NO"))</f>
        <v>.</v>
      </c>
    </row>
    <row r="272" spans="2:119" x14ac:dyDescent="0.3">
      <c r="B272" s="121"/>
      <c r="C272" s="123"/>
      <c r="D272" s="122"/>
      <c r="E272" s="122"/>
      <c r="F272" s="123"/>
      <c r="G272" s="123"/>
      <c r="H272" s="122"/>
      <c r="I272" s="124"/>
      <c r="J272" s="123"/>
      <c r="K272" s="123"/>
      <c r="L272" s="122"/>
      <c r="M272" s="122"/>
      <c r="N272" s="122"/>
      <c r="O272" s="123">
        <f t="shared" si="150"/>
        <v>0</v>
      </c>
      <c r="P272" s="123">
        <f t="shared" si="151"/>
        <v>0</v>
      </c>
      <c r="Q272" s="122" t="str">
        <f t="shared" si="172"/>
        <v>ZeroEntry</v>
      </c>
      <c r="R272" s="126" t="str">
        <f t="shared" si="152"/>
        <v>ZeroEntry</v>
      </c>
      <c r="S272" s="127" t="str">
        <f t="shared" si="153"/>
        <v>ZeroEntry</v>
      </c>
      <c r="T272" s="128" t="str">
        <f>IF($Q272="ZeroEntry", "",VLOOKUP($I272,'Ranking Lookup'!#REF!,2,FALSE))</f>
        <v/>
      </c>
      <c r="U272" s="129" t="str">
        <f t="shared" si="154"/>
        <v/>
      </c>
      <c r="V272" s="129" t="str">
        <f t="shared" si="155"/>
        <v/>
      </c>
      <c r="W272" s="129" t="str">
        <f t="shared" si="156"/>
        <v/>
      </c>
      <c r="X272" s="129" t="str">
        <f t="shared" si="157"/>
        <v/>
      </c>
      <c r="Y272" s="129" t="str">
        <f t="shared" si="158"/>
        <v/>
      </c>
      <c r="Z272" s="129" t="str">
        <f t="shared" si="159"/>
        <v/>
      </c>
      <c r="AA272" s="130"/>
      <c r="AB272" s="130" t="str">
        <f t="shared" si="160"/>
        <v>Unassigned</v>
      </c>
      <c r="AC272" s="131" t="str">
        <f t="shared" si="173"/>
        <v/>
      </c>
      <c r="AD272" s="131" t="str">
        <f t="shared" si="174"/>
        <v/>
      </c>
      <c r="AE272" s="132">
        <f t="shared" si="161"/>
        <v>0</v>
      </c>
      <c r="AF272" s="133" t="str">
        <f t="shared" si="175"/>
        <v/>
      </c>
      <c r="AG272" s="134">
        <f t="shared" si="162"/>
        <v>0</v>
      </c>
      <c r="AH272" s="54" t="str">
        <f t="shared" si="163"/>
        <v/>
      </c>
      <c r="AI272" s="54" t="str">
        <f t="shared" si="164"/>
        <v/>
      </c>
      <c r="AJ272" s="54" t="str">
        <f t="shared" si="164"/>
        <v/>
      </c>
      <c r="AK272" s="54" t="str">
        <f t="shared" si="164"/>
        <v/>
      </c>
      <c r="AL272" s="54" t="str">
        <f t="shared" si="164"/>
        <v/>
      </c>
      <c r="AM272" s="54" t="str">
        <f t="shared" si="164"/>
        <v/>
      </c>
      <c r="AN272" s="54" t="str">
        <f t="shared" si="164"/>
        <v/>
      </c>
      <c r="AO272" s="54" t="str">
        <f t="shared" si="164"/>
        <v/>
      </c>
      <c r="AP272" s="54" t="str">
        <f t="shared" si="164"/>
        <v/>
      </c>
      <c r="AQ272" s="54" t="str">
        <f t="shared" si="164"/>
        <v/>
      </c>
      <c r="AR272" s="54" t="str">
        <f t="shared" si="164"/>
        <v/>
      </c>
      <c r="AS272" s="54" t="str">
        <f t="shared" si="164"/>
        <v/>
      </c>
      <c r="AT272" s="54" t="str">
        <f t="shared" si="164"/>
        <v/>
      </c>
      <c r="AU272" s="54" t="str">
        <f t="shared" si="164"/>
        <v/>
      </c>
      <c r="AV272" s="54" t="str">
        <f t="shared" si="164"/>
        <v/>
      </c>
      <c r="AW272" s="54" t="str">
        <f t="shared" si="164"/>
        <v/>
      </c>
      <c r="AX272" s="54" t="str">
        <f t="shared" si="164"/>
        <v/>
      </c>
      <c r="AY272" s="54" t="str">
        <f t="shared" si="177"/>
        <v/>
      </c>
      <c r="AZ272" s="54" t="str">
        <f t="shared" si="165"/>
        <v/>
      </c>
      <c r="BA272" s="54" t="str">
        <f t="shared" si="166"/>
        <v/>
      </c>
      <c r="BB272" s="135" t="str">
        <f t="shared" si="167"/>
        <v/>
      </c>
      <c r="BC272" s="54" t="str">
        <f t="shared" si="176"/>
        <v/>
      </c>
      <c r="BD272" s="54" t="str">
        <f t="shared" si="176"/>
        <v/>
      </c>
      <c r="BE272" s="54" t="str">
        <f t="shared" si="176"/>
        <v/>
      </c>
      <c r="BF272" s="54" t="str">
        <f t="shared" si="168"/>
        <v/>
      </c>
      <c r="BG272" s="54" t="str">
        <f t="shared" si="169"/>
        <v/>
      </c>
      <c r="BH272" s="34" t="str">
        <f t="shared" si="170"/>
        <v>Bad</v>
      </c>
      <c r="BI272" s="34" t="str">
        <f t="shared" si="171"/>
        <v>No</v>
      </c>
      <c r="BJ272" s="136" t="str">
        <f>IF($D272&lt;&gt;"Feature",".",
IF(VLOOKUP($B272,Feature_List!$A:$AM,MATCH(BJ$1,  Feature_List!$A$1:$AM$1,0),0)=B272,".","NO"))</f>
        <v>.</v>
      </c>
      <c r="BK272" s="136"/>
      <c r="BL272" s="136"/>
      <c r="BM272" s="136" t="str">
        <f>IF($D272&lt;&gt;"Feature",".",
IF(VLOOKUP($B272,Feature_List!$A:$AM,MATCH(BM$1,  Feature_List!$A$1:$AM$1,0),0)=E272,".","NO"))</f>
        <v>.</v>
      </c>
      <c r="BN272" s="136" t="str">
        <f>IF($D272&lt;&gt;"Feature",".",
IF(VLOOKUP($B272,Feature_List!$A:$AM,MATCH(BN$1,  Feature_List!$A$1:$AM$1,0),0)=F272,".","NO"))</f>
        <v>.</v>
      </c>
      <c r="BO272" s="136" t="str">
        <f>IF($D272&lt;&gt;"Feature",".",
IF(VLOOKUP($B272,Feature_List!$A:$AM,MATCH(BO$1,  Feature_List!$A$1:$AM$1,0),0)=G272,".","NO"))</f>
        <v>.</v>
      </c>
      <c r="BP272" s="136" t="str">
        <f>IF($D272&lt;&gt;"Feature",".",
IF(VLOOKUP($B272,Feature_List!$A:$AM,MATCH(BP$1,  Feature_List!$A$1:$AM$1,0),0)=H272,".","NO"))</f>
        <v>.</v>
      </c>
      <c r="BQ272" s="136"/>
      <c r="BR272" s="136" t="str">
        <f>IF($D272&lt;&gt;"Feature",".",
IF(VLOOKUP($B272,Feature_List!$A:$AM,MATCH(BR$1,  Feature_List!$A$1:$AM$1,0),0)=J272,".","NO"))</f>
        <v>.</v>
      </c>
      <c r="BS272" s="136"/>
      <c r="BT272" s="136"/>
      <c r="BU272" s="136" t="str">
        <f>IF($D272&lt;&gt;"Feature",".",
IF(VLOOKUP($B272,Feature_List!$A:$AM,MATCH(BU$1,  Feature_List!$A$1:$AM$1,0),0)=M272,".","NO"))</f>
        <v>.</v>
      </c>
      <c r="BV272" s="136" t="str">
        <f>IF($D272&lt;&gt;"Feature",".",
IF(VLOOKUP($B272,Feature_List!$A:$AM,MATCH(BV$1,  Feature_List!$A$1:$AM$1,0),0)=N272,".","NO"))</f>
        <v>.</v>
      </c>
      <c r="BW272" s="136"/>
      <c r="BX272" s="136"/>
      <c r="BY272" s="136"/>
      <c r="BZ272" s="136"/>
      <c r="CA272" s="136"/>
      <c r="CB272" s="136" t="str">
        <f>IF($D272&lt;&gt;"Feature",".",
IF(VLOOKUP($B272,Feature_List!$A:$AM,MATCH(CB$1,  Feature_List!$A$1:$AM$1,0),0)=T272,".","NO"))</f>
        <v>.</v>
      </c>
      <c r="CC272" s="136"/>
      <c r="CD272" s="136"/>
      <c r="CE272" s="136"/>
      <c r="CF272" s="136"/>
      <c r="CG272" s="136"/>
      <c r="CH272" s="136"/>
      <c r="CI272" s="136"/>
      <c r="CJ272" s="136"/>
      <c r="CK272" s="136"/>
      <c r="CL272" s="136"/>
      <c r="CM272" s="136"/>
      <c r="CN272" s="136"/>
      <c r="CO272" s="136" t="str">
        <f>IF($D272&lt;&gt;"Feature",".",
IF(VLOOKUP($B272,Feature_List!$A:$AM,MATCH(CO$1,  Feature_List!$A$1:$AM$1,0),0)=AG272,".","NO"))</f>
        <v>.</v>
      </c>
      <c r="CP272" s="136" t="str">
        <f>IF($D272&lt;&gt;"Feature",".",
IF(VLOOKUP($B272,Feature_List!$A:$AM,MATCH(CP$1,  Feature_List!$A$1:$AM$1,0),0)=AH272,".","NO"))</f>
        <v>.</v>
      </c>
      <c r="CQ272" s="136" t="str">
        <f>IF($D272&lt;&gt;"Feature",".",
IF(VLOOKUP($B272,Feature_List!$A:$AM,MATCH(CQ$1,  Feature_List!$A$1:$AM$1,0),0)=AI272,".","NO"))</f>
        <v>.</v>
      </c>
      <c r="CR272" s="136" t="str">
        <f>IF($D272&lt;&gt;"Feature",".",
IF(VLOOKUP($B272,Feature_List!$A:$AM,MATCH(CR$1,  Feature_List!$A$1:$AM$1,0),0)=AJ272,".","NO"))</f>
        <v>.</v>
      </c>
      <c r="CS272" s="136" t="str">
        <f>IF($D272&lt;&gt;"Feature",".",
IF(VLOOKUP($B272,Feature_List!$A:$AM,MATCH(CS$1,  Feature_List!$A$1:$AM$1,0),0)=AK272,".","NO"))</f>
        <v>.</v>
      </c>
      <c r="CT272" s="136" t="str">
        <f>IF($D272&lt;&gt;"Feature",".",
IF(VLOOKUP($B272,Feature_List!$A:$AM,MATCH(CT$1,  Feature_List!$A$1:$AM$1,0),0)=AL272,".","NO"))</f>
        <v>.</v>
      </c>
      <c r="CU272" s="136" t="str">
        <f>IF($D272&lt;&gt;"Feature",".",
IF(VLOOKUP($B272,Feature_List!$A:$AM,MATCH(CU$1,  Feature_List!$A$1:$AM$1,0),0)=AM272,".","NO"))</f>
        <v>.</v>
      </c>
      <c r="CV272" s="136" t="str">
        <f>IF($D272&lt;&gt;"Feature",".",
IF(VLOOKUP($B272,Feature_List!$A:$AM,MATCH(CV$1,  Feature_List!$A$1:$AM$1,0),0)=AN272,".","NO"))</f>
        <v>.</v>
      </c>
      <c r="CW272" s="136" t="str">
        <f>IF($D272&lt;&gt;"Feature",".",
IF(VLOOKUP($B272,Feature_List!$A:$AM,MATCH(CW$1,  Feature_List!$A$1:$AM$1,0),0)=AO272,".","NO"))</f>
        <v>.</v>
      </c>
      <c r="CX272" s="136" t="str">
        <f>IF($D272&lt;&gt;"Feature",".",
IF(VLOOKUP($B272,Feature_List!$A:$AM,MATCH(CX$1,  Feature_List!$A$1:$AM$1,0),0)=AP272,".","NO"))</f>
        <v>.</v>
      </c>
      <c r="CY272" s="136" t="str">
        <f>IF($D272&lt;&gt;"Feature",".",
IF(VLOOKUP($B272,Feature_List!$A:$AM,MATCH(CY$1,  Feature_List!$A$1:$AM$1,0),0)=AQ272,".","NO"))</f>
        <v>.</v>
      </c>
      <c r="CZ272" s="136" t="str">
        <f>IF($D272&lt;&gt;"Feature",".",
IF(VLOOKUP($B272,Feature_List!$A:$AM,MATCH(CZ$1,  Feature_List!$A$1:$AM$1,0),0)=AR272,".","NO"))</f>
        <v>.</v>
      </c>
      <c r="DA272" s="136" t="str">
        <f>IF($D272&lt;&gt;"Feature",".",
IF(VLOOKUP($B272,Feature_List!$A:$AM,MATCH(DA$1,  Feature_List!$A$1:$AM$1,0),0)=AS272,".","NO"))</f>
        <v>.</v>
      </c>
      <c r="DB272" s="136" t="str">
        <f>IF($D272&lt;&gt;"Feature",".",
IF(VLOOKUP($B272,Feature_List!$A:$AM,MATCH(DB$1,  Feature_List!$A$1:$AM$1,0),0)=AT272,".","NO"))</f>
        <v>.</v>
      </c>
      <c r="DC272" s="136" t="str">
        <f>IF($D272&lt;&gt;"Feature",".",
IF(VLOOKUP($B272,Feature_List!$A:$AM,MATCH(DC$1,  Feature_List!$A$1:$AM$1,0),0)=AU272,".","NO"))</f>
        <v>.</v>
      </c>
      <c r="DD272" s="136" t="str">
        <f>IF($D272&lt;&gt;"Feature",".",
IF(VLOOKUP($B272,Feature_List!$A:$AM,MATCH(DD$1,  Feature_List!$A$1:$AM$1,0),0)=AV272,".","NO"))</f>
        <v>.</v>
      </c>
      <c r="DE272" s="136" t="str">
        <f>IF($D272&lt;&gt;"Feature",".",
IF(VLOOKUP($B272,Feature_List!$A:$AM,MATCH(DE$1,  Feature_List!$A$1:$AM$1,0),0)=AW272,".","NO"))</f>
        <v>.</v>
      </c>
      <c r="DF272" s="136" t="str">
        <f>IF($D272&lt;&gt;"Feature",".",
IF(VLOOKUP($B272,Feature_List!$A:$AM,MATCH(DF$1,  Feature_List!$A$1:$AM$1,0),0)=AX272,".","NO"))</f>
        <v>.</v>
      </c>
      <c r="DG272" s="136" t="str">
        <f>IF($D272&lt;&gt;"Feature",".",
IF(VLOOKUP($B272,Feature_List!$A:$AM,MATCH(DG$1,  Feature_List!$A$1:$AM$1,0),0)=AY272,".","NO"))</f>
        <v>.</v>
      </c>
      <c r="DH272" s="136" t="str">
        <f>IF($D272&lt;&gt;"Feature",".",
IF(VLOOKUP($B272,Feature_List!$A:$AM,MATCH(DH$1,  Feature_List!$A$1:$AM$1,0),0)=AZ272,".","NO"))</f>
        <v>.</v>
      </c>
      <c r="DI272" s="136" t="str">
        <f>IF($D272&lt;&gt;"Feature",".",
IF(VLOOKUP($B272,Feature_List!$A:$AM,MATCH(DI$1,  Feature_List!$A$1:$AM$1,0),0)=BA272,".","NO"))</f>
        <v>.</v>
      </c>
      <c r="DJ272" s="136" t="str">
        <f>IF($D272&lt;&gt;"Feature",".",
IF(VLOOKUP($B272,Feature_List!$A:$AM,MATCH(DJ$1,  Feature_List!$A$1:$AM$1,0),0)=BB272,".","NO"))</f>
        <v>.</v>
      </c>
      <c r="DK272" s="136"/>
      <c r="DL272" s="136"/>
      <c r="DM272" s="136"/>
      <c r="DN272" s="136" t="str">
        <f>IF($D272&lt;&gt;"Feature",".",
IF(VLOOKUP($B272,Feature_List!$A:$AM,MATCH(DN$1,  Feature_List!$A$1:$AM$1,0),0)=BC272,".","NO"))</f>
        <v>.</v>
      </c>
      <c r="DO272" s="136" t="str">
        <f>IF($D272&lt;&gt;"Feature",".",
IF(VLOOKUP($B272,Feature_List!$A:$AM,MATCH(DO$1,  Feature_List!$A$1:$AM$1,0),0)=BD272,".","NO"))</f>
        <v>.</v>
      </c>
    </row>
    <row r="273" spans="2:119" x14ac:dyDescent="0.3">
      <c r="B273" s="121"/>
      <c r="C273" s="122"/>
      <c r="D273" s="122"/>
      <c r="E273" s="122"/>
      <c r="F273" s="123"/>
      <c r="G273" s="123"/>
      <c r="H273" s="122"/>
      <c r="I273" s="124"/>
      <c r="J273" s="123"/>
      <c r="K273" s="123"/>
      <c r="L273" s="122"/>
      <c r="M273" s="122"/>
      <c r="N273" s="122"/>
      <c r="O273" s="123">
        <f t="shared" si="150"/>
        <v>0</v>
      </c>
      <c r="P273" s="123">
        <f t="shared" si="151"/>
        <v>0</v>
      </c>
      <c r="Q273" s="122" t="str">
        <f t="shared" si="172"/>
        <v>ZeroEntry</v>
      </c>
      <c r="R273" s="126" t="str">
        <f t="shared" si="152"/>
        <v>ZeroEntry</v>
      </c>
      <c r="S273" s="127" t="str">
        <f t="shared" si="153"/>
        <v>ZeroEntry</v>
      </c>
      <c r="T273" s="128" t="str">
        <f>IF($Q273="ZeroEntry", "",VLOOKUP($I273,'Ranking Lookup'!#REF!,2,FALSE))</f>
        <v/>
      </c>
      <c r="U273" s="129" t="str">
        <f t="shared" si="154"/>
        <v/>
      </c>
      <c r="V273" s="129" t="str">
        <f t="shared" si="155"/>
        <v/>
      </c>
      <c r="W273" s="129" t="str">
        <f t="shared" si="156"/>
        <v/>
      </c>
      <c r="X273" s="129" t="str">
        <f t="shared" si="157"/>
        <v/>
      </c>
      <c r="Y273" s="129" t="str">
        <f t="shared" si="158"/>
        <v/>
      </c>
      <c r="Z273" s="129" t="str">
        <f t="shared" si="159"/>
        <v/>
      </c>
      <c r="AA273" s="130"/>
      <c r="AB273" s="130" t="str">
        <f t="shared" si="160"/>
        <v>Unassigned</v>
      </c>
      <c r="AC273" s="131" t="str">
        <f t="shared" si="173"/>
        <v/>
      </c>
      <c r="AD273" s="131" t="str">
        <f t="shared" si="174"/>
        <v/>
      </c>
      <c r="AE273" s="132">
        <f t="shared" si="161"/>
        <v>0</v>
      </c>
      <c r="AF273" s="133" t="str">
        <f t="shared" si="175"/>
        <v/>
      </c>
      <c r="AG273" s="134">
        <f t="shared" si="162"/>
        <v>0</v>
      </c>
      <c r="AH273" s="54" t="str">
        <f t="shared" si="163"/>
        <v/>
      </c>
      <c r="AI273" s="54" t="str">
        <f t="shared" si="164"/>
        <v/>
      </c>
      <c r="AJ273" s="54" t="str">
        <f t="shared" si="164"/>
        <v/>
      </c>
      <c r="AK273" s="54" t="str">
        <f t="shared" si="164"/>
        <v/>
      </c>
      <c r="AL273" s="54" t="str">
        <f t="shared" si="164"/>
        <v/>
      </c>
      <c r="AM273" s="54" t="str">
        <f t="shared" si="164"/>
        <v/>
      </c>
      <c r="AN273" s="54" t="str">
        <f t="shared" si="164"/>
        <v/>
      </c>
      <c r="AO273" s="54" t="str">
        <f t="shared" si="164"/>
        <v/>
      </c>
      <c r="AP273" s="54" t="str">
        <f t="shared" si="164"/>
        <v/>
      </c>
      <c r="AQ273" s="54" t="str">
        <f t="shared" si="164"/>
        <v/>
      </c>
      <c r="AR273" s="54" t="str">
        <f t="shared" si="164"/>
        <v/>
      </c>
      <c r="AS273" s="54" t="str">
        <f t="shared" si="164"/>
        <v/>
      </c>
      <c r="AT273" s="54" t="str">
        <f t="shared" si="164"/>
        <v/>
      </c>
      <c r="AU273" s="54" t="str">
        <f t="shared" si="164"/>
        <v/>
      </c>
      <c r="AV273" s="54" t="str">
        <f t="shared" si="164"/>
        <v/>
      </c>
      <c r="AW273" s="54" t="str">
        <f t="shared" si="164"/>
        <v/>
      </c>
      <c r="AX273" s="54" t="str">
        <f t="shared" ref="AX273" si="178">IF(AND($Q273="Feature",LEFT($AB273,2)="PI"),
IF(AND(COUNTIF($R:$R,$B273)=1,$T273=AX$1), IF($AB273=$A$10,$AF273,0),
IF(OR($AD273&lt;1,RIGHT($G273,8)="Progress",$AH273&gt;0),SUMIFS($O:$O,$R:$R,$B273,$T:$T,AX$1,$P:$P,"&lt;&gt;Done",$AB:$AB,$A$10),
IF($T273=AX$1,IF($AB273=$A$10,$AD273,0)+SUMIFS($O:$O,$R:$R,$B273,$T:$T,AX$1,$P:$P,"&lt;&gt;Done",$AB:$AB,$A$10),SUMIFS($O:$O,$R:$R,$B273,$T:$T,AX$1,$P:$P,"&lt;&gt;Done",$AB:$AB,$A$10)))),
IF(AND(OR($Q273="Story",$Q273="Problem",$Q273="Enhancement"),$AB273=$A$10,$R273=0,$T273=AX$1,$P273&lt;&gt;"Done"),$O273,""))</f>
        <v/>
      </c>
      <c r="AY273" s="54" t="str">
        <f t="shared" si="177"/>
        <v/>
      </c>
      <c r="AZ273" s="54" t="str">
        <f t="shared" si="165"/>
        <v/>
      </c>
      <c r="BA273" s="54" t="str">
        <f t="shared" si="166"/>
        <v/>
      </c>
      <c r="BB273" s="135" t="str">
        <f t="shared" si="167"/>
        <v/>
      </c>
      <c r="BC273" s="54" t="str">
        <f t="shared" si="176"/>
        <v/>
      </c>
      <c r="BD273" s="54" t="str">
        <f t="shared" si="176"/>
        <v/>
      </c>
      <c r="BE273" s="54" t="str">
        <f t="shared" si="176"/>
        <v/>
      </c>
      <c r="BF273" s="54" t="str">
        <f t="shared" si="168"/>
        <v/>
      </c>
      <c r="BG273" s="54" t="str">
        <f t="shared" si="169"/>
        <v/>
      </c>
      <c r="BH273" s="34" t="str">
        <f t="shared" si="170"/>
        <v>Bad</v>
      </c>
      <c r="BI273" s="34" t="str">
        <f t="shared" si="171"/>
        <v>No</v>
      </c>
      <c r="BJ273" s="136" t="str">
        <f>IF($D273&lt;&gt;"Feature",".",
IF(VLOOKUP($B273,Feature_List!$A:$AM,MATCH(BJ$1,  Feature_List!$A$1:$AM$1,0),0)=B273,".","NO"))</f>
        <v>.</v>
      </c>
      <c r="BK273" s="136"/>
      <c r="BL273" s="136"/>
      <c r="BM273" s="136" t="str">
        <f>IF($D273&lt;&gt;"Feature",".",
IF(VLOOKUP($B273,Feature_List!$A:$AM,MATCH(BM$1,  Feature_List!$A$1:$AM$1,0),0)=E273,".","NO"))</f>
        <v>.</v>
      </c>
      <c r="BN273" s="136" t="str">
        <f>IF($D273&lt;&gt;"Feature",".",
IF(VLOOKUP($B273,Feature_List!$A:$AM,MATCH(BN$1,  Feature_List!$A$1:$AM$1,0),0)=F273,".","NO"))</f>
        <v>.</v>
      </c>
      <c r="BO273" s="136" t="str">
        <f>IF($D273&lt;&gt;"Feature",".",
IF(VLOOKUP($B273,Feature_List!$A:$AM,MATCH(BO$1,  Feature_List!$A$1:$AM$1,0),0)=G273,".","NO"))</f>
        <v>.</v>
      </c>
      <c r="BP273" s="136" t="str">
        <f>IF($D273&lt;&gt;"Feature",".",
IF(VLOOKUP($B273,Feature_List!$A:$AM,MATCH(BP$1,  Feature_List!$A$1:$AM$1,0),0)=H273,".","NO"))</f>
        <v>.</v>
      </c>
      <c r="BQ273" s="136"/>
      <c r="BR273" s="136" t="str">
        <f>IF($D273&lt;&gt;"Feature",".",
IF(VLOOKUP($B273,Feature_List!$A:$AM,MATCH(BR$1,  Feature_List!$A$1:$AM$1,0),0)=J273,".","NO"))</f>
        <v>.</v>
      </c>
      <c r="BS273" s="136"/>
      <c r="BT273" s="136"/>
      <c r="BU273" s="136" t="str">
        <f>IF($D273&lt;&gt;"Feature",".",
IF(VLOOKUP($B273,Feature_List!$A:$AM,MATCH(BU$1,  Feature_List!$A$1:$AM$1,0),0)=M273,".","NO"))</f>
        <v>.</v>
      </c>
      <c r="BV273" s="136" t="str">
        <f>IF($D273&lt;&gt;"Feature",".",
IF(VLOOKUP($B273,Feature_List!$A:$AM,MATCH(BV$1,  Feature_List!$A$1:$AM$1,0),0)=N273,".","NO"))</f>
        <v>.</v>
      </c>
      <c r="BW273" s="136"/>
      <c r="BX273" s="136"/>
      <c r="BY273" s="136"/>
      <c r="BZ273" s="136"/>
      <c r="CA273" s="136"/>
      <c r="CB273" s="136" t="str">
        <f>IF($D273&lt;&gt;"Feature",".",
IF(VLOOKUP($B273,Feature_List!$A:$AM,MATCH(CB$1,  Feature_List!$A$1:$AM$1,0),0)=T273,".","NO"))</f>
        <v>.</v>
      </c>
      <c r="CC273" s="136"/>
      <c r="CD273" s="136"/>
      <c r="CE273" s="136"/>
      <c r="CF273" s="136"/>
      <c r="CG273" s="136"/>
      <c r="CH273" s="136"/>
      <c r="CI273" s="136"/>
      <c r="CJ273" s="136"/>
      <c r="CK273" s="136"/>
      <c r="CL273" s="136"/>
      <c r="CM273" s="136"/>
      <c r="CN273" s="136"/>
      <c r="CO273" s="136" t="str">
        <f>IF($D273&lt;&gt;"Feature",".",
IF(VLOOKUP($B273,Feature_List!$A:$AM,MATCH(CO$1,  Feature_List!$A$1:$AM$1,0),0)=AG273,".","NO"))</f>
        <v>.</v>
      </c>
      <c r="CP273" s="136" t="str">
        <f>IF($D273&lt;&gt;"Feature",".",
IF(VLOOKUP($B273,Feature_List!$A:$AM,MATCH(CP$1,  Feature_List!$A$1:$AM$1,0),0)=AH273,".","NO"))</f>
        <v>.</v>
      </c>
      <c r="CQ273" s="136" t="str">
        <f>IF($D273&lt;&gt;"Feature",".",
IF(VLOOKUP($B273,Feature_List!$A:$AM,MATCH(CQ$1,  Feature_List!$A$1:$AM$1,0),0)=AI273,".","NO"))</f>
        <v>.</v>
      </c>
      <c r="CR273" s="136" t="str">
        <f>IF($D273&lt;&gt;"Feature",".",
IF(VLOOKUP($B273,Feature_List!$A:$AM,MATCH(CR$1,  Feature_List!$A$1:$AM$1,0),0)=AJ273,".","NO"))</f>
        <v>.</v>
      </c>
      <c r="CS273" s="136" t="str">
        <f>IF($D273&lt;&gt;"Feature",".",
IF(VLOOKUP($B273,Feature_List!$A:$AM,MATCH(CS$1,  Feature_List!$A$1:$AM$1,0),0)=AK273,".","NO"))</f>
        <v>.</v>
      </c>
      <c r="CT273" s="136" t="str">
        <f>IF($D273&lt;&gt;"Feature",".",
IF(VLOOKUP($B273,Feature_List!$A:$AM,MATCH(CT$1,  Feature_List!$A$1:$AM$1,0),0)=AL273,".","NO"))</f>
        <v>.</v>
      </c>
      <c r="CU273" s="136" t="str">
        <f>IF($D273&lt;&gt;"Feature",".",
IF(VLOOKUP($B273,Feature_List!$A:$AM,MATCH(CU$1,  Feature_List!$A$1:$AM$1,0),0)=AM273,".","NO"))</f>
        <v>.</v>
      </c>
      <c r="CV273" s="136" t="str">
        <f>IF($D273&lt;&gt;"Feature",".",
IF(VLOOKUP($B273,Feature_List!$A:$AM,MATCH(CV$1,  Feature_List!$A$1:$AM$1,0),0)=AN273,".","NO"))</f>
        <v>.</v>
      </c>
      <c r="CW273" s="136" t="str">
        <f>IF($D273&lt;&gt;"Feature",".",
IF(VLOOKUP($B273,Feature_List!$A:$AM,MATCH(CW$1,  Feature_List!$A$1:$AM$1,0),0)=AO273,".","NO"))</f>
        <v>.</v>
      </c>
      <c r="CX273" s="136" t="str">
        <f>IF($D273&lt;&gt;"Feature",".",
IF(VLOOKUP($B273,Feature_List!$A:$AM,MATCH(CX$1,  Feature_List!$A$1:$AM$1,0),0)=AP273,".","NO"))</f>
        <v>.</v>
      </c>
      <c r="CY273" s="136" t="str">
        <f>IF($D273&lt;&gt;"Feature",".",
IF(VLOOKUP($B273,Feature_List!$A:$AM,MATCH(CY$1,  Feature_List!$A$1:$AM$1,0),0)=AQ273,".","NO"))</f>
        <v>.</v>
      </c>
      <c r="CZ273" s="136" t="str">
        <f>IF($D273&lt;&gt;"Feature",".",
IF(VLOOKUP($B273,Feature_List!$A:$AM,MATCH(CZ$1,  Feature_List!$A$1:$AM$1,0),0)=AR273,".","NO"))</f>
        <v>.</v>
      </c>
      <c r="DA273" s="136" t="str">
        <f>IF($D273&lt;&gt;"Feature",".",
IF(VLOOKUP($B273,Feature_List!$A:$AM,MATCH(DA$1,  Feature_List!$A$1:$AM$1,0),0)=AS273,".","NO"))</f>
        <v>.</v>
      </c>
      <c r="DB273" s="136" t="str">
        <f>IF($D273&lt;&gt;"Feature",".",
IF(VLOOKUP($B273,Feature_List!$A:$AM,MATCH(DB$1,  Feature_List!$A$1:$AM$1,0),0)=AT273,".","NO"))</f>
        <v>.</v>
      </c>
      <c r="DC273" s="136" t="str">
        <f>IF($D273&lt;&gt;"Feature",".",
IF(VLOOKUP($B273,Feature_List!$A:$AM,MATCH(DC$1,  Feature_List!$A$1:$AM$1,0),0)=AU273,".","NO"))</f>
        <v>.</v>
      </c>
      <c r="DD273" s="136" t="str">
        <f>IF($D273&lt;&gt;"Feature",".",
IF(VLOOKUP($B273,Feature_List!$A:$AM,MATCH(DD$1,  Feature_List!$A$1:$AM$1,0),0)=AV273,".","NO"))</f>
        <v>.</v>
      </c>
      <c r="DE273" s="136" t="str">
        <f>IF($D273&lt;&gt;"Feature",".",
IF(VLOOKUP($B273,Feature_List!$A:$AM,MATCH(DE$1,  Feature_List!$A$1:$AM$1,0),0)=AW273,".","NO"))</f>
        <v>.</v>
      </c>
      <c r="DF273" s="136" t="str">
        <f>IF($D273&lt;&gt;"Feature",".",
IF(VLOOKUP($B273,Feature_List!$A:$AM,MATCH(DF$1,  Feature_List!$A$1:$AM$1,0),0)=AX273,".","NO"))</f>
        <v>.</v>
      </c>
      <c r="DG273" s="136" t="str">
        <f>IF($D273&lt;&gt;"Feature",".",
IF(VLOOKUP($B273,Feature_List!$A:$AM,MATCH(DG$1,  Feature_List!$A$1:$AM$1,0),0)=AY273,".","NO"))</f>
        <v>.</v>
      </c>
      <c r="DH273" s="136" t="str">
        <f>IF($D273&lt;&gt;"Feature",".",
IF(VLOOKUP($B273,Feature_List!$A:$AM,MATCH(DH$1,  Feature_List!$A$1:$AM$1,0),0)=AZ273,".","NO"))</f>
        <v>.</v>
      </c>
      <c r="DI273" s="136" t="str">
        <f>IF($D273&lt;&gt;"Feature",".",
IF(VLOOKUP($B273,Feature_List!$A:$AM,MATCH(DI$1,  Feature_List!$A$1:$AM$1,0),0)=BA273,".","NO"))</f>
        <v>.</v>
      </c>
      <c r="DJ273" s="136" t="str">
        <f>IF($D273&lt;&gt;"Feature",".",
IF(VLOOKUP($B273,Feature_List!$A:$AM,MATCH(DJ$1,  Feature_List!$A$1:$AM$1,0),0)=BB273,".","NO"))</f>
        <v>.</v>
      </c>
      <c r="DK273" s="136"/>
      <c r="DL273" s="136"/>
      <c r="DM273" s="136"/>
      <c r="DN273" s="136" t="str">
        <f>IF($D273&lt;&gt;"Feature",".",
IF(VLOOKUP($B273,Feature_List!$A:$AM,MATCH(DN$1,  Feature_List!$A$1:$AM$1,0),0)=BC273,".","NO"))</f>
        <v>.</v>
      </c>
      <c r="DO273" s="136" t="str">
        <f>IF($D273&lt;&gt;"Feature",".",
IF(VLOOKUP($B273,Feature_List!$A:$AM,MATCH(DO$1,  Feature_List!$A$1:$AM$1,0),0)=BD273,".","NO"))</f>
        <v>.</v>
      </c>
    </row>
    <row r="274" spans="2:119" x14ac:dyDescent="0.3">
      <c r="B274" s="121"/>
      <c r="C274" s="122"/>
      <c r="D274" s="122"/>
      <c r="E274" s="122"/>
      <c r="F274" s="123"/>
      <c r="G274" s="123"/>
      <c r="H274" s="122"/>
      <c r="I274" s="124"/>
      <c r="J274" s="123"/>
      <c r="K274" s="123"/>
      <c r="L274" s="122"/>
      <c r="M274" s="122"/>
      <c r="N274" s="122"/>
      <c r="O274" s="123">
        <f t="shared" si="150"/>
        <v>0</v>
      </c>
      <c r="P274" s="123">
        <f t="shared" si="151"/>
        <v>0</v>
      </c>
      <c r="Q274" s="122" t="str">
        <f t="shared" si="172"/>
        <v>ZeroEntry</v>
      </c>
      <c r="R274" s="126" t="str">
        <f t="shared" si="152"/>
        <v>ZeroEntry</v>
      </c>
      <c r="S274" s="127" t="str">
        <f t="shared" si="153"/>
        <v>ZeroEntry</v>
      </c>
      <c r="T274" s="128" t="str">
        <f>IF($Q274="ZeroEntry", "",VLOOKUP($I274,'Ranking Lookup'!#REF!,2,FALSE))</f>
        <v/>
      </c>
      <c r="U274" s="129" t="str">
        <f t="shared" si="154"/>
        <v/>
      </c>
      <c r="V274" s="129" t="str">
        <f t="shared" si="155"/>
        <v/>
      </c>
      <c r="W274" s="129" t="str">
        <f t="shared" si="156"/>
        <v/>
      </c>
      <c r="X274" s="129" t="str">
        <f t="shared" si="157"/>
        <v/>
      </c>
      <c r="Y274" s="129" t="str">
        <f t="shared" si="158"/>
        <v/>
      </c>
      <c r="Z274" s="129" t="str">
        <f t="shared" si="159"/>
        <v/>
      </c>
      <c r="AA274" s="130"/>
      <c r="AB274" s="130" t="str">
        <f t="shared" si="160"/>
        <v>Unassigned</v>
      </c>
      <c r="AC274" s="131" t="str">
        <f t="shared" si="173"/>
        <v/>
      </c>
      <c r="AD274" s="131" t="str">
        <f t="shared" si="174"/>
        <v/>
      </c>
      <c r="AE274" s="132">
        <f t="shared" si="161"/>
        <v>0</v>
      </c>
      <c r="AF274" s="133" t="str">
        <f t="shared" si="175"/>
        <v/>
      </c>
      <c r="AG274" s="134">
        <f t="shared" si="162"/>
        <v>0</v>
      </c>
      <c r="AH274" s="54" t="str">
        <f t="shared" si="163"/>
        <v/>
      </c>
      <c r="AI274" s="54" t="str">
        <f t="shared" ref="AI274:AX289" si="179">IF(AND($Q274="Feature",LEFT($AB274,2)="PI"),
IF(AND(COUNTIF($R:$R,$B274)=1,$T274=AI$1), IF($AB274=$A$10,$AF274,0),
IF(OR($AD274&lt;1,RIGHT($G274,8)="Progress",$AH274&gt;0),SUMIFS($O:$O,$R:$R,$B274,$T:$T,AI$1,$P:$P,"&lt;&gt;Done",$AB:$AB,$A$10),
IF($T274=AI$1,IF($AB274=$A$10,$AD274,0)+SUMIFS($O:$O,$R:$R,$B274,$T:$T,AI$1,$P:$P,"&lt;&gt;Done",$AB:$AB,$A$10),SUMIFS($O:$O,$R:$R,$B274,$T:$T,AI$1,$P:$P,"&lt;&gt;Done",$AB:$AB,$A$10)))),
IF(AND(OR($Q274="Story",$Q274="Problem",$Q274="Enhancement"),$AB274=$A$10,$R274=0,$T274=AI$1,$P274&lt;&gt;"Done"),$O274,""))</f>
        <v/>
      </c>
      <c r="AJ274" s="54" t="str">
        <f t="shared" si="179"/>
        <v/>
      </c>
      <c r="AK274" s="54" t="str">
        <f t="shared" si="179"/>
        <v/>
      </c>
      <c r="AL274" s="54" t="str">
        <f t="shared" si="179"/>
        <v/>
      </c>
      <c r="AM274" s="54" t="str">
        <f t="shared" si="179"/>
        <v/>
      </c>
      <c r="AN274" s="54" t="str">
        <f t="shared" si="179"/>
        <v/>
      </c>
      <c r="AO274" s="54" t="str">
        <f t="shared" si="179"/>
        <v/>
      </c>
      <c r="AP274" s="54" t="str">
        <f t="shared" si="179"/>
        <v/>
      </c>
      <c r="AQ274" s="54" t="str">
        <f t="shared" si="179"/>
        <v/>
      </c>
      <c r="AR274" s="54" t="str">
        <f t="shared" si="179"/>
        <v/>
      </c>
      <c r="AS274" s="54" t="str">
        <f t="shared" si="179"/>
        <v/>
      </c>
      <c r="AT274" s="54" t="str">
        <f t="shared" si="179"/>
        <v/>
      </c>
      <c r="AU274" s="54" t="str">
        <f t="shared" si="179"/>
        <v/>
      </c>
      <c r="AV274" s="54" t="str">
        <f t="shared" si="179"/>
        <v/>
      </c>
      <c r="AW274" s="54" t="str">
        <f t="shared" si="179"/>
        <v/>
      </c>
      <c r="AX274" s="54" t="str">
        <f t="shared" si="179"/>
        <v/>
      </c>
      <c r="AY274" s="54" t="str">
        <f t="shared" si="177"/>
        <v/>
      </c>
      <c r="AZ274" s="54" t="str">
        <f t="shared" si="165"/>
        <v/>
      </c>
      <c r="BA274" s="54" t="str">
        <f t="shared" si="166"/>
        <v/>
      </c>
      <c r="BB274" s="135" t="str">
        <f t="shared" si="167"/>
        <v/>
      </c>
      <c r="BC274" s="54" t="str">
        <f t="shared" si="176"/>
        <v/>
      </c>
      <c r="BD274" s="54" t="str">
        <f t="shared" si="176"/>
        <v/>
      </c>
      <c r="BE274" s="54" t="str">
        <f t="shared" si="176"/>
        <v/>
      </c>
      <c r="BF274" s="54" t="str">
        <f t="shared" si="168"/>
        <v/>
      </c>
      <c r="BG274" s="54" t="str">
        <f t="shared" si="169"/>
        <v/>
      </c>
      <c r="BH274" s="34" t="str">
        <f t="shared" si="170"/>
        <v>Bad</v>
      </c>
      <c r="BI274" s="34" t="str">
        <f t="shared" si="171"/>
        <v>No</v>
      </c>
      <c r="BJ274" s="136" t="str">
        <f>IF($D274&lt;&gt;"Feature",".",
IF(VLOOKUP($B274,Feature_List!$A:$AM,MATCH(BJ$1,  Feature_List!$A$1:$AM$1,0),0)=B274,".","NO"))</f>
        <v>.</v>
      </c>
      <c r="BK274" s="136"/>
      <c r="BL274" s="136"/>
      <c r="BM274" s="136" t="str">
        <f>IF($D274&lt;&gt;"Feature",".",
IF(VLOOKUP($B274,Feature_List!$A:$AM,MATCH(BM$1,  Feature_List!$A$1:$AM$1,0),0)=E274,".","NO"))</f>
        <v>.</v>
      </c>
      <c r="BN274" s="136" t="str">
        <f>IF($D274&lt;&gt;"Feature",".",
IF(VLOOKUP($B274,Feature_List!$A:$AM,MATCH(BN$1,  Feature_List!$A$1:$AM$1,0),0)=F274,".","NO"))</f>
        <v>.</v>
      </c>
      <c r="BO274" s="136" t="str">
        <f>IF($D274&lt;&gt;"Feature",".",
IF(VLOOKUP($B274,Feature_List!$A:$AM,MATCH(BO$1,  Feature_List!$A$1:$AM$1,0),0)=G274,".","NO"))</f>
        <v>.</v>
      </c>
      <c r="BP274" s="136" t="str">
        <f>IF($D274&lt;&gt;"Feature",".",
IF(VLOOKUP($B274,Feature_List!$A:$AM,MATCH(BP$1,  Feature_List!$A$1:$AM$1,0),0)=H274,".","NO"))</f>
        <v>.</v>
      </c>
      <c r="BQ274" s="136"/>
      <c r="BR274" s="136" t="str">
        <f>IF($D274&lt;&gt;"Feature",".",
IF(VLOOKUP($B274,Feature_List!$A:$AM,MATCH(BR$1,  Feature_List!$A$1:$AM$1,0),0)=J274,".","NO"))</f>
        <v>.</v>
      </c>
      <c r="BS274" s="136"/>
      <c r="BT274" s="136"/>
      <c r="BU274" s="136" t="str">
        <f>IF($D274&lt;&gt;"Feature",".",
IF(VLOOKUP($B274,Feature_List!$A:$AM,MATCH(BU$1,  Feature_List!$A$1:$AM$1,0),0)=M274,".","NO"))</f>
        <v>.</v>
      </c>
      <c r="BV274" s="136" t="str">
        <f>IF($D274&lt;&gt;"Feature",".",
IF(VLOOKUP($B274,Feature_List!$A:$AM,MATCH(BV$1,  Feature_List!$A$1:$AM$1,0),0)=N274,".","NO"))</f>
        <v>.</v>
      </c>
      <c r="BW274" s="136"/>
      <c r="BX274" s="136"/>
      <c r="BY274" s="136"/>
      <c r="BZ274" s="136"/>
      <c r="CA274" s="136"/>
      <c r="CB274" s="136" t="str">
        <f>IF($D274&lt;&gt;"Feature",".",
IF(VLOOKUP($B274,Feature_List!$A:$AM,MATCH(CB$1,  Feature_List!$A$1:$AM$1,0),0)=T274,".","NO"))</f>
        <v>.</v>
      </c>
      <c r="CC274" s="136"/>
      <c r="CD274" s="136"/>
      <c r="CE274" s="136"/>
      <c r="CF274" s="136"/>
      <c r="CG274" s="136"/>
      <c r="CH274" s="136"/>
      <c r="CI274" s="136"/>
      <c r="CJ274" s="136"/>
      <c r="CK274" s="136"/>
      <c r="CL274" s="136"/>
      <c r="CM274" s="136"/>
      <c r="CN274" s="136"/>
      <c r="CO274" s="136" t="str">
        <f>IF($D274&lt;&gt;"Feature",".",
IF(VLOOKUP($B274,Feature_List!$A:$AM,MATCH(CO$1,  Feature_List!$A$1:$AM$1,0),0)=AG274,".","NO"))</f>
        <v>.</v>
      </c>
      <c r="CP274" s="136" t="str">
        <f>IF($D274&lt;&gt;"Feature",".",
IF(VLOOKUP($B274,Feature_List!$A:$AM,MATCH(CP$1,  Feature_List!$A$1:$AM$1,0),0)=AH274,".","NO"))</f>
        <v>.</v>
      </c>
      <c r="CQ274" s="136" t="str">
        <f>IF($D274&lt;&gt;"Feature",".",
IF(VLOOKUP($B274,Feature_List!$A:$AM,MATCH(CQ$1,  Feature_List!$A$1:$AM$1,0),0)=AI274,".","NO"))</f>
        <v>.</v>
      </c>
      <c r="CR274" s="136" t="str">
        <f>IF($D274&lt;&gt;"Feature",".",
IF(VLOOKUP($B274,Feature_List!$A:$AM,MATCH(CR$1,  Feature_List!$A$1:$AM$1,0),0)=AJ274,".","NO"))</f>
        <v>.</v>
      </c>
      <c r="CS274" s="136" t="str">
        <f>IF($D274&lt;&gt;"Feature",".",
IF(VLOOKUP($B274,Feature_List!$A:$AM,MATCH(CS$1,  Feature_List!$A$1:$AM$1,0),0)=AK274,".","NO"))</f>
        <v>.</v>
      </c>
      <c r="CT274" s="136" t="str">
        <f>IF($D274&lt;&gt;"Feature",".",
IF(VLOOKUP($B274,Feature_List!$A:$AM,MATCH(CT$1,  Feature_List!$A$1:$AM$1,0),0)=AL274,".","NO"))</f>
        <v>.</v>
      </c>
      <c r="CU274" s="136" t="str">
        <f>IF($D274&lt;&gt;"Feature",".",
IF(VLOOKUP($B274,Feature_List!$A:$AM,MATCH(CU$1,  Feature_List!$A$1:$AM$1,0),0)=AM274,".","NO"))</f>
        <v>.</v>
      </c>
      <c r="CV274" s="136" t="str">
        <f>IF($D274&lt;&gt;"Feature",".",
IF(VLOOKUP($B274,Feature_List!$A:$AM,MATCH(CV$1,  Feature_List!$A$1:$AM$1,0),0)=AN274,".","NO"))</f>
        <v>.</v>
      </c>
      <c r="CW274" s="136" t="str">
        <f>IF($D274&lt;&gt;"Feature",".",
IF(VLOOKUP($B274,Feature_List!$A:$AM,MATCH(CW$1,  Feature_List!$A$1:$AM$1,0),0)=AO274,".","NO"))</f>
        <v>.</v>
      </c>
      <c r="CX274" s="136" t="str">
        <f>IF($D274&lt;&gt;"Feature",".",
IF(VLOOKUP($B274,Feature_List!$A:$AM,MATCH(CX$1,  Feature_List!$A$1:$AM$1,0),0)=AP274,".","NO"))</f>
        <v>.</v>
      </c>
      <c r="CY274" s="136" t="str">
        <f>IF($D274&lt;&gt;"Feature",".",
IF(VLOOKUP($B274,Feature_List!$A:$AM,MATCH(CY$1,  Feature_List!$A$1:$AM$1,0),0)=AQ274,".","NO"))</f>
        <v>.</v>
      </c>
      <c r="CZ274" s="136" t="str">
        <f>IF($D274&lt;&gt;"Feature",".",
IF(VLOOKUP($B274,Feature_List!$A:$AM,MATCH(CZ$1,  Feature_List!$A$1:$AM$1,0),0)=AR274,".","NO"))</f>
        <v>.</v>
      </c>
      <c r="DA274" s="136" t="str">
        <f>IF($D274&lt;&gt;"Feature",".",
IF(VLOOKUP($B274,Feature_List!$A:$AM,MATCH(DA$1,  Feature_List!$A$1:$AM$1,0),0)=AS274,".","NO"))</f>
        <v>.</v>
      </c>
      <c r="DB274" s="136" t="str">
        <f>IF($D274&lt;&gt;"Feature",".",
IF(VLOOKUP($B274,Feature_List!$A:$AM,MATCH(DB$1,  Feature_List!$A$1:$AM$1,0),0)=AT274,".","NO"))</f>
        <v>.</v>
      </c>
      <c r="DC274" s="136" t="str">
        <f>IF($D274&lt;&gt;"Feature",".",
IF(VLOOKUP($B274,Feature_List!$A:$AM,MATCH(DC$1,  Feature_List!$A$1:$AM$1,0),0)=AU274,".","NO"))</f>
        <v>.</v>
      </c>
      <c r="DD274" s="136" t="str">
        <f>IF($D274&lt;&gt;"Feature",".",
IF(VLOOKUP($B274,Feature_List!$A:$AM,MATCH(DD$1,  Feature_List!$A$1:$AM$1,0),0)=AV274,".","NO"))</f>
        <v>.</v>
      </c>
      <c r="DE274" s="136" t="str">
        <f>IF($D274&lt;&gt;"Feature",".",
IF(VLOOKUP($B274,Feature_List!$A:$AM,MATCH(DE$1,  Feature_List!$A$1:$AM$1,0),0)=AW274,".","NO"))</f>
        <v>.</v>
      </c>
      <c r="DF274" s="136" t="str">
        <f>IF($D274&lt;&gt;"Feature",".",
IF(VLOOKUP($B274,Feature_List!$A:$AM,MATCH(DF$1,  Feature_List!$A$1:$AM$1,0),0)=AX274,".","NO"))</f>
        <v>.</v>
      </c>
      <c r="DG274" s="136" t="str">
        <f>IF($D274&lt;&gt;"Feature",".",
IF(VLOOKUP($B274,Feature_List!$A:$AM,MATCH(DG$1,  Feature_List!$A$1:$AM$1,0),0)=AY274,".","NO"))</f>
        <v>.</v>
      </c>
      <c r="DH274" s="136" t="str">
        <f>IF($D274&lt;&gt;"Feature",".",
IF(VLOOKUP($B274,Feature_List!$A:$AM,MATCH(DH$1,  Feature_List!$A$1:$AM$1,0),0)=AZ274,".","NO"))</f>
        <v>.</v>
      </c>
      <c r="DI274" s="136" t="str">
        <f>IF($D274&lt;&gt;"Feature",".",
IF(VLOOKUP($B274,Feature_List!$A:$AM,MATCH(DI$1,  Feature_List!$A$1:$AM$1,0),0)=BA274,".","NO"))</f>
        <v>.</v>
      </c>
      <c r="DJ274" s="136" t="str">
        <f>IF($D274&lt;&gt;"Feature",".",
IF(VLOOKUP($B274,Feature_List!$A:$AM,MATCH(DJ$1,  Feature_List!$A$1:$AM$1,0),0)=BB274,".","NO"))</f>
        <v>.</v>
      </c>
      <c r="DK274" s="136"/>
      <c r="DL274" s="136"/>
      <c r="DM274" s="136"/>
      <c r="DN274" s="136" t="str">
        <f>IF($D274&lt;&gt;"Feature",".",
IF(VLOOKUP($B274,Feature_List!$A:$AM,MATCH(DN$1,  Feature_List!$A$1:$AM$1,0),0)=BC274,".","NO"))</f>
        <v>.</v>
      </c>
      <c r="DO274" s="136" t="str">
        <f>IF($D274&lt;&gt;"Feature",".",
IF(VLOOKUP($B274,Feature_List!$A:$AM,MATCH(DO$1,  Feature_List!$A$1:$AM$1,0),0)=BD274,".","NO"))</f>
        <v>.</v>
      </c>
    </row>
    <row r="275" spans="2:119" x14ac:dyDescent="0.3">
      <c r="B275" s="121"/>
      <c r="C275" s="122"/>
      <c r="D275" s="122"/>
      <c r="E275" s="122"/>
      <c r="F275" s="123"/>
      <c r="G275" s="123"/>
      <c r="H275" s="122"/>
      <c r="I275" s="124"/>
      <c r="J275" s="123"/>
      <c r="K275" s="123"/>
      <c r="L275" s="122"/>
      <c r="M275" s="122"/>
      <c r="N275" s="122"/>
      <c r="O275" s="123">
        <f t="shared" si="150"/>
        <v>0</v>
      </c>
      <c r="P275" s="123">
        <f t="shared" si="151"/>
        <v>0</v>
      </c>
      <c r="Q275" s="122" t="str">
        <f t="shared" si="172"/>
        <v>ZeroEntry</v>
      </c>
      <c r="R275" s="126" t="str">
        <f t="shared" si="152"/>
        <v>ZeroEntry</v>
      </c>
      <c r="S275" s="127" t="str">
        <f t="shared" si="153"/>
        <v>ZeroEntry</v>
      </c>
      <c r="T275" s="128" t="str">
        <f>IF($Q275="ZeroEntry", "",VLOOKUP($I275,'Ranking Lookup'!#REF!,2,FALSE))</f>
        <v/>
      </c>
      <c r="U275" s="129" t="str">
        <f t="shared" si="154"/>
        <v/>
      </c>
      <c r="V275" s="129" t="str">
        <f t="shared" si="155"/>
        <v/>
      </c>
      <c r="W275" s="129" t="str">
        <f t="shared" si="156"/>
        <v/>
      </c>
      <c r="X275" s="129" t="str">
        <f t="shared" si="157"/>
        <v/>
      </c>
      <c r="Y275" s="129" t="str">
        <f t="shared" si="158"/>
        <v/>
      </c>
      <c r="Z275" s="129" t="str">
        <f t="shared" si="159"/>
        <v/>
      </c>
      <c r="AA275" s="130"/>
      <c r="AB275" s="130" t="str">
        <f t="shared" si="160"/>
        <v>Unassigned</v>
      </c>
      <c r="AC275" s="131" t="str">
        <f t="shared" si="173"/>
        <v/>
      </c>
      <c r="AD275" s="131" t="str">
        <f t="shared" si="174"/>
        <v/>
      </c>
      <c r="AE275" s="132">
        <f t="shared" si="161"/>
        <v>0</v>
      </c>
      <c r="AF275" s="133" t="str">
        <f t="shared" si="175"/>
        <v/>
      </c>
      <c r="AG275" s="134">
        <f t="shared" si="162"/>
        <v>0</v>
      </c>
      <c r="AH275" s="54" t="str">
        <f t="shared" si="163"/>
        <v/>
      </c>
      <c r="AI275" s="54" t="str">
        <f t="shared" si="179"/>
        <v/>
      </c>
      <c r="AJ275" s="54" t="str">
        <f t="shared" si="179"/>
        <v/>
      </c>
      <c r="AK275" s="54" t="str">
        <f t="shared" si="179"/>
        <v/>
      </c>
      <c r="AL275" s="54" t="str">
        <f t="shared" si="179"/>
        <v/>
      </c>
      <c r="AM275" s="54" t="str">
        <f t="shared" si="179"/>
        <v/>
      </c>
      <c r="AN275" s="54" t="str">
        <f t="shared" si="179"/>
        <v/>
      </c>
      <c r="AO275" s="54" t="str">
        <f t="shared" si="179"/>
        <v/>
      </c>
      <c r="AP275" s="54" t="str">
        <f t="shared" si="179"/>
        <v/>
      </c>
      <c r="AQ275" s="54" t="str">
        <f t="shared" si="179"/>
        <v/>
      </c>
      <c r="AR275" s="54" t="str">
        <f t="shared" si="179"/>
        <v/>
      </c>
      <c r="AS275" s="54" t="str">
        <f t="shared" si="179"/>
        <v/>
      </c>
      <c r="AT275" s="54" t="str">
        <f t="shared" si="179"/>
        <v/>
      </c>
      <c r="AU275" s="54" t="str">
        <f t="shared" si="179"/>
        <v/>
      </c>
      <c r="AV275" s="54" t="str">
        <f t="shared" si="179"/>
        <v/>
      </c>
      <c r="AW275" s="54" t="str">
        <f t="shared" si="179"/>
        <v/>
      </c>
      <c r="AX275" s="54" t="str">
        <f t="shared" si="179"/>
        <v/>
      </c>
      <c r="AY275" s="54" t="str">
        <f t="shared" si="177"/>
        <v/>
      </c>
      <c r="AZ275" s="54" t="str">
        <f t="shared" si="165"/>
        <v/>
      </c>
      <c r="BA275" s="54" t="str">
        <f t="shared" si="166"/>
        <v/>
      </c>
      <c r="BB275" s="135" t="str">
        <f t="shared" si="167"/>
        <v/>
      </c>
      <c r="BC275" s="54" t="str">
        <f t="shared" si="176"/>
        <v/>
      </c>
      <c r="BD275" s="54" t="str">
        <f t="shared" si="176"/>
        <v/>
      </c>
      <c r="BE275" s="54" t="str">
        <f t="shared" si="176"/>
        <v/>
      </c>
      <c r="BF275" s="54" t="str">
        <f t="shared" si="168"/>
        <v/>
      </c>
      <c r="BG275" s="54" t="str">
        <f t="shared" si="169"/>
        <v/>
      </c>
      <c r="BH275" s="34" t="str">
        <f t="shared" si="170"/>
        <v>Bad</v>
      </c>
      <c r="BI275" s="34" t="str">
        <f t="shared" si="171"/>
        <v>No</v>
      </c>
      <c r="BJ275" s="136" t="str">
        <f>IF($D275&lt;&gt;"Feature",".",
IF(VLOOKUP($B275,Feature_List!$A:$AM,MATCH(BJ$1,  Feature_List!$A$1:$AM$1,0),0)=B275,".","NO"))</f>
        <v>.</v>
      </c>
      <c r="BK275" s="136"/>
      <c r="BL275" s="136"/>
      <c r="BM275" s="136" t="str">
        <f>IF($D275&lt;&gt;"Feature",".",
IF(VLOOKUP($B275,Feature_List!$A:$AM,MATCH(BM$1,  Feature_List!$A$1:$AM$1,0),0)=E275,".","NO"))</f>
        <v>.</v>
      </c>
      <c r="BN275" s="136" t="str">
        <f>IF($D275&lt;&gt;"Feature",".",
IF(VLOOKUP($B275,Feature_List!$A:$AM,MATCH(BN$1,  Feature_List!$A$1:$AM$1,0),0)=F275,".","NO"))</f>
        <v>.</v>
      </c>
      <c r="BO275" s="136" t="str">
        <f>IF($D275&lt;&gt;"Feature",".",
IF(VLOOKUP($B275,Feature_List!$A:$AM,MATCH(BO$1,  Feature_List!$A$1:$AM$1,0),0)=G275,".","NO"))</f>
        <v>.</v>
      </c>
      <c r="BP275" s="136" t="str">
        <f>IF($D275&lt;&gt;"Feature",".",
IF(VLOOKUP($B275,Feature_List!$A:$AM,MATCH(BP$1,  Feature_List!$A$1:$AM$1,0),0)=H275,".","NO"))</f>
        <v>.</v>
      </c>
      <c r="BQ275" s="136"/>
      <c r="BR275" s="136" t="str">
        <f>IF($D275&lt;&gt;"Feature",".",
IF(VLOOKUP($B275,Feature_List!$A:$AM,MATCH(BR$1,  Feature_List!$A$1:$AM$1,0),0)=J275,".","NO"))</f>
        <v>.</v>
      </c>
      <c r="BS275" s="136"/>
      <c r="BT275" s="136"/>
      <c r="BU275" s="136" t="str">
        <f>IF($D275&lt;&gt;"Feature",".",
IF(VLOOKUP($B275,Feature_List!$A:$AM,MATCH(BU$1,  Feature_List!$A$1:$AM$1,0),0)=M275,".","NO"))</f>
        <v>.</v>
      </c>
      <c r="BV275" s="136" t="str">
        <f>IF($D275&lt;&gt;"Feature",".",
IF(VLOOKUP($B275,Feature_List!$A:$AM,MATCH(BV$1,  Feature_List!$A$1:$AM$1,0),0)=N275,".","NO"))</f>
        <v>.</v>
      </c>
      <c r="BW275" s="136"/>
      <c r="BX275" s="136"/>
      <c r="BY275" s="136"/>
      <c r="BZ275" s="136"/>
      <c r="CA275" s="136"/>
      <c r="CB275" s="136" t="str">
        <f>IF($D275&lt;&gt;"Feature",".",
IF(VLOOKUP($B275,Feature_List!$A:$AM,MATCH(CB$1,  Feature_List!$A$1:$AM$1,0),0)=T275,".","NO"))</f>
        <v>.</v>
      </c>
      <c r="CC275" s="136"/>
      <c r="CD275" s="136"/>
      <c r="CE275" s="136"/>
      <c r="CF275" s="136"/>
      <c r="CG275" s="136"/>
      <c r="CH275" s="136"/>
      <c r="CI275" s="136"/>
      <c r="CJ275" s="136"/>
      <c r="CK275" s="136"/>
      <c r="CL275" s="136"/>
      <c r="CM275" s="136"/>
      <c r="CN275" s="136"/>
      <c r="CO275" s="136" t="str">
        <f>IF($D275&lt;&gt;"Feature",".",
IF(VLOOKUP($B275,Feature_List!$A:$AM,MATCH(CO$1,  Feature_List!$A$1:$AM$1,0),0)=AG275,".","NO"))</f>
        <v>.</v>
      </c>
      <c r="CP275" s="136" t="str">
        <f>IF($D275&lt;&gt;"Feature",".",
IF(VLOOKUP($B275,Feature_List!$A:$AM,MATCH(CP$1,  Feature_List!$A$1:$AM$1,0),0)=AH275,".","NO"))</f>
        <v>.</v>
      </c>
      <c r="CQ275" s="136" t="str">
        <f>IF($D275&lt;&gt;"Feature",".",
IF(VLOOKUP($B275,Feature_List!$A:$AM,MATCH(CQ$1,  Feature_List!$A$1:$AM$1,0),0)=AI275,".","NO"))</f>
        <v>.</v>
      </c>
      <c r="CR275" s="136" t="str">
        <f>IF($D275&lt;&gt;"Feature",".",
IF(VLOOKUP($B275,Feature_List!$A:$AM,MATCH(CR$1,  Feature_List!$A$1:$AM$1,0),0)=AJ275,".","NO"))</f>
        <v>.</v>
      </c>
      <c r="CS275" s="136" t="str">
        <f>IF($D275&lt;&gt;"Feature",".",
IF(VLOOKUP($B275,Feature_List!$A:$AM,MATCH(CS$1,  Feature_List!$A$1:$AM$1,0),0)=AK275,".","NO"))</f>
        <v>.</v>
      </c>
      <c r="CT275" s="136" t="str">
        <f>IF($D275&lt;&gt;"Feature",".",
IF(VLOOKUP($B275,Feature_List!$A:$AM,MATCH(CT$1,  Feature_List!$A$1:$AM$1,0),0)=AL275,".","NO"))</f>
        <v>.</v>
      </c>
      <c r="CU275" s="136" t="str">
        <f>IF($D275&lt;&gt;"Feature",".",
IF(VLOOKUP($B275,Feature_List!$A:$AM,MATCH(CU$1,  Feature_List!$A$1:$AM$1,0),0)=AM275,".","NO"))</f>
        <v>.</v>
      </c>
      <c r="CV275" s="136" t="str">
        <f>IF($D275&lt;&gt;"Feature",".",
IF(VLOOKUP($B275,Feature_List!$A:$AM,MATCH(CV$1,  Feature_List!$A$1:$AM$1,0),0)=AN275,".","NO"))</f>
        <v>.</v>
      </c>
      <c r="CW275" s="136" t="str">
        <f>IF($D275&lt;&gt;"Feature",".",
IF(VLOOKUP($B275,Feature_List!$A:$AM,MATCH(CW$1,  Feature_List!$A$1:$AM$1,0),0)=AO275,".","NO"))</f>
        <v>.</v>
      </c>
      <c r="CX275" s="136" t="str">
        <f>IF($D275&lt;&gt;"Feature",".",
IF(VLOOKUP($B275,Feature_List!$A:$AM,MATCH(CX$1,  Feature_List!$A$1:$AM$1,0),0)=AP275,".","NO"))</f>
        <v>.</v>
      </c>
      <c r="CY275" s="136" t="str">
        <f>IF($D275&lt;&gt;"Feature",".",
IF(VLOOKUP($B275,Feature_List!$A:$AM,MATCH(CY$1,  Feature_List!$A$1:$AM$1,0),0)=AQ275,".","NO"))</f>
        <v>.</v>
      </c>
      <c r="CZ275" s="136" t="str">
        <f>IF($D275&lt;&gt;"Feature",".",
IF(VLOOKUP($B275,Feature_List!$A:$AM,MATCH(CZ$1,  Feature_List!$A$1:$AM$1,0),0)=AR275,".","NO"))</f>
        <v>.</v>
      </c>
      <c r="DA275" s="136" t="str">
        <f>IF($D275&lt;&gt;"Feature",".",
IF(VLOOKUP($B275,Feature_List!$A:$AM,MATCH(DA$1,  Feature_List!$A$1:$AM$1,0),0)=AS275,".","NO"))</f>
        <v>.</v>
      </c>
      <c r="DB275" s="136" t="str">
        <f>IF($D275&lt;&gt;"Feature",".",
IF(VLOOKUP($B275,Feature_List!$A:$AM,MATCH(DB$1,  Feature_List!$A$1:$AM$1,0),0)=AT275,".","NO"))</f>
        <v>.</v>
      </c>
      <c r="DC275" s="136" t="str">
        <f>IF($D275&lt;&gt;"Feature",".",
IF(VLOOKUP($B275,Feature_List!$A:$AM,MATCH(DC$1,  Feature_List!$A$1:$AM$1,0),0)=AU275,".","NO"))</f>
        <v>.</v>
      </c>
      <c r="DD275" s="136" t="str">
        <f>IF($D275&lt;&gt;"Feature",".",
IF(VLOOKUP($B275,Feature_List!$A:$AM,MATCH(DD$1,  Feature_List!$A$1:$AM$1,0),0)=AV275,".","NO"))</f>
        <v>.</v>
      </c>
      <c r="DE275" s="136" t="str">
        <f>IF($D275&lt;&gt;"Feature",".",
IF(VLOOKUP($B275,Feature_List!$A:$AM,MATCH(DE$1,  Feature_List!$A$1:$AM$1,0),0)=AW275,".","NO"))</f>
        <v>.</v>
      </c>
      <c r="DF275" s="136" t="str">
        <f>IF($D275&lt;&gt;"Feature",".",
IF(VLOOKUP($B275,Feature_List!$A:$AM,MATCH(DF$1,  Feature_List!$A$1:$AM$1,0),0)=AX275,".","NO"))</f>
        <v>.</v>
      </c>
      <c r="DG275" s="136" t="str">
        <f>IF($D275&lt;&gt;"Feature",".",
IF(VLOOKUP($B275,Feature_List!$A:$AM,MATCH(DG$1,  Feature_List!$A$1:$AM$1,0),0)=AY275,".","NO"))</f>
        <v>.</v>
      </c>
      <c r="DH275" s="136" t="str">
        <f>IF($D275&lt;&gt;"Feature",".",
IF(VLOOKUP($B275,Feature_List!$A:$AM,MATCH(DH$1,  Feature_List!$A$1:$AM$1,0),0)=AZ275,".","NO"))</f>
        <v>.</v>
      </c>
      <c r="DI275" s="136" t="str">
        <f>IF($D275&lt;&gt;"Feature",".",
IF(VLOOKUP($B275,Feature_List!$A:$AM,MATCH(DI$1,  Feature_List!$A$1:$AM$1,0),0)=BA275,".","NO"))</f>
        <v>.</v>
      </c>
      <c r="DJ275" s="136" t="str">
        <f>IF($D275&lt;&gt;"Feature",".",
IF(VLOOKUP($B275,Feature_List!$A:$AM,MATCH(DJ$1,  Feature_List!$A$1:$AM$1,0),0)=BB275,".","NO"))</f>
        <v>.</v>
      </c>
      <c r="DK275" s="136"/>
      <c r="DL275" s="136"/>
      <c r="DM275" s="136"/>
      <c r="DN275" s="136" t="str">
        <f>IF($D275&lt;&gt;"Feature",".",
IF(VLOOKUP($B275,Feature_List!$A:$AM,MATCH(DN$1,  Feature_List!$A$1:$AM$1,0),0)=BC275,".","NO"))</f>
        <v>.</v>
      </c>
      <c r="DO275" s="136" t="str">
        <f>IF($D275&lt;&gt;"Feature",".",
IF(VLOOKUP($B275,Feature_List!$A:$AM,MATCH(DO$1,  Feature_List!$A$1:$AM$1,0),0)=BD275,".","NO"))</f>
        <v>.</v>
      </c>
    </row>
    <row r="276" spans="2:119" x14ac:dyDescent="0.3">
      <c r="B276" s="121"/>
      <c r="C276" s="122"/>
      <c r="D276" s="122"/>
      <c r="E276" s="122"/>
      <c r="F276" s="123"/>
      <c r="G276" s="123"/>
      <c r="H276" s="122"/>
      <c r="I276" s="124"/>
      <c r="J276" s="123"/>
      <c r="K276" s="123"/>
      <c r="L276" s="122"/>
      <c r="M276" s="122"/>
      <c r="N276" s="122"/>
      <c r="O276" s="123">
        <f t="shared" si="150"/>
        <v>0</v>
      </c>
      <c r="P276" s="123">
        <f t="shared" si="151"/>
        <v>0</v>
      </c>
      <c r="Q276" s="122" t="str">
        <f t="shared" si="172"/>
        <v>ZeroEntry</v>
      </c>
      <c r="R276" s="126" t="str">
        <f t="shared" si="152"/>
        <v>ZeroEntry</v>
      </c>
      <c r="S276" s="127" t="str">
        <f t="shared" si="153"/>
        <v>ZeroEntry</v>
      </c>
      <c r="T276" s="128" t="str">
        <f>IF($Q276="ZeroEntry", "",VLOOKUP($I276,'Ranking Lookup'!#REF!,2,FALSE))</f>
        <v/>
      </c>
      <c r="U276" s="129" t="str">
        <f t="shared" si="154"/>
        <v/>
      </c>
      <c r="V276" s="129" t="str">
        <f t="shared" si="155"/>
        <v/>
      </c>
      <c r="W276" s="129" t="str">
        <f t="shared" si="156"/>
        <v/>
      </c>
      <c r="X276" s="129" t="str">
        <f t="shared" si="157"/>
        <v/>
      </c>
      <c r="Y276" s="129" t="str">
        <f t="shared" si="158"/>
        <v/>
      </c>
      <c r="Z276" s="129" t="str">
        <f t="shared" si="159"/>
        <v/>
      </c>
      <c r="AA276" s="130"/>
      <c r="AB276" s="130" t="str">
        <f t="shared" si="160"/>
        <v>Unassigned</v>
      </c>
      <c r="AC276" s="131" t="str">
        <f t="shared" si="173"/>
        <v/>
      </c>
      <c r="AD276" s="131" t="str">
        <f t="shared" si="174"/>
        <v/>
      </c>
      <c r="AE276" s="132">
        <f t="shared" si="161"/>
        <v>0</v>
      </c>
      <c r="AF276" s="133" t="str">
        <f t="shared" si="175"/>
        <v/>
      </c>
      <c r="AG276" s="134">
        <f t="shared" si="162"/>
        <v>0</v>
      </c>
      <c r="AH276" s="54" t="str">
        <f t="shared" si="163"/>
        <v/>
      </c>
      <c r="AI276" s="54" t="str">
        <f t="shared" si="179"/>
        <v/>
      </c>
      <c r="AJ276" s="54" t="str">
        <f t="shared" si="179"/>
        <v/>
      </c>
      <c r="AK276" s="54" t="str">
        <f t="shared" si="179"/>
        <v/>
      </c>
      <c r="AL276" s="54" t="str">
        <f t="shared" si="179"/>
        <v/>
      </c>
      <c r="AM276" s="54" t="str">
        <f t="shared" si="179"/>
        <v/>
      </c>
      <c r="AN276" s="54" t="str">
        <f t="shared" si="179"/>
        <v/>
      </c>
      <c r="AO276" s="54" t="str">
        <f t="shared" si="179"/>
        <v/>
      </c>
      <c r="AP276" s="54" t="str">
        <f t="shared" si="179"/>
        <v/>
      </c>
      <c r="AQ276" s="54" t="str">
        <f t="shared" si="179"/>
        <v/>
      </c>
      <c r="AR276" s="54" t="str">
        <f t="shared" si="179"/>
        <v/>
      </c>
      <c r="AS276" s="54" t="str">
        <f t="shared" si="179"/>
        <v/>
      </c>
      <c r="AT276" s="54" t="str">
        <f t="shared" si="179"/>
        <v/>
      </c>
      <c r="AU276" s="54" t="str">
        <f t="shared" si="179"/>
        <v/>
      </c>
      <c r="AV276" s="54" t="str">
        <f t="shared" si="179"/>
        <v/>
      </c>
      <c r="AW276" s="54" t="str">
        <f t="shared" si="179"/>
        <v/>
      </c>
      <c r="AX276" s="54" t="str">
        <f t="shared" si="179"/>
        <v/>
      </c>
      <c r="AY276" s="54" t="str">
        <f t="shared" si="177"/>
        <v/>
      </c>
      <c r="AZ276" s="54" t="str">
        <f t="shared" si="165"/>
        <v/>
      </c>
      <c r="BA276" s="54" t="str">
        <f t="shared" si="166"/>
        <v/>
      </c>
      <c r="BB276" s="135" t="str">
        <f t="shared" si="167"/>
        <v/>
      </c>
      <c r="BC276" s="54" t="str">
        <f t="shared" si="176"/>
        <v/>
      </c>
      <c r="BD276" s="54" t="str">
        <f t="shared" si="176"/>
        <v/>
      </c>
      <c r="BE276" s="54" t="str">
        <f t="shared" si="176"/>
        <v/>
      </c>
      <c r="BF276" s="54" t="str">
        <f t="shared" si="168"/>
        <v/>
      </c>
      <c r="BG276" s="54" t="str">
        <f t="shared" si="169"/>
        <v/>
      </c>
      <c r="BH276" s="34" t="str">
        <f t="shared" si="170"/>
        <v>Bad</v>
      </c>
      <c r="BI276" s="34" t="str">
        <f t="shared" si="171"/>
        <v>No</v>
      </c>
      <c r="BJ276" s="136" t="str">
        <f>IF($D276&lt;&gt;"Feature",".",
IF(VLOOKUP($B276,Feature_List!$A:$AM,MATCH(BJ$1,  Feature_List!$A$1:$AM$1,0),0)=B276,".","NO"))</f>
        <v>.</v>
      </c>
      <c r="BK276" s="136"/>
      <c r="BL276" s="136"/>
      <c r="BM276" s="136" t="str">
        <f>IF($D276&lt;&gt;"Feature",".",
IF(VLOOKUP($B276,Feature_List!$A:$AM,MATCH(BM$1,  Feature_List!$A$1:$AM$1,0),0)=E276,".","NO"))</f>
        <v>.</v>
      </c>
      <c r="BN276" s="136" t="str">
        <f>IF($D276&lt;&gt;"Feature",".",
IF(VLOOKUP($B276,Feature_List!$A:$AM,MATCH(BN$1,  Feature_List!$A$1:$AM$1,0),0)=F276,".","NO"))</f>
        <v>.</v>
      </c>
      <c r="BO276" s="136" t="str">
        <f>IF($D276&lt;&gt;"Feature",".",
IF(VLOOKUP($B276,Feature_List!$A:$AM,MATCH(BO$1,  Feature_List!$A$1:$AM$1,0),0)=G276,".","NO"))</f>
        <v>.</v>
      </c>
      <c r="BP276" s="136" t="str">
        <f>IF($D276&lt;&gt;"Feature",".",
IF(VLOOKUP($B276,Feature_List!$A:$AM,MATCH(BP$1,  Feature_List!$A$1:$AM$1,0),0)=H276,".","NO"))</f>
        <v>.</v>
      </c>
      <c r="BQ276" s="136"/>
      <c r="BR276" s="136" t="str">
        <f>IF($D276&lt;&gt;"Feature",".",
IF(VLOOKUP($B276,Feature_List!$A:$AM,MATCH(BR$1,  Feature_List!$A$1:$AM$1,0),0)=J276,".","NO"))</f>
        <v>.</v>
      </c>
      <c r="BS276" s="136"/>
      <c r="BT276" s="136"/>
      <c r="BU276" s="136" t="str">
        <f>IF($D276&lt;&gt;"Feature",".",
IF(VLOOKUP($B276,Feature_List!$A:$AM,MATCH(BU$1,  Feature_List!$A$1:$AM$1,0),0)=M276,".","NO"))</f>
        <v>.</v>
      </c>
      <c r="BV276" s="136" t="str">
        <f>IF($D276&lt;&gt;"Feature",".",
IF(VLOOKUP($B276,Feature_List!$A:$AM,MATCH(BV$1,  Feature_List!$A$1:$AM$1,0),0)=N276,".","NO"))</f>
        <v>.</v>
      </c>
      <c r="BW276" s="136"/>
      <c r="BX276" s="136"/>
      <c r="BY276" s="136"/>
      <c r="BZ276" s="136"/>
      <c r="CA276" s="136"/>
      <c r="CB276" s="136" t="str">
        <f>IF($D276&lt;&gt;"Feature",".",
IF(VLOOKUP($B276,Feature_List!$A:$AM,MATCH(CB$1,  Feature_List!$A$1:$AM$1,0),0)=T276,".","NO"))</f>
        <v>.</v>
      </c>
      <c r="CC276" s="136"/>
      <c r="CD276" s="136"/>
      <c r="CE276" s="136"/>
      <c r="CF276" s="136"/>
      <c r="CG276" s="136"/>
      <c r="CH276" s="136"/>
      <c r="CI276" s="136"/>
      <c r="CJ276" s="136"/>
      <c r="CK276" s="136"/>
      <c r="CL276" s="136"/>
      <c r="CM276" s="136"/>
      <c r="CN276" s="136"/>
      <c r="CO276" s="136" t="str">
        <f>IF($D276&lt;&gt;"Feature",".",
IF(VLOOKUP($B276,Feature_List!$A:$AM,MATCH(CO$1,  Feature_List!$A$1:$AM$1,0),0)=AG276,".","NO"))</f>
        <v>.</v>
      </c>
      <c r="CP276" s="136" t="str">
        <f>IF($D276&lt;&gt;"Feature",".",
IF(VLOOKUP($B276,Feature_List!$A:$AM,MATCH(CP$1,  Feature_List!$A$1:$AM$1,0),0)=AH276,".","NO"))</f>
        <v>.</v>
      </c>
      <c r="CQ276" s="136" t="str">
        <f>IF($D276&lt;&gt;"Feature",".",
IF(VLOOKUP($B276,Feature_List!$A:$AM,MATCH(CQ$1,  Feature_List!$A$1:$AM$1,0),0)=AI276,".","NO"))</f>
        <v>.</v>
      </c>
      <c r="CR276" s="136" t="str">
        <f>IF($D276&lt;&gt;"Feature",".",
IF(VLOOKUP($B276,Feature_List!$A:$AM,MATCH(CR$1,  Feature_List!$A$1:$AM$1,0),0)=AJ276,".","NO"))</f>
        <v>.</v>
      </c>
      <c r="CS276" s="136" t="str">
        <f>IF($D276&lt;&gt;"Feature",".",
IF(VLOOKUP($B276,Feature_List!$A:$AM,MATCH(CS$1,  Feature_List!$A$1:$AM$1,0),0)=AK276,".","NO"))</f>
        <v>.</v>
      </c>
      <c r="CT276" s="136" t="str">
        <f>IF($D276&lt;&gt;"Feature",".",
IF(VLOOKUP($B276,Feature_List!$A:$AM,MATCH(CT$1,  Feature_List!$A$1:$AM$1,0),0)=AL276,".","NO"))</f>
        <v>.</v>
      </c>
      <c r="CU276" s="136" t="str">
        <f>IF($D276&lt;&gt;"Feature",".",
IF(VLOOKUP($B276,Feature_List!$A:$AM,MATCH(CU$1,  Feature_List!$A$1:$AM$1,0),0)=AM276,".","NO"))</f>
        <v>.</v>
      </c>
      <c r="CV276" s="136" t="str">
        <f>IF($D276&lt;&gt;"Feature",".",
IF(VLOOKUP($B276,Feature_List!$A:$AM,MATCH(CV$1,  Feature_List!$A$1:$AM$1,0),0)=AN276,".","NO"))</f>
        <v>.</v>
      </c>
      <c r="CW276" s="136" t="str">
        <f>IF($D276&lt;&gt;"Feature",".",
IF(VLOOKUP($B276,Feature_List!$A:$AM,MATCH(CW$1,  Feature_List!$A$1:$AM$1,0),0)=AO276,".","NO"))</f>
        <v>.</v>
      </c>
      <c r="CX276" s="136" t="str">
        <f>IF($D276&lt;&gt;"Feature",".",
IF(VLOOKUP($B276,Feature_List!$A:$AM,MATCH(CX$1,  Feature_List!$A$1:$AM$1,0),0)=AP276,".","NO"))</f>
        <v>.</v>
      </c>
      <c r="CY276" s="136" t="str">
        <f>IF($D276&lt;&gt;"Feature",".",
IF(VLOOKUP($B276,Feature_List!$A:$AM,MATCH(CY$1,  Feature_List!$A$1:$AM$1,0),0)=AQ276,".","NO"))</f>
        <v>.</v>
      </c>
      <c r="CZ276" s="136" t="str">
        <f>IF($D276&lt;&gt;"Feature",".",
IF(VLOOKUP($B276,Feature_List!$A:$AM,MATCH(CZ$1,  Feature_List!$A$1:$AM$1,0),0)=AR276,".","NO"))</f>
        <v>.</v>
      </c>
      <c r="DA276" s="136" t="str">
        <f>IF($D276&lt;&gt;"Feature",".",
IF(VLOOKUP($B276,Feature_List!$A:$AM,MATCH(DA$1,  Feature_List!$A$1:$AM$1,0),0)=AS276,".","NO"))</f>
        <v>.</v>
      </c>
      <c r="DB276" s="136" t="str">
        <f>IF($D276&lt;&gt;"Feature",".",
IF(VLOOKUP($B276,Feature_List!$A:$AM,MATCH(DB$1,  Feature_List!$A$1:$AM$1,0),0)=AT276,".","NO"))</f>
        <v>.</v>
      </c>
      <c r="DC276" s="136" t="str">
        <f>IF($D276&lt;&gt;"Feature",".",
IF(VLOOKUP($B276,Feature_List!$A:$AM,MATCH(DC$1,  Feature_List!$A$1:$AM$1,0),0)=AU276,".","NO"))</f>
        <v>.</v>
      </c>
      <c r="DD276" s="136" t="str">
        <f>IF($D276&lt;&gt;"Feature",".",
IF(VLOOKUP($B276,Feature_List!$A:$AM,MATCH(DD$1,  Feature_List!$A$1:$AM$1,0),0)=AV276,".","NO"))</f>
        <v>.</v>
      </c>
      <c r="DE276" s="136" t="str">
        <f>IF($D276&lt;&gt;"Feature",".",
IF(VLOOKUP($B276,Feature_List!$A:$AM,MATCH(DE$1,  Feature_List!$A$1:$AM$1,0),0)=AW276,".","NO"))</f>
        <v>.</v>
      </c>
      <c r="DF276" s="136" t="str">
        <f>IF($D276&lt;&gt;"Feature",".",
IF(VLOOKUP($B276,Feature_List!$A:$AM,MATCH(DF$1,  Feature_List!$A$1:$AM$1,0),0)=AX276,".","NO"))</f>
        <v>.</v>
      </c>
      <c r="DG276" s="136" t="str">
        <f>IF($D276&lt;&gt;"Feature",".",
IF(VLOOKUP($B276,Feature_List!$A:$AM,MATCH(DG$1,  Feature_List!$A$1:$AM$1,0),0)=AY276,".","NO"))</f>
        <v>.</v>
      </c>
      <c r="DH276" s="136" t="str">
        <f>IF($D276&lt;&gt;"Feature",".",
IF(VLOOKUP($B276,Feature_List!$A:$AM,MATCH(DH$1,  Feature_List!$A$1:$AM$1,0),0)=AZ276,".","NO"))</f>
        <v>.</v>
      </c>
      <c r="DI276" s="136" t="str">
        <f>IF($D276&lt;&gt;"Feature",".",
IF(VLOOKUP($B276,Feature_List!$A:$AM,MATCH(DI$1,  Feature_List!$A$1:$AM$1,0),0)=BA276,".","NO"))</f>
        <v>.</v>
      </c>
      <c r="DJ276" s="136" t="str">
        <f>IF($D276&lt;&gt;"Feature",".",
IF(VLOOKUP($B276,Feature_List!$A:$AM,MATCH(DJ$1,  Feature_List!$A$1:$AM$1,0),0)=BB276,".","NO"))</f>
        <v>.</v>
      </c>
      <c r="DK276" s="136"/>
      <c r="DL276" s="136"/>
      <c r="DM276" s="136"/>
      <c r="DN276" s="136" t="str">
        <f>IF($D276&lt;&gt;"Feature",".",
IF(VLOOKUP($B276,Feature_List!$A:$AM,MATCH(DN$1,  Feature_List!$A$1:$AM$1,0),0)=BC276,".","NO"))</f>
        <v>.</v>
      </c>
      <c r="DO276" s="136" t="str">
        <f>IF($D276&lt;&gt;"Feature",".",
IF(VLOOKUP($B276,Feature_List!$A:$AM,MATCH(DO$1,  Feature_List!$A$1:$AM$1,0),0)=BD276,".","NO"))</f>
        <v>.</v>
      </c>
    </row>
    <row r="277" spans="2:119" x14ac:dyDescent="0.3">
      <c r="B277" s="121"/>
      <c r="C277" s="123"/>
      <c r="D277" s="122"/>
      <c r="E277" s="122"/>
      <c r="F277" s="123"/>
      <c r="G277" s="123"/>
      <c r="H277" s="122"/>
      <c r="I277" s="124"/>
      <c r="J277" s="123"/>
      <c r="K277" s="123"/>
      <c r="L277" s="122"/>
      <c r="M277" s="122"/>
      <c r="N277" s="122"/>
      <c r="O277" s="123">
        <f t="shared" si="150"/>
        <v>0</v>
      </c>
      <c r="P277" s="123">
        <f t="shared" si="151"/>
        <v>0</v>
      </c>
      <c r="Q277" s="122" t="str">
        <f t="shared" si="172"/>
        <v>ZeroEntry</v>
      </c>
      <c r="R277" s="126" t="str">
        <f t="shared" si="152"/>
        <v>ZeroEntry</v>
      </c>
      <c r="S277" s="127" t="str">
        <f t="shared" si="153"/>
        <v>ZeroEntry</v>
      </c>
      <c r="T277" s="128" t="str">
        <f>IF($Q277="ZeroEntry", "",VLOOKUP($I277,'Ranking Lookup'!#REF!,2,FALSE))</f>
        <v/>
      </c>
      <c r="U277" s="129" t="str">
        <f t="shared" si="154"/>
        <v/>
      </c>
      <c r="V277" s="129" t="str">
        <f t="shared" si="155"/>
        <v/>
      </c>
      <c r="W277" s="129" t="str">
        <f t="shared" si="156"/>
        <v/>
      </c>
      <c r="X277" s="129" t="str">
        <f t="shared" si="157"/>
        <v/>
      </c>
      <c r="Y277" s="129" t="str">
        <f t="shared" si="158"/>
        <v/>
      </c>
      <c r="Z277" s="129" t="str">
        <f t="shared" si="159"/>
        <v/>
      </c>
      <c r="AA277" s="130"/>
      <c r="AB277" s="130" t="str">
        <f t="shared" si="160"/>
        <v>Unassigned</v>
      </c>
      <c r="AC277" s="131" t="str">
        <f t="shared" si="173"/>
        <v/>
      </c>
      <c r="AD277" s="131" t="str">
        <f t="shared" si="174"/>
        <v/>
      </c>
      <c r="AE277" s="132">
        <f t="shared" si="161"/>
        <v>0</v>
      </c>
      <c r="AF277" s="133" t="str">
        <f t="shared" si="175"/>
        <v/>
      </c>
      <c r="AG277" s="134">
        <f t="shared" si="162"/>
        <v>0</v>
      </c>
      <c r="AH277" s="54" t="str">
        <f t="shared" si="163"/>
        <v/>
      </c>
      <c r="AI277" s="54" t="str">
        <f t="shared" si="179"/>
        <v/>
      </c>
      <c r="AJ277" s="54" t="str">
        <f t="shared" si="179"/>
        <v/>
      </c>
      <c r="AK277" s="54" t="str">
        <f t="shared" si="179"/>
        <v/>
      </c>
      <c r="AL277" s="54" t="str">
        <f t="shared" si="179"/>
        <v/>
      </c>
      <c r="AM277" s="54" t="str">
        <f t="shared" si="179"/>
        <v/>
      </c>
      <c r="AN277" s="54" t="str">
        <f t="shared" si="179"/>
        <v/>
      </c>
      <c r="AO277" s="54" t="str">
        <f t="shared" si="179"/>
        <v/>
      </c>
      <c r="AP277" s="54" t="str">
        <f t="shared" si="179"/>
        <v/>
      </c>
      <c r="AQ277" s="54" t="str">
        <f t="shared" si="179"/>
        <v/>
      </c>
      <c r="AR277" s="54" t="str">
        <f t="shared" si="179"/>
        <v/>
      </c>
      <c r="AS277" s="54" t="str">
        <f t="shared" si="179"/>
        <v/>
      </c>
      <c r="AT277" s="54" t="str">
        <f t="shared" si="179"/>
        <v/>
      </c>
      <c r="AU277" s="54" t="str">
        <f t="shared" si="179"/>
        <v/>
      </c>
      <c r="AV277" s="54" t="str">
        <f t="shared" si="179"/>
        <v/>
      </c>
      <c r="AW277" s="54" t="str">
        <f t="shared" si="179"/>
        <v/>
      </c>
      <c r="AX277" s="54" t="str">
        <f t="shared" si="179"/>
        <v/>
      </c>
      <c r="AY277" s="54" t="str">
        <f t="shared" si="177"/>
        <v/>
      </c>
      <c r="AZ277" s="54" t="str">
        <f t="shared" si="165"/>
        <v/>
      </c>
      <c r="BA277" s="54" t="str">
        <f t="shared" si="166"/>
        <v/>
      </c>
      <c r="BB277" s="135" t="str">
        <f t="shared" si="167"/>
        <v/>
      </c>
      <c r="BC277" s="54" t="str">
        <f t="shared" si="176"/>
        <v/>
      </c>
      <c r="BD277" s="54" t="str">
        <f t="shared" si="176"/>
        <v/>
      </c>
      <c r="BE277" s="54" t="str">
        <f t="shared" si="176"/>
        <v/>
      </c>
      <c r="BF277" s="54" t="str">
        <f t="shared" si="168"/>
        <v/>
      </c>
      <c r="BG277" s="54" t="str">
        <f t="shared" si="169"/>
        <v/>
      </c>
      <c r="BH277" s="34" t="str">
        <f t="shared" si="170"/>
        <v>Bad</v>
      </c>
      <c r="BI277" s="34" t="str">
        <f t="shared" si="171"/>
        <v>No</v>
      </c>
      <c r="BJ277" s="136" t="str">
        <f>IF($D277&lt;&gt;"Feature",".",
IF(VLOOKUP($B277,Feature_List!$A:$AM,MATCH(BJ$1,  Feature_List!$A$1:$AM$1,0),0)=B277,".","NO"))</f>
        <v>.</v>
      </c>
      <c r="BK277" s="136"/>
      <c r="BL277" s="136"/>
      <c r="BM277" s="136" t="str">
        <f>IF($D277&lt;&gt;"Feature",".",
IF(VLOOKUP($B277,Feature_List!$A:$AM,MATCH(BM$1,  Feature_List!$A$1:$AM$1,0),0)=E277,".","NO"))</f>
        <v>.</v>
      </c>
      <c r="BN277" s="136" t="str">
        <f>IF($D277&lt;&gt;"Feature",".",
IF(VLOOKUP($B277,Feature_List!$A:$AM,MATCH(BN$1,  Feature_List!$A$1:$AM$1,0),0)=F277,".","NO"))</f>
        <v>.</v>
      </c>
      <c r="BO277" s="136" t="str">
        <f>IF($D277&lt;&gt;"Feature",".",
IF(VLOOKUP($B277,Feature_List!$A:$AM,MATCH(BO$1,  Feature_List!$A$1:$AM$1,0),0)=G277,".","NO"))</f>
        <v>.</v>
      </c>
      <c r="BP277" s="136" t="str">
        <f>IF($D277&lt;&gt;"Feature",".",
IF(VLOOKUP($B277,Feature_List!$A:$AM,MATCH(BP$1,  Feature_List!$A$1:$AM$1,0),0)=H277,".","NO"))</f>
        <v>.</v>
      </c>
      <c r="BQ277" s="136"/>
      <c r="BR277" s="136" t="str">
        <f>IF($D277&lt;&gt;"Feature",".",
IF(VLOOKUP($B277,Feature_List!$A:$AM,MATCH(BR$1,  Feature_List!$A$1:$AM$1,0),0)=J277,".","NO"))</f>
        <v>.</v>
      </c>
      <c r="BS277" s="136"/>
      <c r="BT277" s="136"/>
      <c r="BU277" s="136" t="str">
        <f>IF($D277&lt;&gt;"Feature",".",
IF(VLOOKUP($B277,Feature_List!$A:$AM,MATCH(BU$1,  Feature_List!$A$1:$AM$1,0),0)=M277,".","NO"))</f>
        <v>.</v>
      </c>
      <c r="BV277" s="136" t="str">
        <f>IF($D277&lt;&gt;"Feature",".",
IF(VLOOKUP($B277,Feature_List!$A:$AM,MATCH(BV$1,  Feature_List!$A$1:$AM$1,0),0)=N277,".","NO"))</f>
        <v>.</v>
      </c>
      <c r="BW277" s="136"/>
      <c r="BX277" s="136"/>
      <c r="BY277" s="136"/>
      <c r="BZ277" s="136"/>
      <c r="CA277" s="136"/>
      <c r="CB277" s="136" t="str">
        <f>IF($D277&lt;&gt;"Feature",".",
IF(VLOOKUP($B277,Feature_List!$A:$AM,MATCH(CB$1,  Feature_List!$A$1:$AM$1,0),0)=T277,".","NO"))</f>
        <v>.</v>
      </c>
      <c r="CC277" s="136"/>
      <c r="CD277" s="136"/>
      <c r="CE277" s="136"/>
      <c r="CF277" s="136"/>
      <c r="CG277" s="136"/>
      <c r="CH277" s="136"/>
      <c r="CI277" s="136"/>
      <c r="CJ277" s="136"/>
      <c r="CK277" s="136"/>
      <c r="CL277" s="136"/>
      <c r="CM277" s="136"/>
      <c r="CN277" s="136"/>
      <c r="CO277" s="136" t="str">
        <f>IF($D277&lt;&gt;"Feature",".",
IF(VLOOKUP($B277,Feature_List!$A:$AM,MATCH(CO$1,  Feature_List!$A$1:$AM$1,0),0)=AG277,".","NO"))</f>
        <v>.</v>
      </c>
      <c r="CP277" s="136" t="str">
        <f>IF($D277&lt;&gt;"Feature",".",
IF(VLOOKUP($B277,Feature_List!$A:$AM,MATCH(CP$1,  Feature_List!$A$1:$AM$1,0),0)=AH277,".","NO"))</f>
        <v>.</v>
      </c>
      <c r="CQ277" s="136" t="str">
        <f>IF($D277&lt;&gt;"Feature",".",
IF(VLOOKUP($B277,Feature_List!$A:$AM,MATCH(CQ$1,  Feature_List!$A$1:$AM$1,0),0)=AI277,".","NO"))</f>
        <v>.</v>
      </c>
      <c r="CR277" s="136" t="str">
        <f>IF($D277&lt;&gt;"Feature",".",
IF(VLOOKUP($B277,Feature_List!$A:$AM,MATCH(CR$1,  Feature_List!$A$1:$AM$1,0),0)=AJ277,".","NO"))</f>
        <v>.</v>
      </c>
      <c r="CS277" s="136" t="str">
        <f>IF($D277&lt;&gt;"Feature",".",
IF(VLOOKUP($B277,Feature_List!$A:$AM,MATCH(CS$1,  Feature_List!$A$1:$AM$1,0),0)=AK277,".","NO"))</f>
        <v>.</v>
      </c>
      <c r="CT277" s="136" t="str">
        <f>IF($D277&lt;&gt;"Feature",".",
IF(VLOOKUP($B277,Feature_List!$A:$AM,MATCH(CT$1,  Feature_List!$A$1:$AM$1,0),0)=AL277,".","NO"))</f>
        <v>.</v>
      </c>
      <c r="CU277" s="136" t="str">
        <f>IF($D277&lt;&gt;"Feature",".",
IF(VLOOKUP($B277,Feature_List!$A:$AM,MATCH(CU$1,  Feature_List!$A$1:$AM$1,0),0)=AM277,".","NO"))</f>
        <v>.</v>
      </c>
      <c r="CV277" s="136" t="str">
        <f>IF($D277&lt;&gt;"Feature",".",
IF(VLOOKUP($B277,Feature_List!$A:$AM,MATCH(CV$1,  Feature_List!$A$1:$AM$1,0),0)=AN277,".","NO"))</f>
        <v>.</v>
      </c>
      <c r="CW277" s="136" t="str">
        <f>IF($D277&lt;&gt;"Feature",".",
IF(VLOOKUP($B277,Feature_List!$A:$AM,MATCH(CW$1,  Feature_List!$A$1:$AM$1,0),0)=AO277,".","NO"))</f>
        <v>.</v>
      </c>
      <c r="CX277" s="136" t="str">
        <f>IF($D277&lt;&gt;"Feature",".",
IF(VLOOKUP($B277,Feature_List!$A:$AM,MATCH(CX$1,  Feature_List!$A$1:$AM$1,0),0)=AP277,".","NO"))</f>
        <v>.</v>
      </c>
      <c r="CY277" s="136" t="str">
        <f>IF($D277&lt;&gt;"Feature",".",
IF(VLOOKUP($B277,Feature_List!$A:$AM,MATCH(CY$1,  Feature_List!$A$1:$AM$1,0),0)=AQ277,".","NO"))</f>
        <v>.</v>
      </c>
      <c r="CZ277" s="136" t="str">
        <f>IF($D277&lt;&gt;"Feature",".",
IF(VLOOKUP($B277,Feature_List!$A:$AM,MATCH(CZ$1,  Feature_List!$A$1:$AM$1,0),0)=AR277,".","NO"))</f>
        <v>.</v>
      </c>
      <c r="DA277" s="136" t="str">
        <f>IF($D277&lt;&gt;"Feature",".",
IF(VLOOKUP($B277,Feature_List!$A:$AM,MATCH(DA$1,  Feature_List!$A$1:$AM$1,0),0)=AS277,".","NO"))</f>
        <v>.</v>
      </c>
      <c r="DB277" s="136" t="str">
        <f>IF($D277&lt;&gt;"Feature",".",
IF(VLOOKUP($B277,Feature_List!$A:$AM,MATCH(DB$1,  Feature_List!$A$1:$AM$1,0),0)=AT277,".","NO"))</f>
        <v>.</v>
      </c>
      <c r="DC277" s="136" t="str">
        <f>IF($D277&lt;&gt;"Feature",".",
IF(VLOOKUP($B277,Feature_List!$A:$AM,MATCH(DC$1,  Feature_List!$A$1:$AM$1,0),0)=AU277,".","NO"))</f>
        <v>.</v>
      </c>
      <c r="DD277" s="136" t="str">
        <f>IF($D277&lt;&gt;"Feature",".",
IF(VLOOKUP($B277,Feature_List!$A:$AM,MATCH(DD$1,  Feature_List!$A$1:$AM$1,0),0)=AV277,".","NO"))</f>
        <v>.</v>
      </c>
      <c r="DE277" s="136" t="str">
        <f>IF($D277&lt;&gt;"Feature",".",
IF(VLOOKUP($B277,Feature_List!$A:$AM,MATCH(DE$1,  Feature_List!$A$1:$AM$1,0),0)=AW277,".","NO"))</f>
        <v>.</v>
      </c>
      <c r="DF277" s="136" t="str">
        <f>IF($D277&lt;&gt;"Feature",".",
IF(VLOOKUP($B277,Feature_List!$A:$AM,MATCH(DF$1,  Feature_List!$A$1:$AM$1,0),0)=AX277,".","NO"))</f>
        <v>.</v>
      </c>
      <c r="DG277" s="136" t="str">
        <f>IF($D277&lt;&gt;"Feature",".",
IF(VLOOKUP($B277,Feature_List!$A:$AM,MATCH(DG$1,  Feature_List!$A$1:$AM$1,0),0)=AY277,".","NO"))</f>
        <v>.</v>
      </c>
      <c r="DH277" s="136" t="str">
        <f>IF($D277&lt;&gt;"Feature",".",
IF(VLOOKUP($B277,Feature_List!$A:$AM,MATCH(DH$1,  Feature_List!$A$1:$AM$1,0),0)=AZ277,".","NO"))</f>
        <v>.</v>
      </c>
      <c r="DI277" s="136" t="str">
        <f>IF($D277&lt;&gt;"Feature",".",
IF(VLOOKUP($B277,Feature_List!$A:$AM,MATCH(DI$1,  Feature_List!$A$1:$AM$1,0),0)=BA277,".","NO"))</f>
        <v>.</v>
      </c>
      <c r="DJ277" s="136" t="str">
        <f>IF($D277&lt;&gt;"Feature",".",
IF(VLOOKUP($B277,Feature_List!$A:$AM,MATCH(DJ$1,  Feature_List!$A$1:$AM$1,0),0)=BB277,".","NO"))</f>
        <v>.</v>
      </c>
      <c r="DK277" s="136"/>
      <c r="DL277" s="136"/>
      <c r="DM277" s="136"/>
      <c r="DN277" s="136" t="str">
        <f>IF($D277&lt;&gt;"Feature",".",
IF(VLOOKUP($B277,Feature_List!$A:$AM,MATCH(DN$1,  Feature_List!$A$1:$AM$1,0),0)=BC277,".","NO"))</f>
        <v>.</v>
      </c>
      <c r="DO277" s="136" t="str">
        <f>IF($D277&lt;&gt;"Feature",".",
IF(VLOOKUP($B277,Feature_List!$A:$AM,MATCH(DO$1,  Feature_List!$A$1:$AM$1,0),0)=BD277,".","NO"))</f>
        <v>.</v>
      </c>
    </row>
    <row r="278" spans="2:119" x14ac:dyDescent="0.3">
      <c r="B278" s="121"/>
      <c r="C278" s="122"/>
      <c r="D278" s="122"/>
      <c r="E278" s="122"/>
      <c r="F278" s="123"/>
      <c r="G278" s="123"/>
      <c r="H278" s="122"/>
      <c r="I278" s="124"/>
      <c r="J278" s="123"/>
      <c r="K278" s="123"/>
      <c r="L278" s="122"/>
      <c r="M278" s="122"/>
      <c r="N278" s="122"/>
      <c r="O278" s="123">
        <f t="shared" si="150"/>
        <v>0</v>
      </c>
      <c r="P278" s="123">
        <f t="shared" si="151"/>
        <v>0</v>
      </c>
      <c r="Q278" s="122" t="str">
        <f t="shared" si="172"/>
        <v>ZeroEntry</v>
      </c>
      <c r="R278" s="126" t="str">
        <f t="shared" si="152"/>
        <v>ZeroEntry</v>
      </c>
      <c r="S278" s="127" t="str">
        <f t="shared" si="153"/>
        <v>ZeroEntry</v>
      </c>
      <c r="T278" s="128" t="str">
        <f>IF($Q278="ZeroEntry", "",VLOOKUP($I278,'Ranking Lookup'!#REF!,2,FALSE))</f>
        <v/>
      </c>
      <c r="U278" s="129" t="str">
        <f t="shared" si="154"/>
        <v/>
      </c>
      <c r="V278" s="129" t="str">
        <f t="shared" si="155"/>
        <v/>
      </c>
      <c r="W278" s="129" t="str">
        <f t="shared" si="156"/>
        <v/>
      </c>
      <c r="X278" s="129" t="str">
        <f t="shared" si="157"/>
        <v/>
      </c>
      <c r="Y278" s="129" t="str">
        <f t="shared" si="158"/>
        <v/>
      </c>
      <c r="Z278" s="129" t="str">
        <f t="shared" si="159"/>
        <v/>
      </c>
      <c r="AA278" s="130"/>
      <c r="AB278" s="130" t="str">
        <f t="shared" si="160"/>
        <v>Unassigned</v>
      </c>
      <c r="AC278" s="131" t="str">
        <f t="shared" si="173"/>
        <v/>
      </c>
      <c r="AD278" s="131" t="str">
        <f t="shared" si="174"/>
        <v/>
      </c>
      <c r="AE278" s="132">
        <f t="shared" si="161"/>
        <v>0</v>
      </c>
      <c r="AF278" s="133" t="str">
        <f t="shared" si="175"/>
        <v/>
      </c>
      <c r="AG278" s="134">
        <f t="shared" si="162"/>
        <v>0</v>
      </c>
      <c r="AH278" s="54" t="str">
        <f t="shared" si="163"/>
        <v/>
      </c>
      <c r="AI278" s="54" t="str">
        <f t="shared" si="179"/>
        <v/>
      </c>
      <c r="AJ278" s="54" t="str">
        <f t="shared" si="179"/>
        <v/>
      </c>
      <c r="AK278" s="54" t="str">
        <f t="shared" si="179"/>
        <v/>
      </c>
      <c r="AL278" s="54" t="str">
        <f t="shared" si="179"/>
        <v/>
      </c>
      <c r="AM278" s="54" t="str">
        <f t="shared" si="179"/>
        <v/>
      </c>
      <c r="AN278" s="54" t="str">
        <f t="shared" si="179"/>
        <v/>
      </c>
      <c r="AO278" s="54" t="str">
        <f t="shared" si="179"/>
        <v/>
      </c>
      <c r="AP278" s="54" t="str">
        <f t="shared" si="179"/>
        <v/>
      </c>
      <c r="AQ278" s="54" t="str">
        <f t="shared" si="179"/>
        <v/>
      </c>
      <c r="AR278" s="54" t="str">
        <f t="shared" si="179"/>
        <v/>
      </c>
      <c r="AS278" s="54" t="str">
        <f t="shared" si="179"/>
        <v/>
      </c>
      <c r="AT278" s="54" t="str">
        <f t="shared" si="179"/>
        <v/>
      </c>
      <c r="AU278" s="54" t="str">
        <f t="shared" si="179"/>
        <v/>
      </c>
      <c r="AV278" s="54" t="str">
        <f t="shared" si="179"/>
        <v/>
      </c>
      <c r="AW278" s="54" t="str">
        <f t="shared" si="179"/>
        <v/>
      </c>
      <c r="AX278" s="54" t="str">
        <f t="shared" si="179"/>
        <v/>
      </c>
      <c r="AY278" s="54" t="str">
        <f t="shared" si="177"/>
        <v/>
      </c>
      <c r="AZ278" s="54" t="str">
        <f t="shared" si="165"/>
        <v/>
      </c>
      <c r="BA278" s="54" t="str">
        <f t="shared" si="166"/>
        <v/>
      </c>
      <c r="BB278" s="135" t="str">
        <f t="shared" si="167"/>
        <v/>
      </c>
      <c r="BC278" s="54" t="str">
        <f t="shared" si="176"/>
        <v/>
      </c>
      <c r="BD278" s="54" t="str">
        <f t="shared" si="176"/>
        <v/>
      </c>
      <c r="BE278" s="54" t="str">
        <f t="shared" si="176"/>
        <v/>
      </c>
      <c r="BF278" s="54" t="str">
        <f t="shared" si="168"/>
        <v/>
      </c>
      <c r="BG278" s="54" t="str">
        <f t="shared" si="169"/>
        <v/>
      </c>
      <c r="BH278" s="34" t="str">
        <f t="shared" si="170"/>
        <v>Bad</v>
      </c>
      <c r="BI278" s="34" t="str">
        <f t="shared" si="171"/>
        <v>No</v>
      </c>
      <c r="BJ278" s="136" t="str">
        <f>IF($D278&lt;&gt;"Feature",".",
IF(VLOOKUP($B278,Feature_List!$A:$AM,MATCH(BJ$1,  Feature_List!$A$1:$AM$1,0),0)=B278,".","NO"))</f>
        <v>.</v>
      </c>
      <c r="BK278" s="136"/>
      <c r="BL278" s="136"/>
      <c r="BM278" s="136" t="str">
        <f>IF($D278&lt;&gt;"Feature",".",
IF(VLOOKUP($B278,Feature_List!$A:$AM,MATCH(BM$1,  Feature_List!$A$1:$AM$1,0),0)=E278,".","NO"))</f>
        <v>.</v>
      </c>
      <c r="BN278" s="136" t="str">
        <f>IF($D278&lt;&gt;"Feature",".",
IF(VLOOKUP($B278,Feature_List!$A:$AM,MATCH(BN$1,  Feature_List!$A$1:$AM$1,0),0)=F278,".","NO"))</f>
        <v>.</v>
      </c>
      <c r="BO278" s="136" t="str">
        <f>IF($D278&lt;&gt;"Feature",".",
IF(VLOOKUP($B278,Feature_List!$A:$AM,MATCH(BO$1,  Feature_List!$A$1:$AM$1,0),0)=G278,".","NO"))</f>
        <v>.</v>
      </c>
      <c r="BP278" s="136" t="str">
        <f>IF($D278&lt;&gt;"Feature",".",
IF(VLOOKUP($B278,Feature_List!$A:$AM,MATCH(BP$1,  Feature_List!$A$1:$AM$1,0),0)=H278,".","NO"))</f>
        <v>.</v>
      </c>
      <c r="BQ278" s="136"/>
      <c r="BR278" s="136" t="str">
        <f>IF($D278&lt;&gt;"Feature",".",
IF(VLOOKUP($B278,Feature_List!$A:$AM,MATCH(BR$1,  Feature_List!$A$1:$AM$1,0),0)=J278,".","NO"))</f>
        <v>.</v>
      </c>
      <c r="BS278" s="136"/>
      <c r="BT278" s="136"/>
      <c r="BU278" s="136" t="str">
        <f>IF($D278&lt;&gt;"Feature",".",
IF(VLOOKUP($B278,Feature_List!$A:$AM,MATCH(BU$1,  Feature_List!$A$1:$AM$1,0),0)=M278,".","NO"))</f>
        <v>.</v>
      </c>
      <c r="BV278" s="136" t="str">
        <f>IF($D278&lt;&gt;"Feature",".",
IF(VLOOKUP($B278,Feature_List!$A:$AM,MATCH(BV$1,  Feature_List!$A$1:$AM$1,0),0)=N278,".","NO"))</f>
        <v>.</v>
      </c>
      <c r="BW278" s="136"/>
      <c r="BX278" s="136"/>
      <c r="BY278" s="136"/>
      <c r="BZ278" s="136"/>
      <c r="CA278" s="136"/>
      <c r="CB278" s="136" t="str">
        <f>IF($D278&lt;&gt;"Feature",".",
IF(VLOOKUP($B278,Feature_List!$A:$AM,MATCH(CB$1,  Feature_List!$A$1:$AM$1,0),0)=T278,".","NO"))</f>
        <v>.</v>
      </c>
      <c r="CC278" s="136"/>
      <c r="CD278" s="136"/>
      <c r="CE278" s="136"/>
      <c r="CF278" s="136"/>
      <c r="CG278" s="136"/>
      <c r="CH278" s="136"/>
      <c r="CI278" s="136"/>
      <c r="CJ278" s="136"/>
      <c r="CK278" s="136"/>
      <c r="CL278" s="136"/>
      <c r="CM278" s="136"/>
      <c r="CN278" s="136"/>
      <c r="CO278" s="136" t="str">
        <f>IF($D278&lt;&gt;"Feature",".",
IF(VLOOKUP($B278,Feature_List!$A:$AM,MATCH(CO$1,  Feature_List!$A$1:$AM$1,0),0)=AG278,".","NO"))</f>
        <v>.</v>
      </c>
      <c r="CP278" s="136" t="str">
        <f>IF($D278&lt;&gt;"Feature",".",
IF(VLOOKUP($B278,Feature_List!$A:$AM,MATCH(CP$1,  Feature_List!$A$1:$AM$1,0),0)=AH278,".","NO"))</f>
        <v>.</v>
      </c>
      <c r="CQ278" s="136" t="str">
        <f>IF($D278&lt;&gt;"Feature",".",
IF(VLOOKUP($B278,Feature_List!$A:$AM,MATCH(CQ$1,  Feature_List!$A$1:$AM$1,0),0)=AI278,".","NO"))</f>
        <v>.</v>
      </c>
      <c r="CR278" s="136" t="str">
        <f>IF($D278&lt;&gt;"Feature",".",
IF(VLOOKUP($B278,Feature_List!$A:$AM,MATCH(CR$1,  Feature_List!$A$1:$AM$1,0),0)=AJ278,".","NO"))</f>
        <v>.</v>
      </c>
      <c r="CS278" s="136" t="str">
        <f>IF($D278&lt;&gt;"Feature",".",
IF(VLOOKUP($B278,Feature_List!$A:$AM,MATCH(CS$1,  Feature_List!$A$1:$AM$1,0),0)=AK278,".","NO"))</f>
        <v>.</v>
      </c>
      <c r="CT278" s="136" t="str">
        <f>IF($D278&lt;&gt;"Feature",".",
IF(VLOOKUP($B278,Feature_List!$A:$AM,MATCH(CT$1,  Feature_List!$A$1:$AM$1,0),0)=AL278,".","NO"))</f>
        <v>.</v>
      </c>
      <c r="CU278" s="136" t="str">
        <f>IF($D278&lt;&gt;"Feature",".",
IF(VLOOKUP($B278,Feature_List!$A:$AM,MATCH(CU$1,  Feature_List!$A$1:$AM$1,0),0)=AM278,".","NO"))</f>
        <v>.</v>
      </c>
      <c r="CV278" s="136" t="str">
        <f>IF($D278&lt;&gt;"Feature",".",
IF(VLOOKUP($B278,Feature_List!$A:$AM,MATCH(CV$1,  Feature_List!$A$1:$AM$1,0),0)=AN278,".","NO"))</f>
        <v>.</v>
      </c>
      <c r="CW278" s="136" t="str">
        <f>IF($D278&lt;&gt;"Feature",".",
IF(VLOOKUP($B278,Feature_List!$A:$AM,MATCH(CW$1,  Feature_List!$A$1:$AM$1,0),0)=AO278,".","NO"))</f>
        <v>.</v>
      </c>
      <c r="CX278" s="136" t="str">
        <f>IF($D278&lt;&gt;"Feature",".",
IF(VLOOKUP($B278,Feature_List!$A:$AM,MATCH(CX$1,  Feature_List!$A$1:$AM$1,0),0)=AP278,".","NO"))</f>
        <v>.</v>
      </c>
      <c r="CY278" s="136" t="str">
        <f>IF($D278&lt;&gt;"Feature",".",
IF(VLOOKUP($B278,Feature_List!$A:$AM,MATCH(CY$1,  Feature_List!$A$1:$AM$1,0),0)=AQ278,".","NO"))</f>
        <v>.</v>
      </c>
      <c r="CZ278" s="136" t="str">
        <f>IF($D278&lt;&gt;"Feature",".",
IF(VLOOKUP($B278,Feature_List!$A:$AM,MATCH(CZ$1,  Feature_List!$A$1:$AM$1,0),0)=AR278,".","NO"))</f>
        <v>.</v>
      </c>
      <c r="DA278" s="136" t="str">
        <f>IF($D278&lt;&gt;"Feature",".",
IF(VLOOKUP($B278,Feature_List!$A:$AM,MATCH(DA$1,  Feature_List!$A$1:$AM$1,0),0)=AS278,".","NO"))</f>
        <v>.</v>
      </c>
      <c r="DB278" s="136" t="str">
        <f>IF($D278&lt;&gt;"Feature",".",
IF(VLOOKUP($B278,Feature_List!$A:$AM,MATCH(DB$1,  Feature_List!$A$1:$AM$1,0),0)=AT278,".","NO"))</f>
        <v>.</v>
      </c>
      <c r="DC278" s="136" t="str">
        <f>IF($D278&lt;&gt;"Feature",".",
IF(VLOOKUP($B278,Feature_List!$A:$AM,MATCH(DC$1,  Feature_List!$A$1:$AM$1,0),0)=AU278,".","NO"))</f>
        <v>.</v>
      </c>
      <c r="DD278" s="136" t="str">
        <f>IF($D278&lt;&gt;"Feature",".",
IF(VLOOKUP($B278,Feature_List!$A:$AM,MATCH(DD$1,  Feature_List!$A$1:$AM$1,0),0)=AV278,".","NO"))</f>
        <v>.</v>
      </c>
      <c r="DE278" s="136" t="str">
        <f>IF($D278&lt;&gt;"Feature",".",
IF(VLOOKUP($B278,Feature_List!$A:$AM,MATCH(DE$1,  Feature_List!$A$1:$AM$1,0),0)=AW278,".","NO"))</f>
        <v>.</v>
      </c>
      <c r="DF278" s="136" t="str">
        <f>IF($D278&lt;&gt;"Feature",".",
IF(VLOOKUP($B278,Feature_List!$A:$AM,MATCH(DF$1,  Feature_List!$A$1:$AM$1,0),0)=AX278,".","NO"))</f>
        <v>.</v>
      </c>
      <c r="DG278" s="136" t="str">
        <f>IF($D278&lt;&gt;"Feature",".",
IF(VLOOKUP($B278,Feature_List!$A:$AM,MATCH(DG$1,  Feature_List!$A$1:$AM$1,0),0)=AY278,".","NO"))</f>
        <v>.</v>
      </c>
      <c r="DH278" s="136" t="str">
        <f>IF($D278&lt;&gt;"Feature",".",
IF(VLOOKUP($B278,Feature_List!$A:$AM,MATCH(DH$1,  Feature_List!$A$1:$AM$1,0),0)=AZ278,".","NO"))</f>
        <v>.</v>
      </c>
      <c r="DI278" s="136" t="str">
        <f>IF($D278&lt;&gt;"Feature",".",
IF(VLOOKUP($B278,Feature_List!$A:$AM,MATCH(DI$1,  Feature_List!$A$1:$AM$1,0),0)=BA278,".","NO"))</f>
        <v>.</v>
      </c>
      <c r="DJ278" s="136" t="str">
        <f>IF($D278&lt;&gt;"Feature",".",
IF(VLOOKUP($B278,Feature_List!$A:$AM,MATCH(DJ$1,  Feature_List!$A$1:$AM$1,0),0)=BB278,".","NO"))</f>
        <v>.</v>
      </c>
      <c r="DK278" s="136"/>
      <c r="DL278" s="136"/>
      <c r="DM278" s="136"/>
      <c r="DN278" s="136" t="str">
        <f>IF($D278&lt;&gt;"Feature",".",
IF(VLOOKUP($B278,Feature_List!$A:$AM,MATCH(DN$1,  Feature_List!$A$1:$AM$1,0),0)=BC278,".","NO"))</f>
        <v>.</v>
      </c>
      <c r="DO278" s="136" t="str">
        <f>IF($D278&lt;&gt;"Feature",".",
IF(VLOOKUP($B278,Feature_List!$A:$AM,MATCH(DO$1,  Feature_List!$A$1:$AM$1,0),0)=BD278,".","NO"))</f>
        <v>.</v>
      </c>
    </row>
    <row r="279" spans="2:119" x14ac:dyDescent="0.3">
      <c r="B279" s="121"/>
      <c r="C279" s="122"/>
      <c r="D279" s="122"/>
      <c r="E279" s="122"/>
      <c r="F279" s="123"/>
      <c r="G279" s="123"/>
      <c r="H279" s="122"/>
      <c r="I279" s="124"/>
      <c r="J279" s="123"/>
      <c r="K279" s="123"/>
      <c r="L279" s="122"/>
      <c r="M279" s="122"/>
      <c r="N279" s="122"/>
      <c r="O279" s="123">
        <f t="shared" si="150"/>
        <v>0</v>
      </c>
      <c r="P279" s="123">
        <f t="shared" si="151"/>
        <v>0</v>
      </c>
      <c r="Q279" s="122" t="str">
        <f t="shared" si="172"/>
        <v>ZeroEntry</v>
      </c>
      <c r="R279" s="126" t="str">
        <f t="shared" si="152"/>
        <v>ZeroEntry</v>
      </c>
      <c r="S279" s="127" t="str">
        <f t="shared" si="153"/>
        <v>ZeroEntry</v>
      </c>
      <c r="T279" s="128" t="str">
        <f>IF($Q279="ZeroEntry", "",VLOOKUP($I279,'Ranking Lookup'!#REF!,2,FALSE))</f>
        <v/>
      </c>
      <c r="U279" s="129" t="str">
        <f t="shared" si="154"/>
        <v/>
      </c>
      <c r="V279" s="129" t="str">
        <f t="shared" si="155"/>
        <v/>
      </c>
      <c r="W279" s="129" t="str">
        <f t="shared" si="156"/>
        <v/>
      </c>
      <c r="X279" s="129" t="str">
        <f t="shared" si="157"/>
        <v/>
      </c>
      <c r="Y279" s="129" t="str">
        <f t="shared" si="158"/>
        <v/>
      </c>
      <c r="Z279" s="129" t="str">
        <f t="shared" si="159"/>
        <v/>
      </c>
      <c r="AA279" s="130"/>
      <c r="AB279" s="130" t="str">
        <f t="shared" si="160"/>
        <v>Unassigned</v>
      </c>
      <c r="AC279" s="131" t="str">
        <f t="shared" si="173"/>
        <v/>
      </c>
      <c r="AD279" s="131" t="str">
        <f t="shared" si="174"/>
        <v/>
      </c>
      <c r="AE279" s="132">
        <f t="shared" si="161"/>
        <v>0</v>
      </c>
      <c r="AF279" s="133" t="str">
        <f t="shared" si="175"/>
        <v/>
      </c>
      <c r="AG279" s="134">
        <f t="shared" si="162"/>
        <v>0</v>
      </c>
      <c r="AH279" s="54" t="str">
        <f t="shared" si="163"/>
        <v/>
      </c>
      <c r="AI279" s="54" t="str">
        <f t="shared" si="179"/>
        <v/>
      </c>
      <c r="AJ279" s="54" t="str">
        <f t="shared" si="179"/>
        <v/>
      </c>
      <c r="AK279" s="54" t="str">
        <f t="shared" si="179"/>
        <v/>
      </c>
      <c r="AL279" s="54" t="str">
        <f t="shared" si="179"/>
        <v/>
      </c>
      <c r="AM279" s="54" t="str">
        <f t="shared" si="179"/>
        <v/>
      </c>
      <c r="AN279" s="54" t="str">
        <f t="shared" si="179"/>
        <v/>
      </c>
      <c r="AO279" s="54" t="str">
        <f t="shared" si="179"/>
        <v/>
      </c>
      <c r="AP279" s="54" t="str">
        <f t="shared" si="179"/>
        <v/>
      </c>
      <c r="AQ279" s="54" t="str">
        <f t="shared" si="179"/>
        <v/>
      </c>
      <c r="AR279" s="54" t="str">
        <f t="shared" si="179"/>
        <v/>
      </c>
      <c r="AS279" s="54" t="str">
        <f t="shared" si="179"/>
        <v/>
      </c>
      <c r="AT279" s="54" t="str">
        <f t="shared" si="179"/>
        <v/>
      </c>
      <c r="AU279" s="54" t="str">
        <f t="shared" si="179"/>
        <v/>
      </c>
      <c r="AV279" s="54" t="str">
        <f t="shared" si="179"/>
        <v/>
      </c>
      <c r="AW279" s="54" t="str">
        <f t="shared" si="179"/>
        <v/>
      </c>
      <c r="AX279" s="54" t="str">
        <f t="shared" si="179"/>
        <v/>
      </c>
      <c r="AY279" s="54" t="str">
        <f t="shared" si="177"/>
        <v/>
      </c>
      <c r="AZ279" s="54" t="str">
        <f t="shared" si="165"/>
        <v/>
      </c>
      <c r="BA279" s="54" t="str">
        <f t="shared" si="166"/>
        <v/>
      </c>
      <c r="BB279" s="135" t="str">
        <f t="shared" si="167"/>
        <v/>
      </c>
      <c r="BC279" s="54" t="str">
        <f t="shared" si="176"/>
        <v/>
      </c>
      <c r="BD279" s="54" t="str">
        <f t="shared" si="176"/>
        <v/>
      </c>
      <c r="BE279" s="54" t="str">
        <f t="shared" si="176"/>
        <v/>
      </c>
      <c r="BF279" s="54" t="str">
        <f t="shared" si="168"/>
        <v/>
      </c>
      <c r="BG279" s="54" t="str">
        <f t="shared" si="169"/>
        <v/>
      </c>
      <c r="BH279" s="34" t="str">
        <f t="shared" si="170"/>
        <v>Bad</v>
      </c>
      <c r="BI279" s="34" t="str">
        <f t="shared" si="171"/>
        <v>No</v>
      </c>
      <c r="BJ279" s="136" t="str">
        <f>IF($D279&lt;&gt;"Feature",".",
IF(VLOOKUP($B279,Feature_List!$A:$AM,MATCH(BJ$1,  Feature_List!$A$1:$AM$1,0),0)=B279,".","NO"))</f>
        <v>.</v>
      </c>
      <c r="BK279" s="136"/>
      <c r="BL279" s="136"/>
      <c r="BM279" s="136" t="str">
        <f>IF($D279&lt;&gt;"Feature",".",
IF(VLOOKUP($B279,Feature_List!$A:$AM,MATCH(BM$1,  Feature_List!$A$1:$AM$1,0),0)=E279,".","NO"))</f>
        <v>.</v>
      </c>
      <c r="BN279" s="136" t="str">
        <f>IF($D279&lt;&gt;"Feature",".",
IF(VLOOKUP($B279,Feature_List!$A:$AM,MATCH(BN$1,  Feature_List!$A$1:$AM$1,0),0)=F279,".","NO"))</f>
        <v>.</v>
      </c>
      <c r="BO279" s="136" t="str">
        <f>IF($D279&lt;&gt;"Feature",".",
IF(VLOOKUP($B279,Feature_List!$A:$AM,MATCH(BO$1,  Feature_List!$A$1:$AM$1,0),0)=G279,".","NO"))</f>
        <v>.</v>
      </c>
      <c r="BP279" s="136" t="str">
        <f>IF($D279&lt;&gt;"Feature",".",
IF(VLOOKUP($B279,Feature_List!$A:$AM,MATCH(BP$1,  Feature_List!$A$1:$AM$1,0),0)=H279,".","NO"))</f>
        <v>.</v>
      </c>
      <c r="BQ279" s="136"/>
      <c r="BR279" s="136" t="str">
        <f>IF($D279&lt;&gt;"Feature",".",
IF(VLOOKUP($B279,Feature_List!$A:$AM,MATCH(BR$1,  Feature_List!$A$1:$AM$1,0),0)=J279,".","NO"))</f>
        <v>.</v>
      </c>
      <c r="BS279" s="136"/>
      <c r="BT279" s="136"/>
      <c r="BU279" s="136" t="str">
        <f>IF($D279&lt;&gt;"Feature",".",
IF(VLOOKUP($B279,Feature_List!$A:$AM,MATCH(BU$1,  Feature_List!$A$1:$AM$1,0),0)=M279,".","NO"))</f>
        <v>.</v>
      </c>
      <c r="BV279" s="136" t="str">
        <f>IF($D279&lt;&gt;"Feature",".",
IF(VLOOKUP($B279,Feature_List!$A:$AM,MATCH(BV$1,  Feature_List!$A$1:$AM$1,0),0)=N279,".","NO"))</f>
        <v>.</v>
      </c>
      <c r="BW279" s="136"/>
      <c r="BX279" s="136"/>
      <c r="BY279" s="136"/>
      <c r="BZ279" s="136"/>
      <c r="CA279" s="136"/>
      <c r="CB279" s="136" t="str">
        <f>IF($D279&lt;&gt;"Feature",".",
IF(VLOOKUP($B279,Feature_List!$A:$AM,MATCH(CB$1,  Feature_List!$A$1:$AM$1,0),0)=T279,".","NO"))</f>
        <v>.</v>
      </c>
      <c r="CC279" s="136"/>
      <c r="CD279" s="136"/>
      <c r="CE279" s="136"/>
      <c r="CF279" s="136"/>
      <c r="CG279" s="136"/>
      <c r="CH279" s="136"/>
      <c r="CI279" s="136"/>
      <c r="CJ279" s="136"/>
      <c r="CK279" s="136"/>
      <c r="CL279" s="136"/>
      <c r="CM279" s="136"/>
      <c r="CN279" s="136"/>
      <c r="CO279" s="136" t="str">
        <f>IF($D279&lt;&gt;"Feature",".",
IF(VLOOKUP($B279,Feature_List!$A:$AM,MATCH(CO$1,  Feature_List!$A$1:$AM$1,0),0)=AG279,".","NO"))</f>
        <v>.</v>
      </c>
      <c r="CP279" s="136" t="str">
        <f>IF($D279&lt;&gt;"Feature",".",
IF(VLOOKUP($B279,Feature_List!$A:$AM,MATCH(CP$1,  Feature_List!$A$1:$AM$1,0),0)=AH279,".","NO"))</f>
        <v>.</v>
      </c>
      <c r="CQ279" s="136" t="str">
        <f>IF($D279&lt;&gt;"Feature",".",
IF(VLOOKUP($B279,Feature_List!$A:$AM,MATCH(CQ$1,  Feature_List!$A$1:$AM$1,0),0)=AI279,".","NO"))</f>
        <v>.</v>
      </c>
      <c r="CR279" s="136" t="str">
        <f>IF($D279&lt;&gt;"Feature",".",
IF(VLOOKUP($B279,Feature_List!$A:$AM,MATCH(CR$1,  Feature_List!$A$1:$AM$1,0),0)=AJ279,".","NO"))</f>
        <v>.</v>
      </c>
      <c r="CS279" s="136" t="str">
        <f>IF($D279&lt;&gt;"Feature",".",
IF(VLOOKUP($B279,Feature_List!$A:$AM,MATCH(CS$1,  Feature_List!$A$1:$AM$1,0),0)=AK279,".","NO"))</f>
        <v>.</v>
      </c>
      <c r="CT279" s="136" t="str">
        <f>IF($D279&lt;&gt;"Feature",".",
IF(VLOOKUP($B279,Feature_List!$A:$AM,MATCH(CT$1,  Feature_List!$A$1:$AM$1,0),0)=AL279,".","NO"))</f>
        <v>.</v>
      </c>
      <c r="CU279" s="136" t="str">
        <f>IF($D279&lt;&gt;"Feature",".",
IF(VLOOKUP($B279,Feature_List!$A:$AM,MATCH(CU$1,  Feature_List!$A$1:$AM$1,0),0)=AM279,".","NO"))</f>
        <v>.</v>
      </c>
      <c r="CV279" s="136" t="str">
        <f>IF($D279&lt;&gt;"Feature",".",
IF(VLOOKUP($B279,Feature_List!$A:$AM,MATCH(CV$1,  Feature_List!$A$1:$AM$1,0),0)=AN279,".","NO"))</f>
        <v>.</v>
      </c>
      <c r="CW279" s="136" t="str">
        <f>IF($D279&lt;&gt;"Feature",".",
IF(VLOOKUP($B279,Feature_List!$A:$AM,MATCH(CW$1,  Feature_List!$A$1:$AM$1,0),0)=AO279,".","NO"))</f>
        <v>.</v>
      </c>
      <c r="CX279" s="136" t="str">
        <f>IF($D279&lt;&gt;"Feature",".",
IF(VLOOKUP($B279,Feature_List!$A:$AM,MATCH(CX$1,  Feature_List!$A$1:$AM$1,0),0)=AP279,".","NO"))</f>
        <v>.</v>
      </c>
      <c r="CY279" s="136" t="str">
        <f>IF($D279&lt;&gt;"Feature",".",
IF(VLOOKUP($B279,Feature_List!$A:$AM,MATCH(CY$1,  Feature_List!$A$1:$AM$1,0),0)=AQ279,".","NO"))</f>
        <v>.</v>
      </c>
      <c r="CZ279" s="136" t="str">
        <f>IF($D279&lt;&gt;"Feature",".",
IF(VLOOKUP($B279,Feature_List!$A:$AM,MATCH(CZ$1,  Feature_List!$A$1:$AM$1,0),0)=AR279,".","NO"))</f>
        <v>.</v>
      </c>
      <c r="DA279" s="136" t="str">
        <f>IF($D279&lt;&gt;"Feature",".",
IF(VLOOKUP($B279,Feature_List!$A:$AM,MATCH(DA$1,  Feature_List!$A$1:$AM$1,0),0)=AS279,".","NO"))</f>
        <v>.</v>
      </c>
      <c r="DB279" s="136" t="str">
        <f>IF($D279&lt;&gt;"Feature",".",
IF(VLOOKUP($B279,Feature_List!$A:$AM,MATCH(DB$1,  Feature_List!$A$1:$AM$1,0),0)=AT279,".","NO"))</f>
        <v>.</v>
      </c>
      <c r="DC279" s="136" t="str">
        <f>IF($D279&lt;&gt;"Feature",".",
IF(VLOOKUP($B279,Feature_List!$A:$AM,MATCH(DC$1,  Feature_List!$A$1:$AM$1,0),0)=AU279,".","NO"))</f>
        <v>.</v>
      </c>
      <c r="DD279" s="136" t="str">
        <f>IF($D279&lt;&gt;"Feature",".",
IF(VLOOKUP($B279,Feature_List!$A:$AM,MATCH(DD$1,  Feature_List!$A$1:$AM$1,0),0)=AV279,".","NO"))</f>
        <v>.</v>
      </c>
      <c r="DE279" s="136" t="str">
        <f>IF($D279&lt;&gt;"Feature",".",
IF(VLOOKUP($B279,Feature_List!$A:$AM,MATCH(DE$1,  Feature_List!$A$1:$AM$1,0),0)=AW279,".","NO"))</f>
        <v>.</v>
      </c>
      <c r="DF279" s="136" t="str">
        <f>IF($D279&lt;&gt;"Feature",".",
IF(VLOOKUP($B279,Feature_List!$A:$AM,MATCH(DF$1,  Feature_List!$A$1:$AM$1,0),0)=AX279,".","NO"))</f>
        <v>.</v>
      </c>
      <c r="DG279" s="136" t="str">
        <f>IF($D279&lt;&gt;"Feature",".",
IF(VLOOKUP($B279,Feature_List!$A:$AM,MATCH(DG$1,  Feature_List!$A$1:$AM$1,0),0)=AY279,".","NO"))</f>
        <v>.</v>
      </c>
      <c r="DH279" s="136" t="str">
        <f>IF($D279&lt;&gt;"Feature",".",
IF(VLOOKUP($B279,Feature_List!$A:$AM,MATCH(DH$1,  Feature_List!$A$1:$AM$1,0),0)=AZ279,".","NO"))</f>
        <v>.</v>
      </c>
      <c r="DI279" s="136" t="str">
        <f>IF($D279&lt;&gt;"Feature",".",
IF(VLOOKUP($B279,Feature_List!$A:$AM,MATCH(DI$1,  Feature_List!$A$1:$AM$1,0),0)=BA279,".","NO"))</f>
        <v>.</v>
      </c>
      <c r="DJ279" s="136" t="str">
        <f>IF($D279&lt;&gt;"Feature",".",
IF(VLOOKUP($B279,Feature_List!$A:$AM,MATCH(DJ$1,  Feature_List!$A$1:$AM$1,0),0)=BB279,".","NO"))</f>
        <v>.</v>
      </c>
      <c r="DK279" s="136"/>
      <c r="DL279" s="136"/>
      <c r="DM279" s="136"/>
      <c r="DN279" s="136" t="str">
        <f>IF($D279&lt;&gt;"Feature",".",
IF(VLOOKUP($B279,Feature_List!$A:$AM,MATCH(DN$1,  Feature_List!$A$1:$AM$1,0),0)=BC279,".","NO"))</f>
        <v>.</v>
      </c>
      <c r="DO279" s="136" t="str">
        <f>IF($D279&lt;&gt;"Feature",".",
IF(VLOOKUP($B279,Feature_List!$A:$AM,MATCH(DO$1,  Feature_List!$A$1:$AM$1,0),0)=BD279,".","NO"))</f>
        <v>.</v>
      </c>
    </row>
    <row r="280" spans="2:119" x14ac:dyDescent="0.3">
      <c r="B280" s="121"/>
      <c r="C280" s="122"/>
      <c r="D280" s="122"/>
      <c r="E280" s="122"/>
      <c r="F280" s="123"/>
      <c r="G280" s="123"/>
      <c r="H280" s="122"/>
      <c r="I280" s="124"/>
      <c r="J280" s="123"/>
      <c r="K280" s="123"/>
      <c r="L280" s="122"/>
      <c r="M280" s="122"/>
      <c r="N280" s="122"/>
      <c r="O280" s="123">
        <f t="shared" si="150"/>
        <v>0</v>
      </c>
      <c r="P280" s="123">
        <f t="shared" si="151"/>
        <v>0</v>
      </c>
      <c r="Q280" s="122" t="str">
        <f t="shared" si="172"/>
        <v>ZeroEntry</v>
      </c>
      <c r="R280" s="126" t="str">
        <f t="shared" si="152"/>
        <v>ZeroEntry</v>
      </c>
      <c r="S280" s="127" t="str">
        <f t="shared" si="153"/>
        <v>ZeroEntry</v>
      </c>
      <c r="T280" s="128" t="str">
        <f>IF($Q280="ZeroEntry", "",VLOOKUP($I280,'Ranking Lookup'!#REF!,2,FALSE))</f>
        <v/>
      </c>
      <c r="U280" s="129" t="str">
        <f t="shared" si="154"/>
        <v/>
      </c>
      <c r="V280" s="129" t="str">
        <f t="shared" si="155"/>
        <v/>
      </c>
      <c r="W280" s="129" t="str">
        <f t="shared" si="156"/>
        <v/>
      </c>
      <c r="X280" s="129" t="str">
        <f t="shared" si="157"/>
        <v/>
      </c>
      <c r="Y280" s="129" t="str">
        <f t="shared" si="158"/>
        <v/>
      </c>
      <c r="Z280" s="129" t="str">
        <f t="shared" si="159"/>
        <v/>
      </c>
      <c r="AA280" s="130"/>
      <c r="AB280" s="130" t="str">
        <f t="shared" si="160"/>
        <v>Unassigned</v>
      </c>
      <c r="AC280" s="131" t="str">
        <f t="shared" si="173"/>
        <v/>
      </c>
      <c r="AD280" s="131" t="str">
        <f t="shared" si="174"/>
        <v/>
      </c>
      <c r="AE280" s="132">
        <f t="shared" si="161"/>
        <v>0</v>
      </c>
      <c r="AF280" s="133" t="str">
        <f t="shared" si="175"/>
        <v/>
      </c>
      <c r="AG280" s="134">
        <f t="shared" si="162"/>
        <v>0</v>
      </c>
      <c r="AH280" s="54" t="str">
        <f t="shared" si="163"/>
        <v/>
      </c>
      <c r="AI280" s="54" t="str">
        <f t="shared" si="179"/>
        <v/>
      </c>
      <c r="AJ280" s="54" t="str">
        <f t="shared" si="179"/>
        <v/>
      </c>
      <c r="AK280" s="54" t="str">
        <f t="shared" si="179"/>
        <v/>
      </c>
      <c r="AL280" s="54" t="str">
        <f t="shared" si="179"/>
        <v/>
      </c>
      <c r="AM280" s="54" t="str">
        <f t="shared" si="179"/>
        <v/>
      </c>
      <c r="AN280" s="54" t="str">
        <f t="shared" si="179"/>
        <v/>
      </c>
      <c r="AO280" s="54" t="str">
        <f t="shared" si="179"/>
        <v/>
      </c>
      <c r="AP280" s="54" t="str">
        <f t="shared" si="179"/>
        <v/>
      </c>
      <c r="AQ280" s="54" t="str">
        <f t="shared" si="179"/>
        <v/>
      </c>
      <c r="AR280" s="54" t="str">
        <f t="shared" si="179"/>
        <v/>
      </c>
      <c r="AS280" s="54" t="str">
        <f t="shared" si="179"/>
        <v/>
      </c>
      <c r="AT280" s="54" t="str">
        <f t="shared" si="179"/>
        <v/>
      </c>
      <c r="AU280" s="54" t="str">
        <f t="shared" si="179"/>
        <v/>
      </c>
      <c r="AV280" s="54" t="str">
        <f t="shared" si="179"/>
        <v/>
      </c>
      <c r="AW280" s="54" t="str">
        <f t="shared" si="179"/>
        <v/>
      </c>
      <c r="AX280" s="54" t="str">
        <f t="shared" si="179"/>
        <v/>
      </c>
      <c r="AY280" s="54" t="str">
        <f t="shared" si="177"/>
        <v/>
      </c>
      <c r="AZ280" s="54" t="str">
        <f t="shared" si="165"/>
        <v/>
      </c>
      <c r="BA280" s="54" t="str">
        <f t="shared" si="166"/>
        <v/>
      </c>
      <c r="BB280" s="135" t="str">
        <f t="shared" si="167"/>
        <v/>
      </c>
      <c r="BC280" s="54" t="str">
        <f t="shared" si="176"/>
        <v/>
      </c>
      <c r="BD280" s="54" t="str">
        <f t="shared" si="176"/>
        <v/>
      </c>
      <c r="BE280" s="54" t="str">
        <f t="shared" si="176"/>
        <v/>
      </c>
      <c r="BF280" s="54" t="str">
        <f t="shared" si="168"/>
        <v/>
      </c>
      <c r="BG280" s="54" t="str">
        <f t="shared" si="169"/>
        <v/>
      </c>
      <c r="BH280" s="34" t="str">
        <f t="shared" si="170"/>
        <v>Bad</v>
      </c>
      <c r="BI280" s="34" t="str">
        <f t="shared" si="171"/>
        <v>No</v>
      </c>
      <c r="BJ280" s="136" t="str">
        <f>IF($D280&lt;&gt;"Feature",".",
IF(VLOOKUP($B280,Feature_List!$A:$AM,MATCH(BJ$1,  Feature_List!$A$1:$AM$1,0),0)=B280,".","NO"))</f>
        <v>.</v>
      </c>
      <c r="BK280" s="136"/>
      <c r="BL280" s="136"/>
      <c r="BM280" s="136" t="str">
        <f>IF($D280&lt;&gt;"Feature",".",
IF(VLOOKUP($B280,Feature_List!$A:$AM,MATCH(BM$1,  Feature_List!$A$1:$AM$1,0),0)=E280,".","NO"))</f>
        <v>.</v>
      </c>
      <c r="BN280" s="136" t="str">
        <f>IF($D280&lt;&gt;"Feature",".",
IF(VLOOKUP($B280,Feature_List!$A:$AM,MATCH(BN$1,  Feature_List!$A$1:$AM$1,0),0)=F280,".","NO"))</f>
        <v>.</v>
      </c>
      <c r="BO280" s="136" t="str">
        <f>IF($D280&lt;&gt;"Feature",".",
IF(VLOOKUP($B280,Feature_List!$A:$AM,MATCH(BO$1,  Feature_List!$A$1:$AM$1,0),0)=G280,".","NO"))</f>
        <v>.</v>
      </c>
      <c r="BP280" s="136" t="str">
        <f>IF($D280&lt;&gt;"Feature",".",
IF(VLOOKUP($B280,Feature_List!$A:$AM,MATCH(BP$1,  Feature_List!$A$1:$AM$1,0),0)=H280,".","NO"))</f>
        <v>.</v>
      </c>
      <c r="BQ280" s="136"/>
      <c r="BR280" s="136" t="str">
        <f>IF($D280&lt;&gt;"Feature",".",
IF(VLOOKUP($B280,Feature_List!$A:$AM,MATCH(BR$1,  Feature_List!$A$1:$AM$1,0),0)=J280,".","NO"))</f>
        <v>.</v>
      </c>
      <c r="BS280" s="136"/>
      <c r="BT280" s="136"/>
      <c r="BU280" s="136" t="str">
        <f>IF($D280&lt;&gt;"Feature",".",
IF(VLOOKUP($B280,Feature_List!$A:$AM,MATCH(BU$1,  Feature_List!$A$1:$AM$1,0),0)=M280,".","NO"))</f>
        <v>.</v>
      </c>
      <c r="BV280" s="136" t="str">
        <f>IF($D280&lt;&gt;"Feature",".",
IF(VLOOKUP($B280,Feature_List!$A:$AM,MATCH(BV$1,  Feature_List!$A$1:$AM$1,0),0)=N280,".","NO"))</f>
        <v>.</v>
      </c>
      <c r="BW280" s="136"/>
      <c r="BX280" s="136"/>
      <c r="BY280" s="136"/>
      <c r="BZ280" s="136"/>
      <c r="CA280" s="136"/>
      <c r="CB280" s="136" t="str">
        <f>IF($D280&lt;&gt;"Feature",".",
IF(VLOOKUP($B280,Feature_List!$A:$AM,MATCH(CB$1,  Feature_List!$A$1:$AM$1,0),0)=T280,".","NO"))</f>
        <v>.</v>
      </c>
      <c r="CC280" s="136"/>
      <c r="CD280" s="136"/>
      <c r="CE280" s="136"/>
      <c r="CF280" s="136"/>
      <c r="CG280" s="136"/>
      <c r="CH280" s="136"/>
      <c r="CI280" s="136"/>
      <c r="CJ280" s="136"/>
      <c r="CK280" s="136"/>
      <c r="CL280" s="136"/>
      <c r="CM280" s="136"/>
      <c r="CN280" s="136"/>
      <c r="CO280" s="136" t="str">
        <f>IF($D280&lt;&gt;"Feature",".",
IF(VLOOKUP($B280,Feature_List!$A:$AM,MATCH(CO$1,  Feature_List!$A$1:$AM$1,0),0)=AG280,".","NO"))</f>
        <v>.</v>
      </c>
      <c r="CP280" s="136" t="str">
        <f>IF($D280&lt;&gt;"Feature",".",
IF(VLOOKUP($B280,Feature_List!$A:$AM,MATCH(CP$1,  Feature_List!$A$1:$AM$1,0),0)=AH280,".","NO"))</f>
        <v>.</v>
      </c>
      <c r="CQ280" s="136" t="str">
        <f>IF($D280&lt;&gt;"Feature",".",
IF(VLOOKUP($B280,Feature_List!$A:$AM,MATCH(CQ$1,  Feature_List!$A$1:$AM$1,0),0)=AI280,".","NO"))</f>
        <v>.</v>
      </c>
      <c r="CR280" s="136" t="str">
        <f>IF($D280&lt;&gt;"Feature",".",
IF(VLOOKUP($B280,Feature_List!$A:$AM,MATCH(CR$1,  Feature_List!$A$1:$AM$1,0),0)=AJ280,".","NO"))</f>
        <v>.</v>
      </c>
      <c r="CS280" s="136" t="str">
        <f>IF($D280&lt;&gt;"Feature",".",
IF(VLOOKUP($B280,Feature_List!$A:$AM,MATCH(CS$1,  Feature_List!$A$1:$AM$1,0),0)=AK280,".","NO"))</f>
        <v>.</v>
      </c>
      <c r="CT280" s="136" t="str">
        <f>IF($D280&lt;&gt;"Feature",".",
IF(VLOOKUP($B280,Feature_List!$A:$AM,MATCH(CT$1,  Feature_List!$A$1:$AM$1,0),0)=AL280,".","NO"))</f>
        <v>.</v>
      </c>
      <c r="CU280" s="136" t="str">
        <f>IF($D280&lt;&gt;"Feature",".",
IF(VLOOKUP($B280,Feature_List!$A:$AM,MATCH(CU$1,  Feature_List!$A$1:$AM$1,0),0)=AM280,".","NO"))</f>
        <v>.</v>
      </c>
      <c r="CV280" s="136" t="str">
        <f>IF($D280&lt;&gt;"Feature",".",
IF(VLOOKUP($B280,Feature_List!$A:$AM,MATCH(CV$1,  Feature_List!$A$1:$AM$1,0),0)=AN280,".","NO"))</f>
        <v>.</v>
      </c>
      <c r="CW280" s="136" t="str">
        <f>IF($D280&lt;&gt;"Feature",".",
IF(VLOOKUP($B280,Feature_List!$A:$AM,MATCH(CW$1,  Feature_List!$A$1:$AM$1,0),0)=AO280,".","NO"))</f>
        <v>.</v>
      </c>
      <c r="CX280" s="136" t="str">
        <f>IF($D280&lt;&gt;"Feature",".",
IF(VLOOKUP($B280,Feature_List!$A:$AM,MATCH(CX$1,  Feature_List!$A$1:$AM$1,0),0)=AP280,".","NO"))</f>
        <v>.</v>
      </c>
      <c r="CY280" s="136" t="str">
        <f>IF($D280&lt;&gt;"Feature",".",
IF(VLOOKUP($B280,Feature_List!$A:$AM,MATCH(CY$1,  Feature_List!$A$1:$AM$1,0),0)=AQ280,".","NO"))</f>
        <v>.</v>
      </c>
      <c r="CZ280" s="136" t="str">
        <f>IF($D280&lt;&gt;"Feature",".",
IF(VLOOKUP($B280,Feature_List!$A:$AM,MATCH(CZ$1,  Feature_List!$A$1:$AM$1,0),0)=AR280,".","NO"))</f>
        <v>.</v>
      </c>
      <c r="DA280" s="136" t="str">
        <f>IF($D280&lt;&gt;"Feature",".",
IF(VLOOKUP($B280,Feature_List!$A:$AM,MATCH(DA$1,  Feature_List!$A$1:$AM$1,0),0)=AS280,".","NO"))</f>
        <v>.</v>
      </c>
      <c r="DB280" s="136" t="str">
        <f>IF($D280&lt;&gt;"Feature",".",
IF(VLOOKUP($B280,Feature_List!$A:$AM,MATCH(DB$1,  Feature_List!$A$1:$AM$1,0),0)=AT280,".","NO"))</f>
        <v>.</v>
      </c>
      <c r="DC280" s="136" t="str">
        <f>IF($D280&lt;&gt;"Feature",".",
IF(VLOOKUP($B280,Feature_List!$A:$AM,MATCH(DC$1,  Feature_List!$A$1:$AM$1,0),0)=AU280,".","NO"))</f>
        <v>.</v>
      </c>
      <c r="DD280" s="136" t="str">
        <f>IF($D280&lt;&gt;"Feature",".",
IF(VLOOKUP($B280,Feature_List!$A:$AM,MATCH(DD$1,  Feature_List!$A$1:$AM$1,0),0)=AV280,".","NO"))</f>
        <v>.</v>
      </c>
      <c r="DE280" s="136" t="str">
        <f>IF($D280&lt;&gt;"Feature",".",
IF(VLOOKUP($B280,Feature_List!$A:$AM,MATCH(DE$1,  Feature_List!$A$1:$AM$1,0),0)=AW280,".","NO"))</f>
        <v>.</v>
      </c>
      <c r="DF280" s="136" t="str">
        <f>IF($D280&lt;&gt;"Feature",".",
IF(VLOOKUP($B280,Feature_List!$A:$AM,MATCH(DF$1,  Feature_List!$A$1:$AM$1,0),0)=AX280,".","NO"))</f>
        <v>.</v>
      </c>
      <c r="DG280" s="136" t="str">
        <f>IF($D280&lt;&gt;"Feature",".",
IF(VLOOKUP($B280,Feature_List!$A:$AM,MATCH(DG$1,  Feature_List!$A$1:$AM$1,0),0)=AY280,".","NO"))</f>
        <v>.</v>
      </c>
      <c r="DH280" s="136" t="str">
        <f>IF($D280&lt;&gt;"Feature",".",
IF(VLOOKUP($B280,Feature_List!$A:$AM,MATCH(DH$1,  Feature_List!$A$1:$AM$1,0),0)=AZ280,".","NO"))</f>
        <v>.</v>
      </c>
      <c r="DI280" s="136" t="str">
        <f>IF($D280&lt;&gt;"Feature",".",
IF(VLOOKUP($B280,Feature_List!$A:$AM,MATCH(DI$1,  Feature_List!$A$1:$AM$1,0),0)=BA280,".","NO"))</f>
        <v>.</v>
      </c>
      <c r="DJ280" s="136" t="str">
        <f>IF($D280&lt;&gt;"Feature",".",
IF(VLOOKUP($B280,Feature_List!$A:$AM,MATCH(DJ$1,  Feature_List!$A$1:$AM$1,0),0)=BB280,".","NO"))</f>
        <v>.</v>
      </c>
      <c r="DK280" s="136"/>
      <c r="DL280" s="136"/>
      <c r="DM280" s="136"/>
      <c r="DN280" s="136" t="str">
        <f>IF($D280&lt;&gt;"Feature",".",
IF(VLOOKUP($B280,Feature_List!$A:$AM,MATCH(DN$1,  Feature_List!$A$1:$AM$1,0),0)=BC280,".","NO"))</f>
        <v>.</v>
      </c>
      <c r="DO280" s="136" t="str">
        <f>IF($D280&lt;&gt;"Feature",".",
IF(VLOOKUP($B280,Feature_List!$A:$AM,MATCH(DO$1,  Feature_List!$A$1:$AM$1,0),0)=BD280,".","NO"))</f>
        <v>.</v>
      </c>
    </row>
    <row r="281" spans="2:119" x14ac:dyDescent="0.3">
      <c r="B281" s="121"/>
      <c r="C281" s="122"/>
      <c r="D281" s="122"/>
      <c r="E281" s="122"/>
      <c r="F281" s="123"/>
      <c r="G281" s="123"/>
      <c r="H281" s="122"/>
      <c r="I281" s="124"/>
      <c r="J281" s="123"/>
      <c r="K281" s="123"/>
      <c r="L281" s="122"/>
      <c r="M281" s="122"/>
      <c r="N281" s="122"/>
      <c r="O281" s="123">
        <f t="shared" si="150"/>
        <v>0</v>
      </c>
      <c r="P281" s="123">
        <f t="shared" si="151"/>
        <v>0</v>
      </c>
      <c r="Q281" s="122" t="str">
        <f t="shared" si="172"/>
        <v>ZeroEntry</v>
      </c>
      <c r="R281" s="126" t="str">
        <f t="shared" si="152"/>
        <v>ZeroEntry</v>
      </c>
      <c r="S281" s="127" t="str">
        <f t="shared" si="153"/>
        <v>ZeroEntry</v>
      </c>
      <c r="T281" s="128" t="str">
        <f>IF($Q281="ZeroEntry", "",VLOOKUP($I281,'Ranking Lookup'!#REF!,2,FALSE))</f>
        <v/>
      </c>
      <c r="U281" s="129" t="str">
        <f t="shared" si="154"/>
        <v/>
      </c>
      <c r="V281" s="129" t="str">
        <f t="shared" si="155"/>
        <v/>
      </c>
      <c r="W281" s="129" t="str">
        <f t="shared" si="156"/>
        <v/>
      </c>
      <c r="X281" s="129" t="str">
        <f t="shared" si="157"/>
        <v/>
      </c>
      <c r="Y281" s="129" t="str">
        <f t="shared" si="158"/>
        <v/>
      </c>
      <c r="Z281" s="129" t="str">
        <f t="shared" si="159"/>
        <v/>
      </c>
      <c r="AA281" s="130"/>
      <c r="AB281" s="130" t="str">
        <f t="shared" si="160"/>
        <v>Unassigned</v>
      </c>
      <c r="AC281" s="131" t="str">
        <f t="shared" si="173"/>
        <v/>
      </c>
      <c r="AD281" s="131" t="str">
        <f t="shared" si="174"/>
        <v/>
      </c>
      <c r="AE281" s="132">
        <f t="shared" si="161"/>
        <v>0</v>
      </c>
      <c r="AF281" s="133" t="str">
        <f t="shared" si="175"/>
        <v/>
      </c>
      <c r="AG281" s="134">
        <f t="shared" si="162"/>
        <v>0</v>
      </c>
      <c r="AH281" s="54" t="str">
        <f t="shared" si="163"/>
        <v/>
      </c>
      <c r="AI281" s="54" t="str">
        <f t="shared" si="179"/>
        <v/>
      </c>
      <c r="AJ281" s="54" t="str">
        <f t="shared" si="179"/>
        <v/>
      </c>
      <c r="AK281" s="54" t="str">
        <f t="shared" si="179"/>
        <v/>
      </c>
      <c r="AL281" s="54" t="str">
        <f t="shared" si="179"/>
        <v/>
      </c>
      <c r="AM281" s="54" t="str">
        <f t="shared" si="179"/>
        <v/>
      </c>
      <c r="AN281" s="54" t="str">
        <f t="shared" si="179"/>
        <v/>
      </c>
      <c r="AO281" s="54" t="str">
        <f t="shared" si="179"/>
        <v/>
      </c>
      <c r="AP281" s="54" t="str">
        <f t="shared" si="179"/>
        <v/>
      </c>
      <c r="AQ281" s="54" t="str">
        <f t="shared" si="179"/>
        <v/>
      </c>
      <c r="AR281" s="54" t="str">
        <f t="shared" si="179"/>
        <v/>
      </c>
      <c r="AS281" s="54" t="str">
        <f t="shared" si="179"/>
        <v/>
      </c>
      <c r="AT281" s="54" t="str">
        <f t="shared" si="179"/>
        <v/>
      </c>
      <c r="AU281" s="54" t="str">
        <f t="shared" si="179"/>
        <v/>
      </c>
      <c r="AV281" s="54" t="str">
        <f t="shared" si="179"/>
        <v/>
      </c>
      <c r="AW281" s="54" t="str">
        <f t="shared" si="179"/>
        <v/>
      </c>
      <c r="AX281" s="54" t="str">
        <f t="shared" si="179"/>
        <v/>
      </c>
      <c r="AY281" s="54" t="str">
        <f t="shared" si="177"/>
        <v/>
      </c>
      <c r="AZ281" s="54" t="str">
        <f t="shared" si="165"/>
        <v/>
      </c>
      <c r="BA281" s="54" t="str">
        <f t="shared" si="166"/>
        <v/>
      </c>
      <c r="BB281" s="135" t="str">
        <f t="shared" si="167"/>
        <v/>
      </c>
      <c r="BC281" s="54" t="str">
        <f t="shared" si="176"/>
        <v/>
      </c>
      <c r="BD281" s="54" t="str">
        <f t="shared" si="176"/>
        <v/>
      </c>
      <c r="BE281" s="54" t="str">
        <f t="shared" si="176"/>
        <v/>
      </c>
      <c r="BF281" s="54" t="str">
        <f t="shared" si="168"/>
        <v/>
      </c>
      <c r="BG281" s="54" t="str">
        <f t="shared" si="169"/>
        <v/>
      </c>
      <c r="BH281" s="34" t="str">
        <f t="shared" si="170"/>
        <v>Bad</v>
      </c>
      <c r="BI281" s="34" t="str">
        <f t="shared" si="171"/>
        <v>No</v>
      </c>
      <c r="BJ281" s="136" t="str">
        <f>IF($D281&lt;&gt;"Feature",".",
IF(VLOOKUP($B281,Feature_List!$A:$AM,MATCH(BJ$1,  Feature_List!$A$1:$AM$1,0),0)=B281,".","NO"))</f>
        <v>.</v>
      </c>
      <c r="BK281" s="136"/>
      <c r="BL281" s="136"/>
      <c r="BM281" s="136" t="str">
        <f>IF($D281&lt;&gt;"Feature",".",
IF(VLOOKUP($B281,Feature_List!$A:$AM,MATCH(BM$1,  Feature_List!$A$1:$AM$1,0),0)=E281,".","NO"))</f>
        <v>.</v>
      </c>
      <c r="BN281" s="136" t="str">
        <f>IF($D281&lt;&gt;"Feature",".",
IF(VLOOKUP($B281,Feature_List!$A:$AM,MATCH(BN$1,  Feature_List!$A$1:$AM$1,0),0)=F281,".","NO"))</f>
        <v>.</v>
      </c>
      <c r="BO281" s="136" t="str">
        <f>IF($D281&lt;&gt;"Feature",".",
IF(VLOOKUP($B281,Feature_List!$A:$AM,MATCH(BO$1,  Feature_List!$A$1:$AM$1,0),0)=G281,".","NO"))</f>
        <v>.</v>
      </c>
      <c r="BP281" s="136" t="str">
        <f>IF($D281&lt;&gt;"Feature",".",
IF(VLOOKUP($B281,Feature_List!$A:$AM,MATCH(BP$1,  Feature_List!$A$1:$AM$1,0),0)=H281,".","NO"))</f>
        <v>.</v>
      </c>
      <c r="BQ281" s="136"/>
      <c r="BR281" s="136" t="str">
        <f>IF($D281&lt;&gt;"Feature",".",
IF(VLOOKUP($B281,Feature_List!$A:$AM,MATCH(BR$1,  Feature_List!$A$1:$AM$1,0),0)=J281,".","NO"))</f>
        <v>.</v>
      </c>
      <c r="BS281" s="136"/>
      <c r="BT281" s="136"/>
      <c r="BU281" s="136" t="str">
        <f>IF($D281&lt;&gt;"Feature",".",
IF(VLOOKUP($B281,Feature_List!$A:$AM,MATCH(BU$1,  Feature_List!$A$1:$AM$1,0),0)=M281,".","NO"))</f>
        <v>.</v>
      </c>
      <c r="BV281" s="136" t="str">
        <f>IF($D281&lt;&gt;"Feature",".",
IF(VLOOKUP($B281,Feature_List!$A:$AM,MATCH(BV$1,  Feature_List!$A$1:$AM$1,0),0)=N281,".","NO"))</f>
        <v>.</v>
      </c>
      <c r="BW281" s="136"/>
      <c r="BX281" s="136"/>
      <c r="BY281" s="136"/>
      <c r="BZ281" s="136"/>
      <c r="CA281" s="136"/>
      <c r="CB281" s="136" t="str">
        <f>IF($D281&lt;&gt;"Feature",".",
IF(VLOOKUP($B281,Feature_List!$A:$AM,MATCH(CB$1,  Feature_List!$A$1:$AM$1,0),0)=T281,".","NO"))</f>
        <v>.</v>
      </c>
      <c r="CC281" s="136"/>
      <c r="CD281" s="136"/>
      <c r="CE281" s="136"/>
      <c r="CF281" s="136"/>
      <c r="CG281" s="136"/>
      <c r="CH281" s="136"/>
      <c r="CI281" s="136"/>
      <c r="CJ281" s="136"/>
      <c r="CK281" s="136"/>
      <c r="CL281" s="136"/>
      <c r="CM281" s="136"/>
      <c r="CN281" s="136"/>
      <c r="CO281" s="136" t="str">
        <f>IF($D281&lt;&gt;"Feature",".",
IF(VLOOKUP($B281,Feature_List!$A:$AM,MATCH(CO$1,  Feature_List!$A$1:$AM$1,0),0)=AG281,".","NO"))</f>
        <v>.</v>
      </c>
      <c r="CP281" s="136" t="str">
        <f>IF($D281&lt;&gt;"Feature",".",
IF(VLOOKUP($B281,Feature_List!$A:$AM,MATCH(CP$1,  Feature_List!$A$1:$AM$1,0),0)=AH281,".","NO"))</f>
        <v>.</v>
      </c>
      <c r="CQ281" s="136" t="str">
        <f>IF($D281&lt;&gt;"Feature",".",
IF(VLOOKUP($B281,Feature_List!$A:$AM,MATCH(CQ$1,  Feature_List!$A$1:$AM$1,0),0)=AI281,".","NO"))</f>
        <v>.</v>
      </c>
      <c r="CR281" s="136" t="str">
        <f>IF($D281&lt;&gt;"Feature",".",
IF(VLOOKUP($B281,Feature_List!$A:$AM,MATCH(CR$1,  Feature_List!$A$1:$AM$1,0),0)=AJ281,".","NO"))</f>
        <v>.</v>
      </c>
      <c r="CS281" s="136" t="str">
        <f>IF($D281&lt;&gt;"Feature",".",
IF(VLOOKUP($B281,Feature_List!$A:$AM,MATCH(CS$1,  Feature_List!$A$1:$AM$1,0),0)=AK281,".","NO"))</f>
        <v>.</v>
      </c>
      <c r="CT281" s="136" t="str">
        <f>IF($D281&lt;&gt;"Feature",".",
IF(VLOOKUP($B281,Feature_List!$A:$AM,MATCH(CT$1,  Feature_List!$A$1:$AM$1,0),0)=AL281,".","NO"))</f>
        <v>.</v>
      </c>
      <c r="CU281" s="136" t="str">
        <f>IF($D281&lt;&gt;"Feature",".",
IF(VLOOKUP($B281,Feature_List!$A:$AM,MATCH(CU$1,  Feature_List!$A$1:$AM$1,0),0)=AM281,".","NO"))</f>
        <v>.</v>
      </c>
      <c r="CV281" s="136" t="str">
        <f>IF($D281&lt;&gt;"Feature",".",
IF(VLOOKUP($B281,Feature_List!$A:$AM,MATCH(CV$1,  Feature_List!$A$1:$AM$1,0),0)=AN281,".","NO"))</f>
        <v>.</v>
      </c>
      <c r="CW281" s="136" t="str">
        <f>IF($D281&lt;&gt;"Feature",".",
IF(VLOOKUP($B281,Feature_List!$A:$AM,MATCH(CW$1,  Feature_List!$A$1:$AM$1,0),0)=AO281,".","NO"))</f>
        <v>.</v>
      </c>
      <c r="CX281" s="136" t="str">
        <f>IF($D281&lt;&gt;"Feature",".",
IF(VLOOKUP($B281,Feature_List!$A:$AM,MATCH(CX$1,  Feature_List!$A$1:$AM$1,0),0)=AP281,".","NO"))</f>
        <v>.</v>
      </c>
      <c r="CY281" s="136" t="str">
        <f>IF($D281&lt;&gt;"Feature",".",
IF(VLOOKUP($B281,Feature_List!$A:$AM,MATCH(CY$1,  Feature_List!$A$1:$AM$1,0),0)=AQ281,".","NO"))</f>
        <v>.</v>
      </c>
      <c r="CZ281" s="136" t="str">
        <f>IF($D281&lt;&gt;"Feature",".",
IF(VLOOKUP($B281,Feature_List!$A:$AM,MATCH(CZ$1,  Feature_List!$A$1:$AM$1,0),0)=AR281,".","NO"))</f>
        <v>.</v>
      </c>
      <c r="DA281" s="136" t="str">
        <f>IF($D281&lt;&gt;"Feature",".",
IF(VLOOKUP($B281,Feature_List!$A:$AM,MATCH(DA$1,  Feature_List!$A$1:$AM$1,0),0)=AS281,".","NO"))</f>
        <v>.</v>
      </c>
      <c r="DB281" s="136" t="str">
        <f>IF($D281&lt;&gt;"Feature",".",
IF(VLOOKUP($B281,Feature_List!$A:$AM,MATCH(DB$1,  Feature_List!$A$1:$AM$1,0),0)=AT281,".","NO"))</f>
        <v>.</v>
      </c>
      <c r="DC281" s="136" t="str">
        <f>IF($D281&lt;&gt;"Feature",".",
IF(VLOOKUP($B281,Feature_List!$A:$AM,MATCH(DC$1,  Feature_List!$A$1:$AM$1,0),0)=AU281,".","NO"))</f>
        <v>.</v>
      </c>
      <c r="DD281" s="136" t="str">
        <f>IF($D281&lt;&gt;"Feature",".",
IF(VLOOKUP($B281,Feature_List!$A:$AM,MATCH(DD$1,  Feature_List!$A$1:$AM$1,0),0)=AV281,".","NO"))</f>
        <v>.</v>
      </c>
      <c r="DE281" s="136" t="str">
        <f>IF($D281&lt;&gt;"Feature",".",
IF(VLOOKUP($B281,Feature_List!$A:$AM,MATCH(DE$1,  Feature_List!$A$1:$AM$1,0),0)=AW281,".","NO"))</f>
        <v>.</v>
      </c>
      <c r="DF281" s="136" t="str">
        <f>IF($D281&lt;&gt;"Feature",".",
IF(VLOOKUP($B281,Feature_List!$A:$AM,MATCH(DF$1,  Feature_List!$A$1:$AM$1,0),0)=AX281,".","NO"))</f>
        <v>.</v>
      </c>
      <c r="DG281" s="136" t="str">
        <f>IF($D281&lt;&gt;"Feature",".",
IF(VLOOKUP($B281,Feature_List!$A:$AM,MATCH(DG$1,  Feature_List!$A$1:$AM$1,0),0)=AY281,".","NO"))</f>
        <v>.</v>
      </c>
      <c r="DH281" s="136" t="str">
        <f>IF($D281&lt;&gt;"Feature",".",
IF(VLOOKUP($B281,Feature_List!$A:$AM,MATCH(DH$1,  Feature_List!$A$1:$AM$1,0),0)=AZ281,".","NO"))</f>
        <v>.</v>
      </c>
      <c r="DI281" s="136" t="str">
        <f>IF($D281&lt;&gt;"Feature",".",
IF(VLOOKUP($B281,Feature_List!$A:$AM,MATCH(DI$1,  Feature_List!$A$1:$AM$1,0),0)=BA281,".","NO"))</f>
        <v>.</v>
      </c>
      <c r="DJ281" s="136" t="str">
        <f>IF($D281&lt;&gt;"Feature",".",
IF(VLOOKUP($B281,Feature_List!$A:$AM,MATCH(DJ$1,  Feature_List!$A$1:$AM$1,0),0)=BB281,".","NO"))</f>
        <v>.</v>
      </c>
      <c r="DK281" s="136"/>
      <c r="DL281" s="136"/>
      <c r="DM281" s="136"/>
      <c r="DN281" s="136" t="str">
        <f>IF($D281&lt;&gt;"Feature",".",
IF(VLOOKUP($B281,Feature_List!$A:$AM,MATCH(DN$1,  Feature_List!$A$1:$AM$1,0),0)=BC281,".","NO"))</f>
        <v>.</v>
      </c>
      <c r="DO281" s="136" t="str">
        <f>IF($D281&lt;&gt;"Feature",".",
IF(VLOOKUP($B281,Feature_List!$A:$AM,MATCH(DO$1,  Feature_List!$A$1:$AM$1,0),0)=BD281,".","NO"))</f>
        <v>.</v>
      </c>
    </row>
    <row r="282" spans="2:119" x14ac:dyDescent="0.3">
      <c r="B282" s="121"/>
      <c r="C282" s="122"/>
      <c r="D282" s="122"/>
      <c r="E282" s="122"/>
      <c r="F282" s="123"/>
      <c r="G282" s="123"/>
      <c r="H282" s="122"/>
      <c r="I282" s="124"/>
      <c r="J282" s="123"/>
      <c r="K282" s="123"/>
      <c r="L282" s="122"/>
      <c r="M282" s="122"/>
      <c r="N282" s="122"/>
      <c r="O282" s="123">
        <f t="shared" si="150"/>
        <v>0</v>
      </c>
      <c r="P282" s="123">
        <f t="shared" si="151"/>
        <v>0</v>
      </c>
      <c r="Q282" s="122" t="str">
        <f t="shared" si="172"/>
        <v>ZeroEntry</v>
      </c>
      <c r="R282" s="126" t="str">
        <f t="shared" si="152"/>
        <v>ZeroEntry</v>
      </c>
      <c r="S282" s="127" t="str">
        <f t="shared" si="153"/>
        <v>ZeroEntry</v>
      </c>
      <c r="T282" s="128" t="str">
        <f>IF($Q282="ZeroEntry", "",VLOOKUP($I282,'Ranking Lookup'!#REF!,2,FALSE))</f>
        <v/>
      </c>
      <c r="U282" s="129" t="str">
        <f t="shared" si="154"/>
        <v/>
      </c>
      <c r="V282" s="129" t="str">
        <f t="shared" si="155"/>
        <v/>
      </c>
      <c r="W282" s="129" t="str">
        <f t="shared" si="156"/>
        <v/>
      </c>
      <c r="X282" s="129" t="str">
        <f t="shared" si="157"/>
        <v/>
      </c>
      <c r="Y282" s="129" t="str">
        <f t="shared" si="158"/>
        <v/>
      </c>
      <c r="Z282" s="129" t="str">
        <f t="shared" si="159"/>
        <v/>
      </c>
      <c r="AA282" s="130"/>
      <c r="AB282" s="130" t="str">
        <f t="shared" si="160"/>
        <v>Unassigned</v>
      </c>
      <c r="AC282" s="131" t="str">
        <f t="shared" si="173"/>
        <v/>
      </c>
      <c r="AD282" s="131" t="str">
        <f t="shared" si="174"/>
        <v/>
      </c>
      <c r="AE282" s="132">
        <f t="shared" si="161"/>
        <v>0</v>
      </c>
      <c r="AF282" s="133" t="str">
        <f t="shared" si="175"/>
        <v/>
      </c>
      <c r="AG282" s="134">
        <f t="shared" si="162"/>
        <v>0</v>
      </c>
      <c r="AH282" s="54" t="str">
        <f t="shared" si="163"/>
        <v/>
      </c>
      <c r="AI282" s="54" t="str">
        <f t="shared" si="179"/>
        <v/>
      </c>
      <c r="AJ282" s="54" t="str">
        <f t="shared" si="179"/>
        <v/>
      </c>
      <c r="AK282" s="54" t="str">
        <f t="shared" si="179"/>
        <v/>
      </c>
      <c r="AL282" s="54" t="str">
        <f t="shared" si="179"/>
        <v/>
      </c>
      <c r="AM282" s="54" t="str">
        <f t="shared" si="179"/>
        <v/>
      </c>
      <c r="AN282" s="54" t="str">
        <f t="shared" si="179"/>
        <v/>
      </c>
      <c r="AO282" s="54" t="str">
        <f t="shared" si="179"/>
        <v/>
      </c>
      <c r="AP282" s="54" t="str">
        <f t="shared" si="179"/>
        <v/>
      </c>
      <c r="AQ282" s="54" t="str">
        <f t="shared" si="179"/>
        <v/>
      </c>
      <c r="AR282" s="54" t="str">
        <f t="shared" si="179"/>
        <v/>
      </c>
      <c r="AS282" s="54" t="str">
        <f t="shared" si="179"/>
        <v/>
      </c>
      <c r="AT282" s="54" t="str">
        <f t="shared" si="179"/>
        <v/>
      </c>
      <c r="AU282" s="54" t="str">
        <f t="shared" si="179"/>
        <v/>
      </c>
      <c r="AV282" s="54" t="str">
        <f t="shared" si="179"/>
        <v/>
      </c>
      <c r="AW282" s="54" t="str">
        <f t="shared" si="179"/>
        <v/>
      </c>
      <c r="AX282" s="54" t="str">
        <f t="shared" si="179"/>
        <v/>
      </c>
      <c r="AY282" s="54" t="str">
        <f t="shared" si="177"/>
        <v/>
      </c>
      <c r="AZ282" s="54" t="str">
        <f t="shared" si="165"/>
        <v/>
      </c>
      <c r="BA282" s="54" t="str">
        <f t="shared" si="166"/>
        <v/>
      </c>
      <c r="BB282" s="135" t="str">
        <f t="shared" si="167"/>
        <v/>
      </c>
      <c r="BC282" s="54" t="str">
        <f t="shared" ref="BC282:BE301" si="180">IF(AND($Q282="Feature",LEFT($AB282,2)="PI"),
IF(AND(COUNTIF($R:$R,$B282)=1,$T282=BC$1), IF($AB282=$A$10,$AF282,0),
IF(OR($AD282&lt;1,RIGHT($G282,8)="Progress"),SUMIFS($O:$O,$R:$R,$B282,$T:$T,BC$1,$P:$P,"&lt;&gt;Done",$AB:$AB,$A$10),
IF($T282=BC$1, IF($AB282=$A$10,$AD282,0)+SUMIFS($O:$O,$R:$R,$B282,$T:$T,BC$1,$P:$P,"&lt;&gt;Done",$AB:$AB,$A$10),SUMIFS($O:$O,$R:$R,$B282,$T:$T,BC$1,$P:$P,"&lt;&gt;Done",$AB:$AB,$A$10)))),
IF(AND(OR($Q282="Story",$Q282="Problem",$Q282="Enhancement"),$AB282=$A$10,$R282=0,$T282=BC$1,$P282&lt;&gt;"Done"),$O282,""))</f>
        <v/>
      </c>
      <c r="BD282" s="54" t="str">
        <f t="shared" si="180"/>
        <v/>
      </c>
      <c r="BE282" s="54" t="str">
        <f t="shared" si="180"/>
        <v/>
      </c>
      <c r="BF282" s="54" t="str">
        <f t="shared" si="168"/>
        <v/>
      </c>
      <c r="BG282" s="54" t="str">
        <f t="shared" si="169"/>
        <v/>
      </c>
      <c r="BH282" s="34" t="str">
        <f t="shared" si="170"/>
        <v>Bad</v>
      </c>
      <c r="BI282" s="34" t="str">
        <f t="shared" si="171"/>
        <v>No</v>
      </c>
      <c r="BJ282" s="136" t="str">
        <f>IF($D282&lt;&gt;"Feature",".",
IF(VLOOKUP($B282,Feature_List!$A:$AM,MATCH(BJ$1,  Feature_List!$A$1:$AM$1,0),0)=B282,".","NO"))</f>
        <v>.</v>
      </c>
      <c r="BK282" s="136"/>
      <c r="BL282" s="136"/>
      <c r="BM282" s="136" t="str">
        <f>IF($D282&lt;&gt;"Feature",".",
IF(VLOOKUP($B282,Feature_List!$A:$AM,MATCH(BM$1,  Feature_List!$A$1:$AM$1,0),0)=E282,".","NO"))</f>
        <v>.</v>
      </c>
      <c r="BN282" s="136" t="str">
        <f>IF($D282&lt;&gt;"Feature",".",
IF(VLOOKUP($B282,Feature_List!$A:$AM,MATCH(BN$1,  Feature_List!$A$1:$AM$1,0),0)=F282,".","NO"))</f>
        <v>.</v>
      </c>
      <c r="BO282" s="136" t="str">
        <f>IF($D282&lt;&gt;"Feature",".",
IF(VLOOKUP($B282,Feature_List!$A:$AM,MATCH(BO$1,  Feature_List!$A$1:$AM$1,0),0)=G282,".","NO"))</f>
        <v>.</v>
      </c>
      <c r="BP282" s="136" t="str">
        <f>IF($D282&lt;&gt;"Feature",".",
IF(VLOOKUP($B282,Feature_List!$A:$AM,MATCH(BP$1,  Feature_List!$A$1:$AM$1,0),0)=H282,".","NO"))</f>
        <v>.</v>
      </c>
      <c r="BQ282" s="136"/>
      <c r="BR282" s="136" t="str">
        <f>IF($D282&lt;&gt;"Feature",".",
IF(VLOOKUP($B282,Feature_List!$A:$AM,MATCH(BR$1,  Feature_List!$A$1:$AM$1,0),0)=J282,".","NO"))</f>
        <v>.</v>
      </c>
      <c r="BS282" s="136"/>
      <c r="BT282" s="136"/>
      <c r="BU282" s="136" t="str">
        <f>IF($D282&lt;&gt;"Feature",".",
IF(VLOOKUP($B282,Feature_List!$A:$AM,MATCH(BU$1,  Feature_List!$A$1:$AM$1,0),0)=M282,".","NO"))</f>
        <v>.</v>
      </c>
      <c r="BV282" s="136" t="str">
        <f>IF($D282&lt;&gt;"Feature",".",
IF(VLOOKUP($B282,Feature_List!$A:$AM,MATCH(BV$1,  Feature_List!$A$1:$AM$1,0),0)=N282,".","NO"))</f>
        <v>.</v>
      </c>
      <c r="BW282" s="136"/>
      <c r="BX282" s="136"/>
      <c r="BY282" s="136"/>
      <c r="BZ282" s="136"/>
      <c r="CA282" s="136"/>
      <c r="CB282" s="136" t="str">
        <f>IF($D282&lt;&gt;"Feature",".",
IF(VLOOKUP($B282,Feature_List!$A:$AM,MATCH(CB$1,  Feature_List!$A$1:$AM$1,0),0)=T282,".","NO"))</f>
        <v>.</v>
      </c>
      <c r="CC282" s="136"/>
      <c r="CD282" s="136"/>
      <c r="CE282" s="136"/>
      <c r="CF282" s="136"/>
      <c r="CG282" s="136"/>
      <c r="CH282" s="136"/>
      <c r="CI282" s="136"/>
      <c r="CJ282" s="136"/>
      <c r="CK282" s="136"/>
      <c r="CL282" s="136"/>
      <c r="CM282" s="136"/>
      <c r="CN282" s="136"/>
      <c r="CO282" s="136" t="str">
        <f>IF($D282&lt;&gt;"Feature",".",
IF(VLOOKUP($B282,Feature_List!$A:$AM,MATCH(CO$1,  Feature_List!$A$1:$AM$1,0),0)=AG282,".","NO"))</f>
        <v>.</v>
      </c>
      <c r="CP282" s="136" t="str">
        <f>IF($D282&lt;&gt;"Feature",".",
IF(VLOOKUP($B282,Feature_List!$A:$AM,MATCH(CP$1,  Feature_List!$A$1:$AM$1,0),0)=AH282,".","NO"))</f>
        <v>.</v>
      </c>
      <c r="CQ282" s="136" t="str">
        <f>IF($D282&lt;&gt;"Feature",".",
IF(VLOOKUP($B282,Feature_List!$A:$AM,MATCH(CQ$1,  Feature_List!$A$1:$AM$1,0),0)=AI282,".","NO"))</f>
        <v>.</v>
      </c>
      <c r="CR282" s="136" t="str">
        <f>IF($D282&lt;&gt;"Feature",".",
IF(VLOOKUP($B282,Feature_List!$A:$AM,MATCH(CR$1,  Feature_List!$A$1:$AM$1,0),0)=AJ282,".","NO"))</f>
        <v>.</v>
      </c>
      <c r="CS282" s="136" t="str">
        <f>IF($D282&lt;&gt;"Feature",".",
IF(VLOOKUP($B282,Feature_List!$A:$AM,MATCH(CS$1,  Feature_List!$A$1:$AM$1,0),0)=AK282,".","NO"))</f>
        <v>.</v>
      </c>
      <c r="CT282" s="136" t="str">
        <f>IF($D282&lt;&gt;"Feature",".",
IF(VLOOKUP($B282,Feature_List!$A:$AM,MATCH(CT$1,  Feature_List!$A$1:$AM$1,0),0)=AL282,".","NO"))</f>
        <v>.</v>
      </c>
      <c r="CU282" s="136" t="str">
        <f>IF($D282&lt;&gt;"Feature",".",
IF(VLOOKUP($B282,Feature_List!$A:$AM,MATCH(CU$1,  Feature_List!$A$1:$AM$1,0),0)=AM282,".","NO"))</f>
        <v>.</v>
      </c>
      <c r="CV282" s="136" t="str">
        <f>IF($D282&lt;&gt;"Feature",".",
IF(VLOOKUP($B282,Feature_List!$A:$AM,MATCH(CV$1,  Feature_List!$A$1:$AM$1,0),0)=AN282,".","NO"))</f>
        <v>.</v>
      </c>
      <c r="CW282" s="136" t="str">
        <f>IF($D282&lt;&gt;"Feature",".",
IF(VLOOKUP($B282,Feature_List!$A:$AM,MATCH(CW$1,  Feature_List!$A$1:$AM$1,0),0)=AO282,".","NO"))</f>
        <v>.</v>
      </c>
      <c r="CX282" s="136" t="str">
        <f>IF($D282&lt;&gt;"Feature",".",
IF(VLOOKUP($B282,Feature_List!$A:$AM,MATCH(CX$1,  Feature_List!$A$1:$AM$1,0),0)=AP282,".","NO"))</f>
        <v>.</v>
      </c>
      <c r="CY282" s="136" t="str">
        <f>IF($D282&lt;&gt;"Feature",".",
IF(VLOOKUP($B282,Feature_List!$A:$AM,MATCH(CY$1,  Feature_List!$A$1:$AM$1,0),0)=AQ282,".","NO"))</f>
        <v>.</v>
      </c>
      <c r="CZ282" s="136" t="str">
        <f>IF($D282&lt;&gt;"Feature",".",
IF(VLOOKUP($B282,Feature_List!$A:$AM,MATCH(CZ$1,  Feature_List!$A$1:$AM$1,0),0)=AR282,".","NO"))</f>
        <v>.</v>
      </c>
      <c r="DA282" s="136" t="str">
        <f>IF($D282&lt;&gt;"Feature",".",
IF(VLOOKUP($B282,Feature_List!$A:$AM,MATCH(DA$1,  Feature_List!$A$1:$AM$1,0),0)=AS282,".","NO"))</f>
        <v>.</v>
      </c>
      <c r="DB282" s="136" t="str">
        <f>IF($D282&lt;&gt;"Feature",".",
IF(VLOOKUP($B282,Feature_List!$A:$AM,MATCH(DB$1,  Feature_List!$A$1:$AM$1,0),0)=AT282,".","NO"))</f>
        <v>.</v>
      </c>
      <c r="DC282" s="136" t="str">
        <f>IF($D282&lt;&gt;"Feature",".",
IF(VLOOKUP($B282,Feature_List!$A:$AM,MATCH(DC$1,  Feature_List!$A$1:$AM$1,0),0)=AU282,".","NO"))</f>
        <v>.</v>
      </c>
      <c r="DD282" s="136" t="str">
        <f>IF($D282&lt;&gt;"Feature",".",
IF(VLOOKUP($B282,Feature_List!$A:$AM,MATCH(DD$1,  Feature_List!$A$1:$AM$1,0),0)=AV282,".","NO"))</f>
        <v>.</v>
      </c>
      <c r="DE282" s="136" t="str">
        <f>IF($D282&lt;&gt;"Feature",".",
IF(VLOOKUP($B282,Feature_List!$A:$AM,MATCH(DE$1,  Feature_List!$A$1:$AM$1,0),0)=AW282,".","NO"))</f>
        <v>.</v>
      </c>
      <c r="DF282" s="136" t="str">
        <f>IF($D282&lt;&gt;"Feature",".",
IF(VLOOKUP($B282,Feature_List!$A:$AM,MATCH(DF$1,  Feature_List!$A$1:$AM$1,0),0)=AX282,".","NO"))</f>
        <v>.</v>
      </c>
      <c r="DG282" s="136" t="str">
        <f>IF($D282&lt;&gt;"Feature",".",
IF(VLOOKUP($B282,Feature_List!$A:$AM,MATCH(DG$1,  Feature_List!$A$1:$AM$1,0),0)=AY282,".","NO"))</f>
        <v>.</v>
      </c>
      <c r="DH282" s="136" t="str">
        <f>IF($D282&lt;&gt;"Feature",".",
IF(VLOOKUP($B282,Feature_List!$A:$AM,MATCH(DH$1,  Feature_List!$A$1:$AM$1,0),0)=AZ282,".","NO"))</f>
        <v>.</v>
      </c>
      <c r="DI282" s="136" t="str">
        <f>IF($D282&lt;&gt;"Feature",".",
IF(VLOOKUP($B282,Feature_List!$A:$AM,MATCH(DI$1,  Feature_List!$A$1:$AM$1,0),0)=BA282,".","NO"))</f>
        <v>.</v>
      </c>
      <c r="DJ282" s="136" t="str">
        <f>IF($D282&lt;&gt;"Feature",".",
IF(VLOOKUP($B282,Feature_List!$A:$AM,MATCH(DJ$1,  Feature_List!$A$1:$AM$1,0),0)=BB282,".","NO"))</f>
        <v>.</v>
      </c>
      <c r="DK282" s="136"/>
      <c r="DL282" s="136"/>
      <c r="DM282" s="136"/>
      <c r="DN282" s="136" t="str">
        <f>IF($D282&lt;&gt;"Feature",".",
IF(VLOOKUP($B282,Feature_List!$A:$AM,MATCH(DN$1,  Feature_List!$A$1:$AM$1,0),0)=BC282,".","NO"))</f>
        <v>.</v>
      </c>
      <c r="DO282" s="136" t="str">
        <f>IF($D282&lt;&gt;"Feature",".",
IF(VLOOKUP($B282,Feature_List!$A:$AM,MATCH(DO$1,  Feature_List!$A$1:$AM$1,0),0)=BD282,".","NO"))</f>
        <v>.</v>
      </c>
    </row>
    <row r="283" spans="2:119" x14ac:dyDescent="0.3">
      <c r="B283" s="121"/>
      <c r="C283" s="122"/>
      <c r="D283" s="122"/>
      <c r="E283" s="122"/>
      <c r="F283" s="123"/>
      <c r="G283" s="123"/>
      <c r="H283" s="122"/>
      <c r="I283" s="124"/>
      <c r="J283" s="123"/>
      <c r="K283" s="123"/>
      <c r="L283" s="122"/>
      <c r="M283" s="122"/>
      <c r="N283" s="122"/>
      <c r="O283" s="123">
        <f t="shared" si="150"/>
        <v>0</v>
      </c>
      <c r="P283" s="123">
        <f t="shared" si="151"/>
        <v>0</v>
      </c>
      <c r="Q283" s="122" t="str">
        <f t="shared" si="172"/>
        <v>ZeroEntry</v>
      </c>
      <c r="R283" s="126" t="str">
        <f t="shared" si="152"/>
        <v>ZeroEntry</v>
      </c>
      <c r="S283" s="127" t="str">
        <f t="shared" si="153"/>
        <v>ZeroEntry</v>
      </c>
      <c r="T283" s="128" t="str">
        <f>IF($Q283="ZeroEntry", "",VLOOKUP($I283,'Ranking Lookup'!#REF!,2,FALSE))</f>
        <v/>
      </c>
      <c r="U283" s="129" t="str">
        <f t="shared" si="154"/>
        <v/>
      </c>
      <c r="V283" s="129" t="str">
        <f t="shared" si="155"/>
        <v/>
      </c>
      <c r="W283" s="129" t="str">
        <f t="shared" si="156"/>
        <v/>
      </c>
      <c r="X283" s="129" t="str">
        <f t="shared" si="157"/>
        <v/>
      </c>
      <c r="Y283" s="129" t="str">
        <f t="shared" si="158"/>
        <v/>
      </c>
      <c r="Z283" s="129" t="str">
        <f t="shared" si="159"/>
        <v/>
      </c>
      <c r="AA283" s="130"/>
      <c r="AB283" s="130" t="str">
        <f t="shared" si="160"/>
        <v>Unassigned</v>
      </c>
      <c r="AC283" s="131" t="str">
        <f t="shared" si="173"/>
        <v/>
      </c>
      <c r="AD283" s="131" t="str">
        <f t="shared" si="174"/>
        <v/>
      </c>
      <c r="AE283" s="132">
        <f t="shared" si="161"/>
        <v>0</v>
      </c>
      <c r="AF283" s="133" t="str">
        <f t="shared" si="175"/>
        <v/>
      </c>
      <c r="AG283" s="134">
        <f t="shared" si="162"/>
        <v>0</v>
      </c>
      <c r="AH283" s="54" t="str">
        <f t="shared" si="163"/>
        <v/>
      </c>
      <c r="AI283" s="54" t="str">
        <f t="shared" si="179"/>
        <v/>
      </c>
      <c r="AJ283" s="54" t="str">
        <f t="shared" si="179"/>
        <v/>
      </c>
      <c r="AK283" s="54" t="str">
        <f t="shared" si="179"/>
        <v/>
      </c>
      <c r="AL283" s="54" t="str">
        <f t="shared" si="179"/>
        <v/>
      </c>
      <c r="AM283" s="54" t="str">
        <f t="shared" si="179"/>
        <v/>
      </c>
      <c r="AN283" s="54" t="str">
        <f t="shared" si="179"/>
        <v/>
      </c>
      <c r="AO283" s="54" t="str">
        <f t="shared" si="179"/>
        <v/>
      </c>
      <c r="AP283" s="54" t="str">
        <f t="shared" si="179"/>
        <v/>
      </c>
      <c r="AQ283" s="54" t="str">
        <f t="shared" si="179"/>
        <v/>
      </c>
      <c r="AR283" s="54" t="str">
        <f t="shared" si="179"/>
        <v/>
      </c>
      <c r="AS283" s="54" t="str">
        <f t="shared" si="179"/>
        <v/>
      </c>
      <c r="AT283" s="54" t="str">
        <f t="shared" si="179"/>
        <v/>
      </c>
      <c r="AU283" s="54" t="str">
        <f t="shared" si="179"/>
        <v/>
      </c>
      <c r="AV283" s="54" t="str">
        <f t="shared" si="179"/>
        <v/>
      </c>
      <c r="AW283" s="54" t="str">
        <f t="shared" si="179"/>
        <v/>
      </c>
      <c r="AX283" s="54" t="str">
        <f t="shared" si="179"/>
        <v/>
      </c>
      <c r="AY283" s="54" t="str">
        <f t="shared" si="177"/>
        <v/>
      </c>
      <c r="AZ283" s="54" t="str">
        <f t="shared" si="165"/>
        <v/>
      </c>
      <c r="BA283" s="54" t="str">
        <f t="shared" si="166"/>
        <v/>
      </c>
      <c r="BB283" s="135" t="str">
        <f t="shared" si="167"/>
        <v/>
      </c>
      <c r="BC283" s="54" t="str">
        <f t="shared" si="180"/>
        <v/>
      </c>
      <c r="BD283" s="54" t="str">
        <f t="shared" si="180"/>
        <v/>
      </c>
      <c r="BE283" s="54" t="str">
        <f t="shared" si="180"/>
        <v/>
      </c>
      <c r="BF283" s="54" t="str">
        <f t="shared" si="168"/>
        <v/>
      </c>
      <c r="BG283" s="54" t="str">
        <f t="shared" si="169"/>
        <v/>
      </c>
      <c r="BH283" s="34" t="str">
        <f t="shared" si="170"/>
        <v>Bad</v>
      </c>
      <c r="BI283" s="34" t="str">
        <f t="shared" si="171"/>
        <v>No</v>
      </c>
      <c r="BJ283" s="136" t="str">
        <f>IF($D283&lt;&gt;"Feature",".",
IF(VLOOKUP($B283,Feature_List!$A:$AM,MATCH(BJ$1,  Feature_List!$A$1:$AM$1,0),0)=B283,".","NO"))</f>
        <v>.</v>
      </c>
      <c r="BK283" s="136"/>
      <c r="BL283" s="136"/>
      <c r="BM283" s="136" t="str">
        <f>IF($D283&lt;&gt;"Feature",".",
IF(VLOOKUP($B283,Feature_List!$A:$AM,MATCH(BM$1,  Feature_List!$A$1:$AM$1,0),0)=E283,".","NO"))</f>
        <v>.</v>
      </c>
      <c r="BN283" s="136" t="str">
        <f>IF($D283&lt;&gt;"Feature",".",
IF(VLOOKUP($B283,Feature_List!$A:$AM,MATCH(BN$1,  Feature_List!$A$1:$AM$1,0),0)=F283,".","NO"))</f>
        <v>.</v>
      </c>
      <c r="BO283" s="136" t="str">
        <f>IF($D283&lt;&gt;"Feature",".",
IF(VLOOKUP($B283,Feature_List!$A:$AM,MATCH(BO$1,  Feature_List!$A$1:$AM$1,0),0)=G283,".","NO"))</f>
        <v>.</v>
      </c>
      <c r="BP283" s="136" t="str">
        <f>IF($D283&lt;&gt;"Feature",".",
IF(VLOOKUP($B283,Feature_List!$A:$AM,MATCH(BP$1,  Feature_List!$A$1:$AM$1,0),0)=H283,".","NO"))</f>
        <v>.</v>
      </c>
      <c r="BQ283" s="136"/>
      <c r="BR283" s="136" t="str">
        <f>IF($D283&lt;&gt;"Feature",".",
IF(VLOOKUP($B283,Feature_List!$A:$AM,MATCH(BR$1,  Feature_List!$A$1:$AM$1,0),0)=J283,".","NO"))</f>
        <v>.</v>
      </c>
      <c r="BS283" s="136"/>
      <c r="BT283" s="136"/>
      <c r="BU283" s="136" t="str">
        <f>IF($D283&lt;&gt;"Feature",".",
IF(VLOOKUP($B283,Feature_List!$A:$AM,MATCH(BU$1,  Feature_List!$A$1:$AM$1,0),0)=M283,".","NO"))</f>
        <v>.</v>
      </c>
      <c r="BV283" s="136" t="str">
        <f>IF($D283&lt;&gt;"Feature",".",
IF(VLOOKUP($B283,Feature_List!$A:$AM,MATCH(BV$1,  Feature_List!$A$1:$AM$1,0),0)=N283,".","NO"))</f>
        <v>.</v>
      </c>
      <c r="BW283" s="136"/>
      <c r="BX283" s="136"/>
      <c r="BY283" s="136"/>
      <c r="BZ283" s="136"/>
      <c r="CA283" s="136"/>
      <c r="CB283" s="136" t="str">
        <f>IF($D283&lt;&gt;"Feature",".",
IF(VLOOKUP($B283,Feature_List!$A:$AM,MATCH(CB$1,  Feature_List!$A$1:$AM$1,0),0)=T283,".","NO"))</f>
        <v>.</v>
      </c>
      <c r="CC283" s="136"/>
      <c r="CD283" s="136"/>
      <c r="CE283" s="136"/>
      <c r="CF283" s="136"/>
      <c r="CG283" s="136"/>
      <c r="CH283" s="136"/>
      <c r="CI283" s="136"/>
      <c r="CJ283" s="136"/>
      <c r="CK283" s="136"/>
      <c r="CL283" s="136"/>
      <c r="CM283" s="136"/>
      <c r="CN283" s="136"/>
      <c r="CO283" s="136" t="str">
        <f>IF($D283&lt;&gt;"Feature",".",
IF(VLOOKUP($B283,Feature_List!$A:$AM,MATCH(CO$1,  Feature_List!$A$1:$AM$1,0),0)=AG283,".","NO"))</f>
        <v>.</v>
      </c>
      <c r="CP283" s="136" t="str">
        <f>IF($D283&lt;&gt;"Feature",".",
IF(VLOOKUP($B283,Feature_List!$A:$AM,MATCH(CP$1,  Feature_List!$A$1:$AM$1,0),0)=AH283,".","NO"))</f>
        <v>.</v>
      </c>
      <c r="CQ283" s="136" t="str">
        <f>IF($D283&lt;&gt;"Feature",".",
IF(VLOOKUP($B283,Feature_List!$A:$AM,MATCH(CQ$1,  Feature_List!$A$1:$AM$1,0),0)=AI283,".","NO"))</f>
        <v>.</v>
      </c>
      <c r="CR283" s="136" t="str">
        <f>IF($D283&lt;&gt;"Feature",".",
IF(VLOOKUP($B283,Feature_List!$A:$AM,MATCH(CR$1,  Feature_List!$A$1:$AM$1,0),0)=AJ283,".","NO"))</f>
        <v>.</v>
      </c>
      <c r="CS283" s="136" t="str">
        <f>IF($D283&lt;&gt;"Feature",".",
IF(VLOOKUP($B283,Feature_List!$A:$AM,MATCH(CS$1,  Feature_List!$A$1:$AM$1,0),0)=AK283,".","NO"))</f>
        <v>.</v>
      </c>
      <c r="CT283" s="136" t="str">
        <f>IF($D283&lt;&gt;"Feature",".",
IF(VLOOKUP($B283,Feature_List!$A:$AM,MATCH(CT$1,  Feature_List!$A$1:$AM$1,0),0)=AL283,".","NO"))</f>
        <v>.</v>
      </c>
      <c r="CU283" s="136" t="str">
        <f>IF($D283&lt;&gt;"Feature",".",
IF(VLOOKUP($B283,Feature_List!$A:$AM,MATCH(CU$1,  Feature_List!$A$1:$AM$1,0),0)=AM283,".","NO"))</f>
        <v>.</v>
      </c>
      <c r="CV283" s="136" t="str">
        <f>IF($D283&lt;&gt;"Feature",".",
IF(VLOOKUP($B283,Feature_List!$A:$AM,MATCH(CV$1,  Feature_List!$A$1:$AM$1,0),0)=AN283,".","NO"))</f>
        <v>.</v>
      </c>
      <c r="CW283" s="136" t="str">
        <f>IF($D283&lt;&gt;"Feature",".",
IF(VLOOKUP($B283,Feature_List!$A:$AM,MATCH(CW$1,  Feature_List!$A$1:$AM$1,0),0)=AO283,".","NO"))</f>
        <v>.</v>
      </c>
      <c r="CX283" s="136" t="str">
        <f>IF($D283&lt;&gt;"Feature",".",
IF(VLOOKUP($B283,Feature_List!$A:$AM,MATCH(CX$1,  Feature_List!$A$1:$AM$1,0),0)=AP283,".","NO"))</f>
        <v>.</v>
      </c>
      <c r="CY283" s="136" t="str">
        <f>IF($D283&lt;&gt;"Feature",".",
IF(VLOOKUP($B283,Feature_List!$A:$AM,MATCH(CY$1,  Feature_List!$A$1:$AM$1,0),0)=AQ283,".","NO"))</f>
        <v>.</v>
      </c>
      <c r="CZ283" s="136" t="str">
        <f>IF($D283&lt;&gt;"Feature",".",
IF(VLOOKUP($B283,Feature_List!$A:$AM,MATCH(CZ$1,  Feature_List!$A$1:$AM$1,0),0)=AR283,".","NO"))</f>
        <v>.</v>
      </c>
      <c r="DA283" s="136" t="str">
        <f>IF($D283&lt;&gt;"Feature",".",
IF(VLOOKUP($B283,Feature_List!$A:$AM,MATCH(DA$1,  Feature_List!$A$1:$AM$1,0),0)=AS283,".","NO"))</f>
        <v>.</v>
      </c>
      <c r="DB283" s="136" t="str">
        <f>IF($D283&lt;&gt;"Feature",".",
IF(VLOOKUP($B283,Feature_List!$A:$AM,MATCH(DB$1,  Feature_List!$A$1:$AM$1,0),0)=AT283,".","NO"))</f>
        <v>.</v>
      </c>
      <c r="DC283" s="136" t="str">
        <f>IF($D283&lt;&gt;"Feature",".",
IF(VLOOKUP($B283,Feature_List!$A:$AM,MATCH(DC$1,  Feature_List!$A$1:$AM$1,0),0)=AU283,".","NO"))</f>
        <v>.</v>
      </c>
      <c r="DD283" s="136" t="str">
        <f>IF($D283&lt;&gt;"Feature",".",
IF(VLOOKUP($B283,Feature_List!$A:$AM,MATCH(DD$1,  Feature_List!$A$1:$AM$1,0),0)=AV283,".","NO"))</f>
        <v>.</v>
      </c>
      <c r="DE283" s="136" t="str">
        <f>IF($D283&lt;&gt;"Feature",".",
IF(VLOOKUP($B283,Feature_List!$A:$AM,MATCH(DE$1,  Feature_List!$A$1:$AM$1,0),0)=AW283,".","NO"))</f>
        <v>.</v>
      </c>
      <c r="DF283" s="136" t="str">
        <f>IF($D283&lt;&gt;"Feature",".",
IF(VLOOKUP($B283,Feature_List!$A:$AM,MATCH(DF$1,  Feature_List!$A$1:$AM$1,0),0)=AX283,".","NO"))</f>
        <v>.</v>
      </c>
      <c r="DG283" s="136" t="str">
        <f>IF($D283&lt;&gt;"Feature",".",
IF(VLOOKUP($B283,Feature_List!$A:$AM,MATCH(DG$1,  Feature_List!$A$1:$AM$1,0),0)=AY283,".","NO"))</f>
        <v>.</v>
      </c>
      <c r="DH283" s="136" t="str">
        <f>IF($D283&lt;&gt;"Feature",".",
IF(VLOOKUP($B283,Feature_List!$A:$AM,MATCH(DH$1,  Feature_List!$A$1:$AM$1,0),0)=AZ283,".","NO"))</f>
        <v>.</v>
      </c>
      <c r="DI283" s="136" t="str">
        <f>IF($D283&lt;&gt;"Feature",".",
IF(VLOOKUP($B283,Feature_List!$A:$AM,MATCH(DI$1,  Feature_List!$A$1:$AM$1,0),0)=BA283,".","NO"))</f>
        <v>.</v>
      </c>
      <c r="DJ283" s="136" t="str">
        <f>IF($D283&lt;&gt;"Feature",".",
IF(VLOOKUP($B283,Feature_List!$A:$AM,MATCH(DJ$1,  Feature_List!$A$1:$AM$1,0),0)=BB283,".","NO"))</f>
        <v>.</v>
      </c>
      <c r="DK283" s="136"/>
      <c r="DL283" s="136"/>
      <c r="DM283" s="136"/>
      <c r="DN283" s="136" t="str">
        <f>IF($D283&lt;&gt;"Feature",".",
IF(VLOOKUP($B283,Feature_List!$A:$AM,MATCH(DN$1,  Feature_List!$A$1:$AM$1,0),0)=BC283,".","NO"))</f>
        <v>.</v>
      </c>
      <c r="DO283" s="136" t="str">
        <f>IF($D283&lt;&gt;"Feature",".",
IF(VLOOKUP($B283,Feature_List!$A:$AM,MATCH(DO$1,  Feature_List!$A$1:$AM$1,0),0)=BD283,".","NO"))</f>
        <v>.</v>
      </c>
    </row>
    <row r="284" spans="2:119" x14ac:dyDescent="0.3">
      <c r="B284" s="121"/>
      <c r="C284" s="122"/>
      <c r="D284" s="122"/>
      <c r="E284" s="122"/>
      <c r="F284" s="123"/>
      <c r="G284" s="123"/>
      <c r="H284" s="122"/>
      <c r="I284" s="124"/>
      <c r="J284" s="123"/>
      <c r="K284" s="123"/>
      <c r="L284" s="122"/>
      <c r="M284" s="122"/>
      <c r="N284" s="122"/>
      <c r="O284" s="123">
        <f t="shared" si="150"/>
        <v>0</v>
      </c>
      <c r="P284" s="123">
        <f t="shared" si="151"/>
        <v>0</v>
      </c>
      <c r="Q284" s="122" t="str">
        <f t="shared" si="172"/>
        <v>ZeroEntry</v>
      </c>
      <c r="R284" s="126" t="str">
        <f t="shared" si="152"/>
        <v>ZeroEntry</v>
      </c>
      <c r="S284" s="127" t="str">
        <f t="shared" si="153"/>
        <v>ZeroEntry</v>
      </c>
      <c r="T284" s="128" t="str">
        <f>IF($Q284="ZeroEntry", "",VLOOKUP($I284,'Ranking Lookup'!#REF!,2,FALSE))</f>
        <v/>
      </c>
      <c r="U284" s="129" t="str">
        <f t="shared" si="154"/>
        <v/>
      </c>
      <c r="V284" s="129" t="str">
        <f t="shared" si="155"/>
        <v/>
      </c>
      <c r="W284" s="129" t="str">
        <f t="shared" si="156"/>
        <v/>
      </c>
      <c r="X284" s="129" t="str">
        <f t="shared" si="157"/>
        <v/>
      </c>
      <c r="Y284" s="129" t="str">
        <f t="shared" si="158"/>
        <v/>
      </c>
      <c r="Z284" s="129" t="str">
        <f t="shared" si="159"/>
        <v/>
      </c>
      <c r="AA284" s="130"/>
      <c r="AB284" s="130" t="str">
        <f t="shared" si="160"/>
        <v>Unassigned</v>
      </c>
      <c r="AC284" s="131" t="str">
        <f t="shared" si="173"/>
        <v/>
      </c>
      <c r="AD284" s="131" t="str">
        <f t="shared" si="174"/>
        <v/>
      </c>
      <c r="AE284" s="132">
        <f t="shared" si="161"/>
        <v>0</v>
      </c>
      <c r="AF284" s="133" t="str">
        <f t="shared" si="175"/>
        <v/>
      </c>
      <c r="AG284" s="134">
        <f t="shared" si="162"/>
        <v>0</v>
      </c>
      <c r="AH284" s="54" t="str">
        <f t="shared" si="163"/>
        <v/>
      </c>
      <c r="AI284" s="54" t="str">
        <f t="shared" si="179"/>
        <v/>
      </c>
      <c r="AJ284" s="54" t="str">
        <f t="shared" si="179"/>
        <v/>
      </c>
      <c r="AK284" s="54" t="str">
        <f t="shared" si="179"/>
        <v/>
      </c>
      <c r="AL284" s="54" t="str">
        <f t="shared" si="179"/>
        <v/>
      </c>
      <c r="AM284" s="54" t="str">
        <f t="shared" si="179"/>
        <v/>
      </c>
      <c r="AN284" s="54" t="str">
        <f t="shared" si="179"/>
        <v/>
      </c>
      <c r="AO284" s="54" t="str">
        <f t="shared" si="179"/>
        <v/>
      </c>
      <c r="AP284" s="54" t="str">
        <f t="shared" si="179"/>
        <v/>
      </c>
      <c r="AQ284" s="54" t="str">
        <f t="shared" si="179"/>
        <v/>
      </c>
      <c r="AR284" s="54" t="str">
        <f t="shared" si="179"/>
        <v/>
      </c>
      <c r="AS284" s="54" t="str">
        <f t="shared" si="179"/>
        <v/>
      </c>
      <c r="AT284" s="54" t="str">
        <f t="shared" si="179"/>
        <v/>
      </c>
      <c r="AU284" s="54" t="str">
        <f t="shared" si="179"/>
        <v/>
      </c>
      <c r="AV284" s="54" t="str">
        <f t="shared" si="179"/>
        <v/>
      </c>
      <c r="AW284" s="54" t="str">
        <f t="shared" si="179"/>
        <v/>
      </c>
      <c r="AX284" s="54" t="str">
        <f t="shared" si="179"/>
        <v/>
      </c>
      <c r="AY284" s="54" t="str">
        <f t="shared" si="177"/>
        <v/>
      </c>
      <c r="AZ284" s="54" t="str">
        <f t="shared" si="165"/>
        <v/>
      </c>
      <c r="BA284" s="54" t="str">
        <f t="shared" si="166"/>
        <v/>
      </c>
      <c r="BB284" s="135" t="str">
        <f t="shared" si="167"/>
        <v/>
      </c>
      <c r="BC284" s="54" t="str">
        <f t="shared" si="180"/>
        <v/>
      </c>
      <c r="BD284" s="54" t="str">
        <f t="shared" si="180"/>
        <v/>
      </c>
      <c r="BE284" s="54" t="str">
        <f t="shared" si="180"/>
        <v/>
      </c>
      <c r="BF284" s="54" t="str">
        <f t="shared" si="168"/>
        <v/>
      </c>
      <c r="BG284" s="54" t="str">
        <f t="shared" si="169"/>
        <v/>
      </c>
      <c r="BH284" s="34" t="str">
        <f t="shared" si="170"/>
        <v>Bad</v>
      </c>
      <c r="BI284" s="34" t="str">
        <f t="shared" si="171"/>
        <v>No</v>
      </c>
      <c r="BJ284" s="136" t="str">
        <f>IF($D284&lt;&gt;"Feature",".",
IF(VLOOKUP($B284,Feature_List!$A:$AM,MATCH(BJ$1,  Feature_List!$A$1:$AM$1,0),0)=B284,".","NO"))</f>
        <v>.</v>
      </c>
      <c r="BK284" s="136"/>
      <c r="BL284" s="136"/>
      <c r="BM284" s="136" t="str">
        <f>IF($D284&lt;&gt;"Feature",".",
IF(VLOOKUP($B284,Feature_List!$A:$AM,MATCH(BM$1,  Feature_List!$A$1:$AM$1,0),0)=E284,".","NO"))</f>
        <v>.</v>
      </c>
      <c r="BN284" s="136" t="str">
        <f>IF($D284&lt;&gt;"Feature",".",
IF(VLOOKUP($B284,Feature_List!$A:$AM,MATCH(BN$1,  Feature_List!$A$1:$AM$1,0),0)=F284,".","NO"))</f>
        <v>.</v>
      </c>
      <c r="BO284" s="136" t="str">
        <f>IF($D284&lt;&gt;"Feature",".",
IF(VLOOKUP($B284,Feature_List!$A:$AM,MATCH(BO$1,  Feature_List!$A$1:$AM$1,0),0)=G284,".","NO"))</f>
        <v>.</v>
      </c>
      <c r="BP284" s="136" t="str">
        <f>IF($D284&lt;&gt;"Feature",".",
IF(VLOOKUP($B284,Feature_List!$A:$AM,MATCH(BP$1,  Feature_List!$A$1:$AM$1,0),0)=H284,".","NO"))</f>
        <v>.</v>
      </c>
      <c r="BQ284" s="136"/>
      <c r="BR284" s="136" t="str">
        <f>IF($D284&lt;&gt;"Feature",".",
IF(VLOOKUP($B284,Feature_List!$A:$AM,MATCH(BR$1,  Feature_List!$A$1:$AM$1,0),0)=J284,".","NO"))</f>
        <v>.</v>
      </c>
      <c r="BS284" s="136"/>
      <c r="BT284" s="136"/>
      <c r="BU284" s="136" t="str">
        <f>IF($D284&lt;&gt;"Feature",".",
IF(VLOOKUP($B284,Feature_List!$A:$AM,MATCH(BU$1,  Feature_List!$A$1:$AM$1,0),0)=M284,".","NO"))</f>
        <v>.</v>
      </c>
      <c r="BV284" s="136" t="str">
        <f>IF($D284&lt;&gt;"Feature",".",
IF(VLOOKUP($B284,Feature_List!$A:$AM,MATCH(BV$1,  Feature_List!$A$1:$AM$1,0),0)=N284,".","NO"))</f>
        <v>.</v>
      </c>
      <c r="BW284" s="136"/>
      <c r="BX284" s="136"/>
      <c r="BY284" s="136"/>
      <c r="BZ284" s="136"/>
      <c r="CA284" s="136"/>
      <c r="CB284" s="136" t="str">
        <f>IF($D284&lt;&gt;"Feature",".",
IF(VLOOKUP($B284,Feature_List!$A:$AM,MATCH(CB$1,  Feature_List!$A$1:$AM$1,0),0)=T284,".","NO"))</f>
        <v>.</v>
      </c>
      <c r="CC284" s="136"/>
      <c r="CD284" s="136"/>
      <c r="CE284" s="136"/>
      <c r="CF284" s="136"/>
      <c r="CG284" s="136"/>
      <c r="CH284" s="136"/>
      <c r="CI284" s="136"/>
      <c r="CJ284" s="136"/>
      <c r="CK284" s="136"/>
      <c r="CL284" s="136"/>
      <c r="CM284" s="136"/>
      <c r="CN284" s="136"/>
      <c r="CO284" s="136" t="str">
        <f>IF($D284&lt;&gt;"Feature",".",
IF(VLOOKUP($B284,Feature_List!$A:$AM,MATCH(CO$1,  Feature_List!$A$1:$AM$1,0),0)=AG284,".","NO"))</f>
        <v>.</v>
      </c>
      <c r="CP284" s="136" t="str">
        <f>IF($D284&lt;&gt;"Feature",".",
IF(VLOOKUP($B284,Feature_List!$A:$AM,MATCH(CP$1,  Feature_List!$A$1:$AM$1,0),0)=AH284,".","NO"))</f>
        <v>.</v>
      </c>
      <c r="CQ284" s="136" t="str">
        <f>IF($D284&lt;&gt;"Feature",".",
IF(VLOOKUP($B284,Feature_List!$A:$AM,MATCH(CQ$1,  Feature_List!$A$1:$AM$1,0),0)=AI284,".","NO"))</f>
        <v>.</v>
      </c>
      <c r="CR284" s="136" t="str">
        <f>IF($D284&lt;&gt;"Feature",".",
IF(VLOOKUP($B284,Feature_List!$A:$AM,MATCH(CR$1,  Feature_List!$A$1:$AM$1,0),0)=AJ284,".","NO"))</f>
        <v>.</v>
      </c>
      <c r="CS284" s="136" t="str">
        <f>IF($D284&lt;&gt;"Feature",".",
IF(VLOOKUP($B284,Feature_List!$A:$AM,MATCH(CS$1,  Feature_List!$A$1:$AM$1,0),0)=AK284,".","NO"))</f>
        <v>.</v>
      </c>
      <c r="CT284" s="136" t="str">
        <f>IF($D284&lt;&gt;"Feature",".",
IF(VLOOKUP($B284,Feature_List!$A:$AM,MATCH(CT$1,  Feature_List!$A$1:$AM$1,0),0)=AL284,".","NO"))</f>
        <v>.</v>
      </c>
      <c r="CU284" s="136" t="str">
        <f>IF($D284&lt;&gt;"Feature",".",
IF(VLOOKUP($B284,Feature_List!$A:$AM,MATCH(CU$1,  Feature_List!$A$1:$AM$1,0),0)=AM284,".","NO"))</f>
        <v>.</v>
      </c>
      <c r="CV284" s="136" t="str">
        <f>IF($D284&lt;&gt;"Feature",".",
IF(VLOOKUP($B284,Feature_List!$A:$AM,MATCH(CV$1,  Feature_List!$A$1:$AM$1,0),0)=AN284,".","NO"))</f>
        <v>.</v>
      </c>
      <c r="CW284" s="136" t="str">
        <f>IF($D284&lt;&gt;"Feature",".",
IF(VLOOKUP($B284,Feature_List!$A:$AM,MATCH(CW$1,  Feature_List!$A$1:$AM$1,0),0)=AO284,".","NO"))</f>
        <v>.</v>
      </c>
      <c r="CX284" s="136" t="str">
        <f>IF($D284&lt;&gt;"Feature",".",
IF(VLOOKUP($B284,Feature_List!$A:$AM,MATCH(CX$1,  Feature_List!$A$1:$AM$1,0),0)=AP284,".","NO"))</f>
        <v>.</v>
      </c>
      <c r="CY284" s="136" t="str">
        <f>IF($D284&lt;&gt;"Feature",".",
IF(VLOOKUP($B284,Feature_List!$A:$AM,MATCH(CY$1,  Feature_List!$A$1:$AM$1,0),0)=AQ284,".","NO"))</f>
        <v>.</v>
      </c>
      <c r="CZ284" s="136" t="str">
        <f>IF($D284&lt;&gt;"Feature",".",
IF(VLOOKUP($B284,Feature_List!$A:$AM,MATCH(CZ$1,  Feature_List!$A$1:$AM$1,0),0)=AR284,".","NO"))</f>
        <v>.</v>
      </c>
      <c r="DA284" s="136" t="str">
        <f>IF($D284&lt;&gt;"Feature",".",
IF(VLOOKUP($B284,Feature_List!$A:$AM,MATCH(DA$1,  Feature_List!$A$1:$AM$1,0),0)=AS284,".","NO"))</f>
        <v>.</v>
      </c>
      <c r="DB284" s="136" t="str">
        <f>IF($D284&lt;&gt;"Feature",".",
IF(VLOOKUP($B284,Feature_List!$A:$AM,MATCH(DB$1,  Feature_List!$A$1:$AM$1,0),0)=AT284,".","NO"))</f>
        <v>.</v>
      </c>
      <c r="DC284" s="136" t="str">
        <f>IF($D284&lt;&gt;"Feature",".",
IF(VLOOKUP($B284,Feature_List!$A:$AM,MATCH(DC$1,  Feature_List!$A$1:$AM$1,0),0)=AU284,".","NO"))</f>
        <v>.</v>
      </c>
      <c r="DD284" s="136" t="str">
        <f>IF($D284&lt;&gt;"Feature",".",
IF(VLOOKUP($B284,Feature_List!$A:$AM,MATCH(DD$1,  Feature_List!$A$1:$AM$1,0),0)=AV284,".","NO"))</f>
        <v>.</v>
      </c>
      <c r="DE284" s="136" t="str">
        <f>IF($D284&lt;&gt;"Feature",".",
IF(VLOOKUP($B284,Feature_List!$A:$AM,MATCH(DE$1,  Feature_List!$A$1:$AM$1,0),0)=AW284,".","NO"))</f>
        <v>.</v>
      </c>
      <c r="DF284" s="136" t="str">
        <f>IF($D284&lt;&gt;"Feature",".",
IF(VLOOKUP($B284,Feature_List!$A:$AM,MATCH(DF$1,  Feature_List!$A$1:$AM$1,0),0)=AX284,".","NO"))</f>
        <v>.</v>
      </c>
      <c r="DG284" s="136" t="str">
        <f>IF($D284&lt;&gt;"Feature",".",
IF(VLOOKUP($B284,Feature_List!$A:$AM,MATCH(DG$1,  Feature_List!$A$1:$AM$1,0),0)=AY284,".","NO"))</f>
        <v>.</v>
      </c>
      <c r="DH284" s="136" t="str">
        <f>IF($D284&lt;&gt;"Feature",".",
IF(VLOOKUP($B284,Feature_List!$A:$AM,MATCH(DH$1,  Feature_List!$A$1:$AM$1,0),0)=AZ284,".","NO"))</f>
        <v>.</v>
      </c>
      <c r="DI284" s="136" t="str">
        <f>IF($D284&lt;&gt;"Feature",".",
IF(VLOOKUP($B284,Feature_List!$A:$AM,MATCH(DI$1,  Feature_List!$A$1:$AM$1,0),0)=BA284,".","NO"))</f>
        <v>.</v>
      </c>
      <c r="DJ284" s="136" t="str">
        <f>IF($D284&lt;&gt;"Feature",".",
IF(VLOOKUP($B284,Feature_List!$A:$AM,MATCH(DJ$1,  Feature_List!$A$1:$AM$1,0),0)=BB284,".","NO"))</f>
        <v>.</v>
      </c>
      <c r="DK284" s="136"/>
      <c r="DL284" s="136"/>
      <c r="DM284" s="136"/>
      <c r="DN284" s="136" t="str">
        <f>IF($D284&lt;&gt;"Feature",".",
IF(VLOOKUP($B284,Feature_List!$A:$AM,MATCH(DN$1,  Feature_List!$A$1:$AM$1,0),0)=BC284,".","NO"))</f>
        <v>.</v>
      </c>
      <c r="DO284" s="136" t="str">
        <f>IF($D284&lt;&gt;"Feature",".",
IF(VLOOKUP($B284,Feature_List!$A:$AM,MATCH(DO$1,  Feature_List!$A$1:$AM$1,0),0)=BD284,".","NO"))</f>
        <v>.</v>
      </c>
    </row>
    <row r="285" spans="2:119" x14ac:dyDescent="0.3">
      <c r="B285" s="121"/>
      <c r="C285" s="122"/>
      <c r="D285" s="122"/>
      <c r="E285" s="122"/>
      <c r="F285" s="123"/>
      <c r="G285" s="123"/>
      <c r="H285" s="122"/>
      <c r="I285" s="124"/>
      <c r="J285" s="123"/>
      <c r="K285" s="123"/>
      <c r="L285" s="122"/>
      <c r="M285" s="122"/>
      <c r="N285" s="122"/>
      <c r="O285" s="123">
        <f t="shared" si="150"/>
        <v>0</v>
      </c>
      <c r="P285" s="123">
        <f t="shared" si="151"/>
        <v>0</v>
      </c>
      <c r="Q285" s="122" t="str">
        <f t="shared" si="172"/>
        <v>ZeroEntry</v>
      </c>
      <c r="R285" s="126" t="str">
        <f t="shared" si="152"/>
        <v>ZeroEntry</v>
      </c>
      <c r="S285" s="127" t="str">
        <f t="shared" si="153"/>
        <v>ZeroEntry</v>
      </c>
      <c r="T285" s="128" t="str">
        <f>IF($Q285="ZeroEntry", "",VLOOKUP($I285,'Ranking Lookup'!#REF!,2,FALSE))</f>
        <v/>
      </c>
      <c r="U285" s="129" t="str">
        <f t="shared" si="154"/>
        <v/>
      </c>
      <c r="V285" s="129" t="str">
        <f t="shared" si="155"/>
        <v/>
      </c>
      <c r="W285" s="129" t="str">
        <f t="shared" si="156"/>
        <v/>
      </c>
      <c r="X285" s="129" t="str">
        <f t="shared" si="157"/>
        <v/>
      </c>
      <c r="Y285" s="129" t="str">
        <f t="shared" si="158"/>
        <v/>
      </c>
      <c r="Z285" s="129" t="str">
        <f t="shared" si="159"/>
        <v/>
      </c>
      <c r="AA285" s="130"/>
      <c r="AB285" s="130" t="str">
        <f t="shared" si="160"/>
        <v>Unassigned</v>
      </c>
      <c r="AC285" s="131" t="str">
        <f t="shared" si="173"/>
        <v/>
      </c>
      <c r="AD285" s="131" t="str">
        <f t="shared" si="174"/>
        <v/>
      </c>
      <c r="AE285" s="132">
        <f t="shared" si="161"/>
        <v>0</v>
      </c>
      <c r="AF285" s="133" t="str">
        <f t="shared" si="175"/>
        <v/>
      </c>
      <c r="AG285" s="134">
        <f t="shared" si="162"/>
        <v>0</v>
      </c>
      <c r="AH285" s="54" t="str">
        <f t="shared" si="163"/>
        <v/>
      </c>
      <c r="AI285" s="54" t="str">
        <f t="shared" si="179"/>
        <v/>
      </c>
      <c r="AJ285" s="54" t="str">
        <f t="shared" si="179"/>
        <v/>
      </c>
      <c r="AK285" s="54" t="str">
        <f t="shared" si="179"/>
        <v/>
      </c>
      <c r="AL285" s="54" t="str">
        <f t="shared" si="179"/>
        <v/>
      </c>
      <c r="AM285" s="54" t="str">
        <f t="shared" si="179"/>
        <v/>
      </c>
      <c r="AN285" s="54" t="str">
        <f t="shared" si="179"/>
        <v/>
      </c>
      <c r="AO285" s="54" t="str">
        <f t="shared" si="179"/>
        <v/>
      </c>
      <c r="AP285" s="54" t="str">
        <f t="shared" si="179"/>
        <v/>
      </c>
      <c r="AQ285" s="54" t="str">
        <f t="shared" si="179"/>
        <v/>
      </c>
      <c r="AR285" s="54" t="str">
        <f t="shared" si="179"/>
        <v/>
      </c>
      <c r="AS285" s="54" t="str">
        <f t="shared" si="179"/>
        <v/>
      </c>
      <c r="AT285" s="54" t="str">
        <f t="shared" si="179"/>
        <v/>
      </c>
      <c r="AU285" s="54" t="str">
        <f t="shared" si="179"/>
        <v/>
      </c>
      <c r="AV285" s="54" t="str">
        <f t="shared" si="179"/>
        <v/>
      </c>
      <c r="AW285" s="54" t="str">
        <f t="shared" si="179"/>
        <v/>
      </c>
      <c r="AX285" s="54" t="str">
        <f t="shared" si="179"/>
        <v/>
      </c>
      <c r="AY285" s="54" t="str">
        <f t="shared" si="177"/>
        <v/>
      </c>
      <c r="AZ285" s="54" t="str">
        <f t="shared" si="165"/>
        <v/>
      </c>
      <c r="BA285" s="54" t="str">
        <f t="shared" si="166"/>
        <v/>
      </c>
      <c r="BB285" s="135" t="str">
        <f t="shared" si="167"/>
        <v/>
      </c>
      <c r="BC285" s="54" t="str">
        <f t="shared" si="180"/>
        <v/>
      </c>
      <c r="BD285" s="54" t="str">
        <f t="shared" si="180"/>
        <v/>
      </c>
      <c r="BE285" s="54" t="str">
        <f t="shared" si="180"/>
        <v/>
      </c>
      <c r="BF285" s="54" t="str">
        <f t="shared" si="168"/>
        <v/>
      </c>
      <c r="BG285" s="54" t="str">
        <f t="shared" si="169"/>
        <v/>
      </c>
      <c r="BH285" s="34" t="str">
        <f t="shared" si="170"/>
        <v>Bad</v>
      </c>
      <c r="BI285" s="34" t="str">
        <f t="shared" si="171"/>
        <v>No</v>
      </c>
      <c r="BJ285" s="136" t="str">
        <f>IF($D285&lt;&gt;"Feature",".",
IF(VLOOKUP($B285,Feature_List!$A:$AM,MATCH(BJ$1,  Feature_List!$A$1:$AM$1,0),0)=B285,".","NO"))</f>
        <v>.</v>
      </c>
      <c r="BK285" s="136"/>
      <c r="BL285" s="136"/>
      <c r="BM285" s="136" t="str">
        <f>IF($D285&lt;&gt;"Feature",".",
IF(VLOOKUP($B285,Feature_List!$A:$AM,MATCH(BM$1,  Feature_List!$A$1:$AM$1,0),0)=E285,".","NO"))</f>
        <v>.</v>
      </c>
      <c r="BN285" s="136" t="str">
        <f>IF($D285&lt;&gt;"Feature",".",
IF(VLOOKUP($B285,Feature_List!$A:$AM,MATCH(BN$1,  Feature_List!$A$1:$AM$1,0),0)=F285,".","NO"))</f>
        <v>.</v>
      </c>
      <c r="BO285" s="136" t="str">
        <f>IF($D285&lt;&gt;"Feature",".",
IF(VLOOKUP($B285,Feature_List!$A:$AM,MATCH(BO$1,  Feature_List!$A$1:$AM$1,0),0)=G285,".","NO"))</f>
        <v>.</v>
      </c>
      <c r="BP285" s="136" t="str">
        <f>IF($D285&lt;&gt;"Feature",".",
IF(VLOOKUP($B285,Feature_List!$A:$AM,MATCH(BP$1,  Feature_List!$A$1:$AM$1,0),0)=H285,".","NO"))</f>
        <v>.</v>
      </c>
      <c r="BQ285" s="136"/>
      <c r="BR285" s="136" t="str">
        <f>IF($D285&lt;&gt;"Feature",".",
IF(VLOOKUP($B285,Feature_List!$A:$AM,MATCH(BR$1,  Feature_List!$A$1:$AM$1,0),0)=J285,".","NO"))</f>
        <v>.</v>
      </c>
      <c r="BS285" s="136"/>
      <c r="BT285" s="136"/>
      <c r="BU285" s="136" t="str">
        <f>IF($D285&lt;&gt;"Feature",".",
IF(VLOOKUP($B285,Feature_List!$A:$AM,MATCH(BU$1,  Feature_List!$A$1:$AM$1,0),0)=M285,".","NO"))</f>
        <v>.</v>
      </c>
      <c r="BV285" s="136" t="str">
        <f>IF($D285&lt;&gt;"Feature",".",
IF(VLOOKUP($B285,Feature_List!$A:$AM,MATCH(BV$1,  Feature_List!$A$1:$AM$1,0),0)=N285,".","NO"))</f>
        <v>.</v>
      </c>
      <c r="BW285" s="136"/>
      <c r="BX285" s="136"/>
      <c r="BY285" s="136"/>
      <c r="BZ285" s="136"/>
      <c r="CA285" s="136"/>
      <c r="CB285" s="136" t="str">
        <f>IF($D285&lt;&gt;"Feature",".",
IF(VLOOKUP($B285,Feature_List!$A:$AM,MATCH(CB$1,  Feature_List!$A$1:$AM$1,0),0)=T285,".","NO"))</f>
        <v>.</v>
      </c>
      <c r="CC285" s="136"/>
      <c r="CD285" s="136"/>
      <c r="CE285" s="136"/>
      <c r="CF285" s="136"/>
      <c r="CG285" s="136"/>
      <c r="CH285" s="136"/>
      <c r="CI285" s="136"/>
      <c r="CJ285" s="136"/>
      <c r="CK285" s="136"/>
      <c r="CL285" s="136"/>
      <c r="CM285" s="136"/>
      <c r="CN285" s="136"/>
      <c r="CO285" s="136" t="str">
        <f>IF($D285&lt;&gt;"Feature",".",
IF(VLOOKUP($B285,Feature_List!$A:$AM,MATCH(CO$1,  Feature_List!$A$1:$AM$1,0),0)=AG285,".","NO"))</f>
        <v>.</v>
      </c>
      <c r="CP285" s="136" t="str">
        <f>IF($D285&lt;&gt;"Feature",".",
IF(VLOOKUP($B285,Feature_List!$A:$AM,MATCH(CP$1,  Feature_List!$A$1:$AM$1,0),0)=AH285,".","NO"))</f>
        <v>.</v>
      </c>
      <c r="CQ285" s="136" t="str">
        <f>IF($D285&lt;&gt;"Feature",".",
IF(VLOOKUP($B285,Feature_List!$A:$AM,MATCH(CQ$1,  Feature_List!$A$1:$AM$1,0),0)=AI285,".","NO"))</f>
        <v>.</v>
      </c>
      <c r="CR285" s="136" t="str">
        <f>IF($D285&lt;&gt;"Feature",".",
IF(VLOOKUP($B285,Feature_List!$A:$AM,MATCH(CR$1,  Feature_List!$A$1:$AM$1,0),0)=AJ285,".","NO"))</f>
        <v>.</v>
      </c>
      <c r="CS285" s="136" t="str">
        <f>IF($D285&lt;&gt;"Feature",".",
IF(VLOOKUP($B285,Feature_List!$A:$AM,MATCH(CS$1,  Feature_List!$A$1:$AM$1,0),0)=AK285,".","NO"))</f>
        <v>.</v>
      </c>
      <c r="CT285" s="136" t="str">
        <f>IF($D285&lt;&gt;"Feature",".",
IF(VLOOKUP($B285,Feature_List!$A:$AM,MATCH(CT$1,  Feature_List!$A$1:$AM$1,0),0)=AL285,".","NO"))</f>
        <v>.</v>
      </c>
      <c r="CU285" s="136" t="str">
        <f>IF($D285&lt;&gt;"Feature",".",
IF(VLOOKUP($B285,Feature_List!$A:$AM,MATCH(CU$1,  Feature_List!$A$1:$AM$1,0),0)=AM285,".","NO"))</f>
        <v>.</v>
      </c>
      <c r="CV285" s="136" t="str">
        <f>IF($D285&lt;&gt;"Feature",".",
IF(VLOOKUP($B285,Feature_List!$A:$AM,MATCH(CV$1,  Feature_List!$A$1:$AM$1,0),0)=AN285,".","NO"))</f>
        <v>.</v>
      </c>
      <c r="CW285" s="136" t="str">
        <f>IF($D285&lt;&gt;"Feature",".",
IF(VLOOKUP($B285,Feature_List!$A:$AM,MATCH(CW$1,  Feature_List!$A$1:$AM$1,0),0)=AO285,".","NO"))</f>
        <v>.</v>
      </c>
      <c r="CX285" s="136" t="str">
        <f>IF($D285&lt;&gt;"Feature",".",
IF(VLOOKUP($B285,Feature_List!$A:$AM,MATCH(CX$1,  Feature_List!$A$1:$AM$1,0),0)=AP285,".","NO"))</f>
        <v>.</v>
      </c>
      <c r="CY285" s="136" t="str">
        <f>IF($D285&lt;&gt;"Feature",".",
IF(VLOOKUP($B285,Feature_List!$A:$AM,MATCH(CY$1,  Feature_List!$A$1:$AM$1,0),0)=AQ285,".","NO"))</f>
        <v>.</v>
      </c>
      <c r="CZ285" s="136" t="str">
        <f>IF($D285&lt;&gt;"Feature",".",
IF(VLOOKUP($B285,Feature_List!$A:$AM,MATCH(CZ$1,  Feature_List!$A$1:$AM$1,0),0)=AR285,".","NO"))</f>
        <v>.</v>
      </c>
      <c r="DA285" s="136" t="str">
        <f>IF($D285&lt;&gt;"Feature",".",
IF(VLOOKUP($B285,Feature_List!$A:$AM,MATCH(DA$1,  Feature_List!$A$1:$AM$1,0),0)=AS285,".","NO"))</f>
        <v>.</v>
      </c>
      <c r="DB285" s="136" t="str">
        <f>IF($D285&lt;&gt;"Feature",".",
IF(VLOOKUP($B285,Feature_List!$A:$AM,MATCH(DB$1,  Feature_List!$A$1:$AM$1,0),0)=AT285,".","NO"))</f>
        <v>.</v>
      </c>
      <c r="DC285" s="136" t="str">
        <f>IF($D285&lt;&gt;"Feature",".",
IF(VLOOKUP($B285,Feature_List!$A:$AM,MATCH(DC$1,  Feature_List!$A$1:$AM$1,0),0)=AU285,".","NO"))</f>
        <v>.</v>
      </c>
      <c r="DD285" s="136" t="str">
        <f>IF($D285&lt;&gt;"Feature",".",
IF(VLOOKUP($B285,Feature_List!$A:$AM,MATCH(DD$1,  Feature_List!$A$1:$AM$1,0),0)=AV285,".","NO"))</f>
        <v>.</v>
      </c>
      <c r="DE285" s="136" t="str">
        <f>IF($D285&lt;&gt;"Feature",".",
IF(VLOOKUP($B285,Feature_List!$A:$AM,MATCH(DE$1,  Feature_List!$A$1:$AM$1,0),0)=AW285,".","NO"))</f>
        <v>.</v>
      </c>
      <c r="DF285" s="136" t="str">
        <f>IF($D285&lt;&gt;"Feature",".",
IF(VLOOKUP($B285,Feature_List!$A:$AM,MATCH(DF$1,  Feature_List!$A$1:$AM$1,0),0)=AX285,".","NO"))</f>
        <v>.</v>
      </c>
      <c r="DG285" s="136" t="str">
        <f>IF($D285&lt;&gt;"Feature",".",
IF(VLOOKUP($B285,Feature_List!$A:$AM,MATCH(DG$1,  Feature_List!$A$1:$AM$1,0),0)=AY285,".","NO"))</f>
        <v>.</v>
      </c>
      <c r="DH285" s="136" t="str">
        <f>IF($D285&lt;&gt;"Feature",".",
IF(VLOOKUP($B285,Feature_List!$A:$AM,MATCH(DH$1,  Feature_List!$A$1:$AM$1,0),0)=AZ285,".","NO"))</f>
        <v>.</v>
      </c>
      <c r="DI285" s="136" t="str">
        <f>IF($D285&lt;&gt;"Feature",".",
IF(VLOOKUP($B285,Feature_List!$A:$AM,MATCH(DI$1,  Feature_List!$A$1:$AM$1,0),0)=BA285,".","NO"))</f>
        <v>.</v>
      </c>
      <c r="DJ285" s="136" t="str">
        <f>IF($D285&lt;&gt;"Feature",".",
IF(VLOOKUP($B285,Feature_List!$A:$AM,MATCH(DJ$1,  Feature_List!$A$1:$AM$1,0),0)=BB285,".","NO"))</f>
        <v>.</v>
      </c>
      <c r="DK285" s="136"/>
      <c r="DL285" s="136"/>
      <c r="DM285" s="136"/>
      <c r="DN285" s="136" t="str">
        <f>IF($D285&lt;&gt;"Feature",".",
IF(VLOOKUP($B285,Feature_List!$A:$AM,MATCH(DN$1,  Feature_List!$A$1:$AM$1,0),0)=BC285,".","NO"))</f>
        <v>.</v>
      </c>
      <c r="DO285" s="136" t="str">
        <f>IF($D285&lt;&gt;"Feature",".",
IF(VLOOKUP($B285,Feature_List!$A:$AM,MATCH(DO$1,  Feature_List!$A$1:$AM$1,0),0)=BD285,".","NO"))</f>
        <v>.</v>
      </c>
    </row>
    <row r="286" spans="2:119" x14ac:dyDescent="0.3">
      <c r="B286" s="121"/>
      <c r="C286" s="122"/>
      <c r="D286" s="122"/>
      <c r="E286" s="122"/>
      <c r="F286" s="123"/>
      <c r="G286" s="123"/>
      <c r="H286" s="122"/>
      <c r="I286" s="124"/>
      <c r="J286" s="123"/>
      <c r="K286" s="123"/>
      <c r="L286" s="122"/>
      <c r="M286" s="122"/>
      <c r="N286" s="122"/>
      <c r="O286" s="123">
        <f t="shared" si="150"/>
        <v>0</v>
      </c>
      <c r="P286" s="123">
        <f t="shared" si="151"/>
        <v>0</v>
      </c>
      <c r="Q286" s="122" t="str">
        <f t="shared" si="172"/>
        <v>ZeroEntry</v>
      </c>
      <c r="R286" s="126" t="str">
        <f t="shared" si="152"/>
        <v>ZeroEntry</v>
      </c>
      <c r="S286" s="127" t="str">
        <f t="shared" si="153"/>
        <v>ZeroEntry</v>
      </c>
      <c r="T286" s="128" t="str">
        <f>IF($Q286="ZeroEntry", "",VLOOKUP($I286,'Ranking Lookup'!#REF!,2,FALSE))</f>
        <v/>
      </c>
      <c r="U286" s="129" t="str">
        <f t="shared" si="154"/>
        <v/>
      </c>
      <c r="V286" s="129" t="str">
        <f t="shared" si="155"/>
        <v/>
      </c>
      <c r="W286" s="129" t="str">
        <f t="shared" si="156"/>
        <v/>
      </c>
      <c r="X286" s="129" t="str">
        <f t="shared" si="157"/>
        <v/>
      </c>
      <c r="Y286" s="129" t="str">
        <f t="shared" si="158"/>
        <v/>
      </c>
      <c r="Z286" s="129" t="str">
        <f t="shared" si="159"/>
        <v/>
      </c>
      <c r="AA286" s="130"/>
      <c r="AB286" s="130" t="str">
        <f t="shared" si="160"/>
        <v>Unassigned</v>
      </c>
      <c r="AC286" s="131" t="str">
        <f t="shared" si="173"/>
        <v/>
      </c>
      <c r="AD286" s="131" t="str">
        <f t="shared" si="174"/>
        <v/>
      </c>
      <c r="AE286" s="132">
        <f t="shared" si="161"/>
        <v>0</v>
      </c>
      <c r="AF286" s="133" t="str">
        <f t="shared" si="175"/>
        <v/>
      </c>
      <c r="AG286" s="134">
        <f t="shared" si="162"/>
        <v>0</v>
      </c>
      <c r="AH286" s="54" t="str">
        <f t="shared" si="163"/>
        <v/>
      </c>
      <c r="AI286" s="54" t="str">
        <f t="shared" si="179"/>
        <v/>
      </c>
      <c r="AJ286" s="54" t="str">
        <f t="shared" si="179"/>
        <v/>
      </c>
      <c r="AK286" s="54" t="str">
        <f t="shared" si="179"/>
        <v/>
      </c>
      <c r="AL286" s="54" t="str">
        <f t="shared" si="179"/>
        <v/>
      </c>
      <c r="AM286" s="54" t="str">
        <f t="shared" si="179"/>
        <v/>
      </c>
      <c r="AN286" s="54" t="str">
        <f t="shared" si="179"/>
        <v/>
      </c>
      <c r="AO286" s="54" t="str">
        <f t="shared" si="179"/>
        <v/>
      </c>
      <c r="AP286" s="54" t="str">
        <f t="shared" si="179"/>
        <v/>
      </c>
      <c r="AQ286" s="54" t="str">
        <f t="shared" si="179"/>
        <v/>
      </c>
      <c r="AR286" s="54" t="str">
        <f t="shared" si="179"/>
        <v/>
      </c>
      <c r="AS286" s="54" t="str">
        <f t="shared" si="179"/>
        <v/>
      </c>
      <c r="AT286" s="54" t="str">
        <f t="shared" si="179"/>
        <v/>
      </c>
      <c r="AU286" s="54" t="str">
        <f t="shared" si="179"/>
        <v/>
      </c>
      <c r="AV286" s="54" t="str">
        <f t="shared" si="179"/>
        <v/>
      </c>
      <c r="AW286" s="54" t="str">
        <f t="shared" si="179"/>
        <v/>
      </c>
      <c r="AX286" s="54" t="str">
        <f t="shared" si="179"/>
        <v/>
      </c>
      <c r="AY286" s="54" t="str">
        <f t="shared" si="177"/>
        <v/>
      </c>
      <c r="AZ286" s="54" t="str">
        <f t="shared" si="165"/>
        <v/>
      </c>
      <c r="BA286" s="54" t="str">
        <f t="shared" si="166"/>
        <v/>
      </c>
      <c r="BB286" s="135" t="str">
        <f t="shared" si="167"/>
        <v/>
      </c>
      <c r="BC286" s="54" t="str">
        <f t="shared" si="180"/>
        <v/>
      </c>
      <c r="BD286" s="54" t="str">
        <f t="shared" si="180"/>
        <v/>
      </c>
      <c r="BE286" s="54" t="str">
        <f t="shared" si="180"/>
        <v/>
      </c>
      <c r="BF286" s="54" t="str">
        <f t="shared" si="168"/>
        <v/>
      </c>
      <c r="BG286" s="54" t="str">
        <f t="shared" si="169"/>
        <v/>
      </c>
      <c r="BH286" s="34" t="str">
        <f t="shared" si="170"/>
        <v>Bad</v>
      </c>
      <c r="BI286" s="34" t="str">
        <f t="shared" si="171"/>
        <v>No</v>
      </c>
      <c r="BJ286" s="136" t="str">
        <f>IF($D286&lt;&gt;"Feature",".",
IF(VLOOKUP($B286,Feature_List!$A:$AM,MATCH(BJ$1,  Feature_List!$A$1:$AM$1,0),0)=B286,".","NO"))</f>
        <v>.</v>
      </c>
      <c r="BK286" s="136"/>
      <c r="BL286" s="136"/>
      <c r="BM286" s="136" t="str">
        <f>IF($D286&lt;&gt;"Feature",".",
IF(VLOOKUP($B286,Feature_List!$A:$AM,MATCH(BM$1,  Feature_List!$A$1:$AM$1,0),0)=E286,".","NO"))</f>
        <v>.</v>
      </c>
      <c r="BN286" s="136" t="str">
        <f>IF($D286&lt;&gt;"Feature",".",
IF(VLOOKUP($B286,Feature_List!$A:$AM,MATCH(BN$1,  Feature_List!$A$1:$AM$1,0),0)=F286,".","NO"))</f>
        <v>.</v>
      </c>
      <c r="BO286" s="136" t="str">
        <f>IF($D286&lt;&gt;"Feature",".",
IF(VLOOKUP($B286,Feature_List!$A:$AM,MATCH(BO$1,  Feature_List!$A$1:$AM$1,0),0)=G286,".","NO"))</f>
        <v>.</v>
      </c>
      <c r="BP286" s="136" t="str">
        <f>IF($D286&lt;&gt;"Feature",".",
IF(VLOOKUP($B286,Feature_List!$A:$AM,MATCH(BP$1,  Feature_List!$A$1:$AM$1,0),0)=H286,".","NO"))</f>
        <v>.</v>
      </c>
      <c r="BQ286" s="136"/>
      <c r="BR286" s="136" t="str">
        <f>IF($D286&lt;&gt;"Feature",".",
IF(VLOOKUP($B286,Feature_List!$A:$AM,MATCH(BR$1,  Feature_List!$A$1:$AM$1,0),0)=J286,".","NO"))</f>
        <v>.</v>
      </c>
      <c r="BS286" s="136"/>
      <c r="BT286" s="136"/>
      <c r="BU286" s="136" t="str">
        <f>IF($D286&lt;&gt;"Feature",".",
IF(VLOOKUP($B286,Feature_List!$A:$AM,MATCH(BU$1,  Feature_List!$A$1:$AM$1,0),0)=M286,".","NO"))</f>
        <v>.</v>
      </c>
      <c r="BV286" s="136" t="str">
        <f>IF($D286&lt;&gt;"Feature",".",
IF(VLOOKUP($B286,Feature_List!$A:$AM,MATCH(BV$1,  Feature_List!$A$1:$AM$1,0),0)=N286,".","NO"))</f>
        <v>.</v>
      </c>
      <c r="BW286" s="136"/>
      <c r="BX286" s="136"/>
      <c r="BY286" s="136"/>
      <c r="BZ286" s="136"/>
      <c r="CA286" s="136"/>
      <c r="CB286" s="136" t="str">
        <f>IF($D286&lt;&gt;"Feature",".",
IF(VLOOKUP($B286,Feature_List!$A:$AM,MATCH(CB$1,  Feature_List!$A$1:$AM$1,0),0)=T286,".","NO"))</f>
        <v>.</v>
      </c>
      <c r="CC286" s="136"/>
      <c r="CD286" s="136"/>
      <c r="CE286" s="136"/>
      <c r="CF286" s="136"/>
      <c r="CG286" s="136"/>
      <c r="CH286" s="136"/>
      <c r="CI286" s="136"/>
      <c r="CJ286" s="136"/>
      <c r="CK286" s="136"/>
      <c r="CL286" s="136"/>
      <c r="CM286" s="136"/>
      <c r="CN286" s="136"/>
      <c r="CO286" s="136" t="str">
        <f>IF($D286&lt;&gt;"Feature",".",
IF(VLOOKUP($B286,Feature_List!$A:$AM,MATCH(CO$1,  Feature_List!$A$1:$AM$1,0),0)=AG286,".","NO"))</f>
        <v>.</v>
      </c>
      <c r="CP286" s="136" t="str">
        <f>IF($D286&lt;&gt;"Feature",".",
IF(VLOOKUP($B286,Feature_List!$A:$AM,MATCH(CP$1,  Feature_List!$A$1:$AM$1,0),0)=AH286,".","NO"))</f>
        <v>.</v>
      </c>
      <c r="CQ286" s="136" t="str">
        <f>IF($D286&lt;&gt;"Feature",".",
IF(VLOOKUP($B286,Feature_List!$A:$AM,MATCH(CQ$1,  Feature_List!$A$1:$AM$1,0),0)=AI286,".","NO"))</f>
        <v>.</v>
      </c>
      <c r="CR286" s="136" t="str">
        <f>IF($D286&lt;&gt;"Feature",".",
IF(VLOOKUP($B286,Feature_List!$A:$AM,MATCH(CR$1,  Feature_List!$A$1:$AM$1,0),0)=AJ286,".","NO"))</f>
        <v>.</v>
      </c>
      <c r="CS286" s="136" t="str">
        <f>IF($D286&lt;&gt;"Feature",".",
IF(VLOOKUP($B286,Feature_List!$A:$AM,MATCH(CS$1,  Feature_List!$A$1:$AM$1,0),0)=AK286,".","NO"))</f>
        <v>.</v>
      </c>
      <c r="CT286" s="136" t="str">
        <f>IF($D286&lt;&gt;"Feature",".",
IF(VLOOKUP($B286,Feature_List!$A:$AM,MATCH(CT$1,  Feature_List!$A$1:$AM$1,0),0)=AL286,".","NO"))</f>
        <v>.</v>
      </c>
      <c r="CU286" s="136" t="str">
        <f>IF($D286&lt;&gt;"Feature",".",
IF(VLOOKUP($B286,Feature_List!$A:$AM,MATCH(CU$1,  Feature_List!$A$1:$AM$1,0),0)=AM286,".","NO"))</f>
        <v>.</v>
      </c>
      <c r="CV286" s="136" t="str">
        <f>IF($D286&lt;&gt;"Feature",".",
IF(VLOOKUP($B286,Feature_List!$A:$AM,MATCH(CV$1,  Feature_List!$A$1:$AM$1,0),0)=AN286,".","NO"))</f>
        <v>.</v>
      </c>
      <c r="CW286" s="136" t="str">
        <f>IF($D286&lt;&gt;"Feature",".",
IF(VLOOKUP($B286,Feature_List!$A:$AM,MATCH(CW$1,  Feature_List!$A$1:$AM$1,0),0)=AO286,".","NO"))</f>
        <v>.</v>
      </c>
      <c r="CX286" s="136" t="str">
        <f>IF($D286&lt;&gt;"Feature",".",
IF(VLOOKUP($B286,Feature_List!$A:$AM,MATCH(CX$1,  Feature_List!$A$1:$AM$1,0),0)=AP286,".","NO"))</f>
        <v>.</v>
      </c>
      <c r="CY286" s="136" t="str">
        <f>IF($D286&lt;&gt;"Feature",".",
IF(VLOOKUP($B286,Feature_List!$A:$AM,MATCH(CY$1,  Feature_List!$A$1:$AM$1,0),0)=AQ286,".","NO"))</f>
        <v>.</v>
      </c>
      <c r="CZ286" s="136" t="str">
        <f>IF($D286&lt;&gt;"Feature",".",
IF(VLOOKUP($B286,Feature_List!$A:$AM,MATCH(CZ$1,  Feature_List!$A$1:$AM$1,0),0)=AR286,".","NO"))</f>
        <v>.</v>
      </c>
      <c r="DA286" s="136" t="str">
        <f>IF($D286&lt;&gt;"Feature",".",
IF(VLOOKUP($B286,Feature_List!$A:$AM,MATCH(DA$1,  Feature_List!$A$1:$AM$1,0),0)=AS286,".","NO"))</f>
        <v>.</v>
      </c>
      <c r="DB286" s="136" t="str">
        <f>IF($D286&lt;&gt;"Feature",".",
IF(VLOOKUP($B286,Feature_List!$A:$AM,MATCH(DB$1,  Feature_List!$A$1:$AM$1,0),0)=AT286,".","NO"))</f>
        <v>.</v>
      </c>
      <c r="DC286" s="136" t="str">
        <f>IF($D286&lt;&gt;"Feature",".",
IF(VLOOKUP($B286,Feature_List!$A:$AM,MATCH(DC$1,  Feature_List!$A$1:$AM$1,0),0)=AU286,".","NO"))</f>
        <v>.</v>
      </c>
      <c r="DD286" s="136" t="str">
        <f>IF($D286&lt;&gt;"Feature",".",
IF(VLOOKUP($B286,Feature_List!$A:$AM,MATCH(DD$1,  Feature_List!$A$1:$AM$1,0),0)=AV286,".","NO"))</f>
        <v>.</v>
      </c>
      <c r="DE286" s="136" t="str">
        <f>IF($D286&lt;&gt;"Feature",".",
IF(VLOOKUP($B286,Feature_List!$A:$AM,MATCH(DE$1,  Feature_List!$A$1:$AM$1,0),0)=AW286,".","NO"))</f>
        <v>.</v>
      </c>
      <c r="DF286" s="136" t="str">
        <f>IF($D286&lt;&gt;"Feature",".",
IF(VLOOKUP($B286,Feature_List!$A:$AM,MATCH(DF$1,  Feature_List!$A$1:$AM$1,0),0)=AX286,".","NO"))</f>
        <v>.</v>
      </c>
      <c r="DG286" s="136" t="str">
        <f>IF($D286&lt;&gt;"Feature",".",
IF(VLOOKUP($B286,Feature_List!$A:$AM,MATCH(DG$1,  Feature_List!$A$1:$AM$1,0),0)=AY286,".","NO"))</f>
        <v>.</v>
      </c>
      <c r="DH286" s="136" t="str">
        <f>IF($D286&lt;&gt;"Feature",".",
IF(VLOOKUP($B286,Feature_List!$A:$AM,MATCH(DH$1,  Feature_List!$A$1:$AM$1,0),0)=AZ286,".","NO"))</f>
        <v>.</v>
      </c>
      <c r="DI286" s="136" t="str">
        <f>IF($D286&lt;&gt;"Feature",".",
IF(VLOOKUP($B286,Feature_List!$A:$AM,MATCH(DI$1,  Feature_List!$A$1:$AM$1,0),0)=BA286,".","NO"))</f>
        <v>.</v>
      </c>
      <c r="DJ286" s="136" t="str">
        <f>IF($D286&lt;&gt;"Feature",".",
IF(VLOOKUP($B286,Feature_List!$A:$AM,MATCH(DJ$1,  Feature_List!$A$1:$AM$1,0),0)=BB286,".","NO"))</f>
        <v>.</v>
      </c>
      <c r="DK286" s="136"/>
      <c r="DL286" s="136"/>
      <c r="DM286" s="136"/>
      <c r="DN286" s="136" t="str">
        <f>IF($D286&lt;&gt;"Feature",".",
IF(VLOOKUP($B286,Feature_List!$A:$AM,MATCH(DN$1,  Feature_List!$A$1:$AM$1,0),0)=BC286,".","NO"))</f>
        <v>.</v>
      </c>
      <c r="DO286" s="136" t="str">
        <f>IF($D286&lt;&gt;"Feature",".",
IF(VLOOKUP($B286,Feature_List!$A:$AM,MATCH(DO$1,  Feature_List!$A$1:$AM$1,0),0)=BD286,".","NO"))</f>
        <v>.</v>
      </c>
    </row>
    <row r="287" spans="2:119" x14ac:dyDescent="0.3">
      <c r="B287" s="121"/>
      <c r="C287" s="122"/>
      <c r="D287" s="122"/>
      <c r="E287" s="122"/>
      <c r="F287" s="123"/>
      <c r="G287" s="123"/>
      <c r="H287" s="122"/>
      <c r="I287" s="124"/>
      <c r="J287" s="123"/>
      <c r="K287" s="123"/>
      <c r="L287" s="122"/>
      <c r="M287" s="122"/>
      <c r="N287" s="122"/>
      <c r="O287" s="123">
        <f t="shared" si="150"/>
        <v>0</v>
      </c>
      <c r="P287" s="123">
        <f t="shared" si="151"/>
        <v>0</v>
      </c>
      <c r="Q287" s="122" t="str">
        <f t="shared" si="172"/>
        <v>ZeroEntry</v>
      </c>
      <c r="R287" s="126" t="str">
        <f t="shared" si="152"/>
        <v>ZeroEntry</v>
      </c>
      <c r="S287" s="127" t="str">
        <f t="shared" si="153"/>
        <v>ZeroEntry</v>
      </c>
      <c r="T287" s="128" t="str">
        <f>IF($Q287="ZeroEntry", "",VLOOKUP($I287,'Ranking Lookup'!#REF!,2,FALSE))</f>
        <v/>
      </c>
      <c r="U287" s="129" t="str">
        <f t="shared" si="154"/>
        <v/>
      </c>
      <c r="V287" s="129" t="str">
        <f t="shared" si="155"/>
        <v/>
      </c>
      <c r="W287" s="129" t="str">
        <f t="shared" si="156"/>
        <v/>
      </c>
      <c r="X287" s="129" t="str">
        <f t="shared" si="157"/>
        <v/>
      </c>
      <c r="Y287" s="129" t="str">
        <f t="shared" si="158"/>
        <v/>
      </c>
      <c r="Z287" s="129" t="str">
        <f t="shared" si="159"/>
        <v/>
      </c>
      <c r="AA287" s="130"/>
      <c r="AB287" s="130" t="str">
        <f t="shared" si="160"/>
        <v>Unassigned</v>
      </c>
      <c r="AC287" s="131" t="str">
        <f t="shared" si="173"/>
        <v/>
      </c>
      <c r="AD287" s="131" t="str">
        <f t="shared" si="174"/>
        <v/>
      </c>
      <c r="AE287" s="132">
        <f t="shared" si="161"/>
        <v>0</v>
      </c>
      <c r="AF287" s="133" t="str">
        <f t="shared" si="175"/>
        <v/>
      </c>
      <c r="AG287" s="134">
        <f t="shared" si="162"/>
        <v>0</v>
      </c>
      <c r="AH287" s="54" t="str">
        <f t="shared" si="163"/>
        <v/>
      </c>
      <c r="AI287" s="54" t="str">
        <f t="shared" si="179"/>
        <v/>
      </c>
      <c r="AJ287" s="54" t="str">
        <f t="shared" si="179"/>
        <v/>
      </c>
      <c r="AK287" s="54" t="str">
        <f t="shared" si="179"/>
        <v/>
      </c>
      <c r="AL287" s="54" t="str">
        <f t="shared" si="179"/>
        <v/>
      </c>
      <c r="AM287" s="54" t="str">
        <f t="shared" si="179"/>
        <v/>
      </c>
      <c r="AN287" s="54" t="str">
        <f t="shared" si="179"/>
        <v/>
      </c>
      <c r="AO287" s="54" t="str">
        <f t="shared" si="179"/>
        <v/>
      </c>
      <c r="AP287" s="54" t="str">
        <f t="shared" si="179"/>
        <v/>
      </c>
      <c r="AQ287" s="54" t="str">
        <f t="shared" si="179"/>
        <v/>
      </c>
      <c r="AR287" s="54" t="str">
        <f t="shared" si="179"/>
        <v/>
      </c>
      <c r="AS287" s="54" t="str">
        <f t="shared" si="179"/>
        <v/>
      </c>
      <c r="AT287" s="54" t="str">
        <f t="shared" si="179"/>
        <v/>
      </c>
      <c r="AU287" s="54" t="str">
        <f t="shared" si="179"/>
        <v/>
      </c>
      <c r="AV287" s="54" t="str">
        <f t="shared" si="179"/>
        <v/>
      </c>
      <c r="AW287" s="54" t="str">
        <f t="shared" si="179"/>
        <v/>
      </c>
      <c r="AX287" s="54" t="str">
        <f t="shared" si="179"/>
        <v/>
      </c>
      <c r="AY287" s="54" t="str">
        <f t="shared" si="177"/>
        <v/>
      </c>
      <c r="AZ287" s="54" t="str">
        <f t="shared" si="165"/>
        <v/>
      </c>
      <c r="BA287" s="54" t="str">
        <f t="shared" si="166"/>
        <v/>
      </c>
      <c r="BB287" s="135" t="str">
        <f t="shared" si="167"/>
        <v/>
      </c>
      <c r="BC287" s="54" t="str">
        <f t="shared" si="180"/>
        <v/>
      </c>
      <c r="BD287" s="54" t="str">
        <f t="shared" si="180"/>
        <v/>
      </c>
      <c r="BE287" s="54" t="str">
        <f t="shared" si="180"/>
        <v/>
      </c>
      <c r="BF287" s="54" t="str">
        <f t="shared" si="168"/>
        <v/>
      </c>
      <c r="BG287" s="54" t="str">
        <f t="shared" si="169"/>
        <v/>
      </c>
      <c r="BH287" s="34" t="str">
        <f t="shared" si="170"/>
        <v>Bad</v>
      </c>
      <c r="BI287" s="34" t="str">
        <f t="shared" si="171"/>
        <v>No</v>
      </c>
      <c r="BJ287" s="136" t="str">
        <f>IF($D287&lt;&gt;"Feature",".",
IF(VLOOKUP($B287,Feature_List!$A:$AM,MATCH(BJ$1,  Feature_List!$A$1:$AM$1,0),0)=B287,".","NO"))</f>
        <v>.</v>
      </c>
      <c r="BK287" s="136"/>
      <c r="BL287" s="136"/>
      <c r="BM287" s="136" t="str">
        <f>IF($D287&lt;&gt;"Feature",".",
IF(VLOOKUP($B287,Feature_List!$A:$AM,MATCH(BM$1,  Feature_List!$A$1:$AM$1,0),0)=E287,".","NO"))</f>
        <v>.</v>
      </c>
      <c r="BN287" s="136" t="str">
        <f>IF($D287&lt;&gt;"Feature",".",
IF(VLOOKUP($B287,Feature_List!$A:$AM,MATCH(BN$1,  Feature_List!$A$1:$AM$1,0),0)=F287,".","NO"))</f>
        <v>.</v>
      </c>
      <c r="BO287" s="136" t="str">
        <f>IF($D287&lt;&gt;"Feature",".",
IF(VLOOKUP($B287,Feature_List!$A:$AM,MATCH(BO$1,  Feature_List!$A$1:$AM$1,0),0)=G287,".","NO"))</f>
        <v>.</v>
      </c>
      <c r="BP287" s="136" t="str">
        <f>IF($D287&lt;&gt;"Feature",".",
IF(VLOOKUP($B287,Feature_List!$A:$AM,MATCH(BP$1,  Feature_List!$A$1:$AM$1,0),0)=H287,".","NO"))</f>
        <v>.</v>
      </c>
      <c r="BQ287" s="136"/>
      <c r="BR287" s="136" t="str">
        <f>IF($D287&lt;&gt;"Feature",".",
IF(VLOOKUP($B287,Feature_List!$A:$AM,MATCH(BR$1,  Feature_List!$A$1:$AM$1,0),0)=J287,".","NO"))</f>
        <v>.</v>
      </c>
      <c r="BS287" s="136"/>
      <c r="BT287" s="136"/>
      <c r="BU287" s="136" t="str">
        <f>IF($D287&lt;&gt;"Feature",".",
IF(VLOOKUP($B287,Feature_List!$A:$AM,MATCH(BU$1,  Feature_List!$A$1:$AM$1,0),0)=M287,".","NO"))</f>
        <v>.</v>
      </c>
      <c r="BV287" s="136" t="str">
        <f>IF($D287&lt;&gt;"Feature",".",
IF(VLOOKUP($B287,Feature_List!$A:$AM,MATCH(BV$1,  Feature_List!$A$1:$AM$1,0),0)=N287,".","NO"))</f>
        <v>.</v>
      </c>
      <c r="BW287" s="136"/>
      <c r="BX287" s="136"/>
      <c r="BY287" s="136"/>
      <c r="BZ287" s="136"/>
      <c r="CA287" s="136"/>
      <c r="CB287" s="136" t="str">
        <f>IF($D287&lt;&gt;"Feature",".",
IF(VLOOKUP($B287,Feature_List!$A:$AM,MATCH(CB$1,  Feature_List!$A$1:$AM$1,0),0)=T287,".","NO"))</f>
        <v>.</v>
      </c>
      <c r="CC287" s="136"/>
      <c r="CD287" s="136"/>
      <c r="CE287" s="136"/>
      <c r="CF287" s="136"/>
      <c r="CG287" s="136"/>
      <c r="CH287" s="136"/>
      <c r="CI287" s="136"/>
      <c r="CJ287" s="136"/>
      <c r="CK287" s="136"/>
      <c r="CL287" s="136"/>
      <c r="CM287" s="136"/>
      <c r="CN287" s="136"/>
      <c r="CO287" s="136" t="str">
        <f>IF($D287&lt;&gt;"Feature",".",
IF(VLOOKUP($B287,Feature_List!$A:$AM,MATCH(CO$1,  Feature_List!$A$1:$AM$1,0),0)=AG287,".","NO"))</f>
        <v>.</v>
      </c>
      <c r="CP287" s="136" t="str">
        <f>IF($D287&lt;&gt;"Feature",".",
IF(VLOOKUP($B287,Feature_List!$A:$AM,MATCH(CP$1,  Feature_List!$A$1:$AM$1,0),0)=AH287,".","NO"))</f>
        <v>.</v>
      </c>
      <c r="CQ287" s="136" t="str">
        <f>IF($D287&lt;&gt;"Feature",".",
IF(VLOOKUP($B287,Feature_List!$A:$AM,MATCH(CQ$1,  Feature_List!$A$1:$AM$1,0),0)=AI287,".","NO"))</f>
        <v>.</v>
      </c>
      <c r="CR287" s="136" t="str">
        <f>IF($D287&lt;&gt;"Feature",".",
IF(VLOOKUP($B287,Feature_List!$A:$AM,MATCH(CR$1,  Feature_List!$A$1:$AM$1,0),0)=AJ287,".","NO"))</f>
        <v>.</v>
      </c>
      <c r="CS287" s="136" t="str">
        <f>IF($D287&lt;&gt;"Feature",".",
IF(VLOOKUP($B287,Feature_List!$A:$AM,MATCH(CS$1,  Feature_List!$A$1:$AM$1,0),0)=AK287,".","NO"))</f>
        <v>.</v>
      </c>
      <c r="CT287" s="136" t="str">
        <f>IF($D287&lt;&gt;"Feature",".",
IF(VLOOKUP($B287,Feature_List!$A:$AM,MATCH(CT$1,  Feature_List!$A$1:$AM$1,0),0)=AL287,".","NO"))</f>
        <v>.</v>
      </c>
      <c r="CU287" s="136" t="str">
        <f>IF($D287&lt;&gt;"Feature",".",
IF(VLOOKUP($B287,Feature_List!$A:$AM,MATCH(CU$1,  Feature_List!$A$1:$AM$1,0),0)=AM287,".","NO"))</f>
        <v>.</v>
      </c>
      <c r="CV287" s="136" t="str">
        <f>IF($D287&lt;&gt;"Feature",".",
IF(VLOOKUP($B287,Feature_List!$A:$AM,MATCH(CV$1,  Feature_List!$A$1:$AM$1,0),0)=AN287,".","NO"))</f>
        <v>.</v>
      </c>
      <c r="CW287" s="136" t="str">
        <f>IF($D287&lt;&gt;"Feature",".",
IF(VLOOKUP($B287,Feature_List!$A:$AM,MATCH(CW$1,  Feature_List!$A$1:$AM$1,0),0)=AO287,".","NO"))</f>
        <v>.</v>
      </c>
      <c r="CX287" s="136" t="str">
        <f>IF($D287&lt;&gt;"Feature",".",
IF(VLOOKUP($B287,Feature_List!$A:$AM,MATCH(CX$1,  Feature_List!$A$1:$AM$1,0),0)=AP287,".","NO"))</f>
        <v>.</v>
      </c>
      <c r="CY287" s="136" t="str">
        <f>IF($D287&lt;&gt;"Feature",".",
IF(VLOOKUP($B287,Feature_List!$A:$AM,MATCH(CY$1,  Feature_List!$A$1:$AM$1,0),0)=AQ287,".","NO"))</f>
        <v>.</v>
      </c>
      <c r="CZ287" s="136" t="str">
        <f>IF($D287&lt;&gt;"Feature",".",
IF(VLOOKUP($B287,Feature_List!$A:$AM,MATCH(CZ$1,  Feature_List!$A$1:$AM$1,0),0)=AR287,".","NO"))</f>
        <v>.</v>
      </c>
      <c r="DA287" s="136" t="str">
        <f>IF($D287&lt;&gt;"Feature",".",
IF(VLOOKUP($B287,Feature_List!$A:$AM,MATCH(DA$1,  Feature_List!$A$1:$AM$1,0),0)=AS287,".","NO"))</f>
        <v>.</v>
      </c>
      <c r="DB287" s="136" t="str">
        <f>IF($D287&lt;&gt;"Feature",".",
IF(VLOOKUP($B287,Feature_List!$A:$AM,MATCH(DB$1,  Feature_List!$A$1:$AM$1,0),0)=AT287,".","NO"))</f>
        <v>.</v>
      </c>
      <c r="DC287" s="136" t="str">
        <f>IF($D287&lt;&gt;"Feature",".",
IF(VLOOKUP($B287,Feature_List!$A:$AM,MATCH(DC$1,  Feature_List!$A$1:$AM$1,0),0)=AU287,".","NO"))</f>
        <v>.</v>
      </c>
      <c r="DD287" s="136" t="str">
        <f>IF($D287&lt;&gt;"Feature",".",
IF(VLOOKUP($B287,Feature_List!$A:$AM,MATCH(DD$1,  Feature_List!$A$1:$AM$1,0),0)=AV287,".","NO"))</f>
        <v>.</v>
      </c>
      <c r="DE287" s="136" t="str">
        <f>IF($D287&lt;&gt;"Feature",".",
IF(VLOOKUP($B287,Feature_List!$A:$AM,MATCH(DE$1,  Feature_List!$A$1:$AM$1,0),0)=AW287,".","NO"))</f>
        <v>.</v>
      </c>
      <c r="DF287" s="136" t="str">
        <f>IF($D287&lt;&gt;"Feature",".",
IF(VLOOKUP($B287,Feature_List!$A:$AM,MATCH(DF$1,  Feature_List!$A$1:$AM$1,0),0)=AX287,".","NO"))</f>
        <v>.</v>
      </c>
      <c r="DG287" s="136" t="str">
        <f>IF($D287&lt;&gt;"Feature",".",
IF(VLOOKUP($B287,Feature_List!$A:$AM,MATCH(DG$1,  Feature_List!$A$1:$AM$1,0),0)=AY287,".","NO"))</f>
        <v>.</v>
      </c>
      <c r="DH287" s="136" t="str">
        <f>IF($D287&lt;&gt;"Feature",".",
IF(VLOOKUP($B287,Feature_List!$A:$AM,MATCH(DH$1,  Feature_List!$A$1:$AM$1,0),0)=AZ287,".","NO"))</f>
        <v>.</v>
      </c>
      <c r="DI287" s="136" t="str">
        <f>IF($D287&lt;&gt;"Feature",".",
IF(VLOOKUP($B287,Feature_List!$A:$AM,MATCH(DI$1,  Feature_List!$A$1:$AM$1,0),0)=BA287,".","NO"))</f>
        <v>.</v>
      </c>
      <c r="DJ287" s="136" t="str">
        <f>IF($D287&lt;&gt;"Feature",".",
IF(VLOOKUP($B287,Feature_List!$A:$AM,MATCH(DJ$1,  Feature_List!$A$1:$AM$1,0),0)=BB287,".","NO"))</f>
        <v>.</v>
      </c>
      <c r="DK287" s="136"/>
      <c r="DL287" s="136"/>
      <c r="DM287" s="136"/>
      <c r="DN287" s="136" t="str">
        <f>IF($D287&lt;&gt;"Feature",".",
IF(VLOOKUP($B287,Feature_List!$A:$AM,MATCH(DN$1,  Feature_List!$A$1:$AM$1,0),0)=BC287,".","NO"))</f>
        <v>.</v>
      </c>
      <c r="DO287" s="136" t="str">
        <f>IF($D287&lt;&gt;"Feature",".",
IF(VLOOKUP($B287,Feature_List!$A:$AM,MATCH(DO$1,  Feature_List!$A$1:$AM$1,0),0)=BD287,".","NO"))</f>
        <v>.</v>
      </c>
    </row>
    <row r="288" spans="2:119" x14ac:dyDescent="0.3">
      <c r="B288" s="121"/>
      <c r="C288" s="122"/>
      <c r="D288" s="122"/>
      <c r="E288" s="122"/>
      <c r="F288" s="123"/>
      <c r="G288" s="123"/>
      <c r="H288" s="122"/>
      <c r="I288" s="124"/>
      <c r="J288" s="123"/>
      <c r="K288" s="123"/>
      <c r="L288" s="122"/>
      <c r="M288" s="122"/>
      <c r="N288" s="122"/>
      <c r="O288" s="123">
        <f t="shared" si="150"/>
        <v>0</v>
      </c>
      <c r="P288" s="123">
        <f t="shared" si="151"/>
        <v>0</v>
      </c>
      <c r="Q288" s="122" t="str">
        <f t="shared" si="172"/>
        <v>ZeroEntry</v>
      </c>
      <c r="R288" s="126" t="str">
        <f t="shared" si="152"/>
        <v>ZeroEntry</v>
      </c>
      <c r="S288" s="127" t="str">
        <f t="shared" si="153"/>
        <v>ZeroEntry</v>
      </c>
      <c r="T288" s="128" t="str">
        <f>IF($Q288="ZeroEntry", "",VLOOKUP($I288,'Ranking Lookup'!#REF!,2,FALSE))</f>
        <v/>
      </c>
      <c r="U288" s="129" t="str">
        <f t="shared" si="154"/>
        <v/>
      </c>
      <c r="V288" s="129" t="str">
        <f t="shared" si="155"/>
        <v/>
      </c>
      <c r="W288" s="129" t="str">
        <f t="shared" si="156"/>
        <v/>
      </c>
      <c r="X288" s="129" t="str">
        <f t="shared" si="157"/>
        <v/>
      </c>
      <c r="Y288" s="129" t="str">
        <f t="shared" si="158"/>
        <v/>
      </c>
      <c r="Z288" s="129" t="str">
        <f t="shared" si="159"/>
        <v/>
      </c>
      <c r="AA288" s="130"/>
      <c r="AB288" s="130" t="str">
        <f t="shared" si="160"/>
        <v>Unassigned</v>
      </c>
      <c r="AC288" s="131" t="str">
        <f t="shared" si="173"/>
        <v/>
      </c>
      <c r="AD288" s="131" t="str">
        <f t="shared" si="174"/>
        <v/>
      </c>
      <c r="AE288" s="132">
        <f t="shared" si="161"/>
        <v>0</v>
      </c>
      <c r="AF288" s="133" t="str">
        <f t="shared" si="175"/>
        <v/>
      </c>
      <c r="AG288" s="134">
        <f t="shared" si="162"/>
        <v>0</v>
      </c>
      <c r="AH288" s="54" t="str">
        <f t="shared" si="163"/>
        <v/>
      </c>
      <c r="AI288" s="54" t="str">
        <f t="shared" si="179"/>
        <v/>
      </c>
      <c r="AJ288" s="54" t="str">
        <f t="shared" si="179"/>
        <v/>
      </c>
      <c r="AK288" s="54" t="str">
        <f t="shared" si="179"/>
        <v/>
      </c>
      <c r="AL288" s="54" t="str">
        <f t="shared" si="179"/>
        <v/>
      </c>
      <c r="AM288" s="54" t="str">
        <f t="shared" si="179"/>
        <v/>
      </c>
      <c r="AN288" s="54" t="str">
        <f t="shared" si="179"/>
        <v/>
      </c>
      <c r="AO288" s="54" t="str">
        <f t="shared" si="179"/>
        <v/>
      </c>
      <c r="AP288" s="54" t="str">
        <f t="shared" si="179"/>
        <v/>
      </c>
      <c r="AQ288" s="54" t="str">
        <f t="shared" si="179"/>
        <v/>
      </c>
      <c r="AR288" s="54" t="str">
        <f t="shared" si="179"/>
        <v/>
      </c>
      <c r="AS288" s="54" t="str">
        <f t="shared" si="179"/>
        <v/>
      </c>
      <c r="AT288" s="54" t="str">
        <f t="shared" si="179"/>
        <v/>
      </c>
      <c r="AU288" s="54" t="str">
        <f t="shared" si="179"/>
        <v/>
      </c>
      <c r="AV288" s="54" t="str">
        <f t="shared" si="179"/>
        <v/>
      </c>
      <c r="AW288" s="54" t="str">
        <f t="shared" si="179"/>
        <v/>
      </c>
      <c r="AX288" s="54" t="str">
        <f t="shared" si="179"/>
        <v/>
      </c>
      <c r="AY288" s="54" t="str">
        <f t="shared" si="177"/>
        <v/>
      </c>
      <c r="AZ288" s="54" t="str">
        <f t="shared" si="165"/>
        <v/>
      </c>
      <c r="BA288" s="54" t="str">
        <f t="shared" si="166"/>
        <v/>
      </c>
      <c r="BB288" s="135" t="str">
        <f t="shared" si="167"/>
        <v/>
      </c>
      <c r="BC288" s="54" t="str">
        <f t="shared" si="180"/>
        <v/>
      </c>
      <c r="BD288" s="54" t="str">
        <f t="shared" si="180"/>
        <v/>
      </c>
      <c r="BE288" s="54" t="str">
        <f t="shared" si="180"/>
        <v/>
      </c>
      <c r="BF288" s="54" t="str">
        <f t="shared" si="168"/>
        <v/>
      </c>
      <c r="BG288" s="54" t="str">
        <f t="shared" si="169"/>
        <v/>
      </c>
      <c r="BH288" s="34" t="str">
        <f t="shared" si="170"/>
        <v>Bad</v>
      </c>
      <c r="BI288" s="34" t="str">
        <f t="shared" si="171"/>
        <v>No</v>
      </c>
      <c r="BJ288" s="136" t="str">
        <f>IF($D288&lt;&gt;"Feature",".",
IF(VLOOKUP($B288,Feature_List!$A:$AM,MATCH(BJ$1,  Feature_List!$A$1:$AM$1,0),0)=B288,".","NO"))</f>
        <v>.</v>
      </c>
      <c r="BK288" s="136"/>
      <c r="BL288" s="136"/>
      <c r="BM288" s="136" t="str">
        <f>IF($D288&lt;&gt;"Feature",".",
IF(VLOOKUP($B288,Feature_List!$A:$AM,MATCH(BM$1,  Feature_List!$A$1:$AM$1,0),0)=E288,".","NO"))</f>
        <v>.</v>
      </c>
      <c r="BN288" s="136" t="str">
        <f>IF($D288&lt;&gt;"Feature",".",
IF(VLOOKUP($B288,Feature_List!$A:$AM,MATCH(BN$1,  Feature_List!$A$1:$AM$1,0),0)=F288,".","NO"))</f>
        <v>.</v>
      </c>
      <c r="BO288" s="136" t="str">
        <f>IF($D288&lt;&gt;"Feature",".",
IF(VLOOKUP($B288,Feature_List!$A:$AM,MATCH(BO$1,  Feature_List!$A$1:$AM$1,0),0)=G288,".","NO"))</f>
        <v>.</v>
      </c>
      <c r="BP288" s="136" t="str">
        <f>IF($D288&lt;&gt;"Feature",".",
IF(VLOOKUP($B288,Feature_List!$A:$AM,MATCH(BP$1,  Feature_List!$A$1:$AM$1,0),0)=H288,".","NO"))</f>
        <v>.</v>
      </c>
      <c r="BQ288" s="136"/>
      <c r="BR288" s="136" t="str">
        <f>IF($D288&lt;&gt;"Feature",".",
IF(VLOOKUP($B288,Feature_List!$A:$AM,MATCH(BR$1,  Feature_List!$A$1:$AM$1,0),0)=J288,".","NO"))</f>
        <v>.</v>
      </c>
      <c r="BS288" s="136"/>
      <c r="BT288" s="136"/>
      <c r="BU288" s="136" t="str">
        <f>IF($D288&lt;&gt;"Feature",".",
IF(VLOOKUP($B288,Feature_List!$A:$AM,MATCH(BU$1,  Feature_List!$A$1:$AM$1,0),0)=M288,".","NO"))</f>
        <v>.</v>
      </c>
      <c r="BV288" s="136" t="str">
        <f>IF($D288&lt;&gt;"Feature",".",
IF(VLOOKUP($B288,Feature_List!$A:$AM,MATCH(BV$1,  Feature_List!$A$1:$AM$1,0),0)=N288,".","NO"))</f>
        <v>.</v>
      </c>
      <c r="BW288" s="136"/>
      <c r="BX288" s="136"/>
      <c r="BY288" s="136"/>
      <c r="BZ288" s="136"/>
      <c r="CA288" s="136"/>
      <c r="CB288" s="136" t="str">
        <f>IF($D288&lt;&gt;"Feature",".",
IF(VLOOKUP($B288,Feature_List!$A:$AM,MATCH(CB$1,  Feature_List!$A$1:$AM$1,0),0)=T288,".","NO"))</f>
        <v>.</v>
      </c>
      <c r="CC288" s="136"/>
      <c r="CD288" s="136"/>
      <c r="CE288" s="136"/>
      <c r="CF288" s="136"/>
      <c r="CG288" s="136"/>
      <c r="CH288" s="136"/>
      <c r="CI288" s="136"/>
      <c r="CJ288" s="136"/>
      <c r="CK288" s="136"/>
      <c r="CL288" s="136"/>
      <c r="CM288" s="136"/>
      <c r="CN288" s="136"/>
      <c r="CO288" s="136" t="str">
        <f>IF($D288&lt;&gt;"Feature",".",
IF(VLOOKUP($B288,Feature_List!$A:$AM,MATCH(CO$1,  Feature_List!$A$1:$AM$1,0),0)=AG288,".","NO"))</f>
        <v>.</v>
      </c>
      <c r="CP288" s="136" t="str">
        <f>IF($D288&lt;&gt;"Feature",".",
IF(VLOOKUP($B288,Feature_List!$A:$AM,MATCH(CP$1,  Feature_List!$A$1:$AM$1,0),0)=AH288,".","NO"))</f>
        <v>.</v>
      </c>
      <c r="CQ288" s="136" t="str">
        <f>IF($D288&lt;&gt;"Feature",".",
IF(VLOOKUP($B288,Feature_List!$A:$AM,MATCH(CQ$1,  Feature_List!$A$1:$AM$1,0),0)=AI288,".","NO"))</f>
        <v>.</v>
      </c>
      <c r="CR288" s="136" t="str">
        <f>IF($D288&lt;&gt;"Feature",".",
IF(VLOOKUP($B288,Feature_List!$A:$AM,MATCH(CR$1,  Feature_List!$A$1:$AM$1,0),0)=AJ288,".","NO"))</f>
        <v>.</v>
      </c>
      <c r="CS288" s="136" t="str">
        <f>IF($D288&lt;&gt;"Feature",".",
IF(VLOOKUP($B288,Feature_List!$A:$AM,MATCH(CS$1,  Feature_List!$A$1:$AM$1,0),0)=AK288,".","NO"))</f>
        <v>.</v>
      </c>
      <c r="CT288" s="136" t="str">
        <f>IF($D288&lt;&gt;"Feature",".",
IF(VLOOKUP($B288,Feature_List!$A:$AM,MATCH(CT$1,  Feature_List!$A$1:$AM$1,0),0)=AL288,".","NO"))</f>
        <v>.</v>
      </c>
      <c r="CU288" s="136" t="str">
        <f>IF($D288&lt;&gt;"Feature",".",
IF(VLOOKUP($B288,Feature_List!$A:$AM,MATCH(CU$1,  Feature_List!$A$1:$AM$1,0),0)=AM288,".","NO"))</f>
        <v>.</v>
      </c>
      <c r="CV288" s="136" t="str">
        <f>IF($D288&lt;&gt;"Feature",".",
IF(VLOOKUP($B288,Feature_List!$A:$AM,MATCH(CV$1,  Feature_List!$A$1:$AM$1,0),0)=AN288,".","NO"))</f>
        <v>.</v>
      </c>
      <c r="CW288" s="136" t="str">
        <f>IF($D288&lt;&gt;"Feature",".",
IF(VLOOKUP($B288,Feature_List!$A:$AM,MATCH(CW$1,  Feature_List!$A$1:$AM$1,0),0)=AO288,".","NO"))</f>
        <v>.</v>
      </c>
      <c r="CX288" s="136" t="str">
        <f>IF($D288&lt;&gt;"Feature",".",
IF(VLOOKUP($B288,Feature_List!$A:$AM,MATCH(CX$1,  Feature_List!$A$1:$AM$1,0),0)=AP288,".","NO"))</f>
        <v>.</v>
      </c>
      <c r="CY288" s="136" t="str">
        <f>IF($D288&lt;&gt;"Feature",".",
IF(VLOOKUP($B288,Feature_List!$A:$AM,MATCH(CY$1,  Feature_List!$A$1:$AM$1,0),0)=AQ288,".","NO"))</f>
        <v>.</v>
      </c>
      <c r="CZ288" s="136" t="str">
        <f>IF($D288&lt;&gt;"Feature",".",
IF(VLOOKUP($B288,Feature_List!$A:$AM,MATCH(CZ$1,  Feature_List!$A$1:$AM$1,0),0)=AR288,".","NO"))</f>
        <v>.</v>
      </c>
      <c r="DA288" s="136" t="str">
        <f>IF($D288&lt;&gt;"Feature",".",
IF(VLOOKUP($B288,Feature_List!$A:$AM,MATCH(DA$1,  Feature_List!$A$1:$AM$1,0),0)=AS288,".","NO"))</f>
        <v>.</v>
      </c>
      <c r="DB288" s="136" t="str">
        <f>IF($D288&lt;&gt;"Feature",".",
IF(VLOOKUP($B288,Feature_List!$A:$AM,MATCH(DB$1,  Feature_List!$A$1:$AM$1,0),0)=AT288,".","NO"))</f>
        <v>.</v>
      </c>
      <c r="DC288" s="136" t="str">
        <f>IF($D288&lt;&gt;"Feature",".",
IF(VLOOKUP($B288,Feature_List!$A:$AM,MATCH(DC$1,  Feature_List!$A$1:$AM$1,0),0)=AU288,".","NO"))</f>
        <v>.</v>
      </c>
      <c r="DD288" s="136" t="str">
        <f>IF($D288&lt;&gt;"Feature",".",
IF(VLOOKUP($B288,Feature_List!$A:$AM,MATCH(DD$1,  Feature_List!$A$1:$AM$1,0),0)=AV288,".","NO"))</f>
        <v>.</v>
      </c>
      <c r="DE288" s="136" t="str">
        <f>IF($D288&lt;&gt;"Feature",".",
IF(VLOOKUP($B288,Feature_List!$A:$AM,MATCH(DE$1,  Feature_List!$A$1:$AM$1,0),0)=AW288,".","NO"))</f>
        <v>.</v>
      </c>
      <c r="DF288" s="136" t="str">
        <f>IF($D288&lt;&gt;"Feature",".",
IF(VLOOKUP($B288,Feature_List!$A:$AM,MATCH(DF$1,  Feature_List!$A$1:$AM$1,0),0)=AX288,".","NO"))</f>
        <v>.</v>
      </c>
      <c r="DG288" s="136" t="str">
        <f>IF($D288&lt;&gt;"Feature",".",
IF(VLOOKUP($B288,Feature_List!$A:$AM,MATCH(DG$1,  Feature_List!$A$1:$AM$1,0),0)=AY288,".","NO"))</f>
        <v>.</v>
      </c>
      <c r="DH288" s="136" t="str">
        <f>IF($D288&lt;&gt;"Feature",".",
IF(VLOOKUP($B288,Feature_List!$A:$AM,MATCH(DH$1,  Feature_List!$A$1:$AM$1,0),0)=AZ288,".","NO"))</f>
        <v>.</v>
      </c>
      <c r="DI288" s="136" t="str">
        <f>IF($D288&lt;&gt;"Feature",".",
IF(VLOOKUP($B288,Feature_List!$A:$AM,MATCH(DI$1,  Feature_List!$A$1:$AM$1,0),0)=BA288,".","NO"))</f>
        <v>.</v>
      </c>
      <c r="DJ288" s="136" t="str">
        <f>IF($D288&lt;&gt;"Feature",".",
IF(VLOOKUP($B288,Feature_List!$A:$AM,MATCH(DJ$1,  Feature_List!$A$1:$AM$1,0),0)=BB288,".","NO"))</f>
        <v>.</v>
      </c>
      <c r="DK288" s="136"/>
      <c r="DL288" s="136"/>
      <c r="DM288" s="136"/>
      <c r="DN288" s="136" t="str">
        <f>IF($D288&lt;&gt;"Feature",".",
IF(VLOOKUP($B288,Feature_List!$A:$AM,MATCH(DN$1,  Feature_List!$A$1:$AM$1,0),0)=BC288,".","NO"))</f>
        <v>.</v>
      </c>
      <c r="DO288" s="136" t="str">
        <f>IF($D288&lt;&gt;"Feature",".",
IF(VLOOKUP($B288,Feature_List!$A:$AM,MATCH(DO$1,  Feature_List!$A$1:$AM$1,0),0)=BD288,".","NO"))</f>
        <v>.</v>
      </c>
    </row>
    <row r="289" spans="2:119" x14ac:dyDescent="0.3">
      <c r="B289" s="121"/>
      <c r="C289" s="122"/>
      <c r="D289" s="122"/>
      <c r="E289" s="122"/>
      <c r="F289" s="123"/>
      <c r="G289" s="123"/>
      <c r="H289" s="122"/>
      <c r="I289" s="124"/>
      <c r="J289" s="123"/>
      <c r="K289" s="123"/>
      <c r="L289" s="122"/>
      <c r="M289" s="122"/>
      <c r="N289" s="122"/>
      <c r="O289" s="123">
        <f t="shared" si="150"/>
        <v>0</v>
      </c>
      <c r="P289" s="123">
        <f t="shared" si="151"/>
        <v>0</v>
      </c>
      <c r="Q289" s="122" t="str">
        <f t="shared" si="172"/>
        <v>ZeroEntry</v>
      </c>
      <c r="R289" s="126" t="str">
        <f t="shared" si="152"/>
        <v>ZeroEntry</v>
      </c>
      <c r="S289" s="127" t="str">
        <f t="shared" si="153"/>
        <v>ZeroEntry</v>
      </c>
      <c r="T289" s="128" t="str">
        <f>IF($Q289="ZeroEntry", "",VLOOKUP($I289,'Ranking Lookup'!#REF!,2,FALSE))</f>
        <v/>
      </c>
      <c r="U289" s="129" t="str">
        <f t="shared" si="154"/>
        <v/>
      </c>
      <c r="V289" s="129" t="str">
        <f t="shared" si="155"/>
        <v/>
      </c>
      <c r="W289" s="129" t="str">
        <f t="shared" si="156"/>
        <v/>
      </c>
      <c r="X289" s="129" t="str">
        <f t="shared" si="157"/>
        <v/>
      </c>
      <c r="Y289" s="129" t="str">
        <f t="shared" si="158"/>
        <v/>
      </c>
      <c r="Z289" s="129" t="str">
        <f t="shared" si="159"/>
        <v/>
      </c>
      <c r="AA289" s="130"/>
      <c r="AB289" s="130" t="str">
        <f t="shared" si="160"/>
        <v>Unassigned</v>
      </c>
      <c r="AC289" s="131" t="str">
        <f t="shared" si="173"/>
        <v/>
      </c>
      <c r="AD289" s="131" t="str">
        <f t="shared" si="174"/>
        <v/>
      </c>
      <c r="AE289" s="132">
        <f t="shared" si="161"/>
        <v>0</v>
      </c>
      <c r="AF289" s="133" t="str">
        <f t="shared" si="175"/>
        <v/>
      </c>
      <c r="AG289" s="134">
        <f t="shared" si="162"/>
        <v>0</v>
      </c>
      <c r="AH289" s="54" t="str">
        <f t="shared" si="163"/>
        <v/>
      </c>
      <c r="AI289" s="54" t="str">
        <f t="shared" si="179"/>
        <v/>
      </c>
      <c r="AJ289" s="54" t="str">
        <f t="shared" si="179"/>
        <v/>
      </c>
      <c r="AK289" s="54" t="str">
        <f t="shared" si="179"/>
        <v/>
      </c>
      <c r="AL289" s="54" t="str">
        <f t="shared" si="179"/>
        <v/>
      </c>
      <c r="AM289" s="54" t="str">
        <f t="shared" si="179"/>
        <v/>
      </c>
      <c r="AN289" s="54" t="str">
        <f t="shared" si="179"/>
        <v/>
      </c>
      <c r="AO289" s="54" t="str">
        <f t="shared" si="179"/>
        <v/>
      </c>
      <c r="AP289" s="54" t="str">
        <f t="shared" si="179"/>
        <v/>
      </c>
      <c r="AQ289" s="54" t="str">
        <f t="shared" si="179"/>
        <v/>
      </c>
      <c r="AR289" s="54" t="str">
        <f t="shared" si="179"/>
        <v/>
      </c>
      <c r="AS289" s="54" t="str">
        <f t="shared" si="179"/>
        <v/>
      </c>
      <c r="AT289" s="54" t="str">
        <f t="shared" si="179"/>
        <v/>
      </c>
      <c r="AU289" s="54" t="str">
        <f t="shared" si="179"/>
        <v/>
      </c>
      <c r="AV289" s="54" t="str">
        <f t="shared" si="179"/>
        <v/>
      </c>
      <c r="AW289" s="54" t="str">
        <f t="shared" si="179"/>
        <v/>
      </c>
      <c r="AX289" s="54" t="str">
        <f t="shared" ref="AX289" si="181">IF(AND($Q289="Feature",LEFT($AB289,2)="PI"),
IF(AND(COUNTIF($R:$R,$B289)=1,$T289=AX$1), IF($AB289=$A$10,$AF289,0),
IF(OR($AD289&lt;1,RIGHT($G289,8)="Progress",$AH289&gt;0),SUMIFS($O:$O,$R:$R,$B289,$T:$T,AX$1,$P:$P,"&lt;&gt;Done",$AB:$AB,$A$10),
IF($T289=AX$1,IF($AB289=$A$10,$AD289,0)+SUMIFS($O:$O,$R:$R,$B289,$T:$T,AX$1,$P:$P,"&lt;&gt;Done",$AB:$AB,$A$10),SUMIFS($O:$O,$R:$R,$B289,$T:$T,AX$1,$P:$P,"&lt;&gt;Done",$AB:$AB,$A$10)))),
IF(AND(OR($Q289="Story",$Q289="Problem",$Q289="Enhancement"),$AB289=$A$10,$R289=0,$T289=AX$1,$P289&lt;&gt;"Done"),$O289,""))</f>
        <v/>
      </c>
      <c r="AY289" s="54" t="str">
        <f t="shared" si="177"/>
        <v/>
      </c>
      <c r="AZ289" s="54" t="str">
        <f t="shared" si="165"/>
        <v/>
      </c>
      <c r="BA289" s="54" t="str">
        <f t="shared" si="166"/>
        <v/>
      </c>
      <c r="BB289" s="135" t="str">
        <f t="shared" si="167"/>
        <v/>
      </c>
      <c r="BC289" s="54" t="str">
        <f t="shared" si="180"/>
        <v/>
      </c>
      <c r="BD289" s="54" t="str">
        <f t="shared" si="180"/>
        <v/>
      </c>
      <c r="BE289" s="54" t="str">
        <f t="shared" si="180"/>
        <v/>
      </c>
      <c r="BF289" s="54" t="str">
        <f t="shared" si="168"/>
        <v/>
      </c>
      <c r="BG289" s="54" t="str">
        <f t="shared" si="169"/>
        <v/>
      </c>
      <c r="BH289" s="34" t="str">
        <f t="shared" si="170"/>
        <v>Bad</v>
      </c>
      <c r="BI289" s="34" t="str">
        <f t="shared" si="171"/>
        <v>No</v>
      </c>
      <c r="BJ289" s="136" t="str">
        <f>IF($D289&lt;&gt;"Feature",".",
IF(VLOOKUP($B289,Feature_List!$A:$AM,MATCH(BJ$1,  Feature_List!$A$1:$AM$1,0),0)=B289,".","NO"))</f>
        <v>.</v>
      </c>
      <c r="BK289" s="136"/>
      <c r="BL289" s="136"/>
      <c r="BM289" s="136" t="str">
        <f>IF($D289&lt;&gt;"Feature",".",
IF(VLOOKUP($B289,Feature_List!$A:$AM,MATCH(BM$1,  Feature_List!$A$1:$AM$1,0),0)=E289,".","NO"))</f>
        <v>.</v>
      </c>
      <c r="BN289" s="136" t="str">
        <f>IF($D289&lt;&gt;"Feature",".",
IF(VLOOKUP($B289,Feature_List!$A:$AM,MATCH(BN$1,  Feature_List!$A$1:$AM$1,0),0)=F289,".","NO"))</f>
        <v>.</v>
      </c>
      <c r="BO289" s="136" t="str">
        <f>IF($D289&lt;&gt;"Feature",".",
IF(VLOOKUP($B289,Feature_List!$A:$AM,MATCH(BO$1,  Feature_List!$A$1:$AM$1,0),0)=G289,".","NO"))</f>
        <v>.</v>
      </c>
      <c r="BP289" s="136" t="str">
        <f>IF($D289&lt;&gt;"Feature",".",
IF(VLOOKUP($B289,Feature_List!$A:$AM,MATCH(BP$1,  Feature_List!$A$1:$AM$1,0),0)=H289,".","NO"))</f>
        <v>.</v>
      </c>
      <c r="BQ289" s="136"/>
      <c r="BR289" s="136" t="str">
        <f>IF($D289&lt;&gt;"Feature",".",
IF(VLOOKUP($B289,Feature_List!$A:$AM,MATCH(BR$1,  Feature_List!$A$1:$AM$1,0),0)=J289,".","NO"))</f>
        <v>.</v>
      </c>
      <c r="BS289" s="136"/>
      <c r="BT289" s="136"/>
      <c r="BU289" s="136" t="str">
        <f>IF($D289&lt;&gt;"Feature",".",
IF(VLOOKUP($B289,Feature_List!$A:$AM,MATCH(BU$1,  Feature_List!$A$1:$AM$1,0),0)=M289,".","NO"))</f>
        <v>.</v>
      </c>
      <c r="BV289" s="136" t="str">
        <f>IF($D289&lt;&gt;"Feature",".",
IF(VLOOKUP($B289,Feature_List!$A:$AM,MATCH(BV$1,  Feature_List!$A$1:$AM$1,0),0)=N289,".","NO"))</f>
        <v>.</v>
      </c>
      <c r="BW289" s="136"/>
      <c r="BX289" s="136"/>
      <c r="BY289" s="136"/>
      <c r="BZ289" s="136"/>
      <c r="CA289" s="136"/>
      <c r="CB289" s="136" t="str">
        <f>IF($D289&lt;&gt;"Feature",".",
IF(VLOOKUP($B289,Feature_List!$A:$AM,MATCH(CB$1,  Feature_List!$A$1:$AM$1,0),0)=T289,".","NO"))</f>
        <v>.</v>
      </c>
      <c r="CC289" s="136"/>
      <c r="CD289" s="136"/>
      <c r="CE289" s="136"/>
      <c r="CF289" s="136"/>
      <c r="CG289" s="136"/>
      <c r="CH289" s="136"/>
      <c r="CI289" s="136"/>
      <c r="CJ289" s="136"/>
      <c r="CK289" s="136"/>
      <c r="CL289" s="136"/>
      <c r="CM289" s="136"/>
      <c r="CN289" s="136"/>
      <c r="CO289" s="136" t="str">
        <f>IF($D289&lt;&gt;"Feature",".",
IF(VLOOKUP($B289,Feature_List!$A:$AM,MATCH(CO$1,  Feature_List!$A$1:$AM$1,0),0)=AG289,".","NO"))</f>
        <v>.</v>
      </c>
      <c r="CP289" s="136" t="str">
        <f>IF($D289&lt;&gt;"Feature",".",
IF(VLOOKUP($B289,Feature_List!$A:$AM,MATCH(CP$1,  Feature_List!$A$1:$AM$1,0),0)=AH289,".","NO"))</f>
        <v>.</v>
      </c>
      <c r="CQ289" s="136" t="str">
        <f>IF($D289&lt;&gt;"Feature",".",
IF(VLOOKUP($B289,Feature_List!$A:$AM,MATCH(CQ$1,  Feature_List!$A$1:$AM$1,0),0)=AI289,".","NO"))</f>
        <v>.</v>
      </c>
      <c r="CR289" s="136" t="str">
        <f>IF($D289&lt;&gt;"Feature",".",
IF(VLOOKUP($B289,Feature_List!$A:$AM,MATCH(CR$1,  Feature_List!$A$1:$AM$1,0),0)=AJ289,".","NO"))</f>
        <v>.</v>
      </c>
      <c r="CS289" s="136" t="str">
        <f>IF($D289&lt;&gt;"Feature",".",
IF(VLOOKUP($B289,Feature_List!$A:$AM,MATCH(CS$1,  Feature_List!$A$1:$AM$1,0),0)=AK289,".","NO"))</f>
        <v>.</v>
      </c>
      <c r="CT289" s="136" t="str">
        <f>IF($D289&lt;&gt;"Feature",".",
IF(VLOOKUP($B289,Feature_List!$A:$AM,MATCH(CT$1,  Feature_List!$A$1:$AM$1,0),0)=AL289,".","NO"))</f>
        <v>.</v>
      </c>
      <c r="CU289" s="136" t="str">
        <f>IF($D289&lt;&gt;"Feature",".",
IF(VLOOKUP($B289,Feature_List!$A:$AM,MATCH(CU$1,  Feature_List!$A$1:$AM$1,0),0)=AM289,".","NO"))</f>
        <v>.</v>
      </c>
      <c r="CV289" s="136" t="str">
        <f>IF($D289&lt;&gt;"Feature",".",
IF(VLOOKUP($B289,Feature_List!$A:$AM,MATCH(CV$1,  Feature_List!$A$1:$AM$1,0),0)=AN289,".","NO"))</f>
        <v>.</v>
      </c>
      <c r="CW289" s="136" t="str">
        <f>IF($D289&lt;&gt;"Feature",".",
IF(VLOOKUP($B289,Feature_List!$A:$AM,MATCH(CW$1,  Feature_List!$A$1:$AM$1,0),0)=AO289,".","NO"))</f>
        <v>.</v>
      </c>
      <c r="CX289" s="136" t="str">
        <f>IF($D289&lt;&gt;"Feature",".",
IF(VLOOKUP($B289,Feature_List!$A:$AM,MATCH(CX$1,  Feature_List!$A$1:$AM$1,0),0)=AP289,".","NO"))</f>
        <v>.</v>
      </c>
      <c r="CY289" s="136" t="str">
        <f>IF($D289&lt;&gt;"Feature",".",
IF(VLOOKUP($B289,Feature_List!$A:$AM,MATCH(CY$1,  Feature_List!$A$1:$AM$1,0),0)=AQ289,".","NO"))</f>
        <v>.</v>
      </c>
      <c r="CZ289" s="136" t="str">
        <f>IF($D289&lt;&gt;"Feature",".",
IF(VLOOKUP($B289,Feature_List!$A:$AM,MATCH(CZ$1,  Feature_List!$A$1:$AM$1,0),0)=AR289,".","NO"))</f>
        <v>.</v>
      </c>
      <c r="DA289" s="136" t="str">
        <f>IF($D289&lt;&gt;"Feature",".",
IF(VLOOKUP($B289,Feature_List!$A:$AM,MATCH(DA$1,  Feature_List!$A$1:$AM$1,0),0)=AS289,".","NO"))</f>
        <v>.</v>
      </c>
      <c r="DB289" s="136" t="str">
        <f>IF($D289&lt;&gt;"Feature",".",
IF(VLOOKUP($B289,Feature_List!$A:$AM,MATCH(DB$1,  Feature_List!$A$1:$AM$1,0),0)=AT289,".","NO"))</f>
        <v>.</v>
      </c>
      <c r="DC289" s="136" t="str">
        <f>IF($D289&lt;&gt;"Feature",".",
IF(VLOOKUP($B289,Feature_List!$A:$AM,MATCH(DC$1,  Feature_List!$A$1:$AM$1,0),0)=AU289,".","NO"))</f>
        <v>.</v>
      </c>
      <c r="DD289" s="136" t="str">
        <f>IF($D289&lt;&gt;"Feature",".",
IF(VLOOKUP($B289,Feature_List!$A:$AM,MATCH(DD$1,  Feature_List!$A$1:$AM$1,0),0)=AV289,".","NO"))</f>
        <v>.</v>
      </c>
      <c r="DE289" s="136" t="str">
        <f>IF($D289&lt;&gt;"Feature",".",
IF(VLOOKUP($B289,Feature_List!$A:$AM,MATCH(DE$1,  Feature_List!$A$1:$AM$1,0),0)=AW289,".","NO"))</f>
        <v>.</v>
      </c>
      <c r="DF289" s="136" t="str">
        <f>IF($D289&lt;&gt;"Feature",".",
IF(VLOOKUP($B289,Feature_List!$A:$AM,MATCH(DF$1,  Feature_List!$A$1:$AM$1,0),0)=AX289,".","NO"))</f>
        <v>.</v>
      </c>
      <c r="DG289" s="136" t="str">
        <f>IF($D289&lt;&gt;"Feature",".",
IF(VLOOKUP($B289,Feature_List!$A:$AM,MATCH(DG$1,  Feature_List!$A$1:$AM$1,0),0)=AY289,".","NO"))</f>
        <v>.</v>
      </c>
      <c r="DH289" s="136" t="str">
        <f>IF($D289&lt;&gt;"Feature",".",
IF(VLOOKUP($B289,Feature_List!$A:$AM,MATCH(DH$1,  Feature_List!$A$1:$AM$1,0),0)=AZ289,".","NO"))</f>
        <v>.</v>
      </c>
      <c r="DI289" s="136" t="str">
        <f>IF($D289&lt;&gt;"Feature",".",
IF(VLOOKUP($B289,Feature_List!$A:$AM,MATCH(DI$1,  Feature_List!$A$1:$AM$1,0),0)=BA289,".","NO"))</f>
        <v>.</v>
      </c>
      <c r="DJ289" s="136" t="str">
        <f>IF($D289&lt;&gt;"Feature",".",
IF(VLOOKUP($B289,Feature_List!$A:$AM,MATCH(DJ$1,  Feature_List!$A$1:$AM$1,0),0)=BB289,".","NO"))</f>
        <v>.</v>
      </c>
      <c r="DK289" s="136"/>
      <c r="DL289" s="136"/>
      <c r="DM289" s="136"/>
      <c r="DN289" s="136" t="str">
        <f>IF($D289&lt;&gt;"Feature",".",
IF(VLOOKUP($B289,Feature_List!$A:$AM,MATCH(DN$1,  Feature_List!$A$1:$AM$1,0),0)=BC289,".","NO"))</f>
        <v>.</v>
      </c>
      <c r="DO289" s="136" t="str">
        <f>IF($D289&lt;&gt;"Feature",".",
IF(VLOOKUP($B289,Feature_List!$A:$AM,MATCH(DO$1,  Feature_List!$A$1:$AM$1,0),0)=BD289,".","NO"))</f>
        <v>.</v>
      </c>
    </row>
    <row r="290" spans="2:119" x14ac:dyDescent="0.3">
      <c r="B290" s="121"/>
      <c r="C290" s="122"/>
      <c r="D290" s="122"/>
      <c r="E290" s="122"/>
      <c r="F290" s="123"/>
      <c r="G290" s="123"/>
      <c r="H290" s="122"/>
      <c r="I290" s="124"/>
      <c r="J290" s="123"/>
      <c r="K290" s="123"/>
      <c r="L290" s="122"/>
      <c r="M290" s="122"/>
      <c r="N290" s="122"/>
      <c r="O290" s="123">
        <f t="shared" si="150"/>
        <v>0</v>
      </c>
      <c r="P290" s="123">
        <f t="shared" si="151"/>
        <v>0</v>
      </c>
      <c r="Q290" s="122" t="str">
        <f t="shared" si="172"/>
        <v>ZeroEntry</v>
      </c>
      <c r="R290" s="126" t="str">
        <f t="shared" si="152"/>
        <v>ZeroEntry</v>
      </c>
      <c r="S290" s="127" t="str">
        <f t="shared" si="153"/>
        <v>ZeroEntry</v>
      </c>
      <c r="T290" s="128" t="str">
        <f>IF($Q290="ZeroEntry", "",VLOOKUP($I290,'Ranking Lookup'!#REF!,2,FALSE))</f>
        <v/>
      </c>
      <c r="U290" s="129" t="str">
        <f t="shared" si="154"/>
        <v/>
      </c>
      <c r="V290" s="129" t="str">
        <f t="shared" si="155"/>
        <v/>
      </c>
      <c r="W290" s="129" t="str">
        <f t="shared" si="156"/>
        <v/>
      </c>
      <c r="X290" s="129" t="str">
        <f t="shared" si="157"/>
        <v/>
      </c>
      <c r="Y290" s="129" t="str">
        <f t="shared" si="158"/>
        <v/>
      </c>
      <c r="Z290" s="129" t="str">
        <f t="shared" si="159"/>
        <v/>
      </c>
      <c r="AA290" s="130"/>
      <c r="AB290" s="130" t="str">
        <f t="shared" si="160"/>
        <v>Unassigned</v>
      </c>
      <c r="AC290" s="131" t="str">
        <f t="shared" si="173"/>
        <v/>
      </c>
      <c r="AD290" s="131" t="str">
        <f t="shared" si="174"/>
        <v/>
      </c>
      <c r="AE290" s="132">
        <f t="shared" si="161"/>
        <v>0</v>
      </c>
      <c r="AF290" s="133" t="str">
        <f t="shared" si="175"/>
        <v/>
      </c>
      <c r="AG290" s="134">
        <f t="shared" si="162"/>
        <v>0</v>
      </c>
      <c r="AH290" s="54" t="str">
        <f t="shared" si="163"/>
        <v/>
      </c>
      <c r="AI290" s="54" t="str">
        <f t="shared" ref="AI290:AX305" si="182">IF(AND($Q290="Feature",LEFT($AB290,2)="PI"),
IF(AND(COUNTIF($R:$R,$B290)=1,$T290=AI$1), IF($AB290=$A$10,$AF290,0),
IF(OR($AD290&lt;1,RIGHT($G290,8)="Progress",$AH290&gt;0),SUMIFS($O:$O,$R:$R,$B290,$T:$T,AI$1,$P:$P,"&lt;&gt;Done",$AB:$AB,$A$10),
IF($T290=AI$1,IF($AB290=$A$10,$AD290,0)+SUMIFS($O:$O,$R:$R,$B290,$T:$T,AI$1,$P:$P,"&lt;&gt;Done",$AB:$AB,$A$10),SUMIFS($O:$O,$R:$R,$B290,$T:$T,AI$1,$P:$P,"&lt;&gt;Done",$AB:$AB,$A$10)))),
IF(AND(OR($Q290="Story",$Q290="Problem",$Q290="Enhancement"),$AB290=$A$10,$R290=0,$T290=AI$1,$P290&lt;&gt;"Done"),$O290,""))</f>
        <v/>
      </c>
      <c r="AJ290" s="54" t="str">
        <f t="shared" si="182"/>
        <v/>
      </c>
      <c r="AK290" s="54" t="str">
        <f t="shared" si="182"/>
        <v/>
      </c>
      <c r="AL290" s="54" t="str">
        <f t="shared" si="182"/>
        <v/>
      </c>
      <c r="AM290" s="54" t="str">
        <f t="shared" si="182"/>
        <v/>
      </c>
      <c r="AN290" s="54" t="str">
        <f t="shared" si="182"/>
        <v/>
      </c>
      <c r="AO290" s="54" t="str">
        <f t="shared" si="182"/>
        <v/>
      </c>
      <c r="AP290" s="54" t="str">
        <f t="shared" si="182"/>
        <v/>
      </c>
      <c r="AQ290" s="54" t="str">
        <f t="shared" si="182"/>
        <v/>
      </c>
      <c r="AR290" s="54" t="str">
        <f t="shared" si="182"/>
        <v/>
      </c>
      <c r="AS290" s="54" t="str">
        <f t="shared" si="182"/>
        <v/>
      </c>
      <c r="AT290" s="54" t="str">
        <f t="shared" si="182"/>
        <v/>
      </c>
      <c r="AU290" s="54" t="str">
        <f t="shared" si="182"/>
        <v/>
      </c>
      <c r="AV290" s="54" t="str">
        <f t="shared" si="182"/>
        <v/>
      </c>
      <c r="AW290" s="54" t="str">
        <f t="shared" si="182"/>
        <v/>
      </c>
      <c r="AX290" s="54" t="str">
        <f t="shared" si="182"/>
        <v/>
      </c>
      <c r="AY290" s="54" t="str">
        <f t="shared" si="177"/>
        <v/>
      </c>
      <c r="AZ290" s="54" t="str">
        <f t="shared" si="165"/>
        <v/>
      </c>
      <c r="BA290" s="54" t="str">
        <f t="shared" si="166"/>
        <v/>
      </c>
      <c r="BB290" s="135" t="str">
        <f t="shared" si="167"/>
        <v/>
      </c>
      <c r="BC290" s="54" t="str">
        <f t="shared" si="180"/>
        <v/>
      </c>
      <c r="BD290" s="54" t="str">
        <f t="shared" si="180"/>
        <v/>
      </c>
      <c r="BE290" s="54" t="str">
        <f t="shared" si="180"/>
        <v/>
      </c>
      <c r="BF290" s="54" t="str">
        <f t="shared" si="168"/>
        <v/>
      </c>
      <c r="BG290" s="54" t="str">
        <f t="shared" si="169"/>
        <v/>
      </c>
      <c r="BH290" s="34" t="str">
        <f t="shared" si="170"/>
        <v>Bad</v>
      </c>
      <c r="BI290" s="34" t="str">
        <f t="shared" si="171"/>
        <v>No</v>
      </c>
      <c r="BJ290" s="136" t="str">
        <f>IF($D290&lt;&gt;"Feature",".",
IF(VLOOKUP($B290,Feature_List!$A:$AM,MATCH(BJ$1,  Feature_List!$A$1:$AM$1,0),0)=B290,".","NO"))</f>
        <v>.</v>
      </c>
      <c r="BK290" s="136"/>
      <c r="BL290" s="136"/>
      <c r="BM290" s="136" t="str">
        <f>IF($D290&lt;&gt;"Feature",".",
IF(VLOOKUP($B290,Feature_List!$A:$AM,MATCH(BM$1,  Feature_List!$A$1:$AM$1,0),0)=E290,".","NO"))</f>
        <v>.</v>
      </c>
      <c r="BN290" s="136" t="str">
        <f>IF($D290&lt;&gt;"Feature",".",
IF(VLOOKUP($B290,Feature_List!$A:$AM,MATCH(BN$1,  Feature_List!$A$1:$AM$1,0),0)=F290,".","NO"))</f>
        <v>.</v>
      </c>
      <c r="BO290" s="136" t="str">
        <f>IF($D290&lt;&gt;"Feature",".",
IF(VLOOKUP($B290,Feature_List!$A:$AM,MATCH(BO$1,  Feature_List!$A$1:$AM$1,0),0)=G290,".","NO"))</f>
        <v>.</v>
      </c>
      <c r="BP290" s="136" t="str">
        <f>IF($D290&lt;&gt;"Feature",".",
IF(VLOOKUP($B290,Feature_List!$A:$AM,MATCH(BP$1,  Feature_List!$A$1:$AM$1,0),0)=H290,".","NO"))</f>
        <v>.</v>
      </c>
      <c r="BQ290" s="136"/>
      <c r="BR290" s="136" t="str">
        <f>IF($D290&lt;&gt;"Feature",".",
IF(VLOOKUP($B290,Feature_List!$A:$AM,MATCH(BR$1,  Feature_List!$A$1:$AM$1,0),0)=J290,".","NO"))</f>
        <v>.</v>
      </c>
      <c r="BS290" s="136"/>
      <c r="BT290" s="136"/>
      <c r="BU290" s="136" t="str">
        <f>IF($D290&lt;&gt;"Feature",".",
IF(VLOOKUP($B290,Feature_List!$A:$AM,MATCH(BU$1,  Feature_List!$A$1:$AM$1,0),0)=M290,".","NO"))</f>
        <v>.</v>
      </c>
      <c r="BV290" s="136" t="str">
        <f>IF($D290&lt;&gt;"Feature",".",
IF(VLOOKUP($B290,Feature_List!$A:$AM,MATCH(BV$1,  Feature_List!$A$1:$AM$1,0),0)=N290,".","NO"))</f>
        <v>.</v>
      </c>
      <c r="BW290" s="136"/>
      <c r="BX290" s="136"/>
      <c r="BY290" s="136"/>
      <c r="BZ290" s="136"/>
      <c r="CA290" s="136"/>
      <c r="CB290" s="136" t="str">
        <f>IF($D290&lt;&gt;"Feature",".",
IF(VLOOKUP($B290,Feature_List!$A:$AM,MATCH(CB$1,  Feature_List!$A$1:$AM$1,0),0)=T290,".","NO"))</f>
        <v>.</v>
      </c>
      <c r="CC290" s="136"/>
      <c r="CD290" s="136"/>
      <c r="CE290" s="136"/>
      <c r="CF290" s="136"/>
      <c r="CG290" s="136"/>
      <c r="CH290" s="136"/>
      <c r="CI290" s="136"/>
      <c r="CJ290" s="136"/>
      <c r="CK290" s="136"/>
      <c r="CL290" s="136"/>
      <c r="CM290" s="136"/>
      <c r="CN290" s="136"/>
      <c r="CO290" s="136" t="str">
        <f>IF($D290&lt;&gt;"Feature",".",
IF(VLOOKUP($B290,Feature_List!$A:$AM,MATCH(CO$1,  Feature_List!$A$1:$AM$1,0),0)=AG290,".","NO"))</f>
        <v>.</v>
      </c>
      <c r="CP290" s="136" t="str">
        <f>IF($D290&lt;&gt;"Feature",".",
IF(VLOOKUP($B290,Feature_List!$A:$AM,MATCH(CP$1,  Feature_List!$A$1:$AM$1,0),0)=AH290,".","NO"))</f>
        <v>.</v>
      </c>
      <c r="CQ290" s="136" t="str">
        <f>IF($D290&lt;&gt;"Feature",".",
IF(VLOOKUP($B290,Feature_List!$A:$AM,MATCH(CQ$1,  Feature_List!$A$1:$AM$1,0),0)=AI290,".","NO"))</f>
        <v>.</v>
      </c>
      <c r="CR290" s="136" t="str">
        <f>IF($D290&lt;&gt;"Feature",".",
IF(VLOOKUP($B290,Feature_List!$A:$AM,MATCH(CR$1,  Feature_List!$A$1:$AM$1,0),0)=AJ290,".","NO"))</f>
        <v>.</v>
      </c>
      <c r="CS290" s="136" t="str">
        <f>IF($D290&lt;&gt;"Feature",".",
IF(VLOOKUP($B290,Feature_List!$A:$AM,MATCH(CS$1,  Feature_List!$A$1:$AM$1,0),0)=AK290,".","NO"))</f>
        <v>.</v>
      </c>
      <c r="CT290" s="136" t="str">
        <f>IF($D290&lt;&gt;"Feature",".",
IF(VLOOKUP($B290,Feature_List!$A:$AM,MATCH(CT$1,  Feature_List!$A$1:$AM$1,0),0)=AL290,".","NO"))</f>
        <v>.</v>
      </c>
      <c r="CU290" s="136" t="str">
        <f>IF($D290&lt;&gt;"Feature",".",
IF(VLOOKUP($B290,Feature_List!$A:$AM,MATCH(CU$1,  Feature_List!$A$1:$AM$1,0),0)=AM290,".","NO"))</f>
        <v>.</v>
      </c>
      <c r="CV290" s="136" t="str">
        <f>IF($D290&lt;&gt;"Feature",".",
IF(VLOOKUP($B290,Feature_List!$A:$AM,MATCH(CV$1,  Feature_List!$A$1:$AM$1,0),0)=AN290,".","NO"))</f>
        <v>.</v>
      </c>
      <c r="CW290" s="136" t="str">
        <f>IF($D290&lt;&gt;"Feature",".",
IF(VLOOKUP($B290,Feature_List!$A:$AM,MATCH(CW$1,  Feature_List!$A$1:$AM$1,0),0)=AO290,".","NO"))</f>
        <v>.</v>
      </c>
      <c r="CX290" s="136" t="str">
        <f>IF($D290&lt;&gt;"Feature",".",
IF(VLOOKUP($B290,Feature_List!$A:$AM,MATCH(CX$1,  Feature_List!$A$1:$AM$1,0),0)=AP290,".","NO"))</f>
        <v>.</v>
      </c>
      <c r="CY290" s="136" t="str">
        <f>IF($D290&lt;&gt;"Feature",".",
IF(VLOOKUP($B290,Feature_List!$A:$AM,MATCH(CY$1,  Feature_List!$A$1:$AM$1,0),0)=AQ290,".","NO"))</f>
        <v>.</v>
      </c>
      <c r="CZ290" s="136" t="str">
        <f>IF($D290&lt;&gt;"Feature",".",
IF(VLOOKUP($B290,Feature_List!$A:$AM,MATCH(CZ$1,  Feature_List!$A$1:$AM$1,0),0)=AR290,".","NO"))</f>
        <v>.</v>
      </c>
      <c r="DA290" s="136" t="str">
        <f>IF($D290&lt;&gt;"Feature",".",
IF(VLOOKUP($B290,Feature_List!$A:$AM,MATCH(DA$1,  Feature_List!$A$1:$AM$1,0),0)=AS290,".","NO"))</f>
        <v>.</v>
      </c>
      <c r="DB290" s="136" t="str">
        <f>IF($D290&lt;&gt;"Feature",".",
IF(VLOOKUP($B290,Feature_List!$A:$AM,MATCH(DB$1,  Feature_List!$A$1:$AM$1,0),0)=AT290,".","NO"))</f>
        <v>.</v>
      </c>
      <c r="DC290" s="136" t="str">
        <f>IF($D290&lt;&gt;"Feature",".",
IF(VLOOKUP($B290,Feature_List!$A:$AM,MATCH(DC$1,  Feature_List!$A$1:$AM$1,0),0)=AU290,".","NO"))</f>
        <v>.</v>
      </c>
      <c r="DD290" s="136" t="str">
        <f>IF($D290&lt;&gt;"Feature",".",
IF(VLOOKUP($B290,Feature_List!$A:$AM,MATCH(DD$1,  Feature_List!$A$1:$AM$1,0),0)=AV290,".","NO"))</f>
        <v>.</v>
      </c>
      <c r="DE290" s="136" t="str">
        <f>IF($D290&lt;&gt;"Feature",".",
IF(VLOOKUP($B290,Feature_List!$A:$AM,MATCH(DE$1,  Feature_List!$A$1:$AM$1,0),0)=AW290,".","NO"))</f>
        <v>.</v>
      </c>
      <c r="DF290" s="136" t="str">
        <f>IF($D290&lt;&gt;"Feature",".",
IF(VLOOKUP($B290,Feature_List!$A:$AM,MATCH(DF$1,  Feature_List!$A$1:$AM$1,0),0)=AX290,".","NO"))</f>
        <v>.</v>
      </c>
      <c r="DG290" s="136" t="str">
        <f>IF($D290&lt;&gt;"Feature",".",
IF(VLOOKUP($B290,Feature_List!$A:$AM,MATCH(DG$1,  Feature_List!$A$1:$AM$1,0),0)=AY290,".","NO"))</f>
        <v>.</v>
      </c>
      <c r="DH290" s="136" t="str">
        <f>IF($D290&lt;&gt;"Feature",".",
IF(VLOOKUP($B290,Feature_List!$A:$AM,MATCH(DH$1,  Feature_List!$A$1:$AM$1,0),0)=AZ290,".","NO"))</f>
        <v>.</v>
      </c>
      <c r="DI290" s="136" t="str">
        <f>IF($D290&lt;&gt;"Feature",".",
IF(VLOOKUP($B290,Feature_List!$A:$AM,MATCH(DI$1,  Feature_List!$A$1:$AM$1,0),0)=BA290,".","NO"))</f>
        <v>.</v>
      </c>
      <c r="DJ290" s="136" t="str">
        <f>IF($D290&lt;&gt;"Feature",".",
IF(VLOOKUP($B290,Feature_List!$A:$AM,MATCH(DJ$1,  Feature_List!$A$1:$AM$1,0),0)=BB290,".","NO"))</f>
        <v>.</v>
      </c>
      <c r="DK290" s="136"/>
      <c r="DL290" s="136"/>
      <c r="DM290" s="136"/>
      <c r="DN290" s="136" t="str">
        <f>IF($D290&lt;&gt;"Feature",".",
IF(VLOOKUP($B290,Feature_List!$A:$AM,MATCH(DN$1,  Feature_List!$A$1:$AM$1,0),0)=BC290,".","NO"))</f>
        <v>.</v>
      </c>
      <c r="DO290" s="136" t="str">
        <f>IF($D290&lt;&gt;"Feature",".",
IF(VLOOKUP($B290,Feature_List!$A:$AM,MATCH(DO$1,  Feature_List!$A$1:$AM$1,0),0)=BD290,".","NO"))</f>
        <v>.</v>
      </c>
    </row>
    <row r="291" spans="2:119" x14ac:dyDescent="0.3">
      <c r="B291" s="121"/>
      <c r="C291" s="122"/>
      <c r="D291" s="122"/>
      <c r="E291" s="122"/>
      <c r="F291" s="123"/>
      <c r="G291" s="123"/>
      <c r="H291" s="122"/>
      <c r="I291" s="124"/>
      <c r="J291" s="123"/>
      <c r="K291" s="123"/>
      <c r="L291" s="122"/>
      <c r="M291" s="122"/>
      <c r="N291" s="122"/>
      <c r="O291" s="123">
        <f t="shared" si="150"/>
        <v>0</v>
      </c>
      <c r="P291" s="123">
        <f t="shared" si="151"/>
        <v>0</v>
      </c>
      <c r="Q291" s="122" t="str">
        <f t="shared" si="172"/>
        <v>ZeroEntry</v>
      </c>
      <c r="R291" s="126" t="str">
        <f t="shared" si="152"/>
        <v>ZeroEntry</v>
      </c>
      <c r="S291" s="127" t="str">
        <f t="shared" si="153"/>
        <v>ZeroEntry</v>
      </c>
      <c r="T291" s="128" t="str">
        <f>IF($Q291="ZeroEntry", "",VLOOKUP($I291,'Ranking Lookup'!#REF!,2,FALSE))</f>
        <v/>
      </c>
      <c r="U291" s="129" t="str">
        <f t="shared" si="154"/>
        <v/>
      </c>
      <c r="V291" s="129" t="str">
        <f t="shared" si="155"/>
        <v/>
      </c>
      <c r="W291" s="129" t="str">
        <f t="shared" si="156"/>
        <v/>
      </c>
      <c r="X291" s="129" t="str">
        <f t="shared" si="157"/>
        <v/>
      </c>
      <c r="Y291" s="129" t="str">
        <f t="shared" si="158"/>
        <v/>
      </c>
      <c r="Z291" s="129" t="str">
        <f t="shared" si="159"/>
        <v/>
      </c>
      <c r="AA291" s="130"/>
      <c r="AB291" s="130" t="str">
        <f t="shared" si="160"/>
        <v>Unassigned</v>
      </c>
      <c r="AC291" s="131" t="str">
        <f t="shared" si="173"/>
        <v/>
      </c>
      <c r="AD291" s="131" t="str">
        <f t="shared" si="174"/>
        <v/>
      </c>
      <c r="AE291" s="132">
        <f t="shared" si="161"/>
        <v>0</v>
      </c>
      <c r="AF291" s="133" t="str">
        <f t="shared" si="175"/>
        <v/>
      </c>
      <c r="AG291" s="134">
        <f t="shared" si="162"/>
        <v>0</v>
      </c>
      <c r="AH291" s="54" t="str">
        <f t="shared" si="163"/>
        <v/>
      </c>
      <c r="AI291" s="54" t="str">
        <f t="shared" si="182"/>
        <v/>
      </c>
      <c r="AJ291" s="54" t="str">
        <f t="shared" si="182"/>
        <v/>
      </c>
      <c r="AK291" s="54" t="str">
        <f t="shared" si="182"/>
        <v/>
      </c>
      <c r="AL291" s="54" t="str">
        <f t="shared" si="182"/>
        <v/>
      </c>
      <c r="AM291" s="54" t="str">
        <f t="shared" si="182"/>
        <v/>
      </c>
      <c r="AN291" s="54" t="str">
        <f t="shared" si="182"/>
        <v/>
      </c>
      <c r="AO291" s="54" t="str">
        <f t="shared" si="182"/>
        <v/>
      </c>
      <c r="AP291" s="54" t="str">
        <f t="shared" si="182"/>
        <v/>
      </c>
      <c r="AQ291" s="54" t="str">
        <f t="shared" si="182"/>
        <v/>
      </c>
      <c r="AR291" s="54" t="str">
        <f t="shared" si="182"/>
        <v/>
      </c>
      <c r="AS291" s="54" t="str">
        <f t="shared" si="182"/>
        <v/>
      </c>
      <c r="AT291" s="54" t="str">
        <f t="shared" si="182"/>
        <v/>
      </c>
      <c r="AU291" s="54" t="str">
        <f t="shared" si="182"/>
        <v/>
      </c>
      <c r="AV291" s="54" t="str">
        <f t="shared" si="182"/>
        <v/>
      </c>
      <c r="AW291" s="54" t="str">
        <f t="shared" si="182"/>
        <v/>
      </c>
      <c r="AX291" s="54" t="str">
        <f t="shared" si="182"/>
        <v/>
      </c>
      <c r="AY291" s="54" t="str">
        <f t="shared" si="177"/>
        <v/>
      </c>
      <c r="AZ291" s="54" t="str">
        <f t="shared" si="165"/>
        <v/>
      </c>
      <c r="BA291" s="54" t="str">
        <f t="shared" si="166"/>
        <v/>
      </c>
      <c r="BB291" s="135" t="str">
        <f t="shared" si="167"/>
        <v/>
      </c>
      <c r="BC291" s="54" t="str">
        <f t="shared" si="180"/>
        <v/>
      </c>
      <c r="BD291" s="54" t="str">
        <f t="shared" si="180"/>
        <v/>
      </c>
      <c r="BE291" s="54" t="str">
        <f t="shared" si="180"/>
        <v/>
      </c>
      <c r="BF291" s="54" t="str">
        <f t="shared" si="168"/>
        <v/>
      </c>
      <c r="BG291" s="54" t="str">
        <f t="shared" si="169"/>
        <v/>
      </c>
      <c r="BH291" s="34" t="str">
        <f t="shared" si="170"/>
        <v>Bad</v>
      </c>
      <c r="BI291" s="34" t="str">
        <f t="shared" si="171"/>
        <v>No</v>
      </c>
      <c r="BJ291" s="136" t="str">
        <f>IF($D291&lt;&gt;"Feature",".",
IF(VLOOKUP($B291,Feature_List!$A:$AM,MATCH(BJ$1,  Feature_List!$A$1:$AM$1,0),0)=B291,".","NO"))</f>
        <v>.</v>
      </c>
      <c r="BK291" s="136"/>
      <c r="BL291" s="136"/>
      <c r="BM291" s="136" t="str">
        <f>IF($D291&lt;&gt;"Feature",".",
IF(VLOOKUP($B291,Feature_List!$A:$AM,MATCH(BM$1,  Feature_List!$A$1:$AM$1,0),0)=E291,".","NO"))</f>
        <v>.</v>
      </c>
      <c r="BN291" s="136" t="str">
        <f>IF($D291&lt;&gt;"Feature",".",
IF(VLOOKUP($B291,Feature_List!$A:$AM,MATCH(BN$1,  Feature_List!$A$1:$AM$1,0),0)=F291,".","NO"))</f>
        <v>.</v>
      </c>
      <c r="BO291" s="136" t="str">
        <f>IF($D291&lt;&gt;"Feature",".",
IF(VLOOKUP($B291,Feature_List!$A:$AM,MATCH(BO$1,  Feature_List!$A$1:$AM$1,0),0)=G291,".","NO"))</f>
        <v>.</v>
      </c>
      <c r="BP291" s="136" t="str">
        <f>IF($D291&lt;&gt;"Feature",".",
IF(VLOOKUP($B291,Feature_List!$A:$AM,MATCH(BP$1,  Feature_List!$A$1:$AM$1,0),0)=H291,".","NO"))</f>
        <v>.</v>
      </c>
      <c r="BQ291" s="136"/>
      <c r="BR291" s="136" t="str">
        <f>IF($D291&lt;&gt;"Feature",".",
IF(VLOOKUP($B291,Feature_List!$A:$AM,MATCH(BR$1,  Feature_List!$A$1:$AM$1,0),0)=J291,".","NO"))</f>
        <v>.</v>
      </c>
      <c r="BS291" s="136"/>
      <c r="BT291" s="136"/>
      <c r="BU291" s="136" t="str">
        <f>IF($D291&lt;&gt;"Feature",".",
IF(VLOOKUP($B291,Feature_List!$A:$AM,MATCH(BU$1,  Feature_List!$A$1:$AM$1,0),0)=M291,".","NO"))</f>
        <v>.</v>
      </c>
      <c r="BV291" s="136" t="str">
        <f>IF($D291&lt;&gt;"Feature",".",
IF(VLOOKUP($B291,Feature_List!$A:$AM,MATCH(BV$1,  Feature_List!$A$1:$AM$1,0),0)=N291,".","NO"))</f>
        <v>.</v>
      </c>
      <c r="BW291" s="136"/>
      <c r="BX291" s="136"/>
      <c r="BY291" s="136"/>
      <c r="BZ291" s="136"/>
      <c r="CA291" s="136"/>
      <c r="CB291" s="136" t="str">
        <f>IF($D291&lt;&gt;"Feature",".",
IF(VLOOKUP($B291,Feature_List!$A:$AM,MATCH(CB$1,  Feature_List!$A$1:$AM$1,0),0)=T291,".","NO"))</f>
        <v>.</v>
      </c>
      <c r="CC291" s="136"/>
      <c r="CD291" s="136"/>
      <c r="CE291" s="136"/>
      <c r="CF291" s="136"/>
      <c r="CG291" s="136"/>
      <c r="CH291" s="136"/>
      <c r="CI291" s="136"/>
      <c r="CJ291" s="136"/>
      <c r="CK291" s="136"/>
      <c r="CL291" s="136"/>
      <c r="CM291" s="136"/>
      <c r="CN291" s="136"/>
      <c r="CO291" s="136" t="str">
        <f>IF($D291&lt;&gt;"Feature",".",
IF(VLOOKUP($B291,Feature_List!$A:$AM,MATCH(CO$1,  Feature_List!$A$1:$AM$1,0),0)=AG291,".","NO"))</f>
        <v>.</v>
      </c>
      <c r="CP291" s="136" t="str">
        <f>IF($D291&lt;&gt;"Feature",".",
IF(VLOOKUP($B291,Feature_List!$A:$AM,MATCH(CP$1,  Feature_List!$A$1:$AM$1,0),0)=AH291,".","NO"))</f>
        <v>.</v>
      </c>
      <c r="CQ291" s="136" t="str">
        <f>IF($D291&lt;&gt;"Feature",".",
IF(VLOOKUP($B291,Feature_List!$A:$AM,MATCH(CQ$1,  Feature_List!$A$1:$AM$1,0),0)=AI291,".","NO"))</f>
        <v>.</v>
      </c>
      <c r="CR291" s="136" t="str">
        <f>IF($D291&lt;&gt;"Feature",".",
IF(VLOOKUP($B291,Feature_List!$A:$AM,MATCH(CR$1,  Feature_List!$A$1:$AM$1,0),0)=AJ291,".","NO"))</f>
        <v>.</v>
      </c>
      <c r="CS291" s="136" t="str">
        <f>IF($D291&lt;&gt;"Feature",".",
IF(VLOOKUP($B291,Feature_List!$A:$AM,MATCH(CS$1,  Feature_List!$A$1:$AM$1,0),0)=AK291,".","NO"))</f>
        <v>.</v>
      </c>
      <c r="CT291" s="136" t="str">
        <f>IF($D291&lt;&gt;"Feature",".",
IF(VLOOKUP($B291,Feature_List!$A:$AM,MATCH(CT$1,  Feature_List!$A$1:$AM$1,0),0)=AL291,".","NO"))</f>
        <v>.</v>
      </c>
      <c r="CU291" s="136" t="str">
        <f>IF($D291&lt;&gt;"Feature",".",
IF(VLOOKUP($B291,Feature_List!$A:$AM,MATCH(CU$1,  Feature_List!$A$1:$AM$1,0),0)=AM291,".","NO"))</f>
        <v>.</v>
      </c>
      <c r="CV291" s="136" t="str">
        <f>IF($D291&lt;&gt;"Feature",".",
IF(VLOOKUP($B291,Feature_List!$A:$AM,MATCH(CV$1,  Feature_List!$A$1:$AM$1,0),0)=AN291,".","NO"))</f>
        <v>.</v>
      </c>
      <c r="CW291" s="136" t="str">
        <f>IF($D291&lt;&gt;"Feature",".",
IF(VLOOKUP($B291,Feature_List!$A:$AM,MATCH(CW$1,  Feature_List!$A$1:$AM$1,0),0)=AO291,".","NO"))</f>
        <v>.</v>
      </c>
      <c r="CX291" s="136" t="str">
        <f>IF($D291&lt;&gt;"Feature",".",
IF(VLOOKUP($B291,Feature_List!$A:$AM,MATCH(CX$1,  Feature_List!$A$1:$AM$1,0),0)=AP291,".","NO"))</f>
        <v>.</v>
      </c>
      <c r="CY291" s="136" t="str">
        <f>IF($D291&lt;&gt;"Feature",".",
IF(VLOOKUP($B291,Feature_List!$A:$AM,MATCH(CY$1,  Feature_List!$A$1:$AM$1,0),0)=AQ291,".","NO"))</f>
        <v>.</v>
      </c>
      <c r="CZ291" s="136" t="str">
        <f>IF($D291&lt;&gt;"Feature",".",
IF(VLOOKUP($B291,Feature_List!$A:$AM,MATCH(CZ$1,  Feature_List!$A$1:$AM$1,0),0)=AR291,".","NO"))</f>
        <v>.</v>
      </c>
      <c r="DA291" s="136" t="str">
        <f>IF($D291&lt;&gt;"Feature",".",
IF(VLOOKUP($B291,Feature_List!$A:$AM,MATCH(DA$1,  Feature_List!$A$1:$AM$1,0),0)=AS291,".","NO"))</f>
        <v>.</v>
      </c>
      <c r="DB291" s="136" t="str">
        <f>IF($D291&lt;&gt;"Feature",".",
IF(VLOOKUP($B291,Feature_List!$A:$AM,MATCH(DB$1,  Feature_List!$A$1:$AM$1,0),0)=AT291,".","NO"))</f>
        <v>.</v>
      </c>
      <c r="DC291" s="136" t="str">
        <f>IF($D291&lt;&gt;"Feature",".",
IF(VLOOKUP($B291,Feature_List!$A:$AM,MATCH(DC$1,  Feature_List!$A$1:$AM$1,0),0)=AU291,".","NO"))</f>
        <v>.</v>
      </c>
      <c r="DD291" s="136" t="str">
        <f>IF($D291&lt;&gt;"Feature",".",
IF(VLOOKUP($B291,Feature_List!$A:$AM,MATCH(DD$1,  Feature_List!$A$1:$AM$1,0),0)=AV291,".","NO"))</f>
        <v>.</v>
      </c>
      <c r="DE291" s="136" t="str">
        <f>IF($D291&lt;&gt;"Feature",".",
IF(VLOOKUP($B291,Feature_List!$A:$AM,MATCH(DE$1,  Feature_List!$A$1:$AM$1,0),0)=AW291,".","NO"))</f>
        <v>.</v>
      </c>
      <c r="DF291" s="136" t="str">
        <f>IF($D291&lt;&gt;"Feature",".",
IF(VLOOKUP($B291,Feature_List!$A:$AM,MATCH(DF$1,  Feature_List!$A$1:$AM$1,0),0)=AX291,".","NO"))</f>
        <v>.</v>
      </c>
      <c r="DG291" s="136" t="str">
        <f>IF($D291&lt;&gt;"Feature",".",
IF(VLOOKUP($B291,Feature_List!$A:$AM,MATCH(DG$1,  Feature_List!$A$1:$AM$1,0),0)=AY291,".","NO"))</f>
        <v>.</v>
      </c>
      <c r="DH291" s="136" t="str">
        <f>IF($D291&lt;&gt;"Feature",".",
IF(VLOOKUP($B291,Feature_List!$A:$AM,MATCH(DH$1,  Feature_List!$A$1:$AM$1,0),0)=AZ291,".","NO"))</f>
        <v>.</v>
      </c>
      <c r="DI291" s="136" t="str">
        <f>IF($D291&lt;&gt;"Feature",".",
IF(VLOOKUP($B291,Feature_List!$A:$AM,MATCH(DI$1,  Feature_List!$A$1:$AM$1,0),0)=BA291,".","NO"))</f>
        <v>.</v>
      </c>
      <c r="DJ291" s="136" t="str">
        <f>IF($D291&lt;&gt;"Feature",".",
IF(VLOOKUP($B291,Feature_List!$A:$AM,MATCH(DJ$1,  Feature_List!$A$1:$AM$1,0),0)=BB291,".","NO"))</f>
        <v>.</v>
      </c>
      <c r="DK291" s="136"/>
      <c r="DL291" s="136"/>
      <c r="DM291" s="136"/>
      <c r="DN291" s="136" t="str">
        <f>IF($D291&lt;&gt;"Feature",".",
IF(VLOOKUP($B291,Feature_List!$A:$AM,MATCH(DN$1,  Feature_List!$A$1:$AM$1,0),0)=BC291,".","NO"))</f>
        <v>.</v>
      </c>
      <c r="DO291" s="136" t="str">
        <f>IF($D291&lt;&gt;"Feature",".",
IF(VLOOKUP($B291,Feature_List!$A:$AM,MATCH(DO$1,  Feature_List!$A$1:$AM$1,0),0)=BD291,".","NO"))</f>
        <v>.</v>
      </c>
    </row>
    <row r="292" spans="2:119" x14ac:dyDescent="0.3">
      <c r="B292" s="121"/>
      <c r="C292" s="123"/>
      <c r="D292" s="122"/>
      <c r="E292" s="122"/>
      <c r="F292" s="123"/>
      <c r="G292" s="123"/>
      <c r="H292" s="122"/>
      <c r="I292" s="124"/>
      <c r="J292" s="123"/>
      <c r="K292" s="123"/>
      <c r="L292" s="122"/>
      <c r="M292" s="122"/>
      <c r="N292" s="122"/>
      <c r="O292" s="123">
        <f t="shared" si="150"/>
        <v>0</v>
      </c>
      <c r="P292" s="123">
        <f t="shared" si="151"/>
        <v>0</v>
      </c>
      <c r="Q292" s="122" t="str">
        <f t="shared" si="172"/>
        <v>ZeroEntry</v>
      </c>
      <c r="R292" s="126" t="str">
        <f t="shared" si="152"/>
        <v>ZeroEntry</v>
      </c>
      <c r="S292" s="127" t="str">
        <f t="shared" si="153"/>
        <v>ZeroEntry</v>
      </c>
      <c r="T292" s="128" t="str">
        <f>IF($Q292="ZeroEntry", "",VLOOKUP($I292,'Ranking Lookup'!#REF!,2,FALSE))</f>
        <v/>
      </c>
      <c r="U292" s="129" t="str">
        <f t="shared" si="154"/>
        <v/>
      </c>
      <c r="V292" s="129" t="str">
        <f t="shared" si="155"/>
        <v/>
      </c>
      <c r="W292" s="129" t="str">
        <f t="shared" si="156"/>
        <v/>
      </c>
      <c r="X292" s="129" t="str">
        <f t="shared" si="157"/>
        <v/>
      </c>
      <c r="Y292" s="129" t="str">
        <f t="shared" si="158"/>
        <v/>
      </c>
      <c r="Z292" s="129" t="str">
        <f t="shared" si="159"/>
        <v/>
      </c>
      <c r="AA292" s="130"/>
      <c r="AB292" s="130" t="str">
        <f t="shared" si="160"/>
        <v>Unassigned</v>
      </c>
      <c r="AC292" s="131" t="str">
        <f t="shared" si="173"/>
        <v/>
      </c>
      <c r="AD292" s="131" t="str">
        <f t="shared" si="174"/>
        <v/>
      </c>
      <c r="AE292" s="132">
        <f t="shared" si="161"/>
        <v>0</v>
      </c>
      <c r="AF292" s="133" t="str">
        <f t="shared" si="175"/>
        <v/>
      </c>
      <c r="AG292" s="134">
        <f t="shared" si="162"/>
        <v>0</v>
      </c>
      <c r="AH292" s="54" t="str">
        <f t="shared" si="163"/>
        <v/>
      </c>
      <c r="AI292" s="54" t="str">
        <f t="shared" si="182"/>
        <v/>
      </c>
      <c r="AJ292" s="54" t="str">
        <f t="shared" si="182"/>
        <v/>
      </c>
      <c r="AK292" s="54" t="str">
        <f t="shared" si="182"/>
        <v/>
      </c>
      <c r="AL292" s="54" t="str">
        <f t="shared" si="182"/>
        <v/>
      </c>
      <c r="AM292" s="54" t="str">
        <f t="shared" si="182"/>
        <v/>
      </c>
      <c r="AN292" s="54" t="str">
        <f t="shared" si="182"/>
        <v/>
      </c>
      <c r="AO292" s="54" t="str">
        <f t="shared" si="182"/>
        <v/>
      </c>
      <c r="AP292" s="54" t="str">
        <f t="shared" si="182"/>
        <v/>
      </c>
      <c r="AQ292" s="54" t="str">
        <f t="shared" si="182"/>
        <v/>
      </c>
      <c r="AR292" s="54" t="str">
        <f t="shared" si="182"/>
        <v/>
      </c>
      <c r="AS292" s="54" t="str">
        <f t="shared" si="182"/>
        <v/>
      </c>
      <c r="AT292" s="54" t="str">
        <f t="shared" si="182"/>
        <v/>
      </c>
      <c r="AU292" s="54" t="str">
        <f t="shared" si="182"/>
        <v/>
      </c>
      <c r="AV292" s="54" t="str">
        <f t="shared" si="182"/>
        <v/>
      </c>
      <c r="AW292" s="54" t="str">
        <f t="shared" si="182"/>
        <v/>
      </c>
      <c r="AX292" s="54" t="str">
        <f t="shared" si="182"/>
        <v/>
      </c>
      <c r="AY292" s="54" t="str">
        <f t="shared" si="177"/>
        <v/>
      </c>
      <c r="AZ292" s="54" t="str">
        <f t="shared" si="165"/>
        <v/>
      </c>
      <c r="BA292" s="54" t="str">
        <f t="shared" si="166"/>
        <v/>
      </c>
      <c r="BB292" s="135" t="str">
        <f t="shared" si="167"/>
        <v/>
      </c>
      <c r="BC292" s="54" t="str">
        <f t="shared" si="180"/>
        <v/>
      </c>
      <c r="BD292" s="54" t="str">
        <f t="shared" si="180"/>
        <v/>
      </c>
      <c r="BE292" s="54" t="str">
        <f t="shared" si="180"/>
        <v/>
      </c>
      <c r="BF292" s="54" t="str">
        <f t="shared" si="168"/>
        <v/>
      </c>
      <c r="BG292" s="54" t="str">
        <f t="shared" si="169"/>
        <v/>
      </c>
      <c r="BH292" s="34" t="str">
        <f t="shared" si="170"/>
        <v>Bad</v>
      </c>
      <c r="BI292" s="34" t="str">
        <f t="shared" si="171"/>
        <v>No</v>
      </c>
      <c r="BJ292" s="136" t="str">
        <f>IF($D292&lt;&gt;"Feature",".",
IF(VLOOKUP($B292,Feature_List!$A:$AM,MATCH(BJ$1,  Feature_List!$A$1:$AM$1,0),0)=B292,".","NO"))</f>
        <v>.</v>
      </c>
      <c r="BK292" s="136"/>
      <c r="BL292" s="136"/>
      <c r="BM292" s="136" t="str">
        <f>IF($D292&lt;&gt;"Feature",".",
IF(VLOOKUP($B292,Feature_List!$A:$AM,MATCH(BM$1,  Feature_List!$A$1:$AM$1,0),0)=E292,".","NO"))</f>
        <v>.</v>
      </c>
      <c r="BN292" s="136" t="str">
        <f>IF($D292&lt;&gt;"Feature",".",
IF(VLOOKUP($B292,Feature_List!$A:$AM,MATCH(BN$1,  Feature_List!$A$1:$AM$1,0),0)=F292,".","NO"))</f>
        <v>.</v>
      </c>
      <c r="BO292" s="136" t="str">
        <f>IF($D292&lt;&gt;"Feature",".",
IF(VLOOKUP($B292,Feature_List!$A:$AM,MATCH(BO$1,  Feature_List!$A$1:$AM$1,0),0)=G292,".","NO"))</f>
        <v>.</v>
      </c>
      <c r="BP292" s="136" t="str">
        <f>IF($D292&lt;&gt;"Feature",".",
IF(VLOOKUP($B292,Feature_List!$A:$AM,MATCH(BP$1,  Feature_List!$A$1:$AM$1,0),0)=H292,".","NO"))</f>
        <v>.</v>
      </c>
      <c r="BQ292" s="136"/>
      <c r="BR292" s="136" t="str">
        <f>IF($D292&lt;&gt;"Feature",".",
IF(VLOOKUP($B292,Feature_List!$A:$AM,MATCH(BR$1,  Feature_List!$A$1:$AM$1,0),0)=J292,".","NO"))</f>
        <v>.</v>
      </c>
      <c r="BS292" s="136"/>
      <c r="BT292" s="136"/>
      <c r="BU292" s="136" t="str">
        <f>IF($D292&lt;&gt;"Feature",".",
IF(VLOOKUP($B292,Feature_List!$A:$AM,MATCH(BU$1,  Feature_List!$A$1:$AM$1,0),0)=M292,".","NO"))</f>
        <v>.</v>
      </c>
      <c r="BV292" s="136" t="str">
        <f>IF($D292&lt;&gt;"Feature",".",
IF(VLOOKUP($B292,Feature_List!$A:$AM,MATCH(BV$1,  Feature_List!$A$1:$AM$1,0),0)=N292,".","NO"))</f>
        <v>.</v>
      </c>
      <c r="BW292" s="136"/>
      <c r="BX292" s="136"/>
      <c r="BY292" s="136"/>
      <c r="BZ292" s="136"/>
      <c r="CA292" s="136"/>
      <c r="CB292" s="136" t="str">
        <f>IF($D292&lt;&gt;"Feature",".",
IF(VLOOKUP($B292,Feature_List!$A:$AM,MATCH(CB$1,  Feature_List!$A$1:$AM$1,0),0)=T292,".","NO"))</f>
        <v>.</v>
      </c>
      <c r="CC292" s="136"/>
      <c r="CD292" s="136"/>
      <c r="CE292" s="136"/>
      <c r="CF292" s="136"/>
      <c r="CG292" s="136"/>
      <c r="CH292" s="136"/>
      <c r="CI292" s="136"/>
      <c r="CJ292" s="136"/>
      <c r="CK292" s="136"/>
      <c r="CL292" s="136"/>
      <c r="CM292" s="136"/>
      <c r="CN292" s="136"/>
      <c r="CO292" s="136" t="str">
        <f>IF($D292&lt;&gt;"Feature",".",
IF(VLOOKUP($B292,Feature_List!$A:$AM,MATCH(CO$1,  Feature_List!$A$1:$AM$1,0),0)=AG292,".","NO"))</f>
        <v>.</v>
      </c>
      <c r="CP292" s="136" t="str">
        <f>IF($D292&lt;&gt;"Feature",".",
IF(VLOOKUP($B292,Feature_List!$A:$AM,MATCH(CP$1,  Feature_List!$A$1:$AM$1,0),0)=AH292,".","NO"))</f>
        <v>.</v>
      </c>
      <c r="CQ292" s="136" t="str">
        <f>IF($D292&lt;&gt;"Feature",".",
IF(VLOOKUP($B292,Feature_List!$A:$AM,MATCH(CQ$1,  Feature_List!$A$1:$AM$1,0),0)=AI292,".","NO"))</f>
        <v>.</v>
      </c>
      <c r="CR292" s="136" t="str">
        <f>IF($D292&lt;&gt;"Feature",".",
IF(VLOOKUP($B292,Feature_List!$A:$AM,MATCH(CR$1,  Feature_List!$A$1:$AM$1,0),0)=AJ292,".","NO"))</f>
        <v>.</v>
      </c>
      <c r="CS292" s="136" t="str">
        <f>IF($D292&lt;&gt;"Feature",".",
IF(VLOOKUP($B292,Feature_List!$A:$AM,MATCH(CS$1,  Feature_List!$A$1:$AM$1,0),0)=AK292,".","NO"))</f>
        <v>.</v>
      </c>
      <c r="CT292" s="136" t="str">
        <f>IF($D292&lt;&gt;"Feature",".",
IF(VLOOKUP($B292,Feature_List!$A:$AM,MATCH(CT$1,  Feature_List!$A$1:$AM$1,0),0)=AL292,".","NO"))</f>
        <v>.</v>
      </c>
      <c r="CU292" s="136" t="str">
        <f>IF($D292&lt;&gt;"Feature",".",
IF(VLOOKUP($B292,Feature_List!$A:$AM,MATCH(CU$1,  Feature_List!$A$1:$AM$1,0),0)=AM292,".","NO"))</f>
        <v>.</v>
      </c>
      <c r="CV292" s="136" t="str">
        <f>IF($D292&lt;&gt;"Feature",".",
IF(VLOOKUP($B292,Feature_List!$A:$AM,MATCH(CV$1,  Feature_List!$A$1:$AM$1,0),0)=AN292,".","NO"))</f>
        <v>.</v>
      </c>
      <c r="CW292" s="136" t="str">
        <f>IF($D292&lt;&gt;"Feature",".",
IF(VLOOKUP($B292,Feature_List!$A:$AM,MATCH(CW$1,  Feature_List!$A$1:$AM$1,0),0)=AO292,".","NO"))</f>
        <v>.</v>
      </c>
      <c r="CX292" s="136" t="str">
        <f>IF($D292&lt;&gt;"Feature",".",
IF(VLOOKUP($B292,Feature_List!$A:$AM,MATCH(CX$1,  Feature_List!$A$1:$AM$1,0),0)=AP292,".","NO"))</f>
        <v>.</v>
      </c>
      <c r="CY292" s="136" t="str">
        <f>IF($D292&lt;&gt;"Feature",".",
IF(VLOOKUP($B292,Feature_List!$A:$AM,MATCH(CY$1,  Feature_List!$A$1:$AM$1,0),0)=AQ292,".","NO"))</f>
        <v>.</v>
      </c>
      <c r="CZ292" s="136" t="str">
        <f>IF($D292&lt;&gt;"Feature",".",
IF(VLOOKUP($B292,Feature_List!$A:$AM,MATCH(CZ$1,  Feature_List!$A$1:$AM$1,0),0)=AR292,".","NO"))</f>
        <v>.</v>
      </c>
      <c r="DA292" s="136" t="str">
        <f>IF($D292&lt;&gt;"Feature",".",
IF(VLOOKUP($B292,Feature_List!$A:$AM,MATCH(DA$1,  Feature_List!$A$1:$AM$1,0),0)=AS292,".","NO"))</f>
        <v>.</v>
      </c>
      <c r="DB292" s="136" t="str">
        <f>IF($D292&lt;&gt;"Feature",".",
IF(VLOOKUP($B292,Feature_List!$A:$AM,MATCH(DB$1,  Feature_List!$A$1:$AM$1,0),0)=AT292,".","NO"))</f>
        <v>.</v>
      </c>
      <c r="DC292" s="136" t="str">
        <f>IF($D292&lt;&gt;"Feature",".",
IF(VLOOKUP($B292,Feature_List!$A:$AM,MATCH(DC$1,  Feature_List!$A$1:$AM$1,0),0)=AU292,".","NO"))</f>
        <v>.</v>
      </c>
      <c r="DD292" s="136" t="str">
        <f>IF($D292&lt;&gt;"Feature",".",
IF(VLOOKUP($B292,Feature_List!$A:$AM,MATCH(DD$1,  Feature_List!$A$1:$AM$1,0),0)=AV292,".","NO"))</f>
        <v>.</v>
      </c>
      <c r="DE292" s="136" t="str">
        <f>IF($D292&lt;&gt;"Feature",".",
IF(VLOOKUP($B292,Feature_List!$A:$AM,MATCH(DE$1,  Feature_List!$A$1:$AM$1,0),0)=AW292,".","NO"))</f>
        <v>.</v>
      </c>
      <c r="DF292" s="136" t="str">
        <f>IF($D292&lt;&gt;"Feature",".",
IF(VLOOKUP($B292,Feature_List!$A:$AM,MATCH(DF$1,  Feature_List!$A$1:$AM$1,0),0)=AX292,".","NO"))</f>
        <v>.</v>
      </c>
      <c r="DG292" s="136" t="str">
        <f>IF($D292&lt;&gt;"Feature",".",
IF(VLOOKUP($B292,Feature_List!$A:$AM,MATCH(DG$1,  Feature_List!$A$1:$AM$1,0),0)=AY292,".","NO"))</f>
        <v>.</v>
      </c>
      <c r="DH292" s="136" t="str">
        <f>IF($D292&lt;&gt;"Feature",".",
IF(VLOOKUP($B292,Feature_List!$A:$AM,MATCH(DH$1,  Feature_List!$A$1:$AM$1,0),0)=AZ292,".","NO"))</f>
        <v>.</v>
      </c>
      <c r="DI292" s="136" t="str">
        <f>IF($D292&lt;&gt;"Feature",".",
IF(VLOOKUP($B292,Feature_List!$A:$AM,MATCH(DI$1,  Feature_List!$A$1:$AM$1,0),0)=BA292,".","NO"))</f>
        <v>.</v>
      </c>
      <c r="DJ292" s="136" t="str">
        <f>IF($D292&lt;&gt;"Feature",".",
IF(VLOOKUP($B292,Feature_List!$A:$AM,MATCH(DJ$1,  Feature_List!$A$1:$AM$1,0),0)=BB292,".","NO"))</f>
        <v>.</v>
      </c>
      <c r="DK292" s="136"/>
      <c r="DL292" s="136"/>
      <c r="DM292" s="136"/>
      <c r="DN292" s="136" t="str">
        <f>IF($D292&lt;&gt;"Feature",".",
IF(VLOOKUP($B292,Feature_List!$A:$AM,MATCH(DN$1,  Feature_List!$A$1:$AM$1,0),0)=BC292,".","NO"))</f>
        <v>.</v>
      </c>
      <c r="DO292" s="136" t="str">
        <f>IF($D292&lt;&gt;"Feature",".",
IF(VLOOKUP($B292,Feature_List!$A:$AM,MATCH(DO$1,  Feature_List!$A$1:$AM$1,0),0)=BD292,".","NO"))</f>
        <v>.</v>
      </c>
    </row>
    <row r="293" spans="2:119" x14ac:dyDescent="0.3">
      <c r="B293" s="121"/>
      <c r="C293" s="123"/>
      <c r="D293" s="122"/>
      <c r="E293" s="122"/>
      <c r="F293" s="123"/>
      <c r="G293" s="123"/>
      <c r="H293" s="122"/>
      <c r="I293" s="124"/>
      <c r="J293" s="123"/>
      <c r="K293" s="123"/>
      <c r="L293" s="122"/>
      <c r="M293" s="122"/>
      <c r="N293" s="122"/>
      <c r="O293" s="123">
        <f t="shared" si="150"/>
        <v>0</v>
      </c>
      <c r="P293" s="123">
        <f t="shared" si="151"/>
        <v>0</v>
      </c>
      <c r="Q293" s="122" t="str">
        <f t="shared" si="172"/>
        <v>ZeroEntry</v>
      </c>
      <c r="R293" s="126" t="str">
        <f t="shared" si="152"/>
        <v>ZeroEntry</v>
      </c>
      <c r="S293" s="127" t="str">
        <f t="shared" si="153"/>
        <v>ZeroEntry</v>
      </c>
      <c r="T293" s="128" t="str">
        <f>IF($Q293="ZeroEntry", "",VLOOKUP($I293,'Ranking Lookup'!#REF!,2,FALSE))</f>
        <v/>
      </c>
      <c r="U293" s="129" t="str">
        <f t="shared" si="154"/>
        <v/>
      </c>
      <c r="V293" s="129" t="str">
        <f t="shared" si="155"/>
        <v/>
      </c>
      <c r="W293" s="129" t="str">
        <f t="shared" si="156"/>
        <v/>
      </c>
      <c r="X293" s="129" t="str">
        <f t="shared" si="157"/>
        <v/>
      </c>
      <c r="Y293" s="129" t="str">
        <f t="shared" si="158"/>
        <v/>
      </c>
      <c r="Z293" s="129" t="str">
        <f t="shared" si="159"/>
        <v/>
      </c>
      <c r="AA293" s="130"/>
      <c r="AB293" s="130" t="str">
        <f t="shared" si="160"/>
        <v>Unassigned</v>
      </c>
      <c r="AC293" s="131" t="str">
        <f t="shared" si="173"/>
        <v/>
      </c>
      <c r="AD293" s="131" t="str">
        <f t="shared" si="174"/>
        <v/>
      </c>
      <c r="AE293" s="132">
        <f t="shared" si="161"/>
        <v>0</v>
      </c>
      <c r="AF293" s="133" t="str">
        <f t="shared" si="175"/>
        <v/>
      </c>
      <c r="AG293" s="134">
        <f t="shared" si="162"/>
        <v>0</v>
      </c>
      <c r="AH293" s="54" t="str">
        <f t="shared" si="163"/>
        <v/>
      </c>
      <c r="AI293" s="54" t="str">
        <f t="shared" si="182"/>
        <v/>
      </c>
      <c r="AJ293" s="54" t="str">
        <f t="shared" si="182"/>
        <v/>
      </c>
      <c r="AK293" s="54" t="str">
        <f t="shared" si="182"/>
        <v/>
      </c>
      <c r="AL293" s="54" t="str">
        <f t="shared" si="182"/>
        <v/>
      </c>
      <c r="AM293" s="54" t="str">
        <f t="shared" si="182"/>
        <v/>
      </c>
      <c r="AN293" s="54" t="str">
        <f t="shared" si="182"/>
        <v/>
      </c>
      <c r="AO293" s="54" t="str">
        <f t="shared" si="182"/>
        <v/>
      </c>
      <c r="AP293" s="54" t="str">
        <f t="shared" si="182"/>
        <v/>
      </c>
      <c r="AQ293" s="54" t="str">
        <f t="shared" si="182"/>
        <v/>
      </c>
      <c r="AR293" s="54" t="str">
        <f t="shared" si="182"/>
        <v/>
      </c>
      <c r="AS293" s="54" t="str">
        <f t="shared" si="182"/>
        <v/>
      </c>
      <c r="AT293" s="54" t="str">
        <f t="shared" si="182"/>
        <v/>
      </c>
      <c r="AU293" s="54" t="str">
        <f t="shared" si="182"/>
        <v/>
      </c>
      <c r="AV293" s="54" t="str">
        <f t="shared" si="182"/>
        <v/>
      </c>
      <c r="AW293" s="54" t="str">
        <f t="shared" si="182"/>
        <v/>
      </c>
      <c r="AX293" s="54" t="str">
        <f t="shared" si="182"/>
        <v/>
      </c>
      <c r="AY293" s="54" t="str">
        <f t="shared" si="177"/>
        <v/>
      </c>
      <c r="AZ293" s="54" t="str">
        <f t="shared" si="165"/>
        <v/>
      </c>
      <c r="BA293" s="54" t="str">
        <f t="shared" si="166"/>
        <v/>
      </c>
      <c r="BB293" s="135" t="str">
        <f t="shared" si="167"/>
        <v/>
      </c>
      <c r="BC293" s="54" t="str">
        <f t="shared" si="180"/>
        <v/>
      </c>
      <c r="BD293" s="54" t="str">
        <f t="shared" si="180"/>
        <v/>
      </c>
      <c r="BE293" s="54" t="str">
        <f t="shared" si="180"/>
        <v/>
      </c>
      <c r="BF293" s="54" t="str">
        <f t="shared" si="168"/>
        <v/>
      </c>
      <c r="BG293" s="54" t="str">
        <f t="shared" si="169"/>
        <v/>
      </c>
      <c r="BH293" s="34" t="str">
        <f t="shared" si="170"/>
        <v>Bad</v>
      </c>
      <c r="BI293" s="34" t="str">
        <f t="shared" si="171"/>
        <v>No</v>
      </c>
      <c r="BJ293" s="136" t="str">
        <f>IF($D293&lt;&gt;"Feature",".",
IF(VLOOKUP($B293,Feature_List!$A:$AM,MATCH(BJ$1,  Feature_List!$A$1:$AM$1,0),0)=B293,".","NO"))</f>
        <v>.</v>
      </c>
      <c r="BK293" s="136"/>
      <c r="BL293" s="136"/>
      <c r="BM293" s="136" t="str">
        <f>IF($D293&lt;&gt;"Feature",".",
IF(VLOOKUP($B293,Feature_List!$A:$AM,MATCH(BM$1,  Feature_List!$A$1:$AM$1,0),0)=E293,".","NO"))</f>
        <v>.</v>
      </c>
      <c r="BN293" s="136" t="str">
        <f>IF($D293&lt;&gt;"Feature",".",
IF(VLOOKUP($B293,Feature_List!$A:$AM,MATCH(BN$1,  Feature_List!$A$1:$AM$1,0),0)=F293,".","NO"))</f>
        <v>.</v>
      </c>
      <c r="BO293" s="136" t="str">
        <f>IF($D293&lt;&gt;"Feature",".",
IF(VLOOKUP($B293,Feature_List!$A:$AM,MATCH(BO$1,  Feature_List!$A$1:$AM$1,0),0)=G293,".","NO"))</f>
        <v>.</v>
      </c>
      <c r="BP293" s="136" t="str">
        <f>IF($D293&lt;&gt;"Feature",".",
IF(VLOOKUP($B293,Feature_List!$A:$AM,MATCH(BP$1,  Feature_List!$A$1:$AM$1,0),0)=H293,".","NO"))</f>
        <v>.</v>
      </c>
      <c r="BQ293" s="136"/>
      <c r="BR293" s="136" t="str">
        <f>IF($D293&lt;&gt;"Feature",".",
IF(VLOOKUP($B293,Feature_List!$A:$AM,MATCH(BR$1,  Feature_List!$A$1:$AM$1,0),0)=J293,".","NO"))</f>
        <v>.</v>
      </c>
      <c r="BS293" s="136"/>
      <c r="BT293" s="136"/>
      <c r="BU293" s="136" t="str">
        <f>IF($D293&lt;&gt;"Feature",".",
IF(VLOOKUP($B293,Feature_List!$A:$AM,MATCH(BU$1,  Feature_List!$A$1:$AM$1,0),0)=M293,".","NO"))</f>
        <v>.</v>
      </c>
      <c r="BV293" s="136" t="str">
        <f>IF($D293&lt;&gt;"Feature",".",
IF(VLOOKUP($B293,Feature_List!$A:$AM,MATCH(BV$1,  Feature_List!$A$1:$AM$1,0),0)=N293,".","NO"))</f>
        <v>.</v>
      </c>
      <c r="BW293" s="136"/>
      <c r="BX293" s="136"/>
      <c r="BY293" s="136"/>
      <c r="BZ293" s="136"/>
      <c r="CA293" s="136"/>
      <c r="CB293" s="136" t="str">
        <f>IF($D293&lt;&gt;"Feature",".",
IF(VLOOKUP($B293,Feature_List!$A:$AM,MATCH(CB$1,  Feature_List!$A$1:$AM$1,0),0)=T293,".","NO"))</f>
        <v>.</v>
      </c>
      <c r="CC293" s="136"/>
      <c r="CD293" s="136"/>
      <c r="CE293" s="136"/>
      <c r="CF293" s="136"/>
      <c r="CG293" s="136"/>
      <c r="CH293" s="136"/>
      <c r="CI293" s="136"/>
      <c r="CJ293" s="136"/>
      <c r="CK293" s="136"/>
      <c r="CL293" s="136"/>
      <c r="CM293" s="136"/>
      <c r="CN293" s="136"/>
      <c r="CO293" s="136" t="str">
        <f>IF($D293&lt;&gt;"Feature",".",
IF(VLOOKUP($B293,Feature_List!$A:$AM,MATCH(CO$1,  Feature_List!$A$1:$AM$1,0),0)=AG293,".","NO"))</f>
        <v>.</v>
      </c>
      <c r="CP293" s="136" t="str">
        <f>IF($D293&lt;&gt;"Feature",".",
IF(VLOOKUP($B293,Feature_List!$A:$AM,MATCH(CP$1,  Feature_List!$A$1:$AM$1,0),0)=AH293,".","NO"))</f>
        <v>.</v>
      </c>
      <c r="CQ293" s="136" t="str">
        <f>IF($D293&lt;&gt;"Feature",".",
IF(VLOOKUP($B293,Feature_List!$A:$AM,MATCH(CQ$1,  Feature_List!$A$1:$AM$1,0),0)=AI293,".","NO"))</f>
        <v>.</v>
      </c>
      <c r="CR293" s="136" t="str">
        <f>IF($D293&lt;&gt;"Feature",".",
IF(VLOOKUP($B293,Feature_List!$A:$AM,MATCH(CR$1,  Feature_List!$A$1:$AM$1,0),0)=AJ293,".","NO"))</f>
        <v>.</v>
      </c>
      <c r="CS293" s="136" t="str">
        <f>IF($D293&lt;&gt;"Feature",".",
IF(VLOOKUP($B293,Feature_List!$A:$AM,MATCH(CS$1,  Feature_List!$A$1:$AM$1,0),0)=AK293,".","NO"))</f>
        <v>.</v>
      </c>
      <c r="CT293" s="136" t="str">
        <f>IF($D293&lt;&gt;"Feature",".",
IF(VLOOKUP($B293,Feature_List!$A:$AM,MATCH(CT$1,  Feature_List!$A$1:$AM$1,0),0)=AL293,".","NO"))</f>
        <v>.</v>
      </c>
      <c r="CU293" s="136" t="str">
        <f>IF($D293&lt;&gt;"Feature",".",
IF(VLOOKUP($B293,Feature_List!$A:$AM,MATCH(CU$1,  Feature_List!$A$1:$AM$1,0),0)=AM293,".","NO"))</f>
        <v>.</v>
      </c>
      <c r="CV293" s="136" t="str">
        <f>IF($D293&lt;&gt;"Feature",".",
IF(VLOOKUP($B293,Feature_List!$A:$AM,MATCH(CV$1,  Feature_List!$A$1:$AM$1,0),0)=AN293,".","NO"))</f>
        <v>.</v>
      </c>
      <c r="CW293" s="136" t="str">
        <f>IF($D293&lt;&gt;"Feature",".",
IF(VLOOKUP($B293,Feature_List!$A:$AM,MATCH(CW$1,  Feature_List!$A$1:$AM$1,0),0)=AO293,".","NO"))</f>
        <v>.</v>
      </c>
      <c r="CX293" s="136" t="str">
        <f>IF($D293&lt;&gt;"Feature",".",
IF(VLOOKUP($B293,Feature_List!$A:$AM,MATCH(CX$1,  Feature_List!$A$1:$AM$1,0),0)=AP293,".","NO"))</f>
        <v>.</v>
      </c>
      <c r="CY293" s="136" t="str">
        <f>IF($D293&lt;&gt;"Feature",".",
IF(VLOOKUP($B293,Feature_List!$A:$AM,MATCH(CY$1,  Feature_List!$A$1:$AM$1,0),0)=AQ293,".","NO"))</f>
        <v>.</v>
      </c>
      <c r="CZ293" s="136" t="str">
        <f>IF($D293&lt;&gt;"Feature",".",
IF(VLOOKUP($B293,Feature_List!$A:$AM,MATCH(CZ$1,  Feature_List!$A$1:$AM$1,0),0)=AR293,".","NO"))</f>
        <v>.</v>
      </c>
      <c r="DA293" s="136" t="str">
        <f>IF($D293&lt;&gt;"Feature",".",
IF(VLOOKUP($B293,Feature_List!$A:$AM,MATCH(DA$1,  Feature_List!$A$1:$AM$1,0),0)=AS293,".","NO"))</f>
        <v>.</v>
      </c>
      <c r="DB293" s="136" t="str">
        <f>IF($D293&lt;&gt;"Feature",".",
IF(VLOOKUP($B293,Feature_List!$A:$AM,MATCH(DB$1,  Feature_List!$A$1:$AM$1,0),0)=AT293,".","NO"))</f>
        <v>.</v>
      </c>
      <c r="DC293" s="136" t="str">
        <f>IF($D293&lt;&gt;"Feature",".",
IF(VLOOKUP($B293,Feature_List!$A:$AM,MATCH(DC$1,  Feature_List!$A$1:$AM$1,0),0)=AU293,".","NO"))</f>
        <v>.</v>
      </c>
      <c r="DD293" s="136" t="str">
        <f>IF($D293&lt;&gt;"Feature",".",
IF(VLOOKUP($B293,Feature_List!$A:$AM,MATCH(DD$1,  Feature_List!$A$1:$AM$1,0),0)=AV293,".","NO"))</f>
        <v>.</v>
      </c>
      <c r="DE293" s="136" t="str">
        <f>IF($D293&lt;&gt;"Feature",".",
IF(VLOOKUP($B293,Feature_List!$A:$AM,MATCH(DE$1,  Feature_List!$A$1:$AM$1,0),0)=AW293,".","NO"))</f>
        <v>.</v>
      </c>
      <c r="DF293" s="136" t="str">
        <f>IF($D293&lt;&gt;"Feature",".",
IF(VLOOKUP($B293,Feature_List!$A:$AM,MATCH(DF$1,  Feature_List!$A$1:$AM$1,0),0)=AX293,".","NO"))</f>
        <v>.</v>
      </c>
      <c r="DG293" s="136" t="str">
        <f>IF($D293&lt;&gt;"Feature",".",
IF(VLOOKUP($B293,Feature_List!$A:$AM,MATCH(DG$1,  Feature_List!$A$1:$AM$1,0),0)=AY293,".","NO"))</f>
        <v>.</v>
      </c>
      <c r="DH293" s="136" t="str">
        <f>IF($D293&lt;&gt;"Feature",".",
IF(VLOOKUP($B293,Feature_List!$A:$AM,MATCH(DH$1,  Feature_List!$A$1:$AM$1,0),0)=AZ293,".","NO"))</f>
        <v>.</v>
      </c>
      <c r="DI293" s="136" t="str">
        <f>IF($D293&lt;&gt;"Feature",".",
IF(VLOOKUP($B293,Feature_List!$A:$AM,MATCH(DI$1,  Feature_List!$A$1:$AM$1,0),0)=BA293,".","NO"))</f>
        <v>.</v>
      </c>
      <c r="DJ293" s="136" t="str">
        <f>IF($D293&lt;&gt;"Feature",".",
IF(VLOOKUP($B293,Feature_List!$A:$AM,MATCH(DJ$1,  Feature_List!$A$1:$AM$1,0),0)=BB293,".","NO"))</f>
        <v>.</v>
      </c>
      <c r="DK293" s="136"/>
      <c r="DL293" s="136"/>
      <c r="DM293" s="136"/>
      <c r="DN293" s="136" t="str">
        <f>IF($D293&lt;&gt;"Feature",".",
IF(VLOOKUP($B293,Feature_List!$A:$AM,MATCH(DN$1,  Feature_List!$A$1:$AM$1,0),0)=BC293,".","NO"))</f>
        <v>.</v>
      </c>
      <c r="DO293" s="136" t="str">
        <f>IF($D293&lt;&gt;"Feature",".",
IF(VLOOKUP($B293,Feature_List!$A:$AM,MATCH(DO$1,  Feature_List!$A$1:$AM$1,0),0)=BD293,".","NO"))</f>
        <v>.</v>
      </c>
    </row>
    <row r="294" spans="2:119" x14ac:dyDescent="0.3">
      <c r="B294" s="121"/>
      <c r="C294" s="122"/>
      <c r="D294" s="122"/>
      <c r="E294" s="122"/>
      <c r="F294" s="123"/>
      <c r="G294" s="123"/>
      <c r="H294" s="122"/>
      <c r="I294" s="124"/>
      <c r="J294" s="123"/>
      <c r="K294" s="123"/>
      <c r="L294" s="122"/>
      <c r="M294" s="122"/>
      <c r="N294" s="122"/>
      <c r="O294" s="123">
        <f t="shared" si="150"/>
        <v>0</v>
      </c>
      <c r="P294" s="123">
        <f t="shared" si="151"/>
        <v>0</v>
      </c>
      <c r="Q294" s="122" t="str">
        <f t="shared" si="172"/>
        <v>ZeroEntry</v>
      </c>
      <c r="R294" s="126" t="str">
        <f t="shared" si="152"/>
        <v>ZeroEntry</v>
      </c>
      <c r="S294" s="127" t="str">
        <f t="shared" si="153"/>
        <v>ZeroEntry</v>
      </c>
      <c r="T294" s="128" t="str">
        <f>IF($Q294="ZeroEntry", "",VLOOKUP($I294,'Ranking Lookup'!#REF!,2,FALSE))</f>
        <v/>
      </c>
      <c r="U294" s="129" t="str">
        <f t="shared" si="154"/>
        <v/>
      </c>
      <c r="V294" s="129" t="str">
        <f t="shared" si="155"/>
        <v/>
      </c>
      <c r="W294" s="129" t="str">
        <f t="shared" si="156"/>
        <v/>
      </c>
      <c r="X294" s="129" t="str">
        <f t="shared" si="157"/>
        <v/>
      </c>
      <c r="Y294" s="129" t="str">
        <f t="shared" si="158"/>
        <v/>
      </c>
      <c r="Z294" s="129" t="str">
        <f t="shared" si="159"/>
        <v/>
      </c>
      <c r="AA294" s="130"/>
      <c r="AB294" s="130" t="str">
        <f t="shared" si="160"/>
        <v>Unassigned</v>
      </c>
      <c r="AC294" s="131" t="str">
        <f t="shared" si="173"/>
        <v/>
      </c>
      <c r="AD294" s="131" t="str">
        <f t="shared" si="174"/>
        <v/>
      </c>
      <c r="AE294" s="132">
        <f t="shared" si="161"/>
        <v>0</v>
      </c>
      <c r="AF294" s="133" t="str">
        <f t="shared" si="175"/>
        <v/>
      </c>
      <c r="AG294" s="134">
        <f t="shared" si="162"/>
        <v>0</v>
      </c>
      <c r="AH294" s="54" t="str">
        <f t="shared" si="163"/>
        <v/>
      </c>
      <c r="AI294" s="54" t="str">
        <f t="shared" si="182"/>
        <v/>
      </c>
      <c r="AJ294" s="54" t="str">
        <f t="shared" si="182"/>
        <v/>
      </c>
      <c r="AK294" s="54" t="str">
        <f t="shared" si="182"/>
        <v/>
      </c>
      <c r="AL294" s="54" t="str">
        <f t="shared" si="182"/>
        <v/>
      </c>
      <c r="AM294" s="54" t="str">
        <f t="shared" si="182"/>
        <v/>
      </c>
      <c r="AN294" s="54" t="str">
        <f t="shared" si="182"/>
        <v/>
      </c>
      <c r="AO294" s="54" t="str">
        <f t="shared" si="182"/>
        <v/>
      </c>
      <c r="AP294" s="54" t="str">
        <f t="shared" si="182"/>
        <v/>
      </c>
      <c r="AQ294" s="54" t="str">
        <f t="shared" si="182"/>
        <v/>
      </c>
      <c r="AR294" s="54" t="str">
        <f t="shared" si="182"/>
        <v/>
      </c>
      <c r="AS294" s="54" t="str">
        <f t="shared" si="182"/>
        <v/>
      </c>
      <c r="AT294" s="54" t="str">
        <f t="shared" si="182"/>
        <v/>
      </c>
      <c r="AU294" s="54" t="str">
        <f t="shared" si="182"/>
        <v/>
      </c>
      <c r="AV294" s="54" t="str">
        <f t="shared" si="182"/>
        <v/>
      </c>
      <c r="AW294" s="54" t="str">
        <f t="shared" si="182"/>
        <v/>
      </c>
      <c r="AX294" s="54" t="str">
        <f t="shared" si="182"/>
        <v/>
      </c>
      <c r="AY294" s="54" t="str">
        <f t="shared" si="177"/>
        <v/>
      </c>
      <c r="AZ294" s="54" t="str">
        <f t="shared" si="165"/>
        <v/>
      </c>
      <c r="BA294" s="54" t="str">
        <f t="shared" si="166"/>
        <v/>
      </c>
      <c r="BB294" s="135" t="str">
        <f t="shared" si="167"/>
        <v/>
      </c>
      <c r="BC294" s="54" t="str">
        <f t="shared" si="180"/>
        <v/>
      </c>
      <c r="BD294" s="54" t="str">
        <f t="shared" si="180"/>
        <v/>
      </c>
      <c r="BE294" s="54" t="str">
        <f t="shared" si="180"/>
        <v/>
      </c>
      <c r="BF294" s="54" t="str">
        <f t="shared" si="168"/>
        <v/>
      </c>
      <c r="BG294" s="54" t="str">
        <f t="shared" si="169"/>
        <v/>
      </c>
      <c r="BH294" s="34" t="str">
        <f t="shared" si="170"/>
        <v>Bad</v>
      </c>
      <c r="BI294" s="34" t="str">
        <f t="shared" si="171"/>
        <v>No</v>
      </c>
      <c r="BJ294" s="136" t="str">
        <f>IF($D294&lt;&gt;"Feature",".",
IF(VLOOKUP($B294,Feature_List!$A:$AM,MATCH(BJ$1,  Feature_List!$A$1:$AM$1,0),0)=B294,".","NO"))</f>
        <v>.</v>
      </c>
      <c r="BK294" s="136"/>
      <c r="BL294" s="136"/>
      <c r="BM294" s="136" t="str">
        <f>IF($D294&lt;&gt;"Feature",".",
IF(VLOOKUP($B294,Feature_List!$A:$AM,MATCH(BM$1,  Feature_List!$A$1:$AM$1,0),0)=E294,".","NO"))</f>
        <v>.</v>
      </c>
      <c r="BN294" s="136" t="str">
        <f>IF($D294&lt;&gt;"Feature",".",
IF(VLOOKUP($B294,Feature_List!$A:$AM,MATCH(BN$1,  Feature_List!$A$1:$AM$1,0),0)=F294,".","NO"))</f>
        <v>.</v>
      </c>
      <c r="BO294" s="136" t="str">
        <f>IF($D294&lt;&gt;"Feature",".",
IF(VLOOKUP($B294,Feature_List!$A:$AM,MATCH(BO$1,  Feature_List!$A$1:$AM$1,0),0)=G294,".","NO"))</f>
        <v>.</v>
      </c>
      <c r="BP294" s="136" t="str">
        <f>IF($D294&lt;&gt;"Feature",".",
IF(VLOOKUP($B294,Feature_List!$A:$AM,MATCH(BP$1,  Feature_List!$A$1:$AM$1,0),0)=H294,".","NO"))</f>
        <v>.</v>
      </c>
      <c r="BQ294" s="136"/>
      <c r="BR294" s="136" t="str">
        <f>IF($D294&lt;&gt;"Feature",".",
IF(VLOOKUP($B294,Feature_List!$A:$AM,MATCH(BR$1,  Feature_List!$A$1:$AM$1,0),0)=J294,".","NO"))</f>
        <v>.</v>
      </c>
      <c r="BS294" s="136"/>
      <c r="BT294" s="136"/>
      <c r="BU294" s="136" t="str">
        <f>IF($D294&lt;&gt;"Feature",".",
IF(VLOOKUP($B294,Feature_List!$A:$AM,MATCH(BU$1,  Feature_List!$A$1:$AM$1,0),0)=M294,".","NO"))</f>
        <v>.</v>
      </c>
      <c r="BV294" s="136" t="str">
        <f>IF($D294&lt;&gt;"Feature",".",
IF(VLOOKUP($B294,Feature_List!$A:$AM,MATCH(BV$1,  Feature_List!$A$1:$AM$1,0),0)=N294,".","NO"))</f>
        <v>.</v>
      </c>
      <c r="BW294" s="136"/>
      <c r="BX294" s="136"/>
      <c r="BY294" s="136"/>
      <c r="BZ294" s="136"/>
      <c r="CA294" s="136"/>
      <c r="CB294" s="136" t="str">
        <f>IF($D294&lt;&gt;"Feature",".",
IF(VLOOKUP($B294,Feature_List!$A:$AM,MATCH(CB$1,  Feature_List!$A$1:$AM$1,0),0)=T294,".","NO"))</f>
        <v>.</v>
      </c>
      <c r="CC294" s="136"/>
      <c r="CD294" s="136"/>
      <c r="CE294" s="136"/>
      <c r="CF294" s="136"/>
      <c r="CG294" s="136"/>
      <c r="CH294" s="136"/>
      <c r="CI294" s="136"/>
      <c r="CJ294" s="136"/>
      <c r="CK294" s="136"/>
      <c r="CL294" s="136"/>
      <c r="CM294" s="136"/>
      <c r="CN294" s="136"/>
      <c r="CO294" s="136" t="str">
        <f>IF($D294&lt;&gt;"Feature",".",
IF(VLOOKUP($B294,Feature_List!$A:$AM,MATCH(CO$1,  Feature_List!$A$1:$AM$1,0),0)=AG294,".","NO"))</f>
        <v>.</v>
      </c>
      <c r="CP294" s="136" t="str">
        <f>IF($D294&lt;&gt;"Feature",".",
IF(VLOOKUP($B294,Feature_List!$A:$AM,MATCH(CP$1,  Feature_List!$A$1:$AM$1,0),0)=AH294,".","NO"))</f>
        <v>.</v>
      </c>
      <c r="CQ294" s="136" t="str">
        <f>IF($D294&lt;&gt;"Feature",".",
IF(VLOOKUP($B294,Feature_List!$A:$AM,MATCH(CQ$1,  Feature_List!$A$1:$AM$1,0),0)=AI294,".","NO"))</f>
        <v>.</v>
      </c>
      <c r="CR294" s="136" t="str">
        <f>IF($D294&lt;&gt;"Feature",".",
IF(VLOOKUP($B294,Feature_List!$A:$AM,MATCH(CR$1,  Feature_List!$A$1:$AM$1,0),0)=AJ294,".","NO"))</f>
        <v>.</v>
      </c>
      <c r="CS294" s="136" t="str">
        <f>IF($D294&lt;&gt;"Feature",".",
IF(VLOOKUP($B294,Feature_List!$A:$AM,MATCH(CS$1,  Feature_List!$A$1:$AM$1,0),0)=AK294,".","NO"))</f>
        <v>.</v>
      </c>
      <c r="CT294" s="136" t="str">
        <f>IF($D294&lt;&gt;"Feature",".",
IF(VLOOKUP($B294,Feature_List!$A:$AM,MATCH(CT$1,  Feature_List!$A$1:$AM$1,0),0)=AL294,".","NO"))</f>
        <v>.</v>
      </c>
      <c r="CU294" s="136" t="str">
        <f>IF($D294&lt;&gt;"Feature",".",
IF(VLOOKUP($B294,Feature_List!$A:$AM,MATCH(CU$1,  Feature_List!$A$1:$AM$1,0),0)=AM294,".","NO"))</f>
        <v>.</v>
      </c>
      <c r="CV294" s="136" t="str">
        <f>IF($D294&lt;&gt;"Feature",".",
IF(VLOOKUP($B294,Feature_List!$A:$AM,MATCH(CV$1,  Feature_List!$A$1:$AM$1,0),0)=AN294,".","NO"))</f>
        <v>.</v>
      </c>
      <c r="CW294" s="136" t="str">
        <f>IF($D294&lt;&gt;"Feature",".",
IF(VLOOKUP($B294,Feature_List!$A:$AM,MATCH(CW$1,  Feature_List!$A$1:$AM$1,0),0)=AO294,".","NO"))</f>
        <v>.</v>
      </c>
      <c r="CX294" s="136" t="str">
        <f>IF($D294&lt;&gt;"Feature",".",
IF(VLOOKUP($B294,Feature_List!$A:$AM,MATCH(CX$1,  Feature_List!$A$1:$AM$1,0),0)=AP294,".","NO"))</f>
        <v>.</v>
      </c>
      <c r="CY294" s="136" t="str">
        <f>IF($D294&lt;&gt;"Feature",".",
IF(VLOOKUP($B294,Feature_List!$A:$AM,MATCH(CY$1,  Feature_List!$A$1:$AM$1,0),0)=AQ294,".","NO"))</f>
        <v>.</v>
      </c>
      <c r="CZ294" s="136" t="str">
        <f>IF($D294&lt;&gt;"Feature",".",
IF(VLOOKUP($B294,Feature_List!$A:$AM,MATCH(CZ$1,  Feature_List!$A$1:$AM$1,0),0)=AR294,".","NO"))</f>
        <v>.</v>
      </c>
      <c r="DA294" s="136" t="str">
        <f>IF($D294&lt;&gt;"Feature",".",
IF(VLOOKUP($B294,Feature_List!$A:$AM,MATCH(DA$1,  Feature_List!$A$1:$AM$1,0),0)=AS294,".","NO"))</f>
        <v>.</v>
      </c>
      <c r="DB294" s="136" t="str">
        <f>IF($D294&lt;&gt;"Feature",".",
IF(VLOOKUP($B294,Feature_List!$A:$AM,MATCH(DB$1,  Feature_List!$A$1:$AM$1,0),0)=AT294,".","NO"))</f>
        <v>.</v>
      </c>
      <c r="DC294" s="136" t="str">
        <f>IF($D294&lt;&gt;"Feature",".",
IF(VLOOKUP($B294,Feature_List!$A:$AM,MATCH(DC$1,  Feature_List!$A$1:$AM$1,0),0)=AU294,".","NO"))</f>
        <v>.</v>
      </c>
      <c r="DD294" s="136" t="str">
        <f>IF($D294&lt;&gt;"Feature",".",
IF(VLOOKUP($B294,Feature_List!$A:$AM,MATCH(DD$1,  Feature_List!$A$1:$AM$1,0),0)=AV294,".","NO"))</f>
        <v>.</v>
      </c>
      <c r="DE294" s="136" t="str">
        <f>IF($D294&lt;&gt;"Feature",".",
IF(VLOOKUP($B294,Feature_List!$A:$AM,MATCH(DE$1,  Feature_List!$A$1:$AM$1,0),0)=AW294,".","NO"))</f>
        <v>.</v>
      </c>
      <c r="DF294" s="136" t="str">
        <f>IF($D294&lt;&gt;"Feature",".",
IF(VLOOKUP($B294,Feature_List!$A:$AM,MATCH(DF$1,  Feature_List!$A$1:$AM$1,0),0)=AX294,".","NO"))</f>
        <v>.</v>
      </c>
      <c r="DG294" s="136" t="str">
        <f>IF($D294&lt;&gt;"Feature",".",
IF(VLOOKUP($B294,Feature_List!$A:$AM,MATCH(DG$1,  Feature_List!$A$1:$AM$1,0),0)=AY294,".","NO"))</f>
        <v>.</v>
      </c>
      <c r="DH294" s="136" t="str">
        <f>IF($D294&lt;&gt;"Feature",".",
IF(VLOOKUP($B294,Feature_List!$A:$AM,MATCH(DH$1,  Feature_List!$A$1:$AM$1,0),0)=AZ294,".","NO"))</f>
        <v>.</v>
      </c>
      <c r="DI294" s="136" t="str">
        <f>IF($D294&lt;&gt;"Feature",".",
IF(VLOOKUP($B294,Feature_List!$A:$AM,MATCH(DI$1,  Feature_List!$A$1:$AM$1,0),0)=BA294,".","NO"))</f>
        <v>.</v>
      </c>
      <c r="DJ294" s="136" t="str">
        <f>IF($D294&lt;&gt;"Feature",".",
IF(VLOOKUP($B294,Feature_List!$A:$AM,MATCH(DJ$1,  Feature_List!$A$1:$AM$1,0),0)=BB294,".","NO"))</f>
        <v>.</v>
      </c>
      <c r="DK294" s="136"/>
      <c r="DL294" s="136"/>
      <c r="DM294" s="136"/>
      <c r="DN294" s="136" t="str">
        <f>IF($D294&lt;&gt;"Feature",".",
IF(VLOOKUP($B294,Feature_List!$A:$AM,MATCH(DN$1,  Feature_List!$A$1:$AM$1,0),0)=BC294,".","NO"))</f>
        <v>.</v>
      </c>
      <c r="DO294" s="136" t="str">
        <f>IF($D294&lt;&gt;"Feature",".",
IF(VLOOKUP($B294,Feature_List!$A:$AM,MATCH(DO$1,  Feature_List!$A$1:$AM$1,0),0)=BD294,".","NO"))</f>
        <v>.</v>
      </c>
    </row>
    <row r="295" spans="2:119" x14ac:dyDescent="0.3">
      <c r="B295" s="121"/>
      <c r="C295" s="122"/>
      <c r="D295" s="122"/>
      <c r="E295" s="122"/>
      <c r="F295" s="123"/>
      <c r="G295" s="123"/>
      <c r="H295" s="122"/>
      <c r="I295" s="124"/>
      <c r="J295" s="123"/>
      <c r="K295" s="123"/>
      <c r="L295" s="122"/>
      <c r="M295" s="122"/>
      <c r="N295" s="122"/>
      <c r="O295" s="123">
        <f t="shared" si="150"/>
        <v>0</v>
      </c>
      <c r="P295" s="123">
        <f t="shared" si="151"/>
        <v>0</v>
      </c>
      <c r="Q295" s="122" t="str">
        <f t="shared" si="172"/>
        <v>ZeroEntry</v>
      </c>
      <c r="R295" s="126" t="str">
        <f t="shared" si="152"/>
        <v>ZeroEntry</v>
      </c>
      <c r="S295" s="127" t="str">
        <f t="shared" si="153"/>
        <v>ZeroEntry</v>
      </c>
      <c r="T295" s="128" t="str">
        <f>IF($Q295="ZeroEntry", "",VLOOKUP($I295,'Ranking Lookup'!#REF!,2,FALSE))</f>
        <v/>
      </c>
      <c r="U295" s="129" t="str">
        <f t="shared" si="154"/>
        <v/>
      </c>
      <c r="V295" s="129" t="str">
        <f t="shared" si="155"/>
        <v/>
      </c>
      <c r="W295" s="129" t="str">
        <f t="shared" si="156"/>
        <v/>
      </c>
      <c r="X295" s="129" t="str">
        <f t="shared" si="157"/>
        <v/>
      </c>
      <c r="Y295" s="129" t="str">
        <f t="shared" si="158"/>
        <v/>
      </c>
      <c r="Z295" s="129" t="str">
        <f t="shared" si="159"/>
        <v/>
      </c>
      <c r="AA295" s="130"/>
      <c r="AB295" s="130" t="str">
        <f t="shared" si="160"/>
        <v>Unassigned</v>
      </c>
      <c r="AC295" s="131" t="str">
        <f t="shared" si="173"/>
        <v/>
      </c>
      <c r="AD295" s="131" t="str">
        <f t="shared" si="174"/>
        <v/>
      </c>
      <c r="AE295" s="132">
        <f t="shared" si="161"/>
        <v>0</v>
      </c>
      <c r="AF295" s="133" t="str">
        <f t="shared" si="175"/>
        <v/>
      </c>
      <c r="AG295" s="134">
        <f t="shared" si="162"/>
        <v>0</v>
      </c>
      <c r="AH295" s="54" t="str">
        <f t="shared" si="163"/>
        <v/>
      </c>
      <c r="AI295" s="54" t="str">
        <f t="shared" si="182"/>
        <v/>
      </c>
      <c r="AJ295" s="54" t="str">
        <f t="shared" si="182"/>
        <v/>
      </c>
      <c r="AK295" s="54" t="str">
        <f t="shared" si="182"/>
        <v/>
      </c>
      <c r="AL295" s="54" t="str">
        <f t="shared" si="182"/>
        <v/>
      </c>
      <c r="AM295" s="54" t="str">
        <f t="shared" si="182"/>
        <v/>
      </c>
      <c r="AN295" s="54" t="str">
        <f t="shared" si="182"/>
        <v/>
      </c>
      <c r="AO295" s="54" t="str">
        <f t="shared" si="182"/>
        <v/>
      </c>
      <c r="AP295" s="54" t="str">
        <f t="shared" si="182"/>
        <v/>
      </c>
      <c r="AQ295" s="54" t="str">
        <f t="shared" si="182"/>
        <v/>
      </c>
      <c r="AR295" s="54" t="str">
        <f t="shared" si="182"/>
        <v/>
      </c>
      <c r="AS295" s="54" t="str">
        <f t="shared" si="182"/>
        <v/>
      </c>
      <c r="AT295" s="54" t="str">
        <f t="shared" si="182"/>
        <v/>
      </c>
      <c r="AU295" s="54" t="str">
        <f t="shared" si="182"/>
        <v/>
      </c>
      <c r="AV295" s="54" t="str">
        <f t="shared" si="182"/>
        <v/>
      </c>
      <c r="AW295" s="54" t="str">
        <f t="shared" si="182"/>
        <v/>
      </c>
      <c r="AX295" s="54" t="str">
        <f t="shared" si="182"/>
        <v/>
      </c>
      <c r="AY295" s="54" t="str">
        <f t="shared" si="177"/>
        <v/>
      </c>
      <c r="AZ295" s="54" t="str">
        <f t="shared" si="165"/>
        <v/>
      </c>
      <c r="BA295" s="54" t="str">
        <f t="shared" si="166"/>
        <v/>
      </c>
      <c r="BB295" s="135" t="str">
        <f t="shared" si="167"/>
        <v/>
      </c>
      <c r="BC295" s="54" t="str">
        <f t="shared" si="180"/>
        <v/>
      </c>
      <c r="BD295" s="54" t="str">
        <f t="shared" si="180"/>
        <v/>
      </c>
      <c r="BE295" s="54" t="str">
        <f t="shared" si="180"/>
        <v/>
      </c>
      <c r="BF295" s="54" t="str">
        <f t="shared" si="168"/>
        <v/>
      </c>
      <c r="BG295" s="54" t="str">
        <f t="shared" si="169"/>
        <v/>
      </c>
      <c r="BH295" s="34" t="str">
        <f t="shared" si="170"/>
        <v>Bad</v>
      </c>
      <c r="BI295" s="34" t="str">
        <f t="shared" si="171"/>
        <v>No</v>
      </c>
      <c r="BJ295" s="136" t="str">
        <f>IF($D295&lt;&gt;"Feature",".",
IF(VLOOKUP($B295,Feature_List!$A:$AM,MATCH(BJ$1,  Feature_List!$A$1:$AM$1,0),0)=B295,".","NO"))</f>
        <v>.</v>
      </c>
      <c r="BK295" s="136"/>
      <c r="BL295" s="136"/>
      <c r="BM295" s="136" t="str">
        <f>IF($D295&lt;&gt;"Feature",".",
IF(VLOOKUP($B295,Feature_List!$A:$AM,MATCH(BM$1,  Feature_List!$A$1:$AM$1,0),0)=E295,".","NO"))</f>
        <v>.</v>
      </c>
      <c r="BN295" s="136" t="str">
        <f>IF($D295&lt;&gt;"Feature",".",
IF(VLOOKUP($B295,Feature_List!$A:$AM,MATCH(BN$1,  Feature_List!$A$1:$AM$1,0),0)=F295,".","NO"))</f>
        <v>.</v>
      </c>
      <c r="BO295" s="136" t="str">
        <f>IF($D295&lt;&gt;"Feature",".",
IF(VLOOKUP($B295,Feature_List!$A:$AM,MATCH(BO$1,  Feature_List!$A$1:$AM$1,0),0)=G295,".","NO"))</f>
        <v>.</v>
      </c>
      <c r="BP295" s="136" t="str">
        <f>IF($D295&lt;&gt;"Feature",".",
IF(VLOOKUP($B295,Feature_List!$A:$AM,MATCH(BP$1,  Feature_List!$A$1:$AM$1,0),0)=H295,".","NO"))</f>
        <v>.</v>
      </c>
      <c r="BQ295" s="136"/>
      <c r="BR295" s="136" t="str">
        <f>IF($D295&lt;&gt;"Feature",".",
IF(VLOOKUP($B295,Feature_List!$A:$AM,MATCH(BR$1,  Feature_List!$A$1:$AM$1,0),0)=J295,".","NO"))</f>
        <v>.</v>
      </c>
      <c r="BS295" s="136"/>
      <c r="BT295" s="136"/>
      <c r="BU295" s="136" t="str">
        <f>IF($D295&lt;&gt;"Feature",".",
IF(VLOOKUP($B295,Feature_List!$A:$AM,MATCH(BU$1,  Feature_List!$A$1:$AM$1,0),0)=M295,".","NO"))</f>
        <v>.</v>
      </c>
      <c r="BV295" s="136" t="str">
        <f>IF($D295&lt;&gt;"Feature",".",
IF(VLOOKUP($B295,Feature_List!$A:$AM,MATCH(BV$1,  Feature_List!$A$1:$AM$1,0),0)=N295,".","NO"))</f>
        <v>.</v>
      </c>
      <c r="BW295" s="136"/>
      <c r="BX295" s="136"/>
      <c r="BY295" s="136"/>
      <c r="BZ295" s="136"/>
      <c r="CA295" s="136"/>
      <c r="CB295" s="136" t="str">
        <f>IF($D295&lt;&gt;"Feature",".",
IF(VLOOKUP($B295,Feature_List!$A:$AM,MATCH(CB$1,  Feature_List!$A$1:$AM$1,0),0)=T295,".","NO"))</f>
        <v>.</v>
      </c>
      <c r="CC295" s="136"/>
      <c r="CD295" s="136"/>
      <c r="CE295" s="136"/>
      <c r="CF295" s="136"/>
      <c r="CG295" s="136"/>
      <c r="CH295" s="136"/>
      <c r="CI295" s="136"/>
      <c r="CJ295" s="136"/>
      <c r="CK295" s="136"/>
      <c r="CL295" s="136"/>
      <c r="CM295" s="136"/>
      <c r="CN295" s="136"/>
      <c r="CO295" s="136" t="str">
        <f>IF($D295&lt;&gt;"Feature",".",
IF(VLOOKUP($B295,Feature_List!$A:$AM,MATCH(CO$1,  Feature_List!$A$1:$AM$1,0),0)=AG295,".","NO"))</f>
        <v>.</v>
      </c>
      <c r="CP295" s="136" t="str">
        <f>IF($D295&lt;&gt;"Feature",".",
IF(VLOOKUP($B295,Feature_List!$A:$AM,MATCH(CP$1,  Feature_List!$A$1:$AM$1,0),0)=AH295,".","NO"))</f>
        <v>.</v>
      </c>
      <c r="CQ295" s="136" t="str">
        <f>IF($D295&lt;&gt;"Feature",".",
IF(VLOOKUP($B295,Feature_List!$A:$AM,MATCH(CQ$1,  Feature_List!$A$1:$AM$1,0),0)=AI295,".","NO"))</f>
        <v>.</v>
      </c>
      <c r="CR295" s="136" t="str">
        <f>IF($D295&lt;&gt;"Feature",".",
IF(VLOOKUP($B295,Feature_List!$A:$AM,MATCH(CR$1,  Feature_List!$A$1:$AM$1,0),0)=AJ295,".","NO"))</f>
        <v>.</v>
      </c>
      <c r="CS295" s="136" t="str">
        <f>IF($D295&lt;&gt;"Feature",".",
IF(VLOOKUP($B295,Feature_List!$A:$AM,MATCH(CS$1,  Feature_List!$A$1:$AM$1,0),0)=AK295,".","NO"))</f>
        <v>.</v>
      </c>
      <c r="CT295" s="136" t="str">
        <f>IF($D295&lt;&gt;"Feature",".",
IF(VLOOKUP($B295,Feature_List!$A:$AM,MATCH(CT$1,  Feature_List!$A$1:$AM$1,0),0)=AL295,".","NO"))</f>
        <v>.</v>
      </c>
      <c r="CU295" s="136" t="str">
        <f>IF($D295&lt;&gt;"Feature",".",
IF(VLOOKUP($B295,Feature_List!$A:$AM,MATCH(CU$1,  Feature_List!$A$1:$AM$1,0),0)=AM295,".","NO"))</f>
        <v>.</v>
      </c>
      <c r="CV295" s="136" t="str">
        <f>IF($D295&lt;&gt;"Feature",".",
IF(VLOOKUP($B295,Feature_List!$A:$AM,MATCH(CV$1,  Feature_List!$A$1:$AM$1,0),0)=AN295,".","NO"))</f>
        <v>.</v>
      </c>
      <c r="CW295" s="136" t="str">
        <f>IF($D295&lt;&gt;"Feature",".",
IF(VLOOKUP($B295,Feature_List!$A:$AM,MATCH(CW$1,  Feature_List!$A$1:$AM$1,0),0)=AO295,".","NO"))</f>
        <v>.</v>
      </c>
      <c r="CX295" s="136" t="str">
        <f>IF($D295&lt;&gt;"Feature",".",
IF(VLOOKUP($B295,Feature_List!$A:$AM,MATCH(CX$1,  Feature_List!$A$1:$AM$1,0),0)=AP295,".","NO"))</f>
        <v>.</v>
      </c>
      <c r="CY295" s="136" t="str">
        <f>IF($D295&lt;&gt;"Feature",".",
IF(VLOOKUP($B295,Feature_List!$A:$AM,MATCH(CY$1,  Feature_List!$A$1:$AM$1,0),0)=AQ295,".","NO"))</f>
        <v>.</v>
      </c>
      <c r="CZ295" s="136" t="str">
        <f>IF($D295&lt;&gt;"Feature",".",
IF(VLOOKUP($B295,Feature_List!$A:$AM,MATCH(CZ$1,  Feature_List!$A$1:$AM$1,0),0)=AR295,".","NO"))</f>
        <v>.</v>
      </c>
      <c r="DA295" s="136" t="str">
        <f>IF($D295&lt;&gt;"Feature",".",
IF(VLOOKUP($B295,Feature_List!$A:$AM,MATCH(DA$1,  Feature_List!$A$1:$AM$1,0),0)=AS295,".","NO"))</f>
        <v>.</v>
      </c>
      <c r="DB295" s="136" t="str">
        <f>IF($D295&lt;&gt;"Feature",".",
IF(VLOOKUP($B295,Feature_List!$A:$AM,MATCH(DB$1,  Feature_List!$A$1:$AM$1,0),0)=AT295,".","NO"))</f>
        <v>.</v>
      </c>
      <c r="DC295" s="136" t="str">
        <f>IF($D295&lt;&gt;"Feature",".",
IF(VLOOKUP($B295,Feature_List!$A:$AM,MATCH(DC$1,  Feature_List!$A$1:$AM$1,0),0)=AU295,".","NO"))</f>
        <v>.</v>
      </c>
      <c r="DD295" s="136" t="str">
        <f>IF($D295&lt;&gt;"Feature",".",
IF(VLOOKUP($B295,Feature_List!$A:$AM,MATCH(DD$1,  Feature_List!$A$1:$AM$1,0),0)=AV295,".","NO"))</f>
        <v>.</v>
      </c>
      <c r="DE295" s="136" t="str">
        <f>IF($D295&lt;&gt;"Feature",".",
IF(VLOOKUP($B295,Feature_List!$A:$AM,MATCH(DE$1,  Feature_List!$A$1:$AM$1,0),0)=AW295,".","NO"))</f>
        <v>.</v>
      </c>
      <c r="DF295" s="136" t="str">
        <f>IF($D295&lt;&gt;"Feature",".",
IF(VLOOKUP($B295,Feature_List!$A:$AM,MATCH(DF$1,  Feature_List!$A$1:$AM$1,0),0)=AX295,".","NO"))</f>
        <v>.</v>
      </c>
      <c r="DG295" s="136" t="str">
        <f>IF($D295&lt;&gt;"Feature",".",
IF(VLOOKUP($B295,Feature_List!$A:$AM,MATCH(DG$1,  Feature_List!$A$1:$AM$1,0),0)=AY295,".","NO"))</f>
        <v>.</v>
      </c>
      <c r="DH295" s="136" t="str">
        <f>IF($D295&lt;&gt;"Feature",".",
IF(VLOOKUP($B295,Feature_List!$A:$AM,MATCH(DH$1,  Feature_List!$A$1:$AM$1,0),0)=AZ295,".","NO"))</f>
        <v>.</v>
      </c>
      <c r="DI295" s="136" t="str">
        <f>IF($D295&lt;&gt;"Feature",".",
IF(VLOOKUP($B295,Feature_List!$A:$AM,MATCH(DI$1,  Feature_List!$A$1:$AM$1,0),0)=BA295,".","NO"))</f>
        <v>.</v>
      </c>
      <c r="DJ295" s="136" t="str">
        <f>IF($D295&lt;&gt;"Feature",".",
IF(VLOOKUP($B295,Feature_List!$A:$AM,MATCH(DJ$1,  Feature_List!$A$1:$AM$1,0),0)=BB295,".","NO"))</f>
        <v>.</v>
      </c>
      <c r="DK295" s="136"/>
      <c r="DL295" s="136"/>
      <c r="DM295" s="136"/>
      <c r="DN295" s="136" t="str">
        <f>IF($D295&lt;&gt;"Feature",".",
IF(VLOOKUP($B295,Feature_List!$A:$AM,MATCH(DN$1,  Feature_List!$A$1:$AM$1,0),0)=BC295,".","NO"))</f>
        <v>.</v>
      </c>
      <c r="DO295" s="136" t="str">
        <f>IF($D295&lt;&gt;"Feature",".",
IF(VLOOKUP($B295,Feature_List!$A:$AM,MATCH(DO$1,  Feature_List!$A$1:$AM$1,0),0)=BD295,".","NO"))</f>
        <v>.</v>
      </c>
    </row>
    <row r="296" spans="2:119" x14ac:dyDescent="0.3">
      <c r="B296" s="121"/>
      <c r="C296" s="122"/>
      <c r="D296" s="122"/>
      <c r="E296" s="122"/>
      <c r="F296" s="123"/>
      <c r="G296" s="123"/>
      <c r="H296" s="122"/>
      <c r="I296" s="124"/>
      <c r="J296" s="123"/>
      <c r="K296" s="123"/>
      <c r="L296" s="122"/>
      <c r="M296" s="122"/>
      <c r="N296" s="122"/>
      <c r="O296" s="123">
        <f t="shared" si="150"/>
        <v>0</v>
      </c>
      <c r="P296" s="123">
        <f t="shared" si="151"/>
        <v>0</v>
      </c>
      <c r="Q296" s="122" t="str">
        <f t="shared" si="172"/>
        <v>ZeroEntry</v>
      </c>
      <c r="R296" s="126" t="str">
        <f t="shared" si="152"/>
        <v>ZeroEntry</v>
      </c>
      <c r="S296" s="127" t="str">
        <f t="shared" si="153"/>
        <v>ZeroEntry</v>
      </c>
      <c r="T296" s="128" t="str">
        <f>IF($Q296="ZeroEntry", "",VLOOKUP($I296,'Ranking Lookup'!#REF!,2,FALSE))</f>
        <v/>
      </c>
      <c r="U296" s="129" t="str">
        <f t="shared" si="154"/>
        <v/>
      </c>
      <c r="V296" s="129" t="str">
        <f t="shared" si="155"/>
        <v/>
      </c>
      <c r="W296" s="129" t="str">
        <f t="shared" si="156"/>
        <v/>
      </c>
      <c r="X296" s="129" t="str">
        <f t="shared" si="157"/>
        <v/>
      </c>
      <c r="Y296" s="129" t="str">
        <f t="shared" si="158"/>
        <v/>
      </c>
      <c r="Z296" s="129" t="str">
        <f t="shared" si="159"/>
        <v/>
      </c>
      <c r="AA296" s="130"/>
      <c r="AB296" s="130" t="str">
        <f t="shared" si="160"/>
        <v>Unassigned</v>
      </c>
      <c r="AC296" s="131" t="str">
        <f t="shared" si="173"/>
        <v/>
      </c>
      <c r="AD296" s="131" t="str">
        <f t="shared" si="174"/>
        <v/>
      </c>
      <c r="AE296" s="132">
        <f t="shared" si="161"/>
        <v>0</v>
      </c>
      <c r="AF296" s="133" t="str">
        <f t="shared" si="175"/>
        <v/>
      </c>
      <c r="AG296" s="134">
        <f t="shared" si="162"/>
        <v>0</v>
      </c>
      <c r="AH296" s="54" t="str">
        <f t="shared" si="163"/>
        <v/>
      </c>
      <c r="AI296" s="54" t="str">
        <f t="shared" si="182"/>
        <v/>
      </c>
      <c r="AJ296" s="54" t="str">
        <f t="shared" si="182"/>
        <v/>
      </c>
      <c r="AK296" s="54" t="str">
        <f t="shared" si="182"/>
        <v/>
      </c>
      <c r="AL296" s="54" t="str">
        <f t="shared" si="182"/>
        <v/>
      </c>
      <c r="AM296" s="54" t="str">
        <f t="shared" si="182"/>
        <v/>
      </c>
      <c r="AN296" s="54" t="str">
        <f t="shared" si="182"/>
        <v/>
      </c>
      <c r="AO296" s="54" t="str">
        <f t="shared" si="182"/>
        <v/>
      </c>
      <c r="AP296" s="54" t="str">
        <f t="shared" si="182"/>
        <v/>
      </c>
      <c r="AQ296" s="54" t="str">
        <f t="shared" si="182"/>
        <v/>
      </c>
      <c r="AR296" s="54" t="str">
        <f t="shared" si="182"/>
        <v/>
      </c>
      <c r="AS296" s="54" t="str">
        <f t="shared" si="182"/>
        <v/>
      </c>
      <c r="AT296" s="54" t="str">
        <f t="shared" si="182"/>
        <v/>
      </c>
      <c r="AU296" s="54" t="str">
        <f t="shared" si="182"/>
        <v/>
      </c>
      <c r="AV296" s="54" t="str">
        <f t="shared" si="182"/>
        <v/>
      </c>
      <c r="AW296" s="54" t="str">
        <f t="shared" si="182"/>
        <v/>
      </c>
      <c r="AX296" s="54" t="str">
        <f t="shared" si="182"/>
        <v/>
      </c>
      <c r="AY296" s="54" t="str">
        <f t="shared" si="177"/>
        <v/>
      </c>
      <c r="AZ296" s="54" t="str">
        <f t="shared" si="165"/>
        <v/>
      </c>
      <c r="BA296" s="54" t="str">
        <f t="shared" si="166"/>
        <v/>
      </c>
      <c r="BB296" s="135" t="str">
        <f t="shared" si="167"/>
        <v/>
      </c>
      <c r="BC296" s="54" t="str">
        <f t="shared" si="180"/>
        <v/>
      </c>
      <c r="BD296" s="54" t="str">
        <f t="shared" si="180"/>
        <v/>
      </c>
      <c r="BE296" s="54" t="str">
        <f t="shared" si="180"/>
        <v/>
      </c>
      <c r="BF296" s="54" t="str">
        <f t="shared" si="168"/>
        <v/>
      </c>
      <c r="BG296" s="54" t="str">
        <f t="shared" si="169"/>
        <v/>
      </c>
      <c r="BH296" s="34" t="str">
        <f t="shared" si="170"/>
        <v>Bad</v>
      </c>
      <c r="BI296" s="34" t="str">
        <f t="shared" si="171"/>
        <v>No</v>
      </c>
      <c r="BJ296" s="136" t="str">
        <f>IF($D296&lt;&gt;"Feature",".",
IF(VLOOKUP($B296,Feature_List!$A:$AM,MATCH(BJ$1,  Feature_List!$A$1:$AM$1,0),0)=B296,".","NO"))</f>
        <v>.</v>
      </c>
      <c r="BK296" s="136"/>
      <c r="BL296" s="136"/>
      <c r="BM296" s="136" t="str">
        <f>IF($D296&lt;&gt;"Feature",".",
IF(VLOOKUP($B296,Feature_List!$A:$AM,MATCH(BM$1,  Feature_List!$A$1:$AM$1,0),0)=E296,".","NO"))</f>
        <v>.</v>
      </c>
      <c r="BN296" s="136" t="str">
        <f>IF($D296&lt;&gt;"Feature",".",
IF(VLOOKUP($B296,Feature_List!$A:$AM,MATCH(BN$1,  Feature_List!$A$1:$AM$1,0),0)=F296,".","NO"))</f>
        <v>.</v>
      </c>
      <c r="BO296" s="136" t="str">
        <f>IF($D296&lt;&gt;"Feature",".",
IF(VLOOKUP($B296,Feature_List!$A:$AM,MATCH(BO$1,  Feature_List!$A$1:$AM$1,0),0)=G296,".","NO"))</f>
        <v>.</v>
      </c>
      <c r="BP296" s="136" t="str">
        <f>IF($D296&lt;&gt;"Feature",".",
IF(VLOOKUP($B296,Feature_List!$A:$AM,MATCH(BP$1,  Feature_List!$A$1:$AM$1,0),0)=H296,".","NO"))</f>
        <v>.</v>
      </c>
      <c r="BQ296" s="136"/>
      <c r="BR296" s="136" t="str">
        <f>IF($D296&lt;&gt;"Feature",".",
IF(VLOOKUP($B296,Feature_List!$A:$AM,MATCH(BR$1,  Feature_List!$A$1:$AM$1,0),0)=J296,".","NO"))</f>
        <v>.</v>
      </c>
      <c r="BS296" s="136"/>
      <c r="BT296" s="136"/>
      <c r="BU296" s="136" t="str">
        <f>IF($D296&lt;&gt;"Feature",".",
IF(VLOOKUP($B296,Feature_List!$A:$AM,MATCH(BU$1,  Feature_List!$A$1:$AM$1,0),0)=M296,".","NO"))</f>
        <v>.</v>
      </c>
      <c r="BV296" s="136" t="str">
        <f>IF($D296&lt;&gt;"Feature",".",
IF(VLOOKUP($B296,Feature_List!$A:$AM,MATCH(BV$1,  Feature_List!$A$1:$AM$1,0),0)=N296,".","NO"))</f>
        <v>.</v>
      </c>
      <c r="BW296" s="136"/>
      <c r="BX296" s="136"/>
      <c r="BY296" s="136"/>
      <c r="BZ296" s="136"/>
      <c r="CA296" s="136"/>
      <c r="CB296" s="136" t="str">
        <f>IF($D296&lt;&gt;"Feature",".",
IF(VLOOKUP($B296,Feature_List!$A:$AM,MATCH(CB$1,  Feature_List!$A$1:$AM$1,0),0)=T296,".","NO"))</f>
        <v>.</v>
      </c>
      <c r="CC296" s="136"/>
      <c r="CD296" s="136"/>
      <c r="CE296" s="136"/>
      <c r="CF296" s="136"/>
      <c r="CG296" s="136"/>
      <c r="CH296" s="136"/>
      <c r="CI296" s="136"/>
      <c r="CJ296" s="136"/>
      <c r="CK296" s="136"/>
      <c r="CL296" s="136"/>
      <c r="CM296" s="136"/>
      <c r="CN296" s="136"/>
      <c r="CO296" s="136" t="str">
        <f>IF($D296&lt;&gt;"Feature",".",
IF(VLOOKUP($B296,Feature_List!$A:$AM,MATCH(CO$1,  Feature_List!$A$1:$AM$1,0),0)=AG296,".","NO"))</f>
        <v>.</v>
      </c>
      <c r="CP296" s="136" t="str">
        <f>IF($D296&lt;&gt;"Feature",".",
IF(VLOOKUP($B296,Feature_List!$A:$AM,MATCH(CP$1,  Feature_List!$A$1:$AM$1,0),0)=AH296,".","NO"))</f>
        <v>.</v>
      </c>
      <c r="CQ296" s="136" t="str">
        <f>IF($D296&lt;&gt;"Feature",".",
IF(VLOOKUP($B296,Feature_List!$A:$AM,MATCH(CQ$1,  Feature_List!$A$1:$AM$1,0),0)=AI296,".","NO"))</f>
        <v>.</v>
      </c>
      <c r="CR296" s="136" t="str">
        <f>IF($D296&lt;&gt;"Feature",".",
IF(VLOOKUP($B296,Feature_List!$A:$AM,MATCH(CR$1,  Feature_List!$A$1:$AM$1,0),0)=AJ296,".","NO"))</f>
        <v>.</v>
      </c>
      <c r="CS296" s="136" t="str">
        <f>IF($D296&lt;&gt;"Feature",".",
IF(VLOOKUP($B296,Feature_List!$A:$AM,MATCH(CS$1,  Feature_List!$A$1:$AM$1,0),0)=AK296,".","NO"))</f>
        <v>.</v>
      </c>
      <c r="CT296" s="136" t="str">
        <f>IF($D296&lt;&gt;"Feature",".",
IF(VLOOKUP($B296,Feature_List!$A:$AM,MATCH(CT$1,  Feature_List!$A$1:$AM$1,0),0)=AL296,".","NO"))</f>
        <v>.</v>
      </c>
      <c r="CU296" s="136" t="str">
        <f>IF($D296&lt;&gt;"Feature",".",
IF(VLOOKUP($B296,Feature_List!$A:$AM,MATCH(CU$1,  Feature_List!$A$1:$AM$1,0),0)=AM296,".","NO"))</f>
        <v>.</v>
      </c>
      <c r="CV296" s="136" t="str">
        <f>IF($D296&lt;&gt;"Feature",".",
IF(VLOOKUP($B296,Feature_List!$A:$AM,MATCH(CV$1,  Feature_List!$A$1:$AM$1,0),0)=AN296,".","NO"))</f>
        <v>.</v>
      </c>
      <c r="CW296" s="136" t="str">
        <f>IF($D296&lt;&gt;"Feature",".",
IF(VLOOKUP($B296,Feature_List!$A:$AM,MATCH(CW$1,  Feature_List!$A$1:$AM$1,0),0)=AO296,".","NO"))</f>
        <v>.</v>
      </c>
      <c r="CX296" s="136" t="str">
        <f>IF($D296&lt;&gt;"Feature",".",
IF(VLOOKUP($B296,Feature_List!$A:$AM,MATCH(CX$1,  Feature_List!$A$1:$AM$1,0),0)=AP296,".","NO"))</f>
        <v>.</v>
      </c>
      <c r="CY296" s="136" t="str">
        <f>IF($D296&lt;&gt;"Feature",".",
IF(VLOOKUP($B296,Feature_List!$A:$AM,MATCH(CY$1,  Feature_List!$A$1:$AM$1,0),0)=AQ296,".","NO"))</f>
        <v>.</v>
      </c>
      <c r="CZ296" s="136" t="str">
        <f>IF($D296&lt;&gt;"Feature",".",
IF(VLOOKUP($B296,Feature_List!$A:$AM,MATCH(CZ$1,  Feature_List!$A$1:$AM$1,0),0)=AR296,".","NO"))</f>
        <v>.</v>
      </c>
      <c r="DA296" s="136" t="str">
        <f>IF($D296&lt;&gt;"Feature",".",
IF(VLOOKUP($B296,Feature_List!$A:$AM,MATCH(DA$1,  Feature_List!$A$1:$AM$1,0),0)=AS296,".","NO"))</f>
        <v>.</v>
      </c>
      <c r="DB296" s="136" t="str">
        <f>IF($D296&lt;&gt;"Feature",".",
IF(VLOOKUP($B296,Feature_List!$A:$AM,MATCH(DB$1,  Feature_List!$A$1:$AM$1,0),0)=AT296,".","NO"))</f>
        <v>.</v>
      </c>
      <c r="DC296" s="136" t="str">
        <f>IF($D296&lt;&gt;"Feature",".",
IF(VLOOKUP($B296,Feature_List!$A:$AM,MATCH(DC$1,  Feature_List!$A$1:$AM$1,0),0)=AU296,".","NO"))</f>
        <v>.</v>
      </c>
      <c r="DD296" s="136" t="str">
        <f>IF($D296&lt;&gt;"Feature",".",
IF(VLOOKUP($B296,Feature_List!$A:$AM,MATCH(DD$1,  Feature_List!$A$1:$AM$1,0),0)=AV296,".","NO"))</f>
        <v>.</v>
      </c>
      <c r="DE296" s="136" t="str">
        <f>IF($D296&lt;&gt;"Feature",".",
IF(VLOOKUP($B296,Feature_List!$A:$AM,MATCH(DE$1,  Feature_List!$A$1:$AM$1,0),0)=AW296,".","NO"))</f>
        <v>.</v>
      </c>
      <c r="DF296" s="136" t="str">
        <f>IF($D296&lt;&gt;"Feature",".",
IF(VLOOKUP($B296,Feature_List!$A:$AM,MATCH(DF$1,  Feature_List!$A$1:$AM$1,0),0)=AX296,".","NO"))</f>
        <v>.</v>
      </c>
      <c r="DG296" s="136" t="str">
        <f>IF($D296&lt;&gt;"Feature",".",
IF(VLOOKUP($B296,Feature_List!$A:$AM,MATCH(DG$1,  Feature_List!$A$1:$AM$1,0),0)=AY296,".","NO"))</f>
        <v>.</v>
      </c>
      <c r="DH296" s="136" t="str">
        <f>IF($D296&lt;&gt;"Feature",".",
IF(VLOOKUP($B296,Feature_List!$A:$AM,MATCH(DH$1,  Feature_List!$A$1:$AM$1,0),0)=AZ296,".","NO"))</f>
        <v>.</v>
      </c>
      <c r="DI296" s="136" t="str">
        <f>IF($D296&lt;&gt;"Feature",".",
IF(VLOOKUP($B296,Feature_List!$A:$AM,MATCH(DI$1,  Feature_List!$A$1:$AM$1,0),0)=BA296,".","NO"))</f>
        <v>.</v>
      </c>
      <c r="DJ296" s="136" t="str">
        <f>IF($D296&lt;&gt;"Feature",".",
IF(VLOOKUP($B296,Feature_List!$A:$AM,MATCH(DJ$1,  Feature_List!$A$1:$AM$1,0),0)=BB296,".","NO"))</f>
        <v>.</v>
      </c>
      <c r="DK296" s="136"/>
      <c r="DL296" s="136"/>
      <c r="DM296" s="136"/>
      <c r="DN296" s="136" t="str">
        <f>IF($D296&lt;&gt;"Feature",".",
IF(VLOOKUP($B296,Feature_List!$A:$AM,MATCH(DN$1,  Feature_List!$A$1:$AM$1,0),0)=BC296,".","NO"))</f>
        <v>.</v>
      </c>
      <c r="DO296" s="136" t="str">
        <f>IF($D296&lt;&gt;"Feature",".",
IF(VLOOKUP($B296,Feature_List!$A:$AM,MATCH(DO$1,  Feature_List!$A$1:$AM$1,0),0)=BD296,".","NO"))</f>
        <v>.</v>
      </c>
    </row>
    <row r="297" spans="2:119" x14ac:dyDescent="0.3">
      <c r="B297" s="121"/>
      <c r="C297" s="122"/>
      <c r="D297" s="122"/>
      <c r="E297" s="122"/>
      <c r="F297" s="123"/>
      <c r="G297" s="123"/>
      <c r="H297" s="122"/>
      <c r="I297" s="124"/>
      <c r="J297" s="123"/>
      <c r="K297" s="123"/>
      <c r="L297" s="122"/>
      <c r="M297" s="122"/>
      <c r="N297" s="122"/>
      <c r="O297" s="123">
        <f t="shared" si="150"/>
        <v>0</v>
      </c>
      <c r="P297" s="123">
        <f t="shared" si="151"/>
        <v>0</v>
      </c>
      <c r="Q297" s="122" t="str">
        <f t="shared" si="172"/>
        <v>ZeroEntry</v>
      </c>
      <c r="R297" s="126" t="str">
        <f t="shared" si="152"/>
        <v>ZeroEntry</v>
      </c>
      <c r="S297" s="127" t="str">
        <f t="shared" si="153"/>
        <v>ZeroEntry</v>
      </c>
      <c r="T297" s="128" t="str">
        <f>IF($Q297="ZeroEntry", "",VLOOKUP($I297,'Ranking Lookup'!#REF!,2,FALSE))</f>
        <v/>
      </c>
      <c r="U297" s="129" t="str">
        <f t="shared" si="154"/>
        <v/>
      </c>
      <c r="V297" s="129" t="str">
        <f t="shared" si="155"/>
        <v/>
      </c>
      <c r="W297" s="129" t="str">
        <f t="shared" si="156"/>
        <v/>
      </c>
      <c r="X297" s="129" t="str">
        <f t="shared" si="157"/>
        <v/>
      </c>
      <c r="Y297" s="129" t="str">
        <f t="shared" si="158"/>
        <v/>
      </c>
      <c r="Z297" s="129" t="str">
        <f t="shared" si="159"/>
        <v/>
      </c>
      <c r="AA297" s="130"/>
      <c r="AB297" s="130" t="str">
        <f t="shared" si="160"/>
        <v>Unassigned</v>
      </c>
      <c r="AC297" s="131" t="str">
        <f t="shared" si="173"/>
        <v/>
      </c>
      <c r="AD297" s="131" t="str">
        <f t="shared" si="174"/>
        <v/>
      </c>
      <c r="AE297" s="132">
        <f t="shared" si="161"/>
        <v>0</v>
      </c>
      <c r="AF297" s="133" t="str">
        <f t="shared" si="175"/>
        <v/>
      </c>
      <c r="AG297" s="134">
        <f t="shared" si="162"/>
        <v>0</v>
      </c>
      <c r="AH297" s="54" t="str">
        <f t="shared" si="163"/>
        <v/>
      </c>
      <c r="AI297" s="54" t="str">
        <f t="shared" si="182"/>
        <v/>
      </c>
      <c r="AJ297" s="54" t="str">
        <f t="shared" si="182"/>
        <v/>
      </c>
      <c r="AK297" s="54" t="str">
        <f t="shared" si="182"/>
        <v/>
      </c>
      <c r="AL297" s="54" t="str">
        <f t="shared" si="182"/>
        <v/>
      </c>
      <c r="AM297" s="54" t="str">
        <f t="shared" si="182"/>
        <v/>
      </c>
      <c r="AN297" s="54" t="str">
        <f t="shared" si="182"/>
        <v/>
      </c>
      <c r="AO297" s="54" t="str">
        <f t="shared" si="182"/>
        <v/>
      </c>
      <c r="AP297" s="54" t="str">
        <f t="shared" si="182"/>
        <v/>
      </c>
      <c r="AQ297" s="54" t="str">
        <f t="shared" si="182"/>
        <v/>
      </c>
      <c r="AR297" s="54" t="str">
        <f t="shared" si="182"/>
        <v/>
      </c>
      <c r="AS297" s="54" t="str">
        <f t="shared" si="182"/>
        <v/>
      </c>
      <c r="AT297" s="54" t="str">
        <f t="shared" si="182"/>
        <v/>
      </c>
      <c r="AU297" s="54" t="str">
        <f t="shared" si="182"/>
        <v/>
      </c>
      <c r="AV297" s="54" t="str">
        <f t="shared" si="182"/>
        <v/>
      </c>
      <c r="AW297" s="54" t="str">
        <f t="shared" si="182"/>
        <v/>
      </c>
      <c r="AX297" s="54" t="str">
        <f t="shared" si="182"/>
        <v/>
      </c>
      <c r="AY297" s="54" t="str">
        <f t="shared" si="177"/>
        <v/>
      </c>
      <c r="AZ297" s="54" t="str">
        <f t="shared" si="165"/>
        <v/>
      </c>
      <c r="BA297" s="54" t="str">
        <f t="shared" si="166"/>
        <v/>
      </c>
      <c r="BB297" s="135" t="str">
        <f t="shared" si="167"/>
        <v/>
      </c>
      <c r="BC297" s="54" t="str">
        <f t="shared" si="180"/>
        <v/>
      </c>
      <c r="BD297" s="54" t="str">
        <f t="shared" si="180"/>
        <v/>
      </c>
      <c r="BE297" s="54" t="str">
        <f t="shared" si="180"/>
        <v/>
      </c>
      <c r="BF297" s="54" t="str">
        <f t="shared" si="168"/>
        <v/>
      </c>
      <c r="BG297" s="54" t="str">
        <f t="shared" si="169"/>
        <v/>
      </c>
      <c r="BH297" s="34" t="str">
        <f t="shared" si="170"/>
        <v>Bad</v>
      </c>
      <c r="BI297" s="34" t="str">
        <f t="shared" si="171"/>
        <v>No</v>
      </c>
      <c r="BJ297" s="136" t="str">
        <f>IF($D297&lt;&gt;"Feature",".",
IF(VLOOKUP($B297,Feature_List!$A:$AM,MATCH(BJ$1,  Feature_List!$A$1:$AM$1,0),0)=B297,".","NO"))</f>
        <v>.</v>
      </c>
      <c r="BK297" s="136"/>
      <c r="BL297" s="136"/>
      <c r="BM297" s="136" t="str">
        <f>IF($D297&lt;&gt;"Feature",".",
IF(VLOOKUP($B297,Feature_List!$A:$AM,MATCH(BM$1,  Feature_List!$A$1:$AM$1,0),0)=E297,".","NO"))</f>
        <v>.</v>
      </c>
      <c r="BN297" s="136" t="str">
        <f>IF($D297&lt;&gt;"Feature",".",
IF(VLOOKUP($B297,Feature_List!$A:$AM,MATCH(BN$1,  Feature_List!$A$1:$AM$1,0),0)=F297,".","NO"))</f>
        <v>.</v>
      </c>
      <c r="BO297" s="136" t="str">
        <f>IF($D297&lt;&gt;"Feature",".",
IF(VLOOKUP($B297,Feature_List!$A:$AM,MATCH(BO$1,  Feature_List!$A$1:$AM$1,0),0)=G297,".","NO"))</f>
        <v>.</v>
      </c>
      <c r="BP297" s="136" t="str">
        <f>IF($D297&lt;&gt;"Feature",".",
IF(VLOOKUP($B297,Feature_List!$A:$AM,MATCH(BP$1,  Feature_List!$A$1:$AM$1,0),0)=H297,".","NO"))</f>
        <v>.</v>
      </c>
      <c r="BQ297" s="136"/>
      <c r="BR297" s="136" t="str">
        <f>IF($D297&lt;&gt;"Feature",".",
IF(VLOOKUP($B297,Feature_List!$A:$AM,MATCH(BR$1,  Feature_List!$A$1:$AM$1,0),0)=J297,".","NO"))</f>
        <v>.</v>
      </c>
      <c r="BS297" s="136"/>
      <c r="BT297" s="136"/>
      <c r="BU297" s="136" t="str">
        <f>IF($D297&lt;&gt;"Feature",".",
IF(VLOOKUP($B297,Feature_List!$A:$AM,MATCH(BU$1,  Feature_List!$A$1:$AM$1,0),0)=M297,".","NO"))</f>
        <v>.</v>
      </c>
      <c r="BV297" s="136" t="str">
        <f>IF($D297&lt;&gt;"Feature",".",
IF(VLOOKUP($B297,Feature_List!$A:$AM,MATCH(BV$1,  Feature_List!$A$1:$AM$1,0),0)=N297,".","NO"))</f>
        <v>.</v>
      </c>
      <c r="BW297" s="136"/>
      <c r="BX297" s="136"/>
      <c r="BY297" s="136"/>
      <c r="BZ297" s="136"/>
      <c r="CA297" s="136"/>
      <c r="CB297" s="136" t="str">
        <f>IF($D297&lt;&gt;"Feature",".",
IF(VLOOKUP($B297,Feature_List!$A:$AM,MATCH(CB$1,  Feature_List!$A$1:$AM$1,0),0)=T297,".","NO"))</f>
        <v>.</v>
      </c>
      <c r="CC297" s="136"/>
      <c r="CD297" s="136"/>
      <c r="CE297" s="136"/>
      <c r="CF297" s="136"/>
      <c r="CG297" s="136"/>
      <c r="CH297" s="136"/>
      <c r="CI297" s="136"/>
      <c r="CJ297" s="136"/>
      <c r="CK297" s="136"/>
      <c r="CL297" s="136"/>
      <c r="CM297" s="136"/>
      <c r="CN297" s="136"/>
      <c r="CO297" s="136" t="str">
        <f>IF($D297&lt;&gt;"Feature",".",
IF(VLOOKUP($B297,Feature_List!$A:$AM,MATCH(CO$1,  Feature_List!$A$1:$AM$1,0),0)=AG297,".","NO"))</f>
        <v>.</v>
      </c>
      <c r="CP297" s="136" t="str">
        <f>IF($D297&lt;&gt;"Feature",".",
IF(VLOOKUP($B297,Feature_List!$A:$AM,MATCH(CP$1,  Feature_List!$A$1:$AM$1,0),0)=AH297,".","NO"))</f>
        <v>.</v>
      </c>
      <c r="CQ297" s="136" t="str">
        <f>IF($D297&lt;&gt;"Feature",".",
IF(VLOOKUP($B297,Feature_List!$A:$AM,MATCH(CQ$1,  Feature_List!$A$1:$AM$1,0),0)=AI297,".","NO"))</f>
        <v>.</v>
      </c>
      <c r="CR297" s="136" t="str">
        <f>IF($D297&lt;&gt;"Feature",".",
IF(VLOOKUP($B297,Feature_List!$A:$AM,MATCH(CR$1,  Feature_List!$A$1:$AM$1,0),0)=AJ297,".","NO"))</f>
        <v>.</v>
      </c>
      <c r="CS297" s="136" t="str">
        <f>IF($D297&lt;&gt;"Feature",".",
IF(VLOOKUP($B297,Feature_List!$A:$AM,MATCH(CS$1,  Feature_List!$A$1:$AM$1,0),0)=AK297,".","NO"))</f>
        <v>.</v>
      </c>
      <c r="CT297" s="136" t="str">
        <f>IF($D297&lt;&gt;"Feature",".",
IF(VLOOKUP($B297,Feature_List!$A:$AM,MATCH(CT$1,  Feature_List!$A$1:$AM$1,0),0)=AL297,".","NO"))</f>
        <v>.</v>
      </c>
      <c r="CU297" s="136" t="str">
        <f>IF($D297&lt;&gt;"Feature",".",
IF(VLOOKUP($B297,Feature_List!$A:$AM,MATCH(CU$1,  Feature_List!$A$1:$AM$1,0),0)=AM297,".","NO"))</f>
        <v>.</v>
      </c>
      <c r="CV297" s="136" t="str">
        <f>IF($D297&lt;&gt;"Feature",".",
IF(VLOOKUP($B297,Feature_List!$A:$AM,MATCH(CV$1,  Feature_List!$A$1:$AM$1,0),0)=AN297,".","NO"))</f>
        <v>.</v>
      </c>
      <c r="CW297" s="136" t="str">
        <f>IF($D297&lt;&gt;"Feature",".",
IF(VLOOKUP($B297,Feature_List!$A:$AM,MATCH(CW$1,  Feature_List!$A$1:$AM$1,0),0)=AO297,".","NO"))</f>
        <v>.</v>
      </c>
      <c r="CX297" s="136" t="str">
        <f>IF($D297&lt;&gt;"Feature",".",
IF(VLOOKUP($B297,Feature_List!$A:$AM,MATCH(CX$1,  Feature_List!$A$1:$AM$1,0),0)=AP297,".","NO"))</f>
        <v>.</v>
      </c>
      <c r="CY297" s="136" t="str">
        <f>IF($D297&lt;&gt;"Feature",".",
IF(VLOOKUP($B297,Feature_List!$A:$AM,MATCH(CY$1,  Feature_List!$A$1:$AM$1,0),0)=AQ297,".","NO"))</f>
        <v>.</v>
      </c>
      <c r="CZ297" s="136" t="str">
        <f>IF($D297&lt;&gt;"Feature",".",
IF(VLOOKUP($B297,Feature_List!$A:$AM,MATCH(CZ$1,  Feature_List!$A$1:$AM$1,0),0)=AR297,".","NO"))</f>
        <v>.</v>
      </c>
      <c r="DA297" s="136" t="str">
        <f>IF($D297&lt;&gt;"Feature",".",
IF(VLOOKUP($B297,Feature_List!$A:$AM,MATCH(DA$1,  Feature_List!$A$1:$AM$1,0),0)=AS297,".","NO"))</f>
        <v>.</v>
      </c>
      <c r="DB297" s="136" t="str">
        <f>IF($D297&lt;&gt;"Feature",".",
IF(VLOOKUP($B297,Feature_List!$A:$AM,MATCH(DB$1,  Feature_List!$A$1:$AM$1,0),0)=AT297,".","NO"))</f>
        <v>.</v>
      </c>
      <c r="DC297" s="136" t="str">
        <f>IF($D297&lt;&gt;"Feature",".",
IF(VLOOKUP($B297,Feature_List!$A:$AM,MATCH(DC$1,  Feature_List!$A$1:$AM$1,0),0)=AU297,".","NO"))</f>
        <v>.</v>
      </c>
      <c r="DD297" s="136" t="str">
        <f>IF($D297&lt;&gt;"Feature",".",
IF(VLOOKUP($B297,Feature_List!$A:$AM,MATCH(DD$1,  Feature_List!$A$1:$AM$1,0),0)=AV297,".","NO"))</f>
        <v>.</v>
      </c>
      <c r="DE297" s="136" t="str">
        <f>IF($D297&lt;&gt;"Feature",".",
IF(VLOOKUP($B297,Feature_List!$A:$AM,MATCH(DE$1,  Feature_List!$A$1:$AM$1,0),0)=AW297,".","NO"))</f>
        <v>.</v>
      </c>
      <c r="DF297" s="136" t="str">
        <f>IF($D297&lt;&gt;"Feature",".",
IF(VLOOKUP($B297,Feature_List!$A:$AM,MATCH(DF$1,  Feature_List!$A$1:$AM$1,0),0)=AX297,".","NO"))</f>
        <v>.</v>
      </c>
      <c r="DG297" s="136" t="str">
        <f>IF($D297&lt;&gt;"Feature",".",
IF(VLOOKUP($B297,Feature_List!$A:$AM,MATCH(DG$1,  Feature_List!$A$1:$AM$1,0),0)=AY297,".","NO"))</f>
        <v>.</v>
      </c>
      <c r="DH297" s="136" t="str">
        <f>IF($D297&lt;&gt;"Feature",".",
IF(VLOOKUP($B297,Feature_List!$A:$AM,MATCH(DH$1,  Feature_List!$A$1:$AM$1,0),0)=AZ297,".","NO"))</f>
        <v>.</v>
      </c>
      <c r="DI297" s="136" t="str">
        <f>IF($D297&lt;&gt;"Feature",".",
IF(VLOOKUP($B297,Feature_List!$A:$AM,MATCH(DI$1,  Feature_List!$A$1:$AM$1,0),0)=BA297,".","NO"))</f>
        <v>.</v>
      </c>
      <c r="DJ297" s="136" t="str">
        <f>IF($D297&lt;&gt;"Feature",".",
IF(VLOOKUP($B297,Feature_List!$A:$AM,MATCH(DJ$1,  Feature_List!$A$1:$AM$1,0),0)=BB297,".","NO"))</f>
        <v>.</v>
      </c>
      <c r="DK297" s="136"/>
      <c r="DL297" s="136"/>
      <c r="DM297" s="136"/>
      <c r="DN297" s="136" t="str">
        <f>IF($D297&lt;&gt;"Feature",".",
IF(VLOOKUP($B297,Feature_List!$A:$AM,MATCH(DN$1,  Feature_List!$A$1:$AM$1,0),0)=BC297,".","NO"))</f>
        <v>.</v>
      </c>
      <c r="DO297" s="136" t="str">
        <f>IF($D297&lt;&gt;"Feature",".",
IF(VLOOKUP($B297,Feature_List!$A:$AM,MATCH(DO$1,  Feature_List!$A$1:$AM$1,0),0)=BD297,".","NO"))</f>
        <v>.</v>
      </c>
    </row>
    <row r="298" spans="2:119" x14ac:dyDescent="0.3">
      <c r="B298" s="121"/>
      <c r="C298" s="122"/>
      <c r="D298" s="122"/>
      <c r="E298" s="122"/>
      <c r="F298" s="123"/>
      <c r="G298" s="123"/>
      <c r="H298" s="122"/>
      <c r="I298" s="124"/>
      <c r="J298" s="123"/>
      <c r="K298" s="123"/>
      <c r="L298" s="122"/>
      <c r="M298" s="122"/>
      <c r="N298" s="122"/>
      <c r="O298" s="123">
        <f t="shared" si="150"/>
        <v>0</v>
      </c>
      <c r="P298" s="123">
        <f t="shared" si="151"/>
        <v>0</v>
      </c>
      <c r="Q298" s="122" t="str">
        <f t="shared" si="172"/>
        <v>ZeroEntry</v>
      </c>
      <c r="R298" s="126" t="str">
        <f t="shared" si="152"/>
        <v>ZeroEntry</v>
      </c>
      <c r="S298" s="127" t="str">
        <f t="shared" si="153"/>
        <v>ZeroEntry</v>
      </c>
      <c r="T298" s="128" t="str">
        <f>IF($Q298="ZeroEntry", "",VLOOKUP($I298,'Ranking Lookup'!#REF!,2,FALSE))</f>
        <v/>
      </c>
      <c r="U298" s="129" t="str">
        <f t="shared" si="154"/>
        <v/>
      </c>
      <c r="V298" s="129" t="str">
        <f t="shared" si="155"/>
        <v/>
      </c>
      <c r="W298" s="129" t="str">
        <f t="shared" si="156"/>
        <v/>
      </c>
      <c r="X298" s="129" t="str">
        <f t="shared" si="157"/>
        <v/>
      </c>
      <c r="Y298" s="129" t="str">
        <f t="shared" si="158"/>
        <v/>
      </c>
      <c r="Z298" s="129" t="str">
        <f t="shared" si="159"/>
        <v/>
      </c>
      <c r="AA298" s="130"/>
      <c r="AB298" s="130" t="str">
        <f t="shared" si="160"/>
        <v>Unassigned</v>
      </c>
      <c r="AC298" s="131" t="str">
        <f t="shared" si="173"/>
        <v/>
      </c>
      <c r="AD298" s="131" t="str">
        <f t="shared" si="174"/>
        <v/>
      </c>
      <c r="AE298" s="132">
        <f t="shared" si="161"/>
        <v>0</v>
      </c>
      <c r="AF298" s="133" t="str">
        <f t="shared" si="175"/>
        <v/>
      </c>
      <c r="AG298" s="134">
        <f t="shared" si="162"/>
        <v>0</v>
      </c>
      <c r="AH298" s="54" t="str">
        <f t="shared" si="163"/>
        <v/>
      </c>
      <c r="AI298" s="54" t="str">
        <f t="shared" si="182"/>
        <v/>
      </c>
      <c r="AJ298" s="54" t="str">
        <f t="shared" si="182"/>
        <v/>
      </c>
      <c r="AK298" s="54" t="str">
        <f t="shared" si="182"/>
        <v/>
      </c>
      <c r="AL298" s="54" t="str">
        <f t="shared" si="182"/>
        <v/>
      </c>
      <c r="AM298" s="54" t="str">
        <f t="shared" si="182"/>
        <v/>
      </c>
      <c r="AN298" s="54" t="str">
        <f t="shared" si="182"/>
        <v/>
      </c>
      <c r="AO298" s="54" t="str">
        <f t="shared" si="182"/>
        <v/>
      </c>
      <c r="AP298" s="54" t="str">
        <f t="shared" si="182"/>
        <v/>
      </c>
      <c r="AQ298" s="54" t="str">
        <f t="shared" si="182"/>
        <v/>
      </c>
      <c r="AR298" s="54" t="str">
        <f t="shared" si="182"/>
        <v/>
      </c>
      <c r="AS298" s="54" t="str">
        <f t="shared" si="182"/>
        <v/>
      </c>
      <c r="AT298" s="54" t="str">
        <f t="shared" si="182"/>
        <v/>
      </c>
      <c r="AU298" s="54" t="str">
        <f t="shared" si="182"/>
        <v/>
      </c>
      <c r="AV298" s="54" t="str">
        <f t="shared" si="182"/>
        <v/>
      </c>
      <c r="AW298" s="54" t="str">
        <f t="shared" si="182"/>
        <v/>
      </c>
      <c r="AX298" s="54" t="str">
        <f t="shared" si="182"/>
        <v/>
      </c>
      <c r="AY298" s="54" t="str">
        <f t="shared" si="177"/>
        <v/>
      </c>
      <c r="AZ298" s="54" t="str">
        <f t="shared" si="165"/>
        <v/>
      </c>
      <c r="BA298" s="54" t="str">
        <f t="shared" si="166"/>
        <v/>
      </c>
      <c r="BB298" s="135" t="str">
        <f t="shared" si="167"/>
        <v/>
      </c>
      <c r="BC298" s="54" t="str">
        <f t="shared" si="180"/>
        <v/>
      </c>
      <c r="BD298" s="54" t="str">
        <f t="shared" si="180"/>
        <v/>
      </c>
      <c r="BE298" s="54" t="str">
        <f t="shared" si="180"/>
        <v/>
      </c>
      <c r="BF298" s="54" t="str">
        <f t="shared" si="168"/>
        <v/>
      </c>
      <c r="BG298" s="54" t="str">
        <f t="shared" si="169"/>
        <v/>
      </c>
      <c r="BH298" s="34" t="str">
        <f t="shared" si="170"/>
        <v>Bad</v>
      </c>
      <c r="BI298" s="34" t="str">
        <f t="shared" si="171"/>
        <v>No</v>
      </c>
      <c r="BJ298" s="136" t="str">
        <f>IF($D298&lt;&gt;"Feature",".",
IF(VLOOKUP($B298,Feature_List!$A:$AM,MATCH(BJ$1,  Feature_List!$A$1:$AM$1,0),0)=B298,".","NO"))</f>
        <v>.</v>
      </c>
      <c r="BK298" s="136"/>
      <c r="BL298" s="136"/>
      <c r="BM298" s="136" t="str">
        <f>IF($D298&lt;&gt;"Feature",".",
IF(VLOOKUP($B298,Feature_List!$A:$AM,MATCH(BM$1,  Feature_List!$A$1:$AM$1,0),0)=E298,".","NO"))</f>
        <v>.</v>
      </c>
      <c r="BN298" s="136" t="str">
        <f>IF($D298&lt;&gt;"Feature",".",
IF(VLOOKUP($B298,Feature_List!$A:$AM,MATCH(BN$1,  Feature_List!$A$1:$AM$1,0),0)=F298,".","NO"))</f>
        <v>.</v>
      </c>
      <c r="BO298" s="136" t="str">
        <f>IF($D298&lt;&gt;"Feature",".",
IF(VLOOKUP($B298,Feature_List!$A:$AM,MATCH(BO$1,  Feature_List!$A$1:$AM$1,0),0)=G298,".","NO"))</f>
        <v>.</v>
      </c>
      <c r="BP298" s="136" t="str">
        <f>IF($D298&lt;&gt;"Feature",".",
IF(VLOOKUP($B298,Feature_List!$A:$AM,MATCH(BP$1,  Feature_List!$A$1:$AM$1,0),0)=H298,".","NO"))</f>
        <v>.</v>
      </c>
      <c r="BQ298" s="136"/>
      <c r="BR298" s="136" t="str">
        <f>IF($D298&lt;&gt;"Feature",".",
IF(VLOOKUP($B298,Feature_List!$A:$AM,MATCH(BR$1,  Feature_List!$A$1:$AM$1,0),0)=J298,".","NO"))</f>
        <v>.</v>
      </c>
      <c r="BS298" s="136"/>
      <c r="BT298" s="136"/>
      <c r="BU298" s="136" t="str">
        <f>IF($D298&lt;&gt;"Feature",".",
IF(VLOOKUP($B298,Feature_List!$A:$AM,MATCH(BU$1,  Feature_List!$A$1:$AM$1,0),0)=M298,".","NO"))</f>
        <v>.</v>
      </c>
      <c r="BV298" s="136" t="str">
        <f>IF($D298&lt;&gt;"Feature",".",
IF(VLOOKUP($B298,Feature_List!$A:$AM,MATCH(BV$1,  Feature_List!$A$1:$AM$1,0),0)=N298,".","NO"))</f>
        <v>.</v>
      </c>
      <c r="BW298" s="136"/>
      <c r="BX298" s="136"/>
      <c r="BY298" s="136"/>
      <c r="BZ298" s="136"/>
      <c r="CA298" s="136"/>
      <c r="CB298" s="136" t="str">
        <f>IF($D298&lt;&gt;"Feature",".",
IF(VLOOKUP($B298,Feature_List!$A:$AM,MATCH(CB$1,  Feature_List!$A$1:$AM$1,0),0)=T298,".","NO"))</f>
        <v>.</v>
      </c>
      <c r="CC298" s="136"/>
      <c r="CD298" s="136"/>
      <c r="CE298" s="136"/>
      <c r="CF298" s="136"/>
      <c r="CG298" s="136"/>
      <c r="CH298" s="136"/>
      <c r="CI298" s="136"/>
      <c r="CJ298" s="136"/>
      <c r="CK298" s="136"/>
      <c r="CL298" s="136"/>
      <c r="CM298" s="136"/>
      <c r="CN298" s="136"/>
      <c r="CO298" s="136" t="str">
        <f>IF($D298&lt;&gt;"Feature",".",
IF(VLOOKUP($B298,Feature_List!$A:$AM,MATCH(CO$1,  Feature_List!$A$1:$AM$1,0),0)=AG298,".","NO"))</f>
        <v>.</v>
      </c>
      <c r="CP298" s="136" t="str">
        <f>IF($D298&lt;&gt;"Feature",".",
IF(VLOOKUP($B298,Feature_List!$A:$AM,MATCH(CP$1,  Feature_List!$A$1:$AM$1,0),0)=AH298,".","NO"))</f>
        <v>.</v>
      </c>
      <c r="CQ298" s="136" t="str">
        <f>IF($D298&lt;&gt;"Feature",".",
IF(VLOOKUP($B298,Feature_List!$A:$AM,MATCH(CQ$1,  Feature_List!$A$1:$AM$1,0),0)=AI298,".","NO"))</f>
        <v>.</v>
      </c>
      <c r="CR298" s="136" t="str">
        <f>IF($D298&lt;&gt;"Feature",".",
IF(VLOOKUP($B298,Feature_List!$A:$AM,MATCH(CR$1,  Feature_List!$A$1:$AM$1,0),0)=AJ298,".","NO"))</f>
        <v>.</v>
      </c>
      <c r="CS298" s="136" t="str">
        <f>IF($D298&lt;&gt;"Feature",".",
IF(VLOOKUP($B298,Feature_List!$A:$AM,MATCH(CS$1,  Feature_List!$A$1:$AM$1,0),0)=AK298,".","NO"))</f>
        <v>.</v>
      </c>
      <c r="CT298" s="136" t="str">
        <f>IF($D298&lt;&gt;"Feature",".",
IF(VLOOKUP($B298,Feature_List!$A:$AM,MATCH(CT$1,  Feature_List!$A$1:$AM$1,0),0)=AL298,".","NO"))</f>
        <v>.</v>
      </c>
      <c r="CU298" s="136" t="str">
        <f>IF($D298&lt;&gt;"Feature",".",
IF(VLOOKUP($B298,Feature_List!$A:$AM,MATCH(CU$1,  Feature_List!$A$1:$AM$1,0),0)=AM298,".","NO"))</f>
        <v>.</v>
      </c>
      <c r="CV298" s="136" t="str">
        <f>IF($D298&lt;&gt;"Feature",".",
IF(VLOOKUP($B298,Feature_List!$A:$AM,MATCH(CV$1,  Feature_List!$A$1:$AM$1,0),0)=AN298,".","NO"))</f>
        <v>.</v>
      </c>
      <c r="CW298" s="136" t="str">
        <f>IF($D298&lt;&gt;"Feature",".",
IF(VLOOKUP($B298,Feature_List!$A:$AM,MATCH(CW$1,  Feature_List!$A$1:$AM$1,0),0)=AO298,".","NO"))</f>
        <v>.</v>
      </c>
      <c r="CX298" s="136" t="str">
        <f>IF($D298&lt;&gt;"Feature",".",
IF(VLOOKUP($B298,Feature_List!$A:$AM,MATCH(CX$1,  Feature_List!$A$1:$AM$1,0),0)=AP298,".","NO"))</f>
        <v>.</v>
      </c>
      <c r="CY298" s="136" t="str">
        <f>IF($D298&lt;&gt;"Feature",".",
IF(VLOOKUP($B298,Feature_List!$A:$AM,MATCH(CY$1,  Feature_List!$A$1:$AM$1,0),0)=AQ298,".","NO"))</f>
        <v>.</v>
      </c>
      <c r="CZ298" s="136" t="str">
        <f>IF($D298&lt;&gt;"Feature",".",
IF(VLOOKUP($B298,Feature_List!$A:$AM,MATCH(CZ$1,  Feature_List!$A$1:$AM$1,0),0)=AR298,".","NO"))</f>
        <v>.</v>
      </c>
      <c r="DA298" s="136" t="str">
        <f>IF($D298&lt;&gt;"Feature",".",
IF(VLOOKUP($B298,Feature_List!$A:$AM,MATCH(DA$1,  Feature_List!$A$1:$AM$1,0),0)=AS298,".","NO"))</f>
        <v>.</v>
      </c>
      <c r="DB298" s="136" t="str">
        <f>IF($D298&lt;&gt;"Feature",".",
IF(VLOOKUP($B298,Feature_List!$A:$AM,MATCH(DB$1,  Feature_List!$A$1:$AM$1,0),0)=AT298,".","NO"))</f>
        <v>.</v>
      </c>
      <c r="DC298" s="136" t="str">
        <f>IF($D298&lt;&gt;"Feature",".",
IF(VLOOKUP($B298,Feature_List!$A:$AM,MATCH(DC$1,  Feature_List!$A$1:$AM$1,0),0)=AU298,".","NO"))</f>
        <v>.</v>
      </c>
      <c r="DD298" s="136" t="str">
        <f>IF($D298&lt;&gt;"Feature",".",
IF(VLOOKUP($B298,Feature_List!$A:$AM,MATCH(DD$1,  Feature_List!$A$1:$AM$1,0),0)=AV298,".","NO"))</f>
        <v>.</v>
      </c>
      <c r="DE298" s="136" t="str">
        <f>IF($D298&lt;&gt;"Feature",".",
IF(VLOOKUP($B298,Feature_List!$A:$AM,MATCH(DE$1,  Feature_List!$A$1:$AM$1,0),0)=AW298,".","NO"))</f>
        <v>.</v>
      </c>
      <c r="DF298" s="136" t="str">
        <f>IF($D298&lt;&gt;"Feature",".",
IF(VLOOKUP($B298,Feature_List!$A:$AM,MATCH(DF$1,  Feature_List!$A$1:$AM$1,0),0)=AX298,".","NO"))</f>
        <v>.</v>
      </c>
      <c r="DG298" s="136" t="str">
        <f>IF($D298&lt;&gt;"Feature",".",
IF(VLOOKUP($B298,Feature_List!$A:$AM,MATCH(DG$1,  Feature_List!$A$1:$AM$1,0),0)=AY298,".","NO"))</f>
        <v>.</v>
      </c>
      <c r="DH298" s="136" t="str">
        <f>IF($D298&lt;&gt;"Feature",".",
IF(VLOOKUP($B298,Feature_List!$A:$AM,MATCH(DH$1,  Feature_List!$A$1:$AM$1,0),0)=AZ298,".","NO"))</f>
        <v>.</v>
      </c>
      <c r="DI298" s="136" t="str">
        <f>IF($D298&lt;&gt;"Feature",".",
IF(VLOOKUP($B298,Feature_List!$A:$AM,MATCH(DI$1,  Feature_List!$A$1:$AM$1,0),0)=BA298,".","NO"))</f>
        <v>.</v>
      </c>
      <c r="DJ298" s="136" t="str">
        <f>IF($D298&lt;&gt;"Feature",".",
IF(VLOOKUP($B298,Feature_List!$A:$AM,MATCH(DJ$1,  Feature_List!$A$1:$AM$1,0),0)=BB298,".","NO"))</f>
        <v>.</v>
      </c>
      <c r="DK298" s="136"/>
      <c r="DL298" s="136"/>
      <c r="DM298" s="136"/>
      <c r="DN298" s="136" t="str">
        <f>IF($D298&lt;&gt;"Feature",".",
IF(VLOOKUP($B298,Feature_List!$A:$AM,MATCH(DN$1,  Feature_List!$A$1:$AM$1,0),0)=BC298,".","NO"))</f>
        <v>.</v>
      </c>
      <c r="DO298" s="136" t="str">
        <f>IF($D298&lt;&gt;"Feature",".",
IF(VLOOKUP($B298,Feature_List!$A:$AM,MATCH(DO$1,  Feature_List!$A$1:$AM$1,0),0)=BD298,".","NO"))</f>
        <v>.</v>
      </c>
    </row>
    <row r="299" spans="2:119" x14ac:dyDescent="0.3">
      <c r="B299" s="121"/>
      <c r="C299" s="123"/>
      <c r="D299" s="122"/>
      <c r="E299" s="122"/>
      <c r="F299" s="123"/>
      <c r="G299" s="123"/>
      <c r="H299" s="122"/>
      <c r="I299" s="122"/>
      <c r="J299" s="123"/>
      <c r="K299" s="123"/>
      <c r="L299" s="122"/>
      <c r="M299" s="122"/>
      <c r="N299" s="122"/>
      <c r="O299" s="123">
        <f t="shared" si="150"/>
        <v>0</v>
      </c>
      <c r="P299" s="123">
        <f t="shared" si="151"/>
        <v>0</v>
      </c>
      <c r="Q299" s="122" t="str">
        <f t="shared" si="172"/>
        <v>ZeroEntry</v>
      </c>
      <c r="R299" s="126" t="str">
        <f t="shared" si="152"/>
        <v>ZeroEntry</v>
      </c>
      <c r="S299" s="127" t="str">
        <f t="shared" si="153"/>
        <v>ZeroEntry</v>
      </c>
      <c r="T299" s="128" t="str">
        <f>IF($Q299="ZeroEntry", "",VLOOKUP($I299,'Ranking Lookup'!#REF!,2,FALSE))</f>
        <v/>
      </c>
      <c r="U299" s="129" t="str">
        <f t="shared" si="154"/>
        <v/>
      </c>
      <c r="V299" s="129" t="str">
        <f t="shared" si="155"/>
        <v/>
      </c>
      <c r="W299" s="129" t="str">
        <f t="shared" si="156"/>
        <v/>
      </c>
      <c r="X299" s="129" t="str">
        <f t="shared" si="157"/>
        <v/>
      </c>
      <c r="Y299" s="129" t="str">
        <f t="shared" si="158"/>
        <v/>
      </c>
      <c r="Z299" s="129" t="str">
        <f t="shared" si="159"/>
        <v/>
      </c>
      <c r="AA299" s="130"/>
      <c r="AB299" s="130" t="str">
        <f t="shared" si="160"/>
        <v>Unassigned</v>
      </c>
      <c r="AC299" s="131" t="str">
        <f t="shared" si="173"/>
        <v/>
      </c>
      <c r="AD299" s="131" t="str">
        <f t="shared" si="174"/>
        <v/>
      </c>
      <c r="AE299" s="132">
        <f t="shared" si="161"/>
        <v>0</v>
      </c>
      <c r="AF299" s="133" t="str">
        <f t="shared" si="175"/>
        <v/>
      </c>
      <c r="AG299" s="134">
        <f t="shared" si="162"/>
        <v>0</v>
      </c>
      <c r="AH299" s="54" t="str">
        <f t="shared" si="163"/>
        <v/>
      </c>
      <c r="AI299" s="54" t="str">
        <f t="shared" si="182"/>
        <v/>
      </c>
      <c r="AJ299" s="54" t="str">
        <f t="shared" si="182"/>
        <v/>
      </c>
      <c r="AK299" s="54" t="str">
        <f t="shared" si="182"/>
        <v/>
      </c>
      <c r="AL299" s="54" t="str">
        <f t="shared" si="182"/>
        <v/>
      </c>
      <c r="AM299" s="54" t="str">
        <f t="shared" si="182"/>
        <v/>
      </c>
      <c r="AN299" s="54" t="str">
        <f t="shared" si="182"/>
        <v/>
      </c>
      <c r="AO299" s="54" t="str">
        <f t="shared" si="182"/>
        <v/>
      </c>
      <c r="AP299" s="54" t="str">
        <f t="shared" si="182"/>
        <v/>
      </c>
      <c r="AQ299" s="54" t="str">
        <f t="shared" si="182"/>
        <v/>
      </c>
      <c r="AR299" s="54" t="str">
        <f t="shared" si="182"/>
        <v/>
      </c>
      <c r="AS299" s="54" t="str">
        <f t="shared" si="182"/>
        <v/>
      </c>
      <c r="AT299" s="54" t="str">
        <f t="shared" si="182"/>
        <v/>
      </c>
      <c r="AU299" s="54" t="str">
        <f t="shared" si="182"/>
        <v/>
      </c>
      <c r="AV299" s="54" t="str">
        <f t="shared" si="182"/>
        <v/>
      </c>
      <c r="AW299" s="54" t="str">
        <f t="shared" si="182"/>
        <v/>
      </c>
      <c r="AX299" s="54" t="str">
        <f t="shared" si="182"/>
        <v/>
      </c>
      <c r="AY299" s="54" t="str">
        <f t="shared" si="177"/>
        <v/>
      </c>
      <c r="AZ299" s="54" t="str">
        <f t="shared" si="165"/>
        <v/>
      </c>
      <c r="BA299" s="54" t="str">
        <f t="shared" si="166"/>
        <v/>
      </c>
      <c r="BB299" s="135" t="str">
        <f t="shared" si="167"/>
        <v/>
      </c>
      <c r="BC299" s="54" t="str">
        <f t="shared" si="180"/>
        <v/>
      </c>
      <c r="BD299" s="54" t="str">
        <f t="shared" si="180"/>
        <v/>
      </c>
      <c r="BE299" s="54" t="str">
        <f t="shared" si="180"/>
        <v/>
      </c>
      <c r="BF299" s="54" t="str">
        <f t="shared" si="168"/>
        <v/>
      </c>
      <c r="BG299" s="54" t="str">
        <f t="shared" si="169"/>
        <v/>
      </c>
      <c r="BH299" s="34" t="str">
        <f t="shared" si="170"/>
        <v>Bad</v>
      </c>
      <c r="BI299" s="34" t="str">
        <f t="shared" si="171"/>
        <v>No</v>
      </c>
      <c r="BJ299" s="136" t="str">
        <f>IF($D299&lt;&gt;"Feature",".",
IF(VLOOKUP($B299,Feature_List!$A:$AM,MATCH(BJ$1,  Feature_List!$A$1:$AM$1,0),0)=B299,".","NO"))</f>
        <v>.</v>
      </c>
      <c r="BK299" s="136"/>
      <c r="BL299" s="136"/>
      <c r="BM299" s="136" t="str">
        <f>IF($D299&lt;&gt;"Feature",".",
IF(VLOOKUP($B299,Feature_List!$A:$AM,MATCH(BM$1,  Feature_List!$A$1:$AM$1,0),0)=E299,".","NO"))</f>
        <v>.</v>
      </c>
      <c r="BN299" s="136" t="str">
        <f>IF($D299&lt;&gt;"Feature",".",
IF(VLOOKUP($B299,Feature_List!$A:$AM,MATCH(BN$1,  Feature_List!$A$1:$AM$1,0),0)=F299,".","NO"))</f>
        <v>.</v>
      </c>
      <c r="BO299" s="136" t="str">
        <f>IF($D299&lt;&gt;"Feature",".",
IF(VLOOKUP($B299,Feature_List!$A:$AM,MATCH(BO$1,  Feature_List!$A$1:$AM$1,0),0)=G299,".","NO"))</f>
        <v>.</v>
      </c>
      <c r="BP299" s="136" t="str">
        <f>IF($D299&lt;&gt;"Feature",".",
IF(VLOOKUP($B299,Feature_List!$A:$AM,MATCH(BP$1,  Feature_List!$A$1:$AM$1,0),0)=H299,".","NO"))</f>
        <v>.</v>
      </c>
      <c r="BQ299" s="136"/>
      <c r="BR299" s="136" t="str">
        <f>IF($D299&lt;&gt;"Feature",".",
IF(VLOOKUP($B299,Feature_List!$A:$AM,MATCH(BR$1,  Feature_List!$A$1:$AM$1,0),0)=J299,".","NO"))</f>
        <v>.</v>
      </c>
      <c r="BS299" s="136"/>
      <c r="BT299" s="136"/>
      <c r="BU299" s="136" t="str">
        <f>IF($D299&lt;&gt;"Feature",".",
IF(VLOOKUP($B299,Feature_List!$A:$AM,MATCH(BU$1,  Feature_List!$A$1:$AM$1,0),0)=M299,".","NO"))</f>
        <v>.</v>
      </c>
      <c r="BV299" s="136" t="str">
        <f>IF($D299&lt;&gt;"Feature",".",
IF(VLOOKUP($B299,Feature_List!$A:$AM,MATCH(BV$1,  Feature_List!$A$1:$AM$1,0),0)=N299,".","NO"))</f>
        <v>.</v>
      </c>
      <c r="BW299" s="136"/>
      <c r="BX299" s="136"/>
      <c r="BY299" s="136"/>
      <c r="BZ299" s="136"/>
      <c r="CA299" s="136"/>
      <c r="CB299" s="136" t="str">
        <f>IF($D299&lt;&gt;"Feature",".",
IF(VLOOKUP($B299,Feature_List!$A:$AM,MATCH(CB$1,  Feature_List!$A$1:$AM$1,0),0)=T299,".","NO"))</f>
        <v>.</v>
      </c>
      <c r="CC299" s="136"/>
      <c r="CD299" s="136"/>
      <c r="CE299" s="136"/>
      <c r="CF299" s="136"/>
      <c r="CG299" s="136"/>
      <c r="CH299" s="136"/>
      <c r="CI299" s="136"/>
      <c r="CJ299" s="136"/>
      <c r="CK299" s="136"/>
      <c r="CL299" s="136"/>
      <c r="CM299" s="136"/>
      <c r="CN299" s="136"/>
      <c r="CO299" s="136" t="str">
        <f>IF($D299&lt;&gt;"Feature",".",
IF(VLOOKUP($B299,Feature_List!$A:$AM,MATCH(CO$1,  Feature_List!$A$1:$AM$1,0),0)=AG299,".","NO"))</f>
        <v>.</v>
      </c>
      <c r="CP299" s="136" t="str">
        <f>IF($D299&lt;&gt;"Feature",".",
IF(VLOOKUP($B299,Feature_List!$A:$AM,MATCH(CP$1,  Feature_List!$A$1:$AM$1,0),0)=AH299,".","NO"))</f>
        <v>.</v>
      </c>
      <c r="CQ299" s="136" t="str">
        <f>IF($D299&lt;&gt;"Feature",".",
IF(VLOOKUP($B299,Feature_List!$A:$AM,MATCH(CQ$1,  Feature_List!$A$1:$AM$1,0),0)=AI299,".","NO"))</f>
        <v>.</v>
      </c>
      <c r="CR299" s="136" t="str">
        <f>IF($D299&lt;&gt;"Feature",".",
IF(VLOOKUP($B299,Feature_List!$A:$AM,MATCH(CR$1,  Feature_List!$A$1:$AM$1,0),0)=AJ299,".","NO"))</f>
        <v>.</v>
      </c>
      <c r="CS299" s="136" t="str">
        <f>IF($D299&lt;&gt;"Feature",".",
IF(VLOOKUP($B299,Feature_List!$A:$AM,MATCH(CS$1,  Feature_List!$A$1:$AM$1,0),0)=AK299,".","NO"))</f>
        <v>.</v>
      </c>
      <c r="CT299" s="136" t="str">
        <f>IF($D299&lt;&gt;"Feature",".",
IF(VLOOKUP($B299,Feature_List!$A:$AM,MATCH(CT$1,  Feature_List!$A$1:$AM$1,0),0)=AL299,".","NO"))</f>
        <v>.</v>
      </c>
      <c r="CU299" s="136" t="str">
        <f>IF($D299&lt;&gt;"Feature",".",
IF(VLOOKUP($B299,Feature_List!$A:$AM,MATCH(CU$1,  Feature_List!$A$1:$AM$1,0),0)=AM299,".","NO"))</f>
        <v>.</v>
      </c>
      <c r="CV299" s="136" t="str">
        <f>IF($D299&lt;&gt;"Feature",".",
IF(VLOOKUP($B299,Feature_List!$A:$AM,MATCH(CV$1,  Feature_List!$A$1:$AM$1,0),0)=AN299,".","NO"))</f>
        <v>.</v>
      </c>
      <c r="CW299" s="136" t="str">
        <f>IF($D299&lt;&gt;"Feature",".",
IF(VLOOKUP($B299,Feature_List!$A:$AM,MATCH(CW$1,  Feature_List!$A$1:$AM$1,0),0)=AO299,".","NO"))</f>
        <v>.</v>
      </c>
      <c r="CX299" s="136" t="str">
        <f>IF($D299&lt;&gt;"Feature",".",
IF(VLOOKUP($B299,Feature_List!$A:$AM,MATCH(CX$1,  Feature_List!$A$1:$AM$1,0),0)=AP299,".","NO"))</f>
        <v>.</v>
      </c>
      <c r="CY299" s="136" t="str">
        <f>IF($D299&lt;&gt;"Feature",".",
IF(VLOOKUP($B299,Feature_List!$A:$AM,MATCH(CY$1,  Feature_List!$A$1:$AM$1,0),0)=AQ299,".","NO"))</f>
        <v>.</v>
      </c>
      <c r="CZ299" s="136" t="str">
        <f>IF($D299&lt;&gt;"Feature",".",
IF(VLOOKUP($B299,Feature_List!$A:$AM,MATCH(CZ$1,  Feature_List!$A$1:$AM$1,0),0)=AR299,".","NO"))</f>
        <v>.</v>
      </c>
      <c r="DA299" s="136" t="str">
        <f>IF($D299&lt;&gt;"Feature",".",
IF(VLOOKUP($B299,Feature_List!$A:$AM,MATCH(DA$1,  Feature_List!$A$1:$AM$1,0),0)=AS299,".","NO"))</f>
        <v>.</v>
      </c>
      <c r="DB299" s="136" t="str">
        <f>IF($D299&lt;&gt;"Feature",".",
IF(VLOOKUP($B299,Feature_List!$A:$AM,MATCH(DB$1,  Feature_List!$A$1:$AM$1,0),0)=AT299,".","NO"))</f>
        <v>.</v>
      </c>
      <c r="DC299" s="136" t="str">
        <f>IF($D299&lt;&gt;"Feature",".",
IF(VLOOKUP($B299,Feature_List!$A:$AM,MATCH(DC$1,  Feature_List!$A$1:$AM$1,0),0)=AU299,".","NO"))</f>
        <v>.</v>
      </c>
      <c r="DD299" s="136" t="str">
        <f>IF($D299&lt;&gt;"Feature",".",
IF(VLOOKUP($B299,Feature_List!$A:$AM,MATCH(DD$1,  Feature_List!$A$1:$AM$1,0),0)=AV299,".","NO"))</f>
        <v>.</v>
      </c>
      <c r="DE299" s="136" t="str">
        <f>IF($D299&lt;&gt;"Feature",".",
IF(VLOOKUP($B299,Feature_List!$A:$AM,MATCH(DE$1,  Feature_List!$A$1:$AM$1,0),0)=AW299,".","NO"))</f>
        <v>.</v>
      </c>
      <c r="DF299" s="136" t="str">
        <f>IF($D299&lt;&gt;"Feature",".",
IF(VLOOKUP($B299,Feature_List!$A:$AM,MATCH(DF$1,  Feature_List!$A$1:$AM$1,0),0)=AX299,".","NO"))</f>
        <v>.</v>
      </c>
      <c r="DG299" s="136" t="str">
        <f>IF($D299&lt;&gt;"Feature",".",
IF(VLOOKUP($B299,Feature_List!$A:$AM,MATCH(DG$1,  Feature_List!$A$1:$AM$1,0),0)=AY299,".","NO"))</f>
        <v>.</v>
      </c>
      <c r="DH299" s="136" t="str">
        <f>IF($D299&lt;&gt;"Feature",".",
IF(VLOOKUP($B299,Feature_List!$A:$AM,MATCH(DH$1,  Feature_List!$A$1:$AM$1,0),0)=AZ299,".","NO"))</f>
        <v>.</v>
      </c>
      <c r="DI299" s="136" t="str">
        <f>IF($D299&lt;&gt;"Feature",".",
IF(VLOOKUP($B299,Feature_List!$A:$AM,MATCH(DI$1,  Feature_List!$A$1:$AM$1,0),0)=BA299,".","NO"))</f>
        <v>.</v>
      </c>
      <c r="DJ299" s="136" t="str">
        <f>IF($D299&lt;&gt;"Feature",".",
IF(VLOOKUP($B299,Feature_List!$A:$AM,MATCH(DJ$1,  Feature_List!$A$1:$AM$1,0),0)=BB299,".","NO"))</f>
        <v>.</v>
      </c>
      <c r="DK299" s="136"/>
      <c r="DL299" s="136"/>
      <c r="DM299" s="136"/>
      <c r="DN299" s="136" t="str">
        <f>IF($D299&lt;&gt;"Feature",".",
IF(VLOOKUP($B299,Feature_List!$A:$AM,MATCH(DN$1,  Feature_List!$A$1:$AM$1,0),0)=BC299,".","NO"))</f>
        <v>.</v>
      </c>
      <c r="DO299" s="136" t="str">
        <f>IF($D299&lt;&gt;"Feature",".",
IF(VLOOKUP($B299,Feature_List!$A:$AM,MATCH(DO$1,  Feature_List!$A$1:$AM$1,0),0)=BD299,".","NO"))</f>
        <v>.</v>
      </c>
    </row>
    <row r="300" spans="2:119" x14ac:dyDescent="0.3">
      <c r="B300" s="121"/>
      <c r="C300" s="123"/>
      <c r="D300" s="122"/>
      <c r="E300" s="122"/>
      <c r="F300" s="123"/>
      <c r="G300" s="123"/>
      <c r="H300" s="122"/>
      <c r="I300" s="122"/>
      <c r="J300" s="123"/>
      <c r="K300" s="123"/>
      <c r="L300" s="122"/>
      <c r="M300" s="122"/>
      <c r="N300" s="122"/>
      <c r="O300" s="123">
        <f t="shared" si="150"/>
        <v>0</v>
      </c>
      <c r="P300" s="123">
        <f t="shared" si="151"/>
        <v>0</v>
      </c>
      <c r="Q300" s="122" t="str">
        <f t="shared" si="172"/>
        <v>ZeroEntry</v>
      </c>
      <c r="R300" s="126" t="str">
        <f t="shared" si="152"/>
        <v>ZeroEntry</v>
      </c>
      <c r="S300" s="127" t="str">
        <f t="shared" si="153"/>
        <v>ZeroEntry</v>
      </c>
      <c r="T300" s="128" t="str">
        <f>IF($Q300="ZeroEntry", "",VLOOKUP($I300,'Ranking Lookup'!#REF!,2,FALSE))</f>
        <v/>
      </c>
      <c r="U300" s="129" t="str">
        <f t="shared" si="154"/>
        <v/>
      </c>
      <c r="V300" s="129" t="str">
        <f t="shared" si="155"/>
        <v/>
      </c>
      <c r="W300" s="129" t="str">
        <f t="shared" si="156"/>
        <v/>
      </c>
      <c r="X300" s="129" t="str">
        <f t="shared" si="157"/>
        <v/>
      </c>
      <c r="Y300" s="129" t="str">
        <f t="shared" si="158"/>
        <v/>
      </c>
      <c r="Z300" s="129" t="str">
        <f t="shared" si="159"/>
        <v/>
      </c>
      <c r="AA300" s="130"/>
      <c r="AB300" s="130" t="str">
        <f t="shared" si="160"/>
        <v>Unassigned</v>
      </c>
      <c r="AC300" s="131" t="str">
        <f t="shared" si="173"/>
        <v/>
      </c>
      <c r="AD300" s="131" t="str">
        <f t="shared" si="174"/>
        <v/>
      </c>
      <c r="AE300" s="132">
        <f t="shared" si="161"/>
        <v>0</v>
      </c>
      <c r="AF300" s="133" t="str">
        <f t="shared" si="175"/>
        <v/>
      </c>
      <c r="AG300" s="134">
        <f t="shared" si="162"/>
        <v>0</v>
      </c>
      <c r="AH300" s="54" t="str">
        <f t="shared" si="163"/>
        <v/>
      </c>
      <c r="AI300" s="54" t="str">
        <f t="shared" si="182"/>
        <v/>
      </c>
      <c r="AJ300" s="54" t="str">
        <f t="shared" si="182"/>
        <v/>
      </c>
      <c r="AK300" s="54" t="str">
        <f t="shared" si="182"/>
        <v/>
      </c>
      <c r="AL300" s="54" t="str">
        <f t="shared" si="182"/>
        <v/>
      </c>
      <c r="AM300" s="54" t="str">
        <f t="shared" si="182"/>
        <v/>
      </c>
      <c r="AN300" s="54" t="str">
        <f t="shared" si="182"/>
        <v/>
      </c>
      <c r="AO300" s="54" t="str">
        <f t="shared" si="182"/>
        <v/>
      </c>
      <c r="AP300" s="54" t="str">
        <f t="shared" si="182"/>
        <v/>
      </c>
      <c r="AQ300" s="54" t="str">
        <f t="shared" si="182"/>
        <v/>
      </c>
      <c r="AR300" s="54" t="str">
        <f t="shared" si="182"/>
        <v/>
      </c>
      <c r="AS300" s="54" t="str">
        <f t="shared" si="182"/>
        <v/>
      </c>
      <c r="AT300" s="54" t="str">
        <f t="shared" si="182"/>
        <v/>
      </c>
      <c r="AU300" s="54" t="str">
        <f t="shared" si="182"/>
        <v/>
      </c>
      <c r="AV300" s="54" t="str">
        <f t="shared" si="182"/>
        <v/>
      </c>
      <c r="AW300" s="54" t="str">
        <f t="shared" si="182"/>
        <v/>
      </c>
      <c r="AX300" s="54" t="str">
        <f t="shared" si="182"/>
        <v/>
      </c>
      <c r="AY300" s="54" t="str">
        <f t="shared" si="177"/>
        <v/>
      </c>
      <c r="AZ300" s="54" t="str">
        <f t="shared" si="165"/>
        <v/>
      </c>
      <c r="BA300" s="54" t="str">
        <f t="shared" si="166"/>
        <v/>
      </c>
      <c r="BB300" s="135" t="str">
        <f t="shared" si="167"/>
        <v/>
      </c>
      <c r="BC300" s="54" t="str">
        <f t="shared" si="180"/>
        <v/>
      </c>
      <c r="BD300" s="54" t="str">
        <f t="shared" si="180"/>
        <v/>
      </c>
      <c r="BE300" s="54" t="str">
        <f t="shared" si="180"/>
        <v/>
      </c>
      <c r="BF300" s="54" t="str">
        <f t="shared" si="168"/>
        <v/>
      </c>
      <c r="BG300" s="54" t="str">
        <f t="shared" si="169"/>
        <v/>
      </c>
      <c r="BH300" s="34" t="str">
        <f t="shared" si="170"/>
        <v>Bad</v>
      </c>
      <c r="BI300" s="34" t="str">
        <f t="shared" si="171"/>
        <v>No</v>
      </c>
      <c r="BJ300" s="136" t="str">
        <f>IF($D300&lt;&gt;"Feature",".",
IF(VLOOKUP($B300,Feature_List!$A:$AM,MATCH(BJ$1,  Feature_List!$A$1:$AM$1,0),0)=B300,".","NO"))</f>
        <v>.</v>
      </c>
      <c r="BK300" s="136"/>
      <c r="BL300" s="136"/>
      <c r="BM300" s="136" t="str">
        <f>IF($D300&lt;&gt;"Feature",".",
IF(VLOOKUP($B300,Feature_List!$A:$AM,MATCH(BM$1,  Feature_List!$A$1:$AM$1,0),0)=E300,".","NO"))</f>
        <v>.</v>
      </c>
      <c r="BN300" s="136" t="str">
        <f>IF($D300&lt;&gt;"Feature",".",
IF(VLOOKUP($B300,Feature_List!$A:$AM,MATCH(BN$1,  Feature_List!$A$1:$AM$1,0),0)=F300,".","NO"))</f>
        <v>.</v>
      </c>
      <c r="BO300" s="136" t="str">
        <f>IF($D300&lt;&gt;"Feature",".",
IF(VLOOKUP($B300,Feature_List!$A:$AM,MATCH(BO$1,  Feature_List!$A$1:$AM$1,0),0)=G300,".","NO"))</f>
        <v>.</v>
      </c>
      <c r="BP300" s="136" t="str">
        <f>IF($D300&lt;&gt;"Feature",".",
IF(VLOOKUP($B300,Feature_List!$A:$AM,MATCH(BP$1,  Feature_List!$A$1:$AM$1,0),0)=H300,".","NO"))</f>
        <v>.</v>
      </c>
      <c r="BQ300" s="136"/>
      <c r="BR300" s="136" t="str">
        <f>IF($D300&lt;&gt;"Feature",".",
IF(VLOOKUP($B300,Feature_List!$A:$AM,MATCH(BR$1,  Feature_List!$A$1:$AM$1,0),0)=J300,".","NO"))</f>
        <v>.</v>
      </c>
      <c r="BS300" s="136"/>
      <c r="BT300" s="136"/>
      <c r="BU300" s="136" t="str">
        <f>IF($D300&lt;&gt;"Feature",".",
IF(VLOOKUP($B300,Feature_List!$A:$AM,MATCH(BU$1,  Feature_List!$A$1:$AM$1,0),0)=M300,".","NO"))</f>
        <v>.</v>
      </c>
      <c r="BV300" s="136" t="str">
        <f>IF($D300&lt;&gt;"Feature",".",
IF(VLOOKUP($B300,Feature_List!$A:$AM,MATCH(BV$1,  Feature_List!$A$1:$AM$1,0),0)=N300,".","NO"))</f>
        <v>.</v>
      </c>
      <c r="BW300" s="136"/>
      <c r="BX300" s="136"/>
      <c r="BY300" s="136"/>
      <c r="BZ300" s="136"/>
      <c r="CA300" s="136"/>
      <c r="CB300" s="136" t="str">
        <f>IF($D300&lt;&gt;"Feature",".",
IF(VLOOKUP($B300,Feature_List!$A:$AM,MATCH(CB$1,  Feature_List!$A$1:$AM$1,0),0)=T300,".","NO"))</f>
        <v>.</v>
      </c>
      <c r="CC300" s="136"/>
      <c r="CD300" s="136"/>
      <c r="CE300" s="136"/>
      <c r="CF300" s="136"/>
      <c r="CG300" s="136"/>
      <c r="CH300" s="136"/>
      <c r="CI300" s="136"/>
      <c r="CJ300" s="136"/>
      <c r="CK300" s="136"/>
      <c r="CL300" s="136"/>
      <c r="CM300" s="136"/>
      <c r="CN300" s="136"/>
      <c r="CO300" s="136" t="str">
        <f>IF($D300&lt;&gt;"Feature",".",
IF(VLOOKUP($B300,Feature_List!$A:$AM,MATCH(CO$1,  Feature_List!$A$1:$AM$1,0),0)=AG300,".","NO"))</f>
        <v>.</v>
      </c>
      <c r="CP300" s="136" t="str">
        <f>IF($D300&lt;&gt;"Feature",".",
IF(VLOOKUP($B300,Feature_List!$A:$AM,MATCH(CP$1,  Feature_List!$A$1:$AM$1,0),0)=AH300,".","NO"))</f>
        <v>.</v>
      </c>
      <c r="CQ300" s="136" t="str">
        <f>IF($D300&lt;&gt;"Feature",".",
IF(VLOOKUP($B300,Feature_List!$A:$AM,MATCH(CQ$1,  Feature_List!$A$1:$AM$1,0),0)=AI300,".","NO"))</f>
        <v>.</v>
      </c>
      <c r="CR300" s="136" t="str">
        <f>IF($D300&lt;&gt;"Feature",".",
IF(VLOOKUP($B300,Feature_List!$A:$AM,MATCH(CR$1,  Feature_List!$A$1:$AM$1,0),0)=AJ300,".","NO"))</f>
        <v>.</v>
      </c>
      <c r="CS300" s="136" t="str">
        <f>IF($D300&lt;&gt;"Feature",".",
IF(VLOOKUP($B300,Feature_List!$A:$AM,MATCH(CS$1,  Feature_List!$A$1:$AM$1,0),0)=AK300,".","NO"))</f>
        <v>.</v>
      </c>
      <c r="CT300" s="136" t="str">
        <f>IF($D300&lt;&gt;"Feature",".",
IF(VLOOKUP($B300,Feature_List!$A:$AM,MATCH(CT$1,  Feature_List!$A$1:$AM$1,0),0)=AL300,".","NO"))</f>
        <v>.</v>
      </c>
      <c r="CU300" s="136" t="str">
        <f>IF($D300&lt;&gt;"Feature",".",
IF(VLOOKUP($B300,Feature_List!$A:$AM,MATCH(CU$1,  Feature_List!$A$1:$AM$1,0),0)=AM300,".","NO"))</f>
        <v>.</v>
      </c>
      <c r="CV300" s="136" t="str">
        <f>IF($D300&lt;&gt;"Feature",".",
IF(VLOOKUP($B300,Feature_List!$A:$AM,MATCH(CV$1,  Feature_List!$A$1:$AM$1,0),0)=AN300,".","NO"))</f>
        <v>.</v>
      </c>
      <c r="CW300" s="136" t="str">
        <f>IF($D300&lt;&gt;"Feature",".",
IF(VLOOKUP($B300,Feature_List!$A:$AM,MATCH(CW$1,  Feature_List!$A$1:$AM$1,0),0)=AO300,".","NO"))</f>
        <v>.</v>
      </c>
      <c r="CX300" s="136" t="str">
        <f>IF($D300&lt;&gt;"Feature",".",
IF(VLOOKUP($B300,Feature_List!$A:$AM,MATCH(CX$1,  Feature_List!$A$1:$AM$1,0),0)=AP300,".","NO"))</f>
        <v>.</v>
      </c>
      <c r="CY300" s="136" t="str">
        <f>IF($D300&lt;&gt;"Feature",".",
IF(VLOOKUP($B300,Feature_List!$A:$AM,MATCH(CY$1,  Feature_List!$A$1:$AM$1,0),0)=AQ300,".","NO"))</f>
        <v>.</v>
      </c>
      <c r="CZ300" s="136" t="str">
        <f>IF($D300&lt;&gt;"Feature",".",
IF(VLOOKUP($B300,Feature_List!$A:$AM,MATCH(CZ$1,  Feature_List!$A$1:$AM$1,0),0)=AR300,".","NO"))</f>
        <v>.</v>
      </c>
      <c r="DA300" s="136" t="str">
        <f>IF($D300&lt;&gt;"Feature",".",
IF(VLOOKUP($B300,Feature_List!$A:$AM,MATCH(DA$1,  Feature_List!$A$1:$AM$1,0),0)=AS300,".","NO"))</f>
        <v>.</v>
      </c>
      <c r="DB300" s="136" t="str">
        <f>IF($D300&lt;&gt;"Feature",".",
IF(VLOOKUP($B300,Feature_List!$A:$AM,MATCH(DB$1,  Feature_List!$A$1:$AM$1,0),0)=AT300,".","NO"))</f>
        <v>.</v>
      </c>
      <c r="DC300" s="136" t="str">
        <f>IF($D300&lt;&gt;"Feature",".",
IF(VLOOKUP($B300,Feature_List!$A:$AM,MATCH(DC$1,  Feature_List!$A$1:$AM$1,0),0)=AU300,".","NO"))</f>
        <v>.</v>
      </c>
      <c r="DD300" s="136" t="str">
        <f>IF($D300&lt;&gt;"Feature",".",
IF(VLOOKUP($B300,Feature_List!$A:$AM,MATCH(DD$1,  Feature_List!$A$1:$AM$1,0),0)=AV300,".","NO"))</f>
        <v>.</v>
      </c>
      <c r="DE300" s="136" t="str">
        <f>IF($D300&lt;&gt;"Feature",".",
IF(VLOOKUP($B300,Feature_List!$A:$AM,MATCH(DE$1,  Feature_List!$A$1:$AM$1,0),0)=AW300,".","NO"))</f>
        <v>.</v>
      </c>
      <c r="DF300" s="136" t="str">
        <f>IF($D300&lt;&gt;"Feature",".",
IF(VLOOKUP($B300,Feature_List!$A:$AM,MATCH(DF$1,  Feature_List!$A$1:$AM$1,0),0)=AX300,".","NO"))</f>
        <v>.</v>
      </c>
      <c r="DG300" s="136" t="str">
        <f>IF($D300&lt;&gt;"Feature",".",
IF(VLOOKUP($B300,Feature_List!$A:$AM,MATCH(DG$1,  Feature_List!$A$1:$AM$1,0),0)=AY300,".","NO"))</f>
        <v>.</v>
      </c>
      <c r="DH300" s="136" t="str">
        <f>IF($D300&lt;&gt;"Feature",".",
IF(VLOOKUP($B300,Feature_List!$A:$AM,MATCH(DH$1,  Feature_List!$A$1:$AM$1,0),0)=AZ300,".","NO"))</f>
        <v>.</v>
      </c>
      <c r="DI300" s="136" t="str">
        <f>IF($D300&lt;&gt;"Feature",".",
IF(VLOOKUP($B300,Feature_List!$A:$AM,MATCH(DI$1,  Feature_List!$A$1:$AM$1,0),0)=BA300,".","NO"))</f>
        <v>.</v>
      </c>
      <c r="DJ300" s="136" t="str">
        <f>IF($D300&lt;&gt;"Feature",".",
IF(VLOOKUP($B300,Feature_List!$A:$AM,MATCH(DJ$1,  Feature_List!$A$1:$AM$1,0),0)=BB300,".","NO"))</f>
        <v>.</v>
      </c>
      <c r="DK300" s="136"/>
      <c r="DL300" s="136"/>
      <c r="DM300" s="136"/>
      <c r="DN300" s="136" t="str">
        <f>IF($D300&lt;&gt;"Feature",".",
IF(VLOOKUP($B300,Feature_List!$A:$AM,MATCH(DN$1,  Feature_List!$A$1:$AM$1,0),0)=BC300,".","NO"))</f>
        <v>.</v>
      </c>
      <c r="DO300" s="136" t="str">
        <f>IF($D300&lt;&gt;"Feature",".",
IF(VLOOKUP($B300,Feature_List!$A:$AM,MATCH(DO$1,  Feature_List!$A$1:$AM$1,0),0)=BD300,".","NO"))</f>
        <v>.</v>
      </c>
    </row>
    <row r="301" spans="2:119" x14ac:dyDescent="0.3">
      <c r="B301" s="121"/>
      <c r="C301" s="122"/>
      <c r="D301" s="122"/>
      <c r="E301" s="122"/>
      <c r="F301" s="123"/>
      <c r="G301" s="123"/>
      <c r="H301" s="122"/>
      <c r="I301" s="124"/>
      <c r="J301" s="123"/>
      <c r="K301" s="123"/>
      <c r="L301" s="122"/>
      <c r="M301" s="122"/>
      <c r="N301" s="122"/>
      <c r="O301" s="123">
        <f t="shared" si="150"/>
        <v>0</v>
      </c>
      <c r="P301" s="123">
        <f t="shared" si="151"/>
        <v>0</v>
      </c>
      <c r="Q301" s="122" t="str">
        <f t="shared" si="172"/>
        <v>ZeroEntry</v>
      </c>
      <c r="R301" s="126" t="str">
        <f t="shared" si="152"/>
        <v>ZeroEntry</v>
      </c>
      <c r="S301" s="127" t="str">
        <f t="shared" si="153"/>
        <v>ZeroEntry</v>
      </c>
      <c r="T301" s="128" t="str">
        <f>IF($Q301="ZeroEntry", "",VLOOKUP($I301,'Ranking Lookup'!#REF!,2,FALSE))</f>
        <v/>
      </c>
      <c r="U301" s="129" t="str">
        <f t="shared" si="154"/>
        <v/>
      </c>
      <c r="V301" s="129" t="str">
        <f t="shared" si="155"/>
        <v/>
      </c>
      <c r="W301" s="129" t="str">
        <f t="shared" si="156"/>
        <v/>
      </c>
      <c r="X301" s="129" t="str">
        <f t="shared" si="157"/>
        <v/>
      </c>
      <c r="Y301" s="129" t="str">
        <f t="shared" si="158"/>
        <v/>
      </c>
      <c r="Z301" s="129" t="str">
        <f t="shared" si="159"/>
        <v/>
      </c>
      <c r="AA301" s="130"/>
      <c r="AB301" s="130" t="str">
        <f t="shared" si="160"/>
        <v>Unassigned</v>
      </c>
      <c r="AC301" s="131" t="str">
        <f t="shared" si="173"/>
        <v/>
      </c>
      <c r="AD301" s="131" t="str">
        <f t="shared" si="174"/>
        <v/>
      </c>
      <c r="AE301" s="132">
        <f t="shared" si="161"/>
        <v>0</v>
      </c>
      <c r="AF301" s="133" t="str">
        <f t="shared" si="175"/>
        <v/>
      </c>
      <c r="AG301" s="134">
        <f t="shared" si="162"/>
        <v>0</v>
      </c>
      <c r="AH301" s="54" t="str">
        <f t="shared" si="163"/>
        <v/>
      </c>
      <c r="AI301" s="54" t="str">
        <f t="shared" si="182"/>
        <v/>
      </c>
      <c r="AJ301" s="54" t="str">
        <f t="shared" si="182"/>
        <v/>
      </c>
      <c r="AK301" s="54" t="str">
        <f t="shared" si="182"/>
        <v/>
      </c>
      <c r="AL301" s="54" t="str">
        <f t="shared" si="182"/>
        <v/>
      </c>
      <c r="AM301" s="54" t="str">
        <f t="shared" si="182"/>
        <v/>
      </c>
      <c r="AN301" s="54" t="str">
        <f t="shared" si="182"/>
        <v/>
      </c>
      <c r="AO301" s="54" t="str">
        <f t="shared" si="182"/>
        <v/>
      </c>
      <c r="AP301" s="54" t="str">
        <f t="shared" si="182"/>
        <v/>
      </c>
      <c r="AQ301" s="54" t="str">
        <f t="shared" si="182"/>
        <v/>
      </c>
      <c r="AR301" s="54" t="str">
        <f t="shared" si="182"/>
        <v/>
      </c>
      <c r="AS301" s="54" t="str">
        <f t="shared" si="182"/>
        <v/>
      </c>
      <c r="AT301" s="54" t="str">
        <f t="shared" si="182"/>
        <v/>
      </c>
      <c r="AU301" s="54" t="str">
        <f t="shared" si="182"/>
        <v/>
      </c>
      <c r="AV301" s="54" t="str">
        <f t="shared" si="182"/>
        <v/>
      </c>
      <c r="AW301" s="54" t="str">
        <f t="shared" si="182"/>
        <v/>
      </c>
      <c r="AX301" s="54" t="str">
        <f t="shared" si="182"/>
        <v/>
      </c>
      <c r="AY301" s="54" t="str">
        <f t="shared" si="177"/>
        <v/>
      </c>
      <c r="AZ301" s="54" t="str">
        <f t="shared" si="165"/>
        <v/>
      </c>
      <c r="BA301" s="54" t="str">
        <f t="shared" si="166"/>
        <v/>
      </c>
      <c r="BB301" s="135" t="str">
        <f t="shared" si="167"/>
        <v/>
      </c>
      <c r="BC301" s="54" t="str">
        <f t="shared" si="180"/>
        <v/>
      </c>
      <c r="BD301" s="54" t="str">
        <f t="shared" si="180"/>
        <v/>
      </c>
      <c r="BE301" s="54" t="str">
        <f t="shared" si="180"/>
        <v/>
      </c>
      <c r="BF301" s="54" t="str">
        <f t="shared" si="168"/>
        <v/>
      </c>
      <c r="BG301" s="54" t="str">
        <f t="shared" si="169"/>
        <v/>
      </c>
      <c r="BH301" s="34" t="str">
        <f t="shared" si="170"/>
        <v>Bad</v>
      </c>
      <c r="BI301" s="34" t="str">
        <f t="shared" si="171"/>
        <v>No</v>
      </c>
      <c r="BJ301" s="136" t="str">
        <f>IF($D301&lt;&gt;"Feature",".",
IF(VLOOKUP($B301,Feature_List!$A:$AM,MATCH(BJ$1,  Feature_List!$A$1:$AM$1,0),0)=B301,".","NO"))</f>
        <v>.</v>
      </c>
      <c r="BK301" s="136"/>
      <c r="BL301" s="136"/>
      <c r="BM301" s="136" t="str">
        <f>IF($D301&lt;&gt;"Feature",".",
IF(VLOOKUP($B301,Feature_List!$A:$AM,MATCH(BM$1,  Feature_List!$A$1:$AM$1,0),0)=E301,".","NO"))</f>
        <v>.</v>
      </c>
      <c r="BN301" s="136" t="str">
        <f>IF($D301&lt;&gt;"Feature",".",
IF(VLOOKUP($B301,Feature_List!$A:$AM,MATCH(BN$1,  Feature_List!$A$1:$AM$1,0),0)=F301,".","NO"))</f>
        <v>.</v>
      </c>
      <c r="BO301" s="136" t="str">
        <f>IF($D301&lt;&gt;"Feature",".",
IF(VLOOKUP($B301,Feature_List!$A:$AM,MATCH(BO$1,  Feature_List!$A$1:$AM$1,0),0)=G301,".","NO"))</f>
        <v>.</v>
      </c>
      <c r="BP301" s="136" t="str">
        <f>IF($D301&lt;&gt;"Feature",".",
IF(VLOOKUP($B301,Feature_List!$A:$AM,MATCH(BP$1,  Feature_List!$A$1:$AM$1,0),0)=H301,".","NO"))</f>
        <v>.</v>
      </c>
      <c r="BQ301" s="136"/>
      <c r="BR301" s="136" t="str">
        <f>IF($D301&lt;&gt;"Feature",".",
IF(VLOOKUP($B301,Feature_List!$A:$AM,MATCH(BR$1,  Feature_List!$A$1:$AM$1,0),0)=J301,".","NO"))</f>
        <v>.</v>
      </c>
      <c r="BS301" s="136"/>
      <c r="BT301" s="136"/>
      <c r="BU301" s="136" t="str">
        <f>IF($D301&lt;&gt;"Feature",".",
IF(VLOOKUP($B301,Feature_List!$A:$AM,MATCH(BU$1,  Feature_List!$A$1:$AM$1,0),0)=M301,".","NO"))</f>
        <v>.</v>
      </c>
      <c r="BV301" s="136" t="str">
        <f>IF($D301&lt;&gt;"Feature",".",
IF(VLOOKUP($B301,Feature_List!$A:$AM,MATCH(BV$1,  Feature_List!$A$1:$AM$1,0),0)=N301,".","NO"))</f>
        <v>.</v>
      </c>
      <c r="BW301" s="136"/>
      <c r="BX301" s="136"/>
      <c r="BY301" s="136"/>
      <c r="BZ301" s="136"/>
      <c r="CA301" s="136"/>
      <c r="CB301" s="136" t="str">
        <f>IF($D301&lt;&gt;"Feature",".",
IF(VLOOKUP($B301,Feature_List!$A:$AM,MATCH(CB$1,  Feature_List!$A$1:$AM$1,0),0)=T301,".","NO"))</f>
        <v>.</v>
      </c>
      <c r="CC301" s="136"/>
      <c r="CD301" s="136"/>
      <c r="CE301" s="136"/>
      <c r="CF301" s="136"/>
      <c r="CG301" s="136"/>
      <c r="CH301" s="136"/>
      <c r="CI301" s="136"/>
      <c r="CJ301" s="136"/>
      <c r="CK301" s="136"/>
      <c r="CL301" s="136"/>
      <c r="CM301" s="136"/>
      <c r="CN301" s="136"/>
      <c r="CO301" s="136" t="str">
        <f>IF($D301&lt;&gt;"Feature",".",
IF(VLOOKUP($B301,Feature_List!$A:$AM,MATCH(CO$1,  Feature_List!$A$1:$AM$1,0),0)=AG301,".","NO"))</f>
        <v>.</v>
      </c>
      <c r="CP301" s="136" t="str">
        <f>IF($D301&lt;&gt;"Feature",".",
IF(VLOOKUP($B301,Feature_List!$A:$AM,MATCH(CP$1,  Feature_List!$A$1:$AM$1,0),0)=AH301,".","NO"))</f>
        <v>.</v>
      </c>
      <c r="CQ301" s="136" t="str">
        <f>IF($D301&lt;&gt;"Feature",".",
IF(VLOOKUP($B301,Feature_List!$A:$AM,MATCH(CQ$1,  Feature_List!$A$1:$AM$1,0),0)=AI301,".","NO"))</f>
        <v>.</v>
      </c>
      <c r="CR301" s="136" t="str">
        <f>IF($D301&lt;&gt;"Feature",".",
IF(VLOOKUP($B301,Feature_List!$A:$AM,MATCH(CR$1,  Feature_List!$A$1:$AM$1,0),0)=AJ301,".","NO"))</f>
        <v>.</v>
      </c>
      <c r="CS301" s="136" t="str">
        <f>IF($D301&lt;&gt;"Feature",".",
IF(VLOOKUP($B301,Feature_List!$A:$AM,MATCH(CS$1,  Feature_List!$A$1:$AM$1,0),0)=AK301,".","NO"))</f>
        <v>.</v>
      </c>
      <c r="CT301" s="136" t="str">
        <f>IF($D301&lt;&gt;"Feature",".",
IF(VLOOKUP($B301,Feature_List!$A:$AM,MATCH(CT$1,  Feature_List!$A$1:$AM$1,0),0)=AL301,".","NO"))</f>
        <v>.</v>
      </c>
      <c r="CU301" s="136" t="str">
        <f>IF($D301&lt;&gt;"Feature",".",
IF(VLOOKUP($B301,Feature_List!$A:$AM,MATCH(CU$1,  Feature_List!$A$1:$AM$1,0),0)=AM301,".","NO"))</f>
        <v>.</v>
      </c>
      <c r="CV301" s="136" t="str">
        <f>IF($D301&lt;&gt;"Feature",".",
IF(VLOOKUP($B301,Feature_List!$A:$AM,MATCH(CV$1,  Feature_List!$A$1:$AM$1,0),0)=AN301,".","NO"))</f>
        <v>.</v>
      </c>
      <c r="CW301" s="136" t="str">
        <f>IF($D301&lt;&gt;"Feature",".",
IF(VLOOKUP($B301,Feature_List!$A:$AM,MATCH(CW$1,  Feature_List!$A$1:$AM$1,0),0)=AO301,".","NO"))</f>
        <v>.</v>
      </c>
      <c r="CX301" s="136" t="str">
        <f>IF($D301&lt;&gt;"Feature",".",
IF(VLOOKUP($B301,Feature_List!$A:$AM,MATCH(CX$1,  Feature_List!$A$1:$AM$1,0),0)=AP301,".","NO"))</f>
        <v>.</v>
      </c>
      <c r="CY301" s="136" t="str">
        <f>IF($D301&lt;&gt;"Feature",".",
IF(VLOOKUP($B301,Feature_List!$A:$AM,MATCH(CY$1,  Feature_List!$A$1:$AM$1,0),0)=AQ301,".","NO"))</f>
        <v>.</v>
      </c>
      <c r="CZ301" s="136" t="str">
        <f>IF($D301&lt;&gt;"Feature",".",
IF(VLOOKUP($B301,Feature_List!$A:$AM,MATCH(CZ$1,  Feature_List!$A$1:$AM$1,0),0)=AR301,".","NO"))</f>
        <v>.</v>
      </c>
      <c r="DA301" s="136" t="str">
        <f>IF($D301&lt;&gt;"Feature",".",
IF(VLOOKUP($B301,Feature_List!$A:$AM,MATCH(DA$1,  Feature_List!$A$1:$AM$1,0),0)=AS301,".","NO"))</f>
        <v>.</v>
      </c>
      <c r="DB301" s="136" t="str">
        <f>IF($D301&lt;&gt;"Feature",".",
IF(VLOOKUP($B301,Feature_List!$A:$AM,MATCH(DB$1,  Feature_List!$A$1:$AM$1,0),0)=AT301,".","NO"))</f>
        <v>.</v>
      </c>
      <c r="DC301" s="136" t="str">
        <f>IF($D301&lt;&gt;"Feature",".",
IF(VLOOKUP($B301,Feature_List!$A:$AM,MATCH(DC$1,  Feature_List!$A$1:$AM$1,0),0)=AU301,".","NO"))</f>
        <v>.</v>
      </c>
      <c r="DD301" s="136" t="str">
        <f>IF($D301&lt;&gt;"Feature",".",
IF(VLOOKUP($B301,Feature_List!$A:$AM,MATCH(DD$1,  Feature_List!$A$1:$AM$1,0),0)=AV301,".","NO"))</f>
        <v>.</v>
      </c>
      <c r="DE301" s="136" t="str">
        <f>IF($D301&lt;&gt;"Feature",".",
IF(VLOOKUP($B301,Feature_List!$A:$AM,MATCH(DE$1,  Feature_List!$A$1:$AM$1,0),0)=AW301,".","NO"))</f>
        <v>.</v>
      </c>
      <c r="DF301" s="136" t="str">
        <f>IF($D301&lt;&gt;"Feature",".",
IF(VLOOKUP($B301,Feature_List!$A:$AM,MATCH(DF$1,  Feature_List!$A$1:$AM$1,0),0)=AX301,".","NO"))</f>
        <v>.</v>
      </c>
      <c r="DG301" s="136" t="str">
        <f>IF($D301&lt;&gt;"Feature",".",
IF(VLOOKUP($B301,Feature_List!$A:$AM,MATCH(DG$1,  Feature_List!$A$1:$AM$1,0),0)=AY301,".","NO"))</f>
        <v>.</v>
      </c>
      <c r="DH301" s="136" t="str">
        <f>IF($D301&lt;&gt;"Feature",".",
IF(VLOOKUP($B301,Feature_List!$A:$AM,MATCH(DH$1,  Feature_List!$A$1:$AM$1,0),0)=AZ301,".","NO"))</f>
        <v>.</v>
      </c>
      <c r="DI301" s="136" t="str">
        <f>IF($D301&lt;&gt;"Feature",".",
IF(VLOOKUP($B301,Feature_List!$A:$AM,MATCH(DI$1,  Feature_List!$A$1:$AM$1,0),0)=BA301,".","NO"))</f>
        <v>.</v>
      </c>
      <c r="DJ301" s="136" t="str">
        <f>IF($D301&lt;&gt;"Feature",".",
IF(VLOOKUP($B301,Feature_List!$A:$AM,MATCH(DJ$1,  Feature_List!$A$1:$AM$1,0),0)=BB301,".","NO"))</f>
        <v>.</v>
      </c>
      <c r="DK301" s="136"/>
      <c r="DL301" s="136"/>
      <c r="DM301" s="136"/>
      <c r="DN301" s="136" t="str">
        <f>IF($D301&lt;&gt;"Feature",".",
IF(VLOOKUP($B301,Feature_List!$A:$AM,MATCH(DN$1,  Feature_List!$A$1:$AM$1,0),0)=BC301,".","NO"))</f>
        <v>.</v>
      </c>
      <c r="DO301" s="136" t="str">
        <f>IF($D301&lt;&gt;"Feature",".",
IF(VLOOKUP($B301,Feature_List!$A:$AM,MATCH(DO$1,  Feature_List!$A$1:$AM$1,0),0)=BD301,".","NO"))</f>
        <v>.</v>
      </c>
    </row>
    <row r="302" spans="2:119" x14ac:dyDescent="0.3">
      <c r="B302" s="121"/>
      <c r="C302" s="122"/>
      <c r="D302" s="122"/>
      <c r="E302" s="122"/>
      <c r="F302" s="123"/>
      <c r="G302" s="123"/>
      <c r="H302" s="122"/>
      <c r="I302" s="124"/>
      <c r="J302" s="123"/>
      <c r="K302" s="123"/>
      <c r="L302" s="122"/>
      <c r="M302" s="122"/>
      <c r="N302" s="122"/>
      <c r="O302" s="123">
        <f t="shared" si="150"/>
        <v>0</v>
      </c>
      <c r="P302" s="123">
        <f t="shared" si="151"/>
        <v>0</v>
      </c>
      <c r="Q302" s="122" t="str">
        <f t="shared" si="172"/>
        <v>ZeroEntry</v>
      </c>
      <c r="R302" s="126" t="str">
        <f t="shared" si="152"/>
        <v>ZeroEntry</v>
      </c>
      <c r="S302" s="127" t="str">
        <f t="shared" si="153"/>
        <v>ZeroEntry</v>
      </c>
      <c r="T302" s="128" t="str">
        <f>IF($Q302="ZeroEntry", "",VLOOKUP($I302,'Ranking Lookup'!#REF!,2,FALSE))</f>
        <v/>
      </c>
      <c r="U302" s="129" t="str">
        <f t="shared" si="154"/>
        <v/>
      </c>
      <c r="V302" s="129" t="str">
        <f t="shared" si="155"/>
        <v/>
      </c>
      <c r="W302" s="129" t="str">
        <f t="shared" si="156"/>
        <v/>
      </c>
      <c r="X302" s="129" t="str">
        <f t="shared" si="157"/>
        <v/>
      </c>
      <c r="Y302" s="129" t="str">
        <f t="shared" si="158"/>
        <v/>
      </c>
      <c r="Z302" s="129" t="str">
        <f t="shared" si="159"/>
        <v/>
      </c>
      <c r="AA302" s="130"/>
      <c r="AB302" s="130" t="str">
        <f t="shared" si="160"/>
        <v>Unassigned</v>
      </c>
      <c r="AC302" s="131" t="str">
        <f t="shared" si="173"/>
        <v/>
      </c>
      <c r="AD302" s="131" t="str">
        <f t="shared" si="174"/>
        <v/>
      </c>
      <c r="AE302" s="132">
        <f t="shared" si="161"/>
        <v>0</v>
      </c>
      <c r="AF302" s="133" t="str">
        <f t="shared" si="175"/>
        <v/>
      </c>
      <c r="AG302" s="134">
        <f t="shared" si="162"/>
        <v>0</v>
      </c>
      <c r="AH302" s="54" t="str">
        <f t="shared" si="163"/>
        <v/>
      </c>
      <c r="AI302" s="54" t="str">
        <f t="shared" si="182"/>
        <v/>
      </c>
      <c r="AJ302" s="54" t="str">
        <f t="shared" si="182"/>
        <v/>
      </c>
      <c r="AK302" s="54" t="str">
        <f t="shared" si="182"/>
        <v/>
      </c>
      <c r="AL302" s="54" t="str">
        <f t="shared" si="182"/>
        <v/>
      </c>
      <c r="AM302" s="54" t="str">
        <f t="shared" si="182"/>
        <v/>
      </c>
      <c r="AN302" s="54" t="str">
        <f t="shared" si="182"/>
        <v/>
      </c>
      <c r="AO302" s="54" t="str">
        <f t="shared" si="182"/>
        <v/>
      </c>
      <c r="AP302" s="54" t="str">
        <f t="shared" si="182"/>
        <v/>
      </c>
      <c r="AQ302" s="54" t="str">
        <f t="shared" si="182"/>
        <v/>
      </c>
      <c r="AR302" s="54" t="str">
        <f t="shared" si="182"/>
        <v/>
      </c>
      <c r="AS302" s="54" t="str">
        <f t="shared" si="182"/>
        <v/>
      </c>
      <c r="AT302" s="54" t="str">
        <f t="shared" si="182"/>
        <v/>
      </c>
      <c r="AU302" s="54" t="str">
        <f t="shared" si="182"/>
        <v/>
      </c>
      <c r="AV302" s="54" t="str">
        <f t="shared" si="182"/>
        <v/>
      </c>
      <c r="AW302" s="54" t="str">
        <f t="shared" si="182"/>
        <v/>
      </c>
      <c r="AX302" s="54" t="str">
        <f t="shared" si="182"/>
        <v/>
      </c>
      <c r="AY302" s="54" t="str">
        <f t="shared" si="177"/>
        <v/>
      </c>
      <c r="AZ302" s="54" t="str">
        <f t="shared" si="165"/>
        <v/>
      </c>
      <c r="BA302" s="54" t="str">
        <f t="shared" si="166"/>
        <v/>
      </c>
      <c r="BB302" s="135" t="str">
        <f t="shared" si="167"/>
        <v/>
      </c>
      <c r="BC302" s="54" t="str">
        <f t="shared" ref="BC302:BE321" si="183">IF(AND($Q302="Feature",LEFT($AB302,2)="PI"),
IF(AND(COUNTIF($R:$R,$B302)=1,$T302=BC$1), IF($AB302=$A$10,$AF302,0),
IF(OR($AD302&lt;1,RIGHT($G302,8)="Progress"),SUMIFS($O:$O,$R:$R,$B302,$T:$T,BC$1,$P:$P,"&lt;&gt;Done",$AB:$AB,$A$10),
IF($T302=BC$1, IF($AB302=$A$10,$AD302,0)+SUMIFS($O:$O,$R:$R,$B302,$T:$T,BC$1,$P:$P,"&lt;&gt;Done",$AB:$AB,$A$10),SUMIFS($O:$O,$R:$R,$B302,$T:$T,BC$1,$P:$P,"&lt;&gt;Done",$AB:$AB,$A$10)))),
IF(AND(OR($Q302="Story",$Q302="Problem",$Q302="Enhancement"),$AB302=$A$10,$R302=0,$T302=BC$1,$P302&lt;&gt;"Done"),$O302,""))</f>
        <v/>
      </c>
      <c r="BD302" s="54" t="str">
        <f t="shared" si="183"/>
        <v/>
      </c>
      <c r="BE302" s="54" t="str">
        <f t="shared" si="183"/>
        <v/>
      </c>
      <c r="BF302" s="54" t="str">
        <f t="shared" si="168"/>
        <v/>
      </c>
      <c r="BG302" s="54" t="str">
        <f t="shared" si="169"/>
        <v/>
      </c>
      <c r="BH302" s="34" t="str">
        <f t="shared" si="170"/>
        <v>Bad</v>
      </c>
      <c r="BI302" s="34" t="str">
        <f t="shared" si="171"/>
        <v>No</v>
      </c>
      <c r="BJ302" s="136" t="str">
        <f>IF($D302&lt;&gt;"Feature",".",
IF(VLOOKUP($B302,Feature_List!$A:$AM,MATCH(BJ$1,  Feature_List!$A$1:$AM$1,0),0)=B302,".","NO"))</f>
        <v>.</v>
      </c>
      <c r="BK302" s="136"/>
      <c r="BL302" s="136"/>
      <c r="BM302" s="136" t="str">
        <f>IF($D302&lt;&gt;"Feature",".",
IF(VLOOKUP($B302,Feature_List!$A:$AM,MATCH(BM$1,  Feature_List!$A$1:$AM$1,0),0)=E302,".","NO"))</f>
        <v>.</v>
      </c>
      <c r="BN302" s="136" t="str">
        <f>IF($D302&lt;&gt;"Feature",".",
IF(VLOOKUP($B302,Feature_List!$A:$AM,MATCH(BN$1,  Feature_List!$A$1:$AM$1,0),0)=F302,".","NO"))</f>
        <v>.</v>
      </c>
      <c r="BO302" s="136" t="str">
        <f>IF($D302&lt;&gt;"Feature",".",
IF(VLOOKUP($B302,Feature_List!$A:$AM,MATCH(BO$1,  Feature_List!$A$1:$AM$1,0),0)=G302,".","NO"))</f>
        <v>.</v>
      </c>
      <c r="BP302" s="136" t="str">
        <f>IF($D302&lt;&gt;"Feature",".",
IF(VLOOKUP($B302,Feature_List!$A:$AM,MATCH(BP$1,  Feature_List!$A$1:$AM$1,0),0)=H302,".","NO"))</f>
        <v>.</v>
      </c>
      <c r="BQ302" s="136"/>
      <c r="BR302" s="136" t="str">
        <f>IF($D302&lt;&gt;"Feature",".",
IF(VLOOKUP($B302,Feature_List!$A:$AM,MATCH(BR$1,  Feature_List!$A$1:$AM$1,0),0)=J302,".","NO"))</f>
        <v>.</v>
      </c>
      <c r="BS302" s="136"/>
      <c r="BT302" s="136"/>
      <c r="BU302" s="136" t="str">
        <f>IF($D302&lt;&gt;"Feature",".",
IF(VLOOKUP($B302,Feature_List!$A:$AM,MATCH(BU$1,  Feature_List!$A$1:$AM$1,0),0)=M302,".","NO"))</f>
        <v>.</v>
      </c>
      <c r="BV302" s="136" t="str">
        <f>IF($D302&lt;&gt;"Feature",".",
IF(VLOOKUP($B302,Feature_List!$A:$AM,MATCH(BV$1,  Feature_List!$A$1:$AM$1,0),0)=N302,".","NO"))</f>
        <v>.</v>
      </c>
      <c r="BW302" s="136"/>
      <c r="BX302" s="136"/>
      <c r="BY302" s="136"/>
      <c r="BZ302" s="136"/>
      <c r="CA302" s="136"/>
      <c r="CB302" s="136" t="str">
        <f>IF($D302&lt;&gt;"Feature",".",
IF(VLOOKUP($B302,Feature_List!$A:$AM,MATCH(CB$1,  Feature_List!$A$1:$AM$1,0),0)=T302,".","NO"))</f>
        <v>.</v>
      </c>
      <c r="CC302" s="136"/>
      <c r="CD302" s="136"/>
      <c r="CE302" s="136"/>
      <c r="CF302" s="136"/>
      <c r="CG302" s="136"/>
      <c r="CH302" s="136"/>
      <c r="CI302" s="136"/>
      <c r="CJ302" s="136"/>
      <c r="CK302" s="136"/>
      <c r="CL302" s="136"/>
      <c r="CM302" s="136"/>
      <c r="CN302" s="136"/>
      <c r="CO302" s="136" t="str">
        <f>IF($D302&lt;&gt;"Feature",".",
IF(VLOOKUP($B302,Feature_List!$A:$AM,MATCH(CO$1,  Feature_List!$A$1:$AM$1,0),0)=AG302,".","NO"))</f>
        <v>.</v>
      </c>
      <c r="CP302" s="136" t="str">
        <f>IF($D302&lt;&gt;"Feature",".",
IF(VLOOKUP($B302,Feature_List!$A:$AM,MATCH(CP$1,  Feature_List!$A$1:$AM$1,0),0)=AH302,".","NO"))</f>
        <v>.</v>
      </c>
      <c r="CQ302" s="136" t="str">
        <f>IF($D302&lt;&gt;"Feature",".",
IF(VLOOKUP($B302,Feature_List!$A:$AM,MATCH(CQ$1,  Feature_List!$A$1:$AM$1,0),0)=AI302,".","NO"))</f>
        <v>.</v>
      </c>
      <c r="CR302" s="136" t="str">
        <f>IF($D302&lt;&gt;"Feature",".",
IF(VLOOKUP($B302,Feature_List!$A:$AM,MATCH(CR$1,  Feature_List!$A$1:$AM$1,0),0)=AJ302,".","NO"))</f>
        <v>.</v>
      </c>
      <c r="CS302" s="136" t="str">
        <f>IF($D302&lt;&gt;"Feature",".",
IF(VLOOKUP($B302,Feature_List!$A:$AM,MATCH(CS$1,  Feature_List!$A$1:$AM$1,0),0)=AK302,".","NO"))</f>
        <v>.</v>
      </c>
      <c r="CT302" s="136" t="str">
        <f>IF($D302&lt;&gt;"Feature",".",
IF(VLOOKUP($B302,Feature_List!$A:$AM,MATCH(CT$1,  Feature_List!$A$1:$AM$1,0),0)=AL302,".","NO"))</f>
        <v>.</v>
      </c>
      <c r="CU302" s="136" t="str">
        <f>IF($D302&lt;&gt;"Feature",".",
IF(VLOOKUP($B302,Feature_List!$A:$AM,MATCH(CU$1,  Feature_List!$A$1:$AM$1,0),0)=AM302,".","NO"))</f>
        <v>.</v>
      </c>
      <c r="CV302" s="136" t="str">
        <f>IF($D302&lt;&gt;"Feature",".",
IF(VLOOKUP($B302,Feature_List!$A:$AM,MATCH(CV$1,  Feature_List!$A$1:$AM$1,0),0)=AN302,".","NO"))</f>
        <v>.</v>
      </c>
      <c r="CW302" s="136" t="str">
        <f>IF($D302&lt;&gt;"Feature",".",
IF(VLOOKUP($B302,Feature_List!$A:$AM,MATCH(CW$1,  Feature_List!$A$1:$AM$1,0),0)=AO302,".","NO"))</f>
        <v>.</v>
      </c>
      <c r="CX302" s="136" t="str">
        <f>IF($D302&lt;&gt;"Feature",".",
IF(VLOOKUP($B302,Feature_List!$A:$AM,MATCH(CX$1,  Feature_List!$A$1:$AM$1,0),0)=AP302,".","NO"))</f>
        <v>.</v>
      </c>
      <c r="CY302" s="136" t="str">
        <f>IF($D302&lt;&gt;"Feature",".",
IF(VLOOKUP($B302,Feature_List!$A:$AM,MATCH(CY$1,  Feature_List!$A$1:$AM$1,0),0)=AQ302,".","NO"))</f>
        <v>.</v>
      </c>
      <c r="CZ302" s="136" t="str">
        <f>IF($D302&lt;&gt;"Feature",".",
IF(VLOOKUP($B302,Feature_List!$A:$AM,MATCH(CZ$1,  Feature_List!$A$1:$AM$1,0),0)=AR302,".","NO"))</f>
        <v>.</v>
      </c>
      <c r="DA302" s="136" t="str">
        <f>IF($D302&lt;&gt;"Feature",".",
IF(VLOOKUP($B302,Feature_List!$A:$AM,MATCH(DA$1,  Feature_List!$A$1:$AM$1,0),0)=AS302,".","NO"))</f>
        <v>.</v>
      </c>
      <c r="DB302" s="136" t="str">
        <f>IF($D302&lt;&gt;"Feature",".",
IF(VLOOKUP($B302,Feature_List!$A:$AM,MATCH(DB$1,  Feature_List!$A$1:$AM$1,0),0)=AT302,".","NO"))</f>
        <v>.</v>
      </c>
      <c r="DC302" s="136" t="str">
        <f>IF($D302&lt;&gt;"Feature",".",
IF(VLOOKUP($B302,Feature_List!$A:$AM,MATCH(DC$1,  Feature_List!$A$1:$AM$1,0),0)=AU302,".","NO"))</f>
        <v>.</v>
      </c>
      <c r="DD302" s="136" t="str">
        <f>IF($D302&lt;&gt;"Feature",".",
IF(VLOOKUP($B302,Feature_List!$A:$AM,MATCH(DD$1,  Feature_List!$A$1:$AM$1,0),0)=AV302,".","NO"))</f>
        <v>.</v>
      </c>
      <c r="DE302" s="136" t="str">
        <f>IF($D302&lt;&gt;"Feature",".",
IF(VLOOKUP($B302,Feature_List!$A:$AM,MATCH(DE$1,  Feature_List!$A$1:$AM$1,0),0)=AW302,".","NO"))</f>
        <v>.</v>
      </c>
      <c r="DF302" s="136" t="str">
        <f>IF($D302&lt;&gt;"Feature",".",
IF(VLOOKUP($B302,Feature_List!$A:$AM,MATCH(DF$1,  Feature_List!$A$1:$AM$1,0),0)=AX302,".","NO"))</f>
        <v>.</v>
      </c>
      <c r="DG302" s="136" t="str">
        <f>IF($D302&lt;&gt;"Feature",".",
IF(VLOOKUP($B302,Feature_List!$A:$AM,MATCH(DG$1,  Feature_List!$A$1:$AM$1,0),0)=AY302,".","NO"))</f>
        <v>.</v>
      </c>
      <c r="DH302" s="136" t="str">
        <f>IF($D302&lt;&gt;"Feature",".",
IF(VLOOKUP($B302,Feature_List!$A:$AM,MATCH(DH$1,  Feature_List!$A$1:$AM$1,0),0)=AZ302,".","NO"))</f>
        <v>.</v>
      </c>
      <c r="DI302" s="136" t="str">
        <f>IF($D302&lt;&gt;"Feature",".",
IF(VLOOKUP($B302,Feature_List!$A:$AM,MATCH(DI$1,  Feature_List!$A$1:$AM$1,0),0)=BA302,".","NO"))</f>
        <v>.</v>
      </c>
      <c r="DJ302" s="136" t="str">
        <f>IF($D302&lt;&gt;"Feature",".",
IF(VLOOKUP($B302,Feature_List!$A:$AM,MATCH(DJ$1,  Feature_List!$A$1:$AM$1,0),0)=BB302,".","NO"))</f>
        <v>.</v>
      </c>
      <c r="DK302" s="136"/>
      <c r="DL302" s="136"/>
      <c r="DM302" s="136"/>
      <c r="DN302" s="136" t="str">
        <f>IF($D302&lt;&gt;"Feature",".",
IF(VLOOKUP($B302,Feature_List!$A:$AM,MATCH(DN$1,  Feature_List!$A$1:$AM$1,0),0)=BC302,".","NO"))</f>
        <v>.</v>
      </c>
      <c r="DO302" s="136" t="str">
        <f>IF($D302&lt;&gt;"Feature",".",
IF(VLOOKUP($B302,Feature_List!$A:$AM,MATCH(DO$1,  Feature_List!$A$1:$AM$1,0),0)=BD302,".","NO"))</f>
        <v>.</v>
      </c>
    </row>
    <row r="303" spans="2:119" x14ac:dyDescent="0.3">
      <c r="B303" s="121"/>
      <c r="C303" s="122"/>
      <c r="D303" s="122"/>
      <c r="E303" s="122"/>
      <c r="F303" s="123"/>
      <c r="G303" s="123"/>
      <c r="H303" s="122"/>
      <c r="I303" s="124"/>
      <c r="J303" s="123"/>
      <c r="K303" s="123"/>
      <c r="L303" s="122"/>
      <c r="M303" s="122"/>
      <c r="N303" s="122"/>
      <c r="O303" s="123">
        <f t="shared" si="150"/>
        <v>0</v>
      </c>
      <c r="P303" s="123">
        <f t="shared" si="151"/>
        <v>0</v>
      </c>
      <c r="Q303" s="122" t="str">
        <f t="shared" si="172"/>
        <v>ZeroEntry</v>
      </c>
      <c r="R303" s="126" t="str">
        <f t="shared" si="152"/>
        <v>ZeroEntry</v>
      </c>
      <c r="S303" s="127" t="str">
        <f t="shared" si="153"/>
        <v>ZeroEntry</v>
      </c>
      <c r="T303" s="128" t="str">
        <f>IF($Q303="ZeroEntry", "",VLOOKUP($I303,'Ranking Lookup'!#REF!,2,FALSE))</f>
        <v/>
      </c>
      <c r="U303" s="129" t="str">
        <f t="shared" si="154"/>
        <v/>
      </c>
      <c r="V303" s="129" t="str">
        <f t="shared" si="155"/>
        <v/>
      </c>
      <c r="W303" s="129" t="str">
        <f t="shared" si="156"/>
        <v/>
      </c>
      <c r="X303" s="129" t="str">
        <f t="shared" si="157"/>
        <v/>
      </c>
      <c r="Y303" s="129" t="str">
        <f t="shared" si="158"/>
        <v/>
      </c>
      <c r="Z303" s="129" t="str">
        <f t="shared" si="159"/>
        <v/>
      </c>
      <c r="AA303" s="130"/>
      <c r="AB303" s="130" t="str">
        <f t="shared" si="160"/>
        <v>Unassigned</v>
      </c>
      <c r="AC303" s="131" t="str">
        <f t="shared" si="173"/>
        <v/>
      </c>
      <c r="AD303" s="131" t="str">
        <f t="shared" si="174"/>
        <v/>
      </c>
      <c r="AE303" s="132">
        <f t="shared" si="161"/>
        <v>0</v>
      </c>
      <c r="AF303" s="133" t="str">
        <f t="shared" si="175"/>
        <v/>
      </c>
      <c r="AG303" s="134">
        <f t="shared" si="162"/>
        <v>0</v>
      </c>
      <c r="AH303" s="54" t="str">
        <f t="shared" si="163"/>
        <v/>
      </c>
      <c r="AI303" s="54" t="str">
        <f t="shared" si="182"/>
        <v/>
      </c>
      <c r="AJ303" s="54" t="str">
        <f t="shared" si="182"/>
        <v/>
      </c>
      <c r="AK303" s="54" t="str">
        <f t="shared" si="182"/>
        <v/>
      </c>
      <c r="AL303" s="54" t="str">
        <f t="shared" si="182"/>
        <v/>
      </c>
      <c r="AM303" s="54" t="str">
        <f t="shared" si="182"/>
        <v/>
      </c>
      <c r="AN303" s="54" t="str">
        <f t="shared" si="182"/>
        <v/>
      </c>
      <c r="AO303" s="54" t="str">
        <f t="shared" si="182"/>
        <v/>
      </c>
      <c r="AP303" s="54" t="str">
        <f t="shared" si="182"/>
        <v/>
      </c>
      <c r="AQ303" s="54" t="str">
        <f t="shared" si="182"/>
        <v/>
      </c>
      <c r="AR303" s="54" t="str">
        <f t="shared" si="182"/>
        <v/>
      </c>
      <c r="AS303" s="54" t="str">
        <f t="shared" si="182"/>
        <v/>
      </c>
      <c r="AT303" s="54" t="str">
        <f t="shared" si="182"/>
        <v/>
      </c>
      <c r="AU303" s="54" t="str">
        <f t="shared" si="182"/>
        <v/>
      </c>
      <c r="AV303" s="54" t="str">
        <f t="shared" si="182"/>
        <v/>
      </c>
      <c r="AW303" s="54" t="str">
        <f t="shared" si="182"/>
        <v/>
      </c>
      <c r="AX303" s="54" t="str">
        <f t="shared" si="182"/>
        <v/>
      </c>
      <c r="AY303" s="54" t="str">
        <f t="shared" si="177"/>
        <v/>
      </c>
      <c r="AZ303" s="54" t="str">
        <f t="shared" si="165"/>
        <v/>
      </c>
      <c r="BA303" s="54" t="str">
        <f t="shared" si="166"/>
        <v/>
      </c>
      <c r="BB303" s="135" t="str">
        <f t="shared" si="167"/>
        <v/>
      </c>
      <c r="BC303" s="54" t="str">
        <f t="shared" si="183"/>
        <v/>
      </c>
      <c r="BD303" s="54" t="str">
        <f t="shared" si="183"/>
        <v/>
      </c>
      <c r="BE303" s="54" t="str">
        <f t="shared" si="183"/>
        <v/>
      </c>
      <c r="BF303" s="54" t="str">
        <f t="shared" si="168"/>
        <v/>
      </c>
      <c r="BG303" s="54" t="str">
        <f t="shared" si="169"/>
        <v/>
      </c>
      <c r="BH303" s="34" t="str">
        <f t="shared" si="170"/>
        <v>Bad</v>
      </c>
      <c r="BI303" s="34" t="str">
        <f t="shared" si="171"/>
        <v>No</v>
      </c>
      <c r="BJ303" s="136" t="str">
        <f>IF($D303&lt;&gt;"Feature",".",
IF(VLOOKUP($B303,Feature_List!$A:$AM,MATCH(BJ$1,  Feature_List!$A$1:$AM$1,0),0)=B303,".","NO"))</f>
        <v>.</v>
      </c>
      <c r="BK303" s="136"/>
      <c r="BL303" s="136"/>
      <c r="BM303" s="136" t="str">
        <f>IF($D303&lt;&gt;"Feature",".",
IF(VLOOKUP($B303,Feature_List!$A:$AM,MATCH(BM$1,  Feature_List!$A$1:$AM$1,0),0)=E303,".","NO"))</f>
        <v>.</v>
      </c>
      <c r="BN303" s="136" t="str">
        <f>IF($D303&lt;&gt;"Feature",".",
IF(VLOOKUP($B303,Feature_List!$A:$AM,MATCH(BN$1,  Feature_List!$A$1:$AM$1,0),0)=F303,".","NO"))</f>
        <v>.</v>
      </c>
      <c r="BO303" s="136" t="str">
        <f>IF($D303&lt;&gt;"Feature",".",
IF(VLOOKUP($B303,Feature_List!$A:$AM,MATCH(BO$1,  Feature_List!$A$1:$AM$1,0),0)=G303,".","NO"))</f>
        <v>.</v>
      </c>
      <c r="BP303" s="136" t="str">
        <f>IF($D303&lt;&gt;"Feature",".",
IF(VLOOKUP($B303,Feature_List!$A:$AM,MATCH(BP$1,  Feature_List!$A$1:$AM$1,0),0)=H303,".","NO"))</f>
        <v>.</v>
      </c>
      <c r="BQ303" s="136"/>
      <c r="BR303" s="136" t="str">
        <f>IF($D303&lt;&gt;"Feature",".",
IF(VLOOKUP($B303,Feature_List!$A:$AM,MATCH(BR$1,  Feature_List!$A$1:$AM$1,0),0)=J303,".","NO"))</f>
        <v>.</v>
      </c>
      <c r="BS303" s="136"/>
      <c r="BT303" s="136"/>
      <c r="BU303" s="136" t="str">
        <f>IF($D303&lt;&gt;"Feature",".",
IF(VLOOKUP($B303,Feature_List!$A:$AM,MATCH(BU$1,  Feature_List!$A$1:$AM$1,0),0)=M303,".","NO"))</f>
        <v>.</v>
      </c>
      <c r="BV303" s="136" t="str">
        <f>IF($D303&lt;&gt;"Feature",".",
IF(VLOOKUP($B303,Feature_List!$A:$AM,MATCH(BV$1,  Feature_List!$A$1:$AM$1,0),0)=N303,".","NO"))</f>
        <v>.</v>
      </c>
      <c r="BW303" s="136"/>
      <c r="BX303" s="136"/>
      <c r="BY303" s="136"/>
      <c r="BZ303" s="136"/>
      <c r="CA303" s="136"/>
      <c r="CB303" s="136" t="str">
        <f>IF($D303&lt;&gt;"Feature",".",
IF(VLOOKUP($B303,Feature_List!$A:$AM,MATCH(CB$1,  Feature_List!$A$1:$AM$1,0),0)=T303,".","NO"))</f>
        <v>.</v>
      </c>
      <c r="CC303" s="136"/>
      <c r="CD303" s="136"/>
      <c r="CE303" s="136"/>
      <c r="CF303" s="136"/>
      <c r="CG303" s="136"/>
      <c r="CH303" s="136"/>
      <c r="CI303" s="136"/>
      <c r="CJ303" s="136"/>
      <c r="CK303" s="136"/>
      <c r="CL303" s="136"/>
      <c r="CM303" s="136"/>
      <c r="CN303" s="136"/>
      <c r="CO303" s="136" t="str">
        <f>IF($D303&lt;&gt;"Feature",".",
IF(VLOOKUP($B303,Feature_List!$A:$AM,MATCH(CO$1,  Feature_List!$A$1:$AM$1,0),0)=AG303,".","NO"))</f>
        <v>.</v>
      </c>
      <c r="CP303" s="136" t="str">
        <f>IF($D303&lt;&gt;"Feature",".",
IF(VLOOKUP($B303,Feature_List!$A:$AM,MATCH(CP$1,  Feature_List!$A$1:$AM$1,0),0)=AH303,".","NO"))</f>
        <v>.</v>
      </c>
      <c r="CQ303" s="136" t="str">
        <f>IF($D303&lt;&gt;"Feature",".",
IF(VLOOKUP($B303,Feature_List!$A:$AM,MATCH(CQ$1,  Feature_List!$A$1:$AM$1,0),0)=AI303,".","NO"))</f>
        <v>.</v>
      </c>
      <c r="CR303" s="136" t="str">
        <f>IF($D303&lt;&gt;"Feature",".",
IF(VLOOKUP($B303,Feature_List!$A:$AM,MATCH(CR$1,  Feature_List!$A$1:$AM$1,0),0)=AJ303,".","NO"))</f>
        <v>.</v>
      </c>
      <c r="CS303" s="136" t="str">
        <f>IF($D303&lt;&gt;"Feature",".",
IF(VLOOKUP($B303,Feature_List!$A:$AM,MATCH(CS$1,  Feature_List!$A$1:$AM$1,0),0)=AK303,".","NO"))</f>
        <v>.</v>
      </c>
      <c r="CT303" s="136" t="str">
        <f>IF($D303&lt;&gt;"Feature",".",
IF(VLOOKUP($B303,Feature_List!$A:$AM,MATCH(CT$1,  Feature_List!$A$1:$AM$1,0),0)=AL303,".","NO"))</f>
        <v>.</v>
      </c>
      <c r="CU303" s="136" t="str">
        <f>IF($D303&lt;&gt;"Feature",".",
IF(VLOOKUP($B303,Feature_List!$A:$AM,MATCH(CU$1,  Feature_List!$A$1:$AM$1,0),0)=AM303,".","NO"))</f>
        <v>.</v>
      </c>
      <c r="CV303" s="136" t="str">
        <f>IF($D303&lt;&gt;"Feature",".",
IF(VLOOKUP($B303,Feature_List!$A:$AM,MATCH(CV$1,  Feature_List!$A$1:$AM$1,0),0)=AN303,".","NO"))</f>
        <v>.</v>
      </c>
      <c r="CW303" s="136" t="str">
        <f>IF($D303&lt;&gt;"Feature",".",
IF(VLOOKUP($B303,Feature_List!$A:$AM,MATCH(CW$1,  Feature_List!$A$1:$AM$1,0),0)=AO303,".","NO"))</f>
        <v>.</v>
      </c>
      <c r="CX303" s="136" t="str">
        <f>IF($D303&lt;&gt;"Feature",".",
IF(VLOOKUP($B303,Feature_List!$A:$AM,MATCH(CX$1,  Feature_List!$A$1:$AM$1,0),0)=AP303,".","NO"))</f>
        <v>.</v>
      </c>
      <c r="CY303" s="136" t="str">
        <f>IF($D303&lt;&gt;"Feature",".",
IF(VLOOKUP($B303,Feature_List!$A:$AM,MATCH(CY$1,  Feature_List!$A$1:$AM$1,0),0)=AQ303,".","NO"))</f>
        <v>.</v>
      </c>
      <c r="CZ303" s="136" t="str">
        <f>IF($D303&lt;&gt;"Feature",".",
IF(VLOOKUP($B303,Feature_List!$A:$AM,MATCH(CZ$1,  Feature_List!$A$1:$AM$1,0),0)=AR303,".","NO"))</f>
        <v>.</v>
      </c>
      <c r="DA303" s="136" t="str">
        <f>IF($D303&lt;&gt;"Feature",".",
IF(VLOOKUP($B303,Feature_List!$A:$AM,MATCH(DA$1,  Feature_List!$A$1:$AM$1,0),0)=AS303,".","NO"))</f>
        <v>.</v>
      </c>
      <c r="DB303" s="136" t="str">
        <f>IF($D303&lt;&gt;"Feature",".",
IF(VLOOKUP($B303,Feature_List!$A:$AM,MATCH(DB$1,  Feature_List!$A$1:$AM$1,0),0)=AT303,".","NO"))</f>
        <v>.</v>
      </c>
      <c r="DC303" s="136" t="str">
        <f>IF($D303&lt;&gt;"Feature",".",
IF(VLOOKUP($B303,Feature_List!$A:$AM,MATCH(DC$1,  Feature_List!$A$1:$AM$1,0),0)=AU303,".","NO"))</f>
        <v>.</v>
      </c>
      <c r="DD303" s="136" t="str">
        <f>IF($D303&lt;&gt;"Feature",".",
IF(VLOOKUP($B303,Feature_List!$A:$AM,MATCH(DD$1,  Feature_List!$A$1:$AM$1,0),0)=AV303,".","NO"))</f>
        <v>.</v>
      </c>
      <c r="DE303" s="136" t="str">
        <f>IF($D303&lt;&gt;"Feature",".",
IF(VLOOKUP($B303,Feature_List!$A:$AM,MATCH(DE$1,  Feature_List!$A$1:$AM$1,0),0)=AW303,".","NO"))</f>
        <v>.</v>
      </c>
      <c r="DF303" s="136" t="str">
        <f>IF($D303&lt;&gt;"Feature",".",
IF(VLOOKUP($B303,Feature_List!$A:$AM,MATCH(DF$1,  Feature_List!$A$1:$AM$1,0),0)=AX303,".","NO"))</f>
        <v>.</v>
      </c>
      <c r="DG303" s="136" t="str">
        <f>IF($D303&lt;&gt;"Feature",".",
IF(VLOOKUP($B303,Feature_List!$A:$AM,MATCH(DG$1,  Feature_List!$A$1:$AM$1,0),0)=AY303,".","NO"))</f>
        <v>.</v>
      </c>
      <c r="DH303" s="136" t="str">
        <f>IF($D303&lt;&gt;"Feature",".",
IF(VLOOKUP($B303,Feature_List!$A:$AM,MATCH(DH$1,  Feature_List!$A$1:$AM$1,0),0)=AZ303,".","NO"))</f>
        <v>.</v>
      </c>
      <c r="DI303" s="136" t="str">
        <f>IF($D303&lt;&gt;"Feature",".",
IF(VLOOKUP($B303,Feature_List!$A:$AM,MATCH(DI$1,  Feature_List!$A$1:$AM$1,0),0)=BA303,".","NO"))</f>
        <v>.</v>
      </c>
      <c r="DJ303" s="136" t="str">
        <f>IF($D303&lt;&gt;"Feature",".",
IF(VLOOKUP($B303,Feature_List!$A:$AM,MATCH(DJ$1,  Feature_List!$A$1:$AM$1,0),0)=BB303,".","NO"))</f>
        <v>.</v>
      </c>
      <c r="DK303" s="136"/>
      <c r="DL303" s="136"/>
      <c r="DM303" s="136"/>
      <c r="DN303" s="136" t="str">
        <f>IF($D303&lt;&gt;"Feature",".",
IF(VLOOKUP($B303,Feature_List!$A:$AM,MATCH(DN$1,  Feature_List!$A$1:$AM$1,0),0)=BC303,".","NO"))</f>
        <v>.</v>
      </c>
      <c r="DO303" s="136" t="str">
        <f>IF($D303&lt;&gt;"Feature",".",
IF(VLOOKUP($B303,Feature_List!$A:$AM,MATCH(DO$1,  Feature_List!$A$1:$AM$1,0),0)=BD303,".","NO"))</f>
        <v>.</v>
      </c>
    </row>
    <row r="304" spans="2:119" x14ac:dyDescent="0.3">
      <c r="B304" s="121"/>
      <c r="C304" s="122"/>
      <c r="D304" s="122"/>
      <c r="E304" s="122"/>
      <c r="F304" s="123"/>
      <c r="G304" s="123"/>
      <c r="H304" s="122"/>
      <c r="I304" s="124"/>
      <c r="J304" s="123"/>
      <c r="K304" s="123"/>
      <c r="L304" s="122"/>
      <c r="M304" s="122"/>
      <c r="N304" s="122"/>
      <c r="O304" s="123">
        <f t="shared" si="150"/>
        <v>0</v>
      </c>
      <c r="P304" s="123">
        <f t="shared" si="151"/>
        <v>0</v>
      </c>
      <c r="Q304" s="122" t="str">
        <f t="shared" si="172"/>
        <v>ZeroEntry</v>
      </c>
      <c r="R304" s="126" t="str">
        <f t="shared" si="152"/>
        <v>ZeroEntry</v>
      </c>
      <c r="S304" s="127" t="str">
        <f t="shared" si="153"/>
        <v>ZeroEntry</v>
      </c>
      <c r="T304" s="128" t="str">
        <f>IF($Q304="ZeroEntry", "",VLOOKUP($I304,'Ranking Lookup'!#REF!,2,FALSE))</f>
        <v/>
      </c>
      <c r="U304" s="129" t="str">
        <f t="shared" si="154"/>
        <v/>
      </c>
      <c r="V304" s="129" t="str">
        <f t="shared" si="155"/>
        <v/>
      </c>
      <c r="W304" s="129" t="str">
        <f t="shared" si="156"/>
        <v/>
      </c>
      <c r="X304" s="129" t="str">
        <f t="shared" si="157"/>
        <v/>
      </c>
      <c r="Y304" s="129" t="str">
        <f t="shared" si="158"/>
        <v/>
      </c>
      <c r="Z304" s="129" t="str">
        <f t="shared" si="159"/>
        <v/>
      </c>
      <c r="AA304" s="130"/>
      <c r="AB304" s="130" t="str">
        <f t="shared" si="160"/>
        <v>Unassigned</v>
      </c>
      <c r="AC304" s="131" t="str">
        <f t="shared" si="173"/>
        <v/>
      </c>
      <c r="AD304" s="131" t="str">
        <f t="shared" si="174"/>
        <v/>
      </c>
      <c r="AE304" s="132">
        <f t="shared" si="161"/>
        <v>0</v>
      </c>
      <c r="AF304" s="133" t="str">
        <f t="shared" si="175"/>
        <v/>
      </c>
      <c r="AG304" s="134">
        <f t="shared" si="162"/>
        <v>0</v>
      </c>
      <c r="AH304" s="54" t="str">
        <f t="shared" si="163"/>
        <v/>
      </c>
      <c r="AI304" s="54" t="str">
        <f t="shared" si="182"/>
        <v/>
      </c>
      <c r="AJ304" s="54" t="str">
        <f t="shared" si="182"/>
        <v/>
      </c>
      <c r="AK304" s="54" t="str">
        <f t="shared" si="182"/>
        <v/>
      </c>
      <c r="AL304" s="54" t="str">
        <f t="shared" si="182"/>
        <v/>
      </c>
      <c r="AM304" s="54" t="str">
        <f t="shared" si="182"/>
        <v/>
      </c>
      <c r="AN304" s="54" t="str">
        <f t="shared" si="182"/>
        <v/>
      </c>
      <c r="AO304" s="54" t="str">
        <f t="shared" si="182"/>
        <v/>
      </c>
      <c r="AP304" s="54" t="str">
        <f t="shared" si="182"/>
        <v/>
      </c>
      <c r="AQ304" s="54" t="str">
        <f t="shared" si="182"/>
        <v/>
      </c>
      <c r="AR304" s="54" t="str">
        <f t="shared" si="182"/>
        <v/>
      </c>
      <c r="AS304" s="54" t="str">
        <f t="shared" si="182"/>
        <v/>
      </c>
      <c r="AT304" s="54" t="str">
        <f t="shared" si="182"/>
        <v/>
      </c>
      <c r="AU304" s="54" t="str">
        <f t="shared" si="182"/>
        <v/>
      </c>
      <c r="AV304" s="54" t="str">
        <f t="shared" si="182"/>
        <v/>
      </c>
      <c r="AW304" s="54" t="str">
        <f t="shared" si="182"/>
        <v/>
      </c>
      <c r="AX304" s="54" t="str">
        <f t="shared" si="182"/>
        <v/>
      </c>
      <c r="AY304" s="54" t="str">
        <f t="shared" si="177"/>
        <v/>
      </c>
      <c r="AZ304" s="54" t="str">
        <f t="shared" si="165"/>
        <v/>
      </c>
      <c r="BA304" s="54" t="str">
        <f t="shared" si="166"/>
        <v/>
      </c>
      <c r="BB304" s="135" t="str">
        <f t="shared" si="167"/>
        <v/>
      </c>
      <c r="BC304" s="54" t="str">
        <f t="shared" si="183"/>
        <v/>
      </c>
      <c r="BD304" s="54" t="str">
        <f t="shared" si="183"/>
        <v/>
      </c>
      <c r="BE304" s="54" t="str">
        <f t="shared" si="183"/>
        <v/>
      </c>
      <c r="BF304" s="54" t="str">
        <f t="shared" si="168"/>
        <v/>
      </c>
      <c r="BG304" s="54" t="str">
        <f t="shared" si="169"/>
        <v/>
      </c>
      <c r="BH304" s="34" t="str">
        <f t="shared" si="170"/>
        <v>Bad</v>
      </c>
      <c r="BI304" s="34" t="str">
        <f t="shared" si="171"/>
        <v>No</v>
      </c>
      <c r="BJ304" s="136" t="str">
        <f>IF($D304&lt;&gt;"Feature",".",
IF(VLOOKUP($B304,Feature_List!$A:$AM,MATCH(BJ$1,  Feature_List!$A$1:$AM$1,0),0)=B304,".","NO"))</f>
        <v>.</v>
      </c>
      <c r="BK304" s="136"/>
      <c r="BL304" s="136"/>
      <c r="BM304" s="136" t="str">
        <f>IF($D304&lt;&gt;"Feature",".",
IF(VLOOKUP($B304,Feature_List!$A:$AM,MATCH(BM$1,  Feature_List!$A$1:$AM$1,0),0)=E304,".","NO"))</f>
        <v>.</v>
      </c>
      <c r="BN304" s="136" t="str">
        <f>IF($D304&lt;&gt;"Feature",".",
IF(VLOOKUP($B304,Feature_List!$A:$AM,MATCH(BN$1,  Feature_List!$A$1:$AM$1,0),0)=F304,".","NO"))</f>
        <v>.</v>
      </c>
      <c r="BO304" s="136" t="str">
        <f>IF($D304&lt;&gt;"Feature",".",
IF(VLOOKUP($B304,Feature_List!$A:$AM,MATCH(BO$1,  Feature_List!$A$1:$AM$1,0),0)=G304,".","NO"))</f>
        <v>.</v>
      </c>
      <c r="BP304" s="136" t="str">
        <f>IF($D304&lt;&gt;"Feature",".",
IF(VLOOKUP($B304,Feature_List!$A:$AM,MATCH(BP$1,  Feature_List!$A$1:$AM$1,0),0)=H304,".","NO"))</f>
        <v>.</v>
      </c>
      <c r="BQ304" s="136"/>
      <c r="BR304" s="136" t="str">
        <f>IF($D304&lt;&gt;"Feature",".",
IF(VLOOKUP($B304,Feature_List!$A:$AM,MATCH(BR$1,  Feature_List!$A$1:$AM$1,0),0)=J304,".","NO"))</f>
        <v>.</v>
      </c>
      <c r="BS304" s="136"/>
      <c r="BT304" s="136"/>
      <c r="BU304" s="136" t="str">
        <f>IF($D304&lt;&gt;"Feature",".",
IF(VLOOKUP($B304,Feature_List!$A:$AM,MATCH(BU$1,  Feature_List!$A$1:$AM$1,0),0)=M304,".","NO"))</f>
        <v>.</v>
      </c>
      <c r="BV304" s="136" t="str">
        <f>IF($D304&lt;&gt;"Feature",".",
IF(VLOOKUP($B304,Feature_List!$A:$AM,MATCH(BV$1,  Feature_List!$A$1:$AM$1,0),0)=N304,".","NO"))</f>
        <v>.</v>
      </c>
      <c r="BW304" s="136"/>
      <c r="BX304" s="136"/>
      <c r="BY304" s="136"/>
      <c r="BZ304" s="136"/>
      <c r="CA304" s="136"/>
      <c r="CB304" s="136" t="str">
        <f>IF($D304&lt;&gt;"Feature",".",
IF(VLOOKUP($B304,Feature_List!$A:$AM,MATCH(CB$1,  Feature_List!$A$1:$AM$1,0),0)=T304,".","NO"))</f>
        <v>.</v>
      </c>
      <c r="CC304" s="136"/>
      <c r="CD304" s="136"/>
      <c r="CE304" s="136"/>
      <c r="CF304" s="136"/>
      <c r="CG304" s="136"/>
      <c r="CH304" s="136"/>
      <c r="CI304" s="136"/>
      <c r="CJ304" s="136"/>
      <c r="CK304" s="136"/>
      <c r="CL304" s="136"/>
      <c r="CM304" s="136"/>
      <c r="CN304" s="136"/>
      <c r="CO304" s="136" t="str">
        <f>IF($D304&lt;&gt;"Feature",".",
IF(VLOOKUP($B304,Feature_List!$A:$AM,MATCH(CO$1,  Feature_List!$A$1:$AM$1,0),0)=AG304,".","NO"))</f>
        <v>.</v>
      </c>
      <c r="CP304" s="136" t="str">
        <f>IF($D304&lt;&gt;"Feature",".",
IF(VLOOKUP($B304,Feature_List!$A:$AM,MATCH(CP$1,  Feature_List!$A$1:$AM$1,0),0)=AH304,".","NO"))</f>
        <v>.</v>
      </c>
      <c r="CQ304" s="136" t="str">
        <f>IF($D304&lt;&gt;"Feature",".",
IF(VLOOKUP($B304,Feature_List!$A:$AM,MATCH(CQ$1,  Feature_List!$A$1:$AM$1,0),0)=AI304,".","NO"))</f>
        <v>.</v>
      </c>
      <c r="CR304" s="136" t="str">
        <f>IF($D304&lt;&gt;"Feature",".",
IF(VLOOKUP($B304,Feature_List!$A:$AM,MATCH(CR$1,  Feature_List!$A$1:$AM$1,0),0)=AJ304,".","NO"))</f>
        <v>.</v>
      </c>
      <c r="CS304" s="136" t="str">
        <f>IF($D304&lt;&gt;"Feature",".",
IF(VLOOKUP($B304,Feature_List!$A:$AM,MATCH(CS$1,  Feature_List!$A$1:$AM$1,0),0)=AK304,".","NO"))</f>
        <v>.</v>
      </c>
      <c r="CT304" s="136" t="str">
        <f>IF($D304&lt;&gt;"Feature",".",
IF(VLOOKUP($B304,Feature_List!$A:$AM,MATCH(CT$1,  Feature_List!$A$1:$AM$1,0),0)=AL304,".","NO"))</f>
        <v>.</v>
      </c>
      <c r="CU304" s="136" t="str">
        <f>IF($D304&lt;&gt;"Feature",".",
IF(VLOOKUP($B304,Feature_List!$A:$AM,MATCH(CU$1,  Feature_List!$A$1:$AM$1,0),0)=AM304,".","NO"))</f>
        <v>.</v>
      </c>
      <c r="CV304" s="136" t="str">
        <f>IF($D304&lt;&gt;"Feature",".",
IF(VLOOKUP($B304,Feature_List!$A:$AM,MATCH(CV$1,  Feature_List!$A$1:$AM$1,0),0)=AN304,".","NO"))</f>
        <v>.</v>
      </c>
      <c r="CW304" s="136" t="str">
        <f>IF($D304&lt;&gt;"Feature",".",
IF(VLOOKUP($B304,Feature_List!$A:$AM,MATCH(CW$1,  Feature_List!$A$1:$AM$1,0),0)=AO304,".","NO"))</f>
        <v>.</v>
      </c>
      <c r="CX304" s="136" t="str">
        <f>IF($D304&lt;&gt;"Feature",".",
IF(VLOOKUP($B304,Feature_List!$A:$AM,MATCH(CX$1,  Feature_List!$A$1:$AM$1,0),0)=AP304,".","NO"))</f>
        <v>.</v>
      </c>
      <c r="CY304" s="136" t="str">
        <f>IF($D304&lt;&gt;"Feature",".",
IF(VLOOKUP($B304,Feature_List!$A:$AM,MATCH(CY$1,  Feature_List!$A$1:$AM$1,0),0)=AQ304,".","NO"))</f>
        <v>.</v>
      </c>
      <c r="CZ304" s="136" t="str">
        <f>IF($D304&lt;&gt;"Feature",".",
IF(VLOOKUP($B304,Feature_List!$A:$AM,MATCH(CZ$1,  Feature_List!$A$1:$AM$1,0),0)=AR304,".","NO"))</f>
        <v>.</v>
      </c>
      <c r="DA304" s="136" t="str">
        <f>IF($D304&lt;&gt;"Feature",".",
IF(VLOOKUP($B304,Feature_List!$A:$AM,MATCH(DA$1,  Feature_List!$A$1:$AM$1,0),0)=AS304,".","NO"))</f>
        <v>.</v>
      </c>
      <c r="DB304" s="136" t="str">
        <f>IF($D304&lt;&gt;"Feature",".",
IF(VLOOKUP($B304,Feature_List!$A:$AM,MATCH(DB$1,  Feature_List!$A$1:$AM$1,0),0)=AT304,".","NO"))</f>
        <v>.</v>
      </c>
      <c r="DC304" s="136" t="str">
        <f>IF($D304&lt;&gt;"Feature",".",
IF(VLOOKUP($B304,Feature_List!$A:$AM,MATCH(DC$1,  Feature_List!$A$1:$AM$1,0),0)=AU304,".","NO"))</f>
        <v>.</v>
      </c>
      <c r="DD304" s="136" t="str">
        <f>IF($D304&lt;&gt;"Feature",".",
IF(VLOOKUP($B304,Feature_List!$A:$AM,MATCH(DD$1,  Feature_List!$A$1:$AM$1,0),0)=AV304,".","NO"))</f>
        <v>.</v>
      </c>
      <c r="DE304" s="136" t="str">
        <f>IF($D304&lt;&gt;"Feature",".",
IF(VLOOKUP($B304,Feature_List!$A:$AM,MATCH(DE$1,  Feature_List!$A$1:$AM$1,0),0)=AW304,".","NO"))</f>
        <v>.</v>
      </c>
      <c r="DF304" s="136" t="str">
        <f>IF($D304&lt;&gt;"Feature",".",
IF(VLOOKUP($B304,Feature_List!$A:$AM,MATCH(DF$1,  Feature_List!$A$1:$AM$1,0),0)=AX304,".","NO"))</f>
        <v>.</v>
      </c>
      <c r="DG304" s="136" t="str">
        <f>IF($D304&lt;&gt;"Feature",".",
IF(VLOOKUP($B304,Feature_List!$A:$AM,MATCH(DG$1,  Feature_List!$A$1:$AM$1,0),0)=AY304,".","NO"))</f>
        <v>.</v>
      </c>
      <c r="DH304" s="136" t="str">
        <f>IF($D304&lt;&gt;"Feature",".",
IF(VLOOKUP($B304,Feature_List!$A:$AM,MATCH(DH$1,  Feature_List!$A$1:$AM$1,0),0)=AZ304,".","NO"))</f>
        <v>.</v>
      </c>
      <c r="DI304" s="136" t="str">
        <f>IF($D304&lt;&gt;"Feature",".",
IF(VLOOKUP($B304,Feature_List!$A:$AM,MATCH(DI$1,  Feature_List!$A$1:$AM$1,0),0)=BA304,".","NO"))</f>
        <v>.</v>
      </c>
      <c r="DJ304" s="136" t="str">
        <f>IF($D304&lt;&gt;"Feature",".",
IF(VLOOKUP($B304,Feature_List!$A:$AM,MATCH(DJ$1,  Feature_List!$A$1:$AM$1,0),0)=BB304,".","NO"))</f>
        <v>.</v>
      </c>
      <c r="DK304" s="136"/>
      <c r="DL304" s="136"/>
      <c r="DM304" s="136"/>
      <c r="DN304" s="136" t="str">
        <f>IF($D304&lt;&gt;"Feature",".",
IF(VLOOKUP($B304,Feature_List!$A:$AM,MATCH(DN$1,  Feature_List!$A$1:$AM$1,0),0)=BC304,".","NO"))</f>
        <v>.</v>
      </c>
      <c r="DO304" s="136" t="str">
        <f>IF($D304&lt;&gt;"Feature",".",
IF(VLOOKUP($B304,Feature_List!$A:$AM,MATCH(DO$1,  Feature_List!$A$1:$AM$1,0),0)=BD304,".","NO"))</f>
        <v>.</v>
      </c>
    </row>
    <row r="305" spans="2:119" x14ac:dyDescent="0.3">
      <c r="B305" s="121"/>
      <c r="C305" s="122"/>
      <c r="D305" s="122"/>
      <c r="E305" s="122"/>
      <c r="F305" s="123"/>
      <c r="G305" s="123"/>
      <c r="H305" s="122"/>
      <c r="I305" s="124"/>
      <c r="J305" s="123"/>
      <c r="K305" s="123"/>
      <c r="L305" s="122"/>
      <c r="M305" s="122"/>
      <c r="N305" s="122"/>
      <c r="O305" s="123">
        <f t="shared" si="150"/>
        <v>0</v>
      </c>
      <c r="P305" s="123">
        <f t="shared" si="151"/>
        <v>0</v>
      </c>
      <c r="Q305" s="122" t="str">
        <f t="shared" si="172"/>
        <v>ZeroEntry</v>
      </c>
      <c r="R305" s="126" t="str">
        <f t="shared" si="152"/>
        <v>ZeroEntry</v>
      </c>
      <c r="S305" s="127" t="str">
        <f t="shared" si="153"/>
        <v>ZeroEntry</v>
      </c>
      <c r="T305" s="128" t="str">
        <f>IF($Q305="ZeroEntry", "",VLOOKUP($I305,'Ranking Lookup'!#REF!,2,FALSE))</f>
        <v/>
      </c>
      <c r="U305" s="129" t="str">
        <f t="shared" si="154"/>
        <v/>
      </c>
      <c r="V305" s="129" t="str">
        <f t="shared" si="155"/>
        <v/>
      </c>
      <c r="W305" s="129" t="str">
        <f t="shared" si="156"/>
        <v/>
      </c>
      <c r="X305" s="129" t="str">
        <f t="shared" si="157"/>
        <v/>
      </c>
      <c r="Y305" s="129" t="str">
        <f t="shared" si="158"/>
        <v/>
      </c>
      <c r="Z305" s="129" t="str">
        <f t="shared" si="159"/>
        <v/>
      </c>
      <c r="AA305" s="130"/>
      <c r="AB305" s="130" t="str">
        <f t="shared" si="160"/>
        <v>Unassigned</v>
      </c>
      <c r="AC305" s="131" t="str">
        <f t="shared" si="173"/>
        <v/>
      </c>
      <c r="AD305" s="131" t="str">
        <f t="shared" si="174"/>
        <v/>
      </c>
      <c r="AE305" s="132">
        <f t="shared" si="161"/>
        <v>0</v>
      </c>
      <c r="AF305" s="133" t="str">
        <f t="shared" si="175"/>
        <v/>
      </c>
      <c r="AG305" s="134">
        <f t="shared" si="162"/>
        <v>0</v>
      </c>
      <c r="AH305" s="54" t="str">
        <f t="shared" si="163"/>
        <v/>
      </c>
      <c r="AI305" s="54" t="str">
        <f t="shared" si="182"/>
        <v/>
      </c>
      <c r="AJ305" s="54" t="str">
        <f t="shared" si="182"/>
        <v/>
      </c>
      <c r="AK305" s="54" t="str">
        <f t="shared" si="182"/>
        <v/>
      </c>
      <c r="AL305" s="54" t="str">
        <f t="shared" si="182"/>
        <v/>
      </c>
      <c r="AM305" s="54" t="str">
        <f t="shared" si="182"/>
        <v/>
      </c>
      <c r="AN305" s="54" t="str">
        <f t="shared" si="182"/>
        <v/>
      </c>
      <c r="AO305" s="54" t="str">
        <f t="shared" si="182"/>
        <v/>
      </c>
      <c r="AP305" s="54" t="str">
        <f t="shared" si="182"/>
        <v/>
      </c>
      <c r="AQ305" s="54" t="str">
        <f t="shared" si="182"/>
        <v/>
      </c>
      <c r="AR305" s="54" t="str">
        <f t="shared" si="182"/>
        <v/>
      </c>
      <c r="AS305" s="54" t="str">
        <f t="shared" si="182"/>
        <v/>
      </c>
      <c r="AT305" s="54" t="str">
        <f t="shared" si="182"/>
        <v/>
      </c>
      <c r="AU305" s="54" t="str">
        <f t="shared" si="182"/>
        <v/>
      </c>
      <c r="AV305" s="54" t="str">
        <f t="shared" si="182"/>
        <v/>
      </c>
      <c r="AW305" s="54" t="str">
        <f t="shared" si="182"/>
        <v/>
      </c>
      <c r="AX305" s="54" t="str">
        <f t="shared" ref="AX305" si="184">IF(AND($Q305="Feature",LEFT($AB305,2)="PI"),
IF(AND(COUNTIF($R:$R,$B305)=1,$T305=AX$1), IF($AB305=$A$10,$AF305,0),
IF(OR($AD305&lt;1,RIGHT($G305,8)="Progress",$AH305&gt;0),SUMIFS($O:$O,$R:$R,$B305,$T:$T,AX$1,$P:$P,"&lt;&gt;Done",$AB:$AB,$A$10),
IF($T305=AX$1,IF($AB305=$A$10,$AD305,0)+SUMIFS($O:$O,$R:$R,$B305,$T:$T,AX$1,$P:$P,"&lt;&gt;Done",$AB:$AB,$A$10),SUMIFS($O:$O,$R:$R,$B305,$T:$T,AX$1,$P:$P,"&lt;&gt;Done",$AB:$AB,$A$10)))),
IF(AND(OR($Q305="Story",$Q305="Problem",$Q305="Enhancement"),$AB305=$A$10,$R305=0,$T305=AX$1,$P305&lt;&gt;"Done"),$O305,""))</f>
        <v/>
      </c>
      <c r="AY305" s="54" t="str">
        <f t="shared" si="177"/>
        <v/>
      </c>
      <c r="AZ305" s="54" t="str">
        <f t="shared" si="165"/>
        <v/>
      </c>
      <c r="BA305" s="54" t="str">
        <f t="shared" si="166"/>
        <v/>
      </c>
      <c r="BB305" s="135" t="str">
        <f t="shared" si="167"/>
        <v/>
      </c>
      <c r="BC305" s="54" t="str">
        <f t="shared" si="183"/>
        <v/>
      </c>
      <c r="BD305" s="54" t="str">
        <f t="shared" si="183"/>
        <v/>
      </c>
      <c r="BE305" s="54" t="str">
        <f t="shared" si="183"/>
        <v/>
      </c>
      <c r="BF305" s="54" t="str">
        <f t="shared" si="168"/>
        <v/>
      </c>
      <c r="BG305" s="54" t="str">
        <f t="shared" si="169"/>
        <v/>
      </c>
      <c r="BH305" s="34" t="str">
        <f t="shared" si="170"/>
        <v>Bad</v>
      </c>
      <c r="BI305" s="34" t="str">
        <f t="shared" si="171"/>
        <v>No</v>
      </c>
      <c r="BJ305" s="136" t="str">
        <f>IF($D305&lt;&gt;"Feature",".",
IF(VLOOKUP($B305,Feature_List!$A:$AM,MATCH(BJ$1,  Feature_List!$A$1:$AM$1,0),0)=B305,".","NO"))</f>
        <v>.</v>
      </c>
      <c r="BK305" s="136"/>
      <c r="BL305" s="136"/>
      <c r="BM305" s="136" t="str">
        <f>IF($D305&lt;&gt;"Feature",".",
IF(VLOOKUP($B305,Feature_List!$A:$AM,MATCH(BM$1,  Feature_List!$A$1:$AM$1,0),0)=E305,".","NO"))</f>
        <v>.</v>
      </c>
      <c r="BN305" s="136" t="str">
        <f>IF($D305&lt;&gt;"Feature",".",
IF(VLOOKUP($B305,Feature_List!$A:$AM,MATCH(BN$1,  Feature_List!$A$1:$AM$1,0),0)=F305,".","NO"))</f>
        <v>.</v>
      </c>
      <c r="BO305" s="136" t="str">
        <f>IF($D305&lt;&gt;"Feature",".",
IF(VLOOKUP($B305,Feature_List!$A:$AM,MATCH(BO$1,  Feature_List!$A$1:$AM$1,0),0)=G305,".","NO"))</f>
        <v>.</v>
      </c>
      <c r="BP305" s="136" t="str">
        <f>IF($D305&lt;&gt;"Feature",".",
IF(VLOOKUP($B305,Feature_List!$A:$AM,MATCH(BP$1,  Feature_List!$A$1:$AM$1,0),0)=H305,".","NO"))</f>
        <v>.</v>
      </c>
      <c r="BQ305" s="136"/>
      <c r="BR305" s="136" t="str">
        <f>IF($D305&lt;&gt;"Feature",".",
IF(VLOOKUP($B305,Feature_List!$A:$AM,MATCH(BR$1,  Feature_List!$A$1:$AM$1,0),0)=J305,".","NO"))</f>
        <v>.</v>
      </c>
      <c r="BS305" s="136"/>
      <c r="BT305" s="136"/>
      <c r="BU305" s="136" t="str">
        <f>IF($D305&lt;&gt;"Feature",".",
IF(VLOOKUP($B305,Feature_List!$A:$AM,MATCH(BU$1,  Feature_List!$A$1:$AM$1,0),0)=M305,".","NO"))</f>
        <v>.</v>
      </c>
      <c r="BV305" s="136" t="str">
        <f>IF($D305&lt;&gt;"Feature",".",
IF(VLOOKUP($B305,Feature_List!$A:$AM,MATCH(BV$1,  Feature_List!$A$1:$AM$1,0),0)=N305,".","NO"))</f>
        <v>.</v>
      </c>
      <c r="BW305" s="136"/>
      <c r="BX305" s="136"/>
      <c r="BY305" s="136"/>
      <c r="BZ305" s="136"/>
      <c r="CA305" s="136"/>
      <c r="CB305" s="136" t="str">
        <f>IF($D305&lt;&gt;"Feature",".",
IF(VLOOKUP($B305,Feature_List!$A:$AM,MATCH(CB$1,  Feature_List!$A$1:$AM$1,0),0)=T305,".","NO"))</f>
        <v>.</v>
      </c>
      <c r="CC305" s="136"/>
      <c r="CD305" s="136"/>
      <c r="CE305" s="136"/>
      <c r="CF305" s="136"/>
      <c r="CG305" s="136"/>
      <c r="CH305" s="136"/>
      <c r="CI305" s="136"/>
      <c r="CJ305" s="136"/>
      <c r="CK305" s="136"/>
      <c r="CL305" s="136"/>
      <c r="CM305" s="136"/>
      <c r="CN305" s="136"/>
      <c r="CO305" s="136" t="str">
        <f>IF($D305&lt;&gt;"Feature",".",
IF(VLOOKUP($B305,Feature_List!$A:$AM,MATCH(CO$1,  Feature_List!$A$1:$AM$1,0),0)=AG305,".","NO"))</f>
        <v>.</v>
      </c>
      <c r="CP305" s="136" t="str">
        <f>IF($D305&lt;&gt;"Feature",".",
IF(VLOOKUP($B305,Feature_List!$A:$AM,MATCH(CP$1,  Feature_List!$A$1:$AM$1,0),0)=AH305,".","NO"))</f>
        <v>.</v>
      </c>
      <c r="CQ305" s="136" t="str">
        <f>IF($D305&lt;&gt;"Feature",".",
IF(VLOOKUP($B305,Feature_List!$A:$AM,MATCH(CQ$1,  Feature_List!$A$1:$AM$1,0),0)=AI305,".","NO"))</f>
        <v>.</v>
      </c>
      <c r="CR305" s="136" t="str">
        <f>IF($D305&lt;&gt;"Feature",".",
IF(VLOOKUP($B305,Feature_List!$A:$AM,MATCH(CR$1,  Feature_List!$A$1:$AM$1,0),0)=AJ305,".","NO"))</f>
        <v>.</v>
      </c>
      <c r="CS305" s="136" t="str">
        <f>IF($D305&lt;&gt;"Feature",".",
IF(VLOOKUP($B305,Feature_List!$A:$AM,MATCH(CS$1,  Feature_List!$A$1:$AM$1,0),0)=AK305,".","NO"))</f>
        <v>.</v>
      </c>
      <c r="CT305" s="136" t="str">
        <f>IF($D305&lt;&gt;"Feature",".",
IF(VLOOKUP($B305,Feature_List!$A:$AM,MATCH(CT$1,  Feature_List!$A$1:$AM$1,0),0)=AL305,".","NO"))</f>
        <v>.</v>
      </c>
      <c r="CU305" s="136" t="str">
        <f>IF($D305&lt;&gt;"Feature",".",
IF(VLOOKUP($B305,Feature_List!$A:$AM,MATCH(CU$1,  Feature_List!$A$1:$AM$1,0),0)=AM305,".","NO"))</f>
        <v>.</v>
      </c>
      <c r="CV305" s="136" t="str">
        <f>IF($D305&lt;&gt;"Feature",".",
IF(VLOOKUP($B305,Feature_List!$A:$AM,MATCH(CV$1,  Feature_List!$A$1:$AM$1,0),0)=AN305,".","NO"))</f>
        <v>.</v>
      </c>
      <c r="CW305" s="136" t="str">
        <f>IF($D305&lt;&gt;"Feature",".",
IF(VLOOKUP($B305,Feature_List!$A:$AM,MATCH(CW$1,  Feature_List!$A$1:$AM$1,0),0)=AO305,".","NO"))</f>
        <v>.</v>
      </c>
      <c r="CX305" s="136" t="str">
        <f>IF($D305&lt;&gt;"Feature",".",
IF(VLOOKUP($B305,Feature_List!$A:$AM,MATCH(CX$1,  Feature_List!$A$1:$AM$1,0),0)=AP305,".","NO"))</f>
        <v>.</v>
      </c>
      <c r="CY305" s="136" t="str">
        <f>IF($D305&lt;&gt;"Feature",".",
IF(VLOOKUP($B305,Feature_List!$A:$AM,MATCH(CY$1,  Feature_List!$A$1:$AM$1,0),0)=AQ305,".","NO"))</f>
        <v>.</v>
      </c>
      <c r="CZ305" s="136" t="str">
        <f>IF($D305&lt;&gt;"Feature",".",
IF(VLOOKUP($B305,Feature_List!$A:$AM,MATCH(CZ$1,  Feature_List!$A$1:$AM$1,0),0)=AR305,".","NO"))</f>
        <v>.</v>
      </c>
      <c r="DA305" s="136" t="str">
        <f>IF($D305&lt;&gt;"Feature",".",
IF(VLOOKUP($B305,Feature_List!$A:$AM,MATCH(DA$1,  Feature_List!$A$1:$AM$1,0),0)=AS305,".","NO"))</f>
        <v>.</v>
      </c>
      <c r="DB305" s="136" t="str">
        <f>IF($D305&lt;&gt;"Feature",".",
IF(VLOOKUP($B305,Feature_List!$A:$AM,MATCH(DB$1,  Feature_List!$A$1:$AM$1,0),0)=AT305,".","NO"))</f>
        <v>.</v>
      </c>
      <c r="DC305" s="136" t="str">
        <f>IF($D305&lt;&gt;"Feature",".",
IF(VLOOKUP($B305,Feature_List!$A:$AM,MATCH(DC$1,  Feature_List!$A$1:$AM$1,0),0)=AU305,".","NO"))</f>
        <v>.</v>
      </c>
      <c r="DD305" s="136" t="str">
        <f>IF($D305&lt;&gt;"Feature",".",
IF(VLOOKUP($B305,Feature_List!$A:$AM,MATCH(DD$1,  Feature_List!$A$1:$AM$1,0),0)=AV305,".","NO"))</f>
        <v>.</v>
      </c>
      <c r="DE305" s="136" t="str">
        <f>IF($D305&lt;&gt;"Feature",".",
IF(VLOOKUP($B305,Feature_List!$A:$AM,MATCH(DE$1,  Feature_List!$A$1:$AM$1,0),0)=AW305,".","NO"))</f>
        <v>.</v>
      </c>
      <c r="DF305" s="136" t="str">
        <f>IF($D305&lt;&gt;"Feature",".",
IF(VLOOKUP($B305,Feature_List!$A:$AM,MATCH(DF$1,  Feature_List!$A$1:$AM$1,0),0)=AX305,".","NO"))</f>
        <v>.</v>
      </c>
      <c r="DG305" s="136" t="str">
        <f>IF($D305&lt;&gt;"Feature",".",
IF(VLOOKUP($B305,Feature_List!$A:$AM,MATCH(DG$1,  Feature_List!$A$1:$AM$1,0),0)=AY305,".","NO"))</f>
        <v>.</v>
      </c>
      <c r="DH305" s="136" t="str">
        <f>IF($D305&lt;&gt;"Feature",".",
IF(VLOOKUP($B305,Feature_List!$A:$AM,MATCH(DH$1,  Feature_List!$A$1:$AM$1,0),0)=AZ305,".","NO"))</f>
        <v>.</v>
      </c>
      <c r="DI305" s="136" t="str">
        <f>IF($D305&lt;&gt;"Feature",".",
IF(VLOOKUP($B305,Feature_List!$A:$AM,MATCH(DI$1,  Feature_List!$A$1:$AM$1,0),0)=BA305,".","NO"))</f>
        <v>.</v>
      </c>
      <c r="DJ305" s="136" t="str">
        <f>IF($D305&lt;&gt;"Feature",".",
IF(VLOOKUP($B305,Feature_List!$A:$AM,MATCH(DJ$1,  Feature_List!$A$1:$AM$1,0),0)=BB305,".","NO"))</f>
        <v>.</v>
      </c>
      <c r="DK305" s="136"/>
      <c r="DL305" s="136"/>
      <c r="DM305" s="136"/>
      <c r="DN305" s="136" t="str">
        <f>IF($D305&lt;&gt;"Feature",".",
IF(VLOOKUP($B305,Feature_List!$A:$AM,MATCH(DN$1,  Feature_List!$A$1:$AM$1,0),0)=BC305,".","NO"))</f>
        <v>.</v>
      </c>
      <c r="DO305" s="136" t="str">
        <f>IF($D305&lt;&gt;"Feature",".",
IF(VLOOKUP($B305,Feature_List!$A:$AM,MATCH(DO$1,  Feature_List!$A$1:$AM$1,0),0)=BD305,".","NO"))</f>
        <v>.</v>
      </c>
    </row>
    <row r="306" spans="2:119" x14ac:dyDescent="0.3">
      <c r="B306" s="121"/>
      <c r="C306" s="122"/>
      <c r="D306" s="122"/>
      <c r="E306" s="122"/>
      <c r="F306" s="123"/>
      <c r="G306" s="123"/>
      <c r="H306" s="122"/>
      <c r="I306" s="124"/>
      <c r="J306" s="123"/>
      <c r="K306" s="123"/>
      <c r="L306" s="122"/>
      <c r="M306" s="122"/>
      <c r="N306" s="122"/>
      <c r="O306" s="123">
        <f t="shared" si="150"/>
        <v>0</v>
      </c>
      <c r="P306" s="123">
        <f t="shared" si="151"/>
        <v>0</v>
      </c>
      <c r="Q306" s="122" t="str">
        <f t="shared" si="172"/>
        <v>ZeroEntry</v>
      </c>
      <c r="R306" s="126" t="str">
        <f t="shared" si="152"/>
        <v>ZeroEntry</v>
      </c>
      <c r="S306" s="127" t="str">
        <f t="shared" si="153"/>
        <v>ZeroEntry</v>
      </c>
      <c r="T306" s="128" t="str">
        <f>IF($Q306="ZeroEntry", "",VLOOKUP($I306,'Ranking Lookup'!#REF!,2,FALSE))</f>
        <v/>
      </c>
      <c r="U306" s="129" t="str">
        <f t="shared" si="154"/>
        <v/>
      </c>
      <c r="V306" s="129" t="str">
        <f t="shared" si="155"/>
        <v/>
      </c>
      <c r="W306" s="129" t="str">
        <f t="shared" si="156"/>
        <v/>
      </c>
      <c r="X306" s="129" t="str">
        <f t="shared" si="157"/>
        <v/>
      </c>
      <c r="Y306" s="129" t="str">
        <f t="shared" si="158"/>
        <v/>
      </c>
      <c r="Z306" s="129" t="str">
        <f t="shared" si="159"/>
        <v/>
      </c>
      <c r="AA306" s="130"/>
      <c r="AB306" s="130" t="str">
        <f t="shared" si="160"/>
        <v>Unassigned</v>
      </c>
      <c r="AC306" s="131" t="str">
        <f t="shared" si="173"/>
        <v/>
      </c>
      <c r="AD306" s="131" t="str">
        <f t="shared" si="174"/>
        <v/>
      </c>
      <c r="AE306" s="132">
        <f t="shared" si="161"/>
        <v>0</v>
      </c>
      <c r="AF306" s="133" t="str">
        <f t="shared" si="175"/>
        <v/>
      </c>
      <c r="AG306" s="134">
        <f t="shared" si="162"/>
        <v>0</v>
      </c>
      <c r="AH306" s="54" t="str">
        <f t="shared" si="163"/>
        <v/>
      </c>
      <c r="AI306" s="54" t="str">
        <f t="shared" ref="AI306:AX321" si="185">IF(AND($Q306="Feature",LEFT($AB306,2)="PI"),
IF(AND(COUNTIF($R:$R,$B306)=1,$T306=AI$1), IF($AB306=$A$10,$AF306,0),
IF(OR($AD306&lt;1,RIGHT($G306,8)="Progress",$AH306&gt;0),SUMIFS($O:$O,$R:$R,$B306,$T:$T,AI$1,$P:$P,"&lt;&gt;Done",$AB:$AB,$A$10),
IF($T306=AI$1,IF($AB306=$A$10,$AD306,0)+SUMIFS($O:$O,$R:$R,$B306,$T:$T,AI$1,$P:$P,"&lt;&gt;Done",$AB:$AB,$A$10),SUMIFS($O:$O,$R:$R,$B306,$T:$T,AI$1,$P:$P,"&lt;&gt;Done",$AB:$AB,$A$10)))),
IF(AND(OR($Q306="Story",$Q306="Problem",$Q306="Enhancement"),$AB306=$A$10,$R306=0,$T306=AI$1,$P306&lt;&gt;"Done"),$O306,""))</f>
        <v/>
      </c>
      <c r="AJ306" s="54" t="str">
        <f t="shared" si="185"/>
        <v/>
      </c>
      <c r="AK306" s="54" t="str">
        <f t="shared" si="185"/>
        <v/>
      </c>
      <c r="AL306" s="54" t="str">
        <f t="shared" si="185"/>
        <v/>
      </c>
      <c r="AM306" s="54" t="str">
        <f t="shared" si="185"/>
        <v/>
      </c>
      <c r="AN306" s="54" t="str">
        <f t="shared" si="185"/>
        <v/>
      </c>
      <c r="AO306" s="54" t="str">
        <f t="shared" si="185"/>
        <v/>
      </c>
      <c r="AP306" s="54" t="str">
        <f t="shared" si="185"/>
        <v/>
      </c>
      <c r="AQ306" s="54" t="str">
        <f t="shared" si="185"/>
        <v/>
      </c>
      <c r="AR306" s="54" t="str">
        <f t="shared" si="185"/>
        <v/>
      </c>
      <c r="AS306" s="54" t="str">
        <f t="shared" si="185"/>
        <v/>
      </c>
      <c r="AT306" s="54" t="str">
        <f t="shared" si="185"/>
        <v/>
      </c>
      <c r="AU306" s="54" t="str">
        <f t="shared" si="185"/>
        <v/>
      </c>
      <c r="AV306" s="54" t="str">
        <f t="shared" si="185"/>
        <v/>
      </c>
      <c r="AW306" s="54" t="str">
        <f t="shared" si="185"/>
        <v/>
      </c>
      <c r="AX306" s="54" t="str">
        <f t="shared" si="185"/>
        <v/>
      </c>
      <c r="AY306" s="54" t="str">
        <f t="shared" si="177"/>
        <v/>
      </c>
      <c r="AZ306" s="54" t="str">
        <f t="shared" si="165"/>
        <v/>
      </c>
      <c r="BA306" s="54" t="str">
        <f t="shared" si="166"/>
        <v/>
      </c>
      <c r="BB306" s="135" t="str">
        <f t="shared" si="167"/>
        <v/>
      </c>
      <c r="BC306" s="54" t="str">
        <f t="shared" si="183"/>
        <v/>
      </c>
      <c r="BD306" s="54" t="str">
        <f t="shared" si="183"/>
        <v/>
      </c>
      <c r="BE306" s="54" t="str">
        <f t="shared" si="183"/>
        <v/>
      </c>
      <c r="BF306" s="54" t="str">
        <f t="shared" si="168"/>
        <v/>
      </c>
      <c r="BG306" s="54" t="str">
        <f t="shared" si="169"/>
        <v/>
      </c>
      <c r="BH306" s="34" t="str">
        <f t="shared" si="170"/>
        <v>Bad</v>
      </c>
      <c r="BI306" s="34" t="str">
        <f t="shared" si="171"/>
        <v>No</v>
      </c>
      <c r="BJ306" s="136" t="str">
        <f>IF($D306&lt;&gt;"Feature",".",
IF(VLOOKUP($B306,Feature_List!$A:$AM,MATCH(BJ$1,  Feature_List!$A$1:$AM$1,0),0)=B306,".","NO"))</f>
        <v>.</v>
      </c>
      <c r="BK306" s="136"/>
      <c r="BL306" s="136"/>
      <c r="BM306" s="136" t="str">
        <f>IF($D306&lt;&gt;"Feature",".",
IF(VLOOKUP($B306,Feature_List!$A:$AM,MATCH(BM$1,  Feature_List!$A$1:$AM$1,0),0)=E306,".","NO"))</f>
        <v>.</v>
      </c>
      <c r="BN306" s="136" t="str">
        <f>IF($D306&lt;&gt;"Feature",".",
IF(VLOOKUP($B306,Feature_List!$A:$AM,MATCH(BN$1,  Feature_List!$A$1:$AM$1,0),0)=F306,".","NO"))</f>
        <v>.</v>
      </c>
      <c r="BO306" s="136" t="str">
        <f>IF($D306&lt;&gt;"Feature",".",
IF(VLOOKUP($B306,Feature_List!$A:$AM,MATCH(BO$1,  Feature_List!$A$1:$AM$1,0),0)=G306,".","NO"))</f>
        <v>.</v>
      </c>
      <c r="BP306" s="136" t="str">
        <f>IF($D306&lt;&gt;"Feature",".",
IF(VLOOKUP($B306,Feature_List!$A:$AM,MATCH(BP$1,  Feature_List!$A$1:$AM$1,0),0)=H306,".","NO"))</f>
        <v>.</v>
      </c>
      <c r="BQ306" s="136"/>
      <c r="BR306" s="136" t="str">
        <f>IF($D306&lt;&gt;"Feature",".",
IF(VLOOKUP($B306,Feature_List!$A:$AM,MATCH(BR$1,  Feature_List!$A$1:$AM$1,0),0)=J306,".","NO"))</f>
        <v>.</v>
      </c>
      <c r="BS306" s="136"/>
      <c r="BT306" s="136"/>
      <c r="BU306" s="136" t="str">
        <f>IF($D306&lt;&gt;"Feature",".",
IF(VLOOKUP($B306,Feature_List!$A:$AM,MATCH(BU$1,  Feature_List!$A$1:$AM$1,0),0)=M306,".","NO"))</f>
        <v>.</v>
      </c>
      <c r="BV306" s="136" t="str">
        <f>IF($D306&lt;&gt;"Feature",".",
IF(VLOOKUP($B306,Feature_List!$A:$AM,MATCH(BV$1,  Feature_List!$A$1:$AM$1,0),0)=N306,".","NO"))</f>
        <v>.</v>
      </c>
      <c r="BW306" s="136"/>
      <c r="BX306" s="136"/>
      <c r="BY306" s="136"/>
      <c r="BZ306" s="136"/>
      <c r="CA306" s="136"/>
      <c r="CB306" s="136" t="str">
        <f>IF($D306&lt;&gt;"Feature",".",
IF(VLOOKUP($B306,Feature_List!$A:$AM,MATCH(CB$1,  Feature_List!$A$1:$AM$1,0),0)=T306,".","NO"))</f>
        <v>.</v>
      </c>
      <c r="CC306" s="136"/>
      <c r="CD306" s="136"/>
      <c r="CE306" s="136"/>
      <c r="CF306" s="136"/>
      <c r="CG306" s="136"/>
      <c r="CH306" s="136"/>
      <c r="CI306" s="136"/>
      <c r="CJ306" s="136"/>
      <c r="CK306" s="136"/>
      <c r="CL306" s="136"/>
      <c r="CM306" s="136"/>
      <c r="CN306" s="136"/>
      <c r="CO306" s="136" t="str">
        <f>IF($D306&lt;&gt;"Feature",".",
IF(VLOOKUP($B306,Feature_List!$A:$AM,MATCH(CO$1,  Feature_List!$A$1:$AM$1,0),0)=AG306,".","NO"))</f>
        <v>.</v>
      </c>
      <c r="CP306" s="136" t="str">
        <f>IF($D306&lt;&gt;"Feature",".",
IF(VLOOKUP($B306,Feature_List!$A:$AM,MATCH(CP$1,  Feature_List!$A$1:$AM$1,0),0)=AH306,".","NO"))</f>
        <v>.</v>
      </c>
      <c r="CQ306" s="136" t="str">
        <f>IF($D306&lt;&gt;"Feature",".",
IF(VLOOKUP($B306,Feature_List!$A:$AM,MATCH(CQ$1,  Feature_List!$A$1:$AM$1,0),0)=AI306,".","NO"))</f>
        <v>.</v>
      </c>
      <c r="CR306" s="136" t="str">
        <f>IF($D306&lt;&gt;"Feature",".",
IF(VLOOKUP($B306,Feature_List!$A:$AM,MATCH(CR$1,  Feature_List!$A$1:$AM$1,0),0)=AJ306,".","NO"))</f>
        <v>.</v>
      </c>
      <c r="CS306" s="136" t="str">
        <f>IF($D306&lt;&gt;"Feature",".",
IF(VLOOKUP($B306,Feature_List!$A:$AM,MATCH(CS$1,  Feature_List!$A$1:$AM$1,0),0)=AK306,".","NO"))</f>
        <v>.</v>
      </c>
      <c r="CT306" s="136" t="str">
        <f>IF($D306&lt;&gt;"Feature",".",
IF(VLOOKUP($B306,Feature_List!$A:$AM,MATCH(CT$1,  Feature_List!$A$1:$AM$1,0),0)=AL306,".","NO"))</f>
        <v>.</v>
      </c>
      <c r="CU306" s="136" t="str">
        <f>IF($D306&lt;&gt;"Feature",".",
IF(VLOOKUP($B306,Feature_List!$A:$AM,MATCH(CU$1,  Feature_List!$A$1:$AM$1,0),0)=AM306,".","NO"))</f>
        <v>.</v>
      </c>
      <c r="CV306" s="136" t="str">
        <f>IF($D306&lt;&gt;"Feature",".",
IF(VLOOKUP($B306,Feature_List!$A:$AM,MATCH(CV$1,  Feature_List!$A$1:$AM$1,0),0)=AN306,".","NO"))</f>
        <v>.</v>
      </c>
      <c r="CW306" s="136" t="str">
        <f>IF($D306&lt;&gt;"Feature",".",
IF(VLOOKUP($B306,Feature_List!$A:$AM,MATCH(CW$1,  Feature_List!$A$1:$AM$1,0),0)=AO306,".","NO"))</f>
        <v>.</v>
      </c>
      <c r="CX306" s="136" t="str">
        <f>IF($D306&lt;&gt;"Feature",".",
IF(VLOOKUP($B306,Feature_List!$A:$AM,MATCH(CX$1,  Feature_List!$A$1:$AM$1,0),0)=AP306,".","NO"))</f>
        <v>.</v>
      </c>
      <c r="CY306" s="136" t="str">
        <f>IF($D306&lt;&gt;"Feature",".",
IF(VLOOKUP($B306,Feature_List!$A:$AM,MATCH(CY$1,  Feature_List!$A$1:$AM$1,0),0)=AQ306,".","NO"))</f>
        <v>.</v>
      </c>
      <c r="CZ306" s="136" t="str">
        <f>IF($D306&lt;&gt;"Feature",".",
IF(VLOOKUP($B306,Feature_List!$A:$AM,MATCH(CZ$1,  Feature_List!$A$1:$AM$1,0),0)=AR306,".","NO"))</f>
        <v>.</v>
      </c>
      <c r="DA306" s="136" t="str">
        <f>IF($D306&lt;&gt;"Feature",".",
IF(VLOOKUP($B306,Feature_List!$A:$AM,MATCH(DA$1,  Feature_List!$A$1:$AM$1,0),0)=AS306,".","NO"))</f>
        <v>.</v>
      </c>
      <c r="DB306" s="136" t="str">
        <f>IF($D306&lt;&gt;"Feature",".",
IF(VLOOKUP($B306,Feature_List!$A:$AM,MATCH(DB$1,  Feature_List!$A$1:$AM$1,0),0)=AT306,".","NO"))</f>
        <v>.</v>
      </c>
      <c r="DC306" s="136" t="str">
        <f>IF($D306&lt;&gt;"Feature",".",
IF(VLOOKUP($B306,Feature_List!$A:$AM,MATCH(DC$1,  Feature_List!$A$1:$AM$1,0),0)=AU306,".","NO"))</f>
        <v>.</v>
      </c>
      <c r="DD306" s="136" t="str">
        <f>IF($D306&lt;&gt;"Feature",".",
IF(VLOOKUP($B306,Feature_List!$A:$AM,MATCH(DD$1,  Feature_List!$A$1:$AM$1,0),0)=AV306,".","NO"))</f>
        <v>.</v>
      </c>
      <c r="DE306" s="136" t="str">
        <f>IF($D306&lt;&gt;"Feature",".",
IF(VLOOKUP($B306,Feature_List!$A:$AM,MATCH(DE$1,  Feature_List!$A$1:$AM$1,0),0)=AW306,".","NO"))</f>
        <v>.</v>
      </c>
      <c r="DF306" s="136" t="str">
        <f>IF($D306&lt;&gt;"Feature",".",
IF(VLOOKUP($B306,Feature_List!$A:$AM,MATCH(DF$1,  Feature_List!$A$1:$AM$1,0),0)=AX306,".","NO"))</f>
        <v>.</v>
      </c>
      <c r="DG306" s="136" t="str">
        <f>IF($D306&lt;&gt;"Feature",".",
IF(VLOOKUP($B306,Feature_List!$A:$AM,MATCH(DG$1,  Feature_List!$A$1:$AM$1,0),0)=AY306,".","NO"))</f>
        <v>.</v>
      </c>
      <c r="DH306" s="136" t="str">
        <f>IF($D306&lt;&gt;"Feature",".",
IF(VLOOKUP($B306,Feature_List!$A:$AM,MATCH(DH$1,  Feature_List!$A$1:$AM$1,0),0)=AZ306,".","NO"))</f>
        <v>.</v>
      </c>
      <c r="DI306" s="136" t="str">
        <f>IF($D306&lt;&gt;"Feature",".",
IF(VLOOKUP($B306,Feature_List!$A:$AM,MATCH(DI$1,  Feature_List!$A$1:$AM$1,0),0)=BA306,".","NO"))</f>
        <v>.</v>
      </c>
      <c r="DJ306" s="136" t="str">
        <f>IF($D306&lt;&gt;"Feature",".",
IF(VLOOKUP($B306,Feature_List!$A:$AM,MATCH(DJ$1,  Feature_List!$A$1:$AM$1,0),0)=BB306,".","NO"))</f>
        <v>.</v>
      </c>
      <c r="DK306" s="136"/>
      <c r="DL306" s="136"/>
      <c r="DM306" s="136"/>
      <c r="DN306" s="136" t="str">
        <f>IF($D306&lt;&gt;"Feature",".",
IF(VLOOKUP($B306,Feature_List!$A:$AM,MATCH(DN$1,  Feature_List!$A$1:$AM$1,0),0)=BC306,".","NO"))</f>
        <v>.</v>
      </c>
      <c r="DO306" s="136" t="str">
        <f>IF($D306&lt;&gt;"Feature",".",
IF(VLOOKUP($B306,Feature_List!$A:$AM,MATCH(DO$1,  Feature_List!$A$1:$AM$1,0),0)=BD306,".","NO"))</f>
        <v>.</v>
      </c>
    </row>
    <row r="307" spans="2:119" x14ac:dyDescent="0.3">
      <c r="B307" s="121"/>
      <c r="C307" s="122"/>
      <c r="D307" s="122"/>
      <c r="E307" s="122"/>
      <c r="F307" s="123"/>
      <c r="G307" s="123"/>
      <c r="H307" s="122"/>
      <c r="I307" s="124"/>
      <c r="J307" s="123"/>
      <c r="K307" s="123"/>
      <c r="L307" s="122"/>
      <c r="M307" s="122"/>
      <c r="N307" s="122"/>
      <c r="O307" s="123">
        <f t="shared" si="150"/>
        <v>0</v>
      </c>
      <c r="P307" s="123">
        <f t="shared" si="151"/>
        <v>0</v>
      </c>
      <c r="Q307" s="122" t="str">
        <f t="shared" si="172"/>
        <v>ZeroEntry</v>
      </c>
      <c r="R307" s="126" t="str">
        <f t="shared" si="152"/>
        <v>ZeroEntry</v>
      </c>
      <c r="S307" s="127" t="str">
        <f t="shared" si="153"/>
        <v>ZeroEntry</v>
      </c>
      <c r="T307" s="128" t="str">
        <f>IF($Q307="ZeroEntry", "",VLOOKUP($I307,'Ranking Lookup'!#REF!,2,FALSE))</f>
        <v/>
      </c>
      <c r="U307" s="129" t="str">
        <f t="shared" si="154"/>
        <v/>
      </c>
      <c r="V307" s="129" t="str">
        <f t="shared" si="155"/>
        <v/>
      </c>
      <c r="W307" s="129" t="str">
        <f t="shared" si="156"/>
        <v/>
      </c>
      <c r="X307" s="129" t="str">
        <f t="shared" si="157"/>
        <v/>
      </c>
      <c r="Y307" s="129" t="str">
        <f t="shared" si="158"/>
        <v/>
      </c>
      <c r="Z307" s="129" t="str">
        <f t="shared" si="159"/>
        <v/>
      </c>
      <c r="AA307" s="130"/>
      <c r="AB307" s="130" t="str">
        <f t="shared" si="160"/>
        <v>Unassigned</v>
      </c>
      <c r="AC307" s="131" t="str">
        <f t="shared" si="173"/>
        <v/>
      </c>
      <c r="AD307" s="131" t="str">
        <f t="shared" si="174"/>
        <v/>
      </c>
      <c r="AE307" s="132">
        <f t="shared" si="161"/>
        <v>0</v>
      </c>
      <c r="AF307" s="133" t="str">
        <f t="shared" si="175"/>
        <v/>
      </c>
      <c r="AG307" s="134">
        <f t="shared" si="162"/>
        <v>0</v>
      </c>
      <c r="AH307" s="54" t="str">
        <f t="shared" si="163"/>
        <v/>
      </c>
      <c r="AI307" s="54" t="str">
        <f t="shared" si="185"/>
        <v/>
      </c>
      <c r="AJ307" s="54" t="str">
        <f t="shared" si="185"/>
        <v/>
      </c>
      <c r="AK307" s="54" t="str">
        <f t="shared" si="185"/>
        <v/>
      </c>
      <c r="AL307" s="54" t="str">
        <f t="shared" si="185"/>
        <v/>
      </c>
      <c r="AM307" s="54" t="str">
        <f t="shared" si="185"/>
        <v/>
      </c>
      <c r="AN307" s="54" t="str">
        <f t="shared" si="185"/>
        <v/>
      </c>
      <c r="AO307" s="54" t="str">
        <f t="shared" si="185"/>
        <v/>
      </c>
      <c r="AP307" s="54" t="str">
        <f t="shared" si="185"/>
        <v/>
      </c>
      <c r="AQ307" s="54" t="str">
        <f t="shared" si="185"/>
        <v/>
      </c>
      <c r="AR307" s="54" t="str">
        <f t="shared" si="185"/>
        <v/>
      </c>
      <c r="AS307" s="54" t="str">
        <f t="shared" si="185"/>
        <v/>
      </c>
      <c r="AT307" s="54" t="str">
        <f t="shared" si="185"/>
        <v/>
      </c>
      <c r="AU307" s="54" t="str">
        <f t="shared" si="185"/>
        <v/>
      </c>
      <c r="AV307" s="54" t="str">
        <f t="shared" si="185"/>
        <v/>
      </c>
      <c r="AW307" s="54" t="str">
        <f t="shared" si="185"/>
        <v/>
      </c>
      <c r="AX307" s="54" t="str">
        <f t="shared" si="185"/>
        <v/>
      </c>
      <c r="AY307" s="54" t="str">
        <f t="shared" si="177"/>
        <v/>
      </c>
      <c r="AZ307" s="54" t="str">
        <f t="shared" si="165"/>
        <v/>
      </c>
      <c r="BA307" s="54" t="str">
        <f t="shared" si="166"/>
        <v/>
      </c>
      <c r="BB307" s="135" t="str">
        <f t="shared" si="167"/>
        <v/>
      </c>
      <c r="BC307" s="54" t="str">
        <f t="shared" si="183"/>
        <v/>
      </c>
      <c r="BD307" s="54" t="str">
        <f t="shared" si="183"/>
        <v/>
      </c>
      <c r="BE307" s="54" t="str">
        <f t="shared" si="183"/>
        <v/>
      </c>
      <c r="BF307" s="54" t="str">
        <f t="shared" si="168"/>
        <v/>
      </c>
      <c r="BG307" s="54" t="str">
        <f t="shared" si="169"/>
        <v/>
      </c>
      <c r="BH307" s="34" t="str">
        <f t="shared" si="170"/>
        <v>Bad</v>
      </c>
      <c r="BI307" s="34" t="str">
        <f t="shared" si="171"/>
        <v>No</v>
      </c>
      <c r="BJ307" s="136" t="str">
        <f>IF($D307&lt;&gt;"Feature",".",
IF(VLOOKUP($B307,Feature_List!$A:$AM,MATCH(BJ$1,  Feature_List!$A$1:$AM$1,0),0)=B307,".","NO"))</f>
        <v>.</v>
      </c>
      <c r="BK307" s="136"/>
      <c r="BL307" s="136"/>
      <c r="BM307" s="136" t="str">
        <f>IF($D307&lt;&gt;"Feature",".",
IF(VLOOKUP($B307,Feature_List!$A:$AM,MATCH(BM$1,  Feature_List!$A$1:$AM$1,0),0)=E307,".","NO"))</f>
        <v>.</v>
      </c>
      <c r="BN307" s="136" t="str">
        <f>IF($D307&lt;&gt;"Feature",".",
IF(VLOOKUP($B307,Feature_List!$A:$AM,MATCH(BN$1,  Feature_List!$A$1:$AM$1,0),0)=F307,".","NO"))</f>
        <v>.</v>
      </c>
      <c r="BO307" s="136" t="str">
        <f>IF($D307&lt;&gt;"Feature",".",
IF(VLOOKUP($B307,Feature_List!$A:$AM,MATCH(BO$1,  Feature_List!$A$1:$AM$1,0),0)=G307,".","NO"))</f>
        <v>.</v>
      </c>
      <c r="BP307" s="136" t="str">
        <f>IF($D307&lt;&gt;"Feature",".",
IF(VLOOKUP($B307,Feature_List!$A:$AM,MATCH(BP$1,  Feature_List!$A$1:$AM$1,0),0)=H307,".","NO"))</f>
        <v>.</v>
      </c>
      <c r="BQ307" s="136"/>
      <c r="BR307" s="136" t="str">
        <f>IF($D307&lt;&gt;"Feature",".",
IF(VLOOKUP($B307,Feature_List!$A:$AM,MATCH(BR$1,  Feature_List!$A$1:$AM$1,0),0)=J307,".","NO"))</f>
        <v>.</v>
      </c>
      <c r="BS307" s="136"/>
      <c r="BT307" s="136"/>
      <c r="BU307" s="136" t="str">
        <f>IF($D307&lt;&gt;"Feature",".",
IF(VLOOKUP($B307,Feature_List!$A:$AM,MATCH(BU$1,  Feature_List!$A$1:$AM$1,0),0)=M307,".","NO"))</f>
        <v>.</v>
      </c>
      <c r="BV307" s="136" t="str">
        <f>IF($D307&lt;&gt;"Feature",".",
IF(VLOOKUP($B307,Feature_List!$A:$AM,MATCH(BV$1,  Feature_List!$A$1:$AM$1,0),0)=N307,".","NO"))</f>
        <v>.</v>
      </c>
      <c r="BW307" s="136"/>
      <c r="BX307" s="136"/>
      <c r="BY307" s="136"/>
      <c r="BZ307" s="136"/>
      <c r="CA307" s="136"/>
      <c r="CB307" s="136" t="str">
        <f>IF($D307&lt;&gt;"Feature",".",
IF(VLOOKUP($B307,Feature_List!$A:$AM,MATCH(CB$1,  Feature_List!$A$1:$AM$1,0),0)=T307,".","NO"))</f>
        <v>.</v>
      </c>
      <c r="CC307" s="136"/>
      <c r="CD307" s="136"/>
      <c r="CE307" s="136"/>
      <c r="CF307" s="136"/>
      <c r="CG307" s="136"/>
      <c r="CH307" s="136"/>
      <c r="CI307" s="136"/>
      <c r="CJ307" s="136"/>
      <c r="CK307" s="136"/>
      <c r="CL307" s="136"/>
      <c r="CM307" s="136"/>
      <c r="CN307" s="136"/>
      <c r="CO307" s="136" t="str">
        <f>IF($D307&lt;&gt;"Feature",".",
IF(VLOOKUP($B307,Feature_List!$A:$AM,MATCH(CO$1,  Feature_List!$A$1:$AM$1,0),0)=AG307,".","NO"))</f>
        <v>.</v>
      </c>
      <c r="CP307" s="136" t="str">
        <f>IF($D307&lt;&gt;"Feature",".",
IF(VLOOKUP($B307,Feature_List!$A:$AM,MATCH(CP$1,  Feature_List!$A$1:$AM$1,0),0)=AH307,".","NO"))</f>
        <v>.</v>
      </c>
      <c r="CQ307" s="136" t="str">
        <f>IF($D307&lt;&gt;"Feature",".",
IF(VLOOKUP($B307,Feature_List!$A:$AM,MATCH(CQ$1,  Feature_List!$A$1:$AM$1,0),0)=AI307,".","NO"))</f>
        <v>.</v>
      </c>
      <c r="CR307" s="136" t="str">
        <f>IF($D307&lt;&gt;"Feature",".",
IF(VLOOKUP($B307,Feature_List!$A:$AM,MATCH(CR$1,  Feature_List!$A$1:$AM$1,0),0)=AJ307,".","NO"))</f>
        <v>.</v>
      </c>
      <c r="CS307" s="136" t="str">
        <f>IF($D307&lt;&gt;"Feature",".",
IF(VLOOKUP($B307,Feature_List!$A:$AM,MATCH(CS$1,  Feature_List!$A$1:$AM$1,0),0)=AK307,".","NO"))</f>
        <v>.</v>
      </c>
      <c r="CT307" s="136" t="str">
        <f>IF($D307&lt;&gt;"Feature",".",
IF(VLOOKUP($B307,Feature_List!$A:$AM,MATCH(CT$1,  Feature_List!$A$1:$AM$1,0),0)=AL307,".","NO"))</f>
        <v>.</v>
      </c>
      <c r="CU307" s="136" t="str">
        <f>IF($D307&lt;&gt;"Feature",".",
IF(VLOOKUP($B307,Feature_List!$A:$AM,MATCH(CU$1,  Feature_List!$A$1:$AM$1,0),0)=AM307,".","NO"))</f>
        <v>.</v>
      </c>
      <c r="CV307" s="136" t="str">
        <f>IF($D307&lt;&gt;"Feature",".",
IF(VLOOKUP($B307,Feature_List!$A:$AM,MATCH(CV$1,  Feature_List!$A$1:$AM$1,0),0)=AN307,".","NO"))</f>
        <v>.</v>
      </c>
      <c r="CW307" s="136" t="str">
        <f>IF($D307&lt;&gt;"Feature",".",
IF(VLOOKUP($B307,Feature_List!$A:$AM,MATCH(CW$1,  Feature_List!$A$1:$AM$1,0),0)=AO307,".","NO"))</f>
        <v>.</v>
      </c>
      <c r="CX307" s="136" t="str">
        <f>IF($D307&lt;&gt;"Feature",".",
IF(VLOOKUP($B307,Feature_List!$A:$AM,MATCH(CX$1,  Feature_List!$A$1:$AM$1,0),0)=AP307,".","NO"))</f>
        <v>.</v>
      </c>
      <c r="CY307" s="136" t="str">
        <f>IF($D307&lt;&gt;"Feature",".",
IF(VLOOKUP($B307,Feature_List!$A:$AM,MATCH(CY$1,  Feature_List!$A$1:$AM$1,0),0)=AQ307,".","NO"))</f>
        <v>.</v>
      </c>
      <c r="CZ307" s="136" t="str">
        <f>IF($D307&lt;&gt;"Feature",".",
IF(VLOOKUP($B307,Feature_List!$A:$AM,MATCH(CZ$1,  Feature_List!$A$1:$AM$1,0),0)=AR307,".","NO"))</f>
        <v>.</v>
      </c>
      <c r="DA307" s="136" t="str">
        <f>IF($D307&lt;&gt;"Feature",".",
IF(VLOOKUP($B307,Feature_List!$A:$AM,MATCH(DA$1,  Feature_List!$A$1:$AM$1,0),0)=AS307,".","NO"))</f>
        <v>.</v>
      </c>
      <c r="DB307" s="136" t="str">
        <f>IF($D307&lt;&gt;"Feature",".",
IF(VLOOKUP($B307,Feature_List!$A:$AM,MATCH(DB$1,  Feature_List!$A$1:$AM$1,0),0)=AT307,".","NO"))</f>
        <v>.</v>
      </c>
      <c r="DC307" s="136" t="str">
        <f>IF($D307&lt;&gt;"Feature",".",
IF(VLOOKUP($B307,Feature_List!$A:$AM,MATCH(DC$1,  Feature_List!$A$1:$AM$1,0),0)=AU307,".","NO"))</f>
        <v>.</v>
      </c>
      <c r="DD307" s="136" t="str">
        <f>IF($D307&lt;&gt;"Feature",".",
IF(VLOOKUP($B307,Feature_List!$A:$AM,MATCH(DD$1,  Feature_List!$A$1:$AM$1,0),0)=AV307,".","NO"))</f>
        <v>.</v>
      </c>
      <c r="DE307" s="136" t="str">
        <f>IF($D307&lt;&gt;"Feature",".",
IF(VLOOKUP($B307,Feature_List!$A:$AM,MATCH(DE$1,  Feature_List!$A$1:$AM$1,0),0)=AW307,".","NO"))</f>
        <v>.</v>
      </c>
      <c r="DF307" s="136" t="str">
        <f>IF($D307&lt;&gt;"Feature",".",
IF(VLOOKUP($B307,Feature_List!$A:$AM,MATCH(DF$1,  Feature_List!$A$1:$AM$1,0),0)=AX307,".","NO"))</f>
        <v>.</v>
      </c>
      <c r="DG307" s="136" t="str">
        <f>IF($D307&lt;&gt;"Feature",".",
IF(VLOOKUP($B307,Feature_List!$A:$AM,MATCH(DG$1,  Feature_List!$A$1:$AM$1,0),0)=AY307,".","NO"))</f>
        <v>.</v>
      </c>
      <c r="DH307" s="136" t="str">
        <f>IF($D307&lt;&gt;"Feature",".",
IF(VLOOKUP($B307,Feature_List!$A:$AM,MATCH(DH$1,  Feature_List!$A$1:$AM$1,0),0)=AZ307,".","NO"))</f>
        <v>.</v>
      </c>
      <c r="DI307" s="136" t="str">
        <f>IF($D307&lt;&gt;"Feature",".",
IF(VLOOKUP($B307,Feature_List!$A:$AM,MATCH(DI$1,  Feature_List!$A$1:$AM$1,0),0)=BA307,".","NO"))</f>
        <v>.</v>
      </c>
      <c r="DJ307" s="136" t="str">
        <f>IF($D307&lt;&gt;"Feature",".",
IF(VLOOKUP($B307,Feature_List!$A:$AM,MATCH(DJ$1,  Feature_List!$A$1:$AM$1,0),0)=BB307,".","NO"))</f>
        <v>.</v>
      </c>
      <c r="DK307" s="136"/>
      <c r="DL307" s="136"/>
      <c r="DM307" s="136"/>
      <c r="DN307" s="136" t="str">
        <f>IF($D307&lt;&gt;"Feature",".",
IF(VLOOKUP($B307,Feature_List!$A:$AM,MATCH(DN$1,  Feature_List!$A$1:$AM$1,0),0)=BC307,".","NO"))</f>
        <v>.</v>
      </c>
      <c r="DO307" s="136" t="str">
        <f>IF($D307&lt;&gt;"Feature",".",
IF(VLOOKUP($B307,Feature_List!$A:$AM,MATCH(DO$1,  Feature_List!$A$1:$AM$1,0),0)=BD307,".","NO"))</f>
        <v>.</v>
      </c>
    </row>
    <row r="308" spans="2:119" x14ac:dyDescent="0.3">
      <c r="B308" s="121"/>
      <c r="C308" s="122"/>
      <c r="D308" s="122"/>
      <c r="E308" s="122"/>
      <c r="F308" s="123"/>
      <c r="G308" s="123"/>
      <c r="H308" s="122"/>
      <c r="I308" s="124"/>
      <c r="J308" s="123"/>
      <c r="K308" s="123"/>
      <c r="L308" s="122"/>
      <c r="M308" s="122"/>
      <c r="N308" s="122"/>
      <c r="O308" s="123">
        <f t="shared" si="150"/>
        <v>0</v>
      </c>
      <c r="P308" s="123">
        <f t="shared" si="151"/>
        <v>0</v>
      </c>
      <c r="Q308" s="122" t="str">
        <f t="shared" si="172"/>
        <v>ZeroEntry</v>
      </c>
      <c r="R308" s="126" t="str">
        <f t="shared" si="152"/>
        <v>ZeroEntry</v>
      </c>
      <c r="S308" s="127" t="str">
        <f t="shared" si="153"/>
        <v>ZeroEntry</v>
      </c>
      <c r="T308" s="128" t="str">
        <f>IF($Q308="ZeroEntry", "",VLOOKUP($I308,'Ranking Lookup'!#REF!,2,FALSE))</f>
        <v/>
      </c>
      <c r="U308" s="129" t="str">
        <f t="shared" si="154"/>
        <v/>
      </c>
      <c r="V308" s="129" t="str">
        <f t="shared" si="155"/>
        <v/>
      </c>
      <c r="W308" s="129" t="str">
        <f t="shared" si="156"/>
        <v/>
      </c>
      <c r="X308" s="129" t="str">
        <f t="shared" si="157"/>
        <v/>
      </c>
      <c r="Y308" s="129" t="str">
        <f t="shared" si="158"/>
        <v/>
      </c>
      <c r="Z308" s="129" t="str">
        <f t="shared" si="159"/>
        <v/>
      </c>
      <c r="AA308" s="130"/>
      <c r="AB308" s="130" t="str">
        <f t="shared" si="160"/>
        <v>Unassigned</v>
      </c>
      <c r="AC308" s="131" t="str">
        <f t="shared" si="173"/>
        <v/>
      </c>
      <c r="AD308" s="131" t="str">
        <f t="shared" si="174"/>
        <v/>
      </c>
      <c r="AE308" s="132">
        <f t="shared" si="161"/>
        <v>0</v>
      </c>
      <c r="AF308" s="133" t="str">
        <f t="shared" si="175"/>
        <v/>
      </c>
      <c r="AG308" s="134">
        <f t="shared" si="162"/>
        <v>0</v>
      </c>
      <c r="AH308" s="54" t="str">
        <f t="shared" si="163"/>
        <v/>
      </c>
      <c r="AI308" s="54" t="str">
        <f t="shared" si="185"/>
        <v/>
      </c>
      <c r="AJ308" s="54" t="str">
        <f t="shared" si="185"/>
        <v/>
      </c>
      <c r="AK308" s="54" t="str">
        <f t="shared" si="185"/>
        <v/>
      </c>
      <c r="AL308" s="54" t="str">
        <f t="shared" si="185"/>
        <v/>
      </c>
      <c r="AM308" s="54" t="str">
        <f t="shared" si="185"/>
        <v/>
      </c>
      <c r="AN308" s="54" t="str">
        <f t="shared" si="185"/>
        <v/>
      </c>
      <c r="AO308" s="54" t="str">
        <f t="shared" si="185"/>
        <v/>
      </c>
      <c r="AP308" s="54" t="str">
        <f t="shared" si="185"/>
        <v/>
      </c>
      <c r="AQ308" s="54" t="str">
        <f t="shared" si="185"/>
        <v/>
      </c>
      <c r="AR308" s="54" t="str">
        <f t="shared" si="185"/>
        <v/>
      </c>
      <c r="AS308" s="54" t="str">
        <f t="shared" si="185"/>
        <v/>
      </c>
      <c r="AT308" s="54" t="str">
        <f t="shared" si="185"/>
        <v/>
      </c>
      <c r="AU308" s="54" t="str">
        <f t="shared" si="185"/>
        <v/>
      </c>
      <c r="AV308" s="54" t="str">
        <f t="shared" si="185"/>
        <v/>
      </c>
      <c r="AW308" s="54" t="str">
        <f t="shared" si="185"/>
        <v/>
      </c>
      <c r="AX308" s="54" t="str">
        <f t="shared" si="185"/>
        <v/>
      </c>
      <c r="AY308" s="54" t="str">
        <f t="shared" si="177"/>
        <v/>
      </c>
      <c r="AZ308" s="54" t="str">
        <f t="shared" si="165"/>
        <v/>
      </c>
      <c r="BA308" s="54" t="str">
        <f t="shared" si="166"/>
        <v/>
      </c>
      <c r="BB308" s="135" t="str">
        <f t="shared" si="167"/>
        <v/>
      </c>
      <c r="BC308" s="54" t="str">
        <f t="shared" si="183"/>
        <v/>
      </c>
      <c r="BD308" s="54" t="str">
        <f t="shared" si="183"/>
        <v/>
      </c>
      <c r="BE308" s="54" t="str">
        <f t="shared" si="183"/>
        <v/>
      </c>
      <c r="BF308" s="54" t="str">
        <f t="shared" si="168"/>
        <v/>
      </c>
      <c r="BG308" s="54" t="str">
        <f t="shared" si="169"/>
        <v/>
      </c>
      <c r="BH308" s="34" t="str">
        <f t="shared" si="170"/>
        <v>Bad</v>
      </c>
      <c r="BI308" s="34" t="str">
        <f t="shared" si="171"/>
        <v>No</v>
      </c>
      <c r="BJ308" s="136" t="str">
        <f>IF($D308&lt;&gt;"Feature",".",
IF(VLOOKUP($B308,Feature_List!$A:$AM,MATCH(BJ$1,  Feature_List!$A$1:$AM$1,0),0)=B308,".","NO"))</f>
        <v>.</v>
      </c>
      <c r="BK308" s="136"/>
      <c r="BL308" s="136"/>
      <c r="BM308" s="136" t="str">
        <f>IF($D308&lt;&gt;"Feature",".",
IF(VLOOKUP($B308,Feature_List!$A:$AM,MATCH(BM$1,  Feature_List!$A$1:$AM$1,0),0)=E308,".","NO"))</f>
        <v>.</v>
      </c>
      <c r="BN308" s="136" t="str">
        <f>IF($D308&lt;&gt;"Feature",".",
IF(VLOOKUP($B308,Feature_List!$A:$AM,MATCH(BN$1,  Feature_List!$A$1:$AM$1,0),0)=F308,".","NO"))</f>
        <v>.</v>
      </c>
      <c r="BO308" s="136" t="str">
        <f>IF($D308&lt;&gt;"Feature",".",
IF(VLOOKUP($B308,Feature_List!$A:$AM,MATCH(BO$1,  Feature_List!$A$1:$AM$1,0),0)=G308,".","NO"))</f>
        <v>.</v>
      </c>
      <c r="BP308" s="136" t="str">
        <f>IF($D308&lt;&gt;"Feature",".",
IF(VLOOKUP($B308,Feature_List!$A:$AM,MATCH(BP$1,  Feature_List!$A$1:$AM$1,0),0)=H308,".","NO"))</f>
        <v>.</v>
      </c>
      <c r="BQ308" s="136"/>
      <c r="BR308" s="136" t="str">
        <f>IF($D308&lt;&gt;"Feature",".",
IF(VLOOKUP($B308,Feature_List!$A:$AM,MATCH(BR$1,  Feature_List!$A$1:$AM$1,0),0)=J308,".","NO"))</f>
        <v>.</v>
      </c>
      <c r="BS308" s="136"/>
      <c r="BT308" s="136"/>
      <c r="BU308" s="136" t="str">
        <f>IF($D308&lt;&gt;"Feature",".",
IF(VLOOKUP($B308,Feature_List!$A:$AM,MATCH(BU$1,  Feature_List!$A$1:$AM$1,0),0)=M308,".","NO"))</f>
        <v>.</v>
      </c>
      <c r="BV308" s="136" t="str">
        <f>IF($D308&lt;&gt;"Feature",".",
IF(VLOOKUP($B308,Feature_List!$A:$AM,MATCH(BV$1,  Feature_List!$A$1:$AM$1,0),0)=N308,".","NO"))</f>
        <v>.</v>
      </c>
      <c r="BW308" s="136"/>
      <c r="BX308" s="136"/>
      <c r="BY308" s="136"/>
      <c r="BZ308" s="136"/>
      <c r="CA308" s="136"/>
      <c r="CB308" s="136" t="str">
        <f>IF($D308&lt;&gt;"Feature",".",
IF(VLOOKUP($B308,Feature_List!$A:$AM,MATCH(CB$1,  Feature_List!$A$1:$AM$1,0),0)=T308,".","NO"))</f>
        <v>.</v>
      </c>
      <c r="CC308" s="136"/>
      <c r="CD308" s="136"/>
      <c r="CE308" s="136"/>
      <c r="CF308" s="136"/>
      <c r="CG308" s="136"/>
      <c r="CH308" s="136"/>
      <c r="CI308" s="136"/>
      <c r="CJ308" s="136"/>
      <c r="CK308" s="136"/>
      <c r="CL308" s="136"/>
      <c r="CM308" s="136"/>
      <c r="CN308" s="136"/>
      <c r="CO308" s="136" t="str">
        <f>IF($D308&lt;&gt;"Feature",".",
IF(VLOOKUP($B308,Feature_List!$A:$AM,MATCH(CO$1,  Feature_List!$A$1:$AM$1,0),0)=AG308,".","NO"))</f>
        <v>.</v>
      </c>
      <c r="CP308" s="136" t="str">
        <f>IF($D308&lt;&gt;"Feature",".",
IF(VLOOKUP($B308,Feature_List!$A:$AM,MATCH(CP$1,  Feature_List!$A$1:$AM$1,0),0)=AH308,".","NO"))</f>
        <v>.</v>
      </c>
      <c r="CQ308" s="136" t="str">
        <f>IF($D308&lt;&gt;"Feature",".",
IF(VLOOKUP($B308,Feature_List!$A:$AM,MATCH(CQ$1,  Feature_List!$A$1:$AM$1,0),0)=AI308,".","NO"))</f>
        <v>.</v>
      </c>
      <c r="CR308" s="136" t="str">
        <f>IF($D308&lt;&gt;"Feature",".",
IF(VLOOKUP($B308,Feature_List!$A:$AM,MATCH(CR$1,  Feature_List!$A$1:$AM$1,0),0)=AJ308,".","NO"))</f>
        <v>.</v>
      </c>
      <c r="CS308" s="136" t="str">
        <f>IF($D308&lt;&gt;"Feature",".",
IF(VLOOKUP($B308,Feature_List!$A:$AM,MATCH(CS$1,  Feature_List!$A$1:$AM$1,0),0)=AK308,".","NO"))</f>
        <v>.</v>
      </c>
      <c r="CT308" s="136" t="str">
        <f>IF($D308&lt;&gt;"Feature",".",
IF(VLOOKUP($B308,Feature_List!$A:$AM,MATCH(CT$1,  Feature_List!$A$1:$AM$1,0),0)=AL308,".","NO"))</f>
        <v>.</v>
      </c>
      <c r="CU308" s="136" t="str">
        <f>IF($D308&lt;&gt;"Feature",".",
IF(VLOOKUP($B308,Feature_List!$A:$AM,MATCH(CU$1,  Feature_List!$A$1:$AM$1,0),0)=AM308,".","NO"))</f>
        <v>.</v>
      </c>
      <c r="CV308" s="136" t="str">
        <f>IF($D308&lt;&gt;"Feature",".",
IF(VLOOKUP($B308,Feature_List!$A:$AM,MATCH(CV$1,  Feature_List!$A$1:$AM$1,0),0)=AN308,".","NO"))</f>
        <v>.</v>
      </c>
      <c r="CW308" s="136" t="str">
        <f>IF($D308&lt;&gt;"Feature",".",
IF(VLOOKUP($B308,Feature_List!$A:$AM,MATCH(CW$1,  Feature_List!$A$1:$AM$1,0),0)=AO308,".","NO"))</f>
        <v>.</v>
      </c>
      <c r="CX308" s="136" t="str">
        <f>IF($D308&lt;&gt;"Feature",".",
IF(VLOOKUP($B308,Feature_List!$A:$AM,MATCH(CX$1,  Feature_List!$A$1:$AM$1,0),0)=AP308,".","NO"))</f>
        <v>.</v>
      </c>
      <c r="CY308" s="136" t="str">
        <f>IF($D308&lt;&gt;"Feature",".",
IF(VLOOKUP($B308,Feature_List!$A:$AM,MATCH(CY$1,  Feature_List!$A$1:$AM$1,0),0)=AQ308,".","NO"))</f>
        <v>.</v>
      </c>
      <c r="CZ308" s="136" t="str">
        <f>IF($D308&lt;&gt;"Feature",".",
IF(VLOOKUP($B308,Feature_List!$A:$AM,MATCH(CZ$1,  Feature_List!$A$1:$AM$1,0),0)=AR308,".","NO"))</f>
        <v>.</v>
      </c>
      <c r="DA308" s="136" t="str">
        <f>IF($D308&lt;&gt;"Feature",".",
IF(VLOOKUP($B308,Feature_List!$A:$AM,MATCH(DA$1,  Feature_List!$A$1:$AM$1,0),0)=AS308,".","NO"))</f>
        <v>.</v>
      </c>
      <c r="DB308" s="136" t="str">
        <f>IF($D308&lt;&gt;"Feature",".",
IF(VLOOKUP($B308,Feature_List!$A:$AM,MATCH(DB$1,  Feature_List!$A$1:$AM$1,0),0)=AT308,".","NO"))</f>
        <v>.</v>
      </c>
      <c r="DC308" s="136" t="str">
        <f>IF($D308&lt;&gt;"Feature",".",
IF(VLOOKUP($B308,Feature_List!$A:$AM,MATCH(DC$1,  Feature_List!$A$1:$AM$1,0),0)=AU308,".","NO"))</f>
        <v>.</v>
      </c>
      <c r="DD308" s="136" t="str">
        <f>IF($D308&lt;&gt;"Feature",".",
IF(VLOOKUP($B308,Feature_List!$A:$AM,MATCH(DD$1,  Feature_List!$A$1:$AM$1,0),0)=AV308,".","NO"))</f>
        <v>.</v>
      </c>
      <c r="DE308" s="136" t="str">
        <f>IF($D308&lt;&gt;"Feature",".",
IF(VLOOKUP($B308,Feature_List!$A:$AM,MATCH(DE$1,  Feature_List!$A$1:$AM$1,0),0)=AW308,".","NO"))</f>
        <v>.</v>
      </c>
      <c r="DF308" s="136" t="str">
        <f>IF($D308&lt;&gt;"Feature",".",
IF(VLOOKUP($B308,Feature_List!$A:$AM,MATCH(DF$1,  Feature_List!$A$1:$AM$1,0),0)=AX308,".","NO"))</f>
        <v>.</v>
      </c>
      <c r="DG308" s="136" t="str">
        <f>IF($D308&lt;&gt;"Feature",".",
IF(VLOOKUP($B308,Feature_List!$A:$AM,MATCH(DG$1,  Feature_List!$A$1:$AM$1,0),0)=AY308,".","NO"))</f>
        <v>.</v>
      </c>
      <c r="DH308" s="136" t="str">
        <f>IF($D308&lt;&gt;"Feature",".",
IF(VLOOKUP($B308,Feature_List!$A:$AM,MATCH(DH$1,  Feature_List!$A$1:$AM$1,0),0)=AZ308,".","NO"))</f>
        <v>.</v>
      </c>
      <c r="DI308" s="136" t="str">
        <f>IF($D308&lt;&gt;"Feature",".",
IF(VLOOKUP($B308,Feature_List!$A:$AM,MATCH(DI$1,  Feature_List!$A$1:$AM$1,0),0)=BA308,".","NO"))</f>
        <v>.</v>
      </c>
      <c r="DJ308" s="136" t="str">
        <f>IF($D308&lt;&gt;"Feature",".",
IF(VLOOKUP($B308,Feature_List!$A:$AM,MATCH(DJ$1,  Feature_List!$A$1:$AM$1,0),0)=BB308,".","NO"))</f>
        <v>.</v>
      </c>
      <c r="DK308" s="136"/>
      <c r="DL308" s="136"/>
      <c r="DM308" s="136"/>
      <c r="DN308" s="136" t="str">
        <f>IF($D308&lt;&gt;"Feature",".",
IF(VLOOKUP($B308,Feature_List!$A:$AM,MATCH(DN$1,  Feature_List!$A$1:$AM$1,0),0)=BC308,".","NO"))</f>
        <v>.</v>
      </c>
      <c r="DO308" s="136" t="str">
        <f>IF($D308&lt;&gt;"Feature",".",
IF(VLOOKUP($B308,Feature_List!$A:$AM,MATCH(DO$1,  Feature_List!$A$1:$AM$1,0),0)=BD308,".","NO"))</f>
        <v>.</v>
      </c>
    </row>
    <row r="309" spans="2:119" x14ac:dyDescent="0.3">
      <c r="B309" s="121"/>
      <c r="C309" s="123"/>
      <c r="D309" s="122"/>
      <c r="E309" s="122"/>
      <c r="F309" s="123"/>
      <c r="G309" s="123"/>
      <c r="H309" s="122"/>
      <c r="I309" s="124"/>
      <c r="J309" s="123"/>
      <c r="K309" s="123"/>
      <c r="L309" s="122"/>
      <c r="M309" s="122"/>
      <c r="N309" s="122"/>
      <c r="O309" s="123">
        <f t="shared" si="150"/>
        <v>0</v>
      </c>
      <c r="P309" s="123">
        <f t="shared" si="151"/>
        <v>0</v>
      </c>
      <c r="Q309" s="122" t="str">
        <f t="shared" si="172"/>
        <v>ZeroEntry</v>
      </c>
      <c r="R309" s="126" t="str">
        <f t="shared" si="152"/>
        <v>ZeroEntry</v>
      </c>
      <c r="S309" s="127" t="str">
        <f t="shared" si="153"/>
        <v>ZeroEntry</v>
      </c>
      <c r="T309" s="128" t="str">
        <f>IF($Q309="ZeroEntry", "",VLOOKUP($I309,'Ranking Lookup'!#REF!,2,FALSE))</f>
        <v/>
      </c>
      <c r="U309" s="129" t="str">
        <f t="shared" si="154"/>
        <v/>
      </c>
      <c r="V309" s="129" t="str">
        <f t="shared" si="155"/>
        <v/>
      </c>
      <c r="W309" s="129" t="str">
        <f t="shared" si="156"/>
        <v/>
      </c>
      <c r="X309" s="129" t="str">
        <f t="shared" si="157"/>
        <v/>
      </c>
      <c r="Y309" s="129" t="str">
        <f t="shared" si="158"/>
        <v/>
      </c>
      <c r="Z309" s="129" t="str">
        <f t="shared" si="159"/>
        <v/>
      </c>
      <c r="AA309" s="130"/>
      <c r="AB309" s="130" t="str">
        <f t="shared" si="160"/>
        <v>Unassigned</v>
      </c>
      <c r="AC309" s="131" t="str">
        <f t="shared" si="173"/>
        <v/>
      </c>
      <c r="AD309" s="131" t="str">
        <f t="shared" si="174"/>
        <v/>
      </c>
      <c r="AE309" s="132">
        <f t="shared" si="161"/>
        <v>0</v>
      </c>
      <c r="AF309" s="133" t="str">
        <f t="shared" si="175"/>
        <v/>
      </c>
      <c r="AG309" s="134">
        <f t="shared" si="162"/>
        <v>0</v>
      </c>
      <c r="AH309" s="54" t="str">
        <f t="shared" si="163"/>
        <v/>
      </c>
      <c r="AI309" s="54" t="str">
        <f t="shared" si="185"/>
        <v/>
      </c>
      <c r="AJ309" s="54" t="str">
        <f t="shared" si="185"/>
        <v/>
      </c>
      <c r="AK309" s="54" t="str">
        <f t="shared" si="185"/>
        <v/>
      </c>
      <c r="AL309" s="54" t="str">
        <f t="shared" si="185"/>
        <v/>
      </c>
      <c r="AM309" s="54" t="str">
        <f t="shared" si="185"/>
        <v/>
      </c>
      <c r="AN309" s="54" t="str">
        <f t="shared" si="185"/>
        <v/>
      </c>
      <c r="AO309" s="54" t="str">
        <f t="shared" si="185"/>
        <v/>
      </c>
      <c r="AP309" s="54" t="str">
        <f t="shared" si="185"/>
        <v/>
      </c>
      <c r="AQ309" s="54" t="str">
        <f t="shared" si="185"/>
        <v/>
      </c>
      <c r="AR309" s="54" t="str">
        <f t="shared" si="185"/>
        <v/>
      </c>
      <c r="AS309" s="54" t="str">
        <f t="shared" si="185"/>
        <v/>
      </c>
      <c r="AT309" s="54" t="str">
        <f t="shared" si="185"/>
        <v/>
      </c>
      <c r="AU309" s="54" t="str">
        <f t="shared" si="185"/>
        <v/>
      </c>
      <c r="AV309" s="54" t="str">
        <f t="shared" si="185"/>
        <v/>
      </c>
      <c r="AW309" s="54" t="str">
        <f t="shared" si="185"/>
        <v/>
      </c>
      <c r="AX309" s="54" t="str">
        <f t="shared" si="185"/>
        <v/>
      </c>
      <c r="AY309" s="54" t="str">
        <f t="shared" si="177"/>
        <v/>
      </c>
      <c r="AZ309" s="54" t="str">
        <f t="shared" si="165"/>
        <v/>
      </c>
      <c r="BA309" s="54" t="str">
        <f t="shared" si="166"/>
        <v/>
      </c>
      <c r="BB309" s="135" t="str">
        <f t="shared" si="167"/>
        <v/>
      </c>
      <c r="BC309" s="54" t="str">
        <f t="shared" si="183"/>
        <v/>
      </c>
      <c r="BD309" s="54" t="str">
        <f t="shared" si="183"/>
        <v/>
      </c>
      <c r="BE309" s="54" t="str">
        <f t="shared" si="183"/>
        <v/>
      </c>
      <c r="BF309" s="54" t="str">
        <f t="shared" si="168"/>
        <v/>
      </c>
      <c r="BG309" s="54" t="str">
        <f t="shared" si="169"/>
        <v/>
      </c>
      <c r="BH309" s="34" t="str">
        <f t="shared" si="170"/>
        <v>Bad</v>
      </c>
      <c r="BI309" s="34" t="str">
        <f t="shared" si="171"/>
        <v>No</v>
      </c>
      <c r="BJ309" s="136" t="str">
        <f>IF($D309&lt;&gt;"Feature",".",
IF(VLOOKUP($B309,Feature_List!$A:$AM,MATCH(BJ$1,  Feature_List!$A$1:$AM$1,0),0)=B309,".","NO"))</f>
        <v>.</v>
      </c>
      <c r="BK309" s="136"/>
      <c r="BL309" s="136"/>
      <c r="BM309" s="136" t="str">
        <f>IF($D309&lt;&gt;"Feature",".",
IF(VLOOKUP($B309,Feature_List!$A:$AM,MATCH(BM$1,  Feature_List!$A$1:$AM$1,0),0)=E309,".","NO"))</f>
        <v>.</v>
      </c>
      <c r="BN309" s="136" t="str">
        <f>IF($D309&lt;&gt;"Feature",".",
IF(VLOOKUP($B309,Feature_List!$A:$AM,MATCH(BN$1,  Feature_List!$A$1:$AM$1,0),0)=F309,".","NO"))</f>
        <v>.</v>
      </c>
      <c r="BO309" s="136" t="str">
        <f>IF($D309&lt;&gt;"Feature",".",
IF(VLOOKUP($B309,Feature_List!$A:$AM,MATCH(BO$1,  Feature_List!$A$1:$AM$1,0),0)=G309,".","NO"))</f>
        <v>.</v>
      </c>
      <c r="BP309" s="136" t="str">
        <f>IF($D309&lt;&gt;"Feature",".",
IF(VLOOKUP($B309,Feature_List!$A:$AM,MATCH(BP$1,  Feature_List!$A$1:$AM$1,0),0)=H309,".","NO"))</f>
        <v>.</v>
      </c>
      <c r="BQ309" s="136"/>
      <c r="BR309" s="136" t="str">
        <f>IF($D309&lt;&gt;"Feature",".",
IF(VLOOKUP($B309,Feature_List!$A:$AM,MATCH(BR$1,  Feature_List!$A$1:$AM$1,0),0)=J309,".","NO"))</f>
        <v>.</v>
      </c>
      <c r="BS309" s="136"/>
      <c r="BT309" s="136"/>
      <c r="BU309" s="136" t="str">
        <f>IF($D309&lt;&gt;"Feature",".",
IF(VLOOKUP($B309,Feature_List!$A:$AM,MATCH(BU$1,  Feature_List!$A$1:$AM$1,0),0)=M309,".","NO"))</f>
        <v>.</v>
      </c>
      <c r="BV309" s="136" t="str">
        <f>IF($D309&lt;&gt;"Feature",".",
IF(VLOOKUP($B309,Feature_List!$A:$AM,MATCH(BV$1,  Feature_List!$A$1:$AM$1,0),0)=N309,".","NO"))</f>
        <v>.</v>
      </c>
      <c r="BW309" s="136"/>
      <c r="BX309" s="136"/>
      <c r="BY309" s="136"/>
      <c r="BZ309" s="136"/>
      <c r="CA309" s="136"/>
      <c r="CB309" s="136" t="str">
        <f>IF($D309&lt;&gt;"Feature",".",
IF(VLOOKUP($B309,Feature_List!$A:$AM,MATCH(CB$1,  Feature_List!$A$1:$AM$1,0),0)=T309,".","NO"))</f>
        <v>.</v>
      </c>
      <c r="CC309" s="136"/>
      <c r="CD309" s="136"/>
      <c r="CE309" s="136"/>
      <c r="CF309" s="136"/>
      <c r="CG309" s="136"/>
      <c r="CH309" s="136"/>
      <c r="CI309" s="136"/>
      <c r="CJ309" s="136"/>
      <c r="CK309" s="136"/>
      <c r="CL309" s="136"/>
      <c r="CM309" s="136"/>
      <c r="CN309" s="136"/>
      <c r="CO309" s="136" t="str">
        <f>IF($D309&lt;&gt;"Feature",".",
IF(VLOOKUP($B309,Feature_List!$A:$AM,MATCH(CO$1,  Feature_List!$A$1:$AM$1,0),0)=AG309,".","NO"))</f>
        <v>.</v>
      </c>
      <c r="CP309" s="136" t="str">
        <f>IF($D309&lt;&gt;"Feature",".",
IF(VLOOKUP($B309,Feature_List!$A:$AM,MATCH(CP$1,  Feature_List!$A$1:$AM$1,0),0)=AH309,".","NO"))</f>
        <v>.</v>
      </c>
      <c r="CQ309" s="136" t="str">
        <f>IF($D309&lt;&gt;"Feature",".",
IF(VLOOKUP($B309,Feature_List!$A:$AM,MATCH(CQ$1,  Feature_List!$A$1:$AM$1,0),0)=AI309,".","NO"))</f>
        <v>.</v>
      </c>
      <c r="CR309" s="136" t="str">
        <f>IF($D309&lt;&gt;"Feature",".",
IF(VLOOKUP($B309,Feature_List!$A:$AM,MATCH(CR$1,  Feature_List!$A$1:$AM$1,0),0)=AJ309,".","NO"))</f>
        <v>.</v>
      </c>
      <c r="CS309" s="136" t="str">
        <f>IF($D309&lt;&gt;"Feature",".",
IF(VLOOKUP($B309,Feature_List!$A:$AM,MATCH(CS$1,  Feature_List!$A$1:$AM$1,0),0)=AK309,".","NO"))</f>
        <v>.</v>
      </c>
      <c r="CT309" s="136" t="str">
        <f>IF($D309&lt;&gt;"Feature",".",
IF(VLOOKUP($B309,Feature_List!$A:$AM,MATCH(CT$1,  Feature_List!$A$1:$AM$1,0),0)=AL309,".","NO"))</f>
        <v>.</v>
      </c>
      <c r="CU309" s="136" t="str">
        <f>IF($D309&lt;&gt;"Feature",".",
IF(VLOOKUP($B309,Feature_List!$A:$AM,MATCH(CU$1,  Feature_List!$A$1:$AM$1,0),0)=AM309,".","NO"))</f>
        <v>.</v>
      </c>
      <c r="CV309" s="136" t="str">
        <f>IF($D309&lt;&gt;"Feature",".",
IF(VLOOKUP($B309,Feature_List!$A:$AM,MATCH(CV$1,  Feature_List!$A$1:$AM$1,0),0)=AN309,".","NO"))</f>
        <v>.</v>
      </c>
      <c r="CW309" s="136" t="str">
        <f>IF($D309&lt;&gt;"Feature",".",
IF(VLOOKUP($B309,Feature_List!$A:$AM,MATCH(CW$1,  Feature_List!$A$1:$AM$1,0),0)=AO309,".","NO"))</f>
        <v>.</v>
      </c>
      <c r="CX309" s="136" t="str">
        <f>IF($D309&lt;&gt;"Feature",".",
IF(VLOOKUP($B309,Feature_List!$A:$AM,MATCH(CX$1,  Feature_List!$A$1:$AM$1,0),0)=AP309,".","NO"))</f>
        <v>.</v>
      </c>
      <c r="CY309" s="136" t="str">
        <f>IF($D309&lt;&gt;"Feature",".",
IF(VLOOKUP($B309,Feature_List!$A:$AM,MATCH(CY$1,  Feature_List!$A$1:$AM$1,0),0)=AQ309,".","NO"))</f>
        <v>.</v>
      </c>
      <c r="CZ309" s="136" t="str">
        <f>IF($D309&lt;&gt;"Feature",".",
IF(VLOOKUP($B309,Feature_List!$A:$AM,MATCH(CZ$1,  Feature_List!$A$1:$AM$1,0),0)=AR309,".","NO"))</f>
        <v>.</v>
      </c>
      <c r="DA309" s="136" t="str">
        <f>IF($D309&lt;&gt;"Feature",".",
IF(VLOOKUP($B309,Feature_List!$A:$AM,MATCH(DA$1,  Feature_List!$A$1:$AM$1,0),0)=AS309,".","NO"))</f>
        <v>.</v>
      </c>
      <c r="DB309" s="136" t="str">
        <f>IF($D309&lt;&gt;"Feature",".",
IF(VLOOKUP($B309,Feature_List!$A:$AM,MATCH(DB$1,  Feature_List!$A$1:$AM$1,0),0)=AT309,".","NO"))</f>
        <v>.</v>
      </c>
      <c r="DC309" s="136" t="str">
        <f>IF($D309&lt;&gt;"Feature",".",
IF(VLOOKUP($B309,Feature_List!$A:$AM,MATCH(DC$1,  Feature_List!$A$1:$AM$1,0),0)=AU309,".","NO"))</f>
        <v>.</v>
      </c>
      <c r="DD309" s="136" t="str">
        <f>IF($D309&lt;&gt;"Feature",".",
IF(VLOOKUP($B309,Feature_List!$A:$AM,MATCH(DD$1,  Feature_List!$A$1:$AM$1,0),0)=AV309,".","NO"))</f>
        <v>.</v>
      </c>
      <c r="DE309" s="136" t="str">
        <f>IF($D309&lt;&gt;"Feature",".",
IF(VLOOKUP($B309,Feature_List!$A:$AM,MATCH(DE$1,  Feature_List!$A$1:$AM$1,0),0)=AW309,".","NO"))</f>
        <v>.</v>
      </c>
      <c r="DF309" s="136" t="str">
        <f>IF($D309&lt;&gt;"Feature",".",
IF(VLOOKUP($B309,Feature_List!$A:$AM,MATCH(DF$1,  Feature_List!$A$1:$AM$1,0),0)=AX309,".","NO"))</f>
        <v>.</v>
      </c>
      <c r="DG309" s="136" t="str">
        <f>IF($D309&lt;&gt;"Feature",".",
IF(VLOOKUP($B309,Feature_List!$A:$AM,MATCH(DG$1,  Feature_List!$A$1:$AM$1,0),0)=AY309,".","NO"))</f>
        <v>.</v>
      </c>
      <c r="DH309" s="136" t="str">
        <f>IF($D309&lt;&gt;"Feature",".",
IF(VLOOKUP($B309,Feature_List!$A:$AM,MATCH(DH$1,  Feature_List!$A$1:$AM$1,0),0)=AZ309,".","NO"))</f>
        <v>.</v>
      </c>
      <c r="DI309" s="136" t="str">
        <f>IF($D309&lt;&gt;"Feature",".",
IF(VLOOKUP($B309,Feature_List!$A:$AM,MATCH(DI$1,  Feature_List!$A$1:$AM$1,0),0)=BA309,".","NO"))</f>
        <v>.</v>
      </c>
      <c r="DJ309" s="136" t="str">
        <f>IF($D309&lt;&gt;"Feature",".",
IF(VLOOKUP($B309,Feature_List!$A:$AM,MATCH(DJ$1,  Feature_List!$A$1:$AM$1,0),0)=BB309,".","NO"))</f>
        <v>.</v>
      </c>
      <c r="DK309" s="136"/>
      <c r="DL309" s="136"/>
      <c r="DM309" s="136"/>
      <c r="DN309" s="136" t="str">
        <f>IF($D309&lt;&gt;"Feature",".",
IF(VLOOKUP($B309,Feature_List!$A:$AM,MATCH(DN$1,  Feature_List!$A$1:$AM$1,0),0)=BC309,".","NO"))</f>
        <v>.</v>
      </c>
      <c r="DO309" s="136" t="str">
        <f>IF($D309&lt;&gt;"Feature",".",
IF(VLOOKUP($B309,Feature_List!$A:$AM,MATCH(DO$1,  Feature_List!$A$1:$AM$1,0),0)=BD309,".","NO"))</f>
        <v>.</v>
      </c>
    </row>
    <row r="310" spans="2:119" x14ac:dyDescent="0.3">
      <c r="B310" s="121"/>
      <c r="C310" s="122"/>
      <c r="D310" s="122"/>
      <c r="E310" s="122"/>
      <c r="F310" s="123"/>
      <c r="G310" s="123"/>
      <c r="H310" s="122"/>
      <c r="I310" s="124"/>
      <c r="J310" s="123"/>
      <c r="K310" s="123"/>
      <c r="L310" s="122"/>
      <c r="M310" s="122"/>
      <c r="N310" s="122"/>
      <c r="O310" s="123">
        <f t="shared" si="150"/>
        <v>0</v>
      </c>
      <c r="P310" s="123">
        <f t="shared" si="151"/>
        <v>0</v>
      </c>
      <c r="Q310" s="122" t="str">
        <f t="shared" si="172"/>
        <v>ZeroEntry</v>
      </c>
      <c r="R310" s="126" t="str">
        <f t="shared" si="152"/>
        <v>ZeroEntry</v>
      </c>
      <c r="S310" s="127" t="str">
        <f t="shared" si="153"/>
        <v>ZeroEntry</v>
      </c>
      <c r="T310" s="128" t="str">
        <f>IF($Q310="ZeroEntry", "",VLOOKUP($I310,'Ranking Lookup'!#REF!,2,FALSE))</f>
        <v/>
      </c>
      <c r="U310" s="129" t="str">
        <f t="shared" si="154"/>
        <v/>
      </c>
      <c r="V310" s="129" t="str">
        <f t="shared" si="155"/>
        <v/>
      </c>
      <c r="W310" s="129" t="str">
        <f t="shared" si="156"/>
        <v/>
      </c>
      <c r="X310" s="129" t="str">
        <f t="shared" si="157"/>
        <v/>
      </c>
      <c r="Y310" s="129" t="str">
        <f t="shared" si="158"/>
        <v/>
      </c>
      <c r="Z310" s="129" t="str">
        <f t="shared" si="159"/>
        <v/>
      </c>
      <c r="AA310" s="130"/>
      <c r="AB310" s="130" t="str">
        <f t="shared" si="160"/>
        <v>Unassigned</v>
      </c>
      <c r="AC310" s="131" t="str">
        <f t="shared" si="173"/>
        <v/>
      </c>
      <c r="AD310" s="131" t="str">
        <f t="shared" si="174"/>
        <v/>
      </c>
      <c r="AE310" s="132">
        <f t="shared" si="161"/>
        <v>0</v>
      </c>
      <c r="AF310" s="133" t="str">
        <f t="shared" si="175"/>
        <v/>
      </c>
      <c r="AG310" s="134">
        <f t="shared" si="162"/>
        <v>0</v>
      </c>
      <c r="AH310" s="54" t="str">
        <f t="shared" si="163"/>
        <v/>
      </c>
      <c r="AI310" s="54" t="str">
        <f t="shared" si="185"/>
        <v/>
      </c>
      <c r="AJ310" s="54" t="str">
        <f t="shared" si="185"/>
        <v/>
      </c>
      <c r="AK310" s="54" t="str">
        <f t="shared" si="185"/>
        <v/>
      </c>
      <c r="AL310" s="54" t="str">
        <f t="shared" si="185"/>
        <v/>
      </c>
      <c r="AM310" s="54" t="str">
        <f t="shared" si="185"/>
        <v/>
      </c>
      <c r="AN310" s="54" t="str">
        <f t="shared" si="185"/>
        <v/>
      </c>
      <c r="AO310" s="54" t="str">
        <f t="shared" si="185"/>
        <v/>
      </c>
      <c r="AP310" s="54" t="str">
        <f t="shared" si="185"/>
        <v/>
      </c>
      <c r="AQ310" s="54" t="str">
        <f t="shared" si="185"/>
        <v/>
      </c>
      <c r="AR310" s="54" t="str">
        <f t="shared" si="185"/>
        <v/>
      </c>
      <c r="AS310" s="54" t="str">
        <f t="shared" si="185"/>
        <v/>
      </c>
      <c r="AT310" s="54" t="str">
        <f t="shared" si="185"/>
        <v/>
      </c>
      <c r="AU310" s="54" t="str">
        <f t="shared" si="185"/>
        <v/>
      </c>
      <c r="AV310" s="54" t="str">
        <f t="shared" si="185"/>
        <v/>
      </c>
      <c r="AW310" s="54" t="str">
        <f t="shared" si="185"/>
        <v/>
      </c>
      <c r="AX310" s="54" t="str">
        <f t="shared" si="185"/>
        <v/>
      </c>
      <c r="AY310" s="54" t="str">
        <f t="shared" si="177"/>
        <v/>
      </c>
      <c r="AZ310" s="54" t="str">
        <f t="shared" si="165"/>
        <v/>
      </c>
      <c r="BA310" s="54" t="str">
        <f t="shared" si="166"/>
        <v/>
      </c>
      <c r="BB310" s="135" t="str">
        <f t="shared" si="167"/>
        <v/>
      </c>
      <c r="BC310" s="54" t="str">
        <f t="shared" si="183"/>
        <v/>
      </c>
      <c r="BD310" s="54" t="str">
        <f t="shared" si="183"/>
        <v/>
      </c>
      <c r="BE310" s="54" t="str">
        <f t="shared" si="183"/>
        <v/>
      </c>
      <c r="BF310" s="54" t="str">
        <f t="shared" si="168"/>
        <v/>
      </c>
      <c r="BG310" s="54" t="str">
        <f t="shared" si="169"/>
        <v/>
      </c>
      <c r="BH310" s="34" t="str">
        <f t="shared" si="170"/>
        <v>Bad</v>
      </c>
      <c r="BI310" s="34" t="str">
        <f t="shared" si="171"/>
        <v>No</v>
      </c>
      <c r="BJ310" s="136" t="str">
        <f>IF($D310&lt;&gt;"Feature",".",
IF(VLOOKUP($B310,Feature_List!$A:$AM,MATCH(BJ$1,  Feature_List!$A$1:$AM$1,0),0)=B310,".","NO"))</f>
        <v>.</v>
      </c>
      <c r="BK310" s="136"/>
      <c r="BL310" s="136"/>
      <c r="BM310" s="136" t="str">
        <f>IF($D310&lt;&gt;"Feature",".",
IF(VLOOKUP($B310,Feature_List!$A:$AM,MATCH(BM$1,  Feature_List!$A$1:$AM$1,0),0)=E310,".","NO"))</f>
        <v>.</v>
      </c>
      <c r="BN310" s="136" t="str">
        <f>IF($D310&lt;&gt;"Feature",".",
IF(VLOOKUP($B310,Feature_List!$A:$AM,MATCH(BN$1,  Feature_List!$A$1:$AM$1,0),0)=F310,".","NO"))</f>
        <v>.</v>
      </c>
      <c r="BO310" s="136" t="str">
        <f>IF($D310&lt;&gt;"Feature",".",
IF(VLOOKUP($B310,Feature_List!$A:$AM,MATCH(BO$1,  Feature_List!$A$1:$AM$1,0),0)=G310,".","NO"))</f>
        <v>.</v>
      </c>
      <c r="BP310" s="136" t="str">
        <f>IF($D310&lt;&gt;"Feature",".",
IF(VLOOKUP($B310,Feature_List!$A:$AM,MATCH(BP$1,  Feature_List!$A$1:$AM$1,0),0)=H310,".","NO"))</f>
        <v>.</v>
      </c>
      <c r="BQ310" s="136"/>
      <c r="BR310" s="136" t="str">
        <f>IF($D310&lt;&gt;"Feature",".",
IF(VLOOKUP($B310,Feature_List!$A:$AM,MATCH(BR$1,  Feature_List!$A$1:$AM$1,0),0)=J310,".","NO"))</f>
        <v>.</v>
      </c>
      <c r="BS310" s="136"/>
      <c r="BT310" s="136"/>
      <c r="BU310" s="136" t="str">
        <f>IF($D310&lt;&gt;"Feature",".",
IF(VLOOKUP($B310,Feature_List!$A:$AM,MATCH(BU$1,  Feature_List!$A$1:$AM$1,0),0)=M310,".","NO"))</f>
        <v>.</v>
      </c>
      <c r="BV310" s="136" t="str">
        <f>IF($D310&lt;&gt;"Feature",".",
IF(VLOOKUP($B310,Feature_List!$A:$AM,MATCH(BV$1,  Feature_List!$A$1:$AM$1,0),0)=N310,".","NO"))</f>
        <v>.</v>
      </c>
      <c r="BW310" s="136"/>
      <c r="BX310" s="136"/>
      <c r="BY310" s="136"/>
      <c r="BZ310" s="136"/>
      <c r="CA310" s="136"/>
      <c r="CB310" s="136" t="str">
        <f>IF($D310&lt;&gt;"Feature",".",
IF(VLOOKUP($B310,Feature_List!$A:$AM,MATCH(CB$1,  Feature_List!$A$1:$AM$1,0),0)=T310,".","NO"))</f>
        <v>.</v>
      </c>
      <c r="CC310" s="136"/>
      <c r="CD310" s="136"/>
      <c r="CE310" s="136"/>
      <c r="CF310" s="136"/>
      <c r="CG310" s="136"/>
      <c r="CH310" s="136"/>
      <c r="CI310" s="136"/>
      <c r="CJ310" s="136"/>
      <c r="CK310" s="136"/>
      <c r="CL310" s="136"/>
      <c r="CM310" s="136"/>
      <c r="CN310" s="136"/>
      <c r="CO310" s="136" t="str">
        <f>IF($D310&lt;&gt;"Feature",".",
IF(VLOOKUP($B310,Feature_List!$A:$AM,MATCH(CO$1,  Feature_List!$A$1:$AM$1,0),0)=AG310,".","NO"))</f>
        <v>.</v>
      </c>
      <c r="CP310" s="136" t="str">
        <f>IF($D310&lt;&gt;"Feature",".",
IF(VLOOKUP($B310,Feature_List!$A:$AM,MATCH(CP$1,  Feature_List!$A$1:$AM$1,0),0)=AH310,".","NO"))</f>
        <v>.</v>
      </c>
      <c r="CQ310" s="136" t="str">
        <f>IF($D310&lt;&gt;"Feature",".",
IF(VLOOKUP($B310,Feature_List!$A:$AM,MATCH(CQ$1,  Feature_List!$A$1:$AM$1,0),0)=AI310,".","NO"))</f>
        <v>.</v>
      </c>
      <c r="CR310" s="136" t="str">
        <f>IF($D310&lt;&gt;"Feature",".",
IF(VLOOKUP($B310,Feature_List!$A:$AM,MATCH(CR$1,  Feature_List!$A$1:$AM$1,0),0)=AJ310,".","NO"))</f>
        <v>.</v>
      </c>
      <c r="CS310" s="136" t="str">
        <f>IF($D310&lt;&gt;"Feature",".",
IF(VLOOKUP($B310,Feature_List!$A:$AM,MATCH(CS$1,  Feature_List!$A$1:$AM$1,0),0)=AK310,".","NO"))</f>
        <v>.</v>
      </c>
      <c r="CT310" s="136" t="str">
        <f>IF($D310&lt;&gt;"Feature",".",
IF(VLOOKUP($B310,Feature_List!$A:$AM,MATCH(CT$1,  Feature_List!$A$1:$AM$1,0),0)=AL310,".","NO"))</f>
        <v>.</v>
      </c>
      <c r="CU310" s="136" t="str">
        <f>IF($D310&lt;&gt;"Feature",".",
IF(VLOOKUP($B310,Feature_List!$A:$AM,MATCH(CU$1,  Feature_List!$A$1:$AM$1,0),0)=AM310,".","NO"))</f>
        <v>.</v>
      </c>
      <c r="CV310" s="136" t="str">
        <f>IF($D310&lt;&gt;"Feature",".",
IF(VLOOKUP($B310,Feature_List!$A:$AM,MATCH(CV$1,  Feature_List!$A$1:$AM$1,0),0)=AN310,".","NO"))</f>
        <v>.</v>
      </c>
      <c r="CW310" s="136" t="str">
        <f>IF($D310&lt;&gt;"Feature",".",
IF(VLOOKUP($B310,Feature_List!$A:$AM,MATCH(CW$1,  Feature_List!$A$1:$AM$1,0),0)=AO310,".","NO"))</f>
        <v>.</v>
      </c>
      <c r="CX310" s="136" t="str">
        <f>IF($D310&lt;&gt;"Feature",".",
IF(VLOOKUP($B310,Feature_List!$A:$AM,MATCH(CX$1,  Feature_List!$A$1:$AM$1,0),0)=AP310,".","NO"))</f>
        <v>.</v>
      </c>
      <c r="CY310" s="136" t="str">
        <f>IF($D310&lt;&gt;"Feature",".",
IF(VLOOKUP($B310,Feature_List!$A:$AM,MATCH(CY$1,  Feature_List!$A$1:$AM$1,0),0)=AQ310,".","NO"))</f>
        <v>.</v>
      </c>
      <c r="CZ310" s="136" t="str">
        <f>IF($D310&lt;&gt;"Feature",".",
IF(VLOOKUP($B310,Feature_List!$A:$AM,MATCH(CZ$1,  Feature_List!$A$1:$AM$1,0),0)=AR310,".","NO"))</f>
        <v>.</v>
      </c>
      <c r="DA310" s="136" t="str">
        <f>IF($D310&lt;&gt;"Feature",".",
IF(VLOOKUP($B310,Feature_List!$A:$AM,MATCH(DA$1,  Feature_List!$A$1:$AM$1,0),0)=AS310,".","NO"))</f>
        <v>.</v>
      </c>
      <c r="DB310" s="136" t="str">
        <f>IF($D310&lt;&gt;"Feature",".",
IF(VLOOKUP($B310,Feature_List!$A:$AM,MATCH(DB$1,  Feature_List!$A$1:$AM$1,0),0)=AT310,".","NO"))</f>
        <v>.</v>
      </c>
      <c r="DC310" s="136" t="str">
        <f>IF($D310&lt;&gt;"Feature",".",
IF(VLOOKUP($B310,Feature_List!$A:$AM,MATCH(DC$1,  Feature_List!$A$1:$AM$1,0),0)=AU310,".","NO"))</f>
        <v>.</v>
      </c>
      <c r="DD310" s="136" t="str">
        <f>IF($D310&lt;&gt;"Feature",".",
IF(VLOOKUP($B310,Feature_List!$A:$AM,MATCH(DD$1,  Feature_List!$A$1:$AM$1,0),0)=AV310,".","NO"))</f>
        <v>.</v>
      </c>
      <c r="DE310" s="136" t="str">
        <f>IF($D310&lt;&gt;"Feature",".",
IF(VLOOKUP($B310,Feature_List!$A:$AM,MATCH(DE$1,  Feature_List!$A$1:$AM$1,0),0)=AW310,".","NO"))</f>
        <v>.</v>
      </c>
      <c r="DF310" s="136" t="str">
        <f>IF($D310&lt;&gt;"Feature",".",
IF(VLOOKUP($B310,Feature_List!$A:$AM,MATCH(DF$1,  Feature_List!$A$1:$AM$1,0),0)=AX310,".","NO"))</f>
        <v>.</v>
      </c>
      <c r="DG310" s="136" t="str">
        <f>IF($D310&lt;&gt;"Feature",".",
IF(VLOOKUP($B310,Feature_List!$A:$AM,MATCH(DG$1,  Feature_List!$A$1:$AM$1,0),0)=AY310,".","NO"))</f>
        <v>.</v>
      </c>
      <c r="DH310" s="136" t="str">
        <f>IF($D310&lt;&gt;"Feature",".",
IF(VLOOKUP($B310,Feature_List!$A:$AM,MATCH(DH$1,  Feature_List!$A$1:$AM$1,0),0)=AZ310,".","NO"))</f>
        <v>.</v>
      </c>
      <c r="DI310" s="136" t="str">
        <f>IF($D310&lt;&gt;"Feature",".",
IF(VLOOKUP($B310,Feature_List!$A:$AM,MATCH(DI$1,  Feature_List!$A$1:$AM$1,0),0)=BA310,".","NO"))</f>
        <v>.</v>
      </c>
      <c r="DJ310" s="136" t="str">
        <f>IF($D310&lt;&gt;"Feature",".",
IF(VLOOKUP($B310,Feature_List!$A:$AM,MATCH(DJ$1,  Feature_List!$A$1:$AM$1,0),0)=BB310,".","NO"))</f>
        <v>.</v>
      </c>
      <c r="DK310" s="136"/>
      <c r="DL310" s="136"/>
      <c r="DM310" s="136"/>
      <c r="DN310" s="136" t="str">
        <f>IF($D310&lt;&gt;"Feature",".",
IF(VLOOKUP($B310,Feature_List!$A:$AM,MATCH(DN$1,  Feature_List!$A$1:$AM$1,0),0)=BC310,".","NO"))</f>
        <v>.</v>
      </c>
      <c r="DO310" s="136" t="str">
        <f>IF($D310&lt;&gt;"Feature",".",
IF(VLOOKUP($B310,Feature_List!$A:$AM,MATCH(DO$1,  Feature_List!$A$1:$AM$1,0),0)=BD310,".","NO"))</f>
        <v>.</v>
      </c>
    </row>
    <row r="311" spans="2:119" x14ac:dyDescent="0.3">
      <c r="B311" s="121"/>
      <c r="C311" s="122"/>
      <c r="D311" s="122"/>
      <c r="E311" s="122"/>
      <c r="F311" s="123"/>
      <c r="G311" s="123"/>
      <c r="H311" s="122"/>
      <c r="I311" s="124"/>
      <c r="J311" s="123"/>
      <c r="K311" s="123"/>
      <c r="L311" s="122"/>
      <c r="M311" s="122"/>
      <c r="N311" s="122"/>
      <c r="O311" s="123">
        <f t="shared" si="150"/>
        <v>0</v>
      </c>
      <c r="P311" s="123">
        <f t="shared" si="151"/>
        <v>0</v>
      </c>
      <c r="Q311" s="122" t="str">
        <f t="shared" si="172"/>
        <v>ZeroEntry</v>
      </c>
      <c r="R311" s="126" t="str">
        <f t="shared" si="152"/>
        <v>ZeroEntry</v>
      </c>
      <c r="S311" s="127" t="str">
        <f t="shared" si="153"/>
        <v>ZeroEntry</v>
      </c>
      <c r="T311" s="128" t="str">
        <f>IF($Q311="ZeroEntry", "",VLOOKUP($I311,'Ranking Lookup'!#REF!,2,FALSE))</f>
        <v/>
      </c>
      <c r="U311" s="129" t="str">
        <f t="shared" si="154"/>
        <v/>
      </c>
      <c r="V311" s="129" t="str">
        <f t="shared" si="155"/>
        <v/>
      </c>
      <c r="W311" s="129" t="str">
        <f t="shared" si="156"/>
        <v/>
      </c>
      <c r="X311" s="129" t="str">
        <f t="shared" si="157"/>
        <v/>
      </c>
      <c r="Y311" s="129" t="str">
        <f t="shared" si="158"/>
        <v/>
      </c>
      <c r="Z311" s="129" t="str">
        <f t="shared" si="159"/>
        <v/>
      </c>
      <c r="AA311" s="130"/>
      <c r="AB311" s="130" t="str">
        <f t="shared" si="160"/>
        <v>Unassigned</v>
      </c>
      <c r="AC311" s="131" t="str">
        <f t="shared" si="173"/>
        <v/>
      </c>
      <c r="AD311" s="131" t="str">
        <f t="shared" si="174"/>
        <v/>
      </c>
      <c r="AE311" s="132">
        <f t="shared" si="161"/>
        <v>0</v>
      </c>
      <c r="AF311" s="133" t="str">
        <f t="shared" si="175"/>
        <v/>
      </c>
      <c r="AG311" s="134">
        <f t="shared" si="162"/>
        <v>0</v>
      </c>
      <c r="AH311" s="54" t="str">
        <f t="shared" si="163"/>
        <v/>
      </c>
      <c r="AI311" s="54" t="str">
        <f t="shared" si="185"/>
        <v/>
      </c>
      <c r="AJ311" s="54" t="str">
        <f t="shared" si="185"/>
        <v/>
      </c>
      <c r="AK311" s="54" t="str">
        <f t="shared" si="185"/>
        <v/>
      </c>
      <c r="AL311" s="54" t="str">
        <f t="shared" si="185"/>
        <v/>
      </c>
      <c r="AM311" s="54" t="str">
        <f t="shared" si="185"/>
        <v/>
      </c>
      <c r="AN311" s="54" t="str">
        <f t="shared" si="185"/>
        <v/>
      </c>
      <c r="AO311" s="54" t="str">
        <f t="shared" si="185"/>
        <v/>
      </c>
      <c r="AP311" s="54" t="str">
        <f t="shared" si="185"/>
        <v/>
      </c>
      <c r="AQ311" s="54" t="str">
        <f t="shared" si="185"/>
        <v/>
      </c>
      <c r="AR311" s="54" t="str">
        <f t="shared" si="185"/>
        <v/>
      </c>
      <c r="AS311" s="54" t="str">
        <f t="shared" si="185"/>
        <v/>
      </c>
      <c r="AT311" s="54" t="str">
        <f t="shared" si="185"/>
        <v/>
      </c>
      <c r="AU311" s="54" t="str">
        <f t="shared" si="185"/>
        <v/>
      </c>
      <c r="AV311" s="54" t="str">
        <f t="shared" si="185"/>
        <v/>
      </c>
      <c r="AW311" s="54" t="str">
        <f t="shared" si="185"/>
        <v/>
      </c>
      <c r="AX311" s="54" t="str">
        <f t="shared" si="185"/>
        <v/>
      </c>
      <c r="AY311" s="54" t="str">
        <f t="shared" si="177"/>
        <v/>
      </c>
      <c r="AZ311" s="54" t="str">
        <f t="shared" si="165"/>
        <v/>
      </c>
      <c r="BA311" s="54" t="str">
        <f t="shared" si="166"/>
        <v/>
      </c>
      <c r="BB311" s="135" t="str">
        <f t="shared" si="167"/>
        <v/>
      </c>
      <c r="BC311" s="54" t="str">
        <f t="shared" si="183"/>
        <v/>
      </c>
      <c r="BD311" s="54" t="str">
        <f t="shared" si="183"/>
        <v/>
      </c>
      <c r="BE311" s="54" t="str">
        <f t="shared" si="183"/>
        <v/>
      </c>
      <c r="BF311" s="54" t="str">
        <f t="shared" si="168"/>
        <v/>
      </c>
      <c r="BG311" s="54" t="str">
        <f t="shared" si="169"/>
        <v/>
      </c>
      <c r="BH311" s="34" t="str">
        <f t="shared" si="170"/>
        <v>Bad</v>
      </c>
      <c r="BI311" s="34" t="str">
        <f t="shared" si="171"/>
        <v>No</v>
      </c>
      <c r="BJ311" s="136" t="str">
        <f>IF($D311&lt;&gt;"Feature",".",
IF(VLOOKUP($B311,Feature_List!$A:$AM,MATCH(BJ$1,  Feature_List!$A$1:$AM$1,0),0)=B311,".","NO"))</f>
        <v>.</v>
      </c>
      <c r="BK311" s="136"/>
      <c r="BL311" s="136"/>
      <c r="BM311" s="136" t="str">
        <f>IF($D311&lt;&gt;"Feature",".",
IF(VLOOKUP($B311,Feature_List!$A:$AM,MATCH(BM$1,  Feature_List!$A$1:$AM$1,0),0)=E311,".","NO"))</f>
        <v>.</v>
      </c>
      <c r="BN311" s="136" t="str">
        <f>IF($D311&lt;&gt;"Feature",".",
IF(VLOOKUP($B311,Feature_List!$A:$AM,MATCH(BN$1,  Feature_List!$A$1:$AM$1,0),0)=F311,".","NO"))</f>
        <v>.</v>
      </c>
      <c r="BO311" s="136" t="str">
        <f>IF($D311&lt;&gt;"Feature",".",
IF(VLOOKUP($B311,Feature_List!$A:$AM,MATCH(BO$1,  Feature_List!$A$1:$AM$1,0),0)=G311,".","NO"))</f>
        <v>.</v>
      </c>
      <c r="BP311" s="136" t="str">
        <f>IF($D311&lt;&gt;"Feature",".",
IF(VLOOKUP($B311,Feature_List!$A:$AM,MATCH(BP$1,  Feature_List!$A$1:$AM$1,0),0)=H311,".","NO"))</f>
        <v>.</v>
      </c>
      <c r="BQ311" s="136"/>
      <c r="BR311" s="136" t="str">
        <f>IF($D311&lt;&gt;"Feature",".",
IF(VLOOKUP($B311,Feature_List!$A:$AM,MATCH(BR$1,  Feature_List!$A$1:$AM$1,0),0)=J311,".","NO"))</f>
        <v>.</v>
      </c>
      <c r="BS311" s="136"/>
      <c r="BT311" s="136"/>
      <c r="BU311" s="136" t="str">
        <f>IF($D311&lt;&gt;"Feature",".",
IF(VLOOKUP($B311,Feature_List!$A:$AM,MATCH(BU$1,  Feature_List!$A$1:$AM$1,0),0)=M311,".","NO"))</f>
        <v>.</v>
      </c>
      <c r="BV311" s="136" t="str">
        <f>IF($D311&lt;&gt;"Feature",".",
IF(VLOOKUP($B311,Feature_List!$A:$AM,MATCH(BV$1,  Feature_List!$A$1:$AM$1,0),0)=N311,".","NO"))</f>
        <v>.</v>
      </c>
      <c r="BW311" s="136"/>
      <c r="BX311" s="136"/>
      <c r="BY311" s="136"/>
      <c r="BZ311" s="136"/>
      <c r="CA311" s="136"/>
      <c r="CB311" s="136" t="str">
        <f>IF($D311&lt;&gt;"Feature",".",
IF(VLOOKUP($B311,Feature_List!$A:$AM,MATCH(CB$1,  Feature_List!$A$1:$AM$1,0),0)=T311,".","NO"))</f>
        <v>.</v>
      </c>
      <c r="CC311" s="136"/>
      <c r="CD311" s="136"/>
      <c r="CE311" s="136"/>
      <c r="CF311" s="136"/>
      <c r="CG311" s="136"/>
      <c r="CH311" s="136"/>
      <c r="CI311" s="136"/>
      <c r="CJ311" s="136"/>
      <c r="CK311" s="136"/>
      <c r="CL311" s="136"/>
      <c r="CM311" s="136"/>
      <c r="CN311" s="136"/>
      <c r="CO311" s="136" t="str">
        <f>IF($D311&lt;&gt;"Feature",".",
IF(VLOOKUP($B311,Feature_List!$A:$AM,MATCH(CO$1,  Feature_List!$A$1:$AM$1,0),0)=AG311,".","NO"))</f>
        <v>.</v>
      </c>
      <c r="CP311" s="136" t="str">
        <f>IF($D311&lt;&gt;"Feature",".",
IF(VLOOKUP($B311,Feature_List!$A:$AM,MATCH(CP$1,  Feature_List!$A$1:$AM$1,0),0)=AH311,".","NO"))</f>
        <v>.</v>
      </c>
      <c r="CQ311" s="136" t="str">
        <f>IF($D311&lt;&gt;"Feature",".",
IF(VLOOKUP($B311,Feature_List!$A:$AM,MATCH(CQ$1,  Feature_List!$A$1:$AM$1,0),0)=AI311,".","NO"))</f>
        <v>.</v>
      </c>
      <c r="CR311" s="136" t="str">
        <f>IF($D311&lt;&gt;"Feature",".",
IF(VLOOKUP($B311,Feature_List!$A:$AM,MATCH(CR$1,  Feature_List!$A$1:$AM$1,0),0)=AJ311,".","NO"))</f>
        <v>.</v>
      </c>
      <c r="CS311" s="136" t="str">
        <f>IF($D311&lt;&gt;"Feature",".",
IF(VLOOKUP($B311,Feature_List!$A:$AM,MATCH(CS$1,  Feature_List!$A$1:$AM$1,0),0)=AK311,".","NO"))</f>
        <v>.</v>
      </c>
      <c r="CT311" s="136" t="str">
        <f>IF($D311&lt;&gt;"Feature",".",
IF(VLOOKUP($B311,Feature_List!$A:$AM,MATCH(CT$1,  Feature_List!$A$1:$AM$1,0),0)=AL311,".","NO"))</f>
        <v>.</v>
      </c>
      <c r="CU311" s="136" t="str">
        <f>IF($D311&lt;&gt;"Feature",".",
IF(VLOOKUP($B311,Feature_List!$A:$AM,MATCH(CU$1,  Feature_List!$A$1:$AM$1,0),0)=AM311,".","NO"))</f>
        <v>.</v>
      </c>
      <c r="CV311" s="136" t="str">
        <f>IF($D311&lt;&gt;"Feature",".",
IF(VLOOKUP($B311,Feature_List!$A:$AM,MATCH(CV$1,  Feature_List!$A$1:$AM$1,0),0)=AN311,".","NO"))</f>
        <v>.</v>
      </c>
      <c r="CW311" s="136" t="str">
        <f>IF($D311&lt;&gt;"Feature",".",
IF(VLOOKUP($B311,Feature_List!$A:$AM,MATCH(CW$1,  Feature_List!$A$1:$AM$1,0),0)=AO311,".","NO"))</f>
        <v>.</v>
      </c>
      <c r="CX311" s="136" t="str">
        <f>IF($D311&lt;&gt;"Feature",".",
IF(VLOOKUP($B311,Feature_List!$A:$AM,MATCH(CX$1,  Feature_List!$A$1:$AM$1,0),0)=AP311,".","NO"))</f>
        <v>.</v>
      </c>
      <c r="CY311" s="136" t="str">
        <f>IF($D311&lt;&gt;"Feature",".",
IF(VLOOKUP($B311,Feature_List!$A:$AM,MATCH(CY$1,  Feature_List!$A$1:$AM$1,0),0)=AQ311,".","NO"))</f>
        <v>.</v>
      </c>
      <c r="CZ311" s="136" t="str">
        <f>IF($D311&lt;&gt;"Feature",".",
IF(VLOOKUP($B311,Feature_List!$A:$AM,MATCH(CZ$1,  Feature_List!$A$1:$AM$1,0),0)=AR311,".","NO"))</f>
        <v>.</v>
      </c>
      <c r="DA311" s="136" t="str">
        <f>IF($D311&lt;&gt;"Feature",".",
IF(VLOOKUP($B311,Feature_List!$A:$AM,MATCH(DA$1,  Feature_List!$A$1:$AM$1,0),0)=AS311,".","NO"))</f>
        <v>.</v>
      </c>
      <c r="DB311" s="136" t="str">
        <f>IF($D311&lt;&gt;"Feature",".",
IF(VLOOKUP($B311,Feature_List!$A:$AM,MATCH(DB$1,  Feature_List!$A$1:$AM$1,0),0)=AT311,".","NO"))</f>
        <v>.</v>
      </c>
      <c r="DC311" s="136" t="str">
        <f>IF($D311&lt;&gt;"Feature",".",
IF(VLOOKUP($B311,Feature_List!$A:$AM,MATCH(DC$1,  Feature_List!$A$1:$AM$1,0),0)=AU311,".","NO"))</f>
        <v>.</v>
      </c>
      <c r="DD311" s="136" t="str">
        <f>IF($D311&lt;&gt;"Feature",".",
IF(VLOOKUP($B311,Feature_List!$A:$AM,MATCH(DD$1,  Feature_List!$A$1:$AM$1,0),0)=AV311,".","NO"))</f>
        <v>.</v>
      </c>
      <c r="DE311" s="136" t="str">
        <f>IF($D311&lt;&gt;"Feature",".",
IF(VLOOKUP($B311,Feature_List!$A:$AM,MATCH(DE$1,  Feature_List!$A$1:$AM$1,0),0)=AW311,".","NO"))</f>
        <v>.</v>
      </c>
      <c r="DF311" s="136" t="str">
        <f>IF($D311&lt;&gt;"Feature",".",
IF(VLOOKUP($B311,Feature_List!$A:$AM,MATCH(DF$1,  Feature_List!$A$1:$AM$1,0),0)=AX311,".","NO"))</f>
        <v>.</v>
      </c>
      <c r="DG311" s="136" t="str">
        <f>IF($D311&lt;&gt;"Feature",".",
IF(VLOOKUP($B311,Feature_List!$A:$AM,MATCH(DG$1,  Feature_List!$A$1:$AM$1,0),0)=AY311,".","NO"))</f>
        <v>.</v>
      </c>
      <c r="DH311" s="136" t="str">
        <f>IF($D311&lt;&gt;"Feature",".",
IF(VLOOKUP($B311,Feature_List!$A:$AM,MATCH(DH$1,  Feature_List!$A$1:$AM$1,0),0)=AZ311,".","NO"))</f>
        <v>.</v>
      </c>
      <c r="DI311" s="136" t="str">
        <f>IF($D311&lt;&gt;"Feature",".",
IF(VLOOKUP($B311,Feature_List!$A:$AM,MATCH(DI$1,  Feature_List!$A$1:$AM$1,0),0)=BA311,".","NO"))</f>
        <v>.</v>
      </c>
      <c r="DJ311" s="136" t="str">
        <f>IF($D311&lt;&gt;"Feature",".",
IF(VLOOKUP($B311,Feature_List!$A:$AM,MATCH(DJ$1,  Feature_List!$A$1:$AM$1,0),0)=BB311,".","NO"))</f>
        <v>.</v>
      </c>
      <c r="DK311" s="136"/>
      <c r="DL311" s="136"/>
      <c r="DM311" s="136"/>
      <c r="DN311" s="136" t="str">
        <f>IF($D311&lt;&gt;"Feature",".",
IF(VLOOKUP($B311,Feature_List!$A:$AM,MATCH(DN$1,  Feature_List!$A$1:$AM$1,0),0)=BC311,".","NO"))</f>
        <v>.</v>
      </c>
      <c r="DO311" s="136" t="str">
        <f>IF($D311&lt;&gt;"Feature",".",
IF(VLOOKUP($B311,Feature_List!$A:$AM,MATCH(DO$1,  Feature_List!$A$1:$AM$1,0),0)=BD311,".","NO"))</f>
        <v>.</v>
      </c>
    </row>
    <row r="312" spans="2:119" x14ac:dyDescent="0.3">
      <c r="B312" s="121"/>
      <c r="C312" s="122"/>
      <c r="D312" s="122"/>
      <c r="E312" s="122"/>
      <c r="F312" s="123"/>
      <c r="G312" s="123"/>
      <c r="H312" s="122"/>
      <c r="I312" s="124"/>
      <c r="J312" s="123"/>
      <c r="K312" s="123"/>
      <c r="L312" s="122"/>
      <c r="M312" s="122"/>
      <c r="N312" s="122"/>
      <c r="O312" s="123">
        <f t="shared" si="150"/>
        <v>0</v>
      </c>
      <c r="P312" s="123">
        <f t="shared" si="151"/>
        <v>0</v>
      </c>
      <c r="Q312" s="122" t="str">
        <f t="shared" si="172"/>
        <v>ZeroEntry</v>
      </c>
      <c r="R312" s="126" t="str">
        <f t="shared" si="152"/>
        <v>ZeroEntry</v>
      </c>
      <c r="S312" s="127" t="str">
        <f t="shared" si="153"/>
        <v>ZeroEntry</v>
      </c>
      <c r="T312" s="128" t="str">
        <f>IF($Q312="ZeroEntry", "",VLOOKUP($I312,'Ranking Lookup'!#REF!,2,FALSE))</f>
        <v/>
      </c>
      <c r="U312" s="129" t="str">
        <f t="shared" si="154"/>
        <v/>
      </c>
      <c r="V312" s="129" t="str">
        <f t="shared" si="155"/>
        <v/>
      </c>
      <c r="W312" s="129" t="str">
        <f t="shared" si="156"/>
        <v/>
      </c>
      <c r="X312" s="129" t="str">
        <f t="shared" si="157"/>
        <v/>
      </c>
      <c r="Y312" s="129" t="str">
        <f t="shared" si="158"/>
        <v/>
      </c>
      <c r="Z312" s="129" t="str">
        <f t="shared" si="159"/>
        <v/>
      </c>
      <c r="AA312" s="130"/>
      <c r="AB312" s="130" t="str">
        <f t="shared" si="160"/>
        <v>Unassigned</v>
      </c>
      <c r="AC312" s="131" t="str">
        <f t="shared" si="173"/>
        <v/>
      </c>
      <c r="AD312" s="131" t="str">
        <f t="shared" si="174"/>
        <v/>
      </c>
      <c r="AE312" s="132">
        <f t="shared" si="161"/>
        <v>0</v>
      </c>
      <c r="AF312" s="133" t="str">
        <f t="shared" si="175"/>
        <v/>
      </c>
      <c r="AG312" s="134">
        <f t="shared" si="162"/>
        <v>0</v>
      </c>
      <c r="AH312" s="54" t="str">
        <f t="shared" si="163"/>
        <v/>
      </c>
      <c r="AI312" s="54" t="str">
        <f t="shared" si="185"/>
        <v/>
      </c>
      <c r="AJ312" s="54" t="str">
        <f t="shared" si="185"/>
        <v/>
      </c>
      <c r="AK312" s="54" t="str">
        <f t="shared" si="185"/>
        <v/>
      </c>
      <c r="AL312" s="54" t="str">
        <f t="shared" si="185"/>
        <v/>
      </c>
      <c r="AM312" s="54" t="str">
        <f t="shared" si="185"/>
        <v/>
      </c>
      <c r="AN312" s="54" t="str">
        <f t="shared" si="185"/>
        <v/>
      </c>
      <c r="AO312" s="54" t="str">
        <f t="shared" si="185"/>
        <v/>
      </c>
      <c r="AP312" s="54" t="str">
        <f t="shared" si="185"/>
        <v/>
      </c>
      <c r="AQ312" s="54" t="str">
        <f t="shared" si="185"/>
        <v/>
      </c>
      <c r="AR312" s="54" t="str">
        <f t="shared" si="185"/>
        <v/>
      </c>
      <c r="AS312" s="54" t="str">
        <f t="shared" si="185"/>
        <v/>
      </c>
      <c r="AT312" s="54" t="str">
        <f t="shared" si="185"/>
        <v/>
      </c>
      <c r="AU312" s="54" t="str">
        <f t="shared" si="185"/>
        <v/>
      </c>
      <c r="AV312" s="54" t="str">
        <f t="shared" si="185"/>
        <v/>
      </c>
      <c r="AW312" s="54" t="str">
        <f t="shared" si="185"/>
        <v/>
      </c>
      <c r="AX312" s="54" t="str">
        <f t="shared" si="185"/>
        <v/>
      </c>
      <c r="AY312" s="54" t="str">
        <f t="shared" si="177"/>
        <v/>
      </c>
      <c r="AZ312" s="54" t="str">
        <f t="shared" si="165"/>
        <v/>
      </c>
      <c r="BA312" s="54" t="str">
        <f t="shared" si="166"/>
        <v/>
      </c>
      <c r="BB312" s="135" t="str">
        <f t="shared" si="167"/>
        <v/>
      </c>
      <c r="BC312" s="54" t="str">
        <f t="shared" si="183"/>
        <v/>
      </c>
      <c r="BD312" s="54" t="str">
        <f t="shared" si="183"/>
        <v/>
      </c>
      <c r="BE312" s="54" t="str">
        <f t="shared" si="183"/>
        <v/>
      </c>
      <c r="BF312" s="54" t="str">
        <f t="shared" si="168"/>
        <v/>
      </c>
      <c r="BG312" s="54" t="str">
        <f t="shared" si="169"/>
        <v/>
      </c>
      <c r="BH312" s="34" t="str">
        <f t="shared" si="170"/>
        <v>Bad</v>
      </c>
      <c r="BI312" s="34" t="str">
        <f t="shared" si="171"/>
        <v>No</v>
      </c>
      <c r="BJ312" s="136" t="str">
        <f>IF($D312&lt;&gt;"Feature",".",
IF(VLOOKUP($B312,Feature_List!$A:$AM,MATCH(BJ$1,  Feature_List!$A$1:$AM$1,0),0)=B312,".","NO"))</f>
        <v>.</v>
      </c>
      <c r="BK312" s="136"/>
      <c r="BL312" s="136"/>
      <c r="BM312" s="136" t="str">
        <f>IF($D312&lt;&gt;"Feature",".",
IF(VLOOKUP($B312,Feature_List!$A:$AM,MATCH(BM$1,  Feature_List!$A$1:$AM$1,0),0)=E312,".","NO"))</f>
        <v>.</v>
      </c>
      <c r="BN312" s="136" t="str">
        <f>IF($D312&lt;&gt;"Feature",".",
IF(VLOOKUP($B312,Feature_List!$A:$AM,MATCH(BN$1,  Feature_List!$A$1:$AM$1,0),0)=F312,".","NO"))</f>
        <v>.</v>
      </c>
      <c r="BO312" s="136" t="str">
        <f>IF($D312&lt;&gt;"Feature",".",
IF(VLOOKUP($B312,Feature_List!$A:$AM,MATCH(BO$1,  Feature_List!$A$1:$AM$1,0),0)=G312,".","NO"))</f>
        <v>.</v>
      </c>
      <c r="BP312" s="136" t="str">
        <f>IF($D312&lt;&gt;"Feature",".",
IF(VLOOKUP($B312,Feature_List!$A:$AM,MATCH(BP$1,  Feature_List!$A$1:$AM$1,0),0)=H312,".","NO"))</f>
        <v>.</v>
      </c>
      <c r="BQ312" s="136"/>
      <c r="BR312" s="136" t="str">
        <f>IF($D312&lt;&gt;"Feature",".",
IF(VLOOKUP($B312,Feature_List!$A:$AM,MATCH(BR$1,  Feature_List!$A$1:$AM$1,0),0)=J312,".","NO"))</f>
        <v>.</v>
      </c>
      <c r="BS312" s="136"/>
      <c r="BT312" s="136"/>
      <c r="BU312" s="136" t="str">
        <f>IF($D312&lt;&gt;"Feature",".",
IF(VLOOKUP($B312,Feature_List!$A:$AM,MATCH(BU$1,  Feature_List!$A$1:$AM$1,0),0)=M312,".","NO"))</f>
        <v>.</v>
      </c>
      <c r="BV312" s="136" t="str">
        <f>IF($D312&lt;&gt;"Feature",".",
IF(VLOOKUP($B312,Feature_List!$A:$AM,MATCH(BV$1,  Feature_List!$A$1:$AM$1,0),0)=N312,".","NO"))</f>
        <v>.</v>
      </c>
      <c r="BW312" s="136"/>
      <c r="BX312" s="136"/>
      <c r="BY312" s="136"/>
      <c r="BZ312" s="136"/>
      <c r="CA312" s="136"/>
      <c r="CB312" s="136" t="str">
        <f>IF($D312&lt;&gt;"Feature",".",
IF(VLOOKUP($B312,Feature_List!$A:$AM,MATCH(CB$1,  Feature_List!$A$1:$AM$1,0),0)=T312,".","NO"))</f>
        <v>.</v>
      </c>
      <c r="CC312" s="136"/>
      <c r="CD312" s="136"/>
      <c r="CE312" s="136"/>
      <c r="CF312" s="136"/>
      <c r="CG312" s="136"/>
      <c r="CH312" s="136"/>
      <c r="CI312" s="136"/>
      <c r="CJ312" s="136"/>
      <c r="CK312" s="136"/>
      <c r="CL312" s="136"/>
      <c r="CM312" s="136"/>
      <c r="CN312" s="136"/>
      <c r="CO312" s="136" t="str">
        <f>IF($D312&lt;&gt;"Feature",".",
IF(VLOOKUP($B312,Feature_List!$A:$AM,MATCH(CO$1,  Feature_List!$A$1:$AM$1,0),0)=AG312,".","NO"))</f>
        <v>.</v>
      </c>
      <c r="CP312" s="136" t="str">
        <f>IF($D312&lt;&gt;"Feature",".",
IF(VLOOKUP($B312,Feature_List!$A:$AM,MATCH(CP$1,  Feature_List!$A$1:$AM$1,0),0)=AH312,".","NO"))</f>
        <v>.</v>
      </c>
      <c r="CQ312" s="136" t="str">
        <f>IF($D312&lt;&gt;"Feature",".",
IF(VLOOKUP($B312,Feature_List!$A:$AM,MATCH(CQ$1,  Feature_List!$A$1:$AM$1,0),0)=AI312,".","NO"))</f>
        <v>.</v>
      </c>
      <c r="CR312" s="136" t="str">
        <f>IF($D312&lt;&gt;"Feature",".",
IF(VLOOKUP($B312,Feature_List!$A:$AM,MATCH(CR$1,  Feature_List!$A$1:$AM$1,0),0)=AJ312,".","NO"))</f>
        <v>.</v>
      </c>
      <c r="CS312" s="136" t="str">
        <f>IF($D312&lt;&gt;"Feature",".",
IF(VLOOKUP($B312,Feature_List!$A:$AM,MATCH(CS$1,  Feature_List!$A$1:$AM$1,0),0)=AK312,".","NO"))</f>
        <v>.</v>
      </c>
      <c r="CT312" s="136" t="str">
        <f>IF($D312&lt;&gt;"Feature",".",
IF(VLOOKUP($B312,Feature_List!$A:$AM,MATCH(CT$1,  Feature_List!$A$1:$AM$1,0),0)=AL312,".","NO"))</f>
        <v>.</v>
      </c>
      <c r="CU312" s="136" t="str">
        <f>IF($D312&lt;&gt;"Feature",".",
IF(VLOOKUP($B312,Feature_List!$A:$AM,MATCH(CU$1,  Feature_List!$A$1:$AM$1,0),0)=AM312,".","NO"))</f>
        <v>.</v>
      </c>
      <c r="CV312" s="136" t="str">
        <f>IF($D312&lt;&gt;"Feature",".",
IF(VLOOKUP($B312,Feature_List!$A:$AM,MATCH(CV$1,  Feature_List!$A$1:$AM$1,0),0)=AN312,".","NO"))</f>
        <v>.</v>
      </c>
      <c r="CW312" s="136" t="str">
        <f>IF($D312&lt;&gt;"Feature",".",
IF(VLOOKUP($B312,Feature_List!$A:$AM,MATCH(CW$1,  Feature_List!$A$1:$AM$1,0),0)=AO312,".","NO"))</f>
        <v>.</v>
      </c>
      <c r="CX312" s="136" t="str">
        <f>IF($D312&lt;&gt;"Feature",".",
IF(VLOOKUP($B312,Feature_List!$A:$AM,MATCH(CX$1,  Feature_List!$A$1:$AM$1,0),0)=AP312,".","NO"))</f>
        <v>.</v>
      </c>
      <c r="CY312" s="136" t="str">
        <f>IF($D312&lt;&gt;"Feature",".",
IF(VLOOKUP($B312,Feature_List!$A:$AM,MATCH(CY$1,  Feature_List!$A$1:$AM$1,0),0)=AQ312,".","NO"))</f>
        <v>.</v>
      </c>
      <c r="CZ312" s="136" t="str">
        <f>IF($D312&lt;&gt;"Feature",".",
IF(VLOOKUP($B312,Feature_List!$A:$AM,MATCH(CZ$1,  Feature_List!$A$1:$AM$1,0),0)=AR312,".","NO"))</f>
        <v>.</v>
      </c>
      <c r="DA312" s="136" t="str">
        <f>IF($D312&lt;&gt;"Feature",".",
IF(VLOOKUP($B312,Feature_List!$A:$AM,MATCH(DA$1,  Feature_List!$A$1:$AM$1,0),0)=AS312,".","NO"))</f>
        <v>.</v>
      </c>
      <c r="DB312" s="136" t="str">
        <f>IF($D312&lt;&gt;"Feature",".",
IF(VLOOKUP($B312,Feature_List!$A:$AM,MATCH(DB$1,  Feature_List!$A$1:$AM$1,0),0)=AT312,".","NO"))</f>
        <v>.</v>
      </c>
      <c r="DC312" s="136" t="str">
        <f>IF($D312&lt;&gt;"Feature",".",
IF(VLOOKUP($B312,Feature_List!$A:$AM,MATCH(DC$1,  Feature_List!$A$1:$AM$1,0),0)=AU312,".","NO"))</f>
        <v>.</v>
      </c>
      <c r="DD312" s="136" t="str">
        <f>IF($D312&lt;&gt;"Feature",".",
IF(VLOOKUP($B312,Feature_List!$A:$AM,MATCH(DD$1,  Feature_List!$A$1:$AM$1,0),0)=AV312,".","NO"))</f>
        <v>.</v>
      </c>
      <c r="DE312" s="136" t="str">
        <f>IF($D312&lt;&gt;"Feature",".",
IF(VLOOKUP($B312,Feature_List!$A:$AM,MATCH(DE$1,  Feature_List!$A$1:$AM$1,0),0)=AW312,".","NO"))</f>
        <v>.</v>
      </c>
      <c r="DF312" s="136" t="str">
        <f>IF($D312&lt;&gt;"Feature",".",
IF(VLOOKUP($B312,Feature_List!$A:$AM,MATCH(DF$1,  Feature_List!$A$1:$AM$1,0),0)=AX312,".","NO"))</f>
        <v>.</v>
      </c>
      <c r="DG312" s="136" t="str">
        <f>IF($D312&lt;&gt;"Feature",".",
IF(VLOOKUP($B312,Feature_List!$A:$AM,MATCH(DG$1,  Feature_List!$A$1:$AM$1,0),0)=AY312,".","NO"))</f>
        <v>.</v>
      </c>
      <c r="DH312" s="136" t="str">
        <f>IF($D312&lt;&gt;"Feature",".",
IF(VLOOKUP($B312,Feature_List!$A:$AM,MATCH(DH$1,  Feature_List!$A$1:$AM$1,0),0)=AZ312,".","NO"))</f>
        <v>.</v>
      </c>
      <c r="DI312" s="136" t="str">
        <f>IF($D312&lt;&gt;"Feature",".",
IF(VLOOKUP($B312,Feature_List!$A:$AM,MATCH(DI$1,  Feature_List!$A$1:$AM$1,0),0)=BA312,".","NO"))</f>
        <v>.</v>
      </c>
      <c r="DJ312" s="136" t="str">
        <f>IF($D312&lt;&gt;"Feature",".",
IF(VLOOKUP($B312,Feature_List!$A:$AM,MATCH(DJ$1,  Feature_List!$A$1:$AM$1,0),0)=BB312,".","NO"))</f>
        <v>.</v>
      </c>
      <c r="DK312" s="136"/>
      <c r="DL312" s="136"/>
      <c r="DM312" s="136"/>
      <c r="DN312" s="136" t="str">
        <f>IF($D312&lt;&gt;"Feature",".",
IF(VLOOKUP($B312,Feature_List!$A:$AM,MATCH(DN$1,  Feature_List!$A$1:$AM$1,0),0)=BC312,".","NO"))</f>
        <v>.</v>
      </c>
      <c r="DO312" s="136" t="str">
        <f>IF($D312&lt;&gt;"Feature",".",
IF(VLOOKUP($B312,Feature_List!$A:$AM,MATCH(DO$1,  Feature_List!$A$1:$AM$1,0),0)=BD312,".","NO"))</f>
        <v>.</v>
      </c>
    </row>
    <row r="313" spans="2:119" x14ac:dyDescent="0.3">
      <c r="B313" s="121"/>
      <c r="C313" s="122"/>
      <c r="D313" s="122"/>
      <c r="E313" s="122"/>
      <c r="F313" s="123"/>
      <c r="G313" s="123"/>
      <c r="H313" s="122"/>
      <c r="I313" s="124"/>
      <c r="J313" s="123"/>
      <c r="K313" s="123"/>
      <c r="L313" s="122"/>
      <c r="M313" s="122"/>
      <c r="N313" s="122"/>
      <c r="O313" s="123">
        <f t="shared" si="150"/>
        <v>0</v>
      </c>
      <c r="P313" s="123">
        <f t="shared" si="151"/>
        <v>0</v>
      </c>
      <c r="Q313" s="122" t="str">
        <f t="shared" si="172"/>
        <v>ZeroEntry</v>
      </c>
      <c r="R313" s="126" t="str">
        <f t="shared" si="152"/>
        <v>ZeroEntry</v>
      </c>
      <c r="S313" s="127" t="str">
        <f t="shared" si="153"/>
        <v>ZeroEntry</v>
      </c>
      <c r="T313" s="128" t="str">
        <f>IF($Q313="ZeroEntry", "",VLOOKUP($I313,'Ranking Lookup'!#REF!,2,FALSE))</f>
        <v/>
      </c>
      <c r="U313" s="129" t="str">
        <f t="shared" si="154"/>
        <v/>
      </c>
      <c r="V313" s="129" t="str">
        <f t="shared" si="155"/>
        <v/>
      </c>
      <c r="W313" s="129" t="str">
        <f t="shared" si="156"/>
        <v/>
      </c>
      <c r="X313" s="129" t="str">
        <f t="shared" si="157"/>
        <v/>
      </c>
      <c r="Y313" s="129" t="str">
        <f t="shared" si="158"/>
        <v/>
      </c>
      <c r="Z313" s="129" t="str">
        <f t="shared" si="159"/>
        <v/>
      </c>
      <c r="AA313" s="130"/>
      <c r="AB313" s="130" t="str">
        <f t="shared" si="160"/>
        <v>Unassigned</v>
      </c>
      <c r="AC313" s="131" t="str">
        <f t="shared" si="173"/>
        <v/>
      </c>
      <c r="AD313" s="131" t="str">
        <f t="shared" si="174"/>
        <v/>
      </c>
      <c r="AE313" s="132">
        <f t="shared" si="161"/>
        <v>0</v>
      </c>
      <c r="AF313" s="133" t="str">
        <f t="shared" si="175"/>
        <v/>
      </c>
      <c r="AG313" s="134">
        <f t="shared" si="162"/>
        <v>0</v>
      </c>
      <c r="AH313" s="54" t="str">
        <f t="shared" si="163"/>
        <v/>
      </c>
      <c r="AI313" s="54" t="str">
        <f t="shared" si="185"/>
        <v/>
      </c>
      <c r="AJ313" s="54" t="str">
        <f t="shared" si="185"/>
        <v/>
      </c>
      <c r="AK313" s="54" t="str">
        <f t="shared" si="185"/>
        <v/>
      </c>
      <c r="AL313" s="54" t="str">
        <f t="shared" si="185"/>
        <v/>
      </c>
      <c r="AM313" s="54" t="str">
        <f t="shared" si="185"/>
        <v/>
      </c>
      <c r="AN313" s="54" t="str">
        <f t="shared" si="185"/>
        <v/>
      </c>
      <c r="AO313" s="54" t="str">
        <f t="shared" si="185"/>
        <v/>
      </c>
      <c r="AP313" s="54" t="str">
        <f t="shared" si="185"/>
        <v/>
      </c>
      <c r="AQ313" s="54" t="str">
        <f t="shared" si="185"/>
        <v/>
      </c>
      <c r="AR313" s="54" t="str">
        <f t="shared" si="185"/>
        <v/>
      </c>
      <c r="AS313" s="54" t="str">
        <f t="shared" si="185"/>
        <v/>
      </c>
      <c r="AT313" s="54" t="str">
        <f t="shared" si="185"/>
        <v/>
      </c>
      <c r="AU313" s="54" t="str">
        <f t="shared" si="185"/>
        <v/>
      </c>
      <c r="AV313" s="54" t="str">
        <f t="shared" si="185"/>
        <v/>
      </c>
      <c r="AW313" s="54" t="str">
        <f t="shared" si="185"/>
        <v/>
      </c>
      <c r="AX313" s="54" t="str">
        <f t="shared" si="185"/>
        <v/>
      </c>
      <c r="AY313" s="54" t="str">
        <f t="shared" si="177"/>
        <v/>
      </c>
      <c r="AZ313" s="54" t="str">
        <f t="shared" si="165"/>
        <v/>
      </c>
      <c r="BA313" s="54" t="str">
        <f t="shared" si="166"/>
        <v/>
      </c>
      <c r="BB313" s="135" t="str">
        <f t="shared" si="167"/>
        <v/>
      </c>
      <c r="BC313" s="54" t="str">
        <f t="shared" si="183"/>
        <v/>
      </c>
      <c r="BD313" s="54" t="str">
        <f t="shared" si="183"/>
        <v/>
      </c>
      <c r="BE313" s="54" t="str">
        <f t="shared" si="183"/>
        <v/>
      </c>
      <c r="BF313" s="54" t="str">
        <f t="shared" si="168"/>
        <v/>
      </c>
      <c r="BG313" s="54" t="str">
        <f t="shared" si="169"/>
        <v/>
      </c>
      <c r="BH313" s="34" t="str">
        <f t="shared" si="170"/>
        <v>Bad</v>
      </c>
      <c r="BI313" s="34" t="str">
        <f t="shared" si="171"/>
        <v>No</v>
      </c>
      <c r="BJ313" s="136" t="str">
        <f>IF($D313&lt;&gt;"Feature",".",
IF(VLOOKUP($B313,Feature_List!$A:$AM,MATCH(BJ$1,  Feature_List!$A$1:$AM$1,0),0)=B313,".","NO"))</f>
        <v>.</v>
      </c>
      <c r="BK313" s="136"/>
      <c r="BL313" s="136"/>
      <c r="BM313" s="136" t="str">
        <f>IF($D313&lt;&gt;"Feature",".",
IF(VLOOKUP($B313,Feature_List!$A:$AM,MATCH(BM$1,  Feature_List!$A$1:$AM$1,0),0)=E313,".","NO"))</f>
        <v>.</v>
      </c>
      <c r="BN313" s="136" t="str">
        <f>IF($D313&lt;&gt;"Feature",".",
IF(VLOOKUP($B313,Feature_List!$A:$AM,MATCH(BN$1,  Feature_List!$A$1:$AM$1,0),0)=F313,".","NO"))</f>
        <v>.</v>
      </c>
      <c r="BO313" s="136" t="str">
        <f>IF($D313&lt;&gt;"Feature",".",
IF(VLOOKUP($B313,Feature_List!$A:$AM,MATCH(BO$1,  Feature_List!$A$1:$AM$1,0),0)=G313,".","NO"))</f>
        <v>.</v>
      </c>
      <c r="BP313" s="136" t="str">
        <f>IF($D313&lt;&gt;"Feature",".",
IF(VLOOKUP($B313,Feature_List!$A:$AM,MATCH(BP$1,  Feature_List!$A$1:$AM$1,0),0)=H313,".","NO"))</f>
        <v>.</v>
      </c>
      <c r="BQ313" s="136"/>
      <c r="BR313" s="136" t="str">
        <f>IF($D313&lt;&gt;"Feature",".",
IF(VLOOKUP($B313,Feature_List!$A:$AM,MATCH(BR$1,  Feature_List!$A$1:$AM$1,0),0)=J313,".","NO"))</f>
        <v>.</v>
      </c>
      <c r="BS313" s="136"/>
      <c r="BT313" s="136"/>
      <c r="BU313" s="136" t="str">
        <f>IF($D313&lt;&gt;"Feature",".",
IF(VLOOKUP($B313,Feature_List!$A:$AM,MATCH(BU$1,  Feature_List!$A$1:$AM$1,0),0)=M313,".","NO"))</f>
        <v>.</v>
      </c>
      <c r="BV313" s="136" t="str">
        <f>IF($D313&lt;&gt;"Feature",".",
IF(VLOOKUP($B313,Feature_List!$A:$AM,MATCH(BV$1,  Feature_List!$A$1:$AM$1,0),0)=N313,".","NO"))</f>
        <v>.</v>
      </c>
      <c r="BW313" s="136"/>
      <c r="BX313" s="136"/>
      <c r="BY313" s="136"/>
      <c r="BZ313" s="136"/>
      <c r="CA313" s="136"/>
      <c r="CB313" s="136" t="str">
        <f>IF($D313&lt;&gt;"Feature",".",
IF(VLOOKUP($B313,Feature_List!$A:$AM,MATCH(CB$1,  Feature_List!$A$1:$AM$1,0),0)=T313,".","NO"))</f>
        <v>.</v>
      </c>
      <c r="CC313" s="136"/>
      <c r="CD313" s="136"/>
      <c r="CE313" s="136"/>
      <c r="CF313" s="136"/>
      <c r="CG313" s="136"/>
      <c r="CH313" s="136"/>
      <c r="CI313" s="136"/>
      <c r="CJ313" s="136"/>
      <c r="CK313" s="136"/>
      <c r="CL313" s="136"/>
      <c r="CM313" s="136"/>
      <c r="CN313" s="136"/>
      <c r="CO313" s="136" t="str">
        <f>IF($D313&lt;&gt;"Feature",".",
IF(VLOOKUP($B313,Feature_List!$A:$AM,MATCH(CO$1,  Feature_List!$A$1:$AM$1,0),0)=AG313,".","NO"))</f>
        <v>.</v>
      </c>
      <c r="CP313" s="136" t="str">
        <f>IF($D313&lt;&gt;"Feature",".",
IF(VLOOKUP($B313,Feature_List!$A:$AM,MATCH(CP$1,  Feature_List!$A$1:$AM$1,0),0)=AH313,".","NO"))</f>
        <v>.</v>
      </c>
      <c r="CQ313" s="136" t="str">
        <f>IF($D313&lt;&gt;"Feature",".",
IF(VLOOKUP($B313,Feature_List!$A:$AM,MATCH(CQ$1,  Feature_List!$A$1:$AM$1,0),0)=AI313,".","NO"))</f>
        <v>.</v>
      </c>
      <c r="CR313" s="136" t="str">
        <f>IF($D313&lt;&gt;"Feature",".",
IF(VLOOKUP($B313,Feature_List!$A:$AM,MATCH(CR$1,  Feature_List!$A$1:$AM$1,0),0)=AJ313,".","NO"))</f>
        <v>.</v>
      </c>
      <c r="CS313" s="136" t="str">
        <f>IF($D313&lt;&gt;"Feature",".",
IF(VLOOKUP($B313,Feature_List!$A:$AM,MATCH(CS$1,  Feature_List!$A$1:$AM$1,0),0)=AK313,".","NO"))</f>
        <v>.</v>
      </c>
      <c r="CT313" s="136" t="str">
        <f>IF($D313&lt;&gt;"Feature",".",
IF(VLOOKUP($B313,Feature_List!$A:$AM,MATCH(CT$1,  Feature_List!$A$1:$AM$1,0),0)=AL313,".","NO"))</f>
        <v>.</v>
      </c>
      <c r="CU313" s="136" t="str">
        <f>IF($D313&lt;&gt;"Feature",".",
IF(VLOOKUP($B313,Feature_List!$A:$AM,MATCH(CU$1,  Feature_List!$A$1:$AM$1,0),0)=AM313,".","NO"))</f>
        <v>.</v>
      </c>
      <c r="CV313" s="136" t="str">
        <f>IF($D313&lt;&gt;"Feature",".",
IF(VLOOKUP($B313,Feature_List!$A:$AM,MATCH(CV$1,  Feature_List!$A$1:$AM$1,0),0)=AN313,".","NO"))</f>
        <v>.</v>
      </c>
      <c r="CW313" s="136" t="str">
        <f>IF($D313&lt;&gt;"Feature",".",
IF(VLOOKUP($B313,Feature_List!$A:$AM,MATCH(CW$1,  Feature_List!$A$1:$AM$1,0),0)=AO313,".","NO"))</f>
        <v>.</v>
      </c>
      <c r="CX313" s="136" t="str">
        <f>IF($D313&lt;&gt;"Feature",".",
IF(VLOOKUP($B313,Feature_List!$A:$AM,MATCH(CX$1,  Feature_List!$A$1:$AM$1,0),0)=AP313,".","NO"))</f>
        <v>.</v>
      </c>
      <c r="CY313" s="136" t="str">
        <f>IF($D313&lt;&gt;"Feature",".",
IF(VLOOKUP($B313,Feature_List!$A:$AM,MATCH(CY$1,  Feature_List!$A$1:$AM$1,0),0)=AQ313,".","NO"))</f>
        <v>.</v>
      </c>
      <c r="CZ313" s="136" t="str">
        <f>IF($D313&lt;&gt;"Feature",".",
IF(VLOOKUP($B313,Feature_List!$A:$AM,MATCH(CZ$1,  Feature_List!$A$1:$AM$1,0),0)=AR313,".","NO"))</f>
        <v>.</v>
      </c>
      <c r="DA313" s="136" t="str">
        <f>IF($D313&lt;&gt;"Feature",".",
IF(VLOOKUP($B313,Feature_List!$A:$AM,MATCH(DA$1,  Feature_List!$A$1:$AM$1,0),0)=AS313,".","NO"))</f>
        <v>.</v>
      </c>
      <c r="DB313" s="136" t="str">
        <f>IF($D313&lt;&gt;"Feature",".",
IF(VLOOKUP($B313,Feature_List!$A:$AM,MATCH(DB$1,  Feature_List!$A$1:$AM$1,0),0)=AT313,".","NO"))</f>
        <v>.</v>
      </c>
      <c r="DC313" s="136" t="str">
        <f>IF($D313&lt;&gt;"Feature",".",
IF(VLOOKUP($B313,Feature_List!$A:$AM,MATCH(DC$1,  Feature_List!$A$1:$AM$1,0),0)=AU313,".","NO"))</f>
        <v>.</v>
      </c>
      <c r="DD313" s="136" t="str">
        <f>IF($D313&lt;&gt;"Feature",".",
IF(VLOOKUP($B313,Feature_List!$A:$AM,MATCH(DD$1,  Feature_List!$A$1:$AM$1,0),0)=AV313,".","NO"))</f>
        <v>.</v>
      </c>
      <c r="DE313" s="136" t="str">
        <f>IF($D313&lt;&gt;"Feature",".",
IF(VLOOKUP($B313,Feature_List!$A:$AM,MATCH(DE$1,  Feature_List!$A$1:$AM$1,0),0)=AW313,".","NO"))</f>
        <v>.</v>
      </c>
      <c r="DF313" s="136" t="str">
        <f>IF($D313&lt;&gt;"Feature",".",
IF(VLOOKUP($B313,Feature_List!$A:$AM,MATCH(DF$1,  Feature_List!$A$1:$AM$1,0),0)=AX313,".","NO"))</f>
        <v>.</v>
      </c>
      <c r="DG313" s="136" t="str">
        <f>IF($D313&lt;&gt;"Feature",".",
IF(VLOOKUP($B313,Feature_List!$A:$AM,MATCH(DG$1,  Feature_List!$A$1:$AM$1,0),0)=AY313,".","NO"))</f>
        <v>.</v>
      </c>
      <c r="DH313" s="136" t="str">
        <f>IF($D313&lt;&gt;"Feature",".",
IF(VLOOKUP($B313,Feature_List!$A:$AM,MATCH(DH$1,  Feature_List!$A$1:$AM$1,0),0)=AZ313,".","NO"))</f>
        <v>.</v>
      </c>
      <c r="DI313" s="136" t="str">
        <f>IF($D313&lt;&gt;"Feature",".",
IF(VLOOKUP($B313,Feature_List!$A:$AM,MATCH(DI$1,  Feature_List!$A$1:$AM$1,0),0)=BA313,".","NO"))</f>
        <v>.</v>
      </c>
      <c r="DJ313" s="136" t="str">
        <f>IF($D313&lt;&gt;"Feature",".",
IF(VLOOKUP($B313,Feature_List!$A:$AM,MATCH(DJ$1,  Feature_List!$A$1:$AM$1,0),0)=BB313,".","NO"))</f>
        <v>.</v>
      </c>
      <c r="DK313" s="136"/>
      <c r="DL313" s="136"/>
      <c r="DM313" s="136"/>
      <c r="DN313" s="136" t="str">
        <f>IF($D313&lt;&gt;"Feature",".",
IF(VLOOKUP($B313,Feature_List!$A:$AM,MATCH(DN$1,  Feature_List!$A$1:$AM$1,0),0)=BC313,".","NO"))</f>
        <v>.</v>
      </c>
      <c r="DO313" s="136" t="str">
        <f>IF($D313&lt;&gt;"Feature",".",
IF(VLOOKUP($B313,Feature_List!$A:$AM,MATCH(DO$1,  Feature_List!$A$1:$AM$1,0),0)=BD313,".","NO"))</f>
        <v>.</v>
      </c>
    </row>
    <row r="314" spans="2:119" x14ac:dyDescent="0.3">
      <c r="B314" s="121"/>
      <c r="C314" s="122"/>
      <c r="D314" s="122"/>
      <c r="E314" s="122"/>
      <c r="F314" s="123"/>
      <c r="G314" s="123"/>
      <c r="H314" s="122"/>
      <c r="I314" s="124"/>
      <c r="J314" s="123"/>
      <c r="K314" s="123"/>
      <c r="L314" s="122"/>
      <c r="M314" s="122"/>
      <c r="N314" s="122"/>
      <c r="O314" s="123">
        <f t="shared" si="150"/>
        <v>0</v>
      </c>
      <c r="P314" s="123">
        <f t="shared" si="151"/>
        <v>0</v>
      </c>
      <c r="Q314" s="122" t="str">
        <f t="shared" si="172"/>
        <v>ZeroEntry</v>
      </c>
      <c r="R314" s="126" t="str">
        <f t="shared" si="152"/>
        <v>ZeroEntry</v>
      </c>
      <c r="S314" s="127" t="str">
        <f t="shared" si="153"/>
        <v>ZeroEntry</v>
      </c>
      <c r="T314" s="128" t="str">
        <f>IF($Q314="ZeroEntry", "",VLOOKUP($I314,'Ranking Lookup'!#REF!,2,FALSE))</f>
        <v/>
      </c>
      <c r="U314" s="129" t="str">
        <f t="shared" si="154"/>
        <v/>
      </c>
      <c r="V314" s="129" t="str">
        <f t="shared" si="155"/>
        <v/>
      </c>
      <c r="W314" s="129" t="str">
        <f t="shared" si="156"/>
        <v/>
      </c>
      <c r="X314" s="129" t="str">
        <f t="shared" si="157"/>
        <v/>
      </c>
      <c r="Y314" s="129" t="str">
        <f t="shared" si="158"/>
        <v/>
      </c>
      <c r="Z314" s="129" t="str">
        <f t="shared" si="159"/>
        <v/>
      </c>
      <c r="AA314" s="130"/>
      <c r="AB314" s="130" t="str">
        <f t="shared" si="160"/>
        <v>Unassigned</v>
      </c>
      <c r="AC314" s="131" t="str">
        <f t="shared" si="173"/>
        <v/>
      </c>
      <c r="AD314" s="131" t="str">
        <f t="shared" si="174"/>
        <v/>
      </c>
      <c r="AE314" s="132">
        <f t="shared" si="161"/>
        <v>0</v>
      </c>
      <c r="AF314" s="133" t="str">
        <f t="shared" si="175"/>
        <v/>
      </c>
      <c r="AG314" s="134">
        <f t="shared" si="162"/>
        <v>0</v>
      </c>
      <c r="AH314" s="54" t="str">
        <f t="shared" si="163"/>
        <v/>
      </c>
      <c r="AI314" s="54" t="str">
        <f t="shared" si="185"/>
        <v/>
      </c>
      <c r="AJ314" s="54" t="str">
        <f t="shared" si="185"/>
        <v/>
      </c>
      <c r="AK314" s="54" t="str">
        <f t="shared" si="185"/>
        <v/>
      </c>
      <c r="AL314" s="54" t="str">
        <f t="shared" si="185"/>
        <v/>
      </c>
      <c r="AM314" s="54" t="str">
        <f t="shared" si="185"/>
        <v/>
      </c>
      <c r="AN314" s="54" t="str">
        <f t="shared" si="185"/>
        <v/>
      </c>
      <c r="AO314" s="54" t="str">
        <f t="shared" si="185"/>
        <v/>
      </c>
      <c r="AP314" s="54" t="str">
        <f t="shared" si="185"/>
        <v/>
      </c>
      <c r="AQ314" s="54" t="str">
        <f t="shared" si="185"/>
        <v/>
      </c>
      <c r="AR314" s="54" t="str">
        <f t="shared" si="185"/>
        <v/>
      </c>
      <c r="AS314" s="54" t="str">
        <f t="shared" si="185"/>
        <v/>
      </c>
      <c r="AT314" s="54" t="str">
        <f t="shared" si="185"/>
        <v/>
      </c>
      <c r="AU314" s="54" t="str">
        <f t="shared" si="185"/>
        <v/>
      </c>
      <c r="AV314" s="54" t="str">
        <f t="shared" si="185"/>
        <v/>
      </c>
      <c r="AW314" s="54" t="str">
        <f t="shared" si="185"/>
        <v/>
      </c>
      <c r="AX314" s="54" t="str">
        <f t="shared" si="185"/>
        <v/>
      </c>
      <c r="AY314" s="54" t="str">
        <f t="shared" si="177"/>
        <v/>
      </c>
      <c r="AZ314" s="54" t="str">
        <f t="shared" si="165"/>
        <v/>
      </c>
      <c r="BA314" s="54" t="str">
        <f t="shared" si="166"/>
        <v/>
      </c>
      <c r="BB314" s="135" t="str">
        <f t="shared" si="167"/>
        <v/>
      </c>
      <c r="BC314" s="54" t="str">
        <f t="shared" si="183"/>
        <v/>
      </c>
      <c r="BD314" s="54" t="str">
        <f t="shared" si="183"/>
        <v/>
      </c>
      <c r="BE314" s="54" t="str">
        <f t="shared" si="183"/>
        <v/>
      </c>
      <c r="BF314" s="54" t="str">
        <f t="shared" si="168"/>
        <v/>
      </c>
      <c r="BG314" s="54" t="str">
        <f t="shared" si="169"/>
        <v/>
      </c>
      <c r="BH314" s="34" t="str">
        <f t="shared" si="170"/>
        <v>Bad</v>
      </c>
      <c r="BI314" s="34" t="str">
        <f t="shared" si="171"/>
        <v>No</v>
      </c>
      <c r="BJ314" s="136" t="str">
        <f>IF($D314&lt;&gt;"Feature",".",
IF(VLOOKUP($B314,Feature_List!$A:$AM,MATCH(BJ$1,  Feature_List!$A$1:$AM$1,0),0)=B314,".","NO"))</f>
        <v>.</v>
      </c>
      <c r="BK314" s="136"/>
      <c r="BL314" s="136"/>
      <c r="BM314" s="136" t="str">
        <f>IF($D314&lt;&gt;"Feature",".",
IF(VLOOKUP($B314,Feature_List!$A:$AM,MATCH(BM$1,  Feature_List!$A$1:$AM$1,0),0)=E314,".","NO"))</f>
        <v>.</v>
      </c>
      <c r="BN314" s="136" t="str">
        <f>IF($D314&lt;&gt;"Feature",".",
IF(VLOOKUP($B314,Feature_List!$A:$AM,MATCH(BN$1,  Feature_List!$A$1:$AM$1,0),0)=F314,".","NO"))</f>
        <v>.</v>
      </c>
      <c r="BO314" s="136" t="str">
        <f>IF($D314&lt;&gt;"Feature",".",
IF(VLOOKUP($B314,Feature_List!$A:$AM,MATCH(BO$1,  Feature_List!$A$1:$AM$1,0),0)=G314,".","NO"))</f>
        <v>.</v>
      </c>
      <c r="BP314" s="136" t="str">
        <f>IF($D314&lt;&gt;"Feature",".",
IF(VLOOKUP($B314,Feature_List!$A:$AM,MATCH(BP$1,  Feature_List!$A$1:$AM$1,0),0)=H314,".","NO"))</f>
        <v>.</v>
      </c>
      <c r="BQ314" s="136"/>
      <c r="BR314" s="136" t="str">
        <f>IF($D314&lt;&gt;"Feature",".",
IF(VLOOKUP($B314,Feature_List!$A:$AM,MATCH(BR$1,  Feature_List!$A$1:$AM$1,0),0)=J314,".","NO"))</f>
        <v>.</v>
      </c>
      <c r="BS314" s="136"/>
      <c r="BT314" s="136"/>
      <c r="BU314" s="136" t="str">
        <f>IF($D314&lt;&gt;"Feature",".",
IF(VLOOKUP($B314,Feature_List!$A:$AM,MATCH(BU$1,  Feature_List!$A$1:$AM$1,0),0)=M314,".","NO"))</f>
        <v>.</v>
      </c>
      <c r="BV314" s="136" t="str">
        <f>IF($D314&lt;&gt;"Feature",".",
IF(VLOOKUP($B314,Feature_List!$A:$AM,MATCH(BV$1,  Feature_List!$A$1:$AM$1,0),0)=N314,".","NO"))</f>
        <v>.</v>
      </c>
      <c r="BW314" s="136"/>
      <c r="BX314" s="136"/>
      <c r="BY314" s="136"/>
      <c r="BZ314" s="136"/>
      <c r="CA314" s="136"/>
      <c r="CB314" s="136" t="str">
        <f>IF($D314&lt;&gt;"Feature",".",
IF(VLOOKUP($B314,Feature_List!$A:$AM,MATCH(CB$1,  Feature_List!$A$1:$AM$1,0),0)=T314,".","NO"))</f>
        <v>.</v>
      </c>
      <c r="CC314" s="136"/>
      <c r="CD314" s="136"/>
      <c r="CE314" s="136"/>
      <c r="CF314" s="136"/>
      <c r="CG314" s="136"/>
      <c r="CH314" s="136"/>
      <c r="CI314" s="136"/>
      <c r="CJ314" s="136"/>
      <c r="CK314" s="136"/>
      <c r="CL314" s="136"/>
      <c r="CM314" s="136"/>
      <c r="CN314" s="136"/>
      <c r="CO314" s="136" t="str">
        <f>IF($D314&lt;&gt;"Feature",".",
IF(VLOOKUP($B314,Feature_List!$A:$AM,MATCH(CO$1,  Feature_List!$A$1:$AM$1,0),0)=AG314,".","NO"))</f>
        <v>.</v>
      </c>
      <c r="CP314" s="136" t="str">
        <f>IF($D314&lt;&gt;"Feature",".",
IF(VLOOKUP($B314,Feature_List!$A:$AM,MATCH(CP$1,  Feature_List!$A$1:$AM$1,0),0)=AH314,".","NO"))</f>
        <v>.</v>
      </c>
      <c r="CQ314" s="136" t="str">
        <f>IF($D314&lt;&gt;"Feature",".",
IF(VLOOKUP($B314,Feature_List!$A:$AM,MATCH(CQ$1,  Feature_List!$A$1:$AM$1,0),0)=AI314,".","NO"))</f>
        <v>.</v>
      </c>
      <c r="CR314" s="136" t="str">
        <f>IF($D314&lt;&gt;"Feature",".",
IF(VLOOKUP($B314,Feature_List!$A:$AM,MATCH(CR$1,  Feature_List!$A$1:$AM$1,0),0)=AJ314,".","NO"))</f>
        <v>.</v>
      </c>
      <c r="CS314" s="136" t="str">
        <f>IF($D314&lt;&gt;"Feature",".",
IF(VLOOKUP($B314,Feature_List!$A:$AM,MATCH(CS$1,  Feature_List!$A$1:$AM$1,0),0)=AK314,".","NO"))</f>
        <v>.</v>
      </c>
      <c r="CT314" s="136" t="str">
        <f>IF($D314&lt;&gt;"Feature",".",
IF(VLOOKUP($B314,Feature_List!$A:$AM,MATCH(CT$1,  Feature_List!$A$1:$AM$1,0),0)=AL314,".","NO"))</f>
        <v>.</v>
      </c>
      <c r="CU314" s="136" t="str">
        <f>IF($D314&lt;&gt;"Feature",".",
IF(VLOOKUP($B314,Feature_List!$A:$AM,MATCH(CU$1,  Feature_List!$A$1:$AM$1,0),0)=AM314,".","NO"))</f>
        <v>.</v>
      </c>
      <c r="CV314" s="136" t="str">
        <f>IF($D314&lt;&gt;"Feature",".",
IF(VLOOKUP($B314,Feature_List!$A:$AM,MATCH(CV$1,  Feature_List!$A$1:$AM$1,0),0)=AN314,".","NO"))</f>
        <v>.</v>
      </c>
      <c r="CW314" s="136" t="str">
        <f>IF($D314&lt;&gt;"Feature",".",
IF(VLOOKUP($B314,Feature_List!$A:$AM,MATCH(CW$1,  Feature_List!$A$1:$AM$1,0),0)=AO314,".","NO"))</f>
        <v>.</v>
      </c>
      <c r="CX314" s="136" t="str">
        <f>IF($D314&lt;&gt;"Feature",".",
IF(VLOOKUP($B314,Feature_List!$A:$AM,MATCH(CX$1,  Feature_List!$A$1:$AM$1,0),0)=AP314,".","NO"))</f>
        <v>.</v>
      </c>
      <c r="CY314" s="136" t="str">
        <f>IF($D314&lt;&gt;"Feature",".",
IF(VLOOKUP($B314,Feature_List!$A:$AM,MATCH(CY$1,  Feature_List!$A$1:$AM$1,0),0)=AQ314,".","NO"))</f>
        <v>.</v>
      </c>
      <c r="CZ314" s="136" t="str">
        <f>IF($D314&lt;&gt;"Feature",".",
IF(VLOOKUP($B314,Feature_List!$A:$AM,MATCH(CZ$1,  Feature_List!$A$1:$AM$1,0),0)=AR314,".","NO"))</f>
        <v>.</v>
      </c>
      <c r="DA314" s="136" t="str">
        <f>IF($D314&lt;&gt;"Feature",".",
IF(VLOOKUP($B314,Feature_List!$A:$AM,MATCH(DA$1,  Feature_List!$A$1:$AM$1,0),0)=AS314,".","NO"))</f>
        <v>.</v>
      </c>
      <c r="DB314" s="136" t="str">
        <f>IF($D314&lt;&gt;"Feature",".",
IF(VLOOKUP($B314,Feature_List!$A:$AM,MATCH(DB$1,  Feature_List!$A$1:$AM$1,0),0)=AT314,".","NO"))</f>
        <v>.</v>
      </c>
      <c r="DC314" s="136" t="str">
        <f>IF($D314&lt;&gt;"Feature",".",
IF(VLOOKUP($B314,Feature_List!$A:$AM,MATCH(DC$1,  Feature_List!$A$1:$AM$1,0),0)=AU314,".","NO"))</f>
        <v>.</v>
      </c>
      <c r="DD314" s="136" t="str">
        <f>IF($D314&lt;&gt;"Feature",".",
IF(VLOOKUP($B314,Feature_List!$A:$AM,MATCH(DD$1,  Feature_List!$A$1:$AM$1,0),0)=AV314,".","NO"))</f>
        <v>.</v>
      </c>
      <c r="DE314" s="136" t="str">
        <f>IF($D314&lt;&gt;"Feature",".",
IF(VLOOKUP($B314,Feature_List!$A:$AM,MATCH(DE$1,  Feature_List!$A$1:$AM$1,0),0)=AW314,".","NO"))</f>
        <v>.</v>
      </c>
      <c r="DF314" s="136" t="str">
        <f>IF($D314&lt;&gt;"Feature",".",
IF(VLOOKUP($B314,Feature_List!$A:$AM,MATCH(DF$1,  Feature_List!$A$1:$AM$1,0),0)=AX314,".","NO"))</f>
        <v>.</v>
      </c>
      <c r="DG314" s="136" t="str">
        <f>IF($D314&lt;&gt;"Feature",".",
IF(VLOOKUP($B314,Feature_List!$A:$AM,MATCH(DG$1,  Feature_List!$A$1:$AM$1,0),0)=AY314,".","NO"))</f>
        <v>.</v>
      </c>
      <c r="DH314" s="136" t="str">
        <f>IF($D314&lt;&gt;"Feature",".",
IF(VLOOKUP($B314,Feature_List!$A:$AM,MATCH(DH$1,  Feature_List!$A$1:$AM$1,0),0)=AZ314,".","NO"))</f>
        <v>.</v>
      </c>
      <c r="DI314" s="136" t="str">
        <f>IF($D314&lt;&gt;"Feature",".",
IF(VLOOKUP($B314,Feature_List!$A:$AM,MATCH(DI$1,  Feature_List!$A$1:$AM$1,0),0)=BA314,".","NO"))</f>
        <v>.</v>
      </c>
      <c r="DJ314" s="136" t="str">
        <f>IF($D314&lt;&gt;"Feature",".",
IF(VLOOKUP($B314,Feature_List!$A:$AM,MATCH(DJ$1,  Feature_List!$A$1:$AM$1,0),0)=BB314,".","NO"))</f>
        <v>.</v>
      </c>
      <c r="DK314" s="136"/>
      <c r="DL314" s="136"/>
      <c r="DM314" s="136"/>
      <c r="DN314" s="136" t="str">
        <f>IF($D314&lt;&gt;"Feature",".",
IF(VLOOKUP($B314,Feature_List!$A:$AM,MATCH(DN$1,  Feature_List!$A$1:$AM$1,0),0)=BC314,".","NO"))</f>
        <v>.</v>
      </c>
      <c r="DO314" s="136" t="str">
        <f>IF($D314&lt;&gt;"Feature",".",
IF(VLOOKUP($B314,Feature_List!$A:$AM,MATCH(DO$1,  Feature_List!$A$1:$AM$1,0),0)=BD314,".","NO"))</f>
        <v>.</v>
      </c>
    </row>
    <row r="315" spans="2:119" x14ac:dyDescent="0.3">
      <c r="B315" s="121"/>
      <c r="C315" s="122"/>
      <c r="D315" s="122"/>
      <c r="E315" s="122"/>
      <c r="F315" s="123"/>
      <c r="G315" s="123"/>
      <c r="H315" s="122"/>
      <c r="I315" s="124"/>
      <c r="J315" s="123"/>
      <c r="K315" s="123"/>
      <c r="L315" s="122"/>
      <c r="M315" s="122"/>
      <c r="N315" s="122"/>
      <c r="O315" s="123">
        <f t="shared" si="150"/>
        <v>0</v>
      </c>
      <c r="P315" s="123">
        <f t="shared" si="151"/>
        <v>0</v>
      </c>
      <c r="Q315" s="122" t="str">
        <f t="shared" si="172"/>
        <v>ZeroEntry</v>
      </c>
      <c r="R315" s="126" t="str">
        <f t="shared" si="152"/>
        <v>ZeroEntry</v>
      </c>
      <c r="S315" s="127" t="str">
        <f t="shared" si="153"/>
        <v>ZeroEntry</v>
      </c>
      <c r="T315" s="128" t="str">
        <f>IF($Q315="ZeroEntry", "",VLOOKUP($I315,'Ranking Lookup'!#REF!,2,FALSE))</f>
        <v/>
      </c>
      <c r="U315" s="129" t="str">
        <f t="shared" si="154"/>
        <v/>
      </c>
      <c r="V315" s="129" t="str">
        <f t="shared" si="155"/>
        <v/>
      </c>
      <c r="W315" s="129" t="str">
        <f t="shared" si="156"/>
        <v/>
      </c>
      <c r="X315" s="129" t="str">
        <f t="shared" si="157"/>
        <v/>
      </c>
      <c r="Y315" s="129" t="str">
        <f t="shared" si="158"/>
        <v/>
      </c>
      <c r="Z315" s="129" t="str">
        <f t="shared" si="159"/>
        <v/>
      </c>
      <c r="AA315" s="130"/>
      <c r="AB315" s="130" t="str">
        <f t="shared" si="160"/>
        <v>Unassigned</v>
      </c>
      <c r="AC315" s="131" t="str">
        <f t="shared" si="173"/>
        <v/>
      </c>
      <c r="AD315" s="131" t="str">
        <f t="shared" si="174"/>
        <v/>
      </c>
      <c r="AE315" s="132">
        <f t="shared" si="161"/>
        <v>0</v>
      </c>
      <c r="AF315" s="133" t="str">
        <f t="shared" si="175"/>
        <v/>
      </c>
      <c r="AG315" s="134">
        <f t="shared" si="162"/>
        <v>0</v>
      </c>
      <c r="AH315" s="54" t="str">
        <f t="shared" si="163"/>
        <v/>
      </c>
      <c r="AI315" s="54" t="str">
        <f t="shared" si="185"/>
        <v/>
      </c>
      <c r="AJ315" s="54" t="str">
        <f t="shared" si="185"/>
        <v/>
      </c>
      <c r="AK315" s="54" t="str">
        <f t="shared" si="185"/>
        <v/>
      </c>
      <c r="AL315" s="54" t="str">
        <f t="shared" si="185"/>
        <v/>
      </c>
      <c r="AM315" s="54" t="str">
        <f t="shared" si="185"/>
        <v/>
      </c>
      <c r="AN315" s="54" t="str">
        <f t="shared" si="185"/>
        <v/>
      </c>
      <c r="AO315" s="54" t="str">
        <f t="shared" si="185"/>
        <v/>
      </c>
      <c r="AP315" s="54" t="str">
        <f t="shared" si="185"/>
        <v/>
      </c>
      <c r="AQ315" s="54" t="str">
        <f t="shared" si="185"/>
        <v/>
      </c>
      <c r="AR315" s="54" t="str">
        <f t="shared" si="185"/>
        <v/>
      </c>
      <c r="AS315" s="54" t="str">
        <f t="shared" si="185"/>
        <v/>
      </c>
      <c r="AT315" s="54" t="str">
        <f t="shared" si="185"/>
        <v/>
      </c>
      <c r="AU315" s="54" t="str">
        <f t="shared" si="185"/>
        <v/>
      </c>
      <c r="AV315" s="54" t="str">
        <f t="shared" si="185"/>
        <v/>
      </c>
      <c r="AW315" s="54" t="str">
        <f t="shared" si="185"/>
        <v/>
      </c>
      <c r="AX315" s="54" t="str">
        <f t="shared" si="185"/>
        <v/>
      </c>
      <c r="AY315" s="54" t="str">
        <f t="shared" si="177"/>
        <v/>
      </c>
      <c r="AZ315" s="54" t="str">
        <f t="shared" si="165"/>
        <v/>
      </c>
      <c r="BA315" s="54" t="str">
        <f t="shared" si="166"/>
        <v/>
      </c>
      <c r="BB315" s="135" t="str">
        <f t="shared" si="167"/>
        <v/>
      </c>
      <c r="BC315" s="54" t="str">
        <f t="shared" si="183"/>
        <v/>
      </c>
      <c r="BD315" s="54" t="str">
        <f t="shared" si="183"/>
        <v/>
      </c>
      <c r="BE315" s="54" t="str">
        <f t="shared" si="183"/>
        <v/>
      </c>
      <c r="BF315" s="54" t="str">
        <f t="shared" si="168"/>
        <v/>
      </c>
      <c r="BG315" s="54" t="str">
        <f t="shared" si="169"/>
        <v/>
      </c>
      <c r="BH315" s="34" t="str">
        <f t="shared" si="170"/>
        <v>Bad</v>
      </c>
      <c r="BI315" s="34" t="str">
        <f t="shared" si="171"/>
        <v>No</v>
      </c>
      <c r="BJ315" s="136" t="str">
        <f>IF($D315&lt;&gt;"Feature",".",
IF(VLOOKUP($B315,Feature_List!$A:$AM,MATCH(BJ$1,  Feature_List!$A$1:$AM$1,0),0)=B315,".","NO"))</f>
        <v>.</v>
      </c>
      <c r="BK315" s="136"/>
      <c r="BL315" s="136"/>
      <c r="BM315" s="136" t="str">
        <f>IF($D315&lt;&gt;"Feature",".",
IF(VLOOKUP($B315,Feature_List!$A:$AM,MATCH(BM$1,  Feature_List!$A$1:$AM$1,0),0)=E315,".","NO"))</f>
        <v>.</v>
      </c>
      <c r="BN315" s="136" t="str">
        <f>IF($D315&lt;&gt;"Feature",".",
IF(VLOOKUP($B315,Feature_List!$A:$AM,MATCH(BN$1,  Feature_List!$A$1:$AM$1,0),0)=F315,".","NO"))</f>
        <v>.</v>
      </c>
      <c r="BO315" s="136" t="str">
        <f>IF($D315&lt;&gt;"Feature",".",
IF(VLOOKUP($B315,Feature_List!$A:$AM,MATCH(BO$1,  Feature_List!$A$1:$AM$1,0),0)=G315,".","NO"))</f>
        <v>.</v>
      </c>
      <c r="BP315" s="136" t="str">
        <f>IF($D315&lt;&gt;"Feature",".",
IF(VLOOKUP($B315,Feature_List!$A:$AM,MATCH(BP$1,  Feature_List!$A$1:$AM$1,0),0)=H315,".","NO"))</f>
        <v>.</v>
      </c>
      <c r="BQ315" s="136"/>
      <c r="BR315" s="136" t="str">
        <f>IF($D315&lt;&gt;"Feature",".",
IF(VLOOKUP($B315,Feature_List!$A:$AM,MATCH(BR$1,  Feature_List!$A$1:$AM$1,0),0)=J315,".","NO"))</f>
        <v>.</v>
      </c>
      <c r="BS315" s="136"/>
      <c r="BT315" s="136"/>
      <c r="BU315" s="136" t="str">
        <f>IF($D315&lt;&gt;"Feature",".",
IF(VLOOKUP($B315,Feature_List!$A:$AM,MATCH(BU$1,  Feature_List!$A$1:$AM$1,0),0)=M315,".","NO"))</f>
        <v>.</v>
      </c>
      <c r="BV315" s="136" t="str">
        <f>IF($D315&lt;&gt;"Feature",".",
IF(VLOOKUP($B315,Feature_List!$A:$AM,MATCH(BV$1,  Feature_List!$A$1:$AM$1,0),0)=N315,".","NO"))</f>
        <v>.</v>
      </c>
      <c r="BW315" s="136"/>
      <c r="BX315" s="136"/>
      <c r="BY315" s="136"/>
      <c r="BZ315" s="136"/>
      <c r="CA315" s="136"/>
      <c r="CB315" s="136" t="str">
        <f>IF($D315&lt;&gt;"Feature",".",
IF(VLOOKUP($B315,Feature_List!$A:$AM,MATCH(CB$1,  Feature_List!$A$1:$AM$1,0),0)=T315,".","NO"))</f>
        <v>.</v>
      </c>
      <c r="CC315" s="136"/>
      <c r="CD315" s="136"/>
      <c r="CE315" s="136"/>
      <c r="CF315" s="136"/>
      <c r="CG315" s="136"/>
      <c r="CH315" s="136"/>
      <c r="CI315" s="136"/>
      <c r="CJ315" s="136"/>
      <c r="CK315" s="136"/>
      <c r="CL315" s="136"/>
      <c r="CM315" s="136"/>
      <c r="CN315" s="136"/>
      <c r="CO315" s="136" t="str">
        <f>IF($D315&lt;&gt;"Feature",".",
IF(VLOOKUP($B315,Feature_List!$A:$AM,MATCH(CO$1,  Feature_List!$A$1:$AM$1,0),0)=AG315,".","NO"))</f>
        <v>.</v>
      </c>
      <c r="CP315" s="136" t="str">
        <f>IF($D315&lt;&gt;"Feature",".",
IF(VLOOKUP($B315,Feature_List!$A:$AM,MATCH(CP$1,  Feature_List!$A$1:$AM$1,0),0)=AH315,".","NO"))</f>
        <v>.</v>
      </c>
      <c r="CQ315" s="136" t="str">
        <f>IF($D315&lt;&gt;"Feature",".",
IF(VLOOKUP($B315,Feature_List!$A:$AM,MATCH(CQ$1,  Feature_List!$A$1:$AM$1,0),0)=AI315,".","NO"))</f>
        <v>.</v>
      </c>
      <c r="CR315" s="136" t="str">
        <f>IF($D315&lt;&gt;"Feature",".",
IF(VLOOKUP($B315,Feature_List!$A:$AM,MATCH(CR$1,  Feature_List!$A$1:$AM$1,0),0)=AJ315,".","NO"))</f>
        <v>.</v>
      </c>
      <c r="CS315" s="136" t="str">
        <f>IF($D315&lt;&gt;"Feature",".",
IF(VLOOKUP($B315,Feature_List!$A:$AM,MATCH(CS$1,  Feature_List!$A$1:$AM$1,0),0)=AK315,".","NO"))</f>
        <v>.</v>
      </c>
      <c r="CT315" s="136" t="str">
        <f>IF($D315&lt;&gt;"Feature",".",
IF(VLOOKUP($B315,Feature_List!$A:$AM,MATCH(CT$1,  Feature_List!$A$1:$AM$1,0),0)=AL315,".","NO"))</f>
        <v>.</v>
      </c>
      <c r="CU315" s="136" t="str">
        <f>IF($D315&lt;&gt;"Feature",".",
IF(VLOOKUP($B315,Feature_List!$A:$AM,MATCH(CU$1,  Feature_List!$A$1:$AM$1,0),0)=AM315,".","NO"))</f>
        <v>.</v>
      </c>
      <c r="CV315" s="136" t="str">
        <f>IF($D315&lt;&gt;"Feature",".",
IF(VLOOKUP($B315,Feature_List!$A:$AM,MATCH(CV$1,  Feature_List!$A$1:$AM$1,0),0)=AN315,".","NO"))</f>
        <v>.</v>
      </c>
      <c r="CW315" s="136" t="str">
        <f>IF($D315&lt;&gt;"Feature",".",
IF(VLOOKUP($B315,Feature_List!$A:$AM,MATCH(CW$1,  Feature_List!$A$1:$AM$1,0),0)=AO315,".","NO"))</f>
        <v>.</v>
      </c>
      <c r="CX315" s="136" t="str">
        <f>IF($D315&lt;&gt;"Feature",".",
IF(VLOOKUP($B315,Feature_List!$A:$AM,MATCH(CX$1,  Feature_List!$A$1:$AM$1,0),0)=AP315,".","NO"))</f>
        <v>.</v>
      </c>
      <c r="CY315" s="136" t="str">
        <f>IF($D315&lt;&gt;"Feature",".",
IF(VLOOKUP($B315,Feature_List!$A:$AM,MATCH(CY$1,  Feature_List!$A$1:$AM$1,0),0)=AQ315,".","NO"))</f>
        <v>.</v>
      </c>
      <c r="CZ315" s="136" t="str">
        <f>IF($D315&lt;&gt;"Feature",".",
IF(VLOOKUP($B315,Feature_List!$A:$AM,MATCH(CZ$1,  Feature_List!$A$1:$AM$1,0),0)=AR315,".","NO"))</f>
        <v>.</v>
      </c>
      <c r="DA315" s="136" t="str">
        <f>IF($D315&lt;&gt;"Feature",".",
IF(VLOOKUP($B315,Feature_List!$A:$AM,MATCH(DA$1,  Feature_List!$A$1:$AM$1,0),0)=AS315,".","NO"))</f>
        <v>.</v>
      </c>
      <c r="DB315" s="136" t="str">
        <f>IF($D315&lt;&gt;"Feature",".",
IF(VLOOKUP($B315,Feature_List!$A:$AM,MATCH(DB$1,  Feature_List!$A$1:$AM$1,0),0)=AT315,".","NO"))</f>
        <v>.</v>
      </c>
      <c r="DC315" s="136" t="str">
        <f>IF($D315&lt;&gt;"Feature",".",
IF(VLOOKUP($B315,Feature_List!$A:$AM,MATCH(DC$1,  Feature_List!$A$1:$AM$1,0),0)=AU315,".","NO"))</f>
        <v>.</v>
      </c>
      <c r="DD315" s="136" t="str">
        <f>IF($D315&lt;&gt;"Feature",".",
IF(VLOOKUP($B315,Feature_List!$A:$AM,MATCH(DD$1,  Feature_List!$A$1:$AM$1,0),0)=AV315,".","NO"))</f>
        <v>.</v>
      </c>
      <c r="DE315" s="136" t="str">
        <f>IF($D315&lt;&gt;"Feature",".",
IF(VLOOKUP($B315,Feature_List!$A:$AM,MATCH(DE$1,  Feature_List!$A$1:$AM$1,0),0)=AW315,".","NO"))</f>
        <v>.</v>
      </c>
      <c r="DF315" s="136" t="str">
        <f>IF($D315&lt;&gt;"Feature",".",
IF(VLOOKUP($B315,Feature_List!$A:$AM,MATCH(DF$1,  Feature_List!$A$1:$AM$1,0),0)=AX315,".","NO"))</f>
        <v>.</v>
      </c>
      <c r="DG315" s="136" t="str">
        <f>IF($D315&lt;&gt;"Feature",".",
IF(VLOOKUP($B315,Feature_List!$A:$AM,MATCH(DG$1,  Feature_List!$A$1:$AM$1,0),0)=AY315,".","NO"))</f>
        <v>.</v>
      </c>
      <c r="DH315" s="136" t="str">
        <f>IF($D315&lt;&gt;"Feature",".",
IF(VLOOKUP($B315,Feature_List!$A:$AM,MATCH(DH$1,  Feature_List!$A$1:$AM$1,0),0)=AZ315,".","NO"))</f>
        <v>.</v>
      </c>
      <c r="DI315" s="136" t="str">
        <f>IF($D315&lt;&gt;"Feature",".",
IF(VLOOKUP($B315,Feature_List!$A:$AM,MATCH(DI$1,  Feature_List!$A$1:$AM$1,0),0)=BA315,".","NO"))</f>
        <v>.</v>
      </c>
      <c r="DJ315" s="136" t="str">
        <f>IF($D315&lt;&gt;"Feature",".",
IF(VLOOKUP($B315,Feature_List!$A:$AM,MATCH(DJ$1,  Feature_List!$A$1:$AM$1,0),0)=BB315,".","NO"))</f>
        <v>.</v>
      </c>
      <c r="DK315" s="136"/>
      <c r="DL315" s="136"/>
      <c r="DM315" s="136"/>
      <c r="DN315" s="136" t="str">
        <f>IF($D315&lt;&gt;"Feature",".",
IF(VLOOKUP($B315,Feature_List!$A:$AM,MATCH(DN$1,  Feature_List!$A$1:$AM$1,0),0)=BC315,".","NO"))</f>
        <v>.</v>
      </c>
      <c r="DO315" s="136" t="str">
        <f>IF($D315&lt;&gt;"Feature",".",
IF(VLOOKUP($B315,Feature_List!$A:$AM,MATCH(DO$1,  Feature_List!$A$1:$AM$1,0),0)=BD315,".","NO"))</f>
        <v>.</v>
      </c>
    </row>
    <row r="316" spans="2:119" x14ac:dyDescent="0.3">
      <c r="B316" s="121"/>
      <c r="C316" s="122"/>
      <c r="D316" s="122"/>
      <c r="E316" s="122"/>
      <c r="F316" s="123"/>
      <c r="G316" s="123"/>
      <c r="H316" s="122"/>
      <c r="I316" s="124"/>
      <c r="J316" s="123"/>
      <c r="K316" s="123"/>
      <c r="L316" s="122"/>
      <c r="M316" s="122"/>
      <c r="N316" s="122"/>
      <c r="O316" s="123">
        <f t="shared" si="150"/>
        <v>0</v>
      </c>
      <c r="P316" s="123">
        <f t="shared" si="151"/>
        <v>0</v>
      </c>
      <c r="Q316" s="122" t="str">
        <f t="shared" si="172"/>
        <v>ZeroEntry</v>
      </c>
      <c r="R316" s="126" t="str">
        <f t="shared" si="152"/>
        <v>ZeroEntry</v>
      </c>
      <c r="S316" s="127" t="str">
        <f t="shared" si="153"/>
        <v>ZeroEntry</v>
      </c>
      <c r="T316" s="128" t="str">
        <f>IF($Q316="ZeroEntry", "",VLOOKUP($I316,'Ranking Lookup'!#REF!,2,FALSE))</f>
        <v/>
      </c>
      <c r="U316" s="129" t="str">
        <f t="shared" si="154"/>
        <v/>
      </c>
      <c r="V316" s="129" t="str">
        <f t="shared" si="155"/>
        <v/>
      </c>
      <c r="W316" s="129" t="str">
        <f t="shared" si="156"/>
        <v/>
      </c>
      <c r="X316" s="129" t="str">
        <f t="shared" si="157"/>
        <v/>
      </c>
      <c r="Y316" s="129" t="str">
        <f t="shared" si="158"/>
        <v/>
      </c>
      <c r="Z316" s="129" t="str">
        <f t="shared" si="159"/>
        <v/>
      </c>
      <c r="AA316" s="130"/>
      <c r="AB316" s="130" t="str">
        <f t="shared" si="160"/>
        <v>Unassigned</v>
      </c>
      <c r="AC316" s="131" t="str">
        <f t="shared" si="173"/>
        <v/>
      </c>
      <c r="AD316" s="131" t="str">
        <f t="shared" si="174"/>
        <v/>
      </c>
      <c r="AE316" s="132">
        <f t="shared" si="161"/>
        <v>0</v>
      </c>
      <c r="AF316" s="133" t="str">
        <f t="shared" si="175"/>
        <v/>
      </c>
      <c r="AG316" s="134">
        <f t="shared" si="162"/>
        <v>0</v>
      </c>
      <c r="AH316" s="54" t="str">
        <f t="shared" si="163"/>
        <v/>
      </c>
      <c r="AI316" s="54" t="str">
        <f t="shared" si="185"/>
        <v/>
      </c>
      <c r="AJ316" s="54" t="str">
        <f t="shared" si="185"/>
        <v/>
      </c>
      <c r="AK316" s="54" t="str">
        <f t="shared" si="185"/>
        <v/>
      </c>
      <c r="AL316" s="54" t="str">
        <f t="shared" si="185"/>
        <v/>
      </c>
      <c r="AM316" s="54" t="str">
        <f t="shared" si="185"/>
        <v/>
      </c>
      <c r="AN316" s="54" t="str">
        <f t="shared" si="185"/>
        <v/>
      </c>
      <c r="AO316" s="54" t="str">
        <f t="shared" si="185"/>
        <v/>
      </c>
      <c r="AP316" s="54" t="str">
        <f t="shared" si="185"/>
        <v/>
      </c>
      <c r="AQ316" s="54" t="str">
        <f t="shared" si="185"/>
        <v/>
      </c>
      <c r="AR316" s="54" t="str">
        <f t="shared" si="185"/>
        <v/>
      </c>
      <c r="AS316" s="54" t="str">
        <f t="shared" si="185"/>
        <v/>
      </c>
      <c r="AT316" s="54" t="str">
        <f t="shared" si="185"/>
        <v/>
      </c>
      <c r="AU316" s="54" t="str">
        <f t="shared" si="185"/>
        <v/>
      </c>
      <c r="AV316" s="54" t="str">
        <f t="shared" si="185"/>
        <v/>
      </c>
      <c r="AW316" s="54" t="str">
        <f t="shared" si="185"/>
        <v/>
      </c>
      <c r="AX316" s="54" t="str">
        <f t="shared" si="185"/>
        <v/>
      </c>
      <c r="AY316" s="54" t="str">
        <f t="shared" si="177"/>
        <v/>
      </c>
      <c r="AZ316" s="54" t="str">
        <f t="shared" si="165"/>
        <v/>
      </c>
      <c r="BA316" s="54" t="str">
        <f t="shared" si="166"/>
        <v/>
      </c>
      <c r="BB316" s="135" t="str">
        <f t="shared" si="167"/>
        <v/>
      </c>
      <c r="BC316" s="54" t="str">
        <f t="shared" si="183"/>
        <v/>
      </c>
      <c r="BD316" s="54" t="str">
        <f t="shared" si="183"/>
        <v/>
      </c>
      <c r="BE316" s="54" t="str">
        <f t="shared" si="183"/>
        <v/>
      </c>
      <c r="BF316" s="54" t="str">
        <f t="shared" si="168"/>
        <v/>
      </c>
      <c r="BG316" s="54" t="str">
        <f t="shared" si="169"/>
        <v/>
      </c>
      <c r="BH316" s="34" t="str">
        <f t="shared" si="170"/>
        <v>Bad</v>
      </c>
      <c r="BI316" s="34" t="str">
        <f t="shared" si="171"/>
        <v>No</v>
      </c>
      <c r="BJ316" s="136" t="str">
        <f>IF($D316&lt;&gt;"Feature",".",
IF(VLOOKUP($B316,Feature_List!$A:$AM,MATCH(BJ$1,  Feature_List!$A$1:$AM$1,0),0)=B316,".","NO"))</f>
        <v>.</v>
      </c>
      <c r="BK316" s="136"/>
      <c r="BL316" s="136"/>
      <c r="BM316" s="136" t="str">
        <f>IF($D316&lt;&gt;"Feature",".",
IF(VLOOKUP($B316,Feature_List!$A:$AM,MATCH(BM$1,  Feature_List!$A$1:$AM$1,0),0)=E316,".","NO"))</f>
        <v>.</v>
      </c>
      <c r="BN316" s="136" t="str">
        <f>IF($D316&lt;&gt;"Feature",".",
IF(VLOOKUP($B316,Feature_List!$A:$AM,MATCH(BN$1,  Feature_List!$A$1:$AM$1,0),0)=F316,".","NO"))</f>
        <v>.</v>
      </c>
      <c r="BO316" s="136" t="str">
        <f>IF($D316&lt;&gt;"Feature",".",
IF(VLOOKUP($B316,Feature_List!$A:$AM,MATCH(BO$1,  Feature_List!$A$1:$AM$1,0),0)=G316,".","NO"))</f>
        <v>.</v>
      </c>
      <c r="BP316" s="136" t="str">
        <f>IF($D316&lt;&gt;"Feature",".",
IF(VLOOKUP($B316,Feature_List!$A:$AM,MATCH(BP$1,  Feature_List!$A$1:$AM$1,0),0)=H316,".","NO"))</f>
        <v>.</v>
      </c>
      <c r="BQ316" s="136"/>
      <c r="BR316" s="136" t="str">
        <f>IF($D316&lt;&gt;"Feature",".",
IF(VLOOKUP($B316,Feature_List!$A:$AM,MATCH(BR$1,  Feature_List!$A$1:$AM$1,0),0)=J316,".","NO"))</f>
        <v>.</v>
      </c>
      <c r="BS316" s="136"/>
      <c r="BT316" s="136"/>
      <c r="BU316" s="136" t="str">
        <f>IF($D316&lt;&gt;"Feature",".",
IF(VLOOKUP($B316,Feature_List!$A:$AM,MATCH(BU$1,  Feature_List!$A$1:$AM$1,0),0)=M316,".","NO"))</f>
        <v>.</v>
      </c>
      <c r="BV316" s="136" t="str">
        <f>IF($D316&lt;&gt;"Feature",".",
IF(VLOOKUP($B316,Feature_List!$A:$AM,MATCH(BV$1,  Feature_List!$A$1:$AM$1,0),0)=N316,".","NO"))</f>
        <v>.</v>
      </c>
      <c r="BW316" s="136"/>
      <c r="BX316" s="136"/>
      <c r="BY316" s="136"/>
      <c r="BZ316" s="136"/>
      <c r="CA316" s="136"/>
      <c r="CB316" s="136" t="str">
        <f>IF($D316&lt;&gt;"Feature",".",
IF(VLOOKUP($B316,Feature_List!$A:$AM,MATCH(CB$1,  Feature_List!$A$1:$AM$1,0),0)=T316,".","NO"))</f>
        <v>.</v>
      </c>
      <c r="CC316" s="136"/>
      <c r="CD316" s="136"/>
      <c r="CE316" s="136"/>
      <c r="CF316" s="136"/>
      <c r="CG316" s="136"/>
      <c r="CH316" s="136"/>
      <c r="CI316" s="136"/>
      <c r="CJ316" s="136"/>
      <c r="CK316" s="136"/>
      <c r="CL316" s="136"/>
      <c r="CM316" s="136"/>
      <c r="CN316" s="136"/>
      <c r="CO316" s="136" t="str">
        <f>IF($D316&lt;&gt;"Feature",".",
IF(VLOOKUP($B316,Feature_List!$A:$AM,MATCH(CO$1,  Feature_List!$A$1:$AM$1,0),0)=AG316,".","NO"))</f>
        <v>.</v>
      </c>
      <c r="CP316" s="136" t="str">
        <f>IF($D316&lt;&gt;"Feature",".",
IF(VLOOKUP($B316,Feature_List!$A:$AM,MATCH(CP$1,  Feature_List!$A$1:$AM$1,0),0)=AH316,".","NO"))</f>
        <v>.</v>
      </c>
      <c r="CQ316" s="136" t="str">
        <f>IF($D316&lt;&gt;"Feature",".",
IF(VLOOKUP($B316,Feature_List!$A:$AM,MATCH(CQ$1,  Feature_List!$A$1:$AM$1,0),0)=AI316,".","NO"))</f>
        <v>.</v>
      </c>
      <c r="CR316" s="136" t="str">
        <f>IF($D316&lt;&gt;"Feature",".",
IF(VLOOKUP($B316,Feature_List!$A:$AM,MATCH(CR$1,  Feature_List!$A$1:$AM$1,0),0)=AJ316,".","NO"))</f>
        <v>.</v>
      </c>
      <c r="CS316" s="136" t="str">
        <f>IF($D316&lt;&gt;"Feature",".",
IF(VLOOKUP($B316,Feature_List!$A:$AM,MATCH(CS$1,  Feature_List!$A$1:$AM$1,0),0)=AK316,".","NO"))</f>
        <v>.</v>
      </c>
      <c r="CT316" s="136" t="str">
        <f>IF($D316&lt;&gt;"Feature",".",
IF(VLOOKUP($B316,Feature_List!$A:$AM,MATCH(CT$1,  Feature_List!$A$1:$AM$1,0),0)=AL316,".","NO"))</f>
        <v>.</v>
      </c>
      <c r="CU316" s="136" t="str">
        <f>IF($D316&lt;&gt;"Feature",".",
IF(VLOOKUP($B316,Feature_List!$A:$AM,MATCH(CU$1,  Feature_List!$A$1:$AM$1,0),0)=AM316,".","NO"))</f>
        <v>.</v>
      </c>
      <c r="CV316" s="136" t="str">
        <f>IF($D316&lt;&gt;"Feature",".",
IF(VLOOKUP($B316,Feature_List!$A:$AM,MATCH(CV$1,  Feature_List!$A$1:$AM$1,0),0)=AN316,".","NO"))</f>
        <v>.</v>
      </c>
      <c r="CW316" s="136" t="str">
        <f>IF($D316&lt;&gt;"Feature",".",
IF(VLOOKUP($B316,Feature_List!$A:$AM,MATCH(CW$1,  Feature_List!$A$1:$AM$1,0),0)=AO316,".","NO"))</f>
        <v>.</v>
      </c>
      <c r="CX316" s="136" t="str">
        <f>IF($D316&lt;&gt;"Feature",".",
IF(VLOOKUP($B316,Feature_List!$A:$AM,MATCH(CX$1,  Feature_List!$A$1:$AM$1,0),0)=AP316,".","NO"))</f>
        <v>.</v>
      </c>
      <c r="CY316" s="136" t="str">
        <f>IF($D316&lt;&gt;"Feature",".",
IF(VLOOKUP($B316,Feature_List!$A:$AM,MATCH(CY$1,  Feature_List!$A$1:$AM$1,0),0)=AQ316,".","NO"))</f>
        <v>.</v>
      </c>
      <c r="CZ316" s="136" t="str">
        <f>IF($D316&lt;&gt;"Feature",".",
IF(VLOOKUP($B316,Feature_List!$A:$AM,MATCH(CZ$1,  Feature_List!$A$1:$AM$1,0),0)=AR316,".","NO"))</f>
        <v>.</v>
      </c>
      <c r="DA316" s="136" t="str">
        <f>IF($D316&lt;&gt;"Feature",".",
IF(VLOOKUP($B316,Feature_List!$A:$AM,MATCH(DA$1,  Feature_List!$A$1:$AM$1,0),0)=AS316,".","NO"))</f>
        <v>.</v>
      </c>
      <c r="DB316" s="136" t="str">
        <f>IF($D316&lt;&gt;"Feature",".",
IF(VLOOKUP($B316,Feature_List!$A:$AM,MATCH(DB$1,  Feature_List!$A$1:$AM$1,0),0)=AT316,".","NO"))</f>
        <v>.</v>
      </c>
      <c r="DC316" s="136" t="str">
        <f>IF($D316&lt;&gt;"Feature",".",
IF(VLOOKUP($B316,Feature_List!$A:$AM,MATCH(DC$1,  Feature_List!$A$1:$AM$1,0),0)=AU316,".","NO"))</f>
        <v>.</v>
      </c>
      <c r="DD316" s="136" t="str">
        <f>IF($D316&lt;&gt;"Feature",".",
IF(VLOOKUP($B316,Feature_List!$A:$AM,MATCH(DD$1,  Feature_List!$A$1:$AM$1,0),0)=AV316,".","NO"))</f>
        <v>.</v>
      </c>
      <c r="DE316" s="136" t="str">
        <f>IF($D316&lt;&gt;"Feature",".",
IF(VLOOKUP($B316,Feature_List!$A:$AM,MATCH(DE$1,  Feature_List!$A$1:$AM$1,0),0)=AW316,".","NO"))</f>
        <v>.</v>
      </c>
      <c r="DF316" s="136" t="str">
        <f>IF($D316&lt;&gt;"Feature",".",
IF(VLOOKUP($B316,Feature_List!$A:$AM,MATCH(DF$1,  Feature_List!$A$1:$AM$1,0),0)=AX316,".","NO"))</f>
        <v>.</v>
      </c>
      <c r="DG316" s="136" t="str">
        <f>IF($D316&lt;&gt;"Feature",".",
IF(VLOOKUP($B316,Feature_List!$A:$AM,MATCH(DG$1,  Feature_List!$A$1:$AM$1,0),0)=AY316,".","NO"))</f>
        <v>.</v>
      </c>
      <c r="DH316" s="136" t="str">
        <f>IF($D316&lt;&gt;"Feature",".",
IF(VLOOKUP($B316,Feature_List!$A:$AM,MATCH(DH$1,  Feature_List!$A$1:$AM$1,0),0)=AZ316,".","NO"))</f>
        <v>.</v>
      </c>
      <c r="DI316" s="136" t="str">
        <f>IF($D316&lt;&gt;"Feature",".",
IF(VLOOKUP($B316,Feature_List!$A:$AM,MATCH(DI$1,  Feature_List!$A$1:$AM$1,0),0)=BA316,".","NO"))</f>
        <v>.</v>
      </c>
      <c r="DJ316" s="136" t="str">
        <f>IF($D316&lt;&gt;"Feature",".",
IF(VLOOKUP($B316,Feature_List!$A:$AM,MATCH(DJ$1,  Feature_List!$A$1:$AM$1,0),0)=BB316,".","NO"))</f>
        <v>.</v>
      </c>
      <c r="DK316" s="136"/>
      <c r="DL316" s="136"/>
      <c r="DM316" s="136"/>
      <c r="DN316" s="136" t="str">
        <f>IF($D316&lt;&gt;"Feature",".",
IF(VLOOKUP($B316,Feature_List!$A:$AM,MATCH(DN$1,  Feature_List!$A$1:$AM$1,0),0)=BC316,".","NO"))</f>
        <v>.</v>
      </c>
      <c r="DO316" s="136" t="str">
        <f>IF($D316&lt;&gt;"Feature",".",
IF(VLOOKUP($B316,Feature_List!$A:$AM,MATCH(DO$1,  Feature_List!$A$1:$AM$1,0),0)=BD316,".","NO"))</f>
        <v>.</v>
      </c>
    </row>
    <row r="317" spans="2:119" x14ac:dyDescent="0.3">
      <c r="B317" s="121"/>
      <c r="C317" s="122"/>
      <c r="D317" s="122"/>
      <c r="E317" s="122"/>
      <c r="F317" s="123"/>
      <c r="G317" s="123"/>
      <c r="H317" s="122"/>
      <c r="I317" s="124"/>
      <c r="J317" s="123"/>
      <c r="K317" s="123"/>
      <c r="L317" s="122"/>
      <c r="M317" s="122"/>
      <c r="N317" s="122"/>
      <c r="O317" s="123">
        <f t="shared" si="150"/>
        <v>0</v>
      </c>
      <c r="P317" s="123">
        <f t="shared" si="151"/>
        <v>0</v>
      </c>
      <c r="Q317" s="122" t="str">
        <f t="shared" si="172"/>
        <v>ZeroEntry</v>
      </c>
      <c r="R317" s="126" t="str">
        <f t="shared" si="152"/>
        <v>ZeroEntry</v>
      </c>
      <c r="S317" s="127" t="str">
        <f t="shared" si="153"/>
        <v>ZeroEntry</v>
      </c>
      <c r="T317" s="128" t="str">
        <f>IF($Q317="ZeroEntry", "",VLOOKUP($I317,'Ranking Lookup'!#REF!,2,FALSE))</f>
        <v/>
      </c>
      <c r="U317" s="129" t="str">
        <f t="shared" si="154"/>
        <v/>
      </c>
      <c r="V317" s="129" t="str">
        <f t="shared" si="155"/>
        <v/>
      </c>
      <c r="W317" s="129" t="str">
        <f t="shared" si="156"/>
        <v/>
      </c>
      <c r="X317" s="129" t="str">
        <f t="shared" si="157"/>
        <v/>
      </c>
      <c r="Y317" s="129" t="str">
        <f t="shared" si="158"/>
        <v/>
      </c>
      <c r="Z317" s="129" t="str">
        <f t="shared" si="159"/>
        <v/>
      </c>
      <c r="AA317" s="130"/>
      <c r="AB317" s="130" t="str">
        <f t="shared" si="160"/>
        <v>Unassigned</v>
      </c>
      <c r="AC317" s="131" t="str">
        <f t="shared" si="173"/>
        <v/>
      </c>
      <c r="AD317" s="131" t="str">
        <f t="shared" si="174"/>
        <v/>
      </c>
      <c r="AE317" s="132">
        <f t="shared" si="161"/>
        <v>0</v>
      </c>
      <c r="AF317" s="133" t="str">
        <f t="shared" si="175"/>
        <v/>
      </c>
      <c r="AG317" s="134">
        <f t="shared" si="162"/>
        <v>0</v>
      </c>
      <c r="AH317" s="54" t="str">
        <f t="shared" si="163"/>
        <v/>
      </c>
      <c r="AI317" s="54" t="str">
        <f t="shared" si="185"/>
        <v/>
      </c>
      <c r="AJ317" s="54" t="str">
        <f t="shared" si="185"/>
        <v/>
      </c>
      <c r="AK317" s="54" t="str">
        <f t="shared" si="185"/>
        <v/>
      </c>
      <c r="AL317" s="54" t="str">
        <f t="shared" si="185"/>
        <v/>
      </c>
      <c r="AM317" s="54" t="str">
        <f t="shared" si="185"/>
        <v/>
      </c>
      <c r="AN317" s="54" t="str">
        <f t="shared" si="185"/>
        <v/>
      </c>
      <c r="AO317" s="54" t="str">
        <f t="shared" si="185"/>
        <v/>
      </c>
      <c r="AP317" s="54" t="str">
        <f t="shared" si="185"/>
        <v/>
      </c>
      <c r="AQ317" s="54" t="str">
        <f t="shared" si="185"/>
        <v/>
      </c>
      <c r="AR317" s="54" t="str">
        <f t="shared" si="185"/>
        <v/>
      </c>
      <c r="AS317" s="54" t="str">
        <f t="shared" si="185"/>
        <v/>
      </c>
      <c r="AT317" s="54" t="str">
        <f t="shared" si="185"/>
        <v/>
      </c>
      <c r="AU317" s="54" t="str">
        <f t="shared" si="185"/>
        <v/>
      </c>
      <c r="AV317" s="54" t="str">
        <f t="shared" si="185"/>
        <v/>
      </c>
      <c r="AW317" s="54" t="str">
        <f t="shared" si="185"/>
        <v/>
      </c>
      <c r="AX317" s="54" t="str">
        <f t="shared" si="185"/>
        <v/>
      </c>
      <c r="AY317" s="54" t="str">
        <f t="shared" si="177"/>
        <v/>
      </c>
      <c r="AZ317" s="54" t="str">
        <f t="shared" si="165"/>
        <v/>
      </c>
      <c r="BA317" s="54" t="str">
        <f t="shared" si="166"/>
        <v/>
      </c>
      <c r="BB317" s="135" t="str">
        <f t="shared" si="167"/>
        <v/>
      </c>
      <c r="BC317" s="54" t="str">
        <f t="shared" si="183"/>
        <v/>
      </c>
      <c r="BD317" s="54" t="str">
        <f t="shared" si="183"/>
        <v/>
      </c>
      <c r="BE317" s="54" t="str">
        <f t="shared" si="183"/>
        <v/>
      </c>
      <c r="BF317" s="54" t="str">
        <f t="shared" si="168"/>
        <v/>
      </c>
      <c r="BG317" s="54" t="str">
        <f t="shared" si="169"/>
        <v/>
      </c>
      <c r="BH317" s="34" t="str">
        <f t="shared" si="170"/>
        <v>Bad</v>
      </c>
      <c r="BI317" s="34" t="str">
        <f t="shared" si="171"/>
        <v>No</v>
      </c>
      <c r="BJ317" s="136" t="str">
        <f>IF($D317&lt;&gt;"Feature",".",
IF(VLOOKUP($B317,Feature_List!$A:$AM,MATCH(BJ$1,  Feature_List!$A$1:$AM$1,0),0)=B317,".","NO"))</f>
        <v>.</v>
      </c>
      <c r="BK317" s="136"/>
      <c r="BL317" s="136"/>
      <c r="BM317" s="136" t="str">
        <f>IF($D317&lt;&gt;"Feature",".",
IF(VLOOKUP($B317,Feature_List!$A:$AM,MATCH(BM$1,  Feature_List!$A$1:$AM$1,0),0)=E317,".","NO"))</f>
        <v>.</v>
      </c>
      <c r="BN317" s="136" t="str">
        <f>IF($D317&lt;&gt;"Feature",".",
IF(VLOOKUP($B317,Feature_List!$A:$AM,MATCH(BN$1,  Feature_List!$A$1:$AM$1,0),0)=F317,".","NO"))</f>
        <v>.</v>
      </c>
      <c r="BO317" s="136" t="str">
        <f>IF($D317&lt;&gt;"Feature",".",
IF(VLOOKUP($B317,Feature_List!$A:$AM,MATCH(BO$1,  Feature_List!$A$1:$AM$1,0),0)=G317,".","NO"))</f>
        <v>.</v>
      </c>
      <c r="BP317" s="136" t="str">
        <f>IF($D317&lt;&gt;"Feature",".",
IF(VLOOKUP($B317,Feature_List!$A:$AM,MATCH(BP$1,  Feature_List!$A$1:$AM$1,0),0)=H317,".","NO"))</f>
        <v>.</v>
      </c>
      <c r="BQ317" s="136"/>
      <c r="BR317" s="136" t="str">
        <f>IF($D317&lt;&gt;"Feature",".",
IF(VLOOKUP($B317,Feature_List!$A:$AM,MATCH(BR$1,  Feature_List!$A$1:$AM$1,0),0)=J317,".","NO"))</f>
        <v>.</v>
      </c>
      <c r="BS317" s="136"/>
      <c r="BT317" s="136"/>
      <c r="BU317" s="136" t="str">
        <f>IF($D317&lt;&gt;"Feature",".",
IF(VLOOKUP($B317,Feature_List!$A:$AM,MATCH(BU$1,  Feature_List!$A$1:$AM$1,0),0)=M317,".","NO"))</f>
        <v>.</v>
      </c>
      <c r="BV317" s="136" t="str">
        <f>IF($D317&lt;&gt;"Feature",".",
IF(VLOOKUP($B317,Feature_List!$A:$AM,MATCH(BV$1,  Feature_List!$A$1:$AM$1,0),0)=N317,".","NO"))</f>
        <v>.</v>
      </c>
      <c r="BW317" s="136"/>
      <c r="BX317" s="136"/>
      <c r="BY317" s="136"/>
      <c r="BZ317" s="136"/>
      <c r="CA317" s="136"/>
      <c r="CB317" s="136" t="str">
        <f>IF($D317&lt;&gt;"Feature",".",
IF(VLOOKUP($B317,Feature_List!$A:$AM,MATCH(CB$1,  Feature_List!$A$1:$AM$1,0),0)=T317,".","NO"))</f>
        <v>.</v>
      </c>
      <c r="CC317" s="136"/>
      <c r="CD317" s="136"/>
      <c r="CE317" s="136"/>
      <c r="CF317" s="136"/>
      <c r="CG317" s="136"/>
      <c r="CH317" s="136"/>
      <c r="CI317" s="136"/>
      <c r="CJ317" s="136"/>
      <c r="CK317" s="136"/>
      <c r="CL317" s="136"/>
      <c r="CM317" s="136"/>
      <c r="CN317" s="136"/>
      <c r="CO317" s="136" t="str">
        <f>IF($D317&lt;&gt;"Feature",".",
IF(VLOOKUP($B317,Feature_List!$A:$AM,MATCH(CO$1,  Feature_List!$A$1:$AM$1,0),0)=AG317,".","NO"))</f>
        <v>.</v>
      </c>
      <c r="CP317" s="136" t="str">
        <f>IF($D317&lt;&gt;"Feature",".",
IF(VLOOKUP($B317,Feature_List!$A:$AM,MATCH(CP$1,  Feature_List!$A$1:$AM$1,0),0)=AH317,".","NO"))</f>
        <v>.</v>
      </c>
      <c r="CQ317" s="136" t="str">
        <f>IF($D317&lt;&gt;"Feature",".",
IF(VLOOKUP($B317,Feature_List!$A:$AM,MATCH(CQ$1,  Feature_List!$A$1:$AM$1,0),0)=AI317,".","NO"))</f>
        <v>.</v>
      </c>
      <c r="CR317" s="136" t="str">
        <f>IF($D317&lt;&gt;"Feature",".",
IF(VLOOKUP($B317,Feature_List!$A:$AM,MATCH(CR$1,  Feature_List!$A$1:$AM$1,0),0)=AJ317,".","NO"))</f>
        <v>.</v>
      </c>
      <c r="CS317" s="136" t="str">
        <f>IF($D317&lt;&gt;"Feature",".",
IF(VLOOKUP($B317,Feature_List!$A:$AM,MATCH(CS$1,  Feature_List!$A$1:$AM$1,0),0)=AK317,".","NO"))</f>
        <v>.</v>
      </c>
      <c r="CT317" s="136" t="str">
        <f>IF($D317&lt;&gt;"Feature",".",
IF(VLOOKUP($B317,Feature_List!$A:$AM,MATCH(CT$1,  Feature_List!$A$1:$AM$1,0),0)=AL317,".","NO"))</f>
        <v>.</v>
      </c>
      <c r="CU317" s="136" t="str">
        <f>IF($D317&lt;&gt;"Feature",".",
IF(VLOOKUP($B317,Feature_List!$A:$AM,MATCH(CU$1,  Feature_List!$A$1:$AM$1,0),0)=AM317,".","NO"))</f>
        <v>.</v>
      </c>
      <c r="CV317" s="136" t="str">
        <f>IF($D317&lt;&gt;"Feature",".",
IF(VLOOKUP($B317,Feature_List!$A:$AM,MATCH(CV$1,  Feature_List!$A$1:$AM$1,0),0)=AN317,".","NO"))</f>
        <v>.</v>
      </c>
      <c r="CW317" s="136" t="str">
        <f>IF($D317&lt;&gt;"Feature",".",
IF(VLOOKUP($B317,Feature_List!$A:$AM,MATCH(CW$1,  Feature_List!$A$1:$AM$1,0),0)=AO317,".","NO"))</f>
        <v>.</v>
      </c>
      <c r="CX317" s="136" t="str">
        <f>IF($D317&lt;&gt;"Feature",".",
IF(VLOOKUP($B317,Feature_List!$A:$AM,MATCH(CX$1,  Feature_List!$A$1:$AM$1,0),0)=AP317,".","NO"))</f>
        <v>.</v>
      </c>
      <c r="CY317" s="136" t="str">
        <f>IF($D317&lt;&gt;"Feature",".",
IF(VLOOKUP($B317,Feature_List!$A:$AM,MATCH(CY$1,  Feature_List!$A$1:$AM$1,0),0)=AQ317,".","NO"))</f>
        <v>.</v>
      </c>
      <c r="CZ317" s="136" t="str">
        <f>IF($D317&lt;&gt;"Feature",".",
IF(VLOOKUP($B317,Feature_List!$A:$AM,MATCH(CZ$1,  Feature_List!$A$1:$AM$1,0),0)=AR317,".","NO"))</f>
        <v>.</v>
      </c>
      <c r="DA317" s="136" t="str">
        <f>IF($D317&lt;&gt;"Feature",".",
IF(VLOOKUP($B317,Feature_List!$A:$AM,MATCH(DA$1,  Feature_List!$A$1:$AM$1,0),0)=AS317,".","NO"))</f>
        <v>.</v>
      </c>
      <c r="DB317" s="136" t="str">
        <f>IF($D317&lt;&gt;"Feature",".",
IF(VLOOKUP($B317,Feature_List!$A:$AM,MATCH(DB$1,  Feature_List!$A$1:$AM$1,0),0)=AT317,".","NO"))</f>
        <v>.</v>
      </c>
      <c r="DC317" s="136" t="str">
        <f>IF($D317&lt;&gt;"Feature",".",
IF(VLOOKUP($B317,Feature_List!$A:$AM,MATCH(DC$1,  Feature_List!$A$1:$AM$1,0),0)=AU317,".","NO"))</f>
        <v>.</v>
      </c>
      <c r="DD317" s="136" t="str">
        <f>IF($D317&lt;&gt;"Feature",".",
IF(VLOOKUP($B317,Feature_List!$A:$AM,MATCH(DD$1,  Feature_List!$A$1:$AM$1,0),0)=AV317,".","NO"))</f>
        <v>.</v>
      </c>
      <c r="DE317" s="136" t="str">
        <f>IF($D317&lt;&gt;"Feature",".",
IF(VLOOKUP($B317,Feature_List!$A:$AM,MATCH(DE$1,  Feature_List!$A$1:$AM$1,0),0)=AW317,".","NO"))</f>
        <v>.</v>
      </c>
      <c r="DF317" s="136" t="str">
        <f>IF($D317&lt;&gt;"Feature",".",
IF(VLOOKUP($B317,Feature_List!$A:$AM,MATCH(DF$1,  Feature_List!$A$1:$AM$1,0),0)=AX317,".","NO"))</f>
        <v>.</v>
      </c>
      <c r="DG317" s="136" t="str">
        <f>IF($D317&lt;&gt;"Feature",".",
IF(VLOOKUP($B317,Feature_List!$A:$AM,MATCH(DG$1,  Feature_List!$A$1:$AM$1,0),0)=AY317,".","NO"))</f>
        <v>.</v>
      </c>
      <c r="DH317" s="136" t="str">
        <f>IF($D317&lt;&gt;"Feature",".",
IF(VLOOKUP($B317,Feature_List!$A:$AM,MATCH(DH$1,  Feature_List!$A$1:$AM$1,0),0)=AZ317,".","NO"))</f>
        <v>.</v>
      </c>
      <c r="DI317" s="136" t="str">
        <f>IF($D317&lt;&gt;"Feature",".",
IF(VLOOKUP($B317,Feature_List!$A:$AM,MATCH(DI$1,  Feature_List!$A$1:$AM$1,0),0)=BA317,".","NO"))</f>
        <v>.</v>
      </c>
      <c r="DJ317" s="136" t="str">
        <f>IF($D317&lt;&gt;"Feature",".",
IF(VLOOKUP($B317,Feature_List!$A:$AM,MATCH(DJ$1,  Feature_List!$A$1:$AM$1,0),0)=BB317,".","NO"))</f>
        <v>.</v>
      </c>
      <c r="DK317" s="136"/>
      <c r="DL317" s="136"/>
      <c r="DM317" s="136"/>
      <c r="DN317" s="136" t="str">
        <f>IF($D317&lt;&gt;"Feature",".",
IF(VLOOKUP($B317,Feature_List!$A:$AM,MATCH(DN$1,  Feature_List!$A$1:$AM$1,0),0)=BC317,".","NO"))</f>
        <v>.</v>
      </c>
      <c r="DO317" s="136" t="str">
        <f>IF($D317&lt;&gt;"Feature",".",
IF(VLOOKUP($B317,Feature_List!$A:$AM,MATCH(DO$1,  Feature_List!$A$1:$AM$1,0),0)=BD317,".","NO"))</f>
        <v>.</v>
      </c>
    </row>
    <row r="318" spans="2:119" x14ac:dyDescent="0.3">
      <c r="B318" s="121"/>
      <c r="C318" s="122"/>
      <c r="D318" s="122"/>
      <c r="E318" s="122"/>
      <c r="F318" s="123"/>
      <c r="G318" s="123"/>
      <c r="H318" s="122"/>
      <c r="I318" s="124"/>
      <c r="J318" s="123"/>
      <c r="K318" s="123"/>
      <c r="L318" s="122"/>
      <c r="M318" s="122"/>
      <c r="N318" s="122"/>
      <c r="O318" s="123">
        <f t="shared" si="150"/>
        <v>0</v>
      </c>
      <c r="P318" s="123">
        <f t="shared" si="151"/>
        <v>0</v>
      </c>
      <c r="Q318" s="122" t="str">
        <f t="shared" si="172"/>
        <v>ZeroEntry</v>
      </c>
      <c r="R318" s="126" t="str">
        <f t="shared" si="152"/>
        <v>ZeroEntry</v>
      </c>
      <c r="S318" s="127" t="str">
        <f t="shared" si="153"/>
        <v>ZeroEntry</v>
      </c>
      <c r="T318" s="128" t="str">
        <f>IF($Q318="ZeroEntry", "",VLOOKUP($I318,'Ranking Lookup'!#REF!,2,FALSE))</f>
        <v/>
      </c>
      <c r="U318" s="129" t="str">
        <f t="shared" si="154"/>
        <v/>
      </c>
      <c r="V318" s="129" t="str">
        <f t="shared" si="155"/>
        <v/>
      </c>
      <c r="W318" s="129" t="str">
        <f t="shared" si="156"/>
        <v/>
      </c>
      <c r="X318" s="129" t="str">
        <f t="shared" si="157"/>
        <v/>
      </c>
      <c r="Y318" s="129" t="str">
        <f t="shared" si="158"/>
        <v/>
      </c>
      <c r="Z318" s="129" t="str">
        <f t="shared" si="159"/>
        <v/>
      </c>
      <c r="AA318" s="130"/>
      <c r="AB318" s="130" t="str">
        <f t="shared" si="160"/>
        <v>Unassigned</v>
      </c>
      <c r="AC318" s="131" t="str">
        <f t="shared" si="173"/>
        <v/>
      </c>
      <c r="AD318" s="131" t="str">
        <f t="shared" si="174"/>
        <v/>
      </c>
      <c r="AE318" s="132">
        <f t="shared" si="161"/>
        <v>0</v>
      </c>
      <c r="AF318" s="133" t="str">
        <f t="shared" si="175"/>
        <v/>
      </c>
      <c r="AG318" s="134">
        <f t="shared" si="162"/>
        <v>0</v>
      </c>
      <c r="AH318" s="54" t="str">
        <f t="shared" si="163"/>
        <v/>
      </c>
      <c r="AI318" s="54" t="str">
        <f t="shared" si="185"/>
        <v/>
      </c>
      <c r="AJ318" s="54" t="str">
        <f t="shared" si="185"/>
        <v/>
      </c>
      <c r="AK318" s="54" t="str">
        <f t="shared" si="185"/>
        <v/>
      </c>
      <c r="AL318" s="54" t="str">
        <f t="shared" si="185"/>
        <v/>
      </c>
      <c r="AM318" s="54" t="str">
        <f t="shared" si="185"/>
        <v/>
      </c>
      <c r="AN318" s="54" t="str">
        <f t="shared" si="185"/>
        <v/>
      </c>
      <c r="AO318" s="54" t="str">
        <f t="shared" si="185"/>
        <v/>
      </c>
      <c r="AP318" s="54" t="str">
        <f t="shared" si="185"/>
        <v/>
      </c>
      <c r="AQ318" s="54" t="str">
        <f t="shared" si="185"/>
        <v/>
      </c>
      <c r="AR318" s="54" t="str">
        <f t="shared" si="185"/>
        <v/>
      </c>
      <c r="AS318" s="54" t="str">
        <f t="shared" si="185"/>
        <v/>
      </c>
      <c r="AT318" s="54" t="str">
        <f t="shared" si="185"/>
        <v/>
      </c>
      <c r="AU318" s="54" t="str">
        <f t="shared" si="185"/>
        <v/>
      </c>
      <c r="AV318" s="54" t="str">
        <f t="shared" si="185"/>
        <v/>
      </c>
      <c r="AW318" s="54" t="str">
        <f t="shared" si="185"/>
        <v/>
      </c>
      <c r="AX318" s="54" t="str">
        <f t="shared" si="185"/>
        <v/>
      </c>
      <c r="AY318" s="54" t="str">
        <f t="shared" si="177"/>
        <v/>
      </c>
      <c r="AZ318" s="54" t="str">
        <f t="shared" si="165"/>
        <v/>
      </c>
      <c r="BA318" s="54" t="str">
        <f t="shared" si="166"/>
        <v/>
      </c>
      <c r="BB318" s="135" t="str">
        <f t="shared" si="167"/>
        <v/>
      </c>
      <c r="BC318" s="54" t="str">
        <f t="shared" si="183"/>
        <v/>
      </c>
      <c r="BD318" s="54" t="str">
        <f t="shared" si="183"/>
        <v/>
      </c>
      <c r="BE318" s="54" t="str">
        <f t="shared" si="183"/>
        <v/>
      </c>
      <c r="BF318" s="54" t="str">
        <f t="shared" si="168"/>
        <v/>
      </c>
      <c r="BG318" s="54" t="str">
        <f t="shared" si="169"/>
        <v/>
      </c>
      <c r="BH318" s="34" t="str">
        <f t="shared" si="170"/>
        <v>Bad</v>
      </c>
      <c r="BI318" s="34" t="str">
        <f t="shared" si="171"/>
        <v>No</v>
      </c>
      <c r="BJ318" s="136" t="str">
        <f>IF($D318&lt;&gt;"Feature",".",
IF(VLOOKUP($B318,Feature_List!$A:$AM,MATCH(BJ$1,  Feature_List!$A$1:$AM$1,0),0)=B318,".","NO"))</f>
        <v>.</v>
      </c>
      <c r="BK318" s="136"/>
      <c r="BL318" s="136"/>
      <c r="BM318" s="136" t="str">
        <f>IF($D318&lt;&gt;"Feature",".",
IF(VLOOKUP($B318,Feature_List!$A:$AM,MATCH(BM$1,  Feature_List!$A$1:$AM$1,0),0)=E318,".","NO"))</f>
        <v>.</v>
      </c>
      <c r="BN318" s="136" t="str">
        <f>IF($D318&lt;&gt;"Feature",".",
IF(VLOOKUP($B318,Feature_List!$A:$AM,MATCH(BN$1,  Feature_List!$A$1:$AM$1,0),0)=F318,".","NO"))</f>
        <v>.</v>
      </c>
      <c r="BO318" s="136" t="str">
        <f>IF($D318&lt;&gt;"Feature",".",
IF(VLOOKUP($B318,Feature_List!$A:$AM,MATCH(BO$1,  Feature_List!$A$1:$AM$1,0),0)=G318,".","NO"))</f>
        <v>.</v>
      </c>
      <c r="BP318" s="136" t="str">
        <f>IF($D318&lt;&gt;"Feature",".",
IF(VLOOKUP($B318,Feature_List!$A:$AM,MATCH(BP$1,  Feature_List!$A$1:$AM$1,0),0)=H318,".","NO"))</f>
        <v>.</v>
      </c>
      <c r="BQ318" s="136"/>
      <c r="BR318" s="136" t="str">
        <f>IF($D318&lt;&gt;"Feature",".",
IF(VLOOKUP($B318,Feature_List!$A:$AM,MATCH(BR$1,  Feature_List!$A$1:$AM$1,0),0)=J318,".","NO"))</f>
        <v>.</v>
      </c>
      <c r="BS318" s="136"/>
      <c r="BT318" s="136"/>
      <c r="BU318" s="136" t="str">
        <f>IF($D318&lt;&gt;"Feature",".",
IF(VLOOKUP($B318,Feature_List!$A:$AM,MATCH(BU$1,  Feature_List!$A$1:$AM$1,0),0)=M318,".","NO"))</f>
        <v>.</v>
      </c>
      <c r="BV318" s="136" t="str">
        <f>IF($D318&lt;&gt;"Feature",".",
IF(VLOOKUP($B318,Feature_List!$A:$AM,MATCH(BV$1,  Feature_List!$A$1:$AM$1,0),0)=N318,".","NO"))</f>
        <v>.</v>
      </c>
      <c r="BW318" s="136"/>
      <c r="BX318" s="136"/>
      <c r="BY318" s="136"/>
      <c r="BZ318" s="136"/>
      <c r="CA318" s="136"/>
      <c r="CB318" s="136" t="str">
        <f>IF($D318&lt;&gt;"Feature",".",
IF(VLOOKUP($B318,Feature_List!$A:$AM,MATCH(CB$1,  Feature_List!$A$1:$AM$1,0),0)=T318,".","NO"))</f>
        <v>.</v>
      </c>
      <c r="CC318" s="136"/>
      <c r="CD318" s="136"/>
      <c r="CE318" s="136"/>
      <c r="CF318" s="136"/>
      <c r="CG318" s="136"/>
      <c r="CH318" s="136"/>
      <c r="CI318" s="136"/>
      <c r="CJ318" s="136"/>
      <c r="CK318" s="136"/>
      <c r="CL318" s="136"/>
      <c r="CM318" s="136"/>
      <c r="CN318" s="136"/>
      <c r="CO318" s="136" t="str">
        <f>IF($D318&lt;&gt;"Feature",".",
IF(VLOOKUP($B318,Feature_List!$A:$AM,MATCH(CO$1,  Feature_List!$A$1:$AM$1,0),0)=AG318,".","NO"))</f>
        <v>.</v>
      </c>
      <c r="CP318" s="136" t="str">
        <f>IF($D318&lt;&gt;"Feature",".",
IF(VLOOKUP($B318,Feature_List!$A:$AM,MATCH(CP$1,  Feature_List!$A$1:$AM$1,0),0)=AH318,".","NO"))</f>
        <v>.</v>
      </c>
      <c r="CQ318" s="136" t="str">
        <f>IF($D318&lt;&gt;"Feature",".",
IF(VLOOKUP($B318,Feature_List!$A:$AM,MATCH(CQ$1,  Feature_List!$A$1:$AM$1,0),0)=AI318,".","NO"))</f>
        <v>.</v>
      </c>
      <c r="CR318" s="136" t="str">
        <f>IF($D318&lt;&gt;"Feature",".",
IF(VLOOKUP($B318,Feature_List!$A:$AM,MATCH(CR$1,  Feature_List!$A$1:$AM$1,0),0)=AJ318,".","NO"))</f>
        <v>.</v>
      </c>
      <c r="CS318" s="136" t="str">
        <f>IF($D318&lt;&gt;"Feature",".",
IF(VLOOKUP($B318,Feature_List!$A:$AM,MATCH(CS$1,  Feature_List!$A$1:$AM$1,0),0)=AK318,".","NO"))</f>
        <v>.</v>
      </c>
      <c r="CT318" s="136" t="str">
        <f>IF($D318&lt;&gt;"Feature",".",
IF(VLOOKUP($B318,Feature_List!$A:$AM,MATCH(CT$1,  Feature_List!$A$1:$AM$1,0),0)=AL318,".","NO"))</f>
        <v>.</v>
      </c>
      <c r="CU318" s="136" t="str">
        <f>IF($D318&lt;&gt;"Feature",".",
IF(VLOOKUP($B318,Feature_List!$A:$AM,MATCH(CU$1,  Feature_List!$A$1:$AM$1,0),0)=AM318,".","NO"))</f>
        <v>.</v>
      </c>
      <c r="CV318" s="136" t="str">
        <f>IF($D318&lt;&gt;"Feature",".",
IF(VLOOKUP($B318,Feature_List!$A:$AM,MATCH(CV$1,  Feature_List!$A$1:$AM$1,0),0)=AN318,".","NO"))</f>
        <v>.</v>
      </c>
      <c r="CW318" s="136" t="str">
        <f>IF($D318&lt;&gt;"Feature",".",
IF(VLOOKUP($B318,Feature_List!$A:$AM,MATCH(CW$1,  Feature_List!$A$1:$AM$1,0),0)=AO318,".","NO"))</f>
        <v>.</v>
      </c>
      <c r="CX318" s="136" t="str">
        <f>IF($D318&lt;&gt;"Feature",".",
IF(VLOOKUP($B318,Feature_List!$A:$AM,MATCH(CX$1,  Feature_List!$A$1:$AM$1,0),0)=AP318,".","NO"))</f>
        <v>.</v>
      </c>
      <c r="CY318" s="136" t="str">
        <f>IF($D318&lt;&gt;"Feature",".",
IF(VLOOKUP($B318,Feature_List!$A:$AM,MATCH(CY$1,  Feature_List!$A$1:$AM$1,0),0)=AQ318,".","NO"))</f>
        <v>.</v>
      </c>
      <c r="CZ318" s="136" t="str">
        <f>IF($D318&lt;&gt;"Feature",".",
IF(VLOOKUP($B318,Feature_List!$A:$AM,MATCH(CZ$1,  Feature_List!$A$1:$AM$1,0),0)=AR318,".","NO"))</f>
        <v>.</v>
      </c>
      <c r="DA318" s="136" t="str">
        <f>IF($D318&lt;&gt;"Feature",".",
IF(VLOOKUP($B318,Feature_List!$A:$AM,MATCH(DA$1,  Feature_List!$A$1:$AM$1,0),0)=AS318,".","NO"))</f>
        <v>.</v>
      </c>
      <c r="DB318" s="136" t="str">
        <f>IF($D318&lt;&gt;"Feature",".",
IF(VLOOKUP($B318,Feature_List!$A:$AM,MATCH(DB$1,  Feature_List!$A$1:$AM$1,0),0)=AT318,".","NO"))</f>
        <v>.</v>
      </c>
      <c r="DC318" s="136" t="str">
        <f>IF($D318&lt;&gt;"Feature",".",
IF(VLOOKUP($B318,Feature_List!$A:$AM,MATCH(DC$1,  Feature_List!$A$1:$AM$1,0),0)=AU318,".","NO"))</f>
        <v>.</v>
      </c>
      <c r="DD318" s="136" t="str">
        <f>IF($D318&lt;&gt;"Feature",".",
IF(VLOOKUP($B318,Feature_List!$A:$AM,MATCH(DD$1,  Feature_List!$A$1:$AM$1,0),0)=AV318,".","NO"))</f>
        <v>.</v>
      </c>
      <c r="DE318" s="136" t="str">
        <f>IF($D318&lt;&gt;"Feature",".",
IF(VLOOKUP($B318,Feature_List!$A:$AM,MATCH(DE$1,  Feature_List!$A$1:$AM$1,0),0)=AW318,".","NO"))</f>
        <v>.</v>
      </c>
      <c r="DF318" s="136" t="str">
        <f>IF($D318&lt;&gt;"Feature",".",
IF(VLOOKUP($B318,Feature_List!$A:$AM,MATCH(DF$1,  Feature_List!$A$1:$AM$1,0),0)=AX318,".","NO"))</f>
        <v>.</v>
      </c>
      <c r="DG318" s="136" t="str">
        <f>IF($D318&lt;&gt;"Feature",".",
IF(VLOOKUP($B318,Feature_List!$A:$AM,MATCH(DG$1,  Feature_List!$A$1:$AM$1,0),0)=AY318,".","NO"))</f>
        <v>.</v>
      </c>
      <c r="DH318" s="136" t="str">
        <f>IF($D318&lt;&gt;"Feature",".",
IF(VLOOKUP($B318,Feature_List!$A:$AM,MATCH(DH$1,  Feature_List!$A$1:$AM$1,0),0)=AZ318,".","NO"))</f>
        <v>.</v>
      </c>
      <c r="DI318" s="136" t="str">
        <f>IF($D318&lt;&gt;"Feature",".",
IF(VLOOKUP($B318,Feature_List!$A:$AM,MATCH(DI$1,  Feature_List!$A$1:$AM$1,0),0)=BA318,".","NO"))</f>
        <v>.</v>
      </c>
      <c r="DJ318" s="136" t="str">
        <f>IF($D318&lt;&gt;"Feature",".",
IF(VLOOKUP($B318,Feature_List!$A:$AM,MATCH(DJ$1,  Feature_List!$A$1:$AM$1,0),0)=BB318,".","NO"))</f>
        <v>.</v>
      </c>
      <c r="DK318" s="136"/>
      <c r="DL318" s="136"/>
      <c r="DM318" s="136"/>
      <c r="DN318" s="136" t="str">
        <f>IF($D318&lt;&gt;"Feature",".",
IF(VLOOKUP($B318,Feature_List!$A:$AM,MATCH(DN$1,  Feature_List!$A$1:$AM$1,0),0)=BC318,".","NO"))</f>
        <v>.</v>
      </c>
      <c r="DO318" s="136" t="str">
        <f>IF($D318&lt;&gt;"Feature",".",
IF(VLOOKUP($B318,Feature_List!$A:$AM,MATCH(DO$1,  Feature_List!$A$1:$AM$1,0),0)=BD318,".","NO"))</f>
        <v>.</v>
      </c>
    </row>
    <row r="319" spans="2:119" x14ac:dyDescent="0.3">
      <c r="B319" s="121"/>
      <c r="C319" s="122"/>
      <c r="D319" s="122"/>
      <c r="E319" s="122"/>
      <c r="F319" s="123"/>
      <c r="G319" s="123"/>
      <c r="H319" s="122"/>
      <c r="I319" s="124"/>
      <c r="J319" s="123"/>
      <c r="K319" s="123"/>
      <c r="L319" s="122"/>
      <c r="M319" s="122"/>
      <c r="N319" s="122"/>
      <c r="O319" s="123">
        <f t="shared" si="150"/>
        <v>0</v>
      </c>
      <c r="P319" s="123">
        <f t="shared" si="151"/>
        <v>0</v>
      </c>
      <c r="Q319" s="122" t="str">
        <f t="shared" si="172"/>
        <v>ZeroEntry</v>
      </c>
      <c r="R319" s="126" t="str">
        <f t="shared" si="152"/>
        <v>ZeroEntry</v>
      </c>
      <c r="S319" s="127" t="str">
        <f t="shared" si="153"/>
        <v>ZeroEntry</v>
      </c>
      <c r="T319" s="128" t="str">
        <f>IF($Q319="ZeroEntry", "",VLOOKUP($I319,'Ranking Lookup'!#REF!,2,FALSE))</f>
        <v/>
      </c>
      <c r="U319" s="129" t="str">
        <f t="shared" si="154"/>
        <v/>
      </c>
      <c r="V319" s="129" t="str">
        <f t="shared" si="155"/>
        <v/>
      </c>
      <c r="W319" s="129" t="str">
        <f t="shared" si="156"/>
        <v/>
      </c>
      <c r="X319" s="129" t="str">
        <f t="shared" si="157"/>
        <v/>
      </c>
      <c r="Y319" s="129" t="str">
        <f t="shared" si="158"/>
        <v/>
      </c>
      <c r="Z319" s="129" t="str">
        <f t="shared" si="159"/>
        <v/>
      </c>
      <c r="AA319" s="130"/>
      <c r="AB319" s="130" t="str">
        <f t="shared" si="160"/>
        <v>Unassigned</v>
      </c>
      <c r="AC319" s="131" t="str">
        <f t="shared" si="173"/>
        <v/>
      </c>
      <c r="AD319" s="131" t="str">
        <f t="shared" si="174"/>
        <v/>
      </c>
      <c r="AE319" s="132">
        <f t="shared" si="161"/>
        <v>0</v>
      </c>
      <c r="AF319" s="133" t="str">
        <f t="shared" si="175"/>
        <v/>
      </c>
      <c r="AG319" s="134">
        <f t="shared" si="162"/>
        <v>0</v>
      </c>
      <c r="AH319" s="54" t="str">
        <f t="shared" si="163"/>
        <v/>
      </c>
      <c r="AI319" s="54" t="str">
        <f t="shared" si="185"/>
        <v/>
      </c>
      <c r="AJ319" s="54" t="str">
        <f t="shared" si="185"/>
        <v/>
      </c>
      <c r="AK319" s="54" t="str">
        <f t="shared" si="185"/>
        <v/>
      </c>
      <c r="AL319" s="54" t="str">
        <f t="shared" si="185"/>
        <v/>
      </c>
      <c r="AM319" s="54" t="str">
        <f t="shared" si="185"/>
        <v/>
      </c>
      <c r="AN319" s="54" t="str">
        <f t="shared" si="185"/>
        <v/>
      </c>
      <c r="AO319" s="54" t="str">
        <f t="shared" si="185"/>
        <v/>
      </c>
      <c r="AP319" s="54" t="str">
        <f t="shared" si="185"/>
        <v/>
      </c>
      <c r="AQ319" s="54" t="str">
        <f t="shared" si="185"/>
        <v/>
      </c>
      <c r="AR319" s="54" t="str">
        <f t="shared" si="185"/>
        <v/>
      </c>
      <c r="AS319" s="54" t="str">
        <f t="shared" si="185"/>
        <v/>
      </c>
      <c r="AT319" s="54" t="str">
        <f t="shared" si="185"/>
        <v/>
      </c>
      <c r="AU319" s="54" t="str">
        <f t="shared" si="185"/>
        <v/>
      </c>
      <c r="AV319" s="54" t="str">
        <f t="shared" si="185"/>
        <v/>
      </c>
      <c r="AW319" s="54" t="str">
        <f t="shared" si="185"/>
        <v/>
      </c>
      <c r="AX319" s="54" t="str">
        <f t="shared" si="185"/>
        <v/>
      </c>
      <c r="AY319" s="54" t="str">
        <f t="shared" si="177"/>
        <v/>
      </c>
      <c r="AZ319" s="54" t="str">
        <f t="shared" si="165"/>
        <v/>
      </c>
      <c r="BA319" s="54" t="str">
        <f t="shared" si="166"/>
        <v/>
      </c>
      <c r="BB319" s="135" t="str">
        <f t="shared" si="167"/>
        <v/>
      </c>
      <c r="BC319" s="54" t="str">
        <f t="shared" si="183"/>
        <v/>
      </c>
      <c r="BD319" s="54" t="str">
        <f t="shared" si="183"/>
        <v/>
      </c>
      <c r="BE319" s="54" t="str">
        <f t="shared" si="183"/>
        <v/>
      </c>
      <c r="BF319" s="54" t="str">
        <f t="shared" si="168"/>
        <v/>
      </c>
      <c r="BG319" s="54" t="str">
        <f t="shared" si="169"/>
        <v/>
      </c>
      <c r="BH319" s="34" t="str">
        <f t="shared" si="170"/>
        <v>Bad</v>
      </c>
      <c r="BI319" s="34" t="str">
        <f t="shared" si="171"/>
        <v>No</v>
      </c>
      <c r="BJ319" s="136" t="str">
        <f>IF($D319&lt;&gt;"Feature",".",
IF(VLOOKUP($B319,Feature_List!$A:$AM,MATCH(BJ$1,  Feature_List!$A$1:$AM$1,0),0)=B319,".","NO"))</f>
        <v>.</v>
      </c>
      <c r="BK319" s="136"/>
      <c r="BL319" s="136"/>
      <c r="BM319" s="136" t="str">
        <f>IF($D319&lt;&gt;"Feature",".",
IF(VLOOKUP($B319,Feature_List!$A:$AM,MATCH(BM$1,  Feature_List!$A$1:$AM$1,0),0)=E319,".","NO"))</f>
        <v>.</v>
      </c>
      <c r="BN319" s="136" t="str">
        <f>IF($D319&lt;&gt;"Feature",".",
IF(VLOOKUP($B319,Feature_List!$A:$AM,MATCH(BN$1,  Feature_List!$A$1:$AM$1,0),0)=F319,".","NO"))</f>
        <v>.</v>
      </c>
      <c r="BO319" s="136" t="str">
        <f>IF($D319&lt;&gt;"Feature",".",
IF(VLOOKUP($B319,Feature_List!$A:$AM,MATCH(BO$1,  Feature_List!$A$1:$AM$1,0),0)=G319,".","NO"))</f>
        <v>.</v>
      </c>
      <c r="BP319" s="136" t="str">
        <f>IF($D319&lt;&gt;"Feature",".",
IF(VLOOKUP($B319,Feature_List!$A:$AM,MATCH(BP$1,  Feature_List!$A$1:$AM$1,0),0)=H319,".","NO"))</f>
        <v>.</v>
      </c>
      <c r="BQ319" s="136"/>
      <c r="BR319" s="136" t="str">
        <f>IF($D319&lt;&gt;"Feature",".",
IF(VLOOKUP($B319,Feature_List!$A:$AM,MATCH(BR$1,  Feature_List!$A$1:$AM$1,0),0)=J319,".","NO"))</f>
        <v>.</v>
      </c>
      <c r="BS319" s="136"/>
      <c r="BT319" s="136"/>
      <c r="BU319" s="136" t="str">
        <f>IF($D319&lt;&gt;"Feature",".",
IF(VLOOKUP($B319,Feature_List!$A:$AM,MATCH(BU$1,  Feature_List!$A$1:$AM$1,0),0)=M319,".","NO"))</f>
        <v>.</v>
      </c>
      <c r="BV319" s="136" t="str">
        <f>IF($D319&lt;&gt;"Feature",".",
IF(VLOOKUP($B319,Feature_List!$A:$AM,MATCH(BV$1,  Feature_List!$A$1:$AM$1,0),0)=N319,".","NO"))</f>
        <v>.</v>
      </c>
      <c r="BW319" s="136"/>
      <c r="BX319" s="136"/>
      <c r="BY319" s="136"/>
      <c r="BZ319" s="136"/>
      <c r="CA319" s="136"/>
      <c r="CB319" s="136" t="str">
        <f>IF($D319&lt;&gt;"Feature",".",
IF(VLOOKUP($B319,Feature_List!$A:$AM,MATCH(CB$1,  Feature_List!$A$1:$AM$1,0),0)=T319,".","NO"))</f>
        <v>.</v>
      </c>
      <c r="CC319" s="136"/>
      <c r="CD319" s="136"/>
      <c r="CE319" s="136"/>
      <c r="CF319" s="136"/>
      <c r="CG319" s="136"/>
      <c r="CH319" s="136"/>
      <c r="CI319" s="136"/>
      <c r="CJ319" s="136"/>
      <c r="CK319" s="136"/>
      <c r="CL319" s="136"/>
      <c r="CM319" s="136"/>
      <c r="CN319" s="136"/>
      <c r="CO319" s="136" t="str">
        <f>IF($D319&lt;&gt;"Feature",".",
IF(VLOOKUP($B319,Feature_List!$A:$AM,MATCH(CO$1,  Feature_List!$A$1:$AM$1,0),0)=AG319,".","NO"))</f>
        <v>.</v>
      </c>
      <c r="CP319" s="136" t="str">
        <f>IF($D319&lt;&gt;"Feature",".",
IF(VLOOKUP($B319,Feature_List!$A:$AM,MATCH(CP$1,  Feature_List!$A$1:$AM$1,0),0)=AH319,".","NO"))</f>
        <v>.</v>
      </c>
      <c r="CQ319" s="136" t="str">
        <f>IF($D319&lt;&gt;"Feature",".",
IF(VLOOKUP($B319,Feature_List!$A:$AM,MATCH(CQ$1,  Feature_List!$A$1:$AM$1,0),0)=AI319,".","NO"))</f>
        <v>.</v>
      </c>
      <c r="CR319" s="136" t="str">
        <f>IF($D319&lt;&gt;"Feature",".",
IF(VLOOKUP($B319,Feature_List!$A:$AM,MATCH(CR$1,  Feature_List!$A$1:$AM$1,0),0)=AJ319,".","NO"))</f>
        <v>.</v>
      </c>
      <c r="CS319" s="136" t="str">
        <f>IF($D319&lt;&gt;"Feature",".",
IF(VLOOKUP($B319,Feature_List!$A:$AM,MATCH(CS$1,  Feature_List!$A$1:$AM$1,0),0)=AK319,".","NO"))</f>
        <v>.</v>
      </c>
      <c r="CT319" s="136" t="str">
        <f>IF($D319&lt;&gt;"Feature",".",
IF(VLOOKUP($B319,Feature_List!$A:$AM,MATCH(CT$1,  Feature_List!$A$1:$AM$1,0),0)=AL319,".","NO"))</f>
        <v>.</v>
      </c>
      <c r="CU319" s="136" t="str">
        <f>IF($D319&lt;&gt;"Feature",".",
IF(VLOOKUP($B319,Feature_List!$A:$AM,MATCH(CU$1,  Feature_List!$A$1:$AM$1,0),0)=AM319,".","NO"))</f>
        <v>.</v>
      </c>
      <c r="CV319" s="136" t="str">
        <f>IF($D319&lt;&gt;"Feature",".",
IF(VLOOKUP($B319,Feature_List!$A:$AM,MATCH(CV$1,  Feature_List!$A$1:$AM$1,0),0)=AN319,".","NO"))</f>
        <v>.</v>
      </c>
      <c r="CW319" s="136" t="str">
        <f>IF($D319&lt;&gt;"Feature",".",
IF(VLOOKUP($B319,Feature_List!$A:$AM,MATCH(CW$1,  Feature_List!$A$1:$AM$1,0),0)=AO319,".","NO"))</f>
        <v>.</v>
      </c>
      <c r="CX319" s="136" t="str">
        <f>IF($D319&lt;&gt;"Feature",".",
IF(VLOOKUP($B319,Feature_List!$A:$AM,MATCH(CX$1,  Feature_List!$A$1:$AM$1,0),0)=AP319,".","NO"))</f>
        <v>.</v>
      </c>
      <c r="CY319" s="136" t="str">
        <f>IF($D319&lt;&gt;"Feature",".",
IF(VLOOKUP($B319,Feature_List!$A:$AM,MATCH(CY$1,  Feature_List!$A$1:$AM$1,0),0)=AQ319,".","NO"))</f>
        <v>.</v>
      </c>
      <c r="CZ319" s="136" t="str">
        <f>IF($D319&lt;&gt;"Feature",".",
IF(VLOOKUP($B319,Feature_List!$A:$AM,MATCH(CZ$1,  Feature_List!$A$1:$AM$1,0),0)=AR319,".","NO"))</f>
        <v>.</v>
      </c>
      <c r="DA319" s="136" t="str">
        <f>IF($D319&lt;&gt;"Feature",".",
IF(VLOOKUP($B319,Feature_List!$A:$AM,MATCH(DA$1,  Feature_List!$A$1:$AM$1,0),0)=AS319,".","NO"))</f>
        <v>.</v>
      </c>
      <c r="DB319" s="136" t="str">
        <f>IF($D319&lt;&gt;"Feature",".",
IF(VLOOKUP($B319,Feature_List!$A:$AM,MATCH(DB$1,  Feature_List!$A$1:$AM$1,0),0)=AT319,".","NO"))</f>
        <v>.</v>
      </c>
      <c r="DC319" s="136" t="str">
        <f>IF($D319&lt;&gt;"Feature",".",
IF(VLOOKUP($B319,Feature_List!$A:$AM,MATCH(DC$1,  Feature_List!$A$1:$AM$1,0),0)=AU319,".","NO"))</f>
        <v>.</v>
      </c>
      <c r="DD319" s="136" t="str">
        <f>IF($D319&lt;&gt;"Feature",".",
IF(VLOOKUP($B319,Feature_List!$A:$AM,MATCH(DD$1,  Feature_List!$A$1:$AM$1,0),0)=AV319,".","NO"))</f>
        <v>.</v>
      </c>
      <c r="DE319" s="136" t="str">
        <f>IF($D319&lt;&gt;"Feature",".",
IF(VLOOKUP($B319,Feature_List!$A:$AM,MATCH(DE$1,  Feature_List!$A$1:$AM$1,0),0)=AW319,".","NO"))</f>
        <v>.</v>
      </c>
      <c r="DF319" s="136" t="str">
        <f>IF($D319&lt;&gt;"Feature",".",
IF(VLOOKUP($B319,Feature_List!$A:$AM,MATCH(DF$1,  Feature_List!$A$1:$AM$1,0),0)=AX319,".","NO"))</f>
        <v>.</v>
      </c>
      <c r="DG319" s="136" t="str">
        <f>IF($D319&lt;&gt;"Feature",".",
IF(VLOOKUP($B319,Feature_List!$A:$AM,MATCH(DG$1,  Feature_List!$A$1:$AM$1,0),0)=AY319,".","NO"))</f>
        <v>.</v>
      </c>
      <c r="DH319" s="136" t="str">
        <f>IF($D319&lt;&gt;"Feature",".",
IF(VLOOKUP($B319,Feature_List!$A:$AM,MATCH(DH$1,  Feature_List!$A$1:$AM$1,0),0)=AZ319,".","NO"))</f>
        <v>.</v>
      </c>
      <c r="DI319" s="136" t="str">
        <f>IF($D319&lt;&gt;"Feature",".",
IF(VLOOKUP($B319,Feature_List!$A:$AM,MATCH(DI$1,  Feature_List!$A$1:$AM$1,0),0)=BA319,".","NO"))</f>
        <v>.</v>
      </c>
      <c r="DJ319" s="136" t="str">
        <f>IF($D319&lt;&gt;"Feature",".",
IF(VLOOKUP($B319,Feature_List!$A:$AM,MATCH(DJ$1,  Feature_List!$A$1:$AM$1,0),0)=BB319,".","NO"))</f>
        <v>.</v>
      </c>
      <c r="DK319" s="136"/>
      <c r="DL319" s="136"/>
      <c r="DM319" s="136"/>
      <c r="DN319" s="136" t="str">
        <f>IF($D319&lt;&gt;"Feature",".",
IF(VLOOKUP($B319,Feature_List!$A:$AM,MATCH(DN$1,  Feature_List!$A$1:$AM$1,0),0)=BC319,".","NO"))</f>
        <v>.</v>
      </c>
      <c r="DO319" s="136" t="str">
        <f>IF($D319&lt;&gt;"Feature",".",
IF(VLOOKUP($B319,Feature_List!$A:$AM,MATCH(DO$1,  Feature_List!$A$1:$AM$1,0),0)=BD319,".","NO"))</f>
        <v>.</v>
      </c>
    </row>
    <row r="320" spans="2:119" x14ac:dyDescent="0.3">
      <c r="B320" s="121"/>
      <c r="C320" s="122"/>
      <c r="D320" s="122"/>
      <c r="E320" s="122"/>
      <c r="F320" s="123"/>
      <c r="G320" s="123"/>
      <c r="H320" s="122"/>
      <c r="I320" s="124"/>
      <c r="J320" s="123"/>
      <c r="K320" s="123"/>
      <c r="L320" s="122"/>
      <c r="M320" s="122"/>
      <c r="N320" s="122"/>
      <c r="O320" s="123">
        <f t="shared" si="150"/>
        <v>0</v>
      </c>
      <c r="P320" s="123">
        <f t="shared" si="151"/>
        <v>0</v>
      </c>
      <c r="Q320" s="122" t="str">
        <f t="shared" si="172"/>
        <v>ZeroEntry</v>
      </c>
      <c r="R320" s="126" t="str">
        <f t="shared" si="152"/>
        <v>ZeroEntry</v>
      </c>
      <c r="S320" s="127" t="str">
        <f t="shared" si="153"/>
        <v>ZeroEntry</v>
      </c>
      <c r="T320" s="128" t="str">
        <f>IF($Q320="ZeroEntry", "",VLOOKUP($I320,'Ranking Lookup'!#REF!,2,FALSE))</f>
        <v/>
      </c>
      <c r="U320" s="129" t="str">
        <f t="shared" si="154"/>
        <v/>
      </c>
      <c r="V320" s="129" t="str">
        <f t="shared" si="155"/>
        <v/>
      </c>
      <c r="W320" s="129" t="str">
        <f t="shared" si="156"/>
        <v/>
      </c>
      <c r="X320" s="129" t="str">
        <f t="shared" si="157"/>
        <v/>
      </c>
      <c r="Y320" s="129" t="str">
        <f t="shared" si="158"/>
        <v/>
      </c>
      <c r="Z320" s="129" t="str">
        <f t="shared" si="159"/>
        <v/>
      </c>
      <c r="AA320" s="130"/>
      <c r="AB320" s="130" t="str">
        <f t="shared" si="160"/>
        <v>Unassigned</v>
      </c>
      <c r="AC320" s="131" t="str">
        <f t="shared" si="173"/>
        <v/>
      </c>
      <c r="AD320" s="131" t="str">
        <f t="shared" si="174"/>
        <v/>
      </c>
      <c r="AE320" s="132">
        <f t="shared" si="161"/>
        <v>0</v>
      </c>
      <c r="AF320" s="133" t="str">
        <f t="shared" si="175"/>
        <v/>
      </c>
      <c r="AG320" s="134">
        <f t="shared" si="162"/>
        <v>0</v>
      </c>
      <c r="AH320" s="54" t="str">
        <f t="shared" si="163"/>
        <v/>
      </c>
      <c r="AI320" s="54" t="str">
        <f t="shared" si="185"/>
        <v/>
      </c>
      <c r="AJ320" s="54" t="str">
        <f t="shared" si="185"/>
        <v/>
      </c>
      <c r="AK320" s="54" t="str">
        <f t="shared" si="185"/>
        <v/>
      </c>
      <c r="AL320" s="54" t="str">
        <f t="shared" si="185"/>
        <v/>
      </c>
      <c r="AM320" s="54" t="str">
        <f t="shared" si="185"/>
        <v/>
      </c>
      <c r="AN320" s="54" t="str">
        <f t="shared" si="185"/>
        <v/>
      </c>
      <c r="AO320" s="54" t="str">
        <f t="shared" si="185"/>
        <v/>
      </c>
      <c r="AP320" s="54" t="str">
        <f t="shared" si="185"/>
        <v/>
      </c>
      <c r="AQ320" s="54" t="str">
        <f t="shared" si="185"/>
        <v/>
      </c>
      <c r="AR320" s="54" t="str">
        <f t="shared" si="185"/>
        <v/>
      </c>
      <c r="AS320" s="54" t="str">
        <f t="shared" si="185"/>
        <v/>
      </c>
      <c r="AT320" s="54" t="str">
        <f t="shared" si="185"/>
        <v/>
      </c>
      <c r="AU320" s="54" t="str">
        <f t="shared" si="185"/>
        <v/>
      </c>
      <c r="AV320" s="54" t="str">
        <f t="shared" si="185"/>
        <v/>
      </c>
      <c r="AW320" s="54" t="str">
        <f t="shared" si="185"/>
        <v/>
      </c>
      <c r="AX320" s="54" t="str">
        <f t="shared" si="185"/>
        <v/>
      </c>
      <c r="AY320" s="54" t="str">
        <f t="shared" si="177"/>
        <v/>
      </c>
      <c r="AZ320" s="54" t="str">
        <f t="shared" si="165"/>
        <v/>
      </c>
      <c r="BA320" s="54" t="str">
        <f t="shared" si="166"/>
        <v/>
      </c>
      <c r="BB320" s="135" t="str">
        <f t="shared" si="167"/>
        <v/>
      </c>
      <c r="BC320" s="54" t="str">
        <f t="shared" si="183"/>
        <v/>
      </c>
      <c r="BD320" s="54" t="str">
        <f t="shared" si="183"/>
        <v/>
      </c>
      <c r="BE320" s="54" t="str">
        <f t="shared" si="183"/>
        <v/>
      </c>
      <c r="BF320" s="54" t="str">
        <f t="shared" si="168"/>
        <v/>
      </c>
      <c r="BG320" s="54" t="str">
        <f t="shared" si="169"/>
        <v/>
      </c>
      <c r="BH320" s="34" t="str">
        <f t="shared" si="170"/>
        <v>Bad</v>
      </c>
      <c r="BI320" s="34" t="str">
        <f t="shared" si="171"/>
        <v>No</v>
      </c>
      <c r="BJ320" s="136" t="str">
        <f>IF($D320&lt;&gt;"Feature",".",
IF(VLOOKUP($B320,Feature_List!$A:$AM,MATCH(BJ$1,  Feature_List!$A$1:$AM$1,0),0)=B320,".","NO"))</f>
        <v>.</v>
      </c>
      <c r="BK320" s="136"/>
      <c r="BL320" s="136"/>
      <c r="BM320" s="136" t="str">
        <f>IF($D320&lt;&gt;"Feature",".",
IF(VLOOKUP($B320,Feature_List!$A:$AM,MATCH(BM$1,  Feature_List!$A$1:$AM$1,0),0)=E320,".","NO"))</f>
        <v>.</v>
      </c>
      <c r="BN320" s="136" t="str">
        <f>IF($D320&lt;&gt;"Feature",".",
IF(VLOOKUP($B320,Feature_List!$A:$AM,MATCH(BN$1,  Feature_List!$A$1:$AM$1,0),0)=F320,".","NO"))</f>
        <v>.</v>
      </c>
      <c r="BO320" s="136" t="str">
        <f>IF($D320&lt;&gt;"Feature",".",
IF(VLOOKUP($B320,Feature_List!$A:$AM,MATCH(BO$1,  Feature_List!$A$1:$AM$1,0),0)=G320,".","NO"))</f>
        <v>.</v>
      </c>
      <c r="BP320" s="136" t="str">
        <f>IF($D320&lt;&gt;"Feature",".",
IF(VLOOKUP($B320,Feature_List!$A:$AM,MATCH(BP$1,  Feature_List!$A$1:$AM$1,0),0)=H320,".","NO"))</f>
        <v>.</v>
      </c>
      <c r="BQ320" s="136"/>
      <c r="BR320" s="136" t="str">
        <f>IF($D320&lt;&gt;"Feature",".",
IF(VLOOKUP($B320,Feature_List!$A:$AM,MATCH(BR$1,  Feature_List!$A$1:$AM$1,0),0)=J320,".","NO"))</f>
        <v>.</v>
      </c>
      <c r="BS320" s="136"/>
      <c r="BT320" s="136"/>
      <c r="BU320" s="136" t="str">
        <f>IF($D320&lt;&gt;"Feature",".",
IF(VLOOKUP($B320,Feature_List!$A:$AM,MATCH(BU$1,  Feature_List!$A$1:$AM$1,0),0)=M320,".","NO"))</f>
        <v>.</v>
      </c>
      <c r="BV320" s="136" t="str">
        <f>IF($D320&lt;&gt;"Feature",".",
IF(VLOOKUP($B320,Feature_List!$A:$AM,MATCH(BV$1,  Feature_List!$A$1:$AM$1,0),0)=N320,".","NO"))</f>
        <v>.</v>
      </c>
      <c r="BW320" s="136"/>
      <c r="BX320" s="136"/>
      <c r="BY320" s="136"/>
      <c r="BZ320" s="136"/>
      <c r="CA320" s="136"/>
      <c r="CB320" s="136" t="str">
        <f>IF($D320&lt;&gt;"Feature",".",
IF(VLOOKUP($B320,Feature_List!$A:$AM,MATCH(CB$1,  Feature_List!$A$1:$AM$1,0),0)=T320,".","NO"))</f>
        <v>.</v>
      </c>
      <c r="CC320" s="136"/>
      <c r="CD320" s="136"/>
      <c r="CE320" s="136"/>
      <c r="CF320" s="136"/>
      <c r="CG320" s="136"/>
      <c r="CH320" s="136"/>
      <c r="CI320" s="136"/>
      <c r="CJ320" s="136"/>
      <c r="CK320" s="136"/>
      <c r="CL320" s="136"/>
      <c r="CM320" s="136"/>
      <c r="CN320" s="136"/>
      <c r="CO320" s="136" t="str">
        <f>IF($D320&lt;&gt;"Feature",".",
IF(VLOOKUP($B320,Feature_List!$A:$AM,MATCH(CO$1,  Feature_List!$A$1:$AM$1,0),0)=AG320,".","NO"))</f>
        <v>.</v>
      </c>
      <c r="CP320" s="136" t="str">
        <f>IF($D320&lt;&gt;"Feature",".",
IF(VLOOKUP($B320,Feature_List!$A:$AM,MATCH(CP$1,  Feature_List!$A$1:$AM$1,0),0)=AH320,".","NO"))</f>
        <v>.</v>
      </c>
      <c r="CQ320" s="136" t="str">
        <f>IF($D320&lt;&gt;"Feature",".",
IF(VLOOKUP($B320,Feature_List!$A:$AM,MATCH(CQ$1,  Feature_List!$A$1:$AM$1,0),0)=AI320,".","NO"))</f>
        <v>.</v>
      </c>
      <c r="CR320" s="136" t="str">
        <f>IF($D320&lt;&gt;"Feature",".",
IF(VLOOKUP($B320,Feature_List!$A:$AM,MATCH(CR$1,  Feature_List!$A$1:$AM$1,0),0)=AJ320,".","NO"))</f>
        <v>.</v>
      </c>
      <c r="CS320" s="136" t="str">
        <f>IF($D320&lt;&gt;"Feature",".",
IF(VLOOKUP($B320,Feature_List!$A:$AM,MATCH(CS$1,  Feature_List!$A$1:$AM$1,0),0)=AK320,".","NO"))</f>
        <v>.</v>
      </c>
      <c r="CT320" s="136" t="str">
        <f>IF($D320&lt;&gt;"Feature",".",
IF(VLOOKUP($B320,Feature_List!$A:$AM,MATCH(CT$1,  Feature_List!$A$1:$AM$1,0),0)=AL320,".","NO"))</f>
        <v>.</v>
      </c>
      <c r="CU320" s="136" t="str">
        <f>IF($D320&lt;&gt;"Feature",".",
IF(VLOOKUP($B320,Feature_List!$A:$AM,MATCH(CU$1,  Feature_List!$A$1:$AM$1,0),0)=AM320,".","NO"))</f>
        <v>.</v>
      </c>
      <c r="CV320" s="136" t="str">
        <f>IF($D320&lt;&gt;"Feature",".",
IF(VLOOKUP($B320,Feature_List!$A:$AM,MATCH(CV$1,  Feature_List!$A$1:$AM$1,0),0)=AN320,".","NO"))</f>
        <v>.</v>
      </c>
      <c r="CW320" s="136" t="str">
        <f>IF($D320&lt;&gt;"Feature",".",
IF(VLOOKUP($B320,Feature_List!$A:$AM,MATCH(CW$1,  Feature_List!$A$1:$AM$1,0),0)=AO320,".","NO"))</f>
        <v>.</v>
      </c>
      <c r="CX320" s="136" t="str">
        <f>IF($D320&lt;&gt;"Feature",".",
IF(VLOOKUP($B320,Feature_List!$A:$AM,MATCH(CX$1,  Feature_List!$A$1:$AM$1,0),0)=AP320,".","NO"))</f>
        <v>.</v>
      </c>
      <c r="CY320" s="136" t="str">
        <f>IF($D320&lt;&gt;"Feature",".",
IF(VLOOKUP($B320,Feature_List!$A:$AM,MATCH(CY$1,  Feature_List!$A$1:$AM$1,0),0)=AQ320,".","NO"))</f>
        <v>.</v>
      </c>
      <c r="CZ320" s="136" t="str">
        <f>IF($D320&lt;&gt;"Feature",".",
IF(VLOOKUP($B320,Feature_List!$A:$AM,MATCH(CZ$1,  Feature_List!$A$1:$AM$1,0),0)=AR320,".","NO"))</f>
        <v>.</v>
      </c>
      <c r="DA320" s="136" t="str">
        <f>IF($D320&lt;&gt;"Feature",".",
IF(VLOOKUP($B320,Feature_List!$A:$AM,MATCH(DA$1,  Feature_List!$A$1:$AM$1,0),0)=AS320,".","NO"))</f>
        <v>.</v>
      </c>
      <c r="DB320" s="136" t="str">
        <f>IF($D320&lt;&gt;"Feature",".",
IF(VLOOKUP($B320,Feature_List!$A:$AM,MATCH(DB$1,  Feature_List!$A$1:$AM$1,0),0)=AT320,".","NO"))</f>
        <v>.</v>
      </c>
      <c r="DC320" s="136" t="str">
        <f>IF($D320&lt;&gt;"Feature",".",
IF(VLOOKUP($B320,Feature_List!$A:$AM,MATCH(DC$1,  Feature_List!$A$1:$AM$1,0),0)=AU320,".","NO"))</f>
        <v>.</v>
      </c>
      <c r="DD320" s="136" t="str">
        <f>IF($D320&lt;&gt;"Feature",".",
IF(VLOOKUP($B320,Feature_List!$A:$AM,MATCH(DD$1,  Feature_List!$A$1:$AM$1,0),0)=AV320,".","NO"))</f>
        <v>.</v>
      </c>
      <c r="DE320" s="136" t="str">
        <f>IF($D320&lt;&gt;"Feature",".",
IF(VLOOKUP($B320,Feature_List!$A:$AM,MATCH(DE$1,  Feature_List!$A$1:$AM$1,0),0)=AW320,".","NO"))</f>
        <v>.</v>
      </c>
      <c r="DF320" s="136" t="str">
        <f>IF($D320&lt;&gt;"Feature",".",
IF(VLOOKUP($B320,Feature_List!$A:$AM,MATCH(DF$1,  Feature_List!$A$1:$AM$1,0),0)=AX320,".","NO"))</f>
        <v>.</v>
      </c>
      <c r="DG320" s="136" t="str">
        <f>IF($D320&lt;&gt;"Feature",".",
IF(VLOOKUP($B320,Feature_List!$A:$AM,MATCH(DG$1,  Feature_List!$A$1:$AM$1,0),0)=AY320,".","NO"))</f>
        <v>.</v>
      </c>
      <c r="DH320" s="136" t="str">
        <f>IF($D320&lt;&gt;"Feature",".",
IF(VLOOKUP($B320,Feature_List!$A:$AM,MATCH(DH$1,  Feature_List!$A$1:$AM$1,0),0)=AZ320,".","NO"))</f>
        <v>.</v>
      </c>
      <c r="DI320" s="136" t="str">
        <f>IF($D320&lt;&gt;"Feature",".",
IF(VLOOKUP($B320,Feature_List!$A:$AM,MATCH(DI$1,  Feature_List!$A$1:$AM$1,0),0)=BA320,".","NO"))</f>
        <v>.</v>
      </c>
      <c r="DJ320" s="136" t="str">
        <f>IF($D320&lt;&gt;"Feature",".",
IF(VLOOKUP($B320,Feature_List!$A:$AM,MATCH(DJ$1,  Feature_List!$A$1:$AM$1,0),0)=BB320,".","NO"))</f>
        <v>.</v>
      </c>
      <c r="DK320" s="136"/>
      <c r="DL320" s="136"/>
      <c r="DM320" s="136"/>
      <c r="DN320" s="136" t="str">
        <f>IF($D320&lt;&gt;"Feature",".",
IF(VLOOKUP($B320,Feature_List!$A:$AM,MATCH(DN$1,  Feature_List!$A$1:$AM$1,0),0)=BC320,".","NO"))</f>
        <v>.</v>
      </c>
      <c r="DO320" s="136" t="str">
        <f>IF($D320&lt;&gt;"Feature",".",
IF(VLOOKUP($B320,Feature_List!$A:$AM,MATCH(DO$1,  Feature_List!$A$1:$AM$1,0),0)=BD320,".","NO"))</f>
        <v>.</v>
      </c>
    </row>
    <row r="321" spans="2:119" x14ac:dyDescent="0.3">
      <c r="B321" s="121"/>
      <c r="C321" s="122"/>
      <c r="D321" s="122"/>
      <c r="E321" s="122"/>
      <c r="F321" s="123"/>
      <c r="G321" s="123"/>
      <c r="H321" s="122"/>
      <c r="I321" s="124"/>
      <c r="J321" s="123"/>
      <c r="K321" s="123"/>
      <c r="L321" s="122"/>
      <c r="M321" s="122"/>
      <c r="N321" s="122"/>
      <c r="O321" s="123">
        <f t="shared" si="150"/>
        <v>0</v>
      </c>
      <c r="P321" s="123">
        <f t="shared" si="151"/>
        <v>0</v>
      </c>
      <c r="Q321" s="122" t="str">
        <f t="shared" si="172"/>
        <v>ZeroEntry</v>
      </c>
      <c r="R321" s="126" t="str">
        <f t="shared" si="152"/>
        <v>ZeroEntry</v>
      </c>
      <c r="S321" s="127" t="str">
        <f t="shared" si="153"/>
        <v>ZeroEntry</v>
      </c>
      <c r="T321" s="128" t="str">
        <f>IF($Q321="ZeroEntry", "",VLOOKUP($I321,'Ranking Lookup'!#REF!,2,FALSE))</f>
        <v/>
      </c>
      <c r="U321" s="129" t="str">
        <f t="shared" si="154"/>
        <v/>
      </c>
      <c r="V321" s="129" t="str">
        <f t="shared" si="155"/>
        <v/>
      </c>
      <c r="W321" s="129" t="str">
        <f t="shared" si="156"/>
        <v/>
      </c>
      <c r="X321" s="129" t="str">
        <f t="shared" si="157"/>
        <v/>
      </c>
      <c r="Y321" s="129" t="str">
        <f t="shared" si="158"/>
        <v/>
      </c>
      <c r="Z321" s="129" t="str">
        <f t="shared" si="159"/>
        <v/>
      </c>
      <c r="AA321" s="130"/>
      <c r="AB321" s="130" t="str">
        <f t="shared" si="160"/>
        <v>Unassigned</v>
      </c>
      <c r="AC321" s="131" t="str">
        <f t="shared" si="173"/>
        <v/>
      </c>
      <c r="AD321" s="131" t="str">
        <f t="shared" si="174"/>
        <v/>
      </c>
      <c r="AE321" s="132">
        <f t="shared" si="161"/>
        <v>0</v>
      </c>
      <c r="AF321" s="133" t="str">
        <f t="shared" si="175"/>
        <v/>
      </c>
      <c r="AG321" s="134">
        <f t="shared" si="162"/>
        <v>0</v>
      </c>
      <c r="AH321" s="54" t="str">
        <f t="shared" si="163"/>
        <v/>
      </c>
      <c r="AI321" s="54" t="str">
        <f t="shared" si="185"/>
        <v/>
      </c>
      <c r="AJ321" s="54" t="str">
        <f t="shared" si="185"/>
        <v/>
      </c>
      <c r="AK321" s="54" t="str">
        <f t="shared" si="185"/>
        <v/>
      </c>
      <c r="AL321" s="54" t="str">
        <f t="shared" si="185"/>
        <v/>
      </c>
      <c r="AM321" s="54" t="str">
        <f t="shared" si="185"/>
        <v/>
      </c>
      <c r="AN321" s="54" t="str">
        <f t="shared" si="185"/>
        <v/>
      </c>
      <c r="AO321" s="54" t="str">
        <f t="shared" si="185"/>
        <v/>
      </c>
      <c r="AP321" s="54" t="str">
        <f t="shared" si="185"/>
        <v/>
      </c>
      <c r="AQ321" s="54" t="str">
        <f t="shared" si="185"/>
        <v/>
      </c>
      <c r="AR321" s="54" t="str">
        <f t="shared" si="185"/>
        <v/>
      </c>
      <c r="AS321" s="54" t="str">
        <f t="shared" si="185"/>
        <v/>
      </c>
      <c r="AT321" s="54" t="str">
        <f t="shared" si="185"/>
        <v/>
      </c>
      <c r="AU321" s="54" t="str">
        <f t="shared" si="185"/>
        <v/>
      </c>
      <c r="AV321" s="54" t="str">
        <f t="shared" si="185"/>
        <v/>
      </c>
      <c r="AW321" s="54" t="str">
        <f t="shared" si="185"/>
        <v/>
      </c>
      <c r="AX321" s="54" t="str">
        <f t="shared" ref="AX321" si="186">IF(AND($Q321="Feature",LEFT($AB321,2)="PI"),
IF(AND(COUNTIF($R:$R,$B321)=1,$T321=AX$1), IF($AB321=$A$10,$AF321,0),
IF(OR($AD321&lt;1,RIGHT($G321,8)="Progress",$AH321&gt;0),SUMIFS($O:$O,$R:$R,$B321,$T:$T,AX$1,$P:$P,"&lt;&gt;Done",$AB:$AB,$A$10),
IF($T321=AX$1,IF($AB321=$A$10,$AD321,0)+SUMIFS($O:$O,$R:$R,$B321,$T:$T,AX$1,$P:$P,"&lt;&gt;Done",$AB:$AB,$A$10),SUMIFS($O:$O,$R:$R,$B321,$T:$T,AX$1,$P:$P,"&lt;&gt;Done",$AB:$AB,$A$10)))),
IF(AND(OR($Q321="Story",$Q321="Problem",$Q321="Enhancement"),$AB321=$A$10,$R321=0,$T321=AX$1,$P321&lt;&gt;"Done"),$O321,""))</f>
        <v/>
      </c>
      <c r="AY321" s="54" t="str">
        <f t="shared" si="177"/>
        <v/>
      </c>
      <c r="AZ321" s="54" t="str">
        <f t="shared" si="165"/>
        <v/>
      </c>
      <c r="BA321" s="54" t="str">
        <f t="shared" si="166"/>
        <v/>
      </c>
      <c r="BB321" s="135" t="str">
        <f t="shared" si="167"/>
        <v/>
      </c>
      <c r="BC321" s="54" t="str">
        <f t="shared" si="183"/>
        <v/>
      </c>
      <c r="BD321" s="54" t="str">
        <f t="shared" si="183"/>
        <v/>
      </c>
      <c r="BE321" s="54" t="str">
        <f t="shared" si="183"/>
        <v/>
      </c>
      <c r="BF321" s="54" t="str">
        <f t="shared" si="168"/>
        <v/>
      </c>
      <c r="BG321" s="54" t="str">
        <f t="shared" si="169"/>
        <v/>
      </c>
      <c r="BH321" s="34" t="str">
        <f t="shared" si="170"/>
        <v>Bad</v>
      </c>
      <c r="BI321" s="34" t="str">
        <f t="shared" si="171"/>
        <v>No</v>
      </c>
      <c r="BJ321" s="136" t="str">
        <f>IF($D321&lt;&gt;"Feature",".",
IF(VLOOKUP($B321,Feature_List!$A:$AM,MATCH(BJ$1,  Feature_List!$A$1:$AM$1,0),0)=B321,".","NO"))</f>
        <v>.</v>
      </c>
      <c r="BK321" s="136"/>
      <c r="BL321" s="136"/>
      <c r="BM321" s="136" t="str">
        <f>IF($D321&lt;&gt;"Feature",".",
IF(VLOOKUP($B321,Feature_List!$A:$AM,MATCH(BM$1,  Feature_List!$A$1:$AM$1,0),0)=E321,".","NO"))</f>
        <v>.</v>
      </c>
      <c r="BN321" s="136" t="str">
        <f>IF($D321&lt;&gt;"Feature",".",
IF(VLOOKUP($B321,Feature_List!$A:$AM,MATCH(BN$1,  Feature_List!$A$1:$AM$1,0),0)=F321,".","NO"))</f>
        <v>.</v>
      </c>
      <c r="BO321" s="136" t="str">
        <f>IF($D321&lt;&gt;"Feature",".",
IF(VLOOKUP($B321,Feature_List!$A:$AM,MATCH(BO$1,  Feature_List!$A$1:$AM$1,0),0)=G321,".","NO"))</f>
        <v>.</v>
      </c>
      <c r="BP321" s="136" t="str">
        <f>IF($D321&lt;&gt;"Feature",".",
IF(VLOOKUP($B321,Feature_List!$A:$AM,MATCH(BP$1,  Feature_List!$A$1:$AM$1,0),0)=H321,".","NO"))</f>
        <v>.</v>
      </c>
      <c r="BQ321" s="136"/>
      <c r="BR321" s="136" t="str">
        <f>IF($D321&lt;&gt;"Feature",".",
IF(VLOOKUP($B321,Feature_List!$A:$AM,MATCH(BR$1,  Feature_List!$A$1:$AM$1,0),0)=J321,".","NO"))</f>
        <v>.</v>
      </c>
      <c r="BS321" s="136"/>
      <c r="BT321" s="136"/>
      <c r="BU321" s="136" t="str">
        <f>IF($D321&lt;&gt;"Feature",".",
IF(VLOOKUP($B321,Feature_List!$A:$AM,MATCH(BU$1,  Feature_List!$A$1:$AM$1,0),0)=M321,".","NO"))</f>
        <v>.</v>
      </c>
      <c r="BV321" s="136" t="str">
        <f>IF($D321&lt;&gt;"Feature",".",
IF(VLOOKUP($B321,Feature_List!$A:$AM,MATCH(BV$1,  Feature_List!$A$1:$AM$1,0),0)=N321,".","NO"))</f>
        <v>.</v>
      </c>
      <c r="BW321" s="136"/>
      <c r="BX321" s="136"/>
      <c r="BY321" s="136"/>
      <c r="BZ321" s="136"/>
      <c r="CA321" s="136"/>
      <c r="CB321" s="136" t="str">
        <f>IF($D321&lt;&gt;"Feature",".",
IF(VLOOKUP($B321,Feature_List!$A:$AM,MATCH(CB$1,  Feature_List!$A$1:$AM$1,0),0)=T321,".","NO"))</f>
        <v>.</v>
      </c>
      <c r="CC321" s="136"/>
      <c r="CD321" s="136"/>
      <c r="CE321" s="136"/>
      <c r="CF321" s="136"/>
      <c r="CG321" s="136"/>
      <c r="CH321" s="136"/>
      <c r="CI321" s="136"/>
      <c r="CJ321" s="136"/>
      <c r="CK321" s="136"/>
      <c r="CL321" s="136"/>
      <c r="CM321" s="136"/>
      <c r="CN321" s="136"/>
      <c r="CO321" s="136" t="str">
        <f>IF($D321&lt;&gt;"Feature",".",
IF(VLOOKUP($B321,Feature_List!$A:$AM,MATCH(CO$1,  Feature_List!$A$1:$AM$1,0),0)=AG321,".","NO"))</f>
        <v>.</v>
      </c>
      <c r="CP321" s="136" t="str">
        <f>IF($D321&lt;&gt;"Feature",".",
IF(VLOOKUP($B321,Feature_List!$A:$AM,MATCH(CP$1,  Feature_List!$A$1:$AM$1,0),0)=AH321,".","NO"))</f>
        <v>.</v>
      </c>
      <c r="CQ321" s="136" t="str">
        <f>IF($D321&lt;&gt;"Feature",".",
IF(VLOOKUP($B321,Feature_List!$A:$AM,MATCH(CQ$1,  Feature_List!$A$1:$AM$1,0),0)=AI321,".","NO"))</f>
        <v>.</v>
      </c>
      <c r="CR321" s="136" t="str">
        <f>IF($D321&lt;&gt;"Feature",".",
IF(VLOOKUP($B321,Feature_List!$A:$AM,MATCH(CR$1,  Feature_List!$A$1:$AM$1,0),0)=AJ321,".","NO"))</f>
        <v>.</v>
      </c>
      <c r="CS321" s="136" t="str">
        <f>IF($D321&lt;&gt;"Feature",".",
IF(VLOOKUP($B321,Feature_List!$A:$AM,MATCH(CS$1,  Feature_List!$A$1:$AM$1,0),0)=AK321,".","NO"))</f>
        <v>.</v>
      </c>
      <c r="CT321" s="136" t="str">
        <f>IF($D321&lt;&gt;"Feature",".",
IF(VLOOKUP($B321,Feature_List!$A:$AM,MATCH(CT$1,  Feature_List!$A$1:$AM$1,0),0)=AL321,".","NO"))</f>
        <v>.</v>
      </c>
      <c r="CU321" s="136" t="str">
        <f>IF($D321&lt;&gt;"Feature",".",
IF(VLOOKUP($B321,Feature_List!$A:$AM,MATCH(CU$1,  Feature_List!$A$1:$AM$1,0),0)=AM321,".","NO"))</f>
        <v>.</v>
      </c>
      <c r="CV321" s="136" t="str">
        <f>IF($D321&lt;&gt;"Feature",".",
IF(VLOOKUP($B321,Feature_List!$A:$AM,MATCH(CV$1,  Feature_List!$A$1:$AM$1,0),0)=AN321,".","NO"))</f>
        <v>.</v>
      </c>
      <c r="CW321" s="136" t="str">
        <f>IF($D321&lt;&gt;"Feature",".",
IF(VLOOKUP($B321,Feature_List!$A:$AM,MATCH(CW$1,  Feature_List!$A$1:$AM$1,0),0)=AO321,".","NO"))</f>
        <v>.</v>
      </c>
      <c r="CX321" s="136" t="str">
        <f>IF($D321&lt;&gt;"Feature",".",
IF(VLOOKUP($B321,Feature_List!$A:$AM,MATCH(CX$1,  Feature_List!$A$1:$AM$1,0),0)=AP321,".","NO"))</f>
        <v>.</v>
      </c>
      <c r="CY321" s="136" t="str">
        <f>IF($D321&lt;&gt;"Feature",".",
IF(VLOOKUP($B321,Feature_List!$A:$AM,MATCH(CY$1,  Feature_List!$A$1:$AM$1,0),0)=AQ321,".","NO"))</f>
        <v>.</v>
      </c>
      <c r="CZ321" s="136" t="str">
        <f>IF($D321&lt;&gt;"Feature",".",
IF(VLOOKUP($B321,Feature_List!$A:$AM,MATCH(CZ$1,  Feature_List!$A$1:$AM$1,0),0)=AR321,".","NO"))</f>
        <v>.</v>
      </c>
      <c r="DA321" s="136" t="str">
        <f>IF($D321&lt;&gt;"Feature",".",
IF(VLOOKUP($B321,Feature_List!$A:$AM,MATCH(DA$1,  Feature_List!$A$1:$AM$1,0),0)=AS321,".","NO"))</f>
        <v>.</v>
      </c>
      <c r="DB321" s="136" t="str">
        <f>IF($D321&lt;&gt;"Feature",".",
IF(VLOOKUP($B321,Feature_List!$A:$AM,MATCH(DB$1,  Feature_List!$A$1:$AM$1,0),0)=AT321,".","NO"))</f>
        <v>.</v>
      </c>
      <c r="DC321" s="136" t="str">
        <f>IF($D321&lt;&gt;"Feature",".",
IF(VLOOKUP($B321,Feature_List!$A:$AM,MATCH(DC$1,  Feature_List!$A$1:$AM$1,0),0)=AU321,".","NO"))</f>
        <v>.</v>
      </c>
      <c r="DD321" s="136" t="str">
        <f>IF($D321&lt;&gt;"Feature",".",
IF(VLOOKUP($B321,Feature_List!$A:$AM,MATCH(DD$1,  Feature_List!$A$1:$AM$1,0),0)=AV321,".","NO"))</f>
        <v>.</v>
      </c>
      <c r="DE321" s="136" t="str">
        <f>IF($D321&lt;&gt;"Feature",".",
IF(VLOOKUP($B321,Feature_List!$A:$AM,MATCH(DE$1,  Feature_List!$A$1:$AM$1,0),0)=AW321,".","NO"))</f>
        <v>.</v>
      </c>
      <c r="DF321" s="136" t="str">
        <f>IF($D321&lt;&gt;"Feature",".",
IF(VLOOKUP($B321,Feature_List!$A:$AM,MATCH(DF$1,  Feature_List!$A$1:$AM$1,0),0)=AX321,".","NO"))</f>
        <v>.</v>
      </c>
      <c r="DG321" s="136" t="str">
        <f>IF($D321&lt;&gt;"Feature",".",
IF(VLOOKUP($B321,Feature_List!$A:$AM,MATCH(DG$1,  Feature_List!$A$1:$AM$1,0),0)=AY321,".","NO"))</f>
        <v>.</v>
      </c>
      <c r="DH321" s="136" t="str">
        <f>IF($D321&lt;&gt;"Feature",".",
IF(VLOOKUP($B321,Feature_List!$A:$AM,MATCH(DH$1,  Feature_List!$A$1:$AM$1,0),0)=AZ321,".","NO"))</f>
        <v>.</v>
      </c>
      <c r="DI321" s="136" t="str">
        <f>IF($D321&lt;&gt;"Feature",".",
IF(VLOOKUP($B321,Feature_List!$A:$AM,MATCH(DI$1,  Feature_List!$A$1:$AM$1,0),0)=BA321,".","NO"))</f>
        <v>.</v>
      </c>
      <c r="DJ321" s="136" t="str">
        <f>IF($D321&lt;&gt;"Feature",".",
IF(VLOOKUP($B321,Feature_List!$A:$AM,MATCH(DJ$1,  Feature_List!$A$1:$AM$1,0),0)=BB321,".","NO"))</f>
        <v>.</v>
      </c>
      <c r="DK321" s="136"/>
      <c r="DL321" s="136"/>
      <c r="DM321" s="136"/>
      <c r="DN321" s="136" t="str">
        <f>IF($D321&lt;&gt;"Feature",".",
IF(VLOOKUP($B321,Feature_List!$A:$AM,MATCH(DN$1,  Feature_List!$A$1:$AM$1,0),0)=BC321,".","NO"))</f>
        <v>.</v>
      </c>
      <c r="DO321" s="136" t="str">
        <f>IF($D321&lt;&gt;"Feature",".",
IF(VLOOKUP($B321,Feature_List!$A:$AM,MATCH(DO$1,  Feature_List!$A$1:$AM$1,0),0)=BD321,".","NO"))</f>
        <v>.</v>
      </c>
    </row>
    <row r="322" spans="2:119" x14ac:dyDescent="0.3">
      <c r="B322" s="121"/>
      <c r="C322" s="122"/>
      <c r="D322" s="122"/>
      <c r="E322" s="122"/>
      <c r="F322" s="123"/>
      <c r="G322" s="123"/>
      <c r="H322" s="122"/>
      <c r="I322" s="124"/>
      <c r="J322" s="123"/>
      <c r="K322" s="123"/>
      <c r="L322" s="122"/>
      <c r="M322" s="122"/>
      <c r="N322" s="122"/>
      <c r="O322" s="123">
        <f t="shared" ref="O322:O345" si="187">IF(Q322="Story",K322,
 IF(OR(Q322="Problem",Q322="Enhancement"),IFERROR(ROUNDUP(VALUE(LEFT(L322,FIND(" hour",L322)))/8,0),0),0))</f>
        <v>0</v>
      </c>
      <c r="P322" s="123">
        <f t="shared" ref="P322:P345" si="188">IF(H322="Closed","Done",H322)</f>
        <v>0</v>
      </c>
      <c r="Q322" s="122" t="str">
        <f t="shared" si="172"/>
        <v>ZeroEntry</v>
      </c>
      <c r="R322" s="126" t="str">
        <f t="shared" ref="R322:R345" si="189">IF($D322="","ZeroEntry",
IF($D322="Program Epic",0,
IF($Q322="Feature",$B322,
IF($Y322="Feature", RIGHT($C322,6)+0,
IF($X322="Feature", RIGHT(VLOOKUP(RIGHT($C322,6)+0,$B:$C,2,FALSE),6)+0, 0)))) )</f>
        <v>ZeroEntry</v>
      </c>
      <c r="S322" s="127" t="str">
        <f t="shared" ref="S322:S345" si="190">IF($D322="","ZeroEntry",
IF(OR($D322="Story",$D322="Problem",$D322="Enhancement"),$B322,0))</f>
        <v>ZeroEntry</v>
      </c>
      <c r="T322" s="128" t="str">
        <f>IF($Q322="ZeroEntry", "",VLOOKUP($I322,'Ranking Lookup'!#REF!,2,FALSE))</f>
        <v/>
      </c>
      <c r="U322" s="129" t="str">
        <f t="shared" ref="U322:U345" si="191">IFERROR(
   VLOOKUP(RIGHT(
        VLOOKUP(RIGHT(
             VLOOKUP(RIGHT(
                 VLOOKUP(RIGHT(
                     VLOOKUP(RIGHT($C322,6)+0,$B:$C,2,FALSE),6)+0,$B:$C,2,FALSE),6)+0,$B:$C,2,FALSE),6)+0,$B:$C,2,FALSE),6)+0,$B:$D,3,FALSE),
"")</f>
        <v/>
      </c>
      <c r="V322" s="129" t="str">
        <f t="shared" ref="V322:V345" si="192">IFERROR(
   VLOOKUP(RIGHT(
        VLOOKUP(RIGHT(
             VLOOKUP(RIGHT(
                  VLOOKUP(RIGHT($C322,6)+0,$B:$C,2,FALSE),6)+0,$B:$C,2,FALSE),6)+0,$B:$C,2,FALSE),6)+0,$B:$D,3,FALSE),
"")</f>
        <v/>
      </c>
      <c r="W322" s="129" t="str">
        <f t="shared" ref="W322:W345" si="193">IFERROR(
    VLOOKUP(RIGHT(
         VLOOKUP(RIGHT(
                 VLOOKUP(RIGHT($C322,6)+0,$B:$C,2,FALSE),6)+0,$B:$C,2,FALSE),6)+0,$B:$D,3,FALSE),
"")</f>
        <v/>
      </c>
      <c r="X322" s="129" t="str">
        <f t="shared" ref="X322:X345" si="194">IFERROR(
   VLOOKUP(RIGHT(
         VLOOKUP(RIGHT($C322,6)+0,$B:$C,2,FALSE),6)+0,$B:$D,3,FALSE),
"")</f>
        <v/>
      </c>
      <c r="Y322" s="129" t="str">
        <f t="shared" ref="Y322:Y345" si="195">IFERROR(VLOOKUP(RIGHT($C322,6)+0,$B:$D,3,FALSE),"")</f>
        <v/>
      </c>
      <c r="Z322" s="129" t="str">
        <f t="shared" ref="Z322:Z345" si="196">IF(ISERROR(VLOOKUP("#"&amp;$B322,$C:$D,2,FALSE)),"",VLOOKUP("#"&amp;$B322,$C:$D,2,FALSE))</f>
        <v/>
      </c>
      <c r="AA322" s="130"/>
      <c r="AB322" s="130" t="str">
        <f t="shared" ref="AB322:AB345" si="197">IF(LEFT($G322,2)="PI",LEFT($G322,5),
IF(OR(RIGHT($G322,2)="RR",$G322="Future"),$G322,
IF(LEFT($G322,3)="EA ",CONCATENATE("PI ",TEXT(VALUE(MID($G322,4,2)),"00")),
IF($R322=0,"Unassigned",
IF(NOT(OR($Q322="Story",$Q322="Problem",$Q322="Enhancement")),"Unassigned",
IF(AND($G322="Unassigned",RIGHT(VLOOKUP(VALUE(RIGHT($C322,6)),B:G,6,0),5)&lt;&gt;"gress",LEFT(VLOOKUP(VALUE(RIGHT($C322,6)),B:G,6,0),2)="PI"),LEFT(VLOOKUP(VALUE(RIGHT($C322,6)),B:G,6,0),5),
"Unassigned"))))))</f>
        <v>Unassigned</v>
      </c>
      <c r="AC322" s="131" t="str">
        <f t="shared" si="173"/>
        <v/>
      </c>
      <c r="AD322" s="131" t="str">
        <f t="shared" si="174"/>
        <v/>
      </c>
      <c r="AE322" s="132">
        <f t="shared" ref="AE322:AE345" si="198">IF(AND($Q322="Feature",$AD322&lt;&gt;0,$AC322&gt;$J322),($AC322/$J322)-1,0)</f>
        <v>0</v>
      </c>
      <c r="AF322" s="133" t="str">
        <f t="shared" si="175"/>
        <v/>
      </c>
      <c r="AG322" s="134">
        <f t="shared" ref="AG322:AG345" si="199">COUNTIF(AI322:AY322,"&gt;0")</f>
        <v>0</v>
      </c>
      <c r="AH322" s="54" t="str">
        <f t="shared" ref="AH322:AH345" si="200">IF($Q322="Feature",SUMIFS($O:$O,$R:$R,$B322,$P:$P,"Done"),
IF(  AND(OR($Q322="Story",$Q322="Problem",$Q322="Enhancement"),$R322=0,$P322="Done"),$O322,""))</f>
        <v/>
      </c>
      <c r="AI322" s="54" t="str">
        <f t="shared" ref="AI322:AX337" si="201">IF(AND($Q322="Feature",LEFT($AB322,2)="PI"),
IF(AND(COUNTIF($R:$R,$B322)=1,$T322=AI$1), IF($AB322=$A$10,$AF322,0),
IF(OR($AD322&lt;1,RIGHT($G322,8)="Progress",$AH322&gt;0),SUMIFS($O:$O,$R:$R,$B322,$T:$T,AI$1,$P:$P,"&lt;&gt;Done",$AB:$AB,$A$10),
IF($T322=AI$1,IF($AB322=$A$10,$AD322,0)+SUMIFS($O:$O,$R:$R,$B322,$T:$T,AI$1,$P:$P,"&lt;&gt;Done",$AB:$AB,$A$10),SUMIFS($O:$O,$R:$R,$B322,$T:$T,AI$1,$P:$P,"&lt;&gt;Done",$AB:$AB,$A$10)))),
IF(AND(OR($Q322="Story",$Q322="Problem",$Q322="Enhancement"),$AB322=$A$10,$R322=0,$T322=AI$1,$P322&lt;&gt;"Done"),$O322,""))</f>
        <v/>
      </c>
      <c r="AJ322" s="54" t="str">
        <f t="shared" si="201"/>
        <v/>
      </c>
      <c r="AK322" s="54" t="str">
        <f t="shared" si="201"/>
        <v/>
      </c>
      <c r="AL322" s="54" t="str">
        <f t="shared" si="201"/>
        <v/>
      </c>
      <c r="AM322" s="54" t="str">
        <f t="shared" si="201"/>
        <v/>
      </c>
      <c r="AN322" s="54" t="str">
        <f t="shared" si="201"/>
        <v/>
      </c>
      <c r="AO322" s="54" t="str">
        <f t="shared" si="201"/>
        <v/>
      </c>
      <c r="AP322" s="54" t="str">
        <f t="shared" si="201"/>
        <v/>
      </c>
      <c r="AQ322" s="54" t="str">
        <f t="shared" si="201"/>
        <v/>
      </c>
      <c r="AR322" s="54" t="str">
        <f t="shared" si="201"/>
        <v/>
      </c>
      <c r="AS322" s="54" t="str">
        <f t="shared" si="201"/>
        <v/>
      </c>
      <c r="AT322" s="54" t="str">
        <f t="shared" si="201"/>
        <v/>
      </c>
      <c r="AU322" s="54" t="str">
        <f t="shared" si="201"/>
        <v/>
      </c>
      <c r="AV322" s="54" t="str">
        <f t="shared" si="201"/>
        <v/>
      </c>
      <c r="AW322" s="54" t="str">
        <f t="shared" si="201"/>
        <v/>
      </c>
      <c r="AX322" s="54" t="str">
        <f t="shared" si="201"/>
        <v/>
      </c>
      <c r="AY322" s="54" t="str">
        <f t="shared" si="177"/>
        <v/>
      </c>
      <c r="AZ322" s="54" t="str">
        <f t="shared" ref="AZ322:AZ345" si="202">IF($Q322="Feature",SUMIFS($O:$O,$R:$R,$B322,$P:$P,"&lt;&gt;Done",$AB:$AB,$A$14),
IF(AND(OR($Q322="Story",$Q322="Problem",$Q322="Enhancement"),$R322=0,$P322="&lt;&gt;Done", $AB322=$A$14),$O322,""))</f>
        <v/>
      </c>
      <c r="BA322" s="54" t="str">
        <f t="shared" ref="BA322:BA345" si="203">IF(OR($Q322="Feature",$BI322="Yes"), SUM(AI322:AY322),"")</f>
        <v/>
      </c>
      <c r="BB322" s="135" t="str">
        <f t="shared" ref="BB322:BB345" si="204">IF($Q322="Feature",SUMIFS($O:$O,$R:$R,$B322,$P:$P,"&lt;&gt;Done",$AB:$AB,BB$1),
IF(AND(OR($Q322="Story",$Q322="Problem",$Q322="Enhancement"),$R322=0,$P322="&lt;&gt;Done",$AB322=BB$1),$O322,""))</f>
        <v/>
      </c>
      <c r="BC322" s="54" t="str">
        <f t="shared" ref="BC322:BE345" si="205">IF(AND($Q322="Feature",LEFT($AB322,2)="PI"),
IF(AND(COUNTIF($R:$R,$B322)=1,$T322=BC$1), IF($AB322=$A$10,$AF322,0),
IF(OR($AD322&lt;1,RIGHT($G322,8)="Progress"),SUMIFS($O:$O,$R:$R,$B322,$T:$T,BC$1,$P:$P,"&lt;&gt;Done",$AB:$AB,$A$10),
IF($T322=BC$1, IF($AB322=$A$10,$AD322,0)+SUMIFS($O:$O,$R:$R,$B322,$T:$T,BC$1,$P:$P,"&lt;&gt;Done",$AB:$AB,$A$10),SUMIFS($O:$O,$R:$R,$B322,$T:$T,BC$1,$P:$P,"&lt;&gt;Done",$AB:$AB,$A$10)))),
IF(AND(OR($Q322="Story",$Q322="Problem",$Q322="Enhancement"),$AB322=$A$10,$R322=0,$T322=BC$1,$P322&lt;&gt;"Done"),$O322,""))</f>
        <v/>
      </c>
      <c r="BD322" s="54" t="str">
        <f t="shared" si="205"/>
        <v/>
      </c>
      <c r="BE322" s="54" t="str">
        <f t="shared" si="205"/>
        <v/>
      </c>
      <c r="BF322" s="54" t="str">
        <f t="shared" ref="BF322:BF345" si="206">IF($Q322="Feature",
COUNTIFS($Q:$Q,"Problem",$R:$R,$B322),"")</f>
        <v/>
      </c>
      <c r="BG322" s="54" t="str">
        <f t="shared" ref="BG322:BG345" si="207">IF($Q322="Feature",
COUNTIFS($Q:$Q,"Enhancement",$R:$R,$B322),"")</f>
        <v/>
      </c>
      <c r="BH322" s="34" t="str">
        <f t="shared" ref="BH322:BH345" si="208">IF(OR($Q322="Strategy",$Q322="Sub-Strategy"),"",
IF(AND($Q322="Feature",AH322&gt;0),"NA_InProgress",
IF(AND($Q322="Feature",SUM(AZ322:BB322)=J322),"Good",
IF(AND($Q322="Feature",RIGHT($G322,8)="Progress"),"NA_InProgress",
IF(AND(OR($Q322="Story",$Q322="Problem",$Q322="Enhancement"),$R322=0,SUM(AH322:BB322)=K322),"Good",
IF(AND(OR($Q322="Story",$Q322="Problem",$Q322="Enhancement"),$R322&lt;&gt;0),"","Bad"))))))</f>
        <v>Bad</v>
      </c>
      <c r="BI322" s="34" t="str">
        <f t="shared" ref="BI322:BI345" si="209">IF(AND(
      OR(AND(OR(Q322="Problem",Q322="Enhancement"),H322&lt;&gt;"Assessing",H322&lt;&gt;"Triage"),
             AND(Q322="Story",O322&lt;&gt;0)),
      R322=0,
      T322&lt;&gt;"Process"),"Add_Scope","No")</f>
        <v>No</v>
      </c>
      <c r="BJ322" s="136" t="str">
        <f>IF($D322&lt;&gt;"Feature",".",
IF(VLOOKUP($B322,Feature_List!$A:$AM,MATCH(BJ$1,  Feature_List!$A$1:$AM$1,0),0)=B322,".","NO"))</f>
        <v>.</v>
      </c>
      <c r="BK322" s="136"/>
      <c r="BL322" s="136"/>
      <c r="BM322" s="136" t="str">
        <f>IF($D322&lt;&gt;"Feature",".",
IF(VLOOKUP($B322,Feature_List!$A:$AM,MATCH(BM$1,  Feature_List!$A$1:$AM$1,0),0)=E322,".","NO"))</f>
        <v>.</v>
      </c>
      <c r="BN322" s="136" t="str">
        <f>IF($D322&lt;&gt;"Feature",".",
IF(VLOOKUP($B322,Feature_List!$A:$AM,MATCH(BN$1,  Feature_List!$A$1:$AM$1,0),0)=F322,".","NO"))</f>
        <v>.</v>
      </c>
      <c r="BO322" s="136" t="str">
        <f>IF($D322&lt;&gt;"Feature",".",
IF(VLOOKUP($B322,Feature_List!$A:$AM,MATCH(BO$1,  Feature_List!$A$1:$AM$1,0),0)=G322,".","NO"))</f>
        <v>.</v>
      </c>
      <c r="BP322" s="136" t="str">
        <f>IF($D322&lt;&gt;"Feature",".",
IF(VLOOKUP($B322,Feature_List!$A:$AM,MATCH(BP$1,  Feature_List!$A$1:$AM$1,0),0)=H322,".","NO"))</f>
        <v>.</v>
      </c>
      <c r="BQ322" s="136"/>
      <c r="BR322" s="136" t="str">
        <f>IF($D322&lt;&gt;"Feature",".",
IF(VLOOKUP($B322,Feature_List!$A:$AM,MATCH(BR$1,  Feature_List!$A$1:$AM$1,0),0)=J322,".","NO"))</f>
        <v>.</v>
      </c>
      <c r="BS322" s="136"/>
      <c r="BT322" s="136"/>
      <c r="BU322" s="136" t="str">
        <f>IF($D322&lt;&gt;"Feature",".",
IF(VLOOKUP($B322,Feature_List!$A:$AM,MATCH(BU$1,  Feature_List!$A$1:$AM$1,0),0)=M322,".","NO"))</f>
        <v>.</v>
      </c>
      <c r="BV322" s="136" t="str">
        <f>IF($D322&lt;&gt;"Feature",".",
IF(VLOOKUP($B322,Feature_List!$A:$AM,MATCH(BV$1,  Feature_List!$A$1:$AM$1,0),0)=N322,".","NO"))</f>
        <v>.</v>
      </c>
      <c r="BW322" s="136"/>
      <c r="BX322" s="136"/>
      <c r="BY322" s="136"/>
      <c r="BZ322" s="136"/>
      <c r="CA322" s="136"/>
      <c r="CB322" s="136" t="str">
        <f>IF($D322&lt;&gt;"Feature",".",
IF(VLOOKUP($B322,Feature_List!$A:$AM,MATCH(CB$1,  Feature_List!$A$1:$AM$1,0),0)=T322,".","NO"))</f>
        <v>.</v>
      </c>
      <c r="CC322" s="136"/>
      <c r="CD322" s="136"/>
      <c r="CE322" s="136"/>
      <c r="CF322" s="136"/>
      <c r="CG322" s="136"/>
      <c r="CH322" s="136"/>
      <c r="CI322" s="136"/>
      <c r="CJ322" s="136"/>
      <c r="CK322" s="136"/>
      <c r="CL322" s="136"/>
      <c r="CM322" s="136"/>
      <c r="CN322" s="136"/>
      <c r="CO322" s="136" t="str">
        <f>IF($D322&lt;&gt;"Feature",".",
IF(VLOOKUP($B322,Feature_List!$A:$AM,MATCH(CO$1,  Feature_List!$A$1:$AM$1,0),0)=AG322,".","NO"))</f>
        <v>.</v>
      </c>
      <c r="CP322" s="136" t="str">
        <f>IF($D322&lt;&gt;"Feature",".",
IF(VLOOKUP($B322,Feature_List!$A:$AM,MATCH(CP$1,  Feature_List!$A$1:$AM$1,0),0)=AH322,".","NO"))</f>
        <v>.</v>
      </c>
      <c r="CQ322" s="136" t="str">
        <f>IF($D322&lt;&gt;"Feature",".",
IF(VLOOKUP($B322,Feature_List!$A:$AM,MATCH(CQ$1,  Feature_List!$A$1:$AM$1,0),0)=AI322,".","NO"))</f>
        <v>.</v>
      </c>
      <c r="CR322" s="136" t="str">
        <f>IF($D322&lt;&gt;"Feature",".",
IF(VLOOKUP($B322,Feature_List!$A:$AM,MATCH(CR$1,  Feature_List!$A$1:$AM$1,0),0)=AJ322,".","NO"))</f>
        <v>.</v>
      </c>
      <c r="CS322" s="136" t="str">
        <f>IF($D322&lt;&gt;"Feature",".",
IF(VLOOKUP($B322,Feature_List!$A:$AM,MATCH(CS$1,  Feature_List!$A$1:$AM$1,0),0)=AK322,".","NO"))</f>
        <v>.</v>
      </c>
      <c r="CT322" s="136" t="str">
        <f>IF($D322&lt;&gt;"Feature",".",
IF(VLOOKUP($B322,Feature_List!$A:$AM,MATCH(CT$1,  Feature_List!$A$1:$AM$1,0),0)=AL322,".","NO"))</f>
        <v>.</v>
      </c>
      <c r="CU322" s="136" t="str">
        <f>IF($D322&lt;&gt;"Feature",".",
IF(VLOOKUP($B322,Feature_List!$A:$AM,MATCH(CU$1,  Feature_List!$A$1:$AM$1,0),0)=AM322,".","NO"))</f>
        <v>.</v>
      </c>
      <c r="CV322" s="136" t="str">
        <f>IF($D322&lt;&gt;"Feature",".",
IF(VLOOKUP($B322,Feature_List!$A:$AM,MATCH(CV$1,  Feature_List!$A$1:$AM$1,0),0)=AN322,".","NO"))</f>
        <v>.</v>
      </c>
      <c r="CW322" s="136" t="str">
        <f>IF($D322&lt;&gt;"Feature",".",
IF(VLOOKUP($B322,Feature_List!$A:$AM,MATCH(CW$1,  Feature_List!$A$1:$AM$1,0),0)=AO322,".","NO"))</f>
        <v>.</v>
      </c>
      <c r="CX322" s="136" t="str">
        <f>IF($D322&lt;&gt;"Feature",".",
IF(VLOOKUP($B322,Feature_List!$A:$AM,MATCH(CX$1,  Feature_List!$A$1:$AM$1,0),0)=AP322,".","NO"))</f>
        <v>.</v>
      </c>
      <c r="CY322" s="136" t="str">
        <f>IF($D322&lt;&gt;"Feature",".",
IF(VLOOKUP($B322,Feature_List!$A:$AM,MATCH(CY$1,  Feature_List!$A$1:$AM$1,0),0)=AQ322,".","NO"))</f>
        <v>.</v>
      </c>
      <c r="CZ322" s="136" t="str">
        <f>IF($D322&lt;&gt;"Feature",".",
IF(VLOOKUP($B322,Feature_List!$A:$AM,MATCH(CZ$1,  Feature_List!$A$1:$AM$1,0),0)=AR322,".","NO"))</f>
        <v>.</v>
      </c>
      <c r="DA322" s="136" t="str">
        <f>IF($D322&lt;&gt;"Feature",".",
IF(VLOOKUP($B322,Feature_List!$A:$AM,MATCH(DA$1,  Feature_List!$A$1:$AM$1,0),0)=AS322,".","NO"))</f>
        <v>.</v>
      </c>
      <c r="DB322" s="136" t="str">
        <f>IF($D322&lt;&gt;"Feature",".",
IF(VLOOKUP($B322,Feature_List!$A:$AM,MATCH(DB$1,  Feature_List!$A$1:$AM$1,0),0)=AT322,".","NO"))</f>
        <v>.</v>
      </c>
      <c r="DC322" s="136" t="str">
        <f>IF($D322&lt;&gt;"Feature",".",
IF(VLOOKUP($B322,Feature_List!$A:$AM,MATCH(DC$1,  Feature_List!$A$1:$AM$1,0),0)=AU322,".","NO"))</f>
        <v>.</v>
      </c>
      <c r="DD322" s="136" t="str">
        <f>IF($D322&lt;&gt;"Feature",".",
IF(VLOOKUP($B322,Feature_List!$A:$AM,MATCH(DD$1,  Feature_List!$A$1:$AM$1,0),0)=AV322,".","NO"))</f>
        <v>.</v>
      </c>
      <c r="DE322" s="136" t="str">
        <f>IF($D322&lt;&gt;"Feature",".",
IF(VLOOKUP($B322,Feature_List!$A:$AM,MATCH(DE$1,  Feature_List!$A$1:$AM$1,0),0)=AW322,".","NO"))</f>
        <v>.</v>
      </c>
      <c r="DF322" s="136" t="str">
        <f>IF($D322&lt;&gt;"Feature",".",
IF(VLOOKUP($B322,Feature_List!$A:$AM,MATCH(DF$1,  Feature_List!$A$1:$AM$1,0),0)=AX322,".","NO"))</f>
        <v>.</v>
      </c>
      <c r="DG322" s="136" t="str">
        <f>IF($D322&lt;&gt;"Feature",".",
IF(VLOOKUP($B322,Feature_List!$A:$AM,MATCH(DG$1,  Feature_List!$A$1:$AM$1,0),0)=AY322,".","NO"))</f>
        <v>.</v>
      </c>
      <c r="DH322" s="136" t="str">
        <f>IF($D322&lt;&gt;"Feature",".",
IF(VLOOKUP($B322,Feature_List!$A:$AM,MATCH(DH$1,  Feature_List!$A$1:$AM$1,0),0)=AZ322,".","NO"))</f>
        <v>.</v>
      </c>
      <c r="DI322" s="136" t="str">
        <f>IF($D322&lt;&gt;"Feature",".",
IF(VLOOKUP($B322,Feature_List!$A:$AM,MATCH(DI$1,  Feature_List!$A$1:$AM$1,0),0)=BA322,".","NO"))</f>
        <v>.</v>
      </c>
      <c r="DJ322" s="136" t="str">
        <f>IF($D322&lt;&gt;"Feature",".",
IF(VLOOKUP($B322,Feature_List!$A:$AM,MATCH(DJ$1,  Feature_List!$A$1:$AM$1,0),0)=BB322,".","NO"))</f>
        <v>.</v>
      </c>
      <c r="DK322" s="136"/>
      <c r="DL322" s="136"/>
      <c r="DM322" s="136"/>
      <c r="DN322" s="136" t="str">
        <f>IF($D322&lt;&gt;"Feature",".",
IF(VLOOKUP($B322,Feature_List!$A:$AM,MATCH(DN$1,  Feature_List!$A$1:$AM$1,0),0)=BC322,".","NO"))</f>
        <v>.</v>
      </c>
      <c r="DO322" s="136" t="str">
        <f>IF($D322&lt;&gt;"Feature",".",
IF(VLOOKUP($B322,Feature_List!$A:$AM,MATCH(DO$1,  Feature_List!$A$1:$AM$1,0),0)=BD322,".","NO"))</f>
        <v>.</v>
      </c>
    </row>
    <row r="323" spans="2:119" x14ac:dyDescent="0.3">
      <c r="B323" s="121"/>
      <c r="C323" s="123"/>
      <c r="D323" s="122"/>
      <c r="E323" s="122"/>
      <c r="F323" s="123"/>
      <c r="G323" s="123"/>
      <c r="H323" s="122"/>
      <c r="I323" s="122"/>
      <c r="J323" s="123"/>
      <c r="K323" s="123"/>
      <c r="L323" s="122"/>
      <c r="M323" s="122"/>
      <c r="N323" s="122"/>
      <c r="O323" s="123">
        <f t="shared" si="187"/>
        <v>0</v>
      </c>
      <c r="P323" s="123">
        <f t="shared" si="188"/>
        <v>0</v>
      </c>
      <c r="Q323" s="122" t="str">
        <f t="shared" ref="Q323:Q345" si="210">IF($D323="","ZeroEntry",
IF($D323="Story","Story",
IF($D323="Feature","Feature",
IF($D323="Problem","Problem",
IF($D323="Enhancement","Enhancement",
"Program Epic")))))</f>
        <v>ZeroEntry</v>
      </c>
      <c r="R323" s="126" t="str">
        <f t="shared" si="189"/>
        <v>ZeroEntry</v>
      </c>
      <c r="S323" s="127" t="str">
        <f t="shared" si="190"/>
        <v>ZeroEntry</v>
      </c>
      <c r="T323" s="128" t="str">
        <f>IF($Q323="ZeroEntry", "",VLOOKUP($I323,'Ranking Lookup'!#REF!,2,FALSE))</f>
        <v/>
      </c>
      <c r="U323" s="129" t="str">
        <f t="shared" si="191"/>
        <v/>
      </c>
      <c r="V323" s="129" t="str">
        <f t="shared" si="192"/>
        <v/>
      </c>
      <c r="W323" s="129" t="str">
        <f t="shared" si="193"/>
        <v/>
      </c>
      <c r="X323" s="129" t="str">
        <f t="shared" si="194"/>
        <v/>
      </c>
      <c r="Y323" s="129" t="str">
        <f t="shared" si="195"/>
        <v/>
      </c>
      <c r="Z323" s="129" t="str">
        <f t="shared" si="196"/>
        <v/>
      </c>
      <c r="AA323" s="130"/>
      <c r="AB323" s="130" t="str">
        <f t="shared" si="197"/>
        <v>Unassigned</v>
      </c>
      <c r="AC323" s="131" t="str">
        <f t="shared" ref="AC323:AC345" si="211">IF($Q323="Feature",SUMIFS($O:$O,$R:$R,$B323),
IF(OR($Q323="Story",$Q323="Problem",$Q323="Enhancement"),$O323,""))</f>
        <v/>
      </c>
      <c r="AD323" s="131" t="str">
        <f t="shared" ref="AD323:AD345" si="212">IF($Q323="Feature",
IF(COUNTIF($R:$R,$B323)=1,$J323,$J323-$AC323),
IF(OR($Q323="Story",$Q323="Problem",$Q323="Enhancement"),$O323-$AC323,""))</f>
        <v/>
      </c>
      <c r="AE323" s="132">
        <f t="shared" si="198"/>
        <v>0</v>
      </c>
      <c r="AF323" s="133" t="str">
        <f t="shared" ref="AF323:AF345" si="213">IF($P323="Done", 0,
IF(AND($Q323="Feature",COUNTIF($R:$R,$B323)=1),$J323,
IF($Q323="Feature",MAX($J323-SUMIFS($O:$O,$P:$P,"Done",$R:$R,$B323),0),
IF(AND(OR($Q323="Story",$Q323="Problem",$Q323="Enhancement"),$R323=0),$O323,""))))</f>
        <v/>
      </c>
      <c r="AG323" s="134">
        <f t="shared" si="199"/>
        <v>0</v>
      </c>
      <c r="AH323" s="54" t="str">
        <f t="shared" si="200"/>
        <v/>
      </c>
      <c r="AI323" s="54" t="str">
        <f t="shared" si="201"/>
        <v/>
      </c>
      <c r="AJ323" s="54" t="str">
        <f t="shared" si="201"/>
        <v/>
      </c>
      <c r="AK323" s="54" t="str">
        <f t="shared" si="201"/>
        <v/>
      </c>
      <c r="AL323" s="54" t="str">
        <f t="shared" si="201"/>
        <v/>
      </c>
      <c r="AM323" s="54" t="str">
        <f t="shared" si="201"/>
        <v/>
      </c>
      <c r="AN323" s="54" t="str">
        <f t="shared" si="201"/>
        <v/>
      </c>
      <c r="AO323" s="54" t="str">
        <f t="shared" si="201"/>
        <v/>
      </c>
      <c r="AP323" s="54" t="str">
        <f t="shared" si="201"/>
        <v/>
      </c>
      <c r="AQ323" s="54" t="str">
        <f t="shared" si="201"/>
        <v/>
      </c>
      <c r="AR323" s="54" t="str">
        <f t="shared" si="201"/>
        <v/>
      </c>
      <c r="AS323" s="54" t="str">
        <f t="shared" si="201"/>
        <v/>
      </c>
      <c r="AT323" s="54" t="str">
        <f t="shared" si="201"/>
        <v/>
      </c>
      <c r="AU323" s="54" t="str">
        <f t="shared" si="201"/>
        <v/>
      </c>
      <c r="AV323" s="54" t="str">
        <f t="shared" si="201"/>
        <v/>
      </c>
      <c r="AW323" s="54" t="str">
        <f t="shared" si="201"/>
        <v/>
      </c>
      <c r="AX323" s="54" t="str">
        <f t="shared" si="201"/>
        <v/>
      </c>
      <c r="AY323" s="54" t="str">
        <f t="shared" si="177"/>
        <v/>
      </c>
      <c r="AZ323" s="54" t="str">
        <f t="shared" si="202"/>
        <v/>
      </c>
      <c r="BA323" s="54" t="str">
        <f t="shared" si="203"/>
        <v/>
      </c>
      <c r="BB323" s="135" t="str">
        <f t="shared" si="204"/>
        <v/>
      </c>
      <c r="BC323" s="54" t="str">
        <f t="shared" si="205"/>
        <v/>
      </c>
      <c r="BD323" s="54" t="str">
        <f t="shared" si="205"/>
        <v/>
      </c>
      <c r="BE323" s="54" t="str">
        <f t="shared" si="205"/>
        <v/>
      </c>
      <c r="BF323" s="54" t="str">
        <f t="shared" si="206"/>
        <v/>
      </c>
      <c r="BG323" s="54" t="str">
        <f t="shared" si="207"/>
        <v/>
      </c>
      <c r="BH323" s="34" t="str">
        <f t="shared" si="208"/>
        <v>Bad</v>
      </c>
      <c r="BI323" s="34" t="str">
        <f t="shared" si="209"/>
        <v>No</v>
      </c>
      <c r="BJ323" s="136" t="str">
        <f>IF($D323&lt;&gt;"Feature",".",
IF(VLOOKUP($B323,Feature_List!$A:$AM,MATCH(BJ$1,  Feature_List!$A$1:$AM$1,0),0)=B323,".","NO"))</f>
        <v>.</v>
      </c>
      <c r="BK323" s="136"/>
      <c r="BL323" s="136"/>
      <c r="BM323" s="136" t="str">
        <f>IF($D323&lt;&gt;"Feature",".",
IF(VLOOKUP($B323,Feature_List!$A:$AM,MATCH(BM$1,  Feature_List!$A$1:$AM$1,0),0)=E323,".","NO"))</f>
        <v>.</v>
      </c>
      <c r="BN323" s="136" t="str">
        <f>IF($D323&lt;&gt;"Feature",".",
IF(VLOOKUP($B323,Feature_List!$A:$AM,MATCH(BN$1,  Feature_List!$A$1:$AM$1,0),0)=F323,".","NO"))</f>
        <v>.</v>
      </c>
      <c r="BO323" s="136" t="str">
        <f>IF($D323&lt;&gt;"Feature",".",
IF(VLOOKUP($B323,Feature_List!$A:$AM,MATCH(BO$1,  Feature_List!$A$1:$AM$1,0),0)=G323,".","NO"))</f>
        <v>.</v>
      </c>
      <c r="BP323" s="136" t="str">
        <f>IF($D323&lt;&gt;"Feature",".",
IF(VLOOKUP($B323,Feature_List!$A:$AM,MATCH(BP$1,  Feature_List!$A$1:$AM$1,0),0)=H323,".","NO"))</f>
        <v>.</v>
      </c>
      <c r="BQ323" s="136"/>
      <c r="BR323" s="136" t="str">
        <f>IF($D323&lt;&gt;"Feature",".",
IF(VLOOKUP($B323,Feature_List!$A:$AM,MATCH(BR$1,  Feature_List!$A$1:$AM$1,0),0)=J323,".","NO"))</f>
        <v>.</v>
      </c>
      <c r="BS323" s="136"/>
      <c r="BT323" s="136"/>
      <c r="BU323" s="136" t="str">
        <f>IF($D323&lt;&gt;"Feature",".",
IF(VLOOKUP($B323,Feature_List!$A:$AM,MATCH(BU$1,  Feature_List!$A$1:$AM$1,0),0)=M323,".","NO"))</f>
        <v>.</v>
      </c>
      <c r="BV323" s="136" t="str">
        <f>IF($D323&lt;&gt;"Feature",".",
IF(VLOOKUP($B323,Feature_List!$A:$AM,MATCH(BV$1,  Feature_List!$A$1:$AM$1,0),0)=N323,".","NO"))</f>
        <v>.</v>
      </c>
      <c r="BW323" s="136"/>
      <c r="BX323" s="136"/>
      <c r="BY323" s="136"/>
      <c r="BZ323" s="136"/>
      <c r="CA323" s="136"/>
      <c r="CB323" s="136" t="str">
        <f>IF($D323&lt;&gt;"Feature",".",
IF(VLOOKUP($B323,Feature_List!$A:$AM,MATCH(CB$1,  Feature_List!$A$1:$AM$1,0),0)=T323,".","NO"))</f>
        <v>.</v>
      </c>
      <c r="CC323" s="136"/>
      <c r="CD323" s="136"/>
      <c r="CE323" s="136"/>
      <c r="CF323" s="136"/>
      <c r="CG323" s="136"/>
      <c r="CH323" s="136"/>
      <c r="CI323" s="136"/>
      <c r="CJ323" s="136"/>
      <c r="CK323" s="136"/>
      <c r="CL323" s="136"/>
      <c r="CM323" s="136"/>
      <c r="CN323" s="136"/>
      <c r="CO323" s="136" t="str">
        <f>IF($D323&lt;&gt;"Feature",".",
IF(VLOOKUP($B323,Feature_List!$A:$AM,MATCH(CO$1,  Feature_List!$A$1:$AM$1,0),0)=AG323,".","NO"))</f>
        <v>.</v>
      </c>
      <c r="CP323" s="136" t="str">
        <f>IF($D323&lt;&gt;"Feature",".",
IF(VLOOKUP($B323,Feature_List!$A:$AM,MATCH(CP$1,  Feature_List!$A$1:$AM$1,0),0)=AH323,".","NO"))</f>
        <v>.</v>
      </c>
      <c r="CQ323" s="136" t="str">
        <f>IF($D323&lt;&gt;"Feature",".",
IF(VLOOKUP($B323,Feature_List!$A:$AM,MATCH(CQ$1,  Feature_List!$A$1:$AM$1,0),0)=AI323,".","NO"))</f>
        <v>.</v>
      </c>
      <c r="CR323" s="136" t="str">
        <f>IF($D323&lt;&gt;"Feature",".",
IF(VLOOKUP($B323,Feature_List!$A:$AM,MATCH(CR$1,  Feature_List!$A$1:$AM$1,0),0)=AJ323,".","NO"))</f>
        <v>.</v>
      </c>
      <c r="CS323" s="136" t="str">
        <f>IF($D323&lt;&gt;"Feature",".",
IF(VLOOKUP($B323,Feature_List!$A:$AM,MATCH(CS$1,  Feature_List!$A$1:$AM$1,0),0)=AK323,".","NO"))</f>
        <v>.</v>
      </c>
      <c r="CT323" s="136" t="str">
        <f>IF($D323&lt;&gt;"Feature",".",
IF(VLOOKUP($B323,Feature_List!$A:$AM,MATCH(CT$1,  Feature_List!$A$1:$AM$1,0),0)=AL323,".","NO"))</f>
        <v>.</v>
      </c>
      <c r="CU323" s="136" t="str">
        <f>IF($D323&lt;&gt;"Feature",".",
IF(VLOOKUP($B323,Feature_List!$A:$AM,MATCH(CU$1,  Feature_List!$A$1:$AM$1,0),0)=AM323,".","NO"))</f>
        <v>.</v>
      </c>
      <c r="CV323" s="136" t="str">
        <f>IF($D323&lt;&gt;"Feature",".",
IF(VLOOKUP($B323,Feature_List!$A:$AM,MATCH(CV$1,  Feature_List!$A$1:$AM$1,0),0)=AN323,".","NO"))</f>
        <v>.</v>
      </c>
      <c r="CW323" s="136" t="str">
        <f>IF($D323&lt;&gt;"Feature",".",
IF(VLOOKUP($B323,Feature_List!$A:$AM,MATCH(CW$1,  Feature_List!$A$1:$AM$1,0),0)=AO323,".","NO"))</f>
        <v>.</v>
      </c>
      <c r="CX323" s="136" t="str">
        <f>IF($D323&lt;&gt;"Feature",".",
IF(VLOOKUP($B323,Feature_List!$A:$AM,MATCH(CX$1,  Feature_List!$A$1:$AM$1,0),0)=AP323,".","NO"))</f>
        <v>.</v>
      </c>
      <c r="CY323" s="136" t="str">
        <f>IF($D323&lt;&gt;"Feature",".",
IF(VLOOKUP($B323,Feature_List!$A:$AM,MATCH(CY$1,  Feature_List!$A$1:$AM$1,0),0)=AQ323,".","NO"))</f>
        <v>.</v>
      </c>
      <c r="CZ323" s="136" t="str">
        <f>IF($D323&lt;&gt;"Feature",".",
IF(VLOOKUP($B323,Feature_List!$A:$AM,MATCH(CZ$1,  Feature_List!$A$1:$AM$1,0),0)=AR323,".","NO"))</f>
        <v>.</v>
      </c>
      <c r="DA323" s="136" t="str">
        <f>IF($D323&lt;&gt;"Feature",".",
IF(VLOOKUP($B323,Feature_List!$A:$AM,MATCH(DA$1,  Feature_List!$A$1:$AM$1,0),0)=AS323,".","NO"))</f>
        <v>.</v>
      </c>
      <c r="DB323" s="136" t="str">
        <f>IF($D323&lt;&gt;"Feature",".",
IF(VLOOKUP($B323,Feature_List!$A:$AM,MATCH(DB$1,  Feature_List!$A$1:$AM$1,0),0)=AT323,".","NO"))</f>
        <v>.</v>
      </c>
      <c r="DC323" s="136" t="str">
        <f>IF($D323&lt;&gt;"Feature",".",
IF(VLOOKUP($B323,Feature_List!$A:$AM,MATCH(DC$1,  Feature_List!$A$1:$AM$1,0),0)=AU323,".","NO"))</f>
        <v>.</v>
      </c>
      <c r="DD323" s="136" t="str">
        <f>IF($D323&lt;&gt;"Feature",".",
IF(VLOOKUP($B323,Feature_List!$A:$AM,MATCH(DD$1,  Feature_List!$A$1:$AM$1,0),0)=AV323,".","NO"))</f>
        <v>.</v>
      </c>
      <c r="DE323" s="136" t="str">
        <f>IF($D323&lt;&gt;"Feature",".",
IF(VLOOKUP($B323,Feature_List!$A:$AM,MATCH(DE$1,  Feature_List!$A$1:$AM$1,0),0)=AW323,".","NO"))</f>
        <v>.</v>
      </c>
      <c r="DF323" s="136" t="str">
        <f>IF($D323&lt;&gt;"Feature",".",
IF(VLOOKUP($B323,Feature_List!$A:$AM,MATCH(DF$1,  Feature_List!$A$1:$AM$1,0),0)=AX323,".","NO"))</f>
        <v>.</v>
      </c>
      <c r="DG323" s="136" t="str">
        <f>IF($D323&lt;&gt;"Feature",".",
IF(VLOOKUP($B323,Feature_List!$A:$AM,MATCH(DG$1,  Feature_List!$A$1:$AM$1,0),0)=AY323,".","NO"))</f>
        <v>.</v>
      </c>
      <c r="DH323" s="136" t="str">
        <f>IF($D323&lt;&gt;"Feature",".",
IF(VLOOKUP($B323,Feature_List!$A:$AM,MATCH(DH$1,  Feature_List!$A$1:$AM$1,0),0)=AZ323,".","NO"))</f>
        <v>.</v>
      </c>
      <c r="DI323" s="136" t="str">
        <f>IF($D323&lt;&gt;"Feature",".",
IF(VLOOKUP($B323,Feature_List!$A:$AM,MATCH(DI$1,  Feature_List!$A$1:$AM$1,0),0)=BA323,".","NO"))</f>
        <v>.</v>
      </c>
      <c r="DJ323" s="136" t="str">
        <f>IF($D323&lt;&gt;"Feature",".",
IF(VLOOKUP($B323,Feature_List!$A:$AM,MATCH(DJ$1,  Feature_List!$A$1:$AM$1,0),0)=BB323,".","NO"))</f>
        <v>.</v>
      </c>
      <c r="DK323" s="136"/>
      <c r="DL323" s="136"/>
      <c r="DM323" s="136"/>
      <c r="DN323" s="136" t="str">
        <f>IF($D323&lt;&gt;"Feature",".",
IF(VLOOKUP($B323,Feature_List!$A:$AM,MATCH(DN$1,  Feature_List!$A$1:$AM$1,0),0)=BC323,".","NO"))</f>
        <v>.</v>
      </c>
      <c r="DO323" s="136" t="str">
        <f>IF($D323&lt;&gt;"Feature",".",
IF(VLOOKUP($B323,Feature_List!$A:$AM,MATCH(DO$1,  Feature_List!$A$1:$AM$1,0),0)=BD323,".","NO"))</f>
        <v>.</v>
      </c>
    </row>
    <row r="324" spans="2:119" x14ac:dyDescent="0.3">
      <c r="B324" s="121"/>
      <c r="C324" s="122"/>
      <c r="D324" s="122"/>
      <c r="E324" s="122"/>
      <c r="F324" s="123"/>
      <c r="G324" s="123"/>
      <c r="H324" s="122"/>
      <c r="I324" s="124"/>
      <c r="J324" s="123"/>
      <c r="K324" s="123"/>
      <c r="L324" s="122"/>
      <c r="M324" s="122"/>
      <c r="N324" s="122"/>
      <c r="O324" s="123">
        <f t="shared" si="187"/>
        <v>0</v>
      </c>
      <c r="P324" s="123">
        <f t="shared" si="188"/>
        <v>0</v>
      </c>
      <c r="Q324" s="122" t="str">
        <f t="shared" si="210"/>
        <v>ZeroEntry</v>
      </c>
      <c r="R324" s="126" t="str">
        <f t="shared" si="189"/>
        <v>ZeroEntry</v>
      </c>
      <c r="S324" s="127" t="str">
        <f t="shared" si="190"/>
        <v>ZeroEntry</v>
      </c>
      <c r="T324" s="128" t="str">
        <f>IF($Q324="ZeroEntry", "",VLOOKUP($I324,'Ranking Lookup'!#REF!,2,FALSE))</f>
        <v/>
      </c>
      <c r="U324" s="129" t="str">
        <f t="shared" si="191"/>
        <v/>
      </c>
      <c r="V324" s="129" t="str">
        <f t="shared" si="192"/>
        <v/>
      </c>
      <c r="W324" s="129" t="str">
        <f t="shared" si="193"/>
        <v/>
      </c>
      <c r="X324" s="129" t="str">
        <f t="shared" si="194"/>
        <v/>
      </c>
      <c r="Y324" s="129" t="str">
        <f t="shared" si="195"/>
        <v/>
      </c>
      <c r="Z324" s="129" t="str">
        <f t="shared" si="196"/>
        <v/>
      </c>
      <c r="AA324" s="130"/>
      <c r="AB324" s="130" t="str">
        <f t="shared" si="197"/>
        <v>Unassigned</v>
      </c>
      <c r="AC324" s="131" t="str">
        <f t="shared" si="211"/>
        <v/>
      </c>
      <c r="AD324" s="131" t="str">
        <f t="shared" si="212"/>
        <v/>
      </c>
      <c r="AE324" s="132">
        <f t="shared" si="198"/>
        <v>0</v>
      </c>
      <c r="AF324" s="133" t="str">
        <f t="shared" si="213"/>
        <v/>
      </c>
      <c r="AG324" s="134">
        <f t="shared" si="199"/>
        <v>0</v>
      </c>
      <c r="AH324" s="54" t="str">
        <f t="shared" si="200"/>
        <v/>
      </c>
      <c r="AI324" s="54" t="str">
        <f t="shared" si="201"/>
        <v/>
      </c>
      <c r="AJ324" s="54" t="str">
        <f t="shared" si="201"/>
        <v/>
      </c>
      <c r="AK324" s="54" t="str">
        <f t="shared" si="201"/>
        <v/>
      </c>
      <c r="AL324" s="54" t="str">
        <f t="shared" si="201"/>
        <v/>
      </c>
      <c r="AM324" s="54" t="str">
        <f t="shared" si="201"/>
        <v/>
      </c>
      <c r="AN324" s="54" t="str">
        <f t="shared" si="201"/>
        <v/>
      </c>
      <c r="AO324" s="54" t="str">
        <f t="shared" si="201"/>
        <v/>
      </c>
      <c r="AP324" s="54" t="str">
        <f t="shared" si="201"/>
        <v/>
      </c>
      <c r="AQ324" s="54" t="str">
        <f t="shared" si="201"/>
        <v/>
      </c>
      <c r="AR324" s="54" t="str">
        <f t="shared" si="201"/>
        <v/>
      </c>
      <c r="AS324" s="54" t="str">
        <f t="shared" si="201"/>
        <v/>
      </c>
      <c r="AT324" s="54" t="str">
        <f t="shared" si="201"/>
        <v/>
      </c>
      <c r="AU324" s="54" t="str">
        <f t="shared" si="201"/>
        <v/>
      </c>
      <c r="AV324" s="54" t="str">
        <f t="shared" si="201"/>
        <v/>
      </c>
      <c r="AW324" s="54" t="str">
        <f t="shared" si="201"/>
        <v/>
      </c>
      <c r="AX324" s="54" t="str">
        <f t="shared" si="201"/>
        <v/>
      </c>
      <c r="AY324" s="54" t="str">
        <f t="shared" si="177"/>
        <v/>
      </c>
      <c r="AZ324" s="54" t="str">
        <f t="shared" si="202"/>
        <v/>
      </c>
      <c r="BA324" s="54" t="str">
        <f t="shared" si="203"/>
        <v/>
      </c>
      <c r="BB324" s="135" t="str">
        <f t="shared" si="204"/>
        <v/>
      </c>
      <c r="BC324" s="54" t="str">
        <f t="shared" si="205"/>
        <v/>
      </c>
      <c r="BD324" s="54" t="str">
        <f t="shared" si="205"/>
        <v/>
      </c>
      <c r="BE324" s="54" t="str">
        <f t="shared" si="205"/>
        <v/>
      </c>
      <c r="BF324" s="54" t="str">
        <f t="shared" si="206"/>
        <v/>
      </c>
      <c r="BG324" s="54" t="str">
        <f t="shared" si="207"/>
        <v/>
      </c>
      <c r="BH324" s="34" t="str">
        <f t="shared" si="208"/>
        <v>Bad</v>
      </c>
      <c r="BI324" s="34" t="str">
        <f t="shared" si="209"/>
        <v>No</v>
      </c>
      <c r="BJ324" s="136" t="str">
        <f>IF($D324&lt;&gt;"Feature",".",
IF(VLOOKUP($B324,Feature_List!$A:$AM,MATCH(BJ$1,  Feature_List!$A$1:$AM$1,0),0)=B324,".","NO"))</f>
        <v>.</v>
      </c>
      <c r="BK324" s="136"/>
      <c r="BL324" s="136"/>
      <c r="BM324" s="136" t="str">
        <f>IF($D324&lt;&gt;"Feature",".",
IF(VLOOKUP($B324,Feature_List!$A:$AM,MATCH(BM$1,  Feature_List!$A$1:$AM$1,0),0)=E324,".","NO"))</f>
        <v>.</v>
      </c>
      <c r="BN324" s="136" t="str">
        <f>IF($D324&lt;&gt;"Feature",".",
IF(VLOOKUP($B324,Feature_List!$A:$AM,MATCH(BN$1,  Feature_List!$A$1:$AM$1,0),0)=F324,".","NO"))</f>
        <v>.</v>
      </c>
      <c r="BO324" s="136" t="str">
        <f>IF($D324&lt;&gt;"Feature",".",
IF(VLOOKUP($B324,Feature_List!$A:$AM,MATCH(BO$1,  Feature_List!$A$1:$AM$1,0),0)=G324,".","NO"))</f>
        <v>.</v>
      </c>
      <c r="BP324" s="136" t="str">
        <f>IF($D324&lt;&gt;"Feature",".",
IF(VLOOKUP($B324,Feature_List!$A:$AM,MATCH(BP$1,  Feature_List!$A$1:$AM$1,0),0)=H324,".","NO"))</f>
        <v>.</v>
      </c>
      <c r="BQ324" s="136"/>
      <c r="BR324" s="136" t="str">
        <f>IF($D324&lt;&gt;"Feature",".",
IF(VLOOKUP($B324,Feature_List!$A:$AM,MATCH(BR$1,  Feature_List!$A$1:$AM$1,0),0)=J324,".","NO"))</f>
        <v>.</v>
      </c>
      <c r="BS324" s="136"/>
      <c r="BT324" s="136"/>
      <c r="BU324" s="136" t="str">
        <f>IF($D324&lt;&gt;"Feature",".",
IF(VLOOKUP($B324,Feature_List!$A:$AM,MATCH(BU$1,  Feature_List!$A$1:$AM$1,0),0)=M324,".","NO"))</f>
        <v>.</v>
      </c>
      <c r="BV324" s="136" t="str">
        <f>IF($D324&lt;&gt;"Feature",".",
IF(VLOOKUP($B324,Feature_List!$A:$AM,MATCH(BV$1,  Feature_List!$A$1:$AM$1,0),0)=N324,".","NO"))</f>
        <v>.</v>
      </c>
      <c r="BW324" s="136"/>
      <c r="BX324" s="136"/>
      <c r="BY324" s="136"/>
      <c r="BZ324" s="136"/>
      <c r="CA324" s="136"/>
      <c r="CB324" s="136" t="str">
        <f>IF($D324&lt;&gt;"Feature",".",
IF(VLOOKUP($B324,Feature_List!$A:$AM,MATCH(CB$1,  Feature_List!$A$1:$AM$1,0),0)=T324,".","NO"))</f>
        <v>.</v>
      </c>
      <c r="CC324" s="136"/>
      <c r="CD324" s="136"/>
      <c r="CE324" s="136"/>
      <c r="CF324" s="136"/>
      <c r="CG324" s="136"/>
      <c r="CH324" s="136"/>
      <c r="CI324" s="136"/>
      <c r="CJ324" s="136"/>
      <c r="CK324" s="136"/>
      <c r="CL324" s="136"/>
      <c r="CM324" s="136"/>
      <c r="CN324" s="136"/>
      <c r="CO324" s="136" t="str">
        <f>IF($D324&lt;&gt;"Feature",".",
IF(VLOOKUP($B324,Feature_List!$A:$AM,MATCH(CO$1,  Feature_List!$A$1:$AM$1,0),0)=AG324,".","NO"))</f>
        <v>.</v>
      </c>
      <c r="CP324" s="136" t="str">
        <f>IF($D324&lt;&gt;"Feature",".",
IF(VLOOKUP($B324,Feature_List!$A:$AM,MATCH(CP$1,  Feature_List!$A$1:$AM$1,0),0)=AH324,".","NO"))</f>
        <v>.</v>
      </c>
      <c r="CQ324" s="136" t="str">
        <f>IF($D324&lt;&gt;"Feature",".",
IF(VLOOKUP($B324,Feature_List!$A:$AM,MATCH(CQ$1,  Feature_List!$A$1:$AM$1,0),0)=AI324,".","NO"))</f>
        <v>.</v>
      </c>
      <c r="CR324" s="136" t="str">
        <f>IF($D324&lt;&gt;"Feature",".",
IF(VLOOKUP($B324,Feature_List!$A:$AM,MATCH(CR$1,  Feature_List!$A$1:$AM$1,0),0)=AJ324,".","NO"))</f>
        <v>.</v>
      </c>
      <c r="CS324" s="136" t="str">
        <f>IF($D324&lt;&gt;"Feature",".",
IF(VLOOKUP($B324,Feature_List!$A:$AM,MATCH(CS$1,  Feature_List!$A$1:$AM$1,0),0)=AK324,".","NO"))</f>
        <v>.</v>
      </c>
      <c r="CT324" s="136" t="str">
        <f>IF($D324&lt;&gt;"Feature",".",
IF(VLOOKUP($B324,Feature_List!$A:$AM,MATCH(CT$1,  Feature_List!$A$1:$AM$1,0),0)=AL324,".","NO"))</f>
        <v>.</v>
      </c>
      <c r="CU324" s="136" t="str">
        <f>IF($D324&lt;&gt;"Feature",".",
IF(VLOOKUP($B324,Feature_List!$A:$AM,MATCH(CU$1,  Feature_List!$A$1:$AM$1,0),0)=AM324,".","NO"))</f>
        <v>.</v>
      </c>
      <c r="CV324" s="136" t="str">
        <f>IF($D324&lt;&gt;"Feature",".",
IF(VLOOKUP($B324,Feature_List!$A:$AM,MATCH(CV$1,  Feature_List!$A$1:$AM$1,0),0)=AN324,".","NO"))</f>
        <v>.</v>
      </c>
      <c r="CW324" s="136" t="str">
        <f>IF($D324&lt;&gt;"Feature",".",
IF(VLOOKUP($B324,Feature_List!$A:$AM,MATCH(CW$1,  Feature_List!$A$1:$AM$1,0),0)=AO324,".","NO"))</f>
        <v>.</v>
      </c>
      <c r="CX324" s="136" t="str">
        <f>IF($D324&lt;&gt;"Feature",".",
IF(VLOOKUP($B324,Feature_List!$A:$AM,MATCH(CX$1,  Feature_List!$A$1:$AM$1,0),0)=AP324,".","NO"))</f>
        <v>.</v>
      </c>
      <c r="CY324" s="136" t="str">
        <f>IF($D324&lt;&gt;"Feature",".",
IF(VLOOKUP($B324,Feature_List!$A:$AM,MATCH(CY$1,  Feature_List!$A$1:$AM$1,0),0)=AQ324,".","NO"))</f>
        <v>.</v>
      </c>
      <c r="CZ324" s="136" t="str">
        <f>IF($D324&lt;&gt;"Feature",".",
IF(VLOOKUP($B324,Feature_List!$A:$AM,MATCH(CZ$1,  Feature_List!$A$1:$AM$1,0),0)=AR324,".","NO"))</f>
        <v>.</v>
      </c>
      <c r="DA324" s="136" t="str">
        <f>IF($D324&lt;&gt;"Feature",".",
IF(VLOOKUP($B324,Feature_List!$A:$AM,MATCH(DA$1,  Feature_List!$A$1:$AM$1,0),0)=AS324,".","NO"))</f>
        <v>.</v>
      </c>
      <c r="DB324" s="136" t="str">
        <f>IF($D324&lt;&gt;"Feature",".",
IF(VLOOKUP($B324,Feature_List!$A:$AM,MATCH(DB$1,  Feature_List!$A$1:$AM$1,0),0)=AT324,".","NO"))</f>
        <v>.</v>
      </c>
      <c r="DC324" s="136" t="str">
        <f>IF($D324&lt;&gt;"Feature",".",
IF(VLOOKUP($B324,Feature_List!$A:$AM,MATCH(DC$1,  Feature_List!$A$1:$AM$1,0),0)=AU324,".","NO"))</f>
        <v>.</v>
      </c>
      <c r="DD324" s="136" t="str">
        <f>IF($D324&lt;&gt;"Feature",".",
IF(VLOOKUP($B324,Feature_List!$A:$AM,MATCH(DD$1,  Feature_List!$A$1:$AM$1,0),0)=AV324,".","NO"))</f>
        <v>.</v>
      </c>
      <c r="DE324" s="136" t="str">
        <f>IF($D324&lt;&gt;"Feature",".",
IF(VLOOKUP($B324,Feature_List!$A:$AM,MATCH(DE$1,  Feature_List!$A$1:$AM$1,0),0)=AW324,".","NO"))</f>
        <v>.</v>
      </c>
      <c r="DF324" s="136" t="str">
        <f>IF($D324&lt;&gt;"Feature",".",
IF(VLOOKUP($B324,Feature_List!$A:$AM,MATCH(DF$1,  Feature_List!$A$1:$AM$1,0),0)=AX324,".","NO"))</f>
        <v>.</v>
      </c>
      <c r="DG324" s="136" t="str">
        <f>IF($D324&lt;&gt;"Feature",".",
IF(VLOOKUP($B324,Feature_List!$A:$AM,MATCH(DG$1,  Feature_List!$A$1:$AM$1,0),0)=AY324,".","NO"))</f>
        <v>.</v>
      </c>
      <c r="DH324" s="136" t="str">
        <f>IF($D324&lt;&gt;"Feature",".",
IF(VLOOKUP($B324,Feature_List!$A:$AM,MATCH(DH$1,  Feature_List!$A$1:$AM$1,0),0)=AZ324,".","NO"))</f>
        <v>.</v>
      </c>
      <c r="DI324" s="136" t="str">
        <f>IF($D324&lt;&gt;"Feature",".",
IF(VLOOKUP($B324,Feature_List!$A:$AM,MATCH(DI$1,  Feature_List!$A$1:$AM$1,0),0)=BA324,".","NO"))</f>
        <v>.</v>
      </c>
      <c r="DJ324" s="136" t="str">
        <f>IF($D324&lt;&gt;"Feature",".",
IF(VLOOKUP($B324,Feature_List!$A:$AM,MATCH(DJ$1,  Feature_List!$A$1:$AM$1,0),0)=BB324,".","NO"))</f>
        <v>.</v>
      </c>
      <c r="DK324" s="136"/>
      <c r="DL324" s="136"/>
      <c r="DM324" s="136"/>
      <c r="DN324" s="136" t="str">
        <f>IF($D324&lt;&gt;"Feature",".",
IF(VLOOKUP($B324,Feature_List!$A:$AM,MATCH(DN$1,  Feature_List!$A$1:$AM$1,0),0)=BC324,".","NO"))</f>
        <v>.</v>
      </c>
      <c r="DO324" s="136" t="str">
        <f>IF($D324&lt;&gt;"Feature",".",
IF(VLOOKUP($B324,Feature_List!$A:$AM,MATCH(DO$1,  Feature_List!$A$1:$AM$1,0),0)=BD324,".","NO"))</f>
        <v>.</v>
      </c>
    </row>
    <row r="325" spans="2:119" x14ac:dyDescent="0.3">
      <c r="B325" s="121"/>
      <c r="C325" s="123"/>
      <c r="D325" s="122"/>
      <c r="E325" s="122"/>
      <c r="F325" s="123"/>
      <c r="G325" s="123"/>
      <c r="H325" s="122"/>
      <c r="I325" s="124"/>
      <c r="J325" s="123"/>
      <c r="K325" s="123"/>
      <c r="L325" s="122"/>
      <c r="M325" s="122"/>
      <c r="N325" s="122"/>
      <c r="O325" s="123">
        <f t="shared" si="187"/>
        <v>0</v>
      </c>
      <c r="P325" s="123">
        <f t="shared" si="188"/>
        <v>0</v>
      </c>
      <c r="Q325" s="122" t="str">
        <f t="shared" si="210"/>
        <v>ZeroEntry</v>
      </c>
      <c r="R325" s="126" t="str">
        <f t="shared" si="189"/>
        <v>ZeroEntry</v>
      </c>
      <c r="S325" s="127" t="str">
        <f t="shared" si="190"/>
        <v>ZeroEntry</v>
      </c>
      <c r="T325" s="128" t="str">
        <f>IF($Q325="ZeroEntry", "",VLOOKUP($I325,'Ranking Lookup'!#REF!,2,FALSE))</f>
        <v/>
      </c>
      <c r="U325" s="129" t="str">
        <f t="shared" si="191"/>
        <v/>
      </c>
      <c r="V325" s="129" t="str">
        <f t="shared" si="192"/>
        <v/>
      </c>
      <c r="W325" s="129" t="str">
        <f t="shared" si="193"/>
        <v/>
      </c>
      <c r="X325" s="129" t="str">
        <f t="shared" si="194"/>
        <v/>
      </c>
      <c r="Y325" s="129" t="str">
        <f t="shared" si="195"/>
        <v/>
      </c>
      <c r="Z325" s="129" t="str">
        <f t="shared" si="196"/>
        <v/>
      </c>
      <c r="AA325" s="130"/>
      <c r="AB325" s="130" t="str">
        <f t="shared" si="197"/>
        <v>Unassigned</v>
      </c>
      <c r="AC325" s="131" t="str">
        <f t="shared" si="211"/>
        <v/>
      </c>
      <c r="AD325" s="131" t="str">
        <f t="shared" si="212"/>
        <v/>
      </c>
      <c r="AE325" s="132">
        <f t="shared" si="198"/>
        <v>0</v>
      </c>
      <c r="AF325" s="133" t="str">
        <f t="shared" si="213"/>
        <v/>
      </c>
      <c r="AG325" s="134">
        <f t="shared" si="199"/>
        <v>0</v>
      </c>
      <c r="AH325" s="54" t="str">
        <f t="shared" si="200"/>
        <v/>
      </c>
      <c r="AI325" s="54" t="str">
        <f t="shared" si="201"/>
        <v/>
      </c>
      <c r="AJ325" s="54" t="str">
        <f t="shared" si="201"/>
        <v/>
      </c>
      <c r="AK325" s="54" t="str">
        <f t="shared" si="201"/>
        <v/>
      </c>
      <c r="AL325" s="54" t="str">
        <f t="shared" si="201"/>
        <v/>
      </c>
      <c r="AM325" s="54" t="str">
        <f t="shared" si="201"/>
        <v/>
      </c>
      <c r="AN325" s="54" t="str">
        <f t="shared" si="201"/>
        <v/>
      </c>
      <c r="AO325" s="54" t="str">
        <f t="shared" si="201"/>
        <v/>
      </c>
      <c r="AP325" s="54" t="str">
        <f t="shared" si="201"/>
        <v/>
      </c>
      <c r="AQ325" s="54" t="str">
        <f t="shared" si="201"/>
        <v/>
      </c>
      <c r="AR325" s="54" t="str">
        <f t="shared" si="201"/>
        <v/>
      </c>
      <c r="AS325" s="54" t="str">
        <f t="shared" si="201"/>
        <v/>
      </c>
      <c r="AT325" s="54" t="str">
        <f t="shared" si="201"/>
        <v/>
      </c>
      <c r="AU325" s="54" t="str">
        <f t="shared" si="201"/>
        <v/>
      </c>
      <c r="AV325" s="54" t="str">
        <f t="shared" si="201"/>
        <v/>
      </c>
      <c r="AW325" s="54" t="str">
        <f t="shared" si="201"/>
        <v/>
      </c>
      <c r="AX325" s="54" t="str">
        <f t="shared" si="201"/>
        <v/>
      </c>
      <c r="AY325" s="54" t="str">
        <f t="shared" si="177"/>
        <v/>
      </c>
      <c r="AZ325" s="54" t="str">
        <f t="shared" si="202"/>
        <v/>
      </c>
      <c r="BA325" s="54" t="str">
        <f t="shared" si="203"/>
        <v/>
      </c>
      <c r="BB325" s="135" t="str">
        <f t="shared" si="204"/>
        <v/>
      </c>
      <c r="BC325" s="54" t="str">
        <f t="shared" si="205"/>
        <v/>
      </c>
      <c r="BD325" s="54" t="str">
        <f t="shared" si="205"/>
        <v/>
      </c>
      <c r="BE325" s="54" t="str">
        <f t="shared" si="205"/>
        <v/>
      </c>
      <c r="BF325" s="54" t="str">
        <f t="shared" si="206"/>
        <v/>
      </c>
      <c r="BG325" s="54" t="str">
        <f t="shared" si="207"/>
        <v/>
      </c>
      <c r="BH325" s="34" t="str">
        <f t="shared" si="208"/>
        <v>Bad</v>
      </c>
      <c r="BI325" s="34" t="str">
        <f t="shared" si="209"/>
        <v>No</v>
      </c>
      <c r="BJ325" s="136" t="str">
        <f>IF($D325&lt;&gt;"Feature",".",
IF(VLOOKUP($B325,Feature_List!$A:$AM,MATCH(BJ$1,  Feature_List!$A$1:$AM$1,0),0)=B325,".","NO"))</f>
        <v>.</v>
      </c>
      <c r="BK325" s="136"/>
      <c r="BL325" s="136"/>
      <c r="BM325" s="136" t="str">
        <f>IF($D325&lt;&gt;"Feature",".",
IF(VLOOKUP($B325,Feature_List!$A:$AM,MATCH(BM$1,  Feature_List!$A$1:$AM$1,0),0)=E325,".","NO"))</f>
        <v>.</v>
      </c>
      <c r="BN325" s="136" t="str">
        <f>IF($D325&lt;&gt;"Feature",".",
IF(VLOOKUP($B325,Feature_List!$A:$AM,MATCH(BN$1,  Feature_List!$A$1:$AM$1,0),0)=F325,".","NO"))</f>
        <v>.</v>
      </c>
      <c r="BO325" s="136" t="str">
        <f>IF($D325&lt;&gt;"Feature",".",
IF(VLOOKUP($B325,Feature_List!$A:$AM,MATCH(BO$1,  Feature_List!$A$1:$AM$1,0),0)=G325,".","NO"))</f>
        <v>.</v>
      </c>
      <c r="BP325" s="136" t="str">
        <f>IF($D325&lt;&gt;"Feature",".",
IF(VLOOKUP($B325,Feature_List!$A:$AM,MATCH(BP$1,  Feature_List!$A$1:$AM$1,0),0)=H325,".","NO"))</f>
        <v>.</v>
      </c>
      <c r="BQ325" s="136"/>
      <c r="BR325" s="136" t="str">
        <f>IF($D325&lt;&gt;"Feature",".",
IF(VLOOKUP($B325,Feature_List!$A:$AM,MATCH(BR$1,  Feature_List!$A$1:$AM$1,0),0)=J325,".","NO"))</f>
        <v>.</v>
      </c>
      <c r="BS325" s="136"/>
      <c r="BT325" s="136"/>
      <c r="BU325" s="136" t="str">
        <f>IF($D325&lt;&gt;"Feature",".",
IF(VLOOKUP($B325,Feature_List!$A:$AM,MATCH(BU$1,  Feature_List!$A$1:$AM$1,0),0)=M325,".","NO"))</f>
        <v>.</v>
      </c>
      <c r="BV325" s="136" t="str">
        <f>IF($D325&lt;&gt;"Feature",".",
IF(VLOOKUP($B325,Feature_List!$A:$AM,MATCH(BV$1,  Feature_List!$A$1:$AM$1,0),0)=N325,".","NO"))</f>
        <v>.</v>
      </c>
      <c r="BW325" s="136"/>
      <c r="BX325" s="136"/>
      <c r="BY325" s="136"/>
      <c r="BZ325" s="136"/>
      <c r="CA325" s="136"/>
      <c r="CB325" s="136" t="str">
        <f>IF($D325&lt;&gt;"Feature",".",
IF(VLOOKUP($B325,Feature_List!$A:$AM,MATCH(CB$1,  Feature_List!$A$1:$AM$1,0),0)=T325,".","NO"))</f>
        <v>.</v>
      </c>
      <c r="CC325" s="136"/>
      <c r="CD325" s="136"/>
      <c r="CE325" s="136"/>
      <c r="CF325" s="136"/>
      <c r="CG325" s="136"/>
      <c r="CH325" s="136"/>
      <c r="CI325" s="136"/>
      <c r="CJ325" s="136"/>
      <c r="CK325" s="136"/>
      <c r="CL325" s="136"/>
      <c r="CM325" s="136"/>
      <c r="CN325" s="136"/>
      <c r="CO325" s="136" t="str">
        <f>IF($D325&lt;&gt;"Feature",".",
IF(VLOOKUP($B325,Feature_List!$A:$AM,MATCH(CO$1,  Feature_List!$A$1:$AM$1,0),0)=AG325,".","NO"))</f>
        <v>.</v>
      </c>
      <c r="CP325" s="136" t="str">
        <f>IF($D325&lt;&gt;"Feature",".",
IF(VLOOKUP($B325,Feature_List!$A:$AM,MATCH(CP$1,  Feature_List!$A$1:$AM$1,0),0)=AH325,".","NO"))</f>
        <v>.</v>
      </c>
      <c r="CQ325" s="136" t="str">
        <f>IF($D325&lt;&gt;"Feature",".",
IF(VLOOKUP($B325,Feature_List!$A:$AM,MATCH(CQ$1,  Feature_List!$A$1:$AM$1,0),0)=AI325,".","NO"))</f>
        <v>.</v>
      </c>
      <c r="CR325" s="136" t="str">
        <f>IF($D325&lt;&gt;"Feature",".",
IF(VLOOKUP($B325,Feature_List!$A:$AM,MATCH(CR$1,  Feature_List!$A$1:$AM$1,0),0)=AJ325,".","NO"))</f>
        <v>.</v>
      </c>
      <c r="CS325" s="136" t="str">
        <f>IF($D325&lt;&gt;"Feature",".",
IF(VLOOKUP($B325,Feature_List!$A:$AM,MATCH(CS$1,  Feature_List!$A$1:$AM$1,0),0)=AK325,".","NO"))</f>
        <v>.</v>
      </c>
      <c r="CT325" s="136" t="str">
        <f>IF($D325&lt;&gt;"Feature",".",
IF(VLOOKUP($B325,Feature_List!$A:$AM,MATCH(CT$1,  Feature_List!$A$1:$AM$1,0),0)=AL325,".","NO"))</f>
        <v>.</v>
      </c>
      <c r="CU325" s="136" t="str">
        <f>IF($D325&lt;&gt;"Feature",".",
IF(VLOOKUP($B325,Feature_List!$A:$AM,MATCH(CU$1,  Feature_List!$A$1:$AM$1,0),0)=AM325,".","NO"))</f>
        <v>.</v>
      </c>
      <c r="CV325" s="136" t="str">
        <f>IF($D325&lt;&gt;"Feature",".",
IF(VLOOKUP($B325,Feature_List!$A:$AM,MATCH(CV$1,  Feature_List!$A$1:$AM$1,0),0)=AN325,".","NO"))</f>
        <v>.</v>
      </c>
      <c r="CW325" s="136" t="str">
        <f>IF($D325&lt;&gt;"Feature",".",
IF(VLOOKUP($B325,Feature_List!$A:$AM,MATCH(CW$1,  Feature_List!$A$1:$AM$1,0),0)=AO325,".","NO"))</f>
        <v>.</v>
      </c>
      <c r="CX325" s="136" t="str">
        <f>IF($D325&lt;&gt;"Feature",".",
IF(VLOOKUP($B325,Feature_List!$A:$AM,MATCH(CX$1,  Feature_List!$A$1:$AM$1,0),0)=AP325,".","NO"))</f>
        <v>.</v>
      </c>
      <c r="CY325" s="136" t="str">
        <f>IF($D325&lt;&gt;"Feature",".",
IF(VLOOKUP($B325,Feature_List!$A:$AM,MATCH(CY$1,  Feature_List!$A$1:$AM$1,0),0)=AQ325,".","NO"))</f>
        <v>.</v>
      </c>
      <c r="CZ325" s="136" t="str">
        <f>IF($D325&lt;&gt;"Feature",".",
IF(VLOOKUP($B325,Feature_List!$A:$AM,MATCH(CZ$1,  Feature_List!$A$1:$AM$1,0),0)=AR325,".","NO"))</f>
        <v>.</v>
      </c>
      <c r="DA325" s="136" t="str">
        <f>IF($D325&lt;&gt;"Feature",".",
IF(VLOOKUP($B325,Feature_List!$A:$AM,MATCH(DA$1,  Feature_List!$A$1:$AM$1,0),0)=AS325,".","NO"))</f>
        <v>.</v>
      </c>
      <c r="DB325" s="136" t="str">
        <f>IF($D325&lt;&gt;"Feature",".",
IF(VLOOKUP($B325,Feature_List!$A:$AM,MATCH(DB$1,  Feature_List!$A$1:$AM$1,0),0)=AT325,".","NO"))</f>
        <v>.</v>
      </c>
      <c r="DC325" s="136" t="str">
        <f>IF($D325&lt;&gt;"Feature",".",
IF(VLOOKUP($B325,Feature_List!$A:$AM,MATCH(DC$1,  Feature_List!$A$1:$AM$1,0),0)=AU325,".","NO"))</f>
        <v>.</v>
      </c>
      <c r="DD325" s="136" t="str">
        <f>IF($D325&lt;&gt;"Feature",".",
IF(VLOOKUP($B325,Feature_List!$A:$AM,MATCH(DD$1,  Feature_List!$A$1:$AM$1,0),0)=AV325,".","NO"))</f>
        <v>.</v>
      </c>
      <c r="DE325" s="136" t="str">
        <f>IF($D325&lt;&gt;"Feature",".",
IF(VLOOKUP($B325,Feature_List!$A:$AM,MATCH(DE$1,  Feature_List!$A$1:$AM$1,0),0)=AW325,".","NO"))</f>
        <v>.</v>
      </c>
      <c r="DF325" s="136" t="str">
        <f>IF($D325&lt;&gt;"Feature",".",
IF(VLOOKUP($B325,Feature_List!$A:$AM,MATCH(DF$1,  Feature_List!$A$1:$AM$1,0),0)=AX325,".","NO"))</f>
        <v>.</v>
      </c>
      <c r="DG325" s="136" t="str">
        <f>IF($D325&lt;&gt;"Feature",".",
IF(VLOOKUP($B325,Feature_List!$A:$AM,MATCH(DG$1,  Feature_List!$A$1:$AM$1,0),0)=AY325,".","NO"))</f>
        <v>.</v>
      </c>
      <c r="DH325" s="136" t="str">
        <f>IF($D325&lt;&gt;"Feature",".",
IF(VLOOKUP($B325,Feature_List!$A:$AM,MATCH(DH$1,  Feature_List!$A$1:$AM$1,0),0)=AZ325,".","NO"))</f>
        <v>.</v>
      </c>
      <c r="DI325" s="136" t="str">
        <f>IF($D325&lt;&gt;"Feature",".",
IF(VLOOKUP($B325,Feature_List!$A:$AM,MATCH(DI$1,  Feature_List!$A$1:$AM$1,0),0)=BA325,".","NO"))</f>
        <v>.</v>
      </c>
      <c r="DJ325" s="136" t="str">
        <f>IF($D325&lt;&gt;"Feature",".",
IF(VLOOKUP($B325,Feature_List!$A:$AM,MATCH(DJ$1,  Feature_List!$A$1:$AM$1,0),0)=BB325,".","NO"))</f>
        <v>.</v>
      </c>
      <c r="DK325" s="136"/>
      <c r="DL325" s="136"/>
      <c r="DM325" s="136"/>
      <c r="DN325" s="136" t="str">
        <f>IF($D325&lt;&gt;"Feature",".",
IF(VLOOKUP($B325,Feature_List!$A:$AM,MATCH(DN$1,  Feature_List!$A$1:$AM$1,0),0)=BC325,".","NO"))</f>
        <v>.</v>
      </c>
      <c r="DO325" s="136" t="str">
        <f>IF($D325&lt;&gt;"Feature",".",
IF(VLOOKUP($B325,Feature_List!$A:$AM,MATCH(DO$1,  Feature_List!$A$1:$AM$1,0),0)=BD325,".","NO"))</f>
        <v>.</v>
      </c>
    </row>
    <row r="326" spans="2:119" x14ac:dyDescent="0.3">
      <c r="B326" s="121"/>
      <c r="C326" s="122"/>
      <c r="D326" s="122"/>
      <c r="E326" s="122"/>
      <c r="F326" s="123"/>
      <c r="G326" s="123"/>
      <c r="H326" s="122"/>
      <c r="I326" s="124"/>
      <c r="J326" s="123"/>
      <c r="K326" s="123"/>
      <c r="L326" s="122"/>
      <c r="M326" s="122"/>
      <c r="N326" s="122"/>
      <c r="O326" s="123">
        <f t="shared" si="187"/>
        <v>0</v>
      </c>
      <c r="P326" s="123">
        <f t="shared" si="188"/>
        <v>0</v>
      </c>
      <c r="Q326" s="122" t="str">
        <f t="shared" si="210"/>
        <v>ZeroEntry</v>
      </c>
      <c r="R326" s="126" t="str">
        <f t="shared" si="189"/>
        <v>ZeroEntry</v>
      </c>
      <c r="S326" s="127" t="str">
        <f t="shared" si="190"/>
        <v>ZeroEntry</v>
      </c>
      <c r="T326" s="128" t="str">
        <f>IF($Q326="ZeroEntry", "",VLOOKUP($I326,'Ranking Lookup'!#REF!,2,FALSE))</f>
        <v/>
      </c>
      <c r="U326" s="129" t="str">
        <f t="shared" si="191"/>
        <v/>
      </c>
      <c r="V326" s="129" t="str">
        <f t="shared" si="192"/>
        <v/>
      </c>
      <c r="W326" s="129" t="str">
        <f t="shared" si="193"/>
        <v/>
      </c>
      <c r="X326" s="129" t="str">
        <f t="shared" si="194"/>
        <v/>
      </c>
      <c r="Y326" s="129" t="str">
        <f t="shared" si="195"/>
        <v/>
      </c>
      <c r="Z326" s="129" t="str">
        <f t="shared" si="196"/>
        <v/>
      </c>
      <c r="AA326" s="130"/>
      <c r="AB326" s="130" t="str">
        <f t="shared" si="197"/>
        <v>Unassigned</v>
      </c>
      <c r="AC326" s="131" t="str">
        <f t="shared" si="211"/>
        <v/>
      </c>
      <c r="AD326" s="131" t="str">
        <f t="shared" si="212"/>
        <v/>
      </c>
      <c r="AE326" s="132">
        <f t="shared" si="198"/>
        <v>0</v>
      </c>
      <c r="AF326" s="133" t="str">
        <f t="shared" si="213"/>
        <v/>
      </c>
      <c r="AG326" s="134">
        <f t="shared" si="199"/>
        <v>0</v>
      </c>
      <c r="AH326" s="54" t="str">
        <f t="shared" si="200"/>
        <v/>
      </c>
      <c r="AI326" s="54" t="str">
        <f t="shared" si="201"/>
        <v/>
      </c>
      <c r="AJ326" s="54" t="str">
        <f t="shared" si="201"/>
        <v/>
      </c>
      <c r="AK326" s="54" t="str">
        <f t="shared" si="201"/>
        <v/>
      </c>
      <c r="AL326" s="54" t="str">
        <f t="shared" si="201"/>
        <v/>
      </c>
      <c r="AM326" s="54" t="str">
        <f t="shared" si="201"/>
        <v/>
      </c>
      <c r="AN326" s="54" t="str">
        <f t="shared" si="201"/>
        <v/>
      </c>
      <c r="AO326" s="54" t="str">
        <f t="shared" si="201"/>
        <v/>
      </c>
      <c r="AP326" s="54" t="str">
        <f t="shared" si="201"/>
        <v/>
      </c>
      <c r="AQ326" s="54" t="str">
        <f t="shared" si="201"/>
        <v/>
      </c>
      <c r="AR326" s="54" t="str">
        <f t="shared" si="201"/>
        <v/>
      </c>
      <c r="AS326" s="54" t="str">
        <f t="shared" si="201"/>
        <v/>
      </c>
      <c r="AT326" s="54" t="str">
        <f t="shared" si="201"/>
        <v/>
      </c>
      <c r="AU326" s="54" t="str">
        <f t="shared" si="201"/>
        <v/>
      </c>
      <c r="AV326" s="54" t="str">
        <f t="shared" si="201"/>
        <v/>
      </c>
      <c r="AW326" s="54" t="str">
        <f t="shared" si="201"/>
        <v/>
      </c>
      <c r="AX326" s="54" t="str">
        <f t="shared" si="201"/>
        <v/>
      </c>
      <c r="AY326" s="54" t="str">
        <f t="shared" si="177"/>
        <v/>
      </c>
      <c r="AZ326" s="54" t="str">
        <f t="shared" si="202"/>
        <v/>
      </c>
      <c r="BA326" s="54" t="str">
        <f t="shared" si="203"/>
        <v/>
      </c>
      <c r="BB326" s="135" t="str">
        <f t="shared" si="204"/>
        <v/>
      </c>
      <c r="BC326" s="54" t="str">
        <f t="shared" si="205"/>
        <v/>
      </c>
      <c r="BD326" s="54" t="str">
        <f t="shared" si="205"/>
        <v/>
      </c>
      <c r="BE326" s="54" t="str">
        <f t="shared" si="205"/>
        <v/>
      </c>
      <c r="BF326" s="54" t="str">
        <f t="shared" si="206"/>
        <v/>
      </c>
      <c r="BG326" s="54" t="str">
        <f t="shared" si="207"/>
        <v/>
      </c>
      <c r="BH326" s="34" t="str">
        <f t="shared" si="208"/>
        <v>Bad</v>
      </c>
      <c r="BI326" s="34" t="str">
        <f t="shared" si="209"/>
        <v>No</v>
      </c>
      <c r="BJ326" s="136" t="str">
        <f>IF($D326&lt;&gt;"Feature",".",
IF(VLOOKUP($B326,Feature_List!$A:$AM,MATCH(BJ$1,  Feature_List!$A$1:$AM$1,0),0)=B326,".","NO"))</f>
        <v>.</v>
      </c>
      <c r="BK326" s="136"/>
      <c r="BL326" s="136"/>
      <c r="BM326" s="136" t="str">
        <f>IF($D326&lt;&gt;"Feature",".",
IF(VLOOKUP($B326,Feature_List!$A:$AM,MATCH(BM$1,  Feature_List!$A$1:$AM$1,0),0)=E326,".","NO"))</f>
        <v>.</v>
      </c>
      <c r="BN326" s="136" t="str">
        <f>IF($D326&lt;&gt;"Feature",".",
IF(VLOOKUP($B326,Feature_List!$A:$AM,MATCH(BN$1,  Feature_List!$A$1:$AM$1,0),0)=F326,".","NO"))</f>
        <v>.</v>
      </c>
      <c r="BO326" s="136" t="str">
        <f>IF($D326&lt;&gt;"Feature",".",
IF(VLOOKUP($B326,Feature_List!$A:$AM,MATCH(BO$1,  Feature_List!$A$1:$AM$1,0),0)=G326,".","NO"))</f>
        <v>.</v>
      </c>
      <c r="BP326" s="136" t="str">
        <f>IF($D326&lt;&gt;"Feature",".",
IF(VLOOKUP($B326,Feature_List!$A:$AM,MATCH(BP$1,  Feature_List!$A$1:$AM$1,0),0)=H326,".","NO"))</f>
        <v>.</v>
      </c>
      <c r="BQ326" s="136"/>
      <c r="BR326" s="136" t="str">
        <f>IF($D326&lt;&gt;"Feature",".",
IF(VLOOKUP($B326,Feature_List!$A:$AM,MATCH(BR$1,  Feature_List!$A$1:$AM$1,0),0)=J326,".","NO"))</f>
        <v>.</v>
      </c>
      <c r="BS326" s="136"/>
      <c r="BT326" s="136"/>
      <c r="BU326" s="136" t="str">
        <f>IF($D326&lt;&gt;"Feature",".",
IF(VLOOKUP($B326,Feature_List!$A:$AM,MATCH(BU$1,  Feature_List!$A$1:$AM$1,0),0)=M326,".","NO"))</f>
        <v>.</v>
      </c>
      <c r="BV326" s="136" t="str">
        <f>IF($D326&lt;&gt;"Feature",".",
IF(VLOOKUP($B326,Feature_List!$A:$AM,MATCH(BV$1,  Feature_List!$A$1:$AM$1,0),0)=N326,".","NO"))</f>
        <v>.</v>
      </c>
      <c r="BW326" s="136"/>
      <c r="BX326" s="136"/>
      <c r="BY326" s="136"/>
      <c r="BZ326" s="136"/>
      <c r="CA326" s="136"/>
      <c r="CB326" s="136" t="str">
        <f>IF($D326&lt;&gt;"Feature",".",
IF(VLOOKUP($B326,Feature_List!$A:$AM,MATCH(CB$1,  Feature_List!$A$1:$AM$1,0),0)=T326,".","NO"))</f>
        <v>.</v>
      </c>
      <c r="CC326" s="136"/>
      <c r="CD326" s="136"/>
      <c r="CE326" s="136"/>
      <c r="CF326" s="136"/>
      <c r="CG326" s="136"/>
      <c r="CH326" s="136"/>
      <c r="CI326" s="136"/>
      <c r="CJ326" s="136"/>
      <c r="CK326" s="136"/>
      <c r="CL326" s="136"/>
      <c r="CM326" s="136"/>
      <c r="CN326" s="136"/>
      <c r="CO326" s="136" t="str">
        <f>IF($D326&lt;&gt;"Feature",".",
IF(VLOOKUP($B326,Feature_List!$A:$AM,MATCH(CO$1,  Feature_List!$A$1:$AM$1,0),0)=AG326,".","NO"))</f>
        <v>.</v>
      </c>
      <c r="CP326" s="136" t="str">
        <f>IF($D326&lt;&gt;"Feature",".",
IF(VLOOKUP($B326,Feature_List!$A:$AM,MATCH(CP$1,  Feature_List!$A$1:$AM$1,0),0)=AH326,".","NO"))</f>
        <v>.</v>
      </c>
      <c r="CQ326" s="136" t="str">
        <f>IF($D326&lt;&gt;"Feature",".",
IF(VLOOKUP($B326,Feature_List!$A:$AM,MATCH(CQ$1,  Feature_List!$A$1:$AM$1,0),0)=AI326,".","NO"))</f>
        <v>.</v>
      </c>
      <c r="CR326" s="136" t="str">
        <f>IF($D326&lt;&gt;"Feature",".",
IF(VLOOKUP($B326,Feature_List!$A:$AM,MATCH(CR$1,  Feature_List!$A$1:$AM$1,0),0)=AJ326,".","NO"))</f>
        <v>.</v>
      </c>
      <c r="CS326" s="136" t="str">
        <f>IF($D326&lt;&gt;"Feature",".",
IF(VLOOKUP($B326,Feature_List!$A:$AM,MATCH(CS$1,  Feature_List!$A$1:$AM$1,0),0)=AK326,".","NO"))</f>
        <v>.</v>
      </c>
      <c r="CT326" s="136" t="str">
        <f>IF($D326&lt;&gt;"Feature",".",
IF(VLOOKUP($B326,Feature_List!$A:$AM,MATCH(CT$1,  Feature_List!$A$1:$AM$1,0),0)=AL326,".","NO"))</f>
        <v>.</v>
      </c>
      <c r="CU326" s="136" t="str">
        <f>IF($D326&lt;&gt;"Feature",".",
IF(VLOOKUP($B326,Feature_List!$A:$AM,MATCH(CU$1,  Feature_List!$A$1:$AM$1,0),0)=AM326,".","NO"))</f>
        <v>.</v>
      </c>
      <c r="CV326" s="136" t="str">
        <f>IF($D326&lt;&gt;"Feature",".",
IF(VLOOKUP($B326,Feature_List!$A:$AM,MATCH(CV$1,  Feature_List!$A$1:$AM$1,0),0)=AN326,".","NO"))</f>
        <v>.</v>
      </c>
      <c r="CW326" s="136" t="str">
        <f>IF($D326&lt;&gt;"Feature",".",
IF(VLOOKUP($B326,Feature_List!$A:$AM,MATCH(CW$1,  Feature_List!$A$1:$AM$1,0),0)=AO326,".","NO"))</f>
        <v>.</v>
      </c>
      <c r="CX326" s="136" t="str">
        <f>IF($D326&lt;&gt;"Feature",".",
IF(VLOOKUP($B326,Feature_List!$A:$AM,MATCH(CX$1,  Feature_List!$A$1:$AM$1,0),0)=AP326,".","NO"))</f>
        <v>.</v>
      </c>
      <c r="CY326" s="136" t="str">
        <f>IF($D326&lt;&gt;"Feature",".",
IF(VLOOKUP($B326,Feature_List!$A:$AM,MATCH(CY$1,  Feature_List!$A$1:$AM$1,0),0)=AQ326,".","NO"))</f>
        <v>.</v>
      </c>
      <c r="CZ326" s="136" t="str">
        <f>IF($D326&lt;&gt;"Feature",".",
IF(VLOOKUP($B326,Feature_List!$A:$AM,MATCH(CZ$1,  Feature_List!$A$1:$AM$1,0),0)=AR326,".","NO"))</f>
        <v>.</v>
      </c>
      <c r="DA326" s="136" t="str">
        <f>IF($D326&lt;&gt;"Feature",".",
IF(VLOOKUP($B326,Feature_List!$A:$AM,MATCH(DA$1,  Feature_List!$A$1:$AM$1,0),0)=AS326,".","NO"))</f>
        <v>.</v>
      </c>
      <c r="DB326" s="136" t="str">
        <f>IF($D326&lt;&gt;"Feature",".",
IF(VLOOKUP($B326,Feature_List!$A:$AM,MATCH(DB$1,  Feature_List!$A$1:$AM$1,0),0)=AT326,".","NO"))</f>
        <v>.</v>
      </c>
      <c r="DC326" s="136" t="str">
        <f>IF($D326&lt;&gt;"Feature",".",
IF(VLOOKUP($B326,Feature_List!$A:$AM,MATCH(DC$1,  Feature_List!$A$1:$AM$1,0),0)=AU326,".","NO"))</f>
        <v>.</v>
      </c>
      <c r="DD326" s="136" t="str">
        <f>IF($D326&lt;&gt;"Feature",".",
IF(VLOOKUP($B326,Feature_List!$A:$AM,MATCH(DD$1,  Feature_List!$A$1:$AM$1,0),0)=AV326,".","NO"))</f>
        <v>.</v>
      </c>
      <c r="DE326" s="136" t="str">
        <f>IF($D326&lt;&gt;"Feature",".",
IF(VLOOKUP($B326,Feature_List!$A:$AM,MATCH(DE$1,  Feature_List!$A$1:$AM$1,0),0)=AW326,".","NO"))</f>
        <v>.</v>
      </c>
      <c r="DF326" s="136" t="str">
        <f>IF($D326&lt;&gt;"Feature",".",
IF(VLOOKUP($B326,Feature_List!$A:$AM,MATCH(DF$1,  Feature_List!$A$1:$AM$1,0),0)=AX326,".","NO"))</f>
        <v>.</v>
      </c>
      <c r="DG326" s="136" t="str">
        <f>IF($D326&lt;&gt;"Feature",".",
IF(VLOOKUP($B326,Feature_List!$A:$AM,MATCH(DG$1,  Feature_List!$A$1:$AM$1,0),0)=AY326,".","NO"))</f>
        <v>.</v>
      </c>
      <c r="DH326" s="136" t="str">
        <f>IF($D326&lt;&gt;"Feature",".",
IF(VLOOKUP($B326,Feature_List!$A:$AM,MATCH(DH$1,  Feature_List!$A$1:$AM$1,0),0)=AZ326,".","NO"))</f>
        <v>.</v>
      </c>
      <c r="DI326" s="136" t="str">
        <f>IF($D326&lt;&gt;"Feature",".",
IF(VLOOKUP($B326,Feature_List!$A:$AM,MATCH(DI$1,  Feature_List!$A$1:$AM$1,0),0)=BA326,".","NO"))</f>
        <v>.</v>
      </c>
      <c r="DJ326" s="136" t="str">
        <f>IF($D326&lt;&gt;"Feature",".",
IF(VLOOKUP($B326,Feature_List!$A:$AM,MATCH(DJ$1,  Feature_List!$A$1:$AM$1,0),0)=BB326,".","NO"))</f>
        <v>.</v>
      </c>
      <c r="DK326" s="136"/>
      <c r="DL326" s="136"/>
      <c r="DM326" s="136"/>
      <c r="DN326" s="136" t="str">
        <f>IF($D326&lt;&gt;"Feature",".",
IF(VLOOKUP($B326,Feature_List!$A:$AM,MATCH(DN$1,  Feature_List!$A$1:$AM$1,0),0)=BC326,".","NO"))</f>
        <v>.</v>
      </c>
      <c r="DO326" s="136" t="str">
        <f>IF($D326&lt;&gt;"Feature",".",
IF(VLOOKUP($B326,Feature_List!$A:$AM,MATCH(DO$1,  Feature_List!$A$1:$AM$1,0),0)=BD326,".","NO"))</f>
        <v>.</v>
      </c>
    </row>
    <row r="327" spans="2:119" x14ac:dyDescent="0.3">
      <c r="B327" s="121"/>
      <c r="C327" s="122"/>
      <c r="D327" s="122"/>
      <c r="E327" s="122"/>
      <c r="F327" s="123"/>
      <c r="G327" s="123"/>
      <c r="H327" s="122"/>
      <c r="I327" s="124"/>
      <c r="J327" s="123"/>
      <c r="K327" s="123"/>
      <c r="L327" s="122"/>
      <c r="M327" s="122"/>
      <c r="N327" s="122"/>
      <c r="O327" s="123">
        <f t="shared" si="187"/>
        <v>0</v>
      </c>
      <c r="P327" s="123">
        <f t="shared" si="188"/>
        <v>0</v>
      </c>
      <c r="Q327" s="122" t="str">
        <f t="shared" si="210"/>
        <v>ZeroEntry</v>
      </c>
      <c r="R327" s="126" t="str">
        <f t="shared" si="189"/>
        <v>ZeroEntry</v>
      </c>
      <c r="S327" s="127" t="str">
        <f t="shared" si="190"/>
        <v>ZeroEntry</v>
      </c>
      <c r="T327" s="128" t="str">
        <f>IF($Q327="ZeroEntry", "",VLOOKUP($I327,'Ranking Lookup'!#REF!,2,FALSE))</f>
        <v/>
      </c>
      <c r="U327" s="129" t="str">
        <f t="shared" si="191"/>
        <v/>
      </c>
      <c r="V327" s="129" t="str">
        <f t="shared" si="192"/>
        <v/>
      </c>
      <c r="W327" s="129" t="str">
        <f t="shared" si="193"/>
        <v/>
      </c>
      <c r="X327" s="129" t="str">
        <f t="shared" si="194"/>
        <v/>
      </c>
      <c r="Y327" s="129" t="str">
        <f t="shared" si="195"/>
        <v/>
      </c>
      <c r="Z327" s="129" t="str">
        <f t="shared" si="196"/>
        <v/>
      </c>
      <c r="AA327" s="130"/>
      <c r="AB327" s="130" t="str">
        <f t="shared" si="197"/>
        <v>Unassigned</v>
      </c>
      <c r="AC327" s="131" t="str">
        <f t="shared" si="211"/>
        <v/>
      </c>
      <c r="AD327" s="131" t="str">
        <f t="shared" si="212"/>
        <v/>
      </c>
      <c r="AE327" s="132">
        <f t="shared" si="198"/>
        <v>0</v>
      </c>
      <c r="AF327" s="133" t="str">
        <f t="shared" si="213"/>
        <v/>
      </c>
      <c r="AG327" s="134">
        <f t="shared" si="199"/>
        <v>0</v>
      </c>
      <c r="AH327" s="54" t="str">
        <f t="shared" si="200"/>
        <v/>
      </c>
      <c r="AI327" s="54" t="str">
        <f t="shared" si="201"/>
        <v/>
      </c>
      <c r="AJ327" s="54" t="str">
        <f t="shared" si="201"/>
        <v/>
      </c>
      <c r="AK327" s="54" t="str">
        <f t="shared" si="201"/>
        <v/>
      </c>
      <c r="AL327" s="54" t="str">
        <f t="shared" si="201"/>
        <v/>
      </c>
      <c r="AM327" s="54" t="str">
        <f t="shared" si="201"/>
        <v/>
      </c>
      <c r="AN327" s="54" t="str">
        <f t="shared" si="201"/>
        <v/>
      </c>
      <c r="AO327" s="54" t="str">
        <f t="shared" si="201"/>
        <v/>
      </c>
      <c r="AP327" s="54" t="str">
        <f t="shared" si="201"/>
        <v/>
      </c>
      <c r="AQ327" s="54" t="str">
        <f t="shared" si="201"/>
        <v/>
      </c>
      <c r="AR327" s="54" t="str">
        <f t="shared" si="201"/>
        <v/>
      </c>
      <c r="AS327" s="54" t="str">
        <f t="shared" si="201"/>
        <v/>
      </c>
      <c r="AT327" s="54" t="str">
        <f t="shared" si="201"/>
        <v/>
      </c>
      <c r="AU327" s="54" t="str">
        <f t="shared" si="201"/>
        <v/>
      </c>
      <c r="AV327" s="54" t="str">
        <f t="shared" si="201"/>
        <v/>
      </c>
      <c r="AW327" s="54" t="str">
        <f t="shared" si="201"/>
        <v/>
      </c>
      <c r="AX327" s="54" t="str">
        <f t="shared" si="201"/>
        <v/>
      </c>
      <c r="AY327" s="54" t="str">
        <f t="shared" si="177"/>
        <v/>
      </c>
      <c r="AZ327" s="54" t="str">
        <f t="shared" si="202"/>
        <v/>
      </c>
      <c r="BA327" s="54" t="str">
        <f t="shared" si="203"/>
        <v/>
      </c>
      <c r="BB327" s="135" t="str">
        <f t="shared" si="204"/>
        <v/>
      </c>
      <c r="BC327" s="54" t="str">
        <f t="shared" si="205"/>
        <v/>
      </c>
      <c r="BD327" s="54" t="str">
        <f t="shared" si="205"/>
        <v/>
      </c>
      <c r="BE327" s="54" t="str">
        <f t="shared" si="205"/>
        <v/>
      </c>
      <c r="BF327" s="54" t="str">
        <f t="shared" si="206"/>
        <v/>
      </c>
      <c r="BG327" s="54" t="str">
        <f t="shared" si="207"/>
        <v/>
      </c>
      <c r="BH327" s="34" t="str">
        <f t="shared" si="208"/>
        <v>Bad</v>
      </c>
      <c r="BI327" s="34" t="str">
        <f t="shared" si="209"/>
        <v>No</v>
      </c>
      <c r="BJ327" s="136" t="str">
        <f>IF($D327&lt;&gt;"Feature",".",
IF(VLOOKUP($B327,Feature_List!$A:$AM,MATCH(BJ$1,  Feature_List!$A$1:$AM$1,0),0)=B327,".","NO"))</f>
        <v>.</v>
      </c>
      <c r="BK327" s="136"/>
      <c r="BL327" s="136"/>
      <c r="BM327" s="136" t="str">
        <f>IF($D327&lt;&gt;"Feature",".",
IF(VLOOKUP($B327,Feature_List!$A:$AM,MATCH(BM$1,  Feature_List!$A$1:$AM$1,0),0)=E327,".","NO"))</f>
        <v>.</v>
      </c>
      <c r="BN327" s="136" t="str">
        <f>IF($D327&lt;&gt;"Feature",".",
IF(VLOOKUP($B327,Feature_List!$A:$AM,MATCH(BN$1,  Feature_List!$A$1:$AM$1,0),0)=F327,".","NO"))</f>
        <v>.</v>
      </c>
      <c r="BO327" s="136" t="str">
        <f>IF($D327&lt;&gt;"Feature",".",
IF(VLOOKUP($B327,Feature_List!$A:$AM,MATCH(BO$1,  Feature_List!$A$1:$AM$1,0),0)=G327,".","NO"))</f>
        <v>.</v>
      </c>
      <c r="BP327" s="136" t="str">
        <f>IF($D327&lt;&gt;"Feature",".",
IF(VLOOKUP($B327,Feature_List!$A:$AM,MATCH(BP$1,  Feature_List!$A$1:$AM$1,0),0)=H327,".","NO"))</f>
        <v>.</v>
      </c>
      <c r="BQ327" s="136"/>
      <c r="BR327" s="136" t="str">
        <f>IF($D327&lt;&gt;"Feature",".",
IF(VLOOKUP($B327,Feature_List!$A:$AM,MATCH(BR$1,  Feature_List!$A$1:$AM$1,0),0)=J327,".","NO"))</f>
        <v>.</v>
      </c>
      <c r="BS327" s="136"/>
      <c r="BT327" s="136"/>
      <c r="BU327" s="136" t="str">
        <f>IF($D327&lt;&gt;"Feature",".",
IF(VLOOKUP($B327,Feature_List!$A:$AM,MATCH(BU$1,  Feature_List!$A$1:$AM$1,0),0)=M327,".","NO"))</f>
        <v>.</v>
      </c>
      <c r="BV327" s="136" t="str">
        <f>IF($D327&lt;&gt;"Feature",".",
IF(VLOOKUP($B327,Feature_List!$A:$AM,MATCH(BV$1,  Feature_List!$A$1:$AM$1,0),0)=N327,".","NO"))</f>
        <v>.</v>
      </c>
      <c r="BW327" s="136"/>
      <c r="BX327" s="136"/>
      <c r="BY327" s="136"/>
      <c r="BZ327" s="136"/>
      <c r="CA327" s="136"/>
      <c r="CB327" s="136" t="str">
        <f>IF($D327&lt;&gt;"Feature",".",
IF(VLOOKUP($B327,Feature_List!$A:$AM,MATCH(CB$1,  Feature_List!$A$1:$AM$1,0),0)=T327,".","NO"))</f>
        <v>.</v>
      </c>
      <c r="CC327" s="136"/>
      <c r="CD327" s="136"/>
      <c r="CE327" s="136"/>
      <c r="CF327" s="136"/>
      <c r="CG327" s="136"/>
      <c r="CH327" s="136"/>
      <c r="CI327" s="136"/>
      <c r="CJ327" s="136"/>
      <c r="CK327" s="136"/>
      <c r="CL327" s="136"/>
      <c r="CM327" s="136"/>
      <c r="CN327" s="136"/>
      <c r="CO327" s="136" t="str">
        <f>IF($D327&lt;&gt;"Feature",".",
IF(VLOOKUP($B327,Feature_List!$A:$AM,MATCH(CO$1,  Feature_List!$A$1:$AM$1,0),0)=AG327,".","NO"))</f>
        <v>.</v>
      </c>
      <c r="CP327" s="136" t="str">
        <f>IF($D327&lt;&gt;"Feature",".",
IF(VLOOKUP($B327,Feature_List!$A:$AM,MATCH(CP$1,  Feature_List!$A$1:$AM$1,0),0)=AH327,".","NO"))</f>
        <v>.</v>
      </c>
      <c r="CQ327" s="136" t="str">
        <f>IF($D327&lt;&gt;"Feature",".",
IF(VLOOKUP($B327,Feature_List!$A:$AM,MATCH(CQ$1,  Feature_List!$A$1:$AM$1,0),0)=AI327,".","NO"))</f>
        <v>.</v>
      </c>
      <c r="CR327" s="136" t="str">
        <f>IF($D327&lt;&gt;"Feature",".",
IF(VLOOKUP($B327,Feature_List!$A:$AM,MATCH(CR$1,  Feature_List!$A$1:$AM$1,0),0)=AJ327,".","NO"))</f>
        <v>.</v>
      </c>
      <c r="CS327" s="136" t="str">
        <f>IF($D327&lt;&gt;"Feature",".",
IF(VLOOKUP($B327,Feature_List!$A:$AM,MATCH(CS$1,  Feature_List!$A$1:$AM$1,0),0)=AK327,".","NO"))</f>
        <v>.</v>
      </c>
      <c r="CT327" s="136" t="str">
        <f>IF($D327&lt;&gt;"Feature",".",
IF(VLOOKUP($B327,Feature_List!$A:$AM,MATCH(CT$1,  Feature_List!$A$1:$AM$1,0),0)=AL327,".","NO"))</f>
        <v>.</v>
      </c>
      <c r="CU327" s="136" t="str">
        <f>IF($D327&lt;&gt;"Feature",".",
IF(VLOOKUP($B327,Feature_List!$A:$AM,MATCH(CU$1,  Feature_List!$A$1:$AM$1,0),0)=AM327,".","NO"))</f>
        <v>.</v>
      </c>
      <c r="CV327" s="136" t="str">
        <f>IF($D327&lt;&gt;"Feature",".",
IF(VLOOKUP($B327,Feature_List!$A:$AM,MATCH(CV$1,  Feature_List!$A$1:$AM$1,0),0)=AN327,".","NO"))</f>
        <v>.</v>
      </c>
      <c r="CW327" s="136" t="str">
        <f>IF($D327&lt;&gt;"Feature",".",
IF(VLOOKUP($B327,Feature_List!$A:$AM,MATCH(CW$1,  Feature_List!$A$1:$AM$1,0),0)=AO327,".","NO"))</f>
        <v>.</v>
      </c>
      <c r="CX327" s="136" t="str">
        <f>IF($D327&lt;&gt;"Feature",".",
IF(VLOOKUP($B327,Feature_List!$A:$AM,MATCH(CX$1,  Feature_List!$A$1:$AM$1,0),0)=AP327,".","NO"))</f>
        <v>.</v>
      </c>
      <c r="CY327" s="136" t="str">
        <f>IF($D327&lt;&gt;"Feature",".",
IF(VLOOKUP($B327,Feature_List!$A:$AM,MATCH(CY$1,  Feature_List!$A$1:$AM$1,0),0)=AQ327,".","NO"))</f>
        <v>.</v>
      </c>
      <c r="CZ327" s="136" t="str">
        <f>IF($D327&lt;&gt;"Feature",".",
IF(VLOOKUP($B327,Feature_List!$A:$AM,MATCH(CZ$1,  Feature_List!$A$1:$AM$1,0),0)=AR327,".","NO"))</f>
        <v>.</v>
      </c>
      <c r="DA327" s="136" t="str">
        <f>IF($D327&lt;&gt;"Feature",".",
IF(VLOOKUP($B327,Feature_List!$A:$AM,MATCH(DA$1,  Feature_List!$A$1:$AM$1,0),0)=AS327,".","NO"))</f>
        <v>.</v>
      </c>
      <c r="DB327" s="136" t="str">
        <f>IF($D327&lt;&gt;"Feature",".",
IF(VLOOKUP($B327,Feature_List!$A:$AM,MATCH(DB$1,  Feature_List!$A$1:$AM$1,0),0)=AT327,".","NO"))</f>
        <v>.</v>
      </c>
      <c r="DC327" s="136" t="str">
        <f>IF($D327&lt;&gt;"Feature",".",
IF(VLOOKUP($B327,Feature_List!$A:$AM,MATCH(DC$1,  Feature_List!$A$1:$AM$1,0),0)=AU327,".","NO"))</f>
        <v>.</v>
      </c>
      <c r="DD327" s="136" t="str">
        <f>IF($D327&lt;&gt;"Feature",".",
IF(VLOOKUP($B327,Feature_List!$A:$AM,MATCH(DD$1,  Feature_List!$A$1:$AM$1,0),0)=AV327,".","NO"))</f>
        <v>.</v>
      </c>
      <c r="DE327" s="136" t="str">
        <f>IF($D327&lt;&gt;"Feature",".",
IF(VLOOKUP($B327,Feature_List!$A:$AM,MATCH(DE$1,  Feature_List!$A$1:$AM$1,0),0)=AW327,".","NO"))</f>
        <v>.</v>
      </c>
      <c r="DF327" s="136" t="str">
        <f>IF($D327&lt;&gt;"Feature",".",
IF(VLOOKUP($B327,Feature_List!$A:$AM,MATCH(DF$1,  Feature_List!$A$1:$AM$1,0),0)=AX327,".","NO"))</f>
        <v>.</v>
      </c>
      <c r="DG327" s="136" t="str">
        <f>IF($D327&lt;&gt;"Feature",".",
IF(VLOOKUP($B327,Feature_List!$A:$AM,MATCH(DG$1,  Feature_List!$A$1:$AM$1,0),0)=AY327,".","NO"))</f>
        <v>.</v>
      </c>
      <c r="DH327" s="136" t="str">
        <f>IF($D327&lt;&gt;"Feature",".",
IF(VLOOKUP($B327,Feature_List!$A:$AM,MATCH(DH$1,  Feature_List!$A$1:$AM$1,0),0)=AZ327,".","NO"))</f>
        <v>.</v>
      </c>
      <c r="DI327" s="136" t="str">
        <f>IF($D327&lt;&gt;"Feature",".",
IF(VLOOKUP($B327,Feature_List!$A:$AM,MATCH(DI$1,  Feature_List!$A$1:$AM$1,0),0)=BA327,".","NO"))</f>
        <v>.</v>
      </c>
      <c r="DJ327" s="136" t="str">
        <f>IF($D327&lt;&gt;"Feature",".",
IF(VLOOKUP($B327,Feature_List!$A:$AM,MATCH(DJ$1,  Feature_List!$A$1:$AM$1,0),0)=BB327,".","NO"))</f>
        <v>.</v>
      </c>
      <c r="DK327" s="136"/>
      <c r="DL327" s="136"/>
      <c r="DM327" s="136"/>
      <c r="DN327" s="136" t="str">
        <f>IF($D327&lt;&gt;"Feature",".",
IF(VLOOKUP($B327,Feature_List!$A:$AM,MATCH(DN$1,  Feature_List!$A$1:$AM$1,0),0)=BC327,".","NO"))</f>
        <v>.</v>
      </c>
      <c r="DO327" s="136" t="str">
        <f>IF($D327&lt;&gt;"Feature",".",
IF(VLOOKUP($B327,Feature_List!$A:$AM,MATCH(DO$1,  Feature_List!$A$1:$AM$1,0),0)=BD327,".","NO"))</f>
        <v>.</v>
      </c>
    </row>
    <row r="328" spans="2:119" x14ac:dyDescent="0.3">
      <c r="B328" s="121"/>
      <c r="C328" s="122"/>
      <c r="D328" s="122"/>
      <c r="E328" s="122"/>
      <c r="F328" s="123"/>
      <c r="G328" s="123"/>
      <c r="H328" s="122"/>
      <c r="I328" s="124"/>
      <c r="J328" s="123"/>
      <c r="K328" s="123"/>
      <c r="L328" s="122"/>
      <c r="M328" s="122"/>
      <c r="N328" s="122"/>
      <c r="O328" s="123">
        <f t="shared" si="187"/>
        <v>0</v>
      </c>
      <c r="P328" s="123">
        <f t="shared" si="188"/>
        <v>0</v>
      </c>
      <c r="Q328" s="122" t="str">
        <f t="shared" si="210"/>
        <v>ZeroEntry</v>
      </c>
      <c r="R328" s="126" t="str">
        <f t="shared" si="189"/>
        <v>ZeroEntry</v>
      </c>
      <c r="S328" s="127" t="str">
        <f t="shared" si="190"/>
        <v>ZeroEntry</v>
      </c>
      <c r="T328" s="128" t="str">
        <f>IF($Q328="ZeroEntry", "",VLOOKUP($I328,'Ranking Lookup'!#REF!,2,FALSE))</f>
        <v/>
      </c>
      <c r="U328" s="129" t="str">
        <f t="shared" si="191"/>
        <v/>
      </c>
      <c r="V328" s="129" t="str">
        <f t="shared" si="192"/>
        <v/>
      </c>
      <c r="W328" s="129" t="str">
        <f t="shared" si="193"/>
        <v/>
      </c>
      <c r="X328" s="129" t="str">
        <f t="shared" si="194"/>
        <v/>
      </c>
      <c r="Y328" s="129" t="str">
        <f t="shared" si="195"/>
        <v/>
      </c>
      <c r="Z328" s="129" t="str">
        <f t="shared" si="196"/>
        <v/>
      </c>
      <c r="AA328" s="130"/>
      <c r="AB328" s="130" t="str">
        <f t="shared" si="197"/>
        <v>Unassigned</v>
      </c>
      <c r="AC328" s="131" t="str">
        <f t="shared" si="211"/>
        <v/>
      </c>
      <c r="AD328" s="131" t="str">
        <f t="shared" si="212"/>
        <v/>
      </c>
      <c r="AE328" s="132">
        <f t="shared" si="198"/>
        <v>0</v>
      </c>
      <c r="AF328" s="133" t="str">
        <f t="shared" si="213"/>
        <v/>
      </c>
      <c r="AG328" s="134">
        <f t="shared" si="199"/>
        <v>0</v>
      </c>
      <c r="AH328" s="54" t="str">
        <f t="shared" si="200"/>
        <v/>
      </c>
      <c r="AI328" s="54" t="str">
        <f t="shared" si="201"/>
        <v/>
      </c>
      <c r="AJ328" s="54" t="str">
        <f t="shared" si="201"/>
        <v/>
      </c>
      <c r="AK328" s="54" t="str">
        <f t="shared" si="201"/>
        <v/>
      </c>
      <c r="AL328" s="54" t="str">
        <f t="shared" si="201"/>
        <v/>
      </c>
      <c r="AM328" s="54" t="str">
        <f t="shared" si="201"/>
        <v/>
      </c>
      <c r="AN328" s="54" t="str">
        <f t="shared" si="201"/>
        <v/>
      </c>
      <c r="AO328" s="54" t="str">
        <f t="shared" si="201"/>
        <v/>
      </c>
      <c r="AP328" s="54" t="str">
        <f t="shared" si="201"/>
        <v/>
      </c>
      <c r="AQ328" s="54" t="str">
        <f t="shared" si="201"/>
        <v/>
      </c>
      <c r="AR328" s="54" t="str">
        <f t="shared" si="201"/>
        <v/>
      </c>
      <c r="AS328" s="54" t="str">
        <f t="shared" si="201"/>
        <v/>
      </c>
      <c r="AT328" s="54" t="str">
        <f t="shared" si="201"/>
        <v/>
      </c>
      <c r="AU328" s="54" t="str">
        <f t="shared" si="201"/>
        <v/>
      </c>
      <c r="AV328" s="54" t="str">
        <f t="shared" si="201"/>
        <v/>
      </c>
      <c r="AW328" s="54" t="str">
        <f t="shared" si="201"/>
        <v/>
      </c>
      <c r="AX328" s="54" t="str">
        <f t="shared" si="201"/>
        <v/>
      </c>
      <c r="AY328" s="54" t="str">
        <f t="shared" si="177"/>
        <v/>
      </c>
      <c r="AZ328" s="54" t="str">
        <f t="shared" si="202"/>
        <v/>
      </c>
      <c r="BA328" s="54" t="str">
        <f t="shared" si="203"/>
        <v/>
      </c>
      <c r="BB328" s="135" t="str">
        <f t="shared" si="204"/>
        <v/>
      </c>
      <c r="BC328" s="54" t="str">
        <f t="shared" si="205"/>
        <v/>
      </c>
      <c r="BD328" s="54" t="str">
        <f t="shared" si="205"/>
        <v/>
      </c>
      <c r="BE328" s="54" t="str">
        <f t="shared" si="205"/>
        <v/>
      </c>
      <c r="BF328" s="54" t="str">
        <f t="shared" si="206"/>
        <v/>
      </c>
      <c r="BG328" s="54" t="str">
        <f t="shared" si="207"/>
        <v/>
      </c>
      <c r="BH328" s="34" t="str">
        <f t="shared" si="208"/>
        <v>Bad</v>
      </c>
      <c r="BI328" s="34" t="str">
        <f t="shared" si="209"/>
        <v>No</v>
      </c>
      <c r="BJ328" s="136" t="str">
        <f>IF($D328&lt;&gt;"Feature",".",
IF(VLOOKUP($B328,Feature_List!$A:$AM,MATCH(BJ$1,  Feature_List!$A$1:$AM$1,0),0)=B328,".","NO"))</f>
        <v>.</v>
      </c>
      <c r="BK328" s="136"/>
      <c r="BL328" s="136"/>
      <c r="BM328" s="136" t="str">
        <f>IF($D328&lt;&gt;"Feature",".",
IF(VLOOKUP($B328,Feature_List!$A:$AM,MATCH(BM$1,  Feature_List!$A$1:$AM$1,0),0)=E328,".","NO"))</f>
        <v>.</v>
      </c>
      <c r="BN328" s="136" t="str">
        <f>IF($D328&lt;&gt;"Feature",".",
IF(VLOOKUP($B328,Feature_List!$A:$AM,MATCH(BN$1,  Feature_List!$A$1:$AM$1,0),0)=F328,".","NO"))</f>
        <v>.</v>
      </c>
      <c r="BO328" s="136" t="str">
        <f>IF($D328&lt;&gt;"Feature",".",
IF(VLOOKUP($B328,Feature_List!$A:$AM,MATCH(BO$1,  Feature_List!$A$1:$AM$1,0),0)=G328,".","NO"))</f>
        <v>.</v>
      </c>
      <c r="BP328" s="136" t="str">
        <f>IF($D328&lt;&gt;"Feature",".",
IF(VLOOKUP($B328,Feature_List!$A:$AM,MATCH(BP$1,  Feature_List!$A$1:$AM$1,0),0)=H328,".","NO"))</f>
        <v>.</v>
      </c>
      <c r="BQ328" s="136"/>
      <c r="BR328" s="136" t="str">
        <f>IF($D328&lt;&gt;"Feature",".",
IF(VLOOKUP($B328,Feature_List!$A:$AM,MATCH(BR$1,  Feature_List!$A$1:$AM$1,0),0)=J328,".","NO"))</f>
        <v>.</v>
      </c>
      <c r="BS328" s="136"/>
      <c r="BT328" s="136"/>
      <c r="BU328" s="136" t="str">
        <f>IF($D328&lt;&gt;"Feature",".",
IF(VLOOKUP($B328,Feature_List!$A:$AM,MATCH(BU$1,  Feature_List!$A$1:$AM$1,0),0)=M328,".","NO"))</f>
        <v>.</v>
      </c>
      <c r="BV328" s="136" t="str">
        <f>IF($D328&lt;&gt;"Feature",".",
IF(VLOOKUP($B328,Feature_List!$A:$AM,MATCH(BV$1,  Feature_List!$A$1:$AM$1,0),0)=N328,".","NO"))</f>
        <v>.</v>
      </c>
      <c r="BW328" s="136"/>
      <c r="BX328" s="136"/>
      <c r="BY328" s="136"/>
      <c r="BZ328" s="136"/>
      <c r="CA328" s="136"/>
      <c r="CB328" s="136" t="str">
        <f>IF($D328&lt;&gt;"Feature",".",
IF(VLOOKUP($B328,Feature_List!$A:$AM,MATCH(CB$1,  Feature_List!$A$1:$AM$1,0),0)=T328,".","NO"))</f>
        <v>.</v>
      </c>
      <c r="CC328" s="136"/>
      <c r="CD328" s="136"/>
      <c r="CE328" s="136"/>
      <c r="CF328" s="136"/>
      <c r="CG328" s="136"/>
      <c r="CH328" s="136"/>
      <c r="CI328" s="136"/>
      <c r="CJ328" s="136"/>
      <c r="CK328" s="136"/>
      <c r="CL328" s="136"/>
      <c r="CM328" s="136"/>
      <c r="CN328" s="136"/>
      <c r="CO328" s="136" t="str">
        <f>IF($D328&lt;&gt;"Feature",".",
IF(VLOOKUP($B328,Feature_List!$A:$AM,MATCH(CO$1,  Feature_List!$A$1:$AM$1,0),0)=AG328,".","NO"))</f>
        <v>.</v>
      </c>
      <c r="CP328" s="136" t="str">
        <f>IF($D328&lt;&gt;"Feature",".",
IF(VLOOKUP($B328,Feature_List!$A:$AM,MATCH(CP$1,  Feature_List!$A$1:$AM$1,0),0)=AH328,".","NO"))</f>
        <v>.</v>
      </c>
      <c r="CQ328" s="136" t="str">
        <f>IF($D328&lt;&gt;"Feature",".",
IF(VLOOKUP($B328,Feature_List!$A:$AM,MATCH(CQ$1,  Feature_List!$A$1:$AM$1,0),0)=AI328,".","NO"))</f>
        <v>.</v>
      </c>
      <c r="CR328" s="136" t="str">
        <f>IF($D328&lt;&gt;"Feature",".",
IF(VLOOKUP($B328,Feature_List!$A:$AM,MATCH(CR$1,  Feature_List!$A$1:$AM$1,0),0)=AJ328,".","NO"))</f>
        <v>.</v>
      </c>
      <c r="CS328" s="136" t="str">
        <f>IF($D328&lt;&gt;"Feature",".",
IF(VLOOKUP($B328,Feature_List!$A:$AM,MATCH(CS$1,  Feature_List!$A$1:$AM$1,0),0)=AK328,".","NO"))</f>
        <v>.</v>
      </c>
      <c r="CT328" s="136" t="str">
        <f>IF($D328&lt;&gt;"Feature",".",
IF(VLOOKUP($B328,Feature_List!$A:$AM,MATCH(CT$1,  Feature_List!$A$1:$AM$1,0),0)=AL328,".","NO"))</f>
        <v>.</v>
      </c>
      <c r="CU328" s="136" t="str">
        <f>IF($D328&lt;&gt;"Feature",".",
IF(VLOOKUP($B328,Feature_List!$A:$AM,MATCH(CU$1,  Feature_List!$A$1:$AM$1,0),0)=AM328,".","NO"))</f>
        <v>.</v>
      </c>
      <c r="CV328" s="136" t="str">
        <f>IF($D328&lt;&gt;"Feature",".",
IF(VLOOKUP($B328,Feature_List!$A:$AM,MATCH(CV$1,  Feature_List!$A$1:$AM$1,0),0)=AN328,".","NO"))</f>
        <v>.</v>
      </c>
      <c r="CW328" s="136" t="str">
        <f>IF($D328&lt;&gt;"Feature",".",
IF(VLOOKUP($B328,Feature_List!$A:$AM,MATCH(CW$1,  Feature_List!$A$1:$AM$1,0),0)=AO328,".","NO"))</f>
        <v>.</v>
      </c>
      <c r="CX328" s="136" t="str">
        <f>IF($D328&lt;&gt;"Feature",".",
IF(VLOOKUP($B328,Feature_List!$A:$AM,MATCH(CX$1,  Feature_List!$A$1:$AM$1,0),0)=AP328,".","NO"))</f>
        <v>.</v>
      </c>
      <c r="CY328" s="136" t="str">
        <f>IF($D328&lt;&gt;"Feature",".",
IF(VLOOKUP($B328,Feature_List!$A:$AM,MATCH(CY$1,  Feature_List!$A$1:$AM$1,0),0)=AQ328,".","NO"))</f>
        <v>.</v>
      </c>
      <c r="CZ328" s="136" t="str">
        <f>IF($D328&lt;&gt;"Feature",".",
IF(VLOOKUP($B328,Feature_List!$A:$AM,MATCH(CZ$1,  Feature_List!$A$1:$AM$1,0),0)=AR328,".","NO"))</f>
        <v>.</v>
      </c>
      <c r="DA328" s="136" t="str">
        <f>IF($D328&lt;&gt;"Feature",".",
IF(VLOOKUP($B328,Feature_List!$A:$AM,MATCH(DA$1,  Feature_List!$A$1:$AM$1,0),0)=AS328,".","NO"))</f>
        <v>.</v>
      </c>
      <c r="DB328" s="136" t="str">
        <f>IF($D328&lt;&gt;"Feature",".",
IF(VLOOKUP($B328,Feature_List!$A:$AM,MATCH(DB$1,  Feature_List!$A$1:$AM$1,0),0)=AT328,".","NO"))</f>
        <v>.</v>
      </c>
      <c r="DC328" s="136" t="str">
        <f>IF($D328&lt;&gt;"Feature",".",
IF(VLOOKUP($B328,Feature_List!$A:$AM,MATCH(DC$1,  Feature_List!$A$1:$AM$1,0),0)=AU328,".","NO"))</f>
        <v>.</v>
      </c>
      <c r="DD328" s="136" t="str">
        <f>IF($D328&lt;&gt;"Feature",".",
IF(VLOOKUP($B328,Feature_List!$A:$AM,MATCH(DD$1,  Feature_List!$A$1:$AM$1,0),0)=AV328,".","NO"))</f>
        <v>.</v>
      </c>
      <c r="DE328" s="136" t="str">
        <f>IF($D328&lt;&gt;"Feature",".",
IF(VLOOKUP($B328,Feature_List!$A:$AM,MATCH(DE$1,  Feature_List!$A$1:$AM$1,0),0)=AW328,".","NO"))</f>
        <v>.</v>
      </c>
      <c r="DF328" s="136" t="str">
        <f>IF($D328&lt;&gt;"Feature",".",
IF(VLOOKUP($B328,Feature_List!$A:$AM,MATCH(DF$1,  Feature_List!$A$1:$AM$1,0),0)=AX328,".","NO"))</f>
        <v>.</v>
      </c>
      <c r="DG328" s="136" t="str">
        <f>IF($D328&lt;&gt;"Feature",".",
IF(VLOOKUP($B328,Feature_List!$A:$AM,MATCH(DG$1,  Feature_List!$A$1:$AM$1,0),0)=AY328,".","NO"))</f>
        <v>.</v>
      </c>
      <c r="DH328" s="136" t="str">
        <f>IF($D328&lt;&gt;"Feature",".",
IF(VLOOKUP($B328,Feature_List!$A:$AM,MATCH(DH$1,  Feature_List!$A$1:$AM$1,0),0)=AZ328,".","NO"))</f>
        <v>.</v>
      </c>
      <c r="DI328" s="136" t="str">
        <f>IF($D328&lt;&gt;"Feature",".",
IF(VLOOKUP($B328,Feature_List!$A:$AM,MATCH(DI$1,  Feature_List!$A$1:$AM$1,0),0)=BA328,".","NO"))</f>
        <v>.</v>
      </c>
      <c r="DJ328" s="136" t="str">
        <f>IF($D328&lt;&gt;"Feature",".",
IF(VLOOKUP($B328,Feature_List!$A:$AM,MATCH(DJ$1,  Feature_List!$A$1:$AM$1,0),0)=BB328,".","NO"))</f>
        <v>.</v>
      </c>
      <c r="DK328" s="136"/>
      <c r="DL328" s="136"/>
      <c r="DM328" s="136"/>
      <c r="DN328" s="136" t="str">
        <f>IF($D328&lt;&gt;"Feature",".",
IF(VLOOKUP($B328,Feature_List!$A:$AM,MATCH(DN$1,  Feature_List!$A$1:$AM$1,0),0)=BC328,".","NO"))</f>
        <v>.</v>
      </c>
      <c r="DO328" s="136" t="str">
        <f>IF($D328&lt;&gt;"Feature",".",
IF(VLOOKUP($B328,Feature_List!$A:$AM,MATCH(DO$1,  Feature_List!$A$1:$AM$1,0),0)=BD328,".","NO"))</f>
        <v>.</v>
      </c>
    </row>
    <row r="329" spans="2:119" x14ac:dyDescent="0.3">
      <c r="B329" s="146"/>
      <c r="C329" s="147"/>
      <c r="D329" s="147"/>
      <c r="E329" s="147"/>
      <c r="F329" s="61"/>
      <c r="G329" s="61"/>
      <c r="H329" s="147"/>
      <c r="I329" s="148"/>
      <c r="J329" s="61"/>
      <c r="K329" s="61"/>
      <c r="L329" s="147"/>
      <c r="M329" s="147"/>
      <c r="N329" s="147"/>
      <c r="O329" s="123">
        <f t="shared" si="187"/>
        <v>0</v>
      </c>
      <c r="P329" s="123">
        <f t="shared" si="188"/>
        <v>0</v>
      </c>
      <c r="Q329" s="122" t="str">
        <f t="shared" si="210"/>
        <v>ZeroEntry</v>
      </c>
      <c r="R329" s="126" t="str">
        <f t="shared" si="189"/>
        <v>ZeroEntry</v>
      </c>
      <c r="S329" s="127" t="str">
        <f t="shared" si="190"/>
        <v>ZeroEntry</v>
      </c>
      <c r="T329" s="128" t="str">
        <f>IF($Q329="ZeroEntry", "",VLOOKUP($I329,'Ranking Lookup'!#REF!,2,FALSE))</f>
        <v/>
      </c>
      <c r="U329" s="129" t="str">
        <f t="shared" si="191"/>
        <v/>
      </c>
      <c r="V329" s="129" t="str">
        <f t="shared" si="192"/>
        <v/>
      </c>
      <c r="W329" s="129" t="str">
        <f t="shared" si="193"/>
        <v/>
      </c>
      <c r="X329" s="129" t="str">
        <f t="shared" si="194"/>
        <v/>
      </c>
      <c r="Y329" s="129" t="str">
        <f t="shared" si="195"/>
        <v/>
      </c>
      <c r="Z329" s="129" t="str">
        <f t="shared" si="196"/>
        <v/>
      </c>
      <c r="AA329" s="130"/>
      <c r="AB329" s="130" t="str">
        <f t="shared" si="197"/>
        <v>Unassigned</v>
      </c>
      <c r="AC329" s="131" t="str">
        <f t="shared" si="211"/>
        <v/>
      </c>
      <c r="AD329" s="131" t="str">
        <f t="shared" si="212"/>
        <v/>
      </c>
      <c r="AE329" s="132">
        <f t="shared" si="198"/>
        <v>0</v>
      </c>
      <c r="AF329" s="133" t="str">
        <f t="shared" si="213"/>
        <v/>
      </c>
      <c r="AG329" s="134">
        <f t="shared" si="199"/>
        <v>0</v>
      </c>
      <c r="AH329" s="54" t="str">
        <f t="shared" si="200"/>
        <v/>
      </c>
      <c r="AI329" s="54" t="str">
        <f t="shared" si="201"/>
        <v/>
      </c>
      <c r="AJ329" s="54" t="str">
        <f t="shared" si="201"/>
        <v/>
      </c>
      <c r="AK329" s="54" t="str">
        <f t="shared" si="201"/>
        <v/>
      </c>
      <c r="AL329" s="54" t="str">
        <f t="shared" si="201"/>
        <v/>
      </c>
      <c r="AM329" s="54" t="str">
        <f t="shared" si="201"/>
        <v/>
      </c>
      <c r="AN329" s="54" t="str">
        <f t="shared" si="201"/>
        <v/>
      </c>
      <c r="AO329" s="54" t="str">
        <f t="shared" si="201"/>
        <v/>
      </c>
      <c r="AP329" s="54" t="str">
        <f t="shared" si="201"/>
        <v/>
      </c>
      <c r="AQ329" s="54" t="str">
        <f t="shared" si="201"/>
        <v/>
      </c>
      <c r="AR329" s="54" t="str">
        <f t="shared" si="201"/>
        <v/>
      </c>
      <c r="AS329" s="54" t="str">
        <f t="shared" si="201"/>
        <v/>
      </c>
      <c r="AT329" s="54" t="str">
        <f t="shared" si="201"/>
        <v/>
      </c>
      <c r="AU329" s="54" t="str">
        <f t="shared" si="201"/>
        <v/>
      </c>
      <c r="AV329" s="54" t="str">
        <f t="shared" si="201"/>
        <v/>
      </c>
      <c r="AW329" s="54" t="str">
        <f t="shared" si="201"/>
        <v/>
      </c>
      <c r="AX329" s="54" t="str">
        <f t="shared" si="201"/>
        <v/>
      </c>
      <c r="AY329" s="54" t="str">
        <f t="shared" si="177"/>
        <v/>
      </c>
      <c r="AZ329" s="54" t="str">
        <f t="shared" si="202"/>
        <v/>
      </c>
      <c r="BA329" s="54" t="str">
        <f t="shared" si="203"/>
        <v/>
      </c>
      <c r="BB329" s="135" t="str">
        <f t="shared" si="204"/>
        <v/>
      </c>
      <c r="BC329" s="54" t="str">
        <f t="shared" si="205"/>
        <v/>
      </c>
      <c r="BD329" s="54" t="str">
        <f t="shared" si="205"/>
        <v/>
      </c>
      <c r="BE329" s="54" t="str">
        <f t="shared" si="205"/>
        <v/>
      </c>
      <c r="BF329" s="54" t="str">
        <f t="shared" si="206"/>
        <v/>
      </c>
      <c r="BG329" s="54" t="str">
        <f t="shared" si="207"/>
        <v/>
      </c>
      <c r="BH329" s="34" t="str">
        <f t="shared" si="208"/>
        <v>Bad</v>
      </c>
      <c r="BI329" s="34" t="str">
        <f t="shared" si="209"/>
        <v>No</v>
      </c>
      <c r="BJ329" s="136" t="str">
        <f>IF($D329&lt;&gt;"Feature",".",
IF(VLOOKUP($B329,Feature_List!$A:$AM,MATCH(BJ$1,  Feature_List!$A$1:$AM$1,0),0)=B329,".","NO"))</f>
        <v>.</v>
      </c>
      <c r="BK329" s="136"/>
      <c r="BL329" s="136"/>
      <c r="BM329" s="136" t="str">
        <f>IF($D329&lt;&gt;"Feature",".",
IF(VLOOKUP($B329,Feature_List!$A:$AM,MATCH(BM$1,  Feature_List!$A$1:$AM$1,0),0)=E329,".","NO"))</f>
        <v>.</v>
      </c>
      <c r="BN329" s="136" t="str">
        <f>IF($D329&lt;&gt;"Feature",".",
IF(VLOOKUP($B329,Feature_List!$A:$AM,MATCH(BN$1,  Feature_List!$A$1:$AM$1,0),0)=F329,".","NO"))</f>
        <v>.</v>
      </c>
      <c r="BO329" s="136" t="str">
        <f>IF($D329&lt;&gt;"Feature",".",
IF(VLOOKUP($B329,Feature_List!$A:$AM,MATCH(BO$1,  Feature_List!$A$1:$AM$1,0),0)=G329,".","NO"))</f>
        <v>.</v>
      </c>
      <c r="BP329" s="136" t="str">
        <f>IF($D329&lt;&gt;"Feature",".",
IF(VLOOKUP($B329,Feature_List!$A:$AM,MATCH(BP$1,  Feature_List!$A$1:$AM$1,0),0)=H329,".","NO"))</f>
        <v>.</v>
      </c>
      <c r="BQ329" s="136"/>
      <c r="BR329" s="136" t="str">
        <f>IF($D329&lt;&gt;"Feature",".",
IF(VLOOKUP($B329,Feature_List!$A:$AM,MATCH(BR$1,  Feature_List!$A$1:$AM$1,0),0)=J329,".","NO"))</f>
        <v>.</v>
      </c>
      <c r="BS329" s="136"/>
      <c r="BT329" s="136"/>
      <c r="BU329" s="136" t="str">
        <f>IF($D329&lt;&gt;"Feature",".",
IF(VLOOKUP($B329,Feature_List!$A:$AM,MATCH(BU$1,  Feature_List!$A$1:$AM$1,0),0)=M329,".","NO"))</f>
        <v>.</v>
      </c>
      <c r="BV329" s="136" t="str">
        <f>IF($D329&lt;&gt;"Feature",".",
IF(VLOOKUP($B329,Feature_List!$A:$AM,MATCH(BV$1,  Feature_List!$A$1:$AM$1,0),0)=N329,".","NO"))</f>
        <v>.</v>
      </c>
      <c r="BW329" s="136"/>
      <c r="BX329" s="136"/>
      <c r="BY329" s="136"/>
      <c r="BZ329" s="136"/>
      <c r="CA329" s="136"/>
      <c r="CB329" s="136" t="str">
        <f>IF($D329&lt;&gt;"Feature",".",
IF(VLOOKUP($B329,Feature_List!$A:$AM,MATCH(CB$1,  Feature_List!$A$1:$AM$1,0),0)=T329,".","NO"))</f>
        <v>.</v>
      </c>
      <c r="CC329" s="136"/>
      <c r="CD329" s="136"/>
      <c r="CE329" s="136"/>
      <c r="CF329" s="136"/>
      <c r="CG329" s="136"/>
      <c r="CH329" s="136"/>
      <c r="CI329" s="136"/>
      <c r="CJ329" s="136"/>
      <c r="CK329" s="136"/>
      <c r="CL329" s="136"/>
      <c r="CM329" s="136"/>
      <c r="CN329" s="136"/>
      <c r="CO329" s="136" t="str">
        <f>IF($D329&lt;&gt;"Feature",".",
IF(VLOOKUP($B329,Feature_List!$A:$AM,MATCH(CO$1,  Feature_List!$A$1:$AM$1,0),0)=AG329,".","NO"))</f>
        <v>.</v>
      </c>
      <c r="CP329" s="136" t="str">
        <f>IF($D329&lt;&gt;"Feature",".",
IF(VLOOKUP($B329,Feature_List!$A:$AM,MATCH(CP$1,  Feature_List!$A$1:$AM$1,0),0)=AH329,".","NO"))</f>
        <v>.</v>
      </c>
      <c r="CQ329" s="136" t="str">
        <f>IF($D329&lt;&gt;"Feature",".",
IF(VLOOKUP($B329,Feature_List!$A:$AM,MATCH(CQ$1,  Feature_List!$A$1:$AM$1,0),0)=AI329,".","NO"))</f>
        <v>.</v>
      </c>
      <c r="CR329" s="136" t="str">
        <f>IF($D329&lt;&gt;"Feature",".",
IF(VLOOKUP($B329,Feature_List!$A:$AM,MATCH(CR$1,  Feature_List!$A$1:$AM$1,0),0)=AJ329,".","NO"))</f>
        <v>.</v>
      </c>
      <c r="CS329" s="136" t="str">
        <f>IF($D329&lt;&gt;"Feature",".",
IF(VLOOKUP($B329,Feature_List!$A:$AM,MATCH(CS$1,  Feature_List!$A$1:$AM$1,0),0)=AK329,".","NO"))</f>
        <v>.</v>
      </c>
      <c r="CT329" s="136" t="str">
        <f>IF($D329&lt;&gt;"Feature",".",
IF(VLOOKUP($B329,Feature_List!$A:$AM,MATCH(CT$1,  Feature_List!$A$1:$AM$1,0),0)=AL329,".","NO"))</f>
        <v>.</v>
      </c>
      <c r="CU329" s="136" t="str">
        <f>IF($D329&lt;&gt;"Feature",".",
IF(VLOOKUP($B329,Feature_List!$A:$AM,MATCH(CU$1,  Feature_List!$A$1:$AM$1,0),0)=AM329,".","NO"))</f>
        <v>.</v>
      </c>
      <c r="CV329" s="136" t="str">
        <f>IF($D329&lt;&gt;"Feature",".",
IF(VLOOKUP($B329,Feature_List!$A:$AM,MATCH(CV$1,  Feature_List!$A$1:$AM$1,0),0)=AN329,".","NO"))</f>
        <v>.</v>
      </c>
      <c r="CW329" s="136" t="str">
        <f>IF($D329&lt;&gt;"Feature",".",
IF(VLOOKUP($B329,Feature_List!$A:$AM,MATCH(CW$1,  Feature_List!$A$1:$AM$1,0),0)=AO329,".","NO"))</f>
        <v>.</v>
      </c>
      <c r="CX329" s="136" t="str">
        <f>IF($D329&lt;&gt;"Feature",".",
IF(VLOOKUP($B329,Feature_List!$A:$AM,MATCH(CX$1,  Feature_List!$A$1:$AM$1,0),0)=AP329,".","NO"))</f>
        <v>.</v>
      </c>
      <c r="CY329" s="136" t="str">
        <f>IF($D329&lt;&gt;"Feature",".",
IF(VLOOKUP($B329,Feature_List!$A:$AM,MATCH(CY$1,  Feature_List!$A$1:$AM$1,0),0)=AQ329,".","NO"))</f>
        <v>.</v>
      </c>
      <c r="CZ329" s="136" t="str">
        <f>IF($D329&lt;&gt;"Feature",".",
IF(VLOOKUP($B329,Feature_List!$A:$AM,MATCH(CZ$1,  Feature_List!$A$1:$AM$1,0),0)=AR329,".","NO"))</f>
        <v>.</v>
      </c>
      <c r="DA329" s="136" t="str">
        <f>IF($D329&lt;&gt;"Feature",".",
IF(VLOOKUP($B329,Feature_List!$A:$AM,MATCH(DA$1,  Feature_List!$A$1:$AM$1,0),0)=AS329,".","NO"))</f>
        <v>.</v>
      </c>
      <c r="DB329" s="136" t="str">
        <f>IF($D329&lt;&gt;"Feature",".",
IF(VLOOKUP($B329,Feature_List!$A:$AM,MATCH(DB$1,  Feature_List!$A$1:$AM$1,0),0)=AT329,".","NO"))</f>
        <v>.</v>
      </c>
      <c r="DC329" s="136" t="str">
        <f>IF($D329&lt;&gt;"Feature",".",
IF(VLOOKUP($B329,Feature_List!$A:$AM,MATCH(DC$1,  Feature_List!$A$1:$AM$1,0),0)=AU329,".","NO"))</f>
        <v>.</v>
      </c>
      <c r="DD329" s="136" t="str">
        <f>IF($D329&lt;&gt;"Feature",".",
IF(VLOOKUP($B329,Feature_List!$A:$AM,MATCH(DD$1,  Feature_List!$A$1:$AM$1,0),0)=AV329,".","NO"))</f>
        <v>.</v>
      </c>
      <c r="DE329" s="136" t="str">
        <f>IF($D329&lt;&gt;"Feature",".",
IF(VLOOKUP($B329,Feature_List!$A:$AM,MATCH(DE$1,  Feature_List!$A$1:$AM$1,0),0)=AW329,".","NO"))</f>
        <v>.</v>
      </c>
      <c r="DF329" s="136" t="str">
        <f>IF($D329&lt;&gt;"Feature",".",
IF(VLOOKUP($B329,Feature_List!$A:$AM,MATCH(DF$1,  Feature_List!$A$1:$AM$1,0),0)=AX329,".","NO"))</f>
        <v>.</v>
      </c>
      <c r="DG329" s="136" t="str">
        <f>IF($D329&lt;&gt;"Feature",".",
IF(VLOOKUP($B329,Feature_List!$A:$AM,MATCH(DG$1,  Feature_List!$A$1:$AM$1,0),0)=AY329,".","NO"))</f>
        <v>.</v>
      </c>
      <c r="DH329" s="136" t="str">
        <f>IF($D329&lt;&gt;"Feature",".",
IF(VLOOKUP($B329,Feature_List!$A:$AM,MATCH(DH$1,  Feature_List!$A$1:$AM$1,0),0)=AZ329,".","NO"))</f>
        <v>.</v>
      </c>
      <c r="DI329" s="136" t="str">
        <f>IF($D329&lt;&gt;"Feature",".",
IF(VLOOKUP($B329,Feature_List!$A:$AM,MATCH(DI$1,  Feature_List!$A$1:$AM$1,0),0)=BA329,".","NO"))</f>
        <v>.</v>
      </c>
      <c r="DJ329" s="136" t="str">
        <f>IF($D329&lt;&gt;"Feature",".",
IF(VLOOKUP($B329,Feature_List!$A:$AM,MATCH(DJ$1,  Feature_List!$A$1:$AM$1,0),0)=BB329,".","NO"))</f>
        <v>.</v>
      </c>
      <c r="DK329" s="136"/>
      <c r="DL329" s="136"/>
      <c r="DM329" s="136"/>
      <c r="DN329" s="136" t="str">
        <f>IF($D329&lt;&gt;"Feature",".",
IF(VLOOKUP($B329,Feature_List!$A:$AM,MATCH(DN$1,  Feature_List!$A$1:$AM$1,0),0)=BC329,".","NO"))</f>
        <v>.</v>
      </c>
      <c r="DO329" s="136" t="str">
        <f>IF($D329&lt;&gt;"Feature",".",
IF(VLOOKUP($B329,Feature_List!$A:$AM,MATCH(DO$1,  Feature_List!$A$1:$AM$1,0),0)=BD329,".","NO"))</f>
        <v>.</v>
      </c>
    </row>
    <row r="330" spans="2:119" x14ac:dyDescent="0.3">
      <c r="B330" s="146"/>
      <c r="C330" s="147"/>
      <c r="D330" s="147"/>
      <c r="E330" s="147"/>
      <c r="F330" s="61"/>
      <c r="G330" s="61"/>
      <c r="H330" s="147"/>
      <c r="I330" s="148"/>
      <c r="J330" s="61"/>
      <c r="K330" s="61"/>
      <c r="L330" s="147"/>
      <c r="M330" s="147"/>
      <c r="N330" s="147"/>
      <c r="O330" s="123">
        <f t="shared" si="187"/>
        <v>0</v>
      </c>
      <c r="P330" s="123">
        <f t="shared" si="188"/>
        <v>0</v>
      </c>
      <c r="Q330" s="122" t="str">
        <f t="shared" si="210"/>
        <v>ZeroEntry</v>
      </c>
      <c r="R330" s="126" t="str">
        <f t="shared" si="189"/>
        <v>ZeroEntry</v>
      </c>
      <c r="S330" s="127" t="str">
        <f t="shared" si="190"/>
        <v>ZeroEntry</v>
      </c>
      <c r="T330" s="128" t="str">
        <f>IF($Q330="ZeroEntry", "",VLOOKUP($I330,'Ranking Lookup'!#REF!,2,FALSE))</f>
        <v/>
      </c>
      <c r="U330" s="129" t="str">
        <f t="shared" si="191"/>
        <v/>
      </c>
      <c r="V330" s="129" t="str">
        <f t="shared" si="192"/>
        <v/>
      </c>
      <c r="W330" s="129" t="str">
        <f t="shared" si="193"/>
        <v/>
      </c>
      <c r="X330" s="129" t="str">
        <f t="shared" si="194"/>
        <v/>
      </c>
      <c r="Y330" s="129" t="str">
        <f t="shared" si="195"/>
        <v/>
      </c>
      <c r="Z330" s="129" t="str">
        <f t="shared" si="196"/>
        <v/>
      </c>
      <c r="AA330" s="130"/>
      <c r="AB330" s="130" t="str">
        <f t="shared" si="197"/>
        <v>Unassigned</v>
      </c>
      <c r="AC330" s="131" t="str">
        <f t="shared" si="211"/>
        <v/>
      </c>
      <c r="AD330" s="131" t="str">
        <f t="shared" si="212"/>
        <v/>
      </c>
      <c r="AE330" s="132">
        <f t="shared" si="198"/>
        <v>0</v>
      </c>
      <c r="AF330" s="133" t="str">
        <f t="shared" si="213"/>
        <v/>
      </c>
      <c r="AG330" s="134">
        <f t="shared" si="199"/>
        <v>0</v>
      </c>
      <c r="AH330" s="54" t="str">
        <f t="shared" si="200"/>
        <v/>
      </c>
      <c r="AI330" s="54" t="str">
        <f t="shared" si="201"/>
        <v/>
      </c>
      <c r="AJ330" s="54" t="str">
        <f t="shared" si="201"/>
        <v/>
      </c>
      <c r="AK330" s="54" t="str">
        <f t="shared" si="201"/>
        <v/>
      </c>
      <c r="AL330" s="54" t="str">
        <f t="shared" si="201"/>
        <v/>
      </c>
      <c r="AM330" s="54" t="str">
        <f t="shared" si="201"/>
        <v/>
      </c>
      <c r="AN330" s="54" t="str">
        <f t="shared" si="201"/>
        <v/>
      </c>
      <c r="AO330" s="54" t="str">
        <f t="shared" si="201"/>
        <v/>
      </c>
      <c r="AP330" s="54" t="str">
        <f t="shared" si="201"/>
        <v/>
      </c>
      <c r="AQ330" s="54" t="str">
        <f t="shared" si="201"/>
        <v/>
      </c>
      <c r="AR330" s="54" t="str">
        <f t="shared" si="201"/>
        <v/>
      </c>
      <c r="AS330" s="54" t="str">
        <f t="shared" si="201"/>
        <v/>
      </c>
      <c r="AT330" s="54" t="str">
        <f t="shared" si="201"/>
        <v/>
      </c>
      <c r="AU330" s="54" t="str">
        <f t="shared" si="201"/>
        <v/>
      </c>
      <c r="AV330" s="54" t="str">
        <f t="shared" si="201"/>
        <v/>
      </c>
      <c r="AW330" s="54" t="str">
        <f t="shared" si="201"/>
        <v/>
      </c>
      <c r="AX330" s="54" t="str">
        <f t="shared" si="201"/>
        <v/>
      </c>
      <c r="AY330" s="54" t="str">
        <f t="shared" ref="AY330:AY345" si="214">IF(OR($Q330="Feature",BI330="Yes"), SUM(BC330:BE330),"")</f>
        <v/>
      </c>
      <c r="AZ330" s="54" t="str">
        <f t="shared" si="202"/>
        <v/>
      </c>
      <c r="BA330" s="54" t="str">
        <f t="shared" si="203"/>
        <v/>
      </c>
      <c r="BB330" s="135" t="str">
        <f t="shared" si="204"/>
        <v/>
      </c>
      <c r="BC330" s="54" t="str">
        <f t="shared" si="205"/>
        <v/>
      </c>
      <c r="BD330" s="54" t="str">
        <f t="shared" si="205"/>
        <v/>
      </c>
      <c r="BE330" s="54" t="str">
        <f t="shared" si="205"/>
        <v/>
      </c>
      <c r="BF330" s="54" t="str">
        <f t="shared" si="206"/>
        <v/>
      </c>
      <c r="BG330" s="54" t="str">
        <f t="shared" si="207"/>
        <v/>
      </c>
      <c r="BH330" s="34" t="str">
        <f t="shared" si="208"/>
        <v>Bad</v>
      </c>
      <c r="BI330" s="34" t="str">
        <f t="shared" si="209"/>
        <v>No</v>
      </c>
      <c r="BJ330" s="136" t="str">
        <f>IF($D330&lt;&gt;"Feature",".",
IF(VLOOKUP($B330,Feature_List!$A:$AM,MATCH(BJ$1,  Feature_List!$A$1:$AM$1,0),0)=B330,".","NO"))</f>
        <v>.</v>
      </c>
      <c r="BK330" s="136"/>
      <c r="BL330" s="136"/>
      <c r="BM330" s="136" t="str">
        <f>IF($D330&lt;&gt;"Feature",".",
IF(VLOOKUP($B330,Feature_List!$A:$AM,MATCH(BM$1,  Feature_List!$A$1:$AM$1,0),0)=E330,".","NO"))</f>
        <v>.</v>
      </c>
      <c r="BN330" s="136" t="str">
        <f>IF($D330&lt;&gt;"Feature",".",
IF(VLOOKUP($B330,Feature_List!$A:$AM,MATCH(BN$1,  Feature_List!$A$1:$AM$1,0),0)=F330,".","NO"))</f>
        <v>.</v>
      </c>
      <c r="BO330" s="136" t="str">
        <f>IF($D330&lt;&gt;"Feature",".",
IF(VLOOKUP($B330,Feature_List!$A:$AM,MATCH(BO$1,  Feature_List!$A$1:$AM$1,0),0)=G330,".","NO"))</f>
        <v>.</v>
      </c>
      <c r="BP330" s="136" t="str">
        <f>IF($D330&lt;&gt;"Feature",".",
IF(VLOOKUP($B330,Feature_List!$A:$AM,MATCH(BP$1,  Feature_List!$A$1:$AM$1,0),0)=H330,".","NO"))</f>
        <v>.</v>
      </c>
      <c r="BQ330" s="136"/>
      <c r="BR330" s="136" t="str">
        <f>IF($D330&lt;&gt;"Feature",".",
IF(VLOOKUP($B330,Feature_List!$A:$AM,MATCH(BR$1,  Feature_List!$A$1:$AM$1,0),0)=J330,".","NO"))</f>
        <v>.</v>
      </c>
      <c r="BS330" s="136"/>
      <c r="BT330" s="136"/>
      <c r="BU330" s="136" t="str">
        <f>IF($D330&lt;&gt;"Feature",".",
IF(VLOOKUP($B330,Feature_List!$A:$AM,MATCH(BU$1,  Feature_List!$A$1:$AM$1,0),0)=M330,".","NO"))</f>
        <v>.</v>
      </c>
      <c r="BV330" s="136" t="str">
        <f>IF($D330&lt;&gt;"Feature",".",
IF(VLOOKUP($B330,Feature_List!$A:$AM,MATCH(BV$1,  Feature_List!$A$1:$AM$1,0),0)=N330,".","NO"))</f>
        <v>.</v>
      </c>
      <c r="BW330" s="136"/>
      <c r="BX330" s="136"/>
      <c r="BY330" s="136"/>
      <c r="BZ330" s="136"/>
      <c r="CA330" s="136"/>
      <c r="CB330" s="136" t="str">
        <f>IF($D330&lt;&gt;"Feature",".",
IF(VLOOKUP($B330,Feature_List!$A:$AM,MATCH(CB$1,  Feature_List!$A$1:$AM$1,0),0)=T330,".","NO"))</f>
        <v>.</v>
      </c>
      <c r="CC330" s="136"/>
      <c r="CD330" s="136"/>
      <c r="CE330" s="136"/>
      <c r="CF330" s="136"/>
      <c r="CG330" s="136"/>
      <c r="CH330" s="136"/>
      <c r="CI330" s="136"/>
      <c r="CJ330" s="136"/>
      <c r="CK330" s="136"/>
      <c r="CL330" s="136"/>
      <c r="CM330" s="136"/>
      <c r="CN330" s="136"/>
      <c r="CO330" s="136" t="str">
        <f>IF($D330&lt;&gt;"Feature",".",
IF(VLOOKUP($B330,Feature_List!$A:$AM,MATCH(CO$1,  Feature_List!$A$1:$AM$1,0),0)=AG330,".","NO"))</f>
        <v>.</v>
      </c>
      <c r="CP330" s="136" t="str">
        <f>IF($D330&lt;&gt;"Feature",".",
IF(VLOOKUP($B330,Feature_List!$A:$AM,MATCH(CP$1,  Feature_List!$A$1:$AM$1,0),0)=AH330,".","NO"))</f>
        <v>.</v>
      </c>
      <c r="CQ330" s="136" t="str">
        <f>IF($D330&lt;&gt;"Feature",".",
IF(VLOOKUP($B330,Feature_List!$A:$AM,MATCH(CQ$1,  Feature_List!$A$1:$AM$1,0),0)=AI330,".","NO"))</f>
        <v>.</v>
      </c>
      <c r="CR330" s="136" t="str">
        <f>IF($D330&lt;&gt;"Feature",".",
IF(VLOOKUP($B330,Feature_List!$A:$AM,MATCH(CR$1,  Feature_List!$A$1:$AM$1,0),0)=AJ330,".","NO"))</f>
        <v>.</v>
      </c>
      <c r="CS330" s="136" t="str">
        <f>IF($D330&lt;&gt;"Feature",".",
IF(VLOOKUP($B330,Feature_List!$A:$AM,MATCH(CS$1,  Feature_List!$A$1:$AM$1,0),0)=AK330,".","NO"))</f>
        <v>.</v>
      </c>
      <c r="CT330" s="136" t="str">
        <f>IF($D330&lt;&gt;"Feature",".",
IF(VLOOKUP($B330,Feature_List!$A:$AM,MATCH(CT$1,  Feature_List!$A$1:$AM$1,0),0)=AL330,".","NO"))</f>
        <v>.</v>
      </c>
      <c r="CU330" s="136" t="str">
        <f>IF($D330&lt;&gt;"Feature",".",
IF(VLOOKUP($B330,Feature_List!$A:$AM,MATCH(CU$1,  Feature_List!$A$1:$AM$1,0),0)=AM330,".","NO"))</f>
        <v>.</v>
      </c>
      <c r="CV330" s="136" t="str">
        <f>IF($D330&lt;&gt;"Feature",".",
IF(VLOOKUP($B330,Feature_List!$A:$AM,MATCH(CV$1,  Feature_List!$A$1:$AM$1,0),0)=AN330,".","NO"))</f>
        <v>.</v>
      </c>
      <c r="CW330" s="136" t="str">
        <f>IF($D330&lt;&gt;"Feature",".",
IF(VLOOKUP($B330,Feature_List!$A:$AM,MATCH(CW$1,  Feature_List!$A$1:$AM$1,0),0)=AO330,".","NO"))</f>
        <v>.</v>
      </c>
      <c r="CX330" s="136" t="str">
        <f>IF($D330&lt;&gt;"Feature",".",
IF(VLOOKUP($B330,Feature_List!$A:$AM,MATCH(CX$1,  Feature_List!$A$1:$AM$1,0),0)=AP330,".","NO"))</f>
        <v>.</v>
      </c>
      <c r="CY330" s="136" t="str">
        <f>IF($D330&lt;&gt;"Feature",".",
IF(VLOOKUP($B330,Feature_List!$A:$AM,MATCH(CY$1,  Feature_List!$A$1:$AM$1,0),0)=AQ330,".","NO"))</f>
        <v>.</v>
      </c>
      <c r="CZ330" s="136" t="str">
        <f>IF($D330&lt;&gt;"Feature",".",
IF(VLOOKUP($B330,Feature_List!$A:$AM,MATCH(CZ$1,  Feature_List!$A$1:$AM$1,0),0)=AR330,".","NO"))</f>
        <v>.</v>
      </c>
      <c r="DA330" s="136" t="str">
        <f>IF($D330&lt;&gt;"Feature",".",
IF(VLOOKUP($B330,Feature_List!$A:$AM,MATCH(DA$1,  Feature_List!$A$1:$AM$1,0),0)=AS330,".","NO"))</f>
        <v>.</v>
      </c>
      <c r="DB330" s="136" t="str">
        <f>IF($D330&lt;&gt;"Feature",".",
IF(VLOOKUP($B330,Feature_List!$A:$AM,MATCH(DB$1,  Feature_List!$A$1:$AM$1,0),0)=AT330,".","NO"))</f>
        <v>.</v>
      </c>
      <c r="DC330" s="136" t="str">
        <f>IF($D330&lt;&gt;"Feature",".",
IF(VLOOKUP($B330,Feature_List!$A:$AM,MATCH(DC$1,  Feature_List!$A$1:$AM$1,0),0)=AU330,".","NO"))</f>
        <v>.</v>
      </c>
      <c r="DD330" s="136" t="str">
        <f>IF($D330&lt;&gt;"Feature",".",
IF(VLOOKUP($B330,Feature_List!$A:$AM,MATCH(DD$1,  Feature_List!$A$1:$AM$1,0),0)=AV330,".","NO"))</f>
        <v>.</v>
      </c>
      <c r="DE330" s="136" t="str">
        <f>IF($D330&lt;&gt;"Feature",".",
IF(VLOOKUP($B330,Feature_List!$A:$AM,MATCH(DE$1,  Feature_List!$A$1:$AM$1,0),0)=AW330,".","NO"))</f>
        <v>.</v>
      </c>
      <c r="DF330" s="136" t="str">
        <f>IF($D330&lt;&gt;"Feature",".",
IF(VLOOKUP($B330,Feature_List!$A:$AM,MATCH(DF$1,  Feature_List!$A$1:$AM$1,0),0)=AX330,".","NO"))</f>
        <v>.</v>
      </c>
      <c r="DG330" s="136" t="str">
        <f>IF($D330&lt;&gt;"Feature",".",
IF(VLOOKUP($B330,Feature_List!$A:$AM,MATCH(DG$1,  Feature_List!$A$1:$AM$1,0),0)=AY330,".","NO"))</f>
        <v>.</v>
      </c>
      <c r="DH330" s="136" t="str">
        <f>IF($D330&lt;&gt;"Feature",".",
IF(VLOOKUP($B330,Feature_List!$A:$AM,MATCH(DH$1,  Feature_List!$A$1:$AM$1,0),0)=AZ330,".","NO"))</f>
        <v>.</v>
      </c>
      <c r="DI330" s="136" t="str">
        <f>IF($D330&lt;&gt;"Feature",".",
IF(VLOOKUP($B330,Feature_List!$A:$AM,MATCH(DI$1,  Feature_List!$A$1:$AM$1,0),0)=BA330,".","NO"))</f>
        <v>.</v>
      </c>
      <c r="DJ330" s="136" t="str">
        <f>IF($D330&lt;&gt;"Feature",".",
IF(VLOOKUP($B330,Feature_List!$A:$AM,MATCH(DJ$1,  Feature_List!$A$1:$AM$1,0),0)=BB330,".","NO"))</f>
        <v>.</v>
      </c>
      <c r="DK330" s="136"/>
      <c r="DL330" s="136"/>
      <c r="DM330" s="136"/>
      <c r="DN330" s="136" t="str">
        <f>IF($D330&lt;&gt;"Feature",".",
IF(VLOOKUP($B330,Feature_List!$A:$AM,MATCH(DN$1,  Feature_List!$A$1:$AM$1,0),0)=BC330,".","NO"))</f>
        <v>.</v>
      </c>
      <c r="DO330" s="136" t="str">
        <f>IF($D330&lt;&gt;"Feature",".",
IF(VLOOKUP($B330,Feature_List!$A:$AM,MATCH(DO$1,  Feature_List!$A$1:$AM$1,0),0)=BD330,".","NO"))</f>
        <v>.</v>
      </c>
    </row>
    <row r="331" spans="2:119" x14ac:dyDescent="0.3">
      <c r="B331" s="146"/>
      <c r="C331" s="147"/>
      <c r="D331" s="147"/>
      <c r="E331" s="147"/>
      <c r="F331" s="61"/>
      <c r="G331" s="61"/>
      <c r="H331" s="147"/>
      <c r="I331" s="148"/>
      <c r="J331" s="61"/>
      <c r="K331" s="61"/>
      <c r="L331" s="147"/>
      <c r="M331" s="147"/>
      <c r="N331" s="147"/>
      <c r="O331" s="123">
        <f t="shared" si="187"/>
        <v>0</v>
      </c>
      <c r="P331" s="123">
        <f t="shared" si="188"/>
        <v>0</v>
      </c>
      <c r="Q331" s="122" t="str">
        <f t="shared" si="210"/>
        <v>ZeroEntry</v>
      </c>
      <c r="R331" s="126" t="str">
        <f t="shared" si="189"/>
        <v>ZeroEntry</v>
      </c>
      <c r="S331" s="127" t="str">
        <f t="shared" si="190"/>
        <v>ZeroEntry</v>
      </c>
      <c r="T331" s="128" t="str">
        <f>IF($Q331="ZeroEntry", "",VLOOKUP($I331,'Ranking Lookup'!#REF!,2,FALSE))</f>
        <v/>
      </c>
      <c r="U331" s="129" t="str">
        <f t="shared" si="191"/>
        <v/>
      </c>
      <c r="V331" s="129" t="str">
        <f t="shared" si="192"/>
        <v/>
      </c>
      <c r="W331" s="129" t="str">
        <f t="shared" si="193"/>
        <v/>
      </c>
      <c r="X331" s="129" t="str">
        <f t="shared" si="194"/>
        <v/>
      </c>
      <c r="Y331" s="129" t="str">
        <f t="shared" si="195"/>
        <v/>
      </c>
      <c r="Z331" s="129" t="str">
        <f t="shared" si="196"/>
        <v/>
      </c>
      <c r="AA331" s="130"/>
      <c r="AB331" s="130" t="str">
        <f t="shared" si="197"/>
        <v>Unassigned</v>
      </c>
      <c r="AC331" s="131" t="str">
        <f t="shared" si="211"/>
        <v/>
      </c>
      <c r="AD331" s="131" t="str">
        <f t="shared" si="212"/>
        <v/>
      </c>
      <c r="AE331" s="132">
        <f t="shared" si="198"/>
        <v>0</v>
      </c>
      <c r="AF331" s="133" t="str">
        <f t="shared" si="213"/>
        <v/>
      </c>
      <c r="AG331" s="134">
        <f t="shared" si="199"/>
        <v>0</v>
      </c>
      <c r="AH331" s="54" t="str">
        <f t="shared" si="200"/>
        <v/>
      </c>
      <c r="AI331" s="54" t="str">
        <f t="shared" si="201"/>
        <v/>
      </c>
      <c r="AJ331" s="54" t="str">
        <f t="shared" si="201"/>
        <v/>
      </c>
      <c r="AK331" s="54" t="str">
        <f t="shared" si="201"/>
        <v/>
      </c>
      <c r="AL331" s="54" t="str">
        <f t="shared" si="201"/>
        <v/>
      </c>
      <c r="AM331" s="54" t="str">
        <f t="shared" si="201"/>
        <v/>
      </c>
      <c r="AN331" s="54" t="str">
        <f t="shared" si="201"/>
        <v/>
      </c>
      <c r="AO331" s="54" t="str">
        <f t="shared" si="201"/>
        <v/>
      </c>
      <c r="AP331" s="54" t="str">
        <f t="shared" si="201"/>
        <v/>
      </c>
      <c r="AQ331" s="54" t="str">
        <f t="shared" si="201"/>
        <v/>
      </c>
      <c r="AR331" s="54" t="str">
        <f t="shared" si="201"/>
        <v/>
      </c>
      <c r="AS331" s="54" t="str">
        <f t="shared" si="201"/>
        <v/>
      </c>
      <c r="AT331" s="54" t="str">
        <f t="shared" si="201"/>
        <v/>
      </c>
      <c r="AU331" s="54" t="str">
        <f t="shared" si="201"/>
        <v/>
      </c>
      <c r="AV331" s="54" t="str">
        <f t="shared" si="201"/>
        <v/>
      </c>
      <c r="AW331" s="54" t="str">
        <f t="shared" si="201"/>
        <v/>
      </c>
      <c r="AX331" s="54" t="str">
        <f t="shared" si="201"/>
        <v/>
      </c>
      <c r="AY331" s="54" t="str">
        <f t="shared" si="214"/>
        <v/>
      </c>
      <c r="AZ331" s="54" t="str">
        <f t="shared" si="202"/>
        <v/>
      </c>
      <c r="BA331" s="54" t="str">
        <f t="shared" si="203"/>
        <v/>
      </c>
      <c r="BB331" s="135" t="str">
        <f t="shared" si="204"/>
        <v/>
      </c>
      <c r="BC331" s="54" t="str">
        <f t="shared" si="205"/>
        <v/>
      </c>
      <c r="BD331" s="54" t="str">
        <f t="shared" si="205"/>
        <v/>
      </c>
      <c r="BE331" s="54" t="str">
        <f t="shared" si="205"/>
        <v/>
      </c>
      <c r="BF331" s="54" t="str">
        <f t="shared" si="206"/>
        <v/>
      </c>
      <c r="BG331" s="54" t="str">
        <f t="shared" si="207"/>
        <v/>
      </c>
      <c r="BH331" s="34" t="str">
        <f t="shared" si="208"/>
        <v>Bad</v>
      </c>
      <c r="BI331" s="34" t="str">
        <f t="shared" si="209"/>
        <v>No</v>
      </c>
      <c r="BJ331" s="136" t="str">
        <f>IF($D331&lt;&gt;"Feature",".",
IF(VLOOKUP($B331,Feature_List!$A:$AM,MATCH(BJ$1,  Feature_List!$A$1:$AM$1,0),0)=B331,".","NO"))</f>
        <v>.</v>
      </c>
      <c r="BK331" s="136"/>
      <c r="BL331" s="136"/>
      <c r="BM331" s="136" t="str">
        <f>IF($D331&lt;&gt;"Feature",".",
IF(VLOOKUP($B331,Feature_List!$A:$AM,MATCH(BM$1,  Feature_List!$A$1:$AM$1,0),0)=E331,".","NO"))</f>
        <v>.</v>
      </c>
      <c r="BN331" s="136" t="str">
        <f>IF($D331&lt;&gt;"Feature",".",
IF(VLOOKUP($B331,Feature_List!$A:$AM,MATCH(BN$1,  Feature_List!$A$1:$AM$1,0),0)=F331,".","NO"))</f>
        <v>.</v>
      </c>
      <c r="BO331" s="136" t="str">
        <f>IF($D331&lt;&gt;"Feature",".",
IF(VLOOKUP($B331,Feature_List!$A:$AM,MATCH(BO$1,  Feature_List!$A$1:$AM$1,0),0)=G331,".","NO"))</f>
        <v>.</v>
      </c>
      <c r="BP331" s="136" t="str">
        <f>IF($D331&lt;&gt;"Feature",".",
IF(VLOOKUP($B331,Feature_List!$A:$AM,MATCH(BP$1,  Feature_List!$A$1:$AM$1,0),0)=H331,".","NO"))</f>
        <v>.</v>
      </c>
      <c r="BQ331" s="136"/>
      <c r="BR331" s="136" t="str">
        <f>IF($D331&lt;&gt;"Feature",".",
IF(VLOOKUP($B331,Feature_List!$A:$AM,MATCH(BR$1,  Feature_List!$A$1:$AM$1,0),0)=J331,".","NO"))</f>
        <v>.</v>
      </c>
      <c r="BS331" s="136"/>
      <c r="BT331" s="136"/>
      <c r="BU331" s="136" t="str">
        <f>IF($D331&lt;&gt;"Feature",".",
IF(VLOOKUP($B331,Feature_List!$A:$AM,MATCH(BU$1,  Feature_List!$A$1:$AM$1,0),0)=M331,".","NO"))</f>
        <v>.</v>
      </c>
      <c r="BV331" s="136" t="str">
        <f>IF($D331&lt;&gt;"Feature",".",
IF(VLOOKUP($B331,Feature_List!$A:$AM,MATCH(BV$1,  Feature_List!$A$1:$AM$1,0),0)=N331,".","NO"))</f>
        <v>.</v>
      </c>
      <c r="BW331" s="136"/>
      <c r="BX331" s="136"/>
      <c r="BY331" s="136"/>
      <c r="BZ331" s="136"/>
      <c r="CA331" s="136"/>
      <c r="CB331" s="136" t="str">
        <f>IF($D331&lt;&gt;"Feature",".",
IF(VLOOKUP($B331,Feature_List!$A:$AM,MATCH(CB$1,  Feature_List!$A$1:$AM$1,0),0)=T331,".","NO"))</f>
        <v>.</v>
      </c>
      <c r="CC331" s="136"/>
      <c r="CD331" s="136"/>
      <c r="CE331" s="136"/>
      <c r="CF331" s="136"/>
      <c r="CG331" s="136"/>
      <c r="CH331" s="136"/>
      <c r="CI331" s="136"/>
      <c r="CJ331" s="136"/>
      <c r="CK331" s="136"/>
      <c r="CL331" s="136"/>
      <c r="CM331" s="136"/>
      <c r="CN331" s="136"/>
      <c r="CO331" s="136" t="str">
        <f>IF($D331&lt;&gt;"Feature",".",
IF(VLOOKUP($B331,Feature_List!$A:$AM,MATCH(CO$1,  Feature_List!$A$1:$AM$1,0),0)=AG331,".","NO"))</f>
        <v>.</v>
      </c>
      <c r="CP331" s="136" t="str">
        <f>IF($D331&lt;&gt;"Feature",".",
IF(VLOOKUP($B331,Feature_List!$A:$AM,MATCH(CP$1,  Feature_List!$A$1:$AM$1,0),0)=AH331,".","NO"))</f>
        <v>.</v>
      </c>
      <c r="CQ331" s="136" t="str">
        <f>IF($D331&lt;&gt;"Feature",".",
IF(VLOOKUP($B331,Feature_List!$A:$AM,MATCH(CQ$1,  Feature_List!$A$1:$AM$1,0),0)=AI331,".","NO"))</f>
        <v>.</v>
      </c>
      <c r="CR331" s="136" t="str">
        <f>IF($D331&lt;&gt;"Feature",".",
IF(VLOOKUP($B331,Feature_List!$A:$AM,MATCH(CR$1,  Feature_List!$A$1:$AM$1,0),0)=AJ331,".","NO"))</f>
        <v>.</v>
      </c>
      <c r="CS331" s="136" t="str">
        <f>IF($D331&lt;&gt;"Feature",".",
IF(VLOOKUP($B331,Feature_List!$A:$AM,MATCH(CS$1,  Feature_List!$A$1:$AM$1,0),0)=AK331,".","NO"))</f>
        <v>.</v>
      </c>
      <c r="CT331" s="136" t="str">
        <f>IF($D331&lt;&gt;"Feature",".",
IF(VLOOKUP($B331,Feature_List!$A:$AM,MATCH(CT$1,  Feature_List!$A$1:$AM$1,0),0)=AL331,".","NO"))</f>
        <v>.</v>
      </c>
      <c r="CU331" s="136" t="str">
        <f>IF($D331&lt;&gt;"Feature",".",
IF(VLOOKUP($B331,Feature_List!$A:$AM,MATCH(CU$1,  Feature_List!$A$1:$AM$1,0),0)=AM331,".","NO"))</f>
        <v>.</v>
      </c>
      <c r="CV331" s="136" t="str">
        <f>IF($D331&lt;&gt;"Feature",".",
IF(VLOOKUP($B331,Feature_List!$A:$AM,MATCH(CV$1,  Feature_List!$A$1:$AM$1,0),0)=AN331,".","NO"))</f>
        <v>.</v>
      </c>
      <c r="CW331" s="136" t="str">
        <f>IF($D331&lt;&gt;"Feature",".",
IF(VLOOKUP($B331,Feature_List!$A:$AM,MATCH(CW$1,  Feature_List!$A$1:$AM$1,0),0)=AO331,".","NO"))</f>
        <v>.</v>
      </c>
      <c r="CX331" s="136" t="str">
        <f>IF($D331&lt;&gt;"Feature",".",
IF(VLOOKUP($B331,Feature_List!$A:$AM,MATCH(CX$1,  Feature_List!$A$1:$AM$1,0),0)=AP331,".","NO"))</f>
        <v>.</v>
      </c>
      <c r="CY331" s="136" t="str">
        <f>IF($D331&lt;&gt;"Feature",".",
IF(VLOOKUP($B331,Feature_List!$A:$AM,MATCH(CY$1,  Feature_List!$A$1:$AM$1,0),0)=AQ331,".","NO"))</f>
        <v>.</v>
      </c>
      <c r="CZ331" s="136" t="str">
        <f>IF($D331&lt;&gt;"Feature",".",
IF(VLOOKUP($B331,Feature_List!$A:$AM,MATCH(CZ$1,  Feature_List!$A$1:$AM$1,0),0)=AR331,".","NO"))</f>
        <v>.</v>
      </c>
      <c r="DA331" s="136" t="str">
        <f>IF($D331&lt;&gt;"Feature",".",
IF(VLOOKUP($B331,Feature_List!$A:$AM,MATCH(DA$1,  Feature_List!$A$1:$AM$1,0),0)=AS331,".","NO"))</f>
        <v>.</v>
      </c>
      <c r="DB331" s="136" t="str">
        <f>IF($D331&lt;&gt;"Feature",".",
IF(VLOOKUP($B331,Feature_List!$A:$AM,MATCH(DB$1,  Feature_List!$A$1:$AM$1,0),0)=AT331,".","NO"))</f>
        <v>.</v>
      </c>
      <c r="DC331" s="136" t="str">
        <f>IF($D331&lt;&gt;"Feature",".",
IF(VLOOKUP($B331,Feature_List!$A:$AM,MATCH(DC$1,  Feature_List!$A$1:$AM$1,0),0)=AU331,".","NO"))</f>
        <v>.</v>
      </c>
      <c r="DD331" s="136" t="str">
        <f>IF($D331&lt;&gt;"Feature",".",
IF(VLOOKUP($B331,Feature_List!$A:$AM,MATCH(DD$1,  Feature_List!$A$1:$AM$1,0),0)=AV331,".","NO"))</f>
        <v>.</v>
      </c>
      <c r="DE331" s="136" t="str">
        <f>IF($D331&lt;&gt;"Feature",".",
IF(VLOOKUP($B331,Feature_List!$A:$AM,MATCH(DE$1,  Feature_List!$A$1:$AM$1,0),0)=AW331,".","NO"))</f>
        <v>.</v>
      </c>
      <c r="DF331" s="136" t="str">
        <f>IF($D331&lt;&gt;"Feature",".",
IF(VLOOKUP($B331,Feature_List!$A:$AM,MATCH(DF$1,  Feature_List!$A$1:$AM$1,0),0)=AX331,".","NO"))</f>
        <v>.</v>
      </c>
      <c r="DG331" s="136" t="str">
        <f>IF($D331&lt;&gt;"Feature",".",
IF(VLOOKUP($B331,Feature_List!$A:$AM,MATCH(DG$1,  Feature_List!$A$1:$AM$1,0),0)=AY331,".","NO"))</f>
        <v>.</v>
      </c>
      <c r="DH331" s="136" t="str">
        <f>IF($D331&lt;&gt;"Feature",".",
IF(VLOOKUP($B331,Feature_List!$A:$AM,MATCH(DH$1,  Feature_List!$A$1:$AM$1,0),0)=AZ331,".","NO"))</f>
        <v>.</v>
      </c>
      <c r="DI331" s="136" t="str">
        <f>IF($D331&lt;&gt;"Feature",".",
IF(VLOOKUP($B331,Feature_List!$A:$AM,MATCH(DI$1,  Feature_List!$A$1:$AM$1,0),0)=BA331,".","NO"))</f>
        <v>.</v>
      </c>
      <c r="DJ331" s="136" t="str">
        <f>IF($D331&lt;&gt;"Feature",".",
IF(VLOOKUP($B331,Feature_List!$A:$AM,MATCH(DJ$1,  Feature_List!$A$1:$AM$1,0),0)=BB331,".","NO"))</f>
        <v>.</v>
      </c>
      <c r="DK331" s="136"/>
      <c r="DL331" s="136"/>
      <c r="DM331" s="136"/>
      <c r="DN331" s="136" t="str">
        <f>IF($D331&lt;&gt;"Feature",".",
IF(VLOOKUP($B331,Feature_List!$A:$AM,MATCH(DN$1,  Feature_List!$A$1:$AM$1,0),0)=BC331,".","NO"))</f>
        <v>.</v>
      </c>
      <c r="DO331" s="136" t="str">
        <f>IF($D331&lt;&gt;"Feature",".",
IF(VLOOKUP($B331,Feature_List!$A:$AM,MATCH(DO$1,  Feature_List!$A$1:$AM$1,0),0)=BD331,".","NO"))</f>
        <v>.</v>
      </c>
    </row>
    <row r="332" spans="2:119" x14ac:dyDescent="0.3">
      <c r="B332" s="146"/>
      <c r="C332" s="147"/>
      <c r="D332" s="147"/>
      <c r="E332" s="147"/>
      <c r="F332" s="61"/>
      <c r="G332" s="61"/>
      <c r="H332" s="147"/>
      <c r="I332" s="148"/>
      <c r="J332" s="61"/>
      <c r="K332" s="61"/>
      <c r="L332" s="147"/>
      <c r="M332" s="147"/>
      <c r="N332" s="147"/>
      <c r="O332" s="123">
        <f t="shared" si="187"/>
        <v>0</v>
      </c>
      <c r="P332" s="123">
        <f t="shared" si="188"/>
        <v>0</v>
      </c>
      <c r="Q332" s="122" t="str">
        <f t="shared" si="210"/>
        <v>ZeroEntry</v>
      </c>
      <c r="R332" s="126" t="str">
        <f t="shared" si="189"/>
        <v>ZeroEntry</v>
      </c>
      <c r="S332" s="127" t="str">
        <f t="shared" si="190"/>
        <v>ZeroEntry</v>
      </c>
      <c r="T332" s="128" t="str">
        <f>IF($Q332="ZeroEntry", "",VLOOKUP($I332,'Ranking Lookup'!#REF!,2,FALSE))</f>
        <v/>
      </c>
      <c r="U332" s="129" t="str">
        <f t="shared" si="191"/>
        <v/>
      </c>
      <c r="V332" s="129" t="str">
        <f t="shared" si="192"/>
        <v/>
      </c>
      <c r="W332" s="129" t="str">
        <f t="shared" si="193"/>
        <v/>
      </c>
      <c r="X332" s="129" t="str">
        <f t="shared" si="194"/>
        <v/>
      </c>
      <c r="Y332" s="129" t="str">
        <f t="shared" si="195"/>
        <v/>
      </c>
      <c r="Z332" s="129" t="str">
        <f t="shared" si="196"/>
        <v/>
      </c>
      <c r="AA332" s="130"/>
      <c r="AB332" s="130" t="str">
        <f t="shared" si="197"/>
        <v>Unassigned</v>
      </c>
      <c r="AC332" s="131" t="str">
        <f t="shared" si="211"/>
        <v/>
      </c>
      <c r="AD332" s="131" t="str">
        <f t="shared" si="212"/>
        <v/>
      </c>
      <c r="AE332" s="132">
        <f t="shared" si="198"/>
        <v>0</v>
      </c>
      <c r="AF332" s="133" t="str">
        <f t="shared" si="213"/>
        <v/>
      </c>
      <c r="AG332" s="134">
        <f t="shared" si="199"/>
        <v>0</v>
      </c>
      <c r="AH332" s="54" t="str">
        <f t="shared" si="200"/>
        <v/>
      </c>
      <c r="AI332" s="54" t="str">
        <f t="shared" si="201"/>
        <v/>
      </c>
      <c r="AJ332" s="54" t="str">
        <f t="shared" si="201"/>
        <v/>
      </c>
      <c r="AK332" s="54" t="str">
        <f t="shared" si="201"/>
        <v/>
      </c>
      <c r="AL332" s="54" t="str">
        <f t="shared" si="201"/>
        <v/>
      </c>
      <c r="AM332" s="54" t="str">
        <f t="shared" si="201"/>
        <v/>
      </c>
      <c r="AN332" s="54" t="str">
        <f t="shared" si="201"/>
        <v/>
      </c>
      <c r="AO332" s="54" t="str">
        <f t="shared" si="201"/>
        <v/>
      </c>
      <c r="AP332" s="54" t="str">
        <f t="shared" si="201"/>
        <v/>
      </c>
      <c r="AQ332" s="54" t="str">
        <f t="shared" si="201"/>
        <v/>
      </c>
      <c r="AR332" s="54" t="str">
        <f t="shared" si="201"/>
        <v/>
      </c>
      <c r="AS332" s="54" t="str">
        <f t="shared" si="201"/>
        <v/>
      </c>
      <c r="AT332" s="54" t="str">
        <f t="shared" si="201"/>
        <v/>
      </c>
      <c r="AU332" s="54" t="str">
        <f t="shared" si="201"/>
        <v/>
      </c>
      <c r="AV332" s="54" t="str">
        <f t="shared" si="201"/>
        <v/>
      </c>
      <c r="AW332" s="54" t="str">
        <f t="shared" si="201"/>
        <v/>
      </c>
      <c r="AX332" s="54" t="str">
        <f t="shared" si="201"/>
        <v/>
      </c>
      <c r="AY332" s="54" t="str">
        <f t="shared" si="214"/>
        <v/>
      </c>
      <c r="AZ332" s="54" t="str">
        <f t="shared" si="202"/>
        <v/>
      </c>
      <c r="BA332" s="54" t="str">
        <f t="shared" si="203"/>
        <v/>
      </c>
      <c r="BB332" s="135" t="str">
        <f t="shared" si="204"/>
        <v/>
      </c>
      <c r="BC332" s="54" t="str">
        <f t="shared" si="205"/>
        <v/>
      </c>
      <c r="BD332" s="54" t="str">
        <f t="shared" si="205"/>
        <v/>
      </c>
      <c r="BE332" s="54" t="str">
        <f t="shared" si="205"/>
        <v/>
      </c>
      <c r="BF332" s="54" t="str">
        <f t="shared" si="206"/>
        <v/>
      </c>
      <c r="BG332" s="54" t="str">
        <f t="shared" si="207"/>
        <v/>
      </c>
      <c r="BH332" s="34" t="str">
        <f t="shared" si="208"/>
        <v>Bad</v>
      </c>
      <c r="BI332" s="34" t="str">
        <f t="shared" si="209"/>
        <v>No</v>
      </c>
      <c r="BJ332" s="136" t="str">
        <f>IF($D332&lt;&gt;"Feature",".",
IF(VLOOKUP($B332,Feature_List!$A:$AM,MATCH(BJ$1,  Feature_List!$A$1:$AM$1,0),0)=B332,".","NO"))</f>
        <v>.</v>
      </c>
      <c r="BK332" s="136"/>
      <c r="BL332" s="136"/>
      <c r="BM332" s="136" t="str">
        <f>IF($D332&lt;&gt;"Feature",".",
IF(VLOOKUP($B332,Feature_List!$A:$AM,MATCH(BM$1,  Feature_List!$A$1:$AM$1,0),0)=E332,".","NO"))</f>
        <v>.</v>
      </c>
      <c r="BN332" s="136" t="str">
        <f>IF($D332&lt;&gt;"Feature",".",
IF(VLOOKUP($B332,Feature_List!$A:$AM,MATCH(BN$1,  Feature_List!$A$1:$AM$1,0),0)=F332,".","NO"))</f>
        <v>.</v>
      </c>
      <c r="BO332" s="136" t="str">
        <f>IF($D332&lt;&gt;"Feature",".",
IF(VLOOKUP($B332,Feature_List!$A:$AM,MATCH(BO$1,  Feature_List!$A$1:$AM$1,0),0)=G332,".","NO"))</f>
        <v>.</v>
      </c>
      <c r="BP332" s="136" t="str">
        <f>IF($D332&lt;&gt;"Feature",".",
IF(VLOOKUP($B332,Feature_List!$A:$AM,MATCH(BP$1,  Feature_List!$A$1:$AM$1,0),0)=H332,".","NO"))</f>
        <v>.</v>
      </c>
      <c r="BQ332" s="136"/>
      <c r="BR332" s="136" t="str">
        <f>IF($D332&lt;&gt;"Feature",".",
IF(VLOOKUP($B332,Feature_List!$A:$AM,MATCH(BR$1,  Feature_List!$A$1:$AM$1,0),0)=J332,".","NO"))</f>
        <v>.</v>
      </c>
      <c r="BS332" s="136"/>
      <c r="BT332" s="136"/>
      <c r="BU332" s="136" t="str">
        <f>IF($D332&lt;&gt;"Feature",".",
IF(VLOOKUP($B332,Feature_List!$A:$AM,MATCH(BU$1,  Feature_List!$A$1:$AM$1,0),0)=M332,".","NO"))</f>
        <v>.</v>
      </c>
      <c r="BV332" s="136" t="str">
        <f>IF($D332&lt;&gt;"Feature",".",
IF(VLOOKUP($B332,Feature_List!$A:$AM,MATCH(BV$1,  Feature_List!$A$1:$AM$1,0),0)=N332,".","NO"))</f>
        <v>.</v>
      </c>
      <c r="BW332" s="136"/>
      <c r="BX332" s="136"/>
      <c r="BY332" s="136"/>
      <c r="BZ332" s="136"/>
      <c r="CA332" s="136"/>
      <c r="CB332" s="136" t="str">
        <f>IF($D332&lt;&gt;"Feature",".",
IF(VLOOKUP($B332,Feature_List!$A:$AM,MATCH(CB$1,  Feature_List!$A$1:$AM$1,0),0)=T332,".","NO"))</f>
        <v>.</v>
      </c>
      <c r="CC332" s="136"/>
      <c r="CD332" s="136"/>
      <c r="CE332" s="136"/>
      <c r="CF332" s="136"/>
      <c r="CG332" s="136"/>
      <c r="CH332" s="136"/>
      <c r="CI332" s="136"/>
      <c r="CJ332" s="136"/>
      <c r="CK332" s="136"/>
      <c r="CL332" s="136"/>
      <c r="CM332" s="136"/>
      <c r="CN332" s="136"/>
      <c r="CO332" s="136" t="str">
        <f>IF($D332&lt;&gt;"Feature",".",
IF(VLOOKUP($B332,Feature_List!$A:$AM,MATCH(CO$1,  Feature_List!$A$1:$AM$1,0),0)=AG332,".","NO"))</f>
        <v>.</v>
      </c>
      <c r="CP332" s="136" t="str">
        <f>IF($D332&lt;&gt;"Feature",".",
IF(VLOOKUP($B332,Feature_List!$A:$AM,MATCH(CP$1,  Feature_List!$A$1:$AM$1,0),0)=AH332,".","NO"))</f>
        <v>.</v>
      </c>
      <c r="CQ332" s="136" t="str">
        <f>IF($D332&lt;&gt;"Feature",".",
IF(VLOOKUP($B332,Feature_List!$A:$AM,MATCH(CQ$1,  Feature_List!$A$1:$AM$1,0),0)=AI332,".","NO"))</f>
        <v>.</v>
      </c>
      <c r="CR332" s="136" t="str">
        <f>IF($D332&lt;&gt;"Feature",".",
IF(VLOOKUP($B332,Feature_List!$A:$AM,MATCH(CR$1,  Feature_List!$A$1:$AM$1,0),0)=AJ332,".","NO"))</f>
        <v>.</v>
      </c>
      <c r="CS332" s="136" t="str">
        <f>IF($D332&lt;&gt;"Feature",".",
IF(VLOOKUP($B332,Feature_List!$A:$AM,MATCH(CS$1,  Feature_List!$A$1:$AM$1,0),0)=AK332,".","NO"))</f>
        <v>.</v>
      </c>
      <c r="CT332" s="136" t="str">
        <f>IF($D332&lt;&gt;"Feature",".",
IF(VLOOKUP($B332,Feature_List!$A:$AM,MATCH(CT$1,  Feature_List!$A$1:$AM$1,0),0)=AL332,".","NO"))</f>
        <v>.</v>
      </c>
      <c r="CU332" s="136" t="str">
        <f>IF($D332&lt;&gt;"Feature",".",
IF(VLOOKUP($B332,Feature_List!$A:$AM,MATCH(CU$1,  Feature_List!$A$1:$AM$1,0),0)=AM332,".","NO"))</f>
        <v>.</v>
      </c>
      <c r="CV332" s="136" t="str">
        <f>IF($D332&lt;&gt;"Feature",".",
IF(VLOOKUP($B332,Feature_List!$A:$AM,MATCH(CV$1,  Feature_List!$A$1:$AM$1,0),0)=AN332,".","NO"))</f>
        <v>.</v>
      </c>
      <c r="CW332" s="136" t="str">
        <f>IF($D332&lt;&gt;"Feature",".",
IF(VLOOKUP($B332,Feature_List!$A:$AM,MATCH(CW$1,  Feature_List!$A$1:$AM$1,0),0)=AO332,".","NO"))</f>
        <v>.</v>
      </c>
      <c r="CX332" s="136" t="str">
        <f>IF($D332&lt;&gt;"Feature",".",
IF(VLOOKUP($B332,Feature_List!$A:$AM,MATCH(CX$1,  Feature_List!$A$1:$AM$1,0),0)=AP332,".","NO"))</f>
        <v>.</v>
      </c>
      <c r="CY332" s="136" t="str">
        <f>IF($D332&lt;&gt;"Feature",".",
IF(VLOOKUP($B332,Feature_List!$A:$AM,MATCH(CY$1,  Feature_List!$A$1:$AM$1,0),0)=AQ332,".","NO"))</f>
        <v>.</v>
      </c>
      <c r="CZ332" s="136" t="str">
        <f>IF($D332&lt;&gt;"Feature",".",
IF(VLOOKUP($B332,Feature_List!$A:$AM,MATCH(CZ$1,  Feature_List!$A$1:$AM$1,0),0)=AR332,".","NO"))</f>
        <v>.</v>
      </c>
      <c r="DA332" s="136" t="str">
        <f>IF($D332&lt;&gt;"Feature",".",
IF(VLOOKUP($B332,Feature_List!$A:$AM,MATCH(DA$1,  Feature_List!$A$1:$AM$1,0),0)=AS332,".","NO"))</f>
        <v>.</v>
      </c>
      <c r="DB332" s="136" t="str">
        <f>IF($D332&lt;&gt;"Feature",".",
IF(VLOOKUP($B332,Feature_List!$A:$AM,MATCH(DB$1,  Feature_List!$A$1:$AM$1,0),0)=AT332,".","NO"))</f>
        <v>.</v>
      </c>
      <c r="DC332" s="136" t="str">
        <f>IF($D332&lt;&gt;"Feature",".",
IF(VLOOKUP($B332,Feature_List!$A:$AM,MATCH(DC$1,  Feature_List!$A$1:$AM$1,0),0)=AU332,".","NO"))</f>
        <v>.</v>
      </c>
      <c r="DD332" s="136" t="str">
        <f>IF($D332&lt;&gt;"Feature",".",
IF(VLOOKUP($B332,Feature_List!$A:$AM,MATCH(DD$1,  Feature_List!$A$1:$AM$1,0),0)=AV332,".","NO"))</f>
        <v>.</v>
      </c>
      <c r="DE332" s="136" t="str">
        <f>IF($D332&lt;&gt;"Feature",".",
IF(VLOOKUP($B332,Feature_List!$A:$AM,MATCH(DE$1,  Feature_List!$A$1:$AM$1,0),0)=AW332,".","NO"))</f>
        <v>.</v>
      </c>
      <c r="DF332" s="136" t="str">
        <f>IF($D332&lt;&gt;"Feature",".",
IF(VLOOKUP($B332,Feature_List!$A:$AM,MATCH(DF$1,  Feature_List!$A$1:$AM$1,0),0)=AX332,".","NO"))</f>
        <v>.</v>
      </c>
      <c r="DG332" s="136" t="str">
        <f>IF($D332&lt;&gt;"Feature",".",
IF(VLOOKUP($B332,Feature_List!$A:$AM,MATCH(DG$1,  Feature_List!$A$1:$AM$1,0),0)=AY332,".","NO"))</f>
        <v>.</v>
      </c>
      <c r="DH332" s="136" t="str">
        <f>IF($D332&lt;&gt;"Feature",".",
IF(VLOOKUP($B332,Feature_List!$A:$AM,MATCH(DH$1,  Feature_List!$A$1:$AM$1,0),0)=AZ332,".","NO"))</f>
        <v>.</v>
      </c>
      <c r="DI332" s="136" t="str">
        <f>IF($D332&lt;&gt;"Feature",".",
IF(VLOOKUP($B332,Feature_List!$A:$AM,MATCH(DI$1,  Feature_List!$A$1:$AM$1,0),0)=BA332,".","NO"))</f>
        <v>.</v>
      </c>
      <c r="DJ332" s="136" t="str">
        <f>IF($D332&lt;&gt;"Feature",".",
IF(VLOOKUP($B332,Feature_List!$A:$AM,MATCH(DJ$1,  Feature_List!$A$1:$AM$1,0),0)=BB332,".","NO"))</f>
        <v>.</v>
      </c>
      <c r="DK332" s="136"/>
      <c r="DL332" s="136"/>
      <c r="DM332" s="136"/>
      <c r="DN332" s="136" t="str">
        <f>IF($D332&lt;&gt;"Feature",".",
IF(VLOOKUP($B332,Feature_List!$A:$AM,MATCH(DN$1,  Feature_List!$A$1:$AM$1,0),0)=BC332,".","NO"))</f>
        <v>.</v>
      </c>
      <c r="DO332" s="136" t="str">
        <f>IF($D332&lt;&gt;"Feature",".",
IF(VLOOKUP($B332,Feature_List!$A:$AM,MATCH(DO$1,  Feature_List!$A$1:$AM$1,0),0)=BD332,".","NO"))</f>
        <v>.</v>
      </c>
    </row>
    <row r="333" spans="2:119" x14ac:dyDescent="0.3">
      <c r="B333" s="146"/>
      <c r="C333" s="147"/>
      <c r="D333" s="147"/>
      <c r="E333" s="147"/>
      <c r="F333" s="61"/>
      <c r="G333" s="61"/>
      <c r="H333" s="147"/>
      <c r="I333" s="148"/>
      <c r="J333" s="61"/>
      <c r="K333" s="61"/>
      <c r="L333" s="147"/>
      <c r="M333" s="147"/>
      <c r="N333" s="147"/>
      <c r="O333" s="123">
        <f t="shared" si="187"/>
        <v>0</v>
      </c>
      <c r="P333" s="123">
        <f t="shared" si="188"/>
        <v>0</v>
      </c>
      <c r="Q333" s="122" t="str">
        <f t="shared" si="210"/>
        <v>ZeroEntry</v>
      </c>
      <c r="R333" s="126" t="str">
        <f t="shared" si="189"/>
        <v>ZeroEntry</v>
      </c>
      <c r="S333" s="127" t="str">
        <f t="shared" si="190"/>
        <v>ZeroEntry</v>
      </c>
      <c r="T333" s="128" t="str">
        <f>IF($Q333="ZeroEntry", "",VLOOKUP($I333,'Ranking Lookup'!#REF!,2,FALSE))</f>
        <v/>
      </c>
      <c r="U333" s="129" t="str">
        <f t="shared" si="191"/>
        <v/>
      </c>
      <c r="V333" s="129" t="str">
        <f t="shared" si="192"/>
        <v/>
      </c>
      <c r="W333" s="129" t="str">
        <f t="shared" si="193"/>
        <v/>
      </c>
      <c r="X333" s="129" t="str">
        <f t="shared" si="194"/>
        <v/>
      </c>
      <c r="Y333" s="129" t="str">
        <f t="shared" si="195"/>
        <v/>
      </c>
      <c r="Z333" s="129" t="str">
        <f t="shared" si="196"/>
        <v/>
      </c>
      <c r="AA333" s="130"/>
      <c r="AB333" s="130" t="str">
        <f t="shared" si="197"/>
        <v>Unassigned</v>
      </c>
      <c r="AC333" s="131" t="str">
        <f t="shared" si="211"/>
        <v/>
      </c>
      <c r="AD333" s="131" t="str">
        <f t="shared" si="212"/>
        <v/>
      </c>
      <c r="AE333" s="132">
        <f t="shared" si="198"/>
        <v>0</v>
      </c>
      <c r="AF333" s="133" t="str">
        <f t="shared" si="213"/>
        <v/>
      </c>
      <c r="AG333" s="134">
        <f t="shared" si="199"/>
        <v>0</v>
      </c>
      <c r="AH333" s="54" t="str">
        <f t="shared" si="200"/>
        <v/>
      </c>
      <c r="AI333" s="54" t="str">
        <f t="shared" si="201"/>
        <v/>
      </c>
      <c r="AJ333" s="54" t="str">
        <f t="shared" si="201"/>
        <v/>
      </c>
      <c r="AK333" s="54" t="str">
        <f t="shared" si="201"/>
        <v/>
      </c>
      <c r="AL333" s="54" t="str">
        <f t="shared" si="201"/>
        <v/>
      </c>
      <c r="AM333" s="54" t="str">
        <f t="shared" si="201"/>
        <v/>
      </c>
      <c r="AN333" s="54" t="str">
        <f t="shared" si="201"/>
        <v/>
      </c>
      <c r="AO333" s="54" t="str">
        <f t="shared" si="201"/>
        <v/>
      </c>
      <c r="AP333" s="54" t="str">
        <f t="shared" si="201"/>
        <v/>
      </c>
      <c r="AQ333" s="54" t="str">
        <f t="shared" si="201"/>
        <v/>
      </c>
      <c r="AR333" s="54" t="str">
        <f t="shared" si="201"/>
        <v/>
      </c>
      <c r="AS333" s="54" t="str">
        <f t="shared" si="201"/>
        <v/>
      </c>
      <c r="AT333" s="54" t="str">
        <f t="shared" si="201"/>
        <v/>
      </c>
      <c r="AU333" s="54" t="str">
        <f t="shared" si="201"/>
        <v/>
      </c>
      <c r="AV333" s="54" t="str">
        <f t="shared" si="201"/>
        <v/>
      </c>
      <c r="AW333" s="54" t="str">
        <f t="shared" si="201"/>
        <v/>
      </c>
      <c r="AX333" s="54" t="str">
        <f t="shared" si="201"/>
        <v/>
      </c>
      <c r="AY333" s="54" t="str">
        <f t="shared" si="214"/>
        <v/>
      </c>
      <c r="AZ333" s="54" t="str">
        <f t="shared" si="202"/>
        <v/>
      </c>
      <c r="BA333" s="54" t="str">
        <f t="shared" si="203"/>
        <v/>
      </c>
      <c r="BB333" s="135" t="str">
        <f t="shared" si="204"/>
        <v/>
      </c>
      <c r="BC333" s="54" t="str">
        <f t="shared" si="205"/>
        <v/>
      </c>
      <c r="BD333" s="54" t="str">
        <f t="shared" si="205"/>
        <v/>
      </c>
      <c r="BE333" s="54" t="str">
        <f t="shared" si="205"/>
        <v/>
      </c>
      <c r="BF333" s="54" t="str">
        <f t="shared" si="206"/>
        <v/>
      </c>
      <c r="BG333" s="54" t="str">
        <f t="shared" si="207"/>
        <v/>
      </c>
      <c r="BH333" s="34" t="str">
        <f t="shared" si="208"/>
        <v>Bad</v>
      </c>
      <c r="BI333" s="34" t="str">
        <f t="shared" si="209"/>
        <v>No</v>
      </c>
      <c r="BJ333" s="136" t="str">
        <f>IF($D333&lt;&gt;"Feature",".",
IF(VLOOKUP($B333,Feature_List!$A:$AM,MATCH(BJ$1,  Feature_List!$A$1:$AM$1,0),0)=B333,".","NO"))</f>
        <v>.</v>
      </c>
      <c r="BK333" s="136"/>
      <c r="BL333" s="136"/>
      <c r="BM333" s="136" t="str">
        <f>IF($D333&lt;&gt;"Feature",".",
IF(VLOOKUP($B333,Feature_List!$A:$AM,MATCH(BM$1,  Feature_List!$A$1:$AM$1,0),0)=E333,".","NO"))</f>
        <v>.</v>
      </c>
      <c r="BN333" s="136" t="str">
        <f>IF($D333&lt;&gt;"Feature",".",
IF(VLOOKUP($B333,Feature_List!$A:$AM,MATCH(BN$1,  Feature_List!$A$1:$AM$1,0),0)=F333,".","NO"))</f>
        <v>.</v>
      </c>
      <c r="BO333" s="136" t="str">
        <f>IF($D333&lt;&gt;"Feature",".",
IF(VLOOKUP($B333,Feature_List!$A:$AM,MATCH(BO$1,  Feature_List!$A$1:$AM$1,0),0)=G333,".","NO"))</f>
        <v>.</v>
      </c>
      <c r="BP333" s="136" t="str">
        <f>IF($D333&lt;&gt;"Feature",".",
IF(VLOOKUP($B333,Feature_List!$A:$AM,MATCH(BP$1,  Feature_List!$A$1:$AM$1,0),0)=H333,".","NO"))</f>
        <v>.</v>
      </c>
      <c r="BQ333" s="136"/>
      <c r="BR333" s="136" t="str">
        <f>IF($D333&lt;&gt;"Feature",".",
IF(VLOOKUP($B333,Feature_List!$A:$AM,MATCH(BR$1,  Feature_List!$A$1:$AM$1,0),0)=J333,".","NO"))</f>
        <v>.</v>
      </c>
      <c r="BS333" s="136"/>
      <c r="BT333" s="136"/>
      <c r="BU333" s="136" t="str">
        <f>IF($D333&lt;&gt;"Feature",".",
IF(VLOOKUP($B333,Feature_List!$A:$AM,MATCH(BU$1,  Feature_List!$A$1:$AM$1,0),0)=M333,".","NO"))</f>
        <v>.</v>
      </c>
      <c r="BV333" s="136" t="str">
        <f>IF($D333&lt;&gt;"Feature",".",
IF(VLOOKUP($B333,Feature_List!$A:$AM,MATCH(BV$1,  Feature_List!$A$1:$AM$1,0),0)=N333,".","NO"))</f>
        <v>.</v>
      </c>
      <c r="BW333" s="136"/>
      <c r="BX333" s="136"/>
      <c r="BY333" s="136"/>
      <c r="BZ333" s="136"/>
      <c r="CA333" s="136"/>
      <c r="CB333" s="136" t="str">
        <f>IF($D333&lt;&gt;"Feature",".",
IF(VLOOKUP($B333,Feature_List!$A:$AM,MATCH(CB$1,  Feature_List!$A$1:$AM$1,0),0)=T333,".","NO"))</f>
        <v>.</v>
      </c>
      <c r="CC333" s="136"/>
      <c r="CD333" s="136"/>
      <c r="CE333" s="136"/>
      <c r="CF333" s="136"/>
      <c r="CG333" s="136"/>
      <c r="CH333" s="136"/>
      <c r="CI333" s="136"/>
      <c r="CJ333" s="136"/>
      <c r="CK333" s="136"/>
      <c r="CL333" s="136"/>
      <c r="CM333" s="136"/>
      <c r="CN333" s="136"/>
      <c r="CO333" s="136" t="str">
        <f>IF($D333&lt;&gt;"Feature",".",
IF(VLOOKUP($B333,Feature_List!$A:$AM,MATCH(CO$1,  Feature_List!$A$1:$AM$1,0),0)=AG333,".","NO"))</f>
        <v>.</v>
      </c>
      <c r="CP333" s="136" t="str">
        <f>IF($D333&lt;&gt;"Feature",".",
IF(VLOOKUP($B333,Feature_List!$A:$AM,MATCH(CP$1,  Feature_List!$A$1:$AM$1,0),0)=AH333,".","NO"))</f>
        <v>.</v>
      </c>
      <c r="CQ333" s="136" t="str">
        <f>IF($D333&lt;&gt;"Feature",".",
IF(VLOOKUP($B333,Feature_List!$A:$AM,MATCH(CQ$1,  Feature_List!$A$1:$AM$1,0),0)=AI333,".","NO"))</f>
        <v>.</v>
      </c>
      <c r="CR333" s="136" t="str">
        <f>IF($D333&lt;&gt;"Feature",".",
IF(VLOOKUP($B333,Feature_List!$A:$AM,MATCH(CR$1,  Feature_List!$A$1:$AM$1,0),0)=AJ333,".","NO"))</f>
        <v>.</v>
      </c>
      <c r="CS333" s="136" t="str">
        <f>IF($D333&lt;&gt;"Feature",".",
IF(VLOOKUP($B333,Feature_List!$A:$AM,MATCH(CS$1,  Feature_List!$A$1:$AM$1,0),0)=AK333,".","NO"))</f>
        <v>.</v>
      </c>
      <c r="CT333" s="136" t="str">
        <f>IF($D333&lt;&gt;"Feature",".",
IF(VLOOKUP($B333,Feature_List!$A:$AM,MATCH(CT$1,  Feature_List!$A$1:$AM$1,0),0)=AL333,".","NO"))</f>
        <v>.</v>
      </c>
      <c r="CU333" s="136" t="str">
        <f>IF($D333&lt;&gt;"Feature",".",
IF(VLOOKUP($B333,Feature_List!$A:$AM,MATCH(CU$1,  Feature_List!$A$1:$AM$1,0),0)=AM333,".","NO"))</f>
        <v>.</v>
      </c>
      <c r="CV333" s="136" t="str">
        <f>IF($D333&lt;&gt;"Feature",".",
IF(VLOOKUP($B333,Feature_List!$A:$AM,MATCH(CV$1,  Feature_List!$A$1:$AM$1,0),0)=AN333,".","NO"))</f>
        <v>.</v>
      </c>
      <c r="CW333" s="136" t="str">
        <f>IF($D333&lt;&gt;"Feature",".",
IF(VLOOKUP($B333,Feature_List!$A:$AM,MATCH(CW$1,  Feature_List!$A$1:$AM$1,0),0)=AO333,".","NO"))</f>
        <v>.</v>
      </c>
      <c r="CX333" s="136" t="str">
        <f>IF($D333&lt;&gt;"Feature",".",
IF(VLOOKUP($B333,Feature_List!$A:$AM,MATCH(CX$1,  Feature_List!$A$1:$AM$1,0),0)=AP333,".","NO"))</f>
        <v>.</v>
      </c>
      <c r="CY333" s="136" t="str">
        <f>IF($D333&lt;&gt;"Feature",".",
IF(VLOOKUP($B333,Feature_List!$A:$AM,MATCH(CY$1,  Feature_List!$A$1:$AM$1,0),0)=AQ333,".","NO"))</f>
        <v>.</v>
      </c>
      <c r="CZ333" s="136" t="str">
        <f>IF($D333&lt;&gt;"Feature",".",
IF(VLOOKUP($B333,Feature_List!$A:$AM,MATCH(CZ$1,  Feature_List!$A$1:$AM$1,0),0)=AR333,".","NO"))</f>
        <v>.</v>
      </c>
      <c r="DA333" s="136" t="str">
        <f>IF($D333&lt;&gt;"Feature",".",
IF(VLOOKUP($B333,Feature_List!$A:$AM,MATCH(DA$1,  Feature_List!$A$1:$AM$1,0),0)=AS333,".","NO"))</f>
        <v>.</v>
      </c>
      <c r="DB333" s="136" t="str">
        <f>IF($D333&lt;&gt;"Feature",".",
IF(VLOOKUP($B333,Feature_List!$A:$AM,MATCH(DB$1,  Feature_List!$A$1:$AM$1,0),0)=AT333,".","NO"))</f>
        <v>.</v>
      </c>
      <c r="DC333" s="136" t="str">
        <f>IF($D333&lt;&gt;"Feature",".",
IF(VLOOKUP($B333,Feature_List!$A:$AM,MATCH(DC$1,  Feature_List!$A$1:$AM$1,0),0)=AU333,".","NO"))</f>
        <v>.</v>
      </c>
      <c r="DD333" s="136" t="str">
        <f>IF($D333&lt;&gt;"Feature",".",
IF(VLOOKUP($B333,Feature_List!$A:$AM,MATCH(DD$1,  Feature_List!$A$1:$AM$1,0),0)=AV333,".","NO"))</f>
        <v>.</v>
      </c>
      <c r="DE333" s="136" t="str">
        <f>IF($D333&lt;&gt;"Feature",".",
IF(VLOOKUP($B333,Feature_List!$A:$AM,MATCH(DE$1,  Feature_List!$A$1:$AM$1,0),0)=AW333,".","NO"))</f>
        <v>.</v>
      </c>
      <c r="DF333" s="136" t="str">
        <f>IF($D333&lt;&gt;"Feature",".",
IF(VLOOKUP($B333,Feature_List!$A:$AM,MATCH(DF$1,  Feature_List!$A$1:$AM$1,0),0)=AX333,".","NO"))</f>
        <v>.</v>
      </c>
      <c r="DG333" s="136" t="str">
        <f>IF($D333&lt;&gt;"Feature",".",
IF(VLOOKUP($B333,Feature_List!$A:$AM,MATCH(DG$1,  Feature_List!$A$1:$AM$1,0),0)=AY333,".","NO"))</f>
        <v>.</v>
      </c>
      <c r="DH333" s="136" t="str">
        <f>IF($D333&lt;&gt;"Feature",".",
IF(VLOOKUP($B333,Feature_List!$A:$AM,MATCH(DH$1,  Feature_List!$A$1:$AM$1,0),0)=AZ333,".","NO"))</f>
        <v>.</v>
      </c>
      <c r="DI333" s="136" t="str">
        <f>IF($D333&lt;&gt;"Feature",".",
IF(VLOOKUP($B333,Feature_List!$A:$AM,MATCH(DI$1,  Feature_List!$A$1:$AM$1,0),0)=BA333,".","NO"))</f>
        <v>.</v>
      </c>
      <c r="DJ333" s="136" t="str">
        <f>IF($D333&lt;&gt;"Feature",".",
IF(VLOOKUP($B333,Feature_List!$A:$AM,MATCH(DJ$1,  Feature_List!$A$1:$AM$1,0),0)=BB333,".","NO"))</f>
        <v>.</v>
      </c>
      <c r="DK333" s="136"/>
      <c r="DL333" s="136"/>
      <c r="DM333" s="136"/>
      <c r="DN333" s="136" t="str">
        <f>IF($D333&lt;&gt;"Feature",".",
IF(VLOOKUP($B333,Feature_List!$A:$AM,MATCH(DN$1,  Feature_List!$A$1:$AM$1,0),0)=BC333,".","NO"))</f>
        <v>.</v>
      </c>
      <c r="DO333" s="136" t="str">
        <f>IF($D333&lt;&gt;"Feature",".",
IF(VLOOKUP($B333,Feature_List!$A:$AM,MATCH(DO$1,  Feature_List!$A$1:$AM$1,0),0)=BD333,".","NO"))</f>
        <v>.</v>
      </c>
    </row>
    <row r="334" spans="2:119" x14ac:dyDescent="0.3">
      <c r="B334" s="146"/>
      <c r="C334" s="147"/>
      <c r="D334" s="147"/>
      <c r="E334" s="147"/>
      <c r="F334" s="61"/>
      <c r="G334" s="61"/>
      <c r="H334" s="147"/>
      <c r="I334" s="148"/>
      <c r="J334" s="61"/>
      <c r="K334" s="61"/>
      <c r="L334" s="147"/>
      <c r="M334" s="147"/>
      <c r="N334" s="147"/>
      <c r="O334" s="123">
        <f t="shared" si="187"/>
        <v>0</v>
      </c>
      <c r="P334" s="123">
        <f t="shared" si="188"/>
        <v>0</v>
      </c>
      <c r="Q334" s="122" t="str">
        <f t="shared" si="210"/>
        <v>ZeroEntry</v>
      </c>
      <c r="R334" s="126" t="str">
        <f t="shared" si="189"/>
        <v>ZeroEntry</v>
      </c>
      <c r="S334" s="127" t="str">
        <f t="shared" si="190"/>
        <v>ZeroEntry</v>
      </c>
      <c r="T334" s="128" t="str">
        <f>IF($Q334="ZeroEntry", "",VLOOKUP($I334,'Ranking Lookup'!#REF!,2,FALSE))</f>
        <v/>
      </c>
      <c r="U334" s="129" t="str">
        <f t="shared" si="191"/>
        <v/>
      </c>
      <c r="V334" s="129" t="str">
        <f t="shared" si="192"/>
        <v/>
      </c>
      <c r="W334" s="129" t="str">
        <f t="shared" si="193"/>
        <v/>
      </c>
      <c r="X334" s="129" t="str">
        <f t="shared" si="194"/>
        <v/>
      </c>
      <c r="Y334" s="129" t="str">
        <f t="shared" si="195"/>
        <v/>
      </c>
      <c r="Z334" s="129" t="str">
        <f t="shared" si="196"/>
        <v/>
      </c>
      <c r="AA334" s="130"/>
      <c r="AB334" s="130" t="str">
        <f t="shared" si="197"/>
        <v>Unassigned</v>
      </c>
      <c r="AC334" s="131" t="str">
        <f t="shared" si="211"/>
        <v/>
      </c>
      <c r="AD334" s="131" t="str">
        <f t="shared" si="212"/>
        <v/>
      </c>
      <c r="AE334" s="132">
        <f t="shared" si="198"/>
        <v>0</v>
      </c>
      <c r="AF334" s="133" t="str">
        <f t="shared" si="213"/>
        <v/>
      </c>
      <c r="AG334" s="134">
        <f t="shared" si="199"/>
        <v>0</v>
      </c>
      <c r="AH334" s="54" t="str">
        <f t="shared" si="200"/>
        <v/>
      </c>
      <c r="AI334" s="54" t="str">
        <f t="shared" si="201"/>
        <v/>
      </c>
      <c r="AJ334" s="54" t="str">
        <f t="shared" si="201"/>
        <v/>
      </c>
      <c r="AK334" s="54" t="str">
        <f t="shared" si="201"/>
        <v/>
      </c>
      <c r="AL334" s="54" t="str">
        <f t="shared" si="201"/>
        <v/>
      </c>
      <c r="AM334" s="54" t="str">
        <f t="shared" si="201"/>
        <v/>
      </c>
      <c r="AN334" s="54" t="str">
        <f t="shared" si="201"/>
        <v/>
      </c>
      <c r="AO334" s="54" t="str">
        <f t="shared" si="201"/>
        <v/>
      </c>
      <c r="AP334" s="54" t="str">
        <f t="shared" si="201"/>
        <v/>
      </c>
      <c r="AQ334" s="54" t="str">
        <f t="shared" si="201"/>
        <v/>
      </c>
      <c r="AR334" s="54" t="str">
        <f t="shared" si="201"/>
        <v/>
      </c>
      <c r="AS334" s="54" t="str">
        <f t="shared" si="201"/>
        <v/>
      </c>
      <c r="AT334" s="54" t="str">
        <f t="shared" si="201"/>
        <v/>
      </c>
      <c r="AU334" s="54" t="str">
        <f t="shared" si="201"/>
        <v/>
      </c>
      <c r="AV334" s="54" t="str">
        <f t="shared" si="201"/>
        <v/>
      </c>
      <c r="AW334" s="54" t="str">
        <f t="shared" si="201"/>
        <v/>
      </c>
      <c r="AX334" s="54" t="str">
        <f t="shared" si="201"/>
        <v/>
      </c>
      <c r="AY334" s="54" t="str">
        <f t="shared" si="214"/>
        <v/>
      </c>
      <c r="AZ334" s="54" t="str">
        <f t="shared" si="202"/>
        <v/>
      </c>
      <c r="BA334" s="54" t="str">
        <f t="shared" si="203"/>
        <v/>
      </c>
      <c r="BB334" s="135" t="str">
        <f t="shared" si="204"/>
        <v/>
      </c>
      <c r="BC334" s="54" t="str">
        <f t="shared" si="205"/>
        <v/>
      </c>
      <c r="BD334" s="54" t="str">
        <f t="shared" si="205"/>
        <v/>
      </c>
      <c r="BE334" s="54" t="str">
        <f t="shared" si="205"/>
        <v/>
      </c>
      <c r="BF334" s="54" t="str">
        <f t="shared" si="206"/>
        <v/>
      </c>
      <c r="BG334" s="54" t="str">
        <f t="shared" si="207"/>
        <v/>
      </c>
      <c r="BH334" s="34" t="str">
        <f t="shared" si="208"/>
        <v>Bad</v>
      </c>
      <c r="BI334" s="34" t="str">
        <f t="shared" si="209"/>
        <v>No</v>
      </c>
      <c r="BJ334" s="136" t="str">
        <f>IF($D334&lt;&gt;"Feature",".",
IF(VLOOKUP($B334,Feature_List!$A:$AM,MATCH(BJ$1,  Feature_List!$A$1:$AM$1,0),0)=B334,".","NO"))</f>
        <v>.</v>
      </c>
      <c r="BK334" s="136"/>
      <c r="BL334" s="136"/>
      <c r="BM334" s="136" t="str">
        <f>IF($D334&lt;&gt;"Feature",".",
IF(VLOOKUP($B334,Feature_List!$A:$AM,MATCH(BM$1,  Feature_List!$A$1:$AM$1,0),0)=E334,".","NO"))</f>
        <v>.</v>
      </c>
      <c r="BN334" s="136" t="str">
        <f>IF($D334&lt;&gt;"Feature",".",
IF(VLOOKUP($B334,Feature_List!$A:$AM,MATCH(BN$1,  Feature_List!$A$1:$AM$1,0),0)=F334,".","NO"))</f>
        <v>.</v>
      </c>
      <c r="BO334" s="136" t="str">
        <f>IF($D334&lt;&gt;"Feature",".",
IF(VLOOKUP($B334,Feature_List!$A:$AM,MATCH(BO$1,  Feature_List!$A$1:$AM$1,0),0)=G334,".","NO"))</f>
        <v>.</v>
      </c>
      <c r="BP334" s="136" t="str">
        <f>IF($D334&lt;&gt;"Feature",".",
IF(VLOOKUP($B334,Feature_List!$A:$AM,MATCH(BP$1,  Feature_List!$A$1:$AM$1,0),0)=H334,".","NO"))</f>
        <v>.</v>
      </c>
      <c r="BQ334" s="136"/>
      <c r="BR334" s="136" t="str">
        <f>IF($D334&lt;&gt;"Feature",".",
IF(VLOOKUP($B334,Feature_List!$A:$AM,MATCH(BR$1,  Feature_List!$A$1:$AM$1,0),0)=J334,".","NO"))</f>
        <v>.</v>
      </c>
      <c r="BS334" s="136"/>
      <c r="BT334" s="136"/>
      <c r="BU334" s="136" t="str">
        <f>IF($D334&lt;&gt;"Feature",".",
IF(VLOOKUP($B334,Feature_List!$A:$AM,MATCH(BU$1,  Feature_List!$A$1:$AM$1,0),0)=M334,".","NO"))</f>
        <v>.</v>
      </c>
      <c r="BV334" s="136" t="str">
        <f>IF($D334&lt;&gt;"Feature",".",
IF(VLOOKUP($B334,Feature_List!$A:$AM,MATCH(BV$1,  Feature_List!$A$1:$AM$1,0),0)=N334,".","NO"))</f>
        <v>.</v>
      </c>
      <c r="BW334" s="136"/>
      <c r="BX334" s="136"/>
      <c r="BY334" s="136"/>
      <c r="BZ334" s="136"/>
      <c r="CA334" s="136"/>
      <c r="CB334" s="136" t="str">
        <f>IF($D334&lt;&gt;"Feature",".",
IF(VLOOKUP($B334,Feature_List!$A:$AM,MATCH(CB$1,  Feature_List!$A$1:$AM$1,0),0)=T334,".","NO"))</f>
        <v>.</v>
      </c>
      <c r="CC334" s="136"/>
      <c r="CD334" s="136"/>
      <c r="CE334" s="136"/>
      <c r="CF334" s="136"/>
      <c r="CG334" s="136"/>
      <c r="CH334" s="136"/>
      <c r="CI334" s="136"/>
      <c r="CJ334" s="136"/>
      <c r="CK334" s="136"/>
      <c r="CL334" s="136"/>
      <c r="CM334" s="136"/>
      <c r="CN334" s="136"/>
      <c r="CO334" s="136" t="str">
        <f>IF($D334&lt;&gt;"Feature",".",
IF(VLOOKUP($B334,Feature_List!$A:$AM,MATCH(CO$1,  Feature_List!$A$1:$AM$1,0),0)=AG334,".","NO"))</f>
        <v>.</v>
      </c>
      <c r="CP334" s="136" t="str">
        <f>IF($D334&lt;&gt;"Feature",".",
IF(VLOOKUP($B334,Feature_List!$A:$AM,MATCH(CP$1,  Feature_List!$A$1:$AM$1,0),0)=AH334,".","NO"))</f>
        <v>.</v>
      </c>
      <c r="CQ334" s="136" t="str">
        <f>IF($D334&lt;&gt;"Feature",".",
IF(VLOOKUP($B334,Feature_List!$A:$AM,MATCH(CQ$1,  Feature_List!$A$1:$AM$1,0),0)=AI334,".","NO"))</f>
        <v>.</v>
      </c>
      <c r="CR334" s="136" t="str">
        <f>IF($D334&lt;&gt;"Feature",".",
IF(VLOOKUP($B334,Feature_List!$A:$AM,MATCH(CR$1,  Feature_List!$A$1:$AM$1,0),0)=AJ334,".","NO"))</f>
        <v>.</v>
      </c>
      <c r="CS334" s="136" t="str">
        <f>IF($D334&lt;&gt;"Feature",".",
IF(VLOOKUP($B334,Feature_List!$A:$AM,MATCH(CS$1,  Feature_List!$A$1:$AM$1,0),0)=AK334,".","NO"))</f>
        <v>.</v>
      </c>
      <c r="CT334" s="136" t="str">
        <f>IF($D334&lt;&gt;"Feature",".",
IF(VLOOKUP($B334,Feature_List!$A:$AM,MATCH(CT$1,  Feature_List!$A$1:$AM$1,0),0)=AL334,".","NO"))</f>
        <v>.</v>
      </c>
      <c r="CU334" s="136" t="str">
        <f>IF($D334&lt;&gt;"Feature",".",
IF(VLOOKUP($B334,Feature_List!$A:$AM,MATCH(CU$1,  Feature_List!$A$1:$AM$1,0),0)=AM334,".","NO"))</f>
        <v>.</v>
      </c>
      <c r="CV334" s="136" t="str">
        <f>IF($D334&lt;&gt;"Feature",".",
IF(VLOOKUP($B334,Feature_List!$A:$AM,MATCH(CV$1,  Feature_List!$A$1:$AM$1,0),0)=AN334,".","NO"))</f>
        <v>.</v>
      </c>
      <c r="CW334" s="136" t="str">
        <f>IF($D334&lt;&gt;"Feature",".",
IF(VLOOKUP($B334,Feature_List!$A:$AM,MATCH(CW$1,  Feature_List!$A$1:$AM$1,0),0)=AO334,".","NO"))</f>
        <v>.</v>
      </c>
      <c r="CX334" s="136" t="str">
        <f>IF($D334&lt;&gt;"Feature",".",
IF(VLOOKUP($B334,Feature_List!$A:$AM,MATCH(CX$1,  Feature_List!$A$1:$AM$1,0),0)=AP334,".","NO"))</f>
        <v>.</v>
      </c>
      <c r="CY334" s="136" t="str">
        <f>IF($D334&lt;&gt;"Feature",".",
IF(VLOOKUP($B334,Feature_List!$A:$AM,MATCH(CY$1,  Feature_List!$A$1:$AM$1,0),0)=AQ334,".","NO"))</f>
        <v>.</v>
      </c>
      <c r="CZ334" s="136" t="str">
        <f>IF($D334&lt;&gt;"Feature",".",
IF(VLOOKUP($B334,Feature_List!$A:$AM,MATCH(CZ$1,  Feature_List!$A$1:$AM$1,0),0)=AR334,".","NO"))</f>
        <v>.</v>
      </c>
      <c r="DA334" s="136" t="str">
        <f>IF($D334&lt;&gt;"Feature",".",
IF(VLOOKUP($B334,Feature_List!$A:$AM,MATCH(DA$1,  Feature_List!$A$1:$AM$1,0),0)=AS334,".","NO"))</f>
        <v>.</v>
      </c>
      <c r="DB334" s="136" t="str">
        <f>IF($D334&lt;&gt;"Feature",".",
IF(VLOOKUP($B334,Feature_List!$A:$AM,MATCH(DB$1,  Feature_List!$A$1:$AM$1,0),0)=AT334,".","NO"))</f>
        <v>.</v>
      </c>
      <c r="DC334" s="136" t="str">
        <f>IF($D334&lt;&gt;"Feature",".",
IF(VLOOKUP($B334,Feature_List!$A:$AM,MATCH(DC$1,  Feature_List!$A$1:$AM$1,0),0)=AU334,".","NO"))</f>
        <v>.</v>
      </c>
      <c r="DD334" s="136" t="str">
        <f>IF($D334&lt;&gt;"Feature",".",
IF(VLOOKUP($B334,Feature_List!$A:$AM,MATCH(DD$1,  Feature_List!$A$1:$AM$1,0),0)=AV334,".","NO"))</f>
        <v>.</v>
      </c>
      <c r="DE334" s="136" t="str">
        <f>IF($D334&lt;&gt;"Feature",".",
IF(VLOOKUP($B334,Feature_List!$A:$AM,MATCH(DE$1,  Feature_List!$A$1:$AM$1,0),0)=AW334,".","NO"))</f>
        <v>.</v>
      </c>
      <c r="DF334" s="136" t="str">
        <f>IF($D334&lt;&gt;"Feature",".",
IF(VLOOKUP($B334,Feature_List!$A:$AM,MATCH(DF$1,  Feature_List!$A$1:$AM$1,0),0)=AX334,".","NO"))</f>
        <v>.</v>
      </c>
      <c r="DG334" s="136" t="str">
        <f>IF($D334&lt;&gt;"Feature",".",
IF(VLOOKUP($B334,Feature_List!$A:$AM,MATCH(DG$1,  Feature_List!$A$1:$AM$1,0),0)=AY334,".","NO"))</f>
        <v>.</v>
      </c>
      <c r="DH334" s="136" t="str">
        <f>IF($D334&lt;&gt;"Feature",".",
IF(VLOOKUP($B334,Feature_List!$A:$AM,MATCH(DH$1,  Feature_List!$A$1:$AM$1,0),0)=AZ334,".","NO"))</f>
        <v>.</v>
      </c>
      <c r="DI334" s="136" t="str">
        <f>IF($D334&lt;&gt;"Feature",".",
IF(VLOOKUP($B334,Feature_List!$A:$AM,MATCH(DI$1,  Feature_List!$A$1:$AM$1,0),0)=BA334,".","NO"))</f>
        <v>.</v>
      </c>
      <c r="DJ334" s="136" t="str">
        <f>IF($D334&lt;&gt;"Feature",".",
IF(VLOOKUP($B334,Feature_List!$A:$AM,MATCH(DJ$1,  Feature_List!$A$1:$AM$1,0),0)=BB334,".","NO"))</f>
        <v>.</v>
      </c>
      <c r="DK334" s="136"/>
      <c r="DL334" s="136"/>
      <c r="DM334" s="136"/>
      <c r="DN334" s="136" t="str">
        <f>IF($D334&lt;&gt;"Feature",".",
IF(VLOOKUP($B334,Feature_List!$A:$AM,MATCH(DN$1,  Feature_List!$A$1:$AM$1,0),0)=BC334,".","NO"))</f>
        <v>.</v>
      </c>
      <c r="DO334" s="136" t="str">
        <f>IF($D334&lt;&gt;"Feature",".",
IF(VLOOKUP($B334,Feature_List!$A:$AM,MATCH(DO$1,  Feature_List!$A$1:$AM$1,0),0)=BD334,".","NO"))</f>
        <v>.</v>
      </c>
    </row>
    <row r="335" spans="2:119" x14ac:dyDescent="0.3">
      <c r="B335" s="146"/>
      <c r="C335" s="61"/>
      <c r="D335" s="147"/>
      <c r="E335" s="147"/>
      <c r="F335" s="61"/>
      <c r="G335" s="61"/>
      <c r="H335" s="147"/>
      <c r="I335" s="148"/>
      <c r="J335" s="61"/>
      <c r="K335" s="61"/>
      <c r="L335" s="147"/>
      <c r="M335" s="147"/>
      <c r="N335" s="147"/>
      <c r="O335" s="123">
        <f t="shared" si="187"/>
        <v>0</v>
      </c>
      <c r="P335" s="123">
        <f t="shared" si="188"/>
        <v>0</v>
      </c>
      <c r="Q335" s="122" t="str">
        <f t="shared" si="210"/>
        <v>ZeroEntry</v>
      </c>
      <c r="R335" s="126" t="str">
        <f t="shared" si="189"/>
        <v>ZeroEntry</v>
      </c>
      <c r="S335" s="127" t="str">
        <f t="shared" si="190"/>
        <v>ZeroEntry</v>
      </c>
      <c r="T335" s="128" t="str">
        <f>IF($Q335="ZeroEntry", "",VLOOKUP($I335,'Ranking Lookup'!#REF!,2,FALSE))</f>
        <v/>
      </c>
      <c r="U335" s="129" t="str">
        <f t="shared" si="191"/>
        <v/>
      </c>
      <c r="V335" s="129" t="str">
        <f t="shared" si="192"/>
        <v/>
      </c>
      <c r="W335" s="129" t="str">
        <f t="shared" si="193"/>
        <v/>
      </c>
      <c r="X335" s="129" t="str">
        <f t="shared" si="194"/>
        <v/>
      </c>
      <c r="Y335" s="129" t="str">
        <f t="shared" si="195"/>
        <v/>
      </c>
      <c r="Z335" s="129" t="str">
        <f t="shared" si="196"/>
        <v/>
      </c>
      <c r="AA335" s="130"/>
      <c r="AB335" s="130" t="str">
        <f t="shared" si="197"/>
        <v>Unassigned</v>
      </c>
      <c r="AC335" s="131" t="str">
        <f t="shared" si="211"/>
        <v/>
      </c>
      <c r="AD335" s="131" t="str">
        <f t="shared" si="212"/>
        <v/>
      </c>
      <c r="AE335" s="132">
        <f t="shared" si="198"/>
        <v>0</v>
      </c>
      <c r="AF335" s="133" t="str">
        <f t="shared" si="213"/>
        <v/>
      </c>
      <c r="AG335" s="134">
        <f t="shared" si="199"/>
        <v>0</v>
      </c>
      <c r="AH335" s="54" t="str">
        <f t="shared" si="200"/>
        <v/>
      </c>
      <c r="AI335" s="54" t="str">
        <f t="shared" si="201"/>
        <v/>
      </c>
      <c r="AJ335" s="54" t="str">
        <f t="shared" si="201"/>
        <v/>
      </c>
      <c r="AK335" s="54" t="str">
        <f t="shared" si="201"/>
        <v/>
      </c>
      <c r="AL335" s="54" t="str">
        <f t="shared" si="201"/>
        <v/>
      </c>
      <c r="AM335" s="54" t="str">
        <f t="shared" si="201"/>
        <v/>
      </c>
      <c r="AN335" s="54" t="str">
        <f t="shared" si="201"/>
        <v/>
      </c>
      <c r="AO335" s="54" t="str">
        <f t="shared" si="201"/>
        <v/>
      </c>
      <c r="AP335" s="54" t="str">
        <f t="shared" si="201"/>
        <v/>
      </c>
      <c r="AQ335" s="54" t="str">
        <f t="shared" si="201"/>
        <v/>
      </c>
      <c r="AR335" s="54" t="str">
        <f t="shared" si="201"/>
        <v/>
      </c>
      <c r="AS335" s="54" t="str">
        <f t="shared" si="201"/>
        <v/>
      </c>
      <c r="AT335" s="54" t="str">
        <f t="shared" si="201"/>
        <v/>
      </c>
      <c r="AU335" s="54" t="str">
        <f t="shared" si="201"/>
        <v/>
      </c>
      <c r="AV335" s="54" t="str">
        <f t="shared" si="201"/>
        <v/>
      </c>
      <c r="AW335" s="54" t="str">
        <f t="shared" si="201"/>
        <v/>
      </c>
      <c r="AX335" s="54" t="str">
        <f t="shared" si="201"/>
        <v/>
      </c>
      <c r="AY335" s="54" t="str">
        <f t="shared" si="214"/>
        <v/>
      </c>
      <c r="AZ335" s="54" t="str">
        <f t="shared" si="202"/>
        <v/>
      </c>
      <c r="BA335" s="54" t="str">
        <f t="shared" si="203"/>
        <v/>
      </c>
      <c r="BB335" s="135" t="str">
        <f t="shared" si="204"/>
        <v/>
      </c>
      <c r="BC335" s="54" t="str">
        <f t="shared" si="205"/>
        <v/>
      </c>
      <c r="BD335" s="54" t="str">
        <f t="shared" si="205"/>
        <v/>
      </c>
      <c r="BE335" s="54" t="str">
        <f t="shared" si="205"/>
        <v/>
      </c>
      <c r="BF335" s="54" t="str">
        <f t="shared" si="206"/>
        <v/>
      </c>
      <c r="BG335" s="54" t="str">
        <f t="shared" si="207"/>
        <v/>
      </c>
      <c r="BH335" s="34" t="str">
        <f t="shared" si="208"/>
        <v>Bad</v>
      </c>
      <c r="BI335" s="34" t="str">
        <f t="shared" si="209"/>
        <v>No</v>
      </c>
      <c r="BJ335" s="136" t="str">
        <f>IF($D335&lt;&gt;"Feature",".",
IF(VLOOKUP($B335,Feature_List!$A:$AM,MATCH(BJ$1,  Feature_List!$A$1:$AM$1,0),0)=B335,".","NO"))</f>
        <v>.</v>
      </c>
      <c r="BK335" s="136"/>
      <c r="BL335" s="136"/>
      <c r="BM335" s="136" t="str">
        <f>IF($D335&lt;&gt;"Feature",".",
IF(VLOOKUP($B335,Feature_List!$A:$AM,MATCH(BM$1,  Feature_List!$A$1:$AM$1,0),0)=E335,".","NO"))</f>
        <v>.</v>
      </c>
      <c r="BN335" s="136" t="str">
        <f>IF($D335&lt;&gt;"Feature",".",
IF(VLOOKUP($B335,Feature_List!$A:$AM,MATCH(BN$1,  Feature_List!$A$1:$AM$1,0),0)=F335,".","NO"))</f>
        <v>.</v>
      </c>
      <c r="BO335" s="136" t="str">
        <f>IF($D335&lt;&gt;"Feature",".",
IF(VLOOKUP($B335,Feature_List!$A:$AM,MATCH(BO$1,  Feature_List!$A$1:$AM$1,0),0)=G335,".","NO"))</f>
        <v>.</v>
      </c>
      <c r="BP335" s="136" t="str">
        <f>IF($D335&lt;&gt;"Feature",".",
IF(VLOOKUP($B335,Feature_List!$A:$AM,MATCH(BP$1,  Feature_List!$A$1:$AM$1,0),0)=H335,".","NO"))</f>
        <v>.</v>
      </c>
      <c r="BQ335" s="136"/>
      <c r="BR335" s="136" t="str">
        <f>IF($D335&lt;&gt;"Feature",".",
IF(VLOOKUP($B335,Feature_List!$A:$AM,MATCH(BR$1,  Feature_List!$A$1:$AM$1,0),0)=J335,".","NO"))</f>
        <v>.</v>
      </c>
      <c r="BS335" s="136"/>
      <c r="BT335" s="136"/>
      <c r="BU335" s="136" t="str">
        <f>IF($D335&lt;&gt;"Feature",".",
IF(VLOOKUP($B335,Feature_List!$A:$AM,MATCH(BU$1,  Feature_List!$A$1:$AM$1,0),0)=M335,".","NO"))</f>
        <v>.</v>
      </c>
      <c r="BV335" s="136" t="str">
        <f>IF($D335&lt;&gt;"Feature",".",
IF(VLOOKUP($B335,Feature_List!$A:$AM,MATCH(BV$1,  Feature_List!$A$1:$AM$1,0),0)=N335,".","NO"))</f>
        <v>.</v>
      </c>
      <c r="BW335" s="136"/>
      <c r="BX335" s="136"/>
      <c r="BY335" s="136"/>
      <c r="BZ335" s="136"/>
      <c r="CA335" s="136"/>
      <c r="CB335" s="136" t="str">
        <f>IF($D335&lt;&gt;"Feature",".",
IF(VLOOKUP($B335,Feature_List!$A:$AM,MATCH(CB$1,  Feature_List!$A$1:$AM$1,0),0)=T335,".","NO"))</f>
        <v>.</v>
      </c>
      <c r="CC335" s="136"/>
      <c r="CD335" s="136"/>
      <c r="CE335" s="136"/>
      <c r="CF335" s="136"/>
      <c r="CG335" s="136"/>
      <c r="CH335" s="136"/>
      <c r="CI335" s="136"/>
      <c r="CJ335" s="136"/>
      <c r="CK335" s="136"/>
      <c r="CL335" s="136"/>
      <c r="CM335" s="136"/>
      <c r="CN335" s="136"/>
      <c r="CO335" s="136" t="str">
        <f>IF($D335&lt;&gt;"Feature",".",
IF(VLOOKUP($B335,Feature_List!$A:$AM,MATCH(CO$1,  Feature_List!$A$1:$AM$1,0),0)=AG335,".","NO"))</f>
        <v>.</v>
      </c>
      <c r="CP335" s="136" t="str">
        <f>IF($D335&lt;&gt;"Feature",".",
IF(VLOOKUP($B335,Feature_List!$A:$AM,MATCH(CP$1,  Feature_List!$A$1:$AM$1,0),0)=AH335,".","NO"))</f>
        <v>.</v>
      </c>
      <c r="CQ335" s="136" t="str">
        <f>IF($D335&lt;&gt;"Feature",".",
IF(VLOOKUP($B335,Feature_List!$A:$AM,MATCH(CQ$1,  Feature_List!$A$1:$AM$1,0),0)=AI335,".","NO"))</f>
        <v>.</v>
      </c>
      <c r="CR335" s="136" t="str">
        <f>IF($D335&lt;&gt;"Feature",".",
IF(VLOOKUP($B335,Feature_List!$A:$AM,MATCH(CR$1,  Feature_List!$A$1:$AM$1,0),0)=AJ335,".","NO"))</f>
        <v>.</v>
      </c>
      <c r="CS335" s="136" t="str">
        <f>IF($D335&lt;&gt;"Feature",".",
IF(VLOOKUP($B335,Feature_List!$A:$AM,MATCH(CS$1,  Feature_List!$A$1:$AM$1,0),0)=AK335,".","NO"))</f>
        <v>.</v>
      </c>
      <c r="CT335" s="136" t="str">
        <f>IF($D335&lt;&gt;"Feature",".",
IF(VLOOKUP($B335,Feature_List!$A:$AM,MATCH(CT$1,  Feature_List!$A$1:$AM$1,0),0)=AL335,".","NO"))</f>
        <v>.</v>
      </c>
      <c r="CU335" s="136" t="str">
        <f>IF($D335&lt;&gt;"Feature",".",
IF(VLOOKUP($B335,Feature_List!$A:$AM,MATCH(CU$1,  Feature_List!$A$1:$AM$1,0),0)=AM335,".","NO"))</f>
        <v>.</v>
      </c>
      <c r="CV335" s="136" t="str">
        <f>IF($D335&lt;&gt;"Feature",".",
IF(VLOOKUP($B335,Feature_List!$A:$AM,MATCH(CV$1,  Feature_List!$A$1:$AM$1,0),0)=AN335,".","NO"))</f>
        <v>.</v>
      </c>
      <c r="CW335" s="136" t="str">
        <f>IF($D335&lt;&gt;"Feature",".",
IF(VLOOKUP($B335,Feature_List!$A:$AM,MATCH(CW$1,  Feature_List!$A$1:$AM$1,0),0)=AO335,".","NO"))</f>
        <v>.</v>
      </c>
      <c r="CX335" s="136" t="str">
        <f>IF($D335&lt;&gt;"Feature",".",
IF(VLOOKUP($B335,Feature_List!$A:$AM,MATCH(CX$1,  Feature_List!$A$1:$AM$1,0),0)=AP335,".","NO"))</f>
        <v>.</v>
      </c>
      <c r="CY335" s="136" t="str">
        <f>IF($D335&lt;&gt;"Feature",".",
IF(VLOOKUP($B335,Feature_List!$A:$AM,MATCH(CY$1,  Feature_List!$A$1:$AM$1,0),0)=AQ335,".","NO"))</f>
        <v>.</v>
      </c>
      <c r="CZ335" s="136" t="str">
        <f>IF($D335&lt;&gt;"Feature",".",
IF(VLOOKUP($B335,Feature_List!$A:$AM,MATCH(CZ$1,  Feature_List!$A$1:$AM$1,0),0)=AR335,".","NO"))</f>
        <v>.</v>
      </c>
      <c r="DA335" s="136" t="str">
        <f>IF($D335&lt;&gt;"Feature",".",
IF(VLOOKUP($B335,Feature_List!$A:$AM,MATCH(DA$1,  Feature_List!$A$1:$AM$1,0),0)=AS335,".","NO"))</f>
        <v>.</v>
      </c>
      <c r="DB335" s="136" t="str">
        <f>IF($D335&lt;&gt;"Feature",".",
IF(VLOOKUP($B335,Feature_List!$A:$AM,MATCH(DB$1,  Feature_List!$A$1:$AM$1,0),0)=AT335,".","NO"))</f>
        <v>.</v>
      </c>
      <c r="DC335" s="136" t="str">
        <f>IF($D335&lt;&gt;"Feature",".",
IF(VLOOKUP($B335,Feature_List!$A:$AM,MATCH(DC$1,  Feature_List!$A$1:$AM$1,0),0)=AU335,".","NO"))</f>
        <v>.</v>
      </c>
      <c r="DD335" s="136" t="str">
        <f>IF($D335&lt;&gt;"Feature",".",
IF(VLOOKUP($B335,Feature_List!$A:$AM,MATCH(DD$1,  Feature_List!$A$1:$AM$1,0),0)=AV335,".","NO"))</f>
        <v>.</v>
      </c>
      <c r="DE335" s="136" t="str">
        <f>IF($D335&lt;&gt;"Feature",".",
IF(VLOOKUP($B335,Feature_List!$A:$AM,MATCH(DE$1,  Feature_List!$A$1:$AM$1,0),0)=AW335,".","NO"))</f>
        <v>.</v>
      </c>
      <c r="DF335" s="136" t="str">
        <f>IF($D335&lt;&gt;"Feature",".",
IF(VLOOKUP($B335,Feature_List!$A:$AM,MATCH(DF$1,  Feature_List!$A$1:$AM$1,0),0)=AX335,".","NO"))</f>
        <v>.</v>
      </c>
      <c r="DG335" s="136" t="str">
        <f>IF($D335&lt;&gt;"Feature",".",
IF(VLOOKUP($B335,Feature_List!$A:$AM,MATCH(DG$1,  Feature_List!$A$1:$AM$1,0),0)=AY335,".","NO"))</f>
        <v>.</v>
      </c>
      <c r="DH335" s="136" t="str">
        <f>IF($D335&lt;&gt;"Feature",".",
IF(VLOOKUP($B335,Feature_List!$A:$AM,MATCH(DH$1,  Feature_List!$A$1:$AM$1,0),0)=AZ335,".","NO"))</f>
        <v>.</v>
      </c>
      <c r="DI335" s="136" t="str">
        <f>IF($D335&lt;&gt;"Feature",".",
IF(VLOOKUP($B335,Feature_List!$A:$AM,MATCH(DI$1,  Feature_List!$A$1:$AM$1,0),0)=BA335,".","NO"))</f>
        <v>.</v>
      </c>
      <c r="DJ335" s="136" t="str">
        <f>IF($D335&lt;&gt;"Feature",".",
IF(VLOOKUP($B335,Feature_List!$A:$AM,MATCH(DJ$1,  Feature_List!$A$1:$AM$1,0),0)=BB335,".","NO"))</f>
        <v>.</v>
      </c>
      <c r="DK335" s="136"/>
      <c r="DL335" s="136"/>
      <c r="DM335" s="136"/>
      <c r="DN335" s="136" t="str">
        <f>IF($D335&lt;&gt;"Feature",".",
IF(VLOOKUP($B335,Feature_List!$A:$AM,MATCH(DN$1,  Feature_List!$A$1:$AM$1,0),0)=BC335,".","NO"))</f>
        <v>.</v>
      </c>
      <c r="DO335" s="136" t="str">
        <f>IF($D335&lt;&gt;"Feature",".",
IF(VLOOKUP($B335,Feature_List!$A:$AM,MATCH(DO$1,  Feature_List!$A$1:$AM$1,0),0)=BD335,".","NO"))</f>
        <v>.</v>
      </c>
    </row>
    <row r="336" spans="2:119" x14ac:dyDescent="0.3">
      <c r="B336" s="146"/>
      <c r="C336" s="147"/>
      <c r="D336" s="147"/>
      <c r="E336" s="147"/>
      <c r="F336" s="61"/>
      <c r="G336" s="61"/>
      <c r="H336" s="147"/>
      <c r="I336" s="148"/>
      <c r="J336" s="61"/>
      <c r="K336" s="61"/>
      <c r="L336" s="147"/>
      <c r="M336" s="147"/>
      <c r="N336" s="147"/>
      <c r="O336" s="123">
        <f t="shared" si="187"/>
        <v>0</v>
      </c>
      <c r="P336" s="123">
        <f t="shared" si="188"/>
        <v>0</v>
      </c>
      <c r="Q336" s="122" t="str">
        <f t="shared" si="210"/>
        <v>ZeroEntry</v>
      </c>
      <c r="R336" s="126" t="str">
        <f t="shared" si="189"/>
        <v>ZeroEntry</v>
      </c>
      <c r="S336" s="127" t="str">
        <f t="shared" si="190"/>
        <v>ZeroEntry</v>
      </c>
      <c r="T336" s="128" t="str">
        <f>IF($Q336="ZeroEntry", "",VLOOKUP($I336,'Ranking Lookup'!#REF!,2,FALSE))</f>
        <v/>
      </c>
      <c r="U336" s="129" t="str">
        <f t="shared" si="191"/>
        <v/>
      </c>
      <c r="V336" s="129" t="str">
        <f t="shared" si="192"/>
        <v/>
      </c>
      <c r="W336" s="129" t="str">
        <f t="shared" si="193"/>
        <v/>
      </c>
      <c r="X336" s="129" t="str">
        <f t="shared" si="194"/>
        <v/>
      </c>
      <c r="Y336" s="129" t="str">
        <f t="shared" si="195"/>
        <v/>
      </c>
      <c r="Z336" s="129" t="str">
        <f t="shared" si="196"/>
        <v/>
      </c>
      <c r="AA336" s="130"/>
      <c r="AB336" s="130" t="str">
        <f t="shared" si="197"/>
        <v>Unassigned</v>
      </c>
      <c r="AC336" s="131" t="str">
        <f t="shared" si="211"/>
        <v/>
      </c>
      <c r="AD336" s="131" t="str">
        <f t="shared" si="212"/>
        <v/>
      </c>
      <c r="AE336" s="132">
        <f t="shared" si="198"/>
        <v>0</v>
      </c>
      <c r="AF336" s="133" t="str">
        <f t="shared" si="213"/>
        <v/>
      </c>
      <c r="AG336" s="134">
        <f t="shared" si="199"/>
        <v>0</v>
      </c>
      <c r="AH336" s="54" t="str">
        <f t="shared" si="200"/>
        <v/>
      </c>
      <c r="AI336" s="54" t="str">
        <f t="shared" si="201"/>
        <v/>
      </c>
      <c r="AJ336" s="54" t="str">
        <f t="shared" si="201"/>
        <v/>
      </c>
      <c r="AK336" s="54" t="str">
        <f t="shared" si="201"/>
        <v/>
      </c>
      <c r="AL336" s="54" t="str">
        <f t="shared" si="201"/>
        <v/>
      </c>
      <c r="AM336" s="54" t="str">
        <f t="shared" si="201"/>
        <v/>
      </c>
      <c r="AN336" s="54" t="str">
        <f t="shared" si="201"/>
        <v/>
      </c>
      <c r="AO336" s="54" t="str">
        <f t="shared" si="201"/>
        <v/>
      </c>
      <c r="AP336" s="54" t="str">
        <f t="shared" si="201"/>
        <v/>
      </c>
      <c r="AQ336" s="54" t="str">
        <f t="shared" si="201"/>
        <v/>
      </c>
      <c r="AR336" s="54" t="str">
        <f t="shared" si="201"/>
        <v/>
      </c>
      <c r="AS336" s="54" t="str">
        <f t="shared" si="201"/>
        <v/>
      </c>
      <c r="AT336" s="54" t="str">
        <f t="shared" si="201"/>
        <v/>
      </c>
      <c r="AU336" s="54" t="str">
        <f t="shared" si="201"/>
        <v/>
      </c>
      <c r="AV336" s="54" t="str">
        <f t="shared" si="201"/>
        <v/>
      </c>
      <c r="AW336" s="54" t="str">
        <f t="shared" si="201"/>
        <v/>
      </c>
      <c r="AX336" s="54" t="str">
        <f t="shared" si="201"/>
        <v/>
      </c>
      <c r="AY336" s="54" t="str">
        <f t="shared" si="214"/>
        <v/>
      </c>
      <c r="AZ336" s="54" t="str">
        <f t="shared" si="202"/>
        <v/>
      </c>
      <c r="BA336" s="54" t="str">
        <f t="shared" si="203"/>
        <v/>
      </c>
      <c r="BB336" s="135" t="str">
        <f t="shared" si="204"/>
        <v/>
      </c>
      <c r="BC336" s="54" t="str">
        <f t="shared" si="205"/>
        <v/>
      </c>
      <c r="BD336" s="54" t="str">
        <f t="shared" si="205"/>
        <v/>
      </c>
      <c r="BE336" s="54" t="str">
        <f t="shared" si="205"/>
        <v/>
      </c>
      <c r="BF336" s="54" t="str">
        <f t="shared" si="206"/>
        <v/>
      </c>
      <c r="BG336" s="54" t="str">
        <f t="shared" si="207"/>
        <v/>
      </c>
      <c r="BH336" s="34" t="str">
        <f t="shared" si="208"/>
        <v>Bad</v>
      </c>
      <c r="BI336" s="34" t="str">
        <f t="shared" si="209"/>
        <v>No</v>
      </c>
      <c r="BJ336" s="136" t="str">
        <f>IF($D336&lt;&gt;"Feature",".",
IF(VLOOKUP($B336,Feature_List!$A:$AM,MATCH(BJ$1,  Feature_List!$A$1:$AM$1,0),0)=B336,".","NO"))</f>
        <v>.</v>
      </c>
      <c r="BK336" s="136"/>
      <c r="BL336" s="136"/>
      <c r="BM336" s="136" t="str">
        <f>IF($D336&lt;&gt;"Feature",".",
IF(VLOOKUP($B336,Feature_List!$A:$AM,MATCH(BM$1,  Feature_List!$A$1:$AM$1,0),0)=E336,".","NO"))</f>
        <v>.</v>
      </c>
      <c r="BN336" s="136" t="str">
        <f>IF($D336&lt;&gt;"Feature",".",
IF(VLOOKUP($B336,Feature_List!$A:$AM,MATCH(BN$1,  Feature_List!$A$1:$AM$1,0),0)=F336,".","NO"))</f>
        <v>.</v>
      </c>
      <c r="BO336" s="136" t="str">
        <f>IF($D336&lt;&gt;"Feature",".",
IF(VLOOKUP($B336,Feature_List!$A:$AM,MATCH(BO$1,  Feature_List!$A$1:$AM$1,0),0)=G336,".","NO"))</f>
        <v>.</v>
      </c>
      <c r="BP336" s="136" t="str">
        <f>IF($D336&lt;&gt;"Feature",".",
IF(VLOOKUP($B336,Feature_List!$A:$AM,MATCH(BP$1,  Feature_List!$A$1:$AM$1,0),0)=H336,".","NO"))</f>
        <v>.</v>
      </c>
      <c r="BQ336" s="136"/>
      <c r="BR336" s="136" t="str">
        <f>IF($D336&lt;&gt;"Feature",".",
IF(VLOOKUP($B336,Feature_List!$A:$AM,MATCH(BR$1,  Feature_List!$A$1:$AM$1,0),0)=J336,".","NO"))</f>
        <v>.</v>
      </c>
      <c r="BS336" s="136"/>
      <c r="BT336" s="136"/>
      <c r="BU336" s="136" t="str">
        <f>IF($D336&lt;&gt;"Feature",".",
IF(VLOOKUP($B336,Feature_List!$A:$AM,MATCH(BU$1,  Feature_List!$A$1:$AM$1,0),0)=M336,".","NO"))</f>
        <v>.</v>
      </c>
      <c r="BV336" s="136" t="str">
        <f>IF($D336&lt;&gt;"Feature",".",
IF(VLOOKUP($B336,Feature_List!$A:$AM,MATCH(BV$1,  Feature_List!$A$1:$AM$1,0),0)=N336,".","NO"))</f>
        <v>.</v>
      </c>
      <c r="BW336" s="136"/>
      <c r="BX336" s="136"/>
      <c r="BY336" s="136"/>
      <c r="BZ336" s="136"/>
      <c r="CA336" s="136"/>
      <c r="CB336" s="136" t="str">
        <f>IF($D336&lt;&gt;"Feature",".",
IF(VLOOKUP($B336,Feature_List!$A:$AM,MATCH(CB$1,  Feature_List!$A$1:$AM$1,0),0)=T336,".","NO"))</f>
        <v>.</v>
      </c>
      <c r="CC336" s="136"/>
      <c r="CD336" s="136"/>
      <c r="CE336" s="136"/>
      <c r="CF336" s="136"/>
      <c r="CG336" s="136"/>
      <c r="CH336" s="136"/>
      <c r="CI336" s="136"/>
      <c r="CJ336" s="136"/>
      <c r="CK336" s="136"/>
      <c r="CL336" s="136"/>
      <c r="CM336" s="136"/>
      <c r="CN336" s="136"/>
      <c r="CO336" s="136" t="str">
        <f>IF($D336&lt;&gt;"Feature",".",
IF(VLOOKUP($B336,Feature_List!$A:$AM,MATCH(CO$1,  Feature_List!$A$1:$AM$1,0),0)=AG336,".","NO"))</f>
        <v>.</v>
      </c>
      <c r="CP336" s="136" t="str">
        <f>IF($D336&lt;&gt;"Feature",".",
IF(VLOOKUP($B336,Feature_List!$A:$AM,MATCH(CP$1,  Feature_List!$A$1:$AM$1,0),0)=AH336,".","NO"))</f>
        <v>.</v>
      </c>
      <c r="CQ336" s="136" t="str">
        <f>IF($D336&lt;&gt;"Feature",".",
IF(VLOOKUP($B336,Feature_List!$A:$AM,MATCH(CQ$1,  Feature_List!$A$1:$AM$1,0),0)=AI336,".","NO"))</f>
        <v>.</v>
      </c>
      <c r="CR336" s="136" t="str">
        <f>IF($D336&lt;&gt;"Feature",".",
IF(VLOOKUP($B336,Feature_List!$A:$AM,MATCH(CR$1,  Feature_List!$A$1:$AM$1,0),0)=AJ336,".","NO"))</f>
        <v>.</v>
      </c>
      <c r="CS336" s="136" t="str">
        <f>IF($D336&lt;&gt;"Feature",".",
IF(VLOOKUP($B336,Feature_List!$A:$AM,MATCH(CS$1,  Feature_List!$A$1:$AM$1,0),0)=AK336,".","NO"))</f>
        <v>.</v>
      </c>
      <c r="CT336" s="136" t="str">
        <f>IF($D336&lt;&gt;"Feature",".",
IF(VLOOKUP($B336,Feature_List!$A:$AM,MATCH(CT$1,  Feature_List!$A$1:$AM$1,0),0)=AL336,".","NO"))</f>
        <v>.</v>
      </c>
      <c r="CU336" s="136" t="str">
        <f>IF($D336&lt;&gt;"Feature",".",
IF(VLOOKUP($B336,Feature_List!$A:$AM,MATCH(CU$1,  Feature_List!$A$1:$AM$1,0),0)=AM336,".","NO"))</f>
        <v>.</v>
      </c>
      <c r="CV336" s="136" t="str">
        <f>IF($D336&lt;&gt;"Feature",".",
IF(VLOOKUP($B336,Feature_List!$A:$AM,MATCH(CV$1,  Feature_List!$A$1:$AM$1,0),0)=AN336,".","NO"))</f>
        <v>.</v>
      </c>
      <c r="CW336" s="136" t="str">
        <f>IF($D336&lt;&gt;"Feature",".",
IF(VLOOKUP($B336,Feature_List!$A:$AM,MATCH(CW$1,  Feature_List!$A$1:$AM$1,0),0)=AO336,".","NO"))</f>
        <v>.</v>
      </c>
      <c r="CX336" s="136" t="str">
        <f>IF($D336&lt;&gt;"Feature",".",
IF(VLOOKUP($B336,Feature_List!$A:$AM,MATCH(CX$1,  Feature_List!$A$1:$AM$1,0),0)=AP336,".","NO"))</f>
        <v>.</v>
      </c>
      <c r="CY336" s="136" t="str">
        <f>IF($D336&lt;&gt;"Feature",".",
IF(VLOOKUP($B336,Feature_List!$A:$AM,MATCH(CY$1,  Feature_List!$A$1:$AM$1,0),0)=AQ336,".","NO"))</f>
        <v>.</v>
      </c>
      <c r="CZ336" s="136" t="str">
        <f>IF($D336&lt;&gt;"Feature",".",
IF(VLOOKUP($B336,Feature_List!$A:$AM,MATCH(CZ$1,  Feature_List!$A$1:$AM$1,0),0)=AR336,".","NO"))</f>
        <v>.</v>
      </c>
      <c r="DA336" s="136" t="str">
        <f>IF($D336&lt;&gt;"Feature",".",
IF(VLOOKUP($B336,Feature_List!$A:$AM,MATCH(DA$1,  Feature_List!$A$1:$AM$1,0),0)=AS336,".","NO"))</f>
        <v>.</v>
      </c>
      <c r="DB336" s="136" t="str">
        <f>IF($D336&lt;&gt;"Feature",".",
IF(VLOOKUP($B336,Feature_List!$A:$AM,MATCH(DB$1,  Feature_List!$A$1:$AM$1,0),0)=AT336,".","NO"))</f>
        <v>.</v>
      </c>
      <c r="DC336" s="136" t="str">
        <f>IF($D336&lt;&gt;"Feature",".",
IF(VLOOKUP($B336,Feature_List!$A:$AM,MATCH(DC$1,  Feature_List!$A$1:$AM$1,0),0)=AU336,".","NO"))</f>
        <v>.</v>
      </c>
      <c r="DD336" s="136" t="str">
        <f>IF($D336&lt;&gt;"Feature",".",
IF(VLOOKUP($B336,Feature_List!$A:$AM,MATCH(DD$1,  Feature_List!$A$1:$AM$1,0),0)=AV336,".","NO"))</f>
        <v>.</v>
      </c>
      <c r="DE336" s="136" t="str">
        <f>IF($D336&lt;&gt;"Feature",".",
IF(VLOOKUP($B336,Feature_List!$A:$AM,MATCH(DE$1,  Feature_List!$A$1:$AM$1,0),0)=AW336,".","NO"))</f>
        <v>.</v>
      </c>
      <c r="DF336" s="136" t="str">
        <f>IF($D336&lt;&gt;"Feature",".",
IF(VLOOKUP($B336,Feature_List!$A:$AM,MATCH(DF$1,  Feature_List!$A$1:$AM$1,0),0)=AX336,".","NO"))</f>
        <v>.</v>
      </c>
      <c r="DG336" s="136" t="str">
        <f>IF($D336&lt;&gt;"Feature",".",
IF(VLOOKUP($B336,Feature_List!$A:$AM,MATCH(DG$1,  Feature_List!$A$1:$AM$1,0),0)=AY336,".","NO"))</f>
        <v>.</v>
      </c>
      <c r="DH336" s="136" t="str">
        <f>IF($D336&lt;&gt;"Feature",".",
IF(VLOOKUP($B336,Feature_List!$A:$AM,MATCH(DH$1,  Feature_List!$A$1:$AM$1,0),0)=AZ336,".","NO"))</f>
        <v>.</v>
      </c>
      <c r="DI336" s="136" t="str">
        <f>IF($D336&lt;&gt;"Feature",".",
IF(VLOOKUP($B336,Feature_List!$A:$AM,MATCH(DI$1,  Feature_List!$A$1:$AM$1,0),0)=BA336,".","NO"))</f>
        <v>.</v>
      </c>
      <c r="DJ336" s="136" t="str">
        <f>IF($D336&lt;&gt;"Feature",".",
IF(VLOOKUP($B336,Feature_List!$A:$AM,MATCH(DJ$1,  Feature_List!$A$1:$AM$1,0),0)=BB336,".","NO"))</f>
        <v>.</v>
      </c>
      <c r="DK336" s="136"/>
      <c r="DL336" s="136"/>
      <c r="DM336" s="136"/>
      <c r="DN336" s="136" t="str">
        <f>IF($D336&lt;&gt;"Feature",".",
IF(VLOOKUP($B336,Feature_List!$A:$AM,MATCH(DN$1,  Feature_List!$A$1:$AM$1,0),0)=BC336,".","NO"))</f>
        <v>.</v>
      </c>
      <c r="DO336" s="136" t="str">
        <f>IF($D336&lt;&gt;"Feature",".",
IF(VLOOKUP($B336,Feature_List!$A:$AM,MATCH(DO$1,  Feature_List!$A$1:$AM$1,0),0)=BD336,".","NO"))</f>
        <v>.</v>
      </c>
    </row>
    <row r="337" spans="2:119" x14ac:dyDescent="0.3">
      <c r="B337" s="146"/>
      <c r="C337" s="147"/>
      <c r="D337" s="147"/>
      <c r="E337" s="147"/>
      <c r="F337" s="61"/>
      <c r="G337" s="61"/>
      <c r="H337" s="147"/>
      <c r="I337" s="148"/>
      <c r="J337" s="61"/>
      <c r="K337" s="61"/>
      <c r="L337" s="147"/>
      <c r="M337" s="147"/>
      <c r="N337" s="147"/>
      <c r="O337" s="123">
        <f t="shared" si="187"/>
        <v>0</v>
      </c>
      <c r="P337" s="123">
        <f t="shared" si="188"/>
        <v>0</v>
      </c>
      <c r="Q337" s="122" t="str">
        <f t="shared" si="210"/>
        <v>ZeroEntry</v>
      </c>
      <c r="R337" s="126" t="str">
        <f t="shared" si="189"/>
        <v>ZeroEntry</v>
      </c>
      <c r="S337" s="127" t="str">
        <f t="shared" si="190"/>
        <v>ZeroEntry</v>
      </c>
      <c r="T337" s="128" t="str">
        <f>IF($Q337="ZeroEntry", "",VLOOKUP($I337,'Ranking Lookup'!#REF!,2,FALSE))</f>
        <v/>
      </c>
      <c r="U337" s="129" t="str">
        <f t="shared" si="191"/>
        <v/>
      </c>
      <c r="V337" s="129" t="str">
        <f t="shared" si="192"/>
        <v/>
      </c>
      <c r="W337" s="129" t="str">
        <f t="shared" si="193"/>
        <v/>
      </c>
      <c r="X337" s="129" t="str">
        <f t="shared" si="194"/>
        <v/>
      </c>
      <c r="Y337" s="129" t="str">
        <f t="shared" si="195"/>
        <v/>
      </c>
      <c r="Z337" s="129" t="str">
        <f t="shared" si="196"/>
        <v/>
      </c>
      <c r="AA337" s="130"/>
      <c r="AB337" s="130" t="str">
        <f t="shared" si="197"/>
        <v>Unassigned</v>
      </c>
      <c r="AC337" s="131" t="str">
        <f t="shared" si="211"/>
        <v/>
      </c>
      <c r="AD337" s="131" t="str">
        <f t="shared" si="212"/>
        <v/>
      </c>
      <c r="AE337" s="132">
        <f t="shared" si="198"/>
        <v>0</v>
      </c>
      <c r="AF337" s="133" t="str">
        <f t="shared" si="213"/>
        <v/>
      </c>
      <c r="AG337" s="134">
        <f t="shared" si="199"/>
        <v>0</v>
      </c>
      <c r="AH337" s="54" t="str">
        <f t="shared" si="200"/>
        <v/>
      </c>
      <c r="AI337" s="54" t="str">
        <f t="shared" si="201"/>
        <v/>
      </c>
      <c r="AJ337" s="54" t="str">
        <f t="shared" si="201"/>
        <v/>
      </c>
      <c r="AK337" s="54" t="str">
        <f t="shared" si="201"/>
        <v/>
      </c>
      <c r="AL337" s="54" t="str">
        <f t="shared" si="201"/>
        <v/>
      </c>
      <c r="AM337" s="54" t="str">
        <f t="shared" si="201"/>
        <v/>
      </c>
      <c r="AN337" s="54" t="str">
        <f t="shared" si="201"/>
        <v/>
      </c>
      <c r="AO337" s="54" t="str">
        <f t="shared" si="201"/>
        <v/>
      </c>
      <c r="AP337" s="54" t="str">
        <f t="shared" si="201"/>
        <v/>
      </c>
      <c r="AQ337" s="54" t="str">
        <f t="shared" si="201"/>
        <v/>
      </c>
      <c r="AR337" s="54" t="str">
        <f t="shared" si="201"/>
        <v/>
      </c>
      <c r="AS337" s="54" t="str">
        <f t="shared" si="201"/>
        <v/>
      </c>
      <c r="AT337" s="54" t="str">
        <f t="shared" si="201"/>
        <v/>
      </c>
      <c r="AU337" s="54" t="str">
        <f t="shared" si="201"/>
        <v/>
      </c>
      <c r="AV337" s="54" t="str">
        <f t="shared" si="201"/>
        <v/>
      </c>
      <c r="AW337" s="54" t="str">
        <f t="shared" si="201"/>
        <v/>
      </c>
      <c r="AX337" s="54" t="str">
        <f t="shared" ref="AX337" si="215">IF(AND($Q337="Feature",LEFT($AB337,2)="PI"),
IF(AND(COUNTIF($R:$R,$B337)=1,$T337=AX$1), IF($AB337=$A$10,$AF337,0),
IF(OR($AD337&lt;1,RIGHT($G337,8)="Progress",$AH337&gt;0),SUMIFS($O:$O,$R:$R,$B337,$T:$T,AX$1,$P:$P,"&lt;&gt;Done",$AB:$AB,$A$10),
IF($T337=AX$1,IF($AB337=$A$10,$AD337,0)+SUMIFS($O:$O,$R:$R,$B337,$T:$T,AX$1,$P:$P,"&lt;&gt;Done",$AB:$AB,$A$10),SUMIFS($O:$O,$R:$R,$B337,$T:$T,AX$1,$P:$P,"&lt;&gt;Done",$AB:$AB,$A$10)))),
IF(AND(OR($Q337="Story",$Q337="Problem",$Q337="Enhancement"),$AB337=$A$10,$R337=0,$T337=AX$1,$P337&lt;&gt;"Done"),$O337,""))</f>
        <v/>
      </c>
      <c r="AY337" s="54" t="str">
        <f t="shared" si="214"/>
        <v/>
      </c>
      <c r="AZ337" s="54" t="str">
        <f t="shared" si="202"/>
        <v/>
      </c>
      <c r="BA337" s="54" t="str">
        <f t="shared" si="203"/>
        <v/>
      </c>
      <c r="BB337" s="135" t="str">
        <f t="shared" si="204"/>
        <v/>
      </c>
      <c r="BC337" s="54" t="str">
        <f t="shared" si="205"/>
        <v/>
      </c>
      <c r="BD337" s="54" t="str">
        <f t="shared" si="205"/>
        <v/>
      </c>
      <c r="BE337" s="54" t="str">
        <f t="shared" si="205"/>
        <v/>
      </c>
      <c r="BF337" s="54" t="str">
        <f t="shared" si="206"/>
        <v/>
      </c>
      <c r="BG337" s="54" t="str">
        <f t="shared" si="207"/>
        <v/>
      </c>
      <c r="BH337" s="34" t="str">
        <f t="shared" si="208"/>
        <v>Bad</v>
      </c>
      <c r="BI337" s="34" t="str">
        <f t="shared" si="209"/>
        <v>No</v>
      </c>
      <c r="BJ337" s="136" t="str">
        <f>IF($D337&lt;&gt;"Feature",".",
IF(VLOOKUP($B337,Feature_List!$A:$AM,MATCH(BJ$1,  Feature_List!$A$1:$AM$1,0),0)=B337,".","NO"))</f>
        <v>.</v>
      </c>
      <c r="BK337" s="136"/>
      <c r="BL337" s="136"/>
      <c r="BM337" s="136" t="str">
        <f>IF($D337&lt;&gt;"Feature",".",
IF(VLOOKUP($B337,Feature_List!$A:$AM,MATCH(BM$1,  Feature_List!$A$1:$AM$1,0),0)=E337,".","NO"))</f>
        <v>.</v>
      </c>
      <c r="BN337" s="136" t="str">
        <f>IF($D337&lt;&gt;"Feature",".",
IF(VLOOKUP($B337,Feature_List!$A:$AM,MATCH(BN$1,  Feature_List!$A$1:$AM$1,0),0)=F337,".","NO"))</f>
        <v>.</v>
      </c>
      <c r="BO337" s="136" t="str">
        <f>IF($D337&lt;&gt;"Feature",".",
IF(VLOOKUP($B337,Feature_List!$A:$AM,MATCH(BO$1,  Feature_List!$A$1:$AM$1,0),0)=G337,".","NO"))</f>
        <v>.</v>
      </c>
      <c r="BP337" s="136" t="str">
        <f>IF($D337&lt;&gt;"Feature",".",
IF(VLOOKUP($B337,Feature_List!$A:$AM,MATCH(BP$1,  Feature_List!$A$1:$AM$1,0),0)=H337,".","NO"))</f>
        <v>.</v>
      </c>
      <c r="BQ337" s="136"/>
      <c r="BR337" s="136" t="str">
        <f>IF($D337&lt;&gt;"Feature",".",
IF(VLOOKUP($B337,Feature_List!$A:$AM,MATCH(BR$1,  Feature_List!$A$1:$AM$1,0),0)=J337,".","NO"))</f>
        <v>.</v>
      </c>
      <c r="BS337" s="136"/>
      <c r="BT337" s="136"/>
      <c r="BU337" s="136" t="str">
        <f>IF($D337&lt;&gt;"Feature",".",
IF(VLOOKUP($B337,Feature_List!$A:$AM,MATCH(BU$1,  Feature_List!$A$1:$AM$1,0),0)=M337,".","NO"))</f>
        <v>.</v>
      </c>
      <c r="BV337" s="136" t="str">
        <f>IF($D337&lt;&gt;"Feature",".",
IF(VLOOKUP($B337,Feature_List!$A:$AM,MATCH(BV$1,  Feature_List!$A$1:$AM$1,0),0)=N337,".","NO"))</f>
        <v>.</v>
      </c>
      <c r="BW337" s="136"/>
      <c r="BX337" s="136"/>
      <c r="BY337" s="136"/>
      <c r="BZ337" s="136"/>
      <c r="CA337" s="136"/>
      <c r="CB337" s="136" t="str">
        <f>IF($D337&lt;&gt;"Feature",".",
IF(VLOOKUP($B337,Feature_List!$A:$AM,MATCH(CB$1,  Feature_List!$A$1:$AM$1,0),0)=T337,".","NO"))</f>
        <v>.</v>
      </c>
      <c r="CC337" s="136"/>
      <c r="CD337" s="136"/>
      <c r="CE337" s="136"/>
      <c r="CF337" s="136"/>
      <c r="CG337" s="136"/>
      <c r="CH337" s="136"/>
      <c r="CI337" s="136"/>
      <c r="CJ337" s="136"/>
      <c r="CK337" s="136"/>
      <c r="CL337" s="136"/>
      <c r="CM337" s="136"/>
      <c r="CN337" s="136"/>
      <c r="CO337" s="136" t="str">
        <f>IF($D337&lt;&gt;"Feature",".",
IF(VLOOKUP($B337,Feature_List!$A:$AM,MATCH(CO$1,  Feature_List!$A$1:$AM$1,0),0)=AG337,".","NO"))</f>
        <v>.</v>
      </c>
      <c r="CP337" s="136" t="str">
        <f>IF($D337&lt;&gt;"Feature",".",
IF(VLOOKUP($B337,Feature_List!$A:$AM,MATCH(CP$1,  Feature_List!$A$1:$AM$1,0),0)=AH337,".","NO"))</f>
        <v>.</v>
      </c>
      <c r="CQ337" s="136" t="str">
        <f>IF($D337&lt;&gt;"Feature",".",
IF(VLOOKUP($B337,Feature_List!$A:$AM,MATCH(CQ$1,  Feature_List!$A$1:$AM$1,0),0)=AI337,".","NO"))</f>
        <v>.</v>
      </c>
      <c r="CR337" s="136" t="str">
        <f>IF($D337&lt;&gt;"Feature",".",
IF(VLOOKUP($B337,Feature_List!$A:$AM,MATCH(CR$1,  Feature_List!$A$1:$AM$1,0),0)=AJ337,".","NO"))</f>
        <v>.</v>
      </c>
      <c r="CS337" s="136" t="str">
        <f>IF($D337&lt;&gt;"Feature",".",
IF(VLOOKUP($B337,Feature_List!$A:$AM,MATCH(CS$1,  Feature_List!$A$1:$AM$1,0),0)=AK337,".","NO"))</f>
        <v>.</v>
      </c>
      <c r="CT337" s="136" t="str">
        <f>IF($D337&lt;&gt;"Feature",".",
IF(VLOOKUP($B337,Feature_List!$A:$AM,MATCH(CT$1,  Feature_List!$A$1:$AM$1,0),0)=AL337,".","NO"))</f>
        <v>.</v>
      </c>
      <c r="CU337" s="136" t="str">
        <f>IF($D337&lt;&gt;"Feature",".",
IF(VLOOKUP($B337,Feature_List!$A:$AM,MATCH(CU$1,  Feature_List!$A$1:$AM$1,0),0)=AM337,".","NO"))</f>
        <v>.</v>
      </c>
      <c r="CV337" s="136" t="str">
        <f>IF($D337&lt;&gt;"Feature",".",
IF(VLOOKUP($B337,Feature_List!$A:$AM,MATCH(CV$1,  Feature_List!$A$1:$AM$1,0),0)=AN337,".","NO"))</f>
        <v>.</v>
      </c>
      <c r="CW337" s="136" t="str">
        <f>IF($D337&lt;&gt;"Feature",".",
IF(VLOOKUP($B337,Feature_List!$A:$AM,MATCH(CW$1,  Feature_List!$A$1:$AM$1,0),0)=AO337,".","NO"))</f>
        <v>.</v>
      </c>
      <c r="CX337" s="136" t="str">
        <f>IF($D337&lt;&gt;"Feature",".",
IF(VLOOKUP($B337,Feature_List!$A:$AM,MATCH(CX$1,  Feature_List!$A$1:$AM$1,0),0)=AP337,".","NO"))</f>
        <v>.</v>
      </c>
      <c r="CY337" s="136" t="str">
        <f>IF($D337&lt;&gt;"Feature",".",
IF(VLOOKUP($B337,Feature_List!$A:$AM,MATCH(CY$1,  Feature_List!$A$1:$AM$1,0),0)=AQ337,".","NO"))</f>
        <v>.</v>
      </c>
      <c r="CZ337" s="136" t="str">
        <f>IF($D337&lt;&gt;"Feature",".",
IF(VLOOKUP($B337,Feature_List!$A:$AM,MATCH(CZ$1,  Feature_List!$A$1:$AM$1,0),0)=AR337,".","NO"))</f>
        <v>.</v>
      </c>
      <c r="DA337" s="136" t="str">
        <f>IF($D337&lt;&gt;"Feature",".",
IF(VLOOKUP($B337,Feature_List!$A:$AM,MATCH(DA$1,  Feature_List!$A$1:$AM$1,0),0)=AS337,".","NO"))</f>
        <v>.</v>
      </c>
      <c r="DB337" s="136" t="str">
        <f>IF($D337&lt;&gt;"Feature",".",
IF(VLOOKUP($B337,Feature_List!$A:$AM,MATCH(DB$1,  Feature_List!$A$1:$AM$1,0),0)=AT337,".","NO"))</f>
        <v>.</v>
      </c>
      <c r="DC337" s="136" t="str">
        <f>IF($D337&lt;&gt;"Feature",".",
IF(VLOOKUP($B337,Feature_List!$A:$AM,MATCH(DC$1,  Feature_List!$A$1:$AM$1,0),0)=AU337,".","NO"))</f>
        <v>.</v>
      </c>
      <c r="DD337" s="136" t="str">
        <f>IF($D337&lt;&gt;"Feature",".",
IF(VLOOKUP($B337,Feature_List!$A:$AM,MATCH(DD$1,  Feature_List!$A$1:$AM$1,0),0)=AV337,".","NO"))</f>
        <v>.</v>
      </c>
      <c r="DE337" s="136" t="str">
        <f>IF($D337&lt;&gt;"Feature",".",
IF(VLOOKUP($B337,Feature_List!$A:$AM,MATCH(DE$1,  Feature_List!$A$1:$AM$1,0),0)=AW337,".","NO"))</f>
        <v>.</v>
      </c>
      <c r="DF337" s="136" t="str">
        <f>IF($D337&lt;&gt;"Feature",".",
IF(VLOOKUP($B337,Feature_List!$A:$AM,MATCH(DF$1,  Feature_List!$A$1:$AM$1,0),0)=AX337,".","NO"))</f>
        <v>.</v>
      </c>
      <c r="DG337" s="136" t="str">
        <f>IF($D337&lt;&gt;"Feature",".",
IF(VLOOKUP($B337,Feature_List!$A:$AM,MATCH(DG$1,  Feature_List!$A$1:$AM$1,0),0)=AY337,".","NO"))</f>
        <v>.</v>
      </c>
      <c r="DH337" s="136" t="str">
        <f>IF($D337&lt;&gt;"Feature",".",
IF(VLOOKUP($B337,Feature_List!$A:$AM,MATCH(DH$1,  Feature_List!$A$1:$AM$1,0),0)=AZ337,".","NO"))</f>
        <v>.</v>
      </c>
      <c r="DI337" s="136" t="str">
        <f>IF($D337&lt;&gt;"Feature",".",
IF(VLOOKUP($B337,Feature_List!$A:$AM,MATCH(DI$1,  Feature_List!$A$1:$AM$1,0),0)=BA337,".","NO"))</f>
        <v>.</v>
      </c>
      <c r="DJ337" s="136" t="str">
        <f>IF($D337&lt;&gt;"Feature",".",
IF(VLOOKUP($B337,Feature_List!$A:$AM,MATCH(DJ$1,  Feature_List!$A$1:$AM$1,0),0)=BB337,".","NO"))</f>
        <v>.</v>
      </c>
      <c r="DK337" s="136"/>
      <c r="DL337" s="136"/>
      <c r="DM337" s="136"/>
      <c r="DN337" s="136" t="str">
        <f>IF($D337&lt;&gt;"Feature",".",
IF(VLOOKUP($B337,Feature_List!$A:$AM,MATCH(DN$1,  Feature_List!$A$1:$AM$1,0),0)=BC337,".","NO"))</f>
        <v>.</v>
      </c>
      <c r="DO337" s="136" t="str">
        <f>IF($D337&lt;&gt;"Feature",".",
IF(VLOOKUP($B337,Feature_List!$A:$AM,MATCH(DO$1,  Feature_List!$A$1:$AM$1,0),0)=BD337,".","NO"))</f>
        <v>.</v>
      </c>
    </row>
    <row r="338" spans="2:119" x14ac:dyDescent="0.3">
      <c r="B338" s="146"/>
      <c r="C338" s="147"/>
      <c r="D338" s="147"/>
      <c r="E338" s="147"/>
      <c r="F338" s="61"/>
      <c r="G338" s="61"/>
      <c r="H338" s="147"/>
      <c r="I338" s="148"/>
      <c r="J338" s="61"/>
      <c r="K338" s="61"/>
      <c r="L338" s="147"/>
      <c r="M338" s="147"/>
      <c r="N338" s="147"/>
      <c r="O338" s="123">
        <f t="shared" si="187"/>
        <v>0</v>
      </c>
      <c r="P338" s="123">
        <f t="shared" si="188"/>
        <v>0</v>
      </c>
      <c r="Q338" s="122" t="str">
        <f t="shared" si="210"/>
        <v>ZeroEntry</v>
      </c>
      <c r="R338" s="126" t="str">
        <f t="shared" si="189"/>
        <v>ZeroEntry</v>
      </c>
      <c r="S338" s="127" t="str">
        <f t="shared" si="190"/>
        <v>ZeroEntry</v>
      </c>
      <c r="T338" s="128" t="str">
        <f>IF($Q338="ZeroEntry", "",VLOOKUP($I338,'Ranking Lookup'!#REF!,2,FALSE))</f>
        <v/>
      </c>
      <c r="U338" s="129" t="str">
        <f t="shared" si="191"/>
        <v/>
      </c>
      <c r="V338" s="129" t="str">
        <f t="shared" si="192"/>
        <v/>
      </c>
      <c r="W338" s="129" t="str">
        <f t="shared" si="193"/>
        <v/>
      </c>
      <c r="X338" s="129" t="str">
        <f t="shared" si="194"/>
        <v/>
      </c>
      <c r="Y338" s="129" t="str">
        <f t="shared" si="195"/>
        <v/>
      </c>
      <c r="Z338" s="129" t="str">
        <f t="shared" si="196"/>
        <v/>
      </c>
      <c r="AA338" s="130"/>
      <c r="AB338" s="130" t="str">
        <f t="shared" si="197"/>
        <v>Unassigned</v>
      </c>
      <c r="AC338" s="131" t="str">
        <f t="shared" si="211"/>
        <v/>
      </c>
      <c r="AD338" s="131" t="str">
        <f t="shared" si="212"/>
        <v/>
      </c>
      <c r="AE338" s="132">
        <f t="shared" si="198"/>
        <v>0</v>
      </c>
      <c r="AF338" s="133" t="str">
        <f t="shared" si="213"/>
        <v/>
      </c>
      <c r="AG338" s="134">
        <f t="shared" si="199"/>
        <v>0</v>
      </c>
      <c r="AH338" s="54" t="str">
        <f t="shared" si="200"/>
        <v/>
      </c>
      <c r="AI338" s="54" t="str">
        <f t="shared" ref="AI338:AX345" si="216">IF(AND($Q338="Feature",LEFT($AB338,2)="PI"),
IF(AND(COUNTIF($R:$R,$B338)=1,$T338=AI$1), IF($AB338=$A$10,$AF338,0),
IF(OR($AD338&lt;1,RIGHT($G338,8)="Progress",$AH338&gt;0),SUMIFS($O:$O,$R:$R,$B338,$T:$T,AI$1,$P:$P,"&lt;&gt;Done",$AB:$AB,$A$10),
IF($T338=AI$1,IF($AB338=$A$10,$AD338,0)+SUMIFS($O:$O,$R:$R,$B338,$T:$T,AI$1,$P:$P,"&lt;&gt;Done",$AB:$AB,$A$10),SUMIFS($O:$O,$R:$R,$B338,$T:$T,AI$1,$P:$P,"&lt;&gt;Done",$AB:$AB,$A$10)))),
IF(AND(OR($Q338="Story",$Q338="Problem",$Q338="Enhancement"),$AB338=$A$10,$R338=0,$T338=AI$1,$P338&lt;&gt;"Done"),$O338,""))</f>
        <v/>
      </c>
      <c r="AJ338" s="54" t="str">
        <f t="shared" si="216"/>
        <v/>
      </c>
      <c r="AK338" s="54" t="str">
        <f t="shared" si="216"/>
        <v/>
      </c>
      <c r="AL338" s="54" t="str">
        <f t="shared" si="216"/>
        <v/>
      </c>
      <c r="AM338" s="54" t="str">
        <f t="shared" si="216"/>
        <v/>
      </c>
      <c r="AN338" s="54" t="str">
        <f t="shared" si="216"/>
        <v/>
      </c>
      <c r="AO338" s="54" t="str">
        <f t="shared" si="216"/>
        <v/>
      </c>
      <c r="AP338" s="54" t="str">
        <f t="shared" si="216"/>
        <v/>
      </c>
      <c r="AQ338" s="54" t="str">
        <f t="shared" si="216"/>
        <v/>
      </c>
      <c r="AR338" s="54" t="str">
        <f t="shared" si="216"/>
        <v/>
      </c>
      <c r="AS338" s="54" t="str">
        <f t="shared" si="216"/>
        <v/>
      </c>
      <c r="AT338" s="54" t="str">
        <f t="shared" si="216"/>
        <v/>
      </c>
      <c r="AU338" s="54" t="str">
        <f t="shared" si="216"/>
        <v/>
      </c>
      <c r="AV338" s="54" t="str">
        <f t="shared" si="216"/>
        <v/>
      </c>
      <c r="AW338" s="54" t="str">
        <f t="shared" si="216"/>
        <v/>
      </c>
      <c r="AX338" s="54" t="str">
        <f t="shared" si="216"/>
        <v/>
      </c>
      <c r="AY338" s="54" t="str">
        <f t="shared" si="214"/>
        <v/>
      </c>
      <c r="AZ338" s="54" t="str">
        <f t="shared" si="202"/>
        <v/>
      </c>
      <c r="BA338" s="54" t="str">
        <f t="shared" si="203"/>
        <v/>
      </c>
      <c r="BB338" s="135" t="str">
        <f t="shared" si="204"/>
        <v/>
      </c>
      <c r="BC338" s="54" t="str">
        <f t="shared" si="205"/>
        <v/>
      </c>
      <c r="BD338" s="54" t="str">
        <f t="shared" si="205"/>
        <v/>
      </c>
      <c r="BE338" s="54" t="str">
        <f t="shared" si="205"/>
        <v/>
      </c>
      <c r="BF338" s="54" t="str">
        <f t="shared" si="206"/>
        <v/>
      </c>
      <c r="BG338" s="54" t="str">
        <f t="shared" si="207"/>
        <v/>
      </c>
      <c r="BH338" s="34" t="str">
        <f t="shared" si="208"/>
        <v>Bad</v>
      </c>
      <c r="BI338" s="34" t="str">
        <f t="shared" si="209"/>
        <v>No</v>
      </c>
      <c r="BJ338" s="136" t="str">
        <f>IF($D338&lt;&gt;"Feature",".",
IF(VLOOKUP($B338,Feature_List!$A:$AM,MATCH(BJ$1,  Feature_List!$A$1:$AM$1,0),0)=B338,".","NO"))</f>
        <v>.</v>
      </c>
      <c r="BK338" s="136"/>
      <c r="BL338" s="136"/>
      <c r="BM338" s="136" t="str">
        <f>IF($D338&lt;&gt;"Feature",".",
IF(VLOOKUP($B338,Feature_List!$A:$AM,MATCH(BM$1,  Feature_List!$A$1:$AM$1,0),0)=E338,".","NO"))</f>
        <v>.</v>
      </c>
      <c r="BN338" s="136" t="str">
        <f>IF($D338&lt;&gt;"Feature",".",
IF(VLOOKUP($B338,Feature_List!$A:$AM,MATCH(BN$1,  Feature_List!$A$1:$AM$1,0),0)=F338,".","NO"))</f>
        <v>.</v>
      </c>
      <c r="BO338" s="136" t="str">
        <f>IF($D338&lt;&gt;"Feature",".",
IF(VLOOKUP($B338,Feature_List!$A:$AM,MATCH(BO$1,  Feature_List!$A$1:$AM$1,0),0)=G338,".","NO"))</f>
        <v>.</v>
      </c>
      <c r="BP338" s="136" t="str">
        <f>IF($D338&lt;&gt;"Feature",".",
IF(VLOOKUP($B338,Feature_List!$A:$AM,MATCH(BP$1,  Feature_List!$A$1:$AM$1,0),0)=H338,".","NO"))</f>
        <v>.</v>
      </c>
      <c r="BQ338" s="136"/>
      <c r="BR338" s="136" t="str">
        <f>IF($D338&lt;&gt;"Feature",".",
IF(VLOOKUP($B338,Feature_List!$A:$AM,MATCH(BR$1,  Feature_List!$A$1:$AM$1,0),0)=J338,".","NO"))</f>
        <v>.</v>
      </c>
      <c r="BS338" s="136"/>
      <c r="BT338" s="136"/>
      <c r="BU338" s="136" t="str">
        <f>IF($D338&lt;&gt;"Feature",".",
IF(VLOOKUP($B338,Feature_List!$A:$AM,MATCH(BU$1,  Feature_List!$A$1:$AM$1,0),0)=M338,".","NO"))</f>
        <v>.</v>
      </c>
      <c r="BV338" s="136" t="str">
        <f>IF($D338&lt;&gt;"Feature",".",
IF(VLOOKUP($B338,Feature_List!$A:$AM,MATCH(BV$1,  Feature_List!$A$1:$AM$1,0),0)=N338,".","NO"))</f>
        <v>.</v>
      </c>
      <c r="BW338" s="136"/>
      <c r="BX338" s="136"/>
      <c r="BY338" s="136"/>
      <c r="BZ338" s="136"/>
      <c r="CA338" s="136"/>
      <c r="CB338" s="136" t="str">
        <f>IF($D338&lt;&gt;"Feature",".",
IF(VLOOKUP($B338,Feature_List!$A:$AM,MATCH(CB$1,  Feature_List!$A$1:$AM$1,0),0)=T338,".","NO"))</f>
        <v>.</v>
      </c>
      <c r="CC338" s="136"/>
      <c r="CD338" s="136"/>
      <c r="CE338" s="136"/>
      <c r="CF338" s="136"/>
      <c r="CG338" s="136"/>
      <c r="CH338" s="136"/>
      <c r="CI338" s="136"/>
      <c r="CJ338" s="136"/>
      <c r="CK338" s="136"/>
      <c r="CL338" s="136"/>
      <c r="CM338" s="136"/>
      <c r="CN338" s="136"/>
      <c r="CO338" s="136" t="str">
        <f>IF($D338&lt;&gt;"Feature",".",
IF(VLOOKUP($B338,Feature_List!$A:$AM,MATCH(CO$1,  Feature_List!$A$1:$AM$1,0),0)=AG338,".","NO"))</f>
        <v>.</v>
      </c>
      <c r="CP338" s="136" t="str">
        <f>IF($D338&lt;&gt;"Feature",".",
IF(VLOOKUP($B338,Feature_List!$A:$AM,MATCH(CP$1,  Feature_List!$A$1:$AM$1,0),0)=AH338,".","NO"))</f>
        <v>.</v>
      </c>
      <c r="CQ338" s="136" t="str">
        <f>IF($D338&lt;&gt;"Feature",".",
IF(VLOOKUP($B338,Feature_List!$A:$AM,MATCH(CQ$1,  Feature_List!$A$1:$AM$1,0),0)=AI338,".","NO"))</f>
        <v>.</v>
      </c>
      <c r="CR338" s="136" t="str">
        <f>IF($D338&lt;&gt;"Feature",".",
IF(VLOOKUP($B338,Feature_List!$A:$AM,MATCH(CR$1,  Feature_List!$A$1:$AM$1,0),0)=AJ338,".","NO"))</f>
        <v>.</v>
      </c>
      <c r="CS338" s="136" t="str">
        <f>IF($D338&lt;&gt;"Feature",".",
IF(VLOOKUP($B338,Feature_List!$A:$AM,MATCH(CS$1,  Feature_List!$A$1:$AM$1,0),0)=AK338,".","NO"))</f>
        <v>.</v>
      </c>
      <c r="CT338" s="136" t="str">
        <f>IF($D338&lt;&gt;"Feature",".",
IF(VLOOKUP($B338,Feature_List!$A:$AM,MATCH(CT$1,  Feature_List!$A$1:$AM$1,0),0)=AL338,".","NO"))</f>
        <v>.</v>
      </c>
      <c r="CU338" s="136" t="str">
        <f>IF($D338&lt;&gt;"Feature",".",
IF(VLOOKUP($B338,Feature_List!$A:$AM,MATCH(CU$1,  Feature_List!$A$1:$AM$1,0),0)=AM338,".","NO"))</f>
        <v>.</v>
      </c>
      <c r="CV338" s="136" t="str">
        <f>IF($D338&lt;&gt;"Feature",".",
IF(VLOOKUP($B338,Feature_List!$A:$AM,MATCH(CV$1,  Feature_List!$A$1:$AM$1,0),0)=AN338,".","NO"))</f>
        <v>.</v>
      </c>
      <c r="CW338" s="136" t="str">
        <f>IF($D338&lt;&gt;"Feature",".",
IF(VLOOKUP($B338,Feature_List!$A:$AM,MATCH(CW$1,  Feature_List!$A$1:$AM$1,0),0)=AO338,".","NO"))</f>
        <v>.</v>
      </c>
      <c r="CX338" s="136" t="str">
        <f>IF($D338&lt;&gt;"Feature",".",
IF(VLOOKUP($B338,Feature_List!$A:$AM,MATCH(CX$1,  Feature_List!$A$1:$AM$1,0),0)=AP338,".","NO"))</f>
        <v>.</v>
      </c>
      <c r="CY338" s="136" t="str">
        <f>IF($D338&lt;&gt;"Feature",".",
IF(VLOOKUP($B338,Feature_List!$A:$AM,MATCH(CY$1,  Feature_List!$A$1:$AM$1,0),0)=AQ338,".","NO"))</f>
        <v>.</v>
      </c>
      <c r="CZ338" s="136" t="str">
        <f>IF($D338&lt;&gt;"Feature",".",
IF(VLOOKUP($B338,Feature_List!$A:$AM,MATCH(CZ$1,  Feature_List!$A$1:$AM$1,0),0)=AR338,".","NO"))</f>
        <v>.</v>
      </c>
      <c r="DA338" s="136" t="str">
        <f>IF($D338&lt;&gt;"Feature",".",
IF(VLOOKUP($B338,Feature_List!$A:$AM,MATCH(DA$1,  Feature_List!$A$1:$AM$1,0),0)=AS338,".","NO"))</f>
        <v>.</v>
      </c>
      <c r="DB338" s="136" t="str">
        <f>IF($D338&lt;&gt;"Feature",".",
IF(VLOOKUP($B338,Feature_List!$A:$AM,MATCH(DB$1,  Feature_List!$A$1:$AM$1,0),0)=AT338,".","NO"))</f>
        <v>.</v>
      </c>
      <c r="DC338" s="136" t="str">
        <f>IF($D338&lt;&gt;"Feature",".",
IF(VLOOKUP($B338,Feature_List!$A:$AM,MATCH(DC$1,  Feature_List!$A$1:$AM$1,0),0)=AU338,".","NO"))</f>
        <v>.</v>
      </c>
      <c r="DD338" s="136" t="str">
        <f>IF($D338&lt;&gt;"Feature",".",
IF(VLOOKUP($B338,Feature_List!$A:$AM,MATCH(DD$1,  Feature_List!$A$1:$AM$1,0),0)=AV338,".","NO"))</f>
        <v>.</v>
      </c>
      <c r="DE338" s="136" t="str">
        <f>IF($D338&lt;&gt;"Feature",".",
IF(VLOOKUP($B338,Feature_List!$A:$AM,MATCH(DE$1,  Feature_List!$A$1:$AM$1,0),0)=AW338,".","NO"))</f>
        <v>.</v>
      </c>
      <c r="DF338" s="136" t="str">
        <f>IF($D338&lt;&gt;"Feature",".",
IF(VLOOKUP($B338,Feature_List!$A:$AM,MATCH(DF$1,  Feature_List!$A$1:$AM$1,0),0)=AX338,".","NO"))</f>
        <v>.</v>
      </c>
      <c r="DG338" s="136" t="str">
        <f>IF($D338&lt;&gt;"Feature",".",
IF(VLOOKUP($B338,Feature_List!$A:$AM,MATCH(DG$1,  Feature_List!$A$1:$AM$1,0),0)=AY338,".","NO"))</f>
        <v>.</v>
      </c>
      <c r="DH338" s="136" t="str">
        <f>IF($D338&lt;&gt;"Feature",".",
IF(VLOOKUP($B338,Feature_List!$A:$AM,MATCH(DH$1,  Feature_List!$A$1:$AM$1,0),0)=AZ338,".","NO"))</f>
        <v>.</v>
      </c>
      <c r="DI338" s="136" t="str">
        <f>IF($D338&lt;&gt;"Feature",".",
IF(VLOOKUP($B338,Feature_List!$A:$AM,MATCH(DI$1,  Feature_List!$A$1:$AM$1,0),0)=BA338,".","NO"))</f>
        <v>.</v>
      </c>
      <c r="DJ338" s="136" t="str">
        <f>IF($D338&lt;&gt;"Feature",".",
IF(VLOOKUP($B338,Feature_List!$A:$AM,MATCH(DJ$1,  Feature_List!$A$1:$AM$1,0),0)=BB338,".","NO"))</f>
        <v>.</v>
      </c>
      <c r="DK338" s="136"/>
      <c r="DL338" s="136"/>
      <c r="DM338" s="136"/>
      <c r="DN338" s="136" t="str">
        <f>IF($D338&lt;&gt;"Feature",".",
IF(VLOOKUP($B338,Feature_List!$A:$AM,MATCH(DN$1,  Feature_List!$A$1:$AM$1,0),0)=BC338,".","NO"))</f>
        <v>.</v>
      </c>
      <c r="DO338" s="136" t="str">
        <f>IF($D338&lt;&gt;"Feature",".",
IF(VLOOKUP($B338,Feature_List!$A:$AM,MATCH(DO$1,  Feature_List!$A$1:$AM$1,0),0)=BD338,".","NO"))</f>
        <v>.</v>
      </c>
    </row>
    <row r="339" spans="2:119" x14ac:dyDescent="0.3">
      <c r="B339" s="146"/>
      <c r="C339" s="147"/>
      <c r="D339" s="147"/>
      <c r="E339" s="147"/>
      <c r="F339" s="61"/>
      <c r="G339" s="61"/>
      <c r="H339" s="147"/>
      <c r="I339" s="148"/>
      <c r="J339" s="61"/>
      <c r="K339" s="61"/>
      <c r="L339" s="147"/>
      <c r="M339" s="147"/>
      <c r="N339" s="147"/>
      <c r="O339" s="123">
        <f t="shared" si="187"/>
        <v>0</v>
      </c>
      <c r="P339" s="123">
        <f t="shared" si="188"/>
        <v>0</v>
      </c>
      <c r="Q339" s="122" t="str">
        <f t="shared" si="210"/>
        <v>ZeroEntry</v>
      </c>
      <c r="R339" s="126" t="str">
        <f t="shared" si="189"/>
        <v>ZeroEntry</v>
      </c>
      <c r="S339" s="127" t="str">
        <f t="shared" si="190"/>
        <v>ZeroEntry</v>
      </c>
      <c r="T339" s="128" t="str">
        <f>IF($Q339="ZeroEntry", "",VLOOKUP($I339,'Ranking Lookup'!#REF!,2,FALSE))</f>
        <v/>
      </c>
      <c r="U339" s="129" t="str">
        <f t="shared" si="191"/>
        <v/>
      </c>
      <c r="V339" s="129" t="str">
        <f t="shared" si="192"/>
        <v/>
      </c>
      <c r="W339" s="129" t="str">
        <f t="shared" si="193"/>
        <v/>
      </c>
      <c r="X339" s="129" t="str">
        <f t="shared" si="194"/>
        <v/>
      </c>
      <c r="Y339" s="129" t="str">
        <f t="shared" si="195"/>
        <v/>
      </c>
      <c r="Z339" s="129" t="str">
        <f t="shared" si="196"/>
        <v/>
      </c>
      <c r="AA339" s="130"/>
      <c r="AB339" s="130" t="str">
        <f t="shared" si="197"/>
        <v>Unassigned</v>
      </c>
      <c r="AC339" s="131" t="str">
        <f t="shared" si="211"/>
        <v/>
      </c>
      <c r="AD339" s="131" t="str">
        <f t="shared" si="212"/>
        <v/>
      </c>
      <c r="AE339" s="132">
        <f t="shared" si="198"/>
        <v>0</v>
      </c>
      <c r="AF339" s="133" t="str">
        <f t="shared" si="213"/>
        <v/>
      </c>
      <c r="AG339" s="134">
        <f t="shared" si="199"/>
        <v>0</v>
      </c>
      <c r="AH339" s="54" t="str">
        <f t="shared" si="200"/>
        <v/>
      </c>
      <c r="AI339" s="54" t="str">
        <f t="shared" si="216"/>
        <v/>
      </c>
      <c r="AJ339" s="54" t="str">
        <f t="shared" si="216"/>
        <v/>
      </c>
      <c r="AK339" s="54" t="str">
        <f t="shared" si="216"/>
        <v/>
      </c>
      <c r="AL339" s="54" t="str">
        <f t="shared" si="216"/>
        <v/>
      </c>
      <c r="AM339" s="54" t="str">
        <f t="shared" si="216"/>
        <v/>
      </c>
      <c r="AN339" s="54" t="str">
        <f t="shared" si="216"/>
        <v/>
      </c>
      <c r="AO339" s="54" t="str">
        <f t="shared" si="216"/>
        <v/>
      </c>
      <c r="AP339" s="54" t="str">
        <f t="shared" si="216"/>
        <v/>
      </c>
      <c r="AQ339" s="54" t="str">
        <f t="shared" si="216"/>
        <v/>
      </c>
      <c r="AR339" s="54" t="str">
        <f t="shared" si="216"/>
        <v/>
      </c>
      <c r="AS339" s="54" t="str">
        <f t="shared" si="216"/>
        <v/>
      </c>
      <c r="AT339" s="54" t="str">
        <f t="shared" si="216"/>
        <v/>
      </c>
      <c r="AU339" s="54" t="str">
        <f t="shared" si="216"/>
        <v/>
      </c>
      <c r="AV339" s="54" t="str">
        <f t="shared" si="216"/>
        <v/>
      </c>
      <c r="AW339" s="54" t="str">
        <f t="shared" si="216"/>
        <v/>
      </c>
      <c r="AX339" s="54" t="str">
        <f t="shared" si="216"/>
        <v/>
      </c>
      <c r="AY339" s="54" t="str">
        <f t="shared" si="214"/>
        <v/>
      </c>
      <c r="AZ339" s="54" t="str">
        <f t="shared" si="202"/>
        <v/>
      </c>
      <c r="BA339" s="54" t="str">
        <f t="shared" si="203"/>
        <v/>
      </c>
      <c r="BB339" s="135" t="str">
        <f t="shared" si="204"/>
        <v/>
      </c>
      <c r="BC339" s="54" t="str">
        <f t="shared" si="205"/>
        <v/>
      </c>
      <c r="BD339" s="54" t="str">
        <f t="shared" si="205"/>
        <v/>
      </c>
      <c r="BE339" s="54" t="str">
        <f t="shared" si="205"/>
        <v/>
      </c>
      <c r="BF339" s="54" t="str">
        <f t="shared" si="206"/>
        <v/>
      </c>
      <c r="BG339" s="54" t="str">
        <f t="shared" si="207"/>
        <v/>
      </c>
      <c r="BH339" s="34" t="str">
        <f t="shared" si="208"/>
        <v>Bad</v>
      </c>
      <c r="BI339" s="34" t="str">
        <f t="shared" si="209"/>
        <v>No</v>
      </c>
      <c r="BJ339" s="136" t="str">
        <f>IF($D339&lt;&gt;"Feature",".",
IF(VLOOKUP($B339,Feature_List!$A:$AM,MATCH(BJ$1,  Feature_List!$A$1:$AM$1,0),0)=B339,".","NO"))</f>
        <v>.</v>
      </c>
      <c r="BK339" s="136"/>
      <c r="BL339" s="136"/>
      <c r="BM339" s="136" t="str">
        <f>IF($D339&lt;&gt;"Feature",".",
IF(VLOOKUP($B339,Feature_List!$A:$AM,MATCH(BM$1,  Feature_List!$A$1:$AM$1,0),0)=E339,".","NO"))</f>
        <v>.</v>
      </c>
      <c r="BN339" s="136" t="str">
        <f>IF($D339&lt;&gt;"Feature",".",
IF(VLOOKUP($B339,Feature_List!$A:$AM,MATCH(BN$1,  Feature_List!$A$1:$AM$1,0),0)=F339,".","NO"))</f>
        <v>.</v>
      </c>
      <c r="BO339" s="136" t="str">
        <f>IF($D339&lt;&gt;"Feature",".",
IF(VLOOKUP($B339,Feature_List!$A:$AM,MATCH(BO$1,  Feature_List!$A$1:$AM$1,0),0)=G339,".","NO"))</f>
        <v>.</v>
      </c>
      <c r="BP339" s="136" t="str">
        <f>IF($D339&lt;&gt;"Feature",".",
IF(VLOOKUP($B339,Feature_List!$A:$AM,MATCH(BP$1,  Feature_List!$A$1:$AM$1,0),0)=H339,".","NO"))</f>
        <v>.</v>
      </c>
      <c r="BQ339" s="136"/>
      <c r="BR339" s="136" t="str">
        <f>IF($D339&lt;&gt;"Feature",".",
IF(VLOOKUP($B339,Feature_List!$A:$AM,MATCH(BR$1,  Feature_List!$A$1:$AM$1,0),0)=J339,".","NO"))</f>
        <v>.</v>
      </c>
      <c r="BS339" s="136"/>
      <c r="BT339" s="136"/>
      <c r="BU339" s="136" t="str">
        <f>IF($D339&lt;&gt;"Feature",".",
IF(VLOOKUP($B339,Feature_List!$A:$AM,MATCH(BU$1,  Feature_List!$A$1:$AM$1,0),0)=M339,".","NO"))</f>
        <v>.</v>
      </c>
      <c r="BV339" s="136" t="str">
        <f>IF($D339&lt;&gt;"Feature",".",
IF(VLOOKUP($B339,Feature_List!$A:$AM,MATCH(BV$1,  Feature_List!$A$1:$AM$1,0),0)=N339,".","NO"))</f>
        <v>.</v>
      </c>
      <c r="BW339" s="136"/>
      <c r="BX339" s="136"/>
      <c r="BY339" s="136"/>
      <c r="BZ339" s="136"/>
      <c r="CA339" s="136"/>
      <c r="CB339" s="136" t="str">
        <f>IF($D339&lt;&gt;"Feature",".",
IF(VLOOKUP($B339,Feature_List!$A:$AM,MATCH(CB$1,  Feature_List!$A$1:$AM$1,0),0)=T339,".","NO"))</f>
        <v>.</v>
      </c>
      <c r="CC339" s="136"/>
      <c r="CD339" s="136"/>
      <c r="CE339" s="136"/>
      <c r="CF339" s="136"/>
      <c r="CG339" s="136"/>
      <c r="CH339" s="136"/>
      <c r="CI339" s="136"/>
      <c r="CJ339" s="136"/>
      <c r="CK339" s="136"/>
      <c r="CL339" s="136"/>
      <c r="CM339" s="136"/>
      <c r="CN339" s="136"/>
      <c r="CO339" s="136" t="str">
        <f>IF($D339&lt;&gt;"Feature",".",
IF(VLOOKUP($B339,Feature_List!$A:$AM,MATCH(CO$1,  Feature_List!$A$1:$AM$1,0),0)=AG339,".","NO"))</f>
        <v>.</v>
      </c>
      <c r="CP339" s="136" t="str">
        <f>IF($D339&lt;&gt;"Feature",".",
IF(VLOOKUP($B339,Feature_List!$A:$AM,MATCH(CP$1,  Feature_List!$A$1:$AM$1,0),0)=AH339,".","NO"))</f>
        <v>.</v>
      </c>
      <c r="CQ339" s="136" t="str">
        <f>IF($D339&lt;&gt;"Feature",".",
IF(VLOOKUP($B339,Feature_List!$A:$AM,MATCH(CQ$1,  Feature_List!$A$1:$AM$1,0),0)=AI339,".","NO"))</f>
        <v>.</v>
      </c>
      <c r="CR339" s="136" t="str">
        <f>IF($D339&lt;&gt;"Feature",".",
IF(VLOOKUP($B339,Feature_List!$A:$AM,MATCH(CR$1,  Feature_List!$A$1:$AM$1,0),0)=AJ339,".","NO"))</f>
        <v>.</v>
      </c>
      <c r="CS339" s="136" t="str">
        <f>IF($D339&lt;&gt;"Feature",".",
IF(VLOOKUP($B339,Feature_List!$A:$AM,MATCH(CS$1,  Feature_List!$A$1:$AM$1,0),0)=AK339,".","NO"))</f>
        <v>.</v>
      </c>
      <c r="CT339" s="136" t="str">
        <f>IF($D339&lt;&gt;"Feature",".",
IF(VLOOKUP($B339,Feature_List!$A:$AM,MATCH(CT$1,  Feature_List!$A$1:$AM$1,0),0)=AL339,".","NO"))</f>
        <v>.</v>
      </c>
      <c r="CU339" s="136" t="str">
        <f>IF($D339&lt;&gt;"Feature",".",
IF(VLOOKUP($B339,Feature_List!$A:$AM,MATCH(CU$1,  Feature_List!$A$1:$AM$1,0),0)=AM339,".","NO"))</f>
        <v>.</v>
      </c>
      <c r="CV339" s="136" t="str">
        <f>IF($D339&lt;&gt;"Feature",".",
IF(VLOOKUP($B339,Feature_List!$A:$AM,MATCH(CV$1,  Feature_List!$A$1:$AM$1,0),0)=AN339,".","NO"))</f>
        <v>.</v>
      </c>
      <c r="CW339" s="136" t="str">
        <f>IF($D339&lt;&gt;"Feature",".",
IF(VLOOKUP($B339,Feature_List!$A:$AM,MATCH(CW$1,  Feature_List!$A$1:$AM$1,0),0)=AO339,".","NO"))</f>
        <v>.</v>
      </c>
      <c r="CX339" s="136" t="str">
        <f>IF($D339&lt;&gt;"Feature",".",
IF(VLOOKUP($B339,Feature_List!$A:$AM,MATCH(CX$1,  Feature_List!$A$1:$AM$1,0),0)=AP339,".","NO"))</f>
        <v>.</v>
      </c>
      <c r="CY339" s="136" t="str">
        <f>IF($D339&lt;&gt;"Feature",".",
IF(VLOOKUP($B339,Feature_List!$A:$AM,MATCH(CY$1,  Feature_List!$A$1:$AM$1,0),0)=AQ339,".","NO"))</f>
        <v>.</v>
      </c>
      <c r="CZ339" s="136" t="str">
        <f>IF($D339&lt;&gt;"Feature",".",
IF(VLOOKUP($B339,Feature_List!$A:$AM,MATCH(CZ$1,  Feature_List!$A$1:$AM$1,0),0)=AR339,".","NO"))</f>
        <v>.</v>
      </c>
      <c r="DA339" s="136" t="str">
        <f>IF($D339&lt;&gt;"Feature",".",
IF(VLOOKUP($B339,Feature_List!$A:$AM,MATCH(DA$1,  Feature_List!$A$1:$AM$1,0),0)=AS339,".","NO"))</f>
        <v>.</v>
      </c>
      <c r="DB339" s="136" t="str">
        <f>IF($D339&lt;&gt;"Feature",".",
IF(VLOOKUP($B339,Feature_List!$A:$AM,MATCH(DB$1,  Feature_List!$A$1:$AM$1,0),0)=AT339,".","NO"))</f>
        <v>.</v>
      </c>
      <c r="DC339" s="136" t="str">
        <f>IF($D339&lt;&gt;"Feature",".",
IF(VLOOKUP($B339,Feature_List!$A:$AM,MATCH(DC$1,  Feature_List!$A$1:$AM$1,0),0)=AU339,".","NO"))</f>
        <v>.</v>
      </c>
      <c r="DD339" s="136" t="str">
        <f>IF($D339&lt;&gt;"Feature",".",
IF(VLOOKUP($B339,Feature_List!$A:$AM,MATCH(DD$1,  Feature_List!$A$1:$AM$1,0),0)=AV339,".","NO"))</f>
        <v>.</v>
      </c>
      <c r="DE339" s="136" t="str">
        <f>IF($D339&lt;&gt;"Feature",".",
IF(VLOOKUP($B339,Feature_List!$A:$AM,MATCH(DE$1,  Feature_List!$A$1:$AM$1,0),0)=AW339,".","NO"))</f>
        <v>.</v>
      </c>
      <c r="DF339" s="136" t="str">
        <f>IF($D339&lt;&gt;"Feature",".",
IF(VLOOKUP($B339,Feature_List!$A:$AM,MATCH(DF$1,  Feature_List!$A$1:$AM$1,0),0)=AX339,".","NO"))</f>
        <v>.</v>
      </c>
      <c r="DG339" s="136" t="str">
        <f>IF($D339&lt;&gt;"Feature",".",
IF(VLOOKUP($B339,Feature_List!$A:$AM,MATCH(DG$1,  Feature_List!$A$1:$AM$1,0),0)=AY339,".","NO"))</f>
        <v>.</v>
      </c>
      <c r="DH339" s="136" t="str">
        <f>IF($D339&lt;&gt;"Feature",".",
IF(VLOOKUP($B339,Feature_List!$A:$AM,MATCH(DH$1,  Feature_List!$A$1:$AM$1,0),0)=AZ339,".","NO"))</f>
        <v>.</v>
      </c>
      <c r="DI339" s="136" t="str">
        <f>IF($D339&lt;&gt;"Feature",".",
IF(VLOOKUP($B339,Feature_List!$A:$AM,MATCH(DI$1,  Feature_List!$A$1:$AM$1,0),0)=BA339,".","NO"))</f>
        <v>.</v>
      </c>
      <c r="DJ339" s="136" t="str">
        <f>IF($D339&lt;&gt;"Feature",".",
IF(VLOOKUP($B339,Feature_List!$A:$AM,MATCH(DJ$1,  Feature_List!$A$1:$AM$1,0),0)=BB339,".","NO"))</f>
        <v>.</v>
      </c>
      <c r="DK339" s="136"/>
      <c r="DL339" s="136"/>
      <c r="DM339" s="136"/>
      <c r="DN339" s="136" t="str">
        <f>IF($D339&lt;&gt;"Feature",".",
IF(VLOOKUP($B339,Feature_List!$A:$AM,MATCH(DN$1,  Feature_List!$A$1:$AM$1,0),0)=BC339,".","NO"))</f>
        <v>.</v>
      </c>
      <c r="DO339" s="136" t="str">
        <f>IF($D339&lt;&gt;"Feature",".",
IF(VLOOKUP($B339,Feature_List!$A:$AM,MATCH(DO$1,  Feature_List!$A$1:$AM$1,0),0)=BD339,".","NO"))</f>
        <v>.</v>
      </c>
    </row>
    <row r="340" spans="2:119" x14ac:dyDescent="0.3">
      <c r="B340" s="146"/>
      <c r="C340" s="147"/>
      <c r="D340" s="147"/>
      <c r="E340" s="147"/>
      <c r="F340" s="61"/>
      <c r="G340" s="61"/>
      <c r="H340" s="147"/>
      <c r="I340" s="148"/>
      <c r="J340" s="61"/>
      <c r="K340" s="61"/>
      <c r="L340" s="147"/>
      <c r="M340" s="147"/>
      <c r="N340" s="147"/>
      <c r="O340" s="123">
        <f t="shared" si="187"/>
        <v>0</v>
      </c>
      <c r="P340" s="123">
        <f t="shared" si="188"/>
        <v>0</v>
      </c>
      <c r="Q340" s="122" t="str">
        <f t="shared" si="210"/>
        <v>ZeroEntry</v>
      </c>
      <c r="R340" s="126" t="str">
        <f t="shared" si="189"/>
        <v>ZeroEntry</v>
      </c>
      <c r="S340" s="127" t="str">
        <f t="shared" si="190"/>
        <v>ZeroEntry</v>
      </c>
      <c r="T340" s="128" t="str">
        <f>IF($Q340="ZeroEntry", "",VLOOKUP($I340,'Ranking Lookup'!#REF!,2,FALSE))</f>
        <v/>
      </c>
      <c r="U340" s="129" t="str">
        <f t="shared" si="191"/>
        <v/>
      </c>
      <c r="V340" s="129" t="str">
        <f t="shared" si="192"/>
        <v/>
      </c>
      <c r="W340" s="129" t="str">
        <f t="shared" si="193"/>
        <v/>
      </c>
      <c r="X340" s="129" t="str">
        <f t="shared" si="194"/>
        <v/>
      </c>
      <c r="Y340" s="129" t="str">
        <f t="shared" si="195"/>
        <v/>
      </c>
      <c r="Z340" s="129" t="str">
        <f t="shared" si="196"/>
        <v/>
      </c>
      <c r="AA340" s="130"/>
      <c r="AB340" s="130" t="str">
        <f t="shared" si="197"/>
        <v>Unassigned</v>
      </c>
      <c r="AC340" s="131" t="str">
        <f t="shared" si="211"/>
        <v/>
      </c>
      <c r="AD340" s="131" t="str">
        <f t="shared" si="212"/>
        <v/>
      </c>
      <c r="AE340" s="132">
        <f t="shared" si="198"/>
        <v>0</v>
      </c>
      <c r="AF340" s="133" t="str">
        <f t="shared" si="213"/>
        <v/>
      </c>
      <c r="AG340" s="134">
        <f t="shared" si="199"/>
        <v>0</v>
      </c>
      <c r="AH340" s="54" t="str">
        <f t="shared" si="200"/>
        <v/>
      </c>
      <c r="AI340" s="54" t="str">
        <f t="shared" si="216"/>
        <v/>
      </c>
      <c r="AJ340" s="54" t="str">
        <f t="shared" si="216"/>
        <v/>
      </c>
      <c r="AK340" s="54" t="str">
        <f t="shared" si="216"/>
        <v/>
      </c>
      <c r="AL340" s="54" t="str">
        <f t="shared" si="216"/>
        <v/>
      </c>
      <c r="AM340" s="54" t="str">
        <f t="shared" si="216"/>
        <v/>
      </c>
      <c r="AN340" s="54" t="str">
        <f t="shared" si="216"/>
        <v/>
      </c>
      <c r="AO340" s="54" t="str">
        <f t="shared" si="216"/>
        <v/>
      </c>
      <c r="AP340" s="54" t="str">
        <f t="shared" si="216"/>
        <v/>
      </c>
      <c r="AQ340" s="54" t="str">
        <f t="shared" si="216"/>
        <v/>
      </c>
      <c r="AR340" s="54" t="str">
        <f t="shared" si="216"/>
        <v/>
      </c>
      <c r="AS340" s="54" t="str">
        <f t="shared" si="216"/>
        <v/>
      </c>
      <c r="AT340" s="54" t="str">
        <f t="shared" si="216"/>
        <v/>
      </c>
      <c r="AU340" s="54" t="str">
        <f t="shared" si="216"/>
        <v/>
      </c>
      <c r="AV340" s="54" t="str">
        <f t="shared" si="216"/>
        <v/>
      </c>
      <c r="AW340" s="54" t="str">
        <f t="shared" si="216"/>
        <v/>
      </c>
      <c r="AX340" s="54" t="str">
        <f t="shared" si="216"/>
        <v/>
      </c>
      <c r="AY340" s="54" t="str">
        <f t="shared" si="214"/>
        <v/>
      </c>
      <c r="AZ340" s="54" t="str">
        <f t="shared" si="202"/>
        <v/>
      </c>
      <c r="BA340" s="54" t="str">
        <f t="shared" si="203"/>
        <v/>
      </c>
      <c r="BB340" s="135" t="str">
        <f t="shared" si="204"/>
        <v/>
      </c>
      <c r="BC340" s="54" t="str">
        <f t="shared" si="205"/>
        <v/>
      </c>
      <c r="BD340" s="54" t="str">
        <f t="shared" si="205"/>
        <v/>
      </c>
      <c r="BE340" s="54" t="str">
        <f t="shared" si="205"/>
        <v/>
      </c>
      <c r="BF340" s="54" t="str">
        <f t="shared" si="206"/>
        <v/>
      </c>
      <c r="BG340" s="54" t="str">
        <f t="shared" si="207"/>
        <v/>
      </c>
      <c r="BH340" s="34" t="str">
        <f t="shared" si="208"/>
        <v>Bad</v>
      </c>
      <c r="BI340" s="34" t="str">
        <f t="shared" si="209"/>
        <v>No</v>
      </c>
      <c r="BJ340" s="136" t="str">
        <f>IF($D340&lt;&gt;"Feature",".",
IF(VLOOKUP($B340,Feature_List!$A:$AM,MATCH(BJ$1,  Feature_List!$A$1:$AM$1,0),0)=B340,".","NO"))</f>
        <v>.</v>
      </c>
      <c r="BK340" s="136"/>
      <c r="BL340" s="136"/>
      <c r="BM340" s="136" t="str">
        <f>IF($D340&lt;&gt;"Feature",".",
IF(VLOOKUP($B340,Feature_List!$A:$AM,MATCH(BM$1,  Feature_List!$A$1:$AM$1,0),0)=E340,".","NO"))</f>
        <v>.</v>
      </c>
      <c r="BN340" s="136" t="str">
        <f>IF($D340&lt;&gt;"Feature",".",
IF(VLOOKUP($B340,Feature_List!$A:$AM,MATCH(BN$1,  Feature_List!$A$1:$AM$1,0),0)=F340,".","NO"))</f>
        <v>.</v>
      </c>
      <c r="BO340" s="136" t="str">
        <f>IF($D340&lt;&gt;"Feature",".",
IF(VLOOKUP($B340,Feature_List!$A:$AM,MATCH(BO$1,  Feature_List!$A$1:$AM$1,0),0)=G340,".","NO"))</f>
        <v>.</v>
      </c>
      <c r="BP340" s="136" t="str">
        <f>IF($D340&lt;&gt;"Feature",".",
IF(VLOOKUP($B340,Feature_List!$A:$AM,MATCH(BP$1,  Feature_List!$A$1:$AM$1,0),0)=H340,".","NO"))</f>
        <v>.</v>
      </c>
      <c r="BQ340" s="136"/>
      <c r="BR340" s="136" t="str">
        <f>IF($D340&lt;&gt;"Feature",".",
IF(VLOOKUP($B340,Feature_List!$A:$AM,MATCH(BR$1,  Feature_List!$A$1:$AM$1,0),0)=J340,".","NO"))</f>
        <v>.</v>
      </c>
      <c r="BS340" s="136"/>
      <c r="BT340" s="136"/>
      <c r="BU340" s="136" t="str">
        <f>IF($D340&lt;&gt;"Feature",".",
IF(VLOOKUP($B340,Feature_List!$A:$AM,MATCH(BU$1,  Feature_List!$A$1:$AM$1,0),0)=M340,".","NO"))</f>
        <v>.</v>
      </c>
      <c r="BV340" s="136" t="str">
        <f>IF($D340&lt;&gt;"Feature",".",
IF(VLOOKUP($B340,Feature_List!$A:$AM,MATCH(BV$1,  Feature_List!$A$1:$AM$1,0),0)=N340,".","NO"))</f>
        <v>.</v>
      </c>
      <c r="BW340" s="136"/>
      <c r="BX340" s="136"/>
      <c r="BY340" s="136"/>
      <c r="BZ340" s="136"/>
      <c r="CA340" s="136"/>
      <c r="CB340" s="136" t="str">
        <f>IF($D340&lt;&gt;"Feature",".",
IF(VLOOKUP($B340,Feature_List!$A:$AM,MATCH(CB$1,  Feature_List!$A$1:$AM$1,0),0)=T340,".","NO"))</f>
        <v>.</v>
      </c>
      <c r="CC340" s="136"/>
      <c r="CD340" s="136"/>
      <c r="CE340" s="136"/>
      <c r="CF340" s="136"/>
      <c r="CG340" s="136"/>
      <c r="CH340" s="136"/>
      <c r="CI340" s="136"/>
      <c r="CJ340" s="136"/>
      <c r="CK340" s="136"/>
      <c r="CL340" s="136"/>
      <c r="CM340" s="136"/>
      <c r="CN340" s="136"/>
      <c r="CO340" s="136" t="str">
        <f>IF($D340&lt;&gt;"Feature",".",
IF(VLOOKUP($B340,Feature_List!$A:$AM,MATCH(CO$1,  Feature_List!$A$1:$AM$1,0),0)=AG340,".","NO"))</f>
        <v>.</v>
      </c>
      <c r="CP340" s="136" t="str">
        <f>IF($D340&lt;&gt;"Feature",".",
IF(VLOOKUP($B340,Feature_List!$A:$AM,MATCH(CP$1,  Feature_List!$A$1:$AM$1,0),0)=AH340,".","NO"))</f>
        <v>.</v>
      </c>
      <c r="CQ340" s="136" t="str">
        <f>IF($D340&lt;&gt;"Feature",".",
IF(VLOOKUP($B340,Feature_List!$A:$AM,MATCH(CQ$1,  Feature_List!$A$1:$AM$1,0),0)=AI340,".","NO"))</f>
        <v>.</v>
      </c>
      <c r="CR340" s="136" t="str">
        <f>IF($D340&lt;&gt;"Feature",".",
IF(VLOOKUP($B340,Feature_List!$A:$AM,MATCH(CR$1,  Feature_List!$A$1:$AM$1,0),0)=AJ340,".","NO"))</f>
        <v>.</v>
      </c>
      <c r="CS340" s="136" t="str">
        <f>IF($D340&lt;&gt;"Feature",".",
IF(VLOOKUP($B340,Feature_List!$A:$AM,MATCH(CS$1,  Feature_List!$A$1:$AM$1,0),0)=AK340,".","NO"))</f>
        <v>.</v>
      </c>
      <c r="CT340" s="136" t="str">
        <f>IF($D340&lt;&gt;"Feature",".",
IF(VLOOKUP($B340,Feature_List!$A:$AM,MATCH(CT$1,  Feature_List!$A$1:$AM$1,0),0)=AL340,".","NO"))</f>
        <v>.</v>
      </c>
      <c r="CU340" s="136" t="str">
        <f>IF($D340&lt;&gt;"Feature",".",
IF(VLOOKUP($B340,Feature_List!$A:$AM,MATCH(CU$1,  Feature_List!$A$1:$AM$1,0),0)=AM340,".","NO"))</f>
        <v>.</v>
      </c>
      <c r="CV340" s="136" t="str">
        <f>IF($D340&lt;&gt;"Feature",".",
IF(VLOOKUP($B340,Feature_List!$A:$AM,MATCH(CV$1,  Feature_List!$A$1:$AM$1,0),0)=AN340,".","NO"))</f>
        <v>.</v>
      </c>
      <c r="CW340" s="136" t="str">
        <f>IF($D340&lt;&gt;"Feature",".",
IF(VLOOKUP($B340,Feature_List!$A:$AM,MATCH(CW$1,  Feature_List!$A$1:$AM$1,0),0)=AO340,".","NO"))</f>
        <v>.</v>
      </c>
      <c r="CX340" s="136" t="str">
        <f>IF($D340&lt;&gt;"Feature",".",
IF(VLOOKUP($B340,Feature_List!$A:$AM,MATCH(CX$1,  Feature_List!$A$1:$AM$1,0),0)=AP340,".","NO"))</f>
        <v>.</v>
      </c>
      <c r="CY340" s="136" t="str">
        <f>IF($D340&lt;&gt;"Feature",".",
IF(VLOOKUP($B340,Feature_List!$A:$AM,MATCH(CY$1,  Feature_List!$A$1:$AM$1,0),0)=AQ340,".","NO"))</f>
        <v>.</v>
      </c>
      <c r="CZ340" s="136" t="str">
        <f>IF($D340&lt;&gt;"Feature",".",
IF(VLOOKUP($B340,Feature_List!$A:$AM,MATCH(CZ$1,  Feature_List!$A$1:$AM$1,0),0)=AR340,".","NO"))</f>
        <v>.</v>
      </c>
      <c r="DA340" s="136" t="str">
        <f>IF($D340&lt;&gt;"Feature",".",
IF(VLOOKUP($B340,Feature_List!$A:$AM,MATCH(DA$1,  Feature_List!$A$1:$AM$1,0),0)=AS340,".","NO"))</f>
        <v>.</v>
      </c>
      <c r="DB340" s="136" t="str">
        <f>IF($D340&lt;&gt;"Feature",".",
IF(VLOOKUP($B340,Feature_List!$A:$AM,MATCH(DB$1,  Feature_List!$A$1:$AM$1,0),0)=AT340,".","NO"))</f>
        <v>.</v>
      </c>
      <c r="DC340" s="136" t="str">
        <f>IF($D340&lt;&gt;"Feature",".",
IF(VLOOKUP($B340,Feature_List!$A:$AM,MATCH(DC$1,  Feature_List!$A$1:$AM$1,0),0)=AU340,".","NO"))</f>
        <v>.</v>
      </c>
      <c r="DD340" s="136" t="str">
        <f>IF($D340&lt;&gt;"Feature",".",
IF(VLOOKUP($B340,Feature_List!$A:$AM,MATCH(DD$1,  Feature_List!$A$1:$AM$1,0),0)=AV340,".","NO"))</f>
        <v>.</v>
      </c>
      <c r="DE340" s="136" t="str">
        <f>IF($D340&lt;&gt;"Feature",".",
IF(VLOOKUP($B340,Feature_List!$A:$AM,MATCH(DE$1,  Feature_List!$A$1:$AM$1,0),0)=AW340,".","NO"))</f>
        <v>.</v>
      </c>
      <c r="DF340" s="136" t="str">
        <f>IF($D340&lt;&gt;"Feature",".",
IF(VLOOKUP($B340,Feature_List!$A:$AM,MATCH(DF$1,  Feature_List!$A$1:$AM$1,0),0)=AX340,".","NO"))</f>
        <v>.</v>
      </c>
      <c r="DG340" s="136" t="str">
        <f>IF($D340&lt;&gt;"Feature",".",
IF(VLOOKUP($B340,Feature_List!$A:$AM,MATCH(DG$1,  Feature_List!$A$1:$AM$1,0),0)=AY340,".","NO"))</f>
        <v>.</v>
      </c>
      <c r="DH340" s="136" t="str">
        <f>IF($D340&lt;&gt;"Feature",".",
IF(VLOOKUP($B340,Feature_List!$A:$AM,MATCH(DH$1,  Feature_List!$A$1:$AM$1,0),0)=AZ340,".","NO"))</f>
        <v>.</v>
      </c>
      <c r="DI340" s="136" t="str">
        <f>IF($D340&lt;&gt;"Feature",".",
IF(VLOOKUP($B340,Feature_List!$A:$AM,MATCH(DI$1,  Feature_List!$A$1:$AM$1,0),0)=BA340,".","NO"))</f>
        <v>.</v>
      </c>
      <c r="DJ340" s="136" t="str">
        <f>IF($D340&lt;&gt;"Feature",".",
IF(VLOOKUP($B340,Feature_List!$A:$AM,MATCH(DJ$1,  Feature_List!$A$1:$AM$1,0),0)=BB340,".","NO"))</f>
        <v>.</v>
      </c>
      <c r="DK340" s="136"/>
      <c r="DL340" s="136"/>
      <c r="DM340" s="136"/>
      <c r="DN340" s="136" t="str">
        <f>IF($D340&lt;&gt;"Feature",".",
IF(VLOOKUP($B340,Feature_List!$A:$AM,MATCH(DN$1,  Feature_List!$A$1:$AM$1,0),0)=BC340,".","NO"))</f>
        <v>.</v>
      </c>
      <c r="DO340" s="136" t="str">
        <f>IF($D340&lt;&gt;"Feature",".",
IF(VLOOKUP($B340,Feature_List!$A:$AM,MATCH(DO$1,  Feature_List!$A$1:$AM$1,0),0)=BD340,".","NO"))</f>
        <v>.</v>
      </c>
    </row>
    <row r="341" spans="2:119" x14ac:dyDescent="0.3">
      <c r="B341" s="146"/>
      <c r="C341" s="147"/>
      <c r="D341" s="147"/>
      <c r="E341" s="147"/>
      <c r="F341" s="61"/>
      <c r="G341" s="61"/>
      <c r="H341" s="147"/>
      <c r="I341" s="148"/>
      <c r="J341" s="61"/>
      <c r="K341" s="61"/>
      <c r="L341" s="147"/>
      <c r="M341" s="147"/>
      <c r="N341" s="147"/>
      <c r="O341" s="123">
        <f t="shared" si="187"/>
        <v>0</v>
      </c>
      <c r="P341" s="123">
        <f t="shared" si="188"/>
        <v>0</v>
      </c>
      <c r="Q341" s="122" t="str">
        <f t="shared" si="210"/>
        <v>ZeroEntry</v>
      </c>
      <c r="R341" s="126" t="str">
        <f t="shared" si="189"/>
        <v>ZeroEntry</v>
      </c>
      <c r="S341" s="127" t="str">
        <f t="shared" si="190"/>
        <v>ZeroEntry</v>
      </c>
      <c r="T341" s="128" t="str">
        <f>IF($Q341="ZeroEntry", "",VLOOKUP($I341,'Ranking Lookup'!#REF!,2,FALSE))</f>
        <v/>
      </c>
      <c r="U341" s="129" t="str">
        <f t="shared" si="191"/>
        <v/>
      </c>
      <c r="V341" s="129" t="str">
        <f t="shared" si="192"/>
        <v/>
      </c>
      <c r="W341" s="129" t="str">
        <f t="shared" si="193"/>
        <v/>
      </c>
      <c r="X341" s="129" t="str">
        <f t="shared" si="194"/>
        <v/>
      </c>
      <c r="Y341" s="129" t="str">
        <f t="shared" si="195"/>
        <v/>
      </c>
      <c r="Z341" s="129" t="str">
        <f t="shared" si="196"/>
        <v/>
      </c>
      <c r="AA341" s="130"/>
      <c r="AB341" s="130" t="str">
        <f t="shared" si="197"/>
        <v>Unassigned</v>
      </c>
      <c r="AC341" s="131" t="str">
        <f t="shared" si="211"/>
        <v/>
      </c>
      <c r="AD341" s="131" t="str">
        <f t="shared" si="212"/>
        <v/>
      </c>
      <c r="AE341" s="132">
        <f t="shared" si="198"/>
        <v>0</v>
      </c>
      <c r="AF341" s="133" t="str">
        <f t="shared" si="213"/>
        <v/>
      </c>
      <c r="AG341" s="134">
        <f t="shared" si="199"/>
        <v>0</v>
      </c>
      <c r="AH341" s="54" t="str">
        <f t="shared" si="200"/>
        <v/>
      </c>
      <c r="AI341" s="54" t="str">
        <f t="shared" si="216"/>
        <v/>
      </c>
      <c r="AJ341" s="54" t="str">
        <f t="shared" si="216"/>
        <v/>
      </c>
      <c r="AK341" s="54" t="str">
        <f t="shared" si="216"/>
        <v/>
      </c>
      <c r="AL341" s="54" t="str">
        <f t="shared" si="216"/>
        <v/>
      </c>
      <c r="AM341" s="54" t="str">
        <f t="shared" si="216"/>
        <v/>
      </c>
      <c r="AN341" s="54" t="str">
        <f t="shared" si="216"/>
        <v/>
      </c>
      <c r="AO341" s="54" t="str">
        <f t="shared" si="216"/>
        <v/>
      </c>
      <c r="AP341" s="54" t="str">
        <f t="shared" si="216"/>
        <v/>
      </c>
      <c r="AQ341" s="54" t="str">
        <f t="shared" si="216"/>
        <v/>
      </c>
      <c r="AR341" s="54" t="str">
        <f t="shared" si="216"/>
        <v/>
      </c>
      <c r="AS341" s="54" t="str">
        <f t="shared" si="216"/>
        <v/>
      </c>
      <c r="AT341" s="54" t="str">
        <f t="shared" si="216"/>
        <v/>
      </c>
      <c r="AU341" s="54" t="str">
        <f t="shared" si="216"/>
        <v/>
      </c>
      <c r="AV341" s="54" t="str">
        <f t="shared" si="216"/>
        <v/>
      </c>
      <c r="AW341" s="54" t="str">
        <f t="shared" si="216"/>
        <v/>
      </c>
      <c r="AX341" s="54" t="str">
        <f t="shared" si="216"/>
        <v/>
      </c>
      <c r="AY341" s="54" t="str">
        <f t="shared" si="214"/>
        <v/>
      </c>
      <c r="AZ341" s="54" t="str">
        <f t="shared" si="202"/>
        <v/>
      </c>
      <c r="BA341" s="54" t="str">
        <f t="shared" si="203"/>
        <v/>
      </c>
      <c r="BB341" s="135" t="str">
        <f t="shared" si="204"/>
        <v/>
      </c>
      <c r="BC341" s="54" t="str">
        <f t="shared" si="205"/>
        <v/>
      </c>
      <c r="BD341" s="54" t="str">
        <f t="shared" si="205"/>
        <v/>
      </c>
      <c r="BE341" s="54" t="str">
        <f t="shared" si="205"/>
        <v/>
      </c>
      <c r="BF341" s="54" t="str">
        <f t="shared" si="206"/>
        <v/>
      </c>
      <c r="BG341" s="54" t="str">
        <f t="shared" si="207"/>
        <v/>
      </c>
      <c r="BH341" s="34" t="str">
        <f t="shared" si="208"/>
        <v>Bad</v>
      </c>
      <c r="BI341" s="34" t="str">
        <f t="shared" si="209"/>
        <v>No</v>
      </c>
      <c r="BJ341" s="136" t="str">
        <f>IF($D341&lt;&gt;"Feature",".",
IF(VLOOKUP($B341,Feature_List!$A:$AM,MATCH(BJ$1,  Feature_List!$A$1:$AM$1,0),0)=B341,".","NO"))</f>
        <v>.</v>
      </c>
      <c r="BK341" s="136"/>
      <c r="BL341" s="136"/>
      <c r="BM341" s="136" t="str">
        <f>IF($D341&lt;&gt;"Feature",".",
IF(VLOOKUP($B341,Feature_List!$A:$AM,MATCH(BM$1,  Feature_List!$A$1:$AM$1,0),0)=E341,".","NO"))</f>
        <v>.</v>
      </c>
      <c r="BN341" s="136" t="str">
        <f>IF($D341&lt;&gt;"Feature",".",
IF(VLOOKUP($B341,Feature_List!$A:$AM,MATCH(BN$1,  Feature_List!$A$1:$AM$1,0),0)=F341,".","NO"))</f>
        <v>.</v>
      </c>
      <c r="BO341" s="136" t="str">
        <f>IF($D341&lt;&gt;"Feature",".",
IF(VLOOKUP($B341,Feature_List!$A:$AM,MATCH(BO$1,  Feature_List!$A$1:$AM$1,0),0)=G341,".","NO"))</f>
        <v>.</v>
      </c>
      <c r="BP341" s="136" t="str">
        <f>IF($D341&lt;&gt;"Feature",".",
IF(VLOOKUP($B341,Feature_List!$A:$AM,MATCH(BP$1,  Feature_List!$A$1:$AM$1,0),0)=H341,".","NO"))</f>
        <v>.</v>
      </c>
      <c r="BQ341" s="136"/>
      <c r="BR341" s="136" t="str">
        <f>IF($D341&lt;&gt;"Feature",".",
IF(VLOOKUP($B341,Feature_List!$A:$AM,MATCH(BR$1,  Feature_List!$A$1:$AM$1,0),0)=J341,".","NO"))</f>
        <v>.</v>
      </c>
      <c r="BS341" s="136"/>
      <c r="BT341" s="136"/>
      <c r="BU341" s="136" t="str">
        <f>IF($D341&lt;&gt;"Feature",".",
IF(VLOOKUP($B341,Feature_List!$A:$AM,MATCH(BU$1,  Feature_List!$A$1:$AM$1,0),0)=M341,".","NO"))</f>
        <v>.</v>
      </c>
      <c r="BV341" s="136" t="str">
        <f>IF($D341&lt;&gt;"Feature",".",
IF(VLOOKUP($B341,Feature_List!$A:$AM,MATCH(BV$1,  Feature_List!$A$1:$AM$1,0),0)=N341,".","NO"))</f>
        <v>.</v>
      </c>
      <c r="BW341" s="136"/>
      <c r="BX341" s="136"/>
      <c r="BY341" s="136"/>
      <c r="BZ341" s="136"/>
      <c r="CA341" s="136"/>
      <c r="CB341" s="136" t="str">
        <f>IF($D341&lt;&gt;"Feature",".",
IF(VLOOKUP($B341,Feature_List!$A:$AM,MATCH(CB$1,  Feature_List!$A$1:$AM$1,0),0)=T341,".","NO"))</f>
        <v>.</v>
      </c>
      <c r="CC341" s="136"/>
      <c r="CD341" s="136"/>
      <c r="CE341" s="136"/>
      <c r="CF341" s="136"/>
      <c r="CG341" s="136"/>
      <c r="CH341" s="136"/>
      <c r="CI341" s="136"/>
      <c r="CJ341" s="136"/>
      <c r="CK341" s="136"/>
      <c r="CL341" s="136"/>
      <c r="CM341" s="136"/>
      <c r="CN341" s="136"/>
      <c r="CO341" s="136" t="str">
        <f>IF($D341&lt;&gt;"Feature",".",
IF(VLOOKUP($B341,Feature_List!$A:$AM,MATCH(CO$1,  Feature_List!$A$1:$AM$1,0),0)=AG341,".","NO"))</f>
        <v>.</v>
      </c>
      <c r="CP341" s="136" t="str">
        <f>IF($D341&lt;&gt;"Feature",".",
IF(VLOOKUP($B341,Feature_List!$A:$AM,MATCH(CP$1,  Feature_List!$A$1:$AM$1,0),0)=AH341,".","NO"))</f>
        <v>.</v>
      </c>
      <c r="CQ341" s="136" t="str">
        <f>IF($D341&lt;&gt;"Feature",".",
IF(VLOOKUP($B341,Feature_List!$A:$AM,MATCH(CQ$1,  Feature_List!$A$1:$AM$1,0),0)=AI341,".","NO"))</f>
        <v>.</v>
      </c>
      <c r="CR341" s="136" t="str">
        <f>IF($D341&lt;&gt;"Feature",".",
IF(VLOOKUP($B341,Feature_List!$A:$AM,MATCH(CR$1,  Feature_List!$A$1:$AM$1,0),0)=AJ341,".","NO"))</f>
        <v>.</v>
      </c>
      <c r="CS341" s="136" t="str">
        <f>IF($D341&lt;&gt;"Feature",".",
IF(VLOOKUP($B341,Feature_List!$A:$AM,MATCH(CS$1,  Feature_List!$A$1:$AM$1,0),0)=AK341,".","NO"))</f>
        <v>.</v>
      </c>
      <c r="CT341" s="136" t="str">
        <f>IF($D341&lt;&gt;"Feature",".",
IF(VLOOKUP($B341,Feature_List!$A:$AM,MATCH(CT$1,  Feature_List!$A$1:$AM$1,0),0)=AL341,".","NO"))</f>
        <v>.</v>
      </c>
      <c r="CU341" s="136" t="str">
        <f>IF($D341&lt;&gt;"Feature",".",
IF(VLOOKUP($B341,Feature_List!$A:$AM,MATCH(CU$1,  Feature_List!$A$1:$AM$1,0),0)=AM341,".","NO"))</f>
        <v>.</v>
      </c>
      <c r="CV341" s="136" t="str">
        <f>IF($D341&lt;&gt;"Feature",".",
IF(VLOOKUP($B341,Feature_List!$A:$AM,MATCH(CV$1,  Feature_List!$A$1:$AM$1,0),0)=AN341,".","NO"))</f>
        <v>.</v>
      </c>
      <c r="CW341" s="136" t="str">
        <f>IF($D341&lt;&gt;"Feature",".",
IF(VLOOKUP($B341,Feature_List!$A:$AM,MATCH(CW$1,  Feature_List!$A$1:$AM$1,0),0)=AO341,".","NO"))</f>
        <v>.</v>
      </c>
      <c r="CX341" s="136" t="str">
        <f>IF($D341&lt;&gt;"Feature",".",
IF(VLOOKUP($B341,Feature_List!$A:$AM,MATCH(CX$1,  Feature_List!$A$1:$AM$1,0),0)=AP341,".","NO"))</f>
        <v>.</v>
      </c>
      <c r="CY341" s="136" t="str">
        <f>IF($D341&lt;&gt;"Feature",".",
IF(VLOOKUP($B341,Feature_List!$A:$AM,MATCH(CY$1,  Feature_List!$A$1:$AM$1,0),0)=AQ341,".","NO"))</f>
        <v>.</v>
      </c>
      <c r="CZ341" s="136" t="str">
        <f>IF($D341&lt;&gt;"Feature",".",
IF(VLOOKUP($B341,Feature_List!$A:$AM,MATCH(CZ$1,  Feature_List!$A$1:$AM$1,0),0)=AR341,".","NO"))</f>
        <v>.</v>
      </c>
      <c r="DA341" s="136" t="str">
        <f>IF($D341&lt;&gt;"Feature",".",
IF(VLOOKUP($B341,Feature_List!$A:$AM,MATCH(DA$1,  Feature_List!$A$1:$AM$1,0),0)=AS341,".","NO"))</f>
        <v>.</v>
      </c>
      <c r="DB341" s="136" t="str">
        <f>IF($D341&lt;&gt;"Feature",".",
IF(VLOOKUP($B341,Feature_List!$A:$AM,MATCH(DB$1,  Feature_List!$A$1:$AM$1,0),0)=AT341,".","NO"))</f>
        <v>.</v>
      </c>
      <c r="DC341" s="136" t="str">
        <f>IF($D341&lt;&gt;"Feature",".",
IF(VLOOKUP($B341,Feature_List!$A:$AM,MATCH(DC$1,  Feature_List!$A$1:$AM$1,0),0)=AU341,".","NO"))</f>
        <v>.</v>
      </c>
      <c r="DD341" s="136" t="str">
        <f>IF($D341&lt;&gt;"Feature",".",
IF(VLOOKUP($B341,Feature_List!$A:$AM,MATCH(DD$1,  Feature_List!$A$1:$AM$1,0),0)=AV341,".","NO"))</f>
        <v>.</v>
      </c>
      <c r="DE341" s="136" t="str">
        <f>IF($D341&lt;&gt;"Feature",".",
IF(VLOOKUP($B341,Feature_List!$A:$AM,MATCH(DE$1,  Feature_List!$A$1:$AM$1,0),0)=AW341,".","NO"))</f>
        <v>.</v>
      </c>
      <c r="DF341" s="136" t="str">
        <f>IF($D341&lt;&gt;"Feature",".",
IF(VLOOKUP($B341,Feature_List!$A:$AM,MATCH(DF$1,  Feature_List!$A$1:$AM$1,0),0)=AX341,".","NO"))</f>
        <v>.</v>
      </c>
      <c r="DG341" s="136" t="str">
        <f>IF($D341&lt;&gt;"Feature",".",
IF(VLOOKUP($B341,Feature_List!$A:$AM,MATCH(DG$1,  Feature_List!$A$1:$AM$1,0),0)=AY341,".","NO"))</f>
        <v>.</v>
      </c>
      <c r="DH341" s="136" t="str">
        <f>IF($D341&lt;&gt;"Feature",".",
IF(VLOOKUP($B341,Feature_List!$A:$AM,MATCH(DH$1,  Feature_List!$A$1:$AM$1,0),0)=AZ341,".","NO"))</f>
        <v>.</v>
      </c>
      <c r="DI341" s="136" t="str">
        <f>IF($D341&lt;&gt;"Feature",".",
IF(VLOOKUP($B341,Feature_List!$A:$AM,MATCH(DI$1,  Feature_List!$A$1:$AM$1,0),0)=BA341,".","NO"))</f>
        <v>.</v>
      </c>
      <c r="DJ341" s="136" t="str">
        <f>IF($D341&lt;&gt;"Feature",".",
IF(VLOOKUP($B341,Feature_List!$A:$AM,MATCH(DJ$1,  Feature_List!$A$1:$AM$1,0),0)=BB341,".","NO"))</f>
        <v>.</v>
      </c>
      <c r="DK341" s="136"/>
      <c r="DL341" s="136"/>
      <c r="DM341" s="136"/>
      <c r="DN341" s="136" t="str">
        <f>IF($D341&lt;&gt;"Feature",".",
IF(VLOOKUP($B341,Feature_List!$A:$AM,MATCH(DN$1,  Feature_List!$A$1:$AM$1,0),0)=BC341,".","NO"))</f>
        <v>.</v>
      </c>
      <c r="DO341" s="136" t="str">
        <f>IF($D341&lt;&gt;"Feature",".",
IF(VLOOKUP($B341,Feature_List!$A:$AM,MATCH(DO$1,  Feature_List!$A$1:$AM$1,0),0)=BD341,".","NO"))</f>
        <v>.</v>
      </c>
    </row>
    <row r="342" spans="2:119" x14ac:dyDescent="0.3">
      <c r="B342" s="146"/>
      <c r="C342" s="147"/>
      <c r="D342" s="147"/>
      <c r="E342" s="147"/>
      <c r="F342" s="61"/>
      <c r="G342" s="61"/>
      <c r="H342" s="147"/>
      <c r="I342" s="148"/>
      <c r="J342" s="61"/>
      <c r="K342" s="61"/>
      <c r="L342" s="147"/>
      <c r="M342" s="147"/>
      <c r="N342" s="147"/>
      <c r="O342" s="123">
        <f t="shared" si="187"/>
        <v>0</v>
      </c>
      <c r="P342" s="123">
        <f t="shared" si="188"/>
        <v>0</v>
      </c>
      <c r="Q342" s="122" t="str">
        <f t="shared" si="210"/>
        <v>ZeroEntry</v>
      </c>
      <c r="R342" s="126" t="str">
        <f t="shared" si="189"/>
        <v>ZeroEntry</v>
      </c>
      <c r="S342" s="127" t="str">
        <f t="shared" si="190"/>
        <v>ZeroEntry</v>
      </c>
      <c r="T342" s="128" t="str">
        <f>IF($Q342="ZeroEntry", "",VLOOKUP($I342,'Ranking Lookup'!#REF!,2,FALSE))</f>
        <v/>
      </c>
      <c r="U342" s="129" t="str">
        <f t="shared" si="191"/>
        <v/>
      </c>
      <c r="V342" s="129" t="str">
        <f t="shared" si="192"/>
        <v/>
      </c>
      <c r="W342" s="129" t="str">
        <f t="shared" si="193"/>
        <v/>
      </c>
      <c r="X342" s="129" t="str">
        <f t="shared" si="194"/>
        <v/>
      </c>
      <c r="Y342" s="129" t="str">
        <f t="shared" si="195"/>
        <v/>
      </c>
      <c r="Z342" s="129" t="str">
        <f t="shared" si="196"/>
        <v/>
      </c>
      <c r="AA342" s="130"/>
      <c r="AB342" s="130" t="str">
        <f t="shared" si="197"/>
        <v>Unassigned</v>
      </c>
      <c r="AC342" s="131" t="str">
        <f t="shared" si="211"/>
        <v/>
      </c>
      <c r="AD342" s="131" t="str">
        <f t="shared" si="212"/>
        <v/>
      </c>
      <c r="AE342" s="132">
        <f t="shared" si="198"/>
        <v>0</v>
      </c>
      <c r="AF342" s="133" t="str">
        <f t="shared" si="213"/>
        <v/>
      </c>
      <c r="AG342" s="134">
        <f t="shared" si="199"/>
        <v>0</v>
      </c>
      <c r="AH342" s="54" t="str">
        <f t="shared" si="200"/>
        <v/>
      </c>
      <c r="AI342" s="54" t="str">
        <f t="shared" si="216"/>
        <v/>
      </c>
      <c r="AJ342" s="54" t="str">
        <f t="shared" si="216"/>
        <v/>
      </c>
      <c r="AK342" s="54" t="str">
        <f t="shared" si="216"/>
        <v/>
      </c>
      <c r="AL342" s="54" t="str">
        <f t="shared" si="216"/>
        <v/>
      </c>
      <c r="AM342" s="54" t="str">
        <f t="shared" si="216"/>
        <v/>
      </c>
      <c r="AN342" s="54" t="str">
        <f t="shared" si="216"/>
        <v/>
      </c>
      <c r="AO342" s="54" t="str">
        <f t="shared" si="216"/>
        <v/>
      </c>
      <c r="AP342" s="54" t="str">
        <f t="shared" si="216"/>
        <v/>
      </c>
      <c r="AQ342" s="54" t="str">
        <f t="shared" si="216"/>
        <v/>
      </c>
      <c r="AR342" s="54" t="str">
        <f t="shared" si="216"/>
        <v/>
      </c>
      <c r="AS342" s="54" t="str">
        <f t="shared" si="216"/>
        <v/>
      </c>
      <c r="AT342" s="54" t="str">
        <f t="shared" si="216"/>
        <v/>
      </c>
      <c r="AU342" s="54" t="str">
        <f t="shared" si="216"/>
        <v/>
      </c>
      <c r="AV342" s="54" t="str">
        <f t="shared" si="216"/>
        <v/>
      </c>
      <c r="AW342" s="54" t="str">
        <f t="shared" si="216"/>
        <v/>
      </c>
      <c r="AX342" s="54" t="str">
        <f t="shared" si="216"/>
        <v/>
      </c>
      <c r="AY342" s="54" t="str">
        <f t="shared" si="214"/>
        <v/>
      </c>
      <c r="AZ342" s="54" t="str">
        <f t="shared" si="202"/>
        <v/>
      </c>
      <c r="BA342" s="54" t="str">
        <f t="shared" si="203"/>
        <v/>
      </c>
      <c r="BB342" s="135" t="str">
        <f t="shared" si="204"/>
        <v/>
      </c>
      <c r="BC342" s="54" t="str">
        <f t="shared" si="205"/>
        <v/>
      </c>
      <c r="BD342" s="54" t="str">
        <f t="shared" si="205"/>
        <v/>
      </c>
      <c r="BE342" s="54" t="str">
        <f t="shared" si="205"/>
        <v/>
      </c>
      <c r="BF342" s="54" t="str">
        <f t="shared" si="206"/>
        <v/>
      </c>
      <c r="BG342" s="54" t="str">
        <f t="shared" si="207"/>
        <v/>
      </c>
      <c r="BH342" s="34" t="str">
        <f t="shared" si="208"/>
        <v>Bad</v>
      </c>
      <c r="BI342" s="34" t="str">
        <f t="shared" si="209"/>
        <v>No</v>
      </c>
      <c r="BJ342" s="136" t="str">
        <f>IF($D342&lt;&gt;"Feature",".",
IF(VLOOKUP($B342,Feature_List!$A:$AM,MATCH(BJ$1,  Feature_List!$A$1:$AM$1,0),0)=B342,".","NO"))</f>
        <v>.</v>
      </c>
      <c r="BK342" s="136"/>
      <c r="BL342" s="136"/>
      <c r="BM342" s="136" t="str">
        <f>IF($D342&lt;&gt;"Feature",".",
IF(VLOOKUP($B342,Feature_List!$A:$AM,MATCH(BM$1,  Feature_List!$A$1:$AM$1,0),0)=E342,".","NO"))</f>
        <v>.</v>
      </c>
      <c r="BN342" s="136" t="str">
        <f>IF($D342&lt;&gt;"Feature",".",
IF(VLOOKUP($B342,Feature_List!$A:$AM,MATCH(BN$1,  Feature_List!$A$1:$AM$1,0),0)=F342,".","NO"))</f>
        <v>.</v>
      </c>
      <c r="BO342" s="136" t="str">
        <f>IF($D342&lt;&gt;"Feature",".",
IF(VLOOKUP($B342,Feature_List!$A:$AM,MATCH(BO$1,  Feature_List!$A$1:$AM$1,0),0)=G342,".","NO"))</f>
        <v>.</v>
      </c>
      <c r="BP342" s="136" t="str">
        <f>IF($D342&lt;&gt;"Feature",".",
IF(VLOOKUP($B342,Feature_List!$A:$AM,MATCH(BP$1,  Feature_List!$A$1:$AM$1,0),0)=H342,".","NO"))</f>
        <v>.</v>
      </c>
      <c r="BQ342" s="136"/>
      <c r="BR342" s="136" t="str">
        <f>IF($D342&lt;&gt;"Feature",".",
IF(VLOOKUP($B342,Feature_List!$A:$AM,MATCH(BR$1,  Feature_List!$A$1:$AM$1,0),0)=J342,".","NO"))</f>
        <v>.</v>
      </c>
      <c r="BS342" s="136"/>
      <c r="BT342" s="136"/>
      <c r="BU342" s="136" t="str">
        <f>IF($D342&lt;&gt;"Feature",".",
IF(VLOOKUP($B342,Feature_List!$A:$AM,MATCH(BU$1,  Feature_List!$A$1:$AM$1,0),0)=M342,".","NO"))</f>
        <v>.</v>
      </c>
      <c r="BV342" s="136" t="str">
        <f>IF($D342&lt;&gt;"Feature",".",
IF(VLOOKUP($B342,Feature_List!$A:$AM,MATCH(BV$1,  Feature_List!$A$1:$AM$1,0),0)=N342,".","NO"))</f>
        <v>.</v>
      </c>
      <c r="BW342" s="136"/>
      <c r="BX342" s="136"/>
      <c r="BY342" s="136"/>
      <c r="BZ342" s="136"/>
      <c r="CA342" s="136"/>
      <c r="CB342" s="136" t="str">
        <f>IF($D342&lt;&gt;"Feature",".",
IF(VLOOKUP($B342,Feature_List!$A:$AM,MATCH(CB$1,  Feature_List!$A$1:$AM$1,0),0)=T342,".","NO"))</f>
        <v>.</v>
      </c>
      <c r="CC342" s="136"/>
      <c r="CD342" s="136"/>
      <c r="CE342" s="136"/>
      <c r="CF342" s="136"/>
      <c r="CG342" s="136"/>
      <c r="CH342" s="136"/>
      <c r="CI342" s="136"/>
      <c r="CJ342" s="136"/>
      <c r="CK342" s="136"/>
      <c r="CL342" s="136"/>
      <c r="CM342" s="136"/>
      <c r="CN342" s="136"/>
      <c r="CO342" s="136" t="str">
        <f>IF($D342&lt;&gt;"Feature",".",
IF(VLOOKUP($B342,Feature_List!$A:$AM,MATCH(CO$1,  Feature_List!$A$1:$AM$1,0),0)=AG342,".","NO"))</f>
        <v>.</v>
      </c>
      <c r="CP342" s="136" t="str">
        <f>IF($D342&lt;&gt;"Feature",".",
IF(VLOOKUP($B342,Feature_List!$A:$AM,MATCH(CP$1,  Feature_List!$A$1:$AM$1,0),0)=AH342,".","NO"))</f>
        <v>.</v>
      </c>
      <c r="CQ342" s="136" t="str">
        <f>IF($D342&lt;&gt;"Feature",".",
IF(VLOOKUP($B342,Feature_List!$A:$AM,MATCH(CQ$1,  Feature_List!$A$1:$AM$1,0),0)=AI342,".","NO"))</f>
        <v>.</v>
      </c>
      <c r="CR342" s="136" t="str">
        <f>IF($D342&lt;&gt;"Feature",".",
IF(VLOOKUP($B342,Feature_List!$A:$AM,MATCH(CR$1,  Feature_List!$A$1:$AM$1,0),0)=AJ342,".","NO"))</f>
        <v>.</v>
      </c>
      <c r="CS342" s="136" t="str">
        <f>IF($D342&lt;&gt;"Feature",".",
IF(VLOOKUP($B342,Feature_List!$A:$AM,MATCH(CS$1,  Feature_List!$A$1:$AM$1,0),0)=AK342,".","NO"))</f>
        <v>.</v>
      </c>
      <c r="CT342" s="136" t="str">
        <f>IF($D342&lt;&gt;"Feature",".",
IF(VLOOKUP($B342,Feature_List!$A:$AM,MATCH(CT$1,  Feature_List!$A$1:$AM$1,0),0)=AL342,".","NO"))</f>
        <v>.</v>
      </c>
      <c r="CU342" s="136" t="str">
        <f>IF($D342&lt;&gt;"Feature",".",
IF(VLOOKUP($B342,Feature_List!$A:$AM,MATCH(CU$1,  Feature_List!$A$1:$AM$1,0),0)=AM342,".","NO"))</f>
        <v>.</v>
      </c>
      <c r="CV342" s="136" t="str">
        <f>IF($D342&lt;&gt;"Feature",".",
IF(VLOOKUP($B342,Feature_List!$A:$AM,MATCH(CV$1,  Feature_List!$A$1:$AM$1,0),0)=AN342,".","NO"))</f>
        <v>.</v>
      </c>
      <c r="CW342" s="136" t="str">
        <f>IF($D342&lt;&gt;"Feature",".",
IF(VLOOKUP($B342,Feature_List!$A:$AM,MATCH(CW$1,  Feature_List!$A$1:$AM$1,0),0)=AO342,".","NO"))</f>
        <v>.</v>
      </c>
      <c r="CX342" s="136" t="str">
        <f>IF($D342&lt;&gt;"Feature",".",
IF(VLOOKUP($B342,Feature_List!$A:$AM,MATCH(CX$1,  Feature_List!$A$1:$AM$1,0),0)=AP342,".","NO"))</f>
        <v>.</v>
      </c>
      <c r="CY342" s="136" t="str">
        <f>IF($D342&lt;&gt;"Feature",".",
IF(VLOOKUP($B342,Feature_List!$A:$AM,MATCH(CY$1,  Feature_List!$A$1:$AM$1,0),0)=AQ342,".","NO"))</f>
        <v>.</v>
      </c>
      <c r="CZ342" s="136" t="str">
        <f>IF($D342&lt;&gt;"Feature",".",
IF(VLOOKUP($B342,Feature_List!$A:$AM,MATCH(CZ$1,  Feature_List!$A$1:$AM$1,0),0)=AR342,".","NO"))</f>
        <v>.</v>
      </c>
      <c r="DA342" s="136" t="str">
        <f>IF($D342&lt;&gt;"Feature",".",
IF(VLOOKUP($B342,Feature_List!$A:$AM,MATCH(DA$1,  Feature_List!$A$1:$AM$1,0),0)=AS342,".","NO"))</f>
        <v>.</v>
      </c>
      <c r="DB342" s="136" t="str">
        <f>IF($D342&lt;&gt;"Feature",".",
IF(VLOOKUP($B342,Feature_List!$A:$AM,MATCH(DB$1,  Feature_List!$A$1:$AM$1,0),0)=AT342,".","NO"))</f>
        <v>.</v>
      </c>
      <c r="DC342" s="136" t="str">
        <f>IF($D342&lt;&gt;"Feature",".",
IF(VLOOKUP($B342,Feature_List!$A:$AM,MATCH(DC$1,  Feature_List!$A$1:$AM$1,0),0)=AU342,".","NO"))</f>
        <v>.</v>
      </c>
      <c r="DD342" s="136" t="str">
        <f>IF($D342&lt;&gt;"Feature",".",
IF(VLOOKUP($B342,Feature_List!$A:$AM,MATCH(DD$1,  Feature_List!$A$1:$AM$1,0),0)=AV342,".","NO"))</f>
        <v>.</v>
      </c>
      <c r="DE342" s="136" t="str">
        <f>IF($D342&lt;&gt;"Feature",".",
IF(VLOOKUP($B342,Feature_List!$A:$AM,MATCH(DE$1,  Feature_List!$A$1:$AM$1,0),0)=AW342,".","NO"))</f>
        <v>.</v>
      </c>
      <c r="DF342" s="136" t="str">
        <f>IF($D342&lt;&gt;"Feature",".",
IF(VLOOKUP($B342,Feature_List!$A:$AM,MATCH(DF$1,  Feature_List!$A$1:$AM$1,0),0)=AX342,".","NO"))</f>
        <v>.</v>
      </c>
      <c r="DG342" s="136" t="str">
        <f>IF($D342&lt;&gt;"Feature",".",
IF(VLOOKUP($B342,Feature_List!$A:$AM,MATCH(DG$1,  Feature_List!$A$1:$AM$1,0),0)=AY342,".","NO"))</f>
        <v>.</v>
      </c>
      <c r="DH342" s="136" t="str">
        <f>IF($D342&lt;&gt;"Feature",".",
IF(VLOOKUP($B342,Feature_List!$A:$AM,MATCH(DH$1,  Feature_List!$A$1:$AM$1,0),0)=AZ342,".","NO"))</f>
        <v>.</v>
      </c>
      <c r="DI342" s="136" t="str">
        <f>IF($D342&lt;&gt;"Feature",".",
IF(VLOOKUP($B342,Feature_List!$A:$AM,MATCH(DI$1,  Feature_List!$A$1:$AM$1,0),0)=BA342,".","NO"))</f>
        <v>.</v>
      </c>
      <c r="DJ342" s="136" t="str">
        <f>IF($D342&lt;&gt;"Feature",".",
IF(VLOOKUP($B342,Feature_List!$A:$AM,MATCH(DJ$1,  Feature_List!$A$1:$AM$1,0),0)=BB342,".","NO"))</f>
        <v>.</v>
      </c>
      <c r="DK342" s="136"/>
      <c r="DL342" s="136"/>
      <c r="DM342" s="136"/>
      <c r="DN342" s="136" t="str">
        <f>IF($D342&lt;&gt;"Feature",".",
IF(VLOOKUP($B342,Feature_List!$A:$AM,MATCH(DN$1,  Feature_List!$A$1:$AM$1,0),0)=BC342,".","NO"))</f>
        <v>.</v>
      </c>
      <c r="DO342" s="136" t="str">
        <f>IF($D342&lt;&gt;"Feature",".",
IF(VLOOKUP($B342,Feature_List!$A:$AM,MATCH(DO$1,  Feature_List!$A$1:$AM$1,0),0)=BD342,".","NO"))</f>
        <v>.</v>
      </c>
    </row>
    <row r="343" spans="2:119" x14ac:dyDescent="0.3">
      <c r="B343" s="146"/>
      <c r="C343" s="147"/>
      <c r="D343" s="147"/>
      <c r="E343" s="147"/>
      <c r="F343" s="61"/>
      <c r="G343" s="61"/>
      <c r="H343" s="147"/>
      <c r="I343" s="148"/>
      <c r="J343" s="61"/>
      <c r="K343" s="61"/>
      <c r="L343" s="147"/>
      <c r="M343" s="147"/>
      <c r="N343" s="147"/>
      <c r="O343" s="123">
        <f t="shared" si="187"/>
        <v>0</v>
      </c>
      <c r="P343" s="123">
        <f t="shared" si="188"/>
        <v>0</v>
      </c>
      <c r="Q343" s="122" t="str">
        <f t="shared" si="210"/>
        <v>ZeroEntry</v>
      </c>
      <c r="R343" s="126" t="str">
        <f t="shared" si="189"/>
        <v>ZeroEntry</v>
      </c>
      <c r="S343" s="127" t="str">
        <f t="shared" si="190"/>
        <v>ZeroEntry</v>
      </c>
      <c r="T343" s="128" t="str">
        <f>IF($Q343="ZeroEntry", "",VLOOKUP($I343,'Ranking Lookup'!#REF!,2,FALSE))</f>
        <v/>
      </c>
      <c r="U343" s="129" t="str">
        <f t="shared" si="191"/>
        <v/>
      </c>
      <c r="V343" s="129" t="str">
        <f t="shared" si="192"/>
        <v/>
      </c>
      <c r="W343" s="129" t="str">
        <f t="shared" si="193"/>
        <v/>
      </c>
      <c r="X343" s="129" t="str">
        <f t="shared" si="194"/>
        <v/>
      </c>
      <c r="Y343" s="129" t="str">
        <f t="shared" si="195"/>
        <v/>
      </c>
      <c r="Z343" s="129" t="str">
        <f t="shared" si="196"/>
        <v/>
      </c>
      <c r="AA343" s="130"/>
      <c r="AB343" s="130" t="str">
        <f t="shared" si="197"/>
        <v>Unassigned</v>
      </c>
      <c r="AC343" s="131" t="str">
        <f t="shared" si="211"/>
        <v/>
      </c>
      <c r="AD343" s="131" t="str">
        <f t="shared" si="212"/>
        <v/>
      </c>
      <c r="AE343" s="132">
        <f t="shared" si="198"/>
        <v>0</v>
      </c>
      <c r="AF343" s="133" t="str">
        <f t="shared" si="213"/>
        <v/>
      </c>
      <c r="AG343" s="134">
        <f t="shared" si="199"/>
        <v>0</v>
      </c>
      <c r="AH343" s="54" t="str">
        <f t="shared" si="200"/>
        <v/>
      </c>
      <c r="AI343" s="54" t="str">
        <f t="shared" si="216"/>
        <v/>
      </c>
      <c r="AJ343" s="54" t="str">
        <f t="shared" si="216"/>
        <v/>
      </c>
      <c r="AK343" s="54" t="str">
        <f t="shared" si="216"/>
        <v/>
      </c>
      <c r="AL343" s="54" t="str">
        <f t="shared" si="216"/>
        <v/>
      </c>
      <c r="AM343" s="54" t="str">
        <f t="shared" si="216"/>
        <v/>
      </c>
      <c r="AN343" s="54" t="str">
        <f t="shared" si="216"/>
        <v/>
      </c>
      <c r="AO343" s="54" t="str">
        <f t="shared" si="216"/>
        <v/>
      </c>
      <c r="AP343" s="54" t="str">
        <f t="shared" si="216"/>
        <v/>
      </c>
      <c r="AQ343" s="54" t="str">
        <f t="shared" si="216"/>
        <v/>
      </c>
      <c r="AR343" s="54" t="str">
        <f t="shared" si="216"/>
        <v/>
      </c>
      <c r="AS343" s="54" t="str">
        <f t="shared" si="216"/>
        <v/>
      </c>
      <c r="AT343" s="54" t="str">
        <f t="shared" si="216"/>
        <v/>
      </c>
      <c r="AU343" s="54" t="str">
        <f t="shared" si="216"/>
        <v/>
      </c>
      <c r="AV343" s="54" t="str">
        <f t="shared" si="216"/>
        <v/>
      </c>
      <c r="AW343" s="54" t="str">
        <f t="shared" si="216"/>
        <v/>
      </c>
      <c r="AX343" s="54" t="str">
        <f t="shared" si="216"/>
        <v/>
      </c>
      <c r="AY343" s="54" t="str">
        <f t="shared" si="214"/>
        <v/>
      </c>
      <c r="AZ343" s="54" t="str">
        <f t="shared" si="202"/>
        <v/>
      </c>
      <c r="BA343" s="54" t="str">
        <f t="shared" si="203"/>
        <v/>
      </c>
      <c r="BB343" s="135" t="str">
        <f t="shared" si="204"/>
        <v/>
      </c>
      <c r="BC343" s="54" t="str">
        <f t="shared" si="205"/>
        <v/>
      </c>
      <c r="BD343" s="54" t="str">
        <f t="shared" si="205"/>
        <v/>
      </c>
      <c r="BE343" s="54" t="str">
        <f t="shared" si="205"/>
        <v/>
      </c>
      <c r="BF343" s="54" t="str">
        <f t="shared" si="206"/>
        <v/>
      </c>
      <c r="BG343" s="54" t="str">
        <f t="shared" si="207"/>
        <v/>
      </c>
      <c r="BH343" s="34" t="str">
        <f t="shared" si="208"/>
        <v>Bad</v>
      </c>
      <c r="BI343" s="34" t="str">
        <f t="shared" si="209"/>
        <v>No</v>
      </c>
      <c r="BJ343" s="136" t="str">
        <f>IF($D343&lt;&gt;"Feature",".",
IF(VLOOKUP($B343,Feature_List!$A:$AM,MATCH(BJ$1,  Feature_List!$A$1:$AM$1,0),0)=B343,".","NO"))</f>
        <v>.</v>
      </c>
      <c r="BK343" s="136"/>
      <c r="BL343" s="136"/>
      <c r="BM343" s="136" t="str">
        <f>IF($D343&lt;&gt;"Feature",".",
IF(VLOOKUP($B343,Feature_List!$A:$AM,MATCH(BM$1,  Feature_List!$A$1:$AM$1,0),0)=E343,".","NO"))</f>
        <v>.</v>
      </c>
      <c r="BN343" s="136" t="str">
        <f>IF($D343&lt;&gt;"Feature",".",
IF(VLOOKUP($B343,Feature_List!$A:$AM,MATCH(BN$1,  Feature_List!$A$1:$AM$1,0),0)=F343,".","NO"))</f>
        <v>.</v>
      </c>
      <c r="BO343" s="136" t="str">
        <f>IF($D343&lt;&gt;"Feature",".",
IF(VLOOKUP($B343,Feature_List!$A:$AM,MATCH(BO$1,  Feature_List!$A$1:$AM$1,0),0)=G343,".","NO"))</f>
        <v>.</v>
      </c>
      <c r="BP343" s="136" t="str">
        <f>IF($D343&lt;&gt;"Feature",".",
IF(VLOOKUP($B343,Feature_List!$A:$AM,MATCH(BP$1,  Feature_List!$A$1:$AM$1,0),0)=H343,".","NO"))</f>
        <v>.</v>
      </c>
      <c r="BQ343" s="136"/>
      <c r="BR343" s="136" t="str">
        <f>IF($D343&lt;&gt;"Feature",".",
IF(VLOOKUP($B343,Feature_List!$A:$AM,MATCH(BR$1,  Feature_List!$A$1:$AM$1,0),0)=J343,".","NO"))</f>
        <v>.</v>
      </c>
      <c r="BS343" s="136"/>
      <c r="BT343" s="136"/>
      <c r="BU343" s="136" t="str">
        <f>IF($D343&lt;&gt;"Feature",".",
IF(VLOOKUP($B343,Feature_List!$A:$AM,MATCH(BU$1,  Feature_List!$A$1:$AM$1,0),0)=M343,".","NO"))</f>
        <v>.</v>
      </c>
      <c r="BV343" s="136" t="str">
        <f>IF($D343&lt;&gt;"Feature",".",
IF(VLOOKUP($B343,Feature_List!$A:$AM,MATCH(BV$1,  Feature_List!$A$1:$AM$1,0),0)=N343,".","NO"))</f>
        <v>.</v>
      </c>
      <c r="BW343" s="136"/>
      <c r="BX343" s="136"/>
      <c r="BY343" s="136"/>
      <c r="BZ343" s="136"/>
      <c r="CA343" s="136"/>
      <c r="CB343" s="136" t="str">
        <f>IF($D343&lt;&gt;"Feature",".",
IF(VLOOKUP($B343,Feature_List!$A:$AM,MATCH(CB$1,  Feature_List!$A$1:$AM$1,0),0)=T343,".","NO"))</f>
        <v>.</v>
      </c>
      <c r="CC343" s="136"/>
      <c r="CD343" s="136"/>
      <c r="CE343" s="136"/>
      <c r="CF343" s="136"/>
      <c r="CG343" s="136"/>
      <c r="CH343" s="136"/>
      <c r="CI343" s="136"/>
      <c r="CJ343" s="136"/>
      <c r="CK343" s="136"/>
      <c r="CL343" s="136"/>
      <c r="CM343" s="136"/>
      <c r="CN343" s="136"/>
      <c r="CO343" s="136" t="str">
        <f>IF($D343&lt;&gt;"Feature",".",
IF(VLOOKUP($B343,Feature_List!$A:$AM,MATCH(CO$1,  Feature_List!$A$1:$AM$1,0),0)=AG343,".","NO"))</f>
        <v>.</v>
      </c>
      <c r="CP343" s="136" t="str">
        <f>IF($D343&lt;&gt;"Feature",".",
IF(VLOOKUP($B343,Feature_List!$A:$AM,MATCH(CP$1,  Feature_List!$A$1:$AM$1,0),0)=AH343,".","NO"))</f>
        <v>.</v>
      </c>
      <c r="CQ343" s="136" t="str">
        <f>IF($D343&lt;&gt;"Feature",".",
IF(VLOOKUP($B343,Feature_List!$A:$AM,MATCH(CQ$1,  Feature_List!$A$1:$AM$1,0),0)=AI343,".","NO"))</f>
        <v>.</v>
      </c>
      <c r="CR343" s="136" t="str">
        <f>IF($D343&lt;&gt;"Feature",".",
IF(VLOOKUP($B343,Feature_List!$A:$AM,MATCH(CR$1,  Feature_List!$A$1:$AM$1,0),0)=AJ343,".","NO"))</f>
        <v>.</v>
      </c>
      <c r="CS343" s="136" t="str">
        <f>IF($D343&lt;&gt;"Feature",".",
IF(VLOOKUP($B343,Feature_List!$A:$AM,MATCH(CS$1,  Feature_List!$A$1:$AM$1,0),0)=AK343,".","NO"))</f>
        <v>.</v>
      </c>
      <c r="CT343" s="136" t="str">
        <f>IF($D343&lt;&gt;"Feature",".",
IF(VLOOKUP($B343,Feature_List!$A:$AM,MATCH(CT$1,  Feature_List!$A$1:$AM$1,0),0)=AL343,".","NO"))</f>
        <v>.</v>
      </c>
      <c r="CU343" s="136" t="str">
        <f>IF($D343&lt;&gt;"Feature",".",
IF(VLOOKUP($B343,Feature_List!$A:$AM,MATCH(CU$1,  Feature_List!$A$1:$AM$1,0),0)=AM343,".","NO"))</f>
        <v>.</v>
      </c>
      <c r="CV343" s="136" t="str">
        <f>IF($D343&lt;&gt;"Feature",".",
IF(VLOOKUP($B343,Feature_List!$A:$AM,MATCH(CV$1,  Feature_List!$A$1:$AM$1,0),0)=AN343,".","NO"))</f>
        <v>.</v>
      </c>
      <c r="CW343" s="136" t="str">
        <f>IF($D343&lt;&gt;"Feature",".",
IF(VLOOKUP($B343,Feature_List!$A:$AM,MATCH(CW$1,  Feature_List!$A$1:$AM$1,0),0)=AO343,".","NO"))</f>
        <v>.</v>
      </c>
      <c r="CX343" s="136" t="str">
        <f>IF($D343&lt;&gt;"Feature",".",
IF(VLOOKUP($B343,Feature_List!$A:$AM,MATCH(CX$1,  Feature_List!$A$1:$AM$1,0),0)=AP343,".","NO"))</f>
        <v>.</v>
      </c>
      <c r="CY343" s="136" t="str">
        <f>IF($D343&lt;&gt;"Feature",".",
IF(VLOOKUP($B343,Feature_List!$A:$AM,MATCH(CY$1,  Feature_List!$A$1:$AM$1,0),0)=AQ343,".","NO"))</f>
        <v>.</v>
      </c>
      <c r="CZ343" s="136" t="str">
        <f>IF($D343&lt;&gt;"Feature",".",
IF(VLOOKUP($B343,Feature_List!$A:$AM,MATCH(CZ$1,  Feature_List!$A$1:$AM$1,0),0)=AR343,".","NO"))</f>
        <v>.</v>
      </c>
      <c r="DA343" s="136" t="str">
        <f>IF($D343&lt;&gt;"Feature",".",
IF(VLOOKUP($B343,Feature_List!$A:$AM,MATCH(DA$1,  Feature_List!$A$1:$AM$1,0),0)=AS343,".","NO"))</f>
        <v>.</v>
      </c>
      <c r="DB343" s="136" t="str">
        <f>IF($D343&lt;&gt;"Feature",".",
IF(VLOOKUP($B343,Feature_List!$A:$AM,MATCH(DB$1,  Feature_List!$A$1:$AM$1,0),0)=AT343,".","NO"))</f>
        <v>.</v>
      </c>
      <c r="DC343" s="136" t="str">
        <f>IF($D343&lt;&gt;"Feature",".",
IF(VLOOKUP($B343,Feature_List!$A:$AM,MATCH(DC$1,  Feature_List!$A$1:$AM$1,0),0)=AU343,".","NO"))</f>
        <v>.</v>
      </c>
      <c r="DD343" s="136" t="str">
        <f>IF($D343&lt;&gt;"Feature",".",
IF(VLOOKUP($B343,Feature_List!$A:$AM,MATCH(DD$1,  Feature_List!$A$1:$AM$1,0),0)=AV343,".","NO"))</f>
        <v>.</v>
      </c>
      <c r="DE343" s="136" t="str">
        <f>IF($D343&lt;&gt;"Feature",".",
IF(VLOOKUP($B343,Feature_List!$A:$AM,MATCH(DE$1,  Feature_List!$A$1:$AM$1,0),0)=AW343,".","NO"))</f>
        <v>.</v>
      </c>
      <c r="DF343" s="136" t="str">
        <f>IF($D343&lt;&gt;"Feature",".",
IF(VLOOKUP($B343,Feature_List!$A:$AM,MATCH(DF$1,  Feature_List!$A$1:$AM$1,0),0)=AX343,".","NO"))</f>
        <v>.</v>
      </c>
      <c r="DG343" s="136" t="str">
        <f>IF($D343&lt;&gt;"Feature",".",
IF(VLOOKUP($B343,Feature_List!$A:$AM,MATCH(DG$1,  Feature_List!$A$1:$AM$1,0),0)=AY343,".","NO"))</f>
        <v>.</v>
      </c>
      <c r="DH343" s="136" t="str">
        <f>IF($D343&lt;&gt;"Feature",".",
IF(VLOOKUP($B343,Feature_List!$A:$AM,MATCH(DH$1,  Feature_List!$A$1:$AM$1,0),0)=AZ343,".","NO"))</f>
        <v>.</v>
      </c>
      <c r="DI343" s="136" t="str">
        <f>IF($D343&lt;&gt;"Feature",".",
IF(VLOOKUP($B343,Feature_List!$A:$AM,MATCH(DI$1,  Feature_List!$A$1:$AM$1,0),0)=BA343,".","NO"))</f>
        <v>.</v>
      </c>
      <c r="DJ343" s="136" t="str">
        <f>IF($D343&lt;&gt;"Feature",".",
IF(VLOOKUP($B343,Feature_List!$A:$AM,MATCH(DJ$1,  Feature_List!$A$1:$AM$1,0),0)=BB343,".","NO"))</f>
        <v>.</v>
      </c>
      <c r="DK343" s="136"/>
      <c r="DL343" s="136"/>
      <c r="DM343" s="136"/>
      <c r="DN343" s="136" t="str">
        <f>IF($D343&lt;&gt;"Feature",".",
IF(VLOOKUP($B343,Feature_List!$A:$AM,MATCH(DN$1,  Feature_List!$A$1:$AM$1,0),0)=BC343,".","NO"))</f>
        <v>.</v>
      </c>
      <c r="DO343" s="136" t="str">
        <f>IF($D343&lt;&gt;"Feature",".",
IF(VLOOKUP($B343,Feature_List!$A:$AM,MATCH(DO$1,  Feature_List!$A$1:$AM$1,0),0)=BD343,".","NO"))</f>
        <v>.</v>
      </c>
    </row>
    <row r="344" spans="2:119" x14ac:dyDescent="0.3">
      <c r="B344" s="146"/>
      <c r="C344" s="61"/>
      <c r="D344" s="147"/>
      <c r="E344" s="147"/>
      <c r="F344" s="61"/>
      <c r="G344" s="61"/>
      <c r="H344" s="147"/>
      <c r="I344" s="147"/>
      <c r="J344" s="61"/>
      <c r="K344" s="61"/>
      <c r="L344" s="147"/>
      <c r="M344" s="147"/>
      <c r="N344" s="147"/>
      <c r="O344" s="123">
        <f t="shared" si="187"/>
        <v>0</v>
      </c>
      <c r="P344" s="123">
        <f t="shared" si="188"/>
        <v>0</v>
      </c>
      <c r="Q344" s="122" t="str">
        <f t="shared" si="210"/>
        <v>ZeroEntry</v>
      </c>
      <c r="R344" s="126" t="str">
        <f t="shared" si="189"/>
        <v>ZeroEntry</v>
      </c>
      <c r="S344" s="127" t="str">
        <f t="shared" si="190"/>
        <v>ZeroEntry</v>
      </c>
      <c r="T344" s="128" t="str">
        <f>IF($Q344="ZeroEntry", "",VLOOKUP($I344,'Ranking Lookup'!#REF!,2,FALSE))</f>
        <v/>
      </c>
      <c r="U344" s="129" t="str">
        <f t="shared" si="191"/>
        <v/>
      </c>
      <c r="V344" s="129" t="str">
        <f t="shared" si="192"/>
        <v/>
      </c>
      <c r="W344" s="129" t="str">
        <f t="shared" si="193"/>
        <v/>
      </c>
      <c r="X344" s="129" t="str">
        <f t="shared" si="194"/>
        <v/>
      </c>
      <c r="Y344" s="129" t="str">
        <f t="shared" si="195"/>
        <v/>
      </c>
      <c r="Z344" s="129" t="str">
        <f t="shared" si="196"/>
        <v/>
      </c>
      <c r="AA344" s="130"/>
      <c r="AB344" s="130" t="str">
        <f t="shared" si="197"/>
        <v>Unassigned</v>
      </c>
      <c r="AC344" s="131" t="str">
        <f t="shared" si="211"/>
        <v/>
      </c>
      <c r="AD344" s="131" t="str">
        <f t="shared" si="212"/>
        <v/>
      </c>
      <c r="AE344" s="132">
        <f t="shared" si="198"/>
        <v>0</v>
      </c>
      <c r="AF344" s="133" t="str">
        <f t="shared" si="213"/>
        <v/>
      </c>
      <c r="AG344" s="134">
        <f t="shared" si="199"/>
        <v>0</v>
      </c>
      <c r="AH344" s="54" t="str">
        <f t="shared" si="200"/>
        <v/>
      </c>
      <c r="AI344" s="54" t="str">
        <f t="shared" si="216"/>
        <v/>
      </c>
      <c r="AJ344" s="54" t="str">
        <f t="shared" si="216"/>
        <v/>
      </c>
      <c r="AK344" s="54" t="str">
        <f t="shared" si="216"/>
        <v/>
      </c>
      <c r="AL344" s="54" t="str">
        <f t="shared" si="216"/>
        <v/>
      </c>
      <c r="AM344" s="54" t="str">
        <f t="shared" si="216"/>
        <v/>
      </c>
      <c r="AN344" s="54" t="str">
        <f t="shared" si="216"/>
        <v/>
      </c>
      <c r="AO344" s="54" t="str">
        <f t="shared" si="216"/>
        <v/>
      </c>
      <c r="AP344" s="54" t="str">
        <f t="shared" si="216"/>
        <v/>
      </c>
      <c r="AQ344" s="54" t="str">
        <f t="shared" si="216"/>
        <v/>
      </c>
      <c r="AR344" s="54" t="str">
        <f t="shared" si="216"/>
        <v/>
      </c>
      <c r="AS344" s="54" t="str">
        <f t="shared" si="216"/>
        <v/>
      </c>
      <c r="AT344" s="54" t="str">
        <f t="shared" si="216"/>
        <v/>
      </c>
      <c r="AU344" s="54" t="str">
        <f t="shared" si="216"/>
        <v/>
      </c>
      <c r="AV344" s="54" t="str">
        <f t="shared" si="216"/>
        <v/>
      </c>
      <c r="AW344" s="54" t="str">
        <f t="shared" si="216"/>
        <v/>
      </c>
      <c r="AX344" s="54" t="str">
        <f t="shared" si="216"/>
        <v/>
      </c>
      <c r="AY344" s="54" t="str">
        <f t="shared" si="214"/>
        <v/>
      </c>
      <c r="AZ344" s="54" t="str">
        <f t="shared" si="202"/>
        <v/>
      </c>
      <c r="BA344" s="54" t="str">
        <f t="shared" si="203"/>
        <v/>
      </c>
      <c r="BB344" s="135" t="str">
        <f t="shared" si="204"/>
        <v/>
      </c>
      <c r="BC344" s="54" t="str">
        <f t="shared" si="205"/>
        <v/>
      </c>
      <c r="BD344" s="54" t="str">
        <f t="shared" si="205"/>
        <v/>
      </c>
      <c r="BE344" s="54" t="str">
        <f t="shared" si="205"/>
        <v/>
      </c>
      <c r="BF344" s="54" t="str">
        <f t="shared" si="206"/>
        <v/>
      </c>
      <c r="BG344" s="54" t="str">
        <f t="shared" si="207"/>
        <v/>
      </c>
      <c r="BH344" s="34" t="str">
        <f t="shared" si="208"/>
        <v>Bad</v>
      </c>
      <c r="BI344" s="34" t="str">
        <f t="shared" si="209"/>
        <v>No</v>
      </c>
      <c r="BJ344" s="136" t="str">
        <f>IF($D344&lt;&gt;"Feature",".",
IF(VLOOKUP($B344,Feature_List!$A:$AM,MATCH(BJ$1,  Feature_List!$A$1:$AM$1,0),0)=B344,".","NO"))</f>
        <v>.</v>
      </c>
      <c r="BK344" s="136"/>
      <c r="BL344" s="136"/>
      <c r="BM344" s="136" t="str">
        <f>IF($D344&lt;&gt;"Feature",".",
IF(VLOOKUP($B344,Feature_List!$A:$AM,MATCH(BM$1,  Feature_List!$A$1:$AM$1,0),0)=E344,".","NO"))</f>
        <v>.</v>
      </c>
      <c r="BN344" s="136" t="str">
        <f>IF($D344&lt;&gt;"Feature",".",
IF(VLOOKUP($B344,Feature_List!$A:$AM,MATCH(BN$1,  Feature_List!$A$1:$AM$1,0),0)=F344,".","NO"))</f>
        <v>.</v>
      </c>
      <c r="BO344" s="136" t="str">
        <f>IF($D344&lt;&gt;"Feature",".",
IF(VLOOKUP($B344,Feature_List!$A:$AM,MATCH(BO$1,  Feature_List!$A$1:$AM$1,0),0)=G344,".","NO"))</f>
        <v>.</v>
      </c>
      <c r="BP344" s="136" t="str">
        <f>IF($D344&lt;&gt;"Feature",".",
IF(VLOOKUP($B344,Feature_List!$A:$AM,MATCH(BP$1,  Feature_List!$A$1:$AM$1,0),0)=H344,".","NO"))</f>
        <v>.</v>
      </c>
      <c r="BQ344" s="136"/>
      <c r="BR344" s="136" t="str">
        <f>IF($D344&lt;&gt;"Feature",".",
IF(VLOOKUP($B344,Feature_List!$A:$AM,MATCH(BR$1,  Feature_List!$A$1:$AM$1,0),0)=J344,".","NO"))</f>
        <v>.</v>
      </c>
      <c r="BS344" s="136"/>
      <c r="BT344" s="136"/>
      <c r="BU344" s="136" t="str">
        <f>IF($D344&lt;&gt;"Feature",".",
IF(VLOOKUP($B344,Feature_List!$A:$AM,MATCH(BU$1,  Feature_List!$A$1:$AM$1,0),0)=M344,".","NO"))</f>
        <v>.</v>
      </c>
      <c r="BV344" s="136" t="str">
        <f>IF($D344&lt;&gt;"Feature",".",
IF(VLOOKUP($B344,Feature_List!$A:$AM,MATCH(BV$1,  Feature_List!$A$1:$AM$1,0),0)=N344,".","NO"))</f>
        <v>.</v>
      </c>
      <c r="BW344" s="136"/>
      <c r="BX344" s="136"/>
      <c r="BY344" s="136"/>
      <c r="BZ344" s="136"/>
      <c r="CA344" s="136"/>
      <c r="CB344" s="136" t="str">
        <f>IF($D344&lt;&gt;"Feature",".",
IF(VLOOKUP($B344,Feature_List!$A:$AM,MATCH(CB$1,  Feature_List!$A$1:$AM$1,0),0)=T344,".","NO"))</f>
        <v>.</v>
      </c>
      <c r="CC344" s="136"/>
      <c r="CD344" s="136"/>
      <c r="CE344" s="136"/>
      <c r="CF344" s="136"/>
      <c r="CG344" s="136"/>
      <c r="CH344" s="136"/>
      <c r="CI344" s="136"/>
      <c r="CJ344" s="136"/>
      <c r="CK344" s="136"/>
      <c r="CL344" s="136"/>
      <c r="CM344" s="136"/>
      <c r="CN344" s="136"/>
      <c r="CO344" s="136" t="str">
        <f>IF($D344&lt;&gt;"Feature",".",
IF(VLOOKUP($B344,Feature_List!$A:$AM,MATCH(CO$1,  Feature_List!$A$1:$AM$1,0),0)=AG344,".","NO"))</f>
        <v>.</v>
      </c>
      <c r="CP344" s="136" t="str">
        <f>IF($D344&lt;&gt;"Feature",".",
IF(VLOOKUP($B344,Feature_List!$A:$AM,MATCH(CP$1,  Feature_List!$A$1:$AM$1,0),0)=AH344,".","NO"))</f>
        <v>.</v>
      </c>
      <c r="CQ344" s="136" t="str">
        <f>IF($D344&lt;&gt;"Feature",".",
IF(VLOOKUP($B344,Feature_List!$A:$AM,MATCH(CQ$1,  Feature_List!$A$1:$AM$1,0),0)=AI344,".","NO"))</f>
        <v>.</v>
      </c>
      <c r="CR344" s="136" t="str">
        <f>IF($D344&lt;&gt;"Feature",".",
IF(VLOOKUP($B344,Feature_List!$A:$AM,MATCH(CR$1,  Feature_List!$A$1:$AM$1,0),0)=AJ344,".","NO"))</f>
        <v>.</v>
      </c>
      <c r="CS344" s="136" t="str">
        <f>IF($D344&lt;&gt;"Feature",".",
IF(VLOOKUP($B344,Feature_List!$A:$AM,MATCH(CS$1,  Feature_List!$A$1:$AM$1,0),0)=AK344,".","NO"))</f>
        <v>.</v>
      </c>
      <c r="CT344" s="136" t="str">
        <f>IF($D344&lt;&gt;"Feature",".",
IF(VLOOKUP($B344,Feature_List!$A:$AM,MATCH(CT$1,  Feature_List!$A$1:$AM$1,0),0)=AL344,".","NO"))</f>
        <v>.</v>
      </c>
      <c r="CU344" s="136" t="str">
        <f>IF($D344&lt;&gt;"Feature",".",
IF(VLOOKUP($B344,Feature_List!$A:$AM,MATCH(CU$1,  Feature_List!$A$1:$AM$1,0),0)=AM344,".","NO"))</f>
        <v>.</v>
      </c>
      <c r="CV344" s="136" t="str">
        <f>IF($D344&lt;&gt;"Feature",".",
IF(VLOOKUP($B344,Feature_List!$A:$AM,MATCH(CV$1,  Feature_List!$A$1:$AM$1,0),0)=AN344,".","NO"))</f>
        <v>.</v>
      </c>
      <c r="CW344" s="136" t="str">
        <f>IF($D344&lt;&gt;"Feature",".",
IF(VLOOKUP($B344,Feature_List!$A:$AM,MATCH(CW$1,  Feature_List!$A$1:$AM$1,0),0)=AO344,".","NO"))</f>
        <v>.</v>
      </c>
      <c r="CX344" s="136" t="str">
        <f>IF($D344&lt;&gt;"Feature",".",
IF(VLOOKUP($B344,Feature_List!$A:$AM,MATCH(CX$1,  Feature_List!$A$1:$AM$1,0),0)=AP344,".","NO"))</f>
        <v>.</v>
      </c>
      <c r="CY344" s="136" t="str">
        <f>IF($D344&lt;&gt;"Feature",".",
IF(VLOOKUP($B344,Feature_List!$A:$AM,MATCH(CY$1,  Feature_List!$A$1:$AM$1,0),0)=AQ344,".","NO"))</f>
        <v>.</v>
      </c>
      <c r="CZ344" s="136" t="str">
        <f>IF($D344&lt;&gt;"Feature",".",
IF(VLOOKUP($B344,Feature_List!$A:$AM,MATCH(CZ$1,  Feature_List!$A$1:$AM$1,0),0)=AR344,".","NO"))</f>
        <v>.</v>
      </c>
      <c r="DA344" s="136" t="str">
        <f>IF($D344&lt;&gt;"Feature",".",
IF(VLOOKUP($B344,Feature_List!$A:$AM,MATCH(DA$1,  Feature_List!$A$1:$AM$1,0),0)=AS344,".","NO"))</f>
        <v>.</v>
      </c>
      <c r="DB344" s="136" t="str">
        <f>IF($D344&lt;&gt;"Feature",".",
IF(VLOOKUP($B344,Feature_List!$A:$AM,MATCH(DB$1,  Feature_List!$A$1:$AM$1,0),0)=AT344,".","NO"))</f>
        <v>.</v>
      </c>
      <c r="DC344" s="136" t="str">
        <f>IF($D344&lt;&gt;"Feature",".",
IF(VLOOKUP($B344,Feature_List!$A:$AM,MATCH(DC$1,  Feature_List!$A$1:$AM$1,0),0)=AU344,".","NO"))</f>
        <v>.</v>
      </c>
      <c r="DD344" s="136" t="str">
        <f>IF($D344&lt;&gt;"Feature",".",
IF(VLOOKUP($B344,Feature_List!$A:$AM,MATCH(DD$1,  Feature_List!$A$1:$AM$1,0),0)=AV344,".","NO"))</f>
        <v>.</v>
      </c>
      <c r="DE344" s="136" t="str">
        <f>IF($D344&lt;&gt;"Feature",".",
IF(VLOOKUP($B344,Feature_List!$A:$AM,MATCH(DE$1,  Feature_List!$A$1:$AM$1,0),0)=AW344,".","NO"))</f>
        <v>.</v>
      </c>
      <c r="DF344" s="136" t="str">
        <f>IF($D344&lt;&gt;"Feature",".",
IF(VLOOKUP($B344,Feature_List!$A:$AM,MATCH(DF$1,  Feature_List!$A$1:$AM$1,0),0)=AX344,".","NO"))</f>
        <v>.</v>
      </c>
      <c r="DG344" s="136" t="str">
        <f>IF($D344&lt;&gt;"Feature",".",
IF(VLOOKUP($B344,Feature_List!$A:$AM,MATCH(DG$1,  Feature_List!$A$1:$AM$1,0),0)=AY344,".","NO"))</f>
        <v>.</v>
      </c>
      <c r="DH344" s="136" t="str">
        <f>IF($D344&lt;&gt;"Feature",".",
IF(VLOOKUP($B344,Feature_List!$A:$AM,MATCH(DH$1,  Feature_List!$A$1:$AM$1,0),0)=AZ344,".","NO"))</f>
        <v>.</v>
      </c>
      <c r="DI344" s="136" t="str">
        <f>IF($D344&lt;&gt;"Feature",".",
IF(VLOOKUP($B344,Feature_List!$A:$AM,MATCH(DI$1,  Feature_List!$A$1:$AM$1,0),0)=BA344,".","NO"))</f>
        <v>.</v>
      </c>
      <c r="DJ344" s="136" t="str">
        <f>IF($D344&lt;&gt;"Feature",".",
IF(VLOOKUP($B344,Feature_List!$A:$AM,MATCH(DJ$1,  Feature_List!$A$1:$AM$1,0),0)=BB344,".","NO"))</f>
        <v>.</v>
      </c>
      <c r="DK344" s="136"/>
      <c r="DL344" s="136"/>
      <c r="DM344" s="136"/>
      <c r="DN344" s="136" t="str">
        <f>IF($D344&lt;&gt;"Feature",".",
IF(VLOOKUP($B344,Feature_List!$A:$AM,MATCH(DN$1,  Feature_List!$A$1:$AM$1,0),0)=BC344,".","NO"))</f>
        <v>.</v>
      </c>
      <c r="DO344" s="136" t="str">
        <f>IF($D344&lt;&gt;"Feature",".",
IF(VLOOKUP($B344,Feature_List!$A:$AM,MATCH(DO$1,  Feature_List!$A$1:$AM$1,0),0)=BD344,".","NO"))</f>
        <v>.</v>
      </c>
    </row>
    <row r="345" spans="2:119" x14ac:dyDescent="0.3">
      <c r="B345" s="146"/>
      <c r="C345" s="147"/>
      <c r="D345" s="147"/>
      <c r="E345" s="147"/>
      <c r="F345" s="61"/>
      <c r="G345" s="61"/>
      <c r="H345" s="147"/>
      <c r="I345" s="148"/>
      <c r="J345" s="61"/>
      <c r="K345" s="61"/>
      <c r="L345" s="147"/>
      <c r="M345" s="147"/>
      <c r="N345" s="147"/>
      <c r="O345" s="123">
        <f t="shared" si="187"/>
        <v>0</v>
      </c>
      <c r="P345" s="123">
        <f t="shared" si="188"/>
        <v>0</v>
      </c>
      <c r="Q345" s="122" t="str">
        <f t="shared" si="210"/>
        <v>ZeroEntry</v>
      </c>
      <c r="R345" s="126" t="str">
        <f t="shared" si="189"/>
        <v>ZeroEntry</v>
      </c>
      <c r="S345" s="127" t="str">
        <f t="shared" si="190"/>
        <v>ZeroEntry</v>
      </c>
      <c r="T345" s="128" t="str">
        <f>IF($Q345="ZeroEntry", "",VLOOKUP($I345,'Ranking Lookup'!#REF!,2,FALSE))</f>
        <v/>
      </c>
      <c r="U345" s="129" t="str">
        <f t="shared" si="191"/>
        <v/>
      </c>
      <c r="V345" s="129" t="str">
        <f t="shared" si="192"/>
        <v/>
      </c>
      <c r="W345" s="129" t="str">
        <f t="shared" si="193"/>
        <v/>
      </c>
      <c r="X345" s="129" t="str">
        <f t="shared" si="194"/>
        <v/>
      </c>
      <c r="Y345" s="129" t="str">
        <f t="shared" si="195"/>
        <v/>
      </c>
      <c r="Z345" s="129" t="str">
        <f t="shared" si="196"/>
        <v/>
      </c>
      <c r="AA345" s="130"/>
      <c r="AB345" s="130" t="str">
        <f t="shared" si="197"/>
        <v>Unassigned</v>
      </c>
      <c r="AC345" s="131" t="str">
        <f t="shared" si="211"/>
        <v/>
      </c>
      <c r="AD345" s="131" t="str">
        <f t="shared" si="212"/>
        <v/>
      </c>
      <c r="AE345" s="132">
        <f t="shared" si="198"/>
        <v>0</v>
      </c>
      <c r="AF345" s="133" t="str">
        <f t="shared" si="213"/>
        <v/>
      </c>
      <c r="AG345" s="134">
        <f t="shared" si="199"/>
        <v>0</v>
      </c>
      <c r="AH345" s="54" t="str">
        <f t="shared" si="200"/>
        <v/>
      </c>
      <c r="AI345" s="54" t="str">
        <f t="shared" si="216"/>
        <v/>
      </c>
      <c r="AJ345" s="54" t="str">
        <f t="shared" si="216"/>
        <v/>
      </c>
      <c r="AK345" s="54" t="str">
        <f t="shared" si="216"/>
        <v/>
      </c>
      <c r="AL345" s="54" t="str">
        <f t="shared" si="216"/>
        <v/>
      </c>
      <c r="AM345" s="54" t="str">
        <f t="shared" si="216"/>
        <v/>
      </c>
      <c r="AN345" s="54" t="str">
        <f t="shared" si="216"/>
        <v/>
      </c>
      <c r="AO345" s="54" t="str">
        <f t="shared" si="216"/>
        <v/>
      </c>
      <c r="AP345" s="54" t="str">
        <f t="shared" si="216"/>
        <v/>
      </c>
      <c r="AQ345" s="54" t="str">
        <f t="shared" si="216"/>
        <v/>
      </c>
      <c r="AR345" s="54" t="str">
        <f t="shared" si="216"/>
        <v/>
      </c>
      <c r="AS345" s="54" t="str">
        <f t="shared" si="216"/>
        <v/>
      </c>
      <c r="AT345" s="54" t="str">
        <f t="shared" si="216"/>
        <v/>
      </c>
      <c r="AU345" s="54" t="str">
        <f t="shared" si="216"/>
        <v/>
      </c>
      <c r="AV345" s="54" t="str">
        <f t="shared" si="216"/>
        <v/>
      </c>
      <c r="AW345" s="54" t="str">
        <f t="shared" si="216"/>
        <v/>
      </c>
      <c r="AX345" s="54" t="str">
        <f t="shared" si="216"/>
        <v/>
      </c>
      <c r="AY345" s="54" t="str">
        <f t="shared" si="214"/>
        <v/>
      </c>
      <c r="AZ345" s="54" t="str">
        <f t="shared" si="202"/>
        <v/>
      </c>
      <c r="BA345" s="54" t="str">
        <f t="shared" si="203"/>
        <v/>
      </c>
      <c r="BB345" s="135" t="str">
        <f t="shared" si="204"/>
        <v/>
      </c>
      <c r="BC345" s="54" t="str">
        <f t="shared" si="205"/>
        <v/>
      </c>
      <c r="BD345" s="54" t="str">
        <f t="shared" si="205"/>
        <v/>
      </c>
      <c r="BE345" s="54" t="str">
        <f t="shared" si="205"/>
        <v/>
      </c>
      <c r="BF345" s="54" t="str">
        <f t="shared" si="206"/>
        <v/>
      </c>
      <c r="BG345" s="54" t="str">
        <f t="shared" si="207"/>
        <v/>
      </c>
      <c r="BH345" s="34" t="str">
        <f t="shared" si="208"/>
        <v>Bad</v>
      </c>
      <c r="BI345" s="34" t="str">
        <f t="shared" si="209"/>
        <v>No</v>
      </c>
      <c r="BJ345" s="136" t="str">
        <f>IF($D345&lt;&gt;"Feature",".",
IF(VLOOKUP($B345,Feature_List!$A:$AM,MATCH(BJ$1,  Feature_List!$A$1:$AM$1,0),0)=B345,".","NO"))</f>
        <v>.</v>
      </c>
      <c r="BK345" s="136"/>
      <c r="BL345" s="136"/>
      <c r="BM345" s="136" t="str">
        <f>IF($D345&lt;&gt;"Feature",".",
IF(VLOOKUP($B345,Feature_List!$A:$AM,MATCH(BM$1,  Feature_List!$A$1:$AM$1,0),0)=E345,".","NO"))</f>
        <v>.</v>
      </c>
      <c r="BN345" s="136" t="str">
        <f>IF($D345&lt;&gt;"Feature",".",
IF(VLOOKUP($B345,Feature_List!$A:$AM,MATCH(BN$1,  Feature_List!$A$1:$AM$1,0),0)=F345,".","NO"))</f>
        <v>.</v>
      </c>
      <c r="BO345" s="136" t="str">
        <f>IF($D345&lt;&gt;"Feature",".",
IF(VLOOKUP($B345,Feature_List!$A:$AM,MATCH(BO$1,  Feature_List!$A$1:$AM$1,0),0)=G345,".","NO"))</f>
        <v>.</v>
      </c>
      <c r="BP345" s="136" t="str">
        <f>IF($D345&lt;&gt;"Feature",".",
IF(VLOOKUP($B345,Feature_List!$A:$AM,MATCH(BP$1,  Feature_List!$A$1:$AM$1,0),0)=H345,".","NO"))</f>
        <v>.</v>
      </c>
      <c r="BQ345" s="136"/>
      <c r="BR345" s="136" t="str">
        <f>IF($D345&lt;&gt;"Feature",".",
IF(VLOOKUP($B345,Feature_List!$A:$AM,MATCH(BR$1,  Feature_List!$A$1:$AM$1,0),0)=J345,".","NO"))</f>
        <v>.</v>
      </c>
      <c r="BS345" s="136"/>
      <c r="BT345" s="136"/>
      <c r="BU345" s="136" t="str">
        <f>IF($D345&lt;&gt;"Feature",".",
IF(VLOOKUP($B345,Feature_List!$A:$AM,MATCH(BU$1,  Feature_List!$A$1:$AM$1,0),0)=M345,".","NO"))</f>
        <v>.</v>
      </c>
      <c r="BV345" s="136" t="str">
        <f>IF($D345&lt;&gt;"Feature",".",
IF(VLOOKUP($B345,Feature_List!$A:$AM,MATCH(BV$1,  Feature_List!$A$1:$AM$1,0),0)=N345,".","NO"))</f>
        <v>.</v>
      </c>
      <c r="BW345" s="136"/>
      <c r="BX345" s="136"/>
      <c r="BY345" s="136"/>
      <c r="BZ345" s="136"/>
      <c r="CA345" s="136"/>
      <c r="CB345" s="136" t="str">
        <f>IF($D345&lt;&gt;"Feature",".",
IF(VLOOKUP($B345,Feature_List!$A:$AM,MATCH(CB$1,  Feature_List!$A$1:$AM$1,0),0)=T345,".","NO"))</f>
        <v>.</v>
      </c>
      <c r="CC345" s="136"/>
      <c r="CD345" s="136"/>
      <c r="CE345" s="136"/>
      <c r="CF345" s="136"/>
      <c r="CG345" s="136"/>
      <c r="CH345" s="136"/>
      <c r="CI345" s="136"/>
      <c r="CJ345" s="136"/>
      <c r="CK345" s="136"/>
      <c r="CL345" s="136"/>
      <c r="CM345" s="136"/>
      <c r="CN345" s="136"/>
      <c r="CO345" s="136" t="str">
        <f>IF($D345&lt;&gt;"Feature",".",
IF(VLOOKUP($B345,Feature_List!$A:$AM,MATCH(CO$1,  Feature_List!$A$1:$AM$1,0),0)=AG345,".","NO"))</f>
        <v>.</v>
      </c>
      <c r="CP345" s="136" t="str">
        <f>IF($D345&lt;&gt;"Feature",".",
IF(VLOOKUP($B345,Feature_List!$A:$AM,MATCH(CP$1,  Feature_List!$A$1:$AM$1,0),0)=AH345,".","NO"))</f>
        <v>.</v>
      </c>
      <c r="CQ345" s="136" t="str">
        <f>IF($D345&lt;&gt;"Feature",".",
IF(VLOOKUP($B345,Feature_List!$A:$AM,MATCH(CQ$1,  Feature_List!$A$1:$AM$1,0),0)=AI345,".","NO"))</f>
        <v>.</v>
      </c>
      <c r="CR345" s="136" t="str">
        <f>IF($D345&lt;&gt;"Feature",".",
IF(VLOOKUP($B345,Feature_List!$A:$AM,MATCH(CR$1,  Feature_List!$A$1:$AM$1,0),0)=AJ345,".","NO"))</f>
        <v>.</v>
      </c>
      <c r="CS345" s="136" t="str">
        <f>IF($D345&lt;&gt;"Feature",".",
IF(VLOOKUP($B345,Feature_List!$A:$AM,MATCH(CS$1,  Feature_List!$A$1:$AM$1,0),0)=AK345,".","NO"))</f>
        <v>.</v>
      </c>
      <c r="CT345" s="136" t="str">
        <f>IF($D345&lt;&gt;"Feature",".",
IF(VLOOKUP($B345,Feature_List!$A:$AM,MATCH(CT$1,  Feature_List!$A$1:$AM$1,0),0)=AL345,".","NO"))</f>
        <v>.</v>
      </c>
      <c r="CU345" s="136" t="str">
        <f>IF($D345&lt;&gt;"Feature",".",
IF(VLOOKUP($B345,Feature_List!$A:$AM,MATCH(CU$1,  Feature_List!$A$1:$AM$1,0),0)=AM345,".","NO"))</f>
        <v>.</v>
      </c>
      <c r="CV345" s="136" t="str">
        <f>IF($D345&lt;&gt;"Feature",".",
IF(VLOOKUP($B345,Feature_List!$A:$AM,MATCH(CV$1,  Feature_List!$A$1:$AM$1,0),0)=AN345,".","NO"))</f>
        <v>.</v>
      </c>
      <c r="CW345" s="136" t="str">
        <f>IF($D345&lt;&gt;"Feature",".",
IF(VLOOKUP($B345,Feature_List!$A:$AM,MATCH(CW$1,  Feature_List!$A$1:$AM$1,0),0)=AO345,".","NO"))</f>
        <v>.</v>
      </c>
      <c r="CX345" s="136" t="str">
        <f>IF($D345&lt;&gt;"Feature",".",
IF(VLOOKUP($B345,Feature_List!$A:$AM,MATCH(CX$1,  Feature_List!$A$1:$AM$1,0),0)=AP345,".","NO"))</f>
        <v>.</v>
      </c>
      <c r="CY345" s="136" t="str">
        <f>IF($D345&lt;&gt;"Feature",".",
IF(VLOOKUP($B345,Feature_List!$A:$AM,MATCH(CY$1,  Feature_List!$A$1:$AM$1,0),0)=AQ345,".","NO"))</f>
        <v>.</v>
      </c>
      <c r="CZ345" s="136" t="str">
        <f>IF($D345&lt;&gt;"Feature",".",
IF(VLOOKUP($B345,Feature_List!$A:$AM,MATCH(CZ$1,  Feature_List!$A$1:$AM$1,0),0)=AR345,".","NO"))</f>
        <v>.</v>
      </c>
      <c r="DA345" s="136" t="str">
        <f>IF($D345&lt;&gt;"Feature",".",
IF(VLOOKUP($B345,Feature_List!$A:$AM,MATCH(DA$1,  Feature_List!$A$1:$AM$1,0),0)=AS345,".","NO"))</f>
        <v>.</v>
      </c>
      <c r="DB345" s="136" t="str">
        <f>IF($D345&lt;&gt;"Feature",".",
IF(VLOOKUP($B345,Feature_List!$A:$AM,MATCH(DB$1,  Feature_List!$A$1:$AM$1,0),0)=AT345,".","NO"))</f>
        <v>.</v>
      </c>
      <c r="DC345" s="136" t="str">
        <f>IF($D345&lt;&gt;"Feature",".",
IF(VLOOKUP($B345,Feature_List!$A:$AM,MATCH(DC$1,  Feature_List!$A$1:$AM$1,0),0)=AU345,".","NO"))</f>
        <v>.</v>
      </c>
      <c r="DD345" s="136" t="str">
        <f>IF($D345&lt;&gt;"Feature",".",
IF(VLOOKUP($B345,Feature_List!$A:$AM,MATCH(DD$1,  Feature_List!$A$1:$AM$1,0),0)=AV345,".","NO"))</f>
        <v>.</v>
      </c>
      <c r="DE345" s="136" t="str">
        <f>IF($D345&lt;&gt;"Feature",".",
IF(VLOOKUP($B345,Feature_List!$A:$AM,MATCH(DE$1,  Feature_List!$A$1:$AM$1,0),0)=AW345,".","NO"))</f>
        <v>.</v>
      </c>
      <c r="DF345" s="136" t="str">
        <f>IF($D345&lt;&gt;"Feature",".",
IF(VLOOKUP($B345,Feature_List!$A:$AM,MATCH(DF$1,  Feature_List!$A$1:$AM$1,0),0)=AX345,".","NO"))</f>
        <v>.</v>
      </c>
      <c r="DG345" s="136" t="str">
        <f>IF($D345&lt;&gt;"Feature",".",
IF(VLOOKUP($B345,Feature_List!$A:$AM,MATCH(DG$1,  Feature_List!$A$1:$AM$1,0),0)=AY345,".","NO"))</f>
        <v>.</v>
      </c>
      <c r="DH345" s="136" t="str">
        <f>IF($D345&lt;&gt;"Feature",".",
IF(VLOOKUP($B345,Feature_List!$A:$AM,MATCH(DH$1,  Feature_List!$A$1:$AM$1,0),0)=AZ345,".","NO"))</f>
        <v>.</v>
      </c>
      <c r="DI345" s="136" t="str">
        <f>IF($D345&lt;&gt;"Feature",".",
IF(VLOOKUP($B345,Feature_List!$A:$AM,MATCH(DI$1,  Feature_List!$A$1:$AM$1,0),0)=BA345,".","NO"))</f>
        <v>.</v>
      </c>
      <c r="DJ345" s="136" t="str">
        <f>IF($D345&lt;&gt;"Feature",".",
IF(VLOOKUP($B345,Feature_List!$A:$AM,MATCH(DJ$1,  Feature_List!$A$1:$AM$1,0),0)=BB345,".","NO"))</f>
        <v>.</v>
      </c>
      <c r="DK345" s="136"/>
      <c r="DL345" s="136"/>
      <c r="DM345" s="136"/>
      <c r="DN345" s="136" t="str">
        <f>IF($D345&lt;&gt;"Feature",".",
IF(VLOOKUP($B345,Feature_List!$A:$AM,MATCH(DN$1,  Feature_List!$A$1:$AM$1,0),0)=BC345,".","NO"))</f>
        <v>.</v>
      </c>
      <c r="DO345" s="136" t="str">
        <f>IF($D345&lt;&gt;"Feature",".",
IF(VLOOKUP($B345,Feature_List!$A:$AM,MATCH(DO$1,  Feature_List!$A$1:$AM$1,0),0)=BD345,".","NO"))</f>
        <v>.</v>
      </c>
    </row>
  </sheetData>
  <conditionalFormatting sqref="B2:BG345">
    <cfRule type="expression" dxfId="0" priority="1">
      <formula>BJ2="NO"</formula>
    </cfRule>
  </conditionalFormatting>
  <pageMargins left="0.7" right="0.7" top="0.75" bottom="0.75" header="0.3" footer="0.3"/>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Posting xmlns="8b3487c1-04d9-4580-816f-65f73cd6f614">GD Only</Posting>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FB41D25D924764489E6FFC3F6FE64D1" ma:contentTypeVersion="2" ma:contentTypeDescription="Create a new document." ma:contentTypeScope="" ma:versionID="fa7a0da0b166a7ce23d1c88030c5053b">
  <xsd:schema xmlns:xsd="http://www.w3.org/2001/XMLSchema" xmlns:xs="http://www.w3.org/2001/XMLSchema" xmlns:p="http://schemas.microsoft.com/office/2006/metadata/properties" xmlns:ns2="8b3487c1-04d9-4580-816f-65f73cd6f614" xmlns:ns3="http://schemas.microsoft.com/sharepoint/v4" targetNamespace="http://schemas.microsoft.com/office/2006/metadata/properties" ma:root="true" ma:fieldsID="cae77e289ed6ae3302dadf82c092ac6a" ns2:_="" ns3:_="">
    <xsd:import namespace="8b3487c1-04d9-4580-816f-65f73cd6f614"/>
    <xsd:import namespace="http://schemas.microsoft.com/sharepoint/v4"/>
    <xsd:element name="properties">
      <xsd:complexType>
        <xsd:sequence>
          <xsd:element name="documentManagement">
            <xsd:complexType>
              <xsd:all>
                <xsd:element ref="ns2:Posting" minOccurs="0"/>
                <xsd:element ref="ns3:IconOverlay" minOccurs="0"/>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3487c1-04d9-4580-816f-65f73cd6f614" elementFormDefault="qualified">
    <xsd:import namespace="http://schemas.microsoft.com/office/2006/documentManagement/types"/>
    <xsd:import namespace="http://schemas.microsoft.com/office/infopath/2007/PartnerControls"/>
    <xsd:element name="Posting" ma:index="8" nillable="true" ma:displayName="Posting" ma:default="GD Only" ma:description="Where is document posted?" ma:format="Dropdown" ma:internalName="Posting" ma:readOnly="false">
      <xsd:simpleType>
        <xsd:restriction base="dms:Choice">
          <xsd:enumeration value="GD Only"/>
          <xsd:enumeration value="To Post to LM"/>
          <xsd:enumeration value="Posted to LM"/>
        </xsd:restriction>
      </xsd:simpleType>
    </xsd:element>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9"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E832A1C-4C28-4E1A-97C8-8D284CD741A9}">
  <ds:schemaRefs>
    <ds:schemaRef ds:uri="http://schemas.microsoft.com/sharepoint/v3/contenttype/forms"/>
  </ds:schemaRefs>
</ds:datastoreItem>
</file>

<file path=customXml/itemProps2.xml><?xml version="1.0" encoding="utf-8"?>
<ds:datastoreItem xmlns:ds="http://schemas.openxmlformats.org/officeDocument/2006/customXml" ds:itemID="{C4A0AAF2-70AE-43C4-A8CF-45CB88CF5AFD}">
  <ds:schemaRef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schemas.microsoft.com/sharepoint/v4"/>
    <ds:schemaRef ds:uri="http://purl.org/dc/terms/"/>
    <ds:schemaRef ds:uri="8b3487c1-04d9-4580-816f-65f73cd6f614"/>
    <ds:schemaRef ds:uri="http://www.w3.org/XML/1998/namespace"/>
    <ds:schemaRef ds:uri="http://purl.org/dc/dcmitype/"/>
  </ds:schemaRefs>
</ds:datastoreItem>
</file>

<file path=customXml/itemProps3.xml><?xml version="1.0" encoding="utf-8"?>
<ds:datastoreItem xmlns:ds="http://schemas.openxmlformats.org/officeDocument/2006/customXml" ds:itemID="{AAC0A965-E938-4C4D-AF59-87453CAAC2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3487c1-04d9-4580-816f-65f73cd6f614"/>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Feature_List</vt:lpstr>
      <vt:lpstr>Feature List_Audit</vt:lpstr>
      <vt:lpstr>Team Capacity - PI 15</vt:lpstr>
      <vt:lpstr>ActiveEpics</vt:lpstr>
      <vt:lpstr>Additional_Scope</vt:lpstr>
      <vt:lpstr>Feature_PWIs</vt:lpstr>
      <vt:lpstr>OrphanPWI_CI_Check</vt:lpstr>
      <vt:lpstr>EAD_CIs</vt:lpstr>
      <vt:lpstr>Ranking Lookup</vt:lpstr>
      <vt:lpstr>Instructions</vt:lpstr>
      <vt:lpstr>Deployment Assessment</vt:lpstr>
      <vt:lpstr>SingleFeatureAudit</vt:lpstr>
      <vt:lpstr>Feature_TDs</vt:lpstr>
      <vt:lpstr>TD_table_column</vt:lpstr>
      <vt:lpstr>TD_table_points</vt:lpstr>
      <vt:lpstr>Team_points</vt:lpstr>
    </vt:vector>
  </TitlesOfParts>
  <Company>General Dynamics C4 Systems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p56654 - Caron Ogborne</dc:creator>
  <cp:lastModifiedBy>Mckee, Amy</cp:lastModifiedBy>
  <cp:revision/>
  <cp:lastPrinted>2019-07-02T22:29:18Z</cp:lastPrinted>
  <dcterms:created xsi:type="dcterms:W3CDTF">2018-03-06T12:46:15Z</dcterms:created>
  <dcterms:modified xsi:type="dcterms:W3CDTF">2020-04-05T23:15:29Z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0x0101009FB41D25D924764489E6FFC3F6FE64D1</vt:lpwstr>
  </property>
  <property fmtid="{D5CDD505-2E9C-101B-9397-08002B2CF9AE}" pid="3" name="SV_QUERY_LIST_4F35BF76-6C0D-4D9B-82B2-816C12CF3733">
    <vt:lpwstr>empty_477D106A-C0D6-4607-AEBD-E2C9D60EA279</vt:lpwstr>
  </property>
  <property fmtid="{D5CDD505-2E9C-101B-9397-08002B2CF9AE}" pid="4" name="SV_HIDDEN_GRID_QUERY_LIST_4F35BF76-6C0D-4D9B-82B2-816C12CF3733">
    <vt:lpwstr>empty_477D106A-C0D6-4607-AEBD-E2C9D60EA279</vt:lpwstr>
  </property>
</Properties>
</file>